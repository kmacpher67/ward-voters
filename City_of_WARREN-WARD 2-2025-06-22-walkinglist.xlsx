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Sheet1!$E$1:$O$2820</definedName>
    <definedName function="false" hidden="false" localSheetId="0" name="_xlnm.Print_Titles" vbProcedure="false">Sheet1!$1:$1</definedName>
    <definedName function="false" hidden="true" localSheetId="0" name="_xlnm._FilterDatabase" vbProcedure="false">Sheet1!$A$1:$EH$2823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<sst xmlns="http://schemas.openxmlformats.org/spreadsheetml/2006/main" count="73636" uniqueCount="11952">
  <si>
    <t xml:space="preserve">SOS_VOTERID</t>
  </si>
  <si>
    <t xml:space="preserve">COUNTY_NUMBER</t>
  </si>
  <si>
    <t xml:space="preserve">COUNTY_ID</t>
  </si>
  <si>
    <t xml:space="preserve">LAST_NAME</t>
  </si>
  <si>
    <t xml:space="preserve">FIRST_NAME</t>
  </si>
  <si>
    <t xml:space="preserve">DISPLAY</t>
  </si>
  <si>
    <t xml:space="preserve">MIDDLE_NAME</t>
  </si>
  <si>
    <t xml:space="preserve">SUFFIX</t>
  </si>
  <si>
    <t xml:space="preserve">DATE BIRTH</t>
  </si>
  <si>
    <t xml:space="preserve">REGISTRATION_DATE</t>
  </si>
  <si>
    <t xml:space="preserve">VOTER_STATUS</t>
  </si>
  <si>
    <t xml:space="preserve">PARTY</t>
  </si>
  <si>
    <t xml:space="preserve">RESIDENTIAL_ADDRESS1</t>
  </si>
  <si>
    <t xml:space="preserve">StreetName</t>
  </si>
  <si>
    <t xml:space="preserve">RESIDENTIAL_SECONDARY_ADDR</t>
  </si>
  <si>
    <t xml:space="preserve">RESIDENTIAL_CITY</t>
  </si>
  <si>
    <t xml:space="preserve">RESIDENTIAL_STATE</t>
  </si>
  <si>
    <t xml:space="preserve">RESIDENTIAL_ZIP</t>
  </si>
  <si>
    <t xml:space="preserve">RESIDENTIAL_ZIP_PLUS4</t>
  </si>
  <si>
    <t xml:space="preserve">RESIDENTIAL_COUNTRY</t>
  </si>
  <si>
    <t xml:space="preserve">RESIDENTIAL_POSTALCODE</t>
  </si>
  <si>
    <t xml:space="preserve">MAILING_ADDRESS1</t>
  </si>
  <si>
    <t xml:space="preserve">MAILING_SECONDARY_ADDRESS</t>
  </si>
  <si>
    <t xml:space="preserve">MAILING_CITY</t>
  </si>
  <si>
    <t xml:space="preserve">MAILING_STATE</t>
  </si>
  <si>
    <t xml:space="preserve">MAILING_ZIP</t>
  </si>
  <si>
    <t xml:space="preserve">MAILING_ZIP_PLUS4</t>
  </si>
  <si>
    <t xml:space="preserve">MAILING_COUNTRY</t>
  </si>
  <si>
    <t xml:space="preserve">MAILING_POSTAL_CODE</t>
  </si>
  <si>
    <t xml:space="preserve">CAREER_CENTER</t>
  </si>
  <si>
    <t xml:space="preserve">CITY</t>
  </si>
  <si>
    <t xml:space="preserve">CITY_SCHOOL_DISTRICT</t>
  </si>
  <si>
    <t xml:space="preserve">COUNTY_COURT_DISTRICT</t>
  </si>
  <si>
    <t xml:space="preserve">CONGRESSIONAL_DISTRICT</t>
  </si>
  <si>
    <t xml:space="preserve">COURT_OF_APPEALS</t>
  </si>
  <si>
    <t xml:space="preserve">EDU_SERVICE_CENTER_DISTRICT</t>
  </si>
  <si>
    <t xml:space="preserve">EXEMPTED_VILL_SCHOOL_DISTRICT</t>
  </si>
  <si>
    <t xml:space="preserve">LIBRARY</t>
  </si>
  <si>
    <t xml:space="preserve">LOCAL_SCHOOL_DISTRICT</t>
  </si>
  <si>
    <t xml:space="preserve">MUNICIPAL_COURT_DISTRICT</t>
  </si>
  <si>
    <t xml:space="preserve">PRECINCT_NAME</t>
  </si>
  <si>
    <t xml:space="preserve">PRECINCT_CODE</t>
  </si>
  <si>
    <t xml:space="preserve">STATE_BOARD_OF_EDUCATION</t>
  </si>
  <si>
    <t xml:space="preserve">STATE_REPRESENTATIVE_DISTRICT</t>
  </si>
  <si>
    <t xml:space="preserve">STATE_SENATE_DISTRICT</t>
  </si>
  <si>
    <t xml:space="preserve">TOWNSHIP</t>
  </si>
  <si>
    <t xml:space="preserve">Total:</t>
  </si>
  <si>
    <t xml:space="preserve">Dems</t>
  </si>
  <si>
    <t xml:space="preserve">REPS</t>
  </si>
  <si>
    <t xml:space="preserve">Muni</t>
  </si>
  <si>
    <t xml:space="preserve">Latest</t>
  </si>
  <si>
    <t xml:space="preserve">Last</t>
  </si>
  <si>
    <t xml:space="preserve">VILLAGE</t>
  </si>
  <si>
    <t xml:space="preserve">WARD</t>
  </si>
  <si>
    <t xml:space="preserve">PRIMARY-03/07/2000</t>
  </si>
  <si>
    <t xml:space="preserve">GENERAL-11/07/2000</t>
  </si>
  <si>
    <t xml:space="preserve">SPECIAL-05/08/2001</t>
  </si>
  <si>
    <t xml:space="preserve">GENERAL-11/06/2001</t>
  </si>
  <si>
    <t xml:space="preserve">PRIMARY-05/07/2002</t>
  </si>
  <si>
    <t xml:space="preserve">GENERAL-11/05/2002</t>
  </si>
  <si>
    <t xml:space="preserve">SPECIAL-05/06/2003</t>
  </si>
  <si>
    <t xml:space="preserve">GENERAL-11/04/2003</t>
  </si>
  <si>
    <t xml:space="preserve">PRIMARY-03/02/2004</t>
  </si>
  <si>
    <t xml:space="preserve">GENERAL-11/02/2004</t>
  </si>
  <si>
    <t xml:space="preserve">SPECIAL-02/08/2005</t>
  </si>
  <si>
    <t xml:space="preserve">PRIMARY-05/03/2005</t>
  </si>
  <si>
    <t xml:space="preserve">PRIMARY-09/13/2005</t>
  </si>
  <si>
    <t xml:space="preserve">GENERAL-11/08/2005</t>
  </si>
  <si>
    <t xml:space="preserve">SPECIAL-02/07/2006</t>
  </si>
  <si>
    <t xml:space="preserve">PRIMARY-05/02/2006</t>
  </si>
  <si>
    <t xml:space="preserve">GENERAL-11/07/2006</t>
  </si>
  <si>
    <t xml:space="preserve">PRIMARY-05/08/2007</t>
  </si>
  <si>
    <t xml:space="preserve">PRIMARY-09/11/2007</t>
  </si>
  <si>
    <t xml:space="preserve">GENERAL-11/06/2007</t>
  </si>
  <si>
    <t xml:space="preserve">PRIMARY-11/06/2007</t>
  </si>
  <si>
    <t xml:space="preserve">GENERAL-12/11/2007</t>
  </si>
  <si>
    <t xml:space="preserve">PRIMARY-03/04/2008</t>
  </si>
  <si>
    <t xml:space="preserve">PRIMARY-10/14/2008</t>
  </si>
  <si>
    <t xml:space="preserve">GENERAL-11/04/2008</t>
  </si>
  <si>
    <t xml:space="preserve">GENERAL-11/18/2008</t>
  </si>
  <si>
    <t xml:space="preserve">PRIMARY-05/05/2009</t>
  </si>
  <si>
    <t xml:space="preserve">PRIMARY-09/08/2009</t>
  </si>
  <si>
    <t xml:space="preserve">PRIMARY-09/15/2009</t>
  </si>
  <si>
    <t xml:space="preserve">PRIMARY-09/29/2009</t>
  </si>
  <si>
    <t xml:space="preserve">GENERAL-11/03/2009</t>
  </si>
  <si>
    <t xml:space="preserve">PRIMARY-05/04/2010</t>
  </si>
  <si>
    <t xml:space="preserve">PRIMARY-07/13/2010</t>
  </si>
  <si>
    <t xml:space="preserve">PRIMARY-09/07/2010</t>
  </si>
  <si>
    <t xml:space="preserve">GENERAL-11/02/2010</t>
  </si>
  <si>
    <t xml:space="preserve">PRIMARY-05/03/2011</t>
  </si>
  <si>
    <t xml:space="preserve">PRIMARY-09/13/2011</t>
  </si>
  <si>
    <t xml:space="preserve">GENERAL-11/08/2011</t>
  </si>
  <si>
    <t xml:space="preserve">PRIMARY-03/06/2012</t>
  </si>
  <si>
    <t xml:space="preserve">GENERAL-11/06/2012</t>
  </si>
  <si>
    <t xml:space="preserve">PRIMARY-05/07/2013</t>
  </si>
  <si>
    <t xml:space="preserve">PRIMARY-09/10/2013</t>
  </si>
  <si>
    <t xml:space="preserve">PRIMARY-10/01/2013</t>
  </si>
  <si>
    <t xml:space="preserve">GENERAL-11/05/2013</t>
  </si>
  <si>
    <t xml:space="preserve">PRIMARY-05/06/2014</t>
  </si>
  <si>
    <t xml:space="preserve">GENERAL-11/04/2014</t>
  </si>
  <si>
    <t xml:space="preserve">PRIMARY-05/05/2015</t>
  </si>
  <si>
    <t xml:space="preserve">PRIMARY-09/15/2015</t>
  </si>
  <si>
    <t xml:space="preserve">GENERAL-11/03/2015</t>
  </si>
  <si>
    <t xml:space="preserve">PRIMARY-03/15/2016</t>
  </si>
  <si>
    <t xml:space="preserve">GENERAL-06/07/2016</t>
  </si>
  <si>
    <t xml:space="preserve">PRIMARY-09/13/2016</t>
  </si>
  <si>
    <t xml:space="preserve">GENERAL-11/08/2016</t>
  </si>
  <si>
    <t xml:space="preserve">PRIMARY-05/02/2017</t>
  </si>
  <si>
    <t xml:space="preserve">PRIMARY-09/12/2017</t>
  </si>
  <si>
    <t xml:space="preserve">GENERAL-11/07/2017</t>
  </si>
  <si>
    <t xml:space="preserve">PRIMARY-05/08/2018</t>
  </si>
  <si>
    <t xml:space="preserve">GENERAL-08/07/2018</t>
  </si>
  <si>
    <t xml:space="preserve">GENERAL-11/06/2018</t>
  </si>
  <si>
    <t xml:space="preserve">PRIMARY-05/07/2019</t>
  </si>
  <si>
    <t xml:space="preserve">PRIMARY-09/10/2019</t>
  </si>
  <si>
    <t xml:space="preserve">GENERAL-11/05/2019</t>
  </si>
  <si>
    <t xml:space="preserve">PRIMARY-03/17/2020</t>
  </si>
  <si>
    <t xml:space="preserve">GENERAL-11/03/2020</t>
  </si>
  <si>
    <t xml:space="preserve">PRIMARY-05/04/2021</t>
  </si>
  <si>
    <t xml:space="preserve">PRIMARY-08/03/2021</t>
  </si>
  <si>
    <t xml:space="preserve">PRIMARY-09/14/2021</t>
  </si>
  <si>
    <t xml:space="preserve">GENERAL-11/02/2021</t>
  </si>
  <si>
    <t xml:space="preserve">PRIMARY-05/03/2022</t>
  </si>
  <si>
    <t xml:space="preserve">PRIMARY-08/02/2022</t>
  </si>
  <si>
    <t xml:space="preserve">GENERAL-11/08/2022</t>
  </si>
  <si>
    <t xml:space="preserve">SPECIAL-02/28/2023</t>
  </si>
  <si>
    <t xml:space="preserve">PRIMARY-05/02/2023</t>
  </si>
  <si>
    <t xml:space="preserve">SPECIAL-08/08/2023</t>
  </si>
  <si>
    <t xml:space="preserve">SPECIAL-09/12/2023</t>
  </si>
  <si>
    <t xml:space="preserve">PRIMARY-10/03/2023</t>
  </si>
  <si>
    <t xml:space="preserve">GENERAL-11/07/2023</t>
  </si>
  <si>
    <t xml:space="preserve">SPECIAL-12/05/2023</t>
  </si>
  <si>
    <t xml:space="preserve">SPECIAL-02/27/2024</t>
  </si>
  <si>
    <t xml:space="preserve">PRIMARY-03/19/2024</t>
  </si>
  <si>
    <t xml:space="preserve">GENERAL-06/11/2024</t>
  </si>
  <si>
    <t xml:space="preserve">GENERAL-11/05/2024</t>
  </si>
  <si>
    <t xml:space="preserve">SPECIAL-01/07/2025</t>
  </si>
  <si>
    <t xml:space="preserve">PRIMARY-05/06/2025</t>
  </si>
  <si>
    <t xml:space="preserve">OH0015809658</t>
  </si>
  <si>
    <t xml:space="preserve">ALLEN</t>
  </si>
  <si>
    <t xml:space="preserve">BEVERLY</t>
  </si>
  <si>
    <t xml:space="preserve">JO</t>
  </si>
  <si>
    <t xml:space="preserve">1969-03-09</t>
  </si>
  <si>
    <t xml:space="preserve">2016-03-28</t>
  </si>
  <si>
    <t xml:space="preserve">CONFIRMATION</t>
  </si>
  <si>
    <t xml:space="preserve">821 ADAMS AVE NW</t>
  </si>
  <si>
    <t xml:space="preserve">WARREN</t>
  </si>
  <si>
    <t xml:space="preserve">OH</t>
  </si>
  <si>
    <t xml:space="preserve">TRUMBULL CAREER &amp; TECH CENTER</t>
  </si>
  <si>
    <t xml:space="preserve">WARREN CITY</t>
  </si>
  <si>
    <t xml:space="preserve">WARREN CITY SD</t>
  </si>
  <si>
    <t xml:space="preserve">WARREN CITY 2F</t>
  </si>
  <si>
    <t xml:space="preserve">78-P-ACV</t>
  </si>
  <si>
    <t xml:space="preserve">WARREN-WARD 2</t>
  </si>
  <si>
    <t xml:space="preserve">X</t>
  </si>
  <si>
    <t xml:space="preserve">D</t>
  </si>
  <si>
    <t xml:space="preserve">OH0015748718</t>
  </si>
  <si>
    <t xml:space="preserve">RINEHART</t>
  </si>
  <si>
    <t xml:space="preserve">KAREN</t>
  </si>
  <si>
    <t xml:space="preserve">S</t>
  </si>
  <si>
    <t xml:space="preserve">1953-05-22</t>
  </si>
  <si>
    <t xml:space="preserve">2015-07-03</t>
  </si>
  <si>
    <t xml:space="preserve">826 ADAMS AVE NW</t>
  </si>
  <si>
    <t xml:space="preserve">OH0023645971</t>
  </si>
  <si>
    <t xml:space="preserve">DUFFEY</t>
  </si>
  <si>
    <t xml:space="preserve">THOMAS</t>
  </si>
  <si>
    <t xml:space="preserve">W</t>
  </si>
  <si>
    <t xml:space="preserve">1973-10-15</t>
  </si>
  <si>
    <t xml:space="preserve">2019-04-09</t>
  </si>
  <si>
    <t xml:space="preserve">OH0015702281</t>
  </si>
  <si>
    <t xml:space="preserve">WEISENBORN</t>
  </si>
  <si>
    <t xml:space="preserve">MARILYN</t>
  </si>
  <si>
    <t xml:space="preserve">A</t>
  </si>
  <si>
    <t xml:space="preserve">1938-07-23</t>
  </si>
  <si>
    <t xml:space="preserve">1983-11-01</t>
  </si>
  <si>
    <t xml:space="preserve">ACTIVE</t>
  </si>
  <si>
    <t xml:space="preserve">R</t>
  </si>
  <si>
    <t xml:space="preserve">833 ADAMS AVE NW</t>
  </si>
  <si>
    <t xml:space="preserve">OH0015799308</t>
  </si>
  <si>
    <t xml:space="preserve">GOLUB</t>
  </si>
  <si>
    <t xml:space="preserve">VIRGINIA</t>
  </si>
  <si>
    <t xml:space="preserve">LYNN</t>
  </si>
  <si>
    <t xml:space="preserve">1964-11-21</t>
  </si>
  <si>
    <t xml:space="preserve">2014-12-10</t>
  </si>
  <si>
    <t xml:space="preserve">APT 2</t>
  </si>
  <si>
    <t xml:space="preserve">OH0023555952</t>
  </si>
  <si>
    <t xml:space="preserve">CREPAGE</t>
  </si>
  <si>
    <t xml:space="preserve">DEBORAH</t>
  </si>
  <si>
    <t xml:space="preserve">J</t>
  </si>
  <si>
    <t xml:space="preserve">1950-12-25</t>
  </si>
  <si>
    <t xml:space="preserve">2019-01-01</t>
  </si>
  <si>
    <t xml:space="preserve">843 ADAMS AVE NW</t>
  </si>
  <si>
    <t xml:space="preserve">APT 1</t>
  </si>
  <si>
    <t xml:space="preserve">OH0021750367</t>
  </si>
  <si>
    <t xml:space="preserve">JORDAN</t>
  </si>
  <si>
    <t xml:space="preserve">ANTHONY</t>
  </si>
  <si>
    <t xml:space="preserve">F</t>
  </si>
  <si>
    <t xml:space="preserve">1961-01-29</t>
  </si>
  <si>
    <t xml:space="preserve">2012-02-25</t>
  </si>
  <si>
    <t xml:space="preserve">OH0027073788</t>
  </si>
  <si>
    <t xml:space="preserve">KIHN</t>
  </si>
  <si>
    <t xml:space="preserve">KIRSTEN</t>
  </si>
  <si>
    <t xml:space="preserve">C</t>
  </si>
  <si>
    <t xml:space="preserve">1979-09-25</t>
  </si>
  <si>
    <t xml:space="preserve">2023-08-04</t>
  </si>
  <si>
    <t xml:space="preserve">844 ADAMS AVE NW</t>
  </si>
  <si>
    <t xml:space="preserve">OH0027387882</t>
  </si>
  <si>
    <t xml:space="preserve">MOSER</t>
  </si>
  <si>
    <t xml:space="preserve">CHRISTINE</t>
  </si>
  <si>
    <t xml:space="preserve">VICTORIA</t>
  </si>
  <si>
    <t xml:space="preserve">1973-09-04</t>
  </si>
  <si>
    <t xml:space="preserve">2024-06-03</t>
  </si>
  <si>
    <t xml:space="preserve">855 ADAMS AVE NW</t>
  </si>
  <si>
    <t xml:space="preserve">OH0023463591</t>
  </si>
  <si>
    <t xml:space="preserve">FAIRCHILD</t>
  </si>
  <si>
    <t xml:space="preserve">MACKENZIE</t>
  </si>
  <si>
    <t xml:space="preserve">N</t>
  </si>
  <si>
    <t xml:space="preserve">1994-12-21</t>
  </si>
  <si>
    <t xml:space="preserve">2015-12-21</t>
  </si>
  <si>
    <t xml:space="preserve">866 ADAMS AVE NW</t>
  </si>
  <si>
    <t xml:space="preserve">OH0026765272</t>
  </si>
  <si>
    <t xml:space="preserve">VANESSA</t>
  </si>
  <si>
    <t xml:space="preserve">K</t>
  </si>
  <si>
    <t xml:space="preserve">1973-11-28</t>
  </si>
  <si>
    <t xml:space="preserve">2022-10-28</t>
  </si>
  <si>
    <t xml:space="preserve">OH0027508612</t>
  </si>
  <si>
    <t xml:space="preserve">MCHENRY</t>
  </si>
  <si>
    <t xml:space="preserve">1955-11-30</t>
  </si>
  <si>
    <t xml:space="preserve">2024-08-08</t>
  </si>
  <si>
    <t xml:space="preserve">OH0026813868</t>
  </si>
  <si>
    <t xml:space="preserve">CONWAY</t>
  </si>
  <si>
    <t xml:space="preserve">JEREMIAH</t>
  </si>
  <si>
    <t xml:space="preserve">PHILLIP</t>
  </si>
  <si>
    <t xml:space="preserve">1986-01-26</t>
  </si>
  <si>
    <t xml:space="preserve">2024-12-16</t>
  </si>
  <si>
    <t xml:space="preserve">146 ALBERT ST NE</t>
  </si>
  <si>
    <t xml:space="preserve">WARREN CITY 2C</t>
  </si>
  <si>
    <t xml:space="preserve">78-P-ACS</t>
  </si>
  <si>
    <t xml:space="preserve">OH0015814785</t>
  </si>
  <si>
    <t xml:space="preserve">WALDO</t>
  </si>
  <si>
    <t xml:space="preserve">CHRISTINA</t>
  </si>
  <si>
    <t xml:space="preserve">L</t>
  </si>
  <si>
    <t xml:space="preserve">1972-04-07</t>
  </si>
  <si>
    <t xml:space="preserve">1996-05-08</t>
  </si>
  <si>
    <t xml:space="preserve">156 ALBERT ST NE</t>
  </si>
  <si>
    <t xml:space="preserve">OH0015754088</t>
  </si>
  <si>
    <t xml:space="preserve">DYER</t>
  </si>
  <si>
    <t xml:space="preserve">1960-05-12</t>
  </si>
  <si>
    <t xml:space="preserve">2020-09-30</t>
  </si>
  <si>
    <t xml:space="preserve">163 ALBERT ST NE</t>
  </si>
  <si>
    <t xml:space="preserve">WARREN CITY 2G</t>
  </si>
  <si>
    <t xml:space="preserve">78-P-ACW</t>
  </si>
  <si>
    <t xml:space="preserve">OH0027294798</t>
  </si>
  <si>
    <t xml:space="preserve">MCGILVARY</t>
  </si>
  <si>
    <t xml:space="preserve">JOHNNY</t>
  </si>
  <si>
    <t xml:space="preserve">CHAVARIS</t>
  </si>
  <si>
    <t xml:space="preserve">1976-04-01</t>
  </si>
  <si>
    <t xml:space="preserve">2024-03-28</t>
  </si>
  <si>
    <t xml:space="preserve">173 ALBERT ST NE</t>
  </si>
  <si>
    <t xml:space="preserve">OH0015699748</t>
  </si>
  <si>
    <t xml:space="preserve">SAPP</t>
  </si>
  <si>
    <t xml:space="preserve">PATRICIA</t>
  </si>
  <si>
    <t xml:space="preserve">1954-06-30</t>
  </si>
  <si>
    <t xml:space="preserve">2015-09-17</t>
  </si>
  <si>
    <t xml:space="preserve">183 ALBERT ST NE</t>
  </si>
  <si>
    <t xml:space="preserve">OH0023981767</t>
  </si>
  <si>
    <t xml:space="preserve">TIMOTHY</t>
  </si>
  <si>
    <t xml:space="preserve">1980-01-18</t>
  </si>
  <si>
    <t xml:space="preserve">2024-08-24</t>
  </si>
  <si>
    <t xml:space="preserve">OH0025956050</t>
  </si>
  <si>
    <t xml:space="preserve">REX</t>
  </si>
  <si>
    <t xml:space="preserve">ALVIN</t>
  </si>
  <si>
    <t xml:space="preserve">1962-08-29</t>
  </si>
  <si>
    <t xml:space="preserve">2020-09-23</t>
  </si>
  <si>
    <t xml:space="preserve">193 ALBERT ST NE</t>
  </si>
  <si>
    <t xml:space="preserve">OH0023630128</t>
  </si>
  <si>
    <t xml:space="preserve">MARSH</t>
  </si>
  <si>
    <t xml:space="preserve">WILLIAM</t>
  </si>
  <si>
    <t xml:space="preserve">CHARLES</t>
  </si>
  <si>
    <t xml:space="preserve">1990-07-05</t>
  </si>
  <si>
    <t xml:space="preserve">2018-04-28</t>
  </si>
  <si>
    <t xml:space="preserve">203 ALBERT ST NE</t>
  </si>
  <si>
    <t xml:space="preserve">OH0019995475</t>
  </si>
  <si>
    <t xml:space="preserve">DANIEL</t>
  </si>
  <si>
    <t xml:space="preserve">1963-06-06</t>
  </si>
  <si>
    <t xml:space="preserve">2016-05-26</t>
  </si>
  <si>
    <t xml:space="preserve">OH0023628180</t>
  </si>
  <si>
    <t xml:space="preserve">BILLIE</t>
  </si>
  <si>
    <t xml:space="preserve">1961-03-17</t>
  </si>
  <si>
    <t xml:space="preserve">OH0026956073</t>
  </si>
  <si>
    <t xml:space="preserve">THOMPSON</t>
  </si>
  <si>
    <t xml:space="preserve">HARVEY</t>
  </si>
  <si>
    <t xml:space="preserve">HARRY</t>
  </si>
  <si>
    <t xml:space="preserve">1973-07-24</t>
  </si>
  <si>
    <t xml:space="preserve">2024-08-22</t>
  </si>
  <si>
    <t xml:space="preserve">OH0023796173</t>
  </si>
  <si>
    <t xml:space="preserve">JEREMY</t>
  </si>
  <si>
    <t xml:space="preserve">M</t>
  </si>
  <si>
    <t xml:space="preserve">1987-06-19</t>
  </si>
  <si>
    <t xml:space="preserve">2016-07-21</t>
  </si>
  <si>
    <t xml:space="preserve">215 ALBERT ST NE</t>
  </si>
  <si>
    <t xml:space="preserve">OH0027331301</t>
  </si>
  <si>
    <t xml:space="preserve">AHLMAN</t>
  </si>
  <si>
    <t xml:space="preserve">HANS</t>
  </si>
  <si>
    <t xml:space="preserve">SVEND</t>
  </si>
  <si>
    <t xml:space="preserve">1952-02-25</t>
  </si>
  <si>
    <t xml:space="preserve">2024-06-07</t>
  </si>
  <si>
    <t xml:space="preserve">246 ALBERT ST NE</t>
  </si>
  <si>
    <t xml:space="preserve">OH0023011472</t>
  </si>
  <si>
    <t xml:space="preserve">BROWN</t>
  </si>
  <si>
    <t xml:space="preserve">RASHOD</t>
  </si>
  <si>
    <t xml:space="preserve">SR</t>
  </si>
  <si>
    <t xml:space="preserve">1979-03-25</t>
  </si>
  <si>
    <t xml:space="preserve">2025-04-28</t>
  </si>
  <si>
    <t xml:space="preserve">260 ALBERT ST NE</t>
  </si>
  <si>
    <t xml:space="preserve">OH0027904353</t>
  </si>
  <si>
    <t xml:space="preserve">SHON</t>
  </si>
  <si>
    <t xml:space="preserve">LEE</t>
  </si>
  <si>
    <t xml:space="preserve">1989-12-14</t>
  </si>
  <si>
    <t xml:space="preserve">2025-02-25</t>
  </si>
  <si>
    <t xml:space="preserve">1534 ARLINGTON AVE NW</t>
  </si>
  <si>
    <t xml:space="preserve">OH0018596275</t>
  </si>
  <si>
    <t xml:space="preserve">BREWER</t>
  </si>
  <si>
    <t xml:space="preserve">DAWN</t>
  </si>
  <si>
    <t xml:space="preserve">1984-09-19</t>
  </si>
  <si>
    <t xml:space="preserve">2016-04-25</t>
  </si>
  <si>
    <t xml:space="preserve">1548 ARLINGTON AVE NW</t>
  </si>
  <si>
    <t xml:space="preserve">OH0022913458</t>
  </si>
  <si>
    <t xml:space="preserve">GEORGE</t>
  </si>
  <si>
    <t xml:space="preserve">T</t>
  </si>
  <si>
    <t xml:space="preserve">1972-04-08</t>
  </si>
  <si>
    <t xml:space="preserve">2015-08-29</t>
  </si>
  <si>
    <t xml:space="preserve">OH0024203558</t>
  </si>
  <si>
    <t xml:space="preserve">ADAMS</t>
  </si>
  <si>
    <t xml:space="preserve">QUINTIN</t>
  </si>
  <si>
    <t xml:space="preserve">CHRISTOPHER</t>
  </si>
  <si>
    <t xml:space="preserve">1998-12-27</t>
  </si>
  <si>
    <t xml:space="preserve">2018-10-16</t>
  </si>
  <si>
    <t xml:space="preserve">1557 ARLINGTON AVE NW</t>
  </si>
  <si>
    <t xml:space="preserve">OH0020178854</t>
  </si>
  <si>
    <t xml:space="preserve">KAYLA</t>
  </si>
  <si>
    <t xml:space="preserve">1990-10-15</t>
  </si>
  <si>
    <t xml:space="preserve">2016-07-19</t>
  </si>
  <si>
    <t xml:space="preserve">OH0024634084</t>
  </si>
  <si>
    <t xml:space="preserve">ISAIAH</t>
  </si>
  <si>
    <t xml:space="preserve">STORM</t>
  </si>
  <si>
    <t xml:space="preserve">2000-06-21</t>
  </si>
  <si>
    <t xml:space="preserve">2018-05-16</t>
  </si>
  <si>
    <t xml:space="preserve">OH0015904733</t>
  </si>
  <si>
    <t xml:space="preserve">BLACK</t>
  </si>
  <si>
    <t xml:space="preserve">RONNIE</t>
  </si>
  <si>
    <t xml:space="preserve">1957-12-31</t>
  </si>
  <si>
    <t xml:space="preserve">2004-10-03</t>
  </si>
  <si>
    <t xml:space="preserve">1567 ARLINGTON AVE NW</t>
  </si>
  <si>
    <t xml:space="preserve">OH0015761832</t>
  </si>
  <si>
    <t xml:space="preserve">YVONNE</t>
  </si>
  <si>
    <t xml:space="preserve">1966-04-11</t>
  </si>
  <si>
    <t xml:space="preserve">2016-10-11</t>
  </si>
  <si>
    <t xml:space="preserve">OH0026063324</t>
  </si>
  <si>
    <t xml:space="preserve">BRANDEN</t>
  </si>
  <si>
    <t xml:space="preserve">1983-11-20</t>
  </si>
  <si>
    <t xml:space="preserve">2020-10-06</t>
  </si>
  <si>
    <t xml:space="preserve">OH0026503420</t>
  </si>
  <si>
    <t xml:space="preserve">FESSLER</t>
  </si>
  <si>
    <t xml:space="preserve">CONNIE</t>
  </si>
  <si>
    <t xml:space="preserve">E</t>
  </si>
  <si>
    <t xml:space="preserve">1954-06-05</t>
  </si>
  <si>
    <t xml:space="preserve">2023-06-05</t>
  </si>
  <si>
    <t xml:space="preserve">1570 ARLINGTON AVE NW</t>
  </si>
  <si>
    <t xml:space="preserve">OH0026734295</t>
  </si>
  <si>
    <t xml:space="preserve">CASEY</t>
  </si>
  <si>
    <t xml:space="preserve">1985-07-10</t>
  </si>
  <si>
    <t xml:space="preserve">2023-05-07</t>
  </si>
  <si>
    <t xml:space="preserve">OH0024531359</t>
  </si>
  <si>
    <t xml:space="preserve">MARSHALL</t>
  </si>
  <si>
    <t xml:space="preserve">TARA</t>
  </si>
  <si>
    <t xml:space="preserve">NICOLE</t>
  </si>
  <si>
    <t xml:space="preserve">1992-12-05</t>
  </si>
  <si>
    <t xml:space="preserve">2023-11-15</t>
  </si>
  <si>
    <t xml:space="preserve">1575 ARLINGTON AVE NW</t>
  </si>
  <si>
    <t xml:space="preserve">OH0015752976</t>
  </si>
  <si>
    <t xml:space="preserve">WEAVER</t>
  </si>
  <si>
    <t xml:space="preserve">BRENDA</t>
  </si>
  <si>
    <t xml:space="preserve">1965-01-11</t>
  </si>
  <si>
    <t xml:space="preserve">1992-09-22</t>
  </si>
  <si>
    <t xml:space="preserve">1627 ARLINGTON AVE NW</t>
  </si>
  <si>
    <t xml:space="preserve">OH0021658595</t>
  </si>
  <si>
    <t xml:space="preserve">SWEITZER</t>
  </si>
  <si>
    <t xml:space="preserve">1981-08-05</t>
  </si>
  <si>
    <t xml:space="preserve">2018-04-02</t>
  </si>
  <si>
    <t xml:space="preserve">1637 ARLINGTON AVE NW</t>
  </si>
  <si>
    <t xml:space="preserve">OH0018597082</t>
  </si>
  <si>
    <t xml:space="preserve">HART</t>
  </si>
  <si>
    <t xml:space="preserve">RUFUS</t>
  </si>
  <si>
    <t xml:space="preserve">1958-04-08</t>
  </si>
  <si>
    <t xml:space="preserve">2016-12-08</t>
  </si>
  <si>
    <t xml:space="preserve">2048 ARLINGTON AVE NW</t>
  </si>
  <si>
    <t xml:space="preserve">OH0021040628</t>
  </si>
  <si>
    <t xml:space="preserve">HUFFMAN</t>
  </si>
  <si>
    <t xml:space="preserve">GLORIA</t>
  </si>
  <si>
    <t xml:space="preserve">1961-07-09</t>
  </si>
  <si>
    <t xml:space="preserve">2010-04-15</t>
  </si>
  <si>
    <t xml:space="preserve">134 ATLANTIC ST NE</t>
  </si>
  <si>
    <t xml:space="preserve">OH0015819288</t>
  </si>
  <si>
    <t xml:space="preserve">CLARK</t>
  </si>
  <si>
    <t xml:space="preserve">ANGELA</t>
  </si>
  <si>
    <t xml:space="preserve">1985-03-07</t>
  </si>
  <si>
    <t xml:space="preserve">148 ATLANTIC ST NE</t>
  </si>
  <si>
    <t xml:space="preserve">APT C</t>
  </si>
  <si>
    <t xml:space="preserve">OH0026805826</t>
  </si>
  <si>
    <t xml:space="preserve">PRICE</t>
  </si>
  <si>
    <t xml:space="preserve">SERENA</t>
  </si>
  <si>
    <t xml:space="preserve">1999-07-28</t>
  </si>
  <si>
    <t xml:space="preserve">2023-01-23</t>
  </si>
  <si>
    <t xml:space="preserve">APT A</t>
  </si>
  <si>
    <t xml:space="preserve">OH0024403959</t>
  </si>
  <si>
    <t xml:space="preserve">FINLAW</t>
  </si>
  <si>
    <t xml:space="preserve">JAMIE</t>
  </si>
  <si>
    <t xml:space="preserve">1996-10-07</t>
  </si>
  <si>
    <t xml:space="preserve">2024-10-01</t>
  </si>
  <si>
    <t xml:space="preserve">APT B</t>
  </si>
  <si>
    <t xml:space="preserve">OH0026179101</t>
  </si>
  <si>
    <t xml:space="preserve">GORDON</t>
  </si>
  <si>
    <t xml:space="preserve">ALEXIS</t>
  </si>
  <si>
    <t xml:space="preserve">JUSTINE</t>
  </si>
  <si>
    <t xml:space="preserve">1995-10-11</t>
  </si>
  <si>
    <t xml:space="preserve">2023-12-18</t>
  </si>
  <si>
    <t xml:space="preserve">OH0022133663</t>
  </si>
  <si>
    <t xml:space="preserve">CRAWFORD</t>
  </si>
  <si>
    <t xml:space="preserve">JAMES</t>
  </si>
  <si>
    <t xml:space="preserve">RICHARD</t>
  </si>
  <si>
    <t xml:space="preserve">JR</t>
  </si>
  <si>
    <t xml:space="preserve">1972-08-08</t>
  </si>
  <si>
    <t xml:space="preserve">2021-04-07</t>
  </si>
  <si>
    <t xml:space="preserve">172 ATLANTIC ST NE</t>
  </si>
  <si>
    <t xml:space="preserve">OH0025003266</t>
  </si>
  <si>
    <t xml:space="preserve">DALLAS STRAIGHT</t>
  </si>
  <si>
    <t xml:space="preserve">CARLA</t>
  </si>
  <si>
    <t xml:space="preserve">SUE</t>
  </si>
  <si>
    <t xml:space="preserve">1979-10-26</t>
  </si>
  <si>
    <t xml:space="preserve">2018-12-19</t>
  </si>
  <si>
    <t xml:space="preserve">UPPR</t>
  </si>
  <si>
    <t xml:space="preserve">OH0026923483</t>
  </si>
  <si>
    <t xml:space="preserve">SCHELL</t>
  </si>
  <si>
    <t xml:space="preserve">TINA</t>
  </si>
  <si>
    <t xml:space="preserve">ROSE</t>
  </si>
  <si>
    <t xml:space="preserve">2003-12-28</t>
  </si>
  <si>
    <t xml:space="preserve">2023-05-09</t>
  </si>
  <si>
    <t xml:space="preserve">OH0024791360</t>
  </si>
  <si>
    <t xml:space="preserve">SALYERS</t>
  </si>
  <si>
    <t xml:space="preserve">1977-09-07</t>
  </si>
  <si>
    <t xml:space="preserve">2018-09-24</t>
  </si>
  <si>
    <t xml:space="preserve">OH0018595320</t>
  </si>
  <si>
    <t xml:space="preserve">YOUNG</t>
  </si>
  <si>
    <t xml:space="preserve">MELANIE</t>
  </si>
  <si>
    <t xml:space="preserve">ANN</t>
  </si>
  <si>
    <t xml:space="preserve">1968-03-30</t>
  </si>
  <si>
    <t xml:space="preserve">2022-07-05</t>
  </si>
  <si>
    <t xml:space="preserve">180 ATLANTIC ST NE</t>
  </si>
  <si>
    <t xml:space="preserve">OH0021099817</t>
  </si>
  <si>
    <t xml:space="preserve">WHITMORE</t>
  </si>
  <si>
    <t xml:space="preserve">1949-06-30</t>
  </si>
  <si>
    <t xml:space="preserve">2010-06-07</t>
  </si>
  <si>
    <t xml:space="preserve">182 ATLANTIC ST NE</t>
  </si>
  <si>
    <t xml:space="preserve">OH0015700112</t>
  </si>
  <si>
    <t xml:space="preserve">VANHORN</t>
  </si>
  <si>
    <t xml:space="preserve">GRACE</t>
  </si>
  <si>
    <t xml:space="preserve">1953-02-16</t>
  </si>
  <si>
    <t xml:space="preserve">1983-08-24</t>
  </si>
  <si>
    <t xml:space="preserve">184 ATLANTIC ST NE</t>
  </si>
  <si>
    <t xml:space="preserve">OH0015700113</t>
  </si>
  <si>
    <t xml:space="preserve">DONALD</t>
  </si>
  <si>
    <t xml:space="preserve">1950-04-01</t>
  </si>
  <si>
    <t xml:space="preserve">OH0027165596</t>
  </si>
  <si>
    <t xml:space="preserve">SCOTT</t>
  </si>
  <si>
    <t xml:space="preserve">1981-09-22</t>
  </si>
  <si>
    <t xml:space="preserve">2023-12-05</t>
  </si>
  <si>
    <t xml:space="preserve">193 ATLANTIC ST NE</t>
  </si>
  <si>
    <t xml:space="preserve">OH0021650886</t>
  </si>
  <si>
    <t xml:space="preserve">FUDGE</t>
  </si>
  <si>
    <t xml:space="preserve">ARTENERO</t>
  </si>
  <si>
    <t xml:space="preserve">BLESSED BEE</t>
  </si>
  <si>
    <t xml:space="preserve">1979-05-30</t>
  </si>
  <si>
    <t xml:space="preserve">2021-06-17</t>
  </si>
  <si>
    <t xml:space="preserve">195 ATLANTIC ST NE</t>
  </si>
  <si>
    <t xml:space="preserve">OH0027498019</t>
  </si>
  <si>
    <t xml:space="preserve">NEIMIAH</t>
  </si>
  <si>
    <t xml:space="preserve">2000-04-26</t>
  </si>
  <si>
    <t xml:space="preserve">2024-08-01</t>
  </si>
  <si>
    <t xml:space="preserve">OH0025049488</t>
  </si>
  <si>
    <t xml:space="preserve">FORD</t>
  </si>
  <si>
    <t xml:space="preserve">XAVIER</t>
  </si>
  <si>
    <t xml:space="preserve">2001-06-12</t>
  </si>
  <si>
    <t xml:space="preserve">OH0015819894</t>
  </si>
  <si>
    <t xml:space="preserve">KIRK</t>
  </si>
  <si>
    <t xml:space="preserve">SAMUEL</t>
  </si>
  <si>
    <t xml:space="preserve">H</t>
  </si>
  <si>
    <t xml:space="preserve">1970-09-09</t>
  </si>
  <si>
    <t xml:space="preserve">2019-09-06</t>
  </si>
  <si>
    <t xml:space="preserve">207 ATLANTIC ST NE</t>
  </si>
  <si>
    <t xml:space="preserve">OH0027494659</t>
  </si>
  <si>
    <t xml:space="preserve">WARE</t>
  </si>
  <si>
    <t xml:space="preserve">KEVIN</t>
  </si>
  <si>
    <t xml:space="preserve">1982-03-25</t>
  </si>
  <si>
    <t xml:space="preserve">2024-08-09</t>
  </si>
  <si>
    <t xml:space="preserve">OH0024417454</t>
  </si>
  <si>
    <t xml:space="preserve">MITCHELL</t>
  </si>
  <si>
    <t xml:space="preserve">NANCY</t>
  </si>
  <si>
    <t xml:space="preserve">JANE</t>
  </si>
  <si>
    <t xml:space="preserve">1977-06-23</t>
  </si>
  <si>
    <t xml:space="preserve">2017-10-07</t>
  </si>
  <si>
    <t xml:space="preserve">OH0015801737</t>
  </si>
  <si>
    <t xml:space="preserve">KILLEEN</t>
  </si>
  <si>
    <t xml:space="preserve">PATRICK</t>
  </si>
  <si>
    <t xml:space="preserve">G</t>
  </si>
  <si>
    <t xml:space="preserve">1965-04-01</t>
  </si>
  <si>
    <t xml:space="preserve">2008-09-30</t>
  </si>
  <si>
    <t xml:space="preserve">284 ATLANTIC ST NE</t>
  </si>
  <si>
    <t xml:space="preserve">OH0015759803</t>
  </si>
  <si>
    <t xml:space="preserve">DARIS</t>
  </si>
  <si>
    <t xml:space="preserve">1963-10-05</t>
  </si>
  <si>
    <t xml:space="preserve">2012-11-21</t>
  </si>
  <si>
    <t xml:space="preserve">OH0025576857</t>
  </si>
  <si>
    <t xml:space="preserve">HOLLINGSWORTH</t>
  </si>
  <si>
    <t xml:space="preserve">ZACHARY</t>
  </si>
  <si>
    <t xml:space="preserve">THOMAS YORK</t>
  </si>
  <si>
    <t xml:space="preserve">1999-01-30</t>
  </si>
  <si>
    <t xml:space="preserve">2020-05-02</t>
  </si>
  <si>
    <t xml:space="preserve">293 ATLANTIC ST NE</t>
  </si>
  <si>
    <t xml:space="preserve">OH0027358145</t>
  </si>
  <si>
    <t xml:space="preserve">SAWYERS</t>
  </si>
  <si>
    <t xml:space="preserve">JEFFERSON</t>
  </si>
  <si>
    <t xml:space="preserve">1981-05-25</t>
  </si>
  <si>
    <t xml:space="preserve">2024-05-28</t>
  </si>
  <si>
    <t xml:space="preserve">301 ATLANTIC ST NE</t>
  </si>
  <si>
    <t xml:space="preserve">OH0026123958</t>
  </si>
  <si>
    <t xml:space="preserve">SWINSCOE</t>
  </si>
  <si>
    <t xml:space="preserve">SHELLIE</t>
  </si>
  <si>
    <t xml:space="preserve">LUANN</t>
  </si>
  <si>
    <t xml:space="preserve">1972-01-07</t>
  </si>
  <si>
    <t xml:space="preserve">2021-11-04</t>
  </si>
  <si>
    <t xml:space="preserve">OH0022437516</t>
  </si>
  <si>
    <t xml:space="preserve">CADENA</t>
  </si>
  <si>
    <t xml:space="preserve">1980-08-27</t>
  </si>
  <si>
    <t xml:space="preserve">OH0022065665</t>
  </si>
  <si>
    <t xml:space="preserve">WAGGONER</t>
  </si>
  <si>
    <t xml:space="preserve">JOANNA</t>
  </si>
  <si>
    <t xml:space="preserve">1994-10-01</t>
  </si>
  <si>
    <t xml:space="preserve">OH0023271121</t>
  </si>
  <si>
    <t xml:space="preserve">BRYAN</t>
  </si>
  <si>
    <t xml:space="preserve">1982-12-16</t>
  </si>
  <si>
    <t xml:space="preserve">2015-09-01</t>
  </si>
  <si>
    <t xml:space="preserve">OH0027505765</t>
  </si>
  <si>
    <t xml:space="preserve">DORTHEY</t>
  </si>
  <si>
    <t xml:space="preserve">1986-11-16</t>
  </si>
  <si>
    <t xml:space="preserve">OH0022220037</t>
  </si>
  <si>
    <t xml:space="preserve">ROBERSON</t>
  </si>
  <si>
    <t xml:space="preserve">SHARON</t>
  </si>
  <si>
    <t xml:space="preserve">1951-02-08</t>
  </si>
  <si>
    <t xml:space="preserve">2018-03-02</t>
  </si>
  <si>
    <t xml:space="preserve">OH0023229251</t>
  </si>
  <si>
    <t xml:space="preserve">TANCHUK</t>
  </si>
  <si>
    <t xml:space="preserve">GERALDINE</t>
  </si>
  <si>
    <t xml:space="preserve">V</t>
  </si>
  <si>
    <t xml:space="preserve">1961-04-22</t>
  </si>
  <si>
    <t xml:space="preserve">2025-02-28</t>
  </si>
  <si>
    <t xml:space="preserve">407 ATLANTIC ST NE</t>
  </si>
  <si>
    <t xml:space="preserve">OH0026153450</t>
  </si>
  <si>
    <t xml:space="preserve">EICHLER</t>
  </si>
  <si>
    <t xml:space="preserve">ZOE</t>
  </si>
  <si>
    <t xml:space="preserve">1994-07-26</t>
  </si>
  <si>
    <t xml:space="preserve">2024-11-18</t>
  </si>
  <si>
    <t xml:space="preserve">OH0015745430</t>
  </si>
  <si>
    <t xml:space="preserve">POSEY</t>
  </si>
  <si>
    <t xml:space="preserve">1970-07-19</t>
  </si>
  <si>
    <t xml:space="preserve">2020-11-23</t>
  </si>
  <si>
    <t xml:space="preserve">438 ATLANTIC ST NE</t>
  </si>
  <si>
    <t xml:space="preserve">OH0027692998</t>
  </si>
  <si>
    <t xml:space="preserve">FERRY</t>
  </si>
  <si>
    <t xml:space="preserve">1938-11-18</t>
  </si>
  <si>
    <t xml:space="preserve">2024-10-03</t>
  </si>
  <si>
    <t xml:space="preserve">452 ATLANTIC ST NE</t>
  </si>
  <si>
    <t xml:space="preserve">OH0027693205</t>
  </si>
  <si>
    <t xml:space="preserve">SHAWN</t>
  </si>
  <si>
    <t xml:space="preserve">BLANE</t>
  </si>
  <si>
    <t xml:space="preserve">1967-11-11</t>
  </si>
  <si>
    <t xml:space="preserve">2024-10-04</t>
  </si>
  <si>
    <t xml:space="preserve">OH0020946026</t>
  </si>
  <si>
    <t xml:space="preserve">KASCSAK</t>
  </si>
  <si>
    <t xml:space="preserve">JASON</t>
  </si>
  <si>
    <t xml:space="preserve">ADAM</t>
  </si>
  <si>
    <t xml:space="preserve">1978-07-13</t>
  </si>
  <si>
    <t xml:space="preserve">2016-10-25</t>
  </si>
  <si>
    <t xml:space="preserve">481 ATLANTIC ST NE</t>
  </si>
  <si>
    <t xml:space="preserve">OH0025107650</t>
  </si>
  <si>
    <t xml:space="preserve">TALLEY</t>
  </si>
  <si>
    <t xml:space="preserve">DESMOND</t>
  </si>
  <si>
    <t xml:space="preserve">LAMONT</t>
  </si>
  <si>
    <t xml:space="preserve">II</t>
  </si>
  <si>
    <t xml:space="preserve">2000-04-08</t>
  </si>
  <si>
    <t xml:space="preserve">2024-09-18</t>
  </si>
  <si>
    <t xml:space="preserve">505 ATLANTIC ST NE</t>
  </si>
  <si>
    <t xml:space="preserve">OH0015776706</t>
  </si>
  <si>
    <t xml:space="preserve">MCCORKLE</t>
  </si>
  <si>
    <t xml:space="preserve">KEYAUTA</t>
  </si>
  <si>
    <t xml:space="preserve">1979-12-03</t>
  </si>
  <si>
    <t xml:space="preserve">2023-07-12</t>
  </si>
  <si>
    <t xml:space="preserve">OH0026169633</t>
  </si>
  <si>
    <t xml:space="preserve">COBB</t>
  </si>
  <si>
    <t xml:space="preserve">ASHLEY</t>
  </si>
  <si>
    <t xml:space="preserve">2002-06-14</t>
  </si>
  <si>
    <t xml:space="preserve">2024-03-01</t>
  </si>
  <si>
    <t xml:space="preserve">506 ATLANTIC ST NE</t>
  </si>
  <si>
    <t xml:space="preserve">OH0025405487</t>
  </si>
  <si>
    <t xml:space="preserve">LOWE</t>
  </si>
  <si>
    <t xml:space="preserve">JAMIEER</t>
  </si>
  <si>
    <t xml:space="preserve">2002-07-11</t>
  </si>
  <si>
    <t xml:space="preserve">2020-02-04</t>
  </si>
  <si>
    <t xml:space="preserve">OH0024352163</t>
  </si>
  <si>
    <t xml:space="preserve">ROBERT</t>
  </si>
  <si>
    <t xml:space="preserve">1991-08-09</t>
  </si>
  <si>
    <t xml:space="preserve">2017-08-04</t>
  </si>
  <si>
    <t xml:space="preserve">518 ATLANTIC ST NE</t>
  </si>
  <si>
    <t xml:space="preserve">OH0019263014</t>
  </si>
  <si>
    <t xml:space="preserve">KEELY</t>
  </si>
  <si>
    <t xml:space="preserve">1985-04-30</t>
  </si>
  <si>
    <t xml:space="preserve">2015-05-09</t>
  </si>
  <si>
    <t xml:space="preserve">OH0018596804</t>
  </si>
  <si>
    <t xml:space="preserve">SALTZMANN</t>
  </si>
  <si>
    <t xml:space="preserve">KATHLEEN</t>
  </si>
  <si>
    <t xml:space="preserve">1960-08-31</t>
  </si>
  <si>
    <t xml:space="preserve">2007-11-30</t>
  </si>
  <si>
    <t xml:space="preserve">OH0023868521</t>
  </si>
  <si>
    <t xml:space="preserve">WALKER</t>
  </si>
  <si>
    <t xml:space="preserve">JEFFERY</t>
  </si>
  <si>
    <t xml:space="preserve">1997-06-13</t>
  </si>
  <si>
    <t xml:space="preserve">2022-02-24</t>
  </si>
  <si>
    <t xml:space="preserve">529 ATLANTIC ST NE</t>
  </si>
  <si>
    <t xml:space="preserve">OH0027647845</t>
  </si>
  <si>
    <t xml:space="preserve">FOWLER</t>
  </si>
  <si>
    <t xml:space="preserve">JEFFREY</t>
  </si>
  <si>
    <t xml:space="preserve">1954-09-02</t>
  </si>
  <si>
    <t xml:space="preserve">2024-09-14</t>
  </si>
  <si>
    <t xml:space="preserve">540 ATLANTIC ST NE</t>
  </si>
  <si>
    <t xml:space="preserve">OH0027376387</t>
  </si>
  <si>
    <t xml:space="preserve">WILLIAMS</t>
  </si>
  <si>
    <t xml:space="preserve">SVANA</t>
  </si>
  <si>
    <t xml:space="preserve">MINONA DEANNE</t>
  </si>
  <si>
    <t xml:space="preserve">2003-08-19</t>
  </si>
  <si>
    <t xml:space="preserve">2024-06-06</t>
  </si>
  <si>
    <t xml:space="preserve">553 ATLANTIC ST NE</t>
  </si>
  <si>
    <t xml:space="preserve">OH0025005192</t>
  </si>
  <si>
    <t xml:space="preserve">DAVID</t>
  </si>
  <si>
    <t xml:space="preserve">1971-11-24</t>
  </si>
  <si>
    <t xml:space="preserve">2024-05-15</t>
  </si>
  <si>
    <t xml:space="preserve">OH0026216781</t>
  </si>
  <si>
    <t xml:space="preserve">DAVID DEAN</t>
  </si>
  <si>
    <t xml:space="preserve">2002-05-28</t>
  </si>
  <si>
    <t xml:space="preserve">2020-12-30</t>
  </si>
  <si>
    <t xml:space="preserve">OH0027178254</t>
  </si>
  <si>
    <t xml:space="preserve">MARSHAL</t>
  </si>
  <si>
    <t xml:space="preserve">ALEXANDER DUKE</t>
  </si>
  <si>
    <t xml:space="preserve">2005-04-15</t>
  </si>
  <si>
    <t xml:space="preserve">OH0018992415</t>
  </si>
  <si>
    <t xml:space="preserve">RAY</t>
  </si>
  <si>
    <t xml:space="preserve">1952-12-07</t>
  </si>
  <si>
    <t xml:space="preserve">2017-12-01</t>
  </si>
  <si>
    <t xml:space="preserve">561 ATLANTIC ST NE</t>
  </si>
  <si>
    <t xml:space="preserve">OH0024817636</t>
  </si>
  <si>
    <t xml:space="preserve">SKINNER</t>
  </si>
  <si>
    <t xml:space="preserve">FAITH</t>
  </si>
  <si>
    <t xml:space="preserve">1957-11-15</t>
  </si>
  <si>
    <t xml:space="preserve">2024-09-25</t>
  </si>
  <si>
    <t xml:space="preserve">564 ATLANTIC ST NE</t>
  </si>
  <si>
    <t xml:space="preserve">OH0027237575</t>
  </si>
  <si>
    <t xml:space="preserve">ANDERSON</t>
  </si>
  <si>
    <t xml:space="preserve">FORREST</t>
  </si>
  <si>
    <t xml:space="preserve">REESE</t>
  </si>
  <si>
    <t xml:space="preserve">1996-05-14</t>
  </si>
  <si>
    <t xml:space="preserve">2024-01-27</t>
  </si>
  <si>
    <t xml:space="preserve">565 ATLANTIC ST NE</t>
  </si>
  <si>
    <t xml:space="preserve">OH0026134620</t>
  </si>
  <si>
    <t xml:space="preserve">TIDEY</t>
  </si>
  <si>
    <t xml:space="preserve">LANNING</t>
  </si>
  <si>
    <t xml:space="preserve">1999-10-21</t>
  </si>
  <si>
    <t xml:space="preserve">2022-10-11</t>
  </si>
  <si>
    <t xml:space="preserve">586 ATLANTIC ST NE</t>
  </si>
  <si>
    <t xml:space="preserve">OH0025781490</t>
  </si>
  <si>
    <t xml:space="preserve">FURDA</t>
  </si>
  <si>
    <t xml:space="preserve">CYNTHIA</t>
  </si>
  <si>
    <t xml:space="preserve">MARIE</t>
  </si>
  <si>
    <t xml:space="preserve">1966-06-14</t>
  </si>
  <si>
    <t xml:space="preserve">2021-09-01</t>
  </si>
  <si>
    <t xml:space="preserve">OH0026279678</t>
  </si>
  <si>
    <t xml:space="preserve">JOSEPH</t>
  </si>
  <si>
    <t xml:space="preserve">1968-08-23</t>
  </si>
  <si>
    <t xml:space="preserve">2021-09-02</t>
  </si>
  <si>
    <t xml:space="preserve">OH0015808024</t>
  </si>
  <si>
    <t xml:space="preserve">SARAH</t>
  </si>
  <si>
    <t xml:space="preserve">1983-05-02</t>
  </si>
  <si>
    <t xml:space="preserve">2017-04-26</t>
  </si>
  <si>
    <t xml:space="preserve">587 ATLANTIC ST NE</t>
  </si>
  <si>
    <t xml:space="preserve">OH0015781131</t>
  </si>
  <si>
    <t xml:space="preserve">WADE</t>
  </si>
  <si>
    <t xml:space="preserve">JACKIE</t>
  </si>
  <si>
    <t xml:space="preserve">1973-12-26</t>
  </si>
  <si>
    <t xml:space="preserve">2010-05-26</t>
  </si>
  <si>
    <t xml:space="preserve">OH0027396672</t>
  </si>
  <si>
    <t xml:space="preserve">SCISSUM</t>
  </si>
  <si>
    <t xml:space="preserve">KHRYS TAL</t>
  </si>
  <si>
    <t xml:space="preserve">CHIMISE</t>
  </si>
  <si>
    <t xml:space="preserve">2003-05-01</t>
  </si>
  <si>
    <t xml:space="preserve">2024-11-05</t>
  </si>
  <si>
    <t xml:space="preserve">596 ATLANTIC ST NE</t>
  </si>
  <si>
    <t xml:space="preserve">OH0015742986</t>
  </si>
  <si>
    <t xml:space="preserve">SPARKS</t>
  </si>
  <si>
    <t xml:space="preserve">RODERICK</t>
  </si>
  <si>
    <t xml:space="preserve">1971-10-15</t>
  </si>
  <si>
    <t xml:space="preserve">2020-07-20</t>
  </si>
  <si>
    <t xml:space="preserve">597 ATLANTIC ST NE</t>
  </si>
  <si>
    <t xml:space="preserve">OH0019016013</t>
  </si>
  <si>
    <t xml:space="preserve">CLAIBORNE</t>
  </si>
  <si>
    <t xml:space="preserve">GRAYLYN</t>
  </si>
  <si>
    <t xml:space="preserve">1971-08-18</t>
  </si>
  <si>
    <t xml:space="preserve">2018-08-11</t>
  </si>
  <si>
    <t xml:space="preserve">609 ATLANTIC ST NE</t>
  </si>
  <si>
    <t xml:space="preserve">OH0015780907</t>
  </si>
  <si>
    <t xml:space="preserve">WATHA</t>
  </si>
  <si>
    <t xml:space="preserve">1932-07-05</t>
  </si>
  <si>
    <t xml:space="preserve">2022-09-07</t>
  </si>
  <si>
    <t xml:space="preserve">OH0021201269</t>
  </si>
  <si>
    <t xml:space="preserve">CLAY</t>
  </si>
  <si>
    <t xml:space="preserve">CANDICE</t>
  </si>
  <si>
    <t xml:space="preserve">1988-10-06</t>
  </si>
  <si>
    <t xml:space="preserve">2019-07-30</t>
  </si>
  <si>
    <t xml:space="preserve">619 ATLANTIC ST NE</t>
  </si>
  <si>
    <t xml:space="preserve">OH0023635388</t>
  </si>
  <si>
    <t xml:space="preserve">NASIDKA</t>
  </si>
  <si>
    <t xml:space="preserve">BIANCA</t>
  </si>
  <si>
    <t xml:space="preserve">NORAH</t>
  </si>
  <si>
    <t xml:space="preserve">1997-07-20</t>
  </si>
  <si>
    <t xml:space="preserve">2023-11-09</t>
  </si>
  <si>
    <t xml:space="preserve">OH0024260107</t>
  </si>
  <si>
    <t xml:space="preserve">BLANK</t>
  </si>
  <si>
    <t xml:space="preserve">AMANDA</t>
  </si>
  <si>
    <t xml:space="preserve">1998-11-26</t>
  </si>
  <si>
    <t xml:space="preserve">2024-04-08</t>
  </si>
  <si>
    <t xml:space="preserve">761 ATLANTIC ST NE</t>
  </si>
  <si>
    <t xml:space="preserve">OH0024443060</t>
  </si>
  <si>
    <t xml:space="preserve">FANTO</t>
  </si>
  <si>
    <t xml:space="preserve">MICHAEL</t>
  </si>
  <si>
    <t xml:space="preserve">1999-06-25</t>
  </si>
  <si>
    <t xml:space="preserve">2024-09-12</t>
  </si>
  <si>
    <t xml:space="preserve">OH0022579690</t>
  </si>
  <si>
    <t xml:space="preserve">REEVES</t>
  </si>
  <si>
    <t xml:space="preserve">HOPE</t>
  </si>
  <si>
    <t xml:space="preserve">1995-05-18</t>
  </si>
  <si>
    <t xml:space="preserve">2024-08-21</t>
  </si>
  <si>
    <t xml:space="preserve">771 ATLANTIC ST NE</t>
  </si>
  <si>
    <t xml:space="preserve">OH0024452786</t>
  </si>
  <si>
    <t xml:space="preserve">ORIANI</t>
  </si>
  <si>
    <t xml:space="preserve">ALEXANDER</t>
  </si>
  <si>
    <t xml:space="preserve">ISAAC</t>
  </si>
  <si>
    <t xml:space="preserve">1992-12-03</t>
  </si>
  <si>
    <t xml:space="preserve">2017-10-12</t>
  </si>
  <si>
    <t xml:space="preserve">OH0024623830</t>
  </si>
  <si>
    <t xml:space="preserve">BALLENTINE</t>
  </si>
  <si>
    <t xml:space="preserve">1991-08-03</t>
  </si>
  <si>
    <t xml:space="preserve">2018-04-26</t>
  </si>
  <si>
    <t xml:space="preserve">781 ATLANTIC ST NE</t>
  </si>
  <si>
    <t xml:space="preserve">OH0015724886</t>
  </si>
  <si>
    <t xml:space="preserve">ELIZABETH</t>
  </si>
  <si>
    <t xml:space="preserve">1954-03-26</t>
  </si>
  <si>
    <t xml:space="preserve">2022-06-11</t>
  </si>
  <si>
    <t xml:space="preserve">OH0015731413</t>
  </si>
  <si>
    <t xml:space="preserve">JON</t>
  </si>
  <si>
    <t xml:space="preserve">1953-11-19</t>
  </si>
  <si>
    <t xml:space="preserve">2020-09-04</t>
  </si>
  <si>
    <t xml:space="preserve">OH0022442649</t>
  </si>
  <si>
    <t xml:space="preserve">MENDEZ</t>
  </si>
  <si>
    <t xml:space="preserve">CARLOS</t>
  </si>
  <si>
    <t xml:space="preserve">1970-07-14</t>
  </si>
  <si>
    <t xml:space="preserve">2014-06-19</t>
  </si>
  <si>
    <t xml:space="preserve">789 ATLANTIC ST NE</t>
  </si>
  <si>
    <t xml:space="preserve">OH0026422822</t>
  </si>
  <si>
    <t xml:space="preserve">BELICIA</t>
  </si>
  <si>
    <t xml:space="preserve">SUSANA</t>
  </si>
  <si>
    <t xml:space="preserve">2003-10-28</t>
  </si>
  <si>
    <t xml:space="preserve">2022-02-12</t>
  </si>
  <si>
    <t xml:space="preserve">OH0015754866</t>
  </si>
  <si>
    <t xml:space="preserve">KING</t>
  </si>
  <si>
    <t xml:space="preserve">DOROTHY</t>
  </si>
  <si>
    <t xml:space="preserve">1952-09-11</t>
  </si>
  <si>
    <t xml:space="preserve">2014-10-01</t>
  </si>
  <si>
    <t xml:space="preserve">823 ATLANTIC ST NE</t>
  </si>
  <si>
    <t xml:space="preserve">OH0018597223</t>
  </si>
  <si>
    <t xml:space="preserve">COE</t>
  </si>
  <si>
    <t xml:space="preserve">1975-01-28</t>
  </si>
  <si>
    <t xml:space="preserve">2005-01-31</t>
  </si>
  <si>
    <t xml:space="preserve">843 ATLANTIC ST NE</t>
  </si>
  <si>
    <t xml:space="preserve">OH0015813139</t>
  </si>
  <si>
    <t xml:space="preserve">BELL</t>
  </si>
  <si>
    <t xml:space="preserve">RENEE</t>
  </si>
  <si>
    <t xml:space="preserve">1968-10-21</t>
  </si>
  <si>
    <t xml:space="preserve">2017-10-21</t>
  </si>
  <si>
    <t xml:space="preserve">853 ATLANTIC ST NE</t>
  </si>
  <si>
    <t xml:space="preserve">OH0027081297</t>
  </si>
  <si>
    <t xml:space="preserve">AREVALO</t>
  </si>
  <si>
    <t xml:space="preserve">1957-11-08</t>
  </si>
  <si>
    <t xml:space="preserve">2023-11-13</t>
  </si>
  <si>
    <t xml:space="preserve">861 ATLANTIC ST NE</t>
  </si>
  <si>
    <t xml:space="preserve">OH0027582887</t>
  </si>
  <si>
    <t xml:space="preserve">RAECHEL</t>
  </si>
  <si>
    <t xml:space="preserve">1993-04-19</t>
  </si>
  <si>
    <t xml:space="preserve">2024-09-10</t>
  </si>
  <si>
    <t xml:space="preserve">OH0027571874</t>
  </si>
  <si>
    <t xml:space="preserve">GALBAN</t>
  </si>
  <si>
    <t xml:space="preserve">BRALLAN</t>
  </si>
  <si>
    <t xml:space="preserve">1991-01-05</t>
  </si>
  <si>
    <t xml:space="preserve">2024-09-09</t>
  </si>
  <si>
    <t xml:space="preserve">UNIT 861</t>
  </si>
  <si>
    <t xml:space="preserve">OH0020944040</t>
  </si>
  <si>
    <t xml:space="preserve">KEITH</t>
  </si>
  <si>
    <t xml:space="preserve">1990-09-16</t>
  </si>
  <si>
    <t xml:space="preserve">140 ATLANTIC ST NW</t>
  </si>
  <si>
    <t xml:space="preserve">OH0021854582</t>
  </si>
  <si>
    <t xml:space="preserve">JILL</t>
  </si>
  <si>
    <t xml:space="preserve">1979-09-05</t>
  </si>
  <si>
    <t xml:space="preserve">2019-11-19</t>
  </si>
  <si>
    <t xml:space="preserve">OH0022779428</t>
  </si>
  <si>
    <t xml:space="preserve">BRANTLEY</t>
  </si>
  <si>
    <t xml:space="preserve">DEAJA</t>
  </si>
  <si>
    <t xml:space="preserve">JANINE</t>
  </si>
  <si>
    <t xml:space="preserve">1996-04-08</t>
  </si>
  <si>
    <t xml:space="preserve">2016-08-09</t>
  </si>
  <si>
    <t xml:space="preserve">OH0026797245</t>
  </si>
  <si>
    <t xml:space="preserve">RAMSEY</t>
  </si>
  <si>
    <t xml:space="preserve">DELFORD</t>
  </si>
  <si>
    <t xml:space="preserve">1985-12-15</t>
  </si>
  <si>
    <t xml:space="preserve">2024-01-20</t>
  </si>
  <si>
    <t xml:space="preserve">142 ATLANTIC ST NW</t>
  </si>
  <si>
    <t xml:space="preserve">OH0027527435</t>
  </si>
  <si>
    <t xml:space="preserve">RAYMOND</t>
  </si>
  <si>
    <t xml:space="preserve">DEVAUGHN</t>
  </si>
  <si>
    <t xml:space="preserve">1989-08-30</t>
  </si>
  <si>
    <t xml:space="preserve">2024-08-12</t>
  </si>
  <si>
    <t xml:space="preserve">167 ATLANTIC ST NW</t>
  </si>
  <si>
    <t xml:space="preserve">OH0019753668</t>
  </si>
  <si>
    <t xml:space="preserve">CHANEY</t>
  </si>
  <si>
    <t xml:space="preserve">1989-12-10</t>
  </si>
  <si>
    <t xml:space="preserve">169 ATLANTIC ST NW</t>
  </si>
  <si>
    <t xml:space="preserve">OH0019559408</t>
  </si>
  <si>
    <t xml:space="preserve">QUINNTAYA</t>
  </si>
  <si>
    <t xml:space="preserve">1986-06-12</t>
  </si>
  <si>
    <t xml:space="preserve">2020-10-02</t>
  </si>
  <si>
    <t xml:space="preserve">OH0019825026</t>
  </si>
  <si>
    <t xml:space="preserve">JONES</t>
  </si>
  <si>
    <t xml:space="preserve">DEVON</t>
  </si>
  <si>
    <t xml:space="preserve">DEON</t>
  </si>
  <si>
    <t xml:space="preserve">1987-07-05</t>
  </si>
  <si>
    <t xml:space="preserve">174 ATLANTIC ST NW</t>
  </si>
  <si>
    <t xml:space="preserve">OH0015793441</t>
  </si>
  <si>
    <t xml:space="preserve">WOOD</t>
  </si>
  <si>
    <t xml:space="preserve">JESSICA</t>
  </si>
  <si>
    <t xml:space="preserve">1986-10-19</t>
  </si>
  <si>
    <t xml:space="preserve">2022-03-23</t>
  </si>
  <si>
    <t xml:space="preserve">OH0015693141</t>
  </si>
  <si>
    <t xml:space="preserve">LINDA</t>
  </si>
  <si>
    <t xml:space="preserve">1963-01-06</t>
  </si>
  <si>
    <t xml:space="preserve">1991-09-23</t>
  </si>
  <si>
    <t xml:space="preserve">182 ATLANTIC ST NW</t>
  </si>
  <si>
    <t xml:space="preserve">OH0015724955</t>
  </si>
  <si>
    <t xml:space="preserve">JOY</t>
  </si>
  <si>
    <t xml:space="preserve">1982-09-14</t>
  </si>
  <si>
    <t xml:space="preserve">2021-09-15</t>
  </si>
  <si>
    <t xml:space="preserve">185 ATLANTIC ST NW</t>
  </si>
  <si>
    <t xml:space="preserve">OH0026707736</t>
  </si>
  <si>
    <t xml:space="preserve">PAYNE</t>
  </si>
  <si>
    <t xml:space="preserve">JUELLE</t>
  </si>
  <si>
    <t xml:space="preserve">KELARA</t>
  </si>
  <si>
    <t xml:space="preserve">2004-10-01</t>
  </si>
  <si>
    <t xml:space="preserve">2022-10-07</t>
  </si>
  <si>
    <t xml:space="preserve">207 ATLANTIC ST NW</t>
  </si>
  <si>
    <t xml:space="preserve">OH0015729564</t>
  </si>
  <si>
    <t xml:space="preserve">STARLETT</t>
  </si>
  <si>
    <t xml:space="preserve">1985-08-29</t>
  </si>
  <si>
    <t xml:space="preserve">2023-11-28</t>
  </si>
  <si>
    <t xml:space="preserve">OH0026679017</t>
  </si>
  <si>
    <t xml:space="preserve">BINION</t>
  </si>
  <si>
    <t xml:space="preserve">STEVEN</t>
  </si>
  <si>
    <t xml:space="preserve">1985-09-27</t>
  </si>
  <si>
    <t xml:space="preserve">212 ATLANTIC ST NW</t>
  </si>
  <si>
    <t xml:space="preserve">OH0019082244</t>
  </si>
  <si>
    <t xml:space="preserve">1987-08-15</t>
  </si>
  <si>
    <t xml:space="preserve">OH0027250423</t>
  </si>
  <si>
    <t xml:space="preserve">MAY</t>
  </si>
  <si>
    <t xml:space="preserve">RAHESHA</t>
  </si>
  <si>
    <t xml:space="preserve">JANAYE MARIEL</t>
  </si>
  <si>
    <t xml:space="preserve">2005-12-29</t>
  </si>
  <si>
    <t xml:space="preserve">2025-04-03</t>
  </si>
  <si>
    <t xml:space="preserve">213 ATLANTIC ST NW</t>
  </si>
  <si>
    <t xml:space="preserve">OH0021782056</t>
  </si>
  <si>
    <t xml:space="preserve">RICE</t>
  </si>
  <si>
    <t xml:space="preserve">SAMANTHA</t>
  </si>
  <si>
    <t xml:space="preserve">1988-06-27</t>
  </si>
  <si>
    <t xml:space="preserve">2018-09-30</t>
  </si>
  <si>
    <t xml:space="preserve">221 ATLANTIC ST NW</t>
  </si>
  <si>
    <t xml:space="preserve">OH0026823840</t>
  </si>
  <si>
    <t xml:space="preserve">MOKE</t>
  </si>
  <si>
    <t xml:space="preserve">1966-05-25</t>
  </si>
  <si>
    <t xml:space="preserve">2023-02-15</t>
  </si>
  <si>
    <t xml:space="preserve">228 ATLANTIC ST NW</t>
  </si>
  <si>
    <t xml:space="preserve">OH0019196339</t>
  </si>
  <si>
    <t xml:space="preserve">FRYER</t>
  </si>
  <si>
    <t xml:space="preserve">PEGGY</t>
  </si>
  <si>
    <t xml:space="preserve">1958-06-30</t>
  </si>
  <si>
    <t xml:space="preserve">2008-10-06</t>
  </si>
  <si>
    <t xml:space="preserve">231 ATLANTIC ST NW</t>
  </si>
  <si>
    <t xml:space="preserve">OH0025373750</t>
  </si>
  <si>
    <t xml:space="preserve">PRATER</t>
  </si>
  <si>
    <t xml:space="preserve">LISA</t>
  </si>
  <si>
    <t xml:space="preserve">1965-12-26</t>
  </si>
  <si>
    <t xml:space="preserve">2024-12-13</t>
  </si>
  <si>
    <t xml:space="preserve">239 ATLANTIC ST NW</t>
  </si>
  <si>
    <t xml:space="preserve">OH0027469417</t>
  </si>
  <si>
    <t xml:space="preserve">NOLAN</t>
  </si>
  <si>
    <t xml:space="preserve">ROSS</t>
  </si>
  <si>
    <t xml:space="preserve">1991-04-19</t>
  </si>
  <si>
    <t xml:space="preserve">2024-07-30</t>
  </si>
  <si>
    <t xml:space="preserve">249 ATLANTIC ST NW</t>
  </si>
  <si>
    <t xml:space="preserve">OH0025685174</t>
  </si>
  <si>
    <t xml:space="preserve">BAKER</t>
  </si>
  <si>
    <t xml:space="preserve">BRANDI</t>
  </si>
  <si>
    <t xml:space="preserve">1984-08-26</t>
  </si>
  <si>
    <t xml:space="preserve">2020-07-29</t>
  </si>
  <si>
    <t xml:space="preserve">259 ATLANTIC ST NW</t>
  </si>
  <si>
    <t xml:space="preserve">OH0018586779</t>
  </si>
  <si>
    <t xml:space="preserve">LEDSOME</t>
  </si>
  <si>
    <t xml:space="preserve">THERESA</t>
  </si>
  <si>
    <t xml:space="preserve">P</t>
  </si>
  <si>
    <t xml:space="preserve">1973-03-12</t>
  </si>
  <si>
    <t xml:space="preserve">2016-06-15</t>
  </si>
  <si>
    <t xml:space="preserve">263 ATLANTIC ST NW</t>
  </si>
  <si>
    <t xml:space="preserve">OH0020963509</t>
  </si>
  <si>
    <t xml:space="preserve">SHELLEY</t>
  </si>
  <si>
    <t xml:space="preserve">1961-08-27</t>
  </si>
  <si>
    <t xml:space="preserve">2018-04-09</t>
  </si>
  <si>
    <t xml:space="preserve">264 ATLANTIC ST NW</t>
  </si>
  <si>
    <t xml:space="preserve">OH0026860179</t>
  </si>
  <si>
    <t xml:space="preserve">RODGERS</t>
  </si>
  <si>
    <t xml:space="preserve">CHAUCER</t>
  </si>
  <si>
    <t xml:space="preserve">HAWTHORNE CAIN</t>
  </si>
  <si>
    <t xml:space="preserve">2005-10-27</t>
  </si>
  <si>
    <t xml:space="preserve">2023-04-03</t>
  </si>
  <si>
    <t xml:space="preserve">318 ATLANTIC ST NW</t>
  </si>
  <si>
    <t xml:space="preserve">OH0025204697</t>
  </si>
  <si>
    <t xml:space="preserve">PLATT</t>
  </si>
  <si>
    <t xml:space="preserve">KASIN</t>
  </si>
  <si>
    <t xml:space="preserve">TROY</t>
  </si>
  <si>
    <t xml:space="preserve">2001-06-27</t>
  </si>
  <si>
    <t xml:space="preserve">2019-08-29</t>
  </si>
  <si>
    <t xml:space="preserve">OH0023520803</t>
  </si>
  <si>
    <t xml:space="preserve">NATALIE</t>
  </si>
  <si>
    <t xml:space="preserve">1980-01-01</t>
  </si>
  <si>
    <t xml:space="preserve">2023-09-14</t>
  </si>
  <si>
    <t xml:space="preserve">OH0027352021</t>
  </si>
  <si>
    <t xml:space="preserve">YOUNG MCARTHUR</t>
  </si>
  <si>
    <t xml:space="preserve">APRIL</t>
  </si>
  <si>
    <t xml:space="preserve">LASHARA</t>
  </si>
  <si>
    <t xml:space="preserve">1982-09-24</t>
  </si>
  <si>
    <t xml:space="preserve">2024-05-20</t>
  </si>
  <si>
    <t xml:space="preserve">320 ATLANTIC ST NW</t>
  </si>
  <si>
    <t xml:space="preserve">LOWR</t>
  </si>
  <si>
    <t xml:space="preserve">OH0023441393</t>
  </si>
  <si>
    <t xml:space="preserve">BLAIR</t>
  </si>
  <si>
    <t xml:space="preserve">ISIAH</t>
  </si>
  <si>
    <t xml:space="preserve">1997-10-27</t>
  </si>
  <si>
    <t xml:space="preserve">2022-11-30</t>
  </si>
  <si>
    <t xml:space="preserve">OH0020905276</t>
  </si>
  <si>
    <t xml:space="preserve">HARPER</t>
  </si>
  <si>
    <t xml:space="preserve">MAURINE</t>
  </si>
  <si>
    <t xml:space="preserve">DANIELLE</t>
  </si>
  <si>
    <t xml:space="preserve">1977-01-06</t>
  </si>
  <si>
    <t xml:space="preserve">2020-02-18</t>
  </si>
  <si>
    <t xml:space="preserve">321 ATLANTIC ST NW</t>
  </si>
  <si>
    <t xml:space="preserve">OH0021648998</t>
  </si>
  <si>
    <t xml:space="preserve">GUCHO</t>
  </si>
  <si>
    <t xml:space="preserve">1986-08-23</t>
  </si>
  <si>
    <t xml:space="preserve">2011-10-17</t>
  </si>
  <si>
    <t xml:space="preserve">OH0023446117</t>
  </si>
  <si>
    <t xml:space="preserve">MCCRORY</t>
  </si>
  <si>
    <t xml:space="preserve">1962-08-16</t>
  </si>
  <si>
    <t xml:space="preserve">2017-09-21</t>
  </si>
  <si>
    <t xml:space="preserve">OH0023255137</t>
  </si>
  <si>
    <t xml:space="preserve">RONQUILLO</t>
  </si>
  <si>
    <t xml:space="preserve">MONA</t>
  </si>
  <si>
    <t xml:space="preserve">BALLARD</t>
  </si>
  <si>
    <t xml:space="preserve">1942-03-30</t>
  </si>
  <si>
    <t xml:space="preserve">2020-02-15</t>
  </si>
  <si>
    <t xml:space="preserve">BLDG N</t>
  </si>
  <si>
    <t xml:space="preserve">OH0021798811</t>
  </si>
  <si>
    <t xml:space="preserve">NETTLES</t>
  </si>
  <si>
    <t xml:space="preserve">CHERRON</t>
  </si>
  <si>
    <t xml:space="preserve">1992-05-19</t>
  </si>
  <si>
    <t xml:space="preserve">2017-01-27</t>
  </si>
  <si>
    <t xml:space="preserve">350 ATLANTIC ST NW</t>
  </si>
  <si>
    <t xml:space="preserve">OH0021694321</t>
  </si>
  <si>
    <t xml:space="preserve">DAVONNA</t>
  </si>
  <si>
    <t xml:space="preserve">1991-03-17</t>
  </si>
  <si>
    <t xml:space="preserve">2023-03-30</t>
  </si>
  <si>
    <t xml:space="preserve">OH0024972248</t>
  </si>
  <si>
    <t xml:space="preserve">DAVIS</t>
  </si>
  <si>
    <t xml:space="preserve">CARLISA</t>
  </si>
  <si>
    <t xml:space="preserve">1997-10-10</t>
  </si>
  <si>
    <t xml:space="preserve">2024-11-08</t>
  </si>
  <si>
    <t xml:space="preserve">375 ATLANTIC ST NW</t>
  </si>
  <si>
    <t xml:space="preserve">OH0026523268</t>
  </si>
  <si>
    <t xml:space="preserve">1973-12-16</t>
  </si>
  <si>
    <t xml:space="preserve">2022-06-24</t>
  </si>
  <si>
    <t xml:space="preserve">395 ATLANTIC ST NW</t>
  </si>
  <si>
    <t xml:space="preserve">OH0015716010</t>
  </si>
  <si>
    <t xml:space="preserve">RAYNOR</t>
  </si>
  <si>
    <t xml:space="preserve">DIANE</t>
  </si>
  <si>
    <t xml:space="preserve">1953-08-06</t>
  </si>
  <si>
    <t xml:space="preserve">2021-02-02</t>
  </si>
  <si>
    <t xml:space="preserve">452 BANK ST NE</t>
  </si>
  <si>
    <t xml:space="preserve">OH0027518670</t>
  </si>
  <si>
    <t xml:space="preserve">MARTIN</t>
  </si>
  <si>
    <t xml:space="preserve">DRUCILLA</t>
  </si>
  <si>
    <t xml:space="preserve">1992-11-20</t>
  </si>
  <si>
    <t xml:space="preserve">2024-08-06</t>
  </si>
  <si>
    <t xml:space="preserve">472 BANK ST NE</t>
  </si>
  <si>
    <t xml:space="preserve">OH0027918378</t>
  </si>
  <si>
    <t xml:space="preserve">IYSIS</t>
  </si>
  <si>
    <t xml:space="preserve">MAXINE</t>
  </si>
  <si>
    <t xml:space="preserve">2004-03-17</t>
  </si>
  <si>
    <t xml:space="preserve">2025-03-21</t>
  </si>
  <si>
    <t xml:space="preserve">OH0027222822</t>
  </si>
  <si>
    <t xml:space="preserve">BUTCHER</t>
  </si>
  <si>
    <t xml:space="preserve">CURTIS</t>
  </si>
  <si>
    <t xml:space="preserve">HAROLD</t>
  </si>
  <si>
    <t xml:space="preserve">1961-12-11</t>
  </si>
  <si>
    <t xml:space="preserve">2024-01-24</t>
  </si>
  <si>
    <t xml:space="preserve">476 BANK ST NE</t>
  </si>
  <si>
    <t xml:space="preserve">OH0026427525</t>
  </si>
  <si>
    <t xml:space="preserve">JURA</t>
  </si>
  <si>
    <t xml:space="preserve">1972-12-20</t>
  </si>
  <si>
    <t xml:space="preserve">2022-02-25</t>
  </si>
  <si>
    <t xml:space="preserve">506 BANK ST NE</t>
  </si>
  <si>
    <t xml:space="preserve">OH0027130661</t>
  </si>
  <si>
    <t xml:space="preserve">JOHNSON</t>
  </si>
  <si>
    <t xml:space="preserve">ALLAN</t>
  </si>
  <si>
    <t xml:space="preserve">1975-08-12</t>
  </si>
  <si>
    <t xml:space="preserve">2023-10-31</t>
  </si>
  <si>
    <t xml:space="preserve">516 BANK ST NE</t>
  </si>
  <si>
    <t xml:space="preserve">OH0027271505</t>
  </si>
  <si>
    <t xml:space="preserve">HAMRICK</t>
  </si>
  <si>
    <t xml:space="preserve">R SUE</t>
  </si>
  <si>
    <t xml:space="preserve">1950-04-08</t>
  </si>
  <si>
    <t xml:space="preserve">2024-03-21</t>
  </si>
  <si>
    <t xml:space="preserve">524 BANK ST NE</t>
  </si>
  <si>
    <t xml:space="preserve">OH0027352031</t>
  </si>
  <si>
    <t xml:space="preserve">BROWNING</t>
  </si>
  <si>
    <t xml:space="preserve">LAURA</t>
  </si>
  <si>
    <t xml:space="preserve">1962-03-06</t>
  </si>
  <si>
    <t xml:space="preserve">OH0026262424</t>
  </si>
  <si>
    <t xml:space="preserve">MCCAULEY</t>
  </si>
  <si>
    <t xml:space="preserve">RILEE</t>
  </si>
  <si>
    <t xml:space="preserve">KAY</t>
  </si>
  <si>
    <t xml:space="preserve">2001-03-04</t>
  </si>
  <si>
    <t xml:space="preserve">534 BANK ST NE</t>
  </si>
  <si>
    <t xml:space="preserve">OH0021151800</t>
  </si>
  <si>
    <t xml:space="preserve">UNDERWOOD</t>
  </si>
  <si>
    <t xml:space="preserve">NASTAJIAH</t>
  </si>
  <si>
    <t xml:space="preserve">1989-08-14</t>
  </si>
  <si>
    <t xml:space="preserve">2015-06-09</t>
  </si>
  <si>
    <t xml:space="preserve">548 BANK ST NE</t>
  </si>
  <si>
    <t xml:space="preserve">OH0019510866</t>
  </si>
  <si>
    <t xml:space="preserve">RAIMEY</t>
  </si>
  <si>
    <t xml:space="preserve">CYGANNA</t>
  </si>
  <si>
    <t xml:space="preserve">1990-01-16</t>
  </si>
  <si>
    <t xml:space="preserve">2024-01-13</t>
  </si>
  <si>
    <t xml:space="preserve">OH0026908250</t>
  </si>
  <si>
    <t xml:space="preserve">MATLOCK</t>
  </si>
  <si>
    <t xml:space="preserve">SHOUN</t>
  </si>
  <si>
    <t xml:space="preserve">DEMARLO</t>
  </si>
  <si>
    <t xml:space="preserve">1969-06-23</t>
  </si>
  <si>
    <t xml:space="preserve">OH0020062356</t>
  </si>
  <si>
    <t xml:space="preserve">COTTLE</t>
  </si>
  <si>
    <t xml:space="preserve">DOMONIQUE</t>
  </si>
  <si>
    <t xml:space="preserve">1987-02-23</t>
  </si>
  <si>
    <t xml:space="preserve">2019-10-24</t>
  </si>
  <si>
    <t xml:space="preserve">566 BANK ST NE</t>
  </si>
  <si>
    <t xml:space="preserve">OH0027324122</t>
  </si>
  <si>
    <t xml:space="preserve">NAKIA</t>
  </si>
  <si>
    <t xml:space="preserve">ALANA</t>
  </si>
  <si>
    <t xml:space="preserve">2006-03-31</t>
  </si>
  <si>
    <t xml:space="preserve">2024-04-19</t>
  </si>
  <si>
    <t xml:space="preserve">OH0015814208</t>
  </si>
  <si>
    <t xml:space="preserve">WRIGHT</t>
  </si>
  <si>
    <t xml:space="preserve">1979-02-19</t>
  </si>
  <si>
    <t xml:space="preserve">2014-05-13</t>
  </si>
  <si>
    <t xml:space="preserve">568 BANK ST NE</t>
  </si>
  <si>
    <t xml:space="preserve">OH0027701151</t>
  </si>
  <si>
    <t xml:space="preserve">SCHLOSSER</t>
  </si>
  <si>
    <t xml:space="preserve">RUDOLPH</t>
  </si>
  <si>
    <t xml:space="preserve">1963-09-23</t>
  </si>
  <si>
    <t xml:space="preserve">576 BANK ST NE</t>
  </si>
  <si>
    <t xml:space="preserve">OH0015776305</t>
  </si>
  <si>
    <t xml:space="preserve">1966-07-05</t>
  </si>
  <si>
    <t xml:space="preserve">2019-06-17</t>
  </si>
  <si>
    <t xml:space="preserve">OH0020954943</t>
  </si>
  <si>
    <t xml:space="preserve">1980-08-20</t>
  </si>
  <si>
    <t xml:space="preserve">2005-09-01</t>
  </si>
  <si>
    <t xml:space="preserve">144 BELMONT AVE NE</t>
  </si>
  <si>
    <t xml:space="preserve">OH0022358973</t>
  </si>
  <si>
    <t xml:space="preserve">TENNEY</t>
  </si>
  <si>
    <t xml:space="preserve">BRIAN</t>
  </si>
  <si>
    <t xml:space="preserve">1961-10-09</t>
  </si>
  <si>
    <t xml:space="preserve">152 BELMONT AVE NE</t>
  </si>
  <si>
    <t xml:space="preserve">OH0022579703</t>
  </si>
  <si>
    <t xml:space="preserve">PEYATT</t>
  </si>
  <si>
    <t xml:space="preserve">KYLE</t>
  </si>
  <si>
    <t xml:space="preserve">1995-06-07</t>
  </si>
  <si>
    <t xml:space="preserve">2021-09-30</t>
  </si>
  <si>
    <t xml:space="preserve">160 BELMONT AVE NE</t>
  </si>
  <si>
    <t xml:space="preserve">OH0015712845</t>
  </si>
  <si>
    <t xml:space="preserve">MACK</t>
  </si>
  <si>
    <t xml:space="preserve">1967-01-26</t>
  </si>
  <si>
    <t xml:space="preserve">2012-10-02</t>
  </si>
  <si>
    <t xml:space="preserve">OH0027890506</t>
  </si>
  <si>
    <t xml:space="preserve">MICHELLE</t>
  </si>
  <si>
    <t xml:space="preserve">RANA</t>
  </si>
  <si>
    <t xml:space="preserve">1981-01-26</t>
  </si>
  <si>
    <t xml:space="preserve">2025-02-05</t>
  </si>
  <si>
    <t xml:space="preserve">OH0027890516</t>
  </si>
  <si>
    <t xml:space="preserve">KANSAS</t>
  </si>
  <si>
    <t xml:space="preserve">2007-01-09</t>
  </si>
  <si>
    <t xml:space="preserve">OH0023150139</t>
  </si>
  <si>
    <t xml:space="preserve">MEADOWS</t>
  </si>
  <si>
    <t xml:space="preserve">BRIANNA</t>
  </si>
  <si>
    <t xml:space="preserve">TAKASHA</t>
  </si>
  <si>
    <t xml:space="preserve">1997-01-31</t>
  </si>
  <si>
    <t xml:space="preserve">2017-08-23</t>
  </si>
  <si>
    <t xml:space="preserve">171 BELMONT AVE NE</t>
  </si>
  <si>
    <t xml:space="preserve">OH0026902089</t>
  </si>
  <si>
    <t xml:space="preserve">ANJALIK</t>
  </si>
  <si>
    <t xml:space="preserve">JOI</t>
  </si>
  <si>
    <t xml:space="preserve">2003-01-07</t>
  </si>
  <si>
    <t xml:space="preserve">2023-04-09</t>
  </si>
  <si>
    <t xml:space="preserve">180 BELMONT AVE NE</t>
  </si>
  <si>
    <t xml:space="preserve">OH0027468497</t>
  </si>
  <si>
    <t xml:space="preserve">SHAVER</t>
  </si>
  <si>
    <t xml:space="preserve">DYLON</t>
  </si>
  <si>
    <t xml:space="preserve">1996-10-24</t>
  </si>
  <si>
    <t xml:space="preserve">2024-07-24</t>
  </si>
  <si>
    <t xml:space="preserve">OH0021513933</t>
  </si>
  <si>
    <t xml:space="preserve">MINDY</t>
  </si>
  <si>
    <t xml:space="preserve">1979-08-11</t>
  </si>
  <si>
    <t xml:space="preserve">2023-06-20</t>
  </si>
  <si>
    <t xml:space="preserve">OH0027702291</t>
  </si>
  <si>
    <t xml:space="preserve">HUBBARD</t>
  </si>
  <si>
    <t xml:space="preserve">ROBBIN</t>
  </si>
  <si>
    <t xml:space="preserve">1957-06-08</t>
  </si>
  <si>
    <t xml:space="preserve">2024-07-29</t>
  </si>
  <si>
    <t xml:space="preserve">188 BELMONT AVE NE</t>
  </si>
  <si>
    <t xml:space="preserve">OH0027702292</t>
  </si>
  <si>
    <t xml:space="preserve">1998-04-10</t>
  </si>
  <si>
    <t xml:space="preserve">OH0019967113</t>
  </si>
  <si>
    <t xml:space="preserve">CLAYTON</t>
  </si>
  <si>
    <t xml:space="preserve">1952-06-26</t>
  </si>
  <si>
    <t xml:space="preserve">2008-08-08</t>
  </si>
  <si>
    <t xml:space="preserve">OH0018593207</t>
  </si>
  <si>
    <t xml:space="preserve">JACKSON</t>
  </si>
  <si>
    <t xml:space="preserve">HARDY</t>
  </si>
  <si>
    <t xml:space="preserve">III</t>
  </si>
  <si>
    <t xml:space="preserve">1967-03-04</t>
  </si>
  <si>
    <t xml:space="preserve">194 BELMONT AVE NE</t>
  </si>
  <si>
    <t xml:space="preserve">OH0015759676</t>
  </si>
  <si>
    <t xml:space="preserve">PAULA</t>
  </si>
  <si>
    <t xml:space="preserve">JEAN</t>
  </si>
  <si>
    <t xml:space="preserve">1962-06-22</t>
  </si>
  <si>
    <t xml:space="preserve">2025-01-24</t>
  </si>
  <si>
    <t xml:space="preserve">OH0015804279</t>
  </si>
  <si>
    <t xml:space="preserve">PATTERSON</t>
  </si>
  <si>
    <t xml:space="preserve">CANDESE</t>
  </si>
  <si>
    <t xml:space="preserve">1981-05-01</t>
  </si>
  <si>
    <t xml:space="preserve">2019-11-26</t>
  </si>
  <si>
    <t xml:space="preserve">207 BELMONT AVE NE</t>
  </si>
  <si>
    <t xml:space="preserve">OH0019752727</t>
  </si>
  <si>
    <t xml:space="preserve">1969-09-05</t>
  </si>
  <si>
    <t xml:space="preserve">2023-07-11</t>
  </si>
  <si>
    <t xml:space="preserve">223 BELMONT AVE NE</t>
  </si>
  <si>
    <t xml:space="preserve">OH0023253683</t>
  </si>
  <si>
    <t xml:space="preserve">SHATASHA</t>
  </si>
  <si>
    <t xml:space="preserve">1992-09-18</t>
  </si>
  <si>
    <t xml:space="preserve">2015-08-14</t>
  </si>
  <si>
    <t xml:space="preserve">OH0023070156</t>
  </si>
  <si>
    <t xml:space="preserve">FOLTZ</t>
  </si>
  <si>
    <t xml:space="preserve">PETER</t>
  </si>
  <si>
    <t xml:space="preserve">1964-07-10</t>
  </si>
  <si>
    <t xml:space="preserve">2019-07-29</t>
  </si>
  <si>
    <t xml:space="preserve">232 BELMONT AVE NE</t>
  </si>
  <si>
    <t xml:space="preserve">OH0015778524</t>
  </si>
  <si>
    <t xml:space="preserve">BANISH</t>
  </si>
  <si>
    <t xml:space="preserve">CELIA</t>
  </si>
  <si>
    <t xml:space="preserve">1964-06-26</t>
  </si>
  <si>
    <t xml:space="preserve">253 BELMONT AVE NE</t>
  </si>
  <si>
    <t xml:space="preserve">OH0026168377</t>
  </si>
  <si>
    <t xml:space="preserve">SWEASY</t>
  </si>
  <si>
    <t xml:space="preserve">JACOB</t>
  </si>
  <si>
    <t xml:space="preserve">WESTON</t>
  </si>
  <si>
    <t xml:space="preserve">2002-09-18</t>
  </si>
  <si>
    <t xml:space="preserve">2021-04-02</t>
  </si>
  <si>
    <t xml:space="preserve">OH0027169828</t>
  </si>
  <si>
    <t xml:space="preserve">NATHON</t>
  </si>
  <si>
    <t xml:space="preserve">2002-06-25</t>
  </si>
  <si>
    <t xml:space="preserve">2023-10-17</t>
  </si>
  <si>
    <t xml:space="preserve">254 BELMONT AVE NE</t>
  </si>
  <si>
    <t xml:space="preserve">OH0027602039</t>
  </si>
  <si>
    <t xml:space="preserve">MCDANIEL</t>
  </si>
  <si>
    <t xml:space="preserve">TODD</t>
  </si>
  <si>
    <t xml:space="preserve">1987-02-16</t>
  </si>
  <si>
    <t xml:space="preserve">258 BELMONT AVE NE</t>
  </si>
  <si>
    <t xml:space="preserve">OH0015732920</t>
  </si>
  <si>
    <t xml:space="preserve">STEC</t>
  </si>
  <si>
    <t xml:space="preserve">WALTER</t>
  </si>
  <si>
    <t xml:space="preserve">IV</t>
  </si>
  <si>
    <t xml:space="preserve">1971-03-06</t>
  </si>
  <si>
    <t xml:space="preserve">265 BELMONT AVE NE</t>
  </si>
  <si>
    <t xml:space="preserve">OH0015756995</t>
  </si>
  <si>
    <t xml:space="preserve">MCGILL</t>
  </si>
  <si>
    <t xml:space="preserve">JENNIFER</t>
  </si>
  <si>
    <t xml:space="preserve">1977-02-23</t>
  </si>
  <si>
    <t xml:space="preserve">2024-11-19</t>
  </si>
  <si>
    <t xml:space="preserve">OH0024703417</t>
  </si>
  <si>
    <t xml:space="preserve">TATUM</t>
  </si>
  <si>
    <t xml:space="preserve">CHAMPELL</t>
  </si>
  <si>
    <t xml:space="preserve">LADAWN MARIE</t>
  </si>
  <si>
    <t xml:space="preserve">1991-04-14</t>
  </si>
  <si>
    <t xml:space="preserve">2025-02-12</t>
  </si>
  <si>
    <t xml:space="preserve">270 BELMONT AVE NE</t>
  </si>
  <si>
    <t xml:space="preserve">OH0025046074</t>
  </si>
  <si>
    <t xml:space="preserve">MICK</t>
  </si>
  <si>
    <t xml:space="preserve">TAYLOR</t>
  </si>
  <si>
    <t xml:space="preserve">1993-12-08</t>
  </si>
  <si>
    <t xml:space="preserve">2019-03-30</t>
  </si>
  <si>
    <t xml:space="preserve">275 BELMONT AVE NE</t>
  </si>
  <si>
    <t xml:space="preserve">OH0015743903</t>
  </si>
  <si>
    <t xml:space="preserve">DELJUANE</t>
  </si>
  <si>
    <t xml:space="preserve">1985-10-05</t>
  </si>
  <si>
    <t xml:space="preserve">2020-10-04</t>
  </si>
  <si>
    <t xml:space="preserve">300 BELMONT AVE NE</t>
  </si>
  <si>
    <t xml:space="preserve">OH0023643890</t>
  </si>
  <si>
    <t xml:space="preserve">KURTZ</t>
  </si>
  <si>
    <t xml:space="preserve">1998-05-20</t>
  </si>
  <si>
    <t xml:space="preserve">2016-03-29</t>
  </si>
  <si>
    <t xml:space="preserve">429 BELMONT AVE NE</t>
  </si>
  <si>
    <t xml:space="preserve">OH0015727223</t>
  </si>
  <si>
    <t xml:space="preserve">IRENE</t>
  </si>
  <si>
    <t xml:space="preserve">1969-08-12</t>
  </si>
  <si>
    <t xml:space="preserve">1988-10-07</t>
  </si>
  <si>
    <t xml:space="preserve">OH0015724143</t>
  </si>
  <si>
    <t xml:space="preserve">PAUL</t>
  </si>
  <si>
    <t xml:space="preserve">1988-08-17</t>
  </si>
  <si>
    <t xml:space="preserve">OH0027920063</t>
  </si>
  <si>
    <t xml:space="preserve">FORTSCH</t>
  </si>
  <si>
    <t xml:space="preserve">1978-07-05</t>
  </si>
  <si>
    <t xml:space="preserve">2025-03-19</t>
  </si>
  <si>
    <t xml:space="preserve">439 BELMONT AVE NE</t>
  </si>
  <si>
    <t xml:space="preserve">OH0023347448</t>
  </si>
  <si>
    <t xml:space="preserve">TABOR</t>
  </si>
  <si>
    <t xml:space="preserve">DONNA</t>
  </si>
  <si>
    <t xml:space="preserve">1960-12-18</t>
  </si>
  <si>
    <t xml:space="preserve">2015-10-04</t>
  </si>
  <si>
    <t xml:space="preserve">449 BELMONT AVE NE</t>
  </si>
  <si>
    <t xml:space="preserve">OH0025154452</t>
  </si>
  <si>
    <t xml:space="preserve">MONTGOMERY</t>
  </si>
  <si>
    <t xml:space="preserve">KALA</t>
  </si>
  <si>
    <t xml:space="preserve">1992-09-21</t>
  </si>
  <si>
    <t xml:space="preserve">471 BELMONT AVE NE</t>
  </si>
  <si>
    <t xml:space="preserve">OH0015808491</t>
  </si>
  <si>
    <t xml:space="preserve">SELL</t>
  </si>
  <si>
    <t xml:space="preserve">TAMMY</t>
  </si>
  <si>
    <t xml:space="preserve">1975-03-30</t>
  </si>
  <si>
    <t xml:space="preserve">2010-07-15</t>
  </si>
  <si>
    <t xml:space="preserve">481 BELMONT AVE NE</t>
  </si>
  <si>
    <t xml:space="preserve">OH0027224119</t>
  </si>
  <si>
    <t xml:space="preserve">BENNETT</t>
  </si>
  <si>
    <t xml:space="preserve">NICHOLE</t>
  </si>
  <si>
    <t xml:space="preserve">1989-05-03</t>
  </si>
  <si>
    <t xml:space="preserve">2024-01-12</t>
  </si>
  <si>
    <t xml:space="preserve">519 BELMONT AVE NE</t>
  </si>
  <si>
    <t xml:space="preserve">OH0023246361</t>
  </si>
  <si>
    <t xml:space="preserve">UPSHIR</t>
  </si>
  <si>
    <t xml:space="preserve">JONATHAN</t>
  </si>
  <si>
    <t xml:space="preserve">1971-04-24</t>
  </si>
  <si>
    <t xml:space="preserve">543 BELMONT AVE NE</t>
  </si>
  <si>
    <t xml:space="preserve">OH0027564907</t>
  </si>
  <si>
    <t xml:space="preserve">BROOMFIELD</t>
  </si>
  <si>
    <t xml:space="preserve">ABBOTT</t>
  </si>
  <si>
    <t xml:space="preserve">1989-05-28</t>
  </si>
  <si>
    <t xml:space="preserve">565 BELMONT AVE NE</t>
  </si>
  <si>
    <t xml:space="preserve">OH0027564888</t>
  </si>
  <si>
    <t xml:space="preserve">1992-06-23</t>
  </si>
  <si>
    <t xml:space="preserve">2024-10-26</t>
  </si>
  <si>
    <t xml:space="preserve">OH0022440760</t>
  </si>
  <si>
    <t xml:space="preserve">LATESHA</t>
  </si>
  <si>
    <t xml:space="preserve">1974-12-23</t>
  </si>
  <si>
    <t xml:space="preserve">2024-09-13</t>
  </si>
  <si>
    <t xml:space="preserve">575 BELMONT AVE NE</t>
  </si>
  <si>
    <t xml:space="preserve">OH0015763777</t>
  </si>
  <si>
    <t xml:space="preserve">ERNEST</t>
  </si>
  <si>
    <t xml:space="preserve">1969-01-23</t>
  </si>
  <si>
    <t xml:space="preserve">OH0022926907</t>
  </si>
  <si>
    <t xml:space="preserve">MANSFIELD</t>
  </si>
  <si>
    <t xml:space="preserve">DAQUAN</t>
  </si>
  <si>
    <t xml:space="preserve">LAVELLE</t>
  </si>
  <si>
    <t xml:space="preserve">1991-10-22</t>
  </si>
  <si>
    <t xml:space="preserve">2018-12-13</t>
  </si>
  <si>
    <t xml:space="preserve">OH0027510356</t>
  </si>
  <si>
    <t xml:space="preserve">MILLESON</t>
  </si>
  <si>
    <t xml:space="preserve">1986-03-27</t>
  </si>
  <si>
    <t xml:space="preserve">OH0020073020</t>
  </si>
  <si>
    <t xml:space="preserve">RITCHEY</t>
  </si>
  <si>
    <t xml:space="preserve">ERIN</t>
  </si>
  <si>
    <t xml:space="preserve">1990-11-04</t>
  </si>
  <si>
    <t xml:space="preserve">2015-09-15</t>
  </si>
  <si>
    <t xml:space="preserve">OH0020991367</t>
  </si>
  <si>
    <t xml:space="preserve">REHAK</t>
  </si>
  <si>
    <t xml:space="preserve">MARTHA</t>
  </si>
  <si>
    <t xml:space="preserve">1934-03-25</t>
  </si>
  <si>
    <t xml:space="preserve">2010-03-05</t>
  </si>
  <si>
    <t xml:space="preserve">583 BELMONT AVE NE</t>
  </si>
  <si>
    <t xml:space="preserve">OH0023459336</t>
  </si>
  <si>
    <t xml:space="preserve">KILDOW</t>
  </si>
  <si>
    <t xml:space="preserve">RAMSAY</t>
  </si>
  <si>
    <t xml:space="preserve">1984-10-17</t>
  </si>
  <si>
    <t xml:space="preserve">2016-09-05</t>
  </si>
  <si>
    <t xml:space="preserve">591 BELMONT AVE NE</t>
  </si>
  <si>
    <t xml:space="preserve">OH0023843012</t>
  </si>
  <si>
    <t xml:space="preserve">ERIC</t>
  </si>
  <si>
    <t xml:space="preserve">SCOT</t>
  </si>
  <si>
    <t xml:space="preserve">1982-03-27</t>
  </si>
  <si>
    <t xml:space="preserve">2016-08-17</t>
  </si>
  <si>
    <t xml:space="preserve">OH0015698171</t>
  </si>
  <si>
    <t xml:space="preserve">STARR</t>
  </si>
  <si>
    <t xml:space="preserve">VERONICA</t>
  </si>
  <si>
    <t xml:space="preserve">1965-08-07</t>
  </si>
  <si>
    <t xml:space="preserve">1988-08-24</t>
  </si>
  <si>
    <t xml:space="preserve">599 BELMONT AVE NE</t>
  </si>
  <si>
    <t xml:space="preserve">OH0015728664</t>
  </si>
  <si>
    <t xml:space="preserve">GERALD</t>
  </si>
  <si>
    <t xml:space="preserve">1956-08-11</t>
  </si>
  <si>
    <t xml:space="preserve">1989-03-14</t>
  </si>
  <si>
    <t xml:space="preserve">OH0024094497</t>
  </si>
  <si>
    <t xml:space="preserve">MARC</t>
  </si>
  <si>
    <t xml:space="preserve">1966-10-02</t>
  </si>
  <si>
    <t xml:space="preserve">2016-10-02</t>
  </si>
  <si>
    <t xml:space="preserve">611 BELMONT AVE NE</t>
  </si>
  <si>
    <t xml:space="preserve">OH0024699298</t>
  </si>
  <si>
    <t xml:space="preserve">HUNT</t>
  </si>
  <si>
    <t xml:space="preserve">KATHRYN</t>
  </si>
  <si>
    <t xml:space="preserve">1971-12-25</t>
  </si>
  <si>
    <t xml:space="preserve">2018-07-20</t>
  </si>
  <si>
    <t xml:space="preserve">OH0024808662</t>
  </si>
  <si>
    <t xml:space="preserve">STEVENS</t>
  </si>
  <si>
    <t xml:space="preserve">TREY</t>
  </si>
  <si>
    <t xml:space="preserve">LEE EDWARD</t>
  </si>
  <si>
    <t xml:space="preserve">2000-01-13</t>
  </si>
  <si>
    <t xml:space="preserve">2018-09-18</t>
  </si>
  <si>
    <t xml:space="preserve">OH0015802646</t>
  </si>
  <si>
    <t xml:space="preserve">TALANCA</t>
  </si>
  <si>
    <t xml:space="preserve">BENJAMIN</t>
  </si>
  <si>
    <t xml:space="preserve">JOHN</t>
  </si>
  <si>
    <t xml:space="preserve">1984-12-25</t>
  </si>
  <si>
    <t xml:space="preserve">2024-04-01</t>
  </si>
  <si>
    <t xml:space="preserve">132 BELMONT AVE NW</t>
  </si>
  <si>
    <t xml:space="preserve">OH0019538176</t>
  </si>
  <si>
    <t xml:space="preserve">TILTON</t>
  </si>
  <si>
    <t xml:space="preserve">1971-08-30</t>
  </si>
  <si>
    <t xml:space="preserve">134 BELMONT AVE NW</t>
  </si>
  <si>
    <t xml:space="preserve">OH0015799779</t>
  </si>
  <si>
    <t xml:space="preserve">REGINA</t>
  </si>
  <si>
    <t xml:space="preserve">1968-06-08</t>
  </si>
  <si>
    <t xml:space="preserve">2022-08-23</t>
  </si>
  <si>
    <t xml:space="preserve">142 BELMONT AVE NW</t>
  </si>
  <si>
    <t xml:space="preserve">OH0023033953</t>
  </si>
  <si>
    <t xml:space="preserve">CAITLIN</t>
  </si>
  <si>
    <t xml:space="preserve">JOYCE</t>
  </si>
  <si>
    <t xml:space="preserve">1996-09-01</t>
  </si>
  <si>
    <t xml:space="preserve">2025-06-03</t>
  </si>
  <si>
    <t xml:space="preserve">144 BELMONT AVE NW</t>
  </si>
  <si>
    <t xml:space="preserve">OH0023940724</t>
  </si>
  <si>
    <t xml:space="preserve">DANKO</t>
  </si>
  <si>
    <t xml:space="preserve">GABRIELLE</t>
  </si>
  <si>
    <t xml:space="preserve">1959-09-09</t>
  </si>
  <si>
    <t xml:space="preserve">2023-07-18</t>
  </si>
  <si>
    <t xml:space="preserve">OH0026734390</t>
  </si>
  <si>
    <t xml:space="preserve">BARROW</t>
  </si>
  <si>
    <t xml:space="preserve">2003-06-04</t>
  </si>
  <si>
    <t xml:space="preserve">2025-05-04</t>
  </si>
  <si>
    <t xml:space="preserve">171 BELMONT AVE NW</t>
  </si>
  <si>
    <t xml:space="preserve">OH0018591714</t>
  </si>
  <si>
    <t xml:space="preserve">CRIST</t>
  </si>
  <si>
    <t xml:space="preserve">STACEY</t>
  </si>
  <si>
    <t xml:space="preserve">1973-08-07</t>
  </si>
  <si>
    <t xml:space="preserve">2020-08-11</t>
  </si>
  <si>
    <t xml:space="preserve">OH0025361678</t>
  </si>
  <si>
    <t xml:space="preserve">SILVA</t>
  </si>
  <si>
    <t xml:space="preserve">DOREEN</t>
  </si>
  <si>
    <t xml:space="preserve">1961-11-26</t>
  </si>
  <si>
    <t xml:space="preserve">2019-11-04</t>
  </si>
  <si>
    <t xml:space="preserve">174 BELMONT AVE NW</t>
  </si>
  <si>
    <t xml:space="preserve">OH0025573055</t>
  </si>
  <si>
    <t xml:space="preserve">CANDIDO</t>
  </si>
  <si>
    <t xml:space="preserve">RAMON</t>
  </si>
  <si>
    <t xml:space="preserve">1999-09-15</t>
  </si>
  <si>
    <t xml:space="preserve">2020-03-05</t>
  </si>
  <si>
    <t xml:space="preserve">OH0021361051</t>
  </si>
  <si>
    <t xml:space="preserve">BRYANT</t>
  </si>
  <si>
    <t xml:space="preserve">LESLIE</t>
  </si>
  <si>
    <t xml:space="preserve">1991-02-28</t>
  </si>
  <si>
    <t xml:space="preserve">2016-03-23</t>
  </si>
  <si>
    <t xml:space="preserve">181 BELMONT AVE NW</t>
  </si>
  <si>
    <t xml:space="preserve">OH0015744119</t>
  </si>
  <si>
    <t xml:space="preserve">TADDEI</t>
  </si>
  <si>
    <t xml:space="preserve">FRED</t>
  </si>
  <si>
    <t xml:space="preserve">1955-11-08</t>
  </si>
  <si>
    <t xml:space="preserve">2015-09-22</t>
  </si>
  <si>
    <t xml:space="preserve">182 BELMONT AVE NW</t>
  </si>
  <si>
    <t xml:space="preserve">OH0015744102</t>
  </si>
  <si>
    <t xml:space="preserve">LYNNETTE</t>
  </si>
  <si>
    <t xml:space="preserve">1991-10-06</t>
  </si>
  <si>
    <t xml:space="preserve">OH0027517745</t>
  </si>
  <si>
    <t xml:space="preserve">MIRIAM</t>
  </si>
  <si>
    <t xml:space="preserve">1990-05-03</t>
  </si>
  <si>
    <t xml:space="preserve">188 BELMONT AVE NW</t>
  </si>
  <si>
    <t xml:space="preserve">OH0027449570</t>
  </si>
  <si>
    <t xml:space="preserve">AUSTIN</t>
  </si>
  <si>
    <t xml:space="preserve">1993-12-31</t>
  </si>
  <si>
    <t xml:space="preserve">2024-07-23</t>
  </si>
  <si>
    <t xml:space="preserve">192 BELMONT AVE NW</t>
  </si>
  <si>
    <t xml:space="preserve">OH0025536865</t>
  </si>
  <si>
    <t xml:space="preserve">MONTAGUE</t>
  </si>
  <si>
    <t xml:space="preserve">LINDSAY</t>
  </si>
  <si>
    <t xml:space="preserve">MAE</t>
  </si>
  <si>
    <t xml:space="preserve">1995-10-23</t>
  </si>
  <si>
    <t xml:space="preserve">2021-12-10</t>
  </si>
  <si>
    <t xml:space="preserve">OH0024502178</t>
  </si>
  <si>
    <t xml:space="preserve">ORTIZ MORALES</t>
  </si>
  <si>
    <t xml:space="preserve">GIOVANY</t>
  </si>
  <si>
    <t xml:space="preserve">1987-11-17</t>
  </si>
  <si>
    <t xml:space="preserve">2018-01-27</t>
  </si>
  <si>
    <t xml:space="preserve">OH0025841471</t>
  </si>
  <si>
    <t xml:space="preserve">LEEWORTHY</t>
  </si>
  <si>
    <t xml:space="preserve">CAROLYN</t>
  </si>
  <si>
    <t xml:space="preserve">1940-08-11</t>
  </si>
  <si>
    <t xml:space="preserve">2023-08-10</t>
  </si>
  <si>
    <t xml:space="preserve">210 BELMONT AVE NW</t>
  </si>
  <si>
    <t xml:space="preserve">OH0027852082</t>
  </si>
  <si>
    <t xml:space="preserve">MYERS</t>
  </si>
  <si>
    <t xml:space="preserve">LOGAN</t>
  </si>
  <si>
    <t xml:space="preserve">2006-06-07</t>
  </si>
  <si>
    <t xml:space="preserve">2024-10-30</t>
  </si>
  <si>
    <t xml:space="preserve">218 BELMONT AVE NW</t>
  </si>
  <si>
    <t xml:space="preserve">OH0020971979</t>
  </si>
  <si>
    <t xml:space="preserve">DILLON</t>
  </si>
  <si>
    <t xml:space="preserve">FLOYD</t>
  </si>
  <si>
    <t xml:space="preserve">1975-03-07</t>
  </si>
  <si>
    <t xml:space="preserve">2019-01-03</t>
  </si>
  <si>
    <t xml:space="preserve">OH0018670359</t>
  </si>
  <si>
    <t xml:space="preserve">RACHAEL</t>
  </si>
  <si>
    <t xml:space="preserve">1987-05-07</t>
  </si>
  <si>
    <t xml:space="preserve">2024-05-29</t>
  </si>
  <si>
    <t xml:space="preserve">OH0015791329</t>
  </si>
  <si>
    <t xml:space="preserve">SHOWERS</t>
  </si>
  <si>
    <t xml:space="preserve">1975-03-01</t>
  </si>
  <si>
    <t xml:space="preserve">2017-04-13</t>
  </si>
  <si>
    <t xml:space="preserve">OH0026765783</t>
  </si>
  <si>
    <t xml:space="preserve">RUSH</t>
  </si>
  <si>
    <t xml:space="preserve">LORI</t>
  </si>
  <si>
    <t xml:space="preserve">B</t>
  </si>
  <si>
    <t xml:space="preserve">1982-07-08</t>
  </si>
  <si>
    <t xml:space="preserve">2024-06-29</t>
  </si>
  <si>
    <t xml:space="preserve">233 BELMONT AVE NW</t>
  </si>
  <si>
    <t xml:space="preserve">OH0026386404</t>
  </si>
  <si>
    <t xml:space="preserve">COLLINS</t>
  </si>
  <si>
    <t xml:space="preserve">1985-03-22</t>
  </si>
  <si>
    <t xml:space="preserve">2024-07-03</t>
  </si>
  <si>
    <t xml:space="preserve">OH0015763794</t>
  </si>
  <si>
    <t xml:space="preserve">WILLIAMSON</t>
  </si>
  <si>
    <t xml:space="preserve">ROSALEAH</t>
  </si>
  <si>
    <t xml:space="preserve">1980-04-18</t>
  </si>
  <si>
    <t xml:space="preserve">2017-02-21</t>
  </si>
  <si>
    <t xml:space="preserve">236 BELMONT AVE NW</t>
  </si>
  <si>
    <t xml:space="preserve">OH0026132814</t>
  </si>
  <si>
    <t xml:space="preserve">ALESHA</t>
  </si>
  <si>
    <t xml:space="preserve">1999-10-31</t>
  </si>
  <si>
    <t xml:space="preserve">2020-12-02</t>
  </si>
  <si>
    <t xml:space="preserve">OH0020171395</t>
  </si>
  <si>
    <t xml:space="preserve">CARMICHAEL</t>
  </si>
  <si>
    <t xml:space="preserve">1989-06-28</t>
  </si>
  <si>
    <t xml:space="preserve">2014-06-21</t>
  </si>
  <si>
    <t xml:space="preserve">OH0022387375</t>
  </si>
  <si>
    <t xml:space="preserve">RAPTIS</t>
  </si>
  <si>
    <t xml:space="preserve">VASILIOS</t>
  </si>
  <si>
    <t xml:space="preserve">1981-01-28</t>
  </si>
  <si>
    <t xml:space="preserve">2021-09-24</t>
  </si>
  <si>
    <t xml:space="preserve">247 BELMONT AVE NW</t>
  </si>
  <si>
    <t xml:space="preserve">OH0025797839</t>
  </si>
  <si>
    <t xml:space="preserve">1988-05-27</t>
  </si>
  <si>
    <t xml:space="preserve">2021-05-27</t>
  </si>
  <si>
    <t xml:space="preserve">OH0022015559</t>
  </si>
  <si>
    <t xml:space="preserve">LOVASH</t>
  </si>
  <si>
    <t xml:space="preserve">1972-09-09</t>
  </si>
  <si>
    <t xml:space="preserve">248 BELMONT AVE NW</t>
  </si>
  <si>
    <t xml:space="preserve">OH0027285147</t>
  </si>
  <si>
    <t xml:space="preserve">1967-04-24</t>
  </si>
  <si>
    <t xml:space="preserve">2024-02-21</t>
  </si>
  <si>
    <t xml:space="preserve">OH0024616723</t>
  </si>
  <si>
    <t xml:space="preserve">LOCKHART</t>
  </si>
  <si>
    <t xml:space="preserve">DAISY</t>
  </si>
  <si>
    <t xml:space="preserve">1999-04-12</t>
  </si>
  <si>
    <t xml:space="preserve">2024-10-10</t>
  </si>
  <si>
    <t xml:space="preserve">257 BELMONT AVE NW</t>
  </si>
  <si>
    <t xml:space="preserve">OH0018597249</t>
  </si>
  <si>
    <t xml:space="preserve">KENNEDY</t>
  </si>
  <si>
    <t xml:space="preserve">LAVEETA</t>
  </si>
  <si>
    <t xml:space="preserve">1970-01-13</t>
  </si>
  <si>
    <t xml:space="preserve">OH0018597250</t>
  </si>
  <si>
    <t xml:space="preserve">KENNETH</t>
  </si>
  <si>
    <t xml:space="preserve">1969-03-04</t>
  </si>
  <si>
    <t xml:space="preserve">2005-07-30</t>
  </si>
  <si>
    <t xml:space="preserve">OH0027228718</t>
  </si>
  <si>
    <t xml:space="preserve">PELUSO</t>
  </si>
  <si>
    <t xml:space="preserve">DOMINIQUE</t>
  </si>
  <si>
    <t xml:space="preserve">2000-07-29</t>
  </si>
  <si>
    <t xml:space="preserve">2024-01-22</t>
  </si>
  <si>
    <t xml:space="preserve">OH0027839368</t>
  </si>
  <si>
    <t xml:space="preserve">HOPKINS</t>
  </si>
  <si>
    <t xml:space="preserve">2000-05-06</t>
  </si>
  <si>
    <t xml:space="preserve">2024-11-04</t>
  </si>
  <si>
    <t xml:space="preserve">273 BELMONT AVE NW</t>
  </si>
  <si>
    <t xml:space="preserve">OH0026793491</t>
  </si>
  <si>
    <t xml:space="preserve">MARK</t>
  </si>
  <si>
    <t xml:space="preserve">1990-09-22</t>
  </si>
  <si>
    <t xml:space="preserve">2023-01-12</t>
  </si>
  <si>
    <t xml:space="preserve">OH0015788744</t>
  </si>
  <si>
    <t xml:space="preserve">WILSON</t>
  </si>
  <si>
    <t xml:space="preserve">SHELDON</t>
  </si>
  <si>
    <t xml:space="preserve">1969-12-30</t>
  </si>
  <si>
    <t xml:space="preserve">335 BELMONT AVE NW</t>
  </si>
  <si>
    <t xml:space="preserve">OH0027130609</t>
  </si>
  <si>
    <t xml:space="preserve">BAILIE</t>
  </si>
  <si>
    <t xml:space="preserve">ALEXA</t>
  </si>
  <si>
    <t xml:space="preserve">1996-11-05</t>
  </si>
  <si>
    <t xml:space="preserve">OH0015808861</t>
  </si>
  <si>
    <t xml:space="preserve">1970-07-11</t>
  </si>
  <si>
    <t xml:space="preserve">2016-12-30</t>
  </si>
  <si>
    <t xml:space="preserve">OH0022360222</t>
  </si>
  <si>
    <t xml:space="preserve">1994-11-16</t>
  </si>
  <si>
    <t xml:space="preserve">OH0022742980</t>
  </si>
  <si>
    <t xml:space="preserve">BLOSE</t>
  </si>
  <si>
    <t xml:space="preserve">1995-02-27</t>
  </si>
  <si>
    <t xml:space="preserve">2017-10-28</t>
  </si>
  <si>
    <t xml:space="preserve">337 BELMONT AVE NW</t>
  </si>
  <si>
    <t xml:space="preserve">OH0015741708</t>
  </si>
  <si>
    <t xml:space="preserve">PAULEY</t>
  </si>
  <si>
    <t xml:space="preserve">1970-12-08</t>
  </si>
  <si>
    <t xml:space="preserve">2013-04-12</t>
  </si>
  <si>
    <t xml:space="preserve">340 BELMONT AVE NW</t>
  </si>
  <si>
    <t xml:space="preserve">OH0015697785</t>
  </si>
  <si>
    <t xml:space="preserve">BETTY</t>
  </si>
  <si>
    <t xml:space="preserve">1952-01-07</t>
  </si>
  <si>
    <t xml:space="preserve">342 BELMONT AVE NW</t>
  </si>
  <si>
    <t xml:space="preserve">OH0019906894</t>
  </si>
  <si>
    <t xml:space="preserve">HECKROW</t>
  </si>
  <si>
    <t xml:space="preserve">YONNA</t>
  </si>
  <si>
    <t xml:space="preserve">1989-06-29</t>
  </si>
  <si>
    <t xml:space="preserve">2023-08-02</t>
  </si>
  <si>
    <t xml:space="preserve">OH0026571472</t>
  </si>
  <si>
    <t xml:space="preserve">SMITH</t>
  </si>
  <si>
    <t xml:space="preserve">ABIGAIL</t>
  </si>
  <si>
    <t xml:space="preserve">J RUTH</t>
  </si>
  <si>
    <t xml:space="preserve">2002-09-30</t>
  </si>
  <si>
    <t xml:space="preserve">346 BELMONT AVE NW</t>
  </si>
  <si>
    <t xml:space="preserve">OH0021351059</t>
  </si>
  <si>
    <t xml:space="preserve">HALL</t>
  </si>
  <si>
    <t xml:space="preserve">SHEKIA</t>
  </si>
  <si>
    <t xml:space="preserve">1992-12-27</t>
  </si>
  <si>
    <t xml:space="preserve">OH0027332703</t>
  </si>
  <si>
    <t xml:space="preserve">BYLER</t>
  </si>
  <si>
    <t xml:space="preserve">MARIA</t>
  </si>
  <si>
    <t xml:space="preserve">2002-02-18</t>
  </si>
  <si>
    <t xml:space="preserve">2025-04-09</t>
  </si>
  <si>
    <t xml:space="preserve">352 BELMONT AVE NW</t>
  </si>
  <si>
    <t xml:space="preserve">OH0027103618</t>
  </si>
  <si>
    <t xml:space="preserve">DEREMY</t>
  </si>
  <si>
    <t xml:space="preserve">MICHAEL RAY</t>
  </si>
  <si>
    <t xml:space="preserve">1990-05-11</t>
  </si>
  <si>
    <t xml:space="preserve">2023-10-10</t>
  </si>
  <si>
    <t xml:space="preserve">374 BELMONT AVE NW</t>
  </si>
  <si>
    <t xml:space="preserve">OH0022549506</t>
  </si>
  <si>
    <t xml:space="preserve">BOWLING</t>
  </si>
  <si>
    <t xml:space="preserve">RICKIE</t>
  </si>
  <si>
    <t xml:space="preserve">1994-06-22</t>
  </si>
  <si>
    <t xml:space="preserve">2015-08-24</t>
  </si>
  <si>
    <t xml:space="preserve">375 BELMONT AVE NW</t>
  </si>
  <si>
    <t xml:space="preserve">OH0023655905</t>
  </si>
  <si>
    <t xml:space="preserve">PRATT</t>
  </si>
  <si>
    <t xml:space="preserve">2016-04-15</t>
  </si>
  <si>
    <t xml:space="preserve">382 BELMONT AVE NW</t>
  </si>
  <si>
    <t xml:space="preserve">OH0026523251</t>
  </si>
  <si>
    <t xml:space="preserve">BROOKE</t>
  </si>
  <si>
    <t xml:space="preserve">1986-09-04</t>
  </si>
  <si>
    <t xml:space="preserve">2022-06-25</t>
  </si>
  <si>
    <t xml:space="preserve">OH0024357837</t>
  </si>
  <si>
    <t xml:space="preserve">MCMAHON</t>
  </si>
  <si>
    <t xml:space="preserve">RYAN</t>
  </si>
  <si>
    <t xml:space="preserve">1985-07-22</t>
  </si>
  <si>
    <t xml:space="preserve">2017-08-22</t>
  </si>
  <si>
    <t xml:space="preserve">OH0020946156</t>
  </si>
  <si>
    <t xml:space="preserve">LLOYD</t>
  </si>
  <si>
    <t xml:space="preserve">CASSAUNDRA</t>
  </si>
  <si>
    <t xml:space="preserve">1991-12-04</t>
  </si>
  <si>
    <t xml:space="preserve">390 BELMONT AVE NW</t>
  </si>
  <si>
    <t xml:space="preserve">OH0015748052</t>
  </si>
  <si>
    <t xml:space="preserve">REYNOLDS</t>
  </si>
  <si>
    <t xml:space="preserve">1962-06-01</t>
  </si>
  <si>
    <t xml:space="preserve">2024-05-25</t>
  </si>
  <si>
    <t xml:space="preserve">406 BELMONT AVE NW</t>
  </si>
  <si>
    <t xml:space="preserve">PO BOX 603</t>
  </si>
  <si>
    <t xml:space="preserve">OH0015684817</t>
  </si>
  <si>
    <t xml:space="preserve">BENSON</t>
  </si>
  <si>
    <t xml:space="preserve">NIA</t>
  </si>
  <si>
    <t xml:space="preserve">1986-01-31</t>
  </si>
  <si>
    <t xml:space="preserve">2017-05-05</t>
  </si>
  <si>
    <t xml:space="preserve">424 BELMONT AVE NW</t>
  </si>
  <si>
    <t xml:space="preserve">OH0027330196</t>
  </si>
  <si>
    <t xml:space="preserve">CHRISTIAN</t>
  </si>
  <si>
    <t xml:space="preserve">PRECIOUS</t>
  </si>
  <si>
    <t xml:space="preserve">LACRESSA</t>
  </si>
  <si>
    <t xml:space="preserve">1999-03-21</t>
  </si>
  <si>
    <t xml:space="preserve">2024-06-01</t>
  </si>
  <si>
    <t xml:space="preserve">OH0024619135</t>
  </si>
  <si>
    <t xml:space="preserve">GREATHOUSE</t>
  </si>
  <si>
    <t xml:space="preserve">GUINEVERE</t>
  </si>
  <si>
    <t xml:space="preserve">GALILEE</t>
  </si>
  <si>
    <t xml:space="preserve">1998-12-25</t>
  </si>
  <si>
    <t xml:space="preserve">2024-02-03</t>
  </si>
  <si>
    <t xml:space="preserve">OH0027139619</t>
  </si>
  <si>
    <t xml:space="preserve">GILLESPIE</t>
  </si>
  <si>
    <t xml:space="preserve">BRANDON</t>
  </si>
  <si>
    <t xml:space="preserve">1997-09-23</t>
  </si>
  <si>
    <t xml:space="preserve">2023-11-14</t>
  </si>
  <si>
    <t xml:space="preserve">OH0026995791</t>
  </si>
  <si>
    <t xml:space="preserve">MILLER</t>
  </si>
  <si>
    <t xml:space="preserve">CHRISTEL</t>
  </si>
  <si>
    <t xml:space="preserve">1970-11-06</t>
  </si>
  <si>
    <t xml:space="preserve">2023-08-18</t>
  </si>
  <si>
    <t xml:space="preserve">OH0023201887</t>
  </si>
  <si>
    <t xml:space="preserve">QUALHEIM</t>
  </si>
  <si>
    <t xml:space="preserve">REBECCA</t>
  </si>
  <si>
    <t xml:space="preserve">LYNNE</t>
  </si>
  <si>
    <t xml:space="preserve">1995-02-24</t>
  </si>
  <si>
    <t xml:space="preserve">2015-07-08</t>
  </si>
  <si>
    <t xml:space="preserve">425 BELMONT AVE NW</t>
  </si>
  <si>
    <t xml:space="preserve">OH0021095824</t>
  </si>
  <si>
    <t xml:space="preserve">CRYSTAL</t>
  </si>
  <si>
    <t xml:space="preserve">LANE</t>
  </si>
  <si>
    <t xml:space="preserve">1971-04-17</t>
  </si>
  <si>
    <t xml:space="preserve">2015-06-22</t>
  </si>
  <si>
    <t xml:space="preserve">OH0025049886</t>
  </si>
  <si>
    <t xml:space="preserve">2001-08-02</t>
  </si>
  <si>
    <t xml:space="preserve">2019-04-01</t>
  </si>
  <si>
    <t xml:space="preserve">OH0024452520</t>
  </si>
  <si>
    <t xml:space="preserve">HUDSON</t>
  </si>
  <si>
    <t xml:space="preserve">MONICIA</t>
  </si>
  <si>
    <t xml:space="preserve">1997-01-21</t>
  </si>
  <si>
    <t xml:space="preserve">444 BELMONT AVE NW</t>
  </si>
  <si>
    <t xml:space="preserve">APT 3</t>
  </si>
  <si>
    <t xml:space="preserve">OH0018756322</t>
  </si>
  <si>
    <t xml:space="preserve">GWINN</t>
  </si>
  <si>
    <t xml:space="preserve">AMBER</t>
  </si>
  <si>
    <t xml:space="preserve">1987-09-10</t>
  </si>
  <si>
    <t xml:space="preserve">2025-05-01</t>
  </si>
  <si>
    <t xml:space="preserve">APT 4</t>
  </si>
  <si>
    <t xml:space="preserve">OH0026805919</t>
  </si>
  <si>
    <t xml:space="preserve">COOPER</t>
  </si>
  <si>
    <t xml:space="preserve">1988-07-08</t>
  </si>
  <si>
    <t xml:space="preserve">2025-03-11</t>
  </si>
  <si>
    <t xml:space="preserve">OH0023933361</t>
  </si>
  <si>
    <t xml:space="preserve">COREY</t>
  </si>
  <si>
    <t xml:space="preserve">1980-06-02</t>
  </si>
  <si>
    <t xml:space="preserve">2016-08-04</t>
  </si>
  <si>
    <t xml:space="preserve">OH0022306869</t>
  </si>
  <si>
    <t xml:space="preserve">MATHEWS</t>
  </si>
  <si>
    <t xml:space="preserve">COURTNEY</t>
  </si>
  <si>
    <t xml:space="preserve">2018-12-11</t>
  </si>
  <si>
    <t xml:space="preserve">OH0025894616</t>
  </si>
  <si>
    <t xml:space="preserve">BLECH</t>
  </si>
  <si>
    <t xml:space="preserve">MORGAN</t>
  </si>
  <si>
    <t xml:space="preserve">1997-03-22</t>
  </si>
  <si>
    <t xml:space="preserve">2020-09-25</t>
  </si>
  <si>
    <t xml:space="preserve">OH0018670349</t>
  </si>
  <si>
    <t xml:space="preserve">RUITER</t>
  </si>
  <si>
    <t xml:space="preserve">JADA</t>
  </si>
  <si>
    <t xml:space="preserve">1975-11-08</t>
  </si>
  <si>
    <t xml:space="preserve">2023-10-23</t>
  </si>
  <si>
    <t xml:space="preserve">3</t>
  </si>
  <si>
    <t xml:space="preserve">OH0027139681</t>
  </si>
  <si>
    <t xml:space="preserve">NATHAN</t>
  </si>
  <si>
    <t xml:space="preserve">1980-05-07</t>
  </si>
  <si>
    <t xml:space="preserve">445 BELMONT AVE NW</t>
  </si>
  <si>
    <t xml:space="preserve">OH0024505656</t>
  </si>
  <si>
    <t xml:space="preserve">ENGEL</t>
  </si>
  <si>
    <t xml:space="preserve">NICHOLAS</t>
  </si>
  <si>
    <t xml:space="preserve">1978-09-03</t>
  </si>
  <si>
    <t xml:space="preserve">2023-04-12</t>
  </si>
  <si>
    <t xml:space="preserve">OH0020335250</t>
  </si>
  <si>
    <t xml:space="preserve">MCCLOUD</t>
  </si>
  <si>
    <t xml:space="preserve">FREDRICK</t>
  </si>
  <si>
    <t xml:space="preserve">1983-08-18</t>
  </si>
  <si>
    <t xml:space="preserve">2018-04-12</t>
  </si>
  <si>
    <t xml:space="preserve">454 BELMONT AVE NW</t>
  </si>
  <si>
    <t xml:space="preserve">OH0027139324</t>
  </si>
  <si>
    <t xml:space="preserve">FURTAW</t>
  </si>
  <si>
    <t xml:space="preserve">1967-08-24</t>
  </si>
  <si>
    <t xml:space="preserve">2023-10-28</t>
  </si>
  <si>
    <t xml:space="preserve">463 BELMONT AVE NW</t>
  </si>
  <si>
    <t xml:space="preserve">OH0027788977</t>
  </si>
  <si>
    <t xml:space="preserve">2002-07-15</t>
  </si>
  <si>
    <t xml:space="preserve">OH0027139310</t>
  </si>
  <si>
    <t xml:space="preserve">VIRGIL</t>
  </si>
  <si>
    <t xml:space="preserve">1961-10-12</t>
  </si>
  <si>
    <t xml:space="preserve">OH0023014052</t>
  </si>
  <si>
    <t xml:space="preserve">BALESTRINO</t>
  </si>
  <si>
    <t xml:space="preserve">ADONIA</t>
  </si>
  <si>
    <t xml:space="preserve">1995-03-04</t>
  </si>
  <si>
    <t xml:space="preserve">2014-11-01</t>
  </si>
  <si>
    <t xml:space="preserve">1510 BLAIR AVE NW</t>
  </si>
  <si>
    <t xml:space="preserve">OH0025842223</t>
  </si>
  <si>
    <t xml:space="preserve">JURINA</t>
  </si>
  <si>
    <t xml:space="preserve">HEATHER</t>
  </si>
  <si>
    <t xml:space="preserve">1980-10-06</t>
  </si>
  <si>
    <t xml:space="preserve">2020-09-20</t>
  </si>
  <si>
    <t xml:space="preserve">OH0015728172</t>
  </si>
  <si>
    <t xml:space="preserve">YAUGER</t>
  </si>
  <si>
    <t xml:space="preserve">1970-06-10</t>
  </si>
  <si>
    <t xml:space="preserve">2015-11-29</t>
  </si>
  <si>
    <t xml:space="preserve">1520 BLAIR AVE NW</t>
  </si>
  <si>
    <t xml:space="preserve">OH0027563726</t>
  </si>
  <si>
    <t xml:space="preserve">PUTNAM</t>
  </si>
  <si>
    <t xml:space="preserve">2004-10-20</t>
  </si>
  <si>
    <t xml:space="preserve">2024-08-26</t>
  </si>
  <si>
    <t xml:space="preserve">1542 BLAIR AVE NW</t>
  </si>
  <si>
    <t xml:space="preserve">OH0023332486</t>
  </si>
  <si>
    <t xml:space="preserve">1980-12-27</t>
  </si>
  <si>
    <t xml:space="preserve">2018-08-22</t>
  </si>
  <si>
    <t xml:space="preserve">OH0023187979</t>
  </si>
  <si>
    <t xml:space="preserve">MOLDEN</t>
  </si>
  <si>
    <t xml:space="preserve">SHAUN</t>
  </si>
  <si>
    <t xml:space="preserve">1993-08-14</t>
  </si>
  <si>
    <t xml:space="preserve">2020-10-05</t>
  </si>
  <si>
    <t xml:space="preserve">1560 BLAIR AVE NW</t>
  </si>
  <si>
    <t xml:space="preserve">OH0026351439</t>
  </si>
  <si>
    <t xml:space="preserve">DANEE</t>
  </si>
  <si>
    <t xml:space="preserve">SHANEL</t>
  </si>
  <si>
    <t xml:space="preserve">1986-11-09</t>
  </si>
  <si>
    <t xml:space="preserve">2021-11-03</t>
  </si>
  <si>
    <t xml:space="preserve">1572 BLAIR AVE NW</t>
  </si>
  <si>
    <t xml:space="preserve">OH0027471103</t>
  </si>
  <si>
    <t xml:space="preserve">GRANT</t>
  </si>
  <si>
    <t xml:space="preserve">GEVAEH</t>
  </si>
  <si>
    <t xml:space="preserve">ANEISE</t>
  </si>
  <si>
    <t xml:space="preserve">2005-02-17</t>
  </si>
  <si>
    <t xml:space="preserve">2024-07-31</t>
  </si>
  <si>
    <t xml:space="preserve">OH0015676571</t>
  </si>
  <si>
    <t xml:space="preserve">CLEMMONS</t>
  </si>
  <si>
    <t xml:space="preserve">CARVIN</t>
  </si>
  <si>
    <t xml:space="preserve">HOBART</t>
  </si>
  <si>
    <t xml:space="preserve">1974-09-25</t>
  </si>
  <si>
    <t xml:space="preserve">2018-08-01</t>
  </si>
  <si>
    <t xml:space="preserve">1600 BLAIR AVE NW</t>
  </si>
  <si>
    <t xml:space="preserve">OH0015714113</t>
  </si>
  <si>
    <t xml:space="preserve">MCKINNON</t>
  </si>
  <si>
    <t xml:space="preserve">GRETA</t>
  </si>
  <si>
    <t xml:space="preserve">DENISE</t>
  </si>
  <si>
    <t xml:space="preserve">1955-06-23</t>
  </si>
  <si>
    <t xml:space="preserve">2023-08-05</t>
  </si>
  <si>
    <t xml:space="preserve">OH0015763830</t>
  </si>
  <si>
    <t xml:space="preserve">BOBBY</t>
  </si>
  <si>
    <t xml:space="preserve">1954-05-20</t>
  </si>
  <si>
    <t xml:space="preserve">OH0018597302</t>
  </si>
  <si>
    <t xml:space="preserve">DEYERMAND</t>
  </si>
  <si>
    <t xml:space="preserve">1979-05-23</t>
  </si>
  <si>
    <t xml:space="preserve">2019-05-25</t>
  </si>
  <si>
    <t xml:space="preserve">1616 BLAIR AVE NW</t>
  </si>
  <si>
    <t xml:space="preserve">OH0021488036</t>
  </si>
  <si>
    <t xml:space="preserve">1960-02-02</t>
  </si>
  <si>
    <t xml:space="preserve">2018-04-18</t>
  </si>
  <si>
    <t xml:space="preserve">1531 BONNIE BRAE AVE NE</t>
  </si>
  <si>
    <t xml:space="preserve">OH0026267262</t>
  </si>
  <si>
    <t xml:space="preserve">EDINGTON</t>
  </si>
  <si>
    <t xml:space="preserve">KEON</t>
  </si>
  <si>
    <t xml:space="preserve">AMAR</t>
  </si>
  <si>
    <t xml:space="preserve">2002-11-29</t>
  </si>
  <si>
    <t xml:space="preserve">2021-08-18</t>
  </si>
  <si>
    <t xml:space="preserve">1550 BONNIE BRAE AVE NE</t>
  </si>
  <si>
    <t xml:space="preserve">OH0015744546</t>
  </si>
  <si>
    <t xml:space="preserve">KELSON</t>
  </si>
  <si>
    <t xml:space="preserve">AISHA</t>
  </si>
  <si>
    <t xml:space="preserve">1978-10-13</t>
  </si>
  <si>
    <t xml:space="preserve">2011-08-08</t>
  </si>
  <si>
    <t xml:space="preserve">OH0022694098</t>
  </si>
  <si>
    <t xml:space="preserve">BARKER</t>
  </si>
  <si>
    <t xml:space="preserve">JERRY</t>
  </si>
  <si>
    <t xml:space="preserve">AJ</t>
  </si>
  <si>
    <t xml:space="preserve">1996-02-19</t>
  </si>
  <si>
    <t xml:space="preserve">1551 BONNIE BRAE AVE NE</t>
  </si>
  <si>
    <t xml:space="preserve">OH0027100542</t>
  </si>
  <si>
    <t xml:space="preserve">WAIALEE</t>
  </si>
  <si>
    <t xml:space="preserve">NORA</t>
  </si>
  <si>
    <t xml:space="preserve">LEIGH</t>
  </si>
  <si>
    <t xml:space="preserve">1986-10-02</t>
  </si>
  <si>
    <t xml:space="preserve">2023-10-03</t>
  </si>
  <si>
    <t xml:space="preserve">1561 BONNIE BRAE AVE NE</t>
  </si>
  <si>
    <t xml:space="preserve">OH0015730335</t>
  </si>
  <si>
    <t xml:space="preserve">WOLFE</t>
  </si>
  <si>
    <t xml:space="preserve">MELINDA</t>
  </si>
  <si>
    <t xml:space="preserve">1970-10-16</t>
  </si>
  <si>
    <t xml:space="preserve">2022-10-01</t>
  </si>
  <si>
    <t xml:space="preserve">1571 BONNIE BRAE AVE NE</t>
  </si>
  <si>
    <t xml:space="preserve">OH0018596755</t>
  </si>
  <si>
    <t xml:space="preserve">GANO</t>
  </si>
  <si>
    <t xml:space="preserve">EDWARDS</t>
  </si>
  <si>
    <t xml:space="preserve">1969-06-12</t>
  </si>
  <si>
    <t xml:space="preserve">2016-04-20</t>
  </si>
  <si>
    <t xml:space="preserve">OH0015778617</t>
  </si>
  <si>
    <t xml:space="preserve">SUSAN</t>
  </si>
  <si>
    <t xml:space="preserve">1945-04-05</t>
  </si>
  <si>
    <t xml:space="preserve">1972-03-29</t>
  </si>
  <si>
    <t xml:space="preserve">OH0015778613</t>
  </si>
  <si>
    <t xml:space="preserve">1944-10-17</t>
  </si>
  <si>
    <t xml:space="preserve">OH0015690920</t>
  </si>
  <si>
    <t xml:space="preserve">HENLINE</t>
  </si>
  <si>
    <t xml:space="preserve">FRANCINE</t>
  </si>
  <si>
    <t xml:space="preserve">1959-11-11</t>
  </si>
  <si>
    <t xml:space="preserve">1981-02-24</t>
  </si>
  <si>
    <t xml:space="preserve">1580 BONNIE BRAE AVE NE</t>
  </si>
  <si>
    <t xml:space="preserve">OH0024868960</t>
  </si>
  <si>
    <t xml:space="preserve">LAUREN</t>
  </si>
  <si>
    <t xml:space="preserve">1996-06-27</t>
  </si>
  <si>
    <t xml:space="preserve">2018-10-09</t>
  </si>
  <si>
    <t xml:space="preserve">1590 BONNIE BRAE AVE NE</t>
  </si>
  <si>
    <t xml:space="preserve">OH0019559337</t>
  </si>
  <si>
    <t xml:space="preserve">DADISMAN</t>
  </si>
  <si>
    <t xml:space="preserve">1975-04-08</t>
  </si>
  <si>
    <t xml:space="preserve">2016-03-31</t>
  </si>
  <si>
    <t xml:space="preserve">OH0027788956</t>
  </si>
  <si>
    <t xml:space="preserve">WASHINGTON</t>
  </si>
  <si>
    <t xml:space="preserve">KELSEY</t>
  </si>
  <si>
    <t xml:space="preserve">1998-12-21</t>
  </si>
  <si>
    <t xml:space="preserve">OH0024850194</t>
  </si>
  <si>
    <t xml:space="preserve">1957-06-03</t>
  </si>
  <si>
    <t xml:space="preserve">2018-10-08</t>
  </si>
  <si>
    <t xml:space="preserve">1591 BONNIE BRAE AVE NE</t>
  </si>
  <si>
    <t xml:space="preserve">OH0020117080</t>
  </si>
  <si>
    <t xml:space="preserve">PROVITT</t>
  </si>
  <si>
    <t xml:space="preserve">SONNIE</t>
  </si>
  <si>
    <t xml:space="preserve">1986-04-18</t>
  </si>
  <si>
    <t xml:space="preserve">2023-06-13</t>
  </si>
  <si>
    <t xml:space="preserve">1600 BONNIE BRAE AVE NE</t>
  </si>
  <si>
    <t xml:space="preserve">OH0027615165</t>
  </si>
  <si>
    <t xml:space="preserve">ANAYAH</t>
  </si>
  <si>
    <t xml:space="preserve">2006-03-28</t>
  </si>
  <si>
    <t xml:space="preserve">2024-09-17</t>
  </si>
  <si>
    <t xml:space="preserve">OH0023633924</t>
  </si>
  <si>
    <t xml:space="preserve">SHARPER</t>
  </si>
  <si>
    <t xml:space="preserve">KEISHA</t>
  </si>
  <si>
    <t xml:space="preserve">1984-03-16</t>
  </si>
  <si>
    <t xml:space="preserve">2016-09-15</t>
  </si>
  <si>
    <t xml:space="preserve">1601 BONNIE BRAE AVE NE</t>
  </si>
  <si>
    <t xml:space="preserve">OH0024238271</t>
  </si>
  <si>
    <t xml:space="preserve">1978-07-09</t>
  </si>
  <si>
    <t xml:space="preserve">2017-03-15</t>
  </si>
  <si>
    <t xml:space="preserve">OH0026582799</t>
  </si>
  <si>
    <t xml:space="preserve">GRANTZ</t>
  </si>
  <si>
    <t xml:space="preserve">1967-08-26</t>
  </si>
  <si>
    <t xml:space="preserve">2022-08-13</t>
  </si>
  <si>
    <t xml:space="preserve">1610 BONNIE BRAE AVE NE</t>
  </si>
  <si>
    <t xml:space="preserve">OH0027615115</t>
  </si>
  <si>
    <t xml:space="preserve">DYLAN</t>
  </si>
  <si>
    <t xml:space="preserve">EMERY</t>
  </si>
  <si>
    <t xml:space="preserve">2006-10-04</t>
  </si>
  <si>
    <t xml:space="preserve">1611 BONNIE BRAE AVE NE</t>
  </si>
  <si>
    <t xml:space="preserve">OH0015816389</t>
  </si>
  <si>
    <t xml:space="preserve">1985-03-21</t>
  </si>
  <si>
    <t xml:space="preserve">2018-03-20</t>
  </si>
  <si>
    <t xml:space="preserve">OH0027951519</t>
  </si>
  <si>
    <t xml:space="preserve">SNYDER</t>
  </si>
  <si>
    <t xml:space="preserve">1998-04-09</t>
  </si>
  <si>
    <t xml:space="preserve">2025-04-14</t>
  </si>
  <si>
    <t xml:space="preserve">1620 BONNIE BRAE AVE NE</t>
  </si>
  <si>
    <t xml:space="preserve">OH0022738309</t>
  </si>
  <si>
    <t xml:space="preserve">GORE</t>
  </si>
  <si>
    <t xml:space="preserve">1996-02-27</t>
  </si>
  <si>
    <t xml:space="preserve">2024-10-07</t>
  </si>
  <si>
    <t xml:space="preserve">OH0022950177</t>
  </si>
  <si>
    <t xml:space="preserve">DALE</t>
  </si>
  <si>
    <t xml:space="preserve">1996-07-18</t>
  </si>
  <si>
    <t xml:space="preserve">2025-02-26</t>
  </si>
  <si>
    <t xml:space="preserve">1621 BONNIE BRAE AVE NE</t>
  </si>
  <si>
    <t xml:space="preserve">OH0026734587</t>
  </si>
  <si>
    <t xml:space="preserve">GILMORE</t>
  </si>
  <si>
    <t xml:space="preserve">MATTHEW</t>
  </si>
  <si>
    <t xml:space="preserve">2022-12-02</t>
  </si>
  <si>
    <t xml:space="preserve">1630 BONNIE BRAE AVE NE</t>
  </si>
  <si>
    <t xml:space="preserve">OH0026705019</t>
  </si>
  <si>
    <t xml:space="preserve">KELLY</t>
  </si>
  <si>
    <t xml:space="preserve">1979-09-13</t>
  </si>
  <si>
    <t xml:space="preserve">OH0018589197</t>
  </si>
  <si>
    <t xml:space="preserve">SIX</t>
  </si>
  <si>
    <t xml:space="preserve">TOD</t>
  </si>
  <si>
    <t xml:space="preserve">1973-03-07</t>
  </si>
  <si>
    <t xml:space="preserve">2019-12-09</t>
  </si>
  <si>
    <t xml:space="preserve">OH0022208607</t>
  </si>
  <si>
    <t xml:space="preserve">FRAME</t>
  </si>
  <si>
    <t xml:space="preserve">1968-11-13</t>
  </si>
  <si>
    <t xml:space="preserve">2022-05-27</t>
  </si>
  <si>
    <t xml:space="preserve">1631 BONNIE BRAE AVE NE</t>
  </si>
  <si>
    <t xml:space="preserve">OH0015779209</t>
  </si>
  <si>
    <t xml:space="preserve">RAINIE</t>
  </si>
  <si>
    <t xml:space="preserve">1970-10-30</t>
  </si>
  <si>
    <t xml:space="preserve">2015-08-10</t>
  </si>
  <si>
    <t xml:space="preserve">OH0027224889</t>
  </si>
  <si>
    <t xml:space="preserve">RILEY</t>
  </si>
  <si>
    <t xml:space="preserve">1999-01-13</t>
  </si>
  <si>
    <t xml:space="preserve">2024-07-15</t>
  </si>
  <si>
    <t xml:space="preserve">1640 BONNIE BRAE AVE NE</t>
  </si>
  <si>
    <t xml:space="preserve">OH0015785395</t>
  </si>
  <si>
    <t xml:space="preserve">EARL</t>
  </si>
  <si>
    <t xml:space="preserve">1944-01-28</t>
  </si>
  <si>
    <t xml:space="preserve">1975-07-23</t>
  </si>
  <si>
    <t xml:space="preserve">OH0023051674</t>
  </si>
  <si>
    <t xml:space="preserve">KOTSATOS</t>
  </si>
  <si>
    <t xml:space="preserve">STELLA</t>
  </si>
  <si>
    <t xml:space="preserve">THEODORE</t>
  </si>
  <si>
    <t xml:space="preserve">1986-10-21</t>
  </si>
  <si>
    <t xml:space="preserve">2018-06-22</t>
  </si>
  <si>
    <t xml:space="preserve">1641 BONNIE BRAE AVE NE</t>
  </si>
  <si>
    <t xml:space="preserve">OH0015719148</t>
  </si>
  <si>
    <t xml:space="preserve">BINIKOS</t>
  </si>
  <si>
    <t xml:space="preserve">EVANGELIA</t>
  </si>
  <si>
    <t xml:space="preserve">1941-03-25</t>
  </si>
  <si>
    <t xml:space="preserve">1998-01-12</t>
  </si>
  <si>
    <t xml:space="preserve">OH0026313491</t>
  </si>
  <si>
    <t xml:space="preserve">MADYSON</t>
  </si>
  <si>
    <t xml:space="preserve">2003-06-07</t>
  </si>
  <si>
    <t xml:space="preserve">2022-08-30</t>
  </si>
  <si>
    <t xml:space="preserve">1651 BONNIE BRAE AVE NE</t>
  </si>
  <si>
    <t xml:space="preserve">OH0025131123</t>
  </si>
  <si>
    <t xml:space="preserve">BAYLEE</t>
  </si>
  <si>
    <t xml:space="preserve">ANNE</t>
  </si>
  <si>
    <t xml:space="preserve">2001-05-03</t>
  </si>
  <si>
    <t xml:space="preserve">2019-09-20</t>
  </si>
  <si>
    <t xml:space="preserve">OH0015691827</t>
  </si>
  <si>
    <t xml:space="preserve">1977-02-02</t>
  </si>
  <si>
    <t xml:space="preserve">2009-07-29</t>
  </si>
  <si>
    <t xml:space="preserve">OH0015813507</t>
  </si>
  <si>
    <t xml:space="preserve">1977-08-05</t>
  </si>
  <si>
    <t xml:space="preserve">OH0023694492</t>
  </si>
  <si>
    <t xml:space="preserve">AUTUMN</t>
  </si>
  <si>
    <t xml:space="preserve">CHAYNA</t>
  </si>
  <si>
    <t xml:space="preserve">1997-02-20</t>
  </si>
  <si>
    <t xml:space="preserve">2016-05-14</t>
  </si>
  <si>
    <t xml:space="preserve">1660 BONNIE BRAE AVE NE</t>
  </si>
  <si>
    <t xml:space="preserve">OH0015749610</t>
  </si>
  <si>
    <t xml:space="preserve">BRACE</t>
  </si>
  <si>
    <t xml:space="preserve">KIMBERLY</t>
  </si>
  <si>
    <t xml:space="preserve">1962-12-13</t>
  </si>
  <si>
    <t xml:space="preserve">2004-09-21</t>
  </si>
  <si>
    <t xml:space="preserve">OH0015752914</t>
  </si>
  <si>
    <t xml:space="preserve">1970-02-19</t>
  </si>
  <si>
    <t xml:space="preserve">2004-03-16</t>
  </si>
  <si>
    <t xml:space="preserve">OH0015724470</t>
  </si>
  <si>
    <t xml:space="preserve">1969-07-31</t>
  </si>
  <si>
    <t xml:space="preserve">2016-02-18</t>
  </si>
  <si>
    <t xml:space="preserve">OH0024371364</t>
  </si>
  <si>
    <t xml:space="preserve">PERRY</t>
  </si>
  <si>
    <t xml:space="preserve">ANDRE</t>
  </si>
  <si>
    <t xml:space="preserve">1997-06-23</t>
  </si>
  <si>
    <t xml:space="preserve">2015-08-25</t>
  </si>
  <si>
    <t xml:space="preserve">1670 BONNIE BRAE AVE NE</t>
  </si>
  <si>
    <t xml:space="preserve">OH0023147677</t>
  </si>
  <si>
    <t xml:space="preserve">ADRIAN</t>
  </si>
  <si>
    <t xml:space="preserve">ALBERT</t>
  </si>
  <si>
    <t xml:space="preserve">1995-11-27</t>
  </si>
  <si>
    <t xml:space="preserve">2015-06-11</t>
  </si>
  <si>
    <t xml:space="preserve">OH0015814687</t>
  </si>
  <si>
    <t xml:space="preserve">CAROL</t>
  </si>
  <si>
    <t xml:space="preserve">1977-06-06</t>
  </si>
  <si>
    <t xml:space="preserve">1996-04-25</t>
  </si>
  <si>
    <t xml:space="preserve">OH0020333938</t>
  </si>
  <si>
    <t xml:space="preserve">TIFFANY</t>
  </si>
  <si>
    <t xml:space="preserve">1987-12-31</t>
  </si>
  <si>
    <t xml:space="preserve">2012-06-25</t>
  </si>
  <si>
    <t xml:space="preserve">1671 BONNIE BRAE AVE NE</t>
  </si>
  <si>
    <t xml:space="preserve">OH0025122704</t>
  </si>
  <si>
    <t xml:space="preserve">ROBINSON WILLIAMS</t>
  </si>
  <si>
    <t xml:space="preserve">TREVYON</t>
  </si>
  <si>
    <t xml:space="preserve">ROMEL</t>
  </si>
  <si>
    <t xml:space="preserve">1999-08-23</t>
  </si>
  <si>
    <t xml:space="preserve">2019-06-05</t>
  </si>
  <si>
    <t xml:space="preserve">OH0020119254</t>
  </si>
  <si>
    <t xml:space="preserve">ROCHELLE</t>
  </si>
  <si>
    <t xml:space="preserve">1962-08-10</t>
  </si>
  <si>
    <t xml:space="preserve">2011-09-21</t>
  </si>
  <si>
    <t xml:space="preserve">OH0015694212</t>
  </si>
  <si>
    <t xml:space="preserve">BYLAND</t>
  </si>
  <si>
    <t xml:space="preserve">1964-04-04</t>
  </si>
  <si>
    <t xml:space="preserve">1988-04-05</t>
  </si>
  <si>
    <t xml:space="preserve">1681 BONNIE BRAE AVE NE</t>
  </si>
  <si>
    <t xml:space="preserve">OH0015777197</t>
  </si>
  <si>
    <t xml:space="preserve">NOVAK</t>
  </si>
  <si>
    <t xml:space="preserve">ALFORD</t>
  </si>
  <si>
    <t xml:space="preserve">1953-03-25</t>
  </si>
  <si>
    <t xml:space="preserve">1971-09-09</t>
  </si>
  <si>
    <t xml:space="preserve">1706 BONNIE BRAE AVE NE</t>
  </si>
  <si>
    <t xml:space="preserve">OH0023342230</t>
  </si>
  <si>
    <t xml:space="preserve">TYLER</t>
  </si>
  <si>
    <t xml:space="preserve">JONATHON</t>
  </si>
  <si>
    <t xml:space="preserve">WAYNE</t>
  </si>
  <si>
    <t xml:space="preserve">1985-10-06</t>
  </si>
  <si>
    <t xml:space="preserve">2022-06-02</t>
  </si>
  <si>
    <t xml:space="preserve">1707 BONNIE BRAE AVE NE</t>
  </si>
  <si>
    <t xml:space="preserve">OH0015771159</t>
  </si>
  <si>
    <t xml:space="preserve">OSBORNE</t>
  </si>
  <si>
    <t xml:space="preserve">KURTIS</t>
  </si>
  <si>
    <t xml:space="preserve">1971-12-06</t>
  </si>
  <si>
    <t xml:space="preserve">2020-08-31</t>
  </si>
  <si>
    <t xml:space="preserve">1716 BONNIE BRAE AVE NE</t>
  </si>
  <si>
    <t xml:space="preserve">OH0015747083</t>
  </si>
  <si>
    <t xml:space="preserve">SANDRA</t>
  </si>
  <si>
    <t xml:space="preserve">1974-06-19</t>
  </si>
  <si>
    <t xml:space="preserve">OH0025223043</t>
  </si>
  <si>
    <t xml:space="preserve">WIANT</t>
  </si>
  <si>
    <t xml:space="preserve">1990-09-18</t>
  </si>
  <si>
    <t xml:space="preserve">2024-10-14</t>
  </si>
  <si>
    <t xml:space="preserve">1717 BONNIE BRAE AVE NE</t>
  </si>
  <si>
    <t xml:space="preserve">OH0021112437</t>
  </si>
  <si>
    <t xml:space="preserve">HISER</t>
  </si>
  <si>
    <t xml:space="preserve">KATHERIN</t>
  </si>
  <si>
    <t xml:space="preserve">1991-10-24</t>
  </si>
  <si>
    <t xml:space="preserve">OH0015808474</t>
  </si>
  <si>
    <t xml:space="preserve">1971-04-28</t>
  </si>
  <si>
    <t xml:space="preserve">2010-01-25</t>
  </si>
  <si>
    <t xml:space="preserve">OH0015807018</t>
  </si>
  <si>
    <t xml:space="preserve">LITTELL</t>
  </si>
  <si>
    <t xml:space="preserve">MELISSA</t>
  </si>
  <si>
    <t xml:space="preserve">1971-03-09</t>
  </si>
  <si>
    <t xml:space="preserve">2022-03-12</t>
  </si>
  <si>
    <t xml:space="preserve">1726 BONNIE BRAE AVE NE</t>
  </si>
  <si>
    <t xml:space="preserve">OH0022306538</t>
  </si>
  <si>
    <t xml:space="preserve">REAM</t>
  </si>
  <si>
    <t xml:space="preserve">1992-03-22</t>
  </si>
  <si>
    <t xml:space="preserve">2016-06-04</t>
  </si>
  <si>
    <t xml:space="preserve">1727 BONNIE BRAE AVE NE</t>
  </si>
  <si>
    <t xml:space="preserve">OH0027081423</t>
  </si>
  <si>
    <t xml:space="preserve">SARNOSKY</t>
  </si>
  <si>
    <t xml:space="preserve">AVA</t>
  </si>
  <si>
    <t xml:space="preserve">LORRAINE</t>
  </si>
  <si>
    <t xml:space="preserve">2003-08-03</t>
  </si>
  <si>
    <t xml:space="preserve">2023-09-13</t>
  </si>
  <si>
    <t xml:space="preserve">1736 BONNIE BRAE AVE NE</t>
  </si>
  <si>
    <t xml:space="preserve">OH0015762838</t>
  </si>
  <si>
    <t xml:space="preserve">1975-06-12</t>
  </si>
  <si>
    <t xml:space="preserve">2015-03-03</t>
  </si>
  <si>
    <t xml:space="preserve">OH0015777679</t>
  </si>
  <si>
    <t xml:space="preserve">SHOBEL</t>
  </si>
  <si>
    <t xml:space="preserve">1942-09-13</t>
  </si>
  <si>
    <t xml:space="preserve">1972-03-20</t>
  </si>
  <si>
    <t xml:space="preserve">1746 BONNIE BRAE AVE NE</t>
  </si>
  <si>
    <t xml:space="preserve">OH0015806994</t>
  </si>
  <si>
    <t xml:space="preserve">BINKO</t>
  </si>
  <si>
    <t xml:space="preserve">AMY LOU</t>
  </si>
  <si>
    <t xml:space="preserve">1954-12-02</t>
  </si>
  <si>
    <t xml:space="preserve">2013-12-02</t>
  </si>
  <si>
    <t xml:space="preserve">1747 BONNIE BRAE AVE NE</t>
  </si>
  <si>
    <t xml:space="preserve">OH0027112719</t>
  </si>
  <si>
    <t xml:space="preserve">MARITA</t>
  </si>
  <si>
    <t xml:space="preserve">2000-10-02</t>
  </si>
  <si>
    <t xml:space="preserve">1756 BONNIE BRAE AVE NE</t>
  </si>
  <si>
    <t xml:space="preserve">OH0015707661</t>
  </si>
  <si>
    <t xml:space="preserve">BERNADETTE</t>
  </si>
  <si>
    <t xml:space="preserve">1976-10-03</t>
  </si>
  <si>
    <t xml:space="preserve">OH0015777531</t>
  </si>
  <si>
    <t xml:space="preserve">ROMAN</t>
  </si>
  <si>
    <t xml:space="preserve">MARYBETH</t>
  </si>
  <si>
    <t xml:space="preserve">1948-03-17</t>
  </si>
  <si>
    <t xml:space="preserve">2019-08-21</t>
  </si>
  <si>
    <t xml:space="preserve">1766 BONNIE BRAE AVE NE</t>
  </si>
  <si>
    <t xml:space="preserve">OH0025995985</t>
  </si>
  <si>
    <t xml:space="preserve">COWELL</t>
  </si>
  <si>
    <t xml:space="preserve">1998-08-28</t>
  </si>
  <si>
    <t xml:space="preserve">1767 BONNIE BRAE AVE NE</t>
  </si>
  <si>
    <t xml:space="preserve">OH0019016944</t>
  </si>
  <si>
    <t xml:space="preserve">1968-11-30</t>
  </si>
  <si>
    <t xml:space="preserve">2006-11-28</t>
  </si>
  <si>
    <t xml:space="preserve">OH0024590140</t>
  </si>
  <si>
    <t xml:space="preserve">KEMPF</t>
  </si>
  <si>
    <t xml:space="preserve">1985-04-02</t>
  </si>
  <si>
    <t xml:space="preserve">2018-04-04</t>
  </si>
  <si>
    <t xml:space="preserve">1777 BONNIE BRAE AVE NE</t>
  </si>
  <si>
    <t xml:space="preserve">OH0021215607</t>
  </si>
  <si>
    <t xml:space="preserve">ZINS</t>
  </si>
  <si>
    <t xml:space="preserve">1987-02-13</t>
  </si>
  <si>
    <t xml:space="preserve">2019-09-23</t>
  </si>
  <si>
    <t xml:space="preserve">OH0026132615</t>
  </si>
  <si>
    <t xml:space="preserve">KRAMER</t>
  </si>
  <si>
    <t xml:space="preserve">SHANE</t>
  </si>
  <si>
    <t xml:space="preserve">1981-02-15</t>
  </si>
  <si>
    <t xml:space="preserve">2021-10-28</t>
  </si>
  <si>
    <t xml:space="preserve">1786 BONNIE BRAE AVE NE</t>
  </si>
  <si>
    <t xml:space="preserve">OH0022557279</t>
  </si>
  <si>
    <t xml:space="preserve">FRYE</t>
  </si>
  <si>
    <t xml:space="preserve">DEVEN</t>
  </si>
  <si>
    <t xml:space="preserve">JAMES JACKSON</t>
  </si>
  <si>
    <t xml:space="preserve">1993-07-02</t>
  </si>
  <si>
    <t xml:space="preserve">2018-05-07</t>
  </si>
  <si>
    <t xml:space="preserve">OH0021755054</t>
  </si>
  <si>
    <t xml:space="preserve">VAUGHN</t>
  </si>
  <si>
    <t xml:space="preserve">SHANAYLA</t>
  </si>
  <si>
    <t xml:space="preserve">1993-10-07</t>
  </si>
  <si>
    <t xml:space="preserve">2023-08-13</t>
  </si>
  <si>
    <t xml:space="preserve">1787 BONNIE BRAE AVE NE</t>
  </si>
  <si>
    <t xml:space="preserve">OH0023838899</t>
  </si>
  <si>
    <t xml:space="preserve">ROOSA</t>
  </si>
  <si>
    <t xml:space="preserve">1996-08-08</t>
  </si>
  <si>
    <t xml:space="preserve">2024-10-06</t>
  </si>
  <si>
    <t xml:space="preserve">1796 BONNIE BRAE AVE NE</t>
  </si>
  <si>
    <t xml:space="preserve">OH0015778177</t>
  </si>
  <si>
    <t xml:space="preserve">JUDITH</t>
  </si>
  <si>
    <t xml:space="preserve">1942-10-10</t>
  </si>
  <si>
    <t xml:space="preserve">1978-07-28</t>
  </si>
  <si>
    <t xml:space="preserve">1797 BONNIE BRAE AVE NE</t>
  </si>
  <si>
    <t xml:space="preserve">OH0024615174</t>
  </si>
  <si>
    <t xml:space="preserve">CAMPANY</t>
  </si>
  <si>
    <t xml:space="preserve">MORAN</t>
  </si>
  <si>
    <t xml:space="preserve">1961-08-18</t>
  </si>
  <si>
    <t xml:space="preserve">2018-04-13</t>
  </si>
  <si>
    <t xml:space="preserve">OH0026624879</t>
  </si>
  <si>
    <t xml:space="preserve">HOLGUIN</t>
  </si>
  <si>
    <t xml:space="preserve">MELINA</t>
  </si>
  <si>
    <t xml:space="preserve">ALEZANDRA</t>
  </si>
  <si>
    <t xml:space="preserve">2004-06-14</t>
  </si>
  <si>
    <t xml:space="preserve">2023-04-04</t>
  </si>
  <si>
    <t xml:space="preserve">1806 BONNIE BRAE AVE NE</t>
  </si>
  <si>
    <t xml:space="preserve">OH0026817975</t>
  </si>
  <si>
    <t xml:space="preserve">BRIELLA</t>
  </si>
  <si>
    <t xml:space="preserve">2005-08-31</t>
  </si>
  <si>
    <t xml:space="preserve">OH0015790385</t>
  </si>
  <si>
    <t xml:space="preserve">MARY</t>
  </si>
  <si>
    <t xml:space="preserve">1979-06-18</t>
  </si>
  <si>
    <t xml:space="preserve">2020-01-13</t>
  </si>
  <si>
    <t xml:space="preserve">OH0021961234</t>
  </si>
  <si>
    <t xml:space="preserve">1993-04-29</t>
  </si>
  <si>
    <t xml:space="preserve">2017-04-29</t>
  </si>
  <si>
    <t xml:space="preserve">1807 BONNIE BRAE AVE NE</t>
  </si>
  <si>
    <t xml:space="preserve">OH0027665430</t>
  </si>
  <si>
    <t xml:space="preserve">MORRIS</t>
  </si>
  <si>
    <t xml:space="preserve">SIERRA</t>
  </si>
  <si>
    <t xml:space="preserve">1993-11-14</t>
  </si>
  <si>
    <t xml:space="preserve">2024-09-30</t>
  </si>
  <si>
    <t xml:space="preserve">1816 BONNIE BRAE AVE NE</t>
  </si>
  <si>
    <t xml:space="preserve">OH0027747423</t>
  </si>
  <si>
    <t xml:space="preserve">1991-10-10</t>
  </si>
  <si>
    <t xml:space="preserve">2024-10-05</t>
  </si>
  <si>
    <t xml:space="preserve">OH0015717657</t>
  </si>
  <si>
    <t xml:space="preserve">MECHLING</t>
  </si>
  <si>
    <t xml:space="preserve">GARY</t>
  </si>
  <si>
    <t xml:space="preserve">1963-09-01</t>
  </si>
  <si>
    <t xml:space="preserve">1826 BONNIE BRAE AVE NE</t>
  </si>
  <si>
    <t xml:space="preserve">OH0020956227</t>
  </si>
  <si>
    <t xml:space="preserve">TEASLEY</t>
  </si>
  <si>
    <t xml:space="preserve">BERNARD</t>
  </si>
  <si>
    <t xml:space="preserve">EUGENE</t>
  </si>
  <si>
    <t xml:space="preserve">2016-11-01</t>
  </si>
  <si>
    <t xml:space="preserve">OH0026639705</t>
  </si>
  <si>
    <t xml:space="preserve">GREGGORY</t>
  </si>
  <si>
    <t xml:space="preserve">WILLIAM LEE</t>
  </si>
  <si>
    <t xml:space="preserve">2004-08-04</t>
  </si>
  <si>
    <t xml:space="preserve">2025-03-20</t>
  </si>
  <si>
    <t xml:space="preserve">OH0026621984</t>
  </si>
  <si>
    <t xml:space="preserve">GABIELLE</t>
  </si>
  <si>
    <t xml:space="preserve">2004-08-24</t>
  </si>
  <si>
    <t xml:space="preserve">2022-09-06</t>
  </si>
  <si>
    <t xml:space="preserve">1836 BONNIE BRAE AVE NE</t>
  </si>
  <si>
    <t xml:space="preserve">OH0021035075</t>
  </si>
  <si>
    <t xml:space="preserve">STEVEY</t>
  </si>
  <si>
    <t xml:space="preserve">1985-08-06</t>
  </si>
  <si>
    <t xml:space="preserve">2010-08-11</t>
  </si>
  <si>
    <t xml:space="preserve">OH0015796910</t>
  </si>
  <si>
    <t xml:space="preserve">BOLINO</t>
  </si>
  <si>
    <t xml:space="preserve">1984-09-05</t>
  </si>
  <si>
    <t xml:space="preserve">2015-01-03</t>
  </si>
  <si>
    <t xml:space="preserve">1837 BONNIE BRAE AVE NE</t>
  </si>
  <si>
    <t xml:space="preserve">OH0015690918</t>
  </si>
  <si>
    <t xml:space="preserve">LAWRENCE</t>
  </si>
  <si>
    <t xml:space="preserve">1950-07-23</t>
  </si>
  <si>
    <t xml:space="preserve">1981-02-06</t>
  </si>
  <si>
    <t xml:space="preserve">OH0025671035</t>
  </si>
  <si>
    <t xml:space="preserve">LEROY</t>
  </si>
  <si>
    <t xml:space="preserve">1958-02-13</t>
  </si>
  <si>
    <t xml:space="preserve">2020-07-25</t>
  </si>
  <si>
    <t xml:space="preserve">1846 BONNIE BRAE AVE NE</t>
  </si>
  <si>
    <t xml:space="preserve">OH0025671017</t>
  </si>
  <si>
    <t xml:space="preserve">DEBRA</t>
  </si>
  <si>
    <t xml:space="preserve">1951-05-04</t>
  </si>
  <si>
    <t xml:space="preserve">OH0015777058</t>
  </si>
  <si>
    <t xml:space="preserve">MERRIFIELD</t>
  </si>
  <si>
    <t xml:space="preserve">1943-04-10</t>
  </si>
  <si>
    <t xml:space="preserve">1847 BONNIE BRAE AVE NE</t>
  </si>
  <si>
    <t xml:space="preserve">OH0018759212</t>
  </si>
  <si>
    <t xml:space="preserve">1967-08-30</t>
  </si>
  <si>
    <t xml:space="preserve">2025-03-22</t>
  </si>
  <si>
    <t xml:space="preserve">1857 BONNIE BRAE AVE NE</t>
  </si>
  <si>
    <t xml:space="preserve">OH0027952527</t>
  </si>
  <si>
    <t xml:space="preserve">PORTER</t>
  </si>
  <si>
    <t xml:space="preserve">CIERRA</t>
  </si>
  <si>
    <t xml:space="preserve">JEWEL</t>
  </si>
  <si>
    <t xml:space="preserve">2005-02-02</t>
  </si>
  <si>
    <t xml:space="preserve">1866 BONNIE BRAE AVE NE</t>
  </si>
  <si>
    <t xml:space="preserve">OH0018757829</t>
  </si>
  <si>
    <t xml:space="preserve">HARRELL</t>
  </si>
  <si>
    <t xml:space="preserve">BARBARA</t>
  </si>
  <si>
    <t xml:space="preserve">1940-06-03</t>
  </si>
  <si>
    <t xml:space="preserve">2018-06-06</t>
  </si>
  <si>
    <t xml:space="preserve">OH0019196594</t>
  </si>
  <si>
    <t xml:space="preserve">LESHER</t>
  </si>
  <si>
    <t xml:space="preserve">1976-01-05</t>
  </si>
  <si>
    <t xml:space="preserve">2008-12-08</t>
  </si>
  <si>
    <t xml:space="preserve">OH0015722508</t>
  </si>
  <si>
    <t xml:space="preserve">RACHEL</t>
  </si>
  <si>
    <t xml:space="preserve">1970-01-08</t>
  </si>
  <si>
    <t xml:space="preserve">2012-05-29</t>
  </si>
  <si>
    <t xml:space="preserve">OH0024671526</t>
  </si>
  <si>
    <t xml:space="preserve">COX</t>
  </si>
  <si>
    <t xml:space="preserve">1999-02-28</t>
  </si>
  <si>
    <t xml:space="preserve">2020-02-28</t>
  </si>
  <si>
    <t xml:space="preserve">OH0015702287</t>
  </si>
  <si>
    <t xml:space="preserve">KINTZ</t>
  </si>
  <si>
    <t xml:space="preserve">MIRANDA</t>
  </si>
  <si>
    <t xml:space="preserve">1981-08-22</t>
  </si>
  <si>
    <t xml:space="preserve">2010-02-03</t>
  </si>
  <si>
    <t xml:space="preserve">1876 BONNIE BRAE AVE NE</t>
  </si>
  <si>
    <t xml:space="preserve">OH0015686964</t>
  </si>
  <si>
    <t xml:space="preserve">STEVE</t>
  </si>
  <si>
    <t xml:space="preserve">1980-05-09</t>
  </si>
  <si>
    <t xml:space="preserve">OH0023544253</t>
  </si>
  <si>
    <t xml:space="preserve">BEST</t>
  </si>
  <si>
    <t xml:space="preserve">LEEANN</t>
  </si>
  <si>
    <t xml:space="preserve">1997-11-19</t>
  </si>
  <si>
    <t xml:space="preserve">2022-11-21</t>
  </si>
  <si>
    <t xml:space="preserve">1877 BONNIE BRAE AVE NE</t>
  </si>
  <si>
    <t xml:space="preserve">OH0019038459</t>
  </si>
  <si>
    <t xml:space="preserve">MARKLE</t>
  </si>
  <si>
    <t xml:space="preserve">1979-06-13</t>
  </si>
  <si>
    <t xml:space="preserve">OH0024718859</t>
  </si>
  <si>
    <t xml:space="preserve">KAYSEY</t>
  </si>
  <si>
    <t xml:space="preserve">MISHELL</t>
  </si>
  <si>
    <t xml:space="preserve">1999-11-29</t>
  </si>
  <si>
    <t xml:space="preserve">2024-06-24</t>
  </si>
  <si>
    <t xml:space="preserve">OH0023347893</t>
  </si>
  <si>
    <t xml:space="preserve">BENDER</t>
  </si>
  <si>
    <t xml:space="preserve">MAURICE</t>
  </si>
  <si>
    <t xml:space="preserve">JVON</t>
  </si>
  <si>
    <t xml:space="preserve">1996-10-01</t>
  </si>
  <si>
    <t xml:space="preserve">2024-10-12</t>
  </si>
  <si>
    <t xml:space="preserve">OH0015784134</t>
  </si>
  <si>
    <t xml:space="preserve">WARFIELD</t>
  </si>
  <si>
    <t xml:space="preserve">ISABELLE</t>
  </si>
  <si>
    <t xml:space="preserve">1953-01-02</t>
  </si>
  <si>
    <t xml:space="preserve">2018-08-06</t>
  </si>
  <si>
    <t xml:space="preserve">1886 BONNIE BRAE AVE NE</t>
  </si>
  <si>
    <t xml:space="preserve">OH0015819175</t>
  </si>
  <si>
    <t xml:space="preserve">DARRYELL</t>
  </si>
  <si>
    <t xml:space="preserve">1949-04-22</t>
  </si>
  <si>
    <t xml:space="preserve">2023-06-11</t>
  </si>
  <si>
    <t xml:space="preserve">OH0025632644</t>
  </si>
  <si>
    <t xml:space="preserve">SOLTIS</t>
  </si>
  <si>
    <t xml:space="preserve">RONALD</t>
  </si>
  <si>
    <t xml:space="preserve">ALAN</t>
  </si>
  <si>
    <t xml:space="preserve">1966-11-04</t>
  </si>
  <si>
    <t xml:space="preserve">1904 BONNIE BRAE AVE NE</t>
  </si>
  <si>
    <t xml:space="preserve">OH0015776611</t>
  </si>
  <si>
    <t xml:space="preserve">KARAFA</t>
  </si>
  <si>
    <t xml:space="preserve">CATHERINE</t>
  </si>
  <si>
    <t xml:space="preserve">1942-04-22</t>
  </si>
  <si>
    <t xml:space="preserve">1964-09-21</t>
  </si>
  <si>
    <t xml:space="preserve">1905 BONNIE BRAE AVE NE</t>
  </si>
  <si>
    <t xml:space="preserve">OH0015776607</t>
  </si>
  <si>
    <t xml:space="preserve">ANDREW</t>
  </si>
  <si>
    <t xml:space="preserve">1938-10-19</t>
  </si>
  <si>
    <t xml:space="preserve">1960-03-23</t>
  </si>
  <si>
    <t xml:space="preserve">OH0027709035</t>
  </si>
  <si>
    <t xml:space="preserve">METZ</t>
  </si>
  <si>
    <t xml:space="preserve">1963-07-29</t>
  </si>
  <si>
    <t xml:space="preserve">1914 BONNIE BRAE AVE NE</t>
  </si>
  <si>
    <t xml:space="preserve">OH0023091826</t>
  </si>
  <si>
    <t xml:space="preserve">LEWIS</t>
  </si>
  <si>
    <t xml:space="preserve">1997-03-06</t>
  </si>
  <si>
    <t xml:space="preserve">2020-09-29</t>
  </si>
  <si>
    <t xml:space="preserve">1924 BONNIE BRAE AVE NE</t>
  </si>
  <si>
    <t xml:space="preserve">OH0027248585</t>
  </si>
  <si>
    <t xml:space="preserve">BOURGEOIS</t>
  </si>
  <si>
    <t xml:space="preserve">FERREL</t>
  </si>
  <si>
    <t xml:space="preserve">1956-07-30</t>
  </si>
  <si>
    <t xml:space="preserve">2025-06-04</t>
  </si>
  <si>
    <t xml:space="preserve">OH0018584856</t>
  </si>
  <si>
    <t xml:space="preserve">THELMA</t>
  </si>
  <si>
    <t xml:space="preserve">2025-06-16</t>
  </si>
  <si>
    <t xml:space="preserve">OH0025956235</t>
  </si>
  <si>
    <t xml:space="preserve">MCCLAIN</t>
  </si>
  <si>
    <t xml:space="preserve">KLEIGH</t>
  </si>
  <si>
    <t xml:space="preserve">1997-02-05</t>
  </si>
  <si>
    <t xml:space="preserve">2020-09-22</t>
  </si>
  <si>
    <t xml:space="preserve">OH0027269836</t>
  </si>
  <si>
    <t xml:space="preserve">SCHRINER</t>
  </si>
  <si>
    <t xml:space="preserve">MATHEW</t>
  </si>
  <si>
    <t xml:space="preserve">1994-01-25</t>
  </si>
  <si>
    <t xml:space="preserve">2024-02-24</t>
  </si>
  <si>
    <t xml:space="preserve">OH0027741487</t>
  </si>
  <si>
    <t xml:space="preserve">RICHARDS</t>
  </si>
  <si>
    <t xml:space="preserve">SALLY</t>
  </si>
  <si>
    <t xml:space="preserve">1972-12-21</t>
  </si>
  <si>
    <t xml:space="preserve">1934 BONNIE BRAE AVE NE</t>
  </si>
  <si>
    <t xml:space="preserve">OH0015742629</t>
  </si>
  <si>
    <t xml:space="preserve">1968-11-26</t>
  </si>
  <si>
    <t xml:space="preserve">2000-01-23</t>
  </si>
  <si>
    <t xml:space="preserve">OH0015712194</t>
  </si>
  <si>
    <t xml:space="preserve">TAIPALE</t>
  </si>
  <si>
    <t xml:space="preserve">1953-02-01</t>
  </si>
  <si>
    <t xml:space="preserve">2024-09-26</t>
  </si>
  <si>
    <t xml:space="preserve">1935 BONNIE BRAE AVE NE</t>
  </si>
  <si>
    <t xml:space="preserve">OH0015708188</t>
  </si>
  <si>
    <t xml:space="preserve">ROGER</t>
  </si>
  <si>
    <t xml:space="preserve">1952-12-10</t>
  </si>
  <si>
    <t xml:space="preserve">2013-11-25</t>
  </si>
  <si>
    <t xml:space="preserve">OH0016038524</t>
  </si>
  <si>
    <t xml:space="preserve">ARMBASICK</t>
  </si>
  <si>
    <t xml:space="preserve">1977-03-10</t>
  </si>
  <si>
    <t xml:space="preserve">2015-07-31</t>
  </si>
  <si>
    <t xml:space="preserve">1944 BONNIE BRAE AVE NE</t>
  </si>
  <si>
    <t xml:space="preserve">OH0027850567</t>
  </si>
  <si>
    <t xml:space="preserve">ARMSTRONG</t>
  </si>
  <si>
    <t xml:space="preserve">BRENT</t>
  </si>
  <si>
    <t xml:space="preserve">2003-11-21</t>
  </si>
  <si>
    <t xml:space="preserve">1945 BONNIE BRAE AVE NE</t>
  </si>
  <si>
    <t xml:space="preserve">OH0015737797</t>
  </si>
  <si>
    <t xml:space="preserve">GRIMM</t>
  </si>
  <si>
    <t xml:space="preserve">JEANETTE</t>
  </si>
  <si>
    <t xml:space="preserve">1952-06-18</t>
  </si>
  <si>
    <t xml:space="preserve">2020-08-05</t>
  </si>
  <si>
    <t xml:space="preserve">1954 BONNIE BRAE AVE NE</t>
  </si>
  <si>
    <t xml:space="preserve">OH0025291509</t>
  </si>
  <si>
    <t xml:space="preserve">STEPHEN</t>
  </si>
  <si>
    <t xml:space="preserve">1950-12-19</t>
  </si>
  <si>
    <t xml:space="preserve">OH0023646174</t>
  </si>
  <si>
    <t xml:space="preserve">LEA</t>
  </si>
  <si>
    <t xml:space="preserve">1976-11-16</t>
  </si>
  <si>
    <t xml:space="preserve">1955 BONNIE BRAE AVE NE</t>
  </si>
  <si>
    <t xml:space="preserve">OH0015767257</t>
  </si>
  <si>
    <t xml:space="preserve">EDWARD</t>
  </si>
  <si>
    <t xml:space="preserve">1977-09-27</t>
  </si>
  <si>
    <t xml:space="preserve">2020-02-12</t>
  </si>
  <si>
    <t xml:space="preserve">OH0015704635</t>
  </si>
  <si>
    <t xml:space="preserve">LAUER</t>
  </si>
  <si>
    <t xml:space="preserve">1961-06-01</t>
  </si>
  <si>
    <t xml:space="preserve">2016-07-20</t>
  </si>
  <si>
    <t xml:space="preserve">1964 BONNIE BRAE AVE NE</t>
  </si>
  <si>
    <t xml:space="preserve">OH0019519049</t>
  </si>
  <si>
    <t xml:space="preserve">WALDROP</t>
  </si>
  <si>
    <t xml:space="preserve">BOBBI JO</t>
  </si>
  <si>
    <t xml:space="preserve">1955-07-18</t>
  </si>
  <si>
    <t xml:space="preserve">1965 BONNIE BRAE AVE NE</t>
  </si>
  <si>
    <t xml:space="preserve">OH0019980802</t>
  </si>
  <si>
    <t xml:space="preserve">TSAPOS</t>
  </si>
  <si>
    <t xml:space="preserve">HOLLY</t>
  </si>
  <si>
    <t xml:space="preserve">1985-09-17</t>
  </si>
  <si>
    <t xml:space="preserve">1974 BONNIE BRAE AVE NE</t>
  </si>
  <si>
    <t xml:space="preserve">OH0015784580</t>
  </si>
  <si>
    <t xml:space="preserve">KORECKI</t>
  </si>
  <si>
    <t xml:space="preserve">1972-01-28</t>
  </si>
  <si>
    <t xml:space="preserve">1975 BONNIE BRAE AVE NE</t>
  </si>
  <si>
    <t xml:space="preserve">OH0019027057</t>
  </si>
  <si>
    <t xml:space="preserve">I</t>
  </si>
  <si>
    <t xml:space="preserve">1984-02-16</t>
  </si>
  <si>
    <t xml:space="preserve">OH0025339736</t>
  </si>
  <si>
    <t xml:space="preserve">HECKMAN</t>
  </si>
  <si>
    <t xml:space="preserve">DESIREE</t>
  </si>
  <si>
    <t xml:space="preserve">1995-05-04</t>
  </si>
  <si>
    <t xml:space="preserve">2024-11-01</t>
  </si>
  <si>
    <t xml:space="preserve">1984 BONNIE BRAE AVE NE</t>
  </si>
  <si>
    <t xml:space="preserve">OH0024187077</t>
  </si>
  <si>
    <t xml:space="preserve">BANIC</t>
  </si>
  <si>
    <t xml:space="preserve">1993-03-23</t>
  </si>
  <si>
    <t xml:space="preserve">2022-03-28</t>
  </si>
  <si>
    <t xml:space="preserve">OH0015810445</t>
  </si>
  <si>
    <t xml:space="preserve">BARNES</t>
  </si>
  <si>
    <t xml:space="preserve">CATRINA</t>
  </si>
  <si>
    <t xml:space="preserve">1978-12-03</t>
  </si>
  <si>
    <t xml:space="preserve">2024-09-08</t>
  </si>
  <si>
    <t xml:space="preserve">1994 BONNIE BRAE AVE NE</t>
  </si>
  <si>
    <t xml:space="preserve">OH0024069907</t>
  </si>
  <si>
    <t xml:space="preserve">1968-05-01</t>
  </si>
  <si>
    <t xml:space="preserve">2023-08-06</t>
  </si>
  <si>
    <t xml:space="preserve">1995 BONNIE BRAE AVE NE</t>
  </si>
  <si>
    <t xml:space="preserve">OH0024069893</t>
  </si>
  <si>
    <t xml:space="preserve">LORETTA</t>
  </si>
  <si>
    <t xml:space="preserve">1966-05-27</t>
  </si>
  <si>
    <t xml:space="preserve">OH0015713550</t>
  </si>
  <si>
    <t xml:space="preserve">SEGER</t>
  </si>
  <si>
    <t xml:space="preserve">1966-04-15</t>
  </si>
  <si>
    <t xml:space="preserve">2004 BONNIE BRAE AVE NE</t>
  </si>
  <si>
    <t xml:space="preserve">OH0026215835</t>
  </si>
  <si>
    <t xml:space="preserve">DARBY</t>
  </si>
  <si>
    <t xml:space="preserve">JUDE</t>
  </si>
  <si>
    <t xml:space="preserve">1978-03-13</t>
  </si>
  <si>
    <t xml:space="preserve">2020-10-24</t>
  </si>
  <si>
    <t xml:space="preserve">2005 BONNIE BRAE AVE NE</t>
  </si>
  <si>
    <t xml:space="preserve">OH0015801061</t>
  </si>
  <si>
    <t xml:space="preserve">SHAFFER</t>
  </si>
  <si>
    <t xml:space="preserve">1946-12-31</t>
  </si>
  <si>
    <t xml:space="preserve">1968-06-04</t>
  </si>
  <si>
    <t xml:space="preserve">2025 BONNIE BRAE AVE NE</t>
  </si>
  <si>
    <t xml:space="preserve">OH0015687594</t>
  </si>
  <si>
    <t xml:space="preserve">SHERIE</t>
  </si>
  <si>
    <t xml:space="preserve">1952-02-13</t>
  </si>
  <si>
    <t xml:space="preserve">1980-09-30</t>
  </si>
  <si>
    <t xml:space="preserve">OH0021350951</t>
  </si>
  <si>
    <t xml:space="preserve">BAUGHER</t>
  </si>
  <si>
    <t xml:space="preserve">1993-02-19</t>
  </si>
  <si>
    <t xml:space="preserve">2023-07-26</t>
  </si>
  <si>
    <t xml:space="preserve">2034 BONNIE BRAE AVE NE</t>
  </si>
  <si>
    <t xml:space="preserve">OH0015739989</t>
  </si>
  <si>
    <t xml:space="preserve">CLONCH</t>
  </si>
  <si>
    <t xml:space="preserve">1959-09-08</t>
  </si>
  <si>
    <t xml:space="preserve">2022-09-13</t>
  </si>
  <si>
    <t xml:space="preserve">2045 BONNIE BRAE AVE NE</t>
  </si>
  <si>
    <t xml:space="preserve">OH0025109662</t>
  </si>
  <si>
    <t xml:space="preserve">WAMER</t>
  </si>
  <si>
    <t xml:space="preserve">1986-04-11</t>
  </si>
  <si>
    <t xml:space="preserve">2021-08-16</t>
  </si>
  <si>
    <t xml:space="preserve">2055 BONNIE BRAE AVE NE</t>
  </si>
  <si>
    <t xml:space="preserve">OH0019559353</t>
  </si>
  <si>
    <t xml:space="preserve">BEADLING</t>
  </si>
  <si>
    <t xml:space="preserve">NAKITA</t>
  </si>
  <si>
    <t xml:space="preserve">1988-11-22</t>
  </si>
  <si>
    <t xml:space="preserve">2015-07-02</t>
  </si>
  <si>
    <t xml:space="preserve">2064 BONNIE BRAE AVE NE</t>
  </si>
  <si>
    <t xml:space="preserve">OH0021187859</t>
  </si>
  <si>
    <t xml:space="preserve">SHAWNA</t>
  </si>
  <si>
    <t xml:space="preserve">1991-05-21</t>
  </si>
  <si>
    <t xml:space="preserve">2015-07-07</t>
  </si>
  <si>
    <t xml:space="preserve">OH0021279240</t>
  </si>
  <si>
    <t xml:space="preserve">CARRIE</t>
  </si>
  <si>
    <t xml:space="preserve">1962-11-25</t>
  </si>
  <si>
    <t xml:space="preserve">OH0015715701</t>
  </si>
  <si>
    <t xml:space="preserve">1964-11-17</t>
  </si>
  <si>
    <t xml:space="preserve">2015-07-06</t>
  </si>
  <si>
    <t xml:space="preserve">OH0015807730</t>
  </si>
  <si>
    <t xml:space="preserve">BATES</t>
  </si>
  <si>
    <t xml:space="preserve">1967-08-04</t>
  </si>
  <si>
    <t xml:space="preserve">2024-08-13</t>
  </si>
  <si>
    <t xml:space="preserve">2065 BONNIE BRAE AVE NE</t>
  </si>
  <si>
    <t xml:space="preserve">OH0021373457</t>
  </si>
  <si>
    <t xml:space="preserve">CARL</t>
  </si>
  <si>
    <t xml:space="preserve">1939-05-04</t>
  </si>
  <si>
    <t xml:space="preserve">2011-04-05</t>
  </si>
  <si>
    <t xml:space="preserve">OH0022221874</t>
  </si>
  <si>
    <t xml:space="preserve">MINETT</t>
  </si>
  <si>
    <t xml:space="preserve">1994-09-08</t>
  </si>
  <si>
    <t xml:space="preserve">2021-03-18</t>
  </si>
  <si>
    <t xml:space="preserve">2075 BONNIE BRAE AVE NE</t>
  </si>
  <si>
    <t xml:space="preserve">OH0022360509</t>
  </si>
  <si>
    <t xml:space="preserve">DVORAK</t>
  </si>
  <si>
    <t xml:space="preserve">1995-03-06</t>
  </si>
  <si>
    <t xml:space="preserve">2020-10-20</t>
  </si>
  <si>
    <t xml:space="preserve">OH0015680262</t>
  </si>
  <si>
    <t xml:space="preserve">GROOVER</t>
  </si>
  <si>
    <t xml:space="preserve">1973-12-14</t>
  </si>
  <si>
    <t xml:space="preserve">1997-06-19</t>
  </si>
  <si>
    <t xml:space="preserve">2084 BONNIE BRAE AVE NE</t>
  </si>
  <si>
    <t xml:space="preserve">OH0015703216</t>
  </si>
  <si>
    <t xml:space="preserve">1966-03-06</t>
  </si>
  <si>
    <t xml:space="preserve">OH0026517133</t>
  </si>
  <si>
    <t xml:space="preserve">REESMAN</t>
  </si>
  <si>
    <t xml:space="preserve">2004-01-09</t>
  </si>
  <si>
    <t xml:space="preserve">2022-04-11</t>
  </si>
  <si>
    <t xml:space="preserve">1306 BRIGHTON AVE NE</t>
  </si>
  <si>
    <t xml:space="preserve">OH0015677219</t>
  </si>
  <si>
    <t xml:space="preserve">BEVER</t>
  </si>
  <si>
    <t xml:space="preserve">1982-06-14</t>
  </si>
  <si>
    <t xml:space="preserve">2015-11-06</t>
  </si>
  <si>
    <t xml:space="preserve">OH0026522418</t>
  </si>
  <si>
    <t xml:space="preserve">WATSON</t>
  </si>
  <si>
    <t xml:space="preserve">SEBASTIAN</t>
  </si>
  <si>
    <t xml:space="preserve">2001-05-25</t>
  </si>
  <si>
    <t xml:space="preserve">OH0015802829</t>
  </si>
  <si>
    <t xml:space="preserve">1985-02-23</t>
  </si>
  <si>
    <t xml:space="preserve">2016-09-08</t>
  </si>
  <si>
    <t xml:space="preserve">OH0015785098</t>
  </si>
  <si>
    <t xml:space="preserve">BEDNAR</t>
  </si>
  <si>
    <t xml:space="preserve">LEONARD</t>
  </si>
  <si>
    <t xml:space="preserve">1955-08-05</t>
  </si>
  <si>
    <t xml:space="preserve">2024-01-08</t>
  </si>
  <si>
    <t xml:space="preserve">1312 BRIGHTON AVE NE</t>
  </si>
  <si>
    <t xml:space="preserve">OH0022777081</t>
  </si>
  <si>
    <t xml:space="preserve">1945-05-04</t>
  </si>
  <si>
    <t xml:space="preserve">2014-07-03</t>
  </si>
  <si>
    <t xml:space="preserve">1320 BRIGHTON AVE NE</t>
  </si>
  <si>
    <t xml:space="preserve">OH0027733871</t>
  </si>
  <si>
    <t xml:space="preserve">RAY ANTHONY</t>
  </si>
  <si>
    <t xml:space="preserve">1995-08-15</t>
  </si>
  <si>
    <t xml:space="preserve">2024-10-08</t>
  </si>
  <si>
    <t xml:space="preserve">1337 BRIGHTON AVE NE</t>
  </si>
  <si>
    <t xml:space="preserve">OH0015767719</t>
  </si>
  <si>
    <t xml:space="preserve">CASH</t>
  </si>
  <si>
    <t xml:space="preserve">LYN</t>
  </si>
  <si>
    <t xml:space="preserve">1953-07-08</t>
  </si>
  <si>
    <t xml:space="preserve">2022-08-05</t>
  </si>
  <si>
    <t xml:space="preserve">OH0026574914</t>
  </si>
  <si>
    <t xml:space="preserve">BUTTON</t>
  </si>
  <si>
    <t xml:space="preserve">LAURENCE</t>
  </si>
  <si>
    <t xml:space="preserve">1981-07-15</t>
  </si>
  <si>
    <t xml:space="preserve">2022-09-05</t>
  </si>
  <si>
    <t xml:space="preserve">1344 BRIGHTON AVE NE</t>
  </si>
  <si>
    <t xml:space="preserve">OH0024982035</t>
  </si>
  <si>
    <t xml:space="preserve">WILKINS</t>
  </si>
  <si>
    <t xml:space="preserve">KENDRA</t>
  </si>
  <si>
    <t xml:space="preserve">1979-04-04</t>
  </si>
  <si>
    <t xml:space="preserve">1345 BRIGHTON AVE NE</t>
  </si>
  <si>
    <t xml:space="preserve">OH0023981780</t>
  </si>
  <si>
    <t xml:space="preserve">1968-08-17</t>
  </si>
  <si>
    <t xml:space="preserve">OH0015763523</t>
  </si>
  <si>
    <t xml:space="preserve">1961-01-14</t>
  </si>
  <si>
    <t xml:space="preserve">2015-11-03</t>
  </si>
  <si>
    <t xml:space="preserve">1580 BRIGHTON AVE NE</t>
  </si>
  <si>
    <t xml:space="preserve">OH0024845407</t>
  </si>
  <si>
    <t xml:space="preserve">FRANKLIN</t>
  </si>
  <si>
    <t xml:space="preserve">CADEIDRA</t>
  </si>
  <si>
    <t xml:space="preserve">1994-03-13</t>
  </si>
  <si>
    <t xml:space="preserve">2022-04-25</t>
  </si>
  <si>
    <t xml:space="preserve">1588 BRIGHTON AVE NE</t>
  </si>
  <si>
    <t xml:space="preserve">OH0022734904</t>
  </si>
  <si>
    <t xml:space="preserve">MAGGIO</t>
  </si>
  <si>
    <t xml:space="preserve">1996-02-28</t>
  </si>
  <si>
    <t xml:space="preserve">2018-05-22</t>
  </si>
  <si>
    <t xml:space="preserve">1610 BRIGHTON AVE NE</t>
  </si>
  <si>
    <t xml:space="preserve">OH0027493475</t>
  </si>
  <si>
    <t xml:space="preserve">EXZIAH</t>
  </si>
  <si>
    <t xml:space="preserve">LYNICE</t>
  </si>
  <si>
    <t xml:space="preserve">2006-08-20</t>
  </si>
  <si>
    <t xml:space="preserve">1618 BRIGHTON AVE NE</t>
  </si>
  <si>
    <t xml:space="preserve">OH0018713645</t>
  </si>
  <si>
    <t xml:space="preserve">MILLIRON</t>
  </si>
  <si>
    <t xml:space="preserve">ALICIA</t>
  </si>
  <si>
    <t xml:space="preserve">1987-12-22</t>
  </si>
  <si>
    <t xml:space="preserve">1020 BUENA VISTA AVE NE</t>
  </si>
  <si>
    <t xml:space="preserve">OH0015780434</t>
  </si>
  <si>
    <t xml:space="preserve">1983-10-11</t>
  </si>
  <si>
    <t xml:space="preserve">2017-11-07</t>
  </si>
  <si>
    <t xml:space="preserve">OH0024223550</t>
  </si>
  <si>
    <t xml:space="preserve">FLOWERS</t>
  </si>
  <si>
    <t xml:space="preserve">LYDIA</t>
  </si>
  <si>
    <t xml:space="preserve">MARLENE</t>
  </si>
  <si>
    <t xml:space="preserve">1989-08-22</t>
  </si>
  <si>
    <t xml:space="preserve">2017-02-10</t>
  </si>
  <si>
    <t xml:space="preserve">1028 BUENA VISTA AVE NE</t>
  </si>
  <si>
    <t xml:space="preserve">OH0015704218</t>
  </si>
  <si>
    <t xml:space="preserve">1984-04-10</t>
  </si>
  <si>
    <t xml:space="preserve">2016-04-04</t>
  </si>
  <si>
    <t xml:space="preserve">OH0026806312</t>
  </si>
  <si>
    <t xml:space="preserve">BEANE</t>
  </si>
  <si>
    <t xml:space="preserve">DAYCHAUN</t>
  </si>
  <si>
    <t xml:space="preserve">MARTELL</t>
  </si>
  <si>
    <t xml:space="preserve">1997-12-24</t>
  </si>
  <si>
    <t xml:space="preserve">OH0025963906</t>
  </si>
  <si>
    <t xml:space="preserve">COMPSTON</t>
  </si>
  <si>
    <t xml:space="preserve">GARRETT</t>
  </si>
  <si>
    <t xml:space="preserve">1982-05-04</t>
  </si>
  <si>
    <t xml:space="preserve">1036 BUENA VISTA AVE NE</t>
  </si>
  <si>
    <t xml:space="preserve">OH0015691217</t>
  </si>
  <si>
    <t xml:space="preserve">KATHY</t>
  </si>
  <si>
    <t xml:space="preserve">1977-06-19</t>
  </si>
  <si>
    <t xml:space="preserve">OH0024785484</t>
  </si>
  <si>
    <t xml:space="preserve">QUINYONTE</t>
  </si>
  <si>
    <t xml:space="preserve">SAKENA</t>
  </si>
  <si>
    <t xml:space="preserve">2000-08-02</t>
  </si>
  <si>
    <t xml:space="preserve">2023-08-19</t>
  </si>
  <si>
    <t xml:space="preserve">1039 BUENA VISTA AVE NE</t>
  </si>
  <si>
    <t xml:space="preserve">OH0026191740</t>
  </si>
  <si>
    <t xml:space="preserve">HASTINGS</t>
  </si>
  <si>
    <t xml:space="preserve">2003-02-17</t>
  </si>
  <si>
    <t xml:space="preserve">2021-05-04</t>
  </si>
  <si>
    <t xml:space="preserve">OH0020600487</t>
  </si>
  <si>
    <t xml:space="preserve">1965-10-17</t>
  </si>
  <si>
    <t xml:space="preserve">2009-03-09</t>
  </si>
  <si>
    <t xml:space="preserve">OH0021430471</t>
  </si>
  <si>
    <t xml:space="preserve">LEVELLE</t>
  </si>
  <si>
    <t xml:space="preserve">1975-08-07</t>
  </si>
  <si>
    <t xml:space="preserve">2013-08-07</t>
  </si>
  <si>
    <t xml:space="preserve">1046 BUENA VISTA AVE NE</t>
  </si>
  <si>
    <t xml:space="preserve">OH0025440759</t>
  </si>
  <si>
    <t xml:space="preserve">REISINGER</t>
  </si>
  <si>
    <t xml:space="preserve">CARA</t>
  </si>
  <si>
    <t xml:space="preserve">1999-08-29</t>
  </si>
  <si>
    <t xml:space="preserve">1049 BUENA VISTA AVE NE</t>
  </si>
  <si>
    <t xml:space="preserve">OH0023636337</t>
  </si>
  <si>
    <t xml:space="preserve">GRIMES</t>
  </si>
  <si>
    <t xml:space="preserve">1971-03-22</t>
  </si>
  <si>
    <t xml:space="preserve">2016-03-15</t>
  </si>
  <si>
    <t xml:space="preserve">OH0015737108</t>
  </si>
  <si>
    <t xml:space="preserve">SHIAMONE</t>
  </si>
  <si>
    <t xml:space="preserve">2000-10-12</t>
  </si>
  <si>
    <t xml:space="preserve">1059 BUENA VISTA AVE NE</t>
  </si>
  <si>
    <t xml:space="preserve">OH0026522031</t>
  </si>
  <si>
    <t xml:space="preserve">CLINE</t>
  </si>
  <si>
    <t xml:space="preserve">1992-11-14</t>
  </si>
  <si>
    <t xml:space="preserve">2022-06-03</t>
  </si>
  <si>
    <t xml:space="preserve">1064 BUENA VISTA AVE NE</t>
  </si>
  <si>
    <t xml:space="preserve">OH0021289022</t>
  </si>
  <si>
    <t xml:space="preserve">ZALEWSKI</t>
  </si>
  <si>
    <t xml:space="preserve">1991-12-20</t>
  </si>
  <si>
    <t xml:space="preserve">2024-01-09</t>
  </si>
  <si>
    <t xml:space="preserve">1069 BUENA VISTA AVE NE</t>
  </si>
  <si>
    <t xml:space="preserve">OH0015818836</t>
  </si>
  <si>
    <t xml:space="preserve">ASHELMAN</t>
  </si>
  <si>
    <t xml:space="preserve">ANDREA</t>
  </si>
  <si>
    <t xml:space="preserve">1976-10-19</t>
  </si>
  <si>
    <t xml:space="preserve">1074 BUENA VISTA AVE NE</t>
  </si>
  <si>
    <t xml:space="preserve">OH0026206165</t>
  </si>
  <si>
    <t xml:space="preserve">TRKULA</t>
  </si>
  <si>
    <t xml:space="preserve">1953-01-17</t>
  </si>
  <si>
    <t xml:space="preserve">2021-05-18</t>
  </si>
  <si>
    <t xml:space="preserve">OH0015692592</t>
  </si>
  <si>
    <t xml:space="preserve">MURPHY</t>
  </si>
  <si>
    <t xml:space="preserve">1956-12-25</t>
  </si>
  <si>
    <t xml:space="preserve">1979-04-26</t>
  </si>
  <si>
    <t xml:space="preserve">1084 BUENA VISTA AVE NE</t>
  </si>
  <si>
    <t xml:space="preserve">OH0022810284</t>
  </si>
  <si>
    <t xml:space="preserve">SHAFER</t>
  </si>
  <si>
    <t xml:space="preserve">SHAINA</t>
  </si>
  <si>
    <t xml:space="preserve">1988-06-03</t>
  </si>
  <si>
    <t xml:space="preserve">2023-06-26</t>
  </si>
  <si>
    <t xml:space="preserve">1089 BUENA VISTA AVE NE</t>
  </si>
  <si>
    <t xml:space="preserve">OH0015742726</t>
  </si>
  <si>
    <t xml:space="preserve">1981-11-28</t>
  </si>
  <si>
    <t xml:space="preserve">2015-06-27</t>
  </si>
  <si>
    <t xml:space="preserve">1094 BUENA VISTA AVE NE</t>
  </si>
  <si>
    <t xml:space="preserve">OH0026063068</t>
  </si>
  <si>
    <t xml:space="preserve">JAMAHL</t>
  </si>
  <si>
    <t xml:space="preserve">DESHAWN</t>
  </si>
  <si>
    <t xml:space="preserve">1992-02-26</t>
  </si>
  <si>
    <t xml:space="preserve">2020-11-03</t>
  </si>
  <si>
    <t xml:space="preserve">1109 BUENA VISTA AVE NE</t>
  </si>
  <si>
    <t xml:space="preserve">OH0024824763</t>
  </si>
  <si>
    <t xml:space="preserve">LESKO</t>
  </si>
  <si>
    <t xml:space="preserve">MICHEAL</t>
  </si>
  <si>
    <t xml:space="preserve">2000-09-12</t>
  </si>
  <si>
    <t xml:space="preserve">2024-01-23</t>
  </si>
  <si>
    <t xml:space="preserve">1119 BUENA VISTA AVE NE</t>
  </si>
  <si>
    <t xml:space="preserve">OH0015780813</t>
  </si>
  <si>
    <t xml:space="preserve">ASSALONE</t>
  </si>
  <si>
    <t xml:space="preserve">VENANZIO</t>
  </si>
  <si>
    <t xml:space="preserve">1931-07-06</t>
  </si>
  <si>
    <t xml:space="preserve">1972-10-06</t>
  </si>
  <si>
    <t xml:space="preserve">OH0022359555</t>
  </si>
  <si>
    <t xml:space="preserve">ERICA</t>
  </si>
  <si>
    <t xml:space="preserve">1995-01-31</t>
  </si>
  <si>
    <t xml:space="preserve">2019-10-07</t>
  </si>
  <si>
    <t xml:space="preserve">1129 BUENA VISTA AVE NE</t>
  </si>
  <si>
    <t xml:space="preserve">OH0020938149</t>
  </si>
  <si>
    <t xml:space="preserve">LUTON</t>
  </si>
  <si>
    <t xml:space="preserve">DERRICK</t>
  </si>
  <si>
    <t xml:space="preserve">1988-12-06</t>
  </si>
  <si>
    <t xml:space="preserve">2012-10-09</t>
  </si>
  <si>
    <t xml:space="preserve">1201 BUENA VISTA AVE NE</t>
  </si>
  <si>
    <t xml:space="preserve">OH0021340639</t>
  </si>
  <si>
    <t xml:space="preserve">DRAYE</t>
  </si>
  <si>
    <t xml:space="preserve">1993-04-17</t>
  </si>
  <si>
    <t xml:space="preserve">2011-03-16</t>
  </si>
  <si>
    <t xml:space="preserve">OH0025914986</t>
  </si>
  <si>
    <t xml:space="preserve">HARRIS</t>
  </si>
  <si>
    <t xml:space="preserve">1964-11-16</t>
  </si>
  <si>
    <t xml:space="preserve">2021-11-19</t>
  </si>
  <si>
    <t xml:space="preserve">1207 BUENA VISTA AVE NE</t>
  </si>
  <si>
    <t xml:space="preserve">OH0027459607</t>
  </si>
  <si>
    <t xml:space="preserve">BILLY</t>
  </si>
  <si>
    <t xml:space="preserve">GENE</t>
  </si>
  <si>
    <t xml:space="preserve">1990-05-16</t>
  </si>
  <si>
    <t xml:space="preserve">2024-07-28</t>
  </si>
  <si>
    <t xml:space="preserve">1224 BUENA VISTA AVE NE</t>
  </si>
  <si>
    <t xml:space="preserve">OH0024709565</t>
  </si>
  <si>
    <t xml:space="preserve">GROOVER ROSS</t>
  </si>
  <si>
    <t xml:space="preserve">1992-07-31</t>
  </si>
  <si>
    <t xml:space="preserve">OH0019989591</t>
  </si>
  <si>
    <t xml:space="preserve">GOULD</t>
  </si>
  <si>
    <t xml:space="preserve">BRITTANY</t>
  </si>
  <si>
    <t xml:space="preserve">1989-10-19</t>
  </si>
  <si>
    <t xml:space="preserve">2018-04-06</t>
  </si>
  <si>
    <t xml:space="preserve">1229 BUENA VISTA AVE NE</t>
  </si>
  <si>
    <t xml:space="preserve">OH0023440854</t>
  </si>
  <si>
    <t xml:space="preserve">BERMAN</t>
  </si>
  <si>
    <t xml:space="preserve">1986-11-30</t>
  </si>
  <si>
    <t xml:space="preserve">2020-06-06</t>
  </si>
  <si>
    <t xml:space="preserve">OH0026598465</t>
  </si>
  <si>
    <t xml:space="preserve">HELMAN</t>
  </si>
  <si>
    <t xml:space="preserve">DESTINY</t>
  </si>
  <si>
    <t xml:space="preserve">ROSALIE</t>
  </si>
  <si>
    <t xml:space="preserve">2004-02-11</t>
  </si>
  <si>
    <t xml:space="preserve">2022-07-06</t>
  </si>
  <si>
    <t xml:space="preserve">1245 BUENA VISTA AVE NE</t>
  </si>
  <si>
    <t xml:space="preserve">OH0015716375</t>
  </si>
  <si>
    <t xml:space="preserve">HOVER</t>
  </si>
  <si>
    <t xml:space="preserve">1964-10-02</t>
  </si>
  <si>
    <t xml:space="preserve">2011-05-18</t>
  </si>
  <si>
    <t xml:space="preserve">1353 BUENA VISTA AVE NE</t>
  </si>
  <si>
    <t xml:space="preserve">OH0023187457</t>
  </si>
  <si>
    <t xml:space="preserve">1986-09-05</t>
  </si>
  <si>
    <t xml:space="preserve">2015-06-10</t>
  </si>
  <si>
    <t xml:space="preserve">1354 BUENA VISTA AVE NE</t>
  </si>
  <si>
    <t xml:space="preserve">OH0015699139</t>
  </si>
  <si>
    <t xml:space="preserve">STOSKY</t>
  </si>
  <si>
    <t xml:space="preserve">1951-03-22</t>
  </si>
  <si>
    <t xml:space="preserve">1431 BUENA VISTA AVE NE</t>
  </si>
  <si>
    <t xml:space="preserve">OH0022432867</t>
  </si>
  <si>
    <t xml:space="preserve">DEMETRA</t>
  </si>
  <si>
    <t xml:space="preserve">1984-04-26</t>
  </si>
  <si>
    <t xml:space="preserve">2016-12-07</t>
  </si>
  <si>
    <t xml:space="preserve">1537 CLERMONT AVE NE</t>
  </si>
  <si>
    <t xml:space="preserve">OH0026163960</t>
  </si>
  <si>
    <t xml:space="preserve">2001-10-19</t>
  </si>
  <si>
    <t xml:space="preserve">2021-03-23</t>
  </si>
  <si>
    <t xml:space="preserve">1547 CLERMONT AVE NE</t>
  </si>
  <si>
    <t xml:space="preserve">OH0027060858</t>
  </si>
  <si>
    <t xml:space="preserve">CAROWICK</t>
  </si>
  <si>
    <t xml:space="preserve">KAITLYN</t>
  </si>
  <si>
    <t xml:space="preserve">LORRAINE GREY</t>
  </si>
  <si>
    <t xml:space="preserve">2002-03-04</t>
  </si>
  <si>
    <t xml:space="preserve">2023-09-22</t>
  </si>
  <si>
    <t xml:space="preserve">OH0026121962</t>
  </si>
  <si>
    <t xml:space="preserve">STEPHANIE</t>
  </si>
  <si>
    <t xml:space="preserve">2021-09-14</t>
  </si>
  <si>
    <t xml:space="preserve">1557 CLERMONT AVE NE</t>
  </si>
  <si>
    <t xml:space="preserve">OH0027789387</t>
  </si>
  <si>
    <t xml:space="preserve">STEARNS</t>
  </si>
  <si>
    <t xml:space="preserve">JOSHUA</t>
  </si>
  <si>
    <t xml:space="preserve">1992-05-03</t>
  </si>
  <si>
    <t xml:space="preserve">2024-11-12</t>
  </si>
  <si>
    <t xml:space="preserve">1587 CLERMONT AVE NE</t>
  </si>
  <si>
    <t xml:space="preserve">OH0026082838</t>
  </si>
  <si>
    <t xml:space="preserve">PAIGE</t>
  </si>
  <si>
    <t xml:space="preserve">1993-07-20</t>
  </si>
  <si>
    <t xml:space="preserve">2024-01-21</t>
  </si>
  <si>
    <t xml:space="preserve">OH0021494386</t>
  </si>
  <si>
    <t xml:space="preserve">ALSHAFEE</t>
  </si>
  <si>
    <t xml:space="preserve">BASHAR</t>
  </si>
  <si>
    <t xml:space="preserve">1962-06-25</t>
  </si>
  <si>
    <t xml:space="preserve">2011-08-05</t>
  </si>
  <si>
    <t xml:space="preserve">1597 CLERMONT AVE NE</t>
  </si>
  <si>
    <t xml:space="preserve">OH0026905124</t>
  </si>
  <si>
    <t xml:space="preserve">KNIGHT</t>
  </si>
  <si>
    <t xml:space="preserve">1989-04-17</t>
  </si>
  <si>
    <t xml:space="preserve">2023-04-25</t>
  </si>
  <si>
    <t xml:space="preserve">OH0025039541</t>
  </si>
  <si>
    <t xml:space="preserve">PEMBERTON</t>
  </si>
  <si>
    <t xml:space="preserve">1959-01-27</t>
  </si>
  <si>
    <t xml:space="preserve">2023-07-08</t>
  </si>
  <si>
    <t xml:space="preserve">1617 CLERMONT AVE NE</t>
  </si>
  <si>
    <t xml:space="preserve">OH0027139364</t>
  </si>
  <si>
    <t xml:space="preserve">BALDWIN</t>
  </si>
  <si>
    <t xml:space="preserve">1996-04-19</t>
  </si>
  <si>
    <t xml:space="preserve">2023-11-01</t>
  </si>
  <si>
    <t xml:space="preserve">1707 CLERMONT AVE NE</t>
  </si>
  <si>
    <t xml:space="preserve">OH0027789123</t>
  </si>
  <si>
    <t xml:space="preserve">LOPEZ</t>
  </si>
  <si>
    <t xml:space="preserve">1977-03-23</t>
  </si>
  <si>
    <t xml:space="preserve">OH0027596923</t>
  </si>
  <si>
    <t xml:space="preserve">GAIL</t>
  </si>
  <si>
    <t xml:space="preserve">1989-03-23</t>
  </si>
  <si>
    <t xml:space="preserve">2024-08-27</t>
  </si>
  <si>
    <t xml:space="preserve">1717 CLERMONT AVE NE</t>
  </si>
  <si>
    <t xml:space="preserve">OH0015702759</t>
  </si>
  <si>
    <t xml:space="preserve">BOSAK</t>
  </si>
  <si>
    <t xml:space="preserve">1961-07-01</t>
  </si>
  <si>
    <t xml:space="preserve">1984-01-27</t>
  </si>
  <si>
    <t xml:space="preserve">OH0027342018</t>
  </si>
  <si>
    <t xml:space="preserve">JUSINO</t>
  </si>
  <si>
    <t xml:space="preserve">DAHLIA</t>
  </si>
  <si>
    <t xml:space="preserve">1991-03-07</t>
  </si>
  <si>
    <t xml:space="preserve">2024-04-26</t>
  </si>
  <si>
    <t xml:space="preserve">1767 CLERMONT AVE NE</t>
  </si>
  <si>
    <t xml:space="preserve">OH0026822875</t>
  </si>
  <si>
    <t xml:space="preserve">NELLIE</t>
  </si>
  <si>
    <t xml:space="preserve">1961-04-17</t>
  </si>
  <si>
    <t xml:space="preserve">2023-02-14</t>
  </si>
  <si>
    <t xml:space="preserve">OH0027329556</t>
  </si>
  <si>
    <t xml:space="preserve">JUSINO VEGA</t>
  </si>
  <si>
    <t xml:space="preserve">SANDALIO</t>
  </si>
  <si>
    <t xml:space="preserve">1962-03-14</t>
  </si>
  <si>
    <t xml:space="preserve">OH0015759577</t>
  </si>
  <si>
    <t xml:space="preserve">1956-12-26</t>
  </si>
  <si>
    <t xml:space="preserve">2020-09-21</t>
  </si>
  <si>
    <t xml:space="preserve">1807 CLERMONT AVE NE</t>
  </si>
  <si>
    <t xml:space="preserve">OH0027839608</t>
  </si>
  <si>
    <t xml:space="preserve">BECHTEL</t>
  </si>
  <si>
    <t xml:space="preserve">CATHY</t>
  </si>
  <si>
    <t xml:space="preserve">1964-07-18</t>
  </si>
  <si>
    <t xml:space="preserve">1827 CLERMONT AVE NE</t>
  </si>
  <si>
    <t xml:space="preserve">OH0015789070</t>
  </si>
  <si>
    <t xml:space="preserve">1938-07-11</t>
  </si>
  <si>
    <t xml:space="preserve">1966-09-19</t>
  </si>
  <si>
    <t xml:space="preserve">OH0015789074</t>
  </si>
  <si>
    <t xml:space="preserve">JUDY</t>
  </si>
  <si>
    <t xml:space="preserve">1942-04-14</t>
  </si>
  <si>
    <t xml:space="preserve">1968-09-17</t>
  </si>
  <si>
    <t xml:space="preserve">OH0015808180</t>
  </si>
  <si>
    <t xml:space="preserve">SWEGAN</t>
  </si>
  <si>
    <t xml:space="preserve">1982-06-27</t>
  </si>
  <si>
    <t xml:space="preserve">2018-11-29</t>
  </si>
  <si>
    <t xml:space="preserve">1837 CLERMONT AVE NE</t>
  </si>
  <si>
    <t xml:space="preserve">OH0024175282</t>
  </si>
  <si>
    <t xml:space="preserve">DICKSON</t>
  </si>
  <si>
    <t xml:space="preserve">JUSTIN</t>
  </si>
  <si>
    <t xml:space="preserve">1982-03-08</t>
  </si>
  <si>
    <t xml:space="preserve">2016-10-17</t>
  </si>
  <si>
    <t xml:space="preserve">1847 CLERMONT AVE NE</t>
  </si>
  <si>
    <t xml:space="preserve">OH0015711622</t>
  </si>
  <si>
    <t xml:space="preserve">NEWSOME</t>
  </si>
  <si>
    <t xml:space="preserve">1956-11-14</t>
  </si>
  <si>
    <t xml:space="preserve">2020-12-01</t>
  </si>
  <si>
    <t xml:space="preserve">1857 CLERMONT AVE NE</t>
  </si>
  <si>
    <t xml:space="preserve">OH0022640419</t>
  </si>
  <si>
    <t xml:space="preserve">1993-11-01</t>
  </si>
  <si>
    <t xml:space="preserve">2016-10-10</t>
  </si>
  <si>
    <t xml:space="preserve">OH0015721138</t>
  </si>
  <si>
    <t xml:space="preserve">WENSEL</t>
  </si>
  <si>
    <t xml:space="preserve">MARVIN</t>
  </si>
  <si>
    <t xml:space="preserve">1970-01-28</t>
  </si>
  <si>
    <t xml:space="preserve">2019-04-22</t>
  </si>
  <si>
    <t xml:space="preserve">1867 CLERMONT AVE NE</t>
  </si>
  <si>
    <t xml:space="preserve">OH0015814525</t>
  </si>
  <si>
    <t xml:space="preserve">1965-09-11</t>
  </si>
  <si>
    <t xml:space="preserve">2020-09-08</t>
  </si>
  <si>
    <t xml:space="preserve">OH0023488489</t>
  </si>
  <si>
    <t xml:space="preserve">PROVERBS</t>
  </si>
  <si>
    <t xml:space="preserve">OLIVER</t>
  </si>
  <si>
    <t xml:space="preserve">1998-08-04</t>
  </si>
  <si>
    <t xml:space="preserve">2016-01-27</t>
  </si>
  <si>
    <t xml:space="preserve">1877 CLERMONT AVE NE</t>
  </si>
  <si>
    <t xml:space="preserve">OH0019538143</t>
  </si>
  <si>
    <t xml:space="preserve">1963-11-29</t>
  </si>
  <si>
    <t xml:space="preserve">OH0015795295</t>
  </si>
  <si>
    <t xml:space="preserve">1961-08-17</t>
  </si>
  <si>
    <t xml:space="preserve">1887 CLERMONT AVE NE</t>
  </si>
  <si>
    <t xml:space="preserve">OH0026245291</t>
  </si>
  <si>
    <t xml:space="preserve">MICAH</t>
  </si>
  <si>
    <t xml:space="preserve">1996-03-05</t>
  </si>
  <si>
    <t xml:space="preserve">1907 CLERMONT AVE NE</t>
  </si>
  <si>
    <t xml:space="preserve">OH0026239597</t>
  </si>
  <si>
    <t xml:space="preserve">CALANDRA</t>
  </si>
  <si>
    <t xml:space="preserve">2000-03-25</t>
  </si>
  <si>
    <t xml:space="preserve">OH0015729276</t>
  </si>
  <si>
    <t xml:space="preserve">DUKES</t>
  </si>
  <si>
    <t xml:space="preserve">1968-08-01</t>
  </si>
  <si>
    <t xml:space="preserve">OH0026374998</t>
  </si>
  <si>
    <t xml:space="preserve">MOUNTFORT</t>
  </si>
  <si>
    <t xml:space="preserve">RICHARD ALTON</t>
  </si>
  <si>
    <t xml:space="preserve">1980-02-28</t>
  </si>
  <si>
    <t xml:space="preserve">2021-11-29</t>
  </si>
  <si>
    <t xml:space="preserve">1915 CLERMONT AVE NE</t>
  </si>
  <si>
    <t xml:space="preserve">OH0027214044</t>
  </si>
  <si>
    <t xml:space="preserve">PEREZ</t>
  </si>
  <si>
    <t xml:space="preserve">ADRIANE</t>
  </si>
  <si>
    <t xml:space="preserve">1970-01-16</t>
  </si>
  <si>
    <t xml:space="preserve">2024-01-17</t>
  </si>
  <si>
    <t xml:space="preserve">1925 CLERMONT AVE NE</t>
  </si>
  <si>
    <t xml:space="preserve">OH0024321207</t>
  </si>
  <si>
    <t xml:space="preserve">STAR</t>
  </si>
  <si>
    <t xml:space="preserve">CHRYSTAL</t>
  </si>
  <si>
    <t xml:space="preserve">1973-08-30</t>
  </si>
  <si>
    <t xml:space="preserve">2017-06-07</t>
  </si>
  <si>
    <t xml:space="preserve">1935 CLERMONT AVE NE</t>
  </si>
  <si>
    <t xml:space="preserve">OH0016202513</t>
  </si>
  <si>
    <t xml:space="preserve">1953-09-06</t>
  </si>
  <si>
    <t xml:space="preserve">1945 CLERMONT AVE NE</t>
  </si>
  <si>
    <t xml:space="preserve">OH0024636705</t>
  </si>
  <si>
    <t xml:space="preserve">BRADLEY</t>
  </si>
  <si>
    <t xml:space="preserve">1999-02-23</t>
  </si>
  <si>
    <t xml:space="preserve">2018-08-07</t>
  </si>
  <si>
    <t xml:space="preserve">1955 CLERMONT AVE NE</t>
  </si>
  <si>
    <t xml:space="preserve">OH0018597862</t>
  </si>
  <si>
    <t xml:space="preserve">MCCORMICK</t>
  </si>
  <si>
    <t xml:space="preserve">1950-07-20</t>
  </si>
  <si>
    <t xml:space="preserve">OH0026443477</t>
  </si>
  <si>
    <t xml:space="preserve">1964-03-08</t>
  </si>
  <si>
    <t xml:space="preserve">2022-03-11</t>
  </si>
  <si>
    <t xml:space="preserve">1965 CLERMONT AVE NE</t>
  </si>
  <si>
    <t xml:space="preserve">OH0026503211</t>
  </si>
  <si>
    <t xml:space="preserve">1999-07-21</t>
  </si>
  <si>
    <t xml:space="preserve">2023-09-19</t>
  </si>
  <si>
    <t xml:space="preserve">OH0027521829</t>
  </si>
  <si>
    <t xml:space="preserve">GADLEY</t>
  </si>
  <si>
    <t xml:space="preserve">1955-12-05</t>
  </si>
  <si>
    <t xml:space="preserve">2024-08-19</t>
  </si>
  <si>
    <t xml:space="preserve">1985 CLERMONT AVE NE</t>
  </si>
  <si>
    <t xml:space="preserve">OH0015743284</t>
  </si>
  <si>
    <t xml:space="preserve">MONTAGLIANI</t>
  </si>
  <si>
    <t xml:space="preserve">JOANNE</t>
  </si>
  <si>
    <t xml:space="preserve">1942-11-12</t>
  </si>
  <si>
    <t xml:space="preserve">2004-02-17</t>
  </si>
  <si>
    <t xml:space="preserve">1995 CLERMONT AVE NE</t>
  </si>
  <si>
    <t xml:space="preserve">OH0021685452</t>
  </si>
  <si>
    <t xml:space="preserve">CAMPBELL</t>
  </si>
  <si>
    <t xml:space="preserve">ELISE</t>
  </si>
  <si>
    <t xml:space="preserve">1994-01-18</t>
  </si>
  <si>
    <t xml:space="preserve">2012-01-27</t>
  </si>
  <si>
    <t xml:space="preserve">2005 CLERMONT AVE NE</t>
  </si>
  <si>
    <t xml:space="preserve">OH0015778146</t>
  </si>
  <si>
    <t xml:space="preserve">WERTZ</t>
  </si>
  <si>
    <t xml:space="preserve">RITA</t>
  </si>
  <si>
    <t xml:space="preserve">1950-10-22</t>
  </si>
  <si>
    <t xml:space="preserve">1975-10-02</t>
  </si>
  <si>
    <t xml:space="preserve">2015 CLERMONT AVE NE</t>
  </si>
  <si>
    <t xml:space="preserve">OH0015767942</t>
  </si>
  <si>
    <t xml:space="preserve">KANE</t>
  </si>
  <si>
    <t xml:space="preserve">O</t>
  </si>
  <si>
    <t xml:space="preserve">1964-02-09</t>
  </si>
  <si>
    <t xml:space="preserve">1994-09-29</t>
  </si>
  <si>
    <t xml:space="preserve">2025 CLERMONT AVE NE</t>
  </si>
  <si>
    <t xml:space="preserve">OH0023488435</t>
  </si>
  <si>
    <t xml:space="preserve">COFIELD</t>
  </si>
  <si>
    <t xml:space="preserve">EMIYA</t>
  </si>
  <si>
    <t xml:space="preserve">ST</t>
  </si>
  <si>
    <t xml:space="preserve">1998-01-03</t>
  </si>
  <si>
    <t xml:space="preserve">2035 CLERMONT AVE NE</t>
  </si>
  <si>
    <t xml:space="preserve">OH0015766344</t>
  </si>
  <si>
    <t xml:space="preserve">PASCO</t>
  </si>
  <si>
    <t xml:space="preserve">MALINDA</t>
  </si>
  <si>
    <t xml:space="preserve">1966-05-10</t>
  </si>
  <si>
    <t xml:space="preserve">2008-04-25</t>
  </si>
  <si>
    <t xml:space="preserve">2045 CLERMONT AVE NE</t>
  </si>
  <si>
    <t xml:space="preserve">OH0015682189</t>
  </si>
  <si>
    <t xml:space="preserve">HARDMAN</t>
  </si>
  <si>
    <t xml:space="preserve">THEDA</t>
  </si>
  <si>
    <t xml:space="preserve">1948-02-16</t>
  </si>
  <si>
    <t xml:space="preserve">1977-04-30</t>
  </si>
  <si>
    <t xml:space="preserve">OH0021817077</t>
  </si>
  <si>
    <t xml:space="preserve">BUTLER</t>
  </si>
  <si>
    <t xml:space="preserve">1945-03-14</t>
  </si>
  <si>
    <t xml:space="preserve">2012-06-20</t>
  </si>
  <si>
    <t xml:space="preserve">2055 CLERMONT AVE NE</t>
  </si>
  <si>
    <t xml:space="preserve">OH0015687568</t>
  </si>
  <si>
    <t xml:space="preserve">BURWELL</t>
  </si>
  <si>
    <t xml:space="preserve">MARGUERITE</t>
  </si>
  <si>
    <t xml:space="preserve">1952-03-02</t>
  </si>
  <si>
    <t xml:space="preserve">2011-06-07</t>
  </si>
  <si>
    <t xml:space="preserve">2065 CLERMONT AVE NE</t>
  </si>
  <si>
    <t xml:space="preserve">OH0020291796</t>
  </si>
  <si>
    <t xml:space="preserve">TEMPESTA</t>
  </si>
  <si>
    <t xml:space="preserve">MARCUS</t>
  </si>
  <si>
    <t xml:space="preserve">1971-11-20</t>
  </si>
  <si>
    <t xml:space="preserve">2019-09-21</t>
  </si>
  <si>
    <t xml:space="preserve">2075 CLERMONT AVE NE</t>
  </si>
  <si>
    <t xml:space="preserve">OH0024567292</t>
  </si>
  <si>
    <t xml:space="preserve">WIGLE</t>
  </si>
  <si>
    <t xml:space="preserve">1966-11-23</t>
  </si>
  <si>
    <t xml:space="preserve">2024-11-27</t>
  </si>
  <si>
    <t xml:space="preserve">130 COMSTOCK ST NE</t>
  </si>
  <si>
    <t xml:space="preserve">OH0023860282</t>
  </si>
  <si>
    <t xml:space="preserve">BILES</t>
  </si>
  <si>
    <t xml:space="preserve">VERNON</t>
  </si>
  <si>
    <t xml:space="preserve">1978-01-01</t>
  </si>
  <si>
    <t xml:space="preserve">2016-11-03</t>
  </si>
  <si>
    <t xml:space="preserve">144 COMSTOCK ST NE</t>
  </si>
  <si>
    <t xml:space="preserve">OH0024972680</t>
  </si>
  <si>
    <t xml:space="preserve">CARMEN</t>
  </si>
  <si>
    <t xml:space="preserve">1981-02-20</t>
  </si>
  <si>
    <t xml:space="preserve">OH0025639567</t>
  </si>
  <si>
    <t xml:space="preserve">EVA</t>
  </si>
  <si>
    <t xml:space="preserve">1961-08-23</t>
  </si>
  <si>
    <t xml:space="preserve">2020-07-10</t>
  </si>
  <si>
    <t xml:space="preserve">177 COMSTOCK ST NE</t>
  </si>
  <si>
    <t xml:space="preserve">OH0024645463</t>
  </si>
  <si>
    <t xml:space="preserve">UPHOLD</t>
  </si>
  <si>
    <t xml:space="preserve">1964-02-14</t>
  </si>
  <si>
    <t xml:space="preserve">2018-05-14</t>
  </si>
  <si>
    <t xml:space="preserve">182 COMSTOCK ST NE</t>
  </si>
  <si>
    <t xml:space="preserve">OH0015703522</t>
  </si>
  <si>
    <t xml:space="preserve">CARGILL</t>
  </si>
  <si>
    <t xml:space="preserve">MAE BELLE</t>
  </si>
  <si>
    <t xml:space="preserve">1951-11-18</t>
  </si>
  <si>
    <t xml:space="preserve">1984-02-19</t>
  </si>
  <si>
    <t xml:space="preserve">199 COMSTOCK ST NE</t>
  </si>
  <si>
    <t xml:space="preserve">OH0015709932</t>
  </si>
  <si>
    <t xml:space="preserve">WILLIE</t>
  </si>
  <si>
    <t xml:space="preserve">1955-04-07</t>
  </si>
  <si>
    <t xml:space="preserve">1984-10-09</t>
  </si>
  <si>
    <t xml:space="preserve">OH0018956144</t>
  </si>
  <si>
    <t xml:space="preserve">1946-04-20</t>
  </si>
  <si>
    <t xml:space="preserve">2006-09-20</t>
  </si>
  <si>
    <t xml:space="preserve">212 COMSTOCK ST NE</t>
  </si>
  <si>
    <t xml:space="preserve">OH0021858039</t>
  </si>
  <si>
    <t xml:space="preserve">1977-05-24</t>
  </si>
  <si>
    <t xml:space="preserve">2015-08-03</t>
  </si>
  <si>
    <t xml:space="preserve">229 COMSTOCK ST NE</t>
  </si>
  <si>
    <t xml:space="preserve">OH0023484224</t>
  </si>
  <si>
    <t xml:space="preserve">BLINCO</t>
  </si>
  <si>
    <t xml:space="preserve">1998-05-04</t>
  </si>
  <si>
    <t xml:space="preserve">OH0015786604</t>
  </si>
  <si>
    <t xml:space="preserve">CORE</t>
  </si>
  <si>
    <t xml:space="preserve">CLARA</t>
  </si>
  <si>
    <t xml:space="preserve">1929-07-18</t>
  </si>
  <si>
    <t xml:space="preserve">1959-03-13</t>
  </si>
  <si>
    <t xml:space="preserve">230 COMSTOCK ST NE</t>
  </si>
  <si>
    <t xml:space="preserve">OH0015737753</t>
  </si>
  <si>
    <t xml:space="preserve">1957-11-29</t>
  </si>
  <si>
    <t xml:space="preserve">2020-01-03</t>
  </si>
  <si>
    <t xml:space="preserve">OH0015698585</t>
  </si>
  <si>
    <t xml:space="preserve">RUSSELL</t>
  </si>
  <si>
    <t xml:space="preserve">1977-04-13</t>
  </si>
  <si>
    <t xml:space="preserve">239 COMSTOCK ST NE</t>
  </si>
  <si>
    <t xml:space="preserve">OH0015674932</t>
  </si>
  <si>
    <t xml:space="preserve">1981-01-25</t>
  </si>
  <si>
    <t xml:space="preserve">2025-05-13</t>
  </si>
  <si>
    <t xml:space="preserve">OH0025532543</t>
  </si>
  <si>
    <t xml:space="preserve">ANTONIO</t>
  </si>
  <si>
    <t xml:space="preserve">1988-12-09</t>
  </si>
  <si>
    <t xml:space="preserve">2020-04-27</t>
  </si>
  <si>
    <t xml:space="preserve">270 COMSTOCK ST NE</t>
  </si>
  <si>
    <t xml:space="preserve">OH0015704420</t>
  </si>
  <si>
    <t xml:space="preserve">ALMA</t>
  </si>
  <si>
    <t xml:space="preserve">OH0015881817</t>
  </si>
  <si>
    <t xml:space="preserve">DANNIE</t>
  </si>
  <si>
    <t xml:space="preserve">1948-07-02</t>
  </si>
  <si>
    <t xml:space="preserve">2004-08-12</t>
  </si>
  <si>
    <t xml:space="preserve">OH0019532202</t>
  </si>
  <si>
    <t xml:space="preserve">1990-02-06</t>
  </si>
  <si>
    <t xml:space="preserve">2008-10-02</t>
  </si>
  <si>
    <t xml:space="preserve">OH0015751727</t>
  </si>
  <si>
    <t xml:space="preserve">ALPHONSO</t>
  </si>
  <si>
    <t xml:space="preserve">1982-08-08</t>
  </si>
  <si>
    <t xml:space="preserve">144 COMSTOCK ST NW</t>
  </si>
  <si>
    <t xml:space="preserve">OH0024255487</t>
  </si>
  <si>
    <t xml:space="preserve">TREHARN</t>
  </si>
  <si>
    <t xml:space="preserve">1994-10-26</t>
  </si>
  <si>
    <t xml:space="preserve">2017-04-02</t>
  </si>
  <si>
    <t xml:space="preserve">OH0026933889</t>
  </si>
  <si>
    <t xml:space="preserve">FRANK</t>
  </si>
  <si>
    <t xml:space="preserve">NIZIER</t>
  </si>
  <si>
    <t xml:space="preserve">MARQUIS ALAUN</t>
  </si>
  <si>
    <t xml:space="preserve">2003-10-17</t>
  </si>
  <si>
    <t xml:space="preserve">2023-06-17</t>
  </si>
  <si>
    <t xml:space="preserve">149 COMSTOCK ST NW</t>
  </si>
  <si>
    <t xml:space="preserve">OH0024618918</t>
  </si>
  <si>
    <t xml:space="preserve">TINYIA</t>
  </si>
  <si>
    <t xml:space="preserve">AUSHAE</t>
  </si>
  <si>
    <t xml:space="preserve">1998-08-11</t>
  </si>
  <si>
    <t xml:space="preserve">2020-10-23</t>
  </si>
  <si>
    <t xml:space="preserve">OH0021761050</t>
  </si>
  <si>
    <t xml:space="preserve">LAMARR</t>
  </si>
  <si>
    <t xml:space="preserve">1993-08-31</t>
  </si>
  <si>
    <t xml:space="preserve">2021-01-28</t>
  </si>
  <si>
    <t xml:space="preserve">159 COMSTOCK ST NW</t>
  </si>
  <si>
    <t xml:space="preserve">OH0015788017</t>
  </si>
  <si>
    <t xml:space="preserve">1960-06-22</t>
  </si>
  <si>
    <t xml:space="preserve">2015-07-16</t>
  </si>
  <si>
    <t xml:space="preserve">177 COMSTOCK ST NW</t>
  </si>
  <si>
    <t xml:space="preserve">OH0027680452</t>
  </si>
  <si>
    <t xml:space="preserve">JAPUNCHA</t>
  </si>
  <si>
    <t xml:space="preserve">NICK</t>
  </si>
  <si>
    <t xml:space="preserve">182 COMSTOCK ST NW</t>
  </si>
  <si>
    <t xml:space="preserve">OH0015717905</t>
  </si>
  <si>
    <t xml:space="preserve">1986-05-14</t>
  </si>
  <si>
    <t xml:space="preserve">OH0026407209</t>
  </si>
  <si>
    <t xml:space="preserve">FORRINGER</t>
  </si>
  <si>
    <t xml:space="preserve">TIFFANNIE</t>
  </si>
  <si>
    <t xml:space="preserve">SHELBY PAIGE</t>
  </si>
  <si>
    <t xml:space="preserve">1992-01-07</t>
  </si>
  <si>
    <t xml:space="preserve">2022-01-20</t>
  </si>
  <si>
    <t xml:space="preserve">192 COMSTOCK ST NW</t>
  </si>
  <si>
    <t xml:space="preserve">OH0015819018</t>
  </si>
  <si>
    <t xml:space="preserve">HENRY</t>
  </si>
  <si>
    <t xml:space="preserve">1952-03-04</t>
  </si>
  <si>
    <t xml:space="preserve">2018-06-28</t>
  </si>
  <si>
    <t xml:space="preserve">202 COMSTOCK ST NW</t>
  </si>
  <si>
    <t xml:space="preserve">OH0026571020</t>
  </si>
  <si>
    <t xml:space="preserve">1966-12-03</t>
  </si>
  <si>
    <t xml:space="preserve">2024-03-15</t>
  </si>
  <si>
    <t xml:space="preserve">209 COMSTOCK ST NW</t>
  </si>
  <si>
    <t xml:space="preserve">OH0021999790</t>
  </si>
  <si>
    <t xml:space="preserve">ANNIE</t>
  </si>
  <si>
    <t xml:space="preserve">PEARL</t>
  </si>
  <si>
    <t xml:space="preserve">1947-07-15</t>
  </si>
  <si>
    <t xml:space="preserve">2012-09-06</t>
  </si>
  <si>
    <t xml:space="preserve">227 COMSTOCK ST NW</t>
  </si>
  <si>
    <t xml:space="preserve">OH0026690788</t>
  </si>
  <si>
    <t xml:space="preserve">ROSEMARIE</t>
  </si>
  <si>
    <t xml:space="preserve">1969-08-29</t>
  </si>
  <si>
    <t xml:space="preserve">237 COMSTOCK ST NW</t>
  </si>
  <si>
    <t xml:space="preserve">OH0027850100</t>
  </si>
  <si>
    <t xml:space="preserve">WENDELL</t>
  </si>
  <si>
    <t xml:space="preserve">1968-12-06</t>
  </si>
  <si>
    <t xml:space="preserve">2024-12-17</t>
  </si>
  <si>
    <t xml:space="preserve">OH0026912964</t>
  </si>
  <si>
    <t xml:space="preserve">WALTERS</t>
  </si>
  <si>
    <t xml:space="preserve">1957-01-28</t>
  </si>
  <si>
    <t xml:space="preserve">2023-05-24</t>
  </si>
  <si>
    <t xml:space="preserve">OH0027591868</t>
  </si>
  <si>
    <t xml:space="preserve">JARON</t>
  </si>
  <si>
    <t xml:space="preserve">1995-11-21</t>
  </si>
  <si>
    <t xml:space="preserve">2024-09-03</t>
  </si>
  <si>
    <t xml:space="preserve">269 COMSTOCK ST NW</t>
  </si>
  <si>
    <t xml:space="preserve">OH0015687659</t>
  </si>
  <si>
    <t xml:space="preserve">1934-06-30</t>
  </si>
  <si>
    <t xml:space="preserve">2024-06-18</t>
  </si>
  <si>
    <t xml:space="preserve">306 COMSTOCK ST NW</t>
  </si>
  <si>
    <t xml:space="preserve">OH0015709353</t>
  </si>
  <si>
    <t xml:space="preserve">1963-11-15</t>
  </si>
  <si>
    <t xml:space="preserve">2016-11-02</t>
  </si>
  <si>
    <t xml:space="preserve">OH0020223611</t>
  </si>
  <si>
    <t xml:space="preserve">MARQUERITA</t>
  </si>
  <si>
    <t xml:space="preserve">1965-03-07</t>
  </si>
  <si>
    <t xml:space="preserve">2012-03-24</t>
  </si>
  <si>
    <t xml:space="preserve">311 COMSTOCK ST NW</t>
  </si>
  <si>
    <t xml:space="preserve">OH0015763395</t>
  </si>
  <si>
    <t xml:space="preserve">ELAINE</t>
  </si>
  <si>
    <t xml:space="preserve">1969-07-17</t>
  </si>
  <si>
    <t xml:space="preserve">2017-08-05</t>
  </si>
  <si>
    <t xml:space="preserve">344 COMSTOCK ST NW</t>
  </si>
  <si>
    <t xml:space="preserve">OH0024170042</t>
  </si>
  <si>
    <t xml:space="preserve">CINADR</t>
  </si>
  <si>
    <t xml:space="preserve">1977-07-22</t>
  </si>
  <si>
    <t xml:space="preserve">2025-03-25</t>
  </si>
  <si>
    <t xml:space="preserve">394 COMSTOCK ST NW</t>
  </si>
  <si>
    <t xml:space="preserve">OH0023266447</t>
  </si>
  <si>
    <t xml:space="preserve">CALHOUN</t>
  </si>
  <si>
    <t xml:space="preserve">1980-06-06</t>
  </si>
  <si>
    <t xml:space="preserve">OH0024289098</t>
  </si>
  <si>
    <t xml:space="preserve">PUDVAH</t>
  </si>
  <si>
    <t xml:space="preserve">JOEL</t>
  </si>
  <si>
    <t xml:space="preserve">1991-06-03</t>
  </si>
  <si>
    <t xml:space="preserve">395 COMSTOCK ST NW</t>
  </si>
  <si>
    <t xml:space="preserve">OH0019356188</t>
  </si>
  <si>
    <t xml:space="preserve">1959-12-22</t>
  </si>
  <si>
    <t xml:space="preserve">415 COMSTOCK ST NW</t>
  </si>
  <si>
    <t xml:space="preserve">OH0025584293</t>
  </si>
  <si>
    <t xml:space="preserve">GATTI</t>
  </si>
  <si>
    <t xml:space="preserve">SHELBY</t>
  </si>
  <si>
    <t xml:space="preserve">SERINA LYNN</t>
  </si>
  <si>
    <t xml:space="preserve">1995-06-11</t>
  </si>
  <si>
    <t xml:space="preserve">2020-06-10</t>
  </si>
  <si>
    <t xml:space="preserve">416 COMSTOCK ST NW</t>
  </si>
  <si>
    <t xml:space="preserve">OH0015702555</t>
  </si>
  <si>
    <t xml:space="preserve">YANCEY</t>
  </si>
  <si>
    <t xml:space="preserve">1956-08-18</t>
  </si>
  <si>
    <t xml:space="preserve">1983-11-08</t>
  </si>
  <si>
    <t xml:space="preserve">440 COMSTOCK ST NW</t>
  </si>
  <si>
    <t xml:space="preserve">OH0018597265</t>
  </si>
  <si>
    <t xml:space="preserve">ROY</t>
  </si>
  <si>
    <t xml:space="preserve">1944-11-24</t>
  </si>
  <si>
    <t xml:space="preserve">2004-11-09</t>
  </si>
  <si>
    <t xml:space="preserve">OH0015698009</t>
  </si>
  <si>
    <t xml:space="preserve">NEAL</t>
  </si>
  <si>
    <t xml:space="preserve">1964-11-29</t>
  </si>
  <si>
    <t xml:space="preserve">1983-04-19</t>
  </si>
  <si>
    <t xml:space="preserve">455 COMSTOCK ST NW</t>
  </si>
  <si>
    <t xml:space="preserve">OH0027303431</t>
  </si>
  <si>
    <t xml:space="preserve">TRAVIS</t>
  </si>
  <si>
    <t xml:space="preserve">1974-02-23</t>
  </si>
  <si>
    <t xml:space="preserve">2024-03-29</t>
  </si>
  <si>
    <t xml:space="preserve">OH0023820942</t>
  </si>
  <si>
    <t xml:space="preserve">HENDRICKSON</t>
  </si>
  <si>
    <t xml:space="preserve">1998-03-30</t>
  </si>
  <si>
    <t xml:space="preserve">2024-10-22</t>
  </si>
  <si>
    <t xml:space="preserve">474 COMSTOCK ST NW</t>
  </si>
  <si>
    <t xml:space="preserve">OH0015813964</t>
  </si>
  <si>
    <t xml:space="preserve">1969-01-19</t>
  </si>
  <si>
    <t xml:space="preserve">OH0021351063</t>
  </si>
  <si>
    <t xml:space="preserve">TORRI</t>
  </si>
  <si>
    <t xml:space="preserve">1993-02-04</t>
  </si>
  <si>
    <t xml:space="preserve">2016-06-23</t>
  </si>
  <si>
    <t xml:space="preserve">483 COMSTOCK ST NW</t>
  </si>
  <si>
    <t xml:space="preserve">OH0018873673</t>
  </si>
  <si>
    <t xml:space="preserve">WELLS</t>
  </si>
  <si>
    <t xml:space="preserve">TARALYNN</t>
  </si>
  <si>
    <t xml:space="preserve">2016-08-20</t>
  </si>
  <si>
    <t xml:space="preserve">486 COMSTOCK ST NW</t>
  </si>
  <si>
    <t xml:space="preserve">OH0015704915</t>
  </si>
  <si>
    <t xml:space="preserve">SHERRY</t>
  </si>
  <si>
    <t xml:space="preserve">1966-04-20</t>
  </si>
  <si>
    <t xml:space="preserve">2018-05-15</t>
  </si>
  <si>
    <t xml:space="preserve">OH0027703326</t>
  </si>
  <si>
    <t xml:space="preserve">MCQUEEN</t>
  </si>
  <si>
    <t xml:space="preserve">SIM</t>
  </si>
  <si>
    <t xml:space="preserve">1999-01-24</t>
  </si>
  <si>
    <t xml:space="preserve">493 COMSTOCK ST NW</t>
  </si>
  <si>
    <t xml:space="preserve">OH0015705767</t>
  </si>
  <si>
    <t xml:space="preserve">ERVIN</t>
  </si>
  <si>
    <t xml:space="preserve">1952-09-07</t>
  </si>
  <si>
    <t xml:space="preserve">1984-04-08</t>
  </si>
  <si>
    <t xml:space="preserve">501 COMSTOCK ST NW</t>
  </si>
  <si>
    <t xml:space="preserve">OH0026772711</t>
  </si>
  <si>
    <t xml:space="preserve">BROUGHTON</t>
  </si>
  <si>
    <t xml:space="preserve">1950-03-30</t>
  </si>
  <si>
    <t xml:space="preserve">2022-09-29</t>
  </si>
  <si>
    <t xml:space="preserve">525 COMSTOCK ST NW</t>
  </si>
  <si>
    <t xml:space="preserve">OH0027521823</t>
  </si>
  <si>
    <t xml:space="preserve">FREELAND</t>
  </si>
  <si>
    <t xml:space="preserve">LANETTE</t>
  </si>
  <si>
    <t xml:space="preserve">2002-02-16</t>
  </si>
  <si>
    <t xml:space="preserve">2024-08-20</t>
  </si>
  <si>
    <t xml:space="preserve">560 COMSTOCK ST NW</t>
  </si>
  <si>
    <t xml:space="preserve">OH0026168409</t>
  </si>
  <si>
    <t xml:space="preserve">MARQUETTA</t>
  </si>
  <si>
    <t xml:space="preserve">ESSIE NASHA</t>
  </si>
  <si>
    <t xml:space="preserve">2003-04-02</t>
  </si>
  <si>
    <t xml:space="preserve">2022-07-13</t>
  </si>
  <si>
    <t xml:space="preserve">OH0024946165</t>
  </si>
  <si>
    <t xml:space="preserve">TAMICA</t>
  </si>
  <si>
    <t xml:space="preserve">1968-10-10</t>
  </si>
  <si>
    <t xml:space="preserve">OH0021294317</t>
  </si>
  <si>
    <t xml:space="preserve">FLORES</t>
  </si>
  <si>
    <t xml:space="preserve">1972-12-16</t>
  </si>
  <si>
    <t xml:space="preserve">678 COMSTOCK ST NW</t>
  </si>
  <si>
    <t xml:space="preserve">OH0018591259</t>
  </si>
  <si>
    <t xml:space="preserve">GARGANO</t>
  </si>
  <si>
    <t xml:space="preserve">1959-03-27</t>
  </si>
  <si>
    <t xml:space="preserve">2012-09-28</t>
  </si>
  <si>
    <t xml:space="preserve">717 COMSTOCK ST NW</t>
  </si>
  <si>
    <t xml:space="preserve">OH0015757334</t>
  </si>
  <si>
    <t xml:space="preserve">1956-12-21</t>
  </si>
  <si>
    <t xml:space="preserve">2004-08-30</t>
  </si>
  <si>
    <t xml:space="preserve">727 COMSTOCK ST NW</t>
  </si>
  <si>
    <t xml:space="preserve">OH0022727484</t>
  </si>
  <si>
    <t xml:space="preserve">HUDNELL</t>
  </si>
  <si>
    <t xml:space="preserve">KERRI</t>
  </si>
  <si>
    <t xml:space="preserve">1978-11-12</t>
  </si>
  <si>
    <t xml:space="preserve">2014-03-28</t>
  </si>
  <si>
    <t xml:space="preserve">OH0023637922</t>
  </si>
  <si>
    <t xml:space="preserve">CHINA</t>
  </si>
  <si>
    <t xml:space="preserve">1995-04-28</t>
  </si>
  <si>
    <t xml:space="preserve">739 COMSTOCK ST NW</t>
  </si>
  <si>
    <t xml:space="preserve">OH0024443066</t>
  </si>
  <si>
    <t xml:space="preserve">ALMY</t>
  </si>
  <si>
    <t xml:space="preserve">1970-03-21</t>
  </si>
  <si>
    <t xml:space="preserve">2024-03-14</t>
  </si>
  <si>
    <t xml:space="preserve">OH0015732431</t>
  </si>
  <si>
    <t xml:space="preserve">MCKEE</t>
  </si>
  <si>
    <t xml:space="preserve">1953-05-03</t>
  </si>
  <si>
    <t xml:space="preserve">1990-03-11</t>
  </si>
  <si>
    <t xml:space="preserve">748 COMSTOCK ST NW</t>
  </si>
  <si>
    <t xml:space="preserve">OH0021100446</t>
  </si>
  <si>
    <t xml:space="preserve">1988-08-26</t>
  </si>
  <si>
    <t xml:space="preserve">2012-09-10</t>
  </si>
  <si>
    <t xml:space="preserve">OH0015725352</t>
  </si>
  <si>
    <t xml:space="preserve">DARYL</t>
  </si>
  <si>
    <t xml:space="preserve">1952-02-27</t>
  </si>
  <si>
    <t xml:space="preserve">OH0015727277</t>
  </si>
  <si>
    <t xml:space="preserve">ROSLYN</t>
  </si>
  <si>
    <t xml:space="preserve">1955-12-30</t>
  </si>
  <si>
    <t xml:space="preserve">807 COMSTOCK ST NW</t>
  </si>
  <si>
    <t xml:space="preserve">OH0015691147</t>
  </si>
  <si>
    <t xml:space="preserve">MOORE</t>
  </si>
  <si>
    <t xml:space="preserve">1956-04-13</t>
  </si>
  <si>
    <t xml:space="preserve">1981-04-09</t>
  </si>
  <si>
    <t xml:space="preserve">812 COMSTOCK ST NW</t>
  </si>
  <si>
    <t xml:space="preserve">OH0015764943</t>
  </si>
  <si>
    <t xml:space="preserve">DEVOTIE</t>
  </si>
  <si>
    <t xml:space="preserve">1944-03-04</t>
  </si>
  <si>
    <t xml:space="preserve">1976-08-18</t>
  </si>
  <si>
    <t xml:space="preserve">OH0015757551</t>
  </si>
  <si>
    <t xml:space="preserve">DZIEDZIC</t>
  </si>
  <si>
    <t xml:space="preserve">1957-08-21</t>
  </si>
  <si>
    <t xml:space="preserve">817 COMSTOCK ST NW</t>
  </si>
  <si>
    <t xml:space="preserve">OH0015698001</t>
  </si>
  <si>
    <t xml:space="preserve">COONS</t>
  </si>
  <si>
    <t xml:space="preserve">MARIKO</t>
  </si>
  <si>
    <t xml:space="preserve">1930-08-30</t>
  </si>
  <si>
    <t xml:space="preserve">1983-03-28</t>
  </si>
  <si>
    <t xml:space="preserve">836 COMSTOCK ST NW</t>
  </si>
  <si>
    <t xml:space="preserve">OH0015937936</t>
  </si>
  <si>
    <t xml:space="preserve">RUNION</t>
  </si>
  <si>
    <t xml:space="preserve">1978-03-04</t>
  </si>
  <si>
    <t xml:space="preserve">2004-08-09</t>
  </si>
  <si>
    <t xml:space="preserve">847 COMSTOCK ST NW</t>
  </si>
  <si>
    <t xml:space="preserve">OH0027058638</t>
  </si>
  <si>
    <t xml:space="preserve">ESTEP</t>
  </si>
  <si>
    <t xml:space="preserve">1972-08-29</t>
  </si>
  <si>
    <t xml:space="preserve">2023-09-21</t>
  </si>
  <si>
    <t xml:space="preserve">OH0015697740</t>
  </si>
  <si>
    <t xml:space="preserve">DEAN</t>
  </si>
  <si>
    <t xml:space="preserve">1979-09-17</t>
  </si>
  <si>
    <t xml:space="preserve">2019-10-31</t>
  </si>
  <si>
    <t xml:space="preserve">857 COMSTOCK ST NW</t>
  </si>
  <si>
    <t xml:space="preserve">OH0015719833</t>
  </si>
  <si>
    <t xml:space="preserve">SPENCER</t>
  </si>
  <si>
    <t xml:space="preserve">MARCITA</t>
  </si>
  <si>
    <t xml:space="preserve">1969-08-11</t>
  </si>
  <si>
    <t xml:space="preserve">1987-10-05</t>
  </si>
  <si>
    <t xml:space="preserve">904 COMSTOCK ST NW</t>
  </si>
  <si>
    <t xml:space="preserve">OH0022708832</t>
  </si>
  <si>
    <t xml:space="preserve">MACARIO</t>
  </si>
  <si>
    <t xml:space="preserve">LUTAALO</t>
  </si>
  <si>
    <t xml:space="preserve">1996-03-01</t>
  </si>
  <si>
    <t xml:space="preserve">2015-01-02</t>
  </si>
  <si>
    <t xml:space="preserve">OH0015754676</t>
  </si>
  <si>
    <t xml:space="preserve">1965-03-21</t>
  </si>
  <si>
    <t xml:space="preserve">2023-07-24</t>
  </si>
  <si>
    <t xml:space="preserve">909 COMSTOCK ST NW</t>
  </si>
  <si>
    <t xml:space="preserve">OH0015709924</t>
  </si>
  <si>
    <t xml:space="preserve">1965-08-20</t>
  </si>
  <si>
    <t xml:space="preserve">OH0015786036</t>
  </si>
  <si>
    <t xml:space="preserve">THIGPEN</t>
  </si>
  <si>
    <t xml:space="preserve">EMMA</t>
  </si>
  <si>
    <t xml:space="preserve">1942-12-29</t>
  </si>
  <si>
    <t xml:space="preserve">1968-01-30</t>
  </si>
  <si>
    <t xml:space="preserve">912 COMSTOCK ST NW</t>
  </si>
  <si>
    <t xml:space="preserve">OH0015691520</t>
  </si>
  <si>
    <t xml:space="preserve">WHITLOCK</t>
  </si>
  <si>
    <t xml:space="preserve">NOREEN</t>
  </si>
  <si>
    <t xml:space="preserve">Y</t>
  </si>
  <si>
    <t xml:space="preserve">1984-02-25</t>
  </si>
  <si>
    <t xml:space="preserve">919 COMSTOCK ST NW</t>
  </si>
  <si>
    <t xml:space="preserve">OH0023220623</t>
  </si>
  <si>
    <t xml:space="preserve">POOLE</t>
  </si>
  <si>
    <t xml:space="preserve">2021-06-21</t>
  </si>
  <si>
    <t xml:space="preserve">OH0027513634</t>
  </si>
  <si>
    <t xml:space="preserve">CHRYSSEAN</t>
  </si>
  <si>
    <t xml:space="preserve">2002-06-12</t>
  </si>
  <si>
    <t xml:space="preserve">2024-08-05</t>
  </si>
  <si>
    <t xml:space="preserve">OH0015786080</t>
  </si>
  <si>
    <t xml:space="preserve">ANNAH</t>
  </si>
  <si>
    <t xml:space="preserve">1967-08-07</t>
  </si>
  <si>
    <t xml:space="preserve">2022-09-15</t>
  </si>
  <si>
    <t xml:space="preserve">OH0027518444</t>
  </si>
  <si>
    <t xml:space="preserve">WILL</t>
  </si>
  <si>
    <t xml:space="preserve">920 COMSTOCK ST NW</t>
  </si>
  <si>
    <t xml:space="preserve">OH0020202313</t>
  </si>
  <si>
    <t xml:space="preserve">MCDOUGAL</t>
  </si>
  <si>
    <t xml:space="preserve">1963-02-13</t>
  </si>
  <si>
    <t xml:space="preserve">2009-11-13</t>
  </si>
  <si>
    <t xml:space="preserve">928 COMSTOCK ST NW</t>
  </si>
  <si>
    <t xml:space="preserve">OH0027508580</t>
  </si>
  <si>
    <t xml:space="preserve">1983-03-25</t>
  </si>
  <si>
    <t xml:space="preserve">1002 DANA ST NE</t>
  </si>
  <si>
    <t xml:space="preserve">OH0026335447</t>
  </si>
  <si>
    <t xml:space="preserve">ROUPE</t>
  </si>
  <si>
    <t xml:space="preserve">SADIE</t>
  </si>
  <si>
    <t xml:space="preserve">2002-05-23</t>
  </si>
  <si>
    <t xml:space="preserve">2022-05-04</t>
  </si>
  <si>
    <t xml:space="preserve">OH0026503011</t>
  </si>
  <si>
    <t xml:space="preserve">1987-08-16</t>
  </si>
  <si>
    <t xml:space="preserve">2023-04-21</t>
  </si>
  <si>
    <t xml:space="preserve">805 DANA ST NE</t>
  </si>
  <si>
    <t xml:space="preserve">OH0027471088</t>
  </si>
  <si>
    <t xml:space="preserve">FREDERICK</t>
  </si>
  <si>
    <t xml:space="preserve">1969-01-15</t>
  </si>
  <si>
    <t xml:space="preserve">OH0025750126</t>
  </si>
  <si>
    <t xml:space="preserve">LOUGH</t>
  </si>
  <si>
    <t xml:space="preserve">1958-01-04</t>
  </si>
  <si>
    <t xml:space="preserve">2020-08-27</t>
  </si>
  <si>
    <t xml:space="preserve">815 DANA ST NE</t>
  </si>
  <si>
    <t xml:space="preserve">OH0015760071</t>
  </si>
  <si>
    <t xml:space="preserve">1974-04-28</t>
  </si>
  <si>
    <t xml:space="preserve">826 DANA ST NE</t>
  </si>
  <si>
    <t xml:space="preserve">OH0015761158</t>
  </si>
  <si>
    <t xml:space="preserve">JULIA</t>
  </si>
  <si>
    <t xml:space="preserve">1980-09-03</t>
  </si>
  <si>
    <t xml:space="preserve">2016-12-29</t>
  </si>
  <si>
    <t xml:space="preserve">845 DANA ST NE</t>
  </si>
  <si>
    <t xml:space="preserve">OH0021097268</t>
  </si>
  <si>
    <t xml:space="preserve">RHINE</t>
  </si>
  <si>
    <t xml:space="preserve">1991-11-18</t>
  </si>
  <si>
    <t xml:space="preserve">848 DANA ST NE</t>
  </si>
  <si>
    <t xml:space="preserve">OH0023912804</t>
  </si>
  <si>
    <t xml:space="preserve">MOODY</t>
  </si>
  <si>
    <t xml:space="preserve">KENT</t>
  </si>
  <si>
    <t xml:space="preserve">1958-01-30</t>
  </si>
  <si>
    <t xml:space="preserve">2016-09-06</t>
  </si>
  <si>
    <t xml:space="preserve">856 DANA ST NE</t>
  </si>
  <si>
    <t xml:space="preserve">OH0027515098</t>
  </si>
  <si>
    <t xml:space="preserve">WEISSMAN</t>
  </si>
  <si>
    <t xml:space="preserve">CALVIN</t>
  </si>
  <si>
    <t xml:space="preserve">2001-10-08</t>
  </si>
  <si>
    <t xml:space="preserve">866 DANA ST NE</t>
  </si>
  <si>
    <t xml:space="preserve">OH0027248706</t>
  </si>
  <si>
    <t xml:space="preserve">2000-06-20</t>
  </si>
  <si>
    <t xml:space="preserve">2024-02-09</t>
  </si>
  <si>
    <t xml:space="preserve">OH0022312800</t>
  </si>
  <si>
    <t xml:space="preserve">NEWMILLER</t>
  </si>
  <si>
    <t xml:space="preserve">1989-10-28</t>
  </si>
  <si>
    <t xml:space="preserve">874 DANA ST NE</t>
  </si>
  <si>
    <t xml:space="preserve">OH0015780433</t>
  </si>
  <si>
    <t xml:space="preserve">POWERS</t>
  </si>
  <si>
    <t xml:space="preserve">DENNIS</t>
  </si>
  <si>
    <t xml:space="preserve">1941-10-24</t>
  </si>
  <si>
    <t xml:space="preserve">2015-06-25</t>
  </si>
  <si>
    <t xml:space="preserve">877 DANA ST NE</t>
  </si>
  <si>
    <t xml:space="preserve">OH0027270121</t>
  </si>
  <si>
    <t xml:space="preserve">BLAHA</t>
  </si>
  <si>
    <t xml:space="preserve">2024-03-22</t>
  </si>
  <si>
    <t xml:space="preserve">884 DANA ST NE</t>
  </si>
  <si>
    <t xml:space="preserve">OH0015849888</t>
  </si>
  <si>
    <t xml:space="preserve">1953-03-18</t>
  </si>
  <si>
    <t xml:space="preserve">2014-05-09</t>
  </si>
  <si>
    <t xml:space="preserve">892 DANA ST NE</t>
  </si>
  <si>
    <t xml:space="preserve">OH0015813303</t>
  </si>
  <si>
    <t xml:space="preserve">BANKSTON</t>
  </si>
  <si>
    <t xml:space="preserve">1977-08-01</t>
  </si>
  <si>
    <t xml:space="preserve">2020-07-28</t>
  </si>
  <si>
    <t xml:space="preserve">893 DANA ST NE</t>
  </si>
  <si>
    <t xml:space="preserve">OH0027484698</t>
  </si>
  <si>
    <t xml:space="preserve">BUMBICO</t>
  </si>
  <si>
    <t xml:space="preserve">DENEEN</t>
  </si>
  <si>
    <t xml:space="preserve">1964-09-10</t>
  </si>
  <si>
    <t xml:space="preserve">896 DANA ST NE</t>
  </si>
  <si>
    <t xml:space="preserve">OH0027525430</t>
  </si>
  <si>
    <t xml:space="preserve">VINCENZO</t>
  </si>
  <si>
    <t xml:space="preserve">1999-09-17</t>
  </si>
  <si>
    <t xml:space="preserve">OH0015726763</t>
  </si>
  <si>
    <t xml:space="preserve">FICKES</t>
  </si>
  <si>
    <t xml:space="preserve">OLGA</t>
  </si>
  <si>
    <t xml:space="preserve">1960-04-13</t>
  </si>
  <si>
    <t xml:space="preserve">1988-10-03</t>
  </si>
  <si>
    <t xml:space="preserve">902 DANA ST NE</t>
  </si>
  <si>
    <t xml:space="preserve">OH0015726761</t>
  </si>
  <si>
    <t xml:space="preserve">LARRY</t>
  </si>
  <si>
    <t xml:space="preserve">1960-03-21</t>
  </si>
  <si>
    <t xml:space="preserve">OH0027412610</t>
  </si>
  <si>
    <t xml:space="preserve">1990-09-19</t>
  </si>
  <si>
    <t xml:space="preserve">907 DANA ST NE</t>
  </si>
  <si>
    <t xml:space="preserve">OH0027566003</t>
  </si>
  <si>
    <t xml:space="preserve">MCKIVER</t>
  </si>
  <si>
    <t xml:space="preserve">LEANNE</t>
  </si>
  <si>
    <t xml:space="preserve">1982-11-09</t>
  </si>
  <si>
    <t xml:space="preserve">OH0015700827</t>
  </si>
  <si>
    <t xml:space="preserve">HUSTED</t>
  </si>
  <si>
    <t xml:space="preserve">MYRNA</t>
  </si>
  <si>
    <t xml:space="preserve">1938-01-11</t>
  </si>
  <si>
    <t xml:space="preserve">1983-09-27</t>
  </si>
  <si>
    <t xml:space="preserve">910 DANA ST NE</t>
  </si>
  <si>
    <t xml:space="preserve">OH0024289801</t>
  </si>
  <si>
    <t xml:space="preserve">HERMISON</t>
  </si>
  <si>
    <t xml:space="preserve">OWEN</t>
  </si>
  <si>
    <t xml:space="preserve">1986-05-02</t>
  </si>
  <si>
    <t xml:space="preserve">2025-03-01</t>
  </si>
  <si>
    <t xml:space="preserve">918 DANA ST NE</t>
  </si>
  <si>
    <t xml:space="preserve">OH0027043202</t>
  </si>
  <si>
    <t xml:space="preserve">ETHAN</t>
  </si>
  <si>
    <t xml:space="preserve">2005-01-28</t>
  </si>
  <si>
    <t xml:space="preserve">2023-12-08</t>
  </si>
  <si>
    <t xml:space="preserve">OH0026834493</t>
  </si>
  <si>
    <t xml:space="preserve">1991-04-30</t>
  </si>
  <si>
    <t xml:space="preserve">2013-08-20</t>
  </si>
  <si>
    <t xml:space="preserve">OH0025440252</t>
  </si>
  <si>
    <t xml:space="preserve">REDD</t>
  </si>
  <si>
    <t xml:space="preserve">2002-01-07</t>
  </si>
  <si>
    <t xml:space="preserve">2020-10-13</t>
  </si>
  <si>
    <t xml:space="preserve">926 DANA ST NE</t>
  </si>
  <si>
    <t xml:space="preserve">OH0015791380</t>
  </si>
  <si>
    <t xml:space="preserve">GUNTHER</t>
  </si>
  <si>
    <t xml:space="preserve">JAZMIN</t>
  </si>
  <si>
    <t xml:space="preserve">1985-01-22</t>
  </si>
  <si>
    <t xml:space="preserve">2020-07-27</t>
  </si>
  <si>
    <t xml:space="preserve">OH0023667358</t>
  </si>
  <si>
    <t xml:space="preserve">HAYES</t>
  </si>
  <si>
    <t xml:space="preserve">PATTI</t>
  </si>
  <si>
    <t xml:space="preserve">1966-08-26</t>
  </si>
  <si>
    <t xml:space="preserve">934 DANA ST NE</t>
  </si>
  <si>
    <t xml:space="preserve">OH0015722178</t>
  </si>
  <si>
    <t xml:space="preserve">GIANOUTSOS</t>
  </si>
  <si>
    <t xml:space="preserve">TRACIE</t>
  </si>
  <si>
    <t xml:space="preserve">1966-11-21</t>
  </si>
  <si>
    <t xml:space="preserve">2017-11-21</t>
  </si>
  <si>
    <t xml:space="preserve">942 DANA ST NE</t>
  </si>
  <si>
    <t xml:space="preserve">OH0022307954</t>
  </si>
  <si>
    <t xml:space="preserve">COPE</t>
  </si>
  <si>
    <t xml:space="preserve">949 DANA ST NE</t>
  </si>
  <si>
    <t xml:space="preserve">OH0023449604</t>
  </si>
  <si>
    <t xml:space="preserve">1968-12-30</t>
  </si>
  <si>
    <t xml:space="preserve">OH0025006231</t>
  </si>
  <si>
    <t xml:space="preserve">HUTCHINS</t>
  </si>
  <si>
    <t xml:space="preserve">2019-02-02</t>
  </si>
  <si>
    <t xml:space="preserve">957 DANA ST NE</t>
  </si>
  <si>
    <t xml:space="preserve">OH0021435230</t>
  </si>
  <si>
    <t xml:space="preserve">KEVWITCH</t>
  </si>
  <si>
    <t xml:space="preserve">1992-08-09</t>
  </si>
  <si>
    <t xml:space="preserve">2018-05-10</t>
  </si>
  <si>
    <t xml:space="preserve">OH0020926855</t>
  </si>
  <si>
    <t xml:space="preserve">2018-03-01</t>
  </si>
  <si>
    <t xml:space="preserve">OH0015706741</t>
  </si>
  <si>
    <t xml:space="preserve">MCGAUGHY</t>
  </si>
  <si>
    <t xml:space="preserve">MARTINDALE</t>
  </si>
  <si>
    <t xml:space="preserve">1965-04-11</t>
  </si>
  <si>
    <t xml:space="preserve">1984-03-21</t>
  </si>
  <si>
    <t xml:space="preserve">965 DANA ST NE</t>
  </si>
  <si>
    <t xml:space="preserve">OH0015679668</t>
  </si>
  <si>
    <t xml:space="preserve">CARROLL</t>
  </si>
  <si>
    <t xml:space="preserve">1949-12-13</t>
  </si>
  <si>
    <t xml:space="preserve">973 DANA ST NE</t>
  </si>
  <si>
    <t xml:space="preserve">OH0026082271</t>
  </si>
  <si>
    <t xml:space="preserve">TUMBLIN</t>
  </si>
  <si>
    <t xml:space="preserve">1996-11-30</t>
  </si>
  <si>
    <t xml:space="preserve">2024-06-15</t>
  </si>
  <si>
    <t xml:space="preserve">974 DANA ST NE</t>
  </si>
  <si>
    <t xml:space="preserve">OH0025738671</t>
  </si>
  <si>
    <t xml:space="preserve">1980-01-29</t>
  </si>
  <si>
    <t xml:space="preserve">2020-08-18</t>
  </si>
  <si>
    <t xml:space="preserve">981 DANA ST NE</t>
  </si>
  <si>
    <t xml:space="preserve">OH0015820951</t>
  </si>
  <si>
    <t xml:space="preserve">DAWKINS</t>
  </si>
  <si>
    <t xml:space="preserve">1969-02-17</t>
  </si>
  <si>
    <t xml:space="preserve">2019-02-28</t>
  </si>
  <si>
    <t xml:space="preserve">982 DANA ST NE</t>
  </si>
  <si>
    <t xml:space="preserve">OH0015823120</t>
  </si>
  <si>
    <t xml:space="preserve">JENNINGS</t>
  </si>
  <si>
    <t xml:space="preserve">ERIK</t>
  </si>
  <si>
    <t xml:space="preserve">1981-01-09</t>
  </si>
  <si>
    <t xml:space="preserve">989 DANA ST NE</t>
  </si>
  <si>
    <t xml:space="preserve">OH0015807611</t>
  </si>
  <si>
    <t xml:space="preserve">1983-01-02</t>
  </si>
  <si>
    <t xml:space="preserve">2011-11-30</t>
  </si>
  <si>
    <t xml:space="preserve">OH0015788702</t>
  </si>
  <si>
    <t xml:space="preserve">1953-12-07</t>
  </si>
  <si>
    <t xml:space="preserve">1972-03-21</t>
  </si>
  <si>
    <t xml:space="preserve">OH0021776735</t>
  </si>
  <si>
    <t xml:space="preserve">ROBINSON</t>
  </si>
  <si>
    <t xml:space="preserve">1959-05-12</t>
  </si>
  <si>
    <t xml:space="preserve">2012-05-04</t>
  </si>
  <si>
    <t xml:space="preserve">990 DANA ST NE</t>
  </si>
  <si>
    <t xml:space="preserve">OH0021289044</t>
  </si>
  <si>
    <t xml:space="preserve">PACHUTA</t>
  </si>
  <si>
    <t xml:space="preserve">1950-05-08</t>
  </si>
  <si>
    <t xml:space="preserve">2011-10-05</t>
  </si>
  <si>
    <t xml:space="preserve">OH0018829835</t>
  </si>
  <si>
    <t xml:space="preserve">FILIPCICH</t>
  </si>
  <si>
    <t xml:space="preserve">VANCE</t>
  </si>
  <si>
    <t xml:space="preserve">1988-07-01</t>
  </si>
  <si>
    <t xml:space="preserve">2017-06-28</t>
  </si>
  <si>
    <t xml:space="preserve">1634 DESOTA AVE NW</t>
  </si>
  <si>
    <t xml:space="preserve">OH0025155349</t>
  </si>
  <si>
    <t xml:space="preserve">TABITHA</t>
  </si>
  <si>
    <t xml:space="preserve">1987-02-11</t>
  </si>
  <si>
    <t xml:space="preserve">2019-07-31</t>
  </si>
  <si>
    <t xml:space="preserve">OH0025584000</t>
  </si>
  <si>
    <t xml:space="preserve">RICHARDSON</t>
  </si>
  <si>
    <t xml:space="preserve">ANGIELEE</t>
  </si>
  <si>
    <t xml:space="preserve">1988-01-01</t>
  </si>
  <si>
    <t xml:space="preserve">2023-01-07</t>
  </si>
  <si>
    <t xml:space="preserve">1635 DESOTA AVE NW</t>
  </si>
  <si>
    <t xml:space="preserve">OH0025629354</t>
  </si>
  <si>
    <t xml:space="preserve">JASMYN</t>
  </si>
  <si>
    <t xml:space="preserve">ALEXANDRA</t>
  </si>
  <si>
    <t xml:space="preserve">2001-10-23</t>
  </si>
  <si>
    <t xml:space="preserve">2023-08-03</t>
  </si>
  <si>
    <t xml:space="preserve">1647 DESOTA AVE NW</t>
  </si>
  <si>
    <t xml:space="preserve">OH0015768547</t>
  </si>
  <si>
    <t xml:space="preserve">1972-07-29</t>
  </si>
  <si>
    <t xml:space="preserve">OH0015739500</t>
  </si>
  <si>
    <t xml:space="preserve">1972-11-22</t>
  </si>
  <si>
    <t xml:space="preserve">OH0026063374</t>
  </si>
  <si>
    <t xml:space="preserve">1984-07-24</t>
  </si>
  <si>
    <t xml:space="preserve">1652 DESOTA AVE NW</t>
  </si>
  <si>
    <t xml:space="preserve">OH0025540915</t>
  </si>
  <si>
    <t xml:space="preserve">GWENDOLYN</t>
  </si>
  <si>
    <t xml:space="preserve">1955-04-19</t>
  </si>
  <si>
    <t xml:space="preserve">1659 DESOTA AVE NW</t>
  </si>
  <si>
    <t xml:space="preserve">OH0025592131</t>
  </si>
  <si>
    <t xml:space="preserve">CAYSON</t>
  </si>
  <si>
    <t xml:space="preserve">TIMMON</t>
  </si>
  <si>
    <t xml:space="preserve">DA VEON LEE</t>
  </si>
  <si>
    <t xml:space="preserve">2000-10-13</t>
  </si>
  <si>
    <t xml:space="preserve">2021-12-11</t>
  </si>
  <si>
    <t xml:space="preserve">154 DOUGLAS ST NE</t>
  </si>
  <si>
    <t xml:space="preserve">OH0025020816</t>
  </si>
  <si>
    <t xml:space="preserve">COWGER</t>
  </si>
  <si>
    <t xml:space="preserve">1992-08-12</t>
  </si>
  <si>
    <t xml:space="preserve">2023-10-27</t>
  </si>
  <si>
    <t xml:space="preserve">195 DOUGLAS ST NE</t>
  </si>
  <si>
    <t xml:space="preserve">OH0026944728</t>
  </si>
  <si>
    <t xml:space="preserve">QUIGGLE</t>
  </si>
  <si>
    <t xml:space="preserve">1994-05-06</t>
  </si>
  <si>
    <t xml:space="preserve">2023-07-07</t>
  </si>
  <si>
    <t xml:space="preserve">211 DOUGLAS ST NE</t>
  </si>
  <si>
    <t xml:space="preserve">OH0018583435</t>
  </si>
  <si>
    <t xml:space="preserve">1965-03-29</t>
  </si>
  <si>
    <t xml:space="preserve">OH0021283961</t>
  </si>
  <si>
    <t xml:space="preserve">MCBRIDE</t>
  </si>
  <si>
    <t xml:space="preserve">QUINCY</t>
  </si>
  <si>
    <t xml:space="preserve">1992-10-02</t>
  </si>
  <si>
    <t xml:space="preserve">214 DOUGLAS ST NE</t>
  </si>
  <si>
    <t xml:space="preserve">OH0025568924</t>
  </si>
  <si>
    <t xml:space="preserve">KAILYN</t>
  </si>
  <si>
    <t xml:space="preserve">1981-09-20</t>
  </si>
  <si>
    <t xml:space="preserve">2020-02-21</t>
  </si>
  <si>
    <t xml:space="preserve">OH0025148121</t>
  </si>
  <si>
    <t xml:space="preserve">LATAVIA</t>
  </si>
  <si>
    <t xml:space="preserve">SHANTAYE</t>
  </si>
  <si>
    <t xml:space="preserve">1987-09-26</t>
  </si>
  <si>
    <t xml:space="preserve">OH0020095850</t>
  </si>
  <si>
    <t xml:space="preserve">CONNELLY</t>
  </si>
  <si>
    <t xml:space="preserve">AMY</t>
  </si>
  <si>
    <t xml:space="preserve">1963-01-16</t>
  </si>
  <si>
    <t xml:space="preserve">2009-10-05</t>
  </si>
  <si>
    <t xml:space="preserve">221 DOUGLAS ST NE</t>
  </si>
  <si>
    <t xml:space="preserve">OH0020306268</t>
  </si>
  <si>
    <t xml:space="preserve">PETE</t>
  </si>
  <si>
    <t xml:space="preserve">1954-08-16</t>
  </si>
  <si>
    <t xml:space="preserve">OH0020207026</t>
  </si>
  <si>
    <t xml:space="preserve">ADKINS</t>
  </si>
  <si>
    <t xml:space="preserve">1957-12-22</t>
  </si>
  <si>
    <t xml:space="preserve">2011-06-28</t>
  </si>
  <si>
    <t xml:space="preserve">406 DOUGLAS ST NE</t>
  </si>
  <si>
    <t xml:space="preserve">OH0027034165</t>
  </si>
  <si>
    <t xml:space="preserve">LIPSTREU</t>
  </si>
  <si>
    <t xml:space="preserve">1968-04-14</t>
  </si>
  <si>
    <t xml:space="preserve">2023-09-27</t>
  </si>
  <si>
    <t xml:space="preserve">416 DOUGLAS ST NE</t>
  </si>
  <si>
    <t xml:space="preserve">OH0026503130</t>
  </si>
  <si>
    <t xml:space="preserve">HARRINGTON</t>
  </si>
  <si>
    <t xml:space="preserve">JENELLE</t>
  </si>
  <si>
    <t xml:space="preserve">2000-12-13</t>
  </si>
  <si>
    <t xml:space="preserve">2022-04-28</t>
  </si>
  <si>
    <t xml:space="preserve">417 DOUGLAS ST NE</t>
  </si>
  <si>
    <t xml:space="preserve">OH0026643063</t>
  </si>
  <si>
    <t xml:space="preserve">TAMMIE</t>
  </si>
  <si>
    <t xml:space="preserve">LOUISE</t>
  </si>
  <si>
    <t xml:space="preserve">1963-08-09</t>
  </si>
  <si>
    <t xml:space="preserve">2022-09-21</t>
  </si>
  <si>
    <t xml:space="preserve">OH0022708781</t>
  </si>
  <si>
    <t xml:space="preserve">JENKINS</t>
  </si>
  <si>
    <t xml:space="preserve">BRIANA</t>
  </si>
  <si>
    <t xml:space="preserve">LAREN</t>
  </si>
  <si>
    <t xml:space="preserve">1995-12-07</t>
  </si>
  <si>
    <t xml:space="preserve">2014-03-07</t>
  </si>
  <si>
    <t xml:space="preserve">434 DOUGLAS ST NE</t>
  </si>
  <si>
    <t xml:space="preserve">OH0023890350</t>
  </si>
  <si>
    <t xml:space="preserve">BRYNA</t>
  </si>
  <si>
    <t xml:space="preserve">1998-09-22</t>
  </si>
  <si>
    <t xml:space="preserve">2016-09-02</t>
  </si>
  <si>
    <t xml:space="preserve">OH0015820728</t>
  </si>
  <si>
    <t xml:space="preserve">CARTNER</t>
  </si>
  <si>
    <t xml:space="preserve">1969-09-21</t>
  </si>
  <si>
    <t xml:space="preserve">1997-09-19</t>
  </si>
  <si>
    <t xml:space="preserve">437 DOUGLAS ST NE</t>
  </si>
  <si>
    <t xml:space="preserve">OH0015750334</t>
  </si>
  <si>
    <t xml:space="preserve">1972-05-12</t>
  </si>
  <si>
    <t xml:space="preserve">2000-03-30</t>
  </si>
  <si>
    <t xml:space="preserve">OH0024230151</t>
  </si>
  <si>
    <t xml:space="preserve">DELZHANE</t>
  </si>
  <si>
    <t xml:space="preserve">1998-02-26</t>
  </si>
  <si>
    <t xml:space="preserve">2017-02-17</t>
  </si>
  <si>
    <t xml:space="preserve">443 DOUGLAS ST NE</t>
  </si>
  <si>
    <t xml:space="preserve">OH0022868458</t>
  </si>
  <si>
    <t xml:space="preserve">REED</t>
  </si>
  <si>
    <t xml:space="preserve">EMILY</t>
  </si>
  <si>
    <t xml:space="preserve">1990-07-02</t>
  </si>
  <si>
    <t xml:space="preserve">2023-01-30</t>
  </si>
  <si>
    <t xml:space="preserve">447 DOUGLAS ST NE</t>
  </si>
  <si>
    <t xml:space="preserve">OH0023489151</t>
  </si>
  <si>
    <t xml:space="preserve">HURT</t>
  </si>
  <si>
    <t xml:space="preserve">ADAISA</t>
  </si>
  <si>
    <t xml:space="preserve">BREONNE</t>
  </si>
  <si>
    <t xml:space="preserve">1998-09-14</t>
  </si>
  <si>
    <t xml:space="preserve">456 DOUGLAS ST NE</t>
  </si>
  <si>
    <t xml:space="preserve">OH0022708531</t>
  </si>
  <si>
    <t xml:space="preserve">1996-02-08</t>
  </si>
  <si>
    <t xml:space="preserve">2018-09-19</t>
  </si>
  <si>
    <t xml:space="preserve">458 DOUGLAS ST NE</t>
  </si>
  <si>
    <t xml:space="preserve">OH0023869608</t>
  </si>
  <si>
    <t xml:space="preserve">1969-07-30</t>
  </si>
  <si>
    <t xml:space="preserve">469 DOUGLAS ST NE</t>
  </si>
  <si>
    <t xml:space="preserve">OH0015756680</t>
  </si>
  <si>
    <t xml:space="preserve">1953-08-02</t>
  </si>
  <si>
    <t xml:space="preserve">2008-04-15</t>
  </si>
  <si>
    <t xml:space="preserve">510 DOUGLAS ST NE</t>
  </si>
  <si>
    <t xml:space="preserve">OH0015712377</t>
  </si>
  <si>
    <t xml:space="preserve">TIERRA</t>
  </si>
  <si>
    <t xml:space="preserve">1986-04-28</t>
  </si>
  <si>
    <t xml:space="preserve">OH0015812548</t>
  </si>
  <si>
    <t xml:space="preserve">1971-09-11</t>
  </si>
  <si>
    <t xml:space="preserve">2018-05-25</t>
  </si>
  <si>
    <t xml:space="preserve">OH0025603783</t>
  </si>
  <si>
    <t xml:space="preserve">POWELL</t>
  </si>
  <si>
    <t xml:space="preserve">JA TAVION</t>
  </si>
  <si>
    <t xml:space="preserve">DRU</t>
  </si>
  <si>
    <t xml:space="preserve">1995-05-31</t>
  </si>
  <si>
    <t xml:space="preserve">521 DOUGLAS ST NE</t>
  </si>
  <si>
    <t xml:space="preserve">OH0015745851</t>
  </si>
  <si>
    <t xml:space="preserve">IVES</t>
  </si>
  <si>
    <t xml:space="preserve">1961-07-02</t>
  </si>
  <si>
    <t xml:space="preserve">526 DOUGLAS ST NE</t>
  </si>
  <si>
    <t xml:space="preserve">OH0015745857</t>
  </si>
  <si>
    <t xml:space="preserve">ANTOINETTE</t>
  </si>
  <si>
    <t xml:space="preserve">OH0027329636</t>
  </si>
  <si>
    <t xml:space="preserve">GEORGIA</t>
  </si>
  <si>
    <t xml:space="preserve">1957-11-12</t>
  </si>
  <si>
    <t xml:space="preserve">2024-04-22</t>
  </si>
  <si>
    <t xml:space="preserve">OH0015698006</t>
  </si>
  <si>
    <t xml:space="preserve">HAMMERCHECK</t>
  </si>
  <si>
    <t xml:space="preserve">1964-10-31</t>
  </si>
  <si>
    <t xml:space="preserve">169 DOUGLAS ST NW</t>
  </si>
  <si>
    <t xml:space="preserve">OH0024871889</t>
  </si>
  <si>
    <t xml:space="preserve">1961-09-14</t>
  </si>
  <si>
    <t xml:space="preserve">188 DOUGLAS ST NW</t>
  </si>
  <si>
    <t xml:space="preserve">OH0027278096</t>
  </si>
  <si>
    <t xml:space="preserve">1956-11-15</t>
  </si>
  <si>
    <t xml:space="preserve">2024-03-20</t>
  </si>
  <si>
    <t xml:space="preserve">OH0015715665</t>
  </si>
  <si>
    <t xml:space="preserve">ENSINGER</t>
  </si>
  <si>
    <t xml:space="preserve">1964-09-19</t>
  </si>
  <si>
    <t xml:space="preserve">2023-07-14</t>
  </si>
  <si>
    <t xml:space="preserve">194 DOUGLAS ST NW</t>
  </si>
  <si>
    <t xml:space="preserve">OH0024590308</t>
  </si>
  <si>
    <t xml:space="preserve">1962-04-11</t>
  </si>
  <si>
    <t xml:space="preserve">OH0027506817</t>
  </si>
  <si>
    <t xml:space="preserve">LEEK</t>
  </si>
  <si>
    <t xml:space="preserve">SHYLA</t>
  </si>
  <si>
    <t xml:space="preserve">2006-08-16</t>
  </si>
  <si>
    <t xml:space="preserve">2024-09-20</t>
  </si>
  <si>
    <t xml:space="preserve">197 DOUGLAS ST NW</t>
  </si>
  <si>
    <t xml:space="preserve">OH0015708075</t>
  </si>
  <si>
    <t xml:space="preserve">1982-12-12</t>
  </si>
  <si>
    <t xml:space="preserve">2016-08-16</t>
  </si>
  <si>
    <t xml:space="preserve">204 DOUGLAS ST NW</t>
  </si>
  <si>
    <t xml:space="preserve">OH0024100785</t>
  </si>
  <si>
    <t xml:space="preserve">RITZ</t>
  </si>
  <si>
    <t xml:space="preserve">1946-12-19</t>
  </si>
  <si>
    <t xml:space="preserve">2016-09-27</t>
  </si>
  <si>
    <t xml:space="preserve">230 DOUGLAS ST NW</t>
  </si>
  <si>
    <t xml:space="preserve">OH0019860797</t>
  </si>
  <si>
    <t xml:space="preserve">SHAUNDRA</t>
  </si>
  <si>
    <t xml:space="preserve">1961-11-12</t>
  </si>
  <si>
    <t xml:space="preserve">2015-10-20</t>
  </si>
  <si>
    <t xml:space="preserve">248 DOUGLAS ST NW</t>
  </si>
  <si>
    <t xml:space="preserve">OH0019915081</t>
  </si>
  <si>
    <t xml:space="preserve">TONYA</t>
  </si>
  <si>
    <t xml:space="preserve">1965-12-17</t>
  </si>
  <si>
    <t xml:space="preserve">OH0026800368</t>
  </si>
  <si>
    <t xml:space="preserve">FLEMING</t>
  </si>
  <si>
    <t xml:space="preserve">1998-07-31</t>
  </si>
  <si>
    <t xml:space="preserve">2023-01-24</t>
  </si>
  <si>
    <t xml:space="preserve">249 DOUGLAS ST NW</t>
  </si>
  <si>
    <t xml:space="preserve">OH0025387762</t>
  </si>
  <si>
    <t xml:space="preserve">HARBIN</t>
  </si>
  <si>
    <t xml:space="preserve">JAQUAN</t>
  </si>
  <si>
    <t xml:space="preserve">MORSE</t>
  </si>
  <si>
    <t xml:space="preserve">2000-11-22</t>
  </si>
  <si>
    <t xml:space="preserve">2020-01-16</t>
  </si>
  <si>
    <t xml:space="preserve">273 DOUGLAS ST NW</t>
  </si>
  <si>
    <t xml:space="preserve">OH0027303075</t>
  </si>
  <si>
    <t xml:space="preserve">MURRY</t>
  </si>
  <si>
    <t xml:space="preserve">1966-05-20</t>
  </si>
  <si>
    <t xml:space="preserve">2024-04-02</t>
  </si>
  <si>
    <t xml:space="preserve">OH0021340621</t>
  </si>
  <si>
    <t xml:space="preserve">HARSCH</t>
  </si>
  <si>
    <t xml:space="preserve">SHANICA</t>
  </si>
  <si>
    <t xml:space="preserve">1992-10-04</t>
  </si>
  <si>
    <t xml:space="preserve">2021-04-13</t>
  </si>
  <si>
    <t xml:space="preserve">307 DOUGLAS ST NW</t>
  </si>
  <si>
    <t xml:space="preserve">OH0015729726</t>
  </si>
  <si>
    <t xml:space="preserve">RICKY</t>
  </si>
  <si>
    <t xml:space="preserve">1954-03-09</t>
  </si>
  <si>
    <t xml:space="preserve">317 DOUGLAS ST NW</t>
  </si>
  <si>
    <t xml:space="preserve">OH0021315701</t>
  </si>
  <si>
    <t xml:space="preserve">SEGURA</t>
  </si>
  <si>
    <t xml:space="preserve">REYNALDO</t>
  </si>
  <si>
    <t xml:space="preserve">1982-05-26</t>
  </si>
  <si>
    <t xml:space="preserve">2018-05-26</t>
  </si>
  <si>
    <t xml:space="preserve">337 DOUGLAS ST NW</t>
  </si>
  <si>
    <t xml:space="preserve">OH0015791359</t>
  </si>
  <si>
    <t xml:space="preserve">STINER</t>
  </si>
  <si>
    <t xml:space="preserve">1947-01-26</t>
  </si>
  <si>
    <t xml:space="preserve">1970-03-19</t>
  </si>
  <si>
    <t xml:space="preserve">345 DOUGLAS ST NW</t>
  </si>
  <si>
    <t xml:space="preserve">OH0021684546</t>
  </si>
  <si>
    <t xml:space="preserve">1966-10-05</t>
  </si>
  <si>
    <t xml:space="preserve">2012-01-10</t>
  </si>
  <si>
    <t xml:space="preserve">350 DOUGLAS ST NW</t>
  </si>
  <si>
    <t xml:space="preserve">OH0023357653</t>
  </si>
  <si>
    <t xml:space="preserve">TREASURE</t>
  </si>
  <si>
    <t xml:space="preserve">TRANIESE</t>
  </si>
  <si>
    <t xml:space="preserve">1996-06-03</t>
  </si>
  <si>
    <t xml:space="preserve">2019-03-15</t>
  </si>
  <si>
    <t xml:space="preserve">438 DOUGLAS ST NW</t>
  </si>
  <si>
    <t xml:space="preserve">OH0021340587</t>
  </si>
  <si>
    <t xml:space="preserve">WESLEY</t>
  </si>
  <si>
    <t xml:space="preserve">1993-06-05</t>
  </si>
  <si>
    <t xml:space="preserve">2015-08-17</t>
  </si>
  <si>
    <t xml:space="preserve">441 DOUGLAS ST NW</t>
  </si>
  <si>
    <t xml:space="preserve">OH0022653383</t>
  </si>
  <si>
    <t xml:space="preserve">HOMEWOOD</t>
  </si>
  <si>
    <t xml:space="preserve">DESIRAE</t>
  </si>
  <si>
    <t xml:space="preserve">1995-05-11</t>
  </si>
  <si>
    <t xml:space="preserve">442 DOUGLAS ST NW</t>
  </si>
  <si>
    <t xml:space="preserve">OH0022336381</t>
  </si>
  <si>
    <t xml:space="preserve">1985-03-15</t>
  </si>
  <si>
    <t xml:space="preserve">2019-03-20</t>
  </si>
  <si>
    <t xml:space="preserve">OH0026817876</t>
  </si>
  <si>
    <t xml:space="preserve">LAKE</t>
  </si>
  <si>
    <t xml:space="preserve">A NIYHA</t>
  </si>
  <si>
    <t xml:space="preserve">2005-04-01</t>
  </si>
  <si>
    <t xml:space="preserve">444 DOUGLAS ST NW</t>
  </si>
  <si>
    <t xml:space="preserve">OH0015782256</t>
  </si>
  <si>
    <t xml:space="preserve">LINDSEY</t>
  </si>
  <si>
    <t xml:space="preserve">1982-05-17</t>
  </si>
  <si>
    <t xml:space="preserve">2018-04-20</t>
  </si>
  <si>
    <t xml:space="preserve">445 DOUGLAS ST NW</t>
  </si>
  <si>
    <t xml:space="preserve">OH0021514650</t>
  </si>
  <si>
    <t xml:space="preserve">1981-07-24</t>
  </si>
  <si>
    <t xml:space="preserve">2016-08-15</t>
  </si>
  <si>
    <t xml:space="preserve">447 DOUGLAS ST NW</t>
  </si>
  <si>
    <t xml:space="preserve">OH0023710219</t>
  </si>
  <si>
    <t xml:space="preserve">SPICER</t>
  </si>
  <si>
    <t xml:space="preserve">1956-05-25</t>
  </si>
  <si>
    <t xml:space="preserve">449 DOUGLAS ST NW</t>
  </si>
  <si>
    <t xml:space="preserve">OH0023296485</t>
  </si>
  <si>
    <t xml:space="preserve">TREVAIRE</t>
  </si>
  <si>
    <t xml:space="preserve">1997-08-24</t>
  </si>
  <si>
    <t xml:space="preserve">2020-05-29</t>
  </si>
  <si>
    <t xml:space="preserve">OH0022042556</t>
  </si>
  <si>
    <t xml:space="preserve">TAMI</t>
  </si>
  <si>
    <t xml:space="preserve">1980-05-08</t>
  </si>
  <si>
    <t xml:space="preserve">2012-09-23</t>
  </si>
  <si>
    <t xml:space="preserve">458 DOUGLAS ST NW</t>
  </si>
  <si>
    <t xml:space="preserve">OH0015815520</t>
  </si>
  <si>
    <t xml:space="preserve">LETITIA</t>
  </si>
  <si>
    <t xml:space="preserve">1976-12-02</t>
  </si>
  <si>
    <t xml:space="preserve">2018-08-13</t>
  </si>
  <si>
    <t xml:space="preserve">OH0023152287</t>
  </si>
  <si>
    <t xml:space="preserve">BALL</t>
  </si>
  <si>
    <t xml:space="preserve">VIRDAYJA</t>
  </si>
  <si>
    <t xml:space="preserve">1996-12-25</t>
  </si>
  <si>
    <t xml:space="preserve">OH0027452503</t>
  </si>
  <si>
    <t xml:space="preserve">BRITNEY</t>
  </si>
  <si>
    <t xml:space="preserve">2000-02-18</t>
  </si>
  <si>
    <t xml:space="preserve">2024-07-17</t>
  </si>
  <si>
    <t xml:space="preserve">460 DOUGLAS ST NW</t>
  </si>
  <si>
    <t xml:space="preserve">OH0027338995</t>
  </si>
  <si>
    <t xml:space="preserve">DAWSON</t>
  </si>
  <si>
    <t xml:space="preserve">DARRNELLA</t>
  </si>
  <si>
    <t xml:space="preserve">1983-05-14</t>
  </si>
  <si>
    <t xml:space="preserve">2024-05-08</t>
  </si>
  <si>
    <t xml:space="preserve">462 DOUGLAS ST NW</t>
  </si>
  <si>
    <t xml:space="preserve">OH0027567790</t>
  </si>
  <si>
    <t xml:space="preserve">1990-06-08</t>
  </si>
  <si>
    <t xml:space="preserve">2025-05-09</t>
  </si>
  <si>
    <t xml:space="preserve">470 DOUGLAS ST NW</t>
  </si>
  <si>
    <t xml:space="preserve">OH0021280005</t>
  </si>
  <si>
    <t xml:space="preserve">TEIRANNY</t>
  </si>
  <si>
    <t xml:space="preserve">1992-10-24</t>
  </si>
  <si>
    <t xml:space="preserve">2015-10-05</t>
  </si>
  <si>
    <t xml:space="preserve">APT 3B</t>
  </si>
  <si>
    <t xml:space="preserve">OH0027167231</t>
  </si>
  <si>
    <t xml:space="preserve">KERNER</t>
  </si>
  <si>
    <t xml:space="preserve">2003-04-19</t>
  </si>
  <si>
    <t xml:space="preserve">APT C2</t>
  </si>
  <si>
    <t xml:space="preserve">OH0015759865</t>
  </si>
  <si>
    <t xml:space="preserve">BUELL</t>
  </si>
  <si>
    <t xml:space="preserve">KATRINA</t>
  </si>
  <si>
    <t xml:space="preserve">1978-10-21</t>
  </si>
  <si>
    <t xml:space="preserve">2025-04-18</t>
  </si>
  <si>
    <t xml:space="preserve">APT D1</t>
  </si>
  <si>
    <t xml:space="preserve">OH0026350423</t>
  </si>
  <si>
    <t xml:space="preserve">GREENE</t>
  </si>
  <si>
    <t xml:space="preserve">1999-12-22</t>
  </si>
  <si>
    <t xml:space="preserve">APT B2</t>
  </si>
  <si>
    <t xml:space="preserve">OH0024452557</t>
  </si>
  <si>
    <t xml:space="preserve">MOLINA</t>
  </si>
  <si>
    <t xml:space="preserve">MARIENID</t>
  </si>
  <si>
    <t xml:space="preserve">1980-11-08</t>
  </si>
  <si>
    <t xml:space="preserve">APT B3</t>
  </si>
  <si>
    <t xml:space="preserve">OH0026204955</t>
  </si>
  <si>
    <t xml:space="preserve">ALYSSA</t>
  </si>
  <si>
    <t xml:space="preserve">2001-03-02</t>
  </si>
  <si>
    <t xml:space="preserve">2021-05-10</t>
  </si>
  <si>
    <t xml:space="preserve">APT C1</t>
  </si>
  <si>
    <t xml:space="preserve">OH0024512942</t>
  </si>
  <si>
    <t xml:space="preserve">YARTZ</t>
  </si>
  <si>
    <t xml:space="preserve">JANEICE</t>
  </si>
  <si>
    <t xml:space="preserve">1999-10-27</t>
  </si>
  <si>
    <t xml:space="preserve">2021-03-16</t>
  </si>
  <si>
    <t xml:space="preserve">APT C3</t>
  </si>
  <si>
    <t xml:space="preserve">OH0022555348</t>
  </si>
  <si>
    <t xml:space="preserve">GAY</t>
  </si>
  <si>
    <t xml:space="preserve">CHELSEY</t>
  </si>
  <si>
    <t xml:space="preserve">1991-12-23</t>
  </si>
  <si>
    <t xml:space="preserve">APT B1</t>
  </si>
  <si>
    <t xml:space="preserve">OH0021293252</t>
  </si>
  <si>
    <t xml:space="preserve">STEWART</t>
  </si>
  <si>
    <t xml:space="preserve">MEGAN</t>
  </si>
  <si>
    <t xml:space="preserve">1989-03-26</t>
  </si>
  <si>
    <t xml:space="preserve">2021-03-11</t>
  </si>
  <si>
    <t xml:space="preserve">OH0027478696</t>
  </si>
  <si>
    <t xml:space="preserve">1987-12-16</t>
  </si>
  <si>
    <t xml:space="preserve">2024-07-08</t>
  </si>
  <si>
    <t xml:space="preserve">503 DOUGLAS ST NW</t>
  </si>
  <si>
    <t xml:space="preserve">OH0027374041</t>
  </si>
  <si>
    <t xml:space="preserve">TAYSIA</t>
  </si>
  <si>
    <t xml:space="preserve">2001-07-07</t>
  </si>
  <si>
    <t xml:space="preserve">505 DOUGLAS ST NW</t>
  </si>
  <si>
    <t xml:space="preserve">OH0023463744</t>
  </si>
  <si>
    <t xml:space="preserve">LASHONDA</t>
  </si>
  <si>
    <t xml:space="preserve">1997-12-21</t>
  </si>
  <si>
    <t xml:space="preserve">507 DOUGLAS ST NW</t>
  </si>
  <si>
    <t xml:space="preserve">OH0026261645</t>
  </si>
  <si>
    <t xml:space="preserve">SCRUGGS</t>
  </si>
  <si>
    <t xml:space="preserve">LEAH</t>
  </si>
  <si>
    <t xml:space="preserve">1991-02-15</t>
  </si>
  <si>
    <t xml:space="preserve">2021-08-02</t>
  </si>
  <si>
    <t xml:space="preserve">OH0020291570</t>
  </si>
  <si>
    <t xml:space="preserve">1972-03-02</t>
  </si>
  <si>
    <t xml:space="preserve">509 DOUGLAS ST NW</t>
  </si>
  <si>
    <t xml:space="preserve">OH0025570045</t>
  </si>
  <si>
    <t xml:space="preserve">BEHNER</t>
  </si>
  <si>
    <t xml:space="preserve">CAMEREN</t>
  </si>
  <si>
    <t xml:space="preserve">2020-03-16</t>
  </si>
  <si>
    <t xml:space="preserve">OH0025012690</t>
  </si>
  <si>
    <t xml:space="preserve">NICHOLS</t>
  </si>
  <si>
    <t xml:space="preserve">RANAUDEA</t>
  </si>
  <si>
    <t xml:space="preserve">1994-12-17</t>
  </si>
  <si>
    <t xml:space="preserve">516 DOUGLAS ST NW</t>
  </si>
  <si>
    <t xml:space="preserve">OH0023335742</t>
  </si>
  <si>
    <t xml:space="preserve">MCCANN</t>
  </si>
  <si>
    <t xml:space="preserve">1994-05-04</t>
  </si>
  <si>
    <t xml:space="preserve">2024-08-17</t>
  </si>
  <si>
    <t xml:space="preserve">517 DOUGLAS ST NW</t>
  </si>
  <si>
    <t xml:space="preserve">OH0023866296</t>
  </si>
  <si>
    <t xml:space="preserve">AARON</t>
  </si>
  <si>
    <t xml:space="preserve">1985-11-01</t>
  </si>
  <si>
    <t xml:space="preserve">OH0024505646</t>
  </si>
  <si>
    <t xml:space="preserve">RIVERS</t>
  </si>
  <si>
    <t xml:space="preserve">SHANEESHA</t>
  </si>
  <si>
    <t xml:space="preserve">1995-08-06</t>
  </si>
  <si>
    <t xml:space="preserve">2017-02-02</t>
  </si>
  <si>
    <t xml:space="preserve">518 DOUGLAS ST NW</t>
  </si>
  <si>
    <t xml:space="preserve">OH0025544627</t>
  </si>
  <si>
    <t xml:space="preserve">1993-09-06</t>
  </si>
  <si>
    <t xml:space="preserve">2020-02-20</t>
  </si>
  <si>
    <t xml:space="preserve">OH0023271241</t>
  </si>
  <si>
    <t xml:space="preserve">CLIFFTON</t>
  </si>
  <si>
    <t xml:space="preserve">1979-04-20</t>
  </si>
  <si>
    <t xml:space="preserve">519 DOUGLAS ST NW</t>
  </si>
  <si>
    <t xml:space="preserve">OH0015725349</t>
  </si>
  <si>
    <t xml:space="preserve">1969-02-24</t>
  </si>
  <si>
    <t xml:space="preserve">2017-09-11</t>
  </si>
  <si>
    <t xml:space="preserve">521 DOUGLAS ST NW</t>
  </si>
  <si>
    <t xml:space="preserve">OH0015699461</t>
  </si>
  <si>
    <t xml:space="preserve">HILL</t>
  </si>
  <si>
    <t xml:space="preserve">1954-02-09</t>
  </si>
  <si>
    <t xml:space="preserve">2016-07-30</t>
  </si>
  <si>
    <t xml:space="preserve">525 DOUGLAS ST NW</t>
  </si>
  <si>
    <t xml:space="preserve">OH0022347612</t>
  </si>
  <si>
    <t xml:space="preserve">WINTERS</t>
  </si>
  <si>
    <t xml:space="preserve">SYDNEY</t>
  </si>
  <si>
    <t xml:space="preserve">1995-03-10</t>
  </si>
  <si>
    <t xml:space="preserve">527 DOUGLAS ST NW</t>
  </si>
  <si>
    <t xml:space="preserve">OH0025229831</t>
  </si>
  <si>
    <t xml:space="preserve">DEANDREA</t>
  </si>
  <si>
    <t xml:space="preserve">2001-07-16</t>
  </si>
  <si>
    <t xml:space="preserve">2023-05-08</t>
  </si>
  <si>
    <t xml:space="preserve">534 DOUGLAS ST NW</t>
  </si>
  <si>
    <t xml:space="preserve">OH0025628345</t>
  </si>
  <si>
    <t xml:space="preserve">1985-06-29</t>
  </si>
  <si>
    <t xml:space="preserve">538 DOUGLAS ST NW</t>
  </si>
  <si>
    <t xml:space="preserve">OH0019668989</t>
  </si>
  <si>
    <t xml:space="preserve">CARKHUFF</t>
  </si>
  <si>
    <t xml:space="preserve">KRYSTAL</t>
  </si>
  <si>
    <t xml:space="preserve">ANGEL</t>
  </si>
  <si>
    <t xml:space="preserve">1987-11-12</t>
  </si>
  <si>
    <t xml:space="preserve">2015-07-23</t>
  </si>
  <si>
    <t xml:space="preserve">544 DOUGLAS ST NW</t>
  </si>
  <si>
    <t xml:space="preserve">OH0024173080</t>
  </si>
  <si>
    <t xml:space="preserve">1997-02-13</t>
  </si>
  <si>
    <t xml:space="preserve">546 DOUGLAS ST NW</t>
  </si>
  <si>
    <t xml:space="preserve">OH0024495887</t>
  </si>
  <si>
    <t xml:space="preserve">REANNEN</t>
  </si>
  <si>
    <t xml:space="preserve">1981-06-10</t>
  </si>
  <si>
    <t xml:space="preserve">2018-06-25</t>
  </si>
  <si>
    <t xml:space="preserve">548 DOUGLAS ST NW</t>
  </si>
  <si>
    <t xml:space="preserve">OH0024718397</t>
  </si>
  <si>
    <t xml:space="preserve">LYONS</t>
  </si>
  <si>
    <t xml:space="preserve">CHELSEA</t>
  </si>
  <si>
    <t xml:space="preserve">1998-02-11</t>
  </si>
  <si>
    <t xml:space="preserve">550 DOUGLAS ST NW</t>
  </si>
  <si>
    <t xml:space="preserve">OH0025043718</t>
  </si>
  <si>
    <t xml:space="preserve">DOUGLAS</t>
  </si>
  <si>
    <t xml:space="preserve">TRENTATEE</t>
  </si>
  <si>
    <t xml:space="preserve">1998-11-02</t>
  </si>
  <si>
    <t xml:space="preserve">552 DOUGLAS ST NW</t>
  </si>
  <si>
    <t xml:space="preserve">OH0027635318</t>
  </si>
  <si>
    <t xml:space="preserve">DERYLAK</t>
  </si>
  <si>
    <t xml:space="preserve">1989-02-03</t>
  </si>
  <si>
    <t xml:space="preserve">2024-09-19</t>
  </si>
  <si>
    <t xml:space="preserve">554 DOUGLAS ST NW</t>
  </si>
  <si>
    <t xml:space="preserve">OH0019521163</t>
  </si>
  <si>
    <t xml:space="preserve">1989-10-06</t>
  </si>
  <si>
    <t xml:space="preserve">2015-10-14</t>
  </si>
  <si>
    <t xml:space="preserve">OH0025738636</t>
  </si>
  <si>
    <t xml:space="preserve">1981-09-09</t>
  </si>
  <si>
    <t xml:space="preserve">2023-10-06</t>
  </si>
  <si>
    <t xml:space="preserve">558 DOUGLAS ST NW</t>
  </si>
  <si>
    <t xml:space="preserve">OH0027672115</t>
  </si>
  <si>
    <t xml:space="preserve">2024-09-04</t>
  </si>
  <si>
    <t xml:space="preserve">1015 ELM RD NE</t>
  </si>
  <si>
    <t xml:space="preserve">OH0023448988</t>
  </si>
  <si>
    <t xml:space="preserve">1973-01-31</t>
  </si>
  <si>
    <t xml:space="preserve">1029 ELM RD NE</t>
  </si>
  <si>
    <t xml:space="preserve">OH0027507055</t>
  </si>
  <si>
    <t xml:space="preserve">HENDERSON</t>
  </si>
  <si>
    <t xml:space="preserve">MAYA</t>
  </si>
  <si>
    <t xml:space="preserve">1992-04-13</t>
  </si>
  <si>
    <t xml:space="preserve">OH0027250635</t>
  </si>
  <si>
    <t xml:space="preserve">SMITHBERGER</t>
  </si>
  <si>
    <t xml:space="preserve">1974-08-07</t>
  </si>
  <si>
    <t xml:space="preserve">1039 ELM RD NE</t>
  </si>
  <si>
    <t xml:space="preserve">OH0022306477</t>
  </si>
  <si>
    <t xml:space="preserve">RANDY</t>
  </si>
  <si>
    <t xml:space="preserve">1974-09-09</t>
  </si>
  <si>
    <t xml:space="preserve">OH0026681724</t>
  </si>
  <si>
    <t xml:space="preserve">CRISP</t>
  </si>
  <si>
    <t xml:space="preserve">KRISTEN</t>
  </si>
  <si>
    <t xml:space="preserve">1995-06-19</t>
  </si>
  <si>
    <t xml:space="preserve">2022-10-09</t>
  </si>
  <si>
    <t xml:space="preserve">1057 ELM RD NE</t>
  </si>
  <si>
    <t xml:space="preserve">OH0022219923</t>
  </si>
  <si>
    <t xml:space="preserve">IRWIN LEWIS</t>
  </si>
  <si>
    <t xml:space="preserve">1974-08-30</t>
  </si>
  <si>
    <t xml:space="preserve">2018-06-14</t>
  </si>
  <si>
    <t xml:space="preserve">1059 ELM RD NE</t>
  </si>
  <si>
    <t xml:space="preserve">OH0022239935</t>
  </si>
  <si>
    <t xml:space="preserve">CASTERLINE</t>
  </si>
  <si>
    <t xml:space="preserve">1983-05-29</t>
  </si>
  <si>
    <t xml:space="preserve">1083 ELM RD NE</t>
  </si>
  <si>
    <t xml:space="preserve">OH0025579648</t>
  </si>
  <si>
    <t xml:space="preserve">FRASIER</t>
  </si>
  <si>
    <t xml:space="preserve">1976-05-22</t>
  </si>
  <si>
    <t xml:space="preserve">2020-06-15</t>
  </si>
  <si>
    <t xml:space="preserve">OH0025143490</t>
  </si>
  <si>
    <t xml:space="preserve">1986-07-16</t>
  </si>
  <si>
    <t xml:space="preserve">2019-07-18</t>
  </si>
  <si>
    <t xml:space="preserve">1101 ELM RD NE</t>
  </si>
  <si>
    <t xml:space="preserve">OH0027204409</t>
  </si>
  <si>
    <t xml:space="preserve">BORRELL</t>
  </si>
  <si>
    <t xml:space="preserve">SHERRI</t>
  </si>
  <si>
    <t xml:space="preserve">1969-01-13</t>
  </si>
  <si>
    <t xml:space="preserve">1109 ELM RD NE</t>
  </si>
  <si>
    <t xml:space="preserve">OH0027541094</t>
  </si>
  <si>
    <t xml:space="preserve">PHYLLIS</t>
  </si>
  <si>
    <t xml:space="preserve">1953-09-07</t>
  </si>
  <si>
    <t xml:space="preserve">OH0024567389</t>
  </si>
  <si>
    <t xml:space="preserve">MAKAYLA</t>
  </si>
  <si>
    <t xml:space="preserve">2000-10-08</t>
  </si>
  <si>
    <t xml:space="preserve">2019-08-30</t>
  </si>
  <si>
    <t xml:space="preserve">1111 ELM RD NE</t>
  </si>
  <si>
    <t xml:space="preserve">OH0024699330</t>
  </si>
  <si>
    <t xml:space="preserve">WHITE</t>
  </si>
  <si>
    <t xml:space="preserve">1981-12-08</t>
  </si>
  <si>
    <t xml:space="preserve">OH0025816492</t>
  </si>
  <si>
    <t xml:space="preserve">1986-07-09</t>
  </si>
  <si>
    <t xml:space="preserve">2025-05-12</t>
  </si>
  <si>
    <t xml:space="preserve">OH0027142996</t>
  </si>
  <si>
    <t xml:space="preserve">1994-08-03</t>
  </si>
  <si>
    <t xml:space="preserve">OH0027370466</t>
  </si>
  <si>
    <t xml:space="preserve">RODRIGUEZ</t>
  </si>
  <si>
    <t xml:space="preserve">ISRAEL</t>
  </si>
  <si>
    <t xml:space="preserve">JUINOR</t>
  </si>
  <si>
    <t xml:space="preserve">1977-04-08</t>
  </si>
  <si>
    <t xml:space="preserve">2024-05-30</t>
  </si>
  <si>
    <t xml:space="preserve">1209 ELM RD NE</t>
  </si>
  <si>
    <t xml:space="preserve">OH0027313600</t>
  </si>
  <si>
    <t xml:space="preserve">JACQUELINE</t>
  </si>
  <si>
    <t xml:space="preserve">1984-06-09</t>
  </si>
  <si>
    <t xml:space="preserve">2024-03-13</t>
  </si>
  <si>
    <t xml:space="preserve">OH0026817982</t>
  </si>
  <si>
    <t xml:space="preserve">OMALLEY</t>
  </si>
  <si>
    <t xml:space="preserve">2005-01-10</t>
  </si>
  <si>
    <t xml:space="preserve">1229 ELM RD NE</t>
  </si>
  <si>
    <t xml:space="preserve">OH0027665387</t>
  </si>
  <si>
    <t xml:space="preserve">1979-02-02</t>
  </si>
  <si>
    <t xml:space="preserve">2024-09-28</t>
  </si>
  <si>
    <t xml:space="preserve">OH0027139385</t>
  </si>
  <si>
    <t xml:space="preserve">1986-01-02</t>
  </si>
  <si>
    <t xml:space="preserve">2023-11-04</t>
  </si>
  <si>
    <t xml:space="preserve">OH0026782309</t>
  </si>
  <si>
    <t xml:space="preserve">GIA</t>
  </si>
  <si>
    <t xml:space="preserve">2001-12-12</t>
  </si>
  <si>
    <t xml:space="preserve">2024-04-05</t>
  </si>
  <si>
    <t xml:space="preserve">OH0015744794</t>
  </si>
  <si>
    <t xml:space="preserve">TERESA</t>
  </si>
  <si>
    <t xml:space="preserve">1964-06-18</t>
  </si>
  <si>
    <t xml:space="preserve">2000-06-17</t>
  </si>
  <si>
    <t xml:space="preserve">1257 ELM RD NE</t>
  </si>
  <si>
    <t xml:space="preserve">OH0015748840</t>
  </si>
  <si>
    <t xml:space="preserve">1956-08-05</t>
  </si>
  <si>
    <t xml:space="preserve">1997-08-01</t>
  </si>
  <si>
    <t xml:space="preserve">OH0022840615</t>
  </si>
  <si>
    <t xml:space="preserve">PIA</t>
  </si>
  <si>
    <t xml:space="preserve">1977-05-16</t>
  </si>
  <si>
    <t xml:space="preserve">2017-10-03</t>
  </si>
  <si>
    <t xml:space="preserve">1261 ELM RD NE</t>
  </si>
  <si>
    <t xml:space="preserve">OH0024897492</t>
  </si>
  <si>
    <t xml:space="preserve">EVETTE</t>
  </si>
  <si>
    <t xml:space="preserve">RENE</t>
  </si>
  <si>
    <t xml:space="preserve">1960-12-03</t>
  </si>
  <si>
    <t xml:space="preserve">2021-10-31</t>
  </si>
  <si>
    <t xml:space="preserve">1275 ELM RD NE</t>
  </si>
  <si>
    <t xml:space="preserve">PO BOX 2164</t>
  </si>
  <si>
    <t xml:space="preserve">OH0026121961</t>
  </si>
  <si>
    <t xml:space="preserve">COFER</t>
  </si>
  <si>
    <t xml:space="preserve">REECE</t>
  </si>
  <si>
    <t xml:space="preserve">2002-08-29</t>
  </si>
  <si>
    <t xml:space="preserve">2020-12-05</t>
  </si>
  <si>
    <t xml:space="preserve">OH0015758733</t>
  </si>
  <si>
    <t xml:space="preserve">CARTER</t>
  </si>
  <si>
    <t xml:space="preserve">KITY</t>
  </si>
  <si>
    <t xml:space="preserve">1983-11-23</t>
  </si>
  <si>
    <t xml:space="preserve">2020-02-07</t>
  </si>
  <si>
    <t xml:space="preserve">1285 ELM RD NE</t>
  </si>
  <si>
    <t xml:space="preserve">OH0015744988</t>
  </si>
  <si>
    <t xml:space="preserve">1983-09-09</t>
  </si>
  <si>
    <t xml:space="preserve">2022-10-05</t>
  </si>
  <si>
    <t xml:space="preserve">OH0027207642</t>
  </si>
  <si>
    <t xml:space="preserve">2005-10-06</t>
  </si>
  <si>
    <t xml:space="preserve">2023-12-30</t>
  </si>
  <si>
    <t xml:space="preserve">OH0023861497</t>
  </si>
  <si>
    <t xml:space="preserve">SHAFEE</t>
  </si>
  <si>
    <t xml:space="preserve">HASAN</t>
  </si>
  <si>
    <t xml:space="preserve">1990-08-16</t>
  </si>
  <si>
    <t xml:space="preserve">2019-02-15</t>
  </si>
  <si>
    <t xml:space="preserve">1409 ELM RD NE</t>
  </si>
  <si>
    <t xml:space="preserve">OH0027839580</t>
  </si>
  <si>
    <t xml:space="preserve">ALICEA</t>
  </si>
  <si>
    <t xml:space="preserve">DONATELLO</t>
  </si>
  <si>
    <t xml:space="preserve">WILFREDO</t>
  </si>
  <si>
    <t xml:space="preserve">2000-12-12</t>
  </si>
  <si>
    <t xml:space="preserve">2024-11-06</t>
  </si>
  <si>
    <t xml:space="preserve">1441 ELM RD NE</t>
  </si>
  <si>
    <t xml:space="preserve">OH0027839579</t>
  </si>
  <si>
    <t xml:space="preserve">HALLIGAN</t>
  </si>
  <si>
    <t xml:space="preserve">PAMELA</t>
  </si>
  <si>
    <t xml:space="preserve">1963-03-22</t>
  </si>
  <si>
    <t xml:space="preserve">OH0027539030</t>
  </si>
  <si>
    <t xml:space="preserve">SABHA</t>
  </si>
  <si>
    <t xml:space="preserve">AUI</t>
  </si>
  <si>
    <t xml:space="preserve">2004-08-03</t>
  </si>
  <si>
    <t xml:space="preserve">2024-06-16</t>
  </si>
  <si>
    <t xml:space="preserve">OH0019823709</t>
  </si>
  <si>
    <t xml:space="preserve">LOPRESTO</t>
  </si>
  <si>
    <t xml:space="preserve">1989-11-08</t>
  </si>
  <si>
    <t xml:space="preserve">2020-03-12</t>
  </si>
  <si>
    <t xml:space="preserve">1451 ELM RD NE</t>
  </si>
  <si>
    <t xml:space="preserve">OH0015782747</t>
  </si>
  <si>
    <t xml:space="preserve">MAKRIDIS</t>
  </si>
  <si>
    <t xml:space="preserve">1956-05-16</t>
  </si>
  <si>
    <t xml:space="preserve">1509 ELM RD NE</t>
  </si>
  <si>
    <t xml:space="preserve">OH0015819842</t>
  </si>
  <si>
    <t xml:space="preserve">NIKOLAOS</t>
  </si>
  <si>
    <t xml:space="preserve">GD</t>
  </si>
  <si>
    <t xml:space="preserve">1954-11-11</t>
  </si>
  <si>
    <t xml:space="preserve">2003-04-07</t>
  </si>
  <si>
    <t xml:space="preserve">OH0023013220</t>
  </si>
  <si>
    <t xml:space="preserve">SHUCK</t>
  </si>
  <si>
    <t xml:space="preserve">ONESTY</t>
  </si>
  <si>
    <t xml:space="preserve">1983-06-03</t>
  </si>
  <si>
    <t xml:space="preserve">2020-07-02</t>
  </si>
  <si>
    <t xml:space="preserve">1553 ELM RD NE</t>
  </si>
  <si>
    <t xml:space="preserve">OH0027748634</t>
  </si>
  <si>
    <t xml:space="preserve">KADERA</t>
  </si>
  <si>
    <t xml:space="preserve">GREGORY</t>
  </si>
  <si>
    <t xml:space="preserve">2001-01-25</t>
  </si>
  <si>
    <t xml:space="preserve">2024-09-23</t>
  </si>
  <si>
    <t xml:space="preserve">1567 ELM RD NE</t>
  </si>
  <si>
    <t xml:space="preserve">OH0027651415</t>
  </si>
  <si>
    <t xml:space="preserve">ROB</t>
  </si>
  <si>
    <t xml:space="preserve">LYNDA</t>
  </si>
  <si>
    <t xml:space="preserve">1971-03-29</t>
  </si>
  <si>
    <t xml:space="preserve">OH0027751209</t>
  </si>
  <si>
    <t xml:space="preserve">GABRIEL</t>
  </si>
  <si>
    <t xml:space="preserve">OH0027847952</t>
  </si>
  <si>
    <t xml:space="preserve">HUGHES</t>
  </si>
  <si>
    <t xml:space="preserve">1980-10-27</t>
  </si>
  <si>
    <t xml:space="preserve">1623 ELM RD NE</t>
  </si>
  <si>
    <t xml:space="preserve">OH0015768908</t>
  </si>
  <si>
    <t xml:space="preserve">1980-10-22</t>
  </si>
  <si>
    <t xml:space="preserve">OH0018595814</t>
  </si>
  <si>
    <t xml:space="preserve">COLSON</t>
  </si>
  <si>
    <t xml:space="preserve">ROSEANNE</t>
  </si>
  <si>
    <t xml:space="preserve">1963-10-19</t>
  </si>
  <si>
    <t xml:space="preserve">2011-05-10</t>
  </si>
  <si>
    <t xml:space="preserve">1637 ELM RD NE</t>
  </si>
  <si>
    <t xml:space="preserve">OH0020787168</t>
  </si>
  <si>
    <t xml:space="preserve">ZEMANN</t>
  </si>
  <si>
    <t xml:space="preserve">1947-11-01</t>
  </si>
  <si>
    <t xml:space="preserve">2012-09-04</t>
  </si>
  <si>
    <t xml:space="preserve">1030 EUCLID PL NE</t>
  </si>
  <si>
    <t xml:space="preserve">OH0021967126</t>
  </si>
  <si>
    <t xml:space="preserve">1965-03-11</t>
  </si>
  <si>
    <t xml:space="preserve">OH0026605770</t>
  </si>
  <si>
    <t xml:space="preserve">CANNON</t>
  </si>
  <si>
    <t xml:space="preserve">JESSY</t>
  </si>
  <si>
    <t xml:space="preserve">1993-01-22</t>
  </si>
  <si>
    <t xml:space="preserve">2024-02-06</t>
  </si>
  <si>
    <t xml:space="preserve">171 FEDERAL ST NE</t>
  </si>
  <si>
    <t xml:space="preserve">OH0025055758</t>
  </si>
  <si>
    <t xml:space="preserve">HOWARD</t>
  </si>
  <si>
    <t xml:space="preserve">DONTAVIUS</t>
  </si>
  <si>
    <t xml:space="preserve">DA MARCO</t>
  </si>
  <si>
    <t xml:space="preserve">2000-04-18</t>
  </si>
  <si>
    <t xml:space="preserve">2019-04-06</t>
  </si>
  <si>
    <t xml:space="preserve">OH0015703524</t>
  </si>
  <si>
    <t xml:space="preserve">CRENSHAW FOLMAR</t>
  </si>
  <si>
    <t xml:space="preserve">1984-03-02</t>
  </si>
  <si>
    <t xml:space="preserve">216 FEDERAL ST NE</t>
  </si>
  <si>
    <t xml:space="preserve">OH0015788741</t>
  </si>
  <si>
    <t xml:space="preserve">NORMA</t>
  </si>
  <si>
    <t xml:space="preserve">1939-09-02</t>
  </si>
  <si>
    <t xml:space="preserve">1960-09-22</t>
  </si>
  <si>
    <t xml:space="preserve">219 FEDERAL ST NE</t>
  </si>
  <si>
    <t xml:space="preserve">PO BOX 223</t>
  </si>
  <si>
    <t xml:space="preserve">OH0020319750</t>
  </si>
  <si>
    <t xml:space="preserve">ALLS</t>
  </si>
  <si>
    <t xml:space="preserve">1952-06-28</t>
  </si>
  <si>
    <t xml:space="preserve">240 FEDERAL ST NE</t>
  </si>
  <si>
    <t xml:space="preserve">OH0015788260</t>
  </si>
  <si>
    <t xml:space="preserve">CRENSHAW</t>
  </si>
  <si>
    <t xml:space="preserve">1929-02-26</t>
  </si>
  <si>
    <t xml:space="preserve">2014-09-11</t>
  </si>
  <si>
    <t xml:space="preserve">241 FEDERAL ST NE</t>
  </si>
  <si>
    <t xml:space="preserve">OH0026030780</t>
  </si>
  <si>
    <t xml:space="preserve">TIA</t>
  </si>
  <si>
    <t xml:space="preserve">1983-08-04</t>
  </si>
  <si>
    <t xml:space="preserve">256 FEDERAL ST NE</t>
  </si>
  <si>
    <t xml:space="preserve">OH0026377647</t>
  </si>
  <si>
    <t xml:space="preserve">KLUG</t>
  </si>
  <si>
    <t xml:space="preserve">1994-10-09</t>
  </si>
  <si>
    <t xml:space="preserve">2021-12-21</t>
  </si>
  <si>
    <t xml:space="preserve">126 FEDERAL ST NW</t>
  </si>
  <si>
    <t xml:space="preserve">OH0025119045</t>
  </si>
  <si>
    <t xml:space="preserve">2000-11-07</t>
  </si>
  <si>
    <t xml:space="preserve">2019-05-28</t>
  </si>
  <si>
    <t xml:space="preserve">OH0026214763</t>
  </si>
  <si>
    <t xml:space="preserve">OTERO</t>
  </si>
  <si>
    <t xml:space="preserve">KERBIN</t>
  </si>
  <si>
    <t xml:space="preserve">JUNIOR GARCIA</t>
  </si>
  <si>
    <t xml:space="preserve">1979-03-30</t>
  </si>
  <si>
    <t xml:space="preserve">2021-06-07</t>
  </si>
  <si>
    <t xml:space="preserve">141 FEDERAL ST NW</t>
  </si>
  <si>
    <t xml:space="preserve">OH0026214767</t>
  </si>
  <si>
    <t xml:space="preserve">RODRIGUEZ CINTRON</t>
  </si>
  <si>
    <t xml:space="preserve">JALYNNETTE</t>
  </si>
  <si>
    <t xml:space="preserve">1993-03-12</t>
  </si>
  <si>
    <t xml:space="preserve">OH0024346612</t>
  </si>
  <si>
    <t xml:space="preserve">ACEVEDO GAETAN</t>
  </si>
  <si>
    <t xml:space="preserve">JOSE</t>
  </si>
  <si>
    <t xml:space="preserve">1945-05-20</t>
  </si>
  <si>
    <t xml:space="preserve">2022-06-08</t>
  </si>
  <si>
    <t xml:space="preserve">151 FEDERAL ST NW</t>
  </si>
  <si>
    <t xml:space="preserve">OH0023819905</t>
  </si>
  <si>
    <t xml:space="preserve">ACEVEDO</t>
  </si>
  <si>
    <t xml:space="preserve">ROBERTO</t>
  </si>
  <si>
    <t xml:space="preserve">1987-03-11</t>
  </si>
  <si>
    <t xml:space="preserve">2021-03-12</t>
  </si>
  <si>
    <t xml:space="preserve">OH0023080248</t>
  </si>
  <si>
    <t xml:space="preserve">KEDARA</t>
  </si>
  <si>
    <t xml:space="preserve">1997-10-25</t>
  </si>
  <si>
    <t xml:space="preserve">2022-04-27</t>
  </si>
  <si>
    <t xml:space="preserve">161 FEDERAL ST NW</t>
  </si>
  <si>
    <t xml:space="preserve">OH0015787225</t>
  </si>
  <si>
    <t xml:space="preserve">CONNER</t>
  </si>
  <si>
    <t xml:space="preserve">1958-03-10</t>
  </si>
  <si>
    <t xml:space="preserve">2013-11-12</t>
  </si>
  <si>
    <t xml:space="preserve">172 FEDERAL ST NW</t>
  </si>
  <si>
    <t xml:space="preserve">OH0021694162</t>
  </si>
  <si>
    <t xml:space="preserve">MAJOR</t>
  </si>
  <si>
    <t xml:space="preserve">179 FEDERAL ST NW</t>
  </si>
  <si>
    <t xml:space="preserve">OH0022642317</t>
  </si>
  <si>
    <t xml:space="preserve">FRENCHKO</t>
  </si>
  <si>
    <t xml:space="preserve">1951-06-14</t>
  </si>
  <si>
    <t xml:space="preserve">2015-04-28</t>
  </si>
  <si>
    <t xml:space="preserve">181 FEDERAL ST NW</t>
  </si>
  <si>
    <t xml:space="preserve">OH0027852513</t>
  </si>
  <si>
    <t xml:space="preserve">1986-10-26</t>
  </si>
  <si>
    <t xml:space="preserve">OH0026029866</t>
  </si>
  <si>
    <t xml:space="preserve">1988-04-19</t>
  </si>
  <si>
    <t xml:space="preserve">192 FEDERAL ST NW</t>
  </si>
  <si>
    <t xml:space="preserve">OH0026084229</t>
  </si>
  <si>
    <t xml:space="preserve">1997-04-09</t>
  </si>
  <si>
    <t xml:space="preserve">2024-05-06</t>
  </si>
  <si>
    <t xml:space="preserve">200 FEDERAL ST NW</t>
  </si>
  <si>
    <t xml:space="preserve">OH0015763418</t>
  </si>
  <si>
    <t xml:space="preserve">GARRIDAN</t>
  </si>
  <si>
    <t xml:space="preserve">1976-05-09</t>
  </si>
  <si>
    <t xml:space="preserve">227 FEDERAL ST NW</t>
  </si>
  <si>
    <t xml:space="preserve">OH0027927585</t>
  </si>
  <si>
    <t xml:space="preserve">MARICIA</t>
  </si>
  <si>
    <t xml:space="preserve">1968-03-25</t>
  </si>
  <si>
    <t xml:space="preserve">228 FEDERAL ST NW</t>
  </si>
  <si>
    <t xml:space="preserve">OH0015788991</t>
  </si>
  <si>
    <t xml:space="preserve">1940-01-17</t>
  </si>
  <si>
    <t xml:space="preserve">1986-10-06</t>
  </si>
  <si>
    <t xml:space="preserve">OH0024327270</t>
  </si>
  <si>
    <t xml:space="preserve">BRENNER</t>
  </si>
  <si>
    <t xml:space="preserve">1957-02-05</t>
  </si>
  <si>
    <t xml:space="preserve">2019-09-30</t>
  </si>
  <si>
    <t xml:space="preserve">237 FEDERAL ST NW</t>
  </si>
  <si>
    <t xml:space="preserve">OH0027612995</t>
  </si>
  <si>
    <t xml:space="preserve">1997-09-01</t>
  </si>
  <si>
    <t xml:space="preserve">OH0024196601</t>
  </si>
  <si>
    <t xml:space="preserve">HINES</t>
  </si>
  <si>
    <t xml:space="preserve">WILLIAM ROBERT</t>
  </si>
  <si>
    <t xml:space="preserve">1998-01-08</t>
  </si>
  <si>
    <t xml:space="preserve">2023-01-05</t>
  </si>
  <si>
    <t xml:space="preserve">OH0015813896</t>
  </si>
  <si>
    <t xml:space="preserve">LUMPKIN</t>
  </si>
  <si>
    <t xml:space="preserve">1955-12-15</t>
  </si>
  <si>
    <t xml:space="preserve">240 FEDERAL ST NW</t>
  </si>
  <si>
    <t xml:space="preserve">OH0019082700</t>
  </si>
  <si>
    <t xml:space="preserve">EZRA</t>
  </si>
  <si>
    <t xml:space="preserve">1957-01-13</t>
  </si>
  <si>
    <t xml:space="preserve">OH0020677540</t>
  </si>
  <si>
    <t xml:space="preserve">1952-11-26</t>
  </si>
  <si>
    <t xml:space="preserve">2014-07-12</t>
  </si>
  <si>
    <t xml:space="preserve">247 FEDERAL ST NW</t>
  </si>
  <si>
    <t xml:space="preserve">OH0027378976</t>
  </si>
  <si>
    <t xml:space="preserve">THEODOSIOU</t>
  </si>
  <si>
    <t xml:space="preserve">SPIRO</t>
  </si>
  <si>
    <t xml:space="preserve">1989-05-08</t>
  </si>
  <si>
    <t xml:space="preserve">2024-06-05</t>
  </si>
  <si>
    <t xml:space="preserve">258 FEDERAL ST NW</t>
  </si>
  <si>
    <t xml:space="preserve">OH0015675068</t>
  </si>
  <si>
    <t xml:space="preserve">SEAWOOD</t>
  </si>
  <si>
    <t xml:space="preserve">KENJALA</t>
  </si>
  <si>
    <t xml:space="preserve">LASHAYE</t>
  </si>
  <si>
    <t xml:space="preserve">267 FEDERAL ST NW</t>
  </si>
  <si>
    <t xml:space="preserve">OH0015817516</t>
  </si>
  <si>
    <t xml:space="preserve">RUNETTA</t>
  </si>
  <si>
    <t xml:space="preserve">1963-10-30</t>
  </si>
  <si>
    <t xml:space="preserve">2018-11-28</t>
  </si>
  <si>
    <t xml:space="preserve">OH0021763782</t>
  </si>
  <si>
    <t xml:space="preserve">1991-12-18</t>
  </si>
  <si>
    <t xml:space="preserve">2016-08-23</t>
  </si>
  <si>
    <t xml:space="preserve">317 FEDERAL ST NW</t>
  </si>
  <si>
    <t xml:space="preserve">OH0018597273</t>
  </si>
  <si>
    <t xml:space="preserve">1946-12-20</t>
  </si>
  <si>
    <t xml:space="preserve">327 FEDERAL ST NW</t>
  </si>
  <si>
    <t xml:space="preserve">OH0024776643</t>
  </si>
  <si>
    <t xml:space="preserve">MCGEE</t>
  </si>
  <si>
    <t xml:space="preserve">1958-07-20</t>
  </si>
  <si>
    <t xml:space="preserve">2020-08-28</t>
  </si>
  <si>
    <t xml:space="preserve">464 FEDERAL ST NW</t>
  </si>
  <si>
    <t xml:space="preserve">OH0015747956</t>
  </si>
  <si>
    <t xml:space="preserve">1968-03-06</t>
  </si>
  <si>
    <t xml:space="preserve">1992-03-27</t>
  </si>
  <si>
    <t xml:space="preserve">OH0015790956</t>
  </si>
  <si>
    <t xml:space="preserve">PIERCE</t>
  </si>
  <si>
    <t xml:space="preserve">MARJORIE</t>
  </si>
  <si>
    <t xml:space="preserve">1927-02-25</t>
  </si>
  <si>
    <t xml:space="preserve">474 FEDERAL ST NW</t>
  </si>
  <si>
    <t xml:space="preserve">OH0023253910</t>
  </si>
  <si>
    <t xml:space="preserve">PHILIP</t>
  </si>
  <si>
    <t xml:space="preserve">1967-07-20</t>
  </si>
  <si>
    <t xml:space="preserve">2020-09-26</t>
  </si>
  <si>
    <t xml:space="preserve">536 FEDERAL ST NW</t>
  </si>
  <si>
    <t xml:space="preserve">OH0021855087</t>
  </si>
  <si>
    <t xml:space="preserve">BUSCH</t>
  </si>
  <si>
    <t xml:space="preserve">1994-09-21</t>
  </si>
  <si>
    <t xml:space="preserve">538 FEDERAL ST NW</t>
  </si>
  <si>
    <t xml:space="preserve">OH0027143248</t>
  </si>
  <si>
    <t xml:space="preserve">DODSON</t>
  </si>
  <si>
    <t xml:space="preserve">LOV</t>
  </si>
  <si>
    <t xml:space="preserve">1988-09-25</t>
  </si>
  <si>
    <t xml:space="preserve">OH0023719276</t>
  </si>
  <si>
    <t xml:space="preserve">CIERA</t>
  </si>
  <si>
    <t xml:space="preserve">1996-07-25</t>
  </si>
  <si>
    <t xml:space="preserve">2016-06-03</t>
  </si>
  <si>
    <t xml:space="preserve">624 FEDERAL ST NW</t>
  </si>
  <si>
    <t xml:space="preserve">OH0024376653</t>
  </si>
  <si>
    <t xml:space="preserve">JANIQUE</t>
  </si>
  <si>
    <t xml:space="preserve">1997-09-11</t>
  </si>
  <si>
    <t xml:space="preserve">2017-08-28</t>
  </si>
  <si>
    <t xml:space="preserve">626 FEDERAL ST NW</t>
  </si>
  <si>
    <t xml:space="preserve">OH0025013702</t>
  </si>
  <si>
    <t xml:space="preserve">PICKETT</t>
  </si>
  <si>
    <t xml:space="preserve">JATARI</t>
  </si>
  <si>
    <t xml:space="preserve">1984-12-28</t>
  </si>
  <si>
    <t xml:space="preserve">2024-08-18</t>
  </si>
  <si>
    <t xml:space="preserve">OH0023492736</t>
  </si>
  <si>
    <t xml:space="preserve">PARKER JONES</t>
  </si>
  <si>
    <t xml:space="preserve">BREASIA</t>
  </si>
  <si>
    <t xml:space="preserve">MARQUE</t>
  </si>
  <si>
    <t xml:space="preserve">1994-08-25</t>
  </si>
  <si>
    <t xml:space="preserve">2016-01-25</t>
  </si>
  <si>
    <t xml:space="preserve">630 FEDERAL ST NW</t>
  </si>
  <si>
    <t xml:space="preserve">OH0027521132</t>
  </si>
  <si>
    <t xml:space="preserve">JIZARI</t>
  </si>
  <si>
    <t xml:space="preserve">2004-01-08</t>
  </si>
  <si>
    <t xml:space="preserve">2024-08-07</t>
  </si>
  <si>
    <t xml:space="preserve">204 FOREST ST NE</t>
  </si>
  <si>
    <t xml:space="preserve">OH0015817841</t>
  </si>
  <si>
    <t xml:space="preserve">HADIYAH</t>
  </si>
  <si>
    <t xml:space="preserve">1977-11-17</t>
  </si>
  <si>
    <t xml:space="preserve">2022-11-11</t>
  </si>
  <si>
    <t xml:space="preserve">OH0021405159</t>
  </si>
  <si>
    <t xml:space="preserve">1993-04-23</t>
  </si>
  <si>
    <t xml:space="preserve">212 FOREST ST NE</t>
  </si>
  <si>
    <t xml:space="preserve">OH0020602709</t>
  </si>
  <si>
    <t xml:space="preserve">1963-03-01</t>
  </si>
  <si>
    <t xml:space="preserve">2019-07-04</t>
  </si>
  <si>
    <t xml:space="preserve">218 FOREST ST NE</t>
  </si>
  <si>
    <t xml:space="preserve">APT 218</t>
  </si>
  <si>
    <t xml:space="preserve">OH0027526377</t>
  </si>
  <si>
    <t xml:space="preserve">OWENS</t>
  </si>
  <si>
    <t xml:space="preserve">TERRANCE</t>
  </si>
  <si>
    <t xml:space="preserve">DWAYNE</t>
  </si>
  <si>
    <t xml:space="preserve">1979-09-10</t>
  </si>
  <si>
    <t xml:space="preserve">OH0027450197</t>
  </si>
  <si>
    <t xml:space="preserve">PROCTOR</t>
  </si>
  <si>
    <t xml:space="preserve">JAESON</t>
  </si>
  <si>
    <t xml:space="preserve">1997-03-19</t>
  </si>
  <si>
    <t xml:space="preserve">2024-07-02</t>
  </si>
  <si>
    <t xml:space="preserve">220 FOREST ST NE</t>
  </si>
  <si>
    <t xml:space="preserve">OH0027846232</t>
  </si>
  <si>
    <t xml:space="preserve">IGNASIAK</t>
  </si>
  <si>
    <t xml:space="preserve">CHANDLER</t>
  </si>
  <si>
    <t xml:space="preserve">2000-09-27</t>
  </si>
  <si>
    <t xml:space="preserve">OH0027854093</t>
  </si>
  <si>
    <t xml:space="preserve">MARAESSA</t>
  </si>
  <si>
    <t xml:space="preserve">1975-11-28</t>
  </si>
  <si>
    <t xml:space="preserve">OH0021574024</t>
  </si>
  <si>
    <t xml:space="preserve">COUSINS</t>
  </si>
  <si>
    <t xml:space="preserve">1967-07-08</t>
  </si>
  <si>
    <t xml:space="preserve">2011-10-12</t>
  </si>
  <si>
    <t xml:space="preserve">OH0015725136</t>
  </si>
  <si>
    <t xml:space="preserve">MAYERNIK</t>
  </si>
  <si>
    <t xml:space="preserve">MICHELE</t>
  </si>
  <si>
    <t xml:space="preserve">1967-09-28</t>
  </si>
  <si>
    <t xml:space="preserve">2020-06-09</t>
  </si>
  <si>
    <t xml:space="preserve">228 FOREST ST NE</t>
  </si>
  <si>
    <t xml:space="preserve">OH0023747667</t>
  </si>
  <si>
    <t xml:space="preserve">1989-09-10</t>
  </si>
  <si>
    <t xml:space="preserve">2016-06-21</t>
  </si>
  <si>
    <t xml:space="preserve">231 FOREST ST NE</t>
  </si>
  <si>
    <t xml:space="preserve">OH0019885869</t>
  </si>
  <si>
    <t xml:space="preserve">MARZEC</t>
  </si>
  <si>
    <t xml:space="preserve">1970-10-17</t>
  </si>
  <si>
    <t xml:space="preserve">2023-06-09</t>
  </si>
  <si>
    <t xml:space="preserve">252 FOREST ST NE</t>
  </si>
  <si>
    <t xml:space="preserve">OH0021288354</t>
  </si>
  <si>
    <t xml:space="preserve">1957-03-18</t>
  </si>
  <si>
    <t xml:space="preserve">2021-11-23</t>
  </si>
  <si>
    <t xml:space="preserve">OH0024505998</t>
  </si>
  <si>
    <t xml:space="preserve">SULLIVAN</t>
  </si>
  <si>
    <t xml:space="preserve">1991-12-29</t>
  </si>
  <si>
    <t xml:space="preserve">2018-02-05</t>
  </si>
  <si>
    <t xml:space="preserve">OH0015766549</t>
  </si>
  <si>
    <t xml:space="preserve">SHAREL</t>
  </si>
  <si>
    <t xml:space="preserve">ALENE</t>
  </si>
  <si>
    <t xml:space="preserve">1984-07-06</t>
  </si>
  <si>
    <t xml:space="preserve">2020-04-04</t>
  </si>
  <si>
    <t xml:space="preserve">263 FOREST ST NE</t>
  </si>
  <si>
    <t xml:space="preserve">OH0020388420</t>
  </si>
  <si>
    <t xml:space="preserve">ROBERT MACKINLEY</t>
  </si>
  <si>
    <t xml:space="preserve">1986-06-07</t>
  </si>
  <si>
    <t xml:space="preserve">2018-06-09</t>
  </si>
  <si>
    <t xml:space="preserve">268 FOREST ST NE</t>
  </si>
  <si>
    <t xml:space="preserve">OH0015761387</t>
  </si>
  <si>
    <t xml:space="preserve">SYLVIA</t>
  </si>
  <si>
    <t xml:space="preserve">1969-10-22</t>
  </si>
  <si>
    <t xml:space="preserve">271 FOREST ST NE</t>
  </si>
  <si>
    <t xml:space="preserve">OH0023634321</t>
  </si>
  <si>
    <t xml:space="preserve">KUNDEL</t>
  </si>
  <si>
    <t xml:space="preserve">1964-06-04</t>
  </si>
  <si>
    <t xml:space="preserve">2016-03-11</t>
  </si>
  <si>
    <t xml:space="preserve">280 FOREST ST NE</t>
  </si>
  <si>
    <t xml:space="preserve">OH0015814556</t>
  </si>
  <si>
    <t xml:space="preserve">LANCE</t>
  </si>
  <si>
    <t xml:space="preserve">1967-07-26</t>
  </si>
  <si>
    <t xml:space="preserve">281 FOREST ST NE</t>
  </si>
  <si>
    <t xml:space="preserve">OH0027163439</t>
  </si>
  <si>
    <t xml:space="preserve">1981-11-27</t>
  </si>
  <si>
    <t xml:space="preserve">2023-11-07</t>
  </si>
  <si>
    <t xml:space="preserve">OH0027312659</t>
  </si>
  <si>
    <t xml:space="preserve">CEJA</t>
  </si>
  <si>
    <t xml:space="preserve">SHANTELL</t>
  </si>
  <si>
    <t xml:space="preserve">1995-11-30</t>
  </si>
  <si>
    <t xml:space="preserve">2024-04-20</t>
  </si>
  <si>
    <t xml:space="preserve">300 FOREST ST NE</t>
  </si>
  <si>
    <t xml:space="preserve">OH0027900364</t>
  </si>
  <si>
    <t xml:space="preserve">HARMS CASTLE</t>
  </si>
  <si>
    <t xml:space="preserve">RANEE</t>
  </si>
  <si>
    <t xml:space="preserve">2025-02-18</t>
  </si>
  <si>
    <t xml:space="preserve">412 FOREST ST NE</t>
  </si>
  <si>
    <t xml:space="preserve">OH0019047229</t>
  </si>
  <si>
    <t xml:space="preserve">SAMMY</t>
  </si>
  <si>
    <t xml:space="preserve">1971-09-14</t>
  </si>
  <si>
    <t xml:space="preserve">2008-08-21</t>
  </si>
  <si>
    <t xml:space="preserve">OH0024671509</t>
  </si>
  <si>
    <t xml:space="preserve">BLACKWELL</t>
  </si>
  <si>
    <t xml:space="preserve">AUBREYANA</t>
  </si>
  <si>
    <t xml:space="preserve">1999-10-30</t>
  </si>
  <si>
    <t xml:space="preserve">2023-07-28</t>
  </si>
  <si>
    <t xml:space="preserve">419 FOREST ST NE</t>
  </si>
  <si>
    <t xml:space="preserve">OH0019701655</t>
  </si>
  <si>
    <t xml:space="preserve">WAGNER</t>
  </si>
  <si>
    <t xml:space="preserve">ERIANA</t>
  </si>
  <si>
    <t xml:space="preserve">1989-05-01</t>
  </si>
  <si>
    <t xml:space="preserve">2012-11-26</t>
  </si>
  <si>
    <t xml:space="preserve">429 FOREST ST NE</t>
  </si>
  <si>
    <t xml:space="preserve">OH0015765330</t>
  </si>
  <si>
    <t xml:space="preserve">1951-02-18</t>
  </si>
  <si>
    <t xml:space="preserve">2015-07-13</t>
  </si>
  <si>
    <t xml:space="preserve">437 FOREST ST NE</t>
  </si>
  <si>
    <t xml:space="preserve">OH0026995671</t>
  </si>
  <si>
    <t xml:space="preserve">2003-06-22</t>
  </si>
  <si>
    <t xml:space="preserve">2024-10-02</t>
  </si>
  <si>
    <t xml:space="preserve">OH0015767502</t>
  </si>
  <si>
    <t xml:space="preserve">ASHCRAFT</t>
  </si>
  <si>
    <t xml:space="preserve">1970-02-27</t>
  </si>
  <si>
    <t xml:space="preserve">1994-10-11</t>
  </si>
  <si>
    <t xml:space="preserve">444 FOREST ST NE</t>
  </si>
  <si>
    <t xml:space="preserve">OH0015704813</t>
  </si>
  <si>
    <t xml:space="preserve">1966-07-31</t>
  </si>
  <si>
    <t xml:space="preserve">1984-04-09</t>
  </si>
  <si>
    <t xml:space="preserve">OH0018771409</t>
  </si>
  <si>
    <t xml:space="preserve">HELMHECKEL</t>
  </si>
  <si>
    <t xml:space="preserve">1970-09-13</t>
  </si>
  <si>
    <t xml:space="preserve">2022-04-20</t>
  </si>
  <si>
    <t xml:space="preserve">445 FOREST ST NE</t>
  </si>
  <si>
    <t xml:space="preserve">OH0027838801</t>
  </si>
  <si>
    <t xml:space="preserve">1984-08-14</t>
  </si>
  <si>
    <t xml:space="preserve">2024-10-09</t>
  </si>
  <si>
    <t xml:space="preserve">OH0027789069</t>
  </si>
  <si>
    <t xml:space="preserve">HARRIS WILLIAMS</t>
  </si>
  <si>
    <t xml:space="preserve">SHARDAE</t>
  </si>
  <si>
    <t xml:space="preserve">1991-10-30</t>
  </si>
  <si>
    <t xml:space="preserve">450 FOREST ST NE</t>
  </si>
  <si>
    <t xml:space="preserve">OH0022018743</t>
  </si>
  <si>
    <t xml:space="preserve">1993-05-04</t>
  </si>
  <si>
    <t xml:space="preserve">2015-12-05</t>
  </si>
  <si>
    <t xml:space="preserve">453 FOREST ST NE</t>
  </si>
  <si>
    <t xml:space="preserve">OH0025949013</t>
  </si>
  <si>
    <t xml:space="preserve">BANKS</t>
  </si>
  <si>
    <t xml:space="preserve">1970-01-26</t>
  </si>
  <si>
    <t xml:space="preserve">OH0025949014</t>
  </si>
  <si>
    <t xml:space="preserve">1971-12-03</t>
  </si>
  <si>
    <t xml:space="preserve">OH0020678155</t>
  </si>
  <si>
    <t xml:space="preserve">1990-04-21</t>
  </si>
  <si>
    <t xml:space="preserve">2015-09-23</t>
  </si>
  <si>
    <t xml:space="preserve">460 FOREST ST NE</t>
  </si>
  <si>
    <t xml:space="preserve">OH0025906841</t>
  </si>
  <si>
    <t xml:space="preserve">BRIJIUN</t>
  </si>
  <si>
    <t xml:space="preserve">NOEL</t>
  </si>
  <si>
    <t xml:space="preserve">1995-01-05</t>
  </si>
  <si>
    <t xml:space="preserve">OH0026341269</t>
  </si>
  <si>
    <t xml:space="preserve">CRUZ</t>
  </si>
  <si>
    <t xml:space="preserve">DIANA</t>
  </si>
  <si>
    <t xml:space="preserve">1976-03-09</t>
  </si>
  <si>
    <t xml:space="preserve">2024-07-20</t>
  </si>
  <si>
    <t xml:space="preserve">OH0015721440</t>
  </si>
  <si>
    <t xml:space="preserve">SNOWDEN</t>
  </si>
  <si>
    <t xml:space="preserve">1975-10-26</t>
  </si>
  <si>
    <t xml:space="preserve">2022-09-22</t>
  </si>
  <si>
    <t xml:space="preserve">463 FOREST ST NE</t>
  </si>
  <si>
    <t xml:space="preserve">OH0026230036</t>
  </si>
  <si>
    <t xml:space="preserve">MOORHEAD</t>
  </si>
  <si>
    <t xml:space="preserve">VAN</t>
  </si>
  <si>
    <t xml:space="preserve">1999-08-20</t>
  </si>
  <si>
    <t xml:space="preserve">2024-12-21</t>
  </si>
  <si>
    <t xml:space="preserve">471 FOREST ST NE</t>
  </si>
  <si>
    <t xml:space="preserve">OH0015723346</t>
  </si>
  <si>
    <t xml:space="preserve">CAIN</t>
  </si>
  <si>
    <t xml:space="preserve">1977-06-30</t>
  </si>
  <si>
    <t xml:space="preserve">OH0024800386</t>
  </si>
  <si>
    <t xml:space="preserve">BOBERSKY</t>
  </si>
  <si>
    <t xml:space="preserve">KELLI</t>
  </si>
  <si>
    <t xml:space="preserve">TERESE</t>
  </si>
  <si>
    <t xml:space="preserve">1965-07-30</t>
  </si>
  <si>
    <t xml:space="preserve">484 FOREST ST NE</t>
  </si>
  <si>
    <t xml:space="preserve">OH0015744631</t>
  </si>
  <si>
    <t xml:space="preserve">WILAND</t>
  </si>
  <si>
    <t xml:space="preserve">1959-01-31</t>
  </si>
  <si>
    <t xml:space="preserve">2013-10-30</t>
  </si>
  <si>
    <t xml:space="preserve">515 FOREST ST NE</t>
  </si>
  <si>
    <t xml:space="preserve">OH0015819016</t>
  </si>
  <si>
    <t xml:space="preserve">ANNA</t>
  </si>
  <si>
    <t xml:space="preserve">1966-01-04</t>
  </si>
  <si>
    <t xml:space="preserve">1997-12-20</t>
  </si>
  <si>
    <t xml:space="preserve">516 FOREST ST NE</t>
  </si>
  <si>
    <t xml:space="preserve">OH0015792068</t>
  </si>
  <si>
    <t xml:space="preserve">1937-05-06</t>
  </si>
  <si>
    <t xml:space="preserve">1961-03-22</t>
  </si>
  <si>
    <t xml:space="preserve">527 FOREST ST NE</t>
  </si>
  <si>
    <t xml:space="preserve">OH0015745889</t>
  </si>
  <si>
    <t xml:space="preserve">1952-07-16</t>
  </si>
  <si>
    <t xml:space="preserve">1979-08-20</t>
  </si>
  <si>
    <t xml:space="preserve">528 FOREST ST NE</t>
  </si>
  <si>
    <t xml:space="preserve">OH0015763487</t>
  </si>
  <si>
    <t xml:space="preserve">1957-12-19</t>
  </si>
  <si>
    <t xml:space="preserve">1994-01-08</t>
  </si>
  <si>
    <t xml:space="preserve">OH0015818194</t>
  </si>
  <si>
    <t xml:space="preserve">JULIAN</t>
  </si>
  <si>
    <t xml:space="preserve">1978-03-12</t>
  </si>
  <si>
    <t xml:space="preserve">535 FOREST ST NE</t>
  </si>
  <si>
    <t xml:space="preserve">OH0027873304</t>
  </si>
  <si>
    <t xml:space="preserve">ZAVRIEL</t>
  </si>
  <si>
    <t xml:space="preserve">2006-12-06</t>
  </si>
  <si>
    <t xml:space="preserve">2025-01-09</t>
  </si>
  <si>
    <t xml:space="preserve">OH0024413561</t>
  </si>
  <si>
    <t xml:space="preserve">JANE CHRISTINE</t>
  </si>
  <si>
    <t xml:space="preserve">1999-08-25</t>
  </si>
  <si>
    <t xml:space="preserve">2017-09-06</t>
  </si>
  <si>
    <t xml:space="preserve">540 FOREST ST NE</t>
  </si>
  <si>
    <t xml:space="preserve">OH0015715955</t>
  </si>
  <si>
    <t xml:space="preserve">1968-09-14</t>
  </si>
  <si>
    <t xml:space="preserve">1986-09-26</t>
  </si>
  <si>
    <t xml:space="preserve">OH0024445147</t>
  </si>
  <si>
    <t xml:space="preserve">1983-04-13</t>
  </si>
  <si>
    <t xml:space="preserve">2017-11-27</t>
  </si>
  <si>
    <t xml:space="preserve">554 FOREST ST NE</t>
  </si>
  <si>
    <t xml:space="preserve">OH0024252184</t>
  </si>
  <si>
    <t xml:space="preserve">BURNETT</t>
  </si>
  <si>
    <t xml:space="preserve">CASSIDY</t>
  </si>
  <si>
    <t xml:space="preserve">1999-02-20</t>
  </si>
  <si>
    <t xml:space="preserve">2022-10-24</t>
  </si>
  <si>
    <t xml:space="preserve">567 FOREST ST NE</t>
  </si>
  <si>
    <t xml:space="preserve">OH0027909907</t>
  </si>
  <si>
    <t xml:space="preserve">DANYAHA</t>
  </si>
  <si>
    <t xml:space="preserve">LEEANQUIE</t>
  </si>
  <si>
    <t xml:space="preserve">1998-11-10</t>
  </si>
  <si>
    <t xml:space="preserve">2025-03-04</t>
  </si>
  <si>
    <t xml:space="preserve">570 FOREST ST NE</t>
  </si>
  <si>
    <t xml:space="preserve">OH0027278014</t>
  </si>
  <si>
    <t xml:space="preserve">SANI</t>
  </si>
  <si>
    <t xml:space="preserve">2006-02-21</t>
  </si>
  <si>
    <t xml:space="preserve">OH0026765163</t>
  </si>
  <si>
    <t xml:space="preserve">SHAMIKA</t>
  </si>
  <si>
    <t xml:space="preserve">1979-04-23</t>
  </si>
  <si>
    <t xml:space="preserve">2022-11-22</t>
  </si>
  <si>
    <t xml:space="preserve">OH0025875667</t>
  </si>
  <si>
    <t xml:space="preserve">HOGAN</t>
  </si>
  <si>
    <t xml:space="preserve">GRADY</t>
  </si>
  <si>
    <t xml:space="preserve">1996-06-04</t>
  </si>
  <si>
    <t xml:space="preserve">586 FOREST ST NE</t>
  </si>
  <si>
    <t xml:space="preserve">OH0024785389</t>
  </si>
  <si>
    <t xml:space="preserve">1957-12-18</t>
  </si>
  <si>
    <t xml:space="preserve">2018-09-23</t>
  </si>
  <si>
    <t xml:space="preserve">587 FOREST ST NE</t>
  </si>
  <si>
    <t xml:space="preserve">OH0025023494</t>
  </si>
  <si>
    <t xml:space="preserve">1998-01-26</t>
  </si>
  <si>
    <t xml:space="preserve">2023-07-10</t>
  </si>
  <si>
    <t xml:space="preserve">OH0024004158</t>
  </si>
  <si>
    <t xml:space="preserve">FAISON</t>
  </si>
  <si>
    <t xml:space="preserve">1993-08-30</t>
  </si>
  <si>
    <t xml:space="preserve">2016-09-28</t>
  </si>
  <si>
    <t xml:space="preserve">601 FOREST ST NE</t>
  </si>
  <si>
    <t xml:space="preserve">OH0025336522</t>
  </si>
  <si>
    <t xml:space="preserve">IRVING</t>
  </si>
  <si>
    <t xml:space="preserve">1985-08-26</t>
  </si>
  <si>
    <t xml:space="preserve">131 FOREST ST NW</t>
  </si>
  <si>
    <t xml:space="preserve">OH0027081204</t>
  </si>
  <si>
    <t xml:space="preserve">MERCADO</t>
  </si>
  <si>
    <t xml:space="preserve">ERICK</t>
  </si>
  <si>
    <t xml:space="preserve">1992-02-14</t>
  </si>
  <si>
    <t xml:space="preserve">2023-10-11</t>
  </si>
  <si>
    <t xml:space="preserve">157 FOREST ST NW</t>
  </si>
  <si>
    <t xml:space="preserve">OH0021088631</t>
  </si>
  <si>
    <t xml:space="preserve">1979-10-28</t>
  </si>
  <si>
    <t xml:space="preserve">2019-12-20</t>
  </si>
  <si>
    <t xml:space="preserve">OH0025600344</t>
  </si>
  <si>
    <t xml:space="preserve">ZIELKE</t>
  </si>
  <si>
    <t xml:space="preserve">CAITLAN</t>
  </si>
  <si>
    <t xml:space="preserve">1995-01-18</t>
  </si>
  <si>
    <t xml:space="preserve">2020-06-29</t>
  </si>
  <si>
    <t xml:space="preserve">167 FOREST ST NW</t>
  </si>
  <si>
    <t xml:space="preserve">OH0024567715</t>
  </si>
  <si>
    <t xml:space="preserve">TAVANNAH</t>
  </si>
  <si>
    <t xml:space="preserve">2000-01-11</t>
  </si>
  <si>
    <t xml:space="preserve">2019-02-11</t>
  </si>
  <si>
    <t xml:space="preserve">200 FOREST ST NW</t>
  </si>
  <si>
    <t xml:space="preserve">OH0015700496</t>
  </si>
  <si>
    <t xml:space="preserve">FRANCES</t>
  </si>
  <si>
    <t xml:space="preserve">1980-05-22</t>
  </si>
  <si>
    <t xml:space="preserve">2023-06-12</t>
  </si>
  <si>
    <t xml:space="preserve">OH0026082788</t>
  </si>
  <si>
    <t xml:space="preserve">CORBISELLO</t>
  </si>
  <si>
    <t xml:space="preserve">2000-07-19</t>
  </si>
  <si>
    <t xml:space="preserve">208 FOREST ST NW</t>
  </si>
  <si>
    <t xml:space="preserve">OH0024100994</t>
  </si>
  <si>
    <t xml:space="preserve">1997-05-24</t>
  </si>
  <si>
    <t xml:space="preserve">218 FOREST ST NW</t>
  </si>
  <si>
    <t xml:space="preserve">OH0025681780</t>
  </si>
  <si>
    <t xml:space="preserve">GINKINGER</t>
  </si>
  <si>
    <t xml:space="preserve">CHEYANNE</t>
  </si>
  <si>
    <t xml:space="preserve">1999-06-12</t>
  </si>
  <si>
    <t xml:space="preserve">2020-07-11</t>
  </si>
  <si>
    <t xml:space="preserve">OH0025696146</t>
  </si>
  <si>
    <t xml:space="preserve">1992-04-02</t>
  </si>
  <si>
    <t xml:space="preserve">2020-08-15</t>
  </si>
  <si>
    <t xml:space="preserve">OH0027214399</t>
  </si>
  <si>
    <t xml:space="preserve">TRADER</t>
  </si>
  <si>
    <t xml:space="preserve">1953-09-27</t>
  </si>
  <si>
    <t xml:space="preserve">2024-01-11</t>
  </si>
  <si>
    <t xml:space="preserve">OH0015822762</t>
  </si>
  <si>
    <t xml:space="preserve">KROLKOSKY</t>
  </si>
  <si>
    <t xml:space="preserve">1954-06-18</t>
  </si>
  <si>
    <t xml:space="preserve">2014-06-20</t>
  </si>
  <si>
    <t xml:space="preserve">249 FOREST ST NW</t>
  </si>
  <si>
    <t xml:space="preserve">OH0025939999</t>
  </si>
  <si>
    <t xml:space="preserve">GIFFIN</t>
  </si>
  <si>
    <t xml:space="preserve">1965-05-25</t>
  </si>
  <si>
    <t xml:space="preserve">OH0022333012</t>
  </si>
  <si>
    <t xml:space="preserve">JACEE</t>
  </si>
  <si>
    <t xml:space="preserve">1995-01-06</t>
  </si>
  <si>
    <t xml:space="preserve">2020-10-01</t>
  </si>
  <si>
    <t xml:space="preserve">263 FOREST ST NW</t>
  </si>
  <si>
    <t xml:space="preserve">OH0015822942</t>
  </si>
  <si>
    <t xml:space="preserve">KEENER</t>
  </si>
  <si>
    <t xml:space="preserve">1973-02-07</t>
  </si>
  <si>
    <t xml:space="preserve">2019-09-25</t>
  </si>
  <si>
    <t xml:space="preserve">269 FOREST ST NW</t>
  </si>
  <si>
    <t xml:space="preserve">OH0027929447</t>
  </si>
  <si>
    <t xml:space="preserve">LICCARDI</t>
  </si>
  <si>
    <t xml:space="preserve">2001-09-25</t>
  </si>
  <si>
    <t xml:space="preserve">2025-03-26</t>
  </si>
  <si>
    <t xml:space="preserve">309 FREEMAN ST NW</t>
  </si>
  <si>
    <t xml:space="preserve">OH0023910772</t>
  </si>
  <si>
    <t xml:space="preserve">JACOBS</t>
  </si>
  <si>
    <t xml:space="preserve">1964-01-13</t>
  </si>
  <si>
    <t xml:space="preserve">2016-09-09</t>
  </si>
  <si>
    <t xml:space="preserve">OH0027565938</t>
  </si>
  <si>
    <t xml:space="preserve">YEAGER</t>
  </si>
  <si>
    <t xml:space="preserve">KRISTY</t>
  </si>
  <si>
    <t xml:space="preserve">1978-11-16</t>
  </si>
  <si>
    <t xml:space="preserve">331 FREEMAN ST NW</t>
  </si>
  <si>
    <t xml:space="preserve">OH0027508717</t>
  </si>
  <si>
    <t xml:space="preserve">ARMINTROUT</t>
  </si>
  <si>
    <t xml:space="preserve">RICH</t>
  </si>
  <si>
    <t xml:space="preserve">1960-04-30</t>
  </si>
  <si>
    <t xml:space="preserve">334 FREEMAN ST NW</t>
  </si>
  <si>
    <t xml:space="preserve">OH0015748110</t>
  </si>
  <si>
    <t xml:space="preserve">1986-01-06</t>
  </si>
  <si>
    <t xml:space="preserve">OH0015751024</t>
  </si>
  <si>
    <t xml:space="preserve">BOWMAN</t>
  </si>
  <si>
    <t xml:space="preserve">1981-05-13</t>
  </si>
  <si>
    <t xml:space="preserve">339 FREEMAN ST NW</t>
  </si>
  <si>
    <t xml:space="preserve">OH0025225700</t>
  </si>
  <si>
    <t xml:space="preserve">RICCIARDELLI</t>
  </si>
  <si>
    <t xml:space="preserve">BATTISTA</t>
  </si>
  <si>
    <t xml:space="preserve">1990-06-24</t>
  </si>
  <si>
    <t xml:space="preserve">2023-05-12</t>
  </si>
  <si>
    <t xml:space="preserve">360 FREEMAN ST NW</t>
  </si>
  <si>
    <t xml:space="preserve">APT MW</t>
  </si>
  <si>
    <t xml:space="preserve">OH0025584498</t>
  </si>
  <si>
    <t xml:space="preserve">LAURETANO</t>
  </si>
  <si>
    <t xml:space="preserve">ALFRED</t>
  </si>
  <si>
    <t xml:space="preserve">1990-09-23</t>
  </si>
  <si>
    <t xml:space="preserve">2020-06-01</t>
  </si>
  <si>
    <t xml:space="preserve">OH0027513672</t>
  </si>
  <si>
    <t xml:space="preserve">FARONE</t>
  </si>
  <si>
    <t xml:space="preserve">ANNAMARIE</t>
  </si>
  <si>
    <t xml:space="preserve">1985-04-21</t>
  </si>
  <si>
    <t xml:space="preserve">366 FREEMAN ST NW</t>
  </si>
  <si>
    <t xml:space="preserve">OH0023961976</t>
  </si>
  <si>
    <t xml:space="preserve">OPAT</t>
  </si>
  <si>
    <t xml:space="preserve">1978-08-22</t>
  </si>
  <si>
    <t xml:space="preserve">2016-09-20</t>
  </si>
  <si>
    <t xml:space="preserve">OH0023271916</t>
  </si>
  <si>
    <t xml:space="preserve">SANFORD</t>
  </si>
  <si>
    <t xml:space="preserve">1966-06-20</t>
  </si>
  <si>
    <t xml:space="preserve">OH0025696136</t>
  </si>
  <si>
    <t xml:space="preserve">KONWALSKI</t>
  </si>
  <si>
    <t xml:space="preserve">1979-11-22</t>
  </si>
  <si>
    <t xml:space="preserve">381 FREEMAN ST NW</t>
  </si>
  <si>
    <t xml:space="preserve">OH0023884163</t>
  </si>
  <si>
    <t xml:space="preserve">MAIDEN</t>
  </si>
  <si>
    <t xml:space="preserve">1974-05-24</t>
  </si>
  <si>
    <t xml:space="preserve">2016-08-24</t>
  </si>
  <si>
    <t xml:space="preserve">389 FREEMAN ST NW</t>
  </si>
  <si>
    <t xml:space="preserve">OH0021218077</t>
  </si>
  <si>
    <t xml:space="preserve">RAE</t>
  </si>
  <si>
    <t xml:space="preserve">2018-04-25</t>
  </si>
  <si>
    <t xml:space="preserve">396 FREEMAN ST NW</t>
  </si>
  <si>
    <t xml:space="preserve">OH0015747872</t>
  </si>
  <si>
    <t xml:space="preserve">LANDIS</t>
  </si>
  <si>
    <t xml:space="preserve">1964-04-26</t>
  </si>
  <si>
    <t xml:space="preserve">2000-04-25</t>
  </si>
  <si>
    <t xml:space="preserve">430 FREEMAN ST NW</t>
  </si>
  <si>
    <t xml:space="preserve">OH0015792939</t>
  </si>
  <si>
    <t xml:space="preserve">1949-03-28</t>
  </si>
  <si>
    <t xml:space="preserve">2003-10-06</t>
  </si>
  <si>
    <t xml:space="preserve">OH0026650262</t>
  </si>
  <si>
    <t xml:space="preserve">1949-03-19</t>
  </si>
  <si>
    <t xml:space="preserve">2022-09-24</t>
  </si>
  <si>
    <t xml:space="preserve">446 FREEMAN ST NW</t>
  </si>
  <si>
    <t xml:space="preserve">OH0015783528</t>
  </si>
  <si>
    <t xml:space="preserve">1949-03-20</t>
  </si>
  <si>
    <t xml:space="preserve">1974-12-17</t>
  </si>
  <si>
    <t xml:space="preserve">OH0015744814</t>
  </si>
  <si>
    <t xml:space="preserve">1985-07-23</t>
  </si>
  <si>
    <t xml:space="preserve">2016-09-29</t>
  </si>
  <si>
    <t xml:space="preserve">456 FREEMAN ST NW</t>
  </si>
  <si>
    <t xml:space="preserve">OH0022926242</t>
  </si>
  <si>
    <t xml:space="preserve">AMARIA</t>
  </si>
  <si>
    <t xml:space="preserve">1996-05-22</t>
  </si>
  <si>
    <t xml:space="preserve">2020-12-17</t>
  </si>
  <si>
    <t xml:space="preserve">OH0023911352</t>
  </si>
  <si>
    <t xml:space="preserve">1971-04-01</t>
  </si>
  <si>
    <t xml:space="preserve">462 FREEMAN ST NW</t>
  </si>
  <si>
    <t xml:space="preserve">OH0024170241</t>
  </si>
  <si>
    <t xml:space="preserve">GOODWIN</t>
  </si>
  <si>
    <t xml:space="preserve">1964-03-18</t>
  </si>
  <si>
    <t xml:space="preserve">2016-11-16</t>
  </si>
  <si>
    <t xml:space="preserve">486 FREEMAN ST NW</t>
  </si>
  <si>
    <t xml:space="preserve">OH0015764420</t>
  </si>
  <si>
    <t xml:space="preserve">BAUGH</t>
  </si>
  <si>
    <t xml:space="preserve">SHARAI</t>
  </si>
  <si>
    <t xml:space="preserve">1984-04-14</t>
  </si>
  <si>
    <t xml:space="preserve">2020-08-21</t>
  </si>
  <si>
    <t xml:space="preserve">504 FREEMAN ST NW</t>
  </si>
  <si>
    <t xml:space="preserve">OH0022335052</t>
  </si>
  <si>
    <t xml:space="preserve">TISSUE</t>
  </si>
  <si>
    <t xml:space="preserve">CHARLES EDWARDS</t>
  </si>
  <si>
    <t xml:space="preserve">1995-05-19</t>
  </si>
  <si>
    <t xml:space="preserve">2013-01-18</t>
  </si>
  <si>
    <t xml:space="preserve">OH0015799243</t>
  </si>
  <si>
    <t xml:space="preserve">1973-04-27</t>
  </si>
  <si>
    <t xml:space="preserve">2007-10-20</t>
  </si>
  <si>
    <t xml:space="preserve">OH0018677976</t>
  </si>
  <si>
    <t xml:space="preserve">KEYONNA</t>
  </si>
  <si>
    <t xml:space="preserve">1987-10-31</t>
  </si>
  <si>
    <t xml:space="preserve">2018-04-23</t>
  </si>
  <si>
    <t xml:space="preserve">514 FREEMAN ST NW</t>
  </si>
  <si>
    <t xml:space="preserve">OH0015807699</t>
  </si>
  <si>
    <t xml:space="preserve">COPENHAVER</t>
  </si>
  <si>
    <t xml:space="preserve">1955-11-15</t>
  </si>
  <si>
    <t xml:space="preserve">2021-04-05</t>
  </si>
  <si>
    <t xml:space="preserve">532 FREEMAN ST NW</t>
  </si>
  <si>
    <t xml:space="preserve">OH0019301163</t>
  </si>
  <si>
    <t xml:space="preserve">MACOVITZ</t>
  </si>
  <si>
    <t xml:space="preserve">1983-07-18</t>
  </si>
  <si>
    <t xml:space="preserve">542 FREEMAN ST NW</t>
  </si>
  <si>
    <t xml:space="preserve">OH0015817276</t>
  </si>
  <si>
    <t xml:space="preserve">GASKILL</t>
  </si>
  <si>
    <t xml:space="preserve">1979-12-24</t>
  </si>
  <si>
    <t xml:space="preserve">550 FREEMAN ST NW</t>
  </si>
  <si>
    <t xml:space="preserve">OH0023263178</t>
  </si>
  <si>
    <t xml:space="preserve">DOTSON</t>
  </si>
  <si>
    <t xml:space="preserve">AUSHIA</t>
  </si>
  <si>
    <t xml:space="preserve">1997-12-09</t>
  </si>
  <si>
    <t xml:space="preserve">2023-09-06</t>
  </si>
  <si>
    <t xml:space="preserve">OH0015700140</t>
  </si>
  <si>
    <t xml:space="preserve">DELORES</t>
  </si>
  <si>
    <t xml:space="preserve">1962-02-15</t>
  </si>
  <si>
    <t xml:space="preserve">1983-10-04</t>
  </si>
  <si>
    <t xml:space="preserve">556 FREEMAN ST NW</t>
  </si>
  <si>
    <t xml:space="preserve">OH0022332473</t>
  </si>
  <si>
    <t xml:space="preserve">JACOBSEN</t>
  </si>
  <si>
    <t xml:space="preserve">1971-01-15</t>
  </si>
  <si>
    <t xml:space="preserve">1616 FREMONT AVE NE</t>
  </si>
  <si>
    <t xml:space="preserve">OH0026171922</t>
  </si>
  <si>
    <t xml:space="preserve">FRANCIS</t>
  </si>
  <si>
    <t xml:space="preserve">2021-05-28</t>
  </si>
  <si>
    <t xml:space="preserve">1647 FREMONT AVE NE</t>
  </si>
  <si>
    <t xml:space="preserve">OH0024289579</t>
  </si>
  <si>
    <t xml:space="preserve">1961-12-26</t>
  </si>
  <si>
    <t xml:space="preserve">2017-05-02</t>
  </si>
  <si>
    <t xml:space="preserve">OH0023451095</t>
  </si>
  <si>
    <t xml:space="preserve">MCCAIN</t>
  </si>
  <si>
    <t xml:space="preserve">REGINALD</t>
  </si>
  <si>
    <t xml:space="preserve">1961-02-14</t>
  </si>
  <si>
    <t xml:space="preserve">2028 GENOA AVE NW</t>
  </si>
  <si>
    <t xml:space="preserve">OH0015807800</t>
  </si>
  <si>
    <t xml:space="preserve">PERKINS</t>
  </si>
  <si>
    <t xml:space="preserve">ARLENE</t>
  </si>
  <si>
    <t xml:space="preserve">1942-07-11</t>
  </si>
  <si>
    <t xml:space="preserve">2016-08-10</t>
  </si>
  <si>
    <t xml:space="preserve">2038 GENOA AVE NW</t>
  </si>
  <si>
    <t xml:space="preserve">OH0019758554</t>
  </si>
  <si>
    <t xml:space="preserve">RUDD</t>
  </si>
  <si>
    <t xml:space="preserve">1961-03-19</t>
  </si>
  <si>
    <t xml:space="preserve">2008-04-14</t>
  </si>
  <si>
    <t xml:space="preserve">2049 GENOA AVE NW</t>
  </si>
  <si>
    <t xml:space="preserve">OH0015770203</t>
  </si>
  <si>
    <t xml:space="preserve">ELLIS</t>
  </si>
  <si>
    <t xml:space="preserve">WANDA</t>
  </si>
  <si>
    <t xml:space="preserve">1940-12-17</t>
  </si>
  <si>
    <t xml:space="preserve">1978-09-22</t>
  </si>
  <si>
    <t xml:space="preserve">2059 GENOA AVE NW</t>
  </si>
  <si>
    <t xml:space="preserve">OH0015729299</t>
  </si>
  <si>
    <t xml:space="preserve">LATOYA</t>
  </si>
  <si>
    <t xml:space="preserve">1979-12-21</t>
  </si>
  <si>
    <t xml:space="preserve">1998-05-18</t>
  </si>
  <si>
    <t xml:space="preserve">OH0023732381</t>
  </si>
  <si>
    <t xml:space="preserve">1953-04-06</t>
  </si>
  <si>
    <t xml:space="preserve">1363 GERTRUDE PL NW</t>
  </si>
  <si>
    <t xml:space="preserve">OH0025894839</t>
  </si>
  <si>
    <t xml:space="preserve">SOSA BARRAGAN</t>
  </si>
  <si>
    <t xml:space="preserve">GILA</t>
  </si>
  <si>
    <t xml:space="preserve">1943-05-09</t>
  </si>
  <si>
    <t xml:space="preserve">1004 GLENWOOD ST NE</t>
  </si>
  <si>
    <t xml:space="preserve">OH0025378401</t>
  </si>
  <si>
    <t xml:space="preserve">MENDEZ SOSA</t>
  </si>
  <si>
    <t xml:space="preserve">ELSA</t>
  </si>
  <si>
    <t xml:space="preserve">1974-11-04</t>
  </si>
  <si>
    <t xml:space="preserve">2019-12-15</t>
  </si>
  <si>
    <t xml:space="preserve">OH0026288680</t>
  </si>
  <si>
    <t xml:space="preserve">ANGELINE</t>
  </si>
  <si>
    <t xml:space="preserve">2003-02-20</t>
  </si>
  <si>
    <t xml:space="preserve">OH0025131163</t>
  </si>
  <si>
    <t xml:space="preserve">TEETERS</t>
  </si>
  <si>
    <t xml:space="preserve">1962-12-06</t>
  </si>
  <si>
    <t xml:space="preserve">2019-06-16</t>
  </si>
  <si>
    <t xml:space="preserve">1005 GLENWOOD ST NE</t>
  </si>
  <si>
    <t xml:space="preserve">OH0024357087</t>
  </si>
  <si>
    <t xml:space="preserve">2018-02-01</t>
  </si>
  <si>
    <t xml:space="preserve">703 GLENWOOD ST NE</t>
  </si>
  <si>
    <t xml:space="preserve">OH0015742871</t>
  </si>
  <si>
    <t xml:space="preserve">BROOKS</t>
  </si>
  <si>
    <t xml:space="preserve">MARGARET</t>
  </si>
  <si>
    <t xml:space="preserve">1951-09-19</t>
  </si>
  <si>
    <t xml:space="preserve">2004-09-19</t>
  </si>
  <si>
    <t xml:space="preserve">732 GLENWOOD ST NE</t>
  </si>
  <si>
    <t xml:space="preserve">OH0015742858</t>
  </si>
  <si>
    <t xml:space="preserve">1949-04-16</t>
  </si>
  <si>
    <t xml:space="preserve">OH0020855194</t>
  </si>
  <si>
    <t xml:space="preserve">ENOS</t>
  </si>
  <si>
    <t xml:space="preserve">1991-10-12</t>
  </si>
  <si>
    <t xml:space="preserve">2009-11-17</t>
  </si>
  <si>
    <t xml:space="preserve">733 GLENWOOD ST NE</t>
  </si>
  <si>
    <t xml:space="preserve">OH0027839333</t>
  </si>
  <si>
    <t xml:space="preserve">MELILLO</t>
  </si>
  <si>
    <t xml:space="preserve">1975-08-04</t>
  </si>
  <si>
    <t xml:space="preserve">OH0027671780</t>
  </si>
  <si>
    <t xml:space="preserve">CARRASQUILLO</t>
  </si>
  <si>
    <t xml:space="preserve">JESUS</t>
  </si>
  <si>
    <t xml:space="preserve">1970-01-15</t>
  </si>
  <si>
    <t xml:space="preserve">743 GLENWOOD ST NE</t>
  </si>
  <si>
    <t xml:space="preserve">OH0015730290</t>
  </si>
  <si>
    <t xml:space="preserve">MONTECALVO</t>
  </si>
  <si>
    <t xml:space="preserve">1966-01-28</t>
  </si>
  <si>
    <t xml:space="preserve">2016-09-07</t>
  </si>
  <si>
    <t xml:space="preserve">750 GLENWOOD ST NE</t>
  </si>
  <si>
    <t xml:space="preserve">OH0026386126</t>
  </si>
  <si>
    <t xml:space="preserve">FOX</t>
  </si>
  <si>
    <t xml:space="preserve">BRUCE</t>
  </si>
  <si>
    <t xml:space="preserve">1951-06-19</t>
  </si>
  <si>
    <t xml:space="preserve">2021-12-23</t>
  </si>
  <si>
    <t xml:space="preserve">753 GLENWOOD ST NE</t>
  </si>
  <si>
    <t xml:space="preserve">OH0021700327</t>
  </si>
  <si>
    <t xml:space="preserve">WOLBERT</t>
  </si>
  <si>
    <t xml:space="preserve">RUTH</t>
  </si>
  <si>
    <t xml:space="preserve">1994-04-22</t>
  </si>
  <si>
    <t xml:space="preserve">760 GLENWOOD ST NE</t>
  </si>
  <si>
    <t xml:space="preserve">OH0021700330</t>
  </si>
  <si>
    <t xml:space="preserve">1994-08-01</t>
  </si>
  <si>
    <t xml:space="preserve">2012-01-30</t>
  </si>
  <si>
    <t xml:space="preserve">OH0018597773</t>
  </si>
  <si>
    <t xml:space="preserve">COMANESCU</t>
  </si>
  <si>
    <t xml:space="preserve">1986-12-11</t>
  </si>
  <si>
    <t xml:space="preserve">2015-06-04</t>
  </si>
  <si>
    <t xml:space="preserve">769 GLENWOOD ST NE</t>
  </si>
  <si>
    <t xml:space="preserve">OH0020962528</t>
  </si>
  <si>
    <t xml:space="preserve">SHARLA</t>
  </si>
  <si>
    <t xml:space="preserve">2019-08-12</t>
  </si>
  <si>
    <t xml:space="preserve">OH0023265906</t>
  </si>
  <si>
    <t xml:space="preserve">1993-07-30</t>
  </si>
  <si>
    <t xml:space="preserve">2015-08-28</t>
  </si>
  <si>
    <t xml:space="preserve">OH0018597714</t>
  </si>
  <si>
    <t xml:space="preserve">BETH</t>
  </si>
  <si>
    <t xml:space="preserve">1985-07-27</t>
  </si>
  <si>
    <t xml:space="preserve">OH0021544278</t>
  </si>
  <si>
    <t xml:space="preserve">1991-10-25</t>
  </si>
  <si>
    <t xml:space="preserve">2015-11-10</t>
  </si>
  <si>
    <t xml:space="preserve">770 GLENWOOD ST NE</t>
  </si>
  <si>
    <t xml:space="preserve">OH0024520551</t>
  </si>
  <si>
    <t xml:space="preserve">KHAN</t>
  </si>
  <si>
    <t xml:space="preserve">LEAHANNA</t>
  </si>
  <si>
    <t xml:space="preserve">776 GLENWOOD ST NE</t>
  </si>
  <si>
    <t xml:space="preserve">OH0026522175</t>
  </si>
  <si>
    <t xml:space="preserve">DANISH</t>
  </si>
  <si>
    <t xml:space="preserve">AMEER</t>
  </si>
  <si>
    <t xml:space="preserve">1991-06-20</t>
  </si>
  <si>
    <t xml:space="preserve">2022-06-14</t>
  </si>
  <si>
    <t xml:space="preserve">OH0015779297</t>
  </si>
  <si>
    <t xml:space="preserve">STREETER</t>
  </si>
  <si>
    <t xml:space="preserve">1971-10-30</t>
  </si>
  <si>
    <t xml:space="preserve">2003-04-24</t>
  </si>
  <si>
    <t xml:space="preserve">783 GLENWOOD ST NE</t>
  </si>
  <si>
    <t xml:space="preserve">OH0015821538</t>
  </si>
  <si>
    <t xml:space="preserve">1967-10-02</t>
  </si>
  <si>
    <t xml:space="preserve">1997-09-30</t>
  </si>
  <si>
    <t xml:space="preserve">OH0019086178</t>
  </si>
  <si>
    <t xml:space="preserve">HUSTON</t>
  </si>
  <si>
    <t xml:space="preserve">TIM</t>
  </si>
  <si>
    <t xml:space="preserve">1986-04-07</t>
  </si>
  <si>
    <t xml:space="preserve">2015-05-06</t>
  </si>
  <si>
    <t xml:space="preserve">784 GLENWOOD ST NE</t>
  </si>
  <si>
    <t xml:space="preserve">OH0027145946</t>
  </si>
  <si>
    <t xml:space="preserve">ELLA</t>
  </si>
  <si>
    <t xml:space="preserve">1990-04-10</t>
  </si>
  <si>
    <t xml:space="preserve">791 GLENWOOD ST NE</t>
  </si>
  <si>
    <t xml:space="preserve">OH0022653463</t>
  </si>
  <si>
    <t xml:space="preserve">DAVENPORT</t>
  </si>
  <si>
    <t xml:space="preserve">SIDNEY</t>
  </si>
  <si>
    <t xml:space="preserve">1995-07-20</t>
  </si>
  <si>
    <t xml:space="preserve">792 GLENWOOD ST NE</t>
  </si>
  <si>
    <t xml:space="preserve">OH0026411746</t>
  </si>
  <si>
    <t xml:space="preserve">KARA</t>
  </si>
  <si>
    <t xml:space="preserve">2002-03-27</t>
  </si>
  <si>
    <t xml:space="preserve">2022-01-29</t>
  </si>
  <si>
    <t xml:space="preserve">800 GLENWOOD ST NE</t>
  </si>
  <si>
    <t xml:space="preserve">OH0027839318</t>
  </si>
  <si>
    <t xml:space="preserve">KARLIA</t>
  </si>
  <si>
    <t xml:space="preserve">LANAE</t>
  </si>
  <si>
    <t xml:space="preserve">2003-04-03</t>
  </si>
  <si>
    <t xml:space="preserve">2024-11-03</t>
  </si>
  <si>
    <t xml:space="preserve">UNIT 800</t>
  </si>
  <si>
    <t xml:space="preserve">OH0015759863</t>
  </si>
  <si>
    <t xml:space="preserve">KORETTA</t>
  </si>
  <si>
    <t xml:space="preserve">1971-11-02</t>
  </si>
  <si>
    <t xml:space="preserve">OH0026918545</t>
  </si>
  <si>
    <t xml:space="preserve">KAYLI</t>
  </si>
  <si>
    <t xml:space="preserve">LARAIN</t>
  </si>
  <si>
    <t xml:space="preserve">2004-12-28</t>
  </si>
  <si>
    <t xml:space="preserve">OH0027703304</t>
  </si>
  <si>
    <t xml:space="preserve">WHITMAN</t>
  </si>
  <si>
    <t xml:space="preserve">LUKE</t>
  </si>
  <si>
    <t xml:space="preserve">1965-04-08</t>
  </si>
  <si>
    <t xml:space="preserve">801 GLENWOOD ST NE</t>
  </si>
  <si>
    <t xml:space="preserve">OH0025688748</t>
  </si>
  <si>
    <t xml:space="preserve">POLTA SEKERAK</t>
  </si>
  <si>
    <t xml:space="preserve">1998-12-02</t>
  </si>
  <si>
    <t xml:space="preserve">2023-12-27</t>
  </si>
  <si>
    <t xml:space="preserve">810 GLENWOOD ST NE</t>
  </si>
  <si>
    <t xml:space="preserve">OH0024868914</t>
  </si>
  <si>
    <t xml:space="preserve">2000-09-23</t>
  </si>
  <si>
    <t xml:space="preserve">2023-06-07</t>
  </si>
  <si>
    <t xml:space="preserve">OH0023223394</t>
  </si>
  <si>
    <t xml:space="preserve">NIGEL</t>
  </si>
  <si>
    <t xml:space="preserve">1991-03-04</t>
  </si>
  <si>
    <t xml:space="preserve">2020-07-17</t>
  </si>
  <si>
    <t xml:space="preserve">821 GLENWOOD ST NE</t>
  </si>
  <si>
    <t xml:space="preserve">OH0027347742</t>
  </si>
  <si>
    <t xml:space="preserve">1978-04-19</t>
  </si>
  <si>
    <t xml:space="preserve">830 GLENWOOD ST NE</t>
  </si>
  <si>
    <t xml:space="preserve">OH0022360096</t>
  </si>
  <si>
    <t xml:space="preserve">1994-11-12</t>
  </si>
  <si>
    <t xml:space="preserve">831 GLENWOOD ST NE</t>
  </si>
  <si>
    <t xml:space="preserve">OH0015721807</t>
  </si>
  <si>
    <t xml:space="preserve">SALYARD</t>
  </si>
  <si>
    <t xml:space="preserve">JULIE</t>
  </si>
  <si>
    <t xml:space="preserve">1970-08-18</t>
  </si>
  <si>
    <t xml:space="preserve">840 GLENWOOD ST NE</t>
  </si>
  <si>
    <t xml:space="preserve">OH0015678157</t>
  </si>
  <si>
    <t xml:space="preserve">1984-04-28</t>
  </si>
  <si>
    <t xml:space="preserve">2023-07-04</t>
  </si>
  <si>
    <t xml:space="preserve">OH0024013071</t>
  </si>
  <si>
    <t xml:space="preserve">1983-07-13</t>
  </si>
  <si>
    <t xml:space="preserve">2016-10-03</t>
  </si>
  <si>
    <t xml:space="preserve">OH0027494889</t>
  </si>
  <si>
    <t xml:space="preserve">1987-02-12</t>
  </si>
  <si>
    <t xml:space="preserve">841 GLENWOOD ST NE</t>
  </si>
  <si>
    <t xml:space="preserve">OH0015740572</t>
  </si>
  <si>
    <t xml:space="preserve">1952-09-17</t>
  </si>
  <si>
    <t xml:space="preserve">2017-11-29</t>
  </si>
  <si>
    <t xml:space="preserve">850 GLENWOOD ST NE</t>
  </si>
  <si>
    <t xml:space="preserve">OH0015699429</t>
  </si>
  <si>
    <t xml:space="preserve">1948-07-18</t>
  </si>
  <si>
    <t xml:space="preserve">1983-07-25</t>
  </si>
  <si>
    <t xml:space="preserve">851 GLENWOOD ST NE</t>
  </si>
  <si>
    <t xml:space="preserve">OH0019014781</t>
  </si>
  <si>
    <t xml:space="preserve">MCCLUNG</t>
  </si>
  <si>
    <t xml:space="preserve">1989-04-24</t>
  </si>
  <si>
    <t xml:space="preserve">2015-08-21</t>
  </si>
  <si>
    <t xml:space="preserve">914 GLENWOOD ST NE</t>
  </si>
  <si>
    <t xml:space="preserve">OH0015694214</t>
  </si>
  <si>
    <t xml:space="preserve">2015-08-07</t>
  </si>
  <si>
    <t xml:space="preserve">OH0015801338</t>
  </si>
  <si>
    <t xml:space="preserve">WYMAN</t>
  </si>
  <si>
    <t xml:space="preserve">COLLEEN</t>
  </si>
  <si>
    <t xml:space="preserve">1955-03-09</t>
  </si>
  <si>
    <t xml:space="preserve">2022-04-21</t>
  </si>
  <si>
    <t xml:space="preserve">915 GLENWOOD ST NE</t>
  </si>
  <si>
    <t xml:space="preserve">OH0021111854</t>
  </si>
  <si>
    <t xml:space="preserve">NOAH</t>
  </si>
  <si>
    <t xml:space="preserve">1992-06-07</t>
  </si>
  <si>
    <t xml:space="preserve">OH0020063191</t>
  </si>
  <si>
    <t xml:space="preserve">BEASLEY</t>
  </si>
  <si>
    <t xml:space="preserve">1953-11-16</t>
  </si>
  <si>
    <t xml:space="preserve">2008-08-29</t>
  </si>
  <si>
    <t xml:space="preserve">920 GLENWOOD ST NE</t>
  </si>
  <si>
    <t xml:space="preserve">OH0019980107</t>
  </si>
  <si>
    <t xml:space="preserve">1960-06-12</t>
  </si>
  <si>
    <t xml:space="preserve">2008-08-25</t>
  </si>
  <si>
    <t xml:space="preserve">OH0015732347</t>
  </si>
  <si>
    <t xml:space="preserve">LISK</t>
  </si>
  <si>
    <t xml:space="preserve">SHIRLEY</t>
  </si>
  <si>
    <t xml:space="preserve">1949-08-28</t>
  </si>
  <si>
    <t xml:space="preserve">1990-03-26</t>
  </si>
  <si>
    <t xml:space="preserve">945 GLENWOOD ST NE</t>
  </si>
  <si>
    <t xml:space="preserve">OH0015682079</t>
  </si>
  <si>
    <t xml:space="preserve">CROSS</t>
  </si>
  <si>
    <t xml:space="preserve">CECIL</t>
  </si>
  <si>
    <t xml:space="preserve">1984-08-21</t>
  </si>
  <si>
    <t xml:space="preserve">2016-04-19</t>
  </si>
  <si>
    <t xml:space="preserve">954 GLENWOOD ST NE</t>
  </si>
  <si>
    <t xml:space="preserve">OH0015780624</t>
  </si>
  <si>
    <t xml:space="preserve">1985-08-08</t>
  </si>
  <si>
    <t xml:space="preserve">2016-07-27</t>
  </si>
  <si>
    <t xml:space="preserve">OH0024556256</t>
  </si>
  <si>
    <t xml:space="preserve">CVETKOVICH</t>
  </si>
  <si>
    <t xml:space="preserve">1990-03-04</t>
  </si>
  <si>
    <t xml:space="preserve">955 GLENWOOD ST NE</t>
  </si>
  <si>
    <t xml:space="preserve">OH0027449559</t>
  </si>
  <si>
    <t xml:space="preserve">LEMUS</t>
  </si>
  <si>
    <t xml:space="preserve">1980-03-20</t>
  </si>
  <si>
    <t xml:space="preserve">OH0018670401</t>
  </si>
  <si>
    <t xml:space="preserve">SOPHIA</t>
  </si>
  <si>
    <t xml:space="preserve">1987-11-18</t>
  </si>
  <si>
    <t xml:space="preserve">2023-06-27</t>
  </si>
  <si>
    <t xml:space="preserve">964 GLENWOOD ST NE</t>
  </si>
  <si>
    <t xml:space="preserve">OH0027921076</t>
  </si>
  <si>
    <t xml:space="preserve">MEADE</t>
  </si>
  <si>
    <t xml:space="preserve">HANNAH</t>
  </si>
  <si>
    <t xml:space="preserve">2005-09-19</t>
  </si>
  <si>
    <t xml:space="preserve">965 GLENWOOD ST NE</t>
  </si>
  <si>
    <t xml:space="preserve">OH0015754942</t>
  </si>
  <si>
    <t xml:space="preserve">VIKKI</t>
  </si>
  <si>
    <t xml:space="preserve">1985-10-01</t>
  </si>
  <si>
    <t xml:space="preserve">2024-04-06</t>
  </si>
  <si>
    <t xml:space="preserve">OH0027913290</t>
  </si>
  <si>
    <t xml:space="preserve">2007-04-04</t>
  </si>
  <si>
    <t xml:space="preserve">2025-03-13</t>
  </si>
  <si>
    <t xml:space="preserve">974 GLENWOOD ST NE</t>
  </si>
  <si>
    <t xml:space="preserve">OH0023311848</t>
  </si>
  <si>
    <t xml:space="preserve">ZIAKIERRA</t>
  </si>
  <si>
    <t xml:space="preserve">984 GLENWOOD ST NE</t>
  </si>
  <si>
    <t xml:space="preserve">OH0018617384</t>
  </si>
  <si>
    <t xml:space="preserve">1987-12-07</t>
  </si>
  <si>
    <t xml:space="preserve">OH0023026349</t>
  </si>
  <si>
    <t xml:space="preserve">1982-10-31</t>
  </si>
  <si>
    <t xml:space="preserve">2024-11-25</t>
  </si>
  <si>
    <t xml:space="preserve">OH0023794181</t>
  </si>
  <si>
    <t xml:space="preserve">POLAK</t>
  </si>
  <si>
    <t xml:space="preserve">GHISLAINE</t>
  </si>
  <si>
    <t xml:space="preserve">1968-06-19</t>
  </si>
  <si>
    <t xml:space="preserve">2016-07-18</t>
  </si>
  <si>
    <t xml:space="preserve">994 GLENWOOD ST NE</t>
  </si>
  <si>
    <t xml:space="preserve">OH0015730472</t>
  </si>
  <si>
    <t xml:space="preserve">HICKMAN</t>
  </si>
  <si>
    <t xml:space="preserve">1962-05-19</t>
  </si>
  <si>
    <t xml:space="preserve">OH0025387873</t>
  </si>
  <si>
    <t xml:space="preserve">RODRIGUEZ ROMERO</t>
  </si>
  <si>
    <t xml:space="preserve">ANGELICA</t>
  </si>
  <si>
    <t xml:space="preserve">1997-04-07</t>
  </si>
  <si>
    <t xml:space="preserve">2023-07-15</t>
  </si>
  <si>
    <t xml:space="preserve">158 GRISWOLD ST NE</t>
  </si>
  <si>
    <t xml:space="preserve">OH0025387882</t>
  </si>
  <si>
    <t xml:space="preserve">ARIAS GUERRERO</t>
  </si>
  <si>
    <t xml:space="preserve">1976-06-18</t>
  </si>
  <si>
    <t xml:space="preserve">OH0021094246</t>
  </si>
  <si>
    <t xml:space="preserve">1992-01-01</t>
  </si>
  <si>
    <t xml:space="preserve">175 GRISWOLD ST NE</t>
  </si>
  <si>
    <t xml:space="preserve">OH0026441740</t>
  </si>
  <si>
    <t xml:space="preserve">DANGERFIELD</t>
  </si>
  <si>
    <t xml:space="preserve">LAURIE</t>
  </si>
  <si>
    <t xml:space="preserve">1972-04-02</t>
  </si>
  <si>
    <t xml:space="preserve">2022-03-15</t>
  </si>
  <si>
    <t xml:space="preserve">OH0026335298</t>
  </si>
  <si>
    <t xml:space="preserve">LUCAS</t>
  </si>
  <si>
    <t xml:space="preserve">LEBRON</t>
  </si>
  <si>
    <t xml:space="preserve">1985-07-28</t>
  </si>
  <si>
    <t xml:space="preserve">2021-10-06</t>
  </si>
  <si>
    <t xml:space="preserve">183 GRISWOLD ST NE</t>
  </si>
  <si>
    <t xml:space="preserve">OH0023224761</t>
  </si>
  <si>
    <t xml:space="preserve">WHITACRE</t>
  </si>
  <si>
    <t xml:space="preserve">1994-05-22</t>
  </si>
  <si>
    <t xml:space="preserve">OH0019214905</t>
  </si>
  <si>
    <t xml:space="preserve">CLEVIDENCE</t>
  </si>
  <si>
    <t xml:space="preserve">1969-06-24</t>
  </si>
  <si>
    <t xml:space="preserve">2025-04-22</t>
  </si>
  <si>
    <t xml:space="preserve">185 GRISWOLD ST NE</t>
  </si>
  <si>
    <t xml:space="preserve">OH0027277076</t>
  </si>
  <si>
    <t xml:space="preserve">DONOVAN</t>
  </si>
  <si>
    <t xml:space="preserve">1966-04-10</t>
  </si>
  <si>
    <t xml:space="preserve">2024-04-07</t>
  </si>
  <si>
    <t xml:space="preserve">OH0023699929</t>
  </si>
  <si>
    <t xml:space="preserve">ROSIER</t>
  </si>
  <si>
    <t xml:space="preserve">1983-05-21</t>
  </si>
  <si>
    <t xml:space="preserve">2016-05-03</t>
  </si>
  <si>
    <t xml:space="preserve">195 GRISWOLD ST NE</t>
  </si>
  <si>
    <t xml:space="preserve">STE 4</t>
  </si>
  <si>
    <t xml:space="preserve">OH0015815848</t>
  </si>
  <si>
    <t xml:space="preserve">1977-12-15</t>
  </si>
  <si>
    <t xml:space="preserve">281 GRISWOLD ST NE</t>
  </si>
  <si>
    <t xml:space="preserve">OH0026153139</t>
  </si>
  <si>
    <t xml:space="preserve">DELMAR</t>
  </si>
  <si>
    <t xml:space="preserve">ROSHON</t>
  </si>
  <si>
    <t xml:space="preserve">2000-02-09</t>
  </si>
  <si>
    <t xml:space="preserve">2022-09-03</t>
  </si>
  <si>
    <t xml:space="preserve">335 GRISWOLD ST NE</t>
  </si>
  <si>
    <t xml:space="preserve">OH0020040610</t>
  </si>
  <si>
    <t xml:space="preserve">WAGMAN</t>
  </si>
  <si>
    <t xml:space="preserve">1980-05-29</t>
  </si>
  <si>
    <t xml:space="preserve">2008-08-23</t>
  </si>
  <si>
    <t xml:space="preserve">OH0025396721</t>
  </si>
  <si>
    <t xml:space="preserve">WISEMAN</t>
  </si>
  <si>
    <t xml:space="preserve">1979-01-28</t>
  </si>
  <si>
    <t xml:space="preserve">437 GRISWOLD ST NE</t>
  </si>
  <si>
    <t xml:space="preserve">OH0020626732</t>
  </si>
  <si>
    <t xml:space="preserve">MAGEE</t>
  </si>
  <si>
    <t xml:space="preserve">TERRY</t>
  </si>
  <si>
    <t xml:space="preserve">1949-08-19</t>
  </si>
  <si>
    <t xml:space="preserve">2009-05-01</t>
  </si>
  <si>
    <t xml:space="preserve">457 GRISWOLD ST NE</t>
  </si>
  <si>
    <t xml:space="preserve">OH0023225159</t>
  </si>
  <si>
    <t xml:space="preserve">THORNE</t>
  </si>
  <si>
    <t xml:space="preserve">1994-11-04</t>
  </si>
  <si>
    <t xml:space="preserve">499 GRISWOLD ST NE</t>
  </si>
  <si>
    <t xml:space="preserve">OH0026143641</t>
  </si>
  <si>
    <t xml:space="preserve">ALLGOOD</t>
  </si>
  <si>
    <t xml:space="preserve">1969-06-20</t>
  </si>
  <si>
    <t xml:space="preserve">2023-02-01</t>
  </si>
  <si>
    <t xml:space="preserve">1444 GROVE AVE NW</t>
  </si>
  <si>
    <t xml:space="preserve">OH0026290033</t>
  </si>
  <si>
    <t xml:space="preserve">HALEY</t>
  </si>
  <si>
    <t xml:space="preserve">1982-02-23</t>
  </si>
  <si>
    <t xml:space="preserve">2023-01-31</t>
  </si>
  <si>
    <t xml:space="preserve">OH0015822943</t>
  </si>
  <si>
    <t xml:space="preserve">1981-03-28</t>
  </si>
  <si>
    <t xml:space="preserve">2017-07-14</t>
  </si>
  <si>
    <t xml:space="preserve">1447 GROVE AVE NW</t>
  </si>
  <si>
    <t xml:space="preserve">OH0021657795</t>
  </si>
  <si>
    <t xml:space="preserve">PREM</t>
  </si>
  <si>
    <t xml:space="preserve">ROBYN</t>
  </si>
  <si>
    <t xml:space="preserve">1990-07-27</t>
  </si>
  <si>
    <t xml:space="preserve">2022-11-18</t>
  </si>
  <si>
    <t xml:space="preserve">OH0027029597</t>
  </si>
  <si>
    <t xml:space="preserve">OSTETRICO</t>
  </si>
  <si>
    <t xml:space="preserve">1986-12-03</t>
  </si>
  <si>
    <t xml:space="preserve">2023-09-08</t>
  </si>
  <si>
    <t xml:space="preserve">1454 GROVE AVE NW</t>
  </si>
  <si>
    <t xml:space="preserve">OH0015691850</t>
  </si>
  <si>
    <t xml:space="preserve">CLIFFORD</t>
  </si>
  <si>
    <t xml:space="preserve">1963-03-12</t>
  </si>
  <si>
    <t xml:space="preserve">OH0020926778</t>
  </si>
  <si>
    <t xml:space="preserve">LASHAI</t>
  </si>
  <si>
    <t xml:space="preserve">1991-08-13</t>
  </si>
  <si>
    <t xml:space="preserve">148 HALL ST NW</t>
  </si>
  <si>
    <t xml:space="preserve">OH0025314727</t>
  </si>
  <si>
    <t xml:space="preserve">LEVINS</t>
  </si>
  <si>
    <t xml:space="preserve">2001-08-28</t>
  </si>
  <si>
    <t xml:space="preserve">157 HALL ST NW</t>
  </si>
  <si>
    <t xml:space="preserve">OH0024589063</t>
  </si>
  <si>
    <t xml:space="preserve">BYRD</t>
  </si>
  <si>
    <t xml:space="preserve">LEVAR</t>
  </si>
  <si>
    <t xml:space="preserve">1978-08-15</t>
  </si>
  <si>
    <t xml:space="preserve">201 HALL ST NW</t>
  </si>
  <si>
    <t xml:space="preserve">OH0019538442</t>
  </si>
  <si>
    <t xml:space="preserve">STIFFLER</t>
  </si>
  <si>
    <t xml:space="preserve">1962-02-03</t>
  </si>
  <si>
    <t xml:space="preserve">313 HALL ST NW</t>
  </si>
  <si>
    <t xml:space="preserve">OH0019538428</t>
  </si>
  <si>
    <t xml:space="preserve">DARON</t>
  </si>
  <si>
    <t xml:space="preserve">1965-09-16</t>
  </si>
  <si>
    <t xml:space="preserve">OH0020241114</t>
  </si>
  <si>
    <t xml:space="preserve">ORA</t>
  </si>
  <si>
    <t xml:space="preserve">1933-07-17</t>
  </si>
  <si>
    <t xml:space="preserve">2011-05-08</t>
  </si>
  <si>
    <t xml:space="preserve">OH0015726074</t>
  </si>
  <si>
    <t xml:space="preserve">1973-12-05</t>
  </si>
  <si>
    <t xml:space="preserve">OH0020949197</t>
  </si>
  <si>
    <t xml:space="preserve">1959-04-10</t>
  </si>
  <si>
    <t xml:space="preserve">2024-04-29</t>
  </si>
  <si>
    <t xml:space="preserve">OH0022203485</t>
  </si>
  <si>
    <t xml:space="preserve">1992-10-29</t>
  </si>
  <si>
    <t xml:space="preserve">2012-10-03</t>
  </si>
  <si>
    <t xml:space="preserve">316 HALL ST NW</t>
  </si>
  <si>
    <t xml:space="preserve">OH0022202060</t>
  </si>
  <si>
    <t xml:space="preserve">HOVIS</t>
  </si>
  <si>
    <t xml:space="preserve">1988-11-14</t>
  </si>
  <si>
    <t xml:space="preserve">2022-11-25</t>
  </si>
  <si>
    <t xml:space="preserve">344 HALL ST NW</t>
  </si>
  <si>
    <t xml:space="preserve">OH0025010923</t>
  </si>
  <si>
    <t xml:space="preserve">OEHLERT</t>
  </si>
  <si>
    <t xml:space="preserve">1991-06-18</t>
  </si>
  <si>
    <t xml:space="preserve">2018-12-23</t>
  </si>
  <si>
    <t xml:space="preserve">354 HALL ST NW</t>
  </si>
  <si>
    <t xml:space="preserve">OH0026134503</t>
  </si>
  <si>
    <t xml:space="preserve">ROYAL</t>
  </si>
  <si>
    <t xml:space="preserve">1980-08-10</t>
  </si>
  <si>
    <t xml:space="preserve">401 HALL ST NW</t>
  </si>
  <si>
    <t xml:space="preserve">OH0023296104</t>
  </si>
  <si>
    <t xml:space="preserve">1978-10-30</t>
  </si>
  <si>
    <t xml:space="preserve">2015-09-16</t>
  </si>
  <si>
    <t xml:space="preserve">447 HALL ST NW</t>
  </si>
  <si>
    <t xml:space="preserve">OH0025549286</t>
  </si>
  <si>
    <t xml:space="preserve">GROVES</t>
  </si>
  <si>
    <t xml:space="preserve">1970-03-07</t>
  </si>
  <si>
    <t xml:space="preserve">2020-03-11</t>
  </si>
  <si>
    <t xml:space="preserve">OH0025309870</t>
  </si>
  <si>
    <t xml:space="preserve">LONNY</t>
  </si>
  <si>
    <t xml:space="preserve">JACK</t>
  </si>
  <si>
    <t xml:space="preserve">1981-09-17</t>
  </si>
  <si>
    <t xml:space="preserve">2023-10-04</t>
  </si>
  <si>
    <t xml:space="preserve">459 HALL ST NW</t>
  </si>
  <si>
    <t xml:space="preserve">OH0026216920</t>
  </si>
  <si>
    <t xml:space="preserve">TRACEY</t>
  </si>
  <si>
    <t xml:space="preserve">2024-08-16</t>
  </si>
  <si>
    <t xml:space="preserve">OH0027582088</t>
  </si>
  <si>
    <t xml:space="preserve">1988-09-30</t>
  </si>
  <si>
    <t xml:space="preserve">OH0015765172</t>
  </si>
  <si>
    <t xml:space="preserve">LONG</t>
  </si>
  <si>
    <t xml:space="preserve">LEO</t>
  </si>
  <si>
    <t xml:space="preserve">1975-10-27</t>
  </si>
  <si>
    <t xml:space="preserve">2020-04-18</t>
  </si>
  <si>
    <t xml:space="preserve">OH0021649492</t>
  </si>
  <si>
    <t xml:space="preserve">MIKUSEVICH SOHNGEN</t>
  </si>
  <si>
    <t xml:space="preserve">SUZANNE</t>
  </si>
  <si>
    <t xml:space="preserve">1991-01-07</t>
  </si>
  <si>
    <t xml:space="preserve">468 HALL ST NW</t>
  </si>
  <si>
    <t xml:space="preserve">OH0025122423</t>
  </si>
  <si>
    <t xml:space="preserve">KALEUGHER</t>
  </si>
  <si>
    <t xml:space="preserve">JESSE</t>
  </si>
  <si>
    <t xml:space="preserve">1990-07-09</t>
  </si>
  <si>
    <t xml:space="preserve">2019-06-07</t>
  </si>
  <si>
    <t xml:space="preserve">OH0023184257</t>
  </si>
  <si>
    <t xml:space="preserve">1996-09-10</t>
  </si>
  <si>
    <t xml:space="preserve">478 HALL ST NW</t>
  </si>
  <si>
    <t xml:space="preserve">OH0023726167</t>
  </si>
  <si>
    <t xml:space="preserve">1982-03-23</t>
  </si>
  <si>
    <t xml:space="preserve">2021-09-26</t>
  </si>
  <si>
    <t xml:space="preserve">487 HALL ST NW</t>
  </si>
  <si>
    <t xml:space="preserve">OH0027694841</t>
  </si>
  <si>
    <t xml:space="preserve">FERNANDEZ</t>
  </si>
  <si>
    <t xml:space="preserve">CRISTOPHER</t>
  </si>
  <si>
    <t xml:space="preserve">2005-03-25</t>
  </si>
  <si>
    <t xml:space="preserve">488 HALL ST NW</t>
  </si>
  <si>
    <t xml:space="preserve">OH0022436132</t>
  </si>
  <si>
    <t xml:space="preserve">STOKES</t>
  </si>
  <si>
    <t xml:space="preserve">ARNASIA</t>
  </si>
  <si>
    <t xml:space="preserve">1994-11-10</t>
  </si>
  <si>
    <t xml:space="preserve">2020-10-17</t>
  </si>
  <si>
    <t xml:space="preserve">OH0015784970</t>
  </si>
  <si>
    <t xml:space="preserve">1964-09-05</t>
  </si>
  <si>
    <t xml:space="preserve">OH0027694486</t>
  </si>
  <si>
    <t xml:space="preserve">ELYNIA</t>
  </si>
  <si>
    <t xml:space="preserve">2003-12-10</t>
  </si>
  <si>
    <t xml:space="preserve">OH0015775280</t>
  </si>
  <si>
    <t xml:space="preserve">YENCHOCHIK</t>
  </si>
  <si>
    <t xml:space="preserve">1955-12-07</t>
  </si>
  <si>
    <t xml:space="preserve">1974-04-03</t>
  </si>
  <si>
    <t xml:space="preserve">495 HALL ST NW</t>
  </si>
  <si>
    <t xml:space="preserve">OH0023223164</t>
  </si>
  <si>
    <t xml:space="preserve">BABB</t>
  </si>
  <si>
    <t xml:space="preserve">1992-06-06</t>
  </si>
  <si>
    <t xml:space="preserve">506 HALL ST NW</t>
  </si>
  <si>
    <t xml:space="preserve">OH0015730965</t>
  </si>
  <si>
    <t xml:space="preserve">1963-05-09</t>
  </si>
  <si>
    <t xml:space="preserve">OH0015783640</t>
  </si>
  <si>
    <t xml:space="preserve">STRICKLAND</t>
  </si>
  <si>
    <t xml:space="preserve">1935-02-26</t>
  </si>
  <si>
    <t xml:space="preserve">1959-09-23</t>
  </si>
  <si>
    <t xml:space="preserve">515 HALL ST NW</t>
  </si>
  <si>
    <t xml:space="preserve">OH0025168433</t>
  </si>
  <si>
    <t xml:space="preserve">SACCO</t>
  </si>
  <si>
    <t xml:space="preserve">1980-05-31</t>
  </si>
  <si>
    <t xml:space="preserve">2019-08-08</t>
  </si>
  <si>
    <t xml:space="preserve">516 HALL ST NW</t>
  </si>
  <si>
    <t xml:space="preserve">OH0023462057</t>
  </si>
  <si>
    <t xml:space="preserve">TIERANNY</t>
  </si>
  <si>
    <t xml:space="preserve">CHYPRI</t>
  </si>
  <si>
    <t xml:space="preserve">1997-08-06</t>
  </si>
  <si>
    <t xml:space="preserve">2019-06-21</t>
  </si>
  <si>
    <t xml:space="preserve">526 HALL ST NW</t>
  </si>
  <si>
    <t xml:space="preserve">OH0015908332</t>
  </si>
  <si>
    <t xml:space="preserve">SHERIA</t>
  </si>
  <si>
    <t xml:space="preserve">AVERY</t>
  </si>
  <si>
    <t xml:space="preserve">1970-03-25</t>
  </si>
  <si>
    <t xml:space="preserve">2020-10-03</t>
  </si>
  <si>
    <t xml:space="preserve">OH0015733454</t>
  </si>
  <si>
    <t xml:space="preserve">TANNER</t>
  </si>
  <si>
    <t xml:space="preserve">RAINA</t>
  </si>
  <si>
    <t xml:space="preserve">1980-07-11</t>
  </si>
  <si>
    <t xml:space="preserve">2006-02-10</t>
  </si>
  <si>
    <t xml:space="preserve">534 HALL ST NW</t>
  </si>
  <si>
    <t xml:space="preserve">OH0024166453</t>
  </si>
  <si>
    <t xml:space="preserve">1982-01-05</t>
  </si>
  <si>
    <t xml:space="preserve">2016-11-08</t>
  </si>
  <si>
    <t xml:space="preserve">OH0027204711</t>
  </si>
  <si>
    <t xml:space="preserve">1988-08-29</t>
  </si>
  <si>
    <t xml:space="preserve">2023-12-20</t>
  </si>
  <si>
    <t xml:space="preserve">545 HALL ST NW</t>
  </si>
  <si>
    <t xml:space="preserve">OH0021764011</t>
  </si>
  <si>
    <t xml:space="preserve">1991-08-22</t>
  </si>
  <si>
    <t xml:space="preserve">OH0026116233</t>
  </si>
  <si>
    <t xml:space="preserve">RIVERA</t>
  </si>
  <si>
    <t xml:space="preserve">1965-05-19</t>
  </si>
  <si>
    <t xml:space="preserve">2020-12-10</t>
  </si>
  <si>
    <t xml:space="preserve">627 HALL ST NW</t>
  </si>
  <si>
    <t xml:space="preserve">OH0015779699</t>
  </si>
  <si>
    <t xml:space="preserve">1975-07-30</t>
  </si>
  <si>
    <t xml:space="preserve">2015-02-15</t>
  </si>
  <si>
    <t xml:space="preserve">OH0018597557</t>
  </si>
  <si>
    <t xml:space="preserve">1975-12-05</t>
  </si>
  <si>
    <t xml:space="preserve">647 HALL ST NW</t>
  </si>
  <si>
    <t xml:space="preserve">OH0019360725</t>
  </si>
  <si>
    <t xml:space="preserve">1975-11-30</t>
  </si>
  <si>
    <t xml:space="preserve">2023-11-02</t>
  </si>
  <si>
    <t xml:space="preserve">OH0026386371</t>
  </si>
  <si>
    <t xml:space="preserve">KELANA</t>
  </si>
  <si>
    <t xml:space="preserve">JATISH YVETTE</t>
  </si>
  <si>
    <t xml:space="preserve">2003-06-20</t>
  </si>
  <si>
    <t xml:space="preserve">OH0015761009</t>
  </si>
  <si>
    <t xml:space="preserve">QUICK</t>
  </si>
  <si>
    <t xml:space="preserve">NASHIKA</t>
  </si>
  <si>
    <t xml:space="preserve">1986-07-02</t>
  </si>
  <si>
    <t xml:space="preserve">650 HALL ST NW</t>
  </si>
  <si>
    <t xml:space="preserve">OH0015817502</t>
  </si>
  <si>
    <t xml:space="preserve">WILBERT</t>
  </si>
  <si>
    <t xml:space="preserve">1950-07-15</t>
  </si>
  <si>
    <t xml:space="preserve">657 HALL ST NW</t>
  </si>
  <si>
    <t xml:space="preserve">OH0026511586</t>
  </si>
  <si>
    <t xml:space="preserve">1970-07-27</t>
  </si>
  <si>
    <t xml:space="preserve">2022-05-25</t>
  </si>
  <si>
    <t xml:space="preserve">OH0015709312</t>
  </si>
  <si>
    <t xml:space="preserve">1950-08-20</t>
  </si>
  <si>
    <t xml:space="preserve">1984-09-26</t>
  </si>
  <si>
    <t xml:space="preserve">OH0024093903</t>
  </si>
  <si>
    <t xml:space="preserve">DEY ERMAND</t>
  </si>
  <si>
    <t xml:space="preserve">BONNEY</t>
  </si>
  <si>
    <t xml:space="preserve">1961-03-28</t>
  </si>
  <si>
    <t xml:space="preserve">667 HALL ST NW</t>
  </si>
  <si>
    <t xml:space="preserve">OH0015741463</t>
  </si>
  <si>
    <t xml:space="preserve">1959-12-13</t>
  </si>
  <si>
    <t xml:space="preserve">2004-02-29</t>
  </si>
  <si>
    <t xml:space="preserve">OH0020236237</t>
  </si>
  <si>
    <t xml:space="preserve">GRUBB</t>
  </si>
  <si>
    <t xml:space="preserve">1978-03-11</t>
  </si>
  <si>
    <t xml:space="preserve">2012-07-18</t>
  </si>
  <si>
    <t xml:space="preserve">OH0020302737</t>
  </si>
  <si>
    <t xml:space="preserve">TERRI</t>
  </si>
  <si>
    <t xml:space="preserve">1980-09-05</t>
  </si>
  <si>
    <t xml:space="preserve">670 HALL ST NW</t>
  </si>
  <si>
    <t xml:space="preserve">OH0026082813</t>
  </si>
  <si>
    <t xml:space="preserve">COMER</t>
  </si>
  <si>
    <t xml:space="preserve">ANTWOINE</t>
  </si>
  <si>
    <t xml:space="preserve">LOUIS</t>
  </si>
  <si>
    <t xml:space="preserve">2002-03-05</t>
  </si>
  <si>
    <t xml:space="preserve">OH0027510267</t>
  </si>
  <si>
    <t xml:space="preserve">OTTIS</t>
  </si>
  <si>
    <t xml:space="preserve">1979-01-01</t>
  </si>
  <si>
    <t xml:space="preserve">OH0015762545</t>
  </si>
  <si>
    <t xml:space="preserve">DOWELL</t>
  </si>
  <si>
    <t xml:space="preserve">BRADY</t>
  </si>
  <si>
    <t xml:space="preserve">1957-12-11</t>
  </si>
  <si>
    <t xml:space="preserve">2022-01-06</t>
  </si>
  <si>
    <t xml:space="preserve">687 HALL ST NW</t>
  </si>
  <si>
    <t xml:space="preserve">OH0015732271</t>
  </si>
  <si>
    <t xml:space="preserve">1959-02-06</t>
  </si>
  <si>
    <t xml:space="preserve">2000-10-06</t>
  </si>
  <si>
    <t xml:space="preserve">OH0015797537</t>
  </si>
  <si>
    <t xml:space="preserve">QUENTIN</t>
  </si>
  <si>
    <t xml:space="preserve">1985-08-11</t>
  </si>
  <si>
    <t xml:space="preserve">OH0015729295</t>
  </si>
  <si>
    <t xml:space="preserve">COOKE</t>
  </si>
  <si>
    <t xml:space="preserve">1981-06-07</t>
  </si>
  <si>
    <t xml:space="preserve">2013-06-28</t>
  </si>
  <si>
    <t xml:space="preserve">708 HALL ST NW</t>
  </si>
  <si>
    <t xml:space="preserve">OH0015706558</t>
  </si>
  <si>
    <t xml:space="preserve">BENDETTA</t>
  </si>
  <si>
    <t xml:space="preserve">1955-06-29</t>
  </si>
  <si>
    <t xml:space="preserve">2004-06-09</t>
  </si>
  <si>
    <t xml:space="preserve">726 HALL ST NW</t>
  </si>
  <si>
    <t xml:space="preserve">OH0027641492</t>
  </si>
  <si>
    <t xml:space="preserve">ROSCOE</t>
  </si>
  <si>
    <t xml:space="preserve">OH0019746612</t>
  </si>
  <si>
    <t xml:space="preserve">TYON</t>
  </si>
  <si>
    <t xml:space="preserve">1989-04-25</t>
  </si>
  <si>
    <t xml:space="preserve">2016-05-05</t>
  </si>
  <si>
    <t xml:space="preserve">736 HALL ST NW</t>
  </si>
  <si>
    <t xml:space="preserve">OH0020624949</t>
  </si>
  <si>
    <t xml:space="preserve">VUKOVICH</t>
  </si>
  <si>
    <t xml:space="preserve">1991-04-02</t>
  </si>
  <si>
    <t xml:space="preserve">756 HALL ST NW</t>
  </si>
  <si>
    <t xml:space="preserve">OH0027897466</t>
  </si>
  <si>
    <t xml:space="preserve">JARED</t>
  </si>
  <si>
    <t xml:space="preserve">B ALEXANDER</t>
  </si>
  <si>
    <t xml:space="preserve">1982-06-17</t>
  </si>
  <si>
    <t xml:space="preserve">2025-02-11</t>
  </si>
  <si>
    <t xml:space="preserve">OH0015743076</t>
  </si>
  <si>
    <t xml:space="preserve">1965-06-11</t>
  </si>
  <si>
    <t xml:space="preserve">2015-05-20</t>
  </si>
  <si>
    <t xml:space="preserve">766 HALL ST NW</t>
  </si>
  <si>
    <t xml:space="preserve">OH0020289534</t>
  </si>
  <si>
    <t xml:space="preserve">1989-08-04</t>
  </si>
  <si>
    <t xml:space="preserve">2016-08-26</t>
  </si>
  <si>
    <t xml:space="preserve">OH0020607543</t>
  </si>
  <si>
    <t xml:space="preserve">BURNHAM</t>
  </si>
  <si>
    <t xml:space="preserve">1974-04-08</t>
  </si>
  <si>
    <t xml:space="preserve">2016-05-10</t>
  </si>
  <si>
    <t xml:space="preserve">776 HALL ST NW</t>
  </si>
  <si>
    <t xml:space="preserve">OH0024693103</t>
  </si>
  <si>
    <t xml:space="preserve">THACKER</t>
  </si>
  <si>
    <t xml:space="preserve">TABBITHA</t>
  </si>
  <si>
    <t xml:space="preserve">1991-07-21</t>
  </si>
  <si>
    <t xml:space="preserve">2023-05-23</t>
  </si>
  <si>
    <t xml:space="preserve">1000 HOLLYWOOD ST NE</t>
  </si>
  <si>
    <t xml:space="preserve">OH0025250900</t>
  </si>
  <si>
    <t xml:space="preserve">HEATON</t>
  </si>
  <si>
    <t xml:space="preserve">1989-10-14</t>
  </si>
  <si>
    <t xml:space="preserve">2019-10-06</t>
  </si>
  <si>
    <t xml:space="preserve">OH0026529584</t>
  </si>
  <si>
    <t xml:space="preserve">MONIQUE</t>
  </si>
  <si>
    <t xml:space="preserve">1984-10-30</t>
  </si>
  <si>
    <t xml:space="preserve">2022-05-31</t>
  </si>
  <si>
    <t xml:space="preserve">OH0027596058</t>
  </si>
  <si>
    <t xml:space="preserve">VITO</t>
  </si>
  <si>
    <t xml:space="preserve">1972-01-15</t>
  </si>
  <si>
    <t xml:space="preserve">774 HOLLYWOOD ST NE</t>
  </si>
  <si>
    <t xml:space="preserve">OH0027605500</t>
  </si>
  <si>
    <t xml:space="preserve">ADRIENNE</t>
  </si>
  <si>
    <t xml:space="preserve">1975-01-26</t>
  </si>
  <si>
    <t xml:space="preserve">OH0019798799</t>
  </si>
  <si>
    <t xml:space="preserve">1990-10-30</t>
  </si>
  <si>
    <t xml:space="preserve">2017-10-31</t>
  </si>
  <si>
    <t xml:space="preserve">794 HOLLYWOOD ST NE</t>
  </si>
  <si>
    <t xml:space="preserve">OH0022366116</t>
  </si>
  <si>
    <t xml:space="preserve">1995-03-03</t>
  </si>
  <si>
    <t xml:space="preserve">2018-07-09</t>
  </si>
  <si>
    <t xml:space="preserve">OH0021485579</t>
  </si>
  <si>
    <t xml:space="preserve">LOWERY</t>
  </si>
  <si>
    <t xml:space="preserve">1968-05-24</t>
  </si>
  <si>
    <t xml:space="preserve">2012-10-06</t>
  </si>
  <si>
    <t xml:space="preserve">814 HOLLYWOOD ST NE</t>
  </si>
  <si>
    <t xml:space="preserve">OH0024845777</t>
  </si>
  <si>
    <t xml:space="preserve">TIMISHA</t>
  </si>
  <si>
    <t xml:space="preserve">1976-01-06</t>
  </si>
  <si>
    <t xml:space="preserve">2018-04-03</t>
  </si>
  <si>
    <t xml:space="preserve">OH0015760154</t>
  </si>
  <si>
    <t xml:space="preserve">HEETER</t>
  </si>
  <si>
    <t xml:space="preserve">1979-02-22</t>
  </si>
  <si>
    <t xml:space="preserve">1999-06-03</t>
  </si>
  <si>
    <t xml:space="preserve">833 HOLLYWOOD ST NE</t>
  </si>
  <si>
    <t xml:space="preserve">OH0024712549</t>
  </si>
  <si>
    <t xml:space="preserve">DANA</t>
  </si>
  <si>
    <t xml:space="preserve">1980-09-16</t>
  </si>
  <si>
    <t xml:space="preserve">OH0019626591</t>
  </si>
  <si>
    <t xml:space="preserve">1978-08-25</t>
  </si>
  <si>
    <t xml:space="preserve">2017-06-29</t>
  </si>
  <si>
    <t xml:space="preserve">OH0025781764</t>
  </si>
  <si>
    <t xml:space="preserve">BOWERS</t>
  </si>
  <si>
    <t xml:space="preserve">SETH</t>
  </si>
  <si>
    <t xml:space="preserve">2002-05-19</t>
  </si>
  <si>
    <t xml:space="preserve">OH0015712760</t>
  </si>
  <si>
    <t xml:space="preserve">1954-07-25</t>
  </si>
  <si>
    <t xml:space="preserve">1985-04-01</t>
  </si>
  <si>
    <t xml:space="preserve">920 HOLLYWOOD ST NE</t>
  </si>
  <si>
    <t xml:space="preserve">OH0026182247</t>
  </si>
  <si>
    <t xml:space="preserve">COLIN</t>
  </si>
  <si>
    <t xml:space="preserve">2003-03-18</t>
  </si>
  <si>
    <t xml:space="preserve">2021-06-22</t>
  </si>
  <si>
    <t xml:space="preserve">932 HOLLYWOOD ST NE</t>
  </si>
  <si>
    <t xml:space="preserve">OH0015712754</t>
  </si>
  <si>
    <t xml:space="preserve">1960-09-14</t>
  </si>
  <si>
    <t xml:space="preserve">2011-06-25</t>
  </si>
  <si>
    <t xml:space="preserve">OH0015694747</t>
  </si>
  <si>
    <t xml:space="preserve">RHONDA</t>
  </si>
  <si>
    <t xml:space="preserve">1961-10-30</t>
  </si>
  <si>
    <t xml:space="preserve">2015-09-04</t>
  </si>
  <si>
    <t xml:space="preserve">OH0027839452</t>
  </si>
  <si>
    <t xml:space="preserve">GEE</t>
  </si>
  <si>
    <t xml:space="preserve">HAYLEY</t>
  </si>
  <si>
    <t xml:space="preserve">2002-08-08</t>
  </si>
  <si>
    <t xml:space="preserve">950 HOLLYWOOD ST NE</t>
  </si>
  <si>
    <t xml:space="preserve">OH0026219815</t>
  </si>
  <si>
    <t xml:space="preserve">1999-04-23</t>
  </si>
  <si>
    <t xml:space="preserve">2021-09-28</t>
  </si>
  <si>
    <t xml:space="preserve">OH0015754931</t>
  </si>
  <si>
    <t xml:space="preserve">1935-07-07</t>
  </si>
  <si>
    <t xml:space="preserve">1992-10-05</t>
  </si>
  <si>
    <t xml:space="preserve">960 HOLLYWOOD ST NE</t>
  </si>
  <si>
    <t xml:space="preserve">OH0015724725</t>
  </si>
  <si>
    <t xml:space="preserve">JOANN</t>
  </si>
  <si>
    <t xml:space="preserve">1953-08-23</t>
  </si>
  <si>
    <t xml:space="preserve">1988-09-14</t>
  </si>
  <si>
    <t xml:space="preserve">OH0021697601</t>
  </si>
  <si>
    <t xml:space="preserve">CASSANDRA</t>
  </si>
  <si>
    <t xml:space="preserve">1993-12-21</t>
  </si>
  <si>
    <t xml:space="preserve">2016-05-17</t>
  </si>
  <si>
    <t xml:space="preserve">978 HOLLYWOOD ST NE</t>
  </si>
  <si>
    <t xml:space="preserve">OH0027302795</t>
  </si>
  <si>
    <t xml:space="preserve">MILENDER</t>
  </si>
  <si>
    <t xml:space="preserve">MELEENA</t>
  </si>
  <si>
    <t xml:space="preserve">MONE</t>
  </si>
  <si>
    <t xml:space="preserve">2006-03-24</t>
  </si>
  <si>
    <t xml:space="preserve">2024-04-03</t>
  </si>
  <si>
    <t xml:space="preserve">OH0019678242</t>
  </si>
  <si>
    <t xml:space="preserve">KERCHOFER</t>
  </si>
  <si>
    <t xml:space="preserve">1967-02-04</t>
  </si>
  <si>
    <t xml:space="preserve">988 HOLLYWOOD ST NE</t>
  </si>
  <si>
    <t xml:space="preserve">OH0019196509</t>
  </si>
  <si>
    <t xml:space="preserve">ANDREWS</t>
  </si>
  <si>
    <t xml:space="preserve">1987-11-24</t>
  </si>
  <si>
    <t xml:space="preserve">130 IDYLWILD ST NE</t>
  </si>
  <si>
    <t xml:space="preserve">OH0026181090</t>
  </si>
  <si>
    <t xml:space="preserve">CRUM</t>
  </si>
  <si>
    <t xml:space="preserve">1970-09-20</t>
  </si>
  <si>
    <t xml:space="preserve">2021-05-01</t>
  </si>
  <si>
    <t xml:space="preserve">132 IDYLWILD ST NE</t>
  </si>
  <si>
    <t xml:space="preserve">OH0023335557</t>
  </si>
  <si>
    <t xml:space="preserve">CARLO</t>
  </si>
  <si>
    <t xml:space="preserve">1964-04-24</t>
  </si>
  <si>
    <t xml:space="preserve">162 IDYLWILD ST NE</t>
  </si>
  <si>
    <t xml:space="preserve">OH0024344762</t>
  </si>
  <si>
    <t xml:space="preserve">BREWTON</t>
  </si>
  <si>
    <t xml:space="preserve">SHARONDA</t>
  </si>
  <si>
    <t xml:space="preserve">SHENELLE</t>
  </si>
  <si>
    <t xml:space="preserve">1983-06-01</t>
  </si>
  <si>
    <t xml:space="preserve">2017-09-25</t>
  </si>
  <si>
    <t xml:space="preserve">163 IDYLWILD ST NE</t>
  </si>
  <si>
    <t xml:space="preserve">OH0023486912</t>
  </si>
  <si>
    <t xml:space="preserve">2017-08-15</t>
  </si>
  <si>
    <t xml:space="preserve">OH0023486911</t>
  </si>
  <si>
    <t xml:space="preserve">OWSLEY</t>
  </si>
  <si>
    <t xml:space="preserve">FYNN</t>
  </si>
  <si>
    <t xml:space="preserve">1998-04-16</t>
  </si>
  <si>
    <t xml:space="preserve">OH0027456585</t>
  </si>
  <si>
    <t xml:space="preserve">CEPHUS</t>
  </si>
  <si>
    <t xml:space="preserve">1986-11-05</t>
  </si>
  <si>
    <t xml:space="preserve">170 IDYLWILD ST NE</t>
  </si>
  <si>
    <t xml:space="preserve">OH0026764077</t>
  </si>
  <si>
    <t xml:space="preserve">FITZGERALD</t>
  </si>
  <si>
    <t xml:space="preserve">SEAN</t>
  </si>
  <si>
    <t xml:space="preserve">MYKAL</t>
  </si>
  <si>
    <t xml:space="preserve">1987-02-01</t>
  </si>
  <si>
    <t xml:space="preserve">2022-10-19</t>
  </si>
  <si>
    <t xml:space="preserve">OH0015821301</t>
  </si>
  <si>
    <t xml:space="preserve">FREEMAN</t>
  </si>
  <si>
    <t xml:space="preserve">SHARINA</t>
  </si>
  <si>
    <t xml:space="preserve">1985-07-11</t>
  </si>
  <si>
    <t xml:space="preserve">2022-07-15</t>
  </si>
  <si>
    <t xml:space="preserve">OH0022111211</t>
  </si>
  <si>
    <t xml:space="preserve">MATOS</t>
  </si>
  <si>
    <t xml:space="preserve">1993-02-20</t>
  </si>
  <si>
    <t xml:space="preserve">2023-10-05</t>
  </si>
  <si>
    <t xml:space="preserve">179 IDYLWILD ST NE</t>
  </si>
  <si>
    <t xml:space="preserve">OH0022111264</t>
  </si>
  <si>
    <t xml:space="preserve">MIGUEL</t>
  </si>
  <si>
    <t xml:space="preserve">1985-11-19</t>
  </si>
  <si>
    <t xml:space="preserve">OH0019693691</t>
  </si>
  <si>
    <t xml:space="preserve">SALEM</t>
  </si>
  <si>
    <t xml:space="preserve">2019-03-21</t>
  </si>
  <si>
    <t xml:space="preserve">186 IDYLWILD ST NE</t>
  </si>
  <si>
    <t xml:space="preserve">OH0022529025</t>
  </si>
  <si>
    <t xml:space="preserve">1976-07-23</t>
  </si>
  <si>
    <t xml:space="preserve">2016-07-31</t>
  </si>
  <si>
    <t xml:space="preserve">187 IDYLWILD ST NE</t>
  </si>
  <si>
    <t xml:space="preserve">OH0015763182</t>
  </si>
  <si>
    <t xml:space="preserve">1960-05-08</t>
  </si>
  <si>
    <t xml:space="preserve">OH0022830347</t>
  </si>
  <si>
    <t xml:space="preserve">JODIE</t>
  </si>
  <si>
    <t xml:space="preserve">1983-07-07</t>
  </si>
  <si>
    <t xml:space="preserve">202 IDYLWILD ST NE</t>
  </si>
  <si>
    <t xml:space="preserve">OH0027246942</t>
  </si>
  <si>
    <t xml:space="preserve">MAKYAH</t>
  </si>
  <si>
    <t xml:space="preserve">2006-04-08</t>
  </si>
  <si>
    <t xml:space="preserve">OH0018794099</t>
  </si>
  <si>
    <t xml:space="preserve">1958-08-09</t>
  </si>
  <si>
    <t xml:space="preserve">OH0025381411</t>
  </si>
  <si>
    <t xml:space="preserve">GRAY</t>
  </si>
  <si>
    <t xml:space="preserve">1998-04-25</t>
  </si>
  <si>
    <t xml:space="preserve">2019-12-10</t>
  </si>
  <si>
    <t xml:space="preserve">210 IDYLWILD ST NE</t>
  </si>
  <si>
    <t xml:space="preserve">OH0025536897</t>
  </si>
  <si>
    <t xml:space="preserve">ZALICK</t>
  </si>
  <si>
    <t xml:space="preserve">1995-04-17</t>
  </si>
  <si>
    <t xml:space="preserve">2023-09-01</t>
  </si>
  <si>
    <t xml:space="preserve">219 IDYLWILD ST NE</t>
  </si>
  <si>
    <t xml:space="preserve">OH0024891359</t>
  </si>
  <si>
    <t xml:space="preserve">KHIRY</t>
  </si>
  <si>
    <t xml:space="preserve">1992-10-10</t>
  </si>
  <si>
    <t xml:space="preserve">2018-09-28</t>
  </si>
  <si>
    <t xml:space="preserve">224 IDYLWILD ST NE</t>
  </si>
  <si>
    <t xml:space="preserve">OH0015729281</t>
  </si>
  <si>
    <t xml:space="preserve">EDGERSON</t>
  </si>
  <si>
    <t xml:space="preserve">DEAUDRA</t>
  </si>
  <si>
    <t xml:space="preserve">1985-04-09</t>
  </si>
  <si>
    <t xml:space="preserve">226 IDYLWILD ST NE</t>
  </si>
  <si>
    <t xml:space="preserve">OH0024649057</t>
  </si>
  <si>
    <t xml:space="preserve">GASTON</t>
  </si>
  <si>
    <t xml:space="preserve">DEASHA</t>
  </si>
  <si>
    <t xml:space="preserve">2018-05-31</t>
  </si>
  <si>
    <t xml:space="preserve">OH0027383882</t>
  </si>
  <si>
    <t xml:space="preserve">TALBERT</t>
  </si>
  <si>
    <t xml:space="preserve">RAIONNA</t>
  </si>
  <si>
    <t xml:space="preserve">LAVONNE</t>
  </si>
  <si>
    <t xml:space="preserve">2000-05-15</t>
  </si>
  <si>
    <t xml:space="preserve">2024-06-14</t>
  </si>
  <si>
    <t xml:space="preserve">227 IDYLWILD ST NE</t>
  </si>
  <si>
    <t xml:space="preserve">OH0021934751</t>
  </si>
  <si>
    <t xml:space="preserve">ARIEL</t>
  </si>
  <si>
    <t xml:space="preserve">1992-01-16</t>
  </si>
  <si>
    <t xml:space="preserve">234 IDYLWILD ST NE</t>
  </si>
  <si>
    <t xml:space="preserve">OH0015760164</t>
  </si>
  <si>
    <t xml:space="preserve">1958-03-03</t>
  </si>
  <si>
    <t xml:space="preserve">2014-03-26</t>
  </si>
  <si>
    <t xml:space="preserve">OH0019536673</t>
  </si>
  <si>
    <t xml:space="preserve">1988-05-24</t>
  </si>
  <si>
    <t xml:space="preserve">OH0018597757</t>
  </si>
  <si>
    <t xml:space="preserve">SHAIZETTE</t>
  </si>
  <si>
    <t xml:space="preserve">1974-12-09</t>
  </si>
  <si>
    <t xml:space="preserve">2023-06-06</t>
  </si>
  <si>
    <t xml:space="preserve">249 IDYLWILD ST NE</t>
  </si>
  <si>
    <t xml:space="preserve">OH0015696903</t>
  </si>
  <si>
    <t xml:space="preserve">1948-08-09</t>
  </si>
  <si>
    <t xml:space="preserve">250 IDYLWILD ST NE</t>
  </si>
  <si>
    <t xml:space="preserve">OH0015790075</t>
  </si>
  <si>
    <t xml:space="preserve">1945-08-18</t>
  </si>
  <si>
    <t xml:space="preserve">OH0021851971</t>
  </si>
  <si>
    <t xml:space="preserve">SIMPSON</t>
  </si>
  <si>
    <t xml:space="preserve">1987-03-29</t>
  </si>
  <si>
    <t xml:space="preserve">2023-03-29</t>
  </si>
  <si>
    <t xml:space="preserve">256 IDYLWILD ST NE</t>
  </si>
  <si>
    <t xml:space="preserve">OH0015812730</t>
  </si>
  <si>
    <t xml:space="preserve">HUMPHREY</t>
  </si>
  <si>
    <t xml:space="preserve">1965-08-26</t>
  </si>
  <si>
    <t xml:space="preserve">2016-05-02</t>
  </si>
  <si>
    <t xml:space="preserve">OH0026571145</t>
  </si>
  <si>
    <t xml:space="preserve">TALEER</t>
  </si>
  <si>
    <t xml:space="preserve">ARMORE</t>
  </si>
  <si>
    <t xml:space="preserve">1993-07-10</t>
  </si>
  <si>
    <t xml:space="preserve">2022-07-20</t>
  </si>
  <si>
    <t xml:space="preserve">265 IDYLWILD ST NE</t>
  </si>
  <si>
    <t xml:space="preserve">OH0027017461</t>
  </si>
  <si>
    <t xml:space="preserve">KIYVETTA</t>
  </si>
  <si>
    <t xml:space="preserve">2000-01-09</t>
  </si>
  <si>
    <t xml:space="preserve">OH0015766080</t>
  </si>
  <si>
    <t xml:space="preserve">SCRIVENS</t>
  </si>
  <si>
    <t xml:space="preserve">TAMARA</t>
  </si>
  <si>
    <t xml:space="preserve">1971-08-22</t>
  </si>
  <si>
    <t xml:space="preserve">2008-09-25</t>
  </si>
  <si>
    <t xml:space="preserve">273 IDYLWILD ST NE</t>
  </si>
  <si>
    <t xml:space="preserve">OH0020206843</t>
  </si>
  <si>
    <t xml:space="preserve">ALONZO</t>
  </si>
  <si>
    <t xml:space="preserve">1970-04-22</t>
  </si>
  <si>
    <t xml:space="preserve">OH0015759326</t>
  </si>
  <si>
    <t xml:space="preserve">1986-08-20</t>
  </si>
  <si>
    <t xml:space="preserve">281 IDYLWILD ST NE</t>
  </si>
  <si>
    <t xml:space="preserve">OH0024229415</t>
  </si>
  <si>
    <t xml:space="preserve">1986-09-09</t>
  </si>
  <si>
    <t xml:space="preserve">2017-02-15</t>
  </si>
  <si>
    <t xml:space="preserve">OH0023248517</t>
  </si>
  <si>
    <t xml:space="preserve">BARTON</t>
  </si>
  <si>
    <t xml:space="preserve">1997-04-25</t>
  </si>
  <si>
    <t xml:space="preserve">2020-07-01</t>
  </si>
  <si>
    <t xml:space="preserve">296 IDYLWILD ST NE</t>
  </si>
  <si>
    <t xml:space="preserve">OH0024850195</t>
  </si>
  <si>
    <t xml:space="preserve">1968-10-14</t>
  </si>
  <si>
    <t xml:space="preserve">2023-10-09</t>
  </si>
  <si>
    <t xml:space="preserve">304 IDYLWILD ST NE</t>
  </si>
  <si>
    <t xml:space="preserve">OH0015729257</t>
  </si>
  <si>
    <t xml:space="preserve">1956-11-10</t>
  </si>
  <si>
    <t xml:space="preserve">2020-05-18</t>
  </si>
  <si>
    <t xml:space="preserve">312 IDYLWILD ST NE</t>
  </si>
  <si>
    <t xml:space="preserve">OH0026855101</t>
  </si>
  <si>
    <t xml:space="preserve">CONLEY</t>
  </si>
  <si>
    <t xml:space="preserve">JAYLYNN</t>
  </si>
  <si>
    <t xml:space="preserve">2005-10-01</t>
  </si>
  <si>
    <t xml:space="preserve">2023-03-31</t>
  </si>
  <si>
    <t xml:space="preserve">313 IDYLWILD ST NE</t>
  </si>
  <si>
    <t xml:space="preserve">OH0015703244</t>
  </si>
  <si>
    <t xml:space="preserve">NADINE</t>
  </si>
  <si>
    <t xml:space="preserve">1954-09-21</t>
  </si>
  <si>
    <t xml:space="preserve">404 IDYLWILD ST NE</t>
  </si>
  <si>
    <t xml:space="preserve">PO BOX 1925</t>
  </si>
  <si>
    <t xml:space="preserve">OH0015758983</t>
  </si>
  <si>
    <t xml:space="preserve">COMBS</t>
  </si>
  <si>
    <t xml:space="preserve">NATHANIEL</t>
  </si>
  <si>
    <t xml:space="preserve">1956-10-30</t>
  </si>
  <si>
    <t xml:space="preserve">OH0015755554</t>
  </si>
  <si>
    <t xml:space="preserve">MORMON</t>
  </si>
  <si>
    <t xml:space="preserve">1958-10-07</t>
  </si>
  <si>
    <t xml:space="preserve">412 IDYLWILD ST NE</t>
  </si>
  <si>
    <t xml:space="preserve">OH0015804838</t>
  </si>
  <si>
    <t xml:space="preserve">1979-11-28</t>
  </si>
  <si>
    <t xml:space="preserve">2020-07-23</t>
  </si>
  <si>
    <t xml:space="preserve">415 IDYLWILD ST NE</t>
  </si>
  <si>
    <t xml:space="preserve">OH0023484135</t>
  </si>
  <si>
    <t xml:space="preserve">JAONNA</t>
  </si>
  <si>
    <t xml:space="preserve">1998-05-14</t>
  </si>
  <si>
    <t xml:space="preserve">437 IDYLWILD ST NE</t>
  </si>
  <si>
    <t xml:space="preserve">OH0015778366</t>
  </si>
  <si>
    <t xml:space="preserve">RATHBUN</t>
  </si>
  <si>
    <t xml:space="preserve">1946-04-01</t>
  </si>
  <si>
    <t xml:space="preserve">453 IDYLWILD ST NE</t>
  </si>
  <si>
    <t xml:space="preserve">OH0026420979</t>
  </si>
  <si>
    <t xml:space="preserve">BUXTON</t>
  </si>
  <si>
    <t xml:space="preserve">1969-09-10</t>
  </si>
  <si>
    <t xml:space="preserve">132 IDYLWILD ST NW</t>
  </si>
  <si>
    <t xml:space="preserve">OH0025119093</t>
  </si>
  <si>
    <t xml:space="preserve">OH0020371603</t>
  </si>
  <si>
    <t xml:space="preserve">MCFADDEN GANNON</t>
  </si>
  <si>
    <t xml:space="preserve">1946-12-08</t>
  </si>
  <si>
    <t xml:space="preserve">2020-08-23</t>
  </si>
  <si>
    <t xml:space="preserve">141 IDYLWILD ST NW</t>
  </si>
  <si>
    <t xml:space="preserve">OH0026419418</t>
  </si>
  <si>
    <t xml:space="preserve">BARNET</t>
  </si>
  <si>
    <t xml:space="preserve">1993-11-06</t>
  </si>
  <si>
    <t xml:space="preserve">2022-02-23</t>
  </si>
  <si>
    <t xml:space="preserve">150 IDYLWILD ST NW</t>
  </si>
  <si>
    <t xml:space="preserve">OH0027347824</t>
  </si>
  <si>
    <t xml:space="preserve">ROMESBURG</t>
  </si>
  <si>
    <t xml:space="preserve">1963-10-09</t>
  </si>
  <si>
    <t xml:space="preserve">2024-05-17</t>
  </si>
  <si>
    <t xml:space="preserve">OH0015772053</t>
  </si>
  <si>
    <t xml:space="preserve">PRYCHODNIK</t>
  </si>
  <si>
    <t xml:space="preserve">1978-10-16</t>
  </si>
  <si>
    <t xml:space="preserve">2014-08-22</t>
  </si>
  <si>
    <t xml:space="preserve">160 IDYLWILD ST NW</t>
  </si>
  <si>
    <t xml:space="preserve">OH0025716096</t>
  </si>
  <si>
    <t xml:space="preserve">BLASENS</t>
  </si>
  <si>
    <t xml:space="preserve">JANET</t>
  </si>
  <si>
    <t xml:space="preserve">1965-07-02</t>
  </si>
  <si>
    <t xml:space="preserve">2020-08-20</t>
  </si>
  <si>
    <t xml:space="preserve">OH0027233419</t>
  </si>
  <si>
    <t xml:space="preserve">GREEN</t>
  </si>
  <si>
    <t xml:space="preserve">CHERISH</t>
  </si>
  <si>
    <t xml:space="preserve">CHIANTI</t>
  </si>
  <si>
    <t xml:space="preserve">2006-02-23</t>
  </si>
  <si>
    <t xml:space="preserve">2024-02-02</t>
  </si>
  <si>
    <t xml:space="preserve">170 IDYLWILD ST NW</t>
  </si>
  <si>
    <t xml:space="preserve">OH0015707265</t>
  </si>
  <si>
    <t xml:space="preserve">CHERI</t>
  </si>
  <si>
    <t xml:space="preserve">1983-07-17</t>
  </si>
  <si>
    <t xml:space="preserve">2023-06-23</t>
  </si>
  <si>
    <t xml:space="preserve">PO BOX 3552</t>
  </si>
  <si>
    <t xml:space="preserve">OH0023354180</t>
  </si>
  <si>
    <t xml:space="preserve">BERNADINE</t>
  </si>
  <si>
    <t xml:space="preserve">1979-08-10</t>
  </si>
  <si>
    <t xml:space="preserve">2016-02-02</t>
  </si>
  <si>
    <t xml:space="preserve">OH0015713117</t>
  </si>
  <si>
    <t xml:space="preserve">SHEILA</t>
  </si>
  <si>
    <t xml:space="preserve">1957-09-28</t>
  </si>
  <si>
    <t xml:space="preserve">2008-09-29</t>
  </si>
  <si>
    <t xml:space="preserve">180 IDYLWILD ST NW</t>
  </si>
  <si>
    <t xml:space="preserve">OH0026654949</t>
  </si>
  <si>
    <t xml:space="preserve">JAMARIONA</t>
  </si>
  <si>
    <t xml:space="preserve">2004-03-13</t>
  </si>
  <si>
    <t xml:space="preserve">2022-09-23</t>
  </si>
  <si>
    <t xml:space="preserve">190 IDYLWILD ST NW</t>
  </si>
  <si>
    <t xml:space="preserve">OH0025720637</t>
  </si>
  <si>
    <t xml:space="preserve">1967-11-18</t>
  </si>
  <si>
    <t xml:space="preserve">2020-08-22</t>
  </si>
  <si>
    <t xml:space="preserve">193 IDYLWILD ST NW</t>
  </si>
  <si>
    <t xml:space="preserve">OH0024974892</t>
  </si>
  <si>
    <t xml:space="preserve">CURRIE</t>
  </si>
  <si>
    <t xml:space="preserve">1968-01-01</t>
  </si>
  <si>
    <t xml:space="preserve">OH0025101077</t>
  </si>
  <si>
    <t xml:space="preserve">EAKEN</t>
  </si>
  <si>
    <t xml:space="preserve">1989-05-31</t>
  </si>
  <si>
    <t xml:space="preserve">2020-10-16</t>
  </si>
  <si>
    <t xml:space="preserve">OH0019359696</t>
  </si>
  <si>
    <t xml:space="preserve">CALDERON</t>
  </si>
  <si>
    <t xml:space="preserve">VICTOR</t>
  </si>
  <si>
    <t xml:space="preserve">1978-01-10</t>
  </si>
  <si>
    <t xml:space="preserve">OH0020887212</t>
  </si>
  <si>
    <t xml:space="preserve">MAKO</t>
  </si>
  <si>
    <t xml:space="preserve">M E</t>
  </si>
  <si>
    <t xml:space="preserve">1973-03-22</t>
  </si>
  <si>
    <t xml:space="preserve">2022-05-23</t>
  </si>
  <si>
    <t xml:space="preserve">200 IDYLWILD ST NW</t>
  </si>
  <si>
    <t xml:space="preserve">OH0015697097</t>
  </si>
  <si>
    <t xml:space="preserve">1964-03-09</t>
  </si>
  <si>
    <t xml:space="preserve">226 IDYLWILD ST NW</t>
  </si>
  <si>
    <t xml:space="preserve">OH0021515085</t>
  </si>
  <si>
    <t xml:space="preserve">KLINTZ</t>
  </si>
  <si>
    <t xml:space="preserve">HORST</t>
  </si>
  <si>
    <t xml:space="preserve">1938-06-03</t>
  </si>
  <si>
    <t xml:space="preserve">2011-08-09</t>
  </si>
  <si>
    <t xml:space="preserve">305 IDYLWILD ST NW</t>
  </si>
  <si>
    <t xml:space="preserve">OH0015703080</t>
  </si>
  <si>
    <t xml:space="preserve">HOLUPKA</t>
  </si>
  <si>
    <t xml:space="preserve">1937-04-26</t>
  </si>
  <si>
    <t xml:space="preserve">2007-04-14</t>
  </si>
  <si>
    <t xml:space="preserve">315 IDYLWILD ST NW</t>
  </si>
  <si>
    <t xml:space="preserve">OH0015747053</t>
  </si>
  <si>
    <t xml:space="preserve">LARICCIA</t>
  </si>
  <si>
    <t xml:space="preserve">1970-09-18</t>
  </si>
  <si>
    <t xml:space="preserve">2025-06-02</t>
  </si>
  <si>
    <t xml:space="preserve">OH0026132033</t>
  </si>
  <si>
    <t xml:space="preserve">MAUERMAN</t>
  </si>
  <si>
    <t xml:space="preserve">EVAN</t>
  </si>
  <si>
    <t xml:space="preserve">1994-07-22</t>
  </si>
  <si>
    <t xml:space="preserve">450 IDYLWILD ST NW</t>
  </si>
  <si>
    <t xml:space="preserve">OH0025110459</t>
  </si>
  <si>
    <t xml:space="preserve">2001-09-02</t>
  </si>
  <si>
    <t xml:space="preserve">OH0021376649</t>
  </si>
  <si>
    <t xml:space="preserve">1980-12-24</t>
  </si>
  <si>
    <t xml:space="preserve">OH0018885061</t>
  </si>
  <si>
    <t xml:space="preserve">BREESE</t>
  </si>
  <si>
    <t xml:space="preserve">ALLISON</t>
  </si>
  <si>
    <t xml:space="preserve">1958-12-17</t>
  </si>
  <si>
    <t xml:space="preserve">2011-12-07</t>
  </si>
  <si>
    <t xml:space="preserve">508 IDYLWILD ST NW</t>
  </si>
  <si>
    <t xml:space="preserve">OH0018896621</t>
  </si>
  <si>
    <t xml:space="preserve">1956-09-22</t>
  </si>
  <si>
    <t xml:space="preserve">2012-03-06</t>
  </si>
  <si>
    <t xml:space="preserve">OH0018885065</t>
  </si>
  <si>
    <t xml:space="preserve">1987-01-21</t>
  </si>
  <si>
    <t xml:space="preserve">OH0019528328</t>
  </si>
  <si>
    <t xml:space="preserve">SLATER</t>
  </si>
  <si>
    <t xml:space="preserve">1990-04-11</t>
  </si>
  <si>
    <t xml:space="preserve">509 IDYLWILD ST NW</t>
  </si>
  <si>
    <t xml:space="preserve">OH0015699078</t>
  </si>
  <si>
    <t xml:space="preserve">1965-02-22</t>
  </si>
  <si>
    <t xml:space="preserve">521 IDYLWILD ST NW</t>
  </si>
  <si>
    <t xml:space="preserve">OH0015722980</t>
  </si>
  <si>
    <t xml:space="preserve">1967-05-09</t>
  </si>
  <si>
    <t xml:space="preserve">OH0015717966</t>
  </si>
  <si>
    <t xml:space="preserve">POHLOD</t>
  </si>
  <si>
    <t xml:space="preserve">1960-12-30</t>
  </si>
  <si>
    <t xml:space="preserve">546 IDYLWILD ST NW</t>
  </si>
  <si>
    <t xml:space="preserve">OH0022340133</t>
  </si>
  <si>
    <t xml:space="preserve">1964-09-23</t>
  </si>
  <si>
    <t xml:space="preserve">560 IDYLWILD ST NW</t>
  </si>
  <si>
    <t xml:space="preserve">OH0015791087</t>
  </si>
  <si>
    <t xml:space="preserve">1959-06-12</t>
  </si>
  <si>
    <t xml:space="preserve">1977-11-08</t>
  </si>
  <si>
    <t xml:space="preserve">140 IVANHOE ST NE</t>
  </si>
  <si>
    <t xml:space="preserve">OH0023643690</t>
  </si>
  <si>
    <t xml:space="preserve">1980-10-04</t>
  </si>
  <si>
    <t xml:space="preserve">2023-06-30</t>
  </si>
  <si>
    <t xml:space="preserve">145 IVANHOE ST NE</t>
  </si>
  <si>
    <t xml:space="preserve">OH0027496068</t>
  </si>
  <si>
    <t xml:space="preserve">LARUE</t>
  </si>
  <si>
    <t xml:space="preserve">1977-03-02</t>
  </si>
  <si>
    <t xml:space="preserve">OH0015741720</t>
  </si>
  <si>
    <t xml:space="preserve">1945-07-09</t>
  </si>
  <si>
    <t xml:space="preserve">2015-06-29</t>
  </si>
  <si>
    <t xml:space="preserve">160 IVANHOE ST NE</t>
  </si>
  <si>
    <t xml:space="preserve">OH0015787666</t>
  </si>
  <si>
    <t xml:space="preserve">NORMAN</t>
  </si>
  <si>
    <t xml:space="preserve">1947-01-31</t>
  </si>
  <si>
    <t xml:space="preserve">OH0015746830</t>
  </si>
  <si>
    <t xml:space="preserve">1960-08-16</t>
  </si>
  <si>
    <t xml:space="preserve">180 IVANHOE ST NE</t>
  </si>
  <si>
    <t xml:space="preserve">OH0015788999</t>
  </si>
  <si>
    <t xml:space="preserve">1934-12-25</t>
  </si>
  <si>
    <t xml:space="preserve">1960-09-20</t>
  </si>
  <si>
    <t xml:space="preserve">188 IVANHOE ST NE</t>
  </si>
  <si>
    <t xml:space="preserve">OH0015789009</t>
  </si>
  <si>
    <t xml:space="preserve">1938-01-03</t>
  </si>
  <si>
    <t xml:space="preserve">1961-09-20</t>
  </si>
  <si>
    <t xml:space="preserve">OH0026541375</t>
  </si>
  <si>
    <t xml:space="preserve">2022-06-29</t>
  </si>
  <si>
    <t xml:space="preserve">404 IVANHOE ST NE</t>
  </si>
  <si>
    <t xml:space="preserve">OH0022823679</t>
  </si>
  <si>
    <t xml:space="preserve">ABEL</t>
  </si>
  <si>
    <t xml:space="preserve">1969-01-02</t>
  </si>
  <si>
    <t xml:space="preserve">2019-08-23</t>
  </si>
  <si>
    <t xml:space="preserve">OH0025156711</t>
  </si>
  <si>
    <t xml:space="preserve">1993-05-20</t>
  </si>
  <si>
    <t xml:space="preserve">2019-08-01</t>
  </si>
  <si>
    <t xml:space="preserve">414 IVANHOE ST NE</t>
  </si>
  <si>
    <t xml:space="preserve">OH0015965028</t>
  </si>
  <si>
    <t xml:space="preserve">FITZPATRICK</t>
  </si>
  <si>
    <t xml:space="preserve">1957-07-01</t>
  </si>
  <si>
    <t xml:space="preserve">2020-06-27</t>
  </si>
  <si>
    <t xml:space="preserve">426 IVANHOE ST NE</t>
  </si>
  <si>
    <t xml:space="preserve">OH0015732034</t>
  </si>
  <si>
    <t xml:space="preserve">MARUCA</t>
  </si>
  <si>
    <t xml:space="preserve">1971-11-10</t>
  </si>
  <si>
    <t xml:space="preserve">466 IVANHOE ST NE</t>
  </si>
  <si>
    <t xml:space="preserve">OH0026593449</t>
  </si>
  <si>
    <t xml:space="preserve">HURST</t>
  </si>
  <si>
    <t xml:space="preserve">1954-07-27</t>
  </si>
  <si>
    <t xml:space="preserve">2022-07-08</t>
  </si>
  <si>
    <t xml:space="preserve">540 IVANHOE ST NE</t>
  </si>
  <si>
    <t xml:space="preserve">OH0018881345</t>
  </si>
  <si>
    <t xml:space="preserve">EWING</t>
  </si>
  <si>
    <t xml:space="preserve">1976-10-04</t>
  </si>
  <si>
    <t xml:space="preserve">2018-11-06</t>
  </si>
  <si>
    <t xml:space="preserve">2325 JESSE AVE NE</t>
  </si>
  <si>
    <t xml:space="preserve">OH0015718884</t>
  </si>
  <si>
    <t xml:space="preserve">MCKINNEY</t>
  </si>
  <si>
    <t xml:space="preserve">CHARITY</t>
  </si>
  <si>
    <t xml:space="preserve">1967-08-16</t>
  </si>
  <si>
    <t xml:space="preserve">1987-07-04</t>
  </si>
  <si>
    <t xml:space="preserve">608 KINSMAN ST NW</t>
  </si>
  <si>
    <t xml:space="preserve">OH0015747863</t>
  </si>
  <si>
    <t xml:space="preserve">1965-12-22</t>
  </si>
  <si>
    <t xml:space="preserve">OH0015745934</t>
  </si>
  <si>
    <t xml:space="preserve">MEHLENBACHER</t>
  </si>
  <si>
    <t xml:space="preserve">1941-01-29</t>
  </si>
  <si>
    <t xml:space="preserve">1992-01-28</t>
  </si>
  <si>
    <t xml:space="preserve">619 KINSMAN ST NW</t>
  </si>
  <si>
    <t xml:space="preserve">OH0015752717</t>
  </si>
  <si>
    <t xml:space="preserve">SARDICH</t>
  </si>
  <si>
    <t xml:space="preserve">2023-03-09</t>
  </si>
  <si>
    <t xml:space="preserve">628 KINSMAN ST NW</t>
  </si>
  <si>
    <t xml:space="preserve">OH0015691988</t>
  </si>
  <si>
    <t xml:space="preserve">BLAINE</t>
  </si>
  <si>
    <t xml:space="preserve">1946-11-14</t>
  </si>
  <si>
    <t xml:space="preserve">1981-10-01</t>
  </si>
  <si>
    <t xml:space="preserve">629 KINSMAN ST NW</t>
  </si>
  <si>
    <t xml:space="preserve">OH0015742461</t>
  </si>
  <si>
    <t xml:space="preserve">BRANDY</t>
  </si>
  <si>
    <t xml:space="preserve">1973-07-23</t>
  </si>
  <si>
    <t xml:space="preserve">1991-07-24</t>
  </si>
  <si>
    <t xml:space="preserve">OH0023760285</t>
  </si>
  <si>
    <t xml:space="preserve">1987-06-26</t>
  </si>
  <si>
    <t xml:space="preserve">637 KINSMAN ST NW</t>
  </si>
  <si>
    <t xml:space="preserve">OH0015823442</t>
  </si>
  <si>
    <t xml:space="preserve">STEELE</t>
  </si>
  <si>
    <t xml:space="preserve">1961-02-19</t>
  </si>
  <si>
    <t xml:space="preserve">1999-03-27</t>
  </si>
  <si>
    <t xml:space="preserve">638 KINSMAN ST NW</t>
  </si>
  <si>
    <t xml:space="preserve">OH0022670696</t>
  </si>
  <si>
    <t xml:space="preserve">BARTHOLOMEW</t>
  </si>
  <si>
    <t xml:space="preserve">2016-05-18</t>
  </si>
  <si>
    <t xml:space="preserve">645 KINSMAN ST NW</t>
  </si>
  <si>
    <t xml:space="preserve">OH0015751527</t>
  </si>
  <si>
    <t xml:space="preserve">1970-03-10</t>
  </si>
  <si>
    <t xml:space="preserve">1992-08-21</t>
  </si>
  <si>
    <t xml:space="preserve">OH0015754388</t>
  </si>
  <si>
    <t xml:space="preserve">EVE</t>
  </si>
  <si>
    <t xml:space="preserve">1971-06-07</t>
  </si>
  <si>
    <t xml:space="preserve">OH0022847787</t>
  </si>
  <si>
    <t xml:space="preserve">FRITCH</t>
  </si>
  <si>
    <t xml:space="preserve">EMILIE</t>
  </si>
  <si>
    <t xml:space="preserve">MAREE</t>
  </si>
  <si>
    <t xml:space="preserve">1996-06-26</t>
  </si>
  <si>
    <t xml:space="preserve">653 KINSMAN ST NW</t>
  </si>
  <si>
    <t xml:space="preserve">OH0015784690</t>
  </si>
  <si>
    <t xml:space="preserve">SHIPLEY</t>
  </si>
  <si>
    <t xml:space="preserve">CLAIRE</t>
  </si>
  <si>
    <t xml:space="preserve">1930-11-08</t>
  </si>
  <si>
    <t xml:space="preserve">2015-07-04</t>
  </si>
  <si>
    <t xml:space="preserve">654 KINSMAN ST NW</t>
  </si>
  <si>
    <t xml:space="preserve">OH0024643503</t>
  </si>
  <si>
    <t xml:space="preserve">KASZOWSKI</t>
  </si>
  <si>
    <t xml:space="preserve">1988-11-10</t>
  </si>
  <si>
    <t xml:space="preserve">662 KINSMAN ST NW</t>
  </si>
  <si>
    <t xml:space="preserve">OH0015688105</t>
  </si>
  <si>
    <t xml:space="preserve">1953-10-25</t>
  </si>
  <si>
    <t xml:space="preserve">2015-06-23</t>
  </si>
  <si>
    <t xml:space="preserve">663 KINSMAN ST NW</t>
  </si>
  <si>
    <t xml:space="preserve">OH0015688106</t>
  </si>
  <si>
    <t xml:space="preserve">OH0026437471</t>
  </si>
  <si>
    <t xml:space="preserve">SIDDIQ</t>
  </si>
  <si>
    <t xml:space="preserve">2003-07-06</t>
  </si>
  <si>
    <t xml:space="preserve">671 KINSMAN ST NW</t>
  </si>
  <si>
    <t xml:space="preserve">OH0015818874</t>
  </si>
  <si>
    <t xml:space="preserve">TICARRA</t>
  </si>
  <si>
    <t xml:space="preserve">1984-03-06</t>
  </si>
  <si>
    <t xml:space="preserve">OH0015690650</t>
  </si>
  <si>
    <t xml:space="preserve">CULLISON</t>
  </si>
  <si>
    <t xml:space="preserve">1959-05-03</t>
  </si>
  <si>
    <t xml:space="preserve">678 KINSMAN ST NW</t>
  </si>
  <si>
    <t xml:space="preserve">OH0015684750</t>
  </si>
  <si>
    <t xml:space="preserve">1982-06-07</t>
  </si>
  <si>
    <t xml:space="preserve">2006-05-17</t>
  </si>
  <si>
    <t xml:space="preserve">681 KINSMAN ST NW</t>
  </si>
  <si>
    <t xml:space="preserve">OH0015706811</t>
  </si>
  <si>
    <t xml:space="preserve">1982-02-16</t>
  </si>
  <si>
    <t xml:space="preserve">2000-02-02</t>
  </si>
  <si>
    <t xml:space="preserve">OH0027312930</t>
  </si>
  <si>
    <t xml:space="preserve">2006-01-13</t>
  </si>
  <si>
    <t xml:space="preserve">OH0025466223</t>
  </si>
  <si>
    <t xml:space="preserve">ANNANDONO</t>
  </si>
  <si>
    <t xml:space="preserve">MARISSA</t>
  </si>
  <si>
    <t xml:space="preserve">1999-02-12</t>
  </si>
  <si>
    <t xml:space="preserve">688 KINSMAN ST NW</t>
  </si>
  <si>
    <t xml:space="preserve">OH0015817834</t>
  </si>
  <si>
    <t xml:space="preserve">TRACY</t>
  </si>
  <si>
    <t xml:space="preserve">1965-04-25</t>
  </si>
  <si>
    <t xml:space="preserve">OH0015691175</t>
  </si>
  <si>
    <t xml:space="preserve">1963-09-18</t>
  </si>
  <si>
    <t xml:space="preserve">1981-05-04</t>
  </si>
  <si>
    <t xml:space="preserve">OH0026529400</t>
  </si>
  <si>
    <t xml:space="preserve">HOPSON</t>
  </si>
  <si>
    <t xml:space="preserve">1993-05-10</t>
  </si>
  <si>
    <t xml:space="preserve">689 KINSMAN ST NW</t>
  </si>
  <si>
    <t xml:space="preserve">OH0015763725</t>
  </si>
  <si>
    <t xml:space="preserve">CUMBERLEDGE</t>
  </si>
  <si>
    <t xml:space="preserve">697 KINSMAN ST NW</t>
  </si>
  <si>
    <t xml:space="preserve">OH0015714767</t>
  </si>
  <si>
    <t xml:space="preserve">KALLIO</t>
  </si>
  <si>
    <t xml:space="preserve">1967-11-24</t>
  </si>
  <si>
    <t xml:space="preserve">OH0027879764</t>
  </si>
  <si>
    <t xml:space="preserve">MEELY JACKSON</t>
  </si>
  <si>
    <t xml:space="preserve">LASHANDRA</t>
  </si>
  <si>
    <t xml:space="preserve">1979-01-14</t>
  </si>
  <si>
    <t xml:space="preserve">2025-01-14</t>
  </si>
  <si>
    <t xml:space="preserve">705 KINSMAN ST NW</t>
  </si>
  <si>
    <t xml:space="preserve">OH0027789111</t>
  </si>
  <si>
    <t xml:space="preserve">2002-08-04</t>
  </si>
  <si>
    <t xml:space="preserve">OH0026151372</t>
  </si>
  <si>
    <t xml:space="preserve">KEAUNDRA</t>
  </si>
  <si>
    <t xml:space="preserve">TAKAYLA</t>
  </si>
  <si>
    <t xml:space="preserve">2020-12-22</t>
  </si>
  <si>
    <t xml:space="preserve">OH0024336720</t>
  </si>
  <si>
    <t xml:space="preserve">MEELY</t>
  </si>
  <si>
    <t xml:space="preserve">TRENEISHA</t>
  </si>
  <si>
    <t xml:space="preserve">1998-11-03</t>
  </si>
  <si>
    <t xml:space="preserve">OH0025014583</t>
  </si>
  <si>
    <t xml:space="preserve">1978-02-13</t>
  </si>
  <si>
    <t xml:space="preserve">2019-02-13</t>
  </si>
  <si>
    <t xml:space="preserve">OH0027084058</t>
  </si>
  <si>
    <t xml:space="preserve">ELIJAH</t>
  </si>
  <si>
    <t xml:space="preserve">2005-05-12</t>
  </si>
  <si>
    <t xml:space="preserve">2023-09-28</t>
  </si>
  <si>
    <t xml:space="preserve">714 KINSMAN ST NW</t>
  </si>
  <si>
    <t xml:space="preserve">OH0015687698</t>
  </si>
  <si>
    <t xml:space="preserve">RAQUEL</t>
  </si>
  <si>
    <t xml:space="preserve">1982-03-09</t>
  </si>
  <si>
    <t xml:space="preserve">2002-05-16</t>
  </si>
  <si>
    <t xml:space="preserve">OH0015782320</t>
  </si>
  <si>
    <t xml:space="preserve">1981-12-28</t>
  </si>
  <si>
    <t xml:space="preserve">1999-12-07</t>
  </si>
  <si>
    <t xml:space="preserve">OH0026781595</t>
  </si>
  <si>
    <t xml:space="preserve">1995-03-19</t>
  </si>
  <si>
    <t xml:space="preserve">2022-12-28</t>
  </si>
  <si>
    <t xml:space="preserve">715 KINSMAN ST NW</t>
  </si>
  <si>
    <t xml:space="preserve">OH0024646797</t>
  </si>
  <si>
    <t xml:space="preserve">HAYDEN</t>
  </si>
  <si>
    <t xml:space="preserve">RICKEY</t>
  </si>
  <si>
    <t xml:space="preserve">1957-08-29</t>
  </si>
  <si>
    <t xml:space="preserve">OH0027909383</t>
  </si>
  <si>
    <t xml:space="preserve">VAZQUEZ RODRIGUEZ</t>
  </si>
  <si>
    <t xml:space="preserve">GABINO</t>
  </si>
  <si>
    <t xml:space="preserve">2025-03-05</t>
  </si>
  <si>
    <t xml:space="preserve">OH0026809990</t>
  </si>
  <si>
    <t xml:space="preserve">1994-03-05</t>
  </si>
  <si>
    <t xml:space="preserve">2023-02-07</t>
  </si>
  <si>
    <t xml:space="preserve">OH0024292470</t>
  </si>
  <si>
    <t xml:space="preserve">HERAGHTY</t>
  </si>
  <si>
    <t xml:space="preserve">CONOR</t>
  </si>
  <si>
    <t xml:space="preserve">1992-02-05</t>
  </si>
  <si>
    <t xml:space="preserve">2017-04-18</t>
  </si>
  <si>
    <t xml:space="preserve">OH0027929604</t>
  </si>
  <si>
    <t xml:space="preserve">1984-02-29</t>
  </si>
  <si>
    <t xml:space="preserve">2025-03-18</t>
  </si>
  <si>
    <t xml:space="preserve">OH0027892324</t>
  </si>
  <si>
    <t xml:space="preserve">FETTY</t>
  </si>
  <si>
    <t xml:space="preserve">1980-08-02</t>
  </si>
  <si>
    <t xml:space="preserve">2025-01-31</t>
  </si>
  <si>
    <t xml:space="preserve">OH0015760465</t>
  </si>
  <si>
    <t xml:space="preserve">RUSSO</t>
  </si>
  <si>
    <t xml:space="preserve">1984-09-13</t>
  </si>
  <si>
    <t xml:space="preserve">OH0027255650</t>
  </si>
  <si>
    <t xml:space="preserve">GODDARD</t>
  </si>
  <si>
    <t xml:space="preserve">1991-11-05</t>
  </si>
  <si>
    <t xml:space="preserve">2024-02-14</t>
  </si>
  <si>
    <t xml:space="preserve">OH0025845981</t>
  </si>
  <si>
    <t xml:space="preserve">HAINES</t>
  </si>
  <si>
    <t xml:space="preserve">1961-07-29</t>
  </si>
  <si>
    <t xml:space="preserve">2020-09-13</t>
  </si>
  <si>
    <t xml:space="preserve">OH0015768194</t>
  </si>
  <si>
    <t xml:space="preserve">TYNES</t>
  </si>
  <si>
    <t xml:space="preserve">1963-07-24</t>
  </si>
  <si>
    <t xml:space="preserve">2008-02-29</t>
  </si>
  <si>
    <t xml:space="preserve">725 KINSMAN ST NW</t>
  </si>
  <si>
    <t xml:space="preserve">OH0026905202</t>
  </si>
  <si>
    <t xml:space="preserve">MANKOWSKI</t>
  </si>
  <si>
    <t xml:space="preserve">DEBORA</t>
  </si>
  <si>
    <t xml:space="preserve">1973-05-01</t>
  </si>
  <si>
    <t xml:space="preserve">2023-05-05</t>
  </si>
  <si>
    <t xml:space="preserve">734 KINSMAN ST NW</t>
  </si>
  <si>
    <t xml:space="preserve">OH0015812075</t>
  </si>
  <si>
    <t xml:space="preserve">ZANGARA</t>
  </si>
  <si>
    <t xml:space="preserve">1973-08-08</t>
  </si>
  <si>
    <t xml:space="preserve">2014-08-11</t>
  </si>
  <si>
    <t xml:space="preserve">OH0015800537</t>
  </si>
  <si>
    <t xml:space="preserve">LEIS</t>
  </si>
  <si>
    <t xml:space="preserve">1938-09-25</t>
  </si>
  <si>
    <t xml:space="preserve">2000-10-20</t>
  </si>
  <si>
    <t xml:space="preserve">735 KINSMAN ST NW</t>
  </si>
  <si>
    <t xml:space="preserve">OH0015702778</t>
  </si>
  <si>
    <t xml:space="preserve">1954-07-22</t>
  </si>
  <si>
    <t xml:space="preserve">2018-07-14</t>
  </si>
  <si>
    <t xml:space="preserve">744 KINSMAN ST NW</t>
  </si>
  <si>
    <t xml:space="preserve">OH0027531034</t>
  </si>
  <si>
    <t xml:space="preserve">BURRELL</t>
  </si>
  <si>
    <t xml:space="preserve">1991-09-01</t>
  </si>
  <si>
    <t xml:space="preserve">2024-08-14</t>
  </si>
  <si>
    <t xml:space="preserve">745 KINSMAN ST NW</t>
  </si>
  <si>
    <t xml:space="preserve">OH0025452573</t>
  </si>
  <si>
    <t xml:space="preserve">PRITCHARD</t>
  </si>
  <si>
    <t xml:space="preserve">ALAYA</t>
  </si>
  <si>
    <t xml:space="preserve">Z</t>
  </si>
  <si>
    <t xml:space="preserve">2002-07-17</t>
  </si>
  <si>
    <t xml:space="preserve">OH0021778609</t>
  </si>
  <si>
    <t xml:space="preserve">BROGDON</t>
  </si>
  <si>
    <t xml:space="preserve">ASHLYNE</t>
  </si>
  <si>
    <t xml:space="preserve">1987-03-28</t>
  </si>
  <si>
    <t xml:space="preserve">2019-04-23</t>
  </si>
  <si>
    <t xml:space="preserve">OH0015677272</t>
  </si>
  <si>
    <t xml:space="preserve">KNISELEY</t>
  </si>
  <si>
    <t xml:space="preserve">VALENCIA</t>
  </si>
  <si>
    <t xml:space="preserve">1980-11-11</t>
  </si>
  <si>
    <t xml:space="preserve">OH0015784067</t>
  </si>
  <si>
    <t xml:space="preserve">R HUGH</t>
  </si>
  <si>
    <t xml:space="preserve">1944-05-13</t>
  </si>
  <si>
    <t xml:space="preserve">1977-09-26</t>
  </si>
  <si>
    <t xml:space="preserve">754 KINSMAN ST NW</t>
  </si>
  <si>
    <t xml:space="preserve">OH0015784060</t>
  </si>
  <si>
    <t xml:space="preserve">1945-09-24</t>
  </si>
  <si>
    <t xml:space="preserve">1977-09-23</t>
  </si>
  <si>
    <t xml:space="preserve">OH0015816654</t>
  </si>
  <si>
    <t xml:space="preserve">VALESKY</t>
  </si>
  <si>
    <t xml:space="preserve">1983-09-08</t>
  </si>
  <si>
    <t xml:space="preserve">2001-10-22</t>
  </si>
  <si>
    <t xml:space="preserve">755 KINSMAN ST NW</t>
  </si>
  <si>
    <t xml:space="preserve">OH0021538589</t>
  </si>
  <si>
    <t xml:space="preserve">1984-09-12</t>
  </si>
  <si>
    <t xml:space="preserve">OH0024636702</t>
  </si>
  <si>
    <t xml:space="preserve">GOLEMBOWSKI</t>
  </si>
  <si>
    <t xml:space="preserve">TESS</t>
  </si>
  <si>
    <t xml:space="preserve">MARIAH</t>
  </si>
  <si>
    <t xml:space="preserve">1995-07-16</t>
  </si>
  <si>
    <t xml:space="preserve">2018-04-30</t>
  </si>
  <si>
    <t xml:space="preserve">806 KINSMAN ST NW</t>
  </si>
  <si>
    <t xml:space="preserve">OH0024636664</t>
  </si>
  <si>
    <t xml:space="preserve">FOLEY</t>
  </si>
  <si>
    <t xml:space="preserve">CORY</t>
  </si>
  <si>
    <t xml:space="preserve">OH0015730252</t>
  </si>
  <si>
    <t xml:space="preserve">RUFENER</t>
  </si>
  <si>
    <t xml:space="preserve">1989-10-09</t>
  </si>
  <si>
    <t xml:space="preserve">807 KINSMAN ST NW</t>
  </si>
  <si>
    <t xml:space="preserve">OH0021219716</t>
  </si>
  <si>
    <t xml:space="preserve">RICK</t>
  </si>
  <si>
    <t xml:space="preserve">1963-06-16</t>
  </si>
  <si>
    <t xml:space="preserve">2010-10-01</t>
  </si>
  <si>
    <t xml:space="preserve">OH0022339585</t>
  </si>
  <si>
    <t xml:space="preserve">HIGGINS</t>
  </si>
  <si>
    <t xml:space="preserve">1957-07-25</t>
  </si>
  <si>
    <t xml:space="preserve">817 KINSMAN ST NW</t>
  </si>
  <si>
    <t xml:space="preserve">OH0023187367</t>
  </si>
  <si>
    <t xml:space="preserve">MCCALL</t>
  </si>
  <si>
    <t xml:space="preserve">819 KINSMAN ST NW</t>
  </si>
  <si>
    <t xml:space="preserve">OH0024548319</t>
  </si>
  <si>
    <t xml:space="preserve">2018-06-19</t>
  </si>
  <si>
    <t xml:space="preserve">826 KINSMAN ST NW</t>
  </si>
  <si>
    <t xml:space="preserve">OH0024205142</t>
  </si>
  <si>
    <t xml:space="preserve">HA</t>
  </si>
  <si>
    <t xml:space="preserve">ANDY</t>
  </si>
  <si>
    <t xml:space="preserve">ANH</t>
  </si>
  <si>
    <t xml:space="preserve">1974-06-09</t>
  </si>
  <si>
    <t xml:space="preserve">2023-05-11</t>
  </si>
  <si>
    <t xml:space="preserve">827 KINSMAN ST NW</t>
  </si>
  <si>
    <t xml:space="preserve">OH0015809265</t>
  </si>
  <si>
    <t xml:space="preserve">GIVEN</t>
  </si>
  <si>
    <t xml:space="preserve">1977-01-01</t>
  </si>
  <si>
    <t xml:space="preserve">2016-02-05</t>
  </si>
  <si>
    <t xml:space="preserve">1355 LARCHMONT AVE NE</t>
  </si>
  <si>
    <t xml:space="preserve">OH0015820008</t>
  </si>
  <si>
    <t xml:space="preserve">MARYKATHRYN</t>
  </si>
  <si>
    <t xml:space="preserve">1978-12-21</t>
  </si>
  <si>
    <t xml:space="preserve">2009-11-19</t>
  </si>
  <si>
    <t xml:space="preserve">OH0027602078</t>
  </si>
  <si>
    <t xml:space="preserve">CUNNINGHAM</t>
  </si>
  <si>
    <t xml:space="preserve">2004-07-30</t>
  </si>
  <si>
    <t xml:space="preserve">2024-09-15</t>
  </si>
  <si>
    <t xml:space="preserve">OH0019354420</t>
  </si>
  <si>
    <t xml:space="preserve">URSULA</t>
  </si>
  <si>
    <t xml:space="preserve">1984-03-03</t>
  </si>
  <si>
    <t xml:space="preserve">OH0015778542</t>
  </si>
  <si>
    <t xml:space="preserve">EVANS</t>
  </si>
  <si>
    <t xml:space="preserve">1941-06-21</t>
  </si>
  <si>
    <t xml:space="preserve">1974-10-07</t>
  </si>
  <si>
    <t xml:space="preserve">1358 LARCHMONT AVE NE</t>
  </si>
  <si>
    <t xml:space="preserve">OH0015808680</t>
  </si>
  <si>
    <t xml:space="preserve">CAMPANA</t>
  </si>
  <si>
    <t xml:space="preserve">1948-03-07</t>
  </si>
  <si>
    <t xml:space="preserve">1995-04-03</t>
  </si>
  <si>
    <t xml:space="preserve">1365 LARCHMONT AVE NE</t>
  </si>
  <si>
    <t xml:space="preserve">OH0026433240</t>
  </si>
  <si>
    <t xml:space="preserve">MALONE</t>
  </si>
  <si>
    <t xml:space="preserve">1984-03-23</t>
  </si>
  <si>
    <t xml:space="preserve">2022-03-07</t>
  </si>
  <si>
    <t xml:space="preserve">1368 LARCHMONT AVE NE</t>
  </si>
  <si>
    <t xml:space="preserve">OH0027571845</t>
  </si>
  <si>
    <t xml:space="preserve">1987-03-19</t>
  </si>
  <si>
    <t xml:space="preserve">2024-09-07</t>
  </si>
  <si>
    <t xml:space="preserve">OH0015743271</t>
  </si>
  <si>
    <t xml:space="preserve">1972-09-28</t>
  </si>
  <si>
    <t xml:space="preserve">2020-11-12</t>
  </si>
  <si>
    <t xml:space="preserve">1375 LARCHMONT AVE NE</t>
  </si>
  <si>
    <t xml:space="preserve">OH0027328277</t>
  </si>
  <si>
    <t xml:space="preserve">ULRICH</t>
  </si>
  <si>
    <t xml:space="preserve">1965-08-15</t>
  </si>
  <si>
    <t xml:space="preserve">1378 LARCHMONT AVE NE</t>
  </si>
  <si>
    <t xml:space="preserve">OH0023151529</t>
  </si>
  <si>
    <t xml:space="preserve">2019-04-05</t>
  </si>
  <si>
    <t xml:space="preserve">OH0025643818</t>
  </si>
  <si>
    <t xml:space="preserve">FUMEROLA</t>
  </si>
  <si>
    <t xml:space="preserve">2002-06-20</t>
  </si>
  <si>
    <t xml:space="preserve">1385 LARCHMONT AVE NE</t>
  </si>
  <si>
    <t xml:space="preserve">OH0027921072</t>
  </si>
  <si>
    <t xml:space="preserve">EVERETT</t>
  </si>
  <si>
    <t xml:space="preserve">2007-03-02</t>
  </si>
  <si>
    <t xml:space="preserve">OH0024619572</t>
  </si>
  <si>
    <t xml:space="preserve">ROBIN</t>
  </si>
  <si>
    <t xml:space="preserve">1958-11-16</t>
  </si>
  <si>
    <t xml:space="preserve">2018-12-05</t>
  </si>
  <si>
    <t xml:space="preserve">OH0027756270</t>
  </si>
  <si>
    <t xml:space="preserve">SHEAYLA</t>
  </si>
  <si>
    <t xml:space="preserve">2006-08-27</t>
  </si>
  <si>
    <t xml:space="preserve">1388 LARCHMONT AVE NE</t>
  </si>
  <si>
    <t xml:space="preserve">OH0018960954</t>
  </si>
  <si>
    <t xml:space="preserve">CHELON</t>
  </si>
  <si>
    <t xml:space="preserve">1978-05-31</t>
  </si>
  <si>
    <t xml:space="preserve">OH0025459161</t>
  </si>
  <si>
    <t xml:space="preserve">SALTER</t>
  </si>
  <si>
    <t xml:space="preserve">JAKARI</t>
  </si>
  <si>
    <t xml:space="preserve">2001-06-08</t>
  </si>
  <si>
    <t xml:space="preserve">2020-02-13</t>
  </si>
  <si>
    <t xml:space="preserve">OH0015762951</t>
  </si>
  <si>
    <t xml:space="preserve">MARZULLA</t>
  </si>
  <si>
    <t xml:space="preserve">1947-12-06</t>
  </si>
  <si>
    <t xml:space="preserve">1993-09-16</t>
  </si>
  <si>
    <t xml:space="preserve">1405 LARCHMONT AVE NE</t>
  </si>
  <si>
    <t xml:space="preserve">OH0024560940</t>
  </si>
  <si>
    <t xml:space="preserve">NADZAN</t>
  </si>
  <si>
    <t xml:space="preserve">DECARLOS</t>
  </si>
  <si>
    <t xml:space="preserve">DEION</t>
  </si>
  <si>
    <t xml:space="preserve">1998-01-19</t>
  </si>
  <si>
    <t xml:space="preserve">2022-11-05</t>
  </si>
  <si>
    <t xml:space="preserve">OH0024552036</t>
  </si>
  <si>
    <t xml:space="preserve">FANT</t>
  </si>
  <si>
    <t xml:space="preserve">KENNYA</t>
  </si>
  <si>
    <t xml:space="preserve">2000-03-04</t>
  </si>
  <si>
    <t xml:space="preserve">2018-05-01</t>
  </si>
  <si>
    <t xml:space="preserve">1505 LARCHMONT AVE NE</t>
  </si>
  <si>
    <t xml:space="preserve">OH0015702793</t>
  </si>
  <si>
    <t xml:space="preserve">MOYA</t>
  </si>
  <si>
    <t xml:space="preserve">1977-09-22</t>
  </si>
  <si>
    <t xml:space="preserve">OH0025538863</t>
  </si>
  <si>
    <t xml:space="preserve">LESHAWN</t>
  </si>
  <si>
    <t xml:space="preserve">2002-10-18</t>
  </si>
  <si>
    <t xml:space="preserve">2020-04-14</t>
  </si>
  <si>
    <t xml:space="preserve">1507 LARCHMONT AVE NE</t>
  </si>
  <si>
    <t xml:space="preserve">OH0027500218</t>
  </si>
  <si>
    <t xml:space="preserve">TAMARI</t>
  </si>
  <si>
    <t xml:space="preserve">TAIJION</t>
  </si>
  <si>
    <t xml:space="preserve">2004-11-11</t>
  </si>
  <si>
    <t xml:space="preserve">2024-08-29</t>
  </si>
  <si>
    <t xml:space="preserve">OH0026571067</t>
  </si>
  <si>
    <t xml:space="preserve">GILRONAN</t>
  </si>
  <si>
    <t xml:space="preserve">2003-06-28</t>
  </si>
  <si>
    <t xml:space="preserve">2022-07-09</t>
  </si>
  <si>
    <t xml:space="preserve">1515 LARCHMONT AVE NE</t>
  </si>
  <si>
    <t xml:space="preserve">OH0015728392</t>
  </si>
  <si>
    <t xml:space="preserve">JAMI</t>
  </si>
  <si>
    <t xml:space="preserve">1971-07-25</t>
  </si>
  <si>
    <t xml:space="preserve">1989-03-21</t>
  </si>
  <si>
    <t xml:space="preserve">OH0015720391</t>
  </si>
  <si>
    <t xml:space="preserve">1970-01-12</t>
  </si>
  <si>
    <t xml:space="preserve">1988-03-09</t>
  </si>
  <si>
    <t xml:space="preserve">OH0027449561</t>
  </si>
  <si>
    <t xml:space="preserve">SCATES</t>
  </si>
  <si>
    <t xml:space="preserve">JABREEA</t>
  </si>
  <si>
    <t xml:space="preserve">1997-05-27</t>
  </si>
  <si>
    <t xml:space="preserve">1518 LARCHMONT AVE NE</t>
  </si>
  <si>
    <t xml:space="preserve">OH0024567369</t>
  </si>
  <si>
    <t xml:space="preserve">SUMMER</t>
  </si>
  <si>
    <t xml:space="preserve">2000-06-05</t>
  </si>
  <si>
    <t xml:space="preserve">OH0024712777</t>
  </si>
  <si>
    <t xml:space="preserve">NKENGE</t>
  </si>
  <si>
    <t xml:space="preserve">IMAN</t>
  </si>
  <si>
    <t xml:space="preserve">1998-08-13</t>
  </si>
  <si>
    <t xml:space="preserve">2019-06-18</t>
  </si>
  <si>
    <t xml:space="preserve">OH0026860333</t>
  </si>
  <si>
    <t xml:space="preserve">SERENITY</t>
  </si>
  <si>
    <t xml:space="preserve">2005-09-28</t>
  </si>
  <si>
    <t xml:space="preserve">OH0021016590</t>
  </si>
  <si>
    <t xml:space="preserve">SHUMAN</t>
  </si>
  <si>
    <t xml:space="preserve">1979-06-29</t>
  </si>
  <si>
    <t xml:space="preserve">1528 LARCHMONT AVE NE</t>
  </si>
  <si>
    <t xml:space="preserve">OH0023222460</t>
  </si>
  <si>
    <t xml:space="preserve">1979-03-13</t>
  </si>
  <si>
    <t xml:space="preserve">OH0024289795</t>
  </si>
  <si>
    <t xml:space="preserve">HAHN</t>
  </si>
  <si>
    <t xml:space="preserve">1999-10-24</t>
  </si>
  <si>
    <t xml:space="preserve">OH0025151208</t>
  </si>
  <si>
    <t xml:space="preserve">1961-05-21</t>
  </si>
  <si>
    <t xml:space="preserve">2019-07-27</t>
  </si>
  <si>
    <t xml:space="preserve">OH0027494548</t>
  </si>
  <si>
    <t xml:space="preserve">GONZALEZ</t>
  </si>
  <si>
    <t xml:space="preserve">MANUEL</t>
  </si>
  <si>
    <t xml:space="preserve">1983-02-16</t>
  </si>
  <si>
    <t xml:space="preserve">1533 LARCHMONT AVE NE</t>
  </si>
  <si>
    <t xml:space="preserve">OH0023145517</t>
  </si>
  <si>
    <t xml:space="preserve">1996-11-12</t>
  </si>
  <si>
    <t xml:space="preserve">1538 LARCHMONT AVE NE</t>
  </si>
  <si>
    <t xml:space="preserve">OH0026523290</t>
  </si>
  <si>
    <t xml:space="preserve">COGSWELL</t>
  </si>
  <si>
    <t xml:space="preserve">1964-08-15</t>
  </si>
  <si>
    <t xml:space="preserve">2022-06-26</t>
  </si>
  <si>
    <t xml:space="preserve">1541 LARCHMONT AVE NE</t>
  </si>
  <si>
    <t xml:space="preserve">OH0025026658</t>
  </si>
  <si>
    <t xml:space="preserve">REEONNA</t>
  </si>
  <si>
    <t xml:space="preserve">1995-12-05</t>
  </si>
  <si>
    <t xml:space="preserve">2024-06-10</t>
  </si>
  <si>
    <t xml:space="preserve">1547 LARCHMONT AVE NE</t>
  </si>
  <si>
    <t xml:space="preserve">OH0015757410</t>
  </si>
  <si>
    <t xml:space="preserve">1955-02-04</t>
  </si>
  <si>
    <t xml:space="preserve">2016-04-10</t>
  </si>
  <si>
    <t xml:space="preserve">1558 LARCHMONT AVE NE</t>
  </si>
  <si>
    <t xml:space="preserve">OH0020291885</t>
  </si>
  <si>
    <t xml:space="preserve">1989-04-21</t>
  </si>
  <si>
    <t xml:space="preserve">2017-11-03</t>
  </si>
  <si>
    <t xml:space="preserve">OH0015810435</t>
  </si>
  <si>
    <t xml:space="preserve">DEVENGENCIE</t>
  </si>
  <si>
    <t xml:space="preserve">1963-06-19</t>
  </si>
  <si>
    <t xml:space="preserve">2011-06-14</t>
  </si>
  <si>
    <t xml:space="preserve">OH0015691993</t>
  </si>
  <si>
    <t xml:space="preserve">WARGO</t>
  </si>
  <si>
    <t xml:space="preserve">1958-10-29</t>
  </si>
  <si>
    <t xml:space="preserve">2017-01-18</t>
  </si>
  <si>
    <t xml:space="preserve">1568 LARCHMONT AVE NE</t>
  </si>
  <si>
    <t xml:space="preserve">OH0020954906</t>
  </si>
  <si>
    <t xml:space="preserve">1965-09-22</t>
  </si>
  <si>
    <t xml:space="preserve">2023-07-23</t>
  </si>
  <si>
    <t xml:space="preserve">1578 LARCHMONT AVE NE</t>
  </si>
  <si>
    <t xml:space="preserve">OH0015763705</t>
  </si>
  <si>
    <t xml:space="preserve">1966-02-18</t>
  </si>
  <si>
    <t xml:space="preserve">1605 LARCHMONT AVE NE</t>
  </si>
  <si>
    <t xml:space="preserve">OH0015763718</t>
  </si>
  <si>
    <t xml:space="preserve">BARRY</t>
  </si>
  <si>
    <t xml:space="preserve">1961-12-20</t>
  </si>
  <si>
    <t xml:space="preserve">OH0020961459</t>
  </si>
  <si>
    <t xml:space="preserve">2016-10-09</t>
  </si>
  <si>
    <t xml:space="preserve">1610 LARCHMONT AVE NE</t>
  </si>
  <si>
    <t xml:space="preserve">OH0015785038</t>
  </si>
  <si>
    <t xml:space="preserve">JENNA</t>
  </si>
  <si>
    <t xml:space="preserve">1985-07-20</t>
  </si>
  <si>
    <t xml:space="preserve">OH0027846533</t>
  </si>
  <si>
    <t xml:space="preserve">PARRISH</t>
  </si>
  <si>
    <t xml:space="preserve">1980-07-06</t>
  </si>
  <si>
    <t xml:space="preserve">1613 LARCHMONT AVE NE</t>
  </si>
  <si>
    <t xml:space="preserve">OH0024866269</t>
  </si>
  <si>
    <t xml:space="preserve">MARIANA</t>
  </si>
  <si>
    <t xml:space="preserve">1998-02-17</t>
  </si>
  <si>
    <t xml:space="preserve">2020-02-11</t>
  </si>
  <si>
    <t xml:space="preserve">1621 LARCHMONT AVE NE</t>
  </si>
  <si>
    <t xml:space="preserve">OH0015728565</t>
  </si>
  <si>
    <t xml:space="preserve">1961-08-13</t>
  </si>
  <si>
    <t xml:space="preserve">2024-09-29</t>
  </si>
  <si>
    <t xml:space="preserve">1630 LARCHMONT AVE NE</t>
  </si>
  <si>
    <t xml:space="preserve">OH0015816910</t>
  </si>
  <si>
    <t xml:space="preserve">SCOFIELD</t>
  </si>
  <si>
    <t xml:space="preserve">LOUELLA</t>
  </si>
  <si>
    <t xml:space="preserve">1968-09-29</t>
  </si>
  <si>
    <t xml:space="preserve">2022-02-08</t>
  </si>
  <si>
    <t xml:space="preserve">1637 LARCHMONT AVE NE</t>
  </si>
  <si>
    <t xml:space="preserve">OH0027139130</t>
  </si>
  <si>
    <t xml:space="preserve">HOLLAND</t>
  </si>
  <si>
    <t xml:space="preserve">1981-09-01</t>
  </si>
  <si>
    <t xml:space="preserve">OH0015702372</t>
  </si>
  <si>
    <t xml:space="preserve">SEMBACH</t>
  </si>
  <si>
    <t xml:space="preserve">CHERYL</t>
  </si>
  <si>
    <t xml:space="preserve">1957-12-03</t>
  </si>
  <si>
    <t xml:space="preserve">2017-12-11</t>
  </si>
  <si>
    <t xml:space="preserve">1638 LARCHMONT AVE NE</t>
  </si>
  <si>
    <t xml:space="preserve">OH0019886940</t>
  </si>
  <si>
    <t xml:space="preserve">1987-09-16</t>
  </si>
  <si>
    <t xml:space="preserve">2020-09-17</t>
  </si>
  <si>
    <t xml:space="preserve">OH0015798502</t>
  </si>
  <si>
    <t xml:space="preserve">BAILEY</t>
  </si>
  <si>
    <t xml:space="preserve">DAN</t>
  </si>
  <si>
    <t xml:space="preserve">1984-09-27</t>
  </si>
  <si>
    <t xml:space="preserve">1648 LARCHMONT AVE NE</t>
  </si>
  <si>
    <t xml:space="preserve">OH0026307150</t>
  </si>
  <si>
    <t xml:space="preserve">TIFFANIE</t>
  </si>
  <si>
    <t xml:space="preserve">2021-09-18</t>
  </si>
  <si>
    <t xml:space="preserve">OH0021700360</t>
  </si>
  <si>
    <t xml:space="preserve">1993-12-01</t>
  </si>
  <si>
    <t xml:space="preserve">2015-02-05</t>
  </si>
  <si>
    <t xml:space="preserve">1653 LARCHMONT AVE NE</t>
  </si>
  <si>
    <t xml:space="preserve">OH0026734213</t>
  </si>
  <si>
    <t xml:space="preserve">PAYTON</t>
  </si>
  <si>
    <t xml:space="preserve">2003-01-04</t>
  </si>
  <si>
    <t xml:space="preserve">2022-10-29</t>
  </si>
  <si>
    <t xml:space="preserve">1658 LARCHMONT AVE NE</t>
  </si>
  <si>
    <t xml:space="preserve">OH0015749214</t>
  </si>
  <si>
    <t xml:space="preserve">1971-08-05</t>
  </si>
  <si>
    <t xml:space="preserve">1992-02-18</t>
  </si>
  <si>
    <t xml:space="preserve">OH0015761638</t>
  </si>
  <si>
    <t xml:space="preserve">1975-03-19</t>
  </si>
  <si>
    <t xml:space="preserve">OH0020937295</t>
  </si>
  <si>
    <t xml:space="preserve">1990-01-14</t>
  </si>
  <si>
    <t xml:space="preserve">2021-10-26</t>
  </si>
  <si>
    <t xml:space="preserve">1661 LARCHMONT AVE NE</t>
  </si>
  <si>
    <t xml:space="preserve">OH0026918126</t>
  </si>
  <si>
    <t xml:space="preserve">SABOL</t>
  </si>
  <si>
    <t xml:space="preserve">MADISON</t>
  </si>
  <si>
    <t xml:space="preserve">2005-01-26</t>
  </si>
  <si>
    <t xml:space="preserve">2023-04-13</t>
  </si>
  <si>
    <t xml:space="preserve">1668 LARCHMONT AVE NE</t>
  </si>
  <si>
    <t xml:space="preserve">OH0015762823</t>
  </si>
  <si>
    <t xml:space="preserve">1973-12-13</t>
  </si>
  <si>
    <t xml:space="preserve">OH0024502154</t>
  </si>
  <si>
    <t xml:space="preserve">2000-01-26</t>
  </si>
  <si>
    <t xml:space="preserve">OH0023189034</t>
  </si>
  <si>
    <t xml:space="preserve">BRANDYN</t>
  </si>
  <si>
    <t xml:space="preserve">1978-07-20</t>
  </si>
  <si>
    <t xml:space="preserve">2017-03-20</t>
  </si>
  <si>
    <t xml:space="preserve">OH0015809164</t>
  </si>
  <si>
    <t xml:space="preserve">1962-04-02</t>
  </si>
  <si>
    <t xml:space="preserve">1669 LARCHMONT AVE NE</t>
  </si>
  <si>
    <t xml:space="preserve">OH0019493684</t>
  </si>
  <si>
    <t xml:space="preserve">BRAD</t>
  </si>
  <si>
    <t xml:space="preserve">1987-01-17</t>
  </si>
  <si>
    <t xml:space="preserve">2013-09-26</t>
  </si>
  <si>
    <t xml:space="preserve">OH0027641484</t>
  </si>
  <si>
    <t xml:space="preserve">BATCHELDER</t>
  </si>
  <si>
    <t xml:space="preserve">PARKER</t>
  </si>
  <si>
    <t xml:space="preserve">GROVE</t>
  </si>
  <si>
    <t xml:space="preserve">2005-03-28</t>
  </si>
  <si>
    <t xml:space="preserve">1677 LARCHMONT AVE NE</t>
  </si>
  <si>
    <t xml:space="preserve">OH0015737021</t>
  </si>
  <si>
    <t xml:space="preserve">1972-11-02</t>
  </si>
  <si>
    <t xml:space="preserve">1990-10-02</t>
  </si>
  <si>
    <t xml:space="preserve">OH0024543903</t>
  </si>
  <si>
    <t xml:space="preserve">POLLYANNA</t>
  </si>
  <si>
    <t xml:space="preserve">2018-03-22</t>
  </si>
  <si>
    <t xml:space="preserve">OH0025767246</t>
  </si>
  <si>
    <t xml:space="preserve">CARAWAY</t>
  </si>
  <si>
    <t xml:space="preserve">1994-03-25</t>
  </si>
  <si>
    <t xml:space="preserve">2020-09-01</t>
  </si>
  <si>
    <t xml:space="preserve">1678 LARCHMONT AVE NE</t>
  </si>
  <si>
    <t xml:space="preserve">OH0024032716</t>
  </si>
  <si>
    <t xml:space="preserve">MOSKO</t>
  </si>
  <si>
    <t xml:space="preserve">1997-09-21</t>
  </si>
  <si>
    <t xml:space="preserve">2016-10-07</t>
  </si>
  <si>
    <t xml:space="preserve">1685 LARCHMONT AVE NE</t>
  </si>
  <si>
    <t xml:space="preserve">OH0015728239</t>
  </si>
  <si>
    <t xml:space="preserve">OH0025588235</t>
  </si>
  <si>
    <t xml:space="preserve">ROSSI</t>
  </si>
  <si>
    <t xml:space="preserve">1995-06-18</t>
  </si>
  <si>
    <t xml:space="preserve">2024-07-16</t>
  </si>
  <si>
    <t xml:space="preserve">1688 LARCHMONT AVE NE</t>
  </si>
  <si>
    <t xml:space="preserve">OH0025439341</t>
  </si>
  <si>
    <t xml:space="preserve">DRUMMOND</t>
  </si>
  <si>
    <t xml:space="preserve">2001-11-07</t>
  </si>
  <si>
    <t xml:space="preserve">2021-02-23</t>
  </si>
  <si>
    <t xml:space="preserve">1691 LARCHMONT AVE NE</t>
  </si>
  <si>
    <t xml:space="preserve">OH0015816294</t>
  </si>
  <si>
    <t xml:space="preserve">BOBBITT</t>
  </si>
  <si>
    <t xml:space="preserve">JAMALA</t>
  </si>
  <si>
    <t xml:space="preserve">SYLVIA ANN</t>
  </si>
  <si>
    <t xml:space="preserve">1983-03-17</t>
  </si>
  <si>
    <t xml:space="preserve">2017-04-30</t>
  </si>
  <si>
    <t xml:space="preserve">OH0015697238</t>
  </si>
  <si>
    <t xml:space="preserve">STARK</t>
  </si>
  <si>
    <t xml:space="preserve">1965-06-18</t>
  </si>
  <si>
    <t xml:space="preserve">2021-10-04</t>
  </si>
  <si>
    <t xml:space="preserve">1696 LARCHMONT AVE NE</t>
  </si>
  <si>
    <t xml:space="preserve">OH0015780714</t>
  </si>
  <si>
    <t xml:space="preserve">TRISHA</t>
  </si>
  <si>
    <t xml:space="preserve">1978-08-29</t>
  </si>
  <si>
    <t xml:space="preserve">OH0015675948</t>
  </si>
  <si>
    <t xml:space="preserve">1980-12-01</t>
  </si>
  <si>
    <t xml:space="preserve">2019-11-29</t>
  </si>
  <si>
    <t xml:space="preserve">1736 LARCHMONT AVE NE</t>
  </si>
  <si>
    <t xml:space="preserve">OH0015745370</t>
  </si>
  <si>
    <t xml:space="preserve">1971-05-02</t>
  </si>
  <si>
    <t xml:space="preserve">2021-08-27</t>
  </si>
  <si>
    <t xml:space="preserve">1741 LARCHMONT AVE NE</t>
  </si>
  <si>
    <t xml:space="preserve">OH0023095443</t>
  </si>
  <si>
    <t xml:space="preserve">RAINEISHA</t>
  </si>
  <si>
    <t xml:space="preserve">LAILONI</t>
  </si>
  <si>
    <t xml:space="preserve">1995-02-20</t>
  </si>
  <si>
    <t xml:space="preserve">2022-08-22</t>
  </si>
  <si>
    <t xml:space="preserve">OH0026674622</t>
  </si>
  <si>
    <t xml:space="preserve">TROVON</t>
  </si>
  <si>
    <t xml:space="preserve">LONNIE DELSHON</t>
  </si>
  <si>
    <t xml:space="preserve">1991-02-08</t>
  </si>
  <si>
    <t xml:space="preserve">OH0024648474</t>
  </si>
  <si>
    <t xml:space="preserve">GUNTER</t>
  </si>
  <si>
    <t xml:space="preserve">1966-06-26</t>
  </si>
  <si>
    <t xml:space="preserve">1746 LARCHMONT AVE NE</t>
  </si>
  <si>
    <t xml:space="preserve">OH0026425297</t>
  </si>
  <si>
    <t xml:space="preserve">1957-05-14</t>
  </si>
  <si>
    <t xml:space="preserve">2022-02-14</t>
  </si>
  <si>
    <t xml:space="preserve">OH0024739827</t>
  </si>
  <si>
    <t xml:space="preserve">1964-01-19</t>
  </si>
  <si>
    <t xml:space="preserve">OH0015719788</t>
  </si>
  <si>
    <t xml:space="preserve">1949-09-06</t>
  </si>
  <si>
    <t xml:space="preserve">2019-05-22</t>
  </si>
  <si>
    <t xml:space="preserve">1749 LARCHMONT AVE NE</t>
  </si>
  <si>
    <t xml:space="preserve">OH0015823493</t>
  </si>
  <si>
    <t xml:space="preserve">VICKIE</t>
  </si>
  <si>
    <t xml:space="preserve">1981-07-31</t>
  </si>
  <si>
    <t xml:space="preserve">2013-12-17</t>
  </si>
  <si>
    <t xml:space="preserve">OH0015806793</t>
  </si>
  <si>
    <t xml:space="preserve">1979-01-09</t>
  </si>
  <si>
    <t xml:space="preserve">1997-01-15</t>
  </si>
  <si>
    <t xml:space="preserve">1756 LARCHMONT AVE NE</t>
  </si>
  <si>
    <t xml:space="preserve">OH0015822216</t>
  </si>
  <si>
    <t xml:space="preserve">PATRIC</t>
  </si>
  <si>
    <t xml:space="preserve">1980-02-18</t>
  </si>
  <si>
    <t xml:space="preserve">1998-10-05</t>
  </si>
  <si>
    <t xml:space="preserve">OH0015744053</t>
  </si>
  <si>
    <t xml:space="preserve">1948-12-26</t>
  </si>
  <si>
    <t xml:space="preserve">2018-05-05</t>
  </si>
  <si>
    <t xml:space="preserve">1757 LARCHMONT AVE NE</t>
  </si>
  <si>
    <t xml:space="preserve">OH0027960399</t>
  </si>
  <si>
    <t xml:space="preserve">RUE</t>
  </si>
  <si>
    <t xml:space="preserve">1990-07-21</t>
  </si>
  <si>
    <t xml:space="preserve">2025-05-29</t>
  </si>
  <si>
    <t xml:space="preserve">OH0026662725</t>
  </si>
  <si>
    <t xml:space="preserve">NORWOOD</t>
  </si>
  <si>
    <t xml:space="preserve">1965-09-17</t>
  </si>
  <si>
    <t xml:space="preserve">2024-09-16</t>
  </si>
  <si>
    <t xml:space="preserve">OH0015776392</t>
  </si>
  <si>
    <t xml:space="preserve">HARCARIK</t>
  </si>
  <si>
    <t xml:space="preserve">1935-01-23</t>
  </si>
  <si>
    <t xml:space="preserve">2014-09-16</t>
  </si>
  <si>
    <t xml:space="preserve">1765 LARCHMONT AVE NE</t>
  </si>
  <si>
    <t xml:space="preserve">OH0015747054</t>
  </si>
  <si>
    <t xml:space="preserve">1985-08-17</t>
  </si>
  <si>
    <t xml:space="preserve">1766 LARCHMONT AVE NE</t>
  </si>
  <si>
    <t xml:space="preserve">OH0015741392</t>
  </si>
  <si>
    <t xml:space="preserve">1954-09-13</t>
  </si>
  <si>
    <t xml:space="preserve">OH0023770403</t>
  </si>
  <si>
    <t xml:space="preserve">KREPPS</t>
  </si>
  <si>
    <t xml:space="preserve">PAULINE</t>
  </si>
  <si>
    <t xml:space="preserve">1949-10-25</t>
  </si>
  <si>
    <t xml:space="preserve">2016-06-27</t>
  </si>
  <si>
    <t xml:space="preserve">OH0021288031</t>
  </si>
  <si>
    <t xml:space="preserve">1952-05-16</t>
  </si>
  <si>
    <t xml:space="preserve">2010-06-26</t>
  </si>
  <si>
    <t xml:space="preserve">1781 LARCHMONT AVE NE</t>
  </si>
  <si>
    <t xml:space="preserve">OH0019814023</t>
  </si>
  <si>
    <t xml:space="preserve">1982-08-28</t>
  </si>
  <si>
    <t xml:space="preserve">1786 LARCHMONT AVE NE</t>
  </si>
  <si>
    <t xml:space="preserve">OH0015802562</t>
  </si>
  <si>
    <t xml:space="preserve">TREVOR</t>
  </si>
  <si>
    <t xml:space="preserve">ELLIOT</t>
  </si>
  <si>
    <t xml:space="preserve">1984-01-06</t>
  </si>
  <si>
    <t xml:space="preserve">OH0015696515</t>
  </si>
  <si>
    <t xml:space="preserve">SHINOSKY</t>
  </si>
  <si>
    <t xml:space="preserve">1963-12-06</t>
  </si>
  <si>
    <t xml:space="preserve">1984-08-31</t>
  </si>
  <si>
    <t xml:space="preserve">1796 LARCHMONT AVE NE</t>
  </si>
  <si>
    <t xml:space="preserve">OH0015813669</t>
  </si>
  <si>
    <t xml:space="preserve">1957-01-23</t>
  </si>
  <si>
    <t xml:space="preserve">1996-07-07</t>
  </si>
  <si>
    <t xml:space="preserve">OH0026148385</t>
  </si>
  <si>
    <t xml:space="preserve">1979-08-13</t>
  </si>
  <si>
    <t xml:space="preserve">2021-02-12</t>
  </si>
  <si>
    <t xml:space="preserve">1797 LARCHMONT AVE NE</t>
  </si>
  <si>
    <t xml:space="preserve">OH0015758088</t>
  </si>
  <si>
    <t xml:space="preserve">1965-06-04</t>
  </si>
  <si>
    <t xml:space="preserve">2022-04-04</t>
  </si>
  <si>
    <t xml:space="preserve">OH0015808277</t>
  </si>
  <si>
    <t xml:space="preserve">DAUGHERTY</t>
  </si>
  <si>
    <t xml:space="preserve">1950-09-15</t>
  </si>
  <si>
    <t xml:space="preserve">1805 LARCHMONT AVE NE</t>
  </si>
  <si>
    <t xml:space="preserve">P O BOX 1053</t>
  </si>
  <si>
    <t xml:space="preserve">OH0015810125</t>
  </si>
  <si>
    <t xml:space="preserve">1983-09-07</t>
  </si>
  <si>
    <t xml:space="preserve">2018-06-26</t>
  </si>
  <si>
    <t xml:space="preserve">1806 LARCHMONT AVE NE</t>
  </si>
  <si>
    <t xml:space="preserve">OH0015776376</t>
  </si>
  <si>
    <t xml:space="preserve">1960-11-03</t>
  </si>
  <si>
    <t xml:space="preserve">1980-04-16</t>
  </si>
  <si>
    <t xml:space="preserve">OH0018670406</t>
  </si>
  <si>
    <t xml:space="preserve">KIEPPER</t>
  </si>
  <si>
    <t xml:space="preserve">1953-02-03</t>
  </si>
  <si>
    <t xml:space="preserve">1815 LARCHMONT AVE NE</t>
  </si>
  <si>
    <t xml:space="preserve">OH0021763314</t>
  </si>
  <si>
    <t xml:space="preserve">2012-02-29</t>
  </si>
  <si>
    <t xml:space="preserve">OH0026171893</t>
  </si>
  <si>
    <t xml:space="preserve">1991-03-10</t>
  </si>
  <si>
    <t xml:space="preserve">1816 LARCHMONT AVE NE</t>
  </si>
  <si>
    <t xml:space="preserve">OH0027078160</t>
  </si>
  <si>
    <t xml:space="preserve">STEVENSON</t>
  </si>
  <si>
    <t xml:space="preserve">PATIEN</t>
  </si>
  <si>
    <t xml:space="preserve">2005-10-19</t>
  </si>
  <si>
    <t xml:space="preserve">1821 LARCHMONT AVE NE</t>
  </si>
  <si>
    <t xml:space="preserve">OH0027494568</t>
  </si>
  <si>
    <t xml:space="preserve">HOLLOWAY</t>
  </si>
  <si>
    <t xml:space="preserve">1967-09-12</t>
  </si>
  <si>
    <t xml:space="preserve">2024-08-10</t>
  </si>
  <si>
    <t xml:space="preserve">1829 LARCHMONT AVE NE</t>
  </si>
  <si>
    <t xml:space="preserve">OH0021408358</t>
  </si>
  <si>
    <t xml:space="preserve">KUNDENREICH</t>
  </si>
  <si>
    <t xml:space="preserve">1960-05-22</t>
  </si>
  <si>
    <t xml:space="preserve">1836 LARCHMONT AVE NE</t>
  </si>
  <si>
    <t xml:space="preserve">OH0025009119</t>
  </si>
  <si>
    <t xml:space="preserve">RAUSCHENBACH</t>
  </si>
  <si>
    <t xml:space="preserve">1982-07-20</t>
  </si>
  <si>
    <t xml:space="preserve">2019-12-17</t>
  </si>
  <si>
    <t xml:space="preserve">OH0024647275</t>
  </si>
  <si>
    <t xml:space="preserve">CONSLRUCK</t>
  </si>
  <si>
    <t xml:space="preserve">JEFF</t>
  </si>
  <si>
    <t xml:space="preserve">1837 LARCHMONT AVE NE</t>
  </si>
  <si>
    <t xml:space="preserve">OH0021702163</t>
  </si>
  <si>
    <t xml:space="preserve">RASHIA</t>
  </si>
  <si>
    <t xml:space="preserve">1994-04-17</t>
  </si>
  <si>
    <t xml:space="preserve">2018-02-07</t>
  </si>
  <si>
    <t xml:space="preserve">1846 LARCHMONT AVE NE</t>
  </si>
  <si>
    <t xml:space="preserve">OH0027011201</t>
  </si>
  <si>
    <t xml:space="preserve">LAMBERT</t>
  </si>
  <si>
    <t xml:space="preserve">1991-08-02</t>
  </si>
  <si>
    <t xml:space="preserve">2023-09-02</t>
  </si>
  <si>
    <t xml:space="preserve">OH0024450207</t>
  </si>
  <si>
    <t xml:space="preserve">HARIS</t>
  </si>
  <si>
    <t xml:space="preserve">AAMIR</t>
  </si>
  <si>
    <t xml:space="preserve">1984-07-13</t>
  </si>
  <si>
    <t xml:space="preserve">2017-10-13</t>
  </si>
  <si>
    <t xml:space="preserve">1853 LARCHMONT AVE NE</t>
  </si>
  <si>
    <t xml:space="preserve">OH0019682495</t>
  </si>
  <si>
    <t xml:space="preserve">BUNGARD</t>
  </si>
  <si>
    <t xml:space="preserve">KIM</t>
  </si>
  <si>
    <t xml:space="preserve">1982-02-02</t>
  </si>
  <si>
    <t xml:space="preserve">2012-06-22</t>
  </si>
  <si>
    <t xml:space="preserve">1856 LARCHMONT AVE NE</t>
  </si>
  <si>
    <t xml:space="preserve">OH0027563509</t>
  </si>
  <si>
    <t xml:space="preserve">SEIFULLAH</t>
  </si>
  <si>
    <t xml:space="preserve">2005-08-22</t>
  </si>
  <si>
    <t xml:space="preserve">OH0015777285</t>
  </si>
  <si>
    <t xml:space="preserve">PAKULNIEWICZ</t>
  </si>
  <si>
    <t xml:space="preserve">1931-01-30</t>
  </si>
  <si>
    <t xml:space="preserve">1956-03-28</t>
  </si>
  <si>
    <t xml:space="preserve">1863 LARCHMONT AVE NE</t>
  </si>
  <si>
    <t xml:space="preserve">OH0015766798</t>
  </si>
  <si>
    <t xml:space="preserve">JAKUBEC</t>
  </si>
  <si>
    <t xml:space="preserve">1976-10-28</t>
  </si>
  <si>
    <t xml:space="preserve">1866 LARCHMONT AVE NE</t>
  </si>
  <si>
    <t xml:space="preserve">OH0024785898</t>
  </si>
  <si>
    <t xml:space="preserve">TRISTEN</t>
  </si>
  <si>
    <t xml:space="preserve">1982-06-10</t>
  </si>
  <si>
    <t xml:space="preserve">2018-09-12</t>
  </si>
  <si>
    <t xml:space="preserve">1876 LARCHMONT AVE NE</t>
  </si>
  <si>
    <t xml:space="preserve">OH0015724124</t>
  </si>
  <si>
    <t xml:space="preserve">RABEL</t>
  </si>
  <si>
    <t xml:space="preserve">1977-07-20</t>
  </si>
  <si>
    <t xml:space="preserve">1893 LARCHMONT AVE NE</t>
  </si>
  <si>
    <t xml:space="preserve">OH0015717375</t>
  </si>
  <si>
    <t xml:space="preserve">1964-08-02</t>
  </si>
  <si>
    <t xml:space="preserve">1901 LARCHMONT AVE NE</t>
  </si>
  <si>
    <t xml:space="preserve">OH0022575072</t>
  </si>
  <si>
    <t xml:space="preserve">MONROE</t>
  </si>
  <si>
    <t xml:space="preserve">1995-05-13</t>
  </si>
  <si>
    <t xml:space="preserve">OH0023948584</t>
  </si>
  <si>
    <t xml:space="preserve">1986-04-10</t>
  </si>
  <si>
    <t xml:space="preserve">OH0027433198</t>
  </si>
  <si>
    <t xml:space="preserve">YORK</t>
  </si>
  <si>
    <t xml:space="preserve">1991-06-14</t>
  </si>
  <si>
    <t xml:space="preserve">2024-07-11</t>
  </si>
  <si>
    <t xml:space="preserve">1904 LARCHMONT AVE NE</t>
  </si>
  <si>
    <t xml:space="preserve">OH0015726779</t>
  </si>
  <si>
    <t xml:space="preserve">1963-12-12</t>
  </si>
  <si>
    <t xml:space="preserve">OH0015726743</t>
  </si>
  <si>
    <t xml:space="preserve">HOSAFLOOK</t>
  </si>
  <si>
    <t xml:space="preserve">1957-01-08</t>
  </si>
  <si>
    <t xml:space="preserve">2015-09-19</t>
  </si>
  <si>
    <t xml:space="preserve">OH0019479694</t>
  </si>
  <si>
    <t xml:space="preserve">1982-12-08</t>
  </si>
  <si>
    <t xml:space="preserve">2007-12-08</t>
  </si>
  <si>
    <t xml:space="preserve">1914 LARCHMONT AVE NE</t>
  </si>
  <si>
    <t xml:space="preserve">OH0015710460</t>
  </si>
  <si>
    <t xml:space="preserve">1957-09-25</t>
  </si>
  <si>
    <t xml:space="preserve">2008-01-07</t>
  </si>
  <si>
    <t xml:space="preserve">1934 LARCHMONT AVE NE</t>
  </si>
  <si>
    <t xml:space="preserve">OH0015755029</t>
  </si>
  <si>
    <t xml:space="preserve">PAINE</t>
  </si>
  <si>
    <t xml:space="preserve">1946-06-27</t>
  </si>
  <si>
    <t xml:space="preserve">1954 LARCHMONT AVE NE</t>
  </si>
  <si>
    <t xml:space="preserve">OH0027620233</t>
  </si>
  <si>
    <t xml:space="preserve">WILKINSON</t>
  </si>
  <si>
    <t xml:space="preserve">1993-12-17</t>
  </si>
  <si>
    <t xml:space="preserve">1964 LARCHMONT AVE NE</t>
  </si>
  <si>
    <t xml:space="preserve">OH0015776893</t>
  </si>
  <si>
    <t xml:space="preserve">LESNOSKI</t>
  </si>
  <si>
    <t xml:space="preserve">HELEN</t>
  </si>
  <si>
    <t xml:space="preserve">1936-11-26</t>
  </si>
  <si>
    <t xml:space="preserve">1959-08-23</t>
  </si>
  <si>
    <t xml:space="preserve">1984 LARCHMONT AVE NE</t>
  </si>
  <si>
    <t xml:space="preserve">OH0025582374</t>
  </si>
  <si>
    <t xml:space="preserve">1974-11-06</t>
  </si>
  <si>
    <t xml:space="preserve">1994 LARCHMONT AVE NE</t>
  </si>
  <si>
    <t xml:space="preserve">OH0024119222</t>
  </si>
  <si>
    <t xml:space="preserve">YAKUBOWSKI</t>
  </si>
  <si>
    <t xml:space="preserve">1975-05-18</t>
  </si>
  <si>
    <t xml:space="preserve">OH0015738602</t>
  </si>
  <si>
    <t xml:space="preserve">HAMEED</t>
  </si>
  <si>
    <t xml:space="preserve">TALIF</t>
  </si>
  <si>
    <t xml:space="preserve">1971-02-03</t>
  </si>
  <si>
    <t xml:space="preserve">1123 MADISON AVE NW</t>
  </si>
  <si>
    <t xml:space="preserve">OH0025437391</t>
  </si>
  <si>
    <t xml:space="preserve">MAHR</t>
  </si>
  <si>
    <t xml:space="preserve">AHMED</t>
  </si>
  <si>
    <t xml:space="preserve">1996-11-21</t>
  </si>
  <si>
    <t xml:space="preserve">2023-08-29</t>
  </si>
  <si>
    <t xml:space="preserve">OH0021696339</t>
  </si>
  <si>
    <t xml:space="preserve">CAMARA</t>
  </si>
  <si>
    <t xml:space="preserve">LYNAI</t>
  </si>
  <si>
    <t xml:space="preserve">1994-09-24</t>
  </si>
  <si>
    <t xml:space="preserve">2012-09-12</t>
  </si>
  <si>
    <t xml:space="preserve">OH0018597673</t>
  </si>
  <si>
    <t xml:space="preserve">1969-11-21</t>
  </si>
  <si>
    <t xml:space="preserve">OH0015720384</t>
  </si>
  <si>
    <t xml:space="preserve">CARITA</t>
  </si>
  <si>
    <t xml:space="preserve">1970-03-31</t>
  </si>
  <si>
    <t xml:space="preserve">2007-10-07</t>
  </si>
  <si>
    <t xml:space="preserve">OH0021653936</t>
  </si>
  <si>
    <t xml:space="preserve">KELLAR</t>
  </si>
  <si>
    <t xml:space="preserve">1993-01-20</t>
  </si>
  <si>
    <t xml:space="preserve">2017-10-10</t>
  </si>
  <si>
    <t xml:space="preserve">1301 MAHONING AVE NW</t>
  </si>
  <si>
    <t xml:space="preserve">OH0019252410</t>
  </si>
  <si>
    <t xml:space="preserve">1988-12-15</t>
  </si>
  <si>
    <t xml:space="preserve">OH0021297651</t>
  </si>
  <si>
    <t xml:space="preserve">FUENTES PIERCE</t>
  </si>
  <si>
    <t xml:space="preserve">CANDACE</t>
  </si>
  <si>
    <t xml:space="preserve">1967-12-10</t>
  </si>
  <si>
    <t xml:space="preserve">2024-07-25</t>
  </si>
  <si>
    <t xml:space="preserve">1320 MAHONING AVE NW</t>
  </si>
  <si>
    <t xml:space="preserve">OH0018670496</t>
  </si>
  <si>
    <t xml:space="preserve">SAUNDERS</t>
  </si>
  <si>
    <t xml:space="preserve">1939-10-19</t>
  </si>
  <si>
    <t xml:space="preserve">2023-03-14</t>
  </si>
  <si>
    <t xml:space="preserve">OH0019479808</t>
  </si>
  <si>
    <t xml:space="preserve">BOBCO</t>
  </si>
  <si>
    <t xml:space="preserve">1949-11-11</t>
  </si>
  <si>
    <t xml:space="preserve">OH0015790071</t>
  </si>
  <si>
    <t xml:space="preserve">1927-04-05</t>
  </si>
  <si>
    <t xml:space="preserve">OH0023907828</t>
  </si>
  <si>
    <t xml:space="preserve">KUBUJ</t>
  </si>
  <si>
    <t xml:space="preserve">MARCIA</t>
  </si>
  <si>
    <t xml:space="preserve">1959-07-02</t>
  </si>
  <si>
    <t xml:space="preserve">OH0025532561</t>
  </si>
  <si>
    <t xml:space="preserve">1957-05-20</t>
  </si>
  <si>
    <t xml:space="preserve">2025-03-03</t>
  </si>
  <si>
    <t xml:space="preserve">OH0027240235</t>
  </si>
  <si>
    <t xml:space="preserve">HENSLEY</t>
  </si>
  <si>
    <t xml:space="preserve">1957-06-09</t>
  </si>
  <si>
    <t xml:space="preserve">OH0025060175</t>
  </si>
  <si>
    <t xml:space="preserve">LYTLE</t>
  </si>
  <si>
    <t xml:space="preserve">1948-03-19</t>
  </si>
  <si>
    <t xml:space="preserve">2021-03-25</t>
  </si>
  <si>
    <t xml:space="preserve">OH0025532534</t>
  </si>
  <si>
    <t xml:space="preserve">1958-09-25</t>
  </si>
  <si>
    <t xml:space="preserve">2020-03-06</t>
  </si>
  <si>
    <t xml:space="preserve">OH0015769766</t>
  </si>
  <si>
    <t xml:space="preserve">PERNICE</t>
  </si>
  <si>
    <t xml:space="preserve">1925-03-22</t>
  </si>
  <si>
    <t xml:space="preserve">2018-08-24</t>
  </si>
  <si>
    <t xml:space="preserve">OH0019480046</t>
  </si>
  <si>
    <t xml:space="preserve">ELLIOTT</t>
  </si>
  <si>
    <t xml:space="preserve">1960-12-08</t>
  </si>
  <si>
    <t xml:space="preserve">OH0022356292</t>
  </si>
  <si>
    <t xml:space="preserve">1951-02-04</t>
  </si>
  <si>
    <t xml:space="preserve">2024-02-19</t>
  </si>
  <si>
    <t xml:space="preserve">1325 MAHONING AVE NW</t>
  </si>
  <si>
    <t xml:space="preserve">OH0015746350</t>
  </si>
  <si>
    <t xml:space="preserve">CROMLEY</t>
  </si>
  <si>
    <t xml:space="preserve">1933-08-23</t>
  </si>
  <si>
    <t xml:space="preserve">1340 MAHONING AVE NW</t>
  </si>
  <si>
    <t xml:space="preserve">UNIT 224</t>
  </si>
  <si>
    <t xml:space="preserve">OH0015798100</t>
  </si>
  <si>
    <t xml:space="preserve">LUOMA</t>
  </si>
  <si>
    <t xml:space="preserve">1932-08-30</t>
  </si>
  <si>
    <t xml:space="preserve">APT 203</t>
  </si>
  <si>
    <t xml:space="preserve">OH0018743935</t>
  </si>
  <si>
    <t xml:space="preserve">LESLEIN</t>
  </si>
  <si>
    <t xml:space="preserve">1935-01-24</t>
  </si>
  <si>
    <t xml:space="preserve">112</t>
  </si>
  <si>
    <t xml:space="preserve">OH0018597342</t>
  </si>
  <si>
    <t xml:space="preserve">JEWELL</t>
  </si>
  <si>
    <t xml:space="preserve">1917-09-04</t>
  </si>
  <si>
    <t xml:space="preserve">APT 120</t>
  </si>
  <si>
    <t xml:space="preserve">OH0015779833</t>
  </si>
  <si>
    <t xml:space="preserve">EILEEN</t>
  </si>
  <si>
    <t xml:space="preserve">1946-12-01</t>
  </si>
  <si>
    <t xml:space="preserve">APT 102</t>
  </si>
  <si>
    <t xml:space="preserve">OH0015711620</t>
  </si>
  <si>
    <t xml:space="preserve">TOOT</t>
  </si>
  <si>
    <t xml:space="preserve">1943-07-17</t>
  </si>
  <si>
    <t xml:space="preserve">2024-02-13</t>
  </si>
  <si>
    <t xml:space="preserve">APT 119</t>
  </si>
  <si>
    <t xml:space="preserve">OH0015798432</t>
  </si>
  <si>
    <t xml:space="preserve">1928-10-20</t>
  </si>
  <si>
    <t xml:space="preserve">APT 214</t>
  </si>
  <si>
    <t xml:space="preserve">OH0022801546</t>
  </si>
  <si>
    <t xml:space="preserve">ROMANOVA</t>
  </si>
  <si>
    <t xml:space="preserve">TATYANA</t>
  </si>
  <si>
    <t xml:space="preserve">1945-07-23</t>
  </si>
  <si>
    <t xml:space="preserve">APT 123</t>
  </si>
  <si>
    <t xml:space="preserve">OH0027665839</t>
  </si>
  <si>
    <t xml:space="preserve">MERCER</t>
  </si>
  <si>
    <t xml:space="preserve">1949-11-03</t>
  </si>
  <si>
    <t xml:space="preserve">APT 104</t>
  </si>
  <si>
    <t xml:space="preserve">OH0015797014</t>
  </si>
  <si>
    <t xml:space="preserve">BUSH</t>
  </si>
  <si>
    <t xml:space="preserve">1927-07-03</t>
  </si>
  <si>
    <t xml:space="preserve">2010-08-10</t>
  </si>
  <si>
    <t xml:space="preserve">APT 202</t>
  </si>
  <si>
    <t xml:space="preserve">OH0019307565</t>
  </si>
  <si>
    <t xml:space="preserve">BAER DRUMMOND</t>
  </si>
  <si>
    <t xml:space="preserve">1932-11-30</t>
  </si>
  <si>
    <t xml:space="preserve">OH0015793937</t>
  </si>
  <si>
    <t xml:space="preserve">VERBOSKY</t>
  </si>
  <si>
    <t xml:space="preserve">1923-09-07</t>
  </si>
  <si>
    <t xml:space="preserve">2017-03-02</t>
  </si>
  <si>
    <t xml:space="preserve">APT 122</t>
  </si>
  <si>
    <t xml:space="preserve">OH0015791420</t>
  </si>
  <si>
    <t xml:space="preserve">1938-08-28</t>
  </si>
  <si>
    <t xml:space="preserve">OH0015807507</t>
  </si>
  <si>
    <t xml:space="preserve">COOK</t>
  </si>
  <si>
    <t xml:space="preserve">LAJUNE</t>
  </si>
  <si>
    <t xml:space="preserve">1952-06-29</t>
  </si>
  <si>
    <t xml:space="preserve">APT 107</t>
  </si>
  <si>
    <t xml:space="preserve">OH0015707187</t>
  </si>
  <si>
    <t xml:space="preserve">1950-06-03</t>
  </si>
  <si>
    <t xml:space="preserve">2022-03-22</t>
  </si>
  <si>
    <t xml:space="preserve">APT 206</t>
  </si>
  <si>
    <t xml:space="preserve">OH0015694748</t>
  </si>
  <si>
    <t xml:space="preserve">MARINO</t>
  </si>
  <si>
    <t xml:space="preserve">ORLANDO</t>
  </si>
  <si>
    <t xml:space="preserve">1929-09-20</t>
  </si>
  <si>
    <t xml:space="preserve">APT 103</t>
  </si>
  <si>
    <t xml:space="preserve">OH0015801566</t>
  </si>
  <si>
    <t xml:space="preserve">RININGER</t>
  </si>
  <si>
    <t xml:space="preserve">1948-10-01</t>
  </si>
  <si>
    <t xml:space="preserve">APT 106</t>
  </si>
  <si>
    <t xml:space="preserve">OH0024100796</t>
  </si>
  <si>
    <t xml:space="preserve">TESTA</t>
  </si>
  <si>
    <t xml:space="preserve">1940-09-12</t>
  </si>
  <si>
    <t xml:space="preserve">APT 201</t>
  </si>
  <si>
    <t xml:space="preserve">OH0015694987</t>
  </si>
  <si>
    <t xml:space="preserve">GRIGGS</t>
  </si>
  <si>
    <t xml:space="preserve">DORIS</t>
  </si>
  <si>
    <t xml:space="preserve">1939-02-24</t>
  </si>
  <si>
    <t xml:space="preserve">APT 116</t>
  </si>
  <si>
    <t xml:space="preserve">OH0023444790</t>
  </si>
  <si>
    <t xml:space="preserve">GORRELL</t>
  </si>
  <si>
    <t xml:space="preserve">1946-10-24</t>
  </si>
  <si>
    <t xml:space="preserve">2021-09-17</t>
  </si>
  <si>
    <t xml:space="preserve">APT 205</t>
  </si>
  <si>
    <t xml:space="preserve">OH0021046758</t>
  </si>
  <si>
    <t xml:space="preserve">BASS</t>
  </si>
  <si>
    <t xml:space="preserve">1923-06-25</t>
  </si>
  <si>
    <t xml:space="preserve">2021-09-16</t>
  </si>
  <si>
    <t xml:space="preserve">APT 217</t>
  </si>
  <si>
    <t xml:space="preserve">OH0015798358</t>
  </si>
  <si>
    <t xml:space="preserve">BARTHA</t>
  </si>
  <si>
    <t xml:space="preserve">1943-05-11</t>
  </si>
  <si>
    <t xml:space="preserve">2018-03-16</t>
  </si>
  <si>
    <t xml:space="preserve">OH0015687631</t>
  </si>
  <si>
    <t xml:space="preserve">PATCHIN</t>
  </si>
  <si>
    <t xml:space="preserve">1935-09-21</t>
  </si>
  <si>
    <t xml:space="preserve">2019-04-08</t>
  </si>
  <si>
    <t xml:space="preserve">OH0015684596</t>
  </si>
  <si>
    <t xml:space="preserve">KLINGMAN</t>
  </si>
  <si>
    <t xml:space="preserve">1928-12-14</t>
  </si>
  <si>
    <t xml:space="preserve">APT 220</t>
  </si>
  <si>
    <t xml:space="preserve">OH0015756390</t>
  </si>
  <si>
    <t xml:space="preserve">YANCY</t>
  </si>
  <si>
    <t xml:space="preserve">MILDRED</t>
  </si>
  <si>
    <t xml:space="preserve">1932-03-06</t>
  </si>
  <si>
    <t xml:space="preserve">2024-09-24</t>
  </si>
  <si>
    <t xml:space="preserve">APT 208</t>
  </si>
  <si>
    <t xml:space="preserve">OH0015790034</t>
  </si>
  <si>
    <t xml:space="preserve">SLOAN</t>
  </si>
  <si>
    <t xml:space="preserve">1938-05-20</t>
  </si>
  <si>
    <t xml:space="preserve">2023-04-17</t>
  </si>
  <si>
    <t xml:space="preserve">OH0015801232</t>
  </si>
  <si>
    <t xml:space="preserve">GIZZI</t>
  </si>
  <si>
    <t xml:space="preserve">1930-05-07</t>
  </si>
  <si>
    <t xml:space="preserve">2023-10-02</t>
  </si>
  <si>
    <t xml:space="preserve">123</t>
  </si>
  <si>
    <t xml:space="preserve">OH0015732104</t>
  </si>
  <si>
    <t xml:space="preserve">DIGIOVANNI</t>
  </si>
  <si>
    <t xml:space="preserve">1351 MAHONING AVE NW</t>
  </si>
  <si>
    <t xml:space="preserve">OH0025536701</t>
  </si>
  <si>
    <t xml:space="preserve">1960-05-25</t>
  </si>
  <si>
    <t xml:space="preserve">2020-04-21</t>
  </si>
  <si>
    <t xml:space="preserve">1368 MAHONING AVE NW</t>
  </si>
  <si>
    <t xml:space="preserve">OH0026793510</t>
  </si>
  <si>
    <t xml:space="preserve">TATE</t>
  </si>
  <si>
    <t xml:space="preserve">DARRYL</t>
  </si>
  <si>
    <t xml:space="preserve">LWMON</t>
  </si>
  <si>
    <t xml:space="preserve">1987-06-11</t>
  </si>
  <si>
    <t xml:space="preserve">1373 MAHONING AVE NW</t>
  </si>
  <si>
    <t xml:space="preserve">APT 101</t>
  </si>
  <si>
    <t xml:space="preserve">OH0026814154</t>
  </si>
  <si>
    <t xml:space="preserve">JAZMINE</t>
  </si>
  <si>
    <t xml:space="preserve">RAANEE</t>
  </si>
  <si>
    <t xml:space="preserve">2002-05-24</t>
  </si>
  <si>
    <t xml:space="preserve">OH0022046252</t>
  </si>
  <si>
    <t xml:space="preserve">LINDELL</t>
  </si>
  <si>
    <t xml:space="preserve">1976-01-13</t>
  </si>
  <si>
    <t xml:space="preserve">OH0015716207</t>
  </si>
  <si>
    <t xml:space="preserve">BURGESS</t>
  </si>
  <si>
    <t xml:space="preserve">SHAKIEYA</t>
  </si>
  <si>
    <t xml:space="preserve">1983-01-14</t>
  </si>
  <si>
    <t xml:space="preserve">1375 MAHONING AVE NW</t>
  </si>
  <si>
    <t xml:space="preserve">OH0021803705</t>
  </si>
  <si>
    <t xml:space="preserve">JADYAHA</t>
  </si>
  <si>
    <t xml:space="preserve">1996-07-01</t>
  </si>
  <si>
    <t xml:space="preserve">APT 207</t>
  </si>
  <si>
    <t xml:space="preserve">OH0026905265</t>
  </si>
  <si>
    <t xml:space="preserve">TURNER</t>
  </si>
  <si>
    <t xml:space="preserve">1970-03-23</t>
  </si>
  <si>
    <t xml:space="preserve">2023-05-27</t>
  </si>
  <si>
    <t xml:space="preserve">OH0022354654</t>
  </si>
  <si>
    <t xml:space="preserve">STANLEY</t>
  </si>
  <si>
    <t xml:space="preserve">BERTON</t>
  </si>
  <si>
    <t xml:space="preserve">1951-01-20</t>
  </si>
  <si>
    <t xml:space="preserve">2017-08-29</t>
  </si>
  <si>
    <t xml:space="preserve">OH0015759139</t>
  </si>
  <si>
    <t xml:space="preserve">MODENA</t>
  </si>
  <si>
    <t xml:space="preserve">2024-02-15</t>
  </si>
  <si>
    <t xml:space="preserve">OH0025555284</t>
  </si>
  <si>
    <t xml:space="preserve">1981-11-09</t>
  </si>
  <si>
    <t xml:space="preserve">OH0022316943</t>
  </si>
  <si>
    <t xml:space="preserve">WALLS</t>
  </si>
  <si>
    <t xml:space="preserve">MICHAL</t>
  </si>
  <si>
    <t xml:space="preserve">1976-06-07</t>
  </si>
  <si>
    <t xml:space="preserve">OH0027839118</t>
  </si>
  <si>
    <t xml:space="preserve">DA JAH</t>
  </si>
  <si>
    <t xml:space="preserve">DENORA</t>
  </si>
  <si>
    <t xml:space="preserve">2024-10-27</t>
  </si>
  <si>
    <t xml:space="preserve">APT 305</t>
  </si>
  <si>
    <t xml:space="preserve">OH0027525995</t>
  </si>
  <si>
    <t xml:space="preserve">DAVIES MONROE</t>
  </si>
  <si>
    <t xml:space="preserve">2006-08-19</t>
  </si>
  <si>
    <t xml:space="preserve">OH0015747978</t>
  </si>
  <si>
    <t xml:space="preserve">1963-02-16</t>
  </si>
  <si>
    <t xml:space="preserve">2024-07-09</t>
  </si>
  <si>
    <t xml:space="preserve">APT 307D</t>
  </si>
  <si>
    <t xml:space="preserve">OH0023673902</t>
  </si>
  <si>
    <t xml:space="preserve">LENELL</t>
  </si>
  <si>
    <t xml:space="preserve">TREVON</t>
  </si>
  <si>
    <t xml:space="preserve">1996-04-12</t>
  </si>
  <si>
    <t xml:space="preserve">2016-03-22</t>
  </si>
  <si>
    <t xml:space="preserve">APT 308</t>
  </si>
  <si>
    <t xml:space="preserve">OH0021797031</t>
  </si>
  <si>
    <t xml:space="preserve">PENNOCK</t>
  </si>
  <si>
    <t xml:space="preserve">1991-04-11</t>
  </si>
  <si>
    <t xml:space="preserve">APT 108D</t>
  </si>
  <si>
    <t xml:space="preserve">OH0022813177</t>
  </si>
  <si>
    <t xml:space="preserve">1989-06-22</t>
  </si>
  <si>
    <t xml:space="preserve">OH0018596916</t>
  </si>
  <si>
    <t xml:space="preserve">DAIL</t>
  </si>
  <si>
    <t xml:space="preserve">APT 308 D</t>
  </si>
  <si>
    <t xml:space="preserve">OH0027680784</t>
  </si>
  <si>
    <t xml:space="preserve">ERIKA</t>
  </si>
  <si>
    <t xml:space="preserve">KRISHEL</t>
  </si>
  <si>
    <t xml:space="preserve">2002-11-22</t>
  </si>
  <si>
    <t xml:space="preserve">1377 MAHONING AVE NW</t>
  </si>
  <si>
    <t xml:space="preserve">APT 304D</t>
  </si>
  <si>
    <t xml:space="preserve">OH0015712909</t>
  </si>
  <si>
    <t xml:space="preserve">POLLARD</t>
  </si>
  <si>
    <t xml:space="preserve">2025-03-14</t>
  </si>
  <si>
    <t xml:space="preserve">APT 204</t>
  </si>
  <si>
    <t xml:space="preserve">OH0015691954</t>
  </si>
  <si>
    <t xml:space="preserve">HORNER</t>
  </si>
  <si>
    <t xml:space="preserve">1950-06-23</t>
  </si>
  <si>
    <t xml:space="preserve">1981-09-04</t>
  </si>
  <si>
    <t xml:space="preserve">APT 203D</t>
  </si>
  <si>
    <t xml:space="preserve">OH0015687785</t>
  </si>
  <si>
    <t xml:space="preserve">DUDLEY</t>
  </si>
  <si>
    <t xml:space="preserve">1962-10-20</t>
  </si>
  <si>
    <t xml:space="preserve">1980-10-03</t>
  </si>
  <si>
    <t xml:space="preserve">APT 303</t>
  </si>
  <si>
    <t xml:space="preserve">OH0026992194</t>
  </si>
  <si>
    <t xml:space="preserve">MARCI</t>
  </si>
  <si>
    <t xml:space="preserve">1974-04-27</t>
  </si>
  <si>
    <t xml:space="preserve">OH0026734752</t>
  </si>
  <si>
    <t xml:space="preserve">SHUTTLESWORTH</t>
  </si>
  <si>
    <t xml:space="preserve">2023-05-03</t>
  </si>
  <si>
    <t xml:space="preserve">APT 301D</t>
  </si>
  <si>
    <t xml:space="preserve">OH0024628772</t>
  </si>
  <si>
    <t xml:space="preserve">CORNELL</t>
  </si>
  <si>
    <t xml:space="preserve">GREG</t>
  </si>
  <si>
    <t xml:space="preserve">2018-04-15</t>
  </si>
  <si>
    <t xml:space="preserve">OH0015783135</t>
  </si>
  <si>
    <t xml:space="preserve">1973-07-11</t>
  </si>
  <si>
    <t xml:space="preserve">2020-07-04</t>
  </si>
  <si>
    <t xml:space="preserve">APT 304-D</t>
  </si>
  <si>
    <t xml:space="preserve">OH0015754364</t>
  </si>
  <si>
    <t xml:space="preserve">PERRICELLIA</t>
  </si>
  <si>
    <t xml:space="preserve">1979-08-07</t>
  </si>
  <si>
    <t xml:space="preserve">OH0020930153</t>
  </si>
  <si>
    <t xml:space="preserve">ROSA</t>
  </si>
  <si>
    <t xml:space="preserve">1958-12-07</t>
  </si>
  <si>
    <t xml:space="preserve">2015-10-03</t>
  </si>
  <si>
    <t xml:space="preserve">OH0020648344</t>
  </si>
  <si>
    <t xml:space="preserve">BOWER</t>
  </si>
  <si>
    <t xml:space="preserve">1989-10-03</t>
  </si>
  <si>
    <t xml:space="preserve">1379 MAHONING AVE NW</t>
  </si>
  <si>
    <t xml:space="preserve">APT 301</t>
  </si>
  <si>
    <t xml:space="preserve">OH0015720957</t>
  </si>
  <si>
    <t xml:space="preserve">WIESNER</t>
  </si>
  <si>
    <t xml:space="preserve">1968-05-18</t>
  </si>
  <si>
    <t xml:space="preserve">2024-02-20</t>
  </si>
  <si>
    <t xml:space="preserve">APT 302</t>
  </si>
  <si>
    <t xml:space="preserve">OH0015733021</t>
  </si>
  <si>
    <t xml:space="preserve">1964-04-18</t>
  </si>
  <si>
    <t xml:space="preserve">APT 203B</t>
  </si>
  <si>
    <t xml:space="preserve">OH0015740491</t>
  </si>
  <si>
    <t xml:space="preserve">1980-03-12</t>
  </si>
  <si>
    <t xml:space="preserve">OH0023443477</t>
  </si>
  <si>
    <t xml:space="preserve">1969-11-20</t>
  </si>
  <si>
    <t xml:space="preserve">2021-09-21</t>
  </si>
  <si>
    <t xml:space="preserve">1381 MAHONING AVE NW</t>
  </si>
  <si>
    <t xml:space="preserve">OH0023727586</t>
  </si>
  <si>
    <t xml:space="preserve">FOLMAR</t>
  </si>
  <si>
    <t xml:space="preserve">NAZIYAH</t>
  </si>
  <si>
    <t xml:space="preserve">1997-11-18</t>
  </si>
  <si>
    <t xml:space="preserve">OH0024396011</t>
  </si>
  <si>
    <t xml:space="preserve">MADERA</t>
  </si>
  <si>
    <t xml:space="preserve">LOVE</t>
  </si>
  <si>
    <t xml:space="preserve">APT 303A</t>
  </si>
  <si>
    <t xml:space="preserve">OH0021095142</t>
  </si>
  <si>
    <t xml:space="preserve">1990-12-31</t>
  </si>
  <si>
    <t xml:space="preserve">2024-01-30</t>
  </si>
  <si>
    <t xml:space="preserve">APT 301A</t>
  </si>
  <si>
    <t xml:space="preserve">OH0027928237</t>
  </si>
  <si>
    <t xml:space="preserve">DONERSON</t>
  </si>
  <si>
    <t xml:space="preserve">ELLISON</t>
  </si>
  <si>
    <t xml:space="preserve">1985-03-31</t>
  </si>
  <si>
    <t xml:space="preserve">2025-04-02</t>
  </si>
  <si>
    <t xml:space="preserve">OH0015750730</t>
  </si>
  <si>
    <t xml:space="preserve">NEWELL</t>
  </si>
  <si>
    <t xml:space="preserve">GINA</t>
  </si>
  <si>
    <t xml:space="preserve">1981-08-11</t>
  </si>
  <si>
    <t xml:space="preserve">2000-03-07</t>
  </si>
  <si>
    <t xml:space="preserve">APT 104A</t>
  </si>
  <si>
    <t xml:space="preserve">OH0027497500</t>
  </si>
  <si>
    <t xml:space="preserve">ASHBY</t>
  </si>
  <si>
    <t xml:space="preserve">1975-01-29</t>
  </si>
  <si>
    <t xml:space="preserve">1397 MAHONING AVE NW</t>
  </si>
  <si>
    <t xml:space="preserve">OH0026119557</t>
  </si>
  <si>
    <t xml:space="preserve">MAMULA</t>
  </si>
  <si>
    <t xml:space="preserve">2021-03-10</t>
  </si>
  <si>
    <t xml:space="preserve">1404 MAHONING AVE NW</t>
  </si>
  <si>
    <t xml:space="preserve">OH0015716986</t>
  </si>
  <si>
    <t xml:space="preserve">1958-08-15</t>
  </si>
  <si>
    <t xml:space="preserve">2015-07-14</t>
  </si>
  <si>
    <t xml:space="preserve">1416 MAHONING AVE NW</t>
  </si>
  <si>
    <t xml:space="preserve">OH0019538275</t>
  </si>
  <si>
    <t xml:space="preserve">ALISON</t>
  </si>
  <si>
    <t xml:space="preserve">1990-05-29</t>
  </si>
  <si>
    <t xml:space="preserve">OH0015769869</t>
  </si>
  <si>
    <t xml:space="preserve">1959-11-18</t>
  </si>
  <si>
    <t xml:space="preserve">OH0024850327</t>
  </si>
  <si>
    <t xml:space="preserve">1988-07-26</t>
  </si>
  <si>
    <t xml:space="preserve">1436 MAHONING AVE NW</t>
  </si>
  <si>
    <t xml:space="preserve">OH0026799623</t>
  </si>
  <si>
    <t xml:space="preserve">SANAME</t>
  </si>
  <si>
    <t xml:space="preserve">WENDY</t>
  </si>
  <si>
    <t xml:space="preserve">RACHELLE</t>
  </si>
  <si>
    <t xml:space="preserve">1983-08-19</t>
  </si>
  <si>
    <t xml:space="preserve">2023-01-03</t>
  </si>
  <si>
    <t xml:space="preserve">OH0023443958</t>
  </si>
  <si>
    <t xml:space="preserve">1950-05-22</t>
  </si>
  <si>
    <t xml:space="preserve">2015-10-23</t>
  </si>
  <si>
    <t xml:space="preserve">OH0024060033</t>
  </si>
  <si>
    <t xml:space="preserve">MARTINEZ</t>
  </si>
  <si>
    <t xml:space="preserve">1998-10-31</t>
  </si>
  <si>
    <t xml:space="preserve">OH0015782403</t>
  </si>
  <si>
    <t xml:space="preserve">FITZWATER</t>
  </si>
  <si>
    <t xml:space="preserve">SUSANNE</t>
  </si>
  <si>
    <t xml:space="preserve">1941-07-07</t>
  </si>
  <si>
    <t xml:space="preserve">2008-05-03</t>
  </si>
  <si>
    <t xml:space="preserve">1446 MAHONING AVE NW</t>
  </si>
  <si>
    <t xml:space="preserve">OH0015730249</t>
  </si>
  <si>
    <t xml:space="preserve">BELINDA</t>
  </si>
  <si>
    <t xml:space="preserve">1951-05-19</t>
  </si>
  <si>
    <t xml:space="preserve">1977-10-08</t>
  </si>
  <si>
    <t xml:space="preserve">1506 MAHONING AVE NW</t>
  </si>
  <si>
    <t xml:space="preserve">OH0015728553</t>
  </si>
  <si>
    <t xml:space="preserve">1949-11-28</t>
  </si>
  <si>
    <t xml:space="preserve">OH0027751726</t>
  </si>
  <si>
    <t xml:space="preserve">AMORE</t>
  </si>
  <si>
    <t xml:space="preserve">2003-05-30</t>
  </si>
  <si>
    <t xml:space="preserve">1520 MAHONING AVE NW</t>
  </si>
  <si>
    <t xml:space="preserve">OH0027751558</t>
  </si>
  <si>
    <t xml:space="preserve">AMIRE</t>
  </si>
  <si>
    <t xml:space="preserve">OH0015740499</t>
  </si>
  <si>
    <t xml:space="preserve">1986-02-14</t>
  </si>
  <si>
    <t xml:space="preserve">2020-02-26</t>
  </si>
  <si>
    <t xml:space="preserve">1526 MAHONING AVE NW</t>
  </si>
  <si>
    <t xml:space="preserve">OH0023757361</t>
  </si>
  <si>
    <t xml:space="preserve">FISHER</t>
  </si>
  <si>
    <t xml:space="preserve">JONAH</t>
  </si>
  <si>
    <t xml:space="preserve">1998-06-25</t>
  </si>
  <si>
    <t xml:space="preserve">2023-02-08</t>
  </si>
  <si>
    <t xml:space="preserve">1536 MAHONING AVE NW</t>
  </si>
  <si>
    <t xml:space="preserve">OH0015803909</t>
  </si>
  <si>
    <t xml:space="preserve">SEEMANN</t>
  </si>
  <si>
    <t xml:space="preserve">1962-07-17</t>
  </si>
  <si>
    <t xml:space="preserve">2023-09-15</t>
  </si>
  <si>
    <t xml:space="preserve">1546 MAHONING AVE NW</t>
  </si>
  <si>
    <t xml:space="preserve">OH0015743868</t>
  </si>
  <si>
    <t xml:space="preserve">1963-05-18</t>
  </si>
  <si>
    <t xml:space="preserve">OH0019009370</t>
  </si>
  <si>
    <t xml:space="preserve">NICOLETTE</t>
  </si>
  <si>
    <t xml:space="preserve">SASHA</t>
  </si>
  <si>
    <t xml:space="preserve">1987-07-16</t>
  </si>
  <si>
    <t xml:space="preserve">2019-07-11</t>
  </si>
  <si>
    <t xml:space="preserve">OH0023442803</t>
  </si>
  <si>
    <t xml:space="preserve">1963-08-22</t>
  </si>
  <si>
    <t xml:space="preserve">1608 MAHONING AVE NW</t>
  </si>
  <si>
    <t xml:space="preserve">OH0023153750</t>
  </si>
  <si>
    <t xml:space="preserve">BRENDAN</t>
  </si>
  <si>
    <t xml:space="preserve">1994-05-07</t>
  </si>
  <si>
    <t xml:space="preserve">2024-10-29</t>
  </si>
  <si>
    <t xml:space="preserve">OH0015807189</t>
  </si>
  <si>
    <t xml:space="preserve">1954-08-03</t>
  </si>
  <si>
    <t xml:space="preserve">2019-09-24</t>
  </si>
  <si>
    <t xml:space="preserve">1640 MAHONING AVE NW</t>
  </si>
  <si>
    <t xml:space="preserve">OH0018670305</t>
  </si>
  <si>
    <t xml:space="preserve">BLUNK</t>
  </si>
  <si>
    <t xml:space="preserve">1987-04-15</t>
  </si>
  <si>
    <t xml:space="preserve">2020-07-22</t>
  </si>
  <si>
    <t xml:space="preserve">1662 MAHONING AVE NW</t>
  </si>
  <si>
    <t xml:space="preserve">OH0025956776</t>
  </si>
  <si>
    <t xml:space="preserve">RAELYN</t>
  </si>
  <si>
    <t xml:space="preserve">2001-10-13</t>
  </si>
  <si>
    <t xml:space="preserve">1810 MAHONING AVE NW</t>
  </si>
  <si>
    <t xml:space="preserve">OH0019241954</t>
  </si>
  <si>
    <t xml:space="preserve">OH0018829689</t>
  </si>
  <si>
    <t xml:space="preserve">RAMONA</t>
  </si>
  <si>
    <t xml:space="preserve">DENICE</t>
  </si>
  <si>
    <t xml:space="preserve">1987-12-13</t>
  </si>
  <si>
    <t xml:space="preserve">2025-01-30</t>
  </si>
  <si>
    <t xml:space="preserve">OH0020534521</t>
  </si>
  <si>
    <t xml:space="preserve">OH0015797222</t>
  </si>
  <si>
    <t xml:space="preserve">SAVANYU</t>
  </si>
  <si>
    <t xml:space="preserve">1959-07-18</t>
  </si>
  <si>
    <t xml:space="preserve">2025-01-22</t>
  </si>
  <si>
    <t xml:space="preserve">APT 6</t>
  </si>
  <si>
    <t xml:space="preserve">OH0023877075</t>
  </si>
  <si>
    <t xml:space="preserve">1995-08-11</t>
  </si>
  <si>
    <t xml:space="preserve">1834 MAHONING AVE NW</t>
  </si>
  <si>
    <t xml:space="preserve">OH0023021199</t>
  </si>
  <si>
    <t xml:space="preserve">HANEY</t>
  </si>
  <si>
    <t xml:space="preserve">DARRELL</t>
  </si>
  <si>
    <t xml:space="preserve">1972-11-16</t>
  </si>
  <si>
    <t xml:space="preserve">2014-11-03</t>
  </si>
  <si>
    <t xml:space="preserve">OH0024442938</t>
  </si>
  <si>
    <t xml:space="preserve">HUFF</t>
  </si>
  <si>
    <t xml:space="preserve">1996-08-20</t>
  </si>
  <si>
    <t xml:space="preserve">OH0025038217</t>
  </si>
  <si>
    <t xml:space="preserve">JUSTINA</t>
  </si>
  <si>
    <t xml:space="preserve">1988-08-11</t>
  </si>
  <si>
    <t xml:space="preserve">2022-08-10</t>
  </si>
  <si>
    <t xml:space="preserve">OH0015736931</t>
  </si>
  <si>
    <t xml:space="preserve">BALDRIDGE</t>
  </si>
  <si>
    <t xml:space="preserve">CHESTER</t>
  </si>
  <si>
    <t xml:space="preserve">1960-10-26</t>
  </si>
  <si>
    <t xml:space="preserve">1860 MAHONING AVE NW</t>
  </si>
  <si>
    <t xml:space="preserve">OH0023647361</t>
  </si>
  <si>
    <t xml:space="preserve">JEFFREL</t>
  </si>
  <si>
    <t xml:space="preserve">OH0015723620</t>
  </si>
  <si>
    <t xml:space="preserve">ESTES</t>
  </si>
  <si>
    <t xml:space="preserve">1969-12-19</t>
  </si>
  <si>
    <t xml:space="preserve">OH0015772105</t>
  </si>
  <si>
    <t xml:space="preserve">WILMA</t>
  </si>
  <si>
    <t xml:space="preserve">1970-08-12</t>
  </si>
  <si>
    <t xml:space="preserve">APT 306</t>
  </si>
  <si>
    <t xml:space="preserve">OH0025044834</t>
  </si>
  <si>
    <t xml:space="preserve">TORRES RIVERA</t>
  </si>
  <si>
    <t xml:space="preserve">JULIO</t>
  </si>
  <si>
    <t xml:space="preserve">1990-04-18</t>
  </si>
  <si>
    <t xml:space="preserve">2023-05-26</t>
  </si>
  <si>
    <t xml:space="preserve">OH0022701704</t>
  </si>
  <si>
    <t xml:space="preserve">ADAIR</t>
  </si>
  <si>
    <t xml:space="preserve">1991-02-26</t>
  </si>
  <si>
    <t xml:space="preserve">2022-02-10</t>
  </si>
  <si>
    <t xml:space="preserve">OH0025303095</t>
  </si>
  <si>
    <t xml:space="preserve">CECILY</t>
  </si>
  <si>
    <t xml:space="preserve">1972-04-27</t>
  </si>
  <si>
    <t xml:space="preserve">OH0015819409</t>
  </si>
  <si>
    <t xml:space="preserve">MOORE EADDY</t>
  </si>
  <si>
    <t xml:space="preserve">ANISHA</t>
  </si>
  <si>
    <t xml:space="preserve">2019-03-26</t>
  </si>
  <si>
    <t xml:space="preserve">OH0020086915</t>
  </si>
  <si>
    <t xml:space="preserve">MELODY</t>
  </si>
  <si>
    <t xml:space="preserve">2021-10-21</t>
  </si>
  <si>
    <t xml:space="preserve">OH0025571452</t>
  </si>
  <si>
    <t xml:space="preserve">MILLS</t>
  </si>
  <si>
    <t xml:space="preserve">CLAIRESSA</t>
  </si>
  <si>
    <t xml:space="preserve">1958-05-21</t>
  </si>
  <si>
    <t xml:space="preserve">2024-08-23</t>
  </si>
  <si>
    <t xml:space="preserve">OH0025536942</t>
  </si>
  <si>
    <t xml:space="preserve">FRAZIER</t>
  </si>
  <si>
    <t xml:space="preserve">KIEV</t>
  </si>
  <si>
    <t xml:space="preserve">2020-05-01</t>
  </si>
  <si>
    <t xml:space="preserve">OH0023007549</t>
  </si>
  <si>
    <t xml:space="preserve">BURR</t>
  </si>
  <si>
    <t xml:space="preserve">MITTIE</t>
  </si>
  <si>
    <t xml:space="preserve">1972-06-01</t>
  </si>
  <si>
    <t xml:space="preserve">2025-05-23</t>
  </si>
  <si>
    <t xml:space="preserve">OH0022169217</t>
  </si>
  <si>
    <t xml:space="preserve">VALERIE</t>
  </si>
  <si>
    <t xml:space="preserve">1956-10-28</t>
  </si>
  <si>
    <t xml:space="preserve">2022-10-02</t>
  </si>
  <si>
    <t xml:space="preserve">OH0026240050</t>
  </si>
  <si>
    <t xml:space="preserve">MARLO</t>
  </si>
  <si>
    <t xml:space="preserve">1969-09-22</t>
  </si>
  <si>
    <t xml:space="preserve">2023-07-29</t>
  </si>
  <si>
    <t xml:space="preserve">OH0015784253</t>
  </si>
  <si>
    <t xml:space="preserve">1982-03-12</t>
  </si>
  <si>
    <t xml:space="preserve">OH0023075626</t>
  </si>
  <si>
    <t xml:space="preserve">1971-03-01</t>
  </si>
  <si>
    <t xml:space="preserve">2020-07-24</t>
  </si>
  <si>
    <t xml:space="preserve">OH0025057608</t>
  </si>
  <si>
    <t xml:space="preserve">SANDERS</t>
  </si>
  <si>
    <t xml:space="preserve">KEMARI</t>
  </si>
  <si>
    <t xml:space="preserve">MIKEYA</t>
  </si>
  <si>
    <t xml:space="preserve">2000-11-27</t>
  </si>
  <si>
    <t xml:space="preserve">2024-02-05</t>
  </si>
  <si>
    <t xml:space="preserve">APT 304</t>
  </si>
  <si>
    <t xml:space="preserve">OH0025554607</t>
  </si>
  <si>
    <t xml:space="preserve">STEFANIK</t>
  </si>
  <si>
    <t xml:space="preserve">1991-10-23</t>
  </si>
  <si>
    <t xml:space="preserve">OH0015788480</t>
  </si>
  <si>
    <t xml:space="preserve">COULTER</t>
  </si>
  <si>
    <t xml:space="preserve">VERA</t>
  </si>
  <si>
    <t xml:space="preserve">1979-06-27</t>
  </si>
  <si>
    <t xml:space="preserve">1904 MAHONING AVE NW</t>
  </si>
  <si>
    <t xml:space="preserve">OH0023145873</t>
  </si>
  <si>
    <t xml:space="preserve">VIINALASS</t>
  </si>
  <si>
    <t xml:space="preserve">1983-01-24</t>
  </si>
  <si>
    <t xml:space="preserve">1916 MAHONING AVE NW</t>
  </si>
  <si>
    <t xml:space="preserve">OH0027606545</t>
  </si>
  <si>
    <t xml:space="preserve">BLAND</t>
  </si>
  <si>
    <t xml:space="preserve">CHARNAE</t>
  </si>
  <si>
    <t xml:space="preserve">AZURAE FREDERICK</t>
  </si>
  <si>
    <t xml:space="preserve">1994-10-29</t>
  </si>
  <si>
    <t xml:space="preserve">2024-09-06</t>
  </si>
  <si>
    <t xml:space="preserve">1930 MAHONING AVE NW</t>
  </si>
  <si>
    <t xml:space="preserve">OH0022208469</t>
  </si>
  <si>
    <t xml:space="preserve">MANDY</t>
  </si>
  <si>
    <t xml:space="preserve">1982-12-03</t>
  </si>
  <si>
    <t xml:space="preserve">OH0025678366</t>
  </si>
  <si>
    <t xml:space="preserve">SHONNA</t>
  </si>
  <si>
    <t xml:space="preserve">FAY</t>
  </si>
  <si>
    <t xml:space="preserve">1975-03-06</t>
  </si>
  <si>
    <t xml:space="preserve">2023-03-16</t>
  </si>
  <si>
    <t xml:space="preserve">OH0015747783</t>
  </si>
  <si>
    <t xml:space="preserve">PETRICK</t>
  </si>
  <si>
    <t xml:space="preserve">ADRIENE</t>
  </si>
  <si>
    <t xml:space="preserve">1968-09-01</t>
  </si>
  <si>
    <t xml:space="preserve">2017-07-03</t>
  </si>
  <si>
    <t xml:space="preserve">2034 MAHONING AVE NW</t>
  </si>
  <si>
    <t xml:space="preserve">OH0015750251</t>
  </si>
  <si>
    <t xml:space="preserve">TEACHOUT</t>
  </si>
  <si>
    <t xml:space="preserve">ELISABETH</t>
  </si>
  <si>
    <t xml:space="preserve">1944-07-11</t>
  </si>
  <si>
    <t xml:space="preserve">2020-09-10</t>
  </si>
  <si>
    <t xml:space="preserve">2046 MAHONING AVE NW</t>
  </si>
  <si>
    <t xml:space="preserve">OH0027917664</t>
  </si>
  <si>
    <t xml:space="preserve">CATALINE</t>
  </si>
  <si>
    <t xml:space="preserve">ARTHUR</t>
  </si>
  <si>
    <t xml:space="preserve">1960-04-03</t>
  </si>
  <si>
    <t xml:space="preserve">OH0026283170</t>
  </si>
  <si>
    <t xml:space="preserve">2021-08-29</t>
  </si>
  <si>
    <t xml:space="preserve">2226 MAHONING AVE NW</t>
  </si>
  <si>
    <t xml:space="preserve">OH0026571411</t>
  </si>
  <si>
    <t xml:space="preserve">BLAZER</t>
  </si>
  <si>
    <t xml:space="preserve">FAYE</t>
  </si>
  <si>
    <t xml:space="preserve">1964-06-09</t>
  </si>
  <si>
    <t xml:space="preserve">2022-08-17</t>
  </si>
  <si>
    <t xml:space="preserve">2228 MAHONING AVE NW</t>
  </si>
  <si>
    <t xml:space="preserve">OH0015676449</t>
  </si>
  <si>
    <t xml:space="preserve">MANCINI</t>
  </si>
  <si>
    <t xml:space="preserve">1978-09-01</t>
  </si>
  <si>
    <t xml:space="preserve">2015-09-28</t>
  </si>
  <si>
    <t xml:space="preserve">2242 MAHONING AVE NW</t>
  </si>
  <si>
    <t xml:space="preserve">OH0025720469</t>
  </si>
  <si>
    <t xml:space="preserve">1963-10-12</t>
  </si>
  <si>
    <t xml:space="preserve">2252 MAHONING AVE NW</t>
  </si>
  <si>
    <t xml:space="preserve">OH0023092563</t>
  </si>
  <si>
    <t xml:space="preserve">RIHEL</t>
  </si>
  <si>
    <t xml:space="preserve">1961-03-29</t>
  </si>
  <si>
    <t xml:space="preserve">2023-03-27</t>
  </si>
  <si>
    <t xml:space="preserve">2312 MAHONING AVE NW</t>
  </si>
  <si>
    <t xml:space="preserve">OH0026231372</t>
  </si>
  <si>
    <t xml:space="preserve">1956-06-28</t>
  </si>
  <si>
    <t xml:space="preserve">2021-06-29</t>
  </si>
  <si>
    <t xml:space="preserve">OH0021797868</t>
  </si>
  <si>
    <t xml:space="preserve">1960-01-23</t>
  </si>
  <si>
    <t xml:space="preserve">2320 MAHONING AVE NW</t>
  </si>
  <si>
    <t xml:space="preserve">OH0018597130</t>
  </si>
  <si>
    <t xml:space="preserve">1961-03-21</t>
  </si>
  <si>
    <t xml:space="preserve">2012-05-12</t>
  </si>
  <si>
    <t xml:space="preserve">OH0027270179</t>
  </si>
  <si>
    <t xml:space="preserve">HENTOSH</t>
  </si>
  <si>
    <t xml:space="preserve">LYRA</t>
  </si>
  <si>
    <t xml:space="preserve">JAIDE</t>
  </si>
  <si>
    <t xml:space="preserve">2004-04-13</t>
  </si>
  <si>
    <t xml:space="preserve">2328 MAHONING AVE NW</t>
  </si>
  <si>
    <t xml:space="preserve">OH0027288588</t>
  </si>
  <si>
    <t xml:space="preserve">1989-05-12</t>
  </si>
  <si>
    <t xml:space="preserve">2024-03-12</t>
  </si>
  <si>
    <t xml:space="preserve">OH0027269832</t>
  </si>
  <si>
    <t xml:space="preserve">ABERDEEN</t>
  </si>
  <si>
    <t xml:space="preserve">DELEENE</t>
  </si>
  <si>
    <t xml:space="preserve">1999-01-17</t>
  </si>
  <si>
    <t xml:space="preserve">2024-02-22</t>
  </si>
  <si>
    <t xml:space="preserve">2330 MAHONING AVE NW</t>
  </si>
  <si>
    <t xml:space="preserve">OH0027130671</t>
  </si>
  <si>
    <t xml:space="preserve">BRALIN</t>
  </si>
  <si>
    <t xml:space="preserve">NAJEE</t>
  </si>
  <si>
    <t xml:space="preserve">1998-04-01</t>
  </si>
  <si>
    <t xml:space="preserve">OH0025955835</t>
  </si>
  <si>
    <t xml:space="preserve">KALE</t>
  </si>
  <si>
    <t xml:space="preserve">CODY</t>
  </si>
  <si>
    <t xml:space="preserve">1992-12-22</t>
  </si>
  <si>
    <t xml:space="preserve">2022-05-13</t>
  </si>
  <si>
    <t xml:space="preserve">2350 MAHONING AVE NW</t>
  </si>
  <si>
    <t xml:space="preserve">OH0027926144</t>
  </si>
  <si>
    <t xml:space="preserve">2007-02-26</t>
  </si>
  <si>
    <t xml:space="preserve">2025-03-31</t>
  </si>
  <si>
    <t xml:space="preserve">OH0018598037</t>
  </si>
  <si>
    <t xml:space="preserve">1987-01-23</t>
  </si>
  <si>
    <t xml:space="preserve">2024-01-18</t>
  </si>
  <si>
    <t xml:space="preserve">OH0021081255</t>
  </si>
  <si>
    <t xml:space="preserve">SWAIN</t>
  </si>
  <si>
    <t xml:space="preserve">1991-09-19</t>
  </si>
  <si>
    <t xml:space="preserve">2023-12-02</t>
  </si>
  <si>
    <t xml:space="preserve">OH0015785032</t>
  </si>
  <si>
    <t xml:space="preserve">KISS</t>
  </si>
  <si>
    <t xml:space="preserve">1934-10-02</t>
  </si>
  <si>
    <t xml:space="preserve">2016-01-19</t>
  </si>
  <si>
    <t xml:space="preserve">2430 MAHONING AVE NW</t>
  </si>
  <si>
    <t xml:space="preserve">OH0026402301</t>
  </si>
  <si>
    <t xml:space="preserve">1993-01-15</t>
  </si>
  <si>
    <t xml:space="preserve">2450 MAHONING AVE NW</t>
  </si>
  <si>
    <t xml:space="preserve">OH0027520070</t>
  </si>
  <si>
    <t xml:space="preserve">3080 MAHONING AVE NW</t>
  </si>
  <si>
    <t xml:space="preserve">TRUMBULL COUNTY ESC</t>
  </si>
  <si>
    <t xml:space="preserve">LABRAE LOCAL SD (TRUMBULL)</t>
  </si>
  <si>
    <t xml:space="preserve">OH0015906519</t>
  </si>
  <si>
    <t xml:space="preserve">PATTON</t>
  </si>
  <si>
    <t xml:space="preserve">1975-05-23</t>
  </si>
  <si>
    <t xml:space="preserve">433 MAHONING AVE NW</t>
  </si>
  <si>
    <t xml:space="preserve">OH0015779759</t>
  </si>
  <si>
    <t xml:space="preserve">1953-10-24</t>
  </si>
  <si>
    <t xml:space="preserve">2022-01-19</t>
  </si>
  <si>
    <t xml:space="preserve">437 MAHONING AVE NW</t>
  </si>
  <si>
    <t xml:space="preserve">OH0019893176</t>
  </si>
  <si>
    <t xml:space="preserve">HEPP</t>
  </si>
  <si>
    <t xml:space="preserve">1965-08-21</t>
  </si>
  <si>
    <t xml:space="preserve">441 MAHONING AVE NW</t>
  </si>
  <si>
    <t xml:space="preserve">OH0025366706</t>
  </si>
  <si>
    <t xml:space="preserve">SAFRANEK</t>
  </si>
  <si>
    <t xml:space="preserve">1989-04-11</t>
  </si>
  <si>
    <t xml:space="preserve">2019-11-25</t>
  </si>
  <si>
    <t xml:space="preserve">449 MAHONING AVE NW</t>
  </si>
  <si>
    <t xml:space="preserve">OH0020954832</t>
  </si>
  <si>
    <t xml:space="preserve">WEDMAN</t>
  </si>
  <si>
    <t xml:space="preserve">1979-11-20</t>
  </si>
  <si>
    <t xml:space="preserve">OH0024171400</t>
  </si>
  <si>
    <t xml:space="preserve">ARNOLD</t>
  </si>
  <si>
    <t xml:space="preserve">1999-02-24</t>
  </si>
  <si>
    <t xml:space="preserve">OH0025146821</t>
  </si>
  <si>
    <t xml:space="preserve">1990-03-13</t>
  </si>
  <si>
    <t xml:space="preserve">2019-07-03</t>
  </si>
  <si>
    <t xml:space="preserve">OH0019354485</t>
  </si>
  <si>
    <t xml:space="preserve">1966-05-14</t>
  </si>
  <si>
    <t xml:space="preserve">2016-07-11</t>
  </si>
  <si>
    <t xml:space="preserve">453 MAHONING AVE NW</t>
  </si>
  <si>
    <t xml:space="preserve">OH0023731802</t>
  </si>
  <si>
    <t xml:space="preserve">DANTE</t>
  </si>
  <si>
    <t xml:space="preserve">MARCEL</t>
  </si>
  <si>
    <t xml:space="preserve">1998-05-11</t>
  </si>
  <si>
    <t xml:space="preserve">OH0015795982</t>
  </si>
  <si>
    <t xml:space="preserve">1951-05-25</t>
  </si>
  <si>
    <t xml:space="preserve">2017-05-10</t>
  </si>
  <si>
    <t xml:space="preserve">457 MAHONING AVE NW</t>
  </si>
  <si>
    <t xml:space="preserve">OH0027952295</t>
  </si>
  <si>
    <t xml:space="preserve">SPITZER</t>
  </si>
  <si>
    <t xml:space="preserve">1962-09-21</t>
  </si>
  <si>
    <t xml:space="preserve">2025-05-22</t>
  </si>
  <si>
    <t xml:space="preserve">461 MAHONING AVE NW</t>
  </si>
  <si>
    <t xml:space="preserve">OH0025675611</t>
  </si>
  <si>
    <t xml:space="preserve">KEIHMONNI</t>
  </si>
  <si>
    <t xml:space="preserve">VJ</t>
  </si>
  <si>
    <t xml:space="preserve">1994-04-04</t>
  </si>
  <si>
    <t xml:space="preserve">473 MAHONING AVE NW</t>
  </si>
  <si>
    <t xml:space="preserve">OH0015681134</t>
  </si>
  <si>
    <t xml:space="preserve">SMITH BRANTLEY</t>
  </si>
  <si>
    <t xml:space="preserve">FRANCIETTA</t>
  </si>
  <si>
    <t xml:space="preserve">1974-06-13</t>
  </si>
  <si>
    <t xml:space="preserve">2025-06-18</t>
  </si>
  <si>
    <t xml:space="preserve">OH0024896677</t>
  </si>
  <si>
    <t xml:space="preserve">GINNICKS</t>
  </si>
  <si>
    <t xml:space="preserve">1987-11-26</t>
  </si>
  <si>
    <t xml:space="preserve">477 MAHONING AVE NW</t>
  </si>
  <si>
    <t xml:space="preserve">OH0015711708</t>
  </si>
  <si>
    <t xml:space="preserve">1961-08-03</t>
  </si>
  <si>
    <t xml:space="preserve">OH0015885300</t>
  </si>
  <si>
    <t xml:space="preserve">LABBE</t>
  </si>
  <si>
    <t xml:space="preserve">1969-04-14</t>
  </si>
  <si>
    <t xml:space="preserve">2014-06-29</t>
  </si>
  <si>
    <t xml:space="preserve">481 MAHONING AVE NW</t>
  </si>
  <si>
    <t xml:space="preserve">OH0015802958</t>
  </si>
  <si>
    <t xml:space="preserve">ABELL</t>
  </si>
  <si>
    <t xml:space="preserve">1944-12-22</t>
  </si>
  <si>
    <t xml:space="preserve">2006-11-07</t>
  </si>
  <si>
    <t xml:space="preserve">608 MAHONING AVE NW</t>
  </si>
  <si>
    <t xml:space="preserve">OH0015817380</t>
  </si>
  <si>
    <t xml:space="preserve">1955-06-28</t>
  </si>
  <si>
    <t xml:space="preserve">1996-09-19</t>
  </si>
  <si>
    <t xml:space="preserve">625 MAHONING AVE NW</t>
  </si>
  <si>
    <t xml:space="preserve">OH0027543888</t>
  </si>
  <si>
    <t xml:space="preserve">GABERIAL</t>
  </si>
  <si>
    <t xml:space="preserve">1978-04-02</t>
  </si>
  <si>
    <t xml:space="preserve">640 MAHONING AVE NW</t>
  </si>
  <si>
    <t xml:space="preserve">OH0015733724</t>
  </si>
  <si>
    <t xml:space="preserve">1972-05-25</t>
  </si>
  <si>
    <t xml:space="preserve">OH0023699918</t>
  </si>
  <si>
    <t xml:space="preserve">1965-12-12</t>
  </si>
  <si>
    <t xml:space="preserve">OH0026395240</t>
  </si>
  <si>
    <t xml:space="preserve">VELAZQUEZ</t>
  </si>
  <si>
    <t xml:space="preserve">1987-09-12</t>
  </si>
  <si>
    <t xml:space="preserve">APT 5</t>
  </si>
  <si>
    <t xml:space="preserve">OH0015690661</t>
  </si>
  <si>
    <t xml:space="preserve">HUEY</t>
  </si>
  <si>
    <t xml:space="preserve">1956-05-21</t>
  </si>
  <si>
    <t xml:space="preserve">2017-05-04</t>
  </si>
  <si>
    <t xml:space="preserve">OH0015823432</t>
  </si>
  <si>
    <t xml:space="preserve">FURBEE</t>
  </si>
  <si>
    <t xml:space="preserve">654 MAHONING AVE NW</t>
  </si>
  <si>
    <t xml:space="preserve">OH0015761230</t>
  </si>
  <si>
    <t xml:space="preserve">1975-04-18</t>
  </si>
  <si>
    <t xml:space="preserve">2018-10-15</t>
  </si>
  <si>
    <t xml:space="preserve">656 MAHONING AVE NW</t>
  </si>
  <si>
    <t xml:space="preserve">OH0027522769</t>
  </si>
  <si>
    <t xml:space="preserve">1993-12-13</t>
  </si>
  <si>
    <t xml:space="preserve">675 MAHONING AVE NW</t>
  </si>
  <si>
    <t xml:space="preserve">OH0023230294</t>
  </si>
  <si>
    <t xml:space="preserve">OH0025134479</t>
  </si>
  <si>
    <t xml:space="preserve">UPLINGER</t>
  </si>
  <si>
    <t xml:space="preserve">KASEY</t>
  </si>
  <si>
    <t xml:space="preserve">1991-04-24</t>
  </si>
  <si>
    <t xml:space="preserve">2020-11-26</t>
  </si>
  <si>
    <t xml:space="preserve">OH0026275832</t>
  </si>
  <si>
    <t xml:space="preserve">CAYTLIN</t>
  </si>
  <si>
    <t xml:space="preserve">1997-03-28</t>
  </si>
  <si>
    <t xml:space="preserve">OH0023206309</t>
  </si>
  <si>
    <t xml:space="preserve">FANNIN</t>
  </si>
  <si>
    <t xml:space="preserve">1986-07-06</t>
  </si>
  <si>
    <t xml:space="preserve">678 MAHONING AVE NW</t>
  </si>
  <si>
    <t xml:space="preserve">OH0024830898</t>
  </si>
  <si>
    <t xml:space="preserve">MACCARTNEY</t>
  </si>
  <si>
    <t xml:space="preserve">1991-06-09</t>
  </si>
  <si>
    <t xml:space="preserve">2018-10-03</t>
  </si>
  <si>
    <t xml:space="preserve">688 MAHONING AVE NW</t>
  </si>
  <si>
    <t xml:space="preserve">OH0024800301</t>
  </si>
  <si>
    <t xml:space="preserve">JESWALD</t>
  </si>
  <si>
    <t xml:space="preserve">1958-04-25</t>
  </si>
  <si>
    <t xml:space="preserve">2018-09-25</t>
  </si>
  <si>
    <t xml:space="preserve">OH0015720115</t>
  </si>
  <si>
    <t xml:space="preserve">WINYARD</t>
  </si>
  <si>
    <t xml:space="preserve">1963-09-16</t>
  </si>
  <si>
    <t xml:space="preserve">OH0027914527</t>
  </si>
  <si>
    <t xml:space="preserve">GILMOUR</t>
  </si>
  <si>
    <t xml:space="preserve">2007-01-24</t>
  </si>
  <si>
    <t xml:space="preserve">2025-06-17</t>
  </si>
  <si>
    <t xml:space="preserve">693 MAHONING AVE NW</t>
  </si>
  <si>
    <t xml:space="preserve">OH0025532557</t>
  </si>
  <si>
    <t xml:space="preserve">1943-08-28</t>
  </si>
  <si>
    <t xml:space="preserve">OH0025632681</t>
  </si>
  <si>
    <t xml:space="preserve">POLIVKA</t>
  </si>
  <si>
    <t xml:space="preserve">1962-02-22</t>
  </si>
  <si>
    <t xml:space="preserve">2020-07-14</t>
  </si>
  <si>
    <t xml:space="preserve">707 MAHONING AVE NW</t>
  </si>
  <si>
    <t xml:space="preserve">APT F</t>
  </si>
  <si>
    <t xml:space="preserve">OH0015726884</t>
  </si>
  <si>
    <t xml:space="preserve">HEDLUND</t>
  </si>
  <si>
    <t xml:space="preserve">1961-05-10</t>
  </si>
  <si>
    <t xml:space="preserve">2006-08-02</t>
  </si>
  <si>
    <t xml:space="preserve">OH0024188485</t>
  </si>
  <si>
    <t xml:space="preserve">PAPPAS</t>
  </si>
  <si>
    <t xml:space="preserve">1989-11-30</t>
  </si>
  <si>
    <t xml:space="preserve">709 MAHONING AVE NW</t>
  </si>
  <si>
    <t xml:space="preserve">OH0018597222</t>
  </si>
  <si>
    <t xml:space="preserve">HERMAN</t>
  </si>
  <si>
    <t xml:space="preserve">1966-04-25</t>
  </si>
  <si>
    <t xml:space="preserve">1984-03-15</t>
  </si>
  <si>
    <t xml:space="preserve">720 MAHONING AVE NW</t>
  </si>
  <si>
    <t xml:space="preserve">OH0015849394</t>
  </si>
  <si>
    <t xml:space="preserve">AMELINA</t>
  </si>
  <si>
    <t xml:space="preserve">1975-10-05</t>
  </si>
  <si>
    <t xml:space="preserve">2006-09-21</t>
  </si>
  <si>
    <t xml:space="preserve">OH0025172674</t>
  </si>
  <si>
    <t xml:space="preserve">NAOMI MARIE</t>
  </si>
  <si>
    <t xml:space="preserve">2001-07-03</t>
  </si>
  <si>
    <t xml:space="preserve">2019-08-09</t>
  </si>
  <si>
    <t xml:space="preserve">OH0023250686</t>
  </si>
  <si>
    <t xml:space="preserve">OH0026168301</t>
  </si>
  <si>
    <t xml:space="preserve">2002-10-26</t>
  </si>
  <si>
    <t xml:space="preserve">2021-04-03</t>
  </si>
  <si>
    <t xml:space="preserve">OH0015750811</t>
  </si>
  <si>
    <t xml:space="preserve">1952-01-19</t>
  </si>
  <si>
    <t xml:space="preserve">2023-03-02</t>
  </si>
  <si>
    <t xml:space="preserve">750 MAHONING AVE NW</t>
  </si>
  <si>
    <t xml:space="preserve">OH0025048061</t>
  </si>
  <si>
    <t xml:space="preserve">1975-07-29</t>
  </si>
  <si>
    <t xml:space="preserve">811 MAHONING AVE NW</t>
  </si>
  <si>
    <t xml:space="preserve">OH0015763891</t>
  </si>
  <si>
    <t xml:space="preserve">BOOK</t>
  </si>
  <si>
    <t xml:space="preserve">1950-02-27</t>
  </si>
  <si>
    <t xml:space="preserve">2024-05-27</t>
  </si>
  <si>
    <t xml:space="preserve">817 MAHONING AVE NW</t>
  </si>
  <si>
    <t xml:space="preserve">OH0015740684</t>
  </si>
  <si>
    <t xml:space="preserve">1983-12-21</t>
  </si>
  <si>
    <t xml:space="preserve">2021-12-29</t>
  </si>
  <si>
    <t xml:space="preserve">819 MAHONING AVE NW</t>
  </si>
  <si>
    <t xml:space="preserve">OH0015772215</t>
  </si>
  <si>
    <t xml:space="preserve">MCCARTY</t>
  </si>
  <si>
    <t xml:space="preserve">1986-06-13</t>
  </si>
  <si>
    <t xml:space="preserve">2015-07-17</t>
  </si>
  <si>
    <t xml:space="preserve">933 MARTHA ST NE</t>
  </si>
  <si>
    <t xml:space="preserve">OH0024712523</t>
  </si>
  <si>
    <t xml:space="preserve">1942-09-28</t>
  </si>
  <si>
    <t xml:space="preserve">2018-08-08</t>
  </si>
  <si>
    <t xml:space="preserve">OH0026503143</t>
  </si>
  <si>
    <t xml:space="preserve">DUVALL</t>
  </si>
  <si>
    <t xml:space="preserve">1998-04-02</t>
  </si>
  <si>
    <t xml:space="preserve">2022-04-30</t>
  </si>
  <si>
    <t xml:space="preserve">951 MARTHA ST NE</t>
  </si>
  <si>
    <t xml:space="preserve">OH0024629064</t>
  </si>
  <si>
    <t xml:space="preserve">GRINDER</t>
  </si>
  <si>
    <t xml:space="preserve">CONNOR</t>
  </si>
  <si>
    <t xml:space="preserve">OH0022527009</t>
  </si>
  <si>
    <t xml:space="preserve">LOUK</t>
  </si>
  <si>
    <t xml:space="preserve">1987-05-29</t>
  </si>
  <si>
    <t xml:space="preserve">2016-03-13</t>
  </si>
  <si>
    <t xml:space="preserve">969 MARTHA ST NE</t>
  </si>
  <si>
    <t xml:space="preserve">OH0024170434</t>
  </si>
  <si>
    <t xml:space="preserve">KOVACH</t>
  </si>
  <si>
    <t xml:space="preserve">1979-02-04</t>
  </si>
  <si>
    <t xml:space="preserve">134 MARYLAND ST NE</t>
  </si>
  <si>
    <t xml:space="preserve">OH0026408209</t>
  </si>
  <si>
    <t xml:space="preserve">PLETCHER</t>
  </si>
  <si>
    <t xml:space="preserve">WILBUR</t>
  </si>
  <si>
    <t xml:space="preserve">1982-01-31</t>
  </si>
  <si>
    <t xml:space="preserve">2022-01-15</t>
  </si>
  <si>
    <t xml:space="preserve">OH0020291689</t>
  </si>
  <si>
    <t xml:space="preserve">FROST</t>
  </si>
  <si>
    <t xml:space="preserve">LENISE</t>
  </si>
  <si>
    <t xml:space="preserve">1970-08-25</t>
  </si>
  <si>
    <t xml:space="preserve">2012-08-31</t>
  </si>
  <si>
    <t xml:space="preserve">138 MARYLAND ST NE</t>
  </si>
  <si>
    <t xml:space="preserve">OH0024586713</t>
  </si>
  <si>
    <t xml:space="preserve">2000-03-21</t>
  </si>
  <si>
    <t xml:space="preserve">2018-03-24</t>
  </si>
  <si>
    <t xml:space="preserve">OH0022810205</t>
  </si>
  <si>
    <t xml:space="preserve">HYDE</t>
  </si>
  <si>
    <t xml:space="preserve">1973-03-21</t>
  </si>
  <si>
    <t xml:space="preserve">142 MARYLAND ST NE</t>
  </si>
  <si>
    <t xml:space="preserve">OH0015717954</t>
  </si>
  <si>
    <t xml:space="preserve">1968-12-01</t>
  </si>
  <si>
    <t xml:space="preserve">2007-10-08</t>
  </si>
  <si>
    <t xml:space="preserve">OH0015789862</t>
  </si>
  <si>
    <t xml:space="preserve">BOSSARD</t>
  </si>
  <si>
    <t xml:space="preserve">1944-11-07</t>
  </si>
  <si>
    <t xml:space="preserve">145 MARYLAND ST NE</t>
  </si>
  <si>
    <t xml:space="preserve">OH0024634664</t>
  </si>
  <si>
    <t xml:space="preserve">RAECHELL</t>
  </si>
  <si>
    <t xml:space="preserve">1987-11-02</t>
  </si>
  <si>
    <t xml:space="preserve">195 MARYLAND ST NE</t>
  </si>
  <si>
    <t xml:space="preserve">OH0026809317</t>
  </si>
  <si>
    <t xml:space="preserve">HILLARD</t>
  </si>
  <si>
    <t xml:space="preserve">2005-01-17</t>
  </si>
  <si>
    <t xml:space="preserve">2023-02-03</t>
  </si>
  <si>
    <t xml:space="preserve">220 MARYLAND ST NE</t>
  </si>
  <si>
    <t xml:space="preserve">OH0015687078</t>
  </si>
  <si>
    <t xml:space="preserve">HOFFMAN</t>
  </si>
  <si>
    <t xml:space="preserve">1955-05-08</t>
  </si>
  <si>
    <t xml:space="preserve">2019-09-08</t>
  </si>
  <si>
    <t xml:space="preserve">OH0022358527</t>
  </si>
  <si>
    <t xml:space="preserve">FOBES</t>
  </si>
  <si>
    <t xml:space="preserve">1995-09-08</t>
  </si>
  <si>
    <t xml:space="preserve">228 MARYLAND ST NE</t>
  </si>
  <si>
    <t xml:space="preserve">OH0015738811</t>
  </si>
  <si>
    <t xml:space="preserve">1972-11-14</t>
  </si>
  <si>
    <t xml:space="preserve">2023-11-17</t>
  </si>
  <si>
    <t xml:space="preserve">OH0026781600</t>
  </si>
  <si>
    <t xml:space="preserve">2003-02-26</t>
  </si>
  <si>
    <t xml:space="preserve">OH0026314756</t>
  </si>
  <si>
    <t xml:space="preserve">FOSTER</t>
  </si>
  <si>
    <t xml:space="preserve">1955-04-28</t>
  </si>
  <si>
    <t xml:space="preserve">239 MARYLAND ST NE</t>
  </si>
  <si>
    <t xml:space="preserve">OH0022950547</t>
  </si>
  <si>
    <t xml:space="preserve">1950-04-21</t>
  </si>
  <si>
    <t xml:space="preserve">OH0015694092</t>
  </si>
  <si>
    <t xml:space="preserve">GLENN</t>
  </si>
  <si>
    <t xml:space="preserve">1963-09-20</t>
  </si>
  <si>
    <t xml:space="preserve">1982-04-24</t>
  </si>
  <si>
    <t xml:space="preserve">240 MARYLAND ST NE</t>
  </si>
  <si>
    <t xml:space="preserve">OH0021069855</t>
  </si>
  <si>
    <t xml:space="preserve">CAMERON</t>
  </si>
  <si>
    <t xml:space="preserve">LAKAYLA</t>
  </si>
  <si>
    <t xml:space="preserve">1992-06-05</t>
  </si>
  <si>
    <t xml:space="preserve">2019-03-08</t>
  </si>
  <si>
    <t xml:space="preserve">328 MARYLAND ST NE</t>
  </si>
  <si>
    <t xml:space="preserve">OH0022328061</t>
  </si>
  <si>
    <t xml:space="preserve">SOWERS</t>
  </si>
  <si>
    <t xml:space="preserve">LENORA</t>
  </si>
  <si>
    <t xml:space="preserve">1969-10-31</t>
  </si>
  <si>
    <t xml:space="preserve">2016-05-21</t>
  </si>
  <si>
    <t xml:space="preserve">404 MARYLAND ST NE</t>
  </si>
  <si>
    <t xml:space="preserve">OH0021478317</t>
  </si>
  <si>
    <t xml:space="preserve">ELTON</t>
  </si>
  <si>
    <t xml:space="preserve">1966-10-24</t>
  </si>
  <si>
    <t xml:space="preserve">2025-03-08</t>
  </si>
  <si>
    <t xml:space="preserve">OH0026905676</t>
  </si>
  <si>
    <t xml:space="preserve">MONAY</t>
  </si>
  <si>
    <t xml:space="preserve">2005-02-06</t>
  </si>
  <si>
    <t xml:space="preserve">2023-05-02</t>
  </si>
  <si>
    <t xml:space="preserve">414 MARYLAND ST NE</t>
  </si>
  <si>
    <t xml:space="preserve">OH0015687910</t>
  </si>
  <si>
    <t xml:space="preserve">SONYA</t>
  </si>
  <si>
    <t xml:space="preserve">1960-04-12</t>
  </si>
  <si>
    <t xml:space="preserve">1980-09-27</t>
  </si>
  <si>
    <t xml:space="preserve">OH0015687909</t>
  </si>
  <si>
    <t xml:space="preserve">1958-02-16</t>
  </si>
  <si>
    <t xml:space="preserve">OH0015811296</t>
  </si>
  <si>
    <t xml:space="preserve">2012-09-13</t>
  </si>
  <si>
    <t xml:space="preserve">419 MARYLAND ST NE</t>
  </si>
  <si>
    <t xml:space="preserve">OH0024615411</t>
  </si>
  <si>
    <t xml:space="preserve">TARREYN</t>
  </si>
  <si>
    <t xml:space="preserve">1997-11-20</t>
  </si>
  <si>
    <t xml:space="preserve">429 MARYLAND ST NE</t>
  </si>
  <si>
    <t xml:space="preserve">OH0022518564</t>
  </si>
  <si>
    <t xml:space="preserve">KREANA</t>
  </si>
  <si>
    <t xml:space="preserve">1995-07-24</t>
  </si>
  <si>
    <t xml:space="preserve">OH0022925970</t>
  </si>
  <si>
    <t xml:space="preserve">JONTE</t>
  </si>
  <si>
    <t xml:space="preserve">1996-04-20</t>
  </si>
  <si>
    <t xml:space="preserve">2019-06-24</t>
  </si>
  <si>
    <t xml:space="preserve">OH0022633130</t>
  </si>
  <si>
    <t xml:space="preserve">CALDWELL</t>
  </si>
  <si>
    <t xml:space="preserve">JEROME</t>
  </si>
  <si>
    <t xml:space="preserve">1971-12-02</t>
  </si>
  <si>
    <t xml:space="preserve">2017-02-03</t>
  </si>
  <si>
    <t xml:space="preserve">434 MARYLAND ST NE</t>
  </si>
  <si>
    <t xml:space="preserve">OH0026817867</t>
  </si>
  <si>
    <t xml:space="preserve">JOHNATHAN</t>
  </si>
  <si>
    <t xml:space="preserve">ABRAHAM</t>
  </si>
  <si>
    <t xml:space="preserve">2005-02-10</t>
  </si>
  <si>
    <t xml:space="preserve">OH0027521746</t>
  </si>
  <si>
    <t xml:space="preserve">BLACKMAN</t>
  </si>
  <si>
    <t xml:space="preserve">SOLOMON</t>
  </si>
  <si>
    <t xml:space="preserve">1974-03-02</t>
  </si>
  <si>
    <t xml:space="preserve">444 MARYLAND ST NE</t>
  </si>
  <si>
    <t xml:space="preserve">OH0022171401</t>
  </si>
  <si>
    <t xml:space="preserve">JASMINE</t>
  </si>
  <si>
    <t xml:space="preserve">1991-01-03</t>
  </si>
  <si>
    <t xml:space="preserve">446 MARYLAND ST NE</t>
  </si>
  <si>
    <t xml:space="preserve">OH0019196498</t>
  </si>
  <si>
    <t xml:space="preserve">CONNI</t>
  </si>
  <si>
    <t xml:space="preserve">1974-06-25</t>
  </si>
  <si>
    <t xml:space="preserve">2007-06-25</t>
  </si>
  <si>
    <t xml:space="preserve">505 MARYLAND ST NE</t>
  </si>
  <si>
    <t xml:space="preserve">OH0026063315</t>
  </si>
  <si>
    <t xml:space="preserve">1967-12-02</t>
  </si>
  <si>
    <t xml:space="preserve">2024-11-15</t>
  </si>
  <si>
    <t xml:space="preserve">OH0025767263</t>
  </si>
  <si>
    <t xml:space="preserve">AMIR</t>
  </si>
  <si>
    <t xml:space="preserve">YOHANCE</t>
  </si>
  <si>
    <t xml:space="preserve">1968-06-30</t>
  </si>
  <si>
    <t xml:space="preserve">510 MARYLAND ST NE</t>
  </si>
  <si>
    <t xml:space="preserve">OH0027951697</t>
  </si>
  <si>
    <t xml:space="preserve">1975-09-19</t>
  </si>
  <si>
    <t xml:space="preserve">2025-04-29</t>
  </si>
  <si>
    <t xml:space="preserve">515 MARYLAND ST NE</t>
  </si>
  <si>
    <t xml:space="preserve">OH0025291508</t>
  </si>
  <si>
    <t xml:space="preserve">ELMER</t>
  </si>
  <si>
    <t xml:space="preserve">1944-06-24</t>
  </si>
  <si>
    <t xml:space="preserve">2019-11-05</t>
  </si>
  <si>
    <t xml:space="preserve">OH0027547877</t>
  </si>
  <si>
    <t xml:space="preserve">JAYQWON</t>
  </si>
  <si>
    <t xml:space="preserve">2004-04-01</t>
  </si>
  <si>
    <t xml:space="preserve">525 MARYLAND ST NE</t>
  </si>
  <si>
    <t xml:space="preserve">OH0019081909</t>
  </si>
  <si>
    <t xml:space="preserve">SHEETS</t>
  </si>
  <si>
    <t xml:space="preserve">1984-08-06</t>
  </si>
  <si>
    <t xml:space="preserve">OH0022190925</t>
  </si>
  <si>
    <t xml:space="preserve">1963-12-16</t>
  </si>
  <si>
    <t xml:space="preserve">OH0024588329</t>
  </si>
  <si>
    <t xml:space="preserve">BLESSING</t>
  </si>
  <si>
    <t xml:space="preserve">MACKAYLA</t>
  </si>
  <si>
    <t xml:space="preserve">2000-03-15</t>
  </si>
  <si>
    <t xml:space="preserve">530 MARYLAND ST NE</t>
  </si>
  <si>
    <t xml:space="preserve">OH0020947692</t>
  </si>
  <si>
    <t xml:space="preserve">BECKY</t>
  </si>
  <si>
    <t xml:space="preserve">1972-08-04</t>
  </si>
  <si>
    <t xml:space="preserve">2015-03-31</t>
  </si>
  <si>
    <t xml:space="preserve">OH0015718663</t>
  </si>
  <si>
    <t xml:space="preserve">1969-04-23</t>
  </si>
  <si>
    <t xml:space="preserve">OH0022631446</t>
  </si>
  <si>
    <t xml:space="preserve">PARHAM</t>
  </si>
  <si>
    <t xml:space="preserve">ENDIYAH</t>
  </si>
  <si>
    <t xml:space="preserve">MALIN</t>
  </si>
  <si>
    <t xml:space="preserve">1995-10-08</t>
  </si>
  <si>
    <t xml:space="preserve">145 MARYLAND ST NW</t>
  </si>
  <si>
    <t xml:space="preserve">OH0019995358</t>
  </si>
  <si>
    <t xml:space="preserve">OH0027595844</t>
  </si>
  <si>
    <t xml:space="preserve">ALIZAN</t>
  </si>
  <si>
    <t xml:space="preserve">2005-02-23</t>
  </si>
  <si>
    <t xml:space="preserve">154 MARYLAND ST NW</t>
  </si>
  <si>
    <t xml:space="preserve">OH0024699520</t>
  </si>
  <si>
    <t xml:space="preserve">1986-08-05</t>
  </si>
  <si>
    <t xml:space="preserve">OH0015815074</t>
  </si>
  <si>
    <t xml:space="preserve">HIGLEY</t>
  </si>
  <si>
    <t xml:space="preserve">2016-06-11</t>
  </si>
  <si>
    <t xml:space="preserve">166 MARYLAND ST NW</t>
  </si>
  <si>
    <t xml:space="preserve">OH0026182991</t>
  </si>
  <si>
    <t xml:space="preserve">KRISTIN</t>
  </si>
  <si>
    <t xml:space="preserve">1985-05-30</t>
  </si>
  <si>
    <t xml:space="preserve">185 MARYLAND ST NW</t>
  </si>
  <si>
    <t xml:space="preserve">OH0023445527</t>
  </si>
  <si>
    <t xml:space="preserve">LORENA</t>
  </si>
  <si>
    <t xml:space="preserve">1964-07-21</t>
  </si>
  <si>
    <t xml:space="preserve">2018-08-31</t>
  </si>
  <si>
    <t xml:space="preserve">195 MARYLAND ST NW</t>
  </si>
  <si>
    <t xml:space="preserve">OH0015788046</t>
  </si>
  <si>
    <t xml:space="preserve">BUFFORD</t>
  </si>
  <si>
    <t xml:space="preserve">2019-12-16</t>
  </si>
  <si>
    <t xml:space="preserve">204 MARYLAND ST NW</t>
  </si>
  <si>
    <t xml:space="preserve">OH0018597318</t>
  </si>
  <si>
    <t xml:space="preserve">1961-10-20</t>
  </si>
  <si>
    <t xml:space="preserve">2005-09-17</t>
  </si>
  <si>
    <t xml:space="preserve">205 MARYLAND ST NW</t>
  </si>
  <si>
    <t xml:space="preserve">OH0015821064</t>
  </si>
  <si>
    <t xml:space="preserve">1972-10-05</t>
  </si>
  <si>
    <t xml:space="preserve">2005-11-29</t>
  </si>
  <si>
    <t xml:space="preserve">OH0025532573</t>
  </si>
  <si>
    <t xml:space="preserve">SAFFLE</t>
  </si>
  <si>
    <t xml:space="preserve">1963-08-29</t>
  </si>
  <si>
    <t xml:space="preserve">2020-04-17</t>
  </si>
  <si>
    <t xml:space="preserve">212 MARYLAND ST NW</t>
  </si>
  <si>
    <t xml:space="preserve">OH0015788348</t>
  </si>
  <si>
    <t xml:space="preserve">ZANDARSKI</t>
  </si>
  <si>
    <t xml:space="preserve">1962-10-09</t>
  </si>
  <si>
    <t xml:space="preserve">2020-07-13</t>
  </si>
  <si>
    <t xml:space="preserve">OH0021702867</t>
  </si>
  <si>
    <t xml:space="preserve">DIXON</t>
  </si>
  <si>
    <t xml:space="preserve">TATEONA</t>
  </si>
  <si>
    <t xml:space="preserve">1993-08-18</t>
  </si>
  <si>
    <t xml:space="preserve">2021-10-02</t>
  </si>
  <si>
    <t xml:space="preserve">224 MARYLAND ST NW</t>
  </si>
  <si>
    <t xml:space="preserve">OH0015730295</t>
  </si>
  <si>
    <t xml:space="preserve">1971-06-09</t>
  </si>
  <si>
    <t xml:space="preserve">228 MARYLAND ST NW</t>
  </si>
  <si>
    <t xml:space="preserve">OH0015728231</t>
  </si>
  <si>
    <t xml:space="preserve">1967-03-22</t>
  </si>
  <si>
    <t xml:space="preserve">2025-01-10</t>
  </si>
  <si>
    <t xml:space="preserve">234 MARYLAND ST NW</t>
  </si>
  <si>
    <t xml:space="preserve">OH0026907567</t>
  </si>
  <si>
    <t xml:space="preserve">1981-03-31</t>
  </si>
  <si>
    <t xml:space="preserve">265 MARYLAND ST NW</t>
  </si>
  <si>
    <t xml:space="preserve">OH0026351205</t>
  </si>
  <si>
    <t xml:space="preserve">2003-01-11</t>
  </si>
  <si>
    <t xml:space="preserve">2021-11-02</t>
  </si>
  <si>
    <t xml:space="preserve">OH0027565959</t>
  </si>
  <si>
    <t xml:space="preserve">ROWCEAL</t>
  </si>
  <si>
    <t xml:space="preserve">1963-03-08</t>
  </si>
  <si>
    <t xml:space="preserve">2024-09-05</t>
  </si>
  <si>
    <t xml:space="preserve">270 MARYLAND ST NW</t>
  </si>
  <si>
    <t xml:space="preserve">OH0018670184</t>
  </si>
  <si>
    <t xml:space="preserve">ASHELEY</t>
  </si>
  <si>
    <t xml:space="preserve">1986-02-27</t>
  </si>
  <si>
    <t xml:space="preserve">2024-02-26</t>
  </si>
  <si>
    <t xml:space="preserve">OH0015788446</t>
  </si>
  <si>
    <t xml:space="preserve">1951-12-06</t>
  </si>
  <si>
    <t xml:space="preserve">1980-02-19</t>
  </si>
  <si>
    <t xml:space="preserve">279 MARYLAND ST NW</t>
  </si>
  <si>
    <t xml:space="preserve">OH0015759693</t>
  </si>
  <si>
    <t xml:space="preserve">SIMMONS</t>
  </si>
  <si>
    <t xml:space="preserve">TAMMI</t>
  </si>
  <si>
    <t xml:space="preserve">1967-06-09</t>
  </si>
  <si>
    <t xml:space="preserve">1993-02-24</t>
  </si>
  <si>
    <t xml:space="preserve">284 MARYLAND ST NW</t>
  </si>
  <si>
    <t xml:space="preserve">OH0024655752</t>
  </si>
  <si>
    <t xml:space="preserve">WYCKOFF SKINNER</t>
  </si>
  <si>
    <t xml:space="preserve">DRAKE</t>
  </si>
  <si>
    <t xml:space="preserve">2000-08-07</t>
  </si>
  <si>
    <t xml:space="preserve">2018-09-05</t>
  </si>
  <si>
    <t xml:space="preserve">308 MARYLAND ST NW</t>
  </si>
  <si>
    <t xml:space="preserve">OH0025720672</t>
  </si>
  <si>
    <t xml:space="preserve">SCAFFIDI</t>
  </si>
  <si>
    <t xml:space="preserve">1959-07-16</t>
  </si>
  <si>
    <t xml:space="preserve">OH0019991309</t>
  </si>
  <si>
    <t xml:space="preserve">1979-01-05</t>
  </si>
  <si>
    <t xml:space="preserve">2018-10-18</t>
  </si>
  <si>
    <t xml:space="preserve">OH0021780949</t>
  </si>
  <si>
    <t xml:space="preserve">WYCKOFF</t>
  </si>
  <si>
    <t xml:space="preserve">1981-02-12</t>
  </si>
  <si>
    <t xml:space="preserve">2015-06-26</t>
  </si>
  <si>
    <t xml:space="preserve">OH0023083760</t>
  </si>
  <si>
    <t xml:space="preserve">JEFFERYS</t>
  </si>
  <si>
    <t xml:space="preserve">1997-04-11</t>
  </si>
  <si>
    <t xml:space="preserve">2018-06-30</t>
  </si>
  <si>
    <t xml:space="preserve">OH0020821236</t>
  </si>
  <si>
    <t xml:space="preserve">1991-05-23</t>
  </si>
  <si>
    <t xml:space="preserve">2018-07-25</t>
  </si>
  <si>
    <t xml:space="preserve">345 MARYLAND ST NW</t>
  </si>
  <si>
    <t xml:space="preserve">OH0015757478</t>
  </si>
  <si>
    <t xml:space="preserve">ROBERTA</t>
  </si>
  <si>
    <t xml:space="preserve">OH0015743366</t>
  </si>
  <si>
    <t xml:space="preserve">NUTTER</t>
  </si>
  <si>
    <t xml:space="preserve">HARMONY</t>
  </si>
  <si>
    <t xml:space="preserve">1981-02-02</t>
  </si>
  <si>
    <t xml:space="preserve">435 MARYLAND ST NW</t>
  </si>
  <si>
    <t xml:space="preserve">APT 2A</t>
  </si>
  <si>
    <t xml:space="preserve">OH0026063041</t>
  </si>
  <si>
    <t xml:space="preserve">DESHARA</t>
  </si>
  <si>
    <t xml:space="preserve">1997-10-24</t>
  </si>
  <si>
    <t xml:space="preserve">APT D2</t>
  </si>
  <si>
    <t xml:space="preserve">OH0025839833</t>
  </si>
  <si>
    <t xml:space="preserve">ALLLAZAE</t>
  </si>
  <si>
    <t xml:space="preserve">1998-12-18</t>
  </si>
  <si>
    <t xml:space="preserve">OH0018625616</t>
  </si>
  <si>
    <t xml:space="preserve">TISHA</t>
  </si>
  <si>
    <t xml:space="preserve">1985-12-22</t>
  </si>
  <si>
    <t xml:space="preserve">2023-08-22</t>
  </si>
  <si>
    <t xml:space="preserve">OH0018595601</t>
  </si>
  <si>
    <t xml:space="preserve">BOWELL</t>
  </si>
  <si>
    <t xml:space="preserve">LEENA</t>
  </si>
  <si>
    <t xml:space="preserve">1987-05-12</t>
  </si>
  <si>
    <t xml:space="preserve">2016-01-28</t>
  </si>
  <si>
    <t xml:space="preserve">APT D3</t>
  </si>
  <si>
    <t xml:space="preserve">OH0018807300</t>
  </si>
  <si>
    <t xml:space="preserve">TYE</t>
  </si>
  <si>
    <t xml:space="preserve">1930-09-24</t>
  </si>
  <si>
    <t xml:space="preserve">OH0027250345</t>
  </si>
  <si>
    <t xml:space="preserve">HEBROCK</t>
  </si>
  <si>
    <t xml:space="preserve">ASIALYN</t>
  </si>
  <si>
    <t xml:space="preserve">2006-02-13</t>
  </si>
  <si>
    <t xml:space="preserve">APT A1</t>
  </si>
  <si>
    <t xml:space="preserve">OH0022367548</t>
  </si>
  <si>
    <t xml:space="preserve">SADDLER</t>
  </si>
  <si>
    <t xml:space="preserve">1991-06-08</t>
  </si>
  <si>
    <t xml:space="preserve">2024-02-29</t>
  </si>
  <si>
    <t xml:space="preserve">APT A3</t>
  </si>
  <si>
    <t xml:space="preserve">OH0024626485</t>
  </si>
  <si>
    <t xml:space="preserve">TAMERICK</t>
  </si>
  <si>
    <t xml:space="preserve">1996-02-10</t>
  </si>
  <si>
    <t xml:space="preserve">OH0023759253</t>
  </si>
  <si>
    <t xml:space="preserve">REID</t>
  </si>
  <si>
    <t xml:space="preserve">UC</t>
  </si>
  <si>
    <t xml:space="preserve">1994-09-18</t>
  </si>
  <si>
    <t xml:space="preserve">2016-07-05</t>
  </si>
  <si>
    <t xml:space="preserve">OH0021360641</t>
  </si>
  <si>
    <t xml:space="preserve">LAMANA</t>
  </si>
  <si>
    <t xml:space="preserve">1967-09-14</t>
  </si>
  <si>
    <t xml:space="preserve">2018-12-12</t>
  </si>
  <si>
    <t xml:space="preserve">OH0023349668</t>
  </si>
  <si>
    <t xml:space="preserve">KIRSTIN</t>
  </si>
  <si>
    <t xml:space="preserve">JAPARA</t>
  </si>
  <si>
    <t xml:space="preserve">1997-07-01</t>
  </si>
  <si>
    <t xml:space="preserve">APT 2B</t>
  </si>
  <si>
    <t xml:space="preserve">P.O. BOX 2093</t>
  </si>
  <si>
    <t xml:space="preserve">OH0019995496</t>
  </si>
  <si>
    <t xml:space="preserve">ANITA</t>
  </si>
  <si>
    <t xml:space="preserve">1968-09-21</t>
  </si>
  <si>
    <t xml:space="preserve">2010-08-12</t>
  </si>
  <si>
    <t xml:space="preserve">OH0024497735</t>
  </si>
  <si>
    <t xml:space="preserve">BARKSDALE</t>
  </si>
  <si>
    <t xml:space="preserve">DARRENCE</t>
  </si>
  <si>
    <t xml:space="preserve">DAMARR</t>
  </si>
  <si>
    <t xml:space="preserve">1987-05-31</t>
  </si>
  <si>
    <t xml:space="preserve">2018-01-22</t>
  </si>
  <si>
    <t xml:space="preserve">OH0024822707</t>
  </si>
  <si>
    <t xml:space="preserve">HERRON</t>
  </si>
  <si>
    <t xml:space="preserve">TRACI</t>
  </si>
  <si>
    <t xml:space="preserve">TACHELLE</t>
  </si>
  <si>
    <t xml:space="preserve">1987-03-27</t>
  </si>
  <si>
    <t xml:space="preserve">440 MARYLAND ST NW</t>
  </si>
  <si>
    <t xml:space="preserve">OH0023187488</t>
  </si>
  <si>
    <t xml:space="preserve">BROOKE TAYLOR</t>
  </si>
  <si>
    <t xml:space="preserve">1997-05-07</t>
  </si>
  <si>
    <t xml:space="preserve">442 MARYLAND ST NW</t>
  </si>
  <si>
    <t xml:space="preserve">OH0025442052</t>
  </si>
  <si>
    <t xml:space="preserve">1960-06-18</t>
  </si>
  <si>
    <t xml:space="preserve">2022-04-01</t>
  </si>
  <si>
    <t xml:space="preserve">PO BOX 2194</t>
  </si>
  <si>
    <t xml:space="preserve">OH0025797840</t>
  </si>
  <si>
    <t xml:space="preserve">JATAWNA</t>
  </si>
  <si>
    <t xml:space="preserve">KIERRE</t>
  </si>
  <si>
    <t xml:space="preserve">1994-08-29</t>
  </si>
  <si>
    <t xml:space="preserve">2020-09-09</t>
  </si>
  <si>
    <t xml:space="preserve">OH0021752823</t>
  </si>
  <si>
    <t xml:space="preserve">REDDING</t>
  </si>
  <si>
    <t xml:space="preserve">MARSHEONIA</t>
  </si>
  <si>
    <t xml:space="preserve">450 MARYLAND ST NW</t>
  </si>
  <si>
    <t xml:space="preserve">OH0027074707</t>
  </si>
  <si>
    <t xml:space="preserve">REITZ</t>
  </si>
  <si>
    <t xml:space="preserve">IVY</t>
  </si>
  <si>
    <t xml:space="preserve">1986-10-24</t>
  </si>
  <si>
    <t xml:space="preserve">467 MARYLAND ST NW</t>
  </si>
  <si>
    <t xml:space="preserve">APT M</t>
  </si>
  <si>
    <t xml:space="preserve">OH0023604645</t>
  </si>
  <si>
    <t xml:space="preserve">DARRIN</t>
  </si>
  <si>
    <t xml:space="preserve">1990-06-26</t>
  </si>
  <si>
    <t xml:space="preserve">OH0027064800</t>
  </si>
  <si>
    <t xml:space="preserve">ANIYA</t>
  </si>
  <si>
    <t xml:space="preserve">2004-10-23</t>
  </si>
  <si>
    <t xml:space="preserve">2023-09-18</t>
  </si>
  <si>
    <t xml:space="preserve">469 MARYLAND ST NW</t>
  </si>
  <si>
    <t xml:space="preserve">OH0025650132</t>
  </si>
  <si>
    <t xml:space="preserve">JAZLYN</t>
  </si>
  <si>
    <t xml:space="preserve">2020-07-08</t>
  </si>
  <si>
    <t xml:space="preserve">473 MARYLAND ST NW</t>
  </si>
  <si>
    <t xml:space="preserve">OH0024699495</t>
  </si>
  <si>
    <t xml:space="preserve">KAYLEE</t>
  </si>
  <si>
    <t xml:space="preserve">2022-02-22</t>
  </si>
  <si>
    <t xml:space="preserve">OH0027951603</t>
  </si>
  <si>
    <t xml:space="preserve">MACKENSIE</t>
  </si>
  <si>
    <t xml:space="preserve">2025-04-21</t>
  </si>
  <si>
    <t xml:space="preserve">APT A2</t>
  </si>
  <si>
    <t xml:space="preserve">OH0025731940</t>
  </si>
  <si>
    <t xml:space="preserve">MERCEDEEZ</t>
  </si>
  <si>
    <t xml:space="preserve">2002-09-08</t>
  </si>
  <si>
    <t xml:space="preserve">OH0026504394</t>
  </si>
  <si>
    <t xml:space="preserve">1995-07-06</t>
  </si>
  <si>
    <t xml:space="preserve">OH0019538511</t>
  </si>
  <si>
    <t xml:space="preserve">JESSIE</t>
  </si>
  <si>
    <t xml:space="preserve">1987-03-01</t>
  </si>
  <si>
    <t xml:space="preserve">OH0025204672</t>
  </si>
  <si>
    <t xml:space="preserve">ARNDT</t>
  </si>
  <si>
    <t xml:space="preserve">1998-08-31</t>
  </si>
  <si>
    <t xml:space="preserve">2021-06-02</t>
  </si>
  <si>
    <t xml:space="preserve">OH0024291084</t>
  </si>
  <si>
    <t xml:space="preserve">DIANNE</t>
  </si>
  <si>
    <t xml:space="preserve">1987-03-20</t>
  </si>
  <si>
    <t xml:space="preserve">OH0026419302</t>
  </si>
  <si>
    <t xml:space="preserve">HEMMINGWAY</t>
  </si>
  <si>
    <t xml:space="preserve">MYHIA</t>
  </si>
  <si>
    <t xml:space="preserve">2001-07-20</t>
  </si>
  <si>
    <t xml:space="preserve">2023-09-07</t>
  </si>
  <si>
    <t xml:space="preserve">OH0021490091</t>
  </si>
  <si>
    <t xml:space="preserve">1964-12-16</t>
  </si>
  <si>
    <t xml:space="preserve">806 MARYLAND ST NW</t>
  </si>
  <si>
    <t xml:space="preserve">OH0026079253</t>
  </si>
  <si>
    <t xml:space="preserve">JOE</t>
  </si>
  <si>
    <t xml:space="preserve">1960-08-30</t>
  </si>
  <si>
    <t xml:space="preserve">2020-10-08</t>
  </si>
  <si>
    <t xml:space="preserve">OH0026812568</t>
  </si>
  <si>
    <t xml:space="preserve">SHATTUCK</t>
  </si>
  <si>
    <t xml:space="preserve">1986-03-19</t>
  </si>
  <si>
    <t xml:space="preserve">827 MARYLAND ST NW</t>
  </si>
  <si>
    <t xml:space="preserve">OH0015676673</t>
  </si>
  <si>
    <t xml:space="preserve">GUERINI</t>
  </si>
  <si>
    <t xml:space="preserve">1978-09-15</t>
  </si>
  <si>
    <t xml:space="preserve">2013-07-16</t>
  </si>
  <si>
    <t xml:space="preserve">840 MARYLAND ST NW</t>
  </si>
  <si>
    <t xml:space="preserve">OH0015740092</t>
  </si>
  <si>
    <t xml:space="preserve">SCHUMAN TAYLOR</t>
  </si>
  <si>
    <t xml:space="preserve">1973-08-20</t>
  </si>
  <si>
    <t xml:space="preserve">2024-08-31</t>
  </si>
  <si>
    <t xml:space="preserve">847 MARYLAND ST NW</t>
  </si>
  <si>
    <t xml:space="preserve">OH0020956356</t>
  </si>
  <si>
    <t xml:space="preserve">1978-05-08</t>
  </si>
  <si>
    <t xml:space="preserve">OH0015697624</t>
  </si>
  <si>
    <t xml:space="preserve">SCANLON</t>
  </si>
  <si>
    <t xml:space="preserve">1951-12-25</t>
  </si>
  <si>
    <t xml:space="preserve">OH0015700798</t>
  </si>
  <si>
    <t xml:space="preserve">1965-06-02</t>
  </si>
  <si>
    <t xml:space="preserve">2019-06-11</t>
  </si>
  <si>
    <t xml:space="preserve">912 MARYLAND ST NW</t>
  </si>
  <si>
    <t xml:space="preserve">OH0015743457</t>
  </si>
  <si>
    <t xml:space="preserve">1972-07-13</t>
  </si>
  <si>
    <t xml:space="preserve">OH0020371081</t>
  </si>
  <si>
    <t xml:space="preserve">LATASHA</t>
  </si>
  <si>
    <t xml:space="preserve">1986-11-03</t>
  </si>
  <si>
    <t xml:space="preserve">913 MARYLAND ST NW</t>
  </si>
  <si>
    <t xml:space="preserve">OH0027615213</t>
  </si>
  <si>
    <t xml:space="preserve">ZAKYIA</t>
  </si>
  <si>
    <t xml:space="preserve">2006-10-31</t>
  </si>
  <si>
    <t xml:space="preserve">OH0015753649</t>
  </si>
  <si>
    <t xml:space="preserve">DAMON</t>
  </si>
  <si>
    <t xml:space="preserve">1959-03-01</t>
  </si>
  <si>
    <t xml:space="preserve">1992-09-29</t>
  </si>
  <si>
    <t xml:space="preserve">921 MARYLAND ST NW</t>
  </si>
  <si>
    <t xml:space="preserve">OH0015753636</t>
  </si>
  <si>
    <t xml:space="preserve">1992-09-26</t>
  </si>
  <si>
    <t xml:space="preserve">OH0022028701</t>
  </si>
  <si>
    <t xml:space="preserve">1988-11-24</t>
  </si>
  <si>
    <t xml:space="preserve">2023-10-20</t>
  </si>
  <si>
    <t xml:space="preserve">OH0026995707</t>
  </si>
  <si>
    <t xml:space="preserve">1994-10-12</t>
  </si>
  <si>
    <t xml:space="preserve">2023-08-08</t>
  </si>
  <si>
    <t xml:space="preserve">OH0027469027</t>
  </si>
  <si>
    <t xml:space="preserve">MARSHIA</t>
  </si>
  <si>
    <t xml:space="preserve">1986-01-24</t>
  </si>
  <si>
    <t xml:space="preserve">935 MARYLAND ST NW</t>
  </si>
  <si>
    <t xml:space="preserve">OH0015784330</t>
  </si>
  <si>
    <t xml:space="preserve">CHURCH</t>
  </si>
  <si>
    <t xml:space="preserve">1963-09-25</t>
  </si>
  <si>
    <t xml:space="preserve">936 MARYLAND ST NW</t>
  </si>
  <si>
    <t xml:space="preserve">OH0023354275</t>
  </si>
  <si>
    <t xml:space="preserve">GOINS</t>
  </si>
  <si>
    <t xml:space="preserve">1996-12-21</t>
  </si>
  <si>
    <t xml:space="preserve">2016-07-29</t>
  </si>
  <si>
    <t xml:space="preserve">937 MARYLAND ST NW</t>
  </si>
  <si>
    <t xml:space="preserve">OH0020627635</t>
  </si>
  <si>
    <t xml:space="preserve">1991-02-25</t>
  </si>
  <si>
    <t xml:space="preserve">2022-12-20</t>
  </si>
  <si>
    <t xml:space="preserve">942 MARYLAND ST NW</t>
  </si>
  <si>
    <t xml:space="preserve">OH0015738492</t>
  </si>
  <si>
    <t xml:space="preserve">STEFAN</t>
  </si>
  <si>
    <t xml:space="preserve">SUSANNAH</t>
  </si>
  <si>
    <t xml:space="preserve">1972-05-30</t>
  </si>
  <si>
    <t xml:space="preserve">947 MARYLAND ST NW</t>
  </si>
  <si>
    <t xml:space="preserve">OH0015739150</t>
  </si>
  <si>
    <t xml:space="preserve">1954-07-16</t>
  </si>
  <si>
    <t xml:space="preserve">OH0023898346</t>
  </si>
  <si>
    <t xml:space="preserve">KATHERINE</t>
  </si>
  <si>
    <t xml:space="preserve">1998-04-21</t>
  </si>
  <si>
    <t xml:space="preserve">2022-06-06</t>
  </si>
  <si>
    <t xml:space="preserve">OH0015742774</t>
  </si>
  <si>
    <t xml:space="preserve">1963-12-27</t>
  </si>
  <si>
    <t xml:space="preserve">1991-08-21</t>
  </si>
  <si>
    <t xml:space="preserve">948 MARYLAND ST NW</t>
  </si>
  <si>
    <t xml:space="preserve">OH0027952326</t>
  </si>
  <si>
    <t xml:space="preserve">DARNELL</t>
  </si>
  <si>
    <t xml:space="preserve">CORNELIUS</t>
  </si>
  <si>
    <t xml:space="preserve">1962-04-18</t>
  </si>
  <si>
    <t xml:space="preserve">2025-05-30</t>
  </si>
  <si>
    <t xml:space="preserve">956 MARYLAND ST NW</t>
  </si>
  <si>
    <t xml:space="preserve">OH0015784255</t>
  </si>
  <si>
    <t xml:space="preserve">BECK</t>
  </si>
  <si>
    <t xml:space="preserve">1953-06-18</t>
  </si>
  <si>
    <t xml:space="preserve">957 MARYLAND ST NW</t>
  </si>
  <si>
    <t xml:space="preserve">OH0015721629</t>
  </si>
  <si>
    <t xml:space="preserve">1953-10-18</t>
  </si>
  <si>
    <t xml:space="preserve">OH0018955849</t>
  </si>
  <si>
    <t xml:space="preserve">1988-08-06</t>
  </si>
  <si>
    <t xml:space="preserve">2018-01-19</t>
  </si>
  <si>
    <t xml:space="preserve">OH0023458229</t>
  </si>
  <si>
    <t xml:space="preserve">KISTLER</t>
  </si>
  <si>
    <t xml:space="preserve">1977-11-28</t>
  </si>
  <si>
    <t xml:space="preserve">964 MARYLAND ST NW</t>
  </si>
  <si>
    <t xml:space="preserve">OH0023629769</t>
  </si>
  <si>
    <t xml:space="preserve">CLOVER</t>
  </si>
  <si>
    <t xml:space="preserve">BELLA</t>
  </si>
  <si>
    <t xml:space="preserve">1998-02-08</t>
  </si>
  <si>
    <t xml:space="preserve">895 MAYFLOWER ST NW</t>
  </si>
  <si>
    <t xml:space="preserve">OH0015776099</t>
  </si>
  <si>
    <t xml:space="preserve">1954-12-20</t>
  </si>
  <si>
    <t xml:space="preserve">OH0025834208</t>
  </si>
  <si>
    <t xml:space="preserve">1999-05-11</t>
  </si>
  <si>
    <t xml:space="preserve">2020-08-12</t>
  </si>
  <si>
    <t xml:space="preserve">OH0027913213</t>
  </si>
  <si>
    <t xml:space="preserve">MINOR</t>
  </si>
  <si>
    <t xml:space="preserve">KYZIYA</t>
  </si>
  <si>
    <t xml:space="preserve">U</t>
  </si>
  <si>
    <t xml:space="preserve">2006-10-16</t>
  </si>
  <si>
    <t xml:space="preserve">900 MAYFLOWER ST NW</t>
  </si>
  <si>
    <t xml:space="preserve">OH0015808782</t>
  </si>
  <si>
    <t xml:space="preserve">KYASHA</t>
  </si>
  <si>
    <t xml:space="preserve">1981-01-17</t>
  </si>
  <si>
    <t xml:space="preserve">2008-12-01</t>
  </si>
  <si>
    <t xml:space="preserve">OH0025063385</t>
  </si>
  <si>
    <t xml:space="preserve">KYAJANAE</t>
  </si>
  <si>
    <t xml:space="preserve">DENNIYA</t>
  </si>
  <si>
    <t xml:space="preserve">2000-10-26</t>
  </si>
  <si>
    <t xml:space="preserve">OH0021320329</t>
  </si>
  <si>
    <t xml:space="preserve">NOBLE</t>
  </si>
  <si>
    <t xml:space="preserve">1990-08-20</t>
  </si>
  <si>
    <t xml:space="preserve">2024-10-28</t>
  </si>
  <si>
    <t xml:space="preserve">918 MAYFLOWER ST NW</t>
  </si>
  <si>
    <t xml:space="preserve">OH0022328510</t>
  </si>
  <si>
    <t xml:space="preserve">1968-12-12</t>
  </si>
  <si>
    <t xml:space="preserve">OH0024293988</t>
  </si>
  <si>
    <t xml:space="preserve">LIGHTNER</t>
  </si>
  <si>
    <t xml:space="preserve">ZION</t>
  </si>
  <si>
    <t xml:space="preserve">1998-10-07</t>
  </si>
  <si>
    <t xml:space="preserve">OH0015770232</t>
  </si>
  <si>
    <t xml:space="preserve">1941-06-13</t>
  </si>
  <si>
    <t xml:space="preserve">OH0020945212</t>
  </si>
  <si>
    <t xml:space="preserve">NAHM</t>
  </si>
  <si>
    <t xml:space="preserve">GUY</t>
  </si>
  <si>
    <t xml:space="preserve">1991-12-05</t>
  </si>
  <si>
    <t xml:space="preserve">2013-09-16</t>
  </si>
  <si>
    <t xml:space="preserve">931 MAYFLOWER ST NW</t>
  </si>
  <si>
    <t xml:space="preserve">OH0020961994</t>
  </si>
  <si>
    <t xml:space="preserve">1991-11-06</t>
  </si>
  <si>
    <t xml:space="preserve">OH0015701297</t>
  </si>
  <si>
    <t xml:space="preserve">DECAPITO</t>
  </si>
  <si>
    <t xml:space="preserve">1963-04-24</t>
  </si>
  <si>
    <t xml:space="preserve">937 MAYFLOWER ST NW</t>
  </si>
  <si>
    <t xml:space="preserve">OH0015785813</t>
  </si>
  <si>
    <t xml:space="preserve">SHAMROCK</t>
  </si>
  <si>
    <t xml:space="preserve">1957-01-27</t>
  </si>
  <si>
    <t xml:space="preserve">2018-08-09</t>
  </si>
  <si>
    <t xml:space="preserve">947 MAYFLOWER ST NW</t>
  </si>
  <si>
    <t xml:space="preserve">1555 BRIDLE PATH</t>
  </si>
  <si>
    <t xml:space="preserve">PAINESVILLE</t>
  </si>
  <si>
    <t xml:space="preserve">OH0024166448</t>
  </si>
  <si>
    <t xml:space="preserve">JERRALD</t>
  </si>
  <si>
    <t xml:space="preserve">1961-08-22</t>
  </si>
  <si>
    <t xml:space="preserve">953 MAYFLOWER ST NW</t>
  </si>
  <si>
    <t xml:space="preserve">OH0015717345</t>
  </si>
  <si>
    <t xml:space="preserve">1962-12-23</t>
  </si>
  <si>
    <t xml:space="preserve">2019-03-13</t>
  </si>
  <si>
    <t xml:space="preserve">OH0027720690</t>
  </si>
  <si>
    <t xml:space="preserve">SHUSTER</t>
  </si>
  <si>
    <t xml:space="preserve">2006-11-01</t>
  </si>
  <si>
    <t xml:space="preserve">968 MAYFLOWER ST NW</t>
  </si>
  <si>
    <t xml:space="preserve">OH0023544360</t>
  </si>
  <si>
    <t xml:space="preserve">UHL</t>
  </si>
  <si>
    <t xml:space="preserve">TESSA</t>
  </si>
  <si>
    <t xml:space="preserve">1998-02-06</t>
  </si>
  <si>
    <t xml:space="preserve">2019-02-04</t>
  </si>
  <si>
    <t xml:space="preserve">OH0020288832</t>
  </si>
  <si>
    <t xml:space="preserve">1981-06-01</t>
  </si>
  <si>
    <t xml:space="preserve">OH0015708113</t>
  </si>
  <si>
    <t xml:space="preserve">DULOVICH</t>
  </si>
  <si>
    <t xml:space="preserve">1960-07-16</t>
  </si>
  <si>
    <t xml:space="preserve">1991-07-01</t>
  </si>
  <si>
    <t xml:space="preserve">976 MAYFLOWER ST NW</t>
  </si>
  <si>
    <t xml:space="preserve">OH0027609135</t>
  </si>
  <si>
    <t xml:space="preserve">HENNING</t>
  </si>
  <si>
    <t xml:space="preserve">1227 MAZDA AVE NE</t>
  </si>
  <si>
    <t xml:space="preserve">OH0027609069</t>
  </si>
  <si>
    <t xml:space="preserve">1988-07-17</t>
  </si>
  <si>
    <t xml:space="preserve">OH0026063301</t>
  </si>
  <si>
    <t xml:space="preserve">DORSEY</t>
  </si>
  <si>
    <t xml:space="preserve">1972-02-18</t>
  </si>
  <si>
    <t xml:space="preserve">2020-10-21</t>
  </si>
  <si>
    <t xml:space="preserve">1237 MAZDA AVE NE</t>
  </si>
  <si>
    <t xml:space="preserve">OH0021672223</t>
  </si>
  <si>
    <t xml:space="preserve">CHARDASHA</t>
  </si>
  <si>
    <t xml:space="preserve">1993-12-05</t>
  </si>
  <si>
    <t xml:space="preserve">1247 MAZDA AVE NE</t>
  </si>
  <si>
    <t xml:space="preserve">OH0019196611</t>
  </si>
  <si>
    <t xml:space="preserve">CHARMAINE</t>
  </si>
  <si>
    <t xml:space="preserve">1971-11-23</t>
  </si>
  <si>
    <t xml:space="preserve">2017-07-18</t>
  </si>
  <si>
    <t xml:space="preserve">OH0023640632</t>
  </si>
  <si>
    <t xml:space="preserve">HOYSACK</t>
  </si>
  <si>
    <t xml:space="preserve">1958-04-03</t>
  </si>
  <si>
    <t xml:space="preserve">2024-08-30</t>
  </si>
  <si>
    <t xml:space="preserve">1405 MAZDA AVE NE</t>
  </si>
  <si>
    <t xml:space="preserve">OH0015780102</t>
  </si>
  <si>
    <t xml:space="preserve">LUCILLE</t>
  </si>
  <si>
    <t xml:space="preserve">1939-11-14</t>
  </si>
  <si>
    <t xml:space="preserve">1964-09-17</t>
  </si>
  <si>
    <t xml:space="preserve">1406 MAZDA AVE NE</t>
  </si>
  <si>
    <t xml:space="preserve">OH0024531523</t>
  </si>
  <si>
    <t xml:space="preserve">1999-02-16</t>
  </si>
  <si>
    <t xml:space="preserve">1415 MAZDA AVE NE</t>
  </si>
  <si>
    <t xml:space="preserve">OH0025235278</t>
  </si>
  <si>
    <t xml:space="preserve">ARICCHI</t>
  </si>
  <si>
    <t xml:space="preserve">GABRIELLA</t>
  </si>
  <si>
    <t xml:space="preserve">1999-11-03</t>
  </si>
  <si>
    <t xml:space="preserve">OH0027661477</t>
  </si>
  <si>
    <t xml:space="preserve">1943-12-29</t>
  </si>
  <si>
    <t xml:space="preserve">1424 MAZDA AVE NE</t>
  </si>
  <si>
    <t xml:space="preserve">OH0022433800</t>
  </si>
  <si>
    <t xml:space="preserve">TORRES</t>
  </si>
  <si>
    <t xml:space="preserve">JAVONTE</t>
  </si>
  <si>
    <t xml:space="preserve">1994-10-05</t>
  </si>
  <si>
    <t xml:space="preserve">2015-10-22</t>
  </si>
  <si>
    <t xml:space="preserve">1425 MAZDA AVE NE</t>
  </si>
  <si>
    <t xml:space="preserve">OH0026415894</t>
  </si>
  <si>
    <t xml:space="preserve">1972-03-28</t>
  </si>
  <si>
    <t xml:space="preserve">1434 MAZDA AVE NE</t>
  </si>
  <si>
    <t xml:space="preserve">OH0026597876</t>
  </si>
  <si>
    <t xml:space="preserve">SEDMAK</t>
  </si>
  <si>
    <t xml:space="preserve">2024-12-06</t>
  </si>
  <si>
    <t xml:space="preserve">1445 MAZDA AVE NE</t>
  </si>
  <si>
    <t xml:space="preserve">OH0027061948</t>
  </si>
  <si>
    <t xml:space="preserve">ARYSSIA</t>
  </si>
  <si>
    <t xml:space="preserve">2005-09-02</t>
  </si>
  <si>
    <t xml:space="preserve">1454 MAZDA AVE NE</t>
  </si>
  <si>
    <t xml:space="preserve">OH0027025545</t>
  </si>
  <si>
    <t xml:space="preserve">DONTEL</t>
  </si>
  <si>
    <t xml:space="preserve">OH0015794189</t>
  </si>
  <si>
    <t xml:space="preserve">TANEISHA</t>
  </si>
  <si>
    <t xml:space="preserve">MONAE</t>
  </si>
  <si>
    <t xml:space="preserve">1984-01-20</t>
  </si>
  <si>
    <t xml:space="preserve">2022-12-16</t>
  </si>
  <si>
    <t xml:space="preserve">OH0015695761</t>
  </si>
  <si>
    <t xml:space="preserve">ZURCHER</t>
  </si>
  <si>
    <t xml:space="preserve">1964-10-27</t>
  </si>
  <si>
    <t xml:space="preserve">1455 MAZDA AVE NE</t>
  </si>
  <si>
    <t xml:space="preserve">OH0015740279</t>
  </si>
  <si>
    <t xml:space="preserve">1960-11-24</t>
  </si>
  <si>
    <t xml:space="preserve">OH0027082032</t>
  </si>
  <si>
    <t xml:space="preserve">DENAE</t>
  </si>
  <si>
    <t xml:space="preserve">2001-03-10</t>
  </si>
  <si>
    <t xml:space="preserve">635 MERCER AVE NE</t>
  </si>
  <si>
    <t xml:space="preserve">OH0015723173</t>
  </si>
  <si>
    <t xml:space="preserve">1980-05-30</t>
  </si>
  <si>
    <t xml:space="preserve">2019-12-30</t>
  </si>
  <si>
    <t xml:space="preserve">OH0015740368</t>
  </si>
  <si>
    <t xml:space="preserve">1958-05-05</t>
  </si>
  <si>
    <t xml:space="preserve">2019-12-03</t>
  </si>
  <si>
    <t xml:space="preserve">OH0025830032</t>
  </si>
  <si>
    <t xml:space="preserve">EMMANUEL</t>
  </si>
  <si>
    <t xml:space="preserve">2002-10-08</t>
  </si>
  <si>
    <t xml:space="preserve">2020-09-16</t>
  </si>
  <si>
    <t xml:space="preserve">OH0025576282</t>
  </si>
  <si>
    <t xml:space="preserve">MACDUFF</t>
  </si>
  <si>
    <t xml:space="preserve">DANNIELLE</t>
  </si>
  <si>
    <t xml:space="preserve">1975-10-20</t>
  </si>
  <si>
    <t xml:space="preserve">2022-10-26</t>
  </si>
  <si>
    <t xml:space="preserve">656 MERCER AVE NE</t>
  </si>
  <si>
    <t xml:space="preserve">OH0027516138</t>
  </si>
  <si>
    <t xml:space="preserve">WYATT</t>
  </si>
  <si>
    <t xml:space="preserve">2004-09-27</t>
  </si>
  <si>
    <t xml:space="preserve">671 MERCER AVE NE</t>
  </si>
  <si>
    <t xml:space="preserve">OH0027912280</t>
  </si>
  <si>
    <t xml:space="preserve">LAVERN</t>
  </si>
  <si>
    <t xml:space="preserve">1972-03-12</t>
  </si>
  <si>
    <t xml:space="preserve">681 MERCER AVE NE</t>
  </si>
  <si>
    <t xml:space="preserve">OH0024620887</t>
  </si>
  <si>
    <t xml:space="preserve">1970-02-02</t>
  </si>
  <si>
    <t xml:space="preserve">2018-04-10</t>
  </si>
  <si>
    <t xml:space="preserve">OH0021377884</t>
  </si>
  <si>
    <t xml:space="preserve">MCDONALD</t>
  </si>
  <si>
    <t xml:space="preserve">1992-07-01</t>
  </si>
  <si>
    <t xml:space="preserve">716 MERCER AVE NE</t>
  </si>
  <si>
    <t xml:space="preserve">OH0026230675</t>
  </si>
  <si>
    <t xml:space="preserve">OZANICH</t>
  </si>
  <si>
    <t xml:space="preserve">826 MERCER AVE NE</t>
  </si>
  <si>
    <t xml:space="preserve">OH0023224821</t>
  </si>
  <si>
    <t xml:space="preserve">1997-03-27</t>
  </si>
  <si>
    <t xml:space="preserve">OH0015758649</t>
  </si>
  <si>
    <t xml:space="preserve">GETZ</t>
  </si>
  <si>
    <t xml:space="preserve">1964-05-11</t>
  </si>
  <si>
    <t xml:space="preserve">2023-10-18</t>
  </si>
  <si>
    <t xml:space="preserve">OH0015690909</t>
  </si>
  <si>
    <t xml:space="preserve">1983-07-21</t>
  </si>
  <si>
    <t xml:space="preserve">OH0019308356</t>
  </si>
  <si>
    <t xml:space="preserve">CREAK</t>
  </si>
  <si>
    <t xml:space="preserve">1989-08-15</t>
  </si>
  <si>
    <t xml:space="preserve">836 MERCER AVE NE</t>
  </si>
  <si>
    <t xml:space="preserve">OH0021086830</t>
  </si>
  <si>
    <t xml:space="preserve">STAMBOLIA CREAK</t>
  </si>
  <si>
    <t xml:space="preserve">OH0024377495</t>
  </si>
  <si>
    <t xml:space="preserve">YANNUCCI</t>
  </si>
  <si>
    <t xml:space="preserve">1970-10-23</t>
  </si>
  <si>
    <t xml:space="preserve">241 MERCER PL NE</t>
  </si>
  <si>
    <t xml:space="preserve">OH0024377503</t>
  </si>
  <si>
    <t xml:space="preserve">1949-07-17</t>
  </si>
  <si>
    <t xml:space="preserve">OH0021085348</t>
  </si>
  <si>
    <t xml:space="preserve">BARNHART</t>
  </si>
  <si>
    <t xml:space="preserve">1991-08-18</t>
  </si>
  <si>
    <t xml:space="preserve">2010-05-21</t>
  </si>
  <si>
    <t xml:space="preserve">1027 N PARK AVE</t>
  </si>
  <si>
    <t xml:space="preserve">OH0015721675</t>
  </si>
  <si>
    <t xml:space="preserve">1968-06-10</t>
  </si>
  <si>
    <t xml:space="preserve">2008-03-04</t>
  </si>
  <si>
    <t xml:space="preserve">OH0015794821</t>
  </si>
  <si>
    <t xml:space="preserve">1967-12-31</t>
  </si>
  <si>
    <t xml:space="preserve">OH0019699307</t>
  </si>
  <si>
    <t xml:space="preserve">SHEREYAH</t>
  </si>
  <si>
    <t xml:space="preserve">1990-01-09</t>
  </si>
  <si>
    <t xml:space="preserve">OH0015816075</t>
  </si>
  <si>
    <t xml:space="preserve">GRAMMATAS</t>
  </si>
  <si>
    <t xml:space="preserve">INGFRID</t>
  </si>
  <si>
    <t xml:space="preserve">GERD</t>
  </si>
  <si>
    <t xml:space="preserve">1944-02-03</t>
  </si>
  <si>
    <t xml:space="preserve">1997-04-05</t>
  </si>
  <si>
    <t xml:space="preserve">1041 N PARK AVE</t>
  </si>
  <si>
    <t xml:space="preserve">OH0019903417</t>
  </si>
  <si>
    <t xml:space="preserve">CARRANZA</t>
  </si>
  <si>
    <t xml:space="preserve">EDWIN</t>
  </si>
  <si>
    <t xml:space="preserve">1965-03-03</t>
  </si>
  <si>
    <t xml:space="preserve">2022-07-04</t>
  </si>
  <si>
    <t xml:space="preserve">1045 N PARK AVE</t>
  </si>
  <si>
    <t xml:space="preserve">OH0023047104</t>
  </si>
  <si>
    <t xml:space="preserve">TRUDY</t>
  </si>
  <si>
    <t xml:space="preserve">1948-05-15</t>
  </si>
  <si>
    <t xml:space="preserve">1260 N PARK AVE</t>
  </si>
  <si>
    <t xml:space="preserve">OH0023047098</t>
  </si>
  <si>
    <t xml:space="preserve">1947-04-03</t>
  </si>
  <si>
    <t xml:space="preserve">2015-06-30</t>
  </si>
  <si>
    <t xml:space="preserve">OH0025112351</t>
  </si>
  <si>
    <t xml:space="preserve">BORGES BORRERO</t>
  </si>
  <si>
    <t xml:space="preserve">FRANCISCO</t>
  </si>
  <si>
    <t xml:space="preserve">1985-08-21</t>
  </si>
  <si>
    <t xml:space="preserve">1307 N PARK AVE</t>
  </si>
  <si>
    <t xml:space="preserve">OH0024340575</t>
  </si>
  <si>
    <t xml:space="preserve">BAGBY</t>
  </si>
  <si>
    <t xml:space="preserve">1976-09-23</t>
  </si>
  <si>
    <t xml:space="preserve">2017-07-27</t>
  </si>
  <si>
    <t xml:space="preserve">OH0023007541</t>
  </si>
  <si>
    <t xml:space="preserve">MCLAUGHLIN</t>
  </si>
  <si>
    <t xml:space="preserve">1969-08-20</t>
  </si>
  <si>
    <t xml:space="preserve">1435 N PARK AVE</t>
  </si>
  <si>
    <t xml:space="preserve">OH0022640793</t>
  </si>
  <si>
    <t xml:space="preserve">JETHROE</t>
  </si>
  <si>
    <t xml:space="preserve">VINCE</t>
  </si>
  <si>
    <t xml:space="preserve">1962-12-20</t>
  </si>
  <si>
    <t xml:space="preserve">2021-03-26</t>
  </si>
  <si>
    <t xml:space="preserve">OH0024172546</t>
  </si>
  <si>
    <t xml:space="preserve">1967-12-30</t>
  </si>
  <si>
    <t xml:space="preserve">1484 N PARK AVE</t>
  </si>
  <si>
    <t xml:space="preserve">OH0022018322</t>
  </si>
  <si>
    <t xml:space="preserve">MAHAN</t>
  </si>
  <si>
    <t xml:space="preserve">2016-05-07</t>
  </si>
  <si>
    <t xml:space="preserve">1485 N PARK AVE</t>
  </si>
  <si>
    <t xml:space="preserve">OH0022630449</t>
  </si>
  <si>
    <t xml:space="preserve">HOWES</t>
  </si>
  <si>
    <t xml:space="preserve">1971-09-27</t>
  </si>
  <si>
    <t xml:space="preserve">2016-09-12</t>
  </si>
  <si>
    <t xml:space="preserve">1504 N PARK AVE</t>
  </si>
  <si>
    <t xml:space="preserve">OH0021494413</t>
  </si>
  <si>
    <t xml:space="preserve">MONTENERI</t>
  </si>
  <si>
    <t xml:space="preserve">VINCENT</t>
  </si>
  <si>
    <t xml:space="preserve">1985-02-22</t>
  </si>
  <si>
    <t xml:space="preserve">2021-07-06</t>
  </si>
  <si>
    <t xml:space="preserve">OH0024302837</t>
  </si>
  <si>
    <t xml:space="preserve">PROC</t>
  </si>
  <si>
    <t xml:space="preserve">KIRIN</t>
  </si>
  <si>
    <t xml:space="preserve">1976-08-23</t>
  </si>
  <si>
    <t xml:space="preserve">2017-06-02</t>
  </si>
  <si>
    <t xml:space="preserve">1517 N PARK AVE</t>
  </si>
  <si>
    <t xml:space="preserve">OH0024215878</t>
  </si>
  <si>
    <t xml:space="preserve">HODZIEWICH</t>
  </si>
  <si>
    <t xml:space="preserve">1975-06-17</t>
  </si>
  <si>
    <t xml:space="preserve">OH0015738013</t>
  </si>
  <si>
    <t xml:space="preserve">1979-03-28</t>
  </si>
  <si>
    <t xml:space="preserve">1532 N PARK AVE</t>
  </si>
  <si>
    <t xml:space="preserve">OH0025040589</t>
  </si>
  <si>
    <t xml:space="preserve">SHONCE</t>
  </si>
  <si>
    <t xml:space="preserve">1998-02-25</t>
  </si>
  <si>
    <t xml:space="preserve">2019-03-07</t>
  </si>
  <si>
    <t xml:space="preserve">1535 N PARK AVE</t>
  </si>
  <si>
    <t xml:space="preserve">OH0026576314</t>
  </si>
  <si>
    <t xml:space="preserve">1999-11-14</t>
  </si>
  <si>
    <t xml:space="preserve">1543 N PARK AVE</t>
  </si>
  <si>
    <t xml:space="preserve">OH0015787138</t>
  </si>
  <si>
    <t xml:space="preserve">KREMPASKY</t>
  </si>
  <si>
    <t xml:space="preserve">1960-10-10</t>
  </si>
  <si>
    <t xml:space="preserve">1618 N PARK AVE</t>
  </si>
  <si>
    <t xml:space="preserve">OH0025535886</t>
  </si>
  <si>
    <t xml:space="preserve">ASANTE</t>
  </si>
  <si>
    <t xml:space="preserve">2002-04-12</t>
  </si>
  <si>
    <t xml:space="preserve">2020-04-26</t>
  </si>
  <si>
    <t xml:space="preserve">1625 N PARK AVE</t>
  </si>
  <si>
    <t xml:space="preserve">OH0027036164</t>
  </si>
  <si>
    <t xml:space="preserve">ASHANTI</t>
  </si>
  <si>
    <t xml:space="preserve">REANNA</t>
  </si>
  <si>
    <t xml:space="preserve">OH0015804977</t>
  </si>
  <si>
    <t xml:space="preserve">MONIQUEA</t>
  </si>
  <si>
    <t xml:space="preserve">2019-07-26</t>
  </si>
  <si>
    <t xml:space="preserve">OH0022025416</t>
  </si>
  <si>
    <t xml:space="preserve">BRYNER</t>
  </si>
  <si>
    <t xml:space="preserve">ALEXIS ANN</t>
  </si>
  <si>
    <t xml:space="preserve">1994-09-26</t>
  </si>
  <si>
    <t xml:space="preserve">2023-10-30</t>
  </si>
  <si>
    <t xml:space="preserve">1628 N PARK AVE</t>
  </si>
  <si>
    <t xml:space="preserve">OH0015691381</t>
  </si>
  <si>
    <t xml:space="preserve">BLOOMER</t>
  </si>
  <si>
    <t xml:space="preserve">1950-06-10</t>
  </si>
  <si>
    <t xml:space="preserve">2025-06-06</t>
  </si>
  <si>
    <t xml:space="preserve">1635 N PARK AVE</t>
  </si>
  <si>
    <t xml:space="preserve">OH0026995790</t>
  </si>
  <si>
    <t xml:space="preserve">CRAIG</t>
  </si>
  <si>
    <t xml:space="preserve">1971-05-06</t>
  </si>
  <si>
    <t xml:space="preserve">1648 N PARK AVE</t>
  </si>
  <si>
    <t xml:space="preserve">OH0015863237</t>
  </si>
  <si>
    <t xml:space="preserve">GILBERT</t>
  </si>
  <si>
    <t xml:space="preserve">KERRY</t>
  </si>
  <si>
    <t xml:space="preserve">1953-06-25</t>
  </si>
  <si>
    <t xml:space="preserve">2008-08-20</t>
  </si>
  <si>
    <t xml:space="preserve">OH0015730925</t>
  </si>
  <si>
    <t xml:space="preserve">ANSMAN</t>
  </si>
  <si>
    <t xml:space="preserve">1953-08-25</t>
  </si>
  <si>
    <t xml:space="preserve">2020-08-04</t>
  </si>
  <si>
    <t xml:space="preserve">1680 N PARK AVE</t>
  </si>
  <si>
    <t xml:space="preserve">OH0024170280</t>
  </si>
  <si>
    <t xml:space="preserve">SHORETTE</t>
  </si>
  <si>
    <t xml:space="preserve">1970-11-18</t>
  </si>
  <si>
    <t xml:space="preserve">1706 N PARK AVE</t>
  </si>
  <si>
    <t xml:space="preserve">OH0027043197</t>
  </si>
  <si>
    <t xml:space="preserve">DOBBINS</t>
  </si>
  <si>
    <t xml:space="preserve">2023-08-24</t>
  </si>
  <si>
    <t xml:space="preserve">1710 N PARK AVE</t>
  </si>
  <si>
    <t xml:space="preserve">OH0023149396</t>
  </si>
  <si>
    <t xml:space="preserve">MANNINGHAM</t>
  </si>
  <si>
    <t xml:space="preserve">1997-03-08</t>
  </si>
  <si>
    <t xml:space="preserve">OH0024943344</t>
  </si>
  <si>
    <t xml:space="preserve">1973-04-10</t>
  </si>
  <si>
    <t xml:space="preserve">OH0026995416</t>
  </si>
  <si>
    <t xml:space="preserve">KATIE</t>
  </si>
  <si>
    <t xml:space="preserve">1981-01-10</t>
  </si>
  <si>
    <t xml:space="preserve">OH0025366729</t>
  </si>
  <si>
    <t xml:space="preserve">STEIDER</t>
  </si>
  <si>
    <t xml:space="preserve">JAYME</t>
  </si>
  <si>
    <t xml:space="preserve">1987-05-10</t>
  </si>
  <si>
    <t xml:space="preserve">2019-11-30</t>
  </si>
  <si>
    <t xml:space="preserve">1740 N PARK AVE</t>
  </si>
  <si>
    <t xml:space="preserve">OH0015788688</t>
  </si>
  <si>
    <t xml:space="preserve">1978-09-30</t>
  </si>
  <si>
    <t xml:space="preserve">OH0027512161</t>
  </si>
  <si>
    <t xml:space="preserve">1987-07-07</t>
  </si>
  <si>
    <t xml:space="preserve">1749 N PARK AVE</t>
  </si>
  <si>
    <t xml:space="preserve">OH0019904193</t>
  </si>
  <si>
    <t xml:space="preserve">LOVENIA</t>
  </si>
  <si>
    <t xml:space="preserve">1956-04-17</t>
  </si>
  <si>
    <t xml:space="preserve">OH0015768775</t>
  </si>
  <si>
    <t xml:space="preserve">IKE</t>
  </si>
  <si>
    <t xml:space="preserve">1986-01-01</t>
  </si>
  <si>
    <t xml:space="preserve">1756 N PARK AVE</t>
  </si>
  <si>
    <t xml:space="preserve">OH0024936481</t>
  </si>
  <si>
    <t xml:space="preserve">1975-08-16</t>
  </si>
  <si>
    <t xml:space="preserve">2021-09-23</t>
  </si>
  <si>
    <t xml:space="preserve">OH0015713521</t>
  </si>
  <si>
    <t xml:space="preserve">1944-01-14</t>
  </si>
  <si>
    <t xml:space="preserve">1967-09-21</t>
  </si>
  <si>
    <t xml:space="preserve">OH0015738633</t>
  </si>
  <si>
    <t xml:space="preserve">1955-08-07</t>
  </si>
  <si>
    <t xml:space="preserve">1988-04-04</t>
  </si>
  <si>
    <t xml:space="preserve">OH0027667376</t>
  </si>
  <si>
    <t xml:space="preserve">WEIMER</t>
  </si>
  <si>
    <t xml:space="preserve">1987-03-09</t>
  </si>
  <si>
    <t xml:space="preserve">1761 N PARK AVE</t>
  </si>
  <si>
    <t xml:space="preserve">OH0025408858</t>
  </si>
  <si>
    <t xml:space="preserve">PELLIZZERI</t>
  </si>
  <si>
    <t xml:space="preserve">1995-06-20</t>
  </si>
  <si>
    <t xml:space="preserve">OH0019696414</t>
  </si>
  <si>
    <t xml:space="preserve">ROYSTER</t>
  </si>
  <si>
    <t xml:space="preserve">1979-12-26</t>
  </si>
  <si>
    <t xml:space="preserve">2018-09-04</t>
  </si>
  <si>
    <t xml:space="preserve">1772 N PARK AVE</t>
  </si>
  <si>
    <t xml:space="preserve">OH0026924816</t>
  </si>
  <si>
    <t xml:space="preserve">CHAPPELLE</t>
  </si>
  <si>
    <t xml:space="preserve">1968-12-02</t>
  </si>
  <si>
    <t xml:space="preserve">OH0026313571</t>
  </si>
  <si>
    <t xml:space="preserve">LORENZANA</t>
  </si>
  <si>
    <t xml:space="preserve">ALAYSJAH</t>
  </si>
  <si>
    <t xml:space="preserve">LA NAIYA</t>
  </si>
  <si>
    <t xml:space="preserve">2003-11-01</t>
  </si>
  <si>
    <t xml:space="preserve">OH0018956097</t>
  </si>
  <si>
    <t xml:space="preserve">UREY</t>
  </si>
  <si>
    <t xml:space="preserve">1985-11-06</t>
  </si>
  <si>
    <t xml:space="preserve">2006-09-22</t>
  </si>
  <si>
    <t xml:space="preserve">1773 N PARK AVE</t>
  </si>
  <si>
    <t xml:space="preserve">OH0015744530</t>
  </si>
  <si>
    <t xml:space="preserve">BYARD</t>
  </si>
  <si>
    <t xml:space="preserve">1972-01-03</t>
  </si>
  <si>
    <t xml:space="preserve">2000-06-29</t>
  </si>
  <si>
    <t xml:space="preserve">2029 N PARK AVE</t>
  </si>
  <si>
    <t xml:space="preserve">OH0023009319</t>
  </si>
  <si>
    <t xml:space="preserve">R S</t>
  </si>
  <si>
    <t xml:space="preserve">1989-05-24</t>
  </si>
  <si>
    <t xml:space="preserve">2052 N PARK AVE</t>
  </si>
  <si>
    <t xml:space="preserve">OH0020288922</t>
  </si>
  <si>
    <t xml:space="preserve">1974-10-13</t>
  </si>
  <si>
    <t xml:space="preserve">2021-03-09</t>
  </si>
  <si>
    <t xml:space="preserve">2060 N PARK AVE</t>
  </si>
  <si>
    <t xml:space="preserve">OH0024844729</t>
  </si>
  <si>
    <t xml:space="preserve">MCELHINNY</t>
  </si>
  <si>
    <t xml:space="preserve">1995-11-19</t>
  </si>
  <si>
    <t xml:space="preserve">OH0022003007</t>
  </si>
  <si>
    <t xml:space="preserve">1951-09-24</t>
  </si>
  <si>
    <t xml:space="preserve">2069 N PARK AVE</t>
  </si>
  <si>
    <t xml:space="preserve">OH0025551605</t>
  </si>
  <si>
    <t xml:space="preserve">GODFREY</t>
  </si>
  <si>
    <t xml:space="preserve">1971-05-12</t>
  </si>
  <si>
    <t xml:space="preserve">2148 N PARK AVE</t>
  </si>
  <si>
    <t xml:space="preserve">OH0025747628</t>
  </si>
  <si>
    <t xml:space="preserve">KRISTINE</t>
  </si>
  <si>
    <t xml:space="preserve">1989-05-21</t>
  </si>
  <si>
    <t xml:space="preserve">2165 N PARK AVE</t>
  </si>
  <si>
    <t xml:space="preserve">OH0015739121</t>
  </si>
  <si>
    <t xml:space="preserve">1981-04-16</t>
  </si>
  <si>
    <t xml:space="preserve">2019-02-21</t>
  </si>
  <si>
    <t xml:space="preserve">OH0015710101</t>
  </si>
  <si>
    <t xml:space="preserve">1970-07-15</t>
  </si>
  <si>
    <t xml:space="preserve">2173 N PARK AVE</t>
  </si>
  <si>
    <t xml:space="preserve">OH0023755531</t>
  </si>
  <si>
    <t xml:space="preserve">PROCOPIO</t>
  </si>
  <si>
    <t xml:space="preserve">2206 N PARK AVE</t>
  </si>
  <si>
    <t xml:space="preserve">OH0024358294</t>
  </si>
  <si>
    <t xml:space="preserve">POST</t>
  </si>
  <si>
    <t xml:space="preserve">1999-01-11</t>
  </si>
  <si>
    <t xml:space="preserve">OH0024664112</t>
  </si>
  <si>
    <t xml:space="preserve">TYREE</t>
  </si>
  <si>
    <t xml:space="preserve">MALIA</t>
  </si>
  <si>
    <t xml:space="preserve">DESIRE</t>
  </si>
  <si>
    <t xml:space="preserve">2000-10-31</t>
  </si>
  <si>
    <t xml:space="preserve">2215 N PARK AVE</t>
  </si>
  <si>
    <t xml:space="preserve">P.O. BOX 4227</t>
  </si>
  <si>
    <t xml:space="preserve">OH0024664124</t>
  </si>
  <si>
    <t xml:space="preserve">LOMAX</t>
  </si>
  <si>
    <t xml:space="preserve">JAVON</t>
  </si>
  <si>
    <t xml:space="preserve">1996-04-18</t>
  </si>
  <si>
    <t xml:space="preserve">OH0024664115</t>
  </si>
  <si>
    <t xml:space="preserve">HOLLEY</t>
  </si>
  <si>
    <t xml:space="preserve">KISMET</t>
  </si>
  <si>
    <t xml:space="preserve">P O BOX 4227</t>
  </si>
  <si>
    <t xml:space="preserve">OH0025548035</t>
  </si>
  <si>
    <t xml:space="preserve">DOYLE</t>
  </si>
  <si>
    <t xml:space="preserve">1967-11-30</t>
  </si>
  <si>
    <t xml:space="preserve">2020-05-06</t>
  </si>
  <si>
    <t xml:space="preserve">2306 N PARK AVE</t>
  </si>
  <si>
    <t xml:space="preserve">OH0027747562</t>
  </si>
  <si>
    <t xml:space="preserve">1960-09-12</t>
  </si>
  <si>
    <t xml:space="preserve">OH0018597396</t>
  </si>
  <si>
    <t xml:space="preserve">GLENDA</t>
  </si>
  <si>
    <t xml:space="preserve">MD</t>
  </si>
  <si>
    <t xml:space="preserve">1983-12-07</t>
  </si>
  <si>
    <t xml:space="preserve">2326 N PARK AVE</t>
  </si>
  <si>
    <t xml:space="preserve">OH0026529711</t>
  </si>
  <si>
    <t xml:space="preserve">1982-08-22</t>
  </si>
  <si>
    <t xml:space="preserve">2022-05-06</t>
  </si>
  <si>
    <t xml:space="preserve">2344 N PARK AVE</t>
  </si>
  <si>
    <t xml:space="preserve">OH0026179147</t>
  </si>
  <si>
    <t xml:space="preserve">STILL</t>
  </si>
  <si>
    <t xml:space="preserve">ANASTASHIA</t>
  </si>
  <si>
    <t xml:space="preserve">1989-06-24</t>
  </si>
  <si>
    <t xml:space="preserve">2021-04-16</t>
  </si>
  <si>
    <t xml:space="preserve">2347 N PARK AVE</t>
  </si>
  <si>
    <t xml:space="preserve">OH0018615345</t>
  </si>
  <si>
    <t xml:space="preserve">1961-12-01</t>
  </si>
  <si>
    <t xml:space="preserve">660 N PARK AVE</t>
  </si>
  <si>
    <t xml:space="preserve">OH0023643743</t>
  </si>
  <si>
    <t xml:space="preserve">BROOK</t>
  </si>
  <si>
    <t xml:space="preserve">1995-10-22</t>
  </si>
  <si>
    <t xml:space="preserve">2022-03-06</t>
  </si>
  <si>
    <t xml:space="preserve">701 N PARK AVE</t>
  </si>
  <si>
    <t xml:space="preserve">OH0027300276</t>
  </si>
  <si>
    <t xml:space="preserve">DANNEMILLER</t>
  </si>
  <si>
    <t xml:space="preserve">THERON</t>
  </si>
  <si>
    <t xml:space="preserve">1977-08-22</t>
  </si>
  <si>
    <t xml:space="preserve">OH0027789242</t>
  </si>
  <si>
    <t xml:space="preserve">SANCHEZ SANTOS</t>
  </si>
  <si>
    <t xml:space="preserve">1983-02-03</t>
  </si>
  <si>
    <t xml:space="preserve">OH0026137479</t>
  </si>
  <si>
    <t xml:space="preserve">PAUKOVICH</t>
  </si>
  <si>
    <t xml:space="preserve">1981-06-25</t>
  </si>
  <si>
    <t xml:space="preserve">OH0024200753</t>
  </si>
  <si>
    <t xml:space="preserve">MARSTELLAR</t>
  </si>
  <si>
    <t xml:space="preserve">1986-04-20</t>
  </si>
  <si>
    <t xml:space="preserve">2019-01-09</t>
  </si>
  <si>
    <t xml:space="preserve">OH0025957153</t>
  </si>
  <si>
    <t xml:space="preserve">1998-07-17</t>
  </si>
  <si>
    <t xml:space="preserve">2023-08-31</t>
  </si>
  <si>
    <t xml:space="preserve">OH0026509531</t>
  </si>
  <si>
    <t xml:space="preserve">TAION</t>
  </si>
  <si>
    <t xml:space="preserve">1991-03-24</t>
  </si>
  <si>
    <t xml:space="preserve">OH0026192162</t>
  </si>
  <si>
    <t xml:space="preserve">1965-08-19</t>
  </si>
  <si>
    <t xml:space="preserve">OH0025571473</t>
  </si>
  <si>
    <t xml:space="preserve">ZACHARIAH</t>
  </si>
  <si>
    <t xml:space="preserve">1994-08-19</t>
  </si>
  <si>
    <t xml:space="preserve">2023-04-24</t>
  </si>
  <si>
    <t xml:space="preserve">OH0027191060</t>
  </si>
  <si>
    <t xml:space="preserve">COSTANTINI</t>
  </si>
  <si>
    <t xml:space="preserve">1990-02-19</t>
  </si>
  <si>
    <t xml:space="preserve">OH0025906847</t>
  </si>
  <si>
    <t xml:space="preserve">1978-01-23</t>
  </si>
  <si>
    <t xml:space="preserve">2024-02-08</t>
  </si>
  <si>
    <t xml:space="preserve">OH0023741228</t>
  </si>
  <si>
    <t xml:space="preserve">1987-05-16</t>
  </si>
  <si>
    <t xml:space="preserve">2018-03-13</t>
  </si>
  <si>
    <t xml:space="preserve">OH0019240862</t>
  </si>
  <si>
    <t xml:space="preserve">1989-08-06</t>
  </si>
  <si>
    <t xml:space="preserve">2018-10-17</t>
  </si>
  <si>
    <t xml:space="preserve">OH0023225175</t>
  </si>
  <si>
    <t xml:space="preserve">OH0015696717</t>
  </si>
  <si>
    <t xml:space="preserve">KAFANTARIS</t>
  </si>
  <si>
    <t xml:space="preserve">1953-05-11</t>
  </si>
  <si>
    <t xml:space="preserve">720 N PARK AVE</t>
  </si>
  <si>
    <t xml:space="preserve">OH0025750120</t>
  </si>
  <si>
    <t xml:space="preserve">1962-09-08</t>
  </si>
  <si>
    <t xml:space="preserve">2020-08-26</t>
  </si>
  <si>
    <t xml:space="preserve">808 N PARK AVE</t>
  </si>
  <si>
    <t xml:space="preserve">OH0025949028</t>
  </si>
  <si>
    <t xml:space="preserve">1969-11-09</t>
  </si>
  <si>
    <t xml:space="preserve">OH0027952522</t>
  </si>
  <si>
    <t xml:space="preserve">HOGUE</t>
  </si>
  <si>
    <t xml:space="preserve">JERSEE</t>
  </si>
  <si>
    <t xml:space="preserve">2001-08-12</t>
  </si>
  <si>
    <t xml:space="preserve">822 N PARK AVE</t>
  </si>
  <si>
    <t xml:space="preserve">OH0025974719</t>
  </si>
  <si>
    <t xml:space="preserve">COPELAND</t>
  </si>
  <si>
    <t xml:space="preserve">TREMAINE</t>
  </si>
  <si>
    <t xml:space="preserve">1997-08-04</t>
  </si>
  <si>
    <t xml:space="preserve">OH0021285255</t>
  </si>
  <si>
    <t xml:space="preserve">1949-08-27</t>
  </si>
  <si>
    <t xml:space="preserve">832 N PARK AVE</t>
  </si>
  <si>
    <t xml:space="preserve">OH0020381764</t>
  </si>
  <si>
    <t xml:space="preserve">ROEBUCK</t>
  </si>
  <si>
    <t xml:space="preserve">TYRA</t>
  </si>
  <si>
    <t xml:space="preserve">2016-04-28</t>
  </si>
  <si>
    <t xml:space="preserve">OH0024892749</t>
  </si>
  <si>
    <t xml:space="preserve">1998-03-17</t>
  </si>
  <si>
    <t xml:space="preserve">2023-06-29</t>
  </si>
  <si>
    <t xml:space="preserve">OH0027857391</t>
  </si>
  <si>
    <t xml:space="preserve">KOSTINA</t>
  </si>
  <si>
    <t xml:space="preserve">OLENA</t>
  </si>
  <si>
    <t xml:space="preserve">ANATOLIEVNA</t>
  </si>
  <si>
    <t xml:space="preserve">1975-09-26</t>
  </si>
  <si>
    <t xml:space="preserve">155 NORTH ST NW</t>
  </si>
  <si>
    <t xml:space="preserve">OH0025592136</t>
  </si>
  <si>
    <t xml:space="preserve">TANERI</t>
  </si>
  <si>
    <t xml:space="preserve">1959-02-14</t>
  </si>
  <si>
    <t xml:space="preserve">2020-07-09</t>
  </si>
  <si>
    <t xml:space="preserve">OH0027078611</t>
  </si>
  <si>
    <t xml:space="preserve">ESPOSITO</t>
  </si>
  <si>
    <t xml:space="preserve">2000-05-16</t>
  </si>
  <si>
    <t xml:space="preserve">195 NORTH ST NW</t>
  </si>
  <si>
    <t xml:space="preserve">OH0015725207</t>
  </si>
  <si>
    <t xml:space="preserve">1966-04-27</t>
  </si>
  <si>
    <t xml:space="preserve">225 NORTH ST NW</t>
  </si>
  <si>
    <t xml:space="preserve">OH0027860432</t>
  </si>
  <si>
    <t xml:space="preserve">COGLEY</t>
  </si>
  <si>
    <t xml:space="preserve">1999-11-08</t>
  </si>
  <si>
    <t xml:space="preserve">2024-11-09</t>
  </si>
  <si>
    <t xml:space="preserve">258 NORTH ST NW</t>
  </si>
  <si>
    <t xml:space="preserve">OH0027519195</t>
  </si>
  <si>
    <t xml:space="preserve">1981-07-20</t>
  </si>
  <si>
    <t xml:space="preserve">OH0027951660</t>
  </si>
  <si>
    <t xml:space="preserve">COMAN</t>
  </si>
  <si>
    <t xml:space="preserve">1988-10-16</t>
  </si>
  <si>
    <t xml:space="preserve">2025-04-25</t>
  </si>
  <si>
    <t xml:space="preserve">OH0015712771</t>
  </si>
  <si>
    <t xml:space="preserve">GRIFFING</t>
  </si>
  <si>
    <t xml:space="preserve">1966-12-01</t>
  </si>
  <si>
    <t xml:space="preserve">2015-08-18</t>
  </si>
  <si>
    <t xml:space="preserve">306 NORTH ST NW</t>
  </si>
  <si>
    <t xml:space="preserve">OH0021213043</t>
  </si>
  <si>
    <t xml:space="preserve">1992-08-01</t>
  </si>
  <si>
    <t xml:space="preserve">OH0020981297</t>
  </si>
  <si>
    <t xml:space="preserve">1991-08-27</t>
  </si>
  <si>
    <t xml:space="preserve">322 NORTH ST NW</t>
  </si>
  <si>
    <t xml:space="preserve">OH0027591548</t>
  </si>
  <si>
    <t xml:space="preserve">1988-12-30</t>
  </si>
  <si>
    <t xml:space="preserve">356 NORTH ST NW</t>
  </si>
  <si>
    <t xml:space="preserve">OH0022171244</t>
  </si>
  <si>
    <t xml:space="preserve">MARQUISHA</t>
  </si>
  <si>
    <t xml:space="preserve">1992-08-04</t>
  </si>
  <si>
    <t xml:space="preserve">2016-01-14</t>
  </si>
  <si>
    <t xml:space="preserve">OH0015804479</t>
  </si>
  <si>
    <t xml:space="preserve">BITTINGER</t>
  </si>
  <si>
    <t xml:space="preserve">1963-11-17</t>
  </si>
  <si>
    <t xml:space="preserve">2018-03-12</t>
  </si>
  <si>
    <t xml:space="preserve">OH0023184587</t>
  </si>
  <si>
    <t xml:space="preserve">BARSHNEY</t>
  </si>
  <si>
    <t xml:space="preserve">2015-06-19</t>
  </si>
  <si>
    <t xml:space="preserve">363 NORTH ST NW</t>
  </si>
  <si>
    <t xml:space="preserve">OH0023252137</t>
  </si>
  <si>
    <t xml:space="preserve">KONIOWSKY</t>
  </si>
  <si>
    <t xml:space="preserve">1980-02-23</t>
  </si>
  <si>
    <t xml:space="preserve">377 NORTH ST NW</t>
  </si>
  <si>
    <t xml:space="preserve">OH0023636095</t>
  </si>
  <si>
    <t xml:space="preserve">COLLETT</t>
  </si>
  <si>
    <t xml:space="preserve">1957-03-24</t>
  </si>
  <si>
    <t xml:space="preserve">2016-04-18</t>
  </si>
  <si>
    <t xml:space="preserve">OH0023643626</t>
  </si>
  <si>
    <t xml:space="preserve">GALLEGOS</t>
  </si>
  <si>
    <t xml:space="preserve">MEREDITH</t>
  </si>
  <si>
    <t xml:space="preserve">1971-12-15</t>
  </si>
  <si>
    <t xml:space="preserve">OH0023295473</t>
  </si>
  <si>
    <t xml:space="preserve">CHAMBORA</t>
  </si>
  <si>
    <t xml:space="preserve">1997-02-08</t>
  </si>
  <si>
    <t xml:space="preserve">2021-11-24</t>
  </si>
  <si>
    <t xml:space="preserve">OH0026179487</t>
  </si>
  <si>
    <t xml:space="preserve">KANDEL</t>
  </si>
  <si>
    <t xml:space="preserve">SCARLETT</t>
  </si>
  <si>
    <t xml:space="preserve">MERCEDEZ</t>
  </si>
  <si>
    <t xml:space="preserve">2000-08-25</t>
  </si>
  <si>
    <t xml:space="preserve">2022-09-12</t>
  </si>
  <si>
    <t xml:space="preserve">419 NORTH ST NW</t>
  </si>
  <si>
    <t xml:space="preserve">OH0015699517</t>
  </si>
  <si>
    <t xml:space="preserve">TACHOVAKA</t>
  </si>
  <si>
    <t xml:space="preserve">1948-11-05</t>
  </si>
  <si>
    <t xml:space="preserve">2007-10-03</t>
  </si>
  <si>
    <t xml:space="preserve">421 NORTH ST NW</t>
  </si>
  <si>
    <t xml:space="preserve">OH0015738403</t>
  </si>
  <si>
    <t xml:space="preserve">1952-06-06</t>
  </si>
  <si>
    <t xml:space="preserve">1997-06-03</t>
  </si>
  <si>
    <t xml:space="preserve">OH0024291254</t>
  </si>
  <si>
    <t xml:space="preserve">1994-11-14</t>
  </si>
  <si>
    <t xml:space="preserve">427 NORTH ST NW</t>
  </si>
  <si>
    <t xml:space="preserve">OH0019857969</t>
  </si>
  <si>
    <t xml:space="preserve">BLEVINS</t>
  </si>
  <si>
    <t xml:space="preserve">1962-10-18</t>
  </si>
  <si>
    <t xml:space="preserve">2024-10-18</t>
  </si>
  <si>
    <t xml:space="preserve">OH0025146706</t>
  </si>
  <si>
    <t xml:space="preserve">POTTS</t>
  </si>
  <si>
    <t xml:space="preserve">2019-07-01</t>
  </si>
  <si>
    <t xml:space="preserve">433 NORTH ST NW</t>
  </si>
  <si>
    <t xml:space="preserve">OH0027789353</t>
  </si>
  <si>
    <t xml:space="preserve">OVERTON</t>
  </si>
  <si>
    <t xml:space="preserve">GARRETT ENGLAND</t>
  </si>
  <si>
    <t xml:space="preserve">1988-02-03</t>
  </si>
  <si>
    <t xml:space="preserve">436 NORTH ST NW</t>
  </si>
  <si>
    <t xml:space="preserve">OH0015729464</t>
  </si>
  <si>
    <t xml:space="preserve">1959-04-14</t>
  </si>
  <si>
    <t xml:space="preserve">OH0020944031</t>
  </si>
  <si>
    <t xml:space="preserve">PARSLEY</t>
  </si>
  <si>
    <t xml:space="preserve">1973-09-14</t>
  </si>
  <si>
    <t xml:space="preserve">2014-11-23</t>
  </si>
  <si>
    <t xml:space="preserve">454 NORTH ST NW</t>
  </si>
  <si>
    <t xml:space="preserve">OH0015769477</t>
  </si>
  <si>
    <t xml:space="preserve">1949-05-28</t>
  </si>
  <si>
    <t xml:space="preserve">2015-08-05</t>
  </si>
  <si>
    <t xml:space="preserve">OH0021379349</t>
  </si>
  <si>
    <t xml:space="preserve">1991-12-22</t>
  </si>
  <si>
    <t xml:space="preserve">462 NORTH ST NW</t>
  </si>
  <si>
    <t xml:space="preserve">OH0024210746</t>
  </si>
  <si>
    <t xml:space="preserve">SHROUT</t>
  </si>
  <si>
    <t xml:space="preserve">1976-06-05</t>
  </si>
  <si>
    <t xml:space="preserve">OH0021514945</t>
  </si>
  <si>
    <t xml:space="preserve">PRIEST</t>
  </si>
  <si>
    <t xml:space="preserve">1991-07-30</t>
  </si>
  <si>
    <t xml:space="preserve">OH0023252663</t>
  </si>
  <si>
    <t xml:space="preserve">DAMRON</t>
  </si>
  <si>
    <t xml:space="preserve">463 NORTH ST NW</t>
  </si>
  <si>
    <t xml:space="preserve">OH0019196609</t>
  </si>
  <si>
    <t xml:space="preserve">472 NORTH ST NW</t>
  </si>
  <si>
    <t xml:space="preserve">OH0022653453</t>
  </si>
  <si>
    <t xml:space="preserve">1957-07-18</t>
  </si>
  <si>
    <t xml:space="preserve">480 NORTH ST NW</t>
  </si>
  <si>
    <t xml:space="preserve">OH0015712310</t>
  </si>
  <si>
    <t xml:space="preserve">BOLEN</t>
  </si>
  <si>
    <t xml:space="preserve">1948-06-11</t>
  </si>
  <si>
    <t xml:space="preserve">1985-01-02</t>
  </si>
  <si>
    <t xml:space="preserve">486 NORTH ST NW</t>
  </si>
  <si>
    <t xml:space="preserve">OH0026736860</t>
  </si>
  <si>
    <t xml:space="preserve">VANAUGH</t>
  </si>
  <si>
    <t xml:space="preserve">2022-11-08</t>
  </si>
  <si>
    <t xml:space="preserve">487 NORTH ST NW</t>
  </si>
  <si>
    <t xml:space="preserve">OH0022328457</t>
  </si>
  <si>
    <t xml:space="preserve">OH0024352186</t>
  </si>
  <si>
    <t xml:space="preserve">SLEDGE</t>
  </si>
  <si>
    <t xml:space="preserve">CIENNA</t>
  </si>
  <si>
    <t xml:space="preserve">YNKAHRA</t>
  </si>
  <si>
    <t xml:space="preserve">1999-01-10</t>
  </si>
  <si>
    <t xml:space="preserve">494 NORTH ST NW</t>
  </si>
  <si>
    <t xml:space="preserve">OH0015813588</t>
  </si>
  <si>
    <t xml:space="preserve">LURLYNN</t>
  </si>
  <si>
    <t xml:space="preserve">1979-09-30</t>
  </si>
  <si>
    <t xml:space="preserve">OH0024525178</t>
  </si>
  <si>
    <t xml:space="preserve">WAGEN</t>
  </si>
  <si>
    <t xml:space="preserve">1999-01-12</t>
  </si>
  <si>
    <t xml:space="preserve">2018-02-21</t>
  </si>
  <si>
    <t xml:space="preserve">OH0025914803</t>
  </si>
  <si>
    <t xml:space="preserve">HICKS</t>
  </si>
  <si>
    <t xml:space="preserve">1973-06-03</t>
  </si>
  <si>
    <t xml:space="preserve">OH0026375151</t>
  </si>
  <si>
    <t xml:space="preserve">1997-07-31</t>
  </si>
  <si>
    <t xml:space="preserve">2021-11-30</t>
  </si>
  <si>
    <t xml:space="preserve">507 NORTH ST NW</t>
  </si>
  <si>
    <t xml:space="preserve">OH0026407494</t>
  </si>
  <si>
    <t xml:space="preserve">2022-01-28</t>
  </si>
  <si>
    <t xml:space="preserve">OH0020289399</t>
  </si>
  <si>
    <t xml:space="preserve">SHANNON</t>
  </si>
  <si>
    <t xml:space="preserve">BREANN</t>
  </si>
  <si>
    <t xml:space="preserve">1988-08-27</t>
  </si>
  <si>
    <t xml:space="preserve">2023-08-14</t>
  </si>
  <si>
    <t xml:space="preserve">521 NORTH ST NW</t>
  </si>
  <si>
    <t xml:space="preserve">OH0027384245</t>
  </si>
  <si>
    <t xml:space="preserve">SHYANN</t>
  </si>
  <si>
    <t xml:space="preserve">2024-06-08</t>
  </si>
  <si>
    <t xml:space="preserve">OH0025338431</t>
  </si>
  <si>
    <t xml:space="preserve">REDMOND</t>
  </si>
  <si>
    <t xml:space="preserve">1993-10-24</t>
  </si>
  <si>
    <t xml:space="preserve">2019-10-23</t>
  </si>
  <si>
    <t xml:space="preserve">522 NORTH ST NW</t>
  </si>
  <si>
    <t xml:space="preserve">OH0022731877</t>
  </si>
  <si>
    <t xml:space="preserve">STILSON</t>
  </si>
  <si>
    <t xml:space="preserve">1975-03-28</t>
  </si>
  <si>
    <t xml:space="preserve">2014-04-02</t>
  </si>
  <si>
    <t xml:space="preserve">533 NORTH ST NW</t>
  </si>
  <si>
    <t xml:space="preserve">OH0024197150</t>
  </si>
  <si>
    <t xml:space="preserve">OH0024530081</t>
  </si>
  <si>
    <t xml:space="preserve">DANIELS</t>
  </si>
  <si>
    <t xml:space="preserve">1969-01-04</t>
  </si>
  <si>
    <t xml:space="preserve">OH0027282690</t>
  </si>
  <si>
    <t xml:space="preserve">SIMKINS</t>
  </si>
  <si>
    <t xml:space="preserve">1982-03-16</t>
  </si>
  <si>
    <t xml:space="preserve">2024-02-23</t>
  </si>
  <si>
    <t xml:space="preserve">543 NORTH ST NW</t>
  </si>
  <si>
    <t xml:space="preserve">OH0025093718</t>
  </si>
  <si>
    <t xml:space="preserve">RODHE</t>
  </si>
  <si>
    <t xml:space="preserve">1973-07-31</t>
  </si>
  <si>
    <t xml:space="preserve">2019-04-07</t>
  </si>
  <si>
    <t xml:space="preserve">OH0020668373</t>
  </si>
  <si>
    <t xml:space="preserve">FITTS</t>
  </si>
  <si>
    <t xml:space="preserve">CONIKA</t>
  </si>
  <si>
    <t xml:space="preserve">1989-03-15</t>
  </si>
  <si>
    <t xml:space="preserve">1420 OGDEN AVE NW</t>
  </si>
  <si>
    <t xml:space="preserve">OH0019479651</t>
  </si>
  <si>
    <t xml:space="preserve">COOPERWOOD</t>
  </si>
  <si>
    <t xml:space="preserve">TAWANA</t>
  </si>
  <si>
    <t xml:space="preserve">1983-07-29</t>
  </si>
  <si>
    <t xml:space="preserve">2020-12-04</t>
  </si>
  <si>
    <t xml:space="preserve">OH0027361419</t>
  </si>
  <si>
    <t xml:space="preserve">DIAMOND</t>
  </si>
  <si>
    <t xml:space="preserve">1998-01-27</t>
  </si>
  <si>
    <t xml:space="preserve">1428 OGDEN AVE NW</t>
  </si>
  <si>
    <t xml:space="preserve">OH0024483740</t>
  </si>
  <si>
    <t xml:space="preserve">KOVAR</t>
  </si>
  <si>
    <t xml:space="preserve">TIFFINEY</t>
  </si>
  <si>
    <t xml:space="preserve">1982-04-04</t>
  </si>
  <si>
    <t xml:space="preserve">2018-01-12</t>
  </si>
  <si>
    <t xml:space="preserve">1429 OGDEN AVE NW</t>
  </si>
  <si>
    <t xml:space="preserve">OH0024531503</t>
  </si>
  <si>
    <t xml:space="preserve">KARIA</t>
  </si>
  <si>
    <t xml:space="preserve">NIRIN MONIQUE</t>
  </si>
  <si>
    <t xml:space="preserve">1999-06-15</t>
  </si>
  <si>
    <t xml:space="preserve">2018-02-27</t>
  </si>
  <si>
    <t xml:space="preserve">1436 OGDEN AVE NW</t>
  </si>
  <si>
    <t xml:space="preserve">OH0026303702</t>
  </si>
  <si>
    <t xml:space="preserve">JENICE</t>
  </si>
  <si>
    <t xml:space="preserve">SUELLYN</t>
  </si>
  <si>
    <t xml:space="preserve">1982-06-12</t>
  </si>
  <si>
    <t xml:space="preserve">2023-07-13</t>
  </si>
  <si>
    <t xml:space="preserve">OH0024381732</t>
  </si>
  <si>
    <t xml:space="preserve">1979-06-21</t>
  </si>
  <si>
    <t xml:space="preserve">2017-07-24</t>
  </si>
  <si>
    <t xml:space="preserve">OH0015791513</t>
  </si>
  <si>
    <t xml:space="preserve">1956-01-01</t>
  </si>
  <si>
    <t xml:space="preserve">1974-04-01</t>
  </si>
  <si>
    <t xml:space="preserve">1449 OGDEN AVE NW</t>
  </si>
  <si>
    <t xml:space="preserve">OH0026535052</t>
  </si>
  <si>
    <t xml:space="preserve">ROACH</t>
  </si>
  <si>
    <t xml:space="preserve">ARIKA</t>
  </si>
  <si>
    <t xml:space="preserve">JAYCEE</t>
  </si>
  <si>
    <t xml:space="preserve">2004-02-18</t>
  </si>
  <si>
    <t xml:space="preserve">1505 OGDEN AVE NW</t>
  </si>
  <si>
    <t xml:space="preserve">OH0027839216</t>
  </si>
  <si>
    <t xml:space="preserve">1988-12-10</t>
  </si>
  <si>
    <t xml:space="preserve">2024-10-31</t>
  </si>
  <si>
    <t xml:space="preserve">1535 OGDEN AVE NW</t>
  </si>
  <si>
    <t xml:space="preserve">OH0015754362</t>
  </si>
  <si>
    <t xml:space="preserve">1957-02-17</t>
  </si>
  <si>
    <t xml:space="preserve">2023-12-04</t>
  </si>
  <si>
    <t xml:space="preserve">1545 OGDEN AVE NW</t>
  </si>
  <si>
    <t xml:space="preserve">OH0027909468</t>
  </si>
  <si>
    <t xml:space="preserve">STUBBS</t>
  </si>
  <si>
    <t xml:space="preserve">KALI</t>
  </si>
  <si>
    <t xml:space="preserve">RASHEEM</t>
  </si>
  <si>
    <t xml:space="preserve">OH0023223097</t>
  </si>
  <si>
    <t xml:space="preserve">JIMMY</t>
  </si>
  <si>
    <t xml:space="preserve">1992-09-20</t>
  </si>
  <si>
    <t xml:space="preserve">1546 OGDEN AVE NW</t>
  </si>
  <si>
    <t xml:space="preserve">OH0023636491</t>
  </si>
  <si>
    <t xml:space="preserve">SULCER</t>
  </si>
  <si>
    <t xml:space="preserve">1985-05-23</t>
  </si>
  <si>
    <t xml:space="preserve">OH0025384673</t>
  </si>
  <si>
    <t xml:space="preserve">COLE</t>
  </si>
  <si>
    <t xml:space="preserve">ARIANA</t>
  </si>
  <si>
    <t xml:space="preserve">2001-09-23</t>
  </si>
  <si>
    <t xml:space="preserve">2020-01-28</t>
  </si>
  <si>
    <t xml:space="preserve">OH0024304337</t>
  </si>
  <si>
    <t xml:space="preserve">2019-11-27</t>
  </si>
  <si>
    <t xml:space="preserve">OH0027508502</t>
  </si>
  <si>
    <t xml:space="preserve">THARON</t>
  </si>
  <si>
    <t xml:space="preserve">1985-03-03</t>
  </si>
  <si>
    <t xml:space="preserve">1548 OGDEN AVE NW</t>
  </si>
  <si>
    <t xml:space="preserve">OH0026817885</t>
  </si>
  <si>
    <t xml:space="preserve">AALIYAH</t>
  </si>
  <si>
    <t xml:space="preserve">2005-10-15</t>
  </si>
  <si>
    <t xml:space="preserve">1555 OGDEN AVE NW</t>
  </si>
  <si>
    <t xml:space="preserve">OH0015818443</t>
  </si>
  <si>
    <t xml:space="preserve">VINTILA</t>
  </si>
  <si>
    <t xml:space="preserve">1981-07-12</t>
  </si>
  <si>
    <t xml:space="preserve">2015-08-04</t>
  </si>
  <si>
    <t xml:space="preserve">OH0024166134</t>
  </si>
  <si>
    <t xml:space="preserve">1983-02-04</t>
  </si>
  <si>
    <t xml:space="preserve">1565 OGDEN AVE NW</t>
  </si>
  <si>
    <t xml:space="preserve">OH0021649479</t>
  </si>
  <si>
    <t xml:space="preserve">1954-09-15</t>
  </si>
  <si>
    <t xml:space="preserve">OH0024183240</t>
  </si>
  <si>
    <t xml:space="preserve">JEFFORDS</t>
  </si>
  <si>
    <t xml:space="preserve">DEANNA</t>
  </si>
  <si>
    <t xml:space="preserve">1997-12-04</t>
  </si>
  <si>
    <t xml:space="preserve">1582 OGDEN AVE NW</t>
  </si>
  <si>
    <t xml:space="preserve">OH0024185900</t>
  </si>
  <si>
    <t xml:space="preserve">1998-10-21</t>
  </si>
  <si>
    <t xml:space="preserve">2016-11-22</t>
  </si>
  <si>
    <t xml:space="preserve">1597 OGDEN AVE NW</t>
  </si>
  <si>
    <t xml:space="preserve">OH0023254966</t>
  </si>
  <si>
    <t xml:space="preserve">MECHLY</t>
  </si>
  <si>
    <t xml:space="preserve">1994-06-15</t>
  </si>
  <si>
    <t xml:space="preserve">2015-08-19</t>
  </si>
  <si>
    <t xml:space="preserve">1607 OGDEN AVE NW</t>
  </si>
  <si>
    <t xml:space="preserve">OH0020306111</t>
  </si>
  <si>
    <t xml:space="preserve">1971-09-16</t>
  </si>
  <si>
    <t xml:space="preserve">2013-09-20</t>
  </si>
  <si>
    <t xml:space="preserve">OH0015723654</t>
  </si>
  <si>
    <t xml:space="preserve">SQUEGLIA</t>
  </si>
  <si>
    <t xml:space="preserve">1970-02-06</t>
  </si>
  <si>
    <t xml:space="preserve">1988-06-29</t>
  </si>
  <si>
    <t xml:space="preserve">1627 OGDEN AVE NW</t>
  </si>
  <si>
    <t xml:space="preserve">OH0015799246</t>
  </si>
  <si>
    <t xml:space="preserve">SPADO TSITLAKIDES</t>
  </si>
  <si>
    <t xml:space="preserve">1951-11-06</t>
  </si>
  <si>
    <t xml:space="preserve">OH0024749582</t>
  </si>
  <si>
    <t xml:space="preserve">2018-08-17</t>
  </si>
  <si>
    <t xml:space="preserve">1637 OGDEN AVE NW</t>
  </si>
  <si>
    <t xml:space="preserve">OH0015764847</t>
  </si>
  <si>
    <t xml:space="preserve">VONTISHA</t>
  </si>
  <si>
    <t xml:space="preserve">1980-03-26</t>
  </si>
  <si>
    <t xml:space="preserve">2025-04-23</t>
  </si>
  <si>
    <t xml:space="preserve">OH0020033103</t>
  </si>
  <si>
    <t xml:space="preserve">1990-01-10</t>
  </si>
  <si>
    <t xml:space="preserve">1657 OGDEN AVE NW</t>
  </si>
  <si>
    <t xml:space="preserve">OH0015766073</t>
  </si>
  <si>
    <t xml:space="preserve">1976-05-18</t>
  </si>
  <si>
    <t xml:space="preserve">2017-10-06</t>
  </si>
  <si>
    <t xml:space="preserve">1667 OGDEN AVE NW</t>
  </si>
  <si>
    <t xml:space="preserve">OH0015749700</t>
  </si>
  <si>
    <t xml:space="preserve">1954-08-15</t>
  </si>
  <si>
    <t xml:space="preserve">1992-05-04</t>
  </si>
  <si>
    <t xml:space="preserve">OH0020529216</t>
  </si>
  <si>
    <t xml:space="preserve">1964-10-11</t>
  </si>
  <si>
    <t xml:space="preserve">1705 OGDEN AVE NW</t>
  </si>
  <si>
    <t xml:space="preserve">OH0023271664</t>
  </si>
  <si>
    <t xml:space="preserve">INGRAM</t>
  </si>
  <si>
    <t xml:space="preserve">QUINN</t>
  </si>
  <si>
    <t xml:space="preserve">1978-04-21</t>
  </si>
  <si>
    <t xml:space="preserve">2017-08-10</t>
  </si>
  <si>
    <t xml:space="preserve">1715 OGDEN AVE NW</t>
  </si>
  <si>
    <t xml:space="preserve">OH0025012978</t>
  </si>
  <si>
    <t xml:space="preserve">MARCHELLE</t>
  </si>
  <si>
    <t xml:space="preserve">1983-01-06</t>
  </si>
  <si>
    <t xml:space="preserve">2020-10-26</t>
  </si>
  <si>
    <t xml:space="preserve">1724 OGDEN AVE NW</t>
  </si>
  <si>
    <t xml:space="preserve">OH0020025545</t>
  </si>
  <si>
    <t xml:space="preserve">RA</t>
  </si>
  <si>
    <t xml:space="preserve">1987-07-24</t>
  </si>
  <si>
    <t xml:space="preserve">2016-10-04</t>
  </si>
  <si>
    <t xml:space="preserve">OH0015815008</t>
  </si>
  <si>
    <t xml:space="preserve">1744 OGDEN AVE NW</t>
  </si>
  <si>
    <t xml:space="preserve">OH0021376639</t>
  </si>
  <si>
    <t xml:space="preserve">ONESHA</t>
  </si>
  <si>
    <t xml:space="preserve">1981-10-21</t>
  </si>
  <si>
    <t xml:space="preserve">2015-03-27</t>
  </si>
  <si>
    <t xml:space="preserve">1755 OGDEN AVE NW</t>
  </si>
  <si>
    <t xml:space="preserve">OH0025584841</t>
  </si>
  <si>
    <t xml:space="preserve">BERRIOS</t>
  </si>
  <si>
    <t xml:space="preserve">1992-04-08</t>
  </si>
  <si>
    <t xml:space="preserve">2020-03-18</t>
  </si>
  <si>
    <t xml:space="preserve">OH0021969504</t>
  </si>
  <si>
    <t xml:space="preserve">RYANNE</t>
  </si>
  <si>
    <t xml:space="preserve">1994-09-20</t>
  </si>
  <si>
    <t xml:space="preserve">2012-08-02</t>
  </si>
  <si>
    <t xml:space="preserve">2217 OGDEN AVE NW</t>
  </si>
  <si>
    <t xml:space="preserve">OH0027246064</t>
  </si>
  <si>
    <t xml:space="preserve">GILL</t>
  </si>
  <si>
    <t xml:space="preserve">LEXIANN</t>
  </si>
  <si>
    <t xml:space="preserve">1996-08-28</t>
  </si>
  <si>
    <t xml:space="preserve">2024-02-07</t>
  </si>
  <si>
    <t xml:space="preserve">OH0015684767</t>
  </si>
  <si>
    <t xml:space="preserve">1957-06-04</t>
  </si>
  <si>
    <t xml:space="preserve">2227 OGDEN AVE NW</t>
  </si>
  <si>
    <t xml:space="preserve">OH0023152454</t>
  </si>
  <si>
    <t xml:space="preserve">PATITUCCI</t>
  </si>
  <si>
    <t xml:space="preserve">MARINA</t>
  </si>
  <si>
    <t xml:space="preserve">1996-07-15</t>
  </si>
  <si>
    <t xml:space="preserve">2019-04-24</t>
  </si>
  <si>
    <t xml:space="preserve">1057 OLIVE AVE NE</t>
  </si>
  <si>
    <t xml:space="preserve">OH0023733232</t>
  </si>
  <si>
    <t xml:space="preserve">CURRENCE</t>
  </si>
  <si>
    <t xml:space="preserve">1995-12-17</t>
  </si>
  <si>
    <t xml:space="preserve">OH0023756621</t>
  </si>
  <si>
    <t xml:space="preserve">MINCEY</t>
  </si>
  <si>
    <t xml:space="preserve">DURON</t>
  </si>
  <si>
    <t xml:space="preserve">1974-08-12</t>
  </si>
  <si>
    <t xml:space="preserve">2016-06-28</t>
  </si>
  <si>
    <t xml:space="preserve">1124 OLIVE AVE NE</t>
  </si>
  <si>
    <t xml:space="preserve">OH0015818639</t>
  </si>
  <si>
    <t xml:space="preserve">1948-05-28</t>
  </si>
  <si>
    <t xml:space="preserve">1134 OLIVE AVE NE</t>
  </si>
  <si>
    <t xml:space="preserve">OH0015766710</t>
  </si>
  <si>
    <t xml:space="preserve">SCHAUB</t>
  </si>
  <si>
    <t xml:space="preserve">1951-09-04</t>
  </si>
  <si>
    <t xml:space="preserve">1994-08-23</t>
  </si>
  <si>
    <t xml:space="preserve">824 OLIVE AVE NE</t>
  </si>
  <si>
    <t xml:space="preserve">OH0015766714</t>
  </si>
  <si>
    <t xml:space="preserve">LONNIE</t>
  </si>
  <si>
    <t xml:space="preserve">1957-10-26</t>
  </si>
  <si>
    <t xml:space="preserve">OH0025122310</t>
  </si>
  <si>
    <t xml:space="preserve">ROBERTS</t>
  </si>
  <si>
    <t xml:space="preserve">1990-05-24</t>
  </si>
  <si>
    <t xml:space="preserve">847 PACIFIC PL NW</t>
  </si>
  <si>
    <t xml:space="preserve">OH0015681038</t>
  </si>
  <si>
    <t xml:space="preserve">CHARLEEN</t>
  </si>
  <si>
    <t xml:space="preserve">1968-04-09</t>
  </si>
  <si>
    <t xml:space="preserve">OH0024625516</t>
  </si>
  <si>
    <t xml:space="preserve">WALL</t>
  </si>
  <si>
    <t xml:space="preserve">OCTAVIUS</t>
  </si>
  <si>
    <t xml:space="preserve">1994-01-23</t>
  </si>
  <si>
    <t xml:space="preserve">848 PACIFIC PL NW</t>
  </si>
  <si>
    <t xml:space="preserve">OH0025549264</t>
  </si>
  <si>
    <t xml:space="preserve">WHITEHAIR</t>
  </si>
  <si>
    <t xml:space="preserve">1958-04-15</t>
  </si>
  <si>
    <t xml:space="preserve">OH0021760258</t>
  </si>
  <si>
    <t xml:space="preserve">SCHMUCKER</t>
  </si>
  <si>
    <t xml:space="preserve">1974-08-24</t>
  </si>
  <si>
    <t xml:space="preserve">858 PACIFIC PL NW</t>
  </si>
  <si>
    <t xml:space="preserve">OH0019535083</t>
  </si>
  <si>
    <t xml:space="preserve">R A</t>
  </si>
  <si>
    <t xml:space="preserve">1989-12-19</t>
  </si>
  <si>
    <t xml:space="preserve">OH0025803315</t>
  </si>
  <si>
    <t xml:space="preserve">TROYAL</t>
  </si>
  <si>
    <t xml:space="preserve">OH0019196249</t>
  </si>
  <si>
    <t xml:space="preserve">1980-11-04</t>
  </si>
  <si>
    <t xml:space="preserve">OH0023668992</t>
  </si>
  <si>
    <t xml:space="preserve">MILETTA</t>
  </si>
  <si>
    <t xml:space="preserve">2016-04-26</t>
  </si>
  <si>
    <t xml:space="preserve">OH0025378046</t>
  </si>
  <si>
    <t xml:space="preserve">BENCHIA</t>
  </si>
  <si>
    <t xml:space="preserve">CAROLINE</t>
  </si>
  <si>
    <t xml:space="preserve">1967-02-09</t>
  </si>
  <si>
    <t xml:space="preserve">2024-08-02</t>
  </si>
  <si>
    <t xml:space="preserve">864 PACIFIC PL NW</t>
  </si>
  <si>
    <t xml:space="preserve">OH0024307987</t>
  </si>
  <si>
    <t xml:space="preserve">PAUGH</t>
  </si>
  <si>
    <t xml:space="preserve">1982-12-09</t>
  </si>
  <si>
    <t xml:space="preserve">2017-06-15</t>
  </si>
  <si>
    <t xml:space="preserve">OH0023680565</t>
  </si>
  <si>
    <t xml:space="preserve">ISER</t>
  </si>
  <si>
    <t xml:space="preserve">DAHAUN</t>
  </si>
  <si>
    <t xml:space="preserve">1995-12-09</t>
  </si>
  <si>
    <t xml:space="preserve">OH0019671899</t>
  </si>
  <si>
    <t xml:space="preserve">BURNS</t>
  </si>
  <si>
    <t xml:space="preserve">1989-10-13</t>
  </si>
  <si>
    <t xml:space="preserve">2022-07-16</t>
  </si>
  <si>
    <t xml:space="preserve">673 PACKARD ST NW</t>
  </si>
  <si>
    <t xml:space="preserve">OH0026344046</t>
  </si>
  <si>
    <t xml:space="preserve">BONNETTE</t>
  </si>
  <si>
    <t xml:space="preserve">1967-01-10</t>
  </si>
  <si>
    <t xml:space="preserve">2021-10-25</t>
  </si>
  <si>
    <t xml:space="preserve">693 PACKARD ST NW</t>
  </si>
  <si>
    <t xml:space="preserve">OH0015821781</t>
  </si>
  <si>
    <t xml:space="preserve">STULGIS</t>
  </si>
  <si>
    <t xml:space="preserve">1980-03-03</t>
  </si>
  <si>
    <t xml:space="preserve">713 PACKARD ST NW</t>
  </si>
  <si>
    <t xml:space="preserve">OH0025809714</t>
  </si>
  <si>
    <t xml:space="preserve">HAILEY</t>
  </si>
  <si>
    <t xml:space="preserve">2001-01-07</t>
  </si>
  <si>
    <t xml:space="preserve">2020-09-05</t>
  </si>
  <si>
    <t xml:space="preserve">OH0015822105</t>
  </si>
  <si>
    <t xml:space="preserve">BRADFORD</t>
  </si>
  <si>
    <t xml:space="preserve">1975-01-07</t>
  </si>
  <si>
    <t xml:space="preserve">2018-01-05</t>
  </si>
  <si>
    <t xml:space="preserve">723 PACKARD ST NW</t>
  </si>
  <si>
    <t xml:space="preserve">OH0023553636</t>
  </si>
  <si>
    <t xml:space="preserve">TUCKER</t>
  </si>
  <si>
    <t xml:space="preserve">1961-09-23</t>
  </si>
  <si>
    <t xml:space="preserve">2016-02-10</t>
  </si>
  <si>
    <t xml:space="preserve">724 PACKARD ST NW</t>
  </si>
  <si>
    <t xml:space="preserve">OH0018597122</t>
  </si>
  <si>
    <t xml:space="preserve">OH0025125988</t>
  </si>
  <si>
    <t xml:space="preserve">CRAGER</t>
  </si>
  <si>
    <t xml:space="preserve">1959-06-11</t>
  </si>
  <si>
    <t xml:space="preserve">OH0022866109</t>
  </si>
  <si>
    <t xml:space="preserve">1966-08-10</t>
  </si>
  <si>
    <t xml:space="preserve">2014-07-16</t>
  </si>
  <si>
    <t xml:space="preserve">OH0015779130</t>
  </si>
  <si>
    <t xml:space="preserve">1986-03-21</t>
  </si>
  <si>
    <t xml:space="preserve">OH0027859769</t>
  </si>
  <si>
    <t xml:space="preserve">1998-11-24</t>
  </si>
  <si>
    <t xml:space="preserve">733 PACKARD ST NW</t>
  </si>
  <si>
    <t xml:space="preserve">OH0027846343</t>
  </si>
  <si>
    <t xml:space="preserve">BURKHOLDER</t>
  </si>
  <si>
    <t xml:space="preserve">BRITTENY</t>
  </si>
  <si>
    <t xml:space="preserve">OH0023775515</t>
  </si>
  <si>
    <t xml:space="preserve">MORA</t>
  </si>
  <si>
    <t xml:space="preserve">ARMANDO</t>
  </si>
  <si>
    <t xml:space="preserve">FELICIANO</t>
  </si>
  <si>
    <t xml:space="preserve">1982-09-12</t>
  </si>
  <si>
    <t xml:space="preserve">2016-07-13</t>
  </si>
  <si>
    <t xml:space="preserve">OH0020289737</t>
  </si>
  <si>
    <t xml:space="preserve">1962-02-04</t>
  </si>
  <si>
    <t xml:space="preserve">734 PACKARD ST NW</t>
  </si>
  <si>
    <t xml:space="preserve">OH0015775525</t>
  </si>
  <si>
    <t xml:space="preserve">MCALEER</t>
  </si>
  <si>
    <t xml:space="preserve">1953-08-30</t>
  </si>
  <si>
    <t xml:space="preserve">1979-09-01</t>
  </si>
  <si>
    <t xml:space="preserve">743 PACKARD ST NW</t>
  </si>
  <si>
    <t xml:space="preserve">OH0025536908</t>
  </si>
  <si>
    <t xml:space="preserve">ROHRBAUGH</t>
  </si>
  <si>
    <t xml:space="preserve">1979-07-12</t>
  </si>
  <si>
    <t xml:space="preserve">OH0015745322</t>
  </si>
  <si>
    <t xml:space="preserve">HUGH</t>
  </si>
  <si>
    <t xml:space="preserve">1954-03-29</t>
  </si>
  <si>
    <t xml:space="preserve">1992-01-31</t>
  </si>
  <si>
    <t xml:space="preserve">OH0019358624</t>
  </si>
  <si>
    <t xml:space="preserve">NELMAN</t>
  </si>
  <si>
    <t xml:space="preserve">JAIMIE</t>
  </si>
  <si>
    <t xml:space="preserve">1989-06-03</t>
  </si>
  <si>
    <t xml:space="preserve">2014-06-05</t>
  </si>
  <si>
    <t xml:space="preserve">754 PACKARD ST NW</t>
  </si>
  <si>
    <t xml:space="preserve">OH0021559525</t>
  </si>
  <si>
    <t xml:space="preserve">OH0026160385</t>
  </si>
  <si>
    <t xml:space="preserve">CHARLTON</t>
  </si>
  <si>
    <t xml:space="preserve">ZACHORY</t>
  </si>
  <si>
    <t xml:space="preserve">1994-11-27</t>
  </si>
  <si>
    <t xml:space="preserve">2021-03-17</t>
  </si>
  <si>
    <t xml:space="preserve">763 PACKARD ST NW</t>
  </si>
  <si>
    <t xml:space="preserve">OH0015808532</t>
  </si>
  <si>
    <t xml:space="preserve">GILDA</t>
  </si>
  <si>
    <t xml:space="preserve">1962-07-09</t>
  </si>
  <si>
    <t xml:space="preserve">2014-07-11</t>
  </si>
  <si>
    <t xml:space="preserve">773 PACKARD ST NW</t>
  </si>
  <si>
    <t xml:space="preserve">OH0022633399</t>
  </si>
  <si>
    <t xml:space="preserve">TISA</t>
  </si>
  <si>
    <t xml:space="preserve">1960-09-28</t>
  </si>
  <si>
    <t xml:space="preserve">774 PACKARD ST NW</t>
  </si>
  <si>
    <t xml:space="preserve">OH0023451254</t>
  </si>
  <si>
    <t xml:space="preserve">LAQUANDA</t>
  </si>
  <si>
    <t xml:space="preserve">805 PACKARD ST NW</t>
  </si>
  <si>
    <t xml:space="preserve">OH0015713688</t>
  </si>
  <si>
    <t xml:space="preserve">LOVETT</t>
  </si>
  <si>
    <t xml:space="preserve">VELMA</t>
  </si>
  <si>
    <t xml:space="preserve">1951-05-30</t>
  </si>
  <si>
    <t xml:space="preserve">806 PACKARD ST NW</t>
  </si>
  <si>
    <t xml:space="preserve">OH0025974753</t>
  </si>
  <si>
    <t xml:space="preserve">1961-01-16</t>
  </si>
  <si>
    <t xml:space="preserve">818 PACKARD ST NW</t>
  </si>
  <si>
    <t xml:space="preserve">OH0015750224</t>
  </si>
  <si>
    <t xml:space="preserve">1963-12-09</t>
  </si>
  <si>
    <t xml:space="preserve">OH0025536619</t>
  </si>
  <si>
    <t xml:space="preserve">MCKENZIE</t>
  </si>
  <si>
    <t xml:space="preserve">1998-06-29</t>
  </si>
  <si>
    <t xml:space="preserve">OH0015807605</t>
  </si>
  <si>
    <t xml:space="preserve">MORTON</t>
  </si>
  <si>
    <t xml:space="preserve">1971-08-09</t>
  </si>
  <si>
    <t xml:space="preserve">823 PACKARD ST NW</t>
  </si>
  <si>
    <t xml:space="preserve">OH0015753807</t>
  </si>
  <si>
    <t xml:space="preserve">DEVLIN</t>
  </si>
  <si>
    <t xml:space="preserve">1957-04-26</t>
  </si>
  <si>
    <t xml:space="preserve">833 PACKARD ST NW</t>
  </si>
  <si>
    <t xml:space="preserve">OH0015694759</t>
  </si>
  <si>
    <t xml:space="preserve">2023-02-06</t>
  </si>
  <si>
    <t xml:space="preserve">OH0015724931</t>
  </si>
  <si>
    <t xml:space="preserve">PLANT</t>
  </si>
  <si>
    <t xml:space="preserve">JAYNE</t>
  </si>
  <si>
    <t xml:space="preserve">1945-02-08</t>
  </si>
  <si>
    <t xml:space="preserve">834 PACKARD ST NW</t>
  </si>
  <si>
    <t xml:space="preserve">OH0025840704</t>
  </si>
  <si>
    <t xml:space="preserve">MAYNARD</t>
  </si>
  <si>
    <t xml:space="preserve">KRISTIE</t>
  </si>
  <si>
    <t xml:space="preserve">1987-01-12</t>
  </si>
  <si>
    <t xml:space="preserve">2020-09-11</t>
  </si>
  <si>
    <t xml:space="preserve">841 PACKARD ST NW</t>
  </si>
  <si>
    <t xml:space="preserve">OH0025840710</t>
  </si>
  <si>
    <t xml:space="preserve">1985-07-04</t>
  </si>
  <si>
    <t xml:space="preserve">OH0015818840</t>
  </si>
  <si>
    <t xml:space="preserve">WALDRON</t>
  </si>
  <si>
    <t xml:space="preserve">1976-08-11</t>
  </si>
  <si>
    <t xml:space="preserve">2021-11-16</t>
  </si>
  <si>
    <t xml:space="preserve">850 PACKARD ST NW</t>
  </si>
  <si>
    <t xml:space="preserve">OH0023538210</t>
  </si>
  <si>
    <t xml:space="preserve">WHEELER</t>
  </si>
  <si>
    <t xml:space="preserve">CHRISTY</t>
  </si>
  <si>
    <t xml:space="preserve">1977-07-03</t>
  </si>
  <si>
    <t xml:space="preserve">2016-02-15</t>
  </si>
  <si>
    <t xml:space="preserve">851 PACKARD ST NW</t>
  </si>
  <si>
    <t xml:space="preserve">OH0015724685</t>
  </si>
  <si>
    <t xml:space="preserve">COSTILOW</t>
  </si>
  <si>
    <t xml:space="preserve">1946-11-27</t>
  </si>
  <si>
    <t xml:space="preserve">1997-05-05</t>
  </si>
  <si>
    <t xml:space="preserve">1016 PAIGE AVE NE</t>
  </si>
  <si>
    <t xml:space="preserve">OH0015739595</t>
  </si>
  <si>
    <t xml:space="preserve">MROFCHAK</t>
  </si>
  <si>
    <t xml:space="preserve">1960-05-13</t>
  </si>
  <si>
    <t xml:space="preserve">1026 PAIGE AVE NE</t>
  </si>
  <si>
    <t xml:space="preserve">OH0023484228</t>
  </si>
  <si>
    <t xml:space="preserve">JOSIAH</t>
  </si>
  <si>
    <t xml:space="preserve">1998-10-04</t>
  </si>
  <si>
    <t xml:space="preserve">1031 PAIGE AVE NE</t>
  </si>
  <si>
    <t xml:space="preserve">OH0015694932</t>
  </si>
  <si>
    <t xml:space="preserve">NEAL MOORE</t>
  </si>
  <si>
    <t xml:space="preserve">1961-06-15</t>
  </si>
  <si>
    <t xml:space="preserve">1982-06-22</t>
  </si>
  <si>
    <t xml:space="preserve">OH0015694802</t>
  </si>
  <si>
    <t xml:space="preserve">SHERMAN</t>
  </si>
  <si>
    <t xml:space="preserve">OH0019159728</t>
  </si>
  <si>
    <t xml:space="preserve">ALINA</t>
  </si>
  <si>
    <t xml:space="preserve">1989-05-04</t>
  </si>
  <si>
    <t xml:space="preserve">2007-05-30</t>
  </si>
  <si>
    <t xml:space="preserve">1040 PAIGE AVE NE</t>
  </si>
  <si>
    <t xml:space="preserve">OH0015752037</t>
  </si>
  <si>
    <t xml:space="preserve">FLASK</t>
  </si>
  <si>
    <t xml:space="preserve">OH0020713362</t>
  </si>
  <si>
    <t xml:space="preserve">1990-12-05</t>
  </si>
  <si>
    <t xml:space="preserve">2009-05-15</t>
  </si>
  <si>
    <t xml:space="preserve">OH0020097574</t>
  </si>
  <si>
    <t xml:space="preserve">1952-11-06</t>
  </si>
  <si>
    <t xml:space="preserve">OH0023015390</t>
  </si>
  <si>
    <t xml:space="preserve">MALAILUA</t>
  </si>
  <si>
    <t xml:space="preserve">CHARLOTT</t>
  </si>
  <si>
    <t xml:space="preserve">1987-12-10</t>
  </si>
  <si>
    <t xml:space="preserve">1043 PAIGE AVE NE</t>
  </si>
  <si>
    <t xml:space="preserve">OH0025444815</t>
  </si>
  <si>
    <t xml:space="preserve">1963-03-18</t>
  </si>
  <si>
    <t xml:space="preserve">OH0020289419</t>
  </si>
  <si>
    <t xml:space="preserve">1961-01-30</t>
  </si>
  <si>
    <t xml:space="preserve">2008-09-28</t>
  </si>
  <si>
    <t xml:space="preserve">OH0020285975</t>
  </si>
  <si>
    <t xml:space="preserve">1961-01-05</t>
  </si>
  <si>
    <t xml:space="preserve">OH0015744443</t>
  </si>
  <si>
    <t xml:space="preserve">LAMPLEY</t>
  </si>
  <si>
    <t xml:space="preserve">LASHILA</t>
  </si>
  <si>
    <t xml:space="preserve">1970-11-04</t>
  </si>
  <si>
    <t xml:space="preserve">2008-02-04</t>
  </si>
  <si>
    <t xml:space="preserve">1063 PAIGE AVE NE</t>
  </si>
  <si>
    <t xml:space="preserve">OH0019527307</t>
  </si>
  <si>
    <t xml:space="preserve">JELANI</t>
  </si>
  <si>
    <t xml:space="preserve">1990-03-22</t>
  </si>
  <si>
    <t xml:space="preserve">OH0024784473</t>
  </si>
  <si>
    <t xml:space="preserve">1958-10-11</t>
  </si>
  <si>
    <t xml:space="preserve">1135 PAIGE AVE NE</t>
  </si>
  <si>
    <t xml:space="preserve">OH0024830899</t>
  </si>
  <si>
    <t xml:space="preserve">1957-01-29</t>
  </si>
  <si>
    <t xml:space="preserve">OH0015707505</t>
  </si>
  <si>
    <t xml:space="preserve">1943-10-27</t>
  </si>
  <si>
    <t xml:space="preserve">1990-03-07</t>
  </si>
  <si>
    <t xml:space="preserve">1145 PAIGE AVE NE</t>
  </si>
  <si>
    <t xml:space="preserve">OH0015765818</t>
  </si>
  <si>
    <t xml:space="preserve">OH0015781212</t>
  </si>
  <si>
    <t xml:space="preserve">MANOFSKY</t>
  </si>
  <si>
    <t xml:space="preserve">1949-07-25</t>
  </si>
  <si>
    <t xml:space="preserve">1975-02-26</t>
  </si>
  <si>
    <t xml:space="preserve">1155 PAIGE AVE NE</t>
  </si>
  <si>
    <t xml:space="preserve">OH0015781209</t>
  </si>
  <si>
    <t xml:space="preserve">1934-09-16</t>
  </si>
  <si>
    <t xml:space="preserve">1974-11-01</t>
  </si>
  <si>
    <t xml:space="preserve">OH0027088864</t>
  </si>
  <si>
    <t xml:space="preserve">ALLSHOUSE</t>
  </si>
  <si>
    <t xml:space="preserve">1999-09-11</t>
  </si>
  <si>
    <t xml:space="preserve">1629 PAIGE AVE NE</t>
  </si>
  <si>
    <t xml:space="preserve">OH0023188415</t>
  </si>
  <si>
    <t xml:space="preserve">TRICIA</t>
  </si>
  <si>
    <t xml:space="preserve">2018-10-05</t>
  </si>
  <si>
    <t xml:space="preserve">807 PAIGE AVE NE</t>
  </si>
  <si>
    <t xml:space="preserve">OH0015791160</t>
  </si>
  <si>
    <t xml:space="preserve">1962-03-02</t>
  </si>
  <si>
    <t xml:space="preserve">1980-04-14</t>
  </si>
  <si>
    <t xml:space="preserve">819 PAIGE AVE NE</t>
  </si>
  <si>
    <t xml:space="preserve">OH0015760962</t>
  </si>
  <si>
    <t xml:space="preserve">FOOS</t>
  </si>
  <si>
    <t xml:space="preserve">1952-09-10</t>
  </si>
  <si>
    <t xml:space="preserve">1993-04-05</t>
  </si>
  <si>
    <t xml:space="preserve">OH0015781539</t>
  </si>
  <si>
    <t xml:space="preserve">STEEN</t>
  </si>
  <si>
    <t xml:space="preserve">1951-01-01</t>
  </si>
  <si>
    <t xml:space="preserve">1979-10-03</t>
  </si>
  <si>
    <t xml:space="preserve">841 PAIGE AVE NE</t>
  </si>
  <si>
    <t xml:space="preserve">OH0015687614</t>
  </si>
  <si>
    <t xml:space="preserve">1954-05-13</t>
  </si>
  <si>
    <t xml:space="preserve">OH0025012768</t>
  </si>
  <si>
    <t xml:space="preserve">NORRIS</t>
  </si>
  <si>
    <t xml:space="preserve">1974-05-06</t>
  </si>
  <si>
    <t xml:space="preserve">2034 PALM AVE NW</t>
  </si>
  <si>
    <t xml:space="preserve">OH0027409647</t>
  </si>
  <si>
    <t xml:space="preserve">ANYA JAKHI</t>
  </si>
  <si>
    <t xml:space="preserve">CIARA</t>
  </si>
  <si>
    <t xml:space="preserve">2006-04-18</t>
  </si>
  <si>
    <t xml:space="preserve">2024-06-21</t>
  </si>
  <si>
    <t xml:space="preserve">OH0020960643</t>
  </si>
  <si>
    <t xml:space="preserve">SHANAE</t>
  </si>
  <si>
    <t xml:space="preserve">1991-09-29</t>
  </si>
  <si>
    <t xml:space="preserve">2018-10-28</t>
  </si>
  <si>
    <t xml:space="preserve">OH0015821899</t>
  </si>
  <si>
    <t xml:space="preserve">GARITO</t>
  </si>
  <si>
    <t xml:space="preserve">1998-09-23</t>
  </si>
  <si>
    <t xml:space="preserve">2035 PALM AVE NW</t>
  </si>
  <si>
    <t xml:space="preserve">OH0026616613</t>
  </si>
  <si>
    <t xml:space="preserve">1963-06-10</t>
  </si>
  <si>
    <t xml:space="preserve">2046 PALM AVE NW</t>
  </si>
  <si>
    <t xml:space="preserve">OH0021684556</t>
  </si>
  <si>
    <t xml:space="preserve">MASON</t>
  </si>
  <si>
    <t xml:space="preserve">SHANTAE</t>
  </si>
  <si>
    <t xml:space="preserve">1994-07-13</t>
  </si>
  <si>
    <t xml:space="preserve">2016-06-29</t>
  </si>
  <si>
    <t xml:space="preserve">2117 PEACE AVE NW</t>
  </si>
  <si>
    <t xml:space="preserve">OH0023347527</t>
  </si>
  <si>
    <t xml:space="preserve">1993-12-02</t>
  </si>
  <si>
    <t xml:space="preserve">2018-05-04</t>
  </si>
  <si>
    <t xml:space="preserve">2119 PEACE AVE NW</t>
  </si>
  <si>
    <t xml:space="preserve">OH0027456630</t>
  </si>
  <si>
    <t xml:space="preserve">REGAN</t>
  </si>
  <si>
    <t xml:space="preserve">2006-06-05</t>
  </si>
  <si>
    <t xml:space="preserve">2121 PEACE AVE NW</t>
  </si>
  <si>
    <t xml:space="preserve">OH0026420737</t>
  </si>
  <si>
    <t xml:space="preserve">ASHTON</t>
  </si>
  <si>
    <t xml:space="preserve">2003-11-25</t>
  </si>
  <si>
    <t xml:space="preserve">2022-02-17</t>
  </si>
  <si>
    <t xml:space="preserve">OH0026179614</t>
  </si>
  <si>
    <t xml:space="preserve">NATASHA</t>
  </si>
  <si>
    <t xml:space="preserve">1973-05-07</t>
  </si>
  <si>
    <t xml:space="preserve">2023-11-03</t>
  </si>
  <si>
    <t xml:space="preserve">OH0022778473</t>
  </si>
  <si>
    <t xml:space="preserve">TURNER ROBINSON</t>
  </si>
  <si>
    <t xml:space="preserve">1973-09-20</t>
  </si>
  <si>
    <t xml:space="preserve">2133 PEACE AVE NW</t>
  </si>
  <si>
    <t xml:space="preserve">OH0021650231</t>
  </si>
  <si>
    <t xml:space="preserve">LENNE</t>
  </si>
  <si>
    <t xml:space="preserve">1993-05-03</t>
  </si>
  <si>
    <t xml:space="preserve">2017-06-30</t>
  </si>
  <si>
    <t xml:space="preserve">2134 PEACE AVE NW</t>
  </si>
  <si>
    <t xml:space="preserve">OH0020133571</t>
  </si>
  <si>
    <t xml:space="preserve">QUANESHE</t>
  </si>
  <si>
    <t xml:space="preserve">LESHEW</t>
  </si>
  <si>
    <t xml:space="preserve">1988-07-04</t>
  </si>
  <si>
    <t xml:space="preserve">2136 PEACE AVE NW</t>
  </si>
  <si>
    <t xml:space="preserve">OH0022442668</t>
  </si>
  <si>
    <t xml:space="preserve">ARLAE</t>
  </si>
  <si>
    <t xml:space="preserve">1995-02-10</t>
  </si>
  <si>
    <t xml:space="preserve">2017-03-28</t>
  </si>
  <si>
    <t xml:space="preserve">2137 PEACE AVE NW</t>
  </si>
  <si>
    <t xml:space="preserve">OH0026313127</t>
  </si>
  <si>
    <t xml:space="preserve">LEWIS LAMAR</t>
  </si>
  <si>
    <t xml:space="preserve">1999-07-18</t>
  </si>
  <si>
    <t xml:space="preserve">2021-09-29</t>
  </si>
  <si>
    <t xml:space="preserve">2140 PEACE AVE NW</t>
  </si>
  <si>
    <t xml:space="preserve">OH0023011528</t>
  </si>
  <si>
    <t xml:space="preserve">JAZ MERE</t>
  </si>
  <si>
    <t xml:space="preserve">LYNETTE</t>
  </si>
  <si>
    <t xml:space="preserve">1994-12-05</t>
  </si>
  <si>
    <t xml:space="preserve">2016-05-27</t>
  </si>
  <si>
    <t xml:space="preserve">2149 PEACE AVE NW</t>
  </si>
  <si>
    <t xml:space="preserve">OH0022922809</t>
  </si>
  <si>
    <t xml:space="preserve">AYERS</t>
  </si>
  <si>
    <t xml:space="preserve">1983-05-19</t>
  </si>
  <si>
    <t xml:space="preserve">OH0027511794</t>
  </si>
  <si>
    <t xml:space="preserve">1986-01-28</t>
  </si>
  <si>
    <t xml:space="preserve">2150 PEACE AVE NW</t>
  </si>
  <si>
    <t xml:space="preserve">OH0024529676</t>
  </si>
  <si>
    <t xml:space="preserve">DUKATS</t>
  </si>
  <si>
    <t xml:space="preserve">1964-06-19</t>
  </si>
  <si>
    <t xml:space="preserve">OH0015728037</t>
  </si>
  <si>
    <t xml:space="preserve">KEEVA</t>
  </si>
  <si>
    <t xml:space="preserve">OH0021998163</t>
  </si>
  <si>
    <t xml:space="preserve">DERICK</t>
  </si>
  <si>
    <t xml:space="preserve">2151 PEACE AVE NW</t>
  </si>
  <si>
    <t xml:space="preserve">OH0027839088</t>
  </si>
  <si>
    <t xml:space="preserve">TRINISA</t>
  </si>
  <si>
    <t xml:space="preserve">1976-11-09</t>
  </si>
  <si>
    <t xml:space="preserve">OH0015730311</t>
  </si>
  <si>
    <t xml:space="preserve">STROTHER</t>
  </si>
  <si>
    <t xml:space="preserve">EMANUEL</t>
  </si>
  <si>
    <t xml:space="preserve">2153 PEACE AVE NW</t>
  </si>
  <si>
    <t xml:space="preserve">OH0023187358</t>
  </si>
  <si>
    <t xml:space="preserve">RACHEAL</t>
  </si>
  <si>
    <t xml:space="preserve">1995-07-13</t>
  </si>
  <si>
    <t xml:space="preserve">2015-06-15</t>
  </si>
  <si>
    <t xml:space="preserve">OH0026335393</t>
  </si>
  <si>
    <t xml:space="preserve">BOYKIN</t>
  </si>
  <si>
    <t xml:space="preserve">1995-12-12</t>
  </si>
  <si>
    <t xml:space="preserve">2021-10-27</t>
  </si>
  <si>
    <t xml:space="preserve">2154 PEACE AVE NW</t>
  </si>
  <si>
    <t xml:space="preserve">OH0023331536</t>
  </si>
  <si>
    <t xml:space="preserve">PATRICE</t>
  </si>
  <si>
    <t xml:space="preserve">1980-01-22</t>
  </si>
  <si>
    <t xml:space="preserve">OH0021085607</t>
  </si>
  <si>
    <t xml:space="preserve">BURKS</t>
  </si>
  <si>
    <t xml:space="preserve">CECILA</t>
  </si>
  <si>
    <t xml:space="preserve">NICHOLLE</t>
  </si>
  <si>
    <t xml:space="preserve">1992-02-02</t>
  </si>
  <si>
    <t xml:space="preserve">2020-12-11</t>
  </si>
  <si>
    <t xml:space="preserve">2155 PEACE AVE NW</t>
  </si>
  <si>
    <t xml:space="preserve">OH0025686506</t>
  </si>
  <si>
    <t xml:space="preserve">ROZIER</t>
  </si>
  <si>
    <t xml:space="preserve">JANHYA</t>
  </si>
  <si>
    <t xml:space="preserve">2002-08-05</t>
  </si>
  <si>
    <t xml:space="preserve">2156 PEACE AVE NW</t>
  </si>
  <si>
    <t xml:space="preserve">OH0027608290</t>
  </si>
  <si>
    <t xml:space="preserve">MCGARY</t>
  </si>
  <si>
    <t xml:space="preserve">ESHAIA</t>
  </si>
  <si>
    <t xml:space="preserve">ELYCE</t>
  </si>
  <si>
    <t xml:space="preserve">2004-10-13</t>
  </si>
  <si>
    <t xml:space="preserve">OH0018662761</t>
  </si>
  <si>
    <t xml:space="preserve">HUTCHINSON</t>
  </si>
  <si>
    <t xml:space="preserve">1978-11-10</t>
  </si>
  <si>
    <t xml:space="preserve">OH0025863744</t>
  </si>
  <si>
    <t xml:space="preserve">DEGROFF</t>
  </si>
  <si>
    <t xml:space="preserve">1982-04-28</t>
  </si>
  <si>
    <t xml:space="preserve">2158 PEACE AVE NW</t>
  </si>
  <si>
    <t xml:space="preserve">OH0023889712</t>
  </si>
  <si>
    <t xml:space="preserve">DELSEAN</t>
  </si>
  <si>
    <t xml:space="preserve">1988-03-07</t>
  </si>
  <si>
    <t xml:space="preserve">2164 PEACE AVE NW</t>
  </si>
  <si>
    <t xml:space="preserve">OH0015765387</t>
  </si>
  <si>
    <t xml:space="preserve">MCKINZIE</t>
  </si>
  <si>
    <t xml:space="preserve">1954-09-28</t>
  </si>
  <si>
    <t xml:space="preserve">OH0027233967</t>
  </si>
  <si>
    <t xml:space="preserve">DUMAS</t>
  </si>
  <si>
    <t xml:space="preserve">NATAESHA</t>
  </si>
  <si>
    <t xml:space="preserve">2024-01-16</t>
  </si>
  <si>
    <t xml:space="preserve">2167 PEACE AVE NW</t>
  </si>
  <si>
    <t xml:space="preserve">OH0027919961</t>
  </si>
  <si>
    <t xml:space="preserve">RENA</t>
  </si>
  <si>
    <t xml:space="preserve">1977-02-25</t>
  </si>
  <si>
    <t xml:space="preserve">2025-03-24</t>
  </si>
  <si>
    <t xml:space="preserve">2178 PEACE AVE NW</t>
  </si>
  <si>
    <t xml:space="preserve">OH0020788274</t>
  </si>
  <si>
    <t xml:space="preserve">LAMAR</t>
  </si>
  <si>
    <t xml:space="preserve">1984-01-02</t>
  </si>
  <si>
    <t xml:space="preserve">2019-08-14</t>
  </si>
  <si>
    <t xml:space="preserve">2179 PEACE AVE NW</t>
  </si>
  <si>
    <t xml:space="preserve">OH0023323784</t>
  </si>
  <si>
    <t xml:space="preserve">DICKERSON</t>
  </si>
  <si>
    <t xml:space="preserve">1976-12-29</t>
  </si>
  <si>
    <t xml:space="preserve">2015-09-29</t>
  </si>
  <si>
    <t xml:space="preserve">2180 PEACE AVE NW</t>
  </si>
  <si>
    <t xml:space="preserve">OH0027571901</t>
  </si>
  <si>
    <t xml:space="preserve">JUNE</t>
  </si>
  <si>
    <t xml:space="preserve">2001-02-23</t>
  </si>
  <si>
    <t xml:space="preserve">OH0026908681</t>
  </si>
  <si>
    <t xml:space="preserve">SCHOTSCH</t>
  </si>
  <si>
    <t xml:space="preserve">MARLENA</t>
  </si>
  <si>
    <t xml:space="preserve">1979-12-12</t>
  </si>
  <si>
    <t xml:space="preserve">2186 PEACE AVE NW</t>
  </si>
  <si>
    <t xml:space="preserve">OH0020037650</t>
  </si>
  <si>
    <t xml:space="preserve">DUNKLIN</t>
  </si>
  <si>
    <t xml:space="preserve">DALANDA</t>
  </si>
  <si>
    <t xml:space="preserve">1975-09-09</t>
  </si>
  <si>
    <t xml:space="preserve">OH0027686324</t>
  </si>
  <si>
    <t xml:space="preserve">SIMER</t>
  </si>
  <si>
    <t xml:space="preserve">COLTEN</t>
  </si>
  <si>
    <t xml:space="preserve">2006-06-23</t>
  </si>
  <si>
    <t xml:space="preserve">OH0022802043</t>
  </si>
  <si>
    <t xml:space="preserve">1996-03-09</t>
  </si>
  <si>
    <t xml:space="preserve">2189 PEACE AVE NW</t>
  </si>
  <si>
    <t xml:space="preserve">OH0021315382</t>
  </si>
  <si>
    <t xml:space="preserve">1978-07-12</t>
  </si>
  <si>
    <t xml:space="preserve">2019-09-15</t>
  </si>
  <si>
    <t xml:space="preserve">2190 PEACE AVE NW</t>
  </si>
  <si>
    <t xml:space="preserve">OH0025009215</t>
  </si>
  <si>
    <t xml:space="preserve">KEYAUNTA</t>
  </si>
  <si>
    <t xml:space="preserve">1996-03-15</t>
  </si>
  <si>
    <t xml:space="preserve">2019-01-04</t>
  </si>
  <si>
    <t xml:space="preserve">OH0015781717</t>
  </si>
  <si>
    <t xml:space="preserve">GIBSON</t>
  </si>
  <si>
    <t xml:space="preserve">2192 PEACE AVE NW</t>
  </si>
  <si>
    <t xml:space="preserve">OH0015748435</t>
  </si>
  <si>
    <t xml:space="preserve">STIGGERS</t>
  </si>
  <si>
    <t xml:space="preserve">1959-11-08</t>
  </si>
  <si>
    <t xml:space="preserve">2020-03-27</t>
  </si>
  <si>
    <t xml:space="preserve">2195 PEACE AVE NW</t>
  </si>
  <si>
    <t xml:space="preserve">OH0024093415</t>
  </si>
  <si>
    <t xml:space="preserve">SHANEICE</t>
  </si>
  <si>
    <t xml:space="preserve">LACHELLE</t>
  </si>
  <si>
    <t xml:space="preserve">1996-11-20</t>
  </si>
  <si>
    <t xml:space="preserve">2016-10-08</t>
  </si>
  <si>
    <t xml:space="preserve">2196 PEACE AVE NW</t>
  </si>
  <si>
    <t xml:space="preserve">OH0023095982</t>
  </si>
  <si>
    <t xml:space="preserve">1997-04-13</t>
  </si>
  <si>
    <t xml:space="preserve">2020-09-07</t>
  </si>
  <si>
    <t xml:space="preserve">2198 PEACE AVE NW</t>
  </si>
  <si>
    <t xml:space="preserve">OH0027526415</t>
  </si>
  <si>
    <t xml:space="preserve">BEATTIE</t>
  </si>
  <si>
    <t xml:space="preserve">2004-09-28</t>
  </si>
  <si>
    <t xml:space="preserve">2200 PEACE AVE NW</t>
  </si>
  <si>
    <t xml:space="preserve">OH0021288626</t>
  </si>
  <si>
    <t xml:space="preserve">CLARARETHER</t>
  </si>
  <si>
    <t xml:space="preserve">2201 PEACE AVE NW</t>
  </si>
  <si>
    <t xml:space="preserve">OH0024710748</t>
  </si>
  <si>
    <t xml:space="preserve">LEON</t>
  </si>
  <si>
    <t xml:space="preserve">1956-12-10</t>
  </si>
  <si>
    <t xml:space="preserve">2018-08-02</t>
  </si>
  <si>
    <t xml:space="preserve">2203 PEACE AVE NW</t>
  </si>
  <si>
    <t xml:space="preserve">OH0025112355</t>
  </si>
  <si>
    <t xml:space="preserve">CUMMINGS</t>
  </si>
  <si>
    <t xml:space="preserve">DEREK</t>
  </si>
  <si>
    <t xml:space="preserve">2022-04-08</t>
  </si>
  <si>
    <t xml:space="preserve">OH0015753449</t>
  </si>
  <si>
    <t xml:space="preserve">SHAYLYN</t>
  </si>
  <si>
    <t xml:space="preserve">1984-05-18</t>
  </si>
  <si>
    <t xml:space="preserve">2004-09-16</t>
  </si>
  <si>
    <t xml:space="preserve">2206 PEACE AVE NW</t>
  </si>
  <si>
    <t xml:space="preserve">OH0023673636</t>
  </si>
  <si>
    <t xml:space="preserve">MCCAFFERTY</t>
  </si>
  <si>
    <t xml:space="preserve">1989-07-12</t>
  </si>
  <si>
    <t xml:space="preserve">2207 PEACE AVE NW</t>
  </si>
  <si>
    <t xml:space="preserve">OH0021520351</t>
  </si>
  <si>
    <t xml:space="preserve">1993-08-17</t>
  </si>
  <si>
    <t xml:space="preserve">2208 PEACE AVE NW</t>
  </si>
  <si>
    <t xml:space="preserve">OH0022183368</t>
  </si>
  <si>
    <t xml:space="preserve">1992-02-25</t>
  </si>
  <si>
    <t xml:space="preserve">OH0027269943</t>
  </si>
  <si>
    <t xml:space="preserve">ALEXANDRYA</t>
  </si>
  <si>
    <t xml:space="preserve">1994-02-01</t>
  </si>
  <si>
    <t xml:space="preserve">2024-03-06</t>
  </si>
  <si>
    <t xml:space="preserve">2217 PEACE AVE NW</t>
  </si>
  <si>
    <t xml:space="preserve">OH0019360720</t>
  </si>
  <si>
    <t xml:space="preserve">1980-03-14</t>
  </si>
  <si>
    <t xml:space="preserve">2219 PEACE AVE NW</t>
  </si>
  <si>
    <t xml:space="preserve">OH0023816373</t>
  </si>
  <si>
    <t xml:space="preserve">WESTBROOK</t>
  </si>
  <si>
    <t xml:space="preserve">DANISHA</t>
  </si>
  <si>
    <t xml:space="preserve">1997-06-18</t>
  </si>
  <si>
    <t xml:space="preserve">OH0021512607</t>
  </si>
  <si>
    <t xml:space="preserve">1989-09-17</t>
  </si>
  <si>
    <t xml:space="preserve">OH0026905309</t>
  </si>
  <si>
    <t xml:space="preserve">1991-07-31</t>
  </si>
  <si>
    <t xml:space="preserve">2023-11-25</t>
  </si>
  <si>
    <t xml:space="preserve">OH0023226525</t>
  </si>
  <si>
    <t xml:space="preserve">ZARIA</t>
  </si>
  <si>
    <t xml:space="preserve">1997-05-15</t>
  </si>
  <si>
    <t xml:space="preserve">2229 PEACE AVE NW</t>
  </si>
  <si>
    <t xml:space="preserve">OH0024892451</t>
  </si>
  <si>
    <t xml:space="preserve">CHIPARIS</t>
  </si>
  <si>
    <t xml:space="preserve">ILET</t>
  </si>
  <si>
    <t xml:space="preserve">2000-03-28</t>
  </si>
  <si>
    <t xml:space="preserve">OH0025049148</t>
  </si>
  <si>
    <t xml:space="preserve">MAKHIYA</t>
  </si>
  <si>
    <t xml:space="preserve">2001-02-15</t>
  </si>
  <si>
    <t xml:space="preserve">2019-03-28</t>
  </si>
  <si>
    <t xml:space="preserve">2231 PEACE AVE NW</t>
  </si>
  <si>
    <t xml:space="preserve">OH0027620236</t>
  </si>
  <si>
    <t xml:space="preserve">SOMBATI</t>
  </si>
  <si>
    <t xml:space="preserve">2003-06-30</t>
  </si>
  <si>
    <t xml:space="preserve">2233 PEACE AVE NW</t>
  </si>
  <si>
    <t xml:space="preserve">OH0027789059</t>
  </si>
  <si>
    <t xml:space="preserve">1976-12-01</t>
  </si>
  <si>
    <t xml:space="preserve">518 PERKINS DR NW</t>
  </si>
  <si>
    <t xml:space="preserve">OH0022367559</t>
  </si>
  <si>
    <t xml:space="preserve">1980-01-12</t>
  </si>
  <si>
    <t xml:space="preserve">522 PERKINS DR NW</t>
  </si>
  <si>
    <t xml:space="preserve">APT 144</t>
  </si>
  <si>
    <t xml:space="preserve">OH0026427596</t>
  </si>
  <si>
    <t xml:space="preserve">1993-03-08</t>
  </si>
  <si>
    <t xml:space="preserve">2022-03-03</t>
  </si>
  <si>
    <t xml:space="preserve">526 PERKINS DR NW</t>
  </si>
  <si>
    <t xml:space="preserve">OH0018595715</t>
  </si>
  <si>
    <t xml:space="preserve">1979-09-11</t>
  </si>
  <si>
    <t xml:space="preserve">OH0015815143</t>
  </si>
  <si>
    <t xml:space="preserve">1981-12-20</t>
  </si>
  <si>
    <t xml:space="preserve">2016-08-30</t>
  </si>
  <si>
    <t xml:space="preserve">530 PERKINS DR NW</t>
  </si>
  <si>
    <t xml:space="preserve">OH0015797038</t>
  </si>
  <si>
    <t xml:space="preserve">1959-03-26</t>
  </si>
  <si>
    <t xml:space="preserve">2024-04-04</t>
  </si>
  <si>
    <t xml:space="preserve">OH0023759733</t>
  </si>
  <si>
    <t xml:space="preserve">KLIPPEL</t>
  </si>
  <si>
    <t xml:space="preserve">1951-04-26</t>
  </si>
  <si>
    <t xml:space="preserve">2016-07-06</t>
  </si>
  <si>
    <t xml:space="preserve">538 PERKINS DR NW</t>
  </si>
  <si>
    <t xml:space="preserve">OH0015738591</t>
  </si>
  <si>
    <t xml:space="preserve">1969-02-14</t>
  </si>
  <si>
    <t xml:space="preserve">2017-03-26</t>
  </si>
  <si>
    <t xml:space="preserve">542 PERKINS DR NW</t>
  </si>
  <si>
    <t xml:space="preserve">OH0019987846</t>
  </si>
  <si>
    <t xml:space="preserve">MIGNON</t>
  </si>
  <si>
    <t xml:space="preserve">1979-12-01</t>
  </si>
  <si>
    <t xml:space="preserve">2013-08-12</t>
  </si>
  <si>
    <t xml:space="preserve">550 PERKINS DR NW</t>
  </si>
  <si>
    <t xml:space="preserve">OH0015760092</t>
  </si>
  <si>
    <t xml:space="preserve">TREMAYNE</t>
  </si>
  <si>
    <t xml:space="preserve">554 PERKINS DR NW</t>
  </si>
  <si>
    <t xml:space="preserve">OH0022451270</t>
  </si>
  <si>
    <t xml:space="preserve">CHAYLA</t>
  </si>
  <si>
    <t xml:space="preserve">1988-06-11</t>
  </si>
  <si>
    <t xml:space="preserve">OH0027476945</t>
  </si>
  <si>
    <t xml:space="preserve">CASPARY</t>
  </si>
  <si>
    <t xml:space="preserve">SARA</t>
  </si>
  <si>
    <t xml:space="preserve">1987-05-06</t>
  </si>
  <si>
    <t xml:space="preserve">2024-07-21</t>
  </si>
  <si>
    <t xml:space="preserve">558 PERKINS DR NW</t>
  </si>
  <si>
    <t xml:space="preserve">OH0015811497</t>
  </si>
  <si>
    <t xml:space="preserve">1943-11-06</t>
  </si>
  <si>
    <t xml:space="preserve">2018-05-11</t>
  </si>
  <si>
    <t xml:space="preserve">565 PERKINS DR NW</t>
  </si>
  <si>
    <t xml:space="preserve">OH0024442984</t>
  </si>
  <si>
    <t xml:space="preserve">MUIR</t>
  </si>
  <si>
    <t xml:space="preserve">1949-12-07</t>
  </si>
  <si>
    <t xml:space="preserve">2024-12-09</t>
  </si>
  <si>
    <t xml:space="preserve">580 PERKINS DR NW</t>
  </si>
  <si>
    <t xml:space="preserve">OH0020289205</t>
  </si>
  <si>
    <t xml:space="preserve">MONTAGNA</t>
  </si>
  <si>
    <t xml:space="preserve">1950-10-15</t>
  </si>
  <si>
    <t xml:space="preserve">600 PERKINS DR NW</t>
  </si>
  <si>
    <t xml:space="preserve">OH0027985892</t>
  </si>
  <si>
    <t xml:space="preserve">RAYONNA</t>
  </si>
  <si>
    <t xml:space="preserve">2000-03-01</t>
  </si>
  <si>
    <t xml:space="preserve">2025-06-09</t>
  </si>
  <si>
    <t xml:space="preserve">601 PERKINS DR NW</t>
  </si>
  <si>
    <t xml:space="preserve">2</t>
  </si>
  <si>
    <t xml:space="preserve">OH0026995514</t>
  </si>
  <si>
    <t xml:space="preserve">MOSS</t>
  </si>
  <si>
    <t xml:space="preserve">2002-02-09</t>
  </si>
  <si>
    <t xml:space="preserve">2025-01-21</t>
  </si>
  <si>
    <t xml:space="preserve">OH0019538323</t>
  </si>
  <si>
    <t xml:space="preserve">1985-07-02</t>
  </si>
  <si>
    <t xml:space="preserve">2017-08-14</t>
  </si>
  <si>
    <t xml:space="preserve">OH0022114051</t>
  </si>
  <si>
    <t xml:space="preserve">PHILLIPS</t>
  </si>
  <si>
    <t xml:space="preserve">1983-11-30</t>
  </si>
  <si>
    <t xml:space="preserve">609 PERKINS DR NW</t>
  </si>
  <si>
    <t xml:space="preserve">OH0015719677</t>
  </si>
  <si>
    <t xml:space="preserve">GARRET</t>
  </si>
  <si>
    <t xml:space="preserve">2025-05-14</t>
  </si>
  <si>
    <t xml:space="preserve">OH0015677892</t>
  </si>
  <si>
    <t xml:space="preserve">1954-07-13</t>
  </si>
  <si>
    <t xml:space="preserve">2007-01-12</t>
  </si>
  <si>
    <t xml:space="preserve">619 PERKINS DR NW</t>
  </si>
  <si>
    <t xml:space="preserve">OH0015737416</t>
  </si>
  <si>
    <t xml:space="preserve">RIMAR</t>
  </si>
  <si>
    <t xml:space="preserve">BRIGITTE</t>
  </si>
  <si>
    <t xml:space="preserve">1959-06-21</t>
  </si>
  <si>
    <t xml:space="preserve">2015-11-25</t>
  </si>
  <si>
    <t xml:space="preserve">620 PERKINS DR NW</t>
  </si>
  <si>
    <t xml:space="preserve">OH0015692120</t>
  </si>
  <si>
    <t xml:space="preserve">JULIUS</t>
  </si>
  <si>
    <t xml:space="preserve">1930-07-19</t>
  </si>
  <si>
    <t xml:space="preserve">630 PERKINS DR NW</t>
  </si>
  <si>
    <t xml:space="preserve">OH0025020929</t>
  </si>
  <si>
    <t xml:space="preserve">HOST</t>
  </si>
  <si>
    <t xml:space="preserve">1996-08-16</t>
  </si>
  <si>
    <t xml:space="preserve">633 PERKINS DR NW</t>
  </si>
  <si>
    <t xml:space="preserve">OH0026082827</t>
  </si>
  <si>
    <t xml:space="preserve">GATES</t>
  </si>
  <si>
    <t xml:space="preserve">1960-10-27</t>
  </si>
  <si>
    <t xml:space="preserve">OH0027701146</t>
  </si>
  <si>
    <t xml:space="preserve">ISABELLA</t>
  </si>
  <si>
    <t xml:space="preserve">2005-02-05</t>
  </si>
  <si>
    <t xml:space="preserve">649 PERKINS DR NW</t>
  </si>
  <si>
    <t xml:space="preserve">OH0024171951</t>
  </si>
  <si>
    <t xml:space="preserve">MEGHAN</t>
  </si>
  <si>
    <t xml:space="preserve">1990-03-19</t>
  </si>
  <si>
    <t xml:space="preserve">OH0023047121</t>
  </si>
  <si>
    <t xml:space="preserve">1988-12-17</t>
  </si>
  <si>
    <t xml:space="preserve">OH0015806855</t>
  </si>
  <si>
    <t xml:space="preserve">1925-10-17</t>
  </si>
  <si>
    <t xml:space="preserve">1948-09-25</t>
  </si>
  <si>
    <t xml:space="preserve">OH0015677159</t>
  </si>
  <si>
    <t xml:space="preserve">LEPRO</t>
  </si>
  <si>
    <t xml:space="preserve">1947-08-22</t>
  </si>
  <si>
    <t xml:space="preserve">1968-03-20</t>
  </si>
  <si>
    <t xml:space="preserve">650 PERKINS DR NW</t>
  </si>
  <si>
    <t xml:space="preserve">OH0015677124</t>
  </si>
  <si>
    <t xml:space="preserve">1944-10-03</t>
  </si>
  <si>
    <t xml:space="preserve">1980-02-09</t>
  </si>
  <si>
    <t xml:space="preserve">OH0015855557</t>
  </si>
  <si>
    <t xml:space="preserve">HIGHAM</t>
  </si>
  <si>
    <t xml:space="preserve">1962-10-17</t>
  </si>
  <si>
    <t xml:space="preserve">659 PERKINS DR NW</t>
  </si>
  <si>
    <t xml:space="preserve">OH0015726774</t>
  </si>
  <si>
    <t xml:space="preserve">1958-01-09</t>
  </si>
  <si>
    <t xml:space="preserve">OH0021872593</t>
  </si>
  <si>
    <t xml:space="preserve">CHAMBERS</t>
  </si>
  <si>
    <t xml:space="preserve">1964-09-24</t>
  </si>
  <si>
    <t xml:space="preserve">2018-07-28</t>
  </si>
  <si>
    <t xml:space="preserve">664 PERKINS DR NW</t>
  </si>
  <si>
    <t xml:space="preserve">OH0025540959</t>
  </si>
  <si>
    <t xml:space="preserve">STORIE</t>
  </si>
  <si>
    <t xml:space="preserve">1966-01-11</t>
  </si>
  <si>
    <t xml:space="preserve">2022-01-02</t>
  </si>
  <si>
    <t xml:space="preserve">OH0015760766</t>
  </si>
  <si>
    <t xml:space="preserve">KATZENBERGER</t>
  </si>
  <si>
    <t xml:space="preserve">1968-09-10</t>
  </si>
  <si>
    <t xml:space="preserve">2004-08-25</t>
  </si>
  <si>
    <t xml:space="preserve">667 PERKINS DR NW</t>
  </si>
  <si>
    <t xml:space="preserve">OH0015693287</t>
  </si>
  <si>
    <t xml:space="preserve">1944-01-23</t>
  </si>
  <si>
    <t xml:space="preserve">2013-06-27</t>
  </si>
  <si>
    <t xml:space="preserve">OH0015693285</t>
  </si>
  <si>
    <t xml:space="preserve">1945-05-22</t>
  </si>
  <si>
    <t xml:space="preserve">2013-04-08</t>
  </si>
  <si>
    <t xml:space="preserve">OH0015697799</t>
  </si>
  <si>
    <t xml:space="preserve">KILPATRICK MATTHEWS</t>
  </si>
  <si>
    <t xml:space="preserve">KARIN</t>
  </si>
  <si>
    <t xml:space="preserve">1958-02-25</t>
  </si>
  <si>
    <t xml:space="preserve">2011-05-03</t>
  </si>
  <si>
    <t xml:space="preserve">668 PERKINS DR NW</t>
  </si>
  <si>
    <t xml:space="preserve">OH0015790255</t>
  </si>
  <si>
    <t xml:space="preserve">1954-09-05</t>
  </si>
  <si>
    <t xml:space="preserve">1976-02-04</t>
  </si>
  <si>
    <t xml:space="preserve">676 PERKINS DR NW</t>
  </si>
  <si>
    <t xml:space="preserve">OH0026148167</t>
  </si>
  <si>
    <t xml:space="preserve">BROADHURST</t>
  </si>
  <si>
    <t xml:space="preserve">KATAIRA</t>
  </si>
  <si>
    <t xml:space="preserve">2003-02-08</t>
  </si>
  <si>
    <t xml:space="preserve">2025-03-15</t>
  </si>
  <si>
    <t xml:space="preserve">680 PERKINS DR NW</t>
  </si>
  <si>
    <t xml:space="preserve">OH0021782047</t>
  </si>
  <si>
    <t xml:space="preserve">MCNULTY</t>
  </si>
  <si>
    <t xml:space="preserve">1984-06-22</t>
  </si>
  <si>
    <t xml:space="preserve">692 PERKINS DR NW</t>
  </si>
  <si>
    <t xml:space="preserve">OH0027086790</t>
  </si>
  <si>
    <t xml:space="preserve">BETTS</t>
  </si>
  <si>
    <t xml:space="preserve">ARNELL FRANSHUEN</t>
  </si>
  <si>
    <t xml:space="preserve">1999-10-09</t>
  </si>
  <si>
    <t xml:space="preserve">2023-09-25</t>
  </si>
  <si>
    <t xml:space="preserve">696 PERKINS DR NW</t>
  </si>
  <si>
    <t xml:space="preserve">OH0020788215</t>
  </si>
  <si>
    <t xml:space="preserve">1990-11-28</t>
  </si>
  <si>
    <t xml:space="preserve">2016-11-12</t>
  </si>
  <si>
    <t xml:space="preserve">OH0015771082</t>
  </si>
  <si>
    <t xml:space="preserve">1950-08-29</t>
  </si>
  <si>
    <t xml:space="preserve">700 PERKINS DR NW</t>
  </si>
  <si>
    <t xml:space="preserve">OH0015819130</t>
  </si>
  <si>
    <t xml:space="preserve">LATIMER</t>
  </si>
  <si>
    <t xml:space="preserve">1962-04-13</t>
  </si>
  <si>
    <t xml:space="preserve">704 PERKINS DR NW</t>
  </si>
  <si>
    <t xml:space="preserve">OH0015757077</t>
  </si>
  <si>
    <t xml:space="preserve">RUSHIN</t>
  </si>
  <si>
    <t xml:space="preserve">1984-08-05</t>
  </si>
  <si>
    <t xml:space="preserve">2022-05-02</t>
  </si>
  <si>
    <t xml:space="preserve">708 PERKINS DR NW</t>
  </si>
  <si>
    <t xml:space="preserve">OH0024673373</t>
  </si>
  <si>
    <t xml:space="preserve">1983-06-12</t>
  </si>
  <si>
    <t xml:space="preserve">1025 PRIER PL NE</t>
  </si>
  <si>
    <t xml:space="preserve">OH0025146709</t>
  </si>
  <si>
    <t xml:space="preserve">STARKEY</t>
  </si>
  <si>
    <t xml:space="preserve">MAELIN</t>
  </si>
  <si>
    <t xml:space="preserve">2001-06-14</t>
  </si>
  <si>
    <t xml:space="preserve">2024-06-22</t>
  </si>
  <si>
    <t xml:space="preserve">1033 PRIER PL NE</t>
  </si>
  <si>
    <t xml:space="preserve">OH0026535493</t>
  </si>
  <si>
    <t xml:space="preserve">LEILA</t>
  </si>
  <si>
    <t xml:space="preserve">2022-09-20</t>
  </si>
  <si>
    <t xml:space="preserve">OH0027101992</t>
  </si>
  <si>
    <t xml:space="preserve">2005-04-16</t>
  </si>
  <si>
    <t xml:space="preserve">OH0027494650</t>
  </si>
  <si>
    <t xml:space="preserve">RAMOS</t>
  </si>
  <si>
    <t xml:space="preserve">1998-03-16</t>
  </si>
  <si>
    <t xml:space="preserve">628 PROSPECT AVE NW</t>
  </si>
  <si>
    <t xml:space="preserve">OH0023638499</t>
  </si>
  <si>
    <t xml:space="preserve">BLACKSHEAR</t>
  </si>
  <si>
    <t xml:space="preserve">CLARISSA</t>
  </si>
  <si>
    <t xml:space="preserve">2016-12-02</t>
  </si>
  <si>
    <t xml:space="preserve">OH0018595627</t>
  </si>
  <si>
    <t xml:space="preserve">1980-08-03</t>
  </si>
  <si>
    <t xml:space="preserve">2018-08-25</t>
  </si>
  <si>
    <t xml:space="preserve">OH0015727232</t>
  </si>
  <si>
    <t xml:space="preserve">2009-07-24</t>
  </si>
  <si>
    <t xml:space="preserve">653 PROSPECT AVE NW</t>
  </si>
  <si>
    <t xml:space="preserve">OH0021382296</t>
  </si>
  <si>
    <t xml:space="preserve">1993-07-18</t>
  </si>
  <si>
    <t xml:space="preserve">2020-10-19</t>
  </si>
  <si>
    <t xml:space="preserve">OH0015748544</t>
  </si>
  <si>
    <t xml:space="preserve">1970-05-24</t>
  </si>
  <si>
    <t xml:space="preserve">OH0020788096</t>
  </si>
  <si>
    <t xml:space="preserve">2016-08-22</t>
  </si>
  <si>
    <t xml:space="preserve">740 PROSPECT AVE NW</t>
  </si>
  <si>
    <t xml:space="preserve">OH0027043198</t>
  </si>
  <si>
    <t xml:space="preserve">MARGRET</t>
  </si>
  <si>
    <t xml:space="preserve">2002-04-13</t>
  </si>
  <si>
    <t xml:space="preserve">2023-08-23</t>
  </si>
  <si>
    <t xml:space="preserve">820 PROSPECT AVE NW</t>
  </si>
  <si>
    <t xml:space="preserve">OH0015759489</t>
  </si>
  <si>
    <t xml:space="preserve">AIKINS</t>
  </si>
  <si>
    <t xml:space="preserve">1981-06-05</t>
  </si>
  <si>
    <t xml:space="preserve">825 PROSPECT AVE NW</t>
  </si>
  <si>
    <t xml:space="preserve">OH0015753400</t>
  </si>
  <si>
    <t xml:space="preserve">1980-12-16</t>
  </si>
  <si>
    <t xml:space="preserve">2021-07-26</t>
  </si>
  <si>
    <t xml:space="preserve">OH0022631433</t>
  </si>
  <si>
    <t xml:space="preserve">1978-07-14</t>
  </si>
  <si>
    <t xml:space="preserve">837 PROSPECT AVE NW</t>
  </si>
  <si>
    <t xml:space="preserve">OH0027567500</t>
  </si>
  <si>
    <t xml:space="preserve">MCROBERTS</t>
  </si>
  <si>
    <t xml:space="preserve">1964-09-18</t>
  </si>
  <si>
    <t xml:space="preserve">OH0020957966</t>
  </si>
  <si>
    <t xml:space="preserve">CADLE</t>
  </si>
  <si>
    <t xml:space="preserve">1961-11-18</t>
  </si>
  <si>
    <t xml:space="preserve">OH0027590101</t>
  </si>
  <si>
    <t xml:space="preserve">KAYDENCE</t>
  </si>
  <si>
    <t xml:space="preserve">2006-06-21</t>
  </si>
  <si>
    <t xml:space="preserve">847 PROSPECT AVE NW</t>
  </si>
  <si>
    <t xml:space="preserve">OH0025249208</t>
  </si>
  <si>
    <t xml:space="preserve">BONIFACIO</t>
  </si>
  <si>
    <t xml:space="preserve">RICARDO</t>
  </si>
  <si>
    <t xml:space="preserve">AUGUSTO</t>
  </si>
  <si>
    <t xml:space="preserve">2019-09-27</t>
  </si>
  <si>
    <t xml:space="preserve">859 PROSPECT AVE NW</t>
  </si>
  <si>
    <t xml:space="preserve">OH0015885888</t>
  </si>
  <si>
    <t xml:space="preserve">POPE</t>
  </si>
  <si>
    <t xml:space="preserve">CLEVELAND</t>
  </si>
  <si>
    <t xml:space="preserve">1965-08-06</t>
  </si>
  <si>
    <t xml:space="preserve">2022-09-18</t>
  </si>
  <si>
    <t xml:space="preserve">OH0025536006</t>
  </si>
  <si>
    <t xml:space="preserve">SERNULKA</t>
  </si>
  <si>
    <t xml:space="preserve">GWENYTH</t>
  </si>
  <si>
    <t xml:space="preserve">2002-03-02</t>
  </si>
  <si>
    <t xml:space="preserve">910 PROSPECT AVE NW</t>
  </si>
  <si>
    <t xml:space="preserve">OH0018597061</t>
  </si>
  <si>
    <t xml:space="preserve">GRAHAM</t>
  </si>
  <si>
    <t xml:space="preserve">1982-09-17</t>
  </si>
  <si>
    <t xml:space="preserve">OH0021700687</t>
  </si>
  <si>
    <t xml:space="preserve">LAQUISHA</t>
  </si>
  <si>
    <t xml:space="preserve">1993-02-12</t>
  </si>
  <si>
    <t xml:space="preserve">2020-01-09</t>
  </si>
  <si>
    <t xml:space="preserve">OH0015739863</t>
  </si>
  <si>
    <t xml:space="preserve">2016-09-01</t>
  </si>
  <si>
    <t xml:space="preserve">OH0015758588</t>
  </si>
  <si>
    <t xml:space="preserve">TANAY</t>
  </si>
  <si>
    <t xml:space="preserve">1979-11-03</t>
  </si>
  <si>
    <t xml:space="preserve">2008-08-30</t>
  </si>
  <si>
    <t xml:space="preserve">920 PROSPECT AVE NW</t>
  </si>
  <si>
    <t xml:space="preserve">OH0023296121</t>
  </si>
  <si>
    <t xml:space="preserve">ABBEY</t>
  </si>
  <si>
    <t xml:space="preserve">1994-01-07</t>
  </si>
  <si>
    <t xml:space="preserve">342 REO CT NW</t>
  </si>
  <si>
    <t xml:space="preserve">FRNT</t>
  </si>
  <si>
    <t xml:space="preserve">LAKEVIEW LOCAL SD (TRUMBULL)</t>
  </si>
  <si>
    <t xml:space="preserve">OH0024103100</t>
  </si>
  <si>
    <t xml:space="preserve">HAMILTON</t>
  </si>
  <si>
    <t xml:space="preserve">NYGERIA</t>
  </si>
  <si>
    <t xml:space="preserve">1998-08-07</t>
  </si>
  <si>
    <t xml:space="preserve">2023-10-26</t>
  </si>
  <si>
    <t xml:space="preserve">344 REO CT NW</t>
  </si>
  <si>
    <t xml:space="preserve">OH0022032844</t>
  </si>
  <si>
    <t xml:space="preserve">DARIELE</t>
  </si>
  <si>
    <t xml:space="preserve">1992-04-22</t>
  </si>
  <si>
    <t xml:space="preserve">352 REO CT NW</t>
  </si>
  <si>
    <t xml:space="preserve">OH0023680383</t>
  </si>
  <si>
    <t xml:space="preserve">SANTAGATA</t>
  </si>
  <si>
    <t xml:space="preserve">1974-07-17</t>
  </si>
  <si>
    <t xml:space="preserve">353 REO CT NW</t>
  </si>
  <si>
    <t xml:space="preserve">OH0021009492</t>
  </si>
  <si>
    <t xml:space="preserve">AUNSHAY</t>
  </si>
  <si>
    <t xml:space="preserve">1991-07-10</t>
  </si>
  <si>
    <t xml:space="preserve">2022-07-14</t>
  </si>
  <si>
    <t xml:space="preserve">354 REO CT NW</t>
  </si>
  <si>
    <t xml:space="preserve">OH0019995414</t>
  </si>
  <si>
    <t xml:space="preserve">PRINGLE</t>
  </si>
  <si>
    <t xml:space="preserve">1989-01-22</t>
  </si>
  <si>
    <t xml:space="preserve">OH0025113569</t>
  </si>
  <si>
    <t xml:space="preserve">IVIONT</t>
  </si>
  <si>
    <t xml:space="preserve">2019-05-11</t>
  </si>
  <si>
    <t xml:space="preserve">OH0015681744</t>
  </si>
  <si>
    <t xml:space="preserve">ARCHIE</t>
  </si>
  <si>
    <t xml:space="preserve">1963-02-12</t>
  </si>
  <si>
    <t xml:space="preserve">358 REO CT NW</t>
  </si>
  <si>
    <t xml:space="preserve">OH0025028909</t>
  </si>
  <si>
    <t xml:space="preserve">TRAVANNA</t>
  </si>
  <si>
    <t xml:space="preserve">2000-04-11</t>
  </si>
  <si>
    <t xml:space="preserve">364 REO CT NW</t>
  </si>
  <si>
    <t xml:space="preserve">OH0021106721</t>
  </si>
  <si>
    <t xml:space="preserve">JARROD</t>
  </si>
  <si>
    <t xml:space="preserve">1981-06-27</t>
  </si>
  <si>
    <t xml:space="preserve">2013-07-01</t>
  </si>
  <si>
    <t xml:space="preserve">367 REO CT NW</t>
  </si>
  <si>
    <t xml:space="preserve">OH0019985702</t>
  </si>
  <si>
    <t xml:space="preserve">1971-06-24</t>
  </si>
  <si>
    <t xml:space="preserve">372 REO CT NW</t>
  </si>
  <si>
    <t xml:space="preserve">OH0025577611</t>
  </si>
  <si>
    <t xml:space="preserve">K OMNI</t>
  </si>
  <si>
    <t xml:space="preserve">1990-05-01</t>
  </si>
  <si>
    <t xml:space="preserve">374 REO CT NW</t>
  </si>
  <si>
    <t xml:space="preserve">OH0025011706</t>
  </si>
  <si>
    <t xml:space="preserve">CORE EDWARDS</t>
  </si>
  <si>
    <t xml:space="preserve">KOMNI</t>
  </si>
  <si>
    <t xml:space="preserve">OH0022434913</t>
  </si>
  <si>
    <t xml:space="preserve">ROUNDS</t>
  </si>
  <si>
    <t xml:space="preserve">1976-05-26</t>
  </si>
  <si>
    <t xml:space="preserve">2025-04-11</t>
  </si>
  <si>
    <t xml:space="preserve">OH0019826236</t>
  </si>
  <si>
    <t xml:space="preserve">TIANNA</t>
  </si>
  <si>
    <t xml:space="preserve">NESHA</t>
  </si>
  <si>
    <t xml:space="preserve">1988-02-24</t>
  </si>
  <si>
    <t xml:space="preserve">378 REO CT NW</t>
  </si>
  <si>
    <t xml:space="preserve">OH0022017338</t>
  </si>
  <si>
    <t xml:space="preserve">HOWARD DANIELS</t>
  </si>
  <si>
    <t xml:space="preserve">1991-09-26</t>
  </si>
  <si>
    <t xml:space="preserve">2024-03-11</t>
  </si>
  <si>
    <t xml:space="preserve">OH0021494969</t>
  </si>
  <si>
    <t xml:space="preserve">COLEMAN</t>
  </si>
  <si>
    <t xml:space="preserve">1968-08-14</t>
  </si>
  <si>
    <t xml:space="preserve">629 REX BLVD NW</t>
  </si>
  <si>
    <t xml:space="preserve">OH0020981383</t>
  </si>
  <si>
    <t xml:space="preserve">SHANIQUA</t>
  </si>
  <si>
    <t xml:space="preserve">OH0015807812</t>
  </si>
  <si>
    <t xml:space="preserve">TAYLOR FARLEY</t>
  </si>
  <si>
    <t xml:space="preserve">1953-04-05</t>
  </si>
  <si>
    <t xml:space="preserve">639 REX BLVD NW</t>
  </si>
  <si>
    <t xml:space="preserve">OH0024249426</t>
  </si>
  <si>
    <t xml:space="preserve">CHAMBERLIN</t>
  </si>
  <si>
    <t xml:space="preserve">1975-09-22</t>
  </si>
  <si>
    <t xml:space="preserve">2018-02-12</t>
  </si>
  <si>
    <t xml:space="preserve">OH0015730675</t>
  </si>
  <si>
    <t xml:space="preserve">1984-06-18</t>
  </si>
  <si>
    <t xml:space="preserve">650 REX BLVD NW</t>
  </si>
  <si>
    <t xml:space="preserve">OH0027200284</t>
  </si>
  <si>
    <t xml:space="preserve">STONE</t>
  </si>
  <si>
    <t xml:space="preserve">1968-09-22</t>
  </si>
  <si>
    <t xml:space="preserve">651 REX BLVD NW</t>
  </si>
  <si>
    <t xml:space="preserve">OH0015741782</t>
  </si>
  <si>
    <t xml:space="preserve">CALLAHAN</t>
  </si>
  <si>
    <t xml:space="preserve">CARSON</t>
  </si>
  <si>
    <t xml:space="preserve">1960-01-22</t>
  </si>
  <si>
    <t xml:space="preserve">2004-03-02</t>
  </si>
  <si>
    <t xml:space="preserve">662 REX BLVD NW</t>
  </si>
  <si>
    <t xml:space="preserve">OH0015738227</t>
  </si>
  <si>
    <t xml:space="preserve">1959-08-01</t>
  </si>
  <si>
    <t xml:space="preserve">1990-10-16</t>
  </si>
  <si>
    <t xml:space="preserve">OH0023489380</t>
  </si>
  <si>
    <t xml:space="preserve">BRAXTON</t>
  </si>
  <si>
    <t xml:space="preserve">1998-05-05</t>
  </si>
  <si>
    <t xml:space="preserve">2016-01-26</t>
  </si>
  <si>
    <t xml:space="preserve">663 REX BLVD NW</t>
  </si>
  <si>
    <t xml:space="preserve">OH0015786052</t>
  </si>
  <si>
    <t xml:space="preserve">1967-02-20</t>
  </si>
  <si>
    <t xml:space="preserve">2007-09-25</t>
  </si>
  <si>
    <t xml:space="preserve">OH0015691796</t>
  </si>
  <si>
    <t xml:space="preserve">TANGELA</t>
  </si>
  <si>
    <t xml:space="preserve">1971-04-06</t>
  </si>
  <si>
    <t xml:space="preserve">OH0015703554</t>
  </si>
  <si>
    <t xml:space="preserve">CHAPIN</t>
  </si>
  <si>
    <t xml:space="preserve">1966-02-01</t>
  </si>
  <si>
    <t xml:space="preserve">674 REX BLVD NW</t>
  </si>
  <si>
    <t xml:space="preserve">OH0015687008</t>
  </si>
  <si>
    <t xml:space="preserve">MAZZOCHI</t>
  </si>
  <si>
    <t xml:space="preserve">675 REX BLVD NW</t>
  </si>
  <si>
    <t xml:space="preserve">OH0015717315</t>
  </si>
  <si>
    <t xml:space="preserve">STOSHAK</t>
  </si>
  <si>
    <t xml:space="preserve">JOAN</t>
  </si>
  <si>
    <t xml:space="preserve">1938-07-13</t>
  </si>
  <si>
    <t xml:space="preserve">2015-07-10</t>
  </si>
  <si>
    <t xml:space="preserve">685 REX BLVD NW</t>
  </si>
  <si>
    <t xml:space="preserve">OH0021815511</t>
  </si>
  <si>
    <t xml:space="preserve">GARGAS</t>
  </si>
  <si>
    <t xml:space="preserve">1991-04-15</t>
  </si>
  <si>
    <t xml:space="preserve">695 REX BLVD NW</t>
  </si>
  <si>
    <t xml:space="preserve">OH0015718902</t>
  </si>
  <si>
    <t xml:space="preserve">1960-01-12</t>
  </si>
  <si>
    <t xml:space="preserve">1987-04-21</t>
  </si>
  <si>
    <t xml:space="preserve">698 REX BLVD NW</t>
  </si>
  <si>
    <t xml:space="preserve">OH0015767685</t>
  </si>
  <si>
    <t xml:space="preserve">1950-06-05</t>
  </si>
  <si>
    <t xml:space="preserve">1976-03-15</t>
  </si>
  <si>
    <t xml:space="preserve">OH0027514388</t>
  </si>
  <si>
    <t xml:space="preserve">AZJEOINE</t>
  </si>
  <si>
    <t xml:space="preserve">2006-05-06</t>
  </si>
  <si>
    <t xml:space="preserve">710 REX BLVD NW</t>
  </si>
  <si>
    <t xml:space="preserve">OH0022868453</t>
  </si>
  <si>
    <t xml:space="preserve">OH0015754275</t>
  </si>
  <si>
    <t xml:space="preserve">1969-08-18</t>
  </si>
  <si>
    <t xml:space="preserve">OH0015788954</t>
  </si>
  <si>
    <t xml:space="preserve">1954-10-02</t>
  </si>
  <si>
    <t xml:space="preserve">720 REX BLVD NW</t>
  </si>
  <si>
    <t xml:space="preserve">OH0015717774</t>
  </si>
  <si>
    <t xml:space="preserve">SECHLER</t>
  </si>
  <si>
    <t xml:space="preserve">1982-08-23</t>
  </si>
  <si>
    <t xml:space="preserve">727 REX BLVD NW</t>
  </si>
  <si>
    <t xml:space="preserve">OH0026655622</t>
  </si>
  <si>
    <t xml:space="preserve">2004-10-07</t>
  </si>
  <si>
    <t xml:space="preserve">OH0025949026</t>
  </si>
  <si>
    <t xml:space="preserve">1976-05-31</t>
  </si>
  <si>
    <t xml:space="preserve">730 REX BLVD NW</t>
  </si>
  <si>
    <t xml:space="preserve">OH0015725308</t>
  </si>
  <si>
    <t xml:space="preserve">KOVALOSKI</t>
  </si>
  <si>
    <t xml:space="preserve">CHAD</t>
  </si>
  <si>
    <t xml:space="preserve">1980-03-18</t>
  </si>
  <si>
    <t xml:space="preserve">OH0019196102</t>
  </si>
  <si>
    <t xml:space="preserve">1989-02-19</t>
  </si>
  <si>
    <t xml:space="preserve">737 REX BLVD NW</t>
  </si>
  <si>
    <t xml:space="preserve">OH0015714201</t>
  </si>
  <si>
    <t xml:space="preserve">SHERLYN</t>
  </si>
  <si>
    <t xml:space="preserve">1964-06-12</t>
  </si>
  <si>
    <t xml:space="preserve">OH0015741433</t>
  </si>
  <si>
    <t xml:space="preserve">1967-06-25</t>
  </si>
  <si>
    <t xml:space="preserve">2013-03-12</t>
  </si>
  <si>
    <t xml:space="preserve">OH0026607974</t>
  </si>
  <si>
    <t xml:space="preserve">1998-12-07</t>
  </si>
  <si>
    <t xml:space="preserve">740 REX BLVD NW</t>
  </si>
  <si>
    <t xml:space="preserve">OH0021081795</t>
  </si>
  <si>
    <t xml:space="preserve">1973-04-26</t>
  </si>
  <si>
    <t xml:space="preserve">OH0027913297</t>
  </si>
  <si>
    <t xml:space="preserve">MORTIMER</t>
  </si>
  <si>
    <t xml:space="preserve">2007-01-05</t>
  </si>
  <si>
    <t xml:space="preserve">751 REX BLVD NW</t>
  </si>
  <si>
    <t xml:space="preserve">OH0024847555</t>
  </si>
  <si>
    <t xml:space="preserve">OH0023335544</t>
  </si>
  <si>
    <t xml:space="preserve">MAYORAS</t>
  </si>
  <si>
    <t xml:space="preserve">1977-02-03</t>
  </si>
  <si>
    <t xml:space="preserve">2019-02-05</t>
  </si>
  <si>
    <t xml:space="preserve">OH0015784937</t>
  </si>
  <si>
    <t xml:space="preserve">HOVANIC</t>
  </si>
  <si>
    <t xml:space="preserve">1955-11-16</t>
  </si>
  <si>
    <t xml:space="preserve">1976-05-08</t>
  </si>
  <si>
    <t xml:space="preserve">763 REX BLVD NW</t>
  </si>
  <si>
    <t xml:space="preserve">OH0015784933</t>
  </si>
  <si>
    <t xml:space="preserve">1954-04-18</t>
  </si>
  <si>
    <t xml:space="preserve">1975-08-13</t>
  </si>
  <si>
    <t xml:space="preserve">OH0015742222</t>
  </si>
  <si>
    <t xml:space="preserve">BEARDSLEY</t>
  </si>
  <si>
    <t xml:space="preserve">1964-02-20</t>
  </si>
  <si>
    <t xml:space="preserve">775 REX BLVD NW</t>
  </si>
  <si>
    <t xml:space="preserve">OH0015762496</t>
  </si>
  <si>
    <t xml:space="preserve">CHAUNCEY</t>
  </si>
  <si>
    <t xml:space="preserve">1953-01-15</t>
  </si>
  <si>
    <t xml:space="preserve">2018-02-22</t>
  </si>
  <si>
    <t xml:space="preserve">OH0020822181</t>
  </si>
  <si>
    <t xml:space="preserve">MIKE</t>
  </si>
  <si>
    <t xml:space="preserve">1981-02-17</t>
  </si>
  <si>
    <t xml:space="preserve">2009-06-09</t>
  </si>
  <si>
    <t xml:space="preserve">OH0015718467</t>
  </si>
  <si>
    <t xml:space="preserve">JANICE</t>
  </si>
  <si>
    <t xml:space="preserve">1969-04-30</t>
  </si>
  <si>
    <t xml:space="preserve">1987-03-30</t>
  </si>
  <si>
    <t xml:space="preserve">776 REX BLVD NW</t>
  </si>
  <si>
    <t xml:space="preserve">OH0015731667</t>
  </si>
  <si>
    <t xml:space="preserve">CHRISTNER</t>
  </si>
  <si>
    <t xml:space="preserve">CAMILLIA</t>
  </si>
  <si>
    <t xml:space="preserve">1975-07-16</t>
  </si>
  <si>
    <t xml:space="preserve">2015-10-27</t>
  </si>
  <si>
    <t xml:space="preserve">807 REX BLVD NW</t>
  </si>
  <si>
    <t xml:space="preserve">OH0024554573</t>
  </si>
  <si>
    <t xml:space="preserve">DAISHA</t>
  </si>
  <si>
    <t xml:space="preserve">1998-09-19</t>
  </si>
  <si>
    <t xml:space="preserve">2018-03-21</t>
  </si>
  <si>
    <t xml:space="preserve">818 REX BLVD NW</t>
  </si>
  <si>
    <t xml:space="preserve">OH0015785557</t>
  </si>
  <si>
    <t xml:space="preserve">PYTLIK</t>
  </si>
  <si>
    <t xml:space="preserve">1952-08-31</t>
  </si>
  <si>
    <t xml:space="preserve">828 REX BLVD NW</t>
  </si>
  <si>
    <t xml:space="preserve">OH0015785701</t>
  </si>
  <si>
    <t xml:space="preserve">SALVATO</t>
  </si>
  <si>
    <t xml:space="preserve">PATSY</t>
  </si>
  <si>
    <t xml:space="preserve">1951-06-05</t>
  </si>
  <si>
    <t xml:space="preserve">1971-09-08</t>
  </si>
  <si>
    <t xml:space="preserve">835 REX BLVD NW</t>
  </si>
  <si>
    <t xml:space="preserve">OH0015816442</t>
  </si>
  <si>
    <t xml:space="preserve">KNEPPER</t>
  </si>
  <si>
    <t xml:space="preserve">1974-07-13</t>
  </si>
  <si>
    <t xml:space="preserve">838 REX BLVD NW</t>
  </si>
  <si>
    <t xml:space="preserve">OH0015711987</t>
  </si>
  <si>
    <t xml:space="preserve">GAYLE</t>
  </si>
  <si>
    <t xml:space="preserve">1959-12-18</t>
  </si>
  <si>
    <t xml:space="preserve">138 ROOSEVELT ST NW</t>
  </si>
  <si>
    <t xml:space="preserve">OH0019081965</t>
  </si>
  <si>
    <t xml:space="preserve">DORIAN</t>
  </si>
  <si>
    <t xml:space="preserve">1988-09-08</t>
  </si>
  <si>
    <t xml:space="preserve">OH0015694950</t>
  </si>
  <si>
    <t xml:space="preserve">139 ROOSEVELT ST NW</t>
  </si>
  <si>
    <t xml:space="preserve">OH0015787499</t>
  </si>
  <si>
    <t xml:space="preserve">1935-03-05</t>
  </si>
  <si>
    <t xml:space="preserve">1979-09-07</t>
  </si>
  <si>
    <t xml:space="preserve">OH0026905122</t>
  </si>
  <si>
    <t xml:space="preserve">CHAMPELLE</t>
  </si>
  <si>
    <t xml:space="preserve">1990-07-29</t>
  </si>
  <si>
    <t xml:space="preserve">2023-04-29</t>
  </si>
  <si>
    <t xml:space="preserve">148 ROOSEVELT ST NW</t>
  </si>
  <si>
    <t xml:space="preserve">OH0023092571</t>
  </si>
  <si>
    <t xml:space="preserve">JALAYA</t>
  </si>
  <si>
    <t xml:space="preserve">1994-03-27</t>
  </si>
  <si>
    <t xml:space="preserve">149 ROOSEVELT ST NW</t>
  </si>
  <si>
    <t xml:space="preserve">OH0020087022</t>
  </si>
  <si>
    <t xml:space="preserve">1936-06-09</t>
  </si>
  <si>
    <t xml:space="preserve">2008-09-19</t>
  </si>
  <si>
    <t xml:space="preserve">OH0018836425</t>
  </si>
  <si>
    <t xml:space="preserve">SHEELY</t>
  </si>
  <si>
    <t xml:space="preserve">1987-10-09</t>
  </si>
  <si>
    <t xml:space="preserve">2023-10-12</t>
  </si>
  <si>
    <t xml:space="preserve">157 ROOSEVELT ST NW</t>
  </si>
  <si>
    <t xml:space="preserve">OH0020829410</t>
  </si>
  <si>
    <t xml:space="preserve">1990-06-21</t>
  </si>
  <si>
    <t xml:space="preserve">2022-03-10</t>
  </si>
  <si>
    <t xml:space="preserve">OH0023325543</t>
  </si>
  <si>
    <t xml:space="preserve">TRECEY</t>
  </si>
  <si>
    <t xml:space="preserve">1997-07-25</t>
  </si>
  <si>
    <t xml:space="preserve">2015-09-02</t>
  </si>
  <si>
    <t xml:space="preserve">158 ROOSEVELT ST NW</t>
  </si>
  <si>
    <t xml:space="preserve">OH0015763355</t>
  </si>
  <si>
    <t xml:space="preserve">TIAH</t>
  </si>
  <si>
    <t xml:space="preserve">1962-07-05</t>
  </si>
  <si>
    <t xml:space="preserve">307 ROOSEVELT ST NW</t>
  </si>
  <si>
    <t xml:space="preserve">OH0026599113</t>
  </si>
  <si>
    <t xml:space="preserve">CHANCE</t>
  </si>
  <si>
    <t xml:space="preserve">DESCOTT</t>
  </si>
  <si>
    <t xml:space="preserve">1990-09-30</t>
  </si>
  <si>
    <t xml:space="preserve">OH0024094722</t>
  </si>
  <si>
    <t xml:space="preserve">NEELY THOMPSON</t>
  </si>
  <si>
    <t xml:space="preserve">1991-07-16</t>
  </si>
  <si>
    <t xml:space="preserve">314 ROOSEVELT ST NW</t>
  </si>
  <si>
    <t xml:space="preserve">OH0021188149</t>
  </si>
  <si>
    <t xml:space="preserve">MILONE</t>
  </si>
  <si>
    <t xml:space="preserve">DOMINIC</t>
  </si>
  <si>
    <t xml:space="preserve">1990-11-12</t>
  </si>
  <si>
    <t xml:space="preserve">OH0025987929</t>
  </si>
  <si>
    <t xml:space="preserve">1960-07-30</t>
  </si>
  <si>
    <t xml:space="preserve">317 ROOSEVELT ST NW</t>
  </si>
  <si>
    <t xml:space="preserve">OH0026626246</t>
  </si>
  <si>
    <t xml:space="preserve">AIELLO</t>
  </si>
  <si>
    <t xml:space="preserve">324 ROOSEVELT ST NW</t>
  </si>
  <si>
    <t xml:space="preserve">OH0026817459</t>
  </si>
  <si>
    <t xml:space="preserve">1984-12-06</t>
  </si>
  <si>
    <t xml:space="preserve">OH0027549043</t>
  </si>
  <si>
    <t xml:space="preserve">337 ROOSEVELT ST NW</t>
  </si>
  <si>
    <t xml:space="preserve">OH0027514866</t>
  </si>
  <si>
    <t xml:space="preserve">SHEPHERD</t>
  </si>
  <si>
    <t xml:space="preserve">SEQUAN</t>
  </si>
  <si>
    <t xml:space="preserve">C M</t>
  </si>
  <si>
    <t xml:space="preserve">1990-05-21</t>
  </si>
  <si>
    <t xml:space="preserve">344 ROOSEVELT ST NW</t>
  </si>
  <si>
    <t xml:space="preserve">OH0018671190</t>
  </si>
  <si>
    <t xml:space="preserve">RASHAWNDA</t>
  </si>
  <si>
    <t xml:space="preserve">1987-09-05</t>
  </si>
  <si>
    <t xml:space="preserve">OH0027043195</t>
  </si>
  <si>
    <t xml:space="preserve">1991-08-31</t>
  </si>
  <si>
    <t xml:space="preserve">2024-06-27</t>
  </si>
  <si>
    <t xml:space="preserve">354 ROOSEVELT ST NW</t>
  </si>
  <si>
    <t xml:space="preserve">OH0015726785</t>
  </si>
  <si>
    <t xml:space="preserve">1957-09-26</t>
  </si>
  <si>
    <t xml:space="preserve">1988-10-11</t>
  </si>
  <si>
    <t xml:space="preserve">534 ROOSEVELT ST NW</t>
  </si>
  <si>
    <t xml:space="preserve">OH0026405585</t>
  </si>
  <si>
    <t xml:space="preserve">HIMES</t>
  </si>
  <si>
    <t xml:space="preserve">1993-06-18</t>
  </si>
  <si>
    <t xml:space="preserve">2022-02-03</t>
  </si>
  <si>
    <t xml:space="preserve">544 ROOSEVELT ST NW</t>
  </si>
  <si>
    <t xml:space="preserve">OH0015738365</t>
  </si>
  <si>
    <t xml:space="preserve">1956-01-15</t>
  </si>
  <si>
    <t xml:space="preserve">2007-11-05</t>
  </si>
  <si>
    <t xml:space="preserve">598 ROOSEVELT ST NW</t>
  </si>
  <si>
    <t xml:space="preserve">OH0015743524</t>
  </si>
  <si>
    <t xml:space="preserve">VASBINDER</t>
  </si>
  <si>
    <t xml:space="preserve">ED</t>
  </si>
  <si>
    <t xml:space="preserve">1953-04-10</t>
  </si>
  <si>
    <t xml:space="preserve">612 ROOSEVELT ST NW</t>
  </si>
  <si>
    <t xml:space="preserve">OH0015778817</t>
  </si>
  <si>
    <t xml:space="preserve">2016-10-06</t>
  </si>
  <si>
    <t xml:space="preserve">626 ROOSEVELT ST NW</t>
  </si>
  <si>
    <t xml:space="preserve">OH0015763615</t>
  </si>
  <si>
    <t xml:space="preserve">1958-03-07</t>
  </si>
  <si>
    <t xml:space="preserve">638 ROOSEVELT ST NW</t>
  </si>
  <si>
    <t xml:space="preserve">OH0027748297</t>
  </si>
  <si>
    <t xml:space="preserve">1951-10-16</t>
  </si>
  <si>
    <t xml:space="preserve">OH0021753472</t>
  </si>
  <si>
    <t xml:space="preserve">BOYER</t>
  </si>
  <si>
    <t xml:space="preserve">1969-11-14</t>
  </si>
  <si>
    <t xml:space="preserve">648 ROOSEVELT ST NW</t>
  </si>
  <si>
    <t xml:space="preserve">OH0015782662</t>
  </si>
  <si>
    <t xml:space="preserve">1945-11-03</t>
  </si>
  <si>
    <t xml:space="preserve">1967-07-25</t>
  </si>
  <si>
    <t xml:space="preserve">OH0024170264</t>
  </si>
  <si>
    <t xml:space="preserve">HINZMAN</t>
  </si>
  <si>
    <t xml:space="preserve">1994-04-06</t>
  </si>
  <si>
    <t xml:space="preserve">2022-05-08</t>
  </si>
  <si>
    <t xml:space="preserve">664 ROOSEVELT ST NW</t>
  </si>
  <si>
    <t xml:space="preserve">OH0021351010</t>
  </si>
  <si>
    <t xml:space="preserve">1993-05-22</t>
  </si>
  <si>
    <t xml:space="preserve">OH0022838655</t>
  </si>
  <si>
    <t xml:space="preserve">JOHNSTON</t>
  </si>
  <si>
    <t xml:space="preserve">1995-07-07</t>
  </si>
  <si>
    <t xml:space="preserve">2023-12-03</t>
  </si>
  <si>
    <t xml:space="preserve">OH0025577578</t>
  </si>
  <si>
    <t xml:space="preserve">SARAH ROSE</t>
  </si>
  <si>
    <t xml:space="preserve">2001-10-03</t>
  </si>
  <si>
    <t xml:space="preserve">2022-06-22</t>
  </si>
  <si>
    <t xml:space="preserve">OH0021403616</t>
  </si>
  <si>
    <t xml:space="preserve">SALMONS</t>
  </si>
  <si>
    <t xml:space="preserve">1991-02-01</t>
  </si>
  <si>
    <t xml:space="preserve">2019-03-02</t>
  </si>
  <si>
    <t xml:space="preserve">OH0026907801</t>
  </si>
  <si>
    <t xml:space="preserve">EMMETT</t>
  </si>
  <si>
    <t xml:space="preserve">1996-11-02</t>
  </si>
  <si>
    <t xml:space="preserve">OH0025938929</t>
  </si>
  <si>
    <t xml:space="preserve">WROBEL ANGUS</t>
  </si>
  <si>
    <t xml:space="preserve">1970-10-24</t>
  </si>
  <si>
    <t xml:space="preserve">677 ROOSEVELT ST NW</t>
  </si>
  <si>
    <t xml:space="preserve">OH0026272595</t>
  </si>
  <si>
    <t xml:space="preserve">VOGEL</t>
  </si>
  <si>
    <t xml:space="preserve">1976-01-19</t>
  </si>
  <si>
    <t xml:space="preserve">2021-08-26</t>
  </si>
  <si>
    <t xml:space="preserve">678 ROOSEVELT ST NW</t>
  </si>
  <si>
    <t xml:space="preserve">OH0026122161</t>
  </si>
  <si>
    <t xml:space="preserve">LENARD</t>
  </si>
  <si>
    <t xml:space="preserve">1991-12-21</t>
  </si>
  <si>
    <t xml:space="preserve">2020-12-16</t>
  </si>
  <si>
    <t xml:space="preserve">OH0027741031</t>
  </si>
  <si>
    <t xml:space="preserve">ZIEGLER</t>
  </si>
  <si>
    <t xml:space="preserve">LASHAWN</t>
  </si>
  <si>
    <t xml:space="preserve">688 ROOSEVELT ST NW</t>
  </si>
  <si>
    <t xml:space="preserve">OH0021383748</t>
  </si>
  <si>
    <t xml:space="preserve">EMERSON</t>
  </si>
  <si>
    <t xml:space="preserve">1969-04-06</t>
  </si>
  <si>
    <t xml:space="preserve">OH0015814241</t>
  </si>
  <si>
    <t xml:space="preserve">NAKILIA</t>
  </si>
  <si>
    <t xml:space="preserve">1975-04-16</t>
  </si>
  <si>
    <t xml:space="preserve">OH0015760657</t>
  </si>
  <si>
    <t xml:space="preserve">FILKORN</t>
  </si>
  <si>
    <t xml:space="preserve">1963-06-18</t>
  </si>
  <si>
    <t xml:space="preserve">1996-02-20</t>
  </si>
  <si>
    <t xml:space="preserve">697 ROOSEVELT ST NW</t>
  </si>
  <si>
    <t xml:space="preserve">OH0027401683</t>
  </si>
  <si>
    <t xml:space="preserve">REGNERY</t>
  </si>
  <si>
    <t xml:space="preserve">RYLAN</t>
  </si>
  <si>
    <t xml:space="preserve">2006-06-16</t>
  </si>
  <si>
    <t xml:space="preserve">2024-06-28</t>
  </si>
  <si>
    <t xml:space="preserve">698 ROOSEVELT ST NW</t>
  </si>
  <si>
    <t xml:space="preserve">OH0025894863</t>
  </si>
  <si>
    <t xml:space="preserve">1953-07-27</t>
  </si>
  <si>
    <t xml:space="preserve">OH0024086221</t>
  </si>
  <si>
    <t xml:space="preserve">1975-10-14</t>
  </si>
  <si>
    <t xml:space="preserve">OH0025955830</t>
  </si>
  <si>
    <t xml:space="preserve">FELLENGER</t>
  </si>
  <si>
    <t xml:space="preserve">1997-04-26</t>
  </si>
  <si>
    <t xml:space="preserve">OH0024086235</t>
  </si>
  <si>
    <t xml:space="preserve">1998-03-19</t>
  </si>
  <si>
    <t xml:space="preserve">OH0015701182</t>
  </si>
  <si>
    <t xml:space="preserve">MOFFETT</t>
  </si>
  <si>
    <t xml:space="preserve">706 ROOSEVELT ST NW</t>
  </si>
  <si>
    <t xml:space="preserve">OH0025716553</t>
  </si>
  <si>
    <t xml:space="preserve">1977-01-27</t>
  </si>
  <si>
    <t xml:space="preserve">OH0015687628</t>
  </si>
  <si>
    <t xml:space="preserve">1952-03-21</t>
  </si>
  <si>
    <t xml:space="preserve">1980-09-13</t>
  </si>
  <si>
    <t xml:space="preserve">OH0025582603</t>
  </si>
  <si>
    <t xml:space="preserve">2002-01-18</t>
  </si>
  <si>
    <t xml:space="preserve">OH0015749683</t>
  </si>
  <si>
    <t xml:space="preserve">POLOMSKY</t>
  </si>
  <si>
    <t xml:space="preserve">SHARI</t>
  </si>
  <si>
    <t xml:space="preserve">707 ROOSEVELT ST NW</t>
  </si>
  <si>
    <t xml:space="preserve">OH0015760580</t>
  </si>
  <si>
    <t xml:space="preserve">1959-06-15</t>
  </si>
  <si>
    <t xml:space="preserve">OH0018714975</t>
  </si>
  <si>
    <t xml:space="preserve">1988-01-12</t>
  </si>
  <si>
    <t xml:space="preserve">OH0015738860</t>
  </si>
  <si>
    <t xml:space="preserve">716 ROOSEVELT ST NW</t>
  </si>
  <si>
    <t xml:space="preserve">OH0015741402</t>
  </si>
  <si>
    <t xml:space="preserve">MERRITT</t>
  </si>
  <si>
    <t xml:space="preserve">1986-02-16</t>
  </si>
  <si>
    <t xml:space="preserve">2017-06-10</t>
  </si>
  <si>
    <t xml:space="preserve">OH0027039490</t>
  </si>
  <si>
    <t xml:space="preserve">TRINITY</t>
  </si>
  <si>
    <t xml:space="preserve">2005-07-05</t>
  </si>
  <si>
    <t xml:space="preserve">OH0027497506</t>
  </si>
  <si>
    <t xml:space="preserve">AMARION</t>
  </si>
  <si>
    <t xml:space="preserve">2004-04-07</t>
  </si>
  <si>
    <t xml:space="preserve">OH0024320401</t>
  </si>
  <si>
    <t xml:space="preserve">WILMER</t>
  </si>
  <si>
    <t xml:space="preserve">1965-08-08</t>
  </si>
  <si>
    <t xml:space="preserve">2017-07-06</t>
  </si>
  <si>
    <t xml:space="preserve">717 ROOSEVELT ST NW</t>
  </si>
  <si>
    <t xml:space="preserve">OH0026740388</t>
  </si>
  <si>
    <t xml:space="preserve">CALLOWAY</t>
  </si>
  <si>
    <t xml:space="preserve">RUSTY</t>
  </si>
  <si>
    <t xml:space="preserve">SHEA</t>
  </si>
  <si>
    <t xml:space="preserve">1984-04-25</t>
  </si>
  <si>
    <t xml:space="preserve">727 ROOSEVELT ST NW</t>
  </si>
  <si>
    <t xml:space="preserve">OH0015822450</t>
  </si>
  <si>
    <t xml:space="preserve">MILNER</t>
  </si>
  <si>
    <t xml:space="preserve">1999-03-18</t>
  </si>
  <si>
    <t xml:space="preserve">736 ROOSEVELT ST NW</t>
  </si>
  <si>
    <t xml:space="preserve">OH0015804307</t>
  </si>
  <si>
    <t xml:space="preserve">DISCERNI</t>
  </si>
  <si>
    <t xml:space="preserve">737 ROOSEVELT ST NW</t>
  </si>
  <si>
    <t xml:space="preserve">OH0024403876</t>
  </si>
  <si>
    <t xml:space="preserve">CATREESE</t>
  </si>
  <si>
    <t xml:space="preserve">OH0022466508</t>
  </si>
  <si>
    <t xml:space="preserve">DUSZ</t>
  </si>
  <si>
    <t xml:space="preserve">TERZA</t>
  </si>
  <si>
    <t xml:space="preserve">1976-06-20</t>
  </si>
  <si>
    <t xml:space="preserve">2018-06-23</t>
  </si>
  <si>
    <t xml:space="preserve">747 ROOSEVELT ST NW</t>
  </si>
  <si>
    <t xml:space="preserve">OH0015780687</t>
  </si>
  <si>
    <t xml:space="preserve">POUNTIOUS</t>
  </si>
  <si>
    <t xml:space="preserve">1974-01-05</t>
  </si>
  <si>
    <t xml:space="preserve">756 ROOSEVELT ST NW</t>
  </si>
  <si>
    <t xml:space="preserve">OH0015822669</t>
  </si>
  <si>
    <t xml:space="preserve">MCMAHAN</t>
  </si>
  <si>
    <t xml:space="preserve">1981-08-25</t>
  </si>
  <si>
    <t xml:space="preserve">OH0026995272</t>
  </si>
  <si>
    <t xml:space="preserve">FEUERWERKER</t>
  </si>
  <si>
    <t xml:space="preserve">2005-05-20</t>
  </si>
  <si>
    <t xml:space="preserve">OH0015793392</t>
  </si>
  <si>
    <t xml:space="preserve">ADRIELLE</t>
  </si>
  <si>
    <t xml:space="preserve">1982-07-01</t>
  </si>
  <si>
    <t xml:space="preserve">2016-08-29</t>
  </si>
  <si>
    <t xml:space="preserve">766 ROOSEVELT ST NW</t>
  </si>
  <si>
    <t xml:space="preserve">OH0026114716</t>
  </si>
  <si>
    <t xml:space="preserve">HARTLE</t>
  </si>
  <si>
    <t xml:space="preserve">BROOKLYN</t>
  </si>
  <si>
    <t xml:space="preserve">SKY</t>
  </si>
  <si>
    <t xml:space="preserve">2002-02-08</t>
  </si>
  <si>
    <t xml:space="preserve">767 ROOSEVELT ST NW</t>
  </si>
  <si>
    <t xml:space="preserve">OH0026244587</t>
  </si>
  <si>
    <t xml:space="preserve">2003-05-09</t>
  </si>
  <si>
    <t xml:space="preserve">2022-05-11</t>
  </si>
  <si>
    <t xml:space="preserve">OH0025745412</t>
  </si>
  <si>
    <t xml:space="preserve">SPELICH</t>
  </si>
  <si>
    <t xml:space="preserve">1953-12-17</t>
  </si>
  <si>
    <t xml:space="preserve">2020-08-13</t>
  </si>
  <si>
    <t xml:space="preserve">776 ROOSEVELT ST NW</t>
  </si>
  <si>
    <t xml:space="preserve">OH0015820372</t>
  </si>
  <si>
    <t xml:space="preserve">PALMER</t>
  </si>
  <si>
    <t xml:space="preserve">1956-11-13</t>
  </si>
  <si>
    <t xml:space="preserve">2021-11-08</t>
  </si>
  <si>
    <t xml:space="preserve">OH0027546460</t>
  </si>
  <si>
    <t xml:space="preserve">1967-05-24</t>
  </si>
  <si>
    <t xml:space="preserve">414 SCHOOL ST NW</t>
  </si>
  <si>
    <t xml:space="preserve">OH0022039016</t>
  </si>
  <si>
    <t xml:space="preserve">WITHEROW</t>
  </si>
  <si>
    <t xml:space="preserve">421 SCHOOL ST NW</t>
  </si>
  <si>
    <t xml:space="preserve">OH0025235227</t>
  </si>
  <si>
    <t xml:space="preserve">2001-07-09</t>
  </si>
  <si>
    <t xml:space="preserve">2025-05-06</t>
  </si>
  <si>
    <t xml:space="preserve">430 SCHOOL ST NW</t>
  </si>
  <si>
    <t xml:space="preserve">OH0027865967</t>
  </si>
  <si>
    <t xml:space="preserve">RAZIYA</t>
  </si>
  <si>
    <t xml:space="preserve">RANAE</t>
  </si>
  <si>
    <t xml:space="preserve">2006-12-19</t>
  </si>
  <si>
    <t xml:space="preserve">2024-12-27</t>
  </si>
  <si>
    <t xml:space="preserve">OH0015745300</t>
  </si>
  <si>
    <t xml:space="preserve">PRUITT</t>
  </si>
  <si>
    <t xml:space="preserve">1984-12-15</t>
  </si>
  <si>
    <t xml:space="preserve">2016-08-05</t>
  </si>
  <si>
    <t xml:space="preserve">OH0026430878</t>
  </si>
  <si>
    <t xml:space="preserve">GRANT MALONEY</t>
  </si>
  <si>
    <t xml:space="preserve">MARYANN</t>
  </si>
  <si>
    <t xml:space="preserve">1989-03-19</t>
  </si>
  <si>
    <t xml:space="preserve">439 SCHOOL ST NW</t>
  </si>
  <si>
    <t xml:space="preserve">OH0027491426</t>
  </si>
  <si>
    <t xml:space="preserve">1973-07-16</t>
  </si>
  <si>
    <t xml:space="preserve">OH0027173467</t>
  </si>
  <si>
    <t xml:space="preserve">1997-01-10</t>
  </si>
  <si>
    <t xml:space="preserve">459 SCHOOL ST NW</t>
  </si>
  <si>
    <t xml:space="preserve">OH0025652575</t>
  </si>
  <si>
    <t xml:space="preserve">FERRELL</t>
  </si>
  <si>
    <t xml:space="preserve">BURKE</t>
  </si>
  <si>
    <t xml:space="preserve">1993-01-25</t>
  </si>
  <si>
    <t xml:space="preserve">2020-06-24</t>
  </si>
  <si>
    <t xml:space="preserve">OH0022442638</t>
  </si>
  <si>
    <t xml:space="preserve">SAUER</t>
  </si>
  <si>
    <t xml:space="preserve">1982-05-13</t>
  </si>
  <si>
    <t xml:space="preserve">2013-05-13</t>
  </si>
  <si>
    <t xml:space="preserve">OH0023358458</t>
  </si>
  <si>
    <t xml:space="preserve">NORTH</t>
  </si>
  <si>
    <t xml:space="preserve">DESTINE</t>
  </si>
  <si>
    <t xml:space="preserve">1995-01-20</t>
  </si>
  <si>
    <t xml:space="preserve">2018-12-18</t>
  </si>
  <si>
    <t xml:space="preserve">2201 SHALOM AVE NW</t>
  </si>
  <si>
    <t xml:space="preserve">OH0026000742</t>
  </si>
  <si>
    <t xml:space="preserve">FLENOURY</t>
  </si>
  <si>
    <t xml:space="preserve">EMARION</t>
  </si>
  <si>
    <t xml:space="preserve">I M</t>
  </si>
  <si>
    <t xml:space="preserve">2220 SHALOM AVE NW</t>
  </si>
  <si>
    <t xml:space="preserve">OH0025752363</t>
  </si>
  <si>
    <t xml:space="preserve">JONNEA</t>
  </si>
  <si>
    <t xml:space="preserve">OH0021997706</t>
  </si>
  <si>
    <t xml:space="preserve">TATYANNA</t>
  </si>
  <si>
    <t xml:space="preserve">OH0027176728</t>
  </si>
  <si>
    <t xml:space="preserve">ARAMIS</t>
  </si>
  <si>
    <t xml:space="preserve">RAPHAEL</t>
  </si>
  <si>
    <t xml:space="preserve">1981-06-15</t>
  </si>
  <si>
    <t xml:space="preserve">OH0025103980</t>
  </si>
  <si>
    <t xml:space="preserve">EDMONDS</t>
  </si>
  <si>
    <t xml:space="preserve">RIEGHN</t>
  </si>
  <si>
    <t xml:space="preserve">JAE</t>
  </si>
  <si>
    <t xml:space="preserve">2000-09-07</t>
  </si>
  <si>
    <t xml:space="preserve">OH0024333875</t>
  </si>
  <si>
    <t xml:space="preserve">SABRINA</t>
  </si>
  <si>
    <t xml:space="preserve">1997-11-08</t>
  </si>
  <si>
    <t xml:space="preserve">OH0019873172</t>
  </si>
  <si>
    <t xml:space="preserve">YASHECA</t>
  </si>
  <si>
    <t xml:space="preserve">CHARAE</t>
  </si>
  <si>
    <t xml:space="preserve">1977-05-15</t>
  </si>
  <si>
    <t xml:space="preserve">2008-07-28</t>
  </si>
  <si>
    <t xml:space="preserve">OH0015823212</t>
  </si>
  <si>
    <t xml:space="preserve">LIGHTNING</t>
  </si>
  <si>
    <t xml:space="preserve">TANISHA</t>
  </si>
  <si>
    <t xml:space="preserve">Q</t>
  </si>
  <si>
    <t xml:space="preserve">1979-04-10</t>
  </si>
  <si>
    <t xml:space="preserve">2025-03-10</t>
  </si>
  <si>
    <t xml:space="preserve">2221 SHALOM AVE NW</t>
  </si>
  <si>
    <t xml:space="preserve">OH0027512922</t>
  </si>
  <si>
    <t xml:space="preserve">MCCRAY</t>
  </si>
  <si>
    <t xml:space="preserve">KIANA</t>
  </si>
  <si>
    <t xml:space="preserve">CM</t>
  </si>
  <si>
    <t xml:space="preserve">1996-03-18</t>
  </si>
  <si>
    <t xml:space="preserve">OH0025720445</t>
  </si>
  <si>
    <t xml:space="preserve">KRAUSE</t>
  </si>
  <si>
    <t xml:space="preserve">1985-07-03</t>
  </si>
  <si>
    <t xml:space="preserve">2023-07-03</t>
  </si>
  <si>
    <t xml:space="preserve">2223 SHALOM AVE NW</t>
  </si>
  <si>
    <t xml:space="preserve">OH0023187420</t>
  </si>
  <si>
    <t xml:space="preserve">PARYS</t>
  </si>
  <si>
    <t xml:space="preserve">1996-05-23</t>
  </si>
  <si>
    <t xml:space="preserve">2225 SHALOM AVE NW</t>
  </si>
  <si>
    <t xml:space="preserve">OH0024444190</t>
  </si>
  <si>
    <t xml:space="preserve">DAY</t>
  </si>
  <si>
    <t xml:space="preserve">SKYLER</t>
  </si>
  <si>
    <t xml:space="preserve">1998-12-30</t>
  </si>
  <si>
    <t xml:space="preserve">2241 SHALOM AVE NW</t>
  </si>
  <si>
    <t xml:space="preserve">OH0015686874</t>
  </si>
  <si>
    <t xml:space="preserve">LACEY</t>
  </si>
  <si>
    <t xml:space="preserve">1971-11-22</t>
  </si>
  <si>
    <t xml:space="preserve">2243 SHALOM AVE NW</t>
  </si>
  <si>
    <t xml:space="preserve">OH0024170036</t>
  </si>
  <si>
    <t xml:space="preserve">BRUNSWICK</t>
  </si>
  <si>
    <t xml:space="preserve">1989-12-13</t>
  </si>
  <si>
    <t xml:space="preserve">1415 SHERIDAN AVE NE</t>
  </si>
  <si>
    <t xml:space="preserve">UNIT 1415</t>
  </si>
  <si>
    <t xml:space="preserve">OH0027541114</t>
  </si>
  <si>
    <t xml:space="preserve">DUNNE</t>
  </si>
  <si>
    <t xml:space="preserve">1995-03-25</t>
  </si>
  <si>
    <t xml:space="preserve">OH0026375177</t>
  </si>
  <si>
    <t xml:space="preserve">MORROW</t>
  </si>
  <si>
    <t xml:space="preserve">1986-12-25</t>
  </si>
  <si>
    <t xml:space="preserve">1423 SHERIDAN AVE NE</t>
  </si>
  <si>
    <t xml:space="preserve">OH0020902019</t>
  </si>
  <si>
    <t xml:space="preserve">CHARLENE</t>
  </si>
  <si>
    <t xml:space="preserve">MEGEN</t>
  </si>
  <si>
    <t xml:space="preserve">1976-10-09</t>
  </si>
  <si>
    <t xml:space="preserve">OH0026763900</t>
  </si>
  <si>
    <t xml:space="preserve">KALEIL</t>
  </si>
  <si>
    <t xml:space="preserve">2004-08-02</t>
  </si>
  <si>
    <t xml:space="preserve">2022-10-17</t>
  </si>
  <si>
    <t xml:space="preserve">1444 SHERIDAN AVE NE</t>
  </si>
  <si>
    <t xml:space="preserve">OH0026063074</t>
  </si>
  <si>
    <t xml:space="preserve">TIAJUANA</t>
  </si>
  <si>
    <t xml:space="preserve">1981-11-01</t>
  </si>
  <si>
    <t xml:space="preserve">OH0027510247</t>
  </si>
  <si>
    <t xml:space="preserve">MOSLEY</t>
  </si>
  <si>
    <t xml:space="preserve">TERENCE</t>
  </si>
  <si>
    <t xml:space="preserve">1970-10-12</t>
  </si>
  <si>
    <t xml:space="preserve">2024-08-15</t>
  </si>
  <si>
    <t xml:space="preserve">1463 SHERIDAN AVE NE</t>
  </si>
  <si>
    <t xml:space="preserve">OH0015699393</t>
  </si>
  <si>
    <t xml:space="preserve">MEEKER EMERSON</t>
  </si>
  <si>
    <t xml:space="preserve">1947-02-20</t>
  </si>
  <si>
    <t xml:space="preserve">1983-07-01</t>
  </si>
  <si>
    <t xml:space="preserve">1464 SHERIDAN AVE NE</t>
  </si>
  <si>
    <t xml:space="preserve">OH0026222502</t>
  </si>
  <si>
    <t xml:space="preserve">ABBY</t>
  </si>
  <si>
    <t xml:space="preserve">2002-02-04</t>
  </si>
  <si>
    <t xml:space="preserve">1473 SHERIDAN AVE NE</t>
  </si>
  <si>
    <t xml:space="preserve">OH0023679692</t>
  </si>
  <si>
    <t xml:space="preserve">1978-11-03</t>
  </si>
  <si>
    <t xml:space="preserve">2018-02-28</t>
  </si>
  <si>
    <t xml:space="preserve">1474 SHERIDAN AVE NE</t>
  </si>
  <si>
    <t xml:space="preserve">OH0024169959</t>
  </si>
  <si>
    <t xml:space="preserve">MOSKOS</t>
  </si>
  <si>
    <t xml:space="preserve">LAMBROS</t>
  </si>
  <si>
    <t xml:space="preserve">1975-07-21</t>
  </si>
  <si>
    <t xml:space="preserve">1504 SHERIDAN AVE NE</t>
  </si>
  <si>
    <t xml:space="preserve">OH0015707610</t>
  </si>
  <si>
    <t xml:space="preserve">KAYE</t>
  </si>
  <si>
    <t xml:space="preserve">1966-06-01</t>
  </si>
  <si>
    <t xml:space="preserve">1513 SHERIDAN AVE NE</t>
  </si>
  <si>
    <t xml:space="preserve">OH0023248659</t>
  </si>
  <si>
    <t xml:space="preserve">1996-01-16</t>
  </si>
  <si>
    <t xml:space="preserve">2017-01-09</t>
  </si>
  <si>
    <t xml:space="preserve">OH0022708770</t>
  </si>
  <si>
    <t xml:space="preserve">ARIS</t>
  </si>
  <si>
    <t xml:space="preserve">1996-05-24</t>
  </si>
  <si>
    <t xml:space="preserve">1514 SHERIDAN AVE NE</t>
  </si>
  <si>
    <t xml:space="preserve">OH0027620340</t>
  </si>
  <si>
    <t xml:space="preserve">DAWES</t>
  </si>
  <si>
    <t xml:space="preserve">ALESSIA</t>
  </si>
  <si>
    <t xml:space="preserve">EVELYN</t>
  </si>
  <si>
    <t xml:space="preserve">1978-07-17</t>
  </si>
  <si>
    <t xml:space="preserve">OH0024777653</t>
  </si>
  <si>
    <t xml:space="preserve">GLASPELL</t>
  </si>
  <si>
    <t xml:space="preserve">1962-02-06</t>
  </si>
  <si>
    <t xml:space="preserve">2018-09-13</t>
  </si>
  <si>
    <t xml:space="preserve">1523 SHERIDAN AVE NE</t>
  </si>
  <si>
    <t xml:space="preserve">OH0015702628</t>
  </si>
  <si>
    <t xml:space="preserve">1962-08-12</t>
  </si>
  <si>
    <t xml:space="preserve">1984-01-13</t>
  </si>
  <si>
    <t xml:space="preserve">OH0015818337</t>
  </si>
  <si>
    <t xml:space="preserve">1978-01-20</t>
  </si>
  <si>
    <t xml:space="preserve">OH0015729258</t>
  </si>
  <si>
    <t xml:space="preserve">BLACKSHERE</t>
  </si>
  <si>
    <t xml:space="preserve">1970-09-22</t>
  </si>
  <si>
    <t xml:space="preserve">2011-06-21</t>
  </si>
  <si>
    <t xml:space="preserve">1524 SHERIDAN AVE NE</t>
  </si>
  <si>
    <t xml:space="preserve">OH0020289623</t>
  </si>
  <si>
    <t xml:space="preserve">GILPIN</t>
  </si>
  <si>
    <t xml:space="preserve">1533 SHERIDAN AVE NE</t>
  </si>
  <si>
    <t xml:space="preserve">OH0015737630</t>
  </si>
  <si>
    <t xml:space="preserve">1973-07-28</t>
  </si>
  <si>
    <t xml:space="preserve">OH0024662704</t>
  </si>
  <si>
    <t xml:space="preserve">1989-03-08</t>
  </si>
  <si>
    <t xml:space="preserve">1534 SHERIDAN AVE NE</t>
  </si>
  <si>
    <t xml:space="preserve">OH0025536874</t>
  </si>
  <si>
    <t xml:space="preserve">OH0015778635</t>
  </si>
  <si>
    <t xml:space="preserve">GAVITT</t>
  </si>
  <si>
    <t xml:space="preserve">VIOLET</t>
  </si>
  <si>
    <t xml:space="preserve">1945-04-21</t>
  </si>
  <si>
    <t xml:space="preserve">1972-09-20</t>
  </si>
  <si>
    <t xml:space="preserve">1544 SHERIDAN AVE NE</t>
  </si>
  <si>
    <t xml:space="preserve">OH0015778621</t>
  </si>
  <si>
    <t xml:space="preserve">1943-09-16</t>
  </si>
  <si>
    <t xml:space="preserve">1972-09-14</t>
  </si>
  <si>
    <t xml:space="preserve">OH0023223056</t>
  </si>
  <si>
    <t xml:space="preserve">FERTIG</t>
  </si>
  <si>
    <t xml:space="preserve">BRANDIE</t>
  </si>
  <si>
    <t xml:space="preserve">2015-07-28</t>
  </si>
  <si>
    <t xml:space="preserve">1545 SHERIDAN AVE NE</t>
  </si>
  <si>
    <t xml:space="preserve">OH0019772787</t>
  </si>
  <si>
    <t xml:space="preserve">EDMISTON FERTIG</t>
  </si>
  <si>
    <t xml:space="preserve">1973-11-18</t>
  </si>
  <si>
    <t xml:space="preserve">2017-11-06</t>
  </si>
  <si>
    <t xml:space="preserve">OH0015730510</t>
  </si>
  <si>
    <t xml:space="preserve">RUCKMAN</t>
  </si>
  <si>
    <t xml:space="preserve">1948-05-17</t>
  </si>
  <si>
    <t xml:space="preserve">1553 SHERIDAN AVE NE</t>
  </si>
  <si>
    <t xml:space="preserve">OH0015726814</t>
  </si>
  <si>
    <t xml:space="preserve">1951-05-17</t>
  </si>
  <si>
    <t xml:space="preserve">OH0021132897</t>
  </si>
  <si>
    <t xml:space="preserve">1977-03-29</t>
  </si>
  <si>
    <t xml:space="preserve">2024-04-27</t>
  </si>
  <si>
    <t xml:space="preserve">OH0025638901</t>
  </si>
  <si>
    <t xml:space="preserve">CERNY</t>
  </si>
  <si>
    <t xml:space="preserve">1974-08-21</t>
  </si>
  <si>
    <t xml:space="preserve">2020-07-19</t>
  </si>
  <si>
    <t xml:space="preserve">1554 SHERIDAN AVE NE</t>
  </si>
  <si>
    <t xml:space="preserve">OH0015776169</t>
  </si>
  <si>
    <t xml:space="preserve">MACHINGO SWANK</t>
  </si>
  <si>
    <t xml:space="preserve">1978-01-13</t>
  </si>
  <si>
    <t xml:space="preserve">2023-02-09</t>
  </si>
  <si>
    <t xml:space="preserve">1563 SHERIDAN AVE NE</t>
  </si>
  <si>
    <t xml:space="preserve">OH0023852240</t>
  </si>
  <si>
    <t xml:space="preserve">TOBOZ</t>
  </si>
  <si>
    <t xml:space="preserve">1997-02-18</t>
  </si>
  <si>
    <t xml:space="preserve">1564 SHERIDAN AVE NE</t>
  </si>
  <si>
    <t xml:space="preserve">OH0015765184</t>
  </si>
  <si>
    <t xml:space="preserve">BARRETT</t>
  </si>
  <si>
    <t xml:space="preserve">1976-03-04</t>
  </si>
  <si>
    <t xml:space="preserve">OH0025536911</t>
  </si>
  <si>
    <t xml:space="preserve">WALLACE</t>
  </si>
  <si>
    <t xml:space="preserve">2020-04-29</t>
  </si>
  <si>
    <t xml:space="preserve">1574 SHERIDAN AVE NE</t>
  </si>
  <si>
    <t xml:space="preserve">OH0024175561</t>
  </si>
  <si>
    <t xml:space="preserve">GARNET</t>
  </si>
  <si>
    <t xml:space="preserve">1983-04-01</t>
  </si>
  <si>
    <t xml:space="preserve">1583 SHERIDAN AVE NE</t>
  </si>
  <si>
    <t xml:space="preserve">OH0024289534</t>
  </si>
  <si>
    <t xml:space="preserve">RUBICZ</t>
  </si>
  <si>
    <t xml:space="preserve">1949-11-20</t>
  </si>
  <si>
    <t xml:space="preserve">1594 SHERIDAN AVE NE</t>
  </si>
  <si>
    <t xml:space="preserve">OH0027199689</t>
  </si>
  <si>
    <t xml:space="preserve">CENNAME</t>
  </si>
  <si>
    <t xml:space="preserve">1995-12-29</t>
  </si>
  <si>
    <t xml:space="preserve">1595 SHERIDAN AVE NE</t>
  </si>
  <si>
    <t xml:space="preserve">OH0022635422</t>
  </si>
  <si>
    <t xml:space="preserve">1995-08-26</t>
  </si>
  <si>
    <t xml:space="preserve">OH0015699459</t>
  </si>
  <si>
    <t xml:space="preserve">SEAGRAVES</t>
  </si>
  <si>
    <t xml:space="preserve">1947-09-17</t>
  </si>
  <si>
    <t xml:space="preserve">1983-05-10</t>
  </si>
  <si>
    <t xml:space="preserve">1604 SHERIDAN AVE NE</t>
  </si>
  <si>
    <t xml:space="preserve">OH0021150125</t>
  </si>
  <si>
    <t xml:space="preserve">OH0015761948</t>
  </si>
  <si>
    <t xml:space="preserve">LECLOUX</t>
  </si>
  <si>
    <t xml:space="preserve">TANA</t>
  </si>
  <si>
    <t xml:space="preserve">1974-03-12</t>
  </si>
  <si>
    <t xml:space="preserve">1993-04-06</t>
  </si>
  <si>
    <t xml:space="preserve">1605 SHERIDAN AVE NE</t>
  </si>
  <si>
    <t xml:space="preserve">OH0015821542</t>
  </si>
  <si>
    <t xml:space="preserve">1974-04-13</t>
  </si>
  <si>
    <t xml:space="preserve">1997-10-03</t>
  </si>
  <si>
    <t xml:space="preserve">OH0015754142</t>
  </si>
  <si>
    <t xml:space="preserve">1972-04-28</t>
  </si>
  <si>
    <t xml:space="preserve">1614 SHERIDAN AVE NE</t>
  </si>
  <si>
    <t xml:space="preserve">OH0015795300</t>
  </si>
  <si>
    <t xml:space="preserve">1968-12-05</t>
  </si>
  <si>
    <t xml:space="preserve">1615 SHERIDAN AVE NE</t>
  </si>
  <si>
    <t xml:space="preserve">OH0025372147</t>
  </si>
  <si>
    <t xml:space="preserve">IVAR</t>
  </si>
  <si>
    <t xml:space="preserve">1944-11-29</t>
  </si>
  <si>
    <t xml:space="preserve">1625 SHERIDAN AVE NE</t>
  </si>
  <si>
    <t xml:space="preserve">OH0015749964</t>
  </si>
  <si>
    <t xml:space="preserve">PAXOS</t>
  </si>
  <si>
    <t xml:space="preserve">EYDOKIA</t>
  </si>
  <si>
    <t xml:space="preserve">1977-03-01</t>
  </si>
  <si>
    <t xml:space="preserve">2012-10-05</t>
  </si>
  <si>
    <t xml:space="preserve">1634 SHERIDAN AVE NE</t>
  </si>
  <si>
    <t xml:space="preserve">OH0022150452</t>
  </si>
  <si>
    <t xml:space="preserve">MCGHEE</t>
  </si>
  <si>
    <t xml:space="preserve">DANYO</t>
  </si>
  <si>
    <t xml:space="preserve">1994-01-12</t>
  </si>
  <si>
    <t xml:space="preserve">OH0025264253</t>
  </si>
  <si>
    <t xml:space="preserve">2001-02-13</t>
  </si>
  <si>
    <t xml:space="preserve">OH0021494768</t>
  </si>
  <si>
    <t xml:space="preserve">LANISHA</t>
  </si>
  <si>
    <t xml:space="preserve">1978-09-06</t>
  </si>
  <si>
    <t xml:space="preserve">1635 SHERIDAN AVE NE</t>
  </si>
  <si>
    <t xml:space="preserve">OH0027519605</t>
  </si>
  <si>
    <t xml:space="preserve">2003-07-04</t>
  </si>
  <si>
    <t xml:space="preserve">OH0018899507</t>
  </si>
  <si>
    <t xml:space="preserve">TIANA</t>
  </si>
  <si>
    <t xml:space="preserve">1985-08-31</t>
  </si>
  <si>
    <t xml:space="preserve">OH0021751761</t>
  </si>
  <si>
    <t xml:space="preserve">KIRKLAND</t>
  </si>
  <si>
    <t xml:space="preserve">LATRICE</t>
  </si>
  <si>
    <t xml:space="preserve">LASHAY</t>
  </si>
  <si>
    <t xml:space="preserve">1994-01-13</t>
  </si>
  <si>
    <t xml:space="preserve">2015-01-13</t>
  </si>
  <si>
    <t xml:space="preserve">1704 SHERIDAN AVE NE</t>
  </si>
  <si>
    <t xml:space="preserve">OH0027025522</t>
  </si>
  <si>
    <t xml:space="preserve">L M</t>
  </si>
  <si>
    <t xml:space="preserve">2003-05-08</t>
  </si>
  <si>
    <t xml:space="preserve">OH0015775752</t>
  </si>
  <si>
    <t xml:space="preserve">1944-04-04</t>
  </si>
  <si>
    <t xml:space="preserve">1707 SHERIDAN AVE NE</t>
  </si>
  <si>
    <t xml:space="preserve">OH0015678446</t>
  </si>
  <si>
    <t xml:space="preserve">1963-02-05</t>
  </si>
  <si>
    <t xml:space="preserve">2018-12-14</t>
  </si>
  <si>
    <t xml:space="preserve">OH0024781772</t>
  </si>
  <si>
    <t xml:space="preserve">ALICE</t>
  </si>
  <si>
    <t xml:space="preserve">1985-05-14</t>
  </si>
  <si>
    <t xml:space="preserve">1715 SHERIDAN AVE NE</t>
  </si>
  <si>
    <t xml:space="preserve">OH0024781695</t>
  </si>
  <si>
    <t xml:space="preserve">1985-03-23</t>
  </si>
  <si>
    <t xml:space="preserve">OH0015711506</t>
  </si>
  <si>
    <t xml:space="preserve">MELEXENIS</t>
  </si>
  <si>
    <t xml:space="preserve">1948-06-08</t>
  </si>
  <si>
    <t xml:space="preserve">1736 SHERIDAN AVE NE</t>
  </si>
  <si>
    <t xml:space="preserve">OH0015762750</t>
  </si>
  <si>
    <t xml:space="preserve">YAGER</t>
  </si>
  <si>
    <t xml:space="preserve">OLIVIA</t>
  </si>
  <si>
    <t xml:space="preserve">1983-09-19</t>
  </si>
  <si>
    <t xml:space="preserve">2015-08-31</t>
  </si>
  <si>
    <t xml:space="preserve">1737 SHERIDAN AVE NE</t>
  </si>
  <si>
    <t xml:space="preserve">OH0021362485</t>
  </si>
  <si>
    <t xml:space="preserve">FLEEGER</t>
  </si>
  <si>
    <t xml:space="preserve">1992-05-28</t>
  </si>
  <si>
    <t xml:space="preserve">1746 SHERIDAN AVE NE</t>
  </si>
  <si>
    <t xml:space="preserve">OH0015704393</t>
  </si>
  <si>
    <t xml:space="preserve">YOUNGBLOOD</t>
  </si>
  <si>
    <t xml:space="preserve">1966-11-02</t>
  </si>
  <si>
    <t xml:space="preserve">2024-02-16</t>
  </si>
  <si>
    <t xml:space="preserve">1747 SHERIDAN AVE NE</t>
  </si>
  <si>
    <t xml:space="preserve">OH0024093879</t>
  </si>
  <si>
    <t xml:space="preserve">GAVIN</t>
  </si>
  <si>
    <t xml:space="preserve">1998-07-27</t>
  </si>
  <si>
    <t xml:space="preserve">2016-10-01</t>
  </si>
  <si>
    <t xml:space="preserve">OH0015883442</t>
  </si>
  <si>
    <t xml:space="preserve">1952-01-30</t>
  </si>
  <si>
    <t xml:space="preserve">2022-03-19</t>
  </si>
  <si>
    <t xml:space="preserve">1756 SHERIDAN AVE NE</t>
  </si>
  <si>
    <t xml:space="preserve">OH0027551380</t>
  </si>
  <si>
    <t xml:space="preserve">1970-04-11</t>
  </si>
  <si>
    <t xml:space="preserve">OH0021295338</t>
  </si>
  <si>
    <t xml:space="preserve">1990-12-25</t>
  </si>
  <si>
    <t xml:space="preserve">OH0027182697</t>
  </si>
  <si>
    <t xml:space="preserve">1975-05-20</t>
  </si>
  <si>
    <t xml:space="preserve">OH0015792797</t>
  </si>
  <si>
    <t xml:space="preserve">DANOVA</t>
  </si>
  <si>
    <t xml:space="preserve">1968-12-10</t>
  </si>
  <si>
    <t xml:space="preserve">OH0024187415</t>
  </si>
  <si>
    <t xml:space="preserve">SAYERS</t>
  </si>
  <si>
    <t xml:space="preserve">2016-11-04</t>
  </si>
  <si>
    <t xml:space="preserve">1757 SHERIDAN AVE NE</t>
  </si>
  <si>
    <t xml:space="preserve">OH0015732909</t>
  </si>
  <si>
    <t xml:space="preserve">1972-08-30</t>
  </si>
  <si>
    <t xml:space="preserve">2007-09-23</t>
  </si>
  <si>
    <t xml:space="preserve">1766 SHERIDAN AVE NE</t>
  </si>
  <si>
    <t xml:space="preserve">OH0015747189</t>
  </si>
  <si>
    <t xml:space="preserve">SHELLEE</t>
  </si>
  <si>
    <t xml:space="preserve">1977-04-29</t>
  </si>
  <si>
    <t xml:space="preserve">OH0023819601</t>
  </si>
  <si>
    <t xml:space="preserve">JAY</t>
  </si>
  <si>
    <t xml:space="preserve">1994-07-14</t>
  </si>
  <si>
    <t xml:space="preserve">2016-08-01</t>
  </si>
  <si>
    <t xml:space="preserve">OH0027332695</t>
  </si>
  <si>
    <t xml:space="preserve">ORTIZ</t>
  </si>
  <si>
    <t xml:space="preserve">IVETTE</t>
  </si>
  <si>
    <t xml:space="preserve">ANN MARIE</t>
  </si>
  <si>
    <t xml:space="preserve">2001-02-05</t>
  </si>
  <si>
    <t xml:space="preserve">2024-05-03</t>
  </si>
  <si>
    <t xml:space="preserve">1767 SHERIDAN AVE NE</t>
  </si>
  <si>
    <t xml:space="preserve">OH0025891293</t>
  </si>
  <si>
    <t xml:space="preserve">NECOAL</t>
  </si>
  <si>
    <t xml:space="preserve">1980-09-19</t>
  </si>
  <si>
    <t xml:space="preserve">OH0027928230</t>
  </si>
  <si>
    <t xml:space="preserve">NICHOL</t>
  </si>
  <si>
    <t xml:space="preserve">2001-12-14</t>
  </si>
  <si>
    <t xml:space="preserve">2025-04-01</t>
  </si>
  <si>
    <t xml:space="preserve">OH0018715832</t>
  </si>
  <si>
    <t xml:space="preserve">MONET</t>
  </si>
  <si>
    <t xml:space="preserve">1987-10-04</t>
  </si>
  <si>
    <t xml:space="preserve">1776 SHERIDAN AVE NE</t>
  </si>
  <si>
    <t xml:space="preserve">OH0026372917</t>
  </si>
  <si>
    <t xml:space="preserve">1988-01-28</t>
  </si>
  <si>
    <t xml:space="preserve">1777 SHERIDAN AVE NE</t>
  </si>
  <si>
    <t xml:space="preserve">OH0015703073</t>
  </si>
  <si>
    <t xml:space="preserve">1941-10-08</t>
  </si>
  <si>
    <t xml:space="preserve">1786 SHERIDAN AVE NE</t>
  </si>
  <si>
    <t xml:space="preserve">OH0021212202</t>
  </si>
  <si>
    <t xml:space="preserve">PURDY</t>
  </si>
  <si>
    <t xml:space="preserve">1966-10-06</t>
  </si>
  <si>
    <t xml:space="preserve">2014-09-26</t>
  </si>
  <si>
    <t xml:space="preserve">1796 SHERIDAN AVE NE</t>
  </si>
  <si>
    <t xml:space="preserve">OH0015782308</t>
  </si>
  <si>
    <t xml:space="preserve">CREAN</t>
  </si>
  <si>
    <t xml:space="preserve">1982-05-14</t>
  </si>
  <si>
    <t xml:space="preserve">1797 SHERIDAN AVE NE</t>
  </si>
  <si>
    <t xml:space="preserve">OH0024551992</t>
  </si>
  <si>
    <t xml:space="preserve">1977-03-16</t>
  </si>
  <si>
    <t xml:space="preserve">2018-03-19</t>
  </si>
  <si>
    <t xml:space="preserve">OH0022738451</t>
  </si>
  <si>
    <t xml:space="preserve">FERCANA</t>
  </si>
  <si>
    <t xml:space="preserve">1995-11-20</t>
  </si>
  <si>
    <t xml:space="preserve">2020-06-05</t>
  </si>
  <si>
    <t xml:space="preserve">1806 SHERIDAN AVE NE</t>
  </si>
  <si>
    <t xml:space="preserve">OH0015799597</t>
  </si>
  <si>
    <t xml:space="preserve">1953-06-14</t>
  </si>
  <si>
    <t xml:space="preserve">1807 SHERIDAN AVE NE</t>
  </si>
  <si>
    <t xml:space="preserve">OH0027700608</t>
  </si>
  <si>
    <t xml:space="preserve">GALLAGHER</t>
  </si>
  <si>
    <t xml:space="preserve">1991-11-28</t>
  </si>
  <si>
    <t xml:space="preserve">1816 SHERIDAN AVE NE</t>
  </si>
  <si>
    <t xml:space="preserve">OH0018670524</t>
  </si>
  <si>
    <t xml:space="preserve">HESS</t>
  </si>
  <si>
    <t xml:space="preserve">1975-09-12</t>
  </si>
  <si>
    <t xml:space="preserve">2017-11-02</t>
  </si>
  <si>
    <t xml:space="preserve">OH0025938912</t>
  </si>
  <si>
    <t xml:space="preserve">HARDING</t>
  </si>
  <si>
    <t xml:space="preserve">1989-05-02</t>
  </si>
  <si>
    <t xml:space="preserve">1817 SHERIDAN AVE NE</t>
  </si>
  <si>
    <t xml:space="preserve">OH0022221817</t>
  </si>
  <si>
    <t xml:space="preserve">YALE</t>
  </si>
  <si>
    <t xml:space="preserve">1992-01-03</t>
  </si>
  <si>
    <t xml:space="preserve">2024-07-06</t>
  </si>
  <si>
    <t xml:space="preserve">1826 SHERIDAN AVE NE</t>
  </si>
  <si>
    <t xml:space="preserve">OH0026082561</t>
  </si>
  <si>
    <t xml:space="preserve">2020-10-22</t>
  </si>
  <si>
    <t xml:space="preserve">OH0015811661</t>
  </si>
  <si>
    <t xml:space="preserve">BOGGS</t>
  </si>
  <si>
    <t xml:space="preserve">1827 SHERIDAN AVE NE</t>
  </si>
  <si>
    <t xml:space="preserve">OH0023634269</t>
  </si>
  <si>
    <t xml:space="preserve">1995-03-28</t>
  </si>
  <si>
    <t xml:space="preserve">OH0015775817</t>
  </si>
  <si>
    <t xml:space="preserve">DAILEY</t>
  </si>
  <si>
    <t xml:space="preserve">1943-08-19</t>
  </si>
  <si>
    <t xml:space="preserve">1976-02-23</t>
  </si>
  <si>
    <t xml:space="preserve">1836 SHERIDAN AVE NE</t>
  </si>
  <si>
    <t xml:space="preserve">OH0015935037</t>
  </si>
  <si>
    <t xml:space="preserve">THORPE</t>
  </si>
  <si>
    <t xml:space="preserve">1959-10-28</t>
  </si>
  <si>
    <t xml:space="preserve">1837 SHERIDAN AVE NE</t>
  </si>
  <si>
    <t xml:space="preserve">OH0015714765</t>
  </si>
  <si>
    <t xml:space="preserve">1956-10-25</t>
  </si>
  <si>
    <t xml:space="preserve">1846 SHERIDAN AVE NE</t>
  </si>
  <si>
    <t xml:space="preserve">OH0024370648</t>
  </si>
  <si>
    <t xml:space="preserve">KNAPTON</t>
  </si>
  <si>
    <t xml:space="preserve">1960-06-20</t>
  </si>
  <si>
    <t xml:space="preserve">2017-08-30</t>
  </si>
  <si>
    <t xml:space="preserve">1847 SHERIDAN AVE NE</t>
  </si>
  <si>
    <t xml:space="preserve">OH0024370653</t>
  </si>
  <si>
    <t xml:space="preserve">STILES</t>
  </si>
  <si>
    <t xml:space="preserve">DIAN</t>
  </si>
  <si>
    <t xml:space="preserve">1954-08-30</t>
  </si>
  <si>
    <t xml:space="preserve">OH0015796051</t>
  </si>
  <si>
    <t xml:space="preserve">HARSH</t>
  </si>
  <si>
    <t xml:space="preserve">LEE ANN</t>
  </si>
  <si>
    <t xml:space="preserve">1981-10-27</t>
  </si>
  <si>
    <t xml:space="preserve">1856 SHERIDAN AVE NE</t>
  </si>
  <si>
    <t xml:space="preserve">OH0024700907</t>
  </si>
  <si>
    <t xml:space="preserve">1988-07-24</t>
  </si>
  <si>
    <t xml:space="preserve">2018-07-31</t>
  </si>
  <si>
    <t xml:space="preserve">1866 SHERIDAN AVE NE</t>
  </si>
  <si>
    <t xml:space="preserve">OH0015780219</t>
  </si>
  <si>
    <t xml:space="preserve">GRAVINK</t>
  </si>
  <si>
    <t xml:space="preserve">1984-02-12</t>
  </si>
  <si>
    <t xml:space="preserve">OH0019678216</t>
  </si>
  <si>
    <t xml:space="preserve">1964-02-11</t>
  </si>
  <si>
    <t xml:space="preserve">2008-07-13</t>
  </si>
  <si>
    <t xml:space="preserve">1867 SHERIDAN AVE NE</t>
  </si>
  <si>
    <t xml:space="preserve">OH0015715881</t>
  </si>
  <si>
    <t xml:space="preserve">WILDMAN</t>
  </si>
  <si>
    <t xml:space="preserve">OH0015721664</t>
  </si>
  <si>
    <t xml:space="preserve">THOMPKINS</t>
  </si>
  <si>
    <t xml:space="preserve">1986-10-31</t>
  </si>
  <si>
    <t xml:space="preserve">2012-09-17</t>
  </si>
  <si>
    <t xml:space="preserve">1876 SHERIDAN AVE NE</t>
  </si>
  <si>
    <t xml:space="preserve">OH0025152408</t>
  </si>
  <si>
    <t xml:space="preserve">2019-07-16</t>
  </si>
  <si>
    <t xml:space="preserve">OH0025212382</t>
  </si>
  <si>
    <t xml:space="preserve">1877 SHERIDAN AVE NE</t>
  </si>
  <si>
    <t xml:space="preserve">OH0025235690</t>
  </si>
  <si>
    <t xml:space="preserve">PIRIVATRIC</t>
  </si>
  <si>
    <t xml:space="preserve">DARKO</t>
  </si>
  <si>
    <t xml:space="preserve">1990-10-12</t>
  </si>
  <si>
    <t xml:space="preserve">2019-09-17</t>
  </si>
  <si>
    <t xml:space="preserve">OH0015739293</t>
  </si>
  <si>
    <t xml:space="preserve">HERNON</t>
  </si>
  <si>
    <t xml:space="preserve">1963-07-23</t>
  </si>
  <si>
    <t xml:space="preserve">2011-11-08</t>
  </si>
  <si>
    <t xml:space="preserve">1887 SHERIDAN AVE NE</t>
  </si>
  <si>
    <t xml:space="preserve">OH0021886215</t>
  </si>
  <si>
    <t xml:space="preserve">ASKERNEESE</t>
  </si>
  <si>
    <t xml:space="preserve">CAMILLE</t>
  </si>
  <si>
    <t xml:space="preserve">1969-03-18</t>
  </si>
  <si>
    <t xml:space="preserve">1915 SHERIDAN AVE NE</t>
  </si>
  <si>
    <t xml:space="preserve">OH0022214529</t>
  </si>
  <si>
    <t xml:space="preserve">1962-06-28</t>
  </si>
  <si>
    <t xml:space="preserve">2016-12-05</t>
  </si>
  <si>
    <t xml:space="preserve">OH0024943256</t>
  </si>
  <si>
    <t xml:space="preserve">SPEAR</t>
  </si>
  <si>
    <t xml:space="preserve">1955-04-26</t>
  </si>
  <si>
    <t xml:space="preserve">2023-07-17</t>
  </si>
  <si>
    <t xml:space="preserve">1916 SHERIDAN AVE NE</t>
  </si>
  <si>
    <t xml:space="preserve">OH0023795085</t>
  </si>
  <si>
    <t xml:space="preserve">1955-12-10</t>
  </si>
  <si>
    <t xml:space="preserve">2023-07-19</t>
  </si>
  <si>
    <t xml:space="preserve">OH0023153460</t>
  </si>
  <si>
    <t xml:space="preserve">MAYBOU</t>
  </si>
  <si>
    <t xml:space="preserve">IVEY</t>
  </si>
  <si>
    <t xml:space="preserve">1969-06-19</t>
  </si>
  <si>
    <t xml:space="preserve">1925 SHERIDAN AVE NE</t>
  </si>
  <si>
    <t xml:space="preserve">OH0015780132</t>
  </si>
  <si>
    <t xml:space="preserve">1942-08-14</t>
  </si>
  <si>
    <t xml:space="preserve">OH0025824692</t>
  </si>
  <si>
    <t xml:space="preserve">GIDEON</t>
  </si>
  <si>
    <t xml:space="preserve">1946-10-15</t>
  </si>
  <si>
    <t xml:space="preserve">2020-09-24</t>
  </si>
  <si>
    <t xml:space="preserve">1935 SHERIDAN AVE NE</t>
  </si>
  <si>
    <t xml:space="preserve">OH0026191642</t>
  </si>
  <si>
    <t xml:space="preserve">1954-05-14</t>
  </si>
  <si>
    <t xml:space="preserve">2021-05-13</t>
  </si>
  <si>
    <t xml:space="preserve">1945 SHERIDAN AVE NE</t>
  </si>
  <si>
    <t xml:space="preserve">OH0027879667</t>
  </si>
  <si>
    <t xml:space="preserve">KENNEDI</t>
  </si>
  <si>
    <t xml:space="preserve">2004-01-15</t>
  </si>
  <si>
    <t xml:space="preserve">2025-01-15</t>
  </si>
  <si>
    <t xml:space="preserve">OH0015705804</t>
  </si>
  <si>
    <t xml:space="preserve">COSTANTINO</t>
  </si>
  <si>
    <t xml:space="preserve">1966-06-07</t>
  </si>
  <si>
    <t xml:space="preserve">2015-08-12</t>
  </si>
  <si>
    <t xml:space="preserve">1954 SHERIDAN AVE NE</t>
  </si>
  <si>
    <t xml:space="preserve">OH0020419235</t>
  </si>
  <si>
    <t xml:space="preserve">MATTHEWS</t>
  </si>
  <si>
    <t xml:space="preserve">1984-05-15</t>
  </si>
  <si>
    <t xml:space="preserve">1955 SHERIDAN AVE NE</t>
  </si>
  <si>
    <t xml:space="preserve">OH0015681904</t>
  </si>
  <si>
    <t xml:space="preserve">WOODYARD</t>
  </si>
  <si>
    <t xml:space="preserve">1980-07-10</t>
  </si>
  <si>
    <t xml:space="preserve">2000-01-24</t>
  </si>
  <si>
    <t xml:space="preserve">1964 SHERIDAN AVE NE</t>
  </si>
  <si>
    <t xml:space="preserve">OH0026179193</t>
  </si>
  <si>
    <t xml:space="preserve">2002-11-13</t>
  </si>
  <si>
    <t xml:space="preserve">2021-04-27</t>
  </si>
  <si>
    <t xml:space="preserve">OH0015766661</t>
  </si>
  <si>
    <t xml:space="preserve">1979-01-30</t>
  </si>
  <si>
    <t xml:space="preserve">1997-11-03</t>
  </si>
  <si>
    <t xml:space="preserve">OH0015724920</t>
  </si>
  <si>
    <t xml:space="preserve">COTTRILL</t>
  </si>
  <si>
    <t xml:space="preserve">1943-10-03</t>
  </si>
  <si>
    <t xml:space="preserve">1965 SHERIDAN AVE NE</t>
  </si>
  <si>
    <t xml:space="preserve">OH0026772552</t>
  </si>
  <si>
    <t xml:space="preserve">CANNISTRA</t>
  </si>
  <si>
    <t xml:space="preserve">2022-08-16</t>
  </si>
  <si>
    <t xml:space="preserve">1974 SHERIDAN AVE NE</t>
  </si>
  <si>
    <t xml:space="preserve">OH0023442546</t>
  </si>
  <si>
    <t xml:space="preserve">1955-07-03</t>
  </si>
  <si>
    <t xml:space="preserve">1975 SHERIDAN AVE NE</t>
  </si>
  <si>
    <t xml:space="preserve">OH0019479491</t>
  </si>
  <si>
    <t xml:space="preserve">1959-12-08</t>
  </si>
  <si>
    <t xml:space="preserve">2019-12-06</t>
  </si>
  <si>
    <t xml:space="preserve">OH0020319315</t>
  </si>
  <si>
    <t xml:space="preserve">GRUBBS</t>
  </si>
  <si>
    <t xml:space="preserve">1946-08-24</t>
  </si>
  <si>
    <t xml:space="preserve">1983 SHERIDAN AVE NE</t>
  </si>
  <si>
    <t xml:space="preserve">OH0024828084</t>
  </si>
  <si>
    <t xml:space="preserve">MARKER</t>
  </si>
  <si>
    <t xml:space="preserve">1970-01-14</t>
  </si>
  <si>
    <t xml:space="preserve">2018-10-02</t>
  </si>
  <si>
    <t xml:space="preserve">OH0025720733</t>
  </si>
  <si>
    <t xml:space="preserve">1992-06-21</t>
  </si>
  <si>
    <t xml:space="preserve">OH0026516904</t>
  </si>
  <si>
    <t xml:space="preserve">1972-03-13</t>
  </si>
  <si>
    <t xml:space="preserve">2022-04-05</t>
  </si>
  <si>
    <t xml:space="preserve">1984 SHERIDAN AVE NE</t>
  </si>
  <si>
    <t xml:space="preserve">OH0015811205</t>
  </si>
  <si>
    <t xml:space="preserve">1951-08-09</t>
  </si>
  <si>
    <t xml:space="preserve">2021-07-29</t>
  </si>
  <si>
    <t xml:space="preserve">1994 SHERIDAN AVE NE</t>
  </si>
  <si>
    <t xml:space="preserve">OH0015707659</t>
  </si>
  <si>
    <t xml:space="preserve">1950-12-08</t>
  </si>
  <si>
    <t xml:space="preserve">OH0015765506</t>
  </si>
  <si>
    <t xml:space="preserve">2022-06-30</t>
  </si>
  <si>
    <t xml:space="preserve">1995 SHERIDAN AVE NE</t>
  </si>
  <si>
    <t xml:space="preserve">OH0015703694</t>
  </si>
  <si>
    <t xml:space="preserve">1960-02-28</t>
  </si>
  <si>
    <t xml:space="preserve">1984-02-28</t>
  </si>
  <si>
    <t xml:space="preserve">2004 SHERIDAN AVE NE</t>
  </si>
  <si>
    <t xml:space="preserve">OH0015726745</t>
  </si>
  <si>
    <t xml:space="preserve">1959-04-08</t>
  </si>
  <si>
    <t xml:space="preserve">1988-09-10</t>
  </si>
  <si>
    <t xml:space="preserve">OH0015728163</t>
  </si>
  <si>
    <t xml:space="preserve">1946-07-24</t>
  </si>
  <si>
    <t xml:space="preserve">2014 SHERIDAN AVE NE</t>
  </si>
  <si>
    <t xml:space="preserve">OH0015810030</t>
  </si>
  <si>
    <t xml:space="preserve">GEDDES</t>
  </si>
  <si>
    <t xml:space="preserve">1983-10-08</t>
  </si>
  <si>
    <t xml:space="preserve">OH0025916309</t>
  </si>
  <si>
    <t xml:space="preserve">OAKES</t>
  </si>
  <si>
    <t xml:space="preserve">2024 SHERIDAN AVE NE</t>
  </si>
  <si>
    <t xml:space="preserve">OH0015812552</t>
  </si>
  <si>
    <t xml:space="preserve">1969-08-17</t>
  </si>
  <si>
    <t xml:space="preserve">OH0015748339</t>
  </si>
  <si>
    <t xml:space="preserve">PFEIFFER</t>
  </si>
  <si>
    <t xml:space="preserve">MONTE</t>
  </si>
  <si>
    <t xml:space="preserve">1966-10-12</t>
  </si>
  <si>
    <t xml:space="preserve">1992-04-06</t>
  </si>
  <si>
    <t xml:space="preserve">2025 SHERIDAN AVE NE</t>
  </si>
  <si>
    <t xml:space="preserve">OH0015776969</t>
  </si>
  <si>
    <t xml:space="preserve">MARCHIN</t>
  </si>
  <si>
    <t xml:space="preserve">1930-09-22</t>
  </si>
  <si>
    <t xml:space="preserve">2035 SHERIDAN AVE NE</t>
  </si>
  <si>
    <t xml:space="preserve">OH0021653299</t>
  </si>
  <si>
    <t xml:space="preserve">MEROLILLO</t>
  </si>
  <si>
    <t xml:space="preserve">1938-02-06</t>
  </si>
  <si>
    <t xml:space="preserve">2044 SHERIDAN AVE NE</t>
  </si>
  <si>
    <t xml:space="preserve">OH0025573876</t>
  </si>
  <si>
    <t xml:space="preserve">1967-10-04</t>
  </si>
  <si>
    <t xml:space="preserve">2054 SHERIDAN AVE NE</t>
  </si>
  <si>
    <t xml:space="preserve">OH0021030898</t>
  </si>
  <si>
    <t xml:space="preserve">1957-11-01</t>
  </si>
  <si>
    <t xml:space="preserve">2023-07-09</t>
  </si>
  <si>
    <t xml:space="preserve">OH0024625440</t>
  </si>
  <si>
    <t xml:space="preserve">STUDMIRE</t>
  </si>
  <si>
    <t xml:space="preserve">1967-05-29</t>
  </si>
  <si>
    <t xml:space="preserve">2064 SHERIDAN AVE NE</t>
  </si>
  <si>
    <t xml:space="preserve">OH0021577107</t>
  </si>
  <si>
    <t xml:space="preserve">MCCLURG</t>
  </si>
  <si>
    <t xml:space="preserve">2025-03-29</t>
  </si>
  <si>
    <t xml:space="preserve">337 SUMMIT ST NW</t>
  </si>
  <si>
    <t xml:space="preserve">OH0024617249</t>
  </si>
  <si>
    <t xml:space="preserve">EMERINE</t>
  </si>
  <si>
    <t xml:space="preserve">2023-10-16</t>
  </si>
  <si>
    <t xml:space="preserve">OH0019687816</t>
  </si>
  <si>
    <t xml:space="preserve">PHELPS</t>
  </si>
  <si>
    <t xml:space="preserve">1949-06-29</t>
  </si>
  <si>
    <t xml:space="preserve">2024-07-27</t>
  </si>
  <si>
    <t xml:space="preserve">423 SUMMIT ST NW</t>
  </si>
  <si>
    <t xml:space="preserve">OH0020320362</t>
  </si>
  <si>
    <t xml:space="preserve">1982-06-13</t>
  </si>
  <si>
    <t xml:space="preserve">OH0025536467</t>
  </si>
  <si>
    <t xml:space="preserve">TURSACK</t>
  </si>
  <si>
    <t xml:space="preserve">1977-10-28</t>
  </si>
  <si>
    <t xml:space="preserve">460 SUMMIT ST NW</t>
  </si>
  <si>
    <t xml:space="preserve">OH0021373758</t>
  </si>
  <si>
    <t xml:space="preserve">ALSBROOKS</t>
  </si>
  <si>
    <t xml:space="preserve">1973-09-24</t>
  </si>
  <si>
    <t xml:space="preserve">2017-04-20</t>
  </si>
  <si>
    <t xml:space="preserve">470 SUMMIT ST NW</t>
  </si>
  <si>
    <t xml:space="preserve">OH0026503372</t>
  </si>
  <si>
    <t xml:space="preserve">SCHWENTKER</t>
  </si>
  <si>
    <t xml:space="preserve">1987-05-28</t>
  </si>
  <si>
    <t xml:space="preserve">805 TERRA ALTA ST NE</t>
  </si>
  <si>
    <t xml:space="preserve">OH0026634266</t>
  </si>
  <si>
    <t xml:space="preserve">1987-10-28</t>
  </si>
  <si>
    <t xml:space="preserve">OH0015700124</t>
  </si>
  <si>
    <t xml:space="preserve">CRUSAN</t>
  </si>
  <si>
    <t xml:space="preserve">1952-06-24</t>
  </si>
  <si>
    <t xml:space="preserve">1983-10-10</t>
  </si>
  <si>
    <t xml:space="preserve">815 TERRA ALTA ST NE</t>
  </si>
  <si>
    <t xml:space="preserve">OH0015700126</t>
  </si>
  <si>
    <t xml:space="preserve">1954-03-22</t>
  </si>
  <si>
    <t xml:space="preserve">OH0023460295</t>
  </si>
  <si>
    <t xml:space="preserve">QUADE</t>
  </si>
  <si>
    <t xml:space="preserve">1984-10-22</t>
  </si>
  <si>
    <t xml:space="preserve">821 TERRA ALTA ST NE</t>
  </si>
  <si>
    <t xml:space="preserve">OH0015734130</t>
  </si>
  <si>
    <t xml:space="preserve">WOODS</t>
  </si>
  <si>
    <t xml:space="preserve">1971-01-20</t>
  </si>
  <si>
    <t xml:space="preserve">829 TERRA ALTA ST NE</t>
  </si>
  <si>
    <t xml:space="preserve">OH0015728236</t>
  </si>
  <si>
    <t xml:space="preserve">1964-10-08</t>
  </si>
  <si>
    <t xml:space="preserve">2018-10-12</t>
  </si>
  <si>
    <t xml:space="preserve">839 TERRA ALTA ST NE</t>
  </si>
  <si>
    <t xml:space="preserve">OH0026446487</t>
  </si>
  <si>
    <t xml:space="preserve">STAFFORD</t>
  </si>
  <si>
    <t xml:space="preserve">2002-07-29</t>
  </si>
  <si>
    <t xml:space="preserve">848 TERRA ALTA ST NE</t>
  </si>
  <si>
    <t xml:space="preserve">OH0026446107</t>
  </si>
  <si>
    <t xml:space="preserve">COLLIER</t>
  </si>
  <si>
    <t xml:space="preserve">1999-08-24</t>
  </si>
  <si>
    <t xml:space="preserve">OH0024711284</t>
  </si>
  <si>
    <t xml:space="preserve">MARQUISE</t>
  </si>
  <si>
    <t xml:space="preserve">2019-05-21</t>
  </si>
  <si>
    <t xml:space="preserve">849 TERRA ALTA ST NE</t>
  </si>
  <si>
    <t xml:space="preserve">OH0027703240</t>
  </si>
  <si>
    <t xml:space="preserve">BOBLITT</t>
  </si>
  <si>
    <t xml:space="preserve">1972-12-29</t>
  </si>
  <si>
    <t xml:space="preserve">865 TERRA ALTA ST NE</t>
  </si>
  <si>
    <t xml:space="preserve">OH0025201355</t>
  </si>
  <si>
    <t xml:space="preserve">1970-09-10</t>
  </si>
  <si>
    <t xml:space="preserve">OH0023184229</t>
  </si>
  <si>
    <t xml:space="preserve">1956-08-07</t>
  </si>
  <si>
    <t xml:space="preserve">2015-06-16</t>
  </si>
  <si>
    <t xml:space="preserve">OH0025949018</t>
  </si>
  <si>
    <t xml:space="preserve">BYRNES</t>
  </si>
  <si>
    <t xml:space="preserve">1960-04-27</t>
  </si>
  <si>
    <t xml:space="preserve">866 TERRA ALTA ST NE</t>
  </si>
  <si>
    <t xml:space="preserve">OH0015742755</t>
  </si>
  <si>
    <t xml:space="preserve">1957-10-22</t>
  </si>
  <si>
    <t xml:space="preserve">877 TERRA ALTA ST NE</t>
  </si>
  <si>
    <t xml:space="preserve">OH0015940166</t>
  </si>
  <si>
    <t xml:space="preserve">TRICE</t>
  </si>
  <si>
    <t xml:space="preserve">COSTA</t>
  </si>
  <si>
    <t xml:space="preserve">1977-03-11</t>
  </si>
  <si>
    <t xml:space="preserve">878 TERRA ALTA ST NE</t>
  </si>
  <si>
    <t xml:space="preserve">OH0023079279</t>
  </si>
  <si>
    <t xml:space="preserve">1996-11-08</t>
  </si>
  <si>
    <t xml:space="preserve">OH0023248649</t>
  </si>
  <si>
    <t xml:space="preserve">1992-05-06</t>
  </si>
  <si>
    <t xml:space="preserve">2017-11-22</t>
  </si>
  <si>
    <t xml:space="preserve">887 TERRA ALTA ST NE</t>
  </si>
  <si>
    <t xml:space="preserve">OH0015729358</t>
  </si>
  <si>
    <t xml:space="preserve">METHENY</t>
  </si>
  <si>
    <t xml:space="preserve">1958-10-15</t>
  </si>
  <si>
    <t xml:space="preserve">888 TERRA ALTA ST NE</t>
  </si>
  <si>
    <t xml:space="preserve">OH0027602046</t>
  </si>
  <si>
    <t xml:space="preserve">KYLIE</t>
  </si>
  <si>
    <t xml:space="preserve">2006-04-14</t>
  </si>
  <si>
    <t xml:space="preserve">895 TERRA ALTA ST NE</t>
  </si>
  <si>
    <t xml:space="preserve">OH0022344263</t>
  </si>
  <si>
    <t xml:space="preserve">DESANTIS</t>
  </si>
  <si>
    <t xml:space="preserve">1960-03-14</t>
  </si>
  <si>
    <t xml:space="preserve">2024-03-18</t>
  </si>
  <si>
    <t xml:space="preserve">915 TERRA ALTA ST NE</t>
  </si>
  <si>
    <t xml:space="preserve">OH0015723295</t>
  </si>
  <si>
    <t xml:space="preserve">LAPROCINA</t>
  </si>
  <si>
    <t xml:space="preserve">1966-05-23</t>
  </si>
  <si>
    <t xml:space="preserve">918 TERRA ALTA ST NE</t>
  </si>
  <si>
    <t xml:space="preserve">OH0020821257</t>
  </si>
  <si>
    <t xml:space="preserve">1988-08-03</t>
  </si>
  <si>
    <t xml:space="preserve">926 TERRA ALTA ST NE</t>
  </si>
  <si>
    <t xml:space="preserve">OH0015748231</t>
  </si>
  <si>
    <t xml:space="preserve">1986-05-27</t>
  </si>
  <si>
    <t xml:space="preserve">OH0023225227</t>
  </si>
  <si>
    <t xml:space="preserve">SAVANNA</t>
  </si>
  <si>
    <t xml:space="preserve">1993-09-21</t>
  </si>
  <si>
    <t xml:space="preserve">936 TERRA ALTA ST NE</t>
  </si>
  <si>
    <t xml:space="preserve">OH0015743917</t>
  </si>
  <si>
    <t xml:space="preserve">WINFREY</t>
  </si>
  <si>
    <t xml:space="preserve">1971-03-12</t>
  </si>
  <si>
    <t xml:space="preserve">936 TRUXTON ST NE</t>
  </si>
  <si>
    <t xml:space="preserve">OH0025051404</t>
  </si>
  <si>
    <t xml:space="preserve">KEARIN</t>
  </si>
  <si>
    <t xml:space="preserve">OH0026612719</t>
  </si>
  <si>
    <t xml:space="preserve">ELZY</t>
  </si>
  <si>
    <t xml:space="preserve">KEYAUNA</t>
  </si>
  <si>
    <t xml:space="preserve">1991-07-15</t>
  </si>
  <si>
    <t xml:space="preserve">OH0015764242</t>
  </si>
  <si>
    <t xml:space="preserve">BERESIK</t>
  </si>
  <si>
    <t xml:space="preserve">1964-10-03</t>
  </si>
  <si>
    <t xml:space="preserve">2008-10-04</t>
  </si>
  <si>
    <t xml:space="preserve">948 TRUXTON ST NE</t>
  </si>
  <si>
    <t xml:space="preserve">OH0015742764</t>
  </si>
  <si>
    <t xml:space="preserve">1965-09-28</t>
  </si>
  <si>
    <t xml:space="preserve">2013-09-28</t>
  </si>
  <si>
    <t xml:space="preserve">OH0027568985</t>
  </si>
  <si>
    <t xml:space="preserve">TRENTON</t>
  </si>
  <si>
    <t xml:space="preserve">2006-08-24</t>
  </si>
  <si>
    <t xml:space="preserve">1329 VERNON AVE NW</t>
  </si>
  <si>
    <t xml:space="preserve">OH0027432677</t>
  </si>
  <si>
    <t xml:space="preserve">KAITLIN</t>
  </si>
  <si>
    <t xml:space="preserve">1996-09-06</t>
  </si>
  <si>
    <t xml:space="preserve">1339 VERNON AVE NW</t>
  </si>
  <si>
    <t xml:space="preserve">OH0027789330</t>
  </si>
  <si>
    <t xml:space="preserve">BECKNER</t>
  </si>
  <si>
    <t xml:space="preserve">2004-06-03</t>
  </si>
  <si>
    <t xml:space="preserve">1436 VERNON AVE NW</t>
  </si>
  <si>
    <t xml:space="preserve">OH0019535376</t>
  </si>
  <si>
    <t xml:space="preserve">1977-05-08</t>
  </si>
  <si>
    <t xml:space="preserve">2023-05-06</t>
  </si>
  <si>
    <t xml:space="preserve">OH0027788934</t>
  </si>
  <si>
    <t xml:space="preserve">GASSER</t>
  </si>
  <si>
    <t xml:space="preserve">NIKOLAUS</t>
  </si>
  <si>
    <t xml:space="preserve">BRYCE</t>
  </si>
  <si>
    <t xml:space="preserve">2004-03-03</t>
  </si>
  <si>
    <t xml:space="preserve">OH0025754666</t>
  </si>
  <si>
    <t xml:space="preserve">LUCE</t>
  </si>
  <si>
    <t xml:space="preserve">1962-06-20</t>
  </si>
  <si>
    <t xml:space="preserve">2020-11-11</t>
  </si>
  <si>
    <t xml:space="preserve">1446 VERNON AVE NW</t>
  </si>
  <si>
    <t xml:space="preserve">OH0024034559</t>
  </si>
  <si>
    <t xml:space="preserve">DANIKA</t>
  </si>
  <si>
    <t xml:space="preserve">1991-05-07</t>
  </si>
  <si>
    <t xml:space="preserve">2025-04-30</t>
  </si>
  <si>
    <t xml:space="preserve">OH0021991627</t>
  </si>
  <si>
    <t xml:space="preserve">1988-03-24</t>
  </si>
  <si>
    <t xml:space="preserve">2025-05-31</t>
  </si>
  <si>
    <t xml:space="preserve">1530 VERNON AVE NW</t>
  </si>
  <si>
    <t xml:space="preserve">OH0015723217</t>
  </si>
  <si>
    <t xml:space="preserve">VENUS</t>
  </si>
  <si>
    <t xml:space="preserve">1970-05-19</t>
  </si>
  <si>
    <t xml:space="preserve">OH0015680269</t>
  </si>
  <si>
    <t xml:space="preserve">1951-10-31</t>
  </si>
  <si>
    <t xml:space="preserve">1540 VERNON AVE NW</t>
  </si>
  <si>
    <t xml:space="preserve">OH0015763733</t>
  </si>
  <si>
    <t xml:space="preserve">SHAYLA</t>
  </si>
  <si>
    <t xml:space="preserve">1984-06-20</t>
  </si>
  <si>
    <t xml:space="preserve">2007-09-19</t>
  </si>
  <si>
    <t xml:space="preserve">1544 VERNON AVE NW</t>
  </si>
  <si>
    <t xml:space="preserve">OH0015710373</t>
  </si>
  <si>
    <t xml:space="preserve">CORETHA</t>
  </si>
  <si>
    <t xml:space="preserve">1959-01-12</t>
  </si>
  <si>
    <t xml:space="preserve">OH0015784860</t>
  </si>
  <si>
    <t xml:space="preserve">1940-11-07</t>
  </si>
  <si>
    <t xml:space="preserve">1550 VERNON AVE NW</t>
  </si>
  <si>
    <t xml:space="preserve">OH0015784856</t>
  </si>
  <si>
    <t xml:space="preserve">1938-03-25</t>
  </si>
  <si>
    <t xml:space="preserve">1960-09-23</t>
  </si>
  <si>
    <t xml:space="preserve">OH0026148823</t>
  </si>
  <si>
    <t xml:space="preserve">1999-01-28</t>
  </si>
  <si>
    <t xml:space="preserve">2018-03-18</t>
  </si>
  <si>
    <t xml:space="preserve">1558 VERNON AVE NW</t>
  </si>
  <si>
    <t xml:space="preserve">OH0015814048</t>
  </si>
  <si>
    <t xml:space="preserve">TYRONE</t>
  </si>
  <si>
    <t xml:space="preserve">1964-11-14</t>
  </si>
  <si>
    <t xml:space="preserve">1996-05-19</t>
  </si>
  <si>
    <t xml:space="preserve">OH0027011314</t>
  </si>
  <si>
    <t xml:space="preserve">1983-06-14</t>
  </si>
  <si>
    <t xml:space="preserve">1568 VERNON AVE NW</t>
  </si>
  <si>
    <t xml:space="preserve">OH0027896090</t>
  </si>
  <si>
    <t xml:space="preserve">KATYLINN</t>
  </si>
  <si>
    <t xml:space="preserve">BRIHANNA</t>
  </si>
  <si>
    <t xml:space="preserve">1994-02-16</t>
  </si>
  <si>
    <t xml:space="preserve">2025-03-07</t>
  </si>
  <si>
    <t xml:space="preserve">OH0026354921</t>
  </si>
  <si>
    <t xml:space="preserve">RUMBARGER</t>
  </si>
  <si>
    <t xml:space="preserve">1608 VERNON AVE NW</t>
  </si>
  <si>
    <t xml:space="preserve">OH0015768182</t>
  </si>
  <si>
    <t xml:space="preserve">2015-08-08</t>
  </si>
  <si>
    <t xml:space="preserve">OH0023855851</t>
  </si>
  <si>
    <t xml:space="preserve">DESANTI</t>
  </si>
  <si>
    <t xml:space="preserve">1948-12-12</t>
  </si>
  <si>
    <t xml:space="preserve">1618 VERNON AVE NW</t>
  </si>
  <si>
    <t xml:space="preserve">OH0025840414</t>
  </si>
  <si>
    <t xml:space="preserve">DEMATTIA</t>
  </si>
  <si>
    <t xml:space="preserve">1971-04-14</t>
  </si>
  <si>
    <t xml:space="preserve">1630 VERNON AVE NW</t>
  </si>
  <si>
    <t xml:space="preserve">OH0021887045</t>
  </si>
  <si>
    <t xml:space="preserve">1988-06-16</t>
  </si>
  <si>
    <t xml:space="preserve">OH0027278308</t>
  </si>
  <si>
    <t xml:space="preserve">YONKER</t>
  </si>
  <si>
    <t xml:space="preserve">1996-06-10</t>
  </si>
  <si>
    <t xml:space="preserve">2024-03-23</t>
  </si>
  <si>
    <t xml:space="preserve">1642 VERNON AVE NW</t>
  </si>
  <si>
    <t xml:space="preserve">OH0027456600</t>
  </si>
  <si>
    <t xml:space="preserve">SHERRELLE</t>
  </si>
  <si>
    <t xml:space="preserve">OH0026609926</t>
  </si>
  <si>
    <t xml:space="preserve">1950-07-18</t>
  </si>
  <si>
    <t xml:space="preserve">1654 VERNON AVE NW</t>
  </si>
  <si>
    <t xml:space="preserve">OH0015785585</t>
  </si>
  <si>
    <t xml:space="preserve">1948-05-07</t>
  </si>
  <si>
    <t xml:space="preserve">1666 VERNON AVE NW</t>
  </si>
  <si>
    <t xml:space="preserve">OH0015785575</t>
  </si>
  <si>
    <t xml:space="preserve">1945-12-29</t>
  </si>
  <si>
    <t xml:space="preserve">OH0023484079</t>
  </si>
  <si>
    <t xml:space="preserve">WILCOX</t>
  </si>
  <si>
    <t xml:space="preserve">IAN</t>
  </si>
  <si>
    <t xml:space="preserve">1998-06-28</t>
  </si>
  <si>
    <t xml:space="preserve">2018-08-23</t>
  </si>
  <si>
    <t xml:space="preserve">1678 VERNON AVE NW</t>
  </si>
  <si>
    <t xml:space="preserve">OH0027018872</t>
  </si>
  <si>
    <t xml:space="preserve">1966-06-19</t>
  </si>
  <si>
    <t xml:space="preserve">2023-08-21</t>
  </si>
  <si>
    <t xml:space="preserve">1706 VERNON AVE NW</t>
  </si>
  <si>
    <t xml:space="preserve">OH0021030950</t>
  </si>
  <si>
    <t xml:space="preserve">HILLES</t>
  </si>
  <si>
    <t xml:space="preserve">LOIS</t>
  </si>
  <si>
    <t xml:space="preserve">1944-02-18</t>
  </si>
  <si>
    <t xml:space="preserve">2010-03-30</t>
  </si>
  <si>
    <t xml:space="preserve">1718 VERNON AVE NW</t>
  </si>
  <si>
    <t xml:space="preserve">OH0018796081</t>
  </si>
  <si>
    <t xml:space="preserve">1943-07-19</t>
  </si>
  <si>
    <t xml:space="preserve">OH0022681369</t>
  </si>
  <si>
    <t xml:space="preserve">1964-01-29</t>
  </si>
  <si>
    <t xml:space="preserve">2014-01-31</t>
  </si>
  <si>
    <t xml:space="preserve">OH0019559417</t>
  </si>
  <si>
    <t xml:space="preserve">BETHANY</t>
  </si>
  <si>
    <t xml:space="preserve">1989-10-02</t>
  </si>
  <si>
    <t xml:space="preserve">1740 VERNON AVE NW</t>
  </si>
  <si>
    <t xml:space="preserve">OH0026915541</t>
  </si>
  <si>
    <t xml:space="preserve">BARITELL</t>
  </si>
  <si>
    <t xml:space="preserve">1973-05-28</t>
  </si>
  <si>
    <t xml:space="preserve">2023-05-22</t>
  </si>
  <si>
    <t xml:space="preserve">1750 VERNON AVE NW</t>
  </si>
  <si>
    <t xml:space="preserve">OH0021290195</t>
  </si>
  <si>
    <t xml:space="preserve">BUNTS</t>
  </si>
  <si>
    <t xml:space="preserve">1975-07-19</t>
  </si>
  <si>
    <t xml:space="preserve">1820 VERNON AVE NW</t>
  </si>
  <si>
    <t xml:space="preserve">OH0022572238</t>
  </si>
  <si>
    <t xml:space="preserve">BENEDUM</t>
  </si>
  <si>
    <t xml:space="preserve">1992-03-03</t>
  </si>
  <si>
    <t xml:space="preserve">1832 VERNON AVE NW</t>
  </si>
  <si>
    <t xml:space="preserve">OH0021961025</t>
  </si>
  <si>
    <t xml:space="preserve">1954-06-02</t>
  </si>
  <si>
    <t xml:space="preserve">1846 VERNON AVE NW</t>
  </si>
  <si>
    <t xml:space="preserve">OH0015687645</t>
  </si>
  <si>
    <t xml:space="preserve">1960-04-05</t>
  </si>
  <si>
    <t xml:space="preserve">OH0015746029</t>
  </si>
  <si>
    <t xml:space="preserve">BAYLEY</t>
  </si>
  <si>
    <t xml:space="preserve">1961-11-20</t>
  </si>
  <si>
    <t xml:space="preserve">2004-05-13</t>
  </si>
  <si>
    <t xml:space="preserve">1853 VERNON AVE NW</t>
  </si>
  <si>
    <t xml:space="preserve">OH0015731280</t>
  </si>
  <si>
    <t xml:space="preserve">1966-03-21</t>
  </si>
  <si>
    <t xml:space="preserve">OH0027606017</t>
  </si>
  <si>
    <t xml:space="preserve">GLAESER</t>
  </si>
  <si>
    <t xml:space="preserve">1861 VERNON AVE NW</t>
  </si>
  <si>
    <t xml:space="preserve">OH0015820759</t>
  </si>
  <si>
    <t xml:space="preserve">1948-10-07</t>
  </si>
  <si>
    <t xml:space="preserve">1997-09-18</t>
  </si>
  <si>
    <t xml:space="preserve">2022 VERNON AVE NW</t>
  </si>
  <si>
    <t xml:space="preserve">OH0015784418</t>
  </si>
  <si>
    <t xml:space="preserve">1950-02-25</t>
  </si>
  <si>
    <t xml:space="preserve">1988-09-17</t>
  </si>
  <si>
    <t xml:space="preserve">OH0027672403</t>
  </si>
  <si>
    <t xml:space="preserve">1993-10-31</t>
  </si>
  <si>
    <t xml:space="preserve">2029 VERNON AVE NW</t>
  </si>
  <si>
    <t xml:space="preserve">OH0015703353</t>
  </si>
  <si>
    <t xml:space="preserve">JARRETT</t>
  </si>
  <si>
    <t xml:space="preserve">LEONA</t>
  </si>
  <si>
    <t xml:space="preserve">1955-10-22</t>
  </si>
  <si>
    <t xml:space="preserve">OH0027526496</t>
  </si>
  <si>
    <t xml:space="preserve">2005-11-28</t>
  </si>
  <si>
    <t xml:space="preserve">2042 VERNON AVE NW</t>
  </si>
  <si>
    <t xml:space="preserve">OH0027514936</t>
  </si>
  <si>
    <t xml:space="preserve">1971-02-24</t>
  </si>
  <si>
    <t xml:space="preserve">OH0023958534</t>
  </si>
  <si>
    <t xml:space="preserve">1977-10-13</t>
  </si>
  <si>
    <t xml:space="preserve">OH0025780502</t>
  </si>
  <si>
    <t xml:space="preserve">2002-08-12</t>
  </si>
  <si>
    <t xml:space="preserve">OH0015731503</t>
  </si>
  <si>
    <t xml:space="preserve">STOUT</t>
  </si>
  <si>
    <t xml:space="preserve">SALLIE</t>
  </si>
  <si>
    <t xml:space="preserve">1949-07-23</t>
  </si>
  <si>
    <t xml:space="preserve">2045 VERNON AVE NW</t>
  </si>
  <si>
    <t xml:space="preserve">OH0015739470</t>
  </si>
  <si>
    <t xml:space="preserve">1951-12-17</t>
  </si>
  <si>
    <t xml:space="preserve">2000-09-25</t>
  </si>
  <si>
    <t xml:space="preserve">OH0015786114</t>
  </si>
  <si>
    <t xml:space="preserve">WALTKO</t>
  </si>
  <si>
    <t xml:space="preserve">1947-01-07</t>
  </si>
  <si>
    <t xml:space="preserve">1971-07-28</t>
  </si>
  <si>
    <t xml:space="preserve">2066 VERNON AVE NW</t>
  </si>
  <si>
    <t xml:space="preserve">OH0015786112</t>
  </si>
  <si>
    <t xml:space="preserve">1950-11-02</t>
  </si>
  <si>
    <t xml:space="preserve">OH0021571584</t>
  </si>
  <si>
    <t xml:space="preserve">GARCIA</t>
  </si>
  <si>
    <t xml:space="preserve">LEGH</t>
  </si>
  <si>
    <t xml:space="preserve">1992-11-16</t>
  </si>
  <si>
    <t xml:space="preserve">2069 VERNON AVE NW</t>
  </si>
  <si>
    <t xml:space="preserve">OH0022779962</t>
  </si>
  <si>
    <t xml:space="preserve">MARCOS</t>
  </si>
  <si>
    <t xml:space="preserve">1989-02-23</t>
  </si>
  <si>
    <t xml:space="preserve">OH0015732716</t>
  </si>
  <si>
    <t xml:space="preserve">SLAUBAUGH</t>
  </si>
  <si>
    <t xml:space="preserve">1972-09-04</t>
  </si>
  <si>
    <t xml:space="preserve">2018-12-03</t>
  </si>
  <si>
    <t xml:space="preserve">2076 VERNON AVE NW</t>
  </si>
  <si>
    <t xml:space="preserve">OH0015737061</t>
  </si>
  <si>
    <t xml:space="preserve">1973-09-13</t>
  </si>
  <si>
    <t xml:space="preserve">2000-10-10</t>
  </si>
  <si>
    <t xml:space="preserve">OH0025048339</t>
  </si>
  <si>
    <t xml:space="preserve">RAYE</t>
  </si>
  <si>
    <t xml:space="preserve">2019-03-18</t>
  </si>
  <si>
    <t xml:space="preserve">OH0025551838</t>
  </si>
  <si>
    <t xml:space="preserve">1999-07-12</t>
  </si>
  <si>
    <t xml:space="preserve">OH0015784771</t>
  </si>
  <si>
    <t xml:space="preserve">ETTINGER</t>
  </si>
  <si>
    <t xml:space="preserve">1939-01-18</t>
  </si>
  <si>
    <t xml:space="preserve">1971-09-21</t>
  </si>
  <si>
    <t xml:space="preserve">2087 VERNON AVE NW</t>
  </si>
  <si>
    <t xml:space="preserve">OH0015784772</t>
  </si>
  <si>
    <t xml:space="preserve">1944-06-01</t>
  </si>
  <si>
    <t xml:space="preserve">OH0025884754</t>
  </si>
  <si>
    <t xml:space="preserve">1976-12-31</t>
  </si>
  <si>
    <t xml:space="preserve">OH0018873755</t>
  </si>
  <si>
    <t xml:space="preserve">ENGLISH</t>
  </si>
  <si>
    <t xml:space="preserve">1962-08-09</t>
  </si>
  <si>
    <t xml:space="preserve">2090 VERNON AVE NW</t>
  </si>
  <si>
    <t xml:space="preserve">OH0015724777</t>
  </si>
  <si>
    <t xml:space="preserve">1949-03-29</t>
  </si>
  <si>
    <t xml:space="preserve">2011-07-27</t>
  </si>
  <si>
    <t xml:space="preserve">2098 VERNON AVE NW</t>
  </si>
  <si>
    <t xml:space="preserve">OH0019855226</t>
  </si>
  <si>
    <t xml:space="preserve">MASSACCI</t>
  </si>
  <si>
    <t xml:space="preserve">1960-11-29</t>
  </si>
  <si>
    <t xml:space="preserve">2220 VERNON AVE NW</t>
  </si>
  <si>
    <t xml:space="preserve">OH0015759288</t>
  </si>
  <si>
    <t xml:space="preserve">GARZA</t>
  </si>
  <si>
    <t xml:space="preserve">1957-09-19</t>
  </si>
  <si>
    <t xml:space="preserve">2019-08-24</t>
  </si>
  <si>
    <t xml:space="preserve">1026 VINE AVE NE</t>
  </si>
  <si>
    <t xml:space="preserve">OH0015800941</t>
  </si>
  <si>
    <t xml:space="preserve">LEANNA</t>
  </si>
  <si>
    <t xml:space="preserve">1984-08-30</t>
  </si>
  <si>
    <t xml:space="preserve">2018-09-06</t>
  </si>
  <si>
    <t xml:space="preserve">OH0020320076</t>
  </si>
  <si>
    <t xml:space="preserve">HEPBURN</t>
  </si>
  <si>
    <t xml:space="preserve">1948-02-18</t>
  </si>
  <si>
    <t xml:space="preserve">1027 VINE AVE NE</t>
  </si>
  <si>
    <t xml:space="preserve">OH0015739877</t>
  </si>
  <si>
    <t xml:space="preserve">1939-02-07</t>
  </si>
  <si>
    <t xml:space="preserve">OH0024101393</t>
  </si>
  <si>
    <t xml:space="preserve">BIERY</t>
  </si>
  <si>
    <t xml:space="preserve">1948-01-17</t>
  </si>
  <si>
    <t xml:space="preserve">1036 VINE AVE NE</t>
  </si>
  <si>
    <t xml:space="preserve">OH0025230366</t>
  </si>
  <si>
    <t xml:space="preserve">DESTINEE</t>
  </si>
  <si>
    <t xml:space="preserve">1037 VINE AVE NE</t>
  </si>
  <si>
    <t xml:space="preserve">OH0021641231</t>
  </si>
  <si>
    <t xml:space="preserve">RIGG</t>
  </si>
  <si>
    <t xml:space="preserve">OH0024016535</t>
  </si>
  <si>
    <t xml:space="preserve">OH0015723605</t>
  </si>
  <si>
    <t xml:space="preserve">1966-09-14</t>
  </si>
  <si>
    <t xml:space="preserve">2024-04-16</t>
  </si>
  <si>
    <t xml:space="preserve">OH0024166140</t>
  </si>
  <si>
    <t xml:space="preserve">NICKOLUS</t>
  </si>
  <si>
    <t xml:space="preserve">NIKO</t>
  </si>
  <si>
    <t xml:space="preserve">1984-11-28</t>
  </si>
  <si>
    <t xml:space="preserve">OH0020342018</t>
  </si>
  <si>
    <t xml:space="preserve">PETERSON</t>
  </si>
  <si>
    <t xml:space="preserve">1961-10-05</t>
  </si>
  <si>
    <t xml:space="preserve">2019-04-10</t>
  </si>
  <si>
    <t xml:space="preserve">633 VINE AVE NE</t>
  </si>
  <si>
    <t xml:space="preserve">OH0015745957</t>
  </si>
  <si>
    <t xml:space="preserve">1999-05-29</t>
  </si>
  <si>
    <t xml:space="preserve">643 VINE AVE NE</t>
  </si>
  <si>
    <t xml:space="preserve">OH0024077116</t>
  </si>
  <si>
    <t xml:space="preserve">JAIN</t>
  </si>
  <si>
    <t xml:space="preserve">MADAN</t>
  </si>
  <si>
    <t xml:space="preserve">1950-03-20</t>
  </si>
  <si>
    <t xml:space="preserve">2019-10-15</t>
  </si>
  <si>
    <t xml:space="preserve">705 VINE AVE NE</t>
  </si>
  <si>
    <t xml:space="preserve">OH0027870077</t>
  </si>
  <si>
    <t xml:space="preserve">STRICKLING</t>
  </si>
  <si>
    <t xml:space="preserve">2006-12-29</t>
  </si>
  <si>
    <t xml:space="preserve">719 VINE AVE NE</t>
  </si>
  <si>
    <t xml:space="preserve">OH0024616527</t>
  </si>
  <si>
    <t xml:space="preserve">826 VINE AVE NE</t>
  </si>
  <si>
    <t xml:space="preserve">OH0027492240</t>
  </si>
  <si>
    <t xml:space="preserve">STEPHENSON</t>
  </si>
  <si>
    <t xml:space="preserve">ADDISON</t>
  </si>
  <si>
    <t xml:space="preserve">2006-06-28</t>
  </si>
  <si>
    <t xml:space="preserve">829 VINE AVE NE</t>
  </si>
  <si>
    <t xml:space="preserve">OH0026638438</t>
  </si>
  <si>
    <t xml:space="preserve">OPAL</t>
  </si>
  <si>
    <t xml:space="preserve">1979-05-29</t>
  </si>
  <si>
    <t xml:space="preserve">2023-06-08</t>
  </si>
  <si>
    <t xml:space="preserve">OH0015675065</t>
  </si>
  <si>
    <t xml:space="preserve">1983-09-29</t>
  </si>
  <si>
    <t xml:space="preserve">2017-05-25</t>
  </si>
  <si>
    <t xml:space="preserve">834 VINE AVE NE</t>
  </si>
  <si>
    <t xml:space="preserve">OH0015746704</t>
  </si>
  <si>
    <t xml:space="preserve">1973-08-18</t>
  </si>
  <si>
    <t xml:space="preserve">OH0023224738</t>
  </si>
  <si>
    <t xml:space="preserve">TIMMONS</t>
  </si>
  <si>
    <t xml:space="preserve">1985-07-17</t>
  </si>
  <si>
    <t xml:space="preserve">2018-01-31</t>
  </si>
  <si>
    <t xml:space="preserve">OH0019137902</t>
  </si>
  <si>
    <t xml:space="preserve">STEERMAN</t>
  </si>
  <si>
    <t xml:space="preserve">1964-09-30</t>
  </si>
  <si>
    <t xml:space="preserve">2016-04-27</t>
  </si>
  <si>
    <t xml:space="preserve">149 WASHINGTON ST NE</t>
  </si>
  <si>
    <t xml:space="preserve">OH0025739288</t>
  </si>
  <si>
    <t xml:space="preserve">1980-12-14</t>
  </si>
  <si>
    <t xml:space="preserve">2020-08-07</t>
  </si>
  <si>
    <t xml:space="preserve">175 WASHINGTON ST NE</t>
  </si>
  <si>
    <t xml:space="preserve">OH0026850587</t>
  </si>
  <si>
    <t xml:space="preserve">PINION</t>
  </si>
  <si>
    <t xml:space="preserve">1970-03-24</t>
  </si>
  <si>
    <t xml:space="preserve">2023-03-21</t>
  </si>
  <si>
    <t xml:space="preserve">OH0027951737</t>
  </si>
  <si>
    <t xml:space="preserve">SMALL</t>
  </si>
  <si>
    <t xml:space="preserve">ARJAY</t>
  </si>
  <si>
    <t xml:space="preserve">1997-01-05</t>
  </si>
  <si>
    <t xml:space="preserve">2025-05-05</t>
  </si>
  <si>
    <t xml:space="preserve">253 WASHINGTON ST NE</t>
  </si>
  <si>
    <t xml:space="preserve">OH0024632297</t>
  </si>
  <si>
    <t xml:space="preserve">WEBBER</t>
  </si>
  <si>
    <t xml:space="preserve">1995-01-09</t>
  </si>
  <si>
    <t xml:space="preserve">255 WASHINGTON ST NE</t>
  </si>
  <si>
    <t xml:space="preserve">OH0020331869</t>
  </si>
  <si>
    <t xml:space="preserve">1951-06-27</t>
  </si>
  <si>
    <t xml:space="preserve">2014-06-22</t>
  </si>
  <si>
    <t xml:space="preserve">257 WASHINGTON ST NE</t>
  </si>
  <si>
    <t xml:space="preserve">OH0015716075</t>
  </si>
  <si>
    <t xml:space="preserve">1951-03-12</t>
  </si>
  <si>
    <t xml:space="preserve">321 WASHINGTON ST NE</t>
  </si>
  <si>
    <t xml:space="preserve">OH0015822054</t>
  </si>
  <si>
    <t xml:space="preserve">1979-07-19</t>
  </si>
  <si>
    <t xml:space="preserve">2015-07-11</t>
  </si>
  <si>
    <t xml:space="preserve">OH0026164552</t>
  </si>
  <si>
    <t xml:space="preserve">BEAM</t>
  </si>
  <si>
    <t xml:space="preserve">1991-04-25</t>
  </si>
  <si>
    <t xml:space="preserve">331 WASHINGTON ST NE</t>
  </si>
  <si>
    <t xml:space="preserve">OH0027064978</t>
  </si>
  <si>
    <t xml:space="preserve">1967-01-18</t>
  </si>
  <si>
    <t xml:space="preserve">339 WASHINGTON ST NE</t>
  </si>
  <si>
    <t xml:space="preserve">OH0027065005</t>
  </si>
  <si>
    <t xml:space="preserve">MAYWOOD</t>
  </si>
  <si>
    <t xml:space="preserve">1975-01-09</t>
  </si>
  <si>
    <t xml:space="preserve">OH0026926965</t>
  </si>
  <si>
    <t xml:space="preserve">1979-03-11</t>
  </si>
  <si>
    <t xml:space="preserve">345 WASHINGTON ST NE</t>
  </si>
  <si>
    <t xml:space="preserve">OH0015781547</t>
  </si>
  <si>
    <t xml:space="preserve">1982-03-29</t>
  </si>
  <si>
    <t xml:space="preserve">2012-09-25</t>
  </si>
  <si>
    <t xml:space="preserve">180 WASHINGTON ST NW</t>
  </si>
  <si>
    <t xml:space="preserve">OH0025172655</t>
  </si>
  <si>
    <t xml:space="preserve">MATEO</t>
  </si>
  <si>
    <t xml:space="preserve">2001-08-04</t>
  </si>
  <si>
    <t xml:space="preserve">OH0022451981</t>
  </si>
  <si>
    <t xml:space="preserve">1976-07-05</t>
  </si>
  <si>
    <t xml:space="preserve">2014-08-19</t>
  </si>
  <si>
    <t xml:space="preserve">OH0025369930</t>
  </si>
  <si>
    <t xml:space="preserve">1978-08-09</t>
  </si>
  <si>
    <t xml:space="preserve">200 WASHINGTON ST NW</t>
  </si>
  <si>
    <t xml:space="preserve">OH0015784850</t>
  </si>
  <si>
    <t xml:space="preserve">HAYDA</t>
  </si>
  <si>
    <t xml:space="preserve">1957-07-27</t>
  </si>
  <si>
    <t xml:space="preserve">2024-02-12</t>
  </si>
  <si>
    <t xml:space="preserve">202 WASHINGTON ST NW</t>
  </si>
  <si>
    <t xml:space="preserve">OH0020025875</t>
  </si>
  <si>
    <t xml:space="preserve">1956-06-30</t>
  </si>
  <si>
    <t xml:space="preserve">2022-06-20</t>
  </si>
  <si>
    <t xml:space="preserve">OH0015798983</t>
  </si>
  <si>
    <t xml:space="preserve">KRIVAN</t>
  </si>
  <si>
    <t xml:space="preserve">1947-07-08</t>
  </si>
  <si>
    <t xml:space="preserve">2025-03-12</t>
  </si>
  <si>
    <t xml:space="preserve">OH0015787646</t>
  </si>
  <si>
    <t xml:space="preserve">1946-01-27</t>
  </si>
  <si>
    <t xml:space="preserve">2019-09-13</t>
  </si>
  <si>
    <t xml:space="preserve">OH0015869630</t>
  </si>
  <si>
    <t xml:space="preserve">1943-05-29</t>
  </si>
  <si>
    <t xml:space="preserve">2022-11-03</t>
  </si>
  <si>
    <t xml:space="preserve">OH0018597625</t>
  </si>
  <si>
    <t xml:space="preserve">TOLES</t>
  </si>
  <si>
    <t xml:space="preserve">1954-12-26</t>
  </si>
  <si>
    <t xml:space="preserve">OH0015704633</t>
  </si>
  <si>
    <t xml:space="preserve">KEARNS</t>
  </si>
  <si>
    <t xml:space="preserve">1953-01-22</t>
  </si>
  <si>
    <t xml:space="preserve">OH0015802798</t>
  </si>
  <si>
    <t xml:space="preserve">PETRILLA</t>
  </si>
  <si>
    <t xml:space="preserve">1937-11-14</t>
  </si>
  <si>
    <t xml:space="preserve">OH0019660556</t>
  </si>
  <si>
    <t xml:space="preserve">1957-07-16</t>
  </si>
  <si>
    <t xml:space="preserve">OH0015719964</t>
  </si>
  <si>
    <t xml:space="preserve">STOUTAMIRE</t>
  </si>
  <si>
    <t xml:space="preserve">2022-03-25</t>
  </si>
  <si>
    <t xml:space="preserve">OH0026442679</t>
  </si>
  <si>
    <t xml:space="preserve">1949-03-30</t>
  </si>
  <si>
    <t xml:space="preserve">OH0026442614</t>
  </si>
  <si>
    <t xml:space="preserve">1942-05-21</t>
  </si>
  <si>
    <t xml:space="preserve">OH0026442593</t>
  </si>
  <si>
    <t xml:space="preserve">BELICH</t>
  </si>
  <si>
    <t xml:space="preserve">1952-08-22</t>
  </si>
  <si>
    <t xml:space="preserve">OH0027599269</t>
  </si>
  <si>
    <t xml:space="preserve">1972-03-18</t>
  </si>
  <si>
    <t xml:space="preserve">OH0015737853</t>
  </si>
  <si>
    <t xml:space="preserve">1952-09-01</t>
  </si>
  <si>
    <t xml:space="preserve">OH0027599328</t>
  </si>
  <si>
    <t xml:space="preserve">CURRY</t>
  </si>
  <si>
    <t xml:space="preserve">1966-03-17</t>
  </si>
  <si>
    <t xml:space="preserve">OH0015760025</t>
  </si>
  <si>
    <t xml:space="preserve">KEOSKEY</t>
  </si>
  <si>
    <t xml:space="preserve">1945-01-17</t>
  </si>
  <si>
    <t xml:space="preserve">1970-09-23</t>
  </si>
  <si>
    <t xml:space="preserve">OH0027232408</t>
  </si>
  <si>
    <t xml:space="preserve">1948-06-20</t>
  </si>
  <si>
    <t xml:space="preserve">OH0015770049</t>
  </si>
  <si>
    <t xml:space="preserve">HUBERT</t>
  </si>
  <si>
    <t xml:space="preserve">1935-02-18</t>
  </si>
  <si>
    <t xml:space="preserve">OH0018583561</t>
  </si>
  <si>
    <t xml:space="preserve">SPRAGUE</t>
  </si>
  <si>
    <t xml:space="preserve">1947-11-08</t>
  </si>
  <si>
    <t xml:space="preserve">OH0015745564</t>
  </si>
  <si>
    <t xml:space="preserve">GONDA</t>
  </si>
  <si>
    <t xml:space="preserve">1954-02-16</t>
  </si>
  <si>
    <t xml:space="preserve">OH0025980650</t>
  </si>
  <si>
    <t xml:space="preserve">RICHTER</t>
  </si>
  <si>
    <t xml:space="preserve">1948-02-28</t>
  </si>
  <si>
    <t xml:space="preserve">OH0027384831</t>
  </si>
  <si>
    <t xml:space="preserve">1958-03-19</t>
  </si>
  <si>
    <t xml:space="preserve">APT 59A</t>
  </si>
  <si>
    <t xml:space="preserve">OH0019843103</t>
  </si>
  <si>
    <t xml:space="preserve">BRANCH</t>
  </si>
  <si>
    <t xml:space="preserve">2016-01-29</t>
  </si>
  <si>
    <t xml:space="preserve">OH0025830980</t>
  </si>
  <si>
    <t xml:space="preserve">SILVER</t>
  </si>
  <si>
    <t xml:space="preserve">1950-01-03</t>
  </si>
  <si>
    <t xml:space="preserve">OH0015766170</t>
  </si>
  <si>
    <t xml:space="preserve">DIVENCENZO</t>
  </si>
  <si>
    <t xml:space="preserve">1949-03-15</t>
  </si>
  <si>
    <t xml:space="preserve">OH0025641982</t>
  </si>
  <si>
    <t xml:space="preserve">CORBIN</t>
  </si>
  <si>
    <t xml:space="preserve">1953-07-15</t>
  </si>
  <si>
    <t xml:space="preserve">OH0015752230</t>
  </si>
  <si>
    <t xml:space="preserve">MILLINER</t>
  </si>
  <si>
    <t xml:space="preserve">1939-02-20</t>
  </si>
  <si>
    <t xml:space="preserve">2022-06-21</t>
  </si>
  <si>
    <t xml:space="preserve">PO BOX 988</t>
  </si>
  <si>
    <t xml:space="preserve">OH0026141775</t>
  </si>
  <si>
    <t xml:space="preserve">WOYCHIK</t>
  </si>
  <si>
    <t xml:space="preserve">1948-06-23</t>
  </si>
  <si>
    <t xml:space="preserve">OH0015817905</t>
  </si>
  <si>
    <t xml:space="preserve">1949-08-31</t>
  </si>
  <si>
    <t xml:space="preserve">230 WASHINGTON ST NW</t>
  </si>
  <si>
    <t xml:space="preserve">OH0015730339</t>
  </si>
  <si>
    <t xml:space="preserve">1970-12-11</t>
  </si>
  <si>
    <t xml:space="preserve">1989-10-10</t>
  </si>
  <si>
    <t xml:space="preserve">246 WASHINGTON ST NW</t>
  </si>
  <si>
    <t xml:space="preserve">OH0022709785</t>
  </si>
  <si>
    <t xml:space="preserve">KOZAK</t>
  </si>
  <si>
    <t xml:space="preserve">CLARICE</t>
  </si>
  <si>
    <t xml:space="preserve">1994-09-06</t>
  </si>
  <si>
    <t xml:space="preserve">2015-01-12</t>
  </si>
  <si>
    <t xml:space="preserve">OH0026032372</t>
  </si>
  <si>
    <t xml:space="preserve">HARDIE</t>
  </si>
  <si>
    <t xml:space="preserve">LEVI</t>
  </si>
  <si>
    <t xml:space="preserve">2000-05-08</t>
  </si>
  <si>
    <t xml:space="preserve">254 WASHINGTON ST NW</t>
  </si>
  <si>
    <t xml:space="preserve">OH0026148195</t>
  </si>
  <si>
    <t xml:space="preserve">WIYANNA</t>
  </si>
  <si>
    <t xml:space="preserve">SHAYE</t>
  </si>
  <si>
    <t xml:space="preserve">1995-12-19</t>
  </si>
  <si>
    <t xml:space="preserve">OH0026240102</t>
  </si>
  <si>
    <t xml:space="preserve">1997-06-11</t>
  </si>
  <si>
    <t xml:space="preserve">2021-07-12</t>
  </si>
  <si>
    <t xml:space="preserve">OH0026148197</t>
  </si>
  <si>
    <t xml:space="preserve">2002-08-02</t>
  </si>
  <si>
    <t xml:space="preserve">2021-02-25</t>
  </si>
  <si>
    <t xml:space="preserve">OH0026247606</t>
  </si>
  <si>
    <t xml:space="preserve">2001-07-05</t>
  </si>
  <si>
    <t xml:space="preserve">OH0023846542</t>
  </si>
  <si>
    <t xml:space="preserve">1962-04-20</t>
  </si>
  <si>
    <t xml:space="preserve">2016-08-13</t>
  </si>
  <si>
    <t xml:space="preserve">262 WASHINGTON ST NW</t>
  </si>
  <si>
    <t xml:space="preserve">OH0023846642</t>
  </si>
  <si>
    <t xml:space="preserve">1970-10-10</t>
  </si>
  <si>
    <t xml:space="preserve">OH0025690915</t>
  </si>
  <si>
    <t xml:space="preserve">ANTHONY JOSEPH</t>
  </si>
  <si>
    <t xml:space="preserve">2002-04-25</t>
  </si>
  <si>
    <t xml:space="preserve">2020-07-21</t>
  </si>
  <si>
    <t xml:space="preserve">OH0025781881</t>
  </si>
  <si>
    <t xml:space="preserve">MIRACLE</t>
  </si>
  <si>
    <t xml:space="preserve">ELIZABETH ROSE</t>
  </si>
  <si>
    <t xml:space="preserve">2000-04-19</t>
  </si>
  <si>
    <t xml:space="preserve">OH0022525125</t>
  </si>
  <si>
    <t xml:space="preserve">1963-12-30</t>
  </si>
  <si>
    <t xml:space="preserve">OH0020528275</t>
  </si>
  <si>
    <t xml:space="preserve">MANCINO</t>
  </si>
  <si>
    <t xml:space="preserve">REBEKAH</t>
  </si>
  <si>
    <t xml:space="preserve">1984-05-02</t>
  </si>
  <si>
    <t xml:space="preserve">2009-01-08</t>
  </si>
  <si>
    <t xml:space="preserve">272 WASHINGTON ST NW</t>
  </si>
  <si>
    <t xml:space="preserve">OH0026297259</t>
  </si>
  <si>
    <t xml:space="preserve">2003-08-11</t>
  </si>
  <si>
    <t xml:space="preserve">370 WASHINGTON ST NW</t>
  </si>
  <si>
    <t xml:space="preserve">OH0015711819</t>
  </si>
  <si>
    <t xml:space="preserve">1947-01-20</t>
  </si>
  <si>
    <t xml:space="preserve">1976-09-29</t>
  </si>
  <si>
    <t xml:space="preserve">408 WASHINGTON ST NW</t>
  </si>
  <si>
    <t xml:space="preserve">OH0015711853</t>
  </si>
  <si>
    <t xml:space="preserve">1951-10-18</t>
  </si>
  <si>
    <t xml:space="preserve">OH0015678791</t>
  </si>
  <si>
    <t xml:space="preserve">YOVICH</t>
  </si>
  <si>
    <t xml:space="preserve">NOLA</t>
  </si>
  <si>
    <t xml:space="preserve">1953-10-08</t>
  </si>
  <si>
    <t xml:space="preserve">2004-07-08</t>
  </si>
  <si>
    <t xml:space="preserve">426 WASHINGTON ST NW</t>
  </si>
  <si>
    <t xml:space="preserve">OH0015676059</t>
  </si>
  <si>
    <t xml:space="preserve">1957-10-12</t>
  </si>
  <si>
    <t xml:space="preserve">2004-07-09</t>
  </si>
  <si>
    <t xml:space="preserve">OH0022432782</t>
  </si>
  <si>
    <t xml:space="preserve">OBERTOTS</t>
  </si>
  <si>
    <t xml:space="preserve">1980-04-04</t>
  </si>
  <si>
    <t xml:space="preserve">2013-04-29</t>
  </si>
  <si>
    <t xml:space="preserve">440 WASHINGTON ST NW</t>
  </si>
  <si>
    <t xml:space="preserve">OH0024243294</t>
  </si>
  <si>
    <t xml:space="preserve">1982-06-26</t>
  </si>
  <si>
    <t xml:space="preserve">450 WASHINGTON ST NW</t>
  </si>
  <si>
    <t xml:space="preserve">OH0015701768</t>
  </si>
  <si>
    <t xml:space="preserve">MAXWELL</t>
  </si>
  <si>
    <t xml:space="preserve">1947-06-22</t>
  </si>
  <si>
    <t xml:space="preserve">460 WASHINGTON ST NW</t>
  </si>
  <si>
    <t xml:space="preserve">P.O. BOX 208</t>
  </si>
  <si>
    <t xml:space="preserve">OH0027178351</t>
  </si>
  <si>
    <t xml:space="preserve">BURNEY</t>
  </si>
  <si>
    <t xml:space="preserve">1989-12-06</t>
  </si>
  <si>
    <t xml:space="preserve">1439 WEST AVE NW</t>
  </si>
  <si>
    <t xml:space="preserve">OH0019216403</t>
  </si>
  <si>
    <t xml:space="preserve">1989-06-26</t>
  </si>
  <si>
    <t xml:space="preserve">2007-07-30</t>
  </si>
  <si>
    <t xml:space="preserve">1449 WEST AVE NW</t>
  </si>
  <si>
    <t xml:space="preserve">OH0021765408</t>
  </si>
  <si>
    <t xml:space="preserve">1994-01-05</t>
  </si>
  <si>
    <t xml:space="preserve">2021-04-06</t>
  </si>
  <si>
    <t xml:space="preserve">OH0027870059</t>
  </si>
  <si>
    <t xml:space="preserve">BLACKMON</t>
  </si>
  <si>
    <t xml:space="preserve">MARKAYSIA</t>
  </si>
  <si>
    <t xml:space="preserve">LYSHAWN</t>
  </si>
  <si>
    <t xml:space="preserve">2003-12-19</t>
  </si>
  <si>
    <t xml:space="preserve">2025-01-03</t>
  </si>
  <si>
    <t xml:space="preserve">1459 WEST AVE NW</t>
  </si>
  <si>
    <t xml:space="preserve">OH0015782525</t>
  </si>
  <si>
    <t xml:space="preserve">1979-01-29</t>
  </si>
  <si>
    <t xml:space="preserve">2024-08-28</t>
  </si>
  <si>
    <t xml:space="preserve">1479 WEST AVE NW</t>
  </si>
  <si>
    <t xml:space="preserve">OH0019200565</t>
  </si>
  <si>
    <t xml:space="preserve">SHANEKKA</t>
  </si>
  <si>
    <t xml:space="preserve">1987-08-27</t>
  </si>
  <si>
    <t xml:space="preserve">2018-03-26</t>
  </si>
  <si>
    <t xml:space="preserve">1529 WEST AVE NW</t>
  </si>
  <si>
    <t xml:space="preserve">OH0015812486</t>
  </si>
  <si>
    <t xml:space="preserve">1960-06-17</t>
  </si>
  <si>
    <t xml:space="preserve">1532 WEST AVE NW</t>
  </si>
  <si>
    <t xml:space="preserve">OH0023639608</t>
  </si>
  <si>
    <t xml:space="preserve">LATONYA</t>
  </si>
  <si>
    <t xml:space="preserve">1984-10-07</t>
  </si>
  <si>
    <t xml:space="preserve">2019-10-25</t>
  </si>
  <si>
    <t xml:space="preserve">1539 WEST AVE NW</t>
  </si>
  <si>
    <t xml:space="preserve">OH0027083342</t>
  </si>
  <si>
    <t xml:space="preserve">VERINDA</t>
  </si>
  <si>
    <t xml:space="preserve">2023-09-26</t>
  </si>
  <si>
    <t xml:space="preserve">1549 WEST AVE NW</t>
  </si>
  <si>
    <t xml:space="preserve">OH0026402285</t>
  </si>
  <si>
    <t xml:space="preserve">HOOKS</t>
  </si>
  <si>
    <t xml:space="preserve">PARIS</t>
  </si>
  <si>
    <t xml:space="preserve">2023-12-31</t>
  </si>
  <si>
    <t xml:space="preserve">OH0018864067</t>
  </si>
  <si>
    <t xml:space="preserve">1970-12-03</t>
  </si>
  <si>
    <t xml:space="preserve">1617 WEST AVE NW</t>
  </si>
  <si>
    <t xml:space="preserve">OH0018597750</t>
  </si>
  <si>
    <t xml:space="preserve">1976-03-28</t>
  </si>
  <si>
    <t xml:space="preserve">2021-01-13</t>
  </si>
  <si>
    <t xml:space="preserve">OH0026030714</t>
  </si>
  <si>
    <t xml:space="preserve">FAKO</t>
  </si>
  <si>
    <t xml:space="preserve">1987-05-08</t>
  </si>
  <si>
    <t xml:space="preserve">1627 WEST AVE NW</t>
  </si>
  <si>
    <t xml:space="preserve">OH0018830345</t>
  </si>
  <si>
    <t xml:space="preserve">FELICIA</t>
  </si>
  <si>
    <t xml:space="preserve">1987-07-31</t>
  </si>
  <si>
    <t xml:space="preserve">1647 WEST AVE NW</t>
  </si>
  <si>
    <t xml:space="preserve">OH0015746294</t>
  </si>
  <si>
    <t xml:space="preserve">1986-07-15</t>
  </si>
  <si>
    <t xml:space="preserve">OH0026503237</t>
  </si>
  <si>
    <t xml:space="preserve">DILIBERTO</t>
  </si>
  <si>
    <t xml:space="preserve">OH0015684414</t>
  </si>
  <si>
    <t xml:space="preserve">GARVEY</t>
  </si>
  <si>
    <t xml:space="preserve">1946-03-30</t>
  </si>
  <si>
    <t xml:space="preserve">1661 WEST AVE NW</t>
  </si>
  <si>
    <t xml:space="preserve">OH0026407479</t>
  </si>
  <si>
    <t xml:space="preserve">SHERITY</t>
  </si>
  <si>
    <t xml:space="preserve">1977-07-21</t>
  </si>
  <si>
    <t xml:space="preserve">2022-01-24</t>
  </si>
  <si>
    <t xml:space="preserve">1669 WEST AVE NW</t>
  </si>
  <si>
    <t xml:space="preserve">OH0023335281</t>
  </si>
  <si>
    <t xml:space="preserve">YAROLIN</t>
  </si>
  <si>
    <t xml:space="preserve">1952-10-17</t>
  </si>
  <si>
    <t xml:space="preserve">1676 WEST AVE NW</t>
  </si>
  <si>
    <t xml:space="preserve">OH0022387300</t>
  </si>
  <si>
    <t xml:space="preserve">DORSHANNA</t>
  </si>
  <si>
    <t xml:space="preserve">1981-01-27</t>
  </si>
  <si>
    <t xml:space="preserve">OH0023770804</t>
  </si>
  <si>
    <t xml:space="preserve">CARRILLO</t>
  </si>
  <si>
    <t xml:space="preserve">RUBEN</t>
  </si>
  <si>
    <t xml:space="preserve">1986-08-22</t>
  </si>
  <si>
    <t xml:space="preserve">1677 WEST AVE NW</t>
  </si>
  <si>
    <t xml:space="preserve">OH0015809842</t>
  </si>
  <si>
    <t xml:space="preserve">PORTERFIELD</t>
  </si>
  <si>
    <t xml:space="preserve">1969-07-10</t>
  </si>
  <si>
    <t xml:space="preserve">1689 WEST AVE NW</t>
  </si>
  <si>
    <t xml:space="preserve">OH0023489363</t>
  </si>
  <si>
    <t xml:space="preserve">KISEAN</t>
  </si>
  <si>
    <t xml:space="preserve">1998-10-27</t>
  </si>
  <si>
    <t xml:space="preserve">OH0023716932</t>
  </si>
  <si>
    <t xml:space="preserve">1975-11-13</t>
  </si>
  <si>
    <t xml:space="preserve">2023-06-18</t>
  </si>
  <si>
    <t xml:space="preserve">1690 WEST AVE NW</t>
  </si>
  <si>
    <t xml:space="preserve">OH0019049151</t>
  </si>
  <si>
    <t xml:space="preserve">1947-02-24</t>
  </si>
  <si>
    <t xml:space="preserve">2021-09-25</t>
  </si>
  <si>
    <t xml:space="preserve">OH0019656162</t>
  </si>
  <si>
    <t xml:space="preserve">YOLANDA</t>
  </si>
  <si>
    <t xml:space="preserve">1979-09-26</t>
  </si>
  <si>
    <t xml:space="preserve">1701 WEST AVE NW</t>
  </si>
  <si>
    <t xml:space="preserve">OH0027067667</t>
  </si>
  <si>
    <t xml:space="preserve">EMARI</t>
  </si>
  <si>
    <t xml:space="preserve">JOI FAITH</t>
  </si>
  <si>
    <t xml:space="preserve">2005-05-04</t>
  </si>
  <si>
    <t xml:space="preserve">OH0024361752</t>
  </si>
  <si>
    <t xml:space="preserve">ESSENCE</t>
  </si>
  <si>
    <t xml:space="preserve">RENAI</t>
  </si>
  <si>
    <t xml:space="preserve">1999-06-01</t>
  </si>
  <si>
    <t xml:space="preserve">OH0015808877</t>
  </si>
  <si>
    <t xml:space="preserve">1959-07-04</t>
  </si>
  <si>
    <t xml:space="preserve">2008-11-04</t>
  </si>
  <si>
    <t xml:space="preserve">1711 WEST AVE NW</t>
  </si>
  <si>
    <t xml:space="preserve">OH0025111274</t>
  </si>
  <si>
    <t xml:space="preserve">STANISLAW</t>
  </si>
  <si>
    <t xml:space="preserve">1999-03-20</t>
  </si>
  <si>
    <t xml:space="preserve">1721 WEST AVE NW</t>
  </si>
  <si>
    <t xml:space="preserve">OH0015764581</t>
  </si>
  <si>
    <t xml:space="preserve">1976-04-10</t>
  </si>
  <si>
    <t xml:space="preserve">1994-03-18</t>
  </si>
  <si>
    <t xml:space="preserve">OH0015743052</t>
  </si>
  <si>
    <t xml:space="preserve">VANKIRK</t>
  </si>
  <si>
    <t xml:space="preserve">1960-06-26</t>
  </si>
  <si>
    <t xml:space="preserve">1991-09-03</t>
  </si>
  <si>
    <t xml:space="preserve">1722 WEST AVE NW</t>
  </si>
  <si>
    <t xml:space="preserve">OH0015769568</t>
  </si>
  <si>
    <t xml:space="preserve">HAAS</t>
  </si>
  <si>
    <t xml:space="preserve">1960-03-07</t>
  </si>
  <si>
    <t xml:space="preserve">1979-10-01</t>
  </si>
  <si>
    <t xml:space="preserve">OH0022443466</t>
  </si>
  <si>
    <t xml:space="preserve">1951-08-24</t>
  </si>
  <si>
    <t xml:space="preserve">1733 WEST AVE NW</t>
  </si>
  <si>
    <t xml:space="preserve">OH0015817986</t>
  </si>
  <si>
    <t xml:space="preserve">1996-09-26</t>
  </si>
  <si>
    <t xml:space="preserve">1741 WEST AVE NW</t>
  </si>
  <si>
    <t xml:space="preserve">OH0015783428</t>
  </si>
  <si>
    <t xml:space="preserve">OH0015694956</t>
  </si>
  <si>
    <t xml:space="preserve">HOUSTON</t>
  </si>
  <si>
    <t xml:space="preserve">DANNY</t>
  </si>
  <si>
    <t xml:space="preserve">1951-04-16</t>
  </si>
  <si>
    <t xml:space="preserve">2019-08-22</t>
  </si>
  <si>
    <t xml:space="preserve">1751 WEST AVE NW</t>
  </si>
  <si>
    <t xml:space="preserve">OH0015764663</t>
  </si>
  <si>
    <t xml:space="preserve">MEASE</t>
  </si>
  <si>
    <t xml:space="preserve">1973-08-19</t>
  </si>
  <si>
    <t xml:space="preserve">2002-10-06</t>
  </si>
  <si>
    <t xml:space="preserve">1764 WEST AVE NW</t>
  </si>
  <si>
    <t xml:space="preserve">OH0026063307</t>
  </si>
  <si>
    <t xml:space="preserve">1966-09-12</t>
  </si>
  <si>
    <t xml:space="preserve">1771 WEST AVE NW</t>
  </si>
  <si>
    <t xml:space="preserve">OH0020301661</t>
  </si>
  <si>
    <t xml:space="preserve">WOODFORD</t>
  </si>
  <si>
    <t xml:space="preserve">1988-05-04</t>
  </si>
  <si>
    <t xml:space="preserve">2018-01-09</t>
  </si>
  <si>
    <t xml:space="preserve">1782 WEST AVE NW</t>
  </si>
  <si>
    <t xml:space="preserve">OH0026231344</t>
  </si>
  <si>
    <t xml:space="preserve">GOSS</t>
  </si>
  <si>
    <t xml:space="preserve">RUTHANNE</t>
  </si>
  <si>
    <t xml:space="preserve">2003-03-15</t>
  </si>
  <si>
    <t xml:space="preserve">OH0021453875</t>
  </si>
  <si>
    <t xml:space="preserve">1982-12-29</t>
  </si>
  <si>
    <t xml:space="preserve">OH0015798510</t>
  </si>
  <si>
    <t xml:space="preserve">MARLIN</t>
  </si>
  <si>
    <t xml:space="preserve">1984-10-15</t>
  </si>
  <si>
    <t xml:space="preserve">2021-01-29</t>
  </si>
  <si>
    <t xml:space="preserve">OH0015789890</t>
  </si>
  <si>
    <t xml:space="preserve">AGNES</t>
  </si>
  <si>
    <t xml:space="preserve">1928-08-07</t>
  </si>
  <si>
    <t xml:space="preserve">1820 WEST AVE NW</t>
  </si>
  <si>
    <t xml:space="preserve">OH0026611678</t>
  </si>
  <si>
    <t xml:space="preserve">BRYANT BRIGGS</t>
  </si>
  <si>
    <t xml:space="preserve">MYKAILA DENYSE</t>
  </si>
  <si>
    <t xml:space="preserve">KAREE</t>
  </si>
  <si>
    <t xml:space="preserve">2004-03-01</t>
  </si>
  <si>
    <t xml:space="preserve">OH0015808618</t>
  </si>
  <si>
    <t xml:space="preserve">MICKOL</t>
  </si>
  <si>
    <t xml:space="preserve">1983-10-13</t>
  </si>
  <si>
    <t xml:space="preserve">OH0026203475</t>
  </si>
  <si>
    <t xml:space="preserve">OFARRILL</t>
  </si>
  <si>
    <t xml:space="preserve">MAYLIN</t>
  </si>
  <si>
    <t xml:space="preserve">1974-02-22</t>
  </si>
  <si>
    <t xml:space="preserve">2021-05-14</t>
  </si>
  <si>
    <t xml:space="preserve">826 WHITTIER PL NE</t>
  </si>
  <si>
    <t xml:space="preserve">OH0021385001</t>
  </si>
  <si>
    <t xml:space="preserve">2016-05-24</t>
  </si>
  <si>
    <t xml:space="preserve">OH0021995337</t>
  </si>
  <si>
    <t xml:space="preserve">HINKLE</t>
  </si>
  <si>
    <t xml:space="preserve">KERRISTAN</t>
  </si>
  <si>
    <t xml:space="preserve">1992-06-24</t>
  </si>
  <si>
    <t xml:space="preserve">827 WHITTIER PL NE</t>
  </si>
  <si>
    <t xml:space="preserve">OH0023694730</t>
  </si>
  <si>
    <t xml:space="preserve">WHITSEL</t>
  </si>
  <si>
    <t xml:space="preserve">1982-11-16</t>
  </si>
  <si>
    <t xml:space="preserve">1634 WILSON AVE NW</t>
  </si>
  <si>
    <t xml:space="preserve">OH0019827249</t>
  </si>
  <si>
    <t xml:space="preserve">SAVITTS</t>
  </si>
  <si>
    <t xml:space="preserve">1989-09-29</t>
  </si>
  <si>
    <t xml:space="preserve">OH0023646182</t>
  </si>
  <si>
    <t xml:space="preserve">STROHMEYER</t>
  </si>
  <si>
    <t xml:space="preserve">JERIMIAH</t>
  </si>
  <si>
    <t xml:space="preserve">1976-07-30</t>
  </si>
  <si>
    <t xml:space="preserve">1637 WILSON AVE NW</t>
  </si>
  <si>
    <t xml:space="preserve">OH0023543055</t>
  </si>
  <si>
    <t xml:space="preserve">OH0026214086</t>
  </si>
  <si>
    <t xml:space="preserve">HANISH</t>
  </si>
  <si>
    <t xml:space="preserve">CHEYENNE</t>
  </si>
  <si>
    <t xml:space="preserve">1998-06-16</t>
  </si>
  <si>
    <t xml:space="preserve">OH0015793323</t>
  </si>
  <si>
    <t xml:space="preserve">BUCCI</t>
  </si>
  <si>
    <t xml:space="preserve">1965-01-21</t>
  </si>
  <si>
    <t xml:space="preserve">2002-01-26</t>
  </si>
  <si>
    <t xml:space="preserve">1647 WILSON AVE NW</t>
  </si>
  <si>
    <t xml:space="preserve">OH0015793241</t>
  </si>
  <si>
    <t xml:space="preserve">1958-08-23</t>
  </si>
  <si>
    <t xml:space="preserve">1998-01-23</t>
  </si>
  <si>
    <t xml:space="preserve">OH0025062037</t>
  </si>
  <si>
    <t xml:space="preserve">STASSIN</t>
  </si>
  <si>
    <t xml:space="preserve">NEVAEH</t>
  </si>
  <si>
    <t xml:space="preserve">2001-09-03</t>
  </si>
  <si>
    <t xml:space="preserve">2024-12-02</t>
  </si>
  <si>
    <t xml:space="preserve">1657 WILSON AVE NW</t>
  </si>
  <si>
    <t xml:space="preserve">OH0024307762</t>
  </si>
  <si>
    <t xml:space="preserve">ADONETTO</t>
  </si>
  <si>
    <t xml:space="preserve">ROSEANN</t>
  </si>
  <si>
    <t xml:space="preserve">1981-05-06</t>
  </si>
  <si>
    <t xml:space="preserve">2018-04-24</t>
  </si>
  <si>
    <t xml:space="preserve">OH0027977768</t>
  </si>
  <si>
    <t xml:space="preserve">SAMONE</t>
  </si>
  <si>
    <t xml:space="preserve">2006-11-27</t>
  </si>
  <si>
    <t xml:space="preserve">1677 WILSON AVE NW</t>
  </si>
  <si>
    <t xml:space="preserve">OH0015729709</t>
  </si>
  <si>
    <t xml:space="preserve">KAHEMBA</t>
  </si>
  <si>
    <t xml:space="preserve">1974-02-28</t>
  </si>
  <si>
    <t xml:space="preserve">2015-03-30</t>
  </si>
  <si>
    <t xml:space="preserve">OH0015726569</t>
  </si>
  <si>
    <t xml:space="preserve">1976-06-29</t>
  </si>
  <si>
    <t xml:space="preserve">OH0025451688</t>
  </si>
  <si>
    <t xml:space="preserve">BRAEDEN</t>
  </si>
  <si>
    <t xml:space="preserve">NYASHA</t>
  </si>
  <si>
    <t xml:space="preserve">2002-04-03</t>
  </si>
  <si>
    <t xml:space="preserve">OH0026374985</t>
  </si>
  <si>
    <t xml:space="preserve">1968-09-27</t>
  </si>
  <si>
    <t xml:space="preserve">2021-12-02</t>
  </si>
  <si>
    <t xml:space="preserve">2051 WILSON AVE NW</t>
  </si>
  <si>
    <t xml:space="preserve">OH0015935347</t>
  </si>
  <si>
    <t xml:space="preserve">POLITSKY</t>
  </si>
  <si>
    <t xml:space="preserve">1959-05-24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</si>
</sst>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EH28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394" activePane="bottomLeft" state="frozen"/>
      <selection pane="topLeft" activeCell="A1" activeCellId="0" sqref="A1"/>
      <selection pane="bottomLeft" activeCell="E1394" activeCellId="0" sqref="E1394"/>
    </sheetView>
  </sheetViews>
  <sheetFormatPr defaultColWidth="8.6875" defaultRowHeight="13.8" zeroHeight="false" outlineLevelRow="0" outlineLevelCol="0"/>
  <cols>
    <col collapsed="false" customWidth="false" hidden="true" outlineLevel="0" max="3" min="1" style="0" width="8.67"/>
    <col collapsed="false" customWidth="true" hidden="true" outlineLevel="0" max="4" min="4" style="0" width="15.42"/>
    <col collapsed="false" customWidth="true" hidden="false" outlineLevel="0" max="5" min="5" style="0" width="15.42"/>
    <col collapsed="false" customWidth="true" hidden="false" outlineLevel="0" max="6" min="6" style="0" width="32.93"/>
    <col collapsed="false" customWidth="false" hidden="true" outlineLevel="0" max="8" min="7" style="0" width="8.67"/>
    <col collapsed="false" customWidth="false" hidden="true" outlineLevel="0" max="11" min="10" style="0" width="8.67"/>
    <col collapsed="false" customWidth="true" hidden="false" outlineLevel="0" max="12" min="12" style="1" width="4.58"/>
    <col collapsed="false" customWidth="true" hidden="false" outlineLevel="0" max="13" min="13" style="0" width="27.09"/>
    <col collapsed="false" customWidth="true" hidden="true" outlineLevel="0" max="14" min="14" style="0" width="18.47"/>
    <col collapsed="false" customWidth="true" hidden="false" outlineLevel="0" max="15" min="15" style="0" width="6.24"/>
    <col collapsed="false" customWidth="false" hidden="true" outlineLevel="0" max="46" min="16" style="0" width="8.67"/>
    <col collapsed="false" customWidth="true" hidden="false" outlineLevel="0" max="50" min="47" style="0" width="3.89"/>
    <col collapsed="false" customWidth="true" hidden="false" outlineLevel="0" max="51" min="51" style="0" width="5.96"/>
    <col collapsed="false" customWidth="true" hidden="false" outlineLevel="0" max="52" min="52" style="0" width="3.89"/>
    <col collapsed="false" customWidth="false" hidden="true" outlineLevel="0" max="53" min="53" style="0" width="8.6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</row>
    <row r="2" customFormat="false" ht="13.8" hidden="true" customHeight="false" outlineLevel="0" collapsed="false">
      <c r="A2" s="0" t="s">
        <v>138</v>
      </c>
      <c r="B2" s="0" t="n">
        <v>78</v>
      </c>
      <c r="C2" s="0" t="n">
        <v>321525</v>
      </c>
      <c r="D2" s="0" t="s">
        <v>139</v>
      </c>
      <c r="E2" s="0" t="s">
        <v>140</v>
      </c>
      <c r="F2" s="0" t="str">
        <f aca="false">CONCATENATE(D2," ",LEFT(H2,4),"T=",AU2,"D=",AV2,"R=",AW2,"M=",AX2,"L=",AY2,"B=",AZ2)</f>
        <v>ALLEN T=19D=3R=0M=0L=0B=0</v>
      </c>
      <c r="G2" s="0" t="s">
        <v>141</v>
      </c>
      <c r="I2" s="0" t="s">
        <v>142</v>
      </c>
      <c r="J2" s="0" t="s">
        <v>143</v>
      </c>
      <c r="K2" s="0" t="s">
        <v>144</v>
      </c>
      <c r="L2" s="0"/>
      <c r="M2" s="0" t="s">
        <v>145</v>
      </c>
      <c r="N2" s="0" t="str">
        <f aca="false">RIGHT(M2,LEN(M2)-FIND(" ",M2))</f>
        <v>ADAMS AVE NW</v>
      </c>
      <c r="P2" s="0" t="s">
        <v>146</v>
      </c>
      <c r="Q2" s="0" t="s">
        <v>147</v>
      </c>
      <c r="R2" s="0" t="n">
        <v>44483</v>
      </c>
      <c r="AD2" s="0" t="s">
        <v>148</v>
      </c>
      <c r="AE2" s="0" t="s">
        <v>149</v>
      </c>
      <c r="AF2" s="0" t="s">
        <v>150</v>
      </c>
      <c r="AH2" s="0" t="n">
        <v>14</v>
      </c>
      <c r="AI2" s="0" t="n">
        <v>11</v>
      </c>
      <c r="AN2" s="0" t="s">
        <v>146</v>
      </c>
      <c r="AO2" s="0" t="s">
        <v>151</v>
      </c>
      <c r="AP2" s="0" t="s">
        <v>152</v>
      </c>
      <c r="AQ2" s="0" t="n">
        <v>9</v>
      </c>
      <c r="AR2" s="0" t="n">
        <v>64</v>
      </c>
      <c r="AS2" s="0" t="n">
        <v>32</v>
      </c>
      <c r="AU2" s="0" t="n">
        <f aca="false">COUNTA($BA$2054:$EH$2054)</f>
        <v>19</v>
      </c>
      <c r="AV2" s="0" t="n">
        <f aca="false">COUNTIF($BA$2054:$EH$2054,"D")</f>
        <v>3</v>
      </c>
      <c r="AW2" s="0" t="n">
        <f aca="false">COUNTIF($BA$2054:$EH$2054,"R")</f>
        <v>0</v>
      </c>
      <c r="AX2" s="0" t="n">
        <f aca="false"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>0</v>
      </c>
      <c r="AY2" s="0" t="n">
        <f aca="false">COUNTIF(DU2:EH2, "&lt;&gt;")</f>
        <v>0</v>
      </c>
      <c r="AZ2" s="0" t="n">
        <f aca="false">IF(EH2&lt;&gt;"",1,0)</f>
        <v>0</v>
      </c>
      <c r="BB2" s="0" t="s">
        <v>153</v>
      </c>
      <c r="BL2" s="0" t="s">
        <v>154</v>
      </c>
      <c r="BS2" s="0" t="s">
        <v>154</v>
      </c>
      <c r="BY2" s="0" t="s">
        <v>155</v>
      </c>
      <c r="CA2" s="0" t="s">
        <v>154</v>
      </c>
      <c r="CP2" s="0" t="s">
        <v>154</v>
      </c>
      <c r="DC2" s="0" t="s">
        <v>154</v>
      </c>
    </row>
    <row r="3" customFormat="false" ht="13.8" hidden="true" customHeight="false" outlineLevel="0" collapsed="false">
      <c r="A3" s="0" t="s">
        <v>156</v>
      </c>
      <c r="B3" s="0" t="n">
        <v>78</v>
      </c>
      <c r="C3" s="0" t="n">
        <v>278220</v>
      </c>
      <c r="D3" s="0" t="s">
        <v>157</v>
      </c>
      <c r="E3" s="0" t="s">
        <v>158</v>
      </c>
      <c r="F3" s="0" t="str">
        <f aca="false">CONCATENATE(D3," ",LEFT(H3,4),"T=",AU3,"D=",AV3,"R=",AW3,"M=",AX3,"L=",AY3,"B=",AZ3)</f>
        <v>RINEHART T=4D=0R=0M=0L=0B=0</v>
      </c>
      <c r="G3" s="0" t="s">
        <v>159</v>
      </c>
      <c r="I3" s="0" t="s">
        <v>160</v>
      </c>
      <c r="J3" s="0" t="s">
        <v>161</v>
      </c>
      <c r="K3" s="0" t="s">
        <v>144</v>
      </c>
      <c r="L3" s="0"/>
      <c r="M3" s="0" t="s">
        <v>162</v>
      </c>
      <c r="N3" s="0" t="str">
        <f aca="false">RIGHT(M3,LEN(M3)-FIND(" ",M3))</f>
        <v>ADAMS AVE NW</v>
      </c>
      <c r="P3" s="0" t="s">
        <v>146</v>
      </c>
      <c r="Q3" s="0" t="s">
        <v>147</v>
      </c>
      <c r="R3" s="0" t="n">
        <v>44483</v>
      </c>
      <c r="AD3" s="0" t="s">
        <v>148</v>
      </c>
      <c r="AE3" s="0" t="s">
        <v>149</v>
      </c>
      <c r="AF3" s="0" t="s">
        <v>150</v>
      </c>
      <c r="AH3" s="0" t="n">
        <v>14</v>
      </c>
      <c r="AI3" s="0" t="n">
        <v>11</v>
      </c>
      <c r="AN3" s="0" t="s">
        <v>146</v>
      </c>
      <c r="AO3" s="0" t="s">
        <v>151</v>
      </c>
      <c r="AP3" s="0" t="s">
        <v>152</v>
      </c>
      <c r="AQ3" s="0" t="n">
        <v>9</v>
      </c>
      <c r="AR3" s="0" t="n">
        <v>64</v>
      </c>
      <c r="AS3" s="0" t="n">
        <v>32</v>
      </c>
      <c r="AU3" s="0" t="n">
        <f aca="false">COUNTA($BA$1148:$EH$1148)</f>
        <v>4</v>
      </c>
      <c r="AV3" s="0" t="n">
        <f aca="false">COUNTIF($BA$1148:$EH$1148,"D")</f>
        <v>0</v>
      </c>
      <c r="AW3" s="0" t="n">
        <f aca="false">COUNTIF($BA$1148:$EH$1148,"R")</f>
        <v>0</v>
      </c>
      <c r="AX3" s="0" t="n">
        <f aca="false"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>0</v>
      </c>
      <c r="AY3" s="0" t="n">
        <f aca="false">COUNTIF(DU3:EH3, "&lt;&gt;")</f>
        <v>0</v>
      </c>
      <c r="AZ3" s="0" t="n">
        <f aca="false">IF(EH3&lt;&gt;"",1,0)</f>
        <v>0</v>
      </c>
      <c r="BB3" s="0" t="s">
        <v>153</v>
      </c>
      <c r="BD3" s="0" t="s">
        <v>154</v>
      </c>
      <c r="BE3" s="0" t="s">
        <v>154</v>
      </c>
      <c r="BH3" s="0" t="s">
        <v>154</v>
      </c>
      <c r="BJ3" s="0" t="s">
        <v>154</v>
      </c>
      <c r="BK3" s="0" t="s">
        <v>154</v>
      </c>
      <c r="BL3" s="0" t="s">
        <v>154</v>
      </c>
      <c r="BR3" s="0" t="s">
        <v>154</v>
      </c>
      <c r="BS3" s="0" t="s">
        <v>154</v>
      </c>
      <c r="BY3" s="0" t="s">
        <v>155</v>
      </c>
      <c r="CA3" s="0" t="s">
        <v>154</v>
      </c>
      <c r="CG3" s="0" t="s">
        <v>154</v>
      </c>
      <c r="CH3" s="0" t="s">
        <v>155</v>
      </c>
      <c r="CP3" s="0" t="s">
        <v>154</v>
      </c>
      <c r="CY3" s="0" t="s">
        <v>154</v>
      </c>
      <c r="CZ3" s="0" t="s">
        <v>155</v>
      </c>
      <c r="DC3" s="0" t="s">
        <v>154</v>
      </c>
      <c r="DN3" s="0" t="s">
        <v>154</v>
      </c>
    </row>
    <row r="4" customFormat="false" ht="13.8" hidden="true" customHeight="false" outlineLevel="0" collapsed="false">
      <c r="A4" s="0" t="s">
        <v>163</v>
      </c>
      <c r="B4" s="0" t="n">
        <v>78</v>
      </c>
      <c r="C4" s="0" t="n">
        <v>415937</v>
      </c>
      <c r="D4" s="0" t="s">
        <v>164</v>
      </c>
      <c r="E4" s="0" t="s">
        <v>165</v>
      </c>
      <c r="F4" s="0" t="str">
        <f aca="false">CONCATENATE(D4," ",LEFT(H4,4),"T=",AU4,"D=",AV4,"R=",AW4,"M=",AX4,"L=",AY4,"B=",AZ4)</f>
        <v>DUFFEY T=1D=0R=0M=0L=0B=0</v>
      </c>
      <c r="G4" s="0" t="s">
        <v>166</v>
      </c>
      <c r="I4" s="0" t="s">
        <v>167</v>
      </c>
      <c r="J4" s="0" t="s">
        <v>168</v>
      </c>
      <c r="K4" s="0" t="s">
        <v>144</v>
      </c>
      <c r="L4" s="0"/>
      <c r="M4" s="0" t="s">
        <v>162</v>
      </c>
      <c r="N4" s="0" t="str">
        <f aca="false">RIGHT(M4,LEN(M4)-FIND(" ",M4))</f>
        <v>ADAMS AVE NW</v>
      </c>
      <c r="P4" s="0" t="s">
        <v>146</v>
      </c>
      <c r="Q4" s="0" t="s">
        <v>147</v>
      </c>
      <c r="R4" s="0" t="n">
        <v>44483</v>
      </c>
      <c r="AD4" s="0" t="s">
        <v>148</v>
      </c>
      <c r="AE4" s="0" t="s">
        <v>149</v>
      </c>
      <c r="AF4" s="0" t="s">
        <v>150</v>
      </c>
      <c r="AH4" s="0" t="n">
        <v>14</v>
      </c>
      <c r="AI4" s="0" t="n">
        <v>11</v>
      </c>
      <c r="AN4" s="0" t="s">
        <v>146</v>
      </c>
      <c r="AO4" s="0" t="s">
        <v>151</v>
      </c>
      <c r="AP4" s="0" t="s">
        <v>152</v>
      </c>
      <c r="AQ4" s="0" t="n">
        <v>9</v>
      </c>
      <c r="AR4" s="0" t="n">
        <v>64</v>
      </c>
      <c r="AS4" s="0" t="n">
        <v>32</v>
      </c>
      <c r="AU4" s="0" t="n">
        <f aca="false">COUNTA($BA$1859:$EH$1859)</f>
        <v>1</v>
      </c>
      <c r="AV4" s="0" t="n">
        <f aca="false">COUNTIF($BA$1859:$EH$1859,"D")</f>
        <v>0</v>
      </c>
      <c r="AW4" s="0" t="n">
        <f aca="false">COUNTIF($BA$1859:$EH$1859,"R")</f>
        <v>0</v>
      </c>
      <c r="AX4" s="0" t="n">
        <f aca="false"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>0</v>
      </c>
      <c r="AY4" s="0" t="n">
        <f aca="false">COUNTIF(DU4:EH4, "&lt;&gt;")</f>
        <v>0</v>
      </c>
      <c r="AZ4" s="0" t="n">
        <f aca="false">IF(EH4&lt;&gt;"",1,0)</f>
        <v>0</v>
      </c>
      <c r="BB4" s="0" t="s">
        <v>153</v>
      </c>
    </row>
    <row r="5" customFormat="false" ht="13.8" hidden="false" customHeight="false" outlineLevel="0" collapsed="false">
      <c r="A5" s="0" t="s">
        <v>169</v>
      </c>
      <c r="B5" s="0" t="n">
        <v>78</v>
      </c>
      <c r="C5" s="0" t="n">
        <v>161956</v>
      </c>
      <c r="D5" s="0" t="s">
        <v>170</v>
      </c>
      <c r="E5" s="0" t="s">
        <v>171</v>
      </c>
      <c r="F5" s="0" t="str">
        <f aca="false">CONCATENATE(D5," ",LEFT(H5,4),"T=",AU5,"D=",AV5,"R=",AW5,"M=",AX5,"L=",AY5,"B=",AZ5)</f>
        <v>WEISENBORN T=11D=1R=0M=0L=4B=0</v>
      </c>
      <c r="G5" s="0" t="s">
        <v>172</v>
      </c>
      <c r="I5" s="0" t="s">
        <v>173</v>
      </c>
      <c r="J5" s="0" t="s">
        <v>174</v>
      </c>
      <c r="K5" s="0" t="s">
        <v>175</v>
      </c>
      <c r="L5" s="1" t="s">
        <v>176</v>
      </c>
      <c r="M5" s="0" t="s">
        <v>177</v>
      </c>
      <c r="N5" s="0" t="str">
        <f aca="false">RIGHT(M5,LEN(M5)-FIND(" ",M5))</f>
        <v>ADAMS AVE NW</v>
      </c>
      <c r="P5" s="0" t="s">
        <v>146</v>
      </c>
      <c r="Q5" s="0" t="s">
        <v>147</v>
      </c>
      <c r="R5" s="0" t="n">
        <v>44483</v>
      </c>
      <c r="AD5" s="0" t="s">
        <v>148</v>
      </c>
      <c r="AE5" s="0" t="s">
        <v>149</v>
      </c>
      <c r="AF5" s="0" t="s">
        <v>150</v>
      </c>
      <c r="AH5" s="0" t="n">
        <v>14</v>
      </c>
      <c r="AI5" s="0" t="n">
        <v>11</v>
      </c>
      <c r="AN5" s="0" t="s">
        <v>146</v>
      </c>
      <c r="AO5" s="0" t="s">
        <v>151</v>
      </c>
      <c r="AP5" s="0" t="s">
        <v>152</v>
      </c>
      <c r="AQ5" s="0" t="n">
        <v>9</v>
      </c>
      <c r="AR5" s="0" t="n">
        <v>64</v>
      </c>
      <c r="AS5" s="0" t="n">
        <v>32</v>
      </c>
      <c r="AU5" s="0" t="n">
        <f aca="false">COUNTA($BA$1187:$EH$1187)</f>
        <v>11</v>
      </c>
      <c r="AV5" s="0" t="n">
        <f aca="false">COUNTIF($BA$1187:$EH$1187,"D")</f>
        <v>1</v>
      </c>
      <c r="AW5" s="0" t="n">
        <f aca="false">COUNTIF($BA$1187:$EH$1187,"R")</f>
        <v>0</v>
      </c>
      <c r="AX5" s="0" t="n">
        <f aca="false"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>0</v>
      </c>
      <c r="AY5" s="0" t="n">
        <f aca="false">COUNTIF(DU5:EH5, "&lt;&gt;")</f>
        <v>4</v>
      </c>
      <c r="AZ5" s="0" t="n">
        <f aca="false">IF(EH5&lt;&gt;"",1,0)</f>
        <v>0</v>
      </c>
      <c r="BB5" s="0" t="s">
        <v>153</v>
      </c>
      <c r="BC5" s="0" t="s">
        <v>154</v>
      </c>
      <c r="BD5" s="0" t="s">
        <v>154</v>
      </c>
      <c r="BH5" s="0" t="s">
        <v>154</v>
      </c>
      <c r="BJ5" s="0" t="s">
        <v>154</v>
      </c>
      <c r="BL5" s="0" t="s">
        <v>154</v>
      </c>
      <c r="BP5" s="0" t="s">
        <v>154</v>
      </c>
      <c r="BS5" s="0" t="s">
        <v>154</v>
      </c>
      <c r="BY5" s="0" t="s">
        <v>155</v>
      </c>
      <c r="CA5" s="0" t="s">
        <v>154</v>
      </c>
      <c r="CG5" s="0" t="s">
        <v>154</v>
      </c>
      <c r="CN5" s="0" t="s">
        <v>154</v>
      </c>
      <c r="CP5" s="0" t="s">
        <v>154</v>
      </c>
      <c r="CV5" s="0" t="s">
        <v>154</v>
      </c>
      <c r="CY5" s="0" t="s">
        <v>154</v>
      </c>
      <c r="CZ5" s="0" t="s">
        <v>176</v>
      </c>
      <c r="DC5" s="0" t="s">
        <v>154</v>
      </c>
      <c r="DG5" s="0" t="s">
        <v>176</v>
      </c>
      <c r="DI5" s="0" t="s">
        <v>154</v>
      </c>
      <c r="DL5" s="0" t="s">
        <v>154</v>
      </c>
      <c r="DN5" s="0" t="s">
        <v>154</v>
      </c>
      <c r="DS5" s="0" t="s">
        <v>176</v>
      </c>
      <c r="DU5" s="0" t="s">
        <v>154</v>
      </c>
      <c r="DX5" s="0" t="s">
        <v>154</v>
      </c>
      <c r="ED5" s="0" t="s">
        <v>176</v>
      </c>
      <c r="EF5" s="0" t="s">
        <v>154</v>
      </c>
    </row>
    <row r="6" customFormat="false" ht="13.8" hidden="false" customHeight="false" outlineLevel="0" collapsed="false">
      <c r="A6" s="0" t="s">
        <v>178</v>
      </c>
      <c r="B6" s="0" t="n">
        <v>78</v>
      </c>
      <c r="C6" s="0" t="n">
        <v>305582</v>
      </c>
      <c r="D6" s="0" t="s">
        <v>179</v>
      </c>
      <c r="E6" s="0" t="s">
        <v>180</v>
      </c>
      <c r="F6" s="0" t="str">
        <f aca="false">CONCATENATE(D6," ",LEFT(H6,4),"T=",AU6,"D=",AV6,"R=",AW6,"M=",AX6,"L=",AY6,"B=",AZ6)</f>
        <v>GOLUB T=4D=0R=0M=0L=4B=0</v>
      </c>
      <c r="G6" s="0" t="s">
        <v>181</v>
      </c>
      <c r="I6" s="0" t="s">
        <v>182</v>
      </c>
      <c r="J6" s="0" t="s">
        <v>183</v>
      </c>
      <c r="K6" s="0" t="s">
        <v>175</v>
      </c>
      <c r="L6" s="1" t="s">
        <v>176</v>
      </c>
      <c r="M6" s="0" t="s">
        <v>177</v>
      </c>
      <c r="N6" s="0" t="str">
        <f aca="false">RIGHT(M6,LEN(M6)-FIND(" ",M6))</f>
        <v>ADAMS AVE NW</v>
      </c>
      <c r="O6" s="0" t="s">
        <v>184</v>
      </c>
      <c r="P6" s="0" t="s">
        <v>146</v>
      </c>
      <c r="Q6" s="0" t="s">
        <v>147</v>
      </c>
      <c r="R6" s="0" t="n">
        <v>44483</v>
      </c>
      <c r="AD6" s="0" t="s">
        <v>148</v>
      </c>
      <c r="AE6" s="0" t="s">
        <v>149</v>
      </c>
      <c r="AF6" s="0" t="s">
        <v>150</v>
      </c>
      <c r="AH6" s="0" t="n">
        <v>14</v>
      </c>
      <c r="AI6" s="0" t="n">
        <v>11</v>
      </c>
      <c r="AN6" s="0" t="s">
        <v>146</v>
      </c>
      <c r="AO6" s="0" t="s">
        <v>151</v>
      </c>
      <c r="AP6" s="0" t="s">
        <v>152</v>
      </c>
      <c r="AQ6" s="0" t="n">
        <v>9</v>
      </c>
      <c r="AR6" s="0" t="n">
        <v>64</v>
      </c>
      <c r="AS6" s="0" t="n">
        <v>32</v>
      </c>
      <c r="AU6" s="0" t="n">
        <f aca="false">COUNTA($BA$1420:$EH$1420)</f>
        <v>4</v>
      </c>
      <c r="AV6" s="0" t="n">
        <f aca="false">COUNTIF($BA$1420:$EH$1420,"D")</f>
        <v>0</v>
      </c>
      <c r="AW6" s="0" t="n">
        <f aca="false">COUNTIF($BA$1420:$EH$1420,"R")</f>
        <v>0</v>
      </c>
      <c r="AX6" s="0" t="n">
        <f aca="false"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>0</v>
      </c>
      <c r="AY6" s="0" t="n">
        <f aca="false">COUNTIF(DU6:EH6, "&lt;&gt;")</f>
        <v>4</v>
      </c>
      <c r="AZ6" s="0" t="n">
        <f aca="false">IF(EH6&lt;&gt;"",1,0)</f>
        <v>0</v>
      </c>
      <c r="BB6" s="0" t="s">
        <v>153</v>
      </c>
      <c r="BL6" s="0" t="s">
        <v>154</v>
      </c>
      <c r="BS6" s="0" t="s">
        <v>154</v>
      </c>
      <c r="BY6" s="0" t="s">
        <v>155</v>
      </c>
      <c r="CA6" s="0" t="s">
        <v>154</v>
      </c>
      <c r="CK6" s="0" t="s">
        <v>154</v>
      </c>
      <c r="CN6" s="0" t="s">
        <v>154</v>
      </c>
      <c r="CP6" s="0" t="s">
        <v>154</v>
      </c>
      <c r="CU6" s="0" t="s">
        <v>155</v>
      </c>
      <c r="CV6" s="0" t="s">
        <v>154</v>
      </c>
      <c r="CY6" s="0" t="s">
        <v>154</v>
      </c>
      <c r="DC6" s="0" t="s">
        <v>154</v>
      </c>
      <c r="DI6" s="0" t="s">
        <v>154</v>
      </c>
      <c r="DL6" s="0" t="s">
        <v>154</v>
      </c>
      <c r="DN6" s="0" t="s">
        <v>154</v>
      </c>
      <c r="DS6" s="0" t="s">
        <v>176</v>
      </c>
      <c r="DU6" s="0" t="s">
        <v>154</v>
      </c>
      <c r="DX6" s="0" t="s">
        <v>154</v>
      </c>
      <c r="ED6" s="0" t="s">
        <v>176</v>
      </c>
      <c r="EF6" s="0" t="s">
        <v>154</v>
      </c>
    </row>
    <row r="7" customFormat="false" ht="13.8" hidden="true" customHeight="false" outlineLevel="0" collapsed="false">
      <c r="A7" s="0" t="s">
        <v>185</v>
      </c>
      <c r="B7" s="0" t="n">
        <v>78</v>
      </c>
      <c r="C7" s="0" t="n">
        <v>414698</v>
      </c>
      <c r="D7" s="0" t="s">
        <v>186</v>
      </c>
      <c r="E7" s="0" t="s">
        <v>187</v>
      </c>
      <c r="F7" s="0" t="str">
        <f aca="false">CONCATENATE(D7," ",LEFT(H7,4),"T=",AU7,"D=",AV7,"R=",AW7,"M=",AX7,"L=",AY7,"B=",AZ7)</f>
        <v>CREPAGE T=1D=0R=0M=0L=0B=0</v>
      </c>
      <c r="G7" s="0" t="s">
        <v>188</v>
      </c>
      <c r="I7" s="0" t="s">
        <v>189</v>
      </c>
      <c r="J7" s="0" t="s">
        <v>190</v>
      </c>
      <c r="K7" s="0" t="s">
        <v>144</v>
      </c>
      <c r="L7" s="0"/>
      <c r="M7" s="0" t="s">
        <v>191</v>
      </c>
      <c r="N7" s="0" t="str">
        <f aca="false">RIGHT(M7,LEN(M7)-FIND(" ",M7))</f>
        <v>ADAMS AVE NW</v>
      </c>
      <c r="O7" s="0" t="s">
        <v>192</v>
      </c>
      <c r="P7" s="0" t="s">
        <v>146</v>
      </c>
      <c r="Q7" s="0" t="s">
        <v>147</v>
      </c>
      <c r="R7" s="0" t="n">
        <v>44483</v>
      </c>
      <c r="AD7" s="0" t="s">
        <v>148</v>
      </c>
      <c r="AE7" s="0" t="s">
        <v>149</v>
      </c>
      <c r="AF7" s="0" t="s">
        <v>150</v>
      </c>
      <c r="AH7" s="0" t="n">
        <v>14</v>
      </c>
      <c r="AI7" s="0" t="n">
        <v>11</v>
      </c>
      <c r="AN7" s="0" t="s">
        <v>146</v>
      </c>
      <c r="AO7" s="0" t="s">
        <v>151</v>
      </c>
      <c r="AP7" s="0" t="s">
        <v>152</v>
      </c>
      <c r="AQ7" s="0" t="n">
        <v>9</v>
      </c>
      <c r="AR7" s="0" t="n">
        <v>64</v>
      </c>
      <c r="AS7" s="0" t="n">
        <v>32</v>
      </c>
      <c r="AU7" s="0" t="n">
        <f aca="false">COUNTA($BA$1429:$EH$1429)</f>
        <v>1</v>
      </c>
      <c r="AV7" s="0" t="n">
        <f aca="false">COUNTIF($BA$1429:$EH$1429,"D")</f>
        <v>0</v>
      </c>
      <c r="AW7" s="0" t="n">
        <f aca="false">COUNTIF($BA$1429:$EH$1429,"R")</f>
        <v>0</v>
      </c>
      <c r="AX7" s="0" t="n">
        <f aca="false"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>0</v>
      </c>
      <c r="AY7" s="0" t="n">
        <f aca="false">COUNTIF(DU7:EH7, "&lt;&gt;")</f>
        <v>0</v>
      </c>
      <c r="AZ7" s="0" t="n">
        <f aca="false">IF(EH7&lt;&gt;"",1,0)</f>
        <v>0</v>
      </c>
      <c r="BB7" s="0" t="s">
        <v>153</v>
      </c>
      <c r="CZ7" s="0" t="s">
        <v>155</v>
      </c>
      <c r="DC7" s="0" t="s">
        <v>154</v>
      </c>
    </row>
    <row r="8" customFormat="false" ht="13.8" hidden="true" customHeight="false" outlineLevel="0" collapsed="false">
      <c r="A8" s="0" t="s">
        <v>193</v>
      </c>
      <c r="B8" s="0" t="n">
        <v>78</v>
      </c>
      <c r="C8" s="0" t="n">
        <v>386058</v>
      </c>
      <c r="D8" s="0" t="s">
        <v>194</v>
      </c>
      <c r="E8" s="0" t="s">
        <v>195</v>
      </c>
      <c r="F8" s="0" t="str">
        <f aca="false">CONCATENATE(D8," ",LEFT(H8,4),"T=",AU8,"D=",AV8,"R=",AW8,"M=",AX8,"L=",AY8,"B=",AZ8)</f>
        <v>JORDAN T=10D=1R=0M=0L=0B=0</v>
      </c>
      <c r="G8" s="0" t="s">
        <v>196</v>
      </c>
      <c r="I8" s="0" t="s">
        <v>197</v>
      </c>
      <c r="J8" s="0" t="s">
        <v>198</v>
      </c>
      <c r="K8" s="0" t="s">
        <v>144</v>
      </c>
      <c r="L8" s="0"/>
      <c r="M8" s="0" t="s">
        <v>191</v>
      </c>
      <c r="N8" s="0" t="str">
        <f aca="false">RIGHT(M8,LEN(M8)-FIND(" ",M8))</f>
        <v>ADAMS AVE NW</v>
      </c>
      <c r="O8" s="0" t="s">
        <v>192</v>
      </c>
      <c r="P8" s="0" t="s">
        <v>146</v>
      </c>
      <c r="Q8" s="0" t="s">
        <v>147</v>
      </c>
      <c r="R8" s="0" t="n">
        <v>44483</v>
      </c>
      <c r="AD8" s="0" t="s">
        <v>148</v>
      </c>
      <c r="AE8" s="0" t="s">
        <v>149</v>
      </c>
      <c r="AF8" s="0" t="s">
        <v>150</v>
      </c>
      <c r="AH8" s="0" t="n">
        <v>14</v>
      </c>
      <c r="AI8" s="0" t="n">
        <v>11</v>
      </c>
      <c r="AN8" s="0" t="s">
        <v>146</v>
      </c>
      <c r="AO8" s="0" t="s">
        <v>151</v>
      </c>
      <c r="AP8" s="0" t="s">
        <v>152</v>
      </c>
      <c r="AQ8" s="0" t="n">
        <v>9</v>
      </c>
      <c r="AR8" s="0" t="n">
        <v>64</v>
      </c>
      <c r="AS8" s="0" t="n">
        <v>32</v>
      </c>
      <c r="AU8" s="0" t="n">
        <f aca="false">COUNTA($BA$1553:$EH$1553)</f>
        <v>10</v>
      </c>
      <c r="AV8" s="0" t="n">
        <f aca="false">COUNTIF($BA$1553:$EH$1553,"D")</f>
        <v>1</v>
      </c>
      <c r="AW8" s="0" t="n">
        <f aca="false">COUNTIF($BA$1553:$EH$1553,"R")</f>
        <v>0</v>
      </c>
      <c r="AX8" s="0" t="n">
        <f aca="false"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>0</v>
      </c>
      <c r="AY8" s="0" t="n">
        <f aca="false">COUNTIF(DU8:EH8, "&lt;&gt;")</f>
        <v>0</v>
      </c>
      <c r="AZ8" s="0" t="n">
        <f aca="false">IF(EH8&lt;&gt;"",1,0)</f>
        <v>0</v>
      </c>
      <c r="BB8" s="0" t="s">
        <v>153</v>
      </c>
      <c r="DC8" s="0" t="s">
        <v>154</v>
      </c>
    </row>
    <row r="9" customFormat="false" ht="13.8" hidden="true" customHeight="false" outlineLevel="0" collapsed="false">
      <c r="A9" s="0" t="s">
        <v>199</v>
      </c>
      <c r="B9" s="0" t="n">
        <v>78</v>
      </c>
      <c r="C9" s="0" t="n">
        <v>476569</v>
      </c>
      <c r="D9" s="0" t="s">
        <v>200</v>
      </c>
      <c r="E9" s="0" t="s">
        <v>201</v>
      </c>
      <c r="F9" s="0" t="str">
        <f aca="false">CONCATENATE(D9," ",LEFT(H9,4),"T=",AU9,"D=",AV9,"R=",AW9,"M=",AX9,"L=",AY9,"B=",AZ9)</f>
        <v>KIHN T=1D=0R=0M=0L=0B=0</v>
      </c>
      <c r="G9" s="0" t="s">
        <v>202</v>
      </c>
      <c r="I9" s="0" t="s">
        <v>203</v>
      </c>
      <c r="J9" s="0" t="s">
        <v>204</v>
      </c>
      <c r="K9" s="0" t="s">
        <v>175</v>
      </c>
      <c r="L9" s="0"/>
      <c r="M9" s="0" t="s">
        <v>205</v>
      </c>
      <c r="N9" s="0" t="str">
        <f aca="false">RIGHT(M9,LEN(M9)-FIND(" ",M9))</f>
        <v>ADAMS AVE NW</v>
      </c>
      <c r="P9" s="0" t="s">
        <v>146</v>
      </c>
      <c r="Q9" s="0" t="s">
        <v>147</v>
      </c>
      <c r="R9" s="0" t="n">
        <v>44483</v>
      </c>
      <c r="AD9" s="0" t="s">
        <v>148</v>
      </c>
      <c r="AE9" s="0" t="s">
        <v>149</v>
      </c>
      <c r="AF9" s="0" t="s">
        <v>150</v>
      </c>
      <c r="AH9" s="0" t="n">
        <v>14</v>
      </c>
      <c r="AI9" s="0" t="n">
        <v>11</v>
      </c>
      <c r="AN9" s="0" t="s">
        <v>146</v>
      </c>
      <c r="AO9" s="0" t="s">
        <v>151</v>
      </c>
      <c r="AP9" s="0" t="s">
        <v>152</v>
      </c>
      <c r="AQ9" s="0" t="n">
        <v>9</v>
      </c>
      <c r="AR9" s="0" t="n">
        <v>64</v>
      </c>
      <c r="AS9" s="0" t="n">
        <v>32</v>
      </c>
      <c r="AU9" s="0" t="n">
        <f aca="false">COUNTA($BA$1779:$EH$1779)</f>
        <v>1</v>
      </c>
      <c r="AV9" s="0" t="n">
        <f aca="false">COUNTIF($BA$1779:$EH$1779,"D")</f>
        <v>0</v>
      </c>
      <c r="AW9" s="0" t="n">
        <f aca="false">COUNTIF($BA$1779:$EH$1779,"R")</f>
        <v>0</v>
      </c>
      <c r="AX9" s="0" t="n">
        <f aca="false"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>0</v>
      </c>
      <c r="AY9" s="0" t="n">
        <f aca="false">COUNTIF(DU9:EH9, "&lt;&gt;")</f>
        <v>0</v>
      </c>
      <c r="AZ9" s="0" t="n">
        <f aca="false">IF(EH9&lt;&gt;"",1,0)</f>
        <v>0</v>
      </c>
      <c r="BB9" s="0" t="s">
        <v>153</v>
      </c>
    </row>
    <row r="10" customFormat="false" ht="13.8" hidden="true" customHeight="false" outlineLevel="0" collapsed="false">
      <c r="A10" s="0" t="s">
        <v>206</v>
      </c>
      <c r="B10" s="0" t="n">
        <v>78</v>
      </c>
      <c r="C10" s="0" t="n">
        <v>485432</v>
      </c>
      <c r="D10" s="0" t="s">
        <v>207</v>
      </c>
      <c r="E10" s="0" t="s">
        <v>208</v>
      </c>
      <c r="F10" s="0" t="str">
        <f aca="false">CONCATENATE(D10," ",LEFT(H10,4),"T=",AU10,"D=",AV10,"R=",AW10,"M=",AX10,"L=",AY10,"B=",AZ10)</f>
        <v>MOSER T=26D=8R=0M=0L=1B=0</v>
      </c>
      <c r="G10" s="0" t="s">
        <v>209</v>
      </c>
      <c r="I10" s="0" t="s">
        <v>210</v>
      </c>
      <c r="J10" s="0" t="s">
        <v>211</v>
      </c>
      <c r="K10" s="0" t="s">
        <v>175</v>
      </c>
      <c r="L10" s="0"/>
      <c r="M10" s="0" t="s">
        <v>212</v>
      </c>
      <c r="N10" s="0" t="str">
        <f aca="false">RIGHT(M10,LEN(M10)-FIND(" ",M10))</f>
        <v>ADAMS AVE NW</v>
      </c>
      <c r="P10" s="0" t="s">
        <v>146</v>
      </c>
      <c r="Q10" s="0" t="s">
        <v>147</v>
      </c>
      <c r="R10" s="0" t="n">
        <v>44483</v>
      </c>
      <c r="S10" s="0" t="n">
        <v>4701</v>
      </c>
      <c r="AD10" s="0" t="s">
        <v>148</v>
      </c>
      <c r="AE10" s="0" t="s">
        <v>149</v>
      </c>
      <c r="AF10" s="0" t="s">
        <v>150</v>
      </c>
      <c r="AH10" s="0" t="n">
        <v>14</v>
      </c>
      <c r="AI10" s="0" t="n">
        <v>11</v>
      </c>
      <c r="AN10" s="0" t="s">
        <v>146</v>
      </c>
      <c r="AO10" s="0" t="s">
        <v>151</v>
      </c>
      <c r="AP10" s="0" t="s">
        <v>152</v>
      </c>
      <c r="AQ10" s="0" t="n">
        <v>9</v>
      </c>
      <c r="AR10" s="0" t="n">
        <v>64</v>
      </c>
      <c r="AS10" s="0" t="n">
        <v>32</v>
      </c>
      <c r="AU10" s="0" t="n">
        <f aca="false">COUNTA($BA$1633:$EH$1633)</f>
        <v>26</v>
      </c>
      <c r="AV10" s="0" t="n">
        <f aca="false">COUNTIF($BA$1633:$EH$1633,"D")</f>
        <v>8</v>
      </c>
      <c r="AW10" s="0" t="n">
        <f aca="false">COUNTIF($BA$1633:$EH$1633,"R")</f>
        <v>0</v>
      </c>
      <c r="AX10" s="0" t="n">
        <f aca="false"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>0</v>
      </c>
      <c r="AY10" s="0" t="n">
        <f aca="false">COUNTIF(DU10:EH10, "&lt;&gt;")</f>
        <v>1</v>
      </c>
      <c r="AZ10" s="0" t="n">
        <f aca="false">IF(EH10&lt;&gt;"",1,0)</f>
        <v>0</v>
      </c>
      <c r="BB10" s="0" t="s">
        <v>153</v>
      </c>
      <c r="EF10" s="0" t="s">
        <v>154</v>
      </c>
    </row>
    <row r="11" customFormat="false" ht="13.8" hidden="true" customHeight="false" outlineLevel="0" collapsed="false">
      <c r="A11" s="0" t="s">
        <v>213</v>
      </c>
      <c r="B11" s="0" t="n">
        <v>78</v>
      </c>
      <c r="C11" s="0" t="n">
        <v>412703</v>
      </c>
      <c r="D11" s="0" t="s">
        <v>214</v>
      </c>
      <c r="E11" s="0" t="s">
        <v>215</v>
      </c>
      <c r="F11" s="0" t="str">
        <f aca="false">CONCATENATE(D11," ",LEFT(H11,4),"T=",AU11,"D=",AV11,"R=",AW11,"M=",AX11,"L=",AY11,"B=",AZ11)</f>
        <v>FAIRCHILD T=34D=6R=1M=0L=1B=0</v>
      </c>
      <c r="G11" s="0" t="s">
        <v>216</v>
      </c>
      <c r="I11" s="0" t="s">
        <v>217</v>
      </c>
      <c r="J11" s="0" t="s">
        <v>218</v>
      </c>
      <c r="K11" s="0" t="s">
        <v>175</v>
      </c>
      <c r="L11" s="0"/>
      <c r="M11" s="0" t="s">
        <v>219</v>
      </c>
      <c r="N11" s="0" t="str">
        <f aca="false">RIGHT(M11,LEN(M11)-FIND(" ",M11))</f>
        <v>ADAMS AVE NW</v>
      </c>
      <c r="P11" s="0" t="s">
        <v>146</v>
      </c>
      <c r="Q11" s="0" t="s">
        <v>147</v>
      </c>
      <c r="R11" s="0" t="n">
        <v>44483</v>
      </c>
      <c r="AD11" s="0" t="s">
        <v>148</v>
      </c>
      <c r="AE11" s="0" t="s">
        <v>149</v>
      </c>
      <c r="AF11" s="0" t="s">
        <v>150</v>
      </c>
      <c r="AH11" s="0" t="n">
        <v>14</v>
      </c>
      <c r="AI11" s="0" t="n">
        <v>11</v>
      </c>
      <c r="AN11" s="0" t="s">
        <v>146</v>
      </c>
      <c r="AO11" s="0" t="s">
        <v>151</v>
      </c>
      <c r="AP11" s="0" t="s">
        <v>152</v>
      </c>
      <c r="AQ11" s="0" t="n">
        <v>9</v>
      </c>
      <c r="AR11" s="0" t="n">
        <v>64</v>
      </c>
      <c r="AS11" s="0" t="n">
        <v>32</v>
      </c>
      <c r="AU11" s="0" t="n">
        <f aca="false">COUNTA($BA$1166:$EH$1166)</f>
        <v>34</v>
      </c>
      <c r="AV11" s="0" t="n">
        <f aca="false">COUNTIF($BA$1166:$EH$1166,"D")</f>
        <v>6</v>
      </c>
      <c r="AW11" s="0" t="n">
        <f aca="false">COUNTIF($BA$1166:$EH$1166,"R")</f>
        <v>1</v>
      </c>
      <c r="AX11" s="0" t="n">
        <f aca="false"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>0</v>
      </c>
      <c r="AY11" s="0" t="n">
        <f aca="false">COUNTIF(DU11:EH11, "&lt;&gt;")</f>
        <v>1</v>
      </c>
      <c r="AZ11" s="0" t="n">
        <f aca="false">IF(EH11&lt;&gt;"",1,0)</f>
        <v>0</v>
      </c>
      <c r="BB11" s="0" t="s">
        <v>153</v>
      </c>
      <c r="CZ11" s="0" t="s">
        <v>155</v>
      </c>
      <c r="DC11" s="0" t="s">
        <v>154</v>
      </c>
      <c r="DN11" s="0" t="s">
        <v>154</v>
      </c>
      <c r="EF11" s="0" t="s">
        <v>154</v>
      </c>
    </row>
    <row r="12" customFormat="false" ht="13.8" hidden="false" customHeight="false" outlineLevel="0" collapsed="false">
      <c r="A12" s="0" t="s">
        <v>220</v>
      </c>
      <c r="B12" s="0" t="n">
        <v>78</v>
      </c>
      <c r="C12" s="0" t="n">
        <v>468091</v>
      </c>
      <c r="D12" s="0" t="s">
        <v>214</v>
      </c>
      <c r="E12" s="0" t="s">
        <v>221</v>
      </c>
      <c r="F12" s="0" t="str">
        <f aca="false">CONCATENATE(D12," ",LEFT(H12,4),"T=",AU12,"D=",AV12,"R=",AW12,"M=",AX12,"L=",AY12,"B=",AZ12)</f>
        <v>FAIRCHILD T=5D=0R=0M=1L=4B=0</v>
      </c>
      <c r="G12" s="0" t="s">
        <v>222</v>
      </c>
      <c r="I12" s="0" t="s">
        <v>223</v>
      </c>
      <c r="J12" s="0" t="s">
        <v>224</v>
      </c>
      <c r="K12" s="0" t="s">
        <v>175</v>
      </c>
      <c r="L12" s="1" t="s">
        <v>155</v>
      </c>
      <c r="M12" s="0" t="s">
        <v>219</v>
      </c>
      <c r="N12" s="0" t="str">
        <f aca="false">RIGHT(M12,LEN(M12)-FIND(" ",M12))</f>
        <v>ADAMS AVE NW</v>
      </c>
      <c r="P12" s="0" t="s">
        <v>146</v>
      </c>
      <c r="Q12" s="0" t="s">
        <v>147</v>
      </c>
      <c r="R12" s="0" t="n">
        <v>44483</v>
      </c>
      <c r="AD12" s="0" t="s">
        <v>148</v>
      </c>
      <c r="AE12" s="0" t="s">
        <v>149</v>
      </c>
      <c r="AF12" s="0" t="s">
        <v>150</v>
      </c>
      <c r="AH12" s="0" t="n">
        <v>14</v>
      </c>
      <c r="AI12" s="0" t="n">
        <v>11</v>
      </c>
      <c r="AN12" s="0" t="s">
        <v>146</v>
      </c>
      <c r="AO12" s="0" t="s">
        <v>151</v>
      </c>
      <c r="AP12" s="0" t="s">
        <v>152</v>
      </c>
      <c r="AQ12" s="0" t="n">
        <v>9</v>
      </c>
      <c r="AR12" s="0" t="n">
        <v>64</v>
      </c>
      <c r="AS12" s="0" t="n">
        <v>32</v>
      </c>
      <c r="AU12" s="0" t="n">
        <f aca="false">COUNTA($BA$1393:$EH$1393)</f>
        <v>5</v>
      </c>
      <c r="AV12" s="0" t="n">
        <f aca="false">COUNTIF($BA$1393:$EH$1393,"D")</f>
        <v>0</v>
      </c>
      <c r="AW12" s="0" t="n">
        <f aca="false">COUNTIF($BA$1393:$EH$1393,"R")</f>
        <v>0</v>
      </c>
      <c r="AX12" s="0" t="n">
        <f aca="false"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>1</v>
      </c>
      <c r="AY12" s="0" t="n">
        <f aca="false">COUNTIF(DU12:EH12, "&lt;&gt;")</f>
        <v>4</v>
      </c>
      <c r="AZ12" s="0" t="n">
        <f aca="false">IF(EH12&lt;&gt;"",1,0)</f>
        <v>0</v>
      </c>
      <c r="BB12" s="0" t="s">
        <v>153</v>
      </c>
      <c r="DW12" s="0" t="s">
        <v>155</v>
      </c>
      <c r="DX12" s="0" t="s">
        <v>154</v>
      </c>
      <c r="EA12" s="0" t="s">
        <v>154</v>
      </c>
      <c r="EF12" s="0" t="s">
        <v>154</v>
      </c>
    </row>
    <row r="13" customFormat="false" ht="13.8" hidden="true" customHeight="false" outlineLevel="0" collapsed="false">
      <c r="A13" s="0" t="s">
        <v>225</v>
      </c>
      <c r="B13" s="0" t="n">
        <v>78</v>
      </c>
      <c r="C13" s="0" t="n">
        <v>487380</v>
      </c>
      <c r="D13" s="0" t="s">
        <v>226</v>
      </c>
      <c r="E13" s="0" t="s">
        <v>140</v>
      </c>
      <c r="F13" s="0" t="str">
        <f aca="false">CONCATENATE(D13," ",LEFT(H13,4),"T=",AU13,"D=",AV13,"R=",AW13,"M=",AX13,"L=",AY13,"B=",AZ13)</f>
        <v>MCHENRY T=1D=0R=0M=0L=1B=0</v>
      </c>
      <c r="G13" s="0" t="s">
        <v>188</v>
      </c>
      <c r="I13" s="0" t="s">
        <v>227</v>
      </c>
      <c r="J13" s="0" t="s">
        <v>228</v>
      </c>
      <c r="K13" s="0" t="s">
        <v>175</v>
      </c>
      <c r="L13" s="0"/>
      <c r="M13" s="0" t="s">
        <v>219</v>
      </c>
      <c r="N13" s="0" t="str">
        <f aca="false">RIGHT(M13,LEN(M13)-FIND(" ",M13))</f>
        <v>ADAMS AVE NW</v>
      </c>
      <c r="P13" s="0" t="s">
        <v>146</v>
      </c>
      <c r="Q13" s="0" t="s">
        <v>147</v>
      </c>
      <c r="R13" s="0" t="n">
        <v>44483</v>
      </c>
      <c r="AD13" s="0" t="s">
        <v>148</v>
      </c>
      <c r="AE13" s="0" t="s">
        <v>149</v>
      </c>
      <c r="AF13" s="0" t="s">
        <v>150</v>
      </c>
      <c r="AH13" s="0" t="n">
        <v>14</v>
      </c>
      <c r="AI13" s="0" t="n">
        <v>11</v>
      </c>
      <c r="AN13" s="0" t="s">
        <v>146</v>
      </c>
      <c r="AO13" s="0" t="s">
        <v>151</v>
      </c>
      <c r="AP13" s="0" t="s">
        <v>152</v>
      </c>
      <c r="AQ13" s="0" t="n">
        <v>9</v>
      </c>
      <c r="AR13" s="0" t="n">
        <v>64</v>
      </c>
      <c r="AS13" s="0" t="n">
        <v>32</v>
      </c>
      <c r="AU13" s="0" t="n">
        <f aca="false">COUNTA($BA$1938:$EH$1938)</f>
        <v>1</v>
      </c>
      <c r="AV13" s="0" t="n">
        <f aca="false">COUNTIF($BA$1938:$EH$1938,"D")</f>
        <v>0</v>
      </c>
      <c r="AW13" s="0" t="n">
        <f aca="false">COUNTIF($BA$1938:$EH$1938,"R")</f>
        <v>0</v>
      </c>
      <c r="AX13" s="0" t="n">
        <f aca="false"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>0</v>
      </c>
      <c r="AY13" s="0" t="n">
        <f aca="false">COUNTIF(DU13:EH13, "&lt;&gt;")</f>
        <v>1</v>
      </c>
      <c r="AZ13" s="0" t="n">
        <f aca="false">IF(EH13&lt;&gt;"",1,0)</f>
        <v>0</v>
      </c>
      <c r="BB13" s="0" t="s">
        <v>153</v>
      </c>
      <c r="EF13" s="0" t="s">
        <v>154</v>
      </c>
    </row>
    <row r="14" customFormat="false" ht="13.8" hidden="true" customHeight="false" outlineLevel="0" collapsed="false">
      <c r="A14" s="0" t="s">
        <v>229</v>
      </c>
      <c r="B14" s="0" t="n">
        <v>78</v>
      </c>
      <c r="C14" s="0" t="n">
        <v>470824</v>
      </c>
      <c r="D14" s="0" t="s">
        <v>230</v>
      </c>
      <c r="E14" s="0" t="s">
        <v>231</v>
      </c>
      <c r="F14" s="0" t="str">
        <f aca="false">CONCATENATE(D14," ",LEFT(H14,4),"T=",AU14,"D=",AV14,"R=",AW14,"M=",AX14,"L=",AY14,"B=",AZ14)</f>
        <v>CONWAY T=1D=0R=0M=0L=0B=0</v>
      </c>
      <c r="G14" s="0" t="s">
        <v>232</v>
      </c>
      <c r="I14" s="0" t="s">
        <v>233</v>
      </c>
      <c r="J14" s="0" t="s">
        <v>234</v>
      </c>
      <c r="K14" s="0" t="s">
        <v>175</v>
      </c>
      <c r="L14" s="0"/>
      <c r="M14" s="0" t="s">
        <v>235</v>
      </c>
      <c r="N14" s="0" t="str">
        <f aca="false">RIGHT(M14,LEN(M14)-FIND(" ",M14))</f>
        <v>ALBERT ST NE</v>
      </c>
      <c r="P14" s="0" t="s">
        <v>146</v>
      </c>
      <c r="Q14" s="0" t="s">
        <v>147</v>
      </c>
      <c r="R14" s="0" t="n">
        <v>44483</v>
      </c>
      <c r="AD14" s="0" t="s">
        <v>148</v>
      </c>
      <c r="AE14" s="0" t="s">
        <v>149</v>
      </c>
      <c r="AF14" s="0" t="s">
        <v>150</v>
      </c>
      <c r="AH14" s="0" t="n">
        <v>14</v>
      </c>
      <c r="AI14" s="0" t="n">
        <v>11</v>
      </c>
      <c r="AN14" s="0" t="s">
        <v>146</v>
      </c>
      <c r="AO14" s="0" t="s">
        <v>236</v>
      </c>
      <c r="AP14" s="0" t="s">
        <v>237</v>
      </c>
      <c r="AQ14" s="0" t="n">
        <v>9</v>
      </c>
      <c r="AR14" s="0" t="n">
        <v>64</v>
      </c>
      <c r="AS14" s="0" t="n">
        <v>32</v>
      </c>
      <c r="AU14" s="0" t="n">
        <f aca="false">COUNTA($BA$856:$EH$856)</f>
        <v>1</v>
      </c>
      <c r="AV14" s="0" t="n">
        <f aca="false">COUNTIF($BA$856:$EH$856,"D")</f>
        <v>0</v>
      </c>
      <c r="AW14" s="0" t="n">
        <f aca="false">COUNTIF($BA$856:$EH$856,"R")</f>
        <v>0</v>
      </c>
      <c r="AX14" s="0" t="n">
        <f aca="false"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>0</v>
      </c>
      <c r="AY14" s="0" t="n">
        <f aca="false">COUNTIF(DU14:EH14, "&lt;&gt;")</f>
        <v>0</v>
      </c>
      <c r="AZ14" s="0" t="n">
        <f aca="false">IF(EH14&lt;&gt;"",1,0)</f>
        <v>0</v>
      </c>
      <c r="BB14" s="0" t="s">
        <v>153</v>
      </c>
    </row>
    <row r="15" customFormat="false" ht="13.8" hidden="false" customHeight="false" outlineLevel="0" collapsed="false">
      <c r="A15" s="0" t="s">
        <v>238</v>
      </c>
      <c r="B15" s="0" t="n">
        <v>78</v>
      </c>
      <c r="C15" s="0" t="n">
        <v>269541</v>
      </c>
      <c r="D15" s="0" t="s">
        <v>239</v>
      </c>
      <c r="E15" s="0" t="s">
        <v>240</v>
      </c>
      <c r="F15" s="0" t="str">
        <f aca="false">CONCATENATE(D15," ",LEFT(H15,4),"T=",AU15,"D=",AV15,"R=",AW15,"M=",AX15,"L=",AY15,"B=",AZ15)</f>
        <v>WALDO T=7D=1R=0M=2L=4B=1</v>
      </c>
      <c r="G15" s="0" t="s">
        <v>241</v>
      </c>
      <c r="I15" s="0" t="s">
        <v>242</v>
      </c>
      <c r="J15" s="0" t="s">
        <v>243</v>
      </c>
      <c r="K15" s="0" t="s">
        <v>175</v>
      </c>
      <c r="L15" s="1" t="s">
        <v>155</v>
      </c>
      <c r="M15" s="0" t="s">
        <v>244</v>
      </c>
      <c r="N15" s="0" t="str">
        <f aca="false">RIGHT(M15,LEN(M15)-FIND(" ",M15))</f>
        <v>ALBERT ST NE</v>
      </c>
      <c r="P15" s="0" t="s">
        <v>146</v>
      </c>
      <c r="Q15" s="0" t="s">
        <v>147</v>
      </c>
      <c r="R15" s="0" t="n">
        <v>44483</v>
      </c>
      <c r="AD15" s="0" t="s">
        <v>148</v>
      </c>
      <c r="AE15" s="0" t="s">
        <v>149</v>
      </c>
      <c r="AF15" s="0" t="s">
        <v>150</v>
      </c>
      <c r="AH15" s="0" t="n">
        <v>14</v>
      </c>
      <c r="AI15" s="0" t="n">
        <v>11</v>
      </c>
      <c r="AN15" s="0" t="s">
        <v>146</v>
      </c>
      <c r="AO15" s="0" t="s">
        <v>236</v>
      </c>
      <c r="AP15" s="0" t="s">
        <v>237</v>
      </c>
      <c r="AQ15" s="0" t="n">
        <v>9</v>
      </c>
      <c r="AR15" s="0" t="n">
        <v>64</v>
      </c>
      <c r="AS15" s="0" t="n">
        <v>32</v>
      </c>
      <c r="AU15" s="0" t="n">
        <f aca="false">COUNTA($BA$826:$EH$826)</f>
        <v>7</v>
      </c>
      <c r="AV15" s="0" t="n">
        <f aca="false">COUNTIF($BA$826:$EH$826,"D")</f>
        <v>1</v>
      </c>
      <c r="AW15" s="0" t="n">
        <f aca="false">COUNTIF($BA$826:$EH$826,"R")</f>
        <v>0</v>
      </c>
      <c r="AX15" s="0" t="n">
        <f aca="false"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>2</v>
      </c>
      <c r="AY15" s="0" t="n">
        <f aca="false">COUNTIF(DU15:EH15, "&lt;&gt;")</f>
        <v>4</v>
      </c>
      <c r="AZ15" s="0" t="n">
        <f aca="false">IF(EH15&lt;&gt;"",1,0)</f>
        <v>1</v>
      </c>
      <c r="BB15" s="0" t="s">
        <v>153</v>
      </c>
      <c r="BC15" s="0" t="s">
        <v>154</v>
      </c>
      <c r="BD15" s="0" t="s">
        <v>154</v>
      </c>
      <c r="BG15" s="0" t="s">
        <v>154</v>
      </c>
      <c r="BH15" s="0" t="s">
        <v>154</v>
      </c>
      <c r="BJ15" s="0" t="s">
        <v>154</v>
      </c>
      <c r="BK15" s="0" t="s">
        <v>154</v>
      </c>
      <c r="BL15" s="0" t="s">
        <v>154</v>
      </c>
      <c r="BY15" s="0" t="s">
        <v>155</v>
      </c>
      <c r="CA15" s="0" t="s">
        <v>154</v>
      </c>
      <c r="CK15" s="0" t="s">
        <v>154</v>
      </c>
      <c r="CN15" s="0" t="s">
        <v>154</v>
      </c>
      <c r="CP15" s="0" t="s">
        <v>154</v>
      </c>
      <c r="CU15" s="0" t="s">
        <v>155</v>
      </c>
      <c r="CY15" s="0" t="s">
        <v>154</v>
      </c>
      <c r="CZ15" s="0" t="s">
        <v>155</v>
      </c>
      <c r="DC15" s="0" t="s">
        <v>154</v>
      </c>
      <c r="DD15" s="0" t="s">
        <v>155</v>
      </c>
      <c r="DF15" s="0" t="s">
        <v>154</v>
      </c>
      <c r="DN15" s="0" t="s">
        <v>154</v>
      </c>
      <c r="DU15" s="0" t="s">
        <v>154</v>
      </c>
      <c r="ED15" s="0" t="s">
        <v>155</v>
      </c>
      <c r="EF15" s="0" t="s">
        <v>154</v>
      </c>
      <c r="EH15" s="0" t="s">
        <v>155</v>
      </c>
    </row>
    <row r="16" customFormat="false" ht="13.8" hidden="false" customHeight="false" outlineLevel="0" collapsed="false">
      <c r="A16" s="0" t="s">
        <v>245</v>
      </c>
      <c r="B16" s="0" t="n">
        <v>78</v>
      </c>
      <c r="C16" s="0" t="n">
        <v>240805</v>
      </c>
      <c r="D16" s="0" t="s">
        <v>246</v>
      </c>
      <c r="E16" s="0" t="s">
        <v>187</v>
      </c>
      <c r="F16" s="0" t="str">
        <f aca="false">CONCATENATE(D16," ",LEFT(H16,4),"T=",AU16,"D=",AV16,"R=",AW16,"M=",AX16,"L=",AY16,"B=",AZ16)</f>
        <v>DYER T=2D=0R=0M=0L=2B=0</v>
      </c>
      <c r="G16" s="0" t="s">
        <v>155</v>
      </c>
      <c r="I16" s="0" t="s">
        <v>247</v>
      </c>
      <c r="J16" s="0" t="s">
        <v>248</v>
      </c>
      <c r="K16" s="0" t="s">
        <v>175</v>
      </c>
      <c r="M16" s="0" t="s">
        <v>249</v>
      </c>
      <c r="N16" s="0" t="str">
        <f aca="false">RIGHT(M16,LEN(M16)-FIND(" ",M16))</f>
        <v>ALBERT ST NE</v>
      </c>
      <c r="P16" s="0" t="s">
        <v>146</v>
      </c>
      <c r="Q16" s="0" t="s">
        <v>147</v>
      </c>
      <c r="R16" s="0" t="n">
        <v>44483</v>
      </c>
      <c r="AD16" s="0" t="s">
        <v>148</v>
      </c>
      <c r="AE16" s="0" t="s">
        <v>149</v>
      </c>
      <c r="AF16" s="0" t="s">
        <v>150</v>
      </c>
      <c r="AH16" s="0" t="n">
        <v>14</v>
      </c>
      <c r="AI16" s="0" t="n">
        <v>11</v>
      </c>
      <c r="AN16" s="0" t="s">
        <v>146</v>
      </c>
      <c r="AO16" s="0" t="s">
        <v>250</v>
      </c>
      <c r="AP16" s="0" t="s">
        <v>251</v>
      </c>
      <c r="AQ16" s="0" t="n">
        <v>9</v>
      </c>
      <c r="AR16" s="0" t="n">
        <v>64</v>
      </c>
      <c r="AS16" s="0" t="n">
        <v>32</v>
      </c>
      <c r="AU16" s="0" t="n">
        <f aca="false">COUNTA($BA$2383:$EH$2383)</f>
        <v>2</v>
      </c>
      <c r="AV16" s="0" t="n">
        <f aca="false">COUNTIF($BA$2383:$EH$2383,"D")</f>
        <v>0</v>
      </c>
      <c r="AW16" s="0" t="n">
        <f aca="false">COUNTIF($BA$2383:$EH$2383,"R")</f>
        <v>0</v>
      </c>
      <c r="AX16" s="0" t="n">
        <f aca="false"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>0</v>
      </c>
      <c r="AY16" s="0" t="n">
        <f aca="false">COUNTIF(DU16:EH16, "&lt;&gt;")</f>
        <v>2</v>
      </c>
      <c r="AZ16" s="0" t="n">
        <f aca="false">IF(EH16&lt;&gt;"",1,0)</f>
        <v>0</v>
      </c>
      <c r="BB16" s="0" t="s">
        <v>153</v>
      </c>
      <c r="BD16" s="0" t="s">
        <v>154</v>
      </c>
      <c r="BH16" s="0" t="s">
        <v>154</v>
      </c>
      <c r="BL16" s="0" t="s">
        <v>154</v>
      </c>
      <c r="BP16" s="0" t="s">
        <v>154</v>
      </c>
      <c r="BS16" s="0" t="s">
        <v>154</v>
      </c>
      <c r="CA16" s="0" t="s">
        <v>154</v>
      </c>
      <c r="CK16" s="0" t="s">
        <v>154</v>
      </c>
      <c r="CP16" s="0" t="s">
        <v>154</v>
      </c>
      <c r="CV16" s="0" t="s">
        <v>154</v>
      </c>
      <c r="CY16" s="0" t="s">
        <v>154</v>
      </c>
      <c r="CZ16" s="0" t="s">
        <v>176</v>
      </c>
      <c r="DC16" s="0" t="s">
        <v>154</v>
      </c>
      <c r="DF16" s="0" t="s">
        <v>154</v>
      </c>
      <c r="DN16" s="0" t="s">
        <v>154</v>
      </c>
      <c r="DU16" s="0" t="s">
        <v>154</v>
      </c>
      <c r="EF16" s="0" t="s">
        <v>154</v>
      </c>
    </row>
    <row r="17" customFormat="false" ht="13.8" hidden="true" customHeight="false" outlineLevel="0" collapsed="false">
      <c r="A17" s="0" t="s">
        <v>252</v>
      </c>
      <c r="B17" s="0" t="n">
        <v>78</v>
      </c>
      <c r="C17" s="0" t="n">
        <v>484408</v>
      </c>
      <c r="D17" s="0" t="s">
        <v>253</v>
      </c>
      <c r="E17" s="0" t="s">
        <v>254</v>
      </c>
      <c r="F17" s="0" t="str">
        <f aca="false">CONCATENATE(D17," ",LEFT(H17,4),"T=",AU17,"D=",AV17,"R=",AW17,"M=",AX17,"L=",AY17,"B=",AZ17)</f>
        <v>MCGILVARY T=1D=0R=0M=0L=0B=0</v>
      </c>
      <c r="G17" s="0" t="s">
        <v>255</v>
      </c>
      <c r="I17" s="0" t="s">
        <v>256</v>
      </c>
      <c r="J17" s="0" t="s">
        <v>257</v>
      </c>
      <c r="K17" s="0" t="s">
        <v>175</v>
      </c>
      <c r="L17" s="0"/>
      <c r="M17" s="0" t="s">
        <v>258</v>
      </c>
      <c r="N17" s="0" t="str">
        <f aca="false">RIGHT(M17,LEN(M17)-FIND(" ",M17))</f>
        <v>ALBERT ST NE</v>
      </c>
      <c r="P17" s="0" t="s">
        <v>146</v>
      </c>
      <c r="Q17" s="0" t="s">
        <v>147</v>
      </c>
      <c r="R17" s="0" t="n">
        <v>44483</v>
      </c>
      <c r="AD17" s="0" t="s">
        <v>148</v>
      </c>
      <c r="AE17" s="0" t="s">
        <v>149</v>
      </c>
      <c r="AF17" s="0" t="s">
        <v>150</v>
      </c>
      <c r="AH17" s="0" t="n">
        <v>14</v>
      </c>
      <c r="AI17" s="0" t="n">
        <v>11</v>
      </c>
      <c r="AN17" s="0" t="s">
        <v>146</v>
      </c>
      <c r="AO17" s="0" t="s">
        <v>250</v>
      </c>
      <c r="AP17" s="0" t="s">
        <v>251</v>
      </c>
      <c r="AQ17" s="0" t="n">
        <v>9</v>
      </c>
      <c r="AR17" s="0" t="n">
        <v>64</v>
      </c>
      <c r="AS17" s="0" t="n">
        <v>32</v>
      </c>
      <c r="AU17" s="0" t="n">
        <f aca="false">COUNTA($BA$2801:$EH$2801)</f>
        <v>1</v>
      </c>
      <c r="AV17" s="0" t="n">
        <f aca="false">COUNTIF($BA$2801:$EH$2801,"D")</f>
        <v>0</v>
      </c>
      <c r="AW17" s="0" t="n">
        <f aca="false">COUNTIF($BA$2801:$EH$2801,"R")</f>
        <v>0</v>
      </c>
      <c r="AX17" s="0" t="n">
        <f aca="false"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>0</v>
      </c>
      <c r="AY17" s="0" t="n">
        <f aca="false">COUNTIF(DU17:EH17, "&lt;&gt;")</f>
        <v>0</v>
      </c>
      <c r="AZ17" s="0" t="n">
        <f aca="false">IF(EH17&lt;&gt;"",1,0)</f>
        <v>0</v>
      </c>
      <c r="BB17" s="0" t="s">
        <v>153</v>
      </c>
    </row>
    <row r="18" customFormat="false" ht="13.8" hidden="true" customHeight="false" outlineLevel="0" collapsed="false">
      <c r="A18" s="0" t="s">
        <v>259</v>
      </c>
      <c r="B18" s="0" t="n">
        <v>78</v>
      </c>
      <c r="C18" s="0" t="n">
        <v>157898</v>
      </c>
      <c r="D18" s="0" t="s">
        <v>260</v>
      </c>
      <c r="E18" s="0" t="s">
        <v>261</v>
      </c>
      <c r="F18" s="0" t="str">
        <f aca="false">CONCATENATE(D18," ",LEFT(H18,4),"T=",AU18,"D=",AV18,"R=",AW18,"M=",AX18,"L=",AY18,"B=",AZ18)</f>
        <v>SAPP T=12D=2R=0M=0L=0B=0</v>
      </c>
      <c r="G18" s="0" t="s">
        <v>172</v>
      </c>
      <c r="I18" s="0" t="s">
        <v>262</v>
      </c>
      <c r="J18" s="0" t="s">
        <v>263</v>
      </c>
      <c r="K18" s="0" t="s">
        <v>144</v>
      </c>
      <c r="L18" s="0"/>
      <c r="M18" s="0" t="s">
        <v>264</v>
      </c>
      <c r="N18" s="0" t="str">
        <f aca="false">RIGHT(M18,LEN(M18)-FIND(" ",M18))</f>
        <v>ALBERT ST NE</v>
      </c>
      <c r="P18" s="0" t="s">
        <v>146</v>
      </c>
      <c r="Q18" s="0" t="s">
        <v>147</v>
      </c>
      <c r="R18" s="0" t="n">
        <v>44483</v>
      </c>
      <c r="AD18" s="0" t="s">
        <v>148</v>
      </c>
      <c r="AE18" s="0" t="s">
        <v>149</v>
      </c>
      <c r="AF18" s="0" t="s">
        <v>150</v>
      </c>
      <c r="AH18" s="0" t="n">
        <v>14</v>
      </c>
      <c r="AI18" s="0" t="n">
        <v>11</v>
      </c>
      <c r="AN18" s="0" t="s">
        <v>146</v>
      </c>
      <c r="AO18" s="0" t="s">
        <v>250</v>
      </c>
      <c r="AP18" s="0" t="s">
        <v>251</v>
      </c>
      <c r="AQ18" s="0" t="n">
        <v>9</v>
      </c>
      <c r="AR18" s="0" t="n">
        <v>64</v>
      </c>
      <c r="AS18" s="0" t="n">
        <v>32</v>
      </c>
      <c r="AU18" s="0" t="n">
        <f aca="false">COUNTA($BA$2210:$EH$2210)</f>
        <v>12</v>
      </c>
      <c r="AV18" s="0" t="n">
        <f aca="false">COUNTIF($BA$2210:$EH$2210,"D")</f>
        <v>2</v>
      </c>
      <c r="AW18" s="0" t="n">
        <f aca="false">COUNTIF($BA$2210:$EH$2210,"R")</f>
        <v>0</v>
      </c>
      <c r="AX18" s="0" t="n">
        <f aca="false"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>0</v>
      </c>
      <c r="AY18" s="0" t="n">
        <f aca="false">COUNTIF(DU18:EH18, "&lt;&gt;")</f>
        <v>0</v>
      </c>
      <c r="AZ18" s="0" t="n">
        <f aca="false">IF(EH18&lt;&gt;"",1,0)</f>
        <v>0</v>
      </c>
      <c r="BB18" s="0" t="s">
        <v>153</v>
      </c>
      <c r="BC18" s="0" t="s">
        <v>154</v>
      </c>
      <c r="BD18" s="0" t="s">
        <v>154</v>
      </c>
      <c r="BF18" s="0" t="s">
        <v>154</v>
      </c>
      <c r="BH18" s="0" t="s">
        <v>154</v>
      </c>
      <c r="BL18" s="0" t="s">
        <v>154</v>
      </c>
      <c r="BP18" s="0" t="s">
        <v>154</v>
      </c>
      <c r="BR18" s="0" t="s">
        <v>154</v>
      </c>
      <c r="BS18" s="0" t="s">
        <v>154</v>
      </c>
      <c r="BY18" s="0" t="s">
        <v>155</v>
      </c>
      <c r="CA18" s="0" t="s">
        <v>154</v>
      </c>
      <c r="CG18" s="0" t="s">
        <v>154</v>
      </c>
      <c r="CK18" s="0" t="s">
        <v>154</v>
      </c>
      <c r="CN18" s="0" t="s">
        <v>154</v>
      </c>
      <c r="CP18" s="0" t="s">
        <v>154</v>
      </c>
      <c r="CT18" s="0" t="s">
        <v>154</v>
      </c>
      <c r="CU18" s="0" t="s">
        <v>155</v>
      </c>
      <c r="CY18" s="0" t="s">
        <v>154</v>
      </c>
      <c r="CZ18" s="0" t="s">
        <v>176</v>
      </c>
      <c r="DC18" s="0" t="s">
        <v>154</v>
      </c>
      <c r="DF18" s="0" t="s">
        <v>154</v>
      </c>
    </row>
    <row r="19" customFormat="false" ht="13.8" hidden="true" customHeight="false" outlineLevel="0" collapsed="false">
      <c r="A19" s="0" t="s">
        <v>265</v>
      </c>
      <c r="B19" s="0" t="n">
        <v>78</v>
      </c>
      <c r="C19" s="0" t="n">
        <v>420724</v>
      </c>
      <c r="D19" s="0" t="s">
        <v>260</v>
      </c>
      <c r="E19" s="0" t="s">
        <v>266</v>
      </c>
      <c r="F19" s="0" t="str">
        <f aca="false">CONCATENATE(D19," ",LEFT(H19,4),"T=",AU19,"D=",AV19,"R=",AW19,"M=",AX19,"L=",AY19,"B=",AZ19)</f>
        <v>SAPP T=20D=1R=1M=0L=0B=0</v>
      </c>
      <c r="I19" s="0" t="s">
        <v>267</v>
      </c>
      <c r="J19" s="0" t="s">
        <v>268</v>
      </c>
      <c r="K19" s="0" t="s">
        <v>175</v>
      </c>
      <c r="L19" s="0"/>
      <c r="M19" s="0" t="s">
        <v>264</v>
      </c>
      <c r="N19" s="0" t="str">
        <f aca="false">RIGHT(M19,LEN(M19)-FIND(" ",M19))</f>
        <v>ALBERT ST NE</v>
      </c>
      <c r="P19" s="0" t="s">
        <v>146</v>
      </c>
      <c r="Q19" s="0" t="s">
        <v>147</v>
      </c>
      <c r="R19" s="0" t="n">
        <v>44483</v>
      </c>
      <c r="AD19" s="0" t="s">
        <v>148</v>
      </c>
      <c r="AE19" s="0" t="s">
        <v>149</v>
      </c>
      <c r="AF19" s="0" t="s">
        <v>150</v>
      </c>
      <c r="AH19" s="0" t="n">
        <v>14</v>
      </c>
      <c r="AI19" s="0" t="n">
        <v>11</v>
      </c>
      <c r="AN19" s="0" t="s">
        <v>146</v>
      </c>
      <c r="AO19" s="0" t="s">
        <v>250</v>
      </c>
      <c r="AP19" s="0" t="s">
        <v>251</v>
      </c>
      <c r="AQ19" s="0" t="n">
        <v>9</v>
      </c>
      <c r="AR19" s="0" t="n">
        <v>64</v>
      </c>
      <c r="AS19" s="0" t="n">
        <v>32</v>
      </c>
      <c r="AU19" s="0" t="n">
        <f aca="false">COUNTA($BA$2632:$EH$2632)</f>
        <v>20</v>
      </c>
      <c r="AV19" s="0" t="n">
        <f aca="false">COUNTIF($BA$2632:$EH$2632,"D")</f>
        <v>1</v>
      </c>
      <c r="AW19" s="0" t="n">
        <f aca="false">COUNTIF($BA$2632:$EH$2632,"R")</f>
        <v>1</v>
      </c>
      <c r="AX19" s="0" t="n">
        <f aca="false"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>0</v>
      </c>
      <c r="AY19" s="0" t="n">
        <f aca="false">COUNTIF(DU19:EH19, "&lt;&gt;")</f>
        <v>0</v>
      </c>
      <c r="AZ19" s="0" t="n">
        <f aca="false">IF(EH19&lt;&gt;"",1,0)</f>
        <v>0</v>
      </c>
      <c r="BB19" s="0" t="s">
        <v>153</v>
      </c>
      <c r="BH19" s="0" t="s">
        <v>154</v>
      </c>
      <c r="BL19" s="0" t="s">
        <v>154</v>
      </c>
    </row>
    <row r="20" customFormat="false" ht="13.8" hidden="false" customHeight="false" outlineLevel="0" collapsed="false">
      <c r="A20" s="0" t="s">
        <v>269</v>
      </c>
      <c r="B20" s="0" t="n">
        <v>78</v>
      </c>
      <c r="C20" s="0" t="n">
        <v>453596</v>
      </c>
      <c r="D20" s="0" t="s">
        <v>194</v>
      </c>
      <c r="E20" s="0" t="s">
        <v>270</v>
      </c>
      <c r="F20" s="0" t="str">
        <f aca="false">CONCATENATE(D20," ",LEFT(H20,4),"T=",AU20,"D=",AV20,"R=",AW20,"M=",AX20,"L=",AY20,"B=",AZ20)</f>
        <v>JORDAN T=2D=0R=0M=1L=4B=1</v>
      </c>
      <c r="G20" s="0" t="s">
        <v>271</v>
      </c>
      <c r="I20" s="0" t="s">
        <v>272</v>
      </c>
      <c r="J20" s="0" t="s">
        <v>273</v>
      </c>
      <c r="K20" s="0" t="s">
        <v>175</v>
      </c>
      <c r="L20" s="1" t="s">
        <v>155</v>
      </c>
      <c r="M20" s="0" t="s">
        <v>274</v>
      </c>
      <c r="N20" s="0" t="str">
        <f aca="false">RIGHT(M20,LEN(M20)-FIND(" ",M20))</f>
        <v>ALBERT ST NE</v>
      </c>
      <c r="P20" s="0" t="s">
        <v>146</v>
      </c>
      <c r="Q20" s="0" t="s">
        <v>147</v>
      </c>
      <c r="R20" s="0" t="n">
        <v>44483</v>
      </c>
      <c r="AD20" s="0" t="s">
        <v>148</v>
      </c>
      <c r="AE20" s="0" t="s">
        <v>149</v>
      </c>
      <c r="AF20" s="0" t="s">
        <v>150</v>
      </c>
      <c r="AH20" s="0" t="n">
        <v>14</v>
      </c>
      <c r="AI20" s="0" t="n">
        <v>11</v>
      </c>
      <c r="AN20" s="0" t="s">
        <v>146</v>
      </c>
      <c r="AO20" s="0" t="s">
        <v>250</v>
      </c>
      <c r="AP20" s="0" t="s">
        <v>251</v>
      </c>
      <c r="AQ20" s="0" t="n">
        <v>9</v>
      </c>
      <c r="AR20" s="0" t="n">
        <v>64</v>
      </c>
      <c r="AS20" s="0" t="n">
        <v>32</v>
      </c>
      <c r="AU20" s="0" t="n">
        <f aca="false">COUNTA($BA$2630:$EH$2630)</f>
        <v>2</v>
      </c>
      <c r="AV20" s="0" t="n">
        <f aca="false">COUNTIF($BA$2630:$EH$2630,"D")</f>
        <v>0</v>
      </c>
      <c r="AW20" s="0" t="n">
        <f aca="false">COUNTIF($BA$2630:$EH$2630,"R")</f>
        <v>0</v>
      </c>
      <c r="AX20" s="0" t="n">
        <f aca="false"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>1</v>
      </c>
      <c r="AY20" s="0" t="n">
        <f aca="false">COUNTIF(DU20:EH20, "&lt;&gt;")</f>
        <v>4</v>
      </c>
      <c r="AZ20" s="0" t="n">
        <f aca="false">IF(EH20&lt;&gt;"",1,0)</f>
        <v>1</v>
      </c>
      <c r="BB20" s="0" t="s">
        <v>153</v>
      </c>
      <c r="DN20" s="0" t="s">
        <v>154</v>
      </c>
      <c r="DU20" s="0" t="s">
        <v>154</v>
      </c>
      <c r="EA20" s="0" t="s">
        <v>154</v>
      </c>
      <c r="EF20" s="0" t="s">
        <v>154</v>
      </c>
      <c r="EH20" s="0" t="s">
        <v>155</v>
      </c>
    </row>
    <row r="21" customFormat="false" ht="13.8" hidden="true" customHeight="false" outlineLevel="0" collapsed="false">
      <c r="A21" s="0" t="s">
        <v>275</v>
      </c>
      <c r="B21" s="0" t="n">
        <v>78</v>
      </c>
      <c r="C21" s="0" t="n">
        <v>414976</v>
      </c>
      <c r="D21" s="0" t="s">
        <v>276</v>
      </c>
      <c r="E21" s="0" t="s">
        <v>277</v>
      </c>
      <c r="F21" s="0" t="str">
        <f aca="false">CONCATENATE(D21," ",LEFT(H21,4),"T=",AU21,"D=",AV21,"R=",AW21,"M=",AX21,"L=",AY21,"B=",AZ21)</f>
        <v>MARSH T=22D=3R=2M=0L=0B=0</v>
      </c>
      <c r="G21" s="0" t="s">
        <v>278</v>
      </c>
      <c r="I21" s="0" t="s">
        <v>279</v>
      </c>
      <c r="J21" s="0" t="s">
        <v>280</v>
      </c>
      <c r="K21" s="0" t="s">
        <v>144</v>
      </c>
      <c r="L21" s="0"/>
      <c r="M21" s="0" t="s">
        <v>281</v>
      </c>
      <c r="N21" s="0" t="str">
        <f aca="false">RIGHT(M21,LEN(M21)-FIND(" ",M21))</f>
        <v>ALBERT ST NE</v>
      </c>
      <c r="P21" s="0" t="s">
        <v>146</v>
      </c>
      <c r="Q21" s="0" t="s">
        <v>147</v>
      </c>
      <c r="R21" s="0" t="n">
        <v>44483</v>
      </c>
      <c r="AD21" s="0" t="s">
        <v>148</v>
      </c>
      <c r="AE21" s="0" t="s">
        <v>149</v>
      </c>
      <c r="AF21" s="0" t="s">
        <v>150</v>
      </c>
      <c r="AH21" s="0" t="n">
        <v>14</v>
      </c>
      <c r="AI21" s="0" t="n">
        <v>11</v>
      </c>
      <c r="AN21" s="0" t="s">
        <v>146</v>
      </c>
      <c r="AO21" s="0" t="s">
        <v>250</v>
      </c>
      <c r="AP21" s="0" t="s">
        <v>251</v>
      </c>
      <c r="AQ21" s="0" t="n">
        <v>9</v>
      </c>
      <c r="AR21" s="0" t="n">
        <v>64</v>
      </c>
      <c r="AS21" s="0" t="n">
        <v>32</v>
      </c>
      <c r="AU21" s="0" t="n">
        <f aca="false">COUNTA($BA$2323:$EH$2323)</f>
        <v>22</v>
      </c>
      <c r="AV21" s="0" t="n">
        <f aca="false">COUNTIF($BA$2323:$EH$2323,"D")</f>
        <v>3</v>
      </c>
      <c r="AW21" s="0" t="n">
        <f aca="false">COUNTIF($BA$2323:$EH$2323,"R")</f>
        <v>2</v>
      </c>
      <c r="AX21" s="0" t="n">
        <f aca="false"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>0</v>
      </c>
      <c r="AY21" s="0" t="n">
        <f aca="false">COUNTIF(DU21:EH21, "&lt;&gt;")</f>
        <v>0</v>
      </c>
      <c r="AZ21" s="0" t="n">
        <f aca="false">IF(EH21&lt;&gt;"",1,0)</f>
        <v>0</v>
      </c>
      <c r="BB21" s="0" t="s">
        <v>153</v>
      </c>
    </row>
    <row r="22" customFormat="false" ht="13.8" hidden="true" customHeight="false" outlineLevel="0" collapsed="false">
      <c r="A22" s="0" t="s">
        <v>282</v>
      </c>
      <c r="B22" s="0" t="n">
        <v>78</v>
      </c>
      <c r="C22" s="0" t="n">
        <v>361409</v>
      </c>
      <c r="D22" s="0" t="s">
        <v>276</v>
      </c>
      <c r="E22" s="0" t="s">
        <v>283</v>
      </c>
      <c r="F22" s="0" t="str">
        <f aca="false">CONCATENATE(D22," ",LEFT(H22,4),"T=",AU22,"D=",AV22,"R=",AW22,"M=",AX22,"L=",AY22,"B=",AZ22)</f>
        <v>MARSH T=2D=0R=0M=0L=0B=0</v>
      </c>
      <c r="G22" s="0" t="s">
        <v>176</v>
      </c>
      <c r="I22" s="0" t="s">
        <v>284</v>
      </c>
      <c r="J22" s="0" t="s">
        <v>285</v>
      </c>
      <c r="K22" s="0" t="s">
        <v>144</v>
      </c>
      <c r="L22" s="0"/>
      <c r="M22" s="0" t="s">
        <v>281</v>
      </c>
      <c r="N22" s="0" t="str">
        <f aca="false">RIGHT(M22,LEN(M22)-FIND(" ",M22))</f>
        <v>ALBERT ST NE</v>
      </c>
      <c r="P22" s="0" t="s">
        <v>146</v>
      </c>
      <c r="Q22" s="0" t="s">
        <v>147</v>
      </c>
      <c r="R22" s="0" t="n">
        <v>44483</v>
      </c>
      <c r="AD22" s="0" t="s">
        <v>148</v>
      </c>
      <c r="AE22" s="0" t="s">
        <v>149</v>
      </c>
      <c r="AF22" s="0" t="s">
        <v>150</v>
      </c>
      <c r="AH22" s="0" t="n">
        <v>14</v>
      </c>
      <c r="AI22" s="0" t="n">
        <v>11</v>
      </c>
      <c r="AN22" s="0" t="s">
        <v>146</v>
      </c>
      <c r="AO22" s="0" t="s">
        <v>250</v>
      </c>
      <c r="AP22" s="0" t="s">
        <v>251</v>
      </c>
      <c r="AQ22" s="0" t="n">
        <v>9</v>
      </c>
      <c r="AR22" s="0" t="n">
        <v>64</v>
      </c>
      <c r="AS22" s="0" t="n">
        <v>32</v>
      </c>
      <c r="AU22" s="0" t="n">
        <f aca="false">COUNTA($BA$2367:$EH$2367)</f>
        <v>2</v>
      </c>
      <c r="AV22" s="0" t="n">
        <f aca="false">COUNTIF($BA$2367:$EH$2367,"D")</f>
        <v>0</v>
      </c>
      <c r="AW22" s="0" t="n">
        <f aca="false">COUNTIF($BA$2367:$EH$2367,"R")</f>
        <v>0</v>
      </c>
      <c r="AX22" s="0" t="n">
        <f aca="false"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>0</v>
      </c>
      <c r="AY22" s="0" t="n">
        <f aca="false">COUNTIF(DU22:EH22, "&lt;&gt;")</f>
        <v>0</v>
      </c>
      <c r="AZ22" s="0" t="n">
        <f aca="false">IF(EH22&lt;&gt;"",1,0)</f>
        <v>0</v>
      </c>
      <c r="BB22" s="0" t="s">
        <v>153</v>
      </c>
    </row>
    <row r="23" customFormat="false" ht="13.8" hidden="false" customHeight="false" outlineLevel="0" collapsed="false">
      <c r="A23" s="0" t="s">
        <v>286</v>
      </c>
      <c r="B23" s="0" t="n">
        <v>78</v>
      </c>
      <c r="C23" s="0" t="n">
        <v>414851</v>
      </c>
      <c r="D23" s="0" t="s">
        <v>276</v>
      </c>
      <c r="E23" s="0" t="s">
        <v>287</v>
      </c>
      <c r="F23" s="0" t="str">
        <f aca="false">CONCATENATE(D23," ",LEFT(H23,4),"T=",AU23,"D=",AV23,"R=",AW23,"M=",AX23,"L=",AY23,"B=",AZ23)</f>
        <v>MARSH T=36D=8R=0M=0L=5B=0</v>
      </c>
      <c r="G23" s="0" t="s">
        <v>188</v>
      </c>
      <c r="I23" s="0" t="s">
        <v>288</v>
      </c>
      <c r="J23" s="0" t="s">
        <v>280</v>
      </c>
      <c r="K23" s="0" t="s">
        <v>175</v>
      </c>
      <c r="L23" s="1" t="s">
        <v>176</v>
      </c>
      <c r="M23" s="0" t="s">
        <v>281</v>
      </c>
      <c r="N23" s="0" t="str">
        <f aca="false">RIGHT(M23,LEN(M23)-FIND(" ",M23))</f>
        <v>ALBERT ST NE</v>
      </c>
      <c r="P23" s="0" t="s">
        <v>146</v>
      </c>
      <c r="Q23" s="0" t="s">
        <v>147</v>
      </c>
      <c r="R23" s="0" t="n">
        <v>44483</v>
      </c>
      <c r="AD23" s="0" t="s">
        <v>148</v>
      </c>
      <c r="AE23" s="0" t="s">
        <v>149</v>
      </c>
      <c r="AF23" s="0" t="s">
        <v>150</v>
      </c>
      <c r="AH23" s="0" t="n">
        <v>14</v>
      </c>
      <c r="AI23" s="0" t="n">
        <v>11</v>
      </c>
      <c r="AN23" s="0" t="s">
        <v>146</v>
      </c>
      <c r="AO23" s="0" t="s">
        <v>250</v>
      </c>
      <c r="AP23" s="0" t="s">
        <v>251</v>
      </c>
      <c r="AQ23" s="0" t="n">
        <v>9</v>
      </c>
      <c r="AR23" s="0" t="n">
        <v>64</v>
      </c>
      <c r="AS23" s="0" t="n">
        <v>32</v>
      </c>
      <c r="AU23" s="0" t="n">
        <f aca="false">COUNTA($BA$2521:$EH$2521)</f>
        <v>36</v>
      </c>
      <c r="AV23" s="0" t="n">
        <f aca="false">COUNTIF($BA$2521:$EH$2521,"D")</f>
        <v>8</v>
      </c>
      <c r="AW23" s="0" t="n">
        <f aca="false">COUNTIF($BA$2521:$EH$2521,"R")</f>
        <v>0</v>
      </c>
      <c r="AX23" s="0" t="n">
        <f aca="false"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>0</v>
      </c>
      <c r="AY23" s="0" t="n">
        <f aca="false">COUNTIF(DU23:EH23, "&lt;&gt;")</f>
        <v>5</v>
      </c>
      <c r="AZ23" s="0" t="n">
        <f aca="false">IF(EH23&lt;&gt;"",1,0)</f>
        <v>0</v>
      </c>
      <c r="BB23" s="0" t="s">
        <v>153</v>
      </c>
      <c r="BN23" s="0" t="s">
        <v>154</v>
      </c>
      <c r="DN23" s="0" t="s">
        <v>154</v>
      </c>
      <c r="DS23" s="0" t="s">
        <v>176</v>
      </c>
      <c r="DT23" s="0" t="s">
        <v>176</v>
      </c>
      <c r="DU23" s="0" t="s">
        <v>154</v>
      </c>
      <c r="DX23" s="0" t="s">
        <v>154</v>
      </c>
      <c r="EA23" s="0" t="s">
        <v>154</v>
      </c>
      <c r="ED23" s="0" t="s">
        <v>176</v>
      </c>
      <c r="EF23" s="0" t="s">
        <v>154</v>
      </c>
    </row>
    <row r="24" customFormat="false" ht="13.8" hidden="true" customHeight="false" outlineLevel="0" collapsed="false">
      <c r="A24" s="0" t="s">
        <v>289</v>
      </c>
      <c r="B24" s="0" t="n">
        <v>78</v>
      </c>
      <c r="C24" s="0" t="n">
        <v>474981</v>
      </c>
      <c r="D24" s="0" t="s">
        <v>290</v>
      </c>
      <c r="E24" s="0" t="s">
        <v>291</v>
      </c>
      <c r="F24" s="0" t="str">
        <f aca="false">CONCATENATE(D24," ",LEFT(H24,4),"T=",AU24,"D=",AV24,"R=",AW24,"M=",AX24,"L=",AY24,"B=",AZ24)</f>
        <v>THOMPSON T=3D=0R=0M=0L=1B=0</v>
      </c>
      <c r="G24" s="0" t="s">
        <v>292</v>
      </c>
      <c r="I24" s="0" t="s">
        <v>293</v>
      </c>
      <c r="J24" s="0" t="s">
        <v>294</v>
      </c>
      <c r="K24" s="0" t="s">
        <v>175</v>
      </c>
      <c r="L24" s="0"/>
      <c r="M24" s="0" t="s">
        <v>281</v>
      </c>
      <c r="N24" s="0" t="str">
        <f aca="false">RIGHT(M24,LEN(M24)-FIND(" ",M24))</f>
        <v>ALBERT ST NE</v>
      </c>
      <c r="P24" s="0" t="s">
        <v>146</v>
      </c>
      <c r="Q24" s="0" t="s">
        <v>147</v>
      </c>
      <c r="R24" s="0" t="n">
        <v>44483</v>
      </c>
      <c r="AD24" s="0" t="s">
        <v>148</v>
      </c>
      <c r="AE24" s="0" t="s">
        <v>149</v>
      </c>
      <c r="AF24" s="0" t="s">
        <v>150</v>
      </c>
      <c r="AH24" s="0" t="n">
        <v>14</v>
      </c>
      <c r="AI24" s="0" t="n">
        <v>11</v>
      </c>
      <c r="AN24" s="0" t="s">
        <v>146</v>
      </c>
      <c r="AO24" s="0" t="s">
        <v>250</v>
      </c>
      <c r="AP24" s="0" t="s">
        <v>251</v>
      </c>
      <c r="AQ24" s="0" t="n">
        <v>9</v>
      </c>
      <c r="AR24" s="0" t="n">
        <v>64</v>
      </c>
      <c r="AS24" s="0" t="n">
        <v>32</v>
      </c>
      <c r="AU24" s="0" t="n">
        <f aca="false">COUNTA($BA$2782:$EH$2782)</f>
        <v>3</v>
      </c>
      <c r="AV24" s="0" t="n">
        <f aca="false">COUNTIF($BA$2782:$EH$2782,"D")</f>
        <v>0</v>
      </c>
      <c r="AW24" s="0" t="n">
        <f aca="false">COUNTIF($BA$2782:$EH$2782,"R")</f>
        <v>0</v>
      </c>
      <c r="AX24" s="0" t="n">
        <f aca="false"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>0</v>
      </c>
      <c r="AY24" s="0" t="n">
        <f aca="false">COUNTIF(DU24:EH24, "&lt;&gt;")</f>
        <v>1</v>
      </c>
      <c r="AZ24" s="0" t="n">
        <f aca="false">IF(EH24&lt;&gt;"",1,0)</f>
        <v>0</v>
      </c>
      <c r="BB24" s="0" t="s">
        <v>153</v>
      </c>
      <c r="EF24" s="0" t="s">
        <v>154</v>
      </c>
    </row>
    <row r="25" customFormat="false" ht="13.8" hidden="false" customHeight="false" outlineLevel="0" collapsed="false">
      <c r="A25" s="0" t="s">
        <v>295</v>
      </c>
      <c r="B25" s="0" t="n">
        <v>78</v>
      </c>
      <c r="C25" s="0" t="n">
        <v>418163</v>
      </c>
      <c r="D25" s="0" t="s">
        <v>276</v>
      </c>
      <c r="E25" s="0" t="s">
        <v>296</v>
      </c>
      <c r="F25" s="0" t="str">
        <f aca="false">CONCATENATE(D25," ",LEFT(H25,4),"T=",AU25,"D=",AV25,"R=",AW25,"M=",AX25,"L=",AY25,"B=",AZ25)</f>
        <v>MARSH T=1D=0R=0M=0L=5B=0</v>
      </c>
      <c r="G25" s="0" t="s">
        <v>297</v>
      </c>
      <c r="I25" s="0" t="s">
        <v>298</v>
      </c>
      <c r="J25" s="0" t="s">
        <v>299</v>
      </c>
      <c r="K25" s="0" t="s">
        <v>175</v>
      </c>
      <c r="L25" s="1" t="s">
        <v>176</v>
      </c>
      <c r="M25" s="0" t="s">
        <v>300</v>
      </c>
      <c r="N25" s="0" t="str">
        <f aca="false">RIGHT(M25,LEN(M25)-FIND(" ",M25))</f>
        <v>ALBERT ST NE</v>
      </c>
      <c r="P25" s="0" t="s">
        <v>146</v>
      </c>
      <c r="Q25" s="0" t="s">
        <v>147</v>
      </c>
      <c r="R25" s="0" t="n">
        <v>44483</v>
      </c>
      <c r="AD25" s="0" t="s">
        <v>148</v>
      </c>
      <c r="AE25" s="0" t="s">
        <v>149</v>
      </c>
      <c r="AF25" s="0" t="s">
        <v>150</v>
      </c>
      <c r="AH25" s="0" t="n">
        <v>14</v>
      </c>
      <c r="AI25" s="0" t="n">
        <v>11</v>
      </c>
      <c r="AN25" s="0" t="s">
        <v>146</v>
      </c>
      <c r="AO25" s="0" t="s">
        <v>250</v>
      </c>
      <c r="AP25" s="0" t="s">
        <v>251</v>
      </c>
      <c r="AQ25" s="0" t="n">
        <v>9</v>
      </c>
      <c r="AR25" s="0" t="n">
        <v>64</v>
      </c>
      <c r="AS25" s="0" t="n">
        <v>32</v>
      </c>
      <c r="AU25" s="0" t="n">
        <f aca="false">COUNTA($BA$2643:$EH$2643)</f>
        <v>1</v>
      </c>
      <c r="AV25" s="0" t="n">
        <f aca="false">COUNTIF($BA$2643:$EH$2643,"D")</f>
        <v>0</v>
      </c>
      <c r="AW25" s="0" t="n">
        <f aca="false">COUNTIF($BA$2643:$EH$2643,"R")</f>
        <v>0</v>
      </c>
      <c r="AX25" s="0" t="n">
        <f aca="false"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>0</v>
      </c>
      <c r="AY25" s="0" t="n">
        <f aca="false">COUNTIF(DU25:EH25, "&lt;&gt;")</f>
        <v>5</v>
      </c>
      <c r="AZ25" s="0" t="n">
        <f aca="false">IF(EH25&lt;&gt;"",1,0)</f>
        <v>0</v>
      </c>
      <c r="BB25" s="0" t="s">
        <v>153</v>
      </c>
      <c r="DN25" s="0" t="s">
        <v>154</v>
      </c>
      <c r="DS25" s="0" t="s">
        <v>176</v>
      </c>
      <c r="DU25" s="0" t="s">
        <v>154</v>
      </c>
      <c r="DX25" s="0" t="s">
        <v>154</v>
      </c>
      <c r="EA25" s="0" t="s">
        <v>154</v>
      </c>
      <c r="ED25" s="0" t="s">
        <v>176</v>
      </c>
      <c r="EF25" s="0" t="s">
        <v>154</v>
      </c>
    </row>
    <row r="26" customFormat="false" ht="13.8" hidden="true" customHeight="false" outlineLevel="0" collapsed="false">
      <c r="A26" s="0" t="s">
        <v>301</v>
      </c>
      <c r="B26" s="0" t="n">
        <v>78</v>
      </c>
      <c r="C26" s="0" t="n">
        <v>484763</v>
      </c>
      <c r="D26" s="0" t="s">
        <v>302</v>
      </c>
      <c r="E26" s="0" t="s">
        <v>303</v>
      </c>
      <c r="F26" s="0" t="str">
        <f aca="false">CONCATENATE(D26," ",LEFT(H26,4),"T=",AU26,"D=",AV26,"R=",AW26,"M=",AX26,"L=",AY26,"B=",AZ26)</f>
        <v>AHLMAN T=1D=0R=0M=0L=1B=0</v>
      </c>
      <c r="G26" s="0" t="s">
        <v>304</v>
      </c>
      <c r="I26" s="0" t="s">
        <v>305</v>
      </c>
      <c r="J26" s="0" t="s">
        <v>306</v>
      </c>
      <c r="K26" s="0" t="s">
        <v>175</v>
      </c>
      <c r="L26" s="0"/>
      <c r="M26" s="0" t="s">
        <v>307</v>
      </c>
      <c r="N26" s="0" t="str">
        <f aca="false">RIGHT(M26,LEN(M26)-FIND(" ",M26))</f>
        <v>ALBERT ST NE</v>
      </c>
      <c r="P26" s="0" t="s">
        <v>146</v>
      </c>
      <c r="Q26" s="0" t="s">
        <v>147</v>
      </c>
      <c r="R26" s="0" t="n">
        <v>44483</v>
      </c>
      <c r="AD26" s="0" t="s">
        <v>148</v>
      </c>
      <c r="AE26" s="0" t="s">
        <v>149</v>
      </c>
      <c r="AF26" s="0" t="s">
        <v>150</v>
      </c>
      <c r="AH26" s="0" t="n">
        <v>14</v>
      </c>
      <c r="AI26" s="0" t="n">
        <v>11</v>
      </c>
      <c r="AN26" s="0" t="s">
        <v>146</v>
      </c>
      <c r="AO26" s="0" t="s">
        <v>236</v>
      </c>
      <c r="AP26" s="0" t="s">
        <v>237</v>
      </c>
      <c r="AQ26" s="0" t="n">
        <v>9</v>
      </c>
      <c r="AR26" s="0" t="n">
        <v>64</v>
      </c>
      <c r="AS26" s="0" t="n">
        <v>32</v>
      </c>
      <c r="AU26" s="0" t="n">
        <f aca="false">COUNTA($BA$1020:$EH$1020)</f>
        <v>1</v>
      </c>
      <c r="AV26" s="0" t="n">
        <f aca="false">COUNTIF($BA$1020:$EH$1020,"D")</f>
        <v>0</v>
      </c>
      <c r="AW26" s="0" t="n">
        <f aca="false">COUNTIF($BA$1020:$EH$1020,"R")</f>
        <v>0</v>
      </c>
      <c r="AX26" s="0" t="n">
        <f aca="false"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>0</v>
      </c>
      <c r="AY26" s="0" t="n">
        <f aca="false">COUNTIF(DU26:EH26, "&lt;&gt;")</f>
        <v>1</v>
      </c>
      <c r="AZ26" s="0" t="n">
        <f aca="false">IF(EH26&lt;&gt;"",1,0)</f>
        <v>0</v>
      </c>
      <c r="BB26" s="0" t="s">
        <v>153</v>
      </c>
      <c r="EF26" s="0" t="s">
        <v>154</v>
      </c>
    </row>
    <row r="27" customFormat="false" ht="13.8" hidden="true" customHeight="false" outlineLevel="0" collapsed="false">
      <c r="A27" s="0" t="s">
        <v>308</v>
      </c>
      <c r="B27" s="0" t="n">
        <v>78</v>
      </c>
      <c r="C27" s="0" t="n">
        <v>405036</v>
      </c>
      <c r="D27" s="0" t="s">
        <v>309</v>
      </c>
      <c r="E27" s="0" t="s">
        <v>310</v>
      </c>
      <c r="F27" s="0" t="str">
        <f aca="false">CONCATENATE(D27," ",LEFT(H27,4),"T=",AU27,"D=",AV27,"R=",AW27,"M=",AX27,"L=",AY27,"B=",AZ27)</f>
        <v>BROWN SRT=1D=0R=0M=0L=0B=0</v>
      </c>
      <c r="G27" s="0" t="s">
        <v>297</v>
      </c>
      <c r="H27" s="0" t="s">
        <v>311</v>
      </c>
      <c r="I27" s="0" t="s">
        <v>312</v>
      </c>
      <c r="J27" s="0" t="s">
        <v>313</v>
      </c>
      <c r="K27" s="0" t="s">
        <v>175</v>
      </c>
      <c r="L27" s="0"/>
      <c r="M27" s="0" t="s">
        <v>314</v>
      </c>
      <c r="N27" s="0" t="str">
        <f aca="false">RIGHT(M27,LEN(M27)-FIND(" ",M27))</f>
        <v>ALBERT ST NE</v>
      </c>
      <c r="P27" s="0" t="s">
        <v>146</v>
      </c>
      <c r="Q27" s="0" t="s">
        <v>147</v>
      </c>
      <c r="R27" s="0" t="n">
        <v>44483</v>
      </c>
      <c r="AD27" s="0" t="s">
        <v>148</v>
      </c>
      <c r="AE27" s="0" t="s">
        <v>149</v>
      </c>
      <c r="AF27" s="0" t="s">
        <v>150</v>
      </c>
      <c r="AH27" s="0" t="n">
        <v>14</v>
      </c>
      <c r="AI27" s="0" t="n">
        <v>11</v>
      </c>
      <c r="AN27" s="0" t="s">
        <v>146</v>
      </c>
      <c r="AO27" s="0" t="s">
        <v>236</v>
      </c>
      <c r="AP27" s="0" t="s">
        <v>237</v>
      </c>
      <c r="AQ27" s="0" t="n">
        <v>9</v>
      </c>
      <c r="AR27" s="0" t="n">
        <v>64</v>
      </c>
      <c r="AS27" s="0" t="n">
        <v>32</v>
      </c>
      <c r="AU27" s="0" t="n">
        <f aca="false">COUNTA($BA$31:$EH$31)</f>
        <v>1</v>
      </c>
      <c r="AV27" s="0" t="n">
        <f aca="false">COUNTIF($BA$31:$EH$31,"D")</f>
        <v>0</v>
      </c>
      <c r="AW27" s="0" t="n">
        <f aca="false">COUNTIF($BA$31:$EH$31,"R")</f>
        <v>0</v>
      </c>
      <c r="AX27" s="0" t="n">
        <f aca="false"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>0</v>
      </c>
      <c r="AY27" s="0" t="n">
        <f aca="false">COUNTIF(DU27:EH27, "&lt;&gt;")</f>
        <v>0</v>
      </c>
      <c r="AZ27" s="0" t="n">
        <f aca="false">IF(EH27&lt;&gt;"",1,0)</f>
        <v>0</v>
      </c>
      <c r="BB27" s="0" t="s">
        <v>153</v>
      </c>
      <c r="CY27" s="0" t="s">
        <v>154</v>
      </c>
      <c r="DC27" s="0" t="s">
        <v>154</v>
      </c>
      <c r="DN27" s="0" t="s">
        <v>154</v>
      </c>
    </row>
    <row r="28" customFormat="false" ht="13.8" hidden="true" customHeight="false" outlineLevel="0" collapsed="false">
      <c r="A28" s="0" t="s">
        <v>315</v>
      </c>
      <c r="B28" s="0" t="n">
        <v>78</v>
      </c>
      <c r="C28" s="0" t="n">
        <v>495110</v>
      </c>
      <c r="D28" s="0" t="s">
        <v>290</v>
      </c>
      <c r="E28" s="0" t="s">
        <v>316</v>
      </c>
      <c r="F28" s="0" t="str">
        <f aca="false">CONCATENATE(D28," ",LEFT(H28,4),"T=",AU28,"D=",AV28,"R=",AW28,"M=",AX28,"L=",AY28,"B=",AZ28)</f>
        <v>THOMPSON T=7D=1R=0M=0L=0B=0</v>
      </c>
      <c r="G28" s="0" t="s">
        <v>317</v>
      </c>
      <c r="I28" s="0" t="s">
        <v>318</v>
      </c>
      <c r="J28" s="0" t="s">
        <v>319</v>
      </c>
      <c r="K28" s="0" t="s">
        <v>175</v>
      </c>
      <c r="L28" s="0"/>
      <c r="M28" s="0" t="s">
        <v>320</v>
      </c>
      <c r="N28" s="0" t="str">
        <f aca="false">RIGHT(M28,LEN(M28)-FIND(" ",M28))</f>
        <v>ARLINGTON AVE NW</v>
      </c>
      <c r="P28" s="0" t="s">
        <v>146</v>
      </c>
      <c r="Q28" s="0" t="s">
        <v>147</v>
      </c>
      <c r="R28" s="0" t="n">
        <v>44483</v>
      </c>
      <c r="AD28" s="0" t="s">
        <v>148</v>
      </c>
      <c r="AE28" s="0" t="s">
        <v>149</v>
      </c>
      <c r="AF28" s="0" t="s">
        <v>150</v>
      </c>
      <c r="AH28" s="0" t="n">
        <v>14</v>
      </c>
      <c r="AI28" s="0" t="n">
        <v>11</v>
      </c>
      <c r="AN28" s="0" t="s">
        <v>146</v>
      </c>
      <c r="AO28" s="0" t="s">
        <v>250</v>
      </c>
      <c r="AP28" s="0" t="s">
        <v>251</v>
      </c>
      <c r="AQ28" s="0" t="n">
        <v>9</v>
      </c>
      <c r="AR28" s="0" t="n">
        <v>64</v>
      </c>
      <c r="AS28" s="0" t="n">
        <v>32</v>
      </c>
      <c r="AU28" s="0" t="n">
        <f aca="false">COUNTA($BA$2082:$EH$2082)</f>
        <v>7</v>
      </c>
      <c r="AV28" s="0" t="n">
        <f aca="false">COUNTIF($BA$2082:$EH$2082,"D")</f>
        <v>1</v>
      </c>
      <c r="AW28" s="0" t="n">
        <f aca="false">COUNTIF($BA$2082:$EH$2082,"R")</f>
        <v>0</v>
      </c>
      <c r="AX28" s="0" t="n">
        <f aca="false"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>0</v>
      </c>
      <c r="AY28" s="0" t="n">
        <f aca="false">COUNTIF(DU28:EH28, "&lt;&gt;")</f>
        <v>0</v>
      </c>
      <c r="AZ28" s="0" t="n">
        <f aca="false">IF(EH28&lt;&gt;"",1,0)</f>
        <v>0</v>
      </c>
      <c r="BB28" s="0" t="s">
        <v>153</v>
      </c>
      <c r="BY28" s="0" t="s">
        <v>155</v>
      </c>
      <c r="CA28" s="0" t="s">
        <v>154</v>
      </c>
    </row>
    <row r="29" customFormat="false" ht="13.8" hidden="false" customHeight="false" outlineLevel="0" collapsed="false">
      <c r="A29" s="0" t="s">
        <v>321</v>
      </c>
      <c r="B29" s="0" t="n">
        <v>78</v>
      </c>
      <c r="C29" s="0" t="n">
        <v>331241</v>
      </c>
      <c r="D29" s="0" t="s">
        <v>322</v>
      </c>
      <c r="E29" s="0" t="s">
        <v>323</v>
      </c>
      <c r="F29" s="0" t="str">
        <f aca="false">CONCATENATE(D29," ",LEFT(H29,4),"T=",AU29,"D=",AV29,"R=",AW29,"M=",AX29,"L=",AY29,"B=",AZ29)</f>
        <v>BREWER T=16D=2R=0M=0L=2B=0</v>
      </c>
      <c r="G29" s="0" t="s">
        <v>222</v>
      </c>
      <c r="I29" s="0" t="s">
        <v>324</v>
      </c>
      <c r="J29" s="0" t="s">
        <v>325</v>
      </c>
      <c r="K29" s="0" t="s">
        <v>175</v>
      </c>
      <c r="M29" s="0" t="s">
        <v>326</v>
      </c>
      <c r="N29" s="0" t="str">
        <f aca="false">RIGHT(M29,LEN(M29)-FIND(" ",M29))</f>
        <v>ARLINGTON AVE NW</v>
      </c>
      <c r="P29" s="0" t="s">
        <v>146</v>
      </c>
      <c r="Q29" s="0" t="s">
        <v>147</v>
      </c>
      <c r="R29" s="0" t="n">
        <v>44483</v>
      </c>
      <c r="AD29" s="0" t="s">
        <v>148</v>
      </c>
      <c r="AE29" s="0" t="s">
        <v>149</v>
      </c>
      <c r="AF29" s="0" t="s">
        <v>150</v>
      </c>
      <c r="AH29" s="0" t="n">
        <v>14</v>
      </c>
      <c r="AI29" s="0" t="n">
        <v>11</v>
      </c>
      <c r="AN29" s="0" t="s">
        <v>146</v>
      </c>
      <c r="AO29" s="0" t="s">
        <v>250</v>
      </c>
      <c r="AP29" s="0" t="s">
        <v>251</v>
      </c>
      <c r="AQ29" s="0" t="n">
        <v>9</v>
      </c>
      <c r="AR29" s="0" t="n">
        <v>64</v>
      </c>
      <c r="AS29" s="0" t="n">
        <v>32</v>
      </c>
      <c r="AU29" s="0" t="n">
        <f aca="false">COUNTA($BA$2346:$EH$2346)</f>
        <v>16</v>
      </c>
      <c r="AV29" s="0" t="n">
        <f aca="false">COUNTIF($BA$2346:$EH$2346,"D")</f>
        <v>2</v>
      </c>
      <c r="AW29" s="0" t="n">
        <f aca="false">COUNTIF($BA$2346:$EH$2346,"R")</f>
        <v>0</v>
      </c>
      <c r="AX29" s="0" t="n">
        <f aca="false"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>0</v>
      </c>
      <c r="AY29" s="0" t="n">
        <f aca="false">COUNTIF(DU29:EH29, "&lt;&gt;")</f>
        <v>2</v>
      </c>
      <c r="AZ29" s="0" t="n">
        <f aca="false">IF(EH29&lt;&gt;"",1,0)</f>
        <v>0</v>
      </c>
      <c r="BB29" s="0" t="s">
        <v>153</v>
      </c>
      <c r="BL29" s="0" t="s">
        <v>154</v>
      </c>
      <c r="BS29" s="0" t="s">
        <v>154</v>
      </c>
      <c r="CG29" s="0" t="s">
        <v>154</v>
      </c>
      <c r="CK29" s="0" t="s">
        <v>154</v>
      </c>
      <c r="CP29" s="0" t="s">
        <v>154</v>
      </c>
      <c r="CY29" s="0" t="s">
        <v>154</v>
      </c>
      <c r="CZ29" s="0" t="s">
        <v>155</v>
      </c>
      <c r="DC29" s="0" t="s">
        <v>154</v>
      </c>
      <c r="DN29" s="0" t="s">
        <v>154</v>
      </c>
      <c r="EA29" s="0" t="s">
        <v>154</v>
      </c>
      <c r="EF29" s="0" t="s">
        <v>154</v>
      </c>
    </row>
    <row r="30" customFormat="false" ht="13.8" hidden="false" customHeight="false" outlineLevel="0" collapsed="false">
      <c r="A30" s="0" t="s">
        <v>327</v>
      </c>
      <c r="B30" s="0" t="n">
        <v>78</v>
      </c>
      <c r="C30" s="0" t="n">
        <v>404002</v>
      </c>
      <c r="D30" s="0" t="s">
        <v>322</v>
      </c>
      <c r="E30" s="0" t="s">
        <v>328</v>
      </c>
      <c r="F30" s="0" t="str">
        <f aca="false">CONCATENATE(D30," ",LEFT(H30,4),"T=",AU30,"D=",AV30,"R=",AW30,"M=",AX30,"L=",AY30,"B=",AZ30)</f>
        <v>BREWER T=17D=1R=0M=0L=2B=0</v>
      </c>
      <c r="G30" s="0" t="s">
        <v>329</v>
      </c>
      <c r="I30" s="0" t="s">
        <v>330</v>
      </c>
      <c r="J30" s="0" t="s">
        <v>331</v>
      </c>
      <c r="K30" s="0" t="s">
        <v>175</v>
      </c>
      <c r="M30" s="0" t="s">
        <v>326</v>
      </c>
      <c r="N30" s="0" t="str">
        <f aca="false">RIGHT(M30,LEN(M30)-FIND(" ",M30))</f>
        <v>ARLINGTON AVE NW</v>
      </c>
      <c r="P30" s="0" t="s">
        <v>146</v>
      </c>
      <c r="Q30" s="0" t="s">
        <v>147</v>
      </c>
      <c r="R30" s="0" t="n">
        <v>44483</v>
      </c>
      <c r="AD30" s="0" t="s">
        <v>148</v>
      </c>
      <c r="AE30" s="0" t="s">
        <v>149</v>
      </c>
      <c r="AF30" s="0" t="s">
        <v>150</v>
      </c>
      <c r="AH30" s="0" t="n">
        <v>14</v>
      </c>
      <c r="AI30" s="0" t="n">
        <v>11</v>
      </c>
      <c r="AN30" s="0" t="s">
        <v>146</v>
      </c>
      <c r="AO30" s="0" t="s">
        <v>250</v>
      </c>
      <c r="AP30" s="0" t="s">
        <v>251</v>
      </c>
      <c r="AQ30" s="0" t="n">
        <v>9</v>
      </c>
      <c r="AR30" s="0" t="n">
        <v>64</v>
      </c>
      <c r="AS30" s="0" t="n">
        <v>32</v>
      </c>
      <c r="AU30" s="0" t="n">
        <f aca="false">COUNTA($BA$2657:$EH$2657)</f>
        <v>17</v>
      </c>
      <c r="AV30" s="0" t="n">
        <f aca="false">COUNTIF($BA$2657:$EH$2657,"D")</f>
        <v>1</v>
      </c>
      <c r="AW30" s="0" t="n">
        <f aca="false">COUNTIF($BA$2657:$EH$2657,"R")</f>
        <v>0</v>
      </c>
      <c r="AX30" s="0" t="n">
        <f aca="false"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>0</v>
      </c>
      <c r="AY30" s="0" t="n">
        <f aca="false">COUNTIF(DU30:EH30, "&lt;&gt;")</f>
        <v>2</v>
      </c>
      <c r="AZ30" s="0" t="n">
        <f aca="false">IF(EH30&lt;&gt;"",1,0)</f>
        <v>0</v>
      </c>
      <c r="BB30" s="0" t="s">
        <v>153</v>
      </c>
      <c r="CY30" s="0" t="s">
        <v>154</v>
      </c>
      <c r="CZ30" s="0" t="s">
        <v>155</v>
      </c>
      <c r="DC30" s="0" t="s">
        <v>154</v>
      </c>
      <c r="DN30" s="0" t="s">
        <v>154</v>
      </c>
      <c r="EA30" s="0" t="s">
        <v>154</v>
      </c>
      <c r="EF30" s="0" t="s">
        <v>154</v>
      </c>
    </row>
    <row r="31" customFormat="false" ht="13.8" hidden="true" customHeight="false" outlineLevel="0" collapsed="false">
      <c r="A31" s="0" t="s">
        <v>332</v>
      </c>
      <c r="B31" s="0" t="n">
        <v>78</v>
      </c>
      <c r="C31" s="0" t="n">
        <v>423893</v>
      </c>
      <c r="D31" s="0" t="s">
        <v>333</v>
      </c>
      <c r="E31" s="0" t="s">
        <v>334</v>
      </c>
      <c r="F31" s="0" t="str">
        <f aca="false">CONCATENATE(D31," ",LEFT(H31,4),"T=",AU31,"D=",AV31,"R=",AW31,"M=",AX31,"L=",AY31,"B=",AZ31)</f>
        <v>ADAMS T=2D=0R=0M=0L=0B=0</v>
      </c>
      <c r="G31" s="0" t="s">
        <v>335</v>
      </c>
      <c r="I31" s="0" t="s">
        <v>336</v>
      </c>
      <c r="J31" s="0" t="s">
        <v>337</v>
      </c>
      <c r="K31" s="0" t="s">
        <v>144</v>
      </c>
      <c r="L31" s="0"/>
      <c r="M31" s="0" t="s">
        <v>338</v>
      </c>
      <c r="N31" s="0" t="str">
        <f aca="false">RIGHT(M31,LEN(M31)-FIND(" ",M31))</f>
        <v>ARLINGTON AVE NW</v>
      </c>
      <c r="P31" s="0" t="s">
        <v>146</v>
      </c>
      <c r="Q31" s="0" t="s">
        <v>147</v>
      </c>
      <c r="R31" s="0" t="n">
        <v>44483</v>
      </c>
      <c r="AD31" s="0" t="s">
        <v>148</v>
      </c>
      <c r="AE31" s="0" t="s">
        <v>149</v>
      </c>
      <c r="AF31" s="0" t="s">
        <v>150</v>
      </c>
      <c r="AH31" s="0" t="n">
        <v>14</v>
      </c>
      <c r="AI31" s="0" t="n">
        <v>11</v>
      </c>
      <c r="AN31" s="0" t="s">
        <v>146</v>
      </c>
      <c r="AO31" s="0" t="s">
        <v>250</v>
      </c>
      <c r="AP31" s="0" t="s">
        <v>251</v>
      </c>
      <c r="AQ31" s="0" t="n">
        <v>9</v>
      </c>
      <c r="AR31" s="0" t="n">
        <v>64</v>
      </c>
      <c r="AS31" s="0" t="n">
        <v>32</v>
      </c>
      <c r="AU31" s="0" t="n">
        <f aca="false">COUNTA($BA$2107:$EH$2107)</f>
        <v>2</v>
      </c>
      <c r="AV31" s="0" t="n">
        <f aca="false">COUNTIF($BA$2107:$EH$2107,"D")</f>
        <v>0</v>
      </c>
      <c r="AW31" s="0" t="n">
        <f aca="false">COUNTIF($BA$2107:$EH$2107,"R")</f>
        <v>0</v>
      </c>
      <c r="AX31" s="0" t="n">
        <f aca="false"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>0</v>
      </c>
      <c r="AY31" s="0" t="n">
        <f aca="false">COUNTIF(DU31:EH31, "&lt;&gt;")</f>
        <v>0</v>
      </c>
      <c r="AZ31" s="0" t="n">
        <f aca="false">IF(EH31&lt;&gt;"",1,0)</f>
        <v>0</v>
      </c>
      <c r="BB31" s="0" t="s">
        <v>153</v>
      </c>
    </row>
    <row r="32" customFormat="false" ht="13.8" hidden="true" customHeight="false" outlineLevel="0" collapsed="false">
      <c r="A32" s="0" t="s">
        <v>339</v>
      </c>
      <c r="B32" s="0" t="n">
        <v>78</v>
      </c>
      <c r="C32" s="0" t="n">
        <v>363720</v>
      </c>
      <c r="D32" s="0" t="s">
        <v>333</v>
      </c>
      <c r="E32" s="0" t="s">
        <v>340</v>
      </c>
      <c r="F32" s="0" t="str">
        <f aca="false">CONCATENATE(D32," ",LEFT(H32,4),"T=",AU32,"D=",AV32,"R=",AW32,"M=",AX32,"L=",AY32,"B=",AZ32)</f>
        <v>ADAMS T=12D=0R=0M=0L=1B=0</v>
      </c>
      <c r="G32" s="0" t="s">
        <v>222</v>
      </c>
      <c r="I32" s="0" t="s">
        <v>341</v>
      </c>
      <c r="J32" s="0" t="s">
        <v>342</v>
      </c>
      <c r="K32" s="0" t="s">
        <v>175</v>
      </c>
      <c r="L32" s="0"/>
      <c r="M32" s="0" t="s">
        <v>338</v>
      </c>
      <c r="N32" s="0" t="str">
        <f aca="false">RIGHT(M32,LEN(M32)-FIND(" ",M32))</f>
        <v>ARLINGTON AVE NW</v>
      </c>
      <c r="P32" s="0" t="s">
        <v>146</v>
      </c>
      <c r="Q32" s="0" t="s">
        <v>147</v>
      </c>
      <c r="R32" s="0" t="n">
        <v>44483</v>
      </c>
      <c r="AD32" s="0" t="s">
        <v>148</v>
      </c>
      <c r="AE32" s="0" t="s">
        <v>149</v>
      </c>
      <c r="AF32" s="0" t="s">
        <v>150</v>
      </c>
      <c r="AH32" s="0" t="n">
        <v>14</v>
      </c>
      <c r="AI32" s="0" t="n">
        <v>11</v>
      </c>
      <c r="AN32" s="0" t="s">
        <v>146</v>
      </c>
      <c r="AO32" s="0" t="s">
        <v>250</v>
      </c>
      <c r="AP32" s="0" t="s">
        <v>251</v>
      </c>
      <c r="AQ32" s="0" t="n">
        <v>9</v>
      </c>
      <c r="AR32" s="0" t="n">
        <v>64</v>
      </c>
      <c r="AS32" s="0" t="n">
        <v>32</v>
      </c>
      <c r="AU32" s="0" t="n">
        <f aca="false">COUNTA($BA$2356:$EH$2356)</f>
        <v>12</v>
      </c>
      <c r="AV32" s="0" t="n">
        <f aca="false">COUNTIF($BA$2356:$EH$2356,"D")</f>
        <v>0</v>
      </c>
      <c r="AW32" s="0" t="n">
        <f aca="false">COUNTIF($BA$2356:$EH$2356,"R")</f>
        <v>0</v>
      </c>
      <c r="AX32" s="0" t="n">
        <f aca="false"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>0</v>
      </c>
      <c r="AY32" s="0" t="n">
        <f aca="false">COUNTIF(DU32:EH32, "&lt;&gt;")</f>
        <v>1</v>
      </c>
      <c r="AZ32" s="0" t="n">
        <f aca="false">IF(EH32&lt;&gt;"",1,0)</f>
        <v>0</v>
      </c>
      <c r="BB32" s="0" t="s">
        <v>153</v>
      </c>
      <c r="CP32" s="0" t="s">
        <v>154</v>
      </c>
      <c r="EA32" s="0" t="s">
        <v>154</v>
      </c>
    </row>
    <row r="33" customFormat="false" ht="13.8" hidden="true" customHeight="false" outlineLevel="0" collapsed="false">
      <c r="A33" s="0" t="s">
        <v>343</v>
      </c>
      <c r="B33" s="0" t="n">
        <v>78</v>
      </c>
      <c r="C33" s="0" t="n">
        <v>431784</v>
      </c>
      <c r="D33" s="0" t="s">
        <v>333</v>
      </c>
      <c r="E33" s="0" t="s">
        <v>344</v>
      </c>
      <c r="F33" s="0" t="str">
        <f aca="false">CONCATENATE(D33," ",LEFT(H33,4),"T=",AU33,"D=",AV33,"R=",AW33,"M=",AX33,"L=",AY33,"B=",AZ33)</f>
        <v>ADAMS T=2D=0R=0M=0L=0B=0</v>
      </c>
      <c r="G33" s="0" t="s">
        <v>345</v>
      </c>
      <c r="I33" s="0" t="s">
        <v>346</v>
      </c>
      <c r="J33" s="0" t="s">
        <v>347</v>
      </c>
      <c r="K33" s="0" t="s">
        <v>144</v>
      </c>
      <c r="L33" s="0"/>
      <c r="M33" s="0" t="s">
        <v>338</v>
      </c>
      <c r="N33" s="0" t="str">
        <f aca="false">RIGHT(M33,LEN(M33)-FIND(" ",M33))</f>
        <v>ARLINGTON AVE NW</v>
      </c>
      <c r="P33" s="0" t="s">
        <v>146</v>
      </c>
      <c r="Q33" s="0" t="s">
        <v>147</v>
      </c>
      <c r="R33" s="0" t="n">
        <v>44483</v>
      </c>
      <c r="AD33" s="0" t="s">
        <v>148</v>
      </c>
      <c r="AE33" s="0" t="s">
        <v>149</v>
      </c>
      <c r="AF33" s="0" t="s">
        <v>150</v>
      </c>
      <c r="AH33" s="0" t="n">
        <v>14</v>
      </c>
      <c r="AI33" s="0" t="n">
        <v>11</v>
      </c>
      <c r="AN33" s="0" t="s">
        <v>146</v>
      </c>
      <c r="AO33" s="0" t="s">
        <v>250</v>
      </c>
      <c r="AP33" s="0" t="s">
        <v>251</v>
      </c>
      <c r="AQ33" s="0" t="n">
        <v>9</v>
      </c>
      <c r="AR33" s="0" t="n">
        <v>64</v>
      </c>
      <c r="AS33" s="0" t="n">
        <v>32</v>
      </c>
      <c r="AU33" s="0" t="n">
        <f aca="false">COUNTA($BA$2516:$EH$2516)</f>
        <v>2</v>
      </c>
      <c r="AV33" s="0" t="n">
        <f aca="false">COUNTIF($BA$2516:$EH$2516,"D")</f>
        <v>0</v>
      </c>
      <c r="AW33" s="0" t="n">
        <f aca="false">COUNTIF($BA$2516:$EH$2516,"R")</f>
        <v>0</v>
      </c>
      <c r="AX33" s="0" t="n">
        <f aca="false"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>0</v>
      </c>
      <c r="AY33" s="0" t="n">
        <f aca="false">COUNTIF(DU33:EH33, "&lt;&gt;")</f>
        <v>0</v>
      </c>
      <c r="AZ33" s="0" t="n">
        <f aca="false">IF(EH33&lt;&gt;"",1,0)</f>
        <v>0</v>
      </c>
      <c r="BB33" s="0" t="s">
        <v>153</v>
      </c>
    </row>
    <row r="34" customFormat="false" ht="13.8" hidden="true" customHeight="false" outlineLevel="0" collapsed="false">
      <c r="A34" s="0" t="s">
        <v>348</v>
      </c>
      <c r="B34" s="0" t="n">
        <v>78</v>
      </c>
      <c r="C34" s="0" t="n">
        <v>333899</v>
      </c>
      <c r="D34" s="0" t="s">
        <v>349</v>
      </c>
      <c r="E34" s="0" t="s">
        <v>350</v>
      </c>
      <c r="F34" s="0" t="str">
        <f aca="false">CONCATENATE(D34," ",LEFT(H34,4),"T=",AU34,"D=",AV34,"R=",AW34,"M=",AX34,"L=",AY34,"B=",AZ34)</f>
        <v>BLACK T=12D=0R=1M=0L=0B=0</v>
      </c>
      <c r="I34" s="0" t="s">
        <v>351</v>
      </c>
      <c r="J34" s="0" t="s">
        <v>352</v>
      </c>
      <c r="K34" s="0" t="s">
        <v>144</v>
      </c>
      <c r="L34" s="0"/>
      <c r="M34" s="0" t="s">
        <v>353</v>
      </c>
      <c r="N34" s="0" t="str">
        <f aca="false">RIGHT(M34,LEN(M34)-FIND(" ",M34))</f>
        <v>ARLINGTON AVE NW</v>
      </c>
      <c r="P34" s="0" t="s">
        <v>146</v>
      </c>
      <c r="Q34" s="0" t="s">
        <v>147</v>
      </c>
      <c r="R34" s="0" t="n">
        <v>44483</v>
      </c>
      <c r="AD34" s="0" t="s">
        <v>148</v>
      </c>
      <c r="AE34" s="0" t="s">
        <v>149</v>
      </c>
      <c r="AF34" s="0" t="s">
        <v>150</v>
      </c>
      <c r="AH34" s="0" t="n">
        <v>14</v>
      </c>
      <c r="AI34" s="0" t="n">
        <v>11</v>
      </c>
      <c r="AN34" s="0" t="s">
        <v>146</v>
      </c>
      <c r="AO34" s="0" t="s">
        <v>250</v>
      </c>
      <c r="AP34" s="0" t="s">
        <v>251</v>
      </c>
      <c r="AQ34" s="0" t="n">
        <v>9</v>
      </c>
      <c r="AR34" s="0" t="n">
        <v>64</v>
      </c>
      <c r="AS34" s="0" t="n">
        <v>32</v>
      </c>
      <c r="AU34" s="0" t="n">
        <f aca="false">COUNTA($BA$2290:$EH$2290)</f>
        <v>12</v>
      </c>
      <c r="AV34" s="0" t="n">
        <f aca="false">COUNTIF($BA$2290:$EH$2290,"D")</f>
        <v>0</v>
      </c>
      <c r="AW34" s="0" t="n">
        <f aca="false">COUNTIF($BA$2290:$EH$2290,"R")</f>
        <v>1</v>
      </c>
      <c r="AX34" s="0" t="n">
        <f aca="false"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>0</v>
      </c>
      <c r="AY34" s="0" t="n">
        <f aca="false">COUNTIF(DU34:EH34, "&lt;&gt;")</f>
        <v>0</v>
      </c>
      <c r="AZ34" s="0" t="n">
        <f aca="false">IF(EH34&lt;&gt;"",1,0)</f>
        <v>0</v>
      </c>
      <c r="BB34" s="0" t="s">
        <v>153</v>
      </c>
      <c r="BL34" s="0" t="s">
        <v>154</v>
      </c>
      <c r="CP34" s="0" t="s">
        <v>154</v>
      </c>
      <c r="DN34" s="0" t="s">
        <v>154</v>
      </c>
    </row>
    <row r="35" customFormat="false" ht="13.8" hidden="false" customHeight="false" outlineLevel="0" collapsed="false">
      <c r="A35" s="0" t="s">
        <v>354</v>
      </c>
      <c r="B35" s="0" t="n">
        <v>78</v>
      </c>
      <c r="C35" s="0" t="n">
        <v>327751</v>
      </c>
      <c r="D35" s="0" t="s">
        <v>349</v>
      </c>
      <c r="E35" s="0" t="s">
        <v>355</v>
      </c>
      <c r="F35" s="0" t="str">
        <f aca="false">CONCATENATE(D35," ",LEFT(H35,4),"T=",AU35,"D=",AV35,"R=",AW35,"M=",AX35,"L=",AY35,"B=",AZ35)</f>
        <v>BLACK T=1D=0R=0M=0L=2B=0</v>
      </c>
      <c r="I35" s="0" t="s">
        <v>356</v>
      </c>
      <c r="J35" s="0" t="s">
        <v>357</v>
      </c>
      <c r="K35" s="0" t="s">
        <v>175</v>
      </c>
      <c r="M35" s="0" t="s">
        <v>353</v>
      </c>
      <c r="N35" s="0" t="str">
        <f aca="false">RIGHT(M35,LEN(M35)-FIND(" ",M35))</f>
        <v>ARLINGTON AVE NW</v>
      </c>
      <c r="P35" s="0" t="s">
        <v>146</v>
      </c>
      <c r="Q35" s="0" t="s">
        <v>147</v>
      </c>
      <c r="R35" s="0" t="n">
        <v>44483</v>
      </c>
      <c r="AD35" s="0" t="s">
        <v>148</v>
      </c>
      <c r="AE35" s="0" t="s">
        <v>149</v>
      </c>
      <c r="AF35" s="0" t="s">
        <v>150</v>
      </c>
      <c r="AH35" s="0" t="n">
        <v>14</v>
      </c>
      <c r="AI35" s="0" t="n">
        <v>11</v>
      </c>
      <c r="AN35" s="0" t="s">
        <v>146</v>
      </c>
      <c r="AO35" s="0" t="s">
        <v>250</v>
      </c>
      <c r="AP35" s="0" t="s">
        <v>251</v>
      </c>
      <c r="AQ35" s="0" t="n">
        <v>9</v>
      </c>
      <c r="AR35" s="0" t="n">
        <v>64</v>
      </c>
      <c r="AS35" s="0" t="n">
        <v>32</v>
      </c>
      <c r="AU35" s="0" t="n">
        <f aca="false">COUNTA($BA$2328:$EH$2328)</f>
        <v>1</v>
      </c>
      <c r="AV35" s="0" t="n">
        <f aca="false">COUNTIF($BA$2328:$EH$2328,"D")</f>
        <v>0</v>
      </c>
      <c r="AW35" s="0" t="n">
        <f aca="false">COUNTIF($BA$2328:$EH$2328,"R")</f>
        <v>0</v>
      </c>
      <c r="AX35" s="0" t="n">
        <f aca="false"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>0</v>
      </c>
      <c r="AY35" s="0" t="n">
        <f aca="false">COUNTIF(DU35:EH35, "&lt;&gt;")</f>
        <v>2</v>
      </c>
      <c r="AZ35" s="0" t="n">
        <f aca="false">IF(EH35&lt;&gt;"",1,0)</f>
        <v>0</v>
      </c>
      <c r="BB35" s="0" t="s">
        <v>153</v>
      </c>
      <c r="BL35" s="0" t="s">
        <v>154</v>
      </c>
      <c r="BY35" s="0" t="s">
        <v>155</v>
      </c>
      <c r="CA35" s="0" t="s">
        <v>154</v>
      </c>
      <c r="CP35" s="0" t="s">
        <v>154</v>
      </c>
      <c r="DC35" s="0" t="s">
        <v>154</v>
      </c>
      <c r="DN35" s="0" t="s">
        <v>154</v>
      </c>
      <c r="DX35" s="0" t="s">
        <v>154</v>
      </c>
      <c r="EF35" s="0" t="s">
        <v>154</v>
      </c>
    </row>
    <row r="36" customFormat="false" ht="13.8" hidden="true" customHeight="false" outlineLevel="0" collapsed="false">
      <c r="A36" s="0" t="s">
        <v>358</v>
      </c>
      <c r="B36" s="0" t="n">
        <v>78</v>
      </c>
      <c r="C36" s="0" t="n">
        <v>455129</v>
      </c>
      <c r="D36" s="0" t="s">
        <v>349</v>
      </c>
      <c r="E36" s="0" t="s">
        <v>359</v>
      </c>
      <c r="F36" s="0" t="str">
        <f aca="false">CONCATENATE(D36," ",LEFT(H36,4),"T=",AU36,"D=",AV36,"R=",AW36,"M=",AX36,"L=",AY36,"B=",AZ36)</f>
        <v>BLACK T=11D=1R=0M=0L=0B=0</v>
      </c>
      <c r="G36" s="0" t="s">
        <v>139</v>
      </c>
      <c r="I36" s="0" t="s">
        <v>360</v>
      </c>
      <c r="J36" s="0" t="s">
        <v>361</v>
      </c>
      <c r="K36" s="0" t="s">
        <v>175</v>
      </c>
      <c r="L36" s="0"/>
      <c r="M36" s="0" t="s">
        <v>353</v>
      </c>
      <c r="N36" s="0" t="str">
        <f aca="false">RIGHT(M36,LEN(M36)-FIND(" ",M36))</f>
        <v>ARLINGTON AVE NW</v>
      </c>
      <c r="P36" s="0" t="s">
        <v>146</v>
      </c>
      <c r="Q36" s="0" t="s">
        <v>147</v>
      </c>
      <c r="R36" s="0" t="n">
        <v>44483</v>
      </c>
      <c r="AD36" s="0" t="s">
        <v>148</v>
      </c>
      <c r="AE36" s="0" t="s">
        <v>149</v>
      </c>
      <c r="AF36" s="0" t="s">
        <v>150</v>
      </c>
      <c r="AH36" s="0" t="n">
        <v>14</v>
      </c>
      <c r="AI36" s="0" t="n">
        <v>11</v>
      </c>
      <c r="AN36" s="0" t="s">
        <v>146</v>
      </c>
      <c r="AO36" s="0" t="s">
        <v>250</v>
      </c>
      <c r="AP36" s="0" t="s">
        <v>251</v>
      </c>
      <c r="AQ36" s="0" t="n">
        <v>9</v>
      </c>
      <c r="AR36" s="0" t="n">
        <v>64</v>
      </c>
      <c r="AS36" s="0" t="n">
        <v>32</v>
      </c>
      <c r="AU36" s="0" t="n">
        <f aca="false">COUNTA($BA$2819:$EH$2819)</f>
        <v>11</v>
      </c>
      <c r="AV36" s="0" t="n">
        <f aca="false">COUNTIF($BA$2819:$EH$2819,"D")</f>
        <v>1</v>
      </c>
      <c r="AW36" s="0" t="n">
        <f aca="false">COUNTIF($BA$2819:$EH$2819,"R")</f>
        <v>0</v>
      </c>
      <c r="AX36" s="0" t="n">
        <f aca="false"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>0</v>
      </c>
      <c r="AY36" s="0" t="n">
        <f aca="false">COUNTIF(DU36:EH36, "&lt;&gt;")</f>
        <v>0</v>
      </c>
      <c r="AZ36" s="0" t="n">
        <f aca="false">IF(EH36&lt;&gt;"",1,0)</f>
        <v>0</v>
      </c>
      <c r="BB36" s="0" t="s">
        <v>153</v>
      </c>
      <c r="DN36" s="0" t="s">
        <v>154</v>
      </c>
    </row>
    <row r="37" customFormat="false" ht="13.8" hidden="true" customHeight="false" outlineLevel="0" collapsed="false">
      <c r="A37" s="0" t="s">
        <v>362</v>
      </c>
      <c r="B37" s="0" t="n">
        <v>78</v>
      </c>
      <c r="C37" s="0" t="n">
        <v>463113</v>
      </c>
      <c r="D37" s="0" t="s">
        <v>363</v>
      </c>
      <c r="E37" s="0" t="s">
        <v>364</v>
      </c>
      <c r="F37" s="0" t="str">
        <f aca="false">CONCATENATE(D37," ",LEFT(H37,4),"T=",AU37,"D=",AV37,"R=",AW37,"M=",AX37,"L=",AY37,"B=",AZ37)</f>
        <v>FESSLER T=17D=0R=0M=0L=1B=0</v>
      </c>
      <c r="G37" s="0" t="s">
        <v>365</v>
      </c>
      <c r="I37" s="0" t="s">
        <v>366</v>
      </c>
      <c r="J37" s="0" t="s">
        <v>367</v>
      </c>
      <c r="K37" s="0" t="s">
        <v>175</v>
      </c>
      <c r="L37" s="0"/>
      <c r="M37" s="0" t="s">
        <v>368</v>
      </c>
      <c r="N37" s="0" t="str">
        <f aca="false">RIGHT(M37,LEN(M37)-FIND(" ",M37))</f>
        <v>ARLINGTON AVE NW</v>
      </c>
      <c r="P37" s="0" t="s">
        <v>146</v>
      </c>
      <c r="Q37" s="0" t="s">
        <v>147</v>
      </c>
      <c r="R37" s="0" t="n">
        <v>44483</v>
      </c>
      <c r="AD37" s="0" t="s">
        <v>148</v>
      </c>
      <c r="AE37" s="0" t="s">
        <v>149</v>
      </c>
      <c r="AF37" s="0" t="s">
        <v>150</v>
      </c>
      <c r="AH37" s="0" t="n">
        <v>14</v>
      </c>
      <c r="AI37" s="0" t="n">
        <v>11</v>
      </c>
      <c r="AN37" s="0" t="s">
        <v>146</v>
      </c>
      <c r="AO37" s="0" t="s">
        <v>250</v>
      </c>
      <c r="AP37" s="0" t="s">
        <v>251</v>
      </c>
      <c r="AQ37" s="0" t="n">
        <v>9</v>
      </c>
      <c r="AR37" s="0" t="n">
        <v>64</v>
      </c>
      <c r="AS37" s="0" t="n">
        <v>32</v>
      </c>
      <c r="AU37" s="0" t="n">
        <f aca="false">COUNTA($BA$2313:$EH$2313)</f>
        <v>17</v>
      </c>
      <c r="AV37" s="0" t="n">
        <f aca="false">COUNTIF($BA$2313:$EH$2313,"D")</f>
        <v>0</v>
      </c>
      <c r="AW37" s="0" t="n">
        <f aca="false">COUNTIF($BA$2313:$EH$2313,"R")</f>
        <v>0</v>
      </c>
      <c r="AX37" s="0" t="n">
        <f aca="false"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>0</v>
      </c>
      <c r="AY37" s="0" t="n">
        <f aca="false">COUNTIF(DU37:EH37, "&lt;&gt;")</f>
        <v>1</v>
      </c>
      <c r="AZ37" s="0" t="n">
        <f aca="false">IF(EH37&lt;&gt;"",1,0)</f>
        <v>0</v>
      </c>
      <c r="BB37" s="0" t="s">
        <v>153</v>
      </c>
      <c r="BS37" s="0" t="s">
        <v>154</v>
      </c>
      <c r="CA37" s="0" t="s">
        <v>154</v>
      </c>
      <c r="CK37" s="0" t="s">
        <v>154</v>
      </c>
      <c r="DI37" s="0" t="s">
        <v>154</v>
      </c>
      <c r="DM37" s="0" t="s">
        <v>155</v>
      </c>
      <c r="DN37" s="0" t="s">
        <v>154</v>
      </c>
      <c r="EF37" s="0" t="s">
        <v>154</v>
      </c>
    </row>
    <row r="38" customFormat="false" ht="13.8" hidden="true" customHeight="false" outlineLevel="0" collapsed="false">
      <c r="A38" s="0" t="s">
        <v>369</v>
      </c>
      <c r="B38" s="0" t="n">
        <v>78</v>
      </c>
      <c r="C38" s="0" t="n">
        <v>466639</v>
      </c>
      <c r="D38" s="0" t="s">
        <v>363</v>
      </c>
      <c r="E38" s="0" t="s">
        <v>370</v>
      </c>
      <c r="F38" s="0" t="str">
        <f aca="false">CONCATENATE(D38," ",LEFT(H38,4),"T=",AU38,"D=",AV38,"R=",AW38,"M=",AX38,"L=",AY38,"B=",AZ38)</f>
        <v>FESSLER T=5D=0R=0M=0L=0B=0</v>
      </c>
      <c r="I38" s="0" t="s">
        <v>371</v>
      </c>
      <c r="J38" s="0" t="s">
        <v>372</v>
      </c>
      <c r="K38" s="0" t="s">
        <v>175</v>
      </c>
      <c r="L38" s="0"/>
      <c r="M38" s="0" t="s">
        <v>368</v>
      </c>
      <c r="N38" s="0" t="str">
        <f aca="false">RIGHT(M38,LEN(M38)-FIND(" ",M38))</f>
        <v>ARLINGTON AVE NW</v>
      </c>
      <c r="P38" s="0" t="s">
        <v>146</v>
      </c>
      <c r="Q38" s="0" t="s">
        <v>147</v>
      </c>
      <c r="R38" s="0" t="n">
        <v>44483</v>
      </c>
      <c r="AD38" s="0" t="s">
        <v>148</v>
      </c>
      <c r="AE38" s="0" t="s">
        <v>149</v>
      </c>
      <c r="AF38" s="0" t="s">
        <v>150</v>
      </c>
      <c r="AH38" s="0" t="n">
        <v>14</v>
      </c>
      <c r="AI38" s="0" t="n">
        <v>11</v>
      </c>
      <c r="AN38" s="0" t="s">
        <v>146</v>
      </c>
      <c r="AO38" s="0" t="s">
        <v>250</v>
      </c>
      <c r="AP38" s="0" t="s">
        <v>251</v>
      </c>
      <c r="AQ38" s="0" t="n">
        <v>9</v>
      </c>
      <c r="AR38" s="0" t="n">
        <v>64</v>
      </c>
      <c r="AS38" s="0" t="n">
        <v>32</v>
      </c>
      <c r="AU38" s="0" t="n">
        <f aca="false">COUNTA($BA$2340:$EH$2340)</f>
        <v>5</v>
      </c>
      <c r="AV38" s="0" t="n">
        <f aca="false">COUNTIF($BA$2340:$EH$2340,"D")</f>
        <v>0</v>
      </c>
      <c r="AW38" s="0" t="n">
        <f aca="false">COUNTIF($BA$2340:$EH$2340,"R")</f>
        <v>0</v>
      </c>
      <c r="AX38" s="0" t="n">
        <f aca="false"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>0</v>
      </c>
      <c r="AY38" s="0" t="n">
        <f aca="false">COUNTIF(DU38:EH38, "&lt;&gt;")</f>
        <v>0</v>
      </c>
      <c r="AZ38" s="0" t="n">
        <f aca="false">IF(EH38&lt;&gt;"",1,0)</f>
        <v>0</v>
      </c>
      <c r="BB38" s="0" t="s">
        <v>153</v>
      </c>
      <c r="BS38" s="0" t="s">
        <v>154</v>
      </c>
      <c r="CP38" s="0" t="s">
        <v>154</v>
      </c>
    </row>
    <row r="39" customFormat="false" ht="13.8" hidden="true" customHeight="false" outlineLevel="0" collapsed="false">
      <c r="A39" s="0" t="s">
        <v>373</v>
      </c>
      <c r="B39" s="0" t="n">
        <v>78</v>
      </c>
      <c r="C39" s="0" t="n">
        <v>429939</v>
      </c>
      <c r="D39" s="0" t="s">
        <v>374</v>
      </c>
      <c r="E39" s="0" t="s">
        <v>375</v>
      </c>
      <c r="F39" s="0" t="str">
        <f aca="false">CONCATENATE(D39," ",LEFT(H39,4),"T=",AU39,"D=",AV39,"R=",AW39,"M=",AX39,"L=",AY39,"B=",AZ39)</f>
        <v>MARSHALL T=6D=0R=1M=0L=0B=0</v>
      </c>
      <c r="G39" s="0" t="s">
        <v>376</v>
      </c>
      <c r="I39" s="0" t="s">
        <v>377</v>
      </c>
      <c r="J39" s="0" t="s">
        <v>378</v>
      </c>
      <c r="K39" s="0" t="s">
        <v>175</v>
      </c>
      <c r="L39" s="0"/>
      <c r="M39" s="0" t="s">
        <v>379</v>
      </c>
      <c r="N39" s="0" t="str">
        <f aca="false">RIGHT(M39,LEN(M39)-FIND(" ",M39))</f>
        <v>ARLINGTON AVE NW</v>
      </c>
      <c r="P39" s="0" t="s">
        <v>146</v>
      </c>
      <c r="Q39" s="0" t="s">
        <v>147</v>
      </c>
      <c r="R39" s="0" t="n">
        <v>44483</v>
      </c>
      <c r="AD39" s="0" t="s">
        <v>148</v>
      </c>
      <c r="AE39" s="0" t="s">
        <v>149</v>
      </c>
      <c r="AF39" s="0" t="s">
        <v>150</v>
      </c>
      <c r="AH39" s="0" t="n">
        <v>14</v>
      </c>
      <c r="AI39" s="0" t="n">
        <v>11</v>
      </c>
      <c r="AN39" s="0" t="s">
        <v>146</v>
      </c>
      <c r="AO39" s="0" t="s">
        <v>250</v>
      </c>
      <c r="AP39" s="0" t="s">
        <v>251</v>
      </c>
      <c r="AQ39" s="0" t="n">
        <v>9</v>
      </c>
      <c r="AR39" s="0" t="n">
        <v>64</v>
      </c>
      <c r="AS39" s="0" t="n">
        <v>32</v>
      </c>
      <c r="AU39" s="0" t="n">
        <f aca="false">COUNTA($BA$2721:$EH$2721)</f>
        <v>6</v>
      </c>
      <c r="AV39" s="0" t="n">
        <f aca="false">COUNTIF($BA$2721:$EH$2721,"D")</f>
        <v>0</v>
      </c>
      <c r="AW39" s="0" t="n">
        <f aca="false">COUNTIF($BA$2721:$EH$2721,"R")</f>
        <v>1</v>
      </c>
      <c r="AX39" s="0" t="n">
        <f aca="false"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>0</v>
      </c>
      <c r="AY39" s="0" t="n">
        <f aca="false">COUNTIF(DU39:EH39, "&lt;&gt;")</f>
        <v>0</v>
      </c>
      <c r="AZ39" s="0" t="n">
        <f aca="false">IF(EH39&lt;&gt;"",1,0)</f>
        <v>0</v>
      </c>
      <c r="BB39" s="0" t="s">
        <v>153</v>
      </c>
      <c r="DN39" s="0" t="s">
        <v>154</v>
      </c>
    </row>
    <row r="40" customFormat="false" ht="13.8" hidden="false" customHeight="false" outlineLevel="0" collapsed="false">
      <c r="A40" s="0" t="s">
        <v>380</v>
      </c>
      <c r="B40" s="0" t="n">
        <v>78</v>
      </c>
      <c r="C40" s="0" t="n">
        <v>239659</v>
      </c>
      <c r="D40" s="0" t="s">
        <v>381</v>
      </c>
      <c r="E40" s="0" t="s">
        <v>382</v>
      </c>
      <c r="F40" s="0" t="str">
        <f aca="false">CONCATENATE(D40," ",LEFT(H40,4),"T=",AU40,"D=",AV40,"R=",AW40,"M=",AX40,"L=",AY40,"B=",AZ40)</f>
        <v>WEAVER T=23D=2R=0M=1L=3B=0</v>
      </c>
      <c r="G40" s="0" t="s">
        <v>222</v>
      </c>
      <c r="I40" s="0" t="s">
        <v>383</v>
      </c>
      <c r="J40" s="0" t="s">
        <v>384</v>
      </c>
      <c r="K40" s="0" t="s">
        <v>175</v>
      </c>
      <c r="L40" s="1" t="s">
        <v>176</v>
      </c>
      <c r="M40" s="0" t="s">
        <v>385</v>
      </c>
      <c r="N40" s="0" t="str">
        <f aca="false">RIGHT(M40,LEN(M40)-FIND(" ",M40))</f>
        <v>ARLINGTON AVE NW</v>
      </c>
      <c r="P40" s="0" t="s">
        <v>146</v>
      </c>
      <c r="Q40" s="0" t="s">
        <v>147</v>
      </c>
      <c r="R40" s="0" t="n">
        <v>44483</v>
      </c>
      <c r="AD40" s="0" t="s">
        <v>148</v>
      </c>
      <c r="AE40" s="0" t="s">
        <v>149</v>
      </c>
      <c r="AF40" s="0" t="s">
        <v>150</v>
      </c>
      <c r="AH40" s="0" t="n">
        <v>14</v>
      </c>
      <c r="AI40" s="0" t="n">
        <v>11</v>
      </c>
      <c r="AN40" s="0" t="s">
        <v>146</v>
      </c>
      <c r="AO40" s="0" t="s">
        <v>250</v>
      </c>
      <c r="AP40" s="0" t="s">
        <v>251</v>
      </c>
      <c r="AQ40" s="0" t="n">
        <v>9</v>
      </c>
      <c r="AR40" s="0" t="n">
        <v>64</v>
      </c>
      <c r="AS40" s="0" t="n">
        <v>32</v>
      </c>
      <c r="AU40" s="0" t="n">
        <f aca="false">COUNTA($BA$2329:$EH$2329)</f>
        <v>23</v>
      </c>
      <c r="AV40" s="0" t="n">
        <f aca="false">COUNTIF($BA$2329:$EH$2329,"D")</f>
        <v>2</v>
      </c>
      <c r="AW40" s="0" t="n">
        <f aca="false">COUNTIF($BA$2329:$EH$2329,"R")</f>
        <v>0</v>
      </c>
      <c r="AX40" s="0" t="n">
        <f aca="false"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>1</v>
      </c>
      <c r="AY40" s="0" t="n">
        <f aca="false">COUNTIF(DU40:EH40, "&lt;&gt;")</f>
        <v>3</v>
      </c>
      <c r="AZ40" s="0" t="n">
        <f aca="false">IF(EH40&lt;&gt;"",1,0)</f>
        <v>0</v>
      </c>
      <c r="BB40" s="0" t="s">
        <v>153</v>
      </c>
      <c r="BC40" s="0" t="s">
        <v>154</v>
      </c>
      <c r="BD40" s="0" t="s">
        <v>154</v>
      </c>
      <c r="BE40" s="0" t="s">
        <v>154</v>
      </c>
      <c r="BF40" s="0" t="s">
        <v>154</v>
      </c>
      <c r="BG40" s="0" t="s">
        <v>154</v>
      </c>
      <c r="BH40" s="0" t="s">
        <v>154</v>
      </c>
      <c r="BJ40" s="0" t="s">
        <v>154</v>
      </c>
      <c r="BK40" s="0" t="s">
        <v>154</v>
      </c>
      <c r="BL40" s="0" t="s">
        <v>154</v>
      </c>
      <c r="BP40" s="0" t="s">
        <v>154</v>
      </c>
      <c r="BR40" s="0" t="s">
        <v>154</v>
      </c>
      <c r="BY40" s="0" t="s">
        <v>155</v>
      </c>
      <c r="CA40" s="0" t="s">
        <v>154</v>
      </c>
      <c r="CG40" s="0" t="s">
        <v>154</v>
      </c>
      <c r="CH40" s="0" t="s">
        <v>155</v>
      </c>
      <c r="CK40" s="0" t="s">
        <v>154</v>
      </c>
      <c r="CL40" s="0" t="s">
        <v>155</v>
      </c>
      <c r="CN40" s="0" t="s">
        <v>154</v>
      </c>
      <c r="CO40" s="0" t="s">
        <v>155</v>
      </c>
      <c r="CP40" s="0" t="s">
        <v>154</v>
      </c>
      <c r="CT40" s="0" t="s">
        <v>154</v>
      </c>
      <c r="CY40" s="0" t="s">
        <v>154</v>
      </c>
      <c r="CZ40" s="0" t="s">
        <v>176</v>
      </c>
      <c r="DC40" s="0" t="s">
        <v>154</v>
      </c>
      <c r="DI40" s="0" t="s">
        <v>154</v>
      </c>
      <c r="DN40" s="0" t="s">
        <v>154</v>
      </c>
      <c r="DS40" s="0" t="s">
        <v>176</v>
      </c>
      <c r="DU40" s="0" t="s">
        <v>154</v>
      </c>
      <c r="ED40" s="0" t="s">
        <v>176</v>
      </c>
      <c r="EF40" s="0" t="s">
        <v>154</v>
      </c>
    </row>
    <row r="41" customFormat="false" ht="13.8" hidden="true" customHeight="false" outlineLevel="0" collapsed="false">
      <c r="A41" s="0" t="s">
        <v>386</v>
      </c>
      <c r="B41" s="0" t="n">
        <v>78</v>
      </c>
      <c r="C41" s="0" t="n">
        <v>384557</v>
      </c>
      <c r="D41" s="0" t="s">
        <v>387</v>
      </c>
      <c r="E41" s="0" t="s">
        <v>194</v>
      </c>
      <c r="F41" s="0" t="str">
        <f aca="false">CONCATENATE(D41," ",LEFT(H41,4),"T=",AU41,"D=",AV41,"R=",AW41,"M=",AX41,"L=",AY41,"B=",AZ41)</f>
        <v>SWEITZER T=16D=2R=3M=0L=0B=0</v>
      </c>
      <c r="G41" s="0" t="s">
        <v>365</v>
      </c>
      <c r="I41" s="0" t="s">
        <v>388</v>
      </c>
      <c r="J41" s="0" t="s">
        <v>389</v>
      </c>
      <c r="K41" s="0" t="s">
        <v>175</v>
      </c>
      <c r="L41" s="0"/>
      <c r="M41" s="0" t="s">
        <v>390</v>
      </c>
      <c r="N41" s="0" t="str">
        <f aca="false">RIGHT(M41,LEN(M41)-FIND(" ",M41))</f>
        <v>ARLINGTON AVE NW</v>
      </c>
      <c r="P41" s="0" t="s">
        <v>146</v>
      </c>
      <c r="Q41" s="0" t="s">
        <v>147</v>
      </c>
      <c r="R41" s="0" t="n">
        <v>44483</v>
      </c>
      <c r="AD41" s="0" t="s">
        <v>148</v>
      </c>
      <c r="AE41" s="0" t="s">
        <v>149</v>
      </c>
      <c r="AF41" s="0" t="s">
        <v>150</v>
      </c>
      <c r="AH41" s="0" t="n">
        <v>14</v>
      </c>
      <c r="AI41" s="0" t="n">
        <v>11</v>
      </c>
      <c r="AN41" s="0" t="s">
        <v>146</v>
      </c>
      <c r="AO41" s="0" t="s">
        <v>250</v>
      </c>
      <c r="AP41" s="0" t="s">
        <v>251</v>
      </c>
      <c r="AQ41" s="0" t="n">
        <v>9</v>
      </c>
      <c r="AR41" s="0" t="n">
        <v>64</v>
      </c>
      <c r="AS41" s="0" t="n">
        <v>32</v>
      </c>
      <c r="AU41" s="0" t="n">
        <f aca="false">COUNTA($BA$2567:$EH$2567)</f>
        <v>16</v>
      </c>
      <c r="AV41" s="0" t="n">
        <f aca="false">COUNTIF($BA$2567:$EH$2567,"D")</f>
        <v>2</v>
      </c>
      <c r="AW41" s="0" t="n">
        <f aca="false">COUNTIF($BA$2567:$EH$2567,"R")</f>
        <v>3</v>
      </c>
      <c r="AX41" s="0" t="n">
        <f aca="false"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>0</v>
      </c>
      <c r="AY41" s="0" t="n">
        <f aca="false">COUNTIF(DU41:EH41, "&lt;&gt;")</f>
        <v>0</v>
      </c>
      <c r="AZ41" s="0" t="n">
        <f aca="false">IF(EH41&lt;&gt;"",1,0)</f>
        <v>0</v>
      </c>
      <c r="BB41" s="0" t="s">
        <v>153</v>
      </c>
    </row>
    <row r="42" customFormat="false" ht="13.8" hidden="true" customHeight="false" outlineLevel="0" collapsed="false">
      <c r="A42" s="0" t="s">
        <v>391</v>
      </c>
      <c r="B42" s="0" t="n">
        <v>78</v>
      </c>
      <c r="C42" s="0" t="n">
        <v>336844</v>
      </c>
      <c r="D42" s="0" t="s">
        <v>392</v>
      </c>
      <c r="E42" s="0" t="s">
        <v>393</v>
      </c>
      <c r="F42" s="0" t="str">
        <f aca="false">CONCATENATE(D42," ",LEFT(H42,4),"T=",AU42,"D=",AV42,"R=",AW42,"M=",AX42,"L=",AY42,"B=",AZ42)</f>
        <v>HART T=1D=0R=0M=0L=0B=0</v>
      </c>
      <c r="G42" s="0" t="s">
        <v>172</v>
      </c>
      <c r="I42" s="0" t="s">
        <v>394</v>
      </c>
      <c r="J42" s="0" t="s">
        <v>395</v>
      </c>
      <c r="K42" s="0" t="s">
        <v>175</v>
      </c>
      <c r="L42" s="0"/>
      <c r="M42" s="0" t="s">
        <v>396</v>
      </c>
      <c r="N42" s="0" t="str">
        <f aca="false">RIGHT(M42,LEN(M42)-FIND(" ",M42))</f>
        <v>ARLINGTON AVE NW</v>
      </c>
      <c r="P42" s="0" t="s">
        <v>146</v>
      </c>
      <c r="Q42" s="0" t="s">
        <v>147</v>
      </c>
      <c r="R42" s="0" t="n">
        <v>44483</v>
      </c>
      <c r="AD42" s="0" t="s">
        <v>148</v>
      </c>
      <c r="AE42" s="0" t="s">
        <v>149</v>
      </c>
      <c r="AF42" s="0" t="s">
        <v>150</v>
      </c>
      <c r="AH42" s="0" t="n">
        <v>14</v>
      </c>
      <c r="AI42" s="0" t="n">
        <v>11</v>
      </c>
      <c r="AN42" s="0" t="s">
        <v>146</v>
      </c>
      <c r="AO42" s="0" t="s">
        <v>250</v>
      </c>
      <c r="AP42" s="0" t="s">
        <v>251</v>
      </c>
      <c r="AQ42" s="0" t="n">
        <v>9</v>
      </c>
      <c r="AR42" s="0" t="n">
        <v>64</v>
      </c>
      <c r="AS42" s="0" t="n">
        <v>32</v>
      </c>
      <c r="AU42" s="0" t="n">
        <f aca="false">COUNTA($BA$2267:$EH$2267)</f>
        <v>1</v>
      </c>
      <c r="AV42" s="0" t="n">
        <f aca="false">COUNTIF($BA$2267:$EH$2267,"D")</f>
        <v>0</v>
      </c>
      <c r="AW42" s="0" t="n">
        <f aca="false">COUNTIF($BA$2267:$EH$2267,"R")</f>
        <v>0</v>
      </c>
      <c r="AX42" s="0" t="n">
        <f aca="false"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>0</v>
      </c>
      <c r="AY42" s="0" t="n">
        <f aca="false">COUNTIF(DU42:EH42, "&lt;&gt;")</f>
        <v>0</v>
      </c>
      <c r="AZ42" s="0" t="n">
        <f aca="false">IF(EH42&lt;&gt;"",1,0)</f>
        <v>0</v>
      </c>
      <c r="BB42" s="0" t="s">
        <v>153</v>
      </c>
      <c r="CP42" s="0" t="s">
        <v>154</v>
      </c>
      <c r="DC42" s="0" t="s">
        <v>154</v>
      </c>
      <c r="DI42" s="0" t="s">
        <v>154</v>
      </c>
      <c r="DN42" s="0" t="s">
        <v>154</v>
      </c>
    </row>
    <row r="43" customFormat="false" ht="13.8" hidden="true" customHeight="false" outlineLevel="0" collapsed="false">
      <c r="A43" s="0" t="s">
        <v>397</v>
      </c>
      <c r="B43" s="0" t="n">
        <v>78</v>
      </c>
      <c r="C43" s="0" t="n">
        <v>374583</v>
      </c>
      <c r="D43" s="0" t="s">
        <v>398</v>
      </c>
      <c r="E43" s="0" t="s">
        <v>399</v>
      </c>
      <c r="F43" s="0" t="str">
        <f aca="false">CONCATENATE(D43," ",LEFT(H43,4),"T=",AU43,"D=",AV43,"R=",AW43,"M=",AX43,"L=",AY43,"B=",AZ43)</f>
        <v>HUFFMAN T=5D=1R=0M=0L=0B=0</v>
      </c>
      <c r="G43" s="0" t="s">
        <v>365</v>
      </c>
      <c r="I43" s="0" t="s">
        <v>400</v>
      </c>
      <c r="J43" s="0" t="s">
        <v>401</v>
      </c>
      <c r="K43" s="0" t="s">
        <v>144</v>
      </c>
      <c r="L43" s="0"/>
      <c r="M43" s="0" t="s">
        <v>402</v>
      </c>
      <c r="N43" s="0" t="str">
        <f aca="false">RIGHT(M43,LEN(M43)-FIND(" ",M43))</f>
        <v>ATLANTIC ST NE</v>
      </c>
      <c r="P43" s="0" t="s">
        <v>146</v>
      </c>
      <c r="Q43" s="0" t="s">
        <v>147</v>
      </c>
      <c r="R43" s="0" t="n">
        <v>44483</v>
      </c>
      <c r="AD43" s="0" t="s">
        <v>148</v>
      </c>
      <c r="AE43" s="0" t="s">
        <v>149</v>
      </c>
      <c r="AF43" s="0" t="s">
        <v>150</v>
      </c>
      <c r="AH43" s="0" t="n">
        <v>14</v>
      </c>
      <c r="AI43" s="0" t="n">
        <v>11</v>
      </c>
      <c r="AN43" s="0" t="s">
        <v>146</v>
      </c>
      <c r="AO43" s="0" t="s">
        <v>236</v>
      </c>
      <c r="AP43" s="0" t="s">
        <v>237</v>
      </c>
      <c r="AQ43" s="0" t="n">
        <v>9</v>
      </c>
      <c r="AR43" s="0" t="n">
        <v>64</v>
      </c>
      <c r="AS43" s="0" t="n">
        <v>32</v>
      </c>
      <c r="AU43" s="0" t="n">
        <f aca="false">COUNTA($BA$277:$EH$277)</f>
        <v>5</v>
      </c>
      <c r="AV43" s="0" t="n">
        <f aca="false">COUNTIF($BA$277:$EH$277,"D")</f>
        <v>1</v>
      </c>
      <c r="AW43" s="0" t="n">
        <f aca="false">COUNTIF($BA$277:$EH$277,"R")</f>
        <v>0</v>
      </c>
      <c r="AX43" s="0" t="n">
        <f aca="false"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>0</v>
      </c>
      <c r="AY43" s="0" t="n">
        <f aca="false">COUNTIF(DU43:EH43, "&lt;&gt;")</f>
        <v>0</v>
      </c>
      <c r="AZ43" s="0" t="n">
        <f aca="false">IF(EH43&lt;&gt;"",1,0)</f>
        <v>0</v>
      </c>
      <c r="BB43" s="0" t="s">
        <v>153</v>
      </c>
    </row>
    <row r="44" customFormat="false" ht="13.8" hidden="true" customHeight="false" outlineLevel="0" collapsed="false">
      <c r="A44" s="0" t="s">
        <v>403</v>
      </c>
      <c r="B44" s="0" t="n">
        <v>78</v>
      </c>
      <c r="C44" s="0" t="n">
        <v>314195</v>
      </c>
      <c r="D44" s="0" t="s">
        <v>404</v>
      </c>
      <c r="E44" s="0" t="s">
        <v>405</v>
      </c>
      <c r="F44" s="0" t="str">
        <f aca="false">CONCATENATE(D44," ",LEFT(H44,4),"T=",AU44,"D=",AV44,"R=",AW44,"M=",AX44,"L=",AY44,"B=",AZ44)</f>
        <v>CLARK T=5D=0R=0M=0L=0B=0</v>
      </c>
      <c r="G44" s="0" t="s">
        <v>176</v>
      </c>
      <c r="I44" s="0" t="s">
        <v>406</v>
      </c>
      <c r="J44" s="0" t="s">
        <v>389</v>
      </c>
      <c r="K44" s="0" t="s">
        <v>144</v>
      </c>
      <c r="L44" s="0"/>
      <c r="M44" s="0" t="s">
        <v>407</v>
      </c>
      <c r="N44" s="0" t="str">
        <f aca="false">RIGHT(M44,LEN(M44)-FIND(" ",M44))</f>
        <v>ATLANTIC ST NE</v>
      </c>
      <c r="O44" s="0" t="s">
        <v>408</v>
      </c>
      <c r="P44" s="0" t="s">
        <v>146</v>
      </c>
      <c r="Q44" s="0" t="s">
        <v>147</v>
      </c>
      <c r="R44" s="0" t="n">
        <v>44483</v>
      </c>
      <c r="AD44" s="0" t="s">
        <v>148</v>
      </c>
      <c r="AE44" s="0" t="s">
        <v>149</v>
      </c>
      <c r="AF44" s="0" t="s">
        <v>150</v>
      </c>
      <c r="AH44" s="0" t="n">
        <v>14</v>
      </c>
      <c r="AI44" s="0" t="n">
        <v>11</v>
      </c>
      <c r="AN44" s="0" t="s">
        <v>146</v>
      </c>
      <c r="AO44" s="0" t="s">
        <v>236</v>
      </c>
      <c r="AP44" s="0" t="s">
        <v>237</v>
      </c>
      <c r="AQ44" s="0" t="n">
        <v>9</v>
      </c>
      <c r="AR44" s="0" t="n">
        <v>64</v>
      </c>
      <c r="AS44" s="0" t="n">
        <v>32</v>
      </c>
      <c r="AU44" s="0" t="n">
        <f aca="false">COUNTA($BA$96:$EH$96)</f>
        <v>5</v>
      </c>
      <c r="AV44" s="0" t="n">
        <f aca="false">COUNTIF($BA$96:$EH$96,"D")</f>
        <v>0</v>
      </c>
      <c r="AW44" s="0" t="n">
        <f aca="false">COUNTIF($BA$96:$EH$96,"R")</f>
        <v>0</v>
      </c>
      <c r="AX44" s="0" t="n">
        <f aca="false"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>0</v>
      </c>
      <c r="AY44" s="0" t="n">
        <f aca="false">COUNTIF(DU44:EH44, "&lt;&gt;")</f>
        <v>0</v>
      </c>
      <c r="AZ44" s="0" t="n">
        <f aca="false">IF(EH44&lt;&gt;"",1,0)</f>
        <v>0</v>
      </c>
      <c r="BB44" s="0" t="s">
        <v>153</v>
      </c>
      <c r="CP44" s="0" t="s">
        <v>154</v>
      </c>
      <c r="DN44" s="0" t="s">
        <v>154</v>
      </c>
    </row>
    <row r="45" customFormat="false" ht="13.8" hidden="true" customHeight="false" outlineLevel="0" collapsed="false">
      <c r="A45" s="0" t="s">
        <v>409</v>
      </c>
      <c r="B45" s="0" t="n">
        <v>78</v>
      </c>
      <c r="C45" s="0" t="n">
        <v>470665</v>
      </c>
      <c r="D45" s="0" t="s">
        <v>410</v>
      </c>
      <c r="E45" s="0" t="s">
        <v>411</v>
      </c>
      <c r="F45" s="0" t="str">
        <f aca="false">CONCATENATE(D45," ",LEFT(H45,4),"T=",AU45,"D=",AV45,"R=",AW45,"M=",AX45,"L=",AY45,"B=",AZ45)</f>
        <v>PRICE T=10D=2R=0M=0L=0B=0</v>
      </c>
      <c r="G45" s="0" t="s">
        <v>365</v>
      </c>
      <c r="I45" s="0" t="s">
        <v>412</v>
      </c>
      <c r="J45" s="0" t="s">
        <v>413</v>
      </c>
      <c r="K45" s="0" t="s">
        <v>144</v>
      </c>
      <c r="L45" s="0"/>
      <c r="M45" s="0" t="s">
        <v>407</v>
      </c>
      <c r="N45" s="0" t="str">
        <f aca="false">RIGHT(M45,LEN(M45)-FIND(" ",M45))</f>
        <v>ATLANTIC ST NE</v>
      </c>
      <c r="O45" s="0" t="s">
        <v>414</v>
      </c>
      <c r="P45" s="0" t="s">
        <v>146</v>
      </c>
      <c r="Q45" s="0" t="s">
        <v>147</v>
      </c>
      <c r="R45" s="0" t="n">
        <v>44483</v>
      </c>
      <c r="AD45" s="0" t="s">
        <v>148</v>
      </c>
      <c r="AE45" s="0" t="s">
        <v>149</v>
      </c>
      <c r="AF45" s="0" t="s">
        <v>150</v>
      </c>
      <c r="AH45" s="0" t="n">
        <v>14</v>
      </c>
      <c r="AI45" s="0" t="n">
        <v>11</v>
      </c>
      <c r="AN45" s="0" t="s">
        <v>146</v>
      </c>
      <c r="AO45" s="0" t="s">
        <v>236</v>
      </c>
      <c r="AP45" s="0" t="s">
        <v>237</v>
      </c>
      <c r="AQ45" s="0" t="n">
        <v>9</v>
      </c>
      <c r="AR45" s="0" t="n">
        <v>64</v>
      </c>
      <c r="AS45" s="0" t="n">
        <v>32</v>
      </c>
      <c r="AU45" s="0" t="n">
        <f aca="false">COUNTA($BA$343:$EH$343)</f>
        <v>10</v>
      </c>
      <c r="AV45" s="0" t="n">
        <f aca="false">COUNTIF($BA$343:$EH$343,"D")</f>
        <v>2</v>
      </c>
      <c r="AW45" s="0" t="n">
        <f aca="false">COUNTIF($BA$343:$EH$343,"R")</f>
        <v>0</v>
      </c>
      <c r="AX45" s="0" t="n">
        <f aca="false"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>0</v>
      </c>
      <c r="AY45" s="0" t="n">
        <f aca="false">COUNTIF(DU45:EH45, "&lt;&gt;")</f>
        <v>0</v>
      </c>
      <c r="AZ45" s="0" t="n">
        <f aca="false">IF(EH45&lt;&gt;"",1,0)</f>
        <v>0</v>
      </c>
      <c r="BB45" s="0" t="s">
        <v>153</v>
      </c>
    </row>
    <row r="46" customFormat="false" ht="13.8" hidden="true" customHeight="false" outlineLevel="0" collapsed="false">
      <c r="A46" s="0" t="s">
        <v>415</v>
      </c>
      <c r="B46" s="0" t="n">
        <v>78</v>
      </c>
      <c r="C46" s="0" t="n">
        <v>428010</v>
      </c>
      <c r="D46" s="0" t="s">
        <v>416</v>
      </c>
      <c r="E46" s="0" t="s">
        <v>417</v>
      </c>
      <c r="F46" s="0" t="str">
        <f aca="false">CONCATENATE(D46," ",LEFT(H46,4),"T=",AU46,"D=",AV46,"R=",AW46,"M=",AX46,"L=",AY46,"B=",AZ46)</f>
        <v>FINLAW T=2D=0R=0M=0L=0B=0</v>
      </c>
      <c r="G46" s="0" t="s">
        <v>323</v>
      </c>
      <c r="I46" s="0" t="s">
        <v>418</v>
      </c>
      <c r="J46" s="0" t="s">
        <v>419</v>
      </c>
      <c r="K46" s="0" t="s">
        <v>175</v>
      </c>
      <c r="L46" s="0"/>
      <c r="M46" s="0" t="s">
        <v>407</v>
      </c>
      <c r="N46" s="0" t="str">
        <f aca="false">RIGHT(M46,LEN(M46)-FIND(" ",M46))</f>
        <v>ATLANTIC ST NE</v>
      </c>
      <c r="O46" s="0" t="s">
        <v>420</v>
      </c>
      <c r="P46" s="0" t="s">
        <v>146</v>
      </c>
      <c r="Q46" s="0" t="s">
        <v>147</v>
      </c>
      <c r="R46" s="0" t="n">
        <v>44483</v>
      </c>
      <c r="AD46" s="0" t="s">
        <v>148</v>
      </c>
      <c r="AE46" s="0" t="s">
        <v>149</v>
      </c>
      <c r="AF46" s="0" t="s">
        <v>150</v>
      </c>
      <c r="AH46" s="0" t="n">
        <v>14</v>
      </c>
      <c r="AI46" s="0" t="n">
        <v>11</v>
      </c>
      <c r="AN46" s="0" t="s">
        <v>146</v>
      </c>
      <c r="AO46" s="0" t="s">
        <v>236</v>
      </c>
      <c r="AP46" s="0" t="s">
        <v>237</v>
      </c>
      <c r="AQ46" s="0" t="n">
        <v>9</v>
      </c>
      <c r="AR46" s="0" t="n">
        <v>64</v>
      </c>
      <c r="AS46" s="0" t="n">
        <v>32</v>
      </c>
      <c r="AU46" s="0" t="n">
        <f aca="false">COUNTA($BA$524:$EH$524)</f>
        <v>2</v>
      </c>
      <c r="AV46" s="0" t="n">
        <f aca="false">COUNTIF($BA$524:$EH$524,"D")</f>
        <v>0</v>
      </c>
      <c r="AW46" s="0" t="n">
        <f aca="false">COUNTIF($BA$524:$EH$524,"R")</f>
        <v>0</v>
      </c>
      <c r="AX46" s="0" t="n">
        <f aca="false"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>0</v>
      </c>
      <c r="AY46" s="0" t="n">
        <f aca="false">COUNTIF(DU46:EH46, "&lt;&gt;")</f>
        <v>0</v>
      </c>
      <c r="AZ46" s="0" t="n">
        <f aca="false">IF(EH46&lt;&gt;"",1,0)</f>
        <v>0</v>
      </c>
      <c r="BB46" s="0" t="s">
        <v>153</v>
      </c>
    </row>
    <row r="47" customFormat="false" ht="13.8" hidden="true" customHeight="false" outlineLevel="0" collapsed="false">
      <c r="A47" s="0" t="s">
        <v>421</v>
      </c>
      <c r="B47" s="0" t="n">
        <v>78</v>
      </c>
      <c r="C47" s="0" t="n">
        <v>457638</v>
      </c>
      <c r="D47" s="0" t="s">
        <v>422</v>
      </c>
      <c r="E47" s="0" t="s">
        <v>423</v>
      </c>
      <c r="F47" s="0" t="str">
        <f aca="false">CONCATENATE(D47," ",LEFT(H47,4),"T=",AU47,"D=",AV47,"R=",AW47,"M=",AX47,"L=",AY47,"B=",AZ47)</f>
        <v>GORDON T=3D=0R=0M=0L=0B=0</v>
      </c>
      <c r="G47" s="0" t="s">
        <v>424</v>
      </c>
      <c r="I47" s="0" t="s">
        <v>425</v>
      </c>
      <c r="J47" s="0" t="s">
        <v>426</v>
      </c>
      <c r="K47" s="0" t="s">
        <v>175</v>
      </c>
      <c r="L47" s="0"/>
      <c r="M47" s="0" t="s">
        <v>407</v>
      </c>
      <c r="N47" s="0" t="str">
        <f aca="false">RIGHT(M47,LEN(M47)-FIND(" ",M47))</f>
        <v>ATLANTIC ST NE</v>
      </c>
      <c r="O47" s="0" t="s">
        <v>420</v>
      </c>
      <c r="P47" s="0" t="s">
        <v>146</v>
      </c>
      <c r="Q47" s="0" t="s">
        <v>147</v>
      </c>
      <c r="R47" s="0" t="n">
        <v>44483</v>
      </c>
      <c r="AD47" s="0" t="s">
        <v>148</v>
      </c>
      <c r="AE47" s="0" t="s">
        <v>149</v>
      </c>
      <c r="AF47" s="0" t="s">
        <v>150</v>
      </c>
      <c r="AH47" s="0" t="n">
        <v>14</v>
      </c>
      <c r="AI47" s="0" t="n">
        <v>11</v>
      </c>
      <c r="AN47" s="0" t="s">
        <v>146</v>
      </c>
      <c r="AO47" s="0" t="s">
        <v>236</v>
      </c>
      <c r="AP47" s="0" t="s">
        <v>237</v>
      </c>
      <c r="AQ47" s="0" t="n">
        <v>9</v>
      </c>
      <c r="AR47" s="0" t="n">
        <v>64</v>
      </c>
      <c r="AS47" s="0" t="n">
        <v>32</v>
      </c>
      <c r="AU47" s="0" t="n">
        <f aca="false">COUNTA($BA$1068:$EH$1068)</f>
        <v>3</v>
      </c>
      <c r="AV47" s="0" t="n">
        <f aca="false">COUNTIF($BA$1068:$EH$1068,"D")</f>
        <v>0</v>
      </c>
      <c r="AW47" s="0" t="n">
        <f aca="false">COUNTIF($BA$1068:$EH$1068,"R")</f>
        <v>0</v>
      </c>
      <c r="AX47" s="0" t="n">
        <f aca="false"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>0</v>
      </c>
      <c r="AY47" s="0" t="n">
        <f aca="false">COUNTIF(DU47:EH47, "&lt;&gt;")</f>
        <v>0</v>
      </c>
      <c r="AZ47" s="0" t="n">
        <f aca="false">IF(EH47&lt;&gt;"",1,0)</f>
        <v>0</v>
      </c>
      <c r="BB47" s="0" t="s">
        <v>153</v>
      </c>
    </row>
    <row r="48" customFormat="false" ht="13.8" hidden="false" customHeight="false" outlineLevel="0" collapsed="false">
      <c r="A48" s="0" t="s">
        <v>427</v>
      </c>
      <c r="B48" s="0" t="n">
        <v>78</v>
      </c>
      <c r="C48" s="0" t="n">
        <v>391572</v>
      </c>
      <c r="D48" s="0" t="s">
        <v>428</v>
      </c>
      <c r="E48" s="0" t="s">
        <v>429</v>
      </c>
      <c r="F48" s="0" t="str">
        <f aca="false">CONCATENATE(D48," ",LEFT(H48,4),"T=",AU48,"D=",AV48,"R=",AW48,"M=",AX48,"L=",AY48,"B=",AZ48)</f>
        <v>CRAWFORD JRT=7D=0R=0M=0L=2B=0</v>
      </c>
      <c r="G48" s="0" t="s">
        <v>430</v>
      </c>
      <c r="H48" s="0" t="s">
        <v>431</v>
      </c>
      <c r="I48" s="0" t="s">
        <v>432</v>
      </c>
      <c r="J48" s="0" t="s">
        <v>433</v>
      </c>
      <c r="K48" s="0" t="s">
        <v>175</v>
      </c>
      <c r="M48" s="0" t="s">
        <v>434</v>
      </c>
      <c r="N48" s="0" t="str">
        <f aca="false">RIGHT(M48,LEN(M48)-FIND(" ",M48))</f>
        <v>ATLANTIC ST NE</v>
      </c>
      <c r="P48" s="0" t="s">
        <v>146</v>
      </c>
      <c r="Q48" s="0" t="s">
        <v>147</v>
      </c>
      <c r="R48" s="0" t="n">
        <v>44483</v>
      </c>
      <c r="AD48" s="0" t="s">
        <v>148</v>
      </c>
      <c r="AE48" s="0" t="s">
        <v>149</v>
      </c>
      <c r="AF48" s="0" t="s">
        <v>150</v>
      </c>
      <c r="AH48" s="0" t="n">
        <v>14</v>
      </c>
      <c r="AI48" s="0" t="n">
        <v>11</v>
      </c>
      <c r="AN48" s="0" t="s">
        <v>146</v>
      </c>
      <c r="AO48" s="0" t="s">
        <v>236</v>
      </c>
      <c r="AP48" s="0" t="s">
        <v>237</v>
      </c>
      <c r="AQ48" s="0" t="n">
        <v>9</v>
      </c>
      <c r="AR48" s="0" t="n">
        <v>64</v>
      </c>
      <c r="AS48" s="0" t="n">
        <v>32</v>
      </c>
      <c r="AU48" s="0" t="n">
        <f aca="false">COUNTA($BA$428:$EH$428)</f>
        <v>7</v>
      </c>
      <c r="AV48" s="0" t="n">
        <f aca="false">COUNTIF($BA$428:$EH$428,"D")</f>
        <v>0</v>
      </c>
      <c r="AW48" s="0" t="n">
        <f aca="false">COUNTIF($BA$428:$EH$428,"R")</f>
        <v>0</v>
      </c>
      <c r="AX48" s="0" t="n">
        <f aca="false"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>0</v>
      </c>
      <c r="AY48" s="0" t="n">
        <f aca="false">COUNTIF(DU48:EH48, "&lt;&gt;")</f>
        <v>2</v>
      </c>
      <c r="AZ48" s="0" t="n">
        <f aca="false">IF(EH48&lt;&gt;"",1,0)</f>
        <v>0</v>
      </c>
      <c r="BB48" s="0" t="s">
        <v>153</v>
      </c>
      <c r="BY48" s="0" t="s">
        <v>155</v>
      </c>
      <c r="CN48" s="0" t="s">
        <v>154</v>
      </c>
      <c r="CP48" s="0" t="s">
        <v>154</v>
      </c>
      <c r="CT48" s="0" t="s">
        <v>154</v>
      </c>
      <c r="CV48" s="0" t="s">
        <v>154</v>
      </c>
      <c r="CY48" s="0" t="s">
        <v>154</v>
      </c>
      <c r="DC48" s="0" t="s">
        <v>154</v>
      </c>
      <c r="DM48" s="0" t="s">
        <v>155</v>
      </c>
      <c r="DN48" s="0" t="s">
        <v>154</v>
      </c>
      <c r="DU48" s="0" t="s">
        <v>154</v>
      </c>
      <c r="EF48" s="0" t="s">
        <v>154</v>
      </c>
    </row>
    <row r="49" customFormat="false" ht="13.8" hidden="true" customHeight="false" outlineLevel="0" collapsed="false">
      <c r="A49" s="0" t="s">
        <v>435</v>
      </c>
      <c r="B49" s="0" t="n">
        <v>78</v>
      </c>
      <c r="C49" s="0" t="n">
        <v>437465</v>
      </c>
      <c r="D49" s="0" t="s">
        <v>436</v>
      </c>
      <c r="E49" s="0" t="s">
        <v>437</v>
      </c>
      <c r="F49" s="0" t="str">
        <f aca="false">CONCATENATE(D49," ",LEFT(H49,4),"T=",AU49,"D=",AV49,"R=",AW49,"M=",AX49,"L=",AY49,"B=",AZ49)</f>
        <v>DALLAS STRAIGHT T=2D=0R=0M=0L=0B=0</v>
      </c>
      <c r="G49" s="0" t="s">
        <v>438</v>
      </c>
      <c r="I49" s="0" t="s">
        <v>439</v>
      </c>
      <c r="J49" s="0" t="s">
        <v>440</v>
      </c>
      <c r="K49" s="0" t="s">
        <v>144</v>
      </c>
      <c r="L49" s="0"/>
      <c r="M49" s="0" t="s">
        <v>434</v>
      </c>
      <c r="N49" s="0" t="str">
        <f aca="false">RIGHT(M49,LEN(M49)-FIND(" ",M49))</f>
        <v>ATLANTIC ST NE</v>
      </c>
      <c r="O49" s="0" t="s">
        <v>441</v>
      </c>
      <c r="P49" s="0" t="s">
        <v>146</v>
      </c>
      <c r="Q49" s="0" t="s">
        <v>147</v>
      </c>
      <c r="R49" s="0" t="n">
        <v>44483</v>
      </c>
      <c r="AD49" s="0" t="s">
        <v>148</v>
      </c>
      <c r="AE49" s="0" t="s">
        <v>149</v>
      </c>
      <c r="AF49" s="0" t="s">
        <v>150</v>
      </c>
      <c r="AH49" s="0" t="n">
        <v>14</v>
      </c>
      <c r="AI49" s="0" t="n">
        <v>11</v>
      </c>
      <c r="AN49" s="0" t="s">
        <v>146</v>
      </c>
      <c r="AO49" s="0" t="s">
        <v>236</v>
      </c>
      <c r="AP49" s="0" t="s">
        <v>237</v>
      </c>
      <c r="AQ49" s="0" t="n">
        <v>9</v>
      </c>
      <c r="AR49" s="0" t="n">
        <v>64</v>
      </c>
      <c r="AS49" s="0" t="n">
        <v>32</v>
      </c>
      <c r="AU49" s="0" t="n">
        <f aca="false">COUNTA($BA$723:$EH$723)</f>
        <v>2</v>
      </c>
      <c r="AV49" s="0" t="n">
        <f aca="false">COUNTIF($BA$723:$EH$723,"D")</f>
        <v>0</v>
      </c>
      <c r="AW49" s="0" t="n">
        <f aca="false">COUNTIF($BA$723:$EH$723,"R")</f>
        <v>0</v>
      </c>
      <c r="AX49" s="0" t="n">
        <f aca="false"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>0</v>
      </c>
      <c r="AY49" s="0" t="n">
        <f aca="false">COUNTIF(DU49:EH49, "&lt;&gt;")</f>
        <v>0</v>
      </c>
      <c r="AZ49" s="0" t="n">
        <f aca="false">IF(EH49&lt;&gt;"",1,0)</f>
        <v>0</v>
      </c>
      <c r="BB49" s="0" t="s">
        <v>153</v>
      </c>
    </row>
    <row r="50" customFormat="false" ht="13.8" hidden="true" customHeight="false" outlineLevel="0" collapsed="false">
      <c r="A50" s="0" t="s">
        <v>442</v>
      </c>
      <c r="B50" s="0" t="n">
        <v>78</v>
      </c>
      <c r="C50" s="0" t="n">
        <v>474460</v>
      </c>
      <c r="D50" s="0" t="s">
        <v>443</v>
      </c>
      <c r="E50" s="0" t="s">
        <v>444</v>
      </c>
      <c r="F50" s="0" t="str">
        <f aca="false">CONCATENATE(D50," ",LEFT(H50,4),"T=",AU50,"D=",AV50,"R=",AW50,"M=",AX50,"L=",AY50,"B=",AZ50)</f>
        <v>SCHELL T=2D=0R=0M=0L=0B=0</v>
      </c>
      <c r="G50" s="0" t="s">
        <v>445</v>
      </c>
      <c r="I50" s="0" t="s">
        <v>446</v>
      </c>
      <c r="J50" s="0" t="s">
        <v>447</v>
      </c>
      <c r="K50" s="0" t="s">
        <v>175</v>
      </c>
      <c r="L50" s="0"/>
      <c r="M50" s="0" t="s">
        <v>434</v>
      </c>
      <c r="N50" s="0" t="str">
        <f aca="false">RIGHT(M50,LEN(M50)-FIND(" ",M50))</f>
        <v>ATLANTIC ST NE</v>
      </c>
      <c r="P50" s="0" t="s">
        <v>146</v>
      </c>
      <c r="Q50" s="0" t="s">
        <v>147</v>
      </c>
      <c r="R50" s="0" t="n">
        <v>44483</v>
      </c>
      <c r="AD50" s="0" t="s">
        <v>148</v>
      </c>
      <c r="AE50" s="0" t="s">
        <v>149</v>
      </c>
      <c r="AF50" s="0" t="s">
        <v>150</v>
      </c>
      <c r="AH50" s="0" t="n">
        <v>14</v>
      </c>
      <c r="AI50" s="0" t="n">
        <v>11</v>
      </c>
      <c r="AN50" s="0" t="s">
        <v>146</v>
      </c>
      <c r="AO50" s="0" t="s">
        <v>236</v>
      </c>
      <c r="AP50" s="0" t="s">
        <v>237</v>
      </c>
      <c r="AQ50" s="0" t="n">
        <v>9</v>
      </c>
      <c r="AR50" s="0" t="n">
        <v>64</v>
      </c>
      <c r="AS50" s="0" t="n">
        <v>32</v>
      </c>
      <c r="AU50" s="0" t="n">
        <f aca="false">COUNTA($BA$928:$EH$928)</f>
        <v>2</v>
      </c>
      <c r="AV50" s="0" t="n">
        <f aca="false">COUNTIF($BA$928:$EH$928,"D")</f>
        <v>0</v>
      </c>
      <c r="AW50" s="0" t="n">
        <f aca="false">COUNTIF($BA$928:$EH$928,"R")</f>
        <v>0</v>
      </c>
      <c r="AX50" s="0" t="n">
        <f aca="false"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>0</v>
      </c>
      <c r="AY50" s="0" t="n">
        <f aca="false">COUNTIF(DU50:EH50, "&lt;&gt;")</f>
        <v>0</v>
      </c>
      <c r="AZ50" s="0" t="n">
        <f aca="false">IF(EH50&lt;&gt;"",1,0)</f>
        <v>0</v>
      </c>
      <c r="BB50" s="0" t="s">
        <v>153</v>
      </c>
    </row>
    <row r="51" customFormat="false" ht="13.8" hidden="true" customHeight="false" outlineLevel="0" collapsed="false">
      <c r="A51" s="0" t="s">
        <v>448</v>
      </c>
      <c r="B51" s="0" t="n">
        <v>78</v>
      </c>
      <c r="C51" s="0" t="n">
        <v>435081</v>
      </c>
      <c r="D51" s="0" t="s">
        <v>449</v>
      </c>
      <c r="E51" s="0" t="s">
        <v>232</v>
      </c>
      <c r="F51" s="0" t="str">
        <f aca="false">CONCATENATE(D51," ",LEFT(H51,4),"T=",AU51,"D=",AV51,"R=",AW51,"M=",AX51,"L=",AY51,"B=",AZ51)</f>
        <v>SALYERS T=2D=0R=0M=0L=1B=0</v>
      </c>
      <c r="I51" s="0" t="s">
        <v>450</v>
      </c>
      <c r="J51" s="0" t="s">
        <v>451</v>
      </c>
      <c r="K51" s="0" t="s">
        <v>175</v>
      </c>
      <c r="L51" s="0"/>
      <c r="M51" s="0" t="s">
        <v>434</v>
      </c>
      <c r="N51" s="0" t="str">
        <f aca="false">RIGHT(M51,LEN(M51)-FIND(" ",M51))</f>
        <v>ATLANTIC ST NE</v>
      </c>
      <c r="P51" s="0" t="s">
        <v>146</v>
      </c>
      <c r="Q51" s="0" t="s">
        <v>147</v>
      </c>
      <c r="R51" s="0" t="n">
        <v>44483</v>
      </c>
      <c r="AD51" s="0" t="s">
        <v>148</v>
      </c>
      <c r="AE51" s="0" t="s">
        <v>149</v>
      </c>
      <c r="AF51" s="0" t="s">
        <v>150</v>
      </c>
      <c r="AH51" s="0" t="n">
        <v>14</v>
      </c>
      <c r="AI51" s="0" t="n">
        <v>11</v>
      </c>
      <c r="AN51" s="0" t="s">
        <v>146</v>
      </c>
      <c r="AO51" s="0" t="s">
        <v>236</v>
      </c>
      <c r="AP51" s="0" t="s">
        <v>237</v>
      </c>
      <c r="AQ51" s="0" t="n">
        <v>9</v>
      </c>
      <c r="AR51" s="0" t="n">
        <v>64</v>
      </c>
      <c r="AS51" s="0" t="n">
        <v>32</v>
      </c>
      <c r="AU51" s="0" t="n">
        <f aca="false">COUNTA($BA$958:$EH$958)</f>
        <v>2</v>
      </c>
      <c r="AV51" s="0" t="n">
        <f aca="false">COUNTIF($BA$958:$EH$958,"D")</f>
        <v>0</v>
      </c>
      <c r="AW51" s="0" t="n">
        <f aca="false">COUNTIF($BA$958:$EH$958,"R")</f>
        <v>0</v>
      </c>
      <c r="AX51" s="0" t="n">
        <f aca="false"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>0</v>
      </c>
      <c r="AY51" s="0" t="n">
        <f aca="false">COUNTIF(DU51:EH51, "&lt;&gt;")</f>
        <v>1</v>
      </c>
      <c r="AZ51" s="0" t="n">
        <f aca="false">IF(EH51&lt;&gt;"",1,0)</f>
        <v>0</v>
      </c>
      <c r="BB51" s="0" t="s">
        <v>153</v>
      </c>
      <c r="BD51" s="0" t="s">
        <v>154</v>
      </c>
      <c r="BL51" s="0" t="s">
        <v>154</v>
      </c>
      <c r="BY51" s="0" t="s">
        <v>155</v>
      </c>
      <c r="CA51" s="0" t="s">
        <v>154</v>
      </c>
      <c r="EF51" s="0" t="s">
        <v>154</v>
      </c>
    </row>
    <row r="52" customFormat="false" ht="13.8" hidden="true" customHeight="false" outlineLevel="0" collapsed="false">
      <c r="A52" s="0" t="s">
        <v>452</v>
      </c>
      <c r="B52" s="0" t="n">
        <v>78</v>
      </c>
      <c r="C52" s="0" t="n">
        <v>338724</v>
      </c>
      <c r="D52" s="0" t="s">
        <v>453</v>
      </c>
      <c r="E52" s="0" t="s">
        <v>454</v>
      </c>
      <c r="F52" s="0" t="str">
        <f aca="false">CONCATENATE(D52," ",LEFT(H52,4),"T=",AU52,"D=",AV52,"R=",AW52,"M=",AX52,"L=",AY52,"B=",AZ52)</f>
        <v>YOUNG T=1D=0R=0M=0L=0B=0</v>
      </c>
      <c r="G52" s="0" t="s">
        <v>455</v>
      </c>
      <c r="I52" s="0" t="s">
        <v>456</v>
      </c>
      <c r="J52" s="0" t="s">
        <v>457</v>
      </c>
      <c r="K52" s="0" t="s">
        <v>175</v>
      </c>
      <c r="L52" s="0" t="s">
        <v>155</v>
      </c>
      <c r="M52" s="0" t="s">
        <v>458</v>
      </c>
      <c r="N52" s="0" t="str">
        <f aca="false">RIGHT(M52,LEN(M52)-FIND(" ",M52))</f>
        <v>ATLANTIC ST NE</v>
      </c>
      <c r="P52" s="0" t="s">
        <v>146</v>
      </c>
      <c r="Q52" s="0" t="s">
        <v>147</v>
      </c>
      <c r="R52" s="0" t="n">
        <v>44483</v>
      </c>
      <c r="AD52" s="0" t="s">
        <v>148</v>
      </c>
      <c r="AE52" s="0" t="s">
        <v>149</v>
      </c>
      <c r="AF52" s="0" t="s">
        <v>150</v>
      </c>
      <c r="AH52" s="0" t="n">
        <v>14</v>
      </c>
      <c r="AI52" s="0" t="n">
        <v>11</v>
      </c>
      <c r="AN52" s="0" t="s">
        <v>146</v>
      </c>
      <c r="AO52" s="0" t="s">
        <v>236</v>
      </c>
      <c r="AP52" s="0" t="s">
        <v>237</v>
      </c>
      <c r="AQ52" s="0" t="n">
        <v>9</v>
      </c>
      <c r="AR52" s="0" t="n">
        <v>64</v>
      </c>
      <c r="AS52" s="0" t="n">
        <v>32</v>
      </c>
      <c r="AU52" s="0" t="n">
        <f aca="false">COUNTA($BA$891:$EH$891)</f>
        <v>1</v>
      </c>
      <c r="AV52" s="0" t="n">
        <f aca="false">COUNTIF($BA$891:$EH$891,"D")</f>
        <v>0</v>
      </c>
      <c r="AW52" s="0" t="n">
        <f aca="false">COUNTIF($BA$891:$EH$891,"R")</f>
        <v>0</v>
      </c>
      <c r="AX52" s="0" t="n">
        <f aca="false"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>0</v>
      </c>
      <c r="AY52" s="0" t="n">
        <f aca="false">COUNTIF(DU52:EH52, "&lt;&gt;")</f>
        <v>0</v>
      </c>
      <c r="AZ52" s="0" t="n">
        <f aca="false">IF(EH52&lt;&gt;"",1,0)</f>
        <v>0</v>
      </c>
      <c r="BB52" s="0" t="s">
        <v>153</v>
      </c>
      <c r="CA52" s="0" t="s">
        <v>154</v>
      </c>
      <c r="DT52" s="0" t="s">
        <v>155</v>
      </c>
    </row>
    <row r="53" customFormat="false" ht="13.8" hidden="false" customHeight="false" outlineLevel="0" collapsed="false">
      <c r="A53" s="0" t="s">
        <v>459</v>
      </c>
      <c r="B53" s="0" t="n">
        <v>78</v>
      </c>
      <c r="C53" s="0" t="n">
        <v>375409</v>
      </c>
      <c r="D53" s="0" t="s">
        <v>460</v>
      </c>
      <c r="E53" s="0" t="s">
        <v>429</v>
      </c>
      <c r="F53" s="0" t="str">
        <f aca="false">CONCATENATE(D53," ",LEFT(H53,4),"T=",AU53,"D=",AV53,"R=",AW53,"M=",AX53,"L=",AY53,"B=",AZ53)</f>
        <v>WHITMORE T=36D=6R=0M=1L=4B=0</v>
      </c>
      <c r="G53" s="0" t="s">
        <v>176</v>
      </c>
      <c r="I53" s="0" t="s">
        <v>461</v>
      </c>
      <c r="J53" s="0" t="s">
        <v>462</v>
      </c>
      <c r="K53" s="0" t="s">
        <v>175</v>
      </c>
      <c r="L53" s="1" t="s">
        <v>155</v>
      </c>
      <c r="M53" s="0" t="s">
        <v>463</v>
      </c>
      <c r="N53" s="0" t="str">
        <f aca="false">RIGHT(M53,LEN(M53)-FIND(" ",M53))</f>
        <v>ATLANTIC ST NE</v>
      </c>
      <c r="P53" s="0" t="s">
        <v>146</v>
      </c>
      <c r="Q53" s="0" t="s">
        <v>147</v>
      </c>
      <c r="R53" s="0" t="n">
        <v>44483</v>
      </c>
      <c r="AD53" s="0" t="s">
        <v>148</v>
      </c>
      <c r="AE53" s="0" t="s">
        <v>149</v>
      </c>
      <c r="AF53" s="0" t="s">
        <v>150</v>
      </c>
      <c r="AH53" s="0" t="n">
        <v>14</v>
      </c>
      <c r="AI53" s="0" t="n">
        <v>11</v>
      </c>
      <c r="AN53" s="0" t="s">
        <v>146</v>
      </c>
      <c r="AO53" s="0" t="s">
        <v>236</v>
      </c>
      <c r="AP53" s="0" t="s">
        <v>237</v>
      </c>
      <c r="AQ53" s="0" t="n">
        <v>9</v>
      </c>
      <c r="AR53" s="0" t="n">
        <v>64</v>
      </c>
      <c r="AS53" s="0" t="n">
        <v>32</v>
      </c>
      <c r="AU53" s="0" t="n">
        <f aca="false">COUNTA($BA$852:$EH$852)</f>
        <v>36</v>
      </c>
      <c r="AV53" s="0" t="n">
        <f aca="false">COUNTIF($BA$852:$EH$852,"D")</f>
        <v>6</v>
      </c>
      <c r="AW53" s="0" t="n">
        <f aca="false">COUNTIF($BA$852:$EH$852,"R")</f>
        <v>0</v>
      </c>
      <c r="AX53" s="0" t="n">
        <f aca="false"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>1</v>
      </c>
      <c r="AY53" s="0" t="n">
        <f aca="false">COUNTIF(DU53:EH53, "&lt;&gt;")</f>
        <v>4</v>
      </c>
      <c r="AZ53" s="0" t="n">
        <f aca="false">IF(EH53&lt;&gt;"",1,0)</f>
        <v>0</v>
      </c>
      <c r="BB53" s="0" t="s">
        <v>153</v>
      </c>
      <c r="CK53" s="0" t="s">
        <v>154</v>
      </c>
      <c r="CN53" s="0" t="s">
        <v>154</v>
      </c>
      <c r="CP53" s="0" t="s">
        <v>154</v>
      </c>
      <c r="CV53" s="0" t="s">
        <v>154</v>
      </c>
      <c r="CY53" s="0" t="s">
        <v>154</v>
      </c>
      <c r="DC53" s="0" t="s">
        <v>154</v>
      </c>
      <c r="DI53" s="0" t="s">
        <v>154</v>
      </c>
      <c r="DL53" s="0" t="s">
        <v>154</v>
      </c>
      <c r="DN53" s="0" t="s">
        <v>154</v>
      </c>
      <c r="DW53" s="0" t="s">
        <v>155</v>
      </c>
      <c r="DX53" s="0" t="s">
        <v>154</v>
      </c>
      <c r="EA53" s="0" t="s">
        <v>154</v>
      </c>
      <c r="EF53" s="0" t="s">
        <v>154</v>
      </c>
    </row>
    <row r="54" customFormat="false" ht="13.8" hidden="false" customHeight="false" outlineLevel="0" collapsed="false">
      <c r="A54" s="0" t="s">
        <v>464</v>
      </c>
      <c r="B54" s="0" t="n">
        <v>78</v>
      </c>
      <c r="C54" s="0" t="n">
        <v>158547</v>
      </c>
      <c r="D54" s="0" t="s">
        <v>465</v>
      </c>
      <c r="E54" s="0" t="s">
        <v>466</v>
      </c>
      <c r="F54" s="0" t="str">
        <f aca="false">CONCATENATE(D54," ",LEFT(H54,4),"T=",AU54,"D=",AV54,"R=",AW54,"M=",AX54,"L=",AY54,"B=",AZ54)</f>
        <v>VANHORN T=1D=0R=0M=1L=5B=0</v>
      </c>
      <c r="I54" s="0" t="s">
        <v>467</v>
      </c>
      <c r="J54" s="0" t="s">
        <v>468</v>
      </c>
      <c r="K54" s="0" t="s">
        <v>175</v>
      </c>
      <c r="L54" s="1" t="s">
        <v>155</v>
      </c>
      <c r="M54" s="0" t="s">
        <v>469</v>
      </c>
      <c r="N54" s="0" t="str">
        <f aca="false">RIGHT(M54,LEN(M54)-FIND(" ",M54))</f>
        <v>ATLANTIC ST NE</v>
      </c>
      <c r="P54" s="0" t="s">
        <v>146</v>
      </c>
      <c r="Q54" s="0" t="s">
        <v>147</v>
      </c>
      <c r="R54" s="0" t="n">
        <v>44483</v>
      </c>
      <c r="AD54" s="0" t="s">
        <v>148</v>
      </c>
      <c r="AE54" s="0" t="s">
        <v>149</v>
      </c>
      <c r="AF54" s="0" t="s">
        <v>150</v>
      </c>
      <c r="AH54" s="0" t="n">
        <v>14</v>
      </c>
      <c r="AI54" s="0" t="n">
        <v>11</v>
      </c>
      <c r="AN54" s="0" t="s">
        <v>146</v>
      </c>
      <c r="AO54" s="0" t="s">
        <v>236</v>
      </c>
      <c r="AP54" s="0" t="s">
        <v>237</v>
      </c>
      <c r="AQ54" s="0" t="n">
        <v>9</v>
      </c>
      <c r="AR54" s="0" t="n">
        <v>64</v>
      </c>
      <c r="AS54" s="0" t="n">
        <v>32</v>
      </c>
      <c r="AU54" s="0" t="n">
        <f aca="false">COUNTA($BA$859:$EH$859)</f>
        <v>1</v>
      </c>
      <c r="AV54" s="0" t="n">
        <f aca="false">COUNTIF($BA$859:$EH$859,"D")</f>
        <v>0</v>
      </c>
      <c r="AW54" s="0" t="n">
        <f aca="false">COUNTIF($BA$859:$EH$859,"R")</f>
        <v>0</v>
      </c>
      <c r="AX54" s="0" t="n">
        <f aca="false"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>1</v>
      </c>
      <c r="AY54" s="0" t="n">
        <f aca="false">COUNTIF(DU54:EH54, "&lt;&gt;")</f>
        <v>5</v>
      </c>
      <c r="AZ54" s="0" t="n">
        <f aca="false">IF(EH54&lt;&gt;"",1,0)</f>
        <v>0</v>
      </c>
      <c r="BB54" s="0" t="s">
        <v>153</v>
      </c>
      <c r="BC54" s="0" t="s">
        <v>154</v>
      </c>
      <c r="BD54" s="0" t="s">
        <v>154</v>
      </c>
      <c r="BE54" s="0" t="s">
        <v>154</v>
      </c>
      <c r="BH54" s="0" t="s">
        <v>154</v>
      </c>
      <c r="BI54" s="0" t="s">
        <v>154</v>
      </c>
      <c r="BJ54" s="0" t="s">
        <v>154</v>
      </c>
      <c r="BK54" s="0" t="s">
        <v>154</v>
      </c>
      <c r="BL54" s="0" t="s">
        <v>154</v>
      </c>
      <c r="BS54" s="0" t="s">
        <v>154</v>
      </c>
      <c r="BV54" s="0" t="s">
        <v>154</v>
      </c>
      <c r="BY54" s="0" t="s">
        <v>155</v>
      </c>
      <c r="CA54" s="0" t="s">
        <v>154</v>
      </c>
      <c r="CN54" s="0" t="s">
        <v>154</v>
      </c>
      <c r="CY54" s="0" t="s">
        <v>154</v>
      </c>
      <c r="CZ54" s="0" t="s">
        <v>155</v>
      </c>
      <c r="DC54" s="0" t="s">
        <v>154</v>
      </c>
      <c r="DI54" s="0" t="s">
        <v>154</v>
      </c>
      <c r="DN54" s="0" t="s">
        <v>154</v>
      </c>
      <c r="DU54" s="0" t="s">
        <v>154</v>
      </c>
      <c r="DW54" s="0" t="s">
        <v>155</v>
      </c>
      <c r="DX54" s="0" t="s">
        <v>154</v>
      </c>
      <c r="EA54" s="0" t="s">
        <v>154</v>
      </c>
      <c r="EF54" s="0" t="s">
        <v>154</v>
      </c>
    </row>
    <row r="55" customFormat="false" ht="13.8" hidden="false" customHeight="false" outlineLevel="0" collapsed="false">
      <c r="A55" s="0" t="s">
        <v>470</v>
      </c>
      <c r="B55" s="0" t="n">
        <v>78</v>
      </c>
      <c r="C55" s="0" t="n">
        <v>158546</v>
      </c>
      <c r="D55" s="0" t="s">
        <v>465</v>
      </c>
      <c r="E55" s="0" t="s">
        <v>471</v>
      </c>
      <c r="F55" s="0" t="str">
        <f aca="false">CONCATENATE(D55," ",LEFT(H55,4),"T=",AU55,"D=",AV55,"R=",AW55,"M=",AX55,"L=",AY55,"B=",AZ55)</f>
        <v>VANHORN SRT=1D=0R=0M=1L=5B=0</v>
      </c>
      <c r="G55" s="0" t="s">
        <v>241</v>
      </c>
      <c r="H55" s="0" t="s">
        <v>311</v>
      </c>
      <c r="I55" s="0" t="s">
        <v>472</v>
      </c>
      <c r="J55" s="0" t="s">
        <v>468</v>
      </c>
      <c r="K55" s="0" t="s">
        <v>175</v>
      </c>
      <c r="L55" s="1" t="s">
        <v>155</v>
      </c>
      <c r="M55" s="0" t="s">
        <v>469</v>
      </c>
      <c r="N55" s="0" t="str">
        <f aca="false">RIGHT(M55,LEN(M55)-FIND(" ",M55))</f>
        <v>ATLANTIC ST NE</v>
      </c>
      <c r="P55" s="0" t="s">
        <v>146</v>
      </c>
      <c r="Q55" s="0" t="s">
        <v>147</v>
      </c>
      <c r="R55" s="0" t="n">
        <v>44483</v>
      </c>
      <c r="AD55" s="0" t="s">
        <v>148</v>
      </c>
      <c r="AE55" s="0" t="s">
        <v>149</v>
      </c>
      <c r="AF55" s="0" t="s">
        <v>150</v>
      </c>
      <c r="AH55" s="0" t="n">
        <v>14</v>
      </c>
      <c r="AI55" s="0" t="n">
        <v>11</v>
      </c>
      <c r="AN55" s="0" t="s">
        <v>146</v>
      </c>
      <c r="AO55" s="0" t="s">
        <v>236</v>
      </c>
      <c r="AP55" s="0" t="s">
        <v>237</v>
      </c>
      <c r="AQ55" s="0" t="n">
        <v>9</v>
      </c>
      <c r="AR55" s="0" t="n">
        <v>64</v>
      </c>
      <c r="AS55" s="0" t="n">
        <v>32</v>
      </c>
      <c r="AU55" s="0" t="n">
        <f aca="false">COUNTA($BA$884:$EH$884)</f>
        <v>1</v>
      </c>
      <c r="AV55" s="0" t="n">
        <f aca="false">COUNTIF($BA$884:$EH$884,"D")</f>
        <v>0</v>
      </c>
      <c r="AW55" s="0" t="n">
        <f aca="false">COUNTIF($BA$884:$EH$884,"R")</f>
        <v>0</v>
      </c>
      <c r="AX55" s="0" t="n">
        <f aca="false"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>1</v>
      </c>
      <c r="AY55" s="0" t="n">
        <f aca="false">COUNTIF(DU55:EH55, "&lt;&gt;")</f>
        <v>5</v>
      </c>
      <c r="AZ55" s="0" t="n">
        <f aca="false">IF(EH55&lt;&gt;"",1,0)</f>
        <v>0</v>
      </c>
      <c r="BB55" s="0" t="s">
        <v>153</v>
      </c>
      <c r="BC55" s="0" t="s">
        <v>154</v>
      </c>
      <c r="BD55" s="0" t="s">
        <v>154</v>
      </c>
      <c r="BE55" s="0" t="s">
        <v>154</v>
      </c>
      <c r="BF55" s="0" t="s">
        <v>154</v>
      </c>
      <c r="BH55" s="0" t="s">
        <v>154</v>
      </c>
      <c r="BI55" s="0" t="s">
        <v>154</v>
      </c>
      <c r="BJ55" s="0" t="s">
        <v>154</v>
      </c>
      <c r="BK55" s="0" t="s">
        <v>154</v>
      </c>
      <c r="BL55" s="0" t="s">
        <v>154</v>
      </c>
      <c r="BP55" s="0" t="s">
        <v>154</v>
      </c>
      <c r="BS55" s="0" t="s">
        <v>154</v>
      </c>
      <c r="BV55" s="0" t="s">
        <v>154</v>
      </c>
      <c r="BY55" s="0" t="s">
        <v>155</v>
      </c>
      <c r="CA55" s="0" t="s">
        <v>154</v>
      </c>
      <c r="CO55" s="0" t="s">
        <v>155</v>
      </c>
      <c r="CP55" s="0" t="s">
        <v>154</v>
      </c>
      <c r="CT55" s="0" t="s">
        <v>154</v>
      </c>
      <c r="CU55" s="0" t="s">
        <v>155</v>
      </c>
      <c r="CV55" s="0" t="s">
        <v>154</v>
      </c>
      <c r="CY55" s="0" t="s">
        <v>154</v>
      </c>
      <c r="CZ55" s="0" t="s">
        <v>155</v>
      </c>
      <c r="DC55" s="0" t="s">
        <v>154</v>
      </c>
      <c r="DI55" s="0" t="s">
        <v>154</v>
      </c>
      <c r="DL55" s="0" t="s">
        <v>154</v>
      </c>
      <c r="DM55" s="0" t="s">
        <v>155</v>
      </c>
      <c r="DN55" s="0" t="s">
        <v>154</v>
      </c>
      <c r="DU55" s="0" t="s">
        <v>154</v>
      </c>
      <c r="DW55" s="0" t="s">
        <v>155</v>
      </c>
      <c r="DX55" s="0" t="s">
        <v>154</v>
      </c>
      <c r="EA55" s="0" t="s">
        <v>154</v>
      </c>
      <c r="EF55" s="0" t="s">
        <v>154</v>
      </c>
    </row>
    <row r="56" customFormat="false" ht="13.8" hidden="true" customHeight="false" outlineLevel="0" collapsed="false">
      <c r="A56" s="0" t="s">
        <v>473</v>
      </c>
      <c r="B56" s="0" t="n">
        <v>78</v>
      </c>
      <c r="C56" s="0" t="n">
        <v>477983</v>
      </c>
      <c r="D56" s="0" t="s">
        <v>474</v>
      </c>
      <c r="E56" s="0" t="s">
        <v>283</v>
      </c>
      <c r="F56" s="0" t="str">
        <f aca="false">CONCATENATE(D56," ",LEFT(H56,4),"T=",AU56,"D=",AV56,"R=",AW56,"M=",AX56,"L=",AY56,"B=",AZ56)</f>
        <v>SCOTT JRT=1D=0R=0M=0L=0B=0</v>
      </c>
      <c r="G56" s="0" t="s">
        <v>241</v>
      </c>
      <c r="H56" s="0" t="s">
        <v>431</v>
      </c>
      <c r="I56" s="0" t="s">
        <v>475</v>
      </c>
      <c r="J56" s="0" t="s">
        <v>476</v>
      </c>
      <c r="K56" s="0" t="s">
        <v>175</v>
      </c>
      <c r="L56" s="0"/>
      <c r="M56" s="0" t="s">
        <v>477</v>
      </c>
      <c r="N56" s="0" t="str">
        <f aca="false">RIGHT(M56,LEN(M56)-FIND(" ",M56))</f>
        <v>ATLANTIC ST NE</v>
      </c>
      <c r="P56" s="0" t="s">
        <v>146</v>
      </c>
      <c r="Q56" s="0" t="s">
        <v>147</v>
      </c>
      <c r="R56" s="0" t="n">
        <v>44483</v>
      </c>
      <c r="AD56" s="0" t="s">
        <v>148</v>
      </c>
      <c r="AE56" s="0" t="s">
        <v>149</v>
      </c>
      <c r="AF56" s="0" t="s">
        <v>150</v>
      </c>
      <c r="AH56" s="0" t="n">
        <v>14</v>
      </c>
      <c r="AI56" s="0" t="n">
        <v>11</v>
      </c>
      <c r="AN56" s="0" t="s">
        <v>146</v>
      </c>
      <c r="AO56" s="0" t="s">
        <v>236</v>
      </c>
      <c r="AP56" s="0" t="s">
        <v>237</v>
      </c>
      <c r="AQ56" s="0" t="n">
        <v>9</v>
      </c>
      <c r="AR56" s="0" t="n">
        <v>64</v>
      </c>
      <c r="AS56" s="0" t="n">
        <v>32</v>
      </c>
      <c r="AU56" s="0" t="n">
        <f aca="false">COUNTA($BA$206:$EH$206)</f>
        <v>1</v>
      </c>
      <c r="AV56" s="0" t="n">
        <f aca="false">COUNTIF($BA$206:$EH$206,"D")</f>
        <v>0</v>
      </c>
      <c r="AW56" s="0" t="n">
        <f aca="false">COUNTIF($BA$206:$EH$206,"R")</f>
        <v>0</v>
      </c>
      <c r="AX56" s="0" t="n">
        <f aca="false"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>0</v>
      </c>
      <c r="AY56" s="0" t="n">
        <f aca="false">COUNTIF(DU56:EH56, "&lt;&gt;")</f>
        <v>0</v>
      </c>
      <c r="AZ56" s="0" t="n">
        <f aca="false">IF(EH56&lt;&gt;"",1,0)</f>
        <v>0</v>
      </c>
      <c r="BB56" s="0" t="s">
        <v>153</v>
      </c>
    </row>
    <row r="57" customFormat="false" ht="13.8" hidden="true" customHeight="false" outlineLevel="0" collapsed="false">
      <c r="A57" s="0" t="s">
        <v>478</v>
      </c>
      <c r="B57" s="0" t="n">
        <v>78</v>
      </c>
      <c r="C57" s="0" t="n">
        <v>384187</v>
      </c>
      <c r="D57" s="0" t="s">
        <v>479</v>
      </c>
      <c r="E57" s="0" t="s">
        <v>480</v>
      </c>
      <c r="F57" s="0" t="str">
        <f aca="false">CONCATENATE(D57," ",LEFT(H57,4),"T=",AU57,"D=",AV57,"R=",AW57,"M=",AX57,"L=",AY57,"B=",AZ57)</f>
        <v>FUDGE T=9D=0R=0M=0L=0B=0</v>
      </c>
      <c r="G57" s="0" t="s">
        <v>481</v>
      </c>
      <c r="I57" s="0" t="s">
        <v>482</v>
      </c>
      <c r="J57" s="0" t="s">
        <v>483</v>
      </c>
      <c r="K57" s="0" t="s">
        <v>144</v>
      </c>
      <c r="L57" s="0"/>
      <c r="M57" s="0" t="s">
        <v>484</v>
      </c>
      <c r="N57" s="0" t="str">
        <f aca="false">RIGHT(M57,LEN(M57)-FIND(" ",M57))</f>
        <v>ATLANTIC ST NE</v>
      </c>
      <c r="P57" s="0" t="s">
        <v>146</v>
      </c>
      <c r="Q57" s="0" t="s">
        <v>147</v>
      </c>
      <c r="R57" s="0" t="n">
        <v>44483</v>
      </c>
      <c r="AD57" s="0" t="s">
        <v>148</v>
      </c>
      <c r="AE57" s="0" t="s">
        <v>149</v>
      </c>
      <c r="AF57" s="0" t="s">
        <v>150</v>
      </c>
      <c r="AH57" s="0" t="n">
        <v>14</v>
      </c>
      <c r="AI57" s="0" t="n">
        <v>11</v>
      </c>
      <c r="AN57" s="0" t="s">
        <v>146</v>
      </c>
      <c r="AO57" s="0" t="s">
        <v>236</v>
      </c>
      <c r="AP57" s="0" t="s">
        <v>237</v>
      </c>
      <c r="AQ57" s="0" t="n">
        <v>9</v>
      </c>
      <c r="AR57" s="0" t="n">
        <v>64</v>
      </c>
      <c r="AS57" s="0" t="n">
        <v>32</v>
      </c>
      <c r="AU57" s="0" t="n">
        <f aca="false">COUNTA($BA$147:$EH$147)</f>
        <v>9</v>
      </c>
      <c r="AV57" s="0" t="n">
        <f aca="false">COUNTIF($BA$147:$EH$147,"D")</f>
        <v>0</v>
      </c>
      <c r="AW57" s="0" t="n">
        <f aca="false">COUNTIF($BA$147:$EH$147,"R")</f>
        <v>0</v>
      </c>
      <c r="AX57" s="0" t="n">
        <f aca="false"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>0</v>
      </c>
      <c r="AY57" s="0" t="n">
        <f aca="false">COUNTIF(DU57:EH57, "&lt;&gt;")</f>
        <v>0</v>
      </c>
      <c r="AZ57" s="0" t="n">
        <f aca="false">IF(EH57&lt;&gt;"",1,0)</f>
        <v>0</v>
      </c>
      <c r="BB57" s="0" t="s">
        <v>153</v>
      </c>
    </row>
    <row r="58" customFormat="false" ht="13.8" hidden="true" customHeight="false" outlineLevel="0" collapsed="false">
      <c r="A58" s="0" t="s">
        <v>485</v>
      </c>
      <c r="B58" s="0" t="n">
        <v>78</v>
      </c>
      <c r="C58" s="0" t="n">
        <v>431091</v>
      </c>
      <c r="D58" s="0" t="s">
        <v>479</v>
      </c>
      <c r="E58" s="0" t="s">
        <v>486</v>
      </c>
      <c r="F58" s="0" t="str">
        <f aca="false">CONCATENATE(D58," ",LEFT(H58,4),"T=",AU58,"D=",AV58,"R=",AW58,"M=",AX58,"L=",AY58,"B=",AZ58)</f>
        <v>FUDGE T=45D=13R=0M=0L=0B=0</v>
      </c>
      <c r="G58" s="0" t="s">
        <v>216</v>
      </c>
      <c r="I58" s="0" t="s">
        <v>487</v>
      </c>
      <c r="J58" s="0" t="s">
        <v>488</v>
      </c>
      <c r="K58" s="0" t="s">
        <v>175</v>
      </c>
      <c r="L58" s="0"/>
      <c r="M58" s="0" t="s">
        <v>484</v>
      </c>
      <c r="N58" s="0" t="str">
        <f aca="false">RIGHT(M58,LEN(M58)-FIND(" ",M58))</f>
        <v>ATLANTIC ST NE</v>
      </c>
      <c r="P58" s="0" t="s">
        <v>146</v>
      </c>
      <c r="Q58" s="0" t="s">
        <v>147</v>
      </c>
      <c r="R58" s="0" t="n">
        <v>44483</v>
      </c>
      <c r="AD58" s="0" t="s">
        <v>148</v>
      </c>
      <c r="AE58" s="0" t="s">
        <v>149</v>
      </c>
      <c r="AF58" s="0" t="s">
        <v>150</v>
      </c>
      <c r="AH58" s="0" t="n">
        <v>14</v>
      </c>
      <c r="AI58" s="0" t="n">
        <v>11</v>
      </c>
      <c r="AN58" s="0" t="s">
        <v>146</v>
      </c>
      <c r="AO58" s="0" t="s">
        <v>236</v>
      </c>
      <c r="AP58" s="0" t="s">
        <v>237</v>
      </c>
      <c r="AQ58" s="0" t="n">
        <v>9</v>
      </c>
      <c r="AR58" s="0" t="n">
        <v>64</v>
      </c>
      <c r="AS58" s="0" t="n">
        <v>32</v>
      </c>
      <c r="AU58" s="0" t="n">
        <f aca="false">COUNTA($BA$361:$EH$361)</f>
        <v>45</v>
      </c>
      <c r="AV58" s="0" t="n">
        <f aca="false">COUNTIF($BA$361:$EH$361,"D")</f>
        <v>13</v>
      </c>
      <c r="AW58" s="0" t="n">
        <f aca="false">COUNTIF($BA$361:$EH$361,"R")</f>
        <v>0</v>
      </c>
      <c r="AX58" s="0" t="n">
        <f aca="false"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>0</v>
      </c>
      <c r="AY58" s="0" t="n">
        <f aca="false">COUNTIF(DU58:EH58, "&lt;&gt;")</f>
        <v>0</v>
      </c>
      <c r="AZ58" s="0" t="n">
        <f aca="false">IF(EH58&lt;&gt;"",1,0)</f>
        <v>0</v>
      </c>
      <c r="BB58" s="0" t="s">
        <v>153</v>
      </c>
    </row>
    <row r="59" customFormat="false" ht="13.8" hidden="true" customHeight="false" outlineLevel="0" collapsed="false">
      <c r="A59" s="0" t="s">
        <v>489</v>
      </c>
      <c r="B59" s="0" t="n">
        <v>78</v>
      </c>
      <c r="C59" s="0" t="n">
        <v>438513</v>
      </c>
      <c r="D59" s="0" t="s">
        <v>490</v>
      </c>
      <c r="E59" s="0" t="s">
        <v>491</v>
      </c>
      <c r="F59" s="0" t="str">
        <f aca="false">CONCATENATE(D59," ",LEFT(H59,4),"T=",AU59,"D=",AV59,"R=",AW59,"M=",AX59,"L=",AY59,"B=",AZ59)</f>
        <v>FORD T=7D=1R=0M=0L=0B=0</v>
      </c>
      <c r="G59" s="0" t="s">
        <v>172</v>
      </c>
      <c r="I59" s="0" t="s">
        <v>492</v>
      </c>
      <c r="J59" s="0" t="s">
        <v>488</v>
      </c>
      <c r="K59" s="0" t="s">
        <v>175</v>
      </c>
      <c r="L59" s="0"/>
      <c r="M59" s="0" t="s">
        <v>484</v>
      </c>
      <c r="N59" s="0" t="str">
        <f aca="false">RIGHT(M59,LEN(M59)-FIND(" ",M59))</f>
        <v>ATLANTIC ST NE</v>
      </c>
      <c r="P59" s="0" t="s">
        <v>146</v>
      </c>
      <c r="Q59" s="0" t="s">
        <v>147</v>
      </c>
      <c r="R59" s="0" t="n">
        <v>44483</v>
      </c>
      <c r="AD59" s="0" t="s">
        <v>148</v>
      </c>
      <c r="AE59" s="0" t="s">
        <v>149</v>
      </c>
      <c r="AF59" s="0" t="s">
        <v>150</v>
      </c>
      <c r="AH59" s="0" t="n">
        <v>14</v>
      </c>
      <c r="AI59" s="0" t="n">
        <v>11</v>
      </c>
      <c r="AN59" s="0" t="s">
        <v>146</v>
      </c>
      <c r="AO59" s="0" t="s">
        <v>236</v>
      </c>
      <c r="AP59" s="0" t="s">
        <v>237</v>
      </c>
      <c r="AQ59" s="0" t="n">
        <v>9</v>
      </c>
      <c r="AR59" s="0" t="n">
        <v>64</v>
      </c>
      <c r="AS59" s="0" t="n">
        <v>32</v>
      </c>
      <c r="AU59" s="0" t="n">
        <f aca="false">COUNTA($BA$760:$EH$760)</f>
        <v>7</v>
      </c>
      <c r="AV59" s="0" t="n">
        <f aca="false">COUNTIF($BA$760:$EH$760,"D")</f>
        <v>1</v>
      </c>
      <c r="AW59" s="0" t="n">
        <f aca="false">COUNTIF($BA$760:$EH$760,"R")</f>
        <v>0</v>
      </c>
      <c r="AX59" s="0" t="n">
        <f aca="false"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>0</v>
      </c>
      <c r="AY59" s="0" t="n">
        <f aca="false">COUNTIF(DU59:EH59, "&lt;&gt;")</f>
        <v>0</v>
      </c>
      <c r="AZ59" s="0" t="n">
        <f aca="false">IF(EH59&lt;&gt;"",1,0)</f>
        <v>0</v>
      </c>
      <c r="BB59" s="0" t="s">
        <v>153</v>
      </c>
      <c r="DN59" s="0" t="s">
        <v>154</v>
      </c>
    </row>
    <row r="60" customFormat="false" ht="13.8" hidden="true" customHeight="false" outlineLevel="0" collapsed="false">
      <c r="A60" s="0" t="s">
        <v>493</v>
      </c>
      <c r="B60" s="0" t="n">
        <v>78</v>
      </c>
      <c r="C60" s="0" t="n">
        <v>278937</v>
      </c>
      <c r="D60" s="0" t="s">
        <v>494</v>
      </c>
      <c r="E60" s="0" t="s">
        <v>495</v>
      </c>
      <c r="F60" s="0" t="str">
        <f aca="false">CONCATENATE(D60," ",LEFT(H60,4),"T=",AU60,"D=",AV60,"R=",AW60,"M=",AX60,"L=",AY60,"B=",AZ60)</f>
        <v>KIRK T=9D=0R=0M=0L=0B=0</v>
      </c>
      <c r="G60" s="0" t="s">
        <v>496</v>
      </c>
      <c r="I60" s="0" t="s">
        <v>497</v>
      </c>
      <c r="J60" s="0" t="s">
        <v>498</v>
      </c>
      <c r="K60" s="0" t="s">
        <v>144</v>
      </c>
      <c r="L60" s="0"/>
      <c r="M60" s="0" t="s">
        <v>499</v>
      </c>
      <c r="N60" s="0" t="str">
        <f aca="false">RIGHT(M60,LEN(M60)-FIND(" ",M60))</f>
        <v>ATLANTIC ST NE</v>
      </c>
      <c r="O60" s="0" t="s">
        <v>414</v>
      </c>
      <c r="P60" s="0" t="s">
        <v>146</v>
      </c>
      <c r="Q60" s="0" t="s">
        <v>147</v>
      </c>
      <c r="R60" s="0" t="n">
        <v>44483</v>
      </c>
      <c r="AD60" s="0" t="s">
        <v>148</v>
      </c>
      <c r="AE60" s="0" t="s">
        <v>149</v>
      </c>
      <c r="AF60" s="0" t="s">
        <v>150</v>
      </c>
      <c r="AH60" s="0" t="n">
        <v>14</v>
      </c>
      <c r="AI60" s="0" t="n">
        <v>11</v>
      </c>
      <c r="AN60" s="0" t="s">
        <v>146</v>
      </c>
      <c r="AO60" s="0" t="s">
        <v>236</v>
      </c>
      <c r="AP60" s="0" t="s">
        <v>237</v>
      </c>
      <c r="AQ60" s="0" t="n">
        <v>9</v>
      </c>
      <c r="AR60" s="0" t="n">
        <v>64</v>
      </c>
      <c r="AS60" s="0" t="n">
        <v>32</v>
      </c>
      <c r="AU60" s="0" t="n">
        <f aca="false">COUNTA($BA$77:$EH$77)</f>
        <v>9</v>
      </c>
      <c r="AV60" s="0" t="n">
        <f aca="false">COUNTIF($BA$77:$EH$77,"D")</f>
        <v>0</v>
      </c>
      <c r="AW60" s="0" t="n">
        <f aca="false">COUNTIF($BA$77:$EH$77,"R")</f>
        <v>0</v>
      </c>
      <c r="AX60" s="0" t="n">
        <f aca="false"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>0</v>
      </c>
      <c r="AY60" s="0" t="n">
        <f aca="false">COUNTIF(DU60:EH60, "&lt;&gt;")</f>
        <v>0</v>
      </c>
      <c r="AZ60" s="0" t="n">
        <f aca="false">IF(EH60&lt;&gt;"",1,0)</f>
        <v>0</v>
      </c>
      <c r="BB60" s="0" t="s">
        <v>153</v>
      </c>
    </row>
    <row r="61" customFormat="false" ht="13.8" hidden="false" customHeight="false" outlineLevel="0" collapsed="false">
      <c r="A61" s="0" t="s">
        <v>500</v>
      </c>
      <c r="B61" s="0" t="n">
        <v>78</v>
      </c>
      <c r="C61" s="0" t="n">
        <v>487006</v>
      </c>
      <c r="D61" s="0" t="s">
        <v>501</v>
      </c>
      <c r="E61" s="0" t="s">
        <v>502</v>
      </c>
      <c r="F61" s="0" t="str">
        <f aca="false">CONCATENATE(D61," ",LEFT(H61,4),"T=",AU61,"D=",AV61,"R=",AW61,"M=",AX61,"L=",AY61,"B=",AZ61)</f>
        <v>WARE T=1D=0R=0M=0L=2B=0</v>
      </c>
      <c r="G61" s="0" t="s">
        <v>429</v>
      </c>
      <c r="I61" s="0" t="s">
        <v>503</v>
      </c>
      <c r="J61" s="0" t="s">
        <v>504</v>
      </c>
      <c r="K61" s="0" t="s">
        <v>175</v>
      </c>
      <c r="M61" s="0" t="s">
        <v>499</v>
      </c>
      <c r="N61" s="0" t="str">
        <f aca="false">RIGHT(M61,LEN(M61)-FIND(" ",M61))</f>
        <v>ATLANTIC ST NE</v>
      </c>
      <c r="P61" s="0" t="s">
        <v>146</v>
      </c>
      <c r="Q61" s="0" t="s">
        <v>147</v>
      </c>
      <c r="R61" s="0" t="n">
        <v>44483</v>
      </c>
      <c r="AD61" s="0" t="s">
        <v>148</v>
      </c>
      <c r="AE61" s="0" t="s">
        <v>149</v>
      </c>
      <c r="AF61" s="0" t="s">
        <v>150</v>
      </c>
      <c r="AH61" s="0" t="n">
        <v>14</v>
      </c>
      <c r="AI61" s="0" t="n">
        <v>11</v>
      </c>
      <c r="AN61" s="0" t="s">
        <v>146</v>
      </c>
      <c r="AO61" s="0" t="s">
        <v>236</v>
      </c>
      <c r="AP61" s="0" t="s">
        <v>237</v>
      </c>
      <c r="AQ61" s="0" t="n">
        <v>9</v>
      </c>
      <c r="AR61" s="0" t="n">
        <v>64</v>
      </c>
      <c r="AS61" s="0" t="n">
        <v>32</v>
      </c>
      <c r="AU61" s="0" t="n">
        <f aca="false">COUNTA($BA$715:$EH$715)</f>
        <v>1</v>
      </c>
      <c r="AV61" s="0" t="n">
        <f aca="false">COUNTIF($BA$715:$EH$715,"D")</f>
        <v>0</v>
      </c>
      <c r="AW61" s="0" t="n">
        <f aca="false">COUNTIF($BA$715:$EH$715,"R")</f>
        <v>0</v>
      </c>
      <c r="AX61" s="0" t="n">
        <f aca="false"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>0</v>
      </c>
      <c r="AY61" s="0" t="n">
        <f aca="false">COUNTIF(DU61:EH61, "&lt;&gt;")</f>
        <v>2</v>
      </c>
      <c r="AZ61" s="0" t="n">
        <f aca="false">IF(EH61&lt;&gt;"",1,0)</f>
        <v>0</v>
      </c>
      <c r="BB61" s="0" t="s">
        <v>153</v>
      </c>
      <c r="BD61" s="0" t="s">
        <v>154</v>
      </c>
      <c r="BH61" s="0" t="s">
        <v>154</v>
      </c>
      <c r="BL61" s="0" t="s">
        <v>154</v>
      </c>
      <c r="BP61" s="0" t="s">
        <v>154</v>
      </c>
      <c r="BS61" s="0" t="s">
        <v>154</v>
      </c>
      <c r="CP61" s="0" t="s">
        <v>154</v>
      </c>
      <c r="DN61" s="0" t="s">
        <v>154</v>
      </c>
      <c r="DS61" s="0" t="s">
        <v>176</v>
      </c>
      <c r="DU61" s="0" t="s">
        <v>154</v>
      </c>
      <c r="EF61" s="0" t="s">
        <v>154</v>
      </c>
    </row>
    <row r="62" customFormat="false" ht="13.8" hidden="true" customHeight="false" outlineLevel="0" collapsed="false">
      <c r="A62" s="0" t="s">
        <v>505</v>
      </c>
      <c r="B62" s="0" t="n">
        <v>78</v>
      </c>
      <c r="C62" s="0" t="n">
        <v>428245</v>
      </c>
      <c r="D62" s="0" t="s">
        <v>506</v>
      </c>
      <c r="E62" s="0" t="s">
        <v>507</v>
      </c>
      <c r="F62" s="0" t="str">
        <f aca="false">CONCATENATE(D62," ",LEFT(H62,4),"T=",AU62,"D=",AV62,"R=",AW62,"M=",AX62,"L=",AY62,"B=",AZ62)</f>
        <v>MITCHELL T=4D=0R=0M=0L=0B=0</v>
      </c>
      <c r="G62" s="0" t="s">
        <v>508</v>
      </c>
      <c r="I62" s="0" t="s">
        <v>509</v>
      </c>
      <c r="J62" s="0" t="s">
        <v>510</v>
      </c>
      <c r="K62" s="0" t="s">
        <v>144</v>
      </c>
      <c r="L62" s="0"/>
      <c r="M62" s="0" t="s">
        <v>499</v>
      </c>
      <c r="N62" s="0" t="str">
        <f aca="false">RIGHT(M62,LEN(M62)-FIND(" ",M62))</f>
        <v>ATLANTIC ST NE</v>
      </c>
      <c r="O62" s="0" t="s">
        <v>420</v>
      </c>
      <c r="P62" s="0" t="s">
        <v>146</v>
      </c>
      <c r="Q62" s="0" t="s">
        <v>147</v>
      </c>
      <c r="R62" s="0" t="n">
        <v>44483</v>
      </c>
      <c r="AD62" s="0" t="s">
        <v>148</v>
      </c>
      <c r="AE62" s="0" t="s">
        <v>149</v>
      </c>
      <c r="AF62" s="0" t="s">
        <v>150</v>
      </c>
      <c r="AH62" s="0" t="n">
        <v>14</v>
      </c>
      <c r="AI62" s="0" t="n">
        <v>11</v>
      </c>
      <c r="AN62" s="0" t="s">
        <v>146</v>
      </c>
      <c r="AO62" s="0" t="s">
        <v>236</v>
      </c>
      <c r="AP62" s="0" t="s">
        <v>237</v>
      </c>
      <c r="AQ62" s="0" t="n">
        <v>9</v>
      </c>
      <c r="AR62" s="0" t="n">
        <v>64</v>
      </c>
      <c r="AS62" s="0" t="n">
        <v>32</v>
      </c>
      <c r="AU62" s="0" t="n">
        <f aca="false">COUNTA($BA$1044:$EH$1044)</f>
        <v>4</v>
      </c>
      <c r="AV62" s="0" t="n">
        <f aca="false">COUNTIF($BA$1044:$EH$1044,"D")</f>
        <v>0</v>
      </c>
      <c r="AW62" s="0" t="n">
        <f aca="false">COUNTIF($BA$1044:$EH$1044,"R")</f>
        <v>0</v>
      </c>
      <c r="AX62" s="0" t="n">
        <f aca="false"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>0</v>
      </c>
      <c r="AY62" s="0" t="n">
        <f aca="false">COUNTIF(DU62:EH62, "&lt;&gt;")</f>
        <v>0</v>
      </c>
      <c r="AZ62" s="0" t="n">
        <f aca="false">IF(EH62&lt;&gt;"",1,0)</f>
        <v>0</v>
      </c>
      <c r="BB62" s="0" t="s">
        <v>153</v>
      </c>
      <c r="BD62" s="0" t="s">
        <v>154</v>
      </c>
      <c r="CA62" s="0" t="s">
        <v>154</v>
      </c>
    </row>
    <row r="63" customFormat="false" ht="13.8" hidden="false" customHeight="false" outlineLevel="0" collapsed="false">
      <c r="A63" s="0" t="s">
        <v>511</v>
      </c>
      <c r="B63" s="0" t="n">
        <v>78</v>
      </c>
      <c r="C63" s="0" t="n">
        <v>283203</v>
      </c>
      <c r="D63" s="0" t="s">
        <v>512</v>
      </c>
      <c r="E63" s="0" t="s">
        <v>513</v>
      </c>
      <c r="F63" s="0" t="str">
        <f aca="false">CONCATENATE(D63," ",LEFT(H63,4),"T=",AU63,"D=",AV63,"R=",AW63,"M=",AX63,"L=",AY63,"B=",AZ63)</f>
        <v>KILLEEN T=47D=18R=0M=0L=2B=0</v>
      </c>
      <c r="G63" s="0" t="s">
        <v>514</v>
      </c>
      <c r="I63" s="0" t="s">
        <v>515</v>
      </c>
      <c r="J63" s="0" t="s">
        <v>516</v>
      </c>
      <c r="K63" s="0" t="s">
        <v>175</v>
      </c>
      <c r="M63" s="0" t="s">
        <v>517</v>
      </c>
      <c r="N63" s="0" t="str">
        <f aca="false">RIGHT(M63,LEN(M63)-FIND(" ",M63))</f>
        <v>ATLANTIC ST NE</v>
      </c>
      <c r="P63" s="0" t="s">
        <v>146</v>
      </c>
      <c r="Q63" s="0" t="s">
        <v>147</v>
      </c>
      <c r="R63" s="0" t="n">
        <v>44483</v>
      </c>
      <c r="AD63" s="0" t="s">
        <v>148</v>
      </c>
      <c r="AE63" s="0" t="s">
        <v>149</v>
      </c>
      <c r="AF63" s="0" t="s">
        <v>150</v>
      </c>
      <c r="AH63" s="0" t="n">
        <v>14</v>
      </c>
      <c r="AI63" s="0" t="n">
        <v>11</v>
      </c>
      <c r="AN63" s="0" t="s">
        <v>146</v>
      </c>
      <c r="AO63" s="0" t="s">
        <v>236</v>
      </c>
      <c r="AP63" s="0" t="s">
        <v>237</v>
      </c>
      <c r="AQ63" s="0" t="n">
        <v>9</v>
      </c>
      <c r="AR63" s="0" t="n">
        <v>64</v>
      </c>
      <c r="AS63" s="0" t="n">
        <v>32</v>
      </c>
      <c r="AU63" s="0" t="n">
        <f aca="false">COUNTA($BA$849:$EH$849)</f>
        <v>47</v>
      </c>
      <c r="AV63" s="0" t="n">
        <f aca="false">COUNTIF($BA$849:$EH$849,"D")</f>
        <v>18</v>
      </c>
      <c r="AW63" s="0" t="n">
        <f aca="false">COUNTIF($BA$849:$EH$849,"R")</f>
        <v>0</v>
      </c>
      <c r="AX63" s="0" t="n">
        <f aca="false"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>0</v>
      </c>
      <c r="AY63" s="0" t="n">
        <f aca="false">COUNTIF(DU63:EH63, "&lt;&gt;")</f>
        <v>2</v>
      </c>
      <c r="AZ63" s="0" t="n">
        <f aca="false">IF(EH63&lt;&gt;"",1,0)</f>
        <v>0</v>
      </c>
      <c r="BB63" s="0" t="s">
        <v>153</v>
      </c>
      <c r="BD63" s="0" t="s">
        <v>154</v>
      </c>
      <c r="BH63" s="0" t="s">
        <v>154</v>
      </c>
      <c r="BJ63" s="0" t="s">
        <v>154</v>
      </c>
      <c r="BL63" s="0" t="s">
        <v>154</v>
      </c>
      <c r="BP63" s="0" t="s">
        <v>154</v>
      </c>
      <c r="BS63" s="0" t="s">
        <v>154</v>
      </c>
      <c r="BY63" s="0" t="s">
        <v>176</v>
      </c>
      <c r="CA63" s="0" t="s">
        <v>154</v>
      </c>
      <c r="CP63" s="0" t="s">
        <v>154</v>
      </c>
      <c r="DC63" s="0" t="s">
        <v>154</v>
      </c>
      <c r="DN63" s="0" t="s">
        <v>154</v>
      </c>
      <c r="DX63" s="0" t="s">
        <v>154</v>
      </c>
      <c r="EF63" s="0" t="s">
        <v>154</v>
      </c>
    </row>
    <row r="64" customFormat="false" ht="13.8" hidden="false" customHeight="false" outlineLevel="0" collapsed="false">
      <c r="A64" s="0" t="s">
        <v>518</v>
      </c>
      <c r="B64" s="0" t="n">
        <v>78</v>
      </c>
      <c r="C64" s="0" t="n">
        <v>246962</v>
      </c>
      <c r="D64" s="0" t="s">
        <v>512</v>
      </c>
      <c r="E64" s="0" t="s">
        <v>519</v>
      </c>
      <c r="F64" s="0" t="str">
        <f aca="false">CONCATENATE(D64," ",LEFT(H64,4),"T=",AU64,"D=",AV64,"R=",AW64,"M=",AX64,"L=",AY64,"B=",AZ64)</f>
        <v>KILLEEN T=1D=0R=0M=0L=2B=0</v>
      </c>
      <c r="G64" s="0" t="s">
        <v>241</v>
      </c>
      <c r="I64" s="0" t="s">
        <v>520</v>
      </c>
      <c r="J64" s="0" t="s">
        <v>521</v>
      </c>
      <c r="K64" s="0" t="s">
        <v>175</v>
      </c>
      <c r="M64" s="0" t="s">
        <v>517</v>
      </c>
      <c r="N64" s="0" t="str">
        <f aca="false">RIGHT(M64,LEN(M64)-FIND(" ",M64))</f>
        <v>ATLANTIC ST NE</v>
      </c>
      <c r="P64" s="0" t="s">
        <v>146</v>
      </c>
      <c r="Q64" s="0" t="s">
        <v>147</v>
      </c>
      <c r="R64" s="0" t="n">
        <v>44483</v>
      </c>
      <c r="AD64" s="0" t="s">
        <v>148</v>
      </c>
      <c r="AE64" s="0" t="s">
        <v>149</v>
      </c>
      <c r="AF64" s="0" t="s">
        <v>150</v>
      </c>
      <c r="AH64" s="0" t="n">
        <v>14</v>
      </c>
      <c r="AI64" s="0" t="n">
        <v>11</v>
      </c>
      <c r="AN64" s="0" t="s">
        <v>146</v>
      </c>
      <c r="AO64" s="0" t="s">
        <v>236</v>
      </c>
      <c r="AP64" s="0" t="s">
        <v>237</v>
      </c>
      <c r="AQ64" s="0" t="n">
        <v>9</v>
      </c>
      <c r="AR64" s="0" t="n">
        <v>64</v>
      </c>
      <c r="AS64" s="0" t="n">
        <v>32</v>
      </c>
      <c r="AU64" s="0" t="n">
        <f aca="false">COUNTA($BA$871:$EH$871)</f>
        <v>1</v>
      </c>
      <c r="AV64" s="0" t="n">
        <f aca="false">COUNTIF($BA$871:$EH$871,"D")</f>
        <v>0</v>
      </c>
      <c r="AW64" s="0" t="n">
        <f aca="false">COUNTIF($BA$871:$EH$871,"R")</f>
        <v>0</v>
      </c>
      <c r="AX64" s="0" t="n">
        <f aca="false"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>0</v>
      </c>
      <c r="AY64" s="0" t="n">
        <f aca="false">COUNTIF(DU64:EH64, "&lt;&gt;")</f>
        <v>2</v>
      </c>
      <c r="AZ64" s="0" t="n">
        <f aca="false">IF(EH64&lt;&gt;"",1,0)</f>
        <v>0</v>
      </c>
      <c r="BB64" s="0" t="s">
        <v>153</v>
      </c>
      <c r="BD64" s="0" t="s">
        <v>154</v>
      </c>
      <c r="BF64" s="0" t="s">
        <v>154</v>
      </c>
      <c r="BH64" s="0" t="s">
        <v>154</v>
      </c>
      <c r="BJ64" s="0" t="s">
        <v>154</v>
      </c>
      <c r="BL64" s="0" t="s">
        <v>154</v>
      </c>
      <c r="BP64" s="0" t="s">
        <v>154</v>
      </c>
      <c r="BS64" s="0" t="s">
        <v>154</v>
      </c>
      <c r="BY64" s="0" t="s">
        <v>176</v>
      </c>
      <c r="CA64" s="0" t="s">
        <v>154</v>
      </c>
      <c r="CK64" s="0" t="s">
        <v>154</v>
      </c>
      <c r="CP64" s="0" t="s">
        <v>154</v>
      </c>
      <c r="CY64" s="0" t="s">
        <v>154</v>
      </c>
      <c r="DC64" s="0" t="s">
        <v>154</v>
      </c>
      <c r="DN64" s="0" t="s">
        <v>154</v>
      </c>
      <c r="DX64" s="0" t="s">
        <v>154</v>
      </c>
      <c r="EF64" s="0" t="s">
        <v>154</v>
      </c>
    </row>
    <row r="65" customFormat="false" ht="13.8" hidden="true" customHeight="false" outlineLevel="0" collapsed="false">
      <c r="A65" s="0" t="s">
        <v>522</v>
      </c>
      <c r="B65" s="0" t="n">
        <v>78</v>
      </c>
      <c r="C65" s="0" t="n">
        <v>446610</v>
      </c>
      <c r="D65" s="0" t="s">
        <v>523</v>
      </c>
      <c r="E65" s="0" t="s">
        <v>524</v>
      </c>
      <c r="F65" s="0" t="str">
        <f aca="false">CONCATENATE(D65," ",LEFT(H65,4),"T=",AU65,"D=",AV65,"R=",AW65,"M=",AX65,"L=",AY65,"B=",AZ65)</f>
        <v>HOLLINGSWORTH T=5D=0R=0M=0L=0B=0</v>
      </c>
      <c r="G65" s="0" t="s">
        <v>525</v>
      </c>
      <c r="I65" s="0" t="s">
        <v>526</v>
      </c>
      <c r="J65" s="0" t="s">
        <v>527</v>
      </c>
      <c r="K65" s="0" t="s">
        <v>144</v>
      </c>
      <c r="L65" s="0"/>
      <c r="M65" s="0" t="s">
        <v>528</v>
      </c>
      <c r="N65" s="0" t="str">
        <f aca="false">RIGHT(M65,LEN(M65)-FIND(" ",M65))</f>
        <v>ATLANTIC ST NE</v>
      </c>
      <c r="P65" s="0" t="s">
        <v>146</v>
      </c>
      <c r="Q65" s="0" t="s">
        <v>147</v>
      </c>
      <c r="R65" s="0" t="n">
        <v>44483</v>
      </c>
      <c r="AD65" s="0" t="s">
        <v>148</v>
      </c>
      <c r="AE65" s="0" t="s">
        <v>149</v>
      </c>
      <c r="AF65" s="0" t="s">
        <v>150</v>
      </c>
      <c r="AH65" s="0" t="n">
        <v>14</v>
      </c>
      <c r="AI65" s="0" t="n">
        <v>11</v>
      </c>
      <c r="AN65" s="0" t="s">
        <v>146</v>
      </c>
      <c r="AO65" s="0" t="s">
        <v>236</v>
      </c>
      <c r="AP65" s="0" t="s">
        <v>237</v>
      </c>
      <c r="AQ65" s="0" t="n">
        <v>9</v>
      </c>
      <c r="AR65" s="0" t="n">
        <v>64</v>
      </c>
      <c r="AS65" s="0" t="n">
        <v>32</v>
      </c>
      <c r="AU65" s="0" t="n">
        <f aca="false">COUNTA($BA$956:$EH$956)</f>
        <v>5</v>
      </c>
      <c r="AV65" s="0" t="n">
        <f aca="false">COUNTIF($BA$956:$EH$956,"D")</f>
        <v>0</v>
      </c>
      <c r="AW65" s="0" t="n">
        <f aca="false">COUNTIF($BA$956:$EH$956,"R")</f>
        <v>0</v>
      </c>
      <c r="AX65" s="0" t="n">
        <f aca="false"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>0</v>
      </c>
      <c r="AY65" s="0" t="n">
        <f aca="false">COUNTIF(DU65:EH65, "&lt;&gt;")</f>
        <v>0</v>
      </c>
      <c r="AZ65" s="0" t="n">
        <f aca="false">IF(EH65&lt;&gt;"",1,0)</f>
        <v>0</v>
      </c>
      <c r="BB65" s="0" t="s">
        <v>153</v>
      </c>
    </row>
    <row r="66" customFormat="false" ht="13.8" hidden="false" customHeight="false" outlineLevel="0" collapsed="false">
      <c r="A66" s="0" t="s">
        <v>529</v>
      </c>
      <c r="B66" s="0" t="n">
        <v>78</v>
      </c>
      <c r="C66" s="0" t="n">
        <v>485099</v>
      </c>
      <c r="D66" s="0" t="s">
        <v>530</v>
      </c>
      <c r="E66" s="0" t="s">
        <v>165</v>
      </c>
      <c r="F66" s="0" t="str">
        <f aca="false">CONCATENATE(D66," ",LEFT(H66,4),"T=",AU66,"D=",AV66,"R=",AW66,"M=",AX66,"L=",AY66,"B=",AZ66)</f>
        <v>SAWYERS T=1D=0R=0M=0L=2B=0</v>
      </c>
      <c r="G66" s="0" t="s">
        <v>531</v>
      </c>
      <c r="I66" s="0" t="s">
        <v>532</v>
      </c>
      <c r="J66" s="0" t="s">
        <v>533</v>
      </c>
      <c r="K66" s="0" t="s">
        <v>175</v>
      </c>
      <c r="M66" s="0" t="s">
        <v>534</v>
      </c>
      <c r="N66" s="0" t="str">
        <f aca="false">RIGHT(M66,LEN(M66)-FIND(" ",M66))</f>
        <v>ATLANTIC ST NE</v>
      </c>
      <c r="P66" s="0" t="s">
        <v>146</v>
      </c>
      <c r="Q66" s="0" t="s">
        <v>147</v>
      </c>
      <c r="R66" s="0" t="n">
        <v>44483</v>
      </c>
      <c r="AD66" s="0" t="s">
        <v>148</v>
      </c>
      <c r="AE66" s="0" t="s">
        <v>149</v>
      </c>
      <c r="AF66" s="0" t="s">
        <v>150</v>
      </c>
      <c r="AH66" s="0" t="n">
        <v>14</v>
      </c>
      <c r="AI66" s="0" t="n">
        <v>11</v>
      </c>
      <c r="AN66" s="0" t="s">
        <v>146</v>
      </c>
      <c r="AO66" s="0" t="s">
        <v>236</v>
      </c>
      <c r="AP66" s="0" t="s">
        <v>237</v>
      </c>
      <c r="AQ66" s="0" t="n">
        <v>9</v>
      </c>
      <c r="AR66" s="0" t="n">
        <v>64</v>
      </c>
      <c r="AS66" s="0" t="n">
        <v>32</v>
      </c>
      <c r="AU66" s="0" t="n">
        <f aca="false">COUNTA($BA$86:$EH$86)</f>
        <v>1</v>
      </c>
      <c r="AV66" s="0" t="n">
        <f aca="false">COUNTIF($BA$86:$EH$86,"D")</f>
        <v>0</v>
      </c>
      <c r="AW66" s="0" t="n">
        <f aca="false">COUNTIF($BA$86:$EH$86,"R")</f>
        <v>0</v>
      </c>
      <c r="AX66" s="0" t="n">
        <f aca="false"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>0</v>
      </c>
      <c r="AY66" s="0" t="n">
        <f aca="false">COUNTIF(DU66:EH66, "&lt;&gt;")</f>
        <v>2</v>
      </c>
      <c r="AZ66" s="0" t="n">
        <f aca="false">IF(EH66&lt;&gt;"",1,0)</f>
        <v>0</v>
      </c>
      <c r="BB66" s="0" t="s">
        <v>153</v>
      </c>
      <c r="BC66" s="0" t="s">
        <v>154</v>
      </c>
      <c r="BD66" s="0" t="s">
        <v>154</v>
      </c>
      <c r="BG66" s="0" t="s">
        <v>154</v>
      </c>
      <c r="BH66" s="0" t="s">
        <v>154</v>
      </c>
      <c r="BJ66" s="0" t="s">
        <v>154</v>
      </c>
      <c r="BK66" s="0" t="s">
        <v>154</v>
      </c>
      <c r="BL66" s="0" t="s">
        <v>154</v>
      </c>
      <c r="BP66" s="0" t="s">
        <v>154</v>
      </c>
      <c r="CA66" s="0" t="s">
        <v>154</v>
      </c>
      <c r="CG66" s="0" t="s">
        <v>154</v>
      </c>
      <c r="CK66" s="0" t="s">
        <v>154</v>
      </c>
      <c r="CP66" s="0" t="s">
        <v>154</v>
      </c>
      <c r="CV66" s="0" t="s">
        <v>154</v>
      </c>
      <c r="CY66" s="0" t="s">
        <v>154</v>
      </c>
      <c r="DC66" s="0" t="s">
        <v>154</v>
      </c>
      <c r="DN66" s="0" t="s">
        <v>154</v>
      </c>
      <c r="DU66" s="0" t="s">
        <v>154</v>
      </c>
      <c r="EF66" s="0" t="s">
        <v>154</v>
      </c>
    </row>
    <row r="67" customFormat="false" ht="13.8" hidden="true" customHeight="false" outlineLevel="0" collapsed="false">
      <c r="A67" s="0" t="s">
        <v>535</v>
      </c>
      <c r="B67" s="0" t="n">
        <v>78</v>
      </c>
      <c r="C67" s="0" t="n">
        <v>456668</v>
      </c>
      <c r="D67" s="0" t="s">
        <v>536</v>
      </c>
      <c r="E67" s="0" t="s">
        <v>537</v>
      </c>
      <c r="F67" s="0" t="str">
        <f aca="false">CONCATENATE(D67," ",LEFT(H67,4),"T=",AU67,"D=",AV67,"R=",AW67,"M=",AX67,"L=",AY67,"B=",AZ67)</f>
        <v>SWINSCOE T=2D=0R=0M=0L=0B=0</v>
      </c>
      <c r="G67" s="0" t="s">
        <v>538</v>
      </c>
      <c r="I67" s="0" t="s">
        <v>539</v>
      </c>
      <c r="J67" s="0" t="s">
        <v>540</v>
      </c>
      <c r="K67" s="0" t="s">
        <v>144</v>
      </c>
      <c r="L67" s="0"/>
      <c r="M67" s="0" t="s">
        <v>534</v>
      </c>
      <c r="N67" s="0" t="str">
        <f aca="false">RIGHT(M67,LEN(M67)-FIND(" ",M67))</f>
        <v>ATLANTIC ST NE</v>
      </c>
      <c r="P67" s="0" t="s">
        <v>146</v>
      </c>
      <c r="Q67" s="0" t="s">
        <v>147</v>
      </c>
      <c r="R67" s="0" t="n">
        <v>44483</v>
      </c>
      <c r="AD67" s="0" t="s">
        <v>148</v>
      </c>
      <c r="AE67" s="0" t="s">
        <v>149</v>
      </c>
      <c r="AF67" s="0" t="s">
        <v>150</v>
      </c>
      <c r="AH67" s="0" t="n">
        <v>14</v>
      </c>
      <c r="AI67" s="0" t="n">
        <v>11</v>
      </c>
      <c r="AN67" s="0" t="s">
        <v>146</v>
      </c>
      <c r="AO67" s="0" t="s">
        <v>236</v>
      </c>
      <c r="AP67" s="0" t="s">
        <v>237</v>
      </c>
      <c r="AQ67" s="0" t="n">
        <v>9</v>
      </c>
      <c r="AR67" s="0" t="n">
        <v>64</v>
      </c>
      <c r="AS67" s="0" t="n">
        <v>32</v>
      </c>
      <c r="AU67" s="0" t="n">
        <f aca="false">COUNTA($BA$135:$EH$135)</f>
        <v>2</v>
      </c>
      <c r="AV67" s="0" t="n">
        <f aca="false">COUNTIF($BA$135:$EH$135,"D")</f>
        <v>0</v>
      </c>
      <c r="AW67" s="0" t="n">
        <f aca="false">COUNTIF($BA$135:$EH$135,"R")</f>
        <v>0</v>
      </c>
      <c r="AX67" s="0" t="n">
        <f aca="false"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>0</v>
      </c>
      <c r="AY67" s="0" t="n">
        <f aca="false">COUNTIF(DU67:EH67, "&lt;&gt;")</f>
        <v>0</v>
      </c>
      <c r="AZ67" s="0" t="n">
        <f aca="false">IF(EH67&lt;&gt;"",1,0)</f>
        <v>0</v>
      </c>
      <c r="BB67" s="0" t="s">
        <v>153</v>
      </c>
    </row>
    <row r="68" customFormat="false" ht="13.8" hidden="true" customHeight="false" outlineLevel="0" collapsed="false">
      <c r="A68" s="0" t="s">
        <v>541</v>
      </c>
      <c r="B68" s="0" t="n">
        <v>78</v>
      </c>
      <c r="C68" s="0" t="n">
        <v>396536</v>
      </c>
      <c r="D68" s="0" t="s">
        <v>542</v>
      </c>
      <c r="E68" s="0" t="s">
        <v>296</v>
      </c>
      <c r="F68" s="0" t="str">
        <f aca="false">CONCATENATE(D68," ",LEFT(H68,4),"T=",AU68,"D=",AV68,"R=",AW68,"M=",AX68,"L=",AY68,"B=",AZ68)</f>
        <v>CADENA T=1D=0R=0M=0L=0B=0</v>
      </c>
      <c r="I68" s="0" t="s">
        <v>543</v>
      </c>
      <c r="J68" s="0" t="s">
        <v>342</v>
      </c>
      <c r="K68" s="0" t="s">
        <v>144</v>
      </c>
      <c r="L68" s="0"/>
      <c r="M68" s="0" t="s">
        <v>534</v>
      </c>
      <c r="N68" s="0" t="str">
        <f aca="false">RIGHT(M68,LEN(M68)-FIND(" ",M68))</f>
        <v>ATLANTIC ST NE</v>
      </c>
      <c r="P68" s="0" t="s">
        <v>146</v>
      </c>
      <c r="Q68" s="0" t="s">
        <v>147</v>
      </c>
      <c r="R68" s="0" t="n">
        <v>44483</v>
      </c>
      <c r="AD68" s="0" t="s">
        <v>148</v>
      </c>
      <c r="AE68" s="0" t="s">
        <v>149</v>
      </c>
      <c r="AF68" s="0" t="s">
        <v>150</v>
      </c>
      <c r="AH68" s="0" t="n">
        <v>14</v>
      </c>
      <c r="AI68" s="0" t="n">
        <v>11</v>
      </c>
      <c r="AN68" s="0" t="s">
        <v>146</v>
      </c>
      <c r="AO68" s="0" t="s">
        <v>236</v>
      </c>
      <c r="AP68" s="0" t="s">
        <v>237</v>
      </c>
      <c r="AQ68" s="0" t="n">
        <v>9</v>
      </c>
      <c r="AR68" s="0" t="n">
        <v>64</v>
      </c>
      <c r="AS68" s="0" t="n">
        <v>32</v>
      </c>
      <c r="AU68" s="0" t="n">
        <f aca="false">COUNTA($BA$296:$EH$296)</f>
        <v>1</v>
      </c>
      <c r="AV68" s="0" t="n">
        <f aca="false">COUNTIF($BA$296:$EH$296,"D")</f>
        <v>0</v>
      </c>
      <c r="AW68" s="0" t="n">
        <f aca="false">COUNTIF($BA$296:$EH$296,"R")</f>
        <v>0</v>
      </c>
      <c r="AX68" s="0" t="n">
        <f aca="false"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>0</v>
      </c>
      <c r="AY68" s="0" t="n">
        <f aca="false">COUNTIF(DU68:EH68, "&lt;&gt;")</f>
        <v>0</v>
      </c>
      <c r="AZ68" s="0" t="n">
        <f aca="false">IF(EH68&lt;&gt;"",1,0)</f>
        <v>0</v>
      </c>
      <c r="BB68" s="0" t="s">
        <v>153</v>
      </c>
    </row>
    <row r="69" customFormat="false" ht="13.8" hidden="false" customHeight="false" outlineLevel="0" collapsed="false">
      <c r="A69" s="0" t="s">
        <v>544</v>
      </c>
      <c r="B69" s="0" t="n">
        <v>78</v>
      </c>
      <c r="C69" s="0" t="n">
        <v>390552</v>
      </c>
      <c r="D69" s="0" t="s">
        <v>545</v>
      </c>
      <c r="E69" s="0" t="s">
        <v>546</v>
      </c>
      <c r="F69" s="0" t="str">
        <f aca="false">CONCATENATE(D69," ",LEFT(H69,4),"T=",AU69,"D=",AV69,"R=",AW69,"M=",AX69,"L=",AY69,"B=",AZ69)</f>
        <v>WAGGONER T=2D=0R=0M=0L=3B=0</v>
      </c>
      <c r="G69" s="0" t="s">
        <v>365</v>
      </c>
      <c r="I69" s="0" t="s">
        <v>547</v>
      </c>
      <c r="J69" s="0" t="s">
        <v>504</v>
      </c>
      <c r="K69" s="0" t="s">
        <v>175</v>
      </c>
      <c r="M69" s="0" t="s">
        <v>534</v>
      </c>
      <c r="N69" s="0" t="str">
        <f aca="false">RIGHT(M69,LEN(M69)-FIND(" ",M69))</f>
        <v>ATLANTIC ST NE</v>
      </c>
      <c r="P69" s="0" t="s">
        <v>146</v>
      </c>
      <c r="Q69" s="0" t="s">
        <v>147</v>
      </c>
      <c r="R69" s="0" t="n">
        <v>44483</v>
      </c>
      <c r="AD69" s="0" t="s">
        <v>148</v>
      </c>
      <c r="AE69" s="0" t="s">
        <v>149</v>
      </c>
      <c r="AF69" s="0" t="s">
        <v>150</v>
      </c>
      <c r="AH69" s="0" t="n">
        <v>14</v>
      </c>
      <c r="AI69" s="0" t="n">
        <v>11</v>
      </c>
      <c r="AN69" s="0" t="s">
        <v>146</v>
      </c>
      <c r="AO69" s="0" t="s">
        <v>236</v>
      </c>
      <c r="AP69" s="0" t="s">
        <v>237</v>
      </c>
      <c r="AQ69" s="0" t="n">
        <v>9</v>
      </c>
      <c r="AR69" s="0" t="n">
        <v>64</v>
      </c>
      <c r="AS69" s="0" t="n">
        <v>32</v>
      </c>
      <c r="AU69" s="0" t="n">
        <f aca="false">COUNTA($BA$509:$EH$509)</f>
        <v>2</v>
      </c>
      <c r="AV69" s="0" t="n">
        <f aca="false">COUNTIF($BA$509:$EH$509,"D")</f>
        <v>0</v>
      </c>
      <c r="AW69" s="0" t="n">
        <f aca="false">COUNTIF($BA$509:$EH$509,"R")</f>
        <v>0</v>
      </c>
      <c r="AX69" s="0" t="n">
        <f aca="false"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>0</v>
      </c>
      <c r="AY69" s="0" t="n">
        <f aca="false">COUNTIF(DU69:EH69, "&lt;&gt;")</f>
        <v>3</v>
      </c>
      <c r="AZ69" s="0" t="n">
        <f aca="false">IF(EH69&lt;&gt;"",1,0)</f>
        <v>0</v>
      </c>
      <c r="BB69" s="0" t="s">
        <v>153</v>
      </c>
      <c r="CP69" s="0" t="s">
        <v>154</v>
      </c>
      <c r="CV69" s="0" t="s">
        <v>154</v>
      </c>
      <c r="DC69" s="0" t="s">
        <v>154</v>
      </c>
      <c r="DI69" s="0" t="s">
        <v>154</v>
      </c>
      <c r="DN69" s="0" t="s">
        <v>154</v>
      </c>
      <c r="DU69" s="0" t="s">
        <v>154</v>
      </c>
      <c r="EA69" s="0" t="s">
        <v>154</v>
      </c>
      <c r="EF69" s="0" t="s">
        <v>154</v>
      </c>
    </row>
    <row r="70" customFormat="false" ht="13.8" hidden="true" customHeight="false" outlineLevel="0" collapsed="false">
      <c r="A70" s="0" t="s">
        <v>548</v>
      </c>
      <c r="B70" s="0" t="n">
        <v>78</v>
      </c>
      <c r="C70" s="0" t="n">
        <v>409471</v>
      </c>
      <c r="D70" s="0" t="s">
        <v>542</v>
      </c>
      <c r="E70" s="0" t="s">
        <v>549</v>
      </c>
      <c r="F70" s="0" t="str">
        <f aca="false">CONCATENATE(D70," ",LEFT(H70,4),"T=",AU70,"D=",AV70,"R=",AW70,"M=",AX70,"L=",AY70,"B=",AZ70)</f>
        <v>CADENA T=40D=1R=9M=0L=0B=0</v>
      </c>
      <c r="G70" s="0" t="s">
        <v>166</v>
      </c>
      <c r="I70" s="0" t="s">
        <v>550</v>
      </c>
      <c r="J70" s="0" t="s">
        <v>551</v>
      </c>
      <c r="K70" s="0" t="s">
        <v>144</v>
      </c>
      <c r="L70" s="0"/>
      <c r="M70" s="0" t="s">
        <v>534</v>
      </c>
      <c r="N70" s="0" t="str">
        <f aca="false">RIGHT(M70,LEN(M70)-FIND(" ",M70))</f>
        <v>ATLANTIC ST NE</v>
      </c>
      <c r="P70" s="0" t="s">
        <v>146</v>
      </c>
      <c r="Q70" s="0" t="s">
        <v>147</v>
      </c>
      <c r="R70" s="0" t="n">
        <v>44483</v>
      </c>
      <c r="AD70" s="0" t="s">
        <v>148</v>
      </c>
      <c r="AE70" s="0" t="s">
        <v>149</v>
      </c>
      <c r="AF70" s="0" t="s">
        <v>150</v>
      </c>
      <c r="AH70" s="0" t="n">
        <v>14</v>
      </c>
      <c r="AI70" s="0" t="n">
        <v>11</v>
      </c>
      <c r="AN70" s="0" t="s">
        <v>146</v>
      </c>
      <c r="AO70" s="0" t="s">
        <v>236</v>
      </c>
      <c r="AP70" s="0" t="s">
        <v>237</v>
      </c>
      <c r="AQ70" s="0" t="n">
        <v>9</v>
      </c>
      <c r="AR70" s="0" t="n">
        <v>64</v>
      </c>
      <c r="AS70" s="0" t="n">
        <v>32</v>
      </c>
      <c r="AU70" s="0" t="n">
        <f aca="false">COUNTA($BA$674:$EH$674)</f>
        <v>40</v>
      </c>
      <c r="AV70" s="0" t="n">
        <f aca="false">COUNTIF($BA$674:$EH$674,"D")</f>
        <v>1</v>
      </c>
      <c r="AW70" s="0" t="n">
        <f aca="false">COUNTIF($BA$674:$EH$674,"R")</f>
        <v>9</v>
      </c>
      <c r="AX70" s="0" t="n">
        <f aca="false"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>0</v>
      </c>
      <c r="AY70" s="0" t="n">
        <f aca="false">COUNTIF(DU70:EH70, "&lt;&gt;")</f>
        <v>0</v>
      </c>
      <c r="AZ70" s="0" t="n">
        <f aca="false">IF(EH70&lt;&gt;"",1,0)</f>
        <v>0</v>
      </c>
      <c r="BB70" s="0" t="s">
        <v>153</v>
      </c>
    </row>
    <row r="71" customFormat="false" ht="13.8" hidden="true" customHeight="false" outlineLevel="0" collapsed="false">
      <c r="A71" s="0" t="s">
        <v>552</v>
      </c>
      <c r="B71" s="0" t="n">
        <v>78</v>
      </c>
      <c r="C71" s="0" t="n">
        <v>487286</v>
      </c>
      <c r="D71" s="0" t="s">
        <v>530</v>
      </c>
      <c r="E71" s="0" t="s">
        <v>553</v>
      </c>
      <c r="F71" s="0" t="str">
        <f aca="false">CONCATENATE(D71," ",LEFT(H71,4),"T=",AU71,"D=",AV71,"R=",AW71,"M=",AX71,"L=",AY71,"B=",AZ71)</f>
        <v>SAWYERS T=46D=13R=2M=0L=1B=0</v>
      </c>
      <c r="G71" s="0" t="s">
        <v>365</v>
      </c>
      <c r="I71" s="0" t="s">
        <v>554</v>
      </c>
      <c r="J71" s="0" t="s">
        <v>504</v>
      </c>
      <c r="K71" s="0" t="s">
        <v>175</v>
      </c>
      <c r="L71" s="0"/>
      <c r="M71" s="0" t="s">
        <v>534</v>
      </c>
      <c r="N71" s="0" t="str">
        <f aca="false">RIGHT(M71,LEN(M71)-FIND(" ",M71))</f>
        <v>ATLANTIC ST NE</v>
      </c>
      <c r="P71" s="0" t="s">
        <v>146</v>
      </c>
      <c r="Q71" s="0" t="s">
        <v>147</v>
      </c>
      <c r="R71" s="0" t="n">
        <v>44483</v>
      </c>
      <c r="AD71" s="0" t="s">
        <v>148</v>
      </c>
      <c r="AE71" s="0" t="s">
        <v>149</v>
      </c>
      <c r="AF71" s="0" t="s">
        <v>150</v>
      </c>
      <c r="AH71" s="0" t="n">
        <v>14</v>
      </c>
      <c r="AI71" s="0" t="n">
        <v>11</v>
      </c>
      <c r="AN71" s="0" t="s">
        <v>146</v>
      </c>
      <c r="AO71" s="0" t="s">
        <v>236</v>
      </c>
      <c r="AP71" s="0" t="s">
        <v>237</v>
      </c>
      <c r="AQ71" s="0" t="n">
        <v>9</v>
      </c>
      <c r="AR71" s="0" t="n">
        <v>64</v>
      </c>
      <c r="AS71" s="0" t="n">
        <v>32</v>
      </c>
      <c r="AU71" s="0" t="n">
        <f aca="false">COUNTA($BA$734:$EH$734)</f>
        <v>46</v>
      </c>
      <c r="AV71" s="0" t="n">
        <f aca="false">COUNTIF($BA$734:$EH$734,"D")</f>
        <v>13</v>
      </c>
      <c r="AW71" s="0" t="n">
        <f aca="false">COUNTIF($BA$734:$EH$734,"R")</f>
        <v>2</v>
      </c>
      <c r="AX71" s="0" t="n">
        <f aca="false"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>0</v>
      </c>
      <c r="AY71" s="0" t="n">
        <f aca="false">COUNTIF(DU71:EH71, "&lt;&gt;")</f>
        <v>1</v>
      </c>
      <c r="AZ71" s="0" t="n">
        <f aca="false">IF(EH71&lt;&gt;"",1,0)</f>
        <v>0</v>
      </c>
      <c r="BB71" s="0" t="s">
        <v>153</v>
      </c>
      <c r="CA71" s="0" t="s">
        <v>154</v>
      </c>
      <c r="CG71" s="0" t="s">
        <v>154</v>
      </c>
      <c r="CP71" s="0" t="s">
        <v>154</v>
      </c>
      <c r="CY71" s="0" t="s">
        <v>154</v>
      </c>
      <c r="DC71" s="0" t="s">
        <v>154</v>
      </c>
      <c r="DN71" s="0" t="s">
        <v>154</v>
      </c>
      <c r="EF71" s="0" t="s">
        <v>154</v>
      </c>
    </row>
    <row r="72" customFormat="false" ht="13.8" hidden="true" customHeight="false" outlineLevel="0" collapsed="false">
      <c r="A72" s="0" t="s">
        <v>555</v>
      </c>
      <c r="B72" s="0" t="n">
        <v>78</v>
      </c>
      <c r="C72" s="0" t="n">
        <v>393183</v>
      </c>
      <c r="D72" s="0" t="s">
        <v>556</v>
      </c>
      <c r="E72" s="0" t="s">
        <v>557</v>
      </c>
      <c r="F72" s="0" t="str">
        <f aca="false">CONCATENATE(D72," ",LEFT(H72,4),"T=",AU72,"D=",AV72,"R=",AW72,"M=",AX72,"L=",AY72,"B=",AZ72)</f>
        <v>ROBERSON T=6D=0R=0M=0L=0B=0</v>
      </c>
      <c r="G72" s="0" t="s">
        <v>188</v>
      </c>
      <c r="I72" s="0" t="s">
        <v>558</v>
      </c>
      <c r="J72" s="0" t="s">
        <v>559</v>
      </c>
      <c r="K72" s="0" t="s">
        <v>144</v>
      </c>
      <c r="L72" s="0"/>
      <c r="M72" s="0" t="s">
        <v>534</v>
      </c>
      <c r="N72" s="0" t="str">
        <f aca="false">RIGHT(M72,LEN(M72)-FIND(" ",M72))</f>
        <v>ATLANTIC ST NE</v>
      </c>
      <c r="P72" s="0" t="s">
        <v>146</v>
      </c>
      <c r="Q72" s="0" t="s">
        <v>147</v>
      </c>
      <c r="R72" s="0" t="n">
        <v>44483</v>
      </c>
      <c r="AD72" s="0" t="s">
        <v>148</v>
      </c>
      <c r="AE72" s="0" t="s">
        <v>149</v>
      </c>
      <c r="AF72" s="0" t="s">
        <v>150</v>
      </c>
      <c r="AH72" s="0" t="n">
        <v>14</v>
      </c>
      <c r="AI72" s="0" t="n">
        <v>11</v>
      </c>
      <c r="AN72" s="0" t="s">
        <v>146</v>
      </c>
      <c r="AO72" s="0" t="s">
        <v>236</v>
      </c>
      <c r="AP72" s="0" t="s">
        <v>237</v>
      </c>
      <c r="AQ72" s="0" t="n">
        <v>9</v>
      </c>
      <c r="AR72" s="0" t="n">
        <v>64</v>
      </c>
      <c r="AS72" s="0" t="n">
        <v>32</v>
      </c>
      <c r="AU72" s="0" t="n">
        <f aca="false">COUNTA($BA$755:$EH$755)</f>
        <v>6</v>
      </c>
      <c r="AV72" s="0" t="n">
        <f aca="false">COUNTIF($BA$755:$EH$755,"D")</f>
        <v>0</v>
      </c>
      <c r="AW72" s="0" t="n">
        <f aca="false">COUNTIF($BA$755:$EH$755,"R")</f>
        <v>0</v>
      </c>
      <c r="AX72" s="0" t="n">
        <f aca="false"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>0</v>
      </c>
      <c r="AY72" s="0" t="n">
        <f aca="false">COUNTIF(DU72:EH72, "&lt;&gt;")</f>
        <v>0</v>
      </c>
      <c r="AZ72" s="0" t="n">
        <f aca="false">IF(EH72&lt;&gt;"",1,0)</f>
        <v>0</v>
      </c>
      <c r="BB72" s="0" t="s">
        <v>153</v>
      </c>
    </row>
    <row r="73" customFormat="false" ht="13.8" hidden="true" customHeight="false" outlineLevel="0" collapsed="false">
      <c r="A73" s="0" t="s">
        <v>560</v>
      </c>
      <c r="B73" s="0" t="n">
        <v>78</v>
      </c>
      <c r="C73" s="0" t="n">
        <v>408865</v>
      </c>
      <c r="D73" s="0" t="s">
        <v>561</v>
      </c>
      <c r="E73" s="0" t="s">
        <v>562</v>
      </c>
      <c r="F73" s="0" t="str">
        <f aca="false">CONCATENATE(D73," ",LEFT(H73,4),"T=",AU73,"D=",AV73,"R=",AW73,"M=",AX73,"L=",AY73,"B=",AZ73)</f>
        <v>TANCHUK T=4D=0R=0M=0L=1B=0</v>
      </c>
      <c r="G73" s="0" t="s">
        <v>563</v>
      </c>
      <c r="I73" s="0" t="s">
        <v>564</v>
      </c>
      <c r="J73" s="0" t="s">
        <v>565</v>
      </c>
      <c r="K73" s="0" t="s">
        <v>175</v>
      </c>
      <c r="L73" s="0"/>
      <c r="M73" s="0" t="s">
        <v>566</v>
      </c>
      <c r="N73" s="0" t="str">
        <f aca="false">RIGHT(M73,LEN(M73)-FIND(" ",M73))</f>
        <v>ATLANTIC ST NE</v>
      </c>
      <c r="P73" s="0" t="s">
        <v>146</v>
      </c>
      <c r="Q73" s="0" t="s">
        <v>147</v>
      </c>
      <c r="R73" s="0" t="n">
        <v>44483</v>
      </c>
      <c r="AD73" s="0" t="s">
        <v>148</v>
      </c>
      <c r="AE73" s="0" t="s">
        <v>149</v>
      </c>
      <c r="AF73" s="0" t="s">
        <v>150</v>
      </c>
      <c r="AH73" s="0" t="n">
        <v>14</v>
      </c>
      <c r="AI73" s="0" t="n">
        <v>11</v>
      </c>
      <c r="AN73" s="0" t="s">
        <v>146</v>
      </c>
      <c r="AO73" s="0" t="s">
        <v>236</v>
      </c>
      <c r="AP73" s="0" t="s">
        <v>237</v>
      </c>
      <c r="AQ73" s="0" t="n">
        <v>9</v>
      </c>
      <c r="AR73" s="0" t="n">
        <v>64</v>
      </c>
      <c r="AS73" s="0" t="n">
        <v>32</v>
      </c>
      <c r="AU73" s="0" t="n">
        <f aca="false">COUNTA($BA$27:$EH$27)</f>
        <v>4</v>
      </c>
      <c r="AV73" s="0" t="n">
        <f aca="false">COUNTIF($BA$27:$EH$27,"D")</f>
        <v>0</v>
      </c>
      <c r="AW73" s="0" t="n">
        <f aca="false">COUNTIF($BA$27:$EH$27,"R")</f>
        <v>0</v>
      </c>
      <c r="AX73" s="0" t="n">
        <f aca="false"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>0</v>
      </c>
      <c r="AY73" s="0" t="n">
        <f aca="false">COUNTIF(DU73:EH73, "&lt;&gt;")</f>
        <v>1</v>
      </c>
      <c r="AZ73" s="0" t="n">
        <f aca="false">IF(EH73&lt;&gt;"",1,0)</f>
        <v>0</v>
      </c>
      <c r="BB73" s="0" t="s">
        <v>153</v>
      </c>
      <c r="CY73" s="0" t="s">
        <v>154</v>
      </c>
      <c r="DL73" s="0" t="s">
        <v>154</v>
      </c>
      <c r="DN73" s="0" t="s">
        <v>154</v>
      </c>
      <c r="EF73" s="0" t="s">
        <v>154</v>
      </c>
    </row>
    <row r="74" customFormat="false" ht="13.8" hidden="true" customHeight="false" outlineLevel="0" collapsed="false">
      <c r="A74" s="0" t="s">
        <v>567</v>
      </c>
      <c r="B74" s="0" t="n">
        <v>78</v>
      </c>
      <c r="C74" s="0" t="n">
        <v>457254</v>
      </c>
      <c r="D74" s="0" t="s">
        <v>568</v>
      </c>
      <c r="E74" s="0" t="s">
        <v>569</v>
      </c>
      <c r="F74" s="0" t="str">
        <f aca="false">CONCATENATE(D74," ",LEFT(H74,4),"T=",AU74,"D=",AV74,"R=",AW74,"M=",AX74,"L=",AY74,"B=",AZ74)</f>
        <v>EICHLER T=5D=0R=0M=0L=1B=0</v>
      </c>
      <c r="G74" s="0" t="s">
        <v>563</v>
      </c>
      <c r="I74" s="0" t="s">
        <v>570</v>
      </c>
      <c r="J74" s="0" t="s">
        <v>571</v>
      </c>
      <c r="K74" s="0" t="s">
        <v>175</v>
      </c>
      <c r="L74" s="0"/>
      <c r="M74" s="0" t="s">
        <v>566</v>
      </c>
      <c r="N74" s="0" t="str">
        <f aca="false">RIGHT(M74,LEN(M74)-FIND(" ",M74))</f>
        <v>ATLANTIC ST NE</v>
      </c>
      <c r="P74" s="0" t="s">
        <v>146</v>
      </c>
      <c r="Q74" s="0" t="s">
        <v>147</v>
      </c>
      <c r="R74" s="0" t="n">
        <v>44483</v>
      </c>
      <c r="AD74" s="0" t="s">
        <v>148</v>
      </c>
      <c r="AE74" s="0" t="s">
        <v>149</v>
      </c>
      <c r="AF74" s="0" t="s">
        <v>150</v>
      </c>
      <c r="AH74" s="0" t="n">
        <v>14</v>
      </c>
      <c r="AI74" s="0" t="n">
        <v>11</v>
      </c>
      <c r="AN74" s="0" t="s">
        <v>146</v>
      </c>
      <c r="AO74" s="0" t="s">
        <v>236</v>
      </c>
      <c r="AP74" s="0" t="s">
        <v>237</v>
      </c>
      <c r="AQ74" s="0" t="n">
        <v>9</v>
      </c>
      <c r="AR74" s="0" t="n">
        <v>64</v>
      </c>
      <c r="AS74" s="0" t="n">
        <v>32</v>
      </c>
      <c r="AU74" s="0" t="n">
        <f aca="false">COUNTA($BA$141:$EH$141)</f>
        <v>5</v>
      </c>
      <c r="AV74" s="0" t="n">
        <f aca="false">COUNTIF($BA$141:$EH$141,"D")</f>
        <v>0</v>
      </c>
      <c r="AW74" s="0" t="n">
        <f aca="false">COUNTIF($BA$141:$EH$141,"R")</f>
        <v>0</v>
      </c>
      <c r="AX74" s="0" t="n">
        <f aca="false"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>0</v>
      </c>
      <c r="AY74" s="0" t="n">
        <f aca="false">COUNTIF(DU74:EH74, "&lt;&gt;")</f>
        <v>1</v>
      </c>
      <c r="AZ74" s="0" t="n">
        <f aca="false">IF(EH74&lt;&gt;"",1,0)</f>
        <v>0</v>
      </c>
      <c r="BB74" s="0" t="s">
        <v>153</v>
      </c>
      <c r="EF74" s="0" t="s">
        <v>154</v>
      </c>
    </row>
    <row r="75" customFormat="false" ht="13.8" hidden="true" customHeight="false" outlineLevel="0" collapsed="false">
      <c r="A75" s="0" t="s">
        <v>572</v>
      </c>
      <c r="B75" s="0" t="n">
        <v>78</v>
      </c>
      <c r="C75" s="0" t="n">
        <v>322184</v>
      </c>
      <c r="D75" s="0" t="s">
        <v>573</v>
      </c>
      <c r="E75" s="0" t="s">
        <v>502</v>
      </c>
      <c r="F75" s="0" t="str">
        <f aca="false">CONCATENATE(D75," ",LEFT(H75,4),"T=",AU75,"D=",AV75,"R=",AW75,"M=",AX75,"L=",AY75,"B=",AZ75)</f>
        <v>POSEY T=21D=0R=2M=0L=0B=0</v>
      </c>
      <c r="G75" s="0" t="s">
        <v>365</v>
      </c>
      <c r="I75" s="0" t="s">
        <v>574</v>
      </c>
      <c r="J75" s="0" t="s">
        <v>575</v>
      </c>
      <c r="K75" s="0" t="s">
        <v>144</v>
      </c>
      <c r="L75" s="0"/>
      <c r="M75" s="0" t="s">
        <v>576</v>
      </c>
      <c r="N75" s="0" t="str">
        <f aca="false">RIGHT(M75,LEN(M75)-FIND(" ",M75))</f>
        <v>ATLANTIC ST NE</v>
      </c>
      <c r="P75" s="0" t="s">
        <v>146</v>
      </c>
      <c r="Q75" s="0" t="s">
        <v>147</v>
      </c>
      <c r="R75" s="0" t="n">
        <v>44483</v>
      </c>
      <c r="AD75" s="0" t="s">
        <v>148</v>
      </c>
      <c r="AE75" s="0" t="s">
        <v>149</v>
      </c>
      <c r="AF75" s="0" t="s">
        <v>150</v>
      </c>
      <c r="AH75" s="0" t="n">
        <v>14</v>
      </c>
      <c r="AI75" s="0" t="n">
        <v>11</v>
      </c>
      <c r="AN75" s="0" t="s">
        <v>146</v>
      </c>
      <c r="AO75" s="0" t="s">
        <v>236</v>
      </c>
      <c r="AP75" s="0" t="s">
        <v>237</v>
      </c>
      <c r="AQ75" s="0" t="n">
        <v>9</v>
      </c>
      <c r="AR75" s="0" t="n">
        <v>64</v>
      </c>
      <c r="AS75" s="0" t="n">
        <v>32</v>
      </c>
      <c r="AU75" s="0" t="n">
        <f aca="false">COUNTA($BA$559:$EH$559)</f>
        <v>21</v>
      </c>
      <c r="AV75" s="0" t="n">
        <f aca="false">COUNTIF($BA$559:$EH$559,"D")</f>
        <v>0</v>
      </c>
      <c r="AW75" s="0" t="n">
        <f aca="false">COUNTIF($BA$559:$EH$559,"R")</f>
        <v>2</v>
      </c>
      <c r="AX75" s="0" t="n">
        <f aca="false"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>0</v>
      </c>
      <c r="AY75" s="0" t="n">
        <f aca="false">COUNTIF(DU75:EH75, "&lt;&gt;")</f>
        <v>0</v>
      </c>
      <c r="AZ75" s="0" t="n">
        <f aca="false">IF(EH75&lt;&gt;"",1,0)</f>
        <v>0</v>
      </c>
      <c r="BB75" s="0" t="s">
        <v>153</v>
      </c>
      <c r="CP75" s="0" t="s">
        <v>154</v>
      </c>
      <c r="CT75" s="0" t="s">
        <v>154</v>
      </c>
      <c r="CV75" s="0" t="s">
        <v>154</v>
      </c>
      <c r="CY75" s="0" t="s">
        <v>154</v>
      </c>
      <c r="CZ75" s="0" t="s">
        <v>155</v>
      </c>
      <c r="DN75" s="0" t="s">
        <v>154</v>
      </c>
    </row>
    <row r="76" customFormat="false" ht="13.8" hidden="true" customHeight="false" outlineLevel="0" collapsed="false">
      <c r="A76" s="0" t="s">
        <v>577</v>
      </c>
      <c r="B76" s="0" t="n">
        <v>78</v>
      </c>
      <c r="C76" s="0" t="n">
        <v>490592</v>
      </c>
      <c r="D76" s="0" t="s">
        <v>578</v>
      </c>
      <c r="E76" s="0" t="s">
        <v>277</v>
      </c>
      <c r="F76" s="0" t="str">
        <f aca="false">CONCATENATE(D76," ",LEFT(H76,4),"T=",AU76,"D=",AV76,"R=",AW76,"M=",AX76,"L=",AY76,"B=",AZ76)</f>
        <v>FERRY T=15D=4R=0M=0L=1B=0</v>
      </c>
      <c r="G76" s="0" t="s">
        <v>365</v>
      </c>
      <c r="I76" s="0" t="s">
        <v>579</v>
      </c>
      <c r="J76" s="0" t="s">
        <v>580</v>
      </c>
      <c r="K76" s="0" t="s">
        <v>175</v>
      </c>
      <c r="L76" s="0"/>
      <c r="M76" s="0" t="s">
        <v>581</v>
      </c>
      <c r="N76" s="0" t="str">
        <f aca="false">RIGHT(M76,LEN(M76)-FIND(" ",M76))</f>
        <v>ATLANTIC ST NE</v>
      </c>
      <c r="P76" s="0" t="s">
        <v>146</v>
      </c>
      <c r="Q76" s="0" t="s">
        <v>147</v>
      </c>
      <c r="R76" s="0" t="n">
        <v>44483</v>
      </c>
      <c r="AD76" s="0" t="s">
        <v>148</v>
      </c>
      <c r="AE76" s="0" t="s">
        <v>149</v>
      </c>
      <c r="AF76" s="0" t="s">
        <v>150</v>
      </c>
      <c r="AH76" s="0" t="n">
        <v>14</v>
      </c>
      <c r="AI76" s="0" t="n">
        <v>11</v>
      </c>
      <c r="AN76" s="0" t="s">
        <v>146</v>
      </c>
      <c r="AO76" s="0" t="s">
        <v>236</v>
      </c>
      <c r="AP76" s="0" t="s">
        <v>237</v>
      </c>
      <c r="AQ76" s="0" t="n">
        <v>9</v>
      </c>
      <c r="AR76" s="0" t="n">
        <v>64</v>
      </c>
      <c r="AS76" s="0" t="n">
        <v>32</v>
      </c>
      <c r="AU76" s="0" t="n">
        <f aca="false">COUNTA($BA$209:$EH$209)</f>
        <v>15</v>
      </c>
      <c r="AV76" s="0" t="n">
        <f aca="false">COUNTIF($BA$209:$EH$209,"D")</f>
        <v>4</v>
      </c>
      <c r="AW76" s="0" t="n">
        <f aca="false">COUNTIF($BA$209:$EH$209,"R")</f>
        <v>0</v>
      </c>
      <c r="AX76" s="0" t="n">
        <f aca="false"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>0</v>
      </c>
      <c r="AY76" s="0" t="n">
        <f aca="false">COUNTIF(DU76:EH76, "&lt;&gt;")</f>
        <v>1</v>
      </c>
      <c r="AZ76" s="0" t="n">
        <f aca="false">IF(EH76&lt;&gt;"",1,0)</f>
        <v>0</v>
      </c>
      <c r="BB76" s="0" t="s">
        <v>153</v>
      </c>
      <c r="BC76" s="0" t="s">
        <v>154</v>
      </c>
      <c r="BD76" s="0" t="s">
        <v>154</v>
      </c>
      <c r="BF76" s="0" t="s">
        <v>154</v>
      </c>
      <c r="BH76" s="0" t="s">
        <v>154</v>
      </c>
      <c r="BK76" s="0" t="s">
        <v>154</v>
      </c>
      <c r="BL76" s="0" t="s">
        <v>154</v>
      </c>
      <c r="BP76" s="0" t="s">
        <v>154</v>
      </c>
      <c r="CA76" s="0" t="s">
        <v>154</v>
      </c>
      <c r="CN76" s="0" t="s">
        <v>154</v>
      </c>
      <c r="CP76" s="0" t="s">
        <v>154</v>
      </c>
      <c r="EF76" s="0" t="s">
        <v>154</v>
      </c>
    </row>
    <row r="77" customFormat="false" ht="13.8" hidden="true" customHeight="false" outlineLevel="0" collapsed="false">
      <c r="A77" s="0" t="s">
        <v>582</v>
      </c>
      <c r="B77" s="0" t="n">
        <v>78</v>
      </c>
      <c r="C77" s="0" t="n">
        <v>490621</v>
      </c>
      <c r="D77" s="0" t="s">
        <v>578</v>
      </c>
      <c r="E77" s="0" t="s">
        <v>583</v>
      </c>
      <c r="F77" s="0" t="str">
        <f aca="false">CONCATENATE(D77," ",LEFT(H77,4),"T=",AU77,"D=",AV77,"R=",AW77,"M=",AX77,"L=",AY77,"B=",AZ77)</f>
        <v>FERRY T=4D=0R=1M=0L=1B=0</v>
      </c>
      <c r="G77" s="0" t="s">
        <v>584</v>
      </c>
      <c r="I77" s="0" t="s">
        <v>585</v>
      </c>
      <c r="J77" s="0" t="s">
        <v>586</v>
      </c>
      <c r="K77" s="0" t="s">
        <v>175</v>
      </c>
      <c r="L77" s="0"/>
      <c r="M77" s="0" t="s">
        <v>581</v>
      </c>
      <c r="N77" s="0" t="str">
        <f aca="false">RIGHT(M77,LEN(M77)-FIND(" ",M77))</f>
        <v>ATLANTIC ST NE</v>
      </c>
      <c r="P77" s="0" t="s">
        <v>146</v>
      </c>
      <c r="Q77" s="0" t="s">
        <v>147</v>
      </c>
      <c r="R77" s="0" t="n">
        <v>44483</v>
      </c>
      <c r="AD77" s="0" t="s">
        <v>148</v>
      </c>
      <c r="AE77" s="0" t="s">
        <v>149</v>
      </c>
      <c r="AF77" s="0" t="s">
        <v>150</v>
      </c>
      <c r="AH77" s="0" t="n">
        <v>14</v>
      </c>
      <c r="AI77" s="0" t="n">
        <v>11</v>
      </c>
      <c r="AN77" s="0" t="s">
        <v>146</v>
      </c>
      <c r="AO77" s="0" t="s">
        <v>236</v>
      </c>
      <c r="AP77" s="0" t="s">
        <v>237</v>
      </c>
      <c r="AQ77" s="0" t="n">
        <v>9</v>
      </c>
      <c r="AR77" s="0" t="n">
        <v>64</v>
      </c>
      <c r="AS77" s="0" t="n">
        <v>32</v>
      </c>
      <c r="AU77" s="0" t="n">
        <f aca="false">COUNTA($BA$614:$EH$614)</f>
        <v>4</v>
      </c>
      <c r="AV77" s="0" t="n">
        <f aca="false">COUNTIF($BA$614:$EH$614,"D")</f>
        <v>0</v>
      </c>
      <c r="AW77" s="0" t="n">
        <f aca="false">COUNTIF($BA$614:$EH$614,"R")</f>
        <v>1</v>
      </c>
      <c r="AX77" s="0" t="n">
        <f aca="false"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>0</v>
      </c>
      <c r="AY77" s="0" t="n">
        <f aca="false">COUNTIF(DU77:EH77, "&lt;&gt;")</f>
        <v>1</v>
      </c>
      <c r="AZ77" s="0" t="n">
        <f aca="false">IF(EH77&lt;&gt;"",1,0)</f>
        <v>0</v>
      </c>
      <c r="BB77" s="0" t="s">
        <v>153</v>
      </c>
      <c r="BD77" s="0" t="s">
        <v>154</v>
      </c>
      <c r="BF77" s="0" t="s">
        <v>154</v>
      </c>
      <c r="BG77" s="0" t="s">
        <v>154</v>
      </c>
      <c r="BH77" s="0" t="s">
        <v>154</v>
      </c>
      <c r="BJ77" s="0" t="s">
        <v>154</v>
      </c>
      <c r="BK77" s="0" t="s">
        <v>154</v>
      </c>
      <c r="BL77" s="0" t="s">
        <v>154</v>
      </c>
      <c r="EF77" s="0" t="s">
        <v>154</v>
      </c>
    </row>
    <row r="78" customFormat="false" ht="13.8" hidden="false" customHeight="false" outlineLevel="0" collapsed="false">
      <c r="A78" s="0" t="s">
        <v>587</v>
      </c>
      <c r="B78" s="0" t="n">
        <v>78</v>
      </c>
      <c r="C78" s="0" t="n">
        <v>372541</v>
      </c>
      <c r="D78" s="0" t="s">
        <v>588</v>
      </c>
      <c r="E78" s="0" t="s">
        <v>589</v>
      </c>
      <c r="F78" s="0" t="str">
        <f aca="false">CONCATENATE(D78," ",LEFT(H78,4),"T=",AU78,"D=",AV78,"R=",AW78,"M=",AX78,"L=",AY78,"B=",AZ78)</f>
        <v>KASCSAK T=1D=0R=0M=0L=2B=0</v>
      </c>
      <c r="G78" s="0" t="s">
        <v>590</v>
      </c>
      <c r="I78" s="0" t="s">
        <v>591</v>
      </c>
      <c r="J78" s="0" t="s">
        <v>592</v>
      </c>
      <c r="K78" s="0" t="s">
        <v>175</v>
      </c>
      <c r="M78" s="0" t="s">
        <v>593</v>
      </c>
      <c r="N78" s="0" t="str">
        <f aca="false">RIGHT(M78,LEN(M78)-FIND(" ",M78))</f>
        <v>ATLANTIC ST NE</v>
      </c>
      <c r="P78" s="0" t="s">
        <v>146</v>
      </c>
      <c r="Q78" s="0" t="s">
        <v>147</v>
      </c>
      <c r="R78" s="0" t="n">
        <v>44483</v>
      </c>
      <c r="AD78" s="0" t="s">
        <v>148</v>
      </c>
      <c r="AE78" s="0" t="s">
        <v>149</v>
      </c>
      <c r="AF78" s="0" t="s">
        <v>150</v>
      </c>
      <c r="AH78" s="0" t="n">
        <v>14</v>
      </c>
      <c r="AI78" s="0" t="n">
        <v>11</v>
      </c>
      <c r="AN78" s="0" t="s">
        <v>146</v>
      </c>
      <c r="AO78" s="0" t="s">
        <v>236</v>
      </c>
      <c r="AP78" s="0" t="s">
        <v>237</v>
      </c>
      <c r="AQ78" s="0" t="n">
        <v>9</v>
      </c>
      <c r="AR78" s="0" t="n">
        <v>64</v>
      </c>
      <c r="AS78" s="0" t="n">
        <v>32</v>
      </c>
      <c r="AU78" s="0" t="n">
        <f aca="false">COUNTA($BA$136:$EH$136)</f>
        <v>1</v>
      </c>
      <c r="AV78" s="0" t="n">
        <f aca="false">COUNTIF($BA$136:$EH$136,"D")</f>
        <v>0</v>
      </c>
      <c r="AW78" s="0" t="n">
        <f aca="false">COUNTIF($BA$136:$EH$136,"R")</f>
        <v>0</v>
      </c>
      <c r="AX78" s="0" t="n">
        <f aca="false"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>0</v>
      </c>
      <c r="AY78" s="0" t="n">
        <f aca="false">COUNTIF(DU78:EH78, "&lt;&gt;")</f>
        <v>2</v>
      </c>
      <c r="AZ78" s="0" t="n">
        <f aca="false">IF(EH78&lt;&gt;"",1,0)</f>
        <v>0</v>
      </c>
      <c r="BB78" s="0" t="s">
        <v>153</v>
      </c>
      <c r="CN78" s="0" t="s">
        <v>154</v>
      </c>
      <c r="DN78" s="0" t="s">
        <v>154</v>
      </c>
      <c r="DU78" s="0" t="s">
        <v>154</v>
      </c>
      <c r="EF78" s="0" t="s">
        <v>154</v>
      </c>
    </row>
    <row r="79" customFormat="false" ht="13.8" hidden="true" customHeight="false" outlineLevel="0" collapsed="false">
      <c r="A79" s="0" t="s">
        <v>594</v>
      </c>
      <c r="B79" s="0" t="n">
        <v>78</v>
      </c>
      <c r="C79" s="0" t="n">
        <v>439508</v>
      </c>
      <c r="D79" s="0" t="s">
        <v>595</v>
      </c>
      <c r="E79" s="0" t="s">
        <v>596</v>
      </c>
      <c r="F79" s="0" t="str">
        <f aca="false">CONCATENATE(D79," ",LEFT(H79,4),"T=",AU79,"D=",AV79,"R=",AW79,"M=",AX79,"L=",AY79,"B=",AZ79)</f>
        <v>TALLEY IIT=3D=0R=0M=0L=0B=0</v>
      </c>
      <c r="G79" s="0" t="s">
        <v>597</v>
      </c>
      <c r="H79" s="0" t="s">
        <v>598</v>
      </c>
      <c r="I79" s="0" t="s">
        <v>599</v>
      </c>
      <c r="J79" s="0" t="s">
        <v>600</v>
      </c>
      <c r="K79" s="0" t="s">
        <v>175</v>
      </c>
      <c r="L79" s="0"/>
      <c r="M79" s="0" t="s">
        <v>601</v>
      </c>
      <c r="N79" s="0" t="str">
        <f aca="false">RIGHT(M79,LEN(M79)-FIND(" ",M79))</f>
        <v>ATLANTIC ST NE</v>
      </c>
      <c r="P79" s="0" t="s">
        <v>146</v>
      </c>
      <c r="Q79" s="0" t="s">
        <v>147</v>
      </c>
      <c r="R79" s="0" t="n">
        <v>44483</v>
      </c>
      <c r="AD79" s="0" t="s">
        <v>148</v>
      </c>
      <c r="AE79" s="0" t="s">
        <v>149</v>
      </c>
      <c r="AF79" s="0" t="s">
        <v>150</v>
      </c>
      <c r="AH79" s="0" t="n">
        <v>14</v>
      </c>
      <c r="AI79" s="0" t="n">
        <v>11</v>
      </c>
      <c r="AN79" s="0" t="s">
        <v>146</v>
      </c>
      <c r="AO79" s="0" t="s">
        <v>236</v>
      </c>
      <c r="AP79" s="0" t="s">
        <v>237</v>
      </c>
      <c r="AQ79" s="0" t="n">
        <v>9</v>
      </c>
      <c r="AR79" s="0" t="n">
        <v>64</v>
      </c>
      <c r="AS79" s="0" t="n">
        <v>32</v>
      </c>
      <c r="AU79" s="0" t="n">
        <f aca="false">COUNTA($BA$246:$EH$246)</f>
        <v>3</v>
      </c>
      <c r="AV79" s="0" t="n">
        <f aca="false">COUNTIF($BA$246:$EH$246,"D")</f>
        <v>0</v>
      </c>
      <c r="AW79" s="0" t="n">
        <f aca="false">COUNTIF($BA$246:$EH$246,"R")</f>
        <v>0</v>
      </c>
      <c r="AX79" s="0" t="n">
        <f aca="false"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>0</v>
      </c>
      <c r="AY79" s="0" t="n">
        <f aca="false">COUNTIF(DU79:EH79, "&lt;&gt;")</f>
        <v>0</v>
      </c>
      <c r="AZ79" s="0" t="n">
        <f aca="false">IF(EH79&lt;&gt;"",1,0)</f>
        <v>0</v>
      </c>
      <c r="BB79" s="0" t="s">
        <v>153</v>
      </c>
    </row>
    <row r="80" customFormat="false" ht="13.8" hidden="true" customHeight="false" outlineLevel="0" collapsed="false">
      <c r="A80" s="0" t="s">
        <v>602</v>
      </c>
      <c r="B80" s="0" t="n">
        <v>78</v>
      </c>
      <c r="C80" s="0" t="n">
        <v>309608</v>
      </c>
      <c r="D80" s="0" t="s">
        <v>603</v>
      </c>
      <c r="E80" s="0" t="s">
        <v>604</v>
      </c>
      <c r="F80" s="0" t="str">
        <f aca="false">CONCATENATE(D80," ",LEFT(H80,4),"T=",AU80,"D=",AV80,"R=",AW80,"M=",AX80,"L=",AY80,"B=",AZ80)</f>
        <v>MCCORKLE T=5D=0R=0M=1L=1B=0</v>
      </c>
      <c r="I80" s="0" t="s">
        <v>605</v>
      </c>
      <c r="J80" s="0" t="s">
        <v>606</v>
      </c>
      <c r="K80" s="0" t="s">
        <v>175</v>
      </c>
      <c r="L80" s="0"/>
      <c r="M80" s="0" t="s">
        <v>601</v>
      </c>
      <c r="N80" s="0" t="str">
        <f aca="false">RIGHT(M80,LEN(M80)-FIND(" ",M80))</f>
        <v>ATLANTIC ST NE</v>
      </c>
      <c r="P80" s="0" t="s">
        <v>146</v>
      </c>
      <c r="Q80" s="0" t="s">
        <v>147</v>
      </c>
      <c r="R80" s="0" t="n">
        <v>44483</v>
      </c>
      <c r="AD80" s="0" t="s">
        <v>148</v>
      </c>
      <c r="AE80" s="0" t="s">
        <v>149</v>
      </c>
      <c r="AF80" s="0" t="s">
        <v>150</v>
      </c>
      <c r="AH80" s="0" t="n">
        <v>14</v>
      </c>
      <c r="AI80" s="0" t="n">
        <v>11</v>
      </c>
      <c r="AN80" s="0" t="s">
        <v>146</v>
      </c>
      <c r="AO80" s="0" t="s">
        <v>236</v>
      </c>
      <c r="AP80" s="0" t="s">
        <v>237</v>
      </c>
      <c r="AQ80" s="0" t="n">
        <v>9</v>
      </c>
      <c r="AR80" s="0" t="n">
        <v>64</v>
      </c>
      <c r="AS80" s="0" t="n">
        <v>32</v>
      </c>
      <c r="AU80" s="0" t="n">
        <f aca="false">COUNTA($BA$1019:$EH$1019)</f>
        <v>5</v>
      </c>
      <c r="AV80" s="0" t="n">
        <f aca="false">COUNTIF($BA$1019:$EH$1019,"D")</f>
        <v>0</v>
      </c>
      <c r="AW80" s="0" t="n">
        <f aca="false">COUNTIF($BA$1019:$EH$1019,"R")</f>
        <v>0</v>
      </c>
      <c r="AX80" s="0" t="n">
        <f aca="false"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>1</v>
      </c>
      <c r="AY80" s="0" t="n">
        <f aca="false">COUNTIF(DU80:EH80, "&lt;&gt;")</f>
        <v>1</v>
      </c>
      <c r="AZ80" s="0" t="n">
        <f aca="false">IF(EH80&lt;&gt;"",1,0)</f>
        <v>0</v>
      </c>
      <c r="BB80" s="0" t="s">
        <v>153</v>
      </c>
      <c r="BY80" s="0" t="s">
        <v>155</v>
      </c>
      <c r="CA80" s="0" t="s">
        <v>154</v>
      </c>
      <c r="CK80" s="0" t="s">
        <v>154</v>
      </c>
      <c r="CL80" s="0" t="s">
        <v>155</v>
      </c>
      <c r="CP80" s="0" t="s">
        <v>154</v>
      </c>
      <c r="CY80" s="0" t="s">
        <v>154</v>
      </c>
      <c r="CZ80" s="0" t="s">
        <v>155</v>
      </c>
      <c r="DC80" s="0" t="s">
        <v>154</v>
      </c>
      <c r="DI80" s="0" t="s">
        <v>154</v>
      </c>
      <c r="DN80" s="0" t="s">
        <v>154</v>
      </c>
      <c r="EF80" s="0" t="s">
        <v>154</v>
      </c>
    </row>
    <row r="81" customFormat="false" ht="13.8" hidden="true" customHeight="false" outlineLevel="0" collapsed="false">
      <c r="A81" s="0" t="s">
        <v>607</v>
      </c>
      <c r="B81" s="0" t="n">
        <v>78</v>
      </c>
      <c r="C81" s="0" t="n">
        <v>457607</v>
      </c>
      <c r="D81" s="0" t="s">
        <v>608</v>
      </c>
      <c r="E81" s="0" t="s">
        <v>609</v>
      </c>
      <c r="F81" s="0" t="str">
        <f aca="false">CONCATENATE(D81," ",LEFT(H81,4),"T=",AU81,"D=",AV81,"R=",AW81,"M=",AX81,"L=",AY81,"B=",AZ81)</f>
        <v>COBB T=1D=0R=0M=0L=0B=0</v>
      </c>
      <c r="G81" s="0" t="s">
        <v>376</v>
      </c>
      <c r="I81" s="0" t="s">
        <v>610</v>
      </c>
      <c r="J81" s="0" t="s">
        <v>611</v>
      </c>
      <c r="K81" s="0" t="s">
        <v>175</v>
      </c>
      <c r="L81" s="0"/>
      <c r="M81" s="0" t="s">
        <v>612</v>
      </c>
      <c r="N81" s="0" t="str">
        <f aca="false">RIGHT(M81,LEN(M81)-FIND(" ",M81))</f>
        <v>ATLANTIC ST NE</v>
      </c>
      <c r="P81" s="0" t="s">
        <v>146</v>
      </c>
      <c r="Q81" s="0" t="s">
        <v>147</v>
      </c>
      <c r="R81" s="0" t="n">
        <v>44483</v>
      </c>
      <c r="AD81" s="0" t="s">
        <v>148</v>
      </c>
      <c r="AE81" s="0" t="s">
        <v>149</v>
      </c>
      <c r="AF81" s="0" t="s">
        <v>150</v>
      </c>
      <c r="AH81" s="0" t="n">
        <v>14</v>
      </c>
      <c r="AI81" s="0" t="n">
        <v>11</v>
      </c>
      <c r="AN81" s="0" t="s">
        <v>146</v>
      </c>
      <c r="AO81" s="0" t="s">
        <v>236</v>
      </c>
      <c r="AP81" s="0" t="s">
        <v>237</v>
      </c>
      <c r="AQ81" s="0" t="n">
        <v>9</v>
      </c>
      <c r="AR81" s="0" t="n">
        <v>64</v>
      </c>
      <c r="AS81" s="0" t="n">
        <v>32</v>
      </c>
      <c r="AU81" s="0" t="n">
        <f aca="false">COUNTA($BA$176:$EH$176)</f>
        <v>1</v>
      </c>
      <c r="AV81" s="0" t="n">
        <f aca="false">COUNTIF($BA$176:$EH$176,"D")</f>
        <v>0</v>
      </c>
      <c r="AW81" s="0" t="n">
        <f aca="false">COUNTIF($BA$176:$EH$176,"R")</f>
        <v>0</v>
      </c>
      <c r="AX81" s="0" t="n">
        <f aca="false"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>0</v>
      </c>
      <c r="AY81" s="0" t="n">
        <f aca="false">COUNTIF(DU81:EH81, "&lt;&gt;")</f>
        <v>0</v>
      </c>
      <c r="AZ81" s="0" t="n">
        <f aca="false">IF(EH81&lt;&gt;"",1,0)</f>
        <v>0</v>
      </c>
      <c r="BB81" s="0" t="s">
        <v>153</v>
      </c>
    </row>
    <row r="82" customFormat="false" ht="13.8" hidden="true" customHeight="false" outlineLevel="0" collapsed="false">
      <c r="A82" s="0" t="s">
        <v>613</v>
      </c>
      <c r="B82" s="0" t="n">
        <v>78</v>
      </c>
      <c r="C82" s="0" t="n">
        <v>444185</v>
      </c>
      <c r="D82" s="0" t="s">
        <v>614</v>
      </c>
      <c r="E82" s="0" t="s">
        <v>615</v>
      </c>
      <c r="F82" s="0" t="str">
        <f aca="false">CONCATENATE(D82," ",LEFT(H82,4),"T=",AU82,"D=",AV82,"R=",AW82,"M=",AX82,"L=",AY82,"B=",AZ82)</f>
        <v>LOWE T=3D=0R=0M=0L=0B=0</v>
      </c>
      <c r="G82" s="0" t="s">
        <v>172</v>
      </c>
      <c r="I82" s="0" t="s">
        <v>616</v>
      </c>
      <c r="J82" s="0" t="s">
        <v>617</v>
      </c>
      <c r="K82" s="0" t="s">
        <v>144</v>
      </c>
      <c r="L82" s="0"/>
      <c r="M82" s="0" t="s">
        <v>612</v>
      </c>
      <c r="N82" s="0" t="str">
        <f aca="false">RIGHT(M82,LEN(M82)-FIND(" ",M82))</f>
        <v>ATLANTIC ST NE</v>
      </c>
      <c r="P82" s="0" t="s">
        <v>146</v>
      </c>
      <c r="Q82" s="0" t="s">
        <v>147</v>
      </c>
      <c r="R82" s="0" t="n">
        <v>44483</v>
      </c>
      <c r="AD82" s="0" t="s">
        <v>148</v>
      </c>
      <c r="AE82" s="0" t="s">
        <v>149</v>
      </c>
      <c r="AF82" s="0" t="s">
        <v>150</v>
      </c>
      <c r="AH82" s="0" t="n">
        <v>14</v>
      </c>
      <c r="AI82" s="0" t="n">
        <v>11</v>
      </c>
      <c r="AN82" s="0" t="s">
        <v>146</v>
      </c>
      <c r="AO82" s="0" t="s">
        <v>236</v>
      </c>
      <c r="AP82" s="0" t="s">
        <v>237</v>
      </c>
      <c r="AQ82" s="0" t="n">
        <v>9</v>
      </c>
      <c r="AR82" s="0" t="n">
        <v>64</v>
      </c>
      <c r="AS82" s="0" t="n">
        <v>32</v>
      </c>
      <c r="AU82" s="0" t="n">
        <f aca="false">COUNTA($BA$703:$EH$703)</f>
        <v>3</v>
      </c>
      <c r="AV82" s="0" t="n">
        <f aca="false">COUNTIF($BA$703:$EH$703,"D")</f>
        <v>0</v>
      </c>
      <c r="AW82" s="0" t="n">
        <f aca="false">COUNTIF($BA$703:$EH$703,"R")</f>
        <v>0</v>
      </c>
      <c r="AX82" s="0" t="n">
        <f aca="false"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>0</v>
      </c>
      <c r="AY82" s="0" t="n">
        <f aca="false">COUNTIF(DU82:EH82, "&lt;&gt;")</f>
        <v>0</v>
      </c>
      <c r="AZ82" s="0" t="n">
        <f aca="false">IF(EH82&lt;&gt;"",1,0)</f>
        <v>0</v>
      </c>
      <c r="BB82" s="0" t="s">
        <v>153</v>
      </c>
    </row>
    <row r="83" customFormat="false" ht="13.8" hidden="false" customHeight="false" outlineLevel="0" collapsed="false">
      <c r="A83" s="0" t="s">
        <v>618</v>
      </c>
      <c r="B83" s="0" t="n">
        <v>78</v>
      </c>
      <c r="C83" s="0" t="n">
        <v>427344</v>
      </c>
      <c r="D83" s="0" t="s">
        <v>513</v>
      </c>
      <c r="E83" s="0" t="s">
        <v>619</v>
      </c>
      <c r="F83" s="0" t="str">
        <f aca="false">CONCATENATE(D83," ",LEFT(H83,4),"T=",AU83,"D=",AV83,"R=",AW83,"M=",AX83,"L=",AY83,"B=",AZ83)</f>
        <v>PATRICK T=50D=24R=0M=0L=3B=0</v>
      </c>
      <c r="G83" s="0" t="s">
        <v>283</v>
      </c>
      <c r="I83" s="0" t="s">
        <v>620</v>
      </c>
      <c r="J83" s="0" t="s">
        <v>621</v>
      </c>
      <c r="K83" s="0" t="s">
        <v>175</v>
      </c>
      <c r="M83" s="0" t="s">
        <v>622</v>
      </c>
      <c r="N83" s="0" t="str">
        <f aca="false">RIGHT(M83,LEN(M83)-FIND(" ",M83))</f>
        <v>ATLANTIC ST NE</v>
      </c>
      <c r="P83" s="0" t="s">
        <v>146</v>
      </c>
      <c r="Q83" s="0" t="s">
        <v>147</v>
      </c>
      <c r="R83" s="0" t="n">
        <v>44483</v>
      </c>
      <c r="AD83" s="0" t="s">
        <v>148</v>
      </c>
      <c r="AE83" s="0" t="s">
        <v>149</v>
      </c>
      <c r="AF83" s="0" t="s">
        <v>150</v>
      </c>
      <c r="AH83" s="0" t="n">
        <v>14</v>
      </c>
      <c r="AI83" s="0" t="n">
        <v>11</v>
      </c>
      <c r="AN83" s="0" t="s">
        <v>146</v>
      </c>
      <c r="AO83" s="0" t="s">
        <v>236</v>
      </c>
      <c r="AP83" s="0" t="s">
        <v>237</v>
      </c>
      <c r="AQ83" s="0" t="n">
        <v>9</v>
      </c>
      <c r="AR83" s="0" t="n">
        <v>64</v>
      </c>
      <c r="AS83" s="0" t="n">
        <v>32</v>
      </c>
      <c r="AU83" s="0" t="n">
        <f aca="false">COUNTA($BA$712:$EH$712)</f>
        <v>50</v>
      </c>
      <c r="AV83" s="0" t="n">
        <f aca="false">COUNTIF($BA$712:$EH$712,"D")</f>
        <v>24</v>
      </c>
      <c r="AW83" s="0" t="n">
        <f aca="false">COUNTIF($BA$712:$EH$712,"R")</f>
        <v>0</v>
      </c>
      <c r="AX83" s="0" t="n">
        <f aca="false"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>0</v>
      </c>
      <c r="AY83" s="0" t="n">
        <f aca="false">COUNTIF(DU83:EH83, "&lt;&gt;")</f>
        <v>3</v>
      </c>
      <c r="AZ83" s="0" t="n">
        <f aca="false">IF(EH83&lt;&gt;"",1,0)</f>
        <v>0</v>
      </c>
      <c r="BB83" s="0" t="s">
        <v>153</v>
      </c>
      <c r="DI83" s="0" t="s">
        <v>154</v>
      </c>
      <c r="DU83" s="0" t="s">
        <v>154</v>
      </c>
      <c r="EA83" s="0" t="s">
        <v>154</v>
      </c>
      <c r="EF83" s="0" t="s">
        <v>154</v>
      </c>
    </row>
    <row r="84" customFormat="false" ht="13.8" hidden="true" customHeight="false" outlineLevel="0" collapsed="false">
      <c r="A84" s="0" t="s">
        <v>623</v>
      </c>
      <c r="B84" s="0" t="n">
        <v>78</v>
      </c>
      <c r="C84" s="0" t="n">
        <v>352067</v>
      </c>
      <c r="D84" s="0" t="s">
        <v>513</v>
      </c>
      <c r="E84" s="0" t="s">
        <v>624</v>
      </c>
      <c r="F84" s="0" t="str">
        <f aca="false">CONCATENATE(D84," ",LEFT(H84,4),"T=",AU84,"D=",AV84,"R=",AW84,"M=",AX84,"L=",AY84,"B=",AZ84)</f>
        <v>PATRICK T=2D=1R=0M=0L=0B=0</v>
      </c>
      <c r="G84" s="0" t="s">
        <v>297</v>
      </c>
      <c r="I84" s="0" t="s">
        <v>625</v>
      </c>
      <c r="J84" s="0" t="s">
        <v>626</v>
      </c>
      <c r="K84" s="0" t="s">
        <v>144</v>
      </c>
      <c r="L84" s="0"/>
      <c r="M84" s="0" t="s">
        <v>622</v>
      </c>
      <c r="N84" s="0" t="str">
        <f aca="false">RIGHT(M84,LEN(M84)-FIND(" ",M84))</f>
        <v>ATLANTIC ST NE</v>
      </c>
      <c r="P84" s="0" t="s">
        <v>146</v>
      </c>
      <c r="Q84" s="0" t="s">
        <v>147</v>
      </c>
      <c r="R84" s="0" t="n">
        <v>44483</v>
      </c>
      <c r="AD84" s="0" t="s">
        <v>148</v>
      </c>
      <c r="AE84" s="0" t="s">
        <v>149</v>
      </c>
      <c r="AF84" s="0" t="s">
        <v>150</v>
      </c>
      <c r="AH84" s="0" t="n">
        <v>14</v>
      </c>
      <c r="AI84" s="0" t="n">
        <v>11</v>
      </c>
      <c r="AN84" s="0" t="s">
        <v>146</v>
      </c>
      <c r="AO84" s="0" t="s">
        <v>236</v>
      </c>
      <c r="AP84" s="0" t="s">
        <v>237</v>
      </c>
      <c r="AQ84" s="0" t="n">
        <v>9</v>
      </c>
      <c r="AR84" s="0" t="n">
        <v>64</v>
      </c>
      <c r="AS84" s="0" t="n">
        <v>32</v>
      </c>
      <c r="AU84" s="0" t="n">
        <f aca="false">COUNTA($BA$802:$EH$802)</f>
        <v>2</v>
      </c>
      <c r="AV84" s="0" t="n">
        <f aca="false">COUNTIF($BA$802:$EH$802,"D")</f>
        <v>1</v>
      </c>
      <c r="AW84" s="0" t="n">
        <f aca="false">COUNTIF($BA$802:$EH$802,"R")</f>
        <v>0</v>
      </c>
      <c r="AX84" s="0" t="n">
        <f aca="false"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>0</v>
      </c>
      <c r="AY84" s="0" t="n">
        <f aca="false">COUNTIF(DU84:EH84, "&lt;&gt;")</f>
        <v>0</v>
      </c>
      <c r="AZ84" s="0" t="n">
        <f aca="false">IF(EH84&lt;&gt;"",1,0)</f>
        <v>0</v>
      </c>
      <c r="BB84" s="0" t="s">
        <v>153</v>
      </c>
      <c r="BY84" s="0" t="s">
        <v>176</v>
      </c>
      <c r="CA84" s="0" t="s">
        <v>154</v>
      </c>
      <c r="CY84" s="0" t="s">
        <v>154</v>
      </c>
      <c r="CZ84" s="0" t="s">
        <v>155</v>
      </c>
      <c r="DI84" s="0" t="s">
        <v>154</v>
      </c>
      <c r="DN84" s="0" t="s">
        <v>154</v>
      </c>
    </row>
    <row r="85" customFormat="false" ht="13.8" hidden="false" customHeight="false" outlineLevel="0" collapsed="false">
      <c r="A85" s="0" t="s">
        <v>627</v>
      </c>
      <c r="B85" s="0" t="n">
        <v>78</v>
      </c>
      <c r="C85" s="0" t="n">
        <v>339831</v>
      </c>
      <c r="D85" s="0" t="s">
        <v>628</v>
      </c>
      <c r="E85" s="0" t="s">
        <v>629</v>
      </c>
      <c r="F85" s="0" t="str">
        <f aca="false">CONCATENATE(D85," ",LEFT(H85,4),"T=",AU85,"D=",AV85,"R=",AW85,"M=",AX85,"L=",AY85,"B=",AZ85)</f>
        <v>SALTZMANN T=4D=0R=0M=0L=4B=0</v>
      </c>
      <c r="G85" s="0" t="s">
        <v>297</v>
      </c>
      <c r="I85" s="0" t="s">
        <v>630</v>
      </c>
      <c r="J85" s="0" t="s">
        <v>631</v>
      </c>
      <c r="K85" s="0" t="s">
        <v>175</v>
      </c>
      <c r="M85" s="0" t="s">
        <v>622</v>
      </c>
      <c r="N85" s="0" t="str">
        <f aca="false">RIGHT(M85,LEN(M85)-FIND(" ",M85))</f>
        <v>ATLANTIC ST NE</v>
      </c>
      <c r="P85" s="0" t="s">
        <v>146</v>
      </c>
      <c r="Q85" s="0" t="s">
        <v>147</v>
      </c>
      <c r="R85" s="0" t="n">
        <v>44483</v>
      </c>
      <c r="AD85" s="0" t="s">
        <v>148</v>
      </c>
      <c r="AE85" s="0" t="s">
        <v>149</v>
      </c>
      <c r="AF85" s="0" t="s">
        <v>150</v>
      </c>
      <c r="AH85" s="0" t="n">
        <v>14</v>
      </c>
      <c r="AI85" s="0" t="n">
        <v>11</v>
      </c>
      <c r="AN85" s="0" t="s">
        <v>146</v>
      </c>
      <c r="AO85" s="0" t="s">
        <v>236</v>
      </c>
      <c r="AP85" s="0" t="s">
        <v>237</v>
      </c>
      <c r="AQ85" s="0" t="n">
        <v>9</v>
      </c>
      <c r="AR85" s="0" t="n">
        <v>64</v>
      </c>
      <c r="AS85" s="0" t="n">
        <v>32</v>
      </c>
      <c r="AU85" s="0" t="n">
        <f aca="false">COUNTA($BA$875:$EH$875)</f>
        <v>4</v>
      </c>
      <c r="AV85" s="0" t="n">
        <f aca="false">COUNTIF($BA$875:$EH$875,"D")</f>
        <v>0</v>
      </c>
      <c r="AW85" s="0" t="n">
        <f aca="false">COUNTIF($BA$875:$EH$875,"R")</f>
        <v>0</v>
      </c>
      <c r="AX85" s="0" t="n">
        <f aca="false"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>0</v>
      </c>
      <c r="AY85" s="0" t="n">
        <f aca="false">COUNTIF(DU85:EH85, "&lt;&gt;")</f>
        <v>4</v>
      </c>
      <c r="AZ85" s="0" t="n">
        <f aca="false">IF(EH85&lt;&gt;"",1,0)</f>
        <v>0</v>
      </c>
      <c r="BB85" s="0" t="s">
        <v>153</v>
      </c>
      <c r="BS85" s="0" t="s">
        <v>154</v>
      </c>
      <c r="BV85" s="0" t="s">
        <v>154</v>
      </c>
      <c r="BY85" s="0" t="s">
        <v>176</v>
      </c>
      <c r="CA85" s="0" t="s">
        <v>154</v>
      </c>
      <c r="CP85" s="0" t="s">
        <v>154</v>
      </c>
      <c r="CZ85" s="0" t="s">
        <v>155</v>
      </c>
      <c r="DC85" s="0" t="s">
        <v>154</v>
      </c>
      <c r="DI85" s="0" t="s">
        <v>154</v>
      </c>
      <c r="DU85" s="0" t="s">
        <v>154</v>
      </c>
      <c r="DX85" s="0" t="s">
        <v>154</v>
      </c>
      <c r="EA85" s="0" t="s">
        <v>154</v>
      </c>
      <c r="EF85" s="0" t="s">
        <v>154</v>
      </c>
    </row>
    <row r="86" customFormat="false" ht="13.8" hidden="true" customHeight="false" outlineLevel="0" collapsed="false">
      <c r="A86" s="0" t="s">
        <v>632</v>
      </c>
      <c r="B86" s="0" t="n">
        <v>78</v>
      </c>
      <c r="C86" s="0" t="n">
        <v>419284</v>
      </c>
      <c r="D86" s="0" t="s">
        <v>633</v>
      </c>
      <c r="E86" s="0" t="s">
        <v>194</v>
      </c>
      <c r="F86" s="0" t="str">
        <f aca="false">CONCATENATE(D86," ",LEFT(H86,4),"T=",AU86,"D=",AV86,"R=",AW86,"M=",AX86,"L=",AY86,"B=",AZ86)</f>
        <v>WALKER T=1D=0R=0M=0L=0B=0</v>
      </c>
      <c r="G86" s="0" t="s">
        <v>634</v>
      </c>
      <c r="I86" s="0" t="s">
        <v>635</v>
      </c>
      <c r="J86" s="0" t="s">
        <v>636</v>
      </c>
      <c r="K86" s="0" t="s">
        <v>144</v>
      </c>
      <c r="L86" s="0"/>
      <c r="M86" s="0" t="s">
        <v>637</v>
      </c>
      <c r="N86" s="0" t="str">
        <f aca="false">RIGHT(M86,LEN(M86)-FIND(" ",M86))</f>
        <v>ATLANTIC ST NE</v>
      </c>
      <c r="P86" s="0" t="s">
        <v>146</v>
      </c>
      <c r="Q86" s="0" t="s">
        <v>147</v>
      </c>
      <c r="R86" s="0" t="n">
        <v>44483</v>
      </c>
      <c r="AD86" s="0" t="s">
        <v>148</v>
      </c>
      <c r="AE86" s="0" t="s">
        <v>149</v>
      </c>
      <c r="AF86" s="0" t="s">
        <v>150</v>
      </c>
      <c r="AH86" s="0" t="n">
        <v>14</v>
      </c>
      <c r="AI86" s="0" t="n">
        <v>11</v>
      </c>
      <c r="AN86" s="0" t="s">
        <v>146</v>
      </c>
      <c r="AO86" s="0" t="s">
        <v>236</v>
      </c>
      <c r="AP86" s="0" t="s">
        <v>237</v>
      </c>
      <c r="AQ86" s="0" t="n">
        <v>9</v>
      </c>
      <c r="AR86" s="0" t="n">
        <v>64</v>
      </c>
      <c r="AS86" s="0" t="n">
        <v>32</v>
      </c>
      <c r="AU86" s="0" t="n">
        <f aca="false">COUNTA($BA$944:$EH$944)</f>
        <v>1</v>
      </c>
      <c r="AV86" s="0" t="n">
        <f aca="false">COUNTIF($BA$944:$EH$944,"D")</f>
        <v>0</v>
      </c>
      <c r="AW86" s="0" t="n">
        <f aca="false">COUNTIF($BA$944:$EH$944,"R")</f>
        <v>0</v>
      </c>
      <c r="AX86" s="0" t="n">
        <f aca="false"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>0</v>
      </c>
      <c r="AY86" s="0" t="n">
        <f aca="false">COUNTIF(DU86:EH86, "&lt;&gt;")</f>
        <v>0</v>
      </c>
      <c r="AZ86" s="0" t="n">
        <f aca="false">IF(EH86&lt;&gt;"",1,0)</f>
        <v>0</v>
      </c>
      <c r="BB86" s="0" t="s">
        <v>153</v>
      </c>
    </row>
    <row r="87" customFormat="false" ht="13.8" hidden="true" customHeight="false" outlineLevel="0" collapsed="false">
      <c r="A87" s="0" t="s">
        <v>638</v>
      </c>
      <c r="B87" s="0" t="n">
        <v>78</v>
      </c>
      <c r="C87" s="0" t="n">
        <v>489905</v>
      </c>
      <c r="D87" s="0" t="s">
        <v>639</v>
      </c>
      <c r="E87" s="0" t="s">
        <v>429</v>
      </c>
      <c r="F87" s="0" t="str">
        <f aca="false">CONCATENATE(D87," ",LEFT(H87,4),"T=",AU87,"D=",AV87,"R=",AW87,"M=",AX87,"L=",AY87,"B=",AZ87)</f>
        <v>FOWLER T=36D=10R=0M=0L=0B=0</v>
      </c>
      <c r="G87" s="0" t="s">
        <v>640</v>
      </c>
      <c r="I87" s="0" t="s">
        <v>641</v>
      </c>
      <c r="J87" s="0" t="s">
        <v>642</v>
      </c>
      <c r="K87" s="0" t="s">
        <v>175</v>
      </c>
      <c r="L87" s="0"/>
      <c r="M87" s="0" t="s">
        <v>643</v>
      </c>
      <c r="N87" s="0" t="str">
        <f aca="false">RIGHT(M87,LEN(M87)-FIND(" ",M87))</f>
        <v>ATLANTIC ST NE</v>
      </c>
      <c r="P87" s="0" t="s">
        <v>146</v>
      </c>
      <c r="Q87" s="0" t="s">
        <v>147</v>
      </c>
      <c r="R87" s="0" t="n">
        <v>44483</v>
      </c>
      <c r="AD87" s="0" t="s">
        <v>148</v>
      </c>
      <c r="AE87" s="0" t="s">
        <v>149</v>
      </c>
      <c r="AF87" s="0" t="s">
        <v>150</v>
      </c>
      <c r="AH87" s="0" t="n">
        <v>14</v>
      </c>
      <c r="AI87" s="0" t="n">
        <v>11</v>
      </c>
      <c r="AN87" s="0" t="s">
        <v>146</v>
      </c>
      <c r="AO87" s="0" t="s">
        <v>236</v>
      </c>
      <c r="AP87" s="0" t="s">
        <v>237</v>
      </c>
      <c r="AQ87" s="0" t="n">
        <v>9</v>
      </c>
      <c r="AR87" s="0" t="n">
        <v>64</v>
      </c>
      <c r="AS87" s="0" t="n">
        <v>32</v>
      </c>
      <c r="AU87" s="0" t="n">
        <f aca="false">COUNTA($BA$836:$EH$836)</f>
        <v>36</v>
      </c>
      <c r="AV87" s="0" t="n">
        <f aca="false">COUNTIF($BA$836:$EH$836,"D")</f>
        <v>10</v>
      </c>
      <c r="AW87" s="0" t="n">
        <f aca="false">COUNTIF($BA$836:$EH$836,"R")</f>
        <v>0</v>
      </c>
      <c r="AX87" s="0" t="n">
        <f aca="false"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>0</v>
      </c>
      <c r="AY87" s="0" t="n">
        <f aca="false">COUNTIF(DU87:EH87, "&lt;&gt;")</f>
        <v>0</v>
      </c>
      <c r="AZ87" s="0" t="n">
        <f aca="false">IF(EH87&lt;&gt;"",1,0)</f>
        <v>0</v>
      </c>
      <c r="BB87" s="0" t="s">
        <v>153</v>
      </c>
    </row>
    <row r="88" customFormat="false" ht="13.8" hidden="true" customHeight="false" outlineLevel="0" collapsed="false">
      <c r="A88" s="0" t="s">
        <v>644</v>
      </c>
      <c r="B88" s="0" t="n">
        <v>78</v>
      </c>
      <c r="C88" s="0" t="n">
        <v>485290</v>
      </c>
      <c r="D88" s="0" t="s">
        <v>645</v>
      </c>
      <c r="E88" s="0" t="s">
        <v>646</v>
      </c>
      <c r="F88" s="0" t="str">
        <f aca="false">CONCATENATE(D88," ",LEFT(H88,4),"T=",AU88,"D=",AV88,"R=",AW88,"M=",AX88,"L=",AY88,"B=",AZ88)</f>
        <v>WILLIAMS T=44D=1R=10M=0L=0B=0</v>
      </c>
      <c r="G88" s="0" t="s">
        <v>647</v>
      </c>
      <c r="I88" s="0" t="s">
        <v>648</v>
      </c>
      <c r="J88" s="0" t="s">
        <v>649</v>
      </c>
      <c r="K88" s="0" t="s">
        <v>175</v>
      </c>
      <c r="L88" s="0"/>
      <c r="M88" s="0" t="s">
        <v>650</v>
      </c>
      <c r="N88" s="0" t="str">
        <f aca="false">RIGHT(M88,LEN(M88)-FIND(" ",M88))</f>
        <v>ATLANTIC ST NE</v>
      </c>
      <c r="P88" s="0" t="s">
        <v>146</v>
      </c>
      <c r="Q88" s="0" t="s">
        <v>147</v>
      </c>
      <c r="R88" s="0" t="n">
        <v>44483</v>
      </c>
      <c r="AD88" s="0" t="s">
        <v>148</v>
      </c>
      <c r="AE88" s="0" t="s">
        <v>149</v>
      </c>
      <c r="AF88" s="0" t="s">
        <v>150</v>
      </c>
      <c r="AH88" s="0" t="n">
        <v>14</v>
      </c>
      <c r="AI88" s="0" t="n">
        <v>11</v>
      </c>
      <c r="AN88" s="0" t="s">
        <v>146</v>
      </c>
      <c r="AO88" s="0" t="s">
        <v>236</v>
      </c>
      <c r="AP88" s="0" t="s">
        <v>237</v>
      </c>
      <c r="AQ88" s="0" t="n">
        <v>9</v>
      </c>
      <c r="AR88" s="0" t="n">
        <v>64</v>
      </c>
      <c r="AS88" s="0" t="n">
        <v>32</v>
      </c>
      <c r="AU88" s="0" t="n">
        <f aca="false">COUNTA($BA$344:$EH$344)</f>
        <v>44</v>
      </c>
      <c r="AV88" s="0" t="n">
        <f aca="false">COUNTIF($BA$344:$EH$344,"D")</f>
        <v>1</v>
      </c>
      <c r="AW88" s="0" t="n">
        <f aca="false">COUNTIF($BA$344:$EH$344,"R")</f>
        <v>10</v>
      </c>
      <c r="AX88" s="0" t="n">
        <f aca="false"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>0</v>
      </c>
      <c r="AY88" s="0" t="n">
        <f aca="false">COUNTIF(DU88:EH88, "&lt;&gt;")</f>
        <v>0</v>
      </c>
      <c r="AZ88" s="0" t="n">
        <f aca="false">IF(EH88&lt;&gt;"",1,0)</f>
        <v>0</v>
      </c>
      <c r="BB88" s="0" t="s">
        <v>153</v>
      </c>
    </row>
    <row r="89" customFormat="false" ht="13.8" hidden="false" customHeight="false" outlineLevel="0" collapsed="false">
      <c r="A89" s="0" t="s">
        <v>651</v>
      </c>
      <c r="B89" s="0" t="n">
        <v>78</v>
      </c>
      <c r="C89" s="0" t="n">
        <v>437481</v>
      </c>
      <c r="D89" s="0" t="s">
        <v>645</v>
      </c>
      <c r="E89" s="0" t="s">
        <v>139</v>
      </c>
      <c r="F89" s="0" t="str">
        <f aca="false">CONCATENATE(D89," ",LEFT(H89,4),"T=",AU89,"D=",AV89,"R=",AW89,"M=",AX89,"L=",AY89,"B=",AZ89)</f>
        <v>WILLIAMS T=3D=0R=0M=0L=2B=0</v>
      </c>
      <c r="G89" s="0" t="s">
        <v>652</v>
      </c>
      <c r="I89" s="0" t="s">
        <v>653</v>
      </c>
      <c r="J89" s="0" t="s">
        <v>654</v>
      </c>
      <c r="K89" s="0" t="s">
        <v>175</v>
      </c>
      <c r="M89" s="0" t="s">
        <v>650</v>
      </c>
      <c r="N89" s="0" t="str">
        <f aca="false">RIGHT(M89,LEN(M89)-FIND(" ",M89))</f>
        <v>ATLANTIC ST NE</v>
      </c>
      <c r="P89" s="0" t="s">
        <v>146</v>
      </c>
      <c r="Q89" s="0" t="s">
        <v>147</v>
      </c>
      <c r="R89" s="0" t="n">
        <v>44483</v>
      </c>
      <c r="AD89" s="0" t="s">
        <v>148</v>
      </c>
      <c r="AE89" s="0" t="s">
        <v>149</v>
      </c>
      <c r="AF89" s="0" t="s">
        <v>150</v>
      </c>
      <c r="AH89" s="0" t="n">
        <v>14</v>
      </c>
      <c r="AI89" s="0" t="n">
        <v>11</v>
      </c>
      <c r="AN89" s="0" t="s">
        <v>146</v>
      </c>
      <c r="AO89" s="0" t="s">
        <v>236</v>
      </c>
      <c r="AP89" s="0" t="s">
        <v>237</v>
      </c>
      <c r="AQ89" s="0" t="n">
        <v>9</v>
      </c>
      <c r="AR89" s="0" t="n">
        <v>64</v>
      </c>
      <c r="AS89" s="0" t="n">
        <v>32</v>
      </c>
      <c r="AU89" s="0" t="n">
        <f aca="false">COUNTA($BA$657:$EH$657)</f>
        <v>3</v>
      </c>
      <c r="AV89" s="0" t="n">
        <f aca="false">COUNTIF($BA$657:$EH$657,"D")</f>
        <v>0</v>
      </c>
      <c r="AW89" s="0" t="n">
        <f aca="false">COUNTIF($BA$657:$EH$657,"R")</f>
        <v>0</v>
      </c>
      <c r="AX89" s="0" t="n">
        <f aca="false"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>0</v>
      </c>
      <c r="AY89" s="0" t="n">
        <f aca="false">COUNTIF(DU89:EH89, "&lt;&gt;")</f>
        <v>2</v>
      </c>
      <c r="AZ89" s="0" t="n">
        <f aca="false">IF(EH89&lt;&gt;"",1,0)</f>
        <v>0</v>
      </c>
      <c r="BB89" s="0" t="s">
        <v>153</v>
      </c>
      <c r="DN89" s="0" t="s">
        <v>154</v>
      </c>
      <c r="EA89" s="0" t="s">
        <v>154</v>
      </c>
      <c r="EF89" s="0" t="s">
        <v>154</v>
      </c>
    </row>
    <row r="90" customFormat="false" ht="13.8" hidden="true" customHeight="false" outlineLevel="0" collapsed="false">
      <c r="A90" s="0" t="s">
        <v>655</v>
      </c>
      <c r="B90" s="0" t="n">
        <v>78</v>
      </c>
      <c r="C90" s="0" t="n">
        <v>458495</v>
      </c>
      <c r="D90" s="0" t="s">
        <v>645</v>
      </c>
      <c r="E90" s="0" t="s">
        <v>254</v>
      </c>
      <c r="F90" s="0" t="str">
        <f aca="false">CONCATENATE(D90," ",LEFT(H90,4),"T=",AU90,"D=",AV90,"R=",AW90,"M=",AX90,"L=",AY90,"B=",AZ90)</f>
        <v>WILLIAMS T=1D=0R=0M=0L=0B=0</v>
      </c>
      <c r="G90" s="0" t="s">
        <v>656</v>
      </c>
      <c r="I90" s="0" t="s">
        <v>657</v>
      </c>
      <c r="J90" s="0" t="s">
        <v>658</v>
      </c>
      <c r="K90" s="0" t="s">
        <v>144</v>
      </c>
      <c r="L90" s="0"/>
      <c r="M90" s="0" t="s">
        <v>650</v>
      </c>
      <c r="N90" s="0" t="str">
        <f aca="false">RIGHT(M90,LEN(M90)-FIND(" ",M90))</f>
        <v>ATLANTIC ST NE</v>
      </c>
      <c r="P90" s="0" t="s">
        <v>146</v>
      </c>
      <c r="Q90" s="0" t="s">
        <v>147</v>
      </c>
      <c r="R90" s="0" t="n">
        <v>44483</v>
      </c>
      <c r="AD90" s="0" t="s">
        <v>148</v>
      </c>
      <c r="AE90" s="0" t="s">
        <v>149</v>
      </c>
      <c r="AF90" s="0" t="s">
        <v>150</v>
      </c>
      <c r="AH90" s="0" t="n">
        <v>14</v>
      </c>
      <c r="AI90" s="0" t="n">
        <v>11</v>
      </c>
      <c r="AN90" s="0" t="s">
        <v>146</v>
      </c>
      <c r="AO90" s="0" t="s">
        <v>236</v>
      </c>
      <c r="AP90" s="0" t="s">
        <v>237</v>
      </c>
      <c r="AQ90" s="0" t="n">
        <v>9</v>
      </c>
      <c r="AR90" s="0" t="n">
        <v>64</v>
      </c>
      <c r="AS90" s="0" t="n">
        <v>32</v>
      </c>
      <c r="AU90" s="0" t="n">
        <f aca="false">COUNTA($BA$966:$EH$966)</f>
        <v>1</v>
      </c>
      <c r="AV90" s="0" t="n">
        <f aca="false">COUNTIF($BA$966:$EH$966,"D")</f>
        <v>0</v>
      </c>
      <c r="AW90" s="0" t="n">
        <f aca="false">COUNTIF($BA$966:$EH$966,"R")</f>
        <v>0</v>
      </c>
      <c r="AX90" s="0" t="n">
        <f aca="false"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>0</v>
      </c>
      <c r="AY90" s="0" t="n">
        <f aca="false">COUNTIF(DU90:EH90, "&lt;&gt;")</f>
        <v>0</v>
      </c>
      <c r="AZ90" s="0" t="n">
        <f aca="false">IF(EH90&lt;&gt;"",1,0)</f>
        <v>0</v>
      </c>
      <c r="BB90" s="0" t="s">
        <v>153</v>
      </c>
    </row>
    <row r="91" customFormat="false" ht="13.8" hidden="true" customHeight="false" outlineLevel="0" collapsed="false">
      <c r="A91" s="0" t="s">
        <v>659</v>
      </c>
      <c r="B91" s="0" t="n">
        <v>78</v>
      </c>
      <c r="C91" s="0" t="n">
        <v>478222</v>
      </c>
      <c r="D91" s="0" t="s">
        <v>645</v>
      </c>
      <c r="E91" s="0" t="s">
        <v>660</v>
      </c>
      <c r="F91" s="0" t="str">
        <f aca="false">CONCATENATE(D91," ",LEFT(H91,4),"T=",AU91,"D=",AV91,"R=",AW91,"M=",AX91,"L=",AY91,"B=",AZ91)</f>
        <v>WILLIAMS T=1D=0R=0M=0L=0B=0</v>
      </c>
      <c r="G91" s="0" t="s">
        <v>661</v>
      </c>
      <c r="I91" s="0" t="s">
        <v>662</v>
      </c>
      <c r="J91" s="0" t="s">
        <v>378</v>
      </c>
      <c r="K91" s="0" t="s">
        <v>175</v>
      </c>
      <c r="L91" s="0"/>
      <c r="M91" s="0" t="s">
        <v>650</v>
      </c>
      <c r="N91" s="0" t="str">
        <f aca="false">RIGHT(M91,LEN(M91)-FIND(" ",M91))</f>
        <v>ATLANTIC ST NE</v>
      </c>
      <c r="P91" s="0" t="s">
        <v>146</v>
      </c>
      <c r="Q91" s="0" t="s">
        <v>147</v>
      </c>
      <c r="R91" s="0" t="n">
        <v>44483</v>
      </c>
      <c r="S91" s="0" t="n">
        <v>3809</v>
      </c>
      <c r="AD91" s="0" t="s">
        <v>148</v>
      </c>
      <c r="AE91" s="0" t="s">
        <v>149</v>
      </c>
      <c r="AF91" s="0" t="s">
        <v>150</v>
      </c>
      <c r="AH91" s="0" t="n">
        <v>14</v>
      </c>
      <c r="AI91" s="0" t="n">
        <v>11</v>
      </c>
      <c r="AN91" s="0" t="s">
        <v>146</v>
      </c>
      <c r="AO91" s="0" t="s">
        <v>236</v>
      </c>
      <c r="AP91" s="0" t="s">
        <v>237</v>
      </c>
      <c r="AQ91" s="0" t="n">
        <v>9</v>
      </c>
      <c r="AR91" s="0" t="n">
        <v>64</v>
      </c>
      <c r="AS91" s="0" t="n">
        <v>32</v>
      </c>
      <c r="AU91" s="0" t="n">
        <f aca="false">COUNTA($BA$975:$EH$975)</f>
        <v>1</v>
      </c>
      <c r="AV91" s="0" t="n">
        <f aca="false">COUNTIF($BA$975:$EH$975,"D")</f>
        <v>0</v>
      </c>
      <c r="AW91" s="0" t="n">
        <f aca="false">COUNTIF($BA$975:$EH$975,"R")</f>
        <v>0</v>
      </c>
      <c r="AX91" s="0" t="n">
        <f aca="false"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>0</v>
      </c>
      <c r="AY91" s="0" t="n">
        <f aca="false">COUNTIF(DU91:EH91, "&lt;&gt;")</f>
        <v>0</v>
      </c>
      <c r="AZ91" s="0" t="n">
        <f aca="false">IF(EH91&lt;&gt;"",1,0)</f>
        <v>0</v>
      </c>
      <c r="BB91" s="0" t="s">
        <v>153</v>
      </c>
    </row>
    <row r="92" customFormat="false" ht="13.8" hidden="false" customHeight="false" outlineLevel="0" collapsed="false">
      <c r="A92" s="0" t="s">
        <v>663</v>
      </c>
      <c r="B92" s="0" t="n">
        <v>78</v>
      </c>
      <c r="C92" s="0" t="n">
        <v>347130</v>
      </c>
      <c r="D92" s="0" t="s">
        <v>664</v>
      </c>
      <c r="E92" s="0" t="s">
        <v>158</v>
      </c>
      <c r="F92" s="0" t="str">
        <f aca="false">CONCATENATE(D92," ",LEFT(H92,4),"T=",AU92,"D=",AV92,"R=",AW92,"M=",AX92,"L=",AY92,"B=",AZ92)</f>
        <v>RAY T=48D=22R=0M=0L=2B=0</v>
      </c>
      <c r="G92" s="0" t="s">
        <v>172</v>
      </c>
      <c r="I92" s="0" t="s">
        <v>665</v>
      </c>
      <c r="J92" s="0" t="s">
        <v>666</v>
      </c>
      <c r="K92" s="0" t="s">
        <v>175</v>
      </c>
      <c r="M92" s="0" t="s">
        <v>667</v>
      </c>
      <c r="N92" s="0" t="str">
        <f aca="false">RIGHT(M92,LEN(M92)-FIND(" ",M92))</f>
        <v>ATLANTIC ST NE</v>
      </c>
      <c r="P92" s="0" t="s">
        <v>146</v>
      </c>
      <c r="Q92" s="0" t="s">
        <v>147</v>
      </c>
      <c r="R92" s="0" t="n">
        <v>44483</v>
      </c>
      <c r="AD92" s="0" t="s">
        <v>148</v>
      </c>
      <c r="AE92" s="0" t="s">
        <v>149</v>
      </c>
      <c r="AF92" s="0" t="s">
        <v>150</v>
      </c>
      <c r="AH92" s="0" t="n">
        <v>14</v>
      </c>
      <c r="AI92" s="0" t="n">
        <v>11</v>
      </c>
      <c r="AN92" s="0" t="s">
        <v>146</v>
      </c>
      <c r="AO92" s="0" t="s">
        <v>236</v>
      </c>
      <c r="AP92" s="0" t="s">
        <v>237</v>
      </c>
      <c r="AQ92" s="0" t="n">
        <v>9</v>
      </c>
      <c r="AR92" s="0" t="n">
        <v>64</v>
      </c>
      <c r="AS92" s="0" t="n">
        <v>32</v>
      </c>
      <c r="AU92" s="0" t="n">
        <f aca="false">COUNTA($BA$573:$EH$573)</f>
        <v>48</v>
      </c>
      <c r="AV92" s="0" t="n">
        <f aca="false">COUNTIF($BA$573:$EH$573,"D")</f>
        <v>22</v>
      </c>
      <c r="AW92" s="0" t="n">
        <f aca="false">COUNTIF($BA$573:$EH$573,"R")</f>
        <v>0</v>
      </c>
      <c r="AX92" s="0" t="n">
        <f aca="false"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>0</v>
      </c>
      <c r="AY92" s="0" t="n">
        <f aca="false">COUNTIF(DU92:EH92, "&lt;&gt;")</f>
        <v>2</v>
      </c>
      <c r="AZ92" s="0" t="n">
        <f aca="false">IF(EH92&lt;&gt;"",1,0)</f>
        <v>0</v>
      </c>
      <c r="BB92" s="0" t="s">
        <v>153</v>
      </c>
      <c r="BS92" s="0" t="s">
        <v>154</v>
      </c>
      <c r="BY92" s="0" t="s">
        <v>155</v>
      </c>
      <c r="CA92" s="0" t="s">
        <v>154</v>
      </c>
      <c r="CG92" s="0" t="s">
        <v>154</v>
      </c>
      <c r="CK92" s="0" t="s">
        <v>154</v>
      </c>
      <c r="CP92" s="0" t="s">
        <v>154</v>
      </c>
      <c r="DC92" s="0" t="s">
        <v>154</v>
      </c>
      <c r="DN92" s="0" t="s">
        <v>154</v>
      </c>
      <c r="EA92" s="0" t="s">
        <v>154</v>
      </c>
      <c r="EF92" s="0" t="s">
        <v>154</v>
      </c>
    </row>
    <row r="93" customFormat="false" ht="13.8" hidden="true" customHeight="false" outlineLevel="0" collapsed="false">
      <c r="A93" s="0" t="s">
        <v>668</v>
      </c>
      <c r="B93" s="0" t="n">
        <v>78</v>
      </c>
      <c r="C93" s="0" t="n">
        <v>435312</v>
      </c>
      <c r="D93" s="0" t="s">
        <v>669</v>
      </c>
      <c r="E93" s="0" t="s">
        <v>670</v>
      </c>
      <c r="F93" s="0" t="str">
        <f aca="false">CONCATENATE(D93," ",LEFT(H93,4),"T=",AU93,"D=",AV93,"R=",AW93,"M=",AX93,"L=",AY93,"B=",AZ93)</f>
        <v>SKINNER T=7D=1R=0M=0L=1B=0</v>
      </c>
      <c r="G93" s="0" t="s">
        <v>202</v>
      </c>
      <c r="I93" s="0" t="s">
        <v>671</v>
      </c>
      <c r="J93" s="0" t="s">
        <v>672</v>
      </c>
      <c r="K93" s="0" t="s">
        <v>175</v>
      </c>
      <c r="L93" s="0"/>
      <c r="M93" s="0" t="s">
        <v>673</v>
      </c>
      <c r="N93" s="0" t="str">
        <f aca="false">RIGHT(M93,LEN(M93)-FIND(" ",M93))</f>
        <v>ATLANTIC ST NE</v>
      </c>
      <c r="P93" s="0" t="s">
        <v>146</v>
      </c>
      <c r="Q93" s="0" t="s">
        <v>147</v>
      </c>
      <c r="R93" s="0" t="n">
        <v>44483</v>
      </c>
      <c r="AD93" s="0" t="s">
        <v>148</v>
      </c>
      <c r="AE93" s="0" t="s">
        <v>149</v>
      </c>
      <c r="AF93" s="0" t="s">
        <v>150</v>
      </c>
      <c r="AH93" s="0" t="n">
        <v>14</v>
      </c>
      <c r="AI93" s="0" t="n">
        <v>11</v>
      </c>
      <c r="AN93" s="0" t="s">
        <v>146</v>
      </c>
      <c r="AO93" s="0" t="s">
        <v>236</v>
      </c>
      <c r="AP93" s="0" t="s">
        <v>237</v>
      </c>
      <c r="AQ93" s="0" t="n">
        <v>9</v>
      </c>
      <c r="AR93" s="0" t="n">
        <v>64</v>
      </c>
      <c r="AS93" s="0" t="n">
        <v>32</v>
      </c>
      <c r="AU93" s="0" t="n">
        <f aca="false">COUNTA($BA$649:$EH$649)</f>
        <v>7</v>
      </c>
      <c r="AV93" s="0" t="n">
        <f aca="false">COUNTIF($BA$649:$EH$649,"D")</f>
        <v>1</v>
      </c>
      <c r="AW93" s="0" t="n">
        <f aca="false">COUNTIF($BA$649:$EH$649,"R")</f>
        <v>0</v>
      </c>
      <c r="AX93" s="0" t="n">
        <f aca="false"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>0</v>
      </c>
      <c r="AY93" s="0" t="n">
        <f aca="false">COUNTIF(DU93:EH93, "&lt;&gt;")</f>
        <v>1</v>
      </c>
      <c r="AZ93" s="0" t="n">
        <f aca="false">IF(EH93&lt;&gt;"",1,0)</f>
        <v>0</v>
      </c>
      <c r="BB93" s="0" t="s">
        <v>153</v>
      </c>
      <c r="BL93" s="0" t="s">
        <v>154</v>
      </c>
      <c r="CA93" s="0" t="s">
        <v>154</v>
      </c>
      <c r="CT93" s="0" t="s">
        <v>154</v>
      </c>
      <c r="CY93" s="0" t="s">
        <v>154</v>
      </c>
      <c r="DC93" s="0" t="s">
        <v>154</v>
      </c>
      <c r="DI93" s="0" t="s">
        <v>154</v>
      </c>
      <c r="EF93" s="0" t="s">
        <v>154</v>
      </c>
    </row>
    <row r="94" customFormat="false" ht="13.8" hidden="true" customHeight="false" outlineLevel="0" collapsed="false">
      <c r="A94" s="0" t="s">
        <v>674</v>
      </c>
      <c r="B94" s="0" t="n">
        <v>78</v>
      </c>
      <c r="C94" s="0" t="n">
        <v>481188</v>
      </c>
      <c r="D94" s="0" t="s">
        <v>675</v>
      </c>
      <c r="E94" s="0" t="s">
        <v>676</v>
      </c>
      <c r="F94" s="0" t="str">
        <f aca="false">CONCATENATE(D94," ",LEFT(H94,4),"T=",AU94,"D=",AV94,"R=",AW94,"M=",AX94,"L=",AY94,"B=",AZ94)</f>
        <v>ANDERSON T=30D=9R=0M=0L=0B=0</v>
      </c>
      <c r="G94" s="0" t="s">
        <v>677</v>
      </c>
      <c r="I94" s="0" t="s">
        <v>678</v>
      </c>
      <c r="J94" s="0" t="s">
        <v>679</v>
      </c>
      <c r="K94" s="0" t="s">
        <v>175</v>
      </c>
      <c r="L94" s="0"/>
      <c r="M94" s="0" t="s">
        <v>680</v>
      </c>
      <c r="N94" s="0" t="str">
        <f aca="false">RIGHT(M94,LEN(M94)-FIND(" ",M94))</f>
        <v>ATLANTIC ST NE</v>
      </c>
      <c r="P94" s="0" t="s">
        <v>146</v>
      </c>
      <c r="Q94" s="0" t="s">
        <v>147</v>
      </c>
      <c r="R94" s="0" t="n">
        <v>44483</v>
      </c>
      <c r="AD94" s="0" t="s">
        <v>148</v>
      </c>
      <c r="AE94" s="0" t="s">
        <v>149</v>
      </c>
      <c r="AF94" s="0" t="s">
        <v>150</v>
      </c>
      <c r="AH94" s="0" t="n">
        <v>14</v>
      </c>
      <c r="AI94" s="0" t="n">
        <v>11</v>
      </c>
      <c r="AN94" s="0" t="s">
        <v>146</v>
      </c>
      <c r="AO94" s="0" t="s">
        <v>236</v>
      </c>
      <c r="AP94" s="0" t="s">
        <v>237</v>
      </c>
      <c r="AQ94" s="0" t="n">
        <v>9</v>
      </c>
      <c r="AR94" s="0" t="n">
        <v>64</v>
      </c>
      <c r="AS94" s="0" t="n">
        <v>32</v>
      </c>
      <c r="AU94" s="0" t="n">
        <f aca="false">COUNTA($BA$561:$EH$561)</f>
        <v>30</v>
      </c>
      <c r="AV94" s="0" t="n">
        <f aca="false">COUNTIF($BA$561:$EH$561,"D")</f>
        <v>9</v>
      </c>
      <c r="AW94" s="0" t="n">
        <f aca="false">COUNTIF($BA$561:$EH$561,"R")</f>
        <v>0</v>
      </c>
      <c r="AX94" s="0" t="n">
        <f aca="false"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>0</v>
      </c>
      <c r="AY94" s="0" t="n">
        <f aca="false">COUNTIF(DU94:EH94, "&lt;&gt;")</f>
        <v>0</v>
      </c>
      <c r="AZ94" s="0" t="n">
        <f aca="false">IF(EH94&lt;&gt;"",1,0)</f>
        <v>0</v>
      </c>
      <c r="BB94" s="0" t="s">
        <v>153</v>
      </c>
    </row>
    <row r="95" customFormat="false" ht="13.8" hidden="true" customHeight="false" outlineLevel="0" collapsed="false">
      <c r="A95" s="0" t="s">
        <v>681</v>
      </c>
      <c r="B95" s="0" t="n">
        <v>78</v>
      </c>
      <c r="C95" s="0" t="n">
        <v>432201</v>
      </c>
      <c r="D95" s="0" t="s">
        <v>682</v>
      </c>
      <c r="E95" s="0" t="s">
        <v>652</v>
      </c>
      <c r="F95" s="0" t="str">
        <f aca="false">CONCATENATE(D95," ",LEFT(H95,4),"T=",AU95,"D=",AV95,"R=",AW95,"M=",AX95,"L=",AY95,"B=",AZ95)</f>
        <v>TIDEY T=32D=6R=0M=0L=1B=0</v>
      </c>
      <c r="G95" s="0" t="s">
        <v>683</v>
      </c>
      <c r="I95" s="0" t="s">
        <v>684</v>
      </c>
      <c r="J95" s="0" t="s">
        <v>685</v>
      </c>
      <c r="K95" s="0" t="s">
        <v>175</v>
      </c>
      <c r="L95" s="0"/>
      <c r="M95" s="0" t="s">
        <v>686</v>
      </c>
      <c r="N95" s="0" t="str">
        <f aca="false">RIGHT(M95,LEN(M95)-FIND(" ",M95))</f>
        <v>ATLANTIC ST NE</v>
      </c>
      <c r="P95" s="0" t="s">
        <v>146</v>
      </c>
      <c r="Q95" s="0" t="s">
        <v>147</v>
      </c>
      <c r="R95" s="0" t="n">
        <v>44483</v>
      </c>
      <c r="AD95" s="0" t="s">
        <v>148</v>
      </c>
      <c r="AE95" s="0" t="s">
        <v>149</v>
      </c>
      <c r="AF95" s="0" t="s">
        <v>150</v>
      </c>
      <c r="AH95" s="0" t="n">
        <v>14</v>
      </c>
      <c r="AI95" s="0" t="n">
        <v>11</v>
      </c>
      <c r="AN95" s="0" t="s">
        <v>146</v>
      </c>
      <c r="AO95" s="0" t="s">
        <v>236</v>
      </c>
      <c r="AP95" s="0" t="s">
        <v>237</v>
      </c>
      <c r="AQ95" s="0" t="n">
        <v>9</v>
      </c>
      <c r="AR95" s="0" t="n">
        <v>64</v>
      </c>
      <c r="AS95" s="0" t="n">
        <v>32</v>
      </c>
      <c r="AU95" s="0" t="n">
        <f aca="false">COUNTA($BA$55:$EH$55)</f>
        <v>32</v>
      </c>
      <c r="AV95" s="0" t="n">
        <f aca="false">COUNTIF($BA$55:$EH$55,"D")</f>
        <v>6</v>
      </c>
      <c r="AW95" s="0" t="n">
        <f aca="false">COUNTIF($BA$55:$EH$55,"R")</f>
        <v>0</v>
      </c>
      <c r="AX95" s="0" t="n">
        <f aca="false"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>0</v>
      </c>
      <c r="AY95" s="0" t="n">
        <f aca="false">COUNTIF(DU95:EH95, "&lt;&gt;")</f>
        <v>1</v>
      </c>
      <c r="AZ95" s="0" t="n">
        <f aca="false">IF(EH95&lt;&gt;"",1,0)</f>
        <v>0</v>
      </c>
      <c r="BB95" s="0" t="s">
        <v>153</v>
      </c>
      <c r="DU95" s="0" t="s">
        <v>154</v>
      </c>
    </row>
    <row r="96" customFormat="false" ht="13.8" hidden="false" customHeight="false" outlineLevel="0" collapsed="false">
      <c r="A96" s="0" t="s">
        <v>687</v>
      </c>
      <c r="B96" s="0" t="n">
        <v>78</v>
      </c>
      <c r="C96" s="0" t="n">
        <v>450281</v>
      </c>
      <c r="D96" s="0" t="s">
        <v>688</v>
      </c>
      <c r="E96" s="0" t="s">
        <v>689</v>
      </c>
      <c r="F96" s="0" t="str">
        <f aca="false">CONCATENATE(D96," ",LEFT(H96,4),"T=",AU96,"D=",AV96,"R=",AW96,"M=",AX96,"L=",AY96,"B=",AZ96)</f>
        <v>FURDA T=1D=0R=0M=0L=3B=0</v>
      </c>
      <c r="G96" s="0" t="s">
        <v>690</v>
      </c>
      <c r="I96" s="0" t="s">
        <v>691</v>
      </c>
      <c r="J96" s="0" t="s">
        <v>692</v>
      </c>
      <c r="K96" s="0" t="s">
        <v>175</v>
      </c>
      <c r="M96" s="0" t="s">
        <v>686</v>
      </c>
      <c r="N96" s="0" t="str">
        <f aca="false">RIGHT(M96,LEN(M96)-FIND(" ",M96))</f>
        <v>ATLANTIC ST NE</v>
      </c>
      <c r="P96" s="0" t="s">
        <v>146</v>
      </c>
      <c r="Q96" s="0" t="s">
        <v>147</v>
      </c>
      <c r="R96" s="0" t="n">
        <v>44483</v>
      </c>
      <c r="AD96" s="0" t="s">
        <v>148</v>
      </c>
      <c r="AE96" s="0" t="s">
        <v>149</v>
      </c>
      <c r="AF96" s="0" t="s">
        <v>150</v>
      </c>
      <c r="AH96" s="0" t="n">
        <v>14</v>
      </c>
      <c r="AI96" s="0" t="n">
        <v>11</v>
      </c>
      <c r="AN96" s="0" t="s">
        <v>146</v>
      </c>
      <c r="AO96" s="0" t="s">
        <v>236</v>
      </c>
      <c r="AP96" s="0" t="s">
        <v>237</v>
      </c>
      <c r="AQ96" s="0" t="n">
        <v>9</v>
      </c>
      <c r="AR96" s="0" t="n">
        <v>64</v>
      </c>
      <c r="AS96" s="0" t="n">
        <v>32</v>
      </c>
      <c r="AU96" s="0" t="n">
        <f aca="false">COUNTA($BA$261:$EH$261)</f>
        <v>1</v>
      </c>
      <c r="AV96" s="0" t="n">
        <f aca="false">COUNTIF($BA$261:$EH$261,"D")</f>
        <v>0</v>
      </c>
      <c r="AW96" s="0" t="n">
        <f aca="false">COUNTIF($BA$261:$EH$261,"R")</f>
        <v>0</v>
      </c>
      <c r="AX96" s="0" t="n">
        <f aca="false"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>0</v>
      </c>
      <c r="AY96" s="0" t="n">
        <f aca="false">COUNTIF(DU96:EH96, "&lt;&gt;")</f>
        <v>3</v>
      </c>
      <c r="AZ96" s="0" t="n">
        <f aca="false">IF(EH96&lt;&gt;"",1,0)</f>
        <v>0</v>
      </c>
      <c r="BB96" s="0" t="s">
        <v>153</v>
      </c>
      <c r="DN96" s="0" t="s">
        <v>154</v>
      </c>
      <c r="DU96" s="0" t="s">
        <v>154</v>
      </c>
      <c r="DX96" s="0" t="s">
        <v>154</v>
      </c>
      <c r="EF96" s="0" t="s">
        <v>154</v>
      </c>
    </row>
    <row r="97" customFormat="false" ht="13.8" hidden="false" customHeight="false" outlineLevel="0" collapsed="false">
      <c r="A97" s="0" t="s">
        <v>693</v>
      </c>
      <c r="B97" s="0" t="n">
        <v>78</v>
      </c>
      <c r="C97" s="0" t="n">
        <v>459562</v>
      </c>
      <c r="D97" s="0" t="s">
        <v>688</v>
      </c>
      <c r="E97" s="0" t="s">
        <v>619</v>
      </c>
      <c r="F97" s="0" t="str">
        <f aca="false">CONCATENATE(D97," ",LEFT(H97,4),"T=",AU97,"D=",AV97,"R=",AW97,"M=",AX97,"L=",AY97,"B=",AZ97)</f>
        <v>FURDA T=1D=0R=0M=0L=2B=0</v>
      </c>
      <c r="G97" s="0" t="s">
        <v>694</v>
      </c>
      <c r="I97" s="0" t="s">
        <v>695</v>
      </c>
      <c r="J97" s="0" t="s">
        <v>696</v>
      </c>
      <c r="K97" s="0" t="s">
        <v>175</v>
      </c>
      <c r="M97" s="0" t="s">
        <v>686</v>
      </c>
      <c r="N97" s="0" t="str">
        <f aca="false">RIGHT(M97,LEN(M97)-FIND(" ",M97))</f>
        <v>ATLANTIC ST NE</v>
      </c>
      <c r="P97" s="0" t="s">
        <v>146</v>
      </c>
      <c r="Q97" s="0" t="s">
        <v>147</v>
      </c>
      <c r="R97" s="0" t="n">
        <v>44483</v>
      </c>
      <c r="AD97" s="0" t="s">
        <v>148</v>
      </c>
      <c r="AE97" s="0" t="s">
        <v>149</v>
      </c>
      <c r="AF97" s="0" t="s">
        <v>150</v>
      </c>
      <c r="AH97" s="0" t="n">
        <v>14</v>
      </c>
      <c r="AI97" s="0" t="n">
        <v>11</v>
      </c>
      <c r="AN97" s="0" t="s">
        <v>146</v>
      </c>
      <c r="AO97" s="0" t="s">
        <v>236</v>
      </c>
      <c r="AP97" s="0" t="s">
        <v>237</v>
      </c>
      <c r="AQ97" s="0" t="n">
        <v>9</v>
      </c>
      <c r="AR97" s="0" t="n">
        <v>64</v>
      </c>
      <c r="AS97" s="0" t="n">
        <v>32</v>
      </c>
      <c r="AU97" s="0" t="n">
        <f aca="false">COUNTA($BA$939:$EH$939)</f>
        <v>1</v>
      </c>
      <c r="AV97" s="0" t="n">
        <f aca="false">COUNTIF($BA$939:$EH$939,"D")</f>
        <v>0</v>
      </c>
      <c r="AW97" s="0" t="n">
        <f aca="false">COUNTIF($BA$939:$EH$939,"R")</f>
        <v>0</v>
      </c>
      <c r="AX97" s="0" t="n">
        <f aca="false"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>0</v>
      </c>
      <c r="AY97" s="0" t="n">
        <f aca="false">COUNTIF(DU97:EH97, "&lt;&gt;")</f>
        <v>2</v>
      </c>
      <c r="AZ97" s="0" t="n">
        <f aca="false">IF(EH97&lt;&gt;"",1,0)</f>
        <v>0</v>
      </c>
      <c r="BB97" s="0" t="s">
        <v>153</v>
      </c>
      <c r="DU97" s="0" t="s">
        <v>154</v>
      </c>
      <c r="EF97" s="0" t="s">
        <v>154</v>
      </c>
    </row>
    <row r="98" customFormat="false" ht="13.8" hidden="true" customHeight="false" outlineLevel="0" collapsed="false">
      <c r="A98" s="0" t="s">
        <v>697</v>
      </c>
      <c r="B98" s="0" t="n">
        <v>78</v>
      </c>
      <c r="C98" s="0" t="n">
        <v>305065</v>
      </c>
      <c r="D98" s="0" t="s">
        <v>374</v>
      </c>
      <c r="E98" s="0" t="s">
        <v>698</v>
      </c>
      <c r="F98" s="0" t="str">
        <f aca="false">CONCATENATE(D98," ",LEFT(H98,4),"T=",AU98,"D=",AV98,"R=",AW98,"M=",AX98,"L=",AY98,"B=",AZ98)</f>
        <v>MARSHALL T=10D=1R=0M=0L=0B=0</v>
      </c>
      <c r="G98" s="0" t="s">
        <v>241</v>
      </c>
      <c r="I98" s="0" t="s">
        <v>699</v>
      </c>
      <c r="J98" s="0" t="s">
        <v>700</v>
      </c>
      <c r="K98" s="0" t="s">
        <v>144</v>
      </c>
      <c r="L98" s="0"/>
      <c r="M98" s="0" t="s">
        <v>701</v>
      </c>
      <c r="N98" s="0" t="str">
        <f aca="false">RIGHT(M98,LEN(M98)-FIND(" ",M98))</f>
        <v>ATLANTIC ST NE</v>
      </c>
      <c r="P98" s="0" t="s">
        <v>146</v>
      </c>
      <c r="Q98" s="0" t="s">
        <v>147</v>
      </c>
      <c r="R98" s="0" t="n">
        <v>44483</v>
      </c>
      <c r="AD98" s="0" t="s">
        <v>148</v>
      </c>
      <c r="AE98" s="0" t="s">
        <v>149</v>
      </c>
      <c r="AF98" s="0" t="s">
        <v>150</v>
      </c>
      <c r="AH98" s="0" t="n">
        <v>14</v>
      </c>
      <c r="AI98" s="0" t="n">
        <v>11</v>
      </c>
      <c r="AN98" s="0" t="s">
        <v>146</v>
      </c>
      <c r="AO98" s="0" t="s">
        <v>236</v>
      </c>
      <c r="AP98" s="0" t="s">
        <v>237</v>
      </c>
      <c r="AQ98" s="0" t="n">
        <v>9</v>
      </c>
      <c r="AR98" s="0" t="n">
        <v>64</v>
      </c>
      <c r="AS98" s="0" t="n">
        <v>32</v>
      </c>
      <c r="AU98" s="0" t="n">
        <f aca="false">COUNTA($BA$448:$EH$448)</f>
        <v>10</v>
      </c>
      <c r="AV98" s="0" t="n">
        <f aca="false">COUNTIF($BA$448:$EH$448,"D")</f>
        <v>1</v>
      </c>
      <c r="AW98" s="0" t="n">
        <f aca="false">COUNTIF($BA$448:$EH$448,"R")</f>
        <v>0</v>
      </c>
      <c r="AX98" s="0" t="n">
        <f aca="false"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>0</v>
      </c>
      <c r="AY98" s="0" t="n">
        <f aca="false">COUNTIF(DU98:EH98, "&lt;&gt;")</f>
        <v>0</v>
      </c>
      <c r="AZ98" s="0" t="n">
        <f aca="false">IF(EH98&lt;&gt;"",1,0)</f>
        <v>0</v>
      </c>
      <c r="BB98" s="0" t="s">
        <v>153</v>
      </c>
      <c r="BF98" s="0" t="s">
        <v>154</v>
      </c>
      <c r="CA98" s="0" t="s">
        <v>154</v>
      </c>
    </row>
    <row r="99" customFormat="false" ht="13.8" hidden="false" customHeight="false" outlineLevel="0" collapsed="false">
      <c r="A99" s="0" t="s">
        <v>702</v>
      </c>
      <c r="B99" s="0" t="n">
        <v>78</v>
      </c>
      <c r="C99" s="0" t="n">
        <v>319326</v>
      </c>
      <c r="D99" s="0" t="s">
        <v>703</v>
      </c>
      <c r="E99" s="0" t="s">
        <v>704</v>
      </c>
      <c r="F99" s="0" t="str">
        <f aca="false">CONCATENATE(D99," ",LEFT(H99,4),"T=",AU99,"D=",AV99,"R=",AW99,"M=",AX99,"L=",AY99,"B=",AZ99)</f>
        <v>WADE T=44D=14R=0M=1L=2B=0</v>
      </c>
      <c r="I99" s="0" t="s">
        <v>705</v>
      </c>
      <c r="J99" s="0" t="s">
        <v>706</v>
      </c>
      <c r="K99" s="0" t="s">
        <v>175</v>
      </c>
      <c r="L99" s="1" t="s">
        <v>155</v>
      </c>
      <c r="M99" s="0" t="s">
        <v>701</v>
      </c>
      <c r="N99" s="0" t="str">
        <f aca="false">RIGHT(M99,LEN(M99)-FIND(" ",M99))</f>
        <v>ATLANTIC ST NE</v>
      </c>
      <c r="P99" s="0" t="s">
        <v>146</v>
      </c>
      <c r="Q99" s="0" t="s">
        <v>147</v>
      </c>
      <c r="R99" s="0" t="n">
        <v>44483</v>
      </c>
      <c r="AD99" s="0" t="s">
        <v>148</v>
      </c>
      <c r="AE99" s="0" t="s">
        <v>149</v>
      </c>
      <c r="AF99" s="0" t="s">
        <v>150</v>
      </c>
      <c r="AH99" s="0" t="n">
        <v>14</v>
      </c>
      <c r="AI99" s="0" t="n">
        <v>11</v>
      </c>
      <c r="AN99" s="0" t="s">
        <v>146</v>
      </c>
      <c r="AO99" s="0" t="s">
        <v>236</v>
      </c>
      <c r="AP99" s="0" t="s">
        <v>237</v>
      </c>
      <c r="AQ99" s="0" t="n">
        <v>9</v>
      </c>
      <c r="AR99" s="0" t="n">
        <v>64</v>
      </c>
      <c r="AS99" s="0" t="n">
        <v>32</v>
      </c>
      <c r="AU99" s="0" t="n">
        <f aca="false">COUNTA($BA$850:$EH$850)</f>
        <v>44</v>
      </c>
      <c r="AV99" s="0" t="n">
        <f aca="false">COUNTIF($BA$850:$EH$850,"D")</f>
        <v>14</v>
      </c>
      <c r="AW99" s="0" t="n">
        <f aca="false">COUNTIF($BA$850:$EH$850,"R")</f>
        <v>0</v>
      </c>
      <c r="AX99" s="0" t="n">
        <f aca="false"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>1</v>
      </c>
      <c r="AY99" s="0" t="n">
        <f aca="false">COUNTIF(DU99:EH99, "&lt;&gt;")</f>
        <v>2</v>
      </c>
      <c r="AZ99" s="0" t="n">
        <f aca="false">IF(EH99&lt;&gt;"",1,0)</f>
        <v>0</v>
      </c>
      <c r="BB99" s="0" t="s">
        <v>153</v>
      </c>
      <c r="BL99" s="0" t="s">
        <v>154</v>
      </c>
      <c r="BP99" s="0" t="s">
        <v>154</v>
      </c>
      <c r="BR99" s="0" t="s">
        <v>154</v>
      </c>
      <c r="BY99" s="0" t="s">
        <v>155</v>
      </c>
      <c r="CA99" s="0" t="s">
        <v>154</v>
      </c>
      <c r="CH99" s="0" t="s">
        <v>176</v>
      </c>
      <c r="CT99" s="0" t="s">
        <v>154</v>
      </c>
      <c r="DC99" s="0" t="s">
        <v>154</v>
      </c>
      <c r="DN99" s="0" t="s">
        <v>154</v>
      </c>
      <c r="DW99" s="0" t="s">
        <v>155</v>
      </c>
      <c r="EF99" s="0" t="s">
        <v>154</v>
      </c>
    </row>
    <row r="100" customFormat="false" ht="13.8" hidden="true" customHeight="false" outlineLevel="0" collapsed="false">
      <c r="A100" s="0" t="s">
        <v>707</v>
      </c>
      <c r="B100" s="0" t="n">
        <v>78</v>
      </c>
      <c r="C100" s="0" t="n">
        <v>485515</v>
      </c>
      <c r="D100" s="0" t="s">
        <v>708</v>
      </c>
      <c r="E100" s="0" t="s">
        <v>709</v>
      </c>
      <c r="F100" s="0" t="str">
        <f aca="false">CONCATENATE(D100," ",LEFT(H100,4),"T=",AU100,"D=",AV100,"R=",AW100,"M=",AX100,"L=",AY100,"B=",AZ100)</f>
        <v>SCISSUM T=4D=0R=0M=0L=0B=0</v>
      </c>
      <c r="G100" s="0" t="s">
        <v>710</v>
      </c>
      <c r="I100" s="0" t="s">
        <v>711</v>
      </c>
      <c r="J100" s="0" t="s">
        <v>712</v>
      </c>
      <c r="K100" s="0" t="s">
        <v>175</v>
      </c>
      <c r="L100" s="0"/>
      <c r="M100" s="0" t="s">
        <v>713</v>
      </c>
      <c r="N100" s="0" t="str">
        <f aca="false">RIGHT(M100,LEN(M100)-FIND(" ",M100))</f>
        <v>ATLANTIC ST NE</v>
      </c>
      <c r="P100" s="0" t="s">
        <v>146</v>
      </c>
      <c r="Q100" s="0" t="s">
        <v>147</v>
      </c>
      <c r="R100" s="0" t="n">
        <v>44483</v>
      </c>
      <c r="AD100" s="0" t="s">
        <v>148</v>
      </c>
      <c r="AE100" s="0" t="s">
        <v>149</v>
      </c>
      <c r="AF100" s="0" t="s">
        <v>150</v>
      </c>
      <c r="AH100" s="0" t="n">
        <v>14</v>
      </c>
      <c r="AI100" s="0" t="n">
        <v>11</v>
      </c>
      <c r="AN100" s="0" t="s">
        <v>146</v>
      </c>
      <c r="AO100" s="0" t="s">
        <v>236</v>
      </c>
      <c r="AP100" s="0" t="s">
        <v>237</v>
      </c>
      <c r="AQ100" s="0" t="n">
        <v>9</v>
      </c>
      <c r="AR100" s="0" t="n">
        <v>64</v>
      </c>
      <c r="AS100" s="0" t="n">
        <v>32</v>
      </c>
      <c r="AU100" s="0" t="n">
        <f aca="false">COUNTA($BA$265:$EH$265)</f>
        <v>4</v>
      </c>
      <c r="AV100" s="0" t="n">
        <f aca="false">COUNTIF($BA$265:$EH$265,"D")</f>
        <v>0</v>
      </c>
      <c r="AW100" s="0" t="n">
        <f aca="false">COUNTIF($BA$265:$EH$265,"R")</f>
        <v>0</v>
      </c>
      <c r="AX100" s="0" t="n">
        <f aca="false"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>0</v>
      </c>
      <c r="AY100" s="0" t="n">
        <f aca="false">COUNTIF(DU100:EH100, "&lt;&gt;")</f>
        <v>0</v>
      </c>
      <c r="AZ100" s="0" t="n">
        <f aca="false">IF(EH100&lt;&gt;"",1,0)</f>
        <v>0</v>
      </c>
      <c r="BB100" s="0" t="s">
        <v>153</v>
      </c>
    </row>
    <row r="101" customFormat="false" ht="13.8" hidden="false" customHeight="false" outlineLevel="0" collapsed="false">
      <c r="A101" s="0" t="s">
        <v>714</v>
      </c>
      <c r="B101" s="0" t="n">
        <v>78</v>
      </c>
      <c r="C101" s="0" t="n">
        <v>229344</v>
      </c>
      <c r="D101" s="0" t="s">
        <v>715</v>
      </c>
      <c r="E101" s="0" t="s">
        <v>716</v>
      </c>
      <c r="F101" s="0" t="str">
        <f aca="false">CONCATENATE(D101," ",LEFT(H101,4),"T=",AU101,"D=",AV101,"R=",AW101,"M=",AX101,"L=",AY101,"B=",AZ101)</f>
        <v>SPARKS T=2D=0R=0M=6L=7B=1</v>
      </c>
      <c r="I101" s="0" t="s">
        <v>717</v>
      </c>
      <c r="J101" s="0" t="s">
        <v>718</v>
      </c>
      <c r="K101" s="0" t="s">
        <v>175</v>
      </c>
      <c r="L101" s="1" t="s">
        <v>155</v>
      </c>
      <c r="M101" s="0" t="s">
        <v>719</v>
      </c>
      <c r="N101" s="0" t="str">
        <f aca="false">RIGHT(M101,LEN(M101)-FIND(" ",M101))</f>
        <v>ATLANTIC ST NE</v>
      </c>
      <c r="P101" s="0" t="s">
        <v>146</v>
      </c>
      <c r="Q101" s="0" t="s">
        <v>147</v>
      </c>
      <c r="R101" s="0" t="n">
        <v>44483</v>
      </c>
      <c r="AD101" s="0" t="s">
        <v>148</v>
      </c>
      <c r="AE101" s="0" t="s">
        <v>149</v>
      </c>
      <c r="AF101" s="0" t="s">
        <v>150</v>
      </c>
      <c r="AH101" s="0" t="n">
        <v>14</v>
      </c>
      <c r="AI101" s="0" t="n">
        <v>11</v>
      </c>
      <c r="AN101" s="0" t="s">
        <v>146</v>
      </c>
      <c r="AO101" s="0" t="s">
        <v>236</v>
      </c>
      <c r="AP101" s="0" t="s">
        <v>237</v>
      </c>
      <c r="AQ101" s="0" t="n">
        <v>9</v>
      </c>
      <c r="AR101" s="0" t="n">
        <v>64</v>
      </c>
      <c r="AS101" s="0" t="n">
        <v>32</v>
      </c>
      <c r="AU101" s="0" t="n">
        <f aca="false">COUNTA($BA$518:$EH$518)</f>
        <v>2</v>
      </c>
      <c r="AV101" s="0" t="n">
        <f aca="false">COUNTIF($BA$518:$EH$518,"D")</f>
        <v>0</v>
      </c>
      <c r="AW101" s="0" t="n">
        <f aca="false">COUNTIF($BA$518:$EH$518,"R")</f>
        <v>0</v>
      </c>
      <c r="AX101" s="0" t="n">
        <f aca="false"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>6</v>
      </c>
      <c r="AY101" s="0" t="n">
        <f aca="false">COUNTIF(DU101:EH101, "&lt;&gt;")</f>
        <v>7</v>
      </c>
      <c r="AZ101" s="0" t="n">
        <f aca="false">IF(EH101&lt;&gt;"",1,0)</f>
        <v>1</v>
      </c>
      <c r="BB101" s="0" t="s">
        <v>153</v>
      </c>
      <c r="BC101" s="0" t="s">
        <v>154</v>
      </c>
      <c r="BD101" s="0" t="s">
        <v>154</v>
      </c>
      <c r="BE101" s="0" t="s">
        <v>154</v>
      </c>
      <c r="BF101" s="0" t="s">
        <v>154</v>
      </c>
      <c r="BG101" s="0" t="s">
        <v>154</v>
      </c>
      <c r="BH101" s="0" t="s">
        <v>154</v>
      </c>
      <c r="BJ101" s="0" t="s">
        <v>154</v>
      </c>
      <c r="BK101" s="0" t="s">
        <v>154</v>
      </c>
      <c r="BL101" s="0" t="s">
        <v>154</v>
      </c>
      <c r="BR101" s="0" t="s">
        <v>154</v>
      </c>
      <c r="BS101" s="0" t="s">
        <v>154</v>
      </c>
      <c r="BT101" s="0" t="s">
        <v>154</v>
      </c>
      <c r="BV101" s="0" t="s">
        <v>154</v>
      </c>
      <c r="BY101" s="0" t="s">
        <v>155</v>
      </c>
      <c r="CA101" s="0" t="s">
        <v>154</v>
      </c>
      <c r="CH101" s="0" t="s">
        <v>155</v>
      </c>
      <c r="CK101" s="0" t="s">
        <v>154</v>
      </c>
      <c r="CL101" s="0" t="s">
        <v>155</v>
      </c>
      <c r="CN101" s="0" t="s">
        <v>154</v>
      </c>
      <c r="CP101" s="0" t="s">
        <v>154</v>
      </c>
      <c r="CV101" s="0" t="s">
        <v>154</v>
      </c>
      <c r="CW101" s="0" t="s">
        <v>155</v>
      </c>
      <c r="CY101" s="0" t="s">
        <v>154</v>
      </c>
      <c r="CZ101" s="0" t="s">
        <v>155</v>
      </c>
      <c r="DC101" s="0" t="s">
        <v>154</v>
      </c>
      <c r="DD101" s="0" t="s">
        <v>155</v>
      </c>
      <c r="DF101" s="0" t="s">
        <v>154</v>
      </c>
      <c r="DG101" s="0" t="s">
        <v>155</v>
      </c>
      <c r="DI101" s="0" t="s">
        <v>154</v>
      </c>
      <c r="DL101" s="0" t="s">
        <v>154</v>
      </c>
      <c r="DM101" s="0" t="s">
        <v>155</v>
      </c>
      <c r="DN101" s="0" t="s">
        <v>154</v>
      </c>
      <c r="DO101" s="0" t="s">
        <v>155</v>
      </c>
      <c r="DR101" s="0" t="s">
        <v>154</v>
      </c>
      <c r="DS101" s="0" t="s">
        <v>155</v>
      </c>
      <c r="DU101" s="0" t="s">
        <v>154</v>
      </c>
      <c r="DW101" s="0" t="s">
        <v>155</v>
      </c>
      <c r="DX101" s="0" t="s">
        <v>154</v>
      </c>
      <c r="EA101" s="0" t="s">
        <v>154</v>
      </c>
      <c r="ED101" s="0" t="s">
        <v>155</v>
      </c>
      <c r="EF101" s="0" t="s">
        <v>154</v>
      </c>
      <c r="EH101" s="0" t="s">
        <v>155</v>
      </c>
    </row>
    <row r="102" customFormat="false" ht="13.8" hidden="true" customHeight="false" outlineLevel="0" collapsed="false">
      <c r="A102" s="0" t="s">
        <v>720</v>
      </c>
      <c r="B102" s="0" t="n">
        <v>78</v>
      </c>
      <c r="C102" s="0" t="n">
        <v>347806</v>
      </c>
      <c r="D102" s="0" t="s">
        <v>721</v>
      </c>
      <c r="E102" s="0" t="s">
        <v>722</v>
      </c>
      <c r="F102" s="0" t="str">
        <f aca="false">CONCATENATE(D102," ",LEFT(H102,4),"T=",AU102,"D=",AV102,"R=",AW102,"M=",AX102,"L=",AY102,"B=",AZ102)</f>
        <v>CLAIBORNE SRT=3D=0R=0M=0L=0B=0</v>
      </c>
      <c r="G102" s="0" t="s">
        <v>241</v>
      </c>
      <c r="H102" s="0" t="s">
        <v>311</v>
      </c>
      <c r="I102" s="0" t="s">
        <v>723</v>
      </c>
      <c r="J102" s="0" t="s">
        <v>724</v>
      </c>
      <c r="K102" s="0" t="s">
        <v>144</v>
      </c>
      <c r="L102" s="0"/>
      <c r="M102" s="0" t="s">
        <v>725</v>
      </c>
      <c r="N102" s="0" t="str">
        <f aca="false">RIGHT(M102,LEN(M102)-FIND(" ",M102))</f>
        <v>ATLANTIC ST NE</v>
      </c>
      <c r="P102" s="0" t="s">
        <v>146</v>
      </c>
      <c r="Q102" s="0" t="s">
        <v>147</v>
      </c>
      <c r="R102" s="0" t="n">
        <v>44483</v>
      </c>
      <c r="AD102" s="0" t="s">
        <v>148</v>
      </c>
      <c r="AE102" s="0" t="s">
        <v>149</v>
      </c>
      <c r="AF102" s="0" t="s">
        <v>150</v>
      </c>
      <c r="AH102" s="0" t="n">
        <v>14</v>
      </c>
      <c r="AI102" s="0" t="n">
        <v>11</v>
      </c>
      <c r="AN102" s="0" t="s">
        <v>146</v>
      </c>
      <c r="AO102" s="0" t="s">
        <v>236</v>
      </c>
      <c r="AP102" s="0" t="s">
        <v>237</v>
      </c>
      <c r="AQ102" s="0" t="n">
        <v>9</v>
      </c>
      <c r="AR102" s="0" t="n">
        <v>64</v>
      </c>
      <c r="AS102" s="0" t="n">
        <v>32</v>
      </c>
      <c r="AU102" s="0" t="n">
        <f aca="false">COUNTA($BA$388:$EH$388)</f>
        <v>3</v>
      </c>
      <c r="AV102" s="0" t="n">
        <f aca="false">COUNTIF($BA$388:$EH$388,"D")</f>
        <v>0</v>
      </c>
      <c r="AW102" s="0" t="n">
        <f aca="false">COUNTIF($BA$388:$EH$388,"R")</f>
        <v>0</v>
      </c>
      <c r="AX102" s="0" t="n">
        <f aca="false"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>0</v>
      </c>
      <c r="AY102" s="0" t="n">
        <f aca="false">COUNTIF(DU102:EH102, "&lt;&gt;")</f>
        <v>0</v>
      </c>
      <c r="AZ102" s="0" t="n">
        <f aca="false">IF(EH102&lt;&gt;"",1,0)</f>
        <v>0</v>
      </c>
      <c r="BB102" s="0" t="s">
        <v>153</v>
      </c>
      <c r="CA102" s="0" t="s">
        <v>154</v>
      </c>
      <c r="CK102" s="0" t="s">
        <v>154</v>
      </c>
      <c r="CP102" s="0" t="s">
        <v>154</v>
      </c>
      <c r="DN102" s="0" t="s">
        <v>154</v>
      </c>
    </row>
    <row r="103" customFormat="false" ht="13.8" hidden="false" customHeight="false" outlineLevel="0" collapsed="false">
      <c r="A103" s="0" t="s">
        <v>726</v>
      </c>
      <c r="B103" s="0" t="n">
        <v>78</v>
      </c>
      <c r="C103" s="0" t="n">
        <v>4988</v>
      </c>
      <c r="D103" s="0" t="s">
        <v>721</v>
      </c>
      <c r="E103" s="0" t="s">
        <v>727</v>
      </c>
      <c r="F103" s="0" t="str">
        <f aca="false">CONCATENATE(D103," ",LEFT(H103,4),"T=",AU103,"D=",AV103,"R=",AW103,"M=",AX103,"L=",AY103,"B=",AZ103)</f>
        <v>CLAIBORNE T=1D=0R=0M=5L=5B=1</v>
      </c>
      <c r="G103" s="0" t="s">
        <v>241</v>
      </c>
      <c r="I103" s="0" t="s">
        <v>728</v>
      </c>
      <c r="J103" s="0" t="s">
        <v>729</v>
      </c>
      <c r="K103" s="0" t="s">
        <v>175</v>
      </c>
      <c r="L103" s="1" t="s">
        <v>155</v>
      </c>
      <c r="M103" s="0" t="s">
        <v>725</v>
      </c>
      <c r="N103" s="0" t="str">
        <f aca="false">RIGHT(M103,LEN(M103)-FIND(" ",M103))</f>
        <v>ATLANTIC ST NE</v>
      </c>
      <c r="P103" s="0" t="s">
        <v>146</v>
      </c>
      <c r="Q103" s="0" t="s">
        <v>147</v>
      </c>
      <c r="R103" s="0" t="n">
        <v>44483</v>
      </c>
      <c r="AD103" s="0" t="s">
        <v>148</v>
      </c>
      <c r="AE103" s="0" t="s">
        <v>149</v>
      </c>
      <c r="AF103" s="0" t="s">
        <v>150</v>
      </c>
      <c r="AH103" s="0" t="n">
        <v>14</v>
      </c>
      <c r="AI103" s="0" t="n">
        <v>11</v>
      </c>
      <c r="AN103" s="0" t="s">
        <v>146</v>
      </c>
      <c r="AO103" s="0" t="s">
        <v>236</v>
      </c>
      <c r="AP103" s="0" t="s">
        <v>237</v>
      </c>
      <c r="AQ103" s="0" t="n">
        <v>9</v>
      </c>
      <c r="AR103" s="0" t="n">
        <v>64</v>
      </c>
      <c r="AS103" s="0" t="n">
        <v>32</v>
      </c>
      <c r="AU103" s="0" t="n">
        <f aca="false">COUNTA($BA$876:$EH$876)</f>
        <v>1</v>
      </c>
      <c r="AV103" s="0" t="n">
        <f aca="false">COUNTIF($BA$876:$EH$876,"D")</f>
        <v>0</v>
      </c>
      <c r="AW103" s="0" t="n">
        <f aca="false">COUNTIF($BA$876:$EH$876,"R")</f>
        <v>0</v>
      </c>
      <c r="AX103" s="0" t="n">
        <f aca="false"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>5</v>
      </c>
      <c r="AY103" s="0" t="n">
        <f aca="false">COUNTIF(DU103:EH103, "&lt;&gt;")</f>
        <v>5</v>
      </c>
      <c r="AZ103" s="0" t="n">
        <f aca="false">IF(EH103&lt;&gt;"",1,0)</f>
        <v>1</v>
      </c>
      <c r="BB103" s="0" t="s">
        <v>153</v>
      </c>
      <c r="BC103" s="0" t="s">
        <v>154</v>
      </c>
      <c r="BD103" s="0" t="s">
        <v>154</v>
      </c>
      <c r="BF103" s="0" t="s">
        <v>154</v>
      </c>
      <c r="BG103" s="0" t="s">
        <v>154</v>
      </c>
      <c r="BH103" s="0" t="s">
        <v>154</v>
      </c>
      <c r="BI103" s="0" t="s">
        <v>154</v>
      </c>
      <c r="BJ103" s="0" t="s">
        <v>154</v>
      </c>
      <c r="BK103" s="0" t="s">
        <v>154</v>
      </c>
      <c r="BL103" s="0" t="s">
        <v>154</v>
      </c>
      <c r="BP103" s="0" t="s">
        <v>154</v>
      </c>
      <c r="BR103" s="0" t="s">
        <v>154</v>
      </c>
      <c r="BS103" s="0" t="s">
        <v>154</v>
      </c>
      <c r="BV103" s="0" t="s">
        <v>154</v>
      </c>
      <c r="BY103" s="0" t="s">
        <v>155</v>
      </c>
      <c r="CA103" s="0" t="s">
        <v>154</v>
      </c>
      <c r="CG103" s="0" t="s">
        <v>154</v>
      </c>
      <c r="CH103" s="0" t="s">
        <v>155</v>
      </c>
      <c r="CK103" s="0" t="s">
        <v>154</v>
      </c>
      <c r="CL103" s="0" t="s">
        <v>155</v>
      </c>
      <c r="CN103" s="0" t="s">
        <v>154</v>
      </c>
      <c r="CO103" s="0" t="s">
        <v>155</v>
      </c>
      <c r="CP103" s="0" t="s">
        <v>154</v>
      </c>
      <c r="CV103" s="0" t="s">
        <v>154</v>
      </c>
      <c r="CW103" s="0" t="s">
        <v>155</v>
      </c>
      <c r="CY103" s="0" t="s">
        <v>154</v>
      </c>
      <c r="CZ103" s="0" t="s">
        <v>155</v>
      </c>
      <c r="DC103" s="0" t="s">
        <v>154</v>
      </c>
      <c r="DF103" s="0" t="s">
        <v>154</v>
      </c>
      <c r="DG103" s="0" t="s">
        <v>155</v>
      </c>
      <c r="DI103" s="0" t="s">
        <v>154</v>
      </c>
      <c r="DJ103" s="0" t="s">
        <v>155</v>
      </c>
      <c r="DL103" s="0" t="s">
        <v>154</v>
      </c>
      <c r="DM103" s="0" t="s">
        <v>155</v>
      </c>
      <c r="DN103" s="0" t="s">
        <v>154</v>
      </c>
      <c r="DO103" s="0" t="s">
        <v>155</v>
      </c>
      <c r="DR103" s="0" t="s">
        <v>154</v>
      </c>
      <c r="DS103" s="0" t="s">
        <v>155</v>
      </c>
      <c r="DT103" s="0" t="s">
        <v>155</v>
      </c>
      <c r="DX103" s="0" t="s">
        <v>154</v>
      </c>
      <c r="EA103" s="0" t="s">
        <v>154</v>
      </c>
      <c r="ED103" s="0" t="s">
        <v>155</v>
      </c>
      <c r="EF103" s="0" t="s">
        <v>154</v>
      </c>
      <c r="EH103" s="0" t="s">
        <v>155</v>
      </c>
    </row>
    <row r="104" customFormat="false" ht="13.8" hidden="true" customHeight="false" outlineLevel="0" collapsed="false">
      <c r="A104" s="0" t="s">
        <v>730</v>
      </c>
      <c r="B104" s="0" t="n">
        <v>78</v>
      </c>
      <c r="C104" s="0" t="n">
        <v>377039</v>
      </c>
      <c r="D104" s="0" t="s">
        <v>731</v>
      </c>
      <c r="E104" s="0" t="s">
        <v>732</v>
      </c>
      <c r="F104" s="0" t="str">
        <f aca="false">CONCATENATE(D104," ",LEFT(H104,4),"T=",AU104,"D=",AV104,"R=",AW104,"M=",AX104,"L=",AY104,"B=",AZ104)</f>
        <v>CLAY T=1D=0R=0M=0L=0B=0</v>
      </c>
      <c r="G104" s="0" t="s">
        <v>159</v>
      </c>
      <c r="I104" s="0" t="s">
        <v>733</v>
      </c>
      <c r="J104" s="0" t="s">
        <v>734</v>
      </c>
      <c r="K104" s="0" t="s">
        <v>144</v>
      </c>
      <c r="L104" s="0"/>
      <c r="M104" s="0" t="s">
        <v>735</v>
      </c>
      <c r="N104" s="0" t="str">
        <f aca="false">RIGHT(M104,LEN(M104)-FIND(" ",M104))</f>
        <v>ATLANTIC ST NE</v>
      </c>
      <c r="P104" s="0" t="s">
        <v>146</v>
      </c>
      <c r="Q104" s="0" t="s">
        <v>147</v>
      </c>
      <c r="R104" s="0" t="n">
        <v>44483</v>
      </c>
      <c r="AD104" s="0" t="s">
        <v>148</v>
      </c>
      <c r="AE104" s="0" t="s">
        <v>149</v>
      </c>
      <c r="AF104" s="0" t="s">
        <v>150</v>
      </c>
      <c r="AH104" s="0" t="n">
        <v>14</v>
      </c>
      <c r="AI104" s="0" t="n">
        <v>11</v>
      </c>
      <c r="AN104" s="0" t="s">
        <v>146</v>
      </c>
      <c r="AO104" s="0" t="s">
        <v>236</v>
      </c>
      <c r="AP104" s="0" t="s">
        <v>237</v>
      </c>
      <c r="AQ104" s="0" t="n">
        <v>9</v>
      </c>
      <c r="AR104" s="0" t="n">
        <v>64</v>
      </c>
      <c r="AS104" s="0" t="n">
        <v>32</v>
      </c>
      <c r="AU104" s="0" t="n">
        <f aca="false">COUNTA($BA$67:$EH$67)</f>
        <v>1</v>
      </c>
      <c r="AV104" s="0" t="n">
        <f aca="false">COUNTIF($BA$67:$EH$67,"D")</f>
        <v>0</v>
      </c>
      <c r="AW104" s="0" t="n">
        <f aca="false">COUNTIF($BA$67:$EH$67,"R")</f>
        <v>0</v>
      </c>
      <c r="AX104" s="0" t="n">
        <f aca="false"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>0</v>
      </c>
      <c r="AY104" s="0" t="n">
        <f aca="false">COUNTIF(DU104:EH104, "&lt;&gt;")</f>
        <v>0</v>
      </c>
      <c r="AZ104" s="0" t="n">
        <f aca="false">IF(EH104&lt;&gt;"",1,0)</f>
        <v>0</v>
      </c>
      <c r="BB104" s="0" t="s">
        <v>153</v>
      </c>
    </row>
    <row r="105" customFormat="false" ht="13.8" hidden="true" customHeight="false" outlineLevel="0" collapsed="false">
      <c r="A105" s="0" t="s">
        <v>736</v>
      </c>
      <c r="B105" s="0" t="n">
        <v>78</v>
      </c>
      <c r="C105" s="0" t="n">
        <v>415445</v>
      </c>
      <c r="D105" s="0" t="s">
        <v>737</v>
      </c>
      <c r="E105" s="0" t="s">
        <v>738</v>
      </c>
      <c r="F105" s="0" t="str">
        <f aca="false">CONCATENATE(D105," ",LEFT(H105,4),"T=",AU105,"D=",AV105,"R=",AW105,"M=",AX105,"L=",AY105,"B=",AZ105)</f>
        <v>NASIDKA T=49D=19R=0M=0L=0B=0</v>
      </c>
      <c r="G105" s="0" t="s">
        <v>739</v>
      </c>
      <c r="I105" s="0" t="s">
        <v>740</v>
      </c>
      <c r="J105" s="0" t="s">
        <v>741</v>
      </c>
      <c r="K105" s="0" t="s">
        <v>175</v>
      </c>
      <c r="L105" s="0"/>
      <c r="M105" s="0" t="s">
        <v>735</v>
      </c>
      <c r="N105" s="0" t="str">
        <f aca="false">RIGHT(M105,LEN(M105)-FIND(" ",M105))</f>
        <v>ATLANTIC ST NE</v>
      </c>
      <c r="P105" s="0" t="s">
        <v>146</v>
      </c>
      <c r="Q105" s="0" t="s">
        <v>147</v>
      </c>
      <c r="R105" s="0" t="n">
        <v>44483</v>
      </c>
      <c r="AD105" s="0" t="s">
        <v>148</v>
      </c>
      <c r="AE105" s="0" t="s">
        <v>149</v>
      </c>
      <c r="AF105" s="0" t="s">
        <v>150</v>
      </c>
      <c r="AH105" s="0" t="n">
        <v>14</v>
      </c>
      <c r="AI105" s="0" t="n">
        <v>11</v>
      </c>
      <c r="AN105" s="0" t="s">
        <v>146</v>
      </c>
      <c r="AO105" s="0" t="s">
        <v>236</v>
      </c>
      <c r="AP105" s="0" t="s">
        <v>237</v>
      </c>
      <c r="AQ105" s="0" t="n">
        <v>9</v>
      </c>
      <c r="AR105" s="0" t="n">
        <v>64</v>
      </c>
      <c r="AS105" s="0" t="n">
        <v>32</v>
      </c>
      <c r="AU105" s="0" t="n">
        <f aca="false">COUNTA($BA$572:$EH$572)</f>
        <v>49</v>
      </c>
      <c r="AV105" s="0" t="n">
        <f aca="false">COUNTIF($BA$572:$EH$572,"D")</f>
        <v>19</v>
      </c>
      <c r="AW105" s="0" t="n">
        <f aca="false">COUNTIF($BA$572:$EH$572,"R")</f>
        <v>0</v>
      </c>
      <c r="AX105" s="0" t="n">
        <f aca="false"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>0</v>
      </c>
      <c r="AY105" s="0" t="n">
        <f aca="false">COUNTIF(DU105:EH105, "&lt;&gt;")</f>
        <v>0</v>
      </c>
      <c r="AZ105" s="0" t="n">
        <f aca="false">IF(EH105&lt;&gt;"",1,0)</f>
        <v>0</v>
      </c>
      <c r="BB105" s="0" t="s">
        <v>153</v>
      </c>
      <c r="DC105" s="0" t="s">
        <v>154</v>
      </c>
    </row>
    <row r="106" customFormat="false" ht="13.8" hidden="false" customHeight="false" outlineLevel="0" collapsed="false">
      <c r="A106" s="0" t="s">
        <v>742</v>
      </c>
      <c r="B106" s="0" t="n">
        <v>78</v>
      </c>
      <c r="C106" s="0" t="n">
        <v>426016</v>
      </c>
      <c r="D106" s="0" t="s">
        <v>743</v>
      </c>
      <c r="E106" s="0" t="s">
        <v>744</v>
      </c>
      <c r="F106" s="0" t="str">
        <f aca="false">CONCATENATE(D106," ",LEFT(H106,4),"T=",AU106,"D=",AV106,"R=",AW106,"M=",AX106,"L=",AY106,"B=",AZ106)</f>
        <v>BLANK T=3D=0R=0M=0L=2B=0</v>
      </c>
      <c r="G106" s="0" t="s">
        <v>181</v>
      </c>
      <c r="I106" s="0" t="s">
        <v>745</v>
      </c>
      <c r="J106" s="0" t="s">
        <v>746</v>
      </c>
      <c r="K106" s="0" t="s">
        <v>175</v>
      </c>
      <c r="M106" s="0" t="s">
        <v>747</v>
      </c>
      <c r="N106" s="0" t="str">
        <f aca="false">RIGHT(M106,LEN(M106)-FIND(" ",M106))</f>
        <v>ATLANTIC ST NE</v>
      </c>
      <c r="P106" s="0" t="s">
        <v>146</v>
      </c>
      <c r="Q106" s="0" t="s">
        <v>147</v>
      </c>
      <c r="R106" s="0" t="n">
        <v>44483</v>
      </c>
      <c r="AD106" s="0" t="s">
        <v>148</v>
      </c>
      <c r="AE106" s="0" t="s">
        <v>149</v>
      </c>
      <c r="AF106" s="0" t="s">
        <v>150</v>
      </c>
      <c r="AH106" s="0" t="n">
        <v>14</v>
      </c>
      <c r="AI106" s="0" t="n">
        <v>11</v>
      </c>
      <c r="AN106" s="0" t="s">
        <v>146</v>
      </c>
      <c r="AO106" s="0" t="s">
        <v>236</v>
      </c>
      <c r="AP106" s="0" t="s">
        <v>237</v>
      </c>
      <c r="AQ106" s="0" t="n">
        <v>9</v>
      </c>
      <c r="AR106" s="0" t="n">
        <v>64</v>
      </c>
      <c r="AS106" s="0" t="n">
        <v>32</v>
      </c>
      <c r="AU106" s="0" t="n">
        <f aca="false">COUNTA($BA$132:$EH$132)</f>
        <v>3</v>
      </c>
      <c r="AV106" s="0" t="n">
        <f aca="false">COUNTIF($BA$132:$EH$132,"D")</f>
        <v>0</v>
      </c>
      <c r="AW106" s="0" t="n">
        <f aca="false">COUNTIF($BA$132:$EH$132,"R")</f>
        <v>0</v>
      </c>
      <c r="AX106" s="0" t="n">
        <f aca="false"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>0</v>
      </c>
      <c r="AY106" s="0" t="n">
        <f aca="false">COUNTIF(DU106:EH106, "&lt;&gt;")</f>
        <v>2</v>
      </c>
      <c r="AZ106" s="0" t="n">
        <f aca="false">IF(EH106&lt;&gt;"",1,0)</f>
        <v>0</v>
      </c>
      <c r="BB106" s="0" t="s">
        <v>153</v>
      </c>
      <c r="DF106" s="0" t="s">
        <v>154</v>
      </c>
      <c r="DI106" s="0" t="s">
        <v>154</v>
      </c>
      <c r="DL106" s="0" t="s">
        <v>154</v>
      </c>
      <c r="DN106" s="0" t="s">
        <v>154</v>
      </c>
      <c r="DR106" s="0" t="s">
        <v>154</v>
      </c>
      <c r="EA106" s="0" t="s">
        <v>154</v>
      </c>
      <c r="EF106" s="0" t="s">
        <v>154</v>
      </c>
    </row>
    <row r="107" customFormat="false" ht="13.8" hidden="false" customHeight="false" outlineLevel="0" collapsed="false">
      <c r="A107" s="0" t="s">
        <v>748</v>
      </c>
      <c r="B107" s="0" t="n">
        <v>78</v>
      </c>
      <c r="C107" s="0" t="n">
        <v>428441</v>
      </c>
      <c r="D107" s="0" t="s">
        <v>749</v>
      </c>
      <c r="E107" s="0" t="s">
        <v>524</v>
      </c>
      <c r="F107" s="0" t="str">
        <f aca="false">CONCATENATE(D107," ",LEFT(H107,4),"T=",AU107,"D=",AV107,"R=",AW107,"M=",AX107,"L=",AY107,"B=",AZ107)</f>
        <v>FANTO T=1D=0R=0M=0L=3B=0</v>
      </c>
      <c r="G107" s="0" t="s">
        <v>750</v>
      </c>
      <c r="I107" s="0" t="s">
        <v>751</v>
      </c>
      <c r="J107" s="0" t="s">
        <v>752</v>
      </c>
      <c r="K107" s="0" t="s">
        <v>175</v>
      </c>
      <c r="M107" s="0" t="s">
        <v>747</v>
      </c>
      <c r="N107" s="0" t="str">
        <f aca="false">RIGHT(M107,LEN(M107)-FIND(" ",M107))</f>
        <v>ATLANTIC ST NE</v>
      </c>
      <c r="P107" s="0" t="s">
        <v>146</v>
      </c>
      <c r="Q107" s="0" t="s">
        <v>147</v>
      </c>
      <c r="R107" s="0" t="n">
        <v>44483</v>
      </c>
      <c r="AD107" s="0" t="s">
        <v>148</v>
      </c>
      <c r="AE107" s="0" t="s">
        <v>149</v>
      </c>
      <c r="AF107" s="0" t="s">
        <v>150</v>
      </c>
      <c r="AH107" s="0" t="n">
        <v>14</v>
      </c>
      <c r="AI107" s="0" t="n">
        <v>11</v>
      </c>
      <c r="AN107" s="0" t="s">
        <v>146</v>
      </c>
      <c r="AO107" s="0" t="s">
        <v>236</v>
      </c>
      <c r="AP107" s="0" t="s">
        <v>237</v>
      </c>
      <c r="AQ107" s="0" t="n">
        <v>9</v>
      </c>
      <c r="AR107" s="0" t="n">
        <v>64</v>
      </c>
      <c r="AS107" s="0" t="n">
        <v>32</v>
      </c>
      <c r="AU107" s="0" t="n">
        <f aca="false">COUNTA($BA$487:$EH$487)</f>
        <v>1</v>
      </c>
      <c r="AV107" s="0" t="n">
        <f aca="false">COUNTIF($BA$487:$EH$487,"D")</f>
        <v>0</v>
      </c>
      <c r="AW107" s="0" t="n">
        <f aca="false">COUNTIF($BA$487:$EH$487,"R")</f>
        <v>0</v>
      </c>
      <c r="AX107" s="0" t="n">
        <f aca="false"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>0</v>
      </c>
      <c r="AY107" s="0" t="n">
        <f aca="false">COUNTIF(DU107:EH107, "&lt;&gt;")</f>
        <v>3</v>
      </c>
      <c r="AZ107" s="0" t="n">
        <f aca="false">IF(EH107&lt;&gt;"",1,0)</f>
        <v>0</v>
      </c>
      <c r="BB107" s="0" t="s">
        <v>153</v>
      </c>
      <c r="DG107" s="0" t="s">
        <v>155</v>
      </c>
      <c r="DI107" s="0" t="s">
        <v>154</v>
      </c>
      <c r="DN107" s="0" t="s">
        <v>154</v>
      </c>
      <c r="DU107" s="0" t="s">
        <v>154</v>
      </c>
      <c r="EA107" s="0" t="s">
        <v>154</v>
      </c>
      <c r="EF107" s="0" t="s">
        <v>154</v>
      </c>
    </row>
    <row r="108" customFormat="false" ht="13.8" hidden="true" customHeight="false" outlineLevel="0" collapsed="false">
      <c r="A108" s="0" t="s">
        <v>753</v>
      </c>
      <c r="B108" s="0" t="n">
        <v>78</v>
      </c>
      <c r="C108" s="0" t="n">
        <v>398765</v>
      </c>
      <c r="D108" s="0" t="s">
        <v>754</v>
      </c>
      <c r="E108" s="0" t="s">
        <v>423</v>
      </c>
      <c r="F108" s="0" t="str">
        <f aca="false">CONCATENATE(D108," ",LEFT(H108,4),"T=",AU108,"D=",AV108,"R=",AW108,"M=",AX108,"L=",AY108,"B=",AZ108)</f>
        <v>REEVES T=1D=0R=0M=0L=0B=0</v>
      </c>
      <c r="G108" s="0" t="s">
        <v>755</v>
      </c>
      <c r="I108" s="0" t="s">
        <v>756</v>
      </c>
      <c r="J108" s="0" t="s">
        <v>757</v>
      </c>
      <c r="K108" s="0" t="s">
        <v>175</v>
      </c>
      <c r="L108" s="0"/>
      <c r="M108" s="0" t="s">
        <v>758</v>
      </c>
      <c r="N108" s="0" t="str">
        <f aca="false">RIGHT(M108,LEN(M108)-FIND(" ",M108))</f>
        <v>ATLANTIC ST NE</v>
      </c>
      <c r="P108" s="0" t="s">
        <v>146</v>
      </c>
      <c r="Q108" s="0" t="s">
        <v>147</v>
      </c>
      <c r="R108" s="0" t="n">
        <v>44483</v>
      </c>
      <c r="AD108" s="0" t="s">
        <v>148</v>
      </c>
      <c r="AE108" s="0" t="s">
        <v>149</v>
      </c>
      <c r="AF108" s="0" t="s">
        <v>150</v>
      </c>
      <c r="AH108" s="0" t="n">
        <v>14</v>
      </c>
      <c r="AI108" s="0" t="n">
        <v>11</v>
      </c>
      <c r="AN108" s="0" t="s">
        <v>146</v>
      </c>
      <c r="AO108" s="0" t="s">
        <v>236</v>
      </c>
      <c r="AP108" s="0" t="s">
        <v>237</v>
      </c>
      <c r="AQ108" s="0" t="n">
        <v>9</v>
      </c>
      <c r="AR108" s="0" t="n">
        <v>64</v>
      </c>
      <c r="AS108" s="0" t="n">
        <v>32</v>
      </c>
      <c r="AU108" s="0" t="n">
        <f aca="false">COUNTA($BA$217:$EH$217)</f>
        <v>1</v>
      </c>
      <c r="AV108" s="0" t="n">
        <f aca="false">COUNTIF($BA$217:$EH$217,"D")</f>
        <v>0</v>
      </c>
      <c r="AW108" s="0" t="n">
        <f aca="false">COUNTIF($BA$217:$EH$217,"R")</f>
        <v>0</v>
      </c>
      <c r="AX108" s="0" t="n">
        <f aca="false"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>0</v>
      </c>
      <c r="AY108" s="0" t="n">
        <f aca="false">COUNTIF(DU108:EH108, "&lt;&gt;")</f>
        <v>0</v>
      </c>
      <c r="AZ108" s="0" t="n">
        <f aca="false">IF(EH108&lt;&gt;"",1,0)</f>
        <v>0</v>
      </c>
      <c r="BB108" s="0" t="s">
        <v>153</v>
      </c>
    </row>
    <row r="109" customFormat="false" ht="13.8" hidden="true" customHeight="false" outlineLevel="0" collapsed="false">
      <c r="A109" s="0" t="s">
        <v>759</v>
      </c>
      <c r="B109" s="0" t="n">
        <v>78</v>
      </c>
      <c r="C109" s="0" t="n">
        <v>428731</v>
      </c>
      <c r="D109" s="0" t="s">
        <v>760</v>
      </c>
      <c r="E109" s="0" t="s">
        <v>761</v>
      </c>
      <c r="F109" s="0" t="str">
        <f aca="false">CONCATENATE(D109," ",LEFT(H109,4),"T=",AU109,"D=",AV109,"R=",AW109,"M=",AX109,"L=",AY109,"B=",AZ109)</f>
        <v>ORIANI T=2D=0R=0M=0L=0B=0</v>
      </c>
      <c r="G109" s="0" t="s">
        <v>762</v>
      </c>
      <c r="I109" s="0" t="s">
        <v>763</v>
      </c>
      <c r="J109" s="0" t="s">
        <v>764</v>
      </c>
      <c r="K109" s="0" t="s">
        <v>144</v>
      </c>
      <c r="L109" s="0"/>
      <c r="M109" s="0" t="s">
        <v>758</v>
      </c>
      <c r="N109" s="0" t="str">
        <f aca="false">RIGHT(M109,LEN(M109)-FIND(" ",M109))</f>
        <v>ATLANTIC ST NE</v>
      </c>
      <c r="P109" s="0" t="s">
        <v>146</v>
      </c>
      <c r="Q109" s="0" t="s">
        <v>147</v>
      </c>
      <c r="R109" s="0" t="n">
        <v>44483</v>
      </c>
      <c r="AD109" s="0" t="s">
        <v>148</v>
      </c>
      <c r="AE109" s="0" t="s">
        <v>149</v>
      </c>
      <c r="AF109" s="0" t="s">
        <v>150</v>
      </c>
      <c r="AH109" s="0" t="n">
        <v>14</v>
      </c>
      <c r="AI109" s="0" t="n">
        <v>11</v>
      </c>
      <c r="AN109" s="0" t="s">
        <v>146</v>
      </c>
      <c r="AO109" s="0" t="s">
        <v>236</v>
      </c>
      <c r="AP109" s="0" t="s">
        <v>237</v>
      </c>
      <c r="AQ109" s="0" t="n">
        <v>9</v>
      </c>
      <c r="AR109" s="0" t="n">
        <v>64</v>
      </c>
      <c r="AS109" s="0" t="n">
        <v>32</v>
      </c>
      <c r="AU109" s="0" t="n">
        <f aca="false">COUNTA($BA$825:$EH$825)</f>
        <v>2</v>
      </c>
      <c r="AV109" s="0" t="n">
        <f aca="false">COUNTIF($BA$825:$EH$825,"D")</f>
        <v>0</v>
      </c>
      <c r="AW109" s="0" t="n">
        <f aca="false">COUNTIF($BA$825:$EH$825,"R")</f>
        <v>0</v>
      </c>
      <c r="AX109" s="0" t="n">
        <f aca="false"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>0</v>
      </c>
      <c r="AY109" s="0" t="n">
        <f aca="false">COUNTIF(DU109:EH109, "&lt;&gt;")</f>
        <v>0</v>
      </c>
      <c r="AZ109" s="0" t="n">
        <f aca="false">IF(EH109&lt;&gt;"",1,0)</f>
        <v>0</v>
      </c>
      <c r="BB109" s="0" t="s">
        <v>153</v>
      </c>
    </row>
    <row r="110" customFormat="false" ht="13.8" hidden="true" customHeight="false" outlineLevel="0" collapsed="false">
      <c r="A110" s="0" t="s">
        <v>765</v>
      </c>
      <c r="B110" s="0" t="n">
        <v>78</v>
      </c>
      <c r="C110" s="0" t="n">
        <v>431556</v>
      </c>
      <c r="D110" s="0" t="s">
        <v>766</v>
      </c>
      <c r="E110" s="0" t="s">
        <v>750</v>
      </c>
      <c r="F110" s="0" t="str">
        <f aca="false">CONCATENATE(D110," ",LEFT(H110,4),"T=",AU110,"D=",AV110,"R=",AW110,"M=",AX110,"L=",AY110,"B=",AZ110)</f>
        <v>BALLENTINE T=2D=0R=0M=0L=0B=0</v>
      </c>
      <c r="G110" s="0" t="s">
        <v>514</v>
      </c>
      <c r="I110" s="0" t="s">
        <v>767</v>
      </c>
      <c r="J110" s="0" t="s">
        <v>768</v>
      </c>
      <c r="K110" s="0" t="s">
        <v>144</v>
      </c>
      <c r="L110" s="0"/>
      <c r="M110" s="0" t="s">
        <v>769</v>
      </c>
      <c r="N110" s="0" t="str">
        <f aca="false">RIGHT(M110,LEN(M110)-FIND(" ",M110))</f>
        <v>ATLANTIC ST NE</v>
      </c>
      <c r="P110" s="0" t="s">
        <v>146</v>
      </c>
      <c r="Q110" s="0" t="s">
        <v>147</v>
      </c>
      <c r="R110" s="0" t="n">
        <v>44483</v>
      </c>
      <c r="AD110" s="0" t="s">
        <v>148</v>
      </c>
      <c r="AE110" s="0" t="s">
        <v>149</v>
      </c>
      <c r="AF110" s="0" t="s">
        <v>150</v>
      </c>
      <c r="AH110" s="0" t="n">
        <v>14</v>
      </c>
      <c r="AI110" s="0" t="n">
        <v>11</v>
      </c>
      <c r="AN110" s="0" t="s">
        <v>146</v>
      </c>
      <c r="AO110" s="0" t="s">
        <v>236</v>
      </c>
      <c r="AP110" s="0" t="s">
        <v>237</v>
      </c>
      <c r="AQ110" s="0" t="n">
        <v>9</v>
      </c>
      <c r="AR110" s="0" t="n">
        <v>64</v>
      </c>
      <c r="AS110" s="0" t="n">
        <v>32</v>
      </c>
      <c r="AU110" s="0" t="n">
        <f aca="false">COUNTA($BA$161:$EH$161)</f>
        <v>2</v>
      </c>
      <c r="AV110" s="0" t="n">
        <f aca="false">COUNTIF($BA$161:$EH$161,"D")</f>
        <v>0</v>
      </c>
      <c r="AW110" s="0" t="n">
        <f aca="false">COUNTIF($BA$161:$EH$161,"R")</f>
        <v>0</v>
      </c>
      <c r="AX110" s="0" t="n">
        <f aca="false"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>0</v>
      </c>
      <c r="AY110" s="0" t="n">
        <f aca="false">COUNTIF(DU110:EH110, "&lt;&gt;")</f>
        <v>0</v>
      </c>
      <c r="AZ110" s="0" t="n">
        <f aca="false">IF(EH110&lt;&gt;"",1,0)</f>
        <v>0</v>
      </c>
      <c r="BB110" s="0" t="s">
        <v>153</v>
      </c>
    </row>
    <row r="111" customFormat="false" ht="13.8" hidden="false" customHeight="false" outlineLevel="0" collapsed="false">
      <c r="A111" s="0" t="s">
        <v>770</v>
      </c>
      <c r="B111" s="0" t="n">
        <v>78</v>
      </c>
      <c r="C111" s="0" t="n">
        <v>299526</v>
      </c>
      <c r="D111" s="0" t="s">
        <v>754</v>
      </c>
      <c r="E111" s="0" t="s">
        <v>771</v>
      </c>
      <c r="F111" s="0" t="str">
        <f aca="false">CONCATENATE(D111," ",LEFT(H111,4),"T=",AU111,"D=",AV111,"R=",AW111,"M=",AX111,"L=",AY111,"B=",AZ111)</f>
        <v>REEVES T=1D=0R=0M=0L=2B=0</v>
      </c>
      <c r="G111" s="0" t="s">
        <v>172</v>
      </c>
      <c r="I111" s="0" t="s">
        <v>772</v>
      </c>
      <c r="J111" s="0" t="s">
        <v>773</v>
      </c>
      <c r="K111" s="0" t="s">
        <v>175</v>
      </c>
      <c r="M111" s="0" t="s">
        <v>769</v>
      </c>
      <c r="N111" s="0" t="str">
        <f aca="false">RIGHT(M111,LEN(M111)-FIND(" ",M111))</f>
        <v>ATLANTIC ST NE</v>
      </c>
      <c r="P111" s="0" t="s">
        <v>146</v>
      </c>
      <c r="Q111" s="0" t="s">
        <v>147</v>
      </c>
      <c r="R111" s="0" t="n">
        <v>44483</v>
      </c>
      <c r="AD111" s="0" t="s">
        <v>148</v>
      </c>
      <c r="AE111" s="0" t="s">
        <v>149</v>
      </c>
      <c r="AF111" s="0" t="s">
        <v>150</v>
      </c>
      <c r="AH111" s="0" t="n">
        <v>14</v>
      </c>
      <c r="AI111" s="0" t="n">
        <v>11</v>
      </c>
      <c r="AN111" s="0" t="s">
        <v>146</v>
      </c>
      <c r="AO111" s="0" t="s">
        <v>236</v>
      </c>
      <c r="AP111" s="0" t="s">
        <v>237</v>
      </c>
      <c r="AQ111" s="0" t="n">
        <v>9</v>
      </c>
      <c r="AR111" s="0" t="n">
        <v>64</v>
      </c>
      <c r="AS111" s="0" t="n">
        <v>32</v>
      </c>
      <c r="AU111" s="0" t="n">
        <f aca="false">COUNTA($BA$661:$EH$661)</f>
        <v>1</v>
      </c>
      <c r="AV111" s="0" t="n">
        <f aca="false">COUNTIF($BA$661:$EH$661,"D")</f>
        <v>0</v>
      </c>
      <c r="AW111" s="0" t="n">
        <f aca="false">COUNTIF($BA$661:$EH$661,"R")</f>
        <v>0</v>
      </c>
      <c r="AX111" s="0" t="n">
        <f aca="false"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>0</v>
      </c>
      <c r="AY111" s="0" t="n">
        <f aca="false">COUNTIF(DU111:EH111, "&lt;&gt;")</f>
        <v>2</v>
      </c>
      <c r="AZ111" s="0" t="n">
        <f aca="false">IF(EH111&lt;&gt;"",1,0)</f>
        <v>0</v>
      </c>
      <c r="BB111" s="0" t="s">
        <v>153</v>
      </c>
      <c r="BD111" s="0" t="s">
        <v>154</v>
      </c>
      <c r="BL111" s="0" t="s">
        <v>154</v>
      </c>
      <c r="BS111" s="0" t="s">
        <v>154</v>
      </c>
      <c r="BY111" s="0" t="s">
        <v>176</v>
      </c>
      <c r="CA111" s="0" t="s">
        <v>154</v>
      </c>
      <c r="CK111" s="0" t="s">
        <v>154</v>
      </c>
      <c r="CP111" s="0" t="s">
        <v>154</v>
      </c>
      <c r="DN111" s="0" t="s">
        <v>154</v>
      </c>
      <c r="DU111" s="0" t="s">
        <v>154</v>
      </c>
      <c r="EF111" s="0" t="s">
        <v>154</v>
      </c>
    </row>
    <row r="112" customFormat="false" ht="13.8" hidden="true" customHeight="false" outlineLevel="0" collapsed="false">
      <c r="A112" s="0" t="s">
        <v>774</v>
      </c>
      <c r="B112" s="0" t="n">
        <v>78</v>
      </c>
      <c r="C112" s="0" t="n">
        <v>298837</v>
      </c>
      <c r="D112" s="0" t="s">
        <v>754</v>
      </c>
      <c r="E112" s="0" t="s">
        <v>775</v>
      </c>
      <c r="F112" s="0" t="str">
        <f aca="false">CONCATENATE(D112," ",LEFT(H112,4),"T=",AU112,"D=",AV112,"R=",AW112,"M=",AX112,"L=",AY112,"B=",AZ112)</f>
        <v>REEVES T=1D=0R=0M=0L=0B=0</v>
      </c>
      <c r="G112" s="0" t="s">
        <v>176</v>
      </c>
      <c r="I112" s="0" t="s">
        <v>776</v>
      </c>
      <c r="J112" s="0" t="s">
        <v>777</v>
      </c>
      <c r="K112" s="0" t="s">
        <v>144</v>
      </c>
      <c r="L112" s="0"/>
      <c r="M112" s="0" t="s">
        <v>769</v>
      </c>
      <c r="N112" s="0" t="str">
        <f aca="false">RIGHT(M112,LEN(M112)-FIND(" ",M112))</f>
        <v>ATLANTIC ST NE</v>
      </c>
      <c r="P112" s="0" t="s">
        <v>146</v>
      </c>
      <c r="Q112" s="0" t="s">
        <v>147</v>
      </c>
      <c r="R112" s="0" t="n">
        <v>44483</v>
      </c>
      <c r="AD112" s="0" t="s">
        <v>148</v>
      </c>
      <c r="AE112" s="0" t="s">
        <v>149</v>
      </c>
      <c r="AF112" s="0" t="s">
        <v>150</v>
      </c>
      <c r="AH112" s="0" t="n">
        <v>14</v>
      </c>
      <c r="AI112" s="0" t="n">
        <v>11</v>
      </c>
      <c r="AN112" s="0" t="s">
        <v>146</v>
      </c>
      <c r="AO112" s="0" t="s">
        <v>236</v>
      </c>
      <c r="AP112" s="0" t="s">
        <v>237</v>
      </c>
      <c r="AQ112" s="0" t="n">
        <v>9</v>
      </c>
      <c r="AR112" s="0" t="n">
        <v>64</v>
      </c>
      <c r="AS112" s="0" t="n">
        <v>32</v>
      </c>
      <c r="AU112" s="0" t="n">
        <f aca="false">COUNTA($BA$957:$EH$957)</f>
        <v>1</v>
      </c>
      <c r="AV112" s="0" t="n">
        <f aca="false">COUNTIF($BA$957:$EH$957,"D")</f>
        <v>0</v>
      </c>
      <c r="AW112" s="0" t="n">
        <f aca="false">COUNTIF($BA$957:$EH$957,"R")</f>
        <v>0</v>
      </c>
      <c r="AX112" s="0" t="n">
        <f aca="false"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>0</v>
      </c>
      <c r="AY112" s="0" t="n">
        <f aca="false">COUNTIF(DU112:EH112, "&lt;&gt;")</f>
        <v>0</v>
      </c>
      <c r="AZ112" s="0" t="n">
        <f aca="false">IF(EH112&lt;&gt;"",1,0)</f>
        <v>0</v>
      </c>
      <c r="BB112" s="0" t="s">
        <v>153</v>
      </c>
      <c r="BD112" s="0" t="s">
        <v>154</v>
      </c>
      <c r="BG112" s="0" t="s">
        <v>154</v>
      </c>
      <c r="BH112" s="0" t="s">
        <v>154</v>
      </c>
      <c r="BL112" s="0" t="s">
        <v>154</v>
      </c>
      <c r="CA112" s="0" t="s">
        <v>154</v>
      </c>
      <c r="CK112" s="0" t="s">
        <v>154</v>
      </c>
      <c r="DN112" s="0" t="s">
        <v>154</v>
      </c>
    </row>
    <row r="113" customFormat="false" ht="13.8" hidden="true" customHeight="false" outlineLevel="0" collapsed="false">
      <c r="A113" s="0" t="s">
        <v>778</v>
      </c>
      <c r="B113" s="0" t="n">
        <v>78</v>
      </c>
      <c r="C113" s="0" t="n">
        <v>396783</v>
      </c>
      <c r="D113" s="0" t="s">
        <v>779</v>
      </c>
      <c r="E113" s="0" t="s">
        <v>780</v>
      </c>
      <c r="F113" s="0" t="str">
        <f aca="false">CONCATENATE(D113," ",LEFT(H113,4),"T=",AU113,"D=",AV113,"R=",AW113,"M=",AX113,"L=",AY113,"B=",AZ113)</f>
        <v>MENDEZ T=4D=0R=0M=0L=1B=0</v>
      </c>
      <c r="I113" s="0" t="s">
        <v>781</v>
      </c>
      <c r="J113" s="0" t="s">
        <v>782</v>
      </c>
      <c r="K113" s="0" t="s">
        <v>175</v>
      </c>
      <c r="L113" s="0"/>
      <c r="M113" s="0" t="s">
        <v>783</v>
      </c>
      <c r="N113" s="0" t="str">
        <f aca="false">RIGHT(M113,LEN(M113)-FIND(" ",M113))</f>
        <v>ATLANTIC ST NE</v>
      </c>
      <c r="P113" s="0" t="s">
        <v>146</v>
      </c>
      <c r="Q113" s="0" t="s">
        <v>147</v>
      </c>
      <c r="R113" s="0" t="n">
        <v>44483</v>
      </c>
      <c r="AD113" s="0" t="s">
        <v>148</v>
      </c>
      <c r="AE113" s="0" t="s">
        <v>149</v>
      </c>
      <c r="AF113" s="0" t="s">
        <v>150</v>
      </c>
      <c r="AH113" s="0" t="n">
        <v>14</v>
      </c>
      <c r="AI113" s="0" t="n">
        <v>11</v>
      </c>
      <c r="AN113" s="0" t="s">
        <v>146</v>
      </c>
      <c r="AO113" s="0" t="s">
        <v>236</v>
      </c>
      <c r="AP113" s="0" t="s">
        <v>237</v>
      </c>
      <c r="AQ113" s="0" t="n">
        <v>9</v>
      </c>
      <c r="AR113" s="0" t="n">
        <v>64</v>
      </c>
      <c r="AS113" s="0" t="n">
        <v>32</v>
      </c>
      <c r="AU113" s="0" t="n">
        <f aca="false">COUNTA($BA$317:$EH$317)</f>
        <v>4</v>
      </c>
      <c r="AV113" s="0" t="n">
        <f aca="false">COUNTIF($BA$317:$EH$317,"D")</f>
        <v>0</v>
      </c>
      <c r="AW113" s="0" t="n">
        <f aca="false">COUNTIF($BA$317:$EH$317,"R")</f>
        <v>0</v>
      </c>
      <c r="AX113" s="0" t="n">
        <f aca="false"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>0</v>
      </c>
      <c r="AY113" s="0" t="n">
        <f aca="false">COUNTIF(DU113:EH113, "&lt;&gt;")</f>
        <v>1</v>
      </c>
      <c r="AZ113" s="0" t="n">
        <f aca="false">IF(EH113&lt;&gt;"",1,0)</f>
        <v>0</v>
      </c>
      <c r="BB113" s="0" t="s">
        <v>153</v>
      </c>
      <c r="BD113" s="0" t="s">
        <v>154</v>
      </c>
      <c r="CZ113" s="0" t="s">
        <v>155</v>
      </c>
      <c r="EF113" s="0" t="s">
        <v>154</v>
      </c>
    </row>
    <row r="114" customFormat="false" ht="13.8" hidden="true" customHeight="false" outlineLevel="0" collapsed="false">
      <c r="A114" s="0" t="s">
        <v>784</v>
      </c>
      <c r="B114" s="0" t="n">
        <v>78</v>
      </c>
      <c r="C114" s="0" t="n">
        <v>461899</v>
      </c>
      <c r="D114" s="0" t="s">
        <v>779</v>
      </c>
      <c r="E114" s="0" t="s">
        <v>785</v>
      </c>
      <c r="F114" s="0" t="str">
        <f aca="false">CONCATENATE(D114," ",LEFT(H114,4),"T=",AU114,"D=",AV114,"R=",AW114,"M=",AX114,"L=",AY114,"B=",AZ114)</f>
        <v>MENDEZ T=1D=0R=0M=0L=0B=0</v>
      </c>
      <c r="G114" s="0" t="s">
        <v>786</v>
      </c>
      <c r="I114" s="0" t="s">
        <v>787</v>
      </c>
      <c r="J114" s="0" t="s">
        <v>788</v>
      </c>
      <c r="K114" s="0" t="s">
        <v>144</v>
      </c>
      <c r="L114" s="0"/>
      <c r="M114" s="0" t="s">
        <v>783</v>
      </c>
      <c r="N114" s="0" t="str">
        <f aca="false">RIGHT(M114,LEN(M114)-FIND(" ",M114))</f>
        <v>ATLANTIC ST NE</v>
      </c>
      <c r="P114" s="0" t="s">
        <v>146</v>
      </c>
      <c r="Q114" s="0" t="s">
        <v>147</v>
      </c>
      <c r="R114" s="0" t="n">
        <v>44483</v>
      </c>
      <c r="AD114" s="0" t="s">
        <v>148</v>
      </c>
      <c r="AE114" s="0" t="s">
        <v>149</v>
      </c>
      <c r="AF114" s="0" t="s">
        <v>150</v>
      </c>
      <c r="AH114" s="0" t="n">
        <v>14</v>
      </c>
      <c r="AI114" s="0" t="n">
        <v>11</v>
      </c>
      <c r="AN114" s="0" t="s">
        <v>146</v>
      </c>
      <c r="AO114" s="0" t="s">
        <v>236</v>
      </c>
      <c r="AP114" s="0" t="s">
        <v>237</v>
      </c>
      <c r="AQ114" s="0" t="n">
        <v>9</v>
      </c>
      <c r="AR114" s="0" t="n">
        <v>64</v>
      </c>
      <c r="AS114" s="0" t="n">
        <v>32</v>
      </c>
      <c r="AU114" s="0" t="n">
        <f aca="false">COUNTA($BA$797:$EH$797)</f>
        <v>1</v>
      </c>
      <c r="AV114" s="0" t="n">
        <f aca="false">COUNTIF($BA$797:$EH$797,"D")</f>
        <v>0</v>
      </c>
      <c r="AW114" s="0" t="n">
        <f aca="false">COUNTIF($BA$797:$EH$797,"R")</f>
        <v>0</v>
      </c>
      <c r="AX114" s="0" t="n">
        <f aca="false"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>0</v>
      </c>
      <c r="AY114" s="0" t="n">
        <f aca="false">COUNTIF(DU114:EH114, "&lt;&gt;")</f>
        <v>0</v>
      </c>
      <c r="AZ114" s="0" t="n">
        <f aca="false">IF(EH114&lt;&gt;"",1,0)</f>
        <v>0</v>
      </c>
      <c r="BB114" s="0" t="s">
        <v>153</v>
      </c>
    </row>
    <row r="115" customFormat="false" ht="13.8" hidden="false" customHeight="false" outlineLevel="0" collapsed="false">
      <c r="A115" s="0" t="s">
        <v>789</v>
      </c>
      <c r="B115" s="0" t="n">
        <v>78</v>
      </c>
      <c r="C115" s="0" t="n">
        <v>286909</v>
      </c>
      <c r="D115" s="0" t="s">
        <v>790</v>
      </c>
      <c r="E115" s="0" t="s">
        <v>791</v>
      </c>
      <c r="F115" s="0" t="str">
        <f aca="false">CONCATENATE(D115," ",LEFT(H115,4),"T=",AU115,"D=",AV115,"R=",AW115,"M=",AX115,"L=",AY115,"B=",AZ115)</f>
        <v>KING T=21D=1R=1M=0L=5B=0</v>
      </c>
      <c r="G115" s="0" t="s">
        <v>241</v>
      </c>
      <c r="I115" s="0" t="s">
        <v>792</v>
      </c>
      <c r="J115" s="0" t="s">
        <v>793</v>
      </c>
      <c r="K115" s="0" t="s">
        <v>175</v>
      </c>
      <c r="L115" s="1" t="s">
        <v>176</v>
      </c>
      <c r="M115" s="0" t="s">
        <v>794</v>
      </c>
      <c r="N115" s="0" t="str">
        <f aca="false">RIGHT(M115,LEN(M115)-FIND(" ",M115))</f>
        <v>ATLANTIC ST NE</v>
      </c>
      <c r="P115" s="0" t="s">
        <v>146</v>
      </c>
      <c r="Q115" s="0" t="s">
        <v>147</v>
      </c>
      <c r="R115" s="0" t="n">
        <v>44483</v>
      </c>
      <c r="AD115" s="0" t="s">
        <v>148</v>
      </c>
      <c r="AE115" s="0" t="s">
        <v>149</v>
      </c>
      <c r="AF115" s="0" t="s">
        <v>150</v>
      </c>
      <c r="AH115" s="0" t="n">
        <v>14</v>
      </c>
      <c r="AI115" s="0" t="n">
        <v>11</v>
      </c>
      <c r="AN115" s="0" t="s">
        <v>146</v>
      </c>
      <c r="AO115" s="0" t="s">
        <v>236</v>
      </c>
      <c r="AP115" s="0" t="s">
        <v>237</v>
      </c>
      <c r="AQ115" s="0" t="n">
        <v>9</v>
      </c>
      <c r="AR115" s="0" t="n">
        <v>64</v>
      </c>
      <c r="AS115" s="0" t="n">
        <v>32</v>
      </c>
      <c r="AU115" s="0" t="n">
        <f aca="false">COUNTA($BA$721:$EH$721)</f>
        <v>21</v>
      </c>
      <c r="AV115" s="0" t="n">
        <f aca="false">COUNTIF($BA$721:$EH$721,"D")</f>
        <v>1</v>
      </c>
      <c r="AW115" s="0" t="n">
        <f aca="false">COUNTIF($BA$721:$EH$721,"R")</f>
        <v>1</v>
      </c>
      <c r="AX115" s="0" t="n">
        <f aca="false"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>0</v>
      </c>
      <c r="AY115" s="0" t="n">
        <f aca="false">COUNTIF(DU115:EH115, "&lt;&gt;")</f>
        <v>5</v>
      </c>
      <c r="AZ115" s="0" t="n">
        <f aca="false">IF(EH115&lt;&gt;"",1,0)</f>
        <v>0</v>
      </c>
      <c r="BB115" s="0" t="s">
        <v>153</v>
      </c>
      <c r="BC115" s="0" t="s">
        <v>154</v>
      </c>
      <c r="BD115" s="0" t="s">
        <v>154</v>
      </c>
      <c r="BE115" s="0" t="s">
        <v>154</v>
      </c>
      <c r="BF115" s="0" t="s">
        <v>154</v>
      </c>
      <c r="BG115" s="0" t="s">
        <v>154</v>
      </c>
      <c r="BH115" s="0" t="s">
        <v>154</v>
      </c>
      <c r="BI115" s="0" t="s">
        <v>154</v>
      </c>
      <c r="BJ115" s="0" t="s">
        <v>154</v>
      </c>
      <c r="BK115" s="0" t="s">
        <v>154</v>
      </c>
      <c r="BL115" s="0" t="s">
        <v>154</v>
      </c>
      <c r="BR115" s="0" t="s">
        <v>154</v>
      </c>
      <c r="BS115" s="0" t="s">
        <v>154</v>
      </c>
      <c r="BY115" s="0" t="s">
        <v>155</v>
      </c>
      <c r="CA115" s="0" t="s">
        <v>154</v>
      </c>
      <c r="CK115" s="0" t="s">
        <v>154</v>
      </c>
      <c r="CN115" s="0" t="s">
        <v>154</v>
      </c>
      <c r="CP115" s="0" t="s">
        <v>154</v>
      </c>
      <c r="CV115" s="0" t="s">
        <v>154</v>
      </c>
      <c r="CY115" s="0" t="s">
        <v>154</v>
      </c>
      <c r="CZ115" s="0" t="s">
        <v>155</v>
      </c>
      <c r="DC115" s="0" t="s">
        <v>154</v>
      </c>
      <c r="DF115" s="0" t="s">
        <v>154</v>
      </c>
      <c r="DM115" s="0" t="s">
        <v>155</v>
      </c>
      <c r="DN115" s="0" t="s">
        <v>154</v>
      </c>
      <c r="DS115" s="0" t="s">
        <v>155</v>
      </c>
      <c r="DU115" s="0" t="s">
        <v>154</v>
      </c>
      <c r="DX115" s="0" t="s">
        <v>154</v>
      </c>
      <c r="EA115" s="0" t="s">
        <v>154</v>
      </c>
      <c r="ED115" s="0" t="s">
        <v>176</v>
      </c>
      <c r="EF115" s="0" t="s">
        <v>154</v>
      </c>
    </row>
    <row r="116" customFormat="false" ht="13.8" hidden="true" customHeight="false" outlineLevel="0" collapsed="false">
      <c r="A116" s="0" t="s">
        <v>795</v>
      </c>
      <c r="B116" s="0" t="n">
        <v>78</v>
      </c>
      <c r="C116" s="0" t="n">
        <v>337121</v>
      </c>
      <c r="D116" s="0" t="s">
        <v>796</v>
      </c>
      <c r="E116" s="0" t="s">
        <v>376</v>
      </c>
      <c r="F116" s="0" t="str">
        <f aca="false">CONCATENATE(D116," ",LEFT(H116,4),"T=",AU116,"D=",AV116,"R=",AW116,"M=",AX116,"L=",AY116,"B=",AZ116)</f>
        <v>COE T=2D=0R=0M=0L=0B=0</v>
      </c>
      <c r="I116" s="0" t="s">
        <v>797</v>
      </c>
      <c r="J116" s="0" t="s">
        <v>798</v>
      </c>
      <c r="K116" s="0" t="s">
        <v>144</v>
      </c>
      <c r="L116" s="0"/>
      <c r="M116" s="0" t="s">
        <v>799</v>
      </c>
      <c r="N116" s="0" t="str">
        <f aca="false">RIGHT(M116,LEN(M116)-FIND(" ",M116))</f>
        <v>ATLANTIC ST NE</v>
      </c>
      <c r="P116" s="0" t="s">
        <v>146</v>
      </c>
      <c r="Q116" s="0" t="s">
        <v>147</v>
      </c>
      <c r="R116" s="0" t="n">
        <v>44483</v>
      </c>
      <c r="AD116" s="0" t="s">
        <v>148</v>
      </c>
      <c r="AE116" s="0" t="s">
        <v>149</v>
      </c>
      <c r="AF116" s="0" t="s">
        <v>150</v>
      </c>
      <c r="AH116" s="0" t="n">
        <v>14</v>
      </c>
      <c r="AI116" s="0" t="n">
        <v>11</v>
      </c>
      <c r="AN116" s="0" t="s">
        <v>146</v>
      </c>
      <c r="AO116" s="0" t="s">
        <v>236</v>
      </c>
      <c r="AP116" s="0" t="s">
        <v>237</v>
      </c>
      <c r="AQ116" s="0" t="n">
        <v>9</v>
      </c>
      <c r="AR116" s="0" t="n">
        <v>64</v>
      </c>
      <c r="AS116" s="0" t="n">
        <v>32</v>
      </c>
      <c r="AU116" s="0" t="n">
        <f aca="false">COUNTA($BA$305:$EH$305)</f>
        <v>2</v>
      </c>
      <c r="AV116" s="0" t="n">
        <f aca="false">COUNTIF($BA$305:$EH$305,"D")</f>
        <v>0</v>
      </c>
      <c r="AW116" s="0" t="n">
        <f aca="false">COUNTIF($BA$305:$EH$305,"R")</f>
        <v>0</v>
      </c>
      <c r="AX116" s="0" t="n">
        <f aca="false"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>0</v>
      </c>
      <c r="AY116" s="0" t="n">
        <f aca="false">COUNTIF(DU116:EH116, "&lt;&gt;")</f>
        <v>0</v>
      </c>
      <c r="AZ116" s="0" t="n">
        <f aca="false">IF(EH116&lt;&gt;"",1,0)</f>
        <v>0</v>
      </c>
      <c r="BB116" s="0" t="s">
        <v>153</v>
      </c>
    </row>
    <row r="117" customFormat="false" ht="13.8" hidden="true" customHeight="false" outlineLevel="0" collapsed="false">
      <c r="A117" s="0" t="s">
        <v>800</v>
      </c>
      <c r="B117" s="0" t="n">
        <v>78</v>
      </c>
      <c r="C117" s="0" t="n">
        <v>263115</v>
      </c>
      <c r="D117" s="0" t="s">
        <v>801</v>
      </c>
      <c r="E117" s="0" t="s">
        <v>802</v>
      </c>
      <c r="F117" s="0" t="str">
        <f aca="false">CONCATENATE(D117," ",LEFT(H117,4),"T=",AU117,"D=",AV117,"R=",AW117,"M=",AX117,"L=",AY117,"B=",AZ117)</f>
        <v>BELL T=5D=1R=0M=0L=0B=0</v>
      </c>
      <c r="G117" s="0" t="s">
        <v>172</v>
      </c>
      <c r="I117" s="0" t="s">
        <v>803</v>
      </c>
      <c r="J117" s="0" t="s">
        <v>804</v>
      </c>
      <c r="K117" s="0" t="s">
        <v>175</v>
      </c>
      <c r="L117" s="0"/>
      <c r="M117" s="0" t="s">
        <v>805</v>
      </c>
      <c r="N117" s="0" t="str">
        <f aca="false">RIGHT(M117,LEN(M117)-FIND(" ",M117))</f>
        <v>ATLANTIC ST NE</v>
      </c>
      <c r="P117" s="0" t="s">
        <v>146</v>
      </c>
      <c r="Q117" s="0" t="s">
        <v>147</v>
      </c>
      <c r="R117" s="0" t="n">
        <v>44483</v>
      </c>
      <c r="AD117" s="0" t="s">
        <v>148</v>
      </c>
      <c r="AE117" s="0" t="s">
        <v>149</v>
      </c>
      <c r="AF117" s="0" t="s">
        <v>150</v>
      </c>
      <c r="AH117" s="0" t="n">
        <v>14</v>
      </c>
      <c r="AI117" s="0" t="n">
        <v>11</v>
      </c>
      <c r="AN117" s="0" t="s">
        <v>146</v>
      </c>
      <c r="AO117" s="0" t="s">
        <v>236</v>
      </c>
      <c r="AP117" s="0" t="s">
        <v>237</v>
      </c>
      <c r="AQ117" s="0" t="n">
        <v>9</v>
      </c>
      <c r="AR117" s="0" t="n">
        <v>64</v>
      </c>
      <c r="AS117" s="0" t="n">
        <v>32</v>
      </c>
      <c r="AU117" s="0" t="n">
        <f aca="false">COUNTA($BA$231:$EH$231)</f>
        <v>5</v>
      </c>
      <c r="AV117" s="0" t="n">
        <f aca="false">COUNTIF($BA$231:$EH$231,"D")</f>
        <v>1</v>
      </c>
      <c r="AW117" s="0" t="n">
        <f aca="false">COUNTIF($BA$231:$EH$231,"R")</f>
        <v>0</v>
      </c>
      <c r="AX117" s="0" t="n">
        <f aca="false"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>0</v>
      </c>
      <c r="AY117" s="0" t="n">
        <f aca="false">COUNTIF(DU117:EH117, "&lt;&gt;")</f>
        <v>0</v>
      </c>
      <c r="AZ117" s="0" t="n">
        <f aca="false">IF(EH117&lt;&gt;"",1,0)</f>
        <v>0</v>
      </c>
      <c r="BB117" s="0" t="s">
        <v>153</v>
      </c>
      <c r="BD117" s="0" t="s">
        <v>154</v>
      </c>
      <c r="BL117" s="0" t="s">
        <v>154</v>
      </c>
      <c r="CP117" s="0" t="s">
        <v>154</v>
      </c>
      <c r="DI117" s="0" t="s">
        <v>154</v>
      </c>
    </row>
    <row r="118" customFormat="false" ht="13.8" hidden="true" customHeight="false" outlineLevel="0" collapsed="false">
      <c r="A118" s="0" t="s">
        <v>806</v>
      </c>
      <c r="B118" s="0" t="n">
        <v>78</v>
      </c>
      <c r="C118" s="0" t="n">
        <v>476710</v>
      </c>
      <c r="D118" s="0" t="s">
        <v>807</v>
      </c>
      <c r="E118" s="0" t="s">
        <v>619</v>
      </c>
      <c r="F118" s="0" t="str">
        <f aca="false">CONCATENATE(D118," ",LEFT(H118,4),"T=",AU118,"D=",AV118,"R=",AW118,"M=",AX118,"L=",AY118,"B=",AZ118)</f>
        <v>AREVALO T=2D=0R=0M=0L=1B=0</v>
      </c>
      <c r="I118" s="0" t="s">
        <v>808</v>
      </c>
      <c r="J118" s="0" t="s">
        <v>809</v>
      </c>
      <c r="K118" s="0" t="s">
        <v>175</v>
      </c>
      <c r="L118" s="0"/>
      <c r="M118" s="0" t="s">
        <v>810</v>
      </c>
      <c r="N118" s="0" t="str">
        <f aca="false">RIGHT(M118,LEN(M118)-FIND(" ",M118))</f>
        <v>ATLANTIC ST NE</v>
      </c>
      <c r="P118" s="0" t="s">
        <v>146</v>
      </c>
      <c r="Q118" s="0" t="s">
        <v>147</v>
      </c>
      <c r="R118" s="0" t="n">
        <v>44483</v>
      </c>
      <c r="AD118" s="0" t="s">
        <v>148</v>
      </c>
      <c r="AE118" s="0" t="s">
        <v>149</v>
      </c>
      <c r="AF118" s="0" t="s">
        <v>150</v>
      </c>
      <c r="AH118" s="0" t="n">
        <v>14</v>
      </c>
      <c r="AI118" s="0" t="n">
        <v>11</v>
      </c>
      <c r="AN118" s="0" t="s">
        <v>146</v>
      </c>
      <c r="AO118" s="0" t="s">
        <v>236</v>
      </c>
      <c r="AP118" s="0" t="s">
        <v>237</v>
      </c>
      <c r="AQ118" s="0" t="n">
        <v>9</v>
      </c>
      <c r="AR118" s="0" t="n">
        <v>64</v>
      </c>
      <c r="AS118" s="0" t="n">
        <v>32</v>
      </c>
      <c r="AU118" s="0" t="n">
        <f aca="false">COUNTA($BA$367:$EH$367)</f>
        <v>2</v>
      </c>
      <c r="AV118" s="0" t="n">
        <f aca="false">COUNTIF($BA$367:$EH$367,"D")</f>
        <v>0</v>
      </c>
      <c r="AW118" s="0" t="n">
        <f aca="false">COUNTIF($BA$367:$EH$367,"R")</f>
        <v>0</v>
      </c>
      <c r="AX118" s="0" t="n">
        <f aca="false"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>0</v>
      </c>
      <c r="AY118" s="0" t="n">
        <f aca="false">COUNTIF(DU118:EH118, "&lt;&gt;")</f>
        <v>1</v>
      </c>
      <c r="AZ118" s="0" t="n">
        <f aca="false">IF(EH118&lt;&gt;"",1,0)</f>
        <v>0</v>
      </c>
      <c r="BB118" s="0" t="s">
        <v>153</v>
      </c>
      <c r="EF118" s="0" t="s">
        <v>154</v>
      </c>
    </row>
    <row r="119" customFormat="false" ht="13.8" hidden="true" customHeight="false" outlineLevel="0" collapsed="false">
      <c r="A119" s="0" t="s">
        <v>811</v>
      </c>
      <c r="B119" s="0" t="n">
        <v>78</v>
      </c>
      <c r="C119" s="0" t="n">
        <v>488765</v>
      </c>
      <c r="D119" s="0" t="s">
        <v>807</v>
      </c>
      <c r="E119" s="0" t="s">
        <v>812</v>
      </c>
      <c r="F119" s="0" t="str">
        <f aca="false">CONCATENATE(D119," ",LEFT(H119,4),"T=",AU119,"D=",AV119,"R=",AW119,"M=",AX119,"L=",AY119,"B=",AZ119)</f>
        <v>AREVALO T=1D=0R=0M=0L=1B=0</v>
      </c>
      <c r="G119" s="0" t="s">
        <v>690</v>
      </c>
      <c r="I119" s="0" t="s">
        <v>813</v>
      </c>
      <c r="J119" s="0" t="s">
        <v>814</v>
      </c>
      <c r="K119" s="0" t="s">
        <v>175</v>
      </c>
      <c r="L119" s="0"/>
      <c r="M119" s="0" t="s">
        <v>810</v>
      </c>
      <c r="N119" s="0" t="str">
        <f aca="false">RIGHT(M119,LEN(M119)-FIND(" ",M119))</f>
        <v>ATLANTIC ST NE</v>
      </c>
      <c r="P119" s="0" t="s">
        <v>146</v>
      </c>
      <c r="Q119" s="0" t="s">
        <v>147</v>
      </c>
      <c r="R119" s="0" t="n">
        <v>44483</v>
      </c>
      <c r="AD119" s="0" t="s">
        <v>148</v>
      </c>
      <c r="AE119" s="0" t="s">
        <v>149</v>
      </c>
      <c r="AF119" s="0" t="s">
        <v>150</v>
      </c>
      <c r="AH119" s="0" t="n">
        <v>14</v>
      </c>
      <c r="AI119" s="0" t="n">
        <v>11</v>
      </c>
      <c r="AN119" s="0" t="s">
        <v>146</v>
      </c>
      <c r="AO119" s="0" t="s">
        <v>236</v>
      </c>
      <c r="AP119" s="0" t="s">
        <v>237</v>
      </c>
      <c r="AQ119" s="0" t="n">
        <v>9</v>
      </c>
      <c r="AR119" s="0" t="n">
        <v>64</v>
      </c>
      <c r="AS119" s="0" t="n">
        <v>32</v>
      </c>
      <c r="AU119" s="0" t="n">
        <f aca="false">COUNTA($BA$406:$EH$406)</f>
        <v>1</v>
      </c>
      <c r="AV119" s="0" t="n">
        <f aca="false">COUNTIF($BA$406:$EH$406,"D")</f>
        <v>0</v>
      </c>
      <c r="AW119" s="0" t="n">
        <f aca="false">COUNTIF($BA$406:$EH$406,"R")</f>
        <v>0</v>
      </c>
      <c r="AX119" s="0" t="n">
        <f aca="false"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>0</v>
      </c>
      <c r="AY119" s="0" t="n">
        <f aca="false">COUNTIF(DU119:EH119, "&lt;&gt;")</f>
        <v>1</v>
      </c>
      <c r="AZ119" s="0" t="n">
        <f aca="false">IF(EH119&lt;&gt;"",1,0)</f>
        <v>0</v>
      </c>
      <c r="BB119" s="0" t="s">
        <v>153</v>
      </c>
      <c r="EF119" s="0" t="s">
        <v>154</v>
      </c>
    </row>
    <row r="120" customFormat="false" ht="13.8" hidden="true" customHeight="false" outlineLevel="0" collapsed="false">
      <c r="A120" s="0" t="s">
        <v>815</v>
      </c>
      <c r="B120" s="0" t="n">
        <v>78</v>
      </c>
      <c r="C120" s="0" t="n">
        <v>488643</v>
      </c>
      <c r="D120" s="0" t="s">
        <v>816</v>
      </c>
      <c r="E120" s="0" t="s">
        <v>817</v>
      </c>
      <c r="F120" s="0" t="str">
        <f aca="false">CONCATENATE(D120," ",LEFT(H120,4),"T=",AU120,"D=",AV120,"R=",AW120,"M=",AX120,"L=",AY120,"B=",AZ120)</f>
        <v>GALBAN T=9D=0R=0M=0L=1B=0</v>
      </c>
      <c r="I120" s="0" t="s">
        <v>818</v>
      </c>
      <c r="J120" s="0" t="s">
        <v>819</v>
      </c>
      <c r="K120" s="0" t="s">
        <v>175</v>
      </c>
      <c r="L120" s="0"/>
      <c r="M120" s="0" t="s">
        <v>810</v>
      </c>
      <c r="N120" s="0" t="str">
        <f aca="false">RIGHT(M120,LEN(M120)-FIND(" ",M120))</f>
        <v>ATLANTIC ST NE</v>
      </c>
      <c r="O120" s="0" t="s">
        <v>820</v>
      </c>
      <c r="P120" s="0" t="s">
        <v>146</v>
      </c>
      <c r="Q120" s="0" t="s">
        <v>147</v>
      </c>
      <c r="R120" s="0" t="n">
        <v>44483</v>
      </c>
      <c r="AD120" s="0" t="s">
        <v>148</v>
      </c>
      <c r="AE120" s="0" t="s">
        <v>149</v>
      </c>
      <c r="AF120" s="0" t="s">
        <v>150</v>
      </c>
      <c r="AH120" s="0" t="n">
        <v>14</v>
      </c>
      <c r="AI120" s="0" t="n">
        <v>11</v>
      </c>
      <c r="AN120" s="0" t="s">
        <v>146</v>
      </c>
      <c r="AO120" s="0" t="s">
        <v>236</v>
      </c>
      <c r="AP120" s="0" t="s">
        <v>237</v>
      </c>
      <c r="AQ120" s="0" t="n">
        <v>9</v>
      </c>
      <c r="AR120" s="0" t="n">
        <v>64</v>
      </c>
      <c r="AS120" s="0" t="n">
        <v>32</v>
      </c>
      <c r="AU120" s="0" t="n">
        <f aca="false">COUNTA($BA$455:$EH$455)</f>
        <v>9</v>
      </c>
      <c r="AV120" s="0" t="n">
        <f aca="false">COUNTIF($BA$455:$EH$455,"D")</f>
        <v>0</v>
      </c>
      <c r="AW120" s="0" t="n">
        <f aca="false">COUNTIF($BA$455:$EH$455,"R")</f>
        <v>0</v>
      </c>
      <c r="AX120" s="0" t="n">
        <f aca="false"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>0</v>
      </c>
      <c r="AY120" s="0" t="n">
        <f aca="false">COUNTIF(DU120:EH120, "&lt;&gt;")</f>
        <v>1</v>
      </c>
      <c r="AZ120" s="0" t="n">
        <f aca="false">IF(EH120&lt;&gt;"",1,0)</f>
        <v>0</v>
      </c>
      <c r="BB120" s="0" t="s">
        <v>153</v>
      </c>
      <c r="EF120" s="0" t="s">
        <v>154</v>
      </c>
    </row>
    <row r="121" customFormat="false" ht="13.8" hidden="true" customHeight="false" outlineLevel="0" collapsed="false">
      <c r="A121" s="0" t="s">
        <v>821</v>
      </c>
      <c r="B121" s="0" t="n">
        <v>78</v>
      </c>
      <c r="C121" s="0" t="n">
        <v>372357</v>
      </c>
      <c r="D121" s="0" t="s">
        <v>822</v>
      </c>
      <c r="E121" s="0" t="s">
        <v>750</v>
      </c>
      <c r="F121" s="0" t="str">
        <f aca="false">CONCATENATE(D121," ",LEFT(H121,4),"T=",AU121,"D=",AV121,"R=",AW121,"M=",AX121,"L=",AY121,"B=",AZ121)</f>
        <v>KEITH T=2D=0R=0M=0L=0B=0</v>
      </c>
      <c r="G121" s="0" t="s">
        <v>241</v>
      </c>
      <c r="I121" s="0" t="s">
        <v>823</v>
      </c>
      <c r="J121" s="0" t="s">
        <v>757</v>
      </c>
      <c r="K121" s="0" t="s">
        <v>175</v>
      </c>
      <c r="L121" s="0"/>
      <c r="M121" s="0" t="s">
        <v>824</v>
      </c>
      <c r="N121" s="0" t="str">
        <f aca="false">RIGHT(M121,LEN(M121)-FIND(" ",M121))</f>
        <v>ATLANTIC ST NW</v>
      </c>
      <c r="P121" s="0" t="s">
        <v>146</v>
      </c>
      <c r="Q121" s="0" t="s">
        <v>147</v>
      </c>
      <c r="R121" s="0" t="n">
        <v>44483</v>
      </c>
      <c r="AD121" s="0" t="s">
        <v>148</v>
      </c>
      <c r="AE121" s="0" t="s">
        <v>149</v>
      </c>
      <c r="AF121" s="0" t="s">
        <v>150</v>
      </c>
      <c r="AH121" s="0" t="n">
        <v>14</v>
      </c>
      <c r="AI121" s="0" t="n">
        <v>11</v>
      </c>
      <c r="AN121" s="0" t="s">
        <v>146</v>
      </c>
      <c r="AO121" s="0" t="s">
        <v>151</v>
      </c>
      <c r="AP121" s="0" t="s">
        <v>152</v>
      </c>
      <c r="AQ121" s="0" t="n">
        <v>9</v>
      </c>
      <c r="AR121" s="0" t="n">
        <v>64</v>
      </c>
      <c r="AS121" s="0" t="n">
        <v>32</v>
      </c>
      <c r="AU121" s="0" t="n">
        <f aca="false">COUNTA($BA$1149:$EH$1149)</f>
        <v>2</v>
      </c>
      <c r="AV121" s="0" t="n">
        <f aca="false">COUNTIF($BA$1149:$EH$1149,"D")</f>
        <v>0</v>
      </c>
      <c r="AW121" s="0" t="n">
        <f aca="false">COUNTIF($BA$1149:$EH$1149,"R")</f>
        <v>0</v>
      </c>
      <c r="AX121" s="0" t="n">
        <f aca="false"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>0</v>
      </c>
      <c r="AY121" s="0" t="n">
        <f aca="false">COUNTIF(DU121:EH121, "&lt;&gt;")</f>
        <v>0</v>
      </c>
      <c r="AZ121" s="0" t="n">
        <f aca="false">IF(EH121&lt;&gt;"",1,0)</f>
        <v>0</v>
      </c>
      <c r="BB121" s="0" t="s">
        <v>153</v>
      </c>
    </row>
    <row r="122" customFormat="false" ht="13.8" hidden="false" customHeight="false" outlineLevel="0" collapsed="false">
      <c r="A122" s="0" t="s">
        <v>825</v>
      </c>
      <c r="B122" s="0" t="n">
        <v>78</v>
      </c>
      <c r="C122" s="0" t="n">
        <v>388401</v>
      </c>
      <c r="D122" s="0" t="s">
        <v>322</v>
      </c>
      <c r="E122" s="0" t="s">
        <v>826</v>
      </c>
      <c r="F122" s="0" t="str">
        <f aca="false">CONCATENATE(D122," ",LEFT(H122,4),"T=",AU122,"D=",AV122,"R=",AW122,"M=",AX122,"L=",AY122,"B=",AZ122)</f>
        <v>BREWER T=45D=2R=7M=0L=3B=0</v>
      </c>
      <c r="G122" s="0" t="s">
        <v>690</v>
      </c>
      <c r="I122" s="0" t="s">
        <v>827</v>
      </c>
      <c r="J122" s="0" t="s">
        <v>828</v>
      </c>
      <c r="K122" s="0" t="s">
        <v>175</v>
      </c>
      <c r="M122" s="0" t="s">
        <v>824</v>
      </c>
      <c r="N122" s="0" t="str">
        <f aca="false">RIGHT(M122,LEN(M122)-FIND(" ",M122))</f>
        <v>ATLANTIC ST NW</v>
      </c>
      <c r="P122" s="0" t="s">
        <v>146</v>
      </c>
      <c r="Q122" s="0" t="s">
        <v>147</v>
      </c>
      <c r="R122" s="0" t="n">
        <v>44483</v>
      </c>
      <c r="AD122" s="0" t="s">
        <v>148</v>
      </c>
      <c r="AE122" s="0" t="s">
        <v>149</v>
      </c>
      <c r="AF122" s="0" t="s">
        <v>150</v>
      </c>
      <c r="AH122" s="0" t="n">
        <v>14</v>
      </c>
      <c r="AI122" s="0" t="n">
        <v>11</v>
      </c>
      <c r="AN122" s="0" t="s">
        <v>146</v>
      </c>
      <c r="AO122" s="0" t="s">
        <v>151</v>
      </c>
      <c r="AP122" s="0" t="s">
        <v>152</v>
      </c>
      <c r="AQ122" s="0" t="n">
        <v>9</v>
      </c>
      <c r="AR122" s="0" t="n">
        <v>64</v>
      </c>
      <c r="AS122" s="0" t="n">
        <v>32</v>
      </c>
      <c r="AU122" s="0" t="n">
        <f aca="false">COUNTA($BA$1502:$EH$1502)</f>
        <v>45</v>
      </c>
      <c r="AV122" s="0" t="n">
        <f aca="false">COUNTIF($BA$1502:$EH$1502,"D")</f>
        <v>2</v>
      </c>
      <c r="AW122" s="0" t="n">
        <f aca="false">COUNTIF($BA$1502:$EH$1502,"R")</f>
        <v>7</v>
      </c>
      <c r="AX122" s="0" t="n">
        <f aca="false"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>0</v>
      </c>
      <c r="AY122" s="0" t="n">
        <f aca="false">COUNTIF(DU122:EH122, "&lt;&gt;")</f>
        <v>3</v>
      </c>
      <c r="AZ122" s="0" t="n">
        <f aca="false">IF(EH122&lt;&gt;"",1,0)</f>
        <v>0</v>
      </c>
      <c r="BB122" s="0" t="s">
        <v>153</v>
      </c>
      <c r="CP122" s="0" t="s">
        <v>154</v>
      </c>
      <c r="DC122" s="0" t="s">
        <v>154</v>
      </c>
      <c r="DN122" s="0" t="s">
        <v>154</v>
      </c>
      <c r="DU122" s="0" t="s">
        <v>154</v>
      </c>
      <c r="EA122" s="0" t="s">
        <v>154</v>
      </c>
      <c r="EF122" s="0" t="s">
        <v>154</v>
      </c>
    </row>
    <row r="123" customFormat="false" ht="13.8" hidden="true" customHeight="false" outlineLevel="0" collapsed="false">
      <c r="A123" s="0" t="s">
        <v>829</v>
      </c>
      <c r="B123" s="0" t="n">
        <v>78</v>
      </c>
      <c r="C123" s="0" t="n">
        <v>402128</v>
      </c>
      <c r="D123" s="0" t="s">
        <v>830</v>
      </c>
      <c r="E123" s="0" t="s">
        <v>831</v>
      </c>
      <c r="F123" s="0" t="str">
        <f aca="false">CONCATENATE(D123," ",LEFT(H123,4),"T=",AU123,"D=",AV123,"R=",AW123,"M=",AX123,"L=",AY123,"B=",AZ123)</f>
        <v>BRANTLEY T=19D=9R=0M=0L=0B=0</v>
      </c>
      <c r="G123" s="0" t="s">
        <v>832</v>
      </c>
      <c r="I123" s="0" t="s">
        <v>833</v>
      </c>
      <c r="J123" s="0" t="s">
        <v>834</v>
      </c>
      <c r="K123" s="0" t="s">
        <v>144</v>
      </c>
      <c r="L123" s="0"/>
      <c r="M123" s="0" t="s">
        <v>824</v>
      </c>
      <c r="N123" s="0" t="str">
        <f aca="false">RIGHT(M123,LEN(M123)-FIND(" ",M123))</f>
        <v>ATLANTIC ST NW</v>
      </c>
      <c r="P123" s="0" t="s">
        <v>146</v>
      </c>
      <c r="Q123" s="0" t="s">
        <v>147</v>
      </c>
      <c r="R123" s="0" t="n">
        <v>44483</v>
      </c>
      <c r="AD123" s="0" t="s">
        <v>148</v>
      </c>
      <c r="AE123" s="0" t="s">
        <v>149</v>
      </c>
      <c r="AF123" s="0" t="s">
        <v>150</v>
      </c>
      <c r="AH123" s="0" t="n">
        <v>14</v>
      </c>
      <c r="AI123" s="0" t="n">
        <v>11</v>
      </c>
      <c r="AN123" s="0" t="s">
        <v>146</v>
      </c>
      <c r="AO123" s="0" t="s">
        <v>151</v>
      </c>
      <c r="AP123" s="0" t="s">
        <v>152</v>
      </c>
      <c r="AQ123" s="0" t="n">
        <v>9</v>
      </c>
      <c r="AR123" s="0" t="n">
        <v>64</v>
      </c>
      <c r="AS123" s="0" t="n">
        <v>32</v>
      </c>
      <c r="AU123" s="0" t="n">
        <f aca="false">COUNTA($BA$1869:$EH$1869)</f>
        <v>19</v>
      </c>
      <c r="AV123" s="0" t="n">
        <f aca="false">COUNTIF($BA$1869:$EH$1869,"D")</f>
        <v>9</v>
      </c>
      <c r="AW123" s="0" t="n">
        <f aca="false">COUNTIF($BA$1869:$EH$1869,"R")</f>
        <v>0</v>
      </c>
      <c r="AX123" s="0" t="n">
        <f aca="false"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>0</v>
      </c>
      <c r="AY123" s="0" t="n">
        <f aca="false">COUNTIF(DU123:EH123, "&lt;&gt;")</f>
        <v>0</v>
      </c>
      <c r="AZ123" s="0" t="n">
        <f aca="false">IF(EH123&lt;&gt;"",1,0)</f>
        <v>0</v>
      </c>
      <c r="BB123" s="0" t="s">
        <v>153</v>
      </c>
    </row>
    <row r="124" customFormat="false" ht="13.8" hidden="true" customHeight="false" outlineLevel="0" collapsed="false">
      <c r="A124" s="0" t="s">
        <v>835</v>
      </c>
      <c r="B124" s="0" t="n">
        <v>78</v>
      </c>
      <c r="C124" s="0" t="n">
        <v>470544</v>
      </c>
      <c r="D124" s="0" t="s">
        <v>836</v>
      </c>
      <c r="E124" s="0" t="s">
        <v>296</v>
      </c>
      <c r="F124" s="0" t="str">
        <f aca="false">CONCATENATE(D124," ",LEFT(H124,4),"T=",AU124,"D=",AV124,"R=",AW124,"M=",AX124,"L=",AY124,"B=",AZ124)</f>
        <v>RAMSEY T=2D=0R=0M=0L=1B=0</v>
      </c>
      <c r="G124" s="0" t="s">
        <v>837</v>
      </c>
      <c r="I124" s="0" t="s">
        <v>838</v>
      </c>
      <c r="J124" s="0" t="s">
        <v>839</v>
      </c>
      <c r="K124" s="0" t="s">
        <v>175</v>
      </c>
      <c r="L124" s="0"/>
      <c r="M124" s="0" t="s">
        <v>840</v>
      </c>
      <c r="N124" s="0" t="str">
        <f aca="false">RIGHT(M124,LEN(M124)-FIND(" ",M124))</f>
        <v>ATLANTIC ST NW</v>
      </c>
      <c r="P124" s="0" t="s">
        <v>146</v>
      </c>
      <c r="Q124" s="0" t="s">
        <v>147</v>
      </c>
      <c r="R124" s="0" t="n">
        <v>44483</v>
      </c>
      <c r="AD124" s="0" t="s">
        <v>148</v>
      </c>
      <c r="AE124" s="0" t="s">
        <v>149</v>
      </c>
      <c r="AF124" s="0" t="s">
        <v>150</v>
      </c>
      <c r="AH124" s="0" t="n">
        <v>14</v>
      </c>
      <c r="AI124" s="0" t="n">
        <v>11</v>
      </c>
      <c r="AN124" s="0" t="s">
        <v>146</v>
      </c>
      <c r="AO124" s="0" t="s">
        <v>151</v>
      </c>
      <c r="AP124" s="0" t="s">
        <v>152</v>
      </c>
      <c r="AQ124" s="0" t="n">
        <v>9</v>
      </c>
      <c r="AR124" s="0" t="n">
        <v>64</v>
      </c>
      <c r="AS124" s="0" t="n">
        <v>32</v>
      </c>
      <c r="AU124" s="0" t="n">
        <f aca="false">COUNTA($BA$1375:$EH$1375)</f>
        <v>2</v>
      </c>
      <c r="AV124" s="0" t="n">
        <f aca="false">COUNTIF($BA$1375:$EH$1375,"D")</f>
        <v>0</v>
      </c>
      <c r="AW124" s="0" t="n">
        <f aca="false">COUNTIF($BA$1375:$EH$1375,"R")</f>
        <v>0</v>
      </c>
      <c r="AX124" s="0" t="n">
        <f aca="false"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>0</v>
      </c>
      <c r="AY124" s="0" t="n">
        <f aca="false">COUNTIF(DU124:EH124, "&lt;&gt;")</f>
        <v>1</v>
      </c>
      <c r="AZ124" s="0" t="n">
        <f aca="false">IF(EH124&lt;&gt;"",1,0)</f>
        <v>0</v>
      </c>
      <c r="BB124" s="0" t="s">
        <v>153</v>
      </c>
      <c r="EF124" s="0" t="s">
        <v>154</v>
      </c>
    </row>
    <row r="125" customFormat="false" ht="13.8" hidden="true" customHeight="false" outlineLevel="0" collapsed="false">
      <c r="A125" s="0" t="s">
        <v>841</v>
      </c>
      <c r="B125" s="0" t="n">
        <v>78</v>
      </c>
      <c r="C125" s="0" t="n">
        <v>487909</v>
      </c>
      <c r="D125" s="0" t="s">
        <v>842</v>
      </c>
      <c r="E125" s="0" t="s">
        <v>843</v>
      </c>
      <c r="F125" s="0" t="str">
        <f aca="false">CONCATENATE(D125," ",LEFT(H125,4),"T=",AU125,"D=",AV125,"R=",AW125,"M=",AX125,"L=",AY125,"B=",AZ125)</f>
        <v>RAYMOND JRT=14D=1R=2M=0L=0B=0</v>
      </c>
      <c r="G125" s="0" t="s">
        <v>155</v>
      </c>
      <c r="H125" s="0" t="s">
        <v>431</v>
      </c>
      <c r="I125" s="0" t="s">
        <v>844</v>
      </c>
      <c r="J125" s="0" t="s">
        <v>845</v>
      </c>
      <c r="K125" s="0" t="s">
        <v>175</v>
      </c>
      <c r="L125" s="0"/>
      <c r="M125" s="0" t="s">
        <v>846</v>
      </c>
      <c r="N125" s="0" t="str">
        <f aca="false">RIGHT(M125,LEN(M125)-FIND(" ",M125))</f>
        <v>ATLANTIC ST NW</v>
      </c>
      <c r="P125" s="0" t="s">
        <v>146</v>
      </c>
      <c r="Q125" s="0" t="s">
        <v>147</v>
      </c>
      <c r="R125" s="0" t="n">
        <v>44483</v>
      </c>
      <c r="AD125" s="0" t="s">
        <v>148</v>
      </c>
      <c r="AE125" s="0" t="s">
        <v>149</v>
      </c>
      <c r="AF125" s="0" t="s">
        <v>150</v>
      </c>
      <c r="AH125" s="0" t="n">
        <v>14</v>
      </c>
      <c r="AI125" s="0" t="n">
        <v>11</v>
      </c>
      <c r="AN125" s="0" t="s">
        <v>146</v>
      </c>
      <c r="AO125" s="0" t="s">
        <v>151</v>
      </c>
      <c r="AP125" s="0" t="s">
        <v>152</v>
      </c>
      <c r="AQ125" s="0" t="n">
        <v>9</v>
      </c>
      <c r="AR125" s="0" t="n">
        <v>64</v>
      </c>
      <c r="AS125" s="0" t="n">
        <v>32</v>
      </c>
      <c r="AU125" s="0" t="n">
        <f aca="false">COUNTA($BA$1254:$EH$1254)</f>
        <v>14</v>
      </c>
      <c r="AV125" s="0" t="n">
        <f aca="false">COUNTIF($BA$1254:$EH$1254,"D")</f>
        <v>1</v>
      </c>
      <c r="AW125" s="0" t="n">
        <f aca="false">COUNTIF($BA$1254:$EH$1254,"R")</f>
        <v>2</v>
      </c>
      <c r="AX125" s="0" t="n">
        <f aca="false"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>0</v>
      </c>
      <c r="AY125" s="0" t="n">
        <f aca="false">COUNTIF(DU125:EH125, "&lt;&gt;")</f>
        <v>0</v>
      </c>
      <c r="AZ125" s="0" t="n">
        <f aca="false">IF(EH125&lt;&gt;"",1,0)</f>
        <v>0</v>
      </c>
      <c r="BB125" s="0" t="s">
        <v>153</v>
      </c>
    </row>
    <row r="126" customFormat="false" ht="13.8" hidden="true" customHeight="false" outlineLevel="0" collapsed="false">
      <c r="A126" s="0" t="s">
        <v>847</v>
      </c>
      <c r="B126" s="0" t="n">
        <v>78</v>
      </c>
      <c r="C126" s="0" t="n">
        <v>358160</v>
      </c>
      <c r="D126" s="0" t="s">
        <v>848</v>
      </c>
      <c r="E126" s="0" t="s">
        <v>609</v>
      </c>
      <c r="F126" s="0" t="str">
        <f aca="false">CONCATENATE(D126," ",LEFT(H126,4),"T=",AU126,"D=",AV126,"R=",AW126,"M=",AX126,"L=",AY126,"B=",AZ126)</f>
        <v>CHANEY T=20D=6R=0M=0L=0B=0</v>
      </c>
      <c r="G126" s="0" t="s">
        <v>176</v>
      </c>
      <c r="I126" s="0" t="s">
        <v>849</v>
      </c>
      <c r="J126" s="0" t="s">
        <v>575</v>
      </c>
      <c r="K126" s="0" t="s">
        <v>144</v>
      </c>
      <c r="L126" s="0"/>
      <c r="M126" s="0" t="s">
        <v>850</v>
      </c>
      <c r="N126" s="0" t="str">
        <f aca="false">RIGHT(M126,LEN(M126)-FIND(" ",M126))</f>
        <v>ATLANTIC ST NW</v>
      </c>
      <c r="P126" s="0" t="s">
        <v>146</v>
      </c>
      <c r="Q126" s="0" t="s">
        <v>147</v>
      </c>
      <c r="R126" s="0" t="n">
        <v>44483</v>
      </c>
      <c r="AD126" s="0" t="s">
        <v>148</v>
      </c>
      <c r="AE126" s="0" t="s">
        <v>149</v>
      </c>
      <c r="AF126" s="0" t="s">
        <v>150</v>
      </c>
      <c r="AH126" s="0" t="n">
        <v>14</v>
      </c>
      <c r="AI126" s="0" t="n">
        <v>11</v>
      </c>
      <c r="AN126" s="0" t="s">
        <v>146</v>
      </c>
      <c r="AO126" s="0" t="s">
        <v>151</v>
      </c>
      <c r="AP126" s="0" t="s">
        <v>152</v>
      </c>
      <c r="AQ126" s="0" t="n">
        <v>9</v>
      </c>
      <c r="AR126" s="0" t="n">
        <v>64</v>
      </c>
      <c r="AS126" s="0" t="n">
        <v>32</v>
      </c>
      <c r="AU126" s="0" t="n">
        <f aca="false">COUNTA($BA$1681:$EH$1681)</f>
        <v>20</v>
      </c>
      <c r="AV126" s="0" t="n">
        <f aca="false">COUNTIF($BA$1681:$EH$1681,"D")</f>
        <v>6</v>
      </c>
      <c r="AW126" s="0" t="n">
        <f aca="false">COUNTIF($BA$1681:$EH$1681,"R")</f>
        <v>0</v>
      </c>
      <c r="AX126" s="0" t="n">
        <f aca="false"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>0</v>
      </c>
      <c r="AY126" s="0" t="n">
        <f aca="false">COUNTIF(DU126:EH126, "&lt;&gt;")</f>
        <v>0</v>
      </c>
      <c r="AZ126" s="0" t="n">
        <f aca="false">IF(EH126&lt;&gt;"",1,0)</f>
        <v>0</v>
      </c>
      <c r="BB126" s="0" t="s">
        <v>153</v>
      </c>
      <c r="CA126" s="0" t="s">
        <v>154</v>
      </c>
      <c r="CP126" s="0" t="s">
        <v>154</v>
      </c>
      <c r="CZ126" s="0" t="s">
        <v>155</v>
      </c>
      <c r="DC126" s="0" t="s">
        <v>154</v>
      </c>
      <c r="DI126" s="0" t="s">
        <v>154</v>
      </c>
      <c r="DN126" s="0" t="s">
        <v>154</v>
      </c>
    </row>
    <row r="127" customFormat="false" ht="13.8" hidden="true" customHeight="false" outlineLevel="0" collapsed="false">
      <c r="A127" s="0" t="s">
        <v>851</v>
      </c>
      <c r="B127" s="0" t="n">
        <v>78</v>
      </c>
      <c r="C127" s="0" t="n">
        <v>349707</v>
      </c>
      <c r="D127" s="0" t="s">
        <v>848</v>
      </c>
      <c r="E127" s="0" t="s">
        <v>852</v>
      </c>
      <c r="F127" s="0" t="str">
        <f aca="false">CONCATENATE(D127," ",LEFT(H127,4),"T=",AU127,"D=",AV127,"R=",AW127,"M=",AX127,"L=",AY127,"B=",AZ127)</f>
        <v>CHANEY T=32D=3R=0M=0L=0B=0</v>
      </c>
      <c r="G127" s="0" t="s">
        <v>216</v>
      </c>
      <c r="I127" s="0" t="s">
        <v>853</v>
      </c>
      <c r="J127" s="0" t="s">
        <v>854</v>
      </c>
      <c r="K127" s="0" t="s">
        <v>175</v>
      </c>
      <c r="L127" s="0"/>
      <c r="M127" s="0" t="s">
        <v>850</v>
      </c>
      <c r="N127" s="0" t="str">
        <f aca="false">RIGHT(M127,LEN(M127)-FIND(" ",M127))</f>
        <v>ATLANTIC ST NW</v>
      </c>
      <c r="P127" s="0" t="s">
        <v>146</v>
      </c>
      <c r="Q127" s="0" t="s">
        <v>147</v>
      </c>
      <c r="R127" s="0" t="n">
        <v>44483</v>
      </c>
      <c r="AD127" s="0" t="s">
        <v>148</v>
      </c>
      <c r="AE127" s="0" t="s">
        <v>149</v>
      </c>
      <c r="AF127" s="0" t="s">
        <v>150</v>
      </c>
      <c r="AH127" s="0" t="n">
        <v>14</v>
      </c>
      <c r="AI127" s="0" t="n">
        <v>11</v>
      </c>
      <c r="AN127" s="0" t="s">
        <v>146</v>
      </c>
      <c r="AO127" s="0" t="s">
        <v>151</v>
      </c>
      <c r="AP127" s="0" t="s">
        <v>152</v>
      </c>
      <c r="AQ127" s="0" t="n">
        <v>9</v>
      </c>
      <c r="AR127" s="0" t="n">
        <v>64</v>
      </c>
      <c r="AS127" s="0" t="n">
        <v>32</v>
      </c>
      <c r="AU127" s="0" t="n">
        <f aca="false">COUNTA($BA$1807:$EH$1807)</f>
        <v>32</v>
      </c>
      <c r="AV127" s="0" t="n">
        <f aca="false">COUNTIF($BA$1807:$EH$1807,"D")</f>
        <v>3</v>
      </c>
      <c r="AW127" s="0" t="n">
        <f aca="false">COUNTIF($BA$1807:$EH$1807,"R")</f>
        <v>0</v>
      </c>
      <c r="AX127" s="0" t="n">
        <f aca="false"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>0</v>
      </c>
      <c r="AY127" s="0" t="n">
        <f aca="false">COUNTIF(DU127:EH127, "&lt;&gt;")</f>
        <v>0</v>
      </c>
      <c r="AZ127" s="0" t="n">
        <f aca="false">IF(EH127&lt;&gt;"",1,0)</f>
        <v>0</v>
      </c>
      <c r="BB127" s="0" t="s">
        <v>153</v>
      </c>
      <c r="CA127" s="0" t="s">
        <v>154</v>
      </c>
      <c r="DC127" s="0" t="s">
        <v>154</v>
      </c>
      <c r="DN127" s="0" t="s">
        <v>154</v>
      </c>
    </row>
    <row r="128" customFormat="false" ht="13.8" hidden="true" customHeight="false" outlineLevel="0" collapsed="false">
      <c r="A128" s="0" t="s">
        <v>855</v>
      </c>
      <c r="B128" s="0" t="n">
        <v>78</v>
      </c>
      <c r="C128" s="0" t="n">
        <v>359665</v>
      </c>
      <c r="D128" s="0" t="s">
        <v>856</v>
      </c>
      <c r="E128" s="0" t="s">
        <v>857</v>
      </c>
      <c r="F128" s="0" t="str">
        <f aca="false">CONCATENATE(D128," ",LEFT(H128,4),"T=",AU128,"D=",AV128,"R=",AW128,"M=",AX128,"L=",AY128,"B=",AZ128)</f>
        <v>JONES T=16D=0R=0M=0L=1B=0</v>
      </c>
      <c r="G128" s="0" t="s">
        <v>858</v>
      </c>
      <c r="I128" s="0" t="s">
        <v>859</v>
      </c>
      <c r="J128" s="0" t="s">
        <v>712</v>
      </c>
      <c r="K128" s="0" t="s">
        <v>175</v>
      </c>
      <c r="L128" s="0"/>
      <c r="M128" s="0" t="s">
        <v>860</v>
      </c>
      <c r="N128" s="0" t="str">
        <f aca="false">RIGHT(M128,LEN(M128)-FIND(" ",M128))</f>
        <v>ATLANTIC ST NW</v>
      </c>
      <c r="P128" s="0" t="s">
        <v>146</v>
      </c>
      <c r="Q128" s="0" t="s">
        <v>147</v>
      </c>
      <c r="R128" s="0" t="n">
        <v>44483</v>
      </c>
      <c r="AD128" s="0" t="s">
        <v>148</v>
      </c>
      <c r="AE128" s="0" t="s">
        <v>149</v>
      </c>
      <c r="AF128" s="0" t="s">
        <v>150</v>
      </c>
      <c r="AH128" s="0" t="n">
        <v>14</v>
      </c>
      <c r="AI128" s="0" t="n">
        <v>11</v>
      </c>
      <c r="AN128" s="0" t="s">
        <v>146</v>
      </c>
      <c r="AO128" s="0" t="s">
        <v>151</v>
      </c>
      <c r="AP128" s="0" t="s">
        <v>152</v>
      </c>
      <c r="AQ128" s="0" t="n">
        <v>9</v>
      </c>
      <c r="AR128" s="0" t="n">
        <v>64</v>
      </c>
      <c r="AS128" s="0" t="n">
        <v>32</v>
      </c>
      <c r="AU128" s="0" t="n">
        <f aca="false">COUNTA($BA$1294:$EH$1294)</f>
        <v>16</v>
      </c>
      <c r="AV128" s="0" t="n">
        <f aca="false">COUNTIF($BA$1294:$EH$1294,"D")</f>
        <v>0</v>
      </c>
      <c r="AW128" s="0" t="n">
        <f aca="false">COUNTIF($BA$1294:$EH$1294,"R")</f>
        <v>0</v>
      </c>
      <c r="AX128" s="0" t="n">
        <f aca="false"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>0</v>
      </c>
      <c r="AY128" s="0" t="n">
        <f aca="false">COUNTIF(DU128:EH128, "&lt;&gt;")</f>
        <v>1</v>
      </c>
      <c r="AZ128" s="0" t="n">
        <f aca="false">IF(EH128&lt;&gt;"",1,0)</f>
        <v>0</v>
      </c>
      <c r="BB128" s="0" t="s">
        <v>153</v>
      </c>
      <c r="CA128" s="0" t="s">
        <v>154</v>
      </c>
      <c r="CP128" s="0" t="s">
        <v>154</v>
      </c>
      <c r="EF128" s="0" t="s">
        <v>154</v>
      </c>
    </row>
    <row r="129" customFormat="false" ht="13.8" hidden="false" customHeight="false" outlineLevel="0" collapsed="false">
      <c r="A129" s="0" t="s">
        <v>861</v>
      </c>
      <c r="B129" s="0" t="n">
        <v>78</v>
      </c>
      <c r="C129" s="0" t="n">
        <v>321566</v>
      </c>
      <c r="D129" s="0" t="s">
        <v>862</v>
      </c>
      <c r="E129" s="0" t="s">
        <v>863</v>
      </c>
      <c r="F129" s="0" t="str">
        <f aca="false">CONCATENATE(D129," ",LEFT(H129,4),"T=",AU129,"D=",AV129,"R=",AW129,"M=",AX129,"L=",AY129,"B=",AZ129)</f>
        <v>WOOD T=1D=0R=0M=0L=3B=0</v>
      </c>
      <c r="G129" s="0" t="s">
        <v>172</v>
      </c>
      <c r="I129" s="0" t="s">
        <v>864</v>
      </c>
      <c r="J129" s="0" t="s">
        <v>865</v>
      </c>
      <c r="K129" s="0" t="s">
        <v>175</v>
      </c>
      <c r="M129" s="0" t="s">
        <v>860</v>
      </c>
      <c r="N129" s="0" t="str">
        <f aca="false">RIGHT(M129,LEN(M129)-FIND(" ",M129))</f>
        <v>ATLANTIC ST NW</v>
      </c>
      <c r="P129" s="0" t="s">
        <v>146</v>
      </c>
      <c r="Q129" s="0" t="s">
        <v>147</v>
      </c>
      <c r="R129" s="0" t="n">
        <v>44483</v>
      </c>
      <c r="AD129" s="0" t="s">
        <v>148</v>
      </c>
      <c r="AE129" s="0" t="s">
        <v>149</v>
      </c>
      <c r="AF129" s="0" t="s">
        <v>150</v>
      </c>
      <c r="AH129" s="0" t="n">
        <v>14</v>
      </c>
      <c r="AI129" s="0" t="n">
        <v>11</v>
      </c>
      <c r="AN129" s="0" t="s">
        <v>146</v>
      </c>
      <c r="AO129" s="0" t="s">
        <v>151</v>
      </c>
      <c r="AP129" s="0" t="s">
        <v>152</v>
      </c>
      <c r="AQ129" s="0" t="n">
        <v>9</v>
      </c>
      <c r="AR129" s="0" t="n">
        <v>64</v>
      </c>
      <c r="AS129" s="0" t="n">
        <v>32</v>
      </c>
      <c r="AU129" s="0" t="n">
        <f aca="false">COUNTA($BA$1572:$EH$1572)</f>
        <v>1</v>
      </c>
      <c r="AV129" s="0" t="n">
        <f aca="false">COUNTIF($BA$1572:$EH$1572,"D")</f>
        <v>0</v>
      </c>
      <c r="AW129" s="0" t="n">
        <f aca="false">COUNTIF($BA$1572:$EH$1572,"R")</f>
        <v>0</v>
      </c>
      <c r="AX129" s="0" t="n">
        <f aca="false"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>0</v>
      </c>
      <c r="AY129" s="0" t="n">
        <f aca="false">COUNTIF(DU129:EH129, "&lt;&gt;")</f>
        <v>3</v>
      </c>
      <c r="AZ129" s="0" t="n">
        <f aca="false">IF(EH129&lt;&gt;"",1,0)</f>
        <v>0</v>
      </c>
      <c r="BB129" s="0" t="s">
        <v>153</v>
      </c>
      <c r="BL129" s="0" t="s">
        <v>154</v>
      </c>
      <c r="BP129" s="0" t="s">
        <v>154</v>
      </c>
      <c r="BS129" s="0" t="s">
        <v>154</v>
      </c>
      <c r="CK129" s="0" t="s">
        <v>154</v>
      </c>
      <c r="CP129" s="0" t="s">
        <v>154</v>
      </c>
      <c r="DC129" s="0" t="s">
        <v>154</v>
      </c>
      <c r="DI129" s="0" t="s">
        <v>154</v>
      </c>
      <c r="DL129" s="0" t="s">
        <v>154</v>
      </c>
      <c r="DN129" s="0" t="s">
        <v>154</v>
      </c>
      <c r="DU129" s="0" t="s">
        <v>154</v>
      </c>
      <c r="DX129" s="0" t="s">
        <v>154</v>
      </c>
      <c r="EF129" s="0" t="s">
        <v>154</v>
      </c>
    </row>
    <row r="130" customFormat="false" ht="13.8" hidden="false" customHeight="false" outlineLevel="0" collapsed="false">
      <c r="A130" s="0" t="s">
        <v>866</v>
      </c>
      <c r="B130" s="0" t="n">
        <v>78</v>
      </c>
      <c r="C130" s="0" t="n">
        <v>142772</v>
      </c>
      <c r="D130" s="0" t="s">
        <v>549</v>
      </c>
      <c r="E130" s="0" t="s">
        <v>867</v>
      </c>
      <c r="F130" s="0" t="str">
        <f aca="false">CONCATENATE(D130," ",LEFT(H130,4),"T=",AU130,"D=",AV130,"R=",AW130,"M=",AX130,"L=",AY130,"B=",AZ130)</f>
        <v>BRYAN T=16D=2R=3M=6L=7B=1</v>
      </c>
      <c r="G130" s="0" t="s">
        <v>159</v>
      </c>
      <c r="I130" s="0" t="s">
        <v>868</v>
      </c>
      <c r="J130" s="0" t="s">
        <v>869</v>
      </c>
      <c r="K130" s="0" t="s">
        <v>175</v>
      </c>
      <c r="L130" s="1" t="s">
        <v>155</v>
      </c>
      <c r="M130" s="0" t="s">
        <v>870</v>
      </c>
      <c r="N130" s="0" t="str">
        <f aca="false">RIGHT(M130,LEN(M130)-FIND(" ",M130))</f>
        <v>ATLANTIC ST NW</v>
      </c>
      <c r="P130" s="0" t="s">
        <v>146</v>
      </c>
      <c r="Q130" s="0" t="s">
        <v>147</v>
      </c>
      <c r="R130" s="0" t="n">
        <v>44483</v>
      </c>
      <c r="AD130" s="0" t="s">
        <v>148</v>
      </c>
      <c r="AE130" s="0" t="s">
        <v>149</v>
      </c>
      <c r="AF130" s="0" t="s">
        <v>150</v>
      </c>
      <c r="AH130" s="0" t="n">
        <v>14</v>
      </c>
      <c r="AI130" s="0" t="n">
        <v>11</v>
      </c>
      <c r="AN130" s="0" t="s">
        <v>146</v>
      </c>
      <c r="AO130" s="0" t="s">
        <v>151</v>
      </c>
      <c r="AP130" s="0" t="s">
        <v>152</v>
      </c>
      <c r="AQ130" s="0" t="n">
        <v>9</v>
      </c>
      <c r="AR130" s="0" t="n">
        <v>64</v>
      </c>
      <c r="AS130" s="0" t="n">
        <v>32</v>
      </c>
      <c r="AU130" s="0" t="n">
        <f aca="false">COUNTA($BA$1512:$EH$1512)</f>
        <v>16</v>
      </c>
      <c r="AV130" s="0" t="n">
        <f aca="false">COUNTIF($BA$1512:$EH$1512,"D")</f>
        <v>2</v>
      </c>
      <c r="AW130" s="0" t="n">
        <f aca="false">COUNTIF($BA$1512:$EH$1512,"R")</f>
        <v>3</v>
      </c>
      <c r="AX130" s="0" t="n">
        <f aca="false"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>6</v>
      </c>
      <c r="AY130" s="0" t="n">
        <f aca="false">COUNTIF(DU130:EH130, "&lt;&gt;")</f>
        <v>7</v>
      </c>
      <c r="AZ130" s="0" t="n">
        <f aca="false">IF(EH130&lt;&gt;"",1,0)</f>
        <v>1</v>
      </c>
      <c r="BB130" s="0" t="s">
        <v>153</v>
      </c>
      <c r="BC130" s="0" t="s">
        <v>154</v>
      </c>
      <c r="BD130" s="0" t="s">
        <v>154</v>
      </c>
      <c r="BE130" s="0" t="s">
        <v>154</v>
      </c>
      <c r="BF130" s="0" t="s">
        <v>154</v>
      </c>
      <c r="BG130" s="0" t="s">
        <v>154</v>
      </c>
      <c r="BH130" s="0" t="s">
        <v>154</v>
      </c>
      <c r="BI130" s="0" t="s">
        <v>154</v>
      </c>
      <c r="BJ130" s="0" t="s">
        <v>154</v>
      </c>
      <c r="BK130" s="0" t="s">
        <v>154</v>
      </c>
      <c r="BL130" s="0" t="s">
        <v>154</v>
      </c>
      <c r="BP130" s="0" t="s">
        <v>154</v>
      </c>
      <c r="BR130" s="0" t="s">
        <v>154</v>
      </c>
      <c r="BS130" s="0" t="s">
        <v>154</v>
      </c>
      <c r="BV130" s="0" t="s">
        <v>154</v>
      </c>
      <c r="BY130" s="0" t="s">
        <v>155</v>
      </c>
      <c r="CA130" s="0" t="s">
        <v>154</v>
      </c>
      <c r="CG130" s="0" t="s">
        <v>154</v>
      </c>
      <c r="CH130" s="0" t="s">
        <v>155</v>
      </c>
      <c r="CK130" s="0" t="s">
        <v>154</v>
      </c>
      <c r="CL130" s="0" t="s">
        <v>155</v>
      </c>
      <c r="CN130" s="0" t="s">
        <v>154</v>
      </c>
      <c r="CO130" s="0" t="s">
        <v>155</v>
      </c>
      <c r="CP130" s="0" t="s">
        <v>154</v>
      </c>
      <c r="CQ130" s="0" t="s">
        <v>155</v>
      </c>
      <c r="CT130" s="0" t="s">
        <v>154</v>
      </c>
      <c r="CU130" s="0" t="s">
        <v>155</v>
      </c>
      <c r="CV130" s="0" t="s">
        <v>154</v>
      </c>
      <c r="CW130" s="0" t="s">
        <v>155</v>
      </c>
      <c r="CZ130" s="0" t="s">
        <v>155</v>
      </c>
      <c r="DC130" s="0" t="s">
        <v>154</v>
      </c>
      <c r="DD130" s="0" t="s">
        <v>155</v>
      </c>
      <c r="DF130" s="0" t="s">
        <v>154</v>
      </c>
      <c r="DG130" s="0" t="s">
        <v>155</v>
      </c>
      <c r="DI130" s="0" t="s">
        <v>154</v>
      </c>
      <c r="DM130" s="0" t="s">
        <v>155</v>
      </c>
      <c r="DN130" s="0" t="s">
        <v>154</v>
      </c>
      <c r="DR130" s="0" t="s">
        <v>154</v>
      </c>
      <c r="DS130" s="0" t="s">
        <v>155</v>
      </c>
      <c r="DT130" s="0" t="s">
        <v>155</v>
      </c>
      <c r="DU130" s="0" t="s">
        <v>154</v>
      </c>
      <c r="DW130" s="0" t="s">
        <v>155</v>
      </c>
      <c r="DX130" s="0" t="s">
        <v>154</v>
      </c>
      <c r="EA130" s="0" t="s">
        <v>154</v>
      </c>
      <c r="ED130" s="0" t="s">
        <v>176</v>
      </c>
      <c r="EF130" s="0" t="s">
        <v>154</v>
      </c>
      <c r="EH130" s="0" t="s">
        <v>155</v>
      </c>
    </row>
    <row r="131" customFormat="false" ht="13.8" hidden="true" customHeight="false" outlineLevel="0" collapsed="false">
      <c r="A131" s="0" t="s">
        <v>871</v>
      </c>
      <c r="B131" s="0" t="n">
        <v>78</v>
      </c>
      <c r="C131" s="0" t="n">
        <v>300641</v>
      </c>
      <c r="D131" s="0" t="s">
        <v>276</v>
      </c>
      <c r="E131" s="0" t="s">
        <v>872</v>
      </c>
      <c r="F131" s="0" t="str">
        <f aca="false">CONCATENATE(D131," ",LEFT(H131,4),"T=",AU131,"D=",AV131,"R=",AW131,"M=",AX131,"L=",AY131,"B=",AZ131)</f>
        <v>MARSH T=9D=2R=0M=0L=0B=0</v>
      </c>
      <c r="G131" s="0" t="s">
        <v>159</v>
      </c>
      <c r="I131" s="0" t="s">
        <v>873</v>
      </c>
      <c r="J131" s="0" t="s">
        <v>874</v>
      </c>
      <c r="K131" s="0" t="s">
        <v>144</v>
      </c>
      <c r="L131" s="0"/>
      <c r="M131" s="0" t="s">
        <v>875</v>
      </c>
      <c r="N131" s="0" t="str">
        <f aca="false">RIGHT(M131,LEN(M131)-FIND(" ",M131))</f>
        <v>ATLANTIC ST NW</v>
      </c>
      <c r="P131" s="0" t="s">
        <v>146</v>
      </c>
      <c r="Q131" s="0" t="s">
        <v>147</v>
      </c>
      <c r="R131" s="0" t="n">
        <v>44483</v>
      </c>
      <c r="AD131" s="0" t="s">
        <v>148</v>
      </c>
      <c r="AE131" s="0" t="s">
        <v>149</v>
      </c>
      <c r="AF131" s="0" t="s">
        <v>150</v>
      </c>
      <c r="AH131" s="0" t="n">
        <v>14</v>
      </c>
      <c r="AI131" s="0" t="n">
        <v>11</v>
      </c>
      <c r="AN131" s="0" t="s">
        <v>146</v>
      </c>
      <c r="AO131" s="0" t="s">
        <v>151</v>
      </c>
      <c r="AP131" s="0" t="s">
        <v>152</v>
      </c>
      <c r="AQ131" s="0" t="n">
        <v>9</v>
      </c>
      <c r="AR131" s="0" t="n">
        <v>64</v>
      </c>
      <c r="AS131" s="0" t="n">
        <v>32</v>
      </c>
      <c r="AU131" s="0" t="n">
        <f aca="false">COUNTA($BA$1684:$EH$1684)</f>
        <v>9</v>
      </c>
      <c r="AV131" s="0" t="n">
        <f aca="false">COUNTIF($BA$1684:$EH$1684,"D")</f>
        <v>2</v>
      </c>
      <c r="AW131" s="0" t="n">
        <f aca="false">COUNTIF($BA$1684:$EH$1684,"R")</f>
        <v>0</v>
      </c>
      <c r="AX131" s="0" t="n">
        <f aca="false"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>0</v>
      </c>
      <c r="AY131" s="0" t="n">
        <f aca="false">COUNTIF(DU131:EH131, "&lt;&gt;")</f>
        <v>0</v>
      </c>
      <c r="AZ131" s="0" t="n">
        <f aca="false">IF(EH131&lt;&gt;"",1,0)</f>
        <v>0</v>
      </c>
      <c r="BB131" s="0" t="s">
        <v>153</v>
      </c>
      <c r="CA131" s="0" t="s">
        <v>154</v>
      </c>
      <c r="CP131" s="0" t="s">
        <v>154</v>
      </c>
    </row>
    <row r="132" customFormat="false" ht="13.8" hidden="false" customHeight="false" outlineLevel="0" collapsed="false">
      <c r="A132" s="0" t="s">
        <v>876</v>
      </c>
      <c r="B132" s="0" t="n">
        <v>78</v>
      </c>
      <c r="C132" s="0" t="n">
        <v>466248</v>
      </c>
      <c r="D132" s="0" t="s">
        <v>877</v>
      </c>
      <c r="E132" s="0" t="s">
        <v>878</v>
      </c>
      <c r="F132" s="0" t="str">
        <f aca="false">CONCATENATE(D132," ",LEFT(H132,4),"T=",AU132,"D=",AV132,"R=",AW132,"M=",AX132,"L=",AY132,"B=",AZ132)</f>
        <v>PAYNE T=20D=3R=0M=0L=2B=0</v>
      </c>
      <c r="G132" s="0" t="s">
        <v>879</v>
      </c>
      <c r="I132" s="0" t="s">
        <v>880</v>
      </c>
      <c r="J132" s="0" t="s">
        <v>881</v>
      </c>
      <c r="K132" s="0" t="s">
        <v>175</v>
      </c>
      <c r="M132" s="0" t="s">
        <v>882</v>
      </c>
      <c r="N132" s="0" t="str">
        <f aca="false">RIGHT(M132,LEN(M132)-FIND(" ",M132))</f>
        <v>ATLANTIC ST NW</v>
      </c>
      <c r="P132" s="0" t="s">
        <v>146</v>
      </c>
      <c r="Q132" s="0" t="s">
        <v>147</v>
      </c>
      <c r="R132" s="0" t="n">
        <v>44483</v>
      </c>
      <c r="AD132" s="0" t="s">
        <v>148</v>
      </c>
      <c r="AE132" s="0" t="s">
        <v>149</v>
      </c>
      <c r="AF132" s="0" t="s">
        <v>150</v>
      </c>
      <c r="AH132" s="0" t="n">
        <v>14</v>
      </c>
      <c r="AI132" s="0" t="n">
        <v>11</v>
      </c>
      <c r="AN132" s="0" t="s">
        <v>146</v>
      </c>
      <c r="AO132" s="0" t="s">
        <v>151</v>
      </c>
      <c r="AP132" s="0" t="s">
        <v>152</v>
      </c>
      <c r="AQ132" s="0" t="n">
        <v>9</v>
      </c>
      <c r="AR132" s="0" t="n">
        <v>64</v>
      </c>
      <c r="AS132" s="0" t="n">
        <v>32</v>
      </c>
      <c r="AU132" s="0" t="n">
        <f aca="false">COUNTA($BA$1847:$EH$1847)</f>
        <v>20</v>
      </c>
      <c r="AV132" s="0" t="n">
        <f aca="false">COUNTIF($BA$1847:$EH$1847,"D")</f>
        <v>3</v>
      </c>
      <c r="AW132" s="0" t="n">
        <f aca="false">COUNTIF($BA$1847:$EH$1847,"R")</f>
        <v>0</v>
      </c>
      <c r="AX132" s="0" t="n">
        <f aca="false"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>0</v>
      </c>
      <c r="AY132" s="0" t="n">
        <f aca="false">COUNTIF(DU132:EH132, "&lt;&gt;")</f>
        <v>2</v>
      </c>
      <c r="AZ132" s="0" t="n">
        <f aca="false">IF(EH132&lt;&gt;"",1,0)</f>
        <v>0</v>
      </c>
      <c r="BB132" s="0" t="s">
        <v>153</v>
      </c>
      <c r="EA132" s="0" t="s">
        <v>154</v>
      </c>
      <c r="EF132" s="0" t="s">
        <v>154</v>
      </c>
    </row>
    <row r="133" customFormat="false" ht="13.8" hidden="true" customHeight="false" outlineLevel="0" collapsed="false">
      <c r="A133" s="0" t="s">
        <v>883</v>
      </c>
      <c r="B133" s="0" t="n">
        <v>78</v>
      </c>
      <c r="C133" s="0" t="n">
        <v>323067</v>
      </c>
      <c r="D133" s="0" t="s">
        <v>877</v>
      </c>
      <c r="E133" s="0" t="s">
        <v>884</v>
      </c>
      <c r="F133" s="0" t="str">
        <f aca="false">CONCATENATE(D133," ",LEFT(H133,4),"T=",AU133,"D=",AV133,"R=",AW133,"M=",AX133,"L=",AY133,"B=",AZ133)</f>
        <v>PAYNE T=1D=0R=0M=0L=1B=0</v>
      </c>
      <c r="G133" s="0" t="s">
        <v>297</v>
      </c>
      <c r="I133" s="0" t="s">
        <v>885</v>
      </c>
      <c r="J133" s="0" t="s">
        <v>886</v>
      </c>
      <c r="K133" s="0" t="s">
        <v>175</v>
      </c>
      <c r="L133" s="0"/>
      <c r="M133" s="0" t="s">
        <v>882</v>
      </c>
      <c r="N133" s="0" t="str">
        <f aca="false">RIGHT(M133,LEN(M133)-FIND(" ",M133))</f>
        <v>ATLANTIC ST NW</v>
      </c>
      <c r="P133" s="0" t="s">
        <v>146</v>
      </c>
      <c r="Q133" s="0" t="s">
        <v>147</v>
      </c>
      <c r="R133" s="0" t="n">
        <v>44483</v>
      </c>
      <c r="AD133" s="0" t="s">
        <v>148</v>
      </c>
      <c r="AE133" s="0" t="s">
        <v>149</v>
      </c>
      <c r="AF133" s="0" t="s">
        <v>150</v>
      </c>
      <c r="AH133" s="0" t="n">
        <v>14</v>
      </c>
      <c r="AI133" s="0" t="n">
        <v>11</v>
      </c>
      <c r="AN133" s="0" t="s">
        <v>146</v>
      </c>
      <c r="AO133" s="0" t="s">
        <v>151</v>
      </c>
      <c r="AP133" s="0" t="s">
        <v>152</v>
      </c>
      <c r="AQ133" s="0" t="n">
        <v>9</v>
      </c>
      <c r="AR133" s="0" t="n">
        <v>64</v>
      </c>
      <c r="AS133" s="0" t="n">
        <v>32</v>
      </c>
      <c r="AU133" s="0" t="n">
        <f aca="false">COUNTA($BA$2022:$EH$2022)</f>
        <v>1</v>
      </c>
      <c r="AV133" s="0" t="n">
        <f aca="false">COUNTIF($BA$2022:$EH$2022,"D")</f>
        <v>0</v>
      </c>
      <c r="AW133" s="0" t="n">
        <f aca="false">COUNTIF($BA$2022:$EH$2022,"R")</f>
        <v>0</v>
      </c>
      <c r="AX133" s="0" t="n">
        <f aca="false"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>0</v>
      </c>
      <c r="AY133" s="0" t="n">
        <f aca="false">COUNTIF(DU133:EH133, "&lt;&gt;")</f>
        <v>1</v>
      </c>
      <c r="AZ133" s="0" t="n">
        <f aca="false">IF(EH133&lt;&gt;"",1,0)</f>
        <v>0</v>
      </c>
      <c r="BB133" s="0" t="s">
        <v>153</v>
      </c>
      <c r="BL133" s="0" t="s">
        <v>154</v>
      </c>
      <c r="CA133" s="0" t="s">
        <v>154</v>
      </c>
      <c r="CP133" s="0" t="s">
        <v>154</v>
      </c>
      <c r="CZ133" s="0" t="s">
        <v>155</v>
      </c>
      <c r="DC133" s="0" t="s">
        <v>154</v>
      </c>
      <c r="EA133" s="0" t="s">
        <v>154</v>
      </c>
    </row>
    <row r="134" customFormat="false" ht="13.8" hidden="true" customHeight="false" outlineLevel="0" collapsed="false">
      <c r="A134" s="0" t="s">
        <v>887</v>
      </c>
      <c r="B134" s="0" t="n">
        <v>78</v>
      </c>
      <c r="C134" s="0" t="n">
        <v>465899</v>
      </c>
      <c r="D134" s="0" t="s">
        <v>888</v>
      </c>
      <c r="E134" s="0" t="s">
        <v>889</v>
      </c>
      <c r="F134" s="0" t="str">
        <f aca="false">CONCATENATE(D134," ",LEFT(H134,4),"T=",AU134,"D=",AV134,"R=",AW134,"M=",AX134,"L=",AY134,"B=",AZ134)</f>
        <v>BINION T=25D=2R=2M=0L=1B=0</v>
      </c>
      <c r="G134" s="0" t="s">
        <v>216</v>
      </c>
      <c r="I134" s="0" t="s">
        <v>890</v>
      </c>
      <c r="J134" s="0" t="s">
        <v>712</v>
      </c>
      <c r="K134" s="0" t="s">
        <v>175</v>
      </c>
      <c r="L134" s="0"/>
      <c r="M134" s="0" t="s">
        <v>891</v>
      </c>
      <c r="N134" s="0" t="str">
        <f aca="false">RIGHT(M134,LEN(M134)-FIND(" ",M134))</f>
        <v>ATLANTIC ST NW</v>
      </c>
      <c r="P134" s="0" t="s">
        <v>146</v>
      </c>
      <c r="Q134" s="0" t="s">
        <v>147</v>
      </c>
      <c r="R134" s="0" t="n">
        <v>44483</v>
      </c>
      <c r="AD134" s="0" t="s">
        <v>148</v>
      </c>
      <c r="AE134" s="0" t="s">
        <v>149</v>
      </c>
      <c r="AF134" s="0" t="s">
        <v>150</v>
      </c>
      <c r="AH134" s="0" t="n">
        <v>14</v>
      </c>
      <c r="AI134" s="0" t="n">
        <v>11</v>
      </c>
      <c r="AN134" s="0" t="s">
        <v>146</v>
      </c>
      <c r="AO134" s="0" t="s">
        <v>151</v>
      </c>
      <c r="AP134" s="0" t="s">
        <v>152</v>
      </c>
      <c r="AQ134" s="0" t="n">
        <v>9</v>
      </c>
      <c r="AR134" s="0" t="n">
        <v>64</v>
      </c>
      <c r="AS134" s="0" t="n">
        <v>32</v>
      </c>
      <c r="AU134" s="0" t="n">
        <f aca="false">COUNTA($BA$1297:$EH$1297)</f>
        <v>25</v>
      </c>
      <c r="AV134" s="0" t="n">
        <f aca="false">COUNTIF($BA$1297:$EH$1297,"D")</f>
        <v>2</v>
      </c>
      <c r="AW134" s="0" t="n">
        <f aca="false">COUNTIF($BA$1297:$EH$1297,"R")</f>
        <v>2</v>
      </c>
      <c r="AX134" s="0" t="n">
        <f aca="false"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>0</v>
      </c>
      <c r="AY134" s="0" t="n">
        <f aca="false">COUNTIF(DU134:EH134, "&lt;&gt;")</f>
        <v>1</v>
      </c>
      <c r="AZ134" s="0" t="n">
        <f aca="false">IF(EH134&lt;&gt;"",1,0)</f>
        <v>0</v>
      </c>
      <c r="BB134" s="0" t="s">
        <v>153</v>
      </c>
      <c r="EF134" s="0" t="s">
        <v>154</v>
      </c>
    </row>
    <row r="135" customFormat="false" ht="13.8" hidden="true" customHeight="false" outlineLevel="0" collapsed="false">
      <c r="A135" s="0" t="s">
        <v>892</v>
      </c>
      <c r="B135" s="0" t="n">
        <v>78</v>
      </c>
      <c r="C135" s="0" t="n">
        <v>348669</v>
      </c>
      <c r="D135" s="0" t="s">
        <v>888</v>
      </c>
      <c r="E135" s="0" t="s">
        <v>323</v>
      </c>
      <c r="F135" s="0" t="str">
        <f aca="false">CONCATENATE(D135," ",LEFT(H135,4),"T=",AU135,"D=",AV135,"R=",AW135,"M=",AX135,"L=",AY135,"B=",AZ135)</f>
        <v>BINION T=1D=0R=0M=0L=1B=0</v>
      </c>
      <c r="G135" s="0" t="s">
        <v>297</v>
      </c>
      <c r="I135" s="0" t="s">
        <v>893</v>
      </c>
      <c r="J135" s="0" t="s">
        <v>712</v>
      </c>
      <c r="K135" s="0" t="s">
        <v>175</v>
      </c>
      <c r="L135" s="0"/>
      <c r="M135" s="0" t="s">
        <v>891</v>
      </c>
      <c r="N135" s="0" t="str">
        <f aca="false">RIGHT(M135,LEN(M135)-FIND(" ",M135))</f>
        <v>ATLANTIC ST NW</v>
      </c>
      <c r="P135" s="0" t="s">
        <v>146</v>
      </c>
      <c r="Q135" s="0" t="s">
        <v>147</v>
      </c>
      <c r="R135" s="0" t="n">
        <v>44483</v>
      </c>
      <c r="AD135" s="0" t="s">
        <v>148</v>
      </c>
      <c r="AE135" s="0" t="s">
        <v>149</v>
      </c>
      <c r="AF135" s="0" t="s">
        <v>150</v>
      </c>
      <c r="AH135" s="0" t="n">
        <v>14</v>
      </c>
      <c r="AI135" s="0" t="n">
        <v>11</v>
      </c>
      <c r="AN135" s="0" t="s">
        <v>146</v>
      </c>
      <c r="AO135" s="0" t="s">
        <v>151</v>
      </c>
      <c r="AP135" s="0" t="s">
        <v>152</v>
      </c>
      <c r="AQ135" s="0" t="n">
        <v>9</v>
      </c>
      <c r="AR135" s="0" t="n">
        <v>64</v>
      </c>
      <c r="AS135" s="0" t="n">
        <v>32</v>
      </c>
      <c r="AU135" s="0" t="n">
        <f aca="false">COUNTA($BA$1299:$EH$1299)</f>
        <v>1</v>
      </c>
      <c r="AV135" s="0" t="n">
        <f aca="false">COUNTIF($BA$1299:$EH$1299,"D")</f>
        <v>0</v>
      </c>
      <c r="AW135" s="0" t="n">
        <f aca="false">COUNTIF($BA$1299:$EH$1299,"R")</f>
        <v>0</v>
      </c>
      <c r="AX135" s="0" t="n">
        <f aca="false"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>0</v>
      </c>
      <c r="AY135" s="0" t="n">
        <f aca="false">COUNTIF(DU135:EH135, "&lt;&gt;")</f>
        <v>1</v>
      </c>
      <c r="AZ135" s="0" t="n">
        <f aca="false">IF(EH135&lt;&gt;"",1,0)</f>
        <v>0</v>
      </c>
      <c r="BB135" s="0" t="s">
        <v>153</v>
      </c>
      <c r="EF135" s="0" t="s">
        <v>154</v>
      </c>
    </row>
    <row r="136" customFormat="false" ht="13.8" hidden="true" customHeight="false" outlineLevel="0" collapsed="false">
      <c r="A136" s="0" t="s">
        <v>894</v>
      </c>
      <c r="B136" s="0" t="n">
        <v>78</v>
      </c>
      <c r="C136" s="0" t="n">
        <v>483568</v>
      </c>
      <c r="D136" s="0" t="s">
        <v>895</v>
      </c>
      <c r="E136" s="0" t="s">
        <v>896</v>
      </c>
      <c r="F136" s="0" t="str">
        <f aca="false">CONCATENATE(D136," ",LEFT(H136,4),"T=",AU136,"D=",AV136,"R=",AW136,"M=",AX136,"L=",AY136,"B=",AZ136)</f>
        <v>MAY T=21D=5R=0M=0L=0B=0</v>
      </c>
      <c r="G136" s="0" t="s">
        <v>897</v>
      </c>
      <c r="I136" s="0" t="s">
        <v>898</v>
      </c>
      <c r="J136" s="0" t="s">
        <v>899</v>
      </c>
      <c r="K136" s="0" t="s">
        <v>175</v>
      </c>
      <c r="L136" s="0"/>
      <c r="M136" s="0" t="s">
        <v>900</v>
      </c>
      <c r="N136" s="0" t="str">
        <f aca="false">RIGHT(M136,LEN(M136)-FIND(" ",M136))</f>
        <v>ATLANTIC ST NW</v>
      </c>
      <c r="P136" s="0" t="s">
        <v>146</v>
      </c>
      <c r="Q136" s="0" t="s">
        <v>147</v>
      </c>
      <c r="R136" s="0" t="n">
        <v>44483</v>
      </c>
      <c r="AD136" s="0" t="s">
        <v>148</v>
      </c>
      <c r="AE136" s="0" t="s">
        <v>149</v>
      </c>
      <c r="AF136" s="0" t="s">
        <v>150</v>
      </c>
      <c r="AH136" s="0" t="n">
        <v>14</v>
      </c>
      <c r="AI136" s="0" t="n">
        <v>11</v>
      </c>
      <c r="AN136" s="0" t="s">
        <v>146</v>
      </c>
      <c r="AO136" s="0" t="s">
        <v>151</v>
      </c>
      <c r="AP136" s="0" t="s">
        <v>152</v>
      </c>
      <c r="AQ136" s="0" t="n">
        <v>9</v>
      </c>
      <c r="AR136" s="0" t="n">
        <v>64</v>
      </c>
      <c r="AS136" s="0" t="n">
        <v>32</v>
      </c>
      <c r="AU136" s="0" t="n">
        <f aca="false">COUNTA($BA$1273:$EH$1273)</f>
        <v>21</v>
      </c>
      <c r="AV136" s="0" t="n">
        <f aca="false">COUNTIF($BA$1273:$EH$1273,"D")</f>
        <v>5</v>
      </c>
      <c r="AW136" s="0" t="n">
        <f aca="false">COUNTIF($BA$1273:$EH$1273,"R")</f>
        <v>0</v>
      </c>
      <c r="AX136" s="0" t="n">
        <f aca="false"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>0</v>
      </c>
      <c r="AY136" s="0" t="n">
        <f aca="false">COUNTIF(DU136:EH136, "&lt;&gt;")</f>
        <v>0</v>
      </c>
      <c r="AZ136" s="0" t="n">
        <f aca="false">IF(EH136&lt;&gt;"",1,0)</f>
        <v>0</v>
      </c>
      <c r="BB136" s="0" t="s">
        <v>153</v>
      </c>
    </row>
    <row r="137" customFormat="false" ht="13.8" hidden="false" customHeight="false" outlineLevel="0" collapsed="false">
      <c r="A137" s="0" t="s">
        <v>901</v>
      </c>
      <c r="B137" s="0" t="n">
        <v>78</v>
      </c>
      <c r="C137" s="0" t="n">
        <v>387230</v>
      </c>
      <c r="D137" s="0" t="s">
        <v>902</v>
      </c>
      <c r="E137" s="0" t="s">
        <v>903</v>
      </c>
      <c r="F137" s="0" t="str">
        <f aca="false">CONCATENATE(D137," ",LEFT(H137,4),"T=",AU137,"D=",AV137,"R=",AW137,"M=",AX137,"L=",AY137,"B=",AZ137)</f>
        <v>RICE T=2D=0R=0M=0L=3B=0</v>
      </c>
      <c r="G137" s="0" t="s">
        <v>202</v>
      </c>
      <c r="I137" s="0" t="s">
        <v>904</v>
      </c>
      <c r="J137" s="0" t="s">
        <v>905</v>
      </c>
      <c r="K137" s="0" t="s">
        <v>175</v>
      </c>
      <c r="M137" s="0" t="s">
        <v>906</v>
      </c>
      <c r="N137" s="0" t="str">
        <f aca="false">RIGHT(M137,LEN(M137)-FIND(" ",M137))</f>
        <v>ATLANTIC ST NW</v>
      </c>
      <c r="P137" s="0" t="s">
        <v>146</v>
      </c>
      <c r="Q137" s="0" t="s">
        <v>147</v>
      </c>
      <c r="R137" s="0" t="n">
        <v>44483</v>
      </c>
      <c r="AD137" s="0" t="s">
        <v>148</v>
      </c>
      <c r="AE137" s="0" t="s">
        <v>149</v>
      </c>
      <c r="AF137" s="0" t="s">
        <v>150</v>
      </c>
      <c r="AH137" s="0" t="n">
        <v>14</v>
      </c>
      <c r="AI137" s="0" t="n">
        <v>11</v>
      </c>
      <c r="AN137" s="0" t="s">
        <v>146</v>
      </c>
      <c r="AO137" s="0" t="s">
        <v>151</v>
      </c>
      <c r="AP137" s="0" t="s">
        <v>152</v>
      </c>
      <c r="AQ137" s="0" t="n">
        <v>9</v>
      </c>
      <c r="AR137" s="0" t="n">
        <v>64</v>
      </c>
      <c r="AS137" s="0" t="n">
        <v>32</v>
      </c>
      <c r="AU137" s="0" t="n">
        <f aca="false">COUNTA($BA$1802:$EH$1802)</f>
        <v>2</v>
      </c>
      <c r="AV137" s="0" t="n">
        <f aca="false">COUNTIF($BA$1802:$EH$1802,"D")</f>
        <v>0</v>
      </c>
      <c r="AW137" s="0" t="n">
        <f aca="false">COUNTIF($BA$1802:$EH$1802,"R")</f>
        <v>0</v>
      </c>
      <c r="AX137" s="0" t="n">
        <f aca="false"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>0</v>
      </c>
      <c r="AY137" s="0" t="n">
        <f aca="false">COUNTIF(DU137:EH137, "&lt;&gt;")</f>
        <v>3</v>
      </c>
      <c r="AZ137" s="0" t="n">
        <f aca="false">IF(EH137&lt;&gt;"",1,0)</f>
        <v>0</v>
      </c>
      <c r="BB137" s="0" t="s">
        <v>153</v>
      </c>
      <c r="CP137" s="0" t="s">
        <v>154</v>
      </c>
      <c r="CY137" s="0" t="s">
        <v>154</v>
      </c>
      <c r="DC137" s="0" t="s">
        <v>154</v>
      </c>
      <c r="DX137" s="0" t="s">
        <v>154</v>
      </c>
      <c r="EA137" s="0" t="s">
        <v>154</v>
      </c>
      <c r="EF137" s="0" t="s">
        <v>154</v>
      </c>
    </row>
    <row r="138" customFormat="false" ht="13.8" hidden="true" customHeight="false" outlineLevel="0" collapsed="false">
      <c r="A138" s="0" t="s">
        <v>907</v>
      </c>
      <c r="B138" s="0" t="n">
        <v>78</v>
      </c>
      <c r="C138" s="0" t="n">
        <v>470991</v>
      </c>
      <c r="D138" s="0" t="s">
        <v>908</v>
      </c>
      <c r="E138" s="0" t="s">
        <v>471</v>
      </c>
      <c r="F138" s="0" t="str">
        <f aca="false">CONCATENATE(D138," ",LEFT(H138,4),"T=",AU138,"D=",AV138,"R=",AW138,"M=",AX138,"L=",AY138,"B=",AZ138)</f>
        <v>MOKE JRT=9D=1R=0M=0L=0B=0</v>
      </c>
      <c r="G138" s="0" t="s">
        <v>172</v>
      </c>
      <c r="H138" s="0" t="s">
        <v>431</v>
      </c>
      <c r="I138" s="0" t="s">
        <v>909</v>
      </c>
      <c r="J138" s="0" t="s">
        <v>910</v>
      </c>
      <c r="K138" s="0" t="s">
        <v>175</v>
      </c>
      <c r="L138" s="0"/>
      <c r="M138" s="0" t="s">
        <v>911</v>
      </c>
      <c r="N138" s="0" t="str">
        <f aca="false">RIGHT(M138,LEN(M138)-FIND(" ",M138))</f>
        <v>ATLANTIC ST NW</v>
      </c>
      <c r="P138" s="0" t="s">
        <v>146</v>
      </c>
      <c r="Q138" s="0" t="s">
        <v>147</v>
      </c>
      <c r="R138" s="0" t="n">
        <v>44483</v>
      </c>
      <c r="AD138" s="0" t="s">
        <v>148</v>
      </c>
      <c r="AE138" s="0" t="s">
        <v>149</v>
      </c>
      <c r="AF138" s="0" t="s">
        <v>150</v>
      </c>
      <c r="AH138" s="0" t="n">
        <v>14</v>
      </c>
      <c r="AI138" s="0" t="n">
        <v>11</v>
      </c>
      <c r="AN138" s="0" t="s">
        <v>146</v>
      </c>
      <c r="AO138" s="0" t="s">
        <v>151</v>
      </c>
      <c r="AP138" s="0" t="s">
        <v>152</v>
      </c>
      <c r="AQ138" s="0" t="n">
        <v>9</v>
      </c>
      <c r="AR138" s="0" t="n">
        <v>64</v>
      </c>
      <c r="AS138" s="0" t="n">
        <v>32</v>
      </c>
      <c r="AU138" s="0" t="n">
        <f aca="false">COUNTA($BA$1546:$EH$1546)</f>
        <v>9</v>
      </c>
      <c r="AV138" s="0" t="n">
        <f aca="false">COUNTIF($BA$1546:$EH$1546,"D")</f>
        <v>1</v>
      </c>
      <c r="AW138" s="0" t="n">
        <f aca="false">COUNTIF($BA$1546:$EH$1546,"R")</f>
        <v>0</v>
      </c>
      <c r="AX138" s="0" t="n">
        <f aca="false"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>0</v>
      </c>
      <c r="AY138" s="0" t="n">
        <f aca="false">COUNTIF(DU138:EH138, "&lt;&gt;")</f>
        <v>0</v>
      </c>
      <c r="AZ138" s="0" t="n">
        <f aca="false">IF(EH138&lt;&gt;"",1,0)</f>
        <v>0</v>
      </c>
      <c r="BB138" s="0" t="s">
        <v>153</v>
      </c>
    </row>
    <row r="139" customFormat="false" ht="13.8" hidden="false" customHeight="false" outlineLevel="0" collapsed="false">
      <c r="A139" s="0" t="s">
        <v>912</v>
      </c>
      <c r="B139" s="0" t="n">
        <v>78</v>
      </c>
      <c r="C139" s="0" t="n">
        <v>350870</v>
      </c>
      <c r="D139" s="0" t="s">
        <v>913</v>
      </c>
      <c r="E139" s="0" t="s">
        <v>914</v>
      </c>
      <c r="F139" s="0" t="str">
        <f aca="false">CONCATENATE(D139," ",LEFT(H139,4),"T=",AU139,"D=",AV139,"R=",AW139,"M=",AX139,"L=",AY139,"B=",AZ139)</f>
        <v>FRYER T=4D=1R=0M=1L=5B=0</v>
      </c>
      <c r="G139" s="0" t="s">
        <v>159</v>
      </c>
      <c r="I139" s="0" t="s">
        <v>915</v>
      </c>
      <c r="J139" s="0" t="s">
        <v>916</v>
      </c>
      <c r="K139" s="0" t="s">
        <v>175</v>
      </c>
      <c r="L139" s="1" t="s">
        <v>176</v>
      </c>
      <c r="M139" s="0" t="s">
        <v>917</v>
      </c>
      <c r="N139" s="0" t="str">
        <f aca="false">RIGHT(M139,LEN(M139)-FIND(" ",M139))</f>
        <v>ATLANTIC ST NW</v>
      </c>
      <c r="P139" s="0" t="s">
        <v>146</v>
      </c>
      <c r="Q139" s="0" t="s">
        <v>147</v>
      </c>
      <c r="R139" s="0" t="n">
        <v>44483</v>
      </c>
      <c r="AD139" s="0" t="s">
        <v>148</v>
      </c>
      <c r="AE139" s="0" t="s">
        <v>149</v>
      </c>
      <c r="AF139" s="0" t="s">
        <v>150</v>
      </c>
      <c r="AH139" s="0" t="n">
        <v>14</v>
      </c>
      <c r="AI139" s="0" t="n">
        <v>11</v>
      </c>
      <c r="AN139" s="0" t="s">
        <v>146</v>
      </c>
      <c r="AO139" s="0" t="s">
        <v>151</v>
      </c>
      <c r="AP139" s="0" t="s">
        <v>152</v>
      </c>
      <c r="AQ139" s="0" t="n">
        <v>9</v>
      </c>
      <c r="AR139" s="0" t="n">
        <v>64</v>
      </c>
      <c r="AS139" s="0" t="n">
        <v>32</v>
      </c>
      <c r="AU139" s="0" t="n">
        <f aca="false">COUNTA($BA$1513:$EH$1513)</f>
        <v>4</v>
      </c>
      <c r="AV139" s="0" t="n">
        <f aca="false">COUNTIF($BA$1513:$EH$1513,"D")</f>
        <v>1</v>
      </c>
      <c r="AW139" s="0" t="n">
        <f aca="false">COUNTIF($BA$1513:$EH$1513,"R")</f>
        <v>0</v>
      </c>
      <c r="AX139" s="0" t="n">
        <f aca="false"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>1</v>
      </c>
      <c r="AY139" s="0" t="n">
        <f aca="false">COUNTIF(DU139:EH139, "&lt;&gt;")</f>
        <v>5</v>
      </c>
      <c r="AZ139" s="0" t="n">
        <f aca="false">IF(EH139&lt;&gt;"",1,0)</f>
        <v>0</v>
      </c>
      <c r="BB139" s="0" t="s">
        <v>153</v>
      </c>
      <c r="CA139" s="0" t="s">
        <v>154</v>
      </c>
      <c r="CG139" s="0" t="s">
        <v>154</v>
      </c>
      <c r="CN139" s="0" t="s">
        <v>154</v>
      </c>
      <c r="CO139" s="0" t="s">
        <v>176</v>
      </c>
      <c r="CP139" s="0" t="s">
        <v>154</v>
      </c>
      <c r="CV139" s="0" t="s">
        <v>154</v>
      </c>
      <c r="CY139" s="0" t="s">
        <v>154</v>
      </c>
      <c r="DC139" s="0" t="s">
        <v>154</v>
      </c>
      <c r="DN139" s="0" t="s">
        <v>154</v>
      </c>
      <c r="DR139" s="0" t="s">
        <v>154</v>
      </c>
      <c r="DS139" s="0" t="s">
        <v>176</v>
      </c>
      <c r="DT139" s="0" t="s">
        <v>176</v>
      </c>
      <c r="DU139" s="0" t="s">
        <v>154</v>
      </c>
      <c r="DW139" s="0" t="s">
        <v>155</v>
      </c>
      <c r="EA139" s="0" t="s">
        <v>154</v>
      </c>
      <c r="ED139" s="0" t="s">
        <v>176</v>
      </c>
      <c r="EF139" s="0" t="s">
        <v>154</v>
      </c>
    </row>
    <row r="140" customFormat="false" ht="13.8" hidden="false" customHeight="false" outlineLevel="0" collapsed="false">
      <c r="A140" s="0" t="s">
        <v>918</v>
      </c>
      <c r="B140" s="0" t="n">
        <v>78</v>
      </c>
      <c r="C140" s="0" t="n">
        <v>443413</v>
      </c>
      <c r="D140" s="0" t="s">
        <v>919</v>
      </c>
      <c r="E140" s="0" t="s">
        <v>920</v>
      </c>
      <c r="F140" s="0" t="str">
        <f aca="false">CONCATENATE(D140," ",LEFT(H140,4),"T=",AU140,"D=",AV140,"R=",AW140,"M=",AX140,"L=",AY140,"B=",AZ140)</f>
        <v>PRATER T=1D=0R=0M=0L=3B=0</v>
      </c>
      <c r="G140" s="0" t="s">
        <v>323</v>
      </c>
      <c r="I140" s="0" t="s">
        <v>921</v>
      </c>
      <c r="J140" s="0" t="s">
        <v>922</v>
      </c>
      <c r="K140" s="0" t="s">
        <v>175</v>
      </c>
      <c r="L140" s="1" t="s">
        <v>176</v>
      </c>
      <c r="M140" s="0" t="s">
        <v>923</v>
      </c>
      <c r="N140" s="0" t="str">
        <f aca="false">RIGHT(M140,LEN(M140)-FIND(" ",M140))</f>
        <v>ATLANTIC ST NW</v>
      </c>
      <c r="P140" s="0" t="s">
        <v>146</v>
      </c>
      <c r="Q140" s="0" t="s">
        <v>147</v>
      </c>
      <c r="R140" s="0" t="n">
        <v>44483</v>
      </c>
      <c r="AD140" s="0" t="s">
        <v>148</v>
      </c>
      <c r="AE140" s="0" t="s">
        <v>149</v>
      </c>
      <c r="AF140" s="0" t="s">
        <v>150</v>
      </c>
      <c r="AH140" s="0" t="n">
        <v>14</v>
      </c>
      <c r="AI140" s="0" t="n">
        <v>11</v>
      </c>
      <c r="AN140" s="0" t="s">
        <v>146</v>
      </c>
      <c r="AO140" s="0" t="s">
        <v>151</v>
      </c>
      <c r="AP140" s="0" t="s">
        <v>152</v>
      </c>
      <c r="AQ140" s="0" t="n">
        <v>9</v>
      </c>
      <c r="AR140" s="0" t="n">
        <v>64</v>
      </c>
      <c r="AS140" s="0" t="n">
        <v>32</v>
      </c>
      <c r="AU140" s="0" t="n">
        <f aca="false">COUNTA($BA$1111:$EH$1111)</f>
        <v>1</v>
      </c>
      <c r="AV140" s="0" t="n">
        <f aca="false">COUNTIF($BA$1111:$EH$1111,"D")</f>
        <v>0</v>
      </c>
      <c r="AW140" s="0" t="n">
        <f aca="false">COUNTIF($BA$1111:$EH$1111,"R")</f>
        <v>0</v>
      </c>
      <c r="AX140" s="0" t="n">
        <f aca="false"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>0</v>
      </c>
      <c r="AY140" s="0" t="n">
        <f aca="false">COUNTIF(DU140:EH140, "&lt;&gt;")</f>
        <v>3</v>
      </c>
      <c r="AZ140" s="0" t="n">
        <f aca="false">IF(EH140&lt;&gt;"",1,0)</f>
        <v>0</v>
      </c>
      <c r="BB140" s="0" t="s">
        <v>153</v>
      </c>
      <c r="BD140" s="0" t="s">
        <v>154</v>
      </c>
      <c r="DN140" s="0" t="s">
        <v>154</v>
      </c>
      <c r="EA140" s="0" t="s">
        <v>154</v>
      </c>
      <c r="ED140" s="0" t="s">
        <v>176</v>
      </c>
      <c r="EF140" s="0" t="s">
        <v>154</v>
      </c>
    </row>
    <row r="141" customFormat="false" ht="13.8" hidden="true" customHeight="false" outlineLevel="0" collapsed="false">
      <c r="A141" s="0" t="s">
        <v>924</v>
      </c>
      <c r="B141" s="0" t="n">
        <v>78</v>
      </c>
      <c r="C141" s="0" t="n">
        <v>486597</v>
      </c>
      <c r="D141" s="0" t="s">
        <v>761</v>
      </c>
      <c r="E141" s="0" t="s">
        <v>925</v>
      </c>
      <c r="F141" s="0" t="str">
        <f aca="false">CONCATENATE(D141," ",LEFT(H141,4),"T=",AU141,"D=",AV141,"R=",AW141,"M=",AX141,"L=",AY141,"B=",AZ141)</f>
        <v>ALEXANDER T=10D=0R=0M=0L=1B=0</v>
      </c>
      <c r="G141" s="0" t="s">
        <v>926</v>
      </c>
      <c r="I141" s="0" t="s">
        <v>927</v>
      </c>
      <c r="J141" s="0" t="s">
        <v>928</v>
      </c>
      <c r="K141" s="0" t="s">
        <v>175</v>
      </c>
      <c r="L141" s="0"/>
      <c r="M141" s="0" t="s">
        <v>929</v>
      </c>
      <c r="N141" s="0" t="str">
        <f aca="false">RIGHT(M141,LEN(M141)-FIND(" ",M141))</f>
        <v>ATLANTIC ST NW</v>
      </c>
      <c r="P141" s="0" t="s">
        <v>146</v>
      </c>
      <c r="Q141" s="0" t="s">
        <v>147</v>
      </c>
      <c r="R141" s="0" t="n">
        <v>44483</v>
      </c>
      <c r="AD141" s="0" t="s">
        <v>148</v>
      </c>
      <c r="AE141" s="0" t="s">
        <v>149</v>
      </c>
      <c r="AF141" s="0" t="s">
        <v>150</v>
      </c>
      <c r="AH141" s="0" t="n">
        <v>14</v>
      </c>
      <c r="AI141" s="0" t="n">
        <v>11</v>
      </c>
      <c r="AN141" s="0" t="s">
        <v>146</v>
      </c>
      <c r="AO141" s="0" t="s">
        <v>151</v>
      </c>
      <c r="AP141" s="0" t="s">
        <v>152</v>
      </c>
      <c r="AQ141" s="0" t="n">
        <v>9</v>
      </c>
      <c r="AR141" s="0" t="n">
        <v>64</v>
      </c>
      <c r="AS141" s="0" t="n">
        <v>32</v>
      </c>
      <c r="AU141" s="0" t="n">
        <f aca="false">COUNTA($BA$1382:$EH$1382)</f>
        <v>10</v>
      </c>
      <c r="AV141" s="0" t="n">
        <f aca="false">COUNTIF($BA$1382:$EH$1382,"D")</f>
        <v>0</v>
      </c>
      <c r="AW141" s="0" t="n">
        <f aca="false">COUNTIF($BA$1382:$EH$1382,"R")</f>
        <v>0</v>
      </c>
      <c r="AX141" s="0" t="n">
        <f aca="false"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>0</v>
      </c>
      <c r="AY141" s="0" t="n">
        <f aca="false">COUNTIF(DU141:EH141, "&lt;&gt;")</f>
        <v>1</v>
      </c>
      <c r="AZ141" s="0" t="n">
        <f aca="false">IF(EH141&lt;&gt;"",1,0)</f>
        <v>0</v>
      </c>
      <c r="BB141" s="0" t="s">
        <v>153</v>
      </c>
      <c r="CP141" s="0" t="s">
        <v>154</v>
      </c>
      <c r="DI141" s="0" t="s">
        <v>154</v>
      </c>
      <c r="DN141" s="0" t="s">
        <v>154</v>
      </c>
      <c r="EF141" s="0" t="s">
        <v>154</v>
      </c>
    </row>
    <row r="142" customFormat="false" ht="13.8" hidden="true" customHeight="false" outlineLevel="0" collapsed="false">
      <c r="A142" s="0" t="s">
        <v>930</v>
      </c>
      <c r="B142" s="0" t="n">
        <v>78</v>
      </c>
      <c r="C142" s="0" t="n">
        <v>448477</v>
      </c>
      <c r="D142" s="0" t="s">
        <v>931</v>
      </c>
      <c r="E142" s="0" t="s">
        <v>932</v>
      </c>
      <c r="F142" s="0" t="str">
        <f aca="false">CONCATENATE(D142," ",LEFT(H142,4),"T=",AU142,"D=",AV142,"R=",AW142,"M=",AX142,"L=",AY142,"B=",AZ142)</f>
        <v>BAKER T=4D=0R=0M=0L=0B=0</v>
      </c>
      <c r="G142" s="0" t="s">
        <v>216</v>
      </c>
      <c r="I142" s="0" t="s">
        <v>933</v>
      </c>
      <c r="J142" s="0" t="s">
        <v>934</v>
      </c>
      <c r="K142" s="0" t="s">
        <v>144</v>
      </c>
      <c r="L142" s="0"/>
      <c r="M142" s="0" t="s">
        <v>935</v>
      </c>
      <c r="N142" s="0" t="str">
        <f aca="false">RIGHT(M142,LEN(M142)-FIND(" ",M142))</f>
        <v>ATLANTIC ST NW</v>
      </c>
      <c r="O142" s="0" t="s">
        <v>414</v>
      </c>
      <c r="P142" s="0" t="s">
        <v>146</v>
      </c>
      <c r="Q142" s="0" t="s">
        <v>147</v>
      </c>
      <c r="R142" s="0" t="n">
        <v>44483</v>
      </c>
      <c r="AD142" s="0" t="s">
        <v>148</v>
      </c>
      <c r="AE142" s="0" t="s">
        <v>149</v>
      </c>
      <c r="AF142" s="0" t="s">
        <v>150</v>
      </c>
      <c r="AH142" s="0" t="n">
        <v>14</v>
      </c>
      <c r="AI142" s="0" t="n">
        <v>11</v>
      </c>
      <c r="AN142" s="0" t="s">
        <v>146</v>
      </c>
      <c r="AO142" s="0" t="s">
        <v>151</v>
      </c>
      <c r="AP142" s="0" t="s">
        <v>152</v>
      </c>
      <c r="AQ142" s="0" t="n">
        <v>9</v>
      </c>
      <c r="AR142" s="0" t="n">
        <v>64</v>
      </c>
      <c r="AS142" s="0" t="n">
        <v>32</v>
      </c>
      <c r="AU142" s="0" t="n">
        <f aca="false">COUNTA($BA$1683:$EH$1683)</f>
        <v>4</v>
      </c>
      <c r="AV142" s="0" t="n">
        <f aca="false">COUNTIF($BA$1683:$EH$1683,"D")</f>
        <v>0</v>
      </c>
      <c r="AW142" s="0" t="n">
        <f aca="false">COUNTIF($BA$1683:$EH$1683,"R")</f>
        <v>0</v>
      </c>
      <c r="AX142" s="0" t="n">
        <f aca="false"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>0</v>
      </c>
      <c r="AY142" s="0" t="n">
        <f aca="false">COUNTIF(DU142:EH142, "&lt;&gt;")</f>
        <v>0</v>
      </c>
      <c r="AZ142" s="0" t="n">
        <f aca="false">IF(EH142&lt;&gt;"",1,0)</f>
        <v>0</v>
      </c>
      <c r="BB142" s="0" t="s">
        <v>153</v>
      </c>
    </row>
    <row r="143" customFormat="false" ht="13.8" hidden="true" customHeight="false" outlineLevel="0" collapsed="false">
      <c r="A143" s="0" t="s">
        <v>936</v>
      </c>
      <c r="B143" s="0" t="n">
        <v>78</v>
      </c>
      <c r="C143" s="0" t="n">
        <v>341012</v>
      </c>
      <c r="D143" s="0" t="s">
        <v>937</v>
      </c>
      <c r="E143" s="0" t="s">
        <v>938</v>
      </c>
      <c r="F143" s="0" t="str">
        <f aca="false">CONCATENATE(D143," ",LEFT(H143,4),"T=",AU143,"D=",AV143,"R=",AW143,"M=",AX143,"L=",AY143,"B=",AZ143)</f>
        <v>LEDSOME T=1D=0R=0M=1L=0B=0</v>
      </c>
      <c r="G143" s="0" t="s">
        <v>939</v>
      </c>
      <c r="I143" s="0" t="s">
        <v>940</v>
      </c>
      <c r="J143" s="0" t="s">
        <v>941</v>
      </c>
      <c r="K143" s="0" t="s">
        <v>144</v>
      </c>
      <c r="L143" s="0"/>
      <c r="M143" s="0" t="s">
        <v>942</v>
      </c>
      <c r="N143" s="0" t="str">
        <f aca="false">RIGHT(M143,LEN(M143)-FIND(" ",M143))</f>
        <v>ATLANTIC ST NW</v>
      </c>
      <c r="P143" s="0" t="s">
        <v>146</v>
      </c>
      <c r="Q143" s="0" t="s">
        <v>147</v>
      </c>
      <c r="R143" s="0" t="n">
        <v>44483</v>
      </c>
      <c r="AD143" s="0" t="s">
        <v>148</v>
      </c>
      <c r="AE143" s="0" t="s">
        <v>149</v>
      </c>
      <c r="AF143" s="0" t="s">
        <v>150</v>
      </c>
      <c r="AH143" s="0" t="n">
        <v>14</v>
      </c>
      <c r="AI143" s="0" t="n">
        <v>11</v>
      </c>
      <c r="AN143" s="0" t="s">
        <v>146</v>
      </c>
      <c r="AO143" s="0" t="s">
        <v>151</v>
      </c>
      <c r="AP143" s="0" t="s">
        <v>152</v>
      </c>
      <c r="AQ143" s="0" t="n">
        <v>9</v>
      </c>
      <c r="AR143" s="0" t="n">
        <v>64</v>
      </c>
      <c r="AS143" s="0" t="n">
        <v>32</v>
      </c>
      <c r="AU143" s="0" t="n">
        <f aca="false">COUNTA($BA$1833:$EH$1833)</f>
        <v>1</v>
      </c>
      <c r="AV143" s="0" t="n">
        <f aca="false">COUNTIF($BA$1833:$EH$1833,"D")</f>
        <v>0</v>
      </c>
      <c r="AW143" s="0" t="n">
        <f aca="false">COUNTIF($BA$1833:$EH$1833,"R")</f>
        <v>0</v>
      </c>
      <c r="AX143" s="0" t="n">
        <f aca="false"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>1</v>
      </c>
      <c r="AY143" s="0" t="n">
        <f aca="false">COUNTIF(DU143:EH143, "&lt;&gt;")</f>
        <v>0</v>
      </c>
      <c r="AZ143" s="0" t="n">
        <f aca="false">IF(EH143&lt;&gt;"",1,0)</f>
        <v>0</v>
      </c>
      <c r="BB143" s="0" t="s">
        <v>153</v>
      </c>
      <c r="BP143" s="0" t="s">
        <v>154</v>
      </c>
      <c r="CA143" s="0" t="s">
        <v>154</v>
      </c>
      <c r="CP143" s="0" t="s">
        <v>154</v>
      </c>
      <c r="CQ143" s="0" t="s">
        <v>154</v>
      </c>
      <c r="CT143" s="0" t="s">
        <v>154</v>
      </c>
      <c r="CU143" s="0" t="s">
        <v>155</v>
      </c>
      <c r="CW143" s="0" t="s">
        <v>155</v>
      </c>
      <c r="CY143" s="0" t="s">
        <v>154</v>
      </c>
    </row>
    <row r="144" customFormat="false" ht="13.8" hidden="true" customHeight="false" outlineLevel="0" collapsed="false">
      <c r="A144" s="0" t="s">
        <v>943</v>
      </c>
      <c r="B144" s="0" t="n">
        <v>78</v>
      </c>
      <c r="C144" s="0" t="n">
        <v>372988</v>
      </c>
      <c r="D144" s="0" t="s">
        <v>931</v>
      </c>
      <c r="E144" s="0" t="s">
        <v>944</v>
      </c>
      <c r="F144" s="0" t="str">
        <f aca="false">CONCATENATE(D144," ",LEFT(H144,4),"T=",AU144,"D=",AV144,"R=",AW144,"M=",AX144,"L=",AY144,"B=",AZ144)</f>
        <v>BAKER T=1D=0R=0M=0L=0B=0</v>
      </c>
      <c r="G144" s="0" t="s">
        <v>176</v>
      </c>
      <c r="I144" s="0" t="s">
        <v>945</v>
      </c>
      <c r="J144" s="0" t="s">
        <v>946</v>
      </c>
      <c r="K144" s="0" t="s">
        <v>144</v>
      </c>
      <c r="L144" s="0"/>
      <c r="M144" s="0" t="s">
        <v>947</v>
      </c>
      <c r="N144" s="0" t="str">
        <f aca="false">RIGHT(M144,LEN(M144)-FIND(" ",M144))</f>
        <v>ATLANTIC ST NW</v>
      </c>
      <c r="O144" s="0" t="s">
        <v>184</v>
      </c>
      <c r="P144" s="0" t="s">
        <v>146</v>
      </c>
      <c r="Q144" s="0" t="s">
        <v>147</v>
      </c>
      <c r="R144" s="0" t="n">
        <v>44483</v>
      </c>
      <c r="AD144" s="0" t="s">
        <v>148</v>
      </c>
      <c r="AE144" s="0" t="s">
        <v>149</v>
      </c>
      <c r="AF144" s="0" t="s">
        <v>150</v>
      </c>
      <c r="AH144" s="0" t="n">
        <v>14</v>
      </c>
      <c r="AI144" s="0" t="n">
        <v>11</v>
      </c>
      <c r="AN144" s="0" t="s">
        <v>146</v>
      </c>
      <c r="AO144" s="0" t="s">
        <v>151</v>
      </c>
      <c r="AP144" s="0" t="s">
        <v>152</v>
      </c>
      <c r="AQ144" s="0" t="n">
        <v>9</v>
      </c>
      <c r="AR144" s="0" t="n">
        <v>64</v>
      </c>
      <c r="AS144" s="0" t="n">
        <v>32</v>
      </c>
      <c r="AU144" s="0" t="n">
        <f aca="false">COUNTA($BA$1191:$EH$1191)</f>
        <v>1</v>
      </c>
      <c r="AV144" s="0" t="n">
        <f aca="false">COUNTIF($BA$1191:$EH$1191,"D")</f>
        <v>0</v>
      </c>
      <c r="AW144" s="0" t="n">
        <f aca="false">COUNTIF($BA$1191:$EH$1191,"R")</f>
        <v>0</v>
      </c>
      <c r="AX144" s="0" t="n">
        <f aca="false"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>0</v>
      </c>
      <c r="AY144" s="0" t="n">
        <f aca="false">COUNTIF(DU144:EH144, "&lt;&gt;")</f>
        <v>0</v>
      </c>
      <c r="AZ144" s="0" t="n">
        <f aca="false">IF(EH144&lt;&gt;"",1,0)</f>
        <v>0</v>
      </c>
      <c r="BB144" s="0" t="s">
        <v>153</v>
      </c>
      <c r="DC144" s="0" t="s">
        <v>154</v>
      </c>
      <c r="DG144" s="0" t="s">
        <v>155</v>
      </c>
    </row>
    <row r="145" customFormat="false" ht="13.8" hidden="true" customHeight="false" outlineLevel="0" collapsed="false">
      <c r="A145" s="0" t="s">
        <v>948</v>
      </c>
      <c r="B145" s="0" t="n">
        <v>78</v>
      </c>
      <c r="C145" s="0" t="n">
        <v>473622</v>
      </c>
      <c r="D145" s="0" t="s">
        <v>949</v>
      </c>
      <c r="E145" s="0" t="s">
        <v>950</v>
      </c>
      <c r="F145" s="0" t="str">
        <f aca="false">CONCATENATE(D145," ",LEFT(H145,4),"T=",AU145,"D=",AV145,"R=",AW145,"M=",AX145,"L=",AY145,"B=",AZ145)</f>
        <v>RODGERS T=1D=0R=0M=0L=0B=0</v>
      </c>
      <c r="G145" s="0" t="s">
        <v>951</v>
      </c>
      <c r="I145" s="0" t="s">
        <v>952</v>
      </c>
      <c r="J145" s="0" t="s">
        <v>953</v>
      </c>
      <c r="K145" s="0" t="s">
        <v>175</v>
      </c>
      <c r="L145" s="0"/>
      <c r="M145" s="0" t="s">
        <v>954</v>
      </c>
      <c r="N145" s="0" t="str">
        <f aca="false">RIGHT(M145,LEN(M145)-FIND(" ",M145))</f>
        <v>ATLANTIC ST NW</v>
      </c>
      <c r="P145" s="0" t="s">
        <v>146</v>
      </c>
      <c r="Q145" s="0" t="s">
        <v>147</v>
      </c>
      <c r="R145" s="0" t="n">
        <v>44483</v>
      </c>
      <c r="AD145" s="0" t="s">
        <v>148</v>
      </c>
      <c r="AE145" s="0" t="s">
        <v>149</v>
      </c>
      <c r="AF145" s="0" t="s">
        <v>150</v>
      </c>
      <c r="AH145" s="0" t="n">
        <v>14</v>
      </c>
      <c r="AI145" s="0" t="n">
        <v>11</v>
      </c>
      <c r="AN145" s="0" t="s">
        <v>146</v>
      </c>
      <c r="AO145" s="0" t="s">
        <v>151</v>
      </c>
      <c r="AP145" s="0" t="s">
        <v>152</v>
      </c>
      <c r="AQ145" s="0" t="n">
        <v>9</v>
      </c>
      <c r="AR145" s="0" t="n">
        <v>64</v>
      </c>
      <c r="AS145" s="0" t="n">
        <v>32</v>
      </c>
      <c r="AU145" s="0" t="n">
        <f aca="false">COUNTA($BA$1573:$EH$1573)</f>
        <v>1</v>
      </c>
      <c r="AV145" s="0" t="n">
        <f aca="false">COUNTIF($BA$1573:$EH$1573,"D")</f>
        <v>0</v>
      </c>
      <c r="AW145" s="0" t="n">
        <f aca="false">COUNTIF($BA$1573:$EH$1573,"R")</f>
        <v>0</v>
      </c>
      <c r="AX145" s="0" t="n">
        <f aca="false"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>0</v>
      </c>
      <c r="AY145" s="0" t="n">
        <f aca="false">COUNTIF(DU145:EH145, "&lt;&gt;")</f>
        <v>0</v>
      </c>
      <c r="AZ145" s="0" t="n">
        <f aca="false">IF(EH145&lt;&gt;"",1,0)</f>
        <v>0</v>
      </c>
      <c r="BB145" s="0" t="s">
        <v>153</v>
      </c>
    </row>
    <row r="146" customFormat="false" ht="13.8" hidden="true" customHeight="false" outlineLevel="0" collapsed="false">
      <c r="A146" s="0" t="s">
        <v>955</v>
      </c>
      <c r="B146" s="0" t="n">
        <v>78</v>
      </c>
      <c r="C146" s="0" t="n">
        <v>441316</v>
      </c>
      <c r="D146" s="0" t="s">
        <v>956</v>
      </c>
      <c r="E146" s="0" t="s">
        <v>957</v>
      </c>
      <c r="F146" s="0" t="str">
        <f aca="false">CONCATENATE(D146," ",LEFT(H146,4),"T=",AU146,"D=",AV146,"R=",AW146,"M=",AX146,"L=",AY146,"B=",AZ146)</f>
        <v>PLATT T=7D=0R=0M=0L=0B=0</v>
      </c>
      <c r="G146" s="0" t="s">
        <v>958</v>
      </c>
      <c r="I146" s="0" t="s">
        <v>959</v>
      </c>
      <c r="J146" s="0" t="s">
        <v>960</v>
      </c>
      <c r="K146" s="0" t="s">
        <v>144</v>
      </c>
      <c r="L146" s="0"/>
      <c r="M146" s="0" t="s">
        <v>954</v>
      </c>
      <c r="N146" s="0" t="str">
        <f aca="false">RIGHT(M146,LEN(M146)-FIND(" ",M146))</f>
        <v>ATLANTIC ST NW</v>
      </c>
      <c r="P146" s="0" t="s">
        <v>146</v>
      </c>
      <c r="Q146" s="0" t="s">
        <v>147</v>
      </c>
      <c r="R146" s="0" t="n">
        <v>44483</v>
      </c>
      <c r="S146" s="0" t="n">
        <v>4707</v>
      </c>
      <c r="AD146" s="0" t="s">
        <v>148</v>
      </c>
      <c r="AE146" s="0" t="s">
        <v>149</v>
      </c>
      <c r="AF146" s="0" t="s">
        <v>150</v>
      </c>
      <c r="AH146" s="0" t="n">
        <v>14</v>
      </c>
      <c r="AI146" s="0" t="n">
        <v>11</v>
      </c>
      <c r="AN146" s="0" t="s">
        <v>146</v>
      </c>
      <c r="AO146" s="0" t="s">
        <v>151</v>
      </c>
      <c r="AP146" s="0" t="s">
        <v>152</v>
      </c>
      <c r="AQ146" s="0" t="n">
        <v>9</v>
      </c>
      <c r="AR146" s="0" t="n">
        <v>64</v>
      </c>
      <c r="AS146" s="0" t="n">
        <v>32</v>
      </c>
      <c r="AU146" s="0" t="n">
        <f aca="false">COUNTA($BA$1602:$EH$1602)</f>
        <v>7</v>
      </c>
      <c r="AV146" s="0" t="n">
        <f aca="false">COUNTIF($BA$1602:$EH$1602,"D")</f>
        <v>0</v>
      </c>
      <c r="AW146" s="0" t="n">
        <f aca="false">COUNTIF($BA$1602:$EH$1602,"R")</f>
        <v>0</v>
      </c>
      <c r="AX146" s="0" t="n">
        <f aca="false"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>0</v>
      </c>
      <c r="AY146" s="0" t="n">
        <f aca="false">COUNTIF(DU146:EH146, "&lt;&gt;")</f>
        <v>0</v>
      </c>
      <c r="AZ146" s="0" t="n">
        <f aca="false">IF(EH146&lt;&gt;"",1,0)</f>
        <v>0</v>
      </c>
      <c r="BB146" s="0" t="s">
        <v>153</v>
      </c>
      <c r="DN146" s="0" t="s">
        <v>154</v>
      </c>
    </row>
    <row r="147" customFormat="false" ht="13.8" hidden="true" customHeight="false" outlineLevel="0" collapsed="false">
      <c r="A147" s="0" t="s">
        <v>961</v>
      </c>
      <c r="B147" s="0" t="n">
        <v>78</v>
      </c>
      <c r="C147" s="0" t="n">
        <v>414105</v>
      </c>
      <c r="D147" s="0" t="s">
        <v>949</v>
      </c>
      <c r="E147" s="0" t="s">
        <v>962</v>
      </c>
      <c r="F147" s="0" t="str">
        <f aca="false">CONCATENATE(D147," ",LEFT(H147,4),"T=",AU147,"D=",AV147,"R=",AW147,"M=",AX147,"L=",AY147,"B=",AZ147)</f>
        <v>RODGERS T=19D=9R=0M=0L=1B=0</v>
      </c>
      <c r="G147" s="0" t="s">
        <v>376</v>
      </c>
      <c r="I147" s="0" t="s">
        <v>963</v>
      </c>
      <c r="J147" s="0" t="s">
        <v>964</v>
      </c>
      <c r="K147" s="0" t="s">
        <v>175</v>
      </c>
      <c r="L147" s="0"/>
      <c r="M147" s="0" t="s">
        <v>954</v>
      </c>
      <c r="N147" s="0" t="str">
        <f aca="false">RIGHT(M147,LEN(M147)-FIND(" ",M147))</f>
        <v>ATLANTIC ST NW</v>
      </c>
      <c r="P147" s="0" t="s">
        <v>146</v>
      </c>
      <c r="Q147" s="0" t="s">
        <v>147</v>
      </c>
      <c r="R147" s="0" t="n">
        <v>44483</v>
      </c>
      <c r="AD147" s="0" t="s">
        <v>148</v>
      </c>
      <c r="AE147" s="0" t="s">
        <v>149</v>
      </c>
      <c r="AF147" s="0" t="s">
        <v>150</v>
      </c>
      <c r="AH147" s="0" t="n">
        <v>14</v>
      </c>
      <c r="AI147" s="0" t="n">
        <v>11</v>
      </c>
      <c r="AN147" s="0" t="s">
        <v>146</v>
      </c>
      <c r="AO147" s="0" t="s">
        <v>151</v>
      </c>
      <c r="AP147" s="0" t="s">
        <v>152</v>
      </c>
      <c r="AQ147" s="0" t="n">
        <v>9</v>
      </c>
      <c r="AR147" s="0" t="n">
        <v>64</v>
      </c>
      <c r="AS147" s="0" t="n">
        <v>32</v>
      </c>
      <c r="AU147" s="0" t="n">
        <f aca="false">COUNTA($BA$1870:$EH$1870)</f>
        <v>19</v>
      </c>
      <c r="AV147" s="0" t="n">
        <f aca="false">COUNTIF($BA$1870:$EH$1870,"D")</f>
        <v>9</v>
      </c>
      <c r="AW147" s="0" t="n">
        <f aca="false">COUNTIF($BA$1870:$EH$1870,"R")</f>
        <v>0</v>
      </c>
      <c r="AX147" s="0" t="n">
        <f aca="false"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>0</v>
      </c>
      <c r="AY147" s="0" t="n">
        <f aca="false">COUNTIF(DU147:EH147, "&lt;&gt;")</f>
        <v>1</v>
      </c>
      <c r="AZ147" s="0" t="n">
        <f aca="false">IF(EH147&lt;&gt;"",1,0)</f>
        <v>0</v>
      </c>
      <c r="BB147" s="0" t="s">
        <v>153</v>
      </c>
      <c r="BL147" s="0" t="s">
        <v>154</v>
      </c>
      <c r="CP147" s="0" t="s">
        <v>154</v>
      </c>
      <c r="CV147" s="0" t="s">
        <v>154</v>
      </c>
      <c r="DC147" s="0" t="s">
        <v>154</v>
      </c>
      <c r="DI147" s="0" t="s">
        <v>154</v>
      </c>
      <c r="DL147" s="0" t="s">
        <v>154</v>
      </c>
      <c r="DN147" s="0" t="s">
        <v>154</v>
      </c>
      <c r="EF147" s="0" t="s">
        <v>154</v>
      </c>
    </row>
    <row r="148" customFormat="false" ht="13.8" hidden="true" customHeight="false" outlineLevel="0" collapsed="false">
      <c r="A148" s="0" t="s">
        <v>965</v>
      </c>
      <c r="B148" s="0" t="n">
        <v>78</v>
      </c>
      <c r="C148" s="0" t="n">
        <v>484998</v>
      </c>
      <c r="D148" s="0" t="s">
        <v>966</v>
      </c>
      <c r="E148" s="0" t="s">
        <v>967</v>
      </c>
      <c r="F148" s="0" t="str">
        <f aca="false">CONCATENATE(D148," ",LEFT(H148,4),"T=",AU148,"D=",AV148,"R=",AW148,"M=",AX148,"L=",AY148,"B=",AZ148)</f>
        <v>YOUNG MCARTHUR T=11D=0R=2M=0L=1B=0</v>
      </c>
      <c r="G148" s="0" t="s">
        <v>968</v>
      </c>
      <c r="I148" s="0" t="s">
        <v>969</v>
      </c>
      <c r="J148" s="0" t="s">
        <v>970</v>
      </c>
      <c r="K148" s="0" t="s">
        <v>175</v>
      </c>
      <c r="L148" s="0"/>
      <c r="M148" s="0" t="s">
        <v>971</v>
      </c>
      <c r="N148" s="0" t="str">
        <f aca="false">RIGHT(M148,LEN(M148)-FIND(" ",M148))</f>
        <v>ATLANTIC ST NW</v>
      </c>
      <c r="O148" s="0" t="s">
        <v>972</v>
      </c>
      <c r="P148" s="0" t="s">
        <v>146</v>
      </c>
      <c r="Q148" s="0" t="s">
        <v>147</v>
      </c>
      <c r="R148" s="0" t="n">
        <v>44483</v>
      </c>
      <c r="AD148" s="0" t="s">
        <v>148</v>
      </c>
      <c r="AE148" s="0" t="s">
        <v>149</v>
      </c>
      <c r="AF148" s="0" t="s">
        <v>150</v>
      </c>
      <c r="AH148" s="0" t="n">
        <v>14</v>
      </c>
      <c r="AI148" s="0" t="n">
        <v>11</v>
      </c>
      <c r="AN148" s="0" t="s">
        <v>146</v>
      </c>
      <c r="AO148" s="0" t="s">
        <v>151</v>
      </c>
      <c r="AP148" s="0" t="s">
        <v>152</v>
      </c>
      <c r="AQ148" s="0" t="n">
        <v>9</v>
      </c>
      <c r="AR148" s="0" t="n">
        <v>64</v>
      </c>
      <c r="AS148" s="0" t="n">
        <v>32</v>
      </c>
      <c r="AU148" s="0" t="n">
        <f aca="false">COUNTA($BA$1228:$EH$1228)</f>
        <v>11</v>
      </c>
      <c r="AV148" s="0" t="n">
        <f aca="false">COUNTIF($BA$1228:$EH$1228,"D")</f>
        <v>0</v>
      </c>
      <c r="AW148" s="0" t="n">
        <f aca="false">COUNTIF($BA$1228:$EH$1228,"R")</f>
        <v>2</v>
      </c>
      <c r="AX148" s="0" t="n">
        <f aca="false"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>0</v>
      </c>
      <c r="AY148" s="0" t="n">
        <f aca="false">COUNTIF(DU148:EH148, "&lt;&gt;")</f>
        <v>1</v>
      </c>
      <c r="AZ148" s="0" t="n">
        <f aca="false">IF(EH148&lt;&gt;"",1,0)</f>
        <v>0</v>
      </c>
      <c r="BB148" s="0" t="s">
        <v>153</v>
      </c>
      <c r="DN148" s="0" t="s">
        <v>154</v>
      </c>
      <c r="EF148" s="0" t="s">
        <v>154</v>
      </c>
    </row>
    <row r="149" customFormat="false" ht="13.8" hidden="false" customHeight="false" outlineLevel="0" collapsed="false">
      <c r="A149" s="0" t="s">
        <v>973</v>
      </c>
      <c r="B149" s="0" t="n">
        <v>78</v>
      </c>
      <c r="C149" s="0" t="n">
        <v>411592</v>
      </c>
      <c r="D149" s="0" t="s">
        <v>974</v>
      </c>
      <c r="E149" s="0" t="s">
        <v>975</v>
      </c>
      <c r="F149" s="0" t="str">
        <f aca="false">CONCATENATE(D149," ",LEFT(H149,4),"T=",AU149,"D=",AV149,"R=",AW149,"M=",AX149,"L=",AY149,"B=",AZ149)</f>
        <v>BLAIR T=10D=0R=0M=0L=3B=0</v>
      </c>
      <c r="G149" s="0" t="s">
        <v>495</v>
      </c>
      <c r="I149" s="0" t="s">
        <v>976</v>
      </c>
      <c r="J149" s="0" t="s">
        <v>977</v>
      </c>
      <c r="K149" s="0" t="s">
        <v>175</v>
      </c>
      <c r="M149" s="0" t="s">
        <v>971</v>
      </c>
      <c r="N149" s="0" t="str">
        <f aca="false">RIGHT(M149,LEN(M149)-FIND(" ",M149))</f>
        <v>ATLANTIC ST NW</v>
      </c>
      <c r="P149" s="0" t="s">
        <v>146</v>
      </c>
      <c r="Q149" s="0" t="s">
        <v>147</v>
      </c>
      <c r="R149" s="0" t="n">
        <v>44483</v>
      </c>
      <c r="AD149" s="0" t="s">
        <v>148</v>
      </c>
      <c r="AE149" s="0" t="s">
        <v>149</v>
      </c>
      <c r="AF149" s="0" t="s">
        <v>150</v>
      </c>
      <c r="AH149" s="0" t="n">
        <v>14</v>
      </c>
      <c r="AI149" s="0" t="n">
        <v>11</v>
      </c>
      <c r="AN149" s="0" t="s">
        <v>146</v>
      </c>
      <c r="AO149" s="0" t="s">
        <v>151</v>
      </c>
      <c r="AP149" s="0" t="s">
        <v>152</v>
      </c>
      <c r="AQ149" s="0" t="n">
        <v>9</v>
      </c>
      <c r="AR149" s="0" t="n">
        <v>64</v>
      </c>
      <c r="AS149" s="0" t="n">
        <v>32</v>
      </c>
      <c r="AU149" s="0" t="n">
        <f aca="false">COUNTA($BA$1267:$EH$1267)</f>
        <v>10</v>
      </c>
      <c r="AV149" s="0" t="n">
        <f aca="false">COUNTIF($BA$1267:$EH$1267,"D")</f>
        <v>0</v>
      </c>
      <c r="AW149" s="0" t="n">
        <f aca="false">COUNTIF($BA$1267:$EH$1267,"R")</f>
        <v>0</v>
      </c>
      <c r="AX149" s="0" t="n">
        <f aca="false"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>0</v>
      </c>
      <c r="AY149" s="0" t="n">
        <f aca="false">COUNTIF(DU149:EH149, "&lt;&gt;")</f>
        <v>3</v>
      </c>
      <c r="AZ149" s="0" t="n">
        <f aca="false">IF(EH149&lt;&gt;"",1,0)</f>
        <v>0</v>
      </c>
      <c r="BB149" s="0" t="s">
        <v>153</v>
      </c>
      <c r="CZ149" s="0" t="s">
        <v>176</v>
      </c>
      <c r="DC149" s="0" t="s">
        <v>154</v>
      </c>
      <c r="DI149" s="0" t="s">
        <v>154</v>
      </c>
      <c r="DN149" s="0" t="s">
        <v>154</v>
      </c>
      <c r="DX149" s="0" t="s">
        <v>154</v>
      </c>
      <c r="EA149" s="0" t="s">
        <v>154</v>
      </c>
      <c r="EF149" s="0" t="s">
        <v>154</v>
      </c>
    </row>
    <row r="150" customFormat="false" ht="13.8" hidden="false" customHeight="false" outlineLevel="0" collapsed="false">
      <c r="A150" s="0" t="s">
        <v>978</v>
      </c>
      <c r="B150" s="0" t="n">
        <v>78</v>
      </c>
      <c r="C150" s="0" t="n">
        <v>371823</v>
      </c>
      <c r="D150" s="0" t="s">
        <v>979</v>
      </c>
      <c r="E150" s="0" t="s">
        <v>980</v>
      </c>
      <c r="F150" s="0" t="str">
        <f aca="false">CONCATENATE(D150," ",LEFT(H150,4),"T=",AU150,"D=",AV150,"R=",AW150,"M=",AX150,"L=",AY150,"B=",AZ150)</f>
        <v>HARPER T=24D=3R=0M=0L=2B=0</v>
      </c>
      <c r="G150" s="0" t="s">
        <v>981</v>
      </c>
      <c r="I150" s="0" t="s">
        <v>982</v>
      </c>
      <c r="J150" s="0" t="s">
        <v>983</v>
      </c>
      <c r="K150" s="0" t="s">
        <v>175</v>
      </c>
      <c r="M150" s="0" t="s">
        <v>984</v>
      </c>
      <c r="N150" s="0" t="str">
        <f aca="false">RIGHT(M150,LEN(M150)-FIND(" ",M150))</f>
        <v>ATLANTIC ST NW</v>
      </c>
      <c r="P150" s="0" t="s">
        <v>146</v>
      </c>
      <c r="Q150" s="0" t="s">
        <v>147</v>
      </c>
      <c r="R150" s="0" t="n">
        <v>44483</v>
      </c>
      <c r="AD150" s="0" t="s">
        <v>148</v>
      </c>
      <c r="AE150" s="0" t="s">
        <v>149</v>
      </c>
      <c r="AF150" s="0" t="s">
        <v>150</v>
      </c>
      <c r="AH150" s="0" t="n">
        <v>14</v>
      </c>
      <c r="AI150" s="0" t="n">
        <v>11</v>
      </c>
      <c r="AN150" s="0" t="s">
        <v>146</v>
      </c>
      <c r="AO150" s="0" t="s">
        <v>151</v>
      </c>
      <c r="AP150" s="0" t="s">
        <v>152</v>
      </c>
      <c r="AQ150" s="0" t="n">
        <v>9</v>
      </c>
      <c r="AR150" s="0" t="n">
        <v>64</v>
      </c>
      <c r="AS150" s="0" t="n">
        <v>32</v>
      </c>
      <c r="AU150" s="0" t="n">
        <f aca="false">COUNTA($BA$1527:$EH$1527)</f>
        <v>24</v>
      </c>
      <c r="AV150" s="0" t="n">
        <f aca="false">COUNTIF($BA$1527:$EH$1527,"D")</f>
        <v>3</v>
      </c>
      <c r="AW150" s="0" t="n">
        <f aca="false">COUNTIF($BA$1527:$EH$1527,"R")</f>
        <v>0</v>
      </c>
      <c r="AX150" s="0" t="n">
        <f aca="false"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>0</v>
      </c>
      <c r="AY150" s="0" t="n">
        <f aca="false">COUNTIF(DU150:EH150, "&lt;&gt;")</f>
        <v>2</v>
      </c>
      <c r="AZ150" s="0" t="n">
        <f aca="false">IF(EH150&lt;&gt;"",1,0)</f>
        <v>0</v>
      </c>
      <c r="BB150" s="0" t="s">
        <v>153</v>
      </c>
      <c r="DN150" s="0" t="s">
        <v>154</v>
      </c>
      <c r="DU150" s="0" t="s">
        <v>154</v>
      </c>
      <c r="EF150" s="0" t="s">
        <v>154</v>
      </c>
    </row>
    <row r="151" customFormat="false" ht="13.8" hidden="true" customHeight="false" outlineLevel="0" collapsed="false">
      <c r="A151" s="0" t="s">
        <v>985</v>
      </c>
      <c r="B151" s="0" t="n">
        <v>78</v>
      </c>
      <c r="C151" s="0" t="n">
        <v>384016</v>
      </c>
      <c r="D151" s="0" t="s">
        <v>986</v>
      </c>
      <c r="E151" s="0" t="s">
        <v>652</v>
      </c>
      <c r="F151" s="0" t="str">
        <f aca="false">CONCATENATE(D151," ",LEFT(H151,4),"T=",AU151,"D=",AV151,"R=",AW151,"M=",AX151,"L=",AY151,"B=",AZ151)</f>
        <v>GUCHO T=2D=0R=0M=0L=0B=0</v>
      </c>
      <c r="G151" s="0" t="s">
        <v>155</v>
      </c>
      <c r="I151" s="0" t="s">
        <v>987</v>
      </c>
      <c r="J151" s="0" t="s">
        <v>988</v>
      </c>
      <c r="K151" s="0" t="s">
        <v>175</v>
      </c>
      <c r="L151" s="0" t="s">
        <v>155</v>
      </c>
      <c r="M151" s="0" t="s">
        <v>984</v>
      </c>
      <c r="N151" s="0" t="str">
        <f aca="false">RIGHT(M151,LEN(M151)-FIND(" ",M151))</f>
        <v>ATLANTIC ST NW</v>
      </c>
      <c r="P151" s="0" t="s">
        <v>146</v>
      </c>
      <c r="Q151" s="0" t="s">
        <v>147</v>
      </c>
      <c r="R151" s="0" t="n">
        <v>44483</v>
      </c>
      <c r="AD151" s="0" t="s">
        <v>148</v>
      </c>
      <c r="AE151" s="0" t="s">
        <v>149</v>
      </c>
      <c r="AF151" s="0" t="s">
        <v>150</v>
      </c>
      <c r="AH151" s="0" t="n">
        <v>14</v>
      </c>
      <c r="AI151" s="0" t="n">
        <v>11</v>
      </c>
      <c r="AN151" s="0" t="s">
        <v>146</v>
      </c>
      <c r="AO151" s="0" t="s">
        <v>151</v>
      </c>
      <c r="AP151" s="0" t="s">
        <v>152</v>
      </c>
      <c r="AQ151" s="0" t="n">
        <v>9</v>
      </c>
      <c r="AR151" s="0" t="n">
        <v>64</v>
      </c>
      <c r="AS151" s="0" t="n">
        <v>32</v>
      </c>
      <c r="AU151" s="0" t="n">
        <f aca="false">COUNTA($BA$1530:$EH$1530)</f>
        <v>2</v>
      </c>
      <c r="AV151" s="0" t="n">
        <f aca="false">COUNTIF($BA$1530:$EH$1530,"D")</f>
        <v>0</v>
      </c>
      <c r="AW151" s="0" t="n">
        <f aca="false">COUNTIF($BA$1530:$EH$1530,"R")</f>
        <v>0</v>
      </c>
      <c r="AX151" s="0" t="n">
        <f aca="false"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>0</v>
      </c>
      <c r="AY151" s="0" t="n">
        <f aca="false">COUNTIF(DU151:EH151, "&lt;&gt;")</f>
        <v>0</v>
      </c>
      <c r="AZ151" s="0" t="n">
        <f aca="false">IF(EH151&lt;&gt;"",1,0)</f>
        <v>0</v>
      </c>
      <c r="BB151" s="0" t="s">
        <v>153</v>
      </c>
      <c r="DS151" s="0" t="s">
        <v>155</v>
      </c>
    </row>
    <row r="152" customFormat="false" ht="13.8" hidden="false" customHeight="false" outlineLevel="0" collapsed="false">
      <c r="A152" s="0" t="s">
        <v>989</v>
      </c>
      <c r="B152" s="0" t="n">
        <v>78</v>
      </c>
      <c r="C152" s="0" t="n">
        <v>411992</v>
      </c>
      <c r="D152" s="0" t="s">
        <v>990</v>
      </c>
      <c r="E152" s="0" t="s">
        <v>750</v>
      </c>
      <c r="F152" s="0" t="str">
        <f aca="false">CONCATENATE(D152," ",LEFT(H152,4),"T=",AU152,"D=",AV152,"R=",AW152,"M=",AX152,"L=",AY152,"B=",AZ152)</f>
        <v>MCCRORY T=4D=0R=0M=0L=2B=0</v>
      </c>
      <c r="I152" s="0" t="s">
        <v>991</v>
      </c>
      <c r="J152" s="0" t="s">
        <v>992</v>
      </c>
      <c r="K152" s="0" t="s">
        <v>175</v>
      </c>
      <c r="M152" s="0" t="s">
        <v>984</v>
      </c>
      <c r="N152" s="0" t="str">
        <f aca="false">RIGHT(M152,LEN(M152)-FIND(" ",M152))</f>
        <v>ATLANTIC ST NW</v>
      </c>
      <c r="P152" s="0" t="s">
        <v>146</v>
      </c>
      <c r="Q152" s="0" t="s">
        <v>147</v>
      </c>
      <c r="R152" s="0" t="n">
        <v>44483</v>
      </c>
      <c r="AD152" s="0" t="s">
        <v>148</v>
      </c>
      <c r="AE152" s="0" t="s">
        <v>149</v>
      </c>
      <c r="AF152" s="0" t="s">
        <v>150</v>
      </c>
      <c r="AH152" s="0" t="n">
        <v>14</v>
      </c>
      <c r="AI152" s="0" t="n">
        <v>11</v>
      </c>
      <c r="AN152" s="0" t="s">
        <v>146</v>
      </c>
      <c r="AO152" s="0" t="s">
        <v>151</v>
      </c>
      <c r="AP152" s="0" t="s">
        <v>152</v>
      </c>
      <c r="AQ152" s="0" t="n">
        <v>9</v>
      </c>
      <c r="AR152" s="0" t="n">
        <v>64</v>
      </c>
      <c r="AS152" s="0" t="n">
        <v>32</v>
      </c>
      <c r="AU152" s="0" t="n">
        <f aca="false">COUNTA($BA$1651:$EH$1651)</f>
        <v>4</v>
      </c>
      <c r="AV152" s="0" t="n">
        <f aca="false">COUNTIF($BA$1651:$EH$1651,"D")</f>
        <v>0</v>
      </c>
      <c r="AW152" s="0" t="n">
        <f aca="false">COUNTIF($BA$1651:$EH$1651,"R")</f>
        <v>0</v>
      </c>
      <c r="AX152" s="0" t="n">
        <f aca="false"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>0</v>
      </c>
      <c r="AY152" s="0" t="n">
        <f aca="false">COUNTIF(DU152:EH152, "&lt;&gt;")</f>
        <v>2</v>
      </c>
      <c r="AZ152" s="0" t="n">
        <f aca="false">IF(EH152&lt;&gt;"",1,0)</f>
        <v>0</v>
      </c>
      <c r="BB152" s="0" t="s">
        <v>153</v>
      </c>
      <c r="DC152" s="0" t="s">
        <v>154</v>
      </c>
      <c r="DN152" s="0" t="s">
        <v>154</v>
      </c>
      <c r="DU152" s="0" t="s">
        <v>154</v>
      </c>
      <c r="EF152" s="0" t="s">
        <v>154</v>
      </c>
    </row>
    <row r="153" customFormat="false" ht="13.8" hidden="true" customHeight="false" outlineLevel="0" collapsed="false">
      <c r="A153" s="0" t="s">
        <v>993</v>
      </c>
      <c r="B153" s="0" t="n">
        <v>78</v>
      </c>
      <c r="C153" s="0" t="n">
        <v>409236</v>
      </c>
      <c r="D153" s="0" t="s">
        <v>994</v>
      </c>
      <c r="E153" s="0" t="s">
        <v>995</v>
      </c>
      <c r="F153" s="0" t="str">
        <f aca="false">CONCATENATE(D153," ",LEFT(H153,4),"T=",AU153,"D=",AV153,"R=",AW153,"M=",AX153,"L=",AY153,"B=",AZ153)</f>
        <v>RONQUILLO T=2D=0R=0M=0L=1B=0</v>
      </c>
      <c r="G153" s="0" t="s">
        <v>996</v>
      </c>
      <c r="I153" s="0" t="s">
        <v>997</v>
      </c>
      <c r="J153" s="0" t="s">
        <v>998</v>
      </c>
      <c r="K153" s="0" t="s">
        <v>175</v>
      </c>
      <c r="L153" s="0"/>
      <c r="M153" s="0" t="s">
        <v>984</v>
      </c>
      <c r="N153" s="0" t="str">
        <f aca="false">RIGHT(M153,LEN(M153)-FIND(" ",M153))</f>
        <v>ATLANTIC ST NW</v>
      </c>
      <c r="O153" s="0" t="s">
        <v>999</v>
      </c>
      <c r="P153" s="0" t="s">
        <v>146</v>
      </c>
      <c r="Q153" s="0" t="s">
        <v>147</v>
      </c>
      <c r="R153" s="0" t="n">
        <v>44483</v>
      </c>
      <c r="AD153" s="0" t="s">
        <v>148</v>
      </c>
      <c r="AE153" s="0" t="s">
        <v>149</v>
      </c>
      <c r="AF153" s="0" t="s">
        <v>150</v>
      </c>
      <c r="AH153" s="0" t="n">
        <v>14</v>
      </c>
      <c r="AI153" s="0" t="n">
        <v>11</v>
      </c>
      <c r="AN153" s="0" t="s">
        <v>146</v>
      </c>
      <c r="AO153" s="0" t="s">
        <v>151</v>
      </c>
      <c r="AP153" s="0" t="s">
        <v>152</v>
      </c>
      <c r="AQ153" s="0" t="n">
        <v>9</v>
      </c>
      <c r="AR153" s="0" t="n">
        <v>64</v>
      </c>
      <c r="AS153" s="0" t="n">
        <v>32</v>
      </c>
      <c r="AU153" s="0" t="n">
        <f aca="false">COUNTA($BA$1723:$EH$1723)</f>
        <v>2</v>
      </c>
      <c r="AV153" s="0" t="n">
        <f aca="false">COUNTIF($BA$1723:$EH$1723,"D")</f>
        <v>0</v>
      </c>
      <c r="AW153" s="0" t="n">
        <f aca="false">COUNTIF($BA$1723:$EH$1723,"R")</f>
        <v>0</v>
      </c>
      <c r="AX153" s="0" t="n">
        <f aca="false"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>0</v>
      </c>
      <c r="AY153" s="0" t="n">
        <f aca="false">COUNTIF(DU153:EH153, "&lt;&gt;")</f>
        <v>1</v>
      </c>
      <c r="AZ153" s="0" t="n">
        <f aca="false">IF(EH153&lt;&gt;"",1,0)</f>
        <v>0</v>
      </c>
      <c r="BB153" s="0" t="s">
        <v>153</v>
      </c>
      <c r="CA153" s="0" t="s">
        <v>154</v>
      </c>
      <c r="DC153" s="0" t="s">
        <v>154</v>
      </c>
      <c r="DN153" s="0" t="s">
        <v>154</v>
      </c>
      <c r="DU153" s="0" t="s">
        <v>154</v>
      </c>
    </row>
    <row r="154" customFormat="false" ht="13.8" hidden="true" customHeight="false" outlineLevel="0" collapsed="false">
      <c r="A154" s="0" t="s">
        <v>1000</v>
      </c>
      <c r="B154" s="0" t="n">
        <v>78</v>
      </c>
      <c r="C154" s="0" t="n">
        <v>387514</v>
      </c>
      <c r="D154" s="0" t="s">
        <v>1001</v>
      </c>
      <c r="E154" s="0" t="s">
        <v>1002</v>
      </c>
      <c r="F154" s="0" t="str">
        <f aca="false">CONCATENATE(D154," ",LEFT(H154,4),"T=",AU154,"D=",AV154,"R=",AW154,"M=",AX154,"L=",AY154,"B=",AZ154)</f>
        <v>NETTLES T=4D=0R=0M=0L=0B=0</v>
      </c>
      <c r="G154" s="0" t="s">
        <v>196</v>
      </c>
      <c r="I154" s="0" t="s">
        <v>1003</v>
      </c>
      <c r="J154" s="0" t="s">
        <v>1004</v>
      </c>
      <c r="K154" s="0" t="s">
        <v>175</v>
      </c>
      <c r="L154" s="0"/>
      <c r="M154" s="0" t="s">
        <v>1005</v>
      </c>
      <c r="N154" s="0" t="str">
        <f aca="false">RIGHT(M154,LEN(M154)-FIND(" ",M154))</f>
        <v>ATLANTIC ST NW</v>
      </c>
      <c r="P154" s="0" t="s">
        <v>146</v>
      </c>
      <c r="Q154" s="0" t="s">
        <v>147</v>
      </c>
      <c r="R154" s="0" t="n">
        <v>44483</v>
      </c>
      <c r="AD154" s="0" t="s">
        <v>148</v>
      </c>
      <c r="AE154" s="0" t="s">
        <v>149</v>
      </c>
      <c r="AF154" s="0" t="s">
        <v>150</v>
      </c>
      <c r="AH154" s="0" t="n">
        <v>14</v>
      </c>
      <c r="AI154" s="0" t="n">
        <v>11</v>
      </c>
      <c r="AN154" s="0" t="s">
        <v>146</v>
      </c>
      <c r="AO154" s="0" t="s">
        <v>151</v>
      </c>
      <c r="AP154" s="0" t="s">
        <v>152</v>
      </c>
      <c r="AQ154" s="0" t="n">
        <v>9</v>
      </c>
      <c r="AR154" s="0" t="n">
        <v>64</v>
      </c>
      <c r="AS154" s="0" t="n">
        <v>32</v>
      </c>
      <c r="AU154" s="0" t="n">
        <f aca="false">COUNTA($BA$1361:$EH$1361)</f>
        <v>4</v>
      </c>
      <c r="AV154" s="0" t="n">
        <f aca="false">COUNTIF($BA$1361:$EH$1361,"D")</f>
        <v>0</v>
      </c>
      <c r="AW154" s="0" t="n">
        <f aca="false">COUNTIF($BA$1361:$EH$1361,"R")</f>
        <v>0</v>
      </c>
      <c r="AX154" s="0" t="n">
        <f aca="false"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>0</v>
      </c>
      <c r="AY154" s="0" t="n">
        <f aca="false">COUNTIF(DU154:EH154, "&lt;&gt;")</f>
        <v>0</v>
      </c>
      <c r="AZ154" s="0" t="n">
        <f aca="false">IF(EH154&lt;&gt;"",1,0)</f>
        <v>0</v>
      </c>
      <c r="BB154" s="0" t="s">
        <v>153</v>
      </c>
    </row>
    <row r="155" customFormat="false" ht="13.8" hidden="true" customHeight="false" outlineLevel="0" collapsed="false">
      <c r="A155" s="0" t="s">
        <v>1006</v>
      </c>
      <c r="B155" s="0" t="n">
        <v>78</v>
      </c>
      <c r="C155" s="0" t="n">
        <v>384927</v>
      </c>
      <c r="D155" s="0" t="s">
        <v>1001</v>
      </c>
      <c r="E155" s="0" t="s">
        <v>1007</v>
      </c>
      <c r="F155" s="0" t="str">
        <f aca="false">CONCATENATE(D155," ",LEFT(H155,4),"T=",AU155,"D=",AV155,"R=",AW155,"M=",AX155,"L=",AY155,"B=",AZ155)</f>
        <v>NETTLES T=2D=0R=0M=0L=0B=0</v>
      </c>
      <c r="G155" s="0" t="s">
        <v>241</v>
      </c>
      <c r="I155" s="0" t="s">
        <v>1008</v>
      </c>
      <c r="J155" s="0" t="s">
        <v>1009</v>
      </c>
      <c r="K155" s="0" t="s">
        <v>175</v>
      </c>
      <c r="L155" s="0"/>
      <c r="M155" s="0" t="s">
        <v>1005</v>
      </c>
      <c r="N155" s="0" t="str">
        <f aca="false">RIGHT(M155,LEN(M155)-FIND(" ",M155))</f>
        <v>ATLANTIC ST NW</v>
      </c>
      <c r="P155" s="0" t="s">
        <v>146</v>
      </c>
      <c r="Q155" s="0" t="s">
        <v>147</v>
      </c>
      <c r="R155" s="0" t="n">
        <v>44483</v>
      </c>
      <c r="AD155" s="0" t="s">
        <v>148</v>
      </c>
      <c r="AE155" s="0" t="s">
        <v>149</v>
      </c>
      <c r="AF155" s="0" t="s">
        <v>150</v>
      </c>
      <c r="AH155" s="0" t="n">
        <v>14</v>
      </c>
      <c r="AI155" s="0" t="n">
        <v>11</v>
      </c>
      <c r="AN155" s="0" t="s">
        <v>146</v>
      </c>
      <c r="AO155" s="0" t="s">
        <v>151</v>
      </c>
      <c r="AP155" s="0" t="s">
        <v>152</v>
      </c>
      <c r="AQ155" s="0" t="n">
        <v>9</v>
      </c>
      <c r="AR155" s="0" t="n">
        <v>64</v>
      </c>
      <c r="AS155" s="0" t="n">
        <v>32</v>
      </c>
      <c r="AU155" s="0" t="n">
        <f aca="false">COUNTA($BA$1449:$EH$1449)</f>
        <v>2</v>
      </c>
      <c r="AV155" s="0" t="n">
        <f aca="false">COUNTIF($BA$1449:$EH$1449,"D")</f>
        <v>0</v>
      </c>
      <c r="AW155" s="0" t="n">
        <f aca="false">COUNTIF($BA$1449:$EH$1449,"R")</f>
        <v>0</v>
      </c>
      <c r="AX155" s="0" t="n">
        <f aca="false"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>0</v>
      </c>
      <c r="AY155" s="0" t="n">
        <f aca="false">COUNTIF(DU155:EH155, "&lt;&gt;")</f>
        <v>0</v>
      </c>
      <c r="AZ155" s="0" t="n">
        <f aca="false">IF(EH155&lt;&gt;"",1,0)</f>
        <v>0</v>
      </c>
      <c r="BB155" s="0" t="s">
        <v>153</v>
      </c>
    </row>
    <row r="156" customFormat="false" ht="13.8" hidden="true" customHeight="false" outlineLevel="0" collapsed="false">
      <c r="A156" s="0" t="s">
        <v>1010</v>
      </c>
      <c r="B156" s="0" t="n">
        <v>78</v>
      </c>
      <c r="C156" s="0" t="n">
        <v>437121</v>
      </c>
      <c r="D156" s="0" t="s">
        <v>1011</v>
      </c>
      <c r="E156" s="0" t="s">
        <v>1012</v>
      </c>
      <c r="F156" s="0" t="str">
        <f aca="false">CONCATENATE(D156," ",LEFT(H156,4),"T=",AU156,"D=",AV156,"R=",AW156,"M=",AX156,"L=",AY156,"B=",AZ156)</f>
        <v>DAVIS T=2D=0R=0M=0L=0B=0</v>
      </c>
      <c r="G156" s="0" t="s">
        <v>563</v>
      </c>
      <c r="I156" s="0" t="s">
        <v>1013</v>
      </c>
      <c r="J156" s="0" t="s">
        <v>1014</v>
      </c>
      <c r="K156" s="0" t="s">
        <v>175</v>
      </c>
      <c r="L156" s="0"/>
      <c r="M156" s="0" t="s">
        <v>1015</v>
      </c>
      <c r="N156" s="0" t="str">
        <f aca="false">RIGHT(M156,LEN(M156)-FIND(" ",M156))</f>
        <v>ATLANTIC ST NW</v>
      </c>
      <c r="P156" s="0" t="s">
        <v>146</v>
      </c>
      <c r="Q156" s="0" t="s">
        <v>147</v>
      </c>
      <c r="R156" s="0" t="n">
        <v>44483</v>
      </c>
      <c r="AD156" s="0" t="s">
        <v>148</v>
      </c>
      <c r="AE156" s="0" t="s">
        <v>149</v>
      </c>
      <c r="AF156" s="0" t="s">
        <v>150</v>
      </c>
      <c r="AH156" s="0" t="n">
        <v>14</v>
      </c>
      <c r="AI156" s="0" t="n">
        <v>11</v>
      </c>
      <c r="AN156" s="0" t="s">
        <v>146</v>
      </c>
      <c r="AO156" s="0" t="s">
        <v>151</v>
      </c>
      <c r="AP156" s="0" t="s">
        <v>152</v>
      </c>
      <c r="AQ156" s="0" t="n">
        <v>9</v>
      </c>
      <c r="AR156" s="0" t="n">
        <v>64</v>
      </c>
      <c r="AS156" s="0" t="n">
        <v>32</v>
      </c>
      <c r="AU156" s="0" t="n">
        <f aca="false">COUNTA($BA$1930:$EH$1930)</f>
        <v>2</v>
      </c>
      <c r="AV156" s="0" t="n">
        <f aca="false">COUNTIF($BA$1930:$EH$1930,"D")</f>
        <v>0</v>
      </c>
      <c r="AW156" s="0" t="n">
        <f aca="false">COUNTIF($BA$1930:$EH$1930,"R")</f>
        <v>0</v>
      </c>
      <c r="AX156" s="0" t="n">
        <f aca="false"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>0</v>
      </c>
      <c r="AY156" s="0" t="n">
        <f aca="false">COUNTIF(DU156:EH156, "&lt;&gt;")</f>
        <v>0</v>
      </c>
      <c r="AZ156" s="0" t="n">
        <f aca="false">IF(EH156&lt;&gt;"",1,0)</f>
        <v>0</v>
      </c>
      <c r="BB156" s="0" t="s">
        <v>153</v>
      </c>
    </row>
    <row r="157" customFormat="false" ht="13.8" hidden="true" customHeight="false" outlineLevel="0" collapsed="false">
      <c r="A157" s="0" t="s">
        <v>1016</v>
      </c>
      <c r="B157" s="0" t="n">
        <v>78</v>
      </c>
      <c r="C157" s="0" t="n">
        <v>463654</v>
      </c>
      <c r="D157" s="0" t="s">
        <v>958</v>
      </c>
      <c r="E157" s="0" t="s">
        <v>495</v>
      </c>
      <c r="F157" s="0" t="str">
        <f aca="false">CONCATENATE(D157," ",LEFT(H157,4),"T=",AU157,"D=",AV157,"R=",AW157,"M=",AX157,"L=",AY157,"B=",AZ157)</f>
        <v>TROY T=6D=0R=1M=0L=0B=0</v>
      </c>
      <c r="G157" s="0" t="s">
        <v>155</v>
      </c>
      <c r="I157" s="0" t="s">
        <v>1017</v>
      </c>
      <c r="J157" s="0" t="s">
        <v>1018</v>
      </c>
      <c r="K157" s="0" t="s">
        <v>175</v>
      </c>
      <c r="L157" s="0"/>
      <c r="M157" s="0" t="s">
        <v>1019</v>
      </c>
      <c r="N157" s="0" t="str">
        <f aca="false">RIGHT(M157,LEN(M157)-FIND(" ",M157))</f>
        <v>ATLANTIC ST NW</v>
      </c>
      <c r="P157" s="0" t="s">
        <v>146</v>
      </c>
      <c r="Q157" s="0" t="s">
        <v>147</v>
      </c>
      <c r="R157" s="0" t="n">
        <v>44483</v>
      </c>
      <c r="AD157" s="0" t="s">
        <v>148</v>
      </c>
      <c r="AE157" s="0" t="s">
        <v>149</v>
      </c>
      <c r="AF157" s="0" t="s">
        <v>150</v>
      </c>
      <c r="AH157" s="0" t="n">
        <v>14</v>
      </c>
      <c r="AI157" s="0" t="n">
        <v>11</v>
      </c>
      <c r="AN157" s="0" t="s">
        <v>146</v>
      </c>
      <c r="AO157" s="0" t="s">
        <v>151</v>
      </c>
      <c r="AP157" s="0" t="s">
        <v>152</v>
      </c>
      <c r="AQ157" s="0" t="n">
        <v>9</v>
      </c>
      <c r="AR157" s="0" t="n">
        <v>64</v>
      </c>
      <c r="AS157" s="0" t="n">
        <v>32</v>
      </c>
      <c r="AU157" s="0" t="n">
        <f aca="false">COUNTA($BA$1663:$EH$1663)</f>
        <v>6</v>
      </c>
      <c r="AV157" s="0" t="n">
        <f aca="false">COUNTIF($BA$1663:$EH$1663,"D")</f>
        <v>0</v>
      </c>
      <c r="AW157" s="0" t="n">
        <f aca="false">COUNTIF($BA$1663:$EH$1663,"R")</f>
        <v>1</v>
      </c>
      <c r="AX157" s="0" t="n">
        <f aca="false"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>0</v>
      </c>
      <c r="AY157" s="0" t="n">
        <f aca="false">COUNTIF(DU157:EH157, "&lt;&gt;")</f>
        <v>0</v>
      </c>
      <c r="AZ157" s="0" t="n">
        <f aca="false">IF(EH157&lt;&gt;"",1,0)</f>
        <v>0</v>
      </c>
      <c r="BB157" s="0" t="s">
        <v>153</v>
      </c>
      <c r="BC157" s="0" t="s">
        <v>154</v>
      </c>
      <c r="BD157" s="0" t="s">
        <v>154</v>
      </c>
      <c r="BS157" s="0" t="s">
        <v>154</v>
      </c>
      <c r="BY157" s="0" t="s">
        <v>155</v>
      </c>
      <c r="CA157" s="0" t="s">
        <v>154</v>
      </c>
    </row>
    <row r="158" customFormat="false" ht="13.8" hidden="true" customHeight="false" outlineLevel="0" collapsed="false">
      <c r="A158" s="0" t="s">
        <v>1020</v>
      </c>
      <c r="B158" s="0" t="n">
        <v>78</v>
      </c>
      <c r="C158" s="0" t="n">
        <v>296635</v>
      </c>
      <c r="D158" s="0" t="s">
        <v>1021</v>
      </c>
      <c r="E158" s="0" t="s">
        <v>1022</v>
      </c>
      <c r="F158" s="0" t="str">
        <f aca="false">CONCATENATE(D158," ",LEFT(H158,4),"T=",AU158,"D=",AV158,"R=",AW158,"M=",AX158,"L=",AY158,"B=",AZ158)</f>
        <v>RAYNOR T=2D=0R=0M=0L=0B=0</v>
      </c>
      <c r="G158" s="0" t="s">
        <v>241</v>
      </c>
      <c r="I158" s="0" t="s">
        <v>1023</v>
      </c>
      <c r="J158" s="0" t="s">
        <v>1024</v>
      </c>
      <c r="K158" s="0" t="s">
        <v>144</v>
      </c>
      <c r="L158" s="0"/>
      <c r="M158" s="0" t="s">
        <v>1025</v>
      </c>
      <c r="N158" s="0" t="str">
        <f aca="false">RIGHT(M158,LEN(M158)-FIND(" ",M158))</f>
        <v>BANK ST NE</v>
      </c>
      <c r="P158" s="0" t="s">
        <v>146</v>
      </c>
      <c r="Q158" s="0" t="s">
        <v>147</v>
      </c>
      <c r="R158" s="0" t="n">
        <v>44483</v>
      </c>
      <c r="AD158" s="0" t="s">
        <v>148</v>
      </c>
      <c r="AE158" s="0" t="s">
        <v>149</v>
      </c>
      <c r="AF158" s="0" t="s">
        <v>150</v>
      </c>
      <c r="AH158" s="0" t="n">
        <v>14</v>
      </c>
      <c r="AI158" s="0" t="n">
        <v>11</v>
      </c>
      <c r="AN158" s="0" t="s">
        <v>146</v>
      </c>
      <c r="AO158" s="0" t="s">
        <v>236</v>
      </c>
      <c r="AP158" s="0" t="s">
        <v>237</v>
      </c>
      <c r="AQ158" s="0" t="n">
        <v>9</v>
      </c>
      <c r="AR158" s="0" t="n">
        <v>64</v>
      </c>
      <c r="AS158" s="0" t="n">
        <v>32</v>
      </c>
      <c r="AU158" s="0" t="n">
        <f aca="false">COUNTA($BA$699:$EH$699)</f>
        <v>2</v>
      </c>
      <c r="AV158" s="0" t="n">
        <f aca="false">COUNTIF($BA$699:$EH$699,"D")</f>
        <v>0</v>
      </c>
      <c r="AW158" s="0" t="n">
        <f aca="false">COUNTIF($BA$699:$EH$699,"R")</f>
        <v>0</v>
      </c>
      <c r="AX158" s="0" t="n">
        <f aca="false"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>0</v>
      </c>
      <c r="AY158" s="0" t="n">
        <f aca="false">COUNTIF(DU158:EH158, "&lt;&gt;")</f>
        <v>0</v>
      </c>
      <c r="AZ158" s="0" t="n">
        <f aca="false">IF(EH158&lt;&gt;"",1,0)</f>
        <v>0</v>
      </c>
      <c r="BB158" s="0" t="s">
        <v>153</v>
      </c>
      <c r="BD158" s="0" t="s">
        <v>154</v>
      </c>
      <c r="BS158" s="0" t="s">
        <v>154</v>
      </c>
      <c r="BY158" s="0" t="s">
        <v>155</v>
      </c>
      <c r="CA158" s="0" t="s">
        <v>154</v>
      </c>
      <c r="CG158" s="0" t="s">
        <v>154</v>
      </c>
      <c r="CK158" s="0" t="s">
        <v>154</v>
      </c>
      <c r="CN158" s="0" t="s">
        <v>154</v>
      </c>
      <c r="CP158" s="0" t="s">
        <v>154</v>
      </c>
      <c r="CZ158" s="0" t="s">
        <v>155</v>
      </c>
      <c r="DC158" s="0" t="s">
        <v>154</v>
      </c>
      <c r="DN158" s="0" t="s">
        <v>154</v>
      </c>
    </row>
    <row r="159" customFormat="false" ht="13.8" hidden="true" customHeight="false" outlineLevel="0" collapsed="false">
      <c r="A159" s="0" t="s">
        <v>1026</v>
      </c>
      <c r="B159" s="0" t="n">
        <v>78</v>
      </c>
      <c r="C159" s="0" t="n">
        <v>487718</v>
      </c>
      <c r="D159" s="0" t="s">
        <v>1027</v>
      </c>
      <c r="E159" s="0" t="s">
        <v>1028</v>
      </c>
      <c r="F159" s="0" t="str">
        <f aca="false">CONCATENATE(D159," ",LEFT(H159,4),"T=",AU159,"D=",AV159,"R=",AW159,"M=",AX159,"L=",AY159,"B=",AZ159)</f>
        <v>MARTIN T=2D=0R=0M=0L=0B=0</v>
      </c>
      <c r="G159" s="0" t="s">
        <v>172</v>
      </c>
      <c r="I159" s="0" t="s">
        <v>1029</v>
      </c>
      <c r="J159" s="0" t="s">
        <v>1030</v>
      </c>
      <c r="K159" s="0" t="s">
        <v>175</v>
      </c>
      <c r="L159" s="0"/>
      <c r="M159" s="0" t="s">
        <v>1031</v>
      </c>
      <c r="N159" s="0" t="str">
        <f aca="false">RIGHT(M159,LEN(M159)-FIND(" ",M159))</f>
        <v>BANK ST NE</v>
      </c>
      <c r="P159" s="0" t="s">
        <v>146</v>
      </c>
      <c r="Q159" s="0" t="s">
        <v>147</v>
      </c>
      <c r="R159" s="0" t="n">
        <v>44483</v>
      </c>
      <c r="AD159" s="0" t="s">
        <v>148</v>
      </c>
      <c r="AE159" s="0" t="s">
        <v>149</v>
      </c>
      <c r="AF159" s="0" t="s">
        <v>150</v>
      </c>
      <c r="AH159" s="0" t="n">
        <v>14</v>
      </c>
      <c r="AI159" s="0" t="n">
        <v>11</v>
      </c>
      <c r="AN159" s="0" t="s">
        <v>146</v>
      </c>
      <c r="AO159" s="0" t="s">
        <v>236</v>
      </c>
      <c r="AP159" s="0" t="s">
        <v>237</v>
      </c>
      <c r="AQ159" s="0" t="n">
        <v>9</v>
      </c>
      <c r="AR159" s="0" t="n">
        <v>64</v>
      </c>
      <c r="AS159" s="0" t="n">
        <v>32</v>
      </c>
      <c r="AU159" s="0" t="n">
        <f aca="false">COUNTA($BA$266:$EH$266)</f>
        <v>2</v>
      </c>
      <c r="AV159" s="0" t="n">
        <f aca="false">COUNTIF($BA$266:$EH$266,"D")</f>
        <v>0</v>
      </c>
      <c r="AW159" s="0" t="n">
        <f aca="false">COUNTIF($BA$266:$EH$266,"R")</f>
        <v>0</v>
      </c>
      <c r="AX159" s="0" t="n">
        <f aca="false"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>0</v>
      </c>
      <c r="AY159" s="0" t="n">
        <f aca="false">COUNTIF(DU159:EH159, "&lt;&gt;")</f>
        <v>0</v>
      </c>
      <c r="AZ159" s="0" t="n">
        <f aca="false">IF(EH159&lt;&gt;"",1,0)</f>
        <v>0</v>
      </c>
      <c r="BB159" s="0" t="s">
        <v>153</v>
      </c>
    </row>
    <row r="160" customFormat="false" ht="13.8" hidden="true" customHeight="false" outlineLevel="0" collapsed="false">
      <c r="A160" s="0" t="s">
        <v>1032</v>
      </c>
      <c r="B160" s="0" t="n">
        <v>78</v>
      </c>
      <c r="C160" s="0" t="n">
        <v>495383</v>
      </c>
      <c r="D160" s="0" t="s">
        <v>404</v>
      </c>
      <c r="E160" s="0" t="s">
        <v>1033</v>
      </c>
      <c r="F160" s="0" t="str">
        <f aca="false">CONCATENATE(D160," ",LEFT(H160,4),"T=",AU160,"D=",AV160,"R=",AW160,"M=",AX160,"L=",AY160,"B=",AZ160)</f>
        <v>CLARK T=2D=0R=0M=0L=0B=0</v>
      </c>
      <c r="G160" s="0" t="s">
        <v>1034</v>
      </c>
      <c r="I160" s="0" t="s">
        <v>1035</v>
      </c>
      <c r="J160" s="0" t="s">
        <v>1036</v>
      </c>
      <c r="K160" s="0" t="s">
        <v>175</v>
      </c>
      <c r="L160" s="0"/>
      <c r="M160" s="0" t="s">
        <v>1031</v>
      </c>
      <c r="N160" s="0" t="str">
        <f aca="false">RIGHT(M160,LEN(M160)-FIND(" ",M160))</f>
        <v>BANK ST NE</v>
      </c>
      <c r="P160" s="0" t="s">
        <v>146</v>
      </c>
      <c r="Q160" s="0" t="s">
        <v>147</v>
      </c>
      <c r="R160" s="0" t="n">
        <v>44483</v>
      </c>
      <c r="AD160" s="0" t="s">
        <v>148</v>
      </c>
      <c r="AE160" s="0" t="s">
        <v>149</v>
      </c>
      <c r="AF160" s="0" t="s">
        <v>150</v>
      </c>
      <c r="AH160" s="0" t="n">
        <v>14</v>
      </c>
      <c r="AI160" s="0" t="n">
        <v>11</v>
      </c>
      <c r="AN160" s="0" t="s">
        <v>146</v>
      </c>
      <c r="AO160" s="0" t="s">
        <v>236</v>
      </c>
      <c r="AP160" s="0" t="s">
        <v>237</v>
      </c>
      <c r="AQ160" s="0" t="n">
        <v>9</v>
      </c>
      <c r="AR160" s="0" t="n">
        <v>64</v>
      </c>
      <c r="AS160" s="0" t="n">
        <v>32</v>
      </c>
      <c r="AU160" s="0" t="n">
        <f aca="false">COUNTA($BA$368:$EH$368)</f>
        <v>2</v>
      </c>
      <c r="AV160" s="0" t="n">
        <f aca="false">COUNTIF($BA$368:$EH$368,"D")</f>
        <v>0</v>
      </c>
      <c r="AW160" s="0" t="n">
        <f aca="false">COUNTIF($BA$368:$EH$368,"R")</f>
        <v>0</v>
      </c>
      <c r="AX160" s="0" t="n">
        <f aca="false"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>0</v>
      </c>
      <c r="AY160" s="0" t="n">
        <f aca="false">COUNTIF(DU160:EH160, "&lt;&gt;")</f>
        <v>0</v>
      </c>
      <c r="AZ160" s="0" t="n">
        <f aca="false">IF(EH160&lt;&gt;"",1,0)</f>
        <v>0</v>
      </c>
      <c r="BB160" s="0" t="s">
        <v>153</v>
      </c>
    </row>
    <row r="161" customFormat="false" ht="13.8" hidden="true" customHeight="false" outlineLevel="0" collapsed="false">
      <c r="A161" s="0" t="s">
        <v>1037</v>
      </c>
      <c r="B161" s="0" t="n">
        <v>78</v>
      </c>
      <c r="C161" s="0" t="n">
        <v>480918</v>
      </c>
      <c r="D161" s="0" t="s">
        <v>1038</v>
      </c>
      <c r="E161" s="0" t="s">
        <v>1039</v>
      </c>
      <c r="F161" s="0" t="str">
        <f aca="false">CONCATENATE(D161," ",LEFT(H161,4),"T=",AU161,"D=",AV161,"R=",AW161,"M=",AX161,"L=",AY161,"B=",AZ161)</f>
        <v>BUTCHER T=9D=2R=0M=0L=0B=0</v>
      </c>
      <c r="G161" s="0" t="s">
        <v>1040</v>
      </c>
      <c r="I161" s="0" t="s">
        <v>1041</v>
      </c>
      <c r="J161" s="0" t="s">
        <v>1042</v>
      </c>
      <c r="K161" s="0" t="s">
        <v>175</v>
      </c>
      <c r="L161" s="0"/>
      <c r="M161" s="0" t="s">
        <v>1043</v>
      </c>
      <c r="N161" s="0" t="str">
        <f aca="false">RIGHT(M161,LEN(M161)-FIND(" ",M161))</f>
        <v>BANK ST NE</v>
      </c>
      <c r="P161" s="0" t="s">
        <v>146</v>
      </c>
      <c r="Q161" s="0" t="s">
        <v>147</v>
      </c>
      <c r="R161" s="0" t="n">
        <v>44483</v>
      </c>
      <c r="AD161" s="0" t="s">
        <v>148</v>
      </c>
      <c r="AE161" s="0" t="s">
        <v>149</v>
      </c>
      <c r="AF161" s="0" t="s">
        <v>150</v>
      </c>
      <c r="AH161" s="0" t="n">
        <v>14</v>
      </c>
      <c r="AI161" s="0" t="n">
        <v>11</v>
      </c>
      <c r="AN161" s="0" t="s">
        <v>146</v>
      </c>
      <c r="AO161" s="0" t="s">
        <v>236</v>
      </c>
      <c r="AP161" s="0" t="s">
        <v>237</v>
      </c>
      <c r="AQ161" s="0" t="n">
        <v>9</v>
      </c>
      <c r="AR161" s="0" t="n">
        <v>64</v>
      </c>
      <c r="AS161" s="0" t="n">
        <v>32</v>
      </c>
      <c r="AU161" s="0" t="n">
        <f aca="false">COUNTA($BA$990:$EH$990)</f>
        <v>9</v>
      </c>
      <c r="AV161" s="0" t="n">
        <f aca="false">COUNTIF($BA$990:$EH$990,"D")</f>
        <v>2</v>
      </c>
      <c r="AW161" s="0" t="n">
        <f aca="false">COUNTIF($BA$990:$EH$990,"R")</f>
        <v>0</v>
      </c>
      <c r="AX161" s="0" t="n">
        <f aca="false"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>0</v>
      </c>
      <c r="AY161" s="0" t="n">
        <f aca="false">COUNTIF(DU161:EH161, "&lt;&gt;")</f>
        <v>0</v>
      </c>
      <c r="AZ161" s="0" t="n">
        <f aca="false">IF(EH161&lt;&gt;"",1,0)</f>
        <v>0</v>
      </c>
      <c r="BB161" s="0" t="s">
        <v>153</v>
      </c>
      <c r="BL161" s="0" t="s">
        <v>154</v>
      </c>
    </row>
    <row r="162" customFormat="false" ht="13.8" hidden="true" customHeight="false" outlineLevel="0" collapsed="false">
      <c r="A162" s="0" t="s">
        <v>1044</v>
      </c>
      <c r="B162" s="0" t="n">
        <v>78</v>
      </c>
      <c r="C162" s="0" t="n">
        <v>462035</v>
      </c>
      <c r="D162" s="0" t="s">
        <v>1045</v>
      </c>
      <c r="E162" s="0" t="s">
        <v>323</v>
      </c>
      <c r="F162" s="0" t="str">
        <f aca="false">CONCATENATE(D162," ",LEFT(H162,4),"T=",AU162,"D=",AV162,"R=",AW162,"M=",AX162,"L=",AY162,"B=",AZ162)</f>
        <v>JURA T=6D=1R=0M=0L=0B=0</v>
      </c>
      <c r="G162" s="0" t="s">
        <v>188</v>
      </c>
      <c r="I162" s="0" t="s">
        <v>1046</v>
      </c>
      <c r="J162" s="0" t="s">
        <v>1047</v>
      </c>
      <c r="K162" s="0" t="s">
        <v>144</v>
      </c>
      <c r="L162" s="0"/>
      <c r="M162" s="0" t="s">
        <v>1048</v>
      </c>
      <c r="N162" s="0" t="str">
        <f aca="false">RIGHT(M162,LEN(M162)-FIND(" ",M162))</f>
        <v>BANK ST NE</v>
      </c>
      <c r="P162" s="0" t="s">
        <v>146</v>
      </c>
      <c r="Q162" s="0" t="s">
        <v>147</v>
      </c>
      <c r="R162" s="0" t="n">
        <v>44483</v>
      </c>
      <c r="AD162" s="0" t="s">
        <v>148</v>
      </c>
      <c r="AE162" s="0" t="s">
        <v>149</v>
      </c>
      <c r="AF162" s="0" t="s">
        <v>150</v>
      </c>
      <c r="AH162" s="0" t="n">
        <v>14</v>
      </c>
      <c r="AI162" s="0" t="n">
        <v>11</v>
      </c>
      <c r="AN162" s="0" t="s">
        <v>146</v>
      </c>
      <c r="AO162" s="0" t="s">
        <v>236</v>
      </c>
      <c r="AP162" s="0" t="s">
        <v>237</v>
      </c>
      <c r="AQ162" s="0" t="n">
        <v>9</v>
      </c>
      <c r="AR162" s="0" t="n">
        <v>64</v>
      </c>
      <c r="AS162" s="0" t="n">
        <v>32</v>
      </c>
      <c r="AU162" s="0" t="n">
        <f aca="false">COUNTA($BA$1086:$EH$1086)</f>
        <v>6</v>
      </c>
      <c r="AV162" s="0" t="n">
        <f aca="false">COUNTIF($BA$1086:$EH$1086,"D")</f>
        <v>1</v>
      </c>
      <c r="AW162" s="0" t="n">
        <f aca="false">COUNTIF($BA$1086:$EH$1086,"R")</f>
        <v>0</v>
      </c>
      <c r="AX162" s="0" t="n">
        <f aca="false"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>0</v>
      </c>
      <c r="AY162" s="0" t="n">
        <f aca="false">COUNTIF(DU162:EH162, "&lt;&gt;")</f>
        <v>0</v>
      </c>
      <c r="AZ162" s="0" t="n">
        <f aca="false">IF(EH162&lt;&gt;"",1,0)</f>
        <v>0</v>
      </c>
      <c r="BB162" s="0" t="s">
        <v>153</v>
      </c>
      <c r="CA162" s="0" t="s">
        <v>154</v>
      </c>
    </row>
    <row r="163" customFormat="false" ht="13.8" hidden="false" customHeight="false" outlineLevel="0" collapsed="false">
      <c r="A163" s="0" t="s">
        <v>1049</v>
      </c>
      <c r="B163" s="0" t="n">
        <v>78</v>
      </c>
      <c r="C163" s="0" t="n">
        <v>477263</v>
      </c>
      <c r="D163" s="0" t="s">
        <v>1050</v>
      </c>
      <c r="E163" s="0" t="s">
        <v>750</v>
      </c>
      <c r="F163" s="0" t="str">
        <f aca="false">CONCATENATE(D163," ",LEFT(H163,4),"T=",AU163,"D=",AV163,"R=",AW163,"M=",AX163,"L=",AY163,"B=",AZ163)</f>
        <v>JOHNSON T=4D=1R=0M=0L=2B=0</v>
      </c>
      <c r="G163" s="0" t="s">
        <v>1051</v>
      </c>
      <c r="I163" s="0" t="s">
        <v>1052</v>
      </c>
      <c r="J163" s="0" t="s">
        <v>1053</v>
      </c>
      <c r="K163" s="0" t="s">
        <v>175</v>
      </c>
      <c r="M163" s="0" t="s">
        <v>1054</v>
      </c>
      <c r="N163" s="0" t="str">
        <f aca="false">RIGHT(M163,LEN(M163)-FIND(" ",M163))</f>
        <v>BANK ST NE</v>
      </c>
      <c r="P163" s="0" t="s">
        <v>146</v>
      </c>
      <c r="Q163" s="0" t="s">
        <v>147</v>
      </c>
      <c r="R163" s="0" t="n">
        <v>44483</v>
      </c>
      <c r="AD163" s="0" t="s">
        <v>148</v>
      </c>
      <c r="AE163" s="0" t="s">
        <v>149</v>
      </c>
      <c r="AF163" s="0" t="s">
        <v>150</v>
      </c>
      <c r="AH163" s="0" t="n">
        <v>14</v>
      </c>
      <c r="AI163" s="0" t="n">
        <v>11</v>
      </c>
      <c r="AN163" s="0" t="s">
        <v>146</v>
      </c>
      <c r="AO163" s="0" t="s">
        <v>236</v>
      </c>
      <c r="AP163" s="0" t="s">
        <v>237</v>
      </c>
      <c r="AQ163" s="0" t="n">
        <v>9</v>
      </c>
      <c r="AR163" s="0" t="n">
        <v>64</v>
      </c>
      <c r="AS163" s="0" t="n">
        <v>32</v>
      </c>
      <c r="AU163" s="0" t="n">
        <f aca="false">COUNTA($BA$910:$EH$910)</f>
        <v>4</v>
      </c>
      <c r="AV163" s="0" t="n">
        <f aca="false">COUNTIF($BA$910:$EH$910,"D")</f>
        <v>1</v>
      </c>
      <c r="AW163" s="0" t="n">
        <f aca="false">COUNTIF($BA$910:$EH$910,"R")</f>
        <v>0</v>
      </c>
      <c r="AX163" s="0" t="n">
        <f aca="false"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>0</v>
      </c>
      <c r="AY163" s="0" t="n">
        <f aca="false">COUNTIF(DU163:EH163, "&lt;&gt;")</f>
        <v>2</v>
      </c>
      <c r="AZ163" s="0" t="n">
        <f aca="false">IF(EH163&lt;&gt;"",1,0)</f>
        <v>0</v>
      </c>
      <c r="BB163" s="0" t="s">
        <v>153</v>
      </c>
      <c r="BL163" s="0" t="s">
        <v>154</v>
      </c>
      <c r="CP163" s="0" t="s">
        <v>154</v>
      </c>
      <c r="CY163" s="0" t="s">
        <v>154</v>
      </c>
      <c r="EA163" s="0" t="s">
        <v>154</v>
      </c>
      <c r="EF163" s="0" t="s">
        <v>154</v>
      </c>
    </row>
    <row r="164" customFormat="false" ht="13.8" hidden="true" customHeight="false" outlineLevel="0" collapsed="false">
      <c r="A164" s="0" t="s">
        <v>1055</v>
      </c>
      <c r="B164" s="0" t="n">
        <v>78</v>
      </c>
      <c r="C164" s="0" t="n">
        <v>484103</v>
      </c>
      <c r="D164" s="0" t="s">
        <v>1056</v>
      </c>
      <c r="E164" s="0" t="s">
        <v>1057</v>
      </c>
      <c r="F164" s="0" t="str">
        <f aca="false">CONCATENATE(D164," ",LEFT(H164,4),"T=",AU164,"D=",AV164,"R=",AW164,"M=",AX164,"L=",AY164,"B=",AZ164)</f>
        <v>HAMRICK T=34D=3R=4M=0L=1B=0</v>
      </c>
      <c r="I164" s="0" t="s">
        <v>1058</v>
      </c>
      <c r="J164" s="0" t="s">
        <v>1059</v>
      </c>
      <c r="K164" s="0" t="s">
        <v>175</v>
      </c>
      <c r="L164" s="0"/>
      <c r="M164" s="0" t="s">
        <v>1060</v>
      </c>
      <c r="N164" s="0" t="str">
        <f aca="false">RIGHT(M164,LEN(M164)-FIND(" ",M164))</f>
        <v>BANK ST NE</v>
      </c>
      <c r="P164" s="0" t="s">
        <v>146</v>
      </c>
      <c r="Q164" s="0" t="s">
        <v>147</v>
      </c>
      <c r="R164" s="0" t="n">
        <v>44483</v>
      </c>
      <c r="AD164" s="0" t="s">
        <v>148</v>
      </c>
      <c r="AE164" s="0" t="s">
        <v>149</v>
      </c>
      <c r="AF164" s="0" t="s">
        <v>150</v>
      </c>
      <c r="AH164" s="0" t="n">
        <v>14</v>
      </c>
      <c r="AI164" s="0" t="n">
        <v>11</v>
      </c>
      <c r="AN164" s="0" t="s">
        <v>146</v>
      </c>
      <c r="AO164" s="0" t="s">
        <v>236</v>
      </c>
      <c r="AP164" s="0" t="s">
        <v>237</v>
      </c>
      <c r="AQ164" s="0" t="n">
        <v>9</v>
      </c>
      <c r="AR164" s="0" t="n">
        <v>64</v>
      </c>
      <c r="AS164" s="0" t="n">
        <v>32</v>
      </c>
      <c r="AU164" s="0" t="n">
        <f aca="false">COUNTA($BA$558:$EH$558)</f>
        <v>34</v>
      </c>
      <c r="AV164" s="0" t="n">
        <f aca="false">COUNTIF($BA$558:$EH$558,"D")</f>
        <v>3</v>
      </c>
      <c r="AW164" s="0" t="n">
        <f aca="false">COUNTIF($BA$558:$EH$558,"R")</f>
        <v>4</v>
      </c>
      <c r="AX164" s="0" t="n">
        <f aca="false"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>0</v>
      </c>
      <c r="AY164" s="0" t="n">
        <f aca="false">COUNTIF(DU164:EH164, "&lt;&gt;")</f>
        <v>1</v>
      </c>
      <c r="AZ164" s="0" t="n">
        <f aca="false">IF(EH164&lt;&gt;"",1,0)</f>
        <v>0</v>
      </c>
      <c r="BB164" s="0" t="s">
        <v>153</v>
      </c>
      <c r="EF164" s="0" t="s">
        <v>154</v>
      </c>
    </row>
    <row r="165" customFormat="false" ht="13.8" hidden="true" customHeight="false" outlineLevel="0" collapsed="false">
      <c r="A165" s="0" t="s">
        <v>1061</v>
      </c>
      <c r="B165" s="0" t="n">
        <v>78</v>
      </c>
      <c r="C165" s="0" t="n">
        <v>485010</v>
      </c>
      <c r="D165" s="0" t="s">
        <v>1062</v>
      </c>
      <c r="E165" s="0" t="s">
        <v>1063</v>
      </c>
      <c r="F165" s="0" t="str">
        <f aca="false">CONCATENATE(D165," ",LEFT(H165,4),"T=",AU165,"D=",AV165,"R=",AW165,"M=",AX165,"L=",AY165,"B=",AZ165)</f>
        <v>BROWNING T=23D=2R=1M=0L=1B=0</v>
      </c>
      <c r="G165" s="0" t="s">
        <v>196</v>
      </c>
      <c r="I165" s="0" t="s">
        <v>1064</v>
      </c>
      <c r="J165" s="0" t="s">
        <v>533</v>
      </c>
      <c r="K165" s="0" t="s">
        <v>175</v>
      </c>
      <c r="L165" s="0"/>
      <c r="M165" s="0" t="s">
        <v>1060</v>
      </c>
      <c r="N165" s="0" t="str">
        <f aca="false">RIGHT(M165,LEN(M165)-FIND(" ",M165))</f>
        <v>BANK ST NE</v>
      </c>
      <c r="O165" s="0" t="s">
        <v>414</v>
      </c>
      <c r="P165" s="0" t="s">
        <v>146</v>
      </c>
      <c r="Q165" s="0" t="s">
        <v>147</v>
      </c>
      <c r="R165" s="0" t="n">
        <v>44483</v>
      </c>
      <c r="AD165" s="0" t="s">
        <v>148</v>
      </c>
      <c r="AE165" s="0" t="s">
        <v>149</v>
      </c>
      <c r="AF165" s="0" t="s">
        <v>150</v>
      </c>
      <c r="AH165" s="0" t="n">
        <v>14</v>
      </c>
      <c r="AI165" s="0" t="n">
        <v>11</v>
      </c>
      <c r="AN165" s="0" t="s">
        <v>146</v>
      </c>
      <c r="AO165" s="0" t="s">
        <v>236</v>
      </c>
      <c r="AP165" s="0" t="s">
        <v>237</v>
      </c>
      <c r="AQ165" s="0" t="n">
        <v>9</v>
      </c>
      <c r="AR165" s="0" t="n">
        <v>64</v>
      </c>
      <c r="AS165" s="0" t="n">
        <v>32</v>
      </c>
      <c r="AU165" s="0" t="n">
        <f aca="false">COUNTA($BA$1047:$EH$1047)</f>
        <v>23</v>
      </c>
      <c r="AV165" s="0" t="n">
        <f aca="false">COUNTIF($BA$1047:$EH$1047,"D")</f>
        <v>2</v>
      </c>
      <c r="AW165" s="0" t="n">
        <f aca="false">COUNTIF($BA$1047:$EH$1047,"R")</f>
        <v>1</v>
      </c>
      <c r="AX165" s="0" t="n">
        <f aca="false"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>0</v>
      </c>
      <c r="AY165" s="0" t="n">
        <f aca="false">COUNTIF(DU165:EH165, "&lt;&gt;")</f>
        <v>1</v>
      </c>
      <c r="AZ165" s="0" t="n">
        <f aca="false">IF(EH165&lt;&gt;"",1,0)</f>
        <v>0</v>
      </c>
      <c r="BB165" s="0" t="s">
        <v>153</v>
      </c>
      <c r="EF165" s="0" t="s">
        <v>154</v>
      </c>
    </row>
    <row r="166" customFormat="false" ht="13.8" hidden="false" customHeight="false" outlineLevel="0" collapsed="false">
      <c r="A166" s="0" t="s">
        <v>1065</v>
      </c>
      <c r="B166" s="0" t="n">
        <v>78</v>
      </c>
      <c r="C166" s="0" t="n">
        <v>459241</v>
      </c>
      <c r="D166" s="0" t="s">
        <v>1066</v>
      </c>
      <c r="E166" s="0" t="s">
        <v>1067</v>
      </c>
      <c r="F166" s="0" t="str">
        <f aca="false">CONCATENATE(D166," ",LEFT(H166,4),"T=",AU166,"D=",AV166,"R=",AW166,"M=",AX166,"L=",AY166,"B=",AZ166)</f>
        <v>MCCAULEY T=8D=1R=0M=0L=2B=0</v>
      </c>
      <c r="G166" s="0" t="s">
        <v>1068</v>
      </c>
      <c r="I166" s="0" t="s">
        <v>1069</v>
      </c>
      <c r="J166" s="0" t="s">
        <v>757</v>
      </c>
      <c r="K166" s="0" t="s">
        <v>175</v>
      </c>
      <c r="M166" s="0" t="s">
        <v>1070</v>
      </c>
      <c r="N166" s="0" t="str">
        <f aca="false">RIGHT(M166,LEN(M166)-FIND(" ",M166))</f>
        <v>BANK ST NE</v>
      </c>
      <c r="P166" s="0" t="s">
        <v>146</v>
      </c>
      <c r="Q166" s="0" t="s">
        <v>147</v>
      </c>
      <c r="R166" s="0" t="n">
        <v>44483</v>
      </c>
      <c r="AD166" s="0" t="s">
        <v>148</v>
      </c>
      <c r="AE166" s="0" t="s">
        <v>149</v>
      </c>
      <c r="AF166" s="0" t="s">
        <v>150</v>
      </c>
      <c r="AH166" s="0" t="n">
        <v>14</v>
      </c>
      <c r="AI166" s="0" t="n">
        <v>11</v>
      </c>
      <c r="AN166" s="0" t="s">
        <v>146</v>
      </c>
      <c r="AO166" s="0" t="s">
        <v>236</v>
      </c>
      <c r="AP166" s="0" t="s">
        <v>237</v>
      </c>
      <c r="AQ166" s="0" t="n">
        <v>9</v>
      </c>
      <c r="AR166" s="0" t="n">
        <v>64</v>
      </c>
      <c r="AS166" s="0" t="n">
        <v>32</v>
      </c>
      <c r="AU166" s="0" t="n">
        <f aca="false">COUNTA($BA$604:$EH$604)</f>
        <v>8</v>
      </c>
      <c r="AV166" s="0" t="n">
        <f aca="false">COUNTIF($BA$604:$EH$604,"D")</f>
        <v>1</v>
      </c>
      <c r="AW166" s="0" t="n">
        <f aca="false">COUNTIF($BA$604:$EH$604,"R")</f>
        <v>0</v>
      </c>
      <c r="AX166" s="0" t="n">
        <f aca="false"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>0</v>
      </c>
      <c r="AY166" s="0" t="n">
        <f aca="false">COUNTIF(DU166:EH166, "&lt;&gt;")</f>
        <v>2</v>
      </c>
      <c r="AZ166" s="0" t="n">
        <f aca="false">IF(EH166&lt;&gt;"",1,0)</f>
        <v>0</v>
      </c>
      <c r="BB166" s="0" t="s">
        <v>153</v>
      </c>
      <c r="DU166" s="0" t="s">
        <v>154</v>
      </c>
      <c r="EA166" s="0" t="s">
        <v>154</v>
      </c>
    </row>
    <row r="167" customFormat="false" ht="13.8" hidden="true" customHeight="false" outlineLevel="0" collapsed="false">
      <c r="A167" s="0" t="s">
        <v>1071</v>
      </c>
      <c r="B167" s="0" t="n">
        <v>78</v>
      </c>
      <c r="C167" s="0" t="n">
        <v>376314</v>
      </c>
      <c r="D167" s="0" t="s">
        <v>1072</v>
      </c>
      <c r="E167" s="0" t="s">
        <v>1073</v>
      </c>
      <c r="F167" s="0" t="str">
        <f aca="false">CONCATENATE(D167," ",LEFT(H167,4),"T=",AU167,"D=",AV167,"R=",AW167,"M=",AX167,"L=",AY167,"B=",AZ167)</f>
        <v>UNDERWOOD T=2D=0R=0M=0L=0B=0</v>
      </c>
      <c r="G167" s="0" t="s">
        <v>297</v>
      </c>
      <c r="I167" s="0" t="s">
        <v>1074</v>
      </c>
      <c r="J167" s="0" t="s">
        <v>1075</v>
      </c>
      <c r="K167" s="0" t="s">
        <v>144</v>
      </c>
      <c r="L167" s="0"/>
      <c r="M167" s="0" t="s">
        <v>1076</v>
      </c>
      <c r="N167" s="0" t="str">
        <f aca="false">RIGHT(M167,LEN(M167)-FIND(" ",M167))</f>
        <v>BANK ST NE</v>
      </c>
      <c r="P167" s="0" t="s">
        <v>146</v>
      </c>
      <c r="Q167" s="0" t="s">
        <v>147</v>
      </c>
      <c r="R167" s="0" t="n">
        <v>44483</v>
      </c>
      <c r="AD167" s="0" t="s">
        <v>148</v>
      </c>
      <c r="AE167" s="0" t="s">
        <v>149</v>
      </c>
      <c r="AF167" s="0" t="s">
        <v>150</v>
      </c>
      <c r="AH167" s="0" t="n">
        <v>14</v>
      </c>
      <c r="AI167" s="0" t="n">
        <v>11</v>
      </c>
      <c r="AN167" s="0" t="s">
        <v>146</v>
      </c>
      <c r="AO167" s="0" t="s">
        <v>236</v>
      </c>
      <c r="AP167" s="0" t="s">
        <v>237</v>
      </c>
      <c r="AQ167" s="0" t="n">
        <v>9</v>
      </c>
      <c r="AR167" s="0" t="n">
        <v>64</v>
      </c>
      <c r="AS167" s="0" t="n">
        <v>32</v>
      </c>
      <c r="AU167" s="0" t="n">
        <f aca="false">COUNTA($BA$378:$EH$378)</f>
        <v>2</v>
      </c>
      <c r="AV167" s="0" t="n">
        <f aca="false">COUNTIF($BA$378:$EH$378,"D")</f>
        <v>0</v>
      </c>
      <c r="AW167" s="0" t="n">
        <f aca="false">COUNTIF($BA$378:$EH$378,"R")</f>
        <v>0</v>
      </c>
      <c r="AX167" s="0" t="n">
        <f aca="false"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>0</v>
      </c>
      <c r="AY167" s="0" t="n">
        <f aca="false">COUNTIF(DU167:EH167, "&lt;&gt;")</f>
        <v>0</v>
      </c>
      <c r="AZ167" s="0" t="n">
        <f aca="false">IF(EH167&lt;&gt;"",1,0)</f>
        <v>0</v>
      </c>
      <c r="BB167" s="0" t="s">
        <v>153</v>
      </c>
      <c r="CP167" s="0" t="s">
        <v>154</v>
      </c>
    </row>
    <row r="168" customFormat="false" ht="13.8" hidden="true" customHeight="false" outlineLevel="0" collapsed="false">
      <c r="A168" s="0" t="s">
        <v>1077</v>
      </c>
      <c r="B168" s="0" t="n">
        <v>78</v>
      </c>
      <c r="C168" s="0" t="n">
        <v>354647</v>
      </c>
      <c r="D168" s="0" t="s">
        <v>1078</v>
      </c>
      <c r="E168" s="0" t="s">
        <v>1079</v>
      </c>
      <c r="F168" s="0" t="str">
        <f aca="false">CONCATENATE(D168," ",LEFT(H168,4),"T=",AU168,"D=",AV168,"R=",AW168,"M=",AX168,"L=",AY168,"B=",AZ168)</f>
        <v>RAIMEY T=1D=0R=0M=0L=0B=0</v>
      </c>
      <c r="G168" s="0" t="s">
        <v>202</v>
      </c>
      <c r="I168" s="0" t="s">
        <v>1080</v>
      </c>
      <c r="J168" s="0" t="s">
        <v>1081</v>
      </c>
      <c r="K168" s="0" t="s">
        <v>175</v>
      </c>
      <c r="L168" s="0"/>
      <c r="M168" s="0" t="s">
        <v>1076</v>
      </c>
      <c r="N168" s="0" t="str">
        <f aca="false">RIGHT(M168,LEN(M168)-FIND(" ",M168))</f>
        <v>BANK ST NE</v>
      </c>
      <c r="P168" s="0" t="s">
        <v>146</v>
      </c>
      <c r="Q168" s="0" t="s">
        <v>147</v>
      </c>
      <c r="R168" s="0" t="n">
        <v>44483</v>
      </c>
      <c r="AD168" s="0" t="s">
        <v>148</v>
      </c>
      <c r="AE168" s="0" t="s">
        <v>149</v>
      </c>
      <c r="AF168" s="0" t="s">
        <v>150</v>
      </c>
      <c r="AH168" s="0" t="n">
        <v>14</v>
      </c>
      <c r="AI168" s="0" t="n">
        <v>11</v>
      </c>
      <c r="AN168" s="0" t="s">
        <v>146</v>
      </c>
      <c r="AO168" s="0" t="s">
        <v>236</v>
      </c>
      <c r="AP168" s="0" t="s">
        <v>237</v>
      </c>
      <c r="AQ168" s="0" t="n">
        <v>9</v>
      </c>
      <c r="AR168" s="0" t="n">
        <v>64</v>
      </c>
      <c r="AS168" s="0" t="n">
        <v>32</v>
      </c>
      <c r="AU168" s="0" t="n">
        <f aca="false">COUNTA($BA$912:$EH$912)</f>
        <v>1</v>
      </c>
      <c r="AV168" s="0" t="n">
        <f aca="false">COUNTIF($BA$912:$EH$912,"D")</f>
        <v>0</v>
      </c>
      <c r="AW168" s="0" t="n">
        <f aca="false">COUNTIF($BA$912:$EH$912,"R")</f>
        <v>0</v>
      </c>
      <c r="AX168" s="0" t="n">
        <f aca="false"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>0</v>
      </c>
      <c r="AY168" s="0" t="n">
        <f aca="false">COUNTIF(DU168:EH168, "&lt;&gt;")</f>
        <v>0</v>
      </c>
      <c r="AZ168" s="0" t="n">
        <f aca="false">IF(EH168&lt;&gt;"",1,0)</f>
        <v>0</v>
      </c>
      <c r="BB168" s="0" t="s">
        <v>153</v>
      </c>
      <c r="BY168" s="0" t="s">
        <v>176</v>
      </c>
      <c r="CA168" s="0" t="s">
        <v>154</v>
      </c>
      <c r="CP168" s="0" t="s">
        <v>154</v>
      </c>
      <c r="DN168" s="0" t="s">
        <v>154</v>
      </c>
    </row>
    <row r="169" customFormat="false" ht="13.8" hidden="true" customHeight="false" outlineLevel="0" collapsed="false">
      <c r="A169" s="0" t="s">
        <v>1082</v>
      </c>
      <c r="B169" s="0" t="n">
        <v>78</v>
      </c>
      <c r="C169" s="0" t="n">
        <v>474032</v>
      </c>
      <c r="D169" s="0" t="s">
        <v>1083</v>
      </c>
      <c r="E169" s="0" t="s">
        <v>1084</v>
      </c>
      <c r="F169" s="0" t="str">
        <f aca="false">CONCATENATE(D169," ",LEFT(H169,4),"T=",AU169,"D=",AV169,"R=",AW169,"M=",AX169,"L=",AY169,"B=",AZ169)</f>
        <v>MATLOCK SRT=5D=1R=0M=0L=0B=0</v>
      </c>
      <c r="G169" s="0" t="s">
        <v>1085</v>
      </c>
      <c r="H169" s="0" t="s">
        <v>311</v>
      </c>
      <c r="I169" s="0" t="s">
        <v>1086</v>
      </c>
      <c r="J169" s="0" t="s">
        <v>752</v>
      </c>
      <c r="K169" s="0" t="s">
        <v>175</v>
      </c>
      <c r="L169" s="0"/>
      <c r="M169" s="0" t="s">
        <v>1076</v>
      </c>
      <c r="N169" s="0" t="str">
        <f aca="false">RIGHT(M169,LEN(M169)-FIND(" ",M169))</f>
        <v>BANK ST NE</v>
      </c>
      <c r="P169" s="0" t="s">
        <v>146</v>
      </c>
      <c r="Q169" s="0" t="s">
        <v>147</v>
      </c>
      <c r="R169" s="0" t="n">
        <v>44483</v>
      </c>
      <c r="AD169" s="0" t="s">
        <v>148</v>
      </c>
      <c r="AE169" s="0" t="s">
        <v>149</v>
      </c>
      <c r="AF169" s="0" t="s">
        <v>150</v>
      </c>
      <c r="AH169" s="0" t="n">
        <v>14</v>
      </c>
      <c r="AI169" s="0" t="n">
        <v>11</v>
      </c>
      <c r="AN169" s="0" t="s">
        <v>146</v>
      </c>
      <c r="AO169" s="0" t="s">
        <v>236</v>
      </c>
      <c r="AP169" s="0" t="s">
        <v>237</v>
      </c>
      <c r="AQ169" s="0" t="n">
        <v>9</v>
      </c>
      <c r="AR169" s="0" t="n">
        <v>64</v>
      </c>
      <c r="AS169" s="0" t="n">
        <v>32</v>
      </c>
      <c r="AU169" s="0" t="n">
        <f aca="false">COUNTA($BA$1023:$EH$1023)</f>
        <v>5</v>
      </c>
      <c r="AV169" s="0" t="n">
        <f aca="false">COUNTIF($BA$1023:$EH$1023,"D")</f>
        <v>1</v>
      </c>
      <c r="AW169" s="0" t="n">
        <f aca="false">COUNTIF($BA$1023:$EH$1023,"R")</f>
        <v>0</v>
      </c>
      <c r="AX169" s="0" t="n">
        <f aca="false"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>0</v>
      </c>
      <c r="AY169" s="0" t="n">
        <f aca="false">COUNTIF(DU169:EH169, "&lt;&gt;")</f>
        <v>0</v>
      </c>
      <c r="AZ169" s="0" t="n">
        <f aca="false">IF(EH169&lt;&gt;"",1,0)</f>
        <v>0</v>
      </c>
      <c r="BB169" s="0" t="s">
        <v>153</v>
      </c>
      <c r="BH169" s="0" t="s">
        <v>154</v>
      </c>
      <c r="BI169" s="0" t="s">
        <v>154</v>
      </c>
      <c r="BL169" s="0" t="s">
        <v>154</v>
      </c>
    </row>
    <row r="170" customFormat="false" ht="13.8" hidden="false" customHeight="false" outlineLevel="0" collapsed="false">
      <c r="A170" s="0" t="s">
        <v>1087</v>
      </c>
      <c r="B170" s="0" t="n">
        <v>78</v>
      </c>
      <c r="C170" s="0" t="n">
        <v>362427</v>
      </c>
      <c r="D170" s="0" t="s">
        <v>1088</v>
      </c>
      <c r="E170" s="0" t="s">
        <v>1089</v>
      </c>
      <c r="F170" s="0" t="str">
        <f aca="false">CONCATENATE(D170," ",LEFT(H170,4),"T=",AU170,"D=",AV170,"R=",AW170,"M=",AX170,"L=",AY170,"B=",AZ170)</f>
        <v>COTTLE T=2D=1R=0M=0L=2B=0</v>
      </c>
      <c r="G170" s="0" t="s">
        <v>241</v>
      </c>
      <c r="I170" s="0" t="s">
        <v>1090</v>
      </c>
      <c r="J170" s="0" t="s">
        <v>1091</v>
      </c>
      <c r="K170" s="0" t="s">
        <v>175</v>
      </c>
      <c r="M170" s="0" t="s">
        <v>1092</v>
      </c>
      <c r="N170" s="0" t="str">
        <f aca="false">RIGHT(M170,LEN(M170)-FIND(" ",M170))</f>
        <v>BANK ST NE</v>
      </c>
      <c r="P170" s="0" t="s">
        <v>146</v>
      </c>
      <c r="Q170" s="0" t="s">
        <v>147</v>
      </c>
      <c r="R170" s="0" t="n">
        <v>44483</v>
      </c>
      <c r="AD170" s="0" t="s">
        <v>148</v>
      </c>
      <c r="AE170" s="0" t="s">
        <v>149</v>
      </c>
      <c r="AF170" s="0" t="s">
        <v>150</v>
      </c>
      <c r="AH170" s="0" t="n">
        <v>14</v>
      </c>
      <c r="AI170" s="0" t="n">
        <v>11</v>
      </c>
      <c r="AN170" s="0" t="s">
        <v>146</v>
      </c>
      <c r="AO170" s="0" t="s">
        <v>236</v>
      </c>
      <c r="AP170" s="0" t="s">
        <v>237</v>
      </c>
      <c r="AQ170" s="0" t="n">
        <v>9</v>
      </c>
      <c r="AR170" s="0" t="n">
        <v>64</v>
      </c>
      <c r="AS170" s="0" t="n">
        <v>32</v>
      </c>
      <c r="AU170" s="0" t="n">
        <f aca="false">COUNTA($BA$151:$EH$151)</f>
        <v>2</v>
      </c>
      <c r="AV170" s="0" t="n">
        <f aca="false">COUNTIF($BA$151:$EH$151,"D")</f>
        <v>1</v>
      </c>
      <c r="AW170" s="0" t="n">
        <f aca="false">COUNTIF($BA$151:$EH$151,"R")</f>
        <v>0</v>
      </c>
      <c r="AX170" s="0" t="n">
        <f aca="false"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>0</v>
      </c>
      <c r="AY170" s="0" t="n">
        <f aca="false">COUNTIF(DU170:EH170, "&lt;&gt;")</f>
        <v>2</v>
      </c>
      <c r="AZ170" s="0" t="n">
        <f aca="false">IF(EH170&lt;&gt;"",1,0)</f>
        <v>0</v>
      </c>
      <c r="BB170" s="0" t="s">
        <v>153</v>
      </c>
      <c r="CA170" s="0" t="s">
        <v>154</v>
      </c>
      <c r="DC170" s="0" t="s">
        <v>154</v>
      </c>
      <c r="DN170" s="0" t="s">
        <v>154</v>
      </c>
      <c r="DU170" s="0" t="s">
        <v>154</v>
      </c>
      <c r="EF170" s="0" t="s">
        <v>154</v>
      </c>
    </row>
    <row r="171" customFormat="false" ht="13.8" hidden="true" customHeight="false" outlineLevel="0" collapsed="false">
      <c r="A171" s="0" t="s">
        <v>1093</v>
      </c>
      <c r="B171" s="0" t="n">
        <v>78</v>
      </c>
      <c r="C171" s="0" t="n">
        <v>484707</v>
      </c>
      <c r="D171" s="0" t="s">
        <v>1088</v>
      </c>
      <c r="E171" s="0" t="s">
        <v>1094</v>
      </c>
      <c r="F171" s="0" t="str">
        <f aca="false">CONCATENATE(D171," ",LEFT(H171,4),"T=",AU171,"D=",AV171,"R=",AW171,"M=",AX171,"L=",AY171,"B=",AZ171)</f>
        <v>COTTLE T=25D=1R=4M=0L=0B=0</v>
      </c>
      <c r="G171" s="0" t="s">
        <v>1095</v>
      </c>
      <c r="I171" s="0" t="s">
        <v>1096</v>
      </c>
      <c r="J171" s="0" t="s">
        <v>1097</v>
      </c>
      <c r="K171" s="0" t="s">
        <v>175</v>
      </c>
      <c r="L171" s="0"/>
      <c r="M171" s="0" t="s">
        <v>1092</v>
      </c>
      <c r="N171" s="0" t="str">
        <f aca="false">RIGHT(M171,LEN(M171)-FIND(" ",M171))</f>
        <v>BANK ST NE</v>
      </c>
      <c r="P171" s="0" t="s">
        <v>146</v>
      </c>
      <c r="Q171" s="0" t="s">
        <v>147</v>
      </c>
      <c r="R171" s="0" t="n">
        <v>44483</v>
      </c>
      <c r="AD171" s="0" t="s">
        <v>148</v>
      </c>
      <c r="AE171" s="0" t="s">
        <v>149</v>
      </c>
      <c r="AF171" s="0" t="s">
        <v>150</v>
      </c>
      <c r="AH171" s="0" t="n">
        <v>14</v>
      </c>
      <c r="AI171" s="0" t="n">
        <v>11</v>
      </c>
      <c r="AN171" s="0" t="s">
        <v>146</v>
      </c>
      <c r="AO171" s="0" t="s">
        <v>236</v>
      </c>
      <c r="AP171" s="0" t="s">
        <v>237</v>
      </c>
      <c r="AQ171" s="0" t="n">
        <v>9</v>
      </c>
      <c r="AR171" s="0" t="n">
        <v>64</v>
      </c>
      <c r="AS171" s="0" t="n">
        <v>32</v>
      </c>
      <c r="AU171" s="0" t="n">
        <f aca="false">COUNTA($BA$350:$EH$350)</f>
        <v>25</v>
      </c>
      <c r="AV171" s="0" t="n">
        <f aca="false">COUNTIF($BA$350:$EH$350,"D")</f>
        <v>1</v>
      </c>
      <c r="AW171" s="0" t="n">
        <f aca="false">COUNTIF($BA$350:$EH$350,"R")</f>
        <v>4</v>
      </c>
      <c r="AX171" s="0" t="n">
        <f aca="false"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>0</v>
      </c>
      <c r="AY171" s="0" t="n">
        <f aca="false">COUNTIF(DU171:EH171, "&lt;&gt;")</f>
        <v>0</v>
      </c>
      <c r="AZ171" s="0" t="n">
        <f aca="false">IF(EH171&lt;&gt;"",1,0)</f>
        <v>0</v>
      </c>
      <c r="BB171" s="0" t="s">
        <v>153</v>
      </c>
    </row>
    <row r="172" customFormat="false" ht="13.8" hidden="true" customHeight="false" outlineLevel="0" collapsed="false">
      <c r="A172" s="0" t="s">
        <v>1098</v>
      </c>
      <c r="B172" s="0" t="n">
        <v>78</v>
      </c>
      <c r="C172" s="0" t="n">
        <v>303179</v>
      </c>
      <c r="D172" s="0" t="s">
        <v>1099</v>
      </c>
      <c r="E172" s="0" t="s">
        <v>240</v>
      </c>
      <c r="F172" s="0" t="str">
        <f aca="false">CONCATENATE(D172," ",LEFT(H172,4),"T=",AU172,"D=",AV172,"R=",AW172,"M=",AX172,"L=",AY172,"B=",AZ172)</f>
        <v>WRIGHT T=33D=7R=1M=0L=0B=0</v>
      </c>
      <c r="G172" s="0" t="s">
        <v>455</v>
      </c>
      <c r="I172" s="0" t="s">
        <v>1100</v>
      </c>
      <c r="J172" s="0" t="s">
        <v>1101</v>
      </c>
      <c r="K172" s="0" t="s">
        <v>144</v>
      </c>
      <c r="L172" s="0"/>
      <c r="M172" s="0" t="s">
        <v>1102</v>
      </c>
      <c r="N172" s="0" t="str">
        <f aca="false">RIGHT(M172,LEN(M172)-FIND(" ",M172))</f>
        <v>BANK ST NE</v>
      </c>
      <c r="P172" s="0" t="s">
        <v>146</v>
      </c>
      <c r="Q172" s="0" t="s">
        <v>147</v>
      </c>
      <c r="R172" s="0" t="n">
        <v>44483</v>
      </c>
      <c r="AD172" s="0" t="s">
        <v>148</v>
      </c>
      <c r="AE172" s="0" t="s">
        <v>149</v>
      </c>
      <c r="AF172" s="0" t="s">
        <v>150</v>
      </c>
      <c r="AH172" s="0" t="n">
        <v>14</v>
      </c>
      <c r="AI172" s="0" t="n">
        <v>11</v>
      </c>
      <c r="AN172" s="0" t="s">
        <v>146</v>
      </c>
      <c r="AO172" s="0" t="s">
        <v>236</v>
      </c>
      <c r="AP172" s="0" t="s">
        <v>237</v>
      </c>
      <c r="AQ172" s="0" t="n">
        <v>9</v>
      </c>
      <c r="AR172" s="0" t="n">
        <v>64</v>
      </c>
      <c r="AS172" s="0" t="n">
        <v>32</v>
      </c>
      <c r="AU172" s="0" t="n">
        <f aca="false">COUNTA($BA$637:$EH$637)</f>
        <v>33</v>
      </c>
      <c r="AV172" s="0" t="n">
        <f aca="false">COUNTIF($BA$637:$EH$637,"D")</f>
        <v>7</v>
      </c>
      <c r="AW172" s="0" t="n">
        <f aca="false">COUNTIF($BA$637:$EH$637,"R")</f>
        <v>1</v>
      </c>
      <c r="AX172" s="0" t="n">
        <f aca="false"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>0</v>
      </c>
      <c r="AY172" s="0" t="n">
        <f aca="false">COUNTIF(DU172:EH172, "&lt;&gt;")</f>
        <v>0</v>
      </c>
      <c r="AZ172" s="0" t="n">
        <f aca="false">IF(EH172&lt;&gt;"",1,0)</f>
        <v>0</v>
      </c>
      <c r="BB172" s="0" t="s">
        <v>153</v>
      </c>
      <c r="CA172" s="0" t="s">
        <v>154</v>
      </c>
    </row>
    <row r="173" customFormat="false" ht="13.8" hidden="true" customHeight="false" outlineLevel="0" collapsed="false">
      <c r="A173" s="0" t="s">
        <v>1103</v>
      </c>
      <c r="B173" s="0" t="n">
        <v>78</v>
      </c>
      <c r="C173" s="0" t="n">
        <v>490750</v>
      </c>
      <c r="D173" s="0" t="s">
        <v>1104</v>
      </c>
      <c r="E173" s="0" t="s">
        <v>1105</v>
      </c>
      <c r="F173" s="0" t="str">
        <f aca="false">CONCATENATE(D173," ",LEFT(H173,4),"T=",AU173,"D=",AV173,"R=",AW173,"M=",AX173,"L=",AY173,"B=",AZ173)</f>
        <v>SCHLOSSER T=6D=1R=0M=1L=1B=0</v>
      </c>
      <c r="G173" s="0" t="s">
        <v>297</v>
      </c>
      <c r="I173" s="0" t="s">
        <v>1106</v>
      </c>
      <c r="J173" s="0" t="s">
        <v>586</v>
      </c>
      <c r="K173" s="0" t="s">
        <v>175</v>
      </c>
      <c r="L173" s="0"/>
      <c r="M173" s="0" t="s">
        <v>1107</v>
      </c>
      <c r="N173" s="0" t="str">
        <f aca="false">RIGHT(M173,LEN(M173)-FIND(" ",M173))</f>
        <v>BANK ST NE</v>
      </c>
      <c r="P173" s="0" t="s">
        <v>146</v>
      </c>
      <c r="Q173" s="0" t="s">
        <v>147</v>
      </c>
      <c r="R173" s="0" t="n">
        <v>44483</v>
      </c>
      <c r="AD173" s="0" t="s">
        <v>148</v>
      </c>
      <c r="AE173" s="0" t="s">
        <v>149</v>
      </c>
      <c r="AF173" s="0" t="s">
        <v>150</v>
      </c>
      <c r="AH173" s="0" t="n">
        <v>14</v>
      </c>
      <c r="AI173" s="0" t="n">
        <v>11</v>
      </c>
      <c r="AN173" s="0" t="s">
        <v>146</v>
      </c>
      <c r="AO173" s="0" t="s">
        <v>236</v>
      </c>
      <c r="AP173" s="0" t="s">
        <v>237</v>
      </c>
      <c r="AQ173" s="0" t="n">
        <v>9</v>
      </c>
      <c r="AR173" s="0" t="n">
        <v>64</v>
      </c>
      <c r="AS173" s="0" t="n">
        <v>32</v>
      </c>
      <c r="AU173" s="0" t="n">
        <f aca="false">COUNTA($BA$467:$EH$467)</f>
        <v>6</v>
      </c>
      <c r="AV173" s="0" t="n">
        <f aca="false">COUNTIF($BA$467:$EH$467,"D")</f>
        <v>1</v>
      </c>
      <c r="AW173" s="0" t="n">
        <f aca="false">COUNTIF($BA$467:$EH$467,"R")</f>
        <v>0</v>
      </c>
      <c r="AX173" s="0" t="n">
        <f aca="false"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>1</v>
      </c>
      <c r="AY173" s="0" t="n">
        <f aca="false">COUNTIF(DU173:EH173, "&lt;&gt;")</f>
        <v>1</v>
      </c>
      <c r="AZ173" s="0" t="n">
        <f aca="false">IF(EH173&lt;&gt;"",1,0)</f>
        <v>0</v>
      </c>
      <c r="BB173" s="0" t="s">
        <v>153</v>
      </c>
      <c r="BD173" s="0" t="s">
        <v>154</v>
      </c>
      <c r="BE173" s="0" t="s">
        <v>154</v>
      </c>
      <c r="BH173" s="0" t="s">
        <v>154</v>
      </c>
      <c r="BI173" s="0" t="s">
        <v>154</v>
      </c>
      <c r="BL173" s="0" t="s">
        <v>154</v>
      </c>
      <c r="BP173" s="0" t="s">
        <v>154</v>
      </c>
      <c r="BS173" s="0" t="s">
        <v>154</v>
      </c>
      <c r="BV173" s="0" t="s">
        <v>154</v>
      </c>
      <c r="BY173" s="0" t="s">
        <v>155</v>
      </c>
      <c r="CA173" s="0" t="s">
        <v>154</v>
      </c>
      <c r="CG173" s="0" t="s">
        <v>154</v>
      </c>
      <c r="CK173" s="0" t="s">
        <v>154</v>
      </c>
      <c r="CL173" s="0" t="s">
        <v>155</v>
      </c>
      <c r="CN173" s="0" t="s">
        <v>154</v>
      </c>
      <c r="CO173" s="0" t="s">
        <v>155</v>
      </c>
      <c r="CP173" s="0" t="s">
        <v>154</v>
      </c>
      <c r="EF173" s="0" t="s">
        <v>154</v>
      </c>
    </row>
    <row r="174" customFormat="false" ht="13.8" hidden="false" customHeight="false" outlineLevel="0" collapsed="false">
      <c r="A174" s="0" t="s">
        <v>1108</v>
      </c>
      <c r="B174" s="0" t="n">
        <v>78</v>
      </c>
      <c r="C174" s="0" t="n">
        <v>278118</v>
      </c>
      <c r="D174" s="0" t="s">
        <v>1104</v>
      </c>
      <c r="E174" s="0" t="s">
        <v>1022</v>
      </c>
      <c r="F174" s="0" t="str">
        <f aca="false">CONCATENATE(D174," ",LEFT(H174,4),"T=",AU174,"D=",AV174,"R=",AW174,"M=",AX174,"L=",AY174,"B=",AZ174)</f>
        <v>SCHLOSSER T=1D=0R=0M=1L=2B=0</v>
      </c>
      <c r="G174" s="0" t="s">
        <v>241</v>
      </c>
      <c r="I174" s="0" t="s">
        <v>1109</v>
      </c>
      <c r="J174" s="0" t="s">
        <v>1110</v>
      </c>
      <c r="K174" s="0" t="s">
        <v>175</v>
      </c>
      <c r="M174" s="0" t="s">
        <v>1107</v>
      </c>
      <c r="N174" s="0" t="str">
        <f aca="false">RIGHT(M174,LEN(M174)-FIND(" ",M174))</f>
        <v>BANK ST NE</v>
      </c>
      <c r="P174" s="0" t="s">
        <v>146</v>
      </c>
      <c r="Q174" s="0" t="s">
        <v>147</v>
      </c>
      <c r="R174" s="0" t="n">
        <v>44483</v>
      </c>
      <c r="AD174" s="0" t="s">
        <v>148</v>
      </c>
      <c r="AE174" s="0" t="s">
        <v>149</v>
      </c>
      <c r="AF174" s="0" t="s">
        <v>150</v>
      </c>
      <c r="AH174" s="0" t="n">
        <v>14</v>
      </c>
      <c r="AI174" s="0" t="n">
        <v>11</v>
      </c>
      <c r="AN174" s="0" t="s">
        <v>146</v>
      </c>
      <c r="AO174" s="0" t="s">
        <v>236</v>
      </c>
      <c r="AP174" s="0" t="s">
        <v>237</v>
      </c>
      <c r="AQ174" s="0" t="n">
        <v>9</v>
      </c>
      <c r="AR174" s="0" t="n">
        <v>64</v>
      </c>
      <c r="AS174" s="0" t="n">
        <v>32</v>
      </c>
      <c r="AU174" s="0" t="n">
        <f aca="false">COUNTA($BA$898:$EH$898)</f>
        <v>1</v>
      </c>
      <c r="AV174" s="0" t="n">
        <f aca="false">COUNTIF($BA$898:$EH$898,"D")</f>
        <v>0</v>
      </c>
      <c r="AW174" s="0" t="n">
        <f aca="false">COUNTIF($BA$898:$EH$898,"R")</f>
        <v>0</v>
      </c>
      <c r="AX174" s="0" t="n">
        <f aca="false"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>1</v>
      </c>
      <c r="AY174" s="0" t="n">
        <f aca="false">COUNTIF(DU174:EH174, "&lt;&gt;")</f>
        <v>2</v>
      </c>
      <c r="AZ174" s="0" t="n">
        <f aca="false">IF(EH174&lt;&gt;"",1,0)</f>
        <v>0</v>
      </c>
      <c r="BB174" s="0" t="s">
        <v>153</v>
      </c>
      <c r="BD174" s="0" t="s">
        <v>154</v>
      </c>
      <c r="BE174" s="0" t="s">
        <v>154</v>
      </c>
      <c r="BH174" s="0" t="s">
        <v>154</v>
      </c>
      <c r="BI174" s="0" t="s">
        <v>154</v>
      </c>
      <c r="BL174" s="0" t="s">
        <v>154</v>
      </c>
      <c r="BP174" s="0" t="s">
        <v>154</v>
      </c>
      <c r="BS174" s="0" t="s">
        <v>154</v>
      </c>
      <c r="BV174" s="0" t="s">
        <v>154</v>
      </c>
      <c r="BY174" s="0" t="s">
        <v>155</v>
      </c>
      <c r="CA174" s="0" t="s">
        <v>154</v>
      </c>
      <c r="CG174" s="0" t="s">
        <v>154</v>
      </c>
      <c r="CK174" s="0" t="s">
        <v>154</v>
      </c>
      <c r="CL174" s="0" t="s">
        <v>155</v>
      </c>
      <c r="CP174" s="0" t="s">
        <v>154</v>
      </c>
      <c r="DN174" s="0" t="s">
        <v>154</v>
      </c>
      <c r="DU174" s="0" t="s">
        <v>154</v>
      </c>
      <c r="EF174" s="0" t="s">
        <v>154</v>
      </c>
    </row>
    <row r="175" customFormat="false" ht="13.8" hidden="true" customHeight="false" outlineLevel="0" collapsed="false">
      <c r="A175" s="0" t="s">
        <v>1111</v>
      </c>
      <c r="B175" s="0" t="n">
        <v>78</v>
      </c>
      <c r="C175" s="0" t="n">
        <v>340103</v>
      </c>
      <c r="D175" s="0" t="s">
        <v>949</v>
      </c>
      <c r="E175" s="0" t="s">
        <v>376</v>
      </c>
      <c r="F175" s="0" t="str">
        <f aca="false">CONCATENATE(D175," ",LEFT(H175,4),"T=",AU175,"D=",AV175,"R=",AW175,"M=",AX175,"L=",AY175,"B=",AZ175)</f>
        <v>RODGERS T=1D=0R=0M=0L=0B=0</v>
      </c>
      <c r="I175" s="0" t="s">
        <v>1112</v>
      </c>
      <c r="J175" s="0" t="s">
        <v>1113</v>
      </c>
      <c r="K175" s="0" t="s">
        <v>144</v>
      </c>
      <c r="L175" s="0"/>
      <c r="M175" s="0" t="s">
        <v>1114</v>
      </c>
      <c r="N175" s="0" t="str">
        <f aca="false">RIGHT(M175,LEN(M175)-FIND(" ",M175))</f>
        <v>BELMONT AVE NE</v>
      </c>
      <c r="P175" s="0" t="s">
        <v>146</v>
      </c>
      <c r="Q175" s="0" t="s">
        <v>147</v>
      </c>
      <c r="R175" s="0" t="n">
        <v>44483</v>
      </c>
      <c r="AD175" s="0" t="s">
        <v>148</v>
      </c>
      <c r="AE175" s="0" t="s">
        <v>149</v>
      </c>
      <c r="AF175" s="0" t="s">
        <v>150</v>
      </c>
      <c r="AH175" s="0" t="n">
        <v>14</v>
      </c>
      <c r="AI175" s="0" t="n">
        <v>11</v>
      </c>
      <c r="AN175" s="0" t="s">
        <v>146</v>
      </c>
      <c r="AO175" s="0" t="s">
        <v>236</v>
      </c>
      <c r="AP175" s="0" t="s">
        <v>237</v>
      </c>
      <c r="AQ175" s="0" t="n">
        <v>9</v>
      </c>
      <c r="AR175" s="0" t="n">
        <v>64</v>
      </c>
      <c r="AS175" s="0" t="n">
        <v>32</v>
      </c>
      <c r="AU175" s="0" t="n">
        <f aca="false">COUNTA($BA$356:$EH$356)</f>
        <v>1</v>
      </c>
      <c r="AV175" s="0" t="n">
        <f aca="false">COUNTIF($BA$356:$EH$356,"D")</f>
        <v>0</v>
      </c>
      <c r="AW175" s="0" t="n">
        <f aca="false">COUNTIF($BA$356:$EH$356,"R")</f>
        <v>0</v>
      </c>
      <c r="AX175" s="0" t="n">
        <f aca="false"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>0</v>
      </c>
      <c r="AY175" s="0" t="n">
        <f aca="false">COUNTIF(DU175:EH175, "&lt;&gt;")</f>
        <v>0</v>
      </c>
      <c r="AZ175" s="0" t="n">
        <f aca="false">IF(EH175&lt;&gt;"",1,0)</f>
        <v>0</v>
      </c>
      <c r="BB175" s="0" t="s">
        <v>153</v>
      </c>
    </row>
    <row r="176" customFormat="false" ht="13.8" hidden="true" customHeight="false" outlineLevel="0" collapsed="false">
      <c r="A176" s="0" t="s">
        <v>1115</v>
      </c>
      <c r="B176" s="0" t="n">
        <v>78</v>
      </c>
      <c r="C176" s="0" t="n">
        <v>395418</v>
      </c>
      <c r="D176" s="0" t="s">
        <v>1116</v>
      </c>
      <c r="E176" s="0" t="s">
        <v>1117</v>
      </c>
      <c r="F176" s="0" t="str">
        <f aca="false">CONCATENATE(D176," ",LEFT(H176,4),"T=",AU176,"D=",AV176,"R=",AW176,"M=",AX176,"L=",AY176,"B=",AZ176)</f>
        <v>TENNEY T=2D=0R=0M=0L=0B=0</v>
      </c>
      <c r="G176" s="0" t="s">
        <v>317</v>
      </c>
      <c r="I176" s="0" t="s">
        <v>1118</v>
      </c>
      <c r="J176" s="0" t="s">
        <v>273</v>
      </c>
      <c r="K176" s="0" t="s">
        <v>144</v>
      </c>
      <c r="L176" s="0"/>
      <c r="M176" s="0" t="s">
        <v>1119</v>
      </c>
      <c r="N176" s="0" t="str">
        <f aca="false">RIGHT(M176,LEN(M176)-FIND(" ",M176))</f>
        <v>BELMONT AVE NE</v>
      </c>
      <c r="P176" s="0" t="s">
        <v>146</v>
      </c>
      <c r="Q176" s="0" t="s">
        <v>147</v>
      </c>
      <c r="R176" s="0" t="n">
        <v>44483</v>
      </c>
      <c r="AD176" s="0" t="s">
        <v>148</v>
      </c>
      <c r="AE176" s="0" t="s">
        <v>149</v>
      </c>
      <c r="AF176" s="0" t="s">
        <v>150</v>
      </c>
      <c r="AH176" s="0" t="n">
        <v>14</v>
      </c>
      <c r="AI176" s="0" t="n">
        <v>11</v>
      </c>
      <c r="AN176" s="0" t="s">
        <v>146</v>
      </c>
      <c r="AO176" s="0" t="s">
        <v>236</v>
      </c>
      <c r="AP176" s="0" t="s">
        <v>237</v>
      </c>
      <c r="AQ176" s="0" t="n">
        <v>9</v>
      </c>
      <c r="AR176" s="0" t="n">
        <v>64</v>
      </c>
      <c r="AS176" s="0" t="n">
        <v>32</v>
      </c>
      <c r="AU176" s="0" t="n">
        <f aca="false">COUNTA($BA$183:$EH$183)</f>
        <v>2</v>
      </c>
      <c r="AV176" s="0" t="n">
        <f aca="false">COUNTIF($BA$183:$EH$183,"D")</f>
        <v>0</v>
      </c>
      <c r="AW176" s="0" t="n">
        <f aca="false">COUNTIF($BA$183:$EH$183,"R")</f>
        <v>0</v>
      </c>
      <c r="AX176" s="0" t="n">
        <f aca="false"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>0</v>
      </c>
      <c r="AY176" s="0" t="n">
        <f aca="false">COUNTIF(DU176:EH176, "&lt;&gt;")</f>
        <v>0</v>
      </c>
      <c r="AZ176" s="0" t="n">
        <f aca="false">IF(EH176&lt;&gt;"",1,0)</f>
        <v>0</v>
      </c>
      <c r="BB176" s="0" t="s">
        <v>153</v>
      </c>
    </row>
    <row r="177" customFormat="false" ht="13.8" hidden="true" customHeight="false" outlineLevel="0" collapsed="false">
      <c r="A177" s="0" t="s">
        <v>1120</v>
      </c>
      <c r="B177" s="0" t="n">
        <v>78</v>
      </c>
      <c r="C177" s="0" t="n">
        <v>398772</v>
      </c>
      <c r="D177" s="0" t="s">
        <v>1121</v>
      </c>
      <c r="E177" s="0" t="s">
        <v>1122</v>
      </c>
      <c r="F177" s="0" t="str">
        <f aca="false">CONCATENATE(D177," ",LEFT(H177,4),"T=",AU177,"D=",AV177,"R=",AW177,"M=",AX177,"L=",AY177,"B=",AZ177)</f>
        <v>PEYATT T=1D=0R=0M=0L=0B=0</v>
      </c>
      <c r="G177" s="0" t="s">
        <v>195</v>
      </c>
      <c r="I177" s="0" t="s">
        <v>1123</v>
      </c>
      <c r="J177" s="0" t="s">
        <v>1124</v>
      </c>
      <c r="K177" s="0" t="s">
        <v>144</v>
      </c>
      <c r="L177" s="0"/>
      <c r="M177" s="0" t="s">
        <v>1125</v>
      </c>
      <c r="N177" s="0" t="str">
        <f aca="false">RIGHT(M177,LEN(M177)-FIND(" ",M177))</f>
        <v>BELMONT AVE NE</v>
      </c>
      <c r="O177" s="0" t="s">
        <v>192</v>
      </c>
      <c r="P177" s="0" t="s">
        <v>146</v>
      </c>
      <c r="Q177" s="0" t="s">
        <v>147</v>
      </c>
      <c r="R177" s="0" t="n">
        <v>44483</v>
      </c>
      <c r="AD177" s="0" t="s">
        <v>148</v>
      </c>
      <c r="AE177" s="0" t="s">
        <v>149</v>
      </c>
      <c r="AF177" s="0" t="s">
        <v>150</v>
      </c>
      <c r="AH177" s="0" t="n">
        <v>14</v>
      </c>
      <c r="AI177" s="0" t="n">
        <v>11</v>
      </c>
      <c r="AN177" s="0" t="s">
        <v>146</v>
      </c>
      <c r="AO177" s="0" t="s">
        <v>236</v>
      </c>
      <c r="AP177" s="0" t="s">
        <v>237</v>
      </c>
      <c r="AQ177" s="0" t="n">
        <v>9</v>
      </c>
      <c r="AR177" s="0" t="n">
        <v>64</v>
      </c>
      <c r="AS177" s="0" t="n">
        <v>32</v>
      </c>
      <c r="AU177" s="0" t="n">
        <f aca="false">COUNTA($BA$214:$EH$214)</f>
        <v>1</v>
      </c>
      <c r="AV177" s="0" t="n">
        <f aca="false">COUNTIF($BA$214:$EH$214,"D")</f>
        <v>0</v>
      </c>
      <c r="AW177" s="0" t="n">
        <f aca="false">COUNTIF($BA$214:$EH$214,"R")</f>
        <v>0</v>
      </c>
      <c r="AX177" s="0" t="n">
        <f aca="false"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>0</v>
      </c>
      <c r="AY177" s="0" t="n">
        <f aca="false">COUNTIF(DU177:EH177, "&lt;&gt;")</f>
        <v>0</v>
      </c>
      <c r="AZ177" s="0" t="n">
        <f aca="false">IF(EH177&lt;&gt;"",1,0)</f>
        <v>0</v>
      </c>
      <c r="BB177" s="0" t="s">
        <v>153</v>
      </c>
    </row>
    <row r="178" customFormat="false" ht="13.8" hidden="true" customHeight="false" outlineLevel="0" collapsed="false">
      <c r="A178" s="0" t="s">
        <v>1126</v>
      </c>
      <c r="B178" s="0" t="n">
        <v>78</v>
      </c>
      <c r="C178" s="0" t="n">
        <v>184351</v>
      </c>
      <c r="D178" s="0" t="s">
        <v>1121</v>
      </c>
      <c r="E178" s="0" t="s">
        <v>1127</v>
      </c>
      <c r="F178" s="0" t="str">
        <f aca="false">CONCATENATE(D178," ",LEFT(H178,4),"T=",AU178,"D=",AV178,"R=",AW178,"M=",AX178,"L=",AY178,"B=",AZ178)</f>
        <v>PEYATT SRT=10D=1R=0M=0L=0B=0</v>
      </c>
      <c r="G178" s="0" t="s">
        <v>241</v>
      </c>
      <c r="H178" s="0" t="s">
        <v>311</v>
      </c>
      <c r="I178" s="0" t="s">
        <v>1128</v>
      </c>
      <c r="J178" s="0" t="s">
        <v>1129</v>
      </c>
      <c r="K178" s="0" t="s">
        <v>144</v>
      </c>
      <c r="L178" s="0"/>
      <c r="M178" s="0" t="s">
        <v>1125</v>
      </c>
      <c r="N178" s="0" t="str">
        <f aca="false">RIGHT(M178,LEN(M178)-FIND(" ",M178))</f>
        <v>BELMONT AVE NE</v>
      </c>
      <c r="P178" s="0" t="s">
        <v>146</v>
      </c>
      <c r="Q178" s="0" t="s">
        <v>147</v>
      </c>
      <c r="R178" s="0" t="n">
        <v>44483</v>
      </c>
      <c r="AD178" s="0" t="s">
        <v>148</v>
      </c>
      <c r="AE178" s="0" t="s">
        <v>149</v>
      </c>
      <c r="AF178" s="0" t="s">
        <v>150</v>
      </c>
      <c r="AH178" s="0" t="n">
        <v>14</v>
      </c>
      <c r="AI178" s="0" t="n">
        <v>11</v>
      </c>
      <c r="AN178" s="0" t="s">
        <v>146</v>
      </c>
      <c r="AO178" s="0" t="s">
        <v>236</v>
      </c>
      <c r="AP178" s="0" t="s">
        <v>237</v>
      </c>
      <c r="AQ178" s="0" t="n">
        <v>9</v>
      </c>
      <c r="AR178" s="0" t="n">
        <v>64</v>
      </c>
      <c r="AS178" s="0" t="n">
        <v>32</v>
      </c>
      <c r="AU178" s="0" t="n">
        <f aca="false">COUNTA($BA$353:$EH$353)</f>
        <v>10</v>
      </c>
      <c r="AV178" s="0" t="n">
        <f aca="false">COUNTIF($BA$353:$EH$353,"D")</f>
        <v>1</v>
      </c>
      <c r="AW178" s="0" t="n">
        <f aca="false">COUNTIF($BA$353:$EH$353,"R")</f>
        <v>0</v>
      </c>
      <c r="AX178" s="0" t="n">
        <f aca="false"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>0</v>
      </c>
      <c r="AY178" s="0" t="n">
        <f aca="false">COUNTIF(DU178:EH178, "&lt;&gt;")</f>
        <v>0</v>
      </c>
      <c r="AZ178" s="0" t="n">
        <f aca="false">IF(EH178&lt;&gt;"",1,0)</f>
        <v>0</v>
      </c>
      <c r="BB178" s="0" t="s">
        <v>153</v>
      </c>
      <c r="CP178" s="0" t="s">
        <v>154</v>
      </c>
    </row>
    <row r="179" customFormat="false" ht="13.8" hidden="true" customHeight="false" outlineLevel="0" collapsed="false">
      <c r="A179" s="0" t="s">
        <v>1130</v>
      </c>
      <c r="B179" s="0" t="n">
        <v>78</v>
      </c>
      <c r="C179" s="0" t="n">
        <v>494932</v>
      </c>
      <c r="D179" s="0" t="s">
        <v>1121</v>
      </c>
      <c r="E179" s="0" t="s">
        <v>1131</v>
      </c>
      <c r="F179" s="0" t="str">
        <f aca="false">CONCATENATE(D179," ",LEFT(H179,4),"T=",AU179,"D=",AV179,"R=",AW179,"M=",AX179,"L=",AY179,"B=",AZ179)</f>
        <v>PEYATT T=3D=1R=0M=0L=0B=0</v>
      </c>
      <c r="G179" s="0" t="s">
        <v>1132</v>
      </c>
      <c r="I179" s="0" t="s">
        <v>1133</v>
      </c>
      <c r="J179" s="0" t="s">
        <v>1134</v>
      </c>
      <c r="K179" s="0" t="s">
        <v>175</v>
      </c>
      <c r="L179" s="0"/>
      <c r="M179" s="0" t="s">
        <v>1125</v>
      </c>
      <c r="N179" s="0" t="str">
        <f aca="false">RIGHT(M179,LEN(M179)-FIND(" ",M179))</f>
        <v>BELMONT AVE NE</v>
      </c>
      <c r="P179" s="0" t="s">
        <v>146</v>
      </c>
      <c r="Q179" s="0" t="s">
        <v>147</v>
      </c>
      <c r="R179" s="0" t="n">
        <v>44483</v>
      </c>
      <c r="AD179" s="0" t="s">
        <v>148</v>
      </c>
      <c r="AE179" s="0" t="s">
        <v>149</v>
      </c>
      <c r="AF179" s="0" t="s">
        <v>150</v>
      </c>
      <c r="AH179" s="0" t="n">
        <v>14</v>
      </c>
      <c r="AI179" s="0" t="n">
        <v>11</v>
      </c>
      <c r="AN179" s="0" t="s">
        <v>146</v>
      </c>
      <c r="AO179" s="0" t="s">
        <v>236</v>
      </c>
      <c r="AP179" s="0" t="s">
        <v>237</v>
      </c>
      <c r="AQ179" s="0" t="n">
        <v>9</v>
      </c>
      <c r="AR179" s="0" t="n">
        <v>64</v>
      </c>
      <c r="AS179" s="0" t="n">
        <v>32</v>
      </c>
      <c r="AU179" s="0" t="n">
        <f aca="false">COUNTA($BA$725:$EH$725)</f>
        <v>3</v>
      </c>
      <c r="AV179" s="0" t="n">
        <f aca="false">COUNTIF($BA$725:$EH$725,"D")</f>
        <v>1</v>
      </c>
      <c r="AW179" s="0" t="n">
        <f aca="false">COUNTIF($BA$725:$EH$725,"R")</f>
        <v>0</v>
      </c>
      <c r="AX179" s="0" t="n">
        <f aca="false"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>0</v>
      </c>
      <c r="AY179" s="0" t="n">
        <f aca="false">COUNTIF(DU179:EH179, "&lt;&gt;")</f>
        <v>0</v>
      </c>
      <c r="AZ179" s="0" t="n">
        <f aca="false">IF(EH179&lt;&gt;"",1,0)</f>
        <v>0</v>
      </c>
      <c r="BB179" s="0" t="s">
        <v>153</v>
      </c>
      <c r="CP179" s="0" t="s">
        <v>154</v>
      </c>
    </row>
    <row r="180" customFormat="false" ht="13.8" hidden="true" customHeight="false" outlineLevel="0" collapsed="false">
      <c r="A180" s="0" t="s">
        <v>1135</v>
      </c>
      <c r="B180" s="0" t="n">
        <v>78</v>
      </c>
      <c r="C180" s="0" t="n">
        <v>494933</v>
      </c>
      <c r="D180" s="0" t="s">
        <v>1121</v>
      </c>
      <c r="E180" s="0" t="s">
        <v>1136</v>
      </c>
      <c r="F180" s="0" t="str">
        <f aca="false">CONCATENATE(D180," ",LEFT(H180,4),"T=",AU180,"D=",AV180,"R=",AW180,"M=",AX180,"L=",AY180,"B=",AZ180)</f>
        <v>PEYATT T=30D=9R=0M=0L=0B=0</v>
      </c>
      <c r="G180" s="0" t="s">
        <v>323</v>
      </c>
      <c r="I180" s="0" t="s">
        <v>1137</v>
      </c>
      <c r="J180" s="0" t="s">
        <v>1134</v>
      </c>
      <c r="K180" s="0" t="s">
        <v>175</v>
      </c>
      <c r="L180" s="0"/>
      <c r="M180" s="0" t="s">
        <v>1125</v>
      </c>
      <c r="N180" s="0" t="str">
        <f aca="false">RIGHT(M180,LEN(M180)-FIND(" ",M180))</f>
        <v>BELMONT AVE NE</v>
      </c>
      <c r="P180" s="0" t="s">
        <v>146</v>
      </c>
      <c r="Q180" s="0" t="s">
        <v>147</v>
      </c>
      <c r="R180" s="0" t="n">
        <v>44483</v>
      </c>
      <c r="AD180" s="0" t="s">
        <v>148</v>
      </c>
      <c r="AE180" s="0" t="s">
        <v>149</v>
      </c>
      <c r="AF180" s="0" t="s">
        <v>150</v>
      </c>
      <c r="AH180" s="0" t="n">
        <v>14</v>
      </c>
      <c r="AI180" s="0" t="n">
        <v>11</v>
      </c>
      <c r="AN180" s="0" t="s">
        <v>146</v>
      </c>
      <c r="AO180" s="0" t="s">
        <v>236</v>
      </c>
      <c r="AP180" s="0" t="s">
        <v>237</v>
      </c>
      <c r="AQ180" s="0" t="n">
        <v>9</v>
      </c>
      <c r="AR180" s="0" t="n">
        <v>64</v>
      </c>
      <c r="AS180" s="0" t="n">
        <v>32</v>
      </c>
      <c r="AU180" s="0" t="n">
        <f aca="false">COUNTA($BA$728:$EH$728)</f>
        <v>30</v>
      </c>
      <c r="AV180" s="0" t="n">
        <f aca="false">COUNTIF($BA$728:$EH$728,"D")</f>
        <v>9</v>
      </c>
      <c r="AW180" s="0" t="n">
        <f aca="false">COUNTIF($BA$728:$EH$728,"R")</f>
        <v>0</v>
      </c>
      <c r="AX180" s="0" t="n">
        <f aca="false"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>0</v>
      </c>
      <c r="AY180" s="0" t="n">
        <f aca="false">COUNTIF(DU180:EH180, "&lt;&gt;")</f>
        <v>0</v>
      </c>
      <c r="AZ180" s="0" t="n">
        <f aca="false">IF(EH180&lt;&gt;"",1,0)</f>
        <v>0</v>
      </c>
      <c r="BB180" s="0" t="s">
        <v>153</v>
      </c>
    </row>
    <row r="181" customFormat="false" ht="13.8" hidden="true" customHeight="false" outlineLevel="0" collapsed="false">
      <c r="A181" s="0" t="s">
        <v>1138</v>
      </c>
      <c r="B181" s="0" t="n">
        <v>78</v>
      </c>
      <c r="C181" s="0" t="n">
        <v>407531</v>
      </c>
      <c r="D181" s="0" t="s">
        <v>1139</v>
      </c>
      <c r="E181" s="0" t="s">
        <v>1140</v>
      </c>
      <c r="F181" s="0" t="str">
        <f aca="false">CONCATENATE(D181," ",LEFT(H181,4),"T=",AU181,"D=",AV181,"R=",AW181,"M=",AX181,"L=",AY181,"B=",AZ181)</f>
        <v>MEADOWS T=10D=0R=0M=0L=0B=0</v>
      </c>
      <c r="G181" s="0" t="s">
        <v>1141</v>
      </c>
      <c r="I181" s="0" t="s">
        <v>1142</v>
      </c>
      <c r="J181" s="0" t="s">
        <v>1143</v>
      </c>
      <c r="K181" s="0" t="s">
        <v>144</v>
      </c>
      <c r="L181" s="0"/>
      <c r="M181" s="0" t="s">
        <v>1144</v>
      </c>
      <c r="N181" s="0" t="str">
        <f aca="false">RIGHT(M181,LEN(M181)-FIND(" ",M181))</f>
        <v>BELMONT AVE NE</v>
      </c>
      <c r="P181" s="0" t="s">
        <v>146</v>
      </c>
      <c r="Q181" s="0" t="s">
        <v>147</v>
      </c>
      <c r="R181" s="0" t="n">
        <v>44483</v>
      </c>
      <c r="AD181" s="0" t="s">
        <v>148</v>
      </c>
      <c r="AE181" s="0" t="s">
        <v>149</v>
      </c>
      <c r="AF181" s="0" t="s">
        <v>150</v>
      </c>
      <c r="AH181" s="0" t="n">
        <v>14</v>
      </c>
      <c r="AI181" s="0" t="n">
        <v>11</v>
      </c>
      <c r="AN181" s="0" t="s">
        <v>146</v>
      </c>
      <c r="AO181" s="0" t="s">
        <v>236</v>
      </c>
      <c r="AP181" s="0" t="s">
        <v>237</v>
      </c>
      <c r="AQ181" s="0" t="n">
        <v>9</v>
      </c>
      <c r="AR181" s="0" t="n">
        <v>64</v>
      </c>
      <c r="AS181" s="0" t="n">
        <v>32</v>
      </c>
      <c r="AU181" s="0" t="n">
        <f aca="false">COUNTA($BA$1055:$EH$1055)</f>
        <v>10</v>
      </c>
      <c r="AV181" s="0" t="n">
        <f aca="false">COUNTIF($BA$1055:$EH$1055,"D")</f>
        <v>0</v>
      </c>
      <c r="AW181" s="0" t="n">
        <f aca="false">COUNTIF($BA$1055:$EH$1055,"R")</f>
        <v>0</v>
      </c>
      <c r="AX181" s="0" t="n">
        <f aca="false"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>0</v>
      </c>
      <c r="AY181" s="0" t="n">
        <f aca="false">COUNTIF(DU181:EH181, "&lt;&gt;")</f>
        <v>0</v>
      </c>
      <c r="AZ181" s="0" t="n">
        <f aca="false">IF(EH181&lt;&gt;"",1,0)</f>
        <v>0</v>
      </c>
      <c r="BB181" s="0" t="s">
        <v>153</v>
      </c>
    </row>
    <row r="182" customFormat="false" ht="13.8" hidden="true" customHeight="false" outlineLevel="0" collapsed="false">
      <c r="A182" s="0" t="s">
        <v>1145</v>
      </c>
      <c r="B182" s="0" t="n">
        <v>78</v>
      </c>
      <c r="C182" s="0" t="n">
        <v>473672</v>
      </c>
      <c r="D182" s="0" t="s">
        <v>1011</v>
      </c>
      <c r="E182" s="0" t="s">
        <v>1146</v>
      </c>
      <c r="F182" s="0" t="str">
        <f aca="false">CONCATENATE(D182," ",LEFT(H182,4),"T=",AU182,"D=",AV182,"R=",AW182,"M=",AX182,"L=",AY182,"B=",AZ182)</f>
        <v>DAVIS T=10D=1R=0M=0L=1B=0</v>
      </c>
      <c r="G182" s="0" t="s">
        <v>1147</v>
      </c>
      <c r="I182" s="0" t="s">
        <v>1148</v>
      </c>
      <c r="J182" s="0" t="s">
        <v>1149</v>
      </c>
      <c r="K182" s="0" t="s">
        <v>175</v>
      </c>
      <c r="L182" s="0"/>
      <c r="M182" s="0" t="s">
        <v>1150</v>
      </c>
      <c r="N182" s="0" t="str">
        <f aca="false">RIGHT(M182,LEN(M182)-FIND(" ",M182))</f>
        <v>BELMONT AVE NE</v>
      </c>
      <c r="P182" s="0" t="s">
        <v>146</v>
      </c>
      <c r="Q182" s="0" t="s">
        <v>147</v>
      </c>
      <c r="R182" s="0" t="n">
        <v>44483</v>
      </c>
      <c r="AD182" s="0" t="s">
        <v>148</v>
      </c>
      <c r="AE182" s="0" t="s">
        <v>149</v>
      </c>
      <c r="AF182" s="0" t="s">
        <v>150</v>
      </c>
      <c r="AH182" s="0" t="n">
        <v>14</v>
      </c>
      <c r="AI182" s="0" t="n">
        <v>11</v>
      </c>
      <c r="AN182" s="0" t="s">
        <v>146</v>
      </c>
      <c r="AO182" s="0" t="s">
        <v>236</v>
      </c>
      <c r="AP182" s="0" t="s">
        <v>237</v>
      </c>
      <c r="AQ182" s="0" t="n">
        <v>9</v>
      </c>
      <c r="AR182" s="0" t="n">
        <v>64</v>
      </c>
      <c r="AS182" s="0" t="n">
        <v>32</v>
      </c>
      <c r="AU182" s="0" t="n">
        <f aca="false">COUNTA($BA$199:$EH$199)</f>
        <v>10</v>
      </c>
      <c r="AV182" s="0" t="n">
        <f aca="false">COUNTIF($BA$199:$EH$199,"D")</f>
        <v>1</v>
      </c>
      <c r="AW182" s="0" t="n">
        <f aca="false">COUNTIF($BA$199:$EH$199,"R")</f>
        <v>0</v>
      </c>
      <c r="AX182" s="0" t="n">
        <f aca="false"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>0</v>
      </c>
      <c r="AY182" s="0" t="n">
        <f aca="false">COUNTIF(DU182:EH182, "&lt;&gt;")</f>
        <v>1</v>
      </c>
      <c r="AZ182" s="0" t="n">
        <f aca="false">IF(EH182&lt;&gt;"",1,0)</f>
        <v>0</v>
      </c>
      <c r="BB182" s="0" t="s">
        <v>153</v>
      </c>
      <c r="EF182" s="0" t="s">
        <v>154</v>
      </c>
    </row>
    <row r="183" customFormat="false" ht="13.8" hidden="true" customHeight="false" outlineLevel="0" collapsed="false">
      <c r="A183" s="0" t="s">
        <v>1151</v>
      </c>
      <c r="B183" s="0" t="n">
        <v>78</v>
      </c>
      <c r="C183" s="0" t="n">
        <v>486599</v>
      </c>
      <c r="D183" s="0" t="s">
        <v>1152</v>
      </c>
      <c r="E183" s="0" t="s">
        <v>1153</v>
      </c>
      <c r="F183" s="0" t="str">
        <f aca="false">CONCATENATE(D183," ",LEFT(H183,4),"T=",AU183,"D=",AV183,"R=",AW183,"M=",AX183,"L=",AY183,"B=",AZ183)</f>
        <v>SHAVER T=1D=0R=0M=0L=0B=0</v>
      </c>
      <c r="G183" s="0" t="s">
        <v>750</v>
      </c>
      <c r="I183" s="0" t="s">
        <v>1154</v>
      </c>
      <c r="J183" s="0" t="s">
        <v>1155</v>
      </c>
      <c r="K183" s="0" t="s">
        <v>175</v>
      </c>
      <c r="L183" s="0"/>
      <c r="M183" s="0" t="s">
        <v>1150</v>
      </c>
      <c r="N183" s="0" t="str">
        <f aca="false">RIGHT(M183,LEN(M183)-FIND(" ",M183))</f>
        <v>BELMONT AVE NE</v>
      </c>
      <c r="P183" s="0" t="s">
        <v>146</v>
      </c>
      <c r="Q183" s="0" t="s">
        <v>147</v>
      </c>
      <c r="R183" s="0" t="n">
        <v>44483</v>
      </c>
      <c r="AD183" s="0" t="s">
        <v>148</v>
      </c>
      <c r="AE183" s="0" t="s">
        <v>149</v>
      </c>
      <c r="AF183" s="0" t="s">
        <v>150</v>
      </c>
      <c r="AH183" s="0" t="n">
        <v>14</v>
      </c>
      <c r="AI183" s="0" t="n">
        <v>11</v>
      </c>
      <c r="AN183" s="0" t="s">
        <v>146</v>
      </c>
      <c r="AO183" s="0" t="s">
        <v>236</v>
      </c>
      <c r="AP183" s="0" t="s">
        <v>237</v>
      </c>
      <c r="AQ183" s="0" t="n">
        <v>9</v>
      </c>
      <c r="AR183" s="0" t="n">
        <v>64</v>
      </c>
      <c r="AS183" s="0" t="n">
        <v>32</v>
      </c>
      <c r="AU183" s="0" t="n">
        <f aca="false">COUNTA($BA$355:$EH$355)</f>
        <v>1</v>
      </c>
      <c r="AV183" s="0" t="n">
        <f aca="false">COUNTIF($BA$355:$EH$355,"D")</f>
        <v>0</v>
      </c>
      <c r="AW183" s="0" t="n">
        <f aca="false">COUNTIF($BA$355:$EH$355,"R")</f>
        <v>0</v>
      </c>
      <c r="AX183" s="0" t="n">
        <f aca="false"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>0</v>
      </c>
      <c r="AY183" s="0" t="n">
        <f aca="false">COUNTIF(DU183:EH183, "&lt;&gt;")</f>
        <v>0</v>
      </c>
      <c r="AZ183" s="0" t="n">
        <f aca="false">IF(EH183&lt;&gt;"",1,0)</f>
        <v>0</v>
      </c>
      <c r="BB183" s="0" t="s">
        <v>153</v>
      </c>
      <c r="CY183" s="0" t="s">
        <v>154</v>
      </c>
    </row>
    <row r="184" customFormat="false" ht="13.8" hidden="true" customHeight="false" outlineLevel="0" collapsed="false">
      <c r="A184" s="0" t="s">
        <v>1156</v>
      </c>
      <c r="B184" s="0" t="n">
        <v>78</v>
      </c>
      <c r="C184" s="0" t="n">
        <v>382434</v>
      </c>
      <c r="D184" s="0" t="s">
        <v>1011</v>
      </c>
      <c r="E184" s="0" t="s">
        <v>1157</v>
      </c>
      <c r="F184" s="0" t="str">
        <f aca="false">CONCATENATE(D184," ",LEFT(H184,4),"T=",AU184,"D=",AV184,"R=",AW184,"M=",AX184,"L=",AY184,"B=",AZ184)</f>
        <v>DAVIS T=5D=1R=0M=0L=1B=0</v>
      </c>
      <c r="G184" s="0" t="s">
        <v>172</v>
      </c>
      <c r="I184" s="0" t="s">
        <v>1158</v>
      </c>
      <c r="J184" s="0" t="s">
        <v>1159</v>
      </c>
      <c r="K184" s="0" t="s">
        <v>175</v>
      </c>
      <c r="L184" s="0"/>
      <c r="M184" s="0" t="s">
        <v>1150</v>
      </c>
      <c r="N184" s="0" t="str">
        <f aca="false">RIGHT(M184,LEN(M184)-FIND(" ",M184))</f>
        <v>BELMONT AVE NE</v>
      </c>
      <c r="P184" s="0" t="s">
        <v>146</v>
      </c>
      <c r="Q184" s="0" t="s">
        <v>147</v>
      </c>
      <c r="R184" s="0" t="n">
        <v>44483</v>
      </c>
      <c r="AD184" s="0" t="s">
        <v>148</v>
      </c>
      <c r="AE184" s="0" t="s">
        <v>149</v>
      </c>
      <c r="AF184" s="0" t="s">
        <v>150</v>
      </c>
      <c r="AH184" s="0" t="n">
        <v>14</v>
      </c>
      <c r="AI184" s="0" t="n">
        <v>11</v>
      </c>
      <c r="AN184" s="0" t="s">
        <v>146</v>
      </c>
      <c r="AO184" s="0" t="s">
        <v>236</v>
      </c>
      <c r="AP184" s="0" t="s">
        <v>237</v>
      </c>
      <c r="AQ184" s="0" t="n">
        <v>9</v>
      </c>
      <c r="AR184" s="0" t="n">
        <v>64</v>
      </c>
      <c r="AS184" s="0" t="n">
        <v>32</v>
      </c>
      <c r="AU184" s="0" t="n">
        <f aca="false">COUNTA($BA$591:$EH$591)</f>
        <v>5</v>
      </c>
      <c r="AV184" s="0" t="n">
        <f aca="false">COUNTIF($BA$591:$EH$591,"D")</f>
        <v>1</v>
      </c>
      <c r="AW184" s="0" t="n">
        <f aca="false">COUNTIF($BA$591:$EH$591,"R")</f>
        <v>0</v>
      </c>
      <c r="AX184" s="0" t="n">
        <f aca="false"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>0</v>
      </c>
      <c r="AY184" s="0" t="n">
        <f aca="false">COUNTIF(DU184:EH184, "&lt;&gt;")</f>
        <v>1</v>
      </c>
      <c r="AZ184" s="0" t="n">
        <f aca="false">IF(EH184&lt;&gt;"",1,0)</f>
        <v>0</v>
      </c>
      <c r="BB184" s="0" t="s">
        <v>153</v>
      </c>
      <c r="BL184" s="0" t="s">
        <v>154</v>
      </c>
      <c r="CA184" s="0" t="s">
        <v>154</v>
      </c>
      <c r="CP184" s="0" t="s">
        <v>154</v>
      </c>
      <c r="CY184" s="0" t="s">
        <v>154</v>
      </c>
      <c r="DN184" s="0" t="s">
        <v>154</v>
      </c>
      <c r="EF184" s="0" t="s">
        <v>154</v>
      </c>
    </row>
    <row r="185" customFormat="false" ht="13.8" hidden="true" customHeight="false" outlineLevel="0" collapsed="false">
      <c r="A185" s="0" t="s">
        <v>1160</v>
      </c>
      <c r="B185" s="0" t="n">
        <v>78</v>
      </c>
      <c r="C185" s="0" t="n">
        <v>490906</v>
      </c>
      <c r="D185" s="0" t="s">
        <v>1161</v>
      </c>
      <c r="E185" s="0" t="s">
        <v>1162</v>
      </c>
      <c r="F185" s="0" t="str">
        <f aca="false">CONCATENATE(D185," ",LEFT(H185,4),"T=",AU185,"D=",AV185,"R=",AW185,"M=",AX185,"L=",AY185,"B=",AZ185)</f>
        <v>HUBBARD T=8D=0R=1M=0L=0B=0</v>
      </c>
      <c r="G185" s="0" t="s">
        <v>422</v>
      </c>
      <c r="I185" s="0" t="s">
        <v>1163</v>
      </c>
      <c r="J185" s="0" t="s">
        <v>1164</v>
      </c>
      <c r="K185" s="0" t="s">
        <v>175</v>
      </c>
      <c r="L185" s="0"/>
      <c r="M185" s="0" t="s">
        <v>1165</v>
      </c>
      <c r="N185" s="0" t="str">
        <f aca="false">RIGHT(M185,LEN(M185)-FIND(" ",M185))</f>
        <v>BELMONT AVE NE</v>
      </c>
      <c r="P185" s="0" t="s">
        <v>146</v>
      </c>
      <c r="Q185" s="0" t="s">
        <v>147</v>
      </c>
      <c r="R185" s="0" t="n">
        <v>44483</v>
      </c>
      <c r="AD185" s="0" t="s">
        <v>148</v>
      </c>
      <c r="AE185" s="0" t="s">
        <v>149</v>
      </c>
      <c r="AF185" s="0" t="s">
        <v>150</v>
      </c>
      <c r="AH185" s="0" t="n">
        <v>14</v>
      </c>
      <c r="AI185" s="0" t="n">
        <v>11</v>
      </c>
      <c r="AN185" s="0" t="s">
        <v>146</v>
      </c>
      <c r="AO185" s="0" t="s">
        <v>236</v>
      </c>
      <c r="AP185" s="0" t="s">
        <v>237</v>
      </c>
      <c r="AQ185" s="0" t="n">
        <v>9</v>
      </c>
      <c r="AR185" s="0" t="n">
        <v>64</v>
      </c>
      <c r="AS185" s="0" t="n">
        <v>32</v>
      </c>
      <c r="AU185" s="0" t="n">
        <f aca="false">COUNTA($BA$149:$EH$149)</f>
        <v>8</v>
      </c>
      <c r="AV185" s="0" t="n">
        <f aca="false">COUNTIF($BA$149:$EH$149,"D")</f>
        <v>0</v>
      </c>
      <c r="AW185" s="0" t="n">
        <f aca="false">COUNTIF($BA$149:$EH$149,"R")</f>
        <v>1</v>
      </c>
      <c r="AX185" s="0" t="n">
        <f aca="false"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>0</v>
      </c>
      <c r="AY185" s="0" t="n">
        <f aca="false">COUNTIF(DU185:EH185, "&lt;&gt;")</f>
        <v>0</v>
      </c>
      <c r="AZ185" s="0" t="n">
        <f aca="false">IF(EH185&lt;&gt;"",1,0)</f>
        <v>0</v>
      </c>
      <c r="BB185" s="0" t="s">
        <v>153</v>
      </c>
    </row>
    <row r="186" customFormat="false" ht="13.8" hidden="true" customHeight="false" outlineLevel="0" collapsed="false">
      <c r="A186" s="0" t="s">
        <v>1166</v>
      </c>
      <c r="B186" s="0" t="n">
        <v>78</v>
      </c>
      <c r="C186" s="0" t="n">
        <v>490907</v>
      </c>
      <c r="D186" s="0" t="s">
        <v>1161</v>
      </c>
      <c r="E186" s="0" t="s">
        <v>165</v>
      </c>
      <c r="F186" s="0" t="str">
        <f aca="false">CONCATENATE(D186," ",LEFT(H186,4),"T=",AU186,"D=",AV186,"R=",AW186,"M=",AX186,"L=",AY186,"B=",AZ186)</f>
        <v>HUBBARD T=1D=0R=0M=0L=1B=0</v>
      </c>
      <c r="I186" s="0" t="s">
        <v>1167</v>
      </c>
      <c r="J186" s="0" t="s">
        <v>1164</v>
      </c>
      <c r="K186" s="0" t="s">
        <v>175</v>
      </c>
      <c r="L186" s="0"/>
      <c r="M186" s="0" t="s">
        <v>1165</v>
      </c>
      <c r="N186" s="0" t="str">
        <f aca="false">RIGHT(M186,LEN(M186)-FIND(" ",M186))</f>
        <v>BELMONT AVE NE</v>
      </c>
      <c r="P186" s="0" t="s">
        <v>146</v>
      </c>
      <c r="Q186" s="0" t="s">
        <v>147</v>
      </c>
      <c r="R186" s="0" t="n">
        <v>44483</v>
      </c>
      <c r="AD186" s="0" t="s">
        <v>148</v>
      </c>
      <c r="AE186" s="0" t="s">
        <v>149</v>
      </c>
      <c r="AF186" s="0" t="s">
        <v>150</v>
      </c>
      <c r="AH186" s="0" t="n">
        <v>14</v>
      </c>
      <c r="AI186" s="0" t="n">
        <v>11</v>
      </c>
      <c r="AN186" s="0" t="s">
        <v>146</v>
      </c>
      <c r="AO186" s="0" t="s">
        <v>236</v>
      </c>
      <c r="AP186" s="0" t="s">
        <v>237</v>
      </c>
      <c r="AQ186" s="0" t="n">
        <v>9</v>
      </c>
      <c r="AR186" s="0" t="n">
        <v>64</v>
      </c>
      <c r="AS186" s="0" t="n">
        <v>32</v>
      </c>
      <c r="AU186" s="0" t="n">
        <f aca="false">COUNTA($BA$159:$EH$159)</f>
        <v>1</v>
      </c>
      <c r="AV186" s="0" t="n">
        <f aca="false">COUNTIF($BA$159:$EH$159,"D")</f>
        <v>0</v>
      </c>
      <c r="AW186" s="0" t="n">
        <f aca="false">COUNTIF($BA$159:$EH$159,"R")</f>
        <v>0</v>
      </c>
      <c r="AX186" s="0" t="n">
        <f aca="false"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>0</v>
      </c>
      <c r="AY186" s="0" t="n">
        <f aca="false">COUNTIF(DU186:EH186, "&lt;&gt;")</f>
        <v>1</v>
      </c>
      <c r="AZ186" s="0" t="n">
        <f aca="false">IF(EH186&lt;&gt;"",1,0)</f>
        <v>0</v>
      </c>
      <c r="BB186" s="0" t="s">
        <v>153</v>
      </c>
      <c r="EF186" s="0" t="s">
        <v>154</v>
      </c>
    </row>
    <row r="187" customFormat="false" ht="13.8" hidden="false" customHeight="false" outlineLevel="0" collapsed="false">
      <c r="A187" s="0" t="s">
        <v>1168</v>
      </c>
      <c r="B187" s="0" t="n">
        <v>78</v>
      </c>
      <c r="C187" s="0" t="n">
        <v>360895</v>
      </c>
      <c r="D187" s="0" t="s">
        <v>1161</v>
      </c>
      <c r="E187" s="0" t="s">
        <v>1169</v>
      </c>
      <c r="F187" s="0" t="str">
        <f aca="false">CONCATENATE(D187," ",LEFT(H187,4),"T=",AU187,"D=",AV187,"R=",AW187,"M=",AX187,"L=",AY187,"B=",AZ187)</f>
        <v>HUBBARD T=8D=0R=0M=0L=2B=0</v>
      </c>
      <c r="G187" s="0" t="s">
        <v>188</v>
      </c>
      <c r="I187" s="0" t="s">
        <v>1170</v>
      </c>
      <c r="J187" s="0" t="s">
        <v>1171</v>
      </c>
      <c r="K187" s="0" t="s">
        <v>175</v>
      </c>
      <c r="M187" s="0" t="s">
        <v>1165</v>
      </c>
      <c r="N187" s="0" t="str">
        <f aca="false">RIGHT(M187,LEN(M187)-FIND(" ",M187))</f>
        <v>BELMONT AVE NE</v>
      </c>
      <c r="P187" s="0" t="s">
        <v>146</v>
      </c>
      <c r="Q187" s="0" t="s">
        <v>147</v>
      </c>
      <c r="R187" s="0" t="n">
        <v>44483</v>
      </c>
      <c r="AD187" s="0" t="s">
        <v>148</v>
      </c>
      <c r="AE187" s="0" t="s">
        <v>149</v>
      </c>
      <c r="AF187" s="0" t="s">
        <v>150</v>
      </c>
      <c r="AH187" s="0" t="n">
        <v>14</v>
      </c>
      <c r="AI187" s="0" t="n">
        <v>11</v>
      </c>
      <c r="AN187" s="0" t="s">
        <v>146</v>
      </c>
      <c r="AO187" s="0" t="s">
        <v>236</v>
      </c>
      <c r="AP187" s="0" t="s">
        <v>237</v>
      </c>
      <c r="AQ187" s="0" t="n">
        <v>9</v>
      </c>
      <c r="AR187" s="0" t="n">
        <v>64</v>
      </c>
      <c r="AS187" s="0" t="n">
        <v>32</v>
      </c>
      <c r="AU187" s="0" t="n">
        <f aca="false">COUNTA($BA$579:$EH$579)</f>
        <v>8</v>
      </c>
      <c r="AV187" s="0" t="n">
        <f aca="false">COUNTIF($BA$579:$EH$579,"D")</f>
        <v>0</v>
      </c>
      <c r="AW187" s="0" t="n">
        <f aca="false">COUNTIF($BA$579:$EH$579,"R")</f>
        <v>0</v>
      </c>
      <c r="AX187" s="0" t="n">
        <f aca="false"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>0</v>
      </c>
      <c r="AY187" s="0" t="n">
        <f aca="false">COUNTIF(DU187:EH187, "&lt;&gt;")</f>
        <v>2</v>
      </c>
      <c r="AZ187" s="0" t="n">
        <f aca="false">IF(EH187&lt;&gt;"",1,0)</f>
        <v>0</v>
      </c>
      <c r="BB187" s="0" t="s">
        <v>153</v>
      </c>
      <c r="CA187" s="0" t="s">
        <v>154</v>
      </c>
      <c r="CK187" s="0" t="s">
        <v>154</v>
      </c>
      <c r="CP187" s="0" t="s">
        <v>154</v>
      </c>
      <c r="DI187" s="0" t="s">
        <v>154</v>
      </c>
      <c r="DL187" s="0" t="s">
        <v>154</v>
      </c>
      <c r="DN187" s="0" t="s">
        <v>154</v>
      </c>
      <c r="DU187" s="0" t="s">
        <v>154</v>
      </c>
      <c r="EF187" s="0" t="s">
        <v>154</v>
      </c>
    </row>
    <row r="188" customFormat="false" ht="13.8" hidden="false" customHeight="false" outlineLevel="0" collapsed="false">
      <c r="A188" s="0" t="s">
        <v>1172</v>
      </c>
      <c r="B188" s="0" t="n">
        <v>78</v>
      </c>
      <c r="C188" s="0" t="n">
        <v>337715</v>
      </c>
      <c r="D188" s="0" t="s">
        <v>1173</v>
      </c>
      <c r="E188" s="0" t="s">
        <v>1174</v>
      </c>
      <c r="F188" s="0" t="str">
        <f aca="false">CONCATENATE(D188," ",LEFT(H188,4),"T=",AU188,"D=",AV188,"R=",AW188,"M=",AX188,"L=",AY188,"B=",AZ188)</f>
        <v>JACKSON IIIT=26D=7R=0M=1L=5B=0</v>
      </c>
      <c r="G188" s="0" t="s">
        <v>172</v>
      </c>
      <c r="H188" s="0" t="s">
        <v>1175</v>
      </c>
      <c r="I188" s="0" t="s">
        <v>1176</v>
      </c>
      <c r="J188" s="0" t="s">
        <v>395</v>
      </c>
      <c r="K188" s="0" t="s">
        <v>175</v>
      </c>
      <c r="L188" s="1" t="s">
        <v>155</v>
      </c>
      <c r="M188" s="0" t="s">
        <v>1177</v>
      </c>
      <c r="N188" s="0" t="str">
        <f aca="false">RIGHT(M188,LEN(M188)-FIND(" ",M188))</f>
        <v>BELMONT AVE NE</v>
      </c>
      <c r="P188" s="0" t="s">
        <v>146</v>
      </c>
      <c r="Q188" s="0" t="s">
        <v>147</v>
      </c>
      <c r="R188" s="0" t="n">
        <v>44483</v>
      </c>
      <c r="AD188" s="0" t="s">
        <v>148</v>
      </c>
      <c r="AE188" s="0" t="s">
        <v>149</v>
      </c>
      <c r="AF188" s="0" t="s">
        <v>150</v>
      </c>
      <c r="AH188" s="0" t="n">
        <v>14</v>
      </c>
      <c r="AI188" s="0" t="n">
        <v>11</v>
      </c>
      <c r="AN188" s="0" t="s">
        <v>146</v>
      </c>
      <c r="AO188" s="0" t="s">
        <v>236</v>
      </c>
      <c r="AP188" s="0" t="s">
        <v>237</v>
      </c>
      <c r="AQ188" s="0" t="n">
        <v>9</v>
      </c>
      <c r="AR188" s="0" t="n">
        <v>64</v>
      </c>
      <c r="AS188" s="0" t="n">
        <v>32</v>
      </c>
      <c r="AU188" s="0" t="n">
        <f aca="false">COUNTA($BA$346:$EH$346)</f>
        <v>26</v>
      </c>
      <c r="AV188" s="0" t="n">
        <f aca="false">COUNTIF($BA$346:$EH$346,"D")</f>
        <v>7</v>
      </c>
      <c r="AW188" s="0" t="n">
        <f aca="false">COUNTIF($BA$346:$EH$346,"R")</f>
        <v>0</v>
      </c>
      <c r="AX188" s="0" t="n">
        <f aca="false"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>1</v>
      </c>
      <c r="AY188" s="0" t="n">
        <f aca="false">COUNTIF(DU188:EH188, "&lt;&gt;")</f>
        <v>5</v>
      </c>
      <c r="AZ188" s="0" t="n">
        <f aca="false">IF(EH188&lt;&gt;"",1,0)</f>
        <v>0</v>
      </c>
      <c r="BB188" s="0" t="s">
        <v>153</v>
      </c>
      <c r="BL188" s="0" t="s">
        <v>154</v>
      </c>
      <c r="BY188" s="0" t="s">
        <v>155</v>
      </c>
      <c r="CK188" s="0" t="s">
        <v>154</v>
      </c>
      <c r="CP188" s="0" t="s">
        <v>154</v>
      </c>
      <c r="CV188" s="0" t="s">
        <v>154</v>
      </c>
      <c r="CY188" s="0" t="s">
        <v>154</v>
      </c>
      <c r="CZ188" s="0" t="s">
        <v>155</v>
      </c>
      <c r="DC188" s="0" t="s">
        <v>154</v>
      </c>
      <c r="DI188" s="0" t="s">
        <v>154</v>
      </c>
      <c r="DM188" s="0" t="s">
        <v>155</v>
      </c>
      <c r="DN188" s="0" t="s">
        <v>154</v>
      </c>
      <c r="DS188" s="0" t="s">
        <v>155</v>
      </c>
      <c r="DU188" s="0" t="s">
        <v>154</v>
      </c>
      <c r="DW188" s="0" t="s">
        <v>155</v>
      </c>
      <c r="DX188" s="0" t="s">
        <v>154</v>
      </c>
      <c r="EA188" s="0" t="s">
        <v>154</v>
      </c>
      <c r="EF188" s="0" t="s">
        <v>154</v>
      </c>
    </row>
    <row r="189" customFormat="false" ht="13.8" hidden="false" customHeight="false" outlineLevel="0" collapsed="false">
      <c r="A189" s="0" t="s">
        <v>1178</v>
      </c>
      <c r="B189" s="0" t="n">
        <v>78</v>
      </c>
      <c r="C189" s="0" t="n">
        <v>320509</v>
      </c>
      <c r="D189" s="0" t="s">
        <v>1173</v>
      </c>
      <c r="E189" s="0" t="s">
        <v>1179</v>
      </c>
      <c r="F189" s="0" t="str">
        <f aca="false">CONCATENATE(D189," ",LEFT(H189,4),"T=",AU189,"D=",AV189,"R=",AW189,"M=",AX189,"L=",AY189,"B=",AZ189)</f>
        <v>JACKSON T=21D=3R=0M=1L=4B=0</v>
      </c>
      <c r="G189" s="0" t="s">
        <v>1180</v>
      </c>
      <c r="I189" s="0" t="s">
        <v>1181</v>
      </c>
      <c r="J189" s="0" t="s">
        <v>1182</v>
      </c>
      <c r="K189" s="0" t="s">
        <v>175</v>
      </c>
      <c r="L189" s="1" t="s">
        <v>155</v>
      </c>
      <c r="M189" s="0" t="s">
        <v>1177</v>
      </c>
      <c r="N189" s="0" t="str">
        <f aca="false">RIGHT(M189,LEN(M189)-FIND(" ",M189))</f>
        <v>BELMONT AVE NE</v>
      </c>
      <c r="P189" s="0" t="s">
        <v>146</v>
      </c>
      <c r="Q189" s="0" t="s">
        <v>147</v>
      </c>
      <c r="R189" s="0" t="n">
        <v>44483</v>
      </c>
      <c r="AD189" s="0" t="s">
        <v>148</v>
      </c>
      <c r="AE189" s="0" t="s">
        <v>149</v>
      </c>
      <c r="AF189" s="0" t="s">
        <v>150</v>
      </c>
      <c r="AH189" s="0" t="n">
        <v>14</v>
      </c>
      <c r="AI189" s="0" t="n">
        <v>11</v>
      </c>
      <c r="AN189" s="0" t="s">
        <v>146</v>
      </c>
      <c r="AO189" s="0" t="s">
        <v>236</v>
      </c>
      <c r="AP189" s="0" t="s">
        <v>237</v>
      </c>
      <c r="AQ189" s="0" t="n">
        <v>9</v>
      </c>
      <c r="AR189" s="0" t="n">
        <v>64</v>
      </c>
      <c r="AS189" s="0" t="n">
        <v>32</v>
      </c>
      <c r="AU189" s="0" t="n">
        <f aca="false">COUNTA($BA$633:$EH$633)</f>
        <v>21</v>
      </c>
      <c r="AV189" s="0" t="n">
        <f aca="false">COUNTIF($BA$633:$EH$633,"D")</f>
        <v>3</v>
      </c>
      <c r="AW189" s="0" t="n">
        <f aca="false">COUNTIF($BA$633:$EH$633,"R")</f>
        <v>0</v>
      </c>
      <c r="AX189" s="0" t="n">
        <f aca="false"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>1</v>
      </c>
      <c r="AY189" s="0" t="n">
        <f aca="false">COUNTIF(DU189:EH189, "&lt;&gt;")</f>
        <v>4</v>
      </c>
      <c r="AZ189" s="0" t="n">
        <f aca="false">IF(EH189&lt;&gt;"",1,0)</f>
        <v>0</v>
      </c>
      <c r="BB189" s="0" t="s">
        <v>153</v>
      </c>
      <c r="BK189" s="0" t="s">
        <v>154</v>
      </c>
      <c r="BL189" s="0" t="s">
        <v>154</v>
      </c>
      <c r="CA189" s="0" t="s">
        <v>154</v>
      </c>
      <c r="CP189" s="0" t="s">
        <v>154</v>
      </c>
      <c r="CV189" s="0" t="s">
        <v>154</v>
      </c>
      <c r="CY189" s="0" t="s">
        <v>154</v>
      </c>
      <c r="DC189" s="0" t="s">
        <v>154</v>
      </c>
      <c r="DI189" s="0" t="s">
        <v>154</v>
      </c>
      <c r="DM189" s="0" t="s">
        <v>155</v>
      </c>
      <c r="DN189" s="0" t="s">
        <v>154</v>
      </c>
      <c r="DU189" s="0" t="s">
        <v>154</v>
      </c>
      <c r="DW189" s="0" t="s">
        <v>155</v>
      </c>
      <c r="EA189" s="0" t="s">
        <v>154</v>
      </c>
      <c r="EF189" s="0" t="s">
        <v>154</v>
      </c>
    </row>
    <row r="190" customFormat="false" ht="13.8" hidden="false" customHeight="false" outlineLevel="0" collapsed="false">
      <c r="A190" s="0" t="s">
        <v>1183</v>
      </c>
      <c r="B190" s="0" t="n">
        <v>78</v>
      </c>
      <c r="C190" s="0" t="n">
        <v>289432</v>
      </c>
      <c r="D190" s="0" t="s">
        <v>1184</v>
      </c>
      <c r="E190" s="0" t="s">
        <v>1185</v>
      </c>
      <c r="F190" s="0" t="str">
        <f aca="false">CONCATENATE(D190," ",LEFT(H190,4),"T=",AU190,"D=",AV190,"R=",AW190,"M=",AX190,"L=",AY190,"B=",AZ190)</f>
        <v>PATTERSON T=3D=0R=0M=2L=5B=1</v>
      </c>
      <c r="G190" s="0" t="s">
        <v>563</v>
      </c>
      <c r="I190" s="0" t="s">
        <v>1186</v>
      </c>
      <c r="J190" s="0" t="s">
        <v>1187</v>
      </c>
      <c r="K190" s="0" t="s">
        <v>175</v>
      </c>
      <c r="L190" s="1" t="s">
        <v>155</v>
      </c>
      <c r="M190" s="0" t="s">
        <v>1188</v>
      </c>
      <c r="N190" s="0" t="str">
        <f aca="false">RIGHT(M190,LEN(M190)-FIND(" ",M190))</f>
        <v>BELMONT AVE NE</v>
      </c>
      <c r="P190" s="0" t="s">
        <v>146</v>
      </c>
      <c r="Q190" s="0" t="s">
        <v>147</v>
      </c>
      <c r="R190" s="0" t="n">
        <v>44483</v>
      </c>
      <c r="AD190" s="0" t="s">
        <v>148</v>
      </c>
      <c r="AE190" s="0" t="s">
        <v>149</v>
      </c>
      <c r="AF190" s="0" t="s">
        <v>150</v>
      </c>
      <c r="AH190" s="0" t="n">
        <v>14</v>
      </c>
      <c r="AI190" s="0" t="n">
        <v>11</v>
      </c>
      <c r="AN190" s="0" t="s">
        <v>146</v>
      </c>
      <c r="AO190" s="0" t="s">
        <v>236</v>
      </c>
      <c r="AP190" s="0" t="s">
        <v>237</v>
      </c>
      <c r="AQ190" s="0" t="n">
        <v>9</v>
      </c>
      <c r="AR190" s="0" t="n">
        <v>64</v>
      </c>
      <c r="AS190" s="0" t="n">
        <v>32</v>
      </c>
      <c r="AU190" s="0" t="n">
        <f aca="false">COUNTA($BA$148:$EH$148)</f>
        <v>3</v>
      </c>
      <c r="AV190" s="0" t="n">
        <f aca="false">COUNTIF($BA$148:$EH$148,"D")</f>
        <v>0</v>
      </c>
      <c r="AW190" s="0" t="n">
        <f aca="false">COUNTIF($BA$148:$EH$148,"R")</f>
        <v>0</v>
      </c>
      <c r="AX190" s="0" t="n">
        <f aca="false"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>2</v>
      </c>
      <c r="AY190" s="0" t="n">
        <f aca="false">COUNTIF(DU190:EH190, "&lt;&gt;")</f>
        <v>5</v>
      </c>
      <c r="AZ190" s="0" t="n">
        <f aca="false">IF(EH190&lt;&gt;"",1,0)</f>
        <v>1</v>
      </c>
      <c r="BB190" s="0" t="s">
        <v>153</v>
      </c>
      <c r="BL190" s="0" t="s">
        <v>154</v>
      </c>
      <c r="BS190" s="0" t="s">
        <v>154</v>
      </c>
      <c r="BV190" s="0" t="s">
        <v>154</v>
      </c>
      <c r="BY190" s="0" t="s">
        <v>155</v>
      </c>
      <c r="CA190" s="0" t="s">
        <v>154</v>
      </c>
      <c r="CK190" s="0" t="s">
        <v>154</v>
      </c>
      <c r="CN190" s="0" t="s">
        <v>154</v>
      </c>
      <c r="CP190" s="0" t="s">
        <v>154</v>
      </c>
      <c r="CV190" s="0" t="s">
        <v>154</v>
      </c>
      <c r="CW190" s="0" t="s">
        <v>155</v>
      </c>
      <c r="CY190" s="0" t="s">
        <v>154</v>
      </c>
      <c r="CZ190" s="0" t="s">
        <v>155</v>
      </c>
      <c r="DC190" s="0" t="s">
        <v>154</v>
      </c>
      <c r="DF190" s="0" t="s">
        <v>154</v>
      </c>
      <c r="DI190" s="0" t="s">
        <v>154</v>
      </c>
      <c r="DL190" s="0" t="s">
        <v>154</v>
      </c>
      <c r="DN190" s="0" t="s">
        <v>154</v>
      </c>
      <c r="DU190" s="0" t="s">
        <v>154</v>
      </c>
      <c r="DX190" s="0" t="s">
        <v>154</v>
      </c>
      <c r="EA190" s="0" t="s">
        <v>154</v>
      </c>
      <c r="EF190" s="0" t="s">
        <v>154</v>
      </c>
      <c r="EH190" s="0" t="s">
        <v>155</v>
      </c>
    </row>
    <row r="191" customFormat="false" ht="13.8" hidden="false" customHeight="false" outlineLevel="0" collapsed="false">
      <c r="A191" s="0" t="s">
        <v>1189</v>
      </c>
      <c r="B191" s="0" t="n">
        <v>78</v>
      </c>
      <c r="C191" s="0" t="n">
        <v>358135</v>
      </c>
      <c r="D191" s="0" t="s">
        <v>856</v>
      </c>
      <c r="E191" s="0" t="s">
        <v>364</v>
      </c>
      <c r="F191" s="0" t="str">
        <f aca="false">CONCATENATE(D191," ",LEFT(H191,4),"T=",AU191,"D=",AV191,"R=",AW191,"M=",AX191,"L=",AY191,"B=",AZ191)</f>
        <v>JONES T=25D=7R=0M=1L=2B=0</v>
      </c>
      <c r="G191" s="0" t="s">
        <v>365</v>
      </c>
      <c r="I191" s="0" t="s">
        <v>1190</v>
      </c>
      <c r="J191" s="0" t="s">
        <v>1191</v>
      </c>
      <c r="K191" s="0" t="s">
        <v>175</v>
      </c>
      <c r="M191" s="0" t="s">
        <v>1192</v>
      </c>
      <c r="N191" s="0" t="str">
        <f aca="false">RIGHT(M191,LEN(M191)-FIND(" ",M191))</f>
        <v>BELMONT AVE NE</v>
      </c>
      <c r="P191" s="0" t="s">
        <v>146</v>
      </c>
      <c r="Q191" s="0" t="s">
        <v>147</v>
      </c>
      <c r="R191" s="0" t="n">
        <v>44483</v>
      </c>
      <c r="AD191" s="0" t="s">
        <v>148</v>
      </c>
      <c r="AE191" s="0" t="s">
        <v>149</v>
      </c>
      <c r="AF191" s="0" t="s">
        <v>150</v>
      </c>
      <c r="AH191" s="0" t="n">
        <v>14</v>
      </c>
      <c r="AI191" s="0" t="n">
        <v>11</v>
      </c>
      <c r="AN191" s="0" t="s">
        <v>146</v>
      </c>
      <c r="AO191" s="0" t="s">
        <v>236</v>
      </c>
      <c r="AP191" s="0" t="s">
        <v>237</v>
      </c>
      <c r="AQ191" s="0" t="n">
        <v>9</v>
      </c>
      <c r="AR191" s="0" t="n">
        <v>64</v>
      </c>
      <c r="AS191" s="0" t="n">
        <v>32</v>
      </c>
      <c r="AU191" s="0" t="n">
        <f aca="false">COUNTA($BA$577:$EH$577)</f>
        <v>25</v>
      </c>
      <c r="AV191" s="0" t="n">
        <f aca="false">COUNTIF($BA$577:$EH$577,"D")</f>
        <v>7</v>
      </c>
      <c r="AW191" s="0" t="n">
        <f aca="false">COUNTIF($BA$577:$EH$577,"R")</f>
        <v>0</v>
      </c>
      <c r="AX191" s="0" t="n">
        <f aca="false"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>1</v>
      </c>
      <c r="AY191" s="0" t="n">
        <f aca="false">COUNTIF(DU191:EH191, "&lt;&gt;")</f>
        <v>2</v>
      </c>
      <c r="AZ191" s="0" t="n">
        <f aca="false">IF(EH191&lt;&gt;"",1,0)</f>
        <v>0</v>
      </c>
      <c r="BB191" s="0" t="s">
        <v>153</v>
      </c>
      <c r="CA191" s="0" t="s">
        <v>154</v>
      </c>
      <c r="CP191" s="0" t="s">
        <v>154</v>
      </c>
      <c r="CU191" s="0" t="s">
        <v>155</v>
      </c>
      <c r="CV191" s="0" t="s">
        <v>154</v>
      </c>
      <c r="CW191" s="0" t="s">
        <v>155</v>
      </c>
      <c r="CY191" s="0" t="s">
        <v>154</v>
      </c>
      <c r="CZ191" s="0" t="s">
        <v>155</v>
      </c>
      <c r="DI191" s="0" t="s">
        <v>154</v>
      </c>
      <c r="DN191" s="0" t="s">
        <v>154</v>
      </c>
      <c r="EA191" s="0" t="s">
        <v>154</v>
      </c>
      <c r="EF191" s="0" t="s">
        <v>154</v>
      </c>
    </row>
    <row r="192" customFormat="false" ht="13.8" hidden="true" customHeight="false" outlineLevel="0" collapsed="false">
      <c r="A192" s="0" t="s">
        <v>1193</v>
      </c>
      <c r="B192" s="0" t="n">
        <v>78</v>
      </c>
      <c r="C192" s="0" t="n">
        <v>409201</v>
      </c>
      <c r="D192" s="0" t="s">
        <v>856</v>
      </c>
      <c r="E192" s="0" t="s">
        <v>1194</v>
      </c>
      <c r="F192" s="0" t="str">
        <f aca="false">CONCATENATE(D192," ",LEFT(H192,4),"T=",AU192,"D=",AV192,"R=",AW192,"M=",AX192,"L=",AY192,"B=",AZ192)</f>
        <v>JONES T=3D=0R=0M=0L=0B=0</v>
      </c>
      <c r="G192" s="0" t="s">
        <v>297</v>
      </c>
      <c r="I192" s="0" t="s">
        <v>1195</v>
      </c>
      <c r="J192" s="0" t="s">
        <v>1196</v>
      </c>
      <c r="K192" s="0" t="s">
        <v>144</v>
      </c>
      <c r="L192" s="0"/>
      <c r="M192" s="0" t="s">
        <v>1192</v>
      </c>
      <c r="N192" s="0" t="str">
        <f aca="false">RIGHT(M192,LEN(M192)-FIND(" ",M192))</f>
        <v>BELMONT AVE NE</v>
      </c>
      <c r="P192" s="0" t="s">
        <v>146</v>
      </c>
      <c r="Q192" s="0" t="s">
        <v>147</v>
      </c>
      <c r="R192" s="0" t="n">
        <v>44483</v>
      </c>
      <c r="AD192" s="0" t="s">
        <v>148</v>
      </c>
      <c r="AE192" s="0" t="s">
        <v>149</v>
      </c>
      <c r="AF192" s="0" t="s">
        <v>150</v>
      </c>
      <c r="AH192" s="0" t="n">
        <v>14</v>
      </c>
      <c r="AI192" s="0" t="n">
        <v>11</v>
      </c>
      <c r="AN192" s="0" t="s">
        <v>146</v>
      </c>
      <c r="AO192" s="0" t="s">
        <v>236</v>
      </c>
      <c r="AP192" s="0" t="s">
        <v>237</v>
      </c>
      <c r="AQ192" s="0" t="n">
        <v>9</v>
      </c>
      <c r="AR192" s="0" t="n">
        <v>64</v>
      </c>
      <c r="AS192" s="0" t="n">
        <v>32</v>
      </c>
      <c r="AU192" s="0" t="n">
        <f aca="false">COUNTA($BA$821:$EH$821)</f>
        <v>3</v>
      </c>
      <c r="AV192" s="0" t="n">
        <f aca="false">COUNTIF($BA$821:$EH$821,"D")</f>
        <v>0</v>
      </c>
      <c r="AW192" s="0" t="n">
        <f aca="false">COUNTIF($BA$821:$EH$821,"R")</f>
        <v>0</v>
      </c>
      <c r="AX192" s="0" t="n">
        <f aca="false"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>0</v>
      </c>
      <c r="AY192" s="0" t="n">
        <f aca="false">COUNTIF(DU192:EH192, "&lt;&gt;")</f>
        <v>0</v>
      </c>
      <c r="AZ192" s="0" t="n">
        <f aca="false">IF(EH192&lt;&gt;"",1,0)</f>
        <v>0</v>
      </c>
      <c r="BB192" s="0" t="s">
        <v>153</v>
      </c>
    </row>
    <row r="193" customFormat="false" ht="13.8" hidden="true" customHeight="false" outlineLevel="0" collapsed="false">
      <c r="A193" s="0" t="s">
        <v>1197</v>
      </c>
      <c r="B193" s="0" t="n">
        <v>78</v>
      </c>
      <c r="C193" s="0" t="n">
        <v>406277</v>
      </c>
      <c r="D193" s="0" t="s">
        <v>1198</v>
      </c>
      <c r="E193" s="0" t="s">
        <v>1199</v>
      </c>
      <c r="F193" s="0" t="str">
        <f aca="false">CONCATENATE(D193," ",LEFT(H193,4),"T=",AU193,"D=",AV193,"R=",AW193,"M=",AX193,"L=",AY193,"B=",AZ193)</f>
        <v>FOLTZ T=3D=0R=0M=0L=0B=0</v>
      </c>
      <c r="G193" s="0" t="s">
        <v>241</v>
      </c>
      <c r="I193" s="0" t="s">
        <v>1200</v>
      </c>
      <c r="J193" s="0" t="s">
        <v>1201</v>
      </c>
      <c r="K193" s="0" t="s">
        <v>144</v>
      </c>
      <c r="L193" s="0"/>
      <c r="M193" s="0" t="s">
        <v>1202</v>
      </c>
      <c r="N193" s="0" t="str">
        <f aca="false">RIGHT(M193,LEN(M193)-FIND(" ",M193))</f>
        <v>BELMONT AVE NE</v>
      </c>
      <c r="O193" s="0" t="s">
        <v>420</v>
      </c>
      <c r="P193" s="0" t="s">
        <v>146</v>
      </c>
      <c r="Q193" s="0" t="s">
        <v>147</v>
      </c>
      <c r="R193" s="0" t="n">
        <v>44483</v>
      </c>
      <c r="AD193" s="0" t="s">
        <v>148</v>
      </c>
      <c r="AE193" s="0" t="s">
        <v>149</v>
      </c>
      <c r="AF193" s="0" t="s">
        <v>150</v>
      </c>
      <c r="AH193" s="0" t="n">
        <v>14</v>
      </c>
      <c r="AI193" s="0" t="n">
        <v>11</v>
      </c>
      <c r="AN193" s="0" t="s">
        <v>146</v>
      </c>
      <c r="AO193" s="0" t="s">
        <v>236</v>
      </c>
      <c r="AP193" s="0" t="s">
        <v>237</v>
      </c>
      <c r="AQ193" s="0" t="n">
        <v>9</v>
      </c>
      <c r="AR193" s="0" t="n">
        <v>64</v>
      </c>
      <c r="AS193" s="0" t="n">
        <v>32</v>
      </c>
      <c r="AU193" s="0" t="n">
        <f aca="false">COUNTA($BA$960:$EH$960)</f>
        <v>3</v>
      </c>
      <c r="AV193" s="0" t="n">
        <f aca="false">COUNTIF($BA$960:$EH$960,"D")</f>
        <v>0</v>
      </c>
      <c r="AW193" s="0" t="n">
        <f aca="false">COUNTIF($BA$960:$EH$960,"R")</f>
        <v>0</v>
      </c>
      <c r="AX193" s="0" t="n">
        <f aca="false"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>0</v>
      </c>
      <c r="AY193" s="0" t="n">
        <f aca="false">COUNTIF(DU193:EH193, "&lt;&gt;")</f>
        <v>0</v>
      </c>
      <c r="AZ193" s="0" t="n">
        <f aca="false">IF(EH193&lt;&gt;"",1,0)</f>
        <v>0</v>
      </c>
      <c r="BB193" s="0" t="s">
        <v>153</v>
      </c>
    </row>
    <row r="194" customFormat="false" ht="13.8" hidden="false" customHeight="false" outlineLevel="0" collapsed="false">
      <c r="A194" s="0" t="s">
        <v>1203</v>
      </c>
      <c r="B194" s="0" t="n">
        <v>78</v>
      </c>
      <c r="C194" s="0" t="n">
        <v>283302</v>
      </c>
      <c r="D194" s="0" t="s">
        <v>1204</v>
      </c>
      <c r="E194" s="0" t="s">
        <v>1205</v>
      </c>
      <c r="F194" s="0" t="str">
        <f aca="false">CONCATENATE(D194," ",LEFT(H194,4),"T=",AU194,"D=",AV194,"R=",AW194,"M=",AX194,"L=",AY194,"B=",AZ194)</f>
        <v>BANISH T=8D=0R=0M=0L=4B=0</v>
      </c>
      <c r="G194" s="0" t="s">
        <v>241</v>
      </c>
      <c r="I194" s="0" t="s">
        <v>1206</v>
      </c>
      <c r="J194" s="0" t="s">
        <v>575</v>
      </c>
      <c r="K194" s="0" t="s">
        <v>175</v>
      </c>
      <c r="M194" s="0" t="s">
        <v>1207</v>
      </c>
      <c r="N194" s="0" t="str">
        <f aca="false">RIGHT(M194,LEN(M194)-FIND(" ",M194))</f>
        <v>BELMONT AVE NE</v>
      </c>
      <c r="P194" s="0" t="s">
        <v>146</v>
      </c>
      <c r="Q194" s="0" t="s">
        <v>147</v>
      </c>
      <c r="R194" s="0" t="n">
        <v>44483</v>
      </c>
      <c r="AD194" s="0" t="s">
        <v>148</v>
      </c>
      <c r="AE194" s="0" t="s">
        <v>149</v>
      </c>
      <c r="AF194" s="0" t="s">
        <v>150</v>
      </c>
      <c r="AH194" s="0" t="n">
        <v>14</v>
      </c>
      <c r="AI194" s="0" t="n">
        <v>11</v>
      </c>
      <c r="AN194" s="0" t="s">
        <v>146</v>
      </c>
      <c r="AO194" s="0" t="s">
        <v>236</v>
      </c>
      <c r="AP194" s="0" t="s">
        <v>237</v>
      </c>
      <c r="AQ194" s="0" t="n">
        <v>9</v>
      </c>
      <c r="AR194" s="0" t="n">
        <v>64</v>
      </c>
      <c r="AS194" s="0" t="n">
        <v>32</v>
      </c>
      <c r="AU194" s="0" t="n">
        <f aca="false">COUNTA($BA$93:$EH$93)</f>
        <v>8</v>
      </c>
      <c r="AV194" s="0" t="n">
        <f aca="false">COUNTIF($BA$93:$EH$93,"D")</f>
        <v>0</v>
      </c>
      <c r="AW194" s="0" t="n">
        <f aca="false">COUNTIF($BA$93:$EH$93,"R")</f>
        <v>0</v>
      </c>
      <c r="AX194" s="0" t="n">
        <f aca="false"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>0</v>
      </c>
      <c r="AY194" s="0" t="n">
        <f aca="false">COUNTIF(DU194:EH194, "&lt;&gt;")</f>
        <v>4</v>
      </c>
      <c r="AZ194" s="0" t="n">
        <f aca="false">IF(EH194&lt;&gt;"",1,0)</f>
        <v>0</v>
      </c>
      <c r="BB194" s="0" t="s">
        <v>153</v>
      </c>
      <c r="BD194" s="0" t="s">
        <v>154</v>
      </c>
      <c r="BL194" s="0" t="s">
        <v>154</v>
      </c>
      <c r="BP194" s="0" t="s">
        <v>154</v>
      </c>
      <c r="BS194" s="0" t="s">
        <v>154</v>
      </c>
      <c r="BY194" s="0" t="s">
        <v>155</v>
      </c>
      <c r="CA194" s="0" t="s">
        <v>154</v>
      </c>
      <c r="CG194" s="0" t="s">
        <v>154</v>
      </c>
      <c r="CK194" s="0" t="s">
        <v>154</v>
      </c>
      <c r="CP194" s="0" t="s">
        <v>154</v>
      </c>
      <c r="CZ194" s="0" t="s">
        <v>176</v>
      </c>
      <c r="DC194" s="0" t="s">
        <v>154</v>
      </c>
      <c r="DI194" s="0" t="s">
        <v>154</v>
      </c>
      <c r="DN194" s="0" t="s">
        <v>154</v>
      </c>
      <c r="DU194" s="0" t="s">
        <v>154</v>
      </c>
      <c r="DX194" s="0" t="s">
        <v>154</v>
      </c>
      <c r="EA194" s="0" t="s">
        <v>154</v>
      </c>
      <c r="EF194" s="0" t="s">
        <v>154</v>
      </c>
    </row>
    <row r="195" customFormat="false" ht="13.8" hidden="true" customHeight="false" outlineLevel="0" collapsed="false">
      <c r="A195" s="0" t="s">
        <v>1208</v>
      </c>
      <c r="B195" s="0" t="n">
        <v>78</v>
      </c>
      <c r="C195" s="0" t="n">
        <v>457574</v>
      </c>
      <c r="D195" s="0" t="s">
        <v>1209</v>
      </c>
      <c r="E195" s="0" t="s">
        <v>1210</v>
      </c>
      <c r="F195" s="0" t="str">
        <f aca="false">CONCATENATE(D195," ",LEFT(H195,4),"T=",AU195,"D=",AV195,"R=",AW195,"M=",AX195,"L=",AY195,"B=",AZ195)</f>
        <v>SWEASY T=7D=1R=0M=0L=0B=0</v>
      </c>
      <c r="G195" s="0" t="s">
        <v>1211</v>
      </c>
      <c r="I195" s="0" t="s">
        <v>1212</v>
      </c>
      <c r="J195" s="0" t="s">
        <v>1213</v>
      </c>
      <c r="K195" s="0" t="s">
        <v>144</v>
      </c>
      <c r="L195" s="0"/>
      <c r="M195" s="0" t="s">
        <v>1207</v>
      </c>
      <c r="N195" s="0" t="str">
        <f aca="false">RIGHT(M195,LEN(M195)-FIND(" ",M195))</f>
        <v>BELMONT AVE NE</v>
      </c>
      <c r="P195" s="0" t="s">
        <v>146</v>
      </c>
      <c r="Q195" s="0" t="s">
        <v>147</v>
      </c>
      <c r="R195" s="0" t="n">
        <v>44483</v>
      </c>
      <c r="AD195" s="0" t="s">
        <v>148</v>
      </c>
      <c r="AE195" s="0" t="s">
        <v>149</v>
      </c>
      <c r="AF195" s="0" t="s">
        <v>150</v>
      </c>
      <c r="AH195" s="0" t="n">
        <v>14</v>
      </c>
      <c r="AI195" s="0" t="n">
        <v>11</v>
      </c>
      <c r="AN195" s="0" t="s">
        <v>146</v>
      </c>
      <c r="AO195" s="0" t="s">
        <v>236</v>
      </c>
      <c r="AP195" s="0" t="s">
        <v>237</v>
      </c>
      <c r="AQ195" s="0" t="n">
        <v>9</v>
      </c>
      <c r="AR195" s="0" t="n">
        <v>64</v>
      </c>
      <c r="AS195" s="0" t="n">
        <v>32</v>
      </c>
      <c r="AU195" s="0" t="n">
        <f aca="false">COUNTA($BA$288:$EH$288)</f>
        <v>7</v>
      </c>
      <c r="AV195" s="0" t="n">
        <f aca="false">COUNTIF($BA$288:$EH$288,"D")</f>
        <v>1</v>
      </c>
      <c r="AW195" s="0" t="n">
        <f aca="false">COUNTIF($BA$288:$EH$288,"R")</f>
        <v>0</v>
      </c>
      <c r="AX195" s="0" t="n">
        <f aca="false"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>0</v>
      </c>
      <c r="AY195" s="0" t="n">
        <f aca="false">COUNTIF(DU195:EH195, "&lt;&gt;")</f>
        <v>0</v>
      </c>
      <c r="AZ195" s="0" t="n">
        <f aca="false">IF(EH195&lt;&gt;"",1,0)</f>
        <v>0</v>
      </c>
      <c r="BB195" s="0" t="s">
        <v>153</v>
      </c>
    </row>
    <row r="196" customFormat="false" ht="13.8" hidden="true" customHeight="false" outlineLevel="0" collapsed="false">
      <c r="A196" s="0" t="s">
        <v>1214</v>
      </c>
      <c r="B196" s="0" t="n">
        <v>78</v>
      </c>
      <c r="C196" s="0" t="n">
        <v>478015</v>
      </c>
      <c r="D196" s="0" t="s">
        <v>1152</v>
      </c>
      <c r="E196" s="0" t="s">
        <v>1215</v>
      </c>
      <c r="F196" s="0" t="str">
        <f aca="false">CONCATENATE(D196," ",LEFT(H196,4),"T=",AU196,"D=",AV196,"R=",AW196,"M=",AX196,"L=",AY196,"B=",AZ196)</f>
        <v>SHAVER T=1D=0R=0M=0L=0B=0</v>
      </c>
      <c r="G196" s="0" t="s">
        <v>474</v>
      </c>
      <c r="I196" s="0" t="s">
        <v>1216</v>
      </c>
      <c r="J196" s="0" t="s">
        <v>1217</v>
      </c>
      <c r="K196" s="0" t="s">
        <v>175</v>
      </c>
      <c r="L196" s="0"/>
      <c r="M196" s="0" t="s">
        <v>1218</v>
      </c>
      <c r="N196" s="0" t="str">
        <f aca="false">RIGHT(M196,LEN(M196)-FIND(" ",M196))</f>
        <v>BELMONT AVE NE</v>
      </c>
      <c r="P196" s="0" t="s">
        <v>146</v>
      </c>
      <c r="Q196" s="0" t="s">
        <v>147</v>
      </c>
      <c r="R196" s="0" t="n">
        <v>44483</v>
      </c>
      <c r="AD196" s="0" t="s">
        <v>148</v>
      </c>
      <c r="AE196" s="0" t="s">
        <v>149</v>
      </c>
      <c r="AF196" s="0" t="s">
        <v>150</v>
      </c>
      <c r="AH196" s="0" t="n">
        <v>14</v>
      </c>
      <c r="AI196" s="0" t="n">
        <v>11</v>
      </c>
      <c r="AN196" s="0" t="s">
        <v>146</v>
      </c>
      <c r="AO196" s="0" t="s">
        <v>236</v>
      </c>
      <c r="AP196" s="0" t="s">
        <v>237</v>
      </c>
      <c r="AQ196" s="0" t="n">
        <v>9</v>
      </c>
      <c r="AR196" s="0" t="n">
        <v>64</v>
      </c>
      <c r="AS196" s="0" t="n">
        <v>32</v>
      </c>
      <c r="AU196" s="0" t="n">
        <f aca="false">COUNTA($BA$904:$EH$904)</f>
        <v>1</v>
      </c>
      <c r="AV196" s="0" t="n">
        <f aca="false">COUNTIF($BA$904:$EH$904,"D")</f>
        <v>0</v>
      </c>
      <c r="AW196" s="0" t="n">
        <f aca="false">COUNTIF($BA$904:$EH$904,"R")</f>
        <v>0</v>
      </c>
      <c r="AX196" s="0" t="n">
        <f aca="false"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>0</v>
      </c>
      <c r="AY196" s="0" t="n">
        <f aca="false">COUNTIF(DU196:EH196, "&lt;&gt;")</f>
        <v>0</v>
      </c>
      <c r="AZ196" s="0" t="n">
        <f aca="false">IF(EH196&lt;&gt;"",1,0)</f>
        <v>0</v>
      </c>
      <c r="BB196" s="0" t="s">
        <v>153</v>
      </c>
    </row>
    <row r="197" customFormat="false" ht="13.8" hidden="false" customHeight="false" outlineLevel="0" collapsed="false">
      <c r="A197" s="0" t="s">
        <v>1219</v>
      </c>
      <c r="B197" s="0" t="n">
        <v>78</v>
      </c>
      <c r="C197" s="0" t="n">
        <v>489202</v>
      </c>
      <c r="D197" s="0" t="s">
        <v>1220</v>
      </c>
      <c r="E197" s="0" t="s">
        <v>335</v>
      </c>
      <c r="F197" s="0" t="str">
        <f aca="false">CONCATENATE(D197," ",LEFT(H197,4),"T=",AU197,"D=",AV197,"R=",AW197,"M=",AX197,"L=",AY197,"B=",AZ197)</f>
        <v>MCDANIEL T=1D=0R=0M=0L=2B=0</v>
      </c>
      <c r="G197" s="0" t="s">
        <v>1221</v>
      </c>
      <c r="I197" s="0" t="s">
        <v>1222</v>
      </c>
      <c r="J197" s="0" t="s">
        <v>642</v>
      </c>
      <c r="K197" s="0" t="s">
        <v>175</v>
      </c>
      <c r="M197" s="0" t="s">
        <v>1223</v>
      </c>
      <c r="N197" s="0" t="str">
        <f aca="false">RIGHT(M197,LEN(M197)-FIND(" ",M197))</f>
        <v>BELMONT AVE NE</v>
      </c>
      <c r="P197" s="0" t="s">
        <v>146</v>
      </c>
      <c r="Q197" s="0" t="s">
        <v>147</v>
      </c>
      <c r="R197" s="0" t="n">
        <v>44483</v>
      </c>
      <c r="AD197" s="0" t="s">
        <v>148</v>
      </c>
      <c r="AE197" s="0" t="s">
        <v>149</v>
      </c>
      <c r="AF197" s="0" t="s">
        <v>150</v>
      </c>
      <c r="AH197" s="0" t="n">
        <v>14</v>
      </c>
      <c r="AI197" s="0" t="n">
        <v>11</v>
      </c>
      <c r="AN197" s="0" t="s">
        <v>146</v>
      </c>
      <c r="AO197" s="0" t="s">
        <v>236</v>
      </c>
      <c r="AP197" s="0" t="s">
        <v>237</v>
      </c>
      <c r="AQ197" s="0" t="n">
        <v>9</v>
      </c>
      <c r="AR197" s="0" t="n">
        <v>64</v>
      </c>
      <c r="AS197" s="0" t="n">
        <v>32</v>
      </c>
      <c r="AU197" s="0" t="n">
        <f aca="false">COUNTA($BA$289:$EH$289)</f>
        <v>1</v>
      </c>
      <c r="AV197" s="0" t="n">
        <f aca="false">COUNTIF($BA$289:$EH$289,"D")</f>
        <v>0</v>
      </c>
      <c r="AW197" s="0" t="n">
        <f aca="false">COUNTIF($BA$289:$EH$289,"R")</f>
        <v>0</v>
      </c>
      <c r="AX197" s="0" t="n">
        <f aca="false"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>0</v>
      </c>
      <c r="AY197" s="0" t="n">
        <f aca="false">COUNTIF(DU197:EH197, "&lt;&gt;")</f>
        <v>2</v>
      </c>
      <c r="AZ197" s="0" t="n">
        <f aca="false">IF(EH197&lt;&gt;"",1,0)</f>
        <v>0</v>
      </c>
      <c r="BB197" s="0" t="s">
        <v>153</v>
      </c>
      <c r="DN197" s="0" t="s">
        <v>154</v>
      </c>
      <c r="DR197" s="0" t="s">
        <v>154</v>
      </c>
      <c r="DU197" s="0" t="s">
        <v>154</v>
      </c>
      <c r="EF197" s="0" t="s">
        <v>154</v>
      </c>
    </row>
    <row r="198" customFormat="false" ht="13.8" hidden="false" customHeight="false" outlineLevel="0" collapsed="false">
      <c r="A198" s="0" t="s">
        <v>1224</v>
      </c>
      <c r="B198" s="0" t="n">
        <v>78</v>
      </c>
      <c r="C198" s="0" t="n">
        <v>221056</v>
      </c>
      <c r="D198" s="0" t="s">
        <v>1225</v>
      </c>
      <c r="E198" s="0" t="s">
        <v>1226</v>
      </c>
      <c r="F198" s="0" t="str">
        <f aca="false">CONCATENATE(D198," ",LEFT(H198,4),"T=",AU198,"D=",AV198,"R=",AW198,"M=",AX198,"L=",AY198,"B=",AZ198)</f>
        <v>STEC IVT=1D=0R=0M=3L=5B=0</v>
      </c>
      <c r="G198" s="0" t="s">
        <v>188</v>
      </c>
      <c r="H198" s="0" t="s">
        <v>1227</v>
      </c>
      <c r="I198" s="0" t="s">
        <v>1228</v>
      </c>
      <c r="J198" s="0" t="s">
        <v>395</v>
      </c>
      <c r="K198" s="0" t="s">
        <v>175</v>
      </c>
      <c r="L198" s="1" t="s">
        <v>155</v>
      </c>
      <c r="M198" s="0" t="s">
        <v>1229</v>
      </c>
      <c r="N198" s="0" t="str">
        <f aca="false">RIGHT(M198,LEN(M198)-FIND(" ",M198))</f>
        <v>BELMONT AVE NE</v>
      </c>
      <c r="P198" s="0" t="s">
        <v>146</v>
      </c>
      <c r="Q198" s="0" t="s">
        <v>147</v>
      </c>
      <c r="R198" s="0" t="n">
        <v>44483</v>
      </c>
      <c r="AD198" s="0" t="s">
        <v>148</v>
      </c>
      <c r="AE198" s="0" t="s">
        <v>149</v>
      </c>
      <c r="AF198" s="0" t="s">
        <v>150</v>
      </c>
      <c r="AH198" s="0" t="n">
        <v>14</v>
      </c>
      <c r="AI198" s="0" t="n">
        <v>11</v>
      </c>
      <c r="AN198" s="0" t="s">
        <v>146</v>
      </c>
      <c r="AO198" s="0" t="s">
        <v>236</v>
      </c>
      <c r="AP198" s="0" t="s">
        <v>237</v>
      </c>
      <c r="AQ198" s="0" t="n">
        <v>9</v>
      </c>
      <c r="AR198" s="0" t="n">
        <v>64</v>
      </c>
      <c r="AS198" s="0" t="n">
        <v>32</v>
      </c>
      <c r="AU198" s="0" t="n">
        <f aca="false">COUNTA($BA$596:$EH$596)</f>
        <v>1</v>
      </c>
      <c r="AV198" s="0" t="n">
        <f aca="false">COUNTIF($BA$596:$EH$596,"D")</f>
        <v>0</v>
      </c>
      <c r="AW198" s="0" t="n">
        <f aca="false">COUNTIF($BA$596:$EH$596,"R")</f>
        <v>0</v>
      </c>
      <c r="AX198" s="0" t="n">
        <f aca="false"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>3</v>
      </c>
      <c r="AY198" s="0" t="n">
        <f aca="false">COUNTIF(DU198:EH198, "&lt;&gt;")</f>
        <v>5</v>
      </c>
      <c r="AZ198" s="0" t="n">
        <f aca="false">IF(EH198&lt;&gt;"",1,0)</f>
        <v>0</v>
      </c>
      <c r="BB198" s="0" t="s">
        <v>153</v>
      </c>
      <c r="BC198" s="0" t="s">
        <v>154</v>
      </c>
      <c r="BD198" s="0" t="s">
        <v>154</v>
      </c>
      <c r="BF198" s="0" t="s">
        <v>154</v>
      </c>
      <c r="BG198" s="0" t="s">
        <v>154</v>
      </c>
      <c r="BH198" s="0" t="s">
        <v>154</v>
      </c>
      <c r="BI198" s="0" t="s">
        <v>154</v>
      </c>
      <c r="BJ198" s="0" t="s">
        <v>154</v>
      </c>
      <c r="BK198" s="0" t="s">
        <v>154</v>
      </c>
      <c r="BL198" s="0" t="s">
        <v>154</v>
      </c>
      <c r="BP198" s="0" t="s">
        <v>154</v>
      </c>
      <c r="BV198" s="0" t="s">
        <v>154</v>
      </c>
      <c r="BY198" s="0" t="s">
        <v>155</v>
      </c>
      <c r="CA198" s="0" t="s">
        <v>154</v>
      </c>
      <c r="CC198" s="0" t="s">
        <v>155</v>
      </c>
      <c r="CK198" s="0" t="s">
        <v>154</v>
      </c>
      <c r="CL198" s="0" t="s">
        <v>155</v>
      </c>
      <c r="CO198" s="0" t="s">
        <v>155</v>
      </c>
      <c r="CP198" s="0" t="s">
        <v>154</v>
      </c>
      <c r="CV198" s="0" t="s">
        <v>154</v>
      </c>
      <c r="CZ198" s="0" t="s">
        <v>155</v>
      </c>
      <c r="DC198" s="0" t="s">
        <v>154</v>
      </c>
      <c r="DI198" s="0" t="s">
        <v>154</v>
      </c>
      <c r="DN198" s="0" t="s">
        <v>154</v>
      </c>
      <c r="DO198" s="0" t="s">
        <v>155</v>
      </c>
      <c r="DU198" s="0" t="s">
        <v>154</v>
      </c>
      <c r="DX198" s="0" t="s">
        <v>154</v>
      </c>
      <c r="EA198" s="0" t="s">
        <v>154</v>
      </c>
      <c r="ED198" s="0" t="s">
        <v>155</v>
      </c>
      <c r="EF198" s="0" t="s">
        <v>154</v>
      </c>
    </row>
    <row r="199" customFormat="false" ht="13.8" hidden="true" customHeight="false" outlineLevel="0" collapsed="false">
      <c r="A199" s="0" t="s">
        <v>1230</v>
      </c>
      <c r="B199" s="0" t="n">
        <v>78</v>
      </c>
      <c r="C199" s="0" t="n">
        <v>321067</v>
      </c>
      <c r="D199" s="0" t="s">
        <v>1231</v>
      </c>
      <c r="E199" s="0" t="s">
        <v>1232</v>
      </c>
      <c r="F199" s="0" t="str">
        <f aca="false">CONCATENATE(D199," ",LEFT(H199,4),"T=",AU199,"D=",AV199,"R=",AW199,"M=",AX199,"L=",AY199,"B=",AZ199)</f>
        <v>MCGILL T=4D=0R=0M=0L=1B=0</v>
      </c>
      <c r="G199" s="0" t="s">
        <v>176</v>
      </c>
      <c r="I199" s="0" t="s">
        <v>1233</v>
      </c>
      <c r="J199" s="0" t="s">
        <v>1234</v>
      </c>
      <c r="K199" s="0" t="s">
        <v>175</v>
      </c>
      <c r="L199" s="0"/>
      <c r="M199" s="0" t="s">
        <v>1229</v>
      </c>
      <c r="N199" s="0" t="str">
        <f aca="false">RIGHT(M199,LEN(M199)-FIND(" ",M199))</f>
        <v>BELMONT AVE NE</v>
      </c>
      <c r="P199" s="0" t="s">
        <v>146</v>
      </c>
      <c r="Q199" s="0" t="s">
        <v>147</v>
      </c>
      <c r="R199" s="0" t="n">
        <v>44483</v>
      </c>
      <c r="AD199" s="0" t="s">
        <v>148</v>
      </c>
      <c r="AE199" s="0" t="s">
        <v>149</v>
      </c>
      <c r="AF199" s="0" t="s">
        <v>150</v>
      </c>
      <c r="AH199" s="0" t="n">
        <v>14</v>
      </c>
      <c r="AI199" s="0" t="n">
        <v>11</v>
      </c>
      <c r="AN199" s="0" t="s">
        <v>146</v>
      </c>
      <c r="AO199" s="0" t="s">
        <v>236</v>
      </c>
      <c r="AP199" s="0" t="s">
        <v>237</v>
      </c>
      <c r="AQ199" s="0" t="n">
        <v>9</v>
      </c>
      <c r="AR199" s="0" t="n">
        <v>64</v>
      </c>
      <c r="AS199" s="0" t="n">
        <v>32</v>
      </c>
      <c r="AU199" s="0" t="n">
        <f aca="false">COUNTA($BA$1006:$EH$1006)</f>
        <v>4</v>
      </c>
      <c r="AV199" s="0" t="n">
        <f aca="false">COUNTIF($BA$1006:$EH$1006,"D")</f>
        <v>0</v>
      </c>
      <c r="AW199" s="0" t="n">
        <f aca="false">COUNTIF($BA$1006:$EH$1006,"R")</f>
        <v>0</v>
      </c>
      <c r="AX199" s="0" t="n">
        <f aca="false"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>0</v>
      </c>
      <c r="AY199" s="0" t="n">
        <f aca="false">COUNTIF(DU199:EH199, "&lt;&gt;")</f>
        <v>1</v>
      </c>
      <c r="AZ199" s="0" t="n">
        <f aca="false">IF(EH199&lt;&gt;"",1,0)</f>
        <v>0</v>
      </c>
      <c r="BB199" s="0" t="s">
        <v>153</v>
      </c>
      <c r="BS199" s="0" t="s">
        <v>154</v>
      </c>
      <c r="BY199" s="0" t="s">
        <v>155</v>
      </c>
      <c r="CA199" s="0" t="s">
        <v>154</v>
      </c>
      <c r="CN199" s="0" t="s">
        <v>154</v>
      </c>
      <c r="CP199" s="0" t="s">
        <v>154</v>
      </c>
      <c r="CY199" s="0" t="s">
        <v>154</v>
      </c>
      <c r="DI199" s="0" t="s">
        <v>154</v>
      </c>
      <c r="DN199" s="0" t="s">
        <v>154</v>
      </c>
      <c r="EA199" s="0" t="s">
        <v>154</v>
      </c>
    </row>
    <row r="200" customFormat="false" ht="13.8" hidden="true" customHeight="false" outlineLevel="0" collapsed="false">
      <c r="A200" s="0" t="s">
        <v>1235</v>
      </c>
      <c r="B200" s="0" t="n">
        <v>78</v>
      </c>
      <c r="C200" s="0" t="n">
        <v>433962</v>
      </c>
      <c r="D200" s="0" t="s">
        <v>1236</v>
      </c>
      <c r="E200" s="0" t="s">
        <v>1237</v>
      </c>
      <c r="F200" s="0" t="str">
        <f aca="false">CONCATENATE(D200," ",LEFT(H200,4),"T=",AU200,"D=",AV200,"R=",AW200,"M=",AX200,"L=",AY200,"B=",AZ200)</f>
        <v>TATUM T=6D=0R=0M=0L=0B=0</v>
      </c>
      <c r="G200" s="0" t="s">
        <v>1238</v>
      </c>
      <c r="I200" s="0" t="s">
        <v>1239</v>
      </c>
      <c r="J200" s="0" t="s">
        <v>1240</v>
      </c>
      <c r="K200" s="0" t="s">
        <v>175</v>
      </c>
      <c r="L200" s="0"/>
      <c r="M200" s="0" t="s">
        <v>1241</v>
      </c>
      <c r="N200" s="0" t="str">
        <f aca="false">RIGHT(M200,LEN(M200)-FIND(" ",M200))</f>
        <v>BELMONT AVE NE</v>
      </c>
      <c r="P200" s="0" t="s">
        <v>146</v>
      </c>
      <c r="Q200" s="0" t="s">
        <v>147</v>
      </c>
      <c r="R200" s="0" t="n">
        <v>44483</v>
      </c>
      <c r="AD200" s="0" t="s">
        <v>148</v>
      </c>
      <c r="AE200" s="0" t="s">
        <v>149</v>
      </c>
      <c r="AF200" s="0" t="s">
        <v>150</v>
      </c>
      <c r="AH200" s="0" t="n">
        <v>14</v>
      </c>
      <c r="AI200" s="0" t="n">
        <v>11</v>
      </c>
      <c r="AN200" s="0" t="s">
        <v>146</v>
      </c>
      <c r="AO200" s="0" t="s">
        <v>236</v>
      </c>
      <c r="AP200" s="0" t="s">
        <v>237</v>
      </c>
      <c r="AQ200" s="0" t="n">
        <v>9</v>
      </c>
      <c r="AR200" s="0" t="n">
        <v>64</v>
      </c>
      <c r="AS200" s="0" t="n">
        <v>32</v>
      </c>
      <c r="AU200" s="0" t="n">
        <f aca="false">COUNTA($BA$379:$EH$379)</f>
        <v>6</v>
      </c>
      <c r="AV200" s="0" t="n">
        <f aca="false">COUNTIF($BA$379:$EH$379,"D")</f>
        <v>0</v>
      </c>
      <c r="AW200" s="0" t="n">
        <f aca="false">COUNTIF($BA$379:$EH$379,"R")</f>
        <v>0</v>
      </c>
      <c r="AX200" s="0" t="n">
        <f aca="false"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>0</v>
      </c>
      <c r="AY200" s="0" t="n">
        <f aca="false">COUNTIF(DU200:EH200, "&lt;&gt;")</f>
        <v>0</v>
      </c>
      <c r="AZ200" s="0" t="n">
        <f aca="false">IF(EH200&lt;&gt;"",1,0)</f>
        <v>0</v>
      </c>
      <c r="BB200" s="0" t="s">
        <v>153</v>
      </c>
      <c r="DI200" s="0" t="s">
        <v>154</v>
      </c>
    </row>
    <row r="201" customFormat="false" ht="13.8" hidden="true" customHeight="false" outlineLevel="0" collapsed="false">
      <c r="A201" s="0" t="s">
        <v>1242</v>
      </c>
      <c r="B201" s="0" t="n">
        <v>78</v>
      </c>
      <c r="C201" s="0" t="n">
        <v>438432</v>
      </c>
      <c r="D201" s="0" t="s">
        <v>1243</v>
      </c>
      <c r="E201" s="0" t="s">
        <v>1244</v>
      </c>
      <c r="F201" s="0" t="str">
        <f aca="false">CONCATENATE(D201," ",LEFT(H201,4),"T=",AU201,"D=",AV201,"R=",AW201,"M=",AX201,"L=",AY201,"B=",AZ201)</f>
        <v>MICK T=4D=0R=0M=0L=0B=0</v>
      </c>
      <c r="G201" s="0" t="s">
        <v>1131</v>
      </c>
      <c r="I201" s="0" t="s">
        <v>1245</v>
      </c>
      <c r="J201" s="0" t="s">
        <v>1246</v>
      </c>
      <c r="K201" s="0" t="s">
        <v>144</v>
      </c>
      <c r="L201" s="0"/>
      <c r="M201" s="0" t="s">
        <v>1247</v>
      </c>
      <c r="N201" s="0" t="str">
        <f aca="false">RIGHT(M201,LEN(M201)-FIND(" ",M201))</f>
        <v>BELMONT AVE NE</v>
      </c>
      <c r="P201" s="0" t="s">
        <v>146</v>
      </c>
      <c r="Q201" s="0" t="s">
        <v>147</v>
      </c>
      <c r="R201" s="0" t="n">
        <v>44483</v>
      </c>
      <c r="AD201" s="0" t="s">
        <v>148</v>
      </c>
      <c r="AE201" s="0" t="s">
        <v>149</v>
      </c>
      <c r="AF201" s="0" t="s">
        <v>150</v>
      </c>
      <c r="AH201" s="0" t="n">
        <v>14</v>
      </c>
      <c r="AI201" s="0" t="n">
        <v>11</v>
      </c>
      <c r="AN201" s="0" t="s">
        <v>146</v>
      </c>
      <c r="AO201" s="0" t="s">
        <v>236</v>
      </c>
      <c r="AP201" s="0" t="s">
        <v>237</v>
      </c>
      <c r="AQ201" s="0" t="n">
        <v>9</v>
      </c>
      <c r="AR201" s="0" t="n">
        <v>64</v>
      </c>
      <c r="AS201" s="0" t="n">
        <v>32</v>
      </c>
      <c r="AU201" s="0" t="n">
        <f aca="false">COUNTA($BA$34:$EH$34)</f>
        <v>4</v>
      </c>
      <c r="AV201" s="0" t="n">
        <f aca="false">COUNTIF($BA$34:$EH$34,"D")</f>
        <v>0</v>
      </c>
      <c r="AW201" s="0" t="n">
        <f aca="false">COUNTIF($BA$34:$EH$34,"R")</f>
        <v>0</v>
      </c>
      <c r="AX201" s="0" t="n">
        <f aca="false"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>0</v>
      </c>
      <c r="AY201" s="0" t="n">
        <f aca="false">COUNTIF(DU201:EH201, "&lt;&gt;")</f>
        <v>0</v>
      </c>
      <c r="AZ201" s="0" t="n">
        <f aca="false">IF(EH201&lt;&gt;"",1,0)</f>
        <v>0</v>
      </c>
      <c r="BB201" s="0" t="s">
        <v>153</v>
      </c>
    </row>
    <row r="202" customFormat="false" ht="13.8" hidden="true" customHeight="false" outlineLevel="0" collapsed="false">
      <c r="A202" s="0" t="s">
        <v>1248</v>
      </c>
      <c r="B202" s="0" t="n">
        <v>78</v>
      </c>
      <c r="C202" s="0" t="n">
        <v>322274</v>
      </c>
      <c r="D202" s="0" t="s">
        <v>291</v>
      </c>
      <c r="E202" s="0" t="s">
        <v>1249</v>
      </c>
      <c r="F202" s="0" t="str">
        <f aca="false">CONCATENATE(D202," ",LEFT(H202,4),"T=",AU202,"D=",AV202,"R=",AW202,"M=",AX202,"L=",AY202,"B=",AZ202)</f>
        <v>HARVEY T=34D=7R=5M=0L=0B=0</v>
      </c>
      <c r="G202" s="0" t="s">
        <v>172</v>
      </c>
      <c r="I202" s="0" t="s">
        <v>1250</v>
      </c>
      <c r="J202" s="0" t="s">
        <v>1251</v>
      </c>
      <c r="K202" s="0" t="s">
        <v>144</v>
      </c>
      <c r="L202" s="0"/>
      <c r="M202" s="0" t="s">
        <v>1252</v>
      </c>
      <c r="N202" s="0" t="str">
        <f aca="false">RIGHT(M202,LEN(M202)-FIND(" ",M202))</f>
        <v>BELMONT AVE NE</v>
      </c>
      <c r="P202" s="0" t="s">
        <v>146</v>
      </c>
      <c r="Q202" s="0" t="s">
        <v>147</v>
      </c>
      <c r="R202" s="0" t="n">
        <v>44483</v>
      </c>
      <c r="AD202" s="0" t="s">
        <v>148</v>
      </c>
      <c r="AE202" s="0" t="s">
        <v>149</v>
      </c>
      <c r="AF202" s="0" t="s">
        <v>150</v>
      </c>
      <c r="AH202" s="0" t="n">
        <v>14</v>
      </c>
      <c r="AI202" s="0" t="n">
        <v>11</v>
      </c>
      <c r="AN202" s="0" t="s">
        <v>146</v>
      </c>
      <c r="AO202" s="0" t="s">
        <v>236</v>
      </c>
      <c r="AP202" s="0" t="s">
        <v>237</v>
      </c>
      <c r="AQ202" s="0" t="n">
        <v>9</v>
      </c>
      <c r="AR202" s="0" t="n">
        <v>64</v>
      </c>
      <c r="AS202" s="0" t="n">
        <v>32</v>
      </c>
      <c r="AU202" s="0" t="n">
        <f aca="false">COUNTA($BA$527:$EH$527)</f>
        <v>34</v>
      </c>
      <c r="AV202" s="0" t="n">
        <f aca="false">COUNTIF($BA$527:$EH$527,"D")</f>
        <v>7</v>
      </c>
      <c r="AW202" s="0" t="n">
        <f aca="false">COUNTIF($BA$527:$EH$527,"R")</f>
        <v>5</v>
      </c>
      <c r="AX202" s="0" t="n">
        <f aca="false"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>0</v>
      </c>
      <c r="AY202" s="0" t="n">
        <f aca="false">COUNTIF(DU202:EH202, "&lt;&gt;")</f>
        <v>0</v>
      </c>
      <c r="AZ202" s="0" t="n">
        <f aca="false">IF(EH202&lt;&gt;"",1,0)</f>
        <v>0</v>
      </c>
      <c r="BB202" s="0" t="s">
        <v>153</v>
      </c>
      <c r="CP202" s="0" t="s">
        <v>154</v>
      </c>
      <c r="DC202" s="0" t="s">
        <v>154</v>
      </c>
      <c r="DN202" s="0" t="s">
        <v>154</v>
      </c>
    </row>
    <row r="203" customFormat="false" ht="13.8" hidden="true" customHeight="false" outlineLevel="0" collapsed="false">
      <c r="A203" s="0" t="s">
        <v>1253</v>
      </c>
      <c r="B203" s="0" t="n">
        <v>78</v>
      </c>
      <c r="C203" s="0" t="n">
        <v>415825</v>
      </c>
      <c r="D203" s="0" t="s">
        <v>1254</v>
      </c>
      <c r="E203" s="0" t="s">
        <v>762</v>
      </c>
      <c r="F203" s="0" t="str">
        <f aca="false">CONCATENATE(D203," ",LEFT(H203,4),"T=",AU203,"D=",AV203,"R=",AW203,"M=",AX203,"L=",AY203,"B=",AZ203)</f>
        <v>KURTZ T=13D=1R=1M=0L=0B=0</v>
      </c>
      <c r="G203" s="0" t="s">
        <v>619</v>
      </c>
      <c r="I203" s="0" t="s">
        <v>1255</v>
      </c>
      <c r="J203" s="0" t="s">
        <v>1256</v>
      </c>
      <c r="K203" s="0" t="s">
        <v>144</v>
      </c>
      <c r="L203" s="0"/>
      <c r="M203" s="0" t="s">
        <v>1257</v>
      </c>
      <c r="N203" s="0" t="str">
        <f aca="false">RIGHT(M203,LEN(M203)-FIND(" ",M203))</f>
        <v>BELMONT AVE NE</v>
      </c>
      <c r="P203" s="0" t="s">
        <v>146</v>
      </c>
      <c r="Q203" s="0" t="s">
        <v>147</v>
      </c>
      <c r="R203" s="0" t="n">
        <v>44483</v>
      </c>
      <c r="AD203" s="0" t="s">
        <v>148</v>
      </c>
      <c r="AE203" s="0" t="s">
        <v>149</v>
      </c>
      <c r="AF203" s="0" t="s">
        <v>150</v>
      </c>
      <c r="AH203" s="0" t="n">
        <v>14</v>
      </c>
      <c r="AI203" s="0" t="n">
        <v>11</v>
      </c>
      <c r="AN203" s="0" t="s">
        <v>146</v>
      </c>
      <c r="AO203" s="0" t="s">
        <v>236</v>
      </c>
      <c r="AP203" s="0" t="s">
        <v>237</v>
      </c>
      <c r="AQ203" s="0" t="n">
        <v>9</v>
      </c>
      <c r="AR203" s="0" t="n">
        <v>64</v>
      </c>
      <c r="AS203" s="0" t="n">
        <v>32</v>
      </c>
      <c r="AU203" s="0" t="n">
        <f aca="false">COUNTA($BA$85:$EH$85)</f>
        <v>13</v>
      </c>
      <c r="AV203" s="0" t="n">
        <f aca="false">COUNTIF($BA$85:$EH$85,"D")</f>
        <v>1</v>
      </c>
      <c r="AW203" s="0" t="n">
        <f aca="false">COUNTIF($BA$85:$EH$85,"R")</f>
        <v>1</v>
      </c>
      <c r="AX203" s="0" t="n">
        <f aca="false"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>0</v>
      </c>
      <c r="AY203" s="0" t="n">
        <f aca="false">COUNTIF(DU203:EH203, "&lt;&gt;")</f>
        <v>0</v>
      </c>
      <c r="AZ203" s="0" t="n">
        <f aca="false">IF(EH203&lt;&gt;"",1,0)</f>
        <v>0</v>
      </c>
      <c r="BB203" s="0" t="s">
        <v>153</v>
      </c>
      <c r="DC203" s="0" t="s">
        <v>154</v>
      </c>
      <c r="DN203" s="0" t="s">
        <v>154</v>
      </c>
    </row>
    <row r="204" customFormat="false" ht="13.8" hidden="false" customHeight="false" outlineLevel="0" collapsed="false">
      <c r="A204" s="0" t="s">
        <v>1258</v>
      </c>
      <c r="B204" s="0" t="n">
        <v>78</v>
      </c>
      <c r="C204" s="0" t="n">
        <v>212606</v>
      </c>
      <c r="D204" s="0" t="s">
        <v>1254</v>
      </c>
      <c r="E204" s="0" t="s">
        <v>1259</v>
      </c>
      <c r="F204" s="0" t="str">
        <f aca="false">CONCATENATE(D204," ",LEFT(H204,4),"T=",AU204,"D=",AV204,"R=",AW204,"M=",AX204,"L=",AY204,"B=",AZ204)</f>
        <v>KURTZ T=3D=0R=0M=0L=3B=0</v>
      </c>
      <c r="G204" s="0" t="s">
        <v>365</v>
      </c>
      <c r="I204" s="0" t="s">
        <v>1260</v>
      </c>
      <c r="J204" s="0" t="s">
        <v>1261</v>
      </c>
      <c r="K204" s="0" t="s">
        <v>175</v>
      </c>
      <c r="M204" s="0" t="s">
        <v>1257</v>
      </c>
      <c r="N204" s="0" t="str">
        <f aca="false">RIGHT(M204,LEN(M204)-FIND(" ",M204))</f>
        <v>BELMONT AVE NE</v>
      </c>
      <c r="P204" s="0" t="s">
        <v>146</v>
      </c>
      <c r="Q204" s="0" t="s">
        <v>147</v>
      </c>
      <c r="R204" s="0" t="n">
        <v>44483</v>
      </c>
      <c r="AD204" s="0" t="s">
        <v>148</v>
      </c>
      <c r="AE204" s="0" t="s">
        <v>149</v>
      </c>
      <c r="AF204" s="0" t="s">
        <v>150</v>
      </c>
      <c r="AH204" s="0" t="n">
        <v>14</v>
      </c>
      <c r="AI204" s="0" t="n">
        <v>11</v>
      </c>
      <c r="AN204" s="0" t="s">
        <v>146</v>
      </c>
      <c r="AO204" s="0" t="s">
        <v>236</v>
      </c>
      <c r="AP204" s="0" t="s">
        <v>237</v>
      </c>
      <c r="AQ204" s="0" t="n">
        <v>9</v>
      </c>
      <c r="AR204" s="0" t="n">
        <v>64</v>
      </c>
      <c r="AS204" s="0" t="n">
        <v>32</v>
      </c>
      <c r="AU204" s="0" t="n">
        <f aca="false">COUNTA($BA$598:$EH$598)</f>
        <v>3</v>
      </c>
      <c r="AV204" s="0" t="n">
        <f aca="false">COUNTIF($BA$598:$EH$598,"D")</f>
        <v>0</v>
      </c>
      <c r="AW204" s="0" t="n">
        <f aca="false">COUNTIF($BA$598:$EH$598,"R")</f>
        <v>0</v>
      </c>
      <c r="AX204" s="0" t="n">
        <f aca="false"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>0</v>
      </c>
      <c r="AY204" s="0" t="n">
        <f aca="false">COUNTIF(DU204:EH204, "&lt;&gt;")</f>
        <v>3</v>
      </c>
      <c r="AZ204" s="0" t="n">
        <f aca="false">IF(EH204&lt;&gt;"",1,0)</f>
        <v>0</v>
      </c>
      <c r="BB204" s="0" t="s">
        <v>153</v>
      </c>
      <c r="BC204" s="0" t="s">
        <v>154</v>
      </c>
      <c r="BD204" s="0" t="s">
        <v>154</v>
      </c>
      <c r="BF204" s="0" t="s">
        <v>154</v>
      </c>
      <c r="BH204" s="0" t="s">
        <v>154</v>
      </c>
      <c r="BJ204" s="0" t="s">
        <v>154</v>
      </c>
      <c r="BK204" s="0" t="s">
        <v>154</v>
      </c>
      <c r="BL204" s="0" t="s">
        <v>154</v>
      </c>
      <c r="BP204" s="0" t="s">
        <v>154</v>
      </c>
      <c r="BR204" s="0" t="s">
        <v>154</v>
      </c>
      <c r="BS204" s="0" t="s">
        <v>154</v>
      </c>
      <c r="BV204" s="0" t="s">
        <v>154</v>
      </c>
      <c r="CA204" s="0" t="s">
        <v>154</v>
      </c>
      <c r="CG204" s="0" t="s">
        <v>154</v>
      </c>
      <c r="CK204" s="0" t="s">
        <v>154</v>
      </c>
      <c r="CN204" s="0" t="s">
        <v>154</v>
      </c>
      <c r="CO204" s="0" t="s">
        <v>176</v>
      </c>
      <c r="CP204" s="0" t="s">
        <v>154</v>
      </c>
      <c r="CV204" s="0" t="s">
        <v>154</v>
      </c>
      <c r="CY204" s="0" t="s">
        <v>154</v>
      </c>
      <c r="CZ204" s="0" t="s">
        <v>176</v>
      </c>
      <c r="DC204" s="0" t="s">
        <v>154</v>
      </c>
      <c r="DI204" s="0" t="s">
        <v>154</v>
      </c>
      <c r="DN204" s="0" t="s">
        <v>154</v>
      </c>
      <c r="DX204" s="0" t="s">
        <v>154</v>
      </c>
      <c r="EA204" s="0" t="s">
        <v>154</v>
      </c>
      <c r="EF204" s="0" t="s">
        <v>154</v>
      </c>
    </row>
    <row r="205" customFormat="false" ht="13.8" hidden="false" customHeight="false" outlineLevel="0" collapsed="false">
      <c r="A205" s="0" t="s">
        <v>1262</v>
      </c>
      <c r="B205" s="0" t="n">
        <v>78</v>
      </c>
      <c r="C205" s="0" t="n">
        <v>207364</v>
      </c>
      <c r="D205" s="0" t="s">
        <v>1254</v>
      </c>
      <c r="E205" s="0" t="s">
        <v>1263</v>
      </c>
      <c r="F205" s="0" t="str">
        <f aca="false">CONCATENATE(D205," ",LEFT(H205,4),"T=",AU205,"D=",AV205,"R=",AW205,"M=",AX205,"L=",AY205,"B=",AZ205)</f>
        <v>KURTZ T=1D=0R=0M=1L=4B=0</v>
      </c>
      <c r="G205" s="0" t="s">
        <v>176</v>
      </c>
      <c r="I205" s="0" t="s">
        <v>691</v>
      </c>
      <c r="J205" s="0" t="s">
        <v>1264</v>
      </c>
      <c r="K205" s="0" t="s">
        <v>175</v>
      </c>
      <c r="L205" s="1" t="s">
        <v>176</v>
      </c>
      <c r="M205" s="0" t="s">
        <v>1257</v>
      </c>
      <c r="N205" s="0" t="str">
        <f aca="false">RIGHT(M205,LEN(M205)-FIND(" ",M205))</f>
        <v>BELMONT AVE NE</v>
      </c>
      <c r="P205" s="0" t="s">
        <v>146</v>
      </c>
      <c r="Q205" s="0" t="s">
        <v>147</v>
      </c>
      <c r="R205" s="0" t="n">
        <v>44483</v>
      </c>
      <c r="AD205" s="0" t="s">
        <v>148</v>
      </c>
      <c r="AE205" s="0" t="s">
        <v>149</v>
      </c>
      <c r="AF205" s="0" t="s">
        <v>150</v>
      </c>
      <c r="AH205" s="0" t="n">
        <v>14</v>
      </c>
      <c r="AI205" s="0" t="n">
        <v>11</v>
      </c>
      <c r="AN205" s="0" t="s">
        <v>146</v>
      </c>
      <c r="AO205" s="0" t="s">
        <v>236</v>
      </c>
      <c r="AP205" s="0" t="s">
        <v>237</v>
      </c>
      <c r="AQ205" s="0" t="n">
        <v>9</v>
      </c>
      <c r="AR205" s="0" t="n">
        <v>64</v>
      </c>
      <c r="AS205" s="0" t="n">
        <v>32</v>
      </c>
      <c r="AU205" s="0" t="n">
        <f aca="false">COUNTA($BA$599:$EH$599)</f>
        <v>1</v>
      </c>
      <c r="AV205" s="0" t="n">
        <f aca="false">COUNTIF($BA$599:$EH$599,"D")</f>
        <v>0</v>
      </c>
      <c r="AW205" s="0" t="n">
        <f aca="false">COUNTIF($BA$599:$EH$599,"R")</f>
        <v>0</v>
      </c>
      <c r="AX205" s="0" t="n">
        <f aca="false"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>1</v>
      </c>
      <c r="AY205" s="0" t="n">
        <f aca="false">COUNTIF(DU205:EH205, "&lt;&gt;")</f>
        <v>4</v>
      </c>
      <c r="AZ205" s="0" t="n">
        <f aca="false">IF(EH205&lt;&gt;"",1,0)</f>
        <v>0</v>
      </c>
      <c r="BB205" s="0" t="s">
        <v>153</v>
      </c>
      <c r="BC205" s="0" t="s">
        <v>154</v>
      </c>
      <c r="BD205" s="0" t="s">
        <v>154</v>
      </c>
      <c r="BE205" s="0" t="s">
        <v>154</v>
      </c>
      <c r="BH205" s="0" t="s">
        <v>154</v>
      </c>
      <c r="BJ205" s="0" t="s">
        <v>154</v>
      </c>
      <c r="BK205" s="0" t="s">
        <v>154</v>
      </c>
      <c r="BL205" s="0" t="s">
        <v>154</v>
      </c>
      <c r="BP205" s="0" t="s">
        <v>154</v>
      </c>
      <c r="BR205" s="0" t="s">
        <v>154</v>
      </c>
      <c r="BS205" s="0" t="s">
        <v>154</v>
      </c>
      <c r="BV205" s="0" t="s">
        <v>154</v>
      </c>
      <c r="BY205" s="0" t="s">
        <v>155</v>
      </c>
      <c r="CA205" s="0" t="s">
        <v>154</v>
      </c>
      <c r="CG205" s="0" t="s">
        <v>154</v>
      </c>
      <c r="CK205" s="0" t="s">
        <v>154</v>
      </c>
      <c r="CL205" s="0" t="s">
        <v>155</v>
      </c>
      <c r="CN205" s="0" t="s">
        <v>154</v>
      </c>
      <c r="CO205" s="0" t="s">
        <v>176</v>
      </c>
      <c r="CP205" s="0" t="s">
        <v>154</v>
      </c>
      <c r="CV205" s="0" t="s">
        <v>154</v>
      </c>
      <c r="CY205" s="0" t="s">
        <v>154</v>
      </c>
      <c r="CZ205" s="0" t="s">
        <v>176</v>
      </c>
      <c r="DC205" s="0" t="s">
        <v>154</v>
      </c>
      <c r="DG205" s="0" t="s">
        <v>176</v>
      </c>
      <c r="DI205" s="0" t="s">
        <v>154</v>
      </c>
      <c r="DM205" s="0" t="s">
        <v>176</v>
      </c>
      <c r="DN205" s="0" t="s">
        <v>154</v>
      </c>
      <c r="DS205" s="0" t="s">
        <v>176</v>
      </c>
      <c r="DU205" s="0" t="s">
        <v>154</v>
      </c>
      <c r="DX205" s="0" t="s">
        <v>154</v>
      </c>
      <c r="EA205" s="0" t="s">
        <v>154</v>
      </c>
      <c r="EF205" s="0" t="s">
        <v>154</v>
      </c>
    </row>
    <row r="206" customFormat="false" ht="13.8" hidden="true" customHeight="false" outlineLevel="0" collapsed="false">
      <c r="A206" s="0" t="s">
        <v>1265</v>
      </c>
      <c r="B206" s="0" t="n">
        <v>78</v>
      </c>
      <c r="C206" s="0" t="n">
        <v>495421</v>
      </c>
      <c r="D206" s="0" t="s">
        <v>1266</v>
      </c>
      <c r="E206" s="0" t="s">
        <v>744</v>
      </c>
      <c r="F206" s="0" t="str">
        <f aca="false">CONCATENATE(D206," ",LEFT(H206,4),"T=",AU206,"D=",AV206,"R=",AW206,"M=",AX206,"L=",AY206,"B=",AZ206)</f>
        <v>FORTSCH T=1D=0R=0M=0L=0B=0</v>
      </c>
      <c r="G206" s="0" t="s">
        <v>690</v>
      </c>
      <c r="I206" s="0" t="s">
        <v>1267</v>
      </c>
      <c r="J206" s="0" t="s">
        <v>1268</v>
      </c>
      <c r="K206" s="0" t="s">
        <v>175</v>
      </c>
      <c r="L206" s="0"/>
      <c r="M206" s="0" t="s">
        <v>1269</v>
      </c>
      <c r="N206" s="0" t="str">
        <f aca="false">RIGHT(M206,LEN(M206)-FIND(" ",M206))</f>
        <v>BELMONT AVE NE</v>
      </c>
      <c r="P206" s="0" t="s">
        <v>146</v>
      </c>
      <c r="Q206" s="0" t="s">
        <v>147</v>
      </c>
      <c r="R206" s="0" t="n">
        <v>44483</v>
      </c>
      <c r="AD206" s="0" t="s">
        <v>148</v>
      </c>
      <c r="AE206" s="0" t="s">
        <v>149</v>
      </c>
      <c r="AF206" s="0" t="s">
        <v>150</v>
      </c>
      <c r="AH206" s="0" t="n">
        <v>14</v>
      </c>
      <c r="AI206" s="0" t="n">
        <v>11</v>
      </c>
      <c r="AN206" s="0" t="s">
        <v>146</v>
      </c>
      <c r="AO206" s="0" t="s">
        <v>236</v>
      </c>
      <c r="AP206" s="0" t="s">
        <v>237</v>
      </c>
      <c r="AQ206" s="0" t="n">
        <v>9</v>
      </c>
      <c r="AR206" s="0" t="n">
        <v>64</v>
      </c>
      <c r="AS206" s="0" t="n">
        <v>32</v>
      </c>
      <c r="AU206" s="0" t="n">
        <f aca="false">COUNTA($BA$380:$EH$380)</f>
        <v>1</v>
      </c>
      <c r="AV206" s="0" t="n">
        <f aca="false">COUNTIF($BA$380:$EH$380,"D")</f>
        <v>0</v>
      </c>
      <c r="AW206" s="0" t="n">
        <f aca="false">COUNTIF($BA$380:$EH$380,"R")</f>
        <v>0</v>
      </c>
      <c r="AX206" s="0" t="n">
        <f aca="false"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>0</v>
      </c>
      <c r="AY206" s="0" t="n">
        <f aca="false">COUNTIF(DU206:EH206, "&lt;&gt;")</f>
        <v>0</v>
      </c>
      <c r="AZ206" s="0" t="n">
        <f aca="false">IF(EH206&lt;&gt;"",1,0)</f>
        <v>0</v>
      </c>
      <c r="BB206" s="0" t="s">
        <v>153</v>
      </c>
    </row>
    <row r="207" customFormat="false" ht="13.8" hidden="true" customHeight="false" outlineLevel="0" collapsed="false">
      <c r="A207" s="0" t="s">
        <v>1270</v>
      </c>
      <c r="B207" s="0" t="n">
        <v>78</v>
      </c>
      <c r="C207" s="0" t="n">
        <v>410989</v>
      </c>
      <c r="D207" s="0" t="s">
        <v>1271</v>
      </c>
      <c r="E207" s="0" t="s">
        <v>1272</v>
      </c>
      <c r="F207" s="0" t="str">
        <f aca="false">CONCATENATE(D207," ",LEFT(H207,4),"T=",AU207,"D=",AV207,"R=",AW207,"M=",AX207,"L=",AY207,"B=",AZ207)</f>
        <v>TABOR T=1D=0R=0M=0L=0B=0</v>
      </c>
      <c r="G207" s="0" t="s">
        <v>188</v>
      </c>
      <c r="I207" s="0" t="s">
        <v>1273</v>
      </c>
      <c r="J207" s="0" t="s">
        <v>1274</v>
      </c>
      <c r="K207" s="0" t="s">
        <v>144</v>
      </c>
      <c r="L207" s="0"/>
      <c r="M207" s="0" t="s">
        <v>1275</v>
      </c>
      <c r="N207" s="0" t="str">
        <f aca="false">RIGHT(M207,LEN(M207)-FIND(" ",M207))</f>
        <v>BELMONT AVE NE</v>
      </c>
      <c r="P207" s="0" t="s">
        <v>146</v>
      </c>
      <c r="Q207" s="0" t="s">
        <v>147</v>
      </c>
      <c r="R207" s="0" t="n">
        <v>44483</v>
      </c>
      <c r="AD207" s="0" t="s">
        <v>148</v>
      </c>
      <c r="AE207" s="0" t="s">
        <v>149</v>
      </c>
      <c r="AF207" s="0" t="s">
        <v>150</v>
      </c>
      <c r="AH207" s="0" t="n">
        <v>14</v>
      </c>
      <c r="AI207" s="0" t="n">
        <v>11</v>
      </c>
      <c r="AN207" s="0" t="s">
        <v>146</v>
      </c>
      <c r="AO207" s="0" t="s">
        <v>236</v>
      </c>
      <c r="AP207" s="0" t="s">
        <v>237</v>
      </c>
      <c r="AQ207" s="0" t="n">
        <v>9</v>
      </c>
      <c r="AR207" s="0" t="n">
        <v>64</v>
      </c>
      <c r="AS207" s="0" t="n">
        <v>32</v>
      </c>
      <c r="AU207" s="0" t="n">
        <f aca="false">COUNTA($BA$283:$EH$283)</f>
        <v>1</v>
      </c>
      <c r="AV207" s="0" t="n">
        <f aca="false">COUNTIF($BA$283:$EH$283,"D")</f>
        <v>0</v>
      </c>
      <c r="AW207" s="0" t="n">
        <f aca="false">COUNTIF($BA$283:$EH$283,"R")</f>
        <v>0</v>
      </c>
      <c r="AX207" s="0" t="n">
        <f aca="false"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>0</v>
      </c>
      <c r="AY207" s="0" t="n">
        <f aca="false">COUNTIF(DU207:EH207, "&lt;&gt;")</f>
        <v>0</v>
      </c>
      <c r="AZ207" s="0" t="n">
        <f aca="false">IF(EH207&lt;&gt;"",1,0)</f>
        <v>0</v>
      </c>
      <c r="BB207" s="0" t="s">
        <v>153</v>
      </c>
      <c r="BE207" s="0" t="s">
        <v>154</v>
      </c>
    </row>
    <row r="208" customFormat="false" ht="13.8" hidden="false" customHeight="false" outlineLevel="0" collapsed="false">
      <c r="A208" s="0" t="s">
        <v>1276</v>
      </c>
      <c r="B208" s="0" t="n">
        <v>78</v>
      </c>
      <c r="C208" s="0" t="n">
        <v>440516</v>
      </c>
      <c r="D208" s="0" t="s">
        <v>1277</v>
      </c>
      <c r="E208" s="0" t="s">
        <v>1278</v>
      </c>
      <c r="F208" s="0" t="str">
        <f aca="false">CONCATENATE(D208," ",LEFT(H208,4),"T=",AU208,"D=",AV208,"R=",AW208,"M=",AX208,"L=",AY208,"B=",AZ208)</f>
        <v>MONTGOMERY T=1D=0R=0M=0L=2B=0</v>
      </c>
      <c r="G208" s="0" t="s">
        <v>297</v>
      </c>
      <c r="I208" s="0" t="s">
        <v>1279</v>
      </c>
      <c r="J208" s="0" t="s">
        <v>712</v>
      </c>
      <c r="K208" s="0" t="s">
        <v>175</v>
      </c>
      <c r="M208" s="0" t="s">
        <v>1280</v>
      </c>
      <c r="N208" s="0" t="str">
        <f aca="false">RIGHT(M208,LEN(M208)-FIND(" ",M208))</f>
        <v>BELMONT AVE NE</v>
      </c>
      <c r="P208" s="0" t="s">
        <v>146</v>
      </c>
      <c r="Q208" s="0" t="s">
        <v>147</v>
      </c>
      <c r="R208" s="0" t="n">
        <v>44483</v>
      </c>
      <c r="AD208" s="0" t="s">
        <v>148</v>
      </c>
      <c r="AE208" s="0" t="s">
        <v>149</v>
      </c>
      <c r="AF208" s="0" t="s">
        <v>150</v>
      </c>
      <c r="AH208" s="0" t="n">
        <v>14</v>
      </c>
      <c r="AI208" s="0" t="n">
        <v>11</v>
      </c>
      <c r="AN208" s="0" t="s">
        <v>146</v>
      </c>
      <c r="AO208" s="0" t="s">
        <v>236</v>
      </c>
      <c r="AP208" s="0" t="s">
        <v>237</v>
      </c>
      <c r="AQ208" s="0" t="n">
        <v>9</v>
      </c>
      <c r="AR208" s="0" t="n">
        <v>64</v>
      </c>
      <c r="AS208" s="0" t="n">
        <v>32</v>
      </c>
      <c r="AU208" s="0" t="n">
        <f aca="false">COUNTA($BA$43:$EH$43)</f>
        <v>1</v>
      </c>
      <c r="AV208" s="0" t="n">
        <f aca="false">COUNTIF($BA$43:$EH$43,"D")</f>
        <v>0</v>
      </c>
      <c r="AW208" s="0" t="n">
        <f aca="false">COUNTIF($BA$43:$EH$43,"R")</f>
        <v>0</v>
      </c>
      <c r="AX208" s="0" t="n">
        <f aca="false"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>0</v>
      </c>
      <c r="AY208" s="0" t="n">
        <f aca="false">COUNTIF(DU208:EH208, "&lt;&gt;")</f>
        <v>2</v>
      </c>
      <c r="AZ208" s="0" t="n">
        <f aca="false">IF(EH208&lt;&gt;"",1,0)</f>
        <v>0</v>
      </c>
      <c r="BB208" s="0" t="s">
        <v>153</v>
      </c>
      <c r="DU208" s="0" t="s">
        <v>154</v>
      </c>
      <c r="EF208" s="0" t="s">
        <v>154</v>
      </c>
    </row>
    <row r="209" customFormat="false" ht="13.8" hidden="false" customHeight="false" outlineLevel="0" collapsed="false">
      <c r="A209" s="0" t="s">
        <v>1281</v>
      </c>
      <c r="B209" s="0" t="n">
        <v>78</v>
      </c>
      <c r="C209" s="0" t="n">
        <v>258348</v>
      </c>
      <c r="D209" s="0" t="s">
        <v>1282</v>
      </c>
      <c r="E209" s="0" t="s">
        <v>1283</v>
      </c>
      <c r="F209" s="0" t="str">
        <f aca="false">CONCATENATE(D209," ",LEFT(H209,4),"T=",AU209,"D=",AV209,"R=",AW209,"M=",AX209,"L=",AY209,"B=",AZ209)</f>
        <v>SELL T=1D=0R=0M=2L=5B=0</v>
      </c>
      <c r="G209" s="0" t="s">
        <v>222</v>
      </c>
      <c r="I209" s="0" t="s">
        <v>1284</v>
      </c>
      <c r="J209" s="0" t="s">
        <v>1285</v>
      </c>
      <c r="K209" s="0" t="s">
        <v>175</v>
      </c>
      <c r="L209" s="1" t="s">
        <v>155</v>
      </c>
      <c r="M209" s="0" t="s">
        <v>1286</v>
      </c>
      <c r="N209" s="0" t="str">
        <f aca="false">RIGHT(M209,LEN(M209)-FIND(" ",M209))</f>
        <v>BELMONT AVE NE</v>
      </c>
      <c r="P209" s="0" t="s">
        <v>146</v>
      </c>
      <c r="Q209" s="0" t="s">
        <v>147</v>
      </c>
      <c r="R209" s="0" t="n">
        <v>44483</v>
      </c>
      <c r="AD209" s="0" t="s">
        <v>148</v>
      </c>
      <c r="AE209" s="0" t="s">
        <v>149</v>
      </c>
      <c r="AF209" s="0" t="s">
        <v>150</v>
      </c>
      <c r="AH209" s="0" t="n">
        <v>14</v>
      </c>
      <c r="AI209" s="0" t="n">
        <v>11</v>
      </c>
      <c r="AN209" s="0" t="s">
        <v>146</v>
      </c>
      <c r="AO209" s="0" t="s">
        <v>236</v>
      </c>
      <c r="AP209" s="0" t="s">
        <v>237</v>
      </c>
      <c r="AQ209" s="0" t="n">
        <v>9</v>
      </c>
      <c r="AR209" s="0" t="n">
        <v>64</v>
      </c>
      <c r="AS209" s="0" t="n">
        <v>32</v>
      </c>
      <c r="AU209" s="0" t="n">
        <f aca="false">COUNTA($BA$605:$EH$605)</f>
        <v>1</v>
      </c>
      <c r="AV209" s="0" t="n">
        <f aca="false">COUNTIF($BA$605:$EH$605,"D")</f>
        <v>0</v>
      </c>
      <c r="AW209" s="0" t="n">
        <f aca="false">COUNTIF($BA$605:$EH$605,"R")</f>
        <v>0</v>
      </c>
      <c r="AX209" s="0" t="n">
        <f aca="false"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>2</v>
      </c>
      <c r="AY209" s="0" t="n">
        <f aca="false">COUNTIF(DU209:EH209, "&lt;&gt;")</f>
        <v>5</v>
      </c>
      <c r="AZ209" s="0" t="n">
        <f aca="false">IF(EH209&lt;&gt;"",1,0)</f>
        <v>0</v>
      </c>
      <c r="BB209" s="0" t="s">
        <v>153</v>
      </c>
      <c r="BD209" s="0" t="s">
        <v>154</v>
      </c>
      <c r="BL209" s="0" t="s">
        <v>154</v>
      </c>
      <c r="CP209" s="0" t="s">
        <v>154</v>
      </c>
      <c r="CY209" s="0" t="s">
        <v>154</v>
      </c>
      <c r="CZ209" s="0" t="s">
        <v>155</v>
      </c>
      <c r="DC209" s="0" t="s">
        <v>154</v>
      </c>
      <c r="DM209" s="0" t="s">
        <v>155</v>
      </c>
      <c r="DN209" s="0" t="s">
        <v>154</v>
      </c>
      <c r="DO209" s="0" t="s">
        <v>155</v>
      </c>
      <c r="DU209" s="0" t="s">
        <v>154</v>
      </c>
      <c r="DW209" s="0" t="s">
        <v>155</v>
      </c>
      <c r="DX209" s="0" t="s">
        <v>154</v>
      </c>
      <c r="EA209" s="0" t="s">
        <v>154</v>
      </c>
      <c r="EF209" s="0" t="s">
        <v>154</v>
      </c>
    </row>
    <row r="210" customFormat="false" ht="13.8" hidden="true" customHeight="false" outlineLevel="0" collapsed="false">
      <c r="A210" s="0" t="s">
        <v>1287</v>
      </c>
      <c r="B210" s="0" t="n">
        <v>78</v>
      </c>
      <c r="C210" s="0" t="n">
        <v>480941</v>
      </c>
      <c r="D210" s="0" t="s">
        <v>1288</v>
      </c>
      <c r="E210" s="0" t="s">
        <v>981</v>
      </c>
      <c r="F210" s="0" t="str">
        <f aca="false">CONCATENATE(D210," ",LEFT(H210,4),"T=",AU210,"D=",AV210,"R=",AW210,"M=",AX210,"L=",AY210,"B=",AZ210)</f>
        <v>BENNETT T=3D=0R=0M=0L=0B=0</v>
      </c>
      <c r="G210" s="0" t="s">
        <v>1289</v>
      </c>
      <c r="I210" s="0" t="s">
        <v>1290</v>
      </c>
      <c r="J210" s="0" t="s">
        <v>1291</v>
      </c>
      <c r="K210" s="0" t="s">
        <v>175</v>
      </c>
      <c r="L210" s="0"/>
      <c r="M210" s="0" t="s">
        <v>1292</v>
      </c>
      <c r="N210" s="0" t="str">
        <f aca="false">RIGHT(M210,LEN(M210)-FIND(" ",M210))</f>
        <v>BELMONT AVE NE</v>
      </c>
      <c r="P210" s="0" t="s">
        <v>146</v>
      </c>
      <c r="Q210" s="0" t="s">
        <v>147</v>
      </c>
      <c r="R210" s="0" t="n">
        <v>44483</v>
      </c>
      <c r="AD210" s="0" t="s">
        <v>148</v>
      </c>
      <c r="AE210" s="0" t="s">
        <v>149</v>
      </c>
      <c r="AF210" s="0" t="s">
        <v>150</v>
      </c>
      <c r="AH210" s="0" t="n">
        <v>14</v>
      </c>
      <c r="AI210" s="0" t="n">
        <v>11</v>
      </c>
      <c r="AN210" s="0" t="s">
        <v>146</v>
      </c>
      <c r="AO210" s="0" t="s">
        <v>236</v>
      </c>
      <c r="AP210" s="0" t="s">
        <v>237</v>
      </c>
      <c r="AQ210" s="0" t="n">
        <v>9</v>
      </c>
      <c r="AR210" s="0" t="n">
        <v>64</v>
      </c>
      <c r="AS210" s="0" t="n">
        <v>32</v>
      </c>
      <c r="AU210" s="0" t="n">
        <f aca="false">COUNTA($BA$311:$EH$311)</f>
        <v>3</v>
      </c>
      <c r="AV210" s="0" t="n">
        <f aca="false">COUNTIF($BA$311:$EH$311,"D")</f>
        <v>0</v>
      </c>
      <c r="AW210" s="0" t="n">
        <f aca="false">COUNTIF($BA$311:$EH$311,"R")</f>
        <v>0</v>
      </c>
      <c r="AX210" s="0" t="n">
        <f aca="false"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>0</v>
      </c>
      <c r="AY210" s="0" t="n">
        <f aca="false">COUNTIF(DU210:EH210, "&lt;&gt;")</f>
        <v>0</v>
      </c>
      <c r="AZ210" s="0" t="n">
        <f aca="false">IF(EH210&lt;&gt;"",1,0)</f>
        <v>0</v>
      </c>
      <c r="BB210" s="0" t="s">
        <v>153</v>
      </c>
    </row>
    <row r="211" customFormat="false" ht="13.8" hidden="true" customHeight="false" outlineLevel="0" collapsed="false">
      <c r="A211" s="0" t="s">
        <v>1293</v>
      </c>
      <c r="B211" s="0" t="n">
        <v>78</v>
      </c>
      <c r="C211" s="0" t="n">
        <v>409004</v>
      </c>
      <c r="D211" s="0" t="s">
        <v>1294</v>
      </c>
      <c r="E211" s="0" t="s">
        <v>165</v>
      </c>
      <c r="F211" s="0" t="str">
        <f aca="false">CONCATENATE(D211," ",LEFT(H211,4),"T=",AU211,"D=",AV211,"R=",AW211,"M=",AX211,"L=",AY211,"B=",AZ211)</f>
        <v>UPSHIR JRT=3D=0R=0M=0L=0B=0</v>
      </c>
      <c r="G211" s="0" t="s">
        <v>1295</v>
      </c>
      <c r="H211" s="0" t="s">
        <v>431</v>
      </c>
      <c r="I211" s="0" t="s">
        <v>1296</v>
      </c>
      <c r="J211" s="0" t="s">
        <v>357</v>
      </c>
      <c r="K211" s="0" t="s">
        <v>144</v>
      </c>
      <c r="L211" s="0"/>
      <c r="M211" s="0" t="s">
        <v>1297</v>
      </c>
      <c r="N211" s="0" t="str">
        <f aca="false">RIGHT(M211,LEN(M211)-FIND(" ",M211))</f>
        <v>BELMONT AVE NE</v>
      </c>
      <c r="P211" s="0" t="s">
        <v>146</v>
      </c>
      <c r="Q211" s="0" t="s">
        <v>147</v>
      </c>
      <c r="R211" s="0" t="n">
        <v>44483</v>
      </c>
      <c r="AD211" s="0" t="s">
        <v>148</v>
      </c>
      <c r="AE211" s="0" t="s">
        <v>149</v>
      </c>
      <c r="AF211" s="0" t="s">
        <v>150</v>
      </c>
      <c r="AH211" s="0" t="n">
        <v>14</v>
      </c>
      <c r="AI211" s="0" t="n">
        <v>11</v>
      </c>
      <c r="AN211" s="0" t="s">
        <v>146</v>
      </c>
      <c r="AO211" s="0" t="s">
        <v>236</v>
      </c>
      <c r="AP211" s="0" t="s">
        <v>237</v>
      </c>
      <c r="AQ211" s="0" t="n">
        <v>9</v>
      </c>
      <c r="AR211" s="0" t="n">
        <v>64</v>
      </c>
      <c r="AS211" s="0" t="n">
        <v>32</v>
      </c>
      <c r="AU211" s="0" t="n">
        <f aca="false">COUNTA($BA$1070:$EH$1070)</f>
        <v>3</v>
      </c>
      <c r="AV211" s="0" t="n">
        <f aca="false">COUNTIF($BA$1070:$EH$1070,"D")</f>
        <v>0</v>
      </c>
      <c r="AW211" s="0" t="n">
        <f aca="false">COUNTIF($BA$1070:$EH$1070,"R")</f>
        <v>0</v>
      </c>
      <c r="AX211" s="0" t="n">
        <f aca="false"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>0</v>
      </c>
      <c r="AY211" s="0" t="n">
        <f aca="false">COUNTIF(DU211:EH211, "&lt;&gt;")</f>
        <v>0</v>
      </c>
      <c r="AZ211" s="0" t="n">
        <f aca="false">IF(EH211&lt;&gt;"",1,0)</f>
        <v>0</v>
      </c>
      <c r="BB211" s="0" t="s">
        <v>153</v>
      </c>
    </row>
    <row r="212" customFormat="false" ht="13.8" hidden="true" customHeight="false" outlineLevel="0" collapsed="false">
      <c r="A212" s="0" t="s">
        <v>1298</v>
      </c>
      <c r="B212" s="0" t="n">
        <v>78</v>
      </c>
      <c r="C212" s="0" t="n">
        <v>488497</v>
      </c>
      <c r="D212" s="0" t="s">
        <v>1299</v>
      </c>
      <c r="E212" s="0" t="s">
        <v>1300</v>
      </c>
      <c r="F212" s="0" t="str">
        <f aca="false">CONCATENATE(D212," ",LEFT(H212,4),"T=",AU212,"D=",AV212,"R=",AW212,"M=",AX212,"L=",AY212,"B=",AZ212)</f>
        <v>BROOMFIELD T=3D=1R=0M=0L=0B=0</v>
      </c>
      <c r="G212" s="0" t="s">
        <v>365</v>
      </c>
      <c r="I212" s="0" t="s">
        <v>1301</v>
      </c>
      <c r="J212" s="0" t="s">
        <v>757</v>
      </c>
      <c r="K212" s="0" t="s">
        <v>175</v>
      </c>
      <c r="L212" s="0"/>
      <c r="M212" s="0" t="s">
        <v>1302</v>
      </c>
      <c r="N212" s="0" t="str">
        <f aca="false">RIGHT(M212,LEN(M212)-FIND(" ",M212))</f>
        <v>BELMONT AVE NE</v>
      </c>
      <c r="P212" s="0" t="s">
        <v>146</v>
      </c>
      <c r="Q212" s="0" t="s">
        <v>147</v>
      </c>
      <c r="R212" s="0" t="n">
        <v>44483</v>
      </c>
      <c r="AD212" s="0" t="s">
        <v>148</v>
      </c>
      <c r="AE212" s="0" t="s">
        <v>149</v>
      </c>
      <c r="AF212" s="0" t="s">
        <v>150</v>
      </c>
      <c r="AH212" s="0" t="n">
        <v>14</v>
      </c>
      <c r="AI212" s="0" t="n">
        <v>11</v>
      </c>
      <c r="AN212" s="0" t="s">
        <v>146</v>
      </c>
      <c r="AO212" s="0" t="s">
        <v>236</v>
      </c>
      <c r="AP212" s="0" t="s">
        <v>237</v>
      </c>
      <c r="AQ212" s="0" t="n">
        <v>9</v>
      </c>
      <c r="AR212" s="0" t="n">
        <v>64</v>
      </c>
      <c r="AS212" s="0" t="n">
        <v>32</v>
      </c>
      <c r="AU212" s="0" t="n">
        <f aca="false">COUNTA($BA$52:$EH$52)</f>
        <v>3</v>
      </c>
      <c r="AV212" s="0" t="n">
        <f aca="false">COUNTIF($BA$52:$EH$52,"D")</f>
        <v>1</v>
      </c>
      <c r="AW212" s="0" t="n">
        <f aca="false">COUNTIF($BA$52:$EH$52,"R")</f>
        <v>0</v>
      </c>
      <c r="AX212" s="0" t="n">
        <f aca="false"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>0</v>
      </c>
      <c r="AY212" s="0" t="n">
        <f aca="false">COUNTIF(DU212:EH212, "&lt;&gt;")</f>
        <v>0</v>
      </c>
      <c r="AZ212" s="0" t="n">
        <f aca="false">IF(EH212&lt;&gt;"",1,0)</f>
        <v>0</v>
      </c>
      <c r="BB212" s="0" t="s">
        <v>153</v>
      </c>
    </row>
    <row r="213" customFormat="false" ht="13.8" hidden="true" customHeight="false" outlineLevel="0" collapsed="false">
      <c r="A213" s="0" t="s">
        <v>1303</v>
      </c>
      <c r="B213" s="0" t="n">
        <v>78</v>
      </c>
      <c r="C213" s="0" t="n">
        <v>488496</v>
      </c>
      <c r="D213" s="0" t="s">
        <v>1299</v>
      </c>
      <c r="E213" s="0" t="s">
        <v>201</v>
      </c>
      <c r="F213" s="0" t="str">
        <f aca="false">CONCATENATE(D213," ",LEFT(H213,4),"T=",AU213,"D=",AV213,"R=",AW213,"M=",AX213,"L=",AY213,"B=",AZ213)</f>
        <v>BROOMFIELD T=1D=0R=0M=0L=0B=0</v>
      </c>
      <c r="G213" s="0" t="s">
        <v>1131</v>
      </c>
      <c r="I213" s="0" t="s">
        <v>1304</v>
      </c>
      <c r="J213" s="0" t="s">
        <v>1305</v>
      </c>
      <c r="K213" s="0" t="s">
        <v>175</v>
      </c>
      <c r="L213" s="0"/>
      <c r="M213" s="0" t="s">
        <v>1302</v>
      </c>
      <c r="N213" s="0" t="str">
        <f aca="false">RIGHT(M213,LEN(M213)-FIND(" ",M213))</f>
        <v>BELMONT AVE NE</v>
      </c>
      <c r="P213" s="0" t="s">
        <v>146</v>
      </c>
      <c r="Q213" s="0" t="s">
        <v>147</v>
      </c>
      <c r="R213" s="0" t="n">
        <v>44483</v>
      </c>
      <c r="AD213" s="0" t="s">
        <v>148</v>
      </c>
      <c r="AE213" s="0" t="s">
        <v>149</v>
      </c>
      <c r="AF213" s="0" t="s">
        <v>150</v>
      </c>
      <c r="AH213" s="0" t="n">
        <v>14</v>
      </c>
      <c r="AI213" s="0" t="n">
        <v>11</v>
      </c>
      <c r="AN213" s="0" t="s">
        <v>146</v>
      </c>
      <c r="AO213" s="0" t="s">
        <v>236</v>
      </c>
      <c r="AP213" s="0" t="s">
        <v>237</v>
      </c>
      <c r="AQ213" s="0" t="n">
        <v>9</v>
      </c>
      <c r="AR213" s="0" t="n">
        <v>64</v>
      </c>
      <c r="AS213" s="0" t="n">
        <v>32</v>
      </c>
      <c r="AU213" s="0" t="n">
        <f aca="false">COUNTA($BA$669:$EH$669)</f>
        <v>1</v>
      </c>
      <c r="AV213" s="0" t="n">
        <f aca="false">COUNTIF($BA$669:$EH$669,"D")</f>
        <v>0</v>
      </c>
      <c r="AW213" s="0" t="n">
        <f aca="false">COUNTIF($BA$669:$EH$669,"R")</f>
        <v>0</v>
      </c>
      <c r="AX213" s="0" t="n">
        <f aca="false"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>0</v>
      </c>
      <c r="AY213" s="0" t="n">
        <f aca="false">COUNTIF(DU213:EH213, "&lt;&gt;")</f>
        <v>0</v>
      </c>
      <c r="AZ213" s="0" t="n">
        <f aca="false">IF(EH213&lt;&gt;"",1,0)</f>
        <v>0</v>
      </c>
      <c r="BB213" s="0" t="s">
        <v>153</v>
      </c>
    </row>
    <row r="214" customFormat="false" ht="13.8" hidden="true" customHeight="false" outlineLevel="0" collapsed="false">
      <c r="A214" s="0" t="s">
        <v>1306</v>
      </c>
      <c r="B214" s="0" t="n">
        <v>78</v>
      </c>
      <c r="C214" s="0" t="n">
        <v>386899</v>
      </c>
      <c r="D214" s="0" t="s">
        <v>474</v>
      </c>
      <c r="E214" s="0" t="s">
        <v>1307</v>
      </c>
      <c r="F214" s="0" t="str">
        <f aca="false">CONCATENATE(D214," ",LEFT(H214,4),"T=",AU214,"D=",AV214,"R=",AW214,"M=",AX214,"L=",AY214,"B=",AZ214)</f>
        <v>SCOTT T=2D=0R=0M=0L=0B=0</v>
      </c>
      <c r="G214" s="0" t="s">
        <v>297</v>
      </c>
      <c r="I214" s="0" t="s">
        <v>1308</v>
      </c>
      <c r="J214" s="0" t="s">
        <v>1309</v>
      </c>
      <c r="K214" s="0" t="s">
        <v>175</v>
      </c>
      <c r="L214" s="0"/>
      <c r="M214" s="0" t="s">
        <v>1310</v>
      </c>
      <c r="N214" s="0" t="str">
        <f aca="false">RIGHT(M214,LEN(M214)-FIND(" ",M214))</f>
        <v>BELMONT AVE NE</v>
      </c>
      <c r="P214" s="0" t="s">
        <v>146</v>
      </c>
      <c r="Q214" s="0" t="s">
        <v>147</v>
      </c>
      <c r="R214" s="0" t="n">
        <v>44483</v>
      </c>
      <c r="AD214" s="0" t="s">
        <v>148</v>
      </c>
      <c r="AE214" s="0" t="s">
        <v>149</v>
      </c>
      <c r="AF214" s="0" t="s">
        <v>150</v>
      </c>
      <c r="AH214" s="0" t="n">
        <v>14</v>
      </c>
      <c r="AI214" s="0" t="n">
        <v>11</v>
      </c>
      <c r="AN214" s="0" t="s">
        <v>146</v>
      </c>
      <c r="AO214" s="0" t="s">
        <v>236</v>
      </c>
      <c r="AP214" s="0" t="s">
        <v>237</v>
      </c>
      <c r="AQ214" s="0" t="n">
        <v>9</v>
      </c>
      <c r="AR214" s="0" t="n">
        <v>64</v>
      </c>
      <c r="AS214" s="0" t="n">
        <v>32</v>
      </c>
      <c r="AU214" s="0" t="n">
        <f aca="false">COUNTA($BA$124:$EH$124)</f>
        <v>2</v>
      </c>
      <c r="AV214" s="0" t="n">
        <f aca="false">COUNTIF($BA$124:$EH$124,"D")</f>
        <v>0</v>
      </c>
      <c r="AW214" s="0" t="n">
        <f aca="false">COUNTIF($BA$124:$EH$124,"R")</f>
        <v>0</v>
      </c>
      <c r="AX214" s="0" t="n">
        <f aca="false"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>0</v>
      </c>
      <c r="AY214" s="0" t="n">
        <f aca="false">COUNTIF(DU214:EH214, "&lt;&gt;")</f>
        <v>0</v>
      </c>
      <c r="AZ214" s="0" t="n">
        <f aca="false">IF(EH214&lt;&gt;"",1,0)</f>
        <v>0</v>
      </c>
      <c r="BB214" s="0" t="s">
        <v>153</v>
      </c>
    </row>
    <row r="215" customFormat="false" ht="13.8" hidden="true" customHeight="false" outlineLevel="0" collapsed="false">
      <c r="A215" s="0" t="s">
        <v>1311</v>
      </c>
      <c r="B215" s="0" t="n">
        <v>78</v>
      </c>
      <c r="C215" s="0" t="n">
        <v>327249</v>
      </c>
      <c r="D215" s="0" t="s">
        <v>506</v>
      </c>
      <c r="E215" s="0" t="s">
        <v>1312</v>
      </c>
      <c r="F215" s="0" t="str">
        <f aca="false">CONCATENATE(D215," ",LEFT(H215,4),"T=",AU215,"D=",AV215,"R=",AW215,"M=",AX215,"L=",AY215,"B=",AZ215)</f>
        <v>MITCHELL JRT=18D=0R=3M=0L=0B=0</v>
      </c>
      <c r="G215" s="0" t="s">
        <v>172</v>
      </c>
      <c r="H215" s="0" t="s">
        <v>431</v>
      </c>
      <c r="I215" s="0" t="s">
        <v>1313</v>
      </c>
      <c r="J215" s="0" t="s">
        <v>488</v>
      </c>
      <c r="K215" s="0" t="s">
        <v>175</v>
      </c>
      <c r="L215" s="0"/>
      <c r="M215" s="0" t="s">
        <v>1310</v>
      </c>
      <c r="N215" s="0" t="str">
        <f aca="false">RIGHT(M215,LEN(M215)-FIND(" ",M215))</f>
        <v>BELMONT AVE NE</v>
      </c>
      <c r="P215" s="0" t="s">
        <v>146</v>
      </c>
      <c r="Q215" s="0" t="s">
        <v>147</v>
      </c>
      <c r="R215" s="0" t="n">
        <v>44483</v>
      </c>
      <c r="AD215" s="0" t="s">
        <v>148</v>
      </c>
      <c r="AE215" s="0" t="s">
        <v>149</v>
      </c>
      <c r="AF215" s="0" t="s">
        <v>150</v>
      </c>
      <c r="AH215" s="0" t="n">
        <v>14</v>
      </c>
      <c r="AI215" s="0" t="n">
        <v>11</v>
      </c>
      <c r="AN215" s="0" t="s">
        <v>146</v>
      </c>
      <c r="AO215" s="0" t="s">
        <v>236</v>
      </c>
      <c r="AP215" s="0" t="s">
        <v>237</v>
      </c>
      <c r="AQ215" s="0" t="n">
        <v>9</v>
      </c>
      <c r="AR215" s="0" t="n">
        <v>64</v>
      </c>
      <c r="AS215" s="0" t="n">
        <v>32</v>
      </c>
      <c r="AU215" s="0" t="n">
        <f aca="false">COUNTA($BA$342:$EH$342)</f>
        <v>18</v>
      </c>
      <c r="AV215" s="0" t="n">
        <f aca="false">COUNTIF($BA$342:$EH$342,"D")</f>
        <v>0</v>
      </c>
      <c r="AW215" s="0" t="n">
        <f aca="false">COUNTIF($BA$342:$EH$342,"R")</f>
        <v>3</v>
      </c>
      <c r="AX215" s="0" t="n">
        <f aca="false"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>0</v>
      </c>
      <c r="AY215" s="0" t="n">
        <f aca="false">COUNTIF(DU215:EH215, "&lt;&gt;")</f>
        <v>0</v>
      </c>
      <c r="AZ215" s="0" t="n">
        <f aca="false">IF(EH215&lt;&gt;"",1,0)</f>
        <v>0</v>
      </c>
      <c r="BB215" s="0" t="s">
        <v>153</v>
      </c>
      <c r="BL215" s="0" t="s">
        <v>154</v>
      </c>
      <c r="CP215" s="0" t="s">
        <v>154</v>
      </c>
    </row>
    <row r="216" customFormat="false" ht="13.8" hidden="true" customHeight="false" outlineLevel="0" collapsed="false">
      <c r="A216" s="0" t="s">
        <v>1314</v>
      </c>
      <c r="B216" s="0" t="n">
        <v>78</v>
      </c>
      <c r="C216" s="0" t="n">
        <v>404253</v>
      </c>
      <c r="D216" s="0" t="s">
        <v>1315</v>
      </c>
      <c r="E216" s="0" t="s">
        <v>1316</v>
      </c>
      <c r="F216" s="0" t="str">
        <f aca="false">CONCATENATE(D216," ",LEFT(H216,4),"T=",AU216,"D=",AV216,"R=",AW216,"M=",AX216,"L=",AY216,"B=",AZ216)</f>
        <v>MANSFIELD T=1D=0R=0M=0L=0B=0</v>
      </c>
      <c r="G216" s="0" t="s">
        <v>1317</v>
      </c>
      <c r="I216" s="0" t="s">
        <v>1318</v>
      </c>
      <c r="J216" s="0" t="s">
        <v>1319</v>
      </c>
      <c r="K216" s="0" t="s">
        <v>144</v>
      </c>
      <c r="L216" s="0"/>
      <c r="M216" s="0" t="s">
        <v>1310</v>
      </c>
      <c r="N216" s="0" t="str">
        <f aca="false">RIGHT(M216,LEN(M216)-FIND(" ",M216))</f>
        <v>BELMONT AVE NE</v>
      </c>
      <c r="P216" s="0" t="s">
        <v>146</v>
      </c>
      <c r="Q216" s="0" t="s">
        <v>147</v>
      </c>
      <c r="R216" s="0" t="n">
        <v>44483</v>
      </c>
      <c r="AD216" s="0" t="s">
        <v>148</v>
      </c>
      <c r="AE216" s="0" t="s">
        <v>149</v>
      </c>
      <c r="AF216" s="0" t="s">
        <v>150</v>
      </c>
      <c r="AH216" s="0" t="n">
        <v>14</v>
      </c>
      <c r="AI216" s="0" t="n">
        <v>11</v>
      </c>
      <c r="AN216" s="0" t="s">
        <v>146</v>
      </c>
      <c r="AO216" s="0" t="s">
        <v>236</v>
      </c>
      <c r="AP216" s="0" t="s">
        <v>237</v>
      </c>
      <c r="AQ216" s="0" t="n">
        <v>9</v>
      </c>
      <c r="AR216" s="0" t="n">
        <v>64</v>
      </c>
      <c r="AS216" s="0" t="n">
        <v>32</v>
      </c>
      <c r="AU216" s="0" t="n">
        <f aca="false">COUNTA($BA$847:$EH$847)</f>
        <v>1</v>
      </c>
      <c r="AV216" s="0" t="n">
        <f aca="false">COUNTIF($BA$847:$EH$847,"D")</f>
        <v>0</v>
      </c>
      <c r="AW216" s="0" t="n">
        <f aca="false">COUNTIF($BA$847:$EH$847,"R")</f>
        <v>0</v>
      </c>
      <c r="AX216" s="0" t="n">
        <f aca="false"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>0</v>
      </c>
      <c r="AY216" s="0" t="n">
        <f aca="false">COUNTIF(DU216:EH216, "&lt;&gt;")</f>
        <v>0</v>
      </c>
      <c r="AZ216" s="0" t="n">
        <f aca="false">IF(EH216&lt;&gt;"",1,0)</f>
        <v>0</v>
      </c>
      <c r="BB216" s="0" t="s">
        <v>153</v>
      </c>
      <c r="CY216" s="0" t="s">
        <v>154</v>
      </c>
    </row>
    <row r="217" customFormat="false" ht="13.8" hidden="true" customHeight="false" outlineLevel="0" collapsed="false">
      <c r="A217" s="0" t="s">
        <v>1320</v>
      </c>
      <c r="B217" s="0" t="n">
        <v>78</v>
      </c>
      <c r="C217" s="0" t="n">
        <v>487454</v>
      </c>
      <c r="D217" s="0" t="s">
        <v>1321</v>
      </c>
      <c r="E217" s="0" t="s">
        <v>139</v>
      </c>
      <c r="F217" s="0" t="str">
        <f aca="false">CONCATENATE(D217," ",LEFT(H217,4),"T=",AU217,"D=",AV217,"R=",AW217,"M=",AX217,"L=",AY217,"B=",AZ217)</f>
        <v>MILLESON T=2D=0R=0M=0L=0B=0</v>
      </c>
      <c r="G217" s="0" t="s">
        <v>474</v>
      </c>
      <c r="I217" s="0" t="s">
        <v>1322</v>
      </c>
      <c r="J217" s="0" t="s">
        <v>228</v>
      </c>
      <c r="K217" s="0" t="s">
        <v>175</v>
      </c>
      <c r="L217" s="0"/>
      <c r="M217" s="0" t="s">
        <v>1310</v>
      </c>
      <c r="N217" s="0" t="str">
        <f aca="false">RIGHT(M217,LEN(M217)-FIND(" ",M217))</f>
        <v>BELMONT AVE NE</v>
      </c>
      <c r="P217" s="0" t="s">
        <v>146</v>
      </c>
      <c r="Q217" s="0" t="s">
        <v>147</v>
      </c>
      <c r="R217" s="0" t="n">
        <v>44483</v>
      </c>
      <c r="AD217" s="0" t="s">
        <v>148</v>
      </c>
      <c r="AE217" s="0" t="s">
        <v>149</v>
      </c>
      <c r="AF217" s="0" t="s">
        <v>150</v>
      </c>
      <c r="AH217" s="0" t="n">
        <v>14</v>
      </c>
      <c r="AI217" s="0" t="n">
        <v>11</v>
      </c>
      <c r="AN217" s="0" t="s">
        <v>146</v>
      </c>
      <c r="AO217" s="0" t="s">
        <v>236</v>
      </c>
      <c r="AP217" s="0" t="s">
        <v>237</v>
      </c>
      <c r="AQ217" s="0" t="n">
        <v>9</v>
      </c>
      <c r="AR217" s="0" t="n">
        <v>64</v>
      </c>
      <c r="AS217" s="0" t="n">
        <v>32</v>
      </c>
      <c r="AU217" s="0" t="n">
        <f aca="false">COUNTA($BA$970:$EH$970)</f>
        <v>2</v>
      </c>
      <c r="AV217" s="0" t="n">
        <f aca="false">COUNTIF($BA$970:$EH$970,"D")</f>
        <v>0</v>
      </c>
      <c r="AW217" s="0" t="n">
        <f aca="false">COUNTIF($BA$970:$EH$970,"R")</f>
        <v>0</v>
      </c>
      <c r="AX217" s="0" t="n">
        <f aca="false"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>0</v>
      </c>
      <c r="AY217" s="0" t="n">
        <f aca="false">COUNTIF(DU217:EH217, "&lt;&gt;")</f>
        <v>0</v>
      </c>
      <c r="AZ217" s="0" t="n">
        <f aca="false">IF(EH217&lt;&gt;"",1,0)</f>
        <v>0</v>
      </c>
      <c r="BB217" s="0" t="s">
        <v>153</v>
      </c>
    </row>
    <row r="218" customFormat="false" ht="13.8" hidden="true" customHeight="false" outlineLevel="0" collapsed="false">
      <c r="A218" s="0" t="s">
        <v>1323</v>
      </c>
      <c r="B218" s="0" t="n">
        <v>78</v>
      </c>
      <c r="C218" s="0" t="n">
        <v>362586</v>
      </c>
      <c r="D218" s="0" t="s">
        <v>1324</v>
      </c>
      <c r="E218" s="0" t="s">
        <v>689</v>
      </c>
      <c r="F218" s="0" t="str">
        <f aca="false">CONCATENATE(D218," ",LEFT(H218,4),"T=",AU218,"D=",AV218,"R=",AW218,"M=",AX218,"L=",AY218,"B=",AZ218)</f>
        <v>RITCHEY T=1D=0R=0M=0L=0B=0</v>
      </c>
      <c r="G218" s="0" t="s">
        <v>1325</v>
      </c>
      <c r="I218" s="0" t="s">
        <v>1326</v>
      </c>
      <c r="J218" s="0" t="s">
        <v>1327</v>
      </c>
      <c r="K218" s="0" t="s">
        <v>175</v>
      </c>
      <c r="L218" s="0"/>
      <c r="M218" s="0" t="s">
        <v>1310</v>
      </c>
      <c r="N218" s="0" t="str">
        <f aca="false">RIGHT(M218,LEN(M218)-FIND(" ",M218))</f>
        <v>BELMONT AVE NE</v>
      </c>
      <c r="P218" s="0" t="s">
        <v>146</v>
      </c>
      <c r="Q218" s="0" t="s">
        <v>147</v>
      </c>
      <c r="R218" s="0" t="n">
        <v>44483</v>
      </c>
      <c r="AD218" s="0" t="s">
        <v>148</v>
      </c>
      <c r="AE218" s="0" t="s">
        <v>149</v>
      </c>
      <c r="AF218" s="0" t="s">
        <v>150</v>
      </c>
      <c r="AH218" s="0" t="n">
        <v>14</v>
      </c>
      <c r="AI218" s="0" t="n">
        <v>11</v>
      </c>
      <c r="AN218" s="0" t="s">
        <v>146</v>
      </c>
      <c r="AO218" s="0" t="s">
        <v>236</v>
      </c>
      <c r="AP218" s="0" t="s">
        <v>237</v>
      </c>
      <c r="AQ218" s="0" t="n">
        <v>9</v>
      </c>
      <c r="AR218" s="0" t="n">
        <v>64</v>
      </c>
      <c r="AS218" s="0" t="n">
        <v>32</v>
      </c>
      <c r="AU218" s="0" t="n">
        <f aca="false">COUNTA($BA$1073:$EH$1073)</f>
        <v>1</v>
      </c>
      <c r="AV218" s="0" t="n">
        <f aca="false">COUNTIF($BA$1073:$EH$1073,"D")</f>
        <v>0</v>
      </c>
      <c r="AW218" s="0" t="n">
        <f aca="false">COUNTIF($BA$1073:$EH$1073,"R")</f>
        <v>0</v>
      </c>
      <c r="AX218" s="0" t="n">
        <f aca="false"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>0</v>
      </c>
      <c r="AY218" s="0" t="n">
        <f aca="false">COUNTIF(DU218:EH218, "&lt;&gt;")</f>
        <v>0</v>
      </c>
      <c r="AZ218" s="0" t="n">
        <f aca="false">IF(EH218&lt;&gt;"",1,0)</f>
        <v>0</v>
      </c>
      <c r="BB218" s="0" t="s">
        <v>153</v>
      </c>
      <c r="CA218" s="0" t="s">
        <v>154</v>
      </c>
      <c r="CP218" s="0" t="s">
        <v>154</v>
      </c>
      <c r="CY218" s="0" t="s">
        <v>154</v>
      </c>
    </row>
    <row r="219" customFormat="false" ht="13.8" hidden="true" customHeight="false" outlineLevel="0" collapsed="false">
      <c r="A219" s="0" t="s">
        <v>1328</v>
      </c>
      <c r="B219" s="0" t="n">
        <v>78</v>
      </c>
      <c r="C219" s="0" t="n">
        <v>373472</v>
      </c>
      <c r="D219" s="0" t="s">
        <v>1329</v>
      </c>
      <c r="E219" s="0" t="s">
        <v>1330</v>
      </c>
      <c r="F219" s="0" t="str">
        <f aca="false">CONCATENATE(D219," ",LEFT(H219,4),"T=",AU219,"D=",AV219,"R=",AW219,"M=",AX219,"L=",AY219,"B=",AZ219)</f>
        <v>REHAK T=1D=0R=0M=1L=0B=0</v>
      </c>
      <c r="G219" s="0" t="s">
        <v>188</v>
      </c>
      <c r="I219" s="0" t="s">
        <v>1331</v>
      </c>
      <c r="J219" s="0" t="s">
        <v>1332</v>
      </c>
      <c r="K219" s="0" t="s">
        <v>144</v>
      </c>
      <c r="L219" s="0"/>
      <c r="M219" s="0" t="s">
        <v>1333</v>
      </c>
      <c r="N219" s="0" t="str">
        <f aca="false">RIGHT(M219,LEN(M219)-FIND(" ",M219))</f>
        <v>BELMONT AVE NE</v>
      </c>
      <c r="P219" s="0" t="s">
        <v>146</v>
      </c>
      <c r="Q219" s="0" t="s">
        <v>147</v>
      </c>
      <c r="R219" s="0" t="n">
        <v>44483</v>
      </c>
      <c r="AD219" s="0" t="s">
        <v>148</v>
      </c>
      <c r="AE219" s="0" t="s">
        <v>149</v>
      </c>
      <c r="AF219" s="0" t="s">
        <v>150</v>
      </c>
      <c r="AH219" s="0" t="n">
        <v>14</v>
      </c>
      <c r="AI219" s="0" t="n">
        <v>11</v>
      </c>
      <c r="AN219" s="0" t="s">
        <v>146</v>
      </c>
      <c r="AO219" s="0" t="s">
        <v>236</v>
      </c>
      <c r="AP219" s="0" t="s">
        <v>237</v>
      </c>
      <c r="AQ219" s="0" t="n">
        <v>9</v>
      </c>
      <c r="AR219" s="0" t="n">
        <v>64</v>
      </c>
      <c r="AS219" s="0" t="n">
        <v>32</v>
      </c>
      <c r="AU219" s="0" t="n">
        <f aca="false">COUNTA($BA$275:$EH$275)</f>
        <v>1</v>
      </c>
      <c r="AV219" s="0" t="n">
        <f aca="false">COUNTIF($BA$275:$EH$275,"D")</f>
        <v>0</v>
      </c>
      <c r="AW219" s="0" t="n">
        <f aca="false">COUNTIF($BA$275:$EH$275,"R")</f>
        <v>0</v>
      </c>
      <c r="AX219" s="0" t="n">
        <f aca="false"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>1</v>
      </c>
      <c r="AY219" s="0" t="n">
        <f aca="false">COUNTIF(DU219:EH219, "&lt;&gt;")</f>
        <v>0</v>
      </c>
      <c r="AZ219" s="0" t="n">
        <f aca="false">IF(EH219&lt;&gt;"",1,0)</f>
        <v>0</v>
      </c>
      <c r="BB219" s="0" t="s">
        <v>153</v>
      </c>
      <c r="CH219" s="0" t="s">
        <v>176</v>
      </c>
      <c r="CK219" s="0" t="s">
        <v>154</v>
      </c>
      <c r="CN219" s="0" t="s">
        <v>154</v>
      </c>
      <c r="CO219" s="0" t="s">
        <v>176</v>
      </c>
      <c r="CP219" s="0" t="s">
        <v>154</v>
      </c>
      <c r="CT219" s="0" t="s">
        <v>154</v>
      </c>
      <c r="CU219" s="0" t="s">
        <v>176</v>
      </c>
      <c r="CV219" s="0" t="s">
        <v>154</v>
      </c>
      <c r="CY219" s="0" t="s">
        <v>154</v>
      </c>
      <c r="CZ219" s="0" t="s">
        <v>176</v>
      </c>
      <c r="DC219" s="0" t="s">
        <v>154</v>
      </c>
      <c r="DG219" s="0" t="s">
        <v>176</v>
      </c>
      <c r="DI219" s="0" t="s">
        <v>154</v>
      </c>
      <c r="DJ219" s="0" t="s">
        <v>155</v>
      </c>
      <c r="DL219" s="0" t="s">
        <v>154</v>
      </c>
      <c r="DM219" s="0" t="s">
        <v>155</v>
      </c>
      <c r="DN219" s="0" t="s">
        <v>154</v>
      </c>
    </row>
    <row r="220" customFormat="false" ht="13.8" hidden="false" customHeight="false" outlineLevel="0" collapsed="false">
      <c r="A220" s="0" t="s">
        <v>1334</v>
      </c>
      <c r="B220" s="0" t="n">
        <v>78</v>
      </c>
      <c r="C220" s="0" t="n">
        <v>412423</v>
      </c>
      <c r="D220" s="0" t="s">
        <v>1335</v>
      </c>
      <c r="E220" s="0" t="s">
        <v>698</v>
      </c>
      <c r="F220" s="0" t="str">
        <f aca="false">CONCATENATE(D220," ",LEFT(H220,4),"T=",AU220,"D=",AV220,"R=",AW220,"M=",AX220,"L=",AY220,"B=",AZ220)</f>
        <v>KILDOW T=12D=2R=0M=3L=5B=0</v>
      </c>
      <c r="G220" s="0" t="s">
        <v>1336</v>
      </c>
      <c r="I220" s="0" t="s">
        <v>1337</v>
      </c>
      <c r="J220" s="0" t="s">
        <v>1338</v>
      </c>
      <c r="K220" s="0" t="s">
        <v>175</v>
      </c>
      <c r="L220" s="1" t="s">
        <v>155</v>
      </c>
      <c r="M220" s="0" t="s">
        <v>1339</v>
      </c>
      <c r="N220" s="0" t="str">
        <f aca="false">RIGHT(M220,LEN(M220)-FIND(" ",M220))</f>
        <v>BELMONT AVE NE</v>
      </c>
      <c r="P220" s="0" t="s">
        <v>146</v>
      </c>
      <c r="Q220" s="0" t="s">
        <v>147</v>
      </c>
      <c r="R220" s="0" t="n">
        <v>44483</v>
      </c>
      <c r="AD220" s="0" t="s">
        <v>148</v>
      </c>
      <c r="AE220" s="0" t="s">
        <v>149</v>
      </c>
      <c r="AF220" s="0" t="s">
        <v>150</v>
      </c>
      <c r="AH220" s="0" t="n">
        <v>14</v>
      </c>
      <c r="AI220" s="0" t="n">
        <v>11</v>
      </c>
      <c r="AN220" s="0" t="s">
        <v>146</v>
      </c>
      <c r="AO220" s="0" t="s">
        <v>236</v>
      </c>
      <c r="AP220" s="0" t="s">
        <v>237</v>
      </c>
      <c r="AQ220" s="0" t="n">
        <v>9</v>
      </c>
      <c r="AR220" s="0" t="n">
        <v>64</v>
      </c>
      <c r="AS220" s="0" t="n">
        <v>32</v>
      </c>
      <c r="AU220" s="0" t="n">
        <f aca="false">COUNTA($BA$221:$EH$221)</f>
        <v>12</v>
      </c>
      <c r="AV220" s="0" t="n">
        <f aca="false">COUNTIF($BA$221:$EH$221,"D")</f>
        <v>2</v>
      </c>
      <c r="AW220" s="0" t="n">
        <f aca="false">COUNTIF($BA$221:$EH$221,"R")</f>
        <v>0</v>
      </c>
      <c r="AX220" s="0" t="n">
        <f aca="false"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>3</v>
      </c>
      <c r="AY220" s="0" t="n">
        <f aca="false">COUNTIF(DU220:EH220, "&lt;&gt;")</f>
        <v>5</v>
      </c>
      <c r="AZ220" s="0" t="n">
        <f aca="false">IF(EH220&lt;&gt;"",1,0)</f>
        <v>0</v>
      </c>
      <c r="BB220" s="0" t="s">
        <v>153</v>
      </c>
      <c r="CZ220" s="0" t="s">
        <v>155</v>
      </c>
      <c r="DC220" s="0" t="s">
        <v>154</v>
      </c>
      <c r="DD220" s="0" t="s">
        <v>155</v>
      </c>
      <c r="DF220" s="0" t="s">
        <v>154</v>
      </c>
      <c r="DG220" s="0" t="s">
        <v>155</v>
      </c>
      <c r="DI220" s="0" t="s">
        <v>154</v>
      </c>
      <c r="DJ220" s="0" t="s">
        <v>155</v>
      </c>
      <c r="DL220" s="0" t="s">
        <v>154</v>
      </c>
      <c r="DM220" s="0" t="s">
        <v>155</v>
      </c>
      <c r="DN220" s="0" t="s">
        <v>154</v>
      </c>
      <c r="DU220" s="0" t="s">
        <v>154</v>
      </c>
      <c r="DW220" s="0" t="s">
        <v>155</v>
      </c>
      <c r="DX220" s="0" t="s">
        <v>154</v>
      </c>
      <c r="EA220" s="0" t="s">
        <v>154</v>
      </c>
      <c r="EF220" s="0" t="s">
        <v>154</v>
      </c>
    </row>
    <row r="221" customFormat="false" ht="13.8" hidden="false" customHeight="false" outlineLevel="0" collapsed="false">
      <c r="A221" s="0" t="s">
        <v>1340</v>
      </c>
      <c r="B221" s="0" t="n">
        <v>78</v>
      </c>
      <c r="C221" s="0" t="n">
        <v>418914</v>
      </c>
      <c r="D221" s="0" t="s">
        <v>1335</v>
      </c>
      <c r="E221" s="0" t="s">
        <v>1341</v>
      </c>
      <c r="F221" s="0" t="str">
        <f aca="false">CONCATENATE(D221," ",LEFT(H221,4),"T=",AU221,"D=",AV221,"R=",AW221,"M=",AX221,"L=",AY221,"B=",AZ221)</f>
        <v>KILDOW T=8D=0R=0M=1L=5B=0</v>
      </c>
      <c r="G221" s="0" t="s">
        <v>1342</v>
      </c>
      <c r="I221" s="0" t="s">
        <v>1343</v>
      </c>
      <c r="J221" s="0" t="s">
        <v>1344</v>
      </c>
      <c r="K221" s="0" t="s">
        <v>175</v>
      </c>
      <c r="L221" s="1" t="s">
        <v>155</v>
      </c>
      <c r="M221" s="0" t="s">
        <v>1339</v>
      </c>
      <c r="N221" s="0" t="str">
        <f aca="false">RIGHT(M221,LEN(M221)-FIND(" ",M221))</f>
        <v>BELMONT AVE NE</v>
      </c>
      <c r="P221" s="0" t="s">
        <v>146</v>
      </c>
      <c r="Q221" s="0" t="s">
        <v>147</v>
      </c>
      <c r="R221" s="0" t="n">
        <v>44483</v>
      </c>
      <c r="AD221" s="0" t="s">
        <v>148</v>
      </c>
      <c r="AE221" s="0" t="s">
        <v>149</v>
      </c>
      <c r="AF221" s="0" t="s">
        <v>150</v>
      </c>
      <c r="AH221" s="0" t="n">
        <v>14</v>
      </c>
      <c r="AI221" s="0" t="n">
        <v>11</v>
      </c>
      <c r="AN221" s="0" t="s">
        <v>146</v>
      </c>
      <c r="AO221" s="0" t="s">
        <v>236</v>
      </c>
      <c r="AP221" s="0" t="s">
        <v>237</v>
      </c>
      <c r="AQ221" s="0" t="n">
        <v>9</v>
      </c>
      <c r="AR221" s="0" t="n">
        <v>64</v>
      </c>
      <c r="AS221" s="0" t="n">
        <v>32</v>
      </c>
      <c r="AU221" s="0" t="n">
        <f aca="false">COUNTA($BA$491:$EH$491)</f>
        <v>8</v>
      </c>
      <c r="AV221" s="0" t="n">
        <f aca="false">COUNTIF($BA$491:$EH$491,"D")</f>
        <v>0</v>
      </c>
      <c r="AW221" s="0" t="n">
        <f aca="false">COUNTIF($BA$491:$EH$491,"R")</f>
        <v>0</v>
      </c>
      <c r="AX221" s="0" t="n">
        <f aca="false"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>1</v>
      </c>
      <c r="AY221" s="0" t="n">
        <f aca="false">COUNTIF(DU221:EH221, "&lt;&gt;")</f>
        <v>5</v>
      </c>
      <c r="AZ221" s="0" t="n">
        <f aca="false">IF(EH221&lt;&gt;"",1,0)</f>
        <v>0</v>
      </c>
      <c r="BB221" s="0" t="s">
        <v>153</v>
      </c>
      <c r="DC221" s="0" t="s">
        <v>154</v>
      </c>
      <c r="DF221" s="0" t="s">
        <v>154</v>
      </c>
      <c r="DI221" s="0" t="s">
        <v>154</v>
      </c>
      <c r="DL221" s="0" t="s">
        <v>154</v>
      </c>
      <c r="DM221" s="0" t="s">
        <v>155</v>
      </c>
      <c r="DN221" s="0" t="s">
        <v>154</v>
      </c>
      <c r="DU221" s="0" t="s">
        <v>154</v>
      </c>
      <c r="DW221" s="0" t="s">
        <v>155</v>
      </c>
      <c r="DX221" s="0" t="s">
        <v>154</v>
      </c>
      <c r="EA221" s="0" t="s">
        <v>154</v>
      </c>
      <c r="EF221" s="0" t="s">
        <v>154</v>
      </c>
    </row>
    <row r="222" customFormat="false" ht="13.8" hidden="false" customHeight="false" outlineLevel="0" collapsed="false">
      <c r="A222" s="0" t="s">
        <v>1345</v>
      </c>
      <c r="B222" s="0" t="n">
        <v>78</v>
      </c>
      <c r="C222" s="0" t="n">
        <v>155232</v>
      </c>
      <c r="D222" s="0" t="s">
        <v>1346</v>
      </c>
      <c r="E222" s="0" t="s">
        <v>1347</v>
      </c>
      <c r="F222" s="0" t="str">
        <f aca="false">CONCATENATE(D222," ",LEFT(H222,4),"T=",AU222,"D=",AV222,"R=",AW222,"M=",AX222,"L=",AY222,"B=",AZ222)</f>
        <v>STARR T=1D=0R=0M=6L=6B=0</v>
      </c>
      <c r="G222" s="0" t="s">
        <v>241</v>
      </c>
      <c r="I222" s="0" t="s">
        <v>1348</v>
      </c>
      <c r="J222" s="0" t="s">
        <v>1349</v>
      </c>
      <c r="K222" s="0" t="s">
        <v>175</v>
      </c>
      <c r="L222" s="1" t="s">
        <v>155</v>
      </c>
      <c r="M222" s="0" t="s">
        <v>1350</v>
      </c>
      <c r="N222" s="0" t="str">
        <f aca="false">RIGHT(M222,LEN(M222)-FIND(" ",M222))</f>
        <v>BELMONT AVE NE</v>
      </c>
      <c r="P222" s="0" t="s">
        <v>146</v>
      </c>
      <c r="Q222" s="0" t="s">
        <v>147</v>
      </c>
      <c r="R222" s="0" t="n">
        <v>44483</v>
      </c>
      <c r="AD222" s="0" t="s">
        <v>148</v>
      </c>
      <c r="AE222" s="0" t="s">
        <v>149</v>
      </c>
      <c r="AF222" s="0" t="s">
        <v>150</v>
      </c>
      <c r="AH222" s="0" t="n">
        <v>14</v>
      </c>
      <c r="AI222" s="0" t="n">
        <v>11</v>
      </c>
      <c r="AN222" s="0" t="s">
        <v>146</v>
      </c>
      <c r="AO222" s="0" t="s">
        <v>236</v>
      </c>
      <c r="AP222" s="0" t="s">
        <v>237</v>
      </c>
      <c r="AQ222" s="0" t="n">
        <v>9</v>
      </c>
      <c r="AR222" s="0" t="n">
        <v>64</v>
      </c>
      <c r="AS222" s="0" t="n">
        <v>32</v>
      </c>
      <c r="AU222" s="0" t="n">
        <f aca="false">COUNTA($BA$668:$EH$668)</f>
        <v>1</v>
      </c>
      <c r="AV222" s="0" t="n">
        <f aca="false">COUNTIF($BA$668:$EH$668,"D")</f>
        <v>0</v>
      </c>
      <c r="AW222" s="0" t="n">
        <f aca="false">COUNTIF($BA$668:$EH$668,"R")</f>
        <v>0</v>
      </c>
      <c r="AX222" s="0" t="n">
        <f aca="false"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>6</v>
      </c>
      <c r="AY222" s="0" t="n">
        <f aca="false">COUNTIF(DU222:EH222, "&lt;&gt;")</f>
        <v>6</v>
      </c>
      <c r="AZ222" s="0" t="n">
        <f aca="false">IF(EH222&lt;&gt;"",1,0)</f>
        <v>0</v>
      </c>
      <c r="BB222" s="0" t="s">
        <v>153</v>
      </c>
      <c r="BC222" s="0" t="s">
        <v>154</v>
      </c>
      <c r="BD222" s="0" t="s">
        <v>154</v>
      </c>
      <c r="BE222" s="0" t="s">
        <v>154</v>
      </c>
      <c r="BF222" s="0" t="s">
        <v>154</v>
      </c>
      <c r="BH222" s="0" t="s">
        <v>154</v>
      </c>
      <c r="BI222" s="0" t="s">
        <v>154</v>
      </c>
      <c r="BJ222" s="0" t="s">
        <v>154</v>
      </c>
      <c r="BK222" s="0" t="s">
        <v>154</v>
      </c>
      <c r="BL222" s="0" t="s">
        <v>154</v>
      </c>
      <c r="BP222" s="0" t="s">
        <v>154</v>
      </c>
      <c r="BR222" s="0" t="s">
        <v>154</v>
      </c>
      <c r="BS222" s="0" t="s">
        <v>154</v>
      </c>
      <c r="BV222" s="0" t="s">
        <v>154</v>
      </c>
      <c r="BY222" s="0" t="s">
        <v>155</v>
      </c>
      <c r="CA222" s="0" t="s">
        <v>154</v>
      </c>
      <c r="CC222" s="0" t="s">
        <v>155</v>
      </c>
      <c r="CG222" s="0" t="s">
        <v>154</v>
      </c>
      <c r="CH222" s="0" t="s">
        <v>155</v>
      </c>
      <c r="CK222" s="0" t="s">
        <v>154</v>
      </c>
      <c r="CN222" s="0" t="s">
        <v>154</v>
      </c>
      <c r="CO222" s="0" t="s">
        <v>155</v>
      </c>
      <c r="CP222" s="0" t="s">
        <v>154</v>
      </c>
      <c r="CT222" s="0" t="s">
        <v>154</v>
      </c>
      <c r="CU222" s="0" t="s">
        <v>155</v>
      </c>
      <c r="CV222" s="0" t="s">
        <v>154</v>
      </c>
      <c r="CW222" s="0" t="s">
        <v>155</v>
      </c>
      <c r="CY222" s="0" t="s">
        <v>154</v>
      </c>
      <c r="CZ222" s="0" t="s">
        <v>155</v>
      </c>
      <c r="DC222" s="0" t="s">
        <v>154</v>
      </c>
      <c r="DD222" s="0" t="s">
        <v>155</v>
      </c>
      <c r="DF222" s="0" t="s">
        <v>154</v>
      </c>
      <c r="DG222" s="0" t="s">
        <v>155</v>
      </c>
      <c r="DI222" s="0" t="s">
        <v>154</v>
      </c>
      <c r="DJ222" s="0" t="s">
        <v>155</v>
      </c>
      <c r="DL222" s="0" t="s">
        <v>154</v>
      </c>
      <c r="DM222" s="0" t="s">
        <v>155</v>
      </c>
      <c r="DN222" s="0" t="s">
        <v>154</v>
      </c>
      <c r="DO222" s="0" t="s">
        <v>155</v>
      </c>
      <c r="DR222" s="0" t="s">
        <v>154</v>
      </c>
      <c r="DS222" s="0" t="s">
        <v>155</v>
      </c>
      <c r="DU222" s="0" t="s">
        <v>154</v>
      </c>
      <c r="DW222" s="0" t="s">
        <v>155</v>
      </c>
      <c r="DX222" s="0" t="s">
        <v>154</v>
      </c>
      <c r="EA222" s="0" t="s">
        <v>154</v>
      </c>
      <c r="ED222" s="0" t="s">
        <v>155</v>
      </c>
      <c r="EF222" s="0" t="s">
        <v>154</v>
      </c>
    </row>
    <row r="223" customFormat="false" ht="13.8" hidden="false" customHeight="false" outlineLevel="0" collapsed="false">
      <c r="A223" s="0" t="s">
        <v>1351</v>
      </c>
      <c r="B223" s="0" t="n">
        <v>78</v>
      </c>
      <c r="C223" s="0" t="n">
        <v>215132</v>
      </c>
      <c r="D223" s="0" t="s">
        <v>1346</v>
      </c>
      <c r="E223" s="0" t="s">
        <v>1352</v>
      </c>
      <c r="F223" s="0" t="str">
        <f aca="false">CONCATENATE(D223," ",LEFT(H223,4),"T=",AU223,"D=",AV223,"R=",AW223,"M=",AX223,"L=",AY223,"B=",AZ223)</f>
        <v>STARR T=1D=0R=0M=6L=6B=0</v>
      </c>
      <c r="G223" s="0" t="s">
        <v>166</v>
      </c>
      <c r="I223" s="0" t="s">
        <v>1353</v>
      </c>
      <c r="J223" s="0" t="s">
        <v>1354</v>
      </c>
      <c r="K223" s="0" t="s">
        <v>175</v>
      </c>
      <c r="L223" s="1" t="s">
        <v>155</v>
      </c>
      <c r="M223" s="0" t="s">
        <v>1350</v>
      </c>
      <c r="N223" s="0" t="str">
        <f aca="false">RIGHT(M223,LEN(M223)-FIND(" ",M223))</f>
        <v>BELMONT AVE NE</v>
      </c>
      <c r="P223" s="0" t="s">
        <v>146</v>
      </c>
      <c r="Q223" s="0" t="s">
        <v>147</v>
      </c>
      <c r="R223" s="0" t="n">
        <v>44483</v>
      </c>
      <c r="AD223" s="0" t="s">
        <v>148</v>
      </c>
      <c r="AE223" s="0" t="s">
        <v>149</v>
      </c>
      <c r="AF223" s="0" t="s">
        <v>150</v>
      </c>
      <c r="AH223" s="0" t="n">
        <v>14</v>
      </c>
      <c r="AI223" s="0" t="n">
        <v>11</v>
      </c>
      <c r="AN223" s="0" t="s">
        <v>146</v>
      </c>
      <c r="AO223" s="0" t="s">
        <v>236</v>
      </c>
      <c r="AP223" s="0" t="s">
        <v>237</v>
      </c>
      <c r="AQ223" s="0" t="n">
        <v>9</v>
      </c>
      <c r="AR223" s="0" t="n">
        <v>64</v>
      </c>
      <c r="AS223" s="0" t="n">
        <v>32</v>
      </c>
      <c r="AU223" s="0" t="n">
        <f aca="false">COUNTA($BA$895:$EH$895)</f>
        <v>1</v>
      </c>
      <c r="AV223" s="0" t="n">
        <f aca="false">COUNTIF($BA$895:$EH$895,"D")</f>
        <v>0</v>
      </c>
      <c r="AW223" s="0" t="n">
        <f aca="false">COUNTIF($BA$895:$EH$895,"R")</f>
        <v>0</v>
      </c>
      <c r="AX223" s="0" t="n">
        <f aca="false"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>6</v>
      </c>
      <c r="AY223" s="0" t="n">
        <f aca="false">COUNTIF(DU223:EH223, "&lt;&gt;")</f>
        <v>6</v>
      </c>
      <c r="AZ223" s="0" t="n">
        <f aca="false">IF(EH223&lt;&gt;"",1,0)</f>
        <v>0</v>
      </c>
      <c r="BB223" s="0" t="s">
        <v>153</v>
      </c>
      <c r="BC223" s="0" t="s">
        <v>154</v>
      </c>
      <c r="BD223" s="0" t="s">
        <v>154</v>
      </c>
      <c r="BE223" s="0" t="s">
        <v>154</v>
      </c>
      <c r="BF223" s="0" t="s">
        <v>154</v>
      </c>
      <c r="BH223" s="0" t="s">
        <v>154</v>
      </c>
      <c r="BI223" s="0" t="s">
        <v>154</v>
      </c>
      <c r="BJ223" s="0" t="s">
        <v>154</v>
      </c>
      <c r="BK223" s="0" t="s">
        <v>154</v>
      </c>
      <c r="BL223" s="0" t="s">
        <v>154</v>
      </c>
      <c r="BP223" s="0" t="s">
        <v>154</v>
      </c>
      <c r="BR223" s="0" t="s">
        <v>154</v>
      </c>
      <c r="BS223" s="0" t="s">
        <v>154</v>
      </c>
      <c r="BV223" s="0" t="s">
        <v>154</v>
      </c>
      <c r="BY223" s="0" t="s">
        <v>155</v>
      </c>
      <c r="CA223" s="0" t="s">
        <v>154</v>
      </c>
      <c r="CC223" s="0" t="s">
        <v>155</v>
      </c>
      <c r="CG223" s="0" t="s">
        <v>154</v>
      </c>
      <c r="CH223" s="0" t="s">
        <v>155</v>
      </c>
      <c r="CK223" s="0" t="s">
        <v>154</v>
      </c>
      <c r="CN223" s="0" t="s">
        <v>154</v>
      </c>
      <c r="CO223" s="0" t="s">
        <v>155</v>
      </c>
      <c r="CP223" s="0" t="s">
        <v>154</v>
      </c>
      <c r="CT223" s="0" t="s">
        <v>154</v>
      </c>
      <c r="CU223" s="0" t="s">
        <v>155</v>
      </c>
      <c r="CV223" s="0" t="s">
        <v>154</v>
      </c>
      <c r="CW223" s="0" t="s">
        <v>155</v>
      </c>
      <c r="CY223" s="0" t="s">
        <v>154</v>
      </c>
      <c r="CZ223" s="0" t="s">
        <v>155</v>
      </c>
      <c r="DC223" s="0" t="s">
        <v>154</v>
      </c>
      <c r="DD223" s="0" t="s">
        <v>155</v>
      </c>
      <c r="DF223" s="0" t="s">
        <v>154</v>
      </c>
      <c r="DG223" s="0" t="s">
        <v>155</v>
      </c>
      <c r="DI223" s="0" t="s">
        <v>154</v>
      </c>
      <c r="DJ223" s="0" t="s">
        <v>155</v>
      </c>
      <c r="DL223" s="0" t="s">
        <v>154</v>
      </c>
      <c r="DM223" s="0" t="s">
        <v>155</v>
      </c>
      <c r="DN223" s="0" t="s">
        <v>154</v>
      </c>
      <c r="DO223" s="0" t="s">
        <v>155</v>
      </c>
      <c r="DR223" s="0" t="s">
        <v>154</v>
      </c>
      <c r="DS223" s="0" t="s">
        <v>155</v>
      </c>
      <c r="DU223" s="0" t="s">
        <v>154</v>
      </c>
      <c r="DW223" s="0" t="s">
        <v>155</v>
      </c>
      <c r="DX223" s="0" t="s">
        <v>154</v>
      </c>
      <c r="EA223" s="0" t="s">
        <v>154</v>
      </c>
      <c r="ED223" s="0" t="s">
        <v>155</v>
      </c>
      <c r="EF223" s="0" t="s">
        <v>154</v>
      </c>
    </row>
    <row r="224" customFormat="false" ht="13.8" hidden="false" customHeight="false" outlineLevel="0" collapsed="false">
      <c r="A224" s="0" t="s">
        <v>1355</v>
      </c>
      <c r="B224" s="0" t="n">
        <v>78</v>
      </c>
      <c r="C224" s="0" t="n">
        <v>421861</v>
      </c>
      <c r="D224" s="0" t="s">
        <v>513</v>
      </c>
      <c r="E224" s="0" t="s">
        <v>1356</v>
      </c>
      <c r="F224" s="0" t="str">
        <f aca="false">CONCATENATE(D224," ",LEFT(H224,4),"T=",AU224,"D=",AV224,"R=",AW224,"M=",AX224,"L=",AY224,"B=",AZ224)</f>
        <v>PATRICK T=3D=0R=0M=0L=3B=0</v>
      </c>
      <c r="G224" s="0" t="s">
        <v>172</v>
      </c>
      <c r="I224" s="0" t="s">
        <v>1357</v>
      </c>
      <c r="J224" s="0" t="s">
        <v>1358</v>
      </c>
      <c r="K224" s="0" t="s">
        <v>175</v>
      </c>
      <c r="M224" s="0" t="s">
        <v>1359</v>
      </c>
      <c r="N224" s="0" t="str">
        <f aca="false">RIGHT(M224,LEN(M224)-FIND(" ",M224))</f>
        <v>BELMONT AVE NE</v>
      </c>
      <c r="P224" s="0" t="s">
        <v>146</v>
      </c>
      <c r="Q224" s="0" t="s">
        <v>147</v>
      </c>
      <c r="R224" s="0" t="n">
        <v>44483</v>
      </c>
      <c r="AD224" s="0" t="s">
        <v>148</v>
      </c>
      <c r="AE224" s="0" t="s">
        <v>149</v>
      </c>
      <c r="AF224" s="0" t="s">
        <v>150</v>
      </c>
      <c r="AH224" s="0" t="n">
        <v>14</v>
      </c>
      <c r="AI224" s="0" t="n">
        <v>11</v>
      </c>
      <c r="AN224" s="0" t="s">
        <v>146</v>
      </c>
      <c r="AO224" s="0" t="s">
        <v>236</v>
      </c>
      <c r="AP224" s="0" t="s">
        <v>237</v>
      </c>
      <c r="AQ224" s="0" t="n">
        <v>9</v>
      </c>
      <c r="AR224" s="0" t="n">
        <v>64</v>
      </c>
      <c r="AS224" s="0" t="n">
        <v>32</v>
      </c>
      <c r="AU224" s="0" t="n">
        <f aca="false">COUNTA($BA$243:$EH$243)</f>
        <v>3</v>
      </c>
      <c r="AV224" s="0" t="n">
        <f aca="false">COUNTIF($BA$243:$EH$243,"D")</f>
        <v>0</v>
      </c>
      <c r="AW224" s="0" t="n">
        <f aca="false">COUNTIF($BA$243:$EH$243,"R")</f>
        <v>0</v>
      </c>
      <c r="AX224" s="0" t="n">
        <f aca="false"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>0</v>
      </c>
      <c r="AY224" s="0" t="n">
        <f aca="false">COUNTIF(DU224:EH224, "&lt;&gt;")</f>
        <v>3</v>
      </c>
      <c r="AZ224" s="0" t="n">
        <f aca="false">IF(EH224&lt;&gt;"",1,0)</f>
        <v>0</v>
      </c>
      <c r="BB224" s="0" t="s">
        <v>153</v>
      </c>
      <c r="DC224" s="0" t="s">
        <v>154</v>
      </c>
      <c r="DI224" s="0" t="s">
        <v>154</v>
      </c>
      <c r="DN224" s="0" t="s">
        <v>154</v>
      </c>
      <c r="DU224" s="0" t="s">
        <v>154</v>
      </c>
      <c r="EA224" s="0" t="s">
        <v>154</v>
      </c>
      <c r="EF224" s="0" t="s">
        <v>154</v>
      </c>
    </row>
    <row r="225" customFormat="false" ht="13.8" hidden="true" customHeight="false" outlineLevel="0" collapsed="false">
      <c r="A225" s="0" t="s">
        <v>1360</v>
      </c>
      <c r="B225" s="0" t="n">
        <v>78</v>
      </c>
      <c r="C225" s="0" t="n">
        <v>433868</v>
      </c>
      <c r="D225" s="0" t="s">
        <v>1361</v>
      </c>
      <c r="E225" s="0" t="s">
        <v>1362</v>
      </c>
      <c r="F225" s="0" t="str">
        <f aca="false">CONCATENATE(D225," ",LEFT(H225,4),"T=",AU225,"D=",AV225,"R=",AW225,"M=",AX225,"L=",AY225,"B=",AZ225)</f>
        <v>HUNT T=1D=0R=0M=0L=0B=0</v>
      </c>
      <c r="G225" s="0" t="s">
        <v>172</v>
      </c>
      <c r="I225" s="0" t="s">
        <v>1363</v>
      </c>
      <c r="J225" s="0" t="s">
        <v>1364</v>
      </c>
      <c r="K225" s="0" t="s">
        <v>144</v>
      </c>
      <c r="L225" s="0"/>
      <c r="M225" s="0" t="s">
        <v>1359</v>
      </c>
      <c r="N225" s="0" t="str">
        <f aca="false">RIGHT(M225,LEN(M225)-FIND(" ",M225))</f>
        <v>BELMONT AVE NE</v>
      </c>
      <c r="P225" s="0" t="s">
        <v>146</v>
      </c>
      <c r="Q225" s="0" t="s">
        <v>147</v>
      </c>
      <c r="R225" s="0" t="n">
        <v>44483</v>
      </c>
      <c r="AD225" s="0" t="s">
        <v>148</v>
      </c>
      <c r="AE225" s="0" t="s">
        <v>149</v>
      </c>
      <c r="AF225" s="0" t="s">
        <v>150</v>
      </c>
      <c r="AH225" s="0" t="n">
        <v>14</v>
      </c>
      <c r="AI225" s="0" t="n">
        <v>11</v>
      </c>
      <c r="AN225" s="0" t="s">
        <v>146</v>
      </c>
      <c r="AO225" s="0" t="s">
        <v>236</v>
      </c>
      <c r="AP225" s="0" t="s">
        <v>237</v>
      </c>
      <c r="AQ225" s="0" t="n">
        <v>9</v>
      </c>
      <c r="AR225" s="0" t="n">
        <v>64</v>
      </c>
      <c r="AS225" s="0" t="n">
        <v>32</v>
      </c>
      <c r="AU225" s="0" t="n">
        <f aca="false">COUNTA($BA$827:$EH$827)</f>
        <v>1</v>
      </c>
      <c r="AV225" s="0" t="n">
        <f aca="false">COUNTIF($BA$827:$EH$827,"D")</f>
        <v>0</v>
      </c>
      <c r="AW225" s="0" t="n">
        <f aca="false">COUNTIF($BA$827:$EH$827,"R")</f>
        <v>0</v>
      </c>
      <c r="AX225" s="0" t="n">
        <f aca="false"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>0</v>
      </c>
      <c r="AY225" s="0" t="n">
        <f aca="false">COUNTIF(DU225:EH225, "&lt;&gt;")</f>
        <v>0</v>
      </c>
      <c r="AZ225" s="0" t="n">
        <f aca="false">IF(EH225&lt;&gt;"",1,0)</f>
        <v>0</v>
      </c>
      <c r="BB225" s="0" t="s">
        <v>153</v>
      </c>
    </row>
    <row r="226" customFormat="false" ht="13.8" hidden="true" customHeight="false" outlineLevel="0" collapsed="false">
      <c r="A226" s="0" t="s">
        <v>1365</v>
      </c>
      <c r="B226" s="0" t="n">
        <v>78</v>
      </c>
      <c r="C226" s="0" t="n">
        <v>435222</v>
      </c>
      <c r="D226" s="0" t="s">
        <v>1366</v>
      </c>
      <c r="E226" s="0" t="s">
        <v>1367</v>
      </c>
      <c r="F226" s="0" t="str">
        <f aca="false">CONCATENATE(D226," ",LEFT(H226,4),"T=",AU226,"D=",AV226,"R=",AW226,"M=",AX226,"L=",AY226,"B=",AZ226)</f>
        <v>STEVENS T=6D=0R=0M=0L=0B=0</v>
      </c>
      <c r="G226" s="0" t="s">
        <v>1368</v>
      </c>
      <c r="I226" s="0" t="s">
        <v>1369</v>
      </c>
      <c r="J226" s="0" t="s">
        <v>1370</v>
      </c>
      <c r="K226" s="0" t="s">
        <v>144</v>
      </c>
      <c r="L226" s="0"/>
      <c r="M226" s="0" t="s">
        <v>1359</v>
      </c>
      <c r="N226" s="0" t="str">
        <f aca="false">RIGHT(M226,LEN(M226)-FIND(" ",M226))</f>
        <v>BELMONT AVE NE</v>
      </c>
      <c r="P226" s="0" t="s">
        <v>146</v>
      </c>
      <c r="Q226" s="0" t="s">
        <v>147</v>
      </c>
      <c r="R226" s="0" t="n">
        <v>44483</v>
      </c>
      <c r="AD226" s="0" t="s">
        <v>148</v>
      </c>
      <c r="AE226" s="0" t="s">
        <v>149</v>
      </c>
      <c r="AF226" s="0" t="s">
        <v>150</v>
      </c>
      <c r="AH226" s="0" t="n">
        <v>14</v>
      </c>
      <c r="AI226" s="0" t="n">
        <v>11</v>
      </c>
      <c r="AN226" s="0" t="s">
        <v>146</v>
      </c>
      <c r="AO226" s="0" t="s">
        <v>236</v>
      </c>
      <c r="AP226" s="0" t="s">
        <v>237</v>
      </c>
      <c r="AQ226" s="0" t="n">
        <v>9</v>
      </c>
      <c r="AR226" s="0" t="n">
        <v>64</v>
      </c>
      <c r="AS226" s="0" t="n">
        <v>32</v>
      </c>
      <c r="AU226" s="0" t="n">
        <f aca="false">COUNTA($BA$846:$EH$846)</f>
        <v>6</v>
      </c>
      <c r="AV226" s="0" t="n">
        <f aca="false">COUNTIF($BA$846:$EH$846,"D")</f>
        <v>0</v>
      </c>
      <c r="AW226" s="0" t="n">
        <f aca="false">COUNTIF($BA$846:$EH$846,"R")</f>
        <v>0</v>
      </c>
      <c r="AX226" s="0" t="n">
        <f aca="false"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>0</v>
      </c>
      <c r="AY226" s="0" t="n">
        <f aca="false">COUNTIF(DU226:EH226, "&lt;&gt;")</f>
        <v>0</v>
      </c>
      <c r="AZ226" s="0" t="n">
        <f aca="false">IF(EH226&lt;&gt;"",1,0)</f>
        <v>0</v>
      </c>
      <c r="BB226" s="0" t="s">
        <v>153</v>
      </c>
    </row>
    <row r="227" customFormat="false" ht="13.8" hidden="true" customHeight="false" outlineLevel="0" collapsed="false">
      <c r="A227" s="0" t="s">
        <v>1371</v>
      </c>
      <c r="B227" s="0" t="n">
        <v>78</v>
      </c>
      <c r="C227" s="0" t="n">
        <v>312644</v>
      </c>
      <c r="D227" s="0" t="s">
        <v>1372</v>
      </c>
      <c r="E227" s="0" t="s">
        <v>1373</v>
      </c>
      <c r="F227" s="0" t="str">
        <f aca="false">CONCATENATE(D227," ",LEFT(H227,4),"T=",AU227,"D=",AV227,"R=",AW227,"M=",AX227,"L=",AY227,"B=",AZ227)</f>
        <v>TALANCA T=12D=2R=0M=0L=0B=0</v>
      </c>
      <c r="G227" s="0" t="s">
        <v>1374</v>
      </c>
      <c r="I227" s="0" t="s">
        <v>1375</v>
      </c>
      <c r="J227" s="0" t="s">
        <v>1376</v>
      </c>
      <c r="K227" s="0" t="s">
        <v>175</v>
      </c>
      <c r="L227" s="0"/>
      <c r="M227" s="0" t="s">
        <v>1377</v>
      </c>
      <c r="N227" s="0" t="str">
        <f aca="false">RIGHT(M227,LEN(M227)-FIND(" ",M227))</f>
        <v>BELMONT AVE NW</v>
      </c>
      <c r="P227" s="0" t="s">
        <v>146</v>
      </c>
      <c r="Q227" s="0" t="s">
        <v>147</v>
      </c>
      <c r="R227" s="0" t="n">
        <v>44483</v>
      </c>
      <c r="AD227" s="0" t="s">
        <v>148</v>
      </c>
      <c r="AE227" s="0" t="s">
        <v>149</v>
      </c>
      <c r="AF227" s="0" t="s">
        <v>150</v>
      </c>
      <c r="AH227" s="0" t="n">
        <v>14</v>
      </c>
      <c r="AI227" s="0" t="n">
        <v>11</v>
      </c>
      <c r="AN227" s="0" t="s">
        <v>146</v>
      </c>
      <c r="AO227" s="0" t="s">
        <v>151</v>
      </c>
      <c r="AP227" s="0" t="s">
        <v>152</v>
      </c>
      <c r="AQ227" s="0" t="n">
        <v>9</v>
      </c>
      <c r="AR227" s="0" t="n">
        <v>64</v>
      </c>
      <c r="AS227" s="0" t="n">
        <v>32</v>
      </c>
      <c r="AU227" s="0" t="n">
        <f aca="false">COUNTA($BA$2000:$EH$2000)</f>
        <v>12</v>
      </c>
      <c r="AV227" s="0" t="n">
        <f aca="false">COUNTIF($BA$2000:$EH$2000,"D")</f>
        <v>2</v>
      </c>
      <c r="AW227" s="0" t="n">
        <f aca="false">COUNTIF($BA$2000:$EH$2000,"R")</f>
        <v>0</v>
      </c>
      <c r="AX227" s="0" t="n">
        <f aca="false"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>0</v>
      </c>
      <c r="AY227" s="0" t="n">
        <f aca="false">COUNTIF(DU227:EH227, "&lt;&gt;")</f>
        <v>0</v>
      </c>
      <c r="AZ227" s="0" t="n">
        <f aca="false">IF(EH227&lt;&gt;"",1,0)</f>
        <v>0</v>
      </c>
      <c r="BB227" s="0" t="s">
        <v>153</v>
      </c>
      <c r="BL227" s="0" t="s">
        <v>154</v>
      </c>
      <c r="CA227" s="0" t="s">
        <v>154</v>
      </c>
      <c r="CP227" s="0" t="s">
        <v>154</v>
      </c>
    </row>
    <row r="228" customFormat="false" ht="13.8" hidden="true" customHeight="false" outlineLevel="0" collapsed="false">
      <c r="A228" s="0" t="s">
        <v>1378</v>
      </c>
      <c r="B228" s="0" t="n">
        <v>78</v>
      </c>
      <c r="C228" s="0" t="n">
        <v>341132</v>
      </c>
      <c r="D228" s="0" t="s">
        <v>1379</v>
      </c>
      <c r="E228" s="0" t="s">
        <v>323</v>
      </c>
      <c r="F228" s="0" t="str">
        <f aca="false">CONCATENATE(D228," ",LEFT(H228,4),"T=",AU228,"D=",AV228,"R=",AW228,"M=",AX228,"L=",AY228,"B=",AZ228)</f>
        <v>TILTON T=2D=0R=0M=0L=0B=0</v>
      </c>
      <c r="G228" s="0" t="s">
        <v>297</v>
      </c>
      <c r="I228" s="0" t="s">
        <v>1380</v>
      </c>
      <c r="J228" s="0" t="s">
        <v>757</v>
      </c>
      <c r="K228" s="0" t="s">
        <v>175</v>
      </c>
      <c r="L228" s="0"/>
      <c r="M228" s="0" t="s">
        <v>1381</v>
      </c>
      <c r="N228" s="0" t="str">
        <f aca="false">RIGHT(M228,LEN(M228)-FIND(" ",M228))</f>
        <v>BELMONT AVE NW</v>
      </c>
      <c r="P228" s="0" t="s">
        <v>146</v>
      </c>
      <c r="Q228" s="0" t="s">
        <v>147</v>
      </c>
      <c r="R228" s="0" t="n">
        <v>44483</v>
      </c>
      <c r="AD228" s="0" t="s">
        <v>148</v>
      </c>
      <c r="AE228" s="0" t="s">
        <v>149</v>
      </c>
      <c r="AF228" s="0" t="s">
        <v>150</v>
      </c>
      <c r="AH228" s="0" t="n">
        <v>14</v>
      </c>
      <c r="AI228" s="0" t="n">
        <v>11</v>
      </c>
      <c r="AN228" s="0" t="s">
        <v>146</v>
      </c>
      <c r="AO228" s="0" t="s">
        <v>151</v>
      </c>
      <c r="AP228" s="0" t="s">
        <v>152</v>
      </c>
      <c r="AQ228" s="0" t="n">
        <v>9</v>
      </c>
      <c r="AR228" s="0" t="n">
        <v>64</v>
      </c>
      <c r="AS228" s="0" t="n">
        <v>32</v>
      </c>
      <c r="AU228" s="0" t="n">
        <f aca="false">COUNTA($BA$2031:$EH$2031)</f>
        <v>2</v>
      </c>
      <c r="AV228" s="0" t="n">
        <f aca="false">COUNTIF($BA$2031:$EH$2031,"D")</f>
        <v>0</v>
      </c>
      <c r="AW228" s="0" t="n">
        <f aca="false">COUNTIF($BA$2031:$EH$2031,"R")</f>
        <v>0</v>
      </c>
      <c r="AX228" s="0" t="n">
        <f aca="false"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>0</v>
      </c>
      <c r="AY228" s="0" t="n">
        <f aca="false">COUNTIF(DU228:EH228, "&lt;&gt;")</f>
        <v>0</v>
      </c>
      <c r="AZ228" s="0" t="n">
        <f aca="false">IF(EH228&lt;&gt;"",1,0)</f>
        <v>0</v>
      </c>
      <c r="BB228" s="0" t="s">
        <v>153</v>
      </c>
      <c r="DI228" s="0" t="s">
        <v>154</v>
      </c>
      <c r="DN228" s="0" t="s">
        <v>154</v>
      </c>
    </row>
    <row r="229" customFormat="false" ht="13.8" hidden="false" customHeight="false" outlineLevel="0" collapsed="false">
      <c r="A229" s="0" t="s">
        <v>1382</v>
      </c>
      <c r="B229" s="0" t="n">
        <v>78</v>
      </c>
      <c r="C229" s="0" t="n">
        <v>316748</v>
      </c>
      <c r="D229" s="0" t="s">
        <v>194</v>
      </c>
      <c r="E229" s="0" t="s">
        <v>1383</v>
      </c>
      <c r="F229" s="0" t="str">
        <f aca="false">CONCATENATE(D229," ",LEFT(H229,4),"T=",AU229,"D=",AV229,"R=",AW229,"M=",AX229,"L=",AY229,"B=",AZ229)</f>
        <v>JORDAN T=1D=0R=0M=1L=3B=0</v>
      </c>
      <c r="G229" s="0" t="s">
        <v>241</v>
      </c>
      <c r="I229" s="0" t="s">
        <v>1384</v>
      </c>
      <c r="J229" s="0" t="s">
        <v>1385</v>
      </c>
      <c r="K229" s="0" t="s">
        <v>175</v>
      </c>
      <c r="M229" s="0" t="s">
        <v>1386</v>
      </c>
      <c r="N229" s="0" t="str">
        <f aca="false">RIGHT(M229,LEN(M229)-FIND(" ",M229))</f>
        <v>BELMONT AVE NW</v>
      </c>
      <c r="P229" s="0" t="s">
        <v>146</v>
      </c>
      <c r="Q229" s="0" t="s">
        <v>147</v>
      </c>
      <c r="R229" s="0" t="n">
        <v>44483</v>
      </c>
      <c r="AD229" s="0" t="s">
        <v>148</v>
      </c>
      <c r="AE229" s="0" t="s">
        <v>149</v>
      </c>
      <c r="AF229" s="0" t="s">
        <v>150</v>
      </c>
      <c r="AH229" s="0" t="n">
        <v>14</v>
      </c>
      <c r="AI229" s="0" t="n">
        <v>11</v>
      </c>
      <c r="AN229" s="0" t="s">
        <v>146</v>
      </c>
      <c r="AO229" s="0" t="s">
        <v>151</v>
      </c>
      <c r="AP229" s="0" t="s">
        <v>152</v>
      </c>
      <c r="AQ229" s="0" t="n">
        <v>9</v>
      </c>
      <c r="AR229" s="0" t="n">
        <v>64</v>
      </c>
      <c r="AS229" s="0" t="n">
        <v>32</v>
      </c>
      <c r="AU229" s="0" t="n">
        <f aca="false">COUNTA($BA$1983:$EH$1983)</f>
        <v>1</v>
      </c>
      <c r="AV229" s="0" t="n">
        <f aca="false">COUNTIF($BA$1983:$EH$1983,"D")</f>
        <v>0</v>
      </c>
      <c r="AW229" s="0" t="n">
        <f aca="false">COUNTIF($BA$1983:$EH$1983,"R")</f>
        <v>0</v>
      </c>
      <c r="AX229" s="0" t="n">
        <f aca="false"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>1</v>
      </c>
      <c r="AY229" s="0" t="n">
        <f aca="false">COUNTIF(DU229:EH229, "&lt;&gt;")</f>
        <v>3</v>
      </c>
      <c r="AZ229" s="0" t="n">
        <f aca="false">IF(EH229&lt;&gt;"",1,0)</f>
        <v>0</v>
      </c>
      <c r="BB229" s="0" t="s">
        <v>153</v>
      </c>
      <c r="BL229" s="0" t="s">
        <v>154</v>
      </c>
      <c r="BP229" s="0" t="s">
        <v>154</v>
      </c>
      <c r="BS229" s="0" t="s">
        <v>154</v>
      </c>
      <c r="BY229" s="0" t="s">
        <v>155</v>
      </c>
      <c r="CA229" s="0" t="s">
        <v>154</v>
      </c>
      <c r="CK229" s="0" t="s">
        <v>154</v>
      </c>
      <c r="CN229" s="0" t="s">
        <v>154</v>
      </c>
      <c r="CP229" s="0" t="s">
        <v>154</v>
      </c>
      <c r="CQ229" s="0" t="s">
        <v>155</v>
      </c>
      <c r="CT229" s="0" t="s">
        <v>154</v>
      </c>
      <c r="CU229" s="0" t="s">
        <v>155</v>
      </c>
      <c r="CV229" s="0" t="s">
        <v>154</v>
      </c>
      <c r="CY229" s="0" t="s">
        <v>154</v>
      </c>
      <c r="CZ229" s="0" t="s">
        <v>176</v>
      </c>
      <c r="DC229" s="0" t="s">
        <v>154</v>
      </c>
      <c r="DF229" s="0" t="s">
        <v>154</v>
      </c>
      <c r="DI229" s="0" t="s">
        <v>154</v>
      </c>
      <c r="DN229" s="0" t="s">
        <v>154</v>
      </c>
      <c r="DU229" s="0" t="s">
        <v>154</v>
      </c>
      <c r="EA229" s="0" t="s">
        <v>154</v>
      </c>
      <c r="EF229" s="0" t="s">
        <v>154</v>
      </c>
    </row>
    <row r="230" customFormat="false" ht="13.8" hidden="true" customHeight="false" outlineLevel="0" collapsed="false">
      <c r="A230" s="0" t="s">
        <v>1387</v>
      </c>
      <c r="B230" s="0" t="n">
        <v>78</v>
      </c>
      <c r="C230" s="0" t="n">
        <v>405717</v>
      </c>
      <c r="D230" s="0" t="s">
        <v>1050</v>
      </c>
      <c r="E230" s="0" t="s">
        <v>1388</v>
      </c>
      <c r="F230" s="0" t="str">
        <f aca="false">CONCATENATE(D230," ",LEFT(H230,4),"T=",AU230,"D=",AV230,"R=",AW230,"M=",AX230,"L=",AY230,"B=",AZ230)</f>
        <v>JOHNSON T=1D=0R=0M=0L=0B=0</v>
      </c>
      <c r="G230" s="0" t="s">
        <v>1389</v>
      </c>
      <c r="I230" s="0" t="s">
        <v>1390</v>
      </c>
      <c r="J230" s="0" t="s">
        <v>1391</v>
      </c>
      <c r="K230" s="0" t="s">
        <v>175</v>
      </c>
      <c r="L230" s="0"/>
      <c r="M230" s="0" t="s">
        <v>1392</v>
      </c>
      <c r="N230" s="0" t="str">
        <f aca="false">RIGHT(M230,LEN(M230)-FIND(" ",M230))</f>
        <v>BELMONT AVE NW</v>
      </c>
      <c r="P230" s="0" t="s">
        <v>146</v>
      </c>
      <c r="Q230" s="0" t="s">
        <v>147</v>
      </c>
      <c r="R230" s="0" t="n">
        <v>44483</v>
      </c>
      <c r="AD230" s="0" t="s">
        <v>148</v>
      </c>
      <c r="AE230" s="0" t="s">
        <v>149</v>
      </c>
      <c r="AF230" s="0" t="s">
        <v>150</v>
      </c>
      <c r="AH230" s="0" t="n">
        <v>14</v>
      </c>
      <c r="AI230" s="0" t="n">
        <v>11</v>
      </c>
      <c r="AN230" s="0" t="s">
        <v>146</v>
      </c>
      <c r="AO230" s="0" t="s">
        <v>151</v>
      </c>
      <c r="AP230" s="0" t="s">
        <v>152</v>
      </c>
      <c r="AQ230" s="0" t="n">
        <v>9</v>
      </c>
      <c r="AR230" s="0" t="n">
        <v>64</v>
      </c>
      <c r="AS230" s="0" t="n">
        <v>32</v>
      </c>
      <c r="AU230" s="0" t="n">
        <f aca="false">COUNTA($BA$1240:$EH$1240)</f>
        <v>1</v>
      </c>
      <c r="AV230" s="0" t="n">
        <f aca="false">COUNTIF($BA$1240:$EH$1240,"D")</f>
        <v>0</v>
      </c>
      <c r="AW230" s="0" t="n">
        <f aca="false">COUNTIF($BA$1240:$EH$1240,"R")</f>
        <v>0</v>
      </c>
      <c r="AX230" s="0" t="n">
        <f aca="false"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>0</v>
      </c>
      <c r="AY230" s="0" t="n">
        <f aca="false">COUNTIF(DU230:EH230, "&lt;&gt;")</f>
        <v>0</v>
      </c>
      <c r="AZ230" s="0" t="n">
        <f aca="false">IF(EH230&lt;&gt;"",1,0)</f>
        <v>0</v>
      </c>
      <c r="BB230" s="0" t="s">
        <v>153</v>
      </c>
    </row>
    <row r="231" customFormat="false" ht="13.8" hidden="true" customHeight="false" outlineLevel="0" collapsed="false">
      <c r="A231" s="0" t="s">
        <v>1393</v>
      </c>
      <c r="B231" s="0" t="n">
        <v>78</v>
      </c>
      <c r="C231" s="0" t="n">
        <v>420168</v>
      </c>
      <c r="D231" s="0" t="s">
        <v>1394</v>
      </c>
      <c r="E231" s="0" t="s">
        <v>1395</v>
      </c>
      <c r="F231" s="0" t="str">
        <f aca="false">CONCATENATE(D231," ",LEFT(H231,4),"T=",AU231,"D=",AV231,"R=",AW231,"M=",AX231,"L=",AY231,"B=",AZ231)</f>
        <v>DANKO T=1D=0R=0M=1L=0B=0</v>
      </c>
      <c r="G231" s="0" t="s">
        <v>514</v>
      </c>
      <c r="I231" s="0" t="s">
        <v>1396</v>
      </c>
      <c r="J231" s="0" t="s">
        <v>1397</v>
      </c>
      <c r="K231" s="0" t="s">
        <v>175</v>
      </c>
      <c r="L231" s="0"/>
      <c r="M231" s="0" t="s">
        <v>1392</v>
      </c>
      <c r="N231" s="0" t="str">
        <f aca="false">RIGHT(M231,LEN(M231)-FIND(" ",M231))</f>
        <v>BELMONT AVE NW</v>
      </c>
      <c r="P231" s="0" t="s">
        <v>146</v>
      </c>
      <c r="Q231" s="0" t="s">
        <v>147</v>
      </c>
      <c r="R231" s="0" t="n">
        <v>44483</v>
      </c>
      <c r="AD231" s="0" t="s">
        <v>148</v>
      </c>
      <c r="AE231" s="0" t="s">
        <v>149</v>
      </c>
      <c r="AF231" s="0" t="s">
        <v>150</v>
      </c>
      <c r="AH231" s="0" t="n">
        <v>14</v>
      </c>
      <c r="AI231" s="0" t="n">
        <v>11</v>
      </c>
      <c r="AN231" s="0" t="s">
        <v>146</v>
      </c>
      <c r="AO231" s="0" t="s">
        <v>151</v>
      </c>
      <c r="AP231" s="0" t="s">
        <v>152</v>
      </c>
      <c r="AQ231" s="0" t="n">
        <v>9</v>
      </c>
      <c r="AR231" s="0" t="n">
        <v>64</v>
      </c>
      <c r="AS231" s="0" t="n">
        <v>32</v>
      </c>
      <c r="AU231" s="0" t="n">
        <f aca="false">COUNTA($BA$1967:$EH$1967)</f>
        <v>1</v>
      </c>
      <c r="AV231" s="0" t="n">
        <f aca="false">COUNTIF($BA$1967:$EH$1967,"D")</f>
        <v>0</v>
      </c>
      <c r="AW231" s="0" t="n">
        <f aca="false">COUNTIF($BA$1967:$EH$1967,"R")</f>
        <v>0</v>
      </c>
      <c r="AX231" s="0" t="n">
        <f aca="false"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>1</v>
      </c>
      <c r="AY231" s="0" t="n">
        <f aca="false">COUNTIF(DU231:EH231, "&lt;&gt;")</f>
        <v>0</v>
      </c>
      <c r="AZ231" s="0" t="n">
        <f aca="false">IF(EH231&lt;&gt;"",1,0)</f>
        <v>0</v>
      </c>
      <c r="BB231" s="0" t="s">
        <v>153</v>
      </c>
      <c r="BL231" s="0" t="s">
        <v>154</v>
      </c>
      <c r="CP231" s="0" t="s">
        <v>154</v>
      </c>
      <c r="DF231" s="0" t="s">
        <v>154</v>
      </c>
      <c r="DJ231" s="0" t="s">
        <v>155</v>
      </c>
    </row>
    <row r="232" customFormat="false" ht="13.8" hidden="true" customHeight="false" outlineLevel="0" collapsed="false">
      <c r="A232" s="0" t="s">
        <v>1398</v>
      </c>
      <c r="B232" s="0" t="n">
        <v>78</v>
      </c>
      <c r="C232" s="0" t="n">
        <v>466730</v>
      </c>
      <c r="D232" s="0" t="s">
        <v>1399</v>
      </c>
      <c r="E232" s="0" t="s">
        <v>750</v>
      </c>
      <c r="F232" s="0" t="str">
        <f aca="false">CONCATENATE(D232," ",LEFT(H232,4),"T=",AU232,"D=",AV232,"R=",AW232,"M=",AX232,"L=",AY232,"B=",AZ232)</f>
        <v>BARROW T=1D=0R=0M=0L=0B=0</v>
      </c>
      <c r="G232" s="0" t="s">
        <v>139</v>
      </c>
      <c r="I232" s="0" t="s">
        <v>1400</v>
      </c>
      <c r="J232" s="0" t="s">
        <v>1401</v>
      </c>
      <c r="K232" s="0" t="s">
        <v>175</v>
      </c>
      <c r="L232" s="0"/>
      <c r="M232" s="0" t="s">
        <v>1402</v>
      </c>
      <c r="N232" s="0" t="str">
        <f aca="false">RIGHT(M232,LEN(M232)-FIND(" ",M232))</f>
        <v>BELMONT AVE NW</v>
      </c>
      <c r="P232" s="0" t="s">
        <v>146</v>
      </c>
      <c r="Q232" s="0" t="s">
        <v>147</v>
      </c>
      <c r="R232" s="0" t="n">
        <v>44483</v>
      </c>
      <c r="AD232" s="0" t="s">
        <v>148</v>
      </c>
      <c r="AE232" s="0" t="s">
        <v>149</v>
      </c>
      <c r="AF232" s="0" t="s">
        <v>150</v>
      </c>
      <c r="AH232" s="0" t="n">
        <v>14</v>
      </c>
      <c r="AI232" s="0" t="n">
        <v>11</v>
      </c>
      <c r="AN232" s="0" t="s">
        <v>146</v>
      </c>
      <c r="AO232" s="0" t="s">
        <v>151</v>
      </c>
      <c r="AP232" s="0" t="s">
        <v>152</v>
      </c>
      <c r="AQ232" s="0" t="n">
        <v>9</v>
      </c>
      <c r="AR232" s="0" t="n">
        <v>64</v>
      </c>
      <c r="AS232" s="0" t="n">
        <v>32</v>
      </c>
      <c r="AU232" s="0" t="n">
        <f aca="false">COUNTA($BA$1352:$EH$1352)</f>
        <v>1</v>
      </c>
      <c r="AV232" s="0" t="n">
        <f aca="false">COUNTIF($BA$1352:$EH$1352,"D")</f>
        <v>0</v>
      </c>
      <c r="AW232" s="0" t="n">
        <f aca="false">COUNTIF($BA$1352:$EH$1352,"R")</f>
        <v>0</v>
      </c>
      <c r="AX232" s="0" t="n">
        <f aca="false"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>0</v>
      </c>
      <c r="AY232" s="0" t="n">
        <f aca="false">COUNTIF(DU232:EH232, "&lt;&gt;")</f>
        <v>0</v>
      </c>
      <c r="AZ232" s="0" t="n">
        <f aca="false">IF(EH232&lt;&gt;"",1,0)</f>
        <v>0</v>
      </c>
      <c r="BB232" s="0" t="s">
        <v>153</v>
      </c>
    </row>
    <row r="233" customFormat="false" ht="13.8" hidden="true" customHeight="false" outlineLevel="0" collapsed="false">
      <c r="A233" s="0" t="s">
        <v>1403</v>
      </c>
      <c r="B233" s="0" t="n">
        <v>78</v>
      </c>
      <c r="C233" s="0" t="n">
        <v>302037</v>
      </c>
      <c r="D233" s="0" t="s">
        <v>1404</v>
      </c>
      <c r="E233" s="0" t="s">
        <v>1405</v>
      </c>
      <c r="F233" s="0" t="str">
        <f aca="false">CONCATENATE(D233," ",LEFT(H233,4),"T=",AU233,"D=",AV233,"R=",AW233,"M=",AX233,"L=",AY233,"B=",AZ233)</f>
        <v>CRIST T=17D=3R=0M=0L=0B=0</v>
      </c>
      <c r="G233" s="0" t="s">
        <v>172</v>
      </c>
      <c r="I233" s="0" t="s">
        <v>1406</v>
      </c>
      <c r="J233" s="0" t="s">
        <v>1407</v>
      </c>
      <c r="K233" s="0" t="s">
        <v>175</v>
      </c>
      <c r="L233" s="0"/>
      <c r="M233" s="0" t="s">
        <v>1402</v>
      </c>
      <c r="N233" s="0" t="str">
        <f aca="false">RIGHT(M233,LEN(M233)-FIND(" ",M233))</f>
        <v>BELMONT AVE NW</v>
      </c>
      <c r="P233" s="0" t="s">
        <v>146</v>
      </c>
      <c r="Q233" s="0" t="s">
        <v>147</v>
      </c>
      <c r="R233" s="0" t="n">
        <v>44483</v>
      </c>
      <c r="AD233" s="0" t="s">
        <v>148</v>
      </c>
      <c r="AE233" s="0" t="s">
        <v>149</v>
      </c>
      <c r="AF233" s="0" t="s">
        <v>150</v>
      </c>
      <c r="AH233" s="0" t="n">
        <v>14</v>
      </c>
      <c r="AI233" s="0" t="n">
        <v>11</v>
      </c>
      <c r="AN233" s="0" t="s">
        <v>146</v>
      </c>
      <c r="AO233" s="0" t="s">
        <v>151</v>
      </c>
      <c r="AP233" s="0" t="s">
        <v>152</v>
      </c>
      <c r="AQ233" s="0" t="n">
        <v>9</v>
      </c>
      <c r="AR233" s="0" t="n">
        <v>64</v>
      </c>
      <c r="AS233" s="0" t="n">
        <v>32</v>
      </c>
      <c r="AU233" s="0" t="n">
        <f aca="false">COUNTA($BA$1510:$EH$1510)</f>
        <v>17</v>
      </c>
      <c r="AV233" s="0" t="n">
        <f aca="false">COUNTIF($BA$1510:$EH$1510,"D")</f>
        <v>3</v>
      </c>
      <c r="AW233" s="0" t="n">
        <f aca="false">COUNTIF($BA$1510:$EH$1510,"R")</f>
        <v>0</v>
      </c>
      <c r="AX233" s="0" t="n">
        <f aca="false"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>0</v>
      </c>
      <c r="AY233" s="0" t="n">
        <f aca="false">COUNTIF(DU233:EH233, "&lt;&gt;")</f>
        <v>0</v>
      </c>
      <c r="AZ233" s="0" t="n">
        <f aca="false">IF(EH233&lt;&gt;"",1,0)</f>
        <v>0</v>
      </c>
      <c r="BB233" s="0" t="s">
        <v>153</v>
      </c>
      <c r="BL233" s="0" t="s">
        <v>154</v>
      </c>
      <c r="DN233" s="0" t="s">
        <v>154</v>
      </c>
    </row>
    <row r="234" customFormat="false" ht="13.8" hidden="false" customHeight="false" outlineLevel="0" collapsed="false">
      <c r="A234" s="0" t="s">
        <v>1408</v>
      </c>
      <c r="B234" s="0" t="n">
        <v>78</v>
      </c>
      <c r="C234" s="0" t="n">
        <v>443036</v>
      </c>
      <c r="D234" s="0" t="s">
        <v>1409</v>
      </c>
      <c r="E234" s="0" t="s">
        <v>1410</v>
      </c>
      <c r="F234" s="0" t="str">
        <f aca="false">CONCATENATE(D234," ",LEFT(H234,4),"T=",AU234,"D=",AV234,"R=",AW234,"M=",AX234,"L=",AY234,"B=",AZ234)</f>
        <v>SILVA T=2D=0R=0M=0L=4B=0</v>
      </c>
      <c r="G234" s="0" t="s">
        <v>172</v>
      </c>
      <c r="I234" s="0" t="s">
        <v>1411</v>
      </c>
      <c r="J234" s="0" t="s">
        <v>1412</v>
      </c>
      <c r="K234" s="0" t="s">
        <v>175</v>
      </c>
      <c r="L234" s="1" t="s">
        <v>176</v>
      </c>
      <c r="M234" s="0" t="s">
        <v>1413</v>
      </c>
      <c r="N234" s="0" t="str">
        <f aca="false">RIGHT(M234,LEN(M234)-FIND(" ",M234))</f>
        <v>BELMONT AVE NW</v>
      </c>
      <c r="P234" s="0" t="s">
        <v>146</v>
      </c>
      <c r="Q234" s="0" t="s">
        <v>147</v>
      </c>
      <c r="R234" s="0" t="n">
        <v>44483</v>
      </c>
      <c r="AD234" s="0" t="s">
        <v>148</v>
      </c>
      <c r="AE234" s="0" t="s">
        <v>149</v>
      </c>
      <c r="AF234" s="0" t="s">
        <v>150</v>
      </c>
      <c r="AH234" s="0" t="n">
        <v>14</v>
      </c>
      <c r="AI234" s="0" t="n">
        <v>11</v>
      </c>
      <c r="AN234" s="0" t="s">
        <v>146</v>
      </c>
      <c r="AO234" s="0" t="s">
        <v>151</v>
      </c>
      <c r="AP234" s="0" t="s">
        <v>152</v>
      </c>
      <c r="AQ234" s="0" t="n">
        <v>9</v>
      </c>
      <c r="AR234" s="0" t="n">
        <v>64</v>
      </c>
      <c r="AS234" s="0" t="n">
        <v>32</v>
      </c>
      <c r="AU234" s="0" t="n">
        <f aca="false">COUNTA($BA$1344:$EH$1344)</f>
        <v>2</v>
      </c>
      <c r="AV234" s="0" t="n">
        <f aca="false">COUNTIF($BA$1344:$EH$1344,"D")</f>
        <v>0</v>
      </c>
      <c r="AW234" s="0" t="n">
        <f aca="false">COUNTIF($BA$1344:$EH$1344,"R")</f>
        <v>0</v>
      </c>
      <c r="AX234" s="0" t="n">
        <f aca="false"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>0</v>
      </c>
      <c r="AY234" s="0" t="n">
        <f aca="false">COUNTIF(DU234:EH234, "&lt;&gt;")</f>
        <v>4</v>
      </c>
      <c r="AZ234" s="0" t="n">
        <f aca="false">IF(EH234&lt;&gt;"",1,0)</f>
        <v>0</v>
      </c>
      <c r="BB234" s="0" t="s">
        <v>153</v>
      </c>
      <c r="BY234" s="0" t="s">
        <v>155</v>
      </c>
      <c r="CA234" s="0" t="s">
        <v>154</v>
      </c>
      <c r="CG234" s="0" t="s">
        <v>154</v>
      </c>
      <c r="CN234" s="0" t="s">
        <v>154</v>
      </c>
      <c r="CY234" s="0" t="s">
        <v>154</v>
      </c>
      <c r="CZ234" s="0" t="s">
        <v>176</v>
      </c>
      <c r="DC234" s="0" t="s">
        <v>154</v>
      </c>
      <c r="DF234" s="0" t="s">
        <v>154</v>
      </c>
      <c r="DI234" s="0" t="s">
        <v>154</v>
      </c>
      <c r="DN234" s="0" t="s">
        <v>154</v>
      </c>
      <c r="DR234" s="0" t="s">
        <v>154</v>
      </c>
      <c r="DS234" s="0" t="s">
        <v>176</v>
      </c>
      <c r="DU234" s="0" t="s">
        <v>154</v>
      </c>
      <c r="DX234" s="0" t="s">
        <v>154</v>
      </c>
      <c r="EA234" s="0" t="s">
        <v>154</v>
      </c>
      <c r="EF234" s="0" t="s">
        <v>154</v>
      </c>
    </row>
    <row r="235" customFormat="false" ht="13.8" hidden="false" customHeight="false" outlineLevel="0" collapsed="false">
      <c r="A235" s="0" t="s">
        <v>1414</v>
      </c>
      <c r="B235" s="0" t="n">
        <v>78</v>
      </c>
      <c r="C235" s="0" t="n">
        <v>446536</v>
      </c>
      <c r="D235" s="0" t="s">
        <v>1409</v>
      </c>
      <c r="E235" s="0" t="s">
        <v>1415</v>
      </c>
      <c r="F235" s="0" t="str">
        <f aca="false">CONCATENATE(D235," ",LEFT(H235,4),"T=",AU235,"D=",AV235,"R=",AW235,"M=",AX235,"L=",AY235,"B=",AZ235)</f>
        <v>SILVA T=1D=0R=0M=0L=3B=0</v>
      </c>
      <c r="G235" s="0" t="s">
        <v>1416</v>
      </c>
      <c r="I235" s="0" t="s">
        <v>1417</v>
      </c>
      <c r="J235" s="0" t="s">
        <v>1418</v>
      </c>
      <c r="K235" s="0" t="s">
        <v>175</v>
      </c>
      <c r="L235" s="1" t="s">
        <v>176</v>
      </c>
      <c r="M235" s="0" t="s">
        <v>1413</v>
      </c>
      <c r="N235" s="0" t="str">
        <f aca="false">RIGHT(M235,LEN(M235)-FIND(" ",M235))</f>
        <v>BELMONT AVE NW</v>
      </c>
      <c r="P235" s="0" t="s">
        <v>146</v>
      </c>
      <c r="Q235" s="0" t="s">
        <v>147</v>
      </c>
      <c r="R235" s="0" t="n">
        <v>44483</v>
      </c>
      <c r="AD235" s="0" t="s">
        <v>148</v>
      </c>
      <c r="AE235" s="0" t="s">
        <v>149</v>
      </c>
      <c r="AF235" s="0" t="s">
        <v>150</v>
      </c>
      <c r="AH235" s="0" t="n">
        <v>14</v>
      </c>
      <c r="AI235" s="0" t="n">
        <v>11</v>
      </c>
      <c r="AN235" s="0" t="s">
        <v>146</v>
      </c>
      <c r="AO235" s="0" t="s">
        <v>151</v>
      </c>
      <c r="AP235" s="0" t="s">
        <v>152</v>
      </c>
      <c r="AQ235" s="0" t="n">
        <v>9</v>
      </c>
      <c r="AR235" s="0" t="n">
        <v>64</v>
      </c>
      <c r="AS235" s="0" t="n">
        <v>32</v>
      </c>
      <c r="AU235" s="0" t="n">
        <f aca="false">COUNTA($BA$2003:$EH$2003)</f>
        <v>1</v>
      </c>
      <c r="AV235" s="0" t="n">
        <f aca="false">COUNTIF($BA$2003:$EH$2003,"D")</f>
        <v>0</v>
      </c>
      <c r="AW235" s="0" t="n">
        <f aca="false">COUNTIF($BA$2003:$EH$2003,"R")</f>
        <v>0</v>
      </c>
      <c r="AX235" s="0" t="n">
        <f aca="false"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>0</v>
      </c>
      <c r="AY235" s="0" t="n">
        <f aca="false">COUNTIF(DU235:EH235, "&lt;&gt;")</f>
        <v>3</v>
      </c>
      <c r="AZ235" s="0" t="n">
        <f aca="false">IF(EH235&lt;&gt;"",1,0)</f>
        <v>0</v>
      </c>
      <c r="BB235" s="0" t="s">
        <v>153</v>
      </c>
      <c r="DN235" s="0" t="s">
        <v>154</v>
      </c>
      <c r="DS235" s="0" t="s">
        <v>176</v>
      </c>
      <c r="DU235" s="0" t="s">
        <v>154</v>
      </c>
      <c r="DX235" s="0" t="s">
        <v>154</v>
      </c>
      <c r="EF235" s="0" t="s">
        <v>154</v>
      </c>
    </row>
    <row r="236" customFormat="false" ht="13.8" hidden="true" customHeight="false" outlineLevel="0" collapsed="false">
      <c r="A236" s="0" t="s">
        <v>1419</v>
      </c>
      <c r="B236" s="0" t="n">
        <v>78</v>
      </c>
      <c r="C236" s="0" t="n">
        <v>379819</v>
      </c>
      <c r="D236" s="0" t="s">
        <v>1420</v>
      </c>
      <c r="E236" s="0" t="s">
        <v>1421</v>
      </c>
      <c r="F236" s="0" t="str">
        <f aca="false">CONCATENATE(D236," ",LEFT(H236,4),"T=",AU236,"D=",AV236,"R=",AW236,"M=",AX236,"L=",AY236,"B=",AZ236)</f>
        <v>BRYANT T=46D=15R=2M=0L=0B=0</v>
      </c>
      <c r="G236" s="0" t="s">
        <v>155</v>
      </c>
      <c r="I236" s="0" t="s">
        <v>1422</v>
      </c>
      <c r="J236" s="0" t="s">
        <v>1423</v>
      </c>
      <c r="K236" s="0" t="s">
        <v>144</v>
      </c>
      <c r="L236" s="0"/>
      <c r="M236" s="0" t="s">
        <v>1424</v>
      </c>
      <c r="N236" s="0" t="str">
        <f aca="false">RIGHT(M236,LEN(M236)-FIND(" ",M236))</f>
        <v>BELMONT AVE NW</v>
      </c>
      <c r="P236" s="0" t="s">
        <v>146</v>
      </c>
      <c r="Q236" s="0" t="s">
        <v>147</v>
      </c>
      <c r="R236" s="0" t="n">
        <v>44483</v>
      </c>
      <c r="AD236" s="0" t="s">
        <v>148</v>
      </c>
      <c r="AE236" s="0" t="s">
        <v>149</v>
      </c>
      <c r="AF236" s="0" t="s">
        <v>150</v>
      </c>
      <c r="AH236" s="0" t="n">
        <v>14</v>
      </c>
      <c r="AI236" s="0" t="n">
        <v>11</v>
      </c>
      <c r="AN236" s="0" t="s">
        <v>146</v>
      </c>
      <c r="AO236" s="0" t="s">
        <v>151</v>
      </c>
      <c r="AP236" s="0" t="s">
        <v>152</v>
      </c>
      <c r="AQ236" s="0" t="n">
        <v>9</v>
      </c>
      <c r="AR236" s="0" t="n">
        <v>64</v>
      </c>
      <c r="AS236" s="0" t="n">
        <v>32</v>
      </c>
      <c r="AU236" s="0" t="n">
        <f aca="false">COUNTA($BA$1872:$EH$1872)</f>
        <v>46</v>
      </c>
      <c r="AV236" s="0" t="n">
        <f aca="false">COUNTIF($BA$1872:$EH$1872,"D")</f>
        <v>15</v>
      </c>
      <c r="AW236" s="0" t="n">
        <f aca="false">COUNTIF($BA$1872:$EH$1872,"R")</f>
        <v>2</v>
      </c>
      <c r="AX236" s="0" t="n">
        <f aca="false"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>0</v>
      </c>
      <c r="AY236" s="0" t="n">
        <f aca="false">COUNTIF(DU236:EH236, "&lt;&gt;")</f>
        <v>0</v>
      </c>
      <c r="AZ236" s="0" t="n">
        <f aca="false">IF(EH236&lt;&gt;"",1,0)</f>
        <v>0</v>
      </c>
      <c r="BB236" s="0" t="s">
        <v>153</v>
      </c>
      <c r="CP236" s="0" t="s">
        <v>154</v>
      </c>
      <c r="CV236" s="0" t="s">
        <v>154</v>
      </c>
      <c r="DC236" s="0" t="s">
        <v>154</v>
      </c>
      <c r="DN236" s="0" t="s">
        <v>154</v>
      </c>
    </row>
    <row r="237" customFormat="false" ht="13.8" hidden="false" customHeight="false" outlineLevel="0" collapsed="false">
      <c r="A237" s="0" t="s">
        <v>1425</v>
      </c>
      <c r="B237" s="0" t="n">
        <v>78</v>
      </c>
      <c r="C237" s="0" t="n">
        <v>230467</v>
      </c>
      <c r="D237" s="0" t="s">
        <v>1426</v>
      </c>
      <c r="E237" s="0" t="s">
        <v>1427</v>
      </c>
      <c r="F237" s="0" t="str">
        <f aca="false">CONCATENATE(D237," ",LEFT(H237,4),"T=",AU237,"D=",AV237,"R=",AW237,"M=",AX237,"L=",AY237,"B=",AZ237)</f>
        <v>TADDEI T=1D=0R=0M=5L=3B=0</v>
      </c>
      <c r="G237" s="0" t="s">
        <v>496</v>
      </c>
      <c r="I237" s="0" t="s">
        <v>1428</v>
      </c>
      <c r="J237" s="0" t="s">
        <v>1429</v>
      </c>
      <c r="K237" s="0" t="s">
        <v>175</v>
      </c>
      <c r="L237" s="1" t="s">
        <v>155</v>
      </c>
      <c r="M237" s="0" t="s">
        <v>1430</v>
      </c>
      <c r="N237" s="0" t="str">
        <f aca="false">RIGHT(M237,LEN(M237)-FIND(" ",M237))</f>
        <v>BELMONT AVE NW</v>
      </c>
      <c r="P237" s="0" t="s">
        <v>146</v>
      </c>
      <c r="Q237" s="0" t="s">
        <v>147</v>
      </c>
      <c r="R237" s="0" t="n">
        <v>44483</v>
      </c>
      <c r="AD237" s="0" t="s">
        <v>148</v>
      </c>
      <c r="AE237" s="0" t="s">
        <v>149</v>
      </c>
      <c r="AF237" s="0" t="s">
        <v>150</v>
      </c>
      <c r="AH237" s="0" t="n">
        <v>14</v>
      </c>
      <c r="AI237" s="0" t="n">
        <v>11</v>
      </c>
      <c r="AN237" s="0" t="s">
        <v>146</v>
      </c>
      <c r="AO237" s="0" t="s">
        <v>151</v>
      </c>
      <c r="AP237" s="0" t="s">
        <v>152</v>
      </c>
      <c r="AQ237" s="0" t="n">
        <v>9</v>
      </c>
      <c r="AR237" s="0" t="n">
        <v>64</v>
      </c>
      <c r="AS237" s="0" t="n">
        <v>32</v>
      </c>
      <c r="AU237" s="0" t="n">
        <f aca="false">COUNTA($BA$1335:$EH$1335)</f>
        <v>1</v>
      </c>
      <c r="AV237" s="0" t="n">
        <f aca="false">COUNTIF($BA$1335:$EH$1335,"D")</f>
        <v>0</v>
      </c>
      <c r="AW237" s="0" t="n">
        <f aca="false">COUNTIF($BA$1335:$EH$1335,"R")</f>
        <v>0</v>
      </c>
      <c r="AX237" s="0" t="n">
        <f aca="false"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>5</v>
      </c>
      <c r="AY237" s="0" t="n">
        <f aca="false">COUNTIF(DU237:EH237, "&lt;&gt;")</f>
        <v>3</v>
      </c>
      <c r="AZ237" s="0" t="n">
        <f aca="false">IF(EH237&lt;&gt;"",1,0)</f>
        <v>0</v>
      </c>
      <c r="BB237" s="0" t="s">
        <v>153</v>
      </c>
      <c r="BC237" s="0" t="s">
        <v>154</v>
      </c>
      <c r="BE237" s="0" t="s">
        <v>154</v>
      </c>
      <c r="BF237" s="0" t="s">
        <v>154</v>
      </c>
      <c r="BH237" s="0" t="s">
        <v>154</v>
      </c>
      <c r="BI237" s="0" t="s">
        <v>154</v>
      </c>
      <c r="BJ237" s="0" t="s">
        <v>154</v>
      </c>
      <c r="BK237" s="0" t="s">
        <v>154</v>
      </c>
      <c r="BL237" s="0" t="s">
        <v>154</v>
      </c>
      <c r="BS237" s="0" t="s">
        <v>154</v>
      </c>
      <c r="BV237" s="0" t="s">
        <v>154</v>
      </c>
      <c r="BY237" s="0" t="s">
        <v>155</v>
      </c>
      <c r="CA237" s="0" t="s">
        <v>154</v>
      </c>
      <c r="CG237" s="0" t="s">
        <v>154</v>
      </c>
      <c r="CK237" s="0" t="s">
        <v>154</v>
      </c>
      <c r="CL237" s="0" t="s">
        <v>155</v>
      </c>
      <c r="CN237" s="0" t="s">
        <v>154</v>
      </c>
      <c r="CP237" s="0" t="s">
        <v>154</v>
      </c>
      <c r="CV237" s="0" t="s">
        <v>154</v>
      </c>
      <c r="CY237" s="0" t="s">
        <v>154</v>
      </c>
      <c r="CZ237" s="0" t="s">
        <v>155</v>
      </c>
      <c r="DC237" s="0" t="s">
        <v>154</v>
      </c>
      <c r="DD237" s="0" t="s">
        <v>155</v>
      </c>
      <c r="DI237" s="0" t="s">
        <v>154</v>
      </c>
      <c r="DJ237" s="0" t="s">
        <v>155</v>
      </c>
      <c r="DL237" s="0" t="s">
        <v>154</v>
      </c>
      <c r="DM237" s="0" t="s">
        <v>155</v>
      </c>
      <c r="DN237" s="0" t="s">
        <v>154</v>
      </c>
      <c r="DO237" s="0" t="s">
        <v>155</v>
      </c>
      <c r="DU237" s="0" t="s">
        <v>154</v>
      </c>
      <c r="DW237" s="0" t="s">
        <v>155</v>
      </c>
      <c r="EF237" s="0" t="s">
        <v>154</v>
      </c>
    </row>
    <row r="238" customFormat="false" ht="13.8" hidden="false" customHeight="false" outlineLevel="0" collapsed="false">
      <c r="A238" s="0" t="s">
        <v>1431</v>
      </c>
      <c r="B238" s="0" t="n">
        <v>78</v>
      </c>
      <c r="C238" s="0" t="n">
        <v>230484</v>
      </c>
      <c r="D238" s="0" t="s">
        <v>1426</v>
      </c>
      <c r="E238" s="0" t="s">
        <v>1432</v>
      </c>
      <c r="F238" s="0" t="str">
        <f aca="false">CONCATENATE(D238," ",LEFT(H238,4),"T=",AU238,"D=",AV238,"R=",AW238,"M=",AX238,"L=",AY238,"B=",AZ238)</f>
        <v>TADDEI T=2D=0R=0M=5L=3B=0</v>
      </c>
      <c r="G238" s="0" t="s">
        <v>176</v>
      </c>
      <c r="I238" s="0" t="s">
        <v>991</v>
      </c>
      <c r="J238" s="0" t="s">
        <v>1433</v>
      </c>
      <c r="K238" s="0" t="s">
        <v>175</v>
      </c>
      <c r="L238" s="1" t="s">
        <v>155</v>
      </c>
      <c r="M238" s="0" t="s">
        <v>1430</v>
      </c>
      <c r="N238" s="0" t="str">
        <f aca="false">RIGHT(M238,LEN(M238)-FIND(" ",M238))</f>
        <v>BELMONT AVE NW</v>
      </c>
      <c r="P238" s="0" t="s">
        <v>146</v>
      </c>
      <c r="Q238" s="0" t="s">
        <v>147</v>
      </c>
      <c r="R238" s="0" t="n">
        <v>44483</v>
      </c>
      <c r="AD238" s="0" t="s">
        <v>148</v>
      </c>
      <c r="AE238" s="0" t="s">
        <v>149</v>
      </c>
      <c r="AF238" s="0" t="s">
        <v>150</v>
      </c>
      <c r="AH238" s="0" t="n">
        <v>14</v>
      </c>
      <c r="AI238" s="0" t="n">
        <v>11</v>
      </c>
      <c r="AN238" s="0" t="s">
        <v>146</v>
      </c>
      <c r="AO238" s="0" t="s">
        <v>151</v>
      </c>
      <c r="AP238" s="0" t="s">
        <v>152</v>
      </c>
      <c r="AQ238" s="0" t="n">
        <v>9</v>
      </c>
      <c r="AR238" s="0" t="n">
        <v>64</v>
      </c>
      <c r="AS238" s="0" t="n">
        <v>32</v>
      </c>
      <c r="AU238" s="0" t="n">
        <f aca="false">COUNTA($BA$1336:$EH$1336)</f>
        <v>2</v>
      </c>
      <c r="AV238" s="0" t="n">
        <f aca="false">COUNTIF($BA$1336:$EH$1336,"D")</f>
        <v>0</v>
      </c>
      <c r="AW238" s="0" t="n">
        <f aca="false">COUNTIF($BA$1336:$EH$1336,"R")</f>
        <v>0</v>
      </c>
      <c r="AX238" s="0" t="n">
        <f aca="false"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>5</v>
      </c>
      <c r="AY238" s="0" t="n">
        <f aca="false">COUNTIF(DU238:EH238, "&lt;&gt;")</f>
        <v>3</v>
      </c>
      <c r="AZ238" s="0" t="n">
        <f aca="false">IF(EH238&lt;&gt;"",1,0)</f>
        <v>0</v>
      </c>
      <c r="BB238" s="0" t="s">
        <v>153</v>
      </c>
      <c r="BC238" s="0" t="s">
        <v>154</v>
      </c>
      <c r="BE238" s="0" t="s">
        <v>154</v>
      </c>
      <c r="BF238" s="0" t="s">
        <v>154</v>
      </c>
      <c r="BH238" s="0" t="s">
        <v>154</v>
      </c>
      <c r="BI238" s="0" t="s">
        <v>154</v>
      </c>
      <c r="BJ238" s="0" t="s">
        <v>154</v>
      </c>
      <c r="BK238" s="0" t="s">
        <v>154</v>
      </c>
      <c r="BL238" s="0" t="s">
        <v>154</v>
      </c>
      <c r="BS238" s="0" t="s">
        <v>154</v>
      </c>
      <c r="BV238" s="0" t="s">
        <v>154</v>
      </c>
      <c r="BY238" s="0" t="s">
        <v>155</v>
      </c>
      <c r="CA238" s="0" t="s">
        <v>154</v>
      </c>
      <c r="CG238" s="0" t="s">
        <v>154</v>
      </c>
      <c r="CK238" s="0" t="s">
        <v>154</v>
      </c>
      <c r="CL238" s="0" t="s">
        <v>155</v>
      </c>
      <c r="CN238" s="0" t="s">
        <v>154</v>
      </c>
      <c r="CP238" s="0" t="s">
        <v>154</v>
      </c>
      <c r="CV238" s="0" t="s">
        <v>154</v>
      </c>
      <c r="CY238" s="0" t="s">
        <v>154</v>
      </c>
      <c r="CZ238" s="0" t="s">
        <v>155</v>
      </c>
      <c r="DC238" s="0" t="s">
        <v>154</v>
      </c>
      <c r="DD238" s="0" t="s">
        <v>155</v>
      </c>
      <c r="DI238" s="0" t="s">
        <v>154</v>
      </c>
      <c r="DJ238" s="0" t="s">
        <v>155</v>
      </c>
      <c r="DL238" s="0" t="s">
        <v>154</v>
      </c>
      <c r="DM238" s="0" t="s">
        <v>155</v>
      </c>
      <c r="DN238" s="0" t="s">
        <v>154</v>
      </c>
      <c r="DO238" s="0" t="s">
        <v>155</v>
      </c>
      <c r="DU238" s="0" t="s">
        <v>154</v>
      </c>
      <c r="DW238" s="0" t="s">
        <v>155</v>
      </c>
      <c r="EF238" s="0" t="s">
        <v>154</v>
      </c>
    </row>
    <row r="239" customFormat="false" ht="13.8" hidden="true" customHeight="false" outlineLevel="0" collapsed="false">
      <c r="A239" s="0" t="s">
        <v>1434</v>
      </c>
      <c r="B239" s="0" t="n">
        <v>78</v>
      </c>
      <c r="C239" s="0" t="n">
        <v>487671</v>
      </c>
      <c r="D239" s="0" t="s">
        <v>1161</v>
      </c>
      <c r="E239" s="0" t="s">
        <v>1435</v>
      </c>
      <c r="F239" s="0" t="str">
        <f aca="false">CONCATENATE(D239," ",LEFT(H239,4),"T=",AU239,"D=",AV239,"R=",AW239,"M=",AX239,"L=",AY239,"B=",AZ239)</f>
        <v>HUBBARD T=2D=0R=0M=0L=1B=0</v>
      </c>
      <c r="I239" s="0" t="s">
        <v>1436</v>
      </c>
      <c r="J239" s="0" t="s">
        <v>1164</v>
      </c>
      <c r="K239" s="0" t="s">
        <v>175</v>
      </c>
      <c r="L239" s="0"/>
      <c r="M239" s="0" t="s">
        <v>1437</v>
      </c>
      <c r="N239" s="0" t="str">
        <f aca="false">RIGHT(M239,LEN(M239)-FIND(" ",M239))</f>
        <v>BELMONT AVE NW</v>
      </c>
      <c r="P239" s="0" t="s">
        <v>146</v>
      </c>
      <c r="Q239" s="0" t="s">
        <v>147</v>
      </c>
      <c r="R239" s="0" t="n">
        <v>44483</v>
      </c>
      <c r="AD239" s="0" t="s">
        <v>148</v>
      </c>
      <c r="AE239" s="0" t="s">
        <v>149</v>
      </c>
      <c r="AF239" s="0" t="s">
        <v>150</v>
      </c>
      <c r="AH239" s="0" t="n">
        <v>14</v>
      </c>
      <c r="AI239" s="0" t="n">
        <v>11</v>
      </c>
      <c r="AN239" s="0" t="s">
        <v>146</v>
      </c>
      <c r="AO239" s="0" t="s">
        <v>151</v>
      </c>
      <c r="AP239" s="0" t="s">
        <v>152</v>
      </c>
      <c r="AQ239" s="0" t="n">
        <v>9</v>
      </c>
      <c r="AR239" s="0" t="n">
        <v>64</v>
      </c>
      <c r="AS239" s="0" t="n">
        <v>32</v>
      </c>
      <c r="AU239" s="0" t="n">
        <f aca="false">COUNTA($BA$2005:$EH$2005)</f>
        <v>2</v>
      </c>
      <c r="AV239" s="0" t="n">
        <f aca="false">COUNTIF($BA$2005:$EH$2005,"D")</f>
        <v>0</v>
      </c>
      <c r="AW239" s="0" t="n">
        <f aca="false">COUNTIF($BA$2005:$EH$2005,"R")</f>
        <v>0</v>
      </c>
      <c r="AX239" s="0" t="n">
        <f aca="false"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>0</v>
      </c>
      <c r="AY239" s="0" t="n">
        <f aca="false">COUNTIF(DU239:EH239, "&lt;&gt;")</f>
        <v>1</v>
      </c>
      <c r="AZ239" s="0" t="n">
        <f aca="false">IF(EH239&lt;&gt;"",1,0)</f>
        <v>0</v>
      </c>
      <c r="BB239" s="0" t="s">
        <v>153</v>
      </c>
      <c r="EF239" s="0" t="s">
        <v>154</v>
      </c>
    </row>
    <row r="240" customFormat="false" ht="13.8" hidden="true" customHeight="false" outlineLevel="0" collapsed="false">
      <c r="A240" s="0" t="s">
        <v>1438</v>
      </c>
      <c r="B240" s="0" t="n">
        <v>78</v>
      </c>
      <c r="C240" s="0" t="n">
        <v>486291</v>
      </c>
      <c r="D240" s="0" t="s">
        <v>309</v>
      </c>
      <c r="E240" s="0" t="s">
        <v>1439</v>
      </c>
      <c r="F240" s="0" t="str">
        <f aca="false">CONCATENATE(D240," ",LEFT(H240,4),"T=",AU240,"D=",AV240,"R=",AW240,"M=",AX240,"L=",AY240,"B=",AZ240)</f>
        <v>BROWN T=13D=2R=0M=0L=1B=0</v>
      </c>
      <c r="G240" s="0" t="s">
        <v>429</v>
      </c>
      <c r="I240" s="0" t="s">
        <v>1440</v>
      </c>
      <c r="J240" s="0" t="s">
        <v>1441</v>
      </c>
      <c r="K240" s="0" t="s">
        <v>175</v>
      </c>
      <c r="L240" s="0"/>
      <c r="M240" s="0" t="s">
        <v>1442</v>
      </c>
      <c r="N240" s="0" t="str">
        <f aca="false">RIGHT(M240,LEN(M240)-FIND(" ",M240))</f>
        <v>BELMONT AVE NW</v>
      </c>
      <c r="O240" s="0" t="s">
        <v>414</v>
      </c>
      <c r="P240" s="0" t="s">
        <v>146</v>
      </c>
      <c r="Q240" s="0" t="s">
        <v>147</v>
      </c>
      <c r="R240" s="0" t="n">
        <v>44483</v>
      </c>
      <c r="AD240" s="0" t="s">
        <v>148</v>
      </c>
      <c r="AE240" s="0" t="s">
        <v>149</v>
      </c>
      <c r="AF240" s="0" t="s">
        <v>150</v>
      </c>
      <c r="AH240" s="0" t="n">
        <v>14</v>
      </c>
      <c r="AI240" s="0" t="n">
        <v>11</v>
      </c>
      <c r="AN240" s="0" t="s">
        <v>146</v>
      </c>
      <c r="AO240" s="0" t="s">
        <v>151</v>
      </c>
      <c r="AP240" s="0" t="s">
        <v>152</v>
      </c>
      <c r="AQ240" s="0" t="n">
        <v>9</v>
      </c>
      <c r="AR240" s="0" t="n">
        <v>64</v>
      </c>
      <c r="AS240" s="0" t="n">
        <v>32</v>
      </c>
      <c r="AU240" s="0" t="n">
        <f aca="false">COUNTA($BA$1201:$EH$1201)</f>
        <v>13</v>
      </c>
      <c r="AV240" s="0" t="n">
        <f aca="false">COUNTIF($BA$1201:$EH$1201,"D")</f>
        <v>2</v>
      </c>
      <c r="AW240" s="0" t="n">
        <f aca="false">COUNTIF($BA$1201:$EH$1201,"R")</f>
        <v>0</v>
      </c>
      <c r="AX240" s="0" t="n">
        <f aca="false"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>0</v>
      </c>
      <c r="AY240" s="0" t="n">
        <f aca="false">COUNTIF(DU240:EH240, "&lt;&gt;")</f>
        <v>1</v>
      </c>
      <c r="AZ240" s="0" t="n">
        <f aca="false">IF(EH240&lt;&gt;"",1,0)</f>
        <v>0</v>
      </c>
      <c r="BB240" s="0" t="s">
        <v>153</v>
      </c>
      <c r="EF240" s="0" t="s">
        <v>154</v>
      </c>
    </row>
    <row r="241" customFormat="false" ht="13.8" hidden="false" customHeight="false" outlineLevel="0" collapsed="false">
      <c r="A241" s="0" t="s">
        <v>1443</v>
      </c>
      <c r="B241" s="0" t="n">
        <v>78</v>
      </c>
      <c r="C241" s="0" t="n">
        <v>445951</v>
      </c>
      <c r="D241" s="0" t="s">
        <v>1444</v>
      </c>
      <c r="E241" s="0" t="s">
        <v>1445</v>
      </c>
      <c r="F241" s="0" t="str">
        <f aca="false">CONCATENATE(D241," ",LEFT(H241,4),"T=",AU241,"D=",AV241,"R=",AW241,"M=",AX241,"L=",AY241,"B=",AZ241)</f>
        <v>MONTAGUE T=1D=0R=0M=0L=3B=0</v>
      </c>
      <c r="G241" s="0" t="s">
        <v>1446</v>
      </c>
      <c r="I241" s="0" t="s">
        <v>1447</v>
      </c>
      <c r="J241" s="0" t="s">
        <v>1448</v>
      </c>
      <c r="K241" s="0" t="s">
        <v>175</v>
      </c>
      <c r="L241" s="1" t="s">
        <v>176</v>
      </c>
      <c r="M241" s="0" t="s">
        <v>1442</v>
      </c>
      <c r="N241" s="0" t="str">
        <f aca="false">RIGHT(M241,LEN(M241)-FIND(" ",M241))</f>
        <v>BELMONT AVE NW</v>
      </c>
      <c r="O241" s="0" t="s">
        <v>414</v>
      </c>
      <c r="P241" s="0" t="s">
        <v>146</v>
      </c>
      <c r="Q241" s="0" t="s">
        <v>147</v>
      </c>
      <c r="R241" s="0" t="n">
        <v>44483</v>
      </c>
      <c r="AD241" s="0" t="s">
        <v>148</v>
      </c>
      <c r="AE241" s="0" t="s">
        <v>149</v>
      </c>
      <c r="AF241" s="0" t="s">
        <v>150</v>
      </c>
      <c r="AH241" s="0" t="n">
        <v>14</v>
      </c>
      <c r="AI241" s="0" t="n">
        <v>11</v>
      </c>
      <c r="AN241" s="0" t="s">
        <v>146</v>
      </c>
      <c r="AO241" s="0" t="s">
        <v>151</v>
      </c>
      <c r="AP241" s="0" t="s">
        <v>152</v>
      </c>
      <c r="AQ241" s="0" t="n">
        <v>9</v>
      </c>
      <c r="AR241" s="0" t="n">
        <v>64</v>
      </c>
      <c r="AS241" s="0" t="n">
        <v>32</v>
      </c>
      <c r="AU241" s="0" t="n">
        <f aca="false">COUNTA($BA$1453:$EH$1453)</f>
        <v>1</v>
      </c>
      <c r="AV241" s="0" t="n">
        <f aca="false">COUNTIF($BA$1453:$EH$1453,"D")</f>
        <v>0</v>
      </c>
      <c r="AW241" s="0" t="n">
        <f aca="false">COUNTIF($BA$1453:$EH$1453,"R")</f>
        <v>0</v>
      </c>
      <c r="AX241" s="0" t="n">
        <f aca="false"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>0</v>
      </c>
      <c r="AY241" s="0" t="n">
        <f aca="false">COUNTIF(DU241:EH241, "&lt;&gt;")</f>
        <v>3</v>
      </c>
      <c r="AZ241" s="0" t="n">
        <f aca="false">IF(EH241&lt;&gt;"",1,0)</f>
        <v>0</v>
      </c>
      <c r="BB241" s="0" t="s">
        <v>153</v>
      </c>
      <c r="DN241" s="0" t="s">
        <v>154</v>
      </c>
      <c r="EA241" s="0" t="s">
        <v>154</v>
      </c>
      <c r="ED241" s="0" t="s">
        <v>176</v>
      </c>
      <c r="EF241" s="0" t="s">
        <v>154</v>
      </c>
    </row>
    <row r="242" customFormat="false" ht="13.8" hidden="true" customHeight="false" outlineLevel="0" collapsed="false">
      <c r="A242" s="0" t="s">
        <v>1449</v>
      </c>
      <c r="B242" s="0" t="n">
        <v>78</v>
      </c>
      <c r="C242" s="0" t="n">
        <v>429379</v>
      </c>
      <c r="D242" s="0" t="s">
        <v>1450</v>
      </c>
      <c r="E242" s="0" t="s">
        <v>1451</v>
      </c>
      <c r="F242" s="0" t="str">
        <f aca="false">CONCATENATE(D242," ",LEFT(H242,4),"T=",AU242,"D=",AV242,"R=",AW242,"M=",AX242,"L=",AY242,"B=",AZ242)</f>
        <v>ORTIZ MORALES T=45D=14R=0M=0L=0B=0</v>
      </c>
      <c r="I242" s="0" t="s">
        <v>1452</v>
      </c>
      <c r="J242" s="0" t="s">
        <v>1453</v>
      </c>
      <c r="K242" s="0" t="s">
        <v>175</v>
      </c>
      <c r="L242" s="0"/>
      <c r="M242" s="0" t="s">
        <v>1442</v>
      </c>
      <c r="N242" s="0" t="str">
        <f aca="false">RIGHT(M242,LEN(M242)-FIND(" ",M242))</f>
        <v>BELMONT AVE NW</v>
      </c>
      <c r="P242" s="0" t="s">
        <v>146</v>
      </c>
      <c r="Q242" s="0" t="s">
        <v>147</v>
      </c>
      <c r="R242" s="0" t="n">
        <v>44483</v>
      </c>
      <c r="AD242" s="0" t="s">
        <v>148</v>
      </c>
      <c r="AE242" s="0" t="s">
        <v>149</v>
      </c>
      <c r="AF242" s="0" t="s">
        <v>150</v>
      </c>
      <c r="AH242" s="0" t="n">
        <v>14</v>
      </c>
      <c r="AI242" s="0" t="n">
        <v>11</v>
      </c>
      <c r="AN242" s="0" t="s">
        <v>146</v>
      </c>
      <c r="AO242" s="0" t="s">
        <v>151</v>
      </c>
      <c r="AP242" s="0" t="s">
        <v>152</v>
      </c>
      <c r="AQ242" s="0" t="n">
        <v>9</v>
      </c>
      <c r="AR242" s="0" t="n">
        <v>64</v>
      </c>
      <c r="AS242" s="0" t="n">
        <v>32</v>
      </c>
      <c r="AU242" s="0" t="n">
        <f aca="false">COUNTA($BA$1709:$EH$1709)</f>
        <v>45</v>
      </c>
      <c r="AV242" s="0" t="n">
        <f aca="false">COUNTIF($BA$1709:$EH$1709,"D")</f>
        <v>14</v>
      </c>
      <c r="AW242" s="0" t="n">
        <f aca="false">COUNTIF($BA$1709:$EH$1709,"R")</f>
        <v>0</v>
      </c>
      <c r="AX242" s="0" t="n">
        <f aca="false"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>0</v>
      </c>
      <c r="AY242" s="0" t="n">
        <f aca="false">COUNTIF(DU242:EH242, "&lt;&gt;")</f>
        <v>0</v>
      </c>
      <c r="AZ242" s="0" t="n">
        <f aca="false">IF(EH242&lt;&gt;"",1,0)</f>
        <v>0</v>
      </c>
      <c r="BB242" s="0" t="s">
        <v>153</v>
      </c>
    </row>
    <row r="243" customFormat="false" ht="13.8" hidden="true" customHeight="false" outlineLevel="0" collapsed="false">
      <c r="A243" s="0" t="s">
        <v>1454</v>
      </c>
      <c r="B243" s="0" t="n">
        <v>78</v>
      </c>
      <c r="C243" s="0" t="n">
        <v>451378</v>
      </c>
      <c r="D243" s="0" t="s">
        <v>1455</v>
      </c>
      <c r="E243" s="0" t="s">
        <v>1456</v>
      </c>
      <c r="F243" s="0" t="str">
        <f aca="false">CONCATENATE(D243," ",LEFT(H243,4),"T=",AU243,"D=",AV243,"R=",AW243,"M=",AX243,"L=",AY243,"B=",AZ243)</f>
        <v>LEEWORTHY T=1D=0R=0M=0L=0B=0</v>
      </c>
      <c r="G243" s="0" t="s">
        <v>176</v>
      </c>
      <c r="I243" s="0" t="s">
        <v>1457</v>
      </c>
      <c r="J243" s="0" t="s">
        <v>1458</v>
      </c>
      <c r="K243" s="0" t="s">
        <v>175</v>
      </c>
      <c r="L243" s="0"/>
      <c r="M243" s="0" t="s">
        <v>1459</v>
      </c>
      <c r="N243" s="0" t="str">
        <f aca="false">RIGHT(M243,LEN(M243)-FIND(" ",M243))</f>
        <v>BELMONT AVE NW</v>
      </c>
      <c r="P243" s="0" t="s">
        <v>146</v>
      </c>
      <c r="Q243" s="0" t="s">
        <v>147</v>
      </c>
      <c r="R243" s="0" t="n">
        <v>44483</v>
      </c>
      <c r="AD243" s="0" t="s">
        <v>148</v>
      </c>
      <c r="AE243" s="0" t="s">
        <v>149</v>
      </c>
      <c r="AF243" s="0" t="s">
        <v>150</v>
      </c>
      <c r="AH243" s="0" t="n">
        <v>14</v>
      </c>
      <c r="AI243" s="0" t="n">
        <v>11</v>
      </c>
      <c r="AN243" s="0" t="s">
        <v>146</v>
      </c>
      <c r="AO243" s="0" t="s">
        <v>151</v>
      </c>
      <c r="AP243" s="0" t="s">
        <v>152</v>
      </c>
      <c r="AQ243" s="0" t="n">
        <v>9</v>
      </c>
      <c r="AR243" s="0" t="n">
        <v>64</v>
      </c>
      <c r="AS243" s="0" t="n">
        <v>32</v>
      </c>
      <c r="AU243" s="0" t="n">
        <f aca="false">COUNTA($BA$1864:$EH$1864)</f>
        <v>1</v>
      </c>
      <c r="AV243" s="0" t="n">
        <f aca="false">COUNTIF($BA$1864:$EH$1864,"D")</f>
        <v>0</v>
      </c>
      <c r="AW243" s="0" t="n">
        <f aca="false">COUNTIF($BA$1864:$EH$1864,"R")</f>
        <v>0</v>
      </c>
      <c r="AX243" s="0" t="n">
        <f aca="false"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>0</v>
      </c>
      <c r="AY243" s="0" t="n">
        <f aca="false">COUNTIF(DU243:EH243, "&lt;&gt;")</f>
        <v>0</v>
      </c>
      <c r="AZ243" s="0" t="n">
        <f aca="false">IF(EH243&lt;&gt;"",1,0)</f>
        <v>0</v>
      </c>
      <c r="BB243" s="0" t="s">
        <v>153</v>
      </c>
      <c r="BL243" s="0" t="s">
        <v>154</v>
      </c>
      <c r="DN243" s="0" t="s">
        <v>154</v>
      </c>
    </row>
    <row r="244" customFormat="false" ht="13.8" hidden="true" customHeight="false" outlineLevel="0" collapsed="false">
      <c r="A244" s="0" t="s">
        <v>1460</v>
      </c>
      <c r="B244" s="0" t="n">
        <v>78</v>
      </c>
      <c r="C244" s="0" t="n">
        <v>494339</v>
      </c>
      <c r="D244" s="0" t="s">
        <v>1461</v>
      </c>
      <c r="E244" s="0" t="s">
        <v>1462</v>
      </c>
      <c r="F244" s="0" t="str">
        <f aca="false">CONCATENATE(D244," ",LEFT(H244,4),"T=",AU244,"D=",AV244,"R=",AW244,"M=",AX244,"L=",AY244,"B=",AZ244)</f>
        <v>MYERS T=6D=0R=0M=0L=0B=0</v>
      </c>
      <c r="G244" s="0" t="s">
        <v>619</v>
      </c>
      <c r="I244" s="0" t="s">
        <v>1463</v>
      </c>
      <c r="J244" s="0" t="s">
        <v>1464</v>
      </c>
      <c r="K244" s="0" t="s">
        <v>175</v>
      </c>
      <c r="L244" s="0"/>
      <c r="M244" s="0" t="s">
        <v>1465</v>
      </c>
      <c r="N244" s="0" t="str">
        <f aca="false">RIGHT(M244,LEN(M244)-FIND(" ",M244))</f>
        <v>BELMONT AVE NW</v>
      </c>
      <c r="P244" s="0" t="s">
        <v>146</v>
      </c>
      <c r="Q244" s="0" t="s">
        <v>147</v>
      </c>
      <c r="R244" s="0" t="n">
        <v>44483</v>
      </c>
      <c r="S244" s="0" t="n">
        <v>4713</v>
      </c>
      <c r="AD244" s="0" t="s">
        <v>148</v>
      </c>
      <c r="AE244" s="0" t="s">
        <v>149</v>
      </c>
      <c r="AF244" s="0" t="s">
        <v>150</v>
      </c>
      <c r="AH244" s="0" t="n">
        <v>14</v>
      </c>
      <c r="AI244" s="0" t="n">
        <v>11</v>
      </c>
      <c r="AN244" s="0" t="s">
        <v>146</v>
      </c>
      <c r="AO244" s="0" t="s">
        <v>151</v>
      </c>
      <c r="AP244" s="0" t="s">
        <v>152</v>
      </c>
      <c r="AQ244" s="0" t="n">
        <v>9</v>
      </c>
      <c r="AR244" s="0" t="n">
        <v>64</v>
      </c>
      <c r="AS244" s="0" t="n">
        <v>32</v>
      </c>
      <c r="AU244" s="0" t="n">
        <f aca="false">COUNTA($BA$1212:$EH$1212)</f>
        <v>6</v>
      </c>
      <c r="AV244" s="0" t="n">
        <f aca="false">COUNTIF($BA$1212:$EH$1212,"D")</f>
        <v>0</v>
      </c>
      <c r="AW244" s="0" t="n">
        <f aca="false">COUNTIF($BA$1212:$EH$1212,"R")</f>
        <v>0</v>
      </c>
      <c r="AX244" s="0" t="n">
        <f aca="false"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>0</v>
      </c>
      <c r="AY244" s="0" t="n">
        <f aca="false">COUNTIF(DU244:EH244, "&lt;&gt;")</f>
        <v>0</v>
      </c>
      <c r="AZ244" s="0" t="n">
        <f aca="false">IF(EH244&lt;&gt;"",1,0)</f>
        <v>0</v>
      </c>
      <c r="BB244" s="0" t="s">
        <v>153</v>
      </c>
    </row>
    <row r="245" customFormat="false" ht="13.8" hidden="true" customHeight="false" outlineLevel="0" collapsed="false">
      <c r="A245" s="0" t="s">
        <v>1466</v>
      </c>
      <c r="B245" s="0" t="n">
        <v>78</v>
      </c>
      <c r="C245" s="0" t="n">
        <v>373220</v>
      </c>
      <c r="D245" s="0" t="s">
        <v>1467</v>
      </c>
      <c r="E245" s="0" t="s">
        <v>1352</v>
      </c>
      <c r="F245" s="0" t="str">
        <f aca="false">CONCATENATE(D245," ",LEFT(H245,4),"T=",AU245,"D=",AV245,"R=",AW245,"M=",AX245,"L=",AY245,"B=",AZ245)</f>
        <v>DILLON T=6D=0R=0M=0L=1B=0</v>
      </c>
      <c r="G245" s="0" t="s">
        <v>1468</v>
      </c>
      <c r="I245" s="0" t="s">
        <v>1469</v>
      </c>
      <c r="J245" s="0" t="s">
        <v>1470</v>
      </c>
      <c r="K245" s="0" t="s">
        <v>175</v>
      </c>
      <c r="L245" s="0"/>
      <c r="M245" s="0" t="s">
        <v>1465</v>
      </c>
      <c r="N245" s="0" t="str">
        <f aca="false">RIGHT(M245,LEN(M245)-FIND(" ",M245))</f>
        <v>BELMONT AVE NW</v>
      </c>
      <c r="P245" s="0" t="s">
        <v>146</v>
      </c>
      <c r="Q245" s="0" t="s">
        <v>147</v>
      </c>
      <c r="R245" s="0" t="n">
        <v>44483</v>
      </c>
      <c r="AD245" s="0" t="s">
        <v>148</v>
      </c>
      <c r="AE245" s="0" t="s">
        <v>149</v>
      </c>
      <c r="AF245" s="0" t="s">
        <v>150</v>
      </c>
      <c r="AH245" s="0" t="n">
        <v>14</v>
      </c>
      <c r="AI245" s="0" t="n">
        <v>11</v>
      </c>
      <c r="AN245" s="0" t="s">
        <v>146</v>
      </c>
      <c r="AO245" s="0" t="s">
        <v>151</v>
      </c>
      <c r="AP245" s="0" t="s">
        <v>152</v>
      </c>
      <c r="AQ245" s="0" t="n">
        <v>9</v>
      </c>
      <c r="AR245" s="0" t="n">
        <v>64</v>
      </c>
      <c r="AS245" s="0" t="n">
        <v>32</v>
      </c>
      <c r="AU245" s="0" t="n">
        <f aca="false">COUNTA($BA$1334:$EH$1334)</f>
        <v>6</v>
      </c>
      <c r="AV245" s="0" t="n">
        <f aca="false">COUNTIF($BA$1334:$EH$1334,"D")</f>
        <v>0</v>
      </c>
      <c r="AW245" s="0" t="n">
        <f aca="false">COUNTIF($BA$1334:$EH$1334,"R")</f>
        <v>0</v>
      </c>
      <c r="AX245" s="0" t="n">
        <f aca="false"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>0</v>
      </c>
      <c r="AY245" s="0" t="n">
        <f aca="false">COUNTIF(DU245:EH245, "&lt;&gt;")</f>
        <v>1</v>
      </c>
      <c r="AZ245" s="0" t="n">
        <f aca="false">IF(EH245&lt;&gt;"",1,0)</f>
        <v>0</v>
      </c>
      <c r="BB245" s="0" t="s">
        <v>153</v>
      </c>
      <c r="DN245" s="0" t="s">
        <v>154</v>
      </c>
      <c r="EF245" s="0" t="s">
        <v>154</v>
      </c>
    </row>
    <row r="246" customFormat="false" ht="13.8" hidden="true" customHeight="false" outlineLevel="0" collapsed="false">
      <c r="A246" s="0" t="s">
        <v>1471</v>
      </c>
      <c r="B246" s="0" t="n">
        <v>78</v>
      </c>
      <c r="C246" s="0" t="n">
        <v>342354</v>
      </c>
      <c r="D246" s="0" t="s">
        <v>1461</v>
      </c>
      <c r="E246" s="0" t="s">
        <v>1472</v>
      </c>
      <c r="F246" s="0" t="str">
        <f aca="false">CONCATENATE(D246," ",LEFT(H246,4),"T=",AU246,"D=",AV246,"R=",AW246,"M=",AX246,"L=",AY246,"B=",AZ246)</f>
        <v>MYERS T=6D=0R=0M=0L=1B=0</v>
      </c>
      <c r="G246" s="0" t="s">
        <v>376</v>
      </c>
      <c r="I246" s="0" t="s">
        <v>1473</v>
      </c>
      <c r="J246" s="0" t="s">
        <v>1474</v>
      </c>
      <c r="K246" s="0" t="s">
        <v>175</v>
      </c>
      <c r="L246" s="0"/>
      <c r="M246" s="0" t="s">
        <v>1465</v>
      </c>
      <c r="N246" s="0" t="str">
        <f aca="false">RIGHT(M246,LEN(M246)-FIND(" ",M246))</f>
        <v>BELMONT AVE NW</v>
      </c>
      <c r="P246" s="0" t="s">
        <v>146</v>
      </c>
      <c r="Q246" s="0" t="s">
        <v>147</v>
      </c>
      <c r="R246" s="0" t="n">
        <v>44483</v>
      </c>
      <c r="AD246" s="0" t="s">
        <v>148</v>
      </c>
      <c r="AE246" s="0" t="s">
        <v>149</v>
      </c>
      <c r="AF246" s="0" t="s">
        <v>150</v>
      </c>
      <c r="AH246" s="0" t="n">
        <v>14</v>
      </c>
      <c r="AI246" s="0" t="n">
        <v>11</v>
      </c>
      <c r="AN246" s="0" t="s">
        <v>146</v>
      </c>
      <c r="AO246" s="0" t="s">
        <v>151</v>
      </c>
      <c r="AP246" s="0" t="s">
        <v>152</v>
      </c>
      <c r="AQ246" s="0" t="n">
        <v>9</v>
      </c>
      <c r="AR246" s="0" t="n">
        <v>64</v>
      </c>
      <c r="AS246" s="0" t="n">
        <v>32</v>
      </c>
      <c r="AU246" s="0" t="n">
        <f aca="false">COUNTA($BA$1554:$EH$1554)</f>
        <v>6</v>
      </c>
      <c r="AV246" s="0" t="n">
        <f aca="false">COUNTIF($BA$1554:$EH$1554,"D")</f>
        <v>0</v>
      </c>
      <c r="AW246" s="0" t="n">
        <f aca="false">COUNTIF($BA$1554:$EH$1554,"R")</f>
        <v>0</v>
      </c>
      <c r="AX246" s="0" t="n">
        <f aca="false"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>0</v>
      </c>
      <c r="AY246" s="0" t="n">
        <f aca="false">COUNTIF(DU246:EH246, "&lt;&gt;")</f>
        <v>1</v>
      </c>
      <c r="AZ246" s="0" t="n">
        <f aca="false">IF(EH246&lt;&gt;"",1,0)</f>
        <v>0</v>
      </c>
      <c r="BB246" s="0" t="s">
        <v>153</v>
      </c>
      <c r="DN246" s="0" t="s">
        <v>154</v>
      </c>
      <c r="EF246" s="0" t="s">
        <v>154</v>
      </c>
    </row>
    <row r="247" customFormat="false" ht="13.8" hidden="true" customHeight="false" outlineLevel="0" collapsed="false">
      <c r="A247" s="0" t="s">
        <v>1475</v>
      </c>
      <c r="B247" s="0" t="n">
        <v>78</v>
      </c>
      <c r="C247" s="0" t="n">
        <v>294228</v>
      </c>
      <c r="D247" s="0" t="s">
        <v>1476</v>
      </c>
      <c r="E247" s="0" t="s">
        <v>967</v>
      </c>
      <c r="F247" s="0" t="str">
        <f aca="false">CONCATENATE(D247," ",LEFT(H247,4),"T=",AU247,"D=",AV247,"R=",AW247,"M=",AX247,"L=",AY247,"B=",AZ247)</f>
        <v>SHOWERS T=10D=0R=0M=0L=0B=0</v>
      </c>
      <c r="G247" s="0" t="s">
        <v>241</v>
      </c>
      <c r="I247" s="0" t="s">
        <v>1477</v>
      </c>
      <c r="J247" s="0" t="s">
        <v>1478</v>
      </c>
      <c r="K247" s="0" t="s">
        <v>175</v>
      </c>
      <c r="L247" s="0"/>
      <c r="M247" s="0" t="s">
        <v>1465</v>
      </c>
      <c r="N247" s="0" t="str">
        <f aca="false">RIGHT(M247,LEN(M247)-FIND(" ",M247))</f>
        <v>BELMONT AVE NW</v>
      </c>
      <c r="P247" s="0" t="s">
        <v>146</v>
      </c>
      <c r="Q247" s="0" t="s">
        <v>147</v>
      </c>
      <c r="R247" s="0" t="n">
        <v>44483</v>
      </c>
      <c r="AD247" s="0" t="s">
        <v>148</v>
      </c>
      <c r="AE247" s="0" t="s">
        <v>149</v>
      </c>
      <c r="AF247" s="0" t="s">
        <v>150</v>
      </c>
      <c r="AH247" s="0" t="n">
        <v>14</v>
      </c>
      <c r="AI247" s="0" t="n">
        <v>11</v>
      </c>
      <c r="AN247" s="0" t="s">
        <v>146</v>
      </c>
      <c r="AO247" s="0" t="s">
        <v>151</v>
      </c>
      <c r="AP247" s="0" t="s">
        <v>152</v>
      </c>
      <c r="AQ247" s="0" t="n">
        <v>9</v>
      </c>
      <c r="AR247" s="0" t="n">
        <v>64</v>
      </c>
      <c r="AS247" s="0" t="n">
        <v>32</v>
      </c>
      <c r="AU247" s="0" t="n">
        <f aca="false">COUNTA($BA$1667:$EH$1667)</f>
        <v>10</v>
      </c>
      <c r="AV247" s="0" t="n">
        <f aca="false">COUNTIF($BA$1667:$EH$1667,"D")</f>
        <v>0</v>
      </c>
      <c r="AW247" s="0" t="n">
        <f aca="false">COUNTIF($BA$1667:$EH$1667,"R")</f>
        <v>0</v>
      </c>
      <c r="AX247" s="0" t="n">
        <f aca="false"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>0</v>
      </c>
      <c r="AY247" s="0" t="n">
        <f aca="false">COUNTIF(DU247:EH247, "&lt;&gt;")</f>
        <v>0</v>
      </c>
      <c r="AZ247" s="0" t="n">
        <f aca="false">IF(EH247&lt;&gt;"",1,0)</f>
        <v>0</v>
      </c>
      <c r="BB247" s="0" t="s">
        <v>153</v>
      </c>
    </row>
    <row r="248" customFormat="false" ht="13.8" hidden="true" customHeight="false" outlineLevel="0" collapsed="false">
      <c r="A248" s="0" t="s">
        <v>1479</v>
      </c>
      <c r="B248" s="0" t="n">
        <v>78</v>
      </c>
      <c r="C248" s="0" t="n">
        <v>468130</v>
      </c>
      <c r="D248" s="0" t="s">
        <v>1480</v>
      </c>
      <c r="E248" s="0" t="s">
        <v>1481</v>
      </c>
      <c r="F248" s="0" t="str">
        <f aca="false">CONCATENATE(D248," ",LEFT(H248,4),"T=",AU248,"D=",AV248,"R=",AW248,"M=",AX248,"L=",AY248,"B=",AZ248)</f>
        <v>RUSH T=1D=0R=0M=0L=1B=0</v>
      </c>
      <c r="G248" s="0" t="s">
        <v>1482</v>
      </c>
      <c r="I248" s="0" t="s">
        <v>1483</v>
      </c>
      <c r="J248" s="0" t="s">
        <v>1484</v>
      </c>
      <c r="K248" s="0" t="s">
        <v>175</v>
      </c>
      <c r="L248" s="0"/>
      <c r="M248" s="0" t="s">
        <v>1485</v>
      </c>
      <c r="N248" s="0" t="str">
        <f aca="false">RIGHT(M248,LEN(M248)-FIND(" ",M248))</f>
        <v>BELMONT AVE NW</v>
      </c>
      <c r="P248" s="0" t="s">
        <v>146</v>
      </c>
      <c r="Q248" s="0" t="s">
        <v>147</v>
      </c>
      <c r="R248" s="0" t="n">
        <v>44483</v>
      </c>
      <c r="AD248" s="0" t="s">
        <v>148</v>
      </c>
      <c r="AE248" s="0" t="s">
        <v>149</v>
      </c>
      <c r="AF248" s="0" t="s">
        <v>150</v>
      </c>
      <c r="AH248" s="0" t="n">
        <v>14</v>
      </c>
      <c r="AI248" s="0" t="n">
        <v>11</v>
      </c>
      <c r="AN248" s="0" t="s">
        <v>146</v>
      </c>
      <c r="AO248" s="0" t="s">
        <v>151</v>
      </c>
      <c r="AP248" s="0" t="s">
        <v>152</v>
      </c>
      <c r="AQ248" s="0" t="n">
        <v>9</v>
      </c>
      <c r="AR248" s="0" t="n">
        <v>64</v>
      </c>
      <c r="AS248" s="0" t="n">
        <v>32</v>
      </c>
      <c r="AU248" s="0" t="n">
        <f aca="false">COUNTA($BA$1167:$EH$1167)</f>
        <v>1</v>
      </c>
      <c r="AV248" s="0" t="n">
        <f aca="false">COUNTIF($BA$1167:$EH$1167,"D")</f>
        <v>0</v>
      </c>
      <c r="AW248" s="0" t="n">
        <f aca="false">COUNTIF($BA$1167:$EH$1167,"R")</f>
        <v>0</v>
      </c>
      <c r="AX248" s="0" t="n">
        <f aca="false"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>0</v>
      </c>
      <c r="AY248" s="0" t="n">
        <f aca="false">COUNTIF(DU248:EH248, "&lt;&gt;")</f>
        <v>1</v>
      </c>
      <c r="AZ248" s="0" t="n">
        <f aca="false">IF(EH248&lt;&gt;"",1,0)</f>
        <v>0</v>
      </c>
      <c r="BB248" s="0" t="s">
        <v>153</v>
      </c>
      <c r="BL248" s="0" t="s">
        <v>154</v>
      </c>
      <c r="BY248" s="0" t="s">
        <v>155</v>
      </c>
      <c r="CA248" s="0" t="s">
        <v>154</v>
      </c>
      <c r="CK248" s="0" t="s">
        <v>154</v>
      </c>
      <c r="CN248" s="0" t="s">
        <v>154</v>
      </c>
      <c r="CP248" s="0" t="s">
        <v>154</v>
      </c>
      <c r="CT248" s="0" t="s">
        <v>154</v>
      </c>
      <c r="CV248" s="0" t="s">
        <v>154</v>
      </c>
      <c r="CY248" s="0" t="s">
        <v>154</v>
      </c>
      <c r="CZ248" s="0" t="s">
        <v>155</v>
      </c>
      <c r="DC248" s="0" t="s">
        <v>154</v>
      </c>
      <c r="DI248" s="0" t="s">
        <v>154</v>
      </c>
      <c r="EF248" s="0" t="s">
        <v>154</v>
      </c>
    </row>
    <row r="249" customFormat="false" ht="13.8" hidden="true" customHeight="false" outlineLevel="0" collapsed="false">
      <c r="A249" s="0" t="s">
        <v>1486</v>
      </c>
      <c r="B249" s="0" t="n">
        <v>78</v>
      </c>
      <c r="C249" s="0" t="n">
        <v>461265</v>
      </c>
      <c r="D249" s="0" t="s">
        <v>1487</v>
      </c>
      <c r="E249" s="0" t="s">
        <v>502</v>
      </c>
      <c r="F249" s="0" t="str">
        <f aca="false">CONCATENATE(D249," ",LEFT(H249,4),"T=",AU249,"D=",AV249,"R=",AW249,"M=",AX249,"L=",AY249,"B=",AZ249)</f>
        <v>COLLINS T=8D=2R=0M=0L=1B=0</v>
      </c>
      <c r="G249" s="0" t="s">
        <v>750</v>
      </c>
      <c r="I249" s="0" t="s">
        <v>1488</v>
      </c>
      <c r="J249" s="0" t="s">
        <v>1489</v>
      </c>
      <c r="K249" s="0" t="s">
        <v>175</v>
      </c>
      <c r="L249" s="0"/>
      <c r="M249" s="0" t="s">
        <v>1485</v>
      </c>
      <c r="N249" s="0" t="str">
        <f aca="false">RIGHT(M249,LEN(M249)-FIND(" ",M249))</f>
        <v>BELMONT AVE NW</v>
      </c>
      <c r="P249" s="0" t="s">
        <v>146</v>
      </c>
      <c r="Q249" s="0" t="s">
        <v>147</v>
      </c>
      <c r="R249" s="0" t="n">
        <v>44483</v>
      </c>
      <c r="S249" s="0" t="n">
        <v>4712</v>
      </c>
      <c r="AD249" s="0" t="s">
        <v>148</v>
      </c>
      <c r="AE249" s="0" t="s">
        <v>149</v>
      </c>
      <c r="AF249" s="0" t="s">
        <v>150</v>
      </c>
      <c r="AH249" s="0" t="n">
        <v>14</v>
      </c>
      <c r="AI249" s="0" t="n">
        <v>11</v>
      </c>
      <c r="AN249" s="0" t="s">
        <v>146</v>
      </c>
      <c r="AO249" s="0" t="s">
        <v>151</v>
      </c>
      <c r="AP249" s="0" t="s">
        <v>152</v>
      </c>
      <c r="AQ249" s="0" t="n">
        <v>9</v>
      </c>
      <c r="AR249" s="0" t="n">
        <v>64</v>
      </c>
      <c r="AS249" s="0" t="n">
        <v>32</v>
      </c>
      <c r="AU249" s="0" t="n">
        <f aca="false">COUNTA($BA$1659:$EH$1659)</f>
        <v>8</v>
      </c>
      <c r="AV249" s="0" t="n">
        <f aca="false">COUNTIF($BA$1659:$EH$1659,"D")</f>
        <v>2</v>
      </c>
      <c r="AW249" s="0" t="n">
        <f aca="false">COUNTIF($BA$1659:$EH$1659,"R")</f>
        <v>0</v>
      </c>
      <c r="AX249" s="0" t="n">
        <f aca="false"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>0</v>
      </c>
      <c r="AY249" s="0" t="n">
        <f aca="false">COUNTIF(DU249:EH249, "&lt;&gt;")</f>
        <v>1</v>
      </c>
      <c r="AZ249" s="0" t="n">
        <f aca="false">IF(EH249&lt;&gt;"",1,0)</f>
        <v>0</v>
      </c>
      <c r="BB249" s="0" t="s">
        <v>153</v>
      </c>
      <c r="EF249" s="0" t="s">
        <v>154</v>
      </c>
    </row>
    <row r="250" customFormat="false" ht="13.8" hidden="false" customHeight="false" outlineLevel="0" collapsed="false">
      <c r="A250" s="0" t="s">
        <v>1490</v>
      </c>
      <c r="B250" s="0" t="n">
        <v>78</v>
      </c>
      <c r="C250" s="0" t="n">
        <v>327243</v>
      </c>
      <c r="D250" s="0" t="s">
        <v>1491</v>
      </c>
      <c r="E250" s="0" t="s">
        <v>1492</v>
      </c>
      <c r="F250" s="0" t="str">
        <f aca="false">CONCATENATE(D250," ",LEFT(H250,4),"T=",AU250,"D=",AV250,"R=",AW250,"M=",AX250,"L=",AY250,"B=",AZ250)</f>
        <v>WILLIAMSON T=1D=0R=0M=0L=3B=0</v>
      </c>
      <c r="G250" s="0" t="s">
        <v>172</v>
      </c>
      <c r="I250" s="0" t="s">
        <v>1493</v>
      </c>
      <c r="J250" s="0" t="s">
        <v>1494</v>
      </c>
      <c r="K250" s="0" t="s">
        <v>175</v>
      </c>
      <c r="M250" s="0" t="s">
        <v>1495</v>
      </c>
      <c r="N250" s="0" t="str">
        <f aca="false">RIGHT(M250,LEN(M250)-FIND(" ",M250))</f>
        <v>BELMONT AVE NW</v>
      </c>
      <c r="P250" s="0" t="s">
        <v>146</v>
      </c>
      <c r="Q250" s="0" t="s">
        <v>147</v>
      </c>
      <c r="R250" s="0" t="n">
        <v>44483</v>
      </c>
      <c r="AD250" s="0" t="s">
        <v>148</v>
      </c>
      <c r="AE250" s="0" t="s">
        <v>149</v>
      </c>
      <c r="AF250" s="0" t="s">
        <v>150</v>
      </c>
      <c r="AH250" s="0" t="n">
        <v>14</v>
      </c>
      <c r="AI250" s="0" t="n">
        <v>11</v>
      </c>
      <c r="AN250" s="0" t="s">
        <v>146</v>
      </c>
      <c r="AO250" s="0" t="s">
        <v>151</v>
      </c>
      <c r="AP250" s="0" t="s">
        <v>152</v>
      </c>
      <c r="AQ250" s="0" t="n">
        <v>9</v>
      </c>
      <c r="AR250" s="0" t="n">
        <v>64</v>
      </c>
      <c r="AS250" s="0" t="n">
        <v>32</v>
      </c>
      <c r="AU250" s="0" t="n">
        <f aca="false">COUNTA($BA$1446:$EH$1446)</f>
        <v>1</v>
      </c>
      <c r="AV250" s="0" t="n">
        <f aca="false">COUNTIF($BA$1446:$EH$1446,"D")</f>
        <v>0</v>
      </c>
      <c r="AW250" s="0" t="n">
        <f aca="false">COUNTIF($BA$1446:$EH$1446,"R")</f>
        <v>0</v>
      </c>
      <c r="AX250" s="0" t="n">
        <f aca="false"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>0</v>
      </c>
      <c r="AY250" s="0" t="n">
        <f aca="false">COUNTIF(DU250:EH250, "&lt;&gt;")</f>
        <v>3</v>
      </c>
      <c r="AZ250" s="0" t="n">
        <f aca="false">IF(EH250&lt;&gt;"",1,0)</f>
        <v>0</v>
      </c>
      <c r="BB250" s="0" t="s">
        <v>153</v>
      </c>
      <c r="BL250" s="0" t="s">
        <v>154</v>
      </c>
      <c r="BY250" s="0" t="s">
        <v>155</v>
      </c>
      <c r="CA250" s="0" t="s">
        <v>154</v>
      </c>
      <c r="CG250" s="0" t="s">
        <v>154</v>
      </c>
      <c r="CP250" s="0" t="s">
        <v>154</v>
      </c>
      <c r="CY250" s="0" t="s">
        <v>154</v>
      </c>
      <c r="DC250" s="0" t="s">
        <v>154</v>
      </c>
      <c r="DI250" s="0" t="s">
        <v>154</v>
      </c>
      <c r="DN250" s="0" t="s">
        <v>154</v>
      </c>
      <c r="DX250" s="0" t="s">
        <v>154</v>
      </c>
      <c r="EA250" s="0" t="s">
        <v>154</v>
      </c>
      <c r="EF250" s="0" t="s">
        <v>154</v>
      </c>
    </row>
    <row r="251" customFormat="false" ht="13.8" hidden="true" customHeight="false" outlineLevel="0" collapsed="false">
      <c r="A251" s="0" t="s">
        <v>1496</v>
      </c>
      <c r="B251" s="0" t="n">
        <v>78</v>
      </c>
      <c r="C251" s="0" t="n">
        <v>456846</v>
      </c>
      <c r="D251" s="0" t="s">
        <v>1491</v>
      </c>
      <c r="E251" s="0" t="s">
        <v>1497</v>
      </c>
      <c r="F251" s="0" t="str">
        <f aca="false">CONCATENATE(D251," ",LEFT(H251,4),"T=",AU251,"D=",AV251,"R=",AW251,"M=",AX251,"L=",AY251,"B=",AZ251)</f>
        <v>WILLIAMSON T=5D=0R=0M=0L=0B=0</v>
      </c>
      <c r="G251" s="0" t="s">
        <v>297</v>
      </c>
      <c r="I251" s="0" t="s">
        <v>1498</v>
      </c>
      <c r="J251" s="0" t="s">
        <v>1499</v>
      </c>
      <c r="K251" s="0" t="s">
        <v>144</v>
      </c>
      <c r="L251" s="0"/>
      <c r="M251" s="0" t="s">
        <v>1495</v>
      </c>
      <c r="N251" s="0" t="str">
        <f aca="false">RIGHT(M251,LEN(M251)-FIND(" ",M251))</f>
        <v>BELMONT AVE NW</v>
      </c>
      <c r="P251" s="0" t="s">
        <v>146</v>
      </c>
      <c r="Q251" s="0" t="s">
        <v>147</v>
      </c>
      <c r="R251" s="0" t="n">
        <v>44483</v>
      </c>
      <c r="AD251" s="0" t="s">
        <v>148</v>
      </c>
      <c r="AE251" s="0" t="s">
        <v>149</v>
      </c>
      <c r="AF251" s="0" t="s">
        <v>150</v>
      </c>
      <c r="AH251" s="0" t="n">
        <v>14</v>
      </c>
      <c r="AI251" s="0" t="n">
        <v>11</v>
      </c>
      <c r="AN251" s="0" t="s">
        <v>146</v>
      </c>
      <c r="AO251" s="0" t="s">
        <v>151</v>
      </c>
      <c r="AP251" s="0" t="s">
        <v>152</v>
      </c>
      <c r="AQ251" s="0" t="n">
        <v>9</v>
      </c>
      <c r="AR251" s="0" t="n">
        <v>64</v>
      </c>
      <c r="AS251" s="0" t="n">
        <v>32</v>
      </c>
      <c r="AU251" s="0" t="n">
        <f aca="false">COUNTA($BA$1638:$EH$1638)</f>
        <v>5</v>
      </c>
      <c r="AV251" s="0" t="n">
        <f aca="false">COUNTIF($BA$1638:$EH$1638,"D")</f>
        <v>0</v>
      </c>
      <c r="AW251" s="0" t="n">
        <f aca="false">COUNTIF($BA$1638:$EH$1638,"R")</f>
        <v>0</v>
      </c>
      <c r="AX251" s="0" t="n">
        <f aca="false"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>0</v>
      </c>
      <c r="AY251" s="0" t="n">
        <f aca="false">COUNTIF(DU251:EH251, "&lt;&gt;")</f>
        <v>0</v>
      </c>
      <c r="AZ251" s="0" t="n">
        <f aca="false">IF(EH251&lt;&gt;"",1,0)</f>
        <v>0</v>
      </c>
      <c r="BB251" s="0" t="s">
        <v>153</v>
      </c>
    </row>
    <row r="252" customFormat="false" ht="13.8" hidden="true" customHeight="false" outlineLevel="0" collapsed="false">
      <c r="A252" s="0" t="s">
        <v>1500</v>
      </c>
      <c r="B252" s="0" t="n">
        <v>78</v>
      </c>
      <c r="C252" s="0" t="n">
        <v>363665</v>
      </c>
      <c r="D252" s="0" t="s">
        <v>1501</v>
      </c>
      <c r="E252" s="0" t="s">
        <v>609</v>
      </c>
      <c r="F252" s="0" t="str">
        <f aca="false">CONCATENATE(D252," ",LEFT(H252,4),"T=",AU252,"D=",AV252,"R=",AW252,"M=",AX252,"L=",AY252,"B=",AZ252)</f>
        <v>CARMICHAEL T=7D=1R=0M=0L=0B=0</v>
      </c>
      <c r="G252" s="0" t="s">
        <v>176</v>
      </c>
      <c r="I252" s="0" t="s">
        <v>1502</v>
      </c>
      <c r="J252" s="0" t="s">
        <v>1503</v>
      </c>
      <c r="K252" s="0" t="s">
        <v>144</v>
      </c>
      <c r="L252" s="0"/>
      <c r="M252" s="0" t="s">
        <v>1495</v>
      </c>
      <c r="N252" s="0" t="str">
        <f aca="false">RIGHT(M252,LEN(M252)-FIND(" ",M252))</f>
        <v>BELMONT AVE NW</v>
      </c>
      <c r="P252" s="0" t="s">
        <v>146</v>
      </c>
      <c r="Q252" s="0" t="s">
        <v>147</v>
      </c>
      <c r="R252" s="0" t="n">
        <v>44483</v>
      </c>
      <c r="AD252" s="0" t="s">
        <v>148</v>
      </c>
      <c r="AE252" s="0" t="s">
        <v>149</v>
      </c>
      <c r="AF252" s="0" t="s">
        <v>150</v>
      </c>
      <c r="AH252" s="0" t="n">
        <v>14</v>
      </c>
      <c r="AI252" s="0" t="n">
        <v>11</v>
      </c>
      <c r="AN252" s="0" t="s">
        <v>146</v>
      </c>
      <c r="AO252" s="0" t="s">
        <v>151</v>
      </c>
      <c r="AP252" s="0" t="s">
        <v>152</v>
      </c>
      <c r="AQ252" s="0" t="n">
        <v>9</v>
      </c>
      <c r="AR252" s="0" t="n">
        <v>64</v>
      </c>
      <c r="AS252" s="0" t="n">
        <v>32</v>
      </c>
      <c r="AU252" s="0" t="n">
        <f aca="false">COUNTA($BA$1643:$EH$1643)</f>
        <v>7</v>
      </c>
      <c r="AV252" s="0" t="n">
        <f aca="false">COUNTIF($BA$1643:$EH$1643,"D")</f>
        <v>1</v>
      </c>
      <c r="AW252" s="0" t="n">
        <f aca="false">COUNTIF($BA$1643:$EH$1643,"R")</f>
        <v>0</v>
      </c>
      <c r="AX252" s="0" t="n">
        <f aca="false"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>0</v>
      </c>
      <c r="AY252" s="0" t="n">
        <f aca="false">COUNTIF(DU252:EH252, "&lt;&gt;")</f>
        <v>0</v>
      </c>
      <c r="AZ252" s="0" t="n">
        <f aca="false">IF(EH252&lt;&gt;"",1,0)</f>
        <v>0</v>
      </c>
      <c r="BB252" s="0" t="s">
        <v>153</v>
      </c>
      <c r="CA252" s="0" t="s">
        <v>154</v>
      </c>
      <c r="CP252" s="0" t="s">
        <v>154</v>
      </c>
    </row>
    <row r="253" customFormat="false" ht="13.8" hidden="true" customHeight="false" outlineLevel="0" collapsed="false">
      <c r="A253" s="0" t="s">
        <v>1504</v>
      </c>
      <c r="B253" s="0" t="n">
        <v>78</v>
      </c>
      <c r="C253" s="0" t="n">
        <v>396043</v>
      </c>
      <c r="D253" s="0" t="s">
        <v>1505</v>
      </c>
      <c r="E253" s="0" t="s">
        <v>328</v>
      </c>
      <c r="F253" s="0" t="str">
        <f aca="false">CONCATENATE(D253," ",LEFT(H253,4),"T=",AU253,"D=",AV253,"R=",AW253,"M=",AX253,"L=",AY253,"B=",AZ253)</f>
        <v>RAPTIS T=2D=0R=0M=1L=1B=0</v>
      </c>
      <c r="G253" s="0" t="s">
        <v>1506</v>
      </c>
      <c r="I253" s="0" t="s">
        <v>1507</v>
      </c>
      <c r="J253" s="0" t="s">
        <v>1508</v>
      </c>
      <c r="K253" s="0" t="s">
        <v>175</v>
      </c>
      <c r="L253" s="0"/>
      <c r="M253" s="0" t="s">
        <v>1509</v>
      </c>
      <c r="N253" s="0" t="str">
        <f aca="false">RIGHT(M253,LEN(M253)-FIND(" ",M253))</f>
        <v>BELMONT AVE NW</v>
      </c>
      <c r="P253" s="0" t="s">
        <v>146</v>
      </c>
      <c r="Q253" s="0" t="s">
        <v>147</v>
      </c>
      <c r="R253" s="0" t="n">
        <v>44483</v>
      </c>
      <c r="AD253" s="0" t="s">
        <v>148</v>
      </c>
      <c r="AE253" s="0" t="s">
        <v>149</v>
      </c>
      <c r="AF253" s="0" t="s">
        <v>150</v>
      </c>
      <c r="AH253" s="0" t="n">
        <v>14</v>
      </c>
      <c r="AI253" s="0" t="n">
        <v>11</v>
      </c>
      <c r="AN253" s="0" t="s">
        <v>146</v>
      </c>
      <c r="AO253" s="0" t="s">
        <v>151</v>
      </c>
      <c r="AP253" s="0" t="s">
        <v>152</v>
      </c>
      <c r="AQ253" s="0" t="n">
        <v>9</v>
      </c>
      <c r="AR253" s="0" t="n">
        <v>64</v>
      </c>
      <c r="AS253" s="0" t="n">
        <v>32</v>
      </c>
      <c r="AU253" s="0" t="n">
        <f aca="false">COUNTA($BA$1777:$EH$1777)</f>
        <v>2</v>
      </c>
      <c r="AV253" s="0" t="n">
        <f aca="false">COUNTIF($BA$1777:$EH$1777,"D")</f>
        <v>0</v>
      </c>
      <c r="AW253" s="0" t="n">
        <f aca="false">COUNTIF($BA$1777:$EH$1777,"R")</f>
        <v>0</v>
      </c>
      <c r="AX253" s="0" t="n">
        <f aca="false"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>1</v>
      </c>
      <c r="AY253" s="0" t="n">
        <f aca="false">COUNTIF(DU253:EH253, "&lt;&gt;")</f>
        <v>1</v>
      </c>
      <c r="AZ253" s="0" t="n">
        <f aca="false">IF(EH253&lt;&gt;"",1,0)</f>
        <v>0</v>
      </c>
      <c r="BB253" s="0" t="s">
        <v>153</v>
      </c>
      <c r="BD253" s="0" t="s">
        <v>154</v>
      </c>
      <c r="BL253" s="0" t="s">
        <v>154</v>
      </c>
      <c r="CA253" s="0" t="s">
        <v>154</v>
      </c>
      <c r="CG253" s="0" t="s">
        <v>154</v>
      </c>
      <c r="CK253" s="0" t="s">
        <v>154</v>
      </c>
      <c r="CL253" s="0" t="s">
        <v>155</v>
      </c>
      <c r="CO253" s="0" t="s">
        <v>155</v>
      </c>
      <c r="CP253" s="0" t="s">
        <v>154</v>
      </c>
      <c r="CY253" s="0" t="s">
        <v>154</v>
      </c>
      <c r="DN253" s="0" t="s">
        <v>154</v>
      </c>
      <c r="EF253" s="0" t="s">
        <v>154</v>
      </c>
    </row>
    <row r="254" customFormat="false" ht="13.8" hidden="true" customHeight="false" outlineLevel="0" collapsed="false">
      <c r="A254" s="0" t="s">
        <v>1510</v>
      </c>
      <c r="B254" s="0" t="n">
        <v>78</v>
      </c>
      <c r="C254" s="0" t="n">
        <v>450618</v>
      </c>
      <c r="D254" s="0" t="s">
        <v>1505</v>
      </c>
      <c r="E254" s="0" t="s">
        <v>698</v>
      </c>
      <c r="F254" s="0" t="str">
        <f aca="false">CONCATENATE(D254," ",LEFT(H254,4),"T=",AU254,"D=",AV254,"R=",AW254,"M=",AX254,"L=",AY254,"B=",AZ254)</f>
        <v>RAPTIS T=14D=3R=1M=0L=0B=0</v>
      </c>
      <c r="G254" s="0" t="s">
        <v>365</v>
      </c>
      <c r="I254" s="0" t="s">
        <v>1511</v>
      </c>
      <c r="J254" s="0" t="s">
        <v>1512</v>
      </c>
      <c r="K254" s="0" t="s">
        <v>144</v>
      </c>
      <c r="L254" s="0"/>
      <c r="M254" s="0" t="s">
        <v>1509</v>
      </c>
      <c r="N254" s="0" t="str">
        <f aca="false">RIGHT(M254,LEN(M254)-FIND(" ",M254))</f>
        <v>BELMONT AVE NW</v>
      </c>
      <c r="P254" s="0" t="s">
        <v>146</v>
      </c>
      <c r="Q254" s="0" t="s">
        <v>147</v>
      </c>
      <c r="R254" s="0" t="n">
        <v>44483</v>
      </c>
      <c r="AD254" s="0" t="s">
        <v>148</v>
      </c>
      <c r="AE254" s="0" t="s">
        <v>149</v>
      </c>
      <c r="AF254" s="0" t="s">
        <v>150</v>
      </c>
      <c r="AH254" s="0" t="n">
        <v>14</v>
      </c>
      <c r="AI254" s="0" t="n">
        <v>11</v>
      </c>
      <c r="AN254" s="0" t="s">
        <v>146</v>
      </c>
      <c r="AO254" s="0" t="s">
        <v>151</v>
      </c>
      <c r="AP254" s="0" t="s">
        <v>152</v>
      </c>
      <c r="AQ254" s="0" t="n">
        <v>9</v>
      </c>
      <c r="AR254" s="0" t="n">
        <v>64</v>
      </c>
      <c r="AS254" s="0" t="n">
        <v>32</v>
      </c>
      <c r="AU254" s="0" t="n">
        <f aca="false">COUNTA($BA$1826:$EH$1826)</f>
        <v>14</v>
      </c>
      <c r="AV254" s="0" t="n">
        <f aca="false">COUNTIF($BA$1826:$EH$1826,"D")</f>
        <v>3</v>
      </c>
      <c r="AW254" s="0" t="n">
        <f aca="false">COUNTIF($BA$1826:$EH$1826,"R")</f>
        <v>1</v>
      </c>
      <c r="AX254" s="0" t="n">
        <f aca="false"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>0</v>
      </c>
      <c r="AY254" s="0" t="n">
        <f aca="false">COUNTIF(DU254:EH254, "&lt;&gt;")</f>
        <v>0</v>
      </c>
      <c r="AZ254" s="0" t="n">
        <f aca="false">IF(EH254&lt;&gt;"",1,0)</f>
        <v>0</v>
      </c>
      <c r="BB254" s="0" t="s">
        <v>153</v>
      </c>
      <c r="DN254" s="0" t="s">
        <v>154</v>
      </c>
    </row>
    <row r="255" customFormat="false" ht="13.8" hidden="false" customHeight="false" outlineLevel="0" collapsed="false">
      <c r="A255" s="0" t="s">
        <v>1513</v>
      </c>
      <c r="B255" s="0" t="n">
        <v>78</v>
      </c>
      <c r="C255" s="0" t="n">
        <v>390189</v>
      </c>
      <c r="D255" s="0" t="s">
        <v>1514</v>
      </c>
      <c r="E255" s="0" t="s">
        <v>895</v>
      </c>
      <c r="F255" s="0" t="str">
        <f aca="false">CONCATENATE(D255," ",LEFT(H255,4),"T=",AU255,"D=",AV255,"R=",AW255,"M=",AX255,"L=",AY255,"B=",AZ255)</f>
        <v>LOVASH T=18D=0R=4M=0L=4B=0</v>
      </c>
      <c r="I255" s="0" t="s">
        <v>1515</v>
      </c>
      <c r="J255" s="0" t="s">
        <v>712</v>
      </c>
      <c r="K255" s="0" t="s">
        <v>175</v>
      </c>
      <c r="L255" s="1" t="s">
        <v>176</v>
      </c>
      <c r="M255" s="0" t="s">
        <v>1516</v>
      </c>
      <c r="N255" s="0" t="str">
        <f aca="false">RIGHT(M255,LEN(M255)-FIND(" ",M255))</f>
        <v>BELMONT AVE NW</v>
      </c>
      <c r="P255" s="0" t="s">
        <v>146</v>
      </c>
      <c r="Q255" s="0" t="s">
        <v>147</v>
      </c>
      <c r="R255" s="0" t="n">
        <v>44483</v>
      </c>
      <c r="AD255" s="0" t="s">
        <v>148</v>
      </c>
      <c r="AE255" s="0" t="s">
        <v>149</v>
      </c>
      <c r="AF255" s="0" t="s">
        <v>150</v>
      </c>
      <c r="AH255" s="0" t="n">
        <v>14</v>
      </c>
      <c r="AI255" s="0" t="n">
        <v>11</v>
      </c>
      <c r="AN255" s="0" t="s">
        <v>146</v>
      </c>
      <c r="AO255" s="0" t="s">
        <v>151</v>
      </c>
      <c r="AP255" s="0" t="s">
        <v>152</v>
      </c>
      <c r="AQ255" s="0" t="n">
        <v>9</v>
      </c>
      <c r="AR255" s="0" t="n">
        <v>64</v>
      </c>
      <c r="AS255" s="0" t="n">
        <v>32</v>
      </c>
      <c r="AU255" s="0" t="n">
        <f aca="false">COUNTA($BA$1956:$EH$1956)</f>
        <v>18</v>
      </c>
      <c r="AV255" s="0" t="n">
        <f aca="false">COUNTIF($BA$1956:$EH$1956,"D")</f>
        <v>0</v>
      </c>
      <c r="AW255" s="0" t="n">
        <f aca="false">COUNTIF($BA$1956:$EH$1956,"R")</f>
        <v>4</v>
      </c>
      <c r="AX255" s="0" t="n">
        <f aca="false"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>0</v>
      </c>
      <c r="AY255" s="0" t="n">
        <f aca="false">COUNTIF(DU255:EH255, "&lt;&gt;")</f>
        <v>4</v>
      </c>
      <c r="AZ255" s="0" t="n">
        <f aca="false">IF(EH255&lt;&gt;"",1,0)</f>
        <v>0</v>
      </c>
      <c r="BB255" s="0" t="s">
        <v>153</v>
      </c>
      <c r="DC255" s="0" t="s">
        <v>154</v>
      </c>
      <c r="DN255" s="0" t="s">
        <v>154</v>
      </c>
      <c r="DS255" s="0" t="s">
        <v>176</v>
      </c>
      <c r="DU255" s="0" t="s">
        <v>154</v>
      </c>
      <c r="EA255" s="0" t="s">
        <v>154</v>
      </c>
      <c r="ED255" s="0" t="s">
        <v>176</v>
      </c>
      <c r="EF255" s="0" t="s">
        <v>154</v>
      </c>
    </row>
    <row r="256" customFormat="false" ht="13.8" hidden="true" customHeight="false" outlineLevel="0" collapsed="false">
      <c r="A256" s="0" t="s">
        <v>1517</v>
      </c>
      <c r="B256" s="0" t="n">
        <v>78</v>
      </c>
      <c r="C256" s="0" t="n">
        <v>484142</v>
      </c>
      <c r="D256" s="0" t="s">
        <v>1514</v>
      </c>
      <c r="E256" s="0" t="s">
        <v>429</v>
      </c>
      <c r="F256" s="0" t="str">
        <f aca="false">CONCATENATE(D256," ",LEFT(H256,4),"T=",AU256,"D=",AV256,"R=",AW256,"M=",AX256,"L=",AY256,"B=",AZ256)</f>
        <v>LOVASH IIIT=1D=0R=0M=0L=0B=0</v>
      </c>
      <c r="G256" s="0" t="s">
        <v>241</v>
      </c>
      <c r="H256" s="0" t="s">
        <v>1175</v>
      </c>
      <c r="I256" s="0" t="s">
        <v>1518</v>
      </c>
      <c r="J256" s="0" t="s">
        <v>1519</v>
      </c>
      <c r="K256" s="0" t="s">
        <v>175</v>
      </c>
      <c r="L256" s="0"/>
      <c r="M256" s="0" t="s">
        <v>1516</v>
      </c>
      <c r="N256" s="0" t="str">
        <f aca="false">RIGHT(M256,LEN(M256)-FIND(" ",M256))</f>
        <v>BELMONT AVE NW</v>
      </c>
      <c r="P256" s="0" t="s">
        <v>146</v>
      </c>
      <c r="Q256" s="0" t="s">
        <v>147</v>
      </c>
      <c r="R256" s="0" t="n">
        <v>44483</v>
      </c>
      <c r="AD256" s="0" t="s">
        <v>148</v>
      </c>
      <c r="AE256" s="0" t="s">
        <v>149</v>
      </c>
      <c r="AF256" s="0" t="s">
        <v>150</v>
      </c>
      <c r="AH256" s="0" t="n">
        <v>14</v>
      </c>
      <c r="AI256" s="0" t="n">
        <v>11</v>
      </c>
      <c r="AN256" s="0" t="s">
        <v>146</v>
      </c>
      <c r="AO256" s="0" t="s">
        <v>151</v>
      </c>
      <c r="AP256" s="0" t="s">
        <v>152</v>
      </c>
      <c r="AQ256" s="0" t="n">
        <v>9</v>
      </c>
      <c r="AR256" s="0" t="n">
        <v>64</v>
      </c>
      <c r="AS256" s="0" t="n">
        <v>32</v>
      </c>
      <c r="AU256" s="0" t="n">
        <f aca="false">COUNTA($BA$1990:$EH$1990)</f>
        <v>1</v>
      </c>
      <c r="AV256" s="0" t="n">
        <f aca="false">COUNTIF($BA$1990:$EH$1990,"D")</f>
        <v>0</v>
      </c>
      <c r="AW256" s="0" t="n">
        <f aca="false">COUNTIF($BA$1990:$EH$1990,"R")</f>
        <v>0</v>
      </c>
      <c r="AX256" s="0" t="n">
        <f aca="false"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>0</v>
      </c>
      <c r="AY256" s="0" t="n">
        <f aca="false">COUNTIF(DU256:EH256, "&lt;&gt;")</f>
        <v>0</v>
      </c>
      <c r="AZ256" s="0" t="n">
        <f aca="false">IF(EH256&lt;&gt;"",1,0)</f>
        <v>0</v>
      </c>
      <c r="BB256" s="0" t="s">
        <v>153</v>
      </c>
    </row>
    <row r="257" customFormat="false" ht="13.8" hidden="true" customHeight="false" outlineLevel="0" collapsed="false">
      <c r="A257" s="0" t="s">
        <v>1520</v>
      </c>
      <c r="B257" s="0" t="n">
        <v>78</v>
      </c>
      <c r="C257" s="0" t="n">
        <v>431383</v>
      </c>
      <c r="D257" s="0" t="s">
        <v>1521</v>
      </c>
      <c r="E257" s="0" t="s">
        <v>1522</v>
      </c>
      <c r="F257" s="0" t="str">
        <f aca="false">CONCATENATE(D257," ",LEFT(H257,4),"T=",AU257,"D=",AV257,"R=",AW257,"M=",AX257,"L=",AY257,"B=",AZ257)</f>
        <v>LOCKHART T=4D=0R=0M=0L=0B=0</v>
      </c>
      <c r="G257" s="0" t="s">
        <v>241</v>
      </c>
      <c r="I257" s="0" t="s">
        <v>1523</v>
      </c>
      <c r="J257" s="0" t="s">
        <v>1524</v>
      </c>
      <c r="K257" s="0" t="s">
        <v>175</v>
      </c>
      <c r="L257" s="0"/>
      <c r="M257" s="0" t="s">
        <v>1525</v>
      </c>
      <c r="N257" s="0" t="str">
        <f aca="false">RIGHT(M257,LEN(M257)-FIND(" ",M257))</f>
        <v>BELMONT AVE NW</v>
      </c>
      <c r="P257" s="0" t="s">
        <v>146</v>
      </c>
      <c r="Q257" s="0" t="s">
        <v>147</v>
      </c>
      <c r="R257" s="0" t="n">
        <v>44483</v>
      </c>
      <c r="AD257" s="0" t="s">
        <v>148</v>
      </c>
      <c r="AE257" s="0" t="s">
        <v>149</v>
      </c>
      <c r="AF257" s="0" t="s">
        <v>150</v>
      </c>
      <c r="AH257" s="0" t="n">
        <v>14</v>
      </c>
      <c r="AI257" s="0" t="n">
        <v>11</v>
      </c>
      <c r="AN257" s="0" t="s">
        <v>146</v>
      </c>
      <c r="AO257" s="0" t="s">
        <v>151</v>
      </c>
      <c r="AP257" s="0" t="s">
        <v>152</v>
      </c>
      <c r="AQ257" s="0" t="n">
        <v>9</v>
      </c>
      <c r="AR257" s="0" t="n">
        <v>64</v>
      </c>
      <c r="AS257" s="0" t="n">
        <v>32</v>
      </c>
      <c r="AU257" s="0" t="n">
        <f aca="false">COUNTA($BA$1403:$EH$1403)</f>
        <v>4</v>
      </c>
      <c r="AV257" s="0" t="n">
        <f aca="false">COUNTIF($BA$1403:$EH$1403,"D")</f>
        <v>0</v>
      </c>
      <c r="AW257" s="0" t="n">
        <f aca="false">COUNTIF($BA$1403:$EH$1403,"R")</f>
        <v>0</v>
      </c>
      <c r="AX257" s="0" t="n">
        <f aca="false"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>0</v>
      </c>
      <c r="AY257" s="0" t="n">
        <f aca="false">COUNTIF(DU257:EH257, "&lt;&gt;")</f>
        <v>0</v>
      </c>
      <c r="AZ257" s="0" t="n">
        <f aca="false">IF(EH257&lt;&gt;"",1,0)</f>
        <v>0</v>
      </c>
      <c r="BB257" s="0" t="s">
        <v>153</v>
      </c>
    </row>
    <row r="258" customFormat="false" ht="13.8" hidden="true" customHeight="false" outlineLevel="0" collapsed="false">
      <c r="A258" s="0" t="s">
        <v>1526</v>
      </c>
      <c r="B258" s="0" t="n">
        <v>78</v>
      </c>
      <c r="C258" s="0" t="n">
        <v>339731</v>
      </c>
      <c r="D258" s="0" t="s">
        <v>1527</v>
      </c>
      <c r="E258" s="0" t="s">
        <v>1528</v>
      </c>
      <c r="F258" s="0" t="str">
        <f aca="false">CONCATENATE(D258," ",LEFT(H258,4),"T=",AU258,"D=",AV258,"R=",AW258,"M=",AX258,"L=",AY258,"B=",AZ258)</f>
        <v>KENNEDY T=3D=1R=0M=0L=0B=0</v>
      </c>
      <c r="I258" s="0" t="s">
        <v>1529</v>
      </c>
      <c r="J258" s="0" t="s">
        <v>357</v>
      </c>
      <c r="K258" s="0" t="s">
        <v>144</v>
      </c>
      <c r="L258" s="0"/>
      <c r="M258" s="0" t="s">
        <v>1525</v>
      </c>
      <c r="N258" s="0" t="str">
        <f aca="false">RIGHT(M258,LEN(M258)-FIND(" ",M258))</f>
        <v>BELMONT AVE NW</v>
      </c>
      <c r="P258" s="0" t="s">
        <v>146</v>
      </c>
      <c r="Q258" s="0" t="s">
        <v>147</v>
      </c>
      <c r="R258" s="0" t="n">
        <v>44483</v>
      </c>
      <c r="AD258" s="0" t="s">
        <v>148</v>
      </c>
      <c r="AE258" s="0" t="s">
        <v>149</v>
      </c>
      <c r="AF258" s="0" t="s">
        <v>150</v>
      </c>
      <c r="AH258" s="0" t="n">
        <v>14</v>
      </c>
      <c r="AI258" s="0" t="n">
        <v>11</v>
      </c>
      <c r="AN258" s="0" t="s">
        <v>146</v>
      </c>
      <c r="AO258" s="0" t="s">
        <v>151</v>
      </c>
      <c r="AP258" s="0" t="s">
        <v>152</v>
      </c>
      <c r="AQ258" s="0" t="n">
        <v>9</v>
      </c>
      <c r="AR258" s="0" t="n">
        <v>64</v>
      </c>
      <c r="AS258" s="0" t="n">
        <v>32</v>
      </c>
      <c r="AU258" s="0" t="n">
        <f aca="false">COUNTA($BA$1755:$EH$1755)</f>
        <v>3</v>
      </c>
      <c r="AV258" s="0" t="n">
        <f aca="false">COUNTIF($BA$1755:$EH$1755,"D")</f>
        <v>1</v>
      </c>
      <c r="AW258" s="0" t="n">
        <f aca="false">COUNTIF($BA$1755:$EH$1755,"R")</f>
        <v>0</v>
      </c>
      <c r="AX258" s="0" t="n">
        <f aca="false"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>0</v>
      </c>
      <c r="AY258" s="0" t="n">
        <f aca="false">COUNTIF(DU258:EH258, "&lt;&gt;")</f>
        <v>0</v>
      </c>
      <c r="AZ258" s="0" t="n">
        <f aca="false">IF(EH258&lt;&gt;"",1,0)</f>
        <v>0</v>
      </c>
      <c r="BB258" s="0" t="s">
        <v>153</v>
      </c>
      <c r="BY258" s="0" t="s">
        <v>155</v>
      </c>
      <c r="CA258" s="0" t="s">
        <v>154</v>
      </c>
      <c r="CG258" s="0" t="s">
        <v>154</v>
      </c>
      <c r="CK258" s="0" t="s">
        <v>154</v>
      </c>
      <c r="CN258" s="0" t="s">
        <v>154</v>
      </c>
      <c r="CP258" s="0" t="s">
        <v>154</v>
      </c>
      <c r="CY258" s="0" t="s">
        <v>154</v>
      </c>
      <c r="DC258" s="0" t="s">
        <v>154</v>
      </c>
      <c r="DI258" s="0" t="s">
        <v>154</v>
      </c>
      <c r="DN258" s="0" t="s">
        <v>154</v>
      </c>
    </row>
    <row r="259" customFormat="false" ht="13.8" hidden="true" customHeight="false" outlineLevel="0" collapsed="false">
      <c r="A259" s="0" t="s">
        <v>1530</v>
      </c>
      <c r="B259" s="0" t="n">
        <v>78</v>
      </c>
      <c r="C259" s="0" t="n">
        <v>339748</v>
      </c>
      <c r="D259" s="0" t="s">
        <v>1527</v>
      </c>
      <c r="E259" s="0" t="s">
        <v>1531</v>
      </c>
      <c r="F259" s="0" t="str">
        <f aca="false">CONCATENATE(D259," ",LEFT(H259,4),"T=",AU259,"D=",AV259,"R=",AW259,"M=",AX259,"L=",AY259,"B=",AZ259)</f>
        <v>KENNEDY T=17D=0R=2M=0L=0B=0</v>
      </c>
      <c r="G259" s="0" t="s">
        <v>176</v>
      </c>
      <c r="I259" s="0" t="s">
        <v>1532</v>
      </c>
      <c r="J259" s="0" t="s">
        <v>1533</v>
      </c>
      <c r="K259" s="0" t="s">
        <v>144</v>
      </c>
      <c r="L259" s="0"/>
      <c r="M259" s="0" t="s">
        <v>1525</v>
      </c>
      <c r="N259" s="0" t="str">
        <f aca="false">RIGHT(M259,LEN(M259)-FIND(" ",M259))</f>
        <v>BELMONT AVE NW</v>
      </c>
      <c r="P259" s="0" t="s">
        <v>146</v>
      </c>
      <c r="Q259" s="0" t="s">
        <v>147</v>
      </c>
      <c r="R259" s="0" t="n">
        <v>44483</v>
      </c>
      <c r="AD259" s="0" t="s">
        <v>148</v>
      </c>
      <c r="AE259" s="0" t="s">
        <v>149</v>
      </c>
      <c r="AF259" s="0" t="s">
        <v>150</v>
      </c>
      <c r="AH259" s="0" t="n">
        <v>14</v>
      </c>
      <c r="AI259" s="0" t="n">
        <v>11</v>
      </c>
      <c r="AN259" s="0" t="s">
        <v>146</v>
      </c>
      <c r="AO259" s="0" t="s">
        <v>151</v>
      </c>
      <c r="AP259" s="0" t="s">
        <v>152</v>
      </c>
      <c r="AQ259" s="0" t="n">
        <v>9</v>
      </c>
      <c r="AR259" s="0" t="n">
        <v>64</v>
      </c>
      <c r="AS259" s="0" t="n">
        <v>32</v>
      </c>
      <c r="AU259" s="0" t="n">
        <f aca="false">COUNTA($BA$1848:$EH$1848)</f>
        <v>17</v>
      </c>
      <c r="AV259" s="0" t="n">
        <f aca="false">COUNTIF($BA$1848:$EH$1848,"D")</f>
        <v>0</v>
      </c>
      <c r="AW259" s="0" t="n">
        <f aca="false">COUNTIF($BA$1848:$EH$1848,"R")</f>
        <v>2</v>
      </c>
      <c r="AX259" s="0" t="n">
        <f aca="false"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>0</v>
      </c>
      <c r="AY259" s="0" t="n">
        <f aca="false">COUNTIF(DU259:EH259, "&lt;&gt;")</f>
        <v>0</v>
      </c>
      <c r="AZ259" s="0" t="n">
        <f aca="false">IF(EH259&lt;&gt;"",1,0)</f>
        <v>0</v>
      </c>
      <c r="BB259" s="0" t="s">
        <v>153</v>
      </c>
      <c r="BY259" s="0" t="s">
        <v>155</v>
      </c>
      <c r="CA259" s="0" t="s">
        <v>154</v>
      </c>
      <c r="CG259" s="0" t="s">
        <v>154</v>
      </c>
      <c r="CK259" s="0" t="s">
        <v>154</v>
      </c>
      <c r="CN259" s="0" t="s">
        <v>154</v>
      </c>
      <c r="CP259" s="0" t="s">
        <v>154</v>
      </c>
      <c r="CV259" s="0" t="s">
        <v>154</v>
      </c>
      <c r="CY259" s="0" t="s">
        <v>154</v>
      </c>
      <c r="DC259" s="0" t="s">
        <v>154</v>
      </c>
      <c r="DI259" s="0" t="s">
        <v>154</v>
      </c>
      <c r="DN259" s="0" t="s">
        <v>154</v>
      </c>
    </row>
    <row r="260" customFormat="false" ht="13.8" hidden="true" customHeight="false" outlineLevel="0" collapsed="false">
      <c r="A260" s="0" t="s">
        <v>1534</v>
      </c>
      <c r="B260" s="0" t="n">
        <v>78</v>
      </c>
      <c r="C260" s="0" t="n">
        <v>481014</v>
      </c>
      <c r="D260" s="0" t="s">
        <v>1535</v>
      </c>
      <c r="E260" s="0" t="s">
        <v>1536</v>
      </c>
      <c r="F260" s="0" t="str">
        <f aca="false">CONCATENATE(D260," ",LEFT(H260,4),"T=",AU260,"D=",AV260,"R=",AW260,"M=",AX260,"L=",AY260,"B=",AZ260)</f>
        <v>PELUSO T=1D=0R=0M=0L=0B=0</v>
      </c>
      <c r="G260" s="0" t="s">
        <v>297</v>
      </c>
      <c r="I260" s="0" t="s">
        <v>1537</v>
      </c>
      <c r="J260" s="0" t="s">
        <v>1538</v>
      </c>
      <c r="K260" s="0" t="s">
        <v>175</v>
      </c>
      <c r="L260" s="0"/>
      <c r="M260" s="0" t="s">
        <v>1525</v>
      </c>
      <c r="N260" s="0" t="str">
        <f aca="false">RIGHT(M260,LEN(M260)-FIND(" ",M260))</f>
        <v>BELMONT AVE NW</v>
      </c>
      <c r="P260" s="0" t="s">
        <v>146</v>
      </c>
      <c r="Q260" s="0" t="s">
        <v>147</v>
      </c>
      <c r="R260" s="0" t="n">
        <v>44483</v>
      </c>
      <c r="AD260" s="0" t="s">
        <v>148</v>
      </c>
      <c r="AE260" s="0" t="s">
        <v>149</v>
      </c>
      <c r="AF260" s="0" t="s">
        <v>150</v>
      </c>
      <c r="AH260" s="0" t="n">
        <v>14</v>
      </c>
      <c r="AI260" s="0" t="n">
        <v>11</v>
      </c>
      <c r="AN260" s="0" t="s">
        <v>146</v>
      </c>
      <c r="AO260" s="0" t="s">
        <v>151</v>
      </c>
      <c r="AP260" s="0" t="s">
        <v>152</v>
      </c>
      <c r="AQ260" s="0" t="n">
        <v>9</v>
      </c>
      <c r="AR260" s="0" t="n">
        <v>64</v>
      </c>
      <c r="AS260" s="0" t="n">
        <v>32</v>
      </c>
      <c r="AU260" s="0" t="n">
        <f aca="false">COUNTA($BA$1991:$EH$1991)</f>
        <v>1</v>
      </c>
      <c r="AV260" s="0" t="n">
        <f aca="false">COUNTIF($BA$1991:$EH$1991,"D")</f>
        <v>0</v>
      </c>
      <c r="AW260" s="0" t="n">
        <f aca="false">COUNTIF($BA$1991:$EH$1991,"R")</f>
        <v>0</v>
      </c>
      <c r="AX260" s="0" t="n">
        <f aca="false"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>0</v>
      </c>
      <c r="AY260" s="0" t="n">
        <f aca="false">COUNTIF(DU260:EH260, "&lt;&gt;")</f>
        <v>0</v>
      </c>
      <c r="AZ260" s="0" t="n">
        <f aca="false">IF(EH260&lt;&gt;"",1,0)</f>
        <v>0</v>
      </c>
      <c r="BB260" s="0" t="s">
        <v>153</v>
      </c>
    </row>
    <row r="261" customFormat="false" ht="13.8" hidden="true" customHeight="false" outlineLevel="0" collapsed="false">
      <c r="A261" s="0" t="s">
        <v>1539</v>
      </c>
      <c r="B261" s="0" t="n">
        <v>78</v>
      </c>
      <c r="C261" s="0" t="n">
        <v>492693</v>
      </c>
      <c r="D261" s="0" t="s">
        <v>1540</v>
      </c>
      <c r="E261" s="0" t="s">
        <v>266</v>
      </c>
      <c r="F261" s="0" t="str">
        <f aca="false">CONCATENATE(D261," ",LEFT(H261,4),"T=",AU261,"D=",AV261,"R=",AW261,"M=",AX261,"L=",AY261,"B=",AZ261)</f>
        <v>HOPKINS JRT=2D=0R=0M=0L=0B=0</v>
      </c>
      <c r="G261" s="0" t="s">
        <v>181</v>
      </c>
      <c r="H261" s="0" t="s">
        <v>431</v>
      </c>
      <c r="I261" s="0" t="s">
        <v>1541</v>
      </c>
      <c r="J261" s="0" t="s">
        <v>1542</v>
      </c>
      <c r="K261" s="0" t="s">
        <v>175</v>
      </c>
      <c r="L261" s="0"/>
      <c r="M261" s="0" t="s">
        <v>1543</v>
      </c>
      <c r="N261" s="0" t="str">
        <f aca="false">RIGHT(M261,LEN(M261)-FIND(" ",M261))</f>
        <v>BELMONT AVE NW</v>
      </c>
      <c r="P261" s="0" t="s">
        <v>146</v>
      </c>
      <c r="Q261" s="0" t="s">
        <v>147</v>
      </c>
      <c r="R261" s="0" t="n">
        <v>44483</v>
      </c>
      <c r="AD261" s="0" t="s">
        <v>148</v>
      </c>
      <c r="AE261" s="0" t="s">
        <v>149</v>
      </c>
      <c r="AF261" s="0" t="s">
        <v>150</v>
      </c>
      <c r="AH261" s="0" t="n">
        <v>14</v>
      </c>
      <c r="AI261" s="0" t="n">
        <v>11</v>
      </c>
      <c r="AN261" s="0" t="s">
        <v>146</v>
      </c>
      <c r="AO261" s="0" t="s">
        <v>151</v>
      </c>
      <c r="AP261" s="0" t="s">
        <v>152</v>
      </c>
      <c r="AQ261" s="0" t="n">
        <v>9</v>
      </c>
      <c r="AR261" s="0" t="n">
        <v>64</v>
      </c>
      <c r="AS261" s="0" t="n">
        <v>32</v>
      </c>
      <c r="AU261" s="0" t="n">
        <f aca="false">COUNTA($BA$1292:$EH$1292)</f>
        <v>2</v>
      </c>
      <c r="AV261" s="0" t="n">
        <f aca="false">COUNTIF($BA$1292:$EH$1292,"D")</f>
        <v>0</v>
      </c>
      <c r="AW261" s="0" t="n">
        <f aca="false">COUNTIF($BA$1292:$EH$1292,"R")</f>
        <v>0</v>
      </c>
      <c r="AX261" s="0" t="n">
        <f aca="false"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>0</v>
      </c>
      <c r="AY261" s="0" t="n">
        <f aca="false">COUNTIF(DU261:EH261, "&lt;&gt;")</f>
        <v>0</v>
      </c>
      <c r="AZ261" s="0" t="n">
        <f aca="false">IF(EH261&lt;&gt;"",1,0)</f>
        <v>0</v>
      </c>
      <c r="BB261" s="0" t="s">
        <v>153</v>
      </c>
    </row>
    <row r="262" customFormat="false" ht="13.8" hidden="true" customHeight="false" outlineLevel="0" collapsed="false">
      <c r="A262" s="0" t="s">
        <v>1544</v>
      </c>
      <c r="B262" s="0" t="n">
        <v>78</v>
      </c>
      <c r="C262" s="0" t="n">
        <v>470520</v>
      </c>
      <c r="D262" s="0" t="s">
        <v>633</v>
      </c>
      <c r="E262" s="0" t="s">
        <v>1545</v>
      </c>
      <c r="F262" s="0" t="str">
        <f aca="false">CONCATENATE(D262," ",LEFT(H262,4),"T=",AU262,"D=",AV262,"R=",AW262,"M=",AX262,"L=",AY262,"B=",AZ262)</f>
        <v>WALKER JRT=1D=0R=0M=0L=0B=0</v>
      </c>
      <c r="G262" s="0" t="s">
        <v>172</v>
      </c>
      <c r="H262" s="0" t="s">
        <v>431</v>
      </c>
      <c r="I262" s="0" t="s">
        <v>1546</v>
      </c>
      <c r="J262" s="0" t="s">
        <v>1547</v>
      </c>
      <c r="K262" s="0" t="s">
        <v>175</v>
      </c>
      <c r="L262" s="0"/>
      <c r="M262" s="0" t="s">
        <v>1543</v>
      </c>
      <c r="N262" s="0" t="str">
        <f aca="false">RIGHT(M262,LEN(M262)-FIND(" ",M262))</f>
        <v>BELMONT AVE NW</v>
      </c>
      <c r="P262" s="0" t="s">
        <v>146</v>
      </c>
      <c r="Q262" s="0" t="s">
        <v>147</v>
      </c>
      <c r="R262" s="0" t="n">
        <v>44483</v>
      </c>
      <c r="AD262" s="0" t="s">
        <v>148</v>
      </c>
      <c r="AE262" s="0" t="s">
        <v>149</v>
      </c>
      <c r="AF262" s="0" t="s">
        <v>150</v>
      </c>
      <c r="AH262" s="0" t="n">
        <v>14</v>
      </c>
      <c r="AI262" s="0" t="n">
        <v>11</v>
      </c>
      <c r="AN262" s="0" t="s">
        <v>146</v>
      </c>
      <c r="AO262" s="0" t="s">
        <v>151</v>
      </c>
      <c r="AP262" s="0" t="s">
        <v>152</v>
      </c>
      <c r="AQ262" s="0" t="n">
        <v>9</v>
      </c>
      <c r="AR262" s="0" t="n">
        <v>64</v>
      </c>
      <c r="AS262" s="0" t="n">
        <v>32</v>
      </c>
      <c r="AU262" s="0" t="n">
        <f aca="false">COUNTA($BA$1744:$EH$1744)</f>
        <v>1</v>
      </c>
      <c r="AV262" s="0" t="n">
        <f aca="false">COUNTIF($BA$1744:$EH$1744,"D")</f>
        <v>0</v>
      </c>
      <c r="AW262" s="0" t="n">
        <f aca="false">COUNTIF($BA$1744:$EH$1744,"R")</f>
        <v>0</v>
      </c>
      <c r="AX262" s="0" t="n">
        <f aca="false"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>0</v>
      </c>
      <c r="AY262" s="0" t="n">
        <f aca="false">COUNTIF(DU262:EH262, "&lt;&gt;")</f>
        <v>0</v>
      </c>
      <c r="AZ262" s="0" t="n">
        <f aca="false">IF(EH262&lt;&gt;"",1,0)</f>
        <v>0</v>
      </c>
      <c r="BB262" s="0" t="s">
        <v>153</v>
      </c>
      <c r="CA262" s="0" t="s">
        <v>154</v>
      </c>
    </row>
    <row r="263" customFormat="false" ht="13.8" hidden="true" customHeight="false" outlineLevel="0" collapsed="false">
      <c r="A263" s="0" t="s">
        <v>1548</v>
      </c>
      <c r="B263" s="0" t="n">
        <v>78</v>
      </c>
      <c r="C263" s="0" t="n">
        <v>317684</v>
      </c>
      <c r="D263" s="0" t="s">
        <v>1549</v>
      </c>
      <c r="E263" s="0" t="s">
        <v>1550</v>
      </c>
      <c r="F263" s="0" t="str">
        <f aca="false">CONCATENATE(D263," ",LEFT(H263,4),"T=",AU263,"D=",AV263,"R=",AW263,"M=",AX263,"L=",AY263,"B=",AZ263)</f>
        <v>WILSON IIT=2D=0R=0M=0L=1B=0</v>
      </c>
      <c r="G263" s="0" t="s">
        <v>563</v>
      </c>
      <c r="H263" s="0" t="s">
        <v>598</v>
      </c>
      <c r="I263" s="0" t="s">
        <v>1551</v>
      </c>
      <c r="J263" s="0" t="s">
        <v>712</v>
      </c>
      <c r="K263" s="0" t="s">
        <v>175</v>
      </c>
      <c r="L263" s="0"/>
      <c r="M263" s="0" t="s">
        <v>1552</v>
      </c>
      <c r="N263" s="0" t="str">
        <f aca="false">RIGHT(M263,LEN(M263)-FIND(" ",M263))</f>
        <v>BELMONT AVE NW</v>
      </c>
      <c r="P263" s="0" t="s">
        <v>146</v>
      </c>
      <c r="Q263" s="0" t="s">
        <v>147</v>
      </c>
      <c r="R263" s="0" t="n">
        <v>44483</v>
      </c>
      <c r="AD263" s="0" t="s">
        <v>148</v>
      </c>
      <c r="AE263" s="0" t="s">
        <v>149</v>
      </c>
      <c r="AF263" s="0" t="s">
        <v>150</v>
      </c>
      <c r="AH263" s="0" t="n">
        <v>14</v>
      </c>
      <c r="AI263" s="0" t="n">
        <v>11</v>
      </c>
      <c r="AN263" s="0" t="s">
        <v>146</v>
      </c>
      <c r="AO263" s="0" t="s">
        <v>151</v>
      </c>
      <c r="AP263" s="0" t="s">
        <v>152</v>
      </c>
      <c r="AQ263" s="0" t="n">
        <v>9</v>
      </c>
      <c r="AR263" s="0" t="n">
        <v>64</v>
      </c>
      <c r="AS263" s="0" t="n">
        <v>32</v>
      </c>
      <c r="AU263" s="0" t="n">
        <f aca="false">COUNTA($BA$1300:$EH$1300)</f>
        <v>2</v>
      </c>
      <c r="AV263" s="0" t="n">
        <f aca="false">COUNTIF($BA$1300:$EH$1300,"D")</f>
        <v>0</v>
      </c>
      <c r="AW263" s="0" t="n">
        <f aca="false">COUNTIF($BA$1300:$EH$1300,"R")</f>
        <v>0</v>
      </c>
      <c r="AX263" s="0" t="n">
        <f aca="false"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>0</v>
      </c>
      <c r="AY263" s="0" t="n">
        <f aca="false">COUNTIF(DU263:EH263, "&lt;&gt;")</f>
        <v>1</v>
      </c>
      <c r="AZ263" s="0" t="n">
        <f aca="false">IF(EH263&lt;&gt;"",1,0)</f>
        <v>0</v>
      </c>
      <c r="BB263" s="0" t="s">
        <v>153</v>
      </c>
      <c r="BL263" s="0" t="s">
        <v>154</v>
      </c>
      <c r="BP263" s="0" t="s">
        <v>154</v>
      </c>
      <c r="BR263" s="0" t="s">
        <v>154</v>
      </c>
      <c r="BY263" s="0" t="s">
        <v>155</v>
      </c>
      <c r="CA263" s="0" t="s">
        <v>154</v>
      </c>
      <c r="CC263" s="0" t="s">
        <v>154</v>
      </c>
      <c r="CG263" s="0" t="s">
        <v>154</v>
      </c>
      <c r="EF263" s="0" t="s">
        <v>154</v>
      </c>
    </row>
    <row r="264" customFormat="false" ht="13.8" hidden="true" customHeight="false" outlineLevel="0" collapsed="false">
      <c r="A264" s="0" t="s">
        <v>1553</v>
      </c>
      <c r="B264" s="0" t="n">
        <v>78</v>
      </c>
      <c r="C264" s="0" t="n">
        <v>477202</v>
      </c>
      <c r="D264" s="0" t="s">
        <v>1549</v>
      </c>
      <c r="E264" s="0" t="s">
        <v>1554</v>
      </c>
      <c r="F264" s="0" t="str">
        <f aca="false">CONCATENATE(D264," ",LEFT(H264,4),"T=",AU264,"D=",AV264,"R=",AW264,"M=",AX264,"L=",AY264,"B=",AZ264)</f>
        <v>WILSON T=1D=0R=0M=0L=1B=0</v>
      </c>
      <c r="G264" s="0" t="s">
        <v>1555</v>
      </c>
      <c r="I264" s="0" t="s">
        <v>1556</v>
      </c>
      <c r="J264" s="0" t="s">
        <v>712</v>
      </c>
      <c r="K264" s="0" t="s">
        <v>175</v>
      </c>
      <c r="L264" s="0"/>
      <c r="M264" s="0" t="s">
        <v>1552</v>
      </c>
      <c r="N264" s="0" t="str">
        <f aca="false">RIGHT(M264,LEN(M264)-FIND(" ",M264))</f>
        <v>BELMONT AVE NW</v>
      </c>
      <c r="P264" s="0" t="s">
        <v>146</v>
      </c>
      <c r="Q264" s="0" t="s">
        <v>147</v>
      </c>
      <c r="R264" s="0" t="n">
        <v>44483</v>
      </c>
      <c r="AD264" s="0" t="s">
        <v>148</v>
      </c>
      <c r="AE264" s="0" t="s">
        <v>149</v>
      </c>
      <c r="AF264" s="0" t="s">
        <v>150</v>
      </c>
      <c r="AH264" s="0" t="n">
        <v>14</v>
      </c>
      <c r="AI264" s="0" t="n">
        <v>11</v>
      </c>
      <c r="AN264" s="0" t="s">
        <v>146</v>
      </c>
      <c r="AO264" s="0" t="s">
        <v>151</v>
      </c>
      <c r="AP264" s="0" t="s">
        <v>152</v>
      </c>
      <c r="AQ264" s="0" t="n">
        <v>9</v>
      </c>
      <c r="AR264" s="0" t="n">
        <v>64</v>
      </c>
      <c r="AS264" s="0" t="n">
        <v>32</v>
      </c>
      <c r="AU264" s="0" t="n">
        <f aca="false">COUNTA($BA$1463:$EH$1463)</f>
        <v>1</v>
      </c>
      <c r="AV264" s="0" t="n">
        <f aca="false">COUNTIF($BA$1463:$EH$1463,"D")</f>
        <v>0</v>
      </c>
      <c r="AW264" s="0" t="n">
        <f aca="false">COUNTIF($BA$1463:$EH$1463,"R")</f>
        <v>0</v>
      </c>
      <c r="AX264" s="0" t="n">
        <f aca="false"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>0</v>
      </c>
      <c r="AY264" s="0" t="n">
        <f aca="false">COUNTIF(DU264:EH264, "&lt;&gt;")</f>
        <v>1</v>
      </c>
      <c r="AZ264" s="0" t="n">
        <f aca="false">IF(EH264&lt;&gt;"",1,0)</f>
        <v>0</v>
      </c>
      <c r="BB264" s="0" t="s">
        <v>153</v>
      </c>
      <c r="EA264" s="0" t="s">
        <v>154</v>
      </c>
    </row>
    <row r="265" customFormat="false" ht="13.8" hidden="true" customHeight="false" outlineLevel="0" collapsed="false">
      <c r="A265" s="0" t="s">
        <v>1557</v>
      </c>
      <c r="B265" s="0" t="n">
        <v>78</v>
      </c>
      <c r="C265" s="0" t="n">
        <v>316268</v>
      </c>
      <c r="D265" s="0" t="s">
        <v>1549</v>
      </c>
      <c r="E265" s="0" t="s">
        <v>938</v>
      </c>
      <c r="F265" s="0" t="str">
        <f aca="false">CONCATENATE(D265," ",LEFT(H265,4),"T=",AU265,"D=",AV265,"R=",AW265,"M=",AX265,"L=",AY265,"B=",AZ265)</f>
        <v>WILSON T=50D=17R=0M=0L=0B=0</v>
      </c>
      <c r="G265" s="0" t="s">
        <v>241</v>
      </c>
      <c r="I265" s="0" t="s">
        <v>1558</v>
      </c>
      <c r="J265" s="0" t="s">
        <v>1559</v>
      </c>
      <c r="K265" s="0" t="s">
        <v>175</v>
      </c>
      <c r="L265" s="0"/>
      <c r="M265" s="0" t="s">
        <v>1552</v>
      </c>
      <c r="N265" s="0" t="str">
        <f aca="false">RIGHT(M265,LEN(M265)-FIND(" ",M265))</f>
        <v>BELMONT AVE NW</v>
      </c>
      <c r="P265" s="0" t="s">
        <v>146</v>
      </c>
      <c r="Q265" s="0" t="s">
        <v>147</v>
      </c>
      <c r="R265" s="0" t="n">
        <v>44483</v>
      </c>
      <c r="AD265" s="0" t="s">
        <v>148</v>
      </c>
      <c r="AE265" s="0" t="s">
        <v>149</v>
      </c>
      <c r="AF265" s="0" t="s">
        <v>150</v>
      </c>
      <c r="AH265" s="0" t="n">
        <v>14</v>
      </c>
      <c r="AI265" s="0" t="n">
        <v>11</v>
      </c>
      <c r="AN265" s="0" t="s">
        <v>146</v>
      </c>
      <c r="AO265" s="0" t="s">
        <v>151</v>
      </c>
      <c r="AP265" s="0" t="s">
        <v>152</v>
      </c>
      <c r="AQ265" s="0" t="n">
        <v>9</v>
      </c>
      <c r="AR265" s="0" t="n">
        <v>64</v>
      </c>
      <c r="AS265" s="0" t="n">
        <v>32</v>
      </c>
      <c r="AU265" s="0" t="n">
        <f aca="false">COUNTA($BA$1540:$EH$1540)</f>
        <v>50</v>
      </c>
      <c r="AV265" s="0" t="n">
        <f aca="false">COUNTIF($BA$1540:$EH$1540,"D")</f>
        <v>17</v>
      </c>
      <c r="AW265" s="0" t="n">
        <f aca="false">COUNTIF($BA$1540:$EH$1540,"R")</f>
        <v>0</v>
      </c>
      <c r="AX265" s="0" t="n">
        <f aca="false"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>0</v>
      </c>
      <c r="AY265" s="0" t="n">
        <f aca="false">COUNTIF(DU265:EH265, "&lt;&gt;")</f>
        <v>0</v>
      </c>
      <c r="AZ265" s="0" t="n">
        <f aca="false">IF(EH265&lt;&gt;"",1,0)</f>
        <v>0</v>
      </c>
      <c r="BB265" s="0" t="s">
        <v>153</v>
      </c>
      <c r="BL265" s="0" t="s">
        <v>154</v>
      </c>
      <c r="BP265" s="0" t="s">
        <v>154</v>
      </c>
      <c r="BR265" s="0" t="s">
        <v>154</v>
      </c>
    </row>
    <row r="266" customFormat="false" ht="13.8" hidden="true" customHeight="false" outlineLevel="0" collapsed="false">
      <c r="A266" s="0" t="s">
        <v>1560</v>
      </c>
      <c r="B266" s="0" t="n">
        <v>78</v>
      </c>
      <c r="C266" s="0" t="n">
        <v>395497</v>
      </c>
      <c r="D266" s="0" t="s">
        <v>1549</v>
      </c>
      <c r="E266" s="0" t="s">
        <v>1550</v>
      </c>
      <c r="F266" s="0" t="str">
        <f aca="false">CONCATENATE(D266," ",LEFT(H266,4),"T=",AU266,"D=",AV266,"R=",AW266,"M=",AX266,"L=",AY266,"B=",AZ266)</f>
        <v>WILSON IIIT=3D=0R=0M=0L=1B=0</v>
      </c>
      <c r="G266" s="0" t="s">
        <v>563</v>
      </c>
      <c r="H266" s="0" t="s">
        <v>1175</v>
      </c>
      <c r="I266" s="0" t="s">
        <v>1561</v>
      </c>
      <c r="J266" s="0" t="s">
        <v>1494</v>
      </c>
      <c r="K266" s="0" t="s">
        <v>175</v>
      </c>
      <c r="L266" s="0"/>
      <c r="M266" s="0" t="s">
        <v>1552</v>
      </c>
      <c r="N266" s="0" t="str">
        <f aca="false">RIGHT(M266,LEN(M266)-FIND(" ",M266))</f>
        <v>BELMONT AVE NW</v>
      </c>
      <c r="P266" s="0" t="s">
        <v>146</v>
      </c>
      <c r="Q266" s="0" t="s">
        <v>147</v>
      </c>
      <c r="R266" s="0" t="n">
        <v>44483</v>
      </c>
      <c r="AD266" s="0" t="s">
        <v>148</v>
      </c>
      <c r="AE266" s="0" t="s">
        <v>149</v>
      </c>
      <c r="AF266" s="0" t="s">
        <v>150</v>
      </c>
      <c r="AH266" s="0" t="n">
        <v>14</v>
      </c>
      <c r="AI266" s="0" t="n">
        <v>11</v>
      </c>
      <c r="AN266" s="0" t="s">
        <v>146</v>
      </c>
      <c r="AO266" s="0" t="s">
        <v>151</v>
      </c>
      <c r="AP266" s="0" t="s">
        <v>152</v>
      </c>
      <c r="AQ266" s="0" t="n">
        <v>9</v>
      </c>
      <c r="AR266" s="0" t="n">
        <v>64</v>
      </c>
      <c r="AS266" s="0" t="n">
        <v>32</v>
      </c>
      <c r="AU266" s="0" t="n">
        <f aca="false">COUNTA($BA$1843:$EH$1843)</f>
        <v>3</v>
      </c>
      <c r="AV266" s="0" t="n">
        <f aca="false">COUNTIF($BA$1843:$EH$1843,"D")</f>
        <v>0</v>
      </c>
      <c r="AW266" s="0" t="n">
        <f aca="false">COUNTIF($BA$1843:$EH$1843,"R")</f>
        <v>0</v>
      </c>
      <c r="AX266" s="0" t="n">
        <f aca="false"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>0</v>
      </c>
      <c r="AY266" s="0" t="n">
        <f aca="false">COUNTIF(DU266:EH266, "&lt;&gt;")</f>
        <v>1</v>
      </c>
      <c r="AZ266" s="0" t="n">
        <f aca="false">IF(EH266&lt;&gt;"",1,0)</f>
        <v>0</v>
      </c>
      <c r="BB266" s="0" t="s">
        <v>153</v>
      </c>
      <c r="EF266" s="0" t="s">
        <v>154</v>
      </c>
    </row>
    <row r="267" customFormat="false" ht="13.8" hidden="true" customHeight="false" outlineLevel="0" collapsed="false">
      <c r="A267" s="0" t="s">
        <v>1562</v>
      </c>
      <c r="B267" s="0" t="n">
        <v>78</v>
      </c>
      <c r="C267" s="0" t="n">
        <v>401629</v>
      </c>
      <c r="D267" s="0" t="s">
        <v>1563</v>
      </c>
      <c r="E267" s="0" t="s">
        <v>652</v>
      </c>
      <c r="F267" s="0" t="str">
        <f aca="false">CONCATENATE(D267," ",LEFT(H267,4),"T=",AU267,"D=",AV267,"R=",AW267,"M=",AX267,"L=",AY267,"B=",AZ267)</f>
        <v>BLOSE IIT=2D=0R=0M=0L=0B=0</v>
      </c>
      <c r="G267" s="0" t="s">
        <v>155</v>
      </c>
      <c r="H267" s="0" t="s">
        <v>598</v>
      </c>
      <c r="I267" s="0" t="s">
        <v>1564</v>
      </c>
      <c r="J267" s="0" t="s">
        <v>1565</v>
      </c>
      <c r="K267" s="0" t="s">
        <v>144</v>
      </c>
      <c r="L267" s="0"/>
      <c r="M267" s="0" t="s">
        <v>1566</v>
      </c>
      <c r="N267" s="0" t="str">
        <f aca="false">RIGHT(M267,LEN(M267)-FIND(" ",M267))</f>
        <v>BELMONT AVE NW</v>
      </c>
      <c r="P267" s="0" t="s">
        <v>146</v>
      </c>
      <c r="Q267" s="0" t="s">
        <v>147</v>
      </c>
      <c r="R267" s="0" t="n">
        <v>44483</v>
      </c>
      <c r="AD267" s="0" t="s">
        <v>148</v>
      </c>
      <c r="AE267" s="0" t="s">
        <v>149</v>
      </c>
      <c r="AF267" s="0" t="s">
        <v>150</v>
      </c>
      <c r="AH267" s="0" t="n">
        <v>14</v>
      </c>
      <c r="AI267" s="0" t="n">
        <v>11</v>
      </c>
      <c r="AN267" s="0" t="s">
        <v>146</v>
      </c>
      <c r="AO267" s="0" t="s">
        <v>151</v>
      </c>
      <c r="AP267" s="0" t="s">
        <v>152</v>
      </c>
      <c r="AQ267" s="0" t="n">
        <v>9</v>
      </c>
      <c r="AR267" s="0" t="n">
        <v>64</v>
      </c>
      <c r="AS267" s="0" t="n">
        <v>32</v>
      </c>
      <c r="AU267" s="0" t="n">
        <f aca="false">COUNTA($BA$1741:$EH$1741)</f>
        <v>2</v>
      </c>
      <c r="AV267" s="0" t="n">
        <f aca="false">COUNTIF($BA$1741:$EH$1741,"D")</f>
        <v>0</v>
      </c>
      <c r="AW267" s="0" t="n">
        <f aca="false">COUNTIF($BA$1741:$EH$1741,"R")</f>
        <v>0</v>
      </c>
      <c r="AX267" s="0" t="n">
        <f aca="false"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>0</v>
      </c>
      <c r="AY267" s="0" t="n">
        <f aca="false">COUNTIF(DU267:EH267, "&lt;&gt;")</f>
        <v>0</v>
      </c>
      <c r="AZ267" s="0" t="n">
        <f aca="false">IF(EH267&lt;&gt;"",1,0)</f>
        <v>0</v>
      </c>
      <c r="BB267" s="0" t="s">
        <v>153</v>
      </c>
    </row>
    <row r="268" customFormat="false" ht="13.8" hidden="false" customHeight="false" outlineLevel="0" collapsed="false">
      <c r="A268" s="0" t="s">
        <v>1567</v>
      </c>
      <c r="B268" s="0" t="n">
        <v>78</v>
      </c>
      <c r="C268" s="0" t="n">
        <v>227971</v>
      </c>
      <c r="D268" s="0" t="s">
        <v>1568</v>
      </c>
      <c r="E268" s="0" t="s">
        <v>822</v>
      </c>
      <c r="F268" s="0" t="str">
        <f aca="false">CONCATENATE(D268," ",LEFT(H268,4),"T=",AU268,"D=",AV268,"R=",AW268,"M=",AX268,"L=",AY268,"B=",AZ268)</f>
        <v>PAULEY T=3D=0R=0M=4L=5B=0</v>
      </c>
      <c r="G268" s="0" t="s">
        <v>365</v>
      </c>
      <c r="I268" s="0" t="s">
        <v>1569</v>
      </c>
      <c r="J268" s="0" t="s">
        <v>1570</v>
      </c>
      <c r="K268" s="0" t="s">
        <v>175</v>
      </c>
      <c r="L268" s="1" t="s">
        <v>176</v>
      </c>
      <c r="M268" s="0" t="s">
        <v>1571</v>
      </c>
      <c r="N268" s="0" t="str">
        <f aca="false">RIGHT(M268,LEN(M268)-FIND(" ",M268))</f>
        <v>BELMONT AVE NW</v>
      </c>
      <c r="P268" s="0" t="s">
        <v>146</v>
      </c>
      <c r="Q268" s="0" t="s">
        <v>147</v>
      </c>
      <c r="R268" s="0" t="n">
        <v>44483</v>
      </c>
      <c r="AD268" s="0" t="s">
        <v>148</v>
      </c>
      <c r="AE268" s="0" t="s">
        <v>149</v>
      </c>
      <c r="AF268" s="0" t="s">
        <v>150</v>
      </c>
      <c r="AH268" s="0" t="n">
        <v>14</v>
      </c>
      <c r="AI268" s="0" t="n">
        <v>11</v>
      </c>
      <c r="AN268" s="0" t="s">
        <v>146</v>
      </c>
      <c r="AO268" s="0" t="s">
        <v>151</v>
      </c>
      <c r="AP268" s="0" t="s">
        <v>152</v>
      </c>
      <c r="AQ268" s="0" t="n">
        <v>9</v>
      </c>
      <c r="AR268" s="0" t="n">
        <v>64</v>
      </c>
      <c r="AS268" s="0" t="n">
        <v>32</v>
      </c>
      <c r="AU268" s="0" t="n">
        <f aca="false">COUNTA($BA$1827:$EH$1827)</f>
        <v>3</v>
      </c>
      <c r="AV268" s="0" t="n">
        <f aca="false">COUNTIF($BA$1827:$EH$1827,"D")</f>
        <v>0</v>
      </c>
      <c r="AW268" s="0" t="n">
        <f aca="false">COUNTIF($BA$1827:$EH$1827,"R")</f>
        <v>0</v>
      </c>
      <c r="AX268" s="0" t="n">
        <f aca="false"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>4</v>
      </c>
      <c r="AY268" s="0" t="n">
        <f aca="false">COUNTIF(DU268:EH268, "&lt;&gt;")</f>
        <v>5</v>
      </c>
      <c r="AZ268" s="0" t="n">
        <f aca="false">IF(EH268&lt;&gt;"",1,0)</f>
        <v>0</v>
      </c>
      <c r="BB268" s="0" t="s">
        <v>153</v>
      </c>
      <c r="BD268" s="0" t="s">
        <v>154</v>
      </c>
      <c r="BH268" s="0" t="s">
        <v>154</v>
      </c>
      <c r="BL268" s="0" t="s">
        <v>154</v>
      </c>
      <c r="BS268" s="0" t="s">
        <v>154</v>
      </c>
      <c r="CA268" s="0" t="s">
        <v>154</v>
      </c>
      <c r="CG268" s="0" t="s">
        <v>154</v>
      </c>
      <c r="CK268" s="0" t="s">
        <v>154</v>
      </c>
      <c r="CL268" s="0" t="s">
        <v>155</v>
      </c>
      <c r="CN268" s="0" t="s">
        <v>154</v>
      </c>
      <c r="CO268" s="0" t="s">
        <v>155</v>
      </c>
      <c r="CP268" s="0" t="s">
        <v>154</v>
      </c>
      <c r="CU268" s="0" t="s">
        <v>155</v>
      </c>
      <c r="CY268" s="0" t="s">
        <v>154</v>
      </c>
      <c r="CZ268" s="0" t="s">
        <v>155</v>
      </c>
      <c r="DC268" s="0" t="s">
        <v>154</v>
      </c>
      <c r="DD268" s="0" t="s">
        <v>155</v>
      </c>
      <c r="DF268" s="0" t="s">
        <v>154</v>
      </c>
      <c r="DI268" s="0" t="s">
        <v>154</v>
      </c>
      <c r="DJ268" s="0" t="s">
        <v>155</v>
      </c>
      <c r="DN268" s="0" t="s">
        <v>154</v>
      </c>
      <c r="DU268" s="0" t="s">
        <v>154</v>
      </c>
      <c r="DW268" s="0" t="s">
        <v>155</v>
      </c>
      <c r="EA268" s="0" t="s">
        <v>154</v>
      </c>
      <c r="ED268" s="0" t="s">
        <v>176</v>
      </c>
      <c r="EF268" s="0" t="s">
        <v>154</v>
      </c>
    </row>
    <row r="269" customFormat="false" ht="13.8" hidden="true" customHeight="false" outlineLevel="0" collapsed="false">
      <c r="A269" s="0" t="s">
        <v>1572</v>
      </c>
      <c r="B269" s="0" t="n">
        <v>78</v>
      </c>
      <c r="C269" s="0" t="n">
        <v>154422</v>
      </c>
      <c r="D269" s="0" t="s">
        <v>1568</v>
      </c>
      <c r="E269" s="0" t="s">
        <v>1573</v>
      </c>
      <c r="F269" s="0" t="str">
        <f aca="false">CONCATENATE(D269," ",LEFT(H269,4),"T=",AU269,"D=",AV269,"R=",AW269,"M=",AX269,"L=",AY269,"B=",AZ269)</f>
        <v>PAULEY T=7D=1R=0M=0L=0B=0</v>
      </c>
      <c r="G269" s="0" t="s">
        <v>172</v>
      </c>
      <c r="I269" s="0" t="s">
        <v>1574</v>
      </c>
      <c r="J269" s="0" t="s">
        <v>757</v>
      </c>
      <c r="K269" s="0" t="s">
        <v>175</v>
      </c>
      <c r="L269" s="0"/>
      <c r="M269" s="0" t="s">
        <v>1575</v>
      </c>
      <c r="N269" s="0" t="str">
        <f aca="false">RIGHT(M269,LEN(M269)-FIND(" ",M269))</f>
        <v>BELMONT AVE NW</v>
      </c>
      <c r="P269" s="0" t="s">
        <v>146</v>
      </c>
      <c r="Q269" s="0" t="s">
        <v>147</v>
      </c>
      <c r="R269" s="0" t="n">
        <v>44483</v>
      </c>
      <c r="AD269" s="0" t="s">
        <v>148</v>
      </c>
      <c r="AE269" s="0" t="s">
        <v>149</v>
      </c>
      <c r="AF269" s="0" t="s">
        <v>150</v>
      </c>
      <c r="AH269" s="0" t="n">
        <v>14</v>
      </c>
      <c r="AI269" s="0" t="n">
        <v>11</v>
      </c>
      <c r="AN269" s="0" t="s">
        <v>146</v>
      </c>
      <c r="AO269" s="0" t="s">
        <v>151</v>
      </c>
      <c r="AP269" s="0" t="s">
        <v>152</v>
      </c>
      <c r="AQ269" s="0" t="n">
        <v>9</v>
      </c>
      <c r="AR269" s="0" t="n">
        <v>64</v>
      </c>
      <c r="AS269" s="0" t="n">
        <v>32</v>
      </c>
      <c r="AU269" s="0" t="n">
        <f aca="false">COUNTA($BA$1138:$EH$1138)</f>
        <v>7</v>
      </c>
      <c r="AV269" s="0" t="n">
        <f aca="false">COUNTIF($BA$1138:$EH$1138,"D")</f>
        <v>1</v>
      </c>
      <c r="AW269" s="0" t="n">
        <f aca="false">COUNTIF($BA$1138:$EH$1138,"R")</f>
        <v>0</v>
      </c>
      <c r="AX269" s="0" t="n">
        <f aca="false"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>0</v>
      </c>
      <c r="AY269" s="0" t="n">
        <f aca="false">COUNTIF(DU269:EH269, "&lt;&gt;")</f>
        <v>0</v>
      </c>
      <c r="AZ269" s="0" t="n">
        <f aca="false">IF(EH269&lt;&gt;"",1,0)</f>
        <v>0</v>
      </c>
      <c r="BB269" s="0" t="s">
        <v>153</v>
      </c>
      <c r="BD269" s="0" t="s">
        <v>154</v>
      </c>
      <c r="BL269" s="0" t="s">
        <v>154</v>
      </c>
      <c r="CA269" s="0" t="s">
        <v>154</v>
      </c>
      <c r="CG269" s="0" t="s">
        <v>154</v>
      </c>
      <c r="CK269" s="0" t="s">
        <v>154</v>
      </c>
      <c r="CP269" s="0" t="s">
        <v>154</v>
      </c>
    </row>
    <row r="270" customFormat="false" ht="13.8" hidden="true" customHeight="false" outlineLevel="0" collapsed="false">
      <c r="A270" s="0" t="s">
        <v>1576</v>
      </c>
      <c r="B270" s="0" t="n">
        <v>78</v>
      </c>
      <c r="C270" s="0" t="n">
        <v>360670</v>
      </c>
      <c r="D270" s="0" t="s">
        <v>1577</v>
      </c>
      <c r="E270" s="0" t="s">
        <v>1578</v>
      </c>
      <c r="F270" s="0" t="str">
        <f aca="false">CONCATENATE(D270," ",LEFT(H270,4),"T=",AU270,"D=",AV270,"R=",AW270,"M=",AX270,"L=",AY270,"B=",AZ270)</f>
        <v>HECKROW T=2D=0R=0M=0L=0B=0</v>
      </c>
      <c r="G270" s="0" t="s">
        <v>690</v>
      </c>
      <c r="I270" s="0" t="s">
        <v>1579</v>
      </c>
      <c r="J270" s="0" t="s">
        <v>1580</v>
      </c>
      <c r="K270" s="0" t="s">
        <v>175</v>
      </c>
      <c r="L270" s="0"/>
      <c r="M270" s="0" t="s">
        <v>1575</v>
      </c>
      <c r="N270" s="0" t="str">
        <f aca="false">RIGHT(M270,LEN(M270)-FIND(" ",M270))</f>
        <v>BELMONT AVE NW</v>
      </c>
      <c r="P270" s="0" t="s">
        <v>146</v>
      </c>
      <c r="Q270" s="0" t="s">
        <v>147</v>
      </c>
      <c r="R270" s="0" t="n">
        <v>44483</v>
      </c>
      <c r="AD270" s="0" t="s">
        <v>148</v>
      </c>
      <c r="AE270" s="0" t="s">
        <v>149</v>
      </c>
      <c r="AF270" s="0" t="s">
        <v>150</v>
      </c>
      <c r="AH270" s="0" t="n">
        <v>14</v>
      </c>
      <c r="AI270" s="0" t="n">
        <v>11</v>
      </c>
      <c r="AN270" s="0" t="s">
        <v>146</v>
      </c>
      <c r="AO270" s="0" t="s">
        <v>151</v>
      </c>
      <c r="AP270" s="0" t="s">
        <v>152</v>
      </c>
      <c r="AQ270" s="0" t="n">
        <v>9</v>
      </c>
      <c r="AR270" s="0" t="n">
        <v>64</v>
      </c>
      <c r="AS270" s="0" t="n">
        <v>32</v>
      </c>
      <c r="AU270" s="0" t="n">
        <f aca="false">COUNTA($BA$1595:$EH$1595)</f>
        <v>2</v>
      </c>
      <c r="AV270" s="0" t="n">
        <f aca="false">COUNTIF($BA$1595:$EH$1595,"D")</f>
        <v>0</v>
      </c>
      <c r="AW270" s="0" t="n">
        <f aca="false">COUNTIF($BA$1595:$EH$1595,"R")</f>
        <v>0</v>
      </c>
      <c r="AX270" s="0" t="n">
        <f aca="false"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>0</v>
      </c>
      <c r="AY270" s="0" t="n">
        <f aca="false">COUNTIF(DU270:EH270, "&lt;&gt;")</f>
        <v>0</v>
      </c>
      <c r="AZ270" s="0" t="n">
        <f aca="false">IF(EH270&lt;&gt;"",1,0)</f>
        <v>0</v>
      </c>
      <c r="BB270" s="0" t="s">
        <v>153</v>
      </c>
      <c r="CA270" s="0" t="s">
        <v>154</v>
      </c>
      <c r="CP270" s="0" t="s">
        <v>154</v>
      </c>
      <c r="DC270" s="0" t="s">
        <v>154</v>
      </c>
    </row>
    <row r="271" customFormat="false" ht="13.8" hidden="false" customHeight="false" outlineLevel="0" collapsed="false">
      <c r="A271" s="0" t="s">
        <v>1581</v>
      </c>
      <c r="B271" s="0" t="n">
        <v>78</v>
      </c>
      <c r="C271" s="0" t="n">
        <v>464400</v>
      </c>
      <c r="D271" s="0" t="s">
        <v>1582</v>
      </c>
      <c r="E271" s="0" t="s">
        <v>1583</v>
      </c>
      <c r="F271" s="0" t="str">
        <f aca="false">CONCATENATE(D271," ",LEFT(H271,4),"T=",AU271,"D=",AV271,"R=",AW271,"M=",AX271,"L=",AY271,"B=",AZ271)</f>
        <v>SMITH T=1D=0R=0M=0L=4B=0</v>
      </c>
      <c r="G271" s="0" t="s">
        <v>1584</v>
      </c>
      <c r="I271" s="0" t="s">
        <v>1585</v>
      </c>
      <c r="J271" s="0" t="s">
        <v>600</v>
      </c>
      <c r="K271" s="0" t="s">
        <v>175</v>
      </c>
      <c r="M271" s="0" t="s">
        <v>1586</v>
      </c>
      <c r="N271" s="0" t="str">
        <f aca="false">RIGHT(M271,LEN(M271)-FIND(" ",M271))</f>
        <v>BELMONT AVE NW</v>
      </c>
      <c r="P271" s="0" t="s">
        <v>146</v>
      </c>
      <c r="Q271" s="0" t="s">
        <v>147</v>
      </c>
      <c r="R271" s="0" t="n">
        <v>44483</v>
      </c>
      <c r="AD271" s="0" t="s">
        <v>148</v>
      </c>
      <c r="AE271" s="0" t="s">
        <v>149</v>
      </c>
      <c r="AF271" s="0" t="s">
        <v>150</v>
      </c>
      <c r="AH271" s="0" t="n">
        <v>14</v>
      </c>
      <c r="AI271" s="0" t="n">
        <v>11</v>
      </c>
      <c r="AN271" s="0" t="s">
        <v>146</v>
      </c>
      <c r="AO271" s="0" t="s">
        <v>151</v>
      </c>
      <c r="AP271" s="0" t="s">
        <v>152</v>
      </c>
      <c r="AQ271" s="0" t="n">
        <v>9</v>
      </c>
      <c r="AR271" s="0" t="n">
        <v>64</v>
      </c>
      <c r="AS271" s="0" t="n">
        <v>32</v>
      </c>
      <c r="AU271" s="0" t="n">
        <f aca="false">COUNTA($BA$1905:$EH$1905)</f>
        <v>1</v>
      </c>
      <c r="AV271" s="0" t="n">
        <f aca="false">COUNTIF($BA$1905:$EH$1905,"D")</f>
        <v>0</v>
      </c>
      <c r="AW271" s="0" t="n">
        <f aca="false">COUNTIF($BA$1905:$EH$1905,"R")</f>
        <v>0</v>
      </c>
      <c r="AX271" s="0" t="n">
        <f aca="false"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>0</v>
      </c>
      <c r="AY271" s="0" t="n">
        <f aca="false">COUNTIF(DU271:EH271, "&lt;&gt;")</f>
        <v>4</v>
      </c>
      <c r="AZ271" s="0" t="n">
        <f aca="false">IF(EH271&lt;&gt;"",1,0)</f>
        <v>0</v>
      </c>
      <c r="BB271" s="0" t="s">
        <v>153</v>
      </c>
      <c r="DU271" s="0" t="s">
        <v>154</v>
      </c>
      <c r="DX271" s="0" t="s">
        <v>154</v>
      </c>
      <c r="EA271" s="0" t="s">
        <v>154</v>
      </c>
      <c r="EF271" s="0" t="s">
        <v>154</v>
      </c>
    </row>
    <row r="272" customFormat="false" ht="13.8" hidden="false" customHeight="false" outlineLevel="0" collapsed="false">
      <c r="A272" s="0" t="s">
        <v>1587</v>
      </c>
      <c r="B272" s="0" t="n">
        <v>78</v>
      </c>
      <c r="C272" s="0" t="n">
        <v>379632</v>
      </c>
      <c r="D272" s="0" t="s">
        <v>1588</v>
      </c>
      <c r="E272" s="0" t="s">
        <v>1589</v>
      </c>
      <c r="F272" s="0" t="str">
        <f aca="false">CONCATENATE(D272," ",LEFT(H272,4),"T=",AU272,"D=",AV272,"R=",AW272,"M=",AX272,"L=",AY272,"B=",AZ272)</f>
        <v>HALL T=1D=0R=0M=0L=2B=0</v>
      </c>
      <c r="G272" s="0" t="s">
        <v>690</v>
      </c>
      <c r="I272" s="0" t="s">
        <v>1590</v>
      </c>
      <c r="J272" s="0" t="s">
        <v>342</v>
      </c>
      <c r="K272" s="0" t="s">
        <v>175</v>
      </c>
      <c r="M272" s="0" t="s">
        <v>1586</v>
      </c>
      <c r="N272" s="0" t="str">
        <f aca="false">RIGHT(M272,LEN(M272)-FIND(" ",M272))</f>
        <v>BELMONT AVE NW</v>
      </c>
      <c r="P272" s="0" t="s">
        <v>146</v>
      </c>
      <c r="Q272" s="0" t="s">
        <v>147</v>
      </c>
      <c r="R272" s="0" t="n">
        <v>44483</v>
      </c>
      <c r="AD272" s="0" t="s">
        <v>148</v>
      </c>
      <c r="AE272" s="0" t="s">
        <v>149</v>
      </c>
      <c r="AF272" s="0" t="s">
        <v>150</v>
      </c>
      <c r="AH272" s="0" t="n">
        <v>14</v>
      </c>
      <c r="AI272" s="0" t="n">
        <v>11</v>
      </c>
      <c r="AN272" s="0" t="s">
        <v>146</v>
      </c>
      <c r="AO272" s="0" t="s">
        <v>151</v>
      </c>
      <c r="AP272" s="0" t="s">
        <v>152</v>
      </c>
      <c r="AQ272" s="0" t="n">
        <v>9</v>
      </c>
      <c r="AR272" s="0" t="n">
        <v>64</v>
      </c>
      <c r="AS272" s="0" t="n">
        <v>32</v>
      </c>
      <c r="AU272" s="0" t="n">
        <f aca="false">COUNTA($BA$2004:$EH$2004)</f>
        <v>1</v>
      </c>
      <c r="AV272" s="0" t="n">
        <f aca="false">COUNTIF($BA$2004:$EH$2004,"D")</f>
        <v>0</v>
      </c>
      <c r="AW272" s="0" t="n">
        <f aca="false">COUNTIF($BA$2004:$EH$2004,"R")</f>
        <v>0</v>
      </c>
      <c r="AX272" s="0" t="n">
        <f aca="false"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>0</v>
      </c>
      <c r="AY272" s="0" t="n">
        <f aca="false">COUNTIF(DU272:EH272, "&lt;&gt;")</f>
        <v>2</v>
      </c>
      <c r="AZ272" s="0" t="n">
        <f aca="false">IF(EH272&lt;&gt;"",1,0)</f>
        <v>0</v>
      </c>
      <c r="BB272" s="0" t="s">
        <v>153</v>
      </c>
      <c r="CP272" s="0" t="s">
        <v>154</v>
      </c>
      <c r="DM272" s="0" t="s">
        <v>155</v>
      </c>
      <c r="DN272" s="0" t="s">
        <v>154</v>
      </c>
      <c r="EA272" s="0" t="s">
        <v>154</v>
      </c>
      <c r="EF272" s="0" t="s">
        <v>154</v>
      </c>
    </row>
    <row r="273" customFormat="false" ht="13.8" hidden="true" customHeight="false" outlineLevel="0" collapsed="false">
      <c r="A273" s="0" t="s">
        <v>1591</v>
      </c>
      <c r="B273" s="0" t="n">
        <v>78</v>
      </c>
      <c r="C273" s="0" t="n">
        <v>484793</v>
      </c>
      <c r="D273" s="0" t="s">
        <v>1592</v>
      </c>
      <c r="E273" s="0" t="s">
        <v>1593</v>
      </c>
      <c r="F273" s="0" t="str">
        <f aca="false">CONCATENATE(D273," ",LEFT(H273,4),"T=",AU273,"D=",AV273,"R=",AW273,"M=",AX273,"L=",AY273,"B=",AZ273)</f>
        <v>BYLER T=1D=0R=0M=0L=0B=0</v>
      </c>
      <c r="G273" s="0" t="s">
        <v>202</v>
      </c>
      <c r="I273" s="0" t="s">
        <v>1594</v>
      </c>
      <c r="J273" s="0" t="s">
        <v>1595</v>
      </c>
      <c r="K273" s="0" t="s">
        <v>175</v>
      </c>
      <c r="L273" s="0"/>
      <c r="M273" s="0" t="s">
        <v>1596</v>
      </c>
      <c r="N273" s="0" t="str">
        <f aca="false">RIGHT(M273,LEN(M273)-FIND(" ",M273))</f>
        <v>BELMONT AVE NW</v>
      </c>
      <c r="P273" s="0" t="s">
        <v>146</v>
      </c>
      <c r="Q273" s="0" t="s">
        <v>147</v>
      </c>
      <c r="R273" s="0" t="n">
        <v>44483</v>
      </c>
      <c r="AD273" s="0" t="s">
        <v>148</v>
      </c>
      <c r="AE273" s="0" t="s">
        <v>149</v>
      </c>
      <c r="AF273" s="0" t="s">
        <v>150</v>
      </c>
      <c r="AH273" s="0" t="n">
        <v>14</v>
      </c>
      <c r="AI273" s="0" t="n">
        <v>11</v>
      </c>
      <c r="AN273" s="0" t="s">
        <v>146</v>
      </c>
      <c r="AO273" s="0" t="s">
        <v>151</v>
      </c>
      <c r="AP273" s="0" t="s">
        <v>152</v>
      </c>
      <c r="AQ273" s="0" t="n">
        <v>9</v>
      </c>
      <c r="AR273" s="0" t="n">
        <v>64</v>
      </c>
      <c r="AS273" s="0" t="n">
        <v>32</v>
      </c>
      <c r="AU273" s="0" t="n">
        <f aca="false">COUNTA($BA$2034:$EH$2034)</f>
        <v>1</v>
      </c>
      <c r="AV273" s="0" t="n">
        <f aca="false">COUNTIF($BA$2034:$EH$2034,"D")</f>
        <v>0</v>
      </c>
      <c r="AW273" s="0" t="n">
        <f aca="false">COUNTIF($BA$2034:$EH$2034,"R")</f>
        <v>0</v>
      </c>
      <c r="AX273" s="0" t="n">
        <f aca="false"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>0</v>
      </c>
      <c r="AY273" s="0" t="n">
        <f aca="false">COUNTIF(DU273:EH273, "&lt;&gt;")</f>
        <v>0</v>
      </c>
      <c r="AZ273" s="0" t="n">
        <f aca="false">IF(EH273&lt;&gt;"",1,0)</f>
        <v>0</v>
      </c>
      <c r="BB273" s="0" t="s">
        <v>153</v>
      </c>
    </row>
    <row r="274" customFormat="false" ht="13.8" hidden="true" customHeight="false" outlineLevel="0" collapsed="false">
      <c r="A274" s="0" t="s">
        <v>1597</v>
      </c>
      <c r="B274" s="0" t="n">
        <v>78</v>
      </c>
      <c r="C274" s="0" t="n">
        <v>477064</v>
      </c>
      <c r="D274" s="0" t="s">
        <v>1467</v>
      </c>
      <c r="E274" s="0" t="s">
        <v>1598</v>
      </c>
      <c r="F274" s="0" t="str">
        <f aca="false">CONCATENATE(D274," ",LEFT(H274,4),"T=",AU274,"D=",AV274,"R=",AW274,"M=",AX274,"L=",AY274,"B=",AZ274)</f>
        <v>DILLON T=17D=1R=1M=0L=1B=0</v>
      </c>
      <c r="G274" s="0" t="s">
        <v>1599</v>
      </c>
      <c r="I274" s="0" t="s">
        <v>1600</v>
      </c>
      <c r="J274" s="0" t="s">
        <v>1601</v>
      </c>
      <c r="K274" s="0" t="s">
        <v>175</v>
      </c>
      <c r="L274" s="0"/>
      <c r="M274" s="0" t="s">
        <v>1602</v>
      </c>
      <c r="N274" s="0" t="str">
        <f aca="false">RIGHT(M274,LEN(M274)-FIND(" ",M274))</f>
        <v>BELMONT AVE NW</v>
      </c>
      <c r="P274" s="0" t="s">
        <v>146</v>
      </c>
      <c r="Q274" s="0" t="s">
        <v>147</v>
      </c>
      <c r="R274" s="0" t="n">
        <v>44483</v>
      </c>
      <c r="AD274" s="0" t="s">
        <v>148</v>
      </c>
      <c r="AE274" s="0" t="s">
        <v>149</v>
      </c>
      <c r="AF274" s="0" t="s">
        <v>150</v>
      </c>
      <c r="AH274" s="0" t="n">
        <v>14</v>
      </c>
      <c r="AI274" s="0" t="n">
        <v>11</v>
      </c>
      <c r="AN274" s="0" t="s">
        <v>146</v>
      </c>
      <c r="AO274" s="0" t="s">
        <v>151</v>
      </c>
      <c r="AP274" s="0" t="s">
        <v>152</v>
      </c>
      <c r="AQ274" s="0" t="n">
        <v>9</v>
      </c>
      <c r="AR274" s="0" t="n">
        <v>64</v>
      </c>
      <c r="AS274" s="0" t="n">
        <v>32</v>
      </c>
      <c r="AU274" s="0" t="n">
        <f aca="false">COUNTA($BA$1172:$EH$1172)</f>
        <v>17</v>
      </c>
      <c r="AV274" s="0" t="n">
        <f aca="false">COUNTIF($BA$1172:$EH$1172,"D")</f>
        <v>1</v>
      </c>
      <c r="AW274" s="0" t="n">
        <f aca="false">COUNTIF($BA$1172:$EH$1172,"R")</f>
        <v>1</v>
      </c>
      <c r="AX274" s="0" t="n">
        <f aca="false"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>0</v>
      </c>
      <c r="AY274" s="0" t="n">
        <f aca="false">COUNTIF(DU274:EH274, "&lt;&gt;")</f>
        <v>1</v>
      </c>
      <c r="AZ274" s="0" t="n">
        <f aca="false">IF(EH274&lt;&gt;"",1,0)</f>
        <v>0</v>
      </c>
      <c r="BB274" s="0" t="s">
        <v>153</v>
      </c>
      <c r="EA274" s="0" t="s">
        <v>154</v>
      </c>
    </row>
    <row r="275" customFormat="false" ht="13.8" hidden="true" customHeight="false" outlineLevel="0" collapsed="false">
      <c r="A275" s="0" t="s">
        <v>1603</v>
      </c>
      <c r="B275" s="0" t="n">
        <v>78</v>
      </c>
      <c r="C275" s="0" t="n">
        <v>398197</v>
      </c>
      <c r="D275" s="0" t="s">
        <v>1604</v>
      </c>
      <c r="E275" s="0" t="s">
        <v>1605</v>
      </c>
      <c r="F275" s="0" t="str">
        <f aca="false">CONCATENATE(D275," ",LEFT(H275,4),"T=",AU275,"D=",AV275,"R=",AW275,"M=",AX275,"L=",AY275,"B=",AZ275)</f>
        <v>BOWLING T=10D=1R=0M=0L=0B=0</v>
      </c>
      <c r="G275" s="0" t="s">
        <v>241</v>
      </c>
      <c r="I275" s="0" t="s">
        <v>1606</v>
      </c>
      <c r="J275" s="0" t="s">
        <v>1607</v>
      </c>
      <c r="K275" s="0" t="s">
        <v>175</v>
      </c>
      <c r="L275" s="0"/>
      <c r="M275" s="0" t="s">
        <v>1608</v>
      </c>
      <c r="N275" s="0" t="str">
        <f aca="false">RIGHT(M275,LEN(M275)-FIND(" ",M275))</f>
        <v>BELMONT AVE NW</v>
      </c>
      <c r="P275" s="0" t="s">
        <v>146</v>
      </c>
      <c r="Q275" s="0" t="s">
        <v>147</v>
      </c>
      <c r="R275" s="0" t="n">
        <v>44483</v>
      </c>
      <c r="AD275" s="0" t="s">
        <v>148</v>
      </c>
      <c r="AE275" s="0" t="s">
        <v>149</v>
      </c>
      <c r="AF275" s="0" t="s">
        <v>150</v>
      </c>
      <c r="AH275" s="0" t="n">
        <v>14</v>
      </c>
      <c r="AI275" s="0" t="n">
        <v>11</v>
      </c>
      <c r="AN275" s="0" t="s">
        <v>146</v>
      </c>
      <c r="AO275" s="0" t="s">
        <v>151</v>
      </c>
      <c r="AP275" s="0" t="s">
        <v>152</v>
      </c>
      <c r="AQ275" s="0" t="n">
        <v>9</v>
      </c>
      <c r="AR275" s="0" t="n">
        <v>64</v>
      </c>
      <c r="AS275" s="0" t="n">
        <v>32</v>
      </c>
      <c r="AU275" s="0" t="n">
        <f aca="false">COUNTA($BA$1197:$EH$1197)</f>
        <v>10</v>
      </c>
      <c r="AV275" s="0" t="n">
        <f aca="false">COUNTIF($BA$1197:$EH$1197,"D")</f>
        <v>1</v>
      </c>
      <c r="AW275" s="0" t="n">
        <f aca="false">COUNTIF($BA$1197:$EH$1197,"R")</f>
        <v>0</v>
      </c>
      <c r="AX275" s="0" t="n">
        <f aca="false"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>0</v>
      </c>
      <c r="AY275" s="0" t="n">
        <f aca="false">COUNTIF(DU275:EH275, "&lt;&gt;")</f>
        <v>0</v>
      </c>
      <c r="AZ275" s="0" t="n">
        <f aca="false">IF(EH275&lt;&gt;"",1,0)</f>
        <v>0</v>
      </c>
      <c r="BB275" s="0" t="s">
        <v>153</v>
      </c>
    </row>
    <row r="276" customFormat="false" ht="13.8" hidden="true" customHeight="false" outlineLevel="0" collapsed="false">
      <c r="A276" s="0" t="s">
        <v>1609</v>
      </c>
      <c r="B276" s="0" t="n">
        <v>78</v>
      </c>
      <c r="C276" s="0" t="n">
        <v>416350</v>
      </c>
      <c r="D276" s="0" t="s">
        <v>1610</v>
      </c>
      <c r="E276" s="0" t="s">
        <v>283</v>
      </c>
      <c r="F276" s="0" t="str">
        <f aca="false">CONCATENATE(D276," ",LEFT(H276,4),"T=",AU276,"D=",AV276,"R=",AW276,"M=",AX276,"L=",AY276,"B=",AZ276)</f>
        <v>PRATT IIIT=1D=0R=0M=0L=0B=0</v>
      </c>
      <c r="H276" s="0" t="s">
        <v>1175</v>
      </c>
      <c r="I276" s="0" t="s">
        <v>456</v>
      </c>
      <c r="J276" s="0" t="s">
        <v>1611</v>
      </c>
      <c r="K276" s="0" t="s">
        <v>144</v>
      </c>
      <c r="L276" s="0"/>
      <c r="M276" s="0" t="s">
        <v>1612</v>
      </c>
      <c r="N276" s="0" t="str">
        <f aca="false">RIGHT(M276,LEN(M276)-FIND(" ",M276))</f>
        <v>BELMONT AVE NW</v>
      </c>
      <c r="P276" s="0" t="s">
        <v>146</v>
      </c>
      <c r="Q276" s="0" t="s">
        <v>147</v>
      </c>
      <c r="R276" s="0" t="n">
        <v>44483</v>
      </c>
      <c r="AD276" s="0" t="s">
        <v>148</v>
      </c>
      <c r="AE276" s="0" t="s">
        <v>149</v>
      </c>
      <c r="AF276" s="0" t="s">
        <v>150</v>
      </c>
      <c r="AH276" s="0" t="n">
        <v>14</v>
      </c>
      <c r="AI276" s="0" t="n">
        <v>11</v>
      </c>
      <c r="AN276" s="0" t="s">
        <v>146</v>
      </c>
      <c r="AO276" s="0" t="s">
        <v>151</v>
      </c>
      <c r="AP276" s="0" t="s">
        <v>152</v>
      </c>
      <c r="AQ276" s="0" t="n">
        <v>9</v>
      </c>
      <c r="AR276" s="0" t="n">
        <v>64</v>
      </c>
      <c r="AS276" s="0" t="n">
        <v>32</v>
      </c>
      <c r="AU276" s="0" t="n">
        <f aca="false">COUNTA($BA$1731:$EH$1731)</f>
        <v>1</v>
      </c>
      <c r="AV276" s="0" t="n">
        <f aca="false">COUNTIF($BA$1731:$EH$1731,"D")</f>
        <v>0</v>
      </c>
      <c r="AW276" s="0" t="n">
        <f aca="false">COUNTIF($BA$1731:$EH$1731,"R")</f>
        <v>0</v>
      </c>
      <c r="AX276" s="0" t="n">
        <f aca="false"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>0</v>
      </c>
      <c r="AY276" s="0" t="n">
        <f aca="false">COUNTIF(DU276:EH276, "&lt;&gt;")</f>
        <v>0</v>
      </c>
      <c r="AZ276" s="0" t="n">
        <f aca="false">IF(EH276&lt;&gt;"",1,0)</f>
        <v>0</v>
      </c>
      <c r="BB276" s="0" t="s">
        <v>153</v>
      </c>
    </row>
    <row r="277" customFormat="false" ht="13.8" hidden="true" customHeight="false" outlineLevel="0" collapsed="false">
      <c r="A277" s="0" t="s">
        <v>1613</v>
      </c>
      <c r="B277" s="0" t="n">
        <v>78</v>
      </c>
      <c r="C277" s="0" t="n">
        <v>463674</v>
      </c>
      <c r="D277" s="0" t="s">
        <v>165</v>
      </c>
      <c r="E277" s="0" t="s">
        <v>1614</v>
      </c>
      <c r="F277" s="0" t="str">
        <f aca="false">CONCATENATE(D277," ",LEFT(H277,4),"T=",AU277,"D=",AV277,"R=",AW277,"M=",AX277,"L=",AY277,"B=",AZ277)</f>
        <v>THOMAS T=21D=8R=0M=0L=1B=0</v>
      </c>
      <c r="G277" s="0" t="s">
        <v>297</v>
      </c>
      <c r="I277" s="0" t="s">
        <v>1615</v>
      </c>
      <c r="J277" s="0" t="s">
        <v>1616</v>
      </c>
      <c r="K277" s="0" t="s">
        <v>175</v>
      </c>
      <c r="L277" s="0"/>
      <c r="M277" s="0" t="s">
        <v>1612</v>
      </c>
      <c r="N277" s="0" t="str">
        <f aca="false">RIGHT(M277,LEN(M277)-FIND(" ",M277))</f>
        <v>BELMONT AVE NW</v>
      </c>
      <c r="P277" s="0" t="s">
        <v>146</v>
      </c>
      <c r="Q277" s="0" t="s">
        <v>147</v>
      </c>
      <c r="R277" s="0" t="n">
        <v>44483</v>
      </c>
      <c r="AD277" s="0" t="s">
        <v>148</v>
      </c>
      <c r="AE277" s="0" t="s">
        <v>149</v>
      </c>
      <c r="AF277" s="0" t="s">
        <v>150</v>
      </c>
      <c r="AH277" s="0" t="n">
        <v>14</v>
      </c>
      <c r="AI277" s="0" t="n">
        <v>11</v>
      </c>
      <c r="AN277" s="0" t="s">
        <v>146</v>
      </c>
      <c r="AO277" s="0" t="s">
        <v>151</v>
      </c>
      <c r="AP277" s="0" t="s">
        <v>152</v>
      </c>
      <c r="AQ277" s="0" t="n">
        <v>9</v>
      </c>
      <c r="AR277" s="0" t="n">
        <v>64</v>
      </c>
      <c r="AS277" s="0" t="n">
        <v>32</v>
      </c>
      <c r="AU277" s="0" t="n">
        <f aca="false">COUNTA($BA$1737:$EH$1737)</f>
        <v>21</v>
      </c>
      <c r="AV277" s="0" t="n">
        <f aca="false">COUNTIF($BA$1737:$EH$1737,"D")</f>
        <v>8</v>
      </c>
      <c r="AW277" s="0" t="n">
        <f aca="false">COUNTIF($BA$1737:$EH$1737,"R")</f>
        <v>0</v>
      </c>
      <c r="AX277" s="0" t="n">
        <f aca="false"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>0</v>
      </c>
      <c r="AY277" s="0" t="n">
        <f aca="false">COUNTIF(DU277:EH277, "&lt;&gt;")</f>
        <v>1</v>
      </c>
      <c r="AZ277" s="0" t="n">
        <f aca="false">IF(EH277&lt;&gt;"",1,0)</f>
        <v>0</v>
      </c>
      <c r="BB277" s="0" t="s">
        <v>153</v>
      </c>
      <c r="BL277" s="0" t="s">
        <v>154</v>
      </c>
      <c r="BY277" s="0" t="s">
        <v>155</v>
      </c>
      <c r="CA277" s="0" t="s">
        <v>154</v>
      </c>
      <c r="EF277" s="0" t="s">
        <v>154</v>
      </c>
    </row>
    <row r="278" customFormat="false" ht="13.8" hidden="true" customHeight="false" outlineLevel="0" collapsed="false">
      <c r="A278" s="0" t="s">
        <v>1617</v>
      </c>
      <c r="B278" s="0" t="n">
        <v>78</v>
      </c>
      <c r="C278" s="0" t="n">
        <v>427421</v>
      </c>
      <c r="D278" s="0" t="s">
        <v>1618</v>
      </c>
      <c r="E278" s="0" t="s">
        <v>1619</v>
      </c>
      <c r="F278" s="0" t="str">
        <f aca="false">CONCATENATE(D278," ",LEFT(H278,4),"T=",AU278,"D=",AV278,"R=",AW278,"M=",AX278,"L=",AY278,"B=",AZ278)</f>
        <v>MCMAHON T=1D=0R=0M=0L=1B=0</v>
      </c>
      <c r="G278" s="0" t="s">
        <v>188</v>
      </c>
      <c r="I278" s="0" t="s">
        <v>1620</v>
      </c>
      <c r="J278" s="0" t="s">
        <v>1621</v>
      </c>
      <c r="K278" s="0" t="s">
        <v>175</v>
      </c>
      <c r="L278" s="0"/>
      <c r="M278" s="0" t="s">
        <v>1612</v>
      </c>
      <c r="N278" s="0" t="str">
        <f aca="false">RIGHT(M278,LEN(M278)-FIND(" ",M278))</f>
        <v>BELMONT AVE NW</v>
      </c>
      <c r="P278" s="0" t="s">
        <v>146</v>
      </c>
      <c r="Q278" s="0" t="s">
        <v>147</v>
      </c>
      <c r="R278" s="0" t="n">
        <v>44483</v>
      </c>
      <c r="AD278" s="0" t="s">
        <v>148</v>
      </c>
      <c r="AE278" s="0" t="s">
        <v>149</v>
      </c>
      <c r="AF278" s="0" t="s">
        <v>150</v>
      </c>
      <c r="AH278" s="0" t="n">
        <v>14</v>
      </c>
      <c r="AI278" s="0" t="n">
        <v>11</v>
      </c>
      <c r="AN278" s="0" t="s">
        <v>146</v>
      </c>
      <c r="AO278" s="0" t="s">
        <v>151</v>
      </c>
      <c r="AP278" s="0" t="s">
        <v>152</v>
      </c>
      <c r="AQ278" s="0" t="n">
        <v>9</v>
      </c>
      <c r="AR278" s="0" t="n">
        <v>64</v>
      </c>
      <c r="AS278" s="0" t="n">
        <v>32</v>
      </c>
      <c r="AU278" s="0" t="n">
        <f aca="false">COUNTA($BA$1980:$EH$1980)</f>
        <v>1</v>
      </c>
      <c r="AV278" s="0" t="n">
        <f aca="false">COUNTIF($BA$1980:$EH$1980,"D")</f>
        <v>0</v>
      </c>
      <c r="AW278" s="0" t="n">
        <f aca="false">COUNTIF($BA$1980:$EH$1980,"R")</f>
        <v>0</v>
      </c>
      <c r="AX278" s="0" t="n">
        <f aca="false"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>0</v>
      </c>
      <c r="AY278" s="0" t="n">
        <f aca="false">COUNTIF(DU278:EH278, "&lt;&gt;")</f>
        <v>1</v>
      </c>
      <c r="AZ278" s="0" t="n">
        <f aca="false">IF(EH278&lt;&gt;"",1,0)</f>
        <v>0</v>
      </c>
      <c r="BB278" s="0" t="s">
        <v>153</v>
      </c>
      <c r="EF278" s="0" t="s">
        <v>154</v>
      </c>
    </row>
    <row r="279" customFormat="false" ht="13.8" hidden="true" customHeight="false" outlineLevel="0" collapsed="false">
      <c r="A279" s="0" t="s">
        <v>1622</v>
      </c>
      <c r="B279" s="0" t="n">
        <v>78</v>
      </c>
      <c r="C279" s="0" t="n">
        <v>372566</v>
      </c>
      <c r="D279" s="0" t="s">
        <v>1623</v>
      </c>
      <c r="E279" s="0" t="s">
        <v>1624</v>
      </c>
      <c r="F279" s="0" t="str">
        <f aca="false">CONCATENATE(D279," ",LEFT(H279,4),"T=",AU279,"D=",AV279,"R=",AW279,"M=",AX279,"L=",AY279,"B=",AZ279)</f>
        <v>LLOYD T=19D=3R=0M=0L=0B=0</v>
      </c>
      <c r="G279" s="0" t="s">
        <v>690</v>
      </c>
      <c r="I279" s="0" t="s">
        <v>1625</v>
      </c>
      <c r="J279" s="0" t="s">
        <v>1570</v>
      </c>
      <c r="K279" s="0" t="s">
        <v>144</v>
      </c>
      <c r="L279" s="0"/>
      <c r="M279" s="0" t="s">
        <v>1626</v>
      </c>
      <c r="N279" s="0" t="str">
        <f aca="false">RIGHT(M279,LEN(M279)-FIND(" ",M279))</f>
        <v>BELMONT AVE NW</v>
      </c>
      <c r="P279" s="0" t="s">
        <v>146</v>
      </c>
      <c r="Q279" s="0" t="s">
        <v>147</v>
      </c>
      <c r="R279" s="0" t="n">
        <v>44483</v>
      </c>
      <c r="AD279" s="0" t="s">
        <v>148</v>
      </c>
      <c r="AE279" s="0" t="s">
        <v>149</v>
      </c>
      <c r="AF279" s="0" t="s">
        <v>150</v>
      </c>
      <c r="AH279" s="0" t="n">
        <v>14</v>
      </c>
      <c r="AI279" s="0" t="n">
        <v>11</v>
      </c>
      <c r="AN279" s="0" t="s">
        <v>146</v>
      </c>
      <c r="AO279" s="0" t="s">
        <v>151</v>
      </c>
      <c r="AP279" s="0" t="s">
        <v>152</v>
      </c>
      <c r="AQ279" s="0" t="n">
        <v>9</v>
      </c>
      <c r="AR279" s="0" t="n">
        <v>64</v>
      </c>
      <c r="AS279" s="0" t="n">
        <v>32</v>
      </c>
      <c r="AU279" s="0" t="n">
        <f aca="false">COUNTA($BA$1534:$EH$1534)</f>
        <v>19</v>
      </c>
      <c r="AV279" s="0" t="n">
        <f aca="false">COUNTIF($BA$1534:$EH$1534,"D")</f>
        <v>3</v>
      </c>
      <c r="AW279" s="0" t="n">
        <f aca="false">COUNTIF($BA$1534:$EH$1534,"R")</f>
        <v>0</v>
      </c>
      <c r="AX279" s="0" t="n">
        <f aca="false"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>0</v>
      </c>
      <c r="AY279" s="0" t="n">
        <f aca="false">COUNTIF(DU279:EH279, "&lt;&gt;")</f>
        <v>0</v>
      </c>
      <c r="AZ279" s="0" t="n">
        <f aca="false">IF(EH279&lt;&gt;"",1,0)</f>
        <v>0</v>
      </c>
      <c r="BB279" s="0" t="s">
        <v>153</v>
      </c>
      <c r="CZ279" s="0" t="s">
        <v>155</v>
      </c>
    </row>
    <row r="280" customFormat="false" ht="13.8" hidden="false" customHeight="false" outlineLevel="0" collapsed="false">
      <c r="A280" s="0" t="s">
        <v>1627</v>
      </c>
      <c r="B280" s="0" t="n">
        <v>78</v>
      </c>
      <c r="C280" s="0" t="n">
        <v>234558</v>
      </c>
      <c r="D280" s="0" t="s">
        <v>1628</v>
      </c>
      <c r="E280" s="0" t="s">
        <v>430</v>
      </c>
      <c r="F280" s="0" t="str">
        <f aca="false">CONCATENATE(D280," ",LEFT(H280,4),"T=",AU280,"D=",AV280,"R=",AW280,"M=",AX280,"L=",AY280,"B=",AZ280)</f>
        <v>REYNOLDS T=4D=0R=0M=1L=2B=0</v>
      </c>
      <c r="G280" s="0" t="s">
        <v>297</v>
      </c>
      <c r="I280" s="0" t="s">
        <v>1629</v>
      </c>
      <c r="J280" s="0" t="s">
        <v>1630</v>
      </c>
      <c r="K280" s="0" t="s">
        <v>175</v>
      </c>
      <c r="L280" s="1" t="s">
        <v>155</v>
      </c>
      <c r="M280" s="0" t="s">
        <v>1631</v>
      </c>
      <c r="N280" s="0" t="str">
        <f aca="false">RIGHT(M280,LEN(M280)-FIND(" ",M280))</f>
        <v>BELMONT AVE NW</v>
      </c>
      <c r="O280" s="0" t="s">
        <v>420</v>
      </c>
      <c r="P280" s="0" t="s">
        <v>146</v>
      </c>
      <c r="Q280" s="0" t="s">
        <v>147</v>
      </c>
      <c r="R280" s="0" t="n">
        <v>44483</v>
      </c>
      <c r="V280" s="0" t="s">
        <v>1632</v>
      </c>
      <c r="X280" s="0" t="s">
        <v>146</v>
      </c>
      <c r="Y280" s="0" t="s">
        <v>147</v>
      </c>
      <c r="Z280" s="0" t="n">
        <v>44483</v>
      </c>
      <c r="AD280" s="0" t="s">
        <v>148</v>
      </c>
      <c r="AE280" s="0" t="s">
        <v>149</v>
      </c>
      <c r="AF280" s="0" t="s">
        <v>150</v>
      </c>
      <c r="AH280" s="0" t="n">
        <v>14</v>
      </c>
      <c r="AI280" s="0" t="n">
        <v>11</v>
      </c>
      <c r="AN280" s="0" t="s">
        <v>146</v>
      </c>
      <c r="AO280" s="0" t="s">
        <v>151</v>
      </c>
      <c r="AP280" s="0" t="s">
        <v>152</v>
      </c>
      <c r="AQ280" s="0" t="n">
        <v>9</v>
      </c>
      <c r="AR280" s="0" t="n">
        <v>64</v>
      </c>
      <c r="AS280" s="0" t="n">
        <v>32</v>
      </c>
      <c r="AU280" s="0" t="n">
        <f aca="false">COUNTA($BA$1647:$EH$1647)</f>
        <v>4</v>
      </c>
      <c r="AV280" s="0" t="n">
        <f aca="false">COUNTIF($BA$1647:$EH$1647,"D")</f>
        <v>0</v>
      </c>
      <c r="AW280" s="0" t="n">
        <f aca="false">COUNTIF($BA$1647:$EH$1647,"R")</f>
        <v>0</v>
      </c>
      <c r="AX280" s="0" t="n">
        <f aca="false"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>1</v>
      </c>
      <c r="AY280" s="0" t="n">
        <f aca="false">COUNTIF(DU280:EH280, "&lt;&gt;")</f>
        <v>2</v>
      </c>
      <c r="AZ280" s="0" t="n">
        <f aca="false">IF(EH280&lt;&gt;"",1,0)</f>
        <v>0</v>
      </c>
      <c r="BB280" s="0" t="s">
        <v>153</v>
      </c>
      <c r="BC280" s="0" t="s">
        <v>154</v>
      </c>
      <c r="BD280" s="0" t="s">
        <v>154</v>
      </c>
      <c r="BP280" s="0" t="s">
        <v>154</v>
      </c>
      <c r="BR280" s="0" t="s">
        <v>154</v>
      </c>
      <c r="BY280" s="0" t="s">
        <v>155</v>
      </c>
      <c r="CZ280" s="0" t="s">
        <v>176</v>
      </c>
      <c r="DC280" s="0" t="s">
        <v>154</v>
      </c>
      <c r="DI280" s="0" t="s">
        <v>154</v>
      </c>
      <c r="DN280" s="0" t="s">
        <v>154</v>
      </c>
      <c r="DW280" s="0" t="s">
        <v>155</v>
      </c>
      <c r="EF280" s="0" t="s">
        <v>154</v>
      </c>
    </row>
    <row r="281" customFormat="false" ht="13.8" hidden="true" customHeight="false" outlineLevel="0" collapsed="false">
      <c r="A281" s="0" t="s">
        <v>1633</v>
      </c>
      <c r="B281" s="0" t="n">
        <v>78</v>
      </c>
      <c r="C281" s="0" t="n">
        <v>325441</v>
      </c>
      <c r="D281" s="0" t="s">
        <v>1634</v>
      </c>
      <c r="E281" s="0" t="s">
        <v>1635</v>
      </c>
      <c r="F281" s="0" t="str">
        <f aca="false">CONCATENATE(D281," ",LEFT(H281,4),"T=",AU281,"D=",AV281,"R=",AW281,"M=",AX281,"L=",AY281,"B=",AZ281)</f>
        <v>BENSON T=24D=3R=4M=0L=0B=0</v>
      </c>
      <c r="G281" s="0" t="s">
        <v>216</v>
      </c>
      <c r="I281" s="0" t="s">
        <v>1636</v>
      </c>
      <c r="J281" s="0" t="s">
        <v>1637</v>
      </c>
      <c r="K281" s="0" t="s">
        <v>175</v>
      </c>
      <c r="L281" s="0"/>
      <c r="M281" s="0" t="s">
        <v>1638</v>
      </c>
      <c r="N281" s="0" t="str">
        <f aca="false">RIGHT(M281,LEN(M281)-FIND(" ",M281))</f>
        <v>BELMONT AVE NW</v>
      </c>
      <c r="O281" s="0" t="s">
        <v>184</v>
      </c>
      <c r="P281" s="0" t="s">
        <v>146</v>
      </c>
      <c r="Q281" s="0" t="s">
        <v>147</v>
      </c>
      <c r="R281" s="0" t="n">
        <v>44483</v>
      </c>
      <c r="AD281" s="0" t="s">
        <v>148</v>
      </c>
      <c r="AE281" s="0" t="s">
        <v>149</v>
      </c>
      <c r="AF281" s="0" t="s">
        <v>150</v>
      </c>
      <c r="AH281" s="0" t="n">
        <v>14</v>
      </c>
      <c r="AI281" s="0" t="n">
        <v>11</v>
      </c>
      <c r="AN281" s="0" t="s">
        <v>146</v>
      </c>
      <c r="AO281" s="0" t="s">
        <v>151</v>
      </c>
      <c r="AP281" s="0" t="s">
        <v>152</v>
      </c>
      <c r="AQ281" s="0" t="n">
        <v>9</v>
      </c>
      <c r="AR281" s="0" t="n">
        <v>64</v>
      </c>
      <c r="AS281" s="0" t="n">
        <v>32</v>
      </c>
      <c r="AU281" s="0" t="n">
        <f aca="false">COUNTA($BA$1164:$EH$1164)</f>
        <v>24</v>
      </c>
      <c r="AV281" s="0" t="n">
        <f aca="false">COUNTIF($BA$1164:$EH$1164,"D")</f>
        <v>3</v>
      </c>
      <c r="AW281" s="0" t="n">
        <f aca="false">COUNTIF($BA$1164:$EH$1164,"R")</f>
        <v>4</v>
      </c>
      <c r="AX281" s="0" t="n">
        <f aca="false"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>0</v>
      </c>
      <c r="AY281" s="0" t="n">
        <f aca="false">COUNTIF(DU281:EH281, "&lt;&gt;")</f>
        <v>0</v>
      </c>
      <c r="AZ281" s="0" t="n">
        <f aca="false">IF(EH281&lt;&gt;"",1,0)</f>
        <v>0</v>
      </c>
      <c r="BB281" s="0" t="s">
        <v>153</v>
      </c>
      <c r="CA281" s="0" t="s">
        <v>154</v>
      </c>
      <c r="CP281" s="0" t="s">
        <v>154</v>
      </c>
    </row>
    <row r="282" customFormat="false" ht="13.8" hidden="true" customHeight="false" outlineLevel="0" collapsed="false">
      <c r="A282" s="0" t="s">
        <v>1639</v>
      </c>
      <c r="B282" s="0" t="n">
        <v>78</v>
      </c>
      <c r="C282" s="0" t="n">
        <v>484760</v>
      </c>
      <c r="D282" s="0" t="s">
        <v>1640</v>
      </c>
      <c r="E282" s="0" t="s">
        <v>1641</v>
      </c>
      <c r="F282" s="0" t="str">
        <f aca="false">CONCATENATE(D282," ",LEFT(H282,4),"T=",AU282,"D=",AV282,"R=",AW282,"M=",AX282,"L=",AY282,"B=",AZ282)</f>
        <v>CHRISTIAN T=5D=0R=0M=0L=1B=0</v>
      </c>
      <c r="G282" s="0" t="s">
        <v>1642</v>
      </c>
      <c r="I282" s="0" t="s">
        <v>1643</v>
      </c>
      <c r="J282" s="0" t="s">
        <v>1644</v>
      </c>
      <c r="K282" s="0" t="s">
        <v>175</v>
      </c>
      <c r="L282" s="0"/>
      <c r="M282" s="0" t="s">
        <v>1638</v>
      </c>
      <c r="N282" s="0" t="str">
        <f aca="false">RIGHT(M282,LEN(M282)-FIND(" ",M282))</f>
        <v>BELMONT AVE NW</v>
      </c>
      <c r="P282" s="0" t="s">
        <v>146</v>
      </c>
      <c r="Q282" s="0" t="s">
        <v>147</v>
      </c>
      <c r="R282" s="0" t="n">
        <v>44483</v>
      </c>
      <c r="AD282" s="0" t="s">
        <v>148</v>
      </c>
      <c r="AE282" s="0" t="s">
        <v>149</v>
      </c>
      <c r="AF282" s="0" t="s">
        <v>150</v>
      </c>
      <c r="AH282" s="0" t="n">
        <v>14</v>
      </c>
      <c r="AI282" s="0" t="n">
        <v>11</v>
      </c>
      <c r="AN282" s="0" t="s">
        <v>146</v>
      </c>
      <c r="AO282" s="0" t="s">
        <v>151</v>
      </c>
      <c r="AP282" s="0" t="s">
        <v>152</v>
      </c>
      <c r="AQ282" s="0" t="n">
        <v>9</v>
      </c>
      <c r="AR282" s="0" t="n">
        <v>64</v>
      </c>
      <c r="AS282" s="0" t="n">
        <v>32</v>
      </c>
      <c r="AU282" s="0" t="n">
        <f aca="false">COUNTA($BA$1202:$EH$1202)</f>
        <v>5</v>
      </c>
      <c r="AV282" s="0" t="n">
        <f aca="false">COUNTIF($BA$1202:$EH$1202,"D")</f>
        <v>0</v>
      </c>
      <c r="AW282" s="0" t="n">
        <f aca="false">COUNTIF($BA$1202:$EH$1202,"R")</f>
        <v>0</v>
      </c>
      <c r="AX282" s="0" t="n">
        <f aca="false"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>0</v>
      </c>
      <c r="AY282" s="0" t="n">
        <f aca="false">COUNTIF(DU282:EH282, "&lt;&gt;")</f>
        <v>1</v>
      </c>
      <c r="AZ282" s="0" t="n">
        <f aca="false">IF(EH282&lt;&gt;"",1,0)</f>
        <v>0</v>
      </c>
      <c r="BB282" s="0" t="s">
        <v>153</v>
      </c>
      <c r="EF282" s="0" t="s">
        <v>154</v>
      </c>
    </row>
    <row r="283" customFormat="false" ht="13.8" hidden="true" customHeight="false" outlineLevel="0" collapsed="false">
      <c r="A283" s="0" t="s">
        <v>1645</v>
      </c>
      <c r="B283" s="0" t="n">
        <v>78</v>
      </c>
      <c r="C283" s="0" t="n">
        <v>431455</v>
      </c>
      <c r="D283" s="0" t="s">
        <v>1646</v>
      </c>
      <c r="E283" s="0" t="s">
        <v>1647</v>
      </c>
      <c r="F283" s="0" t="str">
        <f aca="false">CONCATENATE(D283," ",LEFT(H283,4),"T=",AU283,"D=",AV283,"R=",AW283,"M=",AX283,"L=",AY283,"B=",AZ283)</f>
        <v>GREATHOUSE T=14D=1R=1M=0L=0B=0</v>
      </c>
      <c r="G283" s="0" t="s">
        <v>1648</v>
      </c>
      <c r="I283" s="0" t="s">
        <v>1649</v>
      </c>
      <c r="J283" s="0" t="s">
        <v>1650</v>
      </c>
      <c r="K283" s="0" t="s">
        <v>175</v>
      </c>
      <c r="L283" s="0"/>
      <c r="M283" s="0" t="s">
        <v>1638</v>
      </c>
      <c r="N283" s="0" t="str">
        <f aca="false">RIGHT(M283,LEN(M283)-FIND(" ",M283))</f>
        <v>BELMONT AVE NW</v>
      </c>
      <c r="P283" s="0" t="s">
        <v>146</v>
      </c>
      <c r="Q283" s="0" t="s">
        <v>147</v>
      </c>
      <c r="R283" s="0" t="n">
        <v>44483</v>
      </c>
      <c r="AD283" s="0" t="s">
        <v>148</v>
      </c>
      <c r="AE283" s="0" t="s">
        <v>149</v>
      </c>
      <c r="AF283" s="0" t="s">
        <v>150</v>
      </c>
      <c r="AH283" s="0" t="n">
        <v>14</v>
      </c>
      <c r="AI283" s="0" t="n">
        <v>11</v>
      </c>
      <c r="AN283" s="0" t="s">
        <v>146</v>
      </c>
      <c r="AO283" s="0" t="s">
        <v>151</v>
      </c>
      <c r="AP283" s="0" t="s">
        <v>152</v>
      </c>
      <c r="AQ283" s="0" t="n">
        <v>9</v>
      </c>
      <c r="AR283" s="0" t="n">
        <v>64</v>
      </c>
      <c r="AS283" s="0" t="n">
        <v>32</v>
      </c>
      <c r="AU283" s="0" t="n">
        <f aca="false">COUNTA($BA$1444:$EH$1444)</f>
        <v>14</v>
      </c>
      <c r="AV283" s="0" t="n">
        <f aca="false">COUNTIF($BA$1444:$EH$1444,"D")</f>
        <v>1</v>
      </c>
      <c r="AW283" s="0" t="n">
        <f aca="false">COUNTIF($BA$1444:$EH$1444,"R")</f>
        <v>1</v>
      </c>
      <c r="AX283" s="0" t="n">
        <f aca="false"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>0</v>
      </c>
      <c r="AY283" s="0" t="n">
        <f aca="false">COUNTIF(DU283:EH283, "&lt;&gt;")</f>
        <v>0</v>
      </c>
      <c r="AZ283" s="0" t="n">
        <f aca="false">IF(EH283&lt;&gt;"",1,0)</f>
        <v>0</v>
      </c>
      <c r="BB283" s="0" t="s">
        <v>153</v>
      </c>
    </row>
    <row r="284" customFormat="false" ht="13.8" hidden="true" customHeight="false" outlineLevel="0" collapsed="false">
      <c r="A284" s="0" t="s">
        <v>1651</v>
      </c>
      <c r="B284" s="0" t="n">
        <v>78</v>
      </c>
      <c r="C284" s="0" t="n">
        <v>477770</v>
      </c>
      <c r="D284" s="0" t="s">
        <v>1652</v>
      </c>
      <c r="E284" s="0" t="s">
        <v>1653</v>
      </c>
      <c r="F284" s="0" t="str">
        <f aca="false">CONCATENATE(D284," ",LEFT(H284,4),"T=",AU284,"D=",AV284,"R=",AW284,"M=",AX284,"L=",AY284,"B=",AZ284)</f>
        <v>GILLESPIE T=1D=0R=0M=0L=0B=0</v>
      </c>
      <c r="G284" s="0" t="s">
        <v>317</v>
      </c>
      <c r="I284" s="0" t="s">
        <v>1654</v>
      </c>
      <c r="J284" s="0" t="s">
        <v>1655</v>
      </c>
      <c r="K284" s="0" t="s">
        <v>175</v>
      </c>
      <c r="L284" s="0"/>
      <c r="M284" s="0" t="s">
        <v>1638</v>
      </c>
      <c r="N284" s="0" t="str">
        <f aca="false">RIGHT(M284,LEN(M284)-FIND(" ",M284))</f>
        <v>BELMONT AVE NW</v>
      </c>
      <c r="O284" s="0" t="s">
        <v>414</v>
      </c>
      <c r="P284" s="0" t="s">
        <v>146</v>
      </c>
      <c r="Q284" s="0" t="s">
        <v>147</v>
      </c>
      <c r="R284" s="0" t="n">
        <v>44483</v>
      </c>
      <c r="AD284" s="0" t="s">
        <v>148</v>
      </c>
      <c r="AE284" s="0" t="s">
        <v>149</v>
      </c>
      <c r="AF284" s="0" t="s">
        <v>150</v>
      </c>
      <c r="AH284" s="0" t="n">
        <v>14</v>
      </c>
      <c r="AI284" s="0" t="n">
        <v>11</v>
      </c>
      <c r="AN284" s="0" t="s">
        <v>146</v>
      </c>
      <c r="AO284" s="0" t="s">
        <v>151</v>
      </c>
      <c r="AP284" s="0" t="s">
        <v>152</v>
      </c>
      <c r="AQ284" s="0" t="n">
        <v>9</v>
      </c>
      <c r="AR284" s="0" t="n">
        <v>64</v>
      </c>
      <c r="AS284" s="0" t="n">
        <v>32</v>
      </c>
      <c r="AU284" s="0" t="n">
        <f aca="false">COUNTA($BA$1462:$EH$1462)</f>
        <v>1</v>
      </c>
      <c r="AV284" s="0" t="n">
        <f aca="false">COUNTIF($BA$1462:$EH$1462,"D")</f>
        <v>0</v>
      </c>
      <c r="AW284" s="0" t="n">
        <f aca="false">COUNTIF($BA$1462:$EH$1462,"R")</f>
        <v>0</v>
      </c>
      <c r="AX284" s="0" t="n">
        <f aca="false"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>0</v>
      </c>
      <c r="AY284" s="0" t="n">
        <f aca="false">COUNTIF(DU284:EH284, "&lt;&gt;")</f>
        <v>0</v>
      </c>
      <c r="AZ284" s="0" t="n">
        <f aca="false">IF(EH284&lt;&gt;"",1,0)</f>
        <v>0</v>
      </c>
      <c r="BB284" s="0" t="s">
        <v>153</v>
      </c>
      <c r="CY284" s="0" t="s">
        <v>154</v>
      </c>
      <c r="DC284" s="0" t="s">
        <v>154</v>
      </c>
    </row>
    <row r="285" customFormat="false" ht="13.8" hidden="true" customHeight="false" outlineLevel="0" collapsed="false">
      <c r="A285" s="0" t="s">
        <v>1656</v>
      </c>
      <c r="B285" s="0" t="n">
        <v>78</v>
      </c>
      <c r="C285" s="0" t="n">
        <v>475570</v>
      </c>
      <c r="D285" s="0" t="s">
        <v>1657</v>
      </c>
      <c r="E285" s="0" t="s">
        <v>1658</v>
      </c>
      <c r="F285" s="0" t="str">
        <f aca="false">CONCATENATE(D285," ",LEFT(H285,4),"T=",AU285,"D=",AV285,"R=",AW285,"M=",AX285,"L=",AY285,"B=",AZ285)</f>
        <v>MILLER T=13D=1R=1M=0L=0B=0</v>
      </c>
      <c r="G285" s="0" t="s">
        <v>181</v>
      </c>
      <c r="I285" s="0" t="s">
        <v>1659</v>
      </c>
      <c r="J285" s="0" t="s">
        <v>1660</v>
      </c>
      <c r="K285" s="0" t="s">
        <v>175</v>
      </c>
      <c r="L285" s="0"/>
      <c r="M285" s="0" t="s">
        <v>1638</v>
      </c>
      <c r="N285" s="0" t="str">
        <f aca="false">RIGHT(M285,LEN(M285)-FIND(" ",M285))</f>
        <v>BELMONT AVE NW</v>
      </c>
      <c r="P285" s="0" t="s">
        <v>146</v>
      </c>
      <c r="Q285" s="0" t="s">
        <v>147</v>
      </c>
      <c r="R285" s="0" t="n">
        <v>44483</v>
      </c>
      <c r="AD285" s="0" t="s">
        <v>148</v>
      </c>
      <c r="AE285" s="0" t="s">
        <v>149</v>
      </c>
      <c r="AF285" s="0" t="s">
        <v>150</v>
      </c>
      <c r="AH285" s="0" t="n">
        <v>14</v>
      </c>
      <c r="AI285" s="0" t="n">
        <v>11</v>
      </c>
      <c r="AN285" s="0" t="s">
        <v>146</v>
      </c>
      <c r="AO285" s="0" t="s">
        <v>151</v>
      </c>
      <c r="AP285" s="0" t="s">
        <v>152</v>
      </c>
      <c r="AQ285" s="0" t="n">
        <v>9</v>
      </c>
      <c r="AR285" s="0" t="n">
        <v>64</v>
      </c>
      <c r="AS285" s="0" t="n">
        <v>32</v>
      </c>
      <c r="AU285" s="0" t="n">
        <f aca="false">COUNTA($BA$1963:$EH$1963)</f>
        <v>13</v>
      </c>
      <c r="AV285" s="0" t="n">
        <f aca="false">COUNTIF($BA$1963:$EH$1963,"D")</f>
        <v>1</v>
      </c>
      <c r="AW285" s="0" t="n">
        <f aca="false">COUNTIF($BA$1963:$EH$1963,"R")</f>
        <v>1</v>
      </c>
      <c r="AX285" s="0" t="n">
        <f aca="false"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>0</v>
      </c>
      <c r="AY285" s="0" t="n">
        <f aca="false">COUNTIF(DU285:EH285, "&lt;&gt;")</f>
        <v>0</v>
      </c>
      <c r="AZ285" s="0" t="n">
        <f aca="false">IF(EH285&lt;&gt;"",1,0)</f>
        <v>0</v>
      </c>
      <c r="BB285" s="0" t="s">
        <v>153</v>
      </c>
    </row>
    <row r="286" customFormat="false" ht="13.8" hidden="false" customHeight="false" outlineLevel="0" collapsed="false">
      <c r="A286" s="0" t="s">
        <v>1661</v>
      </c>
      <c r="B286" s="0" t="n">
        <v>78</v>
      </c>
      <c r="C286" s="0" t="n">
        <v>408468</v>
      </c>
      <c r="D286" s="0" t="s">
        <v>1662</v>
      </c>
      <c r="E286" s="0" t="s">
        <v>1663</v>
      </c>
      <c r="F286" s="0" t="str">
        <f aca="false">CONCATENATE(D286," ",LEFT(H286,4),"T=",AU286,"D=",AV286,"R=",AW286,"M=",AX286,"L=",AY286,"B=",AZ286)</f>
        <v>QUALHEIM T=4D=0R=0M=0L=2B=0</v>
      </c>
      <c r="G286" s="0" t="s">
        <v>1664</v>
      </c>
      <c r="I286" s="0" t="s">
        <v>1665</v>
      </c>
      <c r="J286" s="0" t="s">
        <v>1666</v>
      </c>
      <c r="K286" s="0" t="s">
        <v>175</v>
      </c>
      <c r="M286" s="0" t="s">
        <v>1667</v>
      </c>
      <c r="N286" s="0" t="str">
        <f aca="false">RIGHT(M286,LEN(M286)-FIND(" ",M286))</f>
        <v>BELMONT AVE NW</v>
      </c>
      <c r="P286" s="0" t="s">
        <v>146</v>
      </c>
      <c r="Q286" s="0" t="s">
        <v>147</v>
      </c>
      <c r="R286" s="0" t="n">
        <v>44483</v>
      </c>
      <c r="AD286" s="0" t="s">
        <v>148</v>
      </c>
      <c r="AE286" s="0" t="s">
        <v>149</v>
      </c>
      <c r="AF286" s="0" t="s">
        <v>150</v>
      </c>
      <c r="AH286" s="0" t="n">
        <v>14</v>
      </c>
      <c r="AI286" s="0" t="n">
        <v>11</v>
      </c>
      <c r="AN286" s="0" t="s">
        <v>146</v>
      </c>
      <c r="AO286" s="0" t="s">
        <v>151</v>
      </c>
      <c r="AP286" s="0" t="s">
        <v>152</v>
      </c>
      <c r="AQ286" s="0" t="n">
        <v>9</v>
      </c>
      <c r="AR286" s="0" t="n">
        <v>64</v>
      </c>
      <c r="AS286" s="0" t="n">
        <v>32</v>
      </c>
      <c r="AU286" s="0" t="n">
        <f aca="false">COUNTA($BA$1460:$EH$1460)</f>
        <v>4</v>
      </c>
      <c r="AV286" s="0" t="n">
        <f aca="false">COUNTIF($BA$1460:$EH$1460,"D")</f>
        <v>0</v>
      </c>
      <c r="AW286" s="0" t="n">
        <f aca="false">COUNTIF($BA$1460:$EH$1460,"R")</f>
        <v>0</v>
      </c>
      <c r="AX286" s="0" t="n">
        <f aca="false"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>0</v>
      </c>
      <c r="AY286" s="0" t="n">
        <f aca="false">COUNTIF(DU286:EH286, "&lt;&gt;")</f>
        <v>2</v>
      </c>
      <c r="AZ286" s="0" t="n">
        <f aca="false">IF(EH286&lt;&gt;"",1,0)</f>
        <v>0</v>
      </c>
      <c r="BB286" s="0" t="s">
        <v>153</v>
      </c>
      <c r="CY286" s="0" t="s">
        <v>154</v>
      </c>
      <c r="CZ286" s="0" t="s">
        <v>155</v>
      </c>
      <c r="DC286" s="0" t="s">
        <v>154</v>
      </c>
      <c r="DI286" s="0" t="s">
        <v>154</v>
      </c>
      <c r="DN286" s="0" t="s">
        <v>154</v>
      </c>
      <c r="DU286" s="0" t="s">
        <v>154</v>
      </c>
      <c r="EF286" s="0" t="s">
        <v>154</v>
      </c>
    </row>
    <row r="287" customFormat="false" ht="13.8" hidden="false" customHeight="false" outlineLevel="0" collapsed="false">
      <c r="A287" s="0" t="s">
        <v>1668</v>
      </c>
      <c r="B287" s="0" t="n">
        <v>78</v>
      </c>
      <c r="C287" s="0" t="n">
        <v>375243</v>
      </c>
      <c r="D287" s="0" t="s">
        <v>1662</v>
      </c>
      <c r="E287" s="0" t="s">
        <v>1669</v>
      </c>
      <c r="F287" s="0" t="str">
        <f aca="false">CONCATENATE(D287," ",LEFT(H287,4),"T=",AU287,"D=",AV287,"R=",AW287,"M=",AX287,"L=",AY287,"B=",AZ287)</f>
        <v>QUALHEIM T=2D=0R=0M=0L=4B=0</v>
      </c>
      <c r="G287" s="0" t="s">
        <v>1670</v>
      </c>
      <c r="I287" s="0" t="s">
        <v>1671</v>
      </c>
      <c r="J287" s="0" t="s">
        <v>1672</v>
      </c>
      <c r="K287" s="0" t="s">
        <v>175</v>
      </c>
      <c r="M287" s="0" t="s">
        <v>1667</v>
      </c>
      <c r="N287" s="0" t="str">
        <f aca="false">RIGHT(M287,LEN(M287)-FIND(" ",M287))</f>
        <v>BELMONT AVE NW</v>
      </c>
      <c r="P287" s="0" t="s">
        <v>146</v>
      </c>
      <c r="Q287" s="0" t="s">
        <v>147</v>
      </c>
      <c r="R287" s="0" t="n">
        <v>44483</v>
      </c>
      <c r="AD287" s="0" t="s">
        <v>148</v>
      </c>
      <c r="AE287" s="0" t="s">
        <v>149</v>
      </c>
      <c r="AF287" s="0" t="s">
        <v>150</v>
      </c>
      <c r="AH287" s="0" t="n">
        <v>14</v>
      </c>
      <c r="AI287" s="0" t="n">
        <v>11</v>
      </c>
      <c r="AN287" s="0" t="s">
        <v>146</v>
      </c>
      <c r="AO287" s="0" t="s">
        <v>151</v>
      </c>
      <c r="AP287" s="0" t="s">
        <v>152</v>
      </c>
      <c r="AQ287" s="0" t="n">
        <v>9</v>
      </c>
      <c r="AR287" s="0" t="n">
        <v>64</v>
      </c>
      <c r="AS287" s="0" t="n">
        <v>32</v>
      </c>
      <c r="AU287" s="0" t="n">
        <f aca="false">COUNTA($BA$1950:$EH$1950)</f>
        <v>2</v>
      </c>
      <c r="AV287" s="0" t="n">
        <f aca="false">COUNTIF($BA$1950:$EH$1950,"D")</f>
        <v>0</v>
      </c>
      <c r="AW287" s="0" t="n">
        <f aca="false">COUNTIF($BA$1950:$EH$1950,"R")</f>
        <v>0</v>
      </c>
      <c r="AX287" s="0" t="n">
        <f aca="false"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>0</v>
      </c>
      <c r="AY287" s="0" t="n">
        <f aca="false">COUNTIF(DU287:EH287, "&lt;&gt;")</f>
        <v>4</v>
      </c>
      <c r="AZ287" s="0" t="n">
        <f aca="false">IF(EH287&lt;&gt;"",1,0)</f>
        <v>0</v>
      </c>
      <c r="BB287" s="0" t="s">
        <v>153</v>
      </c>
      <c r="CP287" s="0" t="s">
        <v>154</v>
      </c>
      <c r="CY287" s="0" t="s">
        <v>154</v>
      </c>
      <c r="CZ287" s="0" t="s">
        <v>155</v>
      </c>
      <c r="DC287" s="0" t="s">
        <v>154</v>
      </c>
      <c r="DI287" s="0" t="s">
        <v>154</v>
      </c>
      <c r="DL287" s="0" t="s">
        <v>154</v>
      </c>
      <c r="DN287" s="0" t="s">
        <v>154</v>
      </c>
      <c r="DU287" s="0" t="s">
        <v>154</v>
      </c>
      <c r="DX287" s="0" t="s">
        <v>154</v>
      </c>
      <c r="EA287" s="0" t="s">
        <v>154</v>
      </c>
      <c r="EF287" s="0" t="s">
        <v>154</v>
      </c>
    </row>
    <row r="288" customFormat="false" ht="13.8" hidden="false" customHeight="false" outlineLevel="0" collapsed="false">
      <c r="A288" s="0" t="s">
        <v>1673</v>
      </c>
      <c r="B288" s="0" t="n">
        <v>78</v>
      </c>
      <c r="C288" s="0" t="n">
        <v>438561</v>
      </c>
      <c r="D288" s="0" t="s">
        <v>1662</v>
      </c>
      <c r="E288" s="0" t="s">
        <v>590</v>
      </c>
      <c r="F288" s="0" t="str">
        <f aca="false">CONCATENATE(D288," ",LEFT(H288,4),"T=",AU288,"D=",AV288,"R=",AW288,"M=",AX288,"L=",AY288,"B=",AZ288)</f>
        <v>QUALHEIM T=1D=0R=0M=0L=4B=0</v>
      </c>
      <c r="G288" s="0" t="s">
        <v>154</v>
      </c>
      <c r="I288" s="0" t="s">
        <v>1674</v>
      </c>
      <c r="J288" s="0" t="s">
        <v>1675</v>
      </c>
      <c r="K288" s="0" t="s">
        <v>175</v>
      </c>
      <c r="M288" s="0" t="s">
        <v>1667</v>
      </c>
      <c r="N288" s="0" t="str">
        <f aca="false">RIGHT(M288,LEN(M288)-FIND(" ",M288))</f>
        <v>BELMONT AVE NW</v>
      </c>
      <c r="P288" s="0" t="s">
        <v>146</v>
      </c>
      <c r="Q288" s="0" t="s">
        <v>147</v>
      </c>
      <c r="R288" s="0" t="n">
        <v>44483</v>
      </c>
      <c r="AD288" s="0" t="s">
        <v>148</v>
      </c>
      <c r="AE288" s="0" t="s">
        <v>149</v>
      </c>
      <c r="AF288" s="0" t="s">
        <v>150</v>
      </c>
      <c r="AH288" s="0" t="n">
        <v>14</v>
      </c>
      <c r="AI288" s="0" t="n">
        <v>11</v>
      </c>
      <c r="AN288" s="0" t="s">
        <v>146</v>
      </c>
      <c r="AO288" s="0" t="s">
        <v>151</v>
      </c>
      <c r="AP288" s="0" t="s">
        <v>152</v>
      </c>
      <c r="AQ288" s="0" t="n">
        <v>9</v>
      </c>
      <c r="AR288" s="0" t="n">
        <v>64</v>
      </c>
      <c r="AS288" s="0" t="n">
        <v>32</v>
      </c>
      <c r="AU288" s="0" t="n">
        <f aca="false">COUNTA($BA$2056:$EH$2056)</f>
        <v>1</v>
      </c>
      <c r="AV288" s="0" t="n">
        <f aca="false">COUNTIF($BA$2056:$EH$2056,"D")</f>
        <v>0</v>
      </c>
      <c r="AW288" s="0" t="n">
        <f aca="false">COUNTIF($BA$2056:$EH$2056,"R")</f>
        <v>0</v>
      </c>
      <c r="AX288" s="0" t="n">
        <f aca="false"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>0</v>
      </c>
      <c r="AY288" s="0" t="n">
        <f aca="false">COUNTIF(DU288:EH288, "&lt;&gt;")</f>
        <v>4</v>
      </c>
      <c r="AZ288" s="0" t="n">
        <f aca="false">IF(EH288&lt;&gt;"",1,0)</f>
        <v>0</v>
      </c>
      <c r="BB288" s="0" t="s">
        <v>153</v>
      </c>
      <c r="DM288" s="0" t="s">
        <v>155</v>
      </c>
      <c r="DN288" s="0" t="s">
        <v>154</v>
      </c>
      <c r="DU288" s="0" t="s">
        <v>154</v>
      </c>
      <c r="DX288" s="0" t="s">
        <v>154</v>
      </c>
      <c r="EA288" s="0" t="s">
        <v>154</v>
      </c>
      <c r="EF288" s="0" t="s">
        <v>154</v>
      </c>
    </row>
    <row r="289" customFormat="false" ht="13.8" hidden="true" customHeight="false" outlineLevel="0" collapsed="false">
      <c r="A289" s="0" t="s">
        <v>1676</v>
      </c>
      <c r="B289" s="0" t="n">
        <v>78</v>
      </c>
      <c r="C289" s="0" t="n">
        <v>428725</v>
      </c>
      <c r="D289" s="0" t="s">
        <v>1677</v>
      </c>
      <c r="E289" s="0" t="s">
        <v>1678</v>
      </c>
      <c r="F289" s="0" t="str">
        <f aca="false">CONCATENATE(D289," ",LEFT(H289,4),"T=",AU289,"D=",AV289,"R=",AW289,"M=",AX289,"L=",AY289,"B=",AZ289)</f>
        <v>HUDSON T=4D=0R=0M=0L=0B=0</v>
      </c>
      <c r="I289" s="0" t="s">
        <v>1679</v>
      </c>
      <c r="J289" s="0" t="s">
        <v>672</v>
      </c>
      <c r="K289" s="0" t="s">
        <v>175</v>
      </c>
      <c r="L289" s="0"/>
      <c r="M289" s="0" t="s">
        <v>1680</v>
      </c>
      <c r="N289" s="0" t="str">
        <f aca="false">RIGHT(M289,LEN(M289)-FIND(" ",M289))</f>
        <v>BELMONT AVE NW</v>
      </c>
      <c r="O289" s="0" t="s">
        <v>1681</v>
      </c>
      <c r="P289" s="0" t="s">
        <v>146</v>
      </c>
      <c r="Q289" s="0" t="s">
        <v>147</v>
      </c>
      <c r="R289" s="0" t="n">
        <v>44483</v>
      </c>
      <c r="AD289" s="0" t="s">
        <v>148</v>
      </c>
      <c r="AE289" s="0" t="s">
        <v>149</v>
      </c>
      <c r="AF289" s="0" t="s">
        <v>150</v>
      </c>
      <c r="AH289" s="0" t="n">
        <v>14</v>
      </c>
      <c r="AI289" s="0" t="n">
        <v>11</v>
      </c>
      <c r="AN289" s="0" t="s">
        <v>146</v>
      </c>
      <c r="AO289" s="0" t="s">
        <v>151</v>
      </c>
      <c r="AP289" s="0" t="s">
        <v>152</v>
      </c>
      <c r="AQ289" s="0" t="n">
        <v>9</v>
      </c>
      <c r="AR289" s="0" t="n">
        <v>64</v>
      </c>
      <c r="AS289" s="0" t="n">
        <v>32</v>
      </c>
      <c r="AU289" s="0" t="n">
        <f aca="false">COUNTA($BA$1120:$EH$1120)</f>
        <v>4</v>
      </c>
      <c r="AV289" s="0" t="n">
        <f aca="false">COUNTIF($BA$1120:$EH$1120,"D")</f>
        <v>0</v>
      </c>
      <c r="AW289" s="0" t="n">
        <f aca="false">COUNTIF($BA$1120:$EH$1120,"R")</f>
        <v>0</v>
      </c>
      <c r="AX289" s="0" t="n">
        <f aca="false"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>0</v>
      </c>
      <c r="AY289" s="0" t="n">
        <f aca="false">COUNTIF(DU289:EH289, "&lt;&gt;")</f>
        <v>0</v>
      </c>
      <c r="AZ289" s="0" t="n">
        <f aca="false">IF(EH289&lt;&gt;"",1,0)</f>
        <v>0</v>
      </c>
      <c r="BB289" s="0" t="s">
        <v>153</v>
      </c>
    </row>
    <row r="290" customFormat="false" ht="13.8" hidden="true" customHeight="false" outlineLevel="0" collapsed="false">
      <c r="A290" s="0" t="s">
        <v>1682</v>
      </c>
      <c r="B290" s="0" t="n">
        <v>78</v>
      </c>
      <c r="C290" s="0" t="n">
        <v>344076</v>
      </c>
      <c r="D290" s="0" t="s">
        <v>1683</v>
      </c>
      <c r="E290" s="0" t="s">
        <v>863</v>
      </c>
      <c r="F290" s="0" t="str">
        <f aca="false">CONCATENATE(D290," ",LEFT(H290,4),"T=",AU290,"D=",AV290,"R=",AW290,"M=",AX290,"L=",AY290,"B=",AZ290)</f>
        <v>GWINN T=29D=8R=0M=0L=0B=0</v>
      </c>
      <c r="G290" s="0" t="s">
        <v>1684</v>
      </c>
      <c r="I290" s="0" t="s">
        <v>1685</v>
      </c>
      <c r="J290" s="0" t="s">
        <v>1686</v>
      </c>
      <c r="K290" s="0" t="s">
        <v>175</v>
      </c>
      <c r="L290" s="0"/>
      <c r="M290" s="0" t="s">
        <v>1680</v>
      </c>
      <c r="N290" s="0" t="str">
        <f aca="false">RIGHT(M290,LEN(M290)-FIND(" ",M290))</f>
        <v>BELMONT AVE NW</v>
      </c>
      <c r="O290" s="0" t="s">
        <v>1687</v>
      </c>
      <c r="P290" s="0" t="s">
        <v>146</v>
      </c>
      <c r="Q290" s="0" t="s">
        <v>147</v>
      </c>
      <c r="R290" s="0" t="n">
        <v>44483</v>
      </c>
      <c r="AD290" s="0" t="s">
        <v>148</v>
      </c>
      <c r="AE290" s="0" t="s">
        <v>149</v>
      </c>
      <c r="AF290" s="0" t="s">
        <v>150</v>
      </c>
      <c r="AH290" s="0" t="n">
        <v>14</v>
      </c>
      <c r="AI290" s="0" t="n">
        <v>11</v>
      </c>
      <c r="AN290" s="0" t="s">
        <v>146</v>
      </c>
      <c r="AO290" s="0" t="s">
        <v>151</v>
      </c>
      <c r="AP290" s="0" t="s">
        <v>152</v>
      </c>
      <c r="AQ290" s="0" t="n">
        <v>9</v>
      </c>
      <c r="AR290" s="0" t="n">
        <v>64</v>
      </c>
      <c r="AS290" s="0" t="n">
        <v>32</v>
      </c>
      <c r="AU290" s="0" t="n">
        <f aca="false">COUNTA($BA$1260:$EH$1260)</f>
        <v>29</v>
      </c>
      <c r="AV290" s="0" t="n">
        <f aca="false">COUNTIF($BA$1260:$EH$1260,"D")</f>
        <v>8</v>
      </c>
      <c r="AW290" s="0" t="n">
        <f aca="false">COUNTIF($BA$1260:$EH$1260,"R")</f>
        <v>0</v>
      </c>
      <c r="AX290" s="0" t="n">
        <f aca="false"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>0</v>
      </c>
      <c r="AY290" s="0" t="n">
        <f aca="false">COUNTIF(DU290:EH290, "&lt;&gt;")</f>
        <v>0</v>
      </c>
      <c r="AZ290" s="0" t="n">
        <f aca="false">IF(EH290&lt;&gt;"",1,0)</f>
        <v>0</v>
      </c>
      <c r="BB290" s="0" t="s">
        <v>153</v>
      </c>
      <c r="CP290" s="0" t="s">
        <v>154</v>
      </c>
    </row>
    <row r="291" customFormat="false" ht="13.8" hidden="true" customHeight="false" outlineLevel="0" collapsed="false">
      <c r="A291" s="0" t="s">
        <v>1688</v>
      </c>
      <c r="B291" s="0" t="n">
        <v>78</v>
      </c>
      <c r="C291" s="0" t="n">
        <v>470669</v>
      </c>
      <c r="D291" s="0" t="s">
        <v>1689</v>
      </c>
      <c r="E291" s="0" t="s">
        <v>842</v>
      </c>
      <c r="F291" s="0" t="str">
        <f aca="false">CONCATENATE(D291," ",LEFT(H291,4),"T=",AU291,"D=",AV291,"R=",AW291,"M=",AX291,"L=",AY291,"B=",AZ291)</f>
        <v>COOPER T=9D=1R=0M=0L=1B=0</v>
      </c>
      <c r="G291" s="0" t="s">
        <v>317</v>
      </c>
      <c r="I291" s="0" t="s">
        <v>1690</v>
      </c>
      <c r="J291" s="0" t="s">
        <v>1691</v>
      </c>
      <c r="K291" s="0" t="s">
        <v>175</v>
      </c>
      <c r="L291" s="0"/>
      <c r="M291" s="0" t="s">
        <v>1680</v>
      </c>
      <c r="N291" s="0" t="str">
        <f aca="false">RIGHT(M291,LEN(M291)-FIND(" ",M291))</f>
        <v>BELMONT AVE NW</v>
      </c>
      <c r="O291" s="0" t="s">
        <v>192</v>
      </c>
      <c r="P291" s="0" t="s">
        <v>146</v>
      </c>
      <c r="Q291" s="0" t="s">
        <v>147</v>
      </c>
      <c r="R291" s="0" t="n">
        <v>44483</v>
      </c>
      <c r="AD291" s="0" t="s">
        <v>148</v>
      </c>
      <c r="AE291" s="0" t="s">
        <v>149</v>
      </c>
      <c r="AF291" s="0" t="s">
        <v>150</v>
      </c>
      <c r="AH291" s="0" t="n">
        <v>14</v>
      </c>
      <c r="AI291" s="0" t="n">
        <v>11</v>
      </c>
      <c r="AN291" s="0" t="s">
        <v>146</v>
      </c>
      <c r="AO291" s="0" t="s">
        <v>151</v>
      </c>
      <c r="AP291" s="0" t="s">
        <v>152</v>
      </c>
      <c r="AQ291" s="0" t="n">
        <v>9</v>
      </c>
      <c r="AR291" s="0" t="n">
        <v>64</v>
      </c>
      <c r="AS291" s="0" t="n">
        <v>32</v>
      </c>
      <c r="AU291" s="0" t="n">
        <f aca="false">COUNTA($BA$1378:$EH$1378)</f>
        <v>9</v>
      </c>
      <c r="AV291" s="0" t="n">
        <f aca="false">COUNTIF($BA$1378:$EH$1378,"D")</f>
        <v>1</v>
      </c>
      <c r="AW291" s="0" t="n">
        <f aca="false">COUNTIF($BA$1378:$EH$1378,"R")</f>
        <v>0</v>
      </c>
      <c r="AX291" s="0" t="n">
        <f aca="false"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>0</v>
      </c>
      <c r="AY291" s="0" t="n">
        <f aca="false">COUNTIF(DU291:EH291, "&lt;&gt;")</f>
        <v>1</v>
      </c>
      <c r="AZ291" s="0" t="n">
        <f aca="false">IF(EH291&lt;&gt;"",1,0)</f>
        <v>0</v>
      </c>
      <c r="BB291" s="0" t="s">
        <v>153</v>
      </c>
      <c r="EF291" s="0" t="s">
        <v>154</v>
      </c>
    </row>
    <row r="292" customFormat="false" ht="13.8" hidden="true" customHeight="false" outlineLevel="0" collapsed="false">
      <c r="A292" s="0" t="s">
        <v>1692</v>
      </c>
      <c r="B292" s="0" t="n">
        <v>78</v>
      </c>
      <c r="C292" s="0" t="n">
        <v>420084</v>
      </c>
      <c r="D292" s="0" t="s">
        <v>608</v>
      </c>
      <c r="E292" s="0" t="s">
        <v>1693</v>
      </c>
      <c r="F292" s="0" t="str">
        <f aca="false">CONCATENATE(D292," ",LEFT(H292,4),"T=",AU292,"D=",AV292,"R=",AW292,"M=",AX292,"L=",AY292,"B=",AZ292)</f>
        <v>COBB T=1D=0R=0M=0L=0B=0</v>
      </c>
      <c r="G292" s="0" t="s">
        <v>1011</v>
      </c>
      <c r="I292" s="0" t="s">
        <v>1694</v>
      </c>
      <c r="J292" s="0" t="s">
        <v>1695</v>
      </c>
      <c r="K292" s="0" t="s">
        <v>144</v>
      </c>
      <c r="L292" s="0"/>
      <c r="M292" s="0" t="s">
        <v>1680</v>
      </c>
      <c r="N292" s="0" t="str">
        <f aca="false">RIGHT(M292,LEN(M292)-FIND(" ",M292))</f>
        <v>BELMONT AVE NW</v>
      </c>
      <c r="O292" s="0" t="s">
        <v>184</v>
      </c>
      <c r="P292" s="0" t="s">
        <v>146</v>
      </c>
      <c r="Q292" s="0" t="s">
        <v>147</v>
      </c>
      <c r="R292" s="0" t="n">
        <v>44483</v>
      </c>
      <c r="AD292" s="0" t="s">
        <v>148</v>
      </c>
      <c r="AE292" s="0" t="s">
        <v>149</v>
      </c>
      <c r="AF292" s="0" t="s">
        <v>150</v>
      </c>
      <c r="AH292" s="0" t="n">
        <v>14</v>
      </c>
      <c r="AI292" s="0" t="n">
        <v>11</v>
      </c>
      <c r="AN292" s="0" t="s">
        <v>146</v>
      </c>
      <c r="AO292" s="0" t="s">
        <v>151</v>
      </c>
      <c r="AP292" s="0" t="s">
        <v>152</v>
      </c>
      <c r="AQ292" s="0" t="n">
        <v>9</v>
      </c>
      <c r="AR292" s="0" t="n">
        <v>64</v>
      </c>
      <c r="AS292" s="0" t="n">
        <v>32</v>
      </c>
      <c r="AU292" s="0" t="n">
        <f aca="false">COUNTA($BA$1803:$EH$1803)</f>
        <v>1</v>
      </c>
      <c r="AV292" s="0" t="n">
        <f aca="false">COUNTIF($BA$1803:$EH$1803,"D")</f>
        <v>0</v>
      </c>
      <c r="AW292" s="0" t="n">
        <f aca="false">COUNTIF($BA$1803:$EH$1803,"R")</f>
        <v>0</v>
      </c>
      <c r="AX292" s="0" t="n">
        <f aca="false"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>0</v>
      </c>
      <c r="AY292" s="0" t="n">
        <f aca="false">COUNTIF(DU292:EH292, "&lt;&gt;")</f>
        <v>0</v>
      </c>
      <c r="AZ292" s="0" t="n">
        <f aca="false">IF(EH292&lt;&gt;"",1,0)</f>
        <v>0</v>
      </c>
      <c r="BB292" s="0" t="s">
        <v>153</v>
      </c>
    </row>
    <row r="293" customFormat="false" ht="13.8" hidden="true" customHeight="false" outlineLevel="0" collapsed="false">
      <c r="A293" s="0" t="s">
        <v>1696</v>
      </c>
      <c r="B293" s="0" t="n">
        <v>78</v>
      </c>
      <c r="C293" s="0" t="n">
        <v>393878</v>
      </c>
      <c r="D293" s="0" t="s">
        <v>1697</v>
      </c>
      <c r="E293" s="0" t="s">
        <v>1698</v>
      </c>
      <c r="F293" s="0" t="str">
        <f aca="false">CONCATENATE(D293," ",LEFT(H293,4),"T=",AU293,"D=",AV293,"R=",AW293,"M=",AX293,"L=",AY293,"B=",AZ293)</f>
        <v>MATHEWS T=10D=2R=1M=0L=0B=0</v>
      </c>
      <c r="G293" s="0" t="s">
        <v>1131</v>
      </c>
      <c r="I293" s="0" t="s">
        <v>763</v>
      </c>
      <c r="J293" s="0" t="s">
        <v>1699</v>
      </c>
      <c r="K293" s="0" t="s">
        <v>175</v>
      </c>
      <c r="L293" s="0"/>
      <c r="M293" s="0" t="s">
        <v>1680</v>
      </c>
      <c r="N293" s="0" t="str">
        <f aca="false">RIGHT(M293,LEN(M293)-FIND(" ",M293))</f>
        <v>BELMONT AVE NW</v>
      </c>
      <c r="O293" s="0" t="s">
        <v>1681</v>
      </c>
      <c r="P293" s="0" t="s">
        <v>146</v>
      </c>
      <c r="Q293" s="0" t="s">
        <v>147</v>
      </c>
      <c r="R293" s="0" t="n">
        <v>44483</v>
      </c>
      <c r="AD293" s="0" t="s">
        <v>148</v>
      </c>
      <c r="AE293" s="0" t="s">
        <v>149</v>
      </c>
      <c r="AF293" s="0" t="s">
        <v>150</v>
      </c>
      <c r="AH293" s="0" t="n">
        <v>14</v>
      </c>
      <c r="AI293" s="0" t="n">
        <v>11</v>
      </c>
      <c r="AN293" s="0" t="s">
        <v>146</v>
      </c>
      <c r="AO293" s="0" t="s">
        <v>151</v>
      </c>
      <c r="AP293" s="0" t="s">
        <v>152</v>
      </c>
      <c r="AQ293" s="0" t="n">
        <v>9</v>
      </c>
      <c r="AR293" s="0" t="n">
        <v>64</v>
      </c>
      <c r="AS293" s="0" t="n">
        <v>32</v>
      </c>
      <c r="AU293" s="0" t="n">
        <f aca="false">COUNTA($BA$1858:$EH$1858)</f>
        <v>10</v>
      </c>
      <c r="AV293" s="0" t="n">
        <f aca="false">COUNTIF($BA$1858:$EH$1858,"D")</f>
        <v>2</v>
      </c>
      <c r="AW293" s="0" t="n">
        <f aca="false">COUNTIF($BA$1858:$EH$1858,"R")</f>
        <v>1</v>
      </c>
      <c r="AX293" s="0" t="n">
        <f aca="false"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>0</v>
      </c>
      <c r="AY293" s="0" t="n">
        <f aca="false">COUNTIF(DU293:EH293, "&lt;&gt;")</f>
        <v>0</v>
      </c>
      <c r="AZ293" s="0" t="n">
        <f aca="false">IF(EH293&lt;&gt;"",1,0)</f>
        <v>0</v>
      </c>
      <c r="BB293" s="0" t="s">
        <v>153</v>
      </c>
      <c r="DC293" s="0" t="s">
        <v>154</v>
      </c>
      <c r="DN293" s="0" t="s">
        <v>154</v>
      </c>
    </row>
    <row r="294" customFormat="false" ht="13.8" hidden="true" customHeight="false" outlineLevel="0" collapsed="false">
      <c r="A294" s="0" t="s">
        <v>1700</v>
      </c>
      <c r="B294" s="0" t="n">
        <v>78</v>
      </c>
      <c r="C294" s="0" t="n">
        <v>452233</v>
      </c>
      <c r="D294" s="0" t="s">
        <v>1701</v>
      </c>
      <c r="E294" s="0" t="s">
        <v>1702</v>
      </c>
      <c r="F294" s="0" t="str">
        <f aca="false">CONCATENATE(D294," ",LEFT(H294,4),"T=",AU294,"D=",AV294,"R=",AW294,"M=",AX294,"L=",AY294,"B=",AZ294)</f>
        <v>BLECH T=1D=0R=0M=0L=0B=0</v>
      </c>
      <c r="G294" s="0" t="s">
        <v>771</v>
      </c>
      <c r="I294" s="0" t="s">
        <v>1703</v>
      </c>
      <c r="J294" s="0" t="s">
        <v>1704</v>
      </c>
      <c r="K294" s="0" t="s">
        <v>144</v>
      </c>
      <c r="L294" s="0"/>
      <c r="M294" s="0" t="s">
        <v>1680</v>
      </c>
      <c r="N294" s="0" t="str">
        <f aca="false">RIGHT(M294,LEN(M294)-FIND(" ",M294))</f>
        <v>BELMONT AVE NW</v>
      </c>
      <c r="O294" s="0" t="s">
        <v>192</v>
      </c>
      <c r="P294" s="0" t="s">
        <v>146</v>
      </c>
      <c r="Q294" s="0" t="s">
        <v>147</v>
      </c>
      <c r="R294" s="0" t="n">
        <v>44483</v>
      </c>
      <c r="AD294" s="0" t="s">
        <v>148</v>
      </c>
      <c r="AE294" s="0" t="s">
        <v>149</v>
      </c>
      <c r="AF294" s="0" t="s">
        <v>150</v>
      </c>
      <c r="AH294" s="0" t="n">
        <v>14</v>
      </c>
      <c r="AI294" s="0" t="n">
        <v>11</v>
      </c>
      <c r="AN294" s="0" t="s">
        <v>146</v>
      </c>
      <c r="AO294" s="0" t="s">
        <v>151</v>
      </c>
      <c r="AP294" s="0" t="s">
        <v>152</v>
      </c>
      <c r="AQ294" s="0" t="n">
        <v>9</v>
      </c>
      <c r="AR294" s="0" t="n">
        <v>64</v>
      </c>
      <c r="AS294" s="0" t="n">
        <v>32</v>
      </c>
      <c r="AU294" s="0" t="n">
        <f aca="false">COUNTA($BA$2009:$EH$2009)</f>
        <v>1</v>
      </c>
      <c r="AV294" s="0" t="n">
        <f aca="false">COUNTIF($BA$2009:$EH$2009,"D")</f>
        <v>0</v>
      </c>
      <c r="AW294" s="0" t="n">
        <f aca="false">COUNTIF($BA$2009:$EH$2009,"R")</f>
        <v>0</v>
      </c>
      <c r="AX294" s="0" t="n">
        <f aca="false"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>0</v>
      </c>
      <c r="AY294" s="0" t="n">
        <f aca="false">COUNTIF(DU294:EH294, "&lt;&gt;")</f>
        <v>0</v>
      </c>
      <c r="AZ294" s="0" t="n">
        <f aca="false">IF(EH294&lt;&gt;"",1,0)</f>
        <v>0</v>
      </c>
      <c r="BB294" s="0" t="s">
        <v>153</v>
      </c>
      <c r="DN294" s="0" t="s">
        <v>154</v>
      </c>
    </row>
    <row r="295" customFormat="false" ht="13.8" hidden="true" customHeight="false" outlineLevel="0" collapsed="false">
      <c r="A295" s="0" t="s">
        <v>1705</v>
      </c>
      <c r="B295" s="0" t="n">
        <v>78</v>
      </c>
      <c r="C295" s="0" t="n">
        <v>342344</v>
      </c>
      <c r="D295" s="0" t="s">
        <v>1706</v>
      </c>
      <c r="E295" s="0" t="s">
        <v>1707</v>
      </c>
      <c r="F295" s="0" t="str">
        <f aca="false">CONCATENATE(D295," ",LEFT(H295,4),"T=",AU295,"D=",AV295,"R=",AW295,"M=",AX295,"L=",AY295,"B=",AZ295)</f>
        <v>RUITER T=1D=0R=0M=0L=0B=0</v>
      </c>
      <c r="G295" s="0" t="s">
        <v>155</v>
      </c>
      <c r="I295" s="0" t="s">
        <v>1708</v>
      </c>
      <c r="J295" s="0" t="s">
        <v>1709</v>
      </c>
      <c r="K295" s="0" t="s">
        <v>175</v>
      </c>
      <c r="L295" s="0"/>
      <c r="M295" s="0" t="s">
        <v>1680</v>
      </c>
      <c r="N295" s="0" t="str">
        <f aca="false">RIGHT(M295,LEN(M295)-FIND(" ",M295))</f>
        <v>BELMONT AVE NW</v>
      </c>
      <c r="O295" s="0" t="s">
        <v>1710</v>
      </c>
      <c r="P295" s="0" t="s">
        <v>146</v>
      </c>
      <c r="Q295" s="0" t="s">
        <v>147</v>
      </c>
      <c r="R295" s="0" t="n">
        <v>44483</v>
      </c>
      <c r="AD295" s="0" t="s">
        <v>148</v>
      </c>
      <c r="AE295" s="0" t="s">
        <v>149</v>
      </c>
      <c r="AF295" s="0" t="s">
        <v>150</v>
      </c>
      <c r="AH295" s="0" t="n">
        <v>14</v>
      </c>
      <c r="AI295" s="0" t="n">
        <v>11</v>
      </c>
      <c r="AN295" s="0" t="s">
        <v>146</v>
      </c>
      <c r="AO295" s="0" t="s">
        <v>151</v>
      </c>
      <c r="AP295" s="0" t="s">
        <v>152</v>
      </c>
      <c r="AQ295" s="0" t="n">
        <v>9</v>
      </c>
      <c r="AR295" s="0" t="n">
        <v>64</v>
      </c>
      <c r="AS295" s="0" t="n">
        <v>32</v>
      </c>
      <c r="AU295" s="0" t="n">
        <f aca="false">COUNTA($BA$2027:$EH$2027)</f>
        <v>1</v>
      </c>
      <c r="AV295" s="0" t="n">
        <f aca="false">COUNTIF($BA$2027:$EH$2027,"D")</f>
        <v>0</v>
      </c>
      <c r="AW295" s="0" t="n">
        <f aca="false">COUNTIF($BA$2027:$EH$2027,"R")</f>
        <v>0</v>
      </c>
      <c r="AX295" s="0" t="n">
        <f aca="false"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>0</v>
      </c>
      <c r="AY295" s="0" t="n">
        <f aca="false">COUNTIF(DU295:EH295, "&lt;&gt;")</f>
        <v>0</v>
      </c>
      <c r="AZ295" s="0" t="n">
        <f aca="false">IF(EH295&lt;&gt;"",1,0)</f>
        <v>0</v>
      </c>
      <c r="BB295" s="0" t="s">
        <v>153</v>
      </c>
      <c r="DC295" s="0" t="s">
        <v>154</v>
      </c>
    </row>
    <row r="296" customFormat="false" ht="13.8" hidden="true" customHeight="false" outlineLevel="0" collapsed="false">
      <c r="A296" s="0" t="s">
        <v>1711</v>
      </c>
      <c r="B296" s="0" t="n">
        <v>78</v>
      </c>
      <c r="C296" s="0" t="n">
        <v>477824</v>
      </c>
      <c r="D296" s="0" t="s">
        <v>862</v>
      </c>
      <c r="E296" s="0" t="s">
        <v>1712</v>
      </c>
      <c r="F296" s="0" t="str">
        <f aca="false">CONCATENATE(D296," ",LEFT(H296,4),"T=",AU296,"D=",AV296,"R=",AW296,"M=",AX296,"L=",AY296,"B=",AZ296)</f>
        <v>WOOD T=1D=0R=0M=0L=0B=0</v>
      </c>
      <c r="G296" s="0" t="s">
        <v>202</v>
      </c>
      <c r="I296" s="0" t="s">
        <v>1713</v>
      </c>
      <c r="J296" s="0" t="s">
        <v>1182</v>
      </c>
      <c r="K296" s="0" t="s">
        <v>175</v>
      </c>
      <c r="L296" s="0"/>
      <c r="M296" s="0" t="s">
        <v>1714</v>
      </c>
      <c r="N296" s="0" t="str">
        <f aca="false">RIGHT(M296,LEN(M296)-FIND(" ",M296))</f>
        <v>BELMONT AVE NW</v>
      </c>
      <c r="P296" s="0" t="s">
        <v>146</v>
      </c>
      <c r="Q296" s="0" t="s">
        <v>147</v>
      </c>
      <c r="R296" s="0" t="n">
        <v>44483</v>
      </c>
      <c r="AD296" s="0" t="s">
        <v>148</v>
      </c>
      <c r="AE296" s="0" t="s">
        <v>149</v>
      </c>
      <c r="AF296" s="0" t="s">
        <v>150</v>
      </c>
      <c r="AH296" s="0" t="n">
        <v>14</v>
      </c>
      <c r="AI296" s="0" t="n">
        <v>11</v>
      </c>
      <c r="AN296" s="0" t="s">
        <v>146</v>
      </c>
      <c r="AO296" s="0" t="s">
        <v>151</v>
      </c>
      <c r="AP296" s="0" t="s">
        <v>152</v>
      </c>
      <c r="AQ296" s="0" t="n">
        <v>9</v>
      </c>
      <c r="AR296" s="0" t="n">
        <v>64</v>
      </c>
      <c r="AS296" s="0" t="n">
        <v>32</v>
      </c>
      <c r="AU296" s="0" t="n">
        <f aca="false">COUNTA($BA$1398:$EH$1398)</f>
        <v>1</v>
      </c>
      <c r="AV296" s="0" t="n">
        <f aca="false">COUNTIF($BA$1398:$EH$1398,"D")</f>
        <v>0</v>
      </c>
      <c r="AW296" s="0" t="n">
        <f aca="false">COUNTIF($BA$1398:$EH$1398,"R")</f>
        <v>0</v>
      </c>
      <c r="AX296" s="0" t="n">
        <f aca="false"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>0</v>
      </c>
      <c r="AY296" s="0" t="n">
        <f aca="false">COUNTIF(DU296:EH296, "&lt;&gt;")</f>
        <v>0</v>
      </c>
      <c r="AZ296" s="0" t="n">
        <f aca="false">IF(EH296&lt;&gt;"",1,0)</f>
        <v>0</v>
      </c>
      <c r="BB296" s="0" t="s">
        <v>153</v>
      </c>
    </row>
    <row r="297" customFormat="false" ht="13.8" hidden="true" customHeight="false" outlineLevel="0" collapsed="false">
      <c r="A297" s="0" t="s">
        <v>1715</v>
      </c>
      <c r="B297" s="0" t="n">
        <v>78</v>
      </c>
      <c r="C297" s="0" t="n">
        <v>429425</v>
      </c>
      <c r="D297" s="0" t="s">
        <v>1716</v>
      </c>
      <c r="E297" s="0" t="s">
        <v>1717</v>
      </c>
      <c r="F297" s="0" t="str">
        <f aca="false">CONCATENATE(D297," ",LEFT(H297,4),"T=",AU297,"D=",AV297,"R=",AW297,"M=",AX297,"L=",AY297,"B=",AZ297)</f>
        <v>ENGEL T=5D=0R=1M=0L=1B=0</v>
      </c>
      <c r="G297" s="0" t="s">
        <v>159</v>
      </c>
      <c r="I297" s="0" t="s">
        <v>1718</v>
      </c>
      <c r="J297" s="0" t="s">
        <v>1719</v>
      </c>
      <c r="K297" s="0" t="s">
        <v>175</v>
      </c>
      <c r="L297" s="0"/>
      <c r="M297" s="0" t="s">
        <v>1714</v>
      </c>
      <c r="N297" s="0" t="str">
        <f aca="false">RIGHT(M297,LEN(M297)-FIND(" ",M297))</f>
        <v>BELMONT AVE NW</v>
      </c>
      <c r="P297" s="0" t="s">
        <v>146</v>
      </c>
      <c r="Q297" s="0" t="s">
        <v>147</v>
      </c>
      <c r="R297" s="0" t="n">
        <v>44483</v>
      </c>
      <c r="AD297" s="0" t="s">
        <v>148</v>
      </c>
      <c r="AE297" s="0" t="s">
        <v>149</v>
      </c>
      <c r="AF297" s="0" t="s">
        <v>150</v>
      </c>
      <c r="AH297" s="0" t="n">
        <v>14</v>
      </c>
      <c r="AI297" s="0" t="n">
        <v>11</v>
      </c>
      <c r="AN297" s="0" t="s">
        <v>146</v>
      </c>
      <c r="AO297" s="0" t="s">
        <v>151</v>
      </c>
      <c r="AP297" s="0" t="s">
        <v>152</v>
      </c>
      <c r="AQ297" s="0" t="n">
        <v>9</v>
      </c>
      <c r="AR297" s="0" t="n">
        <v>64</v>
      </c>
      <c r="AS297" s="0" t="n">
        <v>32</v>
      </c>
      <c r="AU297" s="0" t="n">
        <f aca="false">COUNTA($BA$1739:$EH$1739)</f>
        <v>5</v>
      </c>
      <c r="AV297" s="0" t="n">
        <f aca="false">COUNTIF($BA$1739:$EH$1739,"D")</f>
        <v>0</v>
      </c>
      <c r="AW297" s="0" t="n">
        <f aca="false">COUNTIF($BA$1739:$EH$1739,"R")</f>
        <v>1</v>
      </c>
      <c r="AX297" s="0" t="n">
        <f aca="false"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>0</v>
      </c>
      <c r="AY297" s="0" t="n">
        <f aca="false">COUNTIF(DU297:EH297, "&lt;&gt;")</f>
        <v>1</v>
      </c>
      <c r="AZ297" s="0" t="n">
        <f aca="false">IF(EH297&lt;&gt;"",1,0)</f>
        <v>0</v>
      </c>
      <c r="BB297" s="0" t="s">
        <v>153</v>
      </c>
      <c r="DI297" s="0" t="s">
        <v>154</v>
      </c>
      <c r="DN297" s="0" t="s">
        <v>154</v>
      </c>
      <c r="EF297" s="0" t="s">
        <v>154</v>
      </c>
    </row>
    <row r="298" customFormat="false" ht="13.8" hidden="true" customHeight="false" outlineLevel="0" collapsed="false">
      <c r="A298" s="0" t="s">
        <v>1720</v>
      </c>
      <c r="B298" s="0" t="n">
        <v>78</v>
      </c>
      <c r="C298" s="0" t="n">
        <v>366755</v>
      </c>
      <c r="D298" s="0" t="s">
        <v>1721</v>
      </c>
      <c r="E298" s="0" t="s">
        <v>1722</v>
      </c>
      <c r="F298" s="0" t="str">
        <f aca="false">CONCATENATE(D298," ",LEFT(H298,4),"T=",AU298,"D=",AV298,"R=",AW298,"M=",AX298,"L=",AY298,"B=",AZ298)</f>
        <v>MCCLOUD T=29D=8R=0M=0L=0B=0</v>
      </c>
      <c r="G298" s="0" t="s">
        <v>329</v>
      </c>
      <c r="I298" s="0" t="s">
        <v>1723</v>
      </c>
      <c r="J298" s="0" t="s">
        <v>1724</v>
      </c>
      <c r="K298" s="0" t="s">
        <v>144</v>
      </c>
      <c r="L298" s="0"/>
      <c r="M298" s="0" t="s">
        <v>1725</v>
      </c>
      <c r="N298" s="0" t="str">
        <f aca="false">RIGHT(M298,LEN(M298)-FIND(" ",M298))</f>
        <v>BELMONT AVE NW</v>
      </c>
      <c r="O298" s="0" t="s">
        <v>192</v>
      </c>
      <c r="P298" s="0" t="s">
        <v>146</v>
      </c>
      <c r="Q298" s="0" t="s">
        <v>147</v>
      </c>
      <c r="R298" s="0" t="n">
        <v>44483</v>
      </c>
      <c r="AD298" s="0" t="s">
        <v>148</v>
      </c>
      <c r="AE298" s="0" t="s">
        <v>149</v>
      </c>
      <c r="AF298" s="0" t="s">
        <v>150</v>
      </c>
      <c r="AH298" s="0" t="n">
        <v>14</v>
      </c>
      <c r="AI298" s="0" t="n">
        <v>11</v>
      </c>
      <c r="AN298" s="0" t="s">
        <v>146</v>
      </c>
      <c r="AO298" s="0" t="s">
        <v>151</v>
      </c>
      <c r="AP298" s="0" t="s">
        <v>152</v>
      </c>
      <c r="AQ298" s="0" t="n">
        <v>9</v>
      </c>
      <c r="AR298" s="0" t="n">
        <v>64</v>
      </c>
      <c r="AS298" s="0" t="n">
        <v>32</v>
      </c>
      <c r="AU298" s="0" t="n">
        <f aca="false">COUNTA($BA$1828:$EH$1828)</f>
        <v>29</v>
      </c>
      <c r="AV298" s="0" t="n">
        <f aca="false">COUNTIF($BA$1828:$EH$1828,"D")</f>
        <v>8</v>
      </c>
      <c r="AW298" s="0" t="n">
        <f aca="false">COUNTIF($BA$1828:$EH$1828,"R")</f>
        <v>0</v>
      </c>
      <c r="AX298" s="0" t="n">
        <f aca="false"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>0</v>
      </c>
      <c r="AY298" s="0" t="n">
        <f aca="false">COUNTIF(DU298:EH298, "&lt;&gt;")</f>
        <v>0</v>
      </c>
      <c r="AZ298" s="0" t="n">
        <f aca="false">IF(EH298&lt;&gt;"",1,0)</f>
        <v>0</v>
      </c>
      <c r="BB298" s="0" t="s">
        <v>153</v>
      </c>
      <c r="CA298" s="0" t="s">
        <v>154</v>
      </c>
      <c r="CP298" s="0" t="s">
        <v>154</v>
      </c>
    </row>
    <row r="299" customFormat="false" ht="13.8" hidden="false" customHeight="false" outlineLevel="0" collapsed="false">
      <c r="A299" s="0" t="s">
        <v>1726</v>
      </c>
      <c r="B299" s="0" t="n">
        <v>78</v>
      </c>
      <c r="C299" s="0" t="n">
        <v>477460</v>
      </c>
      <c r="D299" s="0" t="s">
        <v>1727</v>
      </c>
      <c r="E299" s="0" t="s">
        <v>1383</v>
      </c>
      <c r="F299" s="0" t="str">
        <f aca="false">CONCATENATE(D299," ",LEFT(H299,4),"T=",AU299,"D=",AV299,"R=",AW299,"M=",AX299,"L=",AY299,"B=",AZ299)</f>
        <v>FURTAW T=13D=2R=0M=0L=2B=0</v>
      </c>
      <c r="I299" s="0" t="s">
        <v>1728</v>
      </c>
      <c r="J299" s="0" t="s">
        <v>1729</v>
      </c>
      <c r="K299" s="0" t="s">
        <v>175</v>
      </c>
      <c r="M299" s="0" t="s">
        <v>1730</v>
      </c>
      <c r="N299" s="0" t="str">
        <f aca="false">RIGHT(M299,LEN(M299)-FIND(" ",M299))</f>
        <v>BELMONT AVE NW</v>
      </c>
      <c r="P299" s="0" t="s">
        <v>146</v>
      </c>
      <c r="Q299" s="0" t="s">
        <v>147</v>
      </c>
      <c r="R299" s="0" t="n">
        <v>44483</v>
      </c>
      <c r="AD299" s="0" t="s">
        <v>148</v>
      </c>
      <c r="AE299" s="0" t="s">
        <v>149</v>
      </c>
      <c r="AF299" s="0" t="s">
        <v>150</v>
      </c>
      <c r="AH299" s="0" t="n">
        <v>14</v>
      </c>
      <c r="AI299" s="0" t="n">
        <v>11</v>
      </c>
      <c r="AN299" s="0" t="s">
        <v>146</v>
      </c>
      <c r="AO299" s="0" t="s">
        <v>151</v>
      </c>
      <c r="AP299" s="0" t="s">
        <v>152</v>
      </c>
      <c r="AQ299" s="0" t="n">
        <v>9</v>
      </c>
      <c r="AR299" s="0" t="n">
        <v>64</v>
      </c>
      <c r="AS299" s="0" t="n">
        <v>32</v>
      </c>
      <c r="AU299" s="0" t="n">
        <f aca="false">COUNTA($BA$1141:$EH$1141)</f>
        <v>13</v>
      </c>
      <c r="AV299" s="0" t="n">
        <f aca="false">COUNTIF($BA$1141:$EH$1141,"D")</f>
        <v>2</v>
      </c>
      <c r="AW299" s="0" t="n">
        <f aca="false">COUNTIF($BA$1141:$EH$1141,"R")</f>
        <v>0</v>
      </c>
      <c r="AX299" s="0" t="n">
        <f aca="false"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>0</v>
      </c>
      <c r="AY299" s="0" t="n">
        <f aca="false">COUNTIF(DU299:EH299, "&lt;&gt;")</f>
        <v>2</v>
      </c>
      <c r="AZ299" s="0" t="n">
        <f aca="false">IF(EH299&lt;&gt;"",1,0)</f>
        <v>0</v>
      </c>
      <c r="BB299" s="0" t="s">
        <v>153</v>
      </c>
      <c r="BF299" s="0" t="s">
        <v>154</v>
      </c>
      <c r="BL299" s="0" t="s">
        <v>154</v>
      </c>
      <c r="CA299" s="0" t="s">
        <v>154</v>
      </c>
      <c r="CG299" s="0" t="s">
        <v>154</v>
      </c>
      <c r="CP299" s="0" t="s">
        <v>154</v>
      </c>
      <c r="CQ299" s="0" t="s">
        <v>154</v>
      </c>
      <c r="CT299" s="0" t="s">
        <v>154</v>
      </c>
      <c r="CV299" s="0" t="s">
        <v>154</v>
      </c>
      <c r="DC299" s="0" t="s">
        <v>154</v>
      </c>
      <c r="DF299" s="0" t="s">
        <v>154</v>
      </c>
      <c r="DG299" s="0" t="s">
        <v>176</v>
      </c>
      <c r="DL299" s="0" t="s">
        <v>154</v>
      </c>
      <c r="DN299" s="0" t="s">
        <v>154</v>
      </c>
      <c r="DS299" s="0" t="s">
        <v>176</v>
      </c>
      <c r="DU299" s="0" t="s">
        <v>154</v>
      </c>
      <c r="EF299" s="0" t="s">
        <v>154</v>
      </c>
    </row>
    <row r="300" customFormat="false" ht="13.8" hidden="false" customHeight="false" outlineLevel="0" collapsed="false">
      <c r="A300" s="0" t="s">
        <v>1731</v>
      </c>
      <c r="B300" s="0" t="n">
        <v>78</v>
      </c>
      <c r="C300" s="0" t="n">
        <v>491697</v>
      </c>
      <c r="D300" s="0" t="s">
        <v>1727</v>
      </c>
      <c r="E300" s="0" t="s">
        <v>590</v>
      </c>
      <c r="F300" s="0" t="str">
        <f aca="false">CONCATENATE(D300," ",LEFT(H300,4),"T=",AU300,"D=",AV300,"R=",AW300,"M=",AX300,"L=",AY300,"B=",AZ300)</f>
        <v>FURTAW T=1D=0R=0M=0L=2B=0</v>
      </c>
      <c r="G300" s="0" t="s">
        <v>1210</v>
      </c>
      <c r="I300" s="0" t="s">
        <v>1732</v>
      </c>
      <c r="J300" s="0" t="s">
        <v>712</v>
      </c>
      <c r="K300" s="0" t="s">
        <v>175</v>
      </c>
      <c r="M300" s="0" t="s">
        <v>1730</v>
      </c>
      <c r="N300" s="0" t="str">
        <f aca="false">RIGHT(M300,LEN(M300)-FIND(" ",M300))</f>
        <v>BELMONT AVE NW</v>
      </c>
      <c r="P300" s="0" t="s">
        <v>146</v>
      </c>
      <c r="Q300" s="0" t="s">
        <v>147</v>
      </c>
      <c r="R300" s="0" t="n">
        <v>44483</v>
      </c>
      <c r="AD300" s="0" t="s">
        <v>148</v>
      </c>
      <c r="AE300" s="0" t="s">
        <v>149</v>
      </c>
      <c r="AF300" s="0" t="s">
        <v>150</v>
      </c>
      <c r="AH300" s="0" t="n">
        <v>14</v>
      </c>
      <c r="AI300" s="0" t="n">
        <v>11</v>
      </c>
      <c r="AN300" s="0" t="s">
        <v>146</v>
      </c>
      <c r="AO300" s="0" t="s">
        <v>151</v>
      </c>
      <c r="AP300" s="0" t="s">
        <v>152</v>
      </c>
      <c r="AQ300" s="0" t="n">
        <v>9</v>
      </c>
      <c r="AR300" s="0" t="n">
        <v>64</v>
      </c>
      <c r="AS300" s="0" t="n">
        <v>32</v>
      </c>
      <c r="AU300" s="0" t="n">
        <f aca="false">COUNTA($BA$1296:$EH$1296)</f>
        <v>1</v>
      </c>
      <c r="AV300" s="0" t="n">
        <f aca="false">COUNTIF($BA$1296:$EH$1296,"D")</f>
        <v>0</v>
      </c>
      <c r="AW300" s="0" t="n">
        <f aca="false">COUNTIF($BA$1296:$EH$1296,"R")</f>
        <v>0</v>
      </c>
      <c r="AX300" s="0" t="n">
        <f aca="false"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>0</v>
      </c>
      <c r="AY300" s="0" t="n">
        <f aca="false">COUNTIF(DU300:EH300, "&lt;&gt;")</f>
        <v>2</v>
      </c>
      <c r="AZ300" s="0" t="n">
        <f aca="false">IF(EH300&lt;&gt;"",1,0)</f>
        <v>0</v>
      </c>
      <c r="BB300" s="0" t="s">
        <v>153</v>
      </c>
      <c r="DN300" s="0" t="s">
        <v>154</v>
      </c>
      <c r="DU300" s="0" t="s">
        <v>154</v>
      </c>
      <c r="EF300" s="0" t="s">
        <v>154</v>
      </c>
    </row>
    <row r="301" customFormat="false" ht="13.8" hidden="false" customHeight="false" outlineLevel="0" collapsed="false">
      <c r="A301" s="0" t="s">
        <v>1733</v>
      </c>
      <c r="B301" s="0" t="n">
        <v>78</v>
      </c>
      <c r="C301" s="0" t="n">
        <v>477458</v>
      </c>
      <c r="D301" s="0" t="s">
        <v>1727</v>
      </c>
      <c r="E301" s="0" t="s">
        <v>1734</v>
      </c>
      <c r="F301" s="0" t="str">
        <f aca="false">CONCATENATE(D301," ",LEFT(H301,4),"T=",AU301,"D=",AV301,"R=",AW301,"M=",AX301,"L=",AY301,"B=",AZ301)</f>
        <v>FURTAW T=15D=0R=3M=0L=2B=0</v>
      </c>
      <c r="G301" s="0" t="s">
        <v>365</v>
      </c>
      <c r="I301" s="0" t="s">
        <v>1735</v>
      </c>
      <c r="J301" s="0" t="s">
        <v>1729</v>
      </c>
      <c r="K301" s="0" t="s">
        <v>175</v>
      </c>
      <c r="M301" s="0" t="s">
        <v>1730</v>
      </c>
      <c r="N301" s="0" t="str">
        <f aca="false">RIGHT(M301,LEN(M301)-FIND(" ",M301))</f>
        <v>BELMONT AVE NW</v>
      </c>
      <c r="P301" s="0" t="s">
        <v>146</v>
      </c>
      <c r="Q301" s="0" t="s">
        <v>147</v>
      </c>
      <c r="R301" s="0" t="n">
        <v>44483</v>
      </c>
      <c r="AD301" s="0" t="s">
        <v>148</v>
      </c>
      <c r="AE301" s="0" t="s">
        <v>149</v>
      </c>
      <c r="AF301" s="0" t="s">
        <v>150</v>
      </c>
      <c r="AH301" s="0" t="n">
        <v>14</v>
      </c>
      <c r="AI301" s="0" t="n">
        <v>11</v>
      </c>
      <c r="AN301" s="0" t="s">
        <v>146</v>
      </c>
      <c r="AO301" s="0" t="s">
        <v>151</v>
      </c>
      <c r="AP301" s="0" t="s">
        <v>152</v>
      </c>
      <c r="AQ301" s="0" t="n">
        <v>9</v>
      </c>
      <c r="AR301" s="0" t="n">
        <v>64</v>
      </c>
      <c r="AS301" s="0" t="n">
        <v>32</v>
      </c>
      <c r="AU301" s="0" t="n">
        <f aca="false">COUNTA($BA$1333:$EH$1333)</f>
        <v>15</v>
      </c>
      <c r="AV301" s="0" t="n">
        <f aca="false">COUNTIF($BA$1333:$EH$1333,"D")</f>
        <v>0</v>
      </c>
      <c r="AW301" s="0" t="n">
        <f aca="false">COUNTIF($BA$1333:$EH$1333,"R")</f>
        <v>3</v>
      </c>
      <c r="AX301" s="0" t="n">
        <f aca="false"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>0</v>
      </c>
      <c r="AY301" s="0" t="n">
        <f aca="false">COUNTIF(DU301:EH301, "&lt;&gt;")</f>
        <v>2</v>
      </c>
      <c r="AZ301" s="0" t="n">
        <f aca="false">IF(EH301&lt;&gt;"",1,0)</f>
        <v>0</v>
      </c>
      <c r="BB301" s="0" t="s">
        <v>153</v>
      </c>
      <c r="BL301" s="0" t="s">
        <v>154</v>
      </c>
      <c r="CA301" s="0" t="s">
        <v>154</v>
      </c>
      <c r="CG301" s="0" t="s">
        <v>154</v>
      </c>
      <c r="CN301" s="0" t="s">
        <v>154</v>
      </c>
      <c r="CO301" s="0" t="s">
        <v>155</v>
      </c>
      <c r="CP301" s="0" t="s">
        <v>154</v>
      </c>
      <c r="CT301" s="0" t="s">
        <v>154</v>
      </c>
      <c r="CV301" s="0" t="s">
        <v>154</v>
      </c>
      <c r="DC301" s="0" t="s">
        <v>154</v>
      </c>
      <c r="DF301" s="0" t="s">
        <v>154</v>
      </c>
      <c r="DG301" s="0" t="s">
        <v>154</v>
      </c>
      <c r="DN301" s="0" t="s">
        <v>154</v>
      </c>
      <c r="DU301" s="0" t="s">
        <v>154</v>
      </c>
      <c r="EF301" s="0" t="s">
        <v>154</v>
      </c>
    </row>
    <row r="302" customFormat="false" ht="13.8" hidden="false" customHeight="false" outlineLevel="0" collapsed="false">
      <c r="A302" s="0" t="s">
        <v>1736</v>
      </c>
      <c r="B302" s="0" t="n">
        <v>78</v>
      </c>
      <c r="C302" s="0" t="n">
        <v>405102</v>
      </c>
      <c r="D302" s="0" t="s">
        <v>1737</v>
      </c>
      <c r="E302" s="0" t="s">
        <v>1738</v>
      </c>
      <c r="F302" s="0" t="str">
        <f aca="false">CONCATENATE(D302," ",LEFT(H302,4),"T=",AU302,"D=",AV302,"R=",AW302,"M=",AX302,"L=",AY302,"B=",AZ302)</f>
        <v>BALESTRINO T=1D=0R=0M=0L=2B=0</v>
      </c>
      <c r="G302" s="0" t="s">
        <v>241</v>
      </c>
      <c r="I302" s="0" t="s">
        <v>1739</v>
      </c>
      <c r="J302" s="0" t="s">
        <v>1740</v>
      </c>
      <c r="K302" s="0" t="s">
        <v>175</v>
      </c>
      <c r="M302" s="0" t="s">
        <v>1741</v>
      </c>
      <c r="N302" s="0" t="str">
        <f aca="false">RIGHT(M302,LEN(M302)-FIND(" ",M302))</f>
        <v>BLAIR AVE NW</v>
      </c>
      <c r="P302" s="0" t="s">
        <v>146</v>
      </c>
      <c r="Q302" s="0" t="s">
        <v>147</v>
      </c>
      <c r="R302" s="0" t="n">
        <v>44483</v>
      </c>
      <c r="AD302" s="0" t="s">
        <v>148</v>
      </c>
      <c r="AE302" s="0" t="s">
        <v>149</v>
      </c>
      <c r="AF302" s="0" t="s">
        <v>150</v>
      </c>
      <c r="AH302" s="0" t="n">
        <v>14</v>
      </c>
      <c r="AI302" s="0" t="n">
        <v>11</v>
      </c>
      <c r="AN302" s="0" t="s">
        <v>146</v>
      </c>
      <c r="AO302" s="0" t="s">
        <v>250</v>
      </c>
      <c r="AP302" s="0" t="s">
        <v>251</v>
      </c>
      <c r="AQ302" s="0" t="n">
        <v>9</v>
      </c>
      <c r="AR302" s="0" t="n">
        <v>64</v>
      </c>
      <c r="AS302" s="0" t="n">
        <v>32</v>
      </c>
      <c r="AU302" s="0" t="n">
        <f aca="false">COUNTA($BA$2378:$EH$2378)</f>
        <v>1</v>
      </c>
      <c r="AV302" s="0" t="n">
        <f aca="false">COUNTIF($BA$2378:$EH$2378,"D")</f>
        <v>0</v>
      </c>
      <c r="AW302" s="0" t="n">
        <f aca="false">COUNTIF($BA$2378:$EH$2378,"R")</f>
        <v>0</v>
      </c>
      <c r="AX302" s="0" t="n">
        <f aca="false"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>0</v>
      </c>
      <c r="AY302" s="0" t="n">
        <f aca="false">COUNTIF(DU302:EH302, "&lt;&gt;")</f>
        <v>2</v>
      </c>
      <c r="AZ302" s="0" t="n">
        <f aca="false">IF(EH302&lt;&gt;"",1,0)</f>
        <v>0</v>
      </c>
      <c r="BB302" s="0" t="s">
        <v>153</v>
      </c>
      <c r="CY302" s="0" t="s">
        <v>154</v>
      </c>
      <c r="CZ302" s="0" t="s">
        <v>155</v>
      </c>
      <c r="DC302" s="0" t="s">
        <v>154</v>
      </c>
      <c r="DN302" s="0" t="s">
        <v>154</v>
      </c>
      <c r="DU302" s="0" t="s">
        <v>154</v>
      </c>
      <c r="EF302" s="0" t="s">
        <v>154</v>
      </c>
    </row>
    <row r="303" customFormat="false" ht="13.8" hidden="true" customHeight="false" outlineLevel="0" collapsed="false">
      <c r="A303" s="0" t="s">
        <v>1742</v>
      </c>
      <c r="B303" s="0" t="n">
        <v>78</v>
      </c>
      <c r="C303" s="0" t="n">
        <v>451446</v>
      </c>
      <c r="D303" s="0" t="s">
        <v>1743</v>
      </c>
      <c r="E303" s="0" t="s">
        <v>1744</v>
      </c>
      <c r="F303" s="0" t="str">
        <f aca="false">CONCATENATE(D303," ",LEFT(H303,4),"T=",AU303,"D=",AV303,"R=",AW303,"M=",AX303,"L=",AY303,"B=",AZ303)</f>
        <v>JURINA T=1D=0R=0M=0L=1B=0</v>
      </c>
      <c r="G303" s="0" t="s">
        <v>172</v>
      </c>
      <c r="I303" s="0" t="s">
        <v>1745</v>
      </c>
      <c r="J303" s="0" t="s">
        <v>1746</v>
      </c>
      <c r="K303" s="0" t="s">
        <v>175</v>
      </c>
      <c r="L303" s="0"/>
      <c r="M303" s="0" t="s">
        <v>1741</v>
      </c>
      <c r="N303" s="0" t="str">
        <f aca="false">RIGHT(M303,LEN(M303)-FIND(" ",M303))</f>
        <v>BLAIR AVE NW</v>
      </c>
      <c r="P303" s="0" t="s">
        <v>146</v>
      </c>
      <c r="Q303" s="0" t="s">
        <v>147</v>
      </c>
      <c r="R303" s="0" t="n">
        <v>44483</v>
      </c>
      <c r="AD303" s="0" t="s">
        <v>148</v>
      </c>
      <c r="AE303" s="0" t="s">
        <v>149</v>
      </c>
      <c r="AF303" s="0" t="s">
        <v>150</v>
      </c>
      <c r="AH303" s="0" t="n">
        <v>14</v>
      </c>
      <c r="AI303" s="0" t="n">
        <v>11</v>
      </c>
      <c r="AN303" s="0" t="s">
        <v>146</v>
      </c>
      <c r="AO303" s="0" t="s">
        <v>250</v>
      </c>
      <c r="AP303" s="0" t="s">
        <v>251</v>
      </c>
      <c r="AQ303" s="0" t="n">
        <v>9</v>
      </c>
      <c r="AR303" s="0" t="n">
        <v>64</v>
      </c>
      <c r="AS303" s="0" t="n">
        <v>32</v>
      </c>
      <c r="AU303" s="0" t="n">
        <f aca="false">COUNTA($BA$2719:$EH$2719)</f>
        <v>1</v>
      </c>
      <c r="AV303" s="0" t="n">
        <f aca="false">COUNTIF($BA$2719:$EH$2719,"D")</f>
        <v>0</v>
      </c>
      <c r="AW303" s="0" t="n">
        <f aca="false">COUNTIF($BA$2719:$EH$2719,"R")</f>
        <v>0</v>
      </c>
      <c r="AX303" s="0" t="n">
        <f aca="false"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>0</v>
      </c>
      <c r="AY303" s="0" t="n">
        <f aca="false">COUNTIF(DU303:EH303, "&lt;&gt;")</f>
        <v>1</v>
      </c>
      <c r="AZ303" s="0" t="n">
        <f aca="false">IF(EH303&lt;&gt;"",1,0)</f>
        <v>0</v>
      </c>
      <c r="BB303" s="0" t="s">
        <v>153</v>
      </c>
      <c r="CA303" s="0" t="s">
        <v>154</v>
      </c>
      <c r="CK303" s="0" t="s">
        <v>154</v>
      </c>
      <c r="CP303" s="0" t="s">
        <v>154</v>
      </c>
      <c r="DN303" s="0" t="s">
        <v>154</v>
      </c>
      <c r="EF303" s="0" t="s">
        <v>154</v>
      </c>
    </row>
    <row r="304" customFormat="false" ht="13.8" hidden="true" customHeight="false" outlineLevel="0" collapsed="false">
      <c r="A304" s="0" t="s">
        <v>1747</v>
      </c>
      <c r="B304" s="0" t="n">
        <v>78</v>
      </c>
      <c r="C304" s="0" t="n">
        <v>214255</v>
      </c>
      <c r="D304" s="0" t="s">
        <v>1748</v>
      </c>
      <c r="E304" s="0" t="s">
        <v>920</v>
      </c>
      <c r="F304" s="0" t="str">
        <f aca="false">CONCATENATE(D304," ",LEFT(H304,4),"T=",AU304,"D=",AV304,"R=",AW304,"M=",AX304,"L=",AY304,"B=",AZ304)</f>
        <v>YAUGER T=1D=0R=0M=0L=0B=0</v>
      </c>
      <c r="G304" s="0" t="s">
        <v>1022</v>
      </c>
      <c r="I304" s="0" t="s">
        <v>1749</v>
      </c>
      <c r="J304" s="0" t="s">
        <v>1750</v>
      </c>
      <c r="K304" s="0" t="s">
        <v>144</v>
      </c>
      <c r="L304" s="0"/>
      <c r="M304" s="0" t="s">
        <v>1751</v>
      </c>
      <c r="N304" s="0" t="str">
        <f aca="false">RIGHT(M304,LEN(M304)-FIND(" ",M304))</f>
        <v>BLAIR AVE NW</v>
      </c>
      <c r="P304" s="0" t="s">
        <v>146</v>
      </c>
      <c r="Q304" s="0" t="s">
        <v>147</v>
      </c>
      <c r="R304" s="0" t="n">
        <v>44483</v>
      </c>
      <c r="AD304" s="0" t="s">
        <v>148</v>
      </c>
      <c r="AE304" s="0" t="s">
        <v>149</v>
      </c>
      <c r="AF304" s="0" t="s">
        <v>150</v>
      </c>
      <c r="AH304" s="0" t="n">
        <v>14</v>
      </c>
      <c r="AI304" s="0" t="n">
        <v>11</v>
      </c>
      <c r="AN304" s="0" t="s">
        <v>146</v>
      </c>
      <c r="AO304" s="0" t="s">
        <v>250</v>
      </c>
      <c r="AP304" s="0" t="s">
        <v>251</v>
      </c>
      <c r="AQ304" s="0" t="n">
        <v>9</v>
      </c>
      <c r="AR304" s="0" t="n">
        <v>64</v>
      </c>
      <c r="AS304" s="0" t="n">
        <v>32</v>
      </c>
      <c r="AU304" s="0" t="n">
        <f aca="false">COUNTA($BA$2402:$EH$2402)</f>
        <v>1</v>
      </c>
      <c r="AV304" s="0" t="n">
        <f aca="false">COUNTIF($BA$2402:$EH$2402,"D")</f>
        <v>0</v>
      </c>
      <c r="AW304" s="0" t="n">
        <f aca="false">COUNTIF($BA$2402:$EH$2402,"R")</f>
        <v>0</v>
      </c>
      <c r="AX304" s="0" t="n">
        <f aca="false"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>0</v>
      </c>
      <c r="AY304" s="0" t="n">
        <f aca="false">COUNTIF(DU304:EH304, "&lt;&gt;")</f>
        <v>0</v>
      </c>
      <c r="AZ304" s="0" t="n">
        <f aca="false">IF(EH304&lt;&gt;"",1,0)</f>
        <v>0</v>
      </c>
      <c r="BB304" s="0" t="s">
        <v>153</v>
      </c>
      <c r="BC304" s="0" t="s">
        <v>154</v>
      </c>
      <c r="BD304" s="0" t="s">
        <v>154</v>
      </c>
      <c r="BF304" s="0" t="s">
        <v>154</v>
      </c>
      <c r="BG304" s="0" t="s">
        <v>154</v>
      </c>
      <c r="BJ304" s="0" t="s">
        <v>154</v>
      </c>
      <c r="BK304" s="0" t="s">
        <v>154</v>
      </c>
      <c r="BL304" s="0" t="s">
        <v>154</v>
      </c>
      <c r="BP304" s="0" t="s">
        <v>154</v>
      </c>
      <c r="CA304" s="0" t="s">
        <v>154</v>
      </c>
      <c r="CN304" s="0" t="s">
        <v>154</v>
      </c>
      <c r="CP304" s="0" t="s">
        <v>154</v>
      </c>
      <c r="CY304" s="0" t="s">
        <v>154</v>
      </c>
      <c r="CZ304" s="0" t="s">
        <v>155</v>
      </c>
      <c r="DC304" s="0" t="s">
        <v>154</v>
      </c>
    </row>
    <row r="305" customFormat="false" ht="13.8" hidden="true" customHeight="false" outlineLevel="0" collapsed="false">
      <c r="A305" s="0" t="s">
        <v>1752</v>
      </c>
      <c r="B305" s="0" t="n">
        <v>78</v>
      </c>
      <c r="C305" s="0" t="n">
        <v>488473</v>
      </c>
      <c r="D305" s="0" t="s">
        <v>1753</v>
      </c>
      <c r="E305" s="0" t="s">
        <v>423</v>
      </c>
      <c r="F305" s="0" t="str">
        <f aca="false">CONCATENATE(D305," ",LEFT(H305,4),"T=",AU305,"D=",AV305,"R=",AW305,"M=",AX305,"L=",AY305,"B=",AZ305)</f>
        <v>PUTNAM T=1D=0R=0M=0L=1B=0</v>
      </c>
      <c r="G305" s="0" t="s">
        <v>297</v>
      </c>
      <c r="I305" s="0" t="s">
        <v>1754</v>
      </c>
      <c r="J305" s="0" t="s">
        <v>1755</v>
      </c>
      <c r="K305" s="0" t="s">
        <v>175</v>
      </c>
      <c r="L305" s="0"/>
      <c r="M305" s="0" t="s">
        <v>1756</v>
      </c>
      <c r="N305" s="0" t="str">
        <f aca="false">RIGHT(M305,LEN(M305)-FIND(" ",M305))</f>
        <v>BLAIR AVE NW</v>
      </c>
      <c r="P305" s="0" t="s">
        <v>146</v>
      </c>
      <c r="Q305" s="0" t="s">
        <v>147</v>
      </c>
      <c r="R305" s="0" t="n">
        <v>44483</v>
      </c>
      <c r="AD305" s="0" t="s">
        <v>148</v>
      </c>
      <c r="AE305" s="0" t="s">
        <v>149</v>
      </c>
      <c r="AF305" s="0" t="s">
        <v>150</v>
      </c>
      <c r="AH305" s="0" t="n">
        <v>14</v>
      </c>
      <c r="AI305" s="0" t="n">
        <v>11</v>
      </c>
      <c r="AN305" s="0" t="s">
        <v>146</v>
      </c>
      <c r="AO305" s="0" t="s">
        <v>250</v>
      </c>
      <c r="AP305" s="0" t="s">
        <v>251</v>
      </c>
      <c r="AQ305" s="0" t="n">
        <v>9</v>
      </c>
      <c r="AR305" s="0" t="n">
        <v>64</v>
      </c>
      <c r="AS305" s="0" t="n">
        <v>32</v>
      </c>
      <c r="AU305" s="0" t="n">
        <f aca="false">COUNTA($BA$2405:$EH$2405)</f>
        <v>1</v>
      </c>
      <c r="AV305" s="0" t="n">
        <f aca="false">COUNTIF($BA$2405:$EH$2405,"D")</f>
        <v>0</v>
      </c>
      <c r="AW305" s="0" t="n">
        <f aca="false">COUNTIF($BA$2405:$EH$2405,"R")</f>
        <v>0</v>
      </c>
      <c r="AX305" s="0" t="n">
        <f aca="false"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>0</v>
      </c>
      <c r="AY305" s="0" t="n">
        <f aca="false">COUNTIF(DU305:EH305, "&lt;&gt;")</f>
        <v>1</v>
      </c>
      <c r="AZ305" s="0" t="n">
        <f aca="false">IF(EH305&lt;&gt;"",1,0)</f>
        <v>0</v>
      </c>
      <c r="BB305" s="0" t="s">
        <v>153</v>
      </c>
      <c r="EF305" s="0" t="s">
        <v>154</v>
      </c>
    </row>
    <row r="306" customFormat="false" ht="13.8" hidden="true" customHeight="false" outlineLevel="0" collapsed="false">
      <c r="A306" s="0" t="s">
        <v>1757</v>
      </c>
      <c r="B306" s="0" t="n">
        <v>78</v>
      </c>
      <c r="C306" s="0" t="n">
        <v>410493</v>
      </c>
      <c r="D306" s="0" t="s">
        <v>1753</v>
      </c>
      <c r="E306" s="0" t="s">
        <v>1232</v>
      </c>
      <c r="F306" s="0" t="str">
        <f aca="false">CONCATENATE(D306," ",LEFT(H306,4),"T=",AU306,"D=",AV306,"R=",AW306,"M=",AX306,"L=",AY306,"B=",AZ306)</f>
        <v>PUTNAM T=32D=4R=1M=0L=1B=0</v>
      </c>
      <c r="G306" s="0" t="s">
        <v>1446</v>
      </c>
      <c r="I306" s="0" t="s">
        <v>1758</v>
      </c>
      <c r="J306" s="0" t="s">
        <v>1759</v>
      </c>
      <c r="K306" s="0" t="s">
        <v>175</v>
      </c>
      <c r="L306" s="0"/>
      <c r="M306" s="0" t="s">
        <v>1756</v>
      </c>
      <c r="N306" s="0" t="str">
        <f aca="false">RIGHT(M306,LEN(M306)-FIND(" ",M306))</f>
        <v>BLAIR AVE NW</v>
      </c>
      <c r="P306" s="0" t="s">
        <v>146</v>
      </c>
      <c r="Q306" s="0" t="s">
        <v>147</v>
      </c>
      <c r="R306" s="0" t="n">
        <v>44483</v>
      </c>
      <c r="AD306" s="0" t="s">
        <v>148</v>
      </c>
      <c r="AE306" s="0" t="s">
        <v>149</v>
      </c>
      <c r="AF306" s="0" t="s">
        <v>150</v>
      </c>
      <c r="AH306" s="0" t="n">
        <v>14</v>
      </c>
      <c r="AI306" s="0" t="n">
        <v>11</v>
      </c>
      <c r="AN306" s="0" t="s">
        <v>146</v>
      </c>
      <c r="AO306" s="0" t="s">
        <v>250</v>
      </c>
      <c r="AP306" s="0" t="s">
        <v>251</v>
      </c>
      <c r="AQ306" s="0" t="n">
        <v>9</v>
      </c>
      <c r="AR306" s="0" t="n">
        <v>64</v>
      </c>
      <c r="AS306" s="0" t="n">
        <v>32</v>
      </c>
      <c r="AU306" s="0" t="n">
        <f aca="false">COUNTA($BA$2468:$EH$2468)</f>
        <v>32</v>
      </c>
      <c r="AV306" s="0" t="n">
        <f aca="false">COUNTIF($BA$2468:$EH$2468,"D")</f>
        <v>4</v>
      </c>
      <c r="AW306" s="0" t="n">
        <f aca="false">COUNTIF($BA$2468:$EH$2468,"R")</f>
        <v>1</v>
      </c>
      <c r="AX306" s="0" t="n">
        <f aca="false"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>0</v>
      </c>
      <c r="AY306" s="0" t="n">
        <f aca="false">COUNTIF(DU306:EH306, "&lt;&gt;")</f>
        <v>1</v>
      </c>
      <c r="AZ306" s="0" t="n">
        <f aca="false">IF(EH306&lt;&gt;"",1,0)</f>
        <v>0</v>
      </c>
      <c r="BB306" s="0" t="s">
        <v>153</v>
      </c>
      <c r="BL306" s="0" t="s">
        <v>154</v>
      </c>
      <c r="DI306" s="0" t="s">
        <v>154</v>
      </c>
      <c r="DN306" s="0" t="s">
        <v>154</v>
      </c>
      <c r="EF306" s="0" t="s">
        <v>154</v>
      </c>
    </row>
    <row r="307" customFormat="false" ht="13.8" hidden="true" customHeight="false" outlineLevel="0" collapsed="false">
      <c r="A307" s="0" t="s">
        <v>1760</v>
      </c>
      <c r="B307" s="0" t="n">
        <v>78</v>
      </c>
      <c r="C307" s="0" t="n">
        <v>408171</v>
      </c>
      <c r="D307" s="0" t="s">
        <v>1761</v>
      </c>
      <c r="E307" s="0" t="s">
        <v>1762</v>
      </c>
      <c r="F307" s="0" t="str">
        <f aca="false">CONCATENATE(D307," ",LEFT(H307,4),"T=",AU307,"D=",AV307,"R=",AW307,"M=",AX307,"L=",AY307,"B=",AZ307)</f>
        <v>MOLDEN JRT=1D=0R=0M=0L=0B=0</v>
      </c>
      <c r="G307" s="0" t="s">
        <v>241</v>
      </c>
      <c r="H307" s="0" t="s">
        <v>431</v>
      </c>
      <c r="I307" s="0" t="s">
        <v>1763</v>
      </c>
      <c r="J307" s="0" t="s">
        <v>1764</v>
      </c>
      <c r="K307" s="0" t="s">
        <v>175</v>
      </c>
      <c r="L307" s="0"/>
      <c r="M307" s="0" t="s">
        <v>1765</v>
      </c>
      <c r="N307" s="0" t="str">
        <f aca="false">RIGHT(M307,LEN(M307)-FIND(" ",M307))</f>
        <v>BLAIR AVE NW</v>
      </c>
      <c r="P307" s="0" t="s">
        <v>146</v>
      </c>
      <c r="Q307" s="0" t="s">
        <v>147</v>
      </c>
      <c r="R307" s="0" t="n">
        <v>44483</v>
      </c>
      <c r="AD307" s="0" t="s">
        <v>148</v>
      </c>
      <c r="AE307" s="0" t="s">
        <v>149</v>
      </c>
      <c r="AF307" s="0" t="s">
        <v>150</v>
      </c>
      <c r="AH307" s="0" t="n">
        <v>14</v>
      </c>
      <c r="AI307" s="0" t="n">
        <v>11</v>
      </c>
      <c r="AN307" s="0" t="s">
        <v>146</v>
      </c>
      <c r="AO307" s="0" t="s">
        <v>250</v>
      </c>
      <c r="AP307" s="0" t="s">
        <v>251</v>
      </c>
      <c r="AQ307" s="0" t="n">
        <v>9</v>
      </c>
      <c r="AR307" s="0" t="n">
        <v>64</v>
      </c>
      <c r="AS307" s="0" t="n">
        <v>32</v>
      </c>
      <c r="AU307" s="0" t="n">
        <f aca="false">COUNTA($BA$2641:$EH$2641)</f>
        <v>1</v>
      </c>
      <c r="AV307" s="0" t="n">
        <f aca="false">COUNTIF($BA$2641:$EH$2641,"D")</f>
        <v>0</v>
      </c>
      <c r="AW307" s="0" t="n">
        <f aca="false">COUNTIF($BA$2641:$EH$2641,"R")</f>
        <v>0</v>
      </c>
      <c r="AX307" s="0" t="n">
        <f aca="false"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>0</v>
      </c>
      <c r="AY307" s="0" t="n">
        <f aca="false">COUNTIF(DU307:EH307, "&lt;&gt;")</f>
        <v>0</v>
      </c>
      <c r="AZ307" s="0" t="n">
        <f aca="false">IF(EH307&lt;&gt;"",1,0)</f>
        <v>0</v>
      </c>
      <c r="BB307" s="0" t="s">
        <v>153</v>
      </c>
    </row>
    <row r="308" customFormat="false" ht="13.8" hidden="true" customHeight="false" outlineLevel="0" collapsed="false">
      <c r="A308" s="0" t="s">
        <v>1766</v>
      </c>
      <c r="B308" s="0" t="n">
        <v>78</v>
      </c>
      <c r="C308" s="0" t="n">
        <v>460830</v>
      </c>
      <c r="D308" s="0" t="s">
        <v>645</v>
      </c>
      <c r="E308" s="0" t="s">
        <v>1767</v>
      </c>
      <c r="F308" s="0" t="str">
        <f aca="false">CONCATENATE(D308," ",LEFT(H308,4),"T=",AU308,"D=",AV308,"R=",AW308,"M=",AX308,"L=",AY308,"B=",AZ308)</f>
        <v>WILLIAMS T=5D=0R=0M=0L=1B=0</v>
      </c>
      <c r="G308" s="0" t="s">
        <v>1768</v>
      </c>
      <c r="I308" s="0" t="s">
        <v>1769</v>
      </c>
      <c r="J308" s="0" t="s">
        <v>1770</v>
      </c>
      <c r="K308" s="0" t="s">
        <v>175</v>
      </c>
      <c r="L308" s="0"/>
      <c r="M308" s="0" t="s">
        <v>1771</v>
      </c>
      <c r="N308" s="0" t="str">
        <f aca="false">RIGHT(M308,LEN(M308)-FIND(" ",M308))</f>
        <v>BLAIR AVE NW</v>
      </c>
      <c r="P308" s="0" t="s">
        <v>146</v>
      </c>
      <c r="Q308" s="0" t="s">
        <v>147</v>
      </c>
      <c r="R308" s="0" t="n">
        <v>44483</v>
      </c>
      <c r="AD308" s="0" t="s">
        <v>148</v>
      </c>
      <c r="AE308" s="0" t="s">
        <v>149</v>
      </c>
      <c r="AF308" s="0" t="s">
        <v>150</v>
      </c>
      <c r="AH308" s="0" t="n">
        <v>14</v>
      </c>
      <c r="AI308" s="0" t="n">
        <v>11</v>
      </c>
      <c r="AN308" s="0" t="s">
        <v>146</v>
      </c>
      <c r="AO308" s="0" t="s">
        <v>250</v>
      </c>
      <c r="AP308" s="0" t="s">
        <v>251</v>
      </c>
      <c r="AQ308" s="0" t="n">
        <v>9</v>
      </c>
      <c r="AR308" s="0" t="n">
        <v>64</v>
      </c>
      <c r="AS308" s="0" t="n">
        <v>32</v>
      </c>
      <c r="AU308" s="0" t="n">
        <f aca="false">COUNTA($BA$2348:$EH$2348)</f>
        <v>5</v>
      </c>
      <c r="AV308" s="0" t="n">
        <f aca="false">COUNTIF($BA$2348:$EH$2348,"D")</f>
        <v>0</v>
      </c>
      <c r="AW308" s="0" t="n">
        <f aca="false">COUNTIF($BA$2348:$EH$2348,"R")</f>
        <v>0</v>
      </c>
      <c r="AX308" s="0" t="n">
        <f aca="false"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>0</v>
      </c>
      <c r="AY308" s="0" t="n">
        <f aca="false">COUNTIF(DU308:EH308, "&lt;&gt;")</f>
        <v>1</v>
      </c>
      <c r="AZ308" s="0" t="n">
        <f aca="false">IF(EH308&lt;&gt;"",1,0)</f>
        <v>0</v>
      </c>
      <c r="BB308" s="0" t="s">
        <v>153</v>
      </c>
      <c r="CA308" s="0" t="s">
        <v>154</v>
      </c>
      <c r="EF308" s="0" t="s">
        <v>154</v>
      </c>
    </row>
    <row r="309" customFormat="false" ht="13.8" hidden="true" customHeight="false" outlineLevel="0" collapsed="false">
      <c r="A309" s="0" t="s">
        <v>1772</v>
      </c>
      <c r="B309" s="0" t="n">
        <v>78</v>
      </c>
      <c r="C309" s="0" t="n">
        <v>486625</v>
      </c>
      <c r="D309" s="0" t="s">
        <v>1773</v>
      </c>
      <c r="E309" s="0" t="s">
        <v>1774</v>
      </c>
      <c r="F309" s="0" t="str">
        <f aca="false">CONCATENATE(D309," ",LEFT(H309,4),"T=",AU309,"D=",AV309,"R=",AW309,"M=",AX309,"L=",AY309,"B=",AZ309)</f>
        <v>GRANT T=1D=0R=0M=0L=1B=0</v>
      </c>
      <c r="G309" s="0" t="s">
        <v>1775</v>
      </c>
      <c r="I309" s="0" t="s">
        <v>1776</v>
      </c>
      <c r="J309" s="0" t="s">
        <v>1777</v>
      </c>
      <c r="K309" s="0" t="s">
        <v>175</v>
      </c>
      <c r="L309" s="0"/>
      <c r="M309" s="0" t="s">
        <v>1771</v>
      </c>
      <c r="N309" s="0" t="str">
        <f aca="false">RIGHT(M309,LEN(M309)-FIND(" ",M309))</f>
        <v>BLAIR AVE NW</v>
      </c>
      <c r="P309" s="0" t="s">
        <v>146</v>
      </c>
      <c r="Q309" s="0" t="s">
        <v>147</v>
      </c>
      <c r="R309" s="0" t="n">
        <v>44483</v>
      </c>
      <c r="AD309" s="0" t="s">
        <v>148</v>
      </c>
      <c r="AE309" s="0" t="s">
        <v>149</v>
      </c>
      <c r="AF309" s="0" t="s">
        <v>150</v>
      </c>
      <c r="AH309" s="0" t="n">
        <v>14</v>
      </c>
      <c r="AI309" s="0" t="n">
        <v>11</v>
      </c>
      <c r="AN309" s="0" t="s">
        <v>146</v>
      </c>
      <c r="AO309" s="0" t="s">
        <v>250</v>
      </c>
      <c r="AP309" s="0" t="s">
        <v>251</v>
      </c>
      <c r="AQ309" s="0" t="n">
        <v>9</v>
      </c>
      <c r="AR309" s="0" t="n">
        <v>64</v>
      </c>
      <c r="AS309" s="0" t="n">
        <v>32</v>
      </c>
      <c r="AU309" s="0" t="n">
        <f aca="false">COUNTA($BA$2763:$EH$2763)</f>
        <v>1</v>
      </c>
      <c r="AV309" s="0" t="n">
        <f aca="false">COUNTIF($BA$2763:$EH$2763,"D")</f>
        <v>0</v>
      </c>
      <c r="AW309" s="0" t="n">
        <f aca="false">COUNTIF($BA$2763:$EH$2763,"R")</f>
        <v>0</v>
      </c>
      <c r="AX309" s="0" t="n">
        <f aca="false"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>0</v>
      </c>
      <c r="AY309" s="0" t="n">
        <f aca="false">COUNTIF(DU309:EH309, "&lt;&gt;")</f>
        <v>1</v>
      </c>
      <c r="AZ309" s="0" t="n">
        <f aca="false">IF(EH309&lt;&gt;"",1,0)</f>
        <v>0</v>
      </c>
      <c r="BB309" s="0" t="s">
        <v>153</v>
      </c>
      <c r="EF309" s="0" t="s">
        <v>154</v>
      </c>
    </row>
    <row r="310" customFormat="false" ht="13.8" hidden="true" customHeight="false" outlineLevel="0" collapsed="false">
      <c r="A310" s="0" t="s">
        <v>1778</v>
      </c>
      <c r="B310" s="0" t="n">
        <v>78</v>
      </c>
      <c r="C310" s="0" t="n">
        <v>325708</v>
      </c>
      <c r="D310" s="0" t="s">
        <v>1779</v>
      </c>
      <c r="E310" s="0" t="s">
        <v>1780</v>
      </c>
      <c r="F310" s="0" t="str">
        <f aca="false">CONCATENATE(D310," ",LEFT(H310,4),"T=",AU310,"D=",AV310,"R=",AW310,"M=",AX310,"L=",AY310,"B=",AZ310)</f>
        <v>CLEMMONS T=38D=10R=0M=0L=0B=0</v>
      </c>
      <c r="G310" s="0" t="s">
        <v>1781</v>
      </c>
      <c r="I310" s="0" t="s">
        <v>1782</v>
      </c>
      <c r="J310" s="0" t="s">
        <v>1783</v>
      </c>
      <c r="K310" s="0" t="s">
        <v>175</v>
      </c>
      <c r="L310" s="0"/>
      <c r="M310" s="0" t="s">
        <v>1784</v>
      </c>
      <c r="N310" s="0" t="str">
        <f aca="false">RIGHT(M310,LEN(M310)-FIND(" ",M310))</f>
        <v>BLAIR AVE NW</v>
      </c>
      <c r="P310" s="0" t="s">
        <v>146</v>
      </c>
      <c r="Q310" s="0" t="s">
        <v>147</v>
      </c>
      <c r="R310" s="0" t="n">
        <v>44483</v>
      </c>
      <c r="AD310" s="0" t="s">
        <v>148</v>
      </c>
      <c r="AE310" s="0" t="s">
        <v>149</v>
      </c>
      <c r="AF310" s="0" t="s">
        <v>150</v>
      </c>
      <c r="AH310" s="0" t="n">
        <v>14</v>
      </c>
      <c r="AI310" s="0" t="n">
        <v>11</v>
      </c>
      <c r="AN310" s="0" t="s">
        <v>146</v>
      </c>
      <c r="AO310" s="0" t="s">
        <v>250</v>
      </c>
      <c r="AP310" s="0" t="s">
        <v>251</v>
      </c>
      <c r="AQ310" s="0" t="n">
        <v>9</v>
      </c>
      <c r="AR310" s="0" t="n">
        <v>64</v>
      </c>
      <c r="AS310" s="0" t="n">
        <v>32</v>
      </c>
      <c r="AU310" s="0" t="n">
        <f aca="false">COUNTA($BA$2239:$EH$2239)</f>
        <v>38</v>
      </c>
      <c r="AV310" s="0" t="n">
        <f aca="false">COUNTIF($BA$2239:$EH$2239,"D")</f>
        <v>10</v>
      </c>
      <c r="AW310" s="0" t="n">
        <f aca="false">COUNTIF($BA$2239:$EH$2239,"R")</f>
        <v>0</v>
      </c>
      <c r="AX310" s="0" t="n">
        <f aca="false"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>0</v>
      </c>
      <c r="AY310" s="0" t="n">
        <f aca="false">COUNTIF(DU310:EH310, "&lt;&gt;")</f>
        <v>0</v>
      </c>
      <c r="AZ310" s="0" t="n">
        <f aca="false">IF(EH310&lt;&gt;"",1,0)</f>
        <v>0</v>
      </c>
      <c r="BB310" s="0" t="s">
        <v>153</v>
      </c>
    </row>
    <row r="311" customFormat="false" ht="13.8" hidden="true" customHeight="false" outlineLevel="0" collapsed="false">
      <c r="A311" s="0" t="s">
        <v>1785</v>
      </c>
      <c r="B311" s="0" t="n">
        <v>78</v>
      </c>
      <c r="C311" s="0" t="n">
        <v>301391</v>
      </c>
      <c r="D311" s="0" t="s">
        <v>1786</v>
      </c>
      <c r="E311" s="0" t="s">
        <v>1787</v>
      </c>
      <c r="F311" s="0" t="str">
        <f aca="false">CONCATENATE(D311," ",LEFT(H311,4),"T=",AU311,"D=",AV311,"R=",AW311,"M=",AX311,"L=",AY311,"B=",AZ311)</f>
        <v>MCKINNON T=50D=17R=0M=0L=0B=0</v>
      </c>
      <c r="G311" s="0" t="s">
        <v>1788</v>
      </c>
      <c r="I311" s="0" t="s">
        <v>1789</v>
      </c>
      <c r="J311" s="0" t="s">
        <v>1790</v>
      </c>
      <c r="K311" s="0" t="s">
        <v>175</v>
      </c>
      <c r="L311" s="0"/>
      <c r="M311" s="0" t="s">
        <v>1784</v>
      </c>
      <c r="N311" s="0" t="str">
        <f aca="false">RIGHT(M311,LEN(M311)-FIND(" ",M311))</f>
        <v>BLAIR AVE NW</v>
      </c>
      <c r="P311" s="0" t="s">
        <v>146</v>
      </c>
      <c r="Q311" s="0" t="s">
        <v>147</v>
      </c>
      <c r="R311" s="0" t="n">
        <v>44483</v>
      </c>
      <c r="AD311" s="0" t="s">
        <v>148</v>
      </c>
      <c r="AE311" s="0" t="s">
        <v>149</v>
      </c>
      <c r="AF311" s="0" t="s">
        <v>150</v>
      </c>
      <c r="AH311" s="0" t="n">
        <v>14</v>
      </c>
      <c r="AI311" s="0" t="n">
        <v>11</v>
      </c>
      <c r="AN311" s="0" t="s">
        <v>146</v>
      </c>
      <c r="AO311" s="0" t="s">
        <v>250</v>
      </c>
      <c r="AP311" s="0" t="s">
        <v>251</v>
      </c>
      <c r="AQ311" s="0" t="n">
        <v>9</v>
      </c>
      <c r="AR311" s="0" t="n">
        <v>64</v>
      </c>
      <c r="AS311" s="0" t="n">
        <v>32</v>
      </c>
      <c r="AU311" s="0" t="n">
        <f aca="false">COUNTA($BA$2244:$EH$2244)</f>
        <v>50</v>
      </c>
      <c r="AV311" s="0" t="n">
        <f aca="false">COUNTIF($BA$2244:$EH$2244,"D")</f>
        <v>17</v>
      </c>
      <c r="AW311" s="0" t="n">
        <f aca="false">COUNTIF($BA$2244:$EH$2244,"R")</f>
        <v>0</v>
      </c>
      <c r="AX311" s="0" t="n">
        <f aca="false"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>0</v>
      </c>
      <c r="AY311" s="0" t="n">
        <f aca="false">COUNTIF(DU311:EH311, "&lt;&gt;")</f>
        <v>0</v>
      </c>
      <c r="AZ311" s="0" t="n">
        <f aca="false">IF(EH311&lt;&gt;"",1,0)</f>
        <v>0</v>
      </c>
      <c r="BB311" s="0" t="s">
        <v>153</v>
      </c>
      <c r="CA311" s="0" t="s">
        <v>154</v>
      </c>
      <c r="CP311" s="0" t="s">
        <v>154</v>
      </c>
    </row>
    <row r="312" customFormat="false" ht="13.8" hidden="true" customHeight="false" outlineLevel="0" collapsed="false">
      <c r="A312" s="0" t="s">
        <v>1791</v>
      </c>
      <c r="B312" s="0" t="n">
        <v>78</v>
      </c>
      <c r="C312" s="0" t="n">
        <v>327232</v>
      </c>
      <c r="D312" s="0" t="s">
        <v>1786</v>
      </c>
      <c r="E312" s="0" t="s">
        <v>1792</v>
      </c>
      <c r="F312" s="0" t="str">
        <f aca="false">CONCATENATE(D312," ",LEFT(H312,4),"T=",AU312,"D=",AV312,"R=",AW312,"M=",AX312,"L=",AY312,"B=",AZ312)</f>
        <v>MCKINNON T=22D=2R=0M=0L=0B=0</v>
      </c>
      <c r="G312" s="0" t="s">
        <v>155</v>
      </c>
      <c r="I312" s="0" t="s">
        <v>1793</v>
      </c>
      <c r="J312" s="0" t="s">
        <v>1790</v>
      </c>
      <c r="K312" s="0" t="s">
        <v>175</v>
      </c>
      <c r="L312" s="0"/>
      <c r="M312" s="0" t="s">
        <v>1784</v>
      </c>
      <c r="N312" s="0" t="str">
        <f aca="false">RIGHT(M312,LEN(M312)-FIND(" ",M312))</f>
        <v>BLAIR AVE NW</v>
      </c>
      <c r="P312" s="0" t="s">
        <v>146</v>
      </c>
      <c r="Q312" s="0" t="s">
        <v>147</v>
      </c>
      <c r="R312" s="0" t="n">
        <v>44483</v>
      </c>
      <c r="AD312" s="0" t="s">
        <v>148</v>
      </c>
      <c r="AE312" s="0" t="s">
        <v>149</v>
      </c>
      <c r="AF312" s="0" t="s">
        <v>150</v>
      </c>
      <c r="AH312" s="0" t="n">
        <v>14</v>
      </c>
      <c r="AI312" s="0" t="n">
        <v>11</v>
      </c>
      <c r="AN312" s="0" t="s">
        <v>146</v>
      </c>
      <c r="AO312" s="0" t="s">
        <v>250</v>
      </c>
      <c r="AP312" s="0" t="s">
        <v>251</v>
      </c>
      <c r="AQ312" s="0" t="n">
        <v>9</v>
      </c>
      <c r="AR312" s="0" t="n">
        <v>64</v>
      </c>
      <c r="AS312" s="0" t="n">
        <v>32</v>
      </c>
      <c r="AU312" s="0" t="n">
        <f aca="false">COUNTA($BA$2245:$EH$2245)</f>
        <v>22</v>
      </c>
      <c r="AV312" s="0" t="n">
        <f aca="false">COUNTIF($BA$2245:$EH$2245,"D")</f>
        <v>2</v>
      </c>
      <c r="AW312" s="0" t="n">
        <f aca="false">COUNTIF($BA$2245:$EH$2245,"R")</f>
        <v>0</v>
      </c>
      <c r="AX312" s="0" t="n">
        <f aca="false"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>0</v>
      </c>
      <c r="AY312" s="0" t="n">
        <f aca="false">COUNTIF(DU312:EH312, "&lt;&gt;")</f>
        <v>0</v>
      </c>
      <c r="AZ312" s="0" t="n">
        <f aca="false">IF(EH312&lt;&gt;"",1,0)</f>
        <v>0</v>
      </c>
      <c r="BB312" s="0" t="s">
        <v>153</v>
      </c>
      <c r="BL312" s="0" t="s">
        <v>154</v>
      </c>
      <c r="CA312" s="0" t="s">
        <v>154</v>
      </c>
      <c r="CK312" s="0" t="s">
        <v>154</v>
      </c>
      <c r="CP312" s="0" t="s">
        <v>154</v>
      </c>
    </row>
    <row r="313" customFormat="false" ht="13.8" hidden="true" customHeight="false" outlineLevel="0" collapsed="false">
      <c r="A313" s="0" t="s">
        <v>1794</v>
      </c>
      <c r="B313" s="0" t="n">
        <v>78</v>
      </c>
      <c r="C313" s="0" t="n">
        <v>340438</v>
      </c>
      <c r="D313" s="0" t="s">
        <v>1795</v>
      </c>
      <c r="E313" s="0" t="s">
        <v>1653</v>
      </c>
      <c r="F313" s="0" t="str">
        <f aca="false">CONCATENATE(D313," ",LEFT(H313,4),"T=",AU313,"D=",AV313,"R=",AW313,"M=",AX313,"L=",AY313,"B=",AZ313)</f>
        <v>DEYERMAND T=3D=0R=0M=0L=0B=0</v>
      </c>
      <c r="G313" s="0" t="s">
        <v>241</v>
      </c>
      <c r="I313" s="0" t="s">
        <v>1796</v>
      </c>
      <c r="J313" s="0" t="s">
        <v>1797</v>
      </c>
      <c r="K313" s="0" t="s">
        <v>144</v>
      </c>
      <c r="L313" s="0"/>
      <c r="M313" s="0" t="s">
        <v>1798</v>
      </c>
      <c r="N313" s="0" t="str">
        <f aca="false">RIGHT(M313,LEN(M313)-FIND(" ",M313))</f>
        <v>BLAIR AVE NW</v>
      </c>
      <c r="P313" s="0" t="s">
        <v>146</v>
      </c>
      <c r="Q313" s="0" t="s">
        <v>147</v>
      </c>
      <c r="R313" s="0" t="n">
        <v>44483</v>
      </c>
      <c r="AD313" s="0" t="s">
        <v>148</v>
      </c>
      <c r="AE313" s="0" t="s">
        <v>149</v>
      </c>
      <c r="AF313" s="0" t="s">
        <v>150</v>
      </c>
      <c r="AH313" s="0" t="n">
        <v>14</v>
      </c>
      <c r="AI313" s="0" t="n">
        <v>11</v>
      </c>
      <c r="AN313" s="0" t="s">
        <v>146</v>
      </c>
      <c r="AO313" s="0" t="s">
        <v>250</v>
      </c>
      <c r="AP313" s="0" t="s">
        <v>251</v>
      </c>
      <c r="AQ313" s="0" t="n">
        <v>9</v>
      </c>
      <c r="AR313" s="0" t="n">
        <v>64</v>
      </c>
      <c r="AS313" s="0" t="n">
        <v>32</v>
      </c>
      <c r="AU313" s="0" t="n">
        <f aca="false">COUNTA($BA$2115:$EH$2115)</f>
        <v>3</v>
      </c>
      <c r="AV313" s="0" t="n">
        <f aca="false">COUNTIF($BA$2115:$EH$2115,"D")</f>
        <v>0</v>
      </c>
      <c r="AW313" s="0" t="n">
        <f aca="false">COUNTIF($BA$2115:$EH$2115,"R")</f>
        <v>0</v>
      </c>
      <c r="AX313" s="0" t="n">
        <f aca="false"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>0</v>
      </c>
      <c r="AY313" s="0" t="n">
        <f aca="false">COUNTIF(DU313:EH313, "&lt;&gt;")</f>
        <v>0</v>
      </c>
      <c r="AZ313" s="0" t="n">
        <f aca="false">IF(EH313&lt;&gt;"",1,0)</f>
        <v>0</v>
      </c>
      <c r="BB313" s="0" t="s">
        <v>153</v>
      </c>
    </row>
    <row r="314" customFormat="false" ht="13.8" hidden="false" customHeight="false" outlineLevel="0" collapsed="false">
      <c r="A314" s="0" t="s">
        <v>1799</v>
      </c>
      <c r="B314" s="0" t="n">
        <v>78</v>
      </c>
      <c r="C314" s="0" t="n">
        <v>381831</v>
      </c>
      <c r="D314" s="0" t="s">
        <v>165</v>
      </c>
      <c r="E314" s="0" t="s">
        <v>842</v>
      </c>
      <c r="F314" s="0" t="str">
        <f aca="false">CONCATENATE(D314," ",LEFT(H314,4),"T=",AU314,"D=",AV314,"R=",AW314,"M=",AX314,"L=",AY314,"B=",AZ314)</f>
        <v>THOMAS T=4D=0R=0M=0L=2B=0</v>
      </c>
      <c r="G314" s="0" t="s">
        <v>514</v>
      </c>
      <c r="I314" s="0" t="s">
        <v>1800</v>
      </c>
      <c r="J314" s="0" t="s">
        <v>1801</v>
      </c>
      <c r="K314" s="0" t="s">
        <v>175</v>
      </c>
      <c r="M314" s="0" t="s">
        <v>1802</v>
      </c>
      <c r="N314" s="0" t="str">
        <f aca="false">RIGHT(M314,LEN(M314)-FIND(" ",M314))</f>
        <v>BONNIE BRAE AVE NE</v>
      </c>
      <c r="P314" s="0" t="s">
        <v>146</v>
      </c>
      <c r="Q314" s="0" t="s">
        <v>147</v>
      </c>
      <c r="R314" s="0" t="n">
        <v>44483</v>
      </c>
      <c r="AD314" s="0" t="s">
        <v>148</v>
      </c>
      <c r="AE314" s="0" t="s">
        <v>149</v>
      </c>
      <c r="AF314" s="0" t="s">
        <v>150</v>
      </c>
      <c r="AH314" s="0" t="n">
        <v>14</v>
      </c>
      <c r="AI314" s="0" t="n">
        <v>11</v>
      </c>
      <c r="AN314" s="0" t="s">
        <v>146</v>
      </c>
      <c r="AO314" s="0" t="s">
        <v>236</v>
      </c>
      <c r="AP314" s="0" t="s">
        <v>237</v>
      </c>
      <c r="AQ314" s="0" t="n">
        <v>9</v>
      </c>
      <c r="AR314" s="0" t="n">
        <v>64</v>
      </c>
      <c r="AS314" s="0" t="n">
        <v>32</v>
      </c>
      <c r="AU314" s="0" t="n">
        <f aca="false">COUNTA($BA$974:$EH$974)</f>
        <v>4</v>
      </c>
      <c r="AV314" s="0" t="n">
        <f aca="false">COUNTIF($BA$974:$EH$974,"D")</f>
        <v>0</v>
      </c>
      <c r="AW314" s="0" t="n">
        <f aca="false">COUNTIF($BA$974:$EH$974,"R")</f>
        <v>0</v>
      </c>
      <c r="AX314" s="0" t="n">
        <f aca="false"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>0</v>
      </c>
      <c r="AY314" s="0" t="n">
        <f aca="false">COUNTIF(DU314:EH314, "&lt;&gt;")</f>
        <v>2</v>
      </c>
      <c r="AZ314" s="0" t="n">
        <f aca="false">IF(EH314&lt;&gt;"",1,0)</f>
        <v>0</v>
      </c>
      <c r="BB314" s="0" t="s">
        <v>153</v>
      </c>
      <c r="BD314" s="0" t="s">
        <v>154</v>
      </c>
      <c r="CP314" s="0" t="s">
        <v>154</v>
      </c>
      <c r="DC314" s="0" t="s">
        <v>154</v>
      </c>
      <c r="DG314" s="0" t="s">
        <v>155</v>
      </c>
      <c r="DI314" s="0" t="s">
        <v>154</v>
      </c>
      <c r="DL314" s="0" t="s">
        <v>154</v>
      </c>
      <c r="DN314" s="0" t="s">
        <v>154</v>
      </c>
      <c r="DU314" s="0" t="s">
        <v>154</v>
      </c>
      <c r="EF314" s="0" t="s">
        <v>154</v>
      </c>
    </row>
    <row r="315" customFormat="false" ht="13.8" hidden="true" customHeight="false" outlineLevel="0" collapsed="false">
      <c r="A315" s="0" t="s">
        <v>1803</v>
      </c>
      <c r="B315" s="0" t="n">
        <v>78</v>
      </c>
      <c r="C315" s="0" t="n">
        <v>459306</v>
      </c>
      <c r="D315" s="0" t="s">
        <v>1804</v>
      </c>
      <c r="E315" s="0" t="s">
        <v>1805</v>
      </c>
      <c r="F315" s="0" t="str">
        <f aca="false">CONCATENATE(D315," ",LEFT(H315,4),"T=",AU315,"D=",AV315,"R=",AW315,"M=",AX315,"L=",AY315,"B=",AZ315)</f>
        <v>EDINGTON T=4D=0R=0M=0L=0B=0</v>
      </c>
      <c r="G315" s="0" t="s">
        <v>1806</v>
      </c>
      <c r="I315" s="0" t="s">
        <v>1807</v>
      </c>
      <c r="J315" s="0" t="s">
        <v>1808</v>
      </c>
      <c r="K315" s="0" t="s">
        <v>144</v>
      </c>
      <c r="L315" s="0"/>
      <c r="M315" s="0" t="s">
        <v>1809</v>
      </c>
      <c r="N315" s="0" t="str">
        <f aca="false">RIGHT(M315,LEN(M315)-FIND(" ",M315))</f>
        <v>BONNIE BRAE AVE NE</v>
      </c>
      <c r="P315" s="0" t="s">
        <v>146</v>
      </c>
      <c r="Q315" s="0" t="s">
        <v>147</v>
      </c>
      <c r="R315" s="0" t="n">
        <v>44483</v>
      </c>
      <c r="AD315" s="0" t="s">
        <v>148</v>
      </c>
      <c r="AE315" s="0" t="s">
        <v>149</v>
      </c>
      <c r="AF315" s="0" t="s">
        <v>150</v>
      </c>
      <c r="AH315" s="0" t="n">
        <v>14</v>
      </c>
      <c r="AI315" s="0" t="n">
        <v>11</v>
      </c>
      <c r="AN315" s="0" t="s">
        <v>146</v>
      </c>
      <c r="AO315" s="0" t="s">
        <v>236</v>
      </c>
      <c r="AP315" s="0" t="s">
        <v>237</v>
      </c>
      <c r="AQ315" s="0" t="n">
        <v>9</v>
      </c>
      <c r="AR315" s="0" t="n">
        <v>64</v>
      </c>
      <c r="AS315" s="0" t="n">
        <v>32</v>
      </c>
      <c r="AU315" s="0" t="n">
        <f aca="false">COUNTA($BA$971:$EH$971)</f>
        <v>4</v>
      </c>
      <c r="AV315" s="0" t="n">
        <f aca="false">COUNTIF($BA$971:$EH$971,"D")</f>
        <v>0</v>
      </c>
      <c r="AW315" s="0" t="n">
        <f aca="false">COUNTIF($BA$971:$EH$971,"R")</f>
        <v>0</v>
      </c>
      <c r="AX315" s="0" t="n">
        <f aca="false"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>0</v>
      </c>
      <c r="AY315" s="0" t="n">
        <f aca="false">COUNTIF(DU315:EH315, "&lt;&gt;")</f>
        <v>0</v>
      </c>
      <c r="AZ315" s="0" t="n">
        <f aca="false">IF(EH315&lt;&gt;"",1,0)</f>
        <v>0</v>
      </c>
      <c r="BB315" s="0" t="s">
        <v>153</v>
      </c>
    </row>
    <row r="316" customFormat="false" ht="13.8" hidden="false" customHeight="false" outlineLevel="0" collapsed="false">
      <c r="A316" s="0" t="s">
        <v>1810</v>
      </c>
      <c r="B316" s="0" t="n">
        <v>78</v>
      </c>
      <c r="C316" s="0" t="n">
        <v>267674</v>
      </c>
      <c r="D316" s="0" t="s">
        <v>1811</v>
      </c>
      <c r="E316" s="0" t="s">
        <v>1812</v>
      </c>
      <c r="F316" s="0" t="str">
        <f aca="false">CONCATENATE(D316," ",LEFT(H316,4),"T=",AU316,"D=",AV316,"R=",AW316,"M=",AX316,"L=",AY316,"B=",AZ316)</f>
        <v>KELSON T=1D=0R=0M=1L=5B=0</v>
      </c>
      <c r="G316" s="0" t="s">
        <v>297</v>
      </c>
      <c r="I316" s="0" t="s">
        <v>1813</v>
      </c>
      <c r="J316" s="0" t="s">
        <v>1814</v>
      </c>
      <c r="K316" s="0" t="s">
        <v>175</v>
      </c>
      <c r="L316" s="1" t="s">
        <v>155</v>
      </c>
      <c r="M316" s="0" t="s">
        <v>1809</v>
      </c>
      <c r="N316" s="0" t="str">
        <f aca="false">RIGHT(M316,LEN(M316)-FIND(" ",M316))</f>
        <v>BONNIE BRAE AVE NE</v>
      </c>
      <c r="P316" s="0" t="s">
        <v>146</v>
      </c>
      <c r="Q316" s="0" t="s">
        <v>147</v>
      </c>
      <c r="R316" s="0" t="n">
        <v>44483</v>
      </c>
      <c r="AD316" s="0" t="s">
        <v>148</v>
      </c>
      <c r="AE316" s="0" t="s">
        <v>149</v>
      </c>
      <c r="AF316" s="0" t="s">
        <v>150</v>
      </c>
      <c r="AH316" s="0" t="n">
        <v>14</v>
      </c>
      <c r="AI316" s="0" t="n">
        <v>11</v>
      </c>
      <c r="AN316" s="0" t="s">
        <v>146</v>
      </c>
      <c r="AO316" s="0" t="s">
        <v>236</v>
      </c>
      <c r="AP316" s="0" t="s">
        <v>237</v>
      </c>
      <c r="AQ316" s="0" t="n">
        <v>9</v>
      </c>
      <c r="AR316" s="0" t="n">
        <v>64</v>
      </c>
      <c r="AS316" s="0" t="n">
        <v>32</v>
      </c>
      <c r="AU316" s="0" t="n">
        <f aca="false">COUNTA($BA$1039:$EH$1039)</f>
        <v>1</v>
      </c>
      <c r="AV316" s="0" t="n">
        <f aca="false">COUNTIF($BA$1039:$EH$1039,"D")</f>
        <v>0</v>
      </c>
      <c r="AW316" s="0" t="n">
        <f aca="false">COUNTIF($BA$1039:$EH$1039,"R")</f>
        <v>0</v>
      </c>
      <c r="AX316" s="0" t="n">
        <f aca="false"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>1</v>
      </c>
      <c r="AY316" s="0" t="n">
        <f aca="false">COUNTIF(DU316:EH316, "&lt;&gt;")</f>
        <v>5</v>
      </c>
      <c r="AZ316" s="0" t="n">
        <f aca="false">IF(EH316&lt;&gt;"",1,0)</f>
        <v>0</v>
      </c>
      <c r="BB316" s="0" t="s">
        <v>153</v>
      </c>
      <c r="BD316" s="0" t="s">
        <v>154</v>
      </c>
      <c r="BJ316" s="0" t="s">
        <v>154</v>
      </c>
      <c r="BL316" s="0" t="s">
        <v>154</v>
      </c>
      <c r="BY316" s="0" t="s">
        <v>155</v>
      </c>
      <c r="CA316" s="0" t="s">
        <v>154</v>
      </c>
      <c r="CK316" s="0" t="s">
        <v>154</v>
      </c>
      <c r="CN316" s="0" t="s">
        <v>154</v>
      </c>
      <c r="CP316" s="0" t="s">
        <v>154</v>
      </c>
      <c r="CV316" s="0" t="s">
        <v>154</v>
      </c>
      <c r="CY316" s="0" t="s">
        <v>154</v>
      </c>
      <c r="CZ316" s="0" t="s">
        <v>155</v>
      </c>
      <c r="DC316" s="0" t="s">
        <v>154</v>
      </c>
      <c r="DG316" s="0" t="s">
        <v>155</v>
      </c>
      <c r="DI316" s="0" t="s">
        <v>154</v>
      </c>
      <c r="DL316" s="0" t="s">
        <v>154</v>
      </c>
      <c r="DM316" s="0" t="s">
        <v>155</v>
      </c>
      <c r="DN316" s="0" t="s">
        <v>154</v>
      </c>
      <c r="DU316" s="0" t="s">
        <v>154</v>
      </c>
      <c r="DW316" s="0" t="s">
        <v>155</v>
      </c>
      <c r="DX316" s="0" t="s">
        <v>154</v>
      </c>
      <c r="EA316" s="0" t="s">
        <v>154</v>
      </c>
      <c r="EF316" s="0" t="s">
        <v>154</v>
      </c>
    </row>
    <row r="317" customFormat="false" ht="13.8" hidden="true" customHeight="false" outlineLevel="0" collapsed="false">
      <c r="A317" s="0" t="s">
        <v>1815</v>
      </c>
      <c r="B317" s="0" t="n">
        <v>78</v>
      </c>
      <c r="C317" s="0" t="n">
        <v>400527</v>
      </c>
      <c r="D317" s="0" t="s">
        <v>1816</v>
      </c>
      <c r="E317" s="0" t="s">
        <v>1817</v>
      </c>
      <c r="F317" s="0" t="str">
        <f aca="false">CONCATENATE(D317," ",LEFT(H317,4),"T=",AU317,"D=",AV317,"R=",AW317,"M=",AX317,"L=",AY317,"B=",AZ317)</f>
        <v>BARKER T=9D=1R=0M=0L=1B=0</v>
      </c>
      <c r="G317" s="0" t="s">
        <v>1818</v>
      </c>
      <c r="I317" s="0" t="s">
        <v>1819</v>
      </c>
      <c r="J317" s="0" t="s">
        <v>752</v>
      </c>
      <c r="K317" s="0" t="s">
        <v>175</v>
      </c>
      <c r="L317" s="0"/>
      <c r="M317" s="0" t="s">
        <v>1820</v>
      </c>
      <c r="N317" s="0" t="str">
        <f aca="false">RIGHT(M317,LEN(M317)-FIND(" ",M317))</f>
        <v>BONNIE BRAE AVE NE</v>
      </c>
      <c r="P317" s="0" t="s">
        <v>146</v>
      </c>
      <c r="Q317" s="0" t="s">
        <v>147</v>
      </c>
      <c r="R317" s="0" t="n">
        <v>44483</v>
      </c>
      <c r="AD317" s="0" t="s">
        <v>148</v>
      </c>
      <c r="AE317" s="0" t="s">
        <v>149</v>
      </c>
      <c r="AF317" s="0" t="s">
        <v>150</v>
      </c>
      <c r="AH317" s="0" t="n">
        <v>14</v>
      </c>
      <c r="AI317" s="0" t="n">
        <v>11</v>
      </c>
      <c r="AN317" s="0" t="s">
        <v>146</v>
      </c>
      <c r="AO317" s="0" t="s">
        <v>236</v>
      </c>
      <c r="AP317" s="0" t="s">
        <v>237</v>
      </c>
      <c r="AQ317" s="0" t="n">
        <v>9</v>
      </c>
      <c r="AR317" s="0" t="n">
        <v>64</v>
      </c>
      <c r="AS317" s="0" t="n">
        <v>32</v>
      </c>
      <c r="AU317" s="0" t="n">
        <f aca="false">COUNTA($BA$263:$EH$263)</f>
        <v>9</v>
      </c>
      <c r="AV317" s="0" t="n">
        <f aca="false">COUNTIF($BA$263:$EH$263,"D")</f>
        <v>1</v>
      </c>
      <c r="AW317" s="0" t="n">
        <f aca="false">COUNTIF($BA$263:$EH$263,"R")</f>
        <v>0</v>
      </c>
      <c r="AX317" s="0" t="n">
        <f aca="false"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>0</v>
      </c>
      <c r="AY317" s="0" t="n">
        <f aca="false">COUNTIF(DU317:EH317, "&lt;&gt;")</f>
        <v>1</v>
      </c>
      <c r="AZ317" s="0" t="n">
        <f aca="false">IF(EH317&lt;&gt;"",1,0)</f>
        <v>0</v>
      </c>
      <c r="BB317" s="0" t="s">
        <v>153</v>
      </c>
      <c r="CV317" s="0" t="s">
        <v>154</v>
      </c>
      <c r="DC317" s="0" t="s">
        <v>154</v>
      </c>
      <c r="EF317" s="0" t="s">
        <v>154</v>
      </c>
    </row>
    <row r="318" customFormat="false" ht="13.8" hidden="true" customHeight="false" outlineLevel="0" collapsed="false">
      <c r="A318" s="0" t="s">
        <v>1821</v>
      </c>
      <c r="B318" s="0" t="n">
        <v>78</v>
      </c>
      <c r="C318" s="0" t="n">
        <v>477004</v>
      </c>
      <c r="D318" s="0" t="s">
        <v>1822</v>
      </c>
      <c r="E318" s="0" t="s">
        <v>1823</v>
      </c>
      <c r="F318" s="0" t="str">
        <f aca="false">CONCATENATE(D318," ",LEFT(H318,4),"T=",AU318,"D=",AV318,"R=",AW318,"M=",AX318,"L=",AY318,"B=",AZ318)</f>
        <v>WAIALEE T=7D=1R=0M=0L=0B=0</v>
      </c>
      <c r="G318" s="0" t="s">
        <v>1824</v>
      </c>
      <c r="I318" s="0" t="s">
        <v>1825</v>
      </c>
      <c r="J318" s="0" t="s">
        <v>1826</v>
      </c>
      <c r="K318" s="0" t="s">
        <v>175</v>
      </c>
      <c r="L318" s="0"/>
      <c r="M318" s="0" t="s">
        <v>1827</v>
      </c>
      <c r="N318" s="0" t="str">
        <f aca="false">RIGHT(M318,LEN(M318)-FIND(" ",M318))</f>
        <v>BONNIE BRAE AVE NE</v>
      </c>
      <c r="P318" s="0" t="s">
        <v>146</v>
      </c>
      <c r="Q318" s="0" t="s">
        <v>147</v>
      </c>
      <c r="R318" s="0" t="n">
        <v>44483</v>
      </c>
      <c r="AD318" s="0" t="s">
        <v>148</v>
      </c>
      <c r="AE318" s="0" t="s">
        <v>149</v>
      </c>
      <c r="AF318" s="0" t="s">
        <v>150</v>
      </c>
      <c r="AH318" s="0" t="n">
        <v>14</v>
      </c>
      <c r="AI318" s="0" t="n">
        <v>11</v>
      </c>
      <c r="AN318" s="0" t="s">
        <v>146</v>
      </c>
      <c r="AO318" s="0" t="s">
        <v>236</v>
      </c>
      <c r="AP318" s="0" t="s">
        <v>237</v>
      </c>
      <c r="AQ318" s="0" t="n">
        <v>9</v>
      </c>
      <c r="AR318" s="0" t="n">
        <v>64</v>
      </c>
      <c r="AS318" s="0" t="n">
        <v>32</v>
      </c>
      <c r="AU318" s="0" t="n">
        <f aca="false">COUNTA($BA$30:$EH$30)</f>
        <v>7</v>
      </c>
      <c r="AV318" s="0" t="n">
        <f aca="false">COUNTIF($BA$30:$EH$30,"D")</f>
        <v>1</v>
      </c>
      <c r="AW318" s="0" t="n">
        <f aca="false">COUNTIF($BA$30:$EH$30,"R")</f>
        <v>0</v>
      </c>
      <c r="AX318" s="0" t="n">
        <f aca="false"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>0</v>
      </c>
      <c r="AY318" s="0" t="n">
        <f aca="false">COUNTIF(DU318:EH318, "&lt;&gt;")</f>
        <v>0</v>
      </c>
      <c r="AZ318" s="0" t="n">
        <f aca="false">IF(EH318&lt;&gt;"",1,0)</f>
        <v>0</v>
      </c>
      <c r="BB318" s="0" t="s">
        <v>153</v>
      </c>
    </row>
    <row r="319" customFormat="false" ht="13.8" hidden="false" customHeight="false" outlineLevel="0" collapsed="false">
      <c r="A319" s="0" t="s">
        <v>1828</v>
      </c>
      <c r="B319" s="0" t="n">
        <v>78</v>
      </c>
      <c r="C319" s="0" t="n">
        <v>217866</v>
      </c>
      <c r="D319" s="0" t="s">
        <v>1829</v>
      </c>
      <c r="E319" s="0" t="s">
        <v>1830</v>
      </c>
      <c r="F319" s="0" t="str">
        <f aca="false">CONCATENATE(D319," ",LEFT(H319,4),"T=",AU319,"D=",AV319,"R=",AW319,"M=",AX319,"L=",AY319,"B=",AZ319)</f>
        <v>WOLFE T=2D=0R=0M=1L=6B=0</v>
      </c>
      <c r="G319" s="0" t="s">
        <v>241</v>
      </c>
      <c r="I319" s="0" t="s">
        <v>1831</v>
      </c>
      <c r="J319" s="0" t="s">
        <v>1832</v>
      </c>
      <c r="K319" s="0" t="s">
        <v>175</v>
      </c>
      <c r="L319" s="1" t="s">
        <v>155</v>
      </c>
      <c r="M319" s="0" t="s">
        <v>1833</v>
      </c>
      <c r="N319" s="0" t="str">
        <f aca="false">RIGHT(M319,LEN(M319)-FIND(" ",M319))</f>
        <v>BONNIE BRAE AVE NE</v>
      </c>
      <c r="P319" s="0" t="s">
        <v>146</v>
      </c>
      <c r="Q319" s="0" t="s">
        <v>147</v>
      </c>
      <c r="R319" s="0" t="n">
        <v>44483</v>
      </c>
      <c r="AD319" s="0" t="s">
        <v>148</v>
      </c>
      <c r="AE319" s="0" t="s">
        <v>149</v>
      </c>
      <c r="AF319" s="0" t="s">
        <v>150</v>
      </c>
      <c r="AH319" s="0" t="n">
        <v>14</v>
      </c>
      <c r="AI319" s="0" t="n">
        <v>11</v>
      </c>
      <c r="AN319" s="0" t="s">
        <v>146</v>
      </c>
      <c r="AO319" s="0" t="s">
        <v>236</v>
      </c>
      <c r="AP319" s="0" t="s">
        <v>237</v>
      </c>
      <c r="AQ319" s="0" t="n">
        <v>9</v>
      </c>
      <c r="AR319" s="0" t="n">
        <v>64</v>
      </c>
      <c r="AS319" s="0" t="n">
        <v>32</v>
      </c>
      <c r="AU319" s="0" t="n">
        <f aca="false">COUNTA($BA$240:$EH$240)</f>
        <v>2</v>
      </c>
      <c r="AV319" s="0" t="n">
        <f aca="false">COUNTIF($BA$240:$EH$240,"D")</f>
        <v>0</v>
      </c>
      <c r="AW319" s="0" t="n">
        <f aca="false">COUNTIF($BA$240:$EH$240,"R")</f>
        <v>0</v>
      </c>
      <c r="AX319" s="0" t="n">
        <f aca="false"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>1</v>
      </c>
      <c r="AY319" s="0" t="n">
        <f aca="false">COUNTIF(DU319:EH319, "&lt;&gt;")</f>
        <v>6</v>
      </c>
      <c r="AZ319" s="0" t="n">
        <f aca="false">IF(EH319&lt;&gt;"",1,0)</f>
        <v>0</v>
      </c>
      <c r="BB319" s="0" t="s">
        <v>153</v>
      </c>
      <c r="BC319" s="0" t="s">
        <v>154</v>
      </c>
      <c r="BD319" s="0" t="s">
        <v>154</v>
      </c>
      <c r="BE319" s="0" t="s">
        <v>154</v>
      </c>
      <c r="BH319" s="0" t="s">
        <v>154</v>
      </c>
      <c r="BL319" s="0" t="s">
        <v>154</v>
      </c>
      <c r="BS319" s="0" t="s">
        <v>154</v>
      </c>
      <c r="BY319" s="0" t="s">
        <v>155</v>
      </c>
      <c r="CA319" s="0" t="s">
        <v>154</v>
      </c>
      <c r="CG319" s="0" t="s">
        <v>154</v>
      </c>
      <c r="CH319" s="0" t="s">
        <v>155</v>
      </c>
      <c r="CK319" s="0" t="s">
        <v>154</v>
      </c>
      <c r="CN319" s="0" t="s">
        <v>154</v>
      </c>
      <c r="CP319" s="0" t="s">
        <v>154</v>
      </c>
      <c r="CT319" s="0" t="s">
        <v>154</v>
      </c>
      <c r="CU319" s="0" t="s">
        <v>155</v>
      </c>
      <c r="CV319" s="0" t="s">
        <v>154</v>
      </c>
      <c r="CY319" s="0" t="s">
        <v>154</v>
      </c>
      <c r="CZ319" s="0" t="s">
        <v>155</v>
      </c>
      <c r="DC319" s="0" t="s">
        <v>154</v>
      </c>
      <c r="DD319" s="0" t="s">
        <v>154</v>
      </c>
      <c r="DF319" s="0" t="s">
        <v>154</v>
      </c>
      <c r="DI319" s="0" t="s">
        <v>154</v>
      </c>
      <c r="DN319" s="0" t="s">
        <v>154</v>
      </c>
      <c r="DU319" s="0" t="s">
        <v>154</v>
      </c>
      <c r="DW319" s="0" t="s">
        <v>155</v>
      </c>
      <c r="DX319" s="0" t="s">
        <v>154</v>
      </c>
      <c r="EA319" s="0" t="s">
        <v>154</v>
      </c>
      <c r="ED319" s="0" t="s">
        <v>155</v>
      </c>
      <c r="EF319" s="0" t="s">
        <v>154</v>
      </c>
    </row>
    <row r="320" customFormat="false" ht="13.8" hidden="false" customHeight="false" outlineLevel="0" collapsed="false">
      <c r="A320" s="0" t="s">
        <v>1834</v>
      </c>
      <c r="B320" s="0" t="n">
        <v>78</v>
      </c>
      <c r="C320" s="0" t="n">
        <v>321320</v>
      </c>
      <c r="D320" s="0" t="s">
        <v>1835</v>
      </c>
      <c r="E320" s="0" t="s">
        <v>471</v>
      </c>
      <c r="F320" s="0" t="str">
        <f aca="false">CONCATENATE(D320," ",LEFT(H320,4),"T=",AU320,"D=",AV320,"R=",AW320,"M=",AX320,"L=",AY320,"B=",AZ320)</f>
        <v>GANO JRT=4D=0R=0M=0L=5B=0</v>
      </c>
      <c r="G320" s="0" t="s">
        <v>1836</v>
      </c>
      <c r="H320" s="0" t="s">
        <v>431</v>
      </c>
      <c r="I320" s="0" t="s">
        <v>1837</v>
      </c>
      <c r="J320" s="0" t="s">
        <v>1838</v>
      </c>
      <c r="K320" s="0" t="s">
        <v>175</v>
      </c>
      <c r="L320" s="1" t="s">
        <v>155</v>
      </c>
      <c r="M320" s="0" t="s">
        <v>1833</v>
      </c>
      <c r="N320" s="0" t="str">
        <f aca="false">RIGHT(M320,LEN(M320)-FIND(" ",M320))</f>
        <v>BONNIE BRAE AVE NE</v>
      </c>
      <c r="P320" s="0" t="s">
        <v>146</v>
      </c>
      <c r="Q320" s="0" t="s">
        <v>147</v>
      </c>
      <c r="R320" s="0" t="n">
        <v>44483</v>
      </c>
      <c r="AD320" s="0" t="s">
        <v>148</v>
      </c>
      <c r="AE320" s="0" t="s">
        <v>149</v>
      </c>
      <c r="AF320" s="0" t="s">
        <v>150</v>
      </c>
      <c r="AH320" s="0" t="n">
        <v>14</v>
      </c>
      <c r="AI320" s="0" t="n">
        <v>11</v>
      </c>
      <c r="AN320" s="0" t="s">
        <v>146</v>
      </c>
      <c r="AO320" s="0" t="s">
        <v>236</v>
      </c>
      <c r="AP320" s="0" t="s">
        <v>237</v>
      </c>
      <c r="AQ320" s="0" t="n">
        <v>9</v>
      </c>
      <c r="AR320" s="0" t="n">
        <v>64</v>
      </c>
      <c r="AS320" s="0" t="n">
        <v>32</v>
      </c>
      <c r="AU320" s="0" t="n">
        <f aca="false">COUNTA($BA$798:$EH$798)</f>
        <v>4</v>
      </c>
      <c r="AV320" s="0" t="n">
        <f aca="false">COUNTIF($BA$798:$EH$798,"D")</f>
        <v>0</v>
      </c>
      <c r="AW320" s="0" t="n">
        <f aca="false">COUNTIF($BA$798:$EH$798,"R")</f>
        <v>0</v>
      </c>
      <c r="AX320" s="0" t="n">
        <f aca="false"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>0</v>
      </c>
      <c r="AY320" s="0" t="n">
        <f aca="false">COUNTIF(DU320:EH320, "&lt;&gt;")</f>
        <v>5</v>
      </c>
      <c r="AZ320" s="0" t="n">
        <f aca="false">IF(EH320&lt;&gt;"",1,0)</f>
        <v>0</v>
      </c>
      <c r="BB320" s="0" t="s">
        <v>153</v>
      </c>
      <c r="BL320" s="0" t="s">
        <v>154</v>
      </c>
      <c r="BS320" s="0" t="s">
        <v>154</v>
      </c>
      <c r="BY320" s="0" t="s">
        <v>155</v>
      </c>
      <c r="CP320" s="0" t="s">
        <v>154</v>
      </c>
      <c r="DC320" s="0" t="s">
        <v>154</v>
      </c>
      <c r="DM320" s="0" t="s">
        <v>155</v>
      </c>
      <c r="DN320" s="0" t="s">
        <v>154</v>
      </c>
      <c r="DU320" s="0" t="s">
        <v>154</v>
      </c>
      <c r="DX320" s="0" t="s">
        <v>154</v>
      </c>
      <c r="EA320" s="0" t="s">
        <v>154</v>
      </c>
      <c r="ED320" s="0" t="s">
        <v>155</v>
      </c>
      <c r="EF320" s="0" t="s">
        <v>154</v>
      </c>
    </row>
    <row r="321" customFormat="false" ht="13.8" hidden="false" customHeight="false" outlineLevel="0" collapsed="false">
      <c r="A321" s="0" t="s">
        <v>1839</v>
      </c>
      <c r="B321" s="0" t="n">
        <v>78</v>
      </c>
      <c r="C321" s="0" t="n">
        <v>4492</v>
      </c>
      <c r="D321" s="0" t="s">
        <v>1835</v>
      </c>
      <c r="E321" s="0" t="s">
        <v>1840</v>
      </c>
      <c r="F321" s="0" t="str">
        <f aca="false">CONCATENATE(D321," ",LEFT(H321,4),"T=",AU321,"D=",AV321,"R=",AW321,"M=",AX321,"L=",AY321,"B=",AZ321)</f>
        <v>GANO T=9D=0R=0M=1L=3B=0</v>
      </c>
      <c r="G321" s="0" t="s">
        <v>297</v>
      </c>
      <c r="I321" s="0" t="s">
        <v>1841</v>
      </c>
      <c r="J321" s="0" t="s">
        <v>1842</v>
      </c>
      <c r="K321" s="0" t="s">
        <v>175</v>
      </c>
      <c r="L321" s="1" t="s">
        <v>155</v>
      </c>
      <c r="M321" s="0" t="s">
        <v>1833</v>
      </c>
      <c r="N321" s="0" t="str">
        <f aca="false">RIGHT(M321,LEN(M321)-FIND(" ",M321))</f>
        <v>BONNIE BRAE AVE NE</v>
      </c>
      <c r="P321" s="0" t="s">
        <v>146</v>
      </c>
      <c r="Q321" s="0" t="s">
        <v>147</v>
      </c>
      <c r="R321" s="0" t="n">
        <v>44483</v>
      </c>
      <c r="AD321" s="0" t="s">
        <v>148</v>
      </c>
      <c r="AE321" s="0" t="s">
        <v>149</v>
      </c>
      <c r="AF321" s="0" t="s">
        <v>150</v>
      </c>
      <c r="AH321" s="0" t="n">
        <v>14</v>
      </c>
      <c r="AI321" s="0" t="n">
        <v>11</v>
      </c>
      <c r="AN321" s="0" t="s">
        <v>146</v>
      </c>
      <c r="AO321" s="0" t="s">
        <v>236</v>
      </c>
      <c r="AP321" s="0" t="s">
        <v>237</v>
      </c>
      <c r="AQ321" s="0" t="n">
        <v>9</v>
      </c>
      <c r="AR321" s="0" t="n">
        <v>64</v>
      </c>
      <c r="AS321" s="0" t="n">
        <v>32</v>
      </c>
      <c r="AU321" s="0" t="n">
        <f aca="false">COUNTA($BA$900:$EH$900)</f>
        <v>9</v>
      </c>
      <c r="AV321" s="0" t="n">
        <f aca="false">COUNTIF($BA$900:$EH$900,"D")</f>
        <v>0</v>
      </c>
      <c r="AW321" s="0" t="n">
        <f aca="false">COUNTIF($BA$900:$EH$900,"R")</f>
        <v>0</v>
      </c>
      <c r="AX321" s="0" t="n">
        <f aca="false"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>1</v>
      </c>
      <c r="AY321" s="0" t="n">
        <f aca="false">COUNTIF(DU321:EH321, "&lt;&gt;")</f>
        <v>3</v>
      </c>
      <c r="AZ321" s="0" t="n">
        <f aca="false">IF(EH321&lt;&gt;"",1,0)</f>
        <v>0</v>
      </c>
      <c r="BB321" s="0" t="s">
        <v>153</v>
      </c>
      <c r="BC321" s="0" t="s">
        <v>154</v>
      </c>
      <c r="BD321" s="0" t="s">
        <v>154</v>
      </c>
      <c r="BE321" s="0" t="s">
        <v>154</v>
      </c>
      <c r="BG321" s="0" t="s">
        <v>154</v>
      </c>
      <c r="BH321" s="0" t="s">
        <v>154</v>
      </c>
      <c r="BI321" s="0" t="s">
        <v>154</v>
      </c>
      <c r="BJ321" s="0" t="s">
        <v>154</v>
      </c>
      <c r="BK321" s="0" t="s">
        <v>154</v>
      </c>
      <c r="BL321" s="0" t="s">
        <v>154</v>
      </c>
      <c r="BP321" s="0" t="s">
        <v>154</v>
      </c>
      <c r="BR321" s="0" t="s">
        <v>154</v>
      </c>
      <c r="BS321" s="0" t="s">
        <v>154</v>
      </c>
      <c r="BV321" s="0" t="s">
        <v>154</v>
      </c>
      <c r="BY321" s="0" t="s">
        <v>155</v>
      </c>
      <c r="CA321" s="0" t="s">
        <v>154</v>
      </c>
      <c r="CG321" s="0" t="s">
        <v>154</v>
      </c>
      <c r="CH321" s="0" t="s">
        <v>155</v>
      </c>
      <c r="CK321" s="0" t="s">
        <v>154</v>
      </c>
      <c r="CN321" s="0" t="s">
        <v>154</v>
      </c>
      <c r="CP321" s="0" t="s">
        <v>154</v>
      </c>
      <c r="CU321" s="0" t="s">
        <v>155</v>
      </c>
      <c r="CV321" s="0" t="s">
        <v>154</v>
      </c>
      <c r="CY321" s="0" t="s">
        <v>154</v>
      </c>
      <c r="CZ321" s="0" t="s">
        <v>155</v>
      </c>
      <c r="DC321" s="0" t="s">
        <v>154</v>
      </c>
      <c r="DI321" s="0" t="s">
        <v>154</v>
      </c>
      <c r="DM321" s="0" t="s">
        <v>155</v>
      </c>
      <c r="DN321" s="0" t="s">
        <v>154</v>
      </c>
      <c r="DU321" s="0" t="s">
        <v>154</v>
      </c>
      <c r="DW321" s="0" t="s">
        <v>155</v>
      </c>
      <c r="EF321" s="0" t="s">
        <v>154</v>
      </c>
    </row>
    <row r="322" customFormat="false" ht="13.8" hidden="false" customHeight="false" outlineLevel="0" collapsed="false">
      <c r="A322" s="0" t="s">
        <v>1843</v>
      </c>
      <c r="B322" s="0" t="n">
        <v>78</v>
      </c>
      <c r="C322" s="0" t="n">
        <v>4491</v>
      </c>
      <c r="D322" s="0" t="s">
        <v>1835</v>
      </c>
      <c r="E322" s="0" t="s">
        <v>471</v>
      </c>
      <c r="F322" s="0" t="str">
        <f aca="false">CONCATENATE(D322," ",LEFT(H322,4),"T=",AU322,"D=",AV322,"R=",AW322,"M=",AX322,"L=",AY322,"B=",AZ322)</f>
        <v>GANO T=1D=0R=0M=2L=5B=0</v>
      </c>
      <c r="G322" s="0" t="s">
        <v>365</v>
      </c>
      <c r="I322" s="0" t="s">
        <v>1844</v>
      </c>
      <c r="J322" s="0" t="s">
        <v>1842</v>
      </c>
      <c r="K322" s="0" t="s">
        <v>175</v>
      </c>
      <c r="L322" s="1" t="s">
        <v>155</v>
      </c>
      <c r="M322" s="0" t="s">
        <v>1833</v>
      </c>
      <c r="N322" s="0" t="str">
        <f aca="false">RIGHT(M322,LEN(M322)-FIND(" ",M322))</f>
        <v>BONNIE BRAE AVE NE</v>
      </c>
      <c r="P322" s="0" t="s">
        <v>146</v>
      </c>
      <c r="Q322" s="0" t="s">
        <v>147</v>
      </c>
      <c r="R322" s="0" t="n">
        <v>44483</v>
      </c>
      <c r="AD322" s="0" t="s">
        <v>148</v>
      </c>
      <c r="AE322" s="0" t="s">
        <v>149</v>
      </c>
      <c r="AF322" s="0" t="s">
        <v>150</v>
      </c>
      <c r="AH322" s="0" t="n">
        <v>14</v>
      </c>
      <c r="AI322" s="0" t="n">
        <v>11</v>
      </c>
      <c r="AN322" s="0" t="s">
        <v>146</v>
      </c>
      <c r="AO322" s="0" t="s">
        <v>236</v>
      </c>
      <c r="AP322" s="0" t="s">
        <v>237</v>
      </c>
      <c r="AQ322" s="0" t="n">
        <v>9</v>
      </c>
      <c r="AR322" s="0" t="n">
        <v>64</v>
      </c>
      <c r="AS322" s="0" t="n">
        <v>32</v>
      </c>
      <c r="AU322" s="0" t="n">
        <f aca="false">COUNTA($BA$949:$EH$949)</f>
        <v>1</v>
      </c>
      <c r="AV322" s="0" t="n">
        <f aca="false">COUNTIF($BA$949:$EH$949,"D")</f>
        <v>0</v>
      </c>
      <c r="AW322" s="0" t="n">
        <f aca="false">COUNTIF($BA$949:$EH$949,"R")</f>
        <v>0</v>
      </c>
      <c r="AX322" s="0" t="n">
        <f aca="false"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>2</v>
      </c>
      <c r="AY322" s="0" t="n">
        <f aca="false">COUNTIF(DU322:EH322, "&lt;&gt;")</f>
        <v>5</v>
      </c>
      <c r="AZ322" s="0" t="n">
        <f aca="false">IF(EH322&lt;&gt;"",1,0)</f>
        <v>0</v>
      </c>
      <c r="BB322" s="0" t="s">
        <v>153</v>
      </c>
      <c r="BC322" s="0" t="s">
        <v>154</v>
      </c>
      <c r="BD322" s="0" t="s">
        <v>154</v>
      </c>
      <c r="BE322" s="0" t="s">
        <v>154</v>
      </c>
      <c r="BG322" s="0" t="s">
        <v>154</v>
      </c>
      <c r="BH322" s="0" t="s">
        <v>154</v>
      </c>
      <c r="BI322" s="0" t="s">
        <v>154</v>
      </c>
      <c r="BJ322" s="0" t="s">
        <v>154</v>
      </c>
      <c r="BK322" s="0" t="s">
        <v>154</v>
      </c>
      <c r="BL322" s="0" t="s">
        <v>154</v>
      </c>
      <c r="BP322" s="0" t="s">
        <v>154</v>
      </c>
      <c r="BR322" s="0" t="s">
        <v>154</v>
      </c>
      <c r="BS322" s="0" t="s">
        <v>154</v>
      </c>
      <c r="BV322" s="0" t="s">
        <v>154</v>
      </c>
      <c r="BY322" s="0" t="s">
        <v>155</v>
      </c>
      <c r="CA322" s="0" t="s">
        <v>154</v>
      </c>
      <c r="CG322" s="0" t="s">
        <v>154</v>
      </c>
      <c r="CH322" s="0" t="s">
        <v>155</v>
      </c>
      <c r="CK322" s="0" t="s">
        <v>154</v>
      </c>
      <c r="CL322" s="0" t="s">
        <v>155</v>
      </c>
      <c r="CN322" s="0" t="s">
        <v>154</v>
      </c>
      <c r="CP322" s="0" t="s">
        <v>154</v>
      </c>
      <c r="CU322" s="0" t="s">
        <v>155</v>
      </c>
      <c r="CV322" s="0" t="s">
        <v>154</v>
      </c>
      <c r="CY322" s="0" t="s">
        <v>154</v>
      </c>
      <c r="CZ322" s="0" t="s">
        <v>155</v>
      </c>
      <c r="DC322" s="0" t="s">
        <v>154</v>
      </c>
      <c r="DI322" s="0" t="s">
        <v>154</v>
      </c>
      <c r="DL322" s="0" t="s">
        <v>154</v>
      </c>
      <c r="DM322" s="0" t="s">
        <v>155</v>
      </c>
      <c r="DN322" s="0" t="s">
        <v>154</v>
      </c>
      <c r="DU322" s="0" t="s">
        <v>154</v>
      </c>
      <c r="DW322" s="0" t="s">
        <v>155</v>
      </c>
      <c r="EA322" s="0" t="s">
        <v>154</v>
      </c>
      <c r="ED322" s="0" t="s">
        <v>155</v>
      </c>
      <c r="EF322" s="0" t="s">
        <v>154</v>
      </c>
    </row>
    <row r="323" customFormat="false" ht="13.8" hidden="false" customHeight="false" outlineLevel="0" collapsed="false">
      <c r="A323" s="0" t="s">
        <v>1845</v>
      </c>
      <c r="B323" s="0" t="n">
        <v>78</v>
      </c>
      <c r="C323" s="0" t="n">
        <v>136063</v>
      </c>
      <c r="D323" s="0" t="s">
        <v>1846</v>
      </c>
      <c r="E323" s="0" t="s">
        <v>1847</v>
      </c>
      <c r="F323" s="0" t="str">
        <f aca="false">CONCATENATE(D323," ",LEFT(H323,4),"T=",AU323,"D=",AV323,"R=",AW323,"M=",AX323,"L=",AY323,"B=",AZ323)</f>
        <v>HENLINE T=41D=12R=0M=8L=7B=1</v>
      </c>
      <c r="I323" s="0" t="s">
        <v>1848</v>
      </c>
      <c r="J323" s="0" t="s">
        <v>1849</v>
      </c>
      <c r="K323" s="0" t="s">
        <v>175</v>
      </c>
      <c r="L323" s="1" t="s">
        <v>155</v>
      </c>
      <c r="M323" s="0" t="s">
        <v>1850</v>
      </c>
      <c r="N323" s="0" t="str">
        <f aca="false">RIGHT(M323,LEN(M323)-FIND(" ",M323))</f>
        <v>BONNIE BRAE AVE NE</v>
      </c>
      <c r="P323" s="0" t="s">
        <v>146</v>
      </c>
      <c r="Q323" s="0" t="s">
        <v>147</v>
      </c>
      <c r="R323" s="0" t="n">
        <v>44483</v>
      </c>
      <c r="AD323" s="0" t="s">
        <v>148</v>
      </c>
      <c r="AE323" s="0" t="s">
        <v>149</v>
      </c>
      <c r="AF323" s="0" t="s">
        <v>150</v>
      </c>
      <c r="AH323" s="0" t="n">
        <v>14</v>
      </c>
      <c r="AI323" s="0" t="n">
        <v>11</v>
      </c>
      <c r="AN323" s="0" t="s">
        <v>146</v>
      </c>
      <c r="AO323" s="0" t="s">
        <v>236</v>
      </c>
      <c r="AP323" s="0" t="s">
        <v>237</v>
      </c>
      <c r="AQ323" s="0" t="n">
        <v>9</v>
      </c>
      <c r="AR323" s="0" t="n">
        <v>64</v>
      </c>
      <c r="AS323" s="0" t="n">
        <v>32</v>
      </c>
      <c r="AU323" s="0" t="n">
        <f aca="false">COUNTA($BA$935:$EH$935)</f>
        <v>41</v>
      </c>
      <c r="AV323" s="0" t="n">
        <f aca="false">COUNTIF($BA$935:$EH$935,"D")</f>
        <v>12</v>
      </c>
      <c r="AW323" s="0" t="n">
        <f aca="false">COUNTIF($BA$935:$EH$935,"R")</f>
        <v>0</v>
      </c>
      <c r="AX323" s="0" t="n">
        <f aca="false"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>8</v>
      </c>
      <c r="AY323" s="0" t="n">
        <f aca="false">COUNTIF(DU323:EH323, "&lt;&gt;")</f>
        <v>7</v>
      </c>
      <c r="AZ323" s="0" t="n">
        <f aca="false">IF(EH323&lt;&gt;"",1,0)</f>
        <v>1</v>
      </c>
      <c r="BB323" s="0" t="s">
        <v>153</v>
      </c>
      <c r="BC323" s="0" t="s">
        <v>154</v>
      </c>
      <c r="BD323" s="0" t="s">
        <v>154</v>
      </c>
      <c r="BE323" s="0" t="s">
        <v>154</v>
      </c>
      <c r="BF323" s="0" t="s">
        <v>154</v>
      </c>
      <c r="BG323" s="0" t="s">
        <v>154</v>
      </c>
      <c r="BH323" s="0" t="s">
        <v>154</v>
      </c>
      <c r="BI323" s="0" t="s">
        <v>154</v>
      </c>
      <c r="BJ323" s="0" t="s">
        <v>154</v>
      </c>
      <c r="BK323" s="0" t="s">
        <v>154</v>
      </c>
      <c r="BL323" s="0" t="s">
        <v>154</v>
      </c>
      <c r="BP323" s="0" t="s">
        <v>154</v>
      </c>
      <c r="BR323" s="0" t="s">
        <v>154</v>
      </c>
      <c r="BS323" s="0" t="s">
        <v>154</v>
      </c>
      <c r="BV323" s="0" t="s">
        <v>154</v>
      </c>
      <c r="CA323" s="0" t="s">
        <v>154</v>
      </c>
      <c r="CG323" s="0" t="s">
        <v>154</v>
      </c>
      <c r="CK323" s="0" t="s">
        <v>154</v>
      </c>
      <c r="CL323" s="0" t="s">
        <v>155</v>
      </c>
      <c r="CN323" s="0" t="s">
        <v>154</v>
      </c>
      <c r="CO323" s="0" t="s">
        <v>155</v>
      </c>
      <c r="CP323" s="0" t="s">
        <v>154</v>
      </c>
      <c r="CQ323" s="0" t="s">
        <v>155</v>
      </c>
      <c r="CT323" s="0" t="s">
        <v>154</v>
      </c>
      <c r="CU323" s="0" t="s">
        <v>155</v>
      </c>
      <c r="CV323" s="0" t="s">
        <v>154</v>
      </c>
      <c r="CW323" s="0" t="s">
        <v>155</v>
      </c>
      <c r="CY323" s="0" t="s">
        <v>154</v>
      </c>
      <c r="CZ323" s="0" t="s">
        <v>155</v>
      </c>
      <c r="DC323" s="0" t="s">
        <v>154</v>
      </c>
      <c r="DD323" s="0" t="s">
        <v>155</v>
      </c>
      <c r="DF323" s="0" t="s">
        <v>154</v>
      </c>
      <c r="DG323" s="0" t="s">
        <v>155</v>
      </c>
      <c r="DI323" s="0" t="s">
        <v>154</v>
      </c>
      <c r="DJ323" s="0" t="s">
        <v>155</v>
      </c>
      <c r="DL323" s="0" t="s">
        <v>154</v>
      </c>
      <c r="DM323" s="0" t="s">
        <v>155</v>
      </c>
      <c r="DN323" s="0" t="s">
        <v>154</v>
      </c>
      <c r="DO323" s="0" t="s">
        <v>155</v>
      </c>
      <c r="DS323" s="0" t="s">
        <v>155</v>
      </c>
      <c r="DU323" s="0" t="s">
        <v>154</v>
      </c>
      <c r="DW323" s="0" t="s">
        <v>155</v>
      </c>
      <c r="DX323" s="0" t="s">
        <v>154</v>
      </c>
      <c r="EA323" s="0" t="s">
        <v>154</v>
      </c>
      <c r="ED323" s="0" t="s">
        <v>155</v>
      </c>
      <c r="EF323" s="0" t="s">
        <v>154</v>
      </c>
      <c r="EH323" s="0" t="s">
        <v>155</v>
      </c>
    </row>
    <row r="324" customFormat="false" ht="13.8" hidden="true" customHeight="false" outlineLevel="0" collapsed="false">
      <c r="A324" s="0" t="s">
        <v>1851</v>
      </c>
      <c r="B324" s="0" t="n">
        <v>78</v>
      </c>
      <c r="C324" s="0" t="n">
        <v>436118</v>
      </c>
      <c r="D324" s="0" t="s">
        <v>856</v>
      </c>
      <c r="E324" s="0" t="s">
        <v>1852</v>
      </c>
      <c r="F324" s="0" t="str">
        <f aca="false">CONCATENATE(D324," ",LEFT(H324,4),"T=",AU324,"D=",AV324,"R=",AW324,"M=",AX324,"L=",AY324,"B=",AZ324)</f>
        <v>JONES T=3D=0R=0M=0L=0B=0</v>
      </c>
      <c r="G324" s="0" t="s">
        <v>297</v>
      </c>
      <c r="I324" s="0" t="s">
        <v>1853</v>
      </c>
      <c r="J324" s="0" t="s">
        <v>1854</v>
      </c>
      <c r="K324" s="0" t="s">
        <v>144</v>
      </c>
      <c r="L324" s="0"/>
      <c r="M324" s="0" t="s">
        <v>1855</v>
      </c>
      <c r="N324" s="0" t="str">
        <f aca="false">RIGHT(M324,LEN(M324)-FIND(" ",M324))</f>
        <v>BONNIE BRAE AVE NE</v>
      </c>
      <c r="P324" s="0" t="s">
        <v>146</v>
      </c>
      <c r="Q324" s="0" t="s">
        <v>147</v>
      </c>
      <c r="R324" s="0" t="n">
        <v>44483</v>
      </c>
      <c r="AD324" s="0" t="s">
        <v>148</v>
      </c>
      <c r="AE324" s="0" t="s">
        <v>149</v>
      </c>
      <c r="AF324" s="0" t="s">
        <v>150</v>
      </c>
      <c r="AH324" s="0" t="n">
        <v>14</v>
      </c>
      <c r="AI324" s="0" t="n">
        <v>11</v>
      </c>
      <c r="AN324" s="0" t="s">
        <v>146</v>
      </c>
      <c r="AO324" s="0" t="s">
        <v>236</v>
      </c>
      <c r="AP324" s="0" t="s">
        <v>237</v>
      </c>
      <c r="AQ324" s="0" t="n">
        <v>9</v>
      </c>
      <c r="AR324" s="0" t="n">
        <v>64</v>
      </c>
      <c r="AS324" s="0" t="n">
        <v>32</v>
      </c>
      <c r="AU324" s="0" t="n">
        <f aca="false">COUNTA($BA$208:$EH$208)</f>
        <v>3</v>
      </c>
      <c r="AV324" s="0" t="n">
        <f aca="false">COUNTIF($BA$208:$EH$208,"D")</f>
        <v>0</v>
      </c>
      <c r="AW324" s="0" t="n">
        <f aca="false">COUNTIF($BA$208:$EH$208,"R")</f>
        <v>0</v>
      </c>
      <c r="AX324" s="0" t="n">
        <f aca="false"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>0</v>
      </c>
      <c r="AY324" s="0" t="n">
        <f aca="false">COUNTIF(DU324:EH324, "&lt;&gt;")</f>
        <v>0</v>
      </c>
      <c r="AZ324" s="0" t="n">
        <f aca="false">IF(EH324&lt;&gt;"",1,0)</f>
        <v>0</v>
      </c>
      <c r="BB324" s="0" t="s">
        <v>153</v>
      </c>
      <c r="DI324" s="0" t="s">
        <v>154</v>
      </c>
    </row>
    <row r="325" customFormat="false" ht="13.8" hidden="true" customHeight="false" outlineLevel="0" collapsed="false">
      <c r="A325" s="0" t="s">
        <v>1856</v>
      </c>
      <c r="B325" s="0" t="n">
        <v>78</v>
      </c>
      <c r="C325" s="0" t="n">
        <v>348720</v>
      </c>
      <c r="D325" s="0" t="s">
        <v>1857</v>
      </c>
      <c r="E325" s="0" t="s">
        <v>694</v>
      </c>
      <c r="F325" s="0" t="str">
        <f aca="false">CONCATENATE(D325," ",LEFT(H325,4),"T=",AU325,"D=",AV325,"R=",AW325,"M=",AX325,"L=",AY325,"B=",AZ325)</f>
        <v>DADISMAN T=1D=0R=0M=0L=1B=0</v>
      </c>
      <c r="G325" s="0" t="s">
        <v>750</v>
      </c>
      <c r="I325" s="0" t="s">
        <v>1858</v>
      </c>
      <c r="J325" s="0" t="s">
        <v>1859</v>
      </c>
      <c r="K325" s="0" t="s">
        <v>175</v>
      </c>
      <c r="L325" s="0"/>
      <c r="M325" s="0" t="s">
        <v>1855</v>
      </c>
      <c r="N325" s="0" t="str">
        <f aca="false">RIGHT(M325,LEN(M325)-FIND(" ",M325))</f>
        <v>BONNIE BRAE AVE NE</v>
      </c>
      <c r="P325" s="0" t="s">
        <v>146</v>
      </c>
      <c r="Q325" s="0" t="s">
        <v>147</v>
      </c>
      <c r="R325" s="0" t="n">
        <v>44483</v>
      </c>
      <c r="AD325" s="0" t="s">
        <v>148</v>
      </c>
      <c r="AE325" s="0" t="s">
        <v>149</v>
      </c>
      <c r="AF325" s="0" t="s">
        <v>150</v>
      </c>
      <c r="AH325" s="0" t="n">
        <v>14</v>
      </c>
      <c r="AI325" s="0" t="n">
        <v>11</v>
      </c>
      <c r="AN325" s="0" t="s">
        <v>146</v>
      </c>
      <c r="AO325" s="0" t="s">
        <v>236</v>
      </c>
      <c r="AP325" s="0" t="s">
        <v>237</v>
      </c>
      <c r="AQ325" s="0" t="n">
        <v>9</v>
      </c>
      <c r="AR325" s="0" t="n">
        <v>64</v>
      </c>
      <c r="AS325" s="0" t="n">
        <v>32</v>
      </c>
      <c r="AU325" s="0" t="n">
        <f aca="false">COUNTA($BA$242:$EH$242)</f>
        <v>1</v>
      </c>
      <c r="AV325" s="0" t="n">
        <f aca="false">COUNTIF($BA$242:$EH$242,"D")</f>
        <v>0</v>
      </c>
      <c r="AW325" s="0" t="n">
        <f aca="false">COUNTIF($BA$242:$EH$242,"R")</f>
        <v>0</v>
      </c>
      <c r="AX325" s="0" t="n">
        <f aca="false"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>0</v>
      </c>
      <c r="AY325" s="0" t="n">
        <f aca="false">COUNTIF(DU325:EH325, "&lt;&gt;")</f>
        <v>1</v>
      </c>
      <c r="AZ325" s="0" t="n">
        <f aca="false">IF(EH325&lt;&gt;"",1,0)</f>
        <v>0</v>
      </c>
      <c r="BB325" s="0" t="s">
        <v>153</v>
      </c>
      <c r="CA325" s="0" t="s">
        <v>154</v>
      </c>
      <c r="CC325" s="0" t="s">
        <v>154</v>
      </c>
      <c r="CG325" s="0" t="s">
        <v>154</v>
      </c>
      <c r="CK325" s="0" t="s">
        <v>154</v>
      </c>
      <c r="DC325" s="0" t="s">
        <v>154</v>
      </c>
      <c r="EF325" s="0" t="s">
        <v>154</v>
      </c>
    </row>
    <row r="326" customFormat="false" ht="13.8" hidden="true" customHeight="false" outlineLevel="0" collapsed="false">
      <c r="A326" s="0" t="s">
        <v>1860</v>
      </c>
      <c r="B326" s="0" t="n">
        <v>78</v>
      </c>
      <c r="C326" s="0" t="n">
        <v>491676</v>
      </c>
      <c r="D326" s="0" t="s">
        <v>1861</v>
      </c>
      <c r="E326" s="0" t="s">
        <v>1862</v>
      </c>
      <c r="F326" s="0" t="str">
        <f aca="false">CONCATENATE(D326," ",LEFT(H326,4),"T=",AU326,"D=",AV326,"R=",AW326,"M=",AX326,"L=",AY326,"B=",AZ326)</f>
        <v>WASHINGTON T=1D=0R=0M=0L=1B=0</v>
      </c>
      <c r="G326" s="0" t="s">
        <v>466</v>
      </c>
      <c r="I326" s="0" t="s">
        <v>1863</v>
      </c>
      <c r="J326" s="0" t="s">
        <v>712</v>
      </c>
      <c r="K326" s="0" t="s">
        <v>175</v>
      </c>
      <c r="L326" s="0"/>
      <c r="M326" s="0" t="s">
        <v>1855</v>
      </c>
      <c r="N326" s="0" t="str">
        <f aca="false">RIGHT(M326,LEN(M326)-FIND(" ",M326))</f>
        <v>BONNIE BRAE AVE NE</v>
      </c>
      <c r="P326" s="0" t="s">
        <v>146</v>
      </c>
      <c r="Q326" s="0" t="s">
        <v>147</v>
      </c>
      <c r="R326" s="0" t="n">
        <v>44483</v>
      </c>
      <c r="AD326" s="0" t="s">
        <v>148</v>
      </c>
      <c r="AE326" s="0" t="s">
        <v>149</v>
      </c>
      <c r="AF326" s="0" t="s">
        <v>150</v>
      </c>
      <c r="AH326" s="0" t="n">
        <v>14</v>
      </c>
      <c r="AI326" s="0" t="n">
        <v>11</v>
      </c>
      <c r="AN326" s="0" t="s">
        <v>146</v>
      </c>
      <c r="AO326" s="0" t="s">
        <v>236</v>
      </c>
      <c r="AP326" s="0" t="s">
        <v>237</v>
      </c>
      <c r="AQ326" s="0" t="n">
        <v>9</v>
      </c>
      <c r="AR326" s="0" t="n">
        <v>64</v>
      </c>
      <c r="AS326" s="0" t="n">
        <v>32</v>
      </c>
      <c r="AU326" s="0" t="n">
        <f aca="false">COUNTA($BA$412:$EH$412)</f>
        <v>1</v>
      </c>
      <c r="AV326" s="0" t="n">
        <f aca="false">COUNTIF($BA$412:$EH$412,"D")</f>
        <v>0</v>
      </c>
      <c r="AW326" s="0" t="n">
        <f aca="false">COUNTIF($BA$412:$EH$412,"R")</f>
        <v>0</v>
      </c>
      <c r="AX326" s="0" t="n">
        <f aca="false"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>0</v>
      </c>
      <c r="AY326" s="0" t="n">
        <f aca="false">COUNTIF(DU326:EH326, "&lt;&gt;")</f>
        <v>1</v>
      </c>
      <c r="AZ326" s="0" t="n">
        <f aca="false">IF(EH326&lt;&gt;"",1,0)</f>
        <v>0</v>
      </c>
      <c r="BB326" s="0" t="s">
        <v>153</v>
      </c>
      <c r="DN326" s="0" t="s">
        <v>154</v>
      </c>
      <c r="EF326" s="0" t="s">
        <v>154</v>
      </c>
    </row>
    <row r="327" customFormat="false" ht="13.8" hidden="false" customHeight="false" outlineLevel="0" collapsed="false">
      <c r="A327" s="0" t="s">
        <v>1864</v>
      </c>
      <c r="B327" s="0" t="n">
        <v>78</v>
      </c>
      <c r="C327" s="0" t="n">
        <v>435802</v>
      </c>
      <c r="D327" s="0" t="s">
        <v>1846</v>
      </c>
      <c r="E327" s="0" t="s">
        <v>429</v>
      </c>
      <c r="F327" s="0" t="str">
        <f aca="false">CONCATENATE(D327," ",LEFT(H327,4),"T=",AU327,"D=",AV327,"R=",AW327,"M=",AX327,"L=",AY327,"B=",AZ327)</f>
        <v>HENLINE T=1D=0R=0M=0L=3B=0</v>
      </c>
      <c r="G327" s="0" t="s">
        <v>619</v>
      </c>
      <c r="I327" s="0" t="s">
        <v>1865</v>
      </c>
      <c r="J327" s="0" t="s">
        <v>1866</v>
      </c>
      <c r="K327" s="0" t="s">
        <v>175</v>
      </c>
      <c r="L327" s="1" t="s">
        <v>176</v>
      </c>
      <c r="M327" s="0" t="s">
        <v>1867</v>
      </c>
      <c r="N327" s="0" t="str">
        <f aca="false">RIGHT(M327,LEN(M327)-FIND(" ",M327))</f>
        <v>BONNIE BRAE AVE NE</v>
      </c>
      <c r="P327" s="0" t="s">
        <v>146</v>
      </c>
      <c r="Q327" s="0" t="s">
        <v>147</v>
      </c>
      <c r="R327" s="0" t="n">
        <v>44483</v>
      </c>
      <c r="AD327" s="0" t="s">
        <v>148</v>
      </c>
      <c r="AE327" s="0" t="s">
        <v>149</v>
      </c>
      <c r="AF327" s="0" t="s">
        <v>150</v>
      </c>
      <c r="AH327" s="0" t="n">
        <v>14</v>
      </c>
      <c r="AI327" s="0" t="n">
        <v>11</v>
      </c>
      <c r="AN327" s="0" t="s">
        <v>146</v>
      </c>
      <c r="AO327" s="0" t="s">
        <v>236</v>
      </c>
      <c r="AP327" s="0" t="s">
        <v>237</v>
      </c>
      <c r="AQ327" s="0" t="n">
        <v>9</v>
      </c>
      <c r="AR327" s="0" t="n">
        <v>64</v>
      </c>
      <c r="AS327" s="0" t="n">
        <v>32</v>
      </c>
      <c r="AU327" s="0" t="n">
        <f aca="false">COUNTA($BA$923:$EH$923)</f>
        <v>1</v>
      </c>
      <c r="AV327" s="0" t="n">
        <f aca="false">COUNTIF($BA$923:$EH$923,"D")</f>
        <v>0</v>
      </c>
      <c r="AW327" s="0" t="n">
        <f aca="false">COUNTIF($BA$923:$EH$923,"R")</f>
        <v>0</v>
      </c>
      <c r="AX327" s="0" t="n">
        <f aca="false"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>0</v>
      </c>
      <c r="AY327" s="0" t="n">
        <f aca="false">COUNTIF(DU327:EH327, "&lt;&gt;")</f>
        <v>3</v>
      </c>
      <c r="AZ327" s="0" t="n">
        <f aca="false">IF(EH327&lt;&gt;"",1,0)</f>
        <v>0</v>
      </c>
      <c r="BB327" s="0" t="s">
        <v>153</v>
      </c>
      <c r="BD327" s="0" t="s">
        <v>154</v>
      </c>
      <c r="BF327" s="0" t="s">
        <v>154</v>
      </c>
      <c r="BG327" s="0" t="s">
        <v>176</v>
      </c>
      <c r="BH327" s="0" t="s">
        <v>154</v>
      </c>
      <c r="BJ327" s="0" t="s">
        <v>154</v>
      </c>
      <c r="BK327" s="0" t="s">
        <v>176</v>
      </c>
      <c r="BL327" s="0" t="s">
        <v>154</v>
      </c>
      <c r="BN327" s="0" t="s">
        <v>154</v>
      </c>
      <c r="BP327" s="0" t="s">
        <v>154</v>
      </c>
      <c r="BR327" s="0" t="s">
        <v>176</v>
      </c>
      <c r="BS327" s="0" t="s">
        <v>154</v>
      </c>
      <c r="BV327" s="0" t="s">
        <v>154</v>
      </c>
      <c r="BY327" s="0" t="s">
        <v>176</v>
      </c>
      <c r="CA327" s="0" t="s">
        <v>154</v>
      </c>
      <c r="CH327" s="0" t="s">
        <v>176</v>
      </c>
      <c r="CK327" s="0" t="s">
        <v>154</v>
      </c>
      <c r="CN327" s="0" t="s">
        <v>154</v>
      </c>
      <c r="CO327" s="0" t="s">
        <v>176</v>
      </c>
      <c r="CP327" s="0" t="s">
        <v>154</v>
      </c>
      <c r="CT327" s="0" t="s">
        <v>154</v>
      </c>
      <c r="CU327" s="0" t="s">
        <v>176</v>
      </c>
      <c r="CV327" s="0" t="s">
        <v>154</v>
      </c>
      <c r="CY327" s="0" t="s">
        <v>154</v>
      </c>
      <c r="CZ327" s="0" t="s">
        <v>176</v>
      </c>
      <c r="DC327" s="0" t="s">
        <v>154</v>
      </c>
      <c r="DF327" s="0" t="s">
        <v>154</v>
      </c>
      <c r="DI327" s="0" t="s">
        <v>154</v>
      </c>
      <c r="DM327" s="0" t="s">
        <v>176</v>
      </c>
      <c r="DN327" s="0" t="s">
        <v>154</v>
      </c>
      <c r="DS327" s="0" t="s">
        <v>176</v>
      </c>
      <c r="DU327" s="0" t="s">
        <v>154</v>
      </c>
      <c r="ED327" s="0" t="s">
        <v>176</v>
      </c>
      <c r="EF327" s="0" t="s">
        <v>154</v>
      </c>
    </row>
    <row r="328" customFormat="false" ht="13.8" hidden="false" customHeight="false" outlineLevel="0" collapsed="false">
      <c r="A328" s="0" t="s">
        <v>1868</v>
      </c>
      <c r="B328" s="0" t="n">
        <v>78</v>
      </c>
      <c r="C328" s="0" t="n">
        <v>363030</v>
      </c>
      <c r="D328" s="0" t="s">
        <v>1869</v>
      </c>
      <c r="E328" s="0" t="s">
        <v>1870</v>
      </c>
      <c r="F328" s="0" t="str">
        <f aca="false">CONCATENATE(D328," ",LEFT(H328,4),"T=",AU328,"D=",AV328,"R=",AW328,"M=",AX328,"L=",AY328,"B=",AZ328)</f>
        <v>PROVITT T=1D=0R=0M=1L=4B=0</v>
      </c>
      <c r="G328" s="0" t="s">
        <v>297</v>
      </c>
      <c r="I328" s="0" t="s">
        <v>1871</v>
      </c>
      <c r="J328" s="0" t="s">
        <v>1872</v>
      </c>
      <c r="K328" s="0" t="s">
        <v>175</v>
      </c>
      <c r="L328" s="1" t="s">
        <v>155</v>
      </c>
      <c r="M328" s="0" t="s">
        <v>1873</v>
      </c>
      <c r="N328" s="0" t="str">
        <f aca="false">RIGHT(M328,LEN(M328)-FIND(" ",M328))</f>
        <v>BONNIE BRAE AVE NE</v>
      </c>
      <c r="P328" s="0" t="s">
        <v>146</v>
      </c>
      <c r="Q328" s="0" t="s">
        <v>147</v>
      </c>
      <c r="R328" s="0" t="n">
        <v>44483</v>
      </c>
      <c r="AD328" s="0" t="s">
        <v>148</v>
      </c>
      <c r="AE328" s="0" t="s">
        <v>149</v>
      </c>
      <c r="AF328" s="0" t="s">
        <v>150</v>
      </c>
      <c r="AH328" s="0" t="n">
        <v>14</v>
      </c>
      <c r="AI328" s="0" t="n">
        <v>11</v>
      </c>
      <c r="AN328" s="0" t="s">
        <v>146</v>
      </c>
      <c r="AO328" s="0" t="s">
        <v>236</v>
      </c>
      <c r="AP328" s="0" t="s">
        <v>237</v>
      </c>
      <c r="AQ328" s="0" t="n">
        <v>9</v>
      </c>
      <c r="AR328" s="0" t="n">
        <v>64</v>
      </c>
      <c r="AS328" s="0" t="n">
        <v>32</v>
      </c>
      <c r="AU328" s="0" t="n">
        <f aca="false">COUNTA($BA$138:$EH$138)</f>
        <v>1</v>
      </c>
      <c r="AV328" s="0" t="n">
        <f aca="false">COUNTIF($BA$138:$EH$138,"D")</f>
        <v>0</v>
      </c>
      <c r="AW328" s="0" t="n">
        <f aca="false">COUNTIF($BA$138:$EH$138,"R")</f>
        <v>0</v>
      </c>
      <c r="AX328" s="0" t="n">
        <f aca="false"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>1</v>
      </c>
      <c r="AY328" s="0" t="n">
        <f aca="false">COUNTIF(DU328:EH328, "&lt;&gt;")</f>
        <v>4</v>
      </c>
      <c r="AZ328" s="0" t="n">
        <f aca="false">IF(EH328&lt;&gt;"",1,0)</f>
        <v>0</v>
      </c>
      <c r="BB328" s="0" t="s">
        <v>153</v>
      </c>
      <c r="CA328" s="0" t="s">
        <v>154</v>
      </c>
      <c r="CP328" s="0" t="s">
        <v>154</v>
      </c>
      <c r="CY328" s="0" t="s">
        <v>154</v>
      </c>
      <c r="CZ328" s="0" t="s">
        <v>176</v>
      </c>
      <c r="DC328" s="0" t="s">
        <v>154</v>
      </c>
      <c r="DI328" s="0" t="s">
        <v>154</v>
      </c>
      <c r="DL328" s="0" t="s">
        <v>154</v>
      </c>
      <c r="DN328" s="0" t="s">
        <v>154</v>
      </c>
      <c r="DO328" s="0" t="s">
        <v>155</v>
      </c>
      <c r="DS328" s="0" t="s">
        <v>155</v>
      </c>
      <c r="DU328" s="0" t="s">
        <v>154</v>
      </c>
      <c r="DX328" s="0" t="s">
        <v>154</v>
      </c>
      <c r="EA328" s="0" t="s">
        <v>154</v>
      </c>
      <c r="EF328" s="0" t="s">
        <v>154</v>
      </c>
    </row>
    <row r="329" customFormat="false" ht="13.8" hidden="true" customHeight="false" outlineLevel="0" collapsed="false">
      <c r="A329" s="0" t="s">
        <v>1874</v>
      </c>
      <c r="B329" s="0" t="n">
        <v>78</v>
      </c>
      <c r="C329" s="0" t="n">
        <v>489387</v>
      </c>
      <c r="D329" s="0" t="s">
        <v>1869</v>
      </c>
      <c r="E329" s="0" t="s">
        <v>1875</v>
      </c>
      <c r="F329" s="0" t="str">
        <f aca="false">CONCATENATE(D329," ",LEFT(H329,4),"T=",AU329,"D=",AV329,"R=",AW329,"M=",AX329,"L=",AY329,"B=",AZ329)</f>
        <v>PROVITT T=1D=0R=0M=0L=1B=0</v>
      </c>
      <c r="G329" s="0" t="s">
        <v>297</v>
      </c>
      <c r="I329" s="0" t="s">
        <v>1876</v>
      </c>
      <c r="J329" s="0" t="s">
        <v>1877</v>
      </c>
      <c r="K329" s="0" t="s">
        <v>175</v>
      </c>
      <c r="L329" s="0"/>
      <c r="M329" s="0" t="s">
        <v>1873</v>
      </c>
      <c r="N329" s="0" t="str">
        <f aca="false">RIGHT(M329,LEN(M329)-FIND(" ",M329))</f>
        <v>BONNIE BRAE AVE NE</v>
      </c>
      <c r="P329" s="0" t="s">
        <v>146</v>
      </c>
      <c r="Q329" s="0" t="s">
        <v>147</v>
      </c>
      <c r="R329" s="0" t="n">
        <v>44483</v>
      </c>
      <c r="AD329" s="0" t="s">
        <v>148</v>
      </c>
      <c r="AE329" s="0" t="s">
        <v>149</v>
      </c>
      <c r="AF329" s="0" t="s">
        <v>150</v>
      </c>
      <c r="AH329" s="0" t="n">
        <v>14</v>
      </c>
      <c r="AI329" s="0" t="n">
        <v>11</v>
      </c>
      <c r="AN329" s="0" t="s">
        <v>146</v>
      </c>
      <c r="AO329" s="0" t="s">
        <v>236</v>
      </c>
      <c r="AP329" s="0" t="s">
        <v>237</v>
      </c>
      <c r="AQ329" s="0" t="n">
        <v>9</v>
      </c>
      <c r="AR329" s="0" t="n">
        <v>64</v>
      </c>
      <c r="AS329" s="0" t="n">
        <v>32</v>
      </c>
      <c r="AU329" s="0" t="n">
        <f aca="false">COUNTA($BA$383:$EH$383)</f>
        <v>1</v>
      </c>
      <c r="AV329" s="0" t="n">
        <f aca="false">COUNTIF($BA$383:$EH$383,"D")</f>
        <v>0</v>
      </c>
      <c r="AW329" s="0" t="n">
        <f aca="false">COUNTIF($BA$383:$EH$383,"R")</f>
        <v>0</v>
      </c>
      <c r="AX329" s="0" t="n">
        <f aca="false"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>0</v>
      </c>
      <c r="AY329" s="0" t="n">
        <f aca="false">COUNTIF(DU329:EH329, "&lt;&gt;")</f>
        <v>1</v>
      </c>
      <c r="AZ329" s="0" t="n">
        <f aca="false">IF(EH329&lt;&gt;"",1,0)</f>
        <v>0</v>
      </c>
      <c r="BB329" s="0" t="s">
        <v>153</v>
      </c>
      <c r="EF329" s="0" t="s">
        <v>154</v>
      </c>
    </row>
    <row r="330" customFormat="false" ht="13.8" hidden="false" customHeight="false" outlineLevel="0" collapsed="false">
      <c r="A330" s="0" t="s">
        <v>1878</v>
      </c>
      <c r="B330" s="0" t="n">
        <v>78</v>
      </c>
      <c r="C330" s="0" t="n">
        <v>415346</v>
      </c>
      <c r="D330" s="0" t="s">
        <v>1879</v>
      </c>
      <c r="E330" s="0" t="s">
        <v>1880</v>
      </c>
      <c r="F330" s="0" t="str">
        <f aca="false">CONCATENATE(D330," ",LEFT(H330,4),"T=",AU330,"D=",AV330,"R=",AW330,"M=",AX330,"L=",AY330,"B=",AZ330)</f>
        <v>SHARPER T=1D=0R=0M=1L=2B=0</v>
      </c>
      <c r="G330" s="0" t="s">
        <v>176</v>
      </c>
      <c r="I330" s="0" t="s">
        <v>1881</v>
      </c>
      <c r="J330" s="0" t="s">
        <v>1882</v>
      </c>
      <c r="K330" s="0" t="s">
        <v>175</v>
      </c>
      <c r="M330" s="0" t="s">
        <v>1883</v>
      </c>
      <c r="N330" s="0" t="str">
        <f aca="false">RIGHT(M330,LEN(M330)-FIND(" ",M330))</f>
        <v>BONNIE BRAE AVE NE</v>
      </c>
      <c r="P330" s="0" t="s">
        <v>146</v>
      </c>
      <c r="Q330" s="0" t="s">
        <v>147</v>
      </c>
      <c r="R330" s="0" t="n">
        <v>44483</v>
      </c>
      <c r="AD330" s="0" t="s">
        <v>148</v>
      </c>
      <c r="AE330" s="0" t="s">
        <v>149</v>
      </c>
      <c r="AF330" s="0" t="s">
        <v>150</v>
      </c>
      <c r="AH330" s="0" t="n">
        <v>14</v>
      </c>
      <c r="AI330" s="0" t="n">
        <v>11</v>
      </c>
      <c r="AN330" s="0" t="s">
        <v>146</v>
      </c>
      <c r="AO330" s="0" t="s">
        <v>236</v>
      </c>
      <c r="AP330" s="0" t="s">
        <v>237</v>
      </c>
      <c r="AQ330" s="0" t="n">
        <v>9</v>
      </c>
      <c r="AR330" s="0" t="n">
        <v>64</v>
      </c>
      <c r="AS330" s="0" t="n">
        <v>32</v>
      </c>
      <c r="AU330" s="0" t="n">
        <f aca="false">COUNTA($BA$195:$EH$195)</f>
        <v>1</v>
      </c>
      <c r="AV330" s="0" t="n">
        <f aca="false">COUNTIF($BA$195:$EH$195,"D")</f>
        <v>0</v>
      </c>
      <c r="AW330" s="0" t="n">
        <f aca="false">COUNTIF($BA$195:$EH$195,"R")</f>
        <v>0</v>
      </c>
      <c r="AX330" s="0" t="n">
        <f aca="false"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>1</v>
      </c>
      <c r="AY330" s="0" t="n">
        <f aca="false">COUNTIF(DU330:EH330, "&lt;&gt;")</f>
        <v>2</v>
      </c>
      <c r="AZ330" s="0" t="n">
        <f aca="false">IF(EH330&lt;&gt;"",1,0)</f>
        <v>0</v>
      </c>
      <c r="BB330" s="0" t="s">
        <v>153</v>
      </c>
      <c r="BL330" s="0" t="s">
        <v>154</v>
      </c>
      <c r="BN330" s="0" t="s">
        <v>155</v>
      </c>
      <c r="BS330" s="0" t="s">
        <v>154</v>
      </c>
      <c r="CA330" s="0" t="s">
        <v>154</v>
      </c>
      <c r="CP330" s="0" t="s">
        <v>154</v>
      </c>
      <c r="DC330" s="0" t="s">
        <v>154</v>
      </c>
      <c r="DN330" s="0" t="s">
        <v>154</v>
      </c>
      <c r="DU330" s="0" t="s">
        <v>154</v>
      </c>
      <c r="EF330" s="0" t="s">
        <v>154</v>
      </c>
    </row>
    <row r="331" customFormat="false" ht="13.8" hidden="true" customHeight="false" outlineLevel="0" collapsed="false">
      <c r="A331" s="0" t="s">
        <v>1884</v>
      </c>
      <c r="B331" s="0" t="n">
        <v>78</v>
      </c>
      <c r="C331" s="0" t="n">
        <v>424474</v>
      </c>
      <c r="D331" s="0" t="s">
        <v>1879</v>
      </c>
      <c r="E331" s="0" t="s">
        <v>549</v>
      </c>
      <c r="F331" s="0" t="str">
        <f aca="false">CONCATENATE(D331," ",LEFT(H331,4),"T=",AU331,"D=",AV331,"R=",AW331,"M=",AX331,"L=",AY331,"B=",AZ331)</f>
        <v>SHARPER T=10D=1R=0M=0L=0B=0</v>
      </c>
      <c r="I331" s="0" t="s">
        <v>1885</v>
      </c>
      <c r="J331" s="0" t="s">
        <v>1886</v>
      </c>
      <c r="K331" s="0" t="s">
        <v>144</v>
      </c>
      <c r="L331" s="0"/>
      <c r="M331" s="0" t="s">
        <v>1883</v>
      </c>
      <c r="N331" s="0" t="str">
        <f aca="false">RIGHT(M331,LEN(M331)-FIND(" ",M331))</f>
        <v>BONNIE BRAE AVE NE</v>
      </c>
      <c r="P331" s="0" t="s">
        <v>146</v>
      </c>
      <c r="Q331" s="0" t="s">
        <v>147</v>
      </c>
      <c r="R331" s="0" t="n">
        <v>44483</v>
      </c>
      <c r="AD331" s="0" t="s">
        <v>148</v>
      </c>
      <c r="AE331" s="0" t="s">
        <v>149</v>
      </c>
      <c r="AF331" s="0" t="s">
        <v>150</v>
      </c>
      <c r="AH331" s="0" t="n">
        <v>14</v>
      </c>
      <c r="AI331" s="0" t="n">
        <v>11</v>
      </c>
      <c r="AN331" s="0" t="s">
        <v>146</v>
      </c>
      <c r="AO331" s="0" t="s">
        <v>236</v>
      </c>
      <c r="AP331" s="0" t="s">
        <v>237</v>
      </c>
      <c r="AQ331" s="0" t="n">
        <v>9</v>
      </c>
      <c r="AR331" s="0" t="n">
        <v>64</v>
      </c>
      <c r="AS331" s="0" t="n">
        <v>32</v>
      </c>
      <c r="AU331" s="0" t="n">
        <f aca="false">COUNTA($BA$878:$EH$878)</f>
        <v>10</v>
      </c>
      <c r="AV331" s="0" t="n">
        <f aca="false">COUNTIF($BA$878:$EH$878,"D")</f>
        <v>1</v>
      </c>
      <c r="AW331" s="0" t="n">
        <f aca="false">COUNTIF($BA$878:$EH$878,"R")</f>
        <v>0</v>
      </c>
      <c r="AX331" s="0" t="n">
        <f aca="false"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>0</v>
      </c>
      <c r="AY331" s="0" t="n">
        <f aca="false">COUNTIF(DU331:EH331, "&lt;&gt;")</f>
        <v>0</v>
      </c>
      <c r="AZ331" s="0" t="n">
        <f aca="false">IF(EH331&lt;&gt;"",1,0)</f>
        <v>0</v>
      </c>
      <c r="BB331" s="0" t="s">
        <v>153</v>
      </c>
      <c r="CA331" s="0" t="s">
        <v>154</v>
      </c>
    </row>
    <row r="332" customFormat="false" ht="13.8" hidden="true" customHeight="false" outlineLevel="0" collapsed="false">
      <c r="A332" s="0" t="s">
        <v>1887</v>
      </c>
      <c r="B332" s="0" t="n">
        <v>78</v>
      </c>
      <c r="C332" s="0" t="n">
        <v>464548</v>
      </c>
      <c r="D332" s="0" t="s">
        <v>1888</v>
      </c>
      <c r="E332" s="0" t="s">
        <v>1283</v>
      </c>
      <c r="F332" s="0" t="str">
        <f aca="false">CONCATENATE(D332," ",LEFT(H332,4),"T=",AU332,"D=",AV332,"R=",AW332,"M=",AX332,"L=",AY332,"B=",AZ332)</f>
        <v>GRANTZ T=5D=0R=0M=0L=0B=0</v>
      </c>
      <c r="G332" s="0" t="s">
        <v>172</v>
      </c>
      <c r="I332" s="0" t="s">
        <v>1889</v>
      </c>
      <c r="J332" s="0" t="s">
        <v>1890</v>
      </c>
      <c r="K332" s="0" t="s">
        <v>175</v>
      </c>
      <c r="L332" s="0"/>
      <c r="M332" s="0" t="s">
        <v>1891</v>
      </c>
      <c r="N332" s="0" t="str">
        <f aca="false">RIGHT(M332,LEN(M332)-FIND(" ",M332))</f>
        <v>BONNIE BRAE AVE NE</v>
      </c>
      <c r="P332" s="0" t="s">
        <v>146</v>
      </c>
      <c r="Q332" s="0" t="s">
        <v>147</v>
      </c>
      <c r="R332" s="0" t="n">
        <v>44483</v>
      </c>
      <c r="AD332" s="0" t="s">
        <v>148</v>
      </c>
      <c r="AE332" s="0" t="s">
        <v>149</v>
      </c>
      <c r="AF332" s="0" t="s">
        <v>150</v>
      </c>
      <c r="AH332" s="0" t="n">
        <v>14</v>
      </c>
      <c r="AI332" s="0" t="n">
        <v>11</v>
      </c>
      <c r="AN332" s="0" t="s">
        <v>146</v>
      </c>
      <c r="AO332" s="0" t="s">
        <v>236</v>
      </c>
      <c r="AP332" s="0" t="s">
        <v>237</v>
      </c>
      <c r="AQ332" s="0" t="n">
        <v>9</v>
      </c>
      <c r="AR332" s="0" t="n">
        <v>64</v>
      </c>
      <c r="AS332" s="0" t="n">
        <v>32</v>
      </c>
      <c r="AU332" s="0" t="n">
        <f aca="false">COUNTA($BA$42:$EH$42)</f>
        <v>5</v>
      </c>
      <c r="AV332" s="0" t="n">
        <f aca="false">COUNTIF($BA$42:$EH$42,"D")</f>
        <v>0</v>
      </c>
      <c r="AW332" s="0" t="n">
        <f aca="false">COUNTIF($BA$42:$EH$42,"R")</f>
        <v>0</v>
      </c>
      <c r="AX332" s="0" t="n">
        <f aca="false"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>0</v>
      </c>
      <c r="AY332" s="0" t="n">
        <f aca="false">COUNTIF(DU332:EH332, "&lt;&gt;")</f>
        <v>0</v>
      </c>
      <c r="AZ332" s="0" t="n">
        <f aca="false">IF(EH332&lt;&gt;"",1,0)</f>
        <v>0</v>
      </c>
      <c r="BB332" s="0" t="s">
        <v>153</v>
      </c>
    </row>
    <row r="333" customFormat="false" ht="13.8" hidden="true" customHeight="false" outlineLevel="0" collapsed="false">
      <c r="A333" s="0" t="s">
        <v>1892</v>
      </c>
      <c r="B333" s="0" t="n">
        <v>78</v>
      </c>
      <c r="C333" s="0" t="n">
        <v>489384</v>
      </c>
      <c r="D333" s="0" t="s">
        <v>1582</v>
      </c>
      <c r="E333" s="0" t="s">
        <v>1893</v>
      </c>
      <c r="F333" s="0" t="str">
        <f aca="false">CONCATENATE(D333," ",LEFT(H333,4),"T=",AU333,"D=",AV333,"R=",AW333,"M=",AX333,"L=",AY333,"B=",AZ333)</f>
        <v>SMITH T=12D=1R=0M=0L=1B=0</v>
      </c>
      <c r="G333" s="0" t="s">
        <v>1894</v>
      </c>
      <c r="I333" s="0" t="s">
        <v>1895</v>
      </c>
      <c r="J333" s="0" t="s">
        <v>1877</v>
      </c>
      <c r="K333" s="0" t="s">
        <v>175</v>
      </c>
      <c r="L333" s="0"/>
      <c r="M333" s="0" t="s">
        <v>1896</v>
      </c>
      <c r="N333" s="0" t="str">
        <f aca="false">RIGHT(M333,LEN(M333)-FIND(" ",M333))</f>
        <v>BONNIE BRAE AVE NE</v>
      </c>
      <c r="P333" s="0" t="s">
        <v>146</v>
      </c>
      <c r="Q333" s="0" t="s">
        <v>147</v>
      </c>
      <c r="R333" s="0" t="n">
        <v>44483</v>
      </c>
      <c r="AD333" s="0" t="s">
        <v>148</v>
      </c>
      <c r="AE333" s="0" t="s">
        <v>149</v>
      </c>
      <c r="AF333" s="0" t="s">
        <v>150</v>
      </c>
      <c r="AH333" s="0" t="n">
        <v>14</v>
      </c>
      <c r="AI333" s="0" t="n">
        <v>11</v>
      </c>
      <c r="AN333" s="0" t="s">
        <v>146</v>
      </c>
      <c r="AO333" s="0" t="s">
        <v>236</v>
      </c>
      <c r="AP333" s="0" t="s">
        <v>237</v>
      </c>
      <c r="AQ333" s="0" t="n">
        <v>9</v>
      </c>
      <c r="AR333" s="0" t="n">
        <v>64</v>
      </c>
      <c r="AS333" s="0" t="n">
        <v>32</v>
      </c>
      <c r="AU333" s="0" t="n">
        <f aca="false">COUNTA($BA$287:$EH$287)</f>
        <v>12</v>
      </c>
      <c r="AV333" s="0" t="n">
        <f aca="false">COUNTIF($BA$287:$EH$287,"D")</f>
        <v>1</v>
      </c>
      <c r="AW333" s="0" t="n">
        <f aca="false">COUNTIF($BA$287:$EH$287,"R")</f>
        <v>0</v>
      </c>
      <c r="AX333" s="0" t="n">
        <f aca="false"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>0</v>
      </c>
      <c r="AY333" s="0" t="n">
        <f aca="false">COUNTIF(DU333:EH333, "&lt;&gt;")</f>
        <v>1</v>
      </c>
      <c r="AZ333" s="0" t="n">
        <f aca="false">IF(EH333&lt;&gt;"",1,0)</f>
        <v>0</v>
      </c>
      <c r="BB333" s="0" t="s">
        <v>153</v>
      </c>
      <c r="EF333" s="0" t="s">
        <v>154</v>
      </c>
    </row>
    <row r="334" customFormat="false" ht="13.8" hidden="true" customHeight="false" outlineLevel="0" collapsed="false">
      <c r="A334" s="0" t="s">
        <v>1897</v>
      </c>
      <c r="B334" s="0" t="n">
        <v>78</v>
      </c>
      <c r="C334" s="0" t="n">
        <v>315410</v>
      </c>
      <c r="D334" s="0" t="s">
        <v>1582</v>
      </c>
      <c r="E334" s="0" t="s">
        <v>1852</v>
      </c>
      <c r="F334" s="0" t="str">
        <f aca="false">CONCATENATE(D334," ",LEFT(H334,4),"T=",AU334,"D=",AV334,"R=",AW334,"M=",AX334,"L=",AY334,"B=",AZ334)</f>
        <v>SMITH T=4D=0R=0M=1L=1B=0</v>
      </c>
      <c r="G334" s="0" t="s">
        <v>563</v>
      </c>
      <c r="I334" s="0" t="s">
        <v>1898</v>
      </c>
      <c r="J334" s="0" t="s">
        <v>1899</v>
      </c>
      <c r="K334" s="0" t="s">
        <v>175</v>
      </c>
      <c r="L334" s="0"/>
      <c r="M334" s="0" t="s">
        <v>1896</v>
      </c>
      <c r="N334" s="0" t="str">
        <f aca="false">RIGHT(M334,LEN(M334)-FIND(" ",M334))</f>
        <v>BONNIE BRAE AVE NE</v>
      </c>
      <c r="P334" s="0" t="s">
        <v>146</v>
      </c>
      <c r="Q334" s="0" t="s">
        <v>147</v>
      </c>
      <c r="R334" s="0" t="n">
        <v>44483</v>
      </c>
      <c r="AD334" s="0" t="s">
        <v>148</v>
      </c>
      <c r="AE334" s="0" t="s">
        <v>149</v>
      </c>
      <c r="AF334" s="0" t="s">
        <v>150</v>
      </c>
      <c r="AH334" s="0" t="n">
        <v>14</v>
      </c>
      <c r="AI334" s="0" t="n">
        <v>11</v>
      </c>
      <c r="AN334" s="0" t="s">
        <v>146</v>
      </c>
      <c r="AO334" s="0" t="s">
        <v>236</v>
      </c>
      <c r="AP334" s="0" t="s">
        <v>237</v>
      </c>
      <c r="AQ334" s="0" t="n">
        <v>9</v>
      </c>
      <c r="AR334" s="0" t="n">
        <v>64</v>
      </c>
      <c r="AS334" s="0" t="n">
        <v>32</v>
      </c>
      <c r="AU334" s="0" t="n">
        <f aca="false">COUNTA($BA$1018:$EH$1018)</f>
        <v>4</v>
      </c>
      <c r="AV334" s="0" t="n">
        <f aca="false">COUNTIF($BA$1018:$EH$1018,"D")</f>
        <v>0</v>
      </c>
      <c r="AW334" s="0" t="n">
        <f aca="false">COUNTIF($BA$1018:$EH$1018,"R")</f>
        <v>0</v>
      </c>
      <c r="AX334" s="0" t="n">
        <f aca="false"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>1</v>
      </c>
      <c r="AY334" s="0" t="n">
        <f aca="false">COUNTIF(DU334:EH334, "&lt;&gt;")</f>
        <v>1</v>
      </c>
      <c r="AZ334" s="0" t="n">
        <f aca="false">IF(EH334&lt;&gt;"",1,0)</f>
        <v>0</v>
      </c>
      <c r="BB334" s="0" t="s">
        <v>153</v>
      </c>
      <c r="BL334" s="0" t="s">
        <v>154</v>
      </c>
      <c r="DN334" s="0" t="s">
        <v>154</v>
      </c>
      <c r="DO334" s="0" t="s">
        <v>155</v>
      </c>
      <c r="EF334" s="0" t="s">
        <v>154</v>
      </c>
    </row>
    <row r="335" customFormat="false" ht="13.8" hidden="true" customHeight="false" outlineLevel="0" collapsed="false">
      <c r="A335" s="0" t="s">
        <v>1900</v>
      </c>
      <c r="B335" s="0" t="n">
        <v>78</v>
      </c>
      <c r="C335" s="0" t="n">
        <v>495817</v>
      </c>
      <c r="D335" s="0" t="s">
        <v>1901</v>
      </c>
      <c r="E335" s="0" t="s">
        <v>1893</v>
      </c>
      <c r="F335" s="0" t="str">
        <f aca="false">CONCATENATE(D335," ",LEFT(H335,4),"T=",AU335,"D=",AV335,"R=",AW335,"M=",AX335,"L=",AY335,"B=",AZ335)</f>
        <v>SNYDER T=30D=8R=4M=0L=0B=0</v>
      </c>
      <c r="G335" s="0" t="s">
        <v>317</v>
      </c>
      <c r="I335" s="0" t="s">
        <v>1902</v>
      </c>
      <c r="J335" s="0" t="s">
        <v>1903</v>
      </c>
      <c r="K335" s="0" t="s">
        <v>175</v>
      </c>
      <c r="L335" s="0"/>
      <c r="M335" s="0" t="s">
        <v>1904</v>
      </c>
      <c r="N335" s="0" t="str">
        <f aca="false">RIGHT(M335,LEN(M335)-FIND(" ",M335))</f>
        <v>BONNIE BRAE AVE NE</v>
      </c>
      <c r="P335" s="0" t="s">
        <v>146</v>
      </c>
      <c r="Q335" s="0" t="s">
        <v>147</v>
      </c>
      <c r="R335" s="0" t="n">
        <v>44483</v>
      </c>
      <c r="AD335" s="0" t="s">
        <v>148</v>
      </c>
      <c r="AE335" s="0" t="s">
        <v>149</v>
      </c>
      <c r="AF335" s="0" t="s">
        <v>150</v>
      </c>
      <c r="AH335" s="0" t="n">
        <v>14</v>
      </c>
      <c r="AI335" s="0" t="n">
        <v>11</v>
      </c>
      <c r="AN335" s="0" t="s">
        <v>146</v>
      </c>
      <c r="AO335" s="0" t="s">
        <v>236</v>
      </c>
      <c r="AP335" s="0" t="s">
        <v>237</v>
      </c>
      <c r="AQ335" s="0" t="n">
        <v>9</v>
      </c>
      <c r="AR335" s="0" t="n">
        <v>64</v>
      </c>
      <c r="AS335" s="0" t="n">
        <v>32</v>
      </c>
      <c r="AU335" s="0" t="n">
        <f aca="false">COUNTA($BA$438:$EH$438)</f>
        <v>30</v>
      </c>
      <c r="AV335" s="0" t="n">
        <f aca="false">COUNTIF($BA$438:$EH$438,"D")</f>
        <v>8</v>
      </c>
      <c r="AW335" s="0" t="n">
        <f aca="false">COUNTIF($BA$438:$EH$438,"R")</f>
        <v>4</v>
      </c>
      <c r="AX335" s="0" t="n">
        <f aca="false"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>0</v>
      </c>
      <c r="AY335" s="0" t="n">
        <f aca="false">COUNTIF(DU335:EH335, "&lt;&gt;")</f>
        <v>0</v>
      </c>
      <c r="AZ335" s="0" t="n">
        <f aca="false">IF(EH335&lt;&gt;"",1,0)</f>
        <v>0</v>
      </c>
      <c r="BB335" s="0" t="s">
        <v>153</v>
      </c>
    </row>
    <row r="336" customFormat="false" ht="13.8" hidden="true" customHeight="false" outlineLevel="0" collapsed="false">
      <c r="A336" s="0" t="s">
        <v>1905</v>
      </c>
      <c r="B336" s="0" t="n">
        <v>78</v>
      </c>
      <c r="C336" s="0" t="n">
        <v>401398</v>
      </c>
      <c r="D336" s="0" t="s">
        <v>1906</v>
      </c>
      <c r="E336" s="0" t="s">
        <v>903</v>
      </c>
      <c r="F336" s="0" t="str">
        <f aca="false">CONCATENATE(D336," ",LEFT(H336,4),"T=",AU336,"D=",AV336,"R=",AW336,"M=",AX336,"L=",AY336,"B=",AZ336)</f>
        <v>GORE T=4D=0R=1M=0L=0B=0</v>
      </c>
      <c r="G336" s="0" t="s">
        <v>216</v>
      </c>
      <c r="I336" s="0" t="s">
        <v>1907</v>
      </c>
      <c r="J336" s="0" t="s">
        <v>1908</v>
      </c>
      <c r="K336" s="0" t="s">
        <v>175</v>
      </c>
      <c r="L336" s="0"/>
      <c r="M336" s="0" t="s">
        <v>1904</v>
      </c>
      <c r="N336" s="0" t="str">
        <f aca="false">RIGHT(M336,LEN(M336)-FIND(" ",M336))</f>
        <v>BONNIE BRAE AVE NE</v>
      </c>
      <c r="P336" s="0" t="s">
        <v>146</v>
      </c>
      <c r="Q336" s="0" t="s">
        <v>147</v>
      </c>
      <c r="R336" s="0" t="n">
        <v>44483</v>
      </c>
      <c r="AD336" s="0" t="s">
        <v>148</v>
      </c>
      <c r="AE336" s="0" t="s">
        <v>149</v>
      </c>
      <c r="AF336" s="0" t="s">
        <v>150</v>
      </c>
      <c r="AH336" s="0" t="n">
        <v>14</v>
      </c>
      <c r="AI336" s="0" t="n">
        <v>11</v>
      </c>
      <c r="AN336" s="0" t="s">
        <v>146</v>
      </c>
      <c r="AO336" s="0" t="s">
        <v>236</v>
      </c>
      <c r="AP336" s="0" t="s">
        <v>237</v>
      </c>
      <c r="AQ336" s="0" t="n">
        <v>9</v>
      </c>
      <c r="AR336" s="0" t="n">
        <v>64</v>
      </c>
      <c r="AS336" s="0" t="n">
        <v>32</v>
      </c>
      <c r="AU336" s="0" t="n">
        <f aca="false">COUNTA($BA$522:$EH$522)</f>
        <v>4</v>
      </c>
      <c r="AV336" s="0" t="n">
        <f aca="false">COUNTIF($BA$522:$EH$522,"D")</f>
        <v>0</v>
      </c>
      <c r="AW336" s="0" t="n">
        <f aca="false">COUNTIF($BA$522:$EH$522,"R")</f>
        <v>1</v>
      </c>
      <c r="AX336" s="0" t="n">
        <f aca="false"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>0</v>
      </c>
      <c r="AY336" s="0" t="n">
        <f aca="false">COUNTIF(DU336:EH336, "&lt;&gt;")</f>
        <v>0</v>
      </c>
      <c r="AZ336" s="0" t="n">
        <f aca="false">IF(EH336&lt;&gt;"",1,0)</f>
        <v>0</v>
      </c>
      <c r="BB336" s="0" t="s">
        <v>153</v>
      </c>
      <c r="CY336" s="0" t="s">
        <v>154</v>
      </c>
    </row>
    <row r="337" customFormat="false" ht="13.8" hidden="true" customHeight="false" outlineLevel="0" collapsed="false">
      <c r="A337" s="0" t="s">
        <v>1909</v>
      </c>
      <c r="B337" s="0" t="n">
        <v>78</v>
      </c>
      <c r="C337" s="0" t="n">
        <v>404578</v>
      </c>
      <c r="D337" s="0" t="s">
        <v>801</v>
      </c>
      <c r="E337" s="0" t="s">
        <v>165</v>
      </c>
      <c r="F337" s="0" t="str">
        <f aca="false">CONCATENATE(D337," ",LEFT(H337,4),"T=",AU337,"D=",AV337,"R=",AW337,"M=",AX337,"L=",AY337,"B=",AZ337)</f>
        <v>BELL T=1D=0R=0M=0L=1B=0</v>
      </c>
      <c r="G337" s="0" t="s">
        <v>1910</v>
      </c>
      <c r="I337" s="0" t="s">
        <v>1911</v>
      </c>
      <c r="J337" s="0" t="s">
        <v>1912</v>
      </c>
      <c r="K337" s="0" t="s">
        <v>175</v>
      </c>
      <c r="L337" s="0"/>
      <c r="M337" s="0" t="s">
        <v>1913</v>
      </c>
      <c r="N337" s="0" t="str">
        <f aca="false">RIGHT(M337,LEN(M337)-FIND(" ",M337))</f>
        <v>BONNIE BRAE AVE NE</v>
      </c>
      <c r="P337" s="0" t="s">
        <v>146</v>
      </c>
      <c r="Q337" s="0" t="s">
        <v>147</v>
      </c>
      <c r="R337" s="0" t="n">
        <v>44483</v>
      </c>
      <c r="AD337" s="0" t="s">
        <v>148</v>
      </c>
      <c r="AE337" s="0" t="s">
        <v>149</v>
      </c>
      <c r="AF337" s="0" t="s">
        <v>150</v>
      </c>
      <c r="AH337" s="0" t="n">
        <v>14</v>
      </c>
      <c r="AI337" s="0" t="n">
        <v>11</v>
      </c>
      <c r="AN337" s="0" t="s">
        <v>146</v>
      </c>
      <c r="AO337" s="0" t="s">
        <v>236</v>
      </c>
      <c r="AP337" s="0" t="s">
        <v>237</v>
      </c>
      <c r="AQ337" s="0" t="n">
        <v>9</v>
      </c>
      <c r="AR337" s="0" t="n">
        <v>64</v>
      </c>
      <c r="AS337" s="0" t="n">
        <v>32</v>
      </c>
      <c r="AU337" s="0" t="n">
        <f aca="false">COUNTA($BA$942:$EH$942)</f>
        <v>1</v>
      </c>
      <c r="AV337" s="0" t="n">
        <f aca="false">COUNTIF($BA$942:$EH$942,"D")</f>
        <v>0</v>
      </c>
      <c r="AW337" s="0" t="n">
        <f aca="false">COUNTIF($BA$942:$EH$942,"R")</f>
        <v>0</v>
      </c>
      <c r="AX337" s="0" t="n">
        <f aca="false"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>0</v>
      </c>
      <c r="AY337" s="0" t="n">
        <f aca="false">COUNTIF(DU337:EH337, "&lt;&gt;")</f>
        <v>1</v>
      </c>
      <c r="AZ337" s="0" t="n">
        <f aca="false">IF(EH337&lt;&gt;"",1,0)</f>
        <v>0</v>
      </c>
      <c r="BB337" s="0" t="s">
        <v>153</v>
      </c>
      <c r="CV337" s="0" t="s">
        <v>154</v>
      </c>
      <c r="CW337" s="0" t="s">
        <v>154</v>
      </c>
      <c r="EA337" s="0" t="s">
        <v>154</v>
      </c>
    </row>
    <row r="338" customFormat="false" ht="13.8" hidden="true" customHeight="false" outlineLevel="0" collapsed="false">
      <c r="A338" s="0" t="s">
        <v>1914</v>
      </c>
      <c r="B338" s="0" t="n">
        <v>78</v>
      </c>
      <c r="C338" s="0" t="n">
        <v>466850</v>
      </c>
      <c r="D338" s="0" t="s">
        <v>1915</v>
      </c>
      <c r="E338" s="0" t="s">
        <v>1916</v>
      </c>
      <c r="F338" s="0" t="str">
        <f aca="false">CONCATENATE(D338," ",LEFT(H338,4),"T=",AU338,"D=",AV338,"R=",AW338,"M=",AX338,"L=",AY338,"B=",AZ338)</f>
        <v>GILMORE T=20D=3R=0M=0L=0B=0</v>
      </c>
      <c r="G338" s="0" t="s">
        <v>176</v>
      </c>
      <c r="I338" s="0" t="s">
        <v>174</v>
      </c>
      <c r="J338" s="0" t="s">
        <v>1917</v>
      </c>
      <c r="K338" s="0" t="s">
        <v>175</v>
      </c>
      <c r="L338" s="0"/>
      <c r="M338" s="0" t="s">
        <v>1918</v>
      </c>
      <c r="N338" s="0" t="str">
        <f aca="false">RIGHT(M338,LEN(M338)-FIND(" ",M338))</f>
        <v>BONNIE BRAE AVE NE</v>
      </c>
      <c r="P338" s="0" t="s">
        <v>146</v>
      </c>
      <c r="Q338" s="0" t="s">
        <v>147</v>
      </c>
      <c r="R338" s="0" t="n">
        <v>44483</v>
      </c>
      <c r="AD338" s="0" t="s">
        <v>148</v>
      </c>
      <c r="AE338" s="0" t="s">
        <v>149</v>
      </c>
      <c r="AF338" s="0" t="s">
        <v>150</v>
      </c>
      <c r="AH338" s="0" t="n">
        <v>14</v>
      </c>
      <c r="AI338" s="0" t="n">
        <v>11</v>
      </c>
      <c r="AN338" s="0" t="s">
        <v>146</v>
      </c>
      <c r="AO338" s="0" t="s">
        <v>236</v>
      </c>
      <c r="AP338" s="0" t="s">
        <v>237</v>
      </c>
      <c r="AQ338" s="0" t="n">
        <v>9</v>
      </c>
      <c r="AR338" s="0" t="n">
        <v>64</v>
      </c>
      <c r="AS338" s="0" t="n">
        <v>32</v>
      </c>
      <c r="AU338" s="0" t="n">
        <f aca="false">COUNTA($BA$482:$EH$482)</f>
        <v>20</v>
      </c>
      <c r="AV338" s="0" t="n">
        <f aca="false">COUNTIF($BA$482:$EH$482,"D")</f>
        <v>3</v>
      </c>
      <c r="AW338" s="0" t="n">
        <f aca="false">COUNTIF($BA$482:$EH$482,"R")</f>
        <v>0</v>
      </c>
      <c r="AX338" s="0" t="n">
        <f aca="false"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>0</v>
      </c>
      <c r="AY338" s="0" t="n">
        <f aca="false">COUNTIF(DU338:EH338, "&lt;&gt;")</f>
        <v>0</v>
      </c>
      <c r="AZ338" s="0" t="n">
        <f aca="false">IF(EH338&lt;&gt;"",1,0)</f>
        <v>0</v>
      </c>
      <c r="BB338" s="0" t="s">
        <v>153</v>
      </c>
    </row>
    <row r="339" customFormat="false" ht="13.8" hidden="true" customHeight="false" outlineLevel="0" collapsed="false">
      <c r="A339" s="0" t="s">
        <v>1919</v>
      </c>
      <c r="B339" s="0" t="n">
        <v>78</v>
      </c>
      <c r="C339" s="0" t="n">
        <v>466225</v>
      </c>
      <c r="D339" s="0" t="s">
        <v>1920</v>
      </c>
      <c r="E339" s="0" t="s">
        <v>1916</v>
      </c>
      <c r="F339" s="0" t="str">
        <f aca="false">CONCATENATE(D339," ",LEFT(H339,4),"T=",AU339,"D=",AV339,"R=",AW339,"M=",AX339,"L=",AY339,"B=",AZ339)</f>
        <v>KELLY T=1D=0R=0M=0L=0B=0</v>
      </c>
      <c r="G339" s="0" t="s">
        <v>277</v>
      </c>
      <c r="I339" s="0" t="s">
        <v>1921</v>
      </c>
      <c r="J339" s="0" t="s">
        <v>757</v>
      </c>
      <c r="K339" s="0" t="s">
        <v>175</v>
      </c>
      <c r="L339" s="0"/>
      <c r="M339" s="0" t="s">
        <v>1918</v>
      </c>
      <c r="N339" s="0" t="str">
        <f aca="false">RIGHT(M339,LEN(M339)-FIND(" ",M339))</f>
        <v>BONNIE BRAE AVE NE</v>
      </c>
      <c r="P339" s="0" t="s">
        <v>146</v>
      </c>
      <c r="Q339" s="0" t="s">
        <v>147</v>
      </c>
      <c r="R339" s="0" t="n">
        <v>44483</v>
      </c>
      <c r="AD339" s="0" t="s">
        <v>148</v>
      </c>
      <c r="AE339" s="0" t="s">
        <v>149</v>
      </c>
      <c r="AF339" s="0" t="s">
        <v>150</v>
      </c>
      <c r="AH339" s="0" t="n">
        <v>14</v>
      </c>
      <c r="AI339" s="0" t="n">
        <v>11</v>
      </c>
      <c r="AN339" s="0" t="s">
        <v>146</v>
      </c>
      <c r="AO339" s="0" t="s">
        <v>236</v>
      </c>
      <c r="AP339" s="0" t="s">
        <v>237</v>
      </c>
      <c r="AQ339" s="0" t="n">
        <v>9</v>
      </c>
      <c r="AR339" s="0" t="n">
        <v>64</v>
      </c>
      <c r="AS339" s="0" t="n">
        <v>32</v>
      </c>
      <c r="AU339" s="0" t="n">
        <f aca="false">COUNTA($BA$513:$EH$513)</f>
        <v>1</v>
      </c>
      <c r="AV339" s="0" t="n">
        <f aca="false">COUNTIF($BA$513:$EH$513,"D")</f>
        <v>0</v>
      </c>
      <c r="AW339" s="0" t="n">
        <f aca="false">COUNTIF($BA$513:$EH$513,"R")</f>
        <v>0</v>
      </c>
      <c r="AX339" s="0" t="n">
        <f aca="false"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>0</v>
      </c>
      <c r="AY339" s="0" t="n">
        <f aca="false">COUNTIF(DU339:EH339, "&lt;&gt;")</f>
        <v>0</v>
      </c>
      <c r="AZ339" s="0" t="n">
        <f aca="false">IF(EH339&lt;&gt;"",1,0)</f>
        <v>0</v>
      </c>
      <c r="BB339" s="0" t="s">
        <v>153</v>
      </c>
    </row>
    <row r="340" customFormat="false" ht="13.8" hidden="true" customHeight="false" outlineLevel="0" collapsed="false">
      <c r="A340" s="0" t="s">
        <v>1922</v>
      </c>
      <c r="B340" s="0" t="n">
        <v>78</v>
      </c>
      <c r="C340" s="0" t="n">
        <v>336868</v>
      </c>
      <c r="D340" s="0" t="s">
        <v>1923</v>
      </c>
      <c r="E340" s="0" t="s">
        <v>1924</v>
      </c>
      <c r="F340" s="0" t="str">
        <f aca="false">CONCATENATE(D340," ",LEFT(H340,4),"T=",AU340,"D=",AV340,"R=",AW340,"M=",AX340,"L=",AY340,"B=",AZ340)</f>
        <v>SIX T=2D=0R=0M=0L=0B=0</v>
      </c>
      <c r="G340" s="0" t="s">
        <v>1916</v>
      </c>
      <c r="I340" s="0" t="s">
        <v>1925</v>
      </c>
      <c r="J340" s="0" t="s">
        <v>1926</v>
      </c>
      <c r="K340" s="0" t="s">
        <v>144</v>
      </c>
      <c r="L340" s="0"/>
      <c r="M340" s="0" t="s">
        <v>1918</v>
      </c>
      <c r="N340" s="0" t="str">
        <f aca="false">RIGHT(M340,LEN(M340)-FIND(" ",M340))</f>
        <v>BONNIE BRAE AVE NE</v>
      </c>
      <c r="P340" s="0" t="s">
        <v>146</v>
      </c>
      <c r="Q340" s="0" t="s">
        <v>147</v>
      </c>
      <c r="R340" s="0" t="n">
        <v>44483</v>
      </c>
      <c r="AD340" s="0" t="s">
        <v>148</v>
      </c>
      <c r="AE340" s="0" t="s">
        <v>149</v>
      </c>
      <c r="AF340" s="0" t="s">
        <v>150</v>
      </c>
      <c r="AH340" s="0" t="n">
        <v>14</v>
      </c>
      <c r="AI340" s="0" t="n">
        <v>11</v>
      </c>
      <c r="AN340" s="0" t="s">
        <v>146</v>
      </c>
      <c r="AO340" s="0" t="s">
        <v>236</v>
      </c>
      <c r="AP340" s="0" t="s">
        <v>237</v>
      </c>
      <c r="AQ340" s="0" t="n">
        <v>9</v>
      </c>
      <c r="AR340" s="0" t="n">
        <v>64</v>
      </c>
      <c r="AS340" s="0" t="n">
        <v>32</v>
      </c>
      <c r="AU340" s="0" t="n">
        <f aca="false">COUNTA($BA$520:$EH$520)</f>
        <v>2</v>
      </c>
      <c r="AV340" s="0" t="n">
        <f aca="false">COUNTIF($BA$520:$EH$520,"D")</f>
        <v>0</v>
      </c>
      <c r="AW340" s="0" t="n">
        <f aca="false">COUNTIF($BA$520:$EH$520,"R")</f>
        <v>0</v>
      </c>
      <c r="AX340" s="0" t="n">
        <f aca="false"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>0</v>
      </c>
      <c r="AY340" s="0" t="n">
        <f aca="false">COUNTIF(DU340:EH340, "&lt;&gt;")</f>
        <v>0</v>
      </c>
      <c r="AZ340" s="0" t="n">
        <f aca="false">IF(EH340&lt;&gt;"",1,0)</f>
        <v>0</v>
      </c>
      <c r="BB340" s="0" t="s">
        <v>153</v>
      </c>
    </row>
    <row r="341" customFormat="false" ht="13.8" hidden="false" customHeight="false" outlineLevel="0" collapsed="false">
      <c r="A341" s="0" t="s">
        <v>1927</v>
      </c>
      <c r="B341" s="0" t="n">
        <v>78</v>
      </c>
      <c r="C341" s="0" t="n">
        <v>392789</v>
      </c>
      <c r="D341" s="0" t="s">
        <v>1928</v>
      </c>
      <c r="E341" s="0" t="s">
        <v>1374</v>
      </c>
      <c r="F341" s="0" t="str">
        <f aca="false">CONCATENATE(D341," ",LEFT(H341,4),"T=",AU341,"D=",AV341,"R=",AW341,"M=",AX341,"L=",AY341,"B=",AZ341)</f>
        <v>FRAME T=41D=13R=0M=0L=5B=0</v>
      </c>
      <c r="G341" s="0" t="s">
        <v>652</v>
      </c>
      <c r="I341" s="0" t="s">
        <v>1929</v>
      </c>
      <c r="J341" s="0" t="s">
        <v>1930</v>
      </c>
      <c r="K341" s="0" t="s">
        <v>175</v>
      </c>
      <c r="L341" s="1" t="s">
        <v>176</v>
      </c>
      <c r="M341" s="0" t="s">
        <v>1931</v>
      </c>
      <c r="N341" s="0" t="str">
        <f aca="false">RIGHT(M341,LEN(M341)-FIND(" ",M341))</f>
        <v>BONNIE BRAE AVE NE</v>
      </c>
      <c r="P341" s="0" t="s">
        <v>146</v>
      </c>
      <c r="Q341" s="0" t="s">
        <v>147</v>
      </c>
      <c r="R341" s="0" t="n">
        <v>44483</v>
      </c>
      <c r="AD341" s="0" t="s">
        <v>148</v>
      </c>
      <c r="AE341" s="0" t="s">
        <v>149</v>
      </c>
      <c r="AF341" s="0" t="s">
        <v>150</v>
      </c>
      <c r="AH341" s="0" t="n">
        <v>14</v>
      </c>
      <c r="AI341" s="0" t="n">
        <v>11</v>
      </c>
      <c r="AN341" s="0" t="s">
        <v>146</v>
      </c>
      <c r="AO341" s="0" t="s">
        <v>236</v>
      </c>
      <c r="AP341" s="0" t="s">
        <v>237</v>
      </c>
      <c r="AQ341" s="0" t="n">
        <v>9</v>
      </c>
      <c r="AR341" s="0" t="n">
        <v>64</v>
      </c>
      <c r="AS341" s="0" t="n">
        <v>32</v>
      </c>
      <c r="AU341" s="0" t="n">
        <f aca="false">COUNTA($BA$534:$EH$534)</f>
        <v>41</v>
      </c>
      <c r="AV341" s="0" t="n">
        <f aca="false">COUNTIF($BA$534:$EH$534,"D")</f>
        <v>13</v>
      </c>
      <c r="AW341" s="0" t="n">
        <f aca="false">COUNTIF($BA$534:$EH$534,"R")</f>
        <v>0</v>
      </c>
      <c r="AX341" s="0" t="n">
        <f aca="false"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>0</v>
      </c>
      <c r="AY341" s="0" t="n">
        <f aca="false">COUNTIF(DU341:EH341, "&lt;&gt;")</f>
        <v>5</v>
      </c>
      <c r="AZ341" s="0" t="n">
        <f aca="false">IF(EH341&lt;&gt;"",1,0)</f>
        <v>0</v>
      </c>
      <c r="BB341" s="0" t="s">
        <v>153</v>
      </c>
      <c r="CP341" s="0" t="s">
        <v>154</v>
      </c>
      <c r="CV341" s="0" t="s">
        <v>154</v>
      </c>
      <c r="CZ341" s="0" t="s">
        <v>176</v>
      </c>
      <c r="DC341" s="0" t="s">
        <v>154</v>
      </c>
      <c r="DN341" s="0" t="s">
        <v>154</v>
      </c>
      <c r="DS341" s="0" t="s">
        <v>176</v>
      </c>
      <c r="DU341" s="0" t="s">
        <v>154</v>
      </c>
      <c r="DX341" s="0" t="s">
        <v>154</v>
      </c>
      <c r="EA341" s="0" t="s">
        <v>154</v>
      </c>
      <c r="ED341" s="0" t="s">
        <v>176</v>
      </c>
      <c r="EF341" s="0" t="s">
        <v>154</v>
      </c>
    </row>
    <row r="342" customFormat="false" ht="13.8" hidden="false" customHeight="false" outlineLevel="0" collapsed="false">
      <c r="A342" s="0" t="s">
        <v>1932</v>
      </c>
      <c r="B342" s="0" t="n">
        <v>78</v>
      </c>
      <c r="C342" s="0" t="n">
        <v>288946</v>
      </c>
      <c r="D342" s="0" t="s">
        <v>1928</v>
      </c>
      <c r="E342" s="0" t="s">
        <v>1933</v>
      </c>
      <c r="F342" s="0" t="str">
        <f aca="false">CONCATENATE(D342," ",LEFT(H342,4),"T=",AU342,"D=",AV342,"R=",AW342,"M=",AX342,"L=",AY342,"B=",AZ342)</f>
        <v>FRAME T=5D=0R=0M=0L=5B=0</v>
      </c>
      <c r="G342" s="0" t="s">
        <v>172</v>
      </c>
      <c r="I342" s="0" t="s">
        <v>1934</v>
      </c>
      <c r="J342" s="0" t="s">
        <v>1935</v>
      </c>
      <c r="K342" s="0" t="s">
        <v>175</v>
      </c>
      <c r="L342" s="1" t="s">
        <v>176</v>
      </c>
      <c r="M342" s="0" t="s">
        <v>1931</v>
      </c>
      <c r="N342" s="0" t="str">
        <f aca="false">RIGHT(M342,LEN(M342)-FIND(" ",M342))</f>
        <v>BONNIE BRAE AVE NE</v>
      </c>
      <c r="P342" s="0" t="s">
        <v>146</v>
      </c>
      <c r="Q342" s="0" t="s">
        <v>147</v>
      </c>
      <c r="R342" s="0" t="n">
        <v>44483</v>
      </c>
      <c r="AD342" s="0" t="s">
        <v>148</v>
      </c>
      <c r="AE342" s="0" t="s">
        <v>149</v>
      </c>
      <c r="AF342" s="0" t="s">
        <v>150</v>
      </c>
      <c r="AH342" s="0" t="n">
        <v>14</v>
      </c>
      <c r="AI342" s="0" t="n">
        <v>11</v>
      </c>
      <c r="AN342" s="0" t="s">
        <v>146</v>
      </c>
      <c r="AO342" s="0" t="s">
        <v>236</v>
      </c>
      <c r="AP342" s="0" t="s">
        <v>237</v>
      </c>
      <c r="AQ342" s="0" t="n">
        <v>9</v>
      </c>
      <c r="AR342" s="0" t="n">
        <v>64</v>
      </c>
      <c r="AS342" s="0" t="n">
        <v>32</v>
      </c>
      <c r="AU342" s="0" t="n">
        <f aca="false">COUNTA($BA$709:$EH$709)</f>
        <v>5</v>
      </c>
      <c r="AV342" s="0" t="n">
        <f aca="false">COUNTIF($BA$709:$EH$709,"D")</f>
        <v>0</v>
      </c>
      <c r="AW342" s="0" t="n">
        <f aca="false">COUNTIF($BA$709:$EH$709,"R")</f>
        <v>0</v>
      </c>
      <c r="AX342" s="0" t="n">
        <f aca="false"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>0</v>
      </c>
      <c r="AY342" s="0" t="n">
        <f aca="false">COUNTIF(DU342:EH342, "&lt;&gt;")</f>
        <v>5</v>
      </c>
      <c r="AZ342" s="0" t="n">
        <f aca="false">IF(EH342&lt;&gt;"",1,0)</f>
        <v>0</v>
      </c>
      <c r="BB342" s="0" t="s">
        <v>153</v>
      </c>
      <c r="BC342" s="0" t="s">
        <v>154</v>
      </c>
      <c r="BD342" s="0" t="s">
        <v>154</v>
      </c>
      <c r="BL342" s="0" t="s">
        <v>154</v>
      </c>
      <c r="BP342" s="0" t="s">
        <v>154</v>
      </c>
      <c r="BS342" s="0" t="s">
        <v>154</v>
      </c>
      <c r="CA342" s="0" t="s">
        <v>154</v>
      </c>
      <c r="CP342" s="0" t="s">
        <v>154</v>
      </c>
      <c r="CZ342" s="0" t="s">
        <v>176</v>
      </c>
      <c r="DC342" s="0" t="s">
        <v>154</v>
      </c>
      <c r="DN342" s="0" t="s">
        <v>154</v>
      </c>
      <c r="DR342" s="0" t="s">
        <v>154</v>
      </c>
      <c r="DS342" s="0" t="s">
        <v>176</v>
      </c>
      <c r="DU342" s="0" t="s">
        <v>154</v>
      </c>
      <c r="DX342" s="0" t="s">
        <v>154</v>
      </c>
      <c r="EA342" s="0" t="s">
        <v>154</v>
      </c>
      <c r="ED342" s="0" t="s">
        <v>176</v>
      </c>
      <c r="EF342" s="0" t="s">
        <v>154</v>
      </c>
    </row>
    <row r="343" customFormat="false" ht="13.8" hidden="false" customHeight="false" outlineLevel="0" collapsed="false">
      <c r="A343" s="0" t="s">
        <v>1936</v>
      </c>
      <c r="B343" s="0" t="n">
        <v>78</v>
      </c>
      <c r="C343" s="0" t="n">
        <v>480965</v>
      </c>
      <c r="D343" s="0" t="s">
        <v>309</v>
      </c>
      <c r="E343" s="0" t="s">
        <v>1937</v>
      </c>
      <c r="F343" s="0" t="str">
        <f aca="false">CONCATENATE(D343," ",LEFT(H343,4),"T=",AU343,"D=",AV343,"R=",AW343,"M=",AX343,"L=",AY343,"B=",AZ343)</f>
        <v>BROWN T=18D=2R=0M=0L=4B=0</v>
      </c>
      <c r="G343" s="0" t="s">
        <v>771</v>
      </c>
      <c r="I343" s="0" t="s">
        <v>1938</v>
      </c>
      <c r="J343" s="0" t="s">
        <v>1939</v>
      </c>
      <c r="K343" s="0" t="s">
        <v>175</v>
      </c>
      <c r="M343" s="0" t="s">
        <v>1940</v>
      </c>
      <c r="N343" s="0" t="str">
        <f aca="false">RIGHT(M343,LEN(M343)-FIND(" ",M343))</f>
        <v>BONNIE BRAE AVE NE</v>
      </c>
      <c r="P343" s="0" t="s">
        <v>146</v>
      </c>
      <c r="Q343" s="0" t="s">
        <v>147</v>
      </c>
      <c r="R343" s="0" t="n">
        <v>44483</v>
      </c>
      <c r="AD343" s="0" t="s">
        <v>148</v>
      </c>
      <c r="AE343" s="0" t="s">
        <v>149</v>
      </c>
      <c r="AF343" s="0" t="s">
        <v>150</v>
      </c>
      <c r="AH343" s="0" t="n">
        <v>14</v>
      </c>
      <c r="AI343" s="0" t="n">
        <v>11</v>
      </c>
      <c r="AN343" s="0" t="s">
        <v>146</v>
      </c>
      <c r="AO343" s="0" t="s">
        <v>236</v>
      </c>
      <c r="AP343" s="0" t="s">
        <v>237</v>
      </c>
      <c r="AQ343" s="0" t="n">
        <v>9</v>
      </c>
      <c r="AR343" s="0" t="n">
        <v>64</v>
      </c>
      <c r="AS343" s="0" t="n">
        <v>32</v>
      </c>
      <c r="AU343" s="0" t="n">
        <f aca="false">COUNTA($BA$540:$EH$540)</f>
        <v>18</v>
      </c>
      <c r="AV343" s="0" t="n">
        <f aca="false">COUNTIF($BA$540:$EH$540,"D")</f>
        <v>2</v>
      </c>
      <c r="AW343" s="0" t="n">
        <f aca="false">COUNTIF($BA$540:$EH$540,"R")</f>
        <v>0</v>
      </c>
      <c r="AX343" s="0" t="n">
        <f aca="false"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>0</v>
      </c>
      <c r="AY343" s="0" t="n">
        <f aca="false">COUNTIF(DU343:EH343, "&lt;&gt;")</f>
        <v>4</v>
      </c>
      <c r="AZ343" s="0" t="n">
        <f aca="false">IF(EH343&lt;&gt;"",1,0)</f>
        <v>0</v>
      </c>
      <c r="BB343" s="0" t="s">
        <v>153</v>
      </c>
      <c r="DG343" s="0" t="s">
        <v>155</v>
      </c>
      <c r="DI343" s="0" t="s">
        <v>154</v>
      </c>
      <c r="DL343" s="0" t="s">
        <v>154</v>
      </c>
      <c r="DM343" s="0" t="s">
        <v>155</v>
      </c>
      <c r="DN343" s="0" t="s">
        <v>154</v>
      </c>
      <c r="DU343" s="0" t="s">
        <v>154</v>
      </c>
      <c r="DX343" s="0" t="s">
        <v>154</v>
      </c>
      <c r="EA343" s="0" t="s">
        <v>154</v>
      </c>
      <c r="EF343" s="0" t="s">
        <v>154</v>
      </c>
    </row>
    <row r="344" customFormat="false" ht="13.8" hidden="false" customHeight="false" outlineLevel="0" collapsed="false">
      <c r="A344" s="0" t="s">
        <v>1941</v>
      </c>
      <c r="B344" s="0" t="n">
        <v>78</v>
      </c>
      <c r="C344" s="0" t="n">
        <v>59013</v>
      </c>
      <c r="D344" s="0" t="s">
        <v>309</v>
      </c>
      <c r="E344" s="0" t="s">
        <v>1942</v>
      </c>
      <c r="F344" s="0" t="str">
        <f aca="false">CONCATENATE(D344," ",LEFT(H344,4),"T=",AU344,"D=",AV344,"R=",AW344,"M=",AX344,"L=",AY344,"B=",AZ344)</f>
        <v>BROWN IIT=32D=0R=9M=1L=6B=0</v>
      </c>
      <c r="G344" s="0" t="s">
        <v>329</v>
      </c>
      <c r="H344" s="0" t="s">
        <v>598</v>
      </c>
      <c r="I344" s="0" t="s">
        <v>1943</v>
      </c>
      <c r="J344" s="0" t="s">
        <v>1944</v>
      </c>
      <c r="K344" s="0" t="s">
        <v>175</v>
      </c>
      <c r="L344" s="1" t="s">
        <v>176</v>
      </c>
      <c r="M344" s="0" t="s">
        <v>1940</v>
      </c>
      <c r="N344" s="0" t="str">
        <f aca="false">RIGHT(M344,LEN(M344)-FIND(" ",M344))</f>
        <v>BONNIE BRAE AVE NE</v>
      </c>
      <c r="P344" s="0" t="s">
        <v>146</v>
      </c>
      <c r="Q344" s="0" t="s">
        <v>147</v>
      </c>
      <c r="R344" s="0" t="n">
        <v>44483</v>
      </c>
      <c r="AD344" s="0" t="s">
        <v>148</v>
      </c>
      <c r="AE344" s="0" t="s">
        <v>149</v>
      </c>
      <c r="AF344" s="0" t="s">
        <v>150</v>
      </c>
      <c r="AH344" s="0" t="n">
        <v>14</v>
      </c>
      <c r="AI344" s="0" t="n">
        <v>11</v>
      </c>
      <c r="AN344" s="0" t="s">
        <v>146</v>
      </c>
      <c r="AO344" s="0" t="s">
        <v>236</v>
      </c>
      <c r="AP344" s="0" t="s">
        <v>237</v>
      </c>
      <c r="AQ344" s="0" t="n">
        <v>9</v>
      </c>
      <c r="AR344" s="0" t="n">
        <v>64</v>
      </c>
      <c r="AS344" s="0" t="n">
        <v>32</v>
      </c>
      <c r="AU344" s="0" t="n">
        <f aca="false">COUNTA($BA$1054:$EH$1054)</f>
        <v>32</v>
      </c>
      <c r="AV344" s="0" t="n">
        <f aca="false">COUNTIF($BA$1054:$EH$1054,"D")</f>
        <v>0</v>
      </c>
      <c r="AW344" s="0" t="n">
        <f aca="false">COUNTIF($BA$1054:$EH$1054,"R")</f>
        <v>9</v>
      </c>
      <c r="AX344" s="0" t="n">
        <f aca="false"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>1</v>
      </c>
      <c r="AY344" s="0" t="n">
        <f aca="false">COUNTIF(DU344:EH344, "&lt;&gt;")</f>
        <v>6</v>
      </c>
      <c r="AZ344" s="0" t="n">
        <f aca="false">IF(EH344&lt;&gt;"",1,0)</f>
        <v>0</v>
      </c>
      <c r="BB344" s="0" t="s">
        <v>153</v>
      </c>
      <c r="BC344" s="0" t="s">
        <v>154</v>
      </c>
      <c r="BD344" s="0" t="s">
        <v>154</v>
      </c>
      <c r="BE344" s="0" t="s">
        <v>154</v>
      </c>
      <c r="BF344" s="0" t="s">
        <v>154</v>
      </c>
      <c r="BG344" s="0" t="s">
        <v>154</v>
      </c>
      <c r="BH344" s="0" t="s">
        <v>154</v>
      </c>
      <c r="BI344" s="0" t="s">
        <v>154</v>
      </c>
      <c r="BJ344" s="0" t="s">
        <v>154</v>
      </c>
      <c r="BK344" s="0" t="s">
        <v>154</v>
      </c>
      <c r="BL344" s="0" t="s">
        <v>154</v>
      </c>
      <c r="BP344" s="0" t="s">
        <v>154</v>
      </c>
      <c r="BR344" s="0" t="s">
        <v>154</v>
      </c>
      <c r="BS344" s="0" t="s">
        <v>154</v>
      </c>
      <c r="BV344" s="0" t="s">
        <v>154</v>
      </c>
      <c r="BY344" s="0" t="s">
        <v>176</v>
      </c>
      <c r="CA344" s="0" t="s">
        <v>154</v>
      </c>
      <c r="CG344" s="0" t="s">
        <v>154</v>
      </c>
      <c r="CH344" s="0" t="s">
        <v>176</v>
      </c>
      <c r="CK344" s="0" t="s">
        <v>154</v>
      </c>
      <c r="CN344" s="0" t="s">
        <v>154</v>
      </c>
      <c r="CO344" s="0" t="s">
        <v>176</v>
      </c>
      <c r="CP344" s="0" t="s">
        <v>154</v>
      </c>
      <c r="CT344" s="0" t="s">
        <v>154</v>
      </c>
      <c r="CU344" s="0" t="s">
        <v>176</v>
      </c>
      <c r="CV344" s="0" t="s">
        <v>154</v>
      </c>
      <c r="CY344" s="0" t="s">
        <v>154</v>
      </c>
      <c r="CZ344" s="0" t="s">
        <v>176</v>
      </c>
      <c r="DC344" s="0" t="s">
        <v>154</v>
      </c>
      <c r="DF344" s="0" t="s">
        <v>154</v>
      </c>
      <c r="DG344" s="0" t="s">
        <v>176</v>
      </c>
      <c r="DI344" s="0" t="s">
        <v>154</v>
      </c>
      <c r="DL344" s="0" t="s">
        <v>154</v>
      </c>
      <c r="DM344" s="0" t="s">
        <v>176</v>
      </c>
      <c r="DN344" s="0" t="s">
        <v>154</v>
      </c>
      <c r="DR344" s="0" t="s">
        <v>154</v>
      </c>
      <c r="DS344" s="0" t="s">
        <v>176</v>
      </c>
      <c r="DT344" s="0" t="s">
        <v>176</v>
      </c>
      <c r="DU344" s="0" t="s">
        <v>154</v>
      </c>
      <c r="DW344" s="0" t="s">
        <v>155</v>
      </c>
      <c r="DX344" s="0" t="s">
        <v>154</v>
      </c>
      <c r="EA344" s="0" t="s">
        <v>154</v>
      </c>
      <c r="ED344" s="0" t="s">
        <v>176</v>
      </c>
      <c r="EF344" s="0" t="s">
        <v>154</v>
      </c>
    </row>
    <row r="345" customFormat="false" ht="13.8" hidden="true" customHeight="false" outlineLevel="0" collapsed="false">
      <c r="A345" s="0" t="s">
        <v>1945</v>
      </c>
      <c r="B345" s="0" t="n">
        <v>78</v>
      </c>
      <c r="C345" s="0" t="n">
        <v>406002</v>
      </c>
      <c r="D345" s="0" t="s">
        <v>1946</v>
      </c>
      <c r="E345" s="0" t="s">
        <v>1947</v>
      </c>
      <c r="F345" s="0" t="str">
        <f aca="false">CONCATENATE(D345," ",LEFT(H345,4),"T=",AU345,"D=",AV345,"R=",AW345,"M=",AX345,"L=",AY345,"B=",AZ345)</f>
        <v>KOTSATOS T=1D=0R=0M=0L=0B=0</v>
      </c>
      <c r="G345" s="0" t="s">
        <v>1948</v>
      </c>
      <c r="I345" s="0" t="s">
        <v>1949</v>
      </c>
      <c r="J345" s="0" t="s">
        <v>1950</v>
      </c>
      <c r="K345" s="0" t="s">
        <v>144</v>
      </c>
      <c r="L345" s="0"/>
      <c r="M345" s="0" t="s">
        <v>1951</v>
      </c>
      <c r="N345" s="0" t="str">
        <f aca="false">RIGHT(M345,LEN(M345)-FIND(" ",M345))</f>
        <v>BONNIE BRAE AVE NE</v>
      </c>
      <c r="P345" s="0" t="s">
        <v>146</v>
      </c>
      <c r="Q345" s="0" t="s">
        <v>147</v>
      </c>
      <c r="R345" s="0" t="n">
        <v>44483</v>
      </c>
      <c r="AD345" s="0" t="s">
        <v>148</v>
      </c>
      <c r="AE345" s="0" t="s">
        <v>149</v>
      </c>
      <c r="AF345" s="0" t="s">
        <v>150</v>
      </c>
      <c r="AH345" s="0" t="n">
        <v>14</v>
      </c>
      <c r="AI345" s="0" t="n">
        <v>11</v>
      </c>
      <c r="AN345" s="0" t="s">
        <v>146</v>
      </c>
      <c r="AO345" s="0" t="s">
        <v>236</v>
      </c>
      <c r="AP345" s="0" t="s">
        <v>237</v>
      </c>
      <c r="AQ345" s="0" t="n">
        <v>9</v>
      </c>
      <c r="AR345" s="0" t="n">
        <v>64</v>
      </c>
      <c r="AS345" s="0" t="n">
        <v>32</v>
      </c>
      <c r="AU345" s="0" t="n">
        <f aca="false">COUNTA($BA$652:$EH$652)</f>
        <v>1</v>
      </c>
      <c r="AV345" s="0" t="n">
        <f aca="false">COUNTIF($BA$652:$EH$652,"D")</f>
        <v>0</v>
      </c>
      <c r="AW345" s="0" t="n">
        <f aca="false">COUNTIF($BA$652:$EH$652,"R")</f>
        <v>0</v>
      </c>
      <c r="AX345" s="0" t="n">
        <f aca="false"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>0</v>
      </c>
      <c r="AY345" s="0" t="n">
        <f aca="false">COUNTIF(DU345:EH345, "&lt;&gt;")</f>
        <v>0</v>
      </c>
      <c r="AZ345" s="0" t="n">
        <f aca="false">IF(EH345&lt;&gt;"",1,0)</f>
        <v>0</v>
      </c>
      <c r="BB345" s="0" t="s">
        <v>153</v>
      </c>
      <c r="CY345" s="0" t="s">
        <v>154</v>
      </c>
    </row>
    <row r="346" customFormat="false" ht="13.8" hidden="false" customHeight="false" outlineLevel="0" collapsed="false">
      <c r="A346" s="0" t="s">
        <v>1952</v>
      </c>
      <c r="B346" s="0" t="n">
        <v>78</v>
      </c>
      <c r="C346" s="0" t="n">
        <v>280716</v>
      </c>
      <c r="D346" s="0" t="s">
        <v>1953</v>
      </c>
      <c r="E346" s="0" t="s">
        <v>1954</v>
      </c>
      <c r="F346" s="0" t="str">
        <f aca="false">CONCATENATE(D346," ",LEFT(H346,4),"T=",AU346,"D=",AV346,"R=",AW346,"M=",AX346,"L=",AY346,"B=",AZ346)</f>
        <v>BINIKOS T=2D=0R=0M=3L=2B=0</v>
      </c>
      <c r="I346" s="0" t="s">
        <v>1955</v>
      </c>
      <c r="J346" s="0" t="s">
        <v>1956</v>
      </c>
      <c r="K346" s="0" t="s">
        <v>175</v>
      </c>
      <c r="M346" s="0" t="s">
        <v>1951</v>
      </c>
      <c r="N346" s="0" t="str">
        <f aca="false">RIGHT(M346,LEN(M346)-FIND(" ",M346))</f>
        <v>BONNIE BRAE AVE NE</v>
      </c>
      <c r="P346" s="0" t="s">
        <v>146</v>
      </c>
      <c r="Q346" s="0" t="s">
        <v>147</v>
      </c>
      <c r="R346" s="0" t="n">
        <v>44483</v>
      </c>
      <c r="AD346" s="0" t="s">
        <v>148</v>
      </c>
      <c r="AE346" s="0" t="s">
        <v>149</v>
      </c>
      <c r="AF346" s="0" t="s">
        <v>150</v>
      </c>
      <c r="AH346" s="0" t="n">
        <v>14</v>
      </c>
      <c r="AI346" s="0" t="n">
        <v>11</v>
      </c>
      <c r="AN346" s="0" t="s">
        <v>146</v>
      </c>
      <c r="AO346" s="0" t="s">
        <v>236</v>
      </c>
      <c r="AP346" s="0" t="s">
        <v>237</v>
      </c>
      <c r="AQ346" s="0" t="n">
        <v>9</v>
      </c>
      <c r="AR346" s="0" t="n">
        <v>64</v>
      </c>
      <c r="AS346" s="0" t="n">
        <v>32</v>
      </c>
      <c r="AU346" s="0" t="n">
        <f aca="false">COUNTA($BA$1040:$EH$1040)</f>
        <v>2</v>
      </c>
      <c r="AV346" s="0" t="n">
        <f aca="false">COUNTIF($BA$1040:$EH$1040,"D")</f>
        <v>0</v>
      </c>
      <c r="AW346" s="0" t="n">
        <f aca="false">COUNTIF($BA$1040:$EH$1040,"R")</f>
        <v>0</v>
      </c>
      <c r="AX346" s="0" t="n">
        <f aca="false"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>3</v>
      </c>
      <c r="AY346" s="0" t="n">
        <f aca="false">COUNTIF(DU346:EH346, "&lt;&gt;")</f>
        <v>2</v>
      </c>
      <c r="AZ346" s="0" t="n">
        <f aca="false">IF(EH346&lt;&gt;"",1,0)</f>
        <v>0</v>
      </c>
      <c r="BB346" s="0" t="s">
        <v>153</v>
      </c>
      <c r="BC346" s="0" t="s">
        <v>154</v>
      </c>
      <c r="BD346" s="0" t="s">
        <v>154</v>
      </c>
      <c r="BJ346" s="0" t="s">
        <v>154</v>
      </c>
      <c r="BK346" s="0" t="s">
        <v>154</v>
      </c>
      <c r="BL346" s="0" t="s">
        <v>154</v>
      </c>
      <c r="BP346" s="0" t="s">
        <v>154</v>
      </c>
      <c r="BY346" s="0" t="s">
        <v>155</v>
      </c>
      <c r="CA346" s="0" t="s">
        <v>154</v>
      </c>
      <c r="CC346" s="0" t="s">
        <v>155</v>
      </c>
      <c r="CL346" s="0" t="s">
        <v>155</v>
      </c>
      <c r="CN346" s="0" t="s">
        <v>154</v>
      </c>
      <c r="CP346" s="0" t="s">
        <v>154</v>
      </c>
      <c r="CT346" s="0" t="s">
        <v>154</v>
      </c>
      <c r="CV346" s="0" t="s">
        <v>154</v>
      </c>
      <c r="CW346" s="0" t="s">
        <v>155</v>
      </c>
      <c r="CY346" s="0" t="s">
        <v>154</v>
      </c>
      <c r="CZ346" s="0" t="s">
        <v>155</v>
      </c>
      <c r="DF346" s="0" t="s">
        <v>154</v>
      </c>
      <c r="DG346" s="0" t="s">
        <v>155</v>
      </c>
      <c r="DI346" s="0" t="s">
        <v>154</v>
      </c>
      <c r="DL346" s="0" t="s">
        <v>154</v>
      </c>
      <c r="DM346" s="0" t="s">
        <v>155</v>
      </c>
      <c r="DN346" s="0" t="s">
        <v>154</v>
      </c>
      <c r="DU346" s="0" t="s">
        <v>154</v>
      </c>
      <c r="EF346" s="0" t="s">
        <v>154</v>
      </c>
    </row>
    <row r="347" customFormat="false" ht="13.8" hidden="false" customHeight="false" outlineLevel="0" collapsed="false">
      <c r="A347" s="0" t="s">
        <v>1957</v>
      </c>
      <c r="B347" s="0" t="n">
        <v>78</v>
      </c>
      <c r="C347" s="0" t="n">
        <v>460111</v>
      </c>
      <c r="D347" s="0" t="s">
        <v>309</v>
      </c>
      <c r="E347" s="0" t="s">
        <v>1958</v>
      </c>
      <c r="F347" s="0" t="str">
        <f aca="false">CONCATENATE(D347," ",LEFT(H347,4),"T=",AU347,"D=",AV347,"R=",AW347,"M=",AX347,"L=",AY347,"B=",AZ347)</f>
        <v>BROWN T=1D=0R=0M=0L=4B=0</v>
      </c>
      <c r="G347" s="0" t="s">
        <v>1180</v>
      </c>
      <c r="I347" s="0" t="s">
        <v>1959</v>
      </c>
      <c r="J347" s="0" t="s">
        <v>1960</v>
      </c>
      <c r="K347" s="0" t="s">
        <v>175</v>
      </c>
      <c r="M347" s="0" t="s">
        <v>1961</v>
      </c>
      <c r="N347" s="0" t="str">
        <f aca="false">RIGHT(M347,LEN(M347)-FIND(" ",M347))</f>
        <v>BONNIE BRAE AVE NE</v>
      </c>
      <c r="P347" s="0" t="s">
        <v>146</v>
      </c>
      <c r="Q347" s="0" t="s">
        <v>147</v>
      </c>
      <c r="R347" s="0" t="n">
        <v>44483</v>
      </c>
      <c r="AD347" s="0" t="s">
        <v>148</v>
      </c>
      <c r="AE347" s="0" t="s">
        <v>149</v>
      </c>
      <c r="AF347" s="0" t="s">
        <v>150</v>
      </c>
      <c r="AH347" s="0" t="n">
        <v>14</v>
      </c>
      <c r="AI347" s="0" t="n">
        <v>11</v>
      </c>
      <c r="AN347" s="0" t="s">
        <v>146</v>
      </c>
      <c r="AO347" s="0" t="s">
        <v>236</v>
      </c>
      <c r="AP347" s="0" t="s">
        <v>237</v>
      </c>
      <c r="AQ347" s="0" t="n">
        <v>9</v>
      </c>
      <c r="AR347" s="0" t="n">
        <v>64</v>
      </c>
      <c r="AS347" s="0" t="n">
        <v>32</v>
      </c>
      <c r="AU347" s="0" t="n">
        <f aca="false">COUNTA($BA$375:$EH$375)</f>
        <v>1</v>
      </c>
      <c r="AV347" s="0" t="n">
        <f aca="false">COUNTIF($BA$375:$EH$375,"D")</f>
        <v>0</v>
      </c>
      <c r="AW347" s="0" t="n">
        <f aca="false">COUNTIF($BA$375:$EH$375,"R")</f>
        <v>0</v>
      </c>
      <c r="AX347" s="0" t="n">
        <f aca="false"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>0</v>
      </c>
      <c r="AY347" s="0" t="n">
        <f aca="false">COUNTIF(DU347:EH347, "&lt;&gt;")</f>
        <v>4</v>
      </c>
      <c r="AZ347" s="0" t="n">
        <f aca="false">IF(EH347&lt;&gt;"",1,0)</f>
        <v>0</v>
      </c>
      <c r="BB347" s="0" t="s">
        <v>153</v>
      </c>
      <c r="DU347" s="0" t="s">
        <v>154</v>
      </c>
      <c r="DX347" s="0" t="s">
        <v>154</v>
      </c>
      <c r="EA347" s="0" t="s">
        <v>154</v>
      </c>
      <c r="EF347" s="0" t="s">
        <v>154</v>
      </c>
    </row>
    <row r="348" customFormat="false" ht="13.8" hidden="false" customHeight="false" outlineLevel="0" collapsed="false">
      <c r="A348" s="0" t="s">
        <v>1962</v>
      </c>
      <c r="B348" s="0" t="n">
        <v>78</v>
      </c>
      <c r="C348" s="0" t="n">
        <v>440163</v>
      </c>
      <c r="D348" s="0" t="s">
        <v>309</v>
      </c>
      <c r="E348" s="0" t="s">
        <v>1963</v>
      </c>
      <c r="F348" s="0" t="str">
        <f aca="false">CONCATENATE(D348," ",LEFT(H348,4),"T=",AU348,"D=",AV348,"R=",AW348,"M=",AX348,"L=",AY348,"B=",AZ348)</f>
        <v>BROWN T=1D=0R=0M=0L=2B=0</v>
      </c>
      <c r="G348" s="0" t="s">
        <v>1964</v>
      </c>
      <c r="I348" s="0" t="s">
        <v>1965</v>
      </c>
      <c r="J348" s="0" t="s">
        <v>1966</v>
      </c>
      <c r="K348" s="0" t="s">
        <v>175</v>
      </c>
      <c r="M348" s="0" t="s">
        <v>1961</v>
      </c>
      <c r="N348" s="0" t="str">
        <f aca="false">RIGHT(M348,LEN(M348)-FIND(" ",M348))</f>
        <v>BONNIE BRAE AVE NE</v>
      </c>
      <c r="P348" s="0" t="s">
        <v>146</v>
      </c>
      <c r="Q348" s="0" t="s">
        <v>147</v>
      </c>
      <c r="R348" s="0" t="n">
        <v>44483</v>
      </c>
      <c r="AD348" s="0" t="s">
        <v>148</v>
      </c>
      <c r="AE348" s="0" t="s">
        <v>149</v>
      </c>
      <c r="AF348" s="0" t="s">
        <v>150</v>
      </c>
      <c r="AH348" s="0" t="n">
        <v>14</v>
      </c>
      <c r="AI348" s="0" t="n">
        <v>11</v>
      </c>
      <c r="AN348" s="0" t="s">
        <v>146</v>
      </c>
      <c r="AO348" s="0" t="s">
        <v>236</v>
      </c>
      <c r="AP348" s="0" t="s">
        <v>237</v>
      </c>
      <c r="AQ348" s="0" t="n">
        <v>9</v>
      </c>
      <c r="AR348" s="0" t="n">
        <v>64</v>
      </c>
      <c r="AS348" s="0" t="n">
        <v>32</v>
      </c>
      <c r="AU348" s="0" t="n">
        <f aca="false">COUNTA($BA$629:$EH$629)</f>
        <v>1</v>
      </c>
      <c r="AV348" s="0" t="n">
        <f aca="false">COUNTIF($BA$629:$EH$629,"D")</f>
        <v>0</v>
      </c>
      <c r="AW348" s="0" t="n">
        <f aca="false">COUNTIF($BA$629:$EH$629,"R")</f>
        <v>0</v>
      </c>
      <c r="AX348" s="0" t="n">
        <f aca="false"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>0</v>
      </c>
      <c r="AY348" s="0" t="n">
        <f aca="false">COUNTIF(DU348:EH348, "&lt;&gt;")</f>
        <v>2</v>
      </c>
      <c r="AZ348" s="0" t="n">
        <f aca="false">IF(EH348&lt;&gt;"",1,0)</f>
        <v>0</v>
      </c>
      <c r="BB348" s="0" t="s">
        <v>153</v>
      </c>
      <c r="DL348" s="0" t="s">
        <v>154</v>
      </c>
      <c r="DM348" s="0" t="s">
        <v>155</v>
      </c>
      <c r="DN348" s="0" t="s">
        <v>154</v>
      </c>
      <c r="EA348" s="0" t="s">
        <v>154</v>
      </c>
      <c r="EF348" s="0" t="s">
        <v>154</v>
      </c>
    </row>
    <row r="349" customFormat="false" ht="13.8" hidden="false" customHeight="false" outlineLevel="0" collapsed="false">
      <c r="A349" s="0" t="s">
        <v>1967</v>
      </c>
      <c r="B349" s="0" t="n">
        <v>78</v>
      </c>
      <c r="C349" s="0" t="n">
        <v>325174</v>
      </c>
      <c r="D349" s="0" t="s">
        <v>309</v>
      </c>
      <c r="E349" s="0" t="s">
        <v>1744</v>
      </c>
      <c r="F349" s="0" t="str">
        <f aca="false">CONCATENATE(D349," ",LEFT(H349,4),"T=",AU349,"D=",AV349,"R=",AW349,"M=",AX349,"L=",AY349,"B=",AZ349)</f>
        <v>BROWN T=19D=3R=0M=0L=4B=0</v>
      </c>
      <c r="G349" s="0" t="s">
        <v>181</v>
      </c>
      <c r="I349" s="0" t="s">
        <v>1968</v>
      </c>
      <c r="J349" s="0" t="s">
        <v>1969</v>
      </c>
      <c r="K349" s="0" t="s">
        <v>175</v>
      </c>
      <c r="M349" s="0" t="s">
        <v>1961</v>
      </c>
      <c r="N349" s="0" t="str">
        <f aca="false">RIGHT(M349,LEN(M349)-FIND(" ",M349))</f>
        <v>BONNIE BRAE AVE NE</v>
      </c>
      <c r="P349" s="0" t="s">
        <v>146</v>
      </c>
      <c r="Q349" s="0" t="s">
        <v>147</v>
      </c>
      <c r="R349" s="0" t="n">
        <v>44483</v>
      </c>
      <c r="AD349" s="0" t="s">
        <v>148</v>
      </c>
      <c r="AE349" s="0" t="s">
        <v>149</v>
      </c>
      <c r="AF349" s="0" t="s">
        <v>150</v>
      </c>
      <c r="AH349" s="0" t="n">
        <v>14</v>
      </c>
      <c r="AI349" s="0" t="n">
        <v>11</v>
      </c>
      <c r="AN349" s="0" t="s">
        <v>146</v>
      </c>
      <c r="AO349" s="0" t="s">
        <v>236</v>
      </c>
      <c r="AP349" s="0" t="s">
        <v>237</v>
      </c>
      <c r="AQ349" s="0" t="n">
        <v>9</v>
      </c>
      <c r="AR349" s="0" t="n">
        <v>64</v>
      </c>
      <c r="AS349" s="0" t="n">
        <v>32</v>
      </c>
      <c r="AU349" s="0" t="n">
        <f aca="false">COUNTA($BA$937:$EH$937)</f>
        <v>19</v>
      </c>
      <c r="AV349" s="0" t="n">
        <f aca="false">COUNTIF($BA$937:$EH$937,"D")</f>
        <v>3</v>
      </c>
      <c r="AW349" s="0" t="n">
        <f aca="false">COUNTIF($BA$937:$EH$937,"R")</f>
        <v>0</v>
      </c>
      <c r="AX349" s="0" t="n">
        <f aca="false"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>0</v>
      </c>
      <c r="AY349" s="0" t="n">
        <f aca="false">COUNTIF(DU349:EH349, "&lt;&gt;")</f>
        <v>4</v>
      </c>
      <c r="AZ349" s="0" t="n">
        <f aca="false">IF(EH349&lt;&gt;"",1,0)</f>
        <v>0</v>
      </c>
      <c r="BB349" s="0" t="s">
        <v>153</v>
      </c>
      <c r="BL349" s="0" t="s">
        <v>154</v>
      </c>
      <c r="BP349" s="0" t="s">
        <v>154</v>
      </c>
      <c r="BS349" s="0" t="s">
        <v>154</v>
      </c>
      <c r="BY349" s="0" t="s">
        <v>155</v>
      </c>
      <c r="CA349" s="0" t="s">
        <v>154</v>
      </c>
      <c r="CG349" s="0" t="s">
        <v>154</v>
      </c>
      <c r="CK349" s="0" t="s">
        <v>154</v>
      </c>
      <c r="CN349" s="0" t="s">
        <v>154</v>
      </c>
      <c r="CO349" s="0" t="s">
        <v>176</v>
      </c>
      <c r="CP349" s="0" t="s">
        <v>154</v>
      </c>
      <c r="CY349" s="0" t="s">
        <v>154</v>
      </c>
      <c r="CZ349" s="0" t="s">
        <v>176</v>
      </c>
      <c r="DC349" s="0" t="s">
        <v>154</v>
      </c>
      <c r="DF349" s="0" t="s">
        <v>154</v>
      </c>
      <c r="DG349" s="0" t="s">
        <v>155</v>
      </c>
      <c r="DI349" s="0" t="s">
        <v>154</v>
      </c>
      <c r="DL349" s="0" t="s">
        <v>154</v>
      </c>
      <c r="DM349" s="0" t="s">
        <v>155</v>
      </c>
      <c r="DN349" s="0" t="s">
        <v>154</v>
      </c>
      <c r="DU349" s="0" t="s">
        <v>154</v>
      </c>
      <c r="DX349" s="0" t="s">
        <v>154</v>
      </c>
      <c r="EA349" s="0" t="s">
        <v>154</v>
      </c>
      <c r="EF349" s="0" t="s">
        <v>154</v>
      </c>
    </row>
    <row r="350" customFormat="false" ht="13.8" hidden="false" customHeight="false" outlineLevel="0" collapsed="false">
      <c r="A350" s="0" t="s">
        <v>1970</v>
      </c>
      <c r="B350" s="0" t="n">
        <v>78</v>
      </c>
      <c r="C350" s="0" t="n">
        <v>263470</v>
      </c>
      <c r="D350" s="0" t="s">
        <v>309</v>
      </c>
      <c r="E350" s="0" t="s">
        <v>502</v>
      </c>
      <c r="F350" s="0" t="str">
        <f aca="false">CONCATENATE(D350," ",LEFT(H350,4),"T=",AU350,"D=",AV350,"R=",AW350,"M=",AX350,"L=",AY350,"B=",AZ350)</f>
        <v>BROWN T=6D=0R=0M=0L=4B=0</v>
      </c>
      <c r="G350" s="0" t="s">
        <v>165</v>
      </c>
      <c r="I350" s="0" t="s">
        <v>1971</v>
      </c>
      <c r="J350" s="0" t="s">
        <v>1969</v>
      </c>
      <c r="K350" s="0" t="s">
        <v>175</v>
      </c>
      <c r="M350" s="0" t="s">
        <v>1961</v>
      </c>
      <c r="N350" s="0" t="str">
        <f aca="false">RIGHT(M350,LEN(M350)-FIND(" ",M350))</f>
        <v>BONNIE BRAE AVE NE</v>
      </c>
      <c r="P350" s="0" t="s">
        <v>146</v>
      </c>
      <c r="Q350" s="0" t="s">
        <v>147</v>
      </c>
      <c r="R350" s="0" t="n">
        <v>44483</v>
      </c>
      <c r="AD350" s="0" t="s">
        <v>148</v>
      </c>
      <c r="AE350" s="0" t="s">
        <v>149</v>
      </c>
      <c r="AF350" s="0" t="s">
        <v>150</v>
      </c>
      <c r="AH350" s="0" t="n">
        <v>14</v>
      </c>
      <c r="AI350" s="0" t="n">
        <v>11</v>
      </c>
      <c r="AN350" s="0" t="s">
        <v>146</v>
      </c>
      <c r="AO350" s="0" t="s">
        <v>236</v>
      </c>
      <c r="AP350" s="0" t="s">
        <v>237</v>
      </c>
      <c r="AQ350" s="0" t="n">
        <v>9</v>
      </c>
      <c r="AR350" s="0" t="n">
        <v>64</v>
      </c>
      <c r="AS350" s="0" t="n">
        <v>32</v>
      </c>
      <c r="AU350" s="0" t="n">
        <f aca="false">COUNTA($BA$1034:$EH$1034)</f>
        <v>6</v>
      </c>
      <c r="AV350" s="0" t="n">
        <f aca="false">COUNTIF($BA$1034:$EH$1034,"D")</f>
        <v>0</v>
      </c>
      <c r="AW350" s="0" t="n">
        <f aca="false">COUNTIF($BA$1034:$EH$1034,"R")</f>
        <v>0</v>
      </c>
      <c r="AX350" s="0" t="n">
        <f aca="false"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>0</v>
      </c>
      <c r="AY350" s="0" t="n">
        <f aca="false">COUNTIF(DU350:EH350, "&lt;&gt;")</f>
        <v>4</v>
      </c>
      <c r="AZ350" s="0" t="n">
        <f aca="false">IF(EH350&lt;&gt;"",1,0)</f>
        <v>0</v>
      </c>
      <c r="BB350" s="0" t="s">
        <v>153</v>
      </c>
      <c r="BD350" s="0" t="s">
        <v>154</v>
      </c>
      <c r="BL350" s="0" t="s">
        <v>154</v>
      </c>
      <c r="BS350" s="0" t="s">
        <v>154</v>
      </c>
      <c r="BY350" s="0" t="s">
        <v>155</v>
      </c>
      <c r="CA350" s="0" t="s">
        <v>154</v>
      </c>
      <c r="CG350" s="0" t="s">
        <v>154</v>
      </c>
      <c r="CK350" s="0" t="s">
        <v>154</v>
      </c>
      <c r="CN350" s="0" t="s">
        <v>154</v>
      </c>
      <c r="CO350" s="0" t="s">
        <v>176</v>
      </c>
      <c r="CP350" s="0" t="s">
        <v>154</v>
      </c>
      <c r="CY350" s="0" t="s">
        <v>154</v>
      </c>
      <c r="CZ350" s="0" t="s">
        <v>176</v>
      </c>
      <c r="DC350" s="0" t="s">
        <v>154</v>
      </c>
      <c r="DF350" s="0" t="s">
        <v>154</v>
      </c>
      <c r="DG350" s="0" t="s">
        <v>176</v>
      </c>
      <c r="DI350" s="0" t="s">
        <v>154</v>
      </c>
      <c r="DL350" s="0" t="s">
        <v>154</v>
      </c>
      <c r="DM350" s="0" t="s">
        <v>176</v>
      </c>
      <c r="DN350" s="0" t="s">
        <v>154</v>
      </c>
      <c r="DR350" s="0" t="s">
        <v>154</v>
      </c>
      <c r="DU350" s="0" t="s">
        <v>154</v>
      </c>
      <c r="DX350" s="0" t="s">
        <v>154</v>
      </c>
      <c r="EA350" s="0" t="s">
        <v>154</v>
      </c>
      <c r="EF350" s="0" t="s">
        <v>154</v>
      </c>
    </row>
    <row r="351" customFormat="false" ht="13.8" hidden="true" customHeight="false" outlineLevel="0" collapsed="false">
      <c r="A351" s="0" t="s">
        <v>1972</v>
      </c>
      <c r="B351" s="0" t="n">
        <v>78</v>
      </c>
      <c r="C351" s="0" t="n">
        <v>416772</v>
      </c>
      <c r="D351" s="0" t="s">
        <v>1628</v>
      </c>
      <c r="E351" s="0" t="s">
        <v>1973</v>
      </c>
      <c r="F351" s="0" t="str">
        <f aca="false">CONCATENATE(D351," ",LEFT(H351,4),"T=",AU351,"D=",AV351,"R=",AW351,"M=",AX351,"L=",AY351,"B=",AZ351)</f>
        <v>REYNOLDS T=6D=0R=0M=0L=0B=0</v>
      </c>
      <c r="G351" s="0" t="s">
        <v>1974</v>
      </c>
      <c r="I351" s="0" t="s">
        <v>1975</v>
      </c>
      <c r="J351" s="0" t="s">
        <v>1976</v>
      </c>
      <c r="K351" s="0" t="s">
        <v>144</v>
      </c>
      <c r="L351" s="0"/>
      <c r="M351" s="0" t="s">
        <v>1977</v>
      </c>
      <c r="N351" s="0" t="str">
        <f aca="false">RIGHT(M351,LEN(M351)-FIND(" ",M351))</f>
        <v>BONNIE BRAE AVE NE</v>
      </c>
      <c r="P351" s="0" t="s">
        <v>146</v>
      </c>
      <c r="Q351" s="0" t="s">
        <v>147</v>
      </c>
      <c r="R351" s="0" t="n">
        <v>44483</v>
      </c>
      <c r="AD351" s="0" t="s">
        <v>148</v>
      </c>
      <c r="AE351" s="0" t="s">
        <v>149</v>
      </c>
      <c r="AF351" s="0" t="s">
        <v>150</v>
      </c>
      <c r="AH351" s="0" t="n">
        <v>14</v>
      </c>
      <c r="AI351" s="0" t="n">
        <v>11</v>
      </c>
      <c r="AN351" s="0" t="s">
        <v>146</v>
      </c>
      <c r="AO351" s="0" t="s">
        <v>236</v>
      </c>
      <c r="AP351" s="0" t="s">
        <v>237</v>
      </c>
      <c r="AQ351" s="0" t="n">
        <v>9</v>
      </c>
      <c r="AR351" s="0" t="n">
        <v>64</v>
      </c>
      <c r="AS351" s="0" t="n">
        <v>32</v>
      </c>
      <c r="AU351" s="0" t="n">
        <f aca="false">COUNTA($BA$426:$EH$426)</f>
        <v>6</v>
      </c>
      <c r="AV351" s="0" t="n">
        <f aca="false">COUNTIF($BA$426:$EH$426,"D")</f>
        <v>0</v>
      </c>
      <c r="AW351" s="0" t="n">
        <f aca="false">COUNTIF($BA$426:$EH$426,"R")</f>
        <v>0</v>
      </c>
      <c r="AX351" s="0" t="n">
        <f aca="false"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>0</v>
      </c>
      <c r="AY351" s="0" t="n">
        <f aca="false">COUNTIF(DU351:EH351, "&lt;&gt;")</f>
        <v>0</v>
      </c>
      <c r="AZ351" s="0" t="n">
        <f aca="false">IF(EH351&lt;&gt;"",1,0)</f>
        <v>0</v>
      </c>
      <c r="BB351" s="0" t="s">
        <v>153</v>
      </c>
      <c r="DN351" s="0" t="s">
        <v>154</v>
      </c>
    </row>
    <row r="352" customFormat="false" ht="13.8" hidden="true" customHeight="false" outlineLevel="0" collapsed="false">
      <c r="A352" s="0" t="s">
        <v>1978</v>
      </c>
      <c r="B352" s="0" t="n">
        <v>78</v>
      </c>
      <c r="C352" s="0" t="n">
        <v>330150</v>
      </c>
      <c r="D352" s="0" t="s">
        <v>1979</v>
      </c>
      <c r="E352" s="0" t="s">
        <v>1980</v>
      </c>
      <c r="F352" s="0" t="str">
        <f aca="false">CONCATENATE(D352," ",LEFT(H352,4),"T=",AU352,"D=",AV352,"R=",AW352,"M=",AX352,"L=",AY352,"B=",AZ352)</f>
        <v>BRACE T=3D=0R=0M=0L=0B=0</v>
      </c>
      <c r="G352" s="0" t="s">
        <v>172</v>
      </c>
      <c r="I352" s="0" t="s">
        <v>1981</v>
      </c>
      <c r="J352" s="0" t="s">
        <v>1982</v>
      </c>
      <c r="K352" s="0" t="s">
        <v>144</v>
      </c>
      <c r="L352" s="0"/>
      <c r="M352" s="0" t="s">
        <v>1977</v>
      </c>
      <c r="N352" s="0" t="str">
        <f aca="false">RIGHT(M352,LEN(M352)-FIND(" ",M352))</f>
        <v>BONNIE BRAE AVE NE</v>
      </c>
      <c r="P352" s="0" t="s">
        <v>146</v>
      </c>
      <c r="Q352" s="0" t="s">
        <v>147</v>
      </c>
      <c r="R352" s="0" t="n">
        <v>44483</v>
      </c>
      <c r="AD352" s="0" t="s">
        <v>148</v>
      </c>
      <c r="AE352" s="0" t="s">
        <v>149</v>
      </c>
      <c r="AF352" s="0" t="s">
        <v>150</v>
      </c>
      <c r="AH352" s="0" t="n">
        <v>14</v>
      </c>
      <c r="AI352" s="0" t="n">
        <v>11</v>
      </c>
      <c r="AN352" s="0" t="s">
        <v>146</v>
      </c>
      <c r="AO352" s="0" t="s">
        <v>236</v>
      </c>
      <c r="AP352" s="0" t="s">
        <v>237</v>
      </c>
      <c r="AQ352" s="0" t="n">
        <v>9</v>
      </c>
      <c r="AR352" s="0" t="n">
        <v>64</v>
      </c>
      <c r="AS352" s="0" t="n">
        <v>32</v>
      </c>
      <c r="AU352" s="0" t="n">
        <f aca="false">COUNTA($BA$931:$EH$931)</f>
        <v>3</v>
      </c>
      <c r="AV352" s="0" t="n">
        <f aca="false">COUNTIF($BA$931:$EH$931,"D")</f>
        <v>0</v>
      </c>
      <c r="AW352" s="0" t="n">
        <f aca="false">COUNTIF($BA$931:$EH$931,"R")</f>
        <v>0</v>
      </c>
      <c r="AX352" s="0" t="n">
        <f aca="false"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>0</v>
      </c>
      <c r="AY352" s="0" t="n">
        <f aca="false">COUNTIF(DU352:EH352, "&lt;&gt;")</f>
        <v>0</v>
      </c>
      <c r="AZ352" s="0" t="n">
        <f aca="false">IF(EH352&lt;&gt;"",1,0)</f>
        <v>0</v>
      </c>
      <c r="BB352" s="0" t="s">
        <v>153</v>
      </c>
      <c r="BL352" s="0" t="s">
        <v>154</v>
      </c>
      <c r="BY352" s="0" t="s">
        <v>155</v>
      </c>
      <c r="CA352" s="0" t="s">
        <v>154</v>
      </c>
      <c r="CP352" s="0" t="s">
        <v>154</v>
      </c>
      <c r="DC352" s="0" t="s">
        <v>154</v>
      </c>
    </row>
    <row r="353" customFormat="false" ht="13.8" hidden="false" customHeight="false" outlineLevel="0" collapsed="false">
      <c r="A353" s="0" t="s">
        <v>1983</v>
      </c>
      <c r="B353" s="0" t="n">
        <v>78</v>
      </c>
      <c r="C353" s="0" t="n">
        <v>321404</v>
      </c>
      <c r="D353" s="0" t="s">
        <v>1979</v>
      </c>
      <c r="E353" s="0" t="s">
        <v>1924</v>
      </c>
      <c r="F353" s="0" t="str">
        <f aca="false">CONCATENATE(D353," ",LEFT(H353,4),"T=",AU353,"D=",AV353,"R=",AW353,"M=",AX353,"L=",AY353,"B=",AZ353)</f>
        <v>BRACE T=2D=0R=0M=0L=2B=0</v>
      </c>
      <c r="I353" s="0" t="s">
        <v>1984</v>
      </c>
      <c r="J353" s="0" t="s">
        <v>1985</v>
      </c>
      <c r="K353" s="0" t="s">
        <v>175</v>
      </c>
      <c r="M353" s="0" t="s">
        <v>1977</v>
      </c>
      <c r="N353" s="0" t="str">
        <f aca="false">RIGHT(M353,LEN(M353)-FIND(" ",M353))</f>
        <v>BONNIE BRAE AVE NE</v>
      </c>
      <c r="P353" s="0" t="s">
        <v>146</v>
      </c>
      <c r="Q353" s="0" t="s">
        <v>147</v>
      </c>
      <c r="R353" s="0" t="n">
        <v>44483</v>
      </c>
      <c r="AD353" s="0" t="s">
        <v>148</v>
      </c>
      <c r="AE353" s="0" t="s">
        <v>149</v>
      </c>
      <c r="AF353" s="0" t="s">
        <v>150</v>
      </c>
      <c r="AH353" s="0" t="n">
        <v>14</v>
      </c>
      <c r="AI353" s="0" t="n">
        <v>11</v>
      </c>
      <c r="AN353" s="0" t="s">
        <v>146</v>
      </c>
      <c r="AO353" s="0" t="s">
        <v>236</v>
      </c>
      <c r="AP353" s="0" t="s">
        <v>237</v>
      </c>
      <c r="AQ353" s="0" t="n">
        <v>9</v>
      </c>
      <c r="AR353" s="0" t="n">
        <v>64</v>
      </c>
      <c r="AS353" s="0" t="n">
        <v>32</v>
      </c>
      <c r="AU353" s="0" t="n">
        <f aca="false">COUNTA($BA$1021:$EH$1021)</f>
        <v>2</v>
      </c>
      <c r="AV353" s="0" t="n">
        <f aca="false">COUNTIF($BA$1021:$EH$1021,"D")</f>
        <v>0</v>
      </c>
      <c r="AW353" s="0" t="n">
        <f aca="false">COUNTIF($BA$1021:$EH$1021,"R")</f>
        <v>0</v>
      </c>
      <c r="AX353" s="0" t="n">
        <f aca="false"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>0</v>
      </c>
      <c r="AY353" s="0" t="n">
        <f aca="false">COUNTIF(DU353:EH353, "&lt;&gt;")</f>
        <v>2</v>
      </c>
      <c r="AZ353" s="0" t="n">
        <f aca="false">IF(EH353&lt;&gt;"",1,0)</f>
        <v>0</v>
      </c>
      <c r="BB353" s="0" t="s">
        <v>153</v>
      </c>
      <c r="BL353" s="0" t="s">
        <v>154</v>
      </c>
      <c r="BY353" s="0" t="s">
        <v>155</v>
      </c>
      <c r="CA353" s="0" t="s">
        <v>154</v>
      </c>
      <c r="CP353" s="0" t="s">
        <v>154</v>
      </c>
      <c r="CY353" s="0" t="s">
        <v>154</v>
      </c>
      <c r="DC353" s="0" t="s">
        <v>154</v>
      </c>
      <c r="DN353" s="0" t="s">
        <v>154</v>
      </c>
      <c r="DU353" s="0" t="s">
        <v>154</v>
      </c>
      <c r="EF353" s="0" t="s">
        <v>154</v>
      </c>
    </row>
    <row r="354" customFormat="false" ht="13.8" hidden="false" customHeight="false" outlineLevel="0" collapsed="false">
      <c r="A354" s="0" t="s">
        <v>1986</v>
      </c>
      <c r="B354" s="0" t="n">
        <v>78</v>
      </c>
      <c r="C354" s="0" t="n">
        <v>207913</v>
      </c>
      <c r="D354" s="0" t="s">
        <v>1050</v>
      </c>
      <c r="E354" s="0" t="s">
        <v>283</v>
      </c>
      <c r="F354" s="0" t="str">
        <f aca="false">CONCATENATE(D354," ",LEFT(H354,4),"T=",AU354,"D=",AV354,"R=",AW354,"M=",AX354,"L=",AY354,"B=",AZ354)</f>
        <v>JOHNSON T=1D=0R=0M=0L=3B=0</v>
      </c>
      <c r="G354" s="0" t="s">
        <v>939</v>
      </c>
      <c r="I354" s="0" t="s">
        <v>1987</v>
      </c>
      <c r="J354" s="0" t="s">
        <v>1988</v>
      </c>
      <c r="K354" s="0" t="s">
        <v>175</v>
      </c>
      <c r="M354" s="0" t="s">
        <v>1977</v>
      </c>
      <c r="N354" s="0" t="str">
        <f aca="false">RIGHT(M354,LEN(M354)-FIND(" ",M354))</f>
        <v>BONNIE BRAE AVE NE</v>
      </c>
      <c r="P354" s="0" t="s">
        <v>146</v>
      </c>
      <c r="Q354" s="0" t="s">
        <v>147</v>
      </c>
      <c r="R354" s="0" t="n">
        <v>44483</v>
      </c>
      <c r="AD354" s="0" t="s">
        <v>148</v>
      </c>
      <c r="AE354" s="0" t="s">
        <v>149</v>
      </c>
      <c r="AF354" s="0" t="s">
        <v>150</v>
      </c>
      <c r="AH354" s="0" t="n">
        <v>14</v>
      </c>
      <c r="AI354" s="0" t="n">
        <v>11</v>
      </c>
      <c r="AN354" s="0" t="s">
        <v>146</v>
      </c>
      <c r="AO354" s="0" t="s">
        <v>236</v>
      </c>
      <c r="AP354" s="0" t="s">
        <v>237</v>
      </c>
      <c r="AQ354" s="0" t="n">
        <v>9</v>
      </c>
      <c r="AR354" s="0" t="n">
        <v>64</v>
      </c>
      <c r="AS354" s="0" t="n">
        <v>32</v>
      </c>
      <c r="AU354" s="0" t="n">
        <f aca="false">COUNTA($BA$1037:$EH$1037)</f>
        <v>1</v>
      </c>
      <c r="AV354" s="0" t="n">
        <f aca="false">COUNTIF($BA$1037:$EH$1037,"D")</f>
        <v>0</v>
      </c>
      <c r="AW354" s="0" t="n">
        <f aca="false">COUNTIF($BA$1037:$EH$1037,"R")</f>
        <v>0</v>
      </c>
      <c r="AX354" s="0" t="n">
        <f aca="false"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>0</v>
      </c>
      <c r="AY354" s="0" t="n">
        <f aca="false">COUNTIF(DU354:EH354, "&lt;&gt;")</f>
        <v>3</v>
      </c>
      <c r="AZ354" s="0" t="n">
        <f aca="false">IF(EH354&lt;&gt;"",1,0)</f>
        <v>0</v>
      </c>
      <c r="BB354" s="0" t="s">
        <v>153</v>
      </c>
      <c r="BD354" s="0" t="s">
        <v>154</v>
      </c>
      <c r="BH354" s="0" t="s">
        <v>154</v>
      </c>
      <c r="BJ354" s="0" t="s">
        <v>154</v>
      </c>
      <c r="BK354" s="0" t="s">
        <v>154</v>
      </c>
      <c r="BL354" s="0" t="s">
        <v>154</v>
      </c>
      <c r="BS354" s="0" t="s">
        <v>154</v>
      </c>
      <c r="BY354" s="0" t="s">
        <v>155</v>
      </c>
      <c r="CA354" s="0" t="s">
        <v>154</v>
      </c>
      <c r="CG354" s="0" t="s">
        <v>154</v>
      </c>
      <c r="CP354" s="0" t="s">
        <v>154</v>
      </c>
      <c r="DC354" s="0" t="s">
        <v>154</v>
      </c>
      <c r="DI354" s="0" t="s">
        <v>154</v>
      </c>
      <c r="DN354" s="0" t="s">
        <v>154</v>
      </c>
      <c r="DU354" s="0" t="s">
        <v>154</v>
      </c>
      <c r="EA354" s="0" t="s">
        <v>154</v>
      </c>
      <c r="EF354" s="0" t="s">
        <v>154</v>
      </c>
    </row>
    <row r="355" customFormat="false" ht="13.8" hidden="true" customHeight="false" outlineLevel="0" collapsed="false">
      <c r="A355" s="0" t="s">
        <v>1989</v>
      </c>
      <c r="B355" s="0" t="n">
        <v>78</v>
      </c>
      <c r="C355" s="0" t="n">
        <v>409440</v>
      </c>
      <c r="D355" s="0" t="s">
        <v>1990</v>
      </c>
      <c r="E355" s="0" t="s">
        <v>1991</v>
      </c>
      <c r="F355" s="0" t="str">
        <f aca="false">CONCATENATE(D355," ",LEFT(H355,4),"T=",AU355,"D=",AV355,"R=",AW355,"M=",AX355,"L=",AY355,"B=",AZ355)</f>
        <v>PERRY T=12D=0R=2M=0L=0B=0</v>
      </c>
      <c r="G355" s="0" t="s">
        <v>365</v>
      </c>
      <c r="I355" s="0" t="s">
        <v>1992</v>
      </c>
      <c r="J355" s="0" t="s">
        <v>1993</v>
      </c>
      <c r="K355" s="0" t="s">
        <v>144</v>
      </c>
      <c r="L355" s="0"/>
      <c r="M355" s="0" t="s">
        <v>1994</v>
      </c>
      <c r="N355" s="0" t="str">
        <f aca="false">RIGHT(M355,LEN(M355)-FIND(" ",M355))</f>
        <v>BONNIE BRAE AVE NE</v>
      </c>
      <c r="P355" s="0" t="s">
        <v>146</v>
      </c>
      <c r="Q355" s="0" t="s">
        <v>147</v>
      </c>
      <c r="R355" s="0" t="n">
        <v>44483</v>
      </c>
      <c r="AD355" s="0" t="s">
        <v>148</v>
      </c>
      <c r="AE355" s="0" t="s">
        <v>149</v>
      </c>
      <c r="AF355" s="0" t="s">
        <v>150</v>
      </c>
      <c r="AH355" s="0" t="n">
        <v>14</v>
      </c>
      <c r="AI355" s="0" t="n">
        <v>11</v>
      </c>
      <c r="AN355" s="0" t="s">
        <v>146</v>
      </c>
      <c r="AO355" s="0" t="s">
        <v>236</v>
      </c>
      <c r="AP355" s="0" t="s">
        <v>237</v>
      </c>
      <c r="AQ355" s="0" t="n">
        <v>9</v>
      </c>
      <c r="AR355" s="0" t="n">
        <v>64</v>
      </c>
      <c r="AS355" s="0" t="n">
        <v>32</v>
      </c>
      <c r="AU355" s="0" t="n">
        <f aca="false">COUNTA($BA$643:$EH$643)</f>
        <v>12</v>
      </c>
      <c r="AV355" s="0" t="n">
        <f aca="false">COUNTIF($BA$643:$EH$643,"D")</f>
        <v>0</v>
      </c>
      <c r="AW355" s="0" t="n">
        <f aca="false">COUNTIF($BA$643:$EH$643,"R")</f>
        <v>2</v>
      </c>
      <c r="AX355" s="0" t="n">
        <f aca="false"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>0</v>
      </c>
      <c r="AY355" s="0" t="n">
        <f aca="false">COUNTIF(DU355:EH355, "&lt;&gt;")</f>
        <v>0</v>
      </c>
      <c r="AZ355" s="0" t="n">
        <f aca="false">IF(EH355&lt;&gt;"",1,0)</f>
        <v>0</v>
      </c>
      <c r="BB355" s="0" t="s">
        <v>153</v>
      </c>
    </row>
    <row r="356" customFormat="false" ht="13.8" hidden="true" customHeight="false" outlineLevel="0" collapsed="false">
      <c r="A356" s="0" t="s">
        <v>1995</v>
      </c>
      <c r="B356" s="0" t="n">
        <v>78</v>
      </c>
      <c r="C356" s="0" t="n">
        <v>407331</v>
      </c>
      <c r="D356" s="0" t="s">
        <v>1990</v>
      </c>
      <c r="E356" s="0" t="s">
        <v>1996</v>
      </c>
      <c r="F356" s="0" t="str">
        <f aca="false">CONCATENATE(D356," ",LEFT(H356,4),"T=",AU356,"D=",AV356,"R=",AW356,"M=",AX356,"L=",AY356,"B=",AZ356)</f>
        <v>PERRY T=1D=0R=0M=0L=0B=0</v>
      </c>
      <c r="G356" s="0" t="s">
        <v>1997</v>
      </c>
      <c r="I356" s="0" t="s">
        <v>1998</v>
      </c>
      <c r="J356" s="0" t="s">
        <v>1999</v>
      </c>
      <c r="K356" s="0" t="s">
        <v>144</v>
      </c>
      <c r="L356" s="0"/>
      <c r="M356" s="0" t="s">
        <v>1994</v>
      </c>
      <c r="N356" s="0" t="str">
        <f aca="false">RIGHT(M356,LEN(M356)-FIND(" ",M356))</f>
        <v>BONNIE BRAE AVE NE</v>
      </c>
      <c r="P356" s="0" t="s">
        <v>146</v>
      </c>
      <c r="Q356" s="0" t="s">
        <v>147</v>
      </c>
      <c r="R356" s="0" t="n">
        <v>44483</v>
      </c>
      <c r="AD356" s="0" t="s">
        <v>148</v>
      </c>
      <c r="AE356" s="0" t="s">
        <v>149</v>
      </c>
      <c r="AF356" s="0" t="s">
        <v>150</v>
      </c>
      <c r="AH356" s="0" t="n">
        <v>14</v>
      </c>
      <c r="AI356" s="0" t="n">
        <v>11</v>
      </c>
      <c r="AN356" s="0" t="s">
        <v>146</v>
      </c>
      <c r="AO356" s="0" t="s">
        <v>236</v>
      </c>
      <c r="AP356" s="0" t="s">
        <v>237</v>
      </c>
      <c r="AQ356" s="0" t="n">
        <v>9</v>
      </c>
      <c r="AR356" s="0" t="n">
        <v>64</v>
      </c>
      <c r="AS356" s="0" t="n">
        <v>32</v>
      </c>
      <c r="AU356" s="0" t="n">
        <f aca="false">COUNTA($BA$816:$EH$816)</f>
        <v>1</v>
      </c>
      <c r="AV356" s="0" t="n">
        <f aca="false">COUNTIF($BA$816:$EH$816,"D")</f>
        <v>0</v>
      </c>
      <c r="AW356" s="0" t="n">
        <f aca="false">COUNTIF($BA$816:$EH$816,"R")</f>
        <v>0</v>
      </c>
      <c r="AX356" s="0" t="n">
        <f aca="false"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>0</v>
      </c>
      <c r="AY356" s="0" t="n">
        <f aca="false">COUNTIF(DU356:EH356, "&lt;&gt;")</f>
        <v>0</v>
      </c>
      <c r="AZ356" s="0" t="n">
        <f aca="false">IF(EH356&lt;&gt;"",1,0)</f>
        <v>0</v>
      </c>
      <c r="BB356" s="0" t="s">
        <v>153</v>
      </c>
    </row>
    <row r="357" customFormat="false" ht="13.8" hidden="true" customHeight="false" outlineLevel="0" collapsed="false">
      <c r="A357" s="0" t="s">
        <v>2000</v>
      </c>
      <c r="B357" s="0" t="n">
        <v>78</v>
      </c>
      <c r="C357" s="0" t="n">
        <v>269434</v>
      </c>
      <c r="D357" s="0" t="s">
        <v>309</v>
      </c>
      <c r="E357" s="0" t="s">
        <v>2001</v>
      </c>
      <c r="F357" s="0" t="str">
        <f aca="false">CONCATENATE(D357," ",LEFT(H357,4),"T=",AU357,"D=",AV357,"R=",AW357,"M=",AX357,"L=",AY357,"B=",AZ357)</f>
        <v>BROWN T=2D=0R=0M=1L=0B=0</v>
      </c>
      <c r="G357" s="0" t="s">
        <v>297</v>
      </c>
      <c r="I357" s="0" t="s">
        <v>2002</v>
      </c>
      <c r="J357" s="0" t="s">
        <v>2003</v>
      </c>
      <c r="K357" s="0" t="s">
        <v>144</v>
      </c>
      <c r="L357" s="0"/>
      <c r="M357" s="0" t="s">
        <v>1994</v>
      </c>
      <c r="N357" s="0" t="str">
        <f aca="false">RIGHT(M357,LEN(M357)-FIND(" ",M357))</f>
        <v>BONNIE BRAE AVE NE</v>
      </c>
      <c r="P357" s="0" t="s">
        <v>146</v>
      </c>
      <c r="Q357" s="0" t="s">
        <v>147</v>
      </c>
      <c r="R357" s="0" t="n">
        <v>44483</v>
      </c>
      <c r="AD357" s="0" t="s">
        <v>148</v>
      </c>
      <c r="AE357" s="0" t="s">
        <v>149</v>
      </c>
      <c r="AF357" s="0" t="s">
        <v>150</v>
      </c>
      <c r="AH357" s="0" t="n">
        <v>14</v>
      </c>
      <c r="AI357" s="0" t="n">
        <v>11</v>
      </c>
      <c r="AN357" s="0" t="s">
        <v>146</v>
      </c>
      <c r="AO357" s="0" t="s">
        <v>236</v>
      </c>
      <c r="AP357" s="0" t="s">
        <v>237</v>
      </c>
      <c r="AQ357" s="0" t="n">
        <v>9</v>
      </c>
      <c r="AR357" s="0" t="n">
        <v>64</v>
      </c>
      <c r="AS357" s="0" t="n">
        <v>32</v>
      </c>
      <c r="AU357" s="0" t="n">
        <f aca="false">COUNTA($BA$926:$EH$926)</f>
        <v>2</v>
      </c>
      <c r="AV357" s="0" t="n">
        <f aca="false">COUNTIF($BA$926:$EH$926,"D")</f>
        <v>0</v>
      </c>
      <c r="AW357" s="0" t="n">
        <f aca="false">COUNTIF($BA$926:$EH$926,"R")</f>
        <v>0</v>
      </c>
      <c r="AX357" s="0" t="n">
        <f aca="false"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>1</v>
      </c>
      <c r="AY357" s="0" t="n">
        <f aca="false">COUNTIF(DU357:EH357, "&lt;&gt;")</f>
        <v>0</v>
      </c>
      <c r="AZ357" s="0" t="n">
        <f aca="false">IF(EH357&lt;&gt;"",1,0)</f>
        <v>0</v>
      </c>
      <c r="BB357" s="0" t="s">
        <v>153</v>
      </c>
      <c r="BD357" s="0" t="s">
        <v>154</v>
      </c>
      <c r="BH357" s="0" t="s">
        <v>154</v>
      </c>
      <c r="BI357" s="0" t="s">
        <v>154</v>
      </c>
      <c r="BJ357" s="0" t="s">
        <v>154</v>
      </c>
      <c r="BL357" s="0" t="s">
        <v>154</v>
      </c>
      <c r="BR357" s="0" t="s">
        <v>154</v>
      </c>
      <c r="BS357" s="0" t="s">
        <v>154</v>
      </c>
      <c r="BY357" s="0" t="s">
        <v>155</v>
      </c>
      <c r="CA357" s="0" t="s">
        <v>154</v>
      </c>
      <c r="CK357" s="0" t="s">
        <v>154</v>
      </c>
      <c r="CL357" s="0" t="s">
        <v>155</v>
      </c>
      <c r="CN357" s="0" t="s">
        <v>154</v>
      </c>
      <c r="CO357" s="0" t="s">
        <v>155</v>
      </c>
      <c r="CP357" s="0" t="s">
        <v>154</v>
      </c>
      <c r="CY357" s="0" t="s">
        <v>154</v>
      </c>
      <c r="CZ357" s="0" t="s">
        <v>155</v>
      </c>
      <c r="DC357" s="0" t="s">
        <v>154</v>
      </c>
      <c r="DF357" s="0" t="s">
        <v>154</v>
      </c>
    </row>
    <row r="358" customFormat="false" ht="13.8" hidden="true" customHeight="false" outlineLevel="0" collapsed="false">
      <c r="A358" s="0" t="s">
        <v>2004</v>
      </c>
      <c r="B358" s="0" t="n">
        <v>78</v>
      </c>
      <c r="C358" s="0" t="n">
        <v>366733</v>
      </c>
      <c r="D358" s="0" t="s">
        <v>1634</v>
      </c>
      <c r="E358" s="0" t="s">
        <v>2005</v>
      </c>
      <c r="F358" s="0" t="str">
        <f aca="false">CONCATENATE(D358," ",LEFT(H358,4),"T=",AU358,"D=",AV358,"R=",AW358,"M=",AX358,"L=",AY358,"B=",AZ358)</f>
        <v>BENSON T=1D=0R=0M=0L=0B=0</v>
      </c>
      <c r="G358" s="0" t="s">
        <v>241</v>
      </c>
      <c r="I358" s="0" t="s">
        <v>2006</v>
      </c>
      <c r="J358" s="0" t="s">
        <v>2007</v>
      </c>
      <c r="K358" s="0" t="s">
        <v>144</v>
      </c>
      <c r="L358" s="0"/>
      <c r="M358" s="0" t="s">
        <v>2008</v>
      </c>
      <c r="N358" s="0" t="str">
        <f aca="false">RIGHT(M358,LEN(M358)-FIND(" ",M358))</f>
        <v>BONNIE BRAE AVE NE</v>
      </c>
      <c r="P358" s="0" t="s">
        <v>146</v>
      </c>
      <c r="Q358" s="0" t="s">
        <v>147</v>
      </c>
      <c r="R358" s="0" t="n">
        <v>44483</v>
      </c>
      <c r="AD358" s="0" t="s">
        <v>148</v>
      </c>
      <c r="AE358" s="0" t="s">
        <v>149</v>
      </c>
      <c r="AF358" s="0" t="s">
        <v>150</v>
      </c>
      <c r="AH358" s="0" t="n">
        <v>14</v>
      </c>
      <c r="AI358" s="0" t="n">
        <v>11</v>
      </c>
      <c r="AN358" s="0" t="s">
        <v>146</v>
      </c>
      <c r="AO358" s="0" t="s">
        <v>236</v>
      </c>
      <c r="AP358" s="0" t="s">
        <v>237</v>
      </c>
      <c r="AQ358" s="0" t="n">
        <v>9</v>
      </c>
      <c r="AR358" s="0" t="n">
        <v>64</v>
      </c>
      <c r="AS358" s="0" t="n">
        <v>32</v>
      </c>
      <c r="AU358" s="0" t="n">
        <f aca="false">COUNTA($BA$88:$EH$88)</f>
        <v>1</v>
      </c>
      <c r="AV358" s="0" t="n">
        <f aca="false">COUNTIF($BA$88:$EH$88,"D")</f>
        <v>0</v>
      </c>
      <c r="AW358" s="0" t="n">
        <f aca="false">COUNTIF($BA$88:$EH$88,"R")</f>
        <v>0</v>
      </c>
      <c r="AX358" s="0" t="n">
        <f aca="false"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>0</v>
      </c>
      <c r="AY358" s="0" t="n">
        <f aca="false">COUNTIF(DU358:EH358, "&lt;&gt;")</f>
        <v>0</v>
      </c>
      <c r="AZ358" s="0" t="n">
        <f aca="false">IF(EH358&lt;&gt;"",1,0)</f>
        <v>0</v>
      </c>
      <c r="BB358" s="0" t="s">
        <v>153</v>
      </c>
      <c r="CP358" s="0" t="s">
        <v>154</v>
      </c>
      <c r="CZ358" s="0" t="s">
        <v>155</v>
      </c>
      <c r="DC358" s="0" t="s">
        <v>154</v>
      </c>
    </row>
    <row r="359" customFormat="false" ht="13.8" hidden="true" customHeight="false" outlineLevel="0" collapsed="false">
      <c r="A359" s="0" t="s">
        <v>2009</v>
      </c>
      <c r="B359" s="0" t="n">
        <v>78</v>
      </c>
      <c r="C359" s="0" t="n">
        <v>440022</v>
      </c>
      <c r="D359" s="0" t="s">
        <v>2010</v>
      </c>
      <c r="E359" s="0" t="s">
        <v>2011</v>
      </c>
      <c r="F359" s="0" t="str">
        <f aca="false">CONCATENATE(D359," ",LEFT(H359,4),"T=",AU359,"D=",AV359,"R=",AW359,"M=",AX359,"L=",AY359,"B=",AZ359)</f>
        <v>ROBINSON WILLIAMS T=2D=0R=0M=0L=0B=0</v>
      </c>
      <c r="G359" s="0" t="s">
        <v>2012</v>
      </c>
      <c r="I359" s="0" t="s">
        <v>2013</v>
      </c>
      <c r="J359" s="0" t="s">
        <v>2014</v>
      </c>
      <c r="K359" s="0" t="s">
        <v>144</v>
      </c>
      <c r="L359" s="0"/>
      <c r="M359" s="0" t="s">
        <v>2008</v>
      </c>
      <c r="N359" s="0" t="str">
        <f aca="false">RIGHT(M359,LEN(M359)-FIND(" ",M359))</f>
        <v>BONNIE BRAE AVE NE</v>
      </c>
      <c r="P359" s="0" t="s">
        <v>146</v>
      </c>
      <c r="Q359" s="0" t="s">
        <v>147</v>
      </c>
      <c r="R359" s="0" t="n">
        <v>44483</v>
      </c>
      <c r="AD359" s="0" t="s">
        <v>148</v>
      </c>
      <c r="AE359" s="0" t="s">
        <v>149</v>
      </c>
      <c r="AF359" s="0" t="s">
        <v>150</v>
      </c>
      <c r="AH359" s="0" t="n">
        <v>14</v>
      </c>
      <c r="AI359" s="0" t="n">
        <v>11</v>
      </c>
      <c r="AN359" s="0" t="s">
        <v>146</v>
      </c>
      <c r="AO359" s="0" t="s">
        <v>236</v>
      </c>
      <c r="AP359" s="0" t="s">
        <v>237</v>
      </c>
      <c r="AQ359" s="0" t="n">
        <v>9</v>
      </c>
      <c r="AR359" s="0" t="n">
        <v>64</v>
      </c>
      <c r="AS359" s="0" t="n">
        <v>32</v>
      </c>
      <c r="AU359" s="0" t="n">
        <f aca="false">COUNTA($BA$525:$EH$525)</f>
        <v>2</v>
      </c>
      <c r="AV359" s="0" t="n">
        <f aca="false">COUNTIF($BA$525:$EH$525,"D")</f>
        <v>0</v>
      </c>
      <c r="AW359" s="0" t="n">
        <f aca="false">COUNTIF($BA$525:$EH$525,"R")</f>
        <v>0</v>
      </c>
      <c r="AX359" s="0" t="n">
        <f aca="false"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>0</v>
      </c>
      <c r="AY359" s="0" t="n">
        <f aca="false">COUNTIF(DU359:EH359, "&lt;&gt;")</f>
        <v>0</v>
      </c>
      <c r="AZ359" s="0" t="n">
        <f aca="false">IF(EH359&lt;&gt;"",1,0)</f>
        <v>0</v>
      </c>
      <c r="BB359" s="0" t="s">
        <v>153</v>
      </c>
    </row>
    <row r="360" customFormat="false" ht="13.8" hidden="true" customHeight="false" outlineLevel="0" collapsed="false">
      <c r="A360" s="0" t="s">
        <v>2015</v>
      </c>
      <c r="B360" s="0" t="n">
        <v>78</v>
      </c>
      <c r="C360" s="0" t="n">
        <v>363098</v>
      </c>
      <c r="D360" s="0" t="s">
        <v>645</v>
      </c>
      <c r="E360" s="0" t="s">
        <v>2016</v>
      </c>
      <c r="F360" s="0" t="str">
        <f aca="false">CONCATENATE(D360," ",LEFT(H360,4),"T=",AU360,"D=",AV360,"R=",AW360,"M=",AX360,"L=",AY360,"B=",AZ360)</f>
        <v>WILLIAMS T=1D=0R=0M=0L=0B=0</v>
      </c>
      <c r="I360" s="0" t="s">
        <v>2017</v>
      </c>
      <c r="J360" s="0" t="s">
        <v>2018</v>
      </c>
      <c r="K360" s="0" t="s">
        <v>144</v>
      </c>
      <c r="L360" s="0"/>
      <c r="M360" s="0" t="s">
        <v>2008</v>
      </c>
      <c r="N360" s="0" t="str">
        <f aca="false">RIGHT(M360,LEN(M360)-FIND(" ",M360))</f>
        <v>BONNIE BRAE AVE NE</v>
      </c>
      <c r="P360" s="0" t="s">
        <v>146</v>
      </c>
      <c r="Q360" s="0" t="s">
        <v>147</v>
      </c>
      <c r="R360" s="0" t="n">
        <v>44483</v>
      </c>
      <c r="AD360" s="0" t="s">
        <v>148</v>
      </c>
      <c r="AE360" s="0" t="s">
        <v>149</v>
      </c>
      <c r="AF360" s="0" t="s">
        <v>150</v>
      </c>
      <c r="AH360" s="0" t="n">
        <v>14</v>
      </c>
      <c r="AI360" s="0" t="n">
        <v>11</v>
      </c>
      <c r="AN360" s="0" t="s">
        <v>146</v>
      </c>
      <c r="AO360" s="0" t="s">
        <v>236</v>
      </c>
      <c r="AP360" s="0" t="s">
        <v>237</v>
      </c>
      <c r="AQ360" s="0" t="n">
        <v>9</v>
      </c>
      <c r="AR360" s="0" t="n">
        <v>64</v>
      </c>
      <c r="AS360" s="0" t="n">
        <v>32</v>
      </c>
      <c r="AU360" s="0" t="n">
        <f aca="false">COUNTA($BA$838:$EH$838)</f>
        <v>1</v>
      </c>
      <c r="AV360" s="0" t="n">
        <f aca="false">COUNTIF($BA$838:$EH$838,"D")</f>
        <v>0</v>
      </c>
      <c r="AW360" s="0" t="n">
        <f aca="false">COUNTIF($BA$838:$EH$838,"R")</f>
        <v>0</v>
      </c>
      <c r="AX360" s="0" t="n">
        <f aca="false"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>0</v>
      </c>
      <c r="AY360" s="0" t="n">
        <f aca="false">COUNTIF(DU360:EH360, "&lt;&gt;")</f>
        <v>0</v>
      </c>
      <c r="AZ360" s="0" t="n">
        <f aca="false">IF(EH360&lt;&gt;"",1,0)</f>
        <v>0</v>
      </c>
      <c r="BB360" s="0" t="s">
        <v>153</v>
      </c>
      <c r="BD360" s="0" t="s">
        <v>154</v>
      </c>
      <c r="BK360" s="0" t="s">
        <v>155</v>
      </c>
      <c r="BL360" s="0" t="s">
        <v>154</v>
      </c>
      <c r="BS360" s="0" t="s">
        <v>154</v>
      </c>
      <c r="CA360" s="0" t="s">
        <v>154</v>
      </c>
      <c r="CP360" s="0" t="s">
        <v>154</v>
      </c>
      <c r="CY360" s="0" t="s">
        <v>154</v>
      </c>
      <c r="DC360" s="0" t="s">
        <v>154</v>
      </c>
      <c r="DN360" s="0" t="s">
        <v>154</v>
      </c>
    </row>
    <row r="361" customFormat="false" ht="13.8" hidden="false" customHeight="false" outlineLevel="0" collapsed="false">
      <c r="A361" s="0" t="s">
        <v>2019</v>
      </c>
      <c r="B361" s="0" t="n">
        <v>78</v>
      </c>
      <c r="C361" s="0" t="n">
        <v>145536</v>
      </c>
      <c r="D361" s="0" t="s">
        <v>2020</v>
      </c>
      <c r="E361" s="0" t="s">
        <v>1456</v>
      </c>
      <c r="F361" s="0" t="str">
        <f aca="false">CONCATENATE(D361," ",LEFT(H361,4),"T=",AU361,"D=",AV361,"R=",AW361,"M=",AX361,"L=",AY361,"B=",AZ361)</f>
        <v>BYLAND T=18D=6R=0M=5L=6B=0</v>
      </c>
      <c r="G361" s="0" t="s">
        <v>188</v>
      </c>
      <c r="I361" s="0" t="s">
        <v>2021</v>
      </c>
      <c r="J361" s="0" t="s">
        <v>2022</v>
      </c>
      <c r="K361" s="0" t="s">
        <v>175</v>
      </c>
      <c r="L361" s="1" t="s">
        <v>155</v>
      </c>
      <c r="M361" s="0" t="s">
        <v>2023</v>
      </c>
      <c r="N361" s="0" t="str">
        <f aca="false">RIGHT(M361,LEN(M361)-FIND(" ",M361))</f>
        <v>BONNIE BRAE AVE NE</v>
      </c>
      <c r="P361" s="0" t="s">
        <v>146</v>
      </c>
      <c r="Q361" s="0" t="s">
        <v>147</v>
      </c>
      <c r="R361" s="0" t="n">
        <v>44483</v>
      </c>
      <c r="AD361" s="0" t="s">
        <v>148</v>
      </c>
      <c r="AE361" s="0" t="s">
        <v>149</v>
      </c>
      <c r="AF361" s="0" t="s">
        <v>150</v>
      </c>
      <c r="AH361" s="0" t="n">
        <v>14</v>
      </c>
      <c r="AI361" s="0" t="n">
        <v>11</v>
      </c>
      <c r="AN361" s="0" t="s">
        <v>146</v>
      </c>
      <c r="AO361" s="0" t="s">
        <v>236</v>
      </c>
      <c r="AP361" s="0" t="s">
        <v>237</v>
      </c>
      <c r="AQ361" s="0" t="n">
        <v>9</v>
      </c>
      <c r="AR361" s="0" t="n">
        <v>64</v>
      </c>
      <c r="AS361" s="0" t="n">
        <v>32</v>
      </c>
      <c r="AU361" s="0" t="n">
        <f aca="false">COUNTA($BA$1059:$EH$1059)</f>
        <v>18</v>
      </c>
      <c r="AV361" s="0" t="n">
        <f aca="false">COUNTIF($BA$1059:$EH$1059,"D")</f>
        <v>6</v>
      </c>
      <c r="AW361" s="0" t="n">
        <f aca="false">COUNTIF($BA$1059:$EH$1059,"R")</f>
        <v>0</v>
      </c>
      <c r="AX361" s="0" t="n">
        <f aca="false"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>5</v>
      </c>
      <c r="AY361" s="0" t="n">
        <f aca="false">COUNTIF(DU361:EH361, "&lt;&gt;")</f>
        <v>6</v>
      </c>
      <c r="AZ361" s="0" t="n">
        <f aca="false">IF(EH361&lt;&gt;"",1,0)</f>
        <v>0</v>
      </c>
      <c r="BB361" s="0" t="s">
        <v>153</v>
      </c>
      <c r="BC361" s="0" t="s">
        <v>154</v>
      </c>
      <c r="BD361" s="0" t="s">
        <v>154</v>
      </c>
      <c r="BE361" s="0" t="s">
        <v>154</v>
      </c>
      <c r="BF361" s="0" t="s">
        <v>154</v>
      </c>
      <c r="BG361" s="0" t="s">
        <v>154</v>
      </c>
      <c r="BH361" s="0" t="s">
        <v>154</v>
      </c>
      <c r="BI361" s="0" t="s">
        <v>154</v>
      </c>
      <c r="BJ361" s="0" t="s">
        <v>154</v>
      </c>
      <c r="BK361" s="0" t="s">
        <v>154</v>
      </c>
      <c r="BL361" s="0" t="s">
        <v>154</v>
      </c>
      <c r="BP361" s="0" t="s">
        <v>154</v>
      </c>
      <c r="BS361" s="0" t="s">
        <v>154</v>
      </c>
      <c r="BV361" s="0" t="s">
        <v>154</v>
      </c>
      <c r="BY361" s="0" t="s">
        <v>155</v>
      </c>
      <c r="CA361" s="0" t="s">
        <v>154</v>
      </c>
      <c r="CG361" s="0" t="s">
        <v>154</v>
      </c>
      <c r="CK361" s="0" t="s">
        <v>154</v>
      </c>
      <c r="CN361" s="0" t="s">
        <v>154</v>
      </c>
      <c r="CP361" s="0" t="s">
        <v>154</v>
      </c>
      <c r="CT361" s="0" t="s">
        <v>154</v>
      </c>
      <c r="CU361" s="0" t="s">
        <v>155</v>
      </c>
      <c r="CV361" s="0" t="s">
        <v>154</v>
      </c>
      <c r="CW361" s="0" t="s">
        <v>155</v>
      </c>
      <c r="CY361" s="0" t="s">
        <v>154</v>
      </c>
      <c r="CZ361" s="0" t="s">
        <v>155</v>
      </c>
      <c r="DC361" s="0" t="s">
        <v>154</v>
      </c>
      <c r="DD361" s="0" t="s">
        <v>155</v>
      </c>
      <c r="DF361" s="0" t="s">
        <v>154</v>
      </c>
      <c r="DG361" s="0" t="s">
        <v>155</v>
      </c>
      <c r="DI361" s="0" t="s">
        <v>154</v>
      </c>
      <c r="DJ361" s="0" t="s">
        <v>155</v>
      </c>
      <c r="DL361" s="0" t="s">
        <v>154</v>
      </c>
      <c r="DM361" s="0" t="s">
        <v>155</v>
      </c>
      <c r="DN361" s="0" t="s">
        <v>154</v>
      </c>
      <c r="DO361" s="0" t="s">
        <v>155</v>
      </c>
      <c r="DR361" s="0" t="s">
        <v>154</v>
      </c>
      <c r="DS361" s="0" t="s">
        <v>155</v>
      </c>
      <c r="DT361" s="0" t="s">
        <v>155</v>
      </c>
      <c r="DU361" s="0" t="s">
        <v>154</v>
      </c>
      <c r="DW361" s="0" t="s">
        <v>155</v>
      </c>
      <c r="DX361" s="0" t="s">
        <v>154</v>
      </c>
      <c r="EA361" s="0" t="s">
        <v>154</v>
      </c>
      <c r="ED361" s="0" t="s">
        <v>155</v>
      </c>
      <c r="EF361" s="0" t="s">
        <v>154</v>
      </c>
    </row>
    <row r="362" customFormat="false" ht="13.8" hidden="false" customHeight="false" outlineLevel="0" collapsed="false">
      <c r="A362" s="0" t="s">
        <v>2024</v>
      </c>
      <c r="B362" s="0" t="n">
        <v>78</v>
      </c>
      <c r="C362" s="0" t="n">
        <v>4227</v>
      </c>
      <c r="D362" s="0" t="s">
        <v>2025</v>
      </c>
      <c r="E362" s="0" t="s">
        <v>2026</v>
      </c>
      <c r="F362" s="0" t="str">
        <f aca="false">CONCATENATE(D362," ",LEFT(H362,4),"T=",AU362,"D=",AV362,"R=",AW362,"M=",AX362,"L=",AY362,"B=",AZ362)</f>
        <v>NOVAK T=1D=0R=0M=8L=5B=0</v>
      </c>
      <c r="G362" s="0" t="s">
        <v>241</v>
      </c>
      <c r="I362" s="0" t="s">
        <v>2027</v>
      </c>
      <c r="J362" s="0" t="s">
        <v>2028</v>
      </c>
      <c r="K362" s="0" t="s">
        <v>175</v>
      </c>
      <c r="L362" s="1" t="s">
        <v>155</v>
      </c>
      <c r="M362" s="0" t="s">
        <v>2029</v>
      </c>
      <c r="N362" s="0" t="str">
        <f aca="false">RIGHT(M362,LEN(M362)-FIND(" ",M362))</f>
        <v>BONNIE BRAE AVE NE</v>
      </c>
      <c r="P362" s="0" t="s">
        <v>146</v>
      </c>
      <c r="Q362" s="0" t="s">
        <v>147</v>
      </c>
      <c r="R362" s="0" t="n">
        <v>44483</v>
      </c>
      <c r="AD362" s="0" t="s">
        <v>148</v>
      </c>
      <c r="AE362" s="0" t="s">
        <v>149</v>
      </c>
      <c r="AF362" s="0" t="s">
        <v>150</v>
      </c>
      <c r="AH362" s="0" t="n">
        <v>14</v>
      </c>
      <c r="AI362" s="0" t="n">
        <v>11</v>
      </c>
      <c r="AN362" s="0" t="s">
        <v>146</v>
      </c>
      <c r="AO362" s="0" t="s">
        <v>236</v>
      </c>
      <c r="AP362" s="0" t="s">
        <v>237</v>
      </c>
      <c r="AQ362" s="0" t="n">
        <v>9</v>
      </c>
      <c r="AR362" s="0" t="n">
        <v>64</v>
      </c>
      <c r="AS362" s="0" t="n">
        <v>32</v>
      </c>
      <c r="AU362" s="0" t="n">
        <f aca="false">COUNTA($BA$982:$EH$982)</f>
        <v>1</v>
      </c>
      <c r="AV362" s="0" t="n">
        <f aca="false">COUNTIF($BA$982:$EH$982,"D")</f>
        <v>0</v>
      </c>
      <c r="AW362" s="0" t="n">
        <f aca="false">COUNTIF($BA$982:$EH$982,"R")</f>
        <v>0</v>
      </c>
      <c r="AX362" s="0" t="n">
        <f aca="false"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>8</v>
      </c>
      <c r="AY362" s="0" t="n">
        <f aca="false">COUNTIF(DU362:EH362, "&lt;&gt;")</f>
        <v>5</v>
      </c>
      <c r="AZ362" s="0" t="n">
        <f aca="false">IF(EH362&lt;&gt;"",1,0)</f>
        <v>0</v>
      </c>
      <c r="BB362" s="0" t="s">
        <v>153</v>
      </c>
      <c r="BC362" s="0" t="s">
        <v>154</v>
      </c>
      <c r="BD362" s="0" t="s">
        <v>154</v>
      </c>
      <c r="BE362" s="0" t="s">
        <v>154</v>
      </c>
      <c r="BF362" s="0" t="s">
        <v>154</v>
      </c>
      <c r="BG362" s="0" t="s">
        <v>154</v>
      </c>
      <c r="BH362" s="0" t="s">
        <v>154</v>
      </c>
      <c r="BI362" s="0" t="s">
        <v>154</v>
      </c>
      <c r="BJ362" s="0" t="s">
        <v>154</v>
      </c>
      <c r="BK362" s="0" t="s">
        <v>154</v>
      </c>
      <c r="BL362" s="0" t="s">
        <v>154</v>
      </c>
      <c r="BP362" s="0" t="s">
        <v>154</v>
      </c>
      <c r="BR362" s="0" t="s">
        <v>154</v>
      </c>
      <c r="BS362" s="0" t="s">
        <v>154</v>
      </c>
      <c r="BV362" s="0" t="s">
        <v>154</v>
      </c>
      <c r="BY362" s="0" t="s">
        <v>155</v>
      </c>
      <c r="CA362" s="0" t="s">
        <v>154</v>
      </c>
      <c r="CC362" s="0" t="s">
        <v>155</v>
      </c>
      <c r="CG362" s="0" t="s">
        <v>154</v>
      </c>
      <c r="CH362" s="0" t="s">
        <v>155</v>
      </c>
      <c r="CK362" s="0" t="s">
        <v>154</v>
      </c>
      <c r="CL362" s="0" t="s">
        <v>155</v>
      </c>
      <c r="CN362" s="0" t="s">
        <v>154</v>
      </c>
      <c r="CO362" s="0" t="s">
        <v>155</v>
      </c>
      <c r="CP362" s="0" t="s">
        <v>154</v>
      </c>
      <c r="CQ362" s="0" t="s">
        <v>155</v>
      </c>
      <c r="CT362" s="0" t="s">
        <v>154</v>
      </c>
      <c r="CU362" s="0" t="s">
        <v>155</v>
      </c>
      <c r="CV362" s="0" t="s">
        <v>154</v>
      </c>
      <c r="CW362" s="0" t="s">
        <v>155</v>
      </c>
      <c r="CY362" s="0" t="s">
        <v>154</v>
      </c>
      <c r="CZ362" s="0" t="s">
        <v>155</v>
      </c>
      <c r="DC362" s="0" t="s">
        <v>154</v>
      </c>
      <c r="DD362" s="0" t="s">
        <v>155</v>
      </c>
      <c r="DF362" s="0" t="s">
        <v>154</v>
      </c>
      <c r="DG362" s="0" t="s">
        <v>155</v>
      </c>
      <c r="DI362" s="0" t="s">
        <v>154</v>
      </c>
      <c r="DJ362" s="0" t="s">
        <v>155</v>
      </c>
      <c r="DL362" s="0" t="s">
        <v>154</v>
      </c>
      <c r="DM362" s="0" t="s">
        <v>155</v>
      </c>
      <c r="DN362" s="0" t="s">
        <v>154</v>
      </c>
      <c r="DO362" s="0" t="s">
        <v>155</v>
      </c>
      <c r="DR362" s="0" t="s">
        <v>154</v>
      </c>
      <c r="DS362" s="0" t="s">
        <v>155</v>
      </c>
      <c r="DT362" s="0" t="s">
        <v>155</v>
      </c>
      <c r="DU362" s="0" t="s">
        <v>154</v>
      </c>
      <c r="DW362" s="0" t="s">
        <v>155</v>
      </c>
      <c r="DX362" s="0" t="s">
        <v>154</v>
      </c>
      <c r="ED362" s="0" t="s">
        <v>155</v>
      </c>
      <c r="EF362" s="0" t="s">
        <v>154</v>
      </c>
    </row>
    <row r="363" customFormat="false" ht="13.8" hidden="true" customHeight="false" outlineLevel="0" collapsed="false">
      <c r="A363" s="0" t="s">
        <v>2030</v>
      </c>
      <c r="B363" s="0" t="n">
        <v>78</v>
      </c>
      <c r="C363" s="0" t="n">
        <v>385447</v>
      </c>
      <c r="D363" s="0" t="s">
        <v>2031</v>
      </c>
      <c r="E363" s="0" t="s">
        <v>2032</v>
      </c>
      <c r="F363" s="0" t="str">
        <f aca="false">CONCATENATE(D363," ",LEFT(H363,4),"T=",AU363,"D=",AV363,"R=",AW363,"M=",AX363,"L=",AY363,"B=",AZ363)</f>
        <v>TYLER T=1D=0R=0M=0L=0B=0</v>
      </c>
      <c r="G363" s="0" t="s">
        <v>2033</v>
      </c>
      <c r="I363" s="0" t="s">
        <v>2034</v>
      </c>
      <c r="J363" s="0" t="s">
        <v>2035</v>
      </c>
      <c r="K363" s="0" t="s">
        <v>175</v>
      </c>
      <c r="L363" s="0"/>
      <c r="M363" s="0" t="s">
        <v>2036</v>
      </c>
      <c r="N363" s="0" t="str">
        <f aca="false">RIGHT(M363,LEN(M363)-FIND(" ",M363))</f>
        <v>BONNIE BRAE AVE NE</v>
      </c>
      <c r="P363" s="0" t="s">
        <v>146</v>
      </c>
      <c r="Q363" s="0" t="s">
        <v>147</v>
      </c>
      <c r="R363" s="0" t="n">
        <v>44483</v>
      </c>
      <c r="AD363" s="0" t="s">
        <v>148</v>
      </c>
      <c r="AE363" s="0" t="s">
        <v>149</v>
      </c>
      <c r="AF363" s="0" t="s">
        <v>150</v>
      </c>
      <c r="AH363" s="0" t="n">
        <v>14</v>
      </c>
      <c r="AI363" s="0" t="n">
        <v>11</v>
      </c>
      <c r="AN363" s="0" t="s">
        <v>146</v>
      </c>
      <c r="AO363" s="0" t="s">
        <v>236</v>
      </c>
      <c r="AP363" s="0" t="s">
        <v>237</v>
      </c>
      <c r="AQ363" s="0" t="n">
        <v>9</v>
      </c>
      <c r="AR363" s="0" t="n">
        <v>64</v>
      </c>
      <c r="AS363" s="0" t="n">
        <v>32</v>
      </c>
      <c r="AU363" s="0" t="n">
        <f aca="false">COUNTA($BA$9:$EH$9)</f>
        <v>1</v>
      </c>
      <c r="AV363" s="0" t="n">
        <f aca="false">COUNTIF($BA$9:$EH$9,"D")</f>
        <v>0</v>
      </c>
      <c r="AW363" s="0" t="n">
        <f aca="false">COUNTIF($BA$9:$EH$9,"R")</f>
        <v>0</v>
      </c>
      <c r="AX363" s="0" t="n">
        <f aca="false"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>0</v>
      </c>
      <c r="AY363" s="0" t="n">
        <f aca="false">COUNTIF(DU363:EH363, "&lt;&gt;")</f>
        <v>0</v>
      </c>
      <c r="AZ363" s="0" t="n">
        <f aca="false">IF(EH363&lt;&gt;"",1,0)</f>
        <v>0</v>
      </c>
      <c r="BB363" s="0" t="s">
        <v>153</v>
      </c>
    </row>
    <row r="364" customFormat="false" ht="13.8" hidden="true" customHeight="false" outlineLevel="0" collapsed="false">
      <c r="A364" s="0" t="s">
        <v>2037</v>
      </c>
      <c r="B364" s="0" t="n">
        <v>78</v>
      </c>
      <c r="C364" s="0" t="n">
        <v>290226</v>
      </c>
      <c r="D364" s="0" t="s">
        <v>2038</v>
      </c>
      <c r="E364" s="0" t="s">
        <v>2039</v>
      </c>
      <c r="F364" s="0" t="str">
        <f aca="false">CONCATENATE(D364," ",LEFT(H364,4),"T=",AU364,"D=",AV364,"R=",AW364,"M=",AX364,"L=",AY364,"B=",AZ364)</f>
        <v>OSBORNE T=19D=0R=0M=0L=1B=0</v>
      </c>
      <c r="G364" s="0" t="s">
        <v>166</v>
      </c>
      <c r="I364" s="0" t="s">
        <v>2040</v>
      </c>
      <c r="J364" s="0" t="s">
        <v>2041</v>
      </c>
      <c r="K364" s="0" t="s">
        <v>175</v>
      </c>
      <c r="L364" s="0"/>
      <c r="M364" s="0" t="s">
        <v>2042</v>
      </c>
      <c r="N364" s="0" t="str">
        <f aca="false">RIGHT(M364,LEN(M364)-FIND(" ",M364))</f>
        <v>BONNIE BRAE AVE NE</v>
      </c>
      <c r="P364" s="0" t="s">
        <v>146</v>
      </c>
      <c r="Q364" s="0" t="s">
        <v>147</v>
      </c>
      <c r="R364" s="0" t="n">
        <v>44483</v>
      </c>
      <c r="AD364" s="0" t="s">
        <v>148</v>
      </c>
      <c r="AE364" s="0" t="s">
        <v>149</v>
      </c>
      <c r="AF364" s="0" t="s">
        <v>150</v>
      </c>
      <c r="AH364" s="0" t="n">
        <v>14</v>
      </c>
      <c r="AI364" s="0" t="n">
        <v>11</v>
      </c>
      <c r="AN364" s="0" t="s">
        <v>146</v>
      </c>
      <c r="AO364" s="0" t="s">
        <v>236</v>
      </c>
      <c r="AP364" s="0" t="s">
        <v>237</v>
      </c>
      <c r="AQ364" s="0" t="n">
        <v>9</v>
      </c>
      <c r="AR364" s="0" t="n">
        <v>64</v>
      </c>
      <c r="AS364" s="0" t="n">
        <v>32</v>
      </c>
      <c r="AU364" s="0" t="n">
        <f aca="false">COUNTA($BA$66:$EH$66)</f>
        <v>19</v>
      </c>
      <c r="AV364" s="0" t="n">
        <f aca="false">COUNTIF($BA$66:$EH$66,"D")</f>
        <v>0</v>
      </c>
      <c r="AW364" s="0" t="n">
        <f aca="false">COUNTIF($BA$66:$EH$66,"R")</f>
        <v>0</v>
      </c>
      <c r="AX364" s="0" t="n">
        <f aca="false"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>0</v>
      </c>
      <c r="AY364" s="0" t="n">
        <f aca="false">COUNTIF(DU364:EH364, "&lt;&gt;")</f>
        <v>1</v>
      </c>
      <c r="AZ364" s="0" t="n">
        <f aca="false">IF(EH364&lt;&gt;"",1,0)</f>
        <v>0</v>
      </c>
      <c r="BB364" s="0" t="s">
        <v>153</v>
      </c>
      <c r="BL364" s="0" t="s">
        <v>154</v>
      </c>
      <c r="BS364" s="0" t="s">
        <v>154</v>
      </c>
      <c r="CA364" s="0" t="s">
        <v>154</v>
      </c>
      <c r="DC364" s="0" t="s">
        <v>154</v>
      </c>
      <c r="DN364" s="0" t="s">
        <v>154</v>
      </c>
      <c r="EF364" s="0" t="s">
        <v>154</v>
      </c>
    </row>
    <row r="365" customFormat="false" ht="13.8" hidden="false" customHeight="false" outlineLevel="0" collapsed="false">
      <c r="A365" s="0" t="s">
        <v>2043</v>
      </c>
      <c r="B365" s="0" t="n">
        <v>78</v>
      </c>
      <c r="C365" s="0" t="n">
        <v>233549</v>
      </c>
      <c r="D365" s="0" t="s">
        <v>2038</v>
      </c>
      <c r="E365" s="0" t="s">
        <v>2044</v>
      </c>
      <c r="F365" s="0" t="str">
        <f aca="false">CONCATENATE(D365," ",LEFT(H365,4),"T=",AU365,"D=",AV365,"R=",AW365,"M=",AX365,"L=",AY365,"B=",AZ365)</f>
        <v>OSBORNE T=6D=0R=1M=1L=4B=0</v>
      </c>
      <c r="G365" s="0" t="s">
        <v>297</v>
      </c>
      <c r="I365" s="0" t="s">
        <v>2045</v>
      </c>
      <c r="J365" s="0" t="s">
        <v>2041</v>
      </c>
      <c r="K365" s="0" t="s">
        <v>175</v>
      </c>
      <c r="M365" s="0" t="s">
        <v>2042</v>
      </c>
      <c r="N365" s="0" t="str">
        <f aca="false">RIGHT(M365,LEN(M365)-FIND(" ",M365))</f>
        <v>BONNIE BRAE AVE NE</v>
      </c>
      <c r="P365" s="0" t="s">
        <v>146</v>
      </c>
      <c r="Q365" s="0" t="s">
        <v>147</v>
      </c>
      <c r="R365" s="0" t="n">
        <v>44483</v>
      </c>
      <c r="AD365" s="0" t="s">
        <v>148</v>
      </c>
      <c r="AE365" s="0" t="s">
        <v>149</v>
      </c>
      <c r="AF365" s="0" t="s">
        <v>150</v>
      </c>
      <c r="AH365" s="0" t="n">
        <v>14</v>
      </c>
      <c r="AI365" s="0" t="n">
        <v>11</v>
      </c>
      <c r="AN365" s="0" t="s">
        <v>146</v>
      </c>
      <c r="AO365" s="0" t="s">
        <v>236</v>
      </c>
      <c r="AP365" s="0" t="s">
        <v>237</v>
      </c>
      <c r="AQ365" s="0" t="n">
        <v>9</v>
      </c>
      <c r="AR365" s="0" t="n">
        <v>64</v>
      </c>
      <c r="AS365" s="0" t="n">
        <v>32</v>
      </c>
      <c r="AU365" s="0" t="n">
        <f aca="false">COUNTA($BA$235:$EH$235)</f>
        <v>6</v>
      </c>
      <c r="AV365" s="0" t="n">
        <f aca="false">COUNTIF($BA$235:$EH$235,"D")</f>
        <v>0</v>
      </c>
      <c r="AW365" s="0" t="n">
        <f aca="false">COUNTIF($BA$235:$EH$235,"R")</f>
        <v>1</v>
      </c>
      <c r="AX365" s="0" t="n">
        <f aca="false"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>1</v>
      </c>
      <c r="AY365" s="0" t="n">
        <f aca="false">COUNTIF(DU365:EH365, "&lt;&gt;")</f>
        <v>4</v>
      </c>
      <c r="AZ365" s="0" t="n">
        <f aca="false">IF(EH365&lt;&gt;"",1,0)</f>
        <v>0</v>
      </c>
      <c r="BB365" s="0" t="s">
        <v>153</v>
      </c>
      <c r="BH365" s="0" t="s">
        <v>154</v>
      </c>
      <c r="BL365" s="0" t="s">
        <v>154</v>
      </c>
      <c r="BS365" s="0" t="s">
        <v>154</v>
      </c>
      <c r="BY365" s="0" t="s">
        <v>155</v>
      </c>
      <c r="CA365" s="0" t="s">
        <v>154</v>
      </c>
      <c r="CG365" s="0" t="s">
        <v>154</v>
      </c>
      <c r="CK365" s="0" t="s">
        <v>154</v>
      </c>
      <c r="CN365" s="0" t="s">
        <v>154</v>
      </c>
      <c r="CP365" s="0" t="s">
        <v>154</v>
      </c>
      <c r="DC365" s="0" t="s">
        <v>154</v>
      </c>
      <c r="DN365" s="0" t="s">
        <v>154</v>
      </c>
      <c r="DO365" s="0" t="s">
        <v>155</v>
      </c>
      <c r="DU365" s="0" t="s">
        <v>154</v>
      </c>
      <c r="DX365" s="0" t="s">
        <v>154</v>
      </c>
      <c r="EA365" s="0" t="s">
        <v>154</v>
      </c>
      <c r="EF365" s="0" t="s">
        <v>154</v>
      </c>
    </row>
    <row r="366" customFormat="false" ht="13.8" hidden="true" customHeight="false" outlineLevel="0" collapsed="false">
      <c r="A366" s="0" t="s">
        <v>2046</v>
      </c>
      <c r="B366" s="0" t="n">
        <v>78</v>
      </c>
      <c r="C366" s="0" t="n">
        <v>441658</v>
      </c>
      <c r="D366" s="0" t="s">
        <v>2047</v>
      </c>
      <c r="E366" s="0" t="s">
        <v>932</v>
      </c>
      <c r="F366" s="0" t="str">
        <f aca="false">CONCATENATE(D366," ",LEFT(H366,4),"T=",AU366,"D=",AV366,"R=",AW366,"M=",AX366,"L=",AY366,"B=",AZ366)</f>
        <v>WIANT T=6D=0R=0M=0L=0B=0</v>
      </c>
      <c r="G366" s="0" t="s">
        <v>297</v>
      </c>
      <c r="I366" s="0" t="s">
        <v>2048</v>
      </c>
      <c r="J366" s="0" t="s">
        <v>2049</v>
      </c>
      <c r="K366" s="0" t="s">
        <v>175</v>
      </c>
      <c r="L366" s="0"/>
      <c r="M366" s="0" t="s">
        <v>2050</v>
      </c>
      <c r="N366" s="0" t="str">
        <f aca="false">RIGHT(M366,LEN(M366)-FIND(" ",M366))</f>
        <v>BONNIE BRAE AVE NE</v>
      </c>
      <c r="P366" s="0" t="s">
        <v>146</v>
      </c>
      <c r="Q366" s="0" t="s">
        <v>147</v>
      </c>
      <c r="R366" s="0" t="n">
        <v>44483</v>
      </c>
      <c r="AD366" s="0" t="s">
        <v>148</v>
      </c>
      <c r="AE366" s="0" t="s">
        <v>149</v>
      </c>
      <c r="AF366" s="0" t="s">
        <v>150</v>
      </c>
      <c r="AH366" s="0" t="n">
        <v>14</v>
      </c>
      <c r="AI366" s="0" t="n">
        <v>11</v>
      </c>
      <c r="AN366" s="0" t="s">
        <v>146</v>
      </c>
      <c r="AO366" s="0" t="s">
        <v>236</v>
      </c>
      <c r="AP366" s="0" t="s">
        <v>237</v>
      </c>
      <c r="AQ366" s="0" t="n">
        <v>9</v>
      </c>
      <c r="AR366" s="0" t="n">
        <v>64</v>
      </c>
      <c r="AS366" s="0" t="n">
        <v>32</v>
      </c>
      <c r="AU366" s="0" t="n">
        <f aca="false">COUNTA($BA$408:$EH$408)</f>
        <v>6</v>
      </c>
      <c r="AV366" s="0" t="n">
        <f aca="false">COUNTIF($BA$408:$EH$408,"D")</f>
        <v>0</v>
      </c>
      <c r="AW366" s="0" t="n">
        <f aca="false">COUNTIF($BA$408:$EH$408,"R")</f>
        <v>0</v>
      </c>
      <c r="AX366" s="0" t="n">
        <f aca="false"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>0</v>
      </c>
      <c r="AY366" s="0" t="n">
        <f aca="false">COUNTIF(DU366:EH366, "&lt;&gt;")</f>
        <v>0</v>
      </c>
      <c r="AZ366" s="0" t="n">
        <f aca="false">IF(EH366&lt;&gt;"",1,0)</f>
        <v>0</v>
      </c>
      <c r="BB366" s="0" t="s">
        <v>153</v>
      </c>
    </row>
    <row r="367" customFormat="false" ht="13.8" hidden="true" customHeight="false" outlineLevel="0" collapsed="false">
      <c r="A367" s="0" t="s">
        <v>2051</v>
      </c>
      <c r="B367" s="0" t="n">
        <v>78</v>
      </c>
      <c r="C367" s="0" t="n">
        <v>375673</v>
      </c>
      <c r="D367" s="0" t="s">
        <v>2052</v>
      </c>
      <c r="E367" s="0" t="s">
        <v>2053</v>
      </c>
      <c r="F367" s="0" t="str">
        <f aca="false">CONCATENATE(D367," ",LEFT(H367,4),"T=",AU367,"D=",AV367,"R=",AW367,"M=",AX367,"L=",AY367,"B=",AZ367)</f>
        <v>HISER T=26D=12R=0M=0L=1B=0</v>
      </c>
      <c r="G367" s="0" t="s">
        <v>176</v>
      </c>
      <c r="I367" s="0" t="s">
        <v>2054</v>
      </c>
      <c r="J367" s="0" t="s">
        <v>757</v>
      </c>
      <c r="K367" s="0" t="s">
        <v>175</v>
      </c>
      <c r="L367" s="0"/>
      <c r="M367" s="0" t="s">
        <v>2050</v>
      </c>
      <c r="N367" s="0" t="str">
        <f aca="false">RIGHT(M367,LEN(M367)-FIND(" ",M367))</f>
        <v>BONNIE BRAE AVE NE</v>
      </c>
      <c r="P367" s="0" t="s">
        <v>146</v>
      </c>
      <c r="Q367" s="0" t="s">
        <v>147</v>
      </c>
      <c r="R367" s="0" t="n">
        <v>44483</v>
      </c>
      <c r="AD367" s="0" t="s">
        <v>148</v>
      </c>
      <c r="AE367" s="0" t="s">
        <v>149</v>
      </c>
      <c r="AF367" s="0" t="s">
        <v>150</v>
      </c>
      <c r="AH367" s="0" t="n">
        <v>14</v>
      </c>
      <c r="AI367" s="0" t="n">
        <v>11</v>
      </c>
      <c r="AN367" s="0" t="s">
        <v>146</v>
      </c>
      <c r="AO367" s="0" t="s">
        <v>236</v>
      </c>
      <c r="AP367" s="0" t="s">
        <v>237</v>
      </c>
      <c r="AQ367" s="0" t="n">
        <v>9</v>
      </c>
      <c r="AR367" s="0" t="n">
        <v>64</v>
      </c>
      <c r="AS367" s="0" t="n">
        <v>32</v>
      </c>
      <c r="AU367" s="0" t="n">
        <f aca="false">COUNTA($BA$874:$EH$874)</f>
        <v>26</v>
      </c>
      <c r="AV367" s="0" t="n">
        <f aca="false">COUNTIF($BA$874:$EH$874,"D")</f>
        <v>12</v>
      </c>
      <c r="AW367" s="0" t="n">
        <f aca="false">COUNTIF($BA$874:$EH$874,"R")</f>
        <v>0</v>
      </c>
      <c r="AX367" s="0" t="n">
        <f aca="false"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>0</v>
      </c>
      <c r="AY367" s="0" t="n">
        <f aca="false">COUNTIF(DU367:EH367, "&lt;&gt;")</f>
        <v>1</v>
      </c>
      <c r="AZ367" s="0" t="n">
        <f aca="false">IF(EH367&lt;&gt;"",1,0)</f>
        <v>0</v>
      </c>
      <c r="BB367" s="0" t="s">
        <v>153</v>
      </c>
      <c r="EA367" s="0" t="s">
        <v>154</v>
      </c>
    </row>
    <row r="368" customFormat="false" ht="13.8" hidden="true" customHeight="false" outlineLevel="0" collapsed="false">
      <c r="A368" s="0" t="s">
        <v>2055</v>
      </c>
      <c r="B368" s="0" t="n">
        <v>78</v>
      </c>
      <c r="C368" s="0" t="n">
        <v>258330</v>
      </c>
      <c r="D368" s="0" t="s">
        <v>1582</v>
      </c>
      <c r="E368" s="0" t="s">
        <v>755</v>
      </c>
      <c r="F368" s="0" t="str">
        <f aca="false">CONCATENATE(D368," ",LEFT(H368,4),"T=",AU368,"D=",AV368,"R=",AW368,"M=",AX368,"L=",AY368,"B=",AZ368)</f>
        <v>SMITH T=2D=0R=0M=0L=0B=0</v>
      </c>
      <c r="G368" s="0" t="s">
        <v>297</v>
      </c>
      <c r="I368" s="0" t="s">
        <v>2056</v>
      </c>
      <c r="J368" s="0" t="s">
        <v>2057</v>
      </c>
      <c r="K368" s="0" t="s">
        <v>144</v>
      </c>
      <c r="L368" s="0"/>
      <c r="M368" s="0" t="s">
        <v>2050</v>
      </c>
      <c r="N368" s="0" t="str">
        <f aca="false">RIGHT(M368,LEN(M368)-FIND(" ",M368))</f>
        <v>BONNIE BRAE AVE NE</v>
      </c>
      <c r="P368" s="0" t="s">
        <v>146</v>
      </c>
      <c r="Q368" s="0" t="s">
        <v>147</v>
      </c>
      <c r="R368" s="0" t="n">
        <v>44483</v>
      </c>
      <c r="AD368" s="0" t="s">
        <v>148</v>
      </c>
      <c r="AE368" s="0" t="s">
        <v>149</v>
      </c>
      <c r="AF368" s="0" t="s">
        <v>150</v>
      </c>
      <c r="AH368" s="0" t="n">
        <v>14</v>
      </c>
      <c r="AI368" s="0" t="n">
        <v>11</v>
      </c>
      <c r="AN368" s="0" t="s">
        <v>146</v>
      </c>
      <c r="AO368" s="0" t="s">
        <v>236</v>
      </c>
      <c r="AP368" s="0" t="s">
        <v>237</v>
      </c>
      <c r="AQ368" s="0" t="n">
        <v>9</v>
      </c>
      <c r="AR368" s="0" t="n">
        <v>64</v>
      </c>
      <c r="AS368" s="0" t="n">
        <v>32</v>
      </c>
      <c r="AU368" s="0" t="n">
        <f aca="false">COUNTA($BA$947:$EH$947)</f>
        <v>2</v>
      </c>
      <c r="AV368" s="0" t="n">
        <f aca="false">COUNTIF($BA$947:$EH$947,"D")</f>
        <v>0</v>
      </c>
      <c r="AW368" s="0" t="n">
        <f aca="false">COUNTIF($BA$947:$EH$947,"R")</f>
        <v>0</v>
      </c>
      <c r="AX368" s="0" t="n">
        <f aca="false"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>0</v>
      </c>
      <c r="AY368" s="0" t="n">
        <f aca="false">COUNTIF(DU368:EH368, "&lt;&gt;")</f>
        <v>0</v>
      </c>
      <c r="AZ368" s="0" t="n">
        <f aca="false">IF(EH368&lt;&gt;"",1,0)</f>
        <v>0</v>
      </c>
      <c r="BB368" s="0" t="s">
        <v>153</v>
      </c>
      <c r="BD368" s="0" t="s">
        <v>154</v>
      </c>
    </row>
    <row r="369" customFormat="false" ht="13.8" hidden="true" customHeight="false" outlineLevel="0" collapsed="false">
      <c r="A369" s="0" t="s">
        <v>2058</v>
      </c>
      <c r="B369" s="0" t="n">
        <v>78</v>
      </c>
      <c r="C369" s="0" t="n">
        <v>256726</v>
      </c>
      <c r="D369" s="0" t="s">
        <v>2059</v>
      </c>
      <c r="E369" s="0" t="s">
        <v>2060</v>
      </c>
      <c r="F369" s="0" t="str">
        <f aca="false">CONCATENATE(D369," ",LEFT(H369,4),"T=",AU369,"D=",AV369,"R=",AW369,"M=",AX369,"L=",AY369,"B=",AZ369)</f>
        <v>LITTELL T=1D=0R=0M=0L=1B=0</v>
      </c>
      <c r="G369" s="0" t="s">
        <v>159</v>
      </c>
      <c r="I369" s="0" t="s">
        <v>2061</v>
      </c>
      <c r="J369" s="0" t="s">
        <v>2062</v>
      </c>
      <c r="K369" s="0" t="s">
        <v>175</v>
      </c>
      <c r="L369" s="0"/>
      <c r="M369" s="0" t="s">
        <v>2063</v>
      </c>
      <c r="N369" s="0" t="str">
        <f aca="false">RIGHT(M369,LEN(M369)-FIND(" ",M369))</f>
        <v>BONNIE BRAE AVE NE</v>
      </c>
      <c r="P369" s="0" t="s">
        <v>146</v>
      </c>
      <c r="Q369" s="0" t="s">
        <v>147</v>
      </c>
      <c r="R369" s="0" t="n">
        <v>44483</v>
      </c>
      <c r="AD369" s="0" t="s">
        <v>148</v>
      </c>
      <c r="AE369" s="0" t="s">
        <v>149</v>
      </c>
      <c r="AF369" s="0" t="s">
        <v>150</v>
      </c>
      <c r="AH369" s="0" t="n">
        <v>14</v>
      </c>
      <c r="AI369" s="0" t="n">
        <v>11</v>
      </c>
      <c r="AN369" s="0" t="s">
        <v>146</v>
      </c>
      <c r="AO369" s="0" t="s">
        <v>236</v>
      </c>
      <c r="AP369" s="0" t="s">
        <v>237</v>
      </c>
      <c r="AQ369" s="0" t="n">
        <v>9</v>
      </c>
      <c r="AR369" s="0" t="n">
        <v>64</v>
      </c>
      <c r="AS369" s="0" t="n">
        <v>32</v>
      </c>
      <c r="AU369" s="0" t="n">
        <f aca="false">COUNTA($BA$914:$EH$914)</f>
        <v>1</v>
      </c>
      <c r="AV369" s="0" t="n">
        <f aca="false">COUNTIF($BA$914:$EH$914,"D")</f>
        <v>0</v>
      </c>
      <c r="AW369" s="0" t="n">
        <f aca="false">COUNTIF($BA$914:$EH$914,"R")</f>
        <v>0</v>
      </c>
      <c r="AX369" s="0" t="n">
        <f aca="false"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>0</v>
      </c>
      <c r="AY369" s="0" t="n">
        <f aca="false">COUNTIF(DU369:EH369, "&lt;&gt;")</f>
        <v>1</v>
      </c>
      <c r="AZ369" s="0" t="n">
        <f aca="false">IF(EH369&lt;&gt;"",1,0)</f>
        <v>0</v>
      </c>
      <c r="BB369" s="0" t="s">
        <v>153</v>
      </c>
      <c r="BD369" s="0" t="s">
        <v>154</v>
      </c>
      <c r="BY369" s="0" t="s">
        <v>155</v>
      </c>
      <c r="CP369" s="0" t="s">
        <v>154</v>
      </c>
      <c r="DC369" s="0" t="s">
        <v>154</v>
      </c>
      <c r="DI369" s="0" t="s">
        <v>154</v>
      </c>
      <c r="DN369" s="0" t="s">
        <v>154</v>
      </c>
      <c r="EF369" s="0" t="s">
        <v>154</v>
      </c>
    </row>
    <row r="370" customFormat="false" ht="13.8" hidden="true" customHeight="false" outlineLevel="0" collapsed="false">
      <c r="A370" s="0" t="s">
        <v>2064</v>
      </c>
      <c r="B370" s="0" t="n">
        <v>78</v>
      </c>
      <c r="C370" s="0" t="n">
        <v>386168</v>
      </c>
      <c r="D370" s="0" t="s">
        <v>2065</v>
      </c>
      <c r="E370" s="0" t="s">
        <v>967</v>
      </c>
      <c r="F370" s="0" t="str">
        <f aca="false">CONCATENATE(D370," ",LEFT(H370,4),"T=",AU370,"D=",AV370,"R=",AW370,"M=",AX370,"L=",AY370,"B=",AZ370)</f>
        <v>REAM T=3D=0R=0M=0L=1B=0</v>
      </c>
      <c r="G370" s="0" t="s">
        <v>172</v>
      </c>
      <c r="I370" s="0" t="s">
        <v>2066</v>
      </c>
      <c r="J370" s="0" t="s">
        <v>2067</v>
      </c>
      <c r="K370" s="0" t="s">
        <v>175</v>
      </c>
      <c r="L370" s="0"/>
      <c r="M370" s="0" t="s">
        <v>2068</v>
      </c>
      <c r="N370" s="0" t="str">
        <f aca="false">RIGHT(M370,LEN(M370)-FIND(" ",M370))</f>
        <v>BONNIE BRAE AVE NE</v>
      </c>
      <c r="P370" s="0" t="s">
        <v>146</v>
      </c>
      <c r="Q370" s="0" t="s">
        <v>147</v>
      </c>
      <c r="R370" s="0" t="n">
        <v>44483</v>
      </c>
      <c r="AD370" s="0" t="s">
        <v>148</v>
      </c>
      <c r="AE370" s="0" t="s">
        <v>149</v>
      </c>
      <c r="AF370" s="0" t="s">
        <v>150</v>
      </c>
      <c r="AH370" s="0" t="n">
        <v>14</v>
      </c>
      <c r="AI370" s="0" t="n">
        <v>11</v>
      </c>
      <c r="AN370" s="0" t="s">
        <v>146</v>
      </c>
      <c r="AO370" s="0" t="s">
        <v>236</v>
      </c>
      <c r="AP370" s="0" t="s">
        <v>237</v>
      </c>
      <c r="AQ370" s="0" t="n">
        <v>9</v>
      </c>
      <c r="AR370" s="0" t="n">
        <v>64</v>
      </c>
      <c r="AS370" s="0" t="n">
        <v>32</v>
      </c>
      <c r="AU370" s="0" t="n">
        <f aca="false">COUNTA($BA$733:$EH$733)</f>
        <v>3</v>
      </c>
      <c r="AV370" s="0" t="n">
        <f aca="false">COUNTIF($BA$733:$EH$733,"D")</f>
        <v>0</v>
      </c>
      <c r="AW370" s="0" t="n">
        <f aca="false">COUNTIF($BA$733:$EH$733,"R")</f>
        <v>0</v>
      </c>
      <c r="AX370" s="0" t="n">
        <f aca="false"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>0</v>
      </c>
      <c r="AY370" s="0" t="n">
        <f aca="false">COUNTIF(DU370:EH370, "&lt;&gt;")</f>
        <v>1</v>
      </c>
      <c r="AZ370" s="0" t="n">
        <f aca="false">IF(EH370&lt;&gt;"",1,0)</f>
        <v>0</v>
      </c>
      <c r="BB370" s="0" t="s">
        <v>153</v>
      </c>
      <c r="EA370" s="0" t="s">
        <v>154</v>
      </c>
    </row>
    <row r="371" customFormat="false" ht="13.8" hidden="true" customHeight="false" outlineLevel="0" collapsed="false">
      <c r="A371" s="0" t="s">
        <v>2069</v>
      </c>
      <c r="B371" s="0" t="n">
        <v>78</v>
      </c>
      <c r="C371" s="0" t="n">
        <v>476715</v>
      </c>
      <c r="D371" s="0" t="s">
        <v>2070</v>
      </c>
      <c r="E371" s="0" t="s">
        <v>2071</v>
      </c>
      <c r="F371" s="0" t="str">
        <f aca="false">CONCATENATE(D371," ",LEFT(H371,4),"T=",AU371,"D=",AV371,"R=",AW371,"M=",AX371,"L=",AY371,"B=",AZ371)</f>
        <v>SARNOSKY T=45D=14R=0M=0L=1B=0</v>
      </c>
      <c r="G371" s="0" t="s">
        <v>2072</v>
      </c>
      <c r="I371" s="0" t="s">
        <v>2073</v>
      </c>
      <c r="J371" s="0" t="s">
        <v>2074</v>
      </c>
      <c r="K371" s="0" t="s">
        <v>175</v>
      </c>
      <c r="L371" s="0"/>
      <c r="M371" s="0" t="s">
        <v>2075</v>
      </c>
      <c r="N371" s="0" t="str">
        <f aca="false">RIGHT(M371,LEN(M371)-FIND(" ",M371))</f>
        <v>BONNIE BRAE AVE NE</v>
      </c>
      <c r="P371" s="0" t="s">
        <v>146</v>
      </c>
      <c r="Q371" s="0" t="s">
        <v>147</v>
      </c>
      <c r="R371" s="0" t="n">
        <v>44483</v>
      </c>
      <c r="AD371" s="0" t="s">
        <v>148</v>
      </c>
      <c r="AE371" s="0" t="s">
        <v>149</v>
      </c>
      <c r="AF371" s="0" t="s">
        <v>150</v>
      </c>
      <c r="AH371" s="0" t="n">
        <v>14</v>
      </c>
      <c r="AI371" s="0" t="n">
        <v>11</v>
      </c>
      <c r="AN371" s="0" t="s">
        <v>146</v>
      </c>
      <c r="AO371" s="0" t="s">
        <v>236</v>
      </c>
      <c r="AP371" s="0" t="s">
        <v>237</v>
      </c>
      <c r="AQ371" s="0" t="n">
        <v>9</v>
      </c>
      <c r="AR371" s="0" t="n">
        <v>64</v>
      </c>
      <c r="AS371" s="0" t="n">
        <v>32</v>
      </c>
      <c r="AU371" s="0" t="n">
        <f aca="false">COUNTA($BA$373:$EH$373)</f>
        <v>45</v>
      </c>
      <c r="AV371" s="0" t="n">
        <f aca="false">COUNTIF($BA$373:$EH$373,"D")</f>
        <v>14</v>
      </c>
      <c r="AW371" s="0" t="n">
        <f aca="false">COUNTIF($BA$373:$EH$373,"R")</f>
        <v>0</v>
      </c>
      <c r="AX371" s="0" t="n">
        <f aca="false"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>0</v>
      </c>
      <c r="AY371" s="0" t="n">
        <f aca="false">COUNTIF(DU371:EH371, "&lt;&gt;")</f>
        <v>1</v>
      </c>
      <c r="AZ371" s="0" t="n">
        <f aca="false">IF(EH371&lt;&gt;"",1,0)</f>
        <v>0</v>
      </c>
      <c r="BB371" s="0" t="s">
        <v>153</v>
      </c>
      <c r="EF371" s="0" t="s">
        <v>154</v>
      </c>
    </row>
    <row r="372" customFormat="false" ht="13.8" hidden="false" customHeight="false" outlineLevel="0" collapsed="false">
      <c r="A372" s="0" t="s">
        <v>2076</v>
      </c>
      <c r="B372" s="0" t="n">
        <v>78</v>
      </c>
      <c r="C372" s="0" t="n">
        <v>250152</v>
      </c>
      <c r="D372" s="0" t="s">
        <v>2070</v>
      </c>
      <c r="E372" s="0" t="s">
        <v>417</v>
      </c>
      <c r="F372" s="0" t="str">
        <f aca="false">CONCATENATE(D372," ",LEFT(H372,4),"T=",AU372,"D=",AV372,"R=",AW372,"M=",AX372,"L=",AY372,"B=",AZ372)</f>
        <v>SARNOSKY T=10D=1R=0M=0L=2B=0</v>
      </c>
      <c r="G372" s="0" t="s">
        <v>241</v>
      </c>
      <c r="I372" s="0" t="s">
        <v>2077</v>
      </c>
      <c r="J372" s="0" t="s">
        <v>2078</v>
      </c>
      <c r="K372" s="0" t="s">
        <v>175</v>
      </c>
      <c r="M372" s="0" t="s">
        <v>2075</v>
      </c>
      <c r="N372" s="0" t="str">
        <f aca="false">RIGHT(M372,LEN(M372)-FIND(" ",M372))</f>
        <v>BONNIE BRAE AVE NE</v>
      </c>
      <c r="P372" s="0" t="s">
        <v>146</v>
      </c>
      <c r="Q372" s="0" t="s">
        <v>147</v>
      </c>
      <c r="R372" s="0" t="n">
        <v>44483</v>
      </c>
      <c r="AD372" s="0" t="s">
        <v>148</v>
      </c>
      <c r="AE372" s="0" t="s">
        <v>149</v>
      </c>
      <c r="AF372" s="0" t="s">
        <v>150</v>
      </c>
      <c r="AH372" s="0" t="n">
        <v>14</v>
      </c>
      <c r="AI372" s="0" t="n">
        <v>11</v>
      </c>
      <c r="AN372" s="0" t="s">
        <v>146</v>
      </c>
      <c r="AO372" s="0" t="s">
        <v>236</v>
      </c>
      <c r="AP372" s="0" t="s">
        <v>237</v>
      </c>
      <c r="AQ372" s="0" t="n">
        <v>9</v>
      </c>
      <c r="AR372" s="0" t="n">
        <v>64</v>
      </c>
      <c r="AS372" s="0" t="n">
        <v>32</v>
      </c>
      <c r="AU372" s="0" t="n">
        <f aca="false">COUNTA($BA$646:$EH$646)</f>
        <v>10</v>
      </c>
      <c r="AV372" s="0" t="n">
        <f aca="false">COUNTIF($BA$646:$EH$646,"D")</f>
        <v>1</v>
      </c>
      <c r="AW372" s="0" t="n">
        <f aca="false">COUNTIF($BA$646:$EH$646,"R")</f>
        <v>0</v>
      </c>
      <c r="AX372" s="0" t="n">
        <f aca="false"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>0</v>
      </c>
      <c r="AY372" s="0" t="n">
        <f aca="false">COUNTIF(DU372:EH372, "&lt;&gt;")</f>
        <v>2</v>
      </c>
      <c r="AZ372" s="0" t="n">
        <f aca="false">IF(EH372&lt;&gt;"",1,0)</f>
        <v>0</v>
      </c>
      <c r="BB372" s="0" t="s">
        <v>153</v>
      </c>
      <c r="BL372" s="0" t="s">
        <v>154</v>
      </c>
      <c r="BY372" s="0" t="s">
        <v>155</v>
      </c>
      <c r="DI372" s="0" t="s">
        <v>154</v>
      </c>
      <c r="DN372" s="0" t="s">
        <v>154</v>
      </c>
      <c r="DU372" s="0" t="s">
        <v>154</v>
      </c>
      <c r="EF372" s="0" t="s">
        <v>154</v>
      </c>
    </row>
    <row r="373" customFormat="false" ht="13.8" hidden="false" customHeight="false" outlineLevel="0" collapsed="false">
      <c r="A373" s="0" t="s">
        <v>2079</v>
      </c>
      <c r="B373" s="0" t="n">
        <v>78</v>
      </c>
      <c r="C373" s="0" t="n">
        <v>4313</v>
      </c>
      <c r="D373" s="0" t="s">
        <v>2080</v>
      </c>
      <c r="E373" s="0" t="s">
        <v>652</v>
      </c>
      <c r="F373" s="0" t="str">
        <f aca="false">CONCATENATE(D373," ",LEFT(H373,4),"T=",AU373,"D=",AV373,"R=",AW373,"M=",AX373,"L=",AY373,"B=",AZ373)</f>
        <v>SHOBEL T=5D=0R=0M=6L=6B=0</v>
      </c>
      <c r="G373" s="0" t="s">
        <v>188</v>
      </c>
      <c r="I373" s="0" t="s">
        <v>2081</v>
      </c>
      <c r="J373" s="0" t="s">
        <v>2082</v>
      </c>
      <c r="K373" s="0" t="s">
        <v>175</v>
      </c>
      <c r="L373" s="1" t="s">
        <v>155</v>
      </c>
      <c r="M373" s="0" t="s">
        <v>2083</v>
      </c>
      <c r="N373" s="0" t="str">
        <f aca="false">RIGHT(M373,LEN(M373)-FIND(" ",M373))</f>
        <v>BONNIE BRAE AVE NE</v>
      </c>
      <c r="P373" s="0" t="s">
        <v>146</v>
      </c>
      <c r="Q373" s="0" t="s">
        <v>147</v>
      </c>
      <c r="R373" s="0" t="n">
        <v>44483</v>
      </c>
      <c r="AD373" s="0" t="s">
        <v>148</v>
      </c>
      <c r="AE373" s="0" t="s">
        <v>149</v>
      </c>
      <c r="AF373" s="0" t="s">
        <v>150</v>
      </c>
      <c r="AH373" s="0" t="n">
        <v>14</v>
      </c>
      <c r="AI373" s="0" t="n">
        <v>11</v>
      </c>
      <c r="AN373" s="0" t="s">
        <v>146</v>
      </c>
      <c r="AO373" s="0" t="s">
        <v>236</v>
      </c>
      <c r="AP373" s="0" t="s">
        <v>237</v>
      </c>
      <c r="AQ373" s="0" t="n">
        <v>9</v>
      </c>
      <c r="AR373" s="0" t="n">
        <v>64</v>
      </c>
      <c r="AS373" s="0" t="n">
        <v>32</v>
      </c>
      <c r="AU373" s="0" t="n">
        <f aca="false">COUNTA($BA$905:$EH$905)</f>
        <v>5</v>
      </c>
      <c r="AV373" s="0" t="n">
        <f aca="false">COUNTIF($BA$905:$EH$905,"D")</f>
        <v>0</v>
      </c>
      <c r="AW373" s="0" t="n">
        <f aca="false">COUNTIF($BA$905:$EH$905,"R")</f>
        <v>0</v>
      </c>
      <c r="AX373" s="0" t="n">
        <f aca="false"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>6</v>
      </c>
      <c r="AY373" s="0" t="n">
        <f aca="false">COUNTIF(DU373:EH373, "&lt;&gt;")</f>
        <v>6</v>
      </c>
      <c r="AZ373" s="0" t="n">
        <f aca="false">IF(EH373&lt;&gt;"",1,0)</f>
        <v>0</v>
      </c>
      <c r="BB373" s="0" t="s">
        <v>153</v>
      </c>
      <c r="BC373" s="0" t="s">
        <v>154</v>
      </c>
      <c r="BD373" s="0" t="s">
        <v>154</v>
      </c>
      <c r="BE373" s="0" t="s">
        <v>154</v>
      </c>
      <c r="BF373" s="0" t="s">
        <v>154</v>
      </c>
      <c r="BG373" s="0" t="s">
        <v>154</v>
      </c>
      <c r="BH373" s="0" t="s">
        <v>154</v>
      </c>
      <c r="BI373" s="0" t="s">
        <v>154</v>
      </c>
      <c r="BJ373" s="0" t="s">
        <v>154</v>
      </c>
      <c r="BK373" s="0" t="s">
        <v>154</v>
      </c>
      <c r="BL373" s="0" t="s">
        <v>154</v>
      </c>
      <c r="BP373" s="0" t="s">
        <v>154</v>
      </c>
      <c r="BR373" s="0" t="s">
        <v>154</v>
      </c>
      <c r="BS373" s="0" t="s">
        <v>154</v>
      </c>
      <c r="BV373" s="0" t="s">
        <v>154</v>
      </c>
      <c r="BY373" s="0" t="s">
        <v>155</v>
      </c>
      <c r="CA373" s="0" t="s">
        <v>154</v>
      </c>
      <c r="CC373" s="0" t="s">
        <v>155</v>
      </c>
      <c r="CG373" s="0" t="s">
        <v>154</v>
      </c>
      <c r="CH373" s="0" t="s">
        <v>155</v>
      </c>
      <c r="CK373" s="0" t="s">
        <v>154</v>
      </c>
      <c r="CL373" s="0" t="s">
        <v>155</v>
      </c>
      <c r="CN373" s="0" t="s">
        <v>154</v>
      </c>
      <c r="CO373" s="0" t="s">
        <v>155</v>
      </c>
      <c r="CP373" s="0" t="s">
        <v>154</v>
      </c>
      <c r="CQ373" s="0" t="s">
        <v>155</v>
      </c>
      <c r="CU373" s="0" t="s">
        <v>155</v>
      </c>
      <c r="CV373" s="0" t="s">
        <v>154</v>
      </c>
      <c r="CW373" s="0" t="s">
        <v>155</v>
      </c>
      <c r="CY373" s="0" t="s">
        <v>154</v>
      </c>
      <c r="CZ373" s="0" t="s">
        <v>155</v>
      </c>
      <c r="DC373" s="0" t="s">
        <v>154</v>
      </c>
      <c r="DF373" s="0" t="s">
        <v>154</v>
      </c>
      <c r="DG373" s="0" t="s">
        <v>155</v>
      </c>
      <c r="DI373" s="0" t="s">
        <v>154</v>
      </c>
      <c r="DJ373" s="0" t="s">
        <v>155</v>
      </c>
      <c r="DL373" s="0" t="s">
        <v>154</v>
      </c>
      <c r="DM373" s="0" t="s">
        <v>155</v>
      </c>
      <c r="DN373" s="0" t="s">
        <v>154</v>
      </c>
      <c r="DU373" s="0" t="s">
        <v>154</v>
      </c>
      <c r="DW373" s="0" t="s">
        <v>155</v>
      </c>
      <c r="DX373" s="0" t="s">
        <v>154</v>
      </c>
      <c r="EA373" s="0" t="s">
        <v>154</v>
      </c>
      <c r="ED373" s="0" t="s">
        <v>155</v>
      </c>
      <c r="EF373" s="0" t="s">
        <v>154</v>
      </c>
    </row>
    <row r="374" customFormat="false" ht="13.8" hidden="false" customHeight="false" outlineLevel="0" collapsed="false">
      <c r="A374" s="0" t="s">
        <v>2084</v>
      </c>
      <c r="B374" s="0" t="n">
        <v>78</v>
      </c>
      <c r="C374" s="0" t="n">
        <v>99958</v>
      </c>
      <c r="D374" s="0" t="s">
        <v>2085</v>
      </c>
      <c r="E374" s="0" t="s">
        <v>2086</v>
      </c>
      <c r="F374" s="0" t="str">
        <f aca="false">CONCATENATE(D374," ",LEFT(H374,4),"T=",AU374,"D=",AV374,"R=",AW374,"M=",AX374,"L=",AY374,"B=",AZ374)</f>
        <v>BINKO T=14D=2R=0M=1L=5B=0</v>
      </c>
      <c r="G374" s="0" t="s">
        <v>297</v>
      </c>
      <c r="I374" s="0" t="s">
        <v>2087</v>
      </c>
      <c r="J374" s="0" t="s">
        <v>2088</v>
      </c>
      <c r="K374" s="0" t="s">
        <v>175</v>
      </c>
      <c r="L374" s="1" t="s">
        <v>155</v>
      </c>
      <c r="M374" s="0" t="s">
        <v>2089</v>
      </c>
      <c r="N374" s="0" t="str">
        <f aca="false">RIGHT(M374,LEN(M374)-FIND(" ",M374))</f>
        <v>BONNIE BRAE AVE NE</v>
      </c>
      <c r="P374" s="0" t="s">
        <v>146</v>
      </c>
      <c r="Q374" s="0" t="s">
        <v>147</v>
      </c>
      <c r="R374" s="0" t="n">
        <v>44483</v>
      </c>
      <c r="AD374" s="0" t="s">
        <v>148</v>
      </c>
      <c r="AE374" s="0" t="s">
        <v>149</v>
      </c>
      <c r="AF374" s="0" t="s">
        <v>150</v>
      </c>
      <c r="AH374" s="0" t="n">
        <v>14</v>
      </c>
      <c r="AI374" s="0" t="n">
        <v>11</v>
      </c>
      <c r="AN374" s="0" t="s">
        <v>146</v>
      </c>
      <c r="AO374" s="0" t="s">
        <v>236</v>
      </c>
      <c r="AP374" s="0" t="s">
        <v>237</v>
      </c>
      <c r="AQ374" s="0" t="n">
        <v>9</v>
      </c>
      <c r="AR374" s="0" t="n">
        <v>64</v>
      </c>
      <c r="AS374" s="0" t="n">
        <v>32</v>
      </c>
      <c r="AU374" s="0" t="n">
        <f aca="false">COUNTA($BA$651:$EH$651)</f>
        <v>14</v>
      </c>
      <c r="AV374" s="0" t="n">
        <f aca="false">COUNTIF($BA$651:$EH$651,"D")</f>
        <v>2</v>
      </c>
      <c r="AW374" s="0" t="n">
        <f aca="false">COUNTIF($BA$651:$EH$651,"R")</f>
        <v>0</v>
      </c>
      <c r="AX374" s="0" t="n">
        <f aca="false"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>1</v>
      </c>
      <c r="AY374" s="0" t="n">
        <f aca="false">COUNTIF(DU374:EH374, "&lt;&gt;")</f>
        <v>5</v>
      </c>
      <c r="AZ374" s="0" t="n">
        <f aca="false">IF(EH374&lt;&gt;"",1,0)</f>
        <v>0</v>
      </c>
      <c r="BB374" s="0" t="s">
        <v>153</v>
      </c>
      <c r="BD374" s="0" t="s">
        <v>154</v>
      </c>
      <c r="BH374" s="0" t="s">
        <v>154</v>
      </c>
      <c r="BJ374" s="0" t="s">
        <v>154</v>
      </c>
      <c r="BL374" s="0" t="s">
        <v>154</v>
      </c>
      <c r="BP374" s="0" t="s">
        <v>154</v>
      </c>
      <c r="BR374" s="0" t="s">
        <v>154</v>
      </c>
      <c r="BV374" s="0" t="s">
        <v>154</v>
      </c>
      <c r="CA374" s="0" t="s">
        <v>154</v>
      </c>
      <c r="CG374" s="0" t="s">
        <v>154</v>
      </c>
      <c r="CK374" s="0" t="s">
        <v>154</v>
      </c>
      <c r="CP374" s="0" t="s">
        <v>154</v>
      </c>
      <c r="DI374" s="0" t="s">
        <v>154</v>
      </c>
      <c r="DL374" s="0" t="s">
        <v>154</v>
      </c>
      <c r="DN374" s="0" t="s">
        <v>154</v>
      </c>
      <c r="DU374" s="0" t="s">
        <v>154</v>
      </c>
      <c r="DW374" s="0" t="s">
        <v>155</v>
      </c>
      <c r="DX374" s="0" t="s">
        <v>154</v>
      </c>
      <c r="EA374" s="0" t="s">
        <v>154</v>
      </c>
      <c r="EF374" s="0" t="s">
        <v>154</v>
      </c>
    </row>
    <row r="375" customFormat="false" ht="13.8" hidden="true" customHeight="false" outlineLevel="0" collapsed="false">
      <c r="A375" s="0" t="s">
        <v>2090</v>
      </c>
      <c r="B375" s="0" t="n">
        <v>78</v>
      </c>
      <c r="C375" s="0" t="n">
        <v>431819</v>
      </c>
      <c r="D375" s="0" t="s">
        <v>1795</v>
      </c>
      <c r="E375" s="0" t="s">
        <v>981</v>
      </c>
      <c r="F375" s="0" t="str">
        <f aca="false">CONCATENATE(D375," ",LEFT(H375,4),"T=",AU375,"D=",AV375,"R=",AW375,"M=",AX375,"L=",AY375,"B=",AZ375)</f>
        <v>DEYERMAND T=52D=25R=0M=0L=0B=0</v>
      </c>
      <c r="G375" s="0" t="s">
        <v>2091</v>
      </c>
      <c r="I375" s="0" t="s">
        <v>2092</v>
      </c>
      <c r="J375" s="0" t="s">
        <v>1601</v>
      </c>
      <c r="K375" s="0" t="s">
        <v>175</v>
      </c>
      <c r="L375" s="0"/>
      <c r="M375" s="0" t="s">
        <v>2093</v>
      </c>
      <c r="N375" s="0" t="str">
        <f aca="false">RIGHT(M375,LEN(M375)-FIND(" ",M375))</f>
        <v>BONNIE BRAE AVE NE</v>
      </c>
      <c r="P375" s="0" t="s">
        <v>146</v>
      </c>
      <c r="Q375" s="0" t="s">
        <v>147</v>
      </c>
      <c r="R375" s="0" t="n">
        <v>44483</v>
      </c>
      <c r="AD375" s="0" t="s">
        <v>148</v>
      </c>
      <c r="AE375" s="0" t="s">
        <v>149</v>
      </c>
      <c r="AF375" s="0" t="s">
        <v>150</v>
      </c>
      <c r="AH375" s="0" t="n">
        <v>14</v>
      </c>
      <c r="AI375" s="0" t="n">
        <v>11</v>
      </c>
      <c r="AN375" s="0" t="s">
        <v>146</v>
      </c>
      <c r="AO375" s="0" t="s">
        <v>236</v>
      </c>
      <c r="AP375" s="0" t="s">
        <v>237</v>
      </c>
      <c r="AQ375" s="0" t="n">
        <v>9</v>
      </c>
      <c r="AR375" s="0" t="n">
        <v>64</v>
      </c>
      <c r="AS375" s="0" t="n">
        <v>32</v>
      </c>
      <c r="AU375" s="0" t="n">
        <f aca="false">COUNTA($BA$713:$EH$713)</f>
        <v>52</v>
      </c>
      <c r="AV375" s="0" t="n">
        <f aca="false">COUNTIF($BA$713:$EH$713,"D")</f>
        <v>25</v>
      </c>
      <c r="AW375" s="0" t="n">
        <f aca="false">COUNTIF($BA$713:$EH$713,"R")</f>
        <v>0</v>
      </c>
      <c r="AX375" s="0" t="n">
        <f aca="false"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>0</v>
      </c>
      <c r="AY375" s="0" t="n">
        <f aca="false">COUNTIF(DU375:EH375, "&lt;&gt;")</f>
        <v>0</v>
      </c>
      <c r="AZ375" s="0" t="n">
        <f aca="false">IF(EH375&lt;&gt;"",1,0)</f>
        <v>0</v>
      </c>
      <c r="BB375" s="0" t="s">
        <v>153</v>
      </c>
    </row>
    <row r="376" customFormat="false" ht="13.8" hidden="true" customHeight="false" outlineLevel="0" collapsed="false">
      <c r="A376" s="0" t="s">
        <v>2094</v>
      </c>
      <c r="B376" s="0" t="n">
        <v>78</v>
      </c>
      <c r="C376" s="0" t="n">
        <v>324583</v>
      </c>
      <c r="D376" s="0" t="s">
        <v>1795</v>
      </c>
      <c r="E376" s="0" t="s">
        <v>2095</v>
      </c>
      <c r="F376" s="0" t="str">
        <f aca="false">CONCATENATE(D376," ",LEFT(H376,4),"T=",AU376,"D=",AV376,"R=",AW376,"M=",AX376,"L=",AY376,"B=",AZ376)</f>
        <v>DEYERMAND T=1D=0R=0M=0L=0B=0</v>
      </c>
      <c r="I376" s="0" t="s">
        <v>2096</v>
      </c>
      <c r="J376" s="0" t="s">
        <v>793</v>
      </c>
      <c r="K376" s="0" t="s">
        <v>175</v>
      </c>
      <c r="L376" s="0"/>
      <c r="M376" s="0" t="s">
        <v>2093</v>
      </c>
      <c r="N376" s="0" t="str">
        <f aca="false">RIGHT(M376,LEN(M376)-FIND(" ",M376))</f>
        <v>BONNIE BRAE AVE NE</v>
      </c>
      <c r="P376" s="0" t="s">
        <v>146</v>
      </c>
      <c r="Q376" s="0" t="s">
        <v>147</v>
      </c>
      <c r="R376" s="0" t="n">
        <v>44483</v>
      </c>
      <c r="AD376" s="0" t="s">
        <v>148</v>
      </c>
      <c r="AE376" s="0" t="s">
        <v>149</v>
      </c>
      <c r="AF376" s="0" t="s">
        <v>150</v>
      </c>
      <c r="AH376" s="0" t="n">
        <v>14</v>
      </c>
      <c r="AI376" s="0" t="n">
        <v>11</v>
      </c>
      <c r="AN376" s="0" t="s">
        <v>146</v>
      </c>
      <c r="AO376" s="0" t="s">
        <v>236</v>
      </c>
      <c r="AP376" s="0" t="s">
        <v>237</v>
      </c>
      <c r="AQ376" s="0" t="n">
        <v>9</v>
      </c>
      <c r="AR376" s="0" t="n">
        <v>64</v>
      </c>
      <c r="AS376" s="0" t="n">
        <v>32</v>
      </c>
      <c r="AU376" s="0" t="n">
        <f aca="false">COUNTA($BA$1087:$EH$1087)</f>
        <v>1</v>
      </c>
      <c r="AV376" s="0" t="n">
        <f aca="false">COUNTIF($BA$1087:$EH$1087,"D")</f>
        <v>0</v>
      </c>
      <c r="AW376" s="0" t="n">
        <f aca="false">COUNTIF($BA$1087:$EH$1087,"R")</f>
        <v>0</v>
      </c>
      <c r="AX376" s="0" t="n">
        <f aca="false"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>0</v>
      </c>
      <c r="AY376" s="0" t="n">
        <f aca="false">COUNTIF(DU376:EH376, "&lt;&gt;")</f>
        <v>0</v>
      </c>
      <c r="AZ376" s="0" t="n">
        <f aca="false">IF(EH376&lt;&gt;"",1,0)</f>
        <v>0</v>
      </c>
      <c r="BB376" s="0" t="s">
        <v>153</v>
      </c>
    </row>
    <row r="377" customFormat="false" ht="13.8" hidden="false" customHeight="false" outlineLevel="0" collapsed="false">
      <c r="A377" s="0" t="s">
        <v>2097</v>
      </c>
      <c r="B377" s="0" t="n">
        <v>78</v>
      </c>
      <c r="C377" s="0" t="n">
        <v>4287</v>
      </c>
      <c r="D377" s="0" t="s">
        <v>2098</v>
      </c>
      <c r="E377" s="0" t="s">
        <v>2099</v>
      </c>
      <c r="F377" s="0" t="str">
        <f aca="false">CONCATENATE(D377," ",LEFT(H377,4),"T=",AU377,"D=",AV377,"R=",AW377,"M=",AX377,"L=",AY377,"B=",AZ377)</f>
        <v>ROMAN T=13D=2R=0M=2L=7B=1</v>
      </c>
      <c r="I377" s="0" t="s">
        <v>2100</v>
      </c>
      <c r="J377" s="0" t="s">
        <v>2101</v>
      </c>
      <c r="K377" s="0" t="s">
        <v>175</v>
      </c>
      <c r="L377" s="1" t="s">
        <v>155</v>
      </c>
      <c r="M377" s="0" t="s">
        <v>2102</v>
      </c>
      <c r="N377" s="0" t="str">
        <f aca="false">RIGHT(M377,LEN(M377)-FIND(" ",M377))</f>
        <v>BONNIE BRAE AVE NE</v>
      </c>
      <c r="P377" s="0" t="s">
        <v>146</v>
      </c>
      <c r="Q377" s="0" t="s">
        <v>147</v>
      </c>
      <c r="R377" s="0" t="n">
        <v>44483</v>
      </c>
      <c r="AD377" s="0" t="s">
        <v>148</v>
      </c>
      <c r="AE377" s="0" t="s">
        <v>149</v>
      </c>
      <c r="AF377" s="0" t="s">
        <v>150</v>
      </c>
      <c r="AH377" s="0" t="n">
        <v>14</v>
      </c>
      <c r="AI377" s="0" t="n">
        <v>11</v>
      </c>
      <c r="AN377" s="0" t="s">
        <v>146</v>
      </c>
      <c r="AO377" s="0" t="s">
        <v>236</v>
      </c>
      <c r="AP377" s="0" t="s">
        <v>237</v>
      </c>
      <c r="AQ377" s="0" t="n">
        <v>9</v>
      </c>
      <c r="AR377" s="0" t="n">
        <v>64</v>
      </c>
      <c r="AS377" s="0" t="n">
        <v>32</v>
      </c>
      <c r="AU377" s="0" t="n">
        <f aca="false">COUNTA($BA$988:$EH$988)</f>
        <v>13</v>
      </c>
      <c r="AV377" s="0" t="n">
        <f aca="false">COUNTIF($BA$988:$EH$988,"D")</f>
        <v>2</v>
      </c>
      <c r="AW377" s="0" t="n">
        <f aca="false">COUNTIF($BA$988:$EH$988,"R")</f>
        <v>0</v>
      </c>
      <c r="AX377" s="0" t="n">
        <f aca="false"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>2</v>
      </c>
      <c r="AY377" s="0" t="n">
        <f aca="false">COUNTIF(DU377:EH377, "&lt;&gt;")</f>
        <v>7</v>
      </c>
      <c r="AZ377" s="0" t="n">
        <f aca="false">IF(EH377&lt;&gt;"",1,0)</f>
        <v>1</v>
      </c>
      <c r="BB377" s="0" t="s">
        <v>153</v>
      </c>
      <c r="BC377" s="0" t="s">
        <v>154</v>
      </c>
      <c r="BD377" s="0" t="s">
        <v>154</v>
      </c>
      <c r="BE377" s="0" t="s">
        <v>154</v>
      </c>
      <c r="BG377" s="0" t="s">
        <v>154</v>
      </c>
      <c r="BH377" s="0" t="s">
        <v>154</v>
      </c>
      <c r="BI377" s="0" t="s">
        <v>154</v>
      </c>
      <c r="BJ377" s="0" t="s">
        <v>154</v>
      </c>
      <c r="BK377" s="0" t="s">
        <v>154</v>
      </c>
      <c r="BL377" s="0" t="s">
        <v>154</v>
      </c>
      <c r="BP377" s="0" t="s">
        <v>154</v>
      </c>
      <c r="BR377" s="0" t="s">
        <v>154</v>
      </c>
      <c r="BS377" s="0" t="s">
        <v>154</v>
      </c>
      <c r="BV377" s="0" t="s">
        <v>154</v>
      </c>
      <c r="BY377" s="0" t="s">
        <v>155</v>
      </c>
      <c r="CA377" s="0" t="s">
        <v>154</v>
      </c>
      <c r="CG377" s="0" t="s">
        <v>154</v>
      </c>
      <c r="CH377" s="0" t="s">
        <v>155</v>
      </c>
      <c r="CK377" s="0" t="s">
        <v>154</v>
      </c>
      <c r="CL377" s="0" t="s">
        <v>155</v>
      </c>
      <c r="CN377" s="0" t="s">
        <v>154</v>
      </c>
      <c r="CO377" s="0" t="s">
        <v>155</v>
      </c>
      <c r="CP377" s="0" t="s">
        <v>154</v>
      </c>
      <c r="DN377" s="0" t="s">
        <v>154</v>
      </c>
      <c r="DU377" s="0" t="s">
        <v>154</v>
      </c>
      <c r="DW377" s="0" t="s">
        <v>155</v>
      </c>
      <c r="DX377" s="0" t="s">
        <v>154</v>
      </c>
      <c r="EA377" s="0" t="s">
        <v>154</v>
      </c>
      <c r="ED377" s="0" t="s">
        <v>155</v>
      </c>
      <c r="EF377" s="0" t="s">
        <v>154</v>
      </c>
      <c r="EH377" s="0" t="s">
        <v>154</v>
      </c>
    </row>
    <row r="378" customFormat="false" ht="13.8" hidden="true" customHeight="false" outlineLevel="0" collapsed="false">
      <c r="A378" s="0" t="s">
        <v>2103</v>
      </c>
      <c r="B378" s="0" t="n">
        <v>78</v>
      </c>
      <c r="C378" s="0" t="n">
        <v>454381</v>
      </c>
      <c r="D378" s="0" t="s">
        <v>2104</v>
      </c>
      <c r="E378" s="0" t="s">
        <v>215</v>
      </c>
      <c r="F378" s="0" t="str">
        <f aca="false">CONCATENATE(D378," ",LEFT(H378,4),"T=",AU378,"D=",AV378,"R=",AW378,"M=",AX378,"L=",AY378,"B=",AZ378)</f>
        <v>COWELL T=2D=0R=0M=0L=1B=0</v>
      </c>
      <c r="G378" s="0" t="s">
        <v>445</v>
      </c>
      <c r="I378" s="0" t="s">
        <v>2105</v>
      </c>
      <c r="J378" s="0" t="s">
        <v>1764</v>
      </c>
      <c r="K378" s="0" t="s">
        <v>175</v>
      </c>
      <c r="L378" s="0"/>
      <c r="M378" s="0" t="s">
        <v>2106</v>
      </c>
      <c r="N378" s="0" t="str">
        <f aca="false">RIGHT(M378,LEN(M378)-FIND(" ",M378))</f>
        <v>BONNIE BRAE AVE NE</v>
      </c>
      <c r="P378" s="0" t="s">
        <v>146</v>
      </c>
      <c r="Q378" s="0" t="s">
        <v>147</v>
      </c>
      <c r="R378" s="0" t="n">
        <v>44483</v>
      </c>
      <c r="AD378" s="0" t="s">
        <v>148</v>
      </c>
      <c r="AE378" s="0" t="s">
        <v>149</v>
      </c>
      <c r="AF378" s="0" t="s">
        <v>150</v>
      </c>
      <c r="AH378" s="0" t="n">
        <v>14</v>
      </c>
      <c r="AI378" s="0" t="n">
        <v>11</v>
      </c>
      <c r="AN378" s="0" t="s">
        <v>146</v>
      </c>
      <c r="AO378" s="0" t="s">
        <v>236</v>
      </c>
      <c r="AP378" s="0" t="s">
        <v>237</v>
      </c>
      <c r="AQ378" s="0" t="n">
        <v>9</v>
      </c>
      <c r="AR378" s="0" t="n">
        <v>64</v>
      </c>
      <c r="AS378" s="0" t="n">
        <v>32</v>
      </c>
      <c r="AU378" s="0" t="n">
        <f aca="false">COUNTA($BA$105:$EH$105)</f>
        <v>2</v>
      </c>
      <c r="AV378" s="0" t="n">
        <f aca="false">COUNTIF($BA$105:$EH$105,"D")</f>
        <v>0</v>
      </c>
      <c r="AW378" s="0" t="n">
        <f aca="false">COUNTIF($BA$105:$EH$105,"R")</f>
        <v>0</v>
      </c>
      <c r="AX378" s="0" t="n">
        <f aca="false"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>0</v>
      </c>
      <c r="AY378" s="0" t="n">
        <f aca="false">COUNTIF(DU378:EH378, "&lt;&gt;")</f>
        <v>1</v>
      </c>
      <c r="AZ378" s="0" t="n">
        <f aca="false">IF(EH378&lt;&gt;"",1,0)</f>
        <v>0</v>
      </c>
      <c r="BB378" s="0" t="s">
        <v>153</v>
      </c>
      <c r="EF378" s="0" t="s">
        <v>154</v>
      </c>
    </row>
    <row r="379" customFormat="false" ht="13.8" hidden="true" customHeight="false" outlineLevel="0" collapsed="false">
      <c r="A379" s="0" t="s">
        <v>2107</v>
      </c>
      <c r="B379" s="0" t="n">
        <v>78</v>
      </c>
      <c r="C379" s="0" t="n">
        <v>347856</v>
      </c>
      <c r="D379" s="0" t="s">
        <v>2104</v>
      </c>
      <c r="E379" s="0" t="s">
        <v>619</v>
      </c>
      <c r="F379" s="0" t="str">
        <f aca="false">CONCATENATE(D379," ",LEFT(H379,4),"T=",AU379,"D=",AV379,"R=",AW379,"M=",AX379,"L=",AY379,"B=",AZ379)</f>
        <v>COWELL T=2D=0R=0M=0L=1B=0</v>
      </c>
      <c r="I379" s="0" t="s">
        <v>2108</v>
      </c>
      <c r="J379" s="0" t="s">
        <v>2109</v>
      </c>
      <c r="K379" s="0" t="s">
        <v>175</v>
      </c>
      <c r="L379" s="0"/>
      <c r="M379" s="0" t="s">
        <v>2106</v>
      </c>
      <c r="N379" s="0" t="str">
        <f aca="false">RIGHT(M379,LEN(M379)-FIND(" ",M379))</f>
        <v>BONNIE BRAE AVE NE</v>
      </c>
      <c r="P379" s="0" t="s">
        <v>146</v>
      </c>
      <c r="Q379" s="0" t="s">
        <v>147</v>
      </c>
      <c r="R379" s="0" t="n">
        <v>44483</v>
      </c>
      <c r="AD379" s="0" t="s">
        <v>148</v>
      </c>
      <c r="AE379" s="0" t="s">
        <v>149</v>
      </c>
      <c r="AF379" s="0" t="s">
        <v>150</v>
      </c>
      <c r="AH379" s="0" t="n">
        <v>14</v>
      </c>
      <c r="AI379" s="0" t="n">
        <v>11</v>
      </c>
      <c r="AN379" s="0" t="s">
        <v>146</v>
      </c>
      <c r="AO379" s="0" t="s">
        <v>236</v>
      </c>
      <c r="AP379" s="0" t="s">
        <v>237</v>
      </c>
      <c r="AQ379" s="0" t="n">
        <v>9</v>
      </c>
      <c r="AR379" s="0" t="n">
        <v>64</v>
      </c>
      <c r="AS379" s="0" t="n">
        <v>32</v>
      </c>
      <c r="AU379" s="0" t="n">
        <f aca="false">COUNTA($BA$913:$EH$913)</f>
        <v>2</v>
      </c>
      <c r="AV379" s="0" t="n">
        <f aca="false">COUNTIF($BA$913:$EH$913,"D")</f>
        <v>0</v>
      </c>
      <c r="AW379" s="0" t="n">
        <f aca="false">COUNTIF($BA$913:$EH$913,"R")</f>
        <v>0</v>
      </c>
      <c r="AX379" s="0" t="n">
        <f aca="false"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>0</v>
      </c>
      <c r="AY379" s="0" t="n">
        <f aca="false">COUNTIF(DU379:EH379, "&lt;&gt;")</f>
        <v>1</v>
      </c>
      <c r="AZ379" s="0" t="n">
        <f aca="false">IF(EH379&lt;&gt;"",1,0)</f>
        <v>0</v>
      </c>
      <c r="BB379" s="0" t="s">
        <v>153</v>
      </c>
      <c r="CP379" s="0" t="s">
        <v>154</v>
      </c>
      <c r="CV379" s="0" t="s">
        <v>154</v>
      </c>
      <c r="DC379" s="0" t="s">
        <v>154</v>
      </c>
      <c r="DN379" s="0" t="s">
        <v>154</v>
      </c>
      <c r="EF379" s="0" t="s">
        <v>154</v>
      </c>
    </row>
    <row r="380" customFormat="false" ht="13.8" hidden="true" customHeight="false" outlineLevel="0" collapsed="false">
      <c r="A380" s="0" t="s">
        <v>2110</v>
      </c>
      <c r="B380" s="0" t="n">
        <v>78</v>
      </c>
      <c r="C380" s="0" t="n">
        <v>431056</v>
      </c>
      <c r="D380" s="0" t="s">
        <v>2111</v>
      </c>
      <c r="E380" s="0" t="s">
        <v>1210</v>
      </c>
      <c r="F380" s="0" t="str">
        <f aca="false">CONCATENATE(D380," ",LEFT(H380,4),"T=",AU380,"D=",AV380,"R=",AW380,"M=",AX380,"L=",AY380,"B=",AZ380)</f>
        <v>KEMPF JRT=2D=0R=0M=0L=0B=0</v>
      </c>
      <c r="G380" s="0" t="s">
        <v>496</v>
      </c>
      <c r="H380" s="0" t="s">
        <v>431</v>
      </c>
      <c r="I380" s="0" t="s">
        <v>2112</v>
      </c>
      <c r="J380" s="0" t="s">
        <v>2113</v>
      </c>
      <c r="K380" s="0" t="s">
        <v>175</v>
      </c>
      <c r="L380" s="0"/>
      <c r="M380" s="0" t="s">
        <v>2114</v>
      </c>
      <c r="N380" s="0" t="str">
        <f aca="false">RIGHT(M380,LEN(M380)-FIND(" ",M380))</f>
        <v>BONNIE BRAE AVE NE</v>
      </c>
      <c r="P380" s="0" t="s">
        <v>146</v>
      </c>
      <c r="Q380" s="0" t="s">
        <v>147</v>
      </c>
      <c r="R380" s="0" t="n">
        <v>44483</v>
      </c>
      <c r="AD380" s="0" t="s">
        <v>148</v>
      </c>
      <c r="AE380" s="0" t="s">
        <v>149</v>
      </c>
      <c r="AF380" s="0" t="s">
        <v>150</v>
      </c>
      <c r="AH380" s="0" t="n">
        <v>14</v>
      </c>
      <c r="AI380" s="0" t="n">
        <v>11</v>
      </c>
      <c r="AN380" s="0" t="s">
        <v>146</v>
      </c>
      <c r="AO380" s="0" t="s">
        <v>236</v>
      </c>
      <c r="AP380" s="0" t="s">
        <v>237</v>
      </c>
      <c r="AQ380" s="0" t="n">
        <v>9</v>
      </c>
      <c r="AR380" s="0" t="n">
        <v>64</v>
      </c>
      <c r="AS380" s="0" t="n">
        <v>32</v>
      </c>
      <c r="AU380" s="0" t="n">
        <f aca="false">COUNTA($BA$165:$EH$165)</f>
        <v>2</v>
      </c>
      <c r="AV380" s="0" t="n">
        <f aca="false">COUNTIF($BA$165:$EH$165,"D")</f>
        <v>0</v>
      </c>
      <c r="AW380" s="0" t="n">
        <f aca="false">COUNTIF($BA$165:$EH$165,"R")</f>
        <v>0</v>
      </c>
      <c r="AX380" s="0" t="n">
        <f aca="false"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>0</v>
      </c>
      <c r="AY380" s="0" t="n">
        <f aca="false">COUNTIF(DU380:EH380, "&lt;&gt;")</f>
        <v>0</v>
      </c>
      <c r="AZ380" s="0" t="n">
        <f aca="false">IF(EH380&lt;&gt;"",1,0)</f>
        <v>0</v>
      </c>
      <c r="BB380" s="0" t="s">
        <v>153</v>
      </c>
    </row>
    <row r="381" customFormat="false" ht="13.8" hidden="true" customHeight="false" outlineLevel="0" collapsed="false">
      <c r="A381" s="0" t="s">
        <v>2115</v>
      </c>
      <c r="B381" s="0" t="n">
        <v>78</v>
      </c>
      <c r="C381" s="0" t="n">
        <v>377362</v>
      </c>
      <c r="D381" s="0" t="s">
        <v>2116</v>
      </c>
      <c r="E381" s="0" t="s">
        <v>1744</v>
      </c>
      <c r="F381" s="0" t="str">
        <f aca="false">CONCATENATE(D381," ",LEFT(H381,4),"T=",AU381,"D=",AV381,"R=",AW381,"M=",AX381,"L=",AY381,"B=",AZ381)</f>
        <v>ZINS T=4D=0R=0M=0L=0B=0</v>
      </c>
      <c r="G381" s="0" t="s">
        <v>1482</v>
      </c>
      <c r="I381" s="0" t="s">
        <v>2117</v>
      </c>
      <c r="J381" s="0" t="s">
        <v>2118</v>
      </c>
      <c r="K381" s="0" t="s">
        <v>175</v>
      </c>
      <c r="L381" s="0"/>
      <c r="M381" s="0" t="s">
        <v>2114</v>
      </c>
      <c r="N381" s="0" t="str">
        <f aca="false">RIGHT(M381,LEN(M381)-FIND(" ",M381))</f>
        <v>BONNIE BRAE AVE NE</v>
      </c>
      <c r="P381" s="0" t="s">
        <v>146</v>
      </c>
      <c r="Q381" s="0" t="s">
        <v>147</v>
      </c>
      <c r="R381" s="0" t="n">
        <v>44483</v>
      </c>
      <c r="AD381" s="0" t="s">
        <v>148</v>
      </c>
      <c r="AE381" s="0" t="s">
        <v>149</v>
      </c>
      <c r="AF381" s="0" t="s">
        <v>150</v>
      </c>
      <c r="AH381" s="0" t="n">
        <v>14</v>
      </c>
      <c r="AI381" s="0" t="n">
        <v>11</v>
      </c>
      <c r="AN381" s="0" t="s">
        <v>146</v>
      </c>
      <c r="AO381" s="0" t="s">
        <v>236</v>
      </c>
      <c r="AP381" s="0" t="s">
        <v>237</v>
      </c>
      <c r="AQ381" s="0" t="n">
        <v>9</v>
      </c>
      <c r="AR381" s="0" t="n">
        <v>64</v>
      </c>
      <c r="AS381" s="0" t="n">
        <v>32</v>
      </c>
      <c r="AU381" s="0" t="n">
        <f aca="false">COUNTA($BA$169:$EH$169)</f>
        <v>4</v>
      </c>
      <c r="AV381" s="0" t="n">
        <f aca="false">COUNTIF($BA$169:$EH$169,"D")</f>
        <v>0</v>
      </c>
      <c r="AW381" s="0" t="n">
        <f aca="false">COUNTIF($BA$169:$EH$169,"R")</f>
        <v>0</v>
      </c>
      <c r="AX381" s="0" t="n">
        <f aca="false"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>0</v>
      </c>
      <c r="AY381" s="0" t="n">
        <f aca="false">COUNTIF(DU381:EH381, "&lt;&gt;")</f>
        <v>0</v>
      </c>
      <c r="AZ381" s="0" t="n">
        <f aca="false">IF(EH381&lt;&gt;"",1,0)</f>
        <v>0</v>
      </c>
      <c r="BB381" s="0" t="s">
        <v>153</v>
      </c>
    </row>
    <row r="382" customFormat="false" ht="13.8" hidden="true" customHeight="false" outlineLevel="0" collapsed="false">
      <c r="A382" s="0" t="s">
        <v>2119</v>
      </c>
      <c r="B382" s="0" t="n">
        <v>78</v>
      </c>
      <c r="C382" s="0" t="n">
        <v>456844</v>
      </c>
      <c r="D382" s="0" t="s">
        <v>2120</v>
      </c>
      <c r="E382" s="0" t="s">
        <v>2121</v>
      </c>
      <c r="F382" s="0" t="str">
        <f aca="false">CONCATENATE(D382," ",LEFT(H382,4),"T=",AU382,"D=",AV382,"R=",AW382,"M=",AX382,"L=",AY382,"B=",AZ382)</f>
        <v>KRAMER T=1D=0R=0M=0L=0B=0</v>
      </c>
      <c r="G382" s="0" t="s">
        <v>297</v>
      </c>
      <c r="I382" s="0" t="s">
        <v>2122</v>
      </c>
      <c r="J382" s="0" t="s">
        <v>2123</v>
      </c>
      <c r="K382" s="0" t="s">
        <v>144</v>
      </c>
      <c r="L382" s="0"/>
      <c r="M382" s="0" t="s">
        <v>2124</v>
      </c>
      <c r="N382" s="0" t="str">
        <f aca="false">RIGHT(M382,LEN(M382)-FIND(" ",M382))</f>
        <v>BONNIE BRAE AVE NE</v>
      </c>
      <c r="P382" s="0" t="s">
        <v>146</v>
      </c>
      <c r="Q382" s="0" t="s">
        <v>147</v>
      </c>
      <c r="R382" s="0" t="n">
        <v>44483</v>
      </c>
      <c r="AD382" s="0" t="s">
        <v>148</v>
      </c>
      <c r="AE382" s="0" t="s">
        <v>149</v>
      </c>
      <c r="AF382" s="0" t="s">
        <v>150</v>
      </c>
      <c r="AH382" s="0" t="n">
        <v>14</v>
      </c>
      <c r="AI382" s="0" t="n">
        <v>11</v>
      </c>
      <c r="AN382" s="0" t="s">
        <v>146</v>
      </c>
      <c r="AO382" s="0" t="s">
        <v>236</v>
      </c>
      <c r="AP382" s="0" t="s">
        <v>237</v>
      </c>
      <c r="AQ382" s="0" t="n">
        <v>9</v>
      </c>
      <c r="AR382" s="0" t="n">
        <v>64</v>
      </c>
      <c r="AS382" s="0" t="n">
        <v>32</v>
      </c>
      <c r="AU382" s="0" t="n">
        <f aca="false">COUNTA($BA$359:$EH$359)</f>
        <v>1</v>
      </c>
      <c r="AV382" s="0" t="n">
        <f aca="false">COUNTIF($BA$359:$EH$359,"D")</f>
        <v>0</v>
      </c>
      <c r="AW382" s="0" t="n">
        <f aca="false">COUNTIF($BA$359:$EH$359,"R")</f>
        <v>0</v>
      </c>
      <c r="AX382" s="0" t="n">
        <f aca="false"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>0</v>
      </c>
      <c r="AY382" s="0" t="n">
        <f aca="false">COUNTIF(DU382:EH382, "&lt;&gt;")</f>
        <v>0</v>
      </c>
      <c r="AZ382" s="0" t="n">
        <f aca="false">IF(EH382&lt;&gt;"",1,0)</f>
        <v>0</v>
      </c>
      <c r="BB382" s="0" t="s">
        <v>153</v>
      </c>
    </row>
    <row r="383" customFormat="false" ht="13.8" hidden="true" customHeight="false" outlineLevel="0" collapsed="false">
      <c r="A383" s="0" t="s">
        <v>2125</v>
      </c>
      <c r="B383" s="0" t="n">
        <v>78</v>
      </c>
      <c r="C383" s="0" t="n">
        <v>398374</v>
      </c>
      <c r="D383" s="0" t="s">
        <v>2126</v>
      </c>
      <c r="E383" s="0" t="s">
        <v>2127</v>
      </c>
      <c r="F383" s="0" t="str">
        <f aca="false">CONCATENATE(D383," ",LEFT(H383,4),"T=",AU383,"D=",AV383,"R=",AW383,"M=",AX383,"L=",AY383,"B=",AZ383)</f>
        <v>FRYE T=1D=0R=0M=0L=0B=0</v>
      </c>
      <c r="G383" s="0" t="s">
        <v>2128</v>
      </c>
      <c r="I383" s="0" t="s">
        <v>2129</v>
      </c>
      <c r="J383" s="0" t="s">
        <v>2130</v>
      </c>
      <c r="K383" s="0" t="s">
        <v>144</v>
      </c>
      <c r="L383" s="0"/>
      <c r="M383" s="0" t="s">
        <v>2124</v>
      </c>
      <c r="N383" s="0" t="str">
        <f aca="false">RIGHT(M383,LEN(M383)-FIND(" ",M383))</f>
        <v>BONNIE BRAE AVE NE</v>
      </c>
      <c r="P383" s="0" t="s">
        <v>146</v>
      </c>
      <c r="Q383" s="0" t="s">
        <v>147</v>
      </c>
      <c r="R383" s="0" t="n">
        <v>44483</v>
      </c>
      <c r="AD383" s="0" t="s">
        <v>148</v>
      </c>
      <c r="AE383" s="0" t="s">
        <v>149</v>
      </c>
      <c r="AF383" s="0" t="s">
        <v>150</v>
      </c>
      <c r="AH383" s="0" t="n">
        <v>14</v>
      </c>
      <c r="AI383" s="0" t="n">
        <v>11</v>
      </c>
      <c r="AN383" s="0" t="s">
        <v>146</v>
      </c>
      <c r="AO383" s="0" t="s">
        <v>236</v>
      </c>
      <c r="AP383" s="0" t="s">
        <v>237</v>
      </c>
      <c r="AQ383" s="0" t="n">
        <v>9</v>
      </c>
      <c r="AR383" s="0" t="n">
        <v>64</v>
      </c>
      <c r="AS383" s="0" t="n">
        <v>32</v>
      </c>
      <c r="AU383" s="0" t="n">
        <f aca="false">COUNTA($BA$1025:$EH$1025)</f>
        <v>1</v>
      </c>
      <c r="AV383" s="0" t="n">
        <f aca="false">COUNTIF($BA$1025:$EH$1025,"D")</f>
        <v>0</v>
      </c>
      <c r="AW383" s="0" t="n">
        <f aca="false">COUNTIF($BA$1025:$EH$1025,"R")</f>
        <v>0</v>
      </c>
      <c r="AX383" s="0" t="n">
        <f aca="false"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>0</v>
      </c>
      <c r="AY383" s="0" t="n">
        <f aca="false">COUNTIF(DU383:EH383, "&lt;&gt;")</f>
        <v>0</v>
      </c>
      <c r="AZ383" s="0" t="n">
        <f aca="false">IF(EH383&lt;&gt;"",1,0)</f>
        <v>0</v>
      </c>
      <c r="BB383" s="0" t="s">
        <v>153</v>
      </c>
    </row>
    <row r="384" customFormat="false" ht="13.8" hidden="false" customHeight="false" outlineLevel="0" collapsed="false">
      <c r="A384" s="0" t="s">
        <v>2131</v>
      </c>
      <c r="B384" s="0" t="n">
        <v>78</v>
      </c>
      <c r="C384" s="0" t="n">
        <v>386200</v>
      </c>
      <c r="D384" s="0" t="s">
        <v>2132</v>
      </c>
      <c r="E384" s="0" t="s">
        <v>2133</v>
      </c>
      <c r="F384" s="0" t="str">
        <f aca="false">CONCATENATE(D384," ",LEFT(H384,4),"T=",AU384,"D=",AV384,"R=",AW384,"M=",AX384,"L=",AY384,"B=",AZ384)</f>
        <v>VAUGHN T=4D=0R=0M=0L=2B=0</v>
      </c>
      <c r="G384" s="0" t="s">
        <v>297</v>
      </c>
      <c r="I384" s="0" t="s">
        <v>2134</v>
      </c>
      <c r="J384" s="0" t="s">
        <v>2135</v>
      </c>
      <c r="K384" s="0" t="s">
        <v>175</v>
      </c>
      <c r="M384" s="0" t="s">
        <v>2136</v>
      </c>
      <c r="N384" s="0" t="str">
        <f aca="false">RIGHT(M384,LEN(M384)-FIND(" ",M384))</f>
        <v>BONNIE BRAE AVE NE</v>
      </c>
      <c r="P384" s="0" t="s">
        <v>146</v>
      </c>
      <c r="Q384" s="0" t="s">
        <v>147</v>
      </c>
      <c r="R384" s="0" t="n">
        <v>44483</v>
      </c>
      <c r="AD384" s="0" t="s">
        <v>148</v>
      </c>
      <c r="AE384" s="0" t="s">
        <v>149</v>
      </c>
      <c r="AF384" s="0" t="s">
        <v>150</v>
      </c>
      <c r="AH384" s="0" t="n">
        <v>14</v>
      </c>
      <c r="AI384" s="0" t="n">
        <v>11</v>
      </c>
      <c r="AN384" s="0" t="s">
        <v>146</v>
      </c>
      <c r="AO384" s="0" t="s">
        <v>236</v>
      </c>
      <c r="AP384" s="0" t="s">
        <v>237</v>
      </c>
      <c r="AQ384" s="0" t="n">
        <v>9</v>
      </c>
      <c r="AR384" s="0" t="n">
        <v>64</v>
      </c>
      <c r="AS384" s="0" t="n">
        <v>32</v>
      </c>
      <c r="AU384" s="0" t="n">
        <f aca="false">COUNTA($BA$410:$EH$410)</f>
        <v>4</v>
      </c>
      <c r="AV384" s="0" t="n">
        <f aca="false">COUNTIF($BA$410:$EH$410,"D")</f>
        <v>0</v>
      </c>
      <c r="AW384" s="0" t="n">
        <f aca="false">COUNTIF($BA$410:$EH$410,"R")</f>
        <v>0</v>
      </c>
      <c r="AX384" s="0" t="n">
        <f aca="false"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>0</v>
      </c>
      <c r="AY384" s="0" t="n">
        <f aca="false">COUNTIF(DU384:EH384, "&lt;&gt;")</f>
        <v>2</v>
      </c>
      <c r="AZ384" s="0" t="n">
        <f aca="false">IF(EH384&lt;&gt;"",1,0)</f>
        <v>0</v>
      </c>
      <c r="BB384" s="0" t="s">
        <v>153</v>
      </c>
      <c r="CP384" s="0" t="s">
        <v>154</v>
      </c>
      <c r="EA384" s="0" t="s">
        <v>154</v>
      </c>
      <c r="EF384" s="0" t="s">
        <v>154</v>
      </c>
    </row>
    <row r="385" customFormat="false" ht="13.8" hidden="true" customHeight="false" outlineLevel="0" collapsed="false">
      <c r="A385" s="0" t="s">
        <v>2137</v>
      </c>
      <c r="B385" s="0" t="n">
        <v>78</v>
      </c>
      <c r="C385" s="0" t="n">
        <v>418837</v>
      </c>
      <c r="D385" s="0" t="s">
        <v>2138</v>
      </c>
      <c r="E385" s="0" t="s">
        <v>1916</v>
      </c>
      <c r="F385" s="0" t="str">
        <f aca="false">CONCATENATE(D385," ",LEFT(H385,4),"T=",AU385,"D=",AV385,"R=",AW385,"M=",AX385,"L=",AY385,"B=",AZ385)</f>
        <v>ROOSA T=51D=19R=0M=0L=1B=0</v>
      </c>
      <c r="G385" s="0" t="s">
        <v>1712</v>
      </c>
      <c r="I385" s="0" t="s">
        <v>2139</v>
      </c>
      <c r="J385" s="0" t="s">
        <v>2140</v>
      </c>
      <c r="K385" s="0" t="s">
        <v>175</v>
      </c>
      <c r="L385" s="0"/>
      <c r="M385" s="0" t="s">
        <v>2141</v>
      </c>
      <c r="N385" s="0" t="str">
        <f aca="false">RIGHT(M385,LEN(M385)-FIND(" ",M385))</f>
        <v>BONNIE BRAE AVE NE</v>
      </c>
      <c r="P385" s="0" t="s">
        <v>146</v>
      </c>
      <c r="Q385" s="0" t="s">
        <v>147</v>
      </c>
      <c r="R385" s="0" t="n">
        <v>44483</v>
      </c>
      <c r="AD385" s="0" t="s">
        <v>148</v>
      </c>
      <c r="AE385" s="0" t="s">
        <v>149</v>
      </c>
      <c r="AF385" s="0" t="s">
        <v>150</v>
      </c>
      <c r="AH385" s="0" t="n">
        <v>14</v>
      </c>
      <c r="AI385" s="0" t="n">
        <v>11</v>
      </c>
      <c r="AN385" s="0" t="s">
        <v>146</v>
      </c>
      <c r="AO385" s="0" t="s">
        <v>236</v>
      </c>
      <c r="AP385" s="0" t="s">
        <v>237</v>
      </c>
      <c r="AQ385" s="0" t="n">
        <v>9</v>
      </c>
      <c r="AR385" s="0" t="n">
        <v>64</v>
      </c>
      <c r="AS385" s="0" t="n">
        <v>32</v>
      </c>
      <c r="AU385" s="0" t="n">
        <f aca="false">COUNTA($BA$571:$EH$571)</f>
        <v>51</v>
      </c>
      <c r="AV385" s="0" t="n">
        <f aca="false">COUNTIF($BA$571:$EH$571,"D")</f>
        <v>19</v>
      </c>
      <c r="AW385" s="0" t="n">
        <f aca="false">COUNTIF($BA$571:$EH$571,"R")</f>
        <v>0</v>
      </c>
      <c r="AX385" s="0" t="n">
        <f aca="false"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>0</v>
      </c>
      <c r="AY385" s="0" t="n">
        <f aca="false">COUNTIF(DU385:EH385, "&lt;&gt;")</f>
        <v>1</v>
      </c>
      <c r="AZ385" s="0" t="n">
        <f aca="false">IF(EH385&lt;&gt;"",1,0)</f>
        <v>0</v>
      </c>
      <c r="BB385" s="0" t="s">
        <v>153</v>
      </c>
      <c r="DI385" s="0" t="s">
        <v>154</v>
      </c>
      <c r="DN385" s="0" t="s">
        <v>154</v>
      </c>
      <c r="EF385" s="0" t="s">
        <v>154</v>
      </c>
    </row>
    <row r="386" customFormat="false" ht="13.8" hidden="false" customHeight="false" outlineLevel="0" collapsed="false">
      <c r="A386" s="0" t="s">
        <v>2142</v>
      </c>
      <c r="B386" s="0" t="n">
        <v>78</v>
      </c>
      <c r="C386" s="0" t="n">
        <v>4398</v>
      </c>
      <c r="D386" s="0" t="s">
        <v>1549</v>
      </c>
      <c r="E386" s="0" t="s">
        <v>2143</v>
      </c>
      <c r="F386" s="0" t="str">
        <f aca="false">CONCATENATE(D386," ",LEFT(H386,4),"T=",AU386,"D=",AV386,"R=",AW386,"M=",AX386,"L=",AY386,"B=",AZ386)</f>
        <v>WILSON T=5D=0R=0M=5L=5B=0</v>
      </c>
      <c r="G386" s="0" t="s">
        <v>1482</v>
      </c>
      <c r="I386" s="0" t="s">
        <v>2144</v>
      </c>
      <c r="J386" s="0" t="s">
        <v>2145</v>
      </c>
      <c r="K386" s="0" t="s">
        <v>175</v>
      </c>
      <c r="L386" s="1" t="s">
        <v>155</v>
      </c>
      <c r="M386" s="0" t="s">
        <v>2146</v>
      </c>
      <c r="N386" s="0" t="str">
        <f aca="false">RIGHT(M386,LEN(M386)-FIND(" ",M386))</f>
        <v>BONNIE BRAE AVE NE</v>
      </c>
      <c r="P386" s="0" t="s">
        <v>146</v>
      </c>
      <c r="Q386" s="0" t="s">
        <v>147</v>
      </c>
      <c r="R386" s="0" t="n">
        <v>44483</v>
      </c>
      <c r="AD386" s="0" t="s">
        <v>148</v>
      </c>
      <c r="AE386" s="0" t="s">
        <v>149</v>
      </c>
      <c r="AF386" s="0" t="s">
        <v>150</v>
      </c>
      <c r="AH386" s="0" t="n">
        <v>14</v>
      </c>
      <c r="AI386" s="0" t="n">
        <v>11</v>
      </c>
      <c r="AN386" s="0" t="s">
        <v>146</v>
      </c>
      <c r="AO386" s="0" t="s">
        <v>236</v>
      </c>
      <c r="AP386" s="0" t="s">
        <v>237</v>
      </c>
      <c r="AQ386" s="0" t="n">
        <v>9</v>
      </c>
      <c r="AR386" s="0" t="n">
        <v>64</v>
      </c>
      <c r="AS386" s="0" t="n">
        <v>32</v>
      </c>
      <c r="AU386" s="0" t="n">
        <f aca="false">COUNTA($BA$902:$EH$902)</f>
        <v>5</v>
      </c>
      <c r="AV386" s="0" t="n">
        <f aca="false">COUNTIF($BA$902:$EH$902,"D")</f>
        <v>0</v>
      </c>
      <c r="AW386" s="0" t="n">
        <f aca="false">COUNTIF($BA$902:$EH$902,"R")</f>
        <v>0</v>
      </c>
      <c r="AX386" s="0" t="n">
        <f aca="false"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>5</v>
      </c>
      <c r="AY386" s="0" t="n">
        <f aca="false">COUNTIF(DU386:EH386, "&lt;&gt;")</f>
        <v>5</v>
      </c>
      <c r="AZ386" s="0" t="n">
        <f aca="false">IF(EH386&lt;&gt;"",1,0)</f>
        <v>0</v>
      </c>
      <c r="BB386" s="0" t="s">
        <v>153</v>
      </c>
      <c r="BC386" s="0" t="s">
        <v>154</v>
      </c>
      <c r="BD386" s="0" t="s">
        <v>154</v>
      </c>
      <c r="BE386" s="0" t="s">
        <v>154</v>
      </c>
      <c r="BF386" s="0" t="s">
        <v>154</v>
      </c>
      <c r="BG386" s="0" t="s">
        <v>154</v>
      </c>
      <c r="BH386" s="0" t="s">
        <v>154</v>
      </c>
      <c r="BI386" s="0" t="s">
        <v>154</v>
      </c>
      <c r="BJ386" s="0" t="s">
        <v>154</v>
      </c>
      <c r="BK386" s="0" t="s">
        <v>154</v>
      </c>
      <c r="BL386" s="0" t="s">
        <v>154</v>
      </c>
      <c r="BP386" s="0" t="s">
        <v>154</v>
      </c>
      <c r="BR386" s="0" t="s">
        <v>154</v>
      </c>
      <c r="BV386" s="0" t="s">
        <v>154</v>
      </c>
      <c r="BY386" s="0" t="s">
        <v>155</v>
      </c>
      <c r="CA386" s="0" t="s">
        <v>154</v>
      </c>
      <c r="CG386" s="0" t="s">
        <v>154</v>
      </c>
      <c r="CK386" s="0" t="s">
        <v>154</v>
      </c>
      <c r="CL386" s="0" t="s">
        <v>155</v>
      </c>
      <c r="CN386" s="0" t="s">
        <v>154</v>
      </c>
      <c r="CO386" s="0" t="s">
        <v>155</v>
      </c>
      <c r="CP386" s="0" t="s">
        <v>154</v>
      </c>
      <c r="CU386" s="0" t="s">
        <v>155</v>
      </c>
      <c r="CV386" s="0" t="s">
        <v>154</v>
      </c>
      <c r="CY386" s="0" t="s">
        <v>154</v>
      </c>
      <c r="CZ386" s="0" t="s">
        <v>155</v>
      </c>
      <c r="DC386" s="0" t="s">
        <v>154</v>
      </c>
      <c r="DD386" s="0" t="s">
        <v>155</v>
      </c>
      <c r="DF386" s="0" t="s">
        <v>154</v>
      </c>
      <c r="DG386" s="0" t="s">
        <v>155</v>
      </c>
      <c r="DI386" s="0" t="s">
        <v>154</v>
      </c>
      <c r="DJ386" s="0" t="s">
        <v>155</v>
      </c>
      <c r="DL386" s="0" t="s">
        <v>154</v>
      </c>
      <c r="DM386" s="0" t="s">
        <v>155</v>
      </c>
      <c r="DN386" s="0" t="s">
        <v>154</v>
      </c>
      <c r="DO386" s="0" t="s">
        <v>155</v>
      </c>
      <c r="DR386" s="0" t="s">
        <v>154</v>
      </c>
      <c r="DS386" s="0" t="s">
        <v>155</v>
      </c>
      <c r="DT386" s="0" t="s">
        <v>155</v>
      </c>
      <c r="DU386" s="0" t="s">
        <v>154</v>
      </c>
      <c r="DW386" s="0" t="s">
        <v>155</v>
      </c>
      <c r="DX386" s="0" t="s">
        <v>154</v>
      </c>
      <c r="EA386" s="0" t="s">
        <v>154</v>
      </c>
      <c r="EF386" s="0" t="s">
        <v>154</v>
      </c>
    </row>
    <row r="387" customFormat="false" ht="13.8" hidden="false" customHeight="false" outlineLevel="0" collapsed="false">
      <c r="A387" s="0" t="s">
        <v>2147</v>
      </c>
      <c r="B387" s="0" t="n">
        <v>78</v>
      </c>
      <c r="C387" s="0" t="n">
        <v>431186</v>
      </c>
      <c r="D387" s="0" t="s">
        <v>2148</v>
      </c>
      <c r="E387" s="0" t="s">
        <v>1374</v>
      </c>
      <c r="F387" s="0" t="str">
        <f aca="false">CONCATENATE(D387," ",LEFT(H387,4),"T=",AU387,"D=",AV387,"R=",AW387,"M=",AX387,"L=",AY387,"B=",AZ387)</f>
        <v>CAMPANY T=3D=0R=0M=1L=5B=0</v>
      </c>
      <c r="G387" s="0" t="s">
        <v>2149</v>
      </c>
      <c r="I387" s="0" t="s">
        <v>2150</v>
      </c>
      <c r="J387" s="0" t="s">
        <v>2151</v>
      </c>
      <c r="K387" s="0" t="s">
        <v>175</v>
      </c>
      <c r="L387" s="1" t="s">
        <v>155</v>
      </c>
      <c r="M387" s="0" t="s">
        <v>2146</v>
      </c>
      <c r="N387" s="0" t="str">
        <f aca="false">RIGHT(M387,LEN(M387)-FIND(" ",M387))</f>
        <v>BONNIE BRAE AVE NE</v>
      </c>
      <c r="P387" s="0" t="s">
        <v>146</v>
      </c>
      <c r="Q387" s="0" t="s">
        <v>147</v>
      </c>
      <c r="R387" s="0" t="n">
        <v>44483</v>
      </c>
      <c r="AD387" s="0" t="s">
        <v>148</v>
      </c>
      <c r="AE387" s="0" t="s">
        <v>149</v>
      </c>
      <c r="AF387" s="0" t="s">
        <v>150</v>
      </c>
      <c r="AH387" s="0" t="n">
        <v>14</v>
      </c>
      <c r="AI387" s="0" t="n">
        <v>11</v>
      </c>
      <c r="AN387" s="0" t="s">
        <v>146</v>
      </c>
      <c r="AO387" s="0" t="s">
        <v>236</v>
      </c>
      <c r="AP387" s="0" t="s">
        <v>237</v>
      </c>
      <c r="AQ387" s="0" t="n">
        <v>9</v>
      </c>
      <c r="AR387" s="0" t="n">
        <v>64</v>
      </c>
      <c r="AS387" s="0" t="n">
        <v>32</v>
      </c>
      <c r="AU387" s="0" t="n">
        <f aca="false">COUNTA($BA$908:$EH$908)</f>
        <v>3</v>
      </c>
      <c r="AV387" s="0" t="n">
        <f aca="false">COUNTIF($BA$908:$EH$908,"D")</f>
        <v>0</v>
      </c>
      <c r="AW387" s="0" t="n">
        <f aca="false">COUNTIF($BA$908:$EH$908,"R")</f>
        <v>0</v>
      </c>
      <c r="AX387" s="0" t="n">
        <f aca="false"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>1</v>
      </c>
      <c r="AY387" s="0" t="n">
        <f aca="false">COUNTIF(DU387:EH387, "&lt;&gt;")</f>
        <v>5</v>
      </c>
      <c r="AZ387" s="0" t="n">
        <f aca="false">IF(EH387&lt;&gt;"",1,0)</f>
        <v>0</v>
      </c>
      <c r="BB387" s="0" t="s">
        <v>153</v>
      </c>
      <c r="DI387" s="0" t="s">
        <v>154</v>
      </c>
      <c r="DN387" s="0" t="s">
        <v>154</v>
      </c>
      <c r="DU387" s="0" t="s">
        <v>154</v>
      </c>
      <c r="DW387" s="0" t="s">
        <v>155</v>
      </c>
      <c r="DX387" s="0" t="s">
        <v>154</v>
      </c>
      <c r="EA387" s="0" t="s">
        <v>154</v>
      </c>
      <c r="EF387" s="0" t="s">
        <v>154</v>
      </c>
    </row>
    <row r="388" customFormat="false" ht="13.8" hidden="false" customHeight="false" outlineLevel="0" collapsed="false">
      <c r="A388" s="0" t="s">
        <v>2152</v>
      </c>
      <c r="B388" s="0" t="n">
        <v>78</v>
      </c>
      <c r="C388" s="0" t="n">
        <v>465229</v>
      </c>
      <c r="D388" s="0" t="s">
        <v>2153</v>
      </c>
      <c r="E388" s="0" t="s">
        <v>2154</v>
      </c>
      <c r="F388" s="0" t="str">
        <f aca="false">CONCATENATE(D388," ",LEFT(H388,4),"T=",AU388,"D=",AV388,"R=",AW388,"M=",AX388,"L=",AY388,"B=",AZ388)</f>
        <v>HOLGUIN T=21D=2R=1M=0L=2B=0</v>
      </c>
      <c r="G388" s="0" t="s">
        <v>2155</v>
      </c>
      <c r="I388" s="0" t="s">
        <v>2156</v>
      </c>
      <c r="J388" s="0" t="s">
        <v>2157</v>
      </c>
      <c r="K388" s="0" t="s">
        <v>175</v>
      </c>
      <c r="M388" s="0" t="s">
        <v>2158</v>
      </c>
      <c r="N388" s="0" t="str">
        <f aca="false">RIGHT(M388,LEN(M388)-FIND(" ",M388))</f>
        <v>BONNIE BRAE AVE NE</v>
      </c>
      <c r="P388" s="0" t="s">
        <v>146</v>
      </c>
      <c r="Q388" s="0" t="s">
        <v>147</v>
      </c>
      <c r="R388" s="0" t="n">
        <v>44483</v>
      </c>
      <c r="AD388" s="0" t="s">
        <v>148</v>
      </c>
      <c r="AE388" s="0" t="s">
        <v>149</v>
      </c>
      <c r="AF388" s="0" t="s">
        <v>150</v>
      </c>
      <c r="AH388" s="0" t="n">
        <v>14</v>
      </c>
      <c r="AI388" s="0" t="n">
        <v>11</v>
      </c>
      <c r="AN388" s="0" t="s">
        <v>146</v>
      </c>
      <c r="AO388" s="0" t="s">
        <v>236</v>
      </c>
      <c r="AP388" s="0" t="s">
        <v>237</v>
      </c>
      <c r="AQ388" s="0" t="n">
        <v>9</v>
      </c>
      <c r="AR388" s="0" t="n">
        <v>64</v>
      </c>
      <c r="AS388" s="0" t="n">
        <v>32</v>
      </c>
      <c r="AU388" s="0" t="n">
        <f aca="false">COUNTA($BA$18:$EH$18)</f>
        <v>21</v>
      </c>
      <c r="AV388" s="0" t="n">
        <f aca="false">COUNTIF($BA$18:$EH$18,"D")</f>
        <v>2</v>
      </c>
      <c r="AW388" s="0" t="n">
        <f aca="false">COUNTIF($BA$18:$EH$18,"R")</f>
        <v>1</v>
      </c>
      <c r="AX388" s="0" t="n">
        <f aca="false"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>0</v>
      </c>
      <c r="AY388" s="0" t="n">
        <f aca="false">COUNTIF(DU388:EH388, "&lt;&gt;")</f>
        <v>2</v>
      </c>
      <c r="AZ388" s="0" t="n">
        <f aca="false">IF(EH388&lt;&gt;"",1,0)</f>
        <v>0</v>
      </c>
      <c r="BB388" s="0" t="s">
        <v>153</v>
      </c>
      <c r="DU388" s="0" t="s">
        <v>154</v>
      </c>
      <c r="EA388" s="0" t="s">
        <v>154</v>
      </c>
    </row>
    <row r="389" customFormat="false" ht="13.8" hidden="false" customHeight="false" outlineLevel="0" collapsed="false">
      <c r="A389" s="0" t="s">
        <v>2159</v>
      </c>
      <c r="B389" s="0" t="n">
        <v>78</v>
      </c>
      <c r="C389" s="0" t="n">
        <v>470892</v>
      </c>
      <c r="D389" s="0" t="s">
        <v>2153</v>
      </c>
      <c r="E389" s="0" t="s">
        <v>2160</v>
      </c>
      <c r="F389" s="0" t="str">
        <f aca="false">CONCATENATE(D389," ",LEFT(H389,4),"T=",AU389,"D=",AV389,"R=",AW389,"M=",AX389,"L=",AY389,"B=",AZ389)</f>
        <v>HOLGUIN T=2D=0R=0M=0L=2B=0</v>
      </c>
      <c r="G389" s="0" t="s">
        <v>297</v>
      </c>
      <c r="I389" s="0" t="s">
        <v>2161</v>
      </c>
      <c r="J389" s="0" t="s">
        <v>910</v>
      </c>
      <c r="K389" s="0" t="s">
        <v>175</v>
      </c>
      <c r="M389" s="0" t="s">
        <v>2158</v>
      </c>
      <c r="N389" s="0" t="str">
        <f aca="false">RIGHT(M389,LEN(M389)-FIND(" ",M389))</f>
        <v>BONNIE BRAE AVE NE</v>
      </c>
      <c r="P389" s="0" t="s">
        <v>146</v>
      </c>
      <c r="Q389" s="0" t="s">
        <v>147</v>
      </c>
      <c r="R389" s="0" t="n">
        <v>44483</v>
      </c>
      <c r="AD389" s="0" t="s">
        <v>148</v>
      </c>
      <c r="AE389" s="0" t="s">
        <v>149</v>
      </c>
      <c r="AF389" s="0" t="s">
        <v>150</v>
      </c>
      <c r="AH389" s="0" t="n">
        <v>14</v>
      </c>
      <c r="AI389" s="0" t="n">
        <v>11</v>
      </c>
      <c r="AN389" s="0" t="s">
        <v>146</v>
      </c>
      <c r="AO389" s="0" t="s">
        <v>236</v>
      </c>
      <c r="AP389" s="0" t="s">
        <v>237</v>
      </c>
      <c r="AQ389" s="0" t="n">
        <v>9</v>
      </c>
      <c r="AR389" s="0" t="n">
        <v>64</v>
      </c>
      <c r="AS389" s="0" t="n">
        <v>32</v>
      </c>
      <c r="AU389" s="0" t="n">
        <f aca="false">COUNTA($BA$309:$EH$309)</f>
        <v>2</v>
      </c>
      <c r="AV389" s="0" t="n">
        <f aca="false">COUNTIF($BA$309:$EH$309,"D")</f>
        <v>0</v>
      </c>
      <c r="AW389" s="0" t="n">
        <f aca="false">COUNTIF($BA$309:$EH$309,"R")</f>
        <v>0</v>
      </c>
      <c r="AX389" s="0" t="n">
        <f aca="false"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>0</v>
      </c>
      <c r="AY389" s="0" t="n">
        <f aca="false">COUNTIF(DU389:EH389, "&lt;&gt;")</f>
        <v>2</v>
      </c>
      <c r="AZ389" s="0" t="n">
        <f aca="false">IF(EH389&lt;&gt;"",1,0)</f>
        <v>0</v>
      </c>
      <c r="BB389" s="0" t="s">
        <v>153</v>
      </c>
      <c r="EA389" s="0" t="s">
        <v>154</v>
      </c>
      <c r="EF389" s="0" t="s">
        <v>154</v>
      </c>
    </row>
    <row r="390" customFormat="false" ht="13.8" hidden="false" customHeight="false" outlineLevel="0" collapsed="false">
      <c r="A390" s="0" t="s">
        <v>2162</v>
      </c>
      <c r="B390" s="0" t="n">
        <v>78</v>
      </c>
      <c r="C390" s="0" t="n">
        <v>312940</v>
      </c>
      <c r="D390" s="0" t="s">
        <v>2138</v>
      </c>
      <c r="E390" s="0" t="s">
        <v>2163</v>
      </c>
      <c r="F390" s="0" t="str">
        <f aca="false">CONCATENATE(D390," ",LEFT(H390,4),"T=",AU390,"D=",AV390,"R=",AW390,"M=",AX390,"L=",AY390,"B=",AZ390)</f>
        <v>ROOSA T=24D=3R=2M=0L=4B=0</v>
      </c>
      <c r="G390" s="0" t="s">
        <v>172</v>
      </c>
      <c r="I390" s="0" t="s">
        <v>2164</v>
      </c>
      <c r="J390" s="0" t="s">
        <v>2165</v>
      </c>
      <c r="K390" s="0" t="s">
        <v>175</v>
      </c>
      <c r="M390" s="0" t="s">
        <v>2158</v>
      </c>
      <c r="N390" s="0" t="str">
        <f aca="false">RIGHT(M390,LEN(M390)-FIND(" ",M390))</f>
        <v>BONNIE BRAE AVE NE</v>
      </c>
      <c r="P390" s="0" t="s">
        <v>146</v>
      </c>
      <c r="Q390" s="0" t="s">
        <v>147</v>
      </c>
      <c r="R390" s="0" t="n">
        <v>44483</v>
      </c>
      <c r="AD390" s="0" t="s">
        <v>148</v>
      </c>
      <c r="AE390" s="0" t="s">
        <v>149</v>
      </c>
      <c r="AF390" s="0" t="s">
        <v>150</v>
      </c>
      <c r="AH390" s="0" t="n">
        <v>14</v>
      </c>
      <c r="AI390" s="0" t="n">
        <v>11</v>
      </c>
      <c r="AN390" s="0" t="s">
        <v>146</v>
      </c>
      <c r="AO390" s="0" t="s">
        <v>236</v>
      </c>
      <c r="AP390" s="0" t="s">
        <v>237</v>
      </c>
      <c r="AQ390" s="0" t="n">
        <v>9</v>
      </c>
      <c r="AR390" s="0" t="n">
        <v>64</v>
      </c>
      <c r="AS390" s="0" t="n">
        <v>32</v>
      </c>
      <c r="AU390" s="0" t="n">
        <f aca="false">COUNTA($BA$349:$EH$349)</f>
        <v>24</v>
      </c>
      <c r="AV390" s="0" t="n">
        <f aca="false">COUNTIF($BA$349:$EH$349,"D")</f>
        <v>3</v>
      </c>
      <c r="AW390" s="0" t="n">
        <f aca="false">COUNTIF($BA$349:$EH$349,"R")</f>
        <v>2</v>
      </c>
      <c r="AX390" s="0" t="n">
        <f aca="false"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>0</v>
      </c>
      <c r="AY390" s="0" t="n">
        <f aca="false">COUNTIF(DU390:EH390, "&lt;&gt;")</f>
        <v>4</v>
      </c>
      <c r="AZ390" s="0" t="n">
        <f aca="false">IF(EH390&lt;&gt;"",1,0)</f>
        <v>0</v>
      </c>
      <c r="BB390" s="0" t="s">
        <v>153</v>
      </c>
      <c r="CA390" s="0" t="s">
        <v>154</v>
      </c>
      <c r="CP390" s="0" t="s">
        <v>154</v>
      </c>
      <c r="DN390" s="0" t="s">
        <v>154</v>
      </c>
      <c r="DU390" s="0" t="s">
        <v>154</v>
      </c>
      <c r="DX390" s="0" t="s">
        <v>154</v>
      </c>
      <c r="EA390" s="0" t="s">
        <v>154</v>
      </c>
      <c r="EF390" s="0" t="s">
        <v>154</v>
      </c>
    </row>
    <row r="391" customFormat="false" ht="13.8" hidden="true" customHeight="false" outlineLevel="0" collapsed="false">
      <c r="A391" s="0" t="s">
        <v>2166</v>
      </c>
      <c r="B391" s="0" t="n">
        <v>78</v>
      </c>
      <c r="C391" s="0" t="n">
        <v>389541</v>
      </c>
      <c r="D391" s="0" t="s">
        <v>1549</v>
      </c>
      <c r="E391" s="0" t="s">
        <v>944</v>
      </c>
      <c r="F391" s="0" t="str">
        <f aca="false">CONCATENATE(D391," ",LEFT(H391,4),"T=",AU391,"D=",AV391,"R=",AW391,"M=",AX391,"L=",AY391,"B=",AZ391)</f>
        <v>WILSON T=1D=0R=0M=0L=0B=0</v>
      </c>
      <c r="G391" s="0" t="s">
        <v>1180</v>
      </c>
      <c r="I391" s="0" t="s">
        <v>2167</v>
      </c>
      <c r="J391" s="0" t="s">
        <v>2168</v>
      </c>
      <c r="K391" s="0" t="s">
        <v>144</v>
      </c>
      <c r="L391" s="0"/>
      <c r="M391" s="0" t="s">
        <v>2169</v>
      </c>
      <c r="N391" s="0" t="str">
        <f aca="false">RIGHT(M391,LEN(M391)-FIND(" ",M391))</f>
        <v>BONNIE BRAE AVE NE</v>
      </c>
      <c r="P391" s="0" t="s">
        <v>146</v>
      </c>
      <c r="Q391" s="0" t="s">
        <v>147</v>
      </c>
      <c r="R391" s="0" t="n">
        <v>44483</v>
      </c>
      <c r="AD391" s="0" t="s">
        <v>148</v>
      </c>
      <c r="AE391" s="0" t="s">
        <v>149</v>
      </c>
      <c r="AF391" s="0" t="s">
        <v>150</v>
      </c>
      <c r="AH391" s="0" t="n">
        <v>14</v>
      </c>
      <c r="AI391" s="0" t="n">
        <v>11</v>
      </c>
      <c r="AN391" s="0" t="s">
        <v>146</v>
      </c>
      <c r="AO391" s="0" t="s">
        <v>236</v>
      </c>
      <c r="AP391" s="0" t="s">
        <v>237</v>
      </c>
      <c r="AQ391" s="0" t="n">
        <v>9</v>
      </c>
      <c r="AR391" s="0" t="n">
        <v>64</v>
      </c>
      <c r="AS391" s="0" t="n">
        <v>32</v>
      </c>
      <c r="AU391" s="0" t="n">
        <f aca="false">COUNTA($BA$441:$EH$441)</f>
        <v>1</v>
      </c>
      <c r="AV391" s="0" t="n">
        <f aca="false">COUNTIF($BA$441:$EH$441,"D")</f>
        <v>0</v>
      </c>
      <c r="AW391" s="0" t="n">
        <f aca="false">COUNTIF($BA$441:$EH$441,"R")</f>
        <v>0</v>
      </c>
      <c r="AX391" s="0" t="n">
        <f aca="false"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>0</v>
      </c>
      <c r="AY391" s="0" t="n">
        <f aca="false">COUNTIF(DU391:EH391, "&lt;&gt;")</f>
        <v>0</v>
      </c>
      <c r="AZ391" s="0" t="n">
        <f aca="false">IF(EH391&lt;&gt;"",1,0)</f>
        <v>0</v>
      </c>
      <c r="BB391" s="0" t="s">
        <v>153</v>
      </c>
    </row>
    <row r="392" customFormat="false" ht="13.8" hidden="true" customHeight="false" outlineLevel="0" collapsed="false">
      <c r="A392" s="0" t="s">
        <v>2170</v>
      </c>
      <c r="B392" s="0" t="n">
        <v>78</v>
      </c>
      <c r="C392" s="0" t="n">
        <v>490158</v>
      </c>
      <c r="D392" s="0" t="s">
        <v>2171</v>
      </c>
      <c r="E392" s="0" t="s">
        <v>2172</v>
      </c>
      <c r="F392" s="0" t="str">
        <f aca="false">CONCATENATE(D392," ",LEFT(H392,4),"T=",AU392,"D=",AV392,"R=",AW392,"M=",AX392,"L=",AY392,"B=",AZ392)</f>
        <v>MORRIS T=15D=2R=0M=0L=1B=0</v>
      </c>
      <c r="G392" s="0" t="s">
        <v>690</v>
      </c>
      <c r="I392" s="0" t="s">
        <v>2173</v>
      </c>
      <c r="J392" s="0" t="s">
        <v>2174</v>
      </c>
      <c r="K392" s="0" t="s">
        <v>175</v>
      </c>
      <c r="L392" s="0"/>
      <c r="M392" s="0" t="s">
        <v>2175</v>
      </c>
      <c r="N392" s="0" t="str">
        <f aca="false">RIGHT(M392,LEN(M392)-FIND(" ",M392))</f>
        <v>BONNIE BRAE AVE NE</v>
      </c>
      <c r="P392" s="0" t="s">
        <v>146</v>
      </c>
      <c r="Q392" s="0" t="s">
        <v>147</v>
      </c>
      <c r="R392" s="0" t="n">
        <v>44483</v>
      </c>
      <c r="AD392" s="0" t="s">
        <v>148</v>
      </c>
      <c r="AE392" s="0" t="s">
        <v>149</v>
      </c>
      <c r="AF392" s="0" t="s">
        <v>150</v>
      </c>
      <c r="AH392" s="0" t="n">
        <v>14</v>
      </c>
      <c r="AI392" s="0" t="n">
        <v>11</v>
      </c>
      <c r="AN392" s="0" t="s">
        <v>146</v>
      </c>
      <c r="AO392" s="0" t="s">
        <v>236</v>
      </c>
      <c r="AP392" s="0" t="s">
        <v>237</v>
      </c>
      <c r="AQ392" s="0" t="n">
        <v>9</v>
      </c>
      <c r="AR392" s="0" t="n">
        <v>64</v>
      </c>
      <c r="AS392" s="0" t="n">
        <v>32</v>
      </c>
      <c r="AU392" s="0" t="n">
        <f aca="false">COUNTA($BA$189:$EH$189)</f>
        <v>15</v>
      </c>
      <c r="AV392" s="0" t="n">
        <f aca="false">COUNTIF($BA$189:$EH$189,"D")</f>
        <v>2</v>
      </c>
      <c r="AW392" s="0" t="n">
        <f aca="false">COUNTIF($BA$189:$EH$189,"R")</f>
        <v>0</v>
      </c>
      <c r="AX392" s="0" t="n">
        <f aca="false"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>0</v>
      </c>
      <c r="AY392" s="0" t="n">
        <f aca="false">COUNTIF(DU392:EH392, "&lt;&gt;")</f>
        <v>1</v>
      </c>
      <c r="AZ392" s="0" t="n">
        <f aca="false">IF(EH392&lt;&gt;"",1,0)</f>
        <v>0</v>
      </c>
      <c r="BB392" s="0" t="s">
        <v>153</v>
      </c>
      <c r="CP392" s="0" t="s">
        <v>154</v>
      </c>
      <c r="EF392" s="0" t="s">
        <v>154</v>
      </c>
    </row>
    <row r="393" customFormat="false" ht="13.8" hidden="true" customHeight="false" outlineLevel="0" collapsed="false">
      <c r="A393" s="0" t="s">
        <v>2176</v>
      </c>
      <c r="B393" s="0" t="n">
        <v>78</v>
      </c>
      <c r="C393" s="0" t="n">
        <v>491584</v>
      </c>
      <c r="D393" s="0" t="s">
        <v>2171</v>
      </c>
      <c r="E393" s="0" t="s">
        <v>750</v>
      </c>
      <c r="F393" s="0" t="str">
        <f aca="false">CONCATENATE(D393," ",LEFT(H393,4),"T=",AU393,"D=",AV393,"R=",AW393,"M=",AX393,"L=",AY393,"B=",AZ393)</f>
        <v>MORRIS T=1D=0R=0M=0L=1B=0</v>
      </c>
      <c r="G393" s="0" t="s">
        <v>429</v>
      </c>
      <c r="I393" s="0" t="s">
        <v>2177</v>
      </c>
      <c r="J393" s="0" t="s">
        <v>2178</v>
      </c>
      <c r="K393" s="0" t="s">
        <v>175</v>
      </c>
      <c r="L393" s="0"/>
      <c r="M393" s="0" t="s">
        <v>2175</v>
      </c>
      <c r="N393" s="0" t="str">
        <f aca="false">RIGHT(M393,LEN(M393)-FIND(" ",M393))</f>
        <v>BONNIE BRAE AVE NE</v>
      </c>
      <c r="P393" s="0" t="s">
        <v>146</v>
      </c>
      <c r="Q393" s="0" t="s">
        <v>147</v>
      </c>
      <c r="R393" s="0" t="n">
        <v>44483</v>
      </c>
      <c r="AD393" s="0" t="s">
        <v>148</v>
      </c>
      <c r="AE393" s="0" t="s">
        <v>149</v>
      </c>
      <c r="AF393" s="0" t="s">
        <v>150</v>
      </c>
      <c r="AH393" s="0" t="n">
        <v>14</v>
      </c>
      <c r="AI393" s="0" t="n">
        <v>11</v>
      </c>
      <c r="AN393" s="0" t="s">
        <v>146</v>
      </c>
      <c r="AO393" s="0" t="s">
        <v>236</v>
      </c>
      <c r="AP393" s="0" t="s">
        <v>237</v>
      </c>
      <c r="AQ393" s="0" t="n">
        <v>9</v>
      </c>
      <c r="AR393" s="0" t="n">
        <v>64</v>
      </c>
      <c r="AS393" s="0" t="n">
        <v>32</v>
      </c>
      <c r="AU393" s="0" t="n">
        <f aca="false">COUNTA($BA$606:$EH$606)</f>
        <v>1</v>
      </c>
      <c r="AV393" s="0" t="n">
        <f aca="false">COUNTIF($BA$606:$EH$606,"D")</f>
        <v>0</v>
      </c>
      <c r="AW393" s="0" t="n">
        <f aca="false">COUNTIF($BA$606:$EH$606,"R")</f>
        <v>0</v>
      </c>
      <c r="AX393" s="0" t="n">
        <f aca="false"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>0</v>
      </c>
      <c r="AY393" s="0" t="n">
        <f aca="false">COUNTIF(DU393:EH393, "&lt;&gt;")</f>
        <v>1</v>
      </c>
      <c r="AZ393" s="0" t="n">
        <f aca="false">IF(EH393&lt;&gt;"",1,0)</f>
        <v>0</v>
      </c>
      <c r="BB393" s="0" t="s">
        <v>153</v>
      </c>
      <c r="EF393" s="0" t="s">
        <v>154</v>
      </c>
    </row>
    <row r="394" customFormat="false" ht="13.8" hidden="false" customHeight="false" outlineLevel="0" collapsed="false">
      <c r="A394" s="0" t="s">
        <v>2179</v>
      </c>
      <c r="B394" s="0" t="n">
        <v>78</v>
      </c>
      <c r="C394" s="0" t="n">
        <v>193598</v>
      </c>
      <c r="D394" s="0" t="s">
        <v>2180</v>
      </c>
      <c r="E394" s="0" t="s">
        <v>2181</v>
      </c>
      <c r="F394" s="0" t="str">
        <f aca="false">CONCATENATE(D394," ",LEFT(H394,4),"T=",AU394,"D=",AV394,"R=",AW394,"M=",AX394,"L=",AY394,"B=",AZ394)</f>
        <v>MECHLING T=26D=1R=4M=0L=4B=0</v>
      </c>
      <c r="G394" s="0" t="s">
        <v>241</v>
      </c>
      <c r="I394" s="0" t="s">
        <v>2182</v>
      </c>
      <c r="J394" s="0" t="s">
        <v>814</v>
      </c>
      <c r="K394" s="0" t="s">
        <v>175</v>
      </c>
      <c r="M394" s="0" t="s">
        <v>2183</v>
      </c>
      <c r="N394" s="0" t="str">
        <f aca="false">RIGHT(M394,LEN(M394)-FIND(" ",M394))</f>
        <v>BONNIE BRAE AVE NE</v>
      </c>
      <c r="P394" s="0" t="s">
        <v>146</v>
      </c>
      <c r="Q394" s="0" t="s">
        <v>147</v>
      </c>
      <c r="R394" s="0" t="n">
        <v>44483</v>
      </c>
      <c r="AD394" s="0" t="s">
        <v>148</v>
      </c>
      <c r="AE394" s="0" t="s">
        <v>149</v>
      </c>
      <c r="AF394" s="0" t="s">
        <v>150</v>
      </c>
      <c r="AH394" s="0" t="n">
        <v>14</v>
      </c>
      <c r="AI394" s="0" t="n">
        <v>11</v>
      </c>
      <c r="AN394" s="0" t="s">
        <v>146</v>
      </c>
      <c r="AO394" s="0" t="s">
        <v>236</v>
      </c>
      <c r="AP394" s="0" t="s">
        <v>237</v>
      </c>
      <c r="AQ394" s="0" t="n">
        <v>9</v>
      </c>
      <c r="AR394" s="0" t="n">
        <v>64</v>
      </c>
      <c r="AS394" s="0" t="n">
        <v>32</v>
      </c>
      <c r="AU394" s="0" t="n">
        <f aca="false">COUNTA($BA$5:$EH$5)</f>
        <v>26</v>
      </c>
      <c r="AV394" s="0" t="n">
        <f aca="false">COUNTIF($BA$5:$EH$5,"D")</f>
        <v>1</v>
      </c>
      <c r="AW394" s="0" t="n">
        <f aca="false">COUNTIF($BA$5:$EH$5,"R")</f>
        <v>4</v>
      </c>
      <c r="AX394" s="0" t="n">
        <f aca="false"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>0</v>
      </c>
      <c r="AY394" s="0" t="n">
        <f aca="false">COUNTIF(DU394:EH394, "&lt;&gt;")</f>
        <v>4</v>
      </c>
      <c r="AZ394" s="0" t="n">
        <f aca="false">IF(EH394&lt;&gt;"",1,0)</f>
        <v>0</v>
      </c>
      <c r="BB394" s="0" t="s">
        <v>153</v>
      </c>
      <c r="BD394" s="0" t="s">
        <v>154</v>
      </c>
      <c r="BL394" s="0" t="s">
        <v>154</v>
      </c>
      <c r="CP394" s="0" t="s">
        <v>154</v>
      </c>
      <c r="DI394" s="0" t="s">
        <v>154</v>
      </c>
      <c r="DN394" s="0" t="s">
        <v>154</v>
      </c>
      <c r="DU394" s="0" t="s">
        <v>154</v>
      </c>
      <c r="DX394" s="0" t="s">
        <v>154</v>
      </c>
      <c r="EA394" s="0" t="s">
        <v>154</v>
      </c>
      <c r="EF394" s="0" t="s">
        <v>154</v>
      </c>
    </row>
    <row r="395" customFormat="false" ht="13.8" hidden="true" customHeight="false" outlineLevel="0" collapsed="false">
      <c r="A395" s="0" t="s">
        <v>2184</v>
      </c>
      <c r="B395" s="0" t="n">
        <v>78</v>
      </c>
      <c r="C395" s="0" t="n">
        <v>346764</v>
      </c>
      <c r="D395" s="0" t="s">
        <v>2185</v>
      </c>
      <c r="E395" s="0" t="s">
        <v>2186</v>
      </c>
      <c r="F395" s="0" t="str">
        <f aca="false">CONCATENATE(D395," ",LEFT(H395,4),"T=",AU395,"D=",AV395,"R=",AW395,"M=",AX395,"L=",AY395,"B=",AZ395)</f>
        <v>TEASLEY T=10D=2R=0M=0L=1B=0</v>
      </c>
      <c r="G395" s="0" t="s">
        <v>2187</v>
      </c>
      <c r="I395" s="0" t="s">
        <v>197</v>
      </c>
      <c r="J395" s="0" t="s">
        <v>2188</v>
      </c>
      <c r="K395" s="0" t="s">
        <v>175</v>
      </c>
      <c r="L395" s="0"/>
      <c r="M395" s="0" t="s">
        <v>2183</v>
      </c>
      <c r="N395" s="0" t="str">
        <f aca="false">RIGHT(M395,LEN(M395)-FIND(" ",M395))</f>
        <v>BONNIE BRAE AVE NE</v>
      </c>
      <c r="P395" s="0" t="s">
        <v>146</v>
      </c>
      <c r="Q395" s="0" t="s">
        <v>147</v>
      </c>
      <c r="R395" s="0" t="n">
        <v>44483</v>
      </c>
      <c r="AD395" s="0" t="s">
        <v>148</v>
      </c>
      <c r="AE395" s="0" t="s">
        <v>149</v>
      </c>
      <c r="AF395" s="0" t="s">
        <v>150</v>
      </c>
      <c r="AH395" s="0" t="n">
        <v>14</v>
      </c>
      <c r="AI395" s="0" t="n">
        <v>11</v>
      </c>
      <c r="AN395" s="0" t="s">
        <v>146</v>
      </c>
      <c r="AO395" s="0" t="s">
        <v>236</v>
      </c>
      <c r="AP395" s="0" t="s">
        <v>237</v>
      </c>
      <c r="AQ395" s="0" t="n">
        <v>9</v>
      </c>
      <c r="AR395" s="0" t="n">
        <v>64</v>
      </c>
      <c r="AS395" s="0" t="n">
        <v>32</v>
      </c>
      <c r="AU395" s="0" t="n">
        <f aca="false">COUNTA($BA$395:$EH$395)</f>
        <v>10</v>
      </c>
      <c r="AV395" s="0" t="n">
        <f aca="false">COUNTIF($BA$395:$EH$395,"D")</f>
        <v>2</v>
      </c>
      <c r="AW395" s="0" t="n">
        <f aca="false">COUNTIF($BA$395:$EH$395,"R")</f>
        <v>0</v>
      </c>
      <c r="AX395" s="0" t="n">
        <f aca="false"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>0</v>
      </c>
      <c r="AY395" s="0" t="n">
        <f aca="false">COUNTIF(DU395:EH395, "&lt;&gt;")</f>
        <v>1</v>
      </c>
      <c r="AZ395" s="0" t="n">
        <f aca="false">IF(EH395&lt;&gt;"",1,0)</f>
        <v>0</v>
      </c>
      <c r="BB395" s="0" t="s">
        <v>153</v>
      </c>
      <c r="CO395" s="0" t="s">
        <v>155</v>
      </c>
      <c r="CP395" s="0" t="s">
        <v>154</v>
      </c>
      <c r="CV395" s="0" t="s">
        <v>154</v>
      </c>
      <c r="CY395" s="0" t="s">
        <v>154</v>
      </c>
      <c r="DC395" s="0" t="s">
        <v>154</v>
      </c>
      <c r="DF395" s="0" t="s">
        <v>154</v>
      </c>
      <c r="DM395" s="0" t="s">
        <v>155</v>
      </c>
      <c r="DN395" s="0" t="s">
        <v>154</v>
      </c>
      <c r="EF395" s="0" t="s">
        <v>154</v>
      </c>
    </row>
    <row r="396" customFormat="false" ht="13.8" hidden="true" customHeight="false" outlineLevel="0" collapsed="false">
      <c r="A396" s="0" t="s">
        <v>2189</v>
      </c>
      <c r="B396" s="0" t="n">
        <v>78</v>
      </c>
      <c r="C396" s="0" t="n">
        <v>465435</v>
      </c>
      <c r="D396" s="0" t="s">
        <v>2185</v>
      </c>
      <c r="E396" s="0" t="s">
        <v>2190</v>
      </c>
      <c r="F396" s="0" t="str">
        <f aca="false">CONCATENATE(D396," ",LEFT(H396,4),"T=",AU396,"D=",AV396,"R=",AW396,"M=",AX396,"L=",AY396,"B=",AZ396)</f>
        <v>TEASLEY T=1D=0R=0M=0L=0B=0</v>
      </c>
      <c r="G396" s="0" t="s">
        <v>2191</v>
      </c>
      <c r="I396" s="0" t="s">
        <v>2192</v>
      </c>
      <c r="J396" s="0" t="s">
        <v>2193</v>
      </c>
      <c r="K396" s="0" t="s">
        <v>175</v>
      </c>
      <c r="L396" s="0"/>
      <c r="M396" s="0" t="s">
        <v>2183</v>
      </c>
      <c r="N396" s="0" t="str">
        <f aca="false">RIGHT(M396,LEN(M396)-FIND(" ",M396))</f>
        <v>BONNIE BRAE AVE NE</v>
      </c>
      <c r="P396" s="0" t="s">
        <v>146</v>
      </c>
      <c r="Q396" s="0" t="s">
        <v>147</v>
      </c>
      <c r="R396" s="0" t="n">
        <v>44483</v>
      </c>
      <c r="AD396" s="0" t="s">
        <v>148</v>
      </c>
      <c r="AE396" s="0" t="s">
        <v>149</v>
      </c>
      <c r="AF396" s="0" t="s">
        <v>150</v>
      </c>
      <c r="AH396" s="0" t="n">
        <v>14</v>
      </c>
      <c r="AI396" s="0" t="n">
        <v>11</v>
      </c>
      <c r="AN396" s="0" t="s">
        <v>146</v>
      </c>
      <c r="AO396" s="0" t="s">
        <v>236</v>
      </c>
      <c r="AP396" s="0" t="s">
        <v>237</v>
      </c>
      <c r="AQ396" s="0" t="n">
        <v>9</v>
      </c>
      <c r="AR396" s="0" t="n">
        <v>64</v>
      </c>
      <c r="AS396" s="0" t="n">
        <v>32</v>
      </c>
      <c r="AU396" s="0" t="n">
        <f aca="false">COUNTA($BA$574:$EH$574)</f>
        <v>1</v>
      </c>
      <c r="AV396" s="0" t="n">
        <f aca="false">COUNTIF($BA$574:$EH$574,"D")</f>
        <v>0</v>
      </c>
      <c r="AW396" s="0" t="n">
        <f aca="false">COUNTIF($BA$574:$EH$574,"R")</f>
        <v>0</v>
      </c>
      <c r="AX396" s="0" t="n">
        <f aca="false"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>0</v>
      </c>
      <c r="AY396" s="0" t="n">
        <f aca="false">COUNTIF(DU396:EH396, "&lt;&gt;")</f>
        <v>0</v>
      </c>
      <c r="AZ396" s="0" t="n">
        <f aca="false">IF(EH396&lt;&gt;"",1,0)</f>
        <v>0</v>
      </c>
      <c r="BB396" s="0" t="s">
        <v>153</v>
      </c>
    </row>
    <row r="397" customFormat="false" ht="13.8" hidden="true" customHeight="false" outlineLevel="0" collapsed="false">
      <c r="A397" s="0" t="s">
        <v>2194</v>
      </c>
      <c r="B397" s="0" t="n">
        <v>78</v>
      </c>
      <c r="C397" s="0" t="n">
        <v>465169</v>
      </c>
      <c r="D397" s="0" t="s">
        <v>931</v>
      </c>
      <c r="E397" s="0" t="s">
        <v>2195</v>
      </c>
      <c r="F397" s="0" t="str">
        <f aca="false">CONCATENATE(D397," ",LEFT(H397,4),"T=",AU397,"D=",AV397,"R=",AW397,"M=",AX397,"L=",AY397,"B=",AZ397)</f>
        <v>BAKER T=3D=0R=0M=0L=0B=0</v>
      </c>
      <c r="G397" s="0" t="s">
        <v>455</v>
      </c>
      <c r="I397" s="0" t="s">
        <v>2196</v>
      </c>
      <c r="J397" s="0" t="s">
        <v>2197</v>
      </c>
      <c r="K397" s="0" t="s">
        <v>144</v>
      </c>
      <c r="L397" s="0"/>
      <c r="M397" s="0" t="s">
        <v>2198</v>
      </c>
      <c r="N397" s="0" t="str">
        <f aca="false">RIGHT(M397,LEN(M397)-FIND(" ",M397))</f>
        <v>BONNIE BRAE AVE NE</v>
      </c>
      <c r="P397" s="0" t="s">
        <v>146</v>
      </c>
      <c r="Q397" s="0" t="s">
        <v>147</v>
      </c>
      <c r="R397" s="0" t="n">
        <v>44483</v>
      </c>
      <c r="AD397" s="0" t="s">
        <v>148</v>
      </c>
      <c r="AE397" s="0" t="s">
        <v>149</v>
      </c>
      <c r="AF397" s="0" t="s">
        <v>150</v>
      </c>
      <c r="AH397" s="0" t="n">
        <v>14</v>
      </c>
      <c r="AI397" s="0" t="n">
        <v>11</v>
      </c>
      <c r="AN397" s="0" t="s">
        <v>146</v>
      </c>
      <c r="AO397" s="0" t="s">
        <v>236</v>
      </c>
      <c r="AP397" s="0" t="s">
        <v>237</v>
      </c>
      <c r="AQ397" s="0" t="n">
        <v>9</v>
      </c>
      <c r="AR397" s="0" t="n">
        <v>64</v>
      </c>
      <c r="AS397" s="0" t="n">
        <v>32</v>
      </c>
      <c r="AU397" s="0" t="n">
        <f aca="false">COUNTA($BA$233:$EH$233)</f>
        <v>3</v>
      </c>
      <c r="AV397" s="0" t="n">
        <f aca="false">COUNTIF($BA$233:$EH$233,"D")</f>
        <v>0</v>
      </c>
      <c r="AW397" s="0" t="n">
        <f aca="false">COUNTIF($BA$233:$EH$233,"R")</f>
        <v>0</v>
      </c>
      <c r="AX397" s="0" t="n">
        <f aca="false"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>0</v>
      </c>
      <c r="AY397" s="0" t="n">
        <f aca="false">COUNTIF(DU397:EH397, "&lt;&gt;")</f>
        <v>0</v>
      </c>
      <c r="AZ397" s="0" t="n">
        <f aca="false">IF(EH397&lt;&gt;"",1,0)</f>
        <v>0</v>
      </c>
      <c r="BB397" s="0" t="s">
        <v>153</v>
      </c>
    </row>
    <row r="398" customFormat="false" ht="13.8" hidden="true" customHeight="false" outlineLevel="0" collapsed="false">
      <c r="A398" s="0" t="s">
        <v>2199</v>
      </c>
      <c r="B398" s="0" t="n">
        <v>78</v>
      </c>
      <c r="C398" s="0" t="n">
        <v>374203</v>
      </c>
      <c r="D398" s="0" t="s">
        <v>2200</v>
      </c>
      <c r="E398" s="0" t="s">
        <v>180</v>
      </c>
      <c r="F398" s="0" t="str">
        <f aca="false">CONCATENATE(D398," ",LEFT(H398,4),"T=",AU398,"D=",AV398,"R=",AW398,"M=",AX398,"L=",AY398,"B=",AZ398)</f>
        <v>STEVEY T=18D=3R=0M=0L=0B=0</v>
      </c>
      <c r="G398" s="0" t="s">
        <v>297</v>
      </c>
      <c r="I398" s="0" t="s">
        <v>2201</v>
      </c>
      <c r="J398" s="0" t="s">
        <v>2202</v>
      </c>
      <c r="K398" s="0" t="s">
        <v>144</v>
      </c>
      <c r="L398" s="0"/>
      <c r="M398" s="0" t="s">
        <v>2198</v>
      </c>
      <c r="N398" s="0" t="str">
        <f aca="false">RIGHT(M398,LEN(M398)-FIND(" ",M398))</f>
        <v>BONNIE BRAE AVE NE</v>
      </c>
      <c r="P398" s="0" t="s">
        <v>146</v>
      </c>
      <c r="Q398" s="0" t="s">
        <v>147</v>
      </c>
      <c r="R398" s="0" t="n">
        <v>44483</v>
      </c>
      <c r="AD398" s="0" t="s">
        <v>148</v>
      </c>
      <c r="AE398" s="0" t="s">
        <v>149</v>
      </c>
      <c r="AF398" s="0" t="s">
        <v>150</v>
      </c>
      <c r="AH398" s="0" t="n">
        <v>14</v>
      </c>
      <c r="AI398" s="0" t="n">
        <v>11</v>
      </c>
      <c r="AN398" s="0" t="s">
        <v>146</v>
      </c>
      <c r="AO398" s="0" t="s">
        <v>236</v>
      </c>
      <c r="AP398" s="0" t="s">
        <v>237</v>
      </c>
      <c r="AQ398" s="0" t="n">
        <v>9</v>
      </c>
      <c r="AR398" s="0" t="n">
        <v>64</v>
      </c>
      <c r="AS398" s="0" t="n">
        <v>32</v>
      </c>
      <c r="AU398" s="0" t="n">
        <f aca="false">COUNTA($BA$936:$EH$936)</f>
        <v>18</v>
      </c>
      <c r="AV398" s="0" t="n">
        <f aca="false">COUNTIF($BA$936:$EH$936,"D")</f>
        <v>3</v>
      </c>
      <c r="AW398" s="0" t="n">
        <f aca="false">COUNTIF($BA$936:$EH$936,"R")</f>
        <v>0</v>
      </c>
      <c r="AX398" s="0" t="n">
        <f aca="false"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>0</v>
      </c>
      <c r="AY398" s="0" t="n">
        <f aca="false">COUNTIF(DU398:EH398, "&lt;&gt;")</f>
        <v>0</v>
      </c>
      <c r="AZ398" s="0" t="n">
        <f aca="false">IF(EH398&lt;&gt;"",1,0)</f>
        <v>0</v>
      </c>
      <c r="BB398" s="0" t="s">
        <v>153</v>
      </c>
      <c r="BJ398" s="0" t="s">
        <v>154</v>
      </c>
      <c r="BK398" s="0" t="s">
        <v>154</v>
      </c>
      <c r="BL398" s="0" t="s">
        <v>154</v>
      </c>
      <c r="BP398" s="0" t="s">
        <v>154</v>
      </c>
      <c r="CA398" s="0" t="s">
        <v>154</v>
      </c>
      <c r="CK398" s="0" t="s">
        <v>154</v>
      </c>
      <c r="CN398" s="0" t="s">
        <v>154</v>
      </c>
      <c r="CO398" s="0" t="s">
        <v>155</v>
      </c>
      <c r="CP398" s="0" t="s">
        <v>154</v>
      </c>
      <c r="CT398" s="0" t="s">
        <v>154</v>
      </c>
      <c r="CY398" s="0" t="s">
        <v>154</v>
      </c>
      <c r="CZ398" s="0" t="s">
        <v>155</v>
      </c>
      <c r="DC398" s="0" t="s">
        <v>154</v>
      </c>
    </row>
    <row r="399" customFormat="false" ht="13.8" hidden="true" customHeight="false" outlineLevel="0" collapsed="false">
      <c r="A399" s="0" t="s">
        <v>2203</v>
      </c>
      <c r="B399" s="0" t="n">
        <v>78</v>
      </c>
      <c r="C399" s="0" t="n">
        <v>316840</v>
      </c>
      <c r="D399" s="0" t="s">
        <v>2204</v>
      </c>
      <c r="E399" s="0" t="s">
        <v>195</v>
      </c>
      <c r="F399" s="0" t="str">
        <f aca="false">CONCATENATE(D399," ",LEFT(H399,4),"T=",AU399,"D=",AV399,"R=",AW399,"M=",AX399,"L=",AY399,"B=",AZ399)</f>
        <v>BOLINO T=1D=0R=0M=0L=0B=0</v>
      </c>
      <c r="G399" s="0" t="s">
        <v>297</v>
      </c>
      <c r="I399" s="0" t="s">
        <v>2205</v>
      </c>
      <c r="J399" s="0" t="s">
        <v>2206</v>
      </c>
      <c r="K399" s="0" t="s">
        <v>144</v>
      </c>
      <c r="L399" s="0"/>
      <c r="M399" s="0" t="s">
        <v>2207</v>
      </c>
      <c r="N399" s="0" t="str">
        <f aca="false">RIGHT(M399,LEN(M399)-FIND(" ",M399))</f>
        <v>BONNIE BRAE AVE NE</v>
      </c>
      <c r="P399" s="0" t="s">
        <v>146</v>
      </c>
      <c r="Q399" s="0" t="s">
        <v>147</v>
      </c>
      <c r="R399" s="0" t="n">
        <v>44483</v>
      </c>
      <c r="AD399" s="0" t="s">
        <v>148</v>
      </c>
      <c r="AE399" s="0" t="s">
        <v>149</v>
      </c>
      <c r="AF399" s="0" t="s">
        <v>150</v>
      </c>
      <c r="AH399" s="0" t="n">
        <v>14</v>
      </c>
      <c r="AI399" s="0" t="n">
        <v>11</v>
      </c>
      <c r="AN399" s="0" t="s">
        <v>146</v>
      </c>
      <c r="AO399" s="0" t="s">
        <v>236</v>
      </c>
      <c r="AP399" s="0" t="s">
        <v>237</v>
      </c>
      <c r="AQ399" s="0" t="n">
        <v>9</v>
      </c>
      <c r="AR399" s="0" t="n">
        <v>64</v>
      </c>
      <c r="AS399" s="0" t="n">
        <v>32</v>
      </c>
      <c r="AU399" s="0" t="n">
        <f aca="false">COUNTA($BA$921:$EH$921)</f>
        <v>1</v>
      </c>
      <c r="AV399" s="0" t="n">
        <f aca="false">COUNTIF($BA$921:$EH$921,"D")</f>
        <v>0</v>
      </c>
      <c r="AW399" s="0" t="n">
        <f aca="false">COUNTIF($BA$921:$EH$921,"R")</f>
        <v>0</v>
      </c>
      <c r="AX399" s="0" t="n">
        <f aca="false"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>0</v>
      </c>
      <c r="AY399" s="0" t="n">
        <f aca="false">COUNTIF(DU399:EH399, "&lt;&gt;")</f>
        <v>0</v>
      </c>
      <c r="AZ399" s="0" t="n">
        <f aca="false">IF(EH399&lt;&gt;"",1,0)</f>
        <v>0</v>
      </c>
      <c r="BB399" s="0" t="s">
        <v>153</v>
      </c>
    </row>
    <row r="400" customFormat="false" ht="13.8" hidden="false" customHeight="false" outlineLevel="0" collapsed="false">
      <c r="A400" s="0" t="s">
        <v>2208</v>
      </c>
      <c r="B400" s="0" t="n">
        <v>78</v>
      </c>
      <c r="C400" s="0" t="n">
        <v>136061</v>
      </c>
      <c r="D400" s="0" t="s">
        <v>2204</v>
      </c>
      <c r="E400" s="0" t="s">
        <v>2209</v>
      </c>
      <c r="F400" s="0" t="str">
        <f aca="false">CONCATENATE(D400," ",LEFT(H400,4),"T=",AU400,"D=",AV400,"R=",AW400,"M=",AX400,"L=",AY400,"B=",AZ400)</f>
        <v>BOLINO T=9D=1R=1M=9L=7B=1</v>
      </c>
      <c r="G400" s="0" t="s">
        <v>188</v>
      </c>
      <c r="I400" s="0" t="s">
        <v>2210</v>
      </c>
      <c r="J400" s="0" t="s">
        <v>2211</v>
      </c>
      <c r="K400" s="0" t="s">
        <v>175</v>
      </c>
      <c r="L400" s="1" t="s">
        <v>155</v>
      </c>
      <c r="M400" s="0" t="s">
        <v>2207</v>
      </c>
      <c r="N400" s="0" t="str">
        <f aca="false">RIGHT(M400,LEN(M400)-FIND(" ",M400))</f>
        <v>BONNIE BRAE AVE NE</v>
      </c>
      <c r="P400" s="0" t="s">
        <v>146</v>
      </c>
      <c r="Q400" s="0" t="s">
        <v>147</v>
      </c>
      <c r="R400" s="0" t="n">
        <v>44483</v>
      </c>
      <c r="AD400" s="0" t="s">
        <v>148</v>
      </c>
      <c r="AE400" s="0" t="s">
        <v>149</v>
      </c>
      <c r="AF400" s="0" t="s">
        <v>150</v>
      </c>
      <c r="AH400" s="0" t="n">
        <v>14</v>
      </c>
      <c r="AI400" s="0" t="n">
        <v>11</v>
      </c>
      <c r="AN400" s="0" t="s">
        <v>146</v>
      </c>
      <c r="AO400" s="0" t="s">
        <v>236</v>
      </c>
      <c r="AP400" s="0" t="s">
        <v>237</v>
      </c>
      <c r="AQ400" s="0" t="n">
        <v>9</v>
      </c>
      <c r="AR400" s="0" t="n">
        <v>64</v>
      </c>
      <c r="AS400" s="0" t="n">
        <v>32</v>
      </c>
      <c r="AU400" s="0" t="n">
        <f aca="false">COUNTA($BA$940:$EH$940)</f>
        <v>9</v>
      </c>
      <c r="AV400" s="0" t="n">
        <f aca="false">COUNTIF($BA$940:$EH$940,"D")</f>
        <v>1</v>
      </c>
      <c r="AW400" s="0" t="n">
        <f aca="false">COUNTIF($BA$940:$EH$940,"R")</f>
        <v>1</v>
      </c>
      <c r="AX400" s="0" t="n">
        <f aca="false"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>9</v>
      </c>
      <c r="AY400" s="0" t="n">
        <f aca="false">COUNTIF(DU400:EH400, "&lt;&gt;")</f>
        <v>7</v>
      </c>
      <c r="AZ400" s="0" t="n">
        <f aca="false">IF(EH400&lt;&gt;"",1,0)</f>
        <v>1</v>
      </c>
      <c r="BB400" s="0" t="s">
        <v>153</v>
      </c>
      <c r="BC400" s="0" t="s">
        <v>154</v>
      </c>
      <c r="BD400" s="0" t="s">
        <v>154</v>
      </c>
      <c r="BE400" s="0" t="s">
        <v>154</v>
      </c>
      <c r="BF400" s="0" t="s">
        <v>154</v>
      </c>
      <c r="BG400" s="0" t="s">
        <v>154</v>
      </c>
      <c r="BH400" s="0" t="s">
        <v>154</v>
      </c>
      <c r="BI400" s="0" t="s">
        <v>154</v>
      </c>
      <c r="BJ400" s="0" t="s">
        <v>154</v>
      </c>
      <c r="BK400" s="0" t="s">
        <v>154</v>
      </c>
      <c r="BL400" s="0" t="s">
        <v>154</v>
      </c>
      <c r="BP400" s="0" t="s">
        <v>154</v>
      </c>
      <c r="BR400" s="0" t="s">
        <v>154</v>
      </c>
      <c r="BS400" s="0" t="s">
        <v>154</v>
      </c>
      <c r="BV400" s="0" t="s">
        <v>154</v>
      </c>
      <c r="BY400" s="0" t="s">
        <v>155</v>
      </c>
      <c r="CA400" s="0" t="s">
        <v>154</v>
      </c>
      <c r="CC400" s="0" t="s">
        <v>155</v>
      </c>
      <c r="CG400" s="0" t="s">
        <v>154</v>
      </c>
      <c r="CH400" s="0" t="s">
        <v>155</v>
      </c>
      <c r="CK400" s="0" t="s">
        <v>154</v>
      </c>
      <c r="CL400" s="0" t="s">
        <v>155</v>
      </c>
      <c r="CN400" s="0" t="s">
        <v>154</v>
      </c>
      <c r="CO400" s="0" t="s">
        <v>155</v>
      </c>
      <c r="CP400" s="0" t="s">
        <v>154</v>
      </c>
      <c r="CQ400" s="0" t="s">
        <v>155</v>
      </c>
      <c r="CT400" s="0" t="s">
        <v>154</v>
      </c>
      <c r="CV400" s="0" t="s">
        <v>154</v>
      </c>
      <c r="CW400" s="0" t="s">
        <v>155</v>
      </c>
      <c r="CY400" s="0" t="s">
        <v>154</v>
      </c>
      <c r="CZ400" s="0" t="s">
        <v>155</v>
      </c>
      <c r="DC400" s="0" t="s">
        <v>154</v>
      </c>
      <c r="DD400" s="0" t="s">
        <v>155</v>
      </c>
      <c r="DF400" s="0" t="s">
        <v>154</v>
      </c>
      <c r="DG400" s="0" t="s">
        <v>155</v>
      </c>
      <c r="DI400" s="0" t="s">
        <v>154</v>
      </c>
      <c r="DJ400" s="0" t="s">
        <v>155</v>
      </c>
      <c r="DL400" s="0" t="s">
        <v>154</v>
      </c>
      <c r="DN400" s="0" t="s">
        <v>154</v>
      </c>
      <c r="DO400" s="0" t="s">
        <v>155</v>
      </c>
      <c r="DR400" s="0" t="s">
        <v>154</v>
      </c>
      <c r="DS400" s="0" t="s">
        <v>155</v>
      </c>
      <c r="DT400" s="0" t="s">
        <v>155</v>
      </c>
      <c r="DU400" s="0" t="s">
        <v>154</v>
      </c>
      <c r="DW400" s="0" t="s">
        <v>155</v>
      </c>
      <c r="DX400" s="0" t="s">
        <v>154</v>
      </c>
      <c r="EA400" s="0" t="s">
        <v>154</v>
      </c>
      <c r="ED400" s="0" t="s">
        <v>155</v>
      </c>
      <c r="EF400" s="0" t="s">
        <v>154</v>
      </c>
      <c r="EH400" s="0" t="s">
        <v>155</v>
      </c>
    </row>
    <row r="401" customFormat="false" ht="13.8" hidden="false" customHeight="false" outlineLevel="0" collapsed="false">
      <c r="A401" s="0" t="s">
        <v>2212</v>
      </c>
      <c r="B401" s="0" t="n">
        <v>78</v>
      </c>
      <c r="C401" s="0" t="n">
        <v>448184</v>
      </c>
      <c r="D401" s="0" t="s">
        <v>848</v>
      </c>
      <c r="E401" s="0" t="s">
        <v>2213</v>
      </c>
      <c r="F401" s="0" t="str">
        <f aca="false">CONCATENATE(D401," ",LEFT(H401,4),"T=",AU401,"D=",AV401,"R=",AW401,"M=",AX401,"L=",AY401,"B=",AZ401)</f>
        <v>CHANEY T=12D=0R=3M=0L=6B=1</v>
      </c>
      <c r="G401" s="0" t="s">
        <v>176</v>
      </c>
      <c r="I401" s="0" t="s">
        <v>2214</v>
      </c>
      <c r="J401" s="0" t="s">
        <v>2215</v>
      </c>
      <c r="K401" s="0" t="s">
        <v>175</v>
      </c>
      <c r="L401" s="1" t="s">
        <v>176</v>
      </c>
      <c r="M401" s="0" t="s">
        <v>2216</v>
      </c>
      <c r="N401" s="0" t="str">
        <f aca="false">RIGHT(M401,LEN(M401)-FIND(" ",M401))</f>
        <v>BONNIE BRAE AVE NE</v>
      </c>
      <c r="P401" s="0" t="s">
        <v>146</v>
      </c>
      <c r="Q401" s="0" t="s">
        <v>147</v>
      </c>
      <c r="R401" s="0" t="n">
        <v>44483</v>
      </c>
      <c r="AD401" s="0" t="s">
        <v>148</v>
      </c>
      <c r="AE401" s="0" t="s">
        <v>149</v>
      </c>
      <c r="AF401" s="0" t="s">
        <v>150</v>
      </c>
      <c r="AH401" s="0" t="n">
        <v>14</v>
      </c>
      <c r="AI401" s="0" t="n">
        <v>11</v>
      </c>
      <c r="AN401" s="0" t="s">
        <v>146</v>
      </c>
      <c r="AO401" s="0" t="s">
        <v>236</v>
      </c>
      <c r="AP401" s="0" t="s">
        <v>237</v>
      </c>
      <c r="AQ401" s="0" t="n">
        <v>9</v>
      </c>
      <c r="AR401" s="0" t="n">
        <v>64</v>
      </c>
      <c r="AS401" s="0" t="n">
        <v>32</v>
      </c>
      <c r="AU401" s="0" t="n">
        <f aca="false">COUNTA($BA$474:$EH$474)</f>
        <v>12</v>
      </c>
      <c r="AV401" s="0" t="n">
        <f aca="false">COUNTIF($BA$474:$EH$474,"D")</f>
        <v>0</v>
      </c>
      <c r="AW401" s="0" t="n">
        <f aca="false">COUNTIF($BA$474:$EH$474,"R")</f>
        <v>3</v>
      </c>
      <c r="AX401" s="0" t="n">
        <f aca="false"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>0</v>
      </c>
      <c r="AY401" s="0" t="n">
        <f aca="false">COUNTIF(DU401:EH401, "&lt;&gt;")</f>
        <v>6</v>
      </c>
      <c r="AZ401" s="0" t="n">
        <f aca="false">IF(EH401&lt;&gt;"",1,0)</f>
        <v>1</v>
      </c>
      <c r="BB401" s="0" t="s">
        <v>153</v>
      </c>
      <c r="DN401" s="0" t="s">
        <v>154</v>
      </c>
      <c r="DR401" s="0" t="s">
        <v>154</v>
      </c>
      <c r="DS401" s="0" t="s">
        <v>176</v>
      </c>
      <c r="DT401" s="0" t="s">
        <v>176</v>
      </c>
      <c r="DU401" s="0" t="s">
        <v>154</v>
      </c>
      <c r="DX401" s="0" t="s">
        <v>154</v>
      </c>
      <c r="EA401" s="0" t="s">
        <v>154</v>
      </c>
      <c r="ED401" s="0" t="s">
        <v>176</v>
      </c>
      <c r="EF401" s="0" t="s">
        <v>154</v>
      </c>
      <c r="EH401" s="0" t="s">
        <v>154</v>
      </c>
    </row>
    <row r="402" customFormat="false" ht="13.8" hidden="true" customHeight="false" outlineLevel="0" collapsed="false">
      <c r="A402" s="0" t="s">
        <v>2217</v>
      </c>
      <c r="B402" s="0" t="n">
        <v>78</v>
      </c>
      <c r="C402" s="0" t="n">
        <v>448183</v>
      </c>
      <c r="D402" s="0" t="s">
        <v>1346</v>
      </c>
      <c r="E402" s="0" t="s">
        <v>2218</v>
      </c>
      <c r="F402" s="0" t="str">
        <f aca="false">CONCATENATE(D402," ",LEFT(H402,4),"T=",AU402,"D=",AV402,"R=",AW402,"M=",AX402,"L=",AY402,"B=",AZ402)</f>
        <v>STARR T=1D=0R=0M=0L=1B=0</v>
      </c>
      <c r="G402" s="0" t="s">
        <v>297</v>
      </c>
      <c r="I402" s="0" t="s">
        <v>2219</v>
      </c>
      <c r="J402" s="0" t="s">
        <v>2215</v>
      </c>
      <c r="K402" s="0" t="s">
        <v>175</v>
      </c>
      <c r="L402" s="0"/>
      <c r="M402" s="0" t="s">
        <v>2216</v>
      </c>
      <c r="N402" s="0" t="str">
        <f aca="false">RIGHT(M402,LEN(M402)-FIND(" ",M402))</f>
        <v>BONNIE BRAE AVE NE</v>
      </c>
      <c r="P402" s="0" t="s">
        <v>146</v>
      </c>
      <c r="Q402" s="0" t="s">
        <v>147</v>
      </c>
      <c r="R402" s="0" t="n">
        <v>44483</v>
      </c>
      <c r="AD402" s="0" t="s">
        <v>148</v>
      </c>
      <c r="AE402" s="0" t="s">
        <v>149</v>
      </c>
      <c r="AF402" s="0" t="s">
        <v>150</v>
      </c>
      <c r="AH402" s="0" t="n">
        <v>14</v>
      </c>
      <c r="AI402" s="0" t="n">
        <v>11</v>
      </c>
      <c r="AN402" s="0" t="s">
        <v>146</v>
      </c>
      <c r="AO402" s="0" t="s">
        <v>236</v>
      </c>
      <c r="AP402" s="0" t="s">
        <v>237</v>
      </c>
      <c r="AQ402" s="0" t="n">
        <v>9</v>
      </c>
      <c r="AR402" s="0" t="n">
        <v>64</v>
      </c>
      <c r="AS402" s="0" t="n">
        <v>32</v>
      </c>
      <c r="AU402" s="0" t="n">
        <f aca="false">COUNTA($BA$494:$EH$494)</f>
        <v>1</v>
      </c>
      <c r="AV402" s="0" t="n">
        <f aca="false">COUNTIF($BA$494:$EH$494,"D")</f>
        <v>0</v>
      </c>
      <c r="AW402" s="0" t="n">
        <f aca="false">COUNTIF($BA$494:$EH$494,"R")</f>
        <v>0</v>
      </c>
      <c r="AX402" s="0" t="n">
        <f aca="false"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>0</v>
      </c>
      <c r="AY402" s="0" t="n">
        <f aca="false">COUNTIF(DU402:EH402, "&lt;&gt;")</f>
        <v>1</v>
      </c>
      <c r="AZ402" s="0" t="n">
        <f aca="false">IF(EH402&lt;&gt;"",1,0)</f>
        <v>0</v>
      </c>
      <c r="BB402" s="0" t="s">
        <v>153</v>
      </c>
      <c r="DN402" s="0" t="s">
        <v>154</v>
      </c>
      <c r="EF402" s="0" t="s">
        <v>154</v>
      </c>
    </row>
    <row r="403" customFormat="false" ht="13.8" hidden="false" customHeight="false" outlineLevel="0" collapsed="false">
      <c r="A403" s="0" t="s">
        <v>2220</v>
      </c>
      <c r="B403" s="0" t="n">
        <v>78</v>
      </c>
      <c r="C403" s="0" t="n">
        <v>4194</v>
      </c>
      <c r="D403" s="0" t="s">
        <v>2221</v>
      </c>
      <c r="E403" s="0" t="s">
        <v>1456</v>
      </c>
      <c r="F403" s="0" t="str">
        <f aca="false">CONCATENATE(D403," ",LEFT(H403,4),"T=",AU403,"D=",AV403,"R=",AW403,"M=",AX403,"L=",AY403,"B=",AZ403)</f>
        <v>MERRIFIELD T=27D=5R=2M=1L=5B=0</v>
      </c>
      <c r="G403" s="0" t="s">
        <v>297</v>
      </c>
      <c r="I403" s="0" t="s">
        <v>2222</v>
      </c>
      <c r="J403" s="0" t="s">
        <v>1842</v>
      </c>
      <c r="K403" s="0" t="s">
        <v>175</v>
      </c>
      <c r="L403" s="1" t="s">
        <v>155</v>
      </c>
      <c r="M403" s="0" t="s">
        <v>2223</v>
      </c>
      <c r="N403" s="0" t="str">
        <f aca="false">RIGHT(M403,LEN(M403)-FIND(" ",M403))</f>
        <v>BONNIE BRAE AVE NE</v>
      </c>
      <c r="P403" s="0" t="s">
        <v>146</v>
      </c>
      <c r="Q403" s="0" t="s">
        <v>147</v>
      </c>
      <c r="R403" s="0" t="n">
        <v>44483</v>
      </c>
      <c r="AD403" s="0" t="s">
        <v>148</v>
      </c>
      <c r="AE403" s="0" t="s">
        <v>149</v>
      </c>
      <c r="AF403" s="0" t="s">
        <v>150</v>
      </c>
      <c r="AH403" s="0" t="n">
        <v>14</v>
      </c>
      <c r="AI403" s="0" t="n">
        <v>11</v>
      </c>
      <c r="AN403" s="0" t="s">
        <v>146</v>
      </c>
      <c r="AO403" s="0" t="s">
        <v>236</v>
      </c>
      <c r="AP403" s="0" t="s">
        <v>237</v>
      </c>
      <c r="AQ403" s="0" t="n">
        <v>9</v>
      </c>
      <c r="AR403" s="0" t="n">
        <v>64</v>
      </c>
      <c r="AS403" s="0" t="n">
        <v>32</v>
      </c>
      <c r="AU403" s="0" t="n">
        <f aca="false">COUNTA($BA$916:$EH$916)</f>
        <v>27</v>
      </c>
      <c r="AV403" s="0" t="n">
        <f aca="false">COUNTIF($BA$916:$EH$916,"D")</f>
        <v>5</v>
      </c>
      <c r="AW403" s="0" t="n">
        <f aca="false">COUNTIF($BA$916:$EH$916,"R")</f>
        <v>2</v>
      </c>
      <c r="AX403" s="0" t="n">
        <f aca="false"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>1</v>
      </c>
      <c r="AY403" s="0" t="n">
        <f aca="false">COUNTIF(DU403:EH403, "&lt;&gt;")</f>
        <v>5</v>
      </c>
      <c r="AZ403" s="0" t="n">
        <f aca="false">IF(EH403&lt;&gt;"",1,0)</f>
        <v>0</v>
      </c>
      <c r="BB403" s="0" t="s">
        <v>153</v>
      </c>
      <c r="BL403" s="0" t="s">
        <v>154</v>
      </c>
      <c r="BS403" s="0" t="s">
        <v>154</v>
      </c>
      <c r="BV403" s="0" t="s">
        <v>154</v>
      </c>
      <c r="CA403" s="0" t="s">
        <v>154</v>
      </c>
      <c r="CG403" s="0" t="s">
        <v>154</v>
      </c>
      <c r="CK403" s="0" t="s">
        <v>154</v>
      </c>
      <c r="CN403" s="0" t="s">
        <v>154</v>
      </c>
      <c r="CP403" s="0" t="s">
        <v>154</v>
      </c>
      <c r="CT403" s="0" t="s">
        <v>154</v>
      </c>
      <c r="CV403" s="0" t="s">
        <v>154</v>
      </c>
      <c r="CY403" s="0" t="s">
        <v>154</v>
      </c>
      <c r="DC403" s="0" t="s">
        <v>154</v>
      </c>
      <c r="DF403" s="0" t="s">
        <v>154</v>
      </c>
      <c r="DI403" s="0" t="s">
        <v>154</v>
      </c>
      <c r="DL403" s="0" t="s">
        <v>154</v>
      </c>
      <c r="DN403" s="0" t="s">
        <v>154</v>
      </c>
      <c r="DU403" s="0" t="s">
        <v>154</v>
      </c>
      <c r="DW403" s="0" t="s">
        <v>155</v>
      </c>
      <c r="DX403" s="0" t="s">
        <v>154</v>
      </c>
      <c r="EA403" s="0" t="s">
        <v>154</v>
      </c>
      <c r="EF403" s="0" t="s">
        <v>154</v>
      </c>
    </row>
    <row r="404" customFormat="false" ht="13.8" hidden="false" customHeight="false" outlineLevel="0" collapsed="false">
      <c r="A404" s="0" t="s">
        <v>2224</v>
      </c>
      <c r="B404" s="0" t="n">
        <v>78</v>
      </c>
      <c r="C404" s="0" t="n">
        <v>344268</v>
      </c>
      <c r="D404" s="0" t="s">
        <v>2209</v>
      </c>
      <c r="E404" s="0" t="s">
        <v>1910</v>
      </c>
      <c r="F404" s="0" t="str">
        <f aca="false">CONCATENATE(D404," ",LEFT(H404,4),"T=",AU404,"D=",AV404,"R=",AW404,"M=",AX404,"L=",AY404,"B=",AZ404)</f>
        <v>LAWRENCE T=1D=0R=0M=0L=2B=0</v>
      </c>
      <c r="I404" s="0" t="s">
        <v>2225</v>
      </c>
      <c r="J404" s="0" t="s">
        <v>2226</v>
      </c>
      <c r="K404" s="0" t="s">
        <v>175</v>
      </c>
      <c r="M404" s="0" t="s">
        <v>2227</v>
      </c>
      <c r="N404" s="0" t="str">
        <f aca="false">RIGHT(M404,LEN(M404)-FIND(" ",M404))</f>
        <v>BONNIE BRAE AVE NE</v>
      </c>
      <c r="P404" s="0" t="s">
        <v>146</v>
      </c>
      <c r="Q404" s="0" t="s">
        <v>147</v>
      </c>
      <c r="R404" s="0" t="n">
        <v>44483</v>
      </c>
      <c r="AD404" s="0" t="s">
        <v>148</v>
      </c>
      <c r="AE404" s="0" t="s">
        <v>149</v>
      </c>
      <c r="AF404" s="0" t="s">
        <v>150</v>
      </c>
      <c r="AH404" s="0" t="n">
        <v>14</v>
      </c>
      <c r="AI404" s="0" t="n">
        <v>11</v>
      </c>
      <c r="AN404" s="0" t="s">
        <v>146</v>
      </c>
      <c r="AO404" s="0" t="s">
        <v>236</v>
      </c>
      <c r="AP404" s="0" t="s">
        <v>237</v>
      </c>
      <c r="AQ404" s="0" t="n">
        <v>9</v>
      </c>
      <c r="AR404" s="0" t="n">
        <v>64</v>
      </c>
      <c r="AS404" s="0" t="n">
        <v>32</v>
      </c>
      <c r="AU404" s="0" t="n">
        <f aca="false">COUNTA($BA$901:$EH$901)</f>
        <v>1</v>
      </c>
      <c r="AV404" s="0" t="n">
        <f aca="false">COUNTIF($BA$901:$EH$901,"D")</f>
        <v>0</v>
      </c>
      <c r="AW404" s="0" t="n">
        <f aca="false">COUNTIF($BA$901:$EH$901,"R")</f>
        <v>0</v>
      </c>
      <c r="AX404" s="0" t="n">
        <f aca="false"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>0</v>
      </c>
      <c r="AY404" s="0" t="n">
        <f aca="false">COUNTIF(DU404:EH404, "&lt;&gt;")</f>
        <v>2</v>
      </c>
      <c r="AZ404" s="0" t="n">
        <f aca="false">IF(EH404&lt;&gt;"",1,0)</f>
        <v>0</v>
      </c>
      <c r="BB404" s="0" t="s">
        <v>153</v>
      </c>
      <c r="CG404" s="0" t="s">
        <v>154</v>
      </c>
      <c r="CN404" s="0" t="s">
        <v>154</v>
      </c>
      <c r="DU404" s="0" t="s">
        <v>154</v>
      </c>
      <c r="EA404" s="0" t="s">
        <v>154</v>
      </c>
    </row>
    <row r="405" customFormat="false" ht="13.8" hidden="true" customHeight="false" outlineLevel="0" collapsed="false">
      <c r="A405" s="0" t="s">
        <v>2228</v>
      </c>
      <c r="B405" s="0" t="n">
        <v>78</v>
      </c>
      <c r="C405" s="0" t="n">
        <v>496252</v>
      </c>
      <c r="D405" s="0" t="s">
        <v>2229</v>
      </c>
      <c r="E405" s="0" t="s">
        <v>2230</v>
      </c>
      <c r="F405" s="0" t="str">
        <f aca="false">CONCATENATE(D405," ",LEFT(H405,4),"T=",AU405,"D=",AV405,"R=",AW405,"M=",AX405,"L=",AY405,"B=",AZ405)</f>
        <v>PORTER T=24D=1R=0M=0L=1B=0</v>
      </c>
      <c r="G405" s="0" t="s">
        <v>2231</v>
      </c>
      <c r="I405" s="0" t="s">
        <v>2232</v>
      </c>
      <c r="J405" s="0" t="s">
        <v>1391</v>
      </c>
      <c r="K405" s="0" t="s">
        <v>175</v>
      </c>
      <c r="L405" s="0"/>
      <c r="M405" s="0" t="s">
        <v>2233</v>
      </c>
      <c r="N405" s="0" t="str">
        <f aca="false">RIGHT(M405,LEN(M405)-FIND(" ",M405))</f>
        <v>BONNIE BRAE AVE NE</v>
      </c>
      <c r="P405" s="0" t="s">
        <v>146</v>
      </c>
      <c r="Q405" s="0" t="s">
        <v>147</v>
      </c>
      <c r="R405" s="0" t="n">
        <v>44483</v>
      </c>
      <c r="AD405" s="0" t="s">
        <v>148</v>
      </c>
      <c r="AE405" s="0" t="s">
        <v>149</v>
      </c>
      <c r="AF405" s="0" t="s">
        <v>150</v>
      </c>
      <c r="AH405" s="0" t="n">
        <v>14</v>
      </c>
      <c r="AI405" s="0" t="n">
        <v>11</v>
      </c>
      <c r="AN405" s="0" t="s">
        <v>146</v>
      </c>
      <c r="AO405" s="0" t="s">
        <v>236</v>
      </c>
      <c r="AP405" s="0" t="s">
        <v>237</v>
      </c>
      <c r="AQ405" s="0" t="n">
        <v>9</v>
      </c>
      <c r="AR405" s="0" t="n">
        <v>64</v>
      </c>
      <c r="AS405" s="0" t="n">
        <v>32</v>
      </c>
      <c r="AU405" s="0" t="n">
        <f aca="false">COUNTA($BA$462:$EH$462)</f>
        <v>24</v>
      </c>
      <c r="AV405" s="0" t="n">
        <f aca="false">COUNTIF($BA$462:$EH$462,"D")</f>
        <v>1</v>
      </c>
      <c r="AW405" s="0" t="n">
        <f aca="false">COUNTIF($BA$462:$EH$462,"R")</f>
        <v>0</v>
      </c>
      <c r="AX405" s="0" t="n">
        <f aca="false"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>0</v>
      </c>
      <c r="AY405" s="0" t="n">
        <f aca="false">COUNTIF(DU405:EH405, "&lt;&gt;")</f>
        <v>1</v>
      </c>
      <c r="AZ405" s="0" t="n">
        <f aca="false">IF(EH405&lt;&gt;"",1,0)</f>
        <v>0</v>
      </c>
      <c r="BB405" s="0" t="s">
        <v>153</v>
      </c>
      <c r="EF405" s="0" t="s">
        <v>154</v>
      </c>
    </row>
    <row r="406" customFormat="false" ht="13.8" hidden="true" customHeight="false" outlineLevel="0" collapsed="false">
      <c r="A406" s="0" t="s">
        <v>2234</v>
      </c>
      <c r="B406" s="0" t="n">
        <v>78</v>
      </c>
      <c r="C406" s="0" t="n">
        <v>344159</v>
      </c>
      <c r="D406" s="0" t="s">
        <v>2235</v>
      </c>
      <c r="E406" s="0" t="s">
        <v>2236</v>
      </c>
      <c r="F406" s="0" t="str">
        <f aca="false">CONCATENATE(D406," ",LEFT(H406,4),"T=",AU406,"D=",AV406,"R=",AW406,"M=",AX406,"L=",AY406,"B=",AZ406)</f>
        <v>HARRELL T=1D=0R=0M=0L=0B=0</v>
      </c>
      <c r="G406" s="0" t="s">
        <v>188</v>
      </c>
      <c r="I406" s="0" t="s">
        <v>2237</v>
      </c>
      <c r="J406" s="0" t="s">
        <v>2238</v>
      </c>
      <c r="K406" s="0" t="s">
        <v>144</v>
      </c>
      <c r="L406" s="0"/>
      <c r="M406" s="0" t="s">
        <v>2233</v>
      </c>
      <c r="N406" s="0" t="str">
        <f aca="false">RIGHT(M406,LEN(M406)-FIND(" ",M406))</f>
        <v>BONNIE BRAE AVE NE</v>
      </c>
      <c r="P406" s="0" t="s">
        <v>146</v>
      </c>
      <c r="Q406" s="0" t="s">
        <v>147</v>
      </c>
      <c r="R406" s="0" t="n">
        <v>44483</v>
      </c>
      <c r="AD406" s="0" t="s">
        <v>148</v>
      </c>
      <c r="AE406" s="0" t="s">
        <v>149</v>
      </c>
      <c r="AF406" s="0" t="s">
        <v>150</v>
      </c>
      <c r="AH406" s="0" t="n">
        <v>14</v>
      </c>
      <c r="AI406" s="0" t="n">
        <v>11</v>
      </c>
      <c r="AN406" s="0" t="s">
        <v>146</v>
      </c>
      <c r="AO406" s="0" t="s">
        <v>236</v>
      </c>
      <c r="AP406" s="0" t="s">
        <v>237</v>
      </c>
      <c r="AQ406" s="0" t="n">
        <v>9</v>
      </c>
      <c r="AR406" s="0" t="n">
        <v>64</v>
      </c>
      <c r="AS406" s="0" t="n">
        <v>32</v>
      </c>
      <c r="AU406" s="0" t="n">
        <f aca="false">COUNTA($BA$930:$EH$930)</f>
        <v>1</v>
      </c>
      <c r="AV406" s="0" t="n">
        <f aca="false">COUNTIF($BA$930:$EH$930,"D")</f>
        <v>0</v>
      </c>
      <c r="AW406" s="0" t="n">
        <f aca="false">COUNTIF($BA$930:$EH$930,"R")</f>
        <v>0</v>
      </c>
      <c r="AX406" s="0" t="n">
        <f aca="false"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>0</v>
      </c>
      <c r="AY406" s="0" t="n">
        <f aca="false">COUNTIF(DU406:EH406, "&lt;&gt;")</f>
        <v>0</v>
      </c>
      <c r="AZ406" s="0" t="n">
        <f aca="false">IF(EH406&lt;&gt;"",1,0)</f>
        <v>0</v>
      </c>
      <c r="BB406" s="0" t="s">
        <v>153</v>
      </c>
    </row>
    <row r="407" customFormat="false" ht="13.8" hidden="true" customHeight="false" outlineLevel="0" collapsed="false">
      <c r="A407" s="0" t="s">
        <v>2239</v>
      </c>
      <c r="B407" s="0" t="n">
        <v>78</v>
      </c>
      <c r="C407" s="0" t="n">
        <v>351064</v>
      </c>
      <c r="D407" s="0" t="s">
        <v>2240</v>
      </c>
      <c r="E407" s="0" t="s">
        <v>350</v>
      </c>
      <c r="F407" s="0" t="str">
        <f aca="false">CONCATENATE(D407," ",LEFT(H407,4),"T=",AU407,"D=",AV407,"R=",AW407,"M=",AX407,"L=",AY407,"B=",AZ407)</f>
        <v>LESHER SRT=2D=0R=0M=0L=0B=0</v>
      </c>
      <c r="G407" s="0" t="s">
        <v>155</v>
      </c>
      <c r="H407" s="0" t="s">
        <v>311</v>
      </c>
      <c r="I407" s="0" t="s">
        <v>2241</v>
      </c>
      <c r="J407" s="0" t="s">
        <v>2242</v>
      </c>
      <c r="K407" s="0" t="s">
        <v>144</v>
      </c>
      <c r="L407" s="0"/>
      <c r="M407" s="0" t="s">
        <v>2233</v>
      </c>
      <c r="N407" s="0" t="str">
        <f aca="false">RIGHT(M407,LEN(M407)-FIND(" ",M407))</f>
        <v>BONNIE BRAE AVE NE</v>
      </c>
      <c r="P407" s="0" t="s">
        <v>146</v>
      </c>
      <c r="Q407" s="0" t="s">
        <v>147</v>
      </c>
      <c r="R407" s="0" t="n">
        <v>44483</v>
      </c>
      <c r="AD407" s="0" t="s">
        <v>148</v>
      </c>
      <c r="AE407" s="0" t="s">
        <v>149</v>
      </c>
      <c r="AF407" s="0" t="s">
        <v>150</v>
      </c>
      <c r="AH407" s="0" t="n">
        <v>14</v>
      </c>
      <c r="AI407" s="0" t="n">
        <v>11</v>
      </c>
      <c r="AN407" s="0" t="s">
        <v>146</v>
      </c>
      <c r="AO407" s="0" t="s">
        <v>236</v>
      </c>
      <c r="AP407" s="0" t="s">
        <v>237</v>
      </c>
      <c r="AQ407" s="0" t="n">
        <v>9</v>
      </c>
      <c r="AR407" s="0" t="n">
        <v>64</v>
      </c>
      <c r="AS407" s="0" t="n">
        <v>32</v>
      </c>
      <c r="AU407" s="0" t="n">
        <f aca="false">COUNTA($BA$933:$EH$933)</f>
        <v>2</v>
      </c>
      <c r="AV407" s="0" t="n">
        <f aca="false">COUNTIF($BA$933:$EH$933,"D")</f>
        <v>0</v>
      </c>
      <c r="AW407" s="0" t="n">
        <f aca="false">COUNTIF($BA$933:$EH$933,"R")</f>
        <v>0</v>
      </c>
      <c r="AX407" s="0" t="n">
        <f aca="false"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>0</v>
      </c>
      <c r="AY407" s="0" t="n">
        <f aca="false">COUNTIF(DU407:EH407, "&lt;&gt;")</f>
        <v>0</v>
      </c>
      <c r="AZ407" s="0" t="n">
        <f aca="false">IF(EH407&lt;&gt;"",1,0)</f>
        <v>0</v>
      </c>
      <c r="BB407" s="0" t="s">
        <v>153</v>
      </c>
    </row>
    <row r="408" customFormat="false" ht="13.8" hidden="true" customHeight="false" outlineLevel="0" collapsed="false">
      <c r="A408" s="0" t="s">
        <v>2243</v>
      </c>
      <c r="B408" s="0" t="n">
        <v>78</v>
      </c>
      <c r="C408" s="0" t="n">
        <v>204246</v>
      </c>
      <c r="D408" s="0" t="s">
        <v>2240</v>
      </c>
      <c r="E408" s="0" t="s">
        <v>2244</v>
      </c>
      <c r="F408" s="0" t="str">
        <f aca="false">CONCATENATE(D408," ",LEFT(H408,4),"T=",AU408,"D=",AV408,"R=",AW408,"M=",AX408,"L=",AY408,"B=",AZ408)</f>
        <v>LESHER T=1D=0R=0M=0L=1B=0</v>
      </c>
      <c r="G408" s="0" t="s">
        <v>241</v>
      </c>
      <c r="I408" s="0" t="s">
        <v>2245</v>
      </c>
      <c r="J408" s="0" t="s">
        <v>2246</v>
      </c>
      <c r="K408" s="0" t="s">
        <v>175</v>
      </c>
      <c r="L408" s="0"/>
      <c r="M408" s="0" t="s">
        <v>2233</v>
      </c>
      <c r="N408" s="0" t="str">
        <f aca="false">RIGHT(M408,LEN(M408)-FIND(" ",M408))</f>
        <v>BONNIE BRAE AVE NE</v>
      </c>
      <c r="P408" s="0" t="s">
        <v>146</v>
      </c>
      <c r="Q408" s="0" t="s">
        <v>147</v>
      </c>
      <c r="R408" s="0" t="n">
        <v>44483</v>
      </c>
      <c r="AD408" s="0" t="s">
        <v>148</v>
      </c>
      <c r="AE408" s="0" t="s">
        <v>149</v>
      </c>
      <c r="AF408" s="0" t="s">
        <v>150</v>
      </c>
      <c r="AH408" s="0" t="n">
        <v>14</v>
      </c>
      <c r="AI408" s="0" t="n">
        <v>11</v>
      </c>
      <c r="AN408" s="0" t="s">
        <v>146</v>
      </c>
      <c r="AO408" s="0" t="s">
        <v>236</v>
      </c>
      <c r="AP408" s="0" t="s">
        <v>237</v>
      </c>
      <c r="AQ408" s="0" t="n">
        <v>9</v>
      </c>
      <c r="AR408" s="0" t="n">
        <v>64</v>
      </c>
      <c r="AS408" s="0" t="n">
        <v>32</v>
      </c>
      <c r="AU408" s="0" t="n">
        <f aca="false">COUNTA($BA$1035:$EH$1035)</f>
        <v>1</v>
      </c>
      <c r="AV408" s="0" t="n">
        <f aca="false">COUNTIF($BA$1035:$EH$1035,"D")</f>
        <v>0</v>
      </c>
      <c r="AW408" s="0" t="n">
        <f aca="false">COUNTIF($BA$1035:$EH$1035,"R")</f>
        <v>0</v>
      </c>
      <c r="AX408" s="0" t="n">
        <f aca="false"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>0</v>
      </c>
      <c r="AY408" s="0" t="n">
        <f aca="false">COUNTIF(DU408:EH408, "&lt;&gt;")</f>
        <v>1</v>
      </c>
      <c r="AZ408" s="0" t="n">
        <f aca="false">IF(EH408&lt;&gt;"",1,0)</f>
        <v>0</v>
      </c>
      <c r="BB408" s="0" t="s">
        <v>153</v>
      </c>
      <c r="BD408" s="0" t="s">
        <v>154</v>
      </c>
      <c r="BP408" s="0" t="s">
        <v>154</v>
      </c>
      <c r="BS408" s="0" t="s">
        <v>154</v>
      </c>
      <c r="DC408" s="0" t="s">
        <v>154</v>
      </c>
      <c r="EF408" s="0" t="s">
        <v>154</v>
      </c>
    </row>
    <row r="409" customFormat="false" ht="13.8" hidden="true" customHeight="false" outlineLevel="0" collapsed="false">
      <c r="A409" s="0" t="s">
        <v>2247</v>
      </c>
      <c r="B409" s="0" t="n">
        <v>78</v>
      </c>
      <c r="C409" s="0" t="n">
        <v>432495</v>
      </c>
      <c r="D409" s="0" t="s">
        <v>2248</v>
      </c>
      <c r="E409" s="0" t="s">
        <v>1388</v>
      </c>
      <c r="F409" s="0" t="str">
        <f aca="false">CONCATENATE(D409," ",LEFT(H409,4),"T=",AU409,"D=",AV409,"R=",AW409,"M=",AX409,"L=",AY409,"B=",AZ409)</f>
        <v>COX T=32D=3R=3M=0L=0B=0</v>
      </c>
      <c r="G409" s="0" t="s">
        <v>1180</v>
      </c>
      <c r="I409" s="0" t="s">
        <v>2249</v>
      </c>
      <c r="J409" s="0" t="s">
        <v>2250</v>
      </c>
      <c r="K409" s="0" t="s">
        <v>144</v>
      </c>
      <c r="L409" s="0"/>
      <c r="M409" s="0" t="s">
        <v>2233</v>
      </c>
      <c r="N409" s="0" t="str">
        <f aca="false">RIGHT(M409,LEN(M409)-FIND(" ",M409))</f>
        <v>BONNIE BRAE AVE NE</v>
      </c>
      <c r="P409" s="0" t="s">
        <v>146</v>
      </c>
      <c r="Q409" s="0" t="s">
        <v>147</v>
      </c>
      <c r="R409" s="0" t="n">
        <v>44483</v>
      </c>
      <c r="AD409" s="0" t="s">
        <v>148</v>
      </c>
      <c r="AE409" s="0" t="s">
        <v>149</v>
      </c>
      <c r="AF409" s="0" t="s">
        <v>150</v>
      </c>
      <c r="AH409" s="0" t="n">
        <v>14</v>
      </c>
      <c r="AI409" s="0" t="n">
        <v>11</v>
      </c>
      <c r="AN409" s="0" t="s">
        <v>146</v>
      </c>
      <c r="AO409" s="0" t="s">
        <v>236</v>
      </c>
      <c r="AP409" s="0" t="s">
        <v>237</v>
      </c>
      <c r="AQ409" s="0" t="n">
        <v>9</v>
      </c>
      <c r="AR409" s="0" t="n">
        <v>64</v>
      </c>
      <c r="AS409" s="0" t="n">
        <v>32</v>
      </c>
      <c r="AU409" s="0" t="n">
        <f aca="false">COUNTA($BA$1046:$EH$1046)</f>
        <v>32</v>
      </c>
      <c r="AV409" s="0" t="n">
        <f aca="false">COUNTIF($BA$1046:$EH$1046,"D")</f>
        <v>3</v>
      </c>
      <c r="AW409" s="0" t="n">
        <f aca="false">COUNTIF($BA$1046:$EH$1046,"R")</f>
        <v>3</v>
      </c>
      <c r="AX409" s="0" t="n">
        <f aca="false"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>0</v>
      </c>
      <c r="AY409" s="0" t="n">
        <f aca="false">COUNTIF(DU409:EH409, "&lt;&gt;")</f>
        <v>0</v>
      </c>
      <c r="AZ409" s="0" t="n">
        <f aca="false">IF(EH409&lt;&gt;"",1,0)</f>
        <v>0</v>
      </c>
      <c r="BB409" s="0" t="s">
        <v>153</v>
      </c>
    </row>
    <row r="410" customFormat="false" ht="13.8" hidden="true" customHeight="false" outlineLevel="0" collapsed="false">
      <c r="A410" s="0" t="s">
        <v>2251</v>
      </c>
      <c r="B410" s="0" t="n">
        <v>78</v>
      </c>
      <c r="C410" s="0" t="n">
        <v>312113</v>
      </c>
      <c r="D410" s="0" t="s">
        <v>2252</v>
      </c>
      <c r="E410" s="0" t="s">
        <v>2253</v>
      </c>
      <c r="F410" s="0" t="str">
        <f aca="false">CONCATENATE(D410," ",LEFT(H410,4),"T=",AU410,"D=",AV410,"R=",AW410,"M=",AX410,"L=",AY410,"B=",AZ410)</f>
        <v>KINTZ T=8D=0R=0M=0L=0B=0</v>
      </c>
      <c r="G410" s="0" t="s">
        <v>176</v>
      </c>
      <c r="I410" s="0" t="s">
        <v>2254</v>
      </c>
      <c r="J410" s="0" t="s">
        <v>2255</v>
      </c>
      <c r="K410" s="0" t="s">
        <v>144</v>
      </c>
      <c r="L410" s="0"/>
      <c r="M410" s="0" t="s">
        <v>2256</v>
      </c>
      <c r="N410" s="0" t="str">
        <f aca="false">RIGHT(M410,LEN(M410)-FIND(" ",M410))</f>
        <v>BONNIE BRAE AVE NE</v>
      </c>
      <c r="P410" s="0" t="s">
        <v>146</v>
      </c>
      <c r="Q410" s="0" t="s">
        <v>147</v>
      </c>
      <c r="R410" s="0" t="n">
        <v>44483</v>
      </c>
      <c r="AD410" s="0" t="s">
        <v>148</v>
      </c>
      <c r="AE410" s="0" t="s">
        <v>149</v>
      </c>
      <c r="AF410" s="0" t="s">
        <v>150</v>
      </c>
      <c r="AH410" s="0" t="n">
        <v>14</v>
      </c>
      <c r="AI410" s="0" t="n">
        <v>11</v>
      </c>
      <c r="AN410" s="0" t="s">
        <v>146</v>
      </c>
      <c r="AO410" s="0" t="s">
        <v>236</v>
      </c>
      <c r="AP410" s="0" t="s">
        <v>237</v>
      </c>
      <c r="AQ410" s="0" t="n">
        <v>9</v>
      </c>
      <c r="AR410" s="0" t="n">
        <v>64</v>
      </c>
      <c r="AS410" s="0" t="n">
        <v>32</v>
      </c>
      <c r="AU410" s="0" t="n">
        <f aca="false">COUNTA($BA$390:$EH$390)</f>
        <v>8</v>
      </c>
      <c r="AV410" s="0" t="n">
        <f aca="false">COUNTIF($BA$390:$EH$390,"D")</f>
        <v>0</v>
      </c>
      <c r="AW410" s="0" t="n">
        <f aca="false">COUNTIF($BA$390:$EH$390,"R")</f>
        <v>0</v>
      </c>
      <c r="AX410" s="0" t="n">
        <f aca="false"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>0</v>
      </c>
      <c r="AY410" s="0" t="n">
        <f aca="false">COUNTIF(DU410:EH410, "&lt;&gt;")</f>
        <v>0</v>
      </c>
      <c r="AZ410" s="0" t="n">
        <f aca="false">IF(EH410&lt;&gt;"",1,0)</f>
        <v>0</v>
      </c>
      <c r="BB410" s="0" t="s">
        <v>153</v>
      </c>
      <c r="BL410" s="0" t="s">
        <v>154</v>
      </c>
      <c r="CP410" s="0" t="s">
        <v>154</v>
      </c>
      <c r="CY410" s="0" t="s">
        <v>154</v>
      </c>
    </row>
    <row r="411" customFormat="false" ht="13.8" hidden="true" customHeight="false" outlineLevel="0" collapsed="false">
      <c r="A411" s="0" t="s">
        <v>2257</v>
      </c>
      <c r="B411" s="0" t="n">
        <v>78</v>
      </c>
      <c r="C411" s="0" t="n">
        <v>294439</v>
      </c>
      <c r="D411" s="0" t="s">
        <v>2252</v>
      </c>
      <c r="E411" s="0" t="s">
        <v>2258</v>
      </c>
      <c r="F411" s="0" t="str">
        <f aca="false">CONCATENATE(D411," ",LEFT(H411,4),"T=",AU411,"D=",AV411,"R=",AW411,"M=",AX411,"L=",AY411,"B=",AZ411)</f>
        <v>KINTZ JRT=5D=0R=0M=0L=1B=0</v>
      </c>
      <c r="G411" s="0" t="s">
        <v>146</v>
      </c>
      <c r="H411" s="0" t="s">
        <v>431</v>
      </c>
      <c r="I411" s="0" t="s">
        <v>2259</v>
      </c>
      <c r="J411" s="0" t="s">
        <v>1666</v>
      </c>
      <c r="K411" s="0" t="s">
        <v>175</v>
      </c>
      <c r="L411" s="0"/>
      <c r="M411" s="0" t="s">
        <v>2256</v>
      </c>
      <c r="N411" s="0" t="str">
        <f aca="false">RIGHT(M411,LEN(M411)-FIND(" ",M411))</f>
        <v>BONNIE BRAE AVE NE</v>
      </c>
      <c r="P411" s="0" t="s">
        <v>146</v>
      </c>
      <c r="Q411" s="0" t="s">
        <v>147</v>
      </c>
      <c r="R411" s="0" t="n">
        <v>44483</v>
      </c>
      <c r="AD411" s="0" t="s">
        <v>148</v>
      </c>
      <c r="AE411" s="0" t="s">
        <v>149</v>
      </c>
      <c r="AF411" s="0" t="s">
        <v>150</v>
      </c>
      <c r="AH411" s="0" t="n">
        <v>14</v>
      </c>
      <c r="AI411" s="0" t="n">
        <v>11</v>
      </c>
      <c r="AN411" s="0" t="s">
        <v>146</v>
      </c>
      <c r="AO411" s="0" t="s">
        <v>236</v>
      </c>
      <c r="AP411" s="0" t="s">
        <v>237</v>
      </c>
      <c r="AQ411" s="0" t="n">
        <v>9</v>
      </c>
      <c r="AR411" s="0" t="n">
        <v>64</v>
      </c>
      <c r="AS411" s="0" t="n">
        <v>32</v>
      </c>
      <c r="AU411" s="0" t="n">
        <f aca="false">COUNTA($BA$404:$EH$404)</f>
        <v>5</v>
      </c>
      <c r="AV411" s="0" t="n">
        <f aca="false">COUNTIF($BA$404:$EH$404,"D")</f>
        <v>0</v>
      </c>
      <c r="AW411" s="0" t="n">
        <f aca="false">COUNTIF($BA$404:$EH$404,"R")</f>
        <v>0</v>
      </c>
      <c r="AX411" s="0" t="n">
        <f aca="false"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>0</v>
      </c>
      <c r="AY411" s="0" t="n">
        <f aca="false">COUNTIF(DU411:EH411, "&lt;&gt;")</f>
        <v>1</v>
      </c>
      <c r="AZ411" s="0" t="n">
        <f aca="false">IF(EH411&lt;&gt;"",1,0)</f>
        <v>0</v>
      </c>
      <c r="BB411" s="0" t="s">
        <v>153</v>
      </c>
      <c r="BD411" s="0" t="s">
        <v>154</v>
      </c>
      <c r="BL411" s="0" t="s">
        <v>154</v>
      </c>
      <c r="BP411" s="0" t="s">
        <v>154</v>
      </c>
      <c r="CP411" s="0" t="s">
        <v>154</v>
      </c>
      <c r="CY411" s="0" t="s">
        <v>154</v>
      </c>
      <c r="DN411" s="0" t="s">
        <v>154</v>
      </c>
      <c r="EF411" s="0" t="s">
        <v>154</v>
      </c>
    </row>
    <row r="412" customFormat="false" ht="13.8" hidden="true" customHeight="false" outlineLevel="0" collapsed="false">
      <c r="A412" s="0" t="s">
        <v>2260</v>
      </c>
      <c r="B412" s="0" t="n">
        <v>78</v>
      </c>
      <c r="C412" s="0" t="n">
        <v>414621</v>
      </c>
      <c r="D412" s="0" t="s">
        <v>2261</v>
      </c>
      <c r="E412" s="0" t="s">
        <v>689</v>
      </c>
      <c r="F412" s="0" t="str">
        <f aca="false">CONCATENATE(D412," ",LEFT(H412,4),"T=",AU412,"D=",AV412,"R=",AW412,"M=",AX412,"L=",AY412,"B=",AZ412)</f>
        <v>BEST T=3D=0R=0M=0L=0B=0</v>
      </c>
      <c r="G412" s="0" t="s">
        <v>2262</v>
      </c>
      <c r="I412" s="0" t="s">
        <v>2263</v>
      </c>
      <c r="J412" s="0" t="s">
        <v>2264</v>
      </c>
      <c r="K412" s="0" t="s">
        <v>175</v>
      </c>
      <c r="L412" s="0"/>
      <c r="M412" s="0" t="s">
        <v>2265</v>
      </c>
      <c r="N412" s="0" t="str">
        <f aca="false">RIGHT(M412,LEN(M412)-FIND(" ",M412))</f>
        <v>BONNIE BRAE AVE NE</v>
      </c>
      <c r="P412" s="0" t="s">
        <v>146</v>
      </c>
      <c r="Q412" s="0" t="s">
        <v>147</v>
      </c>
      <c r="R412" s="0" t="n">
        <v>44483</v>
      </c>
      <c r="AD412" s="0" t="s">
        <v>148</v>
      </c>
      <c r="AE412" s="0" t="s">
        <v>149</v>
      </c>
      <c r="AF412" s="0" t="s">
        <v>150</v>
      </c>
      <c r="AH412" s="0" t="n">
        <v>14</v>
      </c>
      <c r="AI412" s="0" t="n">
        <v>11</v>
      </c>
      <c r="AN412" s="0" t="s">
        <v>146</v>
      </c>
      <c r="AO412" s="0" t="s">
        <v>236</v>
      </c>
      <c r="AP412" s="0" t="s">
        <v>237</v>
      </c>
      <c r="AQ412" s="0" t="n">
        <v>9</v>
      </c>
      <c r="AR412" s="0" t="n">
        <v>64</v>
      </c>
      <c r="AS412" s="0" t="n">
        <v>32</v>
      </c>
      <c r="AU412" s="0" t="n">
        <f aca="false">COUNTA($BA$97:$EH$97)</f>
        <v>3</v>
      </c>
      <c r="AV412" s="0" t="n">
        <f aca="false">COUNTIF($BA$97:$EH$97,"D")</f>
        <v>0</v>
      </c>
      <c r="AW412" s="0" t="n">
        <f aca="false">COUNTIF($BA$97:$EH$97,"R")</f>
        <v>0</v>
      </c>
      <c r="AX412" s="0" t="n">
        <f aca="false"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>0</v>
      </c>
      <c r="AY412" s="0" t="n">
        <f aca="false">COUNTIF(DU412:EH412, "&lt;&gt;")</f>
        <v>0</v>
      </c>
      <c r="AZ412" s="0" t="n">
        <f aca="false">IF(EH412&lt;&gt;"",1,0)</f>
        <v>0</v>
      </c>
      <c r="BB412" s="0" t="s">
        <v>153</v>
      </c>
    </row>
    <row r="413" customFormat="false" ht="13.8" hidden="true" customHeight="false" outlineLevel="0" collapsed="false">
      <c r="A413" s="0" t="s">
        <v>2266</v>
      </c>
      <c r="B413" s="0" t="n">
        <v>78</v>
      </c>
      <c r="C413" s="0" t="n">
        <v>348222</v>
      </c>
      <c r="D413" s="0" t="s">
        <v>2267</v>
      </c>
      <c r="E413" s="0" t="s">
        <v>502</v>
      </c>
      <c r="F413" s="0" t="str">
        <f aca="false">CONCATENATE(D413," ",LEFT(H413,4),"T=",AU413,"D=",AV413,"R=",AW413,"M=",AX413,"L=",AY413,"B=",AZ413)</f>
        <v>MARKLE T=1D=0R=0M=0L=0B=0</v>
      </c>
      <c r="I413" s="0" t="s">
        <v>2268</v>
      </c>
      <c r="J413" s="0" t="s">
        <v>521</v>
      </c>
      <c r="K413" s="0" t="s">
        <v>144</v>
      </c>
      <c r="L413" s="0"/>
      <c r="M413" s="0" t="s">
        <v>2265</v>
      </c>
      <c r="N413" s="0" t="str">
        <f aca="false">RIGHT(M413,LEN(M413)-FIND(" ",M413))</f>
        <v>BONNIE BRAE AVE NE</v>
      </c>
      <c r="P413" s="0" t="s">
        <v>146</v>
      </c>
      <c r="Q413" s="0" t="s">
        <v>147</v>
      </c>
      <c r="R413" s="0" t="n">
        <v>44483</v>
      </c>
      <c r="AD413" s="0" t="s">
        <v>148</v>
      </c>
      <c r="AE413" s="0" t="s">
        <v>149</v>
      </c>
      <c r="AF413" s="0" t="s">
        <v>150</v>
      </c>
      <c r="AH413" s="0" t="n">
        <v>14</v>
      </c>
      <c r="AI413" s="0" t="n">
        <v>11</v>
      </c>
      <c r="AN413" s="0" t="s">
        <v>146</v>
      </c>
      <c r="AO413" s="0" t="s">
        <v>236</v>
      </c>
      <c r="AP413" s="0" t="s">
        <v>237</v>
      </c>
      <c r="AQ413" s="0" t="n">
        <v>9</v>
      </c>
      <c r="AR413" s="0" t="n">
        <v>64</v>
      </c>
      <c r="AS413" s="0" t="n">
        <v>32</v>
      </c>
      <c r="AU413" s="0" t="n">
        <f aca="false">COUNTA($BA$110:$EH$110)</f>
        <v>1</v>
      </c>
      <c r="AV413" s="0" t="n">
        <f aca="false">COUNTIF($BA$110:$EH$110,"D")</f>
        <v>0</v>
      </c>
      <c r="AW413" s="0" t="n">
        <f aca="false">COUNTIF($BA$110:$EH$110,"R")</f>
        <v>0</v>
      </c>
      <c r="AX413" s="0" t="n">
        <f aca="false"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>0</v>
      </c>
      <c r="AY413" s="0" t="n">
        <f aca="false">COUNTIF(DU413:EH413, "&lt;&gt;")</f>
        <v>0</v>
      </c>
      <c r="AZ413" s="0" t="n">
        <f aca="false">IF(EH413&lt;&gt;"",1,0)</f>
        <v>0</v>
      </c>
      <c r="BB413" s="0" t="s">
        <v>153</v>
      </c>
      <c r="BY413" s="0" t="s">
        <v>155</v>
      </c>
      <c r="CA413" s="0" t="s">
        <v>154</v>
      </c>
      <c r="CG413" s="0" t="s">
        <v>154</v>
      </c>
      <c r="CK413" s="0" t="s">
        <v>154</v>
      </c>
      <c r="CN413" s="0" t="s">
        <v>154</v>
      </c>
      <c r="CP413" s="0" t="s">
        <v>154</v>
      </c>
      <c r="CY413" s="0" t="s">
        <v>154</v>
      </c>
      <c r="CZ413" s="0" t="s">
        <v>176</v>
      </c>
      <c r="DC413" s="0" t="s">
        <v>154</v>
      </c>
      <c r="DF413" s="0" t="s">
        <v>154</v>
      </c>
    </row>
    <row r="414" customFormat="false" ht="13.8" hidden="true" customHeight="false" outlineLevel="0" collapsed="false">
      <c r="A414" s="0" t="s">
        <v>2269</v>
      </c>
      <c r="B414" s="0" t="n">
        <v>78</v>
      </c>
      <c r="C414" s="0" t="n">
        <v>434244</v>
      </c>
      <c r="D414" s="0" t="s">
        <v>1920</v>
      </c>
      <c r="E414" s="0" t="s">
        <v>2270</v>
      </c>
      <c r="F414" s="0" t="str">
        <f aca="false">CONCATENATE(D414," ",LEFT(H414,4),"T=",AU414,"D=",AV414,"R=",AW414,"M=",AX414,"L=",AY414,"B=",AZ414)</f>
        <v>KELLY T=40D=10R=0M=0L=0B=0</v>
      </c>
      <c r="G414" s="0" t="s">
        <v>2271</v>
      </c>
      <c r="I414" s="0" t="s">
        <v>2272</v>
      </c>
      <c r="J414" s="0" t="s">
        <v>2273</v>
      </c>
      <c r="K414" s="0" t="s">
        <v>175</v>
      </c>
      <c r="L414" s="0"/>
      <c r="M414" s="0" t="s">
        <v>2265</v>
      </c>
      <c r="N414" s="0" t="str">
        <f aca="false">RIGHT(M414,LEN(M414)-FIND(" ",M414))</f>
        <v>BONNIE BRAE AVE NE</v>
      </c>
      <c r="P414" s="0" t="s">
        <v>146</v>
      </c>
      <c r="Q414" s="0" t="s">
        <v>147</v>
      </c>
      <c r="R414" s="0" t="n">
        <v>44483</v>
      </c>
      <c r="AD414" s="0" t="s">
        <v>148</v>
      </c>
      <c r="AE414" s="0" t="s">
        <v>149</v>
      </c>
      <c r="AF414" s="0" t="s">
        <v>150</v>
      </c>
      <c r="AH414" s="0" t="n">
        <v>14</v>
      </c>
      <c r="AI414" s="0" t="n">
        <v>11</v>
      </c>
      <c r="AN414" s="0" t="s">
        <v>146</v>
      </c>
      <c r="AO414" s="0" t="s">
        <v>236</v>
      </c>
      <c r="AP414" s="0" t="s">
        <v>237</v>
      </c>
      <c r="AQ414" s="0" t="n">
        <v>9</v>
      </c>
      <c r="AR414" s="0" t="n">
        <v>64</v>
      </c>
      <c r="AS414" s="0" t="n">
        <v>32</v>
      </c>
      <c r="AU414" s="0" t="n">
        <f aca="false">COUNTA($BA$430:$EH$430)</f>
        <v>40</v>
      </c>
      <c r="AV414" s="0" t="n">
        <f aca="false">COUNTIF($BA$430:$EH$430,"D")</f>
        <v>10</v>
      </c>
      <c r="AW414" s="0" t="n">
        <f aca="false">COUNTIF($BA$430:$EH$430,"R")</f>
        <v>0</v>
      </c>
      <c r="AX414" s="0" t="n">
        <f aca="false"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>0</v>
      </c>
      <c r="AY414" s="0" t="n">
        <f aca="false">COUNTIF(DU414:EH414, "&lt;&gt;")</f>
        <v>0</v>
      </c>
      <c r="AZ414" s="0" t="n">
        <f aca="false">IF(EH414&lt;&gt;"",1,0)</f>
        <v>0</v>
      </c>
      <c r="BB414" s="0" t="s">
        <v>153</v>
      </c>
    </row>
    <row r="415" customFormat="false" ht="13.8" hidden="true" customHeight="false" outlineLevel="0" collapsed="false">
      <c r="A415" s="0" t="s">
        <v>2274</v>
      </c>
      <c r="B415" s="0" t="n">
        <v>78</v>
      </c>
      <c r="C415" s="0" t="n">
        <v>411021</v>
      </c>
      <c r="D415" s="0" t="s">
        <v>2275</v>
      </c>
      <c r="E415" s="0" t="s">
        <v>2276</v>
      </c>
      <c r="F415" s="0" t="str">
        <f aca="false">CONCATENATE(D415," ",LEFT(H415,4),"T=",AU415,"D=",AV415,"R=",AW415,"M=",AX415,"L=",AY415,"B=",AZ415)</f>
        <v>BENDER SRT=4D=0R=0M=0L=0B=0</v>
      </c>
      <c r="G415" s="0" t="s">
        <v>2277</v>
      </c>
      <c r="H415" s="0" t="s">
        <v>311</v>
      </c>
      <c r="I415" s="0" t="s">
        <v>2278</v>
      </c>
      <c r="J415" s="0" t="s">
        <v>2279</v>
      </c>
      <c r="K415" s="0" t="s">
        <v>175</v>
      </c>
      <c r="L415" s="0"/>
      <c r="M415" s="0" t="s">
        <v>2265</v>
      </c>
      <c r="N415" s="0" t="str">
        <f aca="false">RIGHT(M415,LEN(M415)-FIND(" ",M415))</f>
        <v>BONNIE BRAE AVE NE</v>
      </c>
      <c r="P415" s="0" t="s">
        <v>146</v>
      </c>
      <c r="Q415" s="0" t="s">
        <v>147</v>
      </c>
      <c r="R415" s="0" t="n">
        <v>44483</v>
      </c>
      <c r="AD415" s="0" t="s">
        <v>148</v>
      </c>
      <c r="AE415" s="0" t="s">
        <v>149</v>
      </c>
      <c r="AF415" s="0" t="s">
        <v>150</v>
      </c>
      <c r="AH415" s="0" t="n">
        <v>14</v>
      </c>
      <c r="AI415" s="0" t="n">
        <v>11</v>
      </c>
      <c r="AN415" s="0" t="s">
        <v>146</v>
      </c>
      <c r="AO415" s="0" t="s">
        <v>236</v>
      </c>
      <c r="AP415" s="0" t="s">
        <v>237</v>
      </c>
      <c r="AQ415" s="0" t="n">
        <v>9</v>
      </c>
      <c r="AR415" s="0" t="n">
        <v>64</v>
      </c>
      <c r="AS415" s="0" t="n">
        <v>32</v>
      </c>
      <c r="AU415" s="0" t="n">
        <f aca="false">COUNTA($BA$865:$EH$865)</f>
        <v>4</v>
      </c>
      <c r="AV415" s="0" t="n">
        <f aca="false">COUNTIF($BA$865:$EH$865,"D")</f>
        <v>0</v>
      </c>
      <c r="AW415" s="0" t="n">
        <f aca="false">COUNTIF($BA$865:$EH$865,"R")</f>
        <v>0</v>
      </c>
      <c r="AX415" s="0" t="n">
        <f aca="false"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>0</v>
      </c>
      <c r="AY415" s="0" t="n">
        <f aca="false">COUNTIF(DU415:EH415, "&lt;&gt;")</f>
        <v>0</v>
      </c>
      <c r="AZ415" s="0" t="n">
        <f aca="false">IF(EH415&lt;&gt;"",1,0)</f>
        <v>0</v>
      </c>
      <c r="BB415" s="0" t="s">
        <v>153</v>
      </c>
    </row>
    <row r="416" customFormat="false" ht="13.8" hidden="true" customHeight="false" outlineLevel="0" collapsed="false">
      <c r="A416" s="0" t="s">
        <v>2280</v>
      </c>
      <c r="B416" s="0" t="n">
        <v>78</v>
      </c>
      <c r="C416" s="0" t="n">
        <v>309280</v>
      </c>
      <c r="D416" s="0" t="s">
        <v>2281</v>
      </c>
      <c r="E416" s="0" t="s">
        <v>2282</v>
      </c>
      <c r="F416" s="0" t="str">
        <f aca="false">CONCATENATE(D416," ",LEFT(H416,4),"T=",AU416,"D=",AV416,"R=",AW416,"M=",AX416,"L=",AY416,"B=",AZ416)</f>
        <v>WARFIELD T=16D=1R=1M=0L=1B=0</v>
      </c>
      <c r="I416" s="0" t="s">
        <v>2283</v>
      </c>
      <c r="J416" s="0" t="s">
        <v>2284</v>
      </c>
      <c r="K416" s="0" t="s">
        <v>175</v>
      </c>
      <c r="L416" s="0"/>
      <c r="M416" s="0" t="s">
        <v>2285</v>
      </c>
      <c r="N416" s="0" t="str">
        <f aca="false">RIGHT(M416,LEN(M416)-FIND(" ",M416))</f>
        <v>BONNIE BRAE AVE NE</v>
      </c>
      <c r="P416" s="0" t="s">
        <v>146</v>
      </c>
      <c r="Q416" s="0" t="s">
        <v>147</v>
      </c>
      <c r="R416" s="0" t="n">
        <v>44483</v>
      </c>
      <c r="AD416" s="0" t="s">
        <v>148</v>
      </c>
      <c r="AE416" s="0" t="s">
        <v>149</v>
      </c>
      <c r="AF416" s="0" t="s">
        <v>150</v>
      </c>
      <c r="AH416" s="0" t="n">
        <v>14</v>
      </c>
      <c r="AI416" s="0" t="n">
        <v>11</v>
      </c>
      <c r="AN416" s="0" t="s">
        <v>146</v>
      </c>
      <c r="AO416" s="0" t="s">
        <v>236</v>
      </c>
      <c r="AP416" s="0" t="s">
        <v>237</v>
      </c>
      <c r="AQ416" s="0" t="n">
        <v>9</v>
      </c>
      <c r="AR416" s="0" t="n">
        <v>64</v>
      </c>
      <c r="AS416" s="0" t="n">
        <v>32</v>
      </c>
      <c r="AU416" s="0" t="n">
        <f aca="false">COUNTA($BA$437:$EH$437)</f>
        <v>16</v>
      </c>
      <c r="AV416" s="0" t="n">
        <f aca="false">COUNTIF($BA$437:$EH$437,"D")</f>
        <v>1</v>
      </c>
      <c r="AW416" s="0" t="n">
        <f aca="false">COUNTIF($BA$437:$EH$437,"R")</f>
        <v>1</v>
      </c>
      <c r="AX416" s="0" t="n">
        <f aca="false"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>0</v>
      </c>
      <c r="AY416" s="0" t="n">
        <f aca="false">COUNTIF(DU416:EH416, "&lt;&gt;")</f>
        <v>1</v>
      </c>
      <c r="AZ416" s="0" t="n">
        <f aca="false">IF(EH416&lt;&gt;"",1,0)</f>
        <v>0</v>
      </c>
      <c r="BB416" s="0" t="s">
        <v>153</v>
      </c>
      <c r="BY416" s="0" t="s">
        <v>155</v>
      </c>
      <c r="CA416" s="0" t="s">
        <v>154</v>
      </c>
      <c r="CK416" s="0" t="s">
        <v>154</v>
      </c>
      <c r="CP416" s="0" t="s">
        <v>154</v>
      </c>
      <c r="CZ416" s="0" t="s">
        <v>176</v>
      </c>
      <c r="DC416" s="0" t="s">
        <v>154</v>
      </c>
      <c r="DI416" s="0" t="s">
        <v>154</v>
      </c>
      <c r="DN416" s="0" t="s">
        <v>154</v>
      </c>
      <c r="EF416" s="0" t="s">
        <v>154</v>
      </c>
    </row>
    <row r="417" customFormat="false" ht="13.8" hidden="false" customHeight="false" outlineLevel="0" collapsed="false">
      <c r="A417" s="0" t="s">
        <v>2286</v>
      </c>
      <c r="B417" s="0" t="n">
        <v>78</v>
      </c>
      <c r="C417" s="0" t="n">
        <v>314228</v>
      </c>
      <c r="D417" s="0" t="s">
        <v>2281</v>
      </c>
      <c r="E417" s="0" t="s">
        <v>2287</v>
      </c>
      <c r="F417" s="0" t="str">
        <f aca="false">CONCATENATE(D417," ",LEFT(H417,4),"T=",AU417,"D=",AV417,"R=",AW417,"M=",AX417,"L=",AY417,"B=",AZ417)</f>
        <v>WARFIELD SRT=2D=0R=0M=1L=3B=0</v>
      </c>
      <c r="G417" s="0" t="s">
        <v>317</v>
      </c>
      <c r="H417" s="0" t="s">
        <v>311</v>
      </c>
      <c r="I417" s="0" t="s">
        <v>2288</v>
      </c>
      <c r="J417" s="0" t="s">
        <v>2289</v>
      </c>
      <c r="K417" s="0" t="s">
        <v>175</v>
      </c>
      <c r="L417" s="1" t="s">
        <v>155</v>
      </c>
      <c r="M417" s="0" t="s">
        <v>2285</v>
      </c>
      <c r="N417" s="0" t="str">
        <f aca="false">RIGHT(M417,LEN(M417)-FIND(" ",M417))</f>
        <v>BONNIE BRAE AVE NE</v>
      </c>
      <c r="P417" s="0" t="s">
        <v>146</v>
      </c>
      <c r="Q417" s="0" t="s">
        <v>147</v>
      </c>
      <c r="R417" s="0" t="n">
        <v>44483</v>
      </c>
      <c r="AD417" s="0" t="s">
        <v>148</v>
      </c>
      <c r="AE417" s="0" t="s">
        <v>149</v>
      </c>
      <c r="AF417" s="0" t="s">
        <v>150</v>
      </c>
      <c r="AH417" s="0" t="n">
        <v>14</v>
      </c>
      <c r="AI417" s="0" t="n">
        <v>11</v>
      </c>
      <c r="AN417" s="0" t="s">
        <v>146</v>
      </c>
      <c r="AO417" s="0" t="s">
        <v>236</v>
      </c>
      <c r="AP417" s="0" t="s">
        <v>237</v>
      </c>
      <c r="AQ417" s="0" t="n">
        <v>9</v>
      </c>
      <c r="AR417" s="0" t="n">
        <v>64</v>
      </c>
      <c r="AS417" s="0" t="n">
        <v>32</v>
      </c>
      <c r="AU417" s="0" t="n">
        <f aca="false">COUNTA($BA$917:$EH$917)</f>
        <v>2</v>
      </c>
      <c r="AV417" s="0" t="n">
        <f aca="false">COUNTIF($BA$917:$EH$917,"D")</f>
        <v>0</v>
      </c>
      <c r="AW417" s="0" t="n">
        <f aca="false">COUNTIF($BA$917:$EH$917,"R")</f>
        <v>0</v>
      </c>
      <c r="AX417" s="0" t="n">
        <f aca="false"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>1</v>
      </c>
      <c r="AY417" s="0" t="n">
        <f aca="false">COUNTIF(DU417:EH417, "&lt;&gt;")</f>
        <v>3</v>
      </c>
      <c r="AZ417" s="0" t="n">
        <f aca="false">IF(EH417&lt;&gt;"",1,0)</f>
        <v>0</v>
      </c>
      <c r="BB417" s="0" t="s">
        <v>153</v>
      </c>
      <c r="CO417" s="0" t="s">
        <v>155</v>
      </c>
      <c r="CV417" s="0" t="s">
        <v>154</v>
      </c>
      <c r="CZ417" s="0" t="s">
        <v>155</v>
      </c>
      <c r="DC417" s="0" t="s">
        <v>154</v>
      </c>
      <c r="DI417" s="0" t="s">
        <v>154</v>
      </c>
      <c r="DN417" s="0" t="s">
        <v>154</v>
      </c>
      <c r="DU417" s="0" t="s">
        <v>154</v>
      </c>
      <c r="DW417" s="0" t="s">
        <v>155</v>
      </c>
      <c r="EF417" s="0" t="s">
        <v>154</v>
      </c>
    </row>
    <row r="418" customFormat="false" ht="13.8" hidden="true" customHeight="false" outlineLevel="0" collapsed="false">
      <c r="A418" s="0" t="s">
        <v>2290</v>
      </c>
      <c r="B418" s="0" t="n">
        <v>78</v>
      </c>
      <c r="C418" s="0" t="n">
        <v>440913</v>
      </c>
      <c r="D418" s="0" t="s">
        <v>2291</v>
      </c>
      <c r="E418" s="0" t="s">
        <v>2292</v>
      </c>
      <c r="F418" s="0" t="str">
        <f aca="false">CONCATENATE(D418," ",LEFT(H418,4),"T=",AU418,"D=",AV418,"R=",AW418,"M=",AX418,"L=",AY418,"B=",AZ418)</f>
        <v>SOLTIS T=12D=0R=0M=0L=1B=0</v>
      </c>
      <c r="G418" s="0" t="s">
        <v>2293</v>
      </c>
      <c r="I418" s="0" t="s">
        <v>2294</v>
      </c>
      <c r="J418" s="0" t="s">
        <v>1908</v>
      </c>
      <c r="K418" s="0" t="s">
        <v>175</v>
      </c>
      <c r="L418" s="0"/>
      <c r="M418" s="0" t="s">
        <v>2295</v>
      </c>
      <c r="N418" s="0" t="str">
        <f aca="false">RIGHT(M418,LEN(M418)-FIND(" ",M418))</f>
        <v>BONNIE BRAE AVE NE</v>
      </c>
      <c r="P418" s="0" t="s">
        <v>146</v>
      </c>
      <c r="Q418" s="0" t="s">
        <v>147</v>
      </c>
      <c r="R418" s="0" t="n">
        <v>44483</v>
      </c>
      <c r="AD418" s="0" t="s">
        <v>148</v>
      </c>
      <c r="AE418" s="0" t="s">
        <v>149</v>
      </c>
      <c r="AF418" s="0" t="s">
        <v>150</v>
      </c>
      <c r="AH418" s="0" t="n">
        <v>14</v>
      </c>
      <c r="AI418" s="0" t="n">
        <v>11</v>
      </c>
      <c r="AN418" s="0" t="s">
        <v>146</v>
      </c>
      <c r="AO418" s="0" t="s">
        <v>236</v>
      </c>
      <c r="AP418" s="0" t="s">
        <v>237</v>
      </c>
      <c r="AQ418" s="0" t="n">
        <v>9</v>
      </c>
      <c r="AR418" s="0" t="n">
        <v>64</v>
      </c>
      <c r="AS418" s="0" t="n">
        <v>32</v>
      </c>
      <c r="AU418" s="0" t="n">
        <f aca="false">COUNTA($BA$76:$EH$76)</f>
        <v>12</v>
      </c>
      <c r="AV418" s="0" t="n">
        <f aca="false">COUNTIF($BA$76:$EH$76,"D")</f>
        <v>0</v>
      </c>
      <c r="AW418" s="0" t="n">
        <f aca="false">COUNTIF($BA$76:$EH$76,"R")</f>
        <v>0</v>
      </c>
      <c r="AX418" s="0" t="n">
        <f aca="false"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>0</v>
      </c>
      <c r="AY418" s="0" t="n">
        <f aca="false">COUNTIF(DU418:EH418, "&lt;&gt;")</f>
        <v>1</v>
      </c>
      <c r="AZ418" s="0" t="n">
        <f aca="false">IF(EH418&lt;&gt;"",1,0)</f>
        <v>0</v>
      </c>
      <c r="BB418" s="0" t="s">
        <v>153</v>
      </c>
      <c r="BJ418" s="0" t="s">
        <v>154</v>
      </c>
      <c r="BK418" s="0" t="s">
        <v>176</v>
      </c>
      <c r="BL418" s="0" t="s">
        <v>154</v>
      </c>
      <c r="BP418" s="0" t="s">
        <v>154</v>
      </c>
      <c r="BS418" s="0" t="s">
        <v>154</v>
      </c>
      <c r="BV418" s="0" t="s">
        <v>154</v>
      </c>
      <c r="BY418" s="0" t="s">
        <v>155</v>
      </c>
      <c r="CA418" s="0" t="s">
        <v>154</v>
      </c>
      <c r="CP418" s="0" t="s">
        <v>154</v>
      </c>
      <c r="DN418" s="0" t="s">
        <v>154</v>
      </c>
      <c r="EF418" s="0" t="s">
        <v>154</v>
      </c>
    </row>
    <row r="419" customFormat="false" ht="13.8" hidden="false" customHeight="false" outlineLevel="0" collapsed="false">
      <c r="A419" s="0" t="s">
        <v>2296</v>
      </c>
      <c r="B419" s="0" t="n">
        <v>78</v>
      </c>
      <c r="C419" s="0" t="n">
        <v>4092</v>
      </c>
      <c r="D419" s="0" t="s">
        <v>2297</v>
      </c>
      <c r="E419" s="0" t="s">
        <v>2298</v>
      </c>
      <c r="F419" s="0" t="str">
        <f aca="false">CONCATENATE(D419," ",LEFT(H419,4),"T=",AU419,"D=",AV419,"R=",AW419,"M=",AX419,"L=",AY419,"B=",AZ419)</f>
        <v>KARAFA T=3D=0R=0M=7L=7B=1</v>
      </c>
      <c r="G419" s="0" t="s">
        <v>297</v>
      </c>
      <c r="I419" s="0" t="s">
        <v>2299</v>
      </c>
      <c r="J419" s="0" t="s">
        <v>2300</v>
      </c>
      <c r="K419" s="0" t="s">
        <v>175</v>
      </c>
      <c r="L419" s="1" t="s">
        <v>155</v>
      </c>
      <c r="M419" s="0" t="s">
        <v>2301</v>
      </c>
      <c r="N419" s="0" t="str">
        <f aca="false">RIGHT(M419,LEN(M419)-FIND(" ",M419))</f>
        <v>BONNIE BRAE AVE NE</v>
      </c>
      <c r="P419" s="0" t="s">
        <v>146</v>
      </c>
      <c r="Q419" s="0" t="s">
        <v>147</v>
      </c>
      <c r="R419" s="0" t="n">
        <v>44483</v>
      </c>
      <c r="AD419" s="0" t="s">
        <v>148</v>
      </c>
      <c r="AE419" s="0" t="s">
        <v>149</v>
      </c>
      <c r="AF419" s="0" t="s">
        <v>150</v>
      </c>
      <c r="AH419" s="0" t="n">
        <v>14</v>
      </c>
      <c r="AI419" s="0" t="n">
        <v>11</v>
      </c>
      <c r="AN419" s="0" t="s">
        <v>146</v>
      </c>
      <c r="AO419" s="0" t="s">
        <v>236</v>
      </c>
      <c r="AP419" s="0" t="s">
        <v>237</v>
      </c>
      <c r="AQ419" s="0" t="n">
        <v>9</v>
      </c>
      <c r="AR419" s="0" t="n">
        <v>64</v>
      </c>
      <c r="AS419" s="0" t="n">
        <v>32</v>
      </c>
      <c r="AU419" s="0" t="n">
        <f aca="false">COUNTA($BA$989:$EH$989)</f>
        <v>3</v>
      </c>
      <c r="AV419" s="0" t="n">
        <f aca="false">COUNTIF($BA$989:$EH$989,"D")</f>
        <v>0</v>
      </c>
      <c r="AW419" s="0" t="n">
        <f aca="false">COUNTIF($BA$989:$EH$989,"R")</f>
        <v>0</v>
      </c>
      <c r="AX419" s="0" t="n">
        <f aca="false"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>7</v>
      </c>
      <c r="AY419" s="0" t="n">
        <f aca="false">COUNTIF(DU419:EH419, "&lt;&gt;")</f>
        <v>7</v>
      </c>
      <c r="AZ419" s="0" t="n">
        <f aca="false">IF(EH419&lt;&gt;"",1,0)</f>
        <v>1</v>
      </c>
      <c r="BB419" s="0" t="s">
        <v>153</v>
      </c>
      <c r="BC419" s="0" t="s">
        <v>154</v>
      </c>
      <c r="BD419" s="0" t="s">
        <v>154</v>
      </c>
      <c r="BE419" s="0" t="s">
        <v>154</v>
      </c>
      <c r="BF419" s="0" t="s">
        <v>154</v>
      </c>
      <c r="BG419" s="0" t="s">
        <v>154</v>
      </c>
      <c r="BH419" s="0" t="s">
        <v>154</v>
      </c>
      <c r="BI419" s="0" t="s">
        <v>154</v>
      </c>
      <c r="BJ419" s="0" t="s">
        <v>154</v>
      </c>
      <c r="BK419" s="0" t="s">
        <v>154</v>
      </c>
      <c r="BL419" s="0" t="s">
        <v>154</v>
      </c>
      <c r="BP419" s="0" t="s">
        <v>154</v>
      </c>
      <c r="BR419" s="0" t="s">
        <v>154</v>
      </c>
      <c r="BS419" s="0" t="s">
        <v>154</v>
      </c>
      <c r="BV419" s="0" t="s">
        <v>154</v>
      </c>
      <c r="BY419" s="0" t="s">
        <v>155</v>
      </c>
      <c r="CA419" s="0" t="s">
        <v>154</v>
      </c>
      <c r="CG419" s="0" t="s">
        <v>154</v>
      </c>
      <c r="CH419" s="0" t="s">
        <v>176</v>
      </c>
      <c r="CK419" s="0" t="s">
        <v>154</v>
      </c>
      <c r="CL419" s="0" t="s">
        <v>155</v>
      </c>
      <c r="CN419" s="0" t="s">
        <v>154</v>
      </c>
      <c r="CO419" s="0" t="s">
        <v>155</v>
      </c>
      <c r="CP419" s="0" t="s">
        <v>154</v>
      </c>
      <c r="CQ419" s="0" t="s">
        <v>155</v>
      </c>
      <c r="CT419" s="0" t="s">
        <v>154</v>
      </c>
      <c r="CU419" s="0" t="s">
        <v>155</v>
      </c>
      <c r="CV419" s="0" t="s">
        <v>154</v>
      </c>
      <c r="CW419" s="0" t="s">
        <v>155</v>
      </c>
      <c r="CY419" s="0" t="s">
        <v>154</v>
      </c>
      <c r="CZ419" s="0" t="s">
        <v>155</v>
      </c>
      <c r="DC419" s="0" t="s">
        <v>154</v>
      </c>
      <c r="DD419" s="0" t="s">
        <v>155</v>
      </c>
      <c r="DF419" s="0" t="s">
        <v>154</v>
      </c>
      <c r="DG419" s="0" t="s">
        <v>155</v>
      </c>
      <c r="DI419" s="0" t="s">
        <v>154</v>
      </c>
      <c r="DJ419" s="0" t="s">
        <v>155</v>
      </c>
      <c r="DL419" s="0" t="s">
        <v>154</v>
      </c>
      <c r="DM419" s="0" t="s">
        <v>155</v>
      </c>
      <c r="DN419" s="0" t="s">
        <v>154</v>
      </c>
      <c r="DS419" s="0" t="s">
        <v>155</v>
      </c>
      <c r="DU419" s="0" t="s">
        <v>154</v>
      </c>
      <c r="DW419" s="0" t="s">
        <v>155</v>
      </c>
      <c r="DX419" s="0" t="s">
        <v>154</v>
      </c>
      <c r="EA419" s="0" t="s">
        <v>154</v>
      </c>
      <c r="ED419" s="0" t="s">
        <v>155</v>
      </c>
      <c r="EF419" s="0" t="s">
        <v>154</v>
      </c>
      <c r="EH419" s="0" t="s">
        <v>155</v>
      </c>
    </row>
    <row r="420" customFormat="false" ht="13.8" hidden="false" customHeight="false" outlineLevel="0" collapsed="false">
      <c r="A420" s="0" t="s">
        <v>2302</v>
      </c>
      <c r="B420" s="0" t="n">
        <v>78</v>
      </c>
      <c r="C420" s="0" t="n">
        <v>4091</v>
      </c>
      <c r="D420" s="0" t="s">
        <v>2297</v>
      </c>
      <c r="E420" s="0" t="s">
        <v>2303</v>
      </c>
      <c r="F420" s="0" t="str">
        <f aca="false">CONCATENATE(D420," ",LEFT(H420,4),"T=",AU420,"D=",AV420,"R=",AW420,"M=",AX420,"L=",AY420,"B=",AZ420)</f>
        <v>KARAFA T=3D=0R=0M=7L=7B=1</v>
      </c>
      <c r="G420" s="0" t="s">
        <v>172</v>
      </c>
      <c r="I420" s="0" t="s">
        <v>2304</v>
      </c>
      <c r="J420" s="0" t="s">
        <v>2305</v>
      </c>
      <c r="K420" s="0" t="s">
        <v>175</v>
      </c>
      <c r="L420" s="1" t="s">
        <v>155</v>
      </c>
      <c r="M420" s="0" t="s">
        <v>2301</v>
      </c>
      <c r="N420" s="0" t="str">
        <f aca="false">RIGHT(M420,LEN(M420)-FIND(" ",M420))</f>
        <v>BONNIE BRAE AVE NE</v>
      </c>
      <c r="P420" s="0" t="s">
        <v>146</v>
      </c>
      <c r="Q420" s="0" t="s">
        <v>147</v>
      </c>
      <c r="R420" s="0" t="n">
        <v>44483</v>
      </c>
      <c r="AD420" s="0" t="s">
        <v>148</v>
      </c>
      <c r="AE420" s="0" t="s">
        <v>149</v>
      </c>
      <c r="AF420" s="0" t="s">
        <v>150</v>
      </c>
      <c r="AH420" s="0" t="n">
        <v>14</v>
      </c>
      <c r="AI420" s="0" t="n">
        <v>11</v>
      </c>
      <c r="AN420" s="0" t="s">
        <v>146</v>
      </c>
      <c r="AO420" s="0" t="s">
        <v>236</v>
      </c>
      <c r="AP420" s="0" t="s">
        <v>237</v>
      </c>
      <c r="AQ420" s="0" t="n">
        <v>9</v>
      </c>
      <c r="AR420" s="0" t="n">
        <v>64</v>
      </c>
      <c r="AS420" s="0" t="n">
        <v>32</v>
      </c>
      <c r="AU420" s="0" t="n">
        <f aca="false">COUNTA($BA$997:$EH$997)</f>
        <v>3</v>
      </c>
      <c r="AV420" s="0" t="n">
        <f aca="false">COUNTIF($BA$997:$EH$997,"D")</f>
        <v>0</v>
      </c>
      <c r="AW420" s="0" t="n">
        <f aca="false">COUNTIF($BA$997:$EH$997,"R")</f>
        <v>0</v>
      </c>
      <c r="AX420" s="0" t="n">
        <f aca="false"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>7</v>
      </c>
      <c r="AY420" s="0" t="n">
        <f aca="false">COUNTIF(DU420:EH420, "&lt;&gt;")</f>
        <v>7</v>
      </c>
      <c r="AZ420" s="0" t="n">
        <f aca="false">IF(EH420&lt;&gt;"",1,0)</f>
        <v>1</v>
      </c>
      <c r="BB420" s="0" t="s">
        <v>153</v>
      </c>
      <c r="BC420" s="0" t="s">
        <v>154</v>
      </c>
      <c r="BD420" s="0" t="s">
        <v>154</v>
      </c>
      <c r="BE420" s="0" t="s">
        <v>154</v>
      </c>
      <c r="BF420" s="0" t="s">
        <v>154</v>
      </c>
      <c r="BG420" s="0" t="s">
        <v>154</v>
      </c>
      <c r="BH420" s="0" t="s">
        <v>154</v>
      </c>
      <c r="BI420" s="0" t="s">
        <v>154</v>
      </c>
      <c r="BJ420" s="0" t="s">
        <v>154</v>
      </c>
      <c r="BK420" s="0" t="s">
        <v>154</v>
      </c>
      <c r="BL420" s="0" t="s">
        <v>154</v>
      </c>
      <c r="BP420" s="0" t="s">
        <v>154</v>
      </c>
      <c r="BR420" s="0" t="s">
        <v>154</v>
      </c>
      <c r="BS420" s="0" t="s">
        <v>154</v>
      </c>
      <c r="BV420" s="0" t="s">
        <v>154</v>
      </c>
      <c r="BY420" s="0" t="s">
        <v>155</v>
      </c>
      <c r="CA420" s="0" t="s">
        <v>154</v>
      </c>
      <c r="CG420" s="0" t="s">
        <v>154</v>
      </c>
      <c r="CH420" s="0" t="s">
        <v>176</v>
      </c>
      <c r="CK420" s="0" t="s">
        <v>154</v>
      </c>
      <c r="CL420" s="0" t="s">
        <v>155</v>
      </c>
      <c r="CN420" s="0" t="s">
        <v>154</v>
      </c>
      <c r="CO420" s="0" t="s">
        <v>155</v>
      </c>
      <c r="CP420" s="0" t="s">
        <v>154</v>
      </c>
      <c r="CQ420" s="0" t="s">
        <v>155</v>
      </c>
      <c r="CT420" s="0" t="s">
        <v>154</v>
      </c>
      <c r="CU420" s="0" t="s">
        <v>155</v>
      </c>
      <c r="CV420" s="0" t="s">
        <v>154</v>
      </c>
      <c r="CW420" s="0" t="s">
        <v>155</v>
      </c>
      <c r="CY420" s="0" t="s">
        <v>154</v>
      </c>
      <c r="CZ420" s="0" t="s">
        <v>155</v>
      </c>
      <c r="DC420" s="0" t="s">
        <v>154</v>
      </c>
      <c r="DD420" s="0" t="s">
        <v>155</v>
      </c>
      <c r="DF420" s="0" t="s">
        <v>154</v>
      </c>
      <c r="DG420" s="0" t="s">
        <v>155</v>
      </c>
      <c r="DI420" s="0" t="s">
        <v>154</v>
      </c>
      <c r="DJ420" s="0" t="s">
        <v>155</v>
      </c>
      <c r="DL420" s="0" t="s">
        <v>154</v>
      </c>
      <c r="DM420" s="0" t="s">
        <v>155</v>
      </c>
      <c r="DN420" s="0" t="s">
        <v>154</v>
      </c>
      <c r="DS420" s="0" t="s">
        <v>155</v>
      </c>
      <c r="DU420" s="0" t="s">
        <v>154</v>
      </c>
      <c r="DW420" s="0" t="s">
        <v>155</v>
      </c>
      <c r="DX420" s="0" t="s">
        <v>154</v>
      </c>
      <c r="EA420" s="0" t="s">
        <v>154</v>
      </c>
      <c r="ED420" s="0" t="s">
        <v>155</v>
      </c>
      <c r="EF420" s="0" t="s">
        <v>154</v>
      </c>
      <c r="EH420" s="0" t="s">
        <v>155</v>
      </c>
    </row>
    <row r="421" customFormat="false" ht="13.8" hidden="true" customHeight="false" outlineLevel="0" collapsed="false">
      <c r="A421" s="0" t="s">
        <v>2306</v>
      </c>
      <c r="B421" s="0" t="n">
        <v>78</v>
      </c>
      <c r="C421" s="0" t="n">
        <v>491077</v>
      </c>
      <c r="D421" s="0" t="s">
        <v>2307</v>
      </c>
      <c r="E421" s="0" t="s">
        <v>430</v>
      </c>
      <c r="F421" s="0" t="str">
        <f aca="false">CONCATENATE(D421," ",LEFT(H421,4),"T=",AU421,"D=",AV421,"R=",AW421,"M=",AX421,"L=",AY421,"B=",AZ421)</f>
        <v>METZ T=3D=0R=0M=2L=1B=0</v>
      </c>
      <c r="G421" s="0" t="s">
        <v>139</v>
      </c>
      <c r="I421" s="0" t="s">
        <v>2308</v>
      </c>
      <c r="J421" s="0" t="s">
        <v>1908</v>
      </c>
      <c r="K421" s="0" t="s">
        <v>175</v>
      </c>
      <c r="L421" s="0"/>
      <c r="M421" s="0" t="s">
        <v>2309</v>
      </c>
      <c r="N421" s="0" t="str">
        <f aca="false">RIGHT(M421,LEN(M421)-FIND(" ",M421))</f>
        <v>BONNIE BRAE AVE NE</v>
      </c>
      <c r="P421" s="0" t="s">
        <v>146</v>
      </c>
      <c r="Q421" s="0" t="s">
        <v>147</v>
      </c>
      <c r="R421" s="0" t="n">
        <v>44483</v>
      </c>
      <c r="AD421" s="0" t="s">
        <v>148</v>
      </c>
      <c r="AE421" s="0" t="s">
        <v>149</v>
      </c>
      <c r="AF421" s="0" t="s">
        <v>150</v>
      </c>
      <c r="AH421" s="0" t="n">
        <v>14</v>
      </c>
      <c r="AI421" s="0" t="n">
        <v>11</v>
      </c>
      <c r="AN421" s="0" t="s">
        <v>146</v>
      </c>
      <c r="AO421" s="0" t="s">
        <v>236</v>
      </c>
      <c r="AP421" s="0" t="s">
        <v>237</v>
      </c>
      <c r="AQ421" s="0" t="n">
        <v>9</v>
      </c>
      <c r="AR421" s="0" t="n">
        <v>64</v>
      </c>
      <c r="AS421" s="0" t="n">
        <v>32</v>
      </c>
      <c r="AU421" s="0" t="n">
        <f aca="false">COUNTA($BA$19:$EH$19)</f>
        <v>3</v>
      </c>
      <c r="AV421" s="0" t="n">
        <f aca="false">COUNTIF($BA$19:$EH$19,"D")</f>
        <v>0</v>
      </c>
      <c r="AW421" s="0" t="n">
        <f aca="false">COUNTIF($BA$19:$EH$19,"R")</f>
        <v>0</v>
      </c>
      <c r="AX421" s="0" t="n">
        <f aca="false"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>2</v>
      </c>
      <c r="AY421" s="0" t="n">
        <f aca="false">COUNTIF(DU421:EH421, "&lt;&gt;")</f>
        <v>1</v>
      </c>
      <c r="AZ421" s="0" t="n">
        <f aca="false">IF(EH421&lt;&gt;"",1,0)</f>
        <v>0</v>
      </c>
      <c r="BB421" s="0" t="s">
        <v>153</v>
      </c>
      <c r="CA421" s="0" t="s">
        <v>154</v>
      </c>
      <c r="CC421" s="0" t="s">
        <v>155</v>
      </c>
      <c r="CG421" s="0" t="s">
        <v>154</v>
      </c>
      <c r="CH421" s="0" t="s">
        <v>155</v>
      </c>
      <c r="CK421" s="0" t="s">
        <v>154</v>
      </c>
      <c r="CL421" s="0" t="s">
        <v>155</v>
      </c>
      <c r="CN421" s="0" t="s">
        <v>154</v>
      </c>
      <c r="EF421" s="0" t="s">
        <v>154</v>
      </c>
    </row>
    <row r="422" customFormat="false" ht="13.8" hidden="true" customHeight="false" outlineLevel="0" collapsed="false">
      <c r="A422" s="0" t="s">
        <v>2310</v>
      </c>
      <c r="B422" s="0" t="n">
        <v>78</v>
      </c>
      <c r="C422" s="0" t="n">
        <v>406915</v>
      </c>
      <c r="D422" s="0" t="s">
        <v>2311</v>
      </c>
      <c r="E422" s="0" t="s">
        <v>283</v>
      </c>
      <c r="F422" s="0" t="str">
        <f aca="false">CONCATENATE(D422," ",LEFT(H422,4),"T=",AU422,"D=",AV422,"R=",AW422,"M=",AX422,"L=",AY422,"B=",AZ422)</f>
        <v>LEWIS T=4D=0R=0M=0L=0B=0</v>
      </c>
      <c r="G422" s="0" t="s">
        <v>1702</v>
      </c>
      <c r="I422" s="0" t="s">
        <v>2312</v>
      </c>
      <c r="J422" s="0" t="s">
        <v>2313</v>
      </c>
      <c r="K422" s="0" t="s">
        <v>144</v>
      </c>
      <c r="L422" s="0"/>
      <c r="M422" s="0" t="s">
        <v>2314</v>
      </c>
      <c r="N422" s="0" t="str">
        <f aca="false">RIGHT(M422,LEN(M422)-FIND(" ",M422))</f>
        <v>BONNIE BRAE AVE NE</v>
      </c>
      <c r="P422" s="0" t="s">
        <v>146</v>
      </c>
      <c r="Q422" s="0" t="s">
        <v>147</v>
      </c>
      <c r="R422" s="0" t="n">
        <v>44483</v>
      </c>
      <c r="AD422" s="0" t="s">
        <v>148</v>
      </c>
      <c r="AE422" s="0" t="s">
        <v>149</v>
      </c>
      <c r="AF422" s="0" t="s">
        <v>150</v>
      </c>
      <c r="AH422" s="0" t="n">
        <v>14</v>
      </c>
      <c r="AI422" s="0" t="n">
        <v>11</v>
      </c>
      <c r="AN422" s="0" t="s">
        <v>146</v>
      </c>
      <c r="AO422" s="0" t="s">
        <v>236</v>
      </c>
      <c r="AP422" s="0" t="s">
        <v>237</v>
      </c>
      <c r="AQ422" s="0" t="n">
        <v>9</v>
      </c>
      <c r="AR422" s="0" t="n">
        <v>64</v>
      </c>
      <c r="AS422" s="0" t="n">
        <v>32</v>
      </c>
      <c r="AU422" s="0" t="n">
        <f aca="false">COUNTA($BA$128:$EH$128)</f>
        <v>4</v>
      </c>
      <c r="AV422" s="0" t="n">
        <f aca="false">COUNTIF($BA$128:$EH$128,"D")</f>
        <v>0</v>
      </c>
      <c r="AW422" s="0" t="n">
        <f aca="false">COUNTIF($BA$128:$EH$128,"R")</f>
        <v>0</v>
      </c>
      <c r="AX422" s="0" t="n">
        <f aca="false"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>0</v>
      </c>
      <c r="AY422" s="0" t="n">
        <f aca="false">COUNTIF(DU422:EH422, "&lt;&gt;")</f>
        <v>0</v>
      </c>
      <c r="AZ422" s="0" t="n">
        <f aca="false">IF(EH422&lt;&gt;"",1,0)</f>
        <v>0</v>
      </c>
      <c r="BB422" s="0" t="s">
        <v>153</v>
      </c>
      <c r="DC422" s="0" t="s">
        <v>154</v>
      </c>
      <c r="DN422" s="0" t="s">
        <v>154</v>
      </c>
    </row>
    <row r="423" customFormat="false" ht="13.8" hidden="false" customHeight="false" outlineLevel="0" collapsed="false">
      <c r="A423" s="0" t="s">
        <v>2315</v>
      </c>
      <c r="B423" s="0" t="n">
        <v>78</v>
      </c>
      <c r="C423" s="0" t="n">
        <v>483443</v>
      </c>
      <c r="D423" s="0" t="s">
        <v>2316</v>
      </c>
      <c r="E423" s="0" t="s">
        <v>429</v>
      </c>
      <c r="F423" s="0" t="str">
        <f aca="false">CONCATENATE(D423," ",LEFT(H423,4),"T=",AU423,"D=",AV423,"R=",AW423,"M=",AX423,"L=",AY423,"B=",AZ423)</f>
        <v>BOURGEOIS T=1D=0R=0M=0L=2B=0</v>
      </c>
      <c r="G423" s="0" t="s">
        <v>2317</v>
      </c>
      <c r="I423" s="0" t="s">
        <v>2318</v>
      </c>
      <c r="J423" s="0" t="s">
        <v>2319</v>
      </c>
      <c r="K423" s="0" t="s">
        <v>175</v>
      </c>
      <c r="L423" s="1" t="s">
        <v>176</v>
      </c>
      <c r="M423" s="0" t="s">
        <v>2314</v>
      </c>
      <c r="N423" s="0" t="str">
        <f aca="false">RIGHT(M423,LEN(M423)-FIND(" ",M423))</f>
        <v>BONNIE BRAE AVE NE</v>
      </c>
      <c r="P423" s="0" t="s">
        <v>146</v>
      </c>
      <c r="Q423" s="0" t="s">
        <v>147</v>
      </c>
      <c r="R423" s="0" t="n">
        <v>44483</v>
      </c>
      <c r="AD423" s="0" t="s">
        <v>148</v>
      </c>
      <c r="AE423" s="0" t="s">
        <v>149</v>
      </c>
      <c r="AF423" s="0" t="s">
        <v>150</v>
      </c>
      <c r="AH423" s="0" t="n">
        <v>14</v>
      </c>
      <c r="AI423" s="0" t="n">
        <v>11</v>
      </c>
      <c r="AN423" s="0" t="s">
        <v>146</v>
      </c>
      <c r="AO423" s="0" t="s">
        <v>236</v>
      </c>
      <c r="AP423" s="0" t="s">
        <v>237</v>
      </c>
      <c r="AQ423" s="0" t="n">
        <v>9</v>
      </c>
      <c r="AR423" s="0" t="n">
        <v>64</v>
      </c>
      <c r="AS423" s="0" t="n">
        <v>32</v>
      </c>
      <c r="AU423" s="0" t="n">
        <f aca="false">COUNTA($BA$338:$EH$338)</f>
        <v>1</v>
      </c>
      <c r="AV423" s="0" t="n">
        <f aca="false">COUNTIF($BA$338:$EH$338,"D")</f>
        <v>0</v>
      </c>
      <c r="AW423" s="0" t="n">
        <f aca="false">COUNTIF($BA$338:$EH$338,"R")</f>
        <v>0</v>
      </c>
      <c r="AX423" s="0" t="n">
        <f aca="false"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>0</v>
      </c>
      <c r="AY423" s="0" t="n">
        <f aca="false">COUNTIF(DU423:EH423, "&lt;&gt;")</f>
        <v>2</v>
      </c>
      <c r="AZ423" s="0" t="n">
        <f aca="false">IF(EH423&lt;&gt;"",1,0)</f>
        <v>0</v>
      </c>
      <c r="BB423" s="0" t="s">
        <v>153</v>
      </c>
      <c r="ED423" s="0" t="s">
        <v>176</v>
      </c>
      <c r="EF423" s="0" t="s">
        <v>154</v>
      </c>
    </row>
    <row r="424" customFormat="false" ht="13.8" hidden="false" customHeight="false" outlineLevel="0" collapsed="false">
      <c r="A424" s="0" t="s">
        <v>2320</v>
      </c>
      <c r="B424" s="0" t="n">
        <v>78</v>
      </c>
      <c r="C424" s="0" t="n">
        <v>321811</v>
      </c>
      <c r="D424" s="0" t="s">
        <v>2316</v>
      </c>
      <c r="E424" s="0" t="s">
        <v>2321</v>
      </c>
      <c r="F424" s="0" t="str">
        <f aca="false">CONCATENATE(D424," ",LEFT(H424,4),"T=",AU424,"D=",AV424,"R=",AW424,"M=",AX424,"L=",AY424,"B=",AZ424)</f>
        <v>BOURGEOIS T=14D=0R=0M=0L=4B=0</v>
      </c>
      <c r="G424" s="0" t="s">
        <v>241</v>
      </c>
      <c r="I424" s="0" t="s">
        <v>1793</v>
      </c>
      <c r="J424" s="0" t="s">
        <v>2322</v>
      </c>
      <c r="K424" s="0" t="s">
        <v>175</v>
      </c>
      <c r="L424" s="1" t="s">
        <v>176</v>
      </c>
      <c r="M424" s="0" t="s">
        <v>2314</v>
      </c>
      <c r="N424" s="0" t="str">
        <f aca="false">RIGHT(M424,LEN(M424)-FIND(" ",M424))</f>
        <v>BONNIE BRAE AVE NE</v>
      </c>
      <c r="P424" s="0" t="s">
        <v>146</v>
      </c>
      <c r="Q424" s="0" t="s">
        <v>147</v>
      </c>
      <c r="R424" s="0" t="n">
        <v>44483</v>
      </c>
      <c r="AD424" s="0" t="s">
        <v>148</v>
      </c>
      <c r="AE424" s="0" t="s">
        <v>149</v>
      </c>
      <c r="AF424" s="0" t="s">
        <v>150</v>
      </c>
      <c r="AH424" s="0" t="n">
        <v>14</v>
      </c>
      <c r="AI424" s="0" t="n">
        <v>11</v>
      </c>
      <c r="AN424" s="0" t="s">
        <v>146</v>
      </c>
      <c r="AO424" s="0" t="s">
        <v>236</v>
      </c>
      <c r="AP424" s="0" t="s">
        <v>237</v>
      </c>
      <c r="AQ424" s="0" t="n">
        <v>9</v>
      </c>
      <c r="AR424" s="0" t="n">
        <v>64</v>
      </c>
      <c r="AS424" s="0" t="n">
        <v>32</v>
      </c>
      <c r="AU424" s="0" t="n">
        <f aca="false">COUNTA($BA$732:$EH$732)</f>
        <v>14</v>
      </c>
      <c r="AV424" s="0" t="n">
        <f aca="false">COUNTIF($BA$732:$EH$732,"D")</f>
        <v>0</v>
      </c>
      <c r="AW424" s="0" t="n">
        <f aca="false">COUNTIF($BA$732:$EH$732,"R")</f>
        <v>0</v>
      </c>
      <c r="AX424" s="0" t="n">
        <f aca="false"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>0</v>
      </c>
      <c r="AY424" s="0" t="n">
        <f aca="false">COUNTIF(DU424:EH424, "&lt;&gt;")</f>
        <v>4</v>
      </c>
      <c r="AZ424" s="0" t="n">
        <f aca="false">IF(EH424&lt;&gt;"",1,0)</f>
        <v>0</v>
      </c>
      <c r="BB424" s="0" t="s">
        <v>153</v>
      </c>
      <c r="BP424" s="0" t="s">
        <v>154</v>
      </c>
      <c r="BR424" s="0" t="s">
        <v>154</v>
      </c>
      <c r="BS424" s="0" t="s">
        <v>154</v>
      </c>
      <c r="BV424" s="0" t="s">
        <v>154</v>
      </c>
      <c r="BY424" s="0" t="s">
        <v>155</v>
      </c>
      <c r="CA424" s="0" t="s">
        <v>154</v>
      </c>
      <c r="CG424" s="0" t="s">
        <v>154</v>
      </c>
      <c r="CK424" s="0" t="s">
        <v>154</v>
      </c>
      <c r="CN424" s="0" t="s">
        <v>154</v>
      </c>
      <c r="CO424" s="0" t="s">
        <v>155</v>
      </c>
      <c r="CP424" s="0" t="s">
        <v>154</v>
      </c>
      <c r="CQ424" s="0" t="s">
        <v>154</v>
      </c>
      <c r="CT424" s="0" t="s">
        <v>154</v>
      </c>
      <c r="CU424" s="0" t="s">
        <v>155</v>
      </c>
      <c r="CV424" s="0" t="s">
        <v>154</v>
      </c>
      <c r="CY424" s="0" t="s">
        <v>154</v>
      </c>
      <c r="CZ424" s="0" t="s">
        <v>155</v>
      </c>
      <c r="DC424" s="0" t="s">
        <v>154</v>
      </c>
      <c r="DF424" s="0" t="s">
        <v>154</v>
      </c>
      <c r="DG424" s="0" t="s">
        <v>155</v>
      </c>
      <c r="DI424" s="0" t="s">
        <v>154</v>
      </c>
      <c r="DJ424" s="0" t="s">
        <v>154</v>
      </c>
      <c r="DL424" s="0" t="s">
        <v>154</v>
      </c>
      <c r="DM424" s="0" t="s">
        <v>155</v>
      </c>
      <c r="DN424" s="0" t="s">
        <v>154</v>
      </c>
      <c r="DR424" s="0" t="s">
        <v>154</v>
      </c>
      <c r="DS424" s="0" t="s">
        <v>176</v>
      </c>
      <c r="DT424" s="0" t="s">
        <v>176</v>
      </c>
      <c r="DU424" s="0" t="s">
        <v>154</v>
      </c>
      <c r="DX424" s="0" t="s">
        <v>154</v>
      </c>
      <c r="EA424" s="0" t="s">
        <v>154</v>
      </c>
      <c r="EF424" s="0" t="s">
        <v>154</v>
      </c>
    </row>
    <row r="425" customFormat="false" ht="13.8" hidden="true" customHeight="false" outlineLevel="0" collapsed="false">
      <c r="A425" s="0" t="s">
        <v>2323</v>
      </c>
      <c r="B425" s="0" t="n">
        <v>78</v>
      </c>
      <c r="C425" s="0" t="n">
        <v>453626</v>
      </c>
      <c r="D425" s="0" t="s">
        <v>2324</v>
      </c>
      <c r="E425" s="0" t="s">
        <v>2325</v>
      </c>
      <c r="F425" s="0" t="str">
        <f aca="false">CONCATENATE(D425," ",LEFT(H425,4),"T=",AU425,"D=",AV425,"R=",AW425,"M=",AX425,"L=",AY425,"B=",AZ425)</f>
        <v>MCCLAIN T=10D=3R=0M=0L=0B=0</v>
      </c>
      <c r="G425" s="0" t="s">
        <v>690</v>
      </c>
      <c r="I425" s="0" t="s">
        <v>2326</v>
      </c>
      <c r="J425" s="0" t="s">
        <v>2327</v>
      </c>
      <c r="K425" s="0" t="s">
        <v>144</v>
      </c>
      <c r="L425" s="0"/>
      <c r="M425" s="0" t="s">
        <v>2314</v>
      </c>
      <c r="N425" s="0" t="str">
        <f aca="false">RIGHT(M425,LEN(M425)-FIND(" ",M425))</f>
        <v>BONNIE BRAE AVE NE</v>
      </c>
      <c r="P425" s="0" t="s">
        <v>146</v>
      </c>
      <c r="Q425" s="0" t="s">
        <v>147</v>
      </c>
      <c r="R425" s="0" t="n">
        <v>44483</v>
      </c>
      <c r="AD425" s="0" t="s">
        <v>148</v>
      </c>
      <c r="AE425" s="0" t="s">
        <v>149</v>
      </c>
      <c r="AF425" s="0" t="s">
        <v>150</v>
      </c>
      <c r="AH425" s="0" t="n">
        <v>14</v>
      </c>
      <c r="AI425" s="0" t="n">
        <v>11</v>
      </c>
      <c r="AN425" s="0" t="s">
        <v>146</v>
      </c>
      <c r="AO425" s="0" t="s">
        <v>236</v>
      </c>
      <c r="AP425" s="0" t="s">
        <v>237</v>
      </c>
      <c r="AQ425" s="0" t="n">
        <v>9</v>
      </c>
      <c r="AR425" s="0" t="n">
        <v>64</v>
      </c>
      <c r="AS425" s="0" t="n">
        <v>32</v>
      </c>
      <c r="AU425" s="0" t="n">
        <f aca="false">COUNTA($BA$763:$EH$763)</f>
        <v>10</v>
      </c>
      <c r="AV425" s="0" t="n">
        <f aca="false">COUNTIF($BA$763:$EH$763,"D")</f>
        <v>3</v>
      </c>
      <c r="AW425" s="0" t="n">
        <f aca="false">COUNTIF($BA$763:$EH$763,"R")</f>
        <v>0</v>
      </c>
      <c r="AX425" s="0" t="n">
        <f aca="false"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>0</v>
      </c>
      <c r="AY425" s="0" t="n">
        <f aca="false">COUNTIF(DU425:EH425, "&lt;&gt;")</f>
        <v>0</v>
      </c>
      <c r="AZ425" s="0" t="n">
        <f aca="false">IF(EH425&lt;&gt;"",1,0)</f>
        <v>0</v>
      </c>
      <c r="BB425" s="0" t="s">
        <v>153</v>
      </c>
      <c r="DN425" s="0" t="s">
        <v>154</v>
      </c>
    </row>
    <row r="426" customFormat="false" ht="13.8" hidden="true" customHeight="false" outlineLevel="0" collapsed="false">
      <c r="A426" s="0" t="s">
        <v>2328</v>
      </c>
      <c r="B426" s="0" t="n">
        <v>78</v>
      </c>
      <c r="C426" s="0" t="n">
        <v>483760</v>
      </c>
      <c r="D426" s="0" t="s">
        <v>2329</v>
      </c>
      <c r="E426" s="0" t="s">
        <v>2330</v>
      </c>
      <c r="F426" s="0" t="str">
        <f aca="false">CONCATENATE(D426," ",LEFT(H426,4),"T=",AU426,"D=",AV426,"R=",AW426,"M=",AX426,"L=",AY426,"B=",AZ426)</f>
        <v>SCHRINER T=1D=0R=0M=0L=1B=0</v>
      </c>
      <c r="G426" s="0" t="s">
        <v>188</v>
      </c>
      <c r="I426" s="0" t="s">
        <v>2331</v>
      </c>
      <c r="J426" s="0" t="s">
        <v>2332</v>
      </c>
      <c r="K426" s="0" t="s">
        <v>175</v>
      </c>
      <c r="L426" s="0"/>
      <c r="M426" s="0" t="s">
        <v>2314</v>
      </c>
      <c r="N426" s="0" t="str">
        <f aca="false">RIGHT(M426,LEN(M426)-FIND(" ",M426))</f>
        <v>BONNIE BRAE AVE NE</v>
      </c>
      <c r="P426" s="0" t="s">
        <v>146</v>
      </c>
      <c r="Q426" s="0" t="s">
        <v>147</v>
      </c>
      <c r="R426" s="0" t="n">
        <v>44483</v>
      </c>
      <c r="AD426" s="0" t="s">
        <v>148</v>
      </c>
      <c r="AE426" s="0" t="s">
        <v>149</v>
      </c>
      <c r="AF426" s="0" t="s">
        <v>150</v>
      </c>
      <c r="AH426" s="0" t="n">
        <v>14</v>
      </c>
      <c r="AI426" s="0" t="n">
        <v>11</v>
      </c>
      <c r="AN426" s="0" t="s">
        <v>146</v>
      </c>
      <c r="AO426" s="0" t="s">
        <v>236</v>
      </c>
      <c r="AP426" s="0" t="s">
        <v>237</v>
      </c>
      <c r="AQ426" s="0" t="n">
        <v>9</v>
      </c>
      <c r="AR426" s="0" t="n">
        <v>64</v>
      </c>
      <c r="AS426" s="0" t="n">
        <v>32</v>
      </c>
      <c r="AU426" s="0" t="n">
        <f aca="false">COUNTA($BA$817:$EH$817)</f>
        <v>1</v>
      </c>
      <c r="AV426" s="0" t="n">
        <f aca="false">COUNTIF($BA$817:$EH$817,"D")</f>
        <v>0</v>
      </c>
      <c r="AW426" s="0" t="n">
        <f aca="false">COUNTIF($BA$817:$EH$817,"R")</f>
        <v>0</v>
      </c>
      <c r="AX426" s="0" t="n">
        <f aca="false"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>0</v>
      </c>
      <c r="AY426" s="0" t="n">
        <f aca="false">COUNTIF(DU426:EH426, "&lt;&gt;")</f>
        <v>1</v>
      </c>
      <c r="AZ426" s="0" t="n">
        <f aca="false">IF(EH426&lt;&gt;"",1,0)</f>
        <v>0</v>
      </c>
      <c r="BB426" s="0" t="s">
        <v>153</v>
      </c>
      <c r="CY426" s="0" t="s">
        <v>154</v>
      </c>
      <c r="DC426" s="0" t="s">
        <v>154</v>
      </c>
      <c r="DF426" s="0" t="s">
        <v>154</v>
      </c>
      <c r="DN426" s="0" t="s">
        <v>154</v>
      </c>
      <c r="DU426" s="0" t="s">
        <v>154</v>
      </c>
    </row>
    <row r="427" customFormat="false" ht="13.8" hidden="true" customHeight="false" outlineLevel="0" collapsed="false">
      <c r="A427" s="0" t="s">
        <v>2333</v>
      </c>
      <c r="B427" s="0" t="n">
        <v>78</v>
      </c>
      <c r="C427" s="0" t="n">
        <v>491554</v>
      </c>
      <c r="D427" s="0" t="s">
        <v>2334</v>
      </c>
      <c r="E427" s="0" t="s">
        <v>2335</v>
      </c>
      <c r="F427" s="0" t="str">
        <f aca="false">CONCATENATE(D427," ",LEFT(H427,4),"T=",AU427,"D=",AV427,"R=",AW427,"M=",AX427,"L=",AY427,"B=",AZ427)</f>
        <v>RICHARDS T=1D=0R=0M=0L=1B=0</v>
      </c>
      <c r="G427" s="0" t="s">
        <v>1482</v>
      </c>
      <c r="I427" s="0" t="s">
        <v>2336</v>
      </c>
      <c r="J427" s="0" t="s">
        <v>1908</v>
      </c>
      <c r="K427" s="0" t="s">
        <v>175</v>
      </c>
      <c r="L427" s="0"/>
      <c r="M427" s="0" t="s">
        <v>2337</v>
      </c>
      <c r="N427" s="0" t="str">
        <f aca="false">RIGHT(M427,LEN(M427)-FIND(" ",M427))</f>
        <v>BONNIE BRAE AVE NE</v>
      </c>
      <c r="P427" s="0" t="s">
        <v>146</v>
      </c>
      <c r="Q427" s="0" t="s">
        <v>147</v>
      </c>
      <c r="R427" s="0" t="n">
        <v>44483</v>
      </c>
      <c r="AD427" s="0" t="s">
        <v>148</v>
      </c>
      <c r="AE427" s="0" t="s">
        <v>149</v>
      </c>
      <c r="AF427" s="0" t="s">
        <v>150</v>
      </c>
      <c r="AH427" s="0" t="n">
        <v>14</v>
      </c>
      <c r="AI427" s="0" t="n">
        <v>11</v>
      </c>
      <c r="AN427" s="0" t="s">
        <v>146</v>
      </c>
      <c r="AO427" s="0" t="s">
        <v>236</v>
      </c>
      <c r="AP427" s="0" t="s">
        <v>237</v>
      </c>
      <c r="AQ427" s="0" t="n">
        <v>9</v>
      </c>
      <c r="AR427" s="0" t="n">
        <v>64</v>
      </c>
      <c r="AS427" s="0" t="n">
        <v>32</v>
      </c>
      <c r="AU427" s="0" t="n">
        <f aca="false">COUNTA($BA$517:$EH$517)</f>
        <v>1</v>
      </c>
      <c r="AV427" s="0" t="n">
        <f aca="false">COUNTIF($BA$517:$EH$517,"D")</f>
        <v>0</v>
      </c>
      <c r="AW427" s="0" t="n">
        <f aca="false">COUNTIF($BA$517:$EH$517,"R")</f>
        <v>0</v>
      </c>
      <c r="AX427" s="0" t="n">
        <f aca="false"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>0</v>
      </c>
      <c r="AY427" s="0" t="n">
        <f aca="false">COUNTIF(DU427:EH427, "&lt;&gt;")</f>
        <v>1</v>
      </c>
      <c r="AZ427" s="0" t="n">
        <f aca="false">IF(EH427&lt;&gt;"",1,0)</f>
        <v>0</v>
      </c>
      <c r="BB427" s="0" t="s">
        <v>153</v>
      </c>
      <c r="EF427" s="0" t="s">
        <v>154</v>
      </c>
    </row>
    <row r="428" customFormat="false" ht="13.8" hidden="false" customHeight="false" outlineLevel="0" collapsed="false">
      <c r="A428" s="0" t="s">
        <v>2338</v>
      </c>
      <c r="B428" s="0" t="n">
        <v>78</v>
      </c>
      <c r="C428" s="0" t="n">
        <v>293083</v>
      </c>
      <c r="D428" s="0" t="s">
        <v>2334</v>
      </c>
      <c r="E428" s="0" t="s">
        <v>278</v>
      </c>
      <c r="F428" s="0" t="str">
        <f aca="false">CONCATENATE(D428," ",LEFT(H428,4),"T=",AU428,"D=",AV428,"R=",AW428,"M=",AX428,"L=",AY428,"B=",AZ428)</f>
        <v>RICHARDS T=17D=4R=0M=0L=2B=0</v>
      </c>
      <c r="G428" s="0" t="s">
        <v>297</v>
      </c>
      <c r="I428" s="0" t="s">
        <v>2339</v>
      </c>
      <c r="J428" s="0" t="s">
        <v>2340</v>
      </c>
      <c r="K428" s="0" t="s">
        <v>175</v>
      </c>
      <c r="M428" s="0" t="s">
        <v>2337</v>
      </c>
      <c r="N428" s="0" t="str">
        <f aca="false">RIGHT(M428,LEN(M428)-FIND(" ",M428))</f>
        <v>BONNIE BRAE AVE NE</v>
      </c>
      <c r="P428" s="0" t="s">
        <v>146</v>
      </c>
      <c r="Q428" s="0" t="s">
        <v>147</v>
      </c>
      <c r="R428" s="0" t="n">
        <v>44483</v>
      </c>
      <c r="AD428" s="0" t="s">
        <v>148</v>
      </c>
      <c r="AE428" s="0" t="s">
        <v>149</v>
      </c>
      <c r="AF428" s="0" t="s">
        <v>150</v>
      </c>
      <c r="AH428" s="0" t="n">
        <v>14</v>
      </c>
      <c r="AI428" s="0" t="n">
        <v>11</v>
      </c>
      <c r="AN428" s="0" t="s">
        <v>146</v>
      </c>
      <c r="AO428" s="0" t="s">
        <v>236</v>
      </c>
      <c r="AP428" s="0" t="s">
        <v>237</v>
      </c>
      <c r="AQ428" s="0" t="n">
        <v>9</v>
      </c>
      <c r="AR428" s="0" t="n">
        <v>64</v>
      </c>
      <c r="AS428" s="0" t="n">
        <v>32</v>
      </c>
      <c r="AU428" s="0" t="n">
        <f aca="false">COUNTA($BA$1012:$EH$1012)</f>
        <v>17</v>
      </c>
      <c r="AV428" s="0" t="n">
        <f aca="false">COUNTIF($BA$1012:$EH$1012,"D")</f>
        <v>4</v>
      </c>
      <c r="AW428" s="0" t="n">
        <f aca="false">COUNTIF($BA$1012:$EH$1012,"R")</f>
        <v>0</v>
      </c>
      <c r="AX428" s="0" t="n">
        <f aca="false"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>0</v>
      </c>
      <c r="AY428" s="0" t="n">
        <f aca="false">COUNTIF(DU428:EH428, "&lt;&gt;")</f>
        <v>2</v>
      </c>
      <c r="AZ428" s="0" t="n">
        <f aca="false">IF(EH428&lt;&gt;"",1,0)</f>
        <v>0</v>
      </c>
      <c r="BB428" s="0" t="s">
        <v>153</v>
      </c>
      <c r="CA428" s="0" t="s">
        <v>154</v>
      </c>
      <c r="CY428" s="0" t="s">
        <v>154</v>
      </c>
      <c r="DI428" s="0" t="s">
        <v>154</v>
      </c>
      <c r="DN428" s="0" t="s">
        <v>154</v>
      </c>
      <c r="DU428" s="0" t="s">
        <v>154</v>
      </c>
      <c r="EF428" s="0" t="s">
        <v>154</v>
      </c>
    </row>
    <row r="429" customFormat="false" ht="13.8" hidden="false" customHeight="false" outlineLevel="0" collapsed="false">
      <c r="A429" s="0" t="s">
        <v>2341</v>
      </c>
      <c r="B429" s="0" t="n">
        <v>78</v>
      </c>
      <c r="C429" s="0" t="n">
        <v>182301</v>
      </c>
      <c r="D429" s="0" t="s">
        <v>2342</v>
      </c>
      <c r="E429" s="0" t="s">
        <v>2044</v>
      </c>
      <c r="F429" s="0" t="str">
        <f aca="false">CONCATENATE(D429," ",LEFT(H429,4),"T=",AU429,"D=",AV429,"R=",AW429,"M=",AX429,"L=",AY429,"B=",AZ429)</f>
        <v>TAIPALE T=2D=0R=0M=1L=4B=0</v>
      </c>
      <c r="G429" s="0" t="s">
        <v>1180</v>
      </c>
      <c r="I429" s="0" t="s">
        <v>2343</v>
      </c>
      <c r="J429" s="0" t="s">
        <v>2344</v>
      </c>
      <c r="K429" s="0" t="s">
        <v>175</v>
      </c>
      <c r="L429" s="1" t="s">
        <v>155</v>
      </c>
      <c r="M429" s="0" t="s">
        <v>2345</v>
      </c>
      <c r="N429" s="0" t="str">
        <f aca="false">RIGHT(M429,LEN(M429)-FIND(" ",M429))</f>
        <v>BONNIE BRAE AVE NE</v>
      </c>
      <c r="P429" s="0" t="s">
        <v>146</v>
      </c>
      <c r="Q429" s="0" t="s">
        <v>147</v>
      </c>
      <c r="R429" s="0" t="n">
        <v>44483</v>
      </c>
      <c r="AD429" s="0" t="s">
        <v>148</v>
      </c>
      <c r="AE429" s="0" t="s">
        <v>149</v>
      </c>
      <c r="AF429" s="0" t="s">
        <v>150</v>
      </c>
      <c r="AH429" s="0" t="n">
        <v>14</v>
      </c>
      <c r="AI429" s="0" t="n">
        <v>11</v>
      </c>
      <c r="AN429" s="0" t="s">
        <v>146</v>
      </c>
      <c r="AO429" s="0" t="s">
        <v>236</v>
      </c>
      <c r="AP429" s="0" t="s">
        <v>237</v>
      </c>
      <c r="AQ429" s="0" t="n">
        <v>9</v>
      </c>
      <c r="AR429" s="0" t="n">
        <v>64</v>
      </c>
      <c r="AS429" s="0" t="n">
        <v>32</v>
      </c>
      <c r="AU429" s="0" t="n">
        <f aca="false">COUNTA($BA$36:$EH$36)</f>
        <v>2</v>
      </c>
      <c r="AV429" s="0" t="n">
        <f aca="false">COUNTIF($BA$36:$EH$36,"D")</f>
        <v>0</v>
      </c>
      <c r="AW429" s="0" t="n">
        <f aca="false">COUNTIF($BA$36:$EH$36,"R")</f>
        <v>0</v>
      </c>
      <c r="AX429" s="0" t="n">
        <f aca="false"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>1</v>
      </c>
      <c r="AY429" s="0" t="n">
        <f aca="false">COUNTIF(DU429:EH429, "&lt;&gt;")</f>
        <v>4</v>
      </c>
      <c r="AZ429" s="0" t="n">
        <f aca="false">IF(EH429&lt;&gt;"",1,0)</f>
        <v>0</v>
      </c>
      <c r="BB429" s="0" t="s">
        <v>153</v>
      </c>
      <c r="BC429" s="0" t="s">
        <v>154</v>
      </c>
      <c r="BD429" s="0" t="s">
        <v>154</v>
      </c>
      <c r="BF429" s="0" t="s">
        <v>154</v>
      </c>
      <c r="BG429" s="0" t="s">
        <v>154</v>
      </c>
      <c r="BH429" s="0" t="s">
        <v>154</v>
      </c>
      <c r="BJ429" s="0" t="s">
        <v>154</v>
      </c>
      <c r="BK429" s="0" t="s">
        <v>154</v>
      </c>
      <c r="BL429" s="0" t="s">
        <v>154</v>
      </c>
      <c r="BP429" s="0" t="s">
        <v>154</v>
      </c>
      <c r="BS429" s="0" t="s">
        <v>154</v>
      </c>
      <c r="BV429" s="0" t="s">
        <v>154</v>
      </c>
      <c r="BY429" s="0" t="s">
        <v>155</v>
      </c>
      <c r="CA429" s="0" t="s">
        <v>154</v>
      </c>
      <c r="CG429" s="0" t="s">
        <v>154</v>
      </c>
      <c r="CH429" s="0" t="s">
        <v>155</v>
      </c>
      <c r="CK429" s="0" t="s">
        <v>154</v>
      </c>
      <c r="CL429" s="0" t="s">
        <v>155</v>
      </c>
      <c r="CN429" s="0" t="s">
        <v>154</v>
      </c>
      <c r="CP429" s="0" t="s">
        <v>154</v>
      </c>
      <c r="CT429" s="0" t="s">
        <v>154</v>
      </c>
      <c r="CV429" s="0" t="s">
        <v>154</v>
      </c>
      <c r="CY429" s="0" t="s">
        <v>154</v>
      </c>
      <c r="CZ429" s="0" t="s">
        <v>155</v>
      </c>
      <c r="DC429" s="0" t="s">
        <v>154</v>
      </c>
      <c r="DF429" s="0" t="s">
        <v>154</v>
      </c>
      <c r="DG429" s="0" t="s">
        <v>155</v>
      </c>
      <c r="DH429" s="0" t="s">
        <v>154</v>
      </c>
      <c r="DI429" s="0" t="s">
        <v>154</v>
      </c>
      <c r="DL429" s="0" t="s">
        <v>154</v>
      </c>
      <c r="DM429" s="0" t="s">
        <v>155</v>
      </c>
      <c r="DN429" s="0" t="s">
        <v>154</v>
      </c>
      <c r="DR429" s="0" t="s">
        <v>154</v>
      </c>
      <c r="DS429" s="0" t="s">
        <v>155</v>
      </c>
      <c r="DU429" s="0" t="s">
        <v>154</v>
      </c>
      <c r="EA429" s="0" t="s">
        <v>154</v>
      </c>
      <c r="ED429" s="0" t="s">
        <v>155</v>
      </c>
      <c r="EF429" s="0" t="s">
        <v>154</v>
      </c>
    </row>
    <row r="430" customFormat="false" ht="13.8" hidden="false" customHeight="false" outlineLevel="0" collapsed="false">
      <c r="A430" s="0" t="s">
        <v>2346</v>
      </c>
      <c r="B430" s="0" t="n">
        <v>78</v>
      </c>
      <c r="C430" s="0" t="n">
        <v>17300</v>
      </c>
      <c r="D430" s="0" t="s">
        <v>2342</v>
      </c>
      <c r="E430" s="0" t="s">
        <v>2347</v>
      </c>
      <c r="F430" s="0" t="str">
        <f aca="false">CONCATENATE(D430," ",LEFT(H430,4),"T=",AU430,"D=",AV430,"R=",AW430,"M=",AX430,"L=",AY430,"B=",AZ430)</f>
        <v>TAIPALE T=1D=0R=0M=3L=4B=0</v>
      </c>
      <c r="G430" s="0" t="s">
        <v>297</v>
      </c>
      <c r="I430" s="0" t="s">
        <v>2348</v>
      </c>
      <c r="J430" s="0" t="s">
        <v>2349</v>
      </c>
      <c r="K430" s="0" t="s">
        <v>175</v>
      </c>
      <c r="L430" s="1" t="s">
        <v>155</v>
      </c>
      <c r="M430" s="0" t="s">
        <v>2345</v>
      </c>
      <c r="N430" s="0" t="str">
        <f aca="false">RIGHT(M430,LEN(M430)-FIND(" ",M430))</f>
        <v>BONNIE BRAE AVE NE</v>
      </c>
      <c r="P430" s="0" t="s">
        <v>146</v>
      </c>
      <c r="Q430" s="0" t="s">
        <v>147</v>
      </c>
      <c r="R430" s="0" t="n">
        <v>44483</v>
      </c>
      <c r="AD430" s="0" t="s">
        <v>148</v>
      </c>
      <c r="AE430" s="0" t="s">
        <v>149</v>
      </c>
      <c r="AF430" s="0" t="s">
        <v>150</v>
      </c>
      <c r="AH430" s="0" t="n">
        <v>14</v>
      </c>
      <c r="AI430" s="0" t="n">
        <v>11</v>
      </c>
      <c r="AN430" s="0" t="s">
        <v>146</v>
      </c>
      <c r="AO430" s="0" t="s">
        <v>236</v>
      </c>
      <c r="AP430" s="0" t="s">
        <v>237</v>
      </c>
      <c r="AQ430" s="0" t="n">
        <v>9</v>
      </c>
      <c r="AR430" s="0" t="n">
        <v>64</v>
      </c>
      <c r="AS430" s="0" t="n">
        <v>32</v>
      </c>
      <c r="AU430" s="0" t="n">
        <f aca="false">COUNTA($BA$145:$EH$145)</f>
        <v>1</v>
      </c>
      <c r="AV430" s="0" t="n">
        <f aca="false">COUNTIF($BA$145:$EH$145,"D")</f>
        <v>0</v>
      </c>
      <c r="AW430" s="0" t="n">
        <f aca="false">COUNTIF($BA$145:$EH$145,"R")</f>
        <v>0</v>
      </c>
      <c r="AX430" s="0" t="n">
        <f aca="false"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>3</v>
      </c>
      <c r="AY430" s="0" t="n">
        <f aca="false">COUNTIF(DU430:EH430, "&lt;&gt;")</f>
        <v>4</v>
      </c>
      <c r="AZ430" s="0" t="n">
        <f aca="false">IF(EH430&lt;&gt;"",1,0)</f>
        <v>0</v>
      </c>
      <c r="BB430" s="0" t="s">
        <v>153</v>
      </c>
      <c r="BC430" s="0" t="s">
        <v>154</v>
      </c>
      <c r="BD430" s="0" t="s">
        <v>154</v>
      </c>
      <c r="BE430" s="0" t="s">
        <v>154</v>
      </c>
      <c r="BF430" s="0" t="s">
        <v>154</v>
      </c>
      <c r="BG430" s="0" t="s">
        <v>154</v>
      </c>
      <c r="BH430" s="0" t="s">
        <v>154</v>
      </c>
      <c r="BK430" s="0" t="s">
        <v>154</v>
      </c>
      <c r="BL430" s="0" t="s">
        <v>154</v>
      </c>
      <c r="BP430" s="0" t="s">
        <v>154</v>
      </c>
      <c r="BR430" s="0" t="s">
        <v>154</v>
      </c>
      <c r="BS430" s="0" t="s">
        <v>154</v>
      </c>
      <c r="BV430" s="0" t="s">
        <v>154</v>
      </c>
      <c r="BY430" s="0" t="s">
        <v>155</v>
      </c>
      <c r="CA430" s="0" t="s">
        <v>154</v>
      </c>
      <c r="CH430" s="0" t="s">
        <v>155</v>
      </c>
      <c r="CK430" s="0" t="s">
        <v>154</v>
      </c>
      <c r="CL430" s="0" t="s">
        <v>155</v>
      </c>
      <c r="CN430" s="0" t="s">
        <v>154</v>
      </c>
      <c r="CO430" s="0" t="s">
        <v>155</v>
      </c>
      <c r="CP430" s="0" t="s">
        <v>154</v>
      </c>
      <c r="CQ430" s="0" t="s">
        <v>155</v>
      </c>
      <c r="CT430" s="0" t="s">
        <v>154</v>
      </c>
      <c r="CV430" s="0" t="s">
        <v>154</v>
      </c>
      <c r="CW430" s="0" t="s">
        <v>155</v>
      </c>
      <c r="CY430" s="0" t="s">
        <v>154</v>
      </c>
      <c r="CZ430" s="0" t="s">
        <v>155</v>
      </c>
      <c r="DC430" s="0" t="s">
        <v>154</v>
      </c>
      <c r="DF430" s="0" t="s">
        <v>154</v>
      </c>
      <c r="DG430" s="0" t="s">
        <v>155</v>
      </c>
      <c r="DI430" s="0" t="s">
        <v>154</v>
      </c>
      <c r="DL430" s="0" t="s">
        <v>154</v>
      </c>
      <c r="DM430" s="0" t="s">
        <v>155</v>
      </c>
      <c r="DN430" s="0" t="s">
        <v>154</v>
      </c>
      <c r="DR430" s="0" t="s">
        <v>154</v>
      </c>
      <c r="DS430" s="0" t="s">
        <v>155</v>
      </c>
      <c r="DU430" s="0" t="s">
        <v>154</v>
      </c>
      <c r="EA430" s="0" t="s">
        <v>154</v>
      </c>
      <c r="ED430" s="0" t="s">
        <v>154</v>
      </c>
      <c r="EF430" s="0" t="s">
        <v>154</v>
      </c>
    </row>
    <row r="431" customFormat="false" ht="13.8" hidden="false" customHeight="false" outlineLevel="0" collapsed="false">
      <c r="A431" s="0" t="s">
        <v>2350</v>
      </c>
      <c r="B431" s="0" t="n">
        <v>78</v>
      </c>
      <c r="C431" s="0" t="n">
        <v>336067</v>
      </c>
      <c r="D431" s="0" t="s">
        <v>2351</v>
      </c>
      <c r="E431" s="0" t="s">
        <v>1325</v>
      </c>
      <c r="F431" s="0" t="str">
        <f aca="false">CONCATENATE(D431," ",LEFT(H431,4),"T=",AU431,"D=",AV431,"R=",AW431,"M=",AX431,"L=",AY431,"B=",AZ431)</f>
        <v>ARMBASICK T=2D=0R=0M=3L=6B=1</v>
      </c>
      <c r="G431" s="0" t="s">
        <v>188</v>
      </c>
      <c r="I431" s="0" t="s">
        <v>2352</v>
      </c>
      <c r="J431" s="0" t="s">
        <v>2353</v>
      </c>
      <c r="K431" s="0" t="s">
        <v>175</v>
      </c>
      <c r="L431" s="1" t="s">
        <v>155</v>
      </c>
      <c r="M431" s="0" t="s">
        <v>2354</v>
      </c>
      <c r="N431" s="0" t="str">
        <f aca="false">RIGHT(M431,LEN(M431)-FIND(" ",M431))</f>
        <v>BONNIE BRAE AVE NE</v>
      </c>
      <c r="P431" s="0" t="s">
        <v>146</v>
      </c>
      <c r="Q431" s="0" t="s">
        <v>147</v>
      </c>
      <c r="R431" s="0" t="n">
        <v>44483</v>
      </c>
      <c r="AD431" s="0" t="s">
        <v>148</v>
      </c>
      <c r="AE431" s="0" t="s">
        <v>149</v>
      </c>
      <c r="AF431" s="0" t="s">
        <v>150</v>
      </c>
      <c r="AH431" s="0" t="n">
        <v>14</v>
      </c>
      <c r="AI431" s="0" t="n">
        <v>11</v>
      </c>
      <c r="AN431" s="0" t="s">
        <v>146</v>
      </c>
      <c r="AO431" s="0" t="s">
        <v>236</v>
      </c>
      <c r="AP431" s="0" t="s">
        <v>237</v>
      </c>
      <c r="AQ431" s="0" t="n">
        <v>9</v>
      </c>
      <c r="AR431" s="0" t="n">
        <v>64</v>
      </c>
      <c r="AS431" s="0" t="n">
        <v>32</v>
      </c>
      <c r="AU431" s="0" t="n">
        <f aca="false">COUNTA($BA$118:$EH$118)</f>
        <v>2</v>
      </c>
      <c r="AV431" s="0" t="n">
        <f aca="false">COUNTIF($BA$118:$EH$118,"D")</f>
        <v>0</v>
      </c>
      <c r="AW431" s="0" t="n">
        <f aca="false">COUNTIF($BA$118:$EH$118,"R")</f>
        <v>0</v>
      </c>
      <c r="AX431" s="0" t="n">
        <f aca="false"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>3</v>
      </c>
      <c r="AY431" s="0" t="n">
        <f aca="false">COUNTIF(DU431:EH431, "&lt;&gt;")</f>
        <v>6</v>
      </c>
      <c r="AZ431" s="0" t="n">
        <f aca="false">IF(EH431&lt;&gt;"",1,0)</f>
        <v>1</v>
      </c>
      <c r="BB431" s="0" t="s">
        <v>153</v>
      </c>
      <c r="CA431" s="0" t="s">
        <v>154</v>
      </c>
      <c r="CC431" s="0" t="s">
        <v>155</v>
      </c>
      <c r="CG431" s="0" t="s">
        <v>154</v>
      </c>
      <c r="CK431" s="0" t="s">
        <v>154</v>
      </c>
      <c r="CP431" s="0" t="s">
        <v>154</v>
      </c>
      <c r="CZ431" s="0" t="s">
        <v>155</v>
      </c>
      <c r="DC431" s="0" t="s">
        <v>154</v>
      </c>
      <c r="DN431" s="0" t="s">
        <v>154</v>
      </c>
      <c r="DS431" s="0" t="s">
        <v>176</v>
      </c>
      <c r="DU431" s="0" t="s">
        <v>154</v>
      </c>
      <c r="DW431" s="0" t="s">
        <v>155</v>
      </c>
      <c r="EA431" s="0" t="s">
        <v>154</v>
      </c>
      <c r="ED431" s="0" t="s">
        <v>155</v>
      </c>
      <c r="EF431" s="0" t="s">
        <v>154</v>
      </c>
      <c r="EH431" s="0" t="s">
        <v>155</v>
      </c>
    </row>
    <row r="432" customFormat="false" ht="13.8" hidden="true" customHeight="false" outlineLevel="0" collapsed="false">
      <c r="A432" s="0" t="s">
        <v>2355</v>
      </c>
      <c r="B432" s="0" t="n">
        <v>78</v>
      </c>
      <c r="C432" s="0" t="n">
        <v>494314</v>
      </c>
      <c r="D432" s="0" t="s">
        <v>2356</v>
      </c>
      <c r="E432" s="0" t="s">
        <v>2357</v>
      </c>
      <c r="F432" s="0" t="str">
        <f aca="false">CONCATENATE(D432," ",LEFT(H432,4),"T=",AU432,"D=",AV432,"R=",AW432,"M=",AX432,"L=",AY432,"B=",AZ432)</f>
        <v>ARMSTRONG JRT=16D=1R=0M=0L=0B=0</v>
      </c>
      <c r="G432" s="0" t="s">
        <v>694</v>
      </c>
      <c r="H432" s="0" t="s">
        <v>431</v>
      </c>
      <c r="I432" s="0" t="s">
        <v>2358</v>
      </c>
      <c r="J432" s="0" t="s">
        <v>1542</v>
      </c>
      <c r="K432" s="0" t="s">
        <v>175</v>
      </c>
      <c r="L432" s="0"/>
      <c r="M432" s="0" t="s">
        <v>2359</v>
      </c>
      <c r="N432" s="0" t="str">
        <f aca="false">RIGHT(M432,LEN(M432)-FIND(" ",M432))</f>
        <v>BONNIE BRAE AVE NE</v>
      </c>
      <c r="P432" s="0" t="s">
        <v>146</v>
      </c>
      <c r="Q432" s="0" t="s">
        <v>147</v>
      </c>
      <c r="R432" s="0" t="n">
        <v>44483</v>
      </c>
      <c r="AD432" s="0" t="s">
        <v>148</v>
      </c>
      <c r="AE432" s="0" t="s">
        <v>149</v>
      </c>
      <c r="AF432" s="0" t="s">
        <v>150</v>
      </c>
      <c r="AH432" s="0" t="n">
        <v>14</v>
      </c>
      <c r="AI432" s="0" t="n">
        <v>11</v>
      </c>
      <c r="AN432" s="0" t="s">
        <v>146</v>
      </c>
      <c r="AO432" s="0" t="s">
        <v>236</v>
      </c>
      <c r="AP432" s="0" t="s">
        <v>237</v>
      </c>
      <c r="AQ432" s="0" t="n">
        <v>9</v>
      </c>
      <c r="AR432" s="0" t="n">
        <v>64</v>
      </c>
      <c r="AS432" s="0" t="n">
        <v>32</v>
      </c>
      <c r="AU432" s="0" t="n">
        <f aca="false">COUNTA($BA$502:$EH$502)</f>
        <v>16</v>
      </c>
      <c r="AV432" s="0" t="n">
        <f aca="false">COUNTIF($BA$502:$EH$502,"D")</f>
        <v>1</v>
      </c>
      <c r="AW432" s="0" t="n">
        <f aca="false">COUNTIF($BA$502:$EH$502,"R")</f>
        <v>0</v>
      </c>
      <c r="AX432" s="0" t="n">
        <f aca="false"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>0</v>
      </c>
      <c r="AY432" s="0" t="n">
        <f aca="false">COUNTIF(DU432:EH432, "&lt;&gt;")</f>
        <v>0</v>
      </c>
      <c r="AZ432" s="0" t="n">
        <f aca="false">IF(EH432&lt;&gt;"",1,0)</f>
        <v>0</v>
      </c>
      <c r="BB432" s="0" t="s">
        <v>153</v>
      </c>
    </row>
    <row r="433" customFormat="false" ht="13.8" hidden="false" customHeight="false" outlineLevel="0" collapsed="false">
      <c r="A433" s="0" t="s">
        <v>2360</v>
      </c>
      <c r="B433" s="0" t="n">
        <v>78</v>
      </c>
      <c r="C433" s="0" t="n">
        <v>223539</v>
      </c>
      <c r="D433" s="0" t="s">
        <v>2361</v>
      </c>
      <c r="E433" s="0" t="s">
        <v>2362</v>
      </c>
      <c r="F433" s="0" t="str">
        <f aca="false">CONCATENATE(D433," ",LEFT(H433,4),"T=",AU433,"D=",AV433,"R=",AW433,"M=",AX433,"L=",AY433,"B=",AZ433)</f>
        <v>GRIMM T=18D=3R=0M=3L=5B=1</v>
      </c>
      <c r="G433" s="0" t="s">
        <v>155</v>
      </c>
      <c r="I433" s="0" t="s">
        <v>2363</v>
      </c>
      <c r="J433" s="0" t="s">
        <v>2364</v>
      </c>
      <c r="K433" s="0" t="s">
        <v>175</v>
      </c>
      <c r="L433" s="1" t="s">
        <v>155</v>
      </c>
      <c r="M433" s="0" t="s">
        <v>2365</v>
      </c>
      <c r="N433" s="0" t="str">
        <f aca="false">RIGHT(M433,LEN(M433)-FIND(" ",M433))</f>
        <v>BONNIE BRAE AVE NE</v>
      </c>
      <c r="P433" s="0" t="s">
        <v>146</v>
      </c>
      <c r="Q433" s="0" t="s">
        <v>147</v>
      </c>
      <c r="R433" s="0" t="n">
        <v>44483</v>
      </c>
      <c r="AD433" s="0" t="s">
        <v>148</v>
      </c>
      <c r="AE433" s="0" t="s">
        <v>149</v>
      </c>
      <c r="AF433" s="0" t="s">
        <v>150</v>
      </c>
      <c r="AH433" s="0" t="n">
        <v>14</v>
      </c>
      <c r="AI433" s="0" t="n">
        <v>11</v>
      </c>
      <c r="AN433" s="0" t="s">
        <v>146</v>
      </c>
      <c r="AO433" s="0" t="s">
        <v>236</v>
      </c>
      <c r="AP433" s="0" t="s">
        <v>237</v>
      </c>
      <c r="AQ433" s="0" t="n">
        <v>9</v>
      </c>
      <c r="AR433" s="0" t="n">
        <v>64</v>
      </c>
      <c r="AS433" s="0" t="n">
        <v>32</v>
      </c>
      <c r="AU433" s="0" t="n">
        <f aca="false">COUNTA($BA$3:$EH$3)</f>
        <v>18</v>
      </c>
      <c r="AV433" s="0" t="n">
        <f aca="false">COUNTIF($BA$3:$EH$3,"D")</f>
        <v>3</v>
      </c>
      <c r="AW433" s="0" t="n">
        <f aca="false">COUNTIF($BA$3:$EH$3,"R")</f>
        <v>0</v>
      </c>
      <c r="AX433" s="0" t="n">
        <f aca="false"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>3</v>
      </c>
      <c r="AY433" s="0" t="n">
        <f aca="false">COUNTIF(DU433:EH433, "&lt;&gt;")</f>
        <v>5</v>
      </c>
      <c r="AZ433" s="0" t="n">
        <f aca="false">IF(EH433&lt;&gt;"",1,0)</f>
        <v>1</v>
      </c>
      <c r="BB433" s="0" t="s">
        <v>153</v>
      </c>
      <c r="BD433" s="0" t="s">
        <v>154</v>
      </c>
      <c r="BH433" s="0" t="s">
        <v>154</v>
      </c>
      <c r="BL433" s="0" t="s">
        <v>154</v>
      </c>
      <c r="BP433" s="0" t="s">
        <v>154</v>
      </c>
      <c r="BR433" s="0" t="s">
        <v>154</v>
      </c>
      <c r="BS433" s="0" t="s">
        <v>154</v>
      </c>
      <c r="BY433" s="0" t="s">
        <v>155</v>
      </c>
      <c r="CA433" s="0" t="s">
        <v>154</v>
      </c>
      <c r="CC433" s="0" t="s">
        <v>155</v>
      </c>
      <c r="CG433" s="0" t="s">
        <v>154</v>
      </c>
      <c r="CP433" s="0" t="s">
        <v>154</v>
      </c>
      <c r="DC433" s="0" t="s">
        <v>154</v>
      </c>
      <c r="DL433" s="0" t="s">
        <v>154</v>
      </c>
      <c r="DM433" s="0" t="s">
        <v>155</v>
      </c>
      <c r="DN433" s="0" t="s">
        <v>154</v>
      </c>
      <c r="DR433" s="0" t="s">
        <v>154</v>
      </c>
      <c r="DS433" s="0" t="s">
        <v>155</v>
      </c>
      <c r="DU433" s="0" t="s">
        <v>154</v>
      </c>
      <c r="DW433" s="0" t="s">
        <v>155</v>
      </c>
      <c r="EA433" s="0" t="s">
        <v>154</v>
      </c>
      <c r="EF433" s="0" t="s">
        <v>154</v>
      </c>
      <c r="EH433" s="0" t="s">
        <v>155</v>
      </c>
    </row>
    <row r="434" customFormat="false" ht="13.8" hidden="false" customHeight="false" outlineLevel="0" collapsed="false">
      <c r="A434" s="0" t="s">
        <v>2366</v>
      </c>
      <c r="B434" s="0" t="n">
        <v>78</v>
      </c>
      <c r="C434" s="0" t="n">
        <v>442308</v>
      </c>
      <c r="D434" s="0" t="s">
        <v>2361</v>
      </c>
      <c r="E434" s="0" t="s">
        <v>2367</v>
      </c>
      <c r="F434" s="0" t="str">
        <f aca="false">CONCATENATE(D434," ",LEFT(H434,4),"T=",AU434,"D=",AV434,"R=",AW434,"M=",AX434,"L=",AY434,"B=",AZ434)</f>
        <v>GRIMM SRT=9D=1R=0M=2L=4B=0</v>
      </c>
      <c r="G434" s="0" t="s">
        <v>297</v>
      </c>
      <c r="H434" s="0" t="s">
        <v>311</v>
      </c>
      <c r="I434" s="0" t="s">
        <v>2368</v>
      </c>
      <c r="J434" s="0" t="s">
        <v>718</v>
      </c>
      <c r="K434" s="0" t="s">
        <v>175</v>
      </c>
      <c r="L434" s="1" t="s">
        <v>155</v>
      </c>
      <c r="M434" s="0" t="s">
        <v>2365</v>
      </c>
      <c r="N434" s="0" t="str">
        <f aca="false">RIGHT(M434,LEN(M434)-FIND(" ",M434))</f>
        <v>BONNIE BRAE AVE NE</v>
      </c>
      <c r="P434" s="0" t="s">
        <v>146</v>
      </c>
      <c r="Q434" s="0" t="s">
        <v>147</v>
      </c>
      <c r="R434" s="0" t="n">
        <v>44483</v>
      </c>
      <c r="AD434" s="0" t="s">
        <v>148</v>
      </c>
      <c r="AE434" s="0" t="s">
        <v>149</v>
      </c>
      <c r="AF434" s="0" t="s">
        <v>150</v>
      </c>
      <c r="AH434" s="0" t="n">
        <v>14</v>
      </c>
      <c r="AI434" s="0" t="n">
        <v>11</v>
      </c>
      <c r="AN434" s="0" t="s">
        <v>146</v>
      </c>
      <c r="AO434" s="0" t="s">
        <v>236</v>
      </c>
      <c r="AP434" s="0" t="s">
        <v>237</v>
      </c>
      <c r="AQ434" s="0" t="n">
        <v>9</v>
      </c>
      <c r="AR434" s="0" t="n">
        <v>64</v>
      </c>
      <c r="AS434" s="0" t="n">
        <v>32</v>
      </c>
      <c r="AU434" s="0" t="n">
        <f aca="false">COUNTA($BA$515:$EH$515)</f>
        <v>9</v>
      </c>
      <c r="AV434" s="0" t="n">
        <f aca="false">COUNTIF($BA$515:$EH$515,"D")</f>
        <v>1</v>
      </c>
      <c r="AW434" s="0" t="n">
        <f aca="false">COUNTIF($BA$515:$EH$515,"R")</f>
        <v>0</v>
      </c>
      <c r="AX434" s="0" t="n">
        <f aca="false"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>2</v>
      </c>
      <c r="AY434" s="0" t="n">
        <f aca="false">COUNTIF(DU434:EH434, "&lt;&gt;")</f>
        <v>4</v>
      </c>
      <c r="AZ434" s="0" t="n">
        <f aca="false">IF(EH434&lt;&gt;"",1,0)</f>
        <v>0</v>
      </c>
      <c r="BB434" s="0" t="s">
        <v>153</v>
      </c>
      <c r="BD434" s="0" t="s">
        <v>154</v>
      </c>
      <c r="BH434" s="0" t="s">
        <v>154</v>
      </c>
      <c r="BJ434" s="0" t="s">
        <v>154</v>
      </c>
      <c r="BL434" s="0" t="s">
        <v>154</v>
      </c>
      <c r="BP434" s="0" t="s">
        <v>154</v>
      </c>
      <c r="BR434" s="0" t="s">
        <v>154</v>
      </c>
      <c r="BS434" s="0" t="s">
        <v>154</v>
      </c>
      <c r="CA434" s="0" t="s">
        <v>154</v>
      </c>
      <c r="CC434" s="0" t="s">
        <v>155</v>
      </c>
      <c r="DL434" s="0" t="s">
        <v>154</v>
      </c>
      <c r="DN434" s="0" t="s">
        <v>154</v>
      </c>
      <c r="DR434" s="0" t="s">
        <v>154</v>
      </c>
      <c r="DS434" s="0" t="s">
        <v>155</v>
      </c>
      <c r="DU434" s="0" t="s">
        <v>154</v>
      </c>
      <c r="DW434" s="0" t="s">
        <v>155</v>
      </c>
      <c r="EA434" s="0" t="s">
        <v>154</v>
      </c>
      <c r="EF434" s="0" t="s">
        <v>154</v>
      </c>
    </row>
    <row r="435" customFormat="false" ht="13.8" hidden="false" customHeight="false" outlineLevel="0" collapsed="false">
      <c r="A435" s="0" t="s">
        <v>2369</v>
      </c>
      <c r="B435" s="0" t="n">
        <v>78</v>
      </c>
      <c r="C435" s="0" t="n">
        <v>416007</v>
      </c>
      <c r="D435" s="0" t="s">
        <v>1582</v>
      </c>
      <c r="E435" s="0" t="s">
        <v>1663</v>
      </c>
      <c r="F435" s="0" t="str">
        <f aca="false">CONCATENATE(D435," ",LEFT(H435,4),"T=",AU435,"D=",AV435,"R=",AW435,"M=",AX435,"L=",AY435,"B=",AZ435)</f>
        <v>SMITH T=13D=0R=0M=0L=3B=0</v>
      </c>
      <c r="G435" s="0" t="s">
        <v>2370</v>
      </c>
      <c r="I435" s="0" t="s">
        <v>2371</v>
      </c>
      <c r="J435" s="0" t="s">
        <v>575</v>
      </c>
      <c r="K435" s="0" t="s">
        <v>175</v>
      </c>
      <c r="M435" s="0" t="s">
        <v>2372</v>
      </c>
      <c r="N435" s="0" t="str">
        <f aca="false">RIGHT(M435,LEN(M435)-FIND(" ",M435))</f>
        <v>BONNIE BRAE AVE NE</v>
      </c>
      <c r="P435" s="0" t="s">
        <v>146</v>
      </c>
      <c r="Q435" s="0" t="s">
        <v>147</v>
      </c>
      <c r="R435" s="0" t="n">
        <v>44483</v>
      </c>
      <c r="AD435" s="0" t="s">
        <v>148</v>
      </c>
      <c r="AE435" s="0" t="s">
        <v>149</v>
      </c>
      <c r="AF435" s="0" t="s">
        <v>150</v>
      </c>
      <c r="AH435" s="0" t="n">
        <v>14</v>
      </c>
      <c r="AI435" s="0" t="n">
        <v>11</v>
      </c>
      <c r="AN435" s="0" t="s">
        <v>146</v>
      </c>
      <c r="AO435" s="0" t="s">
        <v>236</v>
      </c>
      <c r="AP435" s="0" t="s">
        <v>237</v>
      </c>
      <c r="AQ435" s="0" t="n">
        <v>9</v>
      </c>
      <c r="AR435" s="0" t="n">
        <v>64</v>
      </c>
      <c r="AS435" s="0" t="n">
        <v>32</v>
      </c>
      <c r="AU435" s="0" t="n">
        <f aca="false">COUNTA($BA$129:$EH$129)</f>
        <v>13</v>
      </c>
      <c r="AV435" s="0" t="n">
        <f aca="false">COUNTIF($BA$129:$EH$129,"D")</f>
        <v>0</v>
      </c>
      <c r="AW435" s="0" t="n">
        <f aca="false">COUNTIF($BA$129:$EH$129,"R")</f>
        <v>0</v>
      </c>
      <c r="AX435" s="0" t="n">
        <f aca="false"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>0</v>
      </c>
      <c r="AY435" s="0" t="n">
        <f aca="false">COUNTIF(DU435:EH435, "&lt;&gt;")</f>
        <v>3</v>
      </c>
      <c r="AZ435" s="0" t="n">
        <f aca="false">IF(EH435&lt;&gt;"",1,0)</f>
        <v>0</v>
      </c>
      <c r="BB435" s="0" t="s">
        <v>153</v>
      </c>
      <c r="BL435" s="0" t="s">
        <v>154</v>
      </c>
      <c r="CA435" s="0" t="s">
        <v>154</v>
      </c>
      <c r="DC435" s="0" t="s">
        <v>154</v>
      </c>
      <c r="DI435" s="0" t="s">
        <v>154</v>
      </c>
      <c r="DN435" s="0" t="s">
        <v>154</v>
      </c>
      <c r="DU435" s="0" t="s">
        <v>154</v>
      </c>
      <c r="EA435" s="0" t="s">
        <v>154</v>
      </c>
      <c r="EF435" s="0" t="s">
        <v>154</v>
      </c>
    </row>
    <row r="436" customFormat="false" ht="13.8" hidden="false" customHeight="false" outlineLevel="0" collapsed="false">
      <c r="A436" s="0" t="s">
        <v>2373</v>
      </c>
      <c r="B436" s="0" t="n">
        <v>78</v>
      </c>
      <c r="C436" s="0" t="n">
        <v>311128</v>
      </c>
      <c r="D436" s="0" t="s">
        <v>888</v>
      </c>
      <c r="E436" s="0" t="s">
        <v>2374</v>
      </c>
      <c r="F436" s="0" t="str">
        <f aca="false">CONCATENATE(D436," ",LEFT(H436,4),"T=",AU436,"D=",AV436,"R=",AW436,"M=",AX436,"L=",AY436,"B=",AZ436)</f>
        <v>BINION JRT=8D=1R=0M=0L=3B=0</v>
      </c>
      <c r="G436" s="0" t="s">
        <v>1482</v>
      </c>
      <c r="H436" s="0" t="s">
        <v>431</v>
      </c>
      <c r="I436" s="0" t="s">
        <v>2375</v>
      </c>
      <c r="J436" s="0" t="s">
        <v>2376</v>
      </c>
      <c r="K436" s="0" t="s">
        <v>175</v>
      </c>
      <c r="M436" s="0" t="s">
        <v>2372</v>
      </c>
      <c r="N436" s="0" t="str">
        <f aca="false">RIGHT(M436,LEN(M436)-FIND(" ",M436))</f>
        <v>BONNIE BRAE AVE NE</v>
      </c>
      <c r="P436" s="0" t="s">
        <v>146</v>
      </c>
      <c r="Q436" s="0" t="s">
        <v>147</v>
      </c>
      <c r="R436" s="0" t="n">
        <v>44483</v>
      </c>
      <c r="AD436" s="0" t="s">
        <v>148</v>
      </c>
      <c r="AE436" s="0" t="s">
        <v>149</v>
      </c>
      <c r="AF436" s="0" t="s">
        <v>150</v>
      </c>
      <c r="AH436" s="0" t="n">
        <v>14</v>
      </c>
      <c r="AI436" s="0" t="n">
        <v>11</v>
      </c>
      <c r="AN436" s="0" t="s">
        <v>146</v>
      </c>
      <c r="AO436" s="0" t="s">
        <v>236</v>
      </c>
      <c r="AP436" s="0" t="s">
        <v>237</v>
      </c>
      <c r="AQ436" s="0" t="n">
        <v>9</v>
      </c>
      <c r="AR436" s="0" t="n">
        <v>64</v>
      </c>
      <c r="AS436" s="0" t="n">
        <v>32</v>
      </c>
      <c r="AU436" s="0" t="n">
        <f aca="false">COUNTA($BA$506:$EH$506)</f>
        <v>8</v>
      </c>
      <c r="AV436" s="0" t="n">
        <f aca="false">COUNTIF($BA$506:$EH$506,"D")</f>
        <v>1</v>
      </c>
      <c r="AW436" s="0" t="n">
        <f aca="false">COUNTIF($BA$506:$EH$506,"R")</f>
        <v>0</v>
      </c>
      <c r="AX436" s="0" t="n">
        <f aca="false"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>0</v>
      </c>
      <c r="AY436" s="0" t="n">
        <f aca="false">COUNTIF(DU436:EH436, "&lt;&gt;")</f>
        <v>3</v>
      </c>
      <c r="AZ436" s="0" t="n">
        <f aca="false">IF(EH436&lt;&gt;"",1,0)</f>
        <v>0</v>
      </c>
      <c r="BB436" s="0" t="s">
        <v>153</v>
      </c>
      <c r="DN436" s="0" t="s">
        <v>154</v>
      </c>
      <c r="DU436" s="0" t="s">
        <v>154</v>
      </c>
      <c r="EA436" s="0" t="s">
        <v>154</v>
      </c>
      <c r="EF436" s="0" t="s">
        <v>154</v>
      </c>
    </row>
    <row r="437" customFormat="false" ht="13.8" hidden="false" customHeight="false" outlineLevel="0" collapsed="false">
      <c r="A437" s="0" t="s">
        <v>2377</v>
      </c>
      <c r="B437" s="0" t="n">
        <v>78</v>
      </c>
      <c r="C437" s="0" t="n">
        <v>166394</v>
      </c>
      <c r="D437" s="0" t="s">
        <v>2378</v>
      </c>
      <c r="E437" s="0" t="s">
        <v>2044</v>
      </c>
      <c r="F437" s="0" t="str">
        <f aca="false">CONCATENATE(D437," ",LEFT(H437,4),"T=",AU437,"D=",AV437,"R=",AW437,"M=",AX437,"L=",AY437,"B=",AZ437)</f>
        <v>LAUER T=2D=0R=0M=1L=5B=0</v>
      </c>
      <c r="G437" s="0" t="s">
        <v>317</v>
      </c>
      <c r="I437" s="0" t="s">
        <v>2379</v>
      </c>
      <c r="J437" s="0" t="s">
        <v>2380</v>
      </c>
      <c r="K437" s="0" t="s">
        <v>175</v>
      </c>
      <c r="L437" s="1" t="s">
        <v>176</v>
      </c>
      <c r="M437" s="0" t="s">
        <v>2381</v>
      </c>
      <c r="N437" s="0" t="str">
        <f aca="false">RIGHT(M437,LEN(M437)-FIND(" ",M437))</f>
        <v>BONNIE BRAE AVE NE</v>
      </c>
      <c r="P437" s="0" t="s">
        <v>146</v>
      </c>
      <c r="Q437" s="0" t="s">
        <v>147</v>
      </c>
      <c r="R437" s="0" t="n">
        <v>44483</v>
      </c>
      <c r="AD437" s="0" t="s">
        <v>148</v>
      </c>
      <c r="AE437" s="0" t="s">
        <v>149</v>
      </c>
      <c r="AF437" s="0" t="s">
        <v>150</v>
      </c>
      <c r="AH437" s="0" t="n">
        <v>14</v>
      </c>
      <c r="AI437" s="0" t="n">
        <v>11</v>
      </c>
      <c r="AN437" s="0" t="s">
        <v>146</v>
      </c>
      <c r="AO437" s="0" t="s">
        <v>236</v>
      </c>
      <c r="AP437" s="0" t="s">
        <v>237</v>
      </c>
      <c r="AQ437" s="0" t="n">
        <v>9</v>
      </c>
      <c r="AR437" s="0" t="n">
        <v>64</v>
      </c>
      <c r="AS437" s="0" t="n">
        <v>32</v>
      </c>
      <c r="AU437" s="0" t="n">
        <f aca="false">COUNTA($BA$1010:$EH$1010)</f>
        <v>2</v>
      </c>
      <c r="AV437" s="0" t="n">
        <f aca="false">COUNTIF($BA$1010:$EH$1010,"D")</f>
        <v>0</v>
      </c>
      <c r="AW437" s="0" t="n">
        <f aca="false">COUNTIF($BA$1010:$EH$1010,"R")</f>
        <v>0</v>
      </c>
      <c r="AX437" s="0" t="n">
        <f aca="false"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>1</v>
      </c>
      <c r="AY437" s="0" t="n">
        <f aca="false">COUNTIF(DU437:EH437, "&lt;&gt;")</f>
        <v>5</v>
      </c>
      <c r="AZ437" s="0" t="n">
        <f aca="false">IF(EH437&lt;&gt;"",1,0)</f>
        <v>0</v>
      </c>
      <c r="BB437" s="0" t="s">
        <v>153</v>
      </c>
      <c r="BC437" s="0" t="s">
        <v>154</v>
      </c>
      <c r="BL437" s="0" t="s">
        <v>154</v>
      </c>
      <c r="BS437" s="0" t="s">
        <v>154</v>
      </c>
      <c r="CA437" s="0" t="s">
        <v>154</v>
      </c>
      <c r="CK437" s="0" t="s">
        <v>154</v>
      </c>
      <c r="CN437" s="0" t="s">
        <v>154</v>
      </c>
      <c r="CY437" s="0" t="s">
        <v>154</v>
      </c>
      <c r="DC437" s="0" t="s">
        <v>154</v>
      </c>
      <c r="DI437" s="0" t="s">
        <v>154</v>
      </c>
      <c r="DN437" s="0" t="s">
        <v>154</v>
      </c>
      <c r="DU437" s="0" t="s">
        <v>154</v>
      </c>
      <c r="DW437" s="0" t="s">
        <v>155</v>
      </c>
      <c r="EA437" s="0" t="s">
        <v>154</v>
      </c>
      <c r="ED437" s="0" t="s">
        <v>176</v>
      </c>
      <c r="EF437" s="0" t="s">
        <v>154</v>
      </c>
    </row>
    <row r="438" customFormat="false" ht="13.8" hidden="false" customHeight="false" outlineLevel="0" collapsed="false">
      <c r="A438" s="0" t="s">
        <v>2382</v>
      </c>
      <c r="B438" s="0" t="n">
        <v>78</v>
      </c>
      <c r="C438" s="0" t="n">
        <v>354689</v>
      </c>
      <c r="D438" s="0" t="s">
        <v>2383</v>
      </c>
      <c r="E438" s="0" t="s">
        <v>2384</v>
      </c>
      <c r="F438" s="0" t="str">
        <f aca="false">CONCATENATE(D438," ",LEFT(H438,4),"T=",AU438,"D=",AV438,"R=",AW438,"M=",AX438,"L=",AY438,"B=",AZ438)</f>
        <v>WALDROP T=1D=0R=0M=4L=7B=1</v>
      </c>
      <c r="I438" s="0" t="s">
        <v>2385</v>
      </c>
      <c r="J438" s="0" t="s">
        <v>1129</v>
      </c>
      <c r="K438" s="0" t="s">
        <v>175</v>
      </c>
      <c r="L438" s="1" t="s">
        <v>155</v>
      </c>
      <c r="M438" s="0" t="s">
        <v>2386</v>
      </c>
      <c r="N438" s="0" t="str">
        <f aca="false">RIGHT(M438,LEN(M438)-FIND(" ",M438))</f>
        <v>BONNIE BRAE AVE NE</v>
      </c>
      <c r="P438" s="0" t="s">
        <v>146</v>
      </c>
      <c r="Q438" s="0" t="s">
        <v>147</v>
      </c>
      <c r="R438" s="0" t="n">
        <v>44483</v>
      </c>
      <c r="AD438" s="0" t="s">
        <v>148</v>
      </c>
      <c r="AE438" s="0" t="s">
        <v>149</v>
      </c>
      <c r="AF438" s="0" t="s">
        <v>150</v>
      </c>
      <c r="AH438" s="0" t="n">
        <v>14</v>
      </c>
      <c r="AI438" s="0" t="n">
        <v>11</v>
      </c>
      <c r="AN438" s="0" t="s">
        <v>146</v>
      </c>
      <c r="AO438" s="0" t="s">
        <v>236</v>
      </c>
      <c r="AP438" s="0" t="s">
        <v>237</v>
      </c>
      <c r="AQ438" s="0" t="n">
        <v>9</v>
      </c>
      <c r="AR438" s="0" t="n">
        <v>64</v>
      </c>
      <c r="AS438" s="0" t="n">
        <v>32</v>
      </c>
      <c r="AU438" s="0" t="n">
        <f aca="false">COUNTA($BA$381:$EH$381)</f>
        <v>1</v>
      </c>
      <c r="AV438" s="0" t="n">
        <f aca="false">COUNTIF($BA$381:$EH$381,"D")</f>
        <v>0</v>
      </c>
      <c r="AW438" s="0" t="n">
        <f aca="false">COUNTIF($BA$381:$EH$381,"R")</f>
        <v>0</v>
      </c>
      <c r="AX438" s="0" t="n">
        <f aca="false"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>4</v>
      </c>
      <c r="AY438" s="0" t="n">
        <f aca="false">COUNTIF(DU438:EH438, "&lt;&gt;")</f>
        <v>7</v>
      </c>
      <c r="AZ438" s="0" t="n">
        <f aca="false">IF(EH438&lt;&gt;"",1,0)</f>
        <v>1</v>
      </c>
      <c r="BB438" s="0" t="s">
        <v>153</v>
      </c>
      <c r="BY438" s="0" t="s">
        <v>155</v>
      </c>
      <c r="CA438" s="0" t="s">
        <v>154</v>
      </c>
      <c r="CG438" s="0" t="s">
        <v>154</v>
      </c>
      <c r="CH438" s="0" t="s">
        <v>155</v>
      </c>
      <c r="CK438" s="0" t="s">
        <v>154</v>
      </c>
      <c r="CP438" s="0" t="s">
        <v>154</v>
      </c>
      <c r="CT438" s="0" t="s">
        <v>154</v>
      </c>
      <c r="CU438" s="0" t="s">
        <v>155</v>
      </c>
      <c r="CV438" s="0" t="s">
        <v>154</v>
      </c>
      <c r="CY438" s="0" t="s">
        <v>154</v>
      </c>
      <c r="CZ438" s="0" t="s">
        <v>176</v>
      </c>
      <c r="DC438" s="0" t="s">
        <v>154</v>
      </c>
      <c r="DF438" s="0" t="s">
        <v>154</v>
      </c>
      <c r="DG438" s="0" t="s">
        <v>155</v>
      </c>
      <c r="DI438" s="0" t="s">
        <v>154</v>
      </c>
      <c r="DJ438" s="0" t="s">
        <v>155</v>
      </c>
      <c r="DL438" s="0" t="s">
        <v>154</v>
      </c>
      <c r="DN438" s="0" t="s">
        <v>154</v>
      </c>
      <c r="DO438" s="0" t="s">
        <v>155</v>
      </c>
      <c r="DR438" s="0" t="s">
        <v>154</v>
      </c>
      <c r="DS438" s="0" t="s">
        <v>176</v>
      </c>
      <c r="DT438" s="0" t="s">
        <v>176</v>
      </c>
      <c r="DU438" s="0" t="s">
        <v>154</v>
      </c>
      <c r="DW438" s="0" t="s">
        <v>155</v>
      </c>
      <c r="DX438" s="0" t="s">
        <v>154</v>
      </c>
      <c r="EA438" s="0" t="s">
        <v>154</v>
      </c>
      <c r="ED438" s="0" t="s">
        <v>176</v>
      </c>
      <c r="EF438" s="0" t="s">
        <v>154</v>
      </c>
      <c r="EH438" s="0" t="s">
        <v>155</v>
      </c>
    </row>
    <row r="439" customFormat="false" ht="13.8" hidden="true" customHeight="false" outlineLevel="0" collapsed="false">
      <c r="A439" s="0" t="s">
        <v>2387</v>
      </c>
      <c r="B439" s="0" t="n">
        <v>78</v>
      </c>
      <c r="C439" s="0" t="n">
        <v>361004</v>
      </c>
      <c r="D439" s="0" t="s">
        <v>2388</v>
      </c>
      <c r="E439" s="0" t="s">
        <v>2389</v>
      </c>
      <c r="F439" s="0" t="str">
        <f aca="false">CONCATENATE(D439," ",LEFT(H439,4),"T=",AU439,"D=",AV439,"R=",AW439,"M=",AX439,"L=",AY439,"B=",AZ439)</f>
        <v>TSAPOS T=5D=0R=0M=0L=0B=0</v>
      </c>
      <c r="G439" s="0" t="s">
        <v>297</v>
      </c>
      <c r="I439" s="0" t="s">
        <v>2390</v>
      </c>
      <c r="J439" s="0" t="s">
        <v>1251</v>
      </c>
      <c r="K439" s="0" t="s">
        <v>175</v>
      </c>
      <c r="L439" s="0"/>
      <c r="M439" s="0" t="s">
        <v>2391</v>
      </c>
      <c r="N439" s="0" t="str">
        <f aca="false">RIGHT(M439,LEN(M439)-FIND(" ",M439))</f>
        <v>BONNIE BRAE AVE NE</v>
      </c>
      <c r="P439" s="0" t="s">
        <v>146</v>
      </c>
      <c r="Q439" s="0" t="s">
        <v>147</v>
      </c>
      <c r="R439" s="0" t="n">
        <v>44483</v>
      </c>
      <c r="AD439" s="0" t="s">
        <v>148</v>
      </c>
      <c r="AE439" s="0" t="s">
        <v>149</v>
      </c>
      <c r="AF439" s="0" t="s">
        <v>150</v>
      </c>
      <c r="AH439" s="0" t="n">
        <v>14</v>
      </c>
      <c r="AI439" s="0" t="n">
        <v>11</v>
      </c>
      <c r="AN439" s="0" t="s">
        <v>146</v>
      </c>
      <c r="AO439" s="0" t="s">
        <v>236</v>
      </c>
      <c r="AP439" s="0" t="s">
        <v>237</v>
      </c>
      <c r="AQ439" s="0" t="n">
        <v>9</v>
      </c>
      <c r="AR439" s="0" t="n">
        <v>64</v>
      </c>
      <c r="AS439" s="0" t="n">
        <v>32</v>
      </c>
      <c r="AU439" s="0" t="n">
        <f aca="false">COUNTA($BA$446:$EH$446)</f>
        <v>5</v>
      </c>
      <c r="AV439" s="0" t="n">
        <f aca="false">COUNTIF($BA$446:$EH$446,"D")</f>
        <v>0</v>
      </c>
      <c r="AW439" s="0" t="n">
        <f aca="false">COUNTIF($BA$446:$EH$446,"R")</f>
        <v>0</v>
      </c>
      <c r="AX439" s="0" t="n">
        <f aca="false"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>0</v>
      </c>
      <c r="AY439" s="0" t="n">
        <f aca="false">COUNTIF(DU439:EH439, "&lt;&gt;")</f>
        <v>0</v>
      </c>
      <c r="AZ439" s="0" t="n">
        <f aca="false">IF(EH439&lt;&gt;"",1,0)</f>
        <v>0</v>
      </c>
      <c r="BB439" s="0" t="s">
        <v>153</v>
      </c>
      <c r="CA439" s="0" t="s">
        <v>154</v>
      </c>
    </row>
    <row r="440" customFormat="false" ht="13.8" hidden="true" customHeight="false" outlineLevel="0" collapsed="false">
      <c r="A440" s="0" t="s">
        <v>2392</v>
      </c>
      <c r="B440" s="0" t="n">
        <v>78</v>
      </c>
      <c r="C440" s="0" t="n">
        <v>309264</v>
      </c>
      <c r="D440" s="0" t="s">
        <v>2393</v>
      </c>
      <c r="E440" s="0" t="s">
        <v>1232</v>
      </c>
      <c r="F440" s="0" t="str">
        <f aca="false">CONCATENATE(D440," ",LEFT(H440,4),"T=",AU440,"D=",AV440,"R=",AW440,"M=",AX440,"L=",AY440,"B=",AZ440)</f>
        <v>KORECKI T=1D=0R=0M=0L=0B=0</v>
      </c>
      <c r="G440" s="0" t="s">
        <v>241</v>
      </c>
      <c r="I440" s="0" t="s">
        <v>2394</v>
      </c>
      <c r="J440" s="0" t="s">
        <v>611</v>
      </c>
      <c r="K440" s="0" t="s">
        <v>175</v>
      </c>
      <c r="L440" s="0"/>
      <c r="M440" s="0" t="s">
        <v>2395</v>
      </c>
      <c r="N440" s="0" t="str">
        <f aca="false">RIGHT(M440,LEN(M440)-FIND(" ",M440))</f>
        <v>BONNIE BRAE AVE NE</v>
      </c>
      <c r="P440" s="0" t="s">
        <v>146</v>
      </c>
      <c r="Q440" s="0" t="s">
        <v>147</v>
      </c>
      <c r="R440" s="0" t="n">
        <v>44483</v>
      </c>
      <c r="AD440" s="0" t="s">
        <v>148</v>
      </c>
      <c r="AE440" s="0" t="s">
        <v>149</v>
      </c>
      <c r="AF440" s="0" t="s">
        <v>150</v>
      </c>
      <c r="AH440" s="0" t="n">
        <v>14</v>
      </c>
      <c r="AI440" s="0" t="n">
        <v>11</v>
      </c>
      <c r="AN440" s="0" t="s">
        <v>146</v>
      </c>
      <c r="AO440" s="0" t="s">
        <v>236</v>
      </c>
      <c r="AP440" s="0" t="s">
        <v>237</v>
      </c>
      <c r="AQ440" s="0" t="n">
        <v>9</v>
      </c>
      <c r="AR440" s="0" t="n">
        <v>64</v>
      </c>
      <c r="AS440" s="0" t="n">
        <v>32</v>
      </c>
      <c r="AU440" s="0" t="n">
        <f aca="false">COUNTA($BA$210:$EH$210)</f>
        <v>1</v>
      </c>
      <c r="AV440" s="0" t="n">
        <f aca="false">COUNTIF($BA$210:$EH$210,"D")</f>
        <v>0</v>
      </c>
      <c r="AW440" s="0" t="n">
        <f aca="false">COUNTIF($BA$210:$EH$210,"R")</f>
        <v>0</v>
      </c>
      <c r="AX440" s="0" t="n">
        <f aca="false"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>0</v>
      </c>
      <c r="AY440" s="0" t="n">
        <f aca="false">COUNTIF(DU440:EH440, "&lt;&gt;")</f>
        <v>0</v>
      </c>
      <c r="AZ440" s="0" t="n">
        <f aca="false">IF(EH440&lt;&gt;"",1,0)</f>
        <v>0</v>
      </c>
      <c r="BB440" s="0" t="s">
        <v>153</v>
      </c>
      <c r="BH440" s="0" t="s">
        <v>154</v>
      </c>
    </row>
    <row r="441" customFormat="false" ht="13.8" hidden="true" customHeight="false" outlineLevel="0" collapsed="false">
      <c r="A441" s="0" t="s">
        <v>2396</v>
      </c>
      <c r="B441" s="0" t="n">
        <v>78</v>
      </c>
      <c r="C441" s="0" t="n">
        <v>348111</v>
      </c>
      <c r="D441" s="0" t="s">
        <v>2393</v>
      </c>
      <c r="E441" s="0" t="s">
        <v>1916</v>
      </c>
      <c r="F441" s="0" t="str">
        <f aca="false">CONCATENATE(D441," ",LEFT(H441,4),"T=",AU441,"D=",AV441,"R=",AW441,"M=",AX441,"L=",AY441,"B=",AZ441)</f>
        <v>KORECKI T=14D=1R=0M=0L=0B=0</v>
      </c>
      <c r="G441" s="0" t="s">
        <v>2397</v>
      </c>
      <c r="I441" s="0" t="s">
        <v>2398</v>
      </c>
      <c r="J441" s="0" t="s">
        <v>611</v>
      </c>
      <c r="K441" s="0" t="s">
        <v>175</v>
      </c>
      <c r="L441" s="0"/>
      <c r="M441" s="0" t="s">
        <v>2395</v>
      </c>
      <c r="N441" s="0" t="str">
        <f aca="false">RIGHT(M441,LEN(M441)-FIND(" ",M441))</f>
        <v>BONNIE BRAE AVE NE</v>
      </c>
      <c r="P441" s="0" t="s">
        <v>146</v>
      </c>
      <c r="Q441" s="0" t="s">
        <v>147</v>
      </c>
      <c r="R441" s="0" t="n">
        <v>44483</v>
      </c>
      <c r="AD441" s="0" t="s">
        <v>148</v>
      </c>
      <c r="AE441" s="0" t="s">
        <v>149</v>
      </c>
      <c r="AF441" s="0" t="s">
        <v>150</v>
      </c>
      <c r="AH441" s="0" t="n">
        <v>14</v>
      </c>
      <c r="AI441" s="0" t="n">
        <v>11</v>
      </c>
      <c r="AN441" s="0" t="s">
        <v>146</v>
      </c>
      <c r="AO441" s="0" t="s">
        <v>236</v>
      </c>
      <c r="AP441" s="0" t="s">
        <v>237</v>
      </c>
      <c r="AQ441" s="0" t="n">
        <v>9</v>
      </c>
      <c r="AR441" s="0" t="n">
        <v>64</v>
      </c>
      <c r="AS441" s="0" t="n">
        <v>32</v>
      </c>
      <c r="AU441" s="0" t="n">
        <f aca="false">COUNTA($BA$601:$EH$601)</f>
        <v>14</v>
      </c>
      <c r="AV441" s="0" t="n">
        <f aca="false">COUNTIF($BA$601:$EH$601,"D")</f>
        <v>1</v>
      </c>
      <c r="AW441" s="0" t="n">
        <f aca="false">COUNTIF($BA$601:$EH$601,"R")</f>
        <v>0</v>
      </c>
      <c r="AX441" s="0" t="n">
        <f aca="false"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>0</v>
      </c>
      <c r="AY441" s="0" t="n">
        <f aca="false">COUNTIF(DU441:EH441, "&lt;&gt;")</f>
        <v>0</v>
      </c>
      <c r="AZ441" s="0" t="n">
        <f aca="false">IF(EH441&lt;&gt;"",1,0)</f>
        <v>0</v>
      </c>
      <c r="BB441" s="0" t="s">
        <v>153</v>
      </c>
    </row>
    <row r="442" customFormat="false" ht="13.8" hidden="true" customHeight="false" outlineLevel="0" collapsed="false">
      <c r="A442" s="0" t="s">
        <v>2399</v>
      </c>
      <c r="B442" s="0" t="n">
        <v>78</v>
      </c>
      <c r="C442" s="0" t="n">
        <v>442917</v>
      </c>
      <c r="D442" s="0" t="s">
        <v>2400</v>
      </c>
      <c r="E442" s="0" t="s">
        <v>2401</v>
      </c>
      <c r="F442" s="0" t="str">
        <f aca="false">CONCATENATE(D442," ",LEFT(H442,4),"T=",AU442,"D=",AV442,"R=",AW442,"M=",AX442,"L=",AY442,"B=",AZ442)</f>
        <v>HECKMAN T=5D=0R=0M=0L=0B=0</v>
      </c>
      <c r="G442" s="0" t="s">
        <v>423</v>
      </c>
      <c r="I442" s="0" t="s">
        <v>2402</v>
      </c>
      <c r="J442" s="0" t="s">
        <v>2403</v>
      </c>
      <c r="K442" s="0" t="s">
        <v>175</v>
      </c>
      <c r="L442" s="0"/>
      <c r="M442" s="0" t="s">
        <v>2404</v>
      </c>
      <c r="N442" s="0" t="str">
        <f aca="false">RIGHT(M442,LEN(M442)-FIND(" ",M442))</f>
        <v>BONNIE BRAE AVE NE</v>
      </c>
      <c r="P442" s="0" t="s">
        <v>146</v>
      </c>
      <c r="Q442" s="0" t="s">
        <v>147</v>
      </c>
      <c r="R442" s="0" t="n">
        <v>44483</v>
      </c>
      <c r="AD442" s="0" t="s">
        <v>148</v>
      </c>
      <c r="AE442" s="0" t="s">
        <v>149</v>
      </c>
      <c r="AF442" s="0" t="s">
        <v>150</v>
      </c>
      <c r="AH442" s="0" t="n">
        <v>14</v>
      </c>
      <c r="AI442" s="0" t="n">
        <v>11</v>
      </c>
      <c r="AN442" s="0" t="s">
        <v>146</v>
      </c>
      <c r="AO442" s="0" t="s">
        <v>236</v>
      </c>
      <c r="AP442" s="0" t="s">
        <v>237</v>
      </c>
      <c r="AQ442" s="0" t="n">
        <v>9</v>
      </c>
      <c r="AR442" s="0" t="n">
        <v>64</v>
      </c>
      <c r="AS442" s="0" t="n">
        <v>32</v>
      </c>
      <c r="AU442" s="0" t="n">
        <f aca="false">COUNTA($BA$153:$EH$153)</f>
        <v>5</v>
      </c>
      <c r="AV442" s="0" t="n">
        <f aca="false">COUNTIF($BA$153:$EH$153,"D")</f>
        <v>0</v>
      </c>
      <c r="AW442" s="0" t="n">
        <f aca="false">COUNTIF($BA$153:$EH$153,"R")</f>
        <v>0</v>
      </c>
      <c r="AX442" s="0" t="n">
        <f aca="false"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>0</v>
      </c>
      <c r="AY442" s="0" t="n">
        <f aca="false">COUNTIF(DU442:EH442, "&lt;&gt;")</f>
        <v>0</v>
      </c>
      <c r="AZ442" s="0" t="n">
        <f aca="false">IF(EH442&lt;&gt;"",1,0)</f>
        <v>0</v>
      </c>
      <c r="BB442" s="0" t="s">
        <v>153</v>
      </c>
    </row>
    <row r="443" customFormat="false" ht="13.8" hidden="true" customHeight="false" outlineLevel="0" collapsed="false">
      <c r="A443" s="0" t="s">
        <v>2405</v>
      </c>
      <c r="B443" s="0" t="n">
        <v>78</v>
      </c>
      <c r="C443" s="0" t="n">
        <v>423611</v>
      </c>
      <c r="D443" s="0" t="s">
        <v>2406</v>
      </c>
      <c r="E443" s="0" t="s">
        <v>1619</v>
      </c>
      <c r="F443" s="0" t="str">
        <f aca="false">CONCATENATE(D443," ",LEFT(H443,4),"T=",AU443,"D=",AV443,"R=",AW443,"M=",AX443,"L=",AY443,"B=",AZ443)</f>
        <v>BANIC T=12D=0R=3M=0L=0B=0</v>
      </c>
      <c r="G443" s="0" t="s">
        <v>652</v>
      </c>
      <c r="I443" s="0" t="s">
        <v>2407</v>
      </c>
      <c r="J443" s="0" t="s">
        <v>2408</v>
      </c>
      <c r="K443" s="0" t="s">
        <v>144</v>
      </c>
      <c r="L443" s="0"/>
      <c r="M443" s="0" t="s">
        <v>2404</v>
      </c>
      <c r="N443" s="0" t="str">
        <f aca="false">RIGHT(M443,LEN(M443)-FIND(" ",M443))</f>
        <v>BONNIE BRAE AVE NE</v>
      </c>
      <c r="P443" s="0" t="s">
        <v>146</v>
      </c>
      <c r="Q443" s="0" t="s">
        <v>147</v>
      </c>
      <c r="R443" s="0" t="n">
        <v>44483</v>
      </c>
      <c r="AD443" s="0" t="s">
        <v>148</v>
      </c>
      <c r="AE443" s="0" t="s">
        <v>149</v>
      </c>
      <c r="AF443" s="0" t="s">
        <v>150</v>
      </c>
      <c r="AH443" s="0" t="n">
        <v>14</v>
      </c>
      <c r="AI443" s="0" t="n">
        <v>11</v>
      </c>
      <c r="AN443" s="0" t="s">
        <v>146</v>
      </c>
      <c r="AO443" s="0" t="s">
        <v>236</v>
      </c>
      <c r="AP443" s="0" t="s">
        <v>237</v>
      </c>
      <c r="AQ443" s="0" t="n">
        <v>9</v>
      </c>
      <c r="AR443" s="0" t="n">
        <v>64</v>
      </c>
      <c r="AS443" s="0" t="n">
        <v>32</v>
      </c>
      <c r="AU443" s="0" t="n">
        <f aca="false">COUNTA($BA$341:$EH$341)</f>
        <v>12</v>
      </c>
      <c r="AV443" s="0" t="n">
        <f aca="false">COUNTIF($BA$341:$EH$341,"D")</f>
        <v>0</v>
      </c>
      <c r="AW443" s="0" t="n">
        <f aca="false">COUNTIF($BA$341:$EH$341,"R")</f>
        <v>3</v>
      </c>
      <c r="AX443" s="0" t="n">
        <f aca="false"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>0</v>
      </c>
      <c r="AY443" s="0" t="n">
        <f aca="false">COUNTIF(DU443:EH443, "&lt;&gt;")</f>
        <v>0</v>
      </c>
      <c r="AZ443" s="0" t="n">
        <f aca="false">IF(EH443&lt;&gt;"",1,0)</f>
        <v>0</v>
      </c>
      <c r="BB443" s="0" t="s">
        <v>153</v>
      </c>
    </row>
    <row r="444" customFormat="false" ht="13.8" hidden="false" customHeight="false" outlineLevel="0" collapsed="false">
      <c r="A444" s="0" t="s">
        <v>2409</v>
      </c>
      <c r="B444" s="0" t="n">
        <v>78</v>
      </c>
      <c r="C444" s="0" t="n">
        <v>304307</v>
      </c>
      <c r="D444" s="0" t="s">
        <v>2410</v>
      </c>
      <c r="E444" s="0" t="s">
        <v>2411</v>
      </c>
      <c r="F444" s="0" t="str">
        <f aca="false">CONCATENATE(D444," ",LEFT(H444,4),"T=",AU444,"D=",AV444,"R=",AW444,"M=",AX444,"L=",AY444,"B=",AZ444)</f>
        <v>BARNES T=2D=0R=0M=1L=2B=0</v>
      </c>
      <c r="G444" s="0" t="s">
        <v>297</v>
      </c>
      <c r="I444" s="0" t="s">
        <v>2412</v>
      </c>
      <c r="J444" s="0" t="s">
        <v>2413</v>
      </c>
      <c r="K444" s="0" t="s">
        <v>175</v>
      </c>
      <c r="M444" s="0" t="s">
        <v>2414</v>
      </c>
      <c r="N444" s="0" t="str">
        <f aca="false">RIGHT(M444,LEN(M444)-FIND(" ",M444))</f>
        <v>BONNIE BRAE AVE NE</v>
      </c>
      <c r="P444" s="0" t="s">
        <v>146</v>
      </c>
      <c r="Q444" s="0" t="s">
        <v>147</v>
      </c>
      <c r="R444" s="0" t="n">
        <v>44483</v>
      </c>
      <c r="AD444" s="0" t="s">
        <v>148</v>
      </c>
      <c r="AE444" s="0" t="s">
        <v>149</v>
      </c>
      <c r="AF444" s="0" t="s">
        <v>150</v>
      </c>
      <c r="AH444" s="0" t="n">
        <v>14</v>
      </c>
      <c r="AI444" s="0" t="n">
        <v>11</v>
      </c>
      <c r="AN444" s="0" t="s">
        <v>146</v>
      </c>
      <c r="AO444" s="0" t="s">
        <v>236</v>
      </c>
      <c r="AP444" s="0" t="s">
        <v>237</v>
      </c>
      <c r="AQ444" s="0" t="n">
        <v>9</v>
      </c>
      <c r="AR444" s="0" t="n">
        <v>64</v>
      </c>
      <c r="AS444" s="0" t="n">
        <v>32</v>
      </c>
      <c r="AU444" s="0" t="n">
        <f aca="false">COUNTA($BA$186:$EH$186)</f>
        <v>2</v>
      </c>
      <c r="AV444" s="0" t="n">
        <f aca="false">COUNTIF($BA$186:$EH$186,"D")</f>
        <v>0</v>
      </c>
      <c r="AW444" s="0" t="n">
        <f aca="false">COUNTIF($BA$186:$EH$186,"R")</f>
        <v>0</v>
      </c>
      <c r="AX444" s="0" t="n">
        <f aca="false"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>1</v>
      </c>
      <c r="AY444" s="0" t="n">
        <f aca="false">COUNTIF(DU444:EH444, "&lt;&gt;")</f>
        <v>2</v>
      </c>
      <c r="AZ444" s="0" t="n">
        <f aca="false">IF(EH444&lt;&gt;"",1,0)</f>
        <v>0</v>
      </c>
      <c r="BB444" s="0" t="s">
        <v>153</v>
      </c>
      <c r="BY444" s="0" t="s">
        <v>155</v>
      </c>
      <c r="CA444" s="0" t="s">
        <v>154</v>
      </c>
      <c r="CK444" s="0" t="s">
        <v>154</v>
      </c>
      <c r="CL444" s="0" t="s">
        <v>155</v>
      </c>
      <c r="CN444" s="0" t="s">
        <v>154</v>
      </c>
      <c r="CP444" s="0" t="s">
        <v>154</v>
      </c>
      <c r="CZ444" s="0" t="s">
        <v>155</v>
      </c>
      <c r="DM444" s="0" t="s">
        <v>155</v>
      </c>
      <c r="DU444" s="0" t="s">
        <v>154</v>
      </c>
      <c r="EF444" s="0" t="s">
        <v>154</v>
      </c>
    </row>
    <row r="445" customFormat="false" ht="13.8" hidden="false" customHeight="false" outlineLevel="0" collapsed="false">
      <c r="A445" s="0" t="s">
        <v>2415</v>
      </c>
      <c r="B445" s="0" t="n">
        <v>78</v>
      </c>
      <c r="C445" s="0" t="n">
        <v>421470</v>
      </c>
      <c r="D445" s="0" t="s">
        <v>404</v>
      </c>
      <c r="E445" s="0" t="s">
        <v>266</v>
      </c>
      <c r="F445" s="0" t="str">
        <f aca="false">CONCATENATE(D445," ",LEFT(H445,4),"T=",AU445,"D=",AV445,"R=",AW445,"M=",AX445,"L=",AY445,"B=",AZ445)</f>
        <v>CLARK T=1D=0R=0M=0L=2B=0</v>
      </c>
      <c r="G445" s="0" t="s">
        <v>155</v>
      </c>
      <c r="I445" s="0" t="s">
        <v>2416</v>
      </c>
      <c r="J445" s="0" t="s">
        <v>2417</v>
      </c>
      <c r="K445" s="0" t="s">
        <v>175</v>
      </c>
      <c r="M445" s="0" t="s">
        <v>2418</v>
      </c>
      <c r="N445" s="0" t="str">
        <f aca="false">RIGHT(M445,LEN(M445)-FIND(" ",M445))</f>
        <v>BONNIE BRAE AVE NE</v>
      </c>
      <c r="P445" s="0" t="s">
        <v>146</v>
      </c>
      <c r="Q445" s="0" t="s">
        <v>147</v>
      </c>
      <c r="R445" s="0" t="n">
        <v>44483</v>
      </c>
      <c r="AD445" s="0" t="s">
        <v>148</v>
      </c>
      <c r="AE445" s="0" t="s">
        <v>149</v>
      </c>
      <c r="AF445" s="0" t="s">
        <v>150</v>
      </c>
      <c r="AH445" s="0" t="n">
        <v>14</v>
      </c>
      <c r="AI445" s="0" t="n">
        <v>11</v>
      </c>
      <c r="AN445" s="0" t="s">
        <v>146</v>
      </c>
      <c r="AO445" s="0" t="s">
        <v>236</v>
      </c>
      <c r="AP445" s="0" t="s">
        <v>237</v>
      </c>
      <c r="AQ445" s="0" t="n">
        <v>9</v>
      </c>
      <c r="AR445" s="0" t="n">
        <v>64</v>
      </c>
      <c r="AS445" s="0" t="n">
        <v>32</v>
      </c>
      <c r="AU445" s="0" t="n">
        <f aca="false">COUNTA($BA$860:$EH$860)</f>
        <v>1</v>
      </c>
      <c r="AV445" s="0" t="n">
        <f aca="false">COUNTIF($BA$860:$EH$860,"D")</f>
        <v>0</v>
      </c>
      <c r="AW445" s="0" t="n">
        <f aca="false">COUNTIF($BA$860:$EH$860,"R")</f>
        <v>0</v>
      </c>
      <c r="AX445" s="0" t="n">
        <f aca="false"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>0</v>
      </c>
      <c r="AY445" s="0" t="n">
        <f aca="false">COUNTIF(DU445:EH445, "&lt;&gt;")</f>
        <v>2</v>
      </c>
      <c r="AZ445" s="0" t="n">
        <f aca="false">IF(EH445&lt;&gt;"",1,0)</f>
        <v>0</v>
      </c>
      <c r="BB445" s="0" t="s">
        <v>153</v>
      </c>
      <c r="DC445" s="0" t="s">
        <v>154</v>
      </c>
      <c r="DN445" s="0" t="s">
        <v>154</v>
      </c>
      <c r="EA445" s="0" t="s">
        <v>154</v>
      </c>
      <c r="EF445" s="0" t="s">
        <v>154</v>
      </c>
    </row>
    <row r="446" customFormat="false" ht="13.8" hidden="false" customHeight="false" outlineLevel="0" collapsed="false">
      <c r="A446" s="0" t="s">
        <v>2419</v>
      </c>
      <c r="B446" s="0" t="n">
        <v>78</v>
      </c>
      <c r="C446" s="0" t="n">
        <v>421469</v>
      </c>
      <c r="D446" s="0" t="s">
        <v>404</v>
      </c>
      <c r="E446" s="0" t="s">
        <v>2420</v>
      </c>
      <c r="F446" s="0" t="str">
        <f aca="false">CONCATENATE(D446," ",LEFT(H446,4),"T=",AU446,"D=",AV446,"R=",AW446,"M=",AX446,"L=",AY446,"B=",AZ446)</f>
        <v>CLARK T=23D=2R=4M=0L=2B=0</v>
      </c>
      <c r="G446" s="0" t="s">
        <v>508</v>
      </c>
      <c r="I446" s="0" t="s">
        <v>2421</v>
      </c>
      <c r="J446" s="0" t="s">
        <v>654</v>
      </c>
      <c r="K446" s="0" t="s">
        <v>175</v>
      </c>
      <c r="M446" s="0" t="s">
        <v>2418</v>
      </c>
      <c r="N446" s="0" t="str">
        <f aca="false">RIGHT(M446,LEN(M446)-FIND(" ",M446))</f>
        <v>BONNIE BRAE AVE NE</v>
      </c>
      <c r="P446" s="0" t="s">
        <v>146</v>
      </c>
      <c r="Q446" s="0" t="s">
        <v>147</v>
      </c>
      <c r="R446" s="0" t="n">
        <v>44483</v>
      </c>
      <c r="AD446" s="0" t="s">
        <v>148</v>
      </c>
      <c r="AE446" s="0" t="s">
        <v>149</v>
      </c>
      <c r="AF446" s="0" t="s">
        <v>150</v>
      </c>
      <c r="AH446" s="0" t="n">
        <v>14</v>
      </c>
      <c r="AI446" s="0" t="n">
        <v>11</v>
      </c>
      <c r="AN446" s="0" t="s">
        <v>146</v>
      </c>
      <c r="AO446" s="0" t="s">
        <v>236</v>
      </c>
      <c r="AP446" s="0" t="s">
        <v>237</v>
      </c>
      <c r="AQ446" s="0" t="n">
        <v>9</v>
      </c>
      <c r="AR446" s="0" t="n">
        <v>64</v>
      </c>
      <c r="AS446" s="0" t="n">
        <v>32</v>
      </c>
      <c r="AU446" s="0" t="n">
        <f aca="false">COUNTA($BA$861:$EH$861)</f>
        <v>23</v>
      </c>
      <c r="AV446" s="0" t="n">
        <f aca="false">COUNTIF($BA$861:$EH$861,"D")</f>
        <v>2</v>
      </c>
      <c r="AW446" s="0" t="n">
        <f aca="false">COUNTIF($BA$861:$EH$861,"R")</f>
        <v>4</v>
      </c>
      <c r="AX446" s="0" t="n">
        <f aca="false"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>0</v>
      </c>
      <c r="AY446" s="0" t="n">
        <f aca="false">COUNTIF(DU446:EH446, "&lt;&gt;")</f>
        <v>2</v>
      </c>
      <c r="AZ446" s="0" t="n">
        <f aca="false">IF(EH446&lt;&gt;"",1,0)</f>
        <v>0</v>
      </c>
      <c r="BB446" s="0" t="s">
        <v>153</v>
      </c>
      <c r="DC446" s="0" t="s">
        <v>154</v>
      </c>
      <c r="DN446" s="0" t="s">
        <v>154</v>
      </c>
      <c r="EA446" s="0" t="s">
        <v>154</v>
      </c>
      <c r="EF446" s="0" t="s">
        <v>154</v>
      </c>
    </row>
    <row r="447" customFormat="false" ht="13.8" hidden="false" customHeight="false" outlineLevel="0" collapsed="false">
      <c r="A447" s="0" t="s">
        <v>2422</v>
      </c>
      <c r="B447" s="0" t="n">
        <v>78</v>
      </c>
      <c r="C447" s="0" t="n">
        <v>186150</v>
      </c>
      <c r="D447" s="0" t="s">
        <v>2423</v>
      </c>
      <c r="E447" s="0" t="s">
        <v>920</v>
      </c>
      <c r="F447" s="0" t="str">
        <f aca="false">CONCATENATE(D447," ",LEFT(H447,4),"T=",AU447,"D=",AV447,"R=",AW447,"M=",AX447,"L=",AY447,"B=",AZ447)</f>
        <v>SEGER T=10D=0R=1M=3L=7B=1</v>
      </c>
      <c r="G447" s="0" t="s">
        <v>202</v>
      </c>
      <c r="I447" s="0" t="s">
        <v>2424</v>
      </c>
      <c r="J447" s="0" t="s">
        <v>575</v>
      </c>
      <c r="K447" s="0" t="s">
        <v>175</v>
      </c>
      <c r="L447" s="1" t="s">
        <v>155</v>
      </c>
      <c r="M447" s="0" t="s">
        <v>2425</v>
      </c>
      <c r="N447" s="0" t="str">
        <f aca="false">RIGHT(M447,LEN(M447)-FIND(" ",M447))</f>
        <v>BONNIE BRAE AVE NE</v>
      </c>
      <c r="P447" s="0" t="s">
        <v>146</v>
      </c>
      <c r="Q447" s="0" t="s">
        <v>147</v>
      </c>
      <c r="R447" s="0" t="n">
        <v>44483</v>
      </c>
      <c r="AD447" s="0" t="s">
        <v>148</v>
      </c>
      <c r="AE447" s="0" t="s">
        <v>149</v>
      </c>
      <c r="AF447" s="0" t="s">
        <v>150</v>
      </c>
      <c r="AH447" s="0" t="n">
        <v>14</v>
      </c>
      <c r="AI447" s="0" t="n">
        <v>11</v>
      </c>
      <c r="AN447" s="0" t="s">
        <v>146</v>
      </c>
      <c r="AO447" s="0" t="s">
        <v>236</v>
      </c>
      <c r="AP447" s="0" t="s">
        <v>237</v>
      </c>
      <c r="AQ447" s="0" t="n">
        <v>9</v>
      </c>
      <c r="AR447" s="0" t="n">
        <v>64</v>
      </c>
      <c r="AS447" s="0" t="n">
        <v>32</v>
      </c>
      <c r="AU447" s="0" t="n">
        <f aca="false">COUNTA($BA$1052:$EH$1052)</f>
        <v>10</v>
      </c>
      <c r="AV447" s="0" t="n">
        <f aca="false">COUNTIF($BA$1052:$EH$1052,"D")</f>
        <v>0</v>
      </c>
      <c r="AW447" s="0" t="n">
        <f aca="false">COUNTIF($BA$1052:$EH$1052,"R")</f>
        <v>1</v>
      </c>
      <c r="AX447" s="0" t="n">
        <f aca="false"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>3</v>
      </c>
      <c r="AY447" s="0" t="n">
        <f aca="false">COUNTIF(DU447:EH447, "&lt;&gt;")</f>
        <v>7</v>
      </c>
      <c r="AZ447" s="0" t="n">
        <f aca="false">IF(EH447&lt;&gt;"",1,0)</f>
        <v>1</v>
      </c>
      <c r="BB447" s="0" t="s">
        <v>153</v>
      </c>
      <c r="BC447" s="0" t="s">
        <v>154</v>
      </c>
      <c r="BD447" s="0" t="s">
        <v>154</v>
      </c>
      <c r="BE447" s="0" t="s">
        <v>154</v>
      </c>
      <c r="BF447" s="0" t="s">
        <v>154</v>
      </c>
      <c r="BH447" s="0" t="s">
        <v>154</v>
      </c>
      <c r="BI447" s="0" t="s">
        <v>154</v>
      </c>
      <c r="BJ447" s="0" t="s">
        <v>154</v>
      </c>
      <c r="BK447" s="0" t="s">
        <v>154</v>
      </c>
      <c r="BL447" s="0" t="s">
        <v>154</v>
      </c>
      <c r="BP447" s="0" t="s">
        <v>154</v>
      </c>
      <c r="BS447" s="0" t="s">
        <v>154</v>
      </c>
      <c r="BV447" s="0" t="s">
        <v>154</v>
      </c>
      <c r="BY447" s="0" t="s">
        <v>155</v>
      </c>
      <c r="CA447" s="0" t="s">
        <v>154</v>
      </c>
      <c r="CG447" s="0" t="s">
        <v>154</v>
      </c>
      <c r="CN447" s="0" t="s">
        <v>154</v>
      </c>
      <c r="CP447" s="0" t="s">
        <v>154</v>
      </c>
      <c r="CV447" s="0" t="s">
        <v>154</v>
      </c>
      <c r="CW447" s="0" t="s">
        <v>155</v>
      </c>
      <c r="CZ447" s="0" t="s">
        <v>155</v>
      </c>
      <c r="DC447" s="0" t="s">
        <v>154</v>
      </c>
      <c r="DI447" s="0" t="s">
        <v>154</v>
      </c>
      <c r="DL447" s="0" t="s">
        <v>154</v>
      </c>
      <c r="DM447" s="0" t="s">
        <v>155</v>
      </c>
      <c r="DN447" s="0" t="s">
        <v>154</v>
      </c>
      <c r="DS447" s="0" t="s">
        <v>155</v>
      </c>
      <c r="DU447" s="0" t="s">
        <v>154</v>
      </c>
      <c r="DW447" s="0" t="s">
        <v>155</v>
      </c>
      <c r="DX447" s="0" t="s">
        <v>154</v>
      </c>
      <c r="EA447" s="0" t="s">
        <v>154</v>
      </c>
      <c r="ED447" s="0" t="s">
        <v>155</v>
      </c>
      <c r="EF447" s="0" t="s">
        <v>154</v>
      </c>
      <c r="EH447" s="0" t="s">
        <v>155</v>
      </c>
    </row>
    <row r="448" customFormat="false" ht="13.8" hidden="false" customHeight="false" outlineLevel="0" collapsed="false">
      <c r="A448" s="0" t="s">
        <v>2426</v>
      </c>
      <c r="B448" s="0" t="n">
        <v>78</v>
      </c>
      <c r="C448" s="0" t="n">
        <v>458451</v>
      </c>
      <c r="D448" s="0" t="s">
        <v>2427</v>
      </c>
      <c r="E448" s="0" t="s">
        <v>2428</v>
      </c>
      <c r="F448" s="0" t="str">
        <f aca="false">CONCATENATE(D448," ",LEFT(H448,4),"T=",AU448,"D=",AV448,"R=",AW448,"M=",AX448,"L=",AY448,"B=",AZ448)</f>
        <v>DARBY T=1D=0R=0M=0L=4B=0</v>
      </c>
      <c r="G448" s="0" t="s">
        <v>241</v>
      </c>
      <c r="I448" s="0" t="s">
        <v>2429</v>
      </c>
      <c r="J448" s="0" t="s">
        <v>2430</v>
      </c>
      <c r="K448" s="0" t="s">
        <v>175</v>
      </c>
      <c r="M448" s="0" t="s">
        <v>2431</v>
      </c>
      <c r="N448" s="0" t="str">
        <f aca="false">RIGHT(M448,LEN(M448)-FIND(" ",M448))</f>
        <v>BONNIE BRAE AVE NE</v>
      </c>
      <c r="P448" s="0" t="s">
        <v>146</v>
      </c>
      <c r="Q448" s="0" t="s">
        <v>147</v>
      </c>
      <c r="R448" s="0" t="n">
        <v>44483</v>
      </c>
      <c r="AD448" s="0" t="s">
        <v>148</v>
      </c>
      <c r="AE448" s="0" t="s">
        <v>149</v>
      </c>
      <c r="AF448" s="0" t="s">
        <v>150</v>
      </c>
      <c r="AH448" s="0" t="n">
        <v>14</v>
      </c>
      <c r="AI448" s="0" t="n">
        <v>11</v>
      </c>
      <c r="AN448" s="0" t="s">
        <v>146</v>
      </c>
      <c r="AO448" s="0" t="s">
        <v>236</v>
      </c>
      <c r="AP448" s="0" t="s">
        <v>237</v>
      </c>
      <c r="AQ448" s="0" t="n">
        <v>9</v>
      </c>
      <c r="AR448" s="0" t="n">
        <v>64</v>
      </c>
      <c r="AS448" s="0" t="n">
        <v>32</v>
      </c>
      <c r="AU448" s="0" t="n">
        <f aca="false">COUNTA($BA$1022:$EH$1022)</f>
        <v>1</v>
      </c>
      <c r="AV448" s="0" t="n">
        <f aca="false">COUNTIF($BA$1022:$EH$1022,"D")</f>
        <v>0</v>
      </c>
      <c r="AW448" s="0" t="n">
        <f aca="false">COUNTIF($BA$1022:$EH$1022,"R")</f>
        <v>0</v>
      </c>
      <c r="AX448" s="0" t="n">
        <f aca="false"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>0</v>
      </c>
      <c r="AY448" s="0" t="n">
        <f aca="false">COUNTIF(DU448:EH448, "&lt;&gt;")</f>
        <v>4</v>
      </c>
      <c r="AZ448" s="0" t="n">
        <f aca="false">IF(EH448&lt;&gt;"",1,0)</f>
        <v>0</v>
      </c>
      <c r="BB448" s="0" t="s">
        <v>153</v>
      </c>
      <c r="BL448" s="0" t="s">
        <v>154</v>
      </c>
      <c r="BS448" s="0" t="s">
        <v>154</v>
      </c>
      <c r="BY448" s="0" t="s">
        <v>155</v>
      </c>
      <c r="CA448" s="0" t="s">
        <v>154</v>
      </c>
      <c r="CP448" s="0" t="s">
        <v>154</v>
      </c>
      <c r="DU448" s="0" t="s">
        <v>154</v>
      </c>
      <c r="DX448" s="0" t="s">
        <v>154</v>
      </c>
      <c r="EA448" s="0" t="s">
        <v>154</v>
      </c>
      <c r="EF448" s="0" t="s">
        <v>154</v>
      </c>
    </row>
    <row r="449" customFormat="false" ht="13.8" hidden="false" customHeight="false" outlineLevel="0" collapsed="false">
      <c r="A449" s="0" t="s">
        <v>2432</v>
      </c>
      <c r="B449" s="0" t="n">
        <v>78</v>
      </c>
      <c r="C449" s="0" t="n">
        <v>88423</v>
      </c>
      <c r="D449" s="0" t="s">
        <v>2433</v>
      </c>
      <c r="E449" s="0" t="s">
        <v>277</v>
      </c>
      <c r="F449" s="0" t="str">
        <f aca="false">CONCATENATE(D449," ",LEFT(H449,4),"T=",AU449,"D=",AV449,"R=",AW449,"M=",AX449,"L=",AY449,"B=",AZ449)</f>
        <v>SHAFFER T=33D=4R=3M=0L=5B=0</v>
      </c>
      <c r="G449" s="0" t="s">
        <v>188</v>
      </c>
      <c r="I449" s="0" t="s">
        <v>2434</v>
      </c>
      <c r="J449" s="0" t="s">
        <v>2435</v>
      </c>
      <c r="K449" s="0" t="s">
        <v>175</v>
      </c>
      <c r="L449" s="1" t="s">
        <v>176</v>
      </c>
      <c r="M449" s="0" t="s">
        <v>2436</v>
      </c>
      <c r="N449" s="0" t="str">
        <f aca="false">RIGHT(M449,LEN(M449)-FIND(" ",M449))</f>
        <v>BONNIE BRAE AVE NE</v>
      </c>
      <c r="P449" s="0" t="s">
        <v>146</v>
      </c>
      <c r="Q449" s="0" t="s">
        <v>147</v>
      </c>
      <c r="R449" s="0" t="n">
        <v>44483</v>
      </c>
      <c r="AD449" s="0" t="s">
        <v>148</v>
      </c>
      <c r="AE449" s="0" t="s">
        <v>149</v>
      </c>
      <c r="AF449" s="0" t="s">
        <v>150</v>
      </c>
      <c r="AH449" s="0" t="n">
        <v>14</v>
      </c>
      <c r="AI449" s="0" t="n">
        <v>11</v>
      </c>
      <c r="AN449" s="0" t="s">
        <v>146</v>
      </c>
      <c r="AO449" s="0" t="s">
        <v>236</v>
      </c>
      <c r="AP449" s="0" t="s">
        <v>237</v>
      </c>
      <c r="AQ449" s="0" t="n">
        <v>9</v>
      </c>
      <c r="AR449" s="0" t="n">
        <v>64</v>
      </c>
      <c r="AS449" s="0" t="n">
        <v>32</v>
      </c>
      <c r="AU449" s="0" t="n">
        <f aca="false">COUNTA($BA$941:$EH$941)</f>
        <v>33</v>
      </c>
      <c r="AV449" s="0" t="n">
        <f aca="false">COUNTIF($BA$941:$EH$941,"D")</f>
        <v>4</v>
      </c>
      <c r="AW449" s="0" t="n">
        <f aca="false">COUNTIF($BA$941:$EH$941,"R")</f>
        <v>3</v>
      </c>
      <c r="AX449" s="0" t="n">
        <f aca="false"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>0</v>
      </c>
      <c r="AY449" s="0" t="n">
        <f aca="false">COUNTIF(DU449:EH449, "&lt;&gt;")</f>
        <v>5</v>
      </c>
      <c r="AZ449" s="0" t="n">
        <f aca="false">IF(EH449&lt;&gt;"",1,0)</f>
        <v>0</v>
      </c>
      <c r="BB449" s="0" t="s">
        <v>153</v>
      </c>
      <c r="BC449" s="0" t="s">
        <v>154</v>
      </c>
      <c r="BD449" s="0" t="s">
        <v>154</v>
      </c>
      <c r="BF449" s="0" t="s">
        <v>154</v>
      </c>
      <c r="BG449" s="0" t="s">
        <v>154</v>
      </c>
      <c r="BH449" s="0" t="s">
        <v>154</v>
      </c>
      <c r="BJ449" s="0" t="s">
        <v>154</v>
      </c>
      <c r="BK449" s="0" t="s">
        <v>154</v>
      </c>
      <c r="BL449" s="0" t="s">
        <v>154</v>
      </c>
      <c r="BP449" s="0" t="s">
        <v>154</v>
      </c>
      <c r="BR449" s="0" t="s">
        <v>154</v>
      </c>
      <c r="BS449" s="0" t="s">
        <v>154</v>
      </c>
      <c r="BV449" s="0" t="s">
        <v>154</v>
      </c>
      <c r="BY449" s="0" t="s">
        <v>176</v>
      </c>
      <c r="CA449" s="0" t="s">
        <v>154</v>
      </c>
      <c r="CG449" s="0" t="s">
        <v>154</v>
      </c>
      <c r="CH449" s="0" t="s">
        <v>176</v>
      </c>
      <c r="CK449" s="0" t="s">
        <v>154</v>
      </c>
      <c r="CN449" s="0" t="s">
        <v>154</v>
      </c>
      <c r="CO449" s="0" t="s">
        <v>176</v>
      </c>
      <c r="CP449" s="0" t="s">
        <v>154</v>
      </c>
      <c r="CT449" s="0" t="s">
        <v>154</v>
      </c>
      <c r="CU449" s="0" t="s">
        <v>176</v>
      </c>
      <c r="CV449" s="0" t="s">
        <v>154</v>
      </c>
      <c r="CY449" s="0" t="s">
        <v>154</v>
      </c>
      <c r="CZ449" s="0" t="s">
        <v>176</v>
      </c>
      <c r="DC449" s="0" t="s">
        <v>154</v>
      </c>
      <c r="DF449" s="0" t="s">
        <v>154</v>
      </c>
      <c r="DG449" s="0" t="s">
        <v>176</v>
      </c>
      <c r="DI449" s="0" t="s">
        <v>154</v>
      </c>
      <c r="DL449" s="0" t="s">
        <v>154</v>
      </c>
      <c r="DM449" s="0" t="s">
        <v>176</v>
      </c>
      <c r="DN449" s="0" t="s">
        <v>154</v>
      </c>
      <c r="DS449" s="0" t="s">
        <v>176</v>
      </c>
      <c r="DT449" s="0" t="s">
        <v>176</v>
      </c>
      <c r="DU449" s="0" t="s">
        <v>154</v>
      </c>
      <c r="DX449" s="0" t="s">
        <v>154</v>
      </c>
      <c r="EA449" s="0" t="s">
        <v>154</v>
      </c>
      <c r="ED449" s="0" t="s">
        <v>176</v>
      </c>
      <c r="EF449" s="0" t="s">
        <v>154</v>
      </c>
    </row>
    <row r="450" customFormat="false" ht="13.8" hidden="false" customHeight="false" outlineLevel="0" collapsed="false">
      <c r="A450" s="0" t="s">
        <v>2437</v>
      </c>
      <c r="B450" s="0" t="n">
        <v>78</v>
      </c>
      <c r="C450" s="0" t="n">
        <v>127236</v>
      </c>
      <c r="D450" s="0" t="s">
        <v>2433</v>
      </c>
      <c r="E450" s="0" t="s">
        <v>2438</v>
      </c>
      <c r="F450" s="0" t="str">
        <f aca="false">CONCATENATE(D450," ",LEFT(H450,4),"T=",AU450,"D=",AV450,"R=",AW450,"M=",AX450,"L=",AY450,"B=",AZ450)</f>
        <v>SHAFFER T=2D=0R=0M=0L=5B=0</v>
      </c>
      <c r="I450" s="0" t="s">
        <v>2439</v>
      </c>
      <c r="J450" s="0" t="s">
        <v>2440</v>
      </c>
      <c r="K450" s="0" t="s">
        <v>175</v>
      </c>
      <c r="L450" s="1" t="s">
        <v>176</v>
      </c>
      <c r="M450" s="0" t="s">
        <v>2436</v>
      </c>
      <c r="N450" s="0" t="str">
        <f aca="false">RIGHT(M450,LEN(M450)-FIND(" ",M450))</f>
        <v>BONNIE BRAE AVE NE</v>
      </c>
      <c r="P450" s="0" t="s">
        <v>146</v>
      </c>
      <c r="Q450" s="0" t="s">
        <v>147</v>
      </c>
      <c r="R450" s="0" t="n">
        <v>44483</v>
      </c>
      <c r="AD450" s="0" t="s">
        <v>148</v>
      </c>
      <c r="AE450" s="0" t="s">
        <v>149</v>
      </c>
      <c r="AF450" s="0" t="s">
        <v>150</v>
      </c>
      <c r="AH450" s="0" t="n">
        <v>14</v>
      </c>
      <c r="AI450" s="0" t="n">
        <v>11</v>
      </c>
      <c r="AN450" s="0" t="s">
        <v>146</v>
      </c>
      <c r="AO450" s="0" t="s">
        <v>236</v>
      </c>
      <c r="AP450" s="0" t="s">
        <v>237</v>
      </c>
      <c r="AQ450" s="0" t="n">
        <v>9</v>
      </c>
      <c r="AR450" s="0" t="n">
        <v>64</v>
      </c>
      <c r="AS450" s="0" t="n">
        <v>32</v>
      </c>
      <c r="AU450" s="0" t="n">
        <f aca="false">COUNTA($BA$1063:$EH$1063)</f>
        <v>2</v>
      </c>
      <c r="AV450" s="0" t="n">
        <f aca="false">COUNTIF($BA$1063:$EH$1063,"D")</f>
        <v>0</v>
      </c>
      <c r="AW450" s="0" t="n">
        <f aca="false">COUNTIF($BA$1063:$EH$1063,"R")</f>
        <v>0</v>
      </c>
      <c r="AX450" s="0" t="n">
        <f aca="false"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>0</v>
      </c>
      <c r="AY450" s="0" t="n">
        <f aca="false">COUNTIF(DU450:EH450, "&lt;&gt;")</f>
        <v>5</v>
      </c>
      <c r="AZ450" s="0" t="n">
        <f aca="false">IF(EH450&lt;&gt;"",1,0)</f>
        <v>0</v>
      </c>
      <c r="BB450" s="0" t="s">
        <v>153</v>
      </c>
      <c r="BC450" s="0" t="s">
        <v>154</v>
      </c>
      <c r="BD450" s="0" t="s">
        <v>154</v>
      </c>
      <c r="BF450" s="0" t="s">
        <v>154</v>
      </c>
      <c r="BG450" s="0" t="s">
        <v>154</v>
      </c>
      <c r="BH450" s="0" t="s">
        <v>154</v>
      </c>
      <c r="BJ450" s="0" t="s">
        <v>154</v>
      </c>
      <c r="BK450" s="0" t="s">
        <v>154</v>
      </c>
      <c r="BL450" s="0" t="s">
        <v>154</v>
      </c>
      <c r="BR450" s="0" t="s">
        <v>154</v>
      </c>
      <c r="BS450" s="0" t="s">
        <v>154</v>
      </c>
      <c r="BV450" s="0" t="s">
        <v>154</v>
      </c>
      <c r="BY450" s="0" t="s">
        <v>155</v>
      </c>
      <c r="CA450" s="0" t="s">
        <v>154</v>
      </c>
      <c r="CG450" s="0" t="s">
        <v>154</v>
      </c>
      <c r="CH450" s="0" t="s">
        <v>155</v>
      </c>
      <c r="CK450" s="0" t="s">
        <v>154</v>
      </c>
      <c r="CP450" s="0" t="s">
        <v>154</v>
      </c>
      <c r="CV450" s="0" t="s">
        <v>154</v>
      </c>
      <c r="CY450" s="0" t="s">
        <v>154</v>
      </c>
      <c r="CZ450" s="0" t="s">
        <v>176</v>
      </c>
      <c r="DC450" s="0" t="s">
        <v>154</v>
      </c>
      <c r="DI450" s="0" t="s">
        <v>154</v>
      </c>
      <c r="DL450" s="0" t="s">
        <v>154</v>
      </c>
      <c r="DM450" s="0" t="s">
        <v>176</v>
      </c>
      <c r="DN450" s="0" t="s">
        <v>154</v>
      </c>
      <c r="DS450" s="0" t="s">
        <v>176</v>
      </c>
      <c r="DT450" s="0" t="s">
        <v>176</v>
      </c>
      <c r="DU450" s="0" t="s">
        <v>154</v>
      </c>
      <c r="DX450" s="0" t="s">
        <v>154</v>
      </c>
      <c r="EA450" s="0" t="s">
        <v>154</v>
      </c>
      <c r="ED450" s="0" t="s">
        <v>176</v>
      </c>
      <c r="EF450" s="0" t="s">
        <v>154</v>
      </c>
    </row>
    <row r="451" customFormat="false" ht="13.8" hidden="true" customHeight="false" outlineLevel="0" collapsed="false">
      <c r="A451" s="0" t="s">
        <v>2441</v>
      </c>
      <c r="B451" s="0" t="n">
        <v>78</v>
      </c>
      <c r="C451" s="0" t="n">
        <v>379603</v>
      </c>
      <c r="D451" s="0" t="s">
        <v>2442</v>
      </c>
      <c r="E451" s="0" t="s">
        <v>1663</v>
      </c>
      <c r="F451" s="0" t="str">
        <f aca="false">CONCATENATE(D451," ",LEFT(H451,4),"T=",AU451,"D=",AV451,"R=",AW451,"M=",AX451,"L=",AY451,"B=",AZ451)</f>
        <v>BAUGHER T=3D=0R=0M=0L=1B=0</v>
      </c>
      <c r="G451" s="0" t="s">
        <v>172</v>
      </c>
      <c r="I451" s="0" t="s">
        <v>2443</v>
      </c>
      <c r="J451" s="0" t="s">
        <v>2444</v>
      </c>
      <c r="K451" s="0" t="s">
        <v>175</v>
      </c>
      <c r="L451" s="0"/>
      <c r="M451" s="0" t="s">
        <v>2445</v>
      </c>
      <c r="N451" s="0" t="str">
        <f aca="false">RIGHT(M451,LEN(M451)-FIND(" ",M451))</f>
        <v>BONNIE BRAE AVE NE</v>
      </c>
      <c r="P451" s="0" t="s">
        <v>146</v>
      </c>
      <c r="Q451" s="0" t="s">
        <v>147</v>
      </c>
      <c r="R451" s="0" t="n">
        <v>44483</v>
      </c>
      <c r="AD451" s="0" t="s">
        <v>148</v>
      </c>
      <c r="AE451" s="0" t="s">
        <v>149</v>
      </c>
      <c r="AF451" s="0" t="s">
        <v>150</v>
      </c>
      <c r="AH451" s="0" t="n">
        <v>14</v>
      </c>
      <c r="AI451" s="0" t="n">
        <v>11</v>
      </c>
      <c r="AN451" s="0" t="s">
        <v>146</v>
      </c>
      <c r="AO451" s="0" t="s">
        <v>236</v>
      </c>
      <c r="AP451" s="0" t="s">
        <v>237</v>
      </c>
      <c r="AQ451" s="0" t="n">
        <v>9</v>
      </c>
      <c r="AR451" s="0" t="n">
        <v>64</v>
      </c>
      <c r="AS451" s="0" t="n">
        <v>32</v>
      </c>
      <c r="AU451" s="0" t="n">
        <f aca="false">COUNTA($BA$548:$EH$548)</f>
        <v>3</v>
      </c>
      <c r="AV451" s="0" t="n">
        <f aca="false">COUNTIF($BA$548:$EH$548,"D")</f>
        <v>0</v>
      </c>
      <c r="AW451" s="0" t="n">
        <f aca="false">COUNTIF($BA$548:$EH$548,"R")</f>
        <v>0</v>
      </c>
      <c r="AX451" s="0" t="n">
        <f aca="false"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>0</v>
      </c>
      <c r="AY451" s="0" t="n">
        <f aca="false">COUNTIF(DU451:EH451, "&lt;&gt;")</f>
        <v>1</v>
      </c>
      <c r="AZ451" s="0" t="n">
        <f aca="false">IF(EH451&lt;&gt;"",1,0)</f>
        <v>0</v>
      </c>
      <c r="BB451" s="0" t="s">
        <v>153</v>
      </c>
      <c r="CY451" s="0" t="s">
        <v>154</v>
      </c>
      <c r="DC451" s="0" t="s">
        <v>154</v>
      </c>
      <c r="DN451" s="0" t="s">
        <v>154</v>
      </c>
      <c r="DU451" s="0" t="s">
        <v>154</v>
      </c>
    </row>
    <row r="452" customFormat="false" ht="13.8" hidden="true" customHeight="false" outlineLevel="0" collapsed="false">
      <c r="A452" s="0" t="s">
        <v>2446</v>
      </c>
      <c r="B452" s="0" t="n">
        <v>78</v>
      </c>
      <c r="C452" s="0" t="n">
        <v>226188</v>
      </c>
      <c r="D452" s="0" t="s">
        <v>2447</v>
      </c>
      <c r="E452" s="0" t="s">
        <v>938</v>
      </c>
      <c r="F452" s="0" t="str">
        <f aca="false">CONCATENATE(D452," ",LEFT(H452,4),"T=",AU452,"D=",AV452,"R=",AW452,"M=",AX452,"L=",AY452,"B=",AZ452)</f>
        <v>CLONCH T=1D=0R=0M=0L=0B=0</v>
      </c>
      <c r="G452" s="0" t="s">
        <v>176</v>
      </c>
      <c r="I452" s="0" t="s">
        <v>2448</v>
      </c>
      <c r="J452" s="0" t="s">
        <v>2449</v>
      </c>
      <c r="K452" s="0" t="s">
        <v>175</v>
      </c>
      <c r="L452" s="0"/>
      <c r="M452" s="0" t="s">
        <v>2450</v>
      </c>
      <c r="N452" s="0" t="str">
        <f aca="false">RIGHT(M452,LEN(M452)-FIND(" ",M452))</f>
        <v>BONNIE BRAE AVE NE</v>
      </c>
      <c r="P452" s="0" t="s">
        <v>146</v>
      </c>
      <c r="Q452" s="0" t="s">
        <v>147</v>
      </c>
      <c r="R452" s="0" t="n">
        <v>44483</v>
      </c>
      <c r="AD452" s="0" t="s">
        <v>148</v>
      </c>
      <c r="AE452" s="0" t="s">
        <v>149</v>
      </c>
      <c r="AF452" s="0" t="s">
        <v>150</v>
      </c>
      <c r="AH452" s="0" t="n">
        <v>14</v>
      </c>
      <c r="AI452" s="0" t="n">
        <v>11</v>
      </c>
      <c r="AN452" s="0" t="s">
        <v>146</v>
      </c>
      <c r="AO452" s="0" t="s">
        <v>236</v>
      </c>
      <c r="AP452" s="0" t="s">
        <v>237</v>
      </c>
      <c r="AQ452" s="0" t="n">
        <v>9</v>
      </c>
      <c r="AR452" s="0" t="n">
        <v>64</v>
      </c>
      <c r="AS452" s="0" t="n">
        <v>32</v>
      </c>
      <c r="AU452" s="0" t="n">
        <f aca="false">COUNTA($BA$382:$EH$382)</f>
        <v>1</v>
      </c>
      <c r="AV452" s="0" t="n">
        <f aca="false">COUNTIF($BA$382:$EH$382,"D")</f>
        <v>0</v>
      </c>
      <c r="AW452" s="0" t="n">
        <f aca="false">COUNTIF($BA$382:$EH$382,"R")</f>
        <v>0</v>
      </c>
      <c r="AX452" s="0" t="n">
        <f aca="false"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>0</v>
      </c>
      <c r="AY452" s="0" t="n">
        <f aca="false">COUNTIF(DU452:EH452, "&lt;&gt;")</f>
        <v>0</v>
      </c>
      <c r="AZ452" s="0" t="n">
        <f aca="false">IF(EH452&lt;&gt;"",1,0)</f>
        <v>0</v>
      </c>
      <c r="BB452" s="0" t="s">
        <v>153</v>
      </c>
      <c r="CA452" s="0" t="s">
        <v>154</v>
      </c>
      <c r="CG452" s="0" t="s">
        <v>154</v>
      </c>
      <c r="CP452" s="0" t="s">
        <v>154</v>
      </c>
      <c r="CY452" s="0" t="s">
        <v>154</v>
      </c>
    </row>
    <row r="453" customFormat="false" ht="13.8" hidden="true" customHeight="false" outlineLevel="0" collapsed="false">
      <c r="A453" s="0" t="s">
        <v>2451</v>
      </c>
      <c r="B453" s="0" t="n">
        <v>78</v>
      </c>
      <c r="C453" s="0" t="n">
        <v>439546</v>
      </c>
      <c r="D453" s="0" t="s">
        <v>2452</v>
      </c>
      <c r="E453" s="0" t="s">
        <v>1744</v>
      </c>
      <c r="F453" s="0" t="str">
        <f aca="false">CONCATENATE(D453," ",LEFT(H453,4),"T=",AU453,"D=",AV453,"R=",AW453,"M=",AX453,"L=",AY453,"B=",AZ453)</f>
        <v>WAMER T=27D=0R=2M=0L=1B=0</v>
      </c>
      <c r="G453" s="0" t="s">
        <v>216</v>
      </c>
      <c r="I453" s="0" t="s">
        <v>2453</v>
      </c>
      <c r="J453" s="0" t="s">
        <v>2454</v>
      </c>
      <c r="K453" s="0" t="s">
        <v>175</v>
      </c>
      <c r="L453" s="0"/>
      <c r="M453" s="0" t="s">
        <v>2455</v>
      </c>
      <c r="N453" s="0" t="str">
        <f aca="false">RIGHT(M453,LEN(M453)-FIND(" ",M453))</f>
        <v>BONNIE BRAE AVE NE</v>
      </c>
      <c r="P453" s="0" t="s">
        <v>146</v>
      </c>
      <c r="Q453" s="0" t="s">
        <v>147</v>
      </c>
      <c r="R453" s="0" t="n">
        <v>44483</v>
      </c>
      <c r="AD453" s="0" t="s">
        <v>148</v>
      </c>
      <c r="AE453" s="0" t="s">
        <v>149</v>
      </c>
      <c r="AF453" s="0" t="s">
        <v>150</v>
      </c>
      <c r="AH453" s="0" t="n">
        <v>14</v>
      </c>
      <c r="AI453" s="0" t="n">
        <v>11</v>
      </c>
      <c r="AN453" s="0" t="s">
        <v>146</v>
      </c>
      <c r="AO453" s="0" t="s">
        <v>236</v>
      </c>
      <c r="AP453" s="0" t="s">
        <v>237</v>
      </c>
      <c r="AQ453" s="0" t="n">
        <v>9</v>
      </c>
      <c r="AR453" s="0" t="n">
        <v>64</v>
      </c>
      <c r="AS453" s="0" t="n">
        <v>32</v>
      </c>
      <c r="AU453" s="0" t="n">
        <f aca="false">COUNTA($BA$204:$EH$204)</f>
        <v>27</v>
      </c>
      <c r="AV453" s="0" t="n">
        <f aca="false">COUNTIF($BA$204:$EH$204,"D")</f>
        <v>0</v>
      </c>
      <c r="AW453" s="0" t="n">
        <f aca="false">COUNTIF($BA$204:$EH$204,"R")</f>
        <v>2</v>
      </c>
      <c r="AX453" s="0" t="n">
        <f aca="false"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>0</v>
      </c>
      <c r="AY453" s="0" t="n">
        <f aca="false">COUNTIF(DU453:EH453, "&lt;&gt;")</f>
        <v>1</v>
      </c>
      <c r="AZ453" s="0" t="n">
        <f aca="false">IF(EH453&lt;&gt;"",1,0)</f>
        <v>0</v>
      </c>
      <c r="BB453" s="0" t="s">
        <v>153</v>
      </c>
      <c r="BL453" s="0" t="s">
        <v>154</v>
      </c>
      <c r="DN453" s="0" t="s">
        <v>154</v>
      </c>
      <c r="EF453" s="0" t="s">
        <v>154</v>
      </c>
    </row>
    <row r="454" customFormat="false" ht="13.8" hidden="false" customHeight="false" outlineLevel="0" collapsed="false">
      <c r="A454" s="0" t="s">
        <v>2456</v>
      </c>
      <c r="B454" s="0" t="n">
        <v>78</v>
      </c>
      <c r="C454" s="0" t="n">
        <v>349571</v>
      </c>
      <c r="D454" s="0" t="s">
        <v>2457</v>
      </c>
      <c r="E454" s="0" t="s">
        <v>2458</v>
      </c>
      <c r="F454" s="0" t="str">
        <f aca="false">CONCATENATE(D454," ",LEFT(H454,4),"T=",AU454,"D=",AV454,"R=",AW454,"M=",AX454,"L=",AY454,"B=",AZ454)</f>
        <v>BEADLING T=14D=2R=0M=0L=3B=0</v>
      </c>
      <c r="G454" s="0" t="s">
        <v>297</v>
      </c>
      <c r="I454" s="0" t="s">
        <v>2459</v>
      </c>
      <c r="J454" s="0" t="s">
        <v>2460</v>
      </c>
      <c r="K454" s="0" t="s">
        <v>175</v>
      </c>
      <c r="M454" s="0" t="s">
        <v>2461</v>
      </c>
      <c r="N454" s="0" t="str">
        <f aca="false">RIGHT(M454,LEN(M454)-FIND(" ",M454))</f>
        <v>BONNIE BRAE AVE NE</v>
      </c>
      <c r="P454" s="0" t="s">
        <v>146</v>
      </c>
      <c r="Q454" s="0" t="s">
        <v>147</v>
      </c>
      <c r="R454" s="0" t="n">
        <v>44483</v>
      </c>
      <c r="AD454" s="0" t="s">
        <v>148</v>
      </c>
      <c r="AE454" s="0" t="s">
        <v>149</v>
      </c>
      <c r="AF454" s="0" t="s">
        <v>150</v>
      </c>
      <c r="AH454" s="0" t="n">
        <v>14</v>
      </c>
      <c r="AI454" s="0" t="n">
        <v>11</v>
      </c>
      <c r="AN454" s="0" t="s">
        <v>146</v>
      </c>
      <c r="AO454" s="0" t="s">
        <v>236</v>
      </c>
      <c r="AP454" s="0" t="s">
        <v>237</v>
      </c>
      <c r="AQ454" s="0" t="n">
        <v>9</v>
      </c>
      <c r="AR454" s="0" t="n">
        <v>64</v>
      </c>
      <c r="AS454" s="0" t="n">
        <v>32</v>
      </c>
      <c r="AU454" s="0" t="n">
        <f aca="false">COUNTA($BA$979:$EH$979)</f>
        <v>14</v>
      </c>
      <c r="AV454" s="0" t="n">
        <f aca="false">COUNTIF($BA$979:$EH$979,"D")</f>
        <v>2</v>
      </c>
      <c r="AW454" s="0" t="n">
        <f aca="false">COUNTIF($BA$979:$EH$979,"R")</f>
        <v>0</v>
      </c>
      <c r="AX454" s="0" t="n">
        <f aca="false"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>0</v>
      </c>
      <c r="AY454" s="0" t="n">
        <f aca="false">COUNTIF(DU454:EH454, "&lt;&gt;")</f>
        <v>3</v>
      </c>
      <c r="AZ454" s="0" t="n">
        <f aca="false">IF(EH454&lt;&gt;"",1,0)</f>
        <v>0</v>
      </c>
      <c r="BB454" s="0" t="s">
        <v>153</v>
      </c>
      <c r="CA454" s="0" t="s">
        <v>154</v>
      </c>
      <c r="CK454" s="0" t="s">
        <v>154</v>
      </c>
      <c r="CP454" s="0" t="s">
        <v>154</v>
      </c>
      <c r="DC454" s="0" t="s">
        <v>154</v>
      </c>
      <c r="DI454" s="0" t="s">
        <v>154</v>
      </c>
      <c r="DN454" s="0" t="s">
        <v>154</v>
      </c>
      <c r="DU454" s="0" t="s">
        <v>154</v>
      </c>
      <c r="EA454" s="0" t="s">
        <v>154</v>
      </c>
      <c r="EF454" s="0" t="s">
        <v>154</v>
      </c>
    </row>
    <row r="455" customFormat="false" ht="13.8" hidden="false" customHeight="false" outlineLevel="0" collapsed="false">
      <c r="A455" s="0" t="s">
        <v>2462</v>
      </c>
      <c r="B455" s="0" t="n">
        <v>78</v>
      </c>
      <c r="C455" s="0" t="n">
        <v>376838</v>
      </c>
      <c r="D455" s="0" t="s">
        <v>2457</v>
      </c>
      <c r="E455" s="0" t="s">
        <v>2463</v>
      </c>
      <c r="F455" s="0" t="str">
        <f aca="false">CONCATENATE(D455," ",LEFT(H455,4),"T=",AU455,"D=",AV455,"R=",AW455,"M=",AX455,"L=",AY455,"B=",AZ455)</f>
        <v>BEADLING T=1D=0R=0M=0L=3B=0</v>
      </c>
      <c r="G455" s="0" t="s">
        <v>155</v>
      </c>
      <c r="I455" s="0" t="s">
        <v>2464</v>
      </c>
      <c r="J455" s="0" t="s">
        <v>2465</v>
      </c>
      <c r="K455" s="0" t="s">
        <v>175</v>
      </c>
      <c r="M455" s="0" t="s">
        <v>2461</v>
      </c>
      <c r="N455" s="0" t="str">
        <f aca="false">RIGHT(M455,LEN(M455)-FIND(" ",M455))</f>
        <v>BONNIE BRAE AVE NE</v>
      </c>
      <c r="P455" s="0" t="s">
        <v>146</v>
      </c>
      <c r="Q455" s="0" t="s">
        <v>147</v>
      </c>
      <c r="R455" s="0" t="n">
        <v>44483</v>
      </c>
      <c r="AD455" s="0" t="s">
        <v>148</v>
      </c>
      <c r="AE455" s="0" t="s">
        <v>149</v>
      </c>
      <c r="AF455" s="0" t="s">
        <v>150</v>
      </c>
      <c r="AH455" s="0" t="n">
        <v>14</v>
      </c>
      <c r="AI455" s="0" t="n">
        <v>11</v>
      </c>
      <c r="AN455" s="0" t="s">
        <v>146</v>
      </c>
      <c r="AO455" s="0" t="s">
        <v>236</v>
      </c>
      <c r="AP455" s="0" t="s">
        <v>237</v>
      </c>
      <c r="AQ455" s="0" t="n">
        <v>9</v>
      </c>
      <c r="AR455" s="0" t="n">
        <v>64</v>
      </c>
      <c r="AS455" s="0" t="n">
        <v>32</v>
      </c>
      <c r="AU455" s="0" t="n">
        <f aca="false">COUNTA($BA$984:$EH$984)</f>
        <v>1</v>
      </c>
      <c r="AV455" s="0" t="n">
        <f aca="false">COUNTIF($BA$984:$EH$984,"D")</f>
        <v>0</v>
      </c>
      <c r="AW455" s="0" t="n">
        <f aca="false">COUNTIF($BA$984:$EH$984,"R")</f>
        <v>0</v>
      </c>
      <c r="AX455" s="0" t="n">
        <f aca="false"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>0</v>
      </c>
      <c r="AY455" s="0" t="n">
        <f aca="false">COUNTIF(DU455:EH455, "&lt;&gt;")</f>
        <v>3</v>
      </c>
      <c r="AZ455" s="0" t="n">
        <f aca="false">IF(EH455&lt;&gt;"",1,0)</f>
        <v>0</v>
      </c>
      <c r="BB455" s="0" t="s">
        <v>153</v>
      </c>
      <c r="CK455" s="0" t="s">
        <v>154</v>
      </c>
      <c r="CP455" s="0" t="s">
        <v>154</v>
      </c>
      <c r="DC455" s="0" t="s">
        <v>154</v>
      </c>
      <c r="DI455" s="0" t="s">
        <v>154</v>
      </c>
      <c r="DN455" s="0" t="s">
        <v>154</v>
      </c>
      <c r="DU455" s="0" t="s">
        <v>154</v>
      </c>
      <c r="EA455" s="0" t="s">
        <v>154</v>
      </c>
      <c r="EF455" s="0" t="s">
        <v>154</v>
      </c>
    </row>
    <row r="456" customFormat="false" ht="13.8" hidden="false" customHeight="false" outlineLevel="0" collapsed="false">
      <c r="A456" s="0" t="s">
        <v>2466</v>
      </c>
      <c r="B456" s="0" t="n">
        <v>78</v>
      </c>
      <c r="C456" s="0" t="n">
        <v>377770</v>
      </c>
      <c r="D456" s="0" t="s">
        <v>2457</v>
      </c>
      <c r="E456" s="0" t="s">
        <v>2467</v>
      </c>
      <c r="F456" s="0" t="str">
        <f aca="false">CONCATENATE(D456," ",LEFT(H456,4),"T=",AU456,"D=",AV456,"R=",AW456,"M=",AX456,"L=",AY456,"B=",AZ456)</f>
        <v>BEADLING T=3D=0R=0M=0L=3B=0</v>
      </c>
      <c r="G456" s="0" t="s">
        <v>196</v>
      </c>
      <c r="I456" s="0" t="s">
        <v>2468</v>
      </c>
      <c r="J456" s="0" t="s">
        <v>161</v>
      </c>
      <c r="K456" s="0" t="s">
        <v>175</v>
      </c>
      <c r="M456" s="0" t="s">
        <v>2461</v>
      </c>
      <c r="N456" s="0" t="str">
        <f aca="false">RIGHT(M456,LEN(M456)-FIND(" ",M456))</f>
        <v>BONNIE BRAE AVE NE</v>
      </c>
      <c r="P456" s="0" t="s">
        <v>146</v>
      </c>
      <c r="Q456" s="0" t="s">
        <v>147</v>
      </c>
      <c r="R456" s="0" t="n">
        <v>44483</v>
      </c>
      <c r="AD456" s="0" t="s">
        <v>148</v>
      </c>
      <c r="AE456" s="0" t="s">
        <v>149</v>
      </c>
      <c r="AF456" s="0" t="s">
        <v>150</v>
      </c>
      <c r="AH456" s="0" t="n">
        <v>14</v>
      </c>
      <c r="AI456" s="0" t="n">
        <v>11</v>
      </c>
      <c r="AN456" s="0" t="s">
        <v>146</v>
      </c>
      <c r="AO456" s="0" t="s">
        <v>236</v>
      </c>
      <c r="AP456" s="0" t="s">
        <v>237</v>
      </c>
      <c r="AQ456" s="0" t="n">
        <v>9</v>
      </c>
      <c r="AR456" s="0" t="n">
        <v>64</v>
      </c>
      <c r="AS456" s="0" t="n">
        <v>32</v>
      </c>
      <c r="AU456" s="0" t="n">
        <f aca="false">COUNTA($BA$994:$EH$994)</f>
        <v>3</v>
      </c>
      <c r="AV456" s="0" t="n">
        <f aca="false">COUNTIF($BA$994:$EH$994,"D")</f>
        <v>0</v>
      </c>
      <c r="AW456" s="0" t="n">
        <f aca="false">COUNTIF($BA$994:$EH$994,"R")</f>
        <v>0</v>
      </c>
      <c r="AX456" s="0" t="n">
        <f aca="false"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>0</v>
      </c>
      <c r="AY456" s="0" t="n">
        <f aca="false">COUNTIF(DU456:EH456, "&lt;&gt;")</f>
        <v>3</v>
      </c>
      <c r="AZ456" s="0" t="n">
        <f aca="false">IF(EH456&lt;&gt;"",1,0)</f>
        <v>0</v>
      </c>
      <c r="BB456" s="0" t="s">
        <v>153</v>
      </c>
      <c r="BD456" s="0" t="s">
        <v>154</v>
      </c>
      <c r="CP456" s="0" t="s">
        <v>154</v>
      </c>
      <c r="DC456" s="0" t="s">
        <v>154</v>
      </c>
      <c r="DI456" s="0" t="s">
        <v>154</v>
      </c>
      <c r="DU456" s="0" t="s">
        <v>154</v>
      </c>
      <c r="EA456" s="0" t="s">
        <v>154</v>
      </c>
      <c r="EF456" s="0" t="s">
        <v>154</v>
      </c>
    </row>
    <row r="457" customFormat="false" ht="13.8" hidden="false" customHeight="false" outlineLevel="0" collapsed="false">
      <c r="A457" s="0" t="s">
        <v>2469</v>
      </c>
      <c r="B457" s="0" t="n">
        <v>78</v>
      </c>
      <c r="C457" s="0" t="n">
        <v>190862</v>
      </c>
      <c r="D457" s="0" t="s">
        <v>2457</v>
      </c>
      <c r="E457" s="0" t="s">
        <v>277</v>
      </c>
      <c r="F457" s="0" t="str">
        <f aca="false">CONCATENATE(D457," ",LEFT(H457,4),"T=",AU457,"D=",AV457,"R=",AW457,"M=",AX457,"L=",AY457,"B=",AZ457)</f>
        <v>BEADLING T=17D=1R=0M=0L=3B=0</v>
      </c>
      <c r="G457" s="0" t="s">
        <v>176</v>
      </c>
      <c r="I457" s="0" t="s">
        <v>2470</v>
      </c>
      <c r="J457" s="0" t="s">
        <v>2471</v>
      </c>
      <c r="K457" s="0" t="s">
        <v>175</v>
      </c>
      <c r="M457" s="0" t="s">
        <v>2461</v>
      </c>
      <c r="N457" s="0" t="str">
        <f aca="false">RIGHT(M457,LEN(M457)-FIND(" ",M457))</f>
        <v>BONNIE BRAE AVE NE</v>
      </c>
      <c r="P457" s="0" t="s">
        <v>146</v>
      </c>
      <c r="Q457" s="0" t="s">
        <v>147</v>
      </c>
      <c r="R457" s="0" t="n">
        <v>44483</v>
      </c>
      <c r="AD457" s="0" t="s">
        <v>148</v>
      </c>
      <c r="AE457" s="0" t="s">
        <v>149</v>
      </c>
      <c r="AF457" s="0" t="s">
        <v>150</v>
      </c>
      <c r="AH457" s="0" t="n">
        <v>14</v>
      </c>
      <c r="AI457" s="0" t="n">
        <v>11</v>
      </c>
      <c r="AN457" s="0" t="s">
        <v>146</v>
      </c>
      <c r="AO457" s="0" t="s">
        <v>236</v>
      </c>
      <c r="AP457" s="0" t="s">
        <v>237</v>
      </c>
      <c r="AQ457" s="0" t="n">
        <v>9</v>
      </c>
      <c r="AR457" s="0" t="n">
        <v>64</v>
      </c>
      <c r="AS457" s="0" t="n">
        <v>32</v>
      </c>
      <c r="AU457" s="0" t="n">
        <f aca="false">COUNTA($BA$1004:$EH$1004)</f>
        <v>17</v>
      </c>
      <c r="AV457" s="0" t="n">
        <f aca="false">COUNTIF($BA$1004:$EH$1004,"D")</f>
        <v>1</v>
      </c>
      <c r="AW457" s="0" t="n">
        <f aca="false">COUNTIF($BA$1004:$EH$1004,"R")</f>
        <v>0</v>
      </c>
      <c r="AX457" s="0" t="n">
        <f aca="false"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>0</v>
      </c>
      <c r="AY457" s="0" t="n">
        <f aca="false">COUNTIF(DU457:EH457, "&lt;&gt;")</f>
        <v>3</v>
      </c>
      <c r="AZ457" s="0" t="n">
        <f aca="false">IF(EH457&lt;&gt;"",1,0)</f>
        <v>0</v>
      </c>
      <c r="BB457" s="0" t="s">
        <v>153</v>
      </c>
      <c r="BC457" s="0" t="s">
        <v>154</v>
      </c>
      <c r="BD457" s="0" t="s">
        <v>154</v>
      </c>
      <c r="BH457" s="0" t="s">
        <v>154</v>
      </c>
      <c r="BL457" s="0" t="s">
        <v>154</v>
      </c>
      <c r="BY457" s="0" t="s">
        <v>155</v>
      </c>
      <c r="CA457" s="0" t="s">
        <v>154</v>
      </c>
      <c r="CK457" s="0" t="s">
        <v>154</v>
      </c>
      <c r="CP457" s="0" t="s">
        <v>154</v>
      </c>
      <c r="DC457" s="0" t="s">
        <v>154</v>
      </c>
      <c r="DI457" s="0" t="s">
        <v>154</v>
      </c>
      <c r="DN457" s="0" t="s">
        <v>154</v>
      </c>
      <c r="DU457" s="0" t="s">
        <v>154</v>
      </c>
      <c r="EA457" s="0" t="s">
        <v>154</v>
      </c>
      <c r="EF457" s="0" t="s">
        <v>154</v>
      </c>
    </row>
    <row r="458" customFormat="false" ht="13.8" hidden="false" customHeight="false" outlineLevel="0" collapsed="false">
      <c r="A458" s="0" t="s">
        <v>2472</v>
      </c>
      <c r="B458" s="0" t="n">
        <v>78</v>
      </c>
      <c r="C458" s="0" t="n">
        <v>257496</v>
      </c>
      <c r="D458" s="0" t="s">
        <v>2473</v>
      </c>
      <c r="E458" s="0" t="s">
        <v>335</v>
      </c>
      <c r="F458" s="0" t="str">
        <f aca="false">CONCATENATE(D458," ",LEFT(H458,4),"T=",AU458,"D=",AV458,"R=",AW458,"M=",AX458,"L=",AY458,"B=",AZ458)</f>
        <v>BATES T=37D=10R=0M=0L=2B=0</v>
      </c>
      <c r="G458" s="0" t="s">
        <v>2293</v>
      </c>
      <c r="I458" s="0" t="s">
        <v>2474</v>
      </c>
      <c r="J458" s="0" t="s">
        <v>2475</v>
      </c>
      <c r="K458" s="0" t="s">
        <v>175</v>
      </c>
      <c r="L458" s="1" t="s">
        <v>176</v>
      </c>
      <c r="M458" s="0" t="s">
        <v>2476</v>
      </c>
      <c r="N458" s="0" t="str">
        <f aca="false">RIGHT(M458,LEN(M458)-FIND(" ",M458))</f>
        <v>BONNIE BRAE AVE NE</v>
      </c>
      <c r="P458" s="0" t="s">
        <v>146</v>
      </c>
      <c r="Q458" s="0" t="s">
        <v>147</v>
      </c>
      <c r="R458" s="0" t="n">
        <v>44483</v>
      </c>
      <c r="AD458" s="0" t="s">
        <v>148</v>
      </c>
      <c r="AE458" s="0" t="s">
        <v>149</v>
      </c>
      <c r="AF458" s="0" t="s">
        <v>150</v>
      </c>
      <c r="AH458" s="0" t="n">
        <v>14</v>
      </c>
      <c r="AI458" s="0" t="n">
        <v>11</v>
      </c>
      <c r="AN458" s="0" t="s">
        <v>146</v>
      </c>
      <c r="AO458" s="0" t="s">
        <v>236</v>
      </c>
      <c r="AP458" s="0" t="s">
        <v>237</v>
      </c>
      <c r="AQ458" s="0" t="n">
        <v>9</v>
      </c>
      <c r="AR458" s="0" t="n">
        <v>64</v>
      </c>
      <c r="AS458" s="0" t="n">
        <v>32</v>
      </c>
      <c r="AU458" s="0" t="n">
        <f aca="false">COUNTA($BA$641:$EH$641)</f>
        <v>37</v>
      </c>
      <c r="AV458" s="0" t="n">
        <f aca="false">COUNTIF($BA$641:$EH$641,"D")</f>
        <v>10</v>
      </c>
      <c r="AW458" s="0" t="n">
        <f aca="false">COUNTIF($BA$641:$EH$641,"R")</f>
        <v>0</v>
      </c>
      <c r="AX458" s="0" t="n">
        <f aca="false"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>0</v>
      </c>
      <c r="AY458" s="0" t="n">
        <f aca="false">COUNTIF(DU458:EH458, "&lt;&gt;")</f>
        <v>2</v>
      </c>
      <c r="AZ458" s="0" t="n">
        <f aca="false">IF(EH458&lt;&gt;"",1,0)</f>
        <v>0</v>
      </c>
      <c r="BB458" s="0" t="s">
        <v>153</v>
      </c>
      <c r="CN458" s="0" t="s">
        <v>154</v>
      </c>
      <c r="CO458" s="0" t="s">
        <v>176</v>
      </c>
      <c r="CP458" s="0" t="s">
        <v>154</v>
      </c>
      <c r="CY458" s="0" t="s">
        <v>154</v>
      </c>
      <c r="DN458" s="0" t="s">
        <v>154</v>
      </c>
      <c r="ED458" s="0" t="s">
        <v>176</v>
      </c>
      <c r="EF458" s="0" t="s">
        <v>154</v>
      </c>
    </row>
    <row r="459" customFormat="false" ht="13.8" hidden="false" customHeight="false" outlineLevel="0" collapsed="false">
      <c r="A459" s="0" t="s">
        <v>2477</v>
      </c>
      <c r="B459" s="0" t="n">
        <v>78</v>
      </c>
      <c r="C459" s="0" t="n">
        <v>380408</v>
      </c>
      <c r="D459" s="0" t="s">
        <v>2473</v>
      </c>
      <c r="E459" s="0" t="s">
        <v>2478</v>
      </c>
      <c r="F459" s="0" t="str">
        <f aca="false">CONCATENATE(D459," ",LEFT(H459,4),"T=",AU459,"D=",AV459,"R=",AW459,"M=",AX459,"L=",AY459,"B=",AZ459)</f>
        <v>BATES T=10D=0R=0M=0L=2B=0</v>
      </c>
      <c r="I459" s="0" t="s">
        <v>2479</v>
      </c>
      <c r="J459" s="0" t="s">
        <v>2480</v>
      </c>
      <c r="K459" s="0" t="s">
        <v>175</v>
      </c>
      <c r="L459" s="1" t="s">
        <v>176</v>
      </c>
      <c r="M459" s="0" t="s">
        <v>2476</v>
      </c>
      <c r="N459" s="0" t="str">
        <f aca="false">RIGHT(M459,LEN(M459)-FIND(" ",M459))</f>
        <v>BONNIE BRAE AVE NE</v>
      </c>
      <c r="P459" s="0" t="s">
        <v>146</v>
      </c>
      <c r="Q459" s="0" t="s">
        <v>147</v>
      </c>
      <c r="R459" s="0" t="n">
        <v>44483</v>
      </c>
      <c r="AD459" s="0" t="s">
        <v>148</v>
      </c>
      <c r="AE459" s="0" t="s">
        <v>149</v>
      </c>
      <c r="AF459" s="0" t="s">
        <v>150</v>
      </c>
      <c r="AH459" s="0" t="n">
        <v>14</v>
      </c>
      <c r="AI459" s="0" t="n">
        <v>11</v>
      </c>
      <c r="AN459" s="0" t="s">
        <v>146</v>
      </c>
      <c r="AO459" s="0" t="s">
        <v>236</v>
      </c>
      <c r="AP459" s="0" t="s">
        <v>237</v>
      </c>
      <c r="AQ459" s="0" t="n">
        <v>9</v>
      </c>
      <c r="AR459" s="0" t="n">
        <v>64</v>
      </c>
      <c r="AS459" s="0" t="n">
        <v>32</v>
      </c>
      <c r="AU459" s="0" t="n">
        <f aca="false">COUNTA($BA$998:$EH$998)</f>
        <v>10</v>
      </c>
      <c r="AV459" s="0" t="n">
        <f aca="false">COUNTIF($BA$998:$EH$998,"D")</f>
        <v>0</v>
      </c>
      <c r="AW459" s="0" t="n">
        <f aca="false">COUNTIF($BA$998:$EH$998,"R")</f>
        <v>0</v>
      </c>
      <c r="AX459" s="0" t="n">
        <f aca="false"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>0</v>
      </c>
      <c r="AY459" s="0" t="n">
        <f aca="false">COUNTIF(DU459:EH459, "&lt;&gt;")</f>
        <v>2</v>
      </c>
      <c r="AZ459" s="0" t="n">
        <f aca="false">IF(EH459&lt;&gt;"",1,0)</f>
        <v>0</v>
      </c>
      <c r="BB459" s="0" t="s">
        <v>153</v>
      </c>
      <c r="CN459" s="0" t="s">
        <v>154</v>
      </c>
      <c r="CO459" s="0" t="s">
        <v>176</v>
      </c>
      <c r="CP459" s="0" t="s">
        <v>154</v>
      </c>
      <c r="DC459" s="0" t="s">
        <v>154</v>
      </c>
      <c r="DI459" s="0" t="s">
        <v>154</v>
      </c>
      <c r="DL459" s="0" t="s">
        <v>154</v>
      </c>
      <c r="DN459" s="0" t="s">
        <v>154</v>
      </c>
      <c r="DU459" s="0" t="s">
        <v>154</v>
      </c>
      <c r="ED459" s="0" t="s">
        <v>176</v>
      </c>
    </row>
    <row r="460" customFormat="false" ht="13.8" hidden="true" customHeight="false" outlineLevel="0" collapsed="false">
      <c r="A460" s="0" t="s">
        <v>2481</v>
      </c>
      <c r="B460" s="0" t="n">
        <v>78</v>
      </c>
      <c r="C460" s="0" t="n">
        <v>393233</v>
      </c>
      <c r="D460" s="0" t="s">
        <v>2482</v>
      </c>
      <c r="E460" s="0" t="s">
        <v>1916</v>
      </c>
      <c r="F460" s="0" t="str">
        <f aca="false">CONCATENATE(D460," ",LEFT(H460,4),"T=",AU460,"D=",AV460,"R=",AW460,"M=",AX460,"L=",AY460,"B=",AZ460)</f>
        <v>MINETT T=3D=1R=0M=0L=0B=0</v>
      </c>
      <c r="G460" s="0" t="s">
        <v>583</v>
      </c>
      <c r="I460" s="0" t="s">
        <v>2483</v>
      </c>
      <c r="J460" s="0" t="s">
        <v>2484</v>
      </c>
      <c r="K460" s="0" t="s">
        <v>175</v>
      </c>
      <c r="L460" s="0"/>
      <c r="M460" s="0" t="s">
        <v>2485</v>
      </c>
      <c r="N460" s="0" t="str">
        <f aca="false">RIGHT(M460,LEN(M460)-FIND(" ",M460))</f>
        <v>BONNIE BRAE AVE NE</v>
      </c>
      <c r="P460" s="0" t="s">
        <v>146</v>
      </c>
      <c r="Q460" s="0" t="s">
        <v>147</v>
      </c>
      <c r="R460" s="0" t="n">
        <v>44483</v>
      </c>
      <c r="AD460" s="0" t="s">
        <v>148</v>
      </c>
      <c r="AE460" s="0" t="s">
        <v>149</v>
      </c>
      <c r="AF460" s="0" t="s">
        <v>150</v>
      </c>
      <c r="AH460" s="0" t="n">
        <v>14</v>
      </c>
      <c r="AI460" s="0" t="n">
        <v>11</v>
      </c>
      <c r="AN460" s="0" t="s">
        <v>146</v>
      </c>
      <c r="AO460" s="0" t="s">
        <v>236</v>
      </c>
      <c r="AP460" s="0" t="s">
        <v>237</v>
      </c>
      <c r="AQ460" s="0" t="n">
        <v>9</v>
      </c>
      <c r="AR460" s="0" t="n">
        <v>64</v>
      </c>
      <c r="AS460" s="0" t="n">
        <v>32</v>
      </c>
      <c r="AU460" s="0" t="n">
        <f aca="false">COUNTA($BA$144:$EH$144)</f>
        <v>3</v>
      </c>
      <c r="AV460" s="0" t="n">
        <f aca="false">COUNTIF($BA$144:$EH$144,"D")</f>
        <v>1</v>
      </c>
      <c r="AW460" s="0" t="n">
        <f aca="false">COUNTIF($BA$144:$EH$144,"R")</f>
        <v>0</v>
      </c>
      <c r="AX460" s="0" t="n">
        <f aca="false"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>0</v>
      </c>
      <c r="AY460" s="0" t="n">
        <f aca="false">COUNTIF(DU460:EH460, "&lt;&gt;")</f>
        <v>0</v>
      </c>
      <c r="AZ460" s="0" t="n">
        <f aca="false">IF(EH460&lt;&gt;"",1,0)</f>
        <v>0</v>
      </c>
      <c r="BB460" s="0" t="s">
        <v>153</v>
      </c>
      <c r="CP460" s="0" t="s">
        <v>154</v>
      </c>
    </row>
    <row r="461" customFormat="false" ht="13.8" hidden="true" customHeight="false" outlineLevel="0" collapsed="false">
      <c r="A461" s="0" t="s">
        <v>2486</v>
      </c>
      <c r="B461" s="0" t="n">
        <v>78</v>
      </c>
      <c r="C461" s="0" t="n">
        <v>395522</v>
      </c>
      <c r="D461" s="0" t="s">
        <v>2487</v>
      </c>
      <c r="E461" s="0" t="s">
        <v>2172</v>
      </c>
      <c r="F461" s="0" t="str">
        <f aca="false">CONCATENATE(D461," ",LEFT(H461,4),"T=",AU461,"D=",AV461,"R=",AW461,"M=",AX461,"L=",AY461,"B=",AZ461)</f>
        <v>DVORAK T=3D=0R=0M=0L=0B=0</v>
      </c>
      <c r="G461" s="0" t="s">
        <v>297</v>
      </c>
      <c r="I461" s="0" t="s">
        <v>2488</v>
      </c>
      <c r="J461" s="0" t="s">
        <v>2489</v>
      </c>
      <c r="K461" s="0" t="s">
        <v>144</v>
      </c>
      <c r="L461" s="0"/>
      <c r="M461" s="0" t="s">
        <v>2485</v>
      </c>
      <c r="N461" s="0" t="str">
        <f aca="false">RIGHT(M461,LEN(M461)-FIND(" ",M461))</f>
        <v>BONNIE BRAE AVE NE</v>
      </c>
      <c r="P461" s="0" t="s">
        <v>146</v>
      </c>
      <c r="Q461" s="0" t="s">
        <v>147</v>
      </c>
      <c r="R461" s="0" t="n">
        <v>44483</v>
      </c>
      <c r="AD461" s="0" t="s">
        <v>148</v>
      </c>
      <c r="AE461" s="0" t="s">
        <v>149</v>
      </c>
      <c r="AF461" s="0" t="s">
        <v>150</v>
      </c>
      <c r="AH461" s="0" t="n">
        <v>14</v>
      </c>
      <c r="AI461" s="0" t="n">
        <v>11</v>
      </c>
      <c r="AN461" s="0" t="s">
        <v>146</v>
      </c>
      <c r="AO461" s="0" t="s">
        <v>236</v>
      </c>
      <c r="AP461" s="0" t="s">
        <v>237</v>
      </c>
      <c r="AQ461" s="0" t="n">
        <v>9</v>
      </c>
      <c r="AR461" s="0" t="n">
        <v>64</v>
      </c>
      <c r="AS461" s="0" t="n">
        <v>32</v>
      </c>
      <c r="AU461" s="0" t="n">
        <f aca="false">COUNTA($BA$545:$EH$545)</f>
        <v>3</v>
      </c>
      <c r="AV461" s="0" t="n">
        <f aca="false">COUNTIF($BA$545:$EH$545,"D")</f>
        <v>0</v>
      </c>
      <c r="AW461" s="0" t="n">
        <f aca="false">COUNTIF($BA$545:$EH$545,"R")</f>
        <v>0</v>
      </c>
      <c r="AX461" s="0" t="n">
        <f aca="false"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>0</v>
      </c>
      <c r="AY461" s="0" t="n">
        <f aca="false">COUNTIF(DU461:EH461, "&lt;&gt;")</f>
        <v>0</v>
      </c>
      <c r="AZ461" s="0" t="n">
        <f aca="false">IF(EH461&lt;&gt;"",1,0)</f>
        <v>0</v>
      </c>
      <c r="BB461" s="0" t="s">
        <v>153</v>
      </c>
    </row>
    <row r="462" customFormat="false" ht="13.8" hidden="false" customHeight="false" outlineLevel="0" collapsed="false">
      <c r="A462" s="0" t="s">
        <v>2490</v>
      </c>
      <c r="B462" s="0" t="n">
        <v>78</v>
      </c>
      <c r="C462" s="0" t="n">
        <v>277638</v>
      </c>
      <c r="D462" s="0" t="s">
        <v>2491</v>
      </c>
      <c r="E462" s="0" t="s">
        <v>1232</v>
      </c>
      <c r="F462" s="0" t="str">
        <f aca="false">CONCATENATE(D462," ",LEFT(H462,4),"T=",AU462,"D=",AV462,"R=",AW462,"M=",AX462,"L=",AY462,"B=",AZ462)</f>
        <v>GROOVER T=1D=0R=0M=0L=2B=0</v>
      </c>
      <c r="G462" s="0" t="s">
        <v>241</v>
      </c>
      <c r="I462" s="0" t="s">
        <v>2492</v>
      </c>
      <c r="J462" s="0" t="s">
        <v>2493</v>
      </c>
      <c r="K462" s="0" t="s">
        <v>175</v>
      </c>
      <c r="M462" s="0" t="s">
        <v>2494</v>
      </c>
      <c r="N462" s="0" t="str">
        <f aca="false">RIGHT(M462,LEN(M462)-FIND(" ",M462))</f>
        <v>BONNIE BRAE AVE NE</v>
      </c>
      <c r="P462" s="0" t="s">
        <v>146</v>
      </c>
      <c r="Q462" s="0" t="s">
        <v>147</v>
      </c>
      <c r="R462" s="0" t="n">
        <v>44483</v>
      </c>
      <c r="AD462" s="0" t="s">
        <v>148</v>
      </c>
      <c r="AE462" s="0" t="s">
        <v>149</v>
      </c>
      <c r="AF462" s="0" t="s">
        <v>150</v>
      </c>
      <c r="AH462" s="0" t="n">
        <v>14</v>
      </c>
      <c r="AI462" s="0" t="n">
        <v>11</v>
      </c>
      <c r="AN462" s="0" t="s">
        <v>146</v>
      </c>
      <c r="AO462" s="0" t="s">
        <v>236</v>
      </c>
      <c r="AP462" s="0" t="s">
        <v>237</v>
      </c>
      <c r="AQ462" s="0" t="n">
        <v>9</v>
      </c>
      <c r="AR462" s="0" t="n">
        <v>64</v>
      </c>
      <c r="AS462" s="0" t="n">
        <v>32</v>
      </c>
      <c r="AU462" s="0" t="n">
        <f aca="false">COUNTA($BA$1045:$EH$1045)</f>
        <v>1</v>
      </c>
      <c r="AV462" s="0" t="n">
        <f aca="false">COUNTIF($BA$1045:$EH$1045,"D")</f>
        <v>0</v>
      </c>
      <c r="AW462" s="0" t="n">
        <f aca="false">COUNTIF($BA$1045:$EH$1045,"R")</f>
        <v>0</v>
      </c>
      <c r="AX462" s="0" t="n">
        <f aca="false"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>0</v>
      </c>
      <c r="AY462" s="0" t="n">
        <f aca="false">COUNTIF(DU462:EH462, "&lt;&gt;")</f>
        <v>2</v>
      </c>
      <c r="AZ462" s="0" t="n">
        <f aca="false">IF(EH462&lt;&gt;"",1,0)</f>
        <v>0</v>
      </c>
      <c r="BB462" s="0" t="s">
        <v>153</v>
      </c>
      <c r="BC462" s="0" t="s">
        <v>154</v>
      </c>
      <c r="BD462" s="0" t="s">
        <v>154</v>
      </c>
      <c r="BE462" s="0" t="s">
        <v>154</v>
      </c>
      <c r="BF462" s="0" t="s">
        <v>154</v>
      </c>
      <c r="BG462" s="0" t="s">
        <v>154</v>
      </c>
      <c r="BH462" s="0" t="s">
        <v>154</v>
      </c>
      <c r="BJ462" s="0" t="s">
        <v>154</v>
      </c>
      <c r="BK462" s="0" t="s">
        <v>154</v>
      </c>
      <c r="BL462" s="0" t="s">
        <v>154</v>
      </c>
      <c r="BP462" s="0" t="s">
        <v>154</v>
      </c>
      <c r="BS462" s="0" t="s">
        <v>154</v>
      </c>
      <c r="BY462" s="0" t="s">
        <v>155</v>
      </c>
      <c r="CA462" s="0" t="s">
        <v>154</v>
      </c>
      <c r="CK462" s="0" t="s">
        <v>154</v>
      </c>
      <c r="CN462" s="0" t="s">
        <v>154</v>
      </c>
      <c r="CP462" s="0" t="s">
        <v>154</v>
      </c>
      <c r="CV462" s="0" t="s">
        <v>154</v>
      </c>
      <c r="CY462" s="0" t="s">
        <v>154</v>
      </c>
      <c r="DC462" s="0" t="s">
        <v>154</v>
      </c>
      <c r="DI462" s="0" t="s">
        <v>154</v>
      </c>
      <c r="DN462" s="0" t="s">
        <v>154</v>
      </c>
      <c r="DU462" s="0" t="s">
        <v>154</v>
      </c>
      <c r="EF462" s="0" t="s">
        <v>154</v>
      </c>
    </row>
    <row r="463" customFormat="false" ht="13.8" hidden="false" customHeight="false" outlineLevel="0" collapsed="false">
      <c r="A463" s="0" t="s">
        <v>2495</v>
      </c>
      <c r="B463" s="0" t="n">
        <v>78</v>
      </c>
      <c r="C463" s="0" t="n">
        <v>163547</v>
      </c>
      <c r="D463" s="0" t="s">
        <v>2491</v>
      </c>
      <c r="E463" s="0" t="s">
        <v>1117</v>
      </c>
      <c r="F463" s="0" t="str">
        <f aca="false">CONCATENATE(D463," ",LEFT(H463,4),"T=",AU463,"D=",AV463,"R=",AW463,"M=",AX463,"L=",AY463,"B=",AZ463)</f>
        <v>GROOVER T=3D=1R=0M=1L=2B=0</v>
      </c>
      <c r="I463" s="0" t="s">
        <v>2496</v>
      </c>
      <c r="J463" s="0" t="s">
        <v>2398</v>
      </c>
      <c r="K463" s="0" t="s">
        <v>175</v>
      </c>
      <c r="M463" s="0" t="s">
        <v>2494</v>
      </c>
      <c r="N463" s="0" t="str">
        <f aca="false">RIGHT(M463,LEN(M463)-FIND(" ",M463))</f>
        <v>BONNIE BRAE AVE NE</v>
      </c>
      <c r="P463" s="0" t="s">
        <v>146</v>
      </c>
      <c r="Q463" s="0" t="s">
        <v>147</v>
      </c>
      <c r="R463" s="0" t="n">
        <v>44483</v>
      </c>
      <c r="AD463" s="0" t="s">
        <v>148</v>
      </c>
      <c r="AE463" s="0" t="s">
        <v>149</v>
      </c>
      <c r="AF463" s="0" t="s">
        <v>150</v>
      </c>
      <c r="AH463" s="0" t="n">
        <v>14</v>
      </c>
      <c r="AI463" s="0" t="n">
        <v>11</v>
      </c>
      <c r="AN463" s="0" t="s">
        <v>146</v>
      </c>
      <c r="AO463" s="0" t="s">
        <v>236</v>
      </c>
      <c r="AP463" s="0" t="s">
        <v>237</v>
      </c>
      <c r="AQ463" s="0" t="n">
        <v>9</v>
      </c>
      <c r="AR463" s="0" t="n">
        <v>64</v>
      </c>
      <c r="AS463" s="0" t="n">
        <v>32</v>
      </c>
      <c r="AU463" s="0" t="n">
        <f aca="false">COUNTA($BA$1065:$EH$1065)</f>
        <v>3</v>
      </c>
      <c r="AV463" s="0" t="n">
        <f aca="false">COUNTIF($BA$1065:$EH$1065,"D")</f>
        <v>1</v>
      </c>
      <c r="AW463" s="0" t="n">
        <f aca="false">COUNTIF($BA$1065:$EH$1065,"R")</f>
        <v>0</v>
      </c>
      <c r="AX463" s="0" t="n">
        <f aca="false"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>1</v>
      </c>
      <c r="AY463" s="0" t="n">
        <f aca="false">COUNTIF(DU463:EH463, "&lt;&gt;")</f>
        <v>2</v>
      </c>
      <c r="AZ463" s="0" t="n">
        <f aca="false">IF(EH463&lt;&gt;"",1,0)</f>
        <v>0</v>
      </c>
      <c r="BB463" s="0" t="s">
        <v>153</v>
      </c>
      <c r="BC463" s="0" t="s">
        <v>154</v>
      </c>
      <c r="BD463" s="0" t="s">
        <v>154</v>
      </c>
      <c r="BE463" s="0" t="s">
        <v>154</v>
      </c>
      <c r="BF463" s="0" t="s">
        <v>154</v>
      </c>
      <c r="BG463" s="0" t="s">
        <v>154</v>
      </c>
      <c r="BH463" s="0" t="s">
        <v>154</v>
      </c>
      <c r="BJ463" s="0" t="s">
        <v>154</v>
      </c>
      <c r="BK463" s="0" t="s">
        <v>154</v>
      </c>
      <c r="BL463" s="0" t="s">
        <v>154</v>
      </c>
      <c r="BP463" s="0" t="s">
        <v>154</v>
      </c>
      <c r="BR463" s="0" t="s">
        <v>154</v>
      </c>
      <c r="BS463" s="0" t="s">
        <v>154</v>
      </c>
      <c r="BY463" s="0" t="s">
        <v>155</v>
      </c>
      <c r="CA463" s="0" t="s">
        <v>154</v>
      </c>
      <c r="CG463" s="0" t="s">
        <v>154</v>
      </c>
      <c r="CK463" s="0" t="s">
        <v>154</v>
      </c>
      <c r="CL463" s="0" t="s">
        <v>155</v>
      </c>
      <c r="CN463" s="0" t="s">
        <v>154</v>
      </c>
      <c r="CP463" s="0" t="s">
        <v>154</v>
      </c>
      <c r="CV463" s="0" t="s">
        <v>154</v>
      </c>
      <c r="CY463" s="0" t="s">
        <v>154</v>
      </c>
      <c r="CZ463" s="0" t="s">
        <v>155</v>
      </c>
      <c r="DC463" s="0" t="s">
        <v>154</v>
      </c>
      <c r="DN463" s="0" t="s">
        <v>154</v>
      </c>
      <c r="DU463" s="0" t="s">
        <v>154</v>
      </c>
      <c r="EF463" s="0" t="s">
        <v>154</v>
      </c>
    </row>
    <row r="464" customFormat="false" ht="13.8" hidden="true" customHeight="false" outlineLevel="0" collapsed="false">
      <c r="A464" s="0" t="s">
        <v>2497</v>
      </c>
      <c r="B464" s="0" t="n">
        <v>78</v>
      </c>
      <c r="C464" s="0" t="n">
        <v>463436</v>
      </c>
      <c r="D464" s="0" t="s">
        <v>2498</v>
      </c>
      <c r="E464" s="0" t="s">
        <v>2230</v>
      </c>
      <c r="F464" s="0" t="str">
        <f aca="false">CONCATENATE(D464," ",LEFT(H464,4),"T=",AU464,"D=",AV464,"R=",AW464,"M=",AX464,"L=",AY464,"B=",AZ464)</f>
        <v>REESMAN T=5D=0R=0M=0L=0B=0</v>
      </c>
      <c r="G464" s="0" t="s">
        <v>802</v>
      </c>
      <c r="I464" s="0" t="s">
        <v>2499</v>
      </c>
      <c r="J464" s="0" t="s">
        <v>2500</v>
      </c>
      <c r="K464" s="0" t="s">
        <v>144</v>
      </c>
      <c r="L464" s="0"/>
      <c r="M464" s="0" t="s">
        <v>2501</v>
      </c>
      <c r="N464" s="0" t="str">
        <f aca="false">RIGHT(M464,LEN(M464)-FIND(" ",M464))</f>
        <v>BRIGHTON AVE NE</v>
      </c>
      <c r="P464" s="0" t="s">
        <v>146</v>
      </c>
      <c r="Q464" s="0" t="s">
        <v>147</v>
      </c>
      <c r="R464" s="0" t="n">
        <v>44483</v>
      </c>
      <c r="AD464" s="0" t="s">
        <v>148</v>
      </c>
      <c r="AE464" s="0" t="s">
        <v>149</v>
      </c>
      <c r="AF464" s="0" t="s">
        <v>150</v>
      </c>
      <c r="AH464" s="0" t="n">
        <v>14</v>
      </c>
      <c r="AI464" s="0" t="n">
        <v>11</v>
      </c>
      <c r="AN464" s="0" t="s">
        <v>146</v>
      </c>
      <c r="AO464" s="0" t="s">
        <v>236</v>
      </c>
      <c r="AP464" s="0" t="s">
        <v>237</v>
      </c>
      <c r="AQ464" s="0" t="n">
        <v>9</v>
      </c>
      <c r="AR464" s="0" t="n">
        <v>64</v>
      </c>
      <c r="AS464" s="0" t="n">
        <v>32</v>
      </c>
      <c r="AU464" s="0" t="n">
        <f aca="false">COUNTA($BA$78:$EH$78)</f>
        <v>5</v>
      </c>
      <c r="AV464" s="0" t="n">
        <f aca="false">COUNTIF($BA$78:$EH$78,"D")</f>
        <v>0</v>
      </c>
      <c r="AW464" s="0" t="n">
        <f aca="false">COUNTIF($BA$78:$EH$78,"R")</f>
        <v>0</v>
      </c>
      <c r="AX464" s="0" t="n">
        <f aca="false"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>0</v>
      </c>
      <c r="AY464" s="0" t="n">
        <f aca="false">COUNTIF(DU464:EH464, "&lt;&gt;")</f>
        <v>0</v>
      </c>
      <c r="AZ464" s="0" t="n">
        <f aca="false">IF(EH464&lt;&gt;"",1,0)</f>
        <v>0</v>
      </c>
      <c r="BB464" s="0" t="s">
        <v>153</v>
      </c>
    </row>
    <row r="465" customFormat="false" ht="13.8" hidden="false" customHeight="false" outlineLevel="0" collapsed="false">
      <c r="A465" s="0" t="s">
        <v>2502</v>
      </c>
      <c r="B465" s="0" t="n">
        <v>78</v>
      </c>
      <c r="C465" s="0" t="n">
        <v>312326</v>
      </c>
      <c r="D465" s="0" t="s">
        <v>2503</v>
      </c>
      <c r="E465" s="0" t="s">
        <v>2121</v>
      </c>
      <c r="F465" s="0" t="str">
        <f aca="false">CONCATENATE(D465," ",LEFT(H465,4),"T=",AU465,"D=",AV465,"R=",AW465,"M=",AX465,"L=",AY465,"B=",AZ465)</f>
        <v>BEVER T=2D=0R=0M=0L=2B=0</v>
      </c>
      <c r="G465" s="0" t="s">
        <v>365</v>
      </c>
      <c r="I465" s="0" t="s">
        <v>2504</v>
      </c>
      <c r="J465" s="0" t="s">
        <v>2505</v>
      </c>
      <c r="K465" s="0" t="s">
        <v>175</v>
      </c>
      <c r="M465" s="0" t="s">
        <v>2501</v>
      </c>
      <c r="N465" s="0" t="str">
        <f aca="false">RIGHT(M465,LEN(M465)-FIND(" ",M465))</f>
        <v>BRIGHTON AVE NE</v>
      </c>
      <c r="P465" s="0" t="s">
        <v>146</v>
      </c>
      <c r="Q465" s="0" t="s">
        <v>147</v>
      </c>
      <c r="R465" s="0" t="n">
        <v>44483</v>
      </c>
      <c r="AD465" s="0" t="s">
        <v>148</v>
      </c>
      <c r="AE465" s="0" t="s">
        <v>149</v>
      </c>
      <c r="AF465" s="0" t="s">
        <v>150</v>
      </c>
      <c r="AH465" s="0" t="n">
        <v>14</v>
      </c>
      <c r="AI465" s="0" t="n">
        <v>11</v>
      </c>
      <c r="AN465" s="0" t="s">
        <v>146</v>
      </c>
      <c r="AO465" s="0" t="s">
        <v>236</v>
      </c>
      <c r="AP465" s="0" t="s">
        <v>237</v>
      </c>
      <c r="AQ465" s="0" t="n">
        <v>9</v>
      </c>
      <c r="AR465" s="0" t="n">
        <v>64</v>
      </c>
      <c r="AS465" s="0" t="n">
        <v>32</v>
      </c>
      <c r="AU465" s="0" t="n">
        <f aca="false">COUNTA($BA$134:$EH$134)</f>
        <v>2</v>
      </c>
      <c r="AV465" s="0" t="n">
        <f aca="false">COUNTIF($BA$134:$EH$134,"D")</f>
        <v>0</v>
      </c>
      <c r="AW465" s="0" t="n">
        <f aca="false">COUNTIF($BA$134:$EH$134,"R")</f>
        <v>0</v>
      </c>
      <c r="AX465" s="0" t="n">
        <f aca="false"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>0</v>
      </c>
      <c r="AY465" s="0" t="n">
        <f aca="false">COUNTIF(DU465:EH465, "&lt;&gt;")</f>
        <v>2</v>
      </c>
      <c r="AZ465" s="0" t="n">
        <f aca="false">IF(EH465&lt;&gt;"",1,0)</f>
        <v>0</v>
      </c>
      <c r="BB465" s="0" t="s">
        <v>153</v>
      </c>
      <c r="CP465" s="0" t="s">
        <v>154</v>
      </c>
      <c r="CZ465" s="0" t="s">
        <v>176</v>
      </c>
      <c r="DC465" s="0" t="s">
        <v>154</v>
      </c>
      <c r="DN465" s="0" t="s">
        <v>154</v>
      </c>
      <c r="EA465" s="0" t="s">
        <v>154</v>
      </c>
      <c r="EF465" s="0" t="s">
        <v>154</v>
      </c>
    </row>
    <row r="466" customFormat="false" ht="13.8" hidden="true" customHeight="false" outlineLevel="0" collapsed="false">
      <c r="A466" s="0" t="s">
        <v>2506</v>
      </c>
      <c r="B466" s="0" t="n">
        <v>78</v>
      </c>
      <c r="C466" s="0" t="n">
        <v>463640</v>
      </c>
      <c r="D466" s="0" t="s">
        <v>2507</v>
      </c>
      <c r="E466" s="0" t="s">
        <v>2508</v>
      </c>
      <c r="F466" s="0" t="str">
        <f aca="false">CONCATENATE(D466," ",LEFT(H466,4),"T=",AU466,"D=",AV466,"R=",AW466,"M=",AX466,"L=",AY466,"B=",AZ466)</f>
        <v>WATSON T=5D=0R=0M=0L=0B=0</v>
      </c>
      <c r="G466" s="0" t="s">
        <v>1916</v>
      </c>
      <c r="I466" s="0" t="s">
        <v>2509</v>
      </c>
      <c r="J466" s="0" t="s">
        <v>1930</v>
      </c>
      <c r="K466" s="0" t="s">
        <v>175</v>
      </c>
      <c r="L466" s="0"/>
      <c r="M466" s="0" t="s">
        <v>2501</v>
      </c>
      <c r="N466" s="0" t="str">
        <f aca="false">RIGHT(M466,LEN(M466)-FIND(" ",M466))</f>
        <v>BRIGHTON AVE NE</v>
      </c>
      <c r="P466" s="0" t="s">
        <v>146</v>
      </c>
      <c r="Q466" s="0" t="s">
        <v>147</v>
      </c>
      <c r="R466" s="0" t="n">
        <v>44483</v>
      </c>
      <c r="AD466" s="0" t="s">
        <v>148</v>
      </c>
      <c r="AE466" s="0" t="s">
        <v>149</v>
      </c>
      <c r="AF466" s="0" t="s">
        <v>150</v>
      </c>
      <c r="AH466" s="0" t="n">
        <v>14</v>
      </c>
      <c r="AI466" s="0" t="n">
        <v>11</v>
      </c>
      <c r="AN466" s="0" t="s">
        <v>146</v>
      </c>
      <c r="AO466" s="0" t="s">
        <v>236</v>
      </c>
      <c r="AP466" s="0" t="s">
        <v>237</v>
      </c>
      <c r="AQ466" s="0" t="n">
        <v>9</v>
      </c>
      <c r="AR466" s="0" t="n">
        <v>64</v>
      </c>
      <c r="AS466" s="0" t="n">
        <v>32</v>
      </c>
      <c r="AU466" s="0" t="n">
        <f aca="false">COUNTA($BA$639:$EH$639)</f>
        <v>5</v>
      </c>
      <c r="AV466" s="0" t="n">
        <f aca="false">COUNTIF($BA$639:$EH$639,"D")</f>
        <v>0</v>
      </c>
      <c r="AW466" s="0" t="n">
        <f aca="false">COUNTIF($BA$639:$EH$639,"R")</f>
        <v>0</v>
      </c>
      <c r="AX466" s="0" t="n">
        <f aca="false"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>0</v>
      </c>
      <c r="AY466" s="0" t="n">
        <f aca="false">COUNTIF(DU466:EH466, "&lt;&gt;")</f>
        <v>0</v>
      </c>
      <c r="AZ466" s="0" t="n">
        <f aca="false">IF(EH466&lt;&gt;"",1,0)</f>
        <v>0</v>
      </c>
      <c r="BB466" s="0" t="s">
        <v>153</v>
      </c>
    </row>
    <row r="467" customFormat="false" ht="13.8" hidden="false" customHeight="false" outlineLevel="0" collapsed="false">
      <c r="A467" s="0" t="s">
        <v>2510</v>
      </c>
      <c r="B467" s="0" t="n">
        <v>78</v>
      </c>
      <c r="C467" s="0" t="n">
        <v>316631</v>
      </c>
      <c r="D467" s="0" t="s">
        <v>2503</v>
      </c>
      <c r="E467" s="0" t="s">
        <v>863</v>
      </c>
      <c r="F467" s="0" t="str">
        <f aca="false">CONCATENATE(D467," ",LEFT(H467,4),"T=",AU467,"D=",AV467,"R=",AW467,"M=",AX467,"L=",AY467,"B=",AZ467)</f>
        <v>BEVER T=4D=0R=0M=0L=3B=0</v>
      </c>
      <c r="G467" s="0" t="s">
        <v>181</v>
      </c>
      <c r="I467" s="0" t="s">
        <v>2511</v>
      </c>
      <c r="J467" s="0" t="s">
        <v>2512</v>
      </c>
      <c r="K467" s="0" t="s">
        <v>175</v>
      </c>
      <c r="L467" s="1" t="s">
        <v>155</v>
      </c>
      <c r="M467" s="0" t="s">
        <v>2501</v>
      </c>
      <c r="N467" s="0" t="str">
        <f aca="false">RIGHT(M467,LEN(M467)-FIND(" ",M467))</f>
        <v>BRIGHTON AVE NE</v>
      </c>
      <c r="P467" s="0" t="s">
        <v>146</v>
      </c>
      <c r="Q467" s="0" t="s">
        <v>147</v>
      </c>
      <c r="R467" s="0" t="n">
        <v>44483</v>
      </c>
      <c r="AD467" s="0" t="s">
        <v>148</v>
      </c>
      <c r="AE467" s="0" t="s">
        <v>149</v>
      </c>
      <c r="AF467" s="0" t="s">
        <v>150</v>
      </c>
      <c r="AH467" s="0" t="n">
        <v>14</v>
      </c>
      <c r="AI467" s="0" t="n">
        <v>11</v>
      </c>
      <c r="AN467" s="0" t="s">
        <v>146</v>
      </c>
      <c r="AO467" s="0" t="s">
        <v>236</v>
      </c>
      <c r="AP467" s="0" t="s">
        <v>237</v>
      </c>
      <c r="AQ467" s="0" t="n">
        <v>9</v>
      </c>
      <c r="AR467" s="0" t="n">
        <v>64</v>
      </c>
      <c r="AS467" s="0" t="n">
        <v>32</v>
      </c>
      <c r="AU467" s="0" t="n">
        <f aca="false">COUNTA($BA$853:$EH$853)</f>
        <v>4</v>
      </c>
      <c r="AV467" s="0" t="n">
        <f aca="false">COUNTIF($BA$853:$EH$853,"D")</f>
        <v>0</v>
      </c>
      <c r="AW467" s="0" t="n">
        <f aca="false">COUNTIF($BA$853:$EH$853,"R")</f>
        <v>0</v>
      </c>
      <c r="AX467" s="0" t="n">
        <f aca="false"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>0</v>
      </c>
      <c r="AY467" s="0" t="n">
        <f aca="false">COUNTIF(DU467:EH467, "&lt;&gt;")</f>
        <v>3</v>
      </c>
      <c r="AZ467" s="0" t="n">
        <f aca="false">IF(EH467&lt;&gt;"",1,0)</f>
        <v>0</v>
      </c>
      <c r="BB467" s="0" t="s">
        <v>153</v>
      </c>
      <c r="DC467" s="0" t="s">
        <v>154</v>
      </c>
      <c r="DN467" s="0" t="s">
        <v>154</v>
      </c>
      <c r="EA467" s="0" t="s">
        <v>154</v>
      </c>
      <c r="ED467" s="0" t="s">
        <v>155</v>
      </c>
      <c r="EF467" s="0" t="s">
        <v>154</v>
      </c>
    </row>
    <row r="468" customFormat="false" ht="13.8" hidden="false" customHeight="false" outlineLevel="0" collapsed="false">
      <c r="A468" s="0" t="s">
        <v>2513</v>
      </c>
      <c r="B468" s="0" t="n">
        <v>78</v>
      </c>
      <c r="C468" s="0" t="n">
        <v>292226</v>
      </c>
      <c r="D468" s="0" t="s">
        <v>2514</v>
      </c>
      <c r="E468" s="0" t="s">
        <v>2515</v>
      </c>
      <c r="F468" s="0" t="str">
        <f aca="false">CONCATENATE(D468," ",LEFT(H468,4),"T=",AU468,"D=",AV468,"R=",AW468,"M=",AX468,"L=",AY468,"B=",AZ468)</f>
        <v>BEDNAR T=1D=0R=0M=2L=2B=0</v>
      </c>
      <c r="G468" s="0" t="s">
        <v>1374</v>
      </c>
      <c r="I468" s="0" t="s">
        <v>2516</v>
      </c>
      <c r="J468" s="0" t="s">
        <v>2517</v>
      </c>
      <c r="K468" s="0" t="s">
        <v>175</v>
      </c>
      <c r="L468" s="1" t="s">
        <v>155</v>
      </c>
      <c r="M468" s="0" t="s">
        <v>2518</v>
      </c>
      <c r="N468" s="0" t="str">
        <f aca="false">RIGHT(M468,LEN(M468)-FIND(" ",M468))</f>
        <v>BRIGHTON AVE NE</v>
      </c>
      <c r="P468" s="0" t="s">
        <v>146</v>
      </c>
      <c r="Q468" s="0" t="s">
        <v>147</v>
      </c>
      <c r="R468" s="0" t="n">
        <v>44483</v>
      </c>
      <c r="AD468" s="0" t="s">
        <v>148</v>
      </c>
      <c r="AE468" s="0" t="s">
        <v>149</v>
      </c>
      <c r="AF468" s="0" t="s">
        <v>150</v>
      </c>
      <c r="AH468" s="0" t="n">
        <v>14</v>
      </c>
      <c r="AI468" s="0" t="n">
        <v>11</v>
      </c>
      <c r="AN468" s="0" t="s">
        <v>146</v>
      </c>
      <c r="AO468" s="0" t="s">
        <v>236</v>
      </c>
      <c r="AP468" s="0" t="s">
        <v>237</v>
      </c>
      <c r="AQ468" s="0" t="n">
        <v>9</v>
      </c>
      <c r="AR468" s="0" t="n">
        <v>64</v>
      </c>
      <c r="AS468" s="0" t="n">
        <v>32</v>
      </c>
      <c r="AU468" s="0" t="n">
        <f aca="false">COUNTA($BA$864:$EH$864)</f>
        <v>1</v>
      </c>
      <c r="AV468" s="0" t="n">
        <f aca="false">COUNTIF($BA$864:$EH$864,"D")</f>
        <v>0</v>
      </c>
      <c r="AW468" s="0" t="n">
        <f aca="false">COUNTIF($BA$864:$EH$864,"R")</f>
        <v>0</v>
      </c>
      <c r="AX468" s="0" t="n">
        <f aca="false"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>2</v>
      </c>
      <c r="AY468" s="0" t="n">
        <f aca="false">COUNTIF(DU468:EH468, "&lt;&gt;")</f>
        <v>2</v>
      </c>
      <c r="AZ468" s="0" t="n">
        <f aca="false">IF(EH468&lt;&gt;"",1,0)</f>
        <v>0</v>
      </c>
      <c r="BB468" s="0" t="s">
        <v>153</v>
      </c>
      <c r="BH468" s="0" t="s">
        <v>154</v>
      </c>
      <c r="BI468" s="0" t="s">
        <v>154</v>
      </c>
      <c r="BJ468" s="0" t="s">
        <v>154</v>
      </c>
      <c r="BK468" s="0" t="s">
        <v>154</v>
      </c>
      <c r="BL468" s="0" t="s">
        <v>154</v>
      </c>
      <c r="BP468" s="0" t="s">
        <v>154</v>
      </c>
      <c r="BY468" s="0" t="s">
        <v>155</v>
      </c>
      <c r="CA468" s="0" t="s">
        <v>154</v>
      </c>
      <c r="CG468" s="0" t="s">
        <v>154</v>
      </c>
      <c r="CH468" s="0" t="s">
        <v>155</v>
      </c>
      <c r="CK468" s="0" t="s">
        <v>154</v>
      </c>
      <c r="CL468" s="0" t="s">
        <v>155</v>
      </c>
      <c r="CN468" s="0" t="s">
        <v>154</v>
      </c>
      <c r="CO468" s="0" t="s">
        <v>155</v>
      </c>
      <c r="CP468" s="0" t="s">
        <v>154</v>
      </c>
      <c r="CT468" s="0" t="s">
        <v>154</v>
      </c>
      <c r="CU468" s="0" t="s">
        <v>155</v>
      </c>
      <c r="CV468" s="0" t="s">
        <v>154</v>
      </c>
      <c r="CY468" s="0" t="s">
        <v>154</v>
      </c>
      <c r="DC468" s="0" t="s">
        <v>154</v>
      </c>
      <c r="DF468" s="0" t="s">
        <v>154</v>
      </c>
      <c r="DG468" s="0" t="s">
        <v>154</v>
      </c>
      <c r="DI468" s="0" t="s">
        <v>154</v>
      </c>
      <c r="DN468" s="0" t="s">
        <v>154</v>
      </c>
      <c r="DW468" s="0" t="s">
        <v>155</v>
      </c>
      <c r="EF468" s="0" t="s">
        <v>154</v>
      </c>
    </row>
    <row r="469" customFormat="false" ht="13.8" hidden="true" customHeight="false" outlineLevel="0" collapsed="false">
      <c r="A469" s="0" t="s">
        <v>2519</v>
      </c>
      <c r="B469" s="0" t="n">
        <v>78</v>
      </c>
      <c r="C469" s="0" t="n">
        <v>402035</v>
      </c>
      <c r="D469" s="0" t="s">
        <v>494</v>
      </c>
      <c r="E469" s="0" t="s">
        <v>429</v>
      </c>
      <c r="F469" s="0" t="str">
        <f aca="false">CONCATENATE(D469," ",LEFT(H469,4),"T=",AU469,"D=",AV469,"R=",AW469,"M=",AX469,"L=",AY469,"B=",AZ469)</f>
        <v>KIRK T=1D=0R=0M=1L=0B=0</v>
      </c>
      <c r="G469" s="0" t="s">
        <v>1531</v>
      </c>
      <c r="I469" s="0" t="s">
        <v>2520</v>
      </c>
      <c r="J469" s="0" t="s">
        <v>2521</v>
      </c>
      <c r="K469" s="0" t="s">
        <v>144</v>
      </c>
      <c r="L469" s="0"/>
      <c r="M469" s="0" t="s">
        <v>2522</v>
      </c>
      <c r="N469" s="0" t="str">
        <f aca="false">RIGHT(M469,LEN(M469)-FIND(" ",M469))</f>
        <v>BRIGHTON AVE NE</v>
      </c>
      <c r="P469" s="0" t="s">
        <v>146</v>
      </c>
      <c r="Q469" s="0" t="s">
        <v>147</v>
      </c>
      <c r="R469" s="0" t="n">
        <v>44483</v>
      </c>
      <c r="AD469" s="0" t="s">
        <v>148</v>
      </c>
      <c r="AE469" s="0" t="s">
        <v>149</v>
      </c>
      <c r="AF469" s="0" t="s">
        <v>150</v>
      </c>
      <c r="AH469" s="0" t="n">
        <v>14</v>
      </c>
      <c r="AI469" s="0" t="n">
        <v>11</v>
      </c>
      <c r="AN469" s="0" t="s">
        <v>146</v>
      </c>
      <c r="AO469" s="0" t="s">
        <v>236</v>
      </c>
      <c r="AP469" s="0" t="s">
        <v>237</v>
      </c>
      <c r="AQ469" s="0" t="n">
        <v>9</v>
      </c>
      <c r="AR469" s="0" t="n">
        <v>64</v>
      </c>
      <c r="AS469" s="0" t="n">
        <v>32</v>
      </c>
      <c r="AU469" s="0" t="n">
        <f aca="false">COUNTA($BA$201:$EH$201)</f>
        <v>1</v>
      </c>
      <c r="AV469" s="0" t="n">
        <f aca="false">COUNTIF($BA$201:$EH$201,"D")</f>
        <v>0</v>
      </c>
      <c r="AW469" s="0" t="n">
        <f aca="false">COUNTIF($BA$201:$EH$201,"R")</f>
        <v>0</v>
      </c>
      <c r="AX469" s="0" t="n">
        <f aca="false"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>1</v>
      </c>
      <c r="AY469" s="0" t="n">
        <f aca="false">COUNTIF(DU469:EH469, "&lt;&gt;")</f>
        <v>0</v>
      </c>
      <c r="AZ469" s="0" t="n">
        <f aca="false">IF(EH469&lt;&gt;"",1,0)</f>
        <v>0</v>
      </c>
      <c r="BB469" s="0" t="s">
        <v>153</v>
      </c>
      <c r="CV469" s="0" t="s">
        <v>154</v>
      </c>
      <c r="CZ469" s="0" t="s">
        <v>155</v>
      </c>
      <c r="DC469" s="0" t="s">
        <v>154</v>
      </c>
      <c r="DD469" s="0" t="s">
        <v>155</v>
      </c>
      <c r="DF469" s="0" t="s">
        <v>154</v>
      </c>
      <c r="DG469" s="0" t="s">
        <v>155</v>
      </c>
      <c r="DI469" s="0" t="s">
        <v>154</v>
      </c>
      <c r="DL469" s="0" t="s">
        <v>154</v>
      </c>
      <c r="DM469" s="0" t="s">
        <v>155</v>
      </c>
      <c r="DN469" s="0" t="s">
        <v>154</v>
      </c>
      <c r="DR469" s="0" t="s">
        <v>154</v>
      </c>
    </row>
    <row r="470" customFormat="false" ht="13.8" hidden="true" customHeight="false" outlineLevel="0" collapsed="false">
      <c r="A470" s="0" t="s">
        <v>2523</v>
      </c>
      <c r="B470" s="0" t="n">
        <v>78</v>
      </c>
      <c r="C470" s="0" t="n">
        <v>491472</v>
      </c>
      <c r="D470" s="0" t="s">
        <v>1901</v>
      </c>
      <c r="E470" s="0" t="s">
        <v>2524</v>
      </c>
      <c r="F470" s="0" t="str">
        <f aca="false">CONCATENATE(D470," ",LEFT(H470,4),"T=",AU470,"D=",AV470,"R=",AW470,"M=",AX470,"L=",AY470,"B=",AZ470)</f>
        <v>SNYDER T=2D=0R=0M=0L=0B=0</v>
      </c>
      <c r="I470" s="0" t="s">
        <v>2525</v>
      </c>
      <c r="J470" s="0" t="s">
        <v>2526</v>
      </c>
      <c r="K470" s="0" t="s">
        <v>144</v>
      </c>
      <c r="L470" s="0"/>
      <c r="M470" s="0" t="s">
        <v>2527</v>
      </c>
      <c r="N470" s="0" t="str">
        <f aca="false">RIGHT(M470,LEN(M470)-FIND(" ",M470))</f>
        <v>BRIGHTON AVE NE</v>
      </c>
      <c r="P470" s="0" t="s">
        <v>146</v>
      </c>
      <c r="Q470" s="0" t="s">
        <v>147</v>
      </c>
      <c r="R470" s="0" t="n">
        <v>44483</v>
      </c>
      <c r="AD470" s="0" t="s">
        <v>148</v>
      </c>
      <c r="AE470" s="0" t="s">
        <v>149</v>
      </c>
      <c r="AF470" s="0" t="s">
        <v>150</v>
      </c>
      <c r="AH470" s="0" t="n">
        <v>14</v>
      </c>
      <c r="AI470" s="0" t="n">
        <v>11</v>
      </c>
      <c r="AN470" s="0" t="s">
        <v>146</v>
      </c>
      <c r="AO470" s="0" t="s">
        <v>236</v>
      </c>
      <c r="AP470" s="0" t="s">
        <v>237</v>
      </c>
      <c r="AQ470" s="0" t="n">
        <v>9</v>
      </c>
      <c r="AR470" s="0" t="n">
        <v>64</v>
      </c>
      <c r="AS470" s="0" t="n">
        <v>32</v>
      </c>
      <c r="AU470" s="0" t="n">
        <f aca="false">COUNTA($BA$371:$EH$371)</f>
        <v>2</v>
      </c>
      <c r="AV470" s="0" t="n">
        <f aca="false">COUNTIF($BA$371:$EH$371,"D")</f>
        <v>0</v>
      </c>
      <c r="AW470" s="0" t="n">
        <f aca="false">COUNTIF($BA$371:$EH$371,"R")</f>
        <v>0</v>
      </c>
      <c r="AX470" s="0" t="n">
        <f aca="false"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>0</v>
      </c>
      <c r="AY470" s="0" t="n">
        <f aca="false">COUNTIF(DU470:EH470, "&lt;&gt;")</f>
        <v>0</v>
      </c>
      <c r="AZ470" s="0" t="n">
        <f aca="false">IF(EH470&lt;&gt;"",1,0)</f>
        <v>0</v>
      </c>
      <c r="BB470" s="0" t="s">
        <v>153</v>
      </c>
    </row>
    <row r="471" customFormat="false" ht="13.8" hidden="true" customHeight="false" outlineLevel="0" collapsed="false">
      <c r="A471" s="0" t="s">
        <v>2528</v>
      </c>
      <c r="B471" s="0" t="n">
        <v>78</v>
      </c>
      <c r="C471" s="0" t="n">
        <v>306031</v>
      </c>
      <c r="D471" s="0" t="s">
        <v>2529</v>
      </c>
      <c r="E471" s="0" t="s">
        <v>187</v>
      </c>
      <c r="F471" s="0" t="str">
        <f aca="false">CONCATENATE(D471," ",LEFT(H471,4),"T=",AU471,"D=",AV471,"R=",AW471,"M=",AX471,"L=",AY471,"B=",AZ471)</f>
        <v>CASH T=17D=1R=4M=0L=0B=0</v>
      </c>
      <c r="G471" s="0" t="s">
        <v>2530</v>
      </c>
      <c r="I471" s="0" t="s">
        <v>2531</v>
      </c>
      <c r="J471" s="0" t="s">
        <v>2532</v>
      </c>
      <c r="K471" s="0" t="s">
        <v>175</v>
      </c>
      <c r="L471" s="0"/>
      <c r="M471" s="0" t="s">
        <v>2527</v>
      </c>
      <c r="N471" s="0" t="str">
        <f aca="false">RIGHT(M471,LEN(M471)-FIND(" ",M471))</f>
        <v>BRIGHTON AVE NE</v>
      </c>
      <c r="P471" s="0" t="s">
        <v>146</v>
      </c>
      <c r="Q471" s="0" t="s">
        <v>147</v>
      </c>
      <c r="R471" s="0" t="n">
        <v>44483</v>
      </c>
      <c r="AD471" s="0" t="s">
        <v>148</v>
      </c>
      <c r="AE471" s="0" t="s">
        <v>149</v>
      </c>
      <c r="AF471" s="0" t="s">
        <v>150</v>
      </c>
      <c r="AH471" s="0" t="n">
        <v>14</v>
      </c>
      <c r="AI471" s="0" t="n">
        <v>11</v>
      </c>
      <c r="AN471" s="0" t="s">
        <v>146</v>
      </c>
      <c r="AO471" s="0" t="s">
        <v>236</v>
      </c>
      <c r="AP471" s="0" t="s">
        <v>237</v>
      </c>
      <c r="AQ471" s="0" t="n">
        <v>9</v>
      </c>
      <c r="AR471" s="0" t="n">
        <v>64</v>
      </c>
      <c r="AS471" s="0" t="n">
        <v>32</v>
      </c>
      <c r="AU471" s="0" t="n">
        <f aca="false">COUNTA($BA$863:$EH$863)</f>
        <v>17</v>
      </c>
      <c r="AV471" s="0" t="n">
        <f aca="false">COUNTIF($BA$863:$EH$863,"D")</f>
        <v>1</v>
      </c>
      <c r="AW471" s="0" t="n">
        <f aca="false">COUNTIF($BA$863:$EH$863,"R")</f>
        <v>4</v>
      </c>
      <c r="AX471" s="0" t="n">
        <f aca="false"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>0</v>
      </c>
      <c r="AY471" s="0" t="n">
        <f aca="false">COUNTIF(DU471:EH471, "&lt;&gt;")</f>
        <v>0</v>
      </c>
      <c r="AZ471" s="0" t="n">
        <f aca="false">IF(EH471&lt;&gt;"",1,0)</f>
        <v>0</v>
      </c>
      <c r="BB471" s="0" t="s">
        <v>153</v>
      </c>
      <c r="CP471" s="0" t="s">
        <v>154</v>
      </c>
      <c r="DN471" s="0" t="s">
        <v>154</v>
      </c>
    </row>
    <row r="472" customFormat="false" ht="13.8" hidden="false" customHeight="false" outlineLevel="0" collapsed="false">
      <c r="A472" s="0" t="s">
        <v>2533</v>
      </c>
      <c r="B472" s="0" t="n">
        <v>78</v>
      </c>
      <c r="C472" s="0" t="n">
        <v>464486</v>
      </c>
      <c r="D472" s="0" t="s">
        <v>2534</v>
      </c>
      <c r="E472" s="0" t="s">
        <v>2535</v>
      </c>
      <c r="F472" s="0" t="str">
        <f aca="false">CONCATENATE(D472," ",LEFT(H472,4),"T=",AU472,"D=",AV472,"R=",AW472,"M=",AX472,"L=",AY472,"B=",AZ472)</f>
        <v>BUTTON T=31D=6R=0M=0L=2B=0</v>
      </c>
      <c r="G472" s="0" t="s">
        <v>188</v>
      </c>
      <c r="I472" s="0" t="s">
        <v>2536</v>
      </c>
      <c r="J472" s="0" t="s">
        <v>2537</v>
      </c>
      <c r="K472" s="0" t="s">
        <v>175</v>
      </c>
      <c r="M472" s="0" t="s">
        <v>2538</v>
      </c>
      <c r="N472" s="0" t="str">
        <f aca="false">RIGHT(M472,LEN(M472)-FIND(" ",M472))</f>
        <v>BRIGHTON AVE NE</v>
      </c>
      <c r="P472" s="0" t="s">
        <v>146</v>
      </c>
      <c r="Q472" s="0" t="s">
        <v>147</v>
      </c>
      <c r="R472" s="0" t="n">
        <v>44483</v>
      </c>
      <c r="AD472" s="0" t="s">
        <v>148</v>
      </c>
      <c r="AE472" s="0" t="s">
        <v>149</v>
      </c>
      <c r="AF472" s="0" t="s">
        <v>150</v>
      </c>
      <c r="AH472" s="0" t="n">
        <v>14</v>
      </c>
      <c r="AI472" s="0" t="n">
        <v>11</v>
      </c>
      <c r="AN472" s="0" t="s">
        <v>146</v>
      </c>
      <c r="AO472" s="0" t="s">
        <v>236</v>
      </c>
      <c r="AP472" s="0" t="s">
        <v>237</v>
      </c>
      <c r="AQ472" s="0" t="n">
        <v>9</v>
      </c>
      <c r="AR472" s="0" t="n">
        <v>64</v>
      </c>
      <c r="AS472" s="0" t="n">
        <v>32</v>
      </c>
      <c r="AU472" s="0" t="n">
        <f aca="false">COUNTA($BA$1049:$EH$1049)</f>
        <v>31</v>
      </c>
      <c r="AV472" s="0" t="n">
        <f aca="false">COUNTIF($BA$1049:$EH$1049,"D")</f>
        <v>6</v>
      </c>
      <c r="AW472" s="0" t="n">
        <f aca="false">COUNTIF($BA$1049:$EH$1049,"R")</f>
        <v>0</v>
      </c>
      <c r="AX472" s="0" t="n">
        <f aca="false"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>0</v>
      </c>
      <c r="AY472" s="0" t="n">
        <f aca="false">COUNTIF(DU472:EH472, "&lt;&gt;")</f>
        <v>2</v>
      </c>
      <c r="AZ472" s="0" t="n">
        <f aca="false">IF(EH472&lt;&gt;"",1,0)</f>
        <v>0</v>
      </c>
      <c r="BB472" s="0" t="s">
        <v>153</v>
      </c>
      <c r="DC472" s="0" t="s">
        <v>154</v>
      </c>
      <c r="DI472" s="0" t="s">
        <v>154</v>
      </c>
      <c r="DN472" s="0" t="s">
        <v>154</v>
      </c>
      <c r="DU472" s="0" t="s">
        <v>154</v>
      </c>
      <c r="EF472" s="0" t="s">
        <v>154</v>
      </c>
    </row>
    <row r="473" customFormat="false" ht="13.8" hidden="false" customHeight="false" outlineLevel="0" collapsed="false">
      <c r="A473" s="0" t="s">
        <v>2539</v>
      </c>
      <c r="B473" s="0" t="n">
        <v>78</v>
      </c>
      <c r="C473" s="0" t="n">
        <v>437278</v>
      </c>
      <c r="D473" s="0" t="s">
        <v>2540</v>
      </c>
      <c r="E473" s="0" t="s">
        <v>2541</v>
      </c>
      <c r="F473" s="0" t="str">
        <f aca="false">CONCATENATE(D473," ",LEFT(H473,4),"T=",AU473,"D=",AV473,"R=",AW473,"M=",AX473,"L=",AY473,"B=",AZ473)</f>
        <v>WILKINS T=17D=0R=1M=0L=5B=0</v>
      </c>
      <c r="G473" s="0" t="s">
        <v>172</v>
      </c>
      <c r="I473" s="0" t="s">
        <v>2542</v>
      </c>
      <c r="J473" s="0" t="s">
        <v>498</v>
      </c>
      <c r="K473" s="0" t="s">
        <v>175</v>
      </c>
      <c r="L473" s="1" t="s">
        <v>176</v>
      </c>
      <c r="M473" s="0" t="s">
        <v>2543</v>
      </c>
      <c r="N473" s="0" t="str">
        <f aca="false">RIGHT(M473,LEN(M473)-FIND(" ",M473))</f>
        <v>BRIGHTON AVE NE</v>
      </c>
      <c r="P473" s="0" t="s">
        <v>146</v>
      </c>
      <c r="Q473" s="0" t="s">
        <v>147</v>
      </c>
      <c r="R473" s="0" t="n">
        <v>44483</v>
      </c>
      <c r="AD473" s="0" t="s">
        <v>148</v>
      </c>
      <c r="AE473" s="0" t="s">
        <v>149</v>
      </c>
      <c r="AF473" s="0" t="s">
        <v>150</v>
      </c>
      <c r="AH473" s="0" t="n">
        <v>14</v>
      </c>
      <c r="AI473" s="0" t="n">
        <v>11</v>
      </c>
      <c r="AN473" s="0" t="s">
        <v>146</v>
      </c>
      <c r="AO473" s="0" t="s">
        <v>236</v>
      </c>
      <c r="AP473" s="0" t="s">
        <v>237</v>
      </c>
      <c r="AQ473" s="0" t="n">
        <v>9</v>
      </c>
      <c r="AR473" s="0" t="n">
        <v>64</v>
      </c>
      <c r="AS473" s="0" t="n">
        <v>32</v>
      </c>
      <c r="AU473" s="0" t="n">
        <f aca="false">COUNTA($BA$16:$EH$16)</f>
        <v>17</v>
      </c>
      <c r="AV473" s="0" t="n">
        <f aca="false">COUNTIF($BA$16:$EH$16,"D")</f>
        <v>0</v>
      </c>
      <c r="AW473" s="0" t="n">
        <f aca="false">COUNTIF($BA$16:$EH$16,"R")</f>
        <v>1</v>
      </c>
      <c r="AX473" s="0" t="n">
        <f aca="false"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>0</v>
      </c>
      <c r="AY473" s="0" t="n">
        <f aca="false">COUNTIF(DU473:EH473, "&lt;&gt;")</f>
        <v>5</v>
      </c>
      <c r="AZ473" s="0" t="n">
        <f aca="false">IF(EH473&lt;&gt;"",1,0)</f>
        <v>0</v>
      </c>
      <c r="BB473" s="0" t="s">
        <v>153</v>
      </c>
      <c r="DN473" s="0" t="s">
        <v>154</v>
      </c>
      <c r="DS473" s="0" t="s">
        <v>176</v>
      </c>
      <c r="DT473" s="0" t="s">
        <v>176</v>
      </c>
      <c r="DU473" s="0" t="s">
        <v>154</v>
      </c>
      <c r="DX473" s="0" t="s">
        <v>154</v>
      </c>
      <c r="EA473" s="0" t="s">
        <v>154</v>
      </c>
      <c r="ED473" s="0" t="s">
        <v>176</v>
      </c>
      <c r="EF473" s="0" t="s">
        <v>154</v>
      </c>
    </row>
    <row r="474" customFormat="false" ht="13.8" hidden="false" customHeight="false" outlineLevel="0" collapsed="false">
      <c r="A474" s="0" t="s">
        <v>2544</v>
      </c>
      <c r="B474" s="0" t="n">
        <v>78</v>
      </c>
      <c r="C474" s="0" t="n">
        <v>420726</v>
      </c>
      <c r="D474" s="0" t="s">
        <v>317</v>
      </c>
      <c r="E474" s="0" t="s">
        <v>283</v>
      </c>
      <c r="F474" s="0" t="str">
        <f aca="false">CONCATENATE(D474," ",LEFT(H474,4),"T=",AU474,"D=",AV474,"R=",AW474,"M=",AX474,"L=",AY474,"B=",AZ474)</f>
        <v>LEE T=1D=0R=0M=0L=5B=0</v>
      </c>
      <c r="G474" s="0" t="s">
        <v>241</v>
      </c>
      <c r="I474" s="0" t="s">
        <v>2545</v>
      </c>
      <c r="J474" s="0" t="s">
        <v>1930</v>
      </c>
      <c r="K474" s="0" t="s">
        <v>175</v>
      </c>
      <c r="L474" s="1" t="s">
        <v>176</v>
      </c>
      <c r="M474" s="0" t="s">
        <v>2543</v>
      </c>
      <c r="N474" s="0" t="str">
        <f aca="false">RIGHT(M474,LEN(M474)-FIND(" ",M474))</f>
        <v>BRIGHTON AVE NE</v>
      </c>
      <c r="P474" s="0" t="s">
        <v>146</v>
      </c>
      <c r="Q474" s="0" t="s">
        <v>147</v>
      </c>
      <c r="R474" s="0" t="n">
        <v>44483</v>
      </c>
      <c r="AD474" s="0" t="s">
        <v>148</v>
      </c>
      <c r="AE474" s="0" t="s">
        <v>149</v>
      </c>
      <c r="AF474" s="0" t="s">
        <v>150</v>
      </c>
      <c r="AH474" s="0" t="n">
        <v>14</v>
      </c>
      <c r="AI474" s="0" t="n">
        <v>11</v>
      </c>
      <c r="AN474" s="0" t="s">
        <v>146</v>
      </c>
      <c r="AO474" s="0" t="s">
        <v>236</v>
      </c>
      <c r="AP474" s="0" t="s">
        <v>237</v>
      </c>
      <c r="AQ474" s="0" t="n">
        <v>9</v>
      </c>
      <c r="AR474" s="0" t="n">
        <v>64</v>
      </c>
      <c r="AS474" s="0" t="n">
        <v>32</v>
      </c>
      <c r="AU474" s="0" t="n">
        <f aca="false">COUNTA($BA$60:$EH$60)</f>
        <v>1</v>
      </c>
      <c r="AV474" s="0" t="n">
        <f aca="false">COUNTIF($BA$60:$EH$60,"D")</f>
        <v>0</v>
      </c>
      <c r="AW474" s="0" t="n">
        <f aca="false">COUNTIF($BA$60:$EH$60,"R")</f>
        <v>0</v>
      </c>
      <c r="AX474" s="0" t="n">
        <f aca="false"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>0</v>
      </c>
      <c r="AY474" s="0" t="n">
        <f aca="false">COUNTIF(DU474:EH474, "&lt;&gt;")</f>
        <v>5</v>
      </c>
      <c r="AZ474" s="0" t="n">
        <f aca="false">IF(EH474&lt;&gt;"",1,0)</f>
        <v>0</v>
      </c>
      <c r="BB474" s="0" t="s">
        <v>153</v>
      </c>
      <c r="DC474" s="0" t="s">
        <v>154</v>
      </c>
      <c r="DI474" s="0" t="s">
        <v>154</v>
      </c>
      <c r="DL474" s="0" t="s">
        <v>154</v>
      </c>
      <c r="DN474" s="0" t="s">
        <v>154</v>
      </c>
      <c r="DS474" s="0" t="s">
        <v>176</v>
      </c>
      <c r="DT474" s="0" t="s">
        <v>176</v>
      </c>
      <c r="DU474" s="0" t="s">
        <v>154</v>
      </c>
      <c r="DX474" s="0" t="s">
        <v>154</v>
      </c>
      <c r="EA474" s="0" t="s">
        <v>154</v>
      </c>
      <c r="ED474" s="0" t="s">
        <v>176</v>
      </c>
      <c r="EF474" s="0" t="s">
        <v>154</v>
      </c>
    </row>
    <row r="475" customFormat="false" ht="13.8" hidden="true" customHeight="false" outlineLevel="0" collapsed="false">
      <c r="A475" s="0" t="s">
        <v>2546</v>
      </c>
      <c r="B475" s="0" t="n">
        <v>78</v>
      </c>
      <c r="C475" s="0" t="n">
        <v>250860</v>
      </c>
      <c r="D475" s="0" t="s">
        <v>1050</v>
      </c>
      <c r="E475" s="0" t="s">
        <v>1980</v>
      </c>
      <c r="F475" s="0" t="str">
        <f aca="false">CONCATENATE(D475," ",LEFT(H475,4),"T=",AU475,"D=",AV475,"R=",AW475,"M=",AX475,"L=",AY475,"B=",AZ475)</f>
        <v>JOHNSON T=1D=0R=0M=0L=0B=0</v>
      </c>
      <c r="G475" s="0" t="s">
        <v>159</v>
      </c>
      <c r="I475" s="0" t="s">
        <v>2547</v>
      </c>
      <c r="J475" s="0" t="s">
        <v>2548</v>
      </c>
      <c r="K475" s="0" t="s">
        <v>144</v>
      </c>
      <c r="L475" s="0"/>
      <c r="M475" s="0" t="s">
        <v>2549</v>
      </c>
      <c r="N475" s="0" t="str">
        <f aca="false">RIGHT(M475,LEN(M475)-FIND(" ",M475))</f>
        <v>BRIGHTON AVE NE</v>
      </c>
      <c r="P475" s="0" t="s">
        <v>146</v>
      </c>
      <c r="Q475" s="0" t="s">
        <v>147</v>
      </c>
      <c r="R475" s="0" t="n">
        <v>44483</v>
      </c>
      <c r="AD475" s="0" t="s">
        <v>148</v>
      </c>
      <c r="AE475" s="0" t="s">
        <v>149</v>
      </c>
      <c r="AF475" s="0" t="s">
        <v>150</v>
      </c>
      <c r="AH475" s="0" t="n">
        <v>14</v>
      </c>
      <c r="AI475" s="0" t="n">
        <v>11</v>
      </c>
      <c r="AN475" s="0" t="s">
        <v>146</v>
      </c>
      <c r="AO475" s="0" t="s">
        <v>236</v>
      </c>
      <c r="AP475" s="0" t="s">
        <v>237</v>
      </c>
      <c r="AQ475" s="0" t="n">
        <v>9</v>
      </c>
      <c r="AR475" s="0" t="n">
        <v>64</v>
      </c>
      <c r="AS475" s="0" t="n">
        <v>32</v>
      </c>
      <c r="AU475" s="0" t="n">
        <f aca="false">COUNTA($BA$754:$EH$754)</f>
        <v>1</v>
      </c>
      <c r="AV475" s="0" t="n">
        <f aca="false">COUNTIF($BA$754:$EH$754,"D")</f>
        <v>0</v>
      </c>
      <c r="AW475" s="0" t="n">
        <f aca="false">COUNTIF($BA$754:$EH$754,"R")</f>
        <v>0</v>
      </c>
      <c r="AX475" s="0" t="n">
        <f aca="false"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>0</v>
      </c>
      <c r="AY475" s="0" t="n">
        <f aca="false">COUNTIF(DU475:EH475, "&lt;&gt;")</f>
        <v>0</v>
      </c>
      <c r="AZ475" s="0" t="n">
        <f aca="false">IF(EH475&lt;&gt;"",1,0)</f>
        <v>0</v>
      </c>
      <c r="BB475" s="0" t="s">
        <v>153</v>
      </c>
      <c r="BL475" s="0" t="s">
        <v>154</v>
      </c>
      <c r="BR475" s="0" t="s">
        <v>154</v>
      </c>
      <c r="BS475" s="0" t="s">
        <v>154</v>
      </c>
      <c r="BY475" s="0" t="s">
        <v>155</v>
      </c>
      <c r="CA475" s="0" t="s">
        <v>154</v>
      </c>
      <c r="CN475" s="0" t="s">
        <v>154</v>
      </c>
      <c r="CP475" s="0" t="s">
        <v>154</v>
      </c>
      <c r="CY475" s="0" t="s">
        <v>154</v>
      </c>
      <c r="DI475" s="0" t="s">
        <v>154</v>
      </c>
      <c r="DN475" s="0" t="s">
        <v>154</v>
      </c>
    </row>
    <row r="476" customFormat="false" ht="13.8" hidden="true" customHeight="false" outlineLevel="0" collapsed="false">
      <c r="A476" s="0" t="s">
        <v>2550</v>
      </c>
      <c r="B476" s="0" t="n">
        <v>78</v>
      </c>
      <c r="C476" s="0" t="n">
        <v>435739</v>
      </c>
      <c r="D476" s="0" t="s">
        <v>2551</v>
      </c>
      <c r="E476" s="0" t="s">
        <v>2552</v>
      </c>
      <c r="F476" s="0" t="str">
        <f aca="false">CONCATENATE(D476," ",LEFT(H476,4),"T=",AU476,"D=",AV476,"R=",AW476,"M=",AX476,"L=",AY476,"B=",AZ476)</f>
        <v>FRANKLIN T=1D=0R=0M=0L=0B=0</v>
      </c>
      <c r="G476" s="0" t="s">
        <v>202</v>
      </c>
      <c r="I476" s="0" t="s">
        <v>2553</v>
      </c>
      <c r="J476" s="0" t="s">
        <v>2554</v>
      </c>
      <c r="K476" s="0" t="s">
        <v>175</v>
      </c>
      <c r="L476" s="0"/>
      <c r="M476" s="0" t="s">
        <v>2555</v>
      </c>
      <c r="N476" s="0" t="str">
        <f aca="false">RIGHT(M476,LEN(M476)-FIND(" ",M476))</f>
        <v>BRIGHTON AVE NE</v>
      </c>
      <c r="P476" s="0" t="s">
        <v>146</v>
      </c>
      <c r="Q476" s="0" t="s">
        <v>147</v>
      </c>
      <c r="R476" s="0" t="n">
        <v>44483</v>
      </c>
      <c r="AD476" s="0" t="s">
        <v>148</v>
      </c>
      <c r="AE476" s="0" t="s">
        <v>149</v>
      </c>
      <c r="AF476" s="0" t="s">
        <v>150</v>
      </c>
      <c r="AH476" s="0" t="n">
        <v>14</v>
      </c>
      <c r="AI476" s="0" t="n">
        <v>11</v>
      </c>
      <c r="AN476" s="0" t="s">
        <v>146</v>
      </c>
      <c r="AO476" s="0" t="s">
        <v>236</v>
      </c>
      <c r="AP476" s="0" t="s">
        <v>237</v>
      </c>
      <c r="AQ476" s="0" t="n">
        <v>9</v>
      </c>
      <c r="AR476" s="0" t="n">
        <v>64</v>
      </c>
      <c r="AS476" s="0" t="n">
        <v>32</v>
      </c>
      <c r="AU476" s="0" t="n">
        <f aca="false">COUNTA($BA$1001:$EH$1001)</f>
        <v>1</v>
      </c>
      <c r="AV476" s="0" t="n">
        <f aca="false">COUNTIF($BA$1001:$EH$1001,"D")</f>
        <v>0</v>
      </c>
      <c r="AW476" s="0" t="n">
        <f aca="false">COUNTIF($BA$1001:$EH$1001,"R")</f>
        <v>0</v>
      </c>
      <c r="AX476" s="0" t="n">
        <f aca="false"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>0</v>
      </c>
      <c r="AY476" s="0" t="n">
        <f aca="false">COUNTIF(DU476:EH476, "&lt;&gt;")</f>
        <v>0</v>
      </c>
      <c r="AZ476" s="0" t="n">
        <f aca="false">IF(EH476&lt;&gt;"",1,0)</f>
        <v>0</v>
      </c>
      <c r="BB476" s="0" t="s">
        <v>153</v>
      </c>
      <c r="DI476" s="0" t="s">
        <v>154</v>
      </c>
    </row>
    <row r="477" customFormat="false" ht="13.8" hidden="true" customHeight="false" outlineLevel="0" collapsed="false">
      <c r="A477" s="0" t="s">
        <v>2556</v>
      </c>
      <c r="B477" s="0" t="n">
        <v>78</v>
      </c>
      <c r="C477" s="0" t="n">
        <v>401199</v>
      </c>
      <c r="D477" s="0" t="s">
        <v>2557</v>
      </c>
      <c r="E477" s="0" t="s">
        <v>1131</v>
      </c>
      <c r="F477" s="0" t="str">
        <f aca="false">CONCATENATE(D477," ",LEFT(H477,4),"T=",AU477,"D=",AV477,"R=",AW477,"M=",AX477,"L=",AY477,"B=",AZ477)</f>
        <v>MAGGIO T=3D=0R=0M=0L=1B=0</v>
      </c>
      <c r="G477" s="0" t="s">
        <v>981</v>
      </c>
      <c r="I477" s="0" t="s">
        <v>2558</v>
      </c>
      <c r="J477" s="0" t="s">
        <v>2559</v>
      </c>
      <c r="K477" s="0" t="s">
        <v>175</v>
      </c>
      <c r="L477" s="0"/>
      <c r="M477" s="0" t="s">
        <v>2560</v>
      </c>
      <c r="N477" s="0" t="str">
        <f aca="false">RIGHT(M477,LEN(M477)-FIND(" ",M477))</f>
        <v>BRIGHTON AVE NE</v>
      </c>
      <c r="P477" s="0" t="s">
        <v>146</v>
      </c>
      <c r="Q477" s="0" t="s">
        <v>147</v>
      </c>
      <c r="R477" s="0" t="n">
        <v>44483</v>
      </c>
      <c r="AD477" s="0" t="s">
        <v>148</v>
      </c>
      <c r="AE477" s="0" t="s">
        <v>149</v>
      </c>
      <c r="AF477" s="0" t="s">
        <v>150</v>
      </c>
      <c r="AH477" s="0" t="n">
        <v>14</v>
      </c>
      <c r="AI477" s="0" t="n">
        <v>11</v>
      </c>
      <c r="AN477" s="0" t="s">
        <v>146</v>
      </c>
      <c r="AO477" s="0" t="s">
        <v>236</v>
      </c>
      <c r="AP477" s="0" t="s">
        <v>237</v>
      </c>
      <c r="AQ477" s="0" t="n">
        <v>9</v>
      </c>
      <c r="AR477" s="0" t="n">
        <v>64</v>
      </c>
      <c r="AS477" s="0" t="n">
        <v>32</v>
      </c>
      <c r="AU477" s="0" t="n">
        <f aca="false">COUNTA($BA$326:$EH$326)</f>
        <v>3</v>
      </c>
      <c r="AV477" s="0" t="n">
        <f aca="false">COUNTIF($BA$326:$EH$326,"D")</f>
        <v>0</v>
      </c>
      <c r="AW477" s="0" t="n">
        <f aca="false">COUNTIF($BA$326:$EH$326,"R")</f>
        <v>0</v>
      </c>
      <c r="AX477" s="0" t="n">
        <f aca="false"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>0</v>
      </c>
      <c r="AY477" s="0" t="n">
        <f aca="false">COUNTIF(DU477:EH477, "&lt;&gt;")</f>
        <v>1</v>
      </c>
      <c r="AZ477" s="0" t="n">
        <f aca="false">IF(EH477&lt;&gt;"",1,0)</f>
        <v>0</v>
      </c>
      <c r="BB477" s="0" t="s">
        <v>153</v>
      </c>
      <c r="DC477" s="0" t="s">
        <v>154</v>
      </c>
      <c r="DG477" s="0" t="s">
        <v>514</v>
      </c>
      <c r="DI477" s="0" t="s">
        <v>154</v>
      </c>
      <c r="EF477" s="0" t="s">
        <v>154</v>
      </c>
    </row>
    <row r="478" customFormat="false" ht="13.8" hidden="true" customHeight="false" outlineLevel="0" collapsed="false">
      <c r="A478" s="0" t="s">
        <v>2561</v>
      </c>
      <c r="B478" s="0" t="n">
        <v>78</v>
      </c>
      <c r="C478" s="0" t="n">
        <v>486966</v>
      </c>
      <c r="D478" s="0" t="s">
        <v>633</v>
      </c>
      <c r="E478" s="0" t="s">
        <v>2562</v>
      </c>
      <c r="F478" s="0" t="str">
        <f aca="false">CONCATENATE(D478," ",LEFT(H478,4),"T=",AU478,"D=",AV478,"R=",AW478,"M=",AX478,"L=",AY478,"B=",AZ478)</f>
        <v>WALKER T=4D=1R=0M=0L=0B=0</v>
      </c>
      <c r="G478" s="0" t="s">
        <v>2563</v>
      </c>
      <c r="I478" s="0" t="s">
        <v>2564</v>
      </c>
      <c r="J478" s="0" t="s">
        <v>757</v>
      </c>
      <c r="K478" s="0" t="s">
        <v>175</v>
      </c>
      <c r="L478" s="0"/>
      <c r="M478" s="0" t="s">
        <v>2565</v>
      </c>
      <c r="N478" s="0" t="str">
        <f aca="false">RIGHT(M478,LEN(M478)-FIND(" ",M478))</f>
        <v>BRIGHTON AVE NE</v>
      </c>
      <c r="P478" s="0" t="s">
        <v>146</v>
      </c>
      <c r="Q478" s="0" t="s">
        <v>147</v>
      </c>
      <c r="R478" s="0" t="n">
        <v>44483</v>
      </c>
      <c r="AD478" s="0" t="s">
        <v>148</v>
      </c>
      <c r="AE478" s="0" t="s">
        <v>149</v>
      </c>
      <c r="AF478" s="0" t="s">
        <v>150</v>
      </c>
      <c r="AH478" s="0" t="n">
        <v>14</v>
      </c>
      <c r="AI478" s="0" t="n">
        <v>11</v>
      </c>
      <c r="AN478" s="0" t="s">
        <v>146</v>
      </c>
      <c r="AO478" s="0" t="s">
        <v>236</v>
      </c>
      <c r="AP478" s="0" t="s">
        <v>237</v>
      </c>
      <c r="AQ478" s="0" t="n">
        <v>9</v>
      </c>
      <c r="AR478" s="0" t="n">
        <v>64</v>
      </c>
      <c r="AS478" s="0" t="n">
        <v>32</v>
      </c>
      <c r="AU478" s="0" t="n">
        <f aca="false">COUNTA($BA$1041:$EH$1041)</f>
        <v>4</v>
      </c>
      <c r="AV478" s="0" t="n">
        <f aca="false">COUNTIF($BA$1041:$EH$1041,"D")</f>
        <v>1</v>
      </c>
      <c r="AW478" s="0" t="n">
        <f aca="false">COUNTIF($BA$1041:$EH$1041,"R")</f>
        <v>0</v>
      </c>
      <c r="AX478" s="0" t="n">
        <f aca="false"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>0</v>
      </c>
      <c r="AY478" s="0" t="n">
        <f aca="false">COUNTIF(DU478:EH478, "&lt;&gt;")</f>
        <v>0</v>
      </c>
      <c r="AZ478" s="0" t="n">
        <f aca="false">IF(EH478&lt;&gt;"",1,0)</f>
        <v>0</v>
      </c>
      <c r="BB478" s="0" t="s">
        <v>153</v>
      </c>
    </row>
    <row r="479" customFormat="false" ht="13.8" hidden="false" customHeight="false" outlineLevel="0" collapsed="false">
      <c r="A479" s="0" t="s">
        <v>2566</v>
      </c>
      <c r="B479" s="0" t="n">
        <v>78</v>
      </c>
      <c r="C479" s="0" t="n">
        <v>343248</v>
      </c>
      <c r="D479" s="0" t="s">
        <v>2567</v>
      </c>
      <c r="E479" s="0" t="s">
        <v>2568</v>
      </c>
      <c r="F479" s="0" t="str">
        <f aca="false">CONCATENATE(D479," ",LEFT(H479,4),"T=",AU479,"D=",AV479,"R=",AW479,"M=",AX479,"L=",AY479,"B=",AZ479)</f>
        <v>MILLIRON T=26D=7R=1M=0L=3B=0</v>
      </c>
      <c r="G479" s="0" t="s">
        <v>297</v>
      </c>
      <c r="I479" s="0" t="s">
        <v>2569</v>
      </c>
      <c r="J479" s="0" t="s">
        <v>395</v>
      </c>
      <c r="K479" s="0" t="s">
        <v>175</v>
      </c>
      <c r="M479" s="0" t="s">
        <v>2570</v>
      </c>
      <c r="N479" s="0" t="str">
        <f aca="false">RIGHT(M479,LEN(M479)-FIND(" ",M479))</f>
        <v>BUENA VISTA AVE NE</v>
      </c>
      <c r="P479" s="0" t="s">
        <v>146</v>
      </c>
      <c r="Q479" s="0" t="s">
        <v>147</v>
      </c>
      <c r="R479" s="0" t="n">
        <v>44483</v>
      </c>
      <c r="AD479" s="0" t="s">
        <v>148</v>
      </c>
      <c r="AE479" s="0" t="s">
        <v>149</v>
      </c>
      <c r="AF479" s="0" t="s">
        <v>150</v>
      </c>
      <c r="AH479" s="0" t="n">
        <v>14</v>
      </c>
      <c r="AI479" s="0" t="n">
        <v>11</v>
      </c>
      <c r="AN479" s="0" t="s">
        <v>146</v>
      </c>
      <c r="AO479" s="0" t="s">
        <v>236</v>
      </c>
      <c r="AP479" s="0" t="s">
        <v>237</v>
      </c>
      <c r="AQ479" s="0" t="n">
        <v>9</v>
      </c>
      <c r="AR479" s="0" t="n">
        <v>64</v>
      </c>
      <c r="AS479" s="0" t="n">
        <v>32</v>
      </c>
      <c r="AU479" s="0" t="n">
        <f aca="false">COUNTA($BA$268:$EH$268)</f>
        <v>26</v>
      </c>
      <c r="AV479" s="0" t="n">
        <f aca="false">COUNTIF($BA$268:$EH$268,"D")</f>
        <v>7</v>
      </c>
      <c r="AW479" s="0" t="n">
        <f aca="false">COUNTIF($BA$268:$EH$268,"R")</f>
        <v>1</v>
      </c>
      <c r="AX479" s="0" t="n">
        <f aca="false"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>0</v>
      </c>
      <c r="AY479" s="0" t="n">
        <f aca="false">COUNTIF(DU479:EH479, "&lt;&gt;")</f>
        <v>3</v>
      </c>
      <c r="AZ479" s="0" t="n">
        <f aca="false">IF(EH479&lt;&gt;"",1,0)</f>
        <v>0</v>
      </c>
      <c r="BB479" s="0" t="s">
        <v>153</v>
      </c>
      <c r="BS479" s="0" t="s">
        <v>154</v>
      </c>
      <c r="BY479" s="0" t="s">
        <v>155</v>
      </c>
      <c r="CA479" s="0" t="s">
        <v>154</v>
      </c>
      <c r="CP479" s="0" t="s">
        <v>154</v>
      </c>
      <c r="DC479" s="0" t="s">
        <v>154</v>
      </c>
      <c r="DI479" s="0" t="s">
        <v>154</v>
      </c>
      <c r="DN479" s="0" t="s">
        <v>154</v>
      </c>
      <c r="DX479" s="0" t="s">
        <v>154</v>
      </c>
      <c r="EA479" s="0" t="s">
        <v>154</v>
      </c>
      <c r="EF479" s="0" t="s">
        <v>154</v>
      </c>
    </row>
    <row r="480" customFormat="false" ht="13.8" hidden="false" customHeight="false" outlineLevel="0" collapsed="false">
      <c r="A480" s="0" t="s">
        <v>2571</v>
      </c>
      <c r="B480" s="0" t="n">
        <v>78</v>
      </c>
      <c r="C480" s="0" t="n">
        <v>305843</v>
      </c>
      <c r="D480" s="0" t="s">
        <v>465</v>
      </c>
      <c r="E480" s="0" t="s">
        <v>1117</v>
      </c>
      <c r="F480" s="0" t="str">
        <f aca="false">CONCATENATE(D480," ",LEFT(H480,4),"T=",AU480,"D=",AV480,"R=",AW480,"M=",AX480,"L=",AY480,"B=",AZ480)</f>
        <v>VANHORN T=1D=0R=0M=1L=5B=0</v>
      </c>
      <c r="I480" s="0" t="s">
        <v>2572</v>
      </c>
      <c r="J480" s="0" t="s">
        <v>2573</v>
      </c>
      <c r="K480" s="0" t="s">
        <v>175</v>
      </c>
      <c r="L480" s="1" t="s">
        <v>176</v>
      </c>
      <c r="M480" s="0" t="s">
        <v>2570</v>
      </c>
      <c r="N480" s="0" t="str">
        <f aca="false">RIGHT(M480,LEN(M480)-FIND(" ",M480))</f>
        <v>BUENA VISTA AVE NE</v>
      </c>
      <c r="P480" s="0" t="s">
        <v>146</v>
      </c>
      <c r="Q480" s="0" t="s">
        <v>147</v>
      </c>
      <c r="R480" s="0" t="n">
        <v>44483</v>
      </c>
      <c r="AD480" s="0" t="s">
        <v>148</v>
      </c>
      <c r="AE480" s="0" t="s">
        <v>149</v>
      </c>
      <c r="AF480" s="0" t="s">
        <v>150</v>
      </c>
      <c r="AH480" s="0" t="n">
        <v>14</v>
      </c>
      <c r="AI480" s="0" t="n">
        <v>11</v>
      </c>
      <c r="AN480" s="0" t="s">
        <v>146</v>
      </c>
      <c r="AO480" s="0" t="s">
        <v>236</v>
      </c>
      <c r="AP480" s="0" t="s">
        <v>237</v>
      </c>
      <c r="AQ480" s="0" t="n">
        <v>9</v>
      </c>
      <c r="AR480" s="0" t="n">
        <v>64</v>
      </c>
      <c r="AS480" s="0" t="n">
        <v>32</v>
      </c>
      <c r="AU480" s="0" t="n">
        <f aca="false">COUNTA($BA$519:$EH$519)</f>
        <v>1</v>
      </c>
      <c r="AV480" s="0" t="n">
        <f aca="false">COUNTIF($BA$519:$EH$519,"D")</f>
        <v>0</v>
      </c>
      <c r="AW480" s="0" t="n">
        <f aca="false">COUNTIF($BA$519:$EH$519,"R")</f>
        <v>0</v>
      </c>
      <c r="AX480" s="0" t="n">
        <f aca="false"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>1</v>
      </c>
      <c r="AY480" s="0" t="n">
        <f aca="false">COUNTIF(DU480:EH480, "&lt;&gt;")</f>
        <v>5</v>
      </c>
      <c r="AZ480" s="0" t="n">
        <f aca="false">IF(EH480&lt;&gt;"",1,0)</f>
        <v>0</v>
      </c>
      <c r="BB480" s="0" t="s">
        <v>153</v>
      </c>
      <c r="BG480" s="0" t="s">
        <v>154</v>
      </c>
      <c r="BH480" s="0" t="s">
        <v>154</v>
      </c>
      <c r="BJ480" s="0" t="s">
        <v>154</v>
      </c>
      <c r="BK480" s="0" t="s">
        <v>154</v>
      </c>
      <c r="BL480" s="0" t="s">
        <v>154</v>
      </c>
      <c r="BP480" s="0" t="s">
        <v>154</v>
      </c>
      <c r="BS480" s="0" t="s">
        <v>154</v>
      </c>
      <c r="BV480" s="0" t="s">
        <v>154</v>
      </c>
      <c r="BY480" s="0" t="s">
        <v>155</v>
      </c>
      <c r="CA480" s="0" t="s">
        <v>154</v>
      </c>
      <c r="CG480" s="0" t="s">
        <v>154</v>
      </c>
      <c r="CH480" s="0" t="s">
        <v>155</v>
      </c>
      <c r="CK480" s="0" t="s">
        <v>154</v>
      </c>
      <c r="CL480" s="0" t="s">
        <v>155</v>
      </c>
      <c r="CN480" s="0" t="s">
        <v>154</v>
      </c>
      <c r="CP480" s="0" t="s">
        <v>154</v>
      </c>
      <c r="CT480" s="0" t="s">
        <v>154</v>
      </c>
      <c r="CU480" s="0" t="s">
        <v>155</v>
      </c>
      <c r="CV480" s="0" t="s">
        <v>154</v>
      </c>
      <c r="CY480" s="0" t="s">
        <v>154</v>
      </c>
      <c r="CZ480" s="0" t="s">
        <v>155</v>
      </c>
      <c r="DC480" s="0" t="s">
        <v>154</v>
      </c>
      <c r="DF480" s="0" t="s">
        <v>154</v>
      </c>
      <c r="DG480" s="0" t="s">
        <v>155</v>
      </c>
      <c r="DI480" s="0" t="s">
        <v>154</v>
      </c>
      <c r="DL480" s="0" t="s">
        <v>154</v>
      </c>
      <c r="DN480" s="0" t="s">
        <v>154</v>
      </c>
      <c r="DU480" s="0" t="s">
        <v>154</v>
      </c>
      <c r="DX480" s="0" t="s">
        <v>154</v>
      </c>
      <c r="EA480" s="0" t="s">
        <v>154</v>
      </c>
      <c r="ED480" s="0" t="s">
        <v>176</v>
      </c>
      <c r="EF480" s="0" t="s">
        <v>154</v>
      </c>
    </row>
    <row r="481" customFormat="false" ht="13.8" hidden="true" customHeight="false" outlineLevel="0" collapsed="false">
      <c r="A481" s="0" t="s">
        <v>2574</v>
      </c>
      <c r="B481" s="0" t="n">
        <v>78</v>
      </c>
      <c r="C481" s="0" t="n">
        <v>424222</v>
      </c>
      <c r="D481" s="0" t="s">
        <v>2575</v>
      </c>
      <c r="E481" s="0" t="s">
        <v>2576</v>
      </c>
      <c r="F481" s="0" t="str">
        <f aca="false">CONCATENATE(D481," ",LEFT(H481,4),"T=",AU481,"D=",AV481,"R=",AW481,"M=",AX481,"L=",AY481,"B=",AZ481)</f>
        <v>FLOWERS T=2D=0R=0M=0L=0B=0</v>
      </c>
      <c r="G481" s="0" t="s">
        <v>2577</v>
      </c>
      <c r="I481" s="0" t="s">
        <v>2578</v>
      </c>
      <c r="J481" s="0" t="s">
        <v>2579</v>
      </c>
      <c r="K481" s="0" t="s">
        <v>144</v>
      </c>
      <c r="L481" s="0"/>
      <c r="M481" s="0" t="s">
        <v>2580</v>
      </c>
      <c r="N481" s="0" t="str">
        <f aca="false">RIGHT(M481,LEN(M481)-FIND(" ",M481))</f>
        <v>BUENA VISTA AVE NE</v>
      </c>
      <c r="P481" s="0" t="s">
        <v>146</v>
      </c>
      <c r="Q481" s="0" t="s">
        <v>147</v>
      </c>
      <c r="R481" s="0" t="n">
        <v>44483</v>
      </c>
      <c r="AD481" s="0" t="s">
        <v>148</v>
      </c>
      <c r="AE481" s="0" t="s">
        <v>149</v>
      </c>
      <c r="AF481" s="0" t="s">
        <v>150</v>
      </c>
      <c r="AH481" s="0" t="n">
        <v>14</v>
      </c>
      <c r="AI481" s="0" t="n">
        <v>11</v>
      </c>
      <c r="AN481" s="0" t="s">
        <v>146</v>
      </c>
      <c r="AO481" s="0" t="s">
        <v>236</v>
      </c>
      <c r="AP481" s="0" t="s">
        <v>237</v>
      </c>
      <c r="AQ481" s="0" t="n">
        <v>9</v>
      </c>
      <c r="AR481" s="0" t="n">
        <v>64</v>
      </c>
      <c r="AS481" s="0" t="n">
        <v>32</v>
      </c>
      <c r="AU481" s="0" t="n">
        <f aca="false">COUNTA($BA$922:$EH$922)</f>
        <v>2</v>
      </c>
      <c r="AV481" s="0" t="n">
        <f aca="false">COUNTIF($BA$922:$EH$922,"D")</f>
        <v>0</v>
      </c>
      <c r="AW481" s="0" t="n">
        <f aca="false">COUNTIF($BA$922:$EH$922,"R")</f>
        <v>0</v>
      </c>
      <c r="AX481" s="0" t="n">
        <f aca="false"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>0</v>
      </c>
      <c r="AY481" s="0" t="n">
        <f aca="false">COUNTIF(DU481:EH481, "&lt;&gt;")</f>
        <v>0</v>
      </c>
      <c r="AZ481" s="0" t="n">
        <f aca="false">IF(EH481&lt;&gt;"",1,0)</f>
        <v>0</v>
      </c>
      <c r="BB481" s="0" t="s">
        <v>153</v>
      </c>
      <c r="DI481" s="0" t="s">
        <v>154</v>
      </c>
      <c r="DL481" s="0" t="s">
        <v>154</v>
      </c>
      <c r="DN481" s="0" t="s">
        <v>154</v>
      </c>
    </row>
    <row r="482" customFormat="false" ht="13.8" hidden="false" customHeight="false" outlineLevel="0" collapsed="false">
      <c r="A482" s="0" t="s">
        <v>2581</v>
      </c>
      <c r="B482" s="0" t="n">
        <v>78</v>
      </c>
      <c r="C482" s="0" t="n">
        <v>312098</v>
      </c>
      <c r="D482" s="0" t="s">
        <v>2575</v>
      </c>
      <c r="E482" s="0" t="s">
        <v>1693</v>
      </c>
      <c r="F482" s="0" t="str">
        <f aca="false">CONCATENATE(D482," ",LEFT(H482,4),"T=",AU482,"D=",AV482,"R=",AW482,"M=",AX482,"L=",AY482,"B=",AZ482)</f>
        <v>FLOWERS T=1D=0R=0M=0L=3B=0</v>
      </c>
      <c r="G482" s="0" t="s">
        <v>429</v>
      </c>
      <c r="I482" s="0" t="s">
        <v>2582</v>
      </c>
      <c r="J482" s="0" t="s">
        <v>2583</v>
      </c>
      <c r="K482" s="0" t="s">
        <v>175</v>
      </c>
      <c r="M482" s="0" t="s">
        <v>2580</v>
      </c>
      <c r="N482" s="0" t="str">
        <f aca="false">RIGHT(M482,LEN(M482)-FIND(" ",M482))</f>
        <v>BUENA VISTA AVE NE</v>
      </c>
      <c r="P482" s="0" t="s">
        <v>146</v>
      </c>
      <c r="Q482" s="0" t="s">
        <v>147</v>
      </c>
      <c r="R482" s="0" t="n">
        <v>44483</v>
      </c>
      <c r="AD482" s="0" t="s">
        <v>148</v>
      </c>
      <c r="AE482" s="0" t="s">
        <v>149</v>
      </c>
      <c r="AF482" s="0" t="s">
        <v>150</v>
      </c>
      <c r="AH482" s="0" t="n">
        <v>14</v>
      </c>
      <c r="AI482" s="0" t="n">
        <v>11</v>
      </c>
      <c r="AN482" s="0" t="s">
        <v>146</v>
      </c>
      <c r="AO482" s="0" t="s">
        <v>236</v>
      </c>
      <c r="AP482" s="0" t="s">
        <v>237</v>
      </c>
      <c r="AQ482" s="0" t="n">
        <v>9</v>
      </c>
      <c r="AR482" s="0" t="n">
        <v>64</v>
      </c>
      <c r="AS482" s="0" t="n">
        <v>32</v>
      </c>
      <c r="AU482" s="0" t="n">
        <f aca="false">COUNTA($BA$945:$EH$945)</f>
        <v>1</v>
      </c>
      <c r="AV482" s="0" t="n">
        <f aca="false">COUNTIF($BA$945:$EH$945,"D")</f>
        <v>0</v>
      </c>
      <c r="AW482" s="0" t="n">
        <f aca="false">COUNTIF($BA$945:$EH$945,"R")</f>
        <v>0</v>
      </c>
      <c r="AX482" s="0" t="n">
        <f aca="false"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>0</v>
      </c>
      <c r="AY482" s="0" t="n">
        <f aca="false">COUNTIF(DU482:EH482, "&lt;&gt;")</f>
        <v>3</v>
      </c>
      <c r="AZ482" s="0" t="n">
        <f aca="false">IF(EH482&lt;&gt;"",1,0)</f>
        <v>0</v>
      </c>
      <c r="BB482" s="0" t="s">
        <v>153</v>
      </c>
      <c r="BJ482" s="0" t="s">
        <v>154</v>
      </c>
      <c r="BL482" s="0" t="s">
        <v>154</v>
      </c>
      <c r="BP482" s="0" t="s">
        <v>154</v>
      </c>
      <c r="BR482" s="0" t="s">
        <v>154</v>
      </c>
      <c r="BS482" s="0" t="s">
        <v>154</v>
      </c>
      <c r="BY482" s="0" t="s">
        <v>155</v>
      </c>
      <c r="CA482" s="0" t="s">
        <v>154</v>
      </c>
      <c r="CG482" s="0" t="s">
        <v>154</v>
      </c>
      <c r="CP482" s="0" t="s">
        <v>154</v>
      </c>
      <c r="CZ482" s="0" t="s">
        <v>155</v>
      </c>
      <c r="DC482" s="0" t="s">
        <v>154</v>
      </c>
      <c r="DF482" s="0" t="s">
        <v>154</v>
      </c>
      <c r="DG482" s="0" t="s">
        <v>155</v>
      </c>
      <c r="DI482" s="0" t="s">
        <v>154</v>
      </c>
      <c r="DL482" s="0" t="s">
        <v>154</v>
      </c>
      <c r="DN482" s="0" t="s">
        <v>154</v>
      </c>
      <c r="DX482" s="0" t="s">
        <v>154</v>
      </c>
      <c r="EA482" s="0" t="s">
        <v>154</v>
      </c>
      <c r="EF482" s="0" t="s">
        <v>154</v>
      </c>
    </row>
    <row r="483" customFormat="false" ht="13.8" hidden="true" customHeight="false" outlineLevel="0" collapsed="false">
      <c r="A483" s="0" t="s">
        <v>2584</v>
      </c>
      <c r="B483" s="0" t="n">
        <v>78</v>
      </c>
      <c r="C483" s="0" t="n">
        <v>470704</v>
      </c>
      <c r="D483" s="0" t="s">
        <v>2585</v>
      </c>
      <c r="E483" s="0" t="s">
        <v>2586</v>
      </c>
      <c r="F483" s="0" t="str">
        <f aca="false">CONCATENATE(D483," ",LEFT(H483,4),"T=",AU483,"D=",AV483,"R=",AW483,"M=",AX483,"L=",AY483,"B=",AZ483)</f>
        <v>BEANE T=1D=0R=0M=0L=0B=0</v>
      </c>
      <c r="G483" s="0" t="s">
        <v>2587</v>
      </c>
      <c r="I483" s="0" t="s">
        <v>2588</v>
      </c>
      <c r="J483" s="0" t="s">
        <v>413</v>
      </c>
      <c r="K483" s="0" t="s">
        <v>175</v>
      </c>
      <c r="L483" s="0"/>
      <c r="M483" s="0" t="s">
        <v>2580</v>
      </c>
      <c r="N483" s="0" t="str">
        <f aca="false">RIGHT(M483,LEN(M483)-FIND(" ",M483))</f>
        <v>BUENA VISTA AVE NE</v>
      </c>
      <c r="P483" s="0" t="s">
        <v>146</v>
      </c>
      <c r="Q483" s="0" t="s">
        <v>147</v>
      </c>
      <c r="R483" s="0" t="n">
        <v>44483</v>
      </c>
      <c r="AD483" s="0" t="s">
        <v>148</v>
      </c>
      <c r="AE483" s="0" t="s">
        <v>149</v>
      </c>
      <c r="AF483" s="0" t="s">
        <v>150</v>
      </c>
      <c r="AH483" s="0" t="n">
        <v>14</v>
      </c>
      <c r="AI483" s="0" t="n">
        <v>11</v>
      </c>
      <c r="AN483" s="0" t="s">
        <v>146</v>
      </c>
      <c r="AO483" s="0" t="s">
        <v>236</v>
      </c>
      <c r="AP483" s="0" t="s">
        <v>237</v>
      </c>
      <c r="AQ483" s="0" t="n">
        <v>9</v>
      </c>
      <c r="AR483" s="0" t="n">
        <v>64</v>
      </c>
      <c r="AS483" s="0" t="n">
        <v>32</v>
      </c>
      <c r="AU483" s="0" t="n">
        <f aca="false">COUNTA($BA$1033:$EH$1033)</f>
        <v>1</v>
      </c>
      <c r="AV483" s="0" t="n">
        <f aca="false">COUNTIF($BA$1033:$EH$1033,"D")</f>
        <v>0</v>
      </c>
      <c r="AW483" s="0" t="n">
        <f aca="false">COUNTIF($BA$1033:$EH$1033,"R")</f>
        <v>0</v>
      </c>
      <c r="AX483" s="0" t="n">
        <f aca="false"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>0</v>
      </c>
      <c r="AY483" s="0" t="n">
        <f aca="false">COUNTIF(DU483:EH483, "&lt;&gt;")</f>
        <v>0</v>
      </c>
      <c r="AZ483" s="0" t="n">
        <f aca="false">IF(EH483&lt;&gt;"",1,0)</f>
        <v>0</v>
      </c>
      <c r="BB483" s="0" t="s">
        <v>153</v>
      </c>
    </row>
    <row r="484" customFormat="false" ht="13.8" hidden="true" customHeight="false" outlineLevel="0" collapsed="false">
      <c r="A484" s="0" t="s">
        <v>2589</v>
      </c>
      <c r="B484" s="0" t="n">
        <v>78</v>
      </c>
      <c r="C484" s="0" t="n">
        <v>453891</v>
      </c>
      <c r="D484" s="0" t="s">
        <v>2590</v>
      </c>
      <c r="E484" s="0" t="s">
        <v>2591</v>
      </c>
      <c r="F484" s="0" t="str">
        <f aca="false">CONCATENATE(D484," ",LEFT(H484,4),"T=",AU484,"D=",AV484,"R=",AW484,"M=",AX484,"L=",AY484,"B=",AZ484)</f>
        <v>COMPSTON T=18D=3R=0M=0L=0B=0</v>
      </c>
      <c r="I484" s="0" t="s">
        <v>2592</v>
      </c>
      <c r="J484" s="0" t="s">
        <v>1251</v>
      </c>
      <c r="K484" s="0" t="s">
        <v>144</v>
      </c>
      <c r="L484" s="0"/>
      <c r="M484" s="0" t="s">
        <v>2593</v>
      </c>
      <c r="N484" s="0" t="str">
        <f aca="false">RIGHT(M484,LEN(M484)-FIND(" ",M484))</f>
        <v>BUENA VISTA AVE NE</v>
      </c>
      <c r="P484" s="0" t="s">
        <v>146</v>
      </c>
      <c r="Q484" s="0" t="s">
        <v>147</v>
      </c>
      <c r="R484" s="0" t="n">
        <v>44483</v>
      </c>
      <c r="AD484" s="0" t="s">
        <v>148</v>
      </c>
      <c r="AE484" s="0" t="s">
        <v>149</v>
      </c>
      <c r="AF484" s="0" t="s">
        <v>150</v>
      </c>
      <c r="AH484" s="0" t="n">
        <v>14</v>
      </c>
      <c r="AI484" s="0" t="n">
        <v>11</v>
      </c>
      <c r="AN484" s="0" t="s">
        <v>146</v>
      </c>
      <c r="AO484" s="0" t="s">
        <v>236</v>
      </c>
      <c r="AP484" s="0" t="s">
        <v>237</v>
      </c>
      <c r="AQ484" s="0" t="n">
        <v>9</v>
      </c>
      <c r="AR484" s="0" t="n">
        <v>64</v>
      </c>
      <c r="AS484" s="0" t="n">
        <v>32</v>
      </c>
      <c r="AU484" s="0" t="n">
        <f aca="false">COUNTA($BA$173:$EH$173)</f>
        <v>18</v>
      </c>
      <c r="AV484" s="0" t="n">
        <f aca="false">COUNTIF($BA$173:$EH$173,"D")</f>
        <v>3</v>
      </c>
      <c r="AW484" s="0" t="n">
        <f aca="false">COUNTIF($BA$173:$EH$173,"R")</f>
        <v>0</v>
      </c>
      <c r="AX484" s="0" t="n">
        <f aca="false"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>0</v>
      </c>
      <c r="AY484" s="0" t="n">
        <f aca="false">COUNTIF(DU484:EH484, "&lt;&gt;")</f>
        <v>0</v>
      </c>
      <c r="AZ484" s="0" t="n">
        <f aca="false">IF(EH484&lt;&gt;"",1,0)</f>
        <v>0</v>
      </c>
      <c r="BB484" s="0" t="s">
        <v>153</v>
      </c>
      <c r="CA484" s="0" t="s">
        <v>154</v>
      </c>
    </row>
    <row r="485" customFormat="false" ht="13.8" hidden="false" customHeight="false" outlineLevel="0" collapsed="false">
      <c r="A485" s="0" t="s">
        <v>2594</v>
      </c>
      <c r="B485" s="0" t="n">
        <v>78</v>
      </c>
      <c r="C485" s="0" t="n">
        <v>325203</v>
      </c>
      <c r="D485" s="0" t="s">
        <v>2590</v>
      </c>
      <c r="E485" s="0" t="s">
        <v>2595</v>
      </c>
      <c r="F485" s="0" t="str">
        <f aca="false">CONCATENATE(D485," ",LEFT(H485,4),"T=",AU485,"D=",AV485,"R=",AW485,"M=",AX485,"L=",AY485,"B=",AZ485)</f>
        <v>COMPSTON T=51D=18R=0M=1L=3B=0</v>
      </c>
      <c r="G485" s="0" t="s">
        <v>188</v>
      </c>
      <c r="I485" s="0" t="s">
        <v>2596</v>
      </c>
      <c r="J485" s="0" t="s">
        <v>521</v>
      </c>
      <c r="K485" s="0" t="s">
        <v>175</v>
      </c>
      <c r="L485" s="1" t="s">
        <v>176</v>
      </c>
      <c r="M485" s="0" t="s">
        <v>2593</v>
      </c>
      <c r="N485" s="0" t="str">
        <f aca="false">RIGHT(M485,LEN(M485)-FIND(" ",M485))</f>
        <v>BUENA VISTA AVE NE</v>
      </c>
      <c r="P485" s="0" t="s">
        <v>146</v>
      </c>
      <c r="Q485" s="0" t="s">
        <v>147</v>
      </c>
      <c r="R485" s="0" t="n">
        <v>44483</v>
      </c>
      <c r="AD485" s="0" t="s">
        <v>148</v>
      </c>
      <c r="AE485" s="0" t="s">
        <v>149</v>
      </c>
      <c r="AF485" s="0" t="s">
        <v>150</v>
      </c>
      <c r="AH485" s="0" t="n">
        <v>14</v>
      </c>
      <c r="AI485" s="0" t="n">
        <v>11</v>
      </c>
      <c r="AN485" s="0" t="s">
        <v>146</v>
      </c>
      <c r="AO485" s="0" t="s">
        <v>236</v>
      </c>
      <c r="AP485" s="0" t="s">
        <v>237</v>
      </c>
      <c r="AQ485" s="0" t="n">
        <v>9</v>
      </c>
      <c r="AR485" s="0" t="n">
        <v>64</v>
      </c>
      <c r="AS485" s="0" t="n">
        <v>32</v>
      </c>
      <c r="AU485" s="0" t="n">
        <f aca="false">COUNTA($BA$635:$EH$635)</f>
        <v>51</v>
      </c>
      <c r="AV485" s="0" t="n">
        <f aca="false">COUNTIF($BA$635:$EH$635,"D")</f>
        <v>18</v>
      </c>
      <c r="AW485" s="0" t="n">
        <f aca="false">COUNTIF($BA$635:$EH$635,"R")</f>
        <v>0</v>
      </c>
      <c r="AX485" s="0" t="n">
        <f aca="false"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>1</v>
      </c>
      <c r="AY485" s="0" t="n">
        <f aca="false">COUNTIF(DU485:EH485, "&lt;&gt;")</f>
        <v>3</v>
      </c>
      <c r="AZ485" s="0" t="n">
        <f aca="false">IF(EH485&lt;&gt;"",1,0)</f>
        <v>0</v>
      </c>
      <c r="BB485" s="0" t="s">
        <v>153</v>
      </c>
      <c r="CA485" s="0" t="s">
        <v>154</v>
      </c>
      <c r="CP485" s="0" t="s">
        <v>154</v>
      </c>
      <c r="CY485" s="0" t="s">
        <v>154</v>
      </c>
      <c r="CZ485" s="0" t="s">
        <v>176</v>
      </c>
      <c r="DC485" s="0" t="s">
        <v>154</v>
      </c>
      <c r="DF485" s="0" t="s">
        <v>154</v>
      </c>
      <c r="DG485" s="0" t="s">
        <v>176</v>
      </c>
      <c r="DI485" s="0" t="s">
        <v>154</v>
      </c>
      <c r="DJ485" s="0" t="s">
        <v>155</v>
      </c>
      <c r="DL485" s="0" t="s">
        <v>154</v>
      </c>
      <c r="DN485" s="0" t="s">
        <v>154</v>
      </c>
      <c r="DR485" s="0" t="s">
        <v>154</v>
      </c>
      <c r="DX485" s="0" t="s">
        <v>154</v>
      </c>
      <c r="ED485" s="0" t="s">
        <v>176</v>
      </c>
      <c r="EF485" s="0" t="s">
        <v>154</v>
      </c>
    </row>
    <row r="486" customFormat="false" ht="13.8" hidden="true" customHeight="false" outlineLevel="0" collapsed="false">
      <c r="A486" s="0" t="s">
        <v>2597</v>
      </c>
      <c r="B486" s="0" t="n">
        <v>78</v>
      </c>
      <c r="C486" s="0" t="n">
        <v>435059</v>
      </c>
      <c r="D486" s="0" t="s">
        <v>830</v>
      </c>
      <c r="E486" s="0" t="s">
        <v>2598</v>
      </c>
      <c r="F486" s="0" t="str">
        <f aca="false">CONCATENATE(D486," ",LEFT(H486,4),"T=",AU486,"D=",AV486,"R=",AW486,"M=",AX486,"L=",AY486,"B=",AZ486)</f>
        <v>BRANTLEY T=1D=0R=0M=0L=0B=0</v>
      </c>
      <c r="G486" s="0" t="s">
        <v>2599</v>
      </c>
      <c r="I486" s="0" t="s">
        <v>2600</v>
      </c>
      <c r="J486" s="0" t="s">
        <v>2601</v>
      </c>
      <c r="K486" s="0" t="s">
        <v>175</v>
      </c>
      <c r="L486" s="0"/>
      <c r="M486" s="0" t="s">
        <v>2602</v>
      </c>
      <c r="N486" s="0" t="str">
        <f aca="false">RIGHT(M486,LEN(M486)-FIND(" ",M486))</f>
        <v>BUENA VISTA AVE NE</v>
      </c>
      <c r="P486" s="0" t="s">
        <v>146</v>
      </c>
      <c r="Q486" s="0" t="s">
        <v>147</v>
      </c>
      <c r="R486" s="0" t="n">
        <v>44483</v>
      </c>
      <c r="AD486" s="0" t="s">
        <v>148</v>
      </c>
      <c r="AE486" s="0" t="s">
        <v>149</v>
      </c>
      <c r="AF486" s="0" t="s">
        <v>150</v>
      </c>
      <c r="AH486" s="0" t="n">
        <v>14</v>
      </c>
      <c r="AI486" s="0" t="n">
        <v>11</v>
      </c>
      <c r="AN486" s="0" t="s">
        <v>146</v>
      </c>
      <c r="AO486" s="0" t="s">
        <v>236</v>
      </c>
      <c r="AP486" s="0" t="s">
        <v>237</v>
      </c>
      <c r="AQ486" s="0" t="n">
        <v>9</v>
      </c>
      <c r="AR486" s="0" t="n">
        <v>64</v>
      </c>
      <c r="AS486" s="0" t="n">
        <v>32</v>
      </c>
      <c r="AU486" s="0" t="n">
        <f aca="false">COUNTA($BA$70:$EH$70)</f>
        <v>1</v>
      </c>
      <c r="AV486" s="0" t="n">
        <f aca="false">COUNTIF($BA$70:$EH$70,"D")</f>
        <v>0</v>
      </c>
      <c r="AW486" s="0" t="n">
        <f aca="false">COUNTIF($BA$70:$EH$70,"R")</f>
        <v>0</v>
      </c>
      <c r="AX486" s="0" t="n">
        <f aca="false"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>0</v>
      </c>
      <c r="AY486" s="0" t="n">
        <f aca="false">COUNTIF(DU486:EH486, "&lt;&gt;")</f>
        <v>0</v>
      </c>
      <c r="AZ486" s="0" t="n">
        <f aca="false">IF(EH486&lt;&gt;"",1,0)</f>
        <v>0</v>
      </c>
      <c r="BB486" s="0" t="s">
        <v>153</v>
      </c>
    </row>
    <row r="487" customFormat="false" ht="13.8" hidden="true" customHeight="false" outlineLevel="0" collapsed="false">
      <c r="A487" s="0" t="s">
        <v>2603</v>
      </c>
      <c r="B487" s="0" t="n">
        <v>78</v>
      </c>
      <c r="C487" s="0" t="n">
        <v>458014</v>
      </c>
      <c r="D487" s="0" t="s">
        <v>2604</v>
      </c>
      <c r="E487" s="0" t="s">
        <v>619</v>
      </c>
      <c r="F487" s="0" t="str">
        <f aca="false">CONCATENATE(D487," ",LEFT(H487,4),"T=",AU487,"D=",AV487,"R=",AW487,"M=",AX487,"L=",AY487,"B=",AZ487)</f>
        <v>HASTINGS T=40D=1R=7M=0L=0B=0</v>
      </c>
      <c r="G487" s="0" t="s">
        <v>750</v>
      </c>
      <c r="I487" s="0" t="s">
        <v>2605</v>
      </c>
      <c r="J487" s="0" t="s">
        <v>2606</v>
      </c>
      <c r="K487" s="0" t="s">
        <v>144</v>
      </c>
      <c r="L487" s="0"/>
      <c r="M487" s="0" t="s">
        <v>2602</v>
      </c>
      <c r="N487" s="0" t="str">
        <f aca="false">RIGHT(M487,LEN(M487)-FIND(" ",M487))</f>
        <v>BUENA VISTA AVE NE</v>
      </c>
      <c r="P487" s="0" t="s">
        <v>146</v>
      </c>
      <c r="Q487" s="0" t="s">
        <v>147</v>
      </c>
      <c r="R487" s="0" t="n">
        <v>44483</v>
      </c>
      <c r="AD487" s="0" t="s">
        <v>148</v>
      </c>
      <c r="AE487" s="0" t="s">
        <v>149</v>
      </c>
      <c r="AF487" s="0" t="s">
        <v>150</v>
      </c>
      <c r="AH487" s="0" t="n">
        <v>14</v>
      </c>
      <c r="AI487" s="0" t="n">
        <v>11</v>
      </c>
      <c r="AN487" s="0" t="s">
        <v>146</v>
      </c>
      <c r="AO487" s="0" t="s">
        <v>236</v>
      </c>
      <c r="AP487" s="0" t="s">
        <v>237</v>
      </c>
      <c r="AQ487" s="0" t="n">
        <v>9</v>
      </c>
      <c r="AR487" s="0" t="n">
        <v>64</v>
      </c>
      <c r="AS487" s="0" t="n">
        <v>32</v>
      </c>
      <c r="AU487" s="0" t="n">
        <f aca="false">COUNTA($BA$539:$EH$539)</f>
        <v>40</v>
      </c>
      <c r="AV487" s="0" t="n">
        <f aca="false">COUNTIF($BA$539:$EH$539,"D")</f>
        <v>1</v>
      </c>
      <c r="AW487" s="0" t="n">
        <f aca="false">COUNTIF($BA$539:$EH$539,"R")</f>
        <v>7</v>
      </c>
      <c r="AX487" s="0" t="n">
        <f aca="false"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>0</v>
      </c>
      <c r="AY487" s="0" t="n">
        <f aca="false">COUNTIF(DU487:EH487, "&lt;&gt;")</f>
        <v>0</v>
      </c>
      <c r="AZ487" s="0" t="n">
        <f aca="false">IF(EH487&lt;&gt;"",1,0)</f>
        <v>0</v>
      </c>
      <c r="BB487" s="0" t="s">
        <v>153</v>
      </c>
    </row>
    <row r="488" customFormat="false" ht="13.8" hidden="true" customHeight="false" outlineLevel="0" collapsed="false">
      <c r="A488" s="0" t="s">
        <v>2607</v>
      </c>
      <c r="B488" s="0" t="n">
        <v>78</v>
      </c>
      <c r="C488" s="0" t="n">
        <v>368645</v>
      </c>
      <c r="D488" s="0" t="s">
        <v>2604</v>
      </c>
      <c r="E488" s="0" t="s">
        <v>1221</v>
      </c>
      <c r="F488" s="0" t="str">
        <f aca="false">CONCATENATE(D488," ",LEFT(H488,4),"T=",AU488,"D=",AV488,"R=",AW488,"M=",AX488,"L=",AY488,"B=",AZ488)</f>
        <v>HASTINGS T=3D=0R=0M=0L=0B=0</v>
      </c>
      <c r="G488" s="0" t="s">
        <v>159</v>
      </c>
      <c r="I488" s="0" t="s">
        <v>2608</v>
      </c>
      <c r="J488" s="0" t="s">
        <v>2609</v>
      </c>
      <c r="K488" s="0" t="s">
        <v>144</v>
      </c>
      <c r="L488" s="0"/>
      <c r="M488" s="0" t="s">
        <v>2602</v>
      </c>
      <c r="N488" s="0" t="str">
        <f aca="false">RIGHT(M488,LEN(M488)-FIND(" ",M488))</f>
        <v>BUENA VISTA AVE NE</v>
      </c>
      <c r="P488" s="0" t="s">
        <v>146</v>
      </c>
      <c r="Q488" s="0" t="s">
        <v>147</v>
      </c>
      <c r="R488" s="0" t="n">
        <v>44483</v>
      </c>
      <c r="AD488" s="0" t="s">
        <v>148</v>
      </c>
      <c r="AE488" s="0" t="s">
        <v>149</v>
      </c>
      <c r="AF488" s="0" t="s">
        <v>150</v>
      </c>
      <c r="AH488" s="0" t="n">
        <v>14</v>
      </c>
      <c r="AI488" s="0" t="n">
        <v>11</v>
      </c>
      <c r="AN488" s="0" t="s">
        <v>146</v>
      </c>
      <c r="AO488" s="0" t="s">
        <v>236</v>
      </c>
      <c r="AP488" s="0" t="s">
        <v>237</v>
      </c>
      <c r="AQ488" s="0" t="n">
        <v>9</v>
      </c>
      <c r="AR488" s="0" t="n">
        <v>64</v>
      </c>
      <c r="AS488" s="0" t="n">
        <v>32</v>
      </c>
      <c r="AU488" s="0" t="n">
        <f aca="false">COUNTA($BA$554:$EH$554)</f>
        <v>3</v>
      </c>
      <c r="AV488" s="0" t="n">
        <f aca="false">COUNTIF($BA$554:$EH$554,"D")</f>
        <v>0</v>
      </c>
      <c r="AW488" s="0" t="n">
        <f aca="false">COUNTIF($BA$554:$EH$554,"R")</f>
        <v>0</v>
      </c>
      <c r="AX488" s="0" t="n">
        <f aca="false"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>0</v>
      </c>
      <c r="AY488" s="0" t="n">
        <f aca="false">COUNTIF(DU488:EH488, "&lt;&gt;")</f>
        <v>0</v>
      </c>
      <c r="AZ488" s="0" t="n">
        <f aca="false">IF(EH488&lt;&gt;"",1,0)</f>
        <v>0</v>
      </c>
      <c r="BB488" s="0" t="s">
        <v>153</v>
      </c>
    </row>
    <row r="489" customFormat="false" ht="13.8" hidden="true" customHeight="false" outlineLevel="0" collapsed="false">
      <c r="A489" s="0" t="s">
        <v>2610</v>
      </c>
      <c r="B489" s="0" t="n">
        <v>78</v>
      </c>
      <c r="C489" s="0" t="n">
        <v>381363</v>
      </c>
      <c r="D489" s="0" t="s">
        <v>2611</v>
      </c>
      <c r="E489" s="0" t="s">
        <v>1744</v>
      </c>
      <c r="F489" s="0" t="str">
        <f aca="false">CONCATENATE(D489," ",LEFT(H489,4),"T=",AU489,"D=",AV489,"R=",AW489,"M=",AX489,"L=",AY489,"B=",AZ489)</f>
        <v>LEVELLE T=13D=1R=0M=0L=0B=0</v>
      </c>
      <c r="G489" s="0" t="s">
        <v>159</v>
      </c>
      <c r="I489" s="0" t="s">
        <v>2612</v>
      </c>
      <c r="J489" s="0" t="s">
        <v>2613</v>
      </c>
      <c r="K489" s="0" t="s">
        <v>144</v>
      </c>
      <c r="L489" s="0"/>
      <c r="M489" s="0" t="s">
        <v>2614</v>
      </c>
      <c r="N489" s="0" t="str">
        <f aca="false">RIGHT(M489,LEN(M489)-FIND(" ",M489))</f>
        <v>BUENA VISTA AVE NE</v>
      </c>
      <c r="P489" s="0" t="s">
        <v>146</v>
      </c>
      <c r="Q489" s="0" t="s">
        <v>147</v>
      </c>
      <c r="R489" s="0" t="n">
        <v>44483</v>
      </c>
      <c r="AD489" s="0" t="s">
        <v>148</v>
      </c>
      <c r="AE489" s="0" t="s">
        <v>149</v>
      </c>
      <c r="AF489" s="0" t="s">
        <v>150</v>
      </c>
      <c r="AH489" s="0" t="n">
        <v>14</v>
      </c>
      <c r="AI489" s="0" t="n">
        <v>11</v>
      </c>
      <c r="AN489" s="0" t="s">
        <v>146</v>
      </c>
      <c r="AO489" s="0" t="s">
        <v>236</v>
      </c>
      <c r="AP489" s="0" t="s">
        <v>237</v>
      </c>
      <c r="AQ489" s="0" t="n">
        <v>9</v>
      </c>
      <c r="AR489" s="0" t="n">
        <v>64</v>
      </c>
      <c r="AS489" s="0" t="n">
        <v>32</v>
      </c>
      <c r="AU489" s="0" t="n">
        <f aca="false">COUNTA($BA$899:$EH$899)</f>
        <v>13</v>
      </c>
      <c r="AV489" s="0" t="n">
        <f aca="false">COUNTIF($BA$899:$EH$899,"D")</f>
        <v>1</v>
      </c>
      <c r="AW489" s="0" t="n">
        <f aca="false">COUNTIF($BA$899:$EH$899,"R")</f>
        <v>0</v>
      </c>
      <c r="AX489" s="0" t="n">
        <f aca="false"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>0</v>
      </c>
      <c r="AY489" s="0" t="n">
        <f aca="false">COUNTIF(DU489:EH489, "&lt;&gt;")</f>
        <v>0</v>
      </c>
      <c r="AZ489" s="0" t="n">
        <f aca="false">IF(EH489&lt;&gt;"",1,0)</f>
        <v>0</v>
      </c>
      <c r="BB489" s="0" t="s">
        <v>153</v>
      </c>
      <c r="DC489" s="0" t="s">
        <v>154</v>
      </c>
    </row>
    <row r="490" customFormat="false" ht="13.8" hidden="false" customHeight="false" outlineLevel="0" collapsed="false">
      <c r="A490" s="0" t="s">
        <v>2615</v>
      </c>
      <c r="B490" s="0" t="n">
        <v>78</v>
      </c>
      <c r="C490" s="0" t="n">
        <v>444849</v>
      </c>
      <c r="D490" s="0" t="s">
        <v>2616</v>
      </c>
      <c r="E490" s="0" t="s">
        <v>2617</v>
      </c>
      <c r="F490" s="0" t="str">
        <f aca="false">CONCATENATE(D490," ",LEFT(H490,4),"T=",AU490,"D=",AV490,"R=",AW490,"M=",AX490,"L=",AY490,"B=",AZ490)</f>
        <v>REISINGER T=2D=0R=0M=0L=4B=0</v>
      </c>
      <c r="G490" s="0" t="s">
        <v>376</v>
      </c>
      <c r="I490" s="0" t="s">
        <v>2618</v>
      </c>
      <c r="J490" s="0" t="s">
        <v>983</v>
      </c>
      <c r="K490" s="0" t="s">
        <v>175</v>
      </c>
      <c r="L490" s="1" t="s">
        <v>155</v>
      </c>
      <c r="M490" s="0" t="s">
        <v>2619</v>
      </c>
      <c r="N490" s="0" t="str">
        <f aca="false">RIGHT(M490,LEN(M490)-FIND(" ",M490))</f>
        <v>BUENA VISTA AVE NE</v>
      </c>
      <c r="P490" s="0" t="s">
        <v>146</v>
      </c>
      <c r="Q490" s="0" t="s">
        <v>147</v>
      </c>
      <c r="R490" s="0" t="n">
        <v>44483</v>
      </c>
      <c r="AD490" s="0" t="s">
        <v>148</v>
      </c>
      <c r="AE490" s="0" t="s">
        <v>149</v>
      </c>
      <c r="AF490" s="0" t="s">
        <v>150</v>
      </c>
      <c r="AH490" s="0" t="n">
        <v>14</v>
      </c>
      <c r="AI490" s="0" t="n">
        <v>11</v>
      </c>
      <c r="AN490" s="0" t="s">
        <v>146</v>
      </c>
      <c r="AO490" s="0" t="s">
        <v>236</v>
      </c>
      <c r="AP490" s="0" t="s">
        <v>237</v>
      </c>
      <c r="AQ490" s="0" t="n">
        <v>9</v>
      </c>
      <c r="AR490" s="0" t="n">
        <v>64</v>
      </c>
      <c r="AS490" s="0" t="n">
        <v>32</v>
      </c>
      <c r="AU490" s="0" t="n">
        <f aca="false">COUNTA($BA$345:$EH$345)</f>
        <v>2</v>
      </c>
      <c r="AV490" s="0" t="n">
        <f aca="false">COUNTIF($BA$345:$EH$345,"D")</f>
        <v>0</v>
      </c>
      <c r="AW490" s="0" t="n">
        <f aca="false">COUNTIF($BA$345:$EH$345,"R")</f>
        <v>0</v>
      </c>
      <c r="AX490" s="0" t="n">
        <f aca="false"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>0</v>
      </c>
      <c r="AY490" s="0" t="n">
        <f aca="false">COUNTIF(DU490:EH490, "&lt;&gt;")</f>
        <v>4</v>
      </c>
      <c r="AZ490" s="0" t="n">
        <f aca="false">IF(EH490&lt;&gt;"",1,0)</f>
        <v>0</v>
      </c>
      <c r="BB490" s="0" t="s">
        <v>153</v>
      </c>
      <c r="DN490" s="0" t="s">
        <v>154</v>
      </c>
      <c r="DU490" s="0" t="s">
        <v>154</v>
      </c>
      <c r="EA490" s="0" t="s">
        <v>154</v>
      </c>
      <c r="ED490" s="0" t="s">
        <v>155</v>
      </c>
      <c r="EF490" s="0" t="s">
        <v>154</v>
      </c>
    </row>
    <row r="491" customFormat="false" ht="13.8" hidden="false" customHeight="false" outlineLevel="0" collapsed="false">
      <c r="A491" s="0" t="s">
        <v>2620</v>
      </c>
      <c r="B491" s="0" t="n">
        <v>78</v>
      </c>
      <c r="C491" s="0" t="n">
        <v>415482</v>
      </c>
      <c r="D491" s="0" t="s">
        <v>2621</v>
      </c>
      <c r="E491" s="0" t="s">
        <v>1545</v>
      </c>
      <c r="F491" s="0" t="str">
        <f aca="false">CONCATENATE(D491," ",LEFT(H491,4),"T=",AU491,"D=",AV491,"R=",AW491,"M=",AX491,"L=",AY491,"B=",AZ491)</f>
        <v>GRIMES T=1D=0R=0M=0L=2B=0</v>
      </c>
      <c r="G491" s="0" t="s">
        <v>139</v>
      </c>
      <c r="I491" s="0" t="s">
        <v>2622</v>
      </c>
      <c r="J491" s="0" t="s">
        <v>2623</v>
      </c>
      <c r="K491" s="0" t="s">
        <v>175</v>
      </c>
      <c r="M491" s="0" t="s">
        <v>2619</v>
      </c>
      <c r="N491" s="0" t="str">
        <f aca="false">RIGHT(M491,LEN(M491)-FIND(" ",M491))</f>
        <v>BUENA VISTA AVE NE</v>
      </c>
      <c r="P491" s="0" t="s">
        <v>146</v>
      </c>
      <c r="Q491" s="0" t="s">
        <v>147</v>
      </c>
      <c r="R491" s="0" t="n">
        <v>44483</v>
      </c>
      <c r="AD491" s="0" t="s">
        <v>148</v>
      </c>
      <c r="AE491" s="0" t="s">
        <v>149</v>
      </c>
      <c r="AF491" s="0" t="s">
        <v>150</v>
      </c>
      <c r="AH491" s="0" t="n">
        <v>14</v>
      </c>
      <c r="AI491" s="0" t="n">
        <v>11</v>
      </c>
      <c r="AN491" s="0" t="s">
        <v>146</v>
      </c>
      <c r="AO491" s="0" t="s">
        <v>236</v>
      </c>
      <c r="AP491" s="0" t="s">
        <v>237</v>
      </c>
      <c r="AQ491" s="0" t="n">
        <v>9</v>
      </c>
      <c r="AR491" s="0" t="n">
        <v>64</v>
      </c>
      <c r="AS491" s="0" t="n">
        <v>32</v>
      </c>
      <c r="AU491" s="0" t="n">
        <f aca="false">COUNTA($BA$761:$EH$761)</f>
        <v>1</v>
      </c>
      <c r="AV491" s="0" t="n">
        <f aca="false">COUNTIF($BA$761:$EH$761,"D")</f>
        <v>0</v>
      </c>
      <c r="AW491" s="0" t="n">
        <f aca="false">COUNTIF($BA$761:$EH$761,"R")</f>
        <v>0</v>
      </c>
      <c r="AX491" s="0" t="n">
        <f aca="false"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>0</v>
      </c>
      <c r="AY491" s="0" t="n">
        <f aca="false">COUNTIF(DU491:EH491, "&lt;&gt;")</f>
        <v>2</v>
      </c>
      <c r="AZ491" s="0" t="n">
        <f aca="false">IF(EH491&lt;&gt;"",1,0)</f>
        <v>0</v>
      </c>
      <c r="BB491" s="0" t="s">
        <v>153</v>
      </c>
      <c r="BD491" s="0" t="s">
        <v>154</v>
      </c>
      <c r="DC491" s="0" t="s">
        <v>154</v>
      </c>
      <c r="DI491" s="0" t="s">
        <v>154</v>
      </c>
      <c r="DL491" s="0" t="s">
        <v>154</v>
      </c>
      <c r="DN491" s="0" t="s">
        <v>154</v>
      </c>
      <c r="EA491" s="0" t="s">
        <v>154</v>
      </c>
      <c r="EF491" s="0" t="s">
        <v>154</v>
      </c>
    </row>
    <row r="492" customFormat="false" ht="13.8" hidden="false" customHeight="false" outlineLevel="0" collapsed="false">
      <c r="A492" s="0" t="s">
        <v>2624</v>
      </c>
      <c r="B492" s="0" t="n">
        <v>78</v>
      </c>
      <c r="C492" s="0" t="n">
        <v>298301</v>
      </c>
      <c r="D492" s="0" t="s">
        <v>2625</v>
      </c>
      <c r="E492" s="0" t="s">
        <v>1840</v>
      </c>
      <c r="F492" s="0" t="str">
        <f aca="false">CONCATENATE(D492," ",LEFT(H492,4),"T=",AU492,"D=",AV492,"R=",AW492,"M=",AX492,"L=",AY492,"B=",AZ492)</f>
        <v>SHIAMONE T=36D=8R=0M=3L=3B=0</v>
      </c>
      <c r="G492" s="0" t="s">
        <v>297</v>
      </c>
      <c r="I492" s="0" t="s">
        <v>394</v>
      </c>
      <c r="J492" s="0" t="s">
        <v>2626</v>
      </c>
      <c r="K492" s="0" t="s">
        <v>175</v>
      </c>
      <c r="L492" s="1" t="s">
        <v>155</v>
      </c>
      <c r="M492" s="0" t="s">
        <v>2627</v>
      </c>
      <c r="N492" s="0" t="str">
        <f aca="false">RIGHT(M492,LEN(M492)-FIND(" ",M492))</f>
        <v>BUENA VISTA AVE NE</v>
      </c>
      <c r="P492" s="0" t="s">
        <v>146</v>
      </c>
      <c r="Q492" s="0" t="s">
        <v>147</v>
      </c>
      <c r="R492" s="0" t="n">
        <v>44483</v>
      </c>
      <c r="AD492" s="0" t="s">
        <v>148</v>
      </c>
      <c r="AE492" s="0" t="s">
        <v>149</v>
      </c>
      <c r="AF492" s="0" t="s">
        <v>150</v>
      </c>
      <c r="AH492" s="0" t="n">
        <v>14</v>
      </c>
      <c r="AI492" s="0" t="n">
        <v>11</v>
      </c>
      <c r="AN492" s="0" t="s">
        <v>146</v>
      </c>
      <c r="AO492" s="0" t="s">
        <v>236</v>
      </c>
      <c r="AP492" s="0" t="s">
        <v>237</v>
      </c>
      <c r="AQ492" s="0" t="n">
        <v>9</v>
      </c>
      <c r="AR492" s="0" t="n">
        <v>64</v>
      </c>
      <c r="AS492" s="0" t="n">
        <v>32</v>
      </c>
      <c r="AU492" s="0" t="n">
        <f aca="false">COUNTA($BA$634:$EH$634)</f>
        <v>36</v>
      </c>
      <c r="AV492" s="0" t="n">
        <f aca="false">COUNTIF($BA$634:$EH$634,"D")</f>
        <v>8</v>
      </c>
      <c r="AW492" s="0" t="n">
        <f aca="false">COUNTIF($BA$634:$EH$634,"R")</f>
        <v>0</v>
      </c>
      <c r="AX492" s="0" t="n">
        <f aca="false"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>3</v>
      </c>
      <c r="AY492" s="0" t="n">
        <f aca="false">COUNTIF(DU492:EH492, "&lt;&gt;")</f>
        <v>3</v>
      </c>
      <c r="AZ492" s="0" t="n">
        <f aca="false">IF(EH492&lt;&gt;"",1,0)</f>
        <v>0</v>
      </c>
      <c r="BB492" s="0" t="s">
        <v>153</v>
      </c>
      <c r="BD492" s="0" t="s">
        <v>154</v>
      </c>
      <c r="BE492" s="0" t="s">
        <v>154</v>
      </c>
      <c r="BG492" s="0" t="s">
        <v>154</v>
      </c>
      <c r="BH492" s="0" t="s">
        <v>154</v>
      </c>
      <c r="BI492" s="0" t="s">
        <v>154</v>
      </c>
      <c r="BJ492" s="0" t="s">
        <v>154</v>
      </c>
      <c r="BK492" s="0" t="s">
        <v>154</v>
      </c>
      <c r="BL492" s="0" t="s">
        <v>154</v>
      </c>
      <c r="BP492" s="0" t="s">
        <v>154</v>
      </c>
      <c r="BR492" s="0" t="s">
        <v>154</v>
      </c>
      <c r="BS492" s="0" t="s">
        <v>154</v>
      </c>
      <c r="BV492" s="0" t="s">
        <v>154</v>
      </c>
      <c r="BY492" s="0" t="s">
        <v>155</v>
      </c>
      <c r="CA492" s="0" t="s">
        <v>154</v>
      </c>
      <c r="CP492" s="0" t="s">
        <v>154</v>
      </c>
      <c r="DC492" s="0" t="s">
        <v>154</v>
      </c>
      <c r="DD492" s="0" t="s">
        <v>155</v>
      </c>
      <c r="DI492" s="0" t="s">
        <v>154</v>
      </c>
      <c r="DM492" s="0" t="s">
        <v>155</v>
      </c>
      <c r="DN492" s="0" t="s">
        <v>154</v>
      </c>
      <c r="DO492" s="0" t="s">
        <v>155</v>
      </c>
      <c r="DR492" s="0" t="s">
        <v>154</v>
      </c>
      <c r="DS492" s="0" t="s">
        <v>155</v>
      </c>
      <c r="DU492" s="0" t="s">
        <v>154</v>
      </c>
      <c r="DW492" s="0" t="s">
        <v>155</v>
      </c>
      <c r="EF492" s="0" t="s">
        <v>154</v>
      </c>
    </row>
    <row r="493" customFormat="false" ht="13.8" hidden="false" customHeight="false" outlineLevel="0" collapsed="false">
      <c r="A493" s="0" t="s">
        <v>2628</v>
      </c>
      <c r="B493" s="0" t="n">
        <v>78</v>
      </c>
      <c r="C493" s="0" t="n">
        <v>463620</v>
      </c>
      <c r="D493" s="0" t="s">
        <v>2629</v>
      </c>
      <c r="E493" s="0" t="s">
        <v>429</v>
      </c>
      <c r="F493" s="0" t="str">
        <f aca="false">CONCATENATE(D493," ",LEFT(H493,4),"T=",AU493,"D=",AV493,"R=",AW493,"M=",AX493,"L=",AY493,"B=",AZ493)</f>
        <v>CLINE T=4D=1R=0M=0L=4B=0</v>
      </c>
      <c r="G493" s="0" t="s">
        <v>1712</v>
      </c>
      <c r="I493" s="0" t="s">
        <v>2630</v>
      </c>
      <c r="J493" s="0" t="s">
        <v>2631</v>
      </c>
      <c r="K493" s="0" t="s">
        <v>175</v>
      </c>
      <c r="M493" s="0" t="s">
        <v>2632</v>
      </c>
      <c r="N493" s="0" t="str">
        <f aca="false">RIGHT(M493,LEN(M493)-FIND(" ",M493))</f>
        <v>BUENA VISTA AVE NE</v>
      </c>
      <c r="P493" s="0" t="s">
        <v>146</v>
      </c>
      <c r="Q493" s="0" t="s">
        <v>147</v>
      </c>
      <c r="R493" s="0" t="n">
        <v>44483</v>
      </c>
      <c r="AD493" s="0" t="s">
        <v>148</v>
      </c>
      <c r="AE493" s="0" t="s">
        <v>149</v>
      </c>
      <c r="AF493" s="0" t="s">
        <v>150</v>
      </c>
      <c r="AH493" s="0" t="n">
        <v>14</v>
      </c>
      <c r="AI493" s="0" t="n">
        <v>11</v>
      </c>
      <c r="AN493" s="0" t="s">
        <v>146</v>
      </c>
      <c r="AO493" s="0" t="s">
        <v>236</v>
      </c>
      <c r="AP493" s="0" t="s">
        <v>237</v>
      </c>
      <c r="AQ493" s="0" t="n">
        <v>9</v>
      </c>
      <c r="AR493" s="0" t="n">
        <v>64</v>
      </c>
      <c r="AS493" s="0" t="n">
        <v>32</v>
      </c>
      <c r="AU493" s="0" t="n">
        <f aca="false">COUNTA($BA$892:$EH$892)</f>
        <v>4</v>
      </c>
      <c r="AV493" s="0" t="n">
        <f aca="false">COUNTIF($BA$892:$EH$892,"D")</f>
        <v>1</v>
      </c>
      <c r="AW493" s="0" t="n">
        <f aca="false">COUNTIF($BA$892:$EH$892,"R")</f>
        <v>0</v>
      </c>
      <c r="AX493" s="0" t="n">
        <f aca="false"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>0</v>
      </c>
      <c r="AY493" s="0" t="n">
        <f aca="false">COUNTIF(DU493:EH493, "&lt;&gt;")</f>
        <v>4</v>
      </c>
      <c r="AZ493" s="0" t="n">
        <f aca="false">IF(EH493&lt;&gt;"",1,0)</f>
        <v>0</v>
      </c>
      <c r="BB493" s="0" t="s">
        <v>153</v>
      </c>
      <c r="DU493" s="0" t="s">
        <v>154</v>
      </c>
      <c r="DX493" s="0" t="s">
        <v>154</v>
      </c>
      <c r="EA493" s="0" t="s">
        <v>154</v>
      </c>
      <c r="EF493" s="0" t="s">
        <v>154</v>
      </c>
    </row>
    <row r="494" customFormat="false" ht="13.8" hidden="true" customHeight="false" outlineLevel="0" collapsed="false">
      <c r="A494" s="0" t="s">
        <v>2633</v>
      </c>
      <c r="B494" s="0" t="n">
        <v>78</v>
      </c>
      <c r="C494" s="0" t="n">
        <v>378183</v>
      </c>
      <c r="D494" s="0" t="s">
        <v>2634</v>
      </c>
      <c r="E494" s="0" t="s">
        <v>2253</v>
      </c>
      <c r="F494" s="0" t="str">
        <f aca="false">CONCATENATE(D494," ",LEFT(H494,4),"T=",AU494,"D=",AV494,"R=",AW494,"M=",AX494,"L=",AY494,"B=",AZ494)</f>
        <v>ZALEWSKI T=7D=1R=0M=0L=0B=0</v>
      </c>
      <c r="G494" s="0" t="s">
        <v>317</v>
      </c>
      <c r="I494" s="0" t="s">
        <v>2635</v>
      </c>
      <c r="J494" s="0" t="s">
        <v>2636</v>
      </c>
      <c r="K494" s="0" t="s">
        <v>175</v>
      </c>
      <c r="L494" s="0"/>
      <c r="M494" s="0" t="s">
        <v>2637</v>
      </c>
      <c r="N494" s="0" t="str">
        <f aca="false">RIGHT(M494,LEN(M494)-FIND(" ",M494))</f>
        <v>BUENA VISTA AVE NE</v>
      </c>
      <c r="P494" s="0" t="s">
        <v>146</v>
      </c>
      <c r="Q494" s="0" t="s">
        <v>147</v>
      </c>
      <c r="R494" s="0" t="n">
        <v>44483</v>
      </c>
      <c r="AD494" s="0" t="s">
        <v>148</v>
      </c>
      <c r="AE494" s="0" t="s">
        <v>149</v>
      </c>
      <c r="AF494" s="0" t="s">
        <v>150</v>
      </c>
      <c r="AH494" s="0" t="n">
        <v>14</v>
      </c>
      <c r="AI494" s="0" t="n">
        <v>11</v>
      </c>
      <c r="AN494" s="0" t="s">
        <v>146</v>
      </c>
      <c r="AO494" s="0" t="s">
        <v>236</v>
      </c>
      <c r="AP494" s="0" t="s">
        <v>237</v>
      </c>
      <c r="AQ494" s="0" t="n">
        <v>9</v>
      </c>
      <c r="AR494" s="0" t="n">
        <v>64</v>
      </c>
      <c r="AS494" s="0" t="n">
        <v>32</v>
      </c>
      <c r="AU494" s="0" t="n">
        <f aca="false">COUNTA($BA$302:$EH$302)</f>
        <v>7</v>
      </c>
      <c r="AV494" s="0" t="n">
        <f aca="false">COUNTIF($BA$302:$EH$302,"D")</f>
        <v>1</v>
      </c>
      <c r="AW494" s="0" t="n">
        <f aca="false">COUNTIF($BA$302:$EH$302,"R")</f>
        <v>0</v>
      </c>
      <c r="AX494" s="0" t="n">
        <f aca="false"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>0</v>
      </c>
      <c r="AY494" s="0" t="n">
        <f aca="false">COUNTIF(DU494:EH494, "&lt;&gt;")</f>
        <v>0</v>
      </c>
      <c r="AZ494" s="0" t="n">
        <f aca="false">IF(EH494&lt;&gt;"",1,0)</f>
        <v>0</v>
      </c>
      <c r="BB494" s="0" t="s">
        <v>153</v>
      </c>
    </row>
    <row r="495" customFormat="false" ht="13.8" hidden="true" customHeight="false" outlineLevel="0" collapsed="false">
      <c r="A495" s="0" t="s">
        <v>2638</v>
      </c>
      <c r="B495" s="0" t="n">
        <v>78</v>
      </c>
      <c r="C495" s="0" t="n">
        <v>314319</v>
      </c>
      <c r="D495" s="0" t="s">
        <v>2639</v>
      </c>
      <c r="E495" s="0" t="s">
        <v>2640</v>
      </c>
      <c r="F495" s="0" t="str">
        <f aca="false">CONCATENATE(D495," ",LEFT(H495,4),"T=",AU495,"D=",AV495,"R=",AW495,"M=",AX495,"L=",AY495,"B=",AZ495)</f>
        <v>ASHELMAN T=1D=0R=0M=0L=0B=0</v>
      </c>
      <c r="G495" s="0" t="s">
        <v>172</v>
      </c>
      <c r="I495" s="0" t="s">
        <v>2641</v>
      </c>
      <c r="J495" s="0" t="s">
        <v>575</v>
      </c>
      <c r="K495" s="0" t="s">
        <v>144</v>
      </c>
      <c r="L495" s="0"/>
      <c r="M495" s="0" t="s">
        <v>2642</v>
      </c>
      <c r="N495" s="0" t="str">
        <f aca="false">RIGHT(M495,LEN(M495)-FIND(" ",M495))</f>
        <v>BUENA VISTA AVE NE</v>
      </c>
      <c r="P495" s="0" t="s">
        <v>146</v>
      </c>
      <c r="Q495" s="0" t="s">
        <v>147</v>
      </c>
      <c r="R495" s="0" t="n">
        <v>44483</v>
      </c>
      <c r="AD495" s="0" t="s">
        <v>148</v>
      </c>
      <c r="AE495" s="0" t="s">
        <v>149</v>
      </c>
      <c r="AF495" s="0" t="s">
        <v>150</v>
      </c>
      <c r="AH495" s="0" t="n">
        <v>14</v>
      </c>
      <c r="AI495" s="0" t="n">
        <v>11</v>
      </c>
      <c r="AN495" s="0" t="s">
        <v>146</v>
      </c>
      <c r="AO495" s="0" t="s">
        <v>236</v>
      </c>
      <c r="AP495" s="0" t="s">
        <v>237</v>
      </c>
      <c r="AQ495" s="0" t="n">
        <v>9</v>
      </c>
      <c r="AR495" s="0" t="n">
        <v>64</v>
      </c>
      <c r="AS495" s="0" t="n">
        <v>32</v>
      </c>
      <c r="AU495" s="0" t="n">
        <f aca="false">COUNTA($BA$759:$EH$759)</f>
        <v>1</v>
      </c>
      <c r="AV495" s="0" t="n">
        <f aca="false">COUNTIF($BA$759:$EH$759,"D")</f>
        <v>0</v>
      </c>
      <c r="AW495" s="0" t="n">
        <f aca="false">COUNTIF($BA$759:$EH$759,"R")</f>
        <v>0</v>
      </c>
      <c r="AX495" s="0" t="n">
        <f aca="false"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>0</v>
      </c>
      <c r="AY495" s="0" t="n">
        <f aca="false">COUNTIF(DU495:EH495, "&lt;&gt;")</f>
        <v>0</v>
      </c>
      <c r="AZ495" s="0" t="n">
        <f aca="false">IF(EH495&lt;&gt;"",1,0)</f>
        <v>0</v>
      </c>
      <c r="BB495" s="0" t="s">
        <v>153</v>
      </c>
      <c r="BJ495" s="0" t="s">
        <v>154</v>
      </c>
      <c r="BK495" s="0" t="s">
        <v>154</v>
      </c>
      <c r="BL495" s="0" t="s">
        <v>154</v>
      </c>
      <c r="BS495" s="0" t="s">
        <v>154</v>
      </c>
      <c r="CK495" s="0" t="s">
        <v>154</v>
      </c>
      <c r="CN495" s="0" t="s">
        <v>154</v>
      </c>
      <c r="CP495" s="0" t="s">
        <v>154</v>
      </c>
      <c r="DN495" s="0" t="s">
        <v>154</v>
      </c>
    </row>
    <row r="496" customFormat="false" ht="13.8" hidden="true" customHeight="false" outlineLevel="0" collapsed="false">
      <c r="A496" s="0" t="s">
        <v>2643</v>
      </c>
      <c r="B496" s="0" t="n">
        <v>78</v>
      </c>
      <c r="C496" s="0" t="n">
        <v>458236</v>
      </c>
      <c r="D496" s="0" t="s">
        <v>2644</v>
      </c>
      <c r="E496" s="0" t="s">
        <v>1226</v>
      </c>
      <c r="F496" s="0" t="str">
        <f aca="false">CONCATENATE(D496," ",LEFT(H496,4),"T=",AU496,"D=",AV496,"R=",AW496,"M=",AX496,"L=",AY496,"B=",AZ496)</f>
        <v>TRKULA T=2D=0R=0M=0L=0B=0</v>
      </c>
      <c r="G496" s="0" t="s">
        <v>159</v>
      </c>
      <c r="I496" s="0" t="s">
        <v>2645</v>
      </c>
      <c r="J496" s="0" t="s">
        <v>2646</v>
      </c>
      <c r="K496" s="0" t="s">
        <v>144</v>
      </c>
      <c r="L496" s="0"/>
      <c r="M496" s="0" t="s">
        <v>2642</v>
      </c>
      <c r="N496" s="0" t="str">
        <f aca="false">RIGHT(M496,LEN(M496)-FIND(" ",M496))</f>
        <v>BUENA VISTA AVE NE</v>
      </c>
      <c r="P496" s="0" t="s">
        <v>146</v>
      </c>
      <c r="Q496" s="0" t="s">
        <v>147</v>
      </c>
      <c r="R496" s="0" t="n">
        <v>44483</v>
      </c>
      <c r="AD496" s="0" t="s">
        <v>148</v>
      </c>
      <c r="AE496" s="0" t="s">
        <v>149</v>
      </c>
      <c r="AF496" s="0" t="s">
        <v>150</v>
      </c>
      <c r="AH496" s="0" t="n">
        <v>14</v>
      </c>
      <c r="AI496" s="0" t="n">
        <v>11</v>
      </c>
      <c r="AN496" s="0" t="s">
        <v>146</v>
      </c>
      <c r="AO496" s="0" t="s">
        <v>236</v>
      </c>
      <c r="AP496" s="0" t="s">
        <v>237</v>
      </c>
      <c r="AQ496" s="0" t="n">
        <v>9</v>
      </c>
      <c r="AR496" s="0" t="n">
        <v>64</v>
      </c>
      <c r="AS496" s="0" t="n">
        <v>32</v>
      </c>
      <c r="AU496" s="0" t="n">
        <f aca="false">COUNTA($BA$964:$EH$964)</f>
        <v>2</v>
      </c>
      <c r="AV496" s="0" t="n">
        <f aca="false">COUNTIF($BA$964:$EH$964,"D")</f>
        <v>0</v>
      </c>
      <c r="AW496" s="0" t="n">
        <f aca="false">COUNTIF($BA$964:$EH$964,"R")</f>
        <v>0</v>
      </c>
      <c r="AX496" s="0" t="n">
        <f aca="false"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>0</v>
      </c>
      <c r="AY496" s="0" t="n">
        <f aca="false">COUNTIF(DU496:EH496, "&lt;&gt;")</f>
        <v>0</v>
      </c>
      <c r="AZ496" s="0" t="n">
        <f aca="false">IF(EH496&lt;&gt;"",1,0)</f>
        <v>0</v>
      </c>
      <c r="BB496" s="0" t="s">
        <v>153</v>
      </c>
    </row>
    <row r="497" customFormat="false" ht="13.8" hidden="false" customHeight="false" outlineLevel="0" collapsed="false">
      <c r="A497" s="0" t="s">
        <v>2647</v>
      </c>
      <c r="B497" s="0" t="n">
        <v>78</v>
      </c>
      <c r="C497" s="0" t="n">
        <v>14132</v>
      </c>
      <c r="D497" s="0" t="s">
        <v>2648</v>
      </c>
      <c r="E497" s="0" t="s">
        <v>187</v>
      </c>
      <c r="F497" s="0" t="str">
        <f aca="false">CONCATENATE(D497," ",LEFT(H497,4),"T=",AU497,"D=",AV497,"R=",AW497,"M=",AX497,"L=",AY497,"B=",AZ497)</f>
        <v>MURPHY T=11D=3R=0M=7L=7B=1</v>
      </c>
      <c r="G497" s="0" t="s">
        <v>159</v>
      </c>
      <c r="I497" s="0" t="s">
        <v>2649</v>
      </c>
      <c r="J497" s="0" t="s">
        <v>2650</v>
      </c>
      <c r="K497" s="0" t="s">
        <v>175</v>
      </c>
      <c r="L497" s="1" t="s">
        <v>155</v>
      </c>
      <c r="M497" s="0" t="s">
        <v>2651</v>
      </c>
      <c r="N497" s="0" t="str">
        <f aca="false">RIGHT(M497,LEN(M497)-FIND(" ",M497))</f>
        <v>BUENA VISTA AVE NE</v>
      </c>
      <c r="P497" s="0" t="s">
        <v>146</v>
      </c>
      <c r="Q497" s="0" t="s">
        <v>147</v>
      </c>
      <c r="R497" s="0" t="n">
        <v>44483</v>
      </c>
      <c r="AD497" s="0" t="s">
        <v>148</v>
      </c>
      <c r="AE497" s="0" t="s">
        <v>149</v>
      </c>
      <c r="AF497" s="0" t="s">
        <v>150</v>
      </c>
      <c r="AH497" s="0" t="n">
        <v>14</v>
      </c>
      <c r="AI497" s="0" t="n">
        <v>11</v>
      </c>
      <c r="AN497" s="0" t="s">
        <v>146</v>
      </c>
      <c r="AO497" s="0" t="s">
        <v>236</v>
      </c>
      <c r="AP497" s="0" t="s">
        <v>237</v>
      </c>
      <c r="AQ497" s="0" t="n">
        <v>9</v>
      </c>
      <c r="AR497" s="0" t="n">
        <v>64</v>
      </c>
      <c r="AS497" s="0" t="n">
        <v>32</v>
      </c>
      <c r="AU497" s="0" t="n">
        <f aca="false">COUNTA($BA$632:$EH$632)</f>
        <v>11</v>
      </c>
      <c r="AV497" s="0" t="n">
        <f aca="false">COUNTIF($BA$632:$EH$632,"D")</f>
        <v>3</v>
      </c>
      <c r="AW497" s="0" t="n">
        <f aca="false">COUNTIF($BA$632:$EH$632,"R")</f>
        <v>0</v>
      </c>
      <c r="AX497" s="0" t="n">
        <f aca="false"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>7</v>
      </c>
      <c r="AY497" s="0" t="n">
        <f aca="false">COUNTIF(DU497:EH497, "&lt;&gt;")</f>
        <v>7</v>
      </c>
      <c r="AZ497" s="0" t="n">
        <f aca="false">IF(EH497&lt;&gt;"",1,0)</f>
        <v>1</v>
      </c>
      <c r="BB497" s="0" t="s">
        <v>153</v>
      </c>
      <c r="BC497" s="0" t="s">
        <v>154</v>
      </c>
      <c r="BD497" s="0" t="s">
        <v>154</v>
      </c>
      <c r="BF497" s="0" t="s">
        <v>154</v>
      </c>
      <c r="BH497" s="0" t="s">
        <v>154</v>
      </c>
      <c r="BI497" s="0" t="s">
        <v>154</v>
      </c>
      <c r="BJ497" s="0" t="s">
        <v>154</v>
      </c>
      <c r="BK497" s="0" t="s">
        <v>154</v>
      </c>
      <c r="BL497" s="0" t="s">
        <v>154</v>
      </c>
      <c r="BP497" s="0" t="s">
        <v>154</v>
      </c>
      <c r="BR497" s="0" t="s">
        <v>154</v>
      </c>
      <c r="BS497" s="0" t="s">
        <v>154</v>
      </c>
      <c r="BV497" s="0" t="s">
        <v>154</v>
      </c>
      <c r="BY497" s="0" t="s">
        <v>155</v>
      </c>
      <c r="CA497" s="0" t="s">
        <v>154</v>
      </c>
      <c r="CG497" s="0" t="s">
        <v>154</v>
      </c>
      <c r="CH497" s="0" t="s">
        <v>155</v>
      </c>
      <c r="CK497" s="0" t="s">
        <v>154</v>
      </c>
      <c r="CL497" s="0" t="s">
        <v>155</v>
      </c>
      <c r="CN497" s="0" t="s">
        <v>154</v>
      </c>
      <c r="CO497" s="0" t="s">
        <v>155</v>
      </c>
      <c r="CP497" s="0" t="s">
        <v>154</v>
      </c>
      <c r="CT497" s="0" t="s">
        <v>154</v>
      </c>
      <c r="CU497" s="0" t="s">
        <v>155</v>
      </c>
      <c r="CV497" s="0" t="s">
        <v>154</v>
      </c>
      <c r="CW497" s="0" t="s">
        <v>155</v>
      </c>
      <c r="CY497" s="0" t="s">
        <v>154</v>
      </c>
      <c r="CZ497" s="0" t="s">
        <v>155</v>
      </c>
      <c r="DC497" s="0" t="s">
        <v>154</v>
      </c>
      <c r="DD497" s="0" t="s">
        <v>155</v>
      </c>
      <c r="DF497" s="0" t="s">
        <v>154</v>
      </c>
      <c r="DG497" s="0" t="s">
        <v>155</v>
      </c>
      <c r="DI497" s="0" t="s">
        <v>154</v>
      </c>
      <c r="DJ497" s="0" t="s">
        <v>155</v>
      </c>
      <c r="DL497" s="0" t="s">
        <v>154</v>
      </c>
      <c r="DM497" s="0" t="s">
        <v>155</v>
      </c>
      <c r="DN497" s="0" t="s">
        <v>154</v>
      </c>
      <c r="DO497" s="0" t="s">
        <v>155</v>
      </c>
      <c r="DR497" s="0" t="s">
        <v>154</v>
      </c>
      <c r="DS497" s="0" t="s">
        <v>155</v>
      </c>
      <c r="DT497" s="0" t="s">
        <v>155</v>
      </c>
      <c r="DU497" s="0" t="s">
        <v>154</v>
      </c>
      <c r="DW497" s="0" t="s">
        <v>155</v>
      </c>
      <c r="DX497" s="0" t="s">
        <v>154</v>
      </c>
      <c r="EA497" s="0" t="s">
        <v>154</v>
      </c>
      <c r="ED497" s="0" t="s">
        <v>155</v>
      </c>
      <c r="EF497" s="0" t="s">
        <v>154</v>
      </c>
      <c r="EH497" s="0" t="s">
        <v>155</v>
      </c>
    </row>
    <row r="498" customFormat="false" ht="13.8" hidden="false" customHeight="false" outlineLevel="0" collapsed="false">
      <c r="A498" s="0" t="s">
        <v>2652</v>
      </c>
      <c r="B498" s="0" t="n">
        <v>78</v>
      </c>
      <c r="C498" s="0" t="n">
        <v>402665</v>
      </c>
      <c r="D498" s="0" t="s">
        <v>2653</v>
      </c>
      <c r="E498" s="0" t="s">
        <v>2654</v>
      </c>
      <c r="F498" s="0" t="str">
        <f aca="false">CONCATENATE(D498," ",LEFT(H498,4),"T=",AU498,"D=",AV498,"R=",AW498,"M=",AX498,"L=",AY498,"B=",AZ498)</f>
        <v>SHAFER T=1D=0R=0M=1L=6B=1</v>
      </c>
      <c r="G498" s="0" t="s">
        <v>317</v>
      </c>
      <c r="I498" s="0" t="s">
        <v>2655</v>
      </c>
      <c r="J498" s="0" t="s">
        <v>2656</v>
      </c>
      <c r="K498" s="0" t="s">
        <v>175</v>
      </c>
      <c r="L498" s="1" t="s">
        <v>155</v>
      </c>
      <c r="M498" s="0" t="s">
        <v>2657</v>
      </c>
      <c r="N498" s="0" t="str">
        <f aca="false">RIGHT(M498,LEN(M498)-FIND(" ",M498))</f>
        <v>BUENA VISTA AVE NE</v>
      </c>
      <c r="P498" s="0" t="s">
        <v>146</v>
      </c>
      <c r="Q498" s="0" t="s">
        <v>147</v>
      </c>
      <c r="R498" s="0" t="n">
        <v>44483</v>
      </c>
      <c r="AD498" s="0" t="s">
        <v>148</v>
      </c>
      <c r="AE498" s="0" t="s">
        <v>149</v>
      </c>
      <c r="AF498" s="0" t="s">
        <v>150</v>
      </c>
      <c r="AH498" s="0" t="n">
        <v>14</v>
      </c>
      <c r="AI498" s="0" t="n">
        <v>11</v>
      </c>
      <c r="AN498" s="0" t="s">
        <v>146</v>
      </c>
      <c r="AO498" s="0" t="s">
        <v>236</v>
      </c>
      <c r="AP498" s="0" t="s">
        <v>237</v>
      </c>
      <c r="AQ498" s="0" t="n">
        <v>9</v>
      </c>
      <c r="AR498" s="0" t="n">
        <v>64</v>
      </c>
      <c r="AS498" s="0" t="n">
        <v>32</v>
      </c>
      <c r="AU498" s="0" t="n">
        <f aca="false">COUNTA($BA$959:$EH$959)</f>
        <v>1</v>
      </c>
      <c r="AV498" s="0" t="n">
        <f aca="false">COUNTIF($BA$959:$EH$959,"D")</f>
        <v>0</v>
      </c>
      <c r="AW498" s="0" t="n">
        <f aca="false">COUNTIF($BA$959:$EH$959,"R")</f>
        <v>0</v>
      </c>
      <c r="AX498" s="0" t="n">
        <f aca="false"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>1</v>
      </c>
      <c r="AY498" s="0" t="n">
        <f aca="false">COUNTIF(DU498:EH498, "&lt;&gt;")</f>
        <v>6</v>
      </c>
      <c r="AZ498" s="0" t="n">
        <f aca="false">IF(EH498&lt;&gt;"",1,0)</f>
        <v>1</v>
      </c>
      <c r="BB498" s="0" t="s">
        <v>153</v>
      </c>
      <c r="CY498" s="0" t="s">
        <v>154</v>
      </c>
      <c r="CZ498" s="0" t="s">
        <v>155</v>
      </c>
      <c r="DC498" s="0" t="s">
        <v>154</v>
      </c>
      <c r="DI498" s="0" t="s">
        <v>154</v>
      </c>
      <c r="DN498" s="0" t="s">
        <v>154</v>
      </c>
      <c r="DS498" s="0" t="s">
        <v>155</v>
      </c>
      <c r="DU498" s="0" t="s">
        <v>154</v>
      </c>
      <c r="DX498" s="0" t="s">
        <v>154</v>
      </c>
      <c r="EA498" s="0" t="s">
        <v>154</v>
      </c>
      <c r="ED498" s="0" t="s">
        <v>155</v>
      </c>
      <c r="EF498" s="0" t="s">
        <v>154</v>
      </c>
      <c r="EH498" s="0" t="s">
        <v>155</v>
      </c>
    </row>
    <row r="499" customFormat="false" ht="13.8" hidden="false" customHeight="false" outlineLevel="0" collapsed="false">
      <c r="A499" s="0" t="s">
        <v>2658</v>
      </c>
      <c r="B499" s="0" t="n">
        <v>78</v>
      </c>
      <c r="C499" s="0" t="n">
        <v>292434</v>
      </c>
      <c r="D499" s="0" t="s">
        <v>2361</v>
      </c>
      <c r="E499" s="0" t="s">
        <v>1653</v>
      </c>
      <c r="F499" s="0" t="str">
        <f aca="false">CONCATENATE(D499," ",LEFT(H499,4),"T=",AU499,"D=",AV499,"R=",AW499,"M=",AX499,"L=",AY499,"B=",AZ499)</f>
        <v>GRIMM T=10D=1R=0M=0L=4B=0</v>
      </c>
      <c r="G499" s="0" t="s">
        <v>172</v>
      </c>
      <c r="I499" s="0" t="s">
        <v>2659</v>
      </c>
      <c r="J499" s="0" t="s">
        <v>2660</v>
      </c>
      <c r="K499" s="0" t="s">
        <v>175</v>
      </c>
      <c r="M499" s="0" t="s">
        <v>2661</v>
      </c>
      <c r="N499" s="0" t="str">
        <f aca="false">RIGHT(M499,LEN(M499)-FIND(" ",M499))</f>
        <v>BUENA VISTA AVE NE</v>
      </c>
      <c r="P499" s="0" t="s">
        <v>146</v>
      </c>
      <c r="Q499" s="0" t="s">
        <v>147</v>
      </c>
      <c r="R499" s="0" t="n">
        <v>44483</v>
      </c>
      <c r="AD499" s="0" t="s">
        <v>148</v>
      </c>
      <c r="AE499" s="0" t="s">
        <v>149</v>
      </c>
      <c r="AF499" s="0" t="s">
        <v>150</v>
      </c>
      <c r="AH499" s="0" t="n">
        <v>14</v>
      </c>
      <c r="AI499" s="0" t="n">
        <v>11</v>
      </c>
      <c r="AN499" s="0" t="s">
        <v>146</v>
      </c>
      <c r="AO499" s="0" t="s">
        <v>236</v>
      </c>
      <c r="AP499" s="0" t="s">
        <v>237</v>
      </c>
      <c r="AQ499" s="0" t="n">
        <v>9</v>
      </c>
      <c r="AR499" s="0" t="n">
        <v>64</v>
      </c>
      <c r="AS499" s="0" t="n">
        <v>32</v>
      </c>
      <c r="AU499" s="0" t="n">
        <f aca="false">COUNTA($BA$330:$EH$330)</f>
        <v>10</v>
      </c>
      <c r="AV499" s="0" t="n">
        <f aca="false">COUNTIF($BA$330:$EH$330,"D")</f>
        <v>1</v>
      </c>
      <c r="AW499" s="0" t="n">
        <f aca="false">COUNTIF($BA$330:$EH$330,"R")</f>
        <v>0</v>
      </c>
      <c r="AX499" s="0" t="n">
        <f aca="false"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>0</v>
      </c>
      <c r="AY499" s="0" t="n">
        <f aca="false">COUNTIF(DU499:EH499, "&lt;&gt;")</f>
        <v>4</v>
      </c>
      <c r="AZ499" s="0" t="n">
        <f aca="false">IF(EH499&lt;&gt;"",1,0)</f>
        <v>0</v>
      </c>
      <c r="BB499" s="0" t="s">
        <v>153</v>
      </c>
      <c r="BC499" s="0" t="s">
        <v>154</v>
      </c>
      <c r="BD499" s="0" t="s">
        <v>154</v>
      </c>
      <c r="BE499" s="0" t="s">
        <v>154</v>
      </c>
      <c r="BF499" s="0" t="s">
        <v>154</v>
      </c>
      <c r="BH499" s="0" t="s">
        <v>154</v>
      </c>
      <c r="BK499" s="0" t="s">
        <v>154</v>
      </c>
      <c r="BL499" s="0" t="s">
        <v>154</v>
      </c>
      <c r="CA499" s="0" t="s">
        <v>154</v>
      </c>
      <c r="DC499" s="0" t="s">
        <v>154</v>
      </c>
      <c r="DI499" s="0" t="s">
        <v>154</v>
      </c>
      <c r="DN499" s="0" t="s">
        <v>154</v>
      </c>
      <c r="DU499" s="0" t="s">
        <v>154</v>
      </c>
      <c r="DX499" s="0" t="s">
        <v>154</v>
      </c>
      <c r="EA499" s="0" t="s">
        <v>154</v>
      </c>
      <c r="EF499" s="0" t="s">
        <v>154</v>
      </c>
    </row>
    <row r="500" customFormat="false" ht="13.8" hidden="false" customHeight="false" outlineLevel="0" collapsed="false">
      <c r="A500" s="0" t="s">
        <v>2662</v>
      </c>
      <c r="B500" s="0" t="n">
        <v>78</v>
      </c>
      <c r="C500" s="0" t="n">
        <v>454995</v>
      </c>
      <c r="D500" s="0" t="s">
        <v>1027</v>
      </c>
      <c r="E500" s="0" t="s">
        <v>2663</v>
      </c>
      <c r="F500" s="0" t="str">
        <f aca="false">CONCATENATE(D500," ",LEFT(H500,4),"T=",AU500,"D=",AV500,"R=",AW500,"M=",AX500,"L=",AY500,"B=",AZ500)</f>
        <v>MARTIN T=28D=14R=1M=2L=5B=0</v>
      </c>
      <c r="G500" s="0" t="s">
        <v>2664</v>
      </c>
      <c r="I500" s="0" t="s">
        <v>2665</v>
      </c>
      <c r="J500" s="0" t="s">
        <v>2666</v>
      </c>
      <c r="K500" s="0" t="s">
        <v>175</v>
      </c>
      <c r="L500" s="1" t="s">
        <v>155</v>
      </c>
      <c r="M500" s="0" t="s">
        <v>2667</v>
      </c>
      <c r="N500" s="0" t="str">
        <f aca="false">RIGHT(M500,LEN(M500)-FIND(" ",M500))</f>
        <v>BUENA VISTA AVE NE</v>
      </c>
      <c r="P500" s="0" t="s">
        <v>146</v>
      </c>
      <c r="Q500" s="0" t="s">
        <v>147</v>
      </c>
      <c r="R500" s="0" t="n">
        <v>44483</v>
      </c>
      <c r="AD500" s="0" t="s">
        <v>148</v>
      </c>
      <c r="AE500" s="0" t="s">
        <v>149</v>
      </c>
      <c r="AF500" s="0" t="s">
        <v>150</v>
      </c>
      <c r="AH500" s="0" t="n">
        <v>14</v>
      </c>
      <c r="AI500" s="0" t="n">
        <v>11</v>
      </c>
      <c r="AN500" s="0" t="s">
        <v>146</v>
      </c>
      <c r="AO500" s="0" t="s">
        <v>236</v>
      </c>
      <c r="AP500" s="0" t="s">
        <v>237</v>
      </c>
      <c r="AQ500" s="0" t="n">
        <v>9</v>
      </c>
      <c r="AR500" s="0" t="n">
        <v>64</v>
      </c>
      <c r="AS500" s="0" t="n">
        <v>32</v>
      </c>
      <c r="AU500" s="0" t="n">
        <f aca="false">COUNTA($BA$1064:$EH$1064)</f>
        <v>28</v>
      </c>
      <c r="AV500" s="0" t="n">
        <f aca="false">COUNTIF($BA$1064:$EH$1064,"D")</f>
        <v>14</v>
      </c>
      <c r="AW500" s="0" t="n">
        <f aca="false">COUNTIF($BA$1064:$EH$1064,"R")</f>
        <v>1</v>
      </c>
      <c r="AX500" s="0" t="n">
        <f aca="false"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>2</v>
      </c>
      <c r="AY500" s="0" t="n">
        <f aca="false">COUNTIF(DU500:EH500, "&lt;&gt;")</f>
        <v>5</v>
      </c>
      <c r="AZ500" s="0" t="n">
        <f aca="false">IF(EH500&lt;&gt;"",1,0)</f>
        <v>0</v>
      </c>
      <c r="BB500" s="0" t="s">
        <v>153</v>
      </c>
      <c r="CP500" s="0" t="s">
        <v>154</v>
      </c>
      <c r="CQ500" s="0" t="s">
        <v>155</v>
      </c>
      <c r="CY500" s="0" t="s">
        <v>154</v>
      </c>
      <c r="CZ500" s="0" t="s">
        <v>155</v>
      </c>
      <c r="DC500" s="0" t="s">
        <v>154</v>
      </c>
      <c r="DF500" s="0" t="s">
        <v>154</v>
      </c>
      <c r="DN500" s="0" t="s">
        <v>154</v>
      </c>
      <c r="DU500" s="0" t="s">
        <v>154</v>
      </c>
      <c r="DW500" s="0" t="s">
        <v>155</v>
      </c>
      <c r="DX500" s="0" t="s">
        <v>154</v>
      </c>
      <c r="EA500" s="0" t="s">
        <v>154</v>
      </c>
      <c r="EF500" s="0" t="s">
        <v>154</v>
      </c>
    </row>
    <row r="501" customFormat="false" ht="13.8" hidden="true" customHeight="false" outlineLevel="0" collapsed="false">
      <c r="A501" s="0" t="s">
        <v>2668</v>
      </c>
      <c r="B501" s="0" t="n">
        <v>78</v>
      </c>
      <c r="C501" s="0" t="n">
        <v>435439</v>
      </c>
      <c r="D501" s="0" t="s">
        <v>2669</v>
      </c>
      <c r="E501" s="0" t="s">
        <v>1210</v>
      </c>
      <c r="F501" s="0" t="str">
        <f aca="false">CONCATENATE(D501," ",LEFT(H501,4),"T=",AU501,"D=",AV501,"R=",AW501,"M=",AX501,"L=",AY501,"B=",AZ501)</f>
        <v>LESKO T=1D=0R=0M=0L=1B=0</v>
      </c>
      <c r="G501" s="0" t="s">
        <v>2670</v>
      </c>
      <c r="I501" s="0" t="s">
        <v>2671</v>
      </c>
      <c r="J501" s="0" t="s">
        <v>2672</v>
      </c>
      <c r="K501" s="0" t="s">
        <v>175</v>
      </c>
      <c r="L501" s="0"/>
      <c r="M501" s="0" t="s">
        <v>2673</v>
      </c>
      <c r="N501" s="0" t="str">
        <f aca="false">RIGHT(M501,LEN(M501)-FIND(" ",M501))</f>
        <v>BUENA VISTA AVE NE</v>
      </c>
      <c r="P501" s="0" t="s">
        <v>146</v>
      </c>
      <c r="Q501" s="0" t="s">
        <v>147</v>
      </c>
      <c r="R501" s="0" t="n">
        <v>44483</v>
      </c>
      <c r="AD501" s="0" t="s">
        <v>148</v>
      </c>
      <c r="AE501" s="0" t="s">
        <v>149</v>
      </c>
      <c r="AF501" s="0" t="s">
        <v>150</v>
      </c>
      <c r="AH501" s="0" t="n">
        <v>14</v>
      </c>
      <c r="AI501" s="0" t="n">
        <v>11</v>
      </c>
      <c r="AN501" s="0" t="s">
        <v>146</v>
      </c>
      <c r="AO501" s="0" t="s">
        <v>236</v>
      </c>
      <c r="AP501" s="0" t="s">
        <v>237</v>
      </c>
      <c r="AQ501" s="0" t="n">
        <v>9</v>
      </c>
      <c r="AR501" s="0" t="n">
        <v>64</v>
      </c>
      <c r="AS501" s="0" t="n">
        <v>32</v>
      </c>
      <c r="AU501" s="0" t="n">
        <f aca="false">COUNTA($BA$466:$EH$466)</f>
        <v>1</v>
      </c>
      <c r="AV501" s="0" t="n">
        <f aca="false">COUNTIF($BA$466:$EH$466,"D")</f>
        <v>0</v>
      </c>
      <c r="AW501" s="0" t="n">
        <f aca="false">COUNTIF($BA$466:$EH$466,"R")</f>
        <v>0</v>
      </c>
      <c r="AX501" s="0" t="n">
        <f aca="false"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>0</v>
      </c>
      <c r="AY501" s="0" t="n">
        <f aca="false">COUNTIF(DU501:EH501, "&lt;&gt;")</f>
        <v>1</v>
      </c>
      <c r="AZ501" s="0" t="n">
        <f aca="false">IF(EH501&lt;&gt;"",1,0)</f>
        <v>0</v>
      </c>
      <c r="BB501" s="0" t="s">
        <v>153</v>
      </c>
      <c r="DI501" s="0" t="s">
        <v>154</v>
      </c>
      <c r="DN501" s="0" t="s">
        <v>154</v>
      </c>
      <c r="EF501" s="0" t="s">
        <v>154</v>
      </c>
    </row>
    <row r="502" customFormat="false" ht="13.8" hidden="true" customHeight="false" outlineLevel="0" collapsed="false">
      <c r="A502" s="0" t="s">
        <v>2674</v>
      </c>
      <c r="B502" s="0" t="n">
        <v>78</v>
      </c>
      <c r="C502" s="0" t="n">
        <v>4965</v>
      </c>
      <c r="D502" s="0" t="s">
        <v>2675</v>
      </c>
      <c r="E502" s="0" t="s">
        <v>2676</v>
      </c>
      <c r="F502" s="0" t="str">
        <f aca="false">CONCATENATE(D502," ",LEFT(H502,4),"T=",AU502,"D=",AV502,"R=",AW502,"M=",AX502,"L=",AY502,"B=",AZ502)</f>
        <v>ASSALONE T=1D=0R=0M=0L=0B=0</v>
      </c>
      <c r="I502" s="0" t="s">
        <v>2677</v>
      </c>
      <c r="J502" s="0" t="s">
        <v>2678</v>
      </c>
      <c r="K502" s="0" t="s">
        <v>144</v>
      </c>
      <c r="L502" s="0"/>
      <c r="M502" s="0" t="s">
        <v>2673</v>
      </c>
      <c r="N502" s="0" t="str">
        <f aca="false">RIGHT(M502,LEN(M502)-FIND(" ",M502))</f>
        <v>BUENA VISTA AVE NE</v>
      </c>
      <c r="P502" s="0" t="s">
        <v>146</v>
      </c>
      <c r="Q502" s="0" t="s">
        <v>147</v>
      </c>
      <c r="R502" s="0" t="n">
        <v>44483</v>
      </c>
      <c r="AD502" s="0" t="s">
        <v>148</v>
      </c>
      <c r="AE502" s="0" t="s">
        <v>149</v>
      </c>
      <c r="AF502" s="0" t="s">
        <v>150</v>
      </c>
      <c r="AH502" s="0" t="n">
        <v>14</v>
      </c>
      <c r="AI502" s="0" t="n">
        <v>11</v>
      </c>
      <c r="AN502" s="0" t="s">
        <v>146</v>
      </c>
      <c r="AO502" s="0" t="s">
        <v>236</v>
      </c>
      <c r="AP502" s="0" t="s">
        <v>237</v>
      </c>
      <c r="AQ502" s="0" t="n">
        <v>9</v>
      </c>
      <c r="AR502" s="0" t="n">
        <v>64</v>
      </c>
      <c r="AS502" s="0" t="n">
        <v>32</v>
      </c>
      <c r="AU502" s="0" t="n">
        <f aca="false">COUNTA($BA$597:$EH$597)</f>
        <v>1</v>
      </c>
      <c r="AV502" s="0" t="n">
        <f aca="false">COUNTIF($BA$597:$EH$597,"D")</f>
        <v>0</v>
      </c>
      <c r="AW502" s="0" t="n">
        <f aca="false">COUNTIF($BA$597:$EH$597,"R")</f>
        <v>0</v>
      </c>
      <c r="AX502" s="0" t="n">
        <f aca="false"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>0</v>
      </c>
      <c r="AY502" s="0" t="n">
        <f aca="false">COUNTIF(DU502:EH502, "&lt;&gt;")</f>
        <v>0</v>
      </c>
      <c r="AZ502" s="0" t="n">
        <f aca="false">IF(EH502&lt;&gt;"",1,0)</f>
        <v>0</v>
      </c>
      <c r="BB502" s="0" t="s">
        <v>153</v>
      </c>
      <c r="BD502" s="0" t="s">
        <v>154</v>
      </c>
      <c r="BH502" s="0" t="s">
        <v>154</v>
      </c>
      <c r="BI502" s="0" t="s">
        <v>154</v>
      </c>
      <c r="BJ502" s="0" t="s">
        <v>154</v>
      </c>
      <c r="BL502" s="0" t="s">
        <v>154</v>
      </c>
      <c r="BP502" s="0" t="s">
        <v>154</v>
      </c>
      <c r="BS502" s="0" t="s">
        <v>154</v>
      </c>
      <c r="BY502" s="0" t="s">
        <v>155</v>
      </c>
      <c r="CA502" s="0" t="s">
        <v>154</v>
      </c>
      <c r="CG502" s="0" t="s">
        <v>154</v>
      </c>
      <c r="CP502" s="0" t="s">
        <v>154</v>
      </c>
      <c r="CV502" s="0" t="s">
        <v>154</v>
      </c>
      <c r="CY502" s="0" t="s">
        <v>154</v>
      </c>
      <c r="DC502" s="0" t="s">
        <v>154</v>
      </c>
      <c r="DI502" s="0" t="s">
        <v>154</v>
      </c>
    </row>
    <row r="503" customFormat="false" ht="13.8" hidden="true" customHeight="false" outlineLevel="0" collapsed="false">
      <c r="A503" s="0" t="s">
        <v>2679</v>
      </c>
      <c r="B503" s="0" t="n">
        <v>78</v>
      </c>
      <c r="C503" s="0" t="n">
        <v>395439</v>
      </c>
      <c r="D503" s="0" t="s">
        <v>1588</v>
      </c>
      <c r="E503" s="0" t="s">
        <v>2680</v>
      </c>
      <c r="F503" s="0" t="str">
        <f aca="false">CONCATENATE(D503," ",LEFT(H503,4),"T=",AU503,"D=",AV503,"R=",AW503,"M=",AX503,"L=",AY503,"B=",AZ503)</f>
        <v>HALL T=7D=0R=0M=0L=0B=0</v>
      </c>
      <c r="G503" s="0" t="s">
        <v>690</v>
      </c>
      <c r="I503" s="0" t="s">
        <v>2681</v>
      </c>
      <c r="J503" s="0" t="s">
        <v>2682</v>
      </c>
      <c r="K503" s="0" t="s">
        <v>144</v>
      </c>
      <c r="L503" s="0"/>
      <c r="M503" s="0" t="s">
        <v>2683</v>
      </c>
      <c r="N503" s="0" t="str">
        <f aca="false">RIGHT(M503,LEN(M503)-FIND(" ",M503))</f>
        <v>BUENA VISTA AVE NE</v>
      </c>
      <c r="P503" s="0" t="s">
        <v>146</v>
      </c>
      <c r="Q503" s="0" t="s">
        <v>147</v>
      </c>
      <c r="R503" s="0" t="n">
        <v>44483</v>
      </c>
      <c r="AD503" s="0" t="s">
        <v>148</v>
      </c>
      <c r="AE503" s="0" t="s">
        <v>149</v>
      </c>
      <c r="AF503" s="0" t="s">
        <v>150</v>
      </c>
      <c r="AH503" s="0" t="n">
        <v>14</v>
      </c>
      <c r="AI503" s="0" t="n">
        <v>11</v>
      </c>
      <c r="AN503" s="0" t="s">
        <v>146</v>
      </c>
      <c r="AO503" s="0" t="s">
        <v>236</v>
      </c>
      <c r="AP503" s="0" t="s">
        <v>237</v>
      </c>
      <c r="AQ503" s="0" t="n">
        <v>9</v>
      </c>
      <c r="AR503" s="0" t="n">
        <v>64</v>
      </c>
      <c r="AS503" s="0" t="n">
        <v>32</v>
      </c>
      <c r="AU503" s="0" t="n">
        <f aca="false">COUNTA($BA$184:$EH$184)</f>
        <v>7</v>
      </c>
      <c r="AV503" s="0" t="n">
        <f aca="false">COUNTIF($BA$184:$EH$184,"D")</f>
        <v>0</v>
      </c>
      <c r="AW503" s="0" t="n">
        <f aca="false">COUNTIF($BA$184:$EH$184,"R")</f>
        <v>0</v>
      </c>
      <c r="AX503" s="0" t="n">
        <f aca="false"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>0</v>
      </c>
      <c r="AY503" s="0" t="n">
        <f aca="false">COUNTIF(DU503:EH503, "&lt;&gt;")</f>
        <v>0</v>
      </c>
      <c r="AZ503" s="0" t="n">
        <f aca="false">IF(EH503&lt;&gt;"",1,0)</f>
        <v>0</v>
      </c>
      <c r="BB503" s="0" t="s">
        <v>153</v>
      </c>
    </row>
    <row r="504" customFormat="false" ht="13.8" hidden="true" customHeight="false" outlineLevel="0" collapsed="false">
      <c r="A504" s="0" t="s">
        <v>2684</v>
      </c>
      <c r="B504" s="0" t="n">
        <v>78</v>
      </c>
      <c r="C504" s="0" t="n">
        <v>372221</v>
      </c>
      <c r="D504" s="0" t="s">
        <v>2685</v>
      </c>
      <c r="E504" s="0" t="s">
        <v>2686</v>
      </c>
      <c r="F504" s="0" t="str">
        <f aca="false">CONCATENATE(D504," ",LEFT(H504,4),"T=",AU504,"D=",AV504,"R=",AW504,"M=",AX504,"L=",AY504,"B=",AZ504)</f>
        <v>LUTON T=1D=0R=0M=0L=0B=0</v>
      </c>
      <c r="G504" s="0" t="s">
        <v>176</v>
      </c>
      <c r="I504" s="0" t="s">
        <v>2687</v>
      </c>
      <c r="J504" s="0" t="s">
        <v>2688</v>
      </c>
      <c r="K504" s="0" t="s">
        <v>144</v>
      </c>
      <c r="L504" s="0"/>
      <c r="M504" s="0" t="s">
        <v>2689</v>
      </c>
      <c r="N504" s="0" t="str">
        <f aca="false">RIGHT(M504,LEN(M504)-FIND(" ",M504))</f>
        <v>BUENA VISTA AVE NE</v>
      </c>
      <c r="P504" s="0" t="s">
        <v>146</v>
      </c>
      <c r="Q504" s="0" t="s">
        <v>147</v>
      </c>
      <c r="R504" s="0" t="n">
        <v>44483</v>
      </c>
      <c r="AD504" s="0" t="s">
        <v>148</v>
      </c>
      <c r="AE504" s="0" t="s">
        <v>149</v>
      </c>
      <c r="AF504" s="0" t="s">
        <v>150</v>
      </c>
      <c r="AH504" s="0" t="n">
        <v>14</v>
      </c>
      <c r="AI504" s="0" t="n">
        <v>11</v>
      </c>
      <c r="AN504" s="0" t="s">
        <v>146</v>
      </c>
      <c r="AO504" s="0" t="s">
        <v>236</v>
      </c>
      <c r="AP504" s="0" t="s">
        <v>237</v>
      </c>
      <c r="AQ504" s="0" t="n">
        <v>9</v>
      </c>
      <c r="AR504" s="0" t="n">
        <v>64</v>
      </c>
      <c r="AS504" s="0" t="n">
        <v>32</v>
      </c>
      <c r="AU504" s="0" t="n">
        <f aca="false">COUNTA($BA$521:$EH$521)</f>
        <v>1</v>
      </c>
      <c r="AV504" s="0" t="n">
        <f aca="false">COUNTIF($BA$521:$EH$521,"D")</f>
        <v>0</v>
      </c>
      <c r="AW504" s="0" t="n">
        <f aca="false">COUNTIF($BA$521:$EH$521,"R")</f>
        <v>0</v>
      </c>
      <c r="AX504" s="0" t="n">
        <f aca="false"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>0</v>
      </c>
      <c r="AY504" s="0" t="n">
        <f aca="false">COUNTIF(DU504:EH504, "&lt;&gt;")</f>
        <v>0</v>
      </c>
      <c r="AZ504" s="0" t="n">
        <f aca="false">IF(EH504&lt;&gt;"",1,0)</f>
        <v>0</v>
      </c>
      <c r="BB504" s="0" t="s">
        <v>153</v>
      </c>
      <c r="CP504" s="0" t="s">
        <v>154</v>
      </c>
    </row>
    <row r="505" customFormat="false" ht="13.8" hidden="true" customHeight="false" outlineLevel="0" collapsed="false">
      <c r="A505" s="0" t="s">
        <v>2690</v>
      </c>
      <c r="B505" s="0" t="n">
        <v>78</v>
      </c>
      <c r="C505" s="0" t="n">
        <v>379412</v>
      </c>
      <c r="D505" s="0" t="s">
        <v>2685</v>
      </c>
      <c r="E505" s="0" t="s">
        <v>2691</v>
      </c>
      <c r="F505" s="0" t="str">
        <f aca="false">CONCATENATE(D505," ",LEFT(H505,4),"T=",AU505,"D=",AV505,"R=",AW505,"M=",AX505,"L=",AY505,"B=",AZ505)</f>
        <v>LUTON T=1D=0R=0M=0L=0B=0</v>
      </c>
      <c r="G505" s="0" t="s">
        <v>176</v>
      </c>
      <c r="I505" s="0" t="s">
        <v>2692</v>
      </c>
      <c r="J505" s="0" t="s">
        <v>2693</v>
      </c>
      <c r="K505" s="0" t="s">
        <v>144</v>
      </c>
      <c r="L505" s="0"/>
      <c r="M505" s="0" t="s">
        <v>2689</v>
      </c>
      <c r="N505" s="0" t="str">
        <f aca="false">RIGHT(M505,LEN(M505)-FIND(" ",M505))</f>
        <v>BUENA VISTA AVE NE</v>
      </c>
      <c r="P505" s="0" t="s">
        <v>146</v>
      </c>
      <c r="Q505" s="0" t="s">
        <v>147</v>
      </c>
      <c r="R505" s="0" t="n">
        <v>44483</v>
      </c>
      <c r="AD505" s="0" t="s">
        <v>148</v>
      </c>
      <c r="AE505" s="0" t="s">
        <v>149</v>
      </c>
      <c r="AF505" s="0" t="s">
        <v>150</v>
      </c>
      <c r="AH505" s="0" t="n">
        <v>14</v>
      </c>
      <c r="AI505" s="0" t="n">
        <v>11</v>
      </c>
      <c r="AN505" s="0" t="s">
        <v>146</v>
      </c>
      <c r="AO505" s="0" t="s">
        <v>236</v>
      </c>
      <c r="AP505" s="0" t="s">
        <v>237</v>
      </c>
      <c r="AQ505" s="0" t="n">
        <v>9</v>
      </c>
      <c r="AR505" s="0" t="n">
        <v>64</v>
      </c>
      <c r="AS505" s="0" t="n">
        <v>32</v>
      </c>
      <c r="AU505" s="0" t="n">
        <f aca="false">COUNTA($BA$621:$EH$621)</f>
        <v>1</v>
      </c>
      <c r="AV505" s="0" t="n">
        <f aca="false">COUNTIF($BA$621:$EH$621,"D")</f>
        <v>0</v>
      </c>
      <c r="AW505" s="0" t="n">
        <f aca="false">COUNTIF($BA$621:$EH$621,"R")</f>
        <v>0</v>
      </c>
      <c r="AX505" s="0" t="n">
        <f aca="false"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>0</v>
      </c>
      <c r="AY505" s="0" t="n">
        <f aca="false">COUNTIF(DU505:EH505, "&lt;&gt;")</f>
        <v>0</v>
      </c>
      <c r="AZ505" s="0" t="n">
        <f aca="false">IF(EH505&lt;&gt;"",1,0)</f>
        <v>0</v>
      </c>
      <c r="BB505" s="0" t="s">
        <v>153</v>
      </c>
      <c r="CP505" s="0" t="s">
        <v>154</v>
      </c>
      <c r="CY505" s="0" t="s">
        <v>154</v>
      </c>
    </row>
    <row r="506" customFormat="false" ht="13.8" hidden="false" customHeight="false" outlineLevel="0" collapsed="false">
      <c r="A506" s="0" t="s">
        <v>2694</v>
      </c>
      <c r="B506" s="0" t="n">
        <v>78</v>
      </c>
      <c r="C506" s="0" t="n">
        <v>452540</v>
      </c>
      <c r="D506" s="0" t="s">
        <v>2695</v>
      </c>
      <c r="E506" s="0" t="s">
        <v>502</v>
      </c>
      <c r="F506" s="0" t="str">
        <f aca="false">CONCATENATE(D506," ",LEFT(H506,4),"T=",AU506,"D=",AV506,"R=",AW506,"M=",AX506,"L=",AY506,"B=",AZ506)</f>
        <v>HARRIS SRT=6D=1R=0M=0L=5B=0</v>
      </c>
      <c r="G506" s="0" t="s">
        <v>317</v>
      </c>
      <c r="H506" s="0" t="s">
        <v>311</v>
      </c>
      <c r="I506" s="0" t="s">
        <v>2696</v>
      </c>
      <c r="J506" s="0" t="s">
        <v>2697</v>
      </c>
      <c r="K506" s="0" t="s">
        <v>175</v>
      </c>
      <c r="L506" s="1" t="s">
        <v>155</v>
      </c>
      <c r="M506" s="0" t="s">
        <v>2698</v>
      </c>
      <c r="N506" s="0" t="str">
        <f aca="false">RIGHT(M506,LEN(M506)-FIND(" ",M506))</f>
        <v>BUENA VISTA AVE NE</v>
      </c>
      <c r="P506" s="0" t="s">
        <v>146</v>
      </c>
      <c r="Q506" s="0" t="s">
        <v>147</v>
      </c>
      <c r="R506" s="0" t="n">
        <v>44483</v>
      </c>
      <c r="AD506" s="0" t="s">
        <v>148</v>
      </c>
      <c r="AE506" s="0" t="s">
        <v>149</v>
      </c>
      <c r="AF506" s="0" t="s">
        <v>150</v>
      </c>
      <c r="AH506" s="0" t="n">
        <v>14</v>
      </c>
      <c r="AI506" s="0" t="n">
        <v>11</v>
      </c>
      <c r="AN506" s="0" t="s">
        <v>146</v>
      </c>
      <c r="AO506" s="0" t="s">
        <v>236</v>
      </c>
      <c r="AP506" s="0" t="s">
        <v>237</v>
      </c>
      <c r="AQ506" s="0" t="n">
        <v>9</v>
      </c>
      <c r="AR506" s="0" t="n">
        <v>64</v>
      </c>
      <c r="AS506" s="0" t="n">
        <v>32</v>
      </c>
      <c r="AU506" s="0" t="n">
        <f aca="false">COUNTA($BA$272:$EH$272)</f>
        <v>6</v>
      </c>
      <c r="AV506" s="0" t="n">
        <f aca="false">COUNTIF($BA$272:$EH$272,"D")</f>
        <v>1</v>
      </c>
      <c r="AW506" s="0" t="n">
        <f aca="false">COUNTIF($BA$272:$EH$272,"R")</f>
        <v>0</v>
      </c>
      <c r="AX506" s="0" t="n">
        <f aca="false"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>0</v>
      </c>
      <c r="AY506" s="0" t="n">
        <f aca="false">COUNTIF(DU506:EH506, "&lt;&gt;")</f>
        <v>5</v>
      </c>
      <c r="AZ506" s="0" t="n">
        <f aca="false">IF(EH506&lt;&gt;"",1,0)</f>
        <v>0</v>
      </c>
      <c r="BB506" s="0" t="s">
        <v>153</v>
      </c>
      <c r="DN506" s="0" t="s">
        <v>154</v>
      </c>
      <c r="DR506" s="0" t="s">
        <v>154</v>
      </c>
      <c r="DU506" s="0" t="s">
        <v>154</v>
      </c>
      <c r="DX506" s="0" t="s">
        <v>154</v>
      </c>
      <c r="EA506" s="0" t="s">
        <v>154</v>
      </c>
      <c r="ED506" s="0" t="s">
        <v>155</v>
      </c>
      <c r="EF506" s="0" t="s">
        <v>154</v>
      </c>
    </row>
    <row r="507" customFormat="false" ht="13.8" hidden="true" customHeight="false" outlineLevel="0" collapsed="false">
      <c r="A507" s="0" t="s">
        <v>2699</v>
      </c>
      <c r="B507" s="0" t="n">
        <v>78</v>
      </c>
      <c r="C507" s="0" t="n">
        <v>486503</v>
      </c>
      <c r="D507" s="0" t="s">
        <v>926</v>
      </c>
      <c r="E507" s="0" t="s">
        <v>2700</v>
      </c>
      <c r="F507" s="0" t="str">
        <f aca="false">CONCATENATE(D507," ",LEFT(H507,4),"T=",AU507,"D=",AV507,"R=",AW507,"M=",AX507,"L=",AY507,"B=",AZ507)</f>
        <v>ROSS IIIT=1D=0R=0M=0L=0B=0</v>
      </c>
      <c r="G507" s="0" t="s">
        <v>2701</v>
      </c>
      <c r="H507" s="0" t="s">
        <v>1175</v>
      </c>
      <c r="I507" s="0" t="s">
        <v>2702</v>
      </c>
      <c r="J507" s="0" t="s">
        <v>2703</v>
      </c>
      <c r="K507" s="0" t="s">
        <v>175</v>
      </c>
      <c r="L507" s="0"/>
      <c r="M507" s="0" t="s">
        <v>2704</v>
      </c>
      <c r="N507" s="0" t="str">
        <f aca="false">RIGHT(M507,LEN(M507)-FIND(" ",M507))</f>
        <v>BUENA VISTA AVE NE</v>
      </c>
      <c r="P507" s="0" t="s">
        <v>146</v>
      </c>
      <c r="Q507" s="0" t="s">
        <v>147</v>
      </c>
      <c r="R507" s="0" t="n">
        <v>44483</v>
      </c>
      <c r="AD507" s="0" t="s">
        <v>148</v>
      </c>
      <c r="AE507" s="0" t="s">
        <v>149</v>
      </c>
      <c r="AF507" s="0" t="s">
        <v>150</v>
      </c>
      <c r="AH507" s="0" t="n">
        <v>14</v>
      </c>
      <c r="AI507" s="0" t="n">
        <v>11</v>
      </c>
      <c r="AN507" s="0" t="s">
        <v>146</v>
      </c>
      <c r="AO507" s="0" t="s">
        <v>236</v>
      </c>
      <c r="AP507" s="0" t="s">
        <v>237</v>
      </c>
      <c r="AQ507" s="0" t="n">
        <v>9</v>
      </c>
      <c r="AR507" s="0" t="n">
        <v>64</v>
      </c>
      <c r="AS507" s="0" t="n">
        <v>32</v>
      </c>
      <c r="AU507" s="0" t="n">
        <f aca="false">COUNTA($BA$58:$EH$58)</f>
        <v>1</v>
      </c>
      <c r="AV507" s="0" t="n">
        <f aca="false">COUNTIF($BA$58:$EH$58,"D")</f>
        <v>0</v>
      </c>
      <c r="AW507" s="0" t="n">
        <f aca="false">COUNTIF($BA$58:$EH$58,"R")</f>
        <v>0</v>
      </c>
      <c r="AX507" s="0" t="n">
        <f aca="false"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>0</v>
      </c>
      <c r="AY507" s="0" t="n">
        <f aca="false">COUNTIF(DU507:EH507, "&lt;&gt;")</f>
        <v>0</v>
      </c>
      <c r="AZ507" s="0" t="n">
        <f aca="false">IF(EH507&lt;&gt;"",1,0)</f>
        <v>0</v>
      </c>
      <c r="BB507" s="0" t="s">
        <v>153</v>
      </c>
    </row>
    <row r="508" customFormat="false" ht="13.8" hidden="true" customHeight="false" outlineLevel="0" collapsed="false">
      <c r="A508" s="0" t="s">
        <v>2705</v>
      </c>
      <c r="B508" s="0" t="n">
        <v>78</v>
      </c>
      <c r="C508" s="0" t="n">
        <v>434056</v>
      </c>
      <c r="D508" s="0" t="s">
        <v>2706</v>
      </c>
      <c r="E508" s="0" t="s">
        <v>863</v>
      </c>
      <c r="F508" s="0" t="str">
        <f aca="false">CONCATENATE(D508," ",LEFT(H508,4),"T=",AU508,"D=",AV508,"R=",AW508,"M=",AX508,"L=",AY508,"B=",AZ508)</f>
        <v>GROOVER ROSS T=9D=1R=1M=0L=0B=0</v>
      </c>
      <c r="G508" s="0" t="s">
        <v>1446</v>
      </c>
      <c r="I508" s="0" t="s">
        <v>2707</v>
      </c>
      <c r="J508" s="0" t="s">
        <v>1580</v>
      </c>
      <c r="K508" s="0" t="s">
        <v>175</v>
      </c>
      <c r="L508" s="0"/>
      <c r="M508" s="0" t="s">
        <v>2704</v>
      </c>
      <c r="N508" s="0" t="str">
        <f aca="false">RIGHT(M508,LEN(M508)-FIND(" ",M508))</f>
        <v>BUENA VISTA AVE NE</v>
      </c>
      <c r="P508" s="0" t="s">
        <v>146</v>
      </c>
      <c r="Q508" s="0" t="s">
        <v>147</v>
      </c>
      <c r="R508" s="0" t="n">
        <v>44483</v>
      </c>
      <c r="AD508" s="0" t="s">
        <v>148</v>
      </c>
      <c r="AE508" s="0" t="s">
        <v>149</v>
      </c>
      <c r="AF508" s="0" t="s">
        <v>150</v>
      </c>
      <c r="AH508" s="0" t="n">
        <v>14</v>
      </c>
      <c r="AI508" s="0" t="n">
        <v>11</v>
      </c>
      <c r="AN508" s="0" t="s">
        <v>146</v>
      </c>
      <c r="AO508" s="0" t="s">
        <v>236</v>
      </c>
      <c r="AP508" s="0" t="s">
        <v>237</v>
      </c>
      <c r="AQ508" s="0" t="n">
        <v>9</v>
      </c>
      <c r="AR508" s="0" t="n">
        <v>64</v>
      </c>
      <c r="AS508" s="0" t="n">
        <v>32</v>
      </c>
      <c r="AU508" s="0" t="n">
        <f aca="false">COUNTA($BA$1074:$EH$1074)</f>
        <v>9</v>
      </c>
      <c r="AV508" s="0" t="n">
        <f aca="false">COUNTIF($BA$1074:$EH$1074,"D")</f>
        <v>1</v>
      </c>
      <c r="AW508" s="0" t="n">
        <f aca="false">COUNTIF($BA$1074:$EH$1074,"R")</f>
        <v>1</v>
      </c>
      <c r="AX508" s="0" t="n">
        <f aca="false"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>0</v>
      </c>
      <c r="AY508" s="0" t="n">
        <f aca="false">COUNTIF(DU508:EH508, "&lt;&gt;")</f>
        <v>0</v>
      </c>
      <c r="AZ508" s="0" t="n">
        <f aca="false">IF(EH508&lt;&gt;"",1,0)</f>
        <v>0</v>
      </c>
      <c r="BB508" s="0" t="s">
        <v>153</v>
      </c>
    </row>
    <row r="509" customFormat="false" ht="13.8" hidden="true" customHeight="false" outlineLevel="0" collapsed="false">
      <c r="A509" s="0" t="s">
        <v>2708</v>
      </c>
      <c r="B509" s="0" t="n">
        <v>78</v>
      </c>
      <c r="C509" s="0" t="n">
        <v>361290</v>
      </c>
      <c r="D509" s="0" t="s">
        <v>2709</v>
      </c>
      <c r="E509" s="0" t="s">
        <v>2710</v>
      </c>
      <c r="F509" s="0" t="str">
        <f aca="false">CONCATENATE(D509," ",LEFT(H509,4),"T=",AU509,"D=",AV509,"R=",AW509,"M=",AX509,"L=",AY509,"B=",AZ509)</f>
        <v>GOULD T=2D=0R=0M=0L=0B=0</v>
      </c>
      <c r="G509" s="0" t="s">
        <v>297</v>
      </c>
      <c r="I509" s="0" t="s">
        <v>2711</v>
      </c>
      <c r="J509" s="0" t="s">
        <v>2712</v>
      </c>
      <c r="K509" s="0" t="s">
        <v>144</v>
      </c>
      <c r="L509" s="0"/>
      <c r="M509" s="0" t="s">
        <v>2713</v>
      </c>
      <c r="N509" s="0" t="str">
        <f aca="false">RIGHT(M509,LEN(M509)-FIND(" ",M509))</f>
        <v>BUENA VISTA AVE NE</v>
      </c>
      <c r="P509" s="0" t="s">
        <v>146</v>
      </c>
      <c r="Q509" s="0" t="s">
        <v>147</v>
      </c>
      <c r="R509" s="0" t="n">
        <v>44483</v>
      </c>
      <c r="AD509" s="0" t="s">
        <v>148</v>
      </c>
      <c r="AE509" s="0" t="s">
        <v>149</v>
      </c>
      <c r="AF509" s="0" t="s">
        <v>150</v>
      </c>
      <c r="AH509" s="0" t="n">
        <v>14</v>
      </c>
      <c r="AI509" s="0" t="n">
        <v>11</v>
      </c>
      <c r="AN509" s="0" t="s">
        <v>146</v>
      </c>
      <c r="AO509" s="0" t="s">
        <v>236</v>
      </c>
      <c r="AP509" s="0" t="s">
        <v>237</v>
      </c>
      <c r="AQ509" s="0" t="n">
        <v>9</v>
      </c>
      <c r="AR509" s="0" t="n">
        <v>64</v>
      </c>
      <c r="AS509" s="0" t="n">
        <v>32</v>
      </c>
      <c r="AU509" s="0" t="n">
        <f aca="false">COUNTA($BA$439:$EH$439)</f>
        <v>2</v>
      </c>
      <c r="AV509" s="0" t="n">
        <f aca="false">COUNTIF($BA$439:$EH$439,"D")</f>
        <v>0</v>
      </c>
      <c r="AW509" s="0" t="n">
        <f aca="false">COUNTIF($BA$439:$EH$439,"R")</f>
        <v>0</v>
      </c>
      <c r="AX509" s="0" t="n">
        <f aca="false"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>0</v>
      </c>
      <c r="AY509" s="0" t="n">
        <f aca="false">COUNTIF(DU509:EH509, "&lt;&gt;")</f>
        <v>0</v>
      </c>
      <c r="AZ509" s="0" t="n">
        <f aca="false">IF(EH509&lt;&gt;"",1,0)</f>
        <v>0</v>
      </c>
      <c r="BB509" s="0" t="s">
        <v>153</v>
      </c>
      <c r="CY509" s="0" t="s">
        <v>154</v>
      </c>
    </row>
    <row r="510" customFormat="false" ht="13.8" hidden="true" customHeight="false" outlineLevel="0" collapsed="false">
      <c r="A510" s="0" t="s">
        <v>2714</v>
      </c>
      <c r="B510" s="0" t="n">
        <v>78</v>
      </c>
      <c r="C510" s="0" t="n">
        <v>411533</v>
      </c>
      <c r="D510" s="0" t="s">
        <v>1906</v>
      </c>
      <c r="E510" s="0" t="s">
        <v>2715</v>
      </c>
      <c r="F510" s="0" t="str">
        <f aca="false">CONCATENATE(D510," ",LEFT(H510,4),"T=",AU510,"D=",AV510,"R=",AW510,"M=",AX510,"L=",AY510,"B=",AZ510)</f>
        <v>GORE IIIT=5D=0R=0M=0L=0B=0</v>
      </c>
      <c r="G510" s="0" t="s">
        <v>365</v>
      </c>
      <c r="H510" s="0" t="s">
        <v>1175</v>
      </c>
      <c r="I510" s="0" t="s">
        <v>2716</v>
      </c>
      <c r="J510" s="0" t="s">
        <v>2717</v>
      </c>
      <c r="K510" s="0" t="s">
        <v>144</v>
      </c>
      <c r="L510" s="0"/>
      <c r="M510" s="0" t="s">
        <v>2713</v>
      </c>
      <c r="N510" s="0" t="str">
        <f aca="false">RIGHT(M510,LEN(M510)-FIND(" ",M510))</f>
        <v>BUENA VISTA AVE NE</v>
      </c>
      <c r="P510" s="0" t="s">
        <v>146</v>
      </c>
      <c r="Q510" s="0" t="s">
        <v>147</v>
      </c>
      <c r="R510" s="0" t="n">
        <v>44483</v>
      </c>
      <c r="AD510" s="0" t="s">
        <v>148</v>
      </c>
      <c r="AE510" s="0" t="s">
        <v>149</v>
      </c>
      <c r="AF510" s="0" t="s">
        <v>150</v>
      </c>
      <c r="AH510" s="0" t="n">
        <v>14</v>
      </c>
      <c r="AI510" s="0" t="n">
        <v>11</v>
      </c>
      <c r="AN510" s="0" t="s">
        <v>146</v>
      </c>
      <c r="AO510" s="0" t="s">
        <v>236</v>
      </c>
      <c r="AP510" s="0" t="s">
        <v>237</v>
      </c>
      <c r="AQ510" s="0" t="n">
        <v>9</v>
      </c>
      <c r="AR510" s="0" t="n">
        <v>64</v>
      </c>
      <c r="AS510" s="0" t="n">
        <v>32</v>
      </c>
      <c r="AU510" s="0" t="n">
        <f aca="false">COUNTA($BA$624:$EH$624)</f>
        <v>5</v>
      </c>
      <c r="AV510" s="0" t="n">
        <f aca="false">COUNTIF($BA$624:$EH$624,"D")</f>
        <v>0</v>
      </c>
      <c r="AW510" s="0" t="n">
        <f aca="false">COUNTIF($BA$624:$EH$624,"R")</f>
        <v>0</v>
      </c>
      <c r="AX510" s="0" t="n">
        <f aca="false"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>0</v>
      </c>
      <c r="AY510" s="0" t="n">
        <f aca="false">COUNTIF(DU510:EH510, "&lt;&gt;")</f>
        <v>0</v>
      </c>
      <c r="AZ510" s="0" t="n">
        <f aca="false">IF(EH510&lt;&gt;"",1,0)</f>
        <v>0</v>
      </c>
      <c r="BB510" s="0" t="s">
        <v>153</v>
      </c>
    </row>
    <row r="511" customFormat="false" ht="13.8" hidden="true" customHeight="false" outlineLevel="0" collapsed="false">
      <c r="A511" s="0" t="s">
        <v>2718</v>
      </c>
      <c r="B511" s="0" t="n">
        <v>78</v>
      </c>
      <c r="C511" s="0" t="n">
        <v>464847</v>
      </c>
      <c r="D511" s="0" t="s">
        <v>2719</v>
      </c>
      <c r="E511" s="0" t="s">
        <v>2720</v>
      </c>
      <c r="F511" s="0" t="str">
        <f aca="false">CONCATENATE(D511," ",LEFT(H511,4),"T=",AU511,"D=",AV511,"R=",AW511,"M=",AX511,"L=",AY511,"B=",AZ511)</f>
        <v>HELMAN T=4D=0R=0M=0L=0B=0</v>
      </c>
      <c r="G511" s="0" t="s">
        <v>2721</v>
      </c>
      <c r="I511" s="0" t="s">
        <v>2722</v>
      </c>
      <c r="J511" s="0" t="s">
        <v>2723</v>
      </c>
      <c r="K511" s="0" t="s">
        <v>175</v>
      </c>
      <c r="L511" s="0"/>
      <c r="M511" s="0" t="s">
        <v>2724</v>
      </c>
      <c r="N511" s="0" t="str">
        <f aca="false">RIGHT(M511,LEN(M511)-FIND(" ",M511))</f>
        <v>BUENA VISTA AVE NE</v>
      </c>
      <c r="P511" s="0" t="s">
        <v>146</v>
      </c>
      <c r="Q511" s="0" t="s">
        <v>147</v>
      </c>
      <c r="R511" s="0" t="n">
        <v>44483</v>
      </c>
      <c r="AD511" s="0" t="s">
        <v>148</v>
      </c>
      <c r="AE511" s="0" t="s">
        <v>149</v>
      </c>
      <c r="AF511" s="0" t="s">
        <v>150</v>
      </c>
      <c r="AH511" s="0" t="n">
        <v>14</v>
      </c>
      <c r="AI511" s="0" t="n">
        <v>11</v>
      </c>
      <c r="AN511" s="0" t="s">
        <v>146</v>
      </c>
      <c r="AO511" s="0" t="s">
        <v>236</v>
      </c>
      <c r="AP511" s="0" t="s">
        <v>237</v>
      </c>
      <c r="AQ511" s="0" t="n">
        <v>9</v>
      </c>
      <c r="AR511" s="0" t="n">
        <v>64</v>
      </c>
      <c r="AS511" s="0" t="n">
        <v>32</v>
      </c>
      <c r="AU511" s="0" t="n">
        <f aca="false">COUNTA($BA$300:$EH$300)</f>
        <v>4</v>
      </c>
      <c r="AV511" s="0" t="n">
        <f aca="false">COUNTIF($BA$300:$EH$300,"D")</f>
        <v>0</v>
      </c>
      <c r="AW511" s="0" t="n">
        <f aca="false">COUNTIF($BA$300:$EH$300,"R")</f>
        <v>0</v>
      </c>
      <c r="AX511" s="0" t="n">
        <f aca="false"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>0</v>
      </c>
      <c r="AY511" s="0" t="n">
        <f aca="false">COUNTIF(DU511:EH511, "&lt;&gt;")</f>
        <v>0</v>
      </c>
      <c r="AZ511" s="0" t="n">
        <f aca="false">IF(EH511&lt;&gt;"",1,0)</f>
        <v>0</v>
      </c>
      <c r="BB511" s="0" t="s">
        <v>153</v>
      </c>
    </row>
    <row r="512" customFormat="false" ht="13.8" hidden="false" customHeight="false" outlineLevel="0" collapsed="false">
      <c r="A512" s="0" t="s">
        <v>2725</v>
      </c>
      <c r="B512" s="0" t="n">
        <v>78</v>
      </c>
      <c r="C512" s="0" t="n">
        <v>192156</v>
      </c>
      <c r="D512" s="0" t="s">
        <v>2726</v>
      </c>
      <c r="E512" s="0" t="s">
        <v>750</v>
      </c>
      <c r="F512" s="0" t="str">
        <f aca="false">CONCATENATE(D512," ",LEFT(H512,4),"T=",AU512,"D=",AV512,"R=",AW512,"M=",AX512,"L=",AY512,"B=",AZ512)</f>
        <v>HOVER T=5D=0R=0M=2L=5B=0</v>
      </c>
      <c r="G512" s="0" t="s">
        <v>172</v>
      </c>
      <c r="I512" s="0" t="s">
        <v>2727</v>
      </c>
      <c r="J512" s="0" t="s">
        <v>2728</v>
      </c>
      <c r="K512" s="0" t="s">
        <v>175</v>
      </c>
      <c r="L512" s="1" t="s">
        <v>155</v>
      </c>
      <c r="M512" s="0" t="s">
        <v>2729</v>
      </c>
      <c r="N512" s="0" t="str">
        <f aca="false">RIGHT(M512,LEN(M512)-FIND(" ",M512))</f>
        <v>BUENA VISTA AVE NE</v>
      </c>
      <c r="P512" s="0" t="s">
        <v>146</v>
      </c>
      <c r="Q512" s="0" t="s">
        <v>147</v>
      </c>
      <c r="R512" s="0" t="n">
        <v>44483</v>
      </c>
      <c r="AD512" s="0" t="s">
        <v>148</v>
      </c>
      <c r="AE512" s="0" t="s">
        <v>149</v>
      </c>
      <c r="AF512" s="0" t="s">
        <v>150</v>
      </c>
      <c r="AH512" s="0" t="n">
        <v>14</v>
      </c>
      <c r="AI512" s="0" t="n">
        <v>11</v>
      </c>
      <c r="AN512" s="0" t="s">
        <v>146</v>
      </c>
      <c r="AO512" s="0" t="s">
        <v>236</v>
      </c>
      <c r="AP512" s="0" t="s">
        <v>237</v>
      </c>
      <c r="AQ512" s="0" t="n">
        <v>9</v>
      </c>
      <c r="AR512" s="0" t="n">
        <v>64</v>
      </c>
      <c r="AS512" s="0" t="n">
        <v>32</v>
      </c>
      <c r="AU512" s="0" t="n">
        <f aca="false">COUNTA($BA$627:$EH$627)</f>
        <v>5</v>
      </c>
      <c r="AV512" s="0" t="n">
        <f aca="false">COUNTIF($BA$627:$EH$627,"D")</f>
        <v>0</v>
      </c>
      <c r="AW512" s="0" t="n">
        <f aca="false">COUNTIF($BA$627:$EH$627,"R")</f>
        <v>0</v>
      </c>
      <c r="AX512" s="0" t="n">
        <f aca="false"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>2</v>
      </c>
      <c r="AY512" s="0" t="n">
        <f aca="false">COUNTIF(DU512:EH512, "&lt;&gt;")</f>
        <v>5</v>
      </c>
      <c r="AZ512" s="0" t="n">
        <f aca="false">IF(EH512&lt;&gt;"",1,0)</f>
        <v>0</v>
      </c>
      <c r="BB512" s="0" t="s">
        <v>153</v>
      </c>
      <c r="BD512" s="0" t="s">
        <v>154</v>
      </c>
      <c r="BH512" s="0" t="s">
        <v>154</v>
      </c>
      <c r="BL512" s="0" t="s">
        <v>154</v>
      </c>
      <c r="BS512" s="0" t="s">
        <v>154</v>
      </c>
      <c r="BY512" s="0" t="s">
        <v>155</v>
      </c>
      <c r="CA512" s="0" t="s">
        <v>154</v>
      </c>
      <c r="CL512" s="0" t="s">
        <v>155</v>
      </c>
      <c r="CN512" s="0" t="s">
        <v>154</v>
      </c>
      <c r="CO512" s="0" t="s">
        <v>155</v>
      </c>
      <c r="CP512" s="0" t="s">
        <v>154</v>
      </c>
      <c r="CV512" s="0" t="s">
        <v>154</v>
      </c>
      <c r="CY512" s="0" t="s">
        <v>154</v>
      </c>
      <c r="DC512" s="0" t="s">
        <v>154</v>
      </c>
      <c r="DI512" s="0" t="s">
        <v>154</v>
      </c>
      <c r="DN512" s="0" t="s">
        <v>154</v>
      </c>
      <c r="DS512" s="0" t="s">
        <v>176</v>
      </c>
      <c r="DT512" s="0" t="s">
        <v>176</v>
      </c>
      <c r="DU512" s="0" t="s">
        <v>154</v>
      </c>
      <c r="DW512" s="0" t="s">
        <v>155</v>
      </c>
      <c r="DX512" s="0" t="s">
        <v>154</v>
      </c>
      <c r="EA512" s="0" t="s">
        <v>154</v>
      </c>
      <c r="EF512" s="0" t="s">
        <v>154</v>
      </c>
    </row>
    <row r="513" customFormat="false" ht="13.8" hidden="true" customHeight="false" outlineLevel="0" collapsed="false">
      <c r="A513" s="0" t="s">
        <v>2730</v>
      </c>
      <c r="B513" s="0" t="n">
        <v>78</v>
      </c>
      <c r="C513" s="0" t="n">
        <v>408084</v>
      </c>
      <c r="D513" s="0" t="s">
        <v>1549</v>
      </c>
      <c r="E513" s="0" t="s">
        <v>744</v>
      </c>
      <c r="F513" s="0" t="str">
        <f aca="false">CONCATENATE(D513," ",LEFT(H513,4),"T=",AU513,"D=",AV513,"R=",AW513,"M=",AX513,"L=",AY513,"B=",AZ513)</f>
        <v>WILSON T=9D=1R=0M=0L=0B=0</v>
      </c>
      <c r="G513" s="0" t="s">
        <v>159</v>
      </c>
      <c r="I513" s="0" t="s">
        <v>2731</v>
      </c>
      <c r="J513" s="0" t="s">
        <v>2732</v>
      </c>
      <c r="K513" s="0" t="s">
        <v>144</v>
      </c>
      <c r="L513" s="0"/>
      <c r="M513" s="0" t="s">
        <v>2733</v>
      </c>
      <c r="N513" s="0" t="str">
        <f aca="false">RIGHT(M513,LEN(M513)-FIND(" ",M513))</f>
        <v>BUENA VISTA AVE NE</v>
      </c>
      <c r="P513" s="0" t="s">
        <v>146</v>
      </c>
      <c r="Q513" s="0" t="s">
        <v>147</v>
      </c>
      <c r="R513" s="0" t="n">
        <v>44483</v>
      </c>
      <c r="AD513" s="0" t="s">
        <v>148</v>
      </c>
      <c r="AE513" s="0" t="s">
        <v>149</v>
      </c>
      <c r="AF513" s="0" t="s">
        <v>150</v>
      </c>
      <c r="AH513" s="0" t="n">
        <v>14</v>
      </c>
      <c r="AI513" s="0" t="n">
        <v>11</v>
      </c>
      <c r="AN513" s="0" t="s">
        <v>146</v>
      </c>
      <c r="AO513" s="0" t="s">
        <v>236</v>
      </c>
      <c r="AP513" s="0" t="s">
        <v>237</v>
      </c>
      <c r="AQ513" s="0" t="n">
        <v>9</v>
      </c>
      <c r="AR513" s="0" t="n">
        <v>64</v>
      </c>
      <c r="AS513" s="0" t="n">
        <v>32</v>
      </c>
      <c r="AU513" s="0" t="n">
        <f aca="false">COUNTA($BA$35:$EH$35)</f>
        <v>9</v>
      </c>
      <c r="AV513" s="0" t="n">
        <f aca="false">COUNTIF($BA$35:$EH$35,"D")</f>
        <v>1</v>
      </c>
      <c r="AW513" s="0" t="n">
        <f aca="false">COUNTIF($BA$35:$EH$35,"R")</f>
        <v>0</v>
      </c>
      <c r="AX513" s="0" t="n">
        <f aca="false"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>0</v>
      </c>
      <c r="AY513" s="0" t="n">
        <f aca="false">COUNTIF(DU513:EH513, "&lt;&gt;")</f>
        <v>0</v>
      </c>
      <c r="AZ513" s="0" t="n">
        <f aca="false">IF(EH513&lt;&gt;"",1,0)</f>
        <v>0</v>
      </c>
      <c r="BB513" s="0" t="s">
        <v>153</v>
      </c>
    </row>
    <row r="514" customFormat="false" ht="13.8" hidden="false" customHeight="false" outlineLevel="0" collapsed="false">
      <c r="A514" s="0" t="s">
        <v>2734</v>
      </c>
      <c r="B514" s="0" t="n">
        <v>78</v>
      </c>
      <c r="C514" s="0" t="n">
        <v>156980</v>
      </c>
      <c r="D514" s="0" t="s">
        <v>2735</v>
      </c>
      <c r="E514" s="0" t="s">
        <v>328</v>
      </c>
      <c r="F514" s="0" t="str">
        <f aca="false">CONCATENATE(D514," ",LEFT(H514,4),"T=",AU514,"D=",AV514,"R=",AW514,"M=",AX514,"L=",AY514,"B=",AZ514)</f>
        <v>STOSKY T=9D=2R=0M=1L=5B=0</v>
      </c>
      <c r="G514" s="0" t="s">
        <v>365</v>
      </c>
      <c r="I514" s="0" t="s">
        <v>2736</v>
      </c>
      <c r="J514" s="0" t="s">
        <v>1570</v>
      </c>
      <c r="K514" s="0" t="s">
        <v>175</v>
      </c>
      <c r="L514" s="1" t="s">
        <v>176</v>
      </c>
      <c r="M514" s="0" t="s">
        <v>2737</v>
      </c>
      <c r="N514" s="0" t="str">
        <f aca="false">RIGHT(M514,LEN(M514)-FIND(" ",M514))</f>
        <v>BUENA VISTA AVE NE</v>
      </c>
      <c r="P514" s="0" t="s">
        <v>146</v>
      </c>
      <c r="Q514" s="0" t="s">
        <v>147</v>
      </c>
      <c r="R514" s="0" t="n">
        <v>44483</v>
      </c>
      <c r="AD514" s="0" t="s">
        <v>148</v>
      </c>
      <c r="AE514" s="0" t="s">
        <v>149</v>
      </c>
      <c r="AF514" s="0" t="s">
        <v>150</v>
      </c>
      <c r="AH514" s="0" t="n">
        <v>14</v>
      </c>
      <c r="AI514" s="0" t="n">
        <v>11</v>
      </c>
      <c r="AN514" s="0" t="s">
        <v>146</v>
      </c>
      <c r="AO514" s="0" t="s">
        <v>236</v>
      </c>
      <c r="AP514" s="0" t="s">
        <v>237</v>
      </c>
      <c r="AQ514" s="0" t="n">
        <v>9</v>
      </c>
      <c r="AR514" s="0" t="n">
        <v>64</v>
      </c>
      <c r="AS514" s="0" t="n">
        <v>32</v>
      </c>
      <c r="AU514" s="0" t="n">
        <f aca="false">COUNTA($BA$762:$EH$762)</f>
        <v>9</v>
      </c>
      <c r="AV514" s="0" t="n">
        <f aca="false">COUNTIF($BA$762:$EH$762,"D")</f>
        <v>2</v>
      </c>
      <c r="AW514" s="0" t="n">
        <f aca="false">COUNTIF($BA$762:$EH$762,"R")</f>
        <v>0</v>
      </c>
      <c r="AX514" s="0" t="n">
        <f aca="false"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>1</v>
      </c>
      <c r="AY514" s="0" t="n">
        <f aca="false">COUNTIF(DU514:EH514, "&lt;&gt;")</f>
        <v>5</v>
      </c>
      <c r="AZ514" s="0" t="n">
        <f aca="false">IF(EH514&lt;&gt;"",1,0)</f>
        <v>0</v>
      </c>
      <c r="BB514" s="0" t="s">
        <v>153</v>
      </c>
      <c r="BC514" s="0" t="s">
        <v>154</v>
      </c>
      <c r="BD514" s="0" t="s">
        <v>154</v>
      </c>
      <c r="BE514" s="0" t="s">
        <v>154</v>
      </c>
      <c r="BF514" s="0" t="s">
        <v>154</v>
      </c>
      <c r="BG514" s="0" t="s">
        <v>154</v>
      </c>
      <c r="BH514" s="0" t="s">
        <v>154</v>
      </c>
      <c r="BI514" s="0" t="s">
        <v>154</v>
      </c>
      <c r="BJ514" s="0" t="s">
        <v>154</v>
      </c>
      <c r="BK514" s="0" t="s">
        <v>154</v>
      </c>
      <c r="BL514" s="0" t="s">
        <v>154</v>
      </c>
      <c r="BR514" s="0" t="s">
        <v>154</v>
      </c>
      <c r="BS514" s="0" t="s">
        <v>154</v>
      </c>
      <c r="BV514" s="0" t="s">
        <v>154</v>
      </c>
      <c r="BY514" s="0" t="s">
        <v>155</v>
      </c>
      <c r="CA514" s="0" t="s">
        <v>154</v>
      </c>
      <c r="CK514" s="0" t="s">
        <v>154</v>
      </c>
      <c r="CL514" s="0" t="s">
        <v>155</v>
      </c>
      <c r="CN514" s="0" t="s">
        <v>154</v>
      </c>
      <c r="CO514" s="0" t="s">
        <v>176</v>
      </c>
      <c r="CP514" s="0" t="s">
        <v>154</v>
      </c>
      <c r="DM514" s="0" t="s">
        <v>176</v>
      </c>
      <c r="DN514" s="0" t="s">
        <v>154</v>
      </c>
      <c r="DS514" s="0" t="s">
        <v>176</v>
      </c>
      <c r="DU514" s="0" t="s">
        <v>154</v>
      </c>
      <c r="DX514" s="0" t="s">
        <v>154</v>
      </c>
      <c r="EA514" s="0" t="s">
        <v>154</v>
      </c>
      <c r="ED514" s="0" t="s">
        <v>176</v>
      </c>
      <c r="EF514" s="0" t="s">
        <v>154</v>
      </c>
    </row>
    <row r="515" customFormat="false" ht="13.8" hidden="false" customHeight="false" outlineLevel="0" collapsed="false">
      <c r="A515" s="0" t="s">
        <v>2738</v>
      </c>
      <c r="B515" s="0" t="n">
        <v>78</v>
      </c>
      <c r="C515" s="0" t="n">
        <v>396294</v>
      </c>
      <c r="D515" s="0" t="s">
        <v>1869</v>
      </c>
      <c r="E515" s="0" t="s">
        <v>2739</v>
      </c>
      <c r="F515" s="0" t="str">
        <f aca="false">CONCATENATE(D515," ",LEFT(H515,4),"T=",AU515,"D=",AV515,"R=",AW515,"M=",AX515,"L=",AY515,"B=",AZ515)</f>
        <v>PROVITT T=7D=0R=0M=0L=2B=0</v>
      </c>
      <c r="G515" s="0" t="s">
        <v>297</v>
      </c>
      <c r="I515" s="0" t="s">
        <v>2740</v>
      </c>
      <c r="J515" s="0" t="s">
        <v>2741</v>
      </c>
      <c r="K515" s="0" t="s">
        <v>175</v>
      </c>
      <c r="M515" s="0" t="s">
        <v>2742</v>
      </c>
      <c r="N515" s="0" t="str">
        <f aca="false">RIGHT(M515,LEN(M515)-FIND(" ",M515))</f>
        <v>CLERMONT AVE NE</v>
      </c>
      <c r="P515" s="0" t="s">
        <v>146</v>
      </c>
      <c r="Q515" s="0" t="s">
        <v>147</v>
      </c>
      <c r="R515" s="0" t="n">
        <v>44483</v>
      </c>
      <c r="AD515" s="0" t="s">
        <v>148</v>
      </c>
      <c r="AE515" s="0" t="s">
        <v>149</v>
      </c>
      <c r="AF515" s="0" t="s">
        <v>150</v>
      </c>
      <c r="AH515" s="0" t="n">
        <v>14</v>
      </c>
      <c r="AI515" s="0" t="n">
        <v>11</v>
      </c>
      <c r="AN515" s="0" t="s">
        <v>146</v>
      </c>
      <c r="AO515" s="0" t="s">
        <v>236</v>
      </c>
      <c r="AP515" s="0" t="s">
        <v>237</v>
      </c>
      <c r="AQ515" s="0" t="n">
        <v>9</v>
      </c>
      <c r="AR515" s="0" t="n">
        <v>64</v>
      </c>
      <c r="AS515" s="0" t="n">
        <v>32</v>
      </c>
      <c r="AU515" s="0" t="n">
        <f aca="false">COUNTA($BA$845:$EH$845)</f>
        <v>7</v>
      </c>
      <c r="AV515" s="0" t="n">
        <f aca="false">COUNTIF($BA$845:$EH$845,"D")</f>
        <v>0</v>
      </c>
      <c r="AW515" s="0" t="n">
        <f aca="false">COUNTIF($BA$845:$EH$845,"R")</f>
        <v>0</v>
      </c>
      <c r="AX515" s="0" t="n">
        <f aca="false"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>0</v>
      </c>
      <c r="AY515" s="0" t="n">
        <f aca="false">COUNTIF(DU515:EH515, "&lt;&gt;")</f>
        <v>2</v>
      </c>
      <c r="AZ515" s="0" t="n">
        <f aca="false">IF(EH515&lt;&gt;"",1,0)</f>
        <v>0</v>
      </c>
      <c r="BB515" s="0" t="s">
        <v>153</v>
      </c>
      <c r="BL515" s="0" t="s">
        <v>154</v>
      </c>
      <c r="CU515" s="0" t="s">
        <v>155</v>
      </c>
      <c r="CZ515" s="0" t="s">
        <v>514</v>
      </c>
      <c r="DC515" s="0" t="s">
        <v>154</v>
      </c>
      <c r="DI515" s="0" t="s">
        <v>154</v>
      </c>
      <c r="DN515" s="0" t="s">
        <v>154</v>
      </c>
      <c r="EA515" s="0" t="s">
        <v>154</v>
      </c>
      <c r="EF515" s="0" t="s">
        <v>154</v>
      </c>
    </row>
    <row r="516" customFormat="false" ht="13.8" hidden="true" customHeight="false" outlineLevel="0" collapsed="false">
      <c r="A516" s="0" t="s">
        <v>2743</v>
      </c>
      <c r="B516" s="0" t="n">
        <v>78</v>
      </c>
      <c r="C516" s="0" t="n">
        <v>457466</v>
      </c>
      <c r="D516" s="0" t="s">
        <v>2410</v>
      </c>
      <c r="E516" s="0" t="s">
        <v>524</v>
      </c>
      <c r="F516" s="0" t="str">
        <f aca="false">CONCATENATE(D516," ",LEFT(H516,4),"T=",AU516,"D=",AV516,"R=",AW516,"M=",AX516,"L=",AY516,"B=",AZ516)</f>
        <v>BARNES T=18D=1R=4M=0L=0B=0</v>
      </c>
      <c r="G516" s="0" t="s">
        <v>139</v>
      </c>
      <c r="I516" s="0" t="s">
        <v>2744</v>
      </c>
      <c r="J516" s="0" t="s">
        <v>2745</v>
      </c>
      <c r="K516" s="0" t="s">
        <v>175</v>
      </c>
      <c r="L516" s="0"/>
      <c r="M516" s="0" t="s">
        <v>2746</v>
      </c>
      <c r="N516" s="0" t="str">
        <f aca="false">RIGHT(M516,LEN(M516)-FIND(" ",M516))</f>
        <v>CLERMONT AVE NE</v>
      </c>
      <c r="P516" s="0" t="s">
        <v>146</v>
      </c>
      <c r="Q516" s="0" t="s">
        <v>147</v>
      </c>
      <c r="R516" s="0" t="n">
        <v>44483</v>
      </c>
      <c r="AD516" s="0" t="s">
        <v>148</v>
      </c>
      <c r="AE516" s="0" t="s">
        <v>149</v>
      </c>
      <c r="AF516" s="0" t="s">
        <v>150</v>
      </c>
      <c r="AH516" s="0" t="n">
        <v>14</v>
      </c>
      <c r="AI516" s="0" t="n">
        <v>11</v>
      </c>
      <c r="AN516" s="0" t="s">
        <v>146</v>
      </c>
      <c r="AO516" s="0" t="s">
        <v>236</v>
      </c>
      <c r="AP516" s="0" t="s">
        <v>237</v>
      </c>
      <c r="AQ516" s="0" t="n">
        <v>9</v>
      </c>
      <c r="AR516" s="0" t="n">
        <v>64</v>
      </c>
      <c r="AS516" s="0" t="n">
        <v>32</v>
      </c>
      <c r="AU516" s="0" t="n">
        <f aca="false">COUNTA($BA$139:$EH$139)</f>
        <v>18</v>
      </c>
      <c r="AV516" s="0" t="n">
        <f aca="false">COUNTIF($BA$139:$EH$139,"D")</f>
        <v>1</v>
      </c>
      <c r="AW516" s="0" t="n">
        <f aca="false">COUNTIF($BA$139:$EH$139,"R")</f>
        <v>4</v>
      </c>
      <c r="AX516" s="0" t="n">
        <f aca="false"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>0</v>
      </c>
      <c r="AY516" s="0" t="n">
        <f aca="false">COUNTIF(DU516:EH516, "&lt;&gt;")</f>
        <v>0</v>
      </c>
      <c r="AZ516" s="0" t="n">
        <f aca="false">IF(EH516&lt;&gt;"",1,0)</f>
        <v>0</v>
      </c>
      <c r="BB516" s="0" t="s">
        <v>153</v>
      </c>
    </row>
    <row r="517" customFormat="false" ht="13.8" hidden="true" customHeight="false" outlineLevel="0" collapsed="false">
      <c r="A517" s="0" t="s">
        <v>2747</v>
      </c>
      <c r="B517" s="0" t="n">
        <v>78</v>
      </c>
      <c r="C517" s="0" t="n">
        <v>476403</v>
      </c>
      <c r="D517" s="0" t="s">
        <v>2748</v>
      </c>
      <c r="E517" s="0" t="s">
        <v>2749</v>
      </c>
      <c r="F517" s="0" t="str">
        <f aca="false">CONCATENATE(D517," ",LEFT(H517,4),"T=",AU517,"D=",AV517,"R=",AW517,"M=",AX517,"L=",AY517,"B=",AZ517)</f>
        <v>CAROWICK T=50D=18R=0M=0L=0B=0</v>
      </c>
      <c r="G517" s="0" t="s">
        <v>2750</v>
      </c>
      <c r="I517" s="0" t="s">
        <v>2751</v>
      </c>
      <c r="J517" s="0" t="s">
        <v>2752</v>
      </c>
      <c r="K517" s="0" t="s">
        <v>175</v>
      </c>
      <c r="L517" s="0"/>
      <c r="M517" s="0" t="s">
        <v>2746</v>
      </c>
      <c r="N517" s="0" t="str">
        <f aca="false">RIGHT(M517,LEN(M517)-FIND(" ",M517))</f>
        <v>CLERMONT AVE NE</v>
      </c>
      <c r="P517" s="0" t="s">
        <v>146</v>
      </c>
      <c r="Q517" s="0" t="s">
        <v>147</v>
      </c>
      <c r="R517" s="0" t="n">
        <v>44483</v>
      </c>
      <c r="AD517" s="0" t="s">
        <v>148</v>
      </c>
      <c r="AE517" s="0" t="s">
        <v>149</v>
      </c>
      <c r="AF517" s="0" t="s">
        <v>150</v>
      </c>
      <c r="AH517" s="0" t="n">
        <v>14</v>
      </c>
      <c r="AI517" s="0" t="n">
        <v>11</v>
      </c>
      <c r="AN517" s="0" t="s">
        <v>146</v>
      </c>
      <c r="AO517" s="0" t="s">
        <v>236</v>
      </c>
      <c r="AP517" s="0" t="s">
        <v>237</v>
      </c>
      <c r="AQ517" s="0" t="n">
        <v>9</v>
      </c>
      <c r="AR517" s="0" t="n">
        <v>64</v>
      </c>
      <c r="AS517" s="0" t="n">
        <v>32</v>
      </c>
      <c r="AU517" s="0" t="n">
        <f aca="false">COUNTA($BA$362:$EH$362)</f>
        <v>50</v>
      </c>
      <c r="AV517" s="0" t="n">
        <f aca="false">COUNTIF($BA$362:$EH$362,"D")</f>
        <v>18</v>
      </c>
      <c r="AW517" s="0" t="n">
        <f aca="false">COUNTIF($BA$362:$EH$362,"R")</f>
        <v>0</v>
      </c>
      <c r="AX517" s="0" t="n">
        <f aca="false"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>0</v>
      </c>
      <c r="AY517" s="0" t="n">
        <f aca="false">COUNTIF(DU517:EH517, "&lt;&gt;")</f>
        <v>0</v>
      </c>
      <c r="AZ517" s="0" t="n">
        <f aca="false">IF(EH517&lt;&gt;"",1,0)</f>
        <v>0</v>
      </c>
      <c r="BB517" s="0" t="s">
        <v>153</v>
      </c>
    </row>
    <row r="518" customFormat="false" ht="13.8" hidden="true" customHeight="false" outlineLevel="0" collapsed="false">
      <c r="A518" s="0" t="s">
        <v>2753</v>
      </c>
      <c r="B518" s="0" t="n">
        <v>78</v>
      </c>
      <c r="C518" s="0" t="n">
        <v>456615</v>
      </c>
      <c r="D518" s="0" t="s">
        <v>309</v>
      </c>
      <c r="E518" s="0" t="s">
        <v>2754</v>
      </c>
      <c r="F518" s="0" t="str">
        <f aca="false">CONCATENATE(D518," ",LEFT(H518,4),"T=",AU518,"D=",AV518,"R=",AW518,"M=",AX518,"L=",AY518,"B=",AZ518)</f>
        <v>BROWN T=2D=0R=0M=0L=0B=0</v>
      </c>
      <c r="G518" s="0" t="s">
        <v>181</v>
      </c>
      <c r="I518" s="0" t="s">
        <v>1625</v>
      </c>
      <c r="J518" s="0" t="s">
        <v>2755</v>
      </c>
      <c r="K518" s="0" t="s">
        <v>144</v>
      </c>
      <c r="L518" s="0"/>
      <c r="M518" s="0" t="s">
        <v>2756</v>
      </c>
      <c r="N518" s="0" t="str">
        <f aca="false">RIGHT(M518,LEN(M518)-FIND(" ",M518))</f>
        <v>CLERMONT AVE NE</v>
      </c>
      <c r="P518" s="0" t="s">
        <v>146</v>
      </c>
      <c r="Q518" s="0" t="s">
        <v>147</v>
      </c>
      <c r="R518" s="0" t="n">
        <v>44483</v>
      </c>
      <c r="AD518" s="0" t="s">
        <v>148</v>
      </c>
      <c r="AE518" s="0" t="s">
        <v>149</v>
      </c>
      <c r="AF518" s="0" t="s">
        <v>150</v>
      </c>
      <c r="AH518" s="0" t="n">
        <v>14</v>
      </c>
      <c r="AI518" s="0" t="n">
        <v>11</v>
      </c>
      <c r="AN518" s="0" t="s">
        <v>146</v>
      </c>
      <c r="AO518" s="0" t="s">
        <v>236</v>
      </c>
      <c r="AP518" s="0" t="s">
        <v>237</v>
      </c>
      <c r="AQ518" s="0" t="n">
        <v>9</v>
      </c>
      <c r="AR518" s="0" t="n">
        <v>64</v>
      </c>
      <c r="AS518" s="0" t="n">
        <v>32</v>
      </c>
      <c r="AU518" s="0" t="n">
        <f aca="false">COUNTA($BA$290:$EH$290)</f>
        <v>2</v>
      </c>
      <c r="AV518" s="0" t="n">
        <f aca="false">COUNTIF($BA$290:$EH$290,"D")</f>
        <v>0</v>
      </c>
      <c r="AW518" s="0" t="n">
        <f aca="false">COUNTIF($BA$290:$EH$290,"R")</f>
        <v>0</v>
      </c>
      <c r="AX518" s="0" t="n">
        <f aca="false"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>0</v>
      </c>
      <c r="AY518" s="0" t="n">
        <f aca="false">COUNTIF(DU518:EH518, "&lt;&gt;")</f>
        <v>0</v>
      </c>
      <c r="AZ518" s="0" t="n">
        <f aca="false">IF(EH518&lt;&gt;"",1,0)</f>
        <v>0</v>
      </c>
      <c r="BB518" s="0" t="s">
        <v>153</v>
      </c>
      <c r="CP518" s="0" t="s">
        <v>154</v>
      </c>
    </row>
    <row r="519" customFormat="false" ht="13.8" hidden="true" customHeight="false" outlineLevel="0" collapsed="false">
      <c r="A519" s="0" t="s">
        <v>2757</v>
      </c>
      <c r="B519" s="0" t="n">
        <v>78</v>
      </c>
      <c r="C519" s="0" t="n">
        <v>492088</v>
      </c>
      <c r="D519" s="0" t="s">
        <v>2758</v>
      </c>
      <c r="E519" s="0" t="s">
        <v>2759</v>
      </c>
      <c r="F519" s="0" t="str">
        <f aca="false">CONCATENATE(D519," ",LEFT(H519,4),"T=",AU519,"D=",AV519,"R=",AW519,"M=",AX519,"L=",AY519,"B=",AZ519)</f>
        <v>STEARNS T=4D=0R=0M=0L=0B=0</v>
      </c>
      <c r="G519" s="0" t="s">
        <v>889</v>
      </c>
      <c r="I519" s="0" t="s">
        <v>2760</v>
      </c>
      <c r="J519" s="0" t="s">
        <v>2761</v>
      </c>
      <c r="K519" s="0" t="s">
        <v>175</v>
      </c>
      <c r="L519" s="0"/>
      <c r="M519" s="0" t="s">
        <v>2762</v>
      </c>
      <c r="N519" s="0" t="str">
        <f aca="false">RIGHT(M519,LEN(M519)-FIND(" ",M519))</f>
        <v>CLERMONT AVE NE</v>
      </c>
      <c r="P519" s="0" t="s">
        <v>146</v>
      </c>
      <c r="Q519" s="0" t="s">
        <v>147</v>
      </c>
      <c r="R519" s="0" t="n">
        <v>44483</v>
      </c>
      <c r="AD519" s="0" t="s">
        <v>148</v>
      </c>
      <c r="AE519" s="0" t="s">
        <v>149</v>
      </c>
      <c r="AF519" s="0" t="s">
        <v>150</v>
      </c>
      <c r="AH519" s="0" t="n">
        <v>14</v>
      </c>
      <c r="AI519" s="0" t="n">
        <v>11</v>
      </c>
      <c r="AN519" s="0" t="s">
        <v>146</v>
      </c>
      <c r="AO519" s="0" t="s">
        <v>236</v>
      </c>
      <c r="AP519" s="0" t="s">
        <v>237</v>
      </c>
      <c r="AQ519" s="0" t="n">
        <v>9</v>
      </c>
      <c r="AR519" s="0" t="n">
        <v>64</v>
      </c>
      <c r="AS519" s="0" t="n">
        <v>32</v>
      </c>
      <c r="AU519" s="0" t="n">
        <f aca="false">COUNTA($BA$710:$EH$710)</f>
        <v>4</v>
      </c>
      <c r="AV519" s="0" t="n">
        <f aca="false">COUNTIF($BA$710:$EH$710,"D")</f>
        <v>0</v>
      </c>
      <c r="AW519" s="0" t="n">
        <f aca="false">COUNTIF($BA$710:$EH$710,"R")</f>
        <v>0</v>
      </c>
      <c r="AX519" s="0" t="n">
        <f aca="false"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>0</v>
      </c>
      <c r="AY519" s="0" t="n">
        <f aca="false">COUNTIF(DU519:EH519, "&lt;&gt;")</f>
        <v>0</v>
      </c>
      <c r="AZ519" s="0" t="n">
        <f aca="false">IF(EH519&lt;&gt;"",1,0)</f>
        <v>0</v>
      </c>
      <c r="BB519" s="0" t="s">
        <v>153</v>
      </c>
    </row>
    <row r="520" customFormat="false" ht="13.8" hidden="true" customHeight="false" outlineLevel="0" collapsed="false">
      <c r="A520" s="0" t="s">
        <v>2763</v>
      </c>
      <c r="B520" s="0" t="n">
        <v>78</v>
      </c>
      <c r="C520" s="0" t="n">
        <v>455877</v>
      </c>
      <c r="D520" s="0" t="s">
        <v>2621</v>
      </c>
      <c r="E520" s="0" t="s">
        <v>2764</v>
      </c>
      <c r="F520" s="0" t="str">
        <f aca="false">CONCATENATE(D520," ",LEFT(H520,4),"T=",AU520,"D=",AV520,"R=",AW520,"M=",AX520,"L=",AY520,"B=",AZ520)</f>
        <v>GRIMES T=1D=0R=0M=0L=1B=0</v>
      </c>
      <c r="G520" s="0" t="s">
        <v>1824</v>
      </c>
      <c r="I520" s="0" t="s">
        <v>2765</v>
      </c>
      <c r="J520" s="0" t="s">
        <v>2766</v>
      </c>
      <c r="K520" s="0" t="s">
        <v>175</v>
      </c>
      <c r="L520" s="0"/>
      <c r="M520" s="0" t="s">
        <v>2762</v>
      </c>
      <c r="N520" s="0" t="str">
        <f aca="false">RIGHT(M520,LEN(M520)-FIND(" ",M520))</f>
        <v>CLERMONT AVE NE</v>
      </c>
      <c r="P520" s="0" t="s">
        <v>146</v>
      </c>
      <c r="Q520" s="0" t="s">
        <v>147</v>
      </c>
      <c r="R520" s="0" t="n">
        <v>44483</v>
      </c>
      <c r="AD520" s="0" t="s">
        <v>148</v>
      </c>
      <c r="AE520" s="0" t="s">
        <v>149</v>
      </c>
      <c r="AF520" s="0" t="s">
        <v>150</v>
      </c>
      <c r="AH520" s="0" t="n">
        <v>14</v>
      </c>
      <c r="AI520" s="0" t="n">
        <v>11</v>
      </c>
      <c r="AN520" s="0" t="s">
        <v>146</v>
      </c>
      <c r="AO520" s="0" t="s">
        <v>236</v>
      </c>
      <c r="AP520" s="0" t="s">
        <v>237</v>
      </c>
      <c r="AQ520" s="0" t="n">
        <v>9</v>
      </c>
      <c r="AR520" s="0" t="n">
        <v>64</v>
      </c>
      <c r="AS520" s="0" t="n">
        <v>32</v>
      </c>
      <c r="AU520" s="0" t="n">
        <f aca="false">COUNTA($BA$1078:$EH$1078)</f>
        <v>1</v>
      </c>
      <c r="AV520" s="0" t="n">
        <f aca="false">COUNTIF($BA$1078:$EH$1078,"D")</f>
        <v>0</v>
      </c>
      <c r="AW520" s="0" t="n">
        <f aca="false">COUNTIF($BA$1078:$EH$1078,"R")</f>
        <v>0</v>
      </c>
      <c r="AX520" s="0" t="n">
        <f aca="false"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>0</v>
      </c>
      <c r="AY520" s="0" t="n">
        <f aca="false">COUNTIF(DU520:EH520, "&lt;&gt;")</f>
        <v>1</v>
      </c>
      <c r="AZ520" s="0" t="n">
        <f aca="false">IF(EH520&lt;&gt;"",1,0)</f>
        <v>0</v>
      </c>
      <c r="BB520" s="0" t="s">
        <v>153</v>
      </c>
      <c r="EF520" s="0" t="s">
        <v>154</v>
      </c>
    </row>
    <row r="521" customFormat="false" ht="13.8" hidden="true" customHeight="false" outlineLevel="0" collapsed="false">
      <c r="A521" s="0" t="s">
        <v>2767</v>
      </c>
      <c r="B521" s="0" t="n">
        <v>78</v>
      </c>
      <c r="C521" s="0" t="n">
        <v>382069</v>
      </c>
      <c r="D521" s="0" t="s">
        <v>2768</v>
      </c>
      <c r="E521" s="0" t="s">
        <v>2769</v>
      </c>
      <c r="F521" s="0" t="str">
        <f aca="false">CONCATENATE(D521," ",LEFT(H521,4),"T=",AU521,"D=",AV521,"R=",AW521,"M=",AX521,"L=",AY521,"B=",AZ521)</f>
        <v>ALSHAFEE T=1D=0R=0M=0L=0B=0</v>
      </c>
      <c r="I521" s="0" t="s">
        <v>2770</v>
      </c>
      <c r="J521" s="0" t="s">
        <v>2771</v>
      </c>
      <c r="K521" s="0" t="s">
        <v>175</v>
      </c>
      <c r="L521" s="0"/>
      <c r="M521" s="0" t="s">
        <v>2772</v>
      </c>
      <c r="N521" s="0" t="str">
        <f aca="false">RIGHT(M521,LEN(M521)-FIND(" ",M521))</f>
        <v>CLERMONT AVE NE</v>
      </c>
      <c r="P521" s="0" t="s">
        <v>146</v>
      </c>
      <c r="Q521" s="0" t="s">
        <v>147</v>
      </c>
      <c r="R521" s="0" t="n">
        <v>44483</v>
      </c>
      <c r="AD521" s="0" t="s">
        <v>148</v>
      </c>
      <c r="AE521" s="0" t="s">
        <v>149</v>
      </c>
      <c r="AF521" s="0" t="s">
        <v>150</v>
      </c>
      <c r="AH521" s="0" t="n">
        <v>14</v>
      </c>
      <c r="AI521" s="0" t="n">
        <v>11</v>
      </c>
      <c r="AN521" s="0" t="s">
        <v>146</v>
      </c>
      <c r="AO521" s="0" t="s">
        <v>236</v>
      </c>
      <c r="AP521" s="0" t="s">
        <v>237</v>
      </c>
      <c r="AQ521" s="0" t="n">
        <v>9</v>
      </c>
      <c r="AR521" s="0" t="n">
        <v>64</v>
      </c>
      <c r="AS521" s="0" t="n">
        <v>32</v>
      </c>
      <c r="AU521" s="0" t="n">
        <f aca="false">COUNTA($BA$656:$EH$656)</f>
        <v>1</v>
      </c>
      <c r="AV521" s="0" t="n">
        <f aca="false">COUNTIF($BA$656:$EH$656,"D")</f>
        <v>0</v>
      </c>
      <c r="AW521" s="0" t="n">
        <f aca="false">COUNTIF($BA$656:$EH$656,"R")</f>
        <v>0</v>
      </c>
      <c r="AX521" s="0" t="n">
        <f aca="false"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>0</v>
      </c>
      <c r="AY521" s="0" t="n">
        <f aca="false">COUNTIF(DU521:EH521, "&lt;&gt;")</f>
        <v>0</v>
      </c>
      <c r="AZ521" s="0" t="n">
        <f aca="false">IF(EH521&lt;&gt;"",1,0)</f>
        <v>0</v>
      </c>
      <c r="BB521" s="0" t="s">
        <v>153</v>
      </c>
    </row>
    <row r="522" customFormat="false" ht="13.8" hidden="false" customHeight="false" outlineLevel="0" collapsed="false">
      <c r="A522" s="0" t="s">
        <v>2773</v>
      </c>
      <c r="B522" s="0" t="n">
        <v>78</v>
      </c>
      <c r="C522" s="0" t="n">
        <v>473784</v>
      </c>
      <c r="D522" s="0" t="s">
        <v>2774</v>
      </c>
      <c r="E522" s="0" t="s">
        <v>2367</v>
      </c>
      <c r="F522" s="0" t="str">
        <f aca="false">CONCATENATE(D522," ",LEFT(H522,4),"T=",AU522,"D=",AV522,"R=",AW522,"M=",AX522,"L=",AY522,"B=",AZ522)</f>
        <v>KNIGHT SRT=1D=0R=0M=0L=3B=0</v>
      </c>
      <c r="G522" s="0" t="s">
        <v>188</v>
      </c>
      <c r="H522" s="0" t="s">
        <v>311</v>
      </c>
      <c r="I522" s="0" t="s">
        <v>2775</v>
      </c>
      <c r="J522" s="0" t="s">
        <v>2776</v>
      </c>
      <c r="K522" s="0" t="s">
        <v>175</v>
      </c>
      <c r="L522" s="1" t="s">
        <v>176</v>
      </c>
      <c r="M522" s="0" t="s">
        <v>2772</v>
      </c>
      <c r="N522" s="0" t="str">
        <f aca="false">RIGHT(M522,LEN(M522)-FIND(" ",M522))</f>
        <v>CLERMONT AVE NE</v>
      </c>
      <c r="P522" s="0" t="s">
        <v>146</v>
      </c>
      <c r="Q522" s="0" t="s">
        <v>147</v>
      </c>
      <c r="R522" s="0" t="n">
        <v>44483</v>
      </c>
      <c r="AD522" s="0" t="s">
        <v>148</v>
      </c>
      <c r="AE522" s="0" t="s">
        <v>149</v>
      </c>
      <c r="AF522" s="0" t="s">
        <v>150</v>
      </c>
      <c r="AH522" s="0" t="n">
        <v>14</v>
      </c>
      <c r="AI522" s="0" t="n">
        <v>11</v>
      </c>
      <c r="AN522" s="0" t="s">
        <v>146</v>
      </c>
      <c r="AO522" s="0" t="s">
        <v>236</v>
      </c>
      <c r="AP522" s="0" t="s">
        <v>237</v>
      </c>
      <c r="AQ522" s="0" t="n">
        <v>9</v>
      </c>
      <c r="AR522" s="0" t="n">
        <v>64</v>
      </c>
      <c r="AS522" s="0" t="n">
        <v>32</v>
      </c>
      <c r="AU522" s="0" t="n">
        <f aca="false">COUNTA($BA$973:$EH$973)</f>
        <v>1</v>
      </c>
      <c r="AV522" s="0" t="n">
        <f aca="false">COUNTIF($BA$973:$EH$973,"D")</f>
        <v>0</v>
      </c>
      <c r="AW522" s="0" t="n">
        <f aca="false">COUNTIF($BA$973:$EH$973,"R")</f>
        <v>0</v>
      </c>
      <c r="AX522" s="0" t="n">
        <f aca="false"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>0</v>
      </c>
      <c r="AY522" s="0" t="n">
        <f aca="false">COUNTIF(DU522:EH522, "&lt;&gt;")</f>
        <v>3</v>
      </c>
      <c r="AZ522" s="0" t="n">
        <f aca="false">IF(EH522&lt;&gt;"",1,0)</f>
        <v>0</v>
      </c>
      <c r="BB522" s="0" t="s">
        <v>153</v>
      </c>
      <c r="EA522" s="0" t="s">
        <v>154</v>
      </c>
      <c r="ED522" s="0" t="s">
        <v>176</v>
      </c>
      <c r="EF522" s="0" t="s">
        <v>154</v>
      </c>
    </row>
    <row r="523" customFormat="false" ht="13.8" hidden="true" customHeight="false" outlineLevel="0" collapsed="false">
      <c r="A523" s="0" t="s">
        <v>2777</v>
      </c>
      <c r="B523" s="0" t="n">
        <v>78</v>
      </c>
      <c r="C523" s="0" t="n">
        <v>409200</v>
      </c>
      <c r="D523" s="0" t="s">
        <v>2778</v>
      </c>
      <c r="E523" s="0" t="s">
        <v>2374</v>
      </c>
      <c r="F523" s="0" t="str">
        <f aca="false">CONCATENATE(D523," ",LEFT(H523,4),"T=",AU523,"D=",AV523,"R=",AW523,"M=",AX523,"L=",AY523,"B=",AZ523)</f>
        <v>PEMBERTON T=8D=0R=0M=0L=1B=0</v>
      </c>
      <c r="G523" s="0" t="s">
        <v>1263</v>
      </c>
      <c r="I523" s="0" t="s">
        <v>2779</v>
      </c>
      <c r="J523" s="0" t="s">
        <v>2780</v>
      </c>
      <c r="K523" s="0" t="s">
        <v>175</v>
      </c>
      <c r="L523" s="0"/>
      <c r="M523" s="0" t="s">
        <v>2781</v>
      </c>
      <c r="N523" s="0" t="str">
        <f aca="false">RIGHT(M523,LEN(M523)-FIND(" ",M523))</f>
        <v>CLERMONT AVE NE</v>
      </c>
      <c r="P523" s="0" t="s">
        <v>146</v>
      </c>
      <c r="Q523" s="0" t="s">
        <v>147</v>
      </c>
      <c r="R523" s="0" t="n">
        <v>44483</v>
      </c>
      <c r="AD523" s="0" t="s">
        <v>148</v>
      </c>
      <c r="AE523" s="0" t="s">
        <v>149</v>
      </c>
      <c r="AF523" s="0" t="s">
        <v>150</v>
      </c>
      <c r="AH523" s="0" t="n">
        <v>14</v>
      </c>
      <c r="AI523" s="0" t="n">
        <v>11</v>
      </c>
      <c r="AN523" s="0" t="s">
        <v>146</v>
      </c>
      <c r="AO523" s="0" t="s">
        <v>236</v>
      </c>
      <c r="AP523" s="0" t="s">
        <v>237</v>
      </c>
      <c r="AQ523" s="0" t="n">
        <v>9</v>
      </c>
      <c r="AR523" s="0" t="n">
        <v>64</v>
      </c>
      <c r="AS523" s="0" t="n">
        <v>32</v>
      </c>
      <c r="AU523" s="0" t="n">
        <f aca="false">COUNTA($BA$909:$EH$909)</f>
        <v>8</v>
      </c>
      <c r="AV523" s="0" t="n">
        <f aca="false">COUNTIF($BA$909:$EH$909,"D")</f>
        <v>0</v>
      </c>
      <c r="AW523" s="0" t="n">
        <f aca="false">COUNTIF($BA$909:$EH$909,"R")</f>
        <v>0</v>
      </c>
      <c r="AX523" s="0" t="n">
        <f aca="false"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>0</v>
      </c>
      <c r="AY523" s="0" t="n">
        <f aca="false">COUNTIF(DU523:EH523, "&lt;&gt;")</f>
        <v>1</v>
      </c>
      <c r="AZ523" s="0" t="n">
        <f aca="false">IF(EH523&lt;&gt;"",1,0)</f>
        <v>0</v>
      </c>
      <c r="BB523" s="0" t="s">
        <v>153</v>
      </c>
      <c r="CY523" s="0" t="s">
        <v>154</v>
      </c>
      <c r="DC523" s="0" t="s">
        <v>154</v>
      </c>
      <c r="DN523" s="0" t="s">
        <v>154</v>
      </c>
      <c r="EF523" s="0" t="s">
        <v>154</v>
      </c>
    </row>
    <row r="524" customFormat="false" ht="13.8" hidden="true" customHeight="false" outlineLevel="0" collapsed="false">
      <c r="A524" s="0" t="s">
        <v>2782</v>
      </c>
      <c r="B524" s="0" t="n">
        <v>78</v>
      </c>
      <c r="C524" s="0" t="n">
        <v>477517</v>
      </c>
      <c r="D524" s="0" t="s">
        <v>2783</v>
      </c>
      <c r="E524" s="0" t="s">
        <v>335</v>
      </c>
      <c r="F524" s="0" t="str">
        <f aca="false">CONCATENATE(D524," ",LEFT(H524,4),"T=",AU524,"D=",AV524,"R=",AW524,"M=",AX524,"L=",AY524,"B=",AZ524)</f>
        <v>BALDWIN T=1D=0R=0M=0L=1B=0</v>
      </c>
      <c r="G524" s="0" t="s">
        <v>619</v>
      </c>
      <c r="I524" s="0" t="s">
        <v>2784</v>
      </c>
      <c r="J524" s="0" t="s">
        <v>2785</v>
      </c>
      <c r="K524" s="0" t="s">
        <v>175</v>
      </c>
      <c r="L524" s="0"/>
      <c r="M524" s="0" t="s">
        <v>2786</v>
      </c>
      <c r="N524" s="0" t="str">
        <f aca="false">RIGHT(M524,LEN(M524)-FIND(" ",M524))</f>
        <v>CLERMONT AVE NE</v>
      </c>
      <c r="P524" s="0" t="s">
        <v>146</v>
      </c>
      <c r="Q524" s="0" t="s">
        <v>147</v>
      </c>
      <c r="R524" s="0" t="n">
        <v>44483</v>
      </c>
      <c r="AD524" s="0" t="s">
        <v>148</v>
      </c>
      <c r="AE524" s="0" t="s">
        <v>149</v>
      </c>
      <c r="AF524" s="0" t="s">
        <v>150</v>
      </c>
      <c r="AH524" s="0" t="n">
        <v>14</v>
      </c>
      <c r="AI524" s="0" t="n">
        <v>11</v>
      </c>
      <c r="AN524" s="0" t="s">
        <v>146</v>
      </c>
      <c r="AO524" s="0" t="s">
        <v>236</v>
      </c>
      <c r="AP524" s="0" t="s">
        <v>237</v>
      </c>
      <c r="AQ524" s="0" t="n">
        <v>9</v>
      </c>
      <c r="AR524" s="0" t="n">
        <v>64</v>
      </c>
      <c r="AS524" s="0" t="n">
        <v>32</v>
      </c>
      <c r="AU524" s="0" t="n">
        <f aca="false">COUNTA($BA$968:$EH$968)</f>
        <v>1</v>
      </c>
      <c r="AV524" s="0" t="n">
        <f aca="false">COUNTIF($BA$968:$EH$968,"D")</f>
        <v>0</v>
      </c>
      <c r="AW524" s="0" t="n">
        <f aca="false">COUNTIF($BA$968:$EH$968,"R")</f>
        <v>0</v>
      </c>
      <c r="AX524" s="0" t="n">
        <f aca="false"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>0</v>
      </c>
      <c r="AY524" s="0" t="n">
        <f aca="false">COUNTIF(DU524:EH524, "&lt;&gt;")</f>
        <v>1</v>
      </c>
      <c r="AZ524" s="0" t="n">
        <f aca="false">IF(EH524&lt;&gt;"",1,0)</f>
        <v>0</v>
      </c>
      <c r="BB524" s="0" t="s">
        <v>153</v>
      </c>
      <c r="EF524" s="0" t="s">
        <v>154</v>
      </c>
    </row>
    <row r="525" customFormat="false" ht="13.8" hidden="true" customHeight="false" outlineLevel="0" collapsed="false">
      <c r="A525" s="0" t="s">
        <v>2787</v>
      </c>
      <c r="B525" s="0" t="n">
        <v>78</v>
      </c>
      <c r="C525" s="0" t="n">
        <v>491836</v>
      </c>
      <c r="D525" s="0" t="s">
        <v>2788</v>
      </c>
      <c r="E525" s="0" t="s">
        <v>1347</v>
      </c>
      <c r="F525" s="0" t="str">
        <f aca="false">CONCATENATE(D525," ",LEFT(H525,4),"T=",AU525,"D=",AV525,"R=",AW525,"M=",AX525,"L=",AY525,"B=",AZ525)</f>
        <v>LOPEZ T=3D=0R=0M=0L=1B=0</v>
      </c>
      <c r="G525" s="0" t="s">
        <v>241</v>
      </c>
      <c r="I525" s="0" t="s">
        <v>2789</v>
      </c>
      <c r="J525" s="0" t="s">
        <v>712</v>
      </c>
      <c r="K525" s="0" t="s">
        <v>175</v>
      </c>
      <c r="L525" s="0"/>
      <c r="M525" s="0" t="s">
        <v>2786</v>
      </c>
      <c r="N525" s="0" t="str">
        <f aca="false">RIGHT(M525,LEN(M525)-FIND(" ",M525))</f>
        <v>CLERMONT AVE NE</v>
      </c>
      <c r="P525" s="0" t="s">
        <v>146</v>
      </c>
      <c r="Q525" s="0" t="s">
        <v>147</v>
      </c>
      <c r="R525" s="0" t="n">
        <v>44483</v>
      </c>
      <c r="AD525" s="0" t="s">
        <v>148</v>
      </c>
      <c r="AE525" s="0" t="s">
        <v>149</v>
      </c>
      <c r="AF525" s="0" t="s">
        <v>150</v>
      </c>
      <c r="AH525" s="0" t="n">
        <v>14</v>
      </c>
      <c r="AI525" s="0" t="n">
        <v>11</v>
      </c>
      <c r="AN525" s="0" t="s">
        <v>146</v>
      </c>
      <c r="AO525" s="0" t="s">
        <v>236</v>
      </c>
      <c r="AP525" s="0" t="s">
        <v>237</v>
      </c>
      <c r="AQ525" s="0" t="n">
        <v>9</v>
      </c>
      <c r="AR525" s="0" t="n">
        <v>64</v>
      </c>
      <c r="AS525" s="0" t="n">
        <v>32</v>
      </c>
      <c r="AU525" s="0" t="n">
        <f aca="false">COUNTA($BA$1036:$EH$1036)</f>
        <v>3</v>
      </c>
      <c r="AV525" s="0" t="n">
        <f aca="false">COUNTIF($BA$1036:$EH$1036,"D")</f>
        <v>0</v>
      </c>
      <c r="AW525" s="0" t="n">
        <f aca="false">COUNTIF($BA$1036:$EH$1036,"R")</f>
        <v>0</v>
      </c>
      <c r="AX525" s="0" t="n">
        <f aca="false"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>0</v>
      </c>
      <c r="AY525" s="0" t="n">
        <f aca="false">COUNTIF(DU525:EH525, "&lt;&gt;")</f>
        <v>1</v>
      </c>
      <c r="AZ525" s="0" t="n">
        <f aca="false">IF(EH525&lt;&gt;"",1,0)</f>
        <v>0</v>
      </c>
      <c r="BB525" s="0" t="s">
        <v>153</v>
      </c>
      <c r="EF525" s="0" t="s">
        <v>154</v>
      </c>
    </row>
    <row r="526" customFormat="false" ht="13.8" hidden="true" customHeight="false" outlineLevel="0" collapsed="false">
      <c r="A526" s="0" t="s">
        <v>2790</v>
      </c>
      <c r="B526" s="0" t="n">
        <v>78</v>
      </c>
      <c r="C526" s="0" t="n">
        <v>488548</v>
      </c>
      <c r="D526" s="0" t="s">
        <v>1184</v>
      </c>
      <c r="E526" s="0" t="s">
        <v>2568</v>
      </c>
      <c r="F526" s="0" t="str">
        <f aca="false">CONCATENATE(D526," ",LEFT(H526,4),"T=",AU526,"D=",AV526,"R=",AW526,"M=",AX526,"L=",AY526,"B=",AZ526)</f>
        <v>PATTERSON T=12D=2R=1M=0L=1B=0</v>
      </c>
      <c r="G526" s="0" t="s">
        <v>2791</v>
      </c>
      <c r="I526" s="0" t="s">
        <v>2792</v>
      </c>
      <c r="J526" s="0" t="s">
        <v>2793</v>
      </c>
      <c r="K526" s="0" t="s">
        <v>175</v>
      </c>
      <c r="L526" s="0"/>
      <c r="M526" s="0" t="s">
        <v>2794</v>
      </c>
      <c r="N526" s="0" t="str">
        <f aca="false">RIGHT(M526,LEN(M526)-FIND(" ",M526))</f>
        <v>CLERMONT AVE NE</v>
      </c>
      <c r="P526" s="0" t="s">
        <v>146</v>
      </c>
      <c r="Q526" s="0" t="s">
        <v>147</v>
      </c>
      <c r="R526" s="0" t="n">
        <v>44483</v>
      </c>
      <c r="AD526" s="0" t="s">
        <v>148</v>
      </c>
      <c r="AE526" s="0" t="s">
        <v>149</v>
      </c>
      <c r="AF526" s="0" t="s">
        <v>150</v>
      </c>
      <c r="AH526" s="0" t="n">
        <v>14</v>
      </c>
      <c r="AI526" s="0" t="n">
        <v>11</v>
      </c>
      <c r="AN526" s="0" t="s">
        <v>146</v>
      </c>
      <c r="AO526" s="0" t="s">
        <v>236</v>
      </c>
      <c r="AP526" s="0" t="s">
        <v>237</v>
      </c>
      <c r="AQ526" s="0" t="n">
        <v>9</v>
      </c>
      <c r="AR526" s="0" t="n">
        <v>64</v>
      </c>
      <c r="AS526" s="0" t="n">
        <v>32</v>
      </c>
      <c r="AU526" s="0" t="n">
        <f aca="false">COUNTA($BA$99:$EH$99)</f>
        <v>12</v>
      </c>
      <c r="AV526" s="0" t="n">
        <f aca="false">COUNTIF($BA$99:$EH$99,"D")</f>
        <v>2</v>
      </c>
      <c r="AW526" s="0" t="n">
        <f aca="false">COUNTIF($BA$99:$EH$99,"R")</f>
        <v>1</v>
      </c>
      <c r="AX526" s="0" t="n">
        <f aca="false"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>0</v>
      </c>
      <c r="AY526" s="0" t="n">
        <f aca="false">COUNTIF(DU526:EH526, "&lt;&gt;")</f>
        <v>1</v>
      </c>
      <c r="AZ526" s="0" t="n">
        <f aca="false">IF(EH526&lt;&gt;"",1,0)</f>
        <v>0</v>
      </c>
      <c r="BB526" s="0" t="s">
        <v>153</v>
      </c>
      <c r="EF526" s="0" t="s">
        <v>154</v>
      </c>
    </row>
    <row r="527" customFormat="false" ht="13.8" hidden="false" customHeight="false" outlineLevel="0" collapsed="false">
      <c r="A527" s="0" t="s">
        <v>2795</v>
      </c>
      <c r="B527" s="0" t="n">
        <v>78</v>
      </c>
      <c r="C527" s="0" t="n">
        <v>162818</v>
      </c>
      <c r="D527" s="0" t="s">
        <v>2796</v>
      </c>
      <c r="E527" s="0" t="s">
        <v>1663</v>
      </c>
      <c r="F527" s="0" t="str">
        <f aca="false">CONCATENATE(D527," ",LEFT(H527,4),"T=",AU527,"D=",AV527,"R=",AW527,"M=",AX527,"L=",AY527,"B=",AZ527)</f>
        <v>BOSAK T=5D=0R=0M=5L=5B=1</v>
      </c>
      <c r="I527" s="0" t="s">
        <v>2797</v>
      </c>
      <c r="J527" s="0" t="s">
        <v>2798</v>
      </c>
      <c r="K527" s="0" t="s">
        <v>175</v>
      </c>
      <c r="L527" s="1" t="s">
        <v>155</v>
      </c>
      <c r="M527" s="0" t="s">
        <v>2794</v>
      </c>
      <c r="N527" s="0" t="str">
        <f aca="false">RIGHT(M527,LEN(M527)-FIND(" ",M527))</f>
        <v>CLERMONT AVE NE</v>
      </c>
      <c r="P527" s="0" t="s">
        <v>146</v>
      </c>
      <c r="Q527" s="0" t="s">
        <v>147</v>
      </c>
      <c r="R527" s="0" t="n">
        <v>44483</v>
      </c>
      <c r="AD527" s="0" t="s">
        <v>148</v>
      </c>
      <c r="AE527" s="0" t="s">
        <v>149</v>
      </c>
      <c r="AF527" s="0" t="s">
        <v>150</v>
      </c>
      <c r="AH527" s="0" t="n">
        <v>14</v>
      </c>
      <c r="AI527" s="0" t="n">
        <v>11</v>
      </c>
      <c r="AN527" s="0" t="s">
        <v>146</v>
      </c>
      <c r="AO527" s="0" t="s">
        <v>236</v>
      </c>
      <c r="AP527" s="0" t="s">
        <v>237</v>
      </c>
      <c r="AQ527" s="0" t="n">
        <v>9</v>
      </c>
      <c r="AR527" s="0" t="n">
        <v>64</v>
      </c>
      <c r="AS527" s="0" t="n">
        <v>32</v>
      </c>
      <c r="AU527" s="0" t="n">
        <f aca="false">COUNTA($BA$655:$EH$655)</f>
        <v>5</v>
      </c>
      <c r="AV527" s="0" t="n">
        <f aca="false">COUNTIF($BA$655:$EH$655,"D")</f>
        <v>0</v>
      </c>
      <c r="AW527" s="0" t="n">
        <f aca="false">COUNTIF($BA$655:$EH$655,"R")</f>
        <v>0</v>
      </c>
      <c r="AX527" s="0" t="n">
        <f aca="false"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>5</v>
      </c>
      <c r="AY527" s="0" t="n">
        <f aca="false">COUNTIF(DU527:EH527, "&lt;&gt;")</f>
        <v>5</v>
      </c>
      <c r="AZ527" s="0" t="n">
        <f aca="false">IF(EH527&lt;&gt;"",1,0)</f>
        <v>1</v>
      </c>
      <c r="BB527" s="0" t="s">
        <v>153</v>
      </c>
      <c r="BC527" s="0" t="s">
        <v>154</v>
      </c>
      <c r="BD527" s="0" t="s">
        <v>154</v>
      </c>
      <c r="BE527" s="0" t="s">
        <v>154</v>
      </c>
      <c r="BF527" s="0" t="s">
        <v>154</v>
      </c>
      <c r="BG527" s="0" t="s">
        <v>154</v>
      </c>
      <c r="BH527" s="0" t="s">
        <v>154</v>
      </c>
      <c r="BI527" s="0" t="s">
        <v>154</v>
      </c>
      <c r="BL527" s="0" t="s">
        <v>154</v>
      </c>
      <c r="BP527" s="0" t="s">
        <v>154</v>
      </c>
      <c r="BR527" s="0" t="s">
        <v>154</v>
      </c>
      <c r="BY527" s="0" t="s">
        <v>155</v>
      </c>
      <c r="CA527" s="0" t="s">
        <v>154</v>
      </c>
      <c r="CG527" s="0" t="s">
        <v>154</v>
      </c>
      <c r="CL527" s="0" t="s">
        <v>155</v>
      </c>
      <c r="CN527" s="0" t="s">
        <v>154</v>
      </c>
      <c r="CO527" s="0" t="s">
        <v>176</v>
      </c>
      <c r="CP527" s="0" t="s">
        <v>154</v>
      </c>
      <c r="CV527" s="0" t="s">
        <v>154</v>
      </c>
      <c r="CY527" s="0" t="s">
        <v>154</v>
      </c>
      <c r="CZ527" s="0" t="s">
        <v>176</v>
      </c>
      <c r="DC527" s="0" t="s">
        <v>154</v>
      </c>
      <c r="DD527" s="0" t="s">
        <v>155</v>
      </c>
      <c r="DG527" s="0" t="s">
        <v>155</v>
      </c>
      <c r="DI527" s="0" t="s">
        <v>154</v>
      </c>
      <c r="DJ527" s="0" t="s">
        <v>155</v>
      </c>
      <c r="DN527" s="0" t="s">
        <v>154</v>
      </c>
      <c r="DS527" s="0" t="s">
        <v>176</v>
      </c>
      <c r="DT527" s="0" t="s">
        <v>176</v>
      </c>
      <c r="DU527" s="0" t="s">
        <v>154</v>
      </c>
      <c r="DW527" s="0" t="s">
        <v>155</v>
      </c>
      <c r="ED527" s="0" t="s">
        <v>176</v>
      </c>
      <c r="EF527" s="0" t="s">
        <v>154</v>
      </c>
      <c r="EH527" s="0" t="s">
        <v>155</v>
      </c>
    </row>
    <row r="528" customFormat="false" ht="13.8" hidden="true" customHeight="false" outlineLevel="0" collapsed="false">
      <c r="A528" s="0" t="s">
        <v>2799</v>
      </c>
      <c r="B528" s="0" t="n">
        <v>78</v>
      </c>
      <c r="C528" s="0" t="n">
        <v>484867</v>
      </c>
      <c r="D528" s="0" t="s">
        <v>2800</v>
      </c>
      <c r="E528" s="0" t="s">
        <v>2801</v>
      </c>
      <c r="F528" s="0" t="str">
        <f aca="false">CONCATENATE(D528," ",LEFT(H528,4),"T=",AU528,"D=",AV528,"R=",AW528,"M=",AX528,"L=",AY528,"B=",AZ528)</f>
        <v>JUSINO T=44D=13R=0M=0L=0B=0</v>
      </c>
      <c r="I528" s="0" t="s">
        <v>2802</v>
      </c>
      <c r="J528" s="0" t="s">
        <v>2803</v>
      </c>
      <c r="K528" s="0" t="s">
        <v>175</v>
      </c>
      <c r="L528" s="0"/>
      <c r="M528" s="0" t="s">
        <v>2804</v>
      </c>
      <c r="N528" s="0" t="str">
        <f aca="false">RIGHT(M528,LEN(M528)-FIND(" ",M528))</f>
        <v>CLERMONT AVE NE</v>
      </c>
      <c r="P528" s="0" t="s">
        <v>146</v>
      </c>
      <c r="Q528" s="0" t="s">
        <v>147</v>
      </c>
      <c r="R528" s="0" t="n">
        <v>44483</v>
      </c>
      <c r="AD528" s="0" t="s">
        <v>148</v>
      </c>
      <c r="AE528" s="0" t="s">
        <v>149</v>
      </c>
      <c r="AF528" s="0" t="s">
        <v>150</v>
      </c>
      <c r="AH528" s="0" t="n">
        <v>14</v>
      </c>
      <c r="AI528" s="0" t="n">
        <v>11</v>
      </c>
      <c r="AN528" s="0" t="s">
        <v>146</v>
      </c>
      <c r="AO528" s="0" t="s">
        <v>236</v>
      </c>
      <c r="AP528" s="0" t="s">
        <v>237</v>
      </c>
      <c r="AQ528" s="0" t="n">
        <v>9</v>
      </c>
      <c r="AR528" s="0" t="n">
        <v>64</v>
      </c>
      <c r="AS528" s="0" t="n">
        <v>32</v>
      </c>
      <c r="AU528" s="0" t="n">
        <f aca="false">COUNTA($BA$386:$EH$386)</f>
        <v>44</v>
      </c>
      <c r="AV528" s="0" t="n">
        <f aca="false">COUNTIF($BA$386:$EH$386,"D")</f>
        <v>13</v>
      </c>
      <c r="AW528" s="0" t="n">
        <f aca="false">COUNTIF($BA$386:$EH$386,"R")</f>
        <v>0</v>
      </c>
      <c r="AX528" s="0" t="n">
        <f aca="false"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>0</v>
      </c>
      <c r="AY528" s="0" t="n">
        <f aca="false">COUNTIF(DU528:EH528, "&lt;&gt;")</f>
        <v>0</v>
      </c>
      <c r="AZ528" s="0" t="n">
        <f aca="false">IF(EH528&lt;&gt;"",1,0)</f>
        <v>0</v>
      </c>
      <c r="BB528" s="0" t="s">
        <v>153</v>
      </c>
    </row>
    <row r="529" customFormat="false" ht="13.8" hidden="true" customHeight="false" outlineLevel="0" collapsed="false">
      <c r="A529" s="0" t="s">
        <v>2805</v>
      </c>
      <c r="B529" s="0" t="n">
        <v>78</v>
      </c>
      <c r="C529" s="0" t="n">
        <v>470976</v>
      </c>
      <c r="D529" s="0" t="s">
        <v>2800</v>
      </c>
      <c r="E529" s="0" t="s">
        <v>2806</v>
      </c>
      <c r="F529" s="0" t="str">
        <f aca="false">CONCATENATE(D529," ",LEFT(H529,4),"T=",AU529,"D=",AV529,"R=",AW529,"M=",AX529,"L=",AY529,"B=",AZ529)</f>
        <v>JUSINO T=5D=0R=0M=0L=1B=0</v>
      </c>
      <c r="I529" s="0" t="s">
        <v>2807</v>
      </c>
      <c r="J529" s="0" t="s">
        <v>2808</v>
      </c>
      <c r="K529" s="0" t="s">
        <v>175</v>
      </c>
      <c r="L529" s="0"/>
      <c r="M529" s="0" t="s">
        <v>2804</v>
      </c>
      <c r="N529" s="0" t="str">
        <f aca="false">RIGHT(M529,LEN(M529)-FIND(" ",M529))</f>
        <v>CLERMONT AVE NE</v>
      </c>
      <c r="P529" s="0" t="s">
        <v>146</v>
      </c>
      <c r="Q529" s="0" t="s">
        <v>147</v>
      </c>
      <c r="R529" s="0" t="n">
        <v>44483</v>
      </c>
      <c r="AD529" s="0" t="s">
        <v>148</v>
      </c>
      <c r="AE529" s="0" t="s">
        <v>149</v>
      </c>
      <c r="AF529" s="0" t="s">
        <v>150</v>
      </c>
      <c r="AH529" s="0" t="n">
        <v>14</v>
      </c>
      <c r="AI529" s="0" t="n">
        <v>11</v>
      </c>
      <c r="AN529" s="0" t="s">
        <v>146</v>
      </c>
      <c r="AO529" s="0" t="s">
        <v>236</v>
      </c>
      <c r="AP529" s="0" t="s">
        <v>237</v>
      </c>
      <c r="AQ529" s="0" t="n">
        <v>9</v>
      </c>
      <c r="AR529" s="0" t="n">
        <v>64</v>
      </c>
      <c r="AS529" s="0" t="n">
        <v>32</v>
      </c>
      <c r="AU529" s="0" t="n">
        <f aca="false">COUNTA($BA$603:$EH$603)</f>
        <v>5</v>
      </c>
      <c r="AV529" s="0" t="n">
        <f aca="false">COUNTIF($BA$603:$EH$603,"D")</f>
        <v>0</v>
      </c>
      <c r="AW529" s="0" t="n">
        <f aca="false">COUNTIF($BA$603:$EH$603,"R")</f>
        <v>0</v>
      </c>
      <c r="AX529" s="0" t="n">
        <f aca="false"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>0</v>
      </c>
      <c r="AY529" s="0" t="n">
        <f aca="false">COUNTIF(DU529:EH529, "&lt;&gt;")</f>
        <v>1</v>
      </c>
      <c r="AZ529" s="0" t="n">
        <f aca="false">IF(EH529&lt;&gt;"",1,0)</f>
        <v>0</v>
      </c>
      <c r="BB529" s="0" t="s">
        <v>153</v>
      </c>
      <c r="EF529" s="0" t="s">
        <v>154</v>
      </c>
    </row>
    <row r="530" customFormat="false" ht="13.8" hidden="true" customHeight="false" outlineLevel="0" collapsed="false">
      <c r="A530" s="0" t="s">
        <v>2809</v>
      </c>
      <c r="B530" s="0" t="n">
        <v>78</v>
      </c>
      <c r="C530" s="0" t="n">
        <v>484741</v>
      </c>
      <c r="D530" s="0" t="s">
        <v>2810</v>
      </c>
      <c r="E530" s="0" t="s">
        <v>2811</v>
      </c>
      <c r="F530" s="0" t="str">
        <f aca="false">CONCATENATE(D530," ",LEFT(H530,4),"T=",AU530,"D=",AV530,"R=",AW530,"M=",AX530,"L=",AY530,"B=",AZ530)</f>
        <v>JUSINO VEGA T=1D=0R=0M=0L=1B=0</v>
      </c>
      <c r="I530" s="0" t="s">
        <v>2812</v>
      </c>
      <c r="J530" s="0" t="s">
        <v>1097</v>
      </c>
      <c r="K530" s="0" t="s">
        <v>175</v>
      </c>
      <c r="L530" s="0"/>
      <c r="M530" s="0" t="s">
        <v>2804</v>
      </c>
      <c r="N530" s="0" t="str">
        <f aca="false">RIGHT(M530,LEN(M530)-FIND(" ",M530))</f>
        <v>CLERMONT AVE NE</v>
      </c>
      <c r="P530" s="0" t="s">
        <v>146</v>
      </c>
      <c r="Q530" s="0" t="s">
        <v>147</v>
      </c>
      <c r="R530" s="0" t="n">
        <v>44483</v>
      </c>
      <c r="AD530" s="0" t="s">
        <v>148</v>
      </c>
      <c r="AE530" s="0" t="s">
        <v>149</v>
      </c>
      <c r="AF530" s="0" t="s">
        <v>150</v>
      </c>
      <c r="AH530" s="0" t="n">
        <v>14</v>
      </c>
      <c r="AI530" s="0" t="n">
        <v>11</v>
      </c>
      <c r="AN530" s="0" t="s">
        <v>146</v>
      </c>
      <c r="AO530" s="0" t="s">
        <v>236</v>
      </c>
      <c r="AP530" s="0" t="s">
        <v>237</v>
      </c>
      <c r="AQ530" s="0" t="n">
        <v>9</v>
      </c>
      <c r="AR530" s="0" t="n">
        <v>64</v>
      </c>
      <c r="AS530" s="0" t="n">
        <v>32</v>
      </c>
      <c r="AU530" s="0" t="n">
        <f aca="false">COUNTA($BA$887:$EH$887)</f>
        <v>1</v>
      </c>
      <c r="AV530" s="0" t="n">
        <f aca="false">COUNTIF($BA$887:$EH$887,"D")</f>
        <v>0</v>
      </c>
      <c r="AW530" s="0" t="n">
        <f aca="false">COUNTIF($BA$887:$EH$887,"R")</f>
        <v>0</v>
      </c>
      <c r="AX530" s="0" t="n">
        <f aca="false"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>0</v>
      </c>
      <c r="AY530" s="0" t="n">
        <f aca="false">COUNTIF(DU530:EH530, "&lt;&gt;")</f>
        <v>1</v>
      </c>
      <c r="AZ530" s="0" t="n">
        <f aca="false">IF(EH530&lt;&gt;"",1,0)</f>
        <v>0</v>
      </c>
      <c r="BB530" s="0" t="s">
        <v>153</v>
      </c>
      <c r="EF530" s="0" t="s">
        <v>154</v>
      </c>
    </row>
    <row r="531" customFormat="false" ht="13.8" hidden="false" customHeight="false" outlineLevel="0" collapsed="false">
      <c r="A531" s="0" t="s">
        <v>2813</v>
      </c>
      <c r="B531" s="0" t="n">
        <v>78</v>
      </c>
      <c r="C531" s="0" t="n">
        <v>246723</v>
      </c>
      <c r="D531" s="0" t="s">
        <v>1588</v>
      </c>
      <c r="E531" s="0" t="s">
        <v>670</v>
      </c>
      <c r="F531" s="0" t="str">
        <f aca="false">CONCATENATE(D531," ",LEFT(H531,4),"T=",AU531,"D=",AV531,"R=",AW531,"M=",AX531,"L=",AY531,"B=",AZ531)</f>
        <v>HALL T=49D=17R=0M=1L=4B=0</v>
      </c>
      <c r="G531" s="0" t="s">
        <v>1593</v>
      </c>
      <c r="I531" s="0" t="s">
        <v>2814</v>
      </c>
      <c r="J531" s="0" t="s">
        <v>2815</v>
      </c>
      <c r="K531" s="0" t="s">
        <v>175</v>
      </c>
      <c r="M531" s="0" t="s">
        <v>2816</v>
      </c>
      <c r="N531" s="0" t="str">
        <f aca="false">RIGHT(M531,LEN(M531)-FIND(" ",M531))</f>
        <v>CLERMONT AVE NE</v>
      </c>
      <c r="P531" s="0" t="s">
        <v>146</v>
      </c>
      <c r="Q531" s="0" t="s">
        <v>147</v>
      </c>
      <c r="R531" s="0" t="n">
        <v>44483</v>
      </c>
      <c r="AD531" s="0" t="s">
        <v>148</v>
      </c>
      <c r="AE531" s="0" t="s">
        <v>149</v>
      </c>
      <c r="AF531" s="0" t="s">
        <v>150</v>
      </c>
      <c r="AH531" s="0" t="n">
        <v>14</v>
      </c>
      <c r="AI531" s="0" t="n">
        <v>11</v>
      </c>
      <c r="AN531" s="0" t="s">
        <v>146</v>
      </c>
      <c r="AO531" s="0" t="s">
        <v>236</v>
      </c>
      <c r="AP531" s="0" t="s">
        <v>237</v>
      </c>
      <c r="AQ531" s="0" t="n">
        <v>9</v>
      </c>
      <c r="AR531" s="0" t="n">
        <v>64</v>
      </c>
      <c r="AS531" s="0" t="n">
        <v>32</v>
      </c>
      <c r="AU531" s="0" t="n">
        <f aca="false">COUNTA($BA$645:$EH$645)</f>
        <v>49</v>
      </c>
      <c r="AV531" s="0" t="n">
        <f aca="false">COUNTIF($BA$645:$EH$645,"D")</f>
        <v>17</v>
      </c>
      <c r="AW531" s="0" t="n">
        <f aca="false">COUNTIF($BA$645:$EH$645,"R")</f>
        <v>0</v>
      </c>
      <c r="AX531" s="0" t="n">
        <f aca="false"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>1</v>
      </c>
      <c r="AY531" s="0" t="n">
        <f aca="false">COUNTIF(DU531:EH531, "&lt;&gt;")</f>
        <v>4</v>
      </c>
      <c r="AZ531" s="0" t="n">
        <f aca="false">IF(EH531&lt;&gt;"",1,0)</f>
        <v>0</v>
      </c>
      <c r="BB531" s="0" t="s">
        <v>153</v>
      </c>
      <c r="BD531" s="0" t="s">
        <v>154</v>
      </c>
      <c r="BL531" s="0" t="s">
        <v>154</v>
      </c>
      <c r="BY531" s="0" t="s">
        <v>155</v>
      </c>
      <c r="CA531" s="0" t="s">
        <v>154</v>
      </c>
      <c r="CK531" s="0" t="s">
        <v>154</v>
      </c>
      <c r="CL531" s="0" t="s">
        <v>155</v>
      </c>
      <c r="CN531" s="0" t="s">
        <v>154</v>
      </c>
      <c r="CP531" s="0" t="s">
        <v>154</v>
      </c>
      <c r="CV531" s="0" t="s">
        <v>154</v>
      </c>
      <c r="CY531" s="0" t="s">
        <v>154</v>
      </c>
      <c r="DC531" s="0" t="s">
        <v>154</v>
      </c>
      <c r="DI531" s="0" t="s">
        <v>154</v>
      </c>
      <c r="DL531" s="0" t="s">
        <v>154</v>
      </c>
      <c r="DN531" s="0" t="s">
        <v>154</v>
      </c>
      <c r="DU531" s="0" t="s">
        <v>154</v>
      </c>
      <c r="DX531" s="0" t="s">
        <v>154</v>
      </c>
      <c r="EA531" s="0" t="s">
        <v>154</v>
      </c>
      <c r="EF531" s="0" t="s">
        <v>154</v>
      </c>
    </row>
    <row r="532" customFormat="false" ht="13.8" hidden="true" customHeight="false" outlineLevel="0" collapsed="false">
      <c r="A532" s="0" t="s">
        <v>2817</v>
      </c>
      <c r="B532" s="0" t="n">
        <v>78</v>
      </c>
      <c r="C532" s="0" t="n">
        <v>492920</v>
      </c>
      <c r="D532" s="0" t="s">
        <v>2818</v>
      </c>
      <c r="E532" s="0" t="s">
        <v>2819</v>
      </c>
      <c r="F532" s="0" t="str">
        <f aca="false">CONCATENATE(D532," ",LEFT(H532,4),"T=",AU532,"D=",AV532,"R=",AW532,"M=",AX532,"L=",AY532,"B=",AZ532)</f>
        <v>BECHTEL T=5D=2R=0M=0L=0B=0</v>
      </c>
      <c r="G532" s="0" t="s">
        <v>241</v>
      </c>
      <c r="I532" s="0" t="s">
        <v>2820</v>
      </c>
      <c r="J532" s="0" t="s">
        <v>1014</v>
      </c>
      <c r="K532" s="0" t="s">
        <v>175</v>
      </c>
      <c r="L532" s="0"/>
      <c r="M532" s="0" t="s">
        <v>2821</v>
      </c>
      <c r="N532" s="0" t="str">
        <f aca="false">RIGHT(M532,LEN(M532)-FIND(" ",M532))</f>
        <v>CLERMONT AVE NE</v>
      </c>
      <c r="P532" s="0" t="s">
        <v>146</v>
      </c>
      <c r="Q532" s="0" t="s">
        <v>147</v>
      </c>
      <c r="R532" s="0" t="n">
        <v>44483</v>
      </c>
      <c r="AD532" s="0" t="s">
        <v>148</v>
      </c>
      <c r="AE532" s="0" t="s">
        <v>149</v>
      </c>
      <c r="AF532" s="0" t="s">
        <v>150</v>
      </c>
      <c r="AH532" s="0" t="n">
        <v>14</v>
      </c>
      <c r="AI532" s="0" t="n">
        <v>11</v>
      </c>
      <c r="AN532" s="0" t="s">
        <v>146</v>
      </c>
      <c r="AO532" s="0" t="s">
        <v>236</v>
      </c>
      <c r="AP532" s="0" t="s">
        <v>237</v>
      </c>
      <c r="AQ532" s="0" t="n">
        <v>9</v>
      </c>
      <c r="AR532" s="0" t="n">
        <v>64</v>
      </c>
      <c r="AS532" s="0" t="n">
        <v>32</v>
      </c>
      <c r="AU532" s="0" t="n">
        <f aca="false">COUNTA($BA$642:$EH$642)</f>
        <v>5</v>
      </c>
      <c r="AV532" s="0" t="n">
        <f aca="false">COUNTIF($BA$642:$EH$642,"D")</f>
        <v>2</v>
      </c>
      <c r="AW532" s="0" t="n">
        <f aca="false">COUNTIF($BA$642:$EH$642,"R")</f>
        <v>0</v>
      </c>
      <c r="AX532" s="0" t="n">
        <f aca="false"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>0</v>
      </c>
      <c r="AY532" s="0" t="n">
        <f aca="false">COUNTIF(DU532:EH532, "&lt;&gt;")</f>
        <v>0</v>
      </c>
      <c r="AZ532" s="0" t="n">
        <f aca="false">IF(EH532&lt;&gt;"",1,0)</f>
        <v>0</v>
      </c>
      <c r="BB532" s="0" t="s">
        <v>153</v>
      </c>
      <c r="CA532" s="0" t="s">
        <v>154</v>
      </c>
      <c r="CG532" s="0" t="s">
        <v>154</v>
      </c>
      <c r="CK532" s="0" t="s">
        <v>154</v>
      </c>
      <c r="CN532" s="0" t="s">
        <v>154</v>
      </c>
      <c r="CP532" s="0" t="s">
        <v>154</v>
      </c>
      <c r="CZ532" s="0" t="s">
        <v>155</v>
      </c>
      <c r="DC532" s="0" t="s">
        <v>154</v>
      </c>
      <c r="DG532" s="0" t="s">
        <v>155</v>
      </c>
    </row>
    <row r="533" customFormat="false" ht="13.8" hidden="false" customHeight="false" outlineLevel="0" collapsed="false">
      <c r="A533" s="0" t="s">
        <v>2822</v>
      </c>
      <c r="B533" s="0" t="n">
        <v>78</v>
      </c>
      <c r="C533" s="0" t="n">
        <v>65879</v>
      </c>
      <c r="D533" s="0" t="s">
        <v>2818</v>
      </c>
      <c r="E533" s="0" t="s">
        <v>1374</v>
      </c>
      <c r="F533" s="0" t="str">
        <f aca="false">CONCATENATE(D533," ",LEFT(H533,4),"T=",AU533,"D=",AV533,"R=",AW533,"M=",AX533,"L=",AY533,"B=",AZ533)</f>
        <v>BECHTEL T=9D=5R=0M=5L=5B=0</v>
      </c>
      <c r="G533" s="0" t="s">
        <v>496</v>
      </c>
      <c r="I533" s="0" t="s">
        <v>2823</v>
      </c>
      <c r="J533" s="0" t="s">
        <v>2824</v>
      </c>
      <c r="K533" s="0" t="s">
        <v>175</v>
      </c>
      <c r="L533" s="1" t="s">
        <v>155</v>
      </c>
      <c r="M533" s="0" t="s">
        <v>2821</v>
      </c>
      <c r="N533" s="0" t="str">
        <f aca="false">RIGHT(M533,LEN(M533)-FIND(" ",M533))</f>
        <v>CLERMONT AVE NE</v>
      </c>
      <c r="P533" s="0" t="s">
        <v>146</v>
      </c>
      <c r="Q533" s="0" t="s">
        <v>147</v>
      </c>
      <c r="R533" s="0" t="n">
        <v>44483</v>
      </c>
      <c r="AD533" s="0" t="s">
        <v>148</v>
      </c>
      <c r="AE533" s="0" t="s">
        <v>149</v>
      </c>
      <c r="AF533" s="0" t="s">
        <v>150</v>
      </c>
      <c r="AH533" s="0" t="n">
        <v>14</v>
      </c>
      <c r="AI533" s="0" t="n">
        <v>11</v>
      </c>
      <c r="AN533" s="0" t="s">
        <v>146</v>
      </c>
      <c r="AO533" s="0" t="s">
        <v>236</v>
      </c>
      <c r="AP533" s="0" t="s">
        <v>237</v>
      </c>
      <c r="AQ533" s="0" t="n">
        <v>9</v>
      </c>
      <c r="AR533" s="0" t="n">
        <v>64</v>
      </c>
      <c r="AS533" s="0" t="n">
        <v>32</v>
      </c>
      <c r="AU533" s="0" t="n">
        <f aca="false">COUNTA($BA$660:$EH$660)</f>
        <v>9</v>
      </c>
      <c r="AV533" s="0" t="n">
        <f aca="false">COUNTIF($BA$660:$EH$660,"D")</f>
        <v>5</v>
      </c>
      <c r="AW533" s="0" t="n">
        <f aca="false">COUNTIF($BA$660:$EH$660,"R")</f>
        <v>0</v>
      </c>
      <c r="AX533" s="0" t="n">
        <f aca="false"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>5</v>
      </c>
      <c r="AY533" s="0" t="n">
        <f aca="false">COUNTIF(DU533:EH533, "&lt;&gt;")</f>
        <v>5</v>
      </c>
      <c r="AZ533" s="0" t="n">
        <f aca="false">IF(EH533&lt;&gt;"",1,0)</f>
        <v>0</v>
      </c>
      <c r="BB533" s="0" t="s">
        <v>153</v>
      </c>
      <c r="BC533" s="0" t="s">
        <v>154</v>
      </c>
      <c r="BD533" s="0" t="s">
        <v>154</v>
      </c>
      <c r="BF533" s="0" t="s">
        <v>154</v>
      </c>
      <c r="BG533" s="0" t="s">
        <v>154</v>
      </c>
      <c r="BH533" s="0" t="s">
        <v>154</v>
      </c>
      <c r="BI533" s="0" t="s">
        <v>154</v>
      </c>
      <c r="BJ533" s="0" t="s">
        <v>154</v>
      </c>
      <c r="BK533" s="0" t="s">
        <v>154</v>
      </c>
      <c r="BL533" s="0" t="s">
        <v>154</v>
      </c>
      <c r="BP533" s="0" t="s">
        <v>154</v>
      </c>
      <c r="BR533" s="0" t="s">
        <v>154</v>
      </c>
      <c r="BS533" s="0" t="s">
        <v>154</v>
      </c>
      <c r="BV533" s="0" t="s">
        <v>154</v>
      </c>
      <c r="BY533" s="0" t="s">
        <v>155</v>
      </c>
      <c r="CA533" s="0" t="s">
        <v>154</v>
      </c>
      <c r="CG533" s="0" t="s">
        <v>154</v>
      </c>
      <c r="CH533" s="0" t="s">
        <v>155</v>
      </c>
      <c r="CK533" s="0" t="s">
        <v>154</v>
      </c>
      <c r="CL533" s="0" t="s">
        <v>155</v>
      </c>
      <c r="CN533" s="0" t="s">
        <v>154</v>
      </c>
      <c r="CO533" s="0" t="s">
        <v>155</v>
      </c>
      <c r="CP533" s="0" t="s">
        <v>154</v>
      </c>
      <c r="CV533" s="0" t="s">
        <v>154</v>
      </c>
      <c r="CW533" s="0" t="s">
        <v>155</v>
      </c>
      <c r="CY533" s="0" t="s">
        <v>154</v>
      </c>
      <c r="CZ533" s="0" t="s">
        <v>155</v>
      </c>
      <c r="DC533" s="0" t="s">
        <v>154</v>
      </c>
      <c r="DD533" s="0" t="s">
        <v>155</v>
      </c>
      <c r="DF533" s="0" t="s">
        <v>154</v>
      </c>
      <c r="DG533" s="0" t="s">
        <v>155</v>
      </c>
      <c r="DI533" s="0" t="s">
        <v>154</v>
      </c>
      <c r="DJ533" s="0" t="s">
        <v>155</v>
      </c>
      <c r="DL533" s="0" t="s">
        <v>154</v>
      </c>
      <c r="DM533" s="0" t="s">
        <v>155</v>
      </c>
      <c r="DN533" s="0" t="s">
        <v>154</v>
      </c>
      <c r="DO533" s="0" t="s">
        <v>155</v>
      </c>
      <c r="DR533" s="0" t="s">
        <v>154</v>
      </c>
      <c r="DS533" s="0" t="s">
        <v>155</v>
      </c>
      <c r="DT533" s="0" t="s">
        <v>155</v>
      </c>
      <c r="DU533" s="0" t="s">
        <v>154</v>
      </c>
      <c r="DX533" s="0" t="s">
        <v>154</v>
      </c>
      <c r="EA533" s="0" t="s">
        <v>154</v>
      </c>
      <c r="ED533" s="0" t="s">
        <v>155</v>
      </c>
      <c r="EF533" s="0" t="s">
        <v>154</v>
      </c>
    </row>
    <row r="534" customFormat="false" ht="13.8" hidden="true" customHeight="false" outlineLevel="0" collapsed="false">
      <c r="A534" s="0" t="s">
        <v>2825</v>
      </c>
      <c r="B534" s="0" t="n">
        <v>78</v>
      </c>
      <c r="C534" s="0" t="n">
        <v>65880</v>
      </c>
      <c r="D534" s="0" t="s">
        <v>2818</v>
      </c>
      <c r="E534" s="0" t="s">
        <v>2826</v>
      </c>
      <c r="F534" s="0" t="str">
        <f aca="false">CONCATENATE(D534," ",LEFT(H534,4),"T=",AU534,"D=",AV534,"R=",AW534,"M=",AX534,"L=",AY534,"B=",AZ534)</f>
        <v>BECHTEL T=4D=0R=0M=5L=1B=0</v>
      </c>
      <c r="G534" s="0" t="s">
        <v>514</v>
      </c>
      <c r="I534" s="0" t="s">
        <v>2827</v>
      </c>
      <c r="J534" s="0" t="s">
        <v>2828</v>
      </c>
      <c r="K534" s="0" t="s">
        <v>175</v>
      </c>
      <c r="L534" s="0" t="s">
        <v>155</v>
      </c>
      <c r="M534" s="0" t="s">
        <v>2821</v>
      </c>
      <c r="N534" s="0" t="str">
        <f aca="false">RIGHT(M534,LEN(M534)-FIND(" ",M534))</f>
        <v>CLERMONT AVE NE</v>
      </c>
      <c r="P534" s="0" t="s">
        <v>146</v>
      </c>
      <c r="Q534" s="0" t="s">
        <v>147</v>
      </c>
      <c r="R534" s="0" t="n">
        <v>44483</v>
      </c>
      <c r="AD534" s="0" t="s">
        <v>148</v>
      </c>
      <c r="AE534" s="0" t="s">
        <v>149</v>
      </c>
      <c r="AF534" s="0" t="s">
        <v>150</v>
      </c>
      <c r="AH534" s="0" t="n">
        <v>14</v>
      </c>
      <c r="AI534" s="0" t="n">
        <v>11</v>
      </c>
      <c r="AN534" s="0" t="s">
        <v>146</v>
      </c>
      <c r="AO534" s="0" t="s">
        <v>236</v>
      </c>
      <c r="AP534" s="0" t="s">
        <v>237</v>
      </c>
      <c r="AQ534" s="0" t="n">
        <v>9</v>
      </c>
      <c r="AR534" s="0" t="n">
        <v>64</v>
      </c>
      <c r="AS534" s="0" t="n">
        <v>32</v>
      </c>
      <c r="AU534" s="0" t="n">
        <f aca="false">COUNTA($BA$663:$EH$663)</f>
        <v>4</v>
      </c>
      <c r="AV534" s="0" t="n">
        <f aca="false">COUNTIF($BA$663:$EH$663,"D")</f>
        <v>0</v>
      </c>
      <c r="AW534" s="0" t="n">
        <f aca="false">COUNTIF($BA$663:$EH$663,"R")</f>
        <v>0</v>
      </c>
      <c r="AX534" s="0" t="n">
        <f aca="false"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>5</v>
      </c>
      <c r="AY534" s="0" t="n">
        <f aca="false">COUNTIF(DU534:EH534, "&lt;&gt;")</f>
        <v>1</v>
      </c>
      <c r="AZ534" s="0" t="n">
        <f aca="false">IF(EH534&lt;&gt;"",1,0)</f>
        <v>0</v>
      </c>
      <c r="BB534" s="0" t="s">
        <v>153</v>
      </c>
      <c r="BC534" s="0" t="s">
        <v>154</v>
      </c>
      <c r="BD534" s="0" t="s">
        <v>154</v>
      </c>
      <c r="BF534" s="0" t="s">
        <v>154</v>
      </c>
      <c r="BG534" s="0" t="s">
        <v>154</v>
      </c>
      <c r="BH534" s="0" t="s">
        <v>154</v>
      </c>
      <c r="BI534" s="0" t="s">
        <v>154</v>
      </c>
      <c r="BJ534" s="0" t="s">
        <v>154</v>
      </c>
      <c r="BK534" s="0" t="s">
        <v>154</v>
      </c>
      <c r="BL534" s="0" t="s">
        <v>154</v>
      </c>
      <c r="BP534" s="0" t="s">
        <v>154</v>
      </c>
      <c r="BR534" s="0" t="s">
        <v>154</v>
      </c>
      <c r="BS534" s="0" t="s">
        <v>154</v>
      </c>
      <c r="BV534" s="0" t="s">
        <v>154</v>
      </c>
      <c r="BY534" s="0" t="s">
        <v>155</v>
      </c>
      <c r="CA534" s="0" t="s">
        <v>154</v>
      </c>
      <c r="CG534" s="0" t="s">
        <v>154</v>
      </c>
      <c r="CH534" s="0" t="s">
        <v>155</v>
      </c>
      <c r="CK534" s="0" t="s">
        <v>154</v>
      </c>
      <c r="CL534" s="0" t="s">
        <v>155</v>
      </c>
      <c r="CN534" s="0" t="s">
        <v>154</v>
      </c>
      <c r="CO534" s="0" t="s">
        <v>155</v>
      </c>
      <c r="CP534" s="0" t="s">
        <v>154</v>
      </c>
      <c r="CV534" s="0" t="s">
        <v>154</v>
      </c>
      <c r="CW534" s="0" t="s">
        <v>155</v>
      </c>
      <c r="CY534" s="0" t="s">
        <v>154</v>
      </c>
      <c r="CZ534" s="0" t="s">
        <v>155</v>
      </c>
      <c r="DC534" s="0" t="s">
        <v>154</v>
      </c>
      <c r="DD534" s="0" t="s">
        <v>155</v>
      </c>
      <c r="DF534" s="0" t="s">
        <v>154</v>
      </c>
      <c r="DG534" s="0" t="s">
        <v>155</v>
      </c>
      <c r="DI534" s="0" t="s">
        <v>154</v>
      </c>
      <c r="DJ534" s="0" t="s">
        <v>155</v>
      </c>
      <c r="DL534" s="0" t="s">
        <v>154</v>
      </c>
      <c r="DM534" s="0" t="s">
        <v>155</v>
      </c>
      <c r="DN534" s="0" t="s">
        <v>154</v>
      </c>
      <c r="DO534" s="0" t="s">
        <v>155</v>
      </c>
      <c r="DR534" s="0" t="s">
        <v>154</v>
      </c>
      <c r="DS534" s="0" t="s">
        <v>155</v>
      </c>
      <c r="DT534" s="0" t="s">
        <v>155</v>
      </c>
      <c r="DU534" s="0" t="s">
        <v>154</v>
      </c>
    </row>
    <row r="535" customFormat="false" ht="13.8" hidden="true" customHeight="false" outlineLevel="0" collapsed="false">
      <c r="A535" s="0" t="s">
        <v>2829</v>
      </c>
      <c r="B535" s="0" t="n">
        <v>78</v>
      </c>
      <c r="C535" s="0" t="n">
        <v>310411</v>
      </c>
      <c r="D535" s="0" t="s">
        <v>2830</v>
      </c>
      <c r="E535" s="0" t="s">
        <v>590</v>
      </c>
      <c r="F535" s="0" t="str">
        <f aca="false">CONCATENATE(D535," ",LEFT(H535,4),"T=",AU535,"D=",AV535,"R=",AW535,"M=",AX535,"L=",AY535,"B=",AZ535)</f>
        <v>SWEGAN T=1D=0R=0M=0L=1B=0</v>
      </c>
      <c r="G535" s="0" t="s">
        <v>166</v>
      </c>
      <c r="I535" s="0" t="s">
        <v>2831</v>
      </c>
      <c r="J535" s="0" t="s">
        <v>2832</v>
      </c>
      <c r="K535" s="0" t="s">
        <v>175</v>
      </c>
      <c r="L535" s="0"/>
      <c r="M535" s="0" t="s">
        <v>2833</v>
      </c>
      <c r="N535" s="0" t="str">
        <f aca="false">RIGHT(M535,LEN(M535)-FIND(" ",M535))</f>
        <v>CLERMONT AVE NE</v>
      </c>
      <c r="P535" s="0" t="s">
        <v>146</v>
      </c>
      <c r="Q535" s="0" t="s">
        <v>147</v>
      </c>
      <c r="R535" s="0" t="n">
        <v>44483</v>
      </c>
      <c r="AD535" s="0" t="s">
        <v>148</v>
      </c>
      <c r="AE535" s="0" t="s">
        <v>149</v>
      </c>
      <c r="AF535" s="0" t="s">
        <v>150</v>
      </c>
      <c r="AH535" s="0" t="n">
        <v>14</v>
      </c>
      <c r="AI535" s="0" t="n">
        <v>11</v>
      </c>
      <c r="AN535" s="0" t="s">
        <v>146</v>
      </c>
      <c r="AO535" s="0" t="s">
        <v>236</v>
      </c>
      <c r="AP535" s="0" t="s">
        <v>237</v>
      </c>
      <c r="AQ535" s="0" t="n">
        <v>9</v>
      </c>
      <c r="AR535" s="0" t="n">
        <v>64</v>
      </c>
      <c r="AS535" s="0" t="n">
        <v>32</v>
      </c>
      <c r="AU535" s="0" t="n">
        <f aca="false">COUNTA($BA$104:$EH$104)</f>
        <v>1</v>
      </c>
      <c r="AV535" s="0" t="n">
        <f aca="false">COUNTIF($BA$104:$EH$104,"D")</f>
        <v>0</v>
      </c>
      <c r="AW535" s="0" t="n">
        <f aca="false">COUNTIF($BA$104:$EH$104,"R")</f>
        <v>0</v>
      </c>
      <c r="AX535" s="0" t="n">
        <f aca="false"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>0</v>
      </c>
      <c r="AY535" s="0" t="n">
        <f aca="false">COUNTIF(DU535:EH535, "&lt;&gt;")</f>
        <v>1</v>
      </c>
      <c r="AZ535" s="0" t="n">
        <f aca="false">IF(EH535&lt;&gt;"",1,0)</f>
        <v>0</v>
      </c>
      <c r="BB535" s="0" t="s">
        <v>153</v>
      </c>
      <c r="CZ535" s="0" t="s">
        <v>176</v>
      </c>
      <c r="DC535" s="0" t="s">
        <v>154</v>
      </c>
      <c r="DN535" s="0" t="s">
        <v>154</v>
      </c>
      <c r="EF535" s="0" t="s">
        <v>154</v>
      </c>
    </row>
    <row r="536" customFormat="false" ht="13.8" hidden="true" customHeight="false" outlineLevel="0" collapsed="false">
      <c r="A536" s="0" t="s">
        <v>2834</v>
      </c>
      <c r="B536" s="0" t="n">
        <v>78</v>
      </c>
      <c r="C536" s="0" t="n">
        <v>423330</v>
      </c>
      <c r="D536" s="0" t="s">
        <v>2835</v>
      </c>
      <c r="E536" s="0" t="s">
        <v>2836</v>
      </c>
      <c r="F536" s="0" t="str">
        <f aca="false">CONCATENATE(D536," ",LEFT(H536,4),"T=",AU536,"D=",AV536,"R=",AW536,"M=",AX536,"L=",AY536,"B=",AZ536)</f>
        <v>DICKSON T=47D=15R=1M=0L=1B=0</v>
      </c>
      <c r="I536" s="0" t="s">
        <v>2837</v>
      </c>
      <c r="J536" s="0" t="s">
        <v>2838</v>
      </c>
      <c r="K536" s="0" t="s">
        <v>175</v>
      </c>
      <c r="L536" s="0"/>
      <c r="M536" s="0" t="s">
        <v>2839</v>
      </c>
      <c r="N536" s="0" t="str">
        <f aca="false">RIGHT(M536,LEN(M536)-FIND(" ",M536))</f>
        <v>CLERMONT AVE NE</v>
      </c>
      <c r="P536" s="0" t="s">
        <v>146</v>
      </c>
      <c r="Q536" s="0" t="s">
        <v>147</v>
      </c>
      <c r="R536" s="0" t="n">
        <v>44483</v>
      </c>
      <c r="AD536" s="0" t="s">
        <v>148</v>
      </c>
      <c r="AE536" s="0" t="s">
        <v>149</v>
      </c>
      <c r="AF536" s="0" t="s">
        <v>150</v>
      </c>
      <c r="AH536" s="0" t="n">
        <v>14</v>
      </c>
      <c r="AI536" s="0" t="n">
        <v>11</v>
      </c>
      <c r="AN536" s="0" t="s">
        <v>146</v>
      </c>
      <c r="AO536" s="0" t="s">
        <v>236</v>
      </c>
      <c r="AP536" s="0" t="s">
        <v>237</v>
      </c>
      <c r="AQ536" s="0" t="n">
        <v>9</v>
      </c>
      <c r="AR536" s="0" t="n">
        <v>64</v>
      </c>
      <c r="AS536" s="0" t="n">
        <v>32</v>
      </c>
      <c r="AU536" s="0" t="n">
        <f aca="false">COUNTA($BA$130:$EH$130)</f>
        <v>47</v>
      </c>
      <c r="AV536" s="0" t="n">
        <f aca="false">COUNTIF($BA$130:$EH$130,"D")</f>
        <v>15</v>
      </c>
      <c r="AW536" s="0" t="n">
        <f aca="false">COUNTIF($BA$130:$EH$130,"R")</f>
        <v>1</v>
      </c>
      <c r="AX536" s="0" t="n">
        <f aca="false"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>0</v>
      </c>
      <c r="AY536" s="0" t="n">
        <f aca="false">COUNTIF(DU536:EH536, "&lt;&gt;")</f>
        <v>1</v>
      </c>
      <c r="AZ536" s="0" t="n">
        <f aca="false">IF(EH536&lt;&gt;"",1,0)</f>
        <v>0</v>
      </c>
      <c r="BB536" s="0" t="s">
        <v>153</v>
      </c>
      <c r="EF536" s="0" t="s">
        <v>154</v>
      </c>
    </row>
    <row r="537" customFormat="false" ht="13.8" hidden="false" customHeight="false" outlineLevel="0" collapsed="false">
      <c r="A537" s="0" t="s">
        <v>2840</v>
      </c>
      <c r="B537" s="0" t="n">
        <v>78</v>
      </c>
      <c r="C537" s="0" t="n">
        <v>180820</v>
      </c>
      <c r="D537" s="0" t="s">
        <v>2841</v>
      </c>
      <c r="E537" s="0" t="s">
        <v>2826</v>
      </c>
      <c r="F537" s="0" t="str">
        <f aca="false">CONCATENATE(D537," ",LEFT(H537,4),"T=",AU537,"D=",AV537,"R=",AW537,"M=",AX537,"L=",AY537,"B=",AZ537)</f>
        <v>NEWSOME T=1D=0R=0M=1L=6B=1</v>
      </c>
      <c r="G537" s="0" t="s">
        <v>172</v>
      </c>
      <c r="I537" s="0" t="s">
        <v>2842</v>
      </c>
      <c r="J537" s="0" t="s">
        <v>2843</v>
      </c>
      <c r="K537" s="0" t="s">
        <v>175</v>
      </c>
      <c r="L537" s="1" t="s">
        <v>155</v>
      </c>
      <c r="M537" s="0" t="s">
        <v>2844</v>
      </c>
      <c r="N537" s="0" t="str">
        <f aca="false">RIGHT(M537,LEN(M537)-FIND(" ",M537))</f>
        <v>CLERMONT AVE NE</v>
      </c>
      <c r="P537" s="0" t="s">
        <v>146</v>
      </c>
      <c r="Q537" s="0" t="s">
        <v>147</v>
      </c>
      <c r="R537" s="0" t="n">
        <v>44483</v>
      </c>
      <c r="AD537" s="0" t="s">
        <v>148</v>
      </c>
      <c r="AE537" s="0" t="s">
        <v>149</v>
      </c>
      <c r="AF537" s="0" t="s">
        <v>150</v>
      </c>
      <c r="AH537" s="0" t="n">
        <v>14</v>
      </c>
      <c r="AI537" s="0" t="n">
        <v>11</v>
      </c>
      <c r="AN537" s="0" t="s">
        <v>146</v>
      </c>
      <c r="AO537" s="0" t="s">
        <v>236</v>
      </c>
      <c r="AP537" s="0" t="s">
        <v>237</v>
      </c>
      <c r="AQ537" s="0" t="n">
        <v>9</v>
      </c>
      <c r="AR537" s="0" t="n">
        <v>64</v>
      </c>
      <c r="AS537" s="0" t="n">
        <v>32</v>
      </c>
      <c r="AU537" s="0" t="n">
        <f aca="false">COUNTA($BA$650:$EH$650)</f>
        <v>1</v>
      </c>
      <c r="AV537" s="0" t="n">
        <f aca="false">COUNTIF($BA$650:$EH$650,"D")</f>
        <v>0</v>
      </c>
      <c r="AW537" s="0" t="n">
        <f aca="false">COUNTIF($BA$650:$EH$650,"R")</f>
        <v>0</v>
      </c>
      <c r="AX537" s="0" t="n">
        <f aca="false"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>1</v>
      </c>
      <c r="AY537" s="0" t="n">
        <f aca="false">COUNTIF(DU537:EH537, "&lt;&gt;")</f>
        <v>6</v>
      </c>
      <c r="AZ537" s="0" t="n">
        <f aca="false">IF(EH537&lt;&gt;"",1,0)</f>
        <v>1</v>
      </c>
      <c r="BB537" s="0" t="s">
        <v>153</v>
      </c>
      <c r="BD537" s="0" t="s">
        <v>154</v>
      </c>
      <c r="BE537" s="0" t="s">
        <v>154</v>
      </c>
      <c r="BF537" s="0" t="s">
        <v>154</v>
      </c>
      <c r="BG537" s="0" t="s">
        <v>154</v>
      </c>
      <c r="BH537" s="0" t="s">
        <v>154</v>
      </c>
      <c r="BK537" s="0" t="s">
        <v>154</v>
      </c>
      <c r="BL537" s="0" t="s">
        <v>154</v>
      </c>
      <c r="BP537" s="0" t="s">
        <v>154</v>
      </c>
      <c r="BS537" s="0" t="s">
        <v>154</v>
      </c>
      <c r="BV537" s="0" t="s">
        <v>154</v>
      </c>
      <c r="BY537" s="0" t="s">
        <v>155</v>
      </c>
      <c r="CA537" s="0" t="s">
        <v>154</v>
      </c>
      <c r="CK537" s="0" t="s">
        <v>154</v>
      </c>
      <c r="CN537" s="0" t="s">
        <v>154</v>
      </c>
      <c r="CP537" s="0" t="s">
        <v>154</v>
      </c>
      <c r="CT537" s="0" t="s">
        <v>154</v>
      </c>
      <c r="CV537" s="0" t="s">
        <v>154</v>
      </c>
      <c r="CY537" s="0" t="s">
        <v>154</v>
      </c>
      <c r="CZ537" s="0" t="s">
        <v>176</v>
      </c>
      <c r="DC537" s="0" t="s">
        <v>154</v>
      </c>
      <c r="DF537" s="0" t="s">
        <v>154</v>
      </c>
      <c r="DG537" s="0" t="s">
        <v>176</v>
      </c>
      <c r="DI537" s="0" t="s">
        <v>154</v>
      </c>
      <c r="DL537" s="0" t="s">
        <v>154</v>
      </c>
      <c r="DM537" s="0" t="s">
        <v>176</v>
      </c>
      <c r="DN537" s="0" t="s">
        <v>154</v>
      </c>
      <c r="DR537" s="0" t="s">
        <v>154</v>
      </c>
      <c r="DS537" s="0" t="s">
        <v>176</v>
      </c>
      <c r="DT537" s="0" t="s">
        <v>176</v>
      </c>
      <c r="DU537" s="0" t="s">
        <v>154</v>
      </c>
      <c r="DX537" s="0" t="s">
        <v>154</v>
      </c>
      <c r="EA537" s="0" t="s">
        <v>154</v>
      </c>
      <c r="ED537" s="0" t="s">
        <v>176</v>
      </c>
      <c r="EF537" s="0" t="s">
        <v>154</v>
      </c>
      <c r="EH537" s="0" t="s">
        <v>155</v>
      </c>
    </row>
    <row r="538" customFormat="false" ht="13.8" hidden="false" customHeight="false" outlineLevel="0" collapsed="false">
      <c r="A538" s="0" t="s">
        <v>2845</v>
      </c>
      <c r="B538" s="0" t="n">
        <v>78</v>
      </c>
      <c r="C538" s="0" t="n">
        <v>399453</v>
      </c>
      <c r="D538" s="0" t="s">
        <v>2841</v>
      </c>
      <c r="E538" s="0" t="s">
        <v>1744</v>
      </c>
      <c r="F538" s="0" t="str">
        <f aca="false">CONCATENATE(D538," ",LEFT(H538,4),"T=",AU538,"D=",AV538,"R=",AW538,"M=",AX538,"L=",AY538,"B=",AZ538)</f>
        <v>NEWSOME T=1D=0R=0M=1L=6B=1</v>
      </c>
      <c r="G538" s="0" t="s">
        <v>690</v>
      </c>
      <c r="I538" s="0" t="s">
        <v>2846</v>
      </c>
      <c r="J538" s="0" t="s">
        <v>2847</v>
      </c>
      <c r="K538" s="0" t="s">
        <v>175</v>
      </c>
      <c r="L538" s="1" t="s">
        <v>155</v>
      </c>
      <c r="M538" s="0" t="s">
        <v>2844</v>
      </c>
      <c r="N538" s="0" t="str">
        <f aca="false">RIGHT(M538,LEN(M538)-FIND(" ",M538))</f>
        <v>CLERMONT AVE NE</v>
      </c>
      <c r="P538" s="0" t="s">
        <v>146</v>
      </c>
      <c r="Q538" s="0" t="s">
        <v>147</v>
      </c>
      <c r="R538" s="0" t="n">
        <v>44483</v>
      </c>
      <c r="AD538" s="0" t="s">
        <v>148</v>
      </c>
      <c r="AE538" s="0" t="s">
        <v>149</v>
      </c>
      <c r="AF538" s="0" t="s">
        <v>150</v>
      </c>
      <c r="AH538" s="0" t="n">
        <v>14</v>
      </c>
      <c r="AI538" s="0" t="n">
        <v>11</v>
      </c>
      <c r="AN538" s="0" t="s">
        <v>146</v>
      </c>
      <c r="AO538" s="0" t="s">
        <v>236</v>
      </c>
      <c r="AP538" s="0" t="s">
        <v>237</v>
      </c>
      <c r="AQ538" s="0" t="n">
        <v>9</v>
      </c>
      <c r="AR538" s="0" t="n">
        <v>64</v>
      </c>
      <c r="AS538" s="0" t="n">
        <v>32</v>
      </c>
      <c r="AU538" s="0" t="n">
        <f aca="false">COUNTA($BA$1009:$EH$1009)</f>
        <v>1</v>
      </c>
      <c r="AV538" s="0" t="n">
        <f aca="false">COUNTIF($BA$1009:$EH$1009,"D")</f>
        <v>0</v>
      </c>
      <c r="AW538" s="0" t="n">
        <f aca="false">COUNTIF($BA$1009:$EH$1009,"R")</f>
        <v>0</v>
      </c>
      <c r="AX538" s="0" t="n">
        <f aca="false"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>1</v>
      </c>
      <c r="AY538" s="0" t="n">
        <f aca="false">COUNTIF(DU538:EH538, "&lt;&gt;")</f>
        <v>6</v>
      </c>
      <c r="AZ538" s="0" t="n">
        <f aca="false">IF(EH538&lt;&gt;"",1,0)</f>
        <v>1</v>
      </c>
      <c r="BB538" s="0" t="s">
        <v>153</v>
      </c>
      <c r="DI538" s="0" t="s">
        <v>154</v>
      </c>
      <c r="DM538" s="0" t="s">
        <v>155</v>
      </c>
      <c r="DN538" s="0" t="s">
        <v>154</v>
      </c>
      <c r="DU538" s="0" t="s">
        <v>154</v>
      </c>
      <c r="DX538" s="0" t="s">
        <v>154</v>
      </c>
      <c r="EA538" s="0" t="s">
        <v>154</v>
      </c>
      <c r="ED538" s="0" t="s">
        <v>155</v>
      </c>
      <c r="EF538" s="0" t="s">
        <v>154</v>
      </c>
      <c r="EH538" s="0" t="s">
        <v>155</v>
      </c>
    </row>
    <row r="539" customFormat="false" ht="13.8" hidden="false" customHeight="false" outlineLevel="0" collapsed="false">
      <c r="A539" s="0" t="s">
        <v>2848</v>
      </c>
      <c r="B539" s="0" t="n">
        <v>78</v>
      </c>
      <c r="C539" s="0" t="n">
        <v>201908</v>
      </c>
      <c r="D539" s="0" t="s">
        <v>2849</v>
      </c>
      <c r="E539" s="0" t="s">
        <v>2850</v>
      </c>
      <c r="F539" s="0" t="str">
        <f aca="false">CONCATENATE(D539," ",LEFT(H539,4),"T=",AU539,"D=",AV539,"R=",AW539,"M=",AX539,"L=",AY539,"B=",AZ539)</f>
        <v>WENSEL JRT=12D=3R=0M=1L=6B=0</v>
      </c>
      <c r="G539" s="0" t="s">
        <v>241</v>
      </c>
      <c r="H539" s="0" t="s">
        <v>431</v>
      </c>
      <c r="I539" s="0" t="s">
        <v>2851</v>
      </c>
      <c r="J539" s="0" t="s">
        <v>2852</v>
      </c>
      <c r="K539" s="0" t="s">
        <v>175</v>
      </c>
      <c r="L539" s="1" t="s">
        <v>176</v>
      </c>
      <c r="M539" s="0" t="s">
        <v>2853</v>
      </c>
      <c r="N539" s="0" t="str">
        <f aca="false">RIGHT(M539,LEN(M539)-FIND(" ",M539))</f>
        <v>CLERMONT AVE NE</v>
      </c>
      <c r="P539" s="0" t="s">
        <v>146</v>
      </c>
      <c r="Q539" s="0" t="s">
        <v>147</v>
      </c>
      <c r="R539" s="0" t="n">
        <v>44483</v>
      </c>
      <c r="AD539" s="0" t="s">
        <v>148</v>
      </c>
      <c r="AE539" s="0" t="s">
        <v>149</v>
      </c>
      <c r="AF539" s="0" t="s">
        <v>150</v>
      </c>
      <c r="AH539" s="0" t="n">
        <v>14</v>
      </c>
      <c r="AI539" s="0" t="n">
        <v>11</v>
      </c>
      <c r="AN539" s="0" t="s">
        <v>146</v>
      </c>
      <c r="AO539" s="0" t="s">
        <v>236</v>
      </c>
      <c r="AP539" s="0" t="s">
        <v>237</v>
      </c>
      <c r="AQ539" s="0" t="n">
        <v>9</v>
      </c>
      <c r="AR539" s="0" t="n">
        <v>64</v>
      </c>
      <c r="AS539" s="0" t="n">
        <v>32</v>
      </c>
      <c r="AU539" s="0" t="n">
        <f aca="false">COUNTA($BA$191:$EH$191)</f>
        <v>12</v>
      </c>
      <c r="AV539" s="0" t="n">
        <f aca="false">COUNTIF($BA$191:$EH$191,"D")</f>
        <v>3</v>
      </c>
      <c r="AW539" s="0" t="n">
        <f aca="false">COUNTIF($BA$191:$EH$191,"R")</f>
        <v>0</v>
      </c>
      <c r="AX539" s="0" t="n">
        <f aca="false"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>1</v>
      </c>
      <c r="AY539" s="0" t="n">
        <f aca="false">COUNTIF(DU539:EH539, "&lt;&gt;")</f>
        <v>6</v>
      </c>
      <c r="AZ539" s="0" t="n">
        <f aca="false">IF(EH539&lt;&gt;"",1,0)</f>
        <v>0</v>
      </c>
      <c r="BB539" s="0" t="s">
        <v>153</v>
      </c>
      <c r="BD539" s="0" t="s">
        <v>154</v>
      </c>
      <c r="BF539" s="0" t="s">
        <v>154</v>
      </c>
      <c r="BG539" s="0" t="s">
        <v>154</v>
      </c>
      <c r="BH539" s="0" t="s">
        <v>154</v>
      </c>
      <c r="BI539" s="0" t="s">
        <v>154</v>
      </c>
      <c r="BJ539" s="0" t="s">
        <v>154</v>
      </c>
      <c r="BK539" s="0" t="s">
        <v>154</v>
      </c>
      <c r="BL539" s="0" t="s">
        <v>154</v>
      </c>
      <c r="BP539" s="0" t="s">
        <v>154</v>
      </c>
      <c r="BR539" s="0" t="s">
        <v>154</v>
      </c>
      <c r="BS539" s="0" t="s">
        <v>154</v>
      </c>
      <c r="BV539" s="0" t="s">
        <v>154</v>
      </c>
      <c r="CA539" s="0" t="s">
        <v>154</v>
      </c>
      <c r="CG539" s="0" t="s">
        <v>154</v>
      </c>
      <c r="CH539" s="0" t="s">
        <v>176</v>
      </c>
      <c r="CK539" s="0" t="s">
        <v>154</v>
      </c>
      <c r="CN539" s="0" t="s">
        <v>154</v>
      </c>
      <c r="CO539" s="0" t="s">
        <v>176</v>
      </c>
      <c r="CP539" s="0" t="s">
        <v>154</v>
      </c>
      <c r="CQ539" s="0" t="s">
        <v>154</v>
      </c>
      <c r="CT539" s="0" t="s">
        <v>154</v>
      </c>
      <c r="CV539" s="0" t="s">
        <v>154</v>
      </c>
      <c r="CY539" s="0" t="s">
        <v>154</v>
      </c>
      <c r="CZ539" s="0" t="s">
        <v>176</v>
      </c>
      <c r="DC539" s="0" t="s">
        <v>154</v>
      </c>
      <c r="DF539" s="0" t="s">
        <v>154</v>
      </c>
      <c r="DG539" s="0" t="s">
        <v>176</v>
      </c>
      <c r="DI539" s="0" t="s">
        <v>154</v>
      </c>
      <c r="DL539" s="0" t="s">
        <v>154</v>
      </c>
      <c r="DN539" s="0" t="s">
        <v>154</v>
      </c>
      <c r="DR539" s="0" t="s">
        <v>154</v>
      </c>
      <c r="DS539" s="0" t="s">
        <v>176</v>
      </c>
      <c r="DT539" s="0" t="s">
        <v>176</v>
      </c>
      <c r="DU539" s="0" t="s">
        <v>154</v>
      </c>
      <c r="DW539" s="0" t="s">
        <v>155</v>
      </c>
      <c r="DX539" s="0" t="s">
        <v>154</v>
      </c>
      <c r="EA539" s="0" t="s">
        <v>154</v>
      </c>
      <c r="ED539" s="0" t="s">
        <v>176</v>
      </c>
      <c r="EF539" s="0" t="s">
        <v>154</v>
      </c>
    </row>
    <row r="540" customFormat="false" ht="13.8" hidden="false" customHeight="false" outlineLevel="0" collapsed="false">
      <c r="A540" s="0" t="s">
        <v>2854</v>
      </c>
      <c r="B540" s="0" t="n">
        <v>78</v>
      </c>
      <c r="C540" s="0" t="n">
        <v>269279</v>
      </c>
      <c r="D540" s="0" t="s">
        <v>2849</v>
      </c>
      <c r="E540" s="0" t="s">
        <v>920</v>
      </c>
      <c r="F540" s="0" t="str">
        <f aca="false">CONCATENATE(D540," ",LEFT(H540,4),"T=",AU540,"D=",AV540,"R=",AW540,"M=",AX540,"L=",AY540,"B=",AZ540)</f>
        <v>WENSEL T=2D=0R=0M=0L=2B=0</v>
      </c>
      <c r="G540" s="0" t="s">
        <v>455</v>
      </c>
      <c r="I540" s="0" t="s">
        <v>2855</v>
      </c>
      <c r="J540" s="0" t="s">
        <v>2856</v>
      </c>
      <c r="K540" s="0" t="s">
        <v>175</v>
      </c>
      <c r="M540" s="0" t="s">
        <v>2853</v>
      </c>
      <c r="N540" s="0" t="str">
        <f aca="false">RIGHT(M540,LEN(M540)-FIND(" ",M540))</f>
        <v>CLERMONT AVE NE</v>
      </c>
      <c r="P540" s="0" t="s">
        <v>146</v>
      </c>
      <c r="Q540" s="0" t="s">
        <v>147</v>
      </c>
      <c r="R540" s="0" t="n">
        <v>44483</v>
      </c>
      <c r="AD540" s="0" t="s">
        <v>148</v>
      </c>
      <c r="AE540" s="0" t="s">
        <v>149</v>
      </c>
      <c r="AF540" s="0" t="s">
        <v>150</v>
      </c>
      <c r="AH540" s="0" t="n">
        <v>14</v>
      </c>
      <c r="AI540" s="0" t="n">
        <v>11</v>
      </c>
      <c r="AN540" s="0" t="s">
        <v>146</v>
      </c>
      <c r="AO540" s="0" t="s">
        <v>236</v>
      </c>
      <c r="AP540" s="0" t="s">
        <v>237</v>
      </c>
      <c r="AQ540" s="0" t="n">
        <v>9</v>
      </c>
      <c r="AR540" s="0" t="n">
        <v>64</v>
      </c>
      <c r="AS540" s="0" t="n">
        <v>32</v>
      </c>
      <c r="AU540" s="0" t="n">
        <f aca="false">COUNTA($BA$324:$EH$324)</f>
        <v>2</v>
      </c>
      <c r="AV540" s="0" t="n">
        <f aca="false">COUNTIF($BA$324:$EH$324,"D")</f>
        <v>0</v>
      </c>
      <c r="AW540" s="0" t="n">
        <f aca="false">COUNTIF($BA$324:$EH$324,"R")</f>
        <v>0</v>
      </c>
      <c r="AX540" s="0" t="n">
        <f aca="false"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>0</v>
      </c>
      <c r="AY540" s="0" t="n">
        <f aca="false">COUNTIF(DU540:EH540, "&lt;&gt;")</f>
        <v>2</v>
      </c>
      <c r="AZ540" s="0" t="n">
        <f aca="false">IF(EH540&lt;&gt;"",1,0)</f>
        <v>0</v>
      </c>
      <c r="BB540" s="0" t="s">
        <v>153</v>
      </c>
      <c r="BF540" s="0" t="s">
        <v>154</v>
      </c>
      <c r="BH540" s="0" t="s">
        <v>154</v>
      </c>
      <c r="BK540" s="0" t="s">
        <v>154</v>
      </c>
      <c r="BL540" s="0" t="s">
        <v>154</v>
      </c>
      <c r="BS540" s="0" t="s">
        <v>154</v>
      </c>
      <c r="BV540" s="0" t="s">
        <v>154</v>
      </c>
      <c r="BY540" s="0" t="s">
        <v>155</v>
      </c>
      <c r="CA540" s="0" t="s">
        <v>154</v>
      </c>
      <c r="CG540" s="0" t="s">
        <v>154</v>
      </c>
      <c r="CH540" s="0" t="s">
        <v>155</v>
      </c>
      <c r="CK540" s="0" t="s">
        <v>154</v>
      </c>
      <c r="CN540" s="0" t="s">
        <v>154</v>
      </c>
      <c r="CP540" s="0" t="s">
        <v>154</v>
      </c>
      <c r="DC540" s="0" t="s">
        <v>154</v>
      </c>
      <c r="DN540" s="0" t="s">
        <v>154</v>
      </c>
      <c r="DX540" s="0" t="s">
        <v>154</v>
      </c>
      <c r="EF540" s="0" t="s">
        <v>154</v>
      </c>
    </row>
    <row r="541" customFormat="false" ht="13.8" hidden="true" customHeight="false" outlineLevel="0" collapsed="false">
      <c r="A541" s="0" t="s">
        <v>2857</v>
      </c>
      <c r="B541" s="0" t="n">
        <v>78</v>
      </c>
      <c r="C541" s="0" t="n">
        <v>413574</v>
      </c>
      <c r="D541" s="0" t="s">
        <v>2858</v>
      </c>
      <c r="E541" s="0" t="s">
        <v>2859</v>
      </c>
      <c r="F541" s="0" t="str">
        <f aca="false">CONCATENATE(D541," ",LEFT(H541,4),"T=",AU541,"D=",AV541,"R=",AW541,"M=",AX541,"L=",AY541,"B=",AZ541)</f>
        <v>PROVERBS T=16D=6R=0M=0L=0B=0</v>
      </c>
      <c r="G541" s="0" t="s">
        <v>241</v>
      </c>
      <c r="I541" s="0" t="s">
        <v>2860</v>
      </c>
      <c r="J541" s="0" t="s">
        <v>2861</v>
      </c>
      <c r="K541" s="0" t="s">
        <v>144</v>
      </c>
      <c r="L541" s="0"/>
      <c r="M541" s="0" t="s">
        <v>2862</v>
      </c>
      <c r="N541" s="0" t="str">
        <f aca="false">RIGHT(M541,LEN(M541)-FIND(" ",M541))</f>
        <v>CLERMONT AVE NE</v>
      </c>
      <c r="P541" s="0" t="s">
        <v>146</v>
      </c>
      <c r="Q541" s="0" t="s">
        <v>147</v>
      </c>
      <c r="R541" s="0" t="n">
        <v>44483</v>
      </c>
      <c r="AD541" s="0" t="s">
        <v>148</v>
      </c>
      <c r="AE541" s="0" t="s">
        <v>149</v>
      </c>
      <c r="AF541" s="0" t="s">
        <v>150</v>
      </c>
      <c r="AH541" s="0" t="n">
        <v>14</v>
      </c>
      <c r="AI541" s="0" t="n">
        <v>11</v>
      </c>
      <c r="AN541" s="0" t="s">
        <v>146</v>
      </c>
      <c r="AO541" s="0" t="s">
        <v>236</v>
      </c>
      <c r="AP541" s="0" t="s">
        <v>237</v>
      </c>
      <c r="AQ541" s="0" t="n">
        <v>9</v>
      </c>
      <c r="AR541" s="0" t="n">
        <v>64</v>
      </c>
      <c r="AS541" s="0" t="n">
        <v>32</v>
      </c>
      <c r="AU541" s="0" t="n">
        <f aca="false">COUNTA($BA$220:$EH$220)</f>
        <v>16</v>
      </c>
      <c r="AV541" s="0" t="n">
        <f aca="false">COUNTIF($BA$220:$EH$220,"D")</f>
        <v>6</v>
      </c>
      <c r="AW541" s="0" t="n">
        <f aca="false">COUNTIF($BA$220:$EH$220,"R")</f>
        <v>0</v>
      </c>
      <c r="AX541" s="0" t="n">
        <f aca="false"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>0</v>
      </c>
      <c r="AY541" s="0" t="n">
        <f aca="false">COUNTIF(DU541:EH541, "&lt;&gt;")</f>
        <v>0</v>
      </c>
      <c r="AZ541" s="0" t="n">
        <f aca="false">IF(EH541&lt;&gt;"",1,0)</f>
        <v>0</v>
      </c>
      <c r="BB541" s="0" t="s">
        <v>153</v>
      </c>
    </row>
    <row r="542" customFormat="false" ht="13.8" hidden="true" customHeight="false" outlineLevel="0" collapsed="false">
      <c r="A542" s="0" t="s">
        <v>2863</v>
      </c>
      <c r="B542" s="0" t="n">
        <v>78</v>
      </c>
      <c r="C542" s="0" t="n">
        <v>356222</v>
      </c>
      <c r="D542" s="0" t="s">
        <v>2858</v>
      </c>
      <c r="E542" s="0" t="s">
        <v>382</v>
      </c>
      <c r="F542" s="0" t="str">
        <f aca="false">CONCATENATE(D542," ",LEFT(H542,4),"T=",AU542,"D=",AV542,"R=",AW542,"M=",AX542,"L=",AY542,"B=",AZ542)</f>
        <v>PROVERBS T=2D=0R=0M=0L=0B=0</v>
      </c>
      <c r="G542" s="0" t="s">
        <v>241</v>
      </c>
      <c r="I542" s="0" t="s">
        <v>2864</v>
      </c>
      <c r="J542" s="0" t="s">
        <v>2408</v>
      </c>
      <c r="K542" s="0" t="s">
        <v>175</v>
      </c>
      <c r="L542" s="0"/>
      <c r="M542" s="0" t="s">
        <v>2862</v>
      </c>
      <c r="N542" s="0" t="str">
        <f aca="false">RIGHT(M542,LEN(M542)-FIND(" ",M542))</f>
        <v>CLERMONT AVE NE</v>
      </c>
      <c r="P542" s="0" t="s">
        <v>146</v>
      </c>
      <c r="Q542" s="0" t="s">
        <v>147</v>
      </c>
      <c r="R542" s="0" t="n">
        <v>44483</v>
      </c>
      <c r="AD542" s="0" t="s">
        <v>148</v>
      </c>
      <c r="AE542" s="0" t="s">
        <v>149</v>
      </c>
      <c r="AF542" s="0" t="s">
        <v>150</v>
      </c>
      <c r="AH542" s="0" t="n">
        <v>14</v>
      </c>
      <c r="AI542" s="0" t="n">
        <v>11</v>
      </c>
      <c r="AN542" s="0" t="s">
        <v>146</v>
      </c>
      <c r="AO542" s="0" t="s">
        <v>236</v>
      </c>
      <c r="AP542" s="0" t="s">
        <v>237</v>
      </c>
      <c r="AQ542" s="0" t="n">
        <v>9</v>
      </c>
      <c r="AR542" s="0" t="n">
        <v>64</v>
      </c>
      <c r="AS542" s="0" t="n">
        <v>32</v>
      </c>
      <c r="AU542" s="0" t="n">
        <f aca="false">COUNTA($BA$264:$EH$264)</f>
        <v>2</v>
      </c>
      <c r="AV542" s="0" t="n">
        <f aca="false">COUNTIF($BA$264:$EH$264,"D")</f>
        <v>0</v>
      </c>
      <c r="AW542" s="0" t="n">
        <f aca="false">COUNTIF($BA$264:$EH$264,"R")</f>
        <v>0</v>
      </c>
      <c r="AX542" s="0" t="n">
        <f aca="false"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>0</v>
      </c>
      <c r="AY542" s="0" t="n">
        <f aca="false">COUNTIF(DU542:EH542, "&lt;&gt;")</f>
        <v>0</v>
      </c>
      <c r="AZ542" s="0" t="n">
        <f aca="false">IF(EH542&lt;&gt;"",1,0)</f>
        <v>0</v>
      </c>
      <c r="BB542" s="0" t="s">
        <v>153</v>
      </c>
      <c r="BD542" s="0" t="s">
        <v>154</v>
      </c>
      <c r="BL542" s="0" t="s">
        <v>154</v>
      </c>
      <c r="BY542" s="0" t="s">
        <v>155</v>
      </c>
      <c r="CA542" s="0" t="s">
        <v>154</v>
      </c>
      <c r="CY542" s="0" t="s">
        <v>154</v>
      </c>
    </row>
    <row r="543" customFormat="false" ht="13.8" hidden="true" customHeight="false" outlineLevel="0" collapsed="false">
      <c r="A543" s="0" t="s">
        <v>2865</v>
      </c>
      <c r="B543" s="0" t="n">
        <v>78</v>
      </c>
      <c r="C543" s="0" t="n">
        <v>280445</v>
      </c>
      <c r="D543" s="0" t="s">
        <v>578</v>
      </c>
      <c r="E543" s="0" t="s">
        <v>165</v>
      </c>
      <c r="F543" s="0" t="str">
        <f aca="false">CONCATENATE(D543," ",LEFT(H543,4),"T=",AU543,"D=",AV543,"R=",AW543,"M=",AX543,"L=",AY543,"B=",AZ543)</f>
        <v>FERRY T=1D=0R=0M=0L=1B=0</v>
      </c>
      <c r="G543" s="0" t="s">
        <v>155</v>
      </c>
      <c r="I543" s="0" t="s">
        <v>2866</v>
      </c>
      <c r="J543" s="0" t="s">
        <v>964</v>
      </c>
      <c r="K543" s="0" t="s">
        <v>175</v>
      </c>
      <c r="L543" s="0"/>
      <c r="M543" s="0" t="s">
        <v>2867</v>
      </c>
      <c r="N543" s="0" t="str">
        <f aca="false">RIGHT(M543,LEN(M543)-FIND(" ",M543))</f>
        <v>CLERMONT AVE NE</v>
      </c>
      <c r="P543" s="0" t="s">
        <v>146</v>
      </c>
      <c r="Q543" s="0" t="s">
        <v>147</v>
      </c>
      <c r="R543" s="0" t="n">
        <v>44483</v>
      </c>
      <c r="AD543" s="0" t="s">
        <v>148</v>
      </c>
      <c r="AE543" s="0" t="s">
        <v>149</v>
      </c>
      <c r="AF543" s="0" t="s">
        <v>150</v>
      </c>
      <c r="AH543" s="0" t="n">
        <v>14</v>
      </c>
      <c r="AI543" s="0" t="n">
        <v>11</v>
      </c>
      <c r="AN543" s="0" t="s">
        <v>146</v>
      </c>
      <c r="AO543" s="0" t="s">
        <v>236</v>
      </c>
      <c r="AP543" s="0" t="s">
        <v>237</v>
      </c>
      <c r="AQ543" s="0" t="n">
        <v>9</v>
      </c>
      <c r="AR543" s="0" t="n">
        <v>64</v>
      </c>
      <c r="AS543" s="0" t="n">
        <v>32</v>
      </c>
      <c r="AU543" s="0" t="n">
        <f aca="false">COUNTA($BA$662:$EH$662)</f>
        <v>1</v>
      </c>
      <c r="AV543" s="0" t="n">
        <f aca="false">COUNTIF($BA$662:$EH$662,"D")</f>
        <v>0</v>
      </c>
      <c r="AW543" s="0" t="n">
        <f aca="false">COUNTIF($BA$662:$EH$662,"R")</f>
        <v>0</v>
      </c>
      <c r="AX543" s="0" t="n">
        <f aca="false"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>0</v>
      </c>
      <c r="AY543" s="0" t="n">
        <f aca="false">COUNTIF(DU543:EH543, "&lt;&gt;")</f>
        <v>1</v>
      </c>
      <c r="AZ543" s="0" t="n">
        <f aca="false">IF(EH543&lt;&gt;"",1,0)</f>
        <v>0</v>
      </c>
      <c r="BB543" s="0" t="s">
        <v>153</v>
      </c>
      <c r="BD543" s="0" t="s">
        <v>154</v>
      </c>
      <c r="BE543" s="0" t="s">
        <v>154</v>
      </c>
      <c r="BH543" s="0" t="s">
        <v>154</v>
      </c>
      <c r="BK543" s="0" t="s">
        <v>154</v>
      </c>
      <c r="BL543" s="0" t="s">
        <v>154</v>
      </c>
      <c r="BP543" s="0" t="s">
        <v>154</v>
      </c>
      <c r="BS543" s="0" t="s">
        <v>154</v>
      </c>
      <c r="BV543" s="0" t="s">
        <v>154</v>
      </c>
      <c r="BY543" s="0" t="s">
        <v>155</v>
      </c>
      <c r="CA543" s="0" t="s">
        <v>154</v>
      </c>
      <c r="CK543" s="0" t="s">
        <v>154</v>
      </c>
      <c r="CP543" s="0" t="s">
        <v>154</v>
      </c>
      <c r="CV543" s="0" t="s">
        <v>154</v>
      </c>
      <c r="CY543" s="0" t="s">
        <v>154</v>
      </c>
      <c r="CZ543" s="0" t="s">
        <v>176</v>
      </c>
      <c r="DC543" s="0" t="s">
        <v>154</v>
      </c>
      <c r="EF543" s="0" t="s">
        <v>154</v>
      </c>
    </row>
    <row r="544" customFormat="false" ht="13.8" hidden="true" customHeight="false" outlineLevel="0" collapsed="false">
      <c r="A544" s="0" t="s">
        <v>2868</v>
      </c>
      <c r="B544" s="0" t="n">
        <v>78</v>
      </c>
      <c r="C544" s="0" t="n">
        <v>459016</v>
      </c>
      <c r="D544" s="0" t="s">
        <v>1628</v>
      </c>
      <c r="E544" s="0" t="s">
        <v>2869</v>
      </c>
      <c r="F544" s="0" t="str">
        <f aca="false">CONCATENATE(D544," ",LEFT(H544,4),"T=",AU544,"D=",AV544,"R=",AW544,"M=",AX544,"L=",AY544,"B=",AZ544)</f>
        <v>REYNOLDS T=1D=0R=0M=0L=1B=0</v>
      </c>
      <c r="G544" s="0" t="s">
        <v>283</v>
      </c>
      <c r="I544" s="0" t="s">
        <v>2870</v>
      </c>
      <c r="J544" s="0" t="s">
        <v>1908</v>
      </c>
      <c r="K544" s="0" t="s">
        <v>175</v>
      </c>
      <c r="L544" s="0"/>
      <c r="M544" s="0" t="s">
        <v>2871</v>
      </c>
      <c r="N544" s="0" t="str">
        <f aca="false">RIGHT(M544,LEN(M544)-FIND(" ",M544))</f>
        <v>CLERMONT AVE NE</v>
      </c>
      <c r="P544" s="0" t="s">
        <v>146</v>
      </c>
      <c r="Q544" s="0" t="s">
        <v>147</v>
      </c>
      <c r="R544" s="0" t="n">
        <v>44483</v>
      </c>
      <c r="AD544" s="0" t="s">
        <v>148</v>
      </c>
      <c r="AE544" s="0" t="s">
        <v>149</v>
      </c>
      <c r="AF544" s="0" t="s">
        <v>150</v>
      </c>
      <c r="AH544" s="0" t="n">
        <v>14</v>
      </c>
      <c r="AI544" s="0" t="n">
        <v>11</v>
      </c>
      <c r="AN544" s="0" t="s">
        <v>146</v>
      </c>
      <c r="AO544" s="0" t="s">
        <v>236</v>
      </c>
      <c r="AP544" s="0" t="s">
        <v>237</v>
      </c>
      <c r="AQ544" s="0" t="n">
        <v>9</v>
      </c>
      <c r="AR544" s="0" t="n">
        <v>64</v>
      </c>
      <c r="AS544" s="0" t="n">
        <v>32</v>
      </c>
      <c r="AU544" s="0" t="n">
        <f aca="false">COUNTA($BA$108:$EH$108)</f>
        <v>1</v>
      </c>
      <c r="AV544" s="0" t="n">
        <f aca="false">COUNTIF($BA$108:$EH$108,"D")</f>
        <v>0</v>
      </c>
      <c r="AW544" s="0" t="n">
        <f aca="false">COUNTIF($BA$108:$EH$108,"R")</f>
        <v>0</v>
      </c>
      <c r="AX544" s="0" t="n">
        <f aca="false"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>0</v>
      </c>
      <c r="AY544" s="0" t="n">
        <f aca="false">COUNTIF(DU544:EH544, "&lt;&gt;")</f>
        <v>1</v>
      </c>
      <c r="AZ544" s="0" t="n">
        <f aca="false">IF(EH544&lt;&gt;"",1,0)</f>
        <v>0</v>
      </c>
      <c r="BB544" s="0" t="s">
        <v>153</v>
      </c>
      <c r="EF544" s="0" t="s">
        <v>154</v>
      </c>
    </row>
    <row r="545" customFormat="false" ht="13.8" hidden="true" customHeight="false" outlineLevel="0" collapsed="false">
      <c r="A545" s="0" t="s">
        <v>2872</v>
      </c>
      <c r="B545" s="0" t="n">
        <v>78</v>
      </c>
      <c r="C545" s="0" t="n">
        <v>458900</v>
      </c>
      <c r="D545" s="0" t="s">
        <v>1628</v>
      </c>
      <c r="E545" s="0" t="s">
        <v>2873</v>
      </c>
      <c r="F545" s="0" t="str">
        <f aca="false">CONCATENATE(D545," ",LEFT(H545,4),"T=",AU545,"D=",AV545,"R=",AW545,"M=",AX545,"L=",AY545,"B=",AZ545)</f>
        <v>REYNOLDS T=1D=0R=0M=0L=1B=0</v>
      </c>
      <c r="G545" s="0" t="s">
        <v>771</v>
      </c>
      <c r="I545" s="0" t="s">
        <v>2874</v>
      </c>
      <c r="J545" s="0" t="s">
        <v>1908</v>
      </c>
      <c r="K545" s="0" t="s">
        <v>175</v>
      </c>
      <c r="L545" s="0"/>
      <c r="M545" s="0" t="s">
        <v>2871</v>
      </c>
      <c r="N545" s="0" t="str">
        <f aca="false">RIGHT(M545,LEN(M545)-FIND(" ",M545))</f>
        <v>CLERMONT AVE NE</v>
      </c>
      <c r="P545" s="0" t="s">
        <v>146</v>
      </c>
      <c r="Q545" s="0" t="s">
        <v>147</v>
      </c>
      <c r="R545" s="0" t="n">
        <v>44483</v>
      </c>
      <c r="AD545" s="0" t="s">
        <v>148</v>
      </c>
      <c r="AE545" s="0" t="s">
        <v>149</v>
      </c>
      <c r="AF545" s="0" t="s">
        <v>150</v>
      </c>
      <c r="AH545" s="0" t="n">
        <v>14</v>
      </c>
      <c r="AI545" s="0" t="n">
        <v>11</v>
      </c>
      <c r="AN545" s="0" t="s">
        <v>146</v>
      </c>
      <c r="AO545" s="0" t="s">
        <v>236</v>
      </c>
      <c r="AP545" s="0" t="s">
        <v>237</v>
      </c>
      <c r="AQ545" s="0" t="n">
        <v>9</v>
      </c>
      <c r="AR545" s="0" t="n">
        <v>64</v>
      </c>
      <c r="AS545" s="0" t="n">
        <v>32</v>
      </c>
      <c r="AU545" s="0" t="n">
        <f aca="false">COUNTA($BA$211:$EH$211)</f>
        <v>1</v>
      </c>
      <c r="AV545" s="0" t="n">
        <f aca="false">COUNTIF($BA$211:$EH$211,"D")</f>
        <v>0</v>
      </c>
      <c r="AW545" s="0" t="n">
        <f aca="false">COUNTIF($BA$211:$EH$211,"R")</f>
        <v>0</v>
      </c>
      <c r="AX545" s="0" t="n">
        <f aca="false"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>0</v>
      </c>
      <c r="AY545" s="0" t="n">
        <f aca="false">COUNTIF(DU545:EH545, "&lt;&gt;")</f>
        <v>1</v>
      </c>
      <c r="AZ545" s="0" t="n">
        <f aca="false">IF(EH545&lt;&gt;"",1,0)</f>
        <v>0</v>
      </c>
      <c r="BB545" s="0" t="s">
        <v>153</v>
      </c>
      <c r="DN545" s="0" t="s">
        <v>154</v>
      </c>
      <c r="EF545" s="0" t="s">
        <v>154</v>
      </c>
    </row>
    <row r="546" customFormat="false" ht="13.8" hidden="false" customHeight="false" outlineLevel="0" collapsed="false">
      <c r="A546" s="0" t="s">
        <v>2875</v>
      </c>
      <c r="B546" s="0" t="n">
        <v>78</v>
      </c>
      <c r="C546" s="0" t="n">
        <v>216150</v>
      </c>
      <c r="D546" s="0" t="s">
        <v>2876</v>
      </c>
      <c r="E546" s="0" t="s">
        <v>1481</v>
      </c>
      <c r="F546" s="0" t="str">
        <f aca="false">CONCATENATE(D546," ",LEFT(H546,4),"T=",AU546,"D=",AV546,"R=",AW546,"M=",AX546,"L=",AY546,"B=",AZ546)</f>
        <v>DUKES T=4D=0R=0M=2L=6B=1</v>
      </c>
      <c r="G546" s="0" t="s">
        <v>172</v>
      </c>
      <c r="I546" s="0" t="s">
        <v>2877</v>
      </c>
      <c r="J546" s="0" t="s">
        <v>234</v>
      </c>
      <c r="K546" s="0" t="s">
        <v>175</v>
      </c>
      <c r="L546" s="1" t="s">
        <v>155</v>
      </c>
      <c r="M546" s="0" t="s">
        <v>2871</v>
      </c>
      <c r="N546" s="0" t="str">
        <f aca="false">RIGHT(M546,LEN(M546)-FIND(" ",M546))</f>
        <v>CLERMONT AVE NE</v>
      </c>
      <c r="P546" s="0" t="s">
        <v>146</v>
      </c>
      <c r="Q546" s="0" t="s">
        <v>147</v>
      </c>
      <c r="R546" s="0" t="n">
        <v>44483</v>
      </c>
      <c r="AD546" s="0" t="s">
        <v>148</v>
      </c>
      <c r="AE546" s="0" t="s">
        <v>149</v>
      </c>
      <c r="AF546" s="0" t="s">
        <v>150</v>
      </c>
      <c r="AH546" s="0" t="n">
        <v>14</v>
      </c>
      <c r="AI546" s="0" t="n">
        <v>11</v>
      </c>
      <c r="AN546" s="0" t="s">
        <v>146</v>
      </c>
      <c r="AO546" s="0" t="s">
        <v>236</v>
      </c>
      <c r="AP546" s="0" t="s">
        <v>237</v>
      </c>
      <c r="AQ546" s="0" t="n">
        <v>9</v>
      </c>
      <c r="AR546" s="0" t="n">
        <v>64</v>
      </c>
      <c r="AS546" s="0" t="n">
        <v>32</v>
      </c>
      <c r="AU546" s="0" t="n">
        <f aca="false">COUNTA($BA$1056:$EH$1056)</f>
        <v>4</v>
      </c>
      <c r="AV546" s="0" t="n">
        <f aca="false">COUNTIF($BA$1056:$EH$1056,"D")</f>
        <v>0</v>
      </c>
      <c r="AW546" s="0" t="n">
        <f aca="false">COUNTIF($BA$1056:$EH$1056,"R")</f>
        <v>0</v>
      </c>
      <c r="AX546" s="0" t="n">
        <f aca="false"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>2</v>
      </c>
      <c r="AY546" s="0" t="n">
        <f aca="false">COUNTIF(DU546:EH546, "&lt;&gt;")</f>
        <v>6</v>
      </c>
      <c r="AZ546" s="0" t="n">
        <f aca="false">IF(EH546&lt;&gt;"",1,0)</f>
        <v>1</v>
      </c>
      <c r="BB546" s="0" t="s">
        <v>153</v>
      </c>
      <c r="BD546" s="0" t="s">
        <v>154</v>
      </c>
      <c r="BE546" s="0" t="s">
        <v>154</v>
      </c>
      <c r="BJ546" s="0" t="s">
        <v>154</v>
      </c>
      <c r="BL546" s="0" t="s">
        <v>154</v>
      </c>
      <c r="BR546" s="0" t="s">
        <v>154</v>
      </c>
      <c r="BS546" s="0" t="s">
        <v>154</v>
      </c>
      <c r="BV546" s="0" t="s">
        <v>154</v>
      </c>
      <c r="BY546" s="0" t="s">
        <v>176</v>
      </c>
      <c r="CA546" s="0" t="s">
        <v>154</v>
      </c>
      <c r="CG546" s="0" t="s">
        <v>154</v>
      </c>
      <c r="CK546" s="0" t="s">
        <v>154</v>
      </c>
      <c r="CN546" s="0" t="s">
        <v>154</v>
      </c>
      <c r="CO546" s="0" t="s">
        <v>176</v>
      </c>
      <c r="CP546" s="0" t="s">
        <v>154</v>
      </c>
      <c r="CV546" s="0" t="s">
        <v>154</v>
      </c>
      <c r="CY546" s="0" t="s">
        <v>154</v>
      </c>
      <c r="DC546" s="0" t="s">
        <v>154</v>
      </c>
      <c r="DN546" s="0" t="s">
        <v>154</v>
      </c>
      <c r="DU546" s="0" t="s">
        <v>154</v>
      </c>
      <c r="DW546" s="0" t="s">
        <v>155</v>
      </c>
      <c r="EA546" s="0" t="s">
        <v>154</v>
      </c>
      <c r="ED546" s="0" t="s">
        <v>176</v>
      </c>
      <c r="EF546" s="0" t="s">
        <v>154</v>
      </c>
      <c r="EH546" s="0" t="s">
        <v>155</v>
      </c>
    </row>
    <row r="547" customFormat="false" ht="13.8" hidden="true" customHeight="false" outlineLevel="0" collapsed="false">
      <c r="A547" s="0" t="s">
        <v>2878</v>
      </c>
      <c r="B547" s="0" t="n">
        <v>78</v>
      </c>
      <c r="C547" s="0" t="n">
        <v>461146</v>
      </c>
      <c r="D547" s="0" t="s">
        <v>2879</v>
      </c>
      <c r="E547" s="0" t="s">
        <v>1531</v>
      </c>
      <c r="F547" s="0" t="str">
        <f aca="false">CONCATENATE(D547," ",LEFT(H547,4),"T=",AU547,"D=",AV547,"R=",AW547,"M=",AX547,"L=",AY547,"B=",AZ547)</f>
        <v>MOUNTFORT T=16D=5R=0M=0L=0B=0</v>
      </c>
      <c r="G547" s="0" t="s">
        <v>2880</v>
      </c>
      <c r="I547" s="0" t="s">
        <v>2881</v>
      </c>
      <c r="J547" s="0" t="s">
        <v>2882</v>
      </c>
      <c r="K547" s="0" t="s">
        <v>144</v>
      </c>
      <c r="L547" s="0"/>
      <c r="M547" s="0" t="s">
        <v>2883</v>
      </c>
      <c r="N547" s="0" t="str">
        <f aca="false">RIGHT(M547,LEN(M547)-FIND(" ",M547))</f>
        <v>CLERMONT AVE NE</v>
      </c>
      <c r="P547" s="0" t="s">
        <v>146</v>
      </c>
      <c r="Q547" s="0" t="s">
        <v>147</v>
      </c>
      <c r="R547" s="0" t="n">
        <v>44483</v>
      </c>
      <c r="AD547" s="0" t="s">
        <v>148</v>
      </c>
      <c r="AE547" s="0" t="s">
        <v>149</v>
      </c>
      <c r="AF547" s="0" t="s">
        <v>150</v>
      </c>
      <c r="AH547" s="0" t="n">
        <v>14</v>
      </c>
      <c r="AI547" s="0" t="n">
        <v>11</v>
      </c>
      <c r="AN547" s="0" t="s">
        <v>146</v>
      </c>
      <c r="AO547" s="0" t="s">
        <v>236</v>
      </c>
      <c r="AP547" s="0" t="s">
        <v>237</v>
      </c>
      <c r="AQ547" s="0" t="n">
        <v>9</v>
      </c>
      <c r="AR547" s="0" t="n">
        <v>64</v>
      </c>
      <c r="AS547" s="0" t="n">
        <v>32</v>
      </c>
      <c r="AU547" s="0" t="n">
        <f aca="false">COUNTA($BA$718:$EH$718)</f>
        <v>16</v>
      </c>
      <c r="AV547" s="0" t="n">
        <f aca="false">COUNTIF($BA$718:$EH$718,"D")</f>
        <v>5</v>
      </c>
      <c r="AW547" s="0" t="n">
        <f aca="false">COUNTIF($BA$718:$EH$718,"R")</f>
        <v>0</v>
      </c>
      <c r="AX547" s="0" t="n">
        <f aca="false"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>0</v>
      </c>
      <c r="AY547" s="0" t="n">
        <f aca="false">COUNTIF(DU547:EH547, "&lt;&gt;")</f>
        <v>0</v>
      </c>
      <c r="AZ547" s="0" t="n">
        <f aca="false">IF(EH547&lt;&gt;"",1,0)</f>
        <v>0</v>
      </c>
      <c r="BB547" s="0" t="s">
        <v>153</v>
      </c>
    </row>
    <row r="548" customFormat="false" ht="13.8" hidden="true" customHeight="false" outlineLevel="0" collapsed="false">
      <c r="A548" s="0" t="s">
        <v>2884</v>
      </c>
      <c r="B548" s="0" t="n">
        <v>78</v>
      </c>
      <c r="C548" s="0" t="n">
        <v>480727</v>
      </c>
      <c r="D548" s="0" t="s">
        <v>2885</v>
      </c>
      <c r="E548" s="0" t="s">
        <v>2886</v>
      </c>
      <c r="F548" s="0" t="str">
        <f aca="false">CONCATENATE(D548," ",LEFT(H548,4),"T=",AU548,"D=",AV548,"R=",AW548,"M=",AX548,"L=",AY548,"B=",AZ548)</f>
        <v>PEREZ T=1D=0R=0M=0L=0B=0</v>
      </c>
      <c r="I548" s="0" t="s">
        <v>2887</v>
      </c>
      <c r="J548" s="0" t="s">
        <v>2888</v>
      </c>
      <c r="K548" s="0" t="s">
        <v>175</v>
      </c>
      <c r="L548" s="0"/>
      <c r="M548" s="0" t="s">
        <v>2889</v>
      </c>
      <c r="N548" s="0" t="str">
        <f aca="false">RIGHT(M548,LEN(M548)-FIND(" ",M548))</f>
        <v>CLERMONT AVE NE</v>
      </c>
      <c r="P548" s="0" t="s">
        <v>146</v>
      </c>
      <c r="Q548" s="0" t="s">
        <v>147</v>
      </c>
      <c r="R548" s="0" t="n">
        <v>44483</v>
      </c>
      <c r="AD548" s="0" t="s">
        <v>148</v>
      </c>
      <c r="AE548" s="0" t="s">
        <v>149</v>
      </c>
      <c r="AF548" s="0" t="s">
        <v>150</v>
      </c>
      <c r="AH548" s="0" t="n">
        <v>14</v>
      </c>
      <c r="AI548" s="0" t="n">
        <v>11</v>
      </c>
      <c r="AN548" s="0" t="s">
        <v>146</v>
      </c>
      <c r="AO548" s="0" t="s">
        <v>236</v>
      </c>
      <c r="AP548" s="0" t="s">
        <v>237</v>
      </c>
      <c r="AQ548" s="0" t="n">
        <v>9</v>
      </c>
      <c r="AR548" s="0" t="n">
        <v>64</v>
      </c>
      <c r="AS548" s="0" t="n">
        <v>32</v>
      </c>
      <c r="AU548" s="0" t="n">
        <f aca="false">COUNTA($BA$478:$EH$478)</f>
        <v>1</v>
      </c>
      <c r="AV548" s="0" t="n">
        <f aca="false">COUNTIF($BA$478:$EH$478,"D")</f>
        <v>0</v>
      </c>
      <c r="AW548" s="0" t="n">
        <f aca="false">COUNTIF($BA$478:$EH$478,"R")</f>
        <v>0</v>
      </c>
      <c r="AX548" s="0" t="n">
        <f aca="false"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>0</v>
      </c>
      <c r="AY548" s="0" t="n">
        <f aca="false">COUNTIF(DU548:EH548, "&lt;&gt;")</f>
        <v>0</v>
      </c>
      <c r="AZ548" s="0" t="n">
        <f aca="false">IF(EH548&lt;&gt;"",1,0)</f>
        <v>0</v>
      </c>
      <c r="BB548" s="0" t="s">
        <v>153</v>
      </c>
      <c r="BD548" s="0" t="s">
        <v>154</v>
      </c>
      <c r="BL548" s="0" t="s">
        <v>154</v>
      </c>
    </row>
    <row r="549" customFormat="false" ht="13.8" hidden="false" customHeight="false" outlineLevel="0" collapsed="false">
      <c r="A549" s="0" t="s">
        <v>2890</v>
      </c>
      <c r="B549" s="0" t="n">
        <v>78</v>
      </c>
      <c r="C549" s="0" t="n">
        <v>426909</v>
      </c>
      <c r="D549" s="0" t="s">
        <v>2891</v>
      </c>
      <c r="E549" s="0" t="s">
        <v>2892</v>
      </c>
      <c r="F549" s="0" t="str">
        <f aca="false">CONCATENATE(D549," ",LEFT(H549,4),"T=",AU549,"D=",AV549,"R=",AW549,"M=",AX549,"L=",AY549,"B=",AZ549)</f>
        <v>STAR T=11D=1R=1M=0L=3B=0</v>
      </c>
      <c r="I549" s="0" t="s">
        <v>2893</v>
      </c>
      <c r="J549" s="0" t="s">
        <v>2894</v>
      </c>
      <c r="K549" s="0" t="s">
        <v>175</v>
      </c>
      <c r="M549" s="0" t="s">
        <v>2895</v>
      </c>
      <c r="N549" s="0" t="str">
        <f aca="false">RIGHT(M549,LEN(M549)-FIND(" ",M549))</f>
        <v>CLERMONT AVE NE</v>
      </c>
      <c r="P549" s="0" t="s">
        <v>146</v>
      </c>
      <c r="Q549" s="0" t="s">
        <v>147</v>
      </c>
      <c r="R549" s="0" t="n">
        <v>44483</v>
      </c>
      <c r="AD549" s="0" t="s">
        <v>148</v>
      </c>
      <c r="AE549" s="0" t="s">
        <v>149</v>
      </c>
      <c r="AF549" s="0" t="s">
        <v>150</v>
      </c>
      <c r="AH549" s="0" t="n">
        <v>14</v>
      </c>
      <c r="AI549" s="0" t="n">
        <v>11</v>
      </c>
      <c r="AN549" s="0" t="s">
        <v>146</v>
      </c>
      <c r="AO549" s="0" t="s">
        <v>236</v>
      </c>
      <c r="AP549" s="0" t="s">
        <v>237</v>
      </c>
      <c r="AQ549" s="0" t="n">
        <v>9</v>
      </c>
      <c r="AR549" s="0" t="n">
        <v>64</v>
      </c>
      <c r="AS549" s="0" t="n">
        <v>32</v>
      </c>
      <c r="AU549" s="0" t="n">
        <f aca="false">COUNTA($BA$413:$EH$413)</f>
        <v>11</v>
      </c>
      <c r="AV549" s="0" t="n">
        <f aca="false">COUNTIF($BA$413:$EH$413,"D")</f>
        <v>1</v>
      </c>
      <c r="AW549" s="0" t="n">
        <f aca="false">COUNTIF($BA$413:$EH$413,"R")</f>
        <v>1</v>
      </c>
      <c r="AX549" s="0" t="n">
        <f aca="false"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>0</v>
      </c>
      <c r="AY549" s="0" t="n">
        <f aca="false">COUNTIF(DU549:EH549, "&lt;&gt;")</f>
        <v>3</v>
      </c>
      <c r="AZ549" s="0" t="n">
        <f aca="false">IF(EH549&lt;&gt;"",1,0)</f>
        <v>0</v>
      </c>
      <c r="BB549" s="0" t="s">
        <v>153</v>
      </c>
      <c r="DI549" s="0" t="s">
        <v>154</v>
      </c>
      <c r="DN549" s="0" t="s">
        <v>154</v>
      </c>
      <c r="DU549" s="0" t="s">
        <v>154</v>
      </c>
      <c r="EA549" s="0" t="s">
        <v>154</v>
      </c>
      <c r="EF549" s="0" t="s">
        <v>154</v>
      </c>
    </row>
    <row r="550" customFormat="false" ht="13.8" hidden="true" customHeight="false" outlineLevel="0" collapsed="false">
      <c r="A550" s="0" t="s">
        <v>2896</v>
      </c>
      <c r="B550" s="0" t="n">
        <v>78</v>
      </c>
      <c r="C550" s="0" t="n">
        <v>336245</v>
      </c>
      <c r="D550" s="0" t="s">
        <v>349</v>
      </c>
      <c r="E550" s="0" t="s">
        <v>158</v>
      </c>
      <c r="F550" s="0" t="str">
        <f aca="false">CONCATENATE(D550," ",LEFT(H550,4),"T=",AU550,"D=",AV550,"R=",AW550,"M=",AX550,"L=",AY550,"B=",AZ550)</f>
        <v>BLACK T=2D=0R=0M=0L=0B=0</v>
      </c>
      <c r="G550" s="0" t="s">
        <v>455</v>
      </c>
      <c r="I550" s="0" t="s">
        <v>2897</v>
      </c>
      <c r="J550" s="0" t="s">
        <v>752</v>
      </c>
      <c r="K550" s="0" t="s">
        <v>175</v>
      </c>
      <c r="L550" s="0"/>
      <c r="M550" s="0" t="s">
        <v>2898</v>
      </c>
      <c r="N550" s="0" t="str">
        <f aca="false">RIGHT(M550,LEN(M550)-FIND(" ",M550))</f>
        <v>CLERMONT AVE NE</v>
      </c>
      <c r="P550" s="0" t="s">
        <v>146</v>
      </c>
      <c r="Q550" s="0" t="s">
        <v>147</v>
      </c>
      <c r="R550" s="0" t="n">
        <v>44483</v>
      </c>
      <c r="AD550" s="0" t="s">
        <v>148</v>
      </c>
      <c r="AE550" s="0" t="s">
        <v>149</v>
      </c>
      <c r="AF550" s="0" t="s">
        <v>150</v>
      </c>
      <c r="AH550" s="0" t="n">
        <v>14</v>
      </c>
      <c r="AI550" s="0" t="n">
        <v>11</v>
      </c>
      <c r="AN550" s="0" t="s">
        <v>146</v>
      </c>
      <c r="AO550" s="0" t="s">
        <v>236</v>
      </c>
      <c r="AP550" s="0" t="s">
        <v>237</v>
      </c>
      <c r="AQ550" s="0" t="n">
        <v>9</v>
      </c>
      <c r="AR550" s="0" t="n">
        <v>64</v>
      </c>
      <c r="AS550" s="0" t="n">
        <v>32</v>
      </c>
      <c r="AU550" s="0" t="n">
        <f aca="false">COUNTA($BA$179:$EH$179)</f>
        <v>2</v>
      </c>
      <c r="AV550" s="0" t="n">
        <f aca="false">COUNTIF($BA$179:$EH$179,"D")</f>
        <v>0</v>
      </c>
      <c r="AW550" s="0" t="n">
        <f aca="false">COUNTIF($BA$179:$EH$179,"R")</f>
        <v>0</v>
      </c>
      <c r="AX550" s="0" t="n">
        <f aca="false"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>0</v>
      </c>
      <c r="AY550" s="0" t="n">
        <f aca="false">COUNTIF(DU550:EH550, "&lt;&gt;")</f>
        <v>0</v>
      </c>
      <c r="AZ550" s="0" t="n">
        <f aca="false">IF(EH550&lt;&gt;"",1,0)</f>
        <v>0</v>
      </c>
      <c r="BB550" s="0" t="s">
        <v>153</v>
      </c>
      <c r="CN550" s="0" t="s">
        <v>154</v>
      </c>
      <c r="CP550" s="0" t="s">
        <v>154</v>
      </c>
      <c r="DC550" s="0" t="s">
        <v>154</v>
      </c>
    </row>
    <row r="551" customFormat="false" ht="13.8" hidden="true" customHeight="false" outlineLevel="0" collapsed="false">
      <c r="A551" s="0" t="s">
        <v>2899</v>
      </c>
      <c r="B551" s="0" t="n">
        <v>78</v>
      </c>
      <c r="C551" s="0" t="n">
        <v>431810</v>
      </c>
      <c r="D551" s="0" t="s">
        <v>2900</v>
      </c>
      <c r="E551" s="0" t="s">
        <v>609</v>
      </c>
      <c r="F551" s="0" t="str">
        <f aca="false">CONCATENATE(D551," ",LEFT(H551,4),"T=",AU551,"D=",AV551,"R=",AW551,"M=",AX551,"L=",AY551,"B=",AZ551)</f>
        <v>BRADLEY T=2D=0R=0M=0L=0B=0</v>
      </c>
      <c r="G551" s="0" t="s">
        <v>1180</v>
      </c>
      <c r="I551" s="0" t="s">
        <v>2901</v>
      </c>
      <c r="J551" s="0" t="s">
        <v>2902</v>
      </c>
      <c r="K551" s="0" t="s">
        <v>144</v>
      </c>
      <c r="L551" s="0"/>
      <c r="M551" s="0" t="s">
        <v>2903</v>
      </c>
      <c r="N551" s="0" t="str">
        <f aca="false">RIGHT(M551,LEN(M551)-FIND(" ",M551))</f>
        <v>CLERMONT AVE NE</v>
      </c>
      <c r="P551" s="0" t="s">
        <v>146</v>
      </c>
      <c r="Q551" s="0" t="s">
        <v>147</v>
      </c>
      <c r="R551" s="0" t="n">
        <v>44483</v>
      </c>
      <c r="AD551" s="0" t="s">
        <v>148</v>
      </c>
      <c r="AE551" s="0" t="s">
        <v>149</v>
      </c>
      <c r="AF551" s="0" t="s">
        <v>150</v>
      </c>
      <c r="AH551" s="0" t="n">
        <v>14</v>
      </c>
      <c r="AI551" s="0" t="n">
        <v>11</v>
      </c>
      <c r="AN551" s="0" t="s">
        <v>146</v>
      </c>
      <c r="AO551" s="0" t="s">
        <v>236</v>
      </c>
      <c r="AP551" s="0" t="s">
        <v>237</v>
      </c>
      <c r="AQ551" s="0" t="n">
        <v>9</v>
      </c>
      <c r="AR551" s="0" t="n">
        <v>64</v>
      </c>
      <c r="AS551" s="0" t="n">
        <v>32</v>
      </c>
      <c r="AU551" s="0" t="n">
        <f aca="false">COUNTA($BA$972:$EH$972)</f>
        <v>2</v>
      </c>
      <c r="AV551" s="0" t="n">
        <f aca="false">COUNTIF($BA$972:$EH$972,"D")</f>
        <v>0</v>
      </c>
      <c r="AW551" s="0" t="n">
        <f aca="false">COUNTIF($BA$972:$EH$972,"R")</f>
        <v>0</v>
      </c>
      <c r="AX551" s="0" t="n">
        <f aca="false"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>0</v>
      </c>
      <c r="AY551" s="0" t="n">
        <f aca="false">COUNTIF(DU551:EH551, "&lt;&gt;")</f>
        <v>0</v>
      </c>
      <c r="AZ551" s="0" t="n">
        <f aca="false">IF(EH551&lt;&gt;"",1,0)</f>
        <v>0</v>
      </c>
      <c r="BB551" s="0" t="s">
        <v>153</v>
      </c>
    </row>
    <row r="552" customFormat="false" ht="13.8" hidden="false" customHeight="false" outlineLevel="0" collapsed="false">
      <c r="A552" s="0" t="s">
        <v>2904</v>
      </c>
      <c r="B552" s="0" t="n">
        <v>78</v>
      </c>
      <c r="C552" s="0" t="n">
        <v>339186</v>
      </c>
      <c r="D552" s="0" t="s">
        <v>2905</v>
      </c>
      <c r="E552" s="0" t="s">
        <v>1179</v>
      </c>
      <c r="F552" s="0" t="str">
        <f aca="false">CONCATENATE(D552," ",LEFT(H552,4),"T=",AU552,"D=",AV552,"R=",AW552,"M=",AX552,"L=",AY552,"B=",AZ552)</f>
        <v>MCCORMICK T=4D=1R=0M=0L=2B=0</v>
      </c>
      <c r="G552" s="0" t="s">
        <v>188</v>
      </c>
      <c r="I552" s="0" t="s">
        <v>2906</v>
      </c>
      <c r="J552" s="0" t="s">
        <v>1129</v>
      </c>
      <c r="K552" s="0" t="s">
        <v>175</v>
      </c>
      <c r="M552" s="0" t="s">
        <v>2903</v>
      </c>
      <c r="N552" s="0" t="str">
        <f aca="false">RIGHT(M552,LEN(M552)-FIND(" ",M552))</f>
        <v>CLERMONT AVE NE</v>
      </c>
      <c r="P552" s="0" t="s">
        <v>146</v>
      </c>
      <c r="Q552" s="0" t="s">
        <v>147</v>
      </c>
      <c r="R552" s="0" t="n">
        <v>44483</v>
      </c>
      <c r="AD552" s="0" t="s">
        <v>148</v>
      </c>
      <c r="AE552" s="0" t="s">
        <v>149</v>
      </c>
      <c r="AF552" s="0" t="s">
        <v>150</v>
      </c>
      <c r="AH552" s="0" t="n">
        <v>14</v>
      </c>
      <c r="AI552" s="0" t="n">
        <v>11</v>
      </c>
      <c r="AN552" s="0" t="s">
        <v>146</v>
      </c>
      <c r="AO552" s="0" t="s">
        <v>236</v>
      </c>
      <c r="AP552" s="0" t="s">
        <v>237</v>
      </c>
      <c r="AQ552" s="0" t="n">
        <v>9</v>
      </c>
      <c r="AR552" s="0" t="n">
        <v>64</v>
      </c>
      <c r="AS552" s="0" t="n">
        <v>32</v>
      </c>
      <c r="AU552" s="0" t="n">
        <f aca="false">COUNTA($BA$1000:$EH$1000)</f>
        <v>4</v>
      </c>
      <c r="AV552" s="0" t="n">
        <f aca="false">COUNTIF($BA$1000:$EH$1000,"D")</f>
        <v>1</v>
      </c>
      <c r="AW552" s="0" t="n">
        <f aca="false">COUNTIF($BA$1000:$EH$1000,"R")</f>
        <v>0</v>
      </c>
      <c r="AX552" s="0" t="n">
        <f aca="false"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>0</v>
      </c>
      <c r="AY552" s="0" t="n">
        <f aca="false">COUNTIF(DU552:EH552, "&lt;&gt;")</f>
        <v>2</v>
      </c>
      <c r="AZ552" s="0" t="n">
        <f aca="false">IF(EH552&lt;&gt;"",1,0)</f>
        <v>0</v>
      </c>
      <c r="BB552" s="0" t="s">
        <v>153</v>
      </c>
      <c r="BS552" s="0" t="s">
        <v>154</v>
      </c>
      <c r="CA552" s="0" t="s">
        <v>154</v>
      </c>
      <c r="CG552" s="0" t="s">
        <v>154</v>
      </c>
      <c r="CP552" s="0" t="s">
        <v>154</v>
      </c>
      <c r="DN552" s="0" t="s">
        <v>154</v>
      </c>
      <c r="DU552" s="0" t="s">
        <v>154</v>
      </c>
      <c r="EF552" s="0" t="s">
        <v>154</v>
      </c>
    </row>
    <row r="553" customFormat="false" ht="13.8" hidden="true" customHeight="false" outlineLevel="0" collapsed="false">
      <c r="A553" s="0" t="s">
        <v>2907</v>
      </c>
      <c r="B553" s="0" t="n">
        <v>78</v>
      </c>
      <c r="C553" s="0" t="n">
        <v>462340</v>
      </c>
      <c r="D553" s="0" t="s">
        <v>290</v>
      </c>
      <c r="E553" s="0" t="s">
        <v>619</v>
      </c>
      <c r="F553" s="0" t="str">
        <f aca="false">CONCATENATE(D553," ",LEFT(H553,4),"T=",AU553,"D=",AV553,"R=",AW553,"M=",AX553,"L=",AY553,"B=",AZ553)</f>
        <v>THOMPSON T=1D=0R=0M=0L=0B=0</v>
      </c>
      <c r="G553" s="0" t="s">
        <v>317</v>
      </c>
      <c r="I553" s="0" t="s">
        <v>2908</v>
      </c>
      <c r="J553" s="0" t="s">
        <v>2909</v>
      </c>
      <c r="K553" s="0" t="s">
        <v>144</v>
      </c>
      <c r="L553" s="0"/>
      <c r="M553" s="0" t="s">
        <v>2910</v>
      </c>
      <c r="N553" s="0" t="str">
        <f aca="false">RIGHT(M553,LEN(M553)-FIND(" ",M553))</f>
        <v>CLERMONT AVE NE</v>
      </c>
      <c r="P553" s="0" t="s">
        <v>146</v>
      </c>
      <c r="Q553" s="0" t="s">
        <v>147</v>
      </c>
      <c r="R553" s="0" t="n">
        <v>44483</v>
      </c>
      <c r="AD553" s="0" t="s">
        <v>148</v>
      </c>
      <c r="AE553" s="0" t="s">
        <v>149</v>
      </c>
      <c r="AF553" s="0" t="s">
        <v>150</v>
      </c>
      <c r="AH553" s="0" t="n">
        <v>14</v>
      </c>
      <c r="AI553" s="0" t="n">
        <v>11</v>
      </c>
      <c r="AN553" s="0" t="s">
        <v>146</v>
      </c>
      <c r="AO553" s="0" t="s">
        <v>236</v>
      </c>
      <c r="AP553" s="0" t="s">
        <v>237</v>
      </c>
      <c r="AQ553" s="0" t="n">
        <v>9</v>
      </c>
      <c r="AR553" s="0" t="n">
        <v>64</v>
      </c>
      <c r="AS553" s="0" t="n">
        <v>32</v>
      </c>
      <c r="AU553" s="0" t="n">
        <f aca="false">COUNTA($BA$318:$EH$318)</f>
        <v>1</v>
      </c>
      <c r="AV553" s="0" t="n">
        <f aca="false">COUNTIF($BA$318:$EH$318,"D")</f>
        <v>0</v>
      </c>
      <c r="AW553" s="0" t="n">
        <f aca="false">COUNTIF($BA$318:$EH$318,"R")</f>
        <v>0</v>
      </c>
      <c r="AX553" s="0" t="n">
        <f aca="false"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>0</v>
      </c>
      <c r="AY553" s="0" t="n">
        <f aca="false">COUNTIF(DU553:EH553, "&lt;&gt;")</f>
        <v>0</v>
      </c>
      <c r="AZ553" s="0" t="n">
        <f aca="false">IF(EH553&lt;&gt;"",1,0)</f>
        <v>0</v>
      </c>
      <c r="BB553" s="0" t="s">
        <v>153</v>
      </c>
    </row>
    <row r="554" customFormat="false" ht="13.8" hidden="false" customHeight="false" outlineLevel="0" collapsed="false">
      <c r="A554" s="0" t="s">
        <v>2911</v>
      </c>
      <c r="B554" s="0" t="n">
        <v>78</v>
      </c>
      <c r="C554" s="0" t="n">
        <v>462948</v>
      </c>
      <c r="D554" s="0" t="s">
        <v>290</v>
      </c>
      <c r="E554" s="0" t="s">
        <v>2303</v>
      </c>
      <c r="F554" s="0" t="str">
        <f aca="false">CONCATENATE(D554," ",LEFT(H554,4),"T=",AU554,"D=",AV554,"R=",AW554,"M=",AX554,"L=",AY554,"B=",AZ554)</f>
        <v>THOMPSON T=17D=2R=0M=0L=2B=0</v>
      </c>
      <c r="G554" s="0" t="s">
        <v>619</v>
      </c>
      <c r="I554" s="0" t="s">
        <v>2912</v>
      </c>
      <c r="J554" s="0" t="s">
        <v>2913</v>
      </c>
      <c r="K554" s="0" t="s">
        <v>175</v>
      </c>
      <c r="M554" s="0" t="s">
        <v>2910</v>
      </c>
      <c r="N554" s="0" t="str">
        <f aca="false">RIGHT(M554,LEN(M554)-FIND(" ",M554))</f>
        <v>CLERMONT AVE NE</v>
      </c>
      <c r="P554" s="0" t="s">
        <v>146</v>
      </c>
      <c r="Q554" s="0" t="s">
        <v>147</v>
      </c>
      <c r="R554" s="0" t="n">
        <v>44483</v>
      </c>
      <c r="AD554" s="0" t="s">
        <v>148</v>
      </c>
      <c r="AE554" s="0" t="s">
        <v>149</v>
      </c>
      <c r="AF554" s="0" t="s">
        <v>150</v>
      </c>
      <c r="AH554" s="0" t="n">
        <v>14</v>
      </c>
      <c r="AI554" s="0" t="n">
        <v>11</v>
      </c>
      <c r="AN554" s="0" t="s">
        <v>146</v>
      </c>
      <c r="AO554" s="0" t="s">
        <v>236</v>
      </c>
      <c r="AP554" s="0" t="s">
        <v>237</v>
      </c>
      <c r="AQ554" s="0" t="n">
        <v>9</v>
      </c>
      <c r="AR554" s="0" t="n">
        <v>64</v>
      </c>
      <c r="AS554" s="0" t="n">
        <v>32</v>
      </c>
      <c r="AU554" s="0" t="n">
        <f aca="false">COUNTA($BA$365:$EH$365)</f>
        <v>17</v>
      </c>
      <c r="AV554" s="0" t="n">
        <f aca="false">COUNTIF($BA$365:$EH$365,"D")</f>
        <v>2</v>
      </c>
      <c r="AW554" s="0" t="n">
        <f aca="false">COUNTIF($BA$365:$EH$365,"R")</f>
        <v>0</v>
      </c>
      <c r="AX554" s="0" t="n">
        <f aca="false"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>0</v>
      </c>
      <c r="AY554" s="0" t="n">
        <f aca="false">COUNTIF(DU554:EH554, "&lt;&gt;")</f>
        <v>2</v>
      </c>
      <c r="AZ554" s="0" t="n">
        <f aca="false">IF(EH554&lt;&gt;"",1,0)</f>
        <v>0</v>
      </c>
      <c r="BB554" s="0" t="s">
        <v>153</v>
      </c>
      <c r="EA554" s="0" t="s">
        <v>154</v>
      </c>
      <c r="EF554" s="0" t="s">
        <v>154</v>
      </c>
    </row>
    <row r="555" customFormat="false" ht="13.8" hidden="true" customHeight="false" outlineLevel="0" collapsed="false">
      <c r="A555" s="0" t="s">
        <v>2914</v>
      </c>
      <c r="B555" s="0" t="n">
        <v>78</v>
      </c>
      <c r="C555" s="0" t="n">
        <v>487793</v>
      </c>
      <c r="D555" s="0" t="s">
        <v>2915</v>
      </c>
      <c r="E555" s="0" t="s">
        <v>2292</v>
      </c>
      <c r="F555" s="0" t="str">
        <f aca="false">CONCATENATE(D555," ",LEFT(H555,4),"T=",AU555,"D=",AV555,"R=",AW555,"M=",AX555,"L=",AY555,"B=",AZ555)</f>
        <v>GADLEY T=2D=0R=0M=0L=1B=0</v>
      </c>
      <c r="G555" s="0" t="s">
        <v>365</v>
      </c>
      <c r="I555" s="0" t="s">
        <v>2916</v>
      </c>
      <c r="J555" s="0" t="s">
        <v>2917</v>
      </c>
      <c r="K555" s="0" t="s">
        <v>175</v>
      </c>
      <c r="L555" s="0"/>
      <c r="M555" s="0" t="s">
        <v>2918</v>
      </c>
      <c r="N555" s="0" t="str">
        <f aca="false">RIGHT(M555,LEN(M555)-FIND(" ",M555))</f>
        <v>CLERMONT AVE NE</v>
      </c>
      <c r="P555" s="0" t="s">
        <v>146</v>
      </c>
      <c r="Q555" s="0" t="s">
        <v>147</v>
      </c>
      <c r="R555" s="0" t="n">
        <v>44483</v>
      </c>
      <c r="AD555" s="0" t="s">
        <v>148</v>
      </c>
      <c r="AE555" s="0" t="s">
        <v>149</v>
      </c>
      <c r="AF555" s="0" t="s">
        <v>150</v>
      </c>
      <c r="AH555" s="0" t="n">
        <v>14</v>
      </c>
      <c r="AI555" s="0" t="n">
        <v>11</v>
      </c>
      <c r="AN555" s="0" t="s">
        <v>146</v>
      </c>
      <c r="AO555" s="0" t="s">
        <v>236</v>
      </c>
      <c r="AP555" s="0" t="s">
        <v>237</v>
      </c>
      <c r="AQ555" s="0" t="n">
        <v>9</v>
      </c>
      <c r="AR555" s="0" t="n">
        <v>64</v>
      </c>
      <c r="AS555" s="0" t="n">
        <v>32</v>
      </c>
      <c r="AU555" s="0" t="n">
        <f aca="false">COUNTA($BA$963:$EH$963)</f>
        <v>2</v>
      </c>
      <c r="AV555" s="0" t="n">
        <f aca="false">COUNTIF($BA$963:$EH$963,"D")</f>
        <v>0</v>
      </c>
      <c r="AW555" s="0" t="n">
        <f aca="false">COUNTIF($BA$963:$EH$963,"R")</f>
        <v>0</v>
      </c>
      <c r="AX555" s="0" t="n">
        <f aca="false"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>0</v>
      </c>
      <c r="AY555" s="0" t="n">
        <f aca="false">COUNTIF(DU555:EH555, "&lt;&gt;")</f>
        <v>1</v>
      </c>
      <c r="AZ555" s="0" t="n">
        <f aca="false">IF(EH555&lt;&gt;"",1,0)</f>
        <v>0</v>
      </c>
      <c r="BB555" s="0" t="s">
        <v>153</v>
      </c>
      <c r="EF555" s="0" t="s">
        <v>154</v>
      </c>
    </row>
    <row r="556" customFormat="false" ht="13.8" hidden="true" customHeight="false" outlineLevel="0" collapsed="false">
      <c r="A556" s="0" t="s">
        <v>2919</v>
      </c>
      <c r="B556" s="0" t="n">
        <v>78</v>
      </c>
      <c r="C556" s="0" t="n">
        <v>322312</v>
      </c>
      <c r="D556" s="0" t="s">
        <v>2920</v>
      </c>
      <c r="E556" s="0" t="s">
        <v>2921</v>
      </c>
      <c r="F556" s="0" t="str">
        <f aca="false">CONCATENATE(D556," ",LEFT(H556,4),"T=",AU556,"D=",AV556,"R=",AW556,"M=",AX556,"L=",AY556,"B=",AZ556)</f>
        <v>MONTAGLIANI T=2D=0R=0M=1L=1B=0</v>
      </c>
      <c r="G556" s="0" t="s">
        <v>514</v>
      </c>
      <c r="I556" s="0" t="s">
        <v>2922</v>
      </c>
      <c r="J556" s="0" t="s">
        <v>2923</v>
      </c>
      <c r="K556" s="0" t="s">
        <v>175</v>
      </c>
      <c r="L556" s="0"/>
      <c r="M556" s="0" t="s">
        <v>2924</v>
      </c>
      <c r="N556" s="0" t="str">
        <f aca="false">RIGHT(M556,LEN(M556)-FIND(" ",M556))</f>
        <v>CLERMONT AVE NE</v>
      </c>
      <c r="P556" s="0" t="s">
        <v>146</v>
      </c>
      <c r="Q556" s="0" t="s">
        <v>147</v>
      </c>
      <c r="R556" s="0" t="n">
        <v>44483</v>
      </c>
      <c r="AD556" s="0" t="s">
        <v>148</v>
      </c>
      <c r="AE556" s="0" t="s">
        <v>149</v>
      </c>
      <c r="AF556" s="0" t="s">
        <v>150</v>
      </c>
      <c r="AH556" s="0" t="n">
        <v>14</v>
      </c>
      <c r="AI556" s="0" t="n">
        <v>11</v>
      </c>
      <c r="AN556" s="0" t="s">
        <v>146</v>
      </c>
      <c r="AO556" s="0" t="s">
        <v>236</v>
      </c>
      <c r="AP556" s="0" t="s">
        <v>237</v>
      </c>
      <c r="AQ556" s="0" t="n">
        <v>9</v>
      </c>
      <c r="AR556" s="0" t="n">
        <v>64</v>
      </c>
      <c r="AS556" s="0" t="n">
        <v>32</v>
      </c>
      <c r="AU556" s="0" t="n">
        <f aca="false">COUNTA($BA$779:$EH$779)</f>
        <v>2</v>
      </c>
      <c r="AV556" s="0" t="n">
        <f aca="false">COUNTIF($BA$779:$EH$779,"D")</f>
        <v>0</v>
      </c>
      <c r="AW556" s="0" t="n">
        <f aca="false">COUNTIF($BA$779:$EH$779,"R")</f>
        <v>0</v>
      </c>
      <c r="AX556" s="0" t="n">
        <f aca="false"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>1</v>
      </c>
      <c r="AY556" s="0" t="n">
        <f aca="false">COUNTIF(DU556:EH556, "&lt;&gt;")</f>
        <v>1</v>
      </c>
      <c r="AZ556" s="0" t="n">
        <f aca="false">IF(EH556&lt;&gt;"",1,0)</f>
        <v>0</v>
      </c>
      <c r="BB556" s="0" t="s">
        <v>153</v>
      </c>
      <c r="BL556" s="0" t="s">
        <v>154</v>
      </c>
      <c r="BR556" s="0" t="s">
        <v>154</v>
      </c>
      <c r="BS556" s="0" t="s">
        <v>154</v>
      </c>
      <c r="CA556" s="0" t="s">
        <v>154</v>
      </c>
      <c r="CK556" s="0" t="s">
        <v>154</v>
      </c>
      <c r="CL556" s="0" t="s">
        <v>155</v>
      </c>
      <c r="CN556" s="0" t="s">
        <v>154</v>
      </c>
      <c r="CP556" s="0" t="s">
        <v>154</v>
      </c>
      <c r="DC556" s="0" t="s">
        <v>154</v>
      </c>
      <c r="DG556" s="0" t="s">
        <v>155</v>
      </c>
      <c r="DI556" s="0" t="s">
        <v>154</v>
      </c>
      <c r="DM556" s="0" t="s">
        <v>155</v>
      </c>
      <c r="DN556" s="0" t="s">
        <v>154</v>
      </c>
      <c r="EF556" s="0" t="s">
        <v>154</v>
      </c>
    </row>
    <row r="557" customFormat="false" ht="13.8" hidden="true" customHeight="false" outlineLevel="0" collapsed="false">
      <c r="A557" s="0" t="s">
        <v>2925</v>
      </c>
      <c r="B557" s="0" t="n">
        <v>78</v>
      </c>
      <c r="C557" s="0" t="n">
        <v>384738</v>
      </c>
      <c r="D557" s="0" t="s">
        <v>2926</v>
      </c>
      <c r="E557" s="0" t="s">
        <v>2927</v>
      </c>
      <c r="F557" s="0" t="str">
        <f aca="false">CONCATENATE(D557," ",LEFT(H557,4),"T=",AU557,"D=",AV557,"R=",AW557,"M=",AX557,"L=",AY557,"B=",AZ557)</f>
        <v>CAMPBELL T=8D=3R=0M=0L=0B=0</v>
      </c>
      <c r="G557" s="0" t="s">
        <v>1131</v>
      </c>
      <c r="I557" s="0" t="s">
        <v>2928</v>
      </c>
      <c r="J557" s="0" t="s">
        <v>2929</v>
      </c>
      <c r="K557" s="0" t="s">
        <v>144</v>
      </c>
      <c r="L557" s="0"/>
      <c r="M557" s="0" t="s">
        <v>2930</v>
      </c>
      <c r="N557" s="0" t="str">
        <f aca="false">RIGHT(M557,LEN(M557)-FIND(" ",M557))</f>
        <v>CLERMONT AVE NE</v>
      </c>
      <c r="P557" s="0" t="s">
        <v>146</v>
      </c>
      <c r="Q557" s="0" t="s">
        <v>147</v>
      </c>
      <c r="R557" s="0" t="n">
        <v>44483</v>
      </c>
      <c r="AD557" s="0" t="s">
        <v>148</v>
      </c>
      <c r="AE557" s="0" t="s">
        <v>149</v>
      </c>
      <c r="AF557" s="0" t="s">
        <v>150</v>
      </c>
      <c r="AH557" s="0" t="n">
        <v>14</v>
      </c>
      <c r="AI557" s="0" t="n">
        <v>11</v>
      </c>
      <c r="AN557" s="0" t="s">
        <v>146</v>
      </c>
      <c r="AO557" s="0" t="s">
        <v>236</v>
      </c>
      <c r="AP557" s="0" t="s">
        <v>237</v>
      </c>
      <c r="AQ557" s="0" t="n">
        <v>9</v>
      </c>
      <c r="AR557" s="0" t="n">
        <v>64</v>
      </c>
      <c r="AS557" s="0" t="n">
        <v>32</v>
      </c>
      <c r="AU557" s="0" t="n">
        <f aca="false">COUNTA($BA$881:$EH$881)</f>
        <v>8</v>
      </c>
      <c r="AV557" s="0" t="n">
        <f aca="false">COUNTIF($BA$881:$EH$881,"D")</f>
        <v>3</v>
      </c>
      <c r="AW557" s="0" t="n">
        <f aca="false">COUNTIF($BA$881:$EH$881,"R")</f>
        <v>0</v>
      </c>
      <c r="AX557" s="0" t="n">
        <f aca="false"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>0</v>
      </c>
      <c r="AY557" s="0" t="n">
        <f aca="false">COUNTIF(DU557:EH557, "&lt;&gt;")</f>
        <v>0</v>
      </c>
      <c r="AZ557" s="0" t="n">
        <f aca="false">IF(EH557&lt;&gt;"",1,0)</f>
        <v>0</v>
      </c>
      <c r="BB557" s="0" t="s">
        <v>153</v>
      </c>
      <c r="CP557" s="0" t="s">
        <v>154</v>
      </c>
      <c r="DC557" s="0" t="s">
        <v>154</v>
      </c>
    </row>
    <row r="558" customFormat="false" ht="13.8" hidden="false" customHeight="false" outlineLevel="0" collapsed="false">
      <c r="A558" s="0" t="s">
        <v>2931</v>
      </c>
      <c r="B558" s="0" t="n">
        <v>78</v>
      </c>
      <c r="C558" s="0" t="n">
        <v>4392</v>
      </c>
      <c r="D558" s="0" t="s">
        <v>2932</v>
      </c>
      <c r="E558" s="0" t="s">
        <v>2933</v>
      </c>
      <c r="F558" s="0" t="str">
        <f aca="false">CONCATENATE(D558," ",LEFT(H558,4),"T=",AU558,"D=",AV558,"R=",AW558,"M=",AX558,"L=",AY558,"B=",AZ558)</f>
        <v>WERTZ T=2D=0R=0M=1L=5B=0</v>
      </c>
      <c r="G558" s="0" t="s">
        <v>297</v>
      </c>
      <c r="I558" s="0" t="s">
        <v>2934</v>
      </c>
      <c r="J558" s="0" t="s">
        <v>2935</v>
      </c>
      <c r="K558" s="0" t="s">
        <v>175</v>
      </c>
      <c r="L558" s="1" t="s">
        <v>176</v>
      </c>
      <c r="M558" s="0" t="s">
        <v>2936</v>
      </c>
      <c r="N558" s="0" t="str">
        <f aca="false">RIGHT(M558,LEN(M558)-FIND(" ",M558))</f>
        <v>CLERMONT AVE NE</v>
      </c>
      <c r="P558" s="0" t="s">
        <v>146</v>
      </c>
      <c r="Q558" s="0" t="s">
        <v>147</v>
      </c>
      <c r="R558" s="0" t="n">
        <v>44483</v>
      </c>
      <c r="AD558" s="0" t="s">
        <v>148</v>
      </c>
      <c r="AE558" s="0" t="s">
        <v>149</v>
      </c>
      <c r="AF558" s="0" t="s">
        <v>150</v>
      </c>
      <c r="AH558" s="0" t="n">
        <v>14</v>
      </c>
      <c r="AI558" s="0" t="n">
        <v>11</v>
      </c>
      <c r="AN558" s="0" t="s">
        <v>146</v>
      </c>
      <c r="AO558" s="0" t="s">
        <v>236</v>
      </c>
      <c r="AP558" s="0" t="s">
        <v>237</v>
      </c>
      <c r="AQ558" s="0" t="n">
        <v>9</v>
      </c>
      <c r="AR558" s="0" t="n">
        <v>64</v>
      </c>
      <c r="AS558" s="0" t="n">
        <v>32</v>
      </c>
      <c r="AU558" s="0" t="n">
        <f aca="false">COUNTA($BA$1031:$EH$1031)</f>
        <v>2</v>
      </c>
      <c r="AV558" s="0" t="n">
        <f aca="false">COUNTIF($BA$1031:$EH$1031,"D")</f>
        <v>0</v>
      </c>
      <c r="AW558" s="0" t="n">
        <f aca="false">COUNTIF($BA$1031:$EH$1031,"R")</f>
        <v>0</v>
      </c>
      <c r="AX558" s="0" t="n">
        <f aca="false"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>1</v>
      </c>
      <c r="AY558" s="0" t="n">
        <f aca="false">COUNTIF(DU558:EH558, "&lt;&gt;")</f>
        <v>5</v>
      </c>
      <c r="AZ558" s="0" t="n">
        <f aca="false">IF(EH558&lt;&gt;"",1,0)</f>
        <v>0</v>
      </c>
      <c r="BB558" s="0" t="s">
        <v>153</v>
      </c>
      <c r="BC558" s="0" t="s">
        <v>154</v>
      </c>
      <c r="BD558" s="0" t="s">
        <v>154</v>
      </c>
      <c r="BE558" s="0" t="s">
        <v>154</v>
      </c>
      <c r="BG558" s="0" t="s">
        <v>154</v>
      </c>
      <c r="BH558" s="0" t="s">
        <v>154</v>
      </c>
      <c r="BI558" s="0" t="s">
        <v>154</v>
      </c>
      <c r="BJ558" s="0" t="s">
        <v>154</v>
      </c>
      <c r="BK558" s="0" t="s">
        <v>154</v>
      </c>
      <c r="BL558" s="0" t="s">
        <v>154</v>
      </c>
      <c r="BP558" s="0" t="s">
        <v>154</v>
      </c>
      <c r="BS558" s="0" t="s">
        <v>154</v>
      </c>
      <c r="BY558" s="0" t="s">
        <v>155</v>
      </c>
      <c r="CA558" s="0" t="s">
        <v>154</v>
      </c>
      <c r="CG558" s="0" t="s">
        <v>154</v>
      </c>
      <c r="CK558" s="0" t="s">
        <v>154</v>
      </c>
      <c r="CN558" s="0" t="s">
        <v>154</v>
      </c>
      <c r="CO558" s="0" t="s">
        <v>155</v>
      </c>
      <c r="CP558" s="0" t="s">
        <v>154</v>
      </c>
      <c r="CT558" s="0" t="s">
        <v>154</v>
      </c>
      <c r="CV558" s="0" t="s">
        <v>154</v>
      </c>
      <c r="CZ558" s="0" t="s">
        <v>176</v>
      </c>
      <c r="DC558" s="0" t="s">
        <v>154</v>
      </c>
      <c r="DF558" s="0" t="s">
        <v>154</v>
      </c>
      <c r="DG558" s="0" t="s">
        <v>176</v>
      </c>
      <c r="DI558" s="0" t="s">
        <v>154</v>
      </c>
      <c r="DJ558" s="0" t="s">
        <v>155</v>
      </c>
      <c r="DM558" s="0" t="s">
        <v>176</v>
      </c>
      <c r="DN558" s="0" t="s">
        <v>154</v>
      </c>
      <c r="DU558" s="0" t="s">
        <v>154</v>
      </c>
      <c r="DX558" s="0" t="s">
        <v>154</v>
      </c>
      <c r="EA558" s="0" t="s">
        <v>154</v>
      </c>
      <c r="ED558" s="0" t="s">
        <v>176</v>
      </c>
      <c r="EF558" s="0" t="s">
        <v>154</v>
      </c>
    </row>
    <row r="559" customFormat="false" ht="13.8" hidden="false" customHeight="false" outlineLevel="0" collapsed="false">
      <c r="A559" s="0" t="s">
        <v>2937</v>
      </c>
      <c r="B559" s="0" t="n">
        <v>78</v>
      </c>
      <c r="C559" s="0" t="n">
        <v>255368</v>
      </c>
      <c r="D559" s="0" t="s">
        <v>2938</v>
      </c>
      <c r="E559" s="0" t="s">
        <v>266</v>
      </c>
      <c r="F559" s="0" t="str">
        <f aca="false">CONCATENATE(D559," ",LEFT(H559,4),"T=",AU559,"D=",AV559,"R=",AW559,"M=",AX559,"L=",AY559,"B=",AZ559)</f>
        <v>KANE T=1D=0R=0M=0L=2B=0</v>
      </c>
      <c r="G559" s="0" t="s">
        <v>2939</v>
      </c>
      <c r="I559" s="0" t="s">
        <v>2940</v>
      </c>
      <c r="J559" s="0" t="s">
        <v>2941</v>
      </c>
      <c r="K559" s="0" t="s">
        <v>175</v>
      </c>
      <c r="M559" s="0" t="s">
        <v>2942</v>
      </c>
      <c r="N559" s="0" t="str">
        <f aca="false">RIGHT(M559,LEN(M559)-FIND(" ",M559))</f>
        <v>CLERMONT AVE NE</v>
      </c>
      <c r="P559" s="0" t="s">
        <v>146</v>
      </c>
      <c r="Q559" s="0" t="s">
        <v>147</v>
      </c>
      <c r="R559" s="0" t="n">
        <v>44483</v>
      </c>
      <c r="AD559" s="0" t="s">
        <v>148</v>
      </c>
      <c r="AE559" s="0" t="s">
        <v>149</v>
      </c>
      <c r="AF559" s="0" t="s">
        <v>150</v>
      </c>
      <c r="AH559" s="0" t="n">
        <v>14</v>
      </c>
      <c r="AI559" s="0" t="n">
        <v>11</v>
      </c>
      <c r="AN559" s="0" t="s">
        <v>146</v>
      </c>
      <c r="AO559" s="0" t="s">
        <v>236</v>
      </c>
      <c r="AP559" s="0" t="s">
        <v>237</v>
      </c>
      <c r="AQ559" s="0" t="n">
        <v>9</v>
      </c>
      <c r="AR559" s="0" t="n">
        <v>64</v>
      </c>
      <c r="AS559" s="0" t="n">
        <v>32</v>
      </c>
      <c r="AU559" s="0" t="n">
        <f aca="false">COUNTA($BA$654:$EH$654)</f>
        <v>1</v>
      </c>
      <c r="AV559" s="0" t="n">
        <f aca="false">COUNTIF($BA$654:$EH$654,"D")</f>
        <v>0</v>
      </c>
      <c r="AW559" s="0" t="n">
        <f aca="false">COUNTIF($BA$654:$EH$654,"R")</f>
        <v>0</v>
      </c>
      <c r="AX559" s="0" t="n">
        <f aca="false"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>0</v>
      </c>
      <c r="AY559" s="0" t="n">
        <f aca="false">COUNTIF(DU559:EH559, "&lt;&gt;")</f>
        <v>2</v>
      </c>
      <c r="AZ559" s="0" t="n">
        <f aca="false">IF(EH559&lt;&gt;"",1,0)</f>
        <v>0</v>
      </c>
      <c r="BB559" s="0" t="s">
        <v>153</v>
      </c>
      <c r="BD559" s="0" t="s">
        <v>154</v>
      </c>
      <c r="BH559" s="0" t="s">
        <v>154</v>
      </c>
      <c r="BJ559" s="0" t="s">
        <v>154</v>
      </c>
      <c r="BL559" s="0" t="s">
        <v>154</v>
      </c>
      <c r="BP559" s="0" t="s">
        <v>154</v>
      </c>
      <c r="BR559" s="0" t="s">
        <v>154</v>
      </c>
      <c r="BS559" s="0" t="s">
        <v>154</v>
      </c>
      <c r="BY559" s="0" t="s">
        <v>176</v>
      </c>
      <c r="CA559" s="0" t="s">
        <v>154</v>
      </c>
      <c r="CK559" s="0" t="s">
        <v>154</v>
      </c>
      <c r="CP559" s="0" t="s">
        <v>154</v>
      </c>
      <c r="CT559" s="0" t="s">
        <v>154</v>
      </c>
      <c r="CV559" s="0" t="s">
        <v>154</v>
      </c>
      <c r="CY559" s="0" t="s">
        <v>154</v>
      </c>
      <c r="CZ559" s="0" t="s">
        <v>176</v>
      </c>
      <c r="DC559" s="0" t="s">
        <v>154</v>
      </c>
      <c r="DI559" s="0" t="s">
        <v>154</v>
      </c>
      <c r="DN559" s="0" t="s">
        <v>154</v>
      </c>
      <c r="DU559" s="0" t="s">
        <v>154</v>
      </c>
      <c r="EF559" s="0" t="s">
        <v>154</v>
      </c>
    </row>
    <row r="560" customFormat="false" ht="13.8" hidden="true" customHeight="false" outlineLevel="0" collapsed="false">
      <c r="A560" s="0" t="s">
        <v>2943</v>
      </c>
      <c r="B560" s="0" t="n">
        <v>78</v>
      </c>
      <c r="C560" s="0" t="n">
        <v>413570</v>
      </c>
      <c r="D560" s="0" t="s">
        <v>2944</v>
      </c>
      <c r="E560" s="0" t="s">
        <v>2945</v>
      </c>
      <c r="F560" s="0" t="str">
        <f aca="false">CONCATENATE(D560," ",LEFT(H560,4),"T=",AU560,"D=",AV560,"R=",AW560,"M=",AX560,"L=",AY560,"B=",AZ560)</f>
        <v>COFIELD T=1D=0R=0M=0L=1B=0</v>
      </c>
      <c r="G560" s="0" t="s">
        <v>2946</v>
      </c>
      <c r="I560" s="0" t="s">
        <v>2947</v>
      </c>
      <c r="J560" s="0" t="s">
        <v>1246</v>
      </c>
      <c r="K560" s="0" t="s">
        <v>175</v>
      </c>
      <c r="L560" s="0"/>
      <c r="M560" s="0" t="s">
        <v>2948</v>
      </c>
      <c r="N560" s="0" t="str">
        <f aca="false">RIGHT(M560,LEN(M560)-FIND(" ",M560))</f>
        <v>CLERMONT AVE NE</v>
      </c>
      <c r="P560" s="0" t="s">
        <v>146</v>
      </c>
      <c r="Q560" s="0" t="s">
        <v>147</v>
      </c>
      <c r="R560" s="0" t="n">
        <v>44483</v>
      </c>
      <c r="AD560" s="0" t="s">
        <v>148</v>
      </c>
      <c r="AE560" s="0" t="s">
        <v>149</v>
      </c>
      <c r="AF560" s="0" t="s">
        <v>150</v>
      </c>
      <c r="AH560" s="0" t="n">
        <v>14</v>
      </c>
      <c r="AI560" s="0" t="n">
        <v>11</v>
      </c>
      <c r="AN560" s="0" t="s">
        <v>146</v>
      </c>
      <c r="AO560" s="0" t="s">
        <v>236</v>
      </c>
      <c r="AP560" s="0" t="s">
        <v>237</v>
      </c>
      <c r="AQ560" s="0" t="n">
        <v>9</v>
      </c>
      <c r="AR560" s="0" t="n">
        <v>64</v>
      </c>
      <c r="AS560" s="0" t="n">
        <v>32</v>
      </c>
      <c r="AU560" s="0" t="n">
        <f aca="false">COUNTA($BA$155:$EH$155)</f>
        <v>1</v>
      </c>
      <c r="AV560" s="0" t="n">
        <f aca="false">COUNTIF($BA$155:$EH$155,"D")</f>
        <v>0</v>
      </c>
      <c r="AW560" s="0" t="n">
        <f aca="false">COUNTIF($BA$155:$EH$155,"R")</f>
        <v>0</v>
      </c>
      <c r="AX560" s="0" t="n">
        <f aca="false"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>0</v>
      </c>
      <c r="AY560" s="0" t="n">
        <f aca="false">COUNTIF(DU560:EH560, "&lt;&gt;")</f>
        <v>1</v>
      </c>
      <c r="AZ560" s="0" t="n">
        <f aca="false">IF(EH560&lt;&gt;"",1,0)</f>
        <v>0</v>
      </c>
      <c r="BB560" s="0" t="s">
        <v>153</v>
      </c>
      <c r="CZ560" s="0" t="s">
        <v>155</v>
      </c>
      <c r="DN560" s="0" t="s">
        <v>154</v>
      </c>
      <c r="EF560" s="0" t="s">
        <v>154</v>
      </c>
    </row>
    <row r="561" customFormat="false" ht="13.8" hidden="false" customHeight="false" outlineLevel="0" collapsed="false">
      <c r="A561" s="0" t="s">
        <v>2949</v>
      </c>
      <c r="B561" s="0" t="n">
        <v>78</v>
      </c>
      <c r="C561" s="0" t="n">
        <v>253742</v>
      </c>
      <c r="D561" s="0" t="s">
        <v>2950</v>
      </c>
      <c r="E561" s="0" t="s">
        <v>2951</v>
      </c>
      <c r="F561" s="0" t="str">
        <f aca="false">CONCATENATE(D561," ",LEFT(H561,4),"T=",AU561,"D=",AV561,"R=",AW561,"M=",AX561,"L=",AY561,"B=",AZ561)</f>
        <v>PASCO T=18D=2R=0M=4L=6B=1</v>
      </c>
      <c r="G561" s="0" t="s">
        <v>172</v>
      </c>
      <c r="I561" s="0" t="s">
        <v>2952</v>
      </c>
      <c r="J561" s="0" t="s">
        <v>2953</v>
      </c>
      <c r="K561" s="0" t="s">
        <v>175</v>
      </c>
      <c r="L561" s="1" t="s">
        <v>155</v>
      </c>
      <c r="M561" s="0" t="s">
        <v>2954</v>
      </c>
      <c r="N561" s="0" t="str">
        <f aca="false">RIGHT(M561,LEN(M561)-FIND(" ",M561))</f>
        <v>CLERMONT AVE NE</v>
      </c>
      <c r="P561" s="0" t="s">
        <v>146</v>
      </c>
      <c r="Q561" s="0" t="s">
        <v>147</v>
      </c>
      <c r="R561" s="0" t="n">
        <v>44483</v>
      </c>
      <c r="AD561" s="0" t="s">
        <v>148</v>
      </c>
      <c r="AE561" s="0" t="s">
        <v>149</v>
      </c>
      <c r="AF561" s="0" t="s">
        <v>150</v>
      </c>
      <c r="AH561" s="0" t="n">
        <v>14</v>
      </c>
      <c r="AI561" s="0" t="n">
        <v>11</v>
      </c>
      <c r="AN561" s="0" t="s">
        <v>146</v>
      </c>
      <c r="AO561" s="0" t="s">
        <v>236</v>
      </c>
      <c r="AP561" s="0" t="s">
        <v>237</v>
      </c>
      <c r="AQ561" s="0" t="n">
        <v>9</v>
      </c>
      <c r="AR561" s="0" t="n">
        <v>64</v>
      </c>
      <c r="AS561" s="0" t="n">
        <v>32</v>
      </c>
      <c r="AU561" s="0" t="n">
        <f aca="false">COUNTA($BA$174:$EH$174)</f>
        <v>18</v>
      </c>
      <c r="AV561" s="0" t="n">
        <f aca="false">COUNTIF($BA$174:$EH$174,"D")</f>
        <v>2</v>
      </c>
      <c r="AW561" s="0" t="n">
        <f aca="false">COUNTIF($BA$174:$EH$174,"R")</f>
        <v>0</v>
      </c>
      <c r="AX561" s="0" t="n">
        <f aca="false"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>4</v>
      </c>
      <c r="AY561" s="0" t="n">
        <f aca="false">COUNTIF(DU561:EH561, "&lt;&gt;")</f>
        <v>6</v>
      </c>
      <c r="AZ561" s="0" t="n">
        <f aca="false">IF(EH561&lt;&gt;"",1,0)</f>
        <v>1</v>
      </c>
      <c r="BB561" s="0" t="s">
        <v>153</v>
      </c>
      <c r="BD561" s="0" t="s">
        <v>154</v>
      </c>
      <c r="BF561" s="0" t="s">
        <v>154</v>
      </c>
      <c r="BH561" s="0" t="s">
        <v>154</v>
      </c>
      <c r="BJ561" s="0" t="s">
        <v>154</v>
      </c>
      <c r="BK561" s="0" t="s">
        <v>154</v>
      </c>
      <c r="BL561" s="0" t="s">
        <v>154</v>
      </c>
      <c r="BS561" s="0" t="s">
        <v>154</v>
      </c>
      <c r="CA561" s="0" t="s">
        <v>154</v>
      </c>
      <c r="CP561" s="0" t="s">
        <v>154</v>
      </c>
      <c r="CV561" s="0" t="s">
        <v>154</v>
      </c>
      <c r="CY561" s="0" t="s">
        <v>154</v>
      </c>
      <c r="CZ561" s="0" t="s">
        <v>155</v>
      </c>
      <c r="DC561" s="0" t="s">
        <v>154</v>
      </c>
      <c r="DF561" s="0" t="s">
        <v>154</v>
      </c>
      <c r="DG561" s="0" t="s">
        <v>155</v>
      </c>
      <c r="DI561" s="0" t="s">
        <v>154</v>
      </c>
      <c r="DJ561" s="0" t="s">
        <v>155</v>
      </c>
      <c r="DL561" s="0" t="s">
        <v>154</v>
      </c>
      <c r="DM561" s="0" t="s">
        <v>155</v>
      </c>
      <c r="DN561" s="0" t="s">
        <v>154</v>
      </c>
      <c r="DO561" s="0" t="s">
        <v>155</v>
      </c>
      <c r="DR561" s="0" t="s">
        <v>154</v>
      </c>
      <c r="DS561" s="0" t="s">
        <v>155</v>
      </c>
      <c r="DU561" s="0" t="s">
        <v>154</v>
      </c>
      <c r="DW561" s="0" t="s">
        <v>155</v>
      </c>
      <c r="EA561" s="0" t="s">
        <v>154</v>
      </c>
      <c r="ED561" s="0" t="s">
        <v>155</v>
      </c>
      <c r="EF561" s="0" t="s">
        <v>154</v>
      </c>
      <c r="EH561" s="0" t="s">
        <v>155</v>
      </c>
    </row>
    <row r="562" customFormat="false" ht="13.8" hidden="false" customHeight="false" outlineLevel="0" collapsed="false">
      <c r="A562" s="0" t="s">
        <v>2955</v>
      </c>
      <c r="B562" s="0" t="n">
        <v>78</v>
      </c>
      <c r="C562" s="0" t="n">
        <v>115671</v>
      </c>
      <c r="D562" s="0" t="s">
        <v>2956</v>
      </c>
      <c r="E562" s="0" t="s">
        <v>2957</v>
      </c>
      <c r="F562" s="0" t="str">
        <f aca="false">CONCATENATE(D562," ",LEFT(H562,4),"T=",AU562,"D=",AV562,"R=",AW562,"M=",AX562,"L=",AY562,"B=",AZ562)</f>
        <v>HARDMAN T=2D=0R=0M=4L=7B=1</v>
      </c>
      <c r="G562" s="0" t="s">
        <v>172</v>
      </c>
      <c r="I562" s="0" t="s">
        <v>2958</v>
      </c>
      <c r="J562" s="0" t="s">
        <v>2959</v>
      </c>
      <c r="K562" s="0" t="s">
        <v>175</v>
      </c>
      <c r="L562" s="1" t="s">
        <v>155</v>
      </c>
      <c r="M562" s="0" t="s">
        <v>2954</v>
      </c>
      <c r="N562" s="0" t="str">
        <f aca="false">RIGHT(M562,LEN(M562)-FIND(" ",M562))</f>
        <v>CLERMONT AVE NE</v>
      </c>
      <c r="P562" s="0" t="s">
        <v>146</v>
      </c>
      <c r="Q562" s="0" t="s">
        <v>147</v>
      </c>
      <c r="R562" s="0" t="n">
        <v>44483</v>
      </c>
      <c r="AD562" s="0" t="s">
        <v>148</v>
      </c>
      <c r="AE562" s="0" t="s">
        <v>149</v>
      </c>
      <c r="AF562" s="0" t="s">
        <v>150</v>
      </c>
      <c r="AH562" s="0" t="n">
        <v>14</v>
      </c>
      <c r="AI562" s="0" t="n">
        <v>11</v>
      </c>
      <c r="AN562" s="0" t="s">
        <v>146</v>
      </c>
      <c r="AO562" s="0" t="s">
        <v>236</v>
      </c>
      <c r="AP562" s="0" t="s">
        <v>237</v>
      </c>
      <c r="AQ562" s="0" t="n">
        <v>9</v>
      </c>
      <c r="AR562" s="0" t="n">
        <v>64</v>
      </c>
      <c r="AS562" s="0" t="n">
        <v>32</v>
      </c>
      <c r="AU562" s="0" t="n">
        <f aca="false">COUNTA($BA$1005:$EH$1005)</f>
        <v>2</v>
      </c>
      <c r="AV562" s="0" t="n">
        <f aca="false">COUNTIF($BA$1005:$EH$1005,"D")</f>
        <v>0</v>
      </c>
      <c r="AW562" s="0" t="n">
        <f aca="false">COUNTIF($BA$1005:$EH$1005,"R")</f>
        <v>0</v>
      </c>
      <c r="AX562" s="0" t="n">
        <f aca="false"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>4</v>
      </c>
      <c r="AY562" s="0" t="n">
        <f aca="false">COUNTIF(DU562:EH562, "&lt;&gt;")</f>
        <v>7</v>
      </c>
      <c r="AZ562" s="0" t="n">
        <f aca="false">IF(EH562&lt;&gt;"",1,0)</f>
        <v>1</v>
      </c>
      <c r="BB562" s="0" t="s">
        <v>153</v>
      </c>
      <c r="BC562" s="0" t="s">
        <v>154</v>
      </c>
      <c r="BD562" s="0" t="s">
        <v>154</v>
      </c>
      <c r="BE562" s="0" t="s">
        <v>154</v>
      </c>
      <c r="BF562" s="0" t="s">
        <v>154</v>
      </c>
      <c r="BG562" s="0" t="s">
        <v>154</v>
      </c>
      <c r="BH562" s="0" t="s">
        <v>154</v>
      </c>
      <c r="BJ562" s="0" t="s">
        <v>154</v>
      </c>
      <c r="BK562" s="0" t="s">
        <v>154</v>
      </c>
      <c r="BL562" s="0" t="s">
        <v>154</v>
      </c>
      <c r="BP562" s="0" t="s">
        <v>154</v>
      </c>
      <c r="BR562" s="0" t="s">
        <v>154</v>
      </c>
      <c r="CA562" s="0" t="s">
        <v>154</v>
      </c>
      <c r="CP562" s="0" t="s">
        <v>154</v>
      </c>
      <c r="CV562" s="0" t="s">
        <v>154</v>
      </c>
      <c r="CY562" s="0" t="s">
        <v>154</v>
      </c>
      <c r="CZ562" s="0" t="s">
        <v>176</v>
      </c>
      <c r="DC562" s="0" t="s">
        <v>154</v>
      </c>
      <c r="DF562" s="0" t="s">
        <v>154</v>
      </c>
      <c r="DG562" s="0" t="s">
        <v>155</v>
      </c>
      <c r="DI562" s="0" t="s">
        <v>154</v>
      </c>
      <c r="DJ562" s="0" t="s">
        <v>155</v>
      </c>
      <c r="DL562" s="0" t="s">
        <v>154</v>
      </c>
      <c r="DM562" s="0" t="s">
        <v>176</v>
      </c>
      <c r="DN562" s="0" t="s">
        <v>154</v>
      </c>
      <c r="DO562" s="0" t="s">
        <v>155</v>
      </c>
      <c r="DR562" s="0" t="s">
        <v>154</v>
      </c>
      <c r="DS562" s="0" t="s">
        <v>176</v>
      </c>
      <c r="DU562" s="0" t="s">
        <v>154</v>
      </c>
      <c r="DW562" s="0" t="s">
        <v>155</v>
      </c>
      <c r="DX562" s="0" t="s">
        <v>154</v>
      </c>
      <c r="EA562" s="0" t="s">
        <v>154</v>
      </c>
      <c r="ED562" s="0" t="s">
        <v>176</v>
      </c>
      <c r="EF562" s="0" t="s">
        <v>154</v>
      </c>
      <c r="EH562" s="0" t="s">
        <v>155</v>
      </c>
    </row>
    <row r="563" customFormat="false" ht="13.8" hidden="false" customHeight="false" outlineLevel="0" collapsed="false">
      <c r="A563" s="0" t="s">
        <v>2960</v>
      </c>
      <c r="B563" s="0" t="n">
        <v>78</v>
      </c>
      <c r="C563" s="0" t="n">
        <v>387827</v>
      </c>
      <c r="D563" s="0" t="s">
        <v>2961</v>
      </c>
      <c r="E563" s="0" t="s">
        <v>2163</v>
      </c>
      <c r="F563" s="0" t="str">
        <f aca="false">CONCATENATE(D563," ",LEFT(H563,4),"T=",AU563,"D=",AV563,"R=",AW563,"M=",AX563,"L=",AY563,"B=",AZ563)</f>
        <v>BUTLER T=1D=0R=0M=1L=2B=0</v>
      </c>
      <c r="G563" s="0" t="s">
        <v>2939</v>
      </c>
      <c r="I563" s="0" t="s">
        <v>2962</v>
      </c>
      <c r="J563" s="0" t="s">
        <v>2963</v>
      </c>
      <c r="K563" s="0" t="s">
        <v>175</v>
      </c>
      <c r="M563" s="0" t="s">
        <v>2964</v>
      </c>
      <c r="N563" s="0" t="str">
        <f aca="false">RIGHT(M563,LEN(M563)-FIND(" ",M563))</f>
        <v>CLERMONT AVE NE</v>
      </c>
      <c r="P563" s="0" t="s">
        <v>146</v>
      </c>
      <c r="Q563" s="0" t="s">
        <v>147</v>
      </c>
      <c r="R563" s="0" t="n">
        <v>44483</v>
      </c>
      <c r="AD563" s="0" t="s">
        <v>148</v>
      </c>
      <c r="AE563" s="0" t="s">
        <v>149</v>
      </c>
      <c r="AF563" s="0" t="s">
        <v>150</v>
      </c>
      <c r="AH563" s="0" t="n">
        <v>14</v>
      </c>
      <c r="AI563" s="0" t="n">
        <v>11</v>
      </c>
      <c r="AN563" s="0" t="s">
        <v>146</v>
      </c>
      <c r="AO563" s="0" t="s">
        <v>236</v>
      </c>
      <c r="AP563" s="0" t="s">
        <v>237</v>
      </c>
      <c r="AQ563" s="0" t="n">
        <v>9</v>
      </c>
      <c r="AR563" s="0" t="n">
        <v>64</v>
      </c>
      <c r="AS563" s="0" t="n">
        <v>32</v>
      </c>
      <c r="AU563" s="0" t="n">
        <f aca="false">COUNTA($BA$803:$EH$803)</f>
        <v>1</v>
      </c>
      <c r="AV563" s="0" t="n">
        <f aca="false">COUNTIF($BA$803:$EH$803,"D")</f>
        <v>0</v>
      </c>
      <c r="AW563" s="0" t="n">
        <f aca="false">COUNTIF($BA$803:$EH$803,"R")</f>
        <v>0</v>
      </c>
      <c r="AX563" s="0" t="n">
        <f aca="false"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>1</v>
      </c>
      <c r="AY563" s="0" t="n">
        <f aca="false">COUNTIF(DU563:EH563, "&lt;&gt;")</f>
        <v>2</v>
      </c>
      <c r="AZ563" s="0" t="n">
        <f aca="false">IF(EH563&lt;&gt;"",1,0)</f>
        <v>0</v>
      </c>
      <c r="BB563" s="0" t="s">
        <v>153</v>
      </c>
      <c r="CP563" s="0" t="s">
        <v>154</v>
      </c>
      <c r="CV563" s="0" t="s">
        <v>154</v>
      </c>
      <c r="CY563" s="0" t="s">
        <v>154</v>
      </c>
      <c r="DC563" s="0" t="s">
        <v>154</v>
      </c>
      <c r="DD563" s="0" t="s">
        <v>155</v>
      </c>
      <c r="DI563" s="0" t="s">
        <v>154</v>
      </c>
      <c r="DL563" s="0" t="s">
        <v>154</v>
      </c>
      <c r="DN563" s="0" t="s">
        <v>154</v>
      </c>
      <c r="DU563" s="0" t="s">
        <v>154</v>
      </c>
      <c r="EF563" s="0" t="s">
        <v>154</v>
      </c>
    </row>
    <row r="564" customFormat="false" ht="13.8" hidden="false" customHeight="false" outlineLevel="0" collapsed="false">
      <c r="A564" s="0" t="s">
        <v>2965</v>
      </c>
      <c r="B564" s="0" t="n">
        <v>78</v>
      </c>
      <c r="C564" s="0" t="n">
        <v>127197</v>
      </c>
      <c r="D564" s="0" t="s">
        <v>2966</v>
      </c>
      <c r="E564" s="0" t="s">
        <v>2967</v>
      </c>
      <c r="F564" s="0" t="str">
        <f aca="false">CONCATENATE(D564," ",LEFT(H564,4),"T=",AU564,"D=",AV564,"R=",AW564,"M=",AX564,"L=",AY564,"B=",AZ564)</f>
        <v>BURWELL T=2D=0R=0M=0L=2B=0</v>
      </c>
      <c r="G564" s="0" t="s">
        <v>241</v>
      </c>
      <c r="I564" s="0" t="s">
        <v>2968</v>
      </c>
      <c r="J564" s="0" t="s">
        <v>2969</v>
      </c>
      <c r="K564" s="0" t="s">
        <v>175</v>
      </c>
      <c r="M564" s="0" t="s">
        <v>2970</v>
      </c>
      <c r="N564" s="0" t="str">
        <f aca="false">RIGHT(M564,LEN(M564)-FIND(" ",M564))</f>
        <v>CLERMONT AVE NE</v>
      </c>
      <c r="P564" s="0" t="s">
        <v>146</v>
      </c>
      <c r="Q564" s="0" t="s">
        <v>147</v>
      </c>
      <c r="R564" s="0" t="n">
        <v>44483</v>
      </c>
      <c r="AD564" s="0" t="s">
        <v>148</v>
      </c>
      <c r="AE564" s="0" t="s">
        <v>149</v>
      </c>
      <c r="AF564" s="0" t="s">
        <v>150</v>
      </c>
      <c r="AH564" s="0" t="n">
        <v>14</v>
      </c>
      <c r="AI564" s="0" t="n">
        <v>11</v>
      </c>
      <c r="AN564" s="0" t="s">
        <v>146</v>
      </c>
      <c r="AO564" s="0" t="s">
        <v>236</v>
      </c>
      <c r="AP564" s="0" t="s">
        <v>237</v>
      </c>
      <c r="AQ564" s="0" t="n">
        <v>9</v>
      </c>
      <c r="AR564" s="0" t="n">
        <v>64</v>
      </c>
      <c r="AS564" s="0" t="n">
        <v>32</v>
      </c>
      <c r="AU564" s="0" t="n">
        <f aca="false">COUNTA($BA$172:$EH$172)</f>
        <v>2</v>
      </c>
      <c r="AV564" s="0" t="n">
        <f aca="false">COUNTIF($BA$172:$EH$172,"D")</f>
        <v>0</v>
      </c>
      <c r="AW564" s="0" t="n">
        <f aca="false">COUNTIF($BA$172:$EH$172,"R")</f>
        <v>0</v>
      </c>
      <c r="AX564" s="0" t="n">
        <f aca="false"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>0</v>
      </c>
      <c r="AY564" s="0" t="n">
        <f aca="false">COUNTIF(DU564:EH564, "&lt;&gt;")</f>
        <v>2</v>
      </c>
      <c r="AZ564" s="0" t="n">
        <f aca="false">IF(EH564&lt;&gt;"",1,0)</f>
        <v>0</v>
      </c>
      <c r="BB564" s="0" t="s">
        <v>153</v>
      </c>
      <c r="BC564" s="0" t="s">
        <v>154</v>
      </c>
      <c r="BD564" s="0" t="s">
        <v>154</v>
      </c>
      <c r="BE564" s="0" t="s">
        <v>154</v>
      </c>
      <c r="BH564" s="0" t="s">
        <v>154</v>
      </c>
      <c r="BI564" s="0" t="s">
        <v>154</v>
      </c>
      <c r="BJ564" s="0" t="s">
        <v>154</v>
      </c>
      <c r="BK564" s="0" t="s">
        <v>154</v>
      </c>
      <c r="BL564" s="0" t="s">
        <v>154</v>
      </c>
      <c r="BP564" s="0" t="s">
        <v>154</v>
      </c>
      <c r="BR564" s="0" t="s">
        <v>154</v>
      </c>
      <c r="BS564" s="0" t="s">
        <v>154</v>
      </c>
      <c r="BV564" s="0" t="s">
        <v>154</v>
      </c>
      <c r="CA564" s="0" t="s">
        <v>154</v>
      </c>
      <c r="CN564" s="0" t="s">
        <v>154</v>
      </c>
      <c r="CO564" s="0" t="s">
        <v>155</v>
      </c>
      <c r="CP564" s="0" t="s">
        <v>154</v>
      </c>
      <c r="CV564" s="0" t="s">
        <v>154</v>
      </c>
      <c r="CY564" s="0" t="s">
        <v>154</v>
      </c>
      <c r="DC564" s="0" t="s">
        <v>154</v>
      </c>
      <c r="DI564" s="0" t="s">
        <v>154</v>
      </c>
      <c r="DN564" s="0" t="s">
        <v>154</v>
      </c>
      <c r="DU564" s="0" t="s">
        <v>154</v>
      </c>
      <c r="EF564" s="0" t="s">
        <v>154</v>
      </c>
    </row>
    <row r="565" customFormat="false" ht="13.8" hidden="false" customHeight="false" outlineLevel="0" collapsed="false">
      <c r="A565" s="0" t="s">
        <v>2971</v>
      </c>
      <c r="B565" s="0" t="n">
        <v>78</v>
      </c>
      <c r="C565" s="0" t="n">
        <v>364561</v>
      </c>
      <c r="D565" s="0" t="s">
        <v>2972</v>
      </c>
      <c r="E565" s="0" t="s">
        <v>2973</v>
      </c>
      <c r="F565" s="0" t="str">
        <f aca="false">CONCATENATE(D565," ",LEFT(H565,4),"T=",AU565,"D=",AV565,"R=",AW565,"M=",AX565,"L=",AY565,"B=",AZ565)</f>
        <v>TEMPESTA T=8D=1R=0M=0L=3B=0</v>
      </c>
      <c r="G565" s="0" t="s">
        <v>188</v>
      </c>
      <c r="I565" s="0" t="s">
        <v>2974</v>
      </c>
      <c r="J565" s="0" t="s">
        <v>2975</v>
      </c>
      <c r="K565" s="0" t="s">
        <v>175</v>
      </c>
      <c r="L565" s="1" t="s">
        <v>155</v>
      </c>
      <c r="M565" s="0" t="s">
        <v>2976</v>
      </c>
      <c r="N565" s="0" t="str">
        <f aca="false">RIGHT(M565,LEN(M565)-FIND(" ",M565))</f>
        <v>CLERMONT AVE NE</v>
      </c>
      <c r="P565" s="0" t="s">
        <v>146</v>
      </c>
      <c r="Q565" s="0" t="s">
        <v>147</v>
      </c>
      <c r="R565" s="0" t="n">
        <v>44483</v>
      </c>
      <c r="AD565" s="0" t="s">
        <v>148</v>
      </c>
      <c r="AE565" s="0" t="s">
        <v>149</v>
      </c>
      <c r="AF565" s="0" t="s">
        <v>150</v>
      </c>
      <c r="AH565" s="0" t="n">
        <v>14</v>
      </c>
      <c r="AI565" s="0" t="n">
        <v>11</v>
      </c>
      <c r="AN565" s="0" t="s">
        <v>146</v>
      </c>
      <c r="AO565" s="0" t="s">
        <v>236</v>
      </c>
      <c r="AP565" s="0" t="s">
        <v>237</v>
      </c>
      <c r="AQ565" s="0" t="n">
        <v>9</v>
      </c>
      <c r="AR565" s="0" t="n">
        <v>64</v>
      </c>
      <c r="AS565" s="0" t="n">
        <v>32</v>
      </c>
      <c r="AU565" s="0" t="n">
        <f aca="false">COUNTA($BA$387:$EH$387)</f>
        <v>8</v>
      </c>
      <c r="AV565" s="0" t="n">
        <f aca="false">COUNTIF($BA$387:$EH$387,"D")</f>
        <v>1</v>
      </c>
      <c r="AW565" s="0" t="n">
        <f aca="false">COUNTIF($BA$387:$EH$387,"R")</f>
        <v>0</v>
      </c>
      <c r="AX565" s="0" t="n">
        <f aca="false"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>0</v>
      </c>
      <c r="AY565" s="0" t="n">
        <f aca="false">COUNTIF(DU565:EH565, "&lt;&gt;")</f>
        <v>3</v>
      </c>
      <c r="AZ565" s="0" t="n">
        <f aca="false">IF(EH565&lt;&gt;"",1,0)</f>
        <v>0</v>
      </c>
      <c r="BB565" s="0" t="s">
        <v>153</v>
      </c>
      <c r="CA565" s="0" t="s">
        <v>154</v>
      </c>
      <c r="CN565" s="0" t="s">
        <v>154</v>
      </c>
      <c r="CP565" s="0" t="s">
        <v>154</v>
      </c>
      <c r="CY565" s="0" t="s">
        <v>154</v>
      </c>
      <c r="CZ565" s="0" t="s">
        <v>155</v>
      </c>
      <c r="DC565" s="0" t="s">
        <v>154</v>
      </c>
      <c r="DF565" s="0" t="s">
        <v>154</v>
      </c>
      <c r="DI565" s="0" t="s">
        <v>154</v>
      </c>
      <c r="DM565" s="0" t="s">
        <v>155</v>
      </c>
      <c r="DN565" s="0" t="s">
        <v>154</v>
      </c>
      <c r="EA565" s="0" t="s">
        <v>154</v>
      </c>
      <c r="ED565" s="0" t="s">
        <v>155</v>
      </c>
      <c r="EF565" s="0" t="s">
        <v>154</v>
      </c>
    </row>
    <row r="566" customFormat="false" ht="13.8" hidden="true" customHeight="false" outlineLevel="0" collapsed="false">
      <c r="A566" s="0" t="s">
        <v>2977</v>
      </c>
      <c r="B566" s="0" t="n">
        <v>78</v>
      </c>
      <c r="C566" s="0" t="n">
        <v>430583</v>
      </c>
      <c r="D566" s="0" t="s">
        <v>2978</v>
      </c>
      <c r="E566" s="0" t="s">
        <v>1232</v>
      </c>
      <c r="F566" s="0" t="str">
        <f aca="false">CONCATENATE(D566," ",LEFT(H566,4),"T=",AU566,"D=",AV566,"R=",AW566,"M=",AX566,"L=",AY566,"B=",AZ566)</f>
        <v>WIGLE T=6D=2R=0M=0L=0B=0</v>
      </c>
      <c r="G566" s="0" t="s">
        <v>241</v>
      </c>
      <c r="I566" s="0" t="s">
        <v>2979</v>
      </c>
      <c r="J566" s="0" t="s">
        <v>2980</v>
      </c>
      <c r="K566" s="0" t="s">
        <v>175</v>
      </c>
      <c r="L566" s="0"/>
      <c r="M566" s="0" t="s">
        <v>2981</v>
      </c>
      <c r="N566" s="0" t="str">
        <f aca="false">RIGHT(M566,LEN(M566)-FIND(" ",M566))</f>
        <v>COMSTOCK ST NE</v>
      </c>
      <c r="P566" s="0" t="s">
        <v>146</v>
      </c>
      <c r="Q566" s="0" t="s">
        <v>147</v>
      </c>
      <c r="R566" s="0" t="n">
        <v>44483</v>
      </c>
      <c r="AD566" s="0" t="s">
        <v>148</v>
      </c>
      <c r="AE566" s="0" t="s">
        <v>149</v>
      </c>
      <c r="AF566" s="0" t="s">
        <v>150</v>
      </c>
      <c r="AH566" s="0" t="n">
        <v>14</v>
      </c>
      <c r="AI566" s="0" t="n">
        <v>11</v>
      </c>
      <c r="AN566" s="0" t="s">
        <v>146</v>
      </c>
      <c r="AO566" s="0" t="s">
        <v>250</v>
      </c>
      <c r="AP566" s="0" t="s">
        <v>251</v>
      </c>
      <c r="AQ566" s="0" t="n">
        <v>9</v>
      </c>
      <c r="AR566" s="0" t="n">
        <v>64</v>
      </c>
      <c r="AS566" s="0" t="n">
        <v>32</v>
      </c>
      <c r="AU566" s="0" t="n">
        <f aca="false">COUNTA($BA$2514:$EH$2514)</f>
        <v>6</v>
      </c>
      <c r="AV566" s="0" t="n">
        <f aca="false">COUNTIF($BA$2514:$EH$2514,"D")</f>
        <v>2</v>
      </c>
      <c r="AW566" s="0" t="n">
        <f aca="false">COUNTIF($BA$2514:$EH$2514,"R")</f>
        <v>0</v>
      </c>
      <c r="AX566" s="0" t="n">
        <f aca="false"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>0</v>
      </c>
      <c r="AY566" s="0" t="n">
        <f aca="false">COUNTIF(DU566:EH566, "&lt;&gt;")</f>
        <v>0</v>
      </c>
      <c r="AZ566" s="0" t="n">
        <f aca="false">IF(EH566&lt;&gt;"",1,0)</f>
        <v>0</v>
      </c>
      <c r="BB566" s="0" t="s">
        <v>153</v>
      </c>
      <c r="BC566" s="0" t="s">
        <v>155</v>
      </c>
      <c r="BD566" s="0" t="s">
        <v>154</v>
      </c>
      <c r="BJ566" s="0" t="s">
        <v>154</v>
      </c>
      <c r="BK566" s="0" t="s">
        <v>155</v>
      </c>
      <c r="BL566" s="0" t="s">
        <v>154</v>
      </c>
      <c r="BS566" s="0" t="s">
        <v>154</v>
      </c>
      <c r="BY566" s="0" t="s">
        <v>155</v>
      </c>
      <c r="CA566" s="0" t="s">
        <v>154</v>
      </c>
      <c r="CP566" s="0" t="s">
        <v>154</v>
      </c>
      <c r="CV566" s="0" t="s">
        <v>154</v>
      </c>
      <c r="DI566" s="0" t="s">
        <v>154</v>
      </c>
      <c r="DN566" s="0" t="s">
        <v>154</v>
      </c>
    </row>
    <row r="567" customFormat="false" ht="13.8" hidden="true" customHeight="false" outlineLevel="0" collapsed="false">
      <c r="A567" s="0" t="s">
        <v>2982</v>
      </c>
      <c r="B567" s="0" t="n">
        <v>78</v>
      </c>
      <c r="C567" s="0" t="n">
        <v>419189</v>
      </c>
      <c r="D567" s="0" t="s">
        <v>2983</v>
      </c>
      <c r="E567" s="0" t="s">
        <v>2984</v>
      </c>
      <c r="F567" s="0" t="str">
        <f aca="false">CONCATENATE(D567," ",LEFT(H567,4),"T=",AU567,"D=",AV567,"R=",AW567,"M=",AX567,"L=",AY567,"B=",AZ567)</f>
        <v>BILES T=2D=0R=0M=0L=0B=0</v>
      </c>
      <c r="G567" s="0" t="s">
        <v>1990</v>
      </c>
      <c r="I567" s="0" t="s">
        <v>2985</v>
      </c>
      <c r="J567" s="0" t="s">
        <v>2986</v>
      </c>
      <c r="K567" s="0" t="s">
        <v>175</v>
      </c>
      <c r="L567" s="0"/>
      <c r="M567" s="0" t="s">
        <v>2987</v>
      </c>
      <c r="N567" s="0" t="str">
        <f aca="false">RIGHT(M567,LEN(M567)-FIND(" ",M567))</f>
        <v>COMSTOCK ST NE</v>
      </c>
      <c r="P567" s="0" t="s">
        <v>146</v>
      </c>
      <c r="Q567" s="0" t="s">
        <v>147</v>
      </c>
      <c r="R567" s="0" t="n">
        <v>44483</v>
      </c>
      <c r="AD567" s="0" t="s">
        <v>148</v>
      </c>
      <c r="AE567" s="0" t="s">
        <v>149</v>
      </c>
      <c r="AF567" s="0" t="s">
        <v>150</v>
      </c>
      <c r="AH567" s="0" t="n">
        <v>14</v>
      </c>
      <c r="AI567" s="0" t="n">
        <v>11</v>
      </c>
      <c r="AN567" s="0" t="s">
        <v>146</v>
      </c>
      <c r="AO567" s="0" t="s">
        <v>250</v>
      </c>
      <c r="AP567" s="0" t="s">
        <v>251</v>
      </c>
      <c r="AQ567" s="0" t="n">
        <v>9</v>
      </c>
      <c r="AR567" s="0" t="n">
        <v>64</v>
      </c>
      <c r="AS567" s="0" t="n">
        <v>32</v>
      </c>
      <c r="AU567" s="0" t="n">
        <f aca="false">COUNTA($BA$2407:$EH$2407)</f>
        <v>2</v>
      </c>
      <c r="AV567" s="0" t="n">
        <f aca="false">COUNTIF($BA$2407:$EH$2407,"D")</f>
        <v>0</v>
      </c>
      <c r="AW567" s="0" t="n">
        <f aca="false">COUNTIF($BA$2407:$EH$2407,"R")</f>
        <v>0</v>
      </c>
      <c r="AX567" s="0" t="n">
        <f aca="false"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>0</v>
      </c>
      <c r="AY567" s="0" t="n">
        <f aca="false">COUNTIF(DU567:EH567, "&lt;&gt;")</f>
        <v>0</v>
      </c>
      <c r="AZ567" s="0" t="n">
        <f aca="false">IF(EH567&lt;&gt;"",1,0)</f>
        <v>0</v>
      </c>
      <c r="BB567" s="0" t="s">
        <v>153</v>
      </c>
    </row>
    <row r="568" customFormat="false" ht="13.8" hidden="true" customHeight="false" outlineLevel="0" collapsed="false">
      <c r="A568" s="0" t="s">
        <v>2988</v>
      </c>
      <c r="B568" s="0" t="n">
        <v>78</v>
      </c>
      <c r="C568" s="0" t="n">
        <v>437142</v>
      </c>
      <c r="D568" s="0" t="s">
        <v>2248</v>
      </c>
      <c r="E568" s="0" t="s">
        <v>2989</v>
      </c>
      <c r="F568" s="0" t="str">
        <f aca="false">CONCATENATE(D568," ",LEFT(H568,4),"T=",AU568,"D=",AV568,"R=",AW568,"M=",AX568,"L=",AY568,"B=",AZ568)</f>
        <v>COX T=29D=4R=3M=0L=0B=0</v>
      </c>
      <c r="G568" s="0" t="s">
        <v>241</v>
      </c>
      <c r="I568" s="0" t="s">
        <v>2990</v>
      </c>
      <c r="J568" s="0" t="s">
        <v>1047</v>
      </c>
      <c r="K568" s="0" t="s">
        <v>175</v>
      </c>
      <c r="L568" s="0"/>
      <c r="M568" s="0" t="s">
        <v>2987</v>
      </c>
      <c r="N568" s="0" t="str">
        <f aca="false">RIGHT(M568,LEN(M568)-FIND(" ",M568))</f>
        <v>COMSTOCK ST NE</v>
      </c>
      <c r="P568" s="0" t="s">
        <v>146</v>
      </c>
      <c r="Q568" s="0" t="s">
        <v>147</v>
      </c>
      <c r="R568" s="0" t="n">
        <v>44483</v>
      </c>
      <c r="AD568" s="0" t="s">
        <v>148</v>
      </c>
      <c r="AE568" s="0" t="s">
        <v>149</v>
      </c>
      <c r="AF568" s="0" t="s">
        <v>150</v>
      </c>
      <c r="AH568" s="0" t="n">
        <v>14</v>
      </c>
      <c r="AI568" s="0" t="n">
        <v>11</v>
      </c>
      <c r="AN568" s="0" t="s">
        <v>146</v>
      </c>
      <c r="AO568" s="0" t="s">
        <v>250</v>
      </c>
      <c r="AP568" s="0" t="s">
        <v>251</v>
      </c>
      <c r="AQ568" s="0" t="n">
        <v>9</v>
      </c>
      <c r="AR568" s="0" t="n">
        <v>64</v>
      </c>
      <c r="AS568" s="0" t="n">
        <v>32</v>
      </c>
      <c r="AU568" s="0" t="n">
        <f aca="false">COUNTA($BA$2671:$EH$2671)</f>
        <v>29</v>
      </c>
      <c r="AV568" s="0" t="n">
        <f aca="false">COUNTIF($BA$2671:$EH$2671,"D")</f>
        <v>4</v>
      </c>
      <c r="AW568" s="0" t="n">
        <f aca="false">COUNTIF($BA$2671:$EH$2671,"R")</f>
        <v>3</v>
      </c>
      <c r="AX568" s="0" t="n">
        <f aca="false"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>0</v>
      </c>
      <c r="AY568" s="0" t="n">
        <f aca="false">COUNTIF(DU568:EH568, "&lt;&gt;")</f>
        <v>0</v>
      </c>
      <c r="AZ568" s="0" t="n">
        <f aca="false">IF(EH568&lt;&gt;"",1,0)</f>
        <v>0</v>
      </c>
      <c r="BB568" s="0" t="s">
        <v>153</v>
      </c>
      <c r="BD568" s="0" t="s">
        <v>154</v>
      </c>
      <c r="BH568" s="0" t="s">
        <v>154</v>
      </c>
      <c r="BJ568" s="0" t="s">
        <v>154</v>
      </c>
      <c r="BL568" s="0" t="s">
        <v>154</v>
      </c>
      <c r="BS568" s="0" t="s">
        <v>154</v>
      </c>
      <c r="CA568" s="0" t="s">
        <v>154</v>
      </c>
      <c r="CK568" s="0" t="s">
        <v>154</v>
      </c>
      <c r="CN568" s="0" t="s">
        <v>154</v>
      </c>
      <c r="CP568" s="0" t="s">
        <v>154</v>
      </c>
      <c r="CV568" s="0" t="s">
        <v>154</v>
      </c>
      <c r="CY568" s="0" t="s">
        <v>154</v>
      </c>
      <c r="DC568" s="0" t="s">
        <v>154</v>
      </c>
    </row>
    <row r="569" customFormat="false" ht="13.8" hidden="true" customHeight="false" outlineLevel="0" collapsed="false">
      <c r="A569" s="0" t="s">
        <v>2991</v>
      </c>
      <c r="B569" s="0" t="n">
        <v>78</v>
      </c>
      <c r="C569" s="0" t="n">
        <v>447587</v>
      </c>
      <c r="D569" s="0" t="s">
        <v>309</v>
      </c>
      <c r="E569" s="0" t="s">
        <v>2992</v>
      </c>
      <c r="F569" s="0" t="str">
        <f aca="false">CONCATENATE(D569," ",LEFT(H569,4),"T=",AU569,"D=",AV569,"R=",AW569,"M=",AX569,"L=",AY569,"B=",AZ569)</f>
        <v>BROWN T=8D=0R=0M=0L=0B=0</v>
      </c>
      <c r="G569" s="0" t="s">
        <v>297</v>
      </c>
      <c r="I569" s="0" t="s">
        <v>2993</v>
      </c>
      <c r="J569" s="0" t="s">
        <v>2994</v>
      </c>
      <c r="K569" s="0" t="s">
        <v>144</v>
      </c>
      <c r="L569" s="0"/>
      <c r="M569" s="0" t="s">
        <v>2995</v>
      </c>
      <c r="N569" s="0" t="str">
        <f aca="false">RIGHT(M569,LEN(M569)-FIND(" ",M569))</f>
        <v>COMSTOCK ST NE</v>
      </c>
      <c r="P569" s="0" t="s">
        <v>146</v>
      </c>
      <c r="Q569" s="0" t="s">
        <v>147</v>
      </c>
      <c r="R569" s="0" t="n">
        <v>44483</v>
      </c>
      <c r="AD569" s="0" t="s">
        <v>148</v>
      </c>
      <c r="AE569" s="0" t="s">
        <v>149</v>
      </c>
      <c r="AF569" s="0" t="s">
        <v>150</v>
      </c>
      <c r="AH569" s="0" t="n">
        <v>14</v>
      </c>
      <c r="AI569" s="0" t="n">
        <v>11</v>
      </c>
      <c r="AN569" s="0" t="s">
        <v>146</v>
      </c>
      <c r="AO569" s="0" t="s">
        <v>250</v>
      </c>
      <c r="AP569" s="0" t="s">
        <v>251</v>
      </c>
      <c r="AQ569" s="0" t="n">
        <v>9</v>
      </c>
      <c r="AR569" s="0" t="n">
        <v>64</v>
      </c>
      <c r="AS569" s="0" t="n">
        <v>32</v>
      </c>
      <c r="AU569" s="0" t="n">
        <f aca="false">COUNTA($BA$2485:$EH$2485)</f>
        <v>8</v>
      </c>
      <c r="AV569" s="0" t="n">
        <f aca="false">COUNTIF($BA$2485:$EH$2485,"D")</f>
        <v>0</v>
      </c>
      <c r="AW569" s="0" t="n">
        <f aca="false">COUNTIF($BA$2485:$EH$2485,"R")</f>
        <v>0</v>
      </c>
      <c r="AX569" s="0" t="n">
        <f aca="false"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>0</v>
      </c>
      <c r="AY569" s="0" t="n">
        <f aca="false">COUNTIF(DU569:EH569, "&lt;&gt;")</f>
        <v>0</v>
      </c>
      <c r="AZ569" s="0" t="n">
        <f aca="false">IF(EH569&lt;&gt;"",1,0)</f>
        <v>0</v>
      </c>
      <c r="BB569" s="0" t="s">
        <v>153</v>
      </c>
      <c r="BC569" s="0" t="s">
        <v>154</v>
      </c>
      <c r="BD569" s="0" t="s">
        <v>154</v>
      </c>
      <c r="BJ569" s="0" t="s">
        <v>154</v>
      </c>
      <c r="CP569" s="0" t="s">
        <v>154</v>
      </c>
    </row>
    <row r="570" customFormat="false" ht="13.8" hidden="true" customHeight="false" outlineLevel="0" collapsed="false">
      <c r="A570" s="0" t="s">
        <v>2996</v>
      </c>
      <c r="B570" s="0" t="n">
        <v>78</v>
      </c>
      <c r="C570" s="0" t="n">
        <v>431918</v>
      </c>
      <c r="D570" s="0" t="s">
        <v>2997</v>
      </c>
      <c r="E570" s="0" t="s">
        <v>1980</v>
      </c>
      <c r="F570" s="0" t="str">
        <f aca="false">CONCATENATE(D570," ",LEFT(H570,4),"T=",AU570,"D=",AV570,"R=",AW570,"M=",AX570,"L=",AY570,"B=",AZ570)</f>
        <v>UPHOLD T=37D=11R=0M=0L=0B=0</v>
      </c>
      <c r="I570" s="0" t="s">
        <v>2998</v>
      </c>
      <c r="J570" s="0" t="s">
        <v>2999</v>
      </c>
      <c r="K570" s="0" t="s">
        <v>144</v>
      </c>
      <c r="L570" s="0"/>
      <c r="M570" s="0" t="s">
        <v>3000</v>
      </c>
      <c r="N570" s="0" t="str">
        <f aca="false">RIGHT(M570,LEN(M570)-FIND(" ",M570))</f>
        <v>COMSTOCK ST NE</v>
      </c>
      <c r="P570" s="0" t="s">
        <v>146</v>
      </c>
      <c r="Q570" s="0" t="s">
        <v>147</v>
      </c>
      <c r="R570" s="0" t="n">
        <v>44483</v>
      </c>
      <c r="AD570" s="0" t="s">
        <v>148</v>
      </c>
      <c r="AE570" s="0" t="s">
        <v>149</v>
      </c>
      <c r="AF570" s="0" t="s">
        <v>150</v>
      </c>
      <c r="AH570" s="0" t="n">
        <v>14</v>
      </c>
      <c r="AI570" s="0" t="n">
        <v>11</v>
      </c>
      <c r="AN570" s="0" t="s">
        <v>146</v>
      </c>
      <c r="AO570" s="0" t="s">
        <v>250</v>
      </c>
      <c r="AP570" s="0" t="s">
        <v>251</v>
      </c>
      <c r="AQ570" s="0" t="n">
        <v>9</v>
      </c>
      <c r="AR570" s="0" t="n">
        <v>64</v>
      </c>
      <c r="AS570" s="0" t="n">
        <v>32</v>
      </c>
      <c r="AU570" s="0" t="n">
        <f aca="false">COUNTA($BA$2470:$EH$2470)</f>
        <v>37</v>
      </c>
      <c r="AV570" s="0" t="n">
        <f aca="false">COUNTIF($BA$2470:$EH$2470,"D")</f>
        <v>11</v>
      </c>
      <c r="AW570" s="0" t="n">
        <f aca="false">COUNTIF($BA$2470:$EH$2470,"R")</f>
        <v>0</v>
      </c>
      <c r="AX570" s="0" t="n">
        <f aca="false"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>0</v>
      </c>
      <c r="AY570" s="0" t="n">
        <f aca="false">COUNTIF(DU570:EH570, "&lt;&gt;")</f>
        <v>0</v>
      </c>
      <c r="AZ570" s="0" t="n">
        <f aca="false">IF(EH570&lt;&gt;"",1,0)</f>
        <v>0</v>
      </c>
      <c r="BB570" s="0" t="s">
        <v>153</v>
      </c>
    </row>
    <row r="571" customFormat="false" ht="13.8" hidden="false" customHeight="false" outlineLevel="0" collapsed="false">
      <c r="A571" s="0" t="s">
        <v>3001</v>
      </c>
      <c r="B571" s="0" t="n">
        <v>78</v>
      </c>
      <c r="C571" s="0" t="n">
        <v>164241</v>
      </c>
      <c r="D571" s="0" t="s">
        <v>3002</v>
      </c>
      <c r="E571" s="0" t="s">
        <v>3003</v>
      </c>
      <c r="F571" s="0" t="str">
        <f aca="false">CONCATENATE(D571," ",LEFT(H571,4),"T=",AU571,"D=",AV571,"R=",AW571,"M=",AX571,"L=",AY571,"B=",AZ571)</f>
        <v>CARGILL T=1D=0R=0M=9L=7B=1</v>
      </c>
      <c r="I571" s="0" t="s">
        <v>3004</v>
      </c>
      <c r="J571" s="0" t="s">
        <v>3005</v>
      </c>
      <c r="K571" s="0" t="s">
        <v>175</v>
      </c>
      <c r="L571" s="1" t="s">
        <v>155</v>
      </c>
      <c r="M571" s="0" t="s">
        <v>3006</v>
      </c>
      <c r="N571" s="0" t="str">
        <f aca="false">RIGHT(M571,LEN(M571)-FIND(" ",M571))</f>
        <v>COMSTOCK ST NE</v>
      </c>
      <c r="P571" s="0" t="s">
        <v>146</v>
      </c>
      <c r="Q571" s="0" t="s">
        <v>147</v>
      </c>
      <c r="R571" s="0" t="n">
        <v>44483</v>
      </c>
      <c r="AD571" s="0" t="s">
        <v>148</v>
      </c>
      <c r="AE571" s="0" t="s">
        <v>149</v>
      </c>
      <c r="AF571" s="0" t="s">
        <v>150</v>
      </c>
      <c r="AH571" s="0" t="n">
        <v>14</v>
      </c>
      <c r="AI571" s="0" t="n">
        <v>11</v>
      </c>
      <c r="AN571" s="0" t="s">
        <v>146</v>
      </c>
      <c r="AO571" s="0" t="s">
        <v>250</v>
      </c>
      <c r="AP571" s="0" t="s">
        <v>251</v>
      </c>
      <c r="AQ571" s="0" t="n">
        <v>9</v>
      </c>
      <c r="AR571" s="0" t="n">
        <v>64</v>
      </c>
      <c r="AS571" s="0" t="n">
        <v>32</v>
      </c>
      <c r="AU571" s="0" t="n">
        <f aca="false">COUNTA($BA$2169:$EH$2169)</f>
        <v>1</v>
      </c>
      <c r="AV571" s="0" t="n">
        <f aca="false">COUNTIF($BA$2169:$EH$2169,"D")</f>
        <v>0</v>
      </c>
      <c r="AW571" s="0" t="n">
        <f aca="false">COUNTIF($BA$2169:$EH$2169,"R")</f>
        <v>0</v>
      </c>
      <c r="AX571" s="0" t="n">
        <f aca="false"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>9</v>
      </c>
      <c r="AY571" s="0" t="n">
        <f aca="false">COUNTIF(DU571:EH571, "&lt;&gt;")</f>
        <v>7</v>
      </c>
      <c r="AZ571" s="0" t="n">
        <f aca="false">IF(EH571&lt;&gt;"",1,0)</f>
        <v>1</v>
      </c>
      <c r="BB571" s="0" t="s">
        <v>153</v>
      </c>
      <c r="BC571" s="0" t="s">
        <v>154</v>
      </c>
      <c r="BD571" s="0" t="s">
        <v>154</v>
      </c>
      <c r="BE571" s="0" t="s">
        <v>154</v>
      </c>
      <c r="BF571" s="0" t="s">
        <v>154</v>
      </c>
      <c r="BH571" s="0" t="s">
        <v>154</v>
      </c>
      <c r="BI571" s="0" t="s">
        <v>154</v>
      </c>
      <c r="BJ571" s="0" t="s">
        <v>154</v>
      </c>
      <c r="BK571" s="0" t="s">
        <v>154</v>
      </c>
      <c r="BL571" s="0" t="s">
        <v>154</v>
      </c>
      <c r="BP571" s="0" t="s">
        <v>154</v>
      </c>
      <c r="BR571" s="0" t="s">
        <v>154</v>
      </c>
      <c r="BS571" s="0" t="s">
        <v>154</v>
      </c>
      <c r="BV571" s="0" t="s">
        <v>154</v>
      </c>
      <c r="BY571" s="0" t="s">
        <v>155</v>
      </c>
      <c r="CA571" s="0" t="s">
        <v>154</v>
      </c>
      <c r="CC571" s="0" t="s">
        <v>155</v>
      </c>
      <c r="CG571" s="0" t="s">
        <v>154</v>
      </c>
      <c r="CH571" s="0" t="s">
        <v>155</v>
      </c>
      <c r="CK571" s="0" t="s">
        <v>154</v>
      </c>
      <c r="CL571" s="0" t="s">
        <v>155</v>
      </c>
      <c r="CN571" s="0" t="s">
        <v>154</v>
      </c>
      <c r="CO571" s="0" t="s">
        <v>155</v>
      </c>
      <c r="CP571" s="0" t="s">
        <v>154</v>
      </c>
      <c r="CQ571" s="0" t="s">
        <v>155</v>
      </c>
      <c r="CT571" s="0" t="s">
        <v>154</v>
      </c>
      <c r="CU571" s="0" t="s">
        <v>155</v>
      </c>
      <c r="CV571" s="0" t="s">
        <v>154</v>
      </c>
      <c r="CW571" s="0" t="s">
        <v>155</v>
      </c>
      <c r="CY571" s="0" t="s">
        <v>154</v>
      </c>
      <c r="CZ571" s="0" t="s">
        <v>155</v>
      </c>
      <c r="DC571" s="0" t="s">
        <v>154</v>
      </c>
      <c r="DD571" s="0" t="s">
        <v>155</v>
      </c>
      <c r="DF571" s="0" t="s">
        <v>154</v>
      </c>
      <c r="DG571" s="0" t="s">
        <v>155</v>
      </c>
      <c r="DI571" s="0" t="s">
        <v>154</v>
      </c>
      <c r="DJ571" s="0" t="s">
        <v>155</v>
      </c>
      <c r="DL571" s="0" t="s">
        <v>154</v>
      </c>
      <c r="DM571" s="0" t="s">
        <v>155</v>
      </c>
      <c r="DN571" s="0" t="s">
        <v>154</v>
      </c>
      <c r="DO571" s="0" t="s">
        <v>155</v>
      </c>
      <c r="DR571" s="0" t="s">
        <v>154</v>
      </c>
      <c r="DS571" s="0" t="s">
        <v>155</v>
      </c>
      <c r="DT571" s="0" t="s">
        <v>155</v>
      </c>
      <c r="DU571" s="0" t="s">
        <v>154</v>
      </c>
      <c r="DW571" s="0" t="s">
        <v>155</v>
      </c>
      <c r="DX571" s="0" t="s">
        <v>154</v>
      </c>
      <c r="EA571" s="0" t="s">
        <v>154</v>
      </c>
      <c r="ED571" s="0" t="s">
        <v>155</v>
      </c>
      <c r="EF571" s="0" t="s">
        <v>154</v>
      </c>
      <c r="EH571" s="0" t="s">
        <v>155</v>
      </c>
    </row>
    <row r="572" customFormat="false" ht="13.8" hidden="false" customHeight="false" outlineLevel="0" collapsed="false">
      <c r="A572" s="0" t="s">
        <v>3007</v>
      </c>
      <c r="B572" s="0" t="n">
        <v>78</v>
      </c>
      <c r="C572" s="0" t="n">
        <v>176428</v>
      </c>
      <c r="D572" s="0" t="s">
        <v>3002</v>
      </c>
      <c r="E572" s="0" t="s">
        <v>3008</v>
      </c>
      <c r="F572" s="0" t="str">
        <f aca="false">CONCATENATE(D572," ",LEFT(H572,4),"T=",AU572,"D=",AV572,"R=",AW572,"M=",AX572,"L=",AY572,"B=",AZ572)</f>
        <v>CARGILL JRT=1D=0R=0M=9L=6B=1</v>
      </c>
      <c r="H572" s="0" t="s">
        <v>431</v>
      </c>
      <c r="I572" s="0" t="s">
        <v>3009</v>
      </c>
      <c r="J572" s="0" t="s">
        <v>3010</v>
      </c>
      <c r="K572" s="0" t="s">
        <v>175</v>
      </c>
      <c r="L572" s="1" t="s">
        <v>155</v>
      </c>
      <c r="M572" s="0" t="s">
        <v>3006</v>
      </c>
      <c r="N572" s="0" t="str">
        <f aca="false">RIGHT(M572,LEN(M572)-FIND(" ",M572))</f>
        <v>COMSTOCK ST NE</v>
      </c>
      <c r="P572" s="0" t="s">
        <v>146</v>
      </c>
      <c r="Q572" s="0" t="s">
        <v>147</v>
      </c>
      <c r="R572" s="0" t="n">
        <v>44483</v>
      </c>
      <c r="AD572" s="0" t="s">
        <v>148</v>
      </c>
      <c r="AE572" s="0" t="s">
        <v>149</v>
      </c>
      <c r="AF572" s="0" t="s">
        <v>150</v>
      </c>
      <c r="AH572" s="0" t="n">
        <v>14</v>
      </c>
      <c r="AI572" s="0" t="n">
        <v>11</v>
      </c>
      <c r="AN572" s="0" t="s">
        <v>146</v>
      </c>
      <c r="AO572" s="0" t="s">
        <v>250</v>
      </c>
      <c r="AP572" s="0" t="s">
        <v>251</v>
      </c>
      <c r="AQ572" s="0" t="n">
        <v>9</v>
      </c>
      <c r="AR572" s="0" t="n">
        <v>64</v>
      </c>
      <c r="AS572" s="0" t="n">
        <v>32</v>
      </c>
      <c r="AU572" s="0" t="n">
        <f aca="false">COUNTA($BA$2186:$EH$2186)</f>
        <v>1</v>
      </c>
      <c r="AV572" s="0" t="n">
        <f aca="false">COUNTIF($BA$2186:$EH$2186,"D")</f>
        <v>0</v>
      </c>
      <c r="AW572" s="0" t="n">
        <f aca="false">COUNTIF($BA$2186:$EH$2186,"R")</f>
        <v>0</v>
      </c>
      <c r="AX572" s="0" t="n">
        <f aca="false"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>9</v>
      </c>
      <c r="AY572" s="0" t="n">
        <f aca="false">COUNTIF(DU572:EH572, "&lt;&gt;")</f>
        <v>6</v>
      </c>
      <c r="AZ572" s="0" t="n">
        <f aca="false">IF(EH572&lt;&gt;"",1,0)</f>
        <v>1</v>
      </c>
      <c r="BB572" s="0" t="s">
        <v>153</v>
      </c>
      <c r="BC572" s="0" t="s">
        <v>154</v>
      </c>
      <c r="BD572" s="0" t="s">
        <v>154</v>
      </c>
      <c r="BE572" s="0" t="s">
        <v>154</v>
      </c>
      <c r="BF572" s="0" t="s">
        <v>154</v>
      </c>
      <c r="BH572" s="0" t="s">
        <v>154</v>
      </c>
      <c r="BI572" s="0" t="s">
        <v>154</v>
      </c>
      <c r="BJ572" s="0" t="s">
        <v>154</v>
      </c>
      <c r="BK572" s="0" t="s">
        <v>154</v>
      </c>
      <c r="BL572" s="0" t="s">
        <v>154</v>
      </c>
      <c r="BP572" s="0" t="s">
        <v>154</v>
      </c>
      <c r="BR572" s="0" t="s">
        <v>154</v>
      </c>
      <c r="BS572" s="0" t="s">
        <v>154</v>
      </c>
      <c r="BV572" s="0" t="s">
        <v>154</v>
      </c>
      <c r="BY572" s="0" t="s">
        <v>155</v>
      </c>
      <c r="CA572" s="0" t="s">
        <v>154</v>
      </c>
      <c r="CC572" s="0" t="s">
        <v>155</v>
      </c>
      <c r="CG572" s="0" t="s">
        <v>154</v>
      </c>
      <c r="CH572" s="0" t="s">
        <v>155</v>
      </c>
      <c r="CK572" s="0" t="s">
        <v>154</v>
      </c>
      <c r="CL572" s="0" t="s">
        <v>155</v>
      </c>
      <c r="CN572" s="0" t="s">
        <v>154</v>
      </c>
      <c r="CO572" s="0" t="s">
        <v>155</v>
      </c>
      <c r="CP572" s="0" t="s">
        <v>154</v>
      </c>
      <c r="CQ572" s="0" t="s">
        <v>155</v>
      </c>
      <c r="CU572" s="0" t="s">
        <v>155</v>
      </c>
      <c r="CV572" s="0" t="s">
        <v>154</v>
      </c>
      <c r="CW572" s="0" t="s">
        <v>155</v>
      </c>
      <c r="CY572" s="0" t="s">
        <v>154</v>
      </c>
      <c r="CZ572" s="0" t="s">
        <v>155</v>
      </c>
      <c r="DC572" s="0" t="s">
        <v>154</v>
      </c>
      <c r="DD572" s="0" t="s">
        <v>155</v>
      </c>
      <c r="DF572" s="0" t="s">
        <v>154</v>
      </c>
      <c r="DG572" s="0" t="s">
        <v>155</v>
      </c>
      <c r="DI572" s="0" t="s">
        <v>154</v>
      </c>
      <c r="DJ572" s="0" t="s">
        <v>155</v>
      </c>
      <c r="DL572" s="0" t="s">
        <v>154</v>
      </c>
      <c r="DM572" s="0" t="s">
        <v>155</v>
      </c>
      <c r="DN572" s="0" t="s">
        <v>154</v>
      </c>
      <c r="DO572" s="0" t="s">
        <v>155</v>
      </c>
      <c r="DR572" s="0" t="s">
        <v>154</v>
      </c>
      <c r="DS572" s="0" t="s">
        <v>155</v>
      </c>
      <c r="DT572" s="0" t="s">
        <v>155</v>
      </c>
      <c r="DU572" s="0" t="s">
        <v>154</v>
      </c>
      <c r="DW572" s="0" t="s">
        <v>155</v>
      </c>
      <c r="EA572" s="0" t="s">
        <v>154</v>
      </c>
      <c r="ED572" s="0" t="s">
        <v>155</v>
      </c>
      <c r="EF572" s="0" t="s">
        <v>154</v>
      </c>
      <c r="EH572" s="0" t="s">
        <v>155</v>
      </c>
    </row>
    <row r="573" customFormat="false" ht="13.8" hidden="false" customHeight="false" outlineLevel="0" collapsed="false">
      <c r="A573" s="0" t="s">
        <v>3011</v>
      </c>
      <c r="B573" s="0" t="n">
        <v>78</v>
      </c>
      <c r="C573" s="0" t="n">
        <v>346125</v>
      </c>
      <c r="D573" s="0" t="s">
        <v>801</v>
      </c>
      <c r="E573" s="0" t="s">
        <v>445</v>
      </c>
      <c r="F573" s="0" t="str">
        <f aca="false">CONCATENATE(D573," ",LEFT(H573,4),"T=",AU573,"D=",AV573,"R=",AW573,"M=",AX573,"L=",AY573,"B=",AZ573)</f>
        <v>BELL T=5D=0R=0M=9L=7B=1</v>
      </c>
      <c r="G573" s="0" t="s">
        <v>159</v>
      </c>
      <c r="I573" s="0" t="s">
        <v>3012</v>
      </c>
      <c r="J573" s="0" t="s">
        <v>3013</v>
      </c>
      <c r="K573" s="0" t="s">
        <v>175</v>
      </c>
      <c r="L573" s="1" t="s">
        <v>155</v>
      </c>
      <c r="M573" s="0" t="s">
        <v>3014</v>
      </c>
      <c r="N573" s="0" t="str">
        <f aca="false">RIGHT(M573,LEN(M573)-FIND(" ",M573))</f>
        <v>COMSTOCK ST NE</v>
      </c>
      <c r="P573" s="0" t="s">
        <v>146</v>
      </c>
      <c r="Q573" s="0" t="s">
        <v>147</v>
      </c>
      <c r="R573" s="0" t="n">
        <v>44483</v>
      </c>
      <c r="AD573" s="0" t="s">
        <v>148</v>
      </c>
      <c r="AE573" s="0" t="s">
        <v>149</v>
      </c>
      <c r="AF573" s="0" t="s">
        <v>150</v>
      </c>
      <c r="AH573" s="0" t="n">
        <v>14</v>
      </c>
      <c r="AI573" s="0" t="n">
        <v>11</v>
      </c>
      <c r="AN573" s="0" t="s">
        <v>146</v>
      </c>
      <c r="AO573" s="0" t="s">
        <v>250</v>
      </c>
      <c r="AP573" s="0" t="s">
        <v>251</v>
      </c>
      <c r="AQ573" s="0" t="n">
        <v>9</v>
      </c>
      <c r="AR573" s="0" t="n">
        <v>64</v>
      </c>
      <c r="AS573" s="0" t="n">
        <v>32</v>
      </c>
      <c r="AU573" s="0" t="n">
        <f aca="false">COUNTA($BA$2202:$EH$2202)</f>
        <v>5</v>
      </c>
      <c r="AV573" s="0" t="n">
        <f aca="false">COUNTIF($BA$2202:$EH$2202,"D")</f>
        <v>0</v>
      </c>
      <c r="AW573" s="0" t="n">
        <f aca="false">COUNTIF($BA$2202:$EH$2202,"R")</f>
        <v>0</v>
      </c>
      <c r="AX573" s="0" t="n">
        <f aca="false"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>9</v>
      </c>
      <c r="AY573" s="0" t="n">
        <f aca="false">COUNTIF(DU573:EH573, "&lt;&gt;")</f>
        <v>7</v>
      </c>
      <c r="AZ573" s="0" t="n">
        <f aca="false">IF(EH573&lt;&gt;"",1,0)</f>
        <v>1</v>
      </c>
      <c r="BB573" s="0" t="s">
        <v>153</v>
      </c>
      <c r="BC573" s="0" t="s">
        <v>155</v>
      </c>
      <c r="BD573" s="0" t="s">
        <v>154</v>
      </c>
      <c r="BF573" s="0" t="s">
        <v>154</v>
      </c>
      <c r="BG573" s="0" t="s">
        <v>155</v>
      </c>
      <c r="BH573" s="0" t="s">
        <v>154</v>
      </c>
      <c r="BK573" s="0" t="s">
        <v>155</v>
      </c>
      <c r="BL573" s="0" t="s">
        <v>154</v>
      </c>
      <c r="BP573" s="0" t="s">
        <v>154</v>
      </c>
      <c r="BS573" s="0" t="s">
        <v>154</v>
      </c>
      <c r="BV573" s="0" t="s">
        <v>154</v>
      </c>
      <c r="BY573" s="0" t="s">
        <v>155</v>
      </c>
      <c r="CA573" s="0" t="s">
        <v>154</v>
      </c>
      <c r="CC573" s="0" t="s">
        <v>155</v>
      </c>
      <c r="CG573" s="0" t="s">
        <v>154</v>
      </c>
      <c r="CH573" s="0" t="s">
        <v>155</v>
      </c>
      <c r="CK573" s="0" t="s">
        <v>154</v>
      </c>
      <c r="CL573" s="0" t="s">
        <v>155</v>
      </c>
      <c r="CN573" s="0" t="s">
        <v>154</v>
      </c>
      <c r="CO573" s="0" t="s">
        <v>155</v>
      </c>
      <c r="CP573" s="0" t="s">
        <v>154</v>
      </c>
      <c r="CQ573" s="0" t="s">
        <v>155</v>
      </c>
      <c r="CT573" s="0" t="s">
        <v>154</v>
      </c>
      <c r="CU573" s="0" t="s">
        <v>155</v>
      </c>
      <c r="CV573" s="0" t="s">
        <v>154</v>
      </c>
      <c r="CW573" s="0" t="s">
        <v>155</v>
      </c>
      <c r="CY573" s="0" t="s">
        <v>154</v>
      </c>
      <c r="CZ573" s="0" t="s">
        <v>155</v>
      </c>
      <c r="DC573" s="0" t="s">
        <v>154</v>
      </c>
      <c r="DD573" s="0" t="s">
        <v>155</v>
      </c>
      <c r="DF573" s="0" t="s">
        <v>154</v>
      </c>
      <c r="DG573" s="0" t="s">
        <v>155</v>
      </c>
      <c r="DI573" s="0" t="s">
        <v>154</v>
      </c>
      <c r="DJ573" s="0" t="s">
        <v>155</v>
      </c>
      <c r="DL573" s="0" t="s">
        <v>154</v>
      </c>
      <c r="DM573" s="0" t="s">
        <v>155</v>
      </c>
      <c r="DN573" s="0" t="s">
        <v>154</v>
      </c>
      <c r="DO573" s="0" t="s">
        <v>155</v>
      </c>
      <c r="DR573" s="0" t="s">
        <v>154</v>
      </c>
      <c r="DS573" s="0" t="s">
        <v>155</v>
      </c>
      <c r="DT573" s="0" t="s">
        <v>155</v>
      </c>
      <c r="DU573" s="0" t="s">
        <v>154</v>
      </c>
      <c r="DW573" s="0" t="s">
        <v>155</v>
      </c>
      <c r="DX573" s="0" t="s">
        <v>154</v>
      </c>
      <c r="EA573" s="0" t="s">
        <v>154</v>
      </c>
      <c r="ED573" s="0" t="s">
        <v>155</v>
      </c>
      <c r="EF573" s="0" t="s">
        <v>154</v>
      </c>
      <c r="EH573" s="0" t="s">
        <v>155</v>
      </c>
    </row>
    <row r="574" customFormat="false" ht="13.8" hidden="true" customHeight="false" outlineLevel="0" collapsed="false">
      <c r="A574" s="0" t="s">
        <v>3015</v>
      </c>
      <c r="B574" s="0" t="n">
        <v>78</v>
      </c>
      <c r="C574" s="0" t="n">
        <v>388497</v>
      </c>
      <c r="D574" s="0" t="s">
        <v>913</v>
      </c>
      <c r="E574" s="0" t="s">
        <v>444</v>
      </c>
      <c r="F574" s="0" t="str">
        <f aca="false">CONCATENATE(D574," ",LEFT(H574,4),"T=",AU574,"D=",AV574,"R=",AW574,"M=",AX574,"L=",AY574,"B=",AZ574)</f>
        <v>FRYER T=3D=0R=0M=0L=0B=0</v>
      </c>
      <c r="G574" s="0" t="s">
        <v>297</v>
      </c>
      <c r="I574" s="0" t="s">
        <v>3016</v>
      </c>
      <c r="J574" s="0" t="s">
        <v>3017</v>
      </c>
      <c r="K574" s="0" t="s">
        <v>175</v>
      </c>
      <c r="L574" s="0"/>
      <c r="M574" s="0" t="s">
        <v>3018</v>
      </c>
      <c r="N574" s="0" t="str">
        <f aca="false">RIGHT(M574,LEN(M574)-FIND(" ",M574))</f>
        <v>COMSTOCK ST NE</v>
      </c>
      <c r="P574" s="0" t="s">
        <v>146</v>
      </c>
      <c r="Q574" s="0" t="s">
        <v>147</v>
      </c>
      <c r="R574" s="0" t="n">
        <v>44483</v>
      </c>
      <c r="AD574" s="0" t="s">
        <v>148</v>
      </c>
      <c r="AE574" s="0" t="s">
        <v>149</v>
      </c>
      <c r="AF574" s="0" t="s">
        <v>150</v>
      </c>
      <c r="AH574" s="0" t="n">
        <v>14</v>
      </c>
      <c r="AI574" s="0" t="n">
        <v>11</v>
      </c>
      <c r="AN574" s="0" t="s">
        <v>146</v>
      </c>
      <c r="AO574" s="0" t="s">
        <v>250</v>
      </c>
      <c r="AP574" s="0" t="s">
        <v>251</v>
      </c>
      <c r="AQ574" s="0" t="n">
        <v>9</v>
      </c>
      <c r="AR574" s="0" t="n">
        <v>64</v>
      </c>
      <c r="AS574" s="0" t="n">
        <v>32</v>
      </c>
      <c r="AU574" s="0" t="n">
        <f aca="false">COUNTA($BA$2067:$EH$2067)</f>
        <v>3</v>
      </c>
      <c r="AV574" s="0" t="n">
        <f aca="false">COUNTIF($BA$2067:$EH$2067,"D")</f>
        <v>0</v>
      </c>
      <c r="AW574" s="0" t="n">
        <f aca="false">COUNTIF($BA$2067:$EH$2067,"R")</f>
        <v>0</v>
      </c>
      <c r="AX574" s="0" t="n">
        <f aca="false"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>0</v>
      </c>
      <c r="AY574" s="0" t="n">
        <f aca="false">COUNTIF(DU574:EH574, "&lt;&gt;")</f>
        <v>0</v>
      </c>
      <c r="AZ574" s="0" t="n">
        <f aca="false">IF(EH574&lt;&gt;"",1,0)</f>
        <v>0</v>
      </c>
      <c r="BB574" s="0" t="s">
        <v>153</v>
      </c>
    </row>
    <row r="575" customFormat="false" ht="13.8" hidden="true" customHeight="false" outlineLevel="0" collapsed="false">
      <c r="A575" s="0" t="s">
        <v>3019</v>
      </c>
      <c r="B575" s="0" t="n">
        <v>78</v>
      </c>
      <c r="C575" s="0" t="n">
        <v>413332</v>
      </c>
      <c r="D575" s="0" t="s">
        <v>3020</v>
      </c>
      <c r="E575" s="0" t="s">
        <v>296</v>
      </c>
      <c r="F575" s="0" t="str">
        <f aca="false">CONCATENATE(D575," ",LEFT(H575,4),"T=",AU575,"D=",AV575,"R=",AW575,"M=",AX575,"L=",AY575,"B=",AZ575)</f>
        <v>BLINCO T=9D=1R=2M=0L=0B=0</v>
      </c>
      <c r="G575" s="0" t="s">
        <v>297</v>
      </c>
      <c r="I575" s="0" t="s">
        <v>3021</v>
      </c>
      <c r="J575" s="0" t="s">
        <v>2861</v>
      </c>
      <c r="K575" s="0" t="s">
        <v>175</v>
      </c>
      <c r="L575" s="0"/>
      <c r="M575" s="0" t="s">
        <v>3018</v>
      </c>
      <c r="N575" s="0" t="str">
        <f aca="false">RIGHT(M575,LEN(M575)-FIND(" ",M575))</f>
        <v>COMSTOCK ST NE</v>
      </c>
      <c r="P575" s="0" t="s">
        <v>146</v>
      </c>
      <c r="Q575" s="0" t="s">
        <v>147</v>
      </c>
      <c r="R575" s="0" t="n">
        <v>44483</v>
      </c>
      <c r="AD575" s="0" t="s">
        <v>148</v>
      </c>
      <c r="AE575" s="0" t="s">
        <v>149</v>
      </c>
      <c r="AF575" s="0" t="s">
        <v>150</v>
      </c>
      <c r="AH575" s="0" t="n">
        <v>14</v>
      </c>
      <c r="AI575" s="0" t="n">
        <v>11</v>
      </c>
      <c r="AN575" s="0" t="s">
        <v>146</v>
      </c>
      <c r="AO575" s="0" t="s">
        <v>250</v>
      </c>
      <c r="AP575" s="0" t="s">
        <v>251</v>
      </c>
      <c r="AQ575" s="0" t="n">
        <v>9</v>
      </c>
      <c r="AR575" s="0" t="n">
        <v>64</v>
      </c>
      <c r="AS575" s="0" t="n">
        <v>32</v>
      </c>
      <c r="AU575" s="0" t="n">
        <f aca="false">COUNTA($BA$2074:$EH$2074)</f>
        <v>9</v>
      </c>
      <c r="AV575" s="0" t="n">
        <f aca="false">COUNTIF($BA$2074:$EH$2074,"D")</f>
        <v>1</v>
      </c>
      <c r="AW575" s="0" t="n">
        <f aca="false">COUNTIF($BA$2074:$EH$2074,"R")</f>
        <v>2</v>
      </c>
      <c r="AX575" s="0" t="n">
        <f aca="false"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>0</v>
      </c>
      <c r="AY575" s="0" t="n">
        <f aca="false">COUNTIF(DU575:EH575, "&lt;&gt;")</f>
        <v>0</v>
      </c>
      <c r="AZ575" s="0" t="n">
        <f aca="false">IF(EH575&lt;&gt;"",1,0)</f>
        <v>0</v>
      </c>
      <c r="BB575" s="0" t="s">
        <v>153</v>
      </c>
    </row>
    <row r="576" customFormat="false" ht="13.8" hidden="false" customHeight="false" outlineLevel="0" collapsed="false">
      <c r="A576" s="0" t="s">
        <v>3022</v>
      </c>
      <c r="B576" s="0" t="n">
        <v>78</v>
      </c>
      <c r="C576" s="0" t="n">
        <v>6139</v>
      </c>
      <c r="D576" s="0" t="s">
        <v>3023</v>
      </c>
      <c r="E576" s="0" t="s">
        <v>3024</v>
      </c>
      <c r="F576" s="0" t="str">
        <f aca="false">CONCATENATE(D576," ",LEFT(H576,4),"T=",AU576,"D=",AV576,"R=",AW576,"M=",AX576,"L=",AY576,"B=",AZ576)</f>
        <v>CORE T=1D=0R=0M=2L=2B=0</v>
      </c>
      <c r="I576" s="0" t="s">
        <v>3025</v>
      </c>
      <c r="J576" s="0" t="s">
        <v>3026</v>
      </c>
      <c r="K576" s="0" t="s">
        <v>175</v>
      </c>
      <c r="M576" s="0" t="s">
        <v>3027</v>
      </c>
      <c r="N576" s="0" t="str">
        <f aca="false">RIGHT(M576,LEN(M576)-FIND(" ",M576))</f>
        <v>COMSTOCK ST NE</v>
      </c>
      <c r="P576" s="0" t="s">
        <v>146</v>
      </c>
      <c r="Q576" s="0" t="s">
        <v>147</v>
      </c>
      <c r="R576" s="0" t="n">
        <v>44483</v>
      </c>
      <c r="AD576" s="0" t="s">
        <v>148</v>
      </c>
      <c r="AE576" s="0" t="s">
        <v>149</v>
      </c>
      <c r="AF576" s="0" t="s">
        <v>150</v>
      </c>
      <c r="AH576" s="0" t="n">
        <v>14</v>
      </c>
      <c r="AI576" s="0" t="n">
        <v>11</v>
      </c>
      <c r="AN576" s="0" t="s">
        <v>146</v>
      </c>
      <c r="AO576" s="0" t="s">
        <v>250</v>
      </c>
      <c r="AP576" s="0" t="s">
        <v>251</v>
      </c>
      <c r="AQ576" s="0" t="n">
        <v>9</v>
      </c>
      <c r="AR576" s="0" t="n">
        <v>64</v>
      </c>
      <c r="AS576" s="0" t="n">
        <v>32</v>
      </c>
      <c r="AU576" s="0" t="n">
        <f aca="false">COUNTA($BA$2166:$EH$2166)</f>
        <v>1</v>
      </c>
      <c r="AV576" s="0" t="n">
        <f aca="false">COUNTIF($BA$2166:$EH$2166,"D")</f>
        <v>0</v>
      </c>
      <c r="AW576" s="0" t="n">
        <f aca="false">COUNTIF($BA$2166:$EH$2166,"R")</f>
        <v>0</v>
      </c>
      <c r="AX576" s="0" t="n">
        <f aca="false"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>2</v>
      </c>
      <c r="AY576" s="0" t="n">
        <f aca="false">COUNTIF(DU576:EH576, "&lt;&gt;")</f>
        <v>2</v>
      </c>
      <c r="AZ576" s="0" t="n">
        <f aca="false">IF(EH576&lt;&gt;"",1,0)</f>
        <v>0</v>
      </c>
      <c r="BB576" s="0" t="s">
        <v>153</v>
      </c>
      <c r="BC576" s="0" t="s">
        <v>154</v>
      </c>
      <c r="BD576" s="0" t="s">
        <v>154</v>
      </c>
      <c r="BG576" s="0" t="s">
        <v>154</v>
      </c>
      <c r="BH576" s="0" t="s">
        <v>154</v>
      </c>
      <c r="BI576" s="0" t="s">
        <v>154</v>
      </c>
      <c r="BJ576" s="0" t="s">
        <v>154</v>
      </c>
      <c r="BK576" s="0" t="s">
        <v>154</v>
      </c>
      <c r="BL576" s="0" t="s">
        <v>154</v>
      </c>
      <c r="BP576" s="0" t="s">
        <v>154</v>
      </c>
      <c r="BS576" s="0" t="s">
        <v>154</v>
      </c>
      <c r="BY576" s="0" t="s">
        <v>155</v>
      </c>
      <c r="CA576" s="0" t="s">
        <v>154</v>
      </c>
      <c r="CG576" s="0" t="s">
        <v>154</v>
      </c>
      <c r="CK576" s="0" t="s">
        <v>154</v>
      </c>
      <c r="CN576" s="0" t="s">
        <v>154</v>
      </c>
      <c r="CP576" s="0" t="s">
        <v>154</v>
      </c>
      <c r="CV576" s="0" t="s">
        <v>154</v>
      </c>
      <c r="CW576" s="0" t="s">
        <v>155</v>
      </c>
      <c r="CY576" s="0" t="s">
        <v>154</v>
      </c>
      <c r="CZ576" s="0" t="s">
        <v>155</v>
      </c>
      <c r="DC576" s="0" t="s">
        <v>154</v>
      </c>
      <c r="DD576" s="0" t="s">
        <v>155</v>
      </c>
      <c r="DF576" s="0" t="s">
        <v>154</v>
      </c>
      <c r="DG576" s="0" t="s">
        <v>155</v>
      </c>
      <c r="DI576" s="0" t="s">
        <v>154</v>
      </c>
      <c r="DL576" s="0" t="s">
        <v>154</v>
      </c>
      <c r="DN576" s="0" t="s">
        <v>154</v>
      </c>
      <c r="DR576" s="0" t="s">
        <v>154</v>
      </c>
      <c r="DU576" s="0" t="s">
        <v>154</v>
      </c>
      <c r="EF576" s="0" t="s">
        <v>154</v>
      </c>
    </row>
    <row r="577" customFormat="false" ht="13.8" hidden="false" customHeight="false" outlineLevel="0" collapsed="false">
      <c r="A577" s="0" t="s">
        <v>3028</v>
      </c>
      <c r="B577" s="0" t="n">
        <v>78</v>
      </c>
      <c r="C577" s="0" t="n">
        <v>322693</v>
      </c>
      <c r="D577" s="0" t="s">
        <v>3023</v>
      </c>
      <c r="E577" s="0" t="s">
        <v>430</v>
      </c>
      <c r="F577" s="0" t="str">
        <f aca="false">CONCATENATE(D577," ",LEFT(H577,4),"T=",AU577,"D=",AV577,"R=",AW577,"M=",AX577,"L=",AY577,"B=",AZ577)</f>
        <v>CORE T=26D=3R=0M=4L=2B=0</v>
      </c>
      <c r="G577" s="0" t="s">
        <v>188</v>
      </c>
      <c r="I577" s="0" t="s">
        <v>3029</v>
      </c>
      <c r="J577" s="0" t="s">
        <v>3030</v>
      </c>
      <c r="K577" s="0" t="s">
        <v>175</v>
      </c>
      <c r="L577" s="1" t="s">
        <v>155</v>
      </c>
      <c r="M577" s="0" t="s">
        <v>3027</v>
      </c>
      <c r="N577" s="0" t="str">
        <f aca="false">RIGHT(M577,LEN(M577)-FIND(" ",M577))</f>
        <v>COMSTOCK ST NE</v>
      </c>
      <c r="P577" s="0" t="s">
        <v>146</v>
      </c>
      <c r="Q577" s="0" t="s">
        <v>147</v>
      </c>
      <c r="R577" s="0" t="n">
        <v>44483</v>
      </c>
      <c r="AD577" s="0" t="s">
        <v>148</v>
      </c>
      <c r="AE577" s="0" t="s">
        <v>149</v>
      </c>
      <c r="AF577" s="0" t="s">
        <v>150</v>
      </c>
      <c r="AH577" s="0" t="n">
        <v>14</v>
      </c>
      <c r="AI577" s="0" t="n">
        <v>11</v>
      </c>
      <c r="AN577" s="0" t="s">
        <v>146</v>
      </c>
      <c r="AO577" s="0" t="s">
        <v>250</v>
      </c>
      <c r="AP577" s="0" t="s">
        <v>251</v>
      </c>
      <c r="AQ577" s="0" t="n">
        <v>9</v>
      </c>
      <c r="AR577" s="0" t="n">
        <v>64</v>
      </c>
      <c r="AS577" s="0" t="n">
        <v>32</v>
      </c>
      <c r="AU577" s="0" t="n">
        <f aca="false">COUNTA($BA$2728:$EH$2728)</f>
        <v>26</v>
      </c>
      <c r="AV577" s="0" t="n">
        <f aca="false">COUNTIF($BA$2728:$EH$2728,"D")</f>
        <v>3</v>
      </c>
      <c r="AW577" s="0" t="n">
        <f aca="false">COUNTIF($BA$2728:$EH$2728,"R")</f>
        <v>0</v>
      </c>
      <c r="AX577" s="0" t="n">
        <f aca="false"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>4</v>
      </c>
      <c r="AY577" s="0" t="n">
        <f aca="false">COUNTIF(DU577:EH577, "&lt;&gt;")</f>
        <v>2</v>
      </c>
      <c r="AZ577" s="0" t="n">
        <f aca="false">IF(EH577&lt;&gt;"",1,0)</f>
        <v>0</v>
      </c>
      <c r="BB577" s="0" t="s">
        <v>153</v>
      </c>
      <c r="BL577" s="0" t="s">
        <v>154</v>
      </c>
      <c r="BP577" s="0" t="s">
        <v>154</v>
      </c>
      <c r="BS577" s="0" t="s">
        <v>154</v>
      </c>
      <c r="BY577" s="0" t="s">
        <v>155</v>
      </c>
      <c r="CA577" s="0" t="s">
        <v>154</v>
      </c>
      <c r="CG577" s="0" t="s">
        <v>154</v>
      </c>
      <c r="CK577" s="0" t="s">
        <v>154</v>
      </c>
      <c r="CL577" s="0" t="s">
        <v>155</v>
      </c>
      <c r="CN577" s="0" t="s">
        <v>154</v>
      </c>
      <c r="CP577" s="0" t="s">
        <v>154</v>
      </c>
      <c r="CV577" s="0" t="s">
        <v>154</v>
      </c>
      <c r="CW577" s="0" t="s">
        <v>155</v>
      </c>
      <c r="CY577" s="0" t="s">
        <v>154</v>
      </c>
      <c r="CZ577" s="0" t="s">
        <v>155</v>
      </c>
      <c r="DC577" s="0" t="s">
        <v>154</v>
      </c>
      <c r="DD577" s="0" t="s">
        <v>155</v>
      </c>
      <c r="DF577" s="0" t="s">
        <v>154</v>
      </c>
      <c r="DG577" s="0" t="s">
        <v>155</v>
      </c>
      <c r="DI577" s="0" t="s">
        <v>154</v>
      </c>
      <c r="DL577" s="0" t="s">
        <v>154</v>
      </c>
      <c r="DN577" s="0" t="s">
        <v>154</v>
      </c>
      <c r="DR577" s="0" t="s">
        <v>154</v>
      </c>
      <c r="DU577" s="0" t="s">
        <v>154</v>
      </c>
      <c r="DW577" s="0" t="s">
        <v>155</v>
      </c>
    </row>
    <row r="578" customFormat="false" ht="13.8" hidden="true" customHeight="false" outlineLevel="0" collapsed="false">
      <c r="A578" s="0" t="s">
        <v>3031</v>
      </c>
      <c r="B578" s="0" t="n">
        <v>78</v>
      </c>
      <c r="C578" s="0" t="n">
        <v>302970</v>
      </c>
      <c r="D578" s="0" t="s">
        <v>3032</v>
      </c>
      <c r="E578" s="0" t="s">
        <v>240</v>
      </c>
      <c r="F578" s="0" t="str">
        <f aca="false">CONCATENATE(D578," ",LEFT(H578,4),"T=",AU578,"D=",AV578,"R=",AW578,"M=",AX578,"L=",AY578,"B=",AZ578)</f>
        <v>RUSSELL T=15D=0R=4M=0L=0B=0</v>
      </c>
      <c r="I578" s="0" t="s">
        <v>3033</v>
      </c>
      <c r="J578" s="0" t="s">
        <v>1251</v>
      </c>
      <c r="K578" s="0" t="s">
        <v>144</v>
      </c>
      <c r="L578" s="0"/>
      <c r="M578" s="0" t="s">
        <v>3034</v>
      </c>
      <c r="N578" s="0" t="str">
        <f aca="false">RIGHT(M578,LEN(M578)-FIND(" ",M578))</f>
        <v>COMSTOCK ST NE</v>
      </c>
      <c r="P578" s="0" t="s">
        <v>146</v>
      </c>
      <c r="Q578" s="0" t="s">
        <v>147</v>
      </c>
      <c r="R578" s="0" t="n">
        <v>44483</v>
      </c>
      <c r="AD578" s="0" t="s">
        <v>148</v>
      </c>
      <c r="AE578" s="0" t="s">
        <v>149</v>
      </c>
      <c r="AF578" s="0" t="s">
        <v>150</v>
      </c>
      <c r="AH578" s="0" t="n">
        <v>14</v>
      </c>
      <c r="AI578" s="0" t="n">
        <v>11</v>
      </c>
      <c r="AN578" s="0" t="s">
        <v>146</v>
      </c>
      <c r="AO578" s="0" t="s">
        <v>250</v>
      </c>
      <c r="AP578" s="0" t="s">
        <v>251</v>
      </c>
      <c r="AQ578" s="0" t="n">
        <v>9</v>
      </c>
      <c r="AR578" s="0" t="n">
        <v>64</v>
      </c>
      <c r="AS578" s="0" t="n">
        <v>32</v>
      </c>
      <c r="AU578" s="0" t="n">
        <f aca="false">COUNTA($BA$2100:$EH$2100)</f>
        <v>15</v>
      </c>
      <c r="AV578" s="0" t="n">
        <f aca="false">COUNTIF($BA$2100:$EH$2100,"D")</f>
        <v>0</v>
      </c>
      <c r="AW578" s="0" t="n">
        <f aca="false">COUNTIF($BA$2100:$EH$2100,"R")</f>
        <v>4</v>
      </c>
      <c r="AX578" s="0" t="n">
        <f aca="false"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>0</v>
      </c>
      <c r="AY578" s="0" t="n">
        <f aca="false">COUNTIF(DU578:EH578, "&lt;&gt;")</f>
        <v>0</v>
      </c>
      <c r="AZ578" s="0" t="n">
        <f aca="false">IF(EH578&lt;&gt;"",1,0)</f>
        <v>0</v>
      </c>
      <c r="BB578" s="0" t="s">
        <v>153</v>
      </c>
      <c r="BL578" s="0" t="s">
        <v>154</v>
      </c>
      <c r="BY578" s="0" t="s">
        <v>155</v>
      </c>
      <c r="CA578" s="0" t="s">
        <v>154</v>
      </c>
      <c r="CP578" s="0" t="s">
        <v>154</v>
      </c>
      <c r="DN578" s="0" t="s">
        <v>154</v>
      </c>
    </row>
    <row r="579" customFormat="false" ht="13.8" hidden="false" customHeight="false" outlineLevel="0" collapsed="false">
      <c r="A579" s="0" t="s">
        <v>3035</v>
      </c>
      <c r="B579" s="0" t="n">
        <v>78</v>
      </c>
      <c r="C579" s="0" t="n">
        <v>287243</v>
      </c>
      <c r="D579" s="0" t="s">
        <v>309</v>
      </c>
      <c r="E579" s="0" t="s">
        <v>2367</v>
      </c>
      <c r="F579" s="0" t="str">
        <f aca="false">CONCATENATE(D579," ",LEFT(H579,4),"T=",AU579,"D=",AV579,"R=",AW579,"M=",AX579,"L=",AY579,"B=",AZ579)</f>
        <v>BROWN JRT=1D=0R=0M=0L=3B=0</v>
      </c>
      <c r="G579" s="0" t="s">
        <v>2033</v>
      </c>
      <c r="H579" s="0" t="s">
        <v>431</v>
      </c>
      <c r="I579" s="0" t="s">
        <v>3036</v>
      </c>
      <c r="J579" s="0" t="s">
        <v>3037</v>
      </c>
      <c r="K579" s="0" t="s">
        <v>175</v>
      </c>
      <c r="M579" s="0" t="s">
        <v>3034</v>
      </c>
      <c r="N579" s="0" t="str">
        <f aca="false">RIGHT(M579,LEN(M579)-FIND(" ",M579))</f>
        <v>COMSTOCK ST NE</v>
      </c>
      <c r="P579" s="0" t="s">
        <v>146</v>
      </c>
      <c r="Q579" s="0" t="s">
        <v>147</v>
      </c>
      <c r="R579" s="0" t="n">
        <v>44483</v>
      </c>
      <c r="AD579" s="0" t="s">
        <v>148</v>
      </c>
      <c r="AE579" s="0" t="s">
        <v>149</v>
      </c>
      <c r="AF579" s="0" t="s">
        <v>150</v>
      </c>
      <c r="AH579" s="0" t="n">
        <v>14</v>
      </c>
      <c r="AI579" s="0" t="n">
        <v>11</v>
      </c>
      <c r="AN579" s="0" t="s">
        <v>146</v>
      </c>
      <c r="AO579" s="0" t="s">
        <v>250</v>
      </c>
      <c r="AP579" s="0" t="s">
        <v>251</v>
      </c>
      <c r="AQ579" s="0" t="n">
        <v>9</v>
      </c>
      <c r="AR579" s="0" t="n">
        <v>64</v>
      </c>
      <c r="AS579" s="0" t="n">
        <v>32</v>
      </c>
      <c r="AU579" s="0" t="n">
        <f aca="false">COUNTA($BA$2175:$EH$2175)</f>
        <v>1</v>
      </c>
      <c r="AV579" s="0" t="n">
        <f aca="false">COUNTIF($BA$2175:$EH$2175,"D")</f>
        <v>0</v>
      </c>
      <c r="AW579" s="0" t="n">
        <f aca="false">COUNTIF($BA$2175:$EH$2175,"R")</f>
        <v>0</v>
      </c>
      <c r="AX579" s="0" t="n">
        <f aca="false"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>0</v>
      </c>
      <c r="AY579" s="0" t="n">
        <f aca="false">COUNTIF(DU579:EH579, "&lt;&gt;")</f>
        <v>3</v>
      </c>
      <c r="AZ579" s="0" t="n">
        <f aca="false">IF(EH579&lt;&gt;"",1,0)</f>
        <v>0</v>
      </c>
      <c r="BB579" s="0" t="s">
        <v>153</v>
      </c>
      <c r="DF579" s="0" t="s">
        <v>154</v>
      </c>
      <c r="DI579" s="0" t="s">
        <v>154</v>
      </c>
      <c r="DL579" s="0" t="s">
        <v>154</v>
      </c>
      <c r="DN579" s="0" t="s">
        <v>154</v>
      </c>
      <c r="DU579" s="0" t="s">
        <v>154</v>
      </c>
      <c r="DX579" s="0" t="s">
        <v>154</v>
      </c>
      <c r="EF579" s="0" t="s">
        <v>154</v>
      </c>
    </row>
    <row r="580" customFormat="false" ht="13.8" hidden="true" customHeight="false" outlineLevel="0" collapsed="false">
      <c r="A580" s="0" t="s">
        <v>3038</v>
      </c>
      <c r="B580" s="0" t="n">
        <v>78</v>
      </c>
      <c r="C580" s="0" t="n">
        <v>445279</v>
      </c>
      <c r="D580" s="0" t="s">
        <v>1050</v>
      </c>
      <c r="E580" s="0" t="s">
        <v>3039</v>
      </c>
      <c r="F580" s="0" t="str">
        <f aca="false">CONCATENATE(D580," ",LEFT(H580,4),"T=",AU580,"D=",AV580,"R=",AW580,"M=",AX580,"L=",AY580,"B=",AZ580)</f>
        <v>JOHNSON T=1D=0R=0M=1L=0B=0</v>
      </c>
      <c r="G580" s="0" t="s">
        <v>761</v>
      </c>
      <c r="I580" s="0" t="s">
        <v>3040</v>
      </c>
      <c r="J580" s="0" t="s">
        <v>3041</v>
      </c>
      <c r="K580" s="0" t="s">
        <v>144</v>
      </c>
      <c r="L580" s="0"/>
      <c r="M580" s="0" t="s">
        <v>3042</v>
      </c>
      <c r="N580" s="0" t="str">
        <f aca="false">RIGHT(M580,LEN(M580)-FIND(" ",M580))</f>
        <v>COMSTOCK ST NE</v>
      </c>
      <c r="P580" s="0" t="s">
        <v>146</v>
      </c>
      <c r="Q580" s="0" t="s">
        <v>147</v>
      </c>
      <c r="R580" s="0" t="n">
        <v>44483</v>
      </c>
      <c r="AD580" s="0" t="s">
        <v>148</v>
      </c>
      <c r="AE580" s="0" t="s">
        <v>149</v>
      </c>
      <c r="AF580" s="0" t="s">
        <v>150</v>
      </c>
      <c r="AH580" s="0" t="n">
        <v>14</v>
      </c>
      <c r="AI580" s="0" t="n">
        <v>11</v>
      </c>
      <c r="AN580" s="0" t="s">
        <v>146</v>
      </c>
      <c r="AO580" s="0" t="s">
        <v>250</v>
      </c>
      <c r="AP580" s="0" t="s">
        <v>251</v>
      </c>
      <c r="AQ580" s="0" t="n">
        <v>9</v>
      </c>
      <c r="AR580" s="0" t="n">
        <v>64</v>
      </c>
      <c r="AS580" s="0" t="n">
        <v>32</v>
      </c>
      <c r="AU580" s="0" t="n">
        <f aca="false">COUNTA($BA$2142:$EH$2142)</f>
        <v>1</v>
      </c>
      <c r="AV580" s="0" t="n">
        <f aca="false">COUNTIF($BA$2142:$EH$2142,"D")</f>
        <v>0</v>
      </c>
      <c r="AW580" s="0" t="n">
        <f aca="false">COUNTIF($BA$2142:$EH$2142,"R")</f>
        <v>0</v>
      </c>
      <c r="AX580" s="0" t="n">
        <f aca="false"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>1</v>
      </c>
      <c r="AY580" s="0" t="n">
        <f aca="false">COUNTIF(DU580:EH580, "&lt;&gt;")</f>
        <v>0</v>
      </c>
      <c r="AZ580" s="0" t="n">
        <f aca="false">IF(EH580&lt;&gt;"",1,0)</f>
        <v>0</v>
      </c>
      <c r="BB580" s="0" t="s">
        <v>153</v>
      </c>
      <c r="CK580" s="0" t="s">
        <v>154</v>
      </c>
      <c r="CL580" s="0" t="s">
        <v>155</v>
      </c>
      <c r="CP580" s="0" t="s">
        <v>154</v>
      </c>
      <c r="DC580" s="0" t="s">
        <v>154</v>
      </c>
      <c r="DM580" s="0" t="s">
        <v>155</v>
      </c>
      <c r="DN580" s="0" t="s">
        <v>154</v>
      </c>
    </row>
    <row r="581" customFormat="false" ht="13.8" hidden="false" customHeight="false" outlineLevel="0" collapsed="false">
      <c r="A581" s="0" t="s">
        <v>3043</v>
      </c>
      <c r="B581" s="0" t="n">
        <v>78</v>
      </c>
      <c r="C581" s="0" t="n">
        <v>165955</v>
      </c>
      <c r="D581" s="0" t="s">
        <v>1582</v>
      </c>
      <c r="E581" s="0" t="s">
        <v>3044</v>
      </c>
      <c r="F581" s="0" t="str">
        <f aca="false">CONCATENATE(D581," ",LEFT(H581,4),"T=",AU581,"D=",AV581,"R=",AW581,"M=",AX581,"L=",AY581,"B=",AZ581)</f>
        <v>SMITH T=41D=12R=0M=6L=6B=1</v>
      </c>
      <c r="G581" s="0" t="s">
        <v>1180</v>
      </c>
      <c r="I581" s="0" t="s">
        <v>2940</v>
      </c>
      <c r="J581" s="0" t="s">
        <v>1470</v>
      </c>
      <c r="K581" s="0" t="s">
        <v>175</v>
      </c>
      <c r="L581" s="1" t="s">
        <v>155</v>
      </c>
      <c r="M581" s="0" t="s">
        <v>3042</v>
      </c>
      <c r="N581" s="0" t="str">
        <f aca="false">RIGHT(M581,LEN(M581)-FIND(" ",M581))</f>
        <v>COMSTOCK ST NE</v>
      </c>
      <c r="P581" s="0" t="s">
        <v>146</v>
      </c>
      <c r="Q581" s="0" t="s">
        <v>147</v>
      </c>
      <c r="R581" s="0" t="n">
        <v>44483</v>
      </c>
      <c r="AD581" s="0" t="s">
        <v>148</v>
      </c>
      <c r="AE581" s="0" t="s">
        <v>149</v>
      </c>
      <c r="AF581" s="0" t="s">
        <v>150</v>
      </c>
      <c r="AH581" s="0" t="n">
        <v>14</v>
      </c>
      <c r="AI581" s="0" t="n">
        <v>11</v>
      </c>
      <c r="AN581" s="0" t="s">
        <v>146</v>
      </c>
      <c r="AO581" s="0" t="s">
        <v>250</v>
      </c>
      <c r="AP581" s="0" t="s">
        <v>251</v>
      </c>
      <c r="AQ581" s="0" t="n">
        <v>9</v>
      </c>
      <c r="AR581" s="0" t="n">
        <v>64</v>
      </c>
      <c r="AS581" s="0" t="n">
        <v>32</v>
      </c>
      <c r="AU581" s="0" t="n">
        <f aca="false">COUNTA($BA$2167:$EH$2167)</f>
        <v>41</v>
      </c>
      <c r="AV581" s="0" t="n">
        <f aca="false">COUNTIF($BA$2167:$EH$2167,"D")</f>
        <v>12</v>
      </c>
      <c r="AW581" s="0" t="n">
        <f aca="false">COUNTIF($BA$2167:$EH$2167,"R")</f>
        <v>0</v>
      </c>
      <c r="AX581" s="0" t="n">
        <f aca="false"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>6</v>
      </c>
      <c r="AY581" s="0" t="n">
        <f aca="false">COUNTIF(DU581:EH581, "&lt;&gt;")</f>
        <v>6</v>
      </c>
      <c r="AZ581" s="0" t="n">
        <f aca="false">IF(EH581&lt;&gt;"",1,0)</f>
        <v>1</v>
      </c>
      <c r="BB581" s="0" t="s">
        <v>153</v>
      </c>
      <c r="BC581" s="0" t="s">
        <v>154</v>
      </c>
      <c r="BD581" s="0" t="s">
        <v>154</v>
      </c>
      <c r="BF581" s="0" t="s">
        <v>154</v>
      </c>
      <c r="BH581" s="0" t="s">
        <v>154</v>
      </c>
      <c r="BI581" s="0" t="s">
        <v>154</v>
      </c>
      <c r="BJ581" s="0" t="s">
        <v>154</v>
      </c>
      <c r="BL581" s="0" t="s">
        <v>154</v>
      </c>
      <c r="BP581" s="0" t="s">
        <v>154</v>
      </c>
      <c r="BR581" s="0" t="s">
        <v>154</v>
      </c>
      <c r="BS581" s="0" t="s">
        <v>154</v>
      </c>
      <c r="BV581" s="0" t="s">
        <v>154</v>
      </c>
      <c r="BY581" s="0" t="s">
        <v>155</v>
      </c>
      <c r="CA581" s="0" t="s">
        <v>154</v>
      </c>
      <c r="CC581" s="0" t="s">
        <v>155</v>
      </c>
      <c r="CG581" s="0" t="s">
        <v>154</v>
      </c>
      <c r="CH581" s="0" t="s">
        <v>155</v>
      </c>
      <c r="CK581" s="0" t="s">
        <v>154</v>
      </c>
      <c r="CL581" s="0" t="s">
        <v>155</v>
      </c>
      <c r="CN581" s="0" t="s">
        <v>154</v>
      </c>
      <c r="CO581" s="0" t="s">
        <v>155</v>
      </c>
      <c r="CP581" s="0" t="s">
        <v>154</v>
      </c>
      <c r="CQ581" s="0" t="s">
        <v>155</v>
      </c>
      <c r="CU581" s="0" t="s">
        <v>155</v>
      </c>
      <c r="CV581" s="0" t="s">
        <v>154</v>
      </c>
      <c r="CY581" s="0" t="s">
        <v>154</v>
      </c>
      <c r="CZ581" s="0" t="s">
        <v>155</v>
      </c>
      <c r="DC581" s="0" t="s">
        <v>154</v>
      </c>
      <c r="DF581" s="0" t="s">
        <v>154</v>
      </c>
      <c r="DG581" s="0" t="s">
        <v>155</v>
      </c>
      <c r="DI581" s="0" t="s">
        <v>154</v>
      </c>
      <c r="DJ581" s="0" t="s">
        <v>155</v>
      </c>
      <c r="DL581" s="0" t="s">
        <v>154</v>
      </c>
      <c r="DM581" s="0" t="s">
        <v>155</v>
      </c>
      <c r="DN581" s="0" t="s">
        <v>154</v>
      </c>
      <c r="DO581" s="0" t="s">
        <v>155</v>
      </c>
      <c r="DR581" s="0" t="s">
        <v>154</v>
      </c>
      <c r="DS581" s="0" t="s">
        <v>155</v>
      </c>
      <c r="DU581" s="0" t="s">
        <v>154</v>
      </c>
      <c r="DX581" s="0" t="s">
        <v>154</v>
      </c>
      <c r="EA581" s="0" t="s">
        <v>154</v>
      </c>
      <c r="ED581" s="0" t="s">
        <v>155</v>
      </c>
      <c r="EF581" s="0" t="s">
        <v>154</v>
      </c>
      <c r="EH581" s="0" t="s">
        <v>155</v>
      </c>
    </row>
    <row r="582" customFormat="false" ht="13.8" hidden="false" customHeight="false" outlineLevel="0" collapsed="false">
      <c r="A582" s="0" t="s">
        <v>3045</v>
      </c>
      <c r="B582" s="0" t="n">
        <v>78</v>
      </c>
      <c r="C582" s="0" t="n">
        <v>332938</v>
      </c>
      <c r="D582" s="0" t="s">
        <v>1582</v>
      </c>
      <c r="E582" s="0" t="s">
        <v>3046</v>
      </c>
      <c r="F582" s="0" t="str">
        <f aca="false">CONCATENATE(D582," ",LEFT(H582,4),"T=",AU582,"D=",AV582,"R=",AW582,"M=",AX582,"L=",AY582,"B=",AZ582)</f>
        <v>SMITH T=4D=0R=0M=5L=5B=1</v>
      </c>
      <c r="G582" s="0" t="s">
        <v>155</v>
      </c>
      <c r="I582" s="0" t="s">
        <v>3047</v>
      </c>
      <c r="J582" s="0" t="s">
        <v>3048</v>
      </c>
      <c r="K582" s="0" t="s">
        <v>175</v>
      </c>
      <c r="L582" s="1" t="s">
        <v>155</v>
      </c>
      <c r="M582" s="0" t="s">
        <v>3042</v>
      </c>
      <c r="N582" s="0" t="str">
        <f aca="false">RIGHT(M582,LEN(M582)-FIND(" ",M582))</f>
        <v>COMSTOCK ST NE</v>
      </c>
      <c r="P582" s="0" t="s">
        <v>146</v>
      </c>
      <c r="Q582" s="0" t="s">
        <v>147</v>
      </c>
      <c r="R582" s="0" t="n">
        <v>44483</v>
      </c>
      <c r="AD582" s="0" t="s">
        <v>148</v>
      </c>
      <c r="AE582" s="0" t="s">
        <v>149</v>
      </c>
      <c r="AF582" s="0" t="s">
        <v>150</v>
      </c>
      <c r="AH582" s="0" t="n">
        <v>14</v>
      </c>
      <c r="AI582" s="0" t="n">
        <v>11</v>
      </c>
      <c r="AN582" s="0" t="s">
        <v>146</v>
      </c>
      <c r="AO582" s="0" t="s">
        <v>250</v>
      </c>
      <c r="AP582" s="0" t="s">
        <v>251</v>
      </c>
      <c r="AQ582" s="0" t="n">
        <v>9</v>
      </c>
      <c r="AR582" s="0" t="n">
        <v>64</v>
      </c>
      <c r="AS582" s="0" t="n">
        <v>32</v>
      </c>
      <c r="AU582" s="0" t="n">
        <f aca="false">COUNTA($BA$2241:$EH$2241)</f>
        <v>4</v>
      </c>
      <c r="AV582" s="0" t="n">
        <f aca="false">COUNTIF($BA$2241:$EH$2241,"D")</f>
        <v>0</v>
      </c>
      <c r="AW582" s="0" t="n">
        <f aca="false">COUNTIF($BA$2241:$EH$2241,"R")</f>
        <v>0</v>
      </c>
      <c r="AX582" s="0" t="n">
        <f aca="false"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>5</v>
      </c>
      <c r="AY582" s="0" t="n">
        <f aca="false">COUNTIF(DU582:EH582, "&lt;&gt;")</f>
        <v>5</v>
      </c>
      <c r="AZ582" s="0" t="n">
        <f aca="false">IF(EH582&lt;&gt;"",1,0)</f>
        <v>1</v>
      </c>
      <c r="BB582" s="0" t="s">
        <v>153</v>
      </c>
      <c r="BL582" s="0" t="s">
        <v>154</v>
      </c>
      <c r="BS582" s="0" t="s">
        <v>154</v>
      </c>
      <c r="BY582" s="0" t="s">
        <v>155</v>
      </c>
      <c r="CA582" s="0" t="s">
        <v>154</v>
      </c>
      <c r="CC582" s="0" t="s">
        <v>155</v>
      </c>
      <c r="CG582" s="0" t="s">
        <v>154</v>
      </c>
      <c r="CH582" s="0" t="s">
        <v>155</v>
      </c>
      <c r="CK582" s="0" t="s">
        <v>154</v>
      </c>
      <c r="CL582" s="0" t="s">
        <v>155</v>
      </c>
      <c r="CP582" s="0" t="s">
        <v>154</v>
      </c>
      <c r="CU582" s="0" t="s">
        <v>155</v>
      </c>
      <c r="CV582" s="0" t="s">
        <v>154</v>
      </c>
      <c r="CY582" s="0" t="s">
        <v>154</v>
      </c>
      <c r="CZ582" s="0" t="s">
        <v>155</v>
      </c>
      <c r="DC582" s="0" t="s">
        <v>154</v>
      </c>
      <c r="DF582" s="0" t="s">
        <v>154</v>
      </c>
      <c r="DG582" s="0" t="s">
        <v>155</v>
      </c>
      <c r="DI582" s="0" t="s">
        <v>154</v>
      </c>
      <c r="DJ582" s="0" t="s">
        <v>155</v>
      </c>
      <c r="DL582" s="0" t="s">
        <v>154</v>
      </c>
      <c r="DM582" s="0" t="s">
        <v>155</v>
      </c>
      <c r="DN582" s="0" t="s">
        <v>154</v>
      </c>
      <c r="DO582" s="0" t="s">
        <v>155</v>
      </c>
      <c r="DR582" s="0" t="s">
        <v>154</v>
      </c>
      <c r="DS582" s="0" t="s">
        <v>155</v>
      </c>
      <c r="DX582" s="0" t="s">
        <v>154</v>
      </c>
      <c r="EA582" s="0" t="s">
        <v>154</v>
      </c>
      <c r="ED582" s="0" t="s">
        <v>155</v>
      </c>
      <c r="EF582" s="0" t="s">
        <v>154</v>
      </c>
      <c r="EH582" s="0" t="s">
        <v>155</v>
      </c>
    </row>
    <row r="583" customFormat="false" ht="13.8" hidden="true" customHeight="false" outlineLevel="0" collapsed="false">
      <c r="A583" s="0" t="s">
        <v>3049</v>
      </c>
      <c r="B583" s="0" t="n">
        <v>78</v>
      </c>
      <c r="C583" s="0" t="n">
        <v>355064</v>
      </c>
      <c r="D583" s="0" t="s">
        <v>1050</v>
      </c>
      <c r="E583" s="0" t="s">
        <v>863</v>
      </c>
      <c r="F583" s="0" t="str">
        <f aca="false">CONCATENATE(D583," ",LEFT(H583,4),"T=",AU583,"D=",AV583,"R=",AW583,"M=",AX583,"L=",AY583,"B=",AZ583)</f>
        <v>JOHNSON T=16D=2R=2M=0L=0B=0</v>
      </c>
      <c r="G583" s="0" t="s">
        <v>216</v>
      </c>
      <c r="I583" s="0" t="s">
        <v>3050</v>
      </c>
      <c r="J583" s="0" t="s">
        <v>3051</v>
      </c>
      <c r="K583" s="0" t="s">
        <v>144</v>
      </c>
      <c r="L583" s="0"/>
      <c r="M583" s="0" t="s">
        <v>3042</v>
      </c>
      <c r="N583" s="0" t="str">
        <f aca="false">RIGHT(M583,LEN(M583)-FIND(" ",M583))</f>
        <v>COMSTOCK ST NE</v>
      </c>
      <c r="P583" s="0" t="s">
        <v>146</v>
      </c>
      <c r="Q583" s="0" t="s">
        <v>147</v>
      </c>
      <c r="R583" s="0" t="n">
        <v>44483</v>
      </c>
      <c r="AD583" s="0" t="s">
        <v>148</v>
      </c>
      <c r="AE583" s="0" t="s">
        <v>149</v>
      </c>
      <c r="AF583" s="0" t="s">
        <v>150</v>
      </c>
      <c r="AH583" s="0" t="n">
        <v>14</v>
      </c>
      <c r="AI583" s="0" t="n">
        <v>11</v>
      </c>
      <c r="AN583" s="0" t="s">
        <v>146</v>
      </c>
      <c r="AO583" s="0" t="s">
        <v>250</v>
      </c>
      <c r="AP583" s="0" t="s">
        <v>251</v>
      </c>
      <c r="AQ583" s="0" t="n">
        <v>9</v>
      </c>
      <c r="AR583" s="0" t="n">
        <v>64</v>
      </c>
      <c r="AS583" s="0" t="n">
        <v>32</v>
      </c>
      <c r="AU583" s="0" t="n">
        <f aca="false">COUNTA($BA$2723:$EH$2723)</f>
        <v>16</v>
      </c>
      <c r="AV583" s="0" t="n">
        <f aca="false">COUNTIF($BA$2723:$EH$2723,"D")</f>
        <v>2</v>
      </c>
      <c r="AW583" s="0" t="n">
        <f aca="false">COUNTIF($BA$2723:$EH$2723,"R")</f>
        <v>2</v>
      </c>
      <c r="AX583" s="0" t="n">
        <f aca="false"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>0</v>
      </c>
      <c r="AY583" s="0" t="n">
        <f aca="false">COUNTIF(DU583:EH583, "&lt;&gt;")</f>
        <v>0</v>
      </c>
      <c r="AZ583" s="0" t="n">
        <f aca="false">IF(EH583&lt;&gt;"",1,0)</f>
        <v>0</v>
      </c>
      <c r="BB583" s="0" t="s">
        <v>153</v>
      </c>
      <c r="BY583" s="0" t="s">
        <v>155</v>
      </c>
      <c r="CA583" s="0" t="s">
        <v>154</v>
      </c>
      <c r="CK583" s="0" t="s">
        <v>154</v>
      </c>
      <c r="CP583" s="0" t="s">
        <v>154</v>
      </c>
      <c r="CY583" s="0" t="s">
        <v>154</v>
      </c>
      <c r="CZ583" s="0" t="s">
        <v>155</v>
      </c>
      <c r="DC583" s="0" t="s">
        <v>154</v>
      </c>
      <c r="DM583" s="0" t="s">
        <v>155</v>
      </c>
      <c r="DN583" s="0" t="s">
        <v>154</v>
      </c>
    </row>
    <row r="584" customFormat="false" ht="13.8" hidden="true" customHeight="false" outlineLevel="0" collapsed="false">
      <c r="A584" s="0" t="s">
        <v>3052</v>
      </c>
      <c r="B584" s="0" t="n">
        <v>78</v>
      </c>
      <c r="C584" s="0" t="n">
        <v>329814</v>
      </c>
      <c r="D584" s="0" t="s">
        <v>2859</v>
      </c>
      <c r="E584" s="0" t="s">
        <v>3053</v>
      </c>
      <c r="F584" s="0" t="str">
        <f aca="false">CONCATENATE(D584," ",LEFT(H584,4),"T=",AU584,"D=",AV584,"R=",AW584,"M=",AX584,"L=",AY584,"B=",AZ584)</f>
        <v>OLIVER IIIT=3D=0R=0M=0L=0B=0</v>
      </c>
      <c r="H584" s="0" t="s">
        <v>1175</v>
      </c>
      <c r="I584" s="0" t="s">
        <v>3054</v>
      </c>
      <c r="J584" s="0" t="s">
        <v>854</v>
      </c>
      <c r="K584" s="0" t="s">
        <v>144</v>
      </c>
      <c r="L584" s="0"/>
      <c r="M584" s="0" t="s">
        <v>3055</v>
      </c>
      <c r="N584" s="0" t="str">
        <f aca="false">RIGHT(M584,LEN(M584)-FIND(" ",M584))</f>
        <v>COMSTOCK ST NW</v>
      </c>
      <c r="P584" s="0" t="s">
        <v>146</v>
      </c>
      <c r="Q584" s="0" t="s">
        <v>147</v>
      </c>
      <c r="R584" s="0" t="n">
        <v>44483</v>
      </c>
      <c r="AD584" s="0" t="s">
        <v>148</v>
      </c>
      <c r="AE584" s="0" t="s">
        <v>149</v>
      </c>
      <c r="AF584" s="0" t="s">
        <v>150</v>
      </c>
      <c r="AH584" s="0" t="n">
        <v>14</v>
      </c>
      <c r="AI584" s="0" t="n">
        <v>11</v>
      </c>
      <c r="AN584" s="0" t="s">
        <v>146</v>
      </c>
      <c r="AO584" s="0" t="s">
        <v>250</v>
      </c>
      <c r="AP584" s="0" t="s">
        <v>251</v>
      </c>
      <c r="AQ584" s="0" t="n">
        <v>9</v>
      </c>
      <c r="AR584" s="0" t="n">
        <v>64</v>
      </c>
      <c r="AS584" s="0" t="n">
        <v>32</v>
      </c>
      <c r="AU584" s="0" t="n">
        <f aca="false">COUNTA($BA$2339:$EH$2339)</f>
        <v>3</v>
      </c>
      <c r="AV584" s="0" t="n">
        <f aca="false">COUNTIF($BA$2339:$EH$2339,"D")</f>
        <v>0</v>
      </c>
      <c r="AW584" s="0" t="n">
        <f aca="false">COUNTIF($BA$2339:$EH$2339,"R")</f>
        <v>0</v>
      </c>
      <c r="AX584" s="0" t="n">
        <f aca="false"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>0</v>
      </c>
      <c r="AY584" s="0" t="n">
        <f aca="false">COUNTIF(DU584:EH584, "&lt;&gt;")</f>
        <v>0</v>
      </c>
      <c r="AZ584" s="0" t="n">
        <f aca="false">IF(EH584&lt;&gt;"",1,0)</f>
        <v>0</v>
      </c>
      <c r="BB584" s="0" t="s">
        <v>153</v>
      </c>
      <c r="CA584" s="0" t="s">
        <v>154</v>
      </c>
    </row>
    <row r="585" customFormat="false" ht="13.8" hidden="true" customHeight="false" outlineLevel="0" collapsed="false">
      <c r="A585" s="0" t="s">
        <v>3056</v>
      </c>
      <c r="B585" s="0" t="n">
        <v>78</v>
      </c>
      <c r="C585" s="0" t="n">
        <v>425827</v>
      </c>
      <c r="D585" s="0" t="s">
        <v>3057</v>
      </c>
      <c r="E585" s="0" t="s">
        <v>750</v>
      </c>
      <c r="F585" s="0" t="str">
        <f aca="false">CONCATENATE(D585," ",LEFT(H585,4),"T=",AU585,"D=",AV585,"R=",AW585,"M=",AX585,"L=",AY585,"B=",AZ585)</f>
        <v>TREHARN T=2D=0R=0M=0L=0B=0</v>
      </c>
      <c r="G585" s="0" t="s">
        <v>155</v>
      </c>
      <c r="I585" s="0" t="s">
        <v>3058</v>
      </c>
      <c r="J585" s="0" t="s">
        <v>3059</v>
      </c>
      <c r="K585" s="0" t="s">
        <v>144</v>
      </c>
      <c r="L585" s="0"/>
      <c r="M585" s="0" t="s">
        <v>3055</v>
      </c>
      <c r="N585" s="0" t="str">
        <f aca="false">RIGHT(M585,LEN(M585)-FIND(" ",M585))</f>
        <v>COMSTOCK ST NW</v>
      </c>
      <c r="P585" s="0" t="s">
        <v>146</v>
      </c>
      <c r="Q585" s="0" t="s">
        <v>147</v>
      </c>
      <c r="R585" s="0" t="n">
        <v>44483</v>
      </c>
      <c r="AD585" s="0" t="s">
        <v>148</v>
      </c>
      <c r="AE585" s="0" t="s">
        <v>149</v>
      </c>
      <c r="AF585" s="0" t="s">
        <v>150</v>
      </c>
      <c r="AH585" s="0" t="n">
        <v>14</v>
      </c>
      <c r="AI585" s="0" t="n">
        <v>11</v>
      </c>
      <c r="AN585" s="0" t="s">
        <v>146</v>
      </c>
      <c r="AO585" s="0" t="s">
        <v>250</v>
      </c>
      <c r="AP585" s="0" t="s">
        <v>251</v>
      </c>
      <c r="AQ585" s="0" t="n">
        <v>9</v>
      </c>
      <c r="AR585" s="0" t="n">
        <v>64</v>
      </c>
      <c r="AS585" s="0" t="n">
        <v>32</v>
      </c>
      <c r="AU585" s="0" t="n">
        <f aca="false">COUNTA($BA$2529:$EH$2529)</f>
        <v>2</v>
      </c>
      <c r="AV585" s="0" t="n">
        <f aca="false">COUNTIF($BA$2529:$EH$2529,"D")</f>
        <v>0</v>
      </c>
      <c r="AW585" s="0" t="n">
        <f aca="false">COUNTIF($BA$2529:$EH$2529,"R")</f>
        <v>0</v>
      </c>
      <c r="AX585" s="0" t="n">
        <f aca="false"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>0</v>
      </c>
      <c r="AY585" s="0" t="n">
        <f aca="false">COUNTIF(DU585:EH585, "&lt;&gt;")</f>
        <v>0</v>
      </c>
      <c r="AZ585" s="0" t="n">
        <f aca="false">IF(EH585&lt;&gt;"",1,0)</f>
        <v>0</v>
      </c>
      <c r="BB585" s="0" t="s">
        <v>153</v>
      </c>
    </row>
    <row r="586" customFormat="false" ht="13.8" hidden="true" customHeight="false" outlineLevel="0" collapsed="false">
      <c r="A586" s="0" t="s">
        <v>3060</v>
      </c>
      <c r="B586" s="0" t="n">
        <v>78</v>
      </c>
      <c r="C586" s="0" t="n">
        <v>474656</v>
      </c>
      <c r="D586" s="0" t="s">
        <v>3061</v>
      </c>
      <c r="E586" s="0" t="s">
        <v>3062</v>
      </c>
      <c r="F586" s="0" t="str">
        <f aca="false">CONCATENATE(D586," ",LEFT(H586,4),"T=",AU586,"D=",AV586,"R=",AW586,"M=",AX586,"L=",AY586,"B=",AZ586)</f>
        <v>FRANK T=13D=1R=0M=0L=0B=0</v>
      </c>
      <c r="G586" s="0" t="s">
        <v>3063</v>
      </c>
      <c r="I586" s="0" t="s">
        <v>3064</v>
      </c>
      <c r="J586" s="0" t="s">
        <v>3065</v>
      </c>
      <c r="K586" s="0" t="s">
        <v>175</v>
      </c>
      <c r="L586" s="0"/>
      <c r="M586" s="0" t="s">
        <v>3066</v>
      </c>
      <c r="N586" s="0" t="str">
        <f aca="false">RIGHT(M586,LEN(M586)-FIND(" ",M586))</f>
        <v>COMSTOCK ST NW</v>
      </c>
      <c r="P586" s="0" t="s">
        <v>146</v>
      </c>
      <c r="Q586" s="0" t="s">
        <v>147</v>
      </c>
      <c r="R586" s="0" t="n">
        <v>44483</v>
      </c>
      <c r="AD586" s="0" t="s">
        <v>148</v>
      </c>
      <c r="AE586" s="0" t="s">
        <v>149</v>
      </c>
      <c r="AF586" s="0" t="s">
        <v>150</v>
      </c>
      <c r="AH586" s="0" t="n">
        <v>14</v>
      </c>
      <c r="AI586" s="0" t="n">
        <v>11</v>
      </c>
      <c r="AN586" s="0" t="s">
        <v>146</v>
      </c>
      <c r="AO586" s="0" t="s">
        <v>250</v>
      </c>
      <c r="AP586" s="0" t="s">
        <v>251</v>
      </c>
      <c r="AQ586" s="0" t="n">
        <v>9</v>
      </c>
      <c r="AR586" s="0" t="n">
        <v>64</v>
      </c>
      <c r="AS586" s="0" t="n">
        <v>32</v>
      </c>
      <c r="AU586" s="0" t="n">
        <f aca="false">COUNTA($BA$2260:$EH$2260)</f>
        <v>13</v>
      </c>
      <c r="AV586" s="0" t="n">
        <f aca="false">COUNTIF($BA$2260:$EH$2260,"D")</f>
        <v>1</v>
      </c>
      <c r="AW586" s="0" t="n">
        <f aca="false">COUNTIF($BA$2260:$EH$2260,"R")</f>
        <v>0</v>
      </c>
      <c r="AX586" s="0" t="n">
        <f aca="false"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>0</v>
      </c>
      <c r="AY586" s="0" t="n">
        <f aca="false">COUNTIF(DU586:EH586, "&lt;&gt;")</f>
        <v>0</v>
      </c>
      <c r="AZ586" s="0" t="n">
        <f aca="false">IF(EH586&lt;&gt;"",1,0)</f>
        <v>0</v>
      </c>
      <c r="BB586" s="0" t="s">
        <v>153</v>
      </c>
    </row>
    <row r="587" customFormat="false" ht="13.8" hidden="true" customHeight="false" outlineLevel="0" collapsed="false">
      <c r="A587" s="0" t="s">
        <v>3067</v>
      </c>
      <c r="B587" s="0" t="n">
        <v>78</v>
      </c>
      <c r="C587" s="0" t="n">
        <v>431450</v>
      </c>
      <c r="D587" s="0" t="s">
        <v>3061</v>
      </c>
      <c r="E587" s="0" t="s">
        <v>3068</v>
      </c>
      <c r="F587" s="0" t="str">
        <f aca="false">CONCATENATE(D587," ",LEFT(H587,4),"T=",AU587,"D=",AV587,"R=",AW587,"M=",AX587,"L=",AY587,"B=",AZ587)</f>
        <v>FRANK T=40D=10R=0M=0L=0B=0</v>
      </c>
      <c r="G587" s="0" t="s">
        <v>3069</v>
      </c>
      <c r="I587" s="0" t="s">
        <v>3070</v>
      </c>
      <c r="J587" s="0" t="s">
        <v>3071</v>
      </c>
      <c r="K587" s="0" t="s">
        <v>175</v>
      </c>
      <c r="L587" s="0"/>
      <c r="M587" s="0" t="s">
        <v>3066</v>
      </c>
      <c r="N587" s="0" t="str">
        <f aca="false">RIGHT(M587,LEN(M587)-FIND(" ",M587))</f>
        <v>COMSTOCK ST NW</v>
      </c>
      <c r="P587" s="0" t="s">
        <v>146</v>
      </c>
      <c r="Q587" s="0" t="s">
        <v>147</v>
      </c>
      <c r="R587" s="0" t="n">
        <v>44483</v>
      </c>
      <c r="AD587" s="0" t="s">
        <v>148</v>
      </c>
      <c r="AE587" s="0" t="s">
        <v>149</v>
      </c>
      <c r="AF587" s="0" t="s">
        <v>150</v>
      </c>
      <c r="AH587" s="0" t="n">
        <v>14</v>
      </c>
      <c r="AI587" s="0" t="n">
        <v>11</v>
      </c>
      <c r="AN587" s="0" t="s">
        <v>146</v>
      </c>
      <c r="AO587" s="0" t="s">
        <v>250</v>
      </c>
      <c r="AP587" s="0" t="s">
        <v>251</v>
      </c>
      <c r="AQ587" s="0" t="n">
        <v>9</v>
      </c>
      <c r="AR587" s="0" t="n">
        <v>64</v>
      </c>
      <c r="AS587" s="0" t="n">
        <v>32</v>
      </c>
      <c r="AU587" s="0" t="n">
        <f aca="false">COUNTA($BA$2668:$EH$2668)</f>
        <v>40</v>
      </c>
      <c r="AV587" s="0" t="n">
        <f aca="false">COUNTIF($BA$2668:$EH$2668,"D")</f>
        <v>10</v>
      </c>
      <c r="AW587" s="0" t="n">
        <f aca="false">COUNTIF($BA$2668:$EH$2668,"R")</f>
        <v>0</v>
      </c>
      <c r="AX587" s="0" t="n">
        <f aca="false"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>0</v>
      </c>
      <c r="AY587" s="0" t="n">
        <f aca="false">COUNTIF(DU587:EH587, "&lt;&gt;")</f>
        <v>0</v>
      </c>
      <c r="AZ587" s="0" t="n">
        <f aca="false">IF(EH587&lt;&gt;"",1,0)</f>
        <v>0</v>
      </c>
      <c r="BB587" s="0" t="s">
        <v>153</v>
      </c>
    </row>
    <row r="588" customFormat="false" ht="13.8" hidden="true" customHeight="false" outlineLevel="0" collapsed="false">
      <c r="A588" s="0" t="s">
        <v>3072</v>
      </c>
      <c r="B588" s="0" t="n">
        <v>78</v>
      </c>
      <c r="C588" s="0" t="n">
        <v>386481</v>
      </c>
      <c r="D588" s="0" t="s">
        <v>3073</v>
      </c>
      <c r="E588" s="0" t="s">
        <v>1712</v>
      </c>
      <c r="F588" s="0" t="str">
        <f aca="false">CONCATENATE(D588," ",LEFT(H588,4),"T=",AU588,"D=",AV588,"R=",AW588,"M=",AX588,"L=",AY588,"B=",AZ588)</f>
        <v>LAMARR T=6D=0R=0M=0L=0B=0</v>
      </c>
      <c r="G588" s="0" t="s">
        <v>2293</v>
      </c>
      <c r="I588" s="0" t="s">
        <v>3074</v>
      </c>
      <c r="J588" s="0" t="s">
        <v>3075</v>
      </c>
      <c r="K588" s="0" t="s">
        <v>175</v>
      </c>
      <c r="L588" s="0"/>
      <c r="M588" s="0" t="s">
        <v>3076</v>
      </c>
      <c r="N588" s="0" t="str">
        <f aca="false">RIGHT(M588,LEN(M588)-FIND(" ",M588))</f>
        <v>COMSTOCK ST NW</v>
      </c>
      <c r="P588" s="0" t="s">
        <v>146</v>
      </c>
      <c r="Q588" s="0" t="s">
        <v>147</v>
      </c>
      <c r="R588" s="0" t="n">
        <v>44483</v>
      </c>
      <c r="AD588" s="0" t="s">
        <v>148</v>
      </c>
      <c r="AE588" s="0" t="s">
        <v>149</v>
      </c>
      <c r="AF588" s="0" t="s">
        <v>150</v>
      </c>
      <c r="AH588" s="0" t="n">
        <v>14</v>
      </c>
      <c r="AI588" s="0" t="n">
        <v>11</v>
      </c>
      <c r="AN588" s="0" t="s">
        <v>146</v>
      </c>
      <c r="AO588" s="0" t="s">
        <v>250</v>
      </c>
      <c r="AP588" s="0" t="s">
        <v>251</v>
      </c>
      <c r="AQ588" s="0" t="n">
        <v>9</v>
      </c>
      <c r="AR588" s="0" t="n">
        <v>64</v>
      </c>
      <c r="AS588" s="0" t="n">
        <v>32</v>
      </c>
      <c r="AU588" s="0" t="n">
        <f aca="false">COUNTA($BA$2287:$EH$2287)</f>
        <v>6</v>
      </c>
      <c r="AV588" s="0" t="n">
        <f aca="false">COUNTIF($BA$2287:$EH$2287,"D")</f>
        <v>0</v>
      </c>
      <c r="AW588" s="0" t="n">
        <f aca="false">COUNTIF($BA$2287:$EH$2287,"R")</f>
        <v>0</v>
      </c>
      <c r="AX588" s="0" t="n">
        <f aca="false"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>0</v>
      </c>
      <c r="AY588" s="0" t="n">
        <f aca="false">COUNTIF(DU588:EH588, "&lt;&gt;")</f>
        <v>0</v>
      </c>
      <c r="AZ588" s="0" t="n">
        <f aca="false">IF(EH588&lt;&gt;"",1,0)</f>
        <v>0</v>
      </c>
      <c r="BB588" s="0" t="s">
        <v>153</v>
      </c>
    </row>
    <row r="589" customFormat="false" ht="13.8" hidden="false" customHeight="false" outlineLevel="0" collapsed="false">
      <c r="A589" s="0" t="s">
        <v>3077</v>
      </c>
      <c r="B589" s="0" t="n">
        <v>78</v>
      </c>
      <c r="C589" s="0" t="n">
        <v>6397</v>
      </c>
      <c r="D589" s="0" t="s">
        <v>309</v>
      </c>
      <c r="E589" s="0" t="s">
        <v>2367</v>
      </c>
      <c r="F589" s="0" t="str">
        <f aca="false">CONCATENATE(D589," ",LEFT(H589,4),"T=",AU589,"D=",AV589,"R=",AW589,"M=",AX589,"L=",AY589,"B=",AZ589)</f>
        <v>BROWN SRT=8D=1R=0M=1L=3B=0</v>
      </c>
      <c r="G589" s="0" t="s">
        <v>166</v>
      </c>
      <c r="H589" s="0" t="s">
        <v>311</v>
      </c>
      <c r="I589" s="0" t="s">
        <v>3078</v>
      </c>
      <c r="J589" s="0" t="s">
        <v>3079</v>
      </c>
      <c r="K589" s="0" t="s">
        <v>175</v>
      </c>
      <c r="L589" s="1" t="s">
        <v>155</v>
      </c>
      <c r="M589" s="0" t="s">
        <v>3080</v>
      </c>
      <c r="N589" s="0" t="str">
        <f aca="false">RIGHT(M589,LEN(M589)-FIND(" ",M589))</f>
        <v>COMSTOCK ST NW</v>
      </c>
      <c r="P589" s="0" t="s">
        <v>146</v>
      </c>
      <c r="Q589" s="0" t="s">
        <v>147</v>
      </c>
      <c r="R589" s="0" t="n">
        <v>44483</v>
      </c>
      <c r="AD589" s="0" t="s">
        <v>148</v>
      </c>
      <c r="AE589" s="0" t="s">
        <v>149</v>
      </c>
      <c r="AF589" s="0" t="s">
        <v>150</v>
      </c>
      <c r="AH589" s="0" t="n">
        <v>14</v>
      </c>
      <c r="AI589" s="0" t="n">
        <v>11</v>
      </c>
      <c r="AN589" s="0" t="s">
        <v>146</v>
      </c>
      <c r="AO589" s="0" t="s">
        <v>250</v>
      </c>
      <c r="AP589" s="0" t="s">
        <v>251</v>
      </c>
      <c r="AQ589" s="0" t="n">
        <v>9</v>
      </c>
      <c r="AR589" s="0" t="n">
        <v>64</v>
      </c>
      <c r="AS589" s="0" t="n">
        <v>32</v>
      </c>
      <c r="AU589" s="0" t="n">
        <f aca="false">COUNTA($BA$2233:$EH$2233)</f>
        <v>8</v>
      </c>
      <c r="AV589" s="0" t="n">
        <f aca="false">COUNTIF($BA$2233:$EH$2233,"D")</f>
        <v>1</v>
      </c>
      <c r="AW589" s="0" t="n">
        <f aca="false">COUNTIF($BA$2233:$EH$2233,"R")</f>
        <v>0</v>
      </c>
      <c r="AX589" s="0" t="n">
        <f aca="false"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>1</v>
      </c>
      <c r="AY589" s="0" t="n">
        <f aca="false">COUNTIF(DU589:EH589, "&lt;&gt;")</f>
        <v>3</v>
      </c>
      <c r="AZ589" s="0" t="n">
        <f aca="false">IF(EH589&lt;&gt;"",1,0)</f>
        <v>0</v>
      </c>
      <c r="BB589" s="0" t="s">
        <v>153</v>
      </c>
      <c r="BC589" s="0" t="s">
        <v>154</v>
      </c>
      <c r="BD589" s="0" t="s">
        <v>154</v>
      </c>
      <c r="BH589" s="0" t="s">
        <v>154</v>
      </c>
      <c r="BI589" s="0" t="s">
        <v>154</v>
      </c>
      <c r="BJ589" s="0" t="s">
        <v>154</v>
      </c>
      <c r="BK589" s="0" t="s">
        <v>154</v>
      </c>
      <c r="BL589" s="0" t="s">
        <v>154</v>
      </c>
      <c r="BP589" s="0" t="s">
        <v>154</v>
      </c>
      <c r="BR589" s="0" t="s">
        <v>154</v>
      </c>
      <c r="BV589" s="0" t="s">
        <v>154</v>
      </c>
      <c r="BY589" s="0" t="s">
        <v>155</v>
      </c>
      <c r="CA589" s="0" t="s">
        <v>154</v>
      </c>
      <c r="CG589" s="0" t="s">
        <v>154</v>
      </c>
      <c r="CH589" s="0" t="s">
        <v>155</v>
      </c>
      <c r="CK589" s="0" t="s">
        <v>154</v>
      </c>
      <c r="CO589" s="0" t="s">
        <v>155</v>
      </c>
      <c r="CP589" s="0" t="s">
        <v>154</v>
      </c>
      <c r="CY589" s="0" t="s">
        <v>154</v>
      </c>
      <c r="DC589" s="0" t="s">
        <v>154</v>
      </c>
      <c r="DD589" s="0" t="s">
        <v>155</v>
      </c>
      <c r="DI589" s="0" t="s">
        <v>154</v>
      </c>
      <c r="DN589" s="0" t="s">
        <v>154</v>
      </c>
      <c r="DR589" s="0" t="s">
        <v>154</v>
      </c>
      <c r="DS589" s="0" t="s">
        <v>155</v>
      </c>
      <c r="DU589" s="0" t="s">
        <v>154</v>
      </c>
      <c r="EA589" s="0" t="s">
        <v>154</v>
      </c>
      <c r="EF589" s="0" t="s">
        <v>154</v>
      </c>
    </row>
    <row r="590" customFormat="false" ht="13.8" hidden="true" customHeight="false" outlineLevel="0" collapsed="false">
      <c r="A590" s="0" t="s">
        <v>3081</v>
      </c>
      <c r="B590" s="0" t="n">
        <v>78</v>
      </c>
      <c r="C590" s="0" t="n">
        <v>490362</v>
      </c>
      <c r="D590" s="0" t="s">
        <v>3082</v>
      </c>
      <c r="E590" s="0" t="s">
        <v>3083</v>
      </c>
      <c r="F590" s="0" t="str">
        <f aca="false">CONCATENATE(D590," ",LEFT(H590,4),"T=",AU590,"D=",AV590,"R=",AW590,"M=",AX590,"L=",AY590,"B=",AZ590)</f>
        <v>JAPUNCHA T=2D=0R=0M=0L=0B=0</v>
      </c>
      <c r="I590" s="0" t="s">
        <v>2122</v>
      </c>
      <c r="J590" s="0" t="s">
        <v>1877</v>
      </c>
      <c r="K590" s="0" t="s">
        <v>144</v>
      </c>
      <c r="L590" s="0"/>
      <c r="M590" s="0" t="s">
        <v>3084</v>
      </c>
      <c r="N590" s="0" t="str">
        <f aca="false">RIGHT(M590,LEN(M590)-FIND(" ",M590))</f>
        <v>COMSTOCK ST NW</v>
      </c>
      <c r="P590" s="0" t="s">
        <v>146</v>
      </c>
      <c r="Q590" s="0" t="s">
        <v>147</v>
      </c>
      <c r="R590" s="0" t="n">
        <v>44483</v>
      </c>
      <c r="AD590" s="0" t="s">
        <v>148</v>
      </c>
      <c r="AE590" s="0" t="s">
        <v>149</v>
      </c>
      <c r="AF590" s="0" t="s">
        <v>150</v>
      </c>
      <c r="AH590" s="0" t="n">
        <v>14</v>
      </c>
      <c r="AI590" s="0" t="n">
        <v>11</v>
      </c>
      <c r="AN590" s="0" t="s">
        <v>146</v>
      </c>
      <c r="AO590" s="0" t="s">
        <v>250</v>
      </c>
      <c r="AP590" s="0" t="s">
        <v>251</v>
      </c>
      <c r="AQ590" s="0" t="n">
        <v>9</v>
      </c>
      <c r="AR590" s="0" t="n">
        <v>64</v>
      </c>
      <c r="AS590" s="0" t="n">
        <v>32</v>
      </c>
      <c r="AU590" s="0" t="n">
        <f aca="false">COUNTA($BA$2085:$EH$2085)</f>
        <v>2</v>
      </c>
      <c r="AV590" s="0" t="n">
        <f aca="false">COUNTIF($BA$2085:$EH$2085,"D")</f>
        <v>0</v>
      </c>
      <c r="AW590" s="0" t="n">
        <f aca="false">COUNTIF($BA$2085:$EH$2085,"R")</f>
        <v>0</v>
      </c>
      <c r="AX590" s="0" t="n">
        <f aca="false"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>0</v>
      </c>
      <c r="AY590" s="0" t="n">
        <f aca="false">COUNTIF(DU590:EH590, "&lt;&gt;")</f>
        <v>0</v>
      </c>
      <c r="AZ590" s="0" t="n">
        <f aca="false">IF(EH590&lt;&gt;"",1,0)</f>
        <v>0</v>
      </c>
      <c r="BB590" s="0" t="s">
        <v>153</v>
      </c>
      <c r="CA590" s="0" t="s">
        <v>154</v>
      </c>
    </row>
    <row r="591" customFormat="false" ht="13.8" hidden="true" customHeight="false" outlineLevel="0" collapsed="false">
      <c r="A591" s="0" t="s">
        <v>3085</v>
      </c>
      <c r="B591" s="0" t="n">
        <v>78</v>
      </c>
      <c r="C591" s="0" t="n">
        <v>324052</v>
      </c>
      <c r="D591" s="0" t="s">
        <v>333</v>
      </c>
      <c r="E591" s="0" t="s">
        <v>744</v>
      </c>
      <c r="F591" s="0" t="str">
        <f aca="false">CONCATENATE(D591," ",LEFT(H591,4),"T=",AU591,"D=",AV591,"R=",AW591,"M=",AX591,"L=",AY591,"B=",AZ591)</f>
        <v>ADAMS T=5D=0R=1M=0L=0B=0</v>
      </c>
      <c r="G591" s="0" t="s">
        <v>176</v>
      </c>
      <c r="I591" s="0" t="s">
        <v>3086</v>
      </c>
      <c r="J591" s="0" t="s">
        <v>1976</v>
      </c>
      <c r="K591" s="0" t="s">
        <v>144</v>
      </c>
      <c r="L591" s="0"/>
      <c r="M591" s="0" t="s">
        <v>3084</v>
      </c>
      <c r="N591" s="0" t="str">
        <f aca="false">RIGHT(M591,LEN(M591)-FIND(" ",M591))</f>
        <v>COMSTOCK ST NW</v>
      </c>
      <c r="P591" s="0" t="s">
        <v>146</v>
      </c>
      <c r="Q591" s="0" t="s">
        <v>147</v>
      </c>
      <c r="R591" s="0" t="n">
        <v>44483</v>
      </c>
      <c r="AD591" s="0" t="s">
        <v>148</v>
      </c>
      <c r="AE591" s="0" t="s">
        <v>149</v>
      </c>
      <c r="AF591" s="0" t="s">
        <v>150</v>
      </c>
      <c r="AH591" s="0" t="n">
        <v>14</v>
      </c>
      <c r="AI591" s="0" t="n">
        <v>11</v>
      </c>
      <c r="AN591" s="0" t="s">
        <v>146</v>
      </c>
      <c r="AO591" s="0" t="s">
        <v>250</v>
      </c>
      <c r="AP591" s="0" t="s">
        <v>251</v>
      </c>
      <c r="AQ591" s="0" t="n">
        <v>9</v>
      </c>
      <c r="AR591" s="0" t="n">
        <v>64</v>
      </c>
      <c r="AS591" s="0" t="n">
        <v>32</v>
      </c>
      <c r="AU591" s="0" t="n">
        <f aca="false">COUNTA($BA$2784:$EH$2784)</f>
        <v>5</v>
      </c>
      <c r="AV591" s="0" t="n">
        <f aca="false">COUNTIF($BA$2784:$EH$2784,"D")</f>
        <v>0</v>
      </c>
      <c r="AW591" s="0" t="n">
        <f aca="false">COUNTIF($BA$2784:$EH$2784,"R")</f>
        <v>1</v>
      </c>
      <c r="AX591" s="0" t="n">
        <f aca="false"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>0</v>
      </c>
      <c r="AY591" s="0" t="n">
        <f aca="false">COUNTIF(DU591:EH591, "&lt;&gt;")</f>
        <v>0</v>
      </c>
      <c r="AZ591" s="0" t="n">
        <f aca="false">IF(EH591&lt;&gt;"",1,0)</f>
        <v>0</v>
      </c>
      <c r="BB591" s="0" t="s">
        <v>153</v>
      </c>
      <c r="CA591" s="0" t="s">
        <v>154</v>
      </c>
      <c r="CP591" s="0" t="s">
        <v>154</v>
      </c>
      <c r="CZ591" s="0" t="s">
        <v>155</v>
      </c>
      <c r="DC591" s="0" t="s">
        <v>154</v>
      </c>
    </row>
    <row r="592" customFormat="false" ht="13.8" hidden="true" customHeight="false" outlineLevel="0" collapsed="false">
      <c r="A592" s="0" t="s">
        <v>3087</v>
      </c>
      <c r="B592" s="0" t="n">
        <v>78</v>
      </c>
      <c r="C592" s="0" t="n">
        <v>461639</v>
      </c>
      <c r="D592" s="0" t="s">
        <v>3088</v>
      </c>
      <c r="E592" s="0" t="s">
        <v>3089</v>
      </c>
      <c r="F592" s="0" t="str">
        <f aca="false">CONCATENATE(D592," ",LEFT(H592,4),"T=",AU592,"D=",AV592,"R=",AW592,"M=",AX592,"L=",AY592,"B=",AZ592)</f>
        <v>FORRINGER T=2D=0R=0M=0L=1B=0</v>
      </c>
      <c r="G592" s="0" t="s">
        <v>3090</v>
      </c>
      <c r="I592" s="0" t="s">
        <v>3091</v>
      </c>
      <c r="J592" s="0" t="s">
        <v>3092</v>
      </c>
      <c r="K592" s="0" t="s">
        <v>175</v>
      </c>
      <c r="L592" s="0"/>
      <c r="M592" s="0" t="s">
        <v>3093</v>
      </c>
      <c r="N592" s="0" t="str">
        <f aca="false">RIGHT(M592,LEN(M592)-FIND(" ",M592))</f>
        <v>COMSTOCK ST NW</v>
      </c>
      <c r="P592" s="0" t="s">
        <v>146</v>
      </c>
      <c r="Q592" s="0" t="s">
        <v>147</v>
      </c>
      <c r="R592" s="0" t="n">
        <v>44483</v>
      </c>
      <c r="AD592" s="0" t="s">
        <v>148</v>
      </c>
      <c r="AE592" s="0" t="s">
        <v>149</v>
      </c>
      <c r="AF592" s="0" t="s">
        <v>150</v>
      </c>
      <c r="AH592" s="0" t="n">
        <v>14</v>
      </c>
      <c r="AI592" s="0" t="n">
        <v>11</v>
      </c>
      <c r="AN592" s="0" t="s">
        <v>146</v>
      </c>
      <c r="AO592" s="0" t="s">
        <v>250</v>
      </c>
      <c r="AP592" s="0" t="s">
        <v>251</v>
      </c>
      <c r="AQ592" s="0" t="n">
        <v>9</v>
      </c>
      <c r="AR592" s="0" t="n">
        <v>64</v>
      </c>
      <c r="AS592" s="0" t="n">
        <v>32</v>
      </c>
      <c r="AU592" s="0" t="n">
        <f aca="false">COUNTA($BA$2745:$EH$2745)</f>
        <v>2</v>
      </c>
      <c r="AV592" s="0" t="n">
        <f aca="false">COUNTIF($BA$2745:$EH$2745,"D")</f>
        <v>0</v>
      </c>
      <c r="AW592" s="0" t="n">
        <f aca="false">COUNTIF($BA$2745:$EH$2745,"R")</f>
        <v>0</v>
      </c>
      <c r="AX592" s="0" t="n">
        <f aca="false"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>0</v>
      </c>
      <c r="AY592" s="0" t="n">
        <f aca="false">COUNTIF(DU592:EH592, "&lt;&gt;")</f>
        <v>1</v>
      </c>
      <c r="AZ592" s="0" t="n">
        <f aca="false">IF(EH592&lt;&gt;"",1,0)</f>
        <v>0</v>
      </c>
      <c r="BB592" s="0" t="s">
        <v>153</v>
      </c>
      <c r="EF592" s="0" t="s">
        <v>154</v>
      </c>
    </row>
    <row r="593" customFormat="false" ht="13.8" hidden="false" customHeight="false" outlineLevel="0" collapsed="false">
      <c r="A593" s="0" t="s">
        <v>3094</v>
      </c>
      <c r="B593" s="0" t="n">
        <v>78</v>
      </c>
      <c r="C593" s="0" t="n">
        <v>274651</v>
      </c>
      <c r="D593" s="0" t="s">
        <v>165</v>
      </c>
      <c r="E593" s="0" t="s">
        <v>429</v>
      </c>
      <c r="F593" s="0" t="str">
        <f aca="false">CONCATENATE(D593," ",LEFT(H593,4),"T=",AU593,"D=",AV593,"R=",AW593,"M=",AX593,"L=",AY593,"B=",AZ593)</f>
        <v>THOMAS JRT=1D=0R=0M=2L=3B=0</v>
      </c>
      <c r="G593" s="0" t="s">
        <v>3095</v>
      </c>
      <c r="H593" s="0" t="s">
        <v>431</v>
      </c>
      <c r="I593" s="0" t="s">
        <v>3096</v>
      </c>
      <c r="J593" s="0" t="s">
        <v>3097</v>
      </c>
      <c r="K593" s="0" t="s">
        <v>175</v>
      </c>
      <c r="L593" s="1" t="s">
        <v>155</v>
      </c>
      <c r="M593" s="0" t="s">
        <v>3098</v>
      </c>
      <c r="N593" s="0" t="str">
        <f aca="false">RIGHT(M593,LEN(M593)-FIND(" ",M593))</f>
        <v>COMSTOCK ST NW</v>
      </c>
      <c r="P593" s="0" t="s">
        <v>146</v>
      </c>
      <c r="Q593" s="0" t="s">
        <v>147</v>
      </c>
      <c r="R593" s="0" t="n">
        <v>44483</v>
      </c>
      <c r="AD593" s="0" t="s">
        <v>148</v>
      </c>
      <c r="AE593" s="0" t="s">
        <v>149</v>
      </c>
      <c r="AF593" s="0" t="s">
        <v>150</v>
      </c>
      <c r="AH593" s="0" t="n">
        <v>14</v>
      </c>
      <c r="AI593" s="0" t="n">
        <v>11</v>
      </c>
      <c r="AN593" s="0" t="s">
        <v>146</v>
      </c>
      <c r="AO593" s="0" t="s">
        <v>250</v>
      </c>
      <c r="AP593" s="0" t="s">
        <v>251</v>
      </c>
      <c r="AQ593" s="0" t="n">
        <v>9</v>
      </c>
      <c r="AR593" s="0" t="n">
        <v>64</v>
      </c>
      <c r="AS593" s="0" t="n">
        <v>32</v>
      </c>
      <c r="AU593" s="0" t="n">
        <f aca="false">COUNTA($BA$2250:$EH$2250)</f>
        <v>1</v>
      </c>
      <c r="AV593" s="0" t="n">
        <f aca="false">COUNTIF($BA$2250:$EH$2250,"D")</f>
        <v>0</v>
      </c>
      <c r="AW593" s="0" t="n">
        <f aca="false">COUNTIF($BA$2250:$EH$2250,"R")</f>
        <v>0</v>
      </c>
      <c r="AX593" s="0" t="n">
        <f aca="false"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>2</v>
      </c>
      <c r="AY593" s="0" t="n">
        <f aca="false">COUNTIF(DU593:EH593, "&lt;&gt;")</f>
        <v>3</v>
      </c>
      <c r="AZ593" s="0" t="n">
        <f aca="false">IF(EH593&lt;&gt;"",1,0)</f>
        <v>0</v>
      </c>
      <c r="BB593" s="0" t="s">
        <v>153</v>
      </c>
      <c r="BD593" s="0" t="s">
        <v>154</v>
      </c>
      <c r="BH593" s="0" t="s">
        <v>154</v>
      </c>
      <c r="BJ593" s="0" t="s">
        <v>154</v>
      </c>
      <c r="BL593" s="0" t="s">
        <v>154</v>
      </c>
      <c r="BP593" s="0" t="s">
        <v>154</v>
      </c>
      <c r="BS593" s="0" t="s">
        <v>154</v>
      </c>
      <c r="BV593" s="0" t="s">
        <v>154</v>
      </c>
      <c r="BY593" s="0" t="s">
        <v>155</v>
      </c>
      <c r="CA593" s="0" t="s">
        <v>154</v>
      </c>
      <c r="CK593" s="0" t="s">
        <v>154</v>
      </c>
      <c r="CL593" s="0" t="s">
        <v>155</v>
      </c>
      <c r="CN593" s="0" t="s">
        <v>154</v>
      </c>
      <c r="CP593" s="0" t="s">
        <v>154</v>
      </c>
      <c r="CY593" s="0" t="s">
        <v>154</v>
      </c>
      <c r="CZ593" s="0" t="s">
        <v>155</v>
      </c>
      <c r="DC593" s="0" t="s">
        <v>154</v>
      </c>
      <c r="DF593" s="0" t="s">
        <v>154</v>
      </c>
      <c r="DL593" s="0" t="s">
        <v>154</v>
      </c>
      <c r="DN593" s="0" t="s">
        <v>154</v>
      </c>
      <c r="DU593" s="0" t="s">
        <v>154</v>
      </c>
      <c r="DW593" s="0" t="s">
        <v>155</v>
      </c>
      <c r="EF593" s="0" t="s">
        <v>154</v>
      </c>
    </row>
    <row r="594" customFormat="false" ht="13.8" hidden="true" customHeight="false" outlineLevel="0" collapsed="false">
      <c r="A594" s="0" t="s">
        <v>3099</v>
      </c>
      <c r="B594" s="0" t="n">
        <v>78</v>
      </c>
      <c r="C594" s="0" t="n">
        <v>464088</v>
      </c>
      <c r="D594" s="0" t="s">
        <v>165</v>
      </c>
      <c r="E594" s="0" t="s">
        <v>195</v>
      </c>
      <c r="F594" s="0" t="str">
        <f aca="false">CONCATENATE(D594," ",LEFT(H594,4),"T=",AU594,"D=",AV594,"R=",AW594,"M=",AX594,"L=",AY594,"B=",AZ594)</f>
        <v>THOMAS T=5D=0R=0M=0L=0B=0</v>
      </c>
      <c r="G594" s="0" t="s">
        <v>1374</v>
      </c>
      <c r="I594" s="0" t="s">
        <v>3100</v>
      </c>
      <c r="J594" s="0" t="s">
        <v>3101</v>
      </c>
      <c r="K594" s="0" t="s">
        <v>175</v>
      </c>
      <c r="L594" s="0"/>
      <c r="M594" s="0" t="s">
        <v>3102</v>
      </c>
      <c r="N594" s="0" t="str">
        <f aca="false">RIGHT(M594,LEN(M594)-FIND(" ",M594))</f>
        <v>COMSTOCK ST NW</v>
      </c>
      <c r="P594" s="0" t="s">
        <v>146</v>
      </c>
      <c r="Q594" s="0" t="s">
        <v>147</v>
      </c>
      <c r="R594" s="0" t="n">
        <v>44483</v>
      </c>
      <c r="AD594" s="0" t="s">
        <v>148</v>
      </c>
      <c r="AE594" s="0" t="s">
        <v>149</v>
      </c>
      <c r="AF594" s="0" t="s">
        <v>150</v>
      </c>
      <c r="AH594" s="0" t="n">
        <v>14</v>
      </c>
      <c r="AI594" s="0" t="n">
        <v>11</v>
      </c>
      <c r="AN594" s="0" t="s">
        <v>146</v>
      </c>
      <c r="AO594" s="0" t="s">
        <v>250</v>
      </c>
      <c r="AP594" s="0" t="s">
        <v>251</v>
      </c>
      <c r="AQ594" s="0" t="n">
        <v>9</v>
      </c>
      <c r="AR594" s="0" t="n">
        <v>64</v>
      </c>
      <c r="AS594" s="0" t="n">
        <v>32</v>
      </c>
      <c r="AU594" s="0" t="n">
        <f aca="false">COUNTA($BA$2147:$EH$2147)</f>
        <v>5</v>
      </c>
      <c r="AV594" s="0" t="n">
        <f aca="false">COUNTIF($BA$2147:$EH$2147,"D")</f>
        <v>0</v>
      </c>
      <c r="AW594" s="0" t="n">
        <f aca="false">COUNTIF($BA$2147:$EH$2147,"R")</f>
        <v>0</v>
      </c>
      <c r="AX594" s="0" t="n">
        <f aca="false"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>0</v>
      </c>
      <c r="AY594" s="0" t="n">
        <f aca="false">COUNTIF(DU594:EH594, "&lt;&gt;")</f>
        <v>0</v>
      </c>
      <c r="AZ594" s="0" t="n">
        <f aca="false">IF(EH594&lt;&gt;"",1,0)</f>
        <v>0</v>
      </c>
      <c r="BB594" s="0" t="s">
        <v>153</v>
      </c>
      <c r="BC594" s="0" t="s">
        <v>154</v>
      </c>
      <c r="BD594" s="0" t="s">
        <v>154</v>
      </c>
      <c r="BF594" s="0" t="s">
        <v>154</v>
      </c>
      <c r="BH594" s="0" t="s">
        <v>154</v>
      </c>
      <c r="BL594" s="0" t="s">
        <v>154</v>
      </c>
      <c r="BS594" s="0" t="s">
        <v>154</v>
      </c>
      <c r="BV594" s="0" t="s">
        <v>154</v>
      </c>
      <c r="BY594" s="0" t="s">
        <v>176</v>
      </c>
      <c r="CA594" s="0" t="s">
        <v>154</v>
      </c>
      <c r="CP594" s="0" t="s">
        <v>154</v>
      </c>
      <c r="CT594" s="0" t="s">
        <v>154</v>
      </c>
      <c r="CU594" s="0" t="s">
        <v>155</v>
      </c>
      <c r="CY594" s="0" t="s">
        <v>154</v>
      </c>
      <c r="CZ594" s="0" t="s">
        <v>176</v>
      </c>
      <c r="DC594" s="0" t="s">
        <v>154</v>
      </c>
    </row>
    <row r="595" customFormat="false" ht="13.8" hidden="true" customHeight="false" outlineLevel="0" collapsed="false">
      <c r="A595" s="0" t="s">
        <v>3103</v>
      </c>
      <c r="B595" s="0" t="n">
        <v>78</v>
      </c>
      <c r="C595" s="0" t="n">
        <v>389926</v>
      </c>
      <c r="D595" s="0" t="s">
        <v>1652</v>
      </c>
      <c r="E595" s="0" t="s">
        <v>3104</v>
      </c>
      <c r="F595" s="0" t="str">
        <f aca="false">CONCATENATE(D595," ",LEFT(H595,4),"T=",AU595,"D=",AV595,"R=",AW595,"M=",AX595,"L=",AY595,"B=",AZ595)</f>
        <v>GILLESPIE T=15D=1R=2M=1L=0B=0</v>
      </c>
      <c r="G595" s="0" t="s">
        <v>3105</v>
      </c>
      <c r="I595" s="0" t="s">
        <v>3106</v>
      </c>
      <c r="J595" s="0" t="s">
        <v>3107</v>
      </c>
      <c r="K595" s="0" t="s">
        <v>175</v>
      </c>
      <c r="L595" s="0"/>
      <c r="M595" s="0" t="s">
        <v>3108</v>
      </c>
      <c r="N595" s="0" t="str">
        <f aca="false">RIGHT(M595,LEN(M595)-FIND(" ",M595))</f>
        <v>COMSTOCK ST NW</v>
      </c>
      <c r="P595" s="0" t="s">
        <v>146</v>
      </c>
      <c r="Q595" s="0" t="s">
        <v>147</v>
      </c>
      <c r="R595" s="0" t="n">
        <v>44483</v>
      </c>
      <c r="AD595" s="0" t="s">
        <v>148</v>
      </c>
      <c r="AE595" s="0" t="s">
        <v>149</v>
      </c>
      <c r="AF595" s="0" t="s">
        <v>150</v>
      </c>
      <c r="AH595" s="0" t="n">
        <v>14</v>
      </c>
      <c r="AI595" s="0" t="n">
        <v>11</v>
      </c>
      <c r="AN595" s="0" t="s">
        <v>146</v>
      </c>
      <c r="AO595" s="0" t="s">
        <v>250</v>
      </c>
      <c r="AP595" s="0" t="s">
        <v>251</v>
      </c>
      <c r="AQ595" s="0" t="n">
        <v>9</v>
      </c>
      <c r="AR595" s="0" t="n">
        <v>64</v>
      </c>
      <c r="AS595" s="0" t="n">
        <v>32</v>
      </c>
      <c r="AU595" s="0" t="n">
        <f aca="false">COUNTA($BA$2469:$EH$2469)</f>
        <v>15</v>
      </c>
      <c r="AV595" s="0" t="n">
        <f aca="false">COUNTIF($BA$2469:$EH$2469,"D")</f>
        <v>1</v>
      </c>
      <c r="AW595" s="0" t="n">
        <f aca="false">COUNTIF($BA$2469:$EH$2469,"R")</f>
        <v>2</v>
      </c>
      <c r="AX595" s="0" t="n">
        <f aca="false"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>1</v>
      </c>
      <c r="AY595" s="0" t="n">
        <f aca="false">COUNTIF(DU595:EH595, "&lt;&gt;")</f>
        <v>0</v>
      </c>
      <c r="AZ595" s="0" t="n">
        <f aca="false">IF(EH595&lt;&gt;"",1,0)</f>
        <v>0</v>
      </c>
      <c r="BB595" s="0" t="s">
        <v>153</v>
      </c>
      <c r="CP595" s="0" t="s">
        <v>154</v>
      </c>
      <c r="CT595" s="0" t="s">
        <v>154</v>
      </c>
      <c r="CY595" s="0" t="s">
        <v>154</v>
      </c>
      <c r="CZ595" s="0" t="s">
        <v>155</v>
      </c>
      <c r="DC595" s="0" t="s">
        <v>154</v>
      </c>
      <c r="DF595" s="0" t="s">
        <v>154</v>
      </c>
      <c r="DI595" s="0" t="s">
        <v>154</v>
      </c>
      <c r="DL595" s="0" t="s">
        <v>154</v>
      </c>
      <c r="DN595" s="0" t="s">
        <v>154</v>
      </c>
      <c r="DO595" s="0" t="s">
        <v>155</v>
      </c>
    </row>
    <row r="596" customFormat="false" ht="13.8" hidden="true" customHeight="false" outlineLevel="0" collapsed="false">
      <c r="A596" s="0" t="s">
        <v>3109</v>
      </c>
      <c r="B596" s="0" t="n">
        <v>78</v>
      </c>
      <c r="C596" s="0" t="n">
        <v>466096</v>
      </c>
      <c r="D596" s="0" t="s">
        <v>1050</v>
      </c>
      <c r="E596" s="0" t="s">
        <v>3110</v>
      </c>
      <c r="F596" s="0" t="str">
        <f aca="false">CONCATENATE(D596," ",LEFT(H596,4),"T=",AU596,"D=",AV596,"R=",AW596,"M=",AX596,"L=",AY596,"B=",AZ596)</f>
        <v>JOHNSON T=2D=0R=0M=0L=0B=0</v>
      </c>
      <c r="I596" s="0" t="s">
        <v>3111</v>
      </c>
      <c r="J596" s="0" t="s">
        <v>3065</v>
      </c>
      <c r="K596" s="0" t="s">
        <v>175</v>
      </c>
      <c r="L596" s="0"/>
      <c r="M596" s="0" t="s">
        <v>3112</v>
      </c>
      <c r="N596" s="0" t="str">
        <f aca="false">RIGHT(M596,LEN(M596)-FIND(" ",M596))</f>
        <v>COMSTOCK ST NW</v>
      </c>
      <c r="P596" s="0" t="s">
        <v>146</v>
      </c>
      <c r="Q596" s="0" t="s">
        <v>147</v>
      </c>
      <c r="R596" s="0" t="n">
        <v>44483</v>
      </c>
      <c r="AD596" s="0" t="s">
        <v>148</v>
      </c>
      <c r="AE596" s="0" t="s">
        <v>149</v>
      </c>
      <c r="AF596" s="0" t="s">
        <v>150</v>
      </c>
      <c r="AH596" s="0" t="n">
        <v>14</v>
      </c>
      <c r="AI596" s="0" t="n">
        <v>11</v>
      </c>
      <c r="AN596" s="0" t="s">
        <v>146</v>
      </c>
      <c r="AO596" s="0" t="s">
        <v>250</v>
      </c>
      <c r="AP596" s="0" t="s">
        <v>251</v>
      </c>
      <c r="AQ596" s="0" t="n">
        <v>9</v>
      </c>
      <c r="AR596" s="0" t="n">
        <v>64</v>
      </c>
      <c r="AS596" s="0" t="n">
        <v>32</v>
      </c>
      <c r="AU596" s="0" t="n">
        <f aca="false">COUNTA($BA$2204:$EH$2204)</f>
        <v>2</v>
      </c>
      <c r="AV596" s="0" t="n">
        <f aca="false">COUNTIF($BA$2204:$EH$2204,"D")</f>
        <v>0</v>
      </c>
      <c r="AW596" s="0" t="n">
        <f aca="false">COUNTIF($BA$2204:$EH$2204,"R")</f>
        <v>0</v>
      </c>
      <c r="AX596" s="0" t="n">
        <f aca="false"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>0</v>
      </c>
      <c r="AY596" s="0" t="n">
        <f aca="false">COUNTIF(DU596:EH596, "&lt;&gt;")</f>
        <v>0</v>
      </c>
      <c r="AZ596" s="0" t="n">
        <f aca="false">IF(EH596&lt;&gt;"",1,0)</f>
        <v>0</v>
      </c>
      <c r="BB596" s="0" t="s">
        <v>153</v>
      </c>
    </row>
    <row r="597" customFormat="false" ht="13.8" hidden="true" customHeight="false" outlineLevel="0" collapsed="false">
      <c r="A597" s="0" t="s">
        <v>3113</v>
      </c>
      <c r="B597" s="0" t="n">
        <v>78</v>
      </c>
      <c r="C597" s="0" t="n">
        <v>494297</v>
      </c>
      <c r="D597" s="0" t="s">
        <v>1588</v>
      </c>
      <c r="E597" s="0" t="s">
        <v>3114</v>
      </c>
      <c r="F597" s="0" t="str">
        <f aca="false">CONCATENATE(D597," ",LEFT(H597,4),"T=",AU597,"D=",AV597,"R=",AW597,"M=",AX597,"L=",AY597,"B=",AZ597)</f>
        <v>HALL IIIT=6D=0R=0M=0L=0B=0</v>
      </c>
      <c r="G597" s="0" t="s">
        <v>271</v>
      </c>
      <c r="H597" s="0" t="s">
        <v>1175</v>
      </c>
      <c r="I597" s="0" t="s">
        <v>3115</v>
      </c>
      <c r="J597" s="0" t="s">
        <v>3116</v>
      </c>
      <c r="K597" s="0" t="s">
        <v>175</v>
      </c>
      <c r="L597" s="0"/>
      <c r="M597" s="0" t="s">
        <v>3112</v>
      </c>
      <c r="N597" s="0" t="str">
        <f aca="false">RIGHT(M597,LEN(M597)-FIND(" ",M597))</f>
        <v>COMSTOCK ST NW</v>
      </c>
      <c r="P597" s="0" t="s">
        <v>146</v>
      </c>
      <c r="Q597" s="0" t="s">
        <v>147</v>
      </c>
      <c r="R597" s="0" t="n">
        <v>44483</v>
      </c>
      <c r="AD597" s="0" t="s">
        <v>148</v>
      </c>
      <c r="AE597" s="0" t="s">
        <v>149</v>
      </c>
      <c r="AF597" s="0" t="s">
        <v>150</v>
      </c>
      <c r="AH597" s="0" t="n">
        <v>14</v>
      </c>
      <c r="AI597" s="0" t="n">
        <v>11</v>
      </c>
      <c r="AN597" s="0" t="s">
        <v>146</v>
      </c>
      <c r="AO597" s="0" t="s">
        <v>250</v>
      </c>
      <c r="AP597" s="0" t="s">
        <v>251</v>
      </c>
      <c r="AQ597" s="0" t="n">
        <v>9</v>
      </c>
      <c r="AR597" s="0" t="n">
        <v>64</v>
      </c>
      <c r="AS597" s="0" t="n">
        <v>32</v>
      </c>
      <c r="AU597" s="0" t="n">
        <f aca="false">COUNTA($BA$2351:$EH$2351)</f>
        <v>6</v>
      </c>
      <c r="AV597" s="0" t="n">
        <f aca="false">COUNTIF($BA$2351:$EH$2351,"D")</f>
        <v>0</v>
      </c>
      <c r="AW597" s="0" t="n">
        <f aca="false">COUNTIF($BA$2351:$EH$2351,"R")</f>
        <v>0</v>
      </c>
      <c r="AX597" s="0" t="n">
        <f aca="false"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>0</v>
      </c>
      <c r="AY597" s="0" t="n">
        <f aca="false">COUNTIF(DU597:EH597, "&lt;&gt;")</f>
        <v>0</v>
      </c>
      <c r="AZ597" s="0" t="n">
        <f aca="false">IF(EH597&lt;&gt;"",1,0)</f>
        <v>0</v>
      </c>
      <c r="BB597" s="0" t="s">
        <v>153</v>
      </c>
    </row>
    <row r="598" customFormat="false" ht="13.8" hidden="false" customHeight="false" outlineLevel="0" collapsed="false">
      <c r="A598" s="0" t="s">
        <v>3117</v>
      </c>
      <c r="B598" s="0" t="n">
        <v>78</v>
      </c>
      <c r="C598" s="0" t="n">
        <v>474153</v>
      </c>
      <c r="D598" s="0" t="s">
        <v>3118</v>
      </c>
      <c r="E598" s="0" t="s">
        <v>652</v>
      </c>
      <c r="F598" s="0" t="str">
        <f aca="false">CONCATENATE(D598," ",LEFT(H598,4),"T=",AU598,"D=",AV598,"R=",AW598,"M=",AX598,"L=",AY598,"B=",AZ598)</f>
        <v>WALTERS T=1D=0R=0M=0L=2B=0</v>
      </c>
      <c r="G598" s="0" t="s">
        <v>822</v>
      </c>
      <c r="I598" s="0" t="s">
        <v>3119</v>
      </c>
      <c r="J598" s="0" t="s">
        <v>3120</v>
      </c>
      <c r="K598" s="0" t="s">
        <v>175</v>
      </c>
      <c r="M598" s="0" t="s">
        <v>3112</v>
      </c>
      <c r="N598" s="0" t="str">
        <f aca="false">RIGHT(M598,LEN(M598)-FIND(" ",M598))</f>
        <v>COMSTOCK ST NW</v>
      </c>
      <c r="P598" s="0" t="s">
        <v>146</v>
      </c>
      <c r="Q598" s="0" t="s">
        <v>147</v>
      </c>
      <c r="R598" s="0" t="n">
        <v>44483</v>
      </c>
      <c r="AD598" s="0" t="s">
        <v>148</v>
      </c>
      <c r="AE598" s="0" t="s">
        <v>149</v>
      </c>
      <c r="AF598" s="0" t="s">
        <v>150</v>
      </c>
      <c r="AH598" s="0" t="n">
        <v>14</v>
      </c>
      <c r="AI598" s="0" t="n">
        <v>11</v>
      </c>
      <c r="AN598" s="0" t="s">
        <v>146</v>
      </c>
      <c r="AO598" s="0" t="s">
        <v>250</v>
      </c>
      <c r="AP598" s="0" t="s">
        <v>251</v>
      </c>
      <c r="AQ598" s="0" t="n">
        <v>9</v>
      </c>
      <c r="AR598" s="0" t="n">
        <v>64</v>
      </c>
      <c r="AS598" s="0" t="n">
        <v>32</v>
      </c>
      <c r="AU598" s="0" t="n">
        <f aca="false">COUNTA($BA$2691:$EH$2691)</f>
        <v>1</v>
      </c>
      <c r="AV598" s="0" t="n">
        <f aca="false">COUNTIF($BA$2691:$EH$2691,"D")</f>
        <v>0</v>
      </c>
      <c r="AW598" s="0" t="n">
        <f aca="false">COUNTIF($BA$2691:$EH$2691,"R")</f>
        <v>0</v>
      </c>
      <c r="AX598" s="0" t="n">
        <f aca="false"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>0</v>
      </c>
      <c r="AY598" s="0" t="n">
        <f aca="false">COUNTIF(DU598:EH598, "&lt;&gt;")</f>
        <v>2</v>
      </c>
      <c r="AZ598" s="0" t="n">
        <f aca="false">IF(EH598&lt;&gt;"",1,0)</f>
        <v>0</v>
      </c>
      <c r="BB598" s="0" t="s">
        <v>153</v>
      </c>
      <c r="EA598" s="0" t="s">
        <v>154</v>
      </c>
      <c r="EF598" s="0" t="s">
        <v>154</v>
      </c>
    </row>
    <row r="599" customFormat="false" ht="13.8" hidden="true" customHeight="false" outlineLevel="0" collapsed="false">
      <c r="A599" s="0" t="s">
        <v>3121</v>
      </c>
      <c r="B599" s="0" t="n">
        <v>78</v>
      </c>
      <c r="C599" s="0" t="n">
        <v>488953</v>
      </c>
      <c r="D599" s="0" t="s">
        <v>2180</v>
      </c>
      <c r="E599" s="0" t="s">
        <v>3122</v>
      </c>
      <c r="F599" s="0" t="str">
        <f aca="false">CONCATENATE(D599," ",LEFT(H599,4),"T=",AU599,"D=",AV599,"R=",AW599,"M=",AX599,"L=",AY599,"B=",AZ599)</f>
        <v>MECHLING T=3D=1R=0M=0L=0B=0</v>
      </c>
      <c r="G599" s="0" t="s">
        <v>939</v>
      </c>
      <c r="I599" s="0" t="s">
        <v>3123</v>
      </c>
      <c r="J599" s="0" t="s">
        <v>3124</v>
      </c>
      <c r="K599" s="0" t="s">
        <v>175</v>
      </c>
      <c r="L599" s="0"/>
      <c r="M599" s="0" t="s">
        <v>3125</v>
      </c>
      <c r="N599" s="0" t="str">
        <f aca="false">RIGHT(M599,LEN(M599)-FIND(" ",M599))</f>
        <v>COMSTOCK ST NW</v>
      </c>
      <c r="P599" s="0" t="s">
        <v>146</v>
      </c>
      <c r="Q599" s="0" t="s">
        <v>147</v>
      </c>
      <c r="R599" s="0" t="n">
        <v>44483</v>
      </c>
      <c r="AD599" s="0" t="s">
        <v>148</v>
      </c>
      <c r="AE599" s="0" t="s">
        <v>149</v>
      </c>
      <c r="AF599" s="0" t="s">
        <v>150</v>
      </c>
      <c r="AH599" s="0" t="n">
        <v>14</v>
      </c>
      <c r="AI599" s="0" t="n">
        <v>11</v>
      </c>
      <c r="AN599" s="0" t="s">
        <v>146</v>
      </c>
      <c r="AO599" s="0" t="s">
        <v>250</v>
      </c>
      <c r="AP599" s="0" t="s">
        <v>251</v>
      </c>
      <c r="AQ599" s="0" t="n">
        <v>9</v>
      </c>
      <c r="AR599" s="0" t="n">
        <v>64</v>
      </c>
      <c r="AS599" s="0" t="n">
        <v>32</v>
      </c>
      <c r="AU599" s="0" t="n">
        <f aca="false">COUNTA($BA$2441:$EH$2441)</f>
        <v>3</v>
      </c>
      <c r="AV599" s="0" t="n">
        <f aca="false">COUNTIF($BA$2441:$EH$2441,"D")</f>
        <v>1</v>
      </c>
      <c r="AW599" s="0" t="n">
        <f aca="false">COUNTIF($BA$2441:$EH$2441,"R")</f>
        <v>0</v>
      </c>
      <c r="AX599" s="0" t="n">
        <f aca="false"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>0</v>
      </c>
      <c r="AY599" s="0" t="n">
        <f aca="false">COUNTIF(DU599:EH599, "&lt;&gt;")</f>
        <v>0</v>
      </c>
      <c r="AZ599" s="0" t="n">
        <f aca="false">IF(EH599&lt;&gt;"",1,0)</f>
        <v>0</v>
      </c>
      <c r="BB599" s="0" t="s">
        <v>153</v>
      </c>
    </row>
    <row r="600" customFormat="false" ht="13.8" hidden="true" customHeight="false" outlineLevel="0" collapsed="false">
      <c r="A600" s="0" t="s">
        <v>3126</v>
      </c>
      <c r="B600" s="0" t="n">
        <v>78</v>
      </c>
      <c r="C600" s="0" t="n">
        <v>127421</v>
      </c>
      <c r="D600" s="0" t="s">
        <v>2235</v>
      </c>
      <c r="E600" s="0" t="s">
        <v>791</v>
      </c>
      <c r="F600" s="0" t="str">
        <f aca="false">CONCATENATE(D600," ",LEFT(H600,4),"T=",AU600,"D=",AV600,"R=",AW600,"M=",AX600,"L=",AY600,"B=",AZ600)</f>
        <v>HARRELL T=1D=0R=0M=0L=1B=0</v>
      </c>
      <c r="I600" s="0" t="s">
        <v>3127</v>
      </c>
      <c r="J600" s="0" t="s">
        <v>3128</v>
      </c>
      <c r="K600" s="0" t="s">
        <v>175</v>
      </c>
      <c r="L600" s="0"/>
      <c r="M600" s="0" t="s">
        <v>3129</v>
      </c>
      <c r="N600" s="0" t="str">
        <f aca="false">RIGHT(M600,LEN(M600)-FIND(" ",M600))</f>
        <v>COMSTOCK ST NW</v>
      </c>
      <c r="P600" s="0" t="s">
        <v>146</v>
      </c>
      <c r="Q600" s="0" t="s">
        <v>147</v>
      </c>
      <c r="R600" s="0" t="n">
        <v>44483</v>
      </c>
      <c r="S600" s="0" t="n">
        <v>3208</v>
      </c>
      <c r="AD600" s="0" t="s">
        <v>148</v>
      </c>
      <c r="AE600" s="0" t="s">
        <v>149</v>
      </c>
      <c r="AF600" s="0" t="s">
        <v>150</v>
      </c>
      <c r="AH600" s="0" t="n">
        <v>14</v>
      </c>
      <c r="AI600" s="0" t="n">
        <v>11</v>
      </c>
      <c r="AN600" s="0" t="s">
        <v>146</v>
      </c>
      <c r="AO600" s="0" t="s">
        <v>250</v>
      </c>
      <c r="AP600" s="0" t="s">
        <v>251</v>
      </c>
      <c r="AQ600" s="0" t="n">
        <v>9</v>
      </c>
      <c r="AR600" s="0" t="n">
        <v>64</v>
      </c>
      <c r="AS600" s="0" t="n">
        <v>32</v>
      </c>
      <c r="AU600" s="0" t="n">
        <f aca="false">COUNTA($BA$2130:$EH$2130)</f>
        <v>1</v>
      </c>
      <c r="AV600" s="0" t="n">
        <f aca="false">COUNTIF($BA$2130:$EH$2130,"D")</f>
        <v>0</v>
      </c>
      <c r="AW600" s="0" t="n">
        <f aca="false">COUNTIF($BA$2130:$EH$2130,"R")</f>
        <v>0</v>
      </c>
      <c r="AX600" s="0" t="n">
        <f aca="false"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>0</v>
      </c>
      <c r="AY600" s="0" t="n">
        <f aca="false">COUNTIF(DU600:EH600, "&lt;&gt;")</f>
        <v>1</v>
      </c>
      <c r="AZ600" s="0" t="n">
        <f aca="false">IF(EH600&lt;&gt;"",1,0)</f>
        <v>0</v>
      </c>
      <c r="BB600" s="0" t="s">
        <v>153</v>
      </c>
      <c r="BC600" s="0" t="s">
        <v>154</v>
      </c>
      <c r="BD600" s="0" t="s">
        <v>154</v>
      </c>
      <c r="BH600" s="0" t="s">
        <v>154</v>
      </c>
      <c r="BK600" s="0" t="s">
        <v>154</v>
      </c>
      <c r="BL600" s="0" t="s">
        <v>154</v>
      </c>
      <c r="BP600" s="0" t="s">
        <v>154</v>
      </c>
      <c r="BY600" s="0" t="s">
        <v>155</v>
      </c>
      <c r="CA600" s="0" t="s">
        <v>154</v>
      </c>
      <c r="CK600" s="0" t="s">
        <v>154</v>
      </c>
      <c r="CP600" s="0" t="s">
        <v>154</v>
      </c>
      <c r="DC600" s="0" t="s">
        <v>154</v>
      </c>
      <c r="EF600" s="0" t="s">
        <v>154</v>
      </c>
    </row>
    <row r="601" customFormat="false" ht="13.8" hidden="false" customHeight="false" outlineLevel="0" collapsed="false">
      <c r="A601" s="0" t="s">
        <v>3130</v>
      </c>
      <c r="B601" s="0" t="n">
        <v>78</v>
      </c>
      <c r="C601" s="0" t="n">
        <v>174786</v>
      </c>
      <c r="D601" s="0" t="s">
        <v>2235</v>
      </c>
      <c r="E601" s="0" t="s">
        <v>1531</v>
      </c>
      <c r="F601" s="0" t="str">
        <f aca="false">CONCATENATE(D601," ",LEFT(H601,4),"T=",AU601,"D=",AV601,"R=",AW601,"M=",AX601,"L=",AY601,"B=",AZ601)</f>
        <v>HARRELL T=16D=7R=0M=0L=2B=0</v>
      </c>
      <c r="G601" s="0" t="s">
        <v>159</v>
      </c>
      <c r="I601" s="0" t="s">
        <v>3131</v>
      </c>
      <c r="J601" s="0" t="s">
        <v>3132</v>
      </c>
      <c r="K601" s="0" t="s">
        <v>175</v>
      </c>
      <c r="M601" s="0" t="s">
        <v>3129</v>
      </c>
      <c r="N601" s="0" t="str">
        <f aca="false">RIGHT(M601,LEN(M601)-FIND(" ",M601))</f>
        <v>COMSTOCK ST NW</v>
      </c>
      <c r="P601" s="0" t="s">
        <v>146</v>
      </c>
      <c r="Q601" s="0" t="s">
        <v>147</v>
      </c>
      <c r="R601" s="0" t="n">
        <v>44483</v>
      </c>
      <c r="AD601" s="0" t="s">
        <v>148</v>
      </c>
      <c r="AE601" s="0" t="s">
        <v>149</v>
      </c>
      <c r="AF601" s="0" t="s">
        <v>150</v>
      </c>
      <c r="AH601" s="0" t="n">
        <v>14</v>
      </c>
      <c r="AI601" s="0" t="n">
        <v>11</v>
      </c>
      <c r="AN601" s="0" t="s">
        <v>146</v>
      </c>
      <c r="AO601" s="0" t="s">
        <v>250</v>
      </c>
      <c r="AP601" s="0" t="s">
        <v>251</v>
      </c>
      <c r="AQ601" s="0" t="n">
        <v>9</v>
      </c>
      <c r="AR601" s="0" t="n">
        <v>64</v>
      </c>
      <c r="AS601" s="0" t="n">
        <v>32</v>
      </c>
      <c r="AU601" s="0" t="n">
        <f aca="false">COUNTA($BA$2226:$EH$2226)</f>
        <v>16</v>
      </c>
      <c r="AV601" s="0" t="n">
        <f aca="false">COUNTIF($BA$2226:$EH$2226,"D")</f>
        <v>7</v>
      </c>
      <c r="AW601" s="0" t="n">
        <f aca="false">COUNTIF($BA$2226:$EH$2226,"R")</f>
        <v>0</v>
      </c>
      <c r="AX601" s="0" t="n">
        <f aca="false"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>0</v>
      </c>
      <c r="AY601" s="0" t="n">
        <f aca="false">COUNTIF(DU601:EH601, "&lt;&gt;")</f>
        <v>2</v>
      </c>
      <c r="AZ601" s="0" t="n">
        <f aca="false">IF(EH601&lt;&gt;"",1,0)</f>
        <v>0</v>
      </c>
      <c r="BB601" s="0" t="s">
        <v>153</v>
      </c>
      <c r="BC601" s="0" t="s">
        <v>154</v>
      </c>
      <c r="BD601" s="0" t="s">
        <v>154</v>
      </c>
      <c r="BH601" s="0" t="s">
        <v>154</v>
      </c>
      <c r="BK601" s="0" t="s">
        <v>154</v>
      </c>
      <c r="BL601" s="0" t="s">
        <v>154</v>
      </c>
      <c r="BP601" s="0" t="s">
        <v>154</v>
      </c>
      <c r="BY601" s="0" t="s">
        <v>155</v>
      </c>
      <c r="CA601" s="0" t="s">
        <v>154</v>
      </c>
      <c r="CK601" s="0" t="s">
        <v>154</v>
      </c>
      <c r="CP601" s="0" t="s">
        <v>154</v>
      </c>
      <c r="DC601" s="0" t="s">
        <v>154</v>
      </c>
      <c r="DU601" s="0" t="s">
        <v>154</v>
      </c>
      <c r="EF601" s="0" t="s">
        <v>154</v>
      </c>
    </row>
    <row r="602" customFormat="false" ht="13.8" hidden="true" customHeight="false" outlineLevel="0" collapsed="false">
      <c r="A602" s="0" t="s">
        <v>3133</v>
      </c>
      <c r="B602" s="0" t="n">
        <v>78</v>
      </c>
      <c r="C602" s="0" t="n">
        <v>364283</v>
      </c>
      <c r="D602" s="0" t="s">
        <v>1184</v>
      </c>
      <c r="E602" s="0" t="s">
        <v>3134</v>
      </c>
      <c r="F602" s="0" t="str">
        <f aca="false">CONCATENATE(D602," ",LEFT(H602,4),"T=",AU602,"D=",AV602,"R=",AW602,"M=",AX602,"L=",AY602,"B=",AZ602)</f>
        <v>PATTERSON T=22D=4R=2M=0L=0B=0</v>
      </c>
      <c r="G602" s="0" t="s">
        <v>241</v>
      </c>
      <c r="I602" s="0" t="s">
        <v>3135</v>
      </c>
      <c r="J602" s="0" t="s">
        <v>3136</v>
      </c>
      <c r="K602" s="0" t="s">
        <v>144</v>
      </c>
      <c r="L602" s="0"/>
      <c r="M602" s="0" t="s">
        <v>3137</v>
      </c>
      <c r="N602" s="0" t="str">
        <f aca="false">RIGHT(M602,LEN(M602)-FIND(" ",M602))</f>
        <v>COMSTOCK ST NW</v>
      </c>
      <c r="P602" s="0" t="s">
        <v>146</v>
      </c>
      <c r="Q602" s="0" t="s">
        <v>147</v>
      </c>
      <c r="R602" s="0" t="n">
        <v>44483</v>
      </c>
      <c r="AD602" s="0" t="s">
        <v>148</v>
      </c>
      <c r="AE602" s="0" t="s">
        <v>149</v>
      </c>
      <c r="AF602" s="0" t="s">
        <v>150</v>
      </c>
      <c r="AH602" s="0" t="n">
        <v>14</v>
      </c>
      <c r="AI602" s="0" t="n">
        <v>11</v>
      </c>
      <c r="AN602" s="0" t="s">
        <v>146</v>
      </c>
      <c r="AO602" s="0" t="s">
        <v>250</v>
      </c>
      <c r="AP602" s="0" t="s">
        <v>251</v>
      </c>
      <c r="AQ602" s="0" t="n">
        <v>9</v>
      </c>
      <c r="AR602" s="0" t="n">
        <v>64</v>
      </c>
      <c r="AS602" s="0" t="n">
        <v>32</v>
      </c>
      <c r="AU602" s="0" t="n">
        <f aca="false">COUNTA($BA$2756:$EH$2756)</f>
        <v>22</v>
      </c>
      <c r="AV602" s="0" t="n">
        <f aca="false">COUNTIF($BA$2756:$EH$2756,"D")</f>
        <v>4</v>
      </c>
      <c r="AW602" s="0" t="n">
        <f aca="false">COUNTIF($BA$2756:$EH$2756,"R")</f>
        <v>2</v>
      </c>
      <c r="AX602" s="0" t="n">
        <f aca="false"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>0</v>
      </c>
      <c r="AY602" s="0" t="n">
        <f aca="false">COUNTIF(DU602:EH602, "&lt;&gt;")</f>
        <v>0</v>
      </c>
      <c r="AZ602" s="0" t="n">
        <f aca="false">IF(EH602&lt;&gt;"",1,0)</f>
        <v>0</v>
      </c>
      <c r="BB602" s="0" t="s">
        <v>153</v>
      </c>
    </row>
    <row r="603" customFormat="false" ht="13.8" hidden="true" customHeight="false" outlineLevel="0" collapsed="false">
      <c r="A603" s="0" t="s">
        <v>3138</v>
      </c>
      <c r="B603" s="0" t="n">
        <v>78</v>
      </c>
      <c r="C603" s="0" t="n">
        <v>250483</v>
      </c>
      <c r="D603" s="0" t="s">
        <v>675</v>
      </c>
      <c r="E603" s="0" t="s">
        <v>1980</v>
      </c>
      <c r="F603" s="0" t="str">
        <f aca="false">CONCATENATE(D603," ",LEFT(H603,4),"T=",AU603,"D=",AV603,"R=",AW603,"M=",AX603,"L=",AY603,"B=",AZ603)</f>
        <v>ANDERSON T=1D=0R=0M=0L=0B=0</v>
      </c>
      <c r="G603" s="0" t="s">
        <v>3139</v>
      </c>
      <c r="I603" s="0" t="s">
        <v>3140</v>
      </c>
      <c r="J603" s="0" t="s">
        <v>3141</v>
      </c>
      <c r="K603" s="0" t="s">
        <v>175</v>
      </c>
      <c r="L603" s="0"/>
      <c r="M603" s="0" t="s">
        <v>3142</v>
      </c>
      <c r="N603" s="0" t="str">
        <f aca="false">RIGHT(M603,LEN(M603)-FIND(" ",M603))</f>
        <v>COMSTOCK ST NW</v>
      </c>
      <c r="P603" s="0" t="s">
        <v>146</v>
      </c>
      <c r="Q603" s="0" t="s">
        <v>147</v>
      </c>
      <c r="R603" s="0" t="n">
        <v>44483</v>
      </c>
      <c r="AD603" s="0" t="s">
        <v>148</v>
      </c>
      <c r="AE603" s="0" t="s">
        <v>149</v>
      </c>
      <c r="AF603" s="0" t="s">
        <v>150</v>
      </c>
      <c r="AH603" s="0" t="n">
        <v>14</v>
      </c>
      <c r="AI603" s="0" t="n">
        <v>11</v>
      </c>
      <c r="AN603" s="0" t="s">
        <v>146</v>
      </c>
      <c r="AO603" s="0" t="s">
        <v>250</v>
      </c>
      <c r="AP603" s="0" t="s">
        <v>251</v>
      </c>
      <c r="AQ603" s="0" t="n">
        <v>9</v>
      </c>
      <c r="AR603" s="0" t="n">
        <v>64</v>
      </c>
      <c r="AS603" s="0" t="n">
        <v>32</v>
      </c>
      <c r="AU603" s="0" t="n">
        <f aca="false">COUNTA($BA$2251:$EH$2251)</f>
        <v>1</v>
      </c>
      <c r="AV603" s="0" t="n">
        <f aca="false">COUNTIF($BA$2251:$EH$2251,"D")</f>
        <v>0</v>
      </c>
      <c r="AW603" s="0" t="n">
        <f aca="false">COUNTIF($BA$2251:$EH$2251,"R")</f>
        <v>0</v>
      </c>
      <c r="AX603" s="0" t="n">
        <f aca="false"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>0</v>
      </c>
      <c r="AY603" s="0" t="n">
        <f aca="false">COUNTIF(DU603:EH603, "&lt;&gt;")</f>
        <v>0</v>
      </c>
      <c r="AZ603" s="0" t="n">
        <f aca="false">IF(EH603&lt;&gt;"",1,0)</f>
        <v>0</v>
      </c>
      <c r="BB603" s="0" t="s">
        <v>153</v>
      </c>
      <c r="BE603" s="0" t="s">
        <v>154</v>
      </c>
      <c r="BG603" s="0" t="s">
        <v>154</v>
      </c>
      <c r="BL603" s="0" t="s">
        <v>154</v>
      </c>
      <c r="BS603" s="0" t="s">
        <v>154</v>
      </c>
    </row>
    <row r="604" customFormat="false" ht="13.8" hidden="true" customHeight="false" outlineLevel="0" collapsed="false">
      <c r="A604" s="0" t="s">
        <v>3143</v>
      </c>
      <c r="B604" s="0" t="n">
        <v>78</v>
      </c>
      <c r="C604" s="0" t="n">
        <v>423060</v>
      </c>
      <c r="D604" s="0" t="s">
        <v>3144</v>
      </c>
      <c r="E604" s="0" t="s">
        <v>2060</v>
      </c>
      <c r="F604" s="0" t="str">
        <f aca="false">CONCATENATE(D604," ",LEFT(H604,4),"T=",AU604,"D=",AV604,"R=",AW604,"M=",AX604,"L=",AY604,"B=",AZ604)</f>
        <v>CINADR T=25D=6R=0M=0L=0B=0</v>
      </c>
      <c r="G604" s="0" t="s">
        <v>690</v>
      </c>
      <c r="I604" s="0" t="s">
        <v>3145</v>
      </c>
      <c r="J604" s="0" t="s">
        <v>3146</v>
      </c>
      <c r="K604" s="0" t="s">
        <v>175</v>
      </c>
      <c r="L604" s="0"/>
      <c r="M604" s="0" t="s">
        <v>3147</v>
      </c>
      <c r="N604" s="0" t="str">
        <f aca="false">RIGHT(M604,LEN(M604)-FIND(" ",M604))</f>
        <v>COMSTOCK ST NW</v>
      </c>
      <c r="P604" s="0" t="s">
        <v>146</v>
      </c>
      <c r="Q604" s="0" t="s">
        <v>147</v>
      </c>
      <c r="R604" s="0" t="n">
        <v>44483</v>
      </c>
      <c r="AD604" s="0" t="s">
        <v>148</v>
      </c>
      <c r="AE604" s="0" t="s">
        <v>149</v>
      </c>
      <c r="AF604" s="0" t="s">
        <v>150</v>
      </c>
      <c r="AH604" s="0" t="n">
        <v>14</v>
      </c>
      <c r="AI604" s="0" t="n">
        <v>11</v>
      </c>
      <c r="AN604" s="0" t="s">
        <v>146</v>
      </c>
      <c r="AO604" s="0" t="s">
        <v>250</v>
      </c>
      <c r="AP604" s="0" t="s">
        <v>251</v>
      </c>
      <c r="AQ604" s="0" t="n">
        <v>9</v>
      </c>
      <c r="AR604" s="0" t="n">
        <v>64</v>
      </c>
      <c r="AS604" s="0" t="n">
        <v>32</v>
      </c>
      <c r="AU604" s="0" t="n">
        <f aca="false">COUNTA($BA$2180:$EH$2180)</f>
        <v>25</v>
      </c>
      <c r="AV604" s="0" t="n">
        <f aca="false">COUNTIF($BA$2180:$EH$2180,"D")</f>
        <v>6</v>
      </c>
      <c r="AW604" s="0" t="n">
        <f aca="false">COUNTIF($BA$2180:$EH$2180,"R")</f>
        <v>0</v>
      </c>
      <c r="AX604" s="0" t="n">
        <f aca="false"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>0</v>
      </c>
      <c r="AY604" s="0" t="n">
        <f aca="false">COUNTIF(DU604:EH604, "&lt;&gt;")</f>
        <v>0</v>
      </c>
      <c r="AZ604" s="0" t="n">
        <f aca="false">IF(EH604&lt;&gt;"",1,0)</f>
        <v>0</v>
      </c>
      <c r="BB604" s="0" t="s">
        <v>153</v>
      </c>
      <c r="BH604" s="0" t="s">
        <v>154</v>
      </c>
      <c r="BK604" s="0" t="s">
        <v>155</v>
      </c>
      <c r="BL604" s="0" t="s">
        <v>154</v>
      </c>
      <c r="BM604" s="0" t="s">
        <v>154</v>
      </c>
      <c r="CA604" s="0" t="s">
        <v>154</v>
      </c>
      <c r="CG604" s="0" t="s">
        <v>154</v>
      </c>
      <c r="CN604" s="0" t="s">
        <v>154</v>
      </c>
    </row>
    <row r="605" customFormat="false" ht="13.8" hidden="true" customHeight="false" outlineLevel="0" collapsed="false">
      <c r="A605" s="0" t="s">
        <v>3148</v>
      </c>
      <c r="B605" s="0" t="n">
        <v>78</v>
      </c>
      <c r="C605" s="0" t="n">
        <v>409425</v>
      </c>
      <c r="D605" s="0" t="s">
        <v>3149</v>
      </c>
      <c r="E605" s="0" t="s">
        <v>1295</v>
      </c>
      <c r="F605" s="0" t="str">
        <f aca="false">CONCATENATE(D605," ",LEFT(H605,4),"T=",AU605,"D=",AV605,"R=",AW605,"M=",AX605,"L=",AY605,"B=",AZ605)</f>
        <v>CALHOUN SRT=1D=0R=0M=0L=0B=0</v>
      </c>
      <c r="G605" s="0" t="s">
        <v>939</v>
      </c>
      <c r="H605" s="0" t="s">
        <v>311</v>
      </c>
      <c r="I605" s="0" t="s">
        <v>3150</v>
      </c>
      <c r="J605" s="0" t="s">
        <v>1607</v>
      </c>
      <c r="K605" s="0" t="s">
        <v>175</v>
      </c>
      <c r="L605" s="0"/>
      <c r="M605" s="0" t="s">
        <v>3147</v>
      </c>
      <c r="N605" s="0" t="str">
        <f aca="false">RIGHT(M605,LEN(M605)-FIND(" ",M605))</f>
        <v>COMSTOCK ST NW</v>
      </c>
      <c r="P605" s="0" t="s">
        <v>146</v>
      </c>
      <c r="Q605" s="0" t="s">
        <v>147</v>
      </c>
      <c r="R605" s="0" t="n">
        <v>44483</v>
      </c>
      <c r="AD605" s="0" t="s">
        <v>148</v>
      </c>
      <c r="AE605" s="0" t="s">
        <v>149</v>
      </c>
      <c r="AF605" s="0" t="s">
        <v>150</v>
      </c>
      <c r="AH605" s="0" t="n">
        <v>14</v>
      </c>
      <c r="AI605" s="0" t="n">
        <v>11</v>
      </c>
      <c r="AN605" s="0" t="s">
        <v>146</v>
      </c>
      <c r="AO605" s="0" t="s">
        <v>250</v>
      </c>
      <c r="AP605" s="0" t="s">
        <v>251</v>
      </c>
      <c r="AQ605" s="0" t="n">
        <v>9</v>
      </c>
      <c r="AR605" s="0" t="n">
        <v>64</v>
      </c>
      <c r="AS605" s="0" t="n">
        <v>32</v>
      </c>
      <c r="AU605" s="0" t="n">
        <f aca="false">COUNTA($BA$2278:$EH$2278)</f>
        <v>1</v>
      </c>
      <c r="AV605" s="0" t="n">
        <f aca="false">COUNTIF($BA$2278:$EH$2278,"D")</f>
        <v>0</v>
      </c>
      <c r="AW605" s="0" t="n">
        <f aca="false">COUNTIF($BA$2278:$EH$2278,"R")</f>
        <v>0</v>
      </c>
      <c r="AX605" s="0" t="n">
        <f aca="false"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>0</v>
      </c>
      <c r="AY605" s="0" t="n">
        <f aca="false">COUNTIF(DU605:EH605, "&lt;&gt;")</f>
        <v>0</v>
      </c>
      <c r="AZ605" s="0" t="n">
        <f aca="false">IF(EH605&lt;&gt;"",1,0)</f>
        <v>0</v>
      </c>
      <c r="BB605" s="0" t="s">
        <v>153</v>
      </c>
    </row>
    <row r="606" customFormat="false" ht="13.8" hidden="true" customHeight="false" outlineLevel="0" collapsed="false">
      <c r="A606" s="0" t="s">
        <v>3151</v>
      </c>
      <c r="B606" s="0" t="n">
        <v>78</v>
      </c>
      <c r="C606" s="0" t="n">
        <v>426194</v>
      </c>
      <c r="D606" s="0" t="s">
        <v>3152</v>
      </c>
      <c r="E606" s="0" t="s">
        <v>640</v>
      </c>
      <c r="F606" s="0" t="str">
        <f aca="false">CONCATENATE(D606," ",LEFT(H606,4),"T=",AU606,"D=",AV606,"R=",AW606,"M=",AX606,"L=",AY606,"B=",AZ606)</f>
        <v>PUDVAH T=3D=0R=0M=0L=0B=0</v>
      </c>
      <c r="G606" s="0" t="s">
        <v>3153</v>
      </c>
      <c r="I606" s="0" t="s">
        <v>3154</v>
      </c>
      <c r="J606" s="0" t="s">
        <v>757</v>
      </c>
      <c r="K606" s="0" t="s">
        <v>175</v>
      </c>
      <c r="L606" s="0"/>
      <c r="M606" s="0" t="s">
        <v>3155</v>
      </c>
      <c r="N606" s="0" t="str">
        <f aca="false">RIGHT(M606,LEN(M606)-FIND(" ",M606))</f>
        <v>COMSTOCK ST NW</v>
      </c>
      <c r="P606" s="0" t="s">
        <v>146</v>
      </c>
      <c r="Q606" s="0" t="s">
        <v>147</v>
      </c>
      <c r="R606" s="0" t="n">
        <v>44483</v>
      </c>
      <c r="AD606" s="0" t="s">
        <v>148</v>
      </c>
      <c r="AE606" s="0" t="s">
        <v>149</v>
      </c>
      <c r="AF606" s="0" t="s">
        <v>150</v>
      </c>
      <c r="AH606" s="0" t="n">
        <v>14</v>
      </c>
      <c r="AI606" s="0" t="n">
        <v>11</v>
      </c>
      <c r="AN606" s="0" t="s">
        <v>146</v>
      </c>
      <c r="AO606" s="0" t="s">
        <v>250</v>
      </c>
      <c r="AP606" s="0" t="s">
        <v>251</v>
      </c>
      <c r="AQ606" s="0" t="n">
        <v>9</v>
      </c>
      <c r="AR606" s="0" t="n">
        <v>64</v>
      </c>
      <c r="AS606" s="0" t="n">
        <v>32</v>
      </c>
      <c r="AU606" s="0" t="n">
        <f aca="false">COUNTA($BA$2555:$EH$2555)</f>
        <v>3</v>
      </c>
      <c r="AV606" s="0" t="n">
        <f aca="false">COUNTIF($BA$2555:$EH$2555,"D")</f>
        <v>0</v>
      </c>
      <c r="AW606" s="0" t="n">
        <f aca="false">COUNTIF($BA$2555:$EH$2555,"R")</f>
        <v>0</v>
      </c>
      <c r="AX606" s="0" t="n">
        <f aca="false"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>0</v>
      </c>
      <c r="AY606" s="0" t="n">
        <f aca="false">COUNTIF(DU606:EH606, "&lt;&gt;")</f>
        <v>0</v>
      </c>
      <c r="AZ606" s="0" t="n">
        <f aca="false">IF(EH606&lt;&gt;"",1,0)</f>
        <v>0</v>
      </c>
      <c r="BB606" s="0" t="s">
        <v>153</v>
      </c>
    </row>
    <row r="607" customFormat="false" ht="13.8" hidden="true" customHeight="false" outlineLevel="0" collapsed="false">
      <c r="A607" s="0" t="s">
        <v>3156</v>
      </c>
      <c r="B607" s="0" t="n">
        <v>78</v>
      </c>
      <c r="C607" s="0" t="n">
        <v>353184</v>
      </c>
      <c r="D607" s="0" t="s">
        <v>1379</v>
      </c>
      <c r="E607" s="0" t="s">
        <v>1545</v>
      </c>
      <c r="F607" s="0" t="str">
        <f aca="false">CONCATENATE(D607," ",LEFT(H607,4),"T=",AU607,"D=",AV607,"R=",AW607,"M=",AX607,"L=",AY607,"B=",AZ607)</f>
        <v>TILTON JRT=43D=13R=0M=0L=0B=0</v>
      </c>
      <c r="G607" s="0" t="s">
        <v>166</v>
      </c>
      <c r="H607" s="0" t="s">
        <v>431</v>
      </c>
      <c r="I607" s="0" t="s">
        <v>3157</v>
      </c>
      <c r="J607" s="0" t="s">
        <v>285</v>
      </c>
      <c r="K607" s="0" t="s">
        <v>144</v>
      </c>
      <c r="L607" s="0"/>
      <c r="M607" s="0" t="s">
        <v>3158</v>
      </c>
      <c r="N607" s="0" t="str">
        <f aca="false">RIGHT(M607,LEN(M607)-FIND(" ",M607))</f>
        <v>COMSTOCK ST NW</v>
      </c>
      <c r="P607" s="0" t="s">
        <v>146</v>
      </c>
      <c r="Q607" s="0" t="s">
        <v>147</v>
      </c>
      <c r="R607" s="0" t="n">
        <v>44483</v>
      </c>
      <c r="AD607" s="0" t="s">
        <v>148</v>
      </c>
      <c r="AE607" s="0" t="s">
        <v>149</v>
      </c>
      <c r="AF607" s="0" t="s">
        <v>150</v>
      </c>
      <c r="AH607" s="0" t="n">
        <v>14</v>
      </c>
      <c r="AI607" s="0" t="n">
        <v>11</v>
      </c>
      <c r="AN607" s="0" t="s">
        <v>146</v>
      </c>
      <c r="AO607" s="0" t="s">
        <v>250</v>
      </c>
      <c r="AP607" s="0" t="s">
        <v>251</v>
      </c>
      <c r="AQ607" s="0" t="n">
        <v>9</v>
      </c>
      <c r="AR607" s="0" t="n">
        <v>64</v>
      </c>
      <c r="AS607" s="0" t="n">
        <v>32</v>
      </c>
      <c r="AU607" s="0" t="n">
        <f aca="false">COUNTA($BA$2330:$EH$2330)</f>
        <v>43</v>
      </c>
      <c r="AV607" s="0" t="n">
        <f aca="false">COUNTIF($BA$2330:$EH$2330,"D")</f>
        <v>13</v>
      </c>
      <c r="AW607" s="0" t="n">
        <f aca="false">COUNTIF($BA$2330:$EH$2330,"R")</f>
        <v>0</v>
      </c>
      <c r="AX607" s="0" t="n">
        <f aca="false"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>0</v>
      </c>
      <c r="AY607" s="0" t="n">
        <f aca="false">COUNTIF(DU607:EH607, "&lt;&gt;")</f>
        <v>0</v>
      </c>
      <c r="AZ607" s="0" t="n">
        <f aca="false">IF(EH607&lt;&gt;"",1,0)</f>
        <v>0</v>
      </c>
      <c r="BB607" s="0" t="s">
        <v>153</v>
      </c>
    </row>
    <row r="608" customFormat="false" ht="13.8" hidden="false" customHeight="false" outlineLevel="0" collapsed="false">
      <c r="A608" s="0" t="s">
        <v>3159</v>
      </c>
      <c r="B608" s="0" t="n">
        <v>78</v>
      </c>
      <c r="C608" s="0" t="n">
        <v>446793</v>
      </c>
      <c r="D608" s="0" t="s">
        <v>3160</v>
      </c>
      <c r="E608" s="0" t="s">
        <v>3161</v>
      </c>
      <c r="F608" s="0" t="str">
        <f aca="false">CONCATENATE(D608," ",LEFT(H608,4),"T=",AU608,"D=",AV608,"R=",AW608,"M=",AX608,"L=",AY608,"B=",AZ608)</f>
        <v>GATTI T=5D=0R=0M=0L=2B=0</v>
      </c>
      <c r="G608" s="0" t="s">
        <v>3162</v>
      </c>
      <c r="I608" s="0" t="s">
        <v>3163</v>
      </c>
      <c r="J608" s="0" t="s">
        <v>3164</v>
      </c>
      <c r="K608" s="0" t="s">
        <v>175</v>
      </c>
      <c r="M608" s="0" t="s">
        <v>3165</v>
      </c>
      <c r="N608" s="0" t="str">
        <f aca="false">RIGHT(M608,LEN(M608)-FIND(" ",M608))</f>
        <v>COMSTOCK ST NW</v>
      </c>
      <c r="P608" s="0" t="s">
        <v>146</v>
      </c>
      <c r="Q608" s="0" t="s">
        <v>147</v>
      </c>
      <c r="R608" s="0" t="n">
        <v>44483</v>
      </c>
      <c r="AD608" s="0" t="s">
        <v>148</v>
      </c>
      <c r="AE608" s="0" t="s">
        <v>149</v>
      </c>
      <c r="AF608" s="0" t="s">
        <v>150</v>
      </c>
      <c r="AH608" s="0" t="n">
        <v>14</v>
      </c>
      <c r="AI608" s="0" t="n">
        <v>11</v>
      </c>
      <c r="AN608" s="0" t="s">
        <v>146</v>
      </c>
      <c r="AO608" s="0" t="s">
        <v>250</v>
      </c>
      <c r="AP608" s="0" t="s">
        <v>251</v>
      </c>
      <c r="AQ608" s="0" t="n">
        <v>9</v>
      </c>
      <c r="AR608" s="0" t="n">
        <v>64</v>
      </c>
      <c r="AS608" s="0" t="n">
        <v>32</v>
      </c>
      <c r="AU608" s="0" t="n">
        <f aca="false">COUNTA($BA$2073:$EH$2073)</f>
        <v>5</v>
      </c>
      <c r="AV608" s="0" t="n">
        <f aca="false">COUNTIF($BA$2073:$EH$2073,"D")</f>
        <v>0</v>
      </c>
      <c r="AW608" s="0" t="n">
        <f aca="false">COUNTIF($BA$2073:$EH$2073,"R")</f>
        <v>0</v>
      </c>
      <c r="AX608" s="0" t="n">
        <f aca="false"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>0</v>
      </c>
      <c r="AY608" s="0" t="n">
        <f aca="false">COUNTIF(DU608:EH608, "&lt;&gt;")</f>
        <v>2</v>
      </c>
      <c r="AZ608" s="0" t="n">
        <f aca="false">IF(EH608&lt;&gt;"",1,0)</f>
        <v>0</v>
      </c>
      <c r="BB608" s="0" t="s">
        <v>153</v>
      </c>
      <c r="DN608" s="0" t="s">
        <v>154</v>
      </c>
      <c r="EA608" s="0" t="s">
        <v>154</v>
      </c>
      <c r="EF608" s="0" t="s">
        <v>154</v>
      </c>
    </row>
    <row r="609" customFormat="false" ht="13.8" hidden="false" customHeight="false" outlineLevel="0" collapsed="false">
      <c r="A609" s="0" t="s">
        <v>3166</v>
      </c>
      <c r="B609" s="0" t="n">
        <v>78</v>
      </c>
      <c r="C609" s="0" t="n">
        <v>162461</v>
      </c>
      <c r="D609" s="0" t="s">
        <v>3167</v>
      </c>
      <c r="E609" s="0" t="s">
        <v>690</v>
      </c>
      <c r="F609" s="0" t="str">
        <f aca="false">CONCATENATE(D609," ",LEFT(H609,4),"T=",AU609,"D=",AV609,"R=",AW609,"M=",AX609,"L=",AY609,"B=",AZ609)</f>
        <v>YANCEY T=53D=19R=0M=9L=7B=1</v>
      </c>
      <c r="G609" s="0" t="s">
        <v>172</v>
      </c>
      <c r="I609" s="0" t="s">
        <v>3168</v>
      </c>
      <c r="J609" s="0" t="s">
        <v>3169</v>
      </c>
      <c r="K609" s="0" t="s">
        <v>175</v>
      </c>
      <c r="L609" s="1" t="s">
        <v>155</v>
      </c>
      <c r="M609" s="0" t="s">
        <v>3170</v>
      </c>
      <c r="N609" s="0" t="str">
        <f aca="false">RIGHT(M609,LEN(M609)-FIND(" ",M609))</f>
        <v>COMSTOCK ST NW</v>
      </c>
      <c r="P609" s="0" t="s">
        <v>146</v>
      </c>
      <c r="Q609" s="0" t="s">
        <v>147</v>
      </c>
      <c r="R609" s="0" t="n">
        <v>44483</v>
      </c>
      <c r="AD609" s="0" t="s">
        <v>148</v>
      </c>
      <c r="AE609" s="0" t="s">
        <v>149</v>
      </c>
      <c r="AF609" s="0" t="s">
        <v>150</v>
      </c>
      <c r="AH609" s="0" t="n">
        <v>14</v>
      </c>
      <c r="AI609" s="0" t="n">
        <v>11</v>
      </c>
      <c r="AN609" s="0" t="s">
        <v>146</v>
      </c>
      <c r="AO609" s="0" t="s">
        <v>250</v>
      </c>
      <c r="AP609" s="0" t="s">
        <v>251</v>
      </c>
      <c r="AQ609" s="0" t="n">
        <v>9</v>
      </c>
      <c r="AR609" s="0" t="n">
        <v>64</v>
      </c>
      <c r="AS609" s="0" t="n">
        <v>32</v>
      </c>
      <c r="AU609" s="0" t="n">
        <f aca="false">COUNTA($BA$2237:$EH$2237)</f>
        <v>53</v>
      </c>
      <c r="AV609" s="0" t="n">
        <f aca="false">COUNTIF($BA$2237:$EH$2237,"D")</f>
        <v>19</v>
      </c>
      <c r="AW609" s="0" t="n">
        <f aca="false">COUNTIF($BA$2237:$EH$2237,"R")</f>
        <v>0</v>
      </c>
      <c r="AX609" s="0" t="n">
        <f aca="false"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>9</v>
      </c>
      <c r="AY609" s="0" t="n">
        <f aca="false">COUNTIF(DU609:EH609, "&lt;&gt;")</f>
        <v>7</v>
      </c>
      <c r="AZ609" s="0" t="n">
        <f aca="false">IF(EH609&lt;&gt;"",1,0)</f>
        <v>1</v>
      </c>
      <c r="BB609" s="0" t="s">
        <v>153</v>
      </c>
      <c r="BC609" s="0" t="s">
        <v>154</v>
      </c>
      <c r="BD609" s="0" t="s">
        <v>154</v>
      </c>
      <c r="BE609" s="0" t="s">
        <v>154</v>
      </c>
      <c r="BG609" s="0" t="s">
        <v>154</v>
      </c>
      <c r="BH609" s="0" t="s">
        <v>154</v>
      </c>
      <c r="BI609" s="0" t="s">
        <v>154</v>
      </c>
      <c r="BJ609" s="0" t="s">
        <v>154</v>
      </c>
      <c r="BK609" s="0" t="s">
        <v>154</v>
      </c>
      <c r="BL609" s="0" t="s">
        <v>154</v>
      </c>
      <c r="BP609" s="0" t="s">
        <v>154</v>
      </c>
      <c r="BR609" s="0" t="s">
        <v>154</v>
      </c>
      <c r="BS609" s="0" t="s">
        <v>154</v>
      </c>
      <c r="BY609" s="0" t="s">
        <v>155</v>
      </c>
      <c r="CA609" s="0" t="s">
        <v>154</v>
      </c>
      <c r="CC609" s="0" t="s">
        <v>155</v>
      </c>
      <c r="CG609" s="0" t="s">
        <v>154</v>
      </c>
      <c r="CK609" s="0" t="s">
        <v>154</v>
      </c>
      <c r="CL609" s="0" t="s">
        <v>155</v>
      </c>
      <c r="CN609" s="0" t="s">
        <v>154</v>
      </c>
      <c r="CO609" s="0" t="s">
        <v>155</v>
      </c>
      <c r="CP609" s="0" t="s">
        <v>154</v>
      </c>
      <c r="CQ609" s="0" t="s">
        <v>155</v>
      </c>
      <c r="CT609" s="0" t="s">
        <v>154</v>
      </c>
      <c r="CU609" s="0" t="s">
        <v>155</v>
      </c>
      <c r="CV609" s="0" t="s">
        <v>154</v>
      </c>
      <c r="CW609" s="0" t="s">
        <v>155</v>
      </c>
      <c r="CY609" s="0" t="s">
        <v>154</v>
      </c>
      <c r="CZ609" s="0" t="s">
        <v>155</v>
      </c>
      <c r="DC609" s="0" t="s">
        <v>154</v>
      </c>
      <c r="DD609" s="0" t="s">
        <v>155</v>
      </c>
      <c r="DF609" s="0" t="s">
        <v>154</v>
      </c>
      <c r="DG609" s="0" t="s">
        <v>155</v>
      </c>
      <c r="DI609" s="0" t="s">
        <v>154</v>
      </c>
      <c r="DJ609" s="0" t="s">
        <v>155</v>
      </c>
      <c r="DL609" s="0" t="s">
        <v>154</v>
      </c>
      <c r="DM609" s="0" t="s">
        <v>155</v>
      </c>
      <c r="DN609" s="0" t="s">
        <v>154</v>
      </c>
      <c r="DO609" s="0" t="s">
        <v>155</v>
      </c>
      <c r="DR609" s="0" t="s">
        <v>154</v>
      </c>
      <c r="DS609" s="0" t="s">
        <v>155</v>
      </c>
      <c r="DT609" s="0" t="s">
        <v>155</v>
      </c>
      <c r="DU609" s="0" t="s">
        <v>154</v>
      </c>
      <c r="DW609" s="0" t="s">
        <v>155</v>
      </c>
      <c r="DX609" s="0" t="s">
        <v>154</v>
      </c>
      <c r="EA609" s="0" t="s">
        <v>154</v>
      </c>
      <c r="ED609" s="0" t="s">
        <v>155</v>
      </c>
      <c r="EF609" s="0" t="s">
        <v>154</v>
      </c>
      <c r="EH609" s="0" t="s">
        <v>155</v>
      </c>
    </row>
    <row r="610" customFormat="false" ht="13.8" hidden="false" customHeight="false" outlineLevel="0" collapsed="false">
      <c r="A610" s="0" t="s">
        <v>3171</v>
      </c>
      <c r="B610" s="0" t="n">
        <v>78</v>
      </c>
      <c r="C610" s="0" t="n">
        <v>336859</v>
      </c>
      <c r="D610" s="0" t="s">
        <v>3167</v>
      </c>
      <c r="E610" s="0" t="s">
        <v>3172</v>
      </c>
      <c r="F610" s="0" t="str">
        <f aca="false">CONCATENATE(D610," ",LEFT(H610,4),"T=",AU610,"D=",AV610,"R=",AW610,"M=",AX610,"L=",AY610,"B=",AZ610)</f>
        <v>YANCEY T=9D=1R=0M=9L=7B=1</v>
      </c>
      <c r="G610" s="0" t="s">
        <v>202</v>
      </c>
      <c r="I610" s="0" t="s">
        <v>3173</v>
      </c>
      <c r="J610" s="0" t="s">
        <v>3174</v>
      </c>
      <c r="K610" s="0" t="s">
        <v>175</v>
      </c>
      <c r="L610" s="1" t="s">
        <v>155</v>
      </c>
      <c r="M610" s="0" t="s">
        <v>3170</v>
      </c>
      <c r="N610" s="0" t="str">
        <f aca="false">RIGHT(M610,LEN(M610)-FIND(" ",M610))</f>
        <v>COMSTOCK ST NW</v>
      </c>
      <c r="P610" s="0" t="s">
        <v>146</v>
      </c>
      <c r="Q610" s="0" t="s">
        <v>147</v>
      </c>
      <c r="R610" s="0" t="n">
        <v>44483</v>
      </c>
      <c r="AD610" s="0" t="s">
        <v>148</v>
      </c>
      <c r="AE610" s="0" t="s">
        <v>149</v>
      </c>
      <c r="AF610" s="0" t="s">
        <v>150</v>
      </c>
      <c r="AH610" s="0" t="n">
        <v>14</v>
      </c>
      <c r="AI610" s="0" t="n">
        <v>11</v>
      </c>
      <c r="AN610" s="0" t="s">
        <v>146</v>
      </c>
      <c r="AO610" s="0" t="s">
        <v>250</v>
      </c>
      <c r="AP610" s="0" t="s">
        <v>251</v>
      </c>
      <c r="AQ610" s="0" t="n">
        <v>9</v>
      </c>
      <c r="AR610" s="0" t="n">
        <v>64</v>
      </c>
      <c r="AS610" s="0" t="n">
        <v>32</v>
      </c>
      <c r="AU610" s="0" t="n">
        <f aca="false">COUNTA($BA$2409:$EH$2409)</f>
        <v>9</v>
      </c>
      <c r="AV610" s="0" t="n">
        <f aca="false">COUNTIF($BA$2409:$EH$2409,"D")</f>
        <v>1</v>
      </c>
      <c r="AW610" s="0" t="n">
        <f aca="false">COUNTIF($BA$2409:$EH$2409,"R")</f>
        <v>0</v>
      </c>
      <c r="AX610" s="0" t="n">
        <f aca="false"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>9</v>
      </c>
      <c r="AY610" s="0" t="n">
        <f aca="false">COUNTIF(DU610:EH610, "&lt;&gt;")</f>
        <v>7</v>
      </c>
      <c r="AZ610" s="0" t="n">
        <f aca="false">IF(EH610&lt;&gt;"",1,0)</f>
        <v>1</v>
      </c>
      <c r="BB610" s="0" t="s">
        <v>153</v>
      </c>
      <c r="BP610" s="0" t="s">
        <v>154</v>
      </c>
      <c r="BR610" s="0" t="s">
        <v>154</v>
      </c>
      <c r="BS610" s="0" t="s">
        <v>154</v>
      </c>
      <c r="BV610" s="0" t="s">
        <v>154</v>
      </c>
      <c r="BY610" s="0" t="s">
        <v>155</v>
      </c>
      <c r="CA610" s="0" t="s">
        <v>154</v>
      </c>
      <c r="CC610" s="0" t="s">
        <v>155</v>
      </c>
      <c r="CG610" s="0" t="s">
        <v>154</v>
      </c>
      <c r="CH610" s="0" t="s">
        <v>155</v>
      </c>
      <c r="CK610" s="0" t="s">
        <v>154</v>
      </c>
      <c r="CL610" s="0" t="s">
        <v>155</v>
      </c>
      <c r="CN610" s="0" t="s">
        <v>154</v>
      </c>
      <c r="CO610" s="0" t="s">
        <v>155</v>
      </c>
      <c r="CP610" s="0" t="s">
        <v>154</v>
      </c>
      <c r="CQ610" s="0" t="s">
        <v>155</v>
      </c>
      <c r="CT610" s="0" t="s">
        <v>154</v>
      </c>
      <c r="CU610" s="0" t="s">
        <v>155</v>
      </c>
      <c r="CV610" s="0" t="s">
        <v>154</v>
      </c>
      <c r="CW610" s="0" t="s">
        <v>155</v>
      </c>
      <c r="CY610" s="0" t="s">
        <v>154</v>
      </c>
      <c r="CZ610" s="0" t="s">
        <v>155</v>
      </c>
      <c r="DC610" s="0" t="s">
        <v>154</v>
      </c>
      <c r="DD610" s="0" t="s">
        <v>155</v>
      </c>
      <c r="DF610" s="0" t="s">
        <v>154</v>
      </c>
      <c r="DG610" s="0" t="s">
        <v>155</v>
      </c>
      <c r="DI610" s="0" t="s">
        <v>154</v>
      </c>
      <c r="DJ610" s="0" t="s">
        <v>155</v>
      </c>
      <c r="DL610" s="0" t="s">
        <v>154</v>
      </c>
      <c r="DM610" s="0" t="s">
        <v>155</v>
      </c>
      <c r="DN610" s="0" t="s">
        <v>154</v>
      </c>
      <c r="DO610" s="0" t="s">
        <v>155</v>
      </c>
      <c r="DR610" s="0" t="s">
        <v>154</v>
      </c>
      <c r="DS610" s="0" t="s">
        <v>155</v>
      </c>
      <c r="DT610" s="0" t="s">
        <v>155</v>
      </c>
      <c r="DU610" s="0" t="s">
        <v>154</v>
      </c>
      <c r="DW610" s="0" t="s">
        <v>155</v>
      </c>
      <c r="DX610" s="0" t="s">
        <v>154</v>
      </c>
      <c r="EA610" s="0" t="s">
        <v>154</v>
      </c>
      <c r="ED610" s="0" t="s">
        <v>155</v>
      </c>
      <c r="EF610" s="0" t="s">
        <v>154</v>
      </c>
      <c r="EH610" s="0" t="s">
        <v>155</v>
      </c>
    </row>
    <row r="611" customFormat="false" ht="13.8" hidden="false" customHeight="false" outlineLevel="0" collapsed="false">
      <c r="A611" s="0" t="s">
        <v>3175</v>
      </c>
      <c r="B611" s="0" t="n">
        <v>78</v>
      </c>
      <c r="C611" s="0" t="n">
        <v>154836</v>
      </c>
      <c r="D611" s="0" t="s">
        <v>3176</v>
      </c>
      <c r="E611" s="0" t="s">
        <v>2181</v>
      </c>
      <c r="F611" s="0" t="str">
        <f aca="false">CONCATENATE(D611," ",LEFT(H611,4),"T=",AU611,"D=",AV611,"R=",AW611,"M=",AX611,"L=",AY611,"B=",AZ611)</f>
        <v>NEAL T=23D=1R=3M=7L=7B=1</v>
      </c>
      <c r="G611" s="0" t="s">
        <v>172</v>
      </c>
      <c r="I611" s="0" t="s">
        <v>3177</v>
      </c>
      <c r="J611" s="0" t="s">
        <v>3178</v>
      </c>
      <c r="K611" s="0" t="s">
        <v>175</v>
      </c>
      <c r="L611" s="1" t="s">
        <v>155</v>
      </c>
      <c r="M611" s="0" t="s">
        <v>3179</v>
      </c>
      <c r="N611" s="0" t="str">
        <f aca="false">RIGHT(M611,LEN(M611)-FIND(" ",M611))</f>
        <v>COMSTOCK ST NW</v>
      </c>
      <c r="P611" s="0" t="s">
        <v>146</v>
      </c>
      <c r="Q611" s="0" t="s">
        <v>147</v>
      </c>
      <c r="R611" s="0" t="n">
        <v>44483</v>
      </c>
      <c r="AD611" s="0" t="s">
        <v>148</v>
      </c>
      <c r="AE611" s="0" t="s">
        <v>149</v>
      </c>
      <c r="AF611" s="0" t="s">
        <v>150</v>
      </c>
      <c r="AH611" s="0" t="n">
        <v>14</v>
      </c>
      <c r="AI611" s="0" t="n">
        <v>11</v>
      </c>
      <c r="AN611" s="0" t="s">
        <v>146</v>
      </c>
      <c r="AO611" s="0" t="s">
        <v>250</v>
      </c>
      <c r="AP611" s="0" t="s">
        <v>251</v>
      </c>
      <c r="AQ611" s="0" t="n">
        <v>9</v>
      </c>
      <c r="AR611" s="0" t="n">
        <v>64</v>
      </c>
      <c r="AS611" s="0" t="n">
        <v>32</v>
      </c>
      <c r="AU611" s="0" t="n">
        <f aca="false">COUNTA($BA$2235:$EH$2235)</f>
        <v>23</v>
      </c>
      <c r="AV611" s="0" t="n">
        <f aca="false">COUNTIF($BA$2235:$EH$2235,"D")</f>
        <v>1</v>
      </c>
      <c r="AW611" s="0" t="n">
        <f aca="false">COUNTIF($BA$2235:$EH$2235,"R")</f>
        <v>3</v>
      </c>
      <c r="AX611" s="0" t="n">
        <f aca="false"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>7</v>
      </c>
      <c r="AY611" s="0" t="n">
        <f aca="false">COUNTIF(DU611:EH611, "&lt;&gt;")</f>
        <v>7</v>
      </c>
      <c r="AZ611" s="0" t="n">
        <f aca="false">IF(EH611&lt;&gt;"",1,0)</f>
        <v>1</v>
      </c>
      <c r="BB611" s="0" t="s">
        <v>153</v>
      </c>
      <c r="BC611" s="0" t="s">
        <v>154</v>
      </c>
      <c r="BD611" s="0" t="s">
        <v>154</v>
      </c>
      <c r="BE611" s="0" t="s">
        <v>154</v>
      </c>
      <c r="BF611" s="0" t="s">
        <v>154</v>
      </c>
      <c r="BG611" s="0" t="s">
        <v>154</v>
      </c>
      <c r="BH611" s="0" t="s">
        <v>154</v>
      </c>
      <c r="BI611" s="0" t="s">
        <v>154</v>
      </c>
      <c r="BJ611" s="0" t="s">
        <v>154</v>
      </c>
      <c r="BK611" s="0" t="s">
        <v>154</v>
      </c>
      <c r="BL611" s="0" t="s">
        <v>154</v>
      </c>
      <c r="BP611" s="0" t="s">
        <v>154</v>
      </c>
      <c r="BR611" s="0" t="s">
        <v>154</v>
      </c>
      <c r="BS611" s="0" t="s">
        <v>154</v>
      </c>
      <c r="BV611" s="0" t="s">
        <v>154</v>
      </c>
      <c r="BY611" s="0" t="s">
        <v>155</v>
      </c>
      <c r="CA611" s="0" t="s">
        <v>154</v>
      </c>
      <c r="CC611" s="0" t="s">
        <v>155</v>
      </c>
      <c r="CG611" s="0" t="s">
        <v>154</v>
      </c>
      <c r="CH611" s="0" t="s">
        <v>155</v>
      </c>
      <c r="CK611" s="0" t="s">
        <v>154</v>
      </c>
      <c r="CL611" s="0" t="s">
        <v>155</v>
      </c>
      <c r="CN611" s="0" t="s">
        <v>154</v>
      </c>
      <c r="CO611" s="0" t="s">
        <v>155</v>
      </c>
      <c r="CP611" s="0" t="s">
        <v>154</v>
      </c>
      <c r="CU611" s="0" t="s">
        <v>155</v>
      </c>
      <c r="CV611" s="0" t="s">
        <v>154</v>
      </c>
      <c r="CW611" s="0" t="s">
        <v>155</v>
      </c>
      <c r="CY611" s="0" t="s">
        <v>154</v>
      </c>
      <c r="CZ611" s="0" t="s">
        <v>155</v>
      </c>
      <c r="DC611" s="0" t="s">
        <v>154</v>
      </c>
      <c r="DD611" s="0" t="s">
        <v>155</v>
      </c>
      <c r="DF611" s="0" t="s">
        <v>154</v>
      </c>
      <c r="DG611" s="0" t="s">
        <v>155</v>
      </c>
      <c r="DI611" s="0" t="s">
        <v>154</v>
      </c>
      <c r="DL611" s="0" t="s">
        <v>154</v>
      </c>
      <c r="DM611" s="0" t="s">
        <v>155</v>
      </c>
      <c r="DN611" s="0" t="s">
        <v>154</v>
      </c>
      <c r="DO611" s="0" t="s">
        <v>155</v>
      </c>
      <c r="DR611" s="0" t="s">
        <v>154</v>
      </c>
      <c r="DS611" s="0" t="s">
        <v>155</v>
      </c>
      <c r="DT611" s="0" t="s">
        <v>155</v>
      </c>
      <c r="DU611" s="0" t="s">
        <v>154</v>
      </c>
      <c r="DW611" s="0" t="s">
        <v>155</v>
      </c>
      <c r="DX611" s="0" t="s">
        <v>154</v>
      </c>
      <c r="EA611" s="0" t="s">
        <v>154</v>
      </c>
      <c r="ED611" s="0" t="s">
        <v>155</v>
      </c>
      <c r="EF611" s="0" t="s">
        <v>154</v>
      </c>
      <c r="EH611" s="0" t="s">
        <v>155</v>
      </c>
    </row>
    <row r="612" customFormat="false" ht="13.8" hidden="true" customHeight="false" outlineLevel="0" collapsed="false">
      <c r="A612" s="0" t="s">
        <v>3180</v>
      </c>
      <c r="B612" s="0" t="n">
        <v>78</v>
      </c>
      <c r="C612" s="0" t="n">
        <v>484530</v>
      </c>
      <c r="D612" s="0" t="s">
        <v>3176</v>
      </c>
      <c r="E612" s="0" t="s">
        <v>1289</v>
      </c>
      <c r="F612" s="0" t="str">
        <f aca="false">CONCATENATE(D612," ",LEFT(H612,4),"T=",AU612,"D=",AV612,"R=",AW612,"M=",AX612,"L=",AY612,"B=",AZ612)</f>
        <v>NEAL T=11D=1R=0M=0L=1B=0</v>
      </c>
      <c r="G612" s="0" t="s">
        <v>3181</v>
      </c>
      <c r="I612" s="0" t="s">
        <v>3182</v>
      </c>
      <c r="J612" s="0" t="s">
        <v>3183</v>
      </c>
      <c r="K612" s="0" t="s">
        <v>175</v>
      </c>
      <c r="L612" s="0"/>
      <c r="M612" s="0" t="s">
        <v>3179</v>
      </c>
      <c r="N612" s="0" t="str">
        <f aca="false">RIGHT(M612,LEN(M612)-FIND(" ",M612))</f>
        <v>COMSTOCK ST NW</v>
      </c>
      <c r="P612" s="0" t="s">
        <v>146</v>
      </c>
      <c r="Q612" s="0" t="s">
        <v>147</v>
      </c>
      <c r="R612" s="0" t="n">
        <v>44483</v>
      </c>
      <c r="S612" s="0" t="n">
        <v>3209</v>
      </c>
      <c r="AD612" s="0" t="s">
        <v>148</v>
      </c>
      <c r="AE612" s="0" t="s">
        <v>149</v>
      </c>
      <c r="AF612" s="0" t="s">
        <v>150</v>
      </c>
      <c r="AH612" s="0" t="n">
        <v>14</v>
      </c>
      <c r="AI612" s="0" t="n">
        <v>11</v>
      </c>
      <c r="AN612" s="0" t="s">
        <v>146</v>
      </c>
      <c r="AO612" s="0" t="s">
        <v>250</v>
      </c>
      <c r="AP612" s="0" t="s">
        <v>251</v>
      </c>
      <c r="AQ612" s="0" t="n">
        <v>9</v>
      </c>
      <c r="AR612" s="0" t="n">
        <v>64</v>
      </c>
      <c r="AS612" s="0" t="n">
        <v>32</v>
      </c>
      <c r="AU612" s="0" t="n">
        <f aca="false">COUNTA($BA$2395:$EH$2395)</f>
        <v>11</v>
      </c>
      <c r="AV612" s="0" t="n">
        <f aca="false">COUNTIF($BA$2395:$EH$2395,"D")</f>
        <v>1</v>
      </c>
      <c r="AW612" s="0" t="n">
        <f aca="false">COUNTIF($BA$2395:$EH$2395,"R")</f>
        <v>0</v>
      </c>
      <c r="AX612" s="0" t="n">
        <f aca="false"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>0</v>
      </c>
      <c r="AY612" s="0" t="n">
        <f aca="false">COUNTIF(DU612:EH612, "&lt;&gt;")</f>
        <v>1</v>
      </c>
      <c r="AZ612" s="0" t="n">
        <f aca="false">IF(EH612&lt;&gt;"",1,0)</f>
        <v>0</v>
      </c>
      <c r="BB612" s="0" t="s">
        <v>153</v>
      </c>
      <c r="BL612" s="0" t="s">
        <v>154</v>
      </c>
      <c r="BP612" s="0" t="s">
        <v>154</v>
      </c>
      <c r="BS612" s="0" t="s">
        <v>154</v>
      </c>
      <c r="BY612" s="0" t="s">
        <v>155</v>
      </c>
      <c r="CA612" s="0" t="s">
        <v>154</v>
      </c>
      <c r="EF612" s="0" t="s">
        <v>154</v>
      </c>
    </row>
    <row r="613" customFormat="false" ht="13.8" hidden="true" customHeight="false" outlineLevel="0" collapsed="false">
      <c r="A613" s="0" t="s">
        <v>3184</v>
      </c>
      <c r="B613" s="0" t="n">
        <v>78</v>
      </c>
      <c r="C613" s="0" t="n">
        <v>418590</v>
      </c>
      <c r="D613" s="0" t="s">
        <v>3185</v>
      </c>
      <c r="E613" s="0" t="s">
        <v>1893</v>
      </c>
      <c r="F613" s="0" t="str">
        <f aca="false">CONCATENATE(D613," ",LEFT(H613,4),"T=",AU613,"D=",AV613,"R=",AW613,"M=",AX613,"L=",AY613,"B=",AZ613)</f>
        <v>HENDRICKSON T=2D=0R=0M=0L=0B=0</v>
      </c>
      <c r="G613" s="0" t="s">
        <v>176</v>
      </c>
      <c r="I613" s="0" t="s">
        <v>3186</v>
      </c>
      <c r="J613" s="0" t="s">
        <v>3187</v>
      </c>
      <c r="K613" s="0" t="s">
        <v>175</v>
      </c>
      <c r="L613" s="0"/>
      <c r="M613" s="0" t="s">
        <v>3188</v>
      </c>
      <c r="N613" s="0" t="str">
        <f aca="false">RIGHT(M613,LEN(M613)-FIND(" ",M613))</f>
        <v>COMSTOCK ST NW</v>
      </c>
      <c r="P613" s="0" t="s">
        <v>146</v>
      </c>
      <c r="Q613" s="0" t="s">
        <v>147</v>
      </c>
      <c r="R613" s="0" t="n">
        <v>44483</v>
      </c>
      <c r="AD613" s="0" t="s">
        <v>148</v>
      </c>
      <c r="AE613" s="0" t="s">
        <v>149</v>
      </c>
      <c r="AF613" s="0" t="s">
        <v>150</v>
      </c>
      <c r="AH613" s="0" t="n">
        <v>14</v>
      </c>
      <c r="AI613" s="0" t="n">
        <v>11</v>
      </c>
      <c r="AN613" s="0" t="s">
        <v>146</v>
      </c>
      <c r="AO613" s="0" t="s">
        <v>250</v>
      </c>
      <c r="AP613" s="0" t="s">
        <v>251</v>
      </c>
      <c r="AQ613" s="0" t="n">
        <v>9</v>
      </c>
      <c r="AR613" s="0" t="n">
        <v>64</v>
      </c>
      <c r="AS613" s="0" t="n">
        <v>32</v>
      </c>
      <c r="AU613" s="0" t="n">
        <f aca="false">COUNTA($BA$2148:$EH$2148)</f>
        <v>2</v>
      </c>
      <c r="AV613" s="0" t="n">
        <f aca="false">COUNTIF($BA$2148:$EH$2148,"D")</f>
        <v>0</v>
      </c>
      <c r="AW613" s="0" t="n">
        <f aca="false">COUNTIF($BA$2148:$EH$2148,"R")</f>
        <v>0</v>
      </c>
      <c r="AX613" s="0" t="n">
        <f aca="false"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>0</v>
      </c>
      <c r="AY613" s="0" t="n">
        <f aca="false">COUNTIF(DU613:EH613, "&lt;&gt;")</f>
        <v>0</v>
      </c>
      <c r="AZ613" s="0" t="n">
        <f aca="false">IF(EH613&lt;&gt;"",1,0)</f>
        <v>0</v>
      </c>
      <c r="BB613" s="0" t="s">
        <v>153</v>
      </c>
      <c r="DL613" s="0" t="s">
        <v>154</v>
      </c>
    </row>
    <row r="614" customFormat="false" ht="13.8" hidden="true" customHeight="false" outlineLevel="0" collapsed="false">
      <c r="A614" s="0" t="s">
        <v>3189</v>
      </c>
      <c r="B614" s="0" t="n">
        <v>78</v>
      </c>
      <c r="C614" s="0" t="n">
        <v>301770</v>
      </c>
      <c r="D614" s="0" t="s">
        <v>3185</v>
      </c>
      <c r="E614" s="0" t="s">
        <v>1117</v>
      </c>
      <c r="F614" s="0" t="str">
        <f aca="false">CONCATENATE(D614," ",LEFT(H614,4),"T=",AU614,"D=",AV614,"R=",AW614,"M=",AX614,"L=",AY614,"B=",AZ614)</f>
        <v>HENDRICKSON T=1D=0R=0M=0L=1B=0</v>
      </c>
      <c r="G614" s="0" t="s">
        <v>155</v>
      </c>
      <c r="I614" s="0" t="s">
        <v>3190</v>
      </c>
      <c r="J614" s="0" t="s">
        <v>814</v>
      </c>
      <c r="K614" s="0" t="s">
        <v>175</v>
      </c>
      <c r="L614" s="0"/>
      <c r="M614" s="0" t="s">
        <v>3188</v>
      </c>
      <c r="N614" s="0" t="str">
        <f aca="false">RIGHT(M614,LEN(M614)-FIND(" ",M614))</f>
        <v>COMSTOCK ST NW</v>
      </c>
      <c r="P614" s="0" t="s">
        <v>146</v>
      </c>
      <c r="Q614" s="0" t="s">
        <v>147</v>
      </c>
      <c r="R614" s="0" t="n">
        <v>44483</v>
      </c>
      <c r="AD614" s="0" t="s">
        <v>148</v>
      </c>
      <c r="AE614" s="0" t="s">
        <v>149</v>
      </c>
      <c r="AF614" s="0" t="s">
        <v>150</v>
      </c>
      <c r="AH614" s="0" t="n">
        <v>14</v>
      </c>
      <c r="AI614" s="0" t="n">
        <v>11</v>
      </c>
      <c r="AN614" s="0" t="s">
        <v>146</v>
      </c>
      <c r="AO614" s="0" t="s">
        <v>250</v>
      </c>
      <c r="AP614" s="0" t="s">
        <v>251</v>
      </c>
      <c r="AQ614" s="0" t="n">
        <v>9</v>
      </c>
      <c r="AR614" s="0" t="n">
        <v>64</v>
      </c>
      <c r="AS614" s="0" t="n">
        <v>32</v>
      </c>
      <c r="AU614" s="0" t="n">
        <f aca="false">COUNTA($BA$2780:$EH$2780)</f>
        <v>1</v>
      </c>
      <c r="AV614" s="0" t="n">
        <f aca="false">COUNTIF($BA$2780:$EH$2780,"D")</f>
        <v>0</v>
      </c>
      <c r="AW614" s="0" t="n">
        <f aca="false">COUNTIF($BA$2780:$EH$2780,"R")</f>
        <v>0</v>
      </c>
      <c r="AX614" s="0" t="n">
        <f aca="false"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>0</v>
      </c>
      <c r="AY614" s="0" t="n">
        <f aca="false">COUNTIF(DU614:EH614, "&lt;&gt;")</f>
        <v>1</v>
      </c>
      <c r="AZ614" s="0" t="n">
        <f aca="false">IF(EH614&lt;&gt;"",1,0)</f>
        <v>0</v>
      </c>
      <c r="BB614" s="0" t="s">
        <v>153</v>
      </c>
      <c r="BL614" s="0" t="s">
        <v>154</v>
      </c>
      <c r="CZ614" s="0" t="s">
        <v>176</v>
      </c>
      <c r="EF614" s="0" t="s">
        <v>154</v>
      </c>
    </row>
    <row r="615" customFormat="false" ht="13.8" hidden="true" customHeight="false" outlineLevel="0" collapsed="false">
      <c r="A615" s="0" t="s">
        <v>3191</v>
      </c>
      <c r="B615" s="0" t="n">
        <v>78</v>
      </c>
      <c r="C615" s="0" t="n">
        <v>379634</v>
      </c>
      <c r="D615" s="0" t="s">
        <v>1657</v>
      </c>
      <c r="E615" s="0" t="s">
        <v>3192</v>
      </c>
      <c r="F615" s="0" t="str">
        <f aca="false">CONCATENATE(D615," ",LEFT(H615,4),"T=",AU615,"D=",AV615,"R=",AW615,"M=",AX615,"L=",AY615,"B=",AZ615)</f>
        <v>MILLER JRT=4D=0R=0M=0L=0B=0</v>
      </c>
      <c r="G615" s="0" t="s">
        <v>514</v>
      </c>
      <c r="H615" s="0" t="s">
        <v>431</v>
      </c>
      <c r="I615" s="0" t="s">
        <v>3193</v>
      </c>
      <c r="J615" s="0" t="s">
        <v>3194</v>
      </c>
      <c r="K615" s="0" t="s">
        <v>175</v>
      </c>
      <c r="L615" s="0"/>
      <c r="M615" s="0" t="s">
        <v>3195</v>
      </c>
      <c r="N615" s="0" t="str">
        <f aca="false">RIGHT(M615,LEN(M615)-FIND(" ",M615))</f>
        <v>COMSTOCK ST NW</v>
      </c>
      <c r="P615" s="0" t="s">
        <v>146</v>
      </c>
      <c r="Q615" s="0" t="s">
        <v>147</v>
      </c>
      <c r="R615" s="0" t="n">
        <v>44483</v>
      </c>
      <c r="AD615" s="0" t="s">
        <v>148</v>
      </c>
      <c r="AE615" s="0" t="s">
        <v>149</v>
      </c>
      <c r="AF615" s="0" t="s">
        <v>150</v>
      </c>
      <c r="AH615" s="0" t="n">
        <v>14</v>
      </c>
      <c r="AI615" s="0" t="n">
        <v>11</v>
      </c>
      <c r="AN615" s="0" t="s">
        <v>146</v>
      </c>
      <c r="AO615" s="0" t="s">
        <v>250</v>
      </c>
      <c r="AP615" s="0" t="s">
        <v>251</v>
      </c>
      <c r="AQ615" s="0" t="n">
        <v>9</v>
      </c>
      <c r="AR615" s="0" t="n">
        <v>64</v>
      </c>
      <c r="AS615" s="0" t="n">
        <v>32</v>
      </c>
      <c r="AU615" s="0" t="n">
        <f aca="false">COUNTA($BA$2770:$EH$2770)</f>
        <v>4</v>
      </c>
      <c r="AV615" s="0" t="n">
        <f aca="false">COUNTIF($BA$2770:$EH$2770,"D")</f>
        <v>0</v>
      </c>
      <c r="AW615" s="0" t="n">
        <f aca="false">COUNTIF($BA$2770:$EH$2770,"R")</f>
        <v>0</v>
      </c>
      <c r="AX615" s="0" t="n">
        <f aca="false"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>0</v>
      </c>
      <c r="AY615" s="0" t="n">
        <f aca="false">COUNTIF(DU615:EH615, "&lt;&gt;")</f>
        <v>0</v>
      </c>
      <c r="AZ615" s="0" t="n">
        <f aca="false">IF(EH615&lt;&gt;"",1,0)</f>
        <v>0</v>
      </c>
      <c r="BB615" s="0" t="s">
        <v>153</v>
      </c>
    </row>
    <row r="616" customFormat="false" ht="13.8" hidden="true" customHeight="false" outlineLevel="0" collapsed="false">
      <c r="A616" s="0" t="s">
        <v>3196</v>
      </c>
      <c r="B616" s="0" t="n">
        <v>78</v>
      </c>
      <c r="C616" s="0" t="n">
        <v>345638</v>
      </c>
      <c r="D616" s="0" t="s">
        <v>3197</v>
      </c>
      <c r="E616" s="0" t="s">
        <v>3198</v>
      </c>
      <c r="F616" s="0" t="str">
        <f aca="false">CONCATENATE(D616," ",LEFT(H616,4),"T=",AU616,"D=",AV616,"R=",AW616,"M=",AX616,"L=",AY616,"B=",AZ616)</f>
        <v>WELLS T=31D=6R=0M=0L=0B=0</v>
      </c>
      <c r="I616" s="0" t="s">
        <v>2655</v>
      </c>
      <c r="J616" s="0" t="s">
        <v>3199</v>
      </c>
      <c r="K616" s="0" t="s">
        <v>144</v>
      </c>
      <c r="L616" s="0"/>
      <c r="M616" s="0" t="s">
        <v>3200</v>
      </c>
      <c r="N616" s="0" t="str">
        <f aca="false">RIGHT(M616,LEN(M616)-FIND(" ",M616))</f>
        <v>COMSTOCK ST NW</v>
      </c>
      <c r="P616" s="0" t="s">
        <v>146</v>
      </c>
      <c r="Q616" s="0" t="s">
        <v>147</v>
      </c>
      <c r="R616" s="0" t="n">
        <v>44483</v>
      </c>
      <c r="AD616" s="0" t="s">
        <v>148</v>
      </c>
      <c r="AE616" s="0" t="s">
        <v>149</v>
      </c>
      <c r="AF616" s="0" t="s">
        <v>150</v>
      </c>
      <c r="AH616" s="0" t="n">
        <v>14</v>
      </c>
      <c r="AI616" s="0" t="n">
        <v>11</v>
      </c>
      <c r="AN616" s="0" t="s">
        <v>146</v>
      </c>
      <c r="AO616" s="0" t="s">
        <v>250</v>
      </c>
      <c r="AP616" s="0" t="s">
        <v>251</v>
      </c>
      <c r="AQ616" s="0" t="n">
        <v>9</v>
      </c>
      <c r="AR616" s="0" t="n">
        <v>64</v>
      </c>
      <c r="AS616" s="0" t="n">
        <v>32</v>
      </c>
      <c r="AU616" s="0" t="n">
        <f aca="false">COUNTA($BA$2332:$EH$2332)</f>
        <v>31</v>
      </c>
      <c r="AV616" s="0" t="n">
        <f aca="false">COUNTIF($BA$2332:$EH$2332,"D")</f>
        <v>6</v>
      </c>
      <c r="AW616" s="0" t="n">
        <f aca="false">COUNTIF($BA$2332:$EH$2332,"R")</f>
        <v>0</v>
      </c>
      <c r="AX616" s="0" t="n">
        <f aca="false"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>0</v>
      </c>
      <c r="AY616" s="0" t="n">
        <f aca="false">COUNTIF(DU616:EH616, "&lt;&gt;")</f>
        <v>0</v>
      </c>
      <c r="AZ616" s="0" t="n">
        <f aca="false">IF(EH616&lt;&gt;"",1,0)</f>
        <v>0</v>
      </c>
      <c r="BB616" s="0" t="s">
        <v>153</v>
      </c>
      <c r="BY616" s="0" t="s">
        <v>155</v>
      </c>
      <c r="CA616" s="0" t="s">
        <v>154</v>
      </c>
      <c r="CP616" s="0" t="s">
        <v>154</v>
      </c>
    </row>
    <row r="617" customFormat="false" ht="13.8" hidden="false" customHeight="false" outlineLevel="0" collapsed="false">
      <c r="A617" s="0" t="s">
        <v>3201</v>
      </c>
      <c r="B617" s="0" t="n">
        <v>78</v>
      </c>
      <c r="C617" s="0" t="n">
        <v>166876</v>
      </c>
      <c r="D617" s="0" t="s">
        <v>645</v>
      </c>
      <c r="E617" s="0" t="s">
        <v>3202</v>
      </c>
      <c r="F617" s="0" t="str">
        <f aca="false">CONCATENATE(D617," ",LEFT(H617,4),"T=",AU617,"D=",AV617,"R=",AW617,"M=",AX617,"L=",AY617,"B=",AZ617)</f>
        <v>WILLIAMS T=1D=0R=0M=3L=2B=0</v>
      </c>
      <c r="G617" s="0" t="s">
        <v>241</v>
      </c>
      <c r="I617" s="0" t="s">
        <v>3203</v>
      </c>
      <c r="J617" s="0" t="s">
        <v>3204</v>
      </c>
      <c r="K617" s="0" t="s">
        <v>175</v>
      </c>
      <c r="L617" s="1" t="s">
        <v>155</v>
      </c>
      <c r="M617" s="0" t="s">
        <v>3200</v>
      </c>
      <c r="N617" s="0" t="str">
        <f aca="false">RIGHT(M617,LEN(M617)-FIND(" ",M617))</f>
        <v>COMSTOCK ST NW</v>
      </c>
      <c r="P617" s="0" t="s">
        <v>146</v>
      </c>
      <c r="Q617" s="0" t="s">
        <v>147</v>
      </c>
      <c r="R617" s="0" t="n">
        <v>44483</v>
      </c>
      <c r="AD617" s="0" t="s">
        <v>148</v>
      </c>
      <c r="AE617" s="0" t="s">
        <v>149</v>
      </c>
      <c r="AF617" s="0" t="s">
        <v>150</v>
      </c>
      <c r="AH617" s="0" t="n">
        <v>14</v>
      </c>
      <c r="AI617" s="0" t="n">
        <v>11</v>
      </c>
      <c r="AN617" s="0" t="s">
        <v>146</v>
      </c>
      <c r="AO617" s="0" t="s">
        <v>250</v>
      </c>
      <c r="AP617" s="0" t="s">
        <v>251</v>
      </c>
      <c r="AQ617" s="0" t="n">
        <v>9</v>
      </c>
      <c r="AR617" s="0" t="n">
        <v>64</v>
      </c>
      <c r="AS617" s="0" t="n">
        <v>32</v>
      </c>
      <c r="AU617" s="0" t="n">
        <f aca="false">COUNTA($BA$2491:$EH$2491)</f>
        <v>1</v>
      </c>
      <c r="AV617" s="0" t="n">
        <f aca="false">COUNTIF($BA$2491:$EH$2491,"D")</f>
        <v>0</v>
      </c>
      <c r="AW617" s="0" t="n">
        <f aca="false">COUNTIF($BA$2491:$EH$2491,"R")</f>
        <v>0</v>
      </c>
      <c r="AX617" s="0" t="n">
        <f aca="false"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>3</v>
      </c>
      <c r="AY617" s="0" t="n">
        <f aca="false">COUNTIF(DU617:EH617, "&lt;&gt;")</f>
        <v>2</v>
      </c>
      <c r="AZ617" s="0" t="n">
        <f aca="false">IF(EH617&lt;&gt;"",1,0)</f>
        <v>0</v>
      </c>
      <c r="BB617" s="0" t="s">
        <v>153</v>
      </c>
      <c r="BC617" s="0" t="s">
        <v>154</v>
      </c>
      <c r="BD617" s="0" t="s">
        <v>154</v>
      </c>
      <c r="BF617" s="0" t="s">
        <v>154</v>
      </c>
      <c r="BJ617" s="0" t="s">
        <v>154</v>
      </c>
      <c r="BK617" s="0" t="s">
        <v>154</v>
      </c>
      <c r="BL617" s="0" t="s">
        <v>154</v>
      </c>
      <c r="BR617" s="0" t="s">
        <v>154</v>
      </c>
      <c r="BS617" s="0" t="s">
        <v>154</v>
      </c>
      <c r="BY617" s="0" t="s">
        <v>155</v>
      </c>
      <c r="CA617" s="0" t="s">
        <v>154</v>
      </c>
      <c r="CK617" s="0" t="s">
        <v>154</v>
      </c>
      <c r="CL617" s="0" t="s">
        <v>155</v>
      </c>
      <c r="CN617" s="0" t="s">
        <v>154</v>
      </c>
      <c r="CP617" s="0" t="s">
        <v>154</v>
      </c>
      <c r="CQ617" s="0" t="s">
        <v>155</v>
      </c>
      <c r="DC617" s="0" t="s">
        <v>154</v>
      </c>
      <c r="DI617" s="0" t="s">
        <v>154</v>
      </c>
      <c r="DM617" s="0" t="s">
        <v>155</v>
      </c>
      <c r="DN617" s="0" t="s">
        <v>154</v>
      </c>
      <c r="DU617" s="0" t="s">
        <v>154</v>
      </c>
      <c r="DW617" s="0" t="s">
        <v>155</v>
      </c>
    </row>
    <row r="618" customFormat="false" ht="13.8" hidden="true" customHeight="false" outlineLevel="0" collapsed="false">
      <c r="A618" s="0" t="s">
        <v>3205</v>
      </c>
      <c r="B618" s="0" t="n">
        <v>78</v>
      </c>
      <c r="C618" s="0" t="n">
        <v>491050</v>
      </c>
      <c r="D618" s="0" t="s">
        <v>3206</v>
      </c>
      <c r="E618" s="0" t="s">
        <v>3039</v>
      </c>
      <c r="F618" s="0" t="str">
        <f aca="false">CONCATENATE(D618," ",LEFT(H618,4),"T=",AU618,"D=",AV618,"R=",AW618,"M=",AX618,"L=",AY618,"B=",AZ618)</f>
        <v>MCQUEEN T=4D=0R=0M=0L=0B=0</v>
      </c>
      <c r="G618" s="0" t="s">
        <v>3207</v>
      </c>
      <c r="I618" s="0" t="s">
        <v>3208</v>
      </c>
      <c r="J618" s="0" t="s">
        <v>1908</v>
      </c>
      <c r="K618" s="0" t="s">
        <v>175</v>
      </c>
      <c r="L618" s="0"/>
      <c r="M618" s="0" t="s">
        <v>3209</v>
      </c>
      <c r="N618" s="0" t="str">
        <f aca="false">RIGHT(M618,LEN(M618)-FIND(" ",M618))</f>
        <v>COMSTOCK ST NW</v>
      </c>
      <c r="P618" s="0" t="s">
        <v>146</v>
      </c>
      <c r="Q618" s="0" t="s">
        <v>147</v>
      </c>
      <c r="R618" s="0" t="n">
        <v>44483</v>
      </c>
      <c r="AD618" s="0" t="s">
        <v>148</v>
      </c>
      <c r="AE618" s="0" t="s">
        <v>149</v>
      </c>
      <c r="AF618" s="0" t="s">
        <v>150</v>
      </c>
      <c r="AH618" s="0" t="n">
        <v>14</v>
      </c>
      <c r="AI618" s="0" t="n">
        <v>11</v>
      </c>
      <c r="AN618" s="0" t="s">
        <v>146</v>
      </c>
      <c r="AO618" s="0" t="s">
        <v>250</v>
      </c>
      <c r="AP618" s="0" t="s">
        <v>251</v>
      </c>
      <c r="AQ618" s="0" t="n">
        <v>9</v>
      </c>
      <c r="AR618" s="0" t="n">
        <v>64</v>
      </c>
      <c r="AS618" s="0" t="n">
        <v>32</v>
      </c>
      <c r="AU618" s="0" t="n">
        <f aca="false">COUNTA($BA$2535:$EH$2535)</f>
        <v>4</v>
      </c>
      <c r="AV618" s="0" t="n">
        <f aca="false">COUNTIF($BA$2535:$EH$2535,"D")</f>
        <v>0</v>
      </c>
      <c r="AW618" s="0" t="n">
        <f aca="false">COUNTIF($BA$2535:$EH$2535,"R")</f>
        <v>0</v>
      </c>
      <c r="AX618" s="0" t="n">
        <f aca="false"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>0</v>
      </c>
      <c r="AY618" s="0" t="n">
        <f aca="false">COUNTIF(DU618:EH618, "&lt;&gt;")</f>
        <v>0</v>
      </c>
      <c r="AZ618" s="0" t="n">
        <f aca="false">IF(EH618&lt;&gt;"",1,0)</f>
        <v>0</v>
      </c>
      <c r="BB618" s="0" t="s">
        <v>153</v>
      </c>
    </row>
    <row r="619" customFormat="false" ht="13.8" hidden="false" customHeight="false" outlineLevel="0" collapsed="false">
      <c r="A619" s="0" t="s">
        <v>3210</v>
      </c>
      <c r="B619" s="0" t="n">
        <v>78</v>
      </c>
      <c r="C619" s="0" t="n">
        <v>168255</v>
      </c>
      <c r="D619" s="0" t="s">
        <v>3211</v>
      </c>
      <c r="E619" s="0" t="s">
        <v>1272</v>
      </c>
      <c r="F619" s="0" t="str">
        <f aca="false">CONCATENATE(D619," ",LEFT(H619,4),"T=",AU619,"D=",AV619,"R=",AW619,"M=",AX619,"L=",AY619,"B=",AZ619)</f>
        <v>ERVIN T=22D=5R=1M=4L=5B=0</v>
      </c>
      <c r="G619" s="0" t="s">
        <v>690</v>
      </c>
      <c r="I619" s="0" t="s">
        <v>3212</v>
      </c>
      <c r="J619" s="0" t="s">
        <v>3213</v>
      </c>
      <c r="K619" s="0" t="s">
        <v>175</v>
      </c>
      <c r="L619" s="1" t="s">
        <v>155</v>
      </c>
      <c r="M619" s="0" t="s">
        <v>3214</v>
      </c>
      <c r="N619" s="0" t="str">
        <f aca="false">RIGHT(M619,LEN(M619)-FIND(" ",M619))</f>
        <v>COMSTOCK ST NW</v>
      </c>
      <c r="P619" s="0" t="s">
        <v>146</v>
      </c>
      <c r="Q619" s="0" t="s">
        <v>147</v>
      </c>
      <c r="R619" s="0" t="n">
        <v>44483</v>
      </c>
      <c r="AD619" s="0" t="s">
        <v>148</v>
      </c>
      <c r="AE619" s="0" t="s">
        <v>149</v>
      </c>
      <c r="AF619" s="0" t="s">
        <v>150</v>
      </c>
      <c r="AH619" s="0" t="n">
        <v>14</v>
      </c>
      <c r="AI619" s="0" t="n">
        <v>11</v>
      </c>
      <c r="AN619" s="0" t="s">
        <v>146</v>
      </c>
      <c r="AO619" s="0" t="s">
        <v>250</v>
      </c>
      <c r="AP619" s="0" t="s">
        <v>251</v>
      </c>
      <c r="AQ619" s="0" t="n">
        <v>9</v>
      </c>
      <c r="AR619" s="0" t="n">
        <v>64</v>
      </c>
      <c r="AS619" s="0" t="n">
        <v>32</v>
      </c>
      <c r="AU619" s="0" t="n">
        <f aca="false">COUNTA($BA$2231:$EH$2231)</f>
        <v>22</v>
      </c>
      <c r="AV619" s="0" t="n">
        <f aca="false">COUNTIF($BA$2231:$EH$2231,"D")</f>
        <v>5</v>
      </c>
      <c r="AW619" s="0" t="n">
        <f aca="false">COUNTIF($BA$2231:$EH$2231,"R")</f>
        <v>1</v>
      </c>
      <c r="AX619" s="0" t="n">
        <f aca="false"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>4</v>
      </c>
      <c r="AY619" s="0" t="n">
        <f aca="false">COUNTIF(DU619:EH619, "&lt;&gt;")</f>
        <v>5</v>
      </c>
      <c r="AZ619" s="0" t="n">
        <f aca="false">IF(EH619&lt;&gt;"",1,0)</f>
        <v>0</v>
      </c>
      <c r="BB619" s="0" t="s">
        <v>153</v>
      </c>
      <c r="BD619" s="0" t="s">
        <v>154</v>
      </c>
      <c r="BH619" s="0" t="s">
        <v>154</v>
      </c>
      <c r="BI619" s="0" t="s">
        <v>154</v>
      </c>
      <c r="BJ619" s="0" t="s">
        <v>154</v>
      </c>
      <c r="BL619" s="0" t="s">
        <v>154</v>
      </c>
      <c r="BP619" s="0" t="s">
        <v>154</v>
      </c>
      <c r="BY619" s="0" t="s">
        <v>155</v>
      </c>
      <c r="CA619" s="0" t="s">
        <v>154</v>
      </c>
      <c r="CK619" s="0" t="s">
        <v>154</v>
      </c>
      <c r="CL619" s="0" t="s">
        <v>155</v>
      </c>
      <c r="CO619" s="0" t="s">
        <v>155</v>
      </c>
      <c r="CP619" s="0" t="s">
        <v>154</v>
      </c>
      <c r="CY619" s="0" t="s">
        <v>154</v>
      </c>
      <c r="CZ619" s="0" t="s">
        <v>155</v>
      </c>
      <c r="DC619" s="0" t="s">
        <v>154</v>
      </c>
      <c r="DD619" s="0" t="s">
        <v>155</v>
      </c>
      <c r="DI619" s="0" t="s">
        <v>154</v>
      </c>
      <c r="DJ619" s="0" t="s">
        <v>155</v>
      </c>
      <c r="DL619" s="0" t="s">
        <v>154</v>
      </c>
      <c r="DM619" s="0" t="s">
        <v>155</v>
      </c>
      <c r="DN619" s="0" t="s">
        <v>154</v>
      </c>
      <c r="DR619" s="0" t="s">
        <v>154</v>
      </c>
      <c r="DU619" s="0" t="s">
        <v>154</v>
      </c>
      <c r="DW619" s="0" t="s">
        <v>155</v>
      </c>
      <c r="EA619" s="0" t="s">
        <v>154</v>
      </c>
      <c r="ED619" s="0" t="s">
        <v>155</v>
      </c>
      <c r="EF619" s="0" t="s">
        <v>154</v>
      </c>
    </row>
    <row r="620" customFormat="false" ht="13.8" hidden="true" customHeight="false" outlineLevel="0" collapsed="false">
      <c r="A620" s="0" t="s">
        <v>3215</v>
      </c>
      <c r="B620" s="0" t="n">
        <v>78</v>
      </c>
      <c r="C620" s="0" t="n">
        <v>468254</v>
      </c>
      <c r="D620" s="0" t="s">
        <v>3216</v>
      </c>
      <c r="E620" s="0" t="s">
        <v>187</v>
      </c>
      <c r="F620" s="0" t="str">
        <f aca="false">CONCATENATE(D620," ",LEFT(H620,4),"T=",AU620,"D=",AV620,"R=",AW620,"M=",AX620,"L=",AY620,"B=",AZ620)</f>
        <v>BROUGHTON T=5D=1R=0M=0L=1B=0</v>
      </c>
      <c r="G620" s="0" t="s">
        <v>172</v>
      </c>
      <c r="I620" s="0" t="s">
        <v>3217</v>
      </c>
      <c r="J620" s="0" t="s">
        <v>3218</v>
      </c>
      <c r="K620" s="0" t="s">
        <v>175</v>
      </c>
      <c r="L620" s="0"/>
      <c r="M620" s="0" t="s">
        <v>3219</v>
      </c>
      <c r="N620" s="0" t="str">
        <f aca="false">RIGHT(M620,LEN(M620)-FIND(" ",M620))</f>
        <v>COMSTOCK ST NW</v>
      </c>
      <c r="P620" s="0" t="s">
        <v>146</v>
      </c>
      <c r="Q620" s="0" t="s">
        <v>147</v>
      </c>
      <c r="R620" s="0" t="n">
        <v>44483</v>
      </c>
      <c r="AD620" s="0" t="s">
        <v>148</v>
      </c>
      <c r="AE620" s="0" t="s">
        <v>149</v>
      </c>
      <c r="AF620" s="0" t="s">
        <v>150</v>
      </c>
      <c r="AH620" s="0" t="n">
        <v>14</v>
      </c>
      <c r="AI620" s="0" t="n">
        <v>11</v>
      </c>
      <c r="AN620" s="0" t="s">
        <v>146</v>
      </c>
      <c r="AO620" s="0" t="s">
        <v>250</v>
      </c>
      <c r="AP620" s="0" t="s">
        <v>251</v>
      </c>
      <c r="AQ620" s="0" t="n">
        <v>9</v>
      </c>
      <c r="AR620" s="0" t="n">
        <v>64</v>
      </c>
      <c r="AS620" s="0" t="n">
        <v>32</v>
      </c>
      <c r="AU620" s="0" t="n">
        <f aca="false">COUNTA($BA$2289:$EH$2289)</f>
        <v>5</v>
      </c>
      <c r="AV620" s="0" t="n">
        <f aca="false">COUNTIF($BA$2289:$EH$2289,"D")</f>
        <v>1</v>
      </c>
      <c r="AW620" s="0" t="n">
        <f aca="false">COUNTIF($BA$2289:$EH$2289,"R")</f>
        <v>0</v>
      </c>
      <c r="AX620" s="0" t="n">
        <f aca="false"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>0</v>
      </c>
      <c r="AY620" s="0" t="n">
        <f aca="false">COUNTIF(DU620:EH620, "&lt;&gt;")</f>
        <v>1</v>
      </c>
      <c r="AZ620" s="0" t="n">
        <f aca="false">IF(EH620&lt;&gt;"",1,0)</f>
        <v>0</v>
      </c>
      <c r="BB620" s="0" t="s">
        <v>153</v>
      </c>
      <c r="BL620" s="0" t="s">
        <v>154</v>
      </c>
      <c r="BP620" s="0" t="s">
        <v>154</v>
      </c>
      <c r="BS620" s="0" t="s">
        <v>154</v>
      </c>
      <c r="BY620" s="0" t="s">
        <v>155</v>
      </c>
      <c r="CA620" s="0" t="s">
        <v>154</v>
      </c>
      <c r="CG620" s="0" t="s">
        <v>154</v>
      </c>
      <c r="CK620" s="0" t="s">
        <v>154</v>
      </c>
      <c r="EF620" s="0" t="s">
        <v>154</v>
      </c>
    </row>
    <row r="621" customFormat="false" ht="13.8" hidden="true" customHeight="false" outlineLevel="0" collapsed="false">
      <c r="A621" s="0" t="s">
        <v>3220</v>
      </c>
      <c r="B621" s="0" t="n">
        <v>78</v>
      </c>
      <c r="C621" s="0" t="n">
        <v>487792</v>
      </c>
      <c r="D621" s="0" t="s">
        <v>3221</v>
      </c>
      <c r="E621" s="0" t="s">
        <v>3222</v>
      </c>
      <c r="F621" s="0" t="str">
        <f aca="false">CONCATENATE(D621," ",LEFT(H621,4),"T=",AU621,"D=",AV621,"R=",AW621,"M=",AX621,"L=",AY621,"B=",AZ621)</f>
        <v>FREELAND T=1D=0R=0M=0L=0B=0</v>
      </c>
      <c r="G621" s="0" t="s">
        <v>176</v>
      </c>
      <c r="I621" s="0" t="s">
        <v>3223</v>
      </c>
      <c r="J621" s="0" t="s">
        <v>3224</v>
      </c>
      <c r="K621" s="0" t="s">
        <v>175</v>
      </c>
      <c r="L621" s="0"/>
      <c r="M621" s="0" t="s">
        <v>3225</v>
      </c>
      <c r="N621" s="0" t="str">
        <f aca="false">RIGHT(M621,LEN(M621)-FIND(" ",M621))</f>
        <v>COMSTOCK ST NW</v>
      </c>
      <c r="P621" s="0" t="s">
        <v>146</v>
      </c>
      <c r="Q621" s="0" t="s">
        <v>147</v>
      </c>
      <c r="R621" s="0" t="n">
        <v>44483</v>
      </c>
      <c r="AD621" s="0" t="s">
        <v>148</v>
      </c>
      <c r="AE621" s="0" t="s">
        <v>149</v>
      </c>
      <c r="AF621" s="0" t="s">
        <v>150</v>
      </c>
      <c r="AH621" s="0" t="n">
        <v>14</v>
      </c>
      <c r="AI621" s="0" t="n">
        <v>11</v>
      </c>
      <c r="AN621" s="0" t="s">
        <v>146</v>
      </c>
      <c r="AO621" s="0" t="s">
        <v>250</v>
      </c>
      <c r="AP621" s="0" t="s">
        <v>251</v>
      </c>
      <c r="AQ621" s="0" t="n">
        <v>9</v>
      </c>
      <c r="AR621" s="0" t="n">
        <v>64</v>
      </c>
      <c r="AS621" s="0" t="n">
        <v>32</v>
      </c>
      <c r="AU621" s="0" t="n">
        <f aca="false">COUNTA($BA$2158:$EH$2158)</f>
        <v>1</v>
      </c>
      <c r="AV621" s="0" t="n">
        <f aca="false">COUNTIF($BA$2158:$EH$2158,"D")</f>
        <v>0</v>
      </c>
      <c r="AW621" s="0" t="n">
        <f aca="false">COUNTIF($BA$2158:$EH$2158,"R")</f>
        <v>0</v>
      </c>
      <c r="AX621" s="0" t="n">
        <f aca="false"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>0</v>
      </c>
      <c r="AY621" s="0" t="n">
        <f aca="false">COUNTIF(DU621:EH621, "&lt;&gt;")</f>
        <v>0</v>
      </c>
      <c r="AZ621" s="0" t="n">
        <f aca="false">IF(EH621&lt;&gt;"",1,0)</f>
        <v>0</v>
      </c>
      <c r="BB621" s="0" t="s">
        <v>153</v>
      </c>
    </row>
    <row r="622" customFormat="false" ht="13.8" hidden="true" customHeight="false" outlineLevel="0" collapsed="false">
      <c r="A622" s="0" t="s">
        <v>3226</v>
      </c>
      <c r="B622" s="0" t="n">
        <v>78</v>
      </c>
      <c r="C622" s="0" t="n">
        <v>457579</v>
      </c>
      <c r="D622" s="0" t="s">
        <v>3221</v>
      </c>
      <c r="E622" s="0" t="s">
        <v>3227</v>
      </c>
      <c r="F622" s="0" t="str">
        <f aca="false">CONCATENATE(D622," ",LEFT(H622,4),"T=",AU622,"D=",AV622,"R=",AW622,"M=",AX622,"L=",AY622,"B=",AZ622)</f>
        <v>FREELAND T=1D=0R=0M=0L=0B=0</v>
      </c>
      <c r="G622" s="0" t="s">
        <v>3228</v>
      </c>
      <c r="I622" s="0" t="s">
        <v>3229</v>
      </c>
      <c r="J622" s="0" t="s">
        <v>3230</v>
      </c>
      <c r="K622" s="0" t="s">
        <v>175</v>
      </c>
      <c r="L622" s="0"/>
      <c r="M622" s="0" t="s">
        <v>3225</v>
      </c>
      <c r="N622" s="0" t="str">
        <f aca="false">RIGHT(M622,LEN(M622)-FIND(" ",M622))</f>
        <v>COMSTOCK ST NW</v>
      </c>
      <c r="P622" s="0" t="s">
        <v>146</v>
      </c>
      <c r="Q622" s="0" t="s">
        <v>147</v>
      </c>
      <c r="R622" s="0" t="n">
        <v>44483</v>
      </c>
      <c r="AD622" s="0" t="s">
        <v>148</v>
      </c>
      <c r="AE622" s="0" t="s">
        <v>149</v>
      </c>
      <c r="AF622" s="0" t="s">
        <v>150</v>
      </c>
      <c r="AH622" s="0" t="n">
        <v>14</v>
      </c>
      <c r="AI622" s="0" t="n">
        <v>11</v>
      </c>
      <c r="AN622" s="0" t="s">
        <v>146</v>
      </c>
      <c r="AO622" s="0" t="s">
        <v>250</v>
      </c>
      <c r="AP622" s="0" t="s">
        <v>251</v>
      </c>
      <c r="AQ622" s="0" t="n">
        <v>9</v>
      </c>
      <c r="AR622" s="0" t="n">
        <v>64</v>
      </c>
      <c r="AS622" s="0" t="n">
        <v>32</v>
      </c>
      <c r="AU622" s="0" t="n">
        <f aca="false">COUNTA($BA$2168:$EH$2168)</f>
        <v>1</v>
      </c>
      <c r="AV622" s="0" t="n">
        <f aca="false">COUNTIF($BA$2168:$EH$2168,"D")</f>
        <v>0</v>
      </c>
      <c r="AW622" s="0" t="n">
        <f aca="false">COUNTIF($BA$2168:$EH$2168,"R")</f>
        <v>0</v>
      </c>
      <c r="AX622" s="0" t="n">
        <f aca="false"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>0</v>
      </c>
      <c r="AY622" s="0" t="n">
        <f aca="false">COUNTIF(DU622:EH622, "&lt;&gt;")</f>
        <v>0</v>
      </c>
      <c r="AZ622" s="0" t="n">
        <f aca="false">IF(EH622&lt;&gt;"",1,0)</f>
        <v>0</v>
      </c>
      <c r="BB622" s="0" t="s">
        <v>153</v>
      </c>
    </row>
    <row r="623" customFormat="false" ht="13.8" hidden="false" customHeight="false" outlineLevel="0" collapsed="false">
      <c r="A623" s="0" t="s">
        <v>3231</v>
      </c>
      <c r="B623" s="0" t="n">
        <v>78</v>
      </c>
      <c r="C623" s="0" t="n">
        <v>436990</v>
      </c>
      <c r="D623" s="0" t="s">
        <v>422</v>
      </c>
      <c r="E623" s="0" t="s">
        <v>3232</v>
      </c>
      <c r="F623" s="0" t="str">
        <f aca="false">CONCATENATE(D623," ",LEFT(H623,4),"T=",AU623,"D=",AV623,"R=",AW623,"M=",AX623,"L=",AY623,"B=",AZ623)</f>
        <v>GORDON T=2D=0R=0M=1L=3B=0</v>
      </c>
      <c r="G623" s="0" t="s">
        <v>159</v>
      </c>
      <c r="I623" s="0" t="s">
        <v>3233</v>
      </c>
      <c r="J623" s="0" t="s">
        <v>575</v>
      </c>
      <c r="K623" s="0" t="s">
        <v>175</v>
      </c>
      <c r="M623" s="0" t="s">
        <v>3225</v>
      </c>
      <c r="N623" s="0" t="str">
        <f aca="false">RIGHT(M623,LEN(M623)-FIND(" ",M623))</f>
        <v>COMSTOCK ST NW</v>
      </c>
      <c r="P623" s="0" t="s">
        <v>146</v>
      </c>
      <c r="Q623" s="0" t="s">
        <v>147</v>
      </c>
      <c r="R623" s="0" t="n">
        <v>44483</v>
      </c>
      <c r="AD623" s="0" t="s">
        <v>148</v>
      </c>
      <c r="AE623" s="0" t="s">
        <v>149</v>
      </c>
      <c r="AF623" s="0" t="s">
        <v>150</v>
      </c>
      <c r="AH623" s="0" t="n">
        <v>14</v>
      </c>
      <c r="AI623" s="0" t="n">
        <v>11</v>
      </c>
      <c r="AN623" s="0" t="s">
        <v>146</v>
      </c>
      <c r="AO623" s="0" t="s">
        <v>250</v>
      </c>
      <c r="AP623" s="0" t="s">
        <v>251</v>
      </c>
      <c r="AQ623" s="0" t="n">
        <v>9</v>
      </c>
      <c r="AR623" s="0" t="n">
        <v>64</v>
      </c>
      <c r="AS623" s="0" t="n">
        <v>32</v>
      </c>
      <c r="AU623" s="0" t="n">
        <f aca="false">COUNTA($BA$2772:$EH$2772)</f>
        <v>2</v>
      </c>
      <c r="AV623" s="0" t="n">
        <f aca="false">COUNTIF($BA$2772:$EH$2772,"D")</f>
        <v>0</v>
      </c>
      <c r="AW623" s="0" t="n">
        <f aca="false">COUNTIF($BA$2772:$EH$2772,"R")</f>
        <v>0</v>
      </c>
      <c r="AX623" s="0" t="n">
        <f aca="false"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>1</v>
      </c>
      <c r="AY623" s="0" t="n">
        <f aca="false">COUNTIF(DU623:EH623, "&lt;&gt;")</f>
        <v>3</v>
      </c>
      <c r="AZ623" s="0" t="n">
        <f aca="false">IF(EH623&lt;&gt;"",1,0)</f>
        <v>0</v>
      </c>
      <c r="BB623" s="0" t="s">
        <v>153</v>
      </c>
      <c r="BD623" s="0" t="s">
        <v>154</v>
      </c>
      <c r="DL623" s="0" t="s">
        <v>154</v>
      </c>
      <c r="DN623" s="0" t="s">
        <v>154</v>
      </c>
      <c r="DO623" s="0" t="s">
        <v>155</v>
      </c>
      <c r="DU623" s="0" t="s">
        <v>154</v>
      </c>
      <c r="EA623" s="0" t="s">
        <v>154</v>
      </c>
      <c r="EF623" s="0" t="s">
        <v>154</v>
      </c>
    </row>
    <row r="624" customFormat="false" ht="13.8" hidden="false" customHeight="false" outlineLevel="0" collapsed="false">
      <c r="A624" s="0" t="s">
        <v>3234</v>
      </c>
      <c r="B624" s="0" t="n">
        <v>78</v>
      </c>
      <c r="C624" s="0" t="n">
        <v>378376</v>
      </c>
      <c r="D624" s="0" t="s">
        <v>3235</v>
      </c>
      <c r="E624" s="0" t="s">
        <v>690</v>
      </c>
      <c r="F624" s="0" t="str">
        <f aca="false">CONCATENATE(D624," ",LEFT(H624,4),"T=",AU624,"D=",AV624,"R=",AW624,"M=",AX624,"L=",AY624,"B=",AZ624)</f>
        <v>FLORES T=1D=0R=0M=0L=2B=0</v>
      </c>
      <c r="G624" s="0" t="s">
        <v>196</v>
      </c>
      <c r="I624" s="0" t="s">
        <v>3236</v>
      </c>
      <c r="J624" s="0" t="s">
        <v>342</v>
      </c>
      <c r="K624" s="0" t="s">
        <v>175</v>
      </c>
      <c r="M624" s="0" t="s">
        <v>3237</v>
      </c>
      <c r="N624" s="0" t="str">
        <f aca="false">RIGHT(M624,LEN(M624)-FIND(" ",M624))</f>
        <v>COMSTOCK ST NW</v>
      </c>
      <c r="P624" s="0" t="s">
        <v>146</v>
      </c>
      <c r="Q624" s="0" t="s">
        <v>147</v>
      </c>
      <c r="R624" s="0" t="n">
        <v>44483</v>
      </c>
      <c r="AD624" s="0" t="s">
        <v>148</v>
      </c>
      <c r="AE624" s="0" t="s">
        <v>149</v>
      </c>
      <c r="AF624" s="0" t="s">
        <v>150</v>
      </c>
      <c r="AH624" s="0" t="n">
        <v>14</v>
      </c>
      <c r="AI624" s="0" t="n">
        <v>11</v>
      </c>
      <c r="AN624" s="0" t="s">
        <v>146</v>
      </c>
      <c r="AO624" s="0" t="s">
        <v>151</v>
      </c>
      <c r="AP624" s="0" t="s">
        <v>152</v>
      </c>
      <c r="AQ624" s="0" t="n">
        <v>9</v>
      </c>
      <c r="AR624" s="0" t="n">
        <v>64</v>
      </c>
      <c r="AS624" s="0" t="n">
        <v>32</v>
      </c>
      <c r="AU624" s="0" t="n">
        <f aca="false">COUNTA($BA$1943:$EH$1943)</f>
        <v>1</v>
      </c>
      <c r="AV624" s="0" t="n">
        <f aca="false">COUNTIF($BA$1943:$EH$1943,"D")</f>
        <v>0</v>
      </c>
      <c r="AW624" s="0" t="n">
        <f aca="false">COUNTIF($BA$1943:$EH$1943,"R")</f>
        <v>0</v>
      </c>
      <c r="AX624" s="0" t="n">
        <f aca="false"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>0</v>
      </c>
      <c r="AY624" s="0" t="n">
        <f aca="false">COUNTIF(DU624:EH624, "&lt;&gt;")</f>
        <v>2</v>
      </c>
      <c r="AZ624" s="0" t="n">
        <f aca="false">IF(EH624&lt;&gt;"",1,0)</f>
        <v>0</v>
      </c>
      <c r="BB624" s="0" t="s">
        <v>153</v>
      </c>
      <c r="BL624" s="0" t="s">
        <v>154</v>
      </c>
      <c r="DN624" s="0" t="s">
        <v>154</v>
      </c>
      <c r="DU624" s="0" t="s">
        <v>154</v>
      </c>
      <c r="EF624" s="0" t="s">
        <v>154</v>
      </c>
    </row>
    <row r="625" customFormat="false" ht="13.8" hidden="false" customHeight="false" outlineLevel="0" collapsed="false">
      <c r="A625" s="0" t="s">
        <v>3238</v>
      </c>
      <c r="B625" s="0" t="n">
        <v>78</v>
      </c>
      <c r="C625" s="0" t="n">
        <v>127104</v>
      </c>
      <c r="D625" s="0" t="s">
        <v>3239</v>
      </c>
      <c r="E625" s="0" t="s">
        <v>471</v>
      </c>
      <c r="F625" s="0" t="str">
        <f aca="false">CONCATENATE(D625," ",LEFT(H625,4),"T=",AU625,"D=",AV625,"R=",AW625,"M=",AX625,"L=",AY625,"B=",AZ625)</f>
        <v>GARGANO T=17D=1R=0M=3L=6B=1</v>
      </c>
      <c r="G625" s="0" t="s">
        <v>694</v>
      </c>
      <c r="I625" s="0" t="s">
        <v>3240</v>
      </c>
      <c r="J625" s="0" t="s">
        <v>3241</v>
      </c>
      <c r="K625" s="0" t="s">
        <v>175</v>
      </c>
      <c r="L625" s="1" t="s">
        <v>155</v>
      </c>
      <c r="M625" s="0" t="s">
        <v>3242</v>
      </c>
      <c r="N625" s="0" t="str">
        <f aca="false">RIGHT(M625,LEN(M625)-FIND(" ",M625))</f>
        <v>COMSTOCK ST NW</v>
      </c>
      <c r="P625" s="0" t="s">
        <v>146</v>
      </c>
      <c r="Q625" s="0" t="s">
        <v>147</v>
      </c>
      <c r="R625" s="0" t="n">
        <v>44483</v>
      </c>
      <c r="AD625" s="0" t="s">
        <v>148</v>
      </c>
      <c r="AE625" s="0" t="s">
        <v>149</v>
      </c>
      <c r="AF625" s="0" t="s">
        <v>150</v>
      </c>
      <c r="AH625" s="0" t="n">
        <v>14</v>
      </c>
      <c r="AI625" s="0" t="n">
        <v>11</v>
      </c>
      <c r="AN625" s="0" t="s">
        <v>146</v>
      </c>
      <c r="AO625" s="0" t="s">
        <v>151</v>
      </c>
      <c r="AP625" s="0" t="s">
        <v>152</v>
      </c>
      <c r="AQ625" s="0" t="n">
        <v>9</v>
      </c>
      <c r="AR625" s="0" t="n">
        <v>64</v>
      </c>
      <c r="AS625" s="0" t="n">
        <v>32</v>
      </c>
      <c r="AU625" s="0" t="n">
        <f aca="false">COUNTA($BA$1882:$EH$1882)</f>
        <v>17</v>
      </c>
      <c r="AV625" s="0" t="n">
        <f aca="false">COUNTIF($BA$1882:$EH$1882,"D")</f>
        <v>1</v>
      </c>
      <c r="AW625" s="0" t="n">
        <f aca="false">COUNTIF($BA$1882:$EH$1882,"R")</f>
        <v>0</v>
      </c>
      <c r="AX625" s="0" t="n">
        <f aca="false"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>3</v>
      </c>
      <c r="AY625" s="0" t="n">
        <f aca="false">COUNTIF(DU625:EH625, "&lt;&gt;")</f>
        <v>6</v>
      </c>
      <c r="AZ625" s="0" t="n">
        <f aca="false">IF(EH625&lt;&gt;"",1,0)</f>
        <v>1</v>
      </c>
      <c r="BB625" s="0" t="s">
        <v>153</v>
      </c>
      <c r="BC625" s="0" t="s">
        <v>154</v>
      </c>
      <c r="BD625" s="0" t="s">
        <v>154</v>
      </c>
      <c r="BF625" s="0" t="s">
        <v>154</v>
      </c>
      <c r="BH625" s="0" t="s">
        <v>154</v>
      </c>
      <c r="BI625" s="0" t="s">
        <v>154</v>
      </c>
      <c r="BJ625" s="0" t="s">
        <v>154</v>
      </c>
      <c r="BK625" s="0" t="s">
        <v>154</v>
      </c>
      <c r="BL625" s="0" t="s">
        <v>154</v>
      </c>
      <c r="BS625" s="0" t="s">
        <v>154</v>
      </c>
      <c r="BY625" s="0" t="s">
        <v>155</v>
      </c>
      <c r="CA625" s="0" t="s">
        <v>154</v>
      </c>
      <c r="CG625" s="0" t="s">
        <v>154</v>
      </c>
      <c r="CK625" s="0" t="s">
        <v>154</v>
      </c>
      <c r="CN625" s="0" t="s">
        <v>154</v>
      </c>
      <c r="CO625" s="0" t="s">
        <v>155</v>
      </c>
      <c r="CP625" s="0" t="s">
        <v>154</v>
      </c>
      <c r="CU625" s="0" t="s">
        <v>155</v>
      </c>
      <c r="CV625" s="0" t="s">
        <v>154</v>
      </c>
      <c r="CY625" s="0" t="s">
        <v>154</v>
      </c>
      <c r="CZ625" s="0" t="s">
        <v>155</v>
      </c>
      <c r="DC625" s="0" t="s">
        <v>154</v>
      </c>
      <c r="DD625" s="0" t="s">
        <v>155</v>
      </c>
      <c r="DI625" s="0" t="s">
        <v>154</v>
      </c>
      <c r="DL625" s="0" t="s">
        <v>154</v>
      </c>
      <c r="DN625" s="0" t="s">
        <v>154</v>
      </c>
      <c r="DR625" s="0" t="s">
        <v>154</v>
      </c>
      <c r="DU625" s="0" t="s">
        <v>154</v>
      </c>
      <c r="DW625" s="0" t="s">
        <v>155</v>
      </c>
      <c r="DX625" s="0" t="s">
        <v>154</v>
      </c>
      <c r="EA625" s="0" t="s">
        <v>154</v>
      </c>
      <c r="EF625" s="0" t="s">
        <v>154</v>
      </c>
      <c r="EH625" s="0" t="s">
        <v>155</v>
      </c>
    </row>
    <row r="626" customFormat="false" ht="13.8" hidden="false" customHeight="false" outlineLevel="0" collapsed="false">
      <c r="A626" s="0" t="s">
        <v>3243</v>
      </c>
      <c r="B626" s="0" t="n">
        <v>78</v>
      </c>
      <c r="C626" s="0" t="n">
        <v>328777</v>
      </c>
      <c r="D626" s="0" t="s">
        <v>139</v>
      </c>
      <c r="E626" s="0" t="s">
        <v>640</v>
      </c>
      <c r="F626" s="0" t="str">
        <f aca="false">CONCATENATE(D626," ",LEFT(H626,4),"T=",AU626,"D=",AV626,"R=",AW626,"M=",AX626,"L=",AY626,"B=",AZ626)</f>
        <v>ALLEN T=8D=3R=0M=0L=4B=0</v>
      </c>
      <c r="G626" s="0" t="s">
        <v>241</v>
      </c>
      <c r="I626" s="0" t="s">
        <v>3244</v>
      </c>
      <c r="J626" s="0" t="s">
        <v>3245</v>
      </c>
      <c r="K626" s="0" t="s">
        <v>175</v>
      </c>
      <c r="M626" s="0" t="s">
        <v>3246</v>
      </c>
      <c r="N626" s="0" t="str">
        <f aca="false">RIGHT(M626,LEN(M626)-FIND(" ",M626))</f>
        <v>COMSTOCK ST NW</v>
      </c>
      <c r="P626" s="0" t="s">
        <v>146</v>
      </c>
      <c r="Q626" s="0" t="s">
        <v>147</v>
      </c>
      <c r="R626" s="0" t="n">
        <v>44483</v>
      </c>
      <c r="AD626" s="0" t="s">
        <v>148</v>
      </c>
      <c r="AE626" s="0" t="s">
        <v>149</v>
      </c>
      <c r="AF626" s="0" t="s">
        <v>150</v>
      </c>
      <c r="AH626" s="0" t="n">
        <v>14</v>
      </c>
      <c r="AI626" s="0" t="n">
        <v>11</v>
      </c>
      <c r="AN626" s="0" t="s">
        <v>146</v>
      </c>
      <c r="AO626" s="0" t="s">
        <v>151</v>
      </c>
      <c r="AP626" s="0" t="s">
        <v>152</v>
      </c>
      <c r="AQ626" s="0" t="n">
        <v>9</v>
      </c>
      <c r="AR626" s="0" t="n">
        <v>64</v>
      </c>
      <c r="AS626" s="0" t="n">
        <v>32</v>
      </c>
      <c r="AU626" s="0" t="n">
        <f aca="false">COUNTA($BA$1486:$EH$1486)</f>
        <v>8</v>
      </c>
      <c r="AV626" s="0" t="n">
        <f aca="false">COUNTIF($BA$1486:$EH$1486,"D")</f>
        <v>3</v>
      </c>
      <c r="AW626" s="0" t="n">
        <f aca="false">COUNTIF($BA$1486:$EH$1486,"R")</f>
        <v>0</v>
      </c>
      <c r="AX626" s="0" t="n">
        <f aca="false"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>0</v>
      </c>
      <c r="AY626" s="0" t="n">
        <f aca="false">COUNTIF(DU626:EH626, "&lt;&gt;")</f>
        <v>4</v>
      </c>
      <c r="AZ626" s="0" t="n">
        <f aca="false">IF(EH626&lt;&gt;"",1,0)</f>
        <v>0</v>
      </c>
      <c r="BB626" s="0" t="s">
        <v>153</v>
      </c>
      <c r="BL626" s="0" t="s">
        <v>154</v>
      </c>
      <c r="BP626" s="0" t="s">
        <v>154</v>
      </c>
      <c r="BR626" s="0" t="s">
        <v>154</v>
      </c>
      <c r="BS626" s="0" t="s">
        <v>154</v>
      </c>
      <c r="BV626" s="0" t="s">
        <v>154</v>
      </c>
      <c r="BY626" s="0" t="s">
        <v>155</v>
      </c>
      <c r="CA626" s="0" t="s">
        <v>154</v>
      </c>
      <c r="CG626" s="0" t="s">
        <v>154</v>
      </c>
      <c r="CK626" s="0" t="s">
        <v>154</v>
      </c>
      <c r="CN626" s="0" t="s">
        <v>154</v>
      </c>
      <c r="CP626" s="0" t="s">
        <v>154</v>
      </c>
      <c r="CV626" s="0" t="s">
        <v>154</v>
      </c>
      <c r="CZ626" s="0" t="s">
        <v>176</v>
      </c>
      <c r="DC626" s="0" t="s">
        <v>154</v>
      </c>
      <c r="DI626" s="0" t="s">
        <v>154</v>
      </c>
      <c r="DN626" s="0" t="s">
        <v>154</v>
      </c>
      <c r="DU626" s="0" t="s">
        <v>154</v>
      </c>
      <c r="DX626" s="0" t="s">
        <v>154</v>
      </c>
      <c r="EA626" s="0" t="s">
        <v>154</v>
      </c>
      <c r="EF626" s="0" t="s">
        <v>154</v>
      </c>
    </row>
    <row r="627" customFormat="false" ht="13.8" hidden="true" customHeight="false" outlineLevel="0" collapsed="false">
      <c r="A627" s="0" t="s">
        <v>3247</v>
      </c>
      <c r="B627" s="0" t="n">
        <v>78</v>
      </c>
      <c r="C627" s="0" t="n">
        <v>401094</v>
      </c>
      <c r="D627" s="0" t="s">
        <v>3248</v>
      </c>
      <c r="E627" s="0" t="s">
        <v>3249</v>
      </c>
      <c r="F627" s="0" t="str">
        <f aca="false">CONCATENATE(D627," ",LEFT(H627,4),"T=",AU627,"D=",AV627,"R=",AW627,"M=",AX627,"L=",AY627,"B=",AZ627)</f>
        <v>HUDNELL T=2D=0R=0M=0L=1B=0</v>
      </c>
      <c r="G627" s="0" t="s">
        <v>1482</v>
      </c>
      <c r="I627" s="0" t="s">
        <v>3250</v>
      </c>
      <c r="J627" s="0" t="s">
        <v>3251</v>
      </c>
      <c r="K627" s="0" t="s">
        <v>175</v>
      </c>
      <c r="L627" s="0"/>
      <c r="M627" s="0" t="s">
        <v>3246</v>
      </c>
      <c r="N627" s="0" t="str">
        <f aca="false">RIGHT(M627,LEN(M627)-FIND(" ",M627))</f>
        <v>COMSTOCK ST NW</v>
      </c>
      <c r="P627" s="0" t="s">
        <v>146</v>
      </c>
      <c r="Q627" s="0" t="s">
        <v>147</v>
      </c>
      <c r="R627" s="0" t="n">
        <v>44483</v>
      </c>
      <c r="AD627" s="0" t="s">
        <v>148</v>
      </c>
      <c r="AE627" s="0" t="s">
        <v>149</v>
      </c>
      <c r="AF627" s="0" t="s">
        <v>150</v>
      </c>
      <c r="AH627" s="0" t="n">
        <v>14</v>
      </c>
      <c r="AI627" s="0" t="n">
        <v>11</v>
      </c>
      <c r="AN627" s="0" t="s">
        <v>146</v>
      </c>
      <c r="AO627" s="0" t="s">
        <v>151</v>
      </c>
      <c r="AP627" s="0" t="s">
        <v>152</v>
      </c>
      <c r="AQ627" s="0" t="n">
        <v>9</v>
      </c>
      <c r="AR627" s="0" t="n">
        <v>64</v>
      </c>
      <c r="AS627" s="0" t="n">
        <v>32</v>
      </c>
      <c r="AU627" s="0" t="n">
        <f aca="false">COUNTA($BA$1862:$EH$1862)</f>
        <v>2</v>
      </c>
      <c r="AV627" s="0" t="n">
        <f aca="false">COUNTIF($BA$1862:$EH$1862,"D")</f>
        <v>0</v>
      </c>
      <c r="AW627" s="0" t="n">
        <f aca="false">COUNTIF($BA$1862:$EH$1862,"R")</f>
        <v>0</v>
      </c>
      <c r="AX627" s="0" t="n">
        <f aca="false"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>0</v>
      </c>
      <c r="AY627" s="0" t="n">
        <f aca="false">COUNTIF(DU627:EH627, "&lt;&gt;")</f>
        <v>1</v>
      </c>
      <c r="AZ627" s="0" t="n">
        <f aca="false">IF(EH627&lt;&gt;"",1,0)</f>
        <v>0</v>
      </c>
      <c r="BB627" s="0" t="s">
        <v>153</v>
      </c>
      <c r="CG627" s="0" t="s">
        <v>154</v>
      </c>
      <c r="CP627" s="0" t="s">
        <v>154</v>
      </c>
      <c r="DC627" s="0" t="s">
        <v>154</v>
      </c>
      <c r="EF627" s="0" t="s">
        <v>154</v>
      </c>
    </row>
    <row r="628" customFormat="false" ht="13.8" hidden="true" customHeight="false" outlineLevel="0" collapsed="false">
      <c r="A628" s="0" t="s">
        <v>3252</v>
      </c>
      <c r="B628" s="0" t="n">
        <v>78</v>
      </c>
      <c r="C628" s="0" t="n">
        <v>415561</v>
      </c>
      <c r="D628" s="0" t="s">
        <v>633</v>
      </c>
      <c r="E628" s="0" t="s">
        <v>3253</v>
      </c>
      <c r="F628" s="0" t="str">
        <f aca="false">CONCATENATE(D628," ",LEFT(H628,4),"T=",AU628,"D=",AV628,"R=",AW628,"M=",AX628,"L=",AY628,"B=",AZ628)</f>
        <v>WALKER T=6D=1R=0M=0L=1B=0</v>
      </c>
      <c r="G628" s="0" t="s">
        <v>155</v>
      </c>
      <c r="I628" s="0" t="s">
        <v>3254</v>
      </c>
      <c r="J628" s="0" t="s">
        <v>757</v>
      </c>
      <c r="K628" s="0" t="s">
        <v>175</v>
      </c>
      <c r="L628" s="0"/>
      <c r="M628" s="0" t="s">
        <v>3255</v>
      </c>
      <c r="N628" s="0" t="str">
        <f aca="false">RIGHT(M628,LEN(M628)-FIND(" ",M628))</f>
        <v>COMSTOCK ST NW</v>
      </c>
      <c r="P628" s="0" t="s">
        <v>146</v>
      </c>
      <c r="Q628" s="0" t="s">
        <v>147</v>
      </c>
      <c r="R628" s="0" t="n">
        <v>44483</v>
      </c>
      <c r="AD628" s="0" t="s">
        <v>148</v>
      </c>
      <c r="AE628" s="0" t="s">
        <v>149</v>
      </c>
      <c r="AF628" s="0" t="s">
        <v>150</v>
      </c>
      <c r="AH628" s="0" t="n">
        <v>14</v>
      </c>
      <c r="AI628" s="0" t="n">
        <v>11</v>
      </c>
      <c r="AN628" s="0" t="s">
        <v>146</v>
      </c>
      <c r="AO628" s="0" t="s">
        <v>151</v>
      </c>
      <c r="AP628" s="0" t="s">
        <v>152</v>
      </c>
      <c r="AQ628" s="0" t="n">
        <v>9</v>
      </c>
      <c r="AR628" s="0" t="n">
        <v>64</v>
      </c>
      <c r="AS628" s="0" t="n">
        <v>32</v>
      </c>
      <c r="AU628" s="0" t="n">
        <f aca="false">COUNTA($BA$1431:$EH$1431)</f>
        <v>6</v>
      </c>
      <c r="AV628" s="0" t="n">
        <f aca="false">COUNTIF($BA$1431:$EH$1431,"D")</f>
        <v>1</v>
      </c>
      <c r="AW628" s="0" t="n">
        <f aca="false">COUNTIF($BA$1431:$EH$1431,"R")</f>
        <v>0</v>
      </c>
      <c r="AX628" s="0" t="n">
        <f aca="false"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>0</v>
      </c>
      <c r="AY628" s="0" t="n">
        <f aca="false">COUNTIF(DU628:EH628, "&lt;&gt;")</f>
        <v>1</v>
      </c>
      <c r="AZ628" s="0" t="n">
        <f aca="false">IF(EH628&lt;&gt;"",1,0)</f>
        <v>0</v>
      </c>
      <c r="BB628" s="0" t="s">
        <v>153</v>
      </c>
      <c r="DC628" s="0" t="s">
        <v>154</v>
      </c>
      <c r="DI628" s="0" t="s">
        <v>154</v>
      </c>
      <c r="DN628" s="0" t="s">
        <v>154</v>
      </c>
      <c r="EF628" s="0" t="s">
        <v>154</v>
      </c>
    </row>
    <row r="629" customFormat="false" ht="13.8" hidden="true" customHeight="false" outlineLevel="0" collapsed="false">
      <c r="A629" s="0" t="s">
        <v>3256</v>
      </c>
      <c r="B629" s="0" t="n">
        <v>78</v>
      </c>
      <c r="C629" s="0" t="n">
        <v>428440</v>
      </c>
      <c r="D629" s="0" t="s">
        <v>3257</v>
      </c>
      <c r="E629" s="0" t="s">
        <v>1545</v>
      </c>
      <c r="F629" s="0" t="str">
        <f aca="false">CONCATENATE(D629," ",LEFT(H629,4),"T=",AU629,"D=",AV629,"R=",AW629,"M=",AX629,"L=",AY629,"B=",AZ629)</f>
        <v>ALMY T=5D=0R=0M=0L=0B=0</v>
      </c>
      <c r="G629" s="0" t="s">
        <v>172</v>
      </c>
      <c r="I629" s="0" t="s">
        <v>3258</v>
      </c>
      <c r="J629" s="0" t="s">
        <v>3259</v>
      </c>
      <c r="K629" s="0" t="s">
        <v>175</v>
      </c>
      <c r="L629" s="0"/>
      <c r="M629" s="0" t="s">
        <v>3255</v>
      </c>
      <c r="N629" s="0" t="str">
        <f aca="false">RIGHT(M629,LEN(M629)-FIND(" ",M629))</f>
        <v>COMSTOCK ST NW</v>
      </c>
      <c r="P629" s="0" t="s">
        <v>146</v>
      </c>
      <c r="Q629" s="0" t="s">
        <v>147</v>
      </c>
      <c r="R629" s="0" t="n">
        <v>44483</v>
      </c>
      <c r="AD629" s="0" t="s">
        <v>148</v>
      </c>
      <c r="AE629" s="0" t="s">
        <v>149</v>
      </c>
      <c r="AF629" s="0" t="s">
        <v>150</v>
      </c>
      <c r="AH629" s="0" t="n">
        <v>14</v>
      </c>
      <c r="AI629" s="0" t="n">
        <v>11</v>
      </c>
      <c r="AN629" s="0" t="s">
        <v>146</v>
      </c>
      <c r="AO629" s="0" t="s">
        <v>151</v>
      </c>
      <c r="AP629" s="0" t="s">
        <v>152</v>
      </c>
      <c r="AQ629" s="0" t="n">
        <v>9</v>
      </c>
      <c r="AR629" s="0" t="n">
        <v>64</v>
      </c>
      <c r="AS629" s="0" t="n">
        <v>32</v>
      </c>
      <c r="AU629" s="0" t="n">
        <f aca="false">COUNTA($BA$1838:$EH$1838)</f>
        <v>5</v>
      </c>
      <c r="AV629" s="0" t="n">
        <f aca="false">COUNTIF($BA$1838:$EH$1838,"D")</f>
        <v>0</v>
      </c>
      <c r="AW629" s="0" t="n">
        <f aca="false">COUNTIF($BA$1838:$EH$1838,"R")</f>
        <v>0</v>
      </c>
      <c r="AX629" s="0" t="n">
        <f aca="false"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>0</v>
      </c>
      <c r="AY629" s="0" t="n">
        <f aca="false">COUNTIF(DU629:EH629, "&lt;&gt;")</f>
        <v>0</v>
      </c>
      <c r="AZ629" s="0" t="n">
        <f aca="false">IF(EH629&lt;&gt;"",1,0)</f>
        <v>0</v>
      </c>
      <c r="BB629" s="0" t="s">
        <v>153</v>
      </c>
    </row>
    <row r="630" customFormat="false" ht="13.8" hidden="false" customHeight="false" outlineLevel="0" collapsed="false">
      <c r="A630" s="0" t="s">
        <v>3260</v>
      </c>
      <c r="B630" s="0" t="n">
        <v>78</v>
      </c>
      <c r="C630" s="0" t="n">
        <v>220558</v>
      </c>
      <c r="D630" s="0" t="s">
        <v>3261</v>
      </c>
      <c r="E630" s="0" t="s">
        <v>171</v>
      </c>
      <c r="F630" s="0" t="str">
        <f aca="false">CONCATENATE(D630," ",LEFT(H630,4),"T=",AU630,"D=",AV630,"R=",AW630,"M=",AX630,"L=",AY630,"B=",AZ630)</f>
        <v>MCKEE T=4D=0R=0M=6L=7B=1</v>
      </c>
      <c r="G630" s="0" t="s">
        <v>155</v>
      </c>
      <c r="I630" s="0" t="s">
        <v>3262</v>
      </c>
      <c r="J630" s="0" t="s">
        <v>3263</v>
      </c>
      <c r="K630" s="0" t="s">
        <v>175</v>
      </c>
      <c r="L630" s="1" t="s">
        <v>155</v>
      </c>
      <c r="M630" s="0" t="s">
        <v>3264</v>
      </c>
      <c r="N630" s="0" t="str">
        <f aca="false">RIGHT(M630,LEN(M630)-FIND(" ",M630))</f>
        <v>COMSTOCK ST NW</v>
      </c>
      <c r="P630" s="0" t="s">
        <v>146</v>
      </c>
      <c r="Q630" s="0" t="s">
        <v>147</v>
      </c>
      <c r="R630" s="0" t="n">
        <v>44483</v>
      </c>
      <c r="AD630" s="0" t="s">
        <v>148</v>
      </c>
      <c r="AE630" s="0" t="s">
        <v>149</v>
      </c>
      <c r="AF630" s="0" t="s">
        <v>150</v>
      </c>
      <c r="AH630" s="0" t="n">
        <v>14</v>
      </c>
      <c r="AI630" s="0" t="n">
        <v>11</v>
      </c>
      <c r="AN630" s="0" t="s">
        <v>146</v>
      </c>
      <c r="AO630" s="0" t="s">
        <v>151</v>
      </c>
      <c r="AP630" s="0" t="s">
        <v>152</v>
      </c>
      <c r="AQ630" s="0" t="n">
        <v>9</v>
      </c>
      <c r="AR630" s="0" t="n">
        <v>64</v>
      </c>
      <c r="AS630" s="0" t="n">
        <v>32</v>
      </c>
      <c r="AU630" s="0" t="n">
        <f aca="false">COUNTA($BA$1226:$EH$1226)</f>
        <v>4</v>
      </c>
      <c r="AV630" s="0" t="n">
        <f aca="false">COUNTIF($BA$1226:$EH$1226,"D")</f>
        <v>0</v>
      </c>
      <c r="AW630" s="0" t="n">
        <f aca="false">COUNTIF($BA$1226:$EH$1226,"R")</f>
        <v>0</v>
      </c>
      <c r="AX630" s="0" t="n">
        <f aca="false"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>6</v>
      </c>
      <c r="AY630" s="0" t="n">
        <f aca="false">COUNTIF(DU630:EH630, "&lt;&gt;")</f>
        <v>7</v>
      </c>
      <c r="AZ630" s="0" t="n">
        <f aca="false">IF(EH630&lt;&gt;"",1,0)</f>
        <v>1</v>
      </c>
      <c r="BB630" s="0" t="s">
        <v>153</v>
      </c>
      <c r="BD630" s="0" t="s">
        <v>154</v>
      </c>
      <c r="BF630" s="0" t="s">
        <v>154</v>
      </c>
      <c r="BH630" s="0" t="s">
        <v>154</v>
      </c>
      <c r="BJ630" s="0" t="s">
        <v>154</v>
      </c>
      <c r="BL630" s="0" t="s">
        <v>154</v>
      </c>
      <c r="BP630" s="0" t="s">
        <v>154</v>
      </c>
      <c r="BS630" s="0" t="s">
        <v>154</v>
      </c>
      <c r="BY630" s="0" t="s">
        <v>155</v>
      </c>
      <c r="CA630" s="0" t="s">
        <v>154</v>
      </c>
      <c r="CG630" s="0" t="s">
        <v>154</v>
      </c>
      <c r="CK630" s="0" t="s">
        <v>154</v>
      </c>
      <c r="CL630" s="0" t="s">
        <v>155</v>
      </c>
      <c r="CN630" s="0" t="s">
        <v>154</v>
      </c>
      <c r="CO630" s="0" t="s">
        <v>155</v>
      </c>
      <c r="CP630" s="0" t="s">
        <v>154</v>
      </c>
      <c r="CQ630" s="0" t="s">
        <v>155</v>
      </c>
      <c r="CT630" s="0" t="s">
        <v>154</v>
      </c>
      <c r="CV630" s="0" t="s">
        <v>154</v>
      </c>
      <c r="CW630" s="0" t="s">
        <v>155</v>
      </c>
      <c r="CY630" s="0" t="s">
        <v>154</v>
      </c>
      <c r="CZ630" s="0" t="s">
        <v>155</v>
      </c>
      <c r="DC630" s="0" t="s">
        <v>154</v>
      </c>
      <c r="DD630" s="0" t="s">
        <v>155</v>
      </c>
      <c r="DF630" s="0" t="s">
        <v>154</v>
      </c>
      <c r="DI630" s="0" t="s">
        <v>154</v>
      </c>
      <c r="DL630" s="0" t="s">
        <v>154</v>
      </c>
      <c r="DM630" s="0" t="s">
        <v>155</v>
      </c>
      <c r="DN630" s="0" t="s">
        <v>154</v>
      </c>
      <c r="DR630" s="0" t="s">
        <v>154</v>
      </c>
      <c r="DT630" s="0" t="s">
        <v>155</v>
      </c>
      <c r="DU630" s="0" t="s">
        <v>154</v>
      </c>
      <c r="DW630" s="0" t="s">
        <v>155</v>
      </c>
      <c r="DX630" s="0" t="s">
        <v>154</v>
      </c>
      <c r="EA630" s="0" t="s">
        <v>154</v>
      </c>
      <c r="ED630" s="0" t="s">
        <v>155</v>
      </c>
      <c r="EF630" s="0" t="s">
        <v>154</v>
      </c>
      <c r="EH630" s="0" t="s">
        <v>155</v>
      </c>
    </row>
    <row r="631" customFormat="false" ht="13.8" hidden="true" customHeight="false" outlineLevel="0" collapsed="false">
      <c r="A631" s="0" t="s">
        <v>3265</v>
      </c>
      <c r="B631" s="0" t="n">
        <v>78</v>
      </c>
      <c r="C631" s="0" t="n">
        <v>375441</v>
      </c>
      <c r="D631" s="0" t="s">
        <v>1099</v>
      </c>
      <c r="E631" s="0" t="s">
        <v>549</v>
      </c>
      <c r="F631" s="0" t="str">
        <f aca="false">CONCATENATE(D631," ",LEFT(H631,4),"T=",AU631,"D=",AV631,"R=",AW631,"M=",AX631,"L=",AY631,"B=",AZ631)</f>
        <v>WRIGHT T=22D=9R=0M=0L=0B=0</v>
      </c>
      <c r="G631" s="0" t="s">
        <v>329</v>
      </c>
      <c r="I631" s="0" t="s">
        <v>3266</v>
      </c>
      <c r="J631" s="0" t="s">
        <v>3267</v>
      </c>
      <c r="K631" s="0" t="s">
        <v>144</v>
      </c>
      <c r="L631" s="0"/>
      <c r="M631" s="0" t="s">
        <v>3264</v>
      </c>
      <c r="N631" s="0" t="str">
        <f aca="false">RIGHT(M631,LEN(M631)-FIND(" ",M631))</f>
        <v>COMSTOCK ST NW</v>
      </c>
      <c r="P631" s="0" t="s">
        <v>146</v>
      </c>
      <c r="Q631" s="0" t="s">
        <v>147</v>
      </c>
      <c r="R631" s="0" t="n">
        <v>44483</v>
      </c>
      <c r="AD631" s="0" t="s">
        <v>148</v>
      </c>
      <c r="AE631" s="0" t="s">
        <v>149</v>
      </c>
      <c r="AF631" s="0" t="s">
        <v>150</v>
      </c>
      <c r="AH631" s="0" t="n">
        <v>14</v>
      </c>
      <c r="AI631" s="0" t="n">
        <v>11</v>
      </c>
      <c r="AN631" s="0" t="s">
        <v>146</v>
      </c>
      <c r="AO631" s="0" t="s">
        <v>151</v>
      </c>
      <c r="AP631" s="0" t="s">
        <v>152</v>
      </c>
      <c r="AQ631" s="0" t="n">
        <v>9</v>
      </c>
      <c r="AR631" s="0" t="n">
        <v>64</v>
      </c>
      <c r="AS631" s="0" t="n">
        <v>32</v>
      </c>
      <c r="AU631" s="0" t="n">
        <f aca="false">COUNTA($BA$1255:$EH$1255)</f>
        <v>22</v>
      </c>
      <c r="AV631" s="0" t="n">
        <f aca="false">COUNTIF($BA$1255:$EH$1255,"D")</f>
        <v>9</v>
      </c>
      <c r="AW631" s="0" t="n">
        <f aca="false">COUNTIF($BA$1255:$EH$1255,"R")</f>
        <v>0</v>
      </c>
      <c r="AX631" s="0" t="n">
        <f aca="false"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>0</v>
      </c>
      <c r="AY631" s="0" t="n">
        <f aca="false">COUNTIF(DU631:EH631, "&lt;&gt;")</f>
        <v>0</v>
      </c>
      <c r="AZ631" s="0" t="n">
        <f aca="false">IF(EH631&lt;&gt;"",1,0)</f>
        <v>0</v>
      </c>
      <c r="BB631" s="0" t="s">
        <v>153</v>
      </c>
      <c r="CP631" s="0" t="s">
        <v>154</v>
      </c>
      <c r="DC631" s="0" t="s">
        <v>154</v>
      </c>
    </row>
    <row r="632" customFormat="false" ht="13.8" hidden="true" customHeight="false" outlineLevel="0" collapsed="false">
      <c r="A632" s="0" t="s">
        <v>3268</v>
      </c>
      <c r="B632" s="0" t="n">
        <v>78</v>
      </c>
      <c r="C632" s="0" t="n">
        <v>323340</v>
      </c>
      <c r="D632" s="0" t="s">
        <v>1184</v>
      </c>
      <c r="E632" s="0" t="s">
        <v>3269</v>
      </c>
      <c r="F632" s="0" t="str">
        <f aca="false">CONCATENATE(D632," ",LEFT(H632,4),"T=",AU632,"D=",AV632,"R=",AW632,"M=",AX632,"L=",AY632,"B=",AZ632)</f>
        <v>PATTERSON T=19D=7R=0M=3L=0B=0</v>
      </c>
      <c r="G632" s="0" t="s">
        <v>939</v>
      </c>
      <c r="I632" s="0" t="s">
        <v>3270</v>
      </c>
      <c r="J632" s="0" t="s">
        <v>575</v>
      </c>
      <c r="K632" s="0" t="s">
        <v>144</v>
      </c>
      <c r="L632" s="0"/>
      <c r="M632" s="0" t="s">
        <v>3264</v>
      </c>
      <c r="N632" s="0" t="str">
        <f aca="false">RIGHT(M632,LEN(M632)-FIND(" ",M632))</f>
        <v>COMSTOCK ST NW</v>
      </c>
      <c r="P632" s="0" t="s">
        <v>146</v>
      </c>
      <c r="Q632" s="0" t="s">
        <v>147</v>
      </c>
      <c r="R632" s="0" t="n">
        <v>44483</v>
      </c>
      <c r="AD632" s="0" t="s">
        <v>148</v>
      </c>
      <c r="AE632" s="0" t="s">
        <v>149</v>
      </c>
      <c r="AF632" s="0" t="s">
        <v>150</v>
      </c>
      <c r="AH632" s="0" t="n">
        <v>14</v>
      </c>
      <c r="AI632" s="0" t="n">
        <v>11</v>
      </c>
      <c r="AN632" s="0" t="s">
        <v>146</v>
      </c>
      <c r="AO632" s="0" t="s">
        <v>151</v>
      </c>
      <c r="AP632" s="0" t="s">
        <v>152</v>
      </c>
      <c r="AQ632" s="0" t="n">
        <v>9</v>
      </c>
      <c r="AR632" s="0" t="n">
        <v>64</v>
      </c>
      <c r="AS632" s="0" t="n">
        <v>32</v>
      </c>
      <c r="AU632" s="0" t="n">
        <f aca="false">COUNTA($BA$1476:$EH$1476)</f>
        <v>19</v>
      </c>
      <c r="AV632" s="0" t="n">
        <f aca="false">COUNTIF($BA$1476:$EH$1476,"D")</f>
        <v>7</v>
      </c>
      <c r="AW632" s="0" t="n">
        <f aca="false">COUNTIF($BA$1476:$EH$1476,"R")</f>
        <v>0</v>
      </c>
      <c r="AX632" s="0" t="n">
        <f aca="false"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>3</v>
      </c>
      <c r="AY632" s="0" t="n">
        <f aca="false">COUNTIF(DU632:EH632, "&lt;&gt;")</f>
        <v>0</v>
      </c>
      <c r="AZ632" s="0" t="n">
        <f aca="false">IF(EH632&lt;&gt;"",1,0)</f>
        <v>0</v>
      </c>
      <c r="BB632" s="0" t="s">
        <v>153</v>
      </c>
      <c r="BL632" s="0" t="s">
        <v>154</v>
      </c>
      <c r="CA632" s="0" t="s">
        <v>154</v>
      </c>
      <c r="CP632" s="0" t="s">
        <v>154</v>
      </c>
      <c r="CQ632" s="0" t="s">
        <v>155</v>
      </c>
      <c r="CT632" s="0" t="s">
        <v>154</v>
      </c>
      <c r="CW632" s="0" t="s">
        <v>155</v>
      </c>
      <c r="CY632" s="0" t="s">
        <v>154</v>
      </c>
      <c r="DD632" s="0" t="s">
        <v>155</v>
      </c>
      <c r="DL632" s="0" t="s">
        <v>154</v>
      </c>
      <c r="DN632" s="0" t="s">
        <v>154</v>
      </c>
    </row>
    <row r="633" customFormat="false" ht="13.8" hidden="false" customHeight="false" outlineLevel="0" collapsed="false">
      <c r="A633" s="0" t="s">
        <v>3271</v>
      </c>
      <c r="B633" s="0" t="n">
        <v>78</v>
      </c>
      <c r="C633" s="0" t="n">
        <v>21272</v>
      </c>
      <c r="D633" s="0" t="s">
        <v>1244</v>
      </c>
      <c r="E633" s="0" t="s">
        <v>3272</v>
      </c>
      <c r="F633" s="0" t="str">
        <f aca="false">CONCATENATE(D633," ",LEFT(H633,4),"T=",AU633,"D=",AV633,"R=",AW633,"M=",AX633,"L=",AY633,"B=",AZ633)</f>
        <v>TAYLOR T=14D=3R=0M=0L=2B=0</v>
      </c>
      <c r="G633" s="0" t="s">
        <v>155</v>
      </c>
      <c r="I633" s="0" t="s">
        <v>3273</v>
      </c>
      <c r="J633" s="0" t="s">
        <v>211</v>
      </c>
      <c r="K633" s="0" t="s">
        <v>175</v>
      </c>
      <c r="M633" s="0" t="s">
        <v>3274</v>
      </c>
      <c r="N633" s="0" t="str">
        <f aca="false">RIGHT(M633,LEN(M633)-FIND(" ",M633))</f>
        <v>COMSTOCK ST NW</v>
      </c>
      <c r="P633" s="0" t="s">
        <v>146</v>
      </c>
      <c r="Q633" s="0" t="s">
        <v>147</v>
      </c>
      <c r="R633" s="0" t="n">
        <v>44483</v>
      </c>
      <c r="AD633" s="0" t="s">
        <v>148</v>
      </c>
      <c r="AE633" s="0" t="s">
        <v>149</v>
      </c>
      <c r="AF633" s="0" t="s">
        <v>150</v>
      </c>
      <c r="AH633" s="0" t="n">
        <v>14</v>
      </c>
      <c r="AI633" s="0" t="n">
        <v>11</v>
      </c>
      <c r="AN633" s="0" t="s">
        <v>146</v>
      </c>
      <c r="AO633" s="0" t="s">
        <v>151</v>
      </c>
      <c r="AP633" s="0" t="s">
        <v>152</v>
      </c>
      <c r="AQ633" s="0" t="n">
        <v>9</v>
      </c>
      <c r="AR633" s="0" t="n">
        <v>64</v>
      </c>
      <c r="AS633" s="0" t="n">
        <v>32</v>
      </c>
      <c r="AU633" s="0" t="n">
        <f aca="false">COUNTA($BA$1169:$EH$1169)</f>
        <v>14</v>
      </c>
      <c r="AV633" s="0" t="n">
        <f aca="false">COUNTIF($BA$1169:$EH$1169,"D")</f>
        <v>3</v>
      </c>
      <c r="AW633" s="0" t="n">
        <f aca="false">COUNTIF($BA$1169:$EH$1169,"R")</f>
        <v>0</v>
      </c>
      <c r="AX633" s="0" t="n">
        <f aca="false"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>0</v>
      </c>
      <c r="AY633" s="0" t="n">
        <f aca="false">COUNTIF(DU633:EH633, "&lt;&gt;")</f>
        <v>2</v>
      </c>
      <c r="AZ633" s="0" t="n">
        <f aca="false">IF(EH633&lt;&gt;"",1,0)</f>
        <v>0</v>
      </c>
      <c r="BB633" s="0" t="s">
        <v>153</v>
      </c>
      <c r="BC633" s="0" t="s">
        <v>154</v>
      </c>
      <c r="BD633" s="0" t="s">
        <v>154</v>
      </c>
      <c r="BK633" s="0" t="s">
        <v>154</v>
      </c>
      <c r="BL633" s="0" t="s">
        <v>154</v>
      </c>
      <c r="BR633" s="0" t="s">
        <v>154</v>
      </c>
      <c r="BS633" s="0" t="s">
        <v>154</v>
      </c>
      <c r="BY633" s="0" t="s">
        <v>155</v>
      </c>
      <c r="CA633" s="0" t="s">
        <v>154</v>
      </c>
      <c r="CN633" s="0" t="s">
        <v>154</v>
      </c>
      <c r="CP633" s="0" t="s">
        <v>154</v>
      </c>
      <c r="CT633" s="0" t="s">
        <v>154</v>
      </c>
      <c r="CU633" s="0" t="s">
        <v>155</v>
      </c>
      <c r="CV633" s="0" t="s">
        <v>154</v>
      </c>
      <c r="CY633" s="0" t="s">
        <v>154</v>
      </c>
      <c r="CZ633" s="0" t="s">
        <v>155</v>
      </c>
      <c r="DC633" s="0" t="s">
        <v>154</v>
      </c>
      <c r="DI633" s="0" t="s">
        <v>154</v>
      </c>
      <c r="DN633" s="0" t="s">
        <v>154</v>
      </c>
      <c r="DU633" s="0" t="s">
        <v>154</v>
      </c>
      <c r="EF633" s="0" t="s">
        <v>154</v>
      </c>
    </row>
    <row r="634" customFormat="false" ht="13.8" hidden="false" customHeight="false" outlineLevel="0" collapsed="false">
      <c r="A634" s="0" t="s">
        <v>3275</v>
      </c>
      <c r="B634" s="0" t="n">
        <v>78</v>
      </c>
      <c r="C634" s="0" t="n">
        <v>136737</v>
      </c>
      <c r="D634" s="0" t="s">
        <v>3276</v>
      </c>
      <c r="E634" s="0" t="s">
        <v>2163</v>
      </c>
      <c r="F634" s="0" t="str">
        <f aca="false">CONCATENATE(D634," ",LEFT(H634,4),"T=",AU634,"D=",AV634,"R=",AW634,"M=",AX634,"L=",AY634,"B=",AZ634)</f>
        <v>MOORE T=10D=3R=0M=2L=5B=0</v>
      </c>
      <c r="G634" s="0" t="s">
        <v>188</v>
      </c>
      <c r="I634" s="0" t="s">
        <v>3277</v>
      </c>
      <c r="J634" s="0" t="s">
        <v>3278</v>
      </c>
      <c r="K634" s="0" t="s">
        <v>175</v>
      </c>
      <c r="L634" s="1" t="s">
        <v>155</v>
      </c>
      <c r="M634" s="0" t="s">
        <v>3279</v>
      </c>
      <c r="N634" s="0" t="str">
        <f aca="false">RIGHT(M634,LEN(M634)-FIND(" ",M634))</f>
        <v>COMSTOCK ST NW</v>
      </c>
      <c r="P634" s="0" t="s">
        <v>146</v>
      </c>
      <c r="Q634" s="0" t="s">
        <v>147</v>
      </c>
      <c r="R634" s="0" t="n">
        <v>44483</v>
      </c>
      <c r="AD634" s="0" t="s">
        <v>148</v>
      </c>
      <c r="AE634" s="0" t="s">
        <v>149</v>
      </c>
      <c r="AF634" s="0" t="s">
        <v>150</v>
      </c>
      <c r="AH634" s="0" t="n">
        <v>14</v>
      </c>
      <c r="AI634" s="0" t="n">
        <v>11</v>
      </c>
      <c r="AN634" s="0" t="s">
        <v>146</v>
      </c>
      <c r="AO634" s="0" t="s">
        <v>151</v>
      </c>
      <c r="AP634" s="0" t="s">
        <v>152</v>
      </c>
      <c r="AQ634" s="0" t="n">
        <v>9</v>
      </c>
      <c r="AR634" s="0" t="n">
        <v>64</v>
      </c>
      <c r="AS634" s="0" t="n">
        <v>32</v>
      </c>
      <c r="AU634" s="0" t="n">
        <f aca="false">COUNTA($BA$1215:$EH$1215)</f>
        <v>10</v>
      </c>
      <c r="AV634" s="0" t="n">
        <f aca="false">COUNTIF($BA$1215:$EH$1215,"D")</f>
        <v>3</v>
      </c>
      <c r="AW634" s="0" t="n">
        <f aca="false">COUNTIF($BA$1215:$EH$1215,"R")</f>
        <v>0</v>
      </c>
      <c r="AX634" s="0" t="n">
        <f aca="false"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>2</v>
      </c>
      <c r="AY634" s="0" t="n">
        <f aca="false">COUNTIF(DU634:EH634, "&lt;&gt;")</f>
        <v>5</v>
      </c>
      <c r="AZ634" s="0" t="n">
        <f aca="false">IF(EH634&lt;&gt;"",1,0)</f>
        <v>0</v>
      </c>
      <c r="BB634" s="0" t="s">
        <v>153</v>
      </c>
      <c r="BC634" s="0" t="s">
        <v>154</v>
      </c>
      <c r="BD634" s="0" t="s">
        <v>154</v>
      </c>
      <c r="BF634" s="0" t="s">
        <v>154</v>
      </c>
      <c r="BG634" s="0" t="s">
        <v>154</v>
      </c>
      <c r="BH634" s="0" t="s">
        <v>154</v>
      </c>
      <c r="BI634" s="0" t="s">
        <v>154</v>
      </c>
      <c r="BJ634" s="0" t="s">
        <v>154</v>
      </c>
      <c r="BL634" s="0" t="s">
        <v>154</v>
      </c>
      <c r="BS634" s="0" t="s">
        <v>154</v>
      </c>
      <c r="BV634" s="0" t="s">
        <v>154</v>
      </c>
      <c r="BY634" s="0" t="s">
        <v>155</v>
      </c>
      <c r="CA634" s="0" t="s">
        <v>154</v>
      </c>
      <c r="CK634" s="0" t="s">
        <v>154</v>
      </c>
      <c r="CN634" s="0" t="s">
        <v>154</v>
      </c>
      <c r="CP634" s="0" t="s">
        <v>154</v>
      </c>
      <c r="CT634" s="0" t="s">
        <v>154</v>
      </c>
      <c r="CV634" s="0" t="s">
        <v>154</v>
      </c>
      <c r="CW634" s="0" t="s">
        <v>155</v>
      </c>
      <c r="CY634" s="0" t="s">
        <v>154</v>
      </c>
      <c r="DC634" s="0" t="s">
        <v>154</v>
      </c>
      <c r="DF634" s="0" t="s">
        <v>154</v>
      </c>
      <c r="DG634" s="0" t="s">
        <v>155</v>
      </c>
      <c r="DI634" s="0" t="s">
        <v>154</v>
      </c>
      <c r="DL634" s="0" t="s">
        <v>154</v>
      </c>
      <c r="DM634" s="0" t="s">
        <v>155</v>
      </c>
      <c r="DN634" s="0" t="s">
        <v>154</v>
      </c>
      <c r="DO634" s="0" t="s">
        <v>155</v>
      </c>
      <c r="DR634" s="0" t="s">
        <v>154</v>
      </c>
      <c r="DS634" s="0" t="s">
        <v>155</v>
      </c>
      <c r="DT634" s="0" t="s">
        <v>155</v>
      </c>
      <c r="DU634" s="0" t="s">
        <v>154</v>
      </c>
      <c r="DX634" s="0" t="s">
        <v>154</v>
      </c>
      <c r="EA634" s="0" t="s">
        <v>154</v>
      </c>
      <c r="ED634" s="0" t="s">
        <v>155</v>
      </c>
      <c r="EF634" s="0" t="s">
        <v>154</v>
      </c>
    </row>
    <row r="635" customFormat="false" ht="13.8" hidden="false" customHeight="false" outlineLevel="0" collapsed="false">
      <c r="A635" s="0" t="s">
        <v>3280</v>
      </c>
      <c r="B635" s="0" t="n">
        <v>78</v>
      </c>
      <c r="C635" s="0" t="n">
        <v>25234</v>
      </c>
      <c r="D635" s="0" t="s">
        <v>3276</v>
      </c>
      <c r="E635" s="0" t="s">
        <v>3281</v>
      </c>
      <c r="F635" s="0" t="str">
        <f aca="false">CONCATENATE(D635," ",LEFT(H635,4),"T=",AU635,"D=",AV635,"R=",AW635,"M=",AX635,"L=",AY635,"B=",AZ635)</f>
        <v>MOORE JRT=52D=19R=0M=8L=7B=1</v>
      </c>
      <c r="H635" s="0" t="s">
        <v>431</v>
      </c>
      <c r="I635" s="0" t="s">
        <v>3282</v>
      </c>
      <c r="J635" s="0" t="s">
        <v>3283</v>
      </c>
      <c r="K635" s="0" t="s">
        <v>175</v>
      </c>
      <c r="L635" s="1" t="s">
        <v>155</v>
      </c>
      <c r="M635" s="0" t="s">
        <v>3279</v>
      </c>
      <c r="N635" s="0" t="str">
        <f aca="false">RIGHT(M635,LEN(M635)-FIND(" ",M635))</f>
        <v>COMSTOCK ST NW</v>
      </c>
      <c r="P635" s="0" t="s">
        <v>146</v>
      </c>
      <c r="Q635" s="0" t="s">
        <v>147</v>
      </c>
      <c r="R635" s="0" t="n">
        <v>44483</v>
      </c>
      <c r="AD635" s="0" t="s">
        <v>148</v>
      </c>
      <c r="AE635" s="0" t="s">
        <v>149</v>
      </c>
      <c r="AF635" s="0" t="s">
        <v>150</v>
      </c>
      <c r="AH635" s="0" t="n">
        <v>14</v>
      </c>
      <c r="AI635" s="0" t="n">
        <v>11</v>
      </c>
      <c r="AN635" s="0" t="s">
        <v>146</v>
      </c>
      <c r="AO635" s="0" t="s">
        <v>151</v>
      </c>
      <c r="AP635" s="0" t="s">
        <v>152</v>
      </c>
      <c r="AQ635" s="0" t="n">
        <v>9</v>
      </c>
      <c r="AR635" s="0" t="n">
        <v>64</v>
      </c>
      <c r="AS635" s="0" t="n">
        <v>32</v>
      </c>
      <c r="AU635" s="0" t="n">
        <f aca="false">COUNTA($BA$1262:$EH$1262)</f>
        <v>52</v>
      </c>
      <c r="AV635" s="0" t="n">
        <f aca="false">COUNTIF($BA$1262:$EH$1262,"D")</f>
        <v>19</v>
      </c>
      <c r="AW635" s="0" t="n">
        <f aca="false">COUNTIF($BA$1262:$EH$1262,"R")</f>
        <v>0</v>
      </c>
      <c r="AX635" s="0" t="n">
        <f aca="false"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>8</v>
      </c>
      <c r="AY635" s="0" t="n">
        <f aca="false">COUNTIF(DU635:EH635, "&lt;&gt;")</f>
        <v>7</v>
      </c>
      <c r="AZ635" s="0" t="n">
        <f aca="false">IF(EH635&lt;&gt;"",1,0)</f>
        <v>1</v>
      </c>
      <c r="BB635" s="0" t="s">
        <v>153</v>
      </c>
      <c r="BC635" s="0" t="s">
        <v>154</v>
      </c>
      <c r="BD635" s="0" t="s">
        <v>154</v>
      </c>
      <c r="BE635" s="0" t="s">
        <v>154</v>
      </c>
      <c r="BF635" s="0" t="s">
        <v>154</v>
      </c>
      <c r="BG635" s="0" t="s">
        <v>154</v>
      </c>
      <c r="BH635" s="0" t="s">
        <v>154</v>
      </c>
      <c r="BI635" s="0" t="s">
        <v>154</v>
      </c>
      <c r="BJ635" s="0" t="s">
        <v>154</v>
      </c>
      <c r="BK635" s="0" t="s">
        <v>154</v>
      </c>
      <c r="BL635" s="0" t="s">
        <v>154</v>
      </c>
      <c r="BP635" s="0" t="s">
        <v>154</v>
      </c>
      <c r="BR635" s="0" t="s">
        <v>154</v>
      </c>
      <c r="BS635" s="0" t="s">
        <v>154</v>
      </c>
      <c r="BV635" s="0" t="s">
        <v>154</v>
      </c>
      <c r="BY635" s="0" t="s">
        <v>155</v>
      </c>
      <c r="CA635" s="0" t="s">
        <v>154</v>
      </c>
      <c r="CG635" s="0" t="s">
        <v>154</v>
      </c>
      <c r="CH635" s="0" t="s">
        <v>155</v>
      </c>
      <c r="CK635" s="0" t="s">
        <v>154</v>
      </c>
      <c r="CL635" s="0" t="s">
        <v>155</v>
      </c>
      <c r="CN635" s="0" t="s">
        <v>154</v>
      </c>
      <c r="CO635" s="0" t="s">
        <v>155</v>
      </c>
      <c r="CP635" s="0" t="s">
        <v>154</v>
      </c>
      <c r="CQ635" s="0" t="s">
        <v>155</v>
      </c>
      <c r="CT635" s="0" t="s">
        <v>154</v>
      </c>
      <c r="CU635" s="0" t="s">
        <v>155</v>
      </c>
      <c r="CV635" s="0" t="s">
        <v>154</v>
      </c>
      <c r="CW635" s="0" t="s">
        <v>155</v>
      </c>
      <c r="CY635" s="0" t="s">
        <v>154</v>
      </c>
      <c r="CZ635" s="0" t="s">
        <v>155</v>
      </c>
      <c r="DC635" s="0" t="s">
        <v>154</v>
      </c>
      <c r="DD635" s="0" t="s">
        <v>155</v>
      </c>
      <c r="DF635" s="0" t="s">
        <v>154</v>
      </c>
      <c r="DG635" s="0" t="s">
        <v>155</v>
      </c>
      <c r="DI635" s="0" t="s">
        <v>154</v>
      </c>
      <c r="DJ635" s="0" t="s">
        <v>155</v>
      </c>
      <c r="DL635" s="0" t="s">
        <v>154</v>
      </c>
      <c r="DM635" s="0" t="s">
        <v>155</v>
      </c>
      <c r="DN635" s="0" t="s">
        <v>154</v>
      </c>
      <c r="DO635" s="0" t="s">
        <v>155</v>
      </c>
      <c r="DR635" s="0" t="s">
        <v>154</v>
      </c>
      <c r="DS635" s="0" t="s">
        <v>155</v>
      </c>
      <c r="DT635" s="0" t="s">
        <v>155</v>
      </c>
      <c r="DU635" s="0" t="s">
        <v>154</v>
      </c>
      <c r="DW635" s="0" t="s">
        <v>155</v>
      </c>
      <c r="DX635" s="0" t="s">
        <v>154</v>
      </c>
      <c r="EA635" s="0" t="s">
        <v>154</v>
      </c>
      <c r="ED635" s="0" t="s">
        <v>155</v>
      </c>
      <c r="EF635" s="0" t="s">
        <v>154</v>
      </c>
      <c r="EH635" s="0" t="s">
        <v>155</v>
      </c>
    </row>
    <row r="636" customFormat="false" ht="13.8" hidden="false" customHeight="false" outlineLevel="0" collapsed="false">
      <c r="A636" s="0" t="s">
        <v>3284</v>
      </c>
      <c r="B636" s="0" t="n">
        <v>78</v>
      </c>
      <c r="C636" s="0" t="n">
        <v>244451</v>
      </c>
      <c r="D636" s="0" t="s">
        <v>3285</v>
      </c>
      <c r="E636" s="0" t="s">
        <v>1232</v>
      </c>
      <c r="F636" s="0" t="str">
        <f aca="false">CONCATENATE(D636," ",LEFT(H636,4),"T=",AU636,"D=",AV636,"R=",AW636,"M=",AX636,"L=",AY636,"B=",AZ636)</f>
        <v>DZIEDZIC T=1D=0R=0M=0L=2B=0</v>
      </c>
      <c r="G636" s="0" t="s">
        <v>181</v>
      </c>
      <c r="I636" s="0" t="s">
        <v>3286</v>
      </c>
      <c r="J636" s="0" t="s">
        <v>521</v>
      </c>
      <c r="K636" s="0" t="s">
        <v>175</v>
      </c>
      <c r="M636" s="0" t="s">
        <v>3287</v>
      </c>
      <c r="N636" s="0" t="str">
        <f aca="false">RIGHT(M636,LEN(M636)-FIND(" ",M636))</f>
        <v>COMSTOCK ST NW</v>
      </c>
      <c r="P636" s="0" t="s">
        <v>146</v>
      </c>
      <c r="Q636" s="0" t="s">
        <v>147</v>
      </c>
      <c r="R636" s="0" t="n">
        <v>44483</v>
      </c>
      <c r="AD636" s="0" t="s">
        <v>148</v>
      </c>
      <c r="AE636" s="0" t="s">
        <v>149</v>
      </c>
      <c r="AF636" s="0" t="s">
        <v>150</v>
      </c>
      <c r="AH636" s="0" t="n">
        <v>14</v>
      </c>
      <c r="AI636" s="0" t="n">
        <v>11</v>
      </c>
      <c r="AN636" s="0" t="s">
        <v>146</v>
      </c>
      <c r="AO636" s="0" t="s">
        <v>151</v>
      </c>
      <c r="AP636" s="0" t="s">
        <v>152</v>
      </c>
      <c r="AQ636" s="0" t="n">
        <v>9</v>
      </c>
      <c r="AR636" s="0" t="n">
        <v>64</v>
      </c>
      <c r="AS636" s="0" t="n">
        <v>32</v>
      </c>
      <c r="AU636" s="0" t="n">
        <f aca="false">COUNTA($BA$2035:$EH$2035)</f>
        <v>1</v>
      </c>
      <c r="AV636" s="0" t="n">
        <f aca="false">COUNTIF($BA$2035:$EH$2035,"D")</f>
        <v>0</v>
      </c>
      <c r="AW636" s="0" t="n">
        <f aca="false">COUNTIF($BA$2035:$EH$2035,"R")</f>
        <v>0</v>
      </c>
      <c r="AX636" s="0" t="n">
        <f aca="false"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>0</v>
      </c>
      <c r="AY636" s="0" t="n">
        <f aca="false">COUNTIF(DU636:EH636, "&lt;&gt;")</f>
        <v>2</v>
      </c>
      <c r="AZ636" s="0" t="n">
        <f aca="false">IF(EH636&lt;&gt;"",1,0)</f>
        <v>0</v>
      </c>
      <c r="BB636" s="0" t="s">
        <v>153</v>
      </c>
      <c r="BD636" s="0" t="s">
        <v>154</v>
      </c>
      <c r="BF636" s="0" t="s">
        <v>154</v>
      </c>
      <c r="BH636" s="0" t="s">
        <v>154</v>
      </c>
      <c r="BL636" s="0" t="s">
        <v>154</v>
      </c>
      <c r="BS636" s="0" t="s">
        <v>154</v>
      </c>
      <c r="BY636" s="0" t="s">
        <v>155</v>
      </c>
      <c r="CA636" s="0" t="s">
        <v>154</v>
      </c>
      <c r="CP636" s="0" t="s">
        <v>154</v>
      </c>
      <c r="DC636" s="0" t="s">
        <v>154</v>
      </c>
      <c r="DN636" s="0" t="s">
        <v>154</v>
      </c>
      <c r="EA636" s="0" t="s">
        <v>154</v>
      </c>
      <c r="EF636" s="0" t="s">
        <v>154</v>
      </c>
    </row>
    <row r="637" customFormat="false" ht="13.8" hidden="false" customHeight="false" outlineLevel="0" collapsed="false">
      <c r="A637" s="0" t="s">
        <v>3288</v>
      </c>
      <c r="B637" s="0" t="n">
        <v>78</v>
      </c>
      <c r="C637" s="0" t="n">
        <v>154815</v>
      </c>
      <c r="D637" s="0" t="s">
        <v>3289</v>
      </c>
      <c r="E637" s="0" t="s">
        <v>3290</v>
      </c>
      <c r="F637" s="0" t="str">
        <f aca="false">CONCATENATE(D637," ",LEFT(H637,4),"T=",AU637,"D=",AV637,"R=",AW637,"M=",AX637,"L=",AY637,"B=",AZ637)</f>
        <v>COONS T=2D=0R=0M=4L=2B=0</v>
      </c>
      <c r="I637" s="0" t="s">
        <v>3291</v>
      </c>
      <c r="J637" s="0" t="s">
        <v>3292</v>
      </c>
      <c r="K637" s="0" t="s">
        <v>175</v>
      </c>
      <c r="L637" s="1" t="s">
        <v>155</v>
      </c>
      <c r="M637" s="0" t="s">
        <v>3293</v>
      </c>
      <c r="N637" s="0" t="str">
        <f aca="false">RIGHT(M637,LEN(M637)-FIND(" ",M637))</f>
        <v>COMSTOCK ST NW</v>
      </c>
      <c r="P637" s="0" t="s">
        <v>146</v>
      </c>
      <c r="Q637" s="0" t="s">
        <v>147</v>
      </c>
      <c r="R637" s="0" t="n">
        <v>44483</v>
      </c>
      <c r="AD637" s="0" t="s">
        <v>148</v>
      </c>
      <c r="AE637" s="0" t="s">
        <v>149</v>
      </c>
      <c r="AF637" s="0" t="s">
        <v>150</v>
      </c>
      <c r="AH637" s="0" t="n">
        <v>14</v>
      </c>
      <c r="AI637" s="0" t="n">
        <v>11</v>
      </c>
      <c r="AN637" s="0" t="s">
        <v>146</v>
      </c>
      <c r="AO637" s="0" t="s">
        <v>151</v>
      </c>
      <c r="AP637" s="0" t="s">
        <v>152</v>
      </c>
      <c r="AQ637" s="0" t="n">
        <v>9</v>
      </c>
      <c r="AR637" s="0" t="n">
        <v>64</v>
      </c>
      <c r="AS637" s="0" t="n">
        <v>32</v>
      </c>
      <c r="AU637" s="0" t="n">
        <f aca="false">COUNTA($BA$1153:$EH$1153)</f>
        <v>2</v>
      </c>
      <c r="AV637" s="0" t="n">
        <f aca="false">COUNTIF($BA$1153:$EH$1153,"D")</f>
        <v>0</v>
      </c>
      <c r="AW637" s="0" t="n">
        <f aca="false">COUNTIF($BA$1153:$EH$1153,"R")</f>
        <v>0</v>
      </c>
      <c r="AX637" s="0" t="n">
        <f aca="false"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>4</v>
      </c>
      <c r="AY637" s="0" t="n">
        <f aca="false">COUNTIF(DU637:EH637, "&lt;&gt;")</f>
        <v>2</v>
      </c>
      <c r="AZ637" s="0" t="n">
        <f aca="false">IF(EH637&lt;&gt;"",1,0)</f>
        <v>0</v>
      </c>
      <c r="BB637" s="0" t="s">
        <v>153</v>
      </c>
      <c r="BC637" s="0" t="s">
        <v>154</v>
      </c>
      <c r="BD637" s="0" t="s">
        <v>154</v>
      </c>
      <c r="BE637" s="0" t="s">
        <v>154</v>
      </c>
      <c r="BG637" s="0" t="s">
        <v>154</v>
      </c>
      <c r="BH637" s="0" t="s">
        <v>154</v>
      </c>
      <c r="BI637" s="0" t="s">
        <v>154</v>
      </c>
      <c r="BJ637" s="0" t="s">
        <v>154</v>
      </c>
      <c r="BK637" s="0" t="s">
        <v>154</v>
      </c>
      <c r="BL637" s="0" t="s">
        <v>154</v>
      </c>
      <c r="BP637" s="0" t="s">
        <v>154</v>
      </c>
      <c r="BS637" s="0" t="s">
        <v>154</v>
      </c>
      <c r="BV637" s="0" t="s">
        <v>154</v>
      </c>
      <c r="BY637" s="0" t="s">
        <v>155</v>
      </c>
      <c r="CA637" s="0" t="s">
        <v>154</v>
      </c>
      <c r="CG637" s="0" t="s">
        <v>154</v>
      </c>
      <c r="CK637" s="0" t="s">
        <v>154</v>
      </c>
      <c r="CL637" s="0" t="s">
        <v>155</v>
      </c>
      <c r="CN637" s="0" t="s">
        <v>154</v>
      </c>
      <c r="CP637" s="0" t="s">
        <v>154</v>
      </c>
      <c r="CU637" s="0" t="s">
        <v>155</v>
      </c>
      <c r="CV637" s="0" t="s">
        <v>154</v>
      </c>
      <c r="CY637" s="0" t="s">
        <v>154</v>
      </c>
      <c r="CZ637" s="0" t="s">
        <v>176</v>
      </c>
      <c r="DC637" s="0" t="s">
        <v>154</v>
      </c>
      <c r="DG637" s="0" t="s">
        <v>155</v>
      </c>
      <c r="DI637" s="0" t="s">
        <v>154</v>
      </c>
      <c r="DJ637" s="0" t="s">
        <v>155</v>
      </c>
      <c r="DL637" s="0" t="s">
        <v>154</v>
      </c>
      <c r="DN637" s="0" t="s">
        <v>154</v>
      </c>
      <c r="DO637" s="0" t="s">
        <v>155</v>
      </c>
      <c r="DW637" s="0" t="s">
        <v>155</v>
      </c>
      <c r="EF637" s="0" t="s">
        <v>154</v>
      </c>
    </row>
    <row r="638" customFormat="false" ht="13.8" hidden="true" customHeight="false" outlineLevel="0" collapsed="false">
      <c r="A638" s="0" t="s">
        <v>3294</v>
      </c>
      <c r="B638" s="0" t="n">
        <v>78</v>
      </c>
      <c r="C638" s="0" t="n">
        <v>334779</v>
      </c>
      <c r="D638" s="0" t="s">
        <v>3295</v>
      </c>
      <c r="E638" s="0" t="s">
        <v>2060</v>
      </c>
      <c r="F638" s="0" t="str">
        <f aca="false">CONCATENATE(D638," ",LEFT(H638,4),"T=",AU638,"D=",AV638,"R=",AW638,"M=",AX638,"L=",AY638,"B=",AZ638)</f>
        <v>RUNION T=10D=0R=0M=0L=0B=0</v>
      </c>
      <c r="I638" s="0" t="s">
        <v>3296</v>
      </c>
      <c r="J638" s="0" t="s">
        <v>3297</v>
      </c>
      <c r="K638" s="0" t="s">
        <v>144</v>
      </c>
      <c r="L638" s="0"/>
      <c r="M638" s="0" t="s">
        <v>3298</v>
      </c>
      <c r="N638" s="0" t="str">
        <f aca="false">RIGHT(M638,LEN(M638)-FIND(" ",M638))</f>
        <v>COMSTOCK ST NW</v>
      </c>
      <c r="P638" s="0" t="s">
        <v>146</v>
      </c>
      <c r="Q638" s="0" t="s">
        <v>147</v>
      </c>
      <c r="R638" s="0" t="n">
        <v>44483</v>
      </c>
      <c r="AD638" s="0" t="s">
        <v>148</v>
      </c>
      <c r="AE638" s="0" t="s">
        <v>149</v>
      </c>
      <c r="AF638" s="0" t="s">
        <v>150</v>
      </c>
      <c r="AH638" s="0" t="n">
        <v>14</v>
      </c>
      <c r="AI638" s="0" t="n">
        <v>11</v>
      </c>
      <c r="AN638" s="0" t="s">
        <v>146</v>
      </c>
      <c r="AO638" s="0" t="s">
        <v>151</v>
      </c>
      <c r="AP638" s="0" t="s">
        <v>152</v>
      </c>
      <c r="AQ638" s="0" t="n">
        <v>9</v>
      </c>
      <c r="AR638" s="0" t="n">
        <v>64</v>
      </c>
      <c r="AS638" s="0" t="n">
        <v>32</v>
      </c>
      <c r="AU638" s="0" t="n">
        <f aca="false">COUNTA($BA$1640:$EH$1640)</f>
        <v>10</v>
      </c>
      <c r="AV638" s="0" t="n">
        <f aca="false">COUNTIF($BA$1640:$EH$1640,"D")</f>
        <v>0</v>
      </c>
      <c r="AW638" s="0" t="n">
        <f aca="false">COUNTIF($BA$1640:$EH$1640,"R")</f>
        <v>0</v>
      </c>
      <c r="AX638" s="0" t="n">
        <f aca="false"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>0</v>
      </c>
      <c r="AY638" s="0" t="n">
        <f aca="false">COUNTIF(DU638:EH638, "&lt;&gt;")</f>
        <v>0</v>
      </c>
      <c r="AZ638" s="0" t="n">
        <f aca="false">IF(EH638&lt;&gt;"",1,0)</f>
        <v>0</v>
      </c>
      <c r="BB638" s="0" t="s">
        <v>153</v>
      </c>
      <c r="BY638" s="0" t="s">
        <v>155</v>
      </c>
    </row>
    <row r="639" customFormat="false" ht="13.8" hidden="true" customHeight="false" outlineLevel="0" collapsed="false">
      <c r="A639" s="0" t="s">
        <v>3299</v>
      </c>
      <c r="B639" s="0" t="n">
        <v>78</v>
      </c>
      <c r="C639" s="0" t="n">
        <v>476386</v>
      </c>
      <c r="D639" s="0" t="s">
        <v>3300</v>
      </c>
      <c r="E639" s="0" t="s">
        <v>750</v>
      </c>
      <c r="F639" s="0" t="str">
        <f aca="false">CONCATENATE(D639," ",LEFT(H639,4),"T=",AU639,"D=",AV639,"R=",AW639,"M=",AX639,"L=",AY639,"B=",AZ639)</f>
        <v>ESTEP T=2D=0R=0M=0L=0B=0</v>
      </c>
      <c r="G639" s="0" t="s">
        <v>172</v>
      </c>
      <c r="I639" s="0" t="s">
        <v>3301</v>
      </c>
      <c r="J639" s="0" t="s">
        <v>3302</v>
      </c>
      <c r="K639" s="0" t="s">
        <v>175</v>
      </c>
      <c r="L639" s="0"/>
      <c r="M639" s="0" t="s">
        <v>3298</v>
      </c>
      <c r="N639" s="0" t="str">
        <f aca="false">RIGHT(M639,LEN(M639)-FIND(" ",M639))</f>
        <v>COMSTOCK ST NW</v>
      </c>
      <c r="P639" s="0" t="s">
        <v>146</v>
      </c>
      <c r="Q639" s="0" t="s">
        <v>147</v>
      </c>
      <c r="R639" s="0" t="n">
        <v>44483</v>
      </c>
      <c r="AD639" s="0" t="s">
        <v>148</v>
      </c>
      <c r="AE639" s="0" t="s">
        <v>149</v>
      </c>
      <c r="AF639" s="0" t="s">
        <v>150</v>
      </c>
      <c r="AH639" s="0" t="n">
        <v>14</v>
      </c>
      <c r="AI639" s="0" t="n">
        <v>11</v>
      </c>
      <c r="AN639" s="0" t="s">
        <v>146</v>
      </c>
      <c r="AO639" s="0" t="s">
        <v>151</v>
      </c>
      <c r="AP639" s="0" t="s">
        <v>152</v>
      </c>
      <c r="AQ639" s="0" t="n">
        <v>9</v>
      </c>
      <c r="AR639" s="0" t="n">
        <v>64</v>
      </c>
      <c r="AS639" s="0" t="n">
        <v>32</v>
      </c>
      <c r="AU639" s="0" t="n">
        <f aca="false">COUNTA($BA$2006:$EH$2006)</f>
        <v>2</v>
      </c>
      <c r="AV639" s="0" t="n">
        <f aca="false">COUNTIF($BA$2006:$EH$2006,"D")</f>
        <v>0</v>
      </c>
      <c r="AW639" s="0" t="n">
        <f aca="false">COUNTIF($BA$2006:$EH$2006,"R")</f>
        <v>0</v>
      </c>
      <c r="AX639" s="0" t="n">
        <f aca="false"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>0</v>
      </c>
      <c r="AY639" s="0" t="n">
        <f aca="false">COUNTIF(DU639:EH639, "&lt;&gt;")</f>
        <v>0</v>
      </c>
      <c r="AZ639" s="0" t="n">
        <f aca="false">IF(EH639&lt;&gt;"",1,0)</f>
        <v>0</v>
      </c>
      <c r="BB639" s="0" t="s">
        <v>153</v>
      </c>
      <c r="BC639" s="0" t="s">
        <v>154</v>
      </c>
      <c r="BD639" s="0" t="s">
        <v>154</v>
      </c>
      <c r="BH639" s="0" t="s">
        <v>154</v>
      </c>
      <c r="BL639" s="0" t="s">
        <v>154</v>
      </c>
    </row>
    <row r="640" customFormat="false" ht="13.8" hidden="true" customHeight="false" outlineLevel="0" collapsed="false">
      <c r="A640" s="0" t="s">
        <v>3303</v>
      </c>
      <c r="B640" s="0" t="n">
        <v>78</v>
      </c>
      <c r="C640" s="0" t="n">
        <v>320859</v>
      </c>
      <c r="D640" s="0" t="s">
        <v>2926</v>
      </c>
      <c r="E640" s="0" t="s">
        <v>3269</v>
      </c>
      <c r="F640" s="0" t="str">
        <f aca="false">CONCATENATE(D640," ",LEFT(H640,4),"T=",AU640,"D=",AV640,"R=",AW640,"M=",AX640,"L=",AY640,"B=",AZ640)</f>
        <v>CAMPBELL T=6D=2R=0M=0L=0B=0</v>
      </c>
      <c r="G640" s="0" t="s">
        <v>3304</v>
      </c>
      <c r="I640" s="0" t="s">
        <v>3305</v>
      </c>
      <c r="J640" s="0" t="s">
        <v>3306</v>
      </c>
      <c r="K640" s="0" t="s">
        <v>144</v>
      </c>
      <c r="L640" s="0"/>
      <c r="M640" s="0" t="s">
        <v>3307</v>
      </c>
      <c r="N640" s="0" t="str">
        <f aca="false">RIGHT(M640,LEN(M640)-FIND(" ",M640))</f>
        <v>COMSTOCK ST NW</v>
      </c>
      <c r="P640" s="0" t="s">
        <v>146</v>
      </c>
      <c r="Q640" s="0" t="s">
        <v>147</v>
      </c>
      <c r="R640" s="0" t="n">
        <v>44483</v>
      </c>
      <c r="AD640" s="0" t="s">
        <v>148</v>
      </c>
      <c r="AE640" s="0" t="s">
        <v>149</v>
      </c>
      <c r="AF640" s="0" t="s">
        <v>150</v>
      </c>
      <c r="AH640" s="0" t="n">
        <v>14</v>
      </c>
      <c r="AI640" s="0" t="n">
        <v>11</v>
      </c>
      <c r="AN640" s="0" t="s">
        <v>146</v>
      </c>
      <c r="AO640" s="0" t="s">
        <v>151</v>
      </c>
      <c r="AP640" s="0" t="s">
        <v>152</v>
      </c>
      <c r="AQ640" s="0" t="n">
        <v>9</v>
      </c>
      <c r="AR640" s="0" t="n">
        <v>64</v>
      </c>
      <c r="AS640" s="0" t="n">
        <v>32</v>
      </c>
      <c r="AU640" s="0" t="n">
        <f aca="false">COUNTA($BA$1707:$EH$1707)</f>
        <v>6</v>
      </c>
      <c r="AV640" s="0" t="n">
        <f aca="false">COUNTIF($BA$1707:$EH$1707,"D")</f>
        <v>2</v>
      </c>
      <c r="AW640" s="0" t="n">
        <f aca="false">COUNTIF($BA$1707:$EH$1707,"R")</f>
        <v>0</v>
      </c>
      <c r="AX640" s="0" t="n">
        <f aca="false"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>0</v>
      </c>
      <c r="AY640" s="0" t="n">
        <f aca="false">COUNTIF(DU640:EH640, "&lt;&gt;")</f>
        <v>0</v>
      </c>
      <c r="AZ640" s="0" t="n">
        <f aca="false">IF(EH640&lt;&gt;"",1,0)</f>
        <v>0</v>
      </c>
      <c r="BB640" s="0" t="s">
        <v>153</v>
      </c>
      <c r="BL640" s="0" t="s">
        <v>154</v>
      </c>
      <c r="CA640" s="0" t="s">
        <v>154</v>
      </c>
      <c r="CY640" s="0" t="s">
        <v>154</v>
      </c>
      <c r="DC640" s="0" t="s">
        <v>154</v>
      </c>
    </row>
    <row r="641" customFormat="false" ht="13.8" hidden="false" customHeight="false" outlineLevel="0" collapsed="false">
      <c r="A641" s="0" t="s">
        <v>3308</v>
      </c>
      <c r="B641" s="0" t="n">
        <v>78</v>
      </c>
      <c r="C641" s="0" t="n">
        <v>199545</v>
      </c>
      <c r="D641" s="0" t="s">
        <v>3309</v>
      </c>
      <c r="E641" s="0" t="s">
        <v>3310</v>
      </c>
      <c r="F641" s="0" t="str">
        <f aca="false">CONCATENATE(D641," ",LEFT(H641,4),"T=",AU641,"D=",AV641,"R=",AW641,"M=",AX641,"L=",AY641,"B=",AZ641)</f>
        <v>SPENCER T=14D=1R=0M=5L=4B=0</v>
      </c>
      <c r="I641" s="0" t="s">
        <v>3311</v>
      </c>
      <c r="J641" s="0" t="s">
        <v>3312</v>
      </c>
      <c r="K641" s="0" t="s">
        <v>175</v>
      </c>
      <c r="L641" s="1" t="s">
        <v>155</v>
      </c>
      <c r="M641" s="0" t="s">
        <v>3313</v>
      </c>
      <c r="N641" s="0" t="str">
        <f aca="false">RIGHT(M641,LEN(M641)-FIND(" ",M641))</f>
        <v>COMSTOCK ST NW</v>
      </c>
      <c r="P641" s="0" t="s">
        <v>146</v>
      </c>
      <c r="Q641" s="0" t="s">
        <v>147</v>
      </c>
      <c r="R641" s="0" t="n">
        <v>44483</v>
      </c>
      <c r="AD641" s="0" t="s">
        <v>148</v>
      </c>
      <c r="AE641" s="0" t="s">
        <v>149</v>
      </c>
      <c r="AF641" s="0" t="s">
        <v>150</v>
      </c>
      <c r="AH641" s="0" t="n">
        <v>14</v>
      </c>
      <c r="AI641" s="0" t="n">
        <v>11</v>
      </c>
      <c r="AN641" s="0" t="s">
        <v>146</v>
      </c>
      <c r="AO641" s="0" t="s">
        <v>151</v>
      </c>
      <c r="AP641" s="0" t="s">
        <v>152</v>
      </c>
      <c r="AQ641" s="0" t="n">
        <v>9</v>
      </c>
      <c r="AR641" s="0" t="n">
        <v>64</v>
      </c>
      <c r="AS641" s="0" t="n">
        <v>32</v>
      </c>
      <c r="AU641" s="0" t="n">
        <f aca="false">COUNTA($BA$1210:$EH$1210)</f>
        <v>14</v>
      </c>
      <c r="AV641" s="0" t="n">
        <f aca="false">COUNTIF($BA$1210:$EH$1210,"D")</f>
        <v>1</v>
      </c>
      <c r="AW641" s="0" t="n">
        <f aca="false">COUNTIF($BA$1210:$EH$1210,"R")</f>
        <v>0</v>
      </c>
      <c r="AX641" s="0" t="n">
        <f aca="false"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>5</v>
      </c>
      <c r="AY641" s="0" t="n">
        <f aca="false">COUNTIF(DU641:EH641, "&lt;&gt;")</f>
        <v>4</v>
      </c>
      <c r="AZ641" s="0" t="n">
        <f aca="false">IF(EH641&lt;&gt;"",1,0)</f>
        <v>0</v>
      </c>
      <c r="BB641" s="0" t="s">
        <v>153</v>
      </c>
      <c r="BC641" s="0" t="s">
        <v>154</v>
      </c>
      <c r="BD641" s="0" t="s">
        <v>154</v>
      </c>
      <c r="BF641" s="0" t="s">
        <v>154</v>
      </c>
      <c r="BH641" s="0" t="s">
        <v>154</v>
      </c>
      <c r="BI641" s="0" t="s">
        <v>154</v>
      </c>
      <c r="BJ641" s="0" t="s">
        <v>154</v>
      </c>
      <c r="BL641" s="0" t="s">
        <v>154</v>
      </c>
      <c r="BP641" s="0" t="s">
        <v>154</v>
      </c>
      <c r="BS641" s="0" t="s">
        <v>154</v>
      </c>
      <c r="BV641" s="0" t="s">
        <v>154</v>
      </c>
      <c r="BY641" s="0" t="s">
        <v>155</v>
      </c>
      <c r="CA641" s="0" t="s">
        <v>154</v>
      </c>
      <c r="CG641" s="0" t="s">
        <v>154</v>
      </c>
      <c r="CH641" s="0" t="s">
        <v>155</v>
      </c>
      <c r="CK641" s="0" t="s">
        <v>154</v>
      </c>
      <c r="CL641" s="0" t="s">
        <v>155</v>
      </c>
      <c r="CN641" s="0" t="s">
        <v>154</v>
      </c>
      <c r="CP641" s="0" t="s">
        <v>154</v>
      </c>
      <c r="CQ641" s="0" t="s">
        <v>155</v>
      </c>
      <c r="CV641" s="0" t="s">
        <v>154</v>
      </c>
      <c r="CW641" s="0" t="s">
        <v>155</v>
      </c>
      <c r="CY641" s="0" t="s">
        <v>154</v>
      </c>
      <c r="CZ641" s="0" t="s">
        <v>155</v>
      </c>
      <c r="DC641" s="0" t="s">
        <v>154</v>
      </c>
      <c r="DF641" s="0" t="s">
        <v>154</v>
      </c>
      <c r="DG641" s="0" t="s">
        <v>154</v>
      </c>
      <c r="DI641" s="0" t="s">
        <v>154</v>
      </c>
      <c r="DJ641" s="0" t="s">
        <v>155</v>
      </c>
      <c r="DL641" s="0" t="s">
        <v>154</v>
      </c>
      <c r="DM641" s="0" t="s">
        <v>155</v>
      </c>
      <c r="DN641" s="0" t="s">
        <v>154</v>
      </c>
      <c r="DS641" s="0" t="s">
        <v>155</v>
      </c>
      <c r="DU641" s="0" t="s">
        <v>154</v>
      </c>
      <c r="DW641" s="0" t="s">
        <v>155</v>
      </c>
      <c r="EA641" s="0" t="s">
        <v>154</v>
      </c>
      <c r="EF641" s="0" t="s">
        <v>154</v>
      </c>
    </row>
    <row r="642" customFormat="false" ht="13.8" hidden="false" customHeight="false" outlineLevel="0" collapsed="false">
      <c r="A642" s="0" t="s">
        <v>3314</v>
      </c>
      <c r="B642" s="0" t="n">
        <v>78</v>
      </c>
      <c r="C642" s="0" t="n">
        <v>400796</v>
      </c>
      <c r="D642" s="0" t="s">
        <v>3309</v>
      </c>
      <c r="E642" s="0" t="s">
        <v>3315</v>
      </c>
      <c r="F642" s="0" t="str">
        <f aca="false">CONCATENATE(D642," ",LEFT(H642,4),"T=",AU642,"D=",AV642,"R=",AW642,"M=",AX642,"L=",AY642,"B=",AZ642)</f>
        <v>SPENCER T=3D=0R=0M=0L=2B=0</v>
      </c>
      <c r="G642" s="0" t="s">
        <v>3316</v>
      </c>
      <c r="I642" s="0" t="s">
        <v>3317</v>
      </c>
      <c r="J642" s="0" t="s">
        <v>3318</v>
      </c>
      <c r="K642" s="0" t="s">
        <v>175</v>
      </c>
      <c r="L642" s="1" t="s">
        <v>155</v>
      </c>
      <c r="M642" s="0" t="s">
        <v>3313</v>
      </c>
      <c r="N642" s="0" t="str">
        <f aca="false">RIGHT(M642,LEN(M642)-FIND(" ",M642))</f>
        <v>COMSTOCK ST NW</v>
      </c>
      <c r="P642" s="0" t="s">
        <v>146</v>
      </c>
      <c r="Q642" s="0" t="s">
        <v>147</v>
      </c>
      <c r="R642" s="0" t="n">
        <v>44483</v>
      </c>
      <c r="AD642" s="0" t="s">
        <v>148</v>
      </c>
      <c r="AE642" s="0" t="s">
        <v>149</v>
      </c>
      <c r="AF642" s="0" t="s">
        <v>150</v>
      </c>
      <c r="AH642" s="0" t="n">
        <v>14</v>
      </c>
      <c r="AI642" s="0" t="n">
        <v>11</v>
      </c>
      <c r="AN642" s="0" t="s">
        <v>146</v>
      </c>
      <c r="AO642" s="0" t="s">
        <v>151</v>
      </c>
      <c r="AP642" s="0" t="s">
        <v>152</v>
      </c>
      <c r="AQ642" s="0" t="n">
        <v>9</v>
      </c>
      <c r="AR642" s="0" t="n">
        <v>64</v>
      </c>
      <c r="AS642" s="0" t="n">
        <v>32</v>
      </c>
      <c r="AU642" s="0" t="n">
        <f aca="false">COUNTA($BA$1538:$EH$1538)</f>
        <v>3</v>
      </c>
      <c r="AV642" s="0" t="n">
        <f aca="false">COUNTIF($BA$1538:$EH$1538,"D")</f>
        <v>0</v>
      </c>
      <c r="AW642" s="0" t="n">
        <f aca="false">COUNTIF($BA$1538:$EH$1538,"R")</f>
        <v>0</v>
      </c>
      <c r="AX642" s="0" t="n">
        <f aca="false"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>0</v>
      </c>
      <c r="AY642" s="0" t="n">
        <f aca="false">COUNTIF(DU642:EH642, "&lt;&gt;")</f>
        <v>2</v>
      </c>
      <c r="AZ642" s="0" t="n">
        <f aca="false">IF(EH642&lt;&gt;"",1,0)</f>
        <v>0</v>
      </c>
      <c r="BB642" s="0" t="s">
        <v>153</v>
      </c>
      <c r="CZ642" s="0" t="s">
        <v>155</v>
      </c>
      <c r="DC642" s="0" t="s">
        <v>154</v>
      </c>
      <c r="DX642" s="0" t="s">
        <v>154</v>
      </c>
      <c r="ED642" s="0" t="s">
        <v>155</v>
      </c>
    </row>
    <row r="643" customFormat="false" ht="13.8" hidden="false" customHeight="false" outlineLevel="0" collapsed="false">
      <c r="A643" s="0" t="s">
        <v>3319</v>
      </c>
      <c r="B643" s="0" t="n">
        <v>78</v>
      </c>
      <c r="C643" s="0" t="n">
        <v>241432</v>
      </c>
      <c r="D643" s="0" t="s">
        <v>1116</v>
      </c>
      <c r="E643" s="0" t="s">
        <v>283</v>
      </c>
      <c r="F643" s="0" t="str">
        <f aca="false">CONCATENATE(D643," ",LEFT(H643,4),"T=",AU643,"D=",AV643,"R=",AW643,"M=",AX643,"L=",AY643,"B=",AZ643)</f>
        <v>TENNEY T=1D=0R=0M=0L=5B=1</v>
      </c>
      <c r="G643" s="0" t="s">
        <v>241</v>
      </c>
      <c r="I643" s="0" t="s">
        <v>3320</v>
      </c>
      <c r="J643" s="0" t="s">
        <v>3321</v>
      </c>
      <c r="K643" s="0" t="s">
        <v>175</v>
      </c>
      <c r="L643" s="1" t="s">
        <v>176</v>
      </c>
      <c r="M643" s="0" t="s">
        <v>3322</v>
      </c>
      <c r="N643" s="0" t="str">
        <f aca="false">RIGHT(M643,LEN(M643)-FIND(" ",M643))</f>
        <v>COMSTOCK ST NW</v>
      </c>
      <c r="P643" s="0" t="s">
        <v>146</v>
      </c>
      <c r="Q643" s="0" t="s">
        <v>147</v>
      </c>
      <c r="R643" s="0" t="n">
        <v>44483</v>
      </c>
      <c r="AD643" s="0" t="s">
        <v>148</v>
      </c>
      <c r="AE643" s="0" t="s">
        <v>149</v>
      </c>
      <c r="AF643" s="0" t="s">
        <v>150</v>
      </c>
      <c r="AH643" s="0" t="n">
        <v>14</v>
      </c>
      <c r="AI643" s="0" t="n">
        <v>11</v>
      </c>
      <c r="AN643" s="0" t="s">
        <v>146</v>
      </c>
      <c r="AO643" s="0" t="s">
        <v>151</v>
      </c>
      <c r="AP643" s="0" t="s">
        <v>152</v>
      </c>
      <c r="AQ643" s="0" t="n">
        <v>9</v>
      </c>
      <c r="AR643" s="0" t="n">
        <v>64</v>
      </c>
      <c r="AS643" s="0" t="n">
        <v>32</v>
      </c>
      <c r="AU643" s="0" t="n">
        <f aca="false">COUNTA($BA$1151:$EH$1151)</f>
        <v>1</v>
      </c>
      <c r="AV643" s="0" t="n">
        <f aca="false">COUNTIF($BA$1151:$EH$1151,"D")</f>
        <v>0</v>
      </c>
      <c r="AW643" s="0" t="n">
        <f aca="false">COUNTIF($BA$1151:$EH$1151,"R")</f>
        <v>0</v>
      </c>
      <c r="AX643" s="0" t="n">
        <f aca="false"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>0</v>
      </c>
      <c r="AY643" s="0" t="n">
        <f aca="false">COUNTIF(DU643:EH643, "&lt;&gt;")</f>
        <v>5</v>
      </c>
      <c r="AZ643" s="0" t="n">
        <f aca="false">IF(EH643&lt;&gt;"",1,0)</f>
        <v>1</v>
      </c>
      <c r="BB643" s="0" t="s">
        <v>153</v>
      </c>
      <c r="BD643" s="0" t="s">
        <v>154</v>
      </c>
      <c r="BG643" s="0" t="s">
        <v>154</v>
      </c>
      <c r="BL643" s="0" t="s">
        <v>154</v>
      </c>
      <c r="BY643" s="0" t="s">
        <v>176</v>
      </c>
      <c r="CA643" s="0" t="s">
        <v>154</v>
      </c>
      <c r="DN643" s="0" t="s">
        <v>154</v>
      </c>
      <c r="DU643" s="0" t="s">
        <v>154</v>
      </c>
      <c r="EA643" s="0" t="s">
        <v>154</v>
      </c>
      <c r="ED643" s="0" t="s">
        <v>176</v>
      </c>
      <c r="EF643" s="0" t="s">
        <v>154</v>
      </c>
      <c r="EH643" s="0" t="s">
        <v>154</v>
      </c>
    </row>
    <row r="644" customFormat="false" ht="13.8" hidden="false" customHeight="false" outlineLevel="0" collapsed="false">
      <c r="A644" s="0" t="s">
        <v>3323</v>
      </c>
      <c r="B644" s="0" t="n">
        <v>78</v>
      </c>
      <c r="C644" s="0" t="n">
        <v>176401</v>
      </c>
      <c r="D644" s="0" t="s">
        <v>1027</v>
      </c>
      <c r="E644" s="0" t="s">
        <v>158</v>
      </c>
      <c r="F644" s="0" t="str">
        <f aca="false">CONCATENATE(D644," ",LEFT(H644,4),"T=",AU644,"D=",AV644,"R=",AW644,"M=",AX644,"L=",AY644,"B=",AZ644)</f>
        <v>MARTIN T=25D=10R=0M=5L=7B=1</v>
      </c>
      <c r="I644" s="0" t="s">
        <v>3324</v>
      </c>
      <c r="J644" s="0" t="s">
        <v>3010</v>
      </c>
      <c r="K644" s="0" t="s">
        <v>175</v>
      </c>
      <c r="L644" s="1" t="s">
        <v>155</v>
      </c>
      <c r="M644" s="0" t="s">
        <v>3322</v>
      </c>
      <c r="N644" s="0" t="str">
        <f aca="false">RIGHT(M644,LEN(M644)-FIND(" ",M644))</f>
        <v>COMSTOCK ST NW</v>
      </c>
      <c r="P644" s="0" t="s">
        <v>146</v>
      </c>
      <c r="Q644" s="0" t="s">
        <v>147</v>
      </c>
      <c r="R644" s="0" t="n">
        <v>44483</v>
      </c>
      <c r="AD644" s="0" t="s">
        <v>148</v>
      </c>
      <c r="AE644" s="0" t="s">
        <v>149</v>
      </c>
      <c r="AF644" s="0" t="s">
        <v>150</v>
      </c>
      <c r="AH644" s="0" t="n">
        <v>14</v>
      </c>
      <c r="AI644" s="0" t="n">
        <v>11</v>
      </c>
      <c r="AN644" s="0" t="s">
        <v>146</v>
      </c>
      <c r="AO644" s="0" t="s">
        <v>151</v>
      </c>
      <c r="AP644" s="0" t="s">
        <v>152</v>
      </c>
      <c r="AQ644" s="0" t="n">
        <v>9</v>
      </c>
      <c r="AR644" s="0" t="n">
        <v>64</v>
      </c>
      <c r="AS644" s="0" t="n">
        <v>32</v>
      </c>
      <c r="AU644" s="0" t="n">
        <f aca="false">COUNTA($BA$1242:$EH$1242)</f>
        <v>25</v>
      </c>
      <c r="AV644" s="0" t="n">
        <f aca="false">COUNTIF($BA$1242:$EH$1242,"D")</f>
        <v>10</v>
      </c>
      <c r="AW644" s="0" t="n">
        <f aca="false">COUNTIF($BA$1242:$EH$1242,"R")</f>
        <v>0</v>
      </c>
      <c r="AX644" s="0" t="n">
        <f aca="false"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>5</v>
      </c>
      <c r="AY644" s="0" t="n">
        <f aca="false">COUNTIF(DU644:EH644, "&lt;&gt;")</f>
        <v>7</v>
      </c>
      <c r="AZ644" s="0" t="n">
        <f aca="false">IF(EH644&lt;&gt;"",1,0)</f>
        <v>1</v>
      </c>
      <c r="BB644" s="0" t="s">
        <v>153</v>
      </c>
      <c r="BC644" s="0" t="s">
        <v>154</v>
      </c>
      <c r="BD644" s="0" t="s">
        <v>154</v>
      </c>
      <c r="BH644" s="0" t="s">
        <v>154</v>
      </c>
      <c r="BK644" s="0" t="s">
        <v>154</v>
      </c>
      <c r="BL644" s="0" t="s">
        <v>154</v>
      </c>
      <c r="BS644" s="0" t="s">
        <v>154</v>
      </c>
      <c r="BY644" s="0" t="s">
        <v>155</v>
      </c>
      <c r="CA644" s="0" t="s">
        <v>154</v>
      </c>
      <c r="CK644" s="0" t="s">
        <v>154</v>
      </c>
      <c r="CL644" s="0" t="s">
        <v>155</v>
      </c>
      <c r="CN644" s="0" t="s">
        <v>154</v>
      </c>
      <c r="CP644" s="0" t="s">
        <v>154</v>
      </c>
      <c r="CU644" s="0" t="s">
        <v>155</v>
      </c>
      <c r="CV644" s="0" t="s">
        <v>154</v>
      </c>
      <c r="CY644" s="0" t="s">
        <v>154</v>
      </c>
      <c r="CZ644" s="0" t="s">
        <v>155</v>
      </c>
      <c r="DC644" s="0" t="s">
        <v>154</v>
      </c>
      <c r="DD644" s="0" t="s">
        <v>155</v>
      </c>
      <c r="DF644" s="0" t="s">
        <v>154</v>
      </c>
      <c r="DG644" s="0" t="s">
        <v>155</v>
      </c>
      <c r="DI644" s="0" t="s">
        <v>154</v>
      </c>
      <c r="DL644" s="0" t="s">
        <v>154</v>
      </c>
      <c r="DM644" s="0" t="s">
        <v>155</v>
      </c>
      <c r="DN644" s="0" t="s">
        <v>154</v>
      </c>
      <c r="DO644" s="0" t="s">
        <v>155</v>
      </c>
      <c r="DT644" s="0" t="s">
        <v>155</v>
      </c>
      <c r="DU644" s="0" t="s">
        <v>154</v>
      </c>
      <c r="DW644" s="0" t="s">
        <v>155</v>
      </c>
      <c r="DX644" s="0" t="s">
        <v>154</v>
      </c>
      <c r="EA644" s="0" t="s">
        <v>154</v>
      </c>
      <c r="ED644" s="0" t="s">
        <v>155</v>
      </c>
      <c r="EF644" s="0" t="s">
        <v>154</v>
      </c>
      <c r="EH644" s="0" t="s">
        <v>155</v>
      </c>
    </row>
    <row r="645" customFormat="false" ht="13.8" hidden="false" customHeight="false" outlineLevel="0" collapsed="false">
      <c r="A645" s="0" t="s">
        <v>3325</v>
      </c>
      <c r="B645" s="0" t="n">
        <v>78</v>
      </c>
      <c r="C645" s="0" t="n">
        <v>6030</v>
      </c>
      <c r="D645" s="0" t="s">
        <v>3326</v>
      </c>
      <c r="E645" s="0" t="s">
        <v>3327</v>
      </c>
      <c r="F645" s="0" t="str">
        <f aca="false">CONCATENATE(D645," ",LEFT(H645,4),"T=",AU645,"D=",AV645,"R=",AW645,"M=",AX645,"L=",AY645,"B=",AZ645)</f>
        <v>THIGPEN T=23D=5R=0M=8L=6B=0</v>
      </c>
      <c r="G645" s="0" t="s">
        <v>188</v>
      </c>
      <c r="I645" s="0" t="s">
        <v>3328</v>
      </c>
      <c r="J645" s="0" t="s">
        <v>3329</v>
      </c>
      <c r="K645" s="0" t="s">
        <v>175</v>
      </c>
      <c r="L645" s="1" t="s">
        <v>155</v>
      </c>
      <c r="M645" s="0" t="s">
        <v>3330</v>
      </c>
      <c r="N645" s="0" t="str">
        <f aca="false">RIGHT(M645,LEN(M645)-FIND(" ",M645))</f>
        <v>COMSTOCK ST NW</v>
      </c>
      <c r="P645" s="0" t="s">
        <v>146</v>
      </c>
      <c r="Q645" s="0" t="s">
        <v>147</v>
      </c>
      <c r="R645" s="0" t="n">
        <v>44483</v>
      </c>
      <c r="AD645" s="0" t="s">
        <v>148</v>
      </c>
      <c r="AE645" s="0" t="s">
        <v>149</v>
      </c>
      <c r="AF645" s="0" t="s">
        <v>150</v>
      </c>
      <c r="AH645" s="0" t="n">
        <v>14</v>
      </c>
      <c r="AI645" s="0" t="n">
        <v>11</v>
      </c>
      <c r="AN645" s="0" t="s">
        <v>146</v>
      </c>
      <c r="AO645" s="0" t="s">
        <v>151</v>
      </c>
      <c r="AP645" s="0" t="s">
        <v>152</v>
      </c>
      <c r="AQ645" s="0" t="n">
        <v>9</v>
      </c>
      <c r="AR645" s="0" t="n">
        <v>64</v>
      </c>
      <c r="AS645" s="0" t="n">
        <v>32</v>
      </c>
      <c r="AU645" s="0" t="n">
        <f aca="false">COUNTA($BA$1220:$EH$1220)</f>
        <v>23</v>
      </c>
      <c r="AV645" s="0" t="n">
        <f aca="false">COUNTIF($BA$1220:$EH$1220,"D")</f>
        <v>5</v>
      </c>
      <c r="AW645" s="0" t="n">
        <f aca="false">COUNTIF($BA$1220:$EH$1220,"R")</f>
        <v>0</v>
      </c>
      <c r="AX645" s="0" t="n">
        <f aca="false"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>8</v>
      </c>
      <c r="AY645" s="0" t="n">
        <f aca="false">COUNTIF(DU645:EH645, "&lt;&gt;")</f>
        <v>6</v>
      </c>
      <c r="AZ645" s="0" t="n">
        <f aca="false">IF(EH645&lt;&gt;"",1,0)</f>
        <v>0</v>
      </c>
      <c r="BB645" s="0" t="s">
        <v>153</v>
      </c>
      <c r="BC645" s="0" t="s">
        <v>154</v>
      </c>
      <c r="BD645" s="0" t="s">
        <v>154</v>
      </c>
      <c r="BE645" s="0" t="s">
        <v>154</v>
      </c>
      <c r="BF645" s="0" t="s">
        <v>154</v>
      </c>
      <c r="BG645" s="0" t="s">
        <v>154</v>
      </c>
      <c r="BH645" s="0" t="s">
        <v>154</v>
      </c>
      <c r="BI645" s="0" t="s">
        <v>154</v>
      </c>
      <c r="BJ645" s="0" t="s">
        <v>154</v>
      </c>
      <c r="BK645" s="0" t="s">
        <v>154</v>
      </c>
      <c r="BL645" s="0" t="s">
        <v>154</v>
      </c>
      <c r="BP645" s="0" t="s">
        <v>154</v>
      </c>
      <c r="BR645" s="0" t="s">
        <v>154</v>
      </c>
      <c r="BS645" s="0" t="s">
        <v>154</v>
      </c>
      <c r="BV645" s="0" t="s">
        <v>154</v>
      </c>
      <c r="BY645" s="0" t="s">
        <v>155</v>
      </c>
      <c r="CA645" s="0" t="s">
        <v>154</v>
      </c>
      <c r="CC645" s="0" t="s">
        <v>155</v>
      </c>
      <c r="CG645" s="0" t="s">
        <v>154</v>
      </c>
      <c r="CH645" s="0" t="s">
        <v>155</v>
      </c>
      <c r="CK645" s="0" t="s">
        <v>154</v>
      </c>
      <c r="CL645" s="0" t="s">
        <v>155</v>
      </c>
      <c r="CN645" s="0" t="s">
        <v>154</v>
      </c>
      <c r="CO645" s="0" t="s">
        <v>155</v>
      </c>
      <c r="CP645" s="0" t="s">
        <v>154</v>
      </c>
      <c r="CQ645" s="0" t="s">
        <v>155</v>
      </c>
      <c r="CT645" s="0" t="s">
        <v>154</v>
      </c>
      <c r="CU645" s="0" t="s">
        <v>155</v>
      </c>
      <c r="CV645" s="0" t="s">
        <v>154</v>
      </c>
      <c r="CW645" s="0" t="s">
        <v>155</v>
      </c>
      <c r="CY645" s="0" t="s">
        <v>154</v>
      </c>
      <c r="CZ645" s="0" t="s">
        <v>155</v>
      </c>
      <c r="DC645" s="0" t="s">
        <v>154</v>
      </c>
      <c r="DD645" s="0" t="s">
        <v>155</v>
      </c>
      <c r="DF645" s="0" t="s">
        <v>154</v>
      </c>
      <c r="DG645" s="0" t="s">
        <v>155</v>
      </c>
      <c r="DI645" s="0" t="s">
        <v>154</v>
      </c>
      <c r="DJ645" s="0" t="s">
        <v>155</v>
      </c>
      <c r="DM645" s="0" t="s">
        <v>155</v>
      </c>
      <c r="DN645" s="0" t="s">
        <v>154</v>
      </c>
      <c r="DO645" s="0" t="s">
        <v>155</v>
      </c>
      <c r="DR645" s="0" t="s">
        <v>154</v>
      </c>
      <c r="DS645" s="0" t="s">
        <v>155</v>
      </c>
      <c r="DU645" s="0" t="s">
        <v>154</v>
      </c>
      <c r="DW645" s="0" t="s">
        <v>155</v>
      </c>
      <c r="DX645" s="0" t="s">
        <v>154</v>
      </c>
      <c r="EA645" s="0" t="s">
        <v>154</v>
      </c>
      <c r="ED645" s="0" t="s">
        <v>155</v>
      </c>
      <c r="EF645" s="0" t="s">
        <v>154</v>
      </c>
    </row>
    <row r="646" customFormat="false" ht="13.8" hidden="true" customHeight="false" outlineLevel="0" collapsed="false">
      <c r="A646" s="0" t="s">
        <v>3331</v>
      </c>
      <c r="B646" s="0" t="n">
        <v>78</v>
      </c>
      <c r="C646" s="0" t="n">
        <v>308805</v>
      </c>
      <c r="D646" s="0" t="s">
        <v>3332</v>
      </c>
      <c r="E646" s="0" t="s">
        <v>3333</v>
      </c>
      <c r="F646" s="0" t="str">
        <f aca="false">CONCATENATE(D646," ",LEFT(H646,4),"T=",AU646,"D=",AV646,"R=",AW646,"M=",AX646,"L=",AY646,"B=",AZ646)</f>
        <v>WHITLOCK T=1D=0R=0M=0L=1B=0</v>
      </c>
      <c r="G646" s="0" t="s">
        <v>3334</v>
      </c>
      <c r="I646" s="0" t="s">
        <v>3335</v>
      </c>
      <c r="J646" s="0" t="s">
        <v>712</v>
      </c>
      <c r="K646" s="0" t="s">
        <v>175</v>
      </c>
      <c r="L646" s="0"/>
      <c r="M646" s="0" t="s">
        <v>3336</v>
      </c>
      <c r="N646" s="0" t="str">
        <f aca="false">RIGHT(M646,LEN(M646)-FIND(" ",M646))</f>
        <v>COMSTOCK ST NW</v>
      </c>
      <c r="P646" s="0" t="s">
        <v>146</v>
      </c>
      <c r="Q646" s="0" t="s">
        <v>147</v>
      </c>
      <c r="R646" s="0" t="n">
        <v>44483</v>
      </c>
      <c r="AD646" s="0" t="s">
        <v>148</v>
      </c>
      <c r="AE646" s="0" t="s">
        <v>149</v>
      </c>
      <c r="AF646" s="0" t="s">
        <v>150</v>
      </c>
      <c r="AH646" s="0" t="n">
        <v>14</v>
      </c>
      <c r="AI646" s="0" t="n">
        <v>11</v>
      </c>
      <c r="AN646" s="0" t="s">
        <v>146</v>
      </c>
      <c r="AO646" s="0" t="s">
        <v>151</v>
      </c>
      <c r="AP646" s="0" t="s">
        <v>152</v>
      </c>
      <c r="AQ646" s="0" t="n">
        <v>9</v>
      </c>
      <c r="AR646" s="0" t="n">
        <v>64</v>
      </c>
      <c r="AS646" s="0" t="n">
        <v>32</v>
      </c>
      <c r="AU646" s="0" t="n">
        <f aca="false">COUNTA($BA$1258:$EH$1258)</f>
        <v>1</v>
      </c>
      <c r="AV646" s="0" t="n">
        <f aca="false">COUNTIF($BA$1258:$EH$1258,"D")</f>
        <v>0</v>
      </c>
      <c r="AW646" s="0" t="n">
        <f aca="false">COUNTIF($BA$1258:$EH$1258,"R")</f>
        <v>0</v>
      </c>
      <c r="AX646" s="0" t="n">
        <f aca="false"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>0</v>
      </c>
      <c r="AY646" s="0" t="n">
        <f aca="false">COUNTIF(DU646:EH646, "&lt;&gt;")</f>
        <v>1</v>
      </c>
      <c r="AZ646" s="0" t="n">
        <f aca="false">IF(EH646&lt;&gt;"",1,0)</f>
        <v>0</v>
      </c>
      <c r="BB646" s="0" t="s">
        <v>153</v>
      </c>
      <c r="BL646" s="0" t="s">
        <v>154</v>
      </c>
      <c r="BY646" s="0" t="s">
        <v>155</v>
      </c>
      <c r="CA646" s="0" t="s">
        <v>154</v>
      </c>
      <c r="CK646" s="0" t="s">
        <v>154</v>
      </c>
      <c r="CP646" s="0" t="s">
        <v>154</v>
      </c>
      <c r="CY646" s="0" t="s">
        <v>154</v>
      </c>
      <c r="DC646" s="0" t="s">
        <v>154</v>
      </c>
      <c r="DN646" s="0" t="s">
        <v>154</v>
      </c>
      <c r="EF646" s="0" t="s">
        <v>154</v>
      </c>
    </row>
    <row r="647" customFormat="false" ht="13.8" hidden="true" customHeight="false" outlineLevel="0" collapsed="false">
      <c r="A647" s="0" t="s">
        <v>3337</v>
      </c>
      <c r="B647" s="0" t="n">
        <v>78</v>
      </c>
      <c r="C647" s="0" t="n">
        <v>408609</v>
      </c>
      <c r="D647" s="0" t="s">
        <v>3338</v>
      </c>
      <c r="E647" s="0" t="s">
        <v>1117</v>
      </c>
      <c r="F647" s="0" t="str">
        <f aca="false">CONCATENATE(D647," ",LEFT(H647,4),"T=",AU647,"D=",AV647,"R=",AW647,"M=",AX647,"L=",AY647,"B=",AZ647)</f>
        <v>POOLE SRT=2D=0R=0M=0L=1B=0</v>
      </c>
      <c r="G647" s="0" t="s">
        <v>155</v>
      </c>
      <c r="H647" s="0" t="s">
        <v>311</v>
      </c>
      <c r="I647" s="0" t="s">
        <v>312</v>
      </c>
      <c r="J647" s="0" t="s">
        <v>3339</v>
      </c>
      <c r="K647" s="0" t="s">
        <v>175</v>
      </c>
      <c r="L647" s="0"/>
      <c r="M647" s="0" t="s">
        <v>3336</v>
      </c>
      <c r="N647" s="0" t="str">
        <f aca="false">RIGHT(M647,LEN(M647)-FIND(" ",M647))</f>
        <v>COMSTOCK ST NW</v>
      </c>
      <c r="P647" s="0" t="s">
        <v>146</v>
      </c>
      <c r="Q647" s="0" t="s">
        <v>147</v>
      </c>
      <c r="R647" s="0" t="n">
        <v>44483</v>
      </c>
      <c r="AD647" s="0" t="s">
        <v>148</v>
      </c>
      <c r="AE647" s="0" t="s">
        <v>149</v>
      </c>
      <c r="AF647" s="0" t="s">
        <v>150</v>
      </c>
      <c r="AH647" s="0" t="n">
        <v>14</v>
      </c>
      <c r="AI647" s="0" t="n">
        <v>11</v>
      </c>
      <c r="AN647" s="0" t="s">
        <v>146</v>
      </c>
      <c r="AO647" s="0" t="s">
        <v>151</v>
      </c>
      <c r="AP647" s="0" t="s">
        <v>152</v>
      </c>
      <c r="AQ647" s="0" t="n">
        <v>9</v>
      </c>
      <c r="AR647" s="0" t="n">
        <v>64</v>
      </c>
      <c r="AS647" s="0" t="n">
        <v>32</v>
      </c>
      <c r="AU647" s="0" t="n">
        <f aca="false">COUNTA($BA$1345:$EH$1345)</f>
        <v>2</v>
      </c>
      <c r="AV647" s="0" t="n">
        <f aca="false">COUNTIF($BA$1345:$EH$1345,"D")</f>
        <v>0</v>
      </c>
      <c r="AW647" s="0" t="n">
        <f aca="false">COUNTIF($BA$1345:$EH$1345,"R")</f>
        <v>0</v>
      </c>
      <c r="AX647" s="0" t="n">
        <f aca="false"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>0</v>
      </c>
      <c r="AY647" s="0" t="n">
        <f aca="false">COUNTIF(DU647:EH647, "&lt;&gt;")</f>
        <v>1</v>
      </c>
      <c r="AZ647" s="0" t="n">
        <f aca="false">IF(EH647&lt;&gt;"",1,0)</f>
        <v>0</v>
      </c>
      <c r="BB647" s="0" t="s">
        <v>153</v>
      </c>
      <c r="BL647" s="0" t="s">
        <v>154</v>
      </c>
      <c r="BY647" s="0" t="s">
        <v>155</v>
      </c>
      <c r="CA647" s="0" t="s">
        <v>154</v>
      </c>
      <c r="CK647" s="0" t="s">
        <v>154</v>
      </c>
      <c r="CP647" s="0" t="s">
        <v>154</v>
      </c>
      <c r="CY647" s="0" t="s">
        <v>154</v>
      </c>
      <c r="DC647" s="0" t="s">
        <v>154</v>
      </c>
      <c r="DN647" s="0" t="s">
        <v>154</v>
      </c>
      <c r="EF647" s="0" t="s">
        <v>154</v>
      </c>
    </row>
    <row r="648" customFormat="false" ht="13.8" hidden="true" customHeight="false" outlineLevel="0" collapsed="false">
      <c r="A648" s="0" t="s">
        <v>3340</v>
      </c>
      <c r="B648" s="0" t="n">
        <v>78</v>
      </c>
      <c r="C648" s="0" t="n">
        <v>487571</v>
      </c>
      <c r="D648" s="0" t="s">
        <v>3338</v>
      </c>
      <c r="E648" s="0" t="s">
        <v>3341</v>
      </c>
      <c r="F648" s="0" t="str">
        <f aca="false">CONCATENATE(D648," ",LEFT(H648,4),"T=",AU648,"D=",AV648,"R=",AW648,"M=",AX648,"L=",AY648,"B=",AZ648)</f>
        <v>POOLE T=42D=9R=0M=0L=0B=0</v>
      </c>
      <c r="G648" s="0" t="s">
        <v>329</v>
      </c>
      <c r="I648" s="0" t="s">
        <v>3342</v>
      </c>
      <c r="J648" s="0" t="s">
        <v>3343</v>
      </c>
      <c r="K648" s="0" t="s">
        <v>175</v>
      </c>
      <c r="L648" s="0"/>
      <c r="M648" s="0" t="s">
        <v>3336</v>
      </c>
      <c r="N648" s="0" t="str">
        <f aca="false">RIGHT(M648,LEN(M648)-FIND(" ",M648))</f>
        <v>COMSTOCK ST NW</v>
      </c>
      <c r="P648" s="0" t="s">
        <v>146</v>
      </c>
      <c r="Q648" s="0" t="s">
        <v>147</v>
      </c>
      <c r="R648" s="0" t="n">
        <v>44483</v>
      </c>
      <c r="AD648" s="0" t="s">
        <v>148</v>
      </c>
      <c r="AE648" s="0" t="s">
        <v>149</v>
      </c>
      <c r="AF648" s="0" t="s">
        <v>150</v>
      </c>
      <c r="AH648" s="0" t="n">
        <v>14</v>
      </c>
      <c r="AI648" s="0" t="n">
        <v>11</v>
      </c>
      <c r="AN648" s="0" t="s">
        <v>146</v>
      </c>
      <c r="AO648" s="0" t="s">
        <v>151</v>
      </c>
      <c r="AP648" s="0" t="s">
        <v>152</v>
      </c>
      <c r="AQ648" s="0" t="n">
        <v>9</v>
      </c>
      <c r="AR648" s="0" t="n">
        <v>64</v>
      </c>
      <c r="AS648" s="0" t="n">
        <v>32</v>
      </c>
      <c r="AU648" s="0" t="n">
        <f aca="false">COUNTA($BA$1493:$EH$1493)</f>
        <v>42</v>
      </c>
      <c r="AV648" s="0" t="n">
        <f aca="false">COUNTIF($BA$1493:$EH$1493,"D")</f>
        <v>9</v>
      </c>
      <c r="AW648" s="0" t="n">
        <f aca="false">COUNTIF($BA$1493:$EH$1493,"R")</f>
        <v>0</v>
      </c>
      <c r="AX648" s="0" t="n">
        <f aca="false"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>0</v>
      </c>
      <c r="AY648" s="0" t="n">
        <f aca="false">COUNTIF(DU648:EH648, "&lt;&gt;")</f>
        <v>0</v>
      </c>
      <c r="AZ648" s="0" t="n">
        <f aca="false">IF(EH648&lt;&gt;"",1,0)</f>
        <v>0</v>
      </c>
      <c r="BB648" s="0" t="s">
        <v>153</v>
      </c>
    </row>
    <row r="649" customFormat="false" ht="13.8" hidden="true" customHeight="false" outlineLevel="0" collapsed="false">
      <c r="A649" s="0" t="s">
        <v>3344</v>
      </c>
      <c r="B649" s="0" t="n">
        <v>78</v>
      </c>
      <c r="C649" s="0" t="n">
        <v>308320</v>
      </c>
      <c r="D649" s="0" t="s">
        <v>2229</v>
      </c>
      <c r="E649" s="0" t="s">
        <v>3345</v>
      </c>
      <c r="F649" s="0" t="str">
        <f aca="false">CONCATENATE(D649," ",LEFT(H649,4),"T=",AU649,"D=",AV649,"R=",AW649,"M=",AX649,"L=",AY649,"B=",AZ649)</f>
        <v>PORTER T=35D=0R=7M=0L=0B=0</v>
      </c>
      <c r="G649" s="0" t="s">
        <v>172</v>
      </c>
      <c r="I649" s="0" t="s">
        <v>3346</v>
      </c>
      <c r="J649" s="0" t="s">
        <v>3347</v>
      </c>
      <c r="K649" s="0" t="s">
        <v>175</v>
      </c>
      <c r="L649" s="0"/>
      <c r="M649" s="0" t="s">
        <v>3336</v>
      </c>
      <c r="N649" s="0" t="str">
        <f aca="false">RIGHT(M649,LEN(M649)-FIND(" ",M649))</f>
        <v>COMSTOCK ST NW</v>
      </c>
      <c r="P649" s="0" t="s">
        <v>146</v>
      </c>
      <c r="Q649" s="0" t="s">
        <v>147</v>
      </c>
      <c r="R649" s="0" t="n">
        <v>44483</v>
      </c>
      <c r="AD649" s="0" t="s">
        <v>148</v>
      </c>
      <c r="AE649" s="0" t="s">
        <v>149</v>
      </c>
      <c r="AF649" s="0" t="s">
        <v>150</v>
      </c>
      <c r="AH649" s="0" t="n">
        <v>14</v>
      </c>
      <c r="AI649" s="0" t="n">
        <v>11</v>
      </c>
      <c r="AN649" s="0" t="s">
        <v>146</v>
      </c>
      <c r="AO649" s="0" t="s">
        <v>151</v>
      </c>
      <c r="AP649" s="0" t="s">
        <v>152</v>
      </c>
      <c r="AQ649" s="0" t="n">
        <v>9</v>
      </c>
      <c r="AR649" s="0" t="n">
        <v>64</v>
      </c>
      <c r="AS649" s="0" t="n">
        <v>32</v>
      </c>
      <c r="AU649" s="0" t="n">
        <f aca="false">COUNTA($BA$1877:$EH$1877)</f>
        <v>35</v>
      </c>
      <c r="AV649" s="0" t="n">
        <f aca="false">COUNTIF($BA$1877:$EH$1877,"D")</f>
        <v>0</v>
      </c>
      <c r="AW649" s="0" t="n">
        <f aca="false">COUNTIF($BA$1877:$EH$1877,"R")</f>
        <v>7</v>
      </c>
      <c r="AX649" s="0" t="n">
        <f aca="false"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>0</v>
      </c>
      <c r="AY649" s="0" t="n">
        <f aca="false">COUNTIF(DU649:EH649, "&lt;&gt;")</f>
        <v>0</v>
      </c>
      <c r="AZ649" s="0" t="n">
        <f aca="false">IF(EH649&lt;&gt;"",1,0)</f>
        <v>0</v>
      </c>
      <c r="BB649" s="0" t="s">
        <v>153</v>
      </c>
      <c r="BL649" s="0" t="s">
        <v>154</v>
      </c>
      <c r="BY649" s="0" t="s">
        <v>155</v>
      </c>
      <c r="CA649" s="0" t="s">
        <v>154</v>
      </c>
      <c r="CP649" s="0" t="s">
        <v>154</v>
      </c>
      <c r="DC649" s="0" t="s">
        <v>154</v>
      </c>
      <c r="DN649" s="0" t="s">
        <v>154</v>
      </c>
    </row>
    <row r="650" customFormat="false" ht="13.8" hidden="true" customHeight="false" outlineLevel="0" collapsed="false">
      <c r="A650" s="0" t="s">
        <v>3348</v>
      </c>
      <c r="B650" s="0" t="n">
        <v>78</v>
      </c>
      <c r="C650" s="0" t="n">
        <v>487685</v>
      </c>
      <c r="D650" s="0" t="s">
        <v>1628</v>
      </c>
      <c r="E650" s="0" t="s">
        <v>3349</v>
      </c>
      <c r="F650" s="0" t="str">
        <f aca="false">CONCATENATE(D650," ",LEFT(H650,4),"T=",AU650,"D=",AV650,"R=",AW650,"M=",AX650,"L=",AY650,"B=",AZ650)</f>
        <v>REYNOLDS T=3D=0R=0M=0L=0B=0</v>
      </c>
      <c r="G650" s="0" t="s">
        <v>176</v>
      </c>
      <c r="I650" s="0" t="s">
        <v>2509</v>
      </c>
      <c r="J650" s="0" t="s">
        <v>228</v>
      </c>
      <c r="K650" s="0" t="s">
        <v>175</v>
      </c>
      <c r="L650" s="0"/>
      <c r="M650" s="0" t="s">
        <v>3350</v>
      </c>
      <c r="N650" s="0" t="str">
        <f aca="false">RIGHT(M650,LEN(M650)-FIND(" ",M650))</f>
        <v>COMSTOCK ST NW</v>
      </c>
      <c r="P650" s="0" t="s">
        <v>146</v>
      </c>
      <c r="Q650" s="0" t="s">
        <v>147</v>
      </c>
      <c r="R650" s="0" t="n">
        <v>44483</v>
      </c>
      <c r="AD650" s="0" t="s">
        <v>148</v>
      </c>
      <c r="AE650" s="0" t="s">
        <v>149</v>
      </c>
      <c r="AF650" s="0" t="s">
        <v>150</v>
      </c>
      <c r="AH650" s="0" t="n">
        <v>14</v>
      </c>
      <c r="AI650" s="0" t="n">
        <v>11</v>
      </c>
      <c r="AN650" s="0" t="s">
        <v>146</v>
      </c>
      <c r="AO650" s="0" t="s">
        <v>151</v>
      </c>
      <c r="AP650" s="0" t="s">
        <v>152</v>
      </c>
      <c r="AQ650" s="0" t="n">
        <v>9</v>
      </c>
      <c r="AR650" s="0" t="n">
        <v>64</v>
      </c>
      <c r="AS650" s="0" t="n">
        <v>32</v>
      </c>
      <c r="AU650" s="0" t="n">
        <f aca="false">COUNTA($BA$1922:$EH$1922)</f>
        <v>3</v>
      </c>
      <c r="AV650" s="0" t="n">
        <f aca="false">COUNTIF($BA$1922:$EH$1922,"D")</f>
        <v>0</v>
      </c>
      <c r="AW650" s="0" t="n">
        <f aca="false">COUNTIF($BA$1922:$EH$1922,"R")</f>
        <v>0</v>
      </c>
      <c r="AX650" s="0" t="n">
        <f aca="false"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>0</v>
      </c>
      <c r="AY650" s="0" t="n">
        <f aca="false">COUNTIF(DU650:EH650, "&lt;&gt;")</f>
        <v>0</v>
      </c>
      <c r="AZ650" s="0" t="n">
        <f aca="false">IF(EH650&lt;&gt;"",1,0)</f>
        <v>0</v>
      </c>
      <c r="BB650" s="0" t="s">
        <v>153</v>
      </c>
    </row>
    <row r="651" customFormat="false" ht="13.8" hidden="false" customHeight="false" outlineLevel="0" collapsed="false">
      <c r="A651" s="0" t="s">
        <v>3351</v>
      </c>
      <c r="B651" s="0" t="n">
        <v>78</v>
      </c>
      <c r="C651" s="0" t="n">
        <v>364070</v>
      </c>
      <c r="D651" s="0" t="s">
        <v>3352</v>
      </c>
      <c r="E651" s="0" t="s">
        <v>502</v>
      </c>
      <c r="F651" s="0" t="str">
        <f aca="false">CONCATENATE(D651," ",LEFT(H651,4),"T=",AU651,"D=",AV651,"R=",AW651,"M=",AX651,"L=",AY651,"B=",AZ651)</f>
        <v>MCDOUGAL T=42D=13R=0M=1L=2B=0</v>
      </c>
      <c r="G651" s="0" t="s">
        <v>664</v>
      </c>
      <c r="I651" s="0" t="s">
        <v>3353</v>
      </c>
      <c r="J651" s="0" t="s">
        <v>3354</v>
      </c>
      <c r="K651" s="0" t="s">
        <v>175</v>
      </c>
      <c r="L651" s="1" t="s">
        <v>155</v>
      </c>
      <c r="M651" s="0" t="s">
        <v>3355</v>
      </c>
      <c r="N651" s="0" t="str">
        <f aca="false">RIGHT(M651,LEN(M651)-FIND(" ",M651))</f>
        <v>COMSTOCK ST NW</v>
      </c>
      <c r="P651" s="0" t="s">
        <v>146</v>
      </c>
      <c r="Q651" s="0" t="s">
        <v>147</v>
      </c>
      <c r="R651" s="0" t="n">
        <v>44483</v>
      </c>
      <c r="AD651" s="0" t="s">
        <v>148</v>
      </c>
      <c r="AE651" s="0" t="s">
        <v>149</v>
      </c>
      <c r="AF651" s="0" t="s">
        <v>150</v>
      </c>
      <c r="AH651" s="0" t="n">
        <v>14</v>
      </c>
      <c r="AI651" s="0" t="n">
        <v>11</v>
      </c>
      <c r="AN651" s="0" t="s">
        <v>146</v>
      </c>
      <c r="AO651" s="0" t="s">
        <v>151</v>
      </c>
      <c r="AP651" s="0" t="s">
        <v>152</v>
      </c>
      <c r="AQ651" s="0" t="n">
        <v>9</v>
      </c>
      <c r="AR651" s="0" t="n">
        <v>64</v>
      </c>
      <c r="AS651" s="0" t="n">
        <v>32</v>
      </c>
      <c r="AU651" s="0" t="n">
        <f aca="false">COUNTA($BA$1497:$EH$1497)</f>
        <v>42</v>
      </c>
      <c r="AV651" s="0" t="n">
        <f aca="false">COUNTIF($BA$1497:$EH$1497,"D")</f>
        <v>13</v>
      </c>
      <c r="AW651" s="0" t="n">
        <f aca="false">COUNTIF($BA$1497:$EH$1497,"R")</f>
        <v>0</v>
      </c>
      <c r="AX651" s="0" t="n">
        <f aca="false"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>1</v>
      </c>
      <c r="AY651" s="0" t="n">
        <f aca="false">COUNTIF(DU651:EH651, "&lt;&gt;")</f>
        <v>2</v>
      </c>
      <c r="AZ651" s="0" t="n">
        <f aca="false">IF(EH651&lt;&gt;"",1,0)</f>
        <v>0</v>
      </c>
      <c r="BB651" s="0" t="s">
        <v>153</v>
      </c>
      <c r="CA651" s="0" t="s">
        <v>154</v>
      </c>
      <c r="CK651" s="0" t="s">
        <v>154</v>
      </c>
      <c r="CN651" s="0" t="s">
        <v>154</v>
      </c>
      <c r="CP651" s="0" t="s">
        <v>154</v>
      </c>
      <c r="CU651" s="0" t="s">
        <v>155</v>
      </c>
      <c r="CV651" s="0" t="s">
        <v>154</v>
      </c>
      <c r="CY651" s="0" t="s">
        <v>154</v>
      </c>
      <c r="DC651" s="0" t="s">
        <v>154</v>
      </c>
      <c r="DF651" s="0" t="s">
        <v>154</v>
      </c>
      <c r="DI651" s="0" t="s">
        <v>154</v>
      </c>
      <c r="DN651" s="0" t="s">
        <v>154</v>
      </c>
      <c r="DU651" s="0" t="s">
        <v>154</v>
      </c>
      <c r="DW651" s="0" t="s">
        <v>155</v>
      </c>
    </row>
    <row r="652" customFormat="false" ht="13.8" hidden="true" customHeight="false" outlineLevel="0" collapsed="false">
      <c r="A652" s="0" t="s">
        <v>3356</v>
      </c>
      <c r="B652" s="0" t="n">
        <v>78</v>
      </c>
      <c r="C652" s="0" t="n">
        <v>487377</v>
      </c>
      <c r="D652" s="0" t="s">
        <v>2275</v>
      </c>
      <c r="E652" s="0" t="s">
        <v>2973</v>
      </c>
      <c r="F652" s="0" t="str">
        <f aca="false">CONCATENATE(D652," ",LEFT(H652,4),"T=",AU652,"D=",AV652,"R=",AW652,"M=",AX652,"L=",AY652,"B=",AZ652)</f>
        <v>BENDER T=1D=0R=0M=0L=0B=0</v>
      </c>
      <c r="G652" s="0" t="s">
        <v>188</v>
      </c>
      <c r="I652" s="0" t="s">
        <v>3357</v>
      </c>
      <c r="J652" s="0" t="s">
        <v>228</v>
      </c>
      <c r="K652" s="0" t="s">
        <v>175</v>
      </c>
      <c r="L652" s="0"/>
      <c r="M652" s="0" t="s">
        <v>3358</v>
      </c>
      <c r="N652" s="0" t="str">
        <f aca="false">RIGHT(M652,LEN(M652)-FIND(" ",M652))</f>
        <v>DANA ST NE</v>
      </c>
      <c r="P652" s="0" t="s">
        <v>146</v>
      </c>
      <c r="Q652" s="0" t="s">
        <v>147</v>
      </c>
      <c r="R652" s="0" t="n">
        <v>44483</v>
      </c>
      <c r="AD652" s="0" t="s">
        <v>148</v>
      </c>
      <c r="AE652" s="0" t="s">
        <v>149</v>
      </c>
      <c r="AF652" s="0" t="s">
        <v>150</v>
      </c>
      <c r="AH652" s="0" t="n">
        <v>14</v>
      </c>
      <c r="AI652" s="0" t="n">
        <v>11</v>
      </c>
      <c r="AN652" s="0" t="s">
        <v>146</v>
      </c>
      <c r="AO652" s="0" t="s">
        <v>236</v>
      </c>
      <c r="AP652" s="0" t="s">
        <v>237</v>
      </c>
      <c r="AQ652" s="0" t="n">
        <v>9</v>
      </c>
      <c r="AR652" s="0" t="n">
        <v>64</v>
      </c>
      <c r="AS652" s="0" t="n">
        <v>32</v>
      </c>
      <c r="AU652" s="0" t="n">
        <f aca="false">COUNTA($BA$142:$EH$142)</f>
        <v>1</v>
      </c>
      <c r="AV652" s="0" t="n">
        <f aca="false">COUNTIF($BA$142:$EH$142,"D")</f>
        <v>0</v>
      </c>
      <c r="AW652" s="0" t="n">
        <f aca="false">COUNTIF($BA$142:$EH$142,"R")</f>
        <v>0</v>
      </c>
      <c r="AX652" s="0" t="n">
        <f aca="false"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>0</v>
      </c>
      <c r="AY652" s="0" t="n">
        <f aca="false">COUNTIF(DU652:EH652, "&lt;&gt;")</f>
        <v>0</v>
      </c>
      <c r="AZ652" s="0" t="n">
        <f aca="false">IF(EH652&lt;&gt;"",1,0)</f>
        <v>0</v>
      </c>
      <c r="BB652" s="0" t="s">
        <v>153</v>
      </c>
    </row>
    <row r="653" customFormat="false" ht="13.8" hidden="true" customHeight="false" outlineLevel="0" collapsed="false">
      <c r="A653" s="0" t="s">
        <v>3359</v>
      </c>
      <c r="B653" s="0" t="n">
        <v>78</v>
      </c>
      <c r="C653" s="0" t="n">
        <v>460386</v>
      </c>
      <c r="D653" s="0" t="s">
        <v>3360</v>
      </c>
      <c r="E653" s="0" t="s">
        <v>3361</v>
      </c>
      <c r="F653" s="0" t="str">
        <f aca="false">CONCATENATE(D653," ",LEFT(H653,4),"T=",AU653,"D=",AV653,"R=",AW653,"M=",AX653,"L=",AY653,"B=",AZ653)</f>
        <v>ROUPE T=15D=1R=0M=0L=0B=0</v>
      </c>
      <c r="G653" s="0" t="s">
        <v>1180</v>
      </c>
      <c r="I653" s="0" t="s">
        <v>3362</v>
      </c>
      <c r="J653" s="0" t="s">
        <v>3363</v>
      </c>
      <c r="K653" s="0" t="s">
        <v>175</v>
      </c>
      <c r="L653" s="0"/>
      <c r="M653" s="0" t="s">
        <v>3358</v>
      </c>
      <c r="N653" s="0" t="str">
        <f aca="false">RIGHT(M653,LEN(M653)-FIND(" ",M653))</f>
        <v>DANA ST NE</v>
      </c>
      <c r="P653" s="0" t="s">
        <v>146</v>
      </c>
      <c r="Q653" s="0" t="s">
        <v>147</v>
      </c>
      <c r="R653" s="0" t="n">
        <v>44483</v>
      </c>
      <c r="AD653" s="0" t="s">
        <v>148</v>
      </c>
      <c r="AE653" s="0" t="s">
        <v>149</v>
      </c>
      <c r="AF653" s="0" t="s">
        <v>150</v>
      </c>
      <c r="AH653" s="0" t="n">
        <v>14</v>
      </c>
      <c r="AI653" s="0" t="n">
        <v>11</v>
      </c>
      <c r="AN653" s="0" t="s">
        <v>146</v>
      </c>
      <c r="AO653" s="0" t="s">
        <v>236</v>
      </c>
      <c r="AP653" s="0" t="s">
        <v>237</v>
      </c>
      <c r="AQ653" s="0" t="n">
        <v>9</v>
      </c>
      <c r="AR653" s="0" t="n">
        <v>64</v>
      </c>
      <c r="AS653" s="0" t="n">
        <v>32</v>
      </c>
      <c r="AU653" s="0" t="n">
        <f aca="false">COUNTA($BA$457:$EH$457)</f>
        <v>15</v>
      </c>
      <c r="AV653" s="0" t="n">
        <f aca="false">COUNTIF($BA$457:$EH$457,"D")</f>
        <v>1</v>
      </c>
      <c r="AW653" s="0" t="n">
        <f aca="false">COUNTIF($BA$457:$EH$457,"R")</f>
        <v>0</v>
      </c>
      <c r="AX653" s="0" t="n">
        <f aca="false"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>0</v>
      </c>
      <c r="AY653" s="0" t="n">
        <f aca="false">COUNTIF(DU653:EH653, "&lt;&gt;")</f>
        <v>0</v>
      </c>
      <c r="AZ653" s="0" t="n">
        <f aca="false">IF(EH653&lt;&gt;"",1,0)</f>
        <v>0</v>
      </c>
      <c r="BB653" s="0" t="s">
        <v>153</v>
      </c>
    </row>
    <row r="654" customFormat="false" ht="13.8" hidden="true" customHeight="false" outlineLevel="0" collapsed="false">
      <c r="A654" s="0" t="s">
        <v>3364</v>
      </c>
      <c r="B654" s="0" t="n">
        <v>78</v>
      </c>
      <c r="C654" s="0" t="n">
        <v>462772</v>
      </c>
      <c r="D654" s="0" t="s">
        <v>1610</v>
      </c>
      <c r="E654" s="0" t="s">
        <v>750</v>
      </c>
      <c r="F654" s="0" t="str">
        <f aca="false">CONCATENATE(D654," ",LEFT(H654,4),"T=",AU654,"D=",AV654,"R=",AW654,"M=",AX654,"L=",AY654,"B=",AZ654)</f>
        <v>PRATT T=1D=0R=0M=0L=0B=0</v>
      </c>
      <c r="G654" s="0" t="s">
        <v>2303</v>
      </c>
      <c r="I654" s="0" t="s">
        <v>3365</v>
      </c>
      <c r="J654" s="0" t="s">
        <v>3366</v>
      </c>
      <c r="K654" s="0" t="s">
        <v>175</v>
      </c>
      <c r="L654" s="0"/>
      <c r="M654" s="0" t="s">
        <v>3367</v>
      </c>
      <c r="N654" s="0" t="str">
        <f aca="false">RIGHT(M654,LEN(M654)-FIND(" ",M654))</f>
        <v>DANA ST NE</v>
      </c>
      <c r="P654" s="0" t="s">
        <v>146</v>
      </c>
      <c r="Q654" s="0" t="s">
        <v>147</v>
      </c>
      <c r="R654" s="0" t="n">
        <v>44483</v>
      </c>
      <c r="AD654" s="0" t="s">
        <v>148</v>
      </c>
      <c r="AE654" s="0" t="s">
        <v>149</v>
      </c>
      <c r="AF654" s="0" t="s">
        <v>150</v>
      </c>
      <c r="AH654" s="0" t="n">
        <v>14</v>
      </c>
      <c r="AI654" s="0" t="n">
        <v>11</v>
      </c>
      <c r="AN654" s="0" t="s">
        <v>146</v>
      </c>
      <c r="AO654" s="0" t="s">
        <v>236</v>
      </c>
      <c r="AP654" s="0" t="s">
        <v>237</v>
      </c>
      <c r="AQ654" s="0" t="n">
        <v>9</v>
      </c>
      <c r="AR654" s="0" t="n">
        <v>64</v>
      </c>
      <c r="AS654" s="0" t="n">
        <v>32</v>
      </c>
      <c r="AU654" s="0" t="n">
        <f aca="false">COUNTA($BA$267:$EH$267)</f>
        <v>1</v>
      </c>
      <c r="AV654" s="0" t="n">
        <f aca="false">COUNTIF($BA$267:$EH$267,"D")</f>
        <v>0</v>
      </c>
      <c r="AW654" s="0" t="n">
        <f aca="false">COUNTIF($BA$267:$EH$267,"R")</f>
        <v>0</v>
      </c>
      <c r="AX654" s="0" t="n">
        <f aca="false"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>0</v>
      </c>
      <c r="AY654" s="0" t="n">
        <f aca="false">COUNTIF(DU654:EH654, "&lt;&gt;")</f>
        <v>0</v>
      </c>
      <c r="AZ654" s="0" t="n">
        <f aca="false">IF(EH654&lt;&gt;"",1,0)</f>
        <v>0</v>
      </c>
      <c r="BB654" s="0" t="s">
        <v>153</v>
      </c>
    </row>
    <row r="655" customFormat="false" ht="13.8" hidden="true" customHeight="false" outlineLevel="0" collapsed="false">
      <c r="A655" s="0" t="s">
        <v>3368</v>
      </c>
      <c r="B655" s="0" t="n">
        <v>78</v>
      </c>
      <c r="C655" s="0" t="n">
        <v>486623</v>
      </c>
      <c r="D655" s="0" t="s">
        <v>1610</v>
      </c>
      <c r="E655" s="0" t="s">
        <v>3369</v>
      </c>
      <c r="F655" s="0" t="str">
        <f aca="false">CONCATENATE(D655," ",LEFT(H655,4),"T=",AU655,"D=",AV655,"R=",AW655,"M=",AX655,"L=",AY655,"B=",AZ655)</f>
        <v>PRATT IIIT=16D=5R=1M=0L=1B=0</v>
      </c>
      <c r="G655" s="0" t="s">
        <v>202</v>
      </c>
      <c r="H655" s="0" t="s">
        <v>1175</v>
      </c>
      <c r="I655" s="0" t="s">
        <v>3370</v>
      </c>
      <c r="J655" s="0" t="s">
        <v>1777</v>
      </c>
      <c r="K655" s="0" t="s">
        <v>175</v>
      </c>
      <c r="L655" s="0"/>
      <c r="M655" s="0" t="s">
        <v>3367</v>
      </c>
      <c r="N655" s="0" t="str">
        <f aca="false">RIGHT(M655,LEN(M655)-FIND(" ",M655))</f>
        <v>DANA ST NE</v>
      </c>
      <c r="P655" s="0" t="s">
        <v>146</v>
      </c>
      <c r="Q655" s="0" t="s">
        <v>147</v>
      </c>
      <c r="R655" s="0" t="n">
        <v>44483</v>
      </c>
      <c r="AD655" s="0" t="s">
        <v>148</v>
      </c>
      <c r="AE655" s="0" t="s">
        <v>149</v>
      </c>
      <c r="AF655" s="0" t="s">
        <v>150</v>
      </c>
      <c r="AH655" s="0" t="n">
        <v>14</v>
      </c>
      <c r="AI655" s="0" t="n">
        <v>11</v>
      </c>
      <c r="AN655" s="0" t="s">
        <v>146</v>
      </c>
      <c r="AO655" s="0" t="s">
        <v>236</v>
      </c>
      <c r="AP655" s="0" t="s">
        <v>237</v>
      </c>
      <c r="AQ655" s="0" t="n">
        <v>9</v>
      </c>
      <c r="AR655" s="0" t="n">
        <v>64</v>
      </c>
      <c r="AS655" s="0" t="n">
        <v>32</v>
      </c>
      <c r="AU655" s="0" t="n">
        <f aca="false">COUNTA($BA$431:$EH$431)</f>
        <v>16</v>
      </c>
      <c r="AV655" s="0" t="n">
        <f aca="false">COUNTIF($BA$431:$EH$431,"D")</f>
        <v>5</v>
      </c>
      <c r="AW655" s="0" t="n">
        <f aca="false">COUNTIF($BA$431:$EH$431,"R")</f>
        <v>1</v>
      </c>
      <c r="AX655" s="0" t="n">
        <f aca="false"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>0</v>
      </c>
      <c r="AY655" s="0" t="n">
        <f aca="false">COUNTIF(DU655:EH655, "&lt;&gt;")</f>
        <v>1</v>
      </c>
      <c r="AZ655" s="0" t="n">
        <f aca="false">IF(EH655&lt;&gt;"",1,0)</f>
        <v>0</v>
      </c>
      <c r="BB655" s="0" t="s">
        <v>153</v>
      </c>
      <c r="BL655" s="0" t="s">
        <v>154</v>
      </c>
      <c r="CA655" s="0" t="s">
        <v>154</v>
      </c>
      <c r="CP655" s="0" t="s">
        <v>154</v>
      </c>
      <c r="EF655" s="0" t="s">
        <v>154</v>
      </c>
    </row>
    <row r="656" customFormat="false" ht="13.8" hidden="true" customHeight="false" outlineLevel="0" collapsed="false">
      <c r="A656" s="0" t="s">
        <v>3371</v>
      </c>
      <c r="B656" s="0" t="n">
        <v>78</v>
      </c>
      <c r="C656" s="0" t="n">
        <v>449824</v>
      </c>
      <c r="D656" s="0" t="s">
        <v>3372</v>
      </c>
      <c r="E656" s="0" t="s">
        <v>277</v>
      </c>
      <c r="F656" s="0" t="str">
        <f aca="false">CONCATENATE(D656," ",LEFT(H656,4),"T=",AU656,"D=",AV656,"R=",AW656,"M=",AX656,"L=",AY656,"B=",AZ656)</f>
        <v>LOUGH JRT=1D=0R=0M=0L=0B=0</v>
      </c>
      <c r="G656" s="0" t="s">
        <v>196</v>
      </c>
      <c r="H656" s="0" t="s">
        <v>431</v>
      </c>
      <c r="I656" s="0" t="s">
        <v>3373</v>
      </c>
      <c r="J656" s="0" t="s">
        <v>3374</v>
      </c>
      <c r="K656" s="0" t="s">
        <v>175</v>
      </c>
      <c r="L656" s="0"/>
      <c r="M656" s="0" t="s">
        <v>3375</v>
      </c>
      <c r="N656" s="0" t="str">
        <f aca="false">RIGHT(M656,LEN(M656)-FIND(" ",M656))</f>
        <v>DANA ST NE</v>
      </c>
      <c r="P656" s="0" t="s">
        <v>146</v>
      </c>
      <c r="Q656" s="0" t="s">
        <v>147</v>
      </c>
      <c r="R656" s="0" t="n">
        <v>44483</v>
      </c>
      <c r="AD656" s="0" t="s">
        <v>148</v>
      </c>
      <c r="AE656" s="0" t="s">
        <v>149</v>
      </c>
      <c r="AF656" s="0" t="s">
        <v>150</v>
      </c>
      <c r="AH656" s="0" t="n">
        <v>14</v>
      </c>
      <c r="AI656" s="0" t="n">
        <v>11</v>
      </c>
      <c r="AN656" s="0" t="s">
        <v>146</v>
      </c>
      <c r="AO656" s="0" t="s">
        <v>236</v>
      </c>
      <c r="AP656" s="0" t="s">
        <v>237</v>
      </c>
      <c r="AQ656" s="0" t="n">
        <v>9</v>
      </c>
      <c r="AR656" s="0" t="n">
        <v>64</v>
      </c>
      <c r="AS656" s="0" t="n">
        <v>32</v>
      </c>
      <c r="AU656" s="0" t="n">
        <f aca="false">COUNTA($BA$212:$EH$212)</f>
        <v>1</v>
      </c>
      <c r="AV656" s="0" t="n">
        <f aca="false">COUNTIF($BA$212:$EH$212,"D")</f>
        <v>0</v>
      </c>
      <c r="AW656" s="0" t="n">
        <f aca="false">COUNTIF($BA$212:$EH$212,"R")</f>
        <v>0</v>
      </c>
      <c r="AX656" s="0" t="n">
        <f aca="false"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>0</v>
      </c>
      <c r="AY656" s="0" t="n">
        <f aca="false">COUNTIF(DU656:EH656, "&lt;&gt;")</f>
        <v>0</v>
      </c>
      <c r="AZ656" s="0" t="n">
        <f aca="false">IF(EH656&lt;&gt;"",1,0)</f>
        <v>0</v>
      </c>
      <c r="BB656" s="0" t="s">
        <v>153</v>
      </c>
    </row>
    <row r="657" customFormat="false" ht="13.8" hidden="true" customHeight="false" outlineLevel="0" collapsed="false">
      <c r="A657" s="0" t="s">
        <v>3376</v>
      </c>
      <c r="B657" s="0" t="n">
        <v>78</v>
      </c>
      <c r="C657" s="0" t="n">
        <v>328248</v>
      </c>
      <c r="D657" s="0" t="s">
        <v>2334</v>
      </c>
      <c r="E657" s="0" t="s">
        <v>2060</v>
      </c>
      <c r="F657" s="0" t="str">
        <f aca="false">CONCATENATE(D657," ",LEFT(H657,4),"T=",AU657,"D=",AV657,"R=",AW657,"M=",AX657,"L=",AY657,"B=",AZ657)</f>
        <v>RICHARDS T=1D=0R=0M=0L=0B=0</v>
      </c>
      <c r="G657" s="0" t="s">
        <v>455</v>
      </c>
      <c r="I657" s="0" t="s">
        <v>3377</v>
      </c>
      <c r="J657" s="0" t="s">
        <v>782</v>
      </c>
      <c r="K657" s="0" t="s">
        <v>144</v>
      </c>
      <c r="L657" s="0"/>
      <c r="M657" s="0" t="s">
        <v>3378</v>
      </c>
      <c r="N657" s="0" t="str">
        <f aca="false">RIGHT(M657,LEN(M657)-FIND(" ",M657))</f>
        <v>DANA ST NE</v>
      </c>
      <c r="P657" s="0" t="s">
        <v>146</v>
      </c>
      <c r="Q657" s="0" t="s">
        <v>147</v>
      </c>
      <c r="R657" s="0" t="n">
        <v>44483</v>
      </c>
      <c r="AD657" s="0" t="s">
        <v>148</v>
      </c>
      <c r="AE657" s="0" t="s">
        <v>149</v>
      </c>
      <c r="AF657" s="0" t="s">
        <v>150</v>
      </c>
      <c r="AH657" s="0" t="n">
        <v>14</v>
      </c>
      <c r="AI657" s="0" t="n">
        <v>11</v>
      </c>
      <c r="AN657" s="0" t="s">
        <v>146</v>
      </c>
      <c r="AO657" s="0" t="s">
        <v>236</v>
      </c>
      <c r="AP657" s="0" t="s">
        <v>237</v>
      </c>
      <c r="AQ657" s="0" t="n">
        <v>9</v>
      </c>
      <c r="AR657" s="0" t="n">
        <v>64</v>
      </c>
      <c r="AS657" s="0" t="n">
        <v>32</v>
      </c>
      <c r="AU657" s="0" t="n">
        <f aca="false">COUNTA($BA$273:$EH$273)</f>
        <v>1</v>
      </c>
      <c r="AV657" s="0" t="n">
        <f aca="false">COUNTIF($BA$273:$EH$273,"D")</f>
        <v>0</v>
      </c>
      <c r="AW657" s="0" t="n">
        <f aca="false">COUNTIF($BA$273:$EH$273,"R")</f>
        <v>0</v>
      </c>
      <c r="AX657" s="0" t="n">
        <f aca="false"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>0</v>
      </c>
      <c r="AY657" s="0" t="n">
        <f aca="false">COUNTIF(DU657:EH657, "&lt;&gt;")</f>
        <v>0</v>
      </c>
      <c r="AZ657" s="0" t="n">
        <f aca="false">IF(EH657&lt;&gt;"",1,0)</f>
        <v>0</v>
      </c>
      <c r="BB657" s="0" t="s">
        <v>153</v>
      </c>
      <c r="BL657" s="0" t="s">
        <v>154</v>
      </c>
      <c r="CA657" s="0" t="s">
        <v>154</v>
      </c>
    </row>
    <row r="658" customFormat="false" ht="13.8" hidden="true" customHeight="false" outlineLevel="0" collapsed="false">
      <c r="A658" s="0" t="s">
        <v>3379</v>
      </c>
      <c r="B658" s="0" t="n">
        <v>78</v>
      </c>
      <c r="C658" s="0" t="n">
        <v>290569</v>
      </c>
      <c r="D658" s="0" t="s">
        <v>1577</v>
      </c>
      <c r="E658" s="0" t="s">
        <v>3380</v>
      </c>
      <c r="F658" s="0" t="str">
        <f aca="false">CONCATENATE(D658," ",LEFT(H658,4),"T=",AU658,"D=",AV658,"R=",AW658,"M=",AX658,"L=",AY658,"B=",AZ658)</f>
        <v>HECKROW T=13D=1R=0M=0L=0B=0</v>
      </c>
      <c r="G658" s="0" t="s">
        <v>188</v>
      </c>
      <c r="I658" s="0" t="s">
        <v>3381</v>
      </c>
      <c r="J658" s="0" t="s">
        <v>3382</v>
      </c>
      <c r="K658" s="0" t="s">
        <v>144</v>
      </c>
      <c r="L658" s="0"/>
      <c r="M658" s="0" t="s">
        <v>3383</v>
      </c>
      <c r="N658" s="0" t="str">
        <f aca="false">RIGHT(M658,LEN(M658)-FIND(" ",M658))</f>
        <v>DANA ST NE</v>
      </c>
      <c r="P658" s="0" t="s">
        <v>146</v>
      </c>
      <c r="Q658" s="0" t="s">
        <v>147</v>
      </c>
      <c r="R658" s="0" t="n">
        <v>44483</v>
      </c>
      <c r="AD658" s="0" t="s">
        <v>148</v>
      </c>
      <c r="AE658" s="0" t="s">
        <v>149</v>
      </c>
      <c r="AF658" s="0" t="s">
        <v>150</v>
      </c>
      <c r="AH658" s="0" t="n">
        <v>14</v>
      </c>
      <c r="AI658" s="0" t="n">
        <v>11</v>
      </c>
      <c r="AN658" s="0" t="s">
        <v>146</v>
      </c>
      <c r="AO658" s="0" t="s">
        <v>236</v>
      </c>
      <c r="AP658" s="0" t="s">
        <v>237</v>
      </c>
      <c r="AQ658" s="0" t="n">
        <v>9</v>
      </c>
      <c r="AR658" s="0" t="n">
        <v>64</v>
      </c>
      <c r="AS658" s="0" t="n">
        <v>32</v>
      </c>
      <c r="AU658" s="0" t="n">
        <f aca="false">COUNTA($BA$250:$EH$250)</f>
        <v>13</v>
      </c>
      <c r="AV658" s="0" t="n">
        <f aca="false">COUNTIF($BA$250:$EH$250,"D")</f>
        <v>1</v>
      </c>
      <c r="AW658" s="0" t="n">
        <f aca="false">COUNTIF($BA$250:$EH$250,"R")</f>
        <v>0</v>
      </c>
      <c r="AX658" s="0" t="n">
        <f aca="false"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>0</v>
      </c>
      <c r="AY658" s="0" t="n">
        <f aca="false">COUNTIF(DU658:EH658, "&lt;&gt;")</f>
        <v>0</v>
      </c>
      <c r="AZ658" s="0" t="n">
        <f aca="false">IF(EH658&lt;&gt;"",1,0)</f>
        <v>0</v>
      </c>
      <c r="BB658" s="0" t="s">
        <v>153</v>
      </c>
      <c r="BL658" s="0" t="s">
        <v>154</v>
      </c>
      <c r="BS658" s="0" t="s">
        <v>154</v>
      </c>
    </row>
    <row r="659" customFormat="false" ht="13.8" hidden="true" customHeight="false" outlineLevel="0" collapsed="false">
      <c r="A659" s="0" t="s">
        <v>3384</v>
      </c>
      <c r="B659" s="0" t="n">
        <v>78</v>
      </c>
      <c r="C659" s="0" t="n">
        <v>375276</v>
      </c>
      <c r="D659" s="0" t="s">
        <v>3385</v>
      </c>
      <c r="E659" s="0" t="s">
        <v>1472</v>
      </c>
      <c r="F659" s="0" t="str">
        <f aca="false">CONCATENATE(D659," ",LEFT(H659,4),"T=",AU659,"D=",AV659,"R=",AW659,"M=",AX659,"L=",AY659,"B=",AZ659)</f>
        <v>RHINE T=2D=0R=0M=0L=0B=0</v>
      </c>
      <c r="G659" s="0" t="s">
        <v>241</v>
      </c>
      <c r="I659" s="0" t="s">
        <v>3386</v>
      </c>
      <c r="J659" s="0" t="s">
        <v>575</v>
      </c>
      <c r="K659" s="0" t="s">
        <v>175</v>
      </c>
      <c r="L659" s="0"/>
      <c r="M659" s="0" t="s">
        <v>3387</v>
      </c>
      <c r="N659" s="0" t="str">
        <f aca="false">RIGHT(M659,LEN(M659)-FIND(" ",M659))</f>
        <v>DANA ST NE</v>
      </c>
      <c r="P659" s="0" t="s">
        <v>146</v>
      </c>
      <c r="Q659" s="0" t="s">
        <v>147</v>
      </c>
      <c r="R659" s="0" t="n">
        <v>44483</v>
      </c>
      <c r="AD659" s="0" t="s">
        <v>148</v>
      </c>
      <c r="AE659" s="0" t="s">
        <v>149</v>
      </c>
      <c r="AF659" s="0" t="s">
        <v>150</v>
      </c>
      <c r="AH659" s="0" t="n">
        <v>14</v>
      </c>
      <c r="AI659" s="0" t="n">
        <v>11</v>
      </c>
      <c r="AN659" s="0" t="s">
        <v>146</v>
      </c>
      <c r="AO659" s="0" t="s">
        <v>236</v>
      </c>
      <c r="AP659" s="0" t="s">
        <v>237</v>
      </c>
      <c r="AQ659" s="0" t="n">
        <v>9</v>
      </c>
      <c r="AR659" s="0" t="n">
        <v>64</v>
      </c>
      <c r="AS659" s="0" t="n">
        <v>32</v>
      </c>
      <c r="AU659" s="0" t="n">
        <f aca="false">COUNTA($BA$544:$EH$544)</f>
        <v>2</v>
      </c>
      <c r="AV659" s="0" t="n">
        <f aca="false">COUNTIF($BA$544:$EH$544,"D")</f>
        <v>0</v>
      </c>
      <c r="AW659" s="0" t="n">
        <f aca="false">COUNTIF($BA$544:$EH$544,"R")</f>
        <v>0</v>
      </c>
      <c r="AX659" s="0" t="n">
        <f aca="false"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>0</v>
      </c>
      <c r="AY659" s="0" t="n">
        <f aca="false">COUNTIF(DU659:EH659, "&lt;&gt;")</f>
        <v>0</v>
      </c>
      <c r="AZ659" s="0" t="n">
        <f aca="false">IF(EH659&lt;&gt;"",1,0)</f>
        <v>0</v>
      </c>
      <c r="BB659" s="0" t="s">
        <v>153</v>
      </c>
      <c r="CK659" s="0" t="s">
        <v>154</v>
      </c>
      <c r="CP659" s="0" t="s">
        <v>154</v>
      </c>
      <c r="CV659" s="0" t="s">
        <v>154</v>
      </c>
      <c r="CZ659" s="0" t="s">
        <v>155</v>
      </c>
      <c r="DC659" s="0" t="s">
        <v>154</v>
      </c>
      <c r="DM659" s="0" t="s">
        <v>155</v>
      </c>
      <c r="DN659" s="0" t="s">
        <v>154</v>
      </c>
    </row>
    <row r="660" customFormat="false" ht="13.8" hidden="false" customHeight="false" outlineLevel="0" collapsed="false">
      <c r="A660" s="0" t="s">
        <v>3388</v>
      </c>
      <c r="B660" s="0" t="n">
        <v>78</v>
      </c>
      <c r="C660" s="0" t="n">
        <v>419833</v>
      </c>
      <c r="D660" s="0" t="s">
        <v>3389</v>
      </c>
      <c r="E660" s="0" t="s">
        <v>3390</v>
      </c>
      <c r="F660" s="0" t="str">
        <f aca="false">CONCATENATE(D660," ",LEFT(H660,4),"T=",AU660,"D=",AV660,"R=",AW660,"M=",AX660,"L=",AY660,"B=",AZ660)</f>
        <v>MOODY T=6D=0R=0M=3L=3B=1</v>
      </c>
      <c r="G660" s="0" t="s">
        <v>317</v>
      </c>
      <c r="I660" s="0" t="s">
        <v>3391</v>
      </c>
      <c r="J660" s="0" t="s">
        <v>3392</v>
      </c>
      <c r="K660" s="0" t="s">
        <v>175</v>
      </c>
      <c r="L660" s="1" t="s">
        <v>155</v>
      </c>
      <c r="M660" s="0" t="s">
        <v>3393</v>
      </c>
      <c r="N660" s="0" t="str">
        <f aca="false">RIGHT(M660,LEN(M660)-FIND(" ",M660))</f>
        <v>DANA ST NE</v>
      </c>
      <c r="P660" s="0" t="s">
        <v>146</v>
      </c>
      <c r="Q660" s="0" t="s">
        <v>147</v>
      </c>
      <c r="R660" s="0" t="n">
        <v>44483</v>
      </c>
      <c r="AD660" s="0" t="s">
        <v>148</v>
      </c>
      <c r="AE660" s="0" t="s">
        <v>149</v>
      </c>
      <c r="AF660" s="0" t="s">
        <v>150</v>
      </c>
      <c r="AH660" s="0" t="n">
        <v>14</v>
      </c>
      <c r="AI660" s="0" t="n">
        <v>11</v>
      </c>
      <c r="AN660" s="0" t="s">
        <v>146</v>
      </c>
      <c r="AO660" s="0" t="s">
        <v>236</v>
      </c>
      <c r="AP660" s="0" t="s">
        <v>237</v>
      </c>
      <c r="AQ660" s="0" t="n">
        <v>9</v>
      </c>
      <c r="AR660" s="0" t="n">
        <v>64</v>
      </c>
      <c r="AS660" s="0" t="n">
        <v>32</v>
      </c>
      <c r="AU660" s="0" t="n">
        <f aca="false">COUNTA($BA$163:$EH$163)</f>
        <v>6</v>
      </c>
      <c r="AV660" s="0" t="n">
        <f aca="false">COUNTIF($BA$163:$EH$163,"D")</f>
        <v>0</v>
      </c>
      <c r="AW660" s="0" t="n">
        <f aca="false">COUNTIF($BA$163:$EH$163,"R")</f>
        <v>0</v>
      </c>
      <c r="AX660" s="0" t="n">
        <f aca="false"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>3</v>
      </c>
      <c r="AY660" s="0" t="n">
        <f aca="false">COUNTIF(DU660:EH660, "&lt;&gt;")</f>
        <v>3</v>
      </c>
      <c r="AZ660" s="0" t="n">
        <f aca="false">IF(EH660&lt;&gt;"",1,0)</f>
        <v>1</v>
      </c>
      <c r="BB660" s="0" t="s">
        <v>153</v>
      </c>
      <c r="DD660" s="0" t="s">
        <v>155</v>
      </c>
      <c r="DL660" s="0" t="s">
        <v>154</v>
      </c>
      <c r="DM660" s="0" t="s">
        <v>155</v>
      </c>
      <c r="DN660" s="0" t="s">
        <v>154</v>
      </c>
      <c r="DO660" s="0" t="s">
        <v>155</v>
      </c>
      <c r="ED660" s="0" t="s">
        <v>155</v>
      </c>
      <c r="EF660" s="0" t="s">
        <v>154</v>
      </c>
      <c r="EH660" s="0" t="s">
        <v>155</v>
      </c>
    </row>
    <row r="661" customFormat="false" ht="13.8" hidden="true" customHeight="false" outlineLevel="0" collapsed="false">
      <c r="A661" s="0" t="s">
        <v>3394</v>
      </c>
      <c r="B661" s="0" t="n">
        <v>78</v>
      </c>
      <c r="C661" s="0" t="n">
        <v>487626</v>
      </c>
      <c r="D661" s="0" t="s">
        <v>3395</v>
      </c>
      <c r="E661" s="0" t="s">
        <v>3396</v>
      </c>
      <c r="F661" s="0" t="str">
        <f aca="false">CONCATENATE(D661," ",LEFT(H661,4),"T=",AU661,"D=",AV661,"R=",AW661,"M=",AX661,"L=",AY661,"B=",AZ661)</f>
        <v>WEISSMAN T=7D=0R=1M=0L=0B=0</v>
      </c>
      <c r="G661" s="0" t="s">
        <v>241</v>
      </c>
      <c r="I661" s="0" t="s">
        <v>3397</v>
      </c>
      <c r="J661" s="0" t="s">
        <v>3343</v>
      </c>
      <c r="K661" s="0" t="s">
        <v>175</v>
      </c>
      <c r="L661" s="0"/>
      <c r="M661" s="0" t="s">
        <v>3398</v>
      </c>
      <c r="N661" s="0" t="str">
        <f aca="false">RIGHT(M661,LEN(M661)-FIND(" ",M661))</f>
        <v>DANA ST NE</v>
      </c>
      <c r="P661" s="0" t="s">
        <v>146</v>
      </c>
      <c r="Q661" s="0" t="s">
        <v>147</v>
      </c>
      <c r="R661" s="0" t="n">
        <v>44483</v>
      </c>
      <c r="AD661" s="0" t="s">
        <v>148</v>
      </c>
      <c r="AE661" s="0" t="s">
        <v>149</v>
      </c>
      <c r="AF661" s="0" t="s">
        <v>150</v>
      </c>
      <c r="AH661" s="0" t="n">
        <v>14</v>
      </c>
      <c r="AI661" s="0" t="n">
        <v>11</v>
      </c>
      <c r="AN661" s="0" t="s">
        <v>146</v>
      </c>
      <c r="AO661" s="0" t="s">
        <v>236</v>
      </c>
      <c r="AP661" s="0" t="s">
        <v>237</v>
      </c>
      <c r="AQ661" s="0" t="n">
        <v>9</v>
      </c>
      <c r="AR661" s="0" t="n">
        <v>64</v>
      </c>
      <c r="AS661" s="0" t="n">
        <v>32</v>
      </c>
      <c r="AU661" s="0" t="n">
        <f aca="false">COUNTA($BA$465:$EH$465)</f>
        <v>7</v>
      </c>
      <c r="AV661" s="0" t="n">
        <f aca="false">COUNTIF($BA$465:$EH$465,"D")</f>
        <v>0</v>
      </c>
      <c r="AW661" s="0" t="n">
        <f aca="false">COUNTIF($BA$465:$EH$465,"R")</f>
        <v>1</v>
      </c>
      <c r="AX661" s="0" t="n">
        <f aca="false"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>0</v>
      </c>
      <c r="AY661" s="0" t="n">
        <f aca="false">COUNTIF(DU661:EH661, "&lt;&gt;")</f>
        <v>0</v>
      </c>
      <c r="AZ661" s="0" t="n">
        <f aca="false">IF(EH661&lt;&gt;"",1,0)</f>
        <v>0</v>
      </c>
      <c r="BB661" s="0" t="s">
        <v>153</v>
      </c>
    </row>
    <row r="662" customFormat="false" ht="13.8" hidden="true" customHeight="false" outlineLevel="0" collapsed="false">
      <c r="A662" s="0" t="s">
        <v>3399</v>
      </c>
      <c r="B662" s="0" t="n">
        <v>78</v>
      </c>
      <c r="C662" s="0" t="n">
        <v>483461</v>
      </c>
      <c r="D662" s="0" t="s">
        <v>3395</v>
      </c>
      <c r="E662" s="0" t="s">
        <v>1640</v>
      </c>
      <c r="F662" s="0" t="str">
        <f aca="false">CONCATENATE(D662," ",LEFT(H662,4),"T=",AU662,"D=",AV662,"R=",AW662,"M=",AX662,"L=",AY662,"B=",AZ662)</f>
        <v>WEISSMAN T=24D=1R=0M=0L=0B=0</v>
      </c>
      <c r="G662" s="0" t="s">
        <v>750</v>
      </c>
      <c r="I662" s="0" t="s">
        <v>3400</v>
      </c>
      <c r="J662" s="0" t="s">
        <v>3401</v>
      </c>
      <c r="K662" s="0" t="s">
        <v>175</v>
      </c>
      <c r="L662" s="0"/>
      <c r="M662" s="0" t="s">
        <v>3398</v>
      </c>
      <c r="N662" s="0" t="str">
        <f aca="false">RIGHT(M662,LEN(M662)-FIND(" ",M662))</f>
        <v>DANA ST NE</v>
      </c>
      <c r="P662" s="0" t="s">
        <v>146</v>
      </c>
      <c r="Q662" s="0" t="s">
        <v>147</v>
      </c>
      <c r="R662" s="0" t="n">
        <v>44483</v>
      </c>
      <c r="AD662" s="0" t="s">
        <v>148</v>
      </c>
      <c r="AE662" s="0" t="s">
        <v>149</v>
      </c>
      <c r="AF662" s="0" t="s">
        <v>150</v>
      </c>
      <c r="AH662" s="0" t="n">
        <v>14</v>
      </c>
      <c r="AI662" s="0" t="n">
        <v>11</v>
      </c>
      <c r="AN662" s="0" t="s">
        <v>146</v>
      </c>
      <c r="AO662" s="0" t="s">
        <v>236</v>
      </c>
      <c r="AP662" s="0" t="s">
        <v>237</v>
      </c>
      <c r="AQ662" s="0" t="n">
        <v>9</v>
      </c>
      <c r="AR662" s="0" t="n">
        <v>64</v>
      </c>
      <c r="AS662" s="0" t="n">
        <v>32</v>
      </c>
      <c r="AU662" s="0" t="n">
        <f aca="false">COUNTA($BA$564:$EH$564)</f>
        <v>24</v>
      </c>
      <c r="AV662" s="0" t="n">
        <f aca="false">COUNTIF($BA$564:$EH$564,"D")</f>
        <v>1</v>
      </c>
      <c r="AW662" s="0" t="n">
        <f aca="false">COUNTIF($BA$564:$EH$564,"R")</f>
        <v>0</v>
      </c>
      <c r="AX662" s="0" t="n">
        <f aca="false"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>0</v>
      </c>
      <c r="AY662" s="0" t="n">
        <f aca="false">COUNTIF(DU662:EH662, "&lt;&gt;")</f>
        <v>0</v>
      </c>
      <c r="AZ662" s="0" t="n">
        <f aca="false">IF(EH662&lt;&gt;"",1,0)</f>
        <v>0</v>
      </c>
      <c r="BB662" s="0" t="s">
        <v>153</v>
      </c>
    </row>
    <row r="663" customFormat="false" ht="13.8" hidden="true" customHeight="false" outlineLevel="0" collapsed="false">
      <c r="A663" s="0" t="s">
        <v>3402</v>
      </c>
      <c r="B663" s="0" t="n">
        <v>78</v>
      </c>
      <c r="C663" s="0" t="n">
        <v>394149</v>
      </c>
      <c r="D663" s="0" t="s">
        <v>3403</v>
      </c>
      <c r="E663" s="0" t="s">
        <v>619</v>
      </c>
      <c r="F663" s="0" t="str">
        <f aca="false">CONCATENATE(D663," ",LEFT(H663,4),"T=",AU663,"D=",AV663,"R=",AW663,"M=",AX663,"L=",AY663,"B=",AZ663)</f>
        <v>NEWMILLER JRT=37D=8R=1M=0L=1B=0</v>
      </c>
      <c r="G663" s="0" t="s">
        <v>241</v>
      </c>
      <c r="H663" s="0" t="s">
        <v>431</v>
      </c>
      <c r="I663" s="0" t="s">
        <v>3404</v>
      </c>
      <c r="J663" s="0" t="s">
        <v>712</v>
      </c>
      <c r="K663" s="0" t="s">
        <v>175</v>
      </c>
      <c r="L663" s="0"/>
      <c r="M663" s="0" t="s">
        <v>3405</v>
      </c>
      <c r="N663" s="0" t="str">
        <f aca="false">RIGHT(M663,LEN(M663)-FIND(" ",M663))</f>
        <v>DANA ST NE</v>
      </c>
      <c r="P663" s="0" t="s">
        <v>146</v>
      </c>
      <c r="Q663" s="0" t="s">
        <v>147</v>
      </c>
      <c r="R663" s="0" t="n">
        <v>44483</v>
      </c>
      <c r="AD663" s="0" t="s">
        <v>148</v>
      </c>
      <c r="AE663" s="0" t="s">
        <v>149</v>
      </c>
      <c r="AF663" s="0" t="s">
        <v>150</v>
      </c>
      <c r="AH663" s="0" t="n">
        <v>14</v>
      </c>
      <c r="AI663" s="0" t="n">
        <v>11</v>
      </c>
      <c r="AN663" s="0" t="s">
        <v>146</v>
      </c>
      <c r="AO663" s="0" t="s">
        <v>236</v>
      </c>
      <c r="AP663" s="0" t="s">
        <v>237</v>
      </c>
      <c r="AQ663" s="0" t="n">
        <v>9</v>
      </c>
      <c r="AR663" s="0" t="n">
        <v>64</v>
      </c>
      <c r="AS663" s="0" t="n">
        <v>32</v>
      </c>
      <c r="AU663" s="0" t="n">
        <f aca="false">COUNTA($BA$692:$EH$692)</f>
        <v>37</v>
      </c>
      <c r="AV663" s="0" t="n">
        <f aca="false">COUNTIF($BA$692:$EH$692,"D")</f>
        <v>8</v>
      </c>
      <c r="AW663" s="0" t="n">
        <f aca="false">COUNTIF($BA$692:$EH$692,"R")</f>
        <v>1</v>
      </c>
      <c r="AX663" s="0" t="n">
        <f aca="false"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>0</v>
      </c>
      <c r="AY663" s="0" t="n">
        <f aca="false">COUNTIF(DU663:EH663, "&lt;&gt;")</f>
        <v>1</v>
      </c>
      <c r="AZ663" s="0" t="n">
        <f aca="false">IF(EH663&lt;&gt;"",1,0)</f>
        <v>0</v>
      </c>
      <c r="BB663" s="0" t="s">
        <v>153</v>
      </c>
      <c r="CV663" s="0" t="s">
        <v>154</v>
      </c>
      <c r="CY663" s="0" t="s">
        <v>154</v>
      </c>
      <c r="EF663" s="0" t="s">
        <v>154</v>
      </c>
    </row>
    <row r="664" customFormat="false" ht="13.8" hidden="false" customHeight="false" outlineLevel="0" collapsed="false">
      <c r="A664" s="0" t="s">
        <v>3406</v>
      </c>
      <c r="B664" s="0" t="n">
        <v>78</v>
      </c>
      <c r="C664" s="0" t="n">
        <v>4869</v>
      </c>
      <c r="D664" s="0" t="s">
        <v>3407</v>
      </c>
      <c r="E664" s="0" t="s">
        <v>3408</v>
      </c>
      <c r="F664" s="0" t="str">
        <f aca="false">CONCATENATE(D664," ",LEFT(H664,4),"T=",AU664,"D=",AV664,"R=",AW664,"M=",AX664,"L=",AY664,"B=",AZ664)</f>
        <v>POWERS T=2D=1R=0M=0L=2B=0</v>
      </c>
      <c r="G664" s="0" t="s">
        <v>664</v>
      </c>
      <c r="I664" s="0" t="s">
        <v>3409</v>
      </c>
      <c r="J664" s="0" t="s">
        <v>3410</v>
      </c>
      <c r="K664" s="0" t="s">
        <v>175</v>
      </c>
      <c r="M664" s="0" t="s">
        <v>3411</v>
      </c>
      <c r="N664" s="0" t="str">
        <f aca="false">RIGHT(M664,LEN(M664)-FIND(" ",M664))</f>
        <v>DANA ST NE</v>
      </c>
      <c r="P664" s="0" t="s">
        <v>146</v>
      </c>
      <c r="Q664" s="0" t="s">
        <v>147</v>
      </c>
      <c r="R664" s="0" t="n">
        <v>44483</v>
      </c>
      <c r="AD664" s="0" t="s">
        <v>148</v>
      </c>
      <c r="AE664" s="0" t="s">
        <v>149</v>
      </c>
      <c r="AF664" s="0" t="s">
        <v>150</v>
      </c>
      <c r="AH664" s="0" t="n">
        <v>14</v>
      </c>
      <c r="AI664" s="0" t="n">
        <v>11</v>
      </c>
      <c r="AN664" s="0" t="s">
        <v>146</v>
      </c>
      <c r="AO664" s="0" t="s">
        <v>236</v>
      </c>
      <c r="AP664" s="0" t="s">
        <v>237</v>
      </c>
      <c r="AQ664" s="0" t="n">
        <v>9</v>
      </c>
      <c r="AR664" s="0" t="n">
        <v>64</v>
      </c>
      <c r="AS664" s="0" t="n">
        <v>32</v>
      </c>
      <c r="AU664" s="0" t="n">
        <f aca="false">COUNTA($BA$870:$EH$870)</f>
        <v>2</v>
      </c>
      <c r="AV664" s="0" t="n">
        <f aca="false">COUNTIF($BA$870:$EH$870,"D")</f>
        <v>1</v>
      </c>
      <c r="AW664" s="0" t="n">
        <f aca="false">COUNTIF($BA$870:$EH$870,"R")</f>
        <v>0</v>
      </c>
      <c r="AX664" s="0" t="n">
        <f aca="false"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>0</v>
      </c>
      <c r="AY664" s="0" t="n">
        <f aca="false">COUNTIF(DU664:EH664, "&lt;&gt;")</f>
        <v>2</v>
      </c>
      <c r="AZ664" s="0" t="n">
        <f aca="false">IF(EH664&lt;&gt;"",1,0)</f>
        <v>0</v>
      </c>
      <c r="BB664" s="0" t="s">
        <v>153</v>
      </c>
      <c r="BD664" s="0" t="s">
        <v>154</v>
      </c>
      <c r="BE664" s="0" t="s">
        <v>154</v>
      </c>
      <c r="BI664" s="0" t="s">
        <v>154</v>
      </c>
      <c r="BJ664" s="0" t="s">
        <v>154</v>
      </c>
      <c r="BL664" s="0" t="s">
        <v>154</v>
      </c>
      <c r="BP664" s="0" t="s">
        <v>154</v>
      </c>
      <c r="BY664" s="0" t="s">
        <v>155</v>
      </c>
      <c r="CA664" s="0" t="s">
        <v>154</v>
      </c>
      <c r="CG664" s="0" t="s">
        <v>154</v>
      </c>
      <c r="CK664" s="0" t="s">
        <v>154</v>
      </c>
      <c r="CN664" s="0" t="s">
        <v>154</v>
      </c>
      <c r="CP664" s="0" t="s">
        <v>154</v>
      </c>
      <c r="DC664" s="0" t="s">
        <v>154</v>
      </c>
      <c r="DI664" s="0" t="s">
        <v>154</v>
      </c>
      <c r="DN664" s="0" t="s">
        <v>154</v>
      </c>
      <c r="DU664" s="0" t="s">
        <v>154</v>
      </c>
      <c r="EF664" s="0" t="s">
        <v>154</v>
      </c>
    </row>
    <row r="665" customFormat="false" ht="13.8" hidden="true" customHeight="false" outlineLevel="0" collapsed="false">
      <c r="A665" s="0" t="s">
        <v>3412</v>
      </c>
      <c r="B665" s="0" t="n">
        <v>78</v>
      </c>
      <c r="C665" s="0" t="n">
        <v>484001</v>
      </c>
      <c r="D665" s="0" t="s">
        <v>3413</v>
      </c>
      <c r="E665" s="0" t="s">
        <v>323</v>
      </c>
      <c r="F665" s="0" t="str">
        <f aca="false">CONCATENATE(D665," ",LEFT(H665,4),"T=",AU665,"D=",AV665,"R=",AW665,"M=",AX665,"L=",AY665,"B=",AZ665)</f>
        <v>BLAHA T=6D=0R=0M=0L=0B=0</v>
      </c>
      <c r="G665" s="0" t="s">
        <v>297</v>
      </c>
      <c r="I665" s="0" t="s">
        <v>3010</v>
      </c>
      <c r="J665" s="0" t="s">
        <v>3414</v>
      </c>
      <c r="K665" s="0" t="s">
        <v>175</v>
      </c>
      <c r="L665" s="0"/>
      <c r="M665" s="0" t="s">
        <v>3415</v>
      </c>
      <c r="N665" s="0" t="str">
        <f aca="false">RIGHT(M665,LEN(M665)-FIND(" ",M665))</f>
        <v>DANA ST NE</v>
      </c>
      <c r="P665" s="0" t="s">
        <v>146</v>
      </c>
      <c r="Q665" s="0" t="s">
        <v>147</v>
      </c>
      <c r="R665" s="0" t="n">
        <v>44483</v>
      </c>
      <c r="AD665" s="0" t="s">
        <v>148</v>
      </c>
      <c r="AE665" s="0" t="s">
        <v>149</v>
      </c>
      <c r="AF665" s="0" t="s">
        <v>150</v>
      </c>
      <c r="AH665" s="0" t="n">
        <v>14</v>
      </c>
      <c r="AI665" s="0" t="n">
        <v>11</v>
      </c>
      <c r="AN665" s="0" t="s">
        <v>146</v>
      </c>
      <c r="AO665" s="0" t="s">
        <v>236</v>
      </c>
      <c r="AP665" s="0" t="s">
        <v>237</v>
      </c>
      <c r="AQ665" s="0" t="n">
        <v>9</v>
      </c>
      <c r="AR665" s="0" t="n">
        <v>64</v>
      </c>
      <c r="AS665" s="0" t="n">
        <v>32</v>
      </c>
      <c r="AU665" s="0" t="n">
        <f aca="false">COUNTA($BA$1029:$EH$1029)</f>
        <v>6</v>
      </c>
      <c r="AV665" s="0" t="n">
        <f aca="false">COUNTIF($BA$1029:$EH$1029,"D")</f>
        <v>0</v>
      </c>
      <c r="AW665" s="0" t="n">
        <f aca="false">COUNTIF($BA$1029:$EH$1029,"R")</f>
        <v>0</v>
      </c>
      <c r="AX665" s="0" t="n">
        <f aca="false"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>0</v>
      </c>
      <c r="AY665" s="0" t="n">
        <f aca="false">COUNTIF(DU665:EH665, "&lt;&gt;")</f>
        <v>0</v>
      </c>
      <c r="AZ665" s="0" t="n">
        <f aca="false">IF(EH665&lt;&gt;"",1,0)</f>
        <v>0</v>
      </c>
      <c r="BB665" s="0" t="s">
        <v>153</v>
      </c>
    </row>
    <row r="666" customFormat="false" ht="13.8" hidden="false" customHeight="false" outlineLevel="0" collapsed="false">
      <c r="A666" s="0" t="s">
        <v>3416</v>
      </c>
      <c r="B666" s="0" t="n">
        <v>78</v>
      </c>
      <c r="C666" s="0" t="n">
        <v>331910</v>
      </c>
      <c r="D666" s="0" t="s">
        <v>1011</v>
      </c>
      <c r="E666" s="0" t="s">
        <v>232</v>
      </c>
      <c r="F666" s="0" t="str">
        <f aca="false">CONCATENATE(D666," ",LEFT(H666,4),"T=",AU666,"D=",AV666,"R=",AW666,"M=",AX666,"L=",AY666,"B=",AZ666)</f>
        <v>DAVIS IIIT=2D=0R=0M=1L=6B=1</v>
      </c>
      <c r="G666" s="0" t="s">
        <v>188</v>
      </c>
      <c r="H666" s="0" t="s">
        <v>1175</v>
      </c>
      <c r="I666" s="0" t="s">
        <v>3417</v>
      </c>
      <c r="J666" s="0" t="s">
        <v>3418</v>
      </c>
      <c r="K666" s="0" t="s">
        <v>175</v>
      </c>
      <c r="L666" s="1" t="s">
        <v>155</v>
      </c>
      <c r="M666" s="0" t="s">
        <v>3419</v>
      </c>
      <c r="N666" s="0" t="str">
        <f aca="false">RIGHT(M666,LEN(M666)-FIND(" ",M666))</f>
        <v>DANA ST NE</v>
      </c>
      <c r="P666" s="0" t="s">
        <v>146</v>
      </c>
      <c r="Q666" s="0" t="s">
        <v>147</v>
      </c>
      <c r="R666" s="0" t="n">
        <v>44483</v>
      </c>
      <c r="AD666" s="0" t="s">
        <v>148</v>
      </c>
      <c r="AE666" s="0" t="s">
        <v>149</v>
      </c>
      <c r="AF666" s="0" t="s">
        <v>150</v>
      </c>
      <c r="AH666" s="0" t="n">
        <v>14</v>
      </c>
      <c r="AI666" s="0" t="n">
        <v>11</v>
      </c>
      <c r="AN666" s="0" t="s">
        <v>146</v>
      </c>
      <c r="AO666" s="0" t="s">
        <v>236</v>
      </c>
      <c r="AP666" s="0" t="s">
        <v>237</v>
      </c>
      <c r="AQ666" s="0" t="n">
        <v>9</v>
      </c>
      <c r="AR666" s="0" t="n">
        <v>64</v>
      </c>
      <c r="AS666" s="0" t="n">
        <v>32</v>
      </c>
      <c r="AU666" s="0" t="n">
        <f aca="false">COUNTA($BA$705:$EH$705)</f>
        <v>2</v>
      </c>
      <c r="AV666" s="0" t="n">
        <f aca="false">COUNTIF($BA$705:$EH$705,"D")</f>
        <v>0</v>
      </c>
      <c r="AW666" s="0" t="n">
        <f aca="false">COUNTIF($BA$705:$EH$705,"R")</f>
        <v>0</v>
      </c>
      <c r="AX666" s="0" t="n">
        <f aca="false"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>1</v>
      </c>
      <c r="AY666" s="0" t="n">
        <f aca="false">COUNTIF(DU666:EH666, "&lt;&gt;")</f>
        <v>6</v>
      </c>
      <c r="AZ666" s="0" t="n">
        <f aca="false">IF(EH666&lt;&gt;"",1,0)</f>
        <v>1</v>
      </c>
      <c r="BB666" s="0" t="s">
        <v>153</v>
      </c>
      <c r="BL666" s="0" t="s">
        <v>154</v>
      </c>
      <c r="BP666" s="0" t="s">
        <v>154</v>
      </c>
      <c r="BS666" s="0" t="s">
        <v>154</v>
      </c>
      <c r="CA666" s="0" t="s">
        <v>154</v>
      </c>
      <c r="CK666" s="0" t="s">
        <v>154</v>
      </c>
      <c r="CP666" s="0" t="s">
        <v>154</v>
      </c>
      <c r="CV666" s="0" t="s">
        <v>154</v>
      </c>
      <c r="CY666" s="0" t="s">
        <v>154</v>
      </c>
      <c r="DC666" s="0" t="s">
        <v>154</v>
      </c>
      <c r="DI666" s="0" t="s">
        <v>154</v>
      </c>
      <c r="DL666" s="0" t="s">
        <v>154</v>
      </c>
      <c r="DN666" s="0" t="s">
        <v>154</v>
      </c>
      <c r="DS666" s="0" t="s">
        <v>176</v>
      </c>
      <c r="DT666" s="0" t="s">
        <v>176</v>
      </c>
      <c r="DU666" s="0" t="s">
        <v>154</v>
      </c>
      <c r="DW666" s="0" t="s">
        <v>154</v>
      </c>
      <c r="EA666" s="0" t="s">
        <v>154</v>
      </c>
      <c r="ED666" s="0" t="s">
        <v>155</v>
      </c>
      <c r="EF666" s="0" t="s">
        <v>154</v>
      </c>
      <c r="EH666" s="0" t="s">
        <v>155</v>
      </c>
    </row>
    <row r="667" customFormat="false" ht="13.8" hidden="true" customHeight="false" outlineLevel="0" collapsed="false">
      <c r="A667" s="0" t="s">
        <v>3420</v>
      </c>
      <c r="B667" s="0" t="n">
        <v>78</v>
      </c>
      <c r="C667" s="0" t="n">
        <v>263269</v>
      </c>
      <c r="D667" s="0" t="s">
        <v>3421</v>
      </c>
      <c r="E667" s="0" t="s">
        <v>698</v>
      </c>
      <c r="F667" s="0" t="str">
        <f aca="false">CONCATENATE(D667," ",LEFT(H667,4),"T=",AU667,"D=",AV667,"R=",AW667,"M=",AX667,"L=",AY667,"B=",AZ667)</f>
        <v>BANKSTON T=6D=1R=0M=0L=0B=0</v>
      </c>
      <c r="G667" s="0" t="s">
        <v>365</v>
      </c>
      <c r="I667" s="0" t="s">
        <v>3422</v>
      </c>
      <c r="J667" s="0" t="s">
        <v>3423</v>
      </c>
      <c r="K667" s="0" t="s">
        <v>144</v>
      </c>
      <c r="L667" s="0"/>
      <c r="M667" s="0" t="s">
        <v>3424</v>
      </c>
      <c r="N667" s="0" t="str">
        <f aca="false">RIGHT(M667,LEN(M667)-FIND(" ",M667))</f>
        <v>DANA ST NE</v>
      </c>
      <c r="P667" s="0" t="s">
        <v>146</v>
      </c>
      <c r="Q667" s="0" t="s">
        <v>147</v>
      </c>
      <c r="R667" s="0" t="n">
        <v>44483</v>
      </c>
      <c r="AD667" s="0" t="s">
        <v>148</v>
      </c>
      <c r="AE667" s="0" t="s">
        <v>149</v>
      </c>
      <c r="AF667" s="0" t="s">
        <v>150</v>
      </c>
      <c r="AH667" s="0" t="n">
        <v>14</v>
      </c>
      <c r="AI667" s="0" t="n">
        <v>11</v>
      </c>
      <c r="AN667" s="0" t="s">
        <v>146</v>
      </c>
      <c r="AO667" s="0" t="s">
        <v>236</v>
      </c>
      <c r="AP667" s="0" t="s">
        <v>237</v>
      </c>
      <c r="AQ667" s="0" t="n">
        <v>9</v>
      </c>
      <c r="AR667" s="0" t="n">
        <v>64</v>
      </c>
      <c r="AS667" s="0" t="n">
        <v>32</v>
      </c>
      <c r="AU667" s="0" t="n">
        <f aca="false">COUNTA($BA$708:$EH$708)</f>
        <v>6</v>
      </c>
      <c r="AV667" s="0" t="n">
        <f aca="false">COUNTIF($BA$708:$EH$708,"D")</f>
        <v>1</v>
      </c>
      <c r="AW667" s="0" t="n">
        <f aca="false">COUNTIF($BA$708:$EH$708,"R")</f>
        <v>0</v>
      </c>
      <c r="AX667" s="0" t="n">
        <f aca="false"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>0</v>
      </c>
      <c r="AY667" s="0" t="n">
        <f aca="false">COUNTIF(DU667:EH667, "&lt;&gt;")</f>
        <v>0</v>
      </c>
      <c r="AZ667" s="0" t="n">
        <f aca="false">IF(EH667&lt;&gt;"",1,0)</f>
        <v>0</v>
      </c>
      <c r="BB667" s="0" t="s">
        <v>153</v>
      </c>
      <c r="BC667" s="0" t="s">
        <v>154</v>
      </c>
      <c r="BD667" s="0" t="s">
        <v>154</v>
      </c>
      <c r="BE667" s="0" t="s">
        <v>154</v>
      </c>
      <c r="BG667" s="0" t="s">
        <v>154</v>
      </c>
      <c r="BI667" s="0" t="s">
        <v>154</v>
      </c>
      <c r="BJ667" s="0" t="s">
        <v>154</v>
      </c>
      <c r="BK667" s="0" t="s">
        <v>154</v>
      </c>
      <c r="BL667" s="0" t="s">
        <v>154</v>
      </c>
      <c r="BP667" s="0" t="s">
        <v>154</v>
      </c>
    </row>
    <row r="668" customFormat="false" ht="13.8" hidden="true" customHeight="false" outlineLevel="0" collapsed="false">
      <c r="A668" s="0" t="s">
        <v>3425</v>
      </c>
      <c r="B668" s="0" t="n">
        <v>78</v>
      </c>
      <c r="C668" s="0" t="n">
        <v>486845</v>
      </c>
      <c r="D668" s="0" t="s">
        <v>3426</v>
      </c>
      <c r="E668" s="0" t="s">
        <v>3427</v>
      </c>
      <c r="F668" s="0" t="str">
        <f aca="false">CONCATENATE(D668," ",LEFT(H668,4),"T=",AU668,"D=",AV668,"R=",AW668,"M=",AX668,"L=",AY668,"B=",AZ668)</f>
        <v>BUMBICO T=10D=0R=0M=0L=0B=0</v>
      </c>
      <c r="I668" s="0" t="s">
        <v>3428</v>
      </c>
      <c r="J668" s="0" t="s">
        <v>1030</v>
      </c>
      <c r="K668" s="0" t="s">
        <v>175</v>
      </c>
      <c r="L668" s="0"/>
      <c r="M668" s="0" t="s">
        <v>3429</v>
      </c>
      <c r="N668" s="0" t="str">
        <f aca="false">RIGHT(M668,LEN(M668)-FIND(" ",M668))</f>
        <v>DANA ST NE</v>
      </c>
      <c r="P668" s="0" t="s">
        <v>146</v>
      </c>
      <c r="Q668" s="0" t="s">
        <v>147</v>
      </c>
      <c r="R668" s="0" t="n">
        <v>44483</v>
      </c>
      <c r="AD668" s="0" t="s">
        <v>148</v>
      </c>
      <c r="AE668" s="0" t="s">
        <v>149</v>
      </c>
      <c r="AF668" s="0" t="s">
        <v>150</v>
      </c>
      <c r="AH668" s="0" t="n">
        <v>14</v>
      </c>
      <c r="AI668" s="0" t="n">
        <v>11</v>
      </c>
      <c r="AN668" s="0" t="s">
        <v>146</v>
      </c>
      <c r="AO668" s="0" t="s">
        <v>236</v>
      </c>
      <c r="AP668" s="0" t="s">
        <v>237</v>
      </c>
      <c r="AQ668" s="0" t="n">
        <v>9</v>
      </c>
      <c r="AR668" s="0" t="n">
        <v>64</v>
      </c>
      <c r="AS668" s="0" t="n">
        <v>32</v>
      </c>
      <c r="AU668" s="0" t="n">
        <f aca="false">COUNTA($BA$454:$EH$454)</f>
        <v>10</v>
      </c>
      <c r="AV668" s="0" t="n">
        <f aca="false">COUNTIF($BA$454:$EH$454,"D")</f>
        <v>0</v>
      </c>
      <c r="AW668" s="0" t="n">
        <f aca="false">COUNTIF($BA$454:$EH$454,"R")</f>
        <v>0</v>
      </c>
      <c r="AX668" s="0" t="n">
        <f aca="false"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>0</v>
      </c>
      <c r="AY668" s="0" t="n">
        <f aca="false">COUNTIF(DU668:EH668, "&lt;&gt;")</f>
        <v>0</v>
      </c>
      <c r="AZ668" s="0" t="n">
        <f aca="false">IF(EH668&lt;&gt;"",1,0)</f>
        <v>0</v>
      </c>
      <c r="BB668" s="0" t="s">
        <v>153</v>
      </c>
    </row>
    <row r="669" customFormat="false" ht="13.8" hidden="true" customHeight="false" outlineLevel="0" collapsed="false">
      <c r="A669" s="0" t="s">
        <v>3430</v>
      </c>
      <c r="B669" s="0" t="n">
        <v>78</v>
      </c>
      <c r="C669" s="0" t="n">
        <v>487836</v>
      </c>
      <c r="D669" s="0" t="s">
        <v>3426</v>
      </c>
      <c r="E669" s="0" t="s">
        <v>3431</v>
      </c>
      <c r="F669" s="0" t="str">
        <f aca="false">CONCATENATE(D669," ",LEFT(H669,4),"T=",AU669,"D=",AV669,"R=",AW669,"M=",AX669,"L=",AY669,"B=",AZ669)</f>
        <v>BUMBICO T=1D=0R=0M=0L=0B=0</v>
      </c>
      <c r="G669" s="0" t="s">
        <v>176</v>
      </c>
      <c r="I669" s="0" t="s">
        <v>3432</v>
      </c>
      <c r="J669" s="0" t="s">
        <v>845</v>
      </c>
      <c r="K669" s="0" t="s">
        <v>175</v>
      </c>
      <c r="L669" s="0"/>
      <c r="M669" s="0" t="s">
        <v>3429</v>
      </c>
      <c r="N669" s="0" t="str">
        <f aca="false">RIGHT(M669,LEN(M669)-FIND(" ",M669))</f>
        <v>DANA ST NE</v>
      </c>
      <c r="P669" s="0" t="s">
        <v>146</v>
      </c>
      <c r="Q669" s="0" t="s">
        <v>147</v>
      </c>
      <c r="R669" s="0" t="n">
        <v>44483</v>
      </c>
      <c r="AD669" s="0" t="s">
        <v>148</v>
      </c>
      <c r="AE669" s="0" t="s">
        <v>149</v>
      </c>
      <c r="AF669" s="0" t="s">
        <v>150</v>
      </c>
      <c r="AH669" s="0" t="n">
        <v>14</v>
      </c>
      <c r="AI669" s="0" t="n">
        <v>11</v>
      </c>
      <c r="AN669" s="0" t="s">
        <v>146</v>
      </c>
      <c r="AO669" s="0" t="s">
        <v>236</v>
      </c>
      <c r="AP669" s="0" t="s">
        <v>237</v>
      </c>
      <c r="AQ669" s="0" t="n">
        <v>9</v>
      </c>
      <c r="AR669" s="0" t="n">
        <v>64</v>
      </c>
      <c r="AS669" s="0" t="n">
        <v>32</v>
      </c>
      <c r="AU669" s="0" t="n">
        <f aca="false">COUNTA($BA$961:$EH$961)</f>
        <v>1</v>
      </c>
      <c r="AV669" s="0" t="n">
        <f aca="false">COUNTIF($BA$961:$EH$961,"D")</f>
        <v>0</v>
      </c>
      <c r="AW669" s="0" t="n">
        <f aca="false">COUNTIF($BA$961:$EH$961,"R")</f>
        <v>0</v>
      </c>
      <c r="AX669" s="0" t="n">
        <f aca="false"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>0</v>
      </c>
      <c r="AY669" s="0" t="n">
        <f aca="false">COUNTIF(DU669:EH669, "&lt;&gt;")</f>
        <v>0</v>
      </c>
      <c r="AZ669" s="0" t="n">
        <f aca="false">IF(EH669&lt;&gt;"",1,0)</f>
        <v>0</v>
      </c>
      <c r="BB669" s="0" t="s">
        <v>153</v>
      </c>
    </row>
    <row r="670" customFormat="false" ht="13.8" hidden="false" customHeight="false" outlineLevel="0" collapsed="false">
      <c r="A670" s="0" t="s">
        <v>3433</v>
      </c>
      <c r="B670" s="0" t="n">
        <v>78</v>
      </c>
      <c r="C670" s="0" t="n">
        <v>211862</v>
      </c>
      <c r="D670" s="0" t="s">
        <v>3434</v>
      </c>
      <c r="E670" s="0" t="s">
        <v>3435</v>
      </c>
      <c r="F670" s="0" t="str">
        <f aca="false">CONCATENATE(D670," ",LEFT(H670,4),"T=",AU670,"D=",AV670,"R=",AW670,"M=",AX670,"L=",AY670,"B=",AZ670)</f>
        <v>FICKES T=1D=0R=0M=0L=4B=0</v>
      </c>
      <c r="G670" s="0" t="s">
        <v>241</v>
      </c>
      <c r="I670" s="0" t="s">
        <v>3436</v>
      </c>
      <c r="J670" s="0" t="s">
        <v>3437</v>
      </c>
      <c r="K670" s="0" t="s">
        <v>175</v>
      </c>
      <c r="M670" s="0" t="s">
        <v>3438</v>
      </c>
      <c r="N670" s="0" t="str">
        <f aca="false">RIGHT(M670,LEN(M670)-FIND(" ",M670))</f>
        <v>DANA ST NE</v>
      </c>
      <c r="P670" s="0" t="s">
        <v>146</v>
      </c>
      <c r="Q670" s="0" t="s">
        <v>147</v>
      </c>
      <c r="R670" s="0" t="n">
        <v>44483</v>
      </c>
      <c r="AD670" s="0" t="s">
        <v>148</v>
      </c>
      <c r="AE670" s="0" t="s">
        <v>149</v>
      </c>
      <c r="AF670" s="0" t="s">
        <v>150</v>
      </c>
      <c r="AH670" s="0" t="n">
        <v>14</v>
      </c>
      <c r="AI670" s="0" t="n">
        <v>11</v>
      </c>
      <c r="AN670" s="0" t="s">
        <v>146</v>
      </c>
      <c r="AO670" s="0" t="s">
        <v>236</v>
      </c>
      <c r="AP670" s="0" t="s">
        <v>237</v>
      </c>
      <c r="AQ670" s="0" t="n">
        <v>9</v>
      </c>
      <c r="AR670" s="0" t="n">
        <v>64</v>
      </c>
      <c r="AS670" s="0" t="n">
        <v>32</v>
      </c>
      <c r="AU670" s="0" t="n">
        <f aca="false">COUNTA($BA$889:$EH$889)</f>
        <v>1</v>
      </c>
      <c r="AV670" s="0" t="n">
        <f aca="false">COUNTIF($BA$889:$EH$889,"D")</f>
        <v>0</v>
      </c>
      <c r="AW670" s="0" t="n">
        <f aca="false">COUNTIF($BA$889:$EH$889,"R")</f>
        <v>0</v>
      </c>
      <c r="AX670" s="0" t="n">
        <f aca="false"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>0</v>
      </c>
      <c r="AY670" s="0" t="n">
        <f aca="false">COUNTIF(DU670:EH670, "&lt;&gt;")</f>
        <v>4</v>
      </c>
      <c r="AZ670" s="0" t="n">
        <f aca="false">IF(EH670&lt;&gt;"",1,0)</f>
        <v>0</v>
      </c>
      <c r="BB670" s="0" t="s">
        <v>153</v>
      </c>
      <c r="BD670" s="0" t="s">
        <v>154</v>
      </c>
      <c r="BH670" s="0" t="s">
        <v>154</v>
      </c>
      <c r="BJ670" s="0" t="s">
        <v>154</v>
      </c>
      <c r="BL670" s="0" t="s">
        <v>154</v>
      </c>
      <c r="BS670" s="0" t="s">
        <v>154</v>
      </c>
      <c r="CA670" s="0" t="s">
        <v>154</v>
      </c>
      <c r="CG670" s="0" t="s">
        <v>154</v>
      </c>
      <c r="CK670" s="0" t="s">
        <v>154</v>
      </c>
      <c r="CN670" s="0" t="s">
        <v>154</v>
      </c>
      <c r="CP670" s="0" t="s">
        <v>154</v>
      </c>
      <c r="CV670" s="0" t="s">
        <v>154</v>
      </c>
      <c r="CZ670" s="0" t="s">
        <v>176</v>
      </c>
      <c r="DC670" s="0" t="s">
        <v>154</v>
      </c>
      <c r="DI670" s="0" t="s">
        <v>154</v>
      </c>
      <c r="DN670" s="0" t="s">
        <v>154</v>
      </c>
      <c r="DU670" s="0" t="s">
        <v>154</v>
      </c>
      <c r="DX670" s="0" t="s">
        <v>154</v>
      </c>
      <c r="EA670" s="0" t="s">
        <v>154</v>
      </c>
      <c r="EF670" s="0" t="s">
        <v>154</v>
      </c>
    </row>
    <row r="671" customFormat="false" ht="13.8" hidden="false" customHeight="false" outlineLevel="0" collapsed="false">
      <c r="A671" s="0" t="s">
        <v>3439</v>
      </c>
      <c r="B671" s="0" t="n">
        <v>78</v>
      </c>
      <c r="C671" s="0" t="n">
        <v>211859</v>
      </c>
      <c r="D671" s="0" t="s">
        <v>3434</v>
      </c>
      <c r="E671" s="0" t="s">
        <v>3440</v>
      </c>
      <c r="F671" s="0" t="str">
        <f aca="false">CONCATENATE(D671," ",LEFT(H671,4),"T=",AU671,"D=",AV671,"R=",AW671,"M=",AX671,"L=",AY671,"B=",AZ671)</f>
        <v>FICKES IIT=1D=0R=0M=0L=4B=0</v>
      </c>
      <c r="G671" s="0" t="s">
        <v>563</v>
      </c>
      <c r="H671" s="0" t="s">
        <v>598</v>
      </c>
      <c r="I671" s="0" t="s">
        <v>3441</v>
      </c>
      <c r="J671" s="0" t="s">
        <v>3437</v>
      </c>
      <c r="K671" s="0" t="s">
        <v>175</v>
      </c>
      <c r="M671" s="0" t="s">
        <v>3438</v>
      </c>
      <c r="N671" s="0" t="str">
        <f aca="false">RIGHT(M671,LEN(M671)-FIND(" ",M671))</f>
        <v>DANA ST NE</v>
      </c>
      <c r="P671" s="0" t="s">
        <v>146</v>
      </c>
      <c r="Q671" s="0" t="s">
        <v>147</v>
      </c>
      <c r="R671" s="0" t="n">
        <v>44483</v>
      </c>
      <c r="AD671" s="0" t="s">
        <v>148</v>
      </c>
      <c r="AE671" s="0" t="s">
        <v>149</v>
      </c>
      <c r="AF671" s="0" t="s">
        <v>150</v>
      </c>
      <c r="AH671" s="0" t="n">
        <v>14</v>
      </c>
      <c r="AI671" s="0" t="n">
        <v>11</v>
      </c>
      <c r="AN671" s="0" t="s">
        <v>146</v>
      </c>
      <c r="AO671" s="0" t="s">
        <v>236</v>
      </c>
      <c r="AP671" s="0" t="s">
        <v>237</v>
      </c>
      <c r="AQ671" s="0" t="n">
        <v>9</v>
      </c>
      <c r="AR671" s="0" t="n">
        <v>64</v>
      </c>
      <c r="AS671" s="0" t="n">
        <v>32</v>
      </c>
      <c r="AU671" s="0" t="n">
        <f aca="false">COUNTA($BA$893:$EH$893)</f>
        <v>1</v>
      </c>
      <c r="AV671" s="0" t="n">
        <f aca="false">COUNTIF($BA$893:$EH$893,"D")</f>
        <v>0</v>
      </c>
      <c r="AW671" s="0" t="n">
        <f aca="false">COUNTIF($BA$893:$EH$893,"R")</f>
        <v>0</v>
      </c>
      <c r="AX671" s="0" t="n">
        <f aca="false"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>0</v>
      </c>
      <c r="AY671" s="0" t="n">
        <f aca="false">COUNTIF(DU671:EH671, "&lt;&gt;")</f>
        <v>4</v>
      </c>
      <c r="AZ671" s="0" t="n">
        <f aca="false">IF(EH671&lt;&gt;"",1,0)</f>
        <v>0</v>
      </c>
      <c r="BB671" s="0" t="s">
        <v>153</v>
      </c>
      <c r="BD671" s="0" t="s">
        <v>154</v>
      </c>
      <c r="BH671" s="0" t="s">
        <v>154</v>
      </c>
      <c r="BJ671" s="0" t="s">
        <v>154</v>
      </c>
      <c r="BL671" s="0" t="s">
        <v>154</v>
      </c>
      <c r="BS671" s="0" t="s">
        <v>154</v>
      </c>
      <c r="CA671" s="0" t="s">
        <v>154</v>
      </c>
      <c r="CG671" s="0" t="s">
        <v>154</v>
      </c>
      <c r="CK671" s="0" t="s">
        <v>154</v>
      </c>
      <c r="CN671" s="0" t="s">
        <v>154</v>
      </c>
      <c r="CP671" s="0" t="s">
        <v>154</v>
      </c>
      <c r="CV671" s="0" t="s">
        <v>154</v>
      </c>
      <c r="CZ671" s="0" t="s">
        <v>176</v>
      </c>
      <c r="DC671" s="0" t="s">
        <v>154</v>
      </c>
      <c r="DI671" s="0" t="s">
        <v>154</v>
      </c>
      <c r="DN671" s="0" t="s">
        <v>154</v>
      </c>
      <c r="DU671" s="0" t="s">
        <v>154</v>
      </c>
      <c r="DX671" s="0" t="s">
        <v>154</v>
      </c>
      <c r="EA671" s="0" t="s">
        <v>154</v>
      </c>
      <c r="EF671" s="0" t="s">
        <v>154</v>
      </c>
    </row>
    <row r="672" customFormat="false" ht="13.8" hidden="true" customHeight="false" outlineLevel="0" collapsed="false">
      <c r="A672" s="0" t="s">
        <v>3442</v>
      </c>
      <c r="B672" s="0" t="n">
        <v>78</v>
      </c>
      <c r="C672" s="0" t="n">
        <v>485745</v>
      </c>
      <c r="D672" s="0" t="s">
        <v>2473</v>
      </c>
      <c r="E672" s="0" t="s">
        <v>1341</v>
      </c>
      <c r="F672" s="0" t="str">
        <f aca="false">CONCATENATE(D672," ",LEFT(H672,4),"T=",AU672,"D=",AV672,"R=",AW672,"M=",AX672,"L=",AY672,"B=",AZ672)</f>
        <v>BATES T=23D=4R=0M=0L=1B=0</v>
      </c>
      <c r="G672" s="0" t="s">
        <v>317</v>
      </c>
      <c r="I672" s="0" t="s">
        <v>3443</v>
      </c>
      <c r="J672" s="0" t="s">
        <v>1489</v>
      </c>
      <c r="K672" s="0" t="s">
        <v>175</v>
      </c>
      <c r="L672" s="0"/>
      <c r="M672" s="0" t="s">
        <v>3444</v>
      </c>
      <c r="N672" s="0" t="str">
        <f aca="false">RIGHT(M672,LEN(M672)-FIND(" ",M672))</f>
        <v>DANA ST NE</v>
      </c>
      <c r="P672" s="0" t="s">
        <v>146</v>
      </c>
      <c r="Q672" s="0" t="s">
        <v>147</v>
      </c>
      <c r="R672" s="0" t="n">
        <v>44483</v>
      </c>
      <c r="AD672" s="0" t="s">
        <v>148</v>
      </c>
      <c r="AE672" s="0" t="s">
        <v>149</v>
      </c>
      <c r="AF672" s="0" t="s">
        <v>150</v>
      </c>
      <c r="AH672" s="0" t="n">
        <v>14</v>
      </c>
      <c r="AI672" s="0" t="n">
        <v>11</v>
      </c>
      <c r="AN672" s="0" t="s">
        <v>146</v>
      </c>
      <c r="AO672" s="0" t="s">
        <v>236</v>
      </c>
      <c r="AP672" s="0" t="s">
        <v>237</v>
      </c>
      <c r="AQ672" s="0" t="n">
        <v>9</v>
      </c>
      <c r="AR672" s="0" t="n">
        <v>64</v>
      </c>
      <c r="AS672" s="0" t="n">
        <v>32</v>
      </c>
      <c r="AU672" s="0" t="n">
        <f aca="false">COUNTA($BA$190:$EH$190)</f>
        <v>23</v>
      </c>
      <c r="AV672" s="0" t="n">
        <f aca="false">COUNTIF($BA$190:$EH$190,"D")</f>
        <v>4</v>
      </c>
      <c r="AW672" s="0" t="n">
        <f aca="false">COUNTIF($BA$190:$EH$190,"R")</f>
        <v>0</v>
      </c>
      <c r="AX672" s="0" t="n">
        <f aca="false"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>0</v>
      </c>
      <c r="AY672" s="0" t="n">
        <f aca="false">COUNTIF(DU672:EH672, "&lt;&gt;")</f>
        <v>1</v>
      </c>
      <c r="AZ672" s="0" t="n">
        <f aca="false">IF(EH672&lt;&gt;"",1,0)</f>
        <v>0</v>
      </c>
      <c r="BB672" s="0" t="s">
        <v>153</v>
      </c>
      <c r="EF672" s="0" t="s">
        <v>154</v>
      </c>
    </row>
    <row r="673" customFormat="false" ht="13.8" hidden="true" customHeight="false" outlineLevel="0" collapsed="false">
      <c r="A673" s="0" t="s">
        <v>3445</v>
      </c>
      <c r="B673" s="0" t="n">
        <v>78</v>
      </c>
      <c r="C673" s="0" t="n">
        <v>488537</v>
      </c>
      <c r="D673" s="0" t="s">
        <v>3446</v>
      </c>
      <c r="E673" s="0" t="s">
        <v>3447</v>
      </c>
      <c r="F673" s="0" t="str">
        <f aca="false">CONCATENATE(D673," ",LEFT(H673,4),"T=",AU673,"D=",AV673,"R=",AW673,"M=",AX673,"L=",AY673,"B=",AZ673)</f>
        <v>MCKIVER T=9D=0R=0M=0L=1B=0</v>
      </c>
      <c r="G673" s="0" t="s">
        <v>297</v>
      </c>
      <c r="I673" s="0" t="s">
        <v>3448</v>
      </c>
      <c r="J673" s="0" t="s">
        <v>600</v>
      </c>
      <c r="K673" s="0" t="s">
        <v>175</v>
      </c>
      <c r="L673" s="0"/>
      <c r="M673" s="0" t="s">
        <v>3444</v>
      </c>
      <c r="N673" s="0" t="str">
        <f aca="false">RIGHT(M673,LEN(M673)-FIND(" ",M673))</f>
        <v>DANA ST NE</v>
      </c>
      <c r="P673" s="0" t="s">
        <v>146</v>
      </c>
      <c r="Q673" s="0" t="s">
        <v>147</v>
      </c>
      <c r="R673" s="0" t="n">
        <v>44483</v>
      </c>
      <c r="AD673" s="0" t="s">
        <v>148</v>
      </c>
      <c r="AE673" s="0" t="s">
        <v>149</v>
      </c>
      <c r="AF673" s="0" t="s">
        <v>150</v>
      </c>
      <c r="AH673" s="0" t="n">
        <v>14</v>
      </c>
      <c r="AI673" s="0" t="n">
        <v>11</v>
      </c>
      <c r="AN673" s="0" t="s">
        <v>146</v>
      </c>
      <c r="AO673" s="0" t="s">
        <v>236</v>
      </c>
      <c r="AP673" s="0" t="s">
        <v>237</v>
      </c>
      <c r="AQ673" s="0" t="n">
        <v>9</v>
      </c>
      <c r="AR673" s="0" t="n">
        <v>64</v>
      </c>
      <c r="AS673" s="0" t="n">
        <v>32</v>
      </c>
      <c r="AU673" s="0" t="n">
        <f aca="false">COUNTA($BA$495:$EH$495)</f>
        <v>9</v>
      </c>
      <c r="AV673" s="0" t="n">
        <f aca="false">COUNTIF($BA$495:$EH$495,"D")</f>
        <v>0</v>
      </c>
      <c r="AW673" s="0" t="n">
        <f aca="false">COUNTIF($BA$495:$EH$495,"R")</f>
        <v>0</v>
      </c>
      <c r="AX673" s="0" t="n">
        <f aca="false"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>0</v>
      </c>
      <c r="AY673" s="0" t="n">
        <f aca="false">COUNTIF(DU673:EH673, "&lt;&gt;")</f>
        <v>1</v>
      </c>
      <c r="AZ673" s="0" t="n">
        <f aca="false">IF(EH673&lt;&gt;"",1,0)</f>
        <v>0</v>
      </c>
      <c r="BB673" s="0" t="s">
        <v>153</v>
      </c>
      <c r="DC673" s="0" t="s">
        <v>154</v>
      </c>
      <c r="EF673" s="0" t="s">
        <v>154</v>
      </c>
    </row>
    <row r="674" customFormat="false" ht="13.8" hidden="false" customHeight="false" outlineLevel="0" collapsed="false">
      <c r="A674" s="0" t="s">
        <v>3449</v>
      </c>
      <c r="B674" s="0" t="n">
        <v>78</v>
      </c>
      <c r="C674" s="0" t="n">
        <v>159392</v>
      </c>
      <c r="D674" s="0" t="s">
        <v>3450</v>
      </c>
      <c r="E674" s="0" t="s">
        <v>3451</v>
      </c>
      <c r="F674" s="0" t="str">
        <f aca="false">CONCATENATE(D674," ",LEFT(H674,4),"T=",AU674,"D=",AV674,"R=",AW674,"M=",AX674,"L=",AY674,"B=",AZ674)</f>
        <v>HUSTED T=15D=4R=0M=1L=6B=0</v>
      </c>
      <c r="G674" s="0" t="s">
        <v>196</v>
      </c>
      <c r="I674" s="0" t="s">
        <v>3452</v>
      </c>
      <c r="J674" s="0" t="s">
        <v>3453</v>
      </c>
      <c r="K674" s="0" t="s">
        <v>175</v>
      </c>
      <c r="L674" s="1" t="s">
        <v>176</v>
      </c>
      <c r="M674" s="0" t="s">
        <v>3454</v>
      </c>
      <c r="N674" s="0" t="str">
        <f aca="false">RIGHT(M674,LEN(M674)-FIND(" ",M674))</f>
        <v>DANA ST NE</v>
      </c>
      <c r="P674" s="0" t="s">
        <v>146</v>
      </c>
      <c r="Q674" s="0" t="s">
        <v>147</v>
      </c>
      <c r="R674" s="0" t="n">
        <v>44483</v>
      </c>
      <c r="AD674" s="0" t="s">
        <v>148</v>
      </c>
      <c r="AE674" s="0" t="s">
        <v>149</v>
      </c>
      <c r="AF674" s="0" t="s">
        <v>150</v>
      </c>
      <c r="AH674" s="0" t="n">
        <v>14</v>
      </c>
      <c r="AI674" s="0" t="n">
        <v>11</v>
      </c>
      <c r="AN674" s="0" t="s">
        <v>146</v>
      </c>
      <c r="AO674" s="0" t="s">
        <v>236</v>
      </c>
      <c r="AP674" s="0" t="s">
        <v>237</v>
      </c>
      <c r="AQ674" s="0" t="n">
        <v>9</v>
      </c>
      <c r="AR674" s="0" t="n">
        <v>64</v>
      </c>
      <c r="AS674" s="0" t="n">
        <v>32</v>
      </c>
      <c r="AU674" s="0" t="n">
        <f aca="false">COUNTA($BA$851:$EH$851)</f>
        <v>15</v>
      </c>
      <c r="AV674" s="0" t="n">
        <f aca="false">COUNTIF($BA$851:$EH$851,"D")</f>
        <v>4</v>
      </c>
      <c r="AW674" s="0" t="n">
        <f aca="false">COUNTIF($BA$851:$EH$851,"R")</f>
        <v>0</v>
      </c>
      <c r="AX674" s="0" t="n">
        <f aca="false"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>1</v>
      </c>
      <c r="AY674" s="0" t="n">
        <f aca="false">COUNTIF(DU674:EH674, "&lt;&gt;")</f>
        <v>6</v>
      </c>
      <c r="AZ674" s="0" t="n">
        <f aca="false">IF(EH674&lt;&gt;"",1,0)</f>
        <v>0</v>
      </c>
      <c r="BB674" s="0" t="s">
        <v>153</v>
      </c>
      <c r="BC674" s="0" t="s">
        <v>154</v>
      </c>
      <c r="BD674" s="0" t="s">
        <v>154</v>
      </c>
      <c r="BF674" s="0" t="s">
        <v>154</v>
      </c>
      <c r="BG674" s="0" t="s">
        <v>154</v>
      </c>
      <c r="BH674" s="0" t="s">
        <v>154</v>
      </c>
      <c r="BJ674" s="0" t="s">
        <v>154</v>
      </c>
      <c r="BK674" s="0" t="s">
        <v>154</v>
      </c>
      <c r="BL674" s="0" t="s">
        <v>154</v>
      </c>
      <c r="BP674" s="0" t="s">
        <v>154</v>
      </c>
      <c r="BR674" s="0" t="s">
        <v>154</v>
      </c>
      <c r="BS674" s="0" t="s">
        <v>154</v>
      </c>
      <c r="BY674" s="0" t="s">
        <v>176</v>
      </c>
      <c r="CA674" s="0" t="s">
        <v>154</v>
      </c>
      <c r="CG674" s="0" t="s">
        <v>154</v>
      </c>
      <c r="CH674" s="0" t="s">
        <v>176</v>
      </c>
      <c r="CK674" s="0" t="s">
        <v>154</v>
      </c>
      <c r="CN674" s="0" t="s">
        <v>154</v>
      </c>
      <c r="CO674" s="0" t="s">
        <v>176</v>
      </c>
      <c r="CP674" s="0" t="s">
        <v>154</v>
      </c>
      <c r="CT674" s="0" t="s">
        <v>154</v>
      </c>
      <c r="CU674" s="0" t="s">
        <v>176</v>
      </c>
      <c r="CV674" s="0" t="s">
        <v>154</v>
      </c>
      <c r="CY674" s="0" t="s">
        <v>154</v>
      </c>
      <c r="CZ674" s="0" t="s">
        <v>176</v>
      </c>
      <c r="DC674" s="0" t="s">
        <v>154</v>
      </c>
      <c r="DF674" s="0" t="s">
        <v>154</v>
      </c>
      <c r="DG674" s="0" t="s">
        <v>176</v>
      </c>
      <c r="DI674" s="0" t="s">
        <v>154</v>
      </c>
      <c r="DL674" s="0" t="s">
        <v>154</v>
      </c>
      <c r="DM674" s="0" t="s">
        <v>176</v>
      </c>
      <c r="DN674" s="0" t="s">
        <v>154</v>
      </c>
      <c r="DR674" s="0" t="s">
        <v>154</v>
      </c>
      <c r="DT674" s="0" t="s">
        <v>176</v>
      </c>
      <c r="DU674" s="0" t="s">
        <v>154</v>
      </c>
      <c r="DW674" s="0" t="s">
        <v>155</v>
      </c>
      <c r="DX674" s="0" t="s">
        <v>154</v>
      </c>
      <c r="EA674" s="0" t="s">
        <v>154</v>
      </c>
      <c r="ED674" s="0" t="s">
        <v>176</v>
      </c>
      <c r="EF674" s="0" t="s">
        <v>154</v>
      </c>
    </row>
    <row r="675" customFormat="false" ht="13.8" hidden="false" customHeight="false" outlineLevel="0" collapsed="false">
      <c r="A675" s="0" t="s">
        <v>3455</v>
      </c>
      <c r="B675" s="0" t="n">
        <v>78</v>
      </c>
      <c r="C675" s="0" t="n">
        <v>426245</v>
      </c>
      <c r="D675" s="0" t="s">
        <v>3456</v>
      </c>
      <c r="E675" s="0" t="s">
        <v>1653</v>
      </c>
      <c r="F675" s="0" t="str">
        <f aca="false">CONCATENATE(D675," ",LEFT(H675,4),"T=",AU675,"D=",AV675,"R=",AW675,"M=",AX675,"L=",AY675,"B=",AZ675)</f>
        <v>HERMISON T=8D=1R=0M=0L=3B=0</v>
      </c>
      <c r="G675" s="0" t="s">
        <v>3457</v>
      </c>
      <c r="I675" s="0" t="s">
        <v>3458</v>
      </c>
      <c r="J675" s="0" t="s">
        <v>3459</v>
      </c>
      <c r="K675" s="0" t="s">
        <v>175</v>
      </c>
      <c r="M675" s="0" t="s">
        <v>3460</v>
      </c>
      <c r="N675" s="0" t="str">
        <f aca="false">RIGHT(M675,LEN(M675)-FIND(" ",M675))</f>
        <v>DANA ST NE</v>
      </c>
      <c r="P675" s="0" t="s">
        <v>146</v>
      </c>
      <c r="Q675" s="0" t="s">
        <v>147</v>
      </c>
      <c r="R675" s="0" t="n">
        <v>44483</v>
      </c>
      <c r="AD675" s="0" t="s">
        <v>148</v>
      </c>
      <c r="AE675" s="0" t="s">
        <v>149</v>
      </c>
      <c r="AF675" s="0" t="s">
        <v>150</v>
      </c>
      <c r="AH675" s="0" t="n">
        <v>14</v>
      </c>
      <c r="AI675" s="0" t="n">
        <v>11</v>
      </c>
      <c r="AN675" s="0" t="s">
        <v>146</v>
      </c>
      <c r="AO675" s="0" t="s">
        <v>236</v>
      </c>
      <c r="AP675" s="0" t="s">
        <v>237</v>
      </c>
      <c r="AQ675" s="0" t="n">
        <v>9</v>
      </c>
      <c r="AR675" s="0" t="n">
        <v>64</v>
      </c>
      <c r="AS675" s="0" t="n">
        <v>32</v>
      </c>
      <c r="AU675" s="0" t="n">
        <f aca="false">COUNTA($BA$623:$EH$623)</f>
        <v>8</v>
      </c>
      <c r="AV675" s="0" t="n">
        <f aca="false">COUNTIF($BA$623:$EH$623,"D")</f>
        <v>1</v>
      </c>
      <c r="AW675" s="0" t="n">
        <f aca="false">COUNTIF($BA$623:$EH$623,"R")</f>
        <v>0</v>
      </c>
      <c r="AX675" s="0" t="n">
        <f aca="false"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>0</v>
      </c>
      <c r="AY675" s="0" t="n">
        <f aca="false">COUNTIF(DU675:EH675, "&lt;&gt;")</f>
        <v>3</v>
      </c>
      <c r="AZ675" s="0" t="n">
        <f aca="false">IF(EH675&lt;&gt;"",1,0)</f>
        <v>0</v>
      </c>
      <c r="BB675" s="0" t="s">
        <v>153</v>
      </c>
      <c r="CA675" s="0" t="s">
        <v>154</v>
      </c>
      <c r="DN675" s="0" t="s">
        <v>154</v>
      </c>
      <c r="DU675" s="0" t="s">
        <v>154</v>
      </c>
      <c r="EA675" s="0" t="s">
        <v>154</v>
      </c>
      <c r="EF675" s="0" t="s">
        <v>154</v>
      </c>
    </row>
    <row r="676" customFormat="false" ht="13.8" hidden="true" customHeight="false" outlineLevel="0" collapsed="false">
      <c r="A676" s="0" t="s">
        <v>3461</v>
      </c>
      <c r="B676" s="0" t="n">
        <v>78</v>
      </c>
      <c r="C676" s="0" t="n">
        <v>476222</v>
      </c>
      <c r="D676" s="0" t="s">
        <v>3456</v>
      </c>
      <c r="E676" s="0" t="s">
        <v>3462</v>
      </c>
      <c r="F676" s="0" t="str">
        <f aca="false">CONCATENATE(D676," ",LEFT(H676,4),"T=",AU676,"D=",AV676,"R=",AW676,"M=",AX676,"L=",AY676,"B=",AZ676)</f>
        <v>HERMISON T=21D=1R=1M=0L=0B=0</v>
      </c>
      <c r="G676" s="0" t="s">
        <v>3457</v>
      </c>
      <c r="I676" s="0" t="s">
        <v>3463</v>
      </c>
      <c r="J676" s="0" t="s">
        <v>3464</v>
      </c>
      <c r="K676" s="0" t="s">
        <v>175</v>
      </c>
      <c r="L676" s="0"/>
      <c r="M676" s="0" t="s">
        <v>3460</v>
      </c>
      <c r="N676" s="0" t="str">
        <f aca="false">RIGHT(M676,LEN(M676)-FIND(" ",M676))</f>
        <v>DANA ST NE</v>
      </c>
      <c r="P676" s="0" t="s">
        <v>146</v>
      </c>
      <c r="Q676" s="0" t="s">
        <v>147</v>
      </c>
      <c r="R676" s="0" t="n">
        <v>44483</v>
      </c>
      <c r="AD676" s="0" t="s">
        <v>148</v>
      </c>
      <c r="AE676" s="0" t="s">
        <v>149</v>
      </c>
      <c r="AF676" s="0" t="s">
        <v>150</v>
      </c>
      <c r="AH676" s="0" t="n">
        <v>14</v>
      </c>
      <c r="AI676" s="0" t="n">
        <v>11</v>
      </c>
      <c r="AN676" s="0" t="s">
        <v>146</v>
      </c>
      <c r="AO676" s="0" t="s">
        <v>236</v>
      </c>
      <c r="AP676" s="0" t="s">
        <v>237</v>
      </c>
      <c r="AQ676" s="0" t="n">
        <v>9</v>
      </c>
      <c r="AR676" s="0" t="n">
        <v>64</v>
      </c>
      <c r="AS676" s="0" t="n">
        <v>32</v>
      </c>
      <c r="AU676" s="0" t="n">
        <f aca="false">COUNTA($BA$626:$EH$626)</f>
        <v>21</v>
      </c>
      <c r="AV676" s="0" t="n">
        <f aca="false">COUNTIF($BA$626:$EH$626,"D")</f>
        <v>1</v>
      </c>
      <c r="AW676" s="0" t="n">
        <f aca="false">COUNTIF($BA$626:$EH$626,"R")</f>
        <v>1</v>
      </c>
      <c r="AX676" s="0" t="n">
        <f aca="false"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>0</v>
      </c>
      <c r="AY676" s="0" t="n">
        <f aca="false">COUNTIF(DU676:EH676, "&lt;&gt;")</f>
        <v>0</v>
      </c>
      <c r="AZ676" s="0" t="n">
        <f aca="false">IF(EH676&lt;&gt;"",1,0)</f>
        <v>0</v>
      </c>
      <c r="BB676" s="0" t="s">
        <v>153</v>
      </c>
    </row>
    <row r="677" customFormat="false" ht="13.8" hidden="true" customHeight="false" outlineLevel="0" collapsed="false">
      <c r="A677" s="0" t="s">
        <v>3465</v>
      </c>
      <c r="B677" s="0" t="n">
        <v>78</v>
      </c>
      <c r="C677" s="0" t="n">
        <v>398232</v>
      </c>
      <c r="D677" s="0" t="s">
        <v>3456</v>
      </c>
      <c r="E677" s="0" t="s">
        <v>430</v>
      </c>
      <c r="F677" s="0" t="str">
        <f aca="false">CONCATENATE(D677," ",LEFT(H677,4),"T=",AU677,"D=",AV677,"R=",AW677,"M=",AX677,"L=",AY677,"B=",AZ677)</f>
        <v>HERMISON T=2D=1R=0M=0L=0B=0</v>
      </c>
      <c r="G677" s="0" t="s">
        <v>365</v>
      </c>
      <c r="I677" s="0" t="s">
        <v>3466</v>
      </c>
      <c r="J677" s="0" t="s">
        <v>3467</v>
      </c>
      <c r="K677" s="0" t="s">
        <v>175</v>
      </c>
      <c r="L677" s="0"/>
      <c r="M677" s="0" t="s">
        <v>3460</v>
      </c>
      <c r="N677" s="0" t="str">
        <f aca="false">RIGHT(M677,LEN(M677)-FIND(" ",M677))</f>
        <v>DANA ST NE</v>
      </c>
      <c r="P677" s="0" t="s">
        <v>146</v>
      </c>
      <c r="Q677" s="0" t="s">
        <v>147</v>
      </c>
      <c r="R677" s="0" t="n">
        <v>44483</v>
      </c>
      <c r="AD677" s="0" t="s">
        <v>148</v>
      </c>
      <c r="AE677" s="0" t="s">
        <v>149</v>
      </c>
      <c r="AF677" s="0" t="s">
        <v>150</v>
      </c>
      <c r="AH677" s="0" t="n">
        <v>14</v>
      </c>
      <c r="AI677" s="0" t="n">
        <v>11</v>
      </c>
      <c r="AN677" s="0" t="s">
        <v>146</v>
      </c>
      <c r="AO677" s="0" t="s">
        <v>236</v>
      </c>
      <c r="AP677" s="0" t="s">
        <v>237</v>
      </c>
      <c r="AQ677" s="0" t="n">
        <v>9</v>
      </c>
      <c r="AR677" s="0" t="n">
        <v>64</v>
      </c>
      <c r="AS677" s="0" t="n">
        <v>32</v>
      </c>
      <c r="AU677" s="0" t="n">
        <f aca="false">COUNTA($BA$1077:$EH$1077)</f>
        <v>2</v>
      </c>
      <c r="AV677" s="0" t="n">
        <f aca="false">COUNTIF($BA$1077:$EH$1077,"D")</f>
        <v>1</v>
      </c>
      <c r="AW677" s="0" t="n">
        <f aca="false">COUNTIF($BA$1077:$EH$1077,"R")</f>
        <v>0</v>
      </c>
      <c r="AX677" s="0" t="n">
        <f aca="false"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>0</v>
      </c>
      <c r="AY677" s="0" t="n">
        <f aca="false">COUNTIF(DU677:EH677, "&lt;&gt;")</f>
        <v>0</v>
      </c>
      <c r="AZ677" s="0" t="n">
        <f aca="false">IF(EH677&lt;&gt;"",1,0)</f>
        <v>0</v>
      </c>
      <c r="BB677" s="0" t="s">
        <v>153</v>
      </c>
    </row>
    <row r="678" customFormat="false" ht="13.8" hidden="true" customHeight="false" outlineLevel="0" collapsed="false">
      <c r="A678" s="0" t="s">
        <v>3468</v>
      </c>
      <c r="B678" s="0" t="n">
        <v>78</v>
      </c>
      <c r="C678" s="0" t="n">
        <v>444836</v>
      </c>
      <c r="D678" s="0" t="s">
        <v>3469</v>
      </c>
      <c r="E678" s="0" t="s">
        <v>2292</v>
      </c>
      <c r="F678" s="0" t="str">
        <f aca="false">CONCATENATE(D678," ",LEFT(H678,4),"T=",AU678,"D=",AV678,"R=",AW678,"M=",AX678,"L=",AY678,"B=",AZ678)</f>
        <v>REDD JRT=3D=0R=0M=0L=0B=0</v>
      </c>
      <c r="G678" s="0" t="s">
        <v>241</v>
      </c>
      <c r="H678" s="0" t="s">
        <v>431</v>
      </c>
      <c r="I678" s="0" t="s">
        <v>3470</v>
      </c>
      <c r="J678" s="0" t="s">
        <v>3471</v>
      </c>
      <c r="K678" s="0" t="s">
        <v>144</v>
      </c>
      <c r="L678" s="0"/>
      <c r="M678" s="0" t="s">
        <v>3472</v>
      </c>
      <c r="N678" s="0" t="str">
        <f aca="false">RIGHT(M678,LEN(M678)-FIND(" ",M678))</f>
        <v>DANA ST NE</v>
      </c>
      <c r="P678" s="0" t="s">
        <v>146</v>
      </c>
      <c r="Q678" s="0" t="s">
        <v>147</v>
      </c>
      <c r="R678" s="0" t="n">
        <v>44483</v>
      </c>
      <c r="AD678" s="0" t="s">
        <v>148</v>
      </c>
      <c r="AE678" s="0" t="s">
        <v>149</v>
      </c>
      <c r="AF678" s="0" t="s">
        <v>150</v>
      </c>
      <c r="AH678" s="0" t="n">
        <v>14</v>
      </c>
      <c r="AI678" s="0" t="n">
        <v>11</v>
      </c>
      <c r="AN678" s="0" t="s">
        <v>146</v>
      </c>
      <c r="AO678" s="0" t="s">
        <v>236</v>
      </c>
      <c r="AP678" s="0" t="s">
        <v>237</v>
      </c>
      <c r="AQ678" s="0" t="n">
        <v>9</v>
      </c>
      <c r="AR678" s="0" t="n">
        <v>64</v>
      </c>
      <c r="AS678" s="0" t="n">
        <v>32</v>
      </c>
      <c r="AU678" s="0" t="n">
        <f aca="false">COUNTA($BA$700:$EH$700)</f>
        <v>3</v>
      </c>
      <c r="AV678" s="0" t="n">
        <f aca="false">COUNTIF($BA$700:$EH$700,"D")</f>
        <v>0</v>
      </c>
      <c r="AW678" s="0" t="n">
        <f aca="false">COUNTIF($BA$700:$EH$700,"R")</f>
        <v>0</v>
      </c>
      <c r="AX678" s="0" t="n">
        <f aca="false"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>0</v>
      </c>
      <c r="AY678" s="0" t="n">
        <f aca="false">COUNTIF(DU678:EH678, "&lt;&gt;")</f>
        <v>0</v>
      </c>
      <c r="AZ678" s="0" t="n">
        <f aca="false">IF(EH678&lt;&gt;"",1,0)</f>
        <v>0</v>
      </c>
      <c r="BB678" s="0" t="s">
        <v>153</v>
      </c>
    </row>
    <row r="679" customFormat="false" ht="13.8" hidden="true" customHeight="false" outlineLevel="0" collapsed="false">
      <c r="A679" s="0" t="s">
        <v>3473</v>
      </c>
      <c r="B679" s="0" t="n">
        <v>78</v>
      </c>
      <c r="C679" s="0" t="n">
        <v>317044</v>
      </c>
      <c r="D679" s="0" t="s">
        <v>3474</v>
      </c>
      <c r="E679" s="0" t="s">
        <v>3475</v>
      </c>
      <c r="F679" s="0" t="str">
        <f aca="false">CONCATENATE(D679," ",LEFT(H679,4),"T=",AU679,"D=",AV679,"R=",AW679,"M=",AX679,"L=",AY679,"B=",AZ679)</f>
        <v>GUNTHER T=1D=0R=0M=0L=0B=0</v>
      </c>
      <c r="G679" s="0" t="s">
        <v>1289</v>
      </c>
      <c r="I679" s="0" t="s">
        <v>3476</v>
      </c>
      <c r="J679" s="0" t="s">
        <v>3477</v>
      </c>
      <c r="K679" s="0" t="s">
        <v>144</v>
      </c>
      <c r="L679" s="0"/>
      <c r="M679" s="0" t="s">
        <v>3472</v>
      </c>
      <c r="N679" s="0" t="str">
        <f aca="false">RIGHT(M679,LEN(M679)-FIND(" ",M679))</f>
        <v>DANA ST NE</v>
      </c>
      <c r="P679" s="0" t="s">
        <v>146</v>
      </c>
      <c r="Q679" s="0" t="s">
        <v>147</v>
      </c>
      <c r="R679" s="0" t="n">
        <v>44483</v>
      </c>
      <c r="AD679" s="0" t="s">
        <v>148</v>
      </c>
      <c r="AE679" s="0" t="s">
        <v>149</v>
      </c>
      <c r="AF679" s="0" t="s">
        <v>150</v>
      </c>
      <c r="AH679" s="0" t="n">
        <v>14</v>
      </c>
      <c r="AI679" s="0" t="n">
        <v>11</v>
      </c>
      <c r="AN679" s="0" t="s">
        <v>146</v>
      </c>
      <c r="AO679" s="0" t="s">
        <v>236</v>
      </c>
      <c r="AP679" s="0" t="s">
        <v>237</v>
      </c>
      <c r="AQ679" s="0" t="n">
        <v>9</v>
      </c>
      <c r="AR679" s="0" t="n">
        <v>64</v>
      </c>
      <c r="AS679" s="0" t="n">
        <v>32</v>
      </c>
      <c r="AU679" s="0" t="n">
        <f aca="false">COUNTA($BA$848:$EH$848)</f>
        <v>1</v>
      </c>
      <c r="AV679" s="0" t="n">
        <f aca="false">COUNTIF($BA$848:$EH$848,"D")</f>
        <v>0</v>
      </c>
      <c r="AW679" s="0" t="n">
        <f aca="false">COUNTIF($BA$848:$EH$848,"R")</f>
        <v>0</v>
      </c>
      <c r="AX679" s="0" t="n">
        <f aca="false"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>0</v>
      </c>
      <c r="AY679" s="0" t="n">
        <f aca="false">COUNTIF(DU679:EH679, "&lt;&gt;")</f>
        <v>0</v>
      </c>
      <c r="AZ679" s="0" t="n">
        <f aca="false">IF(EH679&lt;&gt;"",1,0)</f>
        <v>0</v>
      </c>
      <c r="BB679" s="0" t="s">
        <v>153</v>
      </c>
      <c r="CA679" s="0" t="s">
        <v>154</v>
      </c>
    </row>
    <row r="680" customFormat="false" ht="13.8" hidden="true" customHeight="false" outlineLevel="0" collapsed="false">
      <c r="A680" s="0" t="s">
        <v>3478</v>
      </c>
      <c r="B680" s="0" t="n">
        <v>78</v>
      </c>
      <c r="C680" s="0" t="n">
        <v>416490</v>
      </c>
      <c r="D680" s="0" t="s">
        <v>3479</v>
      </c>
      <c r="E680" s="0" t="s">
        <v>3480</v>
      </c>
      <c r="F680" s="0" t="str">
        <f aca="false">CONCATENATE(D680," ",LEFT(H680,4),"T=",AU680,"D=",AV680,"R=",AW680,"M=",AX680,"L=",AY680,"B=",AZ680)</f>
        <v>HAYES T=6D=1R=0M=0L=0B=0</v>
      </c>
      <c r="G680" s="0" t="s">
        <v>181</v>
      </c>
      <c r="I680" s="0" t="s">
        <v>3481</v>
      </c>
      <c r="J680" s="0" t="s">
        <v>559</v>
      </c>
      <c r="K680" s="0" t="s">
        <v>144</v>
      </c>
      <c r="L680" s="0"/>
      <c r="M680" s="0" t="s">
        <v>3482</v>
      </c>
      <c r="N680" s="0" t="str">
        <f aca="false">RIGHT(M680,LEN(M680)-FIND(" ",M680))</f>
        <v>DANA ST NE</v>
      </c>
      <c r="P680" s="0" t="s">
        <v>146</v>
      </c>
      <c r="Q680" s="0" t="s">
        <v>147</v>
      </c>
      <c r="R680" s="0" t="n">
        <v>44483</v>
      </c>
      <c r="AD680" s="0" t="s">
        <v>148</v>
      </c>
      <c r="AE680" s="0" t="s">
        <v>149</v>
      </c>
      <c r="AF680" s="0" t="s">
        <v>150</v>
      </c>
      <c r="AH680" s="0" t="n">
        <v>14</v>
      </c>
      <c r="AI680" s="0" t="n">
        <v>11</v>
      </c>
      <c r="AN680" s="0" t="s">
        <v>146</v>
      </c>
      <c r="AO680" s="0" t="s">
        <v>236</v>
      </c>
      <c r="AP680" s="0" t="s">
        <v>237</v>
      </c>
      <c r="AQ680" s="0" t="n">
        <v>9</v>
      </c>
      <c r="AR680" s="0" t="n">
        <v>64</v>
      </c>
      <c r="AS680" s="0" t="n">
        <v>32</v>
      </c>
      <c r="AU680" s="0" t="n">
        <f aca="false">COUNTA($BA$20:$EH$20)</f>
        <v>6</v>
      </c>
      <c r="AV680" s="0" t="n">
        <f aca="false">COUNTIF($BA$20:$EH$20,"D")</f>
        <v>1</v>
      </c>
      <c r="AW680" s="0" t="n">
        <f aca="false">COUNTIF($BA$20:$EH$20,"R")</f>
        <v>0</v>
      </c>
      <c r="AX680" s="0" t="n">
        <f aca="false"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>0</v>
      </c>
      <c r="AY680" s="0" t="n">
        <f aca="false">COUNTIF(DU680:EH680, "&lt;&gt;")</f>
        <v>0</v>
      </c>
      <c r="AZ680" s="0" t="n">
        <f aca="false">IF(EH680&lt;&gt;"",1,0)</f>
        <v>0</v>
      </c>
      <c r="BB680" s="0" t="s">
        <v>153</v>
      </c>
      <c r="DC680" s="0" t="s">
        <v>154</v>
      </c>
    </row>
    <row r="681" customFormat="false" ht="13.8" hidden="false" customHeight="false" outlineLevel="0" collapsed="false">
      <c r="A681" s="0" t="s">
        <v>3483</v>
      </c>
      <c r="B681" s="0" t="n">
        <v>78</v>
      </c>
      <c r="C681" s="0" t="n">
        <v>282083</v>
      </c>
      <c r="D681" s="0" t="s">
        <v>3484</v>
      </c>
      <c r="E681" s="0" t="s">
        <v>3485</v>
      </c>
      <c r="F681" s="0" t="str">
        <f aca="false">CONCATENATE(D681," ",LEFT(H681,4),"T=",AU681,"D=",AV681,"R=",AW681,"M=",AX681,"L=",AY681,"B=",AZ681)</f>
        <v>GIANOUTSOS T=1D=0R=0M=0L=2B=0</v>
      </c>
      <c r="G681" s="0" t="s">
        <v>188</v>
      </c>
      <c r="I681" s="0" t="s">
        <v>3486</v>
      </c>
      <c r="J681" s="0" t="s">
        <v>3487</v>
      </c>
      <c r="K681" s="0" t="s">
        <v>175</v>
      </c>
      <c r="M681" s="0" t="s">
        <v>3488</v>
      </c>
      <c r="N681" s="0" t="str">
        <f aca="false">RIGHT(M681,LEN(M681)-FIND(" ",M681))</f>
        <v>DANA ST NE</v>
      </c>
      <c r="P681" s="0" t="s">
        <v>146</v>
      </c>
      <c r="Q681" s="0" t="s">
        <v>147</v>
      </c>
      <c r="R681" s="0" t="n">
        <v>44483</v>
      </c>
      <c r="AD681" s="0" t="s">
        <v>148</v>
      </c>
      <c r="AE681" s="0" t="s">
        <v>149</v>
      </c>
      <c r="AF681" s="0" t="s">
        <v>150</v>
      </c>
      <c r="AH681" s="0" t="n">
        <v>14</v>
      </c>
      <c r="AI681" s="0" t="n">
        <v>11</v>
      </c>
      <c r="AN681" s="0" t="s">
        <v>146</v>
      </c>
      <c r="AO681" s="0" t="s">
        <v>236</v>
      </c>
      <c r="AP681" s="0" t="s">
        <v>237</v>
      </c>
      <c r="AQ681" s="0" t="n">
        <v>9</v>
      </c>
      <c r="AR681" s="0" t="n">
        <v>64</v>
      </c>
      <c r="AS681" s="0" t="n">
        <v>32</v>
      </c>
      <c r="AU681" s="0" t="n">
        <f aca="false">COUNTA($BA$366:$EH$366)</f>
        <v>1</v>
      </c>
      <c r="AV681" s="0" t="n">
        <f aca="false">COUNTIF($BA$366:$EH$366,"D")</f>
        <v>0</v>
      </c>
      <c r="AW681" s="0" t="n">
        <f aca="false">COUNTIF($BA$366:$EH$366,"R")</f>
        <v>0</v>
      </c>
      <c r="AX681" s="0" t="n">
        <f aca="false"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>0</v>
      </c>
      <c r="AY681" s="0" t="n">
        <f aca="false">COUNTIF(DU681:EH681, "&lt;&gt;")</f>
        <v>2</v>
      </c>
      <c r="AZ681" s="0" t="n">
        <f aca="false">IF(EH681&lt;&gt;"",1,0)</f>
        <v>0</v>
      </c>
      <c r="BB681" s="0" t="s">
        <v>153</v>
      </c>
      <c r="CY681" s="0" t="s">
        <v>154</v>
      </c>
      <c r="DG681" s="0" t="s">
        <v>176</v>
      </c>
      <c r="DI681" s="0" t="s">
        <v>154</v>
      </c>
      <c r="DN681" s="0" t="s">
        <v>154</v>
      </c>
      <c r="DU681" s="0" t="s">
        <v>154</v>
      </c>
      <c r="EF681" s="0" t="s">
        <v>154</v>
      </c>
    </row>
    <row r="682" customFormat="false" ht="13.8" hidden="false" customHeight="false" outlineLevel="0" collapsed="false">
      <c r="A682" s="0" t="s">
        <v>3489</v>
      </c>
      <c r="B682" s="0" t="n">
        <v>78</v>
      </c>
      <c r="C682" s="0" t="n">
        <v>393909</v>
      </c>
      <c r="D682" s="0" t="s">
        <v>3490</v>
      </c>
      <c r="E682" s="0" t="s">
        <v>405</v>
      </c>
      <c r="F682" s="0" t="str">
        <f aca="false">CONCATENATE(D682," ",LEFT(H682,4),"T=",AU682,"D=",AV682,"R=",AW682,"M=",AX682,"L=",AY682,"B=",AZ682)</f>
        <v>COPE T=8D=0R=0M=2L=3B=0</v>
      </c>
      <c r="G682" s="0" t="s">
        <v>690</v>
      </c>
      <c r="I682" s="0" t="s">
        <v>2245</v>
      </c>
      <c r="J682" s="0" t="s">
        <v>395</v>
      </c>
      <c r="K682" s="0" t="s">
        <v>175</v>
      </c>
      <c r="L682" s="1" t="s">
        <v>176</v>
      </c>
      <c r="M682" s="0" t="s">
        <v>3491</v>
      </c>
      <c r="N682" s="0" t="str">
        <f aca="false">RIGHT(M682,LEN(M682)-FIND(" ",M682))</f>
        <v>DANA ST NE</v>
      </c>
      <c r="P682" s="0" t="s">
        <v>146</v>
      </c>
      <c r="Q682" s="0" t="s">
        <v>147</v>
      </c>
      <c r="R682" s="0" t="n">
        <v>44483</v>
      </c>
      <c r="AD682" s="0" t="s">
        <v>148</v>
      </c>
      <c r="AE682" s="0" t="s">
        <v>149</v>
      </c>
      <c r="AF682" s="0" t="s">
        <v>150</v>
      </c>
      <c r="AH682" s="0" t="n">
        <v>14</v>
      </c>
      <c r="AI682" s="0" t="n">
        <v>11</v>
      </c>
      <c r="AN682" s="0" t="s">
        <v>146</v>
      </c>
      <c r="AO682" s="0" t="s">
        <v>236</v>
      </c>
      <c r="AP682" s="0" t="s">
        <v>237</v>
      </c>
      <c r="AQ682" s="0" t="n">
        <v>9</v>
      </c>
      <c r="AR682" s="0" t="n">
        <v>64</v>
      </c>
      <c r="AS682" s="0" t="n">
        <v>32</v>
      </c>
      <c r="AU682" s="0" t="n">
        <f aca="false">COUNTA($BA$106:$EH$106)</f>
        <v>8</v>
      </c>
      <c r="AV682" s="0" t="n">
        <f aca="false">COUNTIF($BA$106:$EH$106,"D")</f>
        <v>0</v>
      </c>
      <c r="AW682" s="0" t="n">
        <f aca="false">COUNTIF($BA$106:$EH$106,"R")</f>
        <v>0</v>
      </c>
      <c r="AX682" s="0" t="n">
        <f aca="false"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>2</v>
      </c>
      <c r="AY682" s="0" t="n">
        <f aca="false">COUNTIF(DU682:EH682, "&lt;&gt;")</f>
        <v>3</v>
      </c>
      <c r="AZ682" s="0" t="n">
        <f aca="false">IF(EH682&lt;&gt;"",1,0)</f>
        <v>0</v>
      </c>
      <c r="BB682" s="0" t="s">
        <v>153</v>
      </c>
      <c r="DC682" s="0" t="s">
        <v>154</v>
      </c>
      <c r="DD682" s="0" t="s">
        <v>155</v>
      </c>
      <c r="DI682" s="0" t="s">
        <v>154</v>
      </c>
      <c r="DM682" s="0" t="s">
        <v>176</v>
      </c>
      <c r="DN682" s="0" t="s">
        <v>154</v>
      </c>
      <c r="DO682" s="0" t="s">
        <v>155</v>
      </c>
      <c r="DR682" s="0" t="s">
        <v>154</v>
      </c>
      <c r="EA682" s="0" t="s">
        <v>154</v>
      </c>
      <c r="ED682" s="0" t="s">
        <v>176</v>
      </c>
      <c r="EF682" s="0" t="s">
        <v>154</v>
      </c>
    </row>
    <row r="683" customFormat="false" ht="13.8" hidden="false" customHeight="false" outlineLevel="0" collapsed="false">
      <c r="A683" s="0" t="s">
        <v>3492</v>
      </c>
      <c r="B683" s="0" t="n">
        <v>78</v>
      </c>
      <c r="C683" s="0" t="n">
        <v>412075</v>
      </c>
      <c r="D683" s="0" t="s">
        <v>3490</v>
      </c>
      <c r="E683" s="0" t="s">
        <v>1221</v>
      </c>
      <c r="F683" s="0" t="str">
        <f aca="false">CONCATENATE(D683," ",LEFT(H683,4),"T=",AU683,"D=",AV683,"R=",AW683,"M=",AX683,"L=",AY683,"B=",AZ683)</f>
        <v>COPE T=6D=1R=0M=2L=3B=0</v>
      </c>
      <c r="G683" s="0" t="s">
        <v>172</v>
      </c>
      <c r="I683" s="0" t="s">
        <v>3493</v>
      </c>
      <c r="J683" s="0" t="s">
        <v>218</v>
      </c>
      <c r="K683" s="0" t="s">
        <v>175</v>
      </c>
      <c r="L683" s="1" t="s">
        <v>176</v>
      </c>
      <c r="M683" s="0" t="s">
        <v>3491</v>
      </c>
      <c r="N683" s="0" t="str">
        <f aca="false">RIGHT(M683,LEN(M683)-FIND(" ",M683))</f>
        <v>DANA ST NE</v>
      </c>
      <c r="P683" s="0" t="s">
        <v>146</v>
      </c>
      <c r="Q683" s="0" t="s">
        <v>147</v>
      </c>
      <c r="R683" s="0" t="n">
        <v>44483</v>
      </c>
      <c r="AD683" s="0" t="s">
        <v>148</v>
      </c>
      <c r="AE683" s="0" t="s">
        <v>149</v>
      </c>
      <c r="AF683" s="0" t="s">
        <v>150</v>
      </c>
      <c r="AH683" s="0" t="n">
        <v>14</v>
      </c>
      <c r="AI683" s="0" t="n">
        <v>11</v>
      </c>
      <c r="AN683" s="0" t="s">
        <v>146</v>
      </c>
      <c r="AO683" s="0" t="s">
        <v>236</v>
      </c>
      <c r="AP683" s="0" t="s">
        <v>237</v>
      </c>
      <c r="AQ683" s="0" t="n">
        <v>9</v>
      </c>
      <c r="AR683" s="0" t="n">
        <v>64</v>
      </c>
      <c r="AS683" s="0" t="n">
        <v>32</v>
      </c>
      <c r="AU683" s="0" t="n">
        <f aca="false">COUNTA($BA$157:$EH$157)</f>
        <v>6</v>
      </c>
      <c r="AV683" s="0" t="n">
        <f aca="false">COUNTIF($BA$157:$EH$157,"D")</f>
        <v>1</v>
      </c>
      <c r="AW683" s="0" t="n">
        <f aca="false">COUNTIF($BA$157:$EH$157,"R")</f>
        <v>0</v>
      </c>
      <c r="AX683" s="0" t="n">
        <f aca="false"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>2</v>
      </c>
      <c r="AY683" s="0" t="n">
        <f aca="false">COUNTIF(DU683:EH683, "&lt;&gt;")</f>
        <v>3</v>
      </c>
      <c r="AZ683" s="0" t="n">
        <f aca="false">IF(EH683&lt;&gt;"",1,0)</f>
        <v>0</v>
      </c>
      <c r="BB683" s="0" t="s">
        <v>153</v>
      </c>
      <c r="BC683" s="0" t="s">
        <v>155</v>
      </c>
      <c r="BD683" s="0" t="s">
        <v>154</v>
      </c>
      <c r="BF683" s="0" t="s">
        <v>154</v>
      </c>
      <c r="BG683" s="0" t="s">
        <v>155</v>
      </c>
      <c r="BH683" s="0" t="s">
        <v>154</v>
      </c>
      <c r="BJ683" s="0" t="s">
        <v>154</v>
      </c>
      <c r="BK683" s="0" t="s">
        <v>155</v>
      </c>
      <c r="BL683" s="0" t="s">
        <v>154</v>
      </c>
      <c r="BN683" s="0" t="s">
        <v>154</v>
      </c>
      <c r="BP683" s="0" t="s">
        <v>154</v>
      </c>
      <c r="BR683" s="0" t="s">
        <v>155</v>
      </c>
      <c r="BY683" s="0" t="s">
        <v>155</v>
      </c>
      <c r="CA683" s="0" t="s">
        <v>154</v>
      </c>
      <c r="CG683" s="0" t="s">
        <v>154</v>
      </c>
      <c r="CH683" s="0" t="s">
        <v>155</v>
      </c>
      <c r="CK683" s="0" t="s">
        <v>154</v>
      </c>
      <c r="DC683" s="0" t="s">
        <v>154</v>
      </c>
      <c r="DD683" s="0" t="s">
        <v>155</v>
      </c>
      <c r="DI683" s="0" t="s">
        <v>154</v>
      </c>
      <c r="DM683" s="0" t="s">
        <v>176</v>
      </c>
      <c r="DN683" s="0" t="s">
        <v>154</v>
      </c>
      <c r="DO683" s="0" t="s">
        <v>155</v>
      </c>
      <c r="DR683" s="0" t="s">
        <v>154</v>
      </c>
      <c r="EA683" s="0" t="s">
        <v>154</v>
      </c>
      <c r="ED683" s="0" t="s">
        <v>176</v>
      </c>
      <c r="EF683" s="0" t="s">
        <v>154</v>
      </c>
    </row>
    <row r="684" customFormat="false" ht="13.8" hidden="true" customHeight="false" outlineLevel="0" collapsed="false">
      <c r="A684" s="0" t="s">
        <v>3494</v>
      </c>
      <c r="B684" s="0" t="n">
        <v>78</v>
      </c>
      <c r="C684" s="0" t="n">
        <v>437484</v>
      </c>
      <c r="D684" s="0" t="s">
        <v>3495</v>
      </c>
      <c r="E684" s="0" t="s">
        <v>405</v>
      </c>
      <c r="F684" s="0" t="str">
        <f aca="false">CONCATENATE(D684," ",LEFT(H684,4),"T=",AU684,"D=",AV684,"R=",AW684,"M=",AX684,"L=",AY684,"B=",AZ684)</f>
        <v>HUTCHINS T=7D=1R=1M=0L=0B=0</v>
      </c>
      <c r="G684" s="0" t="s">
        <v>1664</v>
      </c>
      <c r="I684" s="0" t="s">
        <v>3357</v>
      </c>
      <c r="J684" s="0" t="s">
        <v>3496</v>
      </c>
      <c r="K684" s="0" t="s">
        <v>144</v>
      </c>
      <c r="L684" s="0"/>
      <c r="M684" s="0" t="s">
        <v>3497</v>
      </c>
      <c r="N684" s="0" t="str">
        <f aca="false">RIGHT(M684,LEN(M684)-FIND(" ",M684))</f>
        <v>DANA ST NE</v>
      </c>
      <c r="P684" s="0" t="s">
        <v>146</v>
      </c>
      <c r="Q684" s="0" t="s">
        <v>147</v>
      </c>
      <c r="R684" s="0" t="n">
        <v>44483</v>
      </c>
      <c r="AD684" s="0" t="s">
        <v>148</v>
      </c>
      <c r="AE684" s="0" t="s">
        <v>149</v>
      </c>
      <c r="AF684" s="0" t="s">
        <v>150</v>
      </c>
      <c r="AH684" s="0" t="n">
        <v>14</v>
      </c>
      <c r="AI684" s="0" t="n">
        <v>11</v>
      </c>
      <c r="AN684" s="0" t="s">
        <v>146</v>
      </c>
      <c r="AO684" s="0" t="s">
        <v>236</v>
      </c>
      <c r="AP684" s="0" t="s">
        <v>237</v>
      </c>
      <c r="AQ684" s="0" t="n">
        <v>9</v>
      </c>
      <c r="AR684" s="0" t="n">
        <v>64</v>
      </c>
      <c r="AS684" s="0" t="n">
        <v>32</v>
      </c>
      <c r="AU684" s="0" t="n">
        <f aca="false">COUNTA($BA$84:$EH$84)</f>
        <v>7</v>
      </c>
      <c r="AV684" s="0" t="n">
        <f aca="false">COUNTIF($BA$84:$EH$84,"D")</f>
        <v>1</v>
      </c>
      <c r="AW684" s="0" t="n">
        <f aca="false">COUNTIF($BA$84:$EH$84,"R")</f>
        <v>1</v>
      </c>
      <c r="AX684" s="0" t="n">
        <f aca="false"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>0</v>
      </c>
      <c r="AY684" s="0" t="n">
        <f aca="false">COUNTIF(DU684:EH684, "&lt;&gt;")</f>
        <v>0</v>
      </c>
      <c r="AZ684" s="0" t="n">
        <f aca="false">IF(EH684&lt;&gt;"",1,0)</f>
        <v>0</v>
      </c>
      <c r="BB684" s="0" t="s">
        <v>153</v>
      </c>
      <c r="CA684" s="0" t="s">
        <v>154</v>
      </c>
      <c r="CP684" s="0" t="s">
        <v>154</v>
      </c>
    </row>
    <row r="685" customFormat="false" ht="13.8" hidden="false" customHeight="false" outlineLevel="0" collapsed="false">
      <c r="A685" s="0" t="s">
        <v>3498</v>
      </c>
      <c r="B685" s="0" t="n">
        <v>78</v>
      </c>
      <c r="C685" s="0" t="n">
        <v>381428</v>
      </c>
      <c r="D685" s="0" t="s">
        <v>3499</v>
      </c>
      <c r="E685" s="0" t="s">
        <v>2367</v>
      </c>
      <c r="F685" s="0" t="str">
        <f aca="false">CONCATENATE(D685," ",LEFT(H685,4),"T=",AU685,"D=",AV685,"R=",AW685,"M=",AX685,"L=",AY685,"B=",AZ685)</f>
        <v>KEVWITCH T=1D=0R=0M=0L=2B=0</v>
      </c>
      <c r="G685" s="0" t="s">
        <v>222</v>
      </c>
      <c r="I685" s="0" t="s">
        <v>3500</v>
      </c>
      <c r="J685" s="0" t="s">
        <v>3501</v>
      </c>
      <c r="K685" s="0" t="s">
        <v>175</v>
      </c>
      <c r="M685" s="0" t="s">
        <v>3497</v>
      </c>
      <c r="N685" s="0" t="str">
        <f aca="false">RIGHT(M685,LEN(M685)-FIND(" ",M685))</f>
        <v>DANA ST NE</v>
      </c>
      <c r="P685" s="0" t="s">
        <v>146</v>
      </c>
      <c r="Q685" s="0" t="s">
        <v>147</v>
      </c>
      <c r="R685" s="0" t="n">
        <v>44483</v>
      </c>
      <c r="AD685" s="0" t="s">
        <v>148</v>
      </c>
      <c r="AE685" s="0" t="s">
        <v>149</v>
      </c>
      <c r="AF685" s="0" t="s">
        <v>150</v>
      </c>
      <c r="AH685" s="0" t="n">
        <v>14</v>
      </c>
      <c r="AI685" s="0" t="n">
        <v>11</v>
      </c>
      <c r="AN685" s="0" t="s">
        <v>146</v>
      </c>
      <c r="AO685" s="0" t="s">
        <v>236</v>
      </c>
      <c r="AP685" s="0" t="s">
        <v>237</v>
      </c>
      <c r="AQ685" s="0" t="n">
        <v>9</v>
      </c>
      <c r="AR685" s="0" t="n">
        <v>64</v>
      </c>
      <c r="AS685" s="0" t="n">
        <v>32</v>
      </c>
      <c r="AU685" s="0" t="n">
        <f aca="false">COUNTA($BA$123:$EH$123)</f>
        <v>1</v>
      </c>
      <c r="AV685" s="0" t="n">
        <f aca="false">COUNTIF($BA$123:$EH$123,"D")</f>
        <v>0</v>
      </c>
      <c r="AW685" s="0" t="n">
        <f aca="false">COUNTIF($BA$123:$EH$123,"R")</f>
        <v>0</v>
      </c>
      <c r="AX685" s="0" t="n">
        <f aca="false"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>0</v>
      </c>
      <c r="AY685" s="0" t="n">
        <f aca="false">COUNTIF(DU685:EH685, "&lt;&gt;")</f>
        <v>2</v>
      </c>
      <c r="AZ685" s="0" t="n">
        <f aca="false">IF(EH685&lt;&gt;"",1,0)</f>
        <v>0</v>
      </c>
      <c r="BB685" s="0" t="s">
        <v>153</v>
      </c>
      <c r="DN685" s="0" t="s">
        <v>154</v>
      </c>
      <c r="DU685" s="0" t="s">
        <v>154</v>
      </c>
      <c r="EF685" s="0" t="s">
        <v>154</v>
      </c>
    </row>
    <row r="686" customFormat="false" ht="13.8" hidden="false" customHeight="false" outlineLevel="0" collapsed="false">
      <c r="A686" s="0" t="s">
        <v>3502</v>
      </c>
      <c r="B686" s="0" t="n">
        <v>78</v>
      </c>
      <c r="C686" s="0" t="n">
        <v>371958</v>
      </c>
      <c r="D686" s="0" t="s">
        <v>3499</v>
      </c>
      <c r="E686" s="0" t="s">
        <v>158</v>
      </c>
      <c r="F686" s="0" t="str">
        <f aca="false">CONCATENATE(D686," ",LEFT(H686,4),"T=",AU686,"D=",AV686,"R=",AW686,"M=",AX686,"L=",AY686,"B=",AZ686)</f>
        <v>KEVWITCH T=2D=0R=0M=0L=2B=0</v>
      </c>
      <c r="G686" s="0" t="s">
        <v>159</v>
      </c>
      <c r="I686" s="0" t="s">
        <v>2707</v>
      </c>
      <c r="J686" s="0" t="s">
        <v>3503</v>
      </c>
      <c r="K686" s="0" t="s">
        <v>175</v>
      </c>
      <c r="M686" s="0" t="s">
        <v>3497</v>
      </c>
      <c r="N686" s="0" t="str">
        <f aca="false">RIGHT(M686,LEN(M686)-FIND(" ",M686))</f>
        <v>DANA ST NE</v>
      </c>
      <c r="P686" s="0" t="s">
        <v>146</v>
      </c>
      <c r="Q686" s="0" t="s">
        <v>147</v>
      </c>
      <c r="R686" s="0" t="n">
        <v>44483</v>
      </c>
      <c r="AD686" s="0" t="s">
        <v>148</v>
      </c>
      <c r="AE686" s="0" t="s">
        <v>149</v>
      </c>
      <c r="AF686" s="0" t="s">
        <v>150</v>
      </c>
      <c r="AH686" s="0" t="n">
        <v>14</v>
      </c>
      <c r="AI686" s="0" t="n">
        <v>11</v>
      </c>
      <c r="AN686" s="0" t="s">
        <v>146</v>
      </c>
      <c r="AO686" s="0" t="s">
        <v>236</v>
      </c>
      <c r="AP686" s="0" t="s">
        <v>237</v>
      </c>
      <c r="AQ686" s="0" t="n">
        <v>9</v>
      </c>
      <c r="AR686" s="0" t="n">
        <v>64</v>
      </c>
      <c r="AS686" s="0" t="n">
        <v>32</v>
      </c>
      <c r="AU686" s="0" t="n">
        <f aca="false">COUNTA($BA$282:$EH$282)</f>
        <v>2</v>
      </c>
      <c r="AV686" s="0" t="n">
        <f aca="false">COUNTIF($BA$282:$EH$282,"D")</f>
        <v>0</v>
      </c>
      <c r="AW686" s="0" t="n">
        <f aca="false">COUNTIF($BA$282:$EH$282,"R")</f>
        <v>0</v>
      </c>
      <c r="AX686" s="0" t="n">
        <f aca="false"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>0</v>
      </c>
      <c r="AY686" s="0" t="n">
        <f aca="false">COUNTIF(DU686:EH686, "&lt;&gt;")</f>
        <v>2</v>
      </c>
      <c r="AZ686" s="0" t="n">
        <f aca="false">IF(EH686&lt;&gt;"",1,0)</f>
        <v>0</v>
      </c>
      <c r="BB686" s="0" t="s">
        <v>153</v>
      </c>
      <c r="DN686" s="0" t="s">
        <v>154</v>
      </c>
      <c r="DU686" s="0" t="s">
        <v>154</v>
      </c>
      <c r="EF686" s="0" t="s">
        <v>154</v>
      </c>
    </row>
    <row r="687" customFormat="false" ht="13.8" hidden="false" customHeight="false" outlineLevel="0" collapsed="false">
      <c r="A687" s="0" t="s">
        <v>3504</v>
      </c>
      <c r="B687" s="0" t="n">
        <v>78</v>
      </c>
      <c r="C687" s="0" t="n">
        <v>170039</v>
      </c>
      <c r="D687" s="0" t="s">
        <v>3505</v>
      </c>
      <c r="E687" s="0" t="s">
        <v>1034</v>
      </c>
      <c r="F687" s="0" t="str">
        <f aca="false">CONCATENATE(D687," ",LEFT(H687,4),"T=",AU687,"D=",AV687,"R=",AW687,"M=",AX687,"L=",AY687,"B=",AZ687)</f>
        <v>MCGAUGHY T=36D=13R=0M=9L=7B=1</v>
      </c>
      <c r="G687" s="0" t="s">
        <v>3506</v>
      </c>
      <c r="I687" s="0" t="s">
        <v>3507</v>
      </c>
      <c r="J687" s="0" t="s">
        <v>3508</v>
      </c>
      <c r="K687" s="0" t="s">
        <v>175</v>
      </c>
      <c r="L687" s="1" t="s">
        <v>155</v>
      </c>
      <c r="M687" s="0" t="s">
        <v>3509</v>
      </c>
      <c r="N687" s="0" t="str">
        <f aca="false">RIGHT(M687,LEN(M687)-FIND(" ",M687))</f>
        <v>DANA ST NE</v>
      </c>
      <c r="P687" s="0" t="s">
        <v>146</v>
      </c>
      <c r="Q687" s="0" t="s">
        <v>147</v>
      </c>
      <c r="R687" s="0" t="n">
        <v>44483</v>
      </c>
      <c r="AD687" s="0" t="s">
        <v>148</v>
      </c>
      <c r="AE687" s="0" t="s">
        <v>149</v>
      </c>
      <c r="AF687" s="0" t="s">
        <v>150</v>
      </c>
      <c r="AH687" s="0" t="n">
        <v>14</v>
      </c>
      <c r="AI687" s="0" t="n">
        <v>11</v>
      </c>
      <c r="AN687" s="0" t="s">
        <v>146</v>
      </c>
      <c r="AO687" s="0" t="s">
        <v>236</v>
      </c>
      <c r="AP687" s="0" t="s">
        <v>237</v>
      </c>
      <c r="AQ687" s="0" t="n">
        <v>9</v>
      </c>
      <c r="AR687" s="0" t="n">
        <v>64</v>
      </c>
      <c r="AS687" s="0" t="n">
        <v>32</v>
      </c>
      <c r="AU687" s="0" t="n">
        <f aca="false">COUNTA($BA$873:$EH$873)</f>
        <v>36</v>
      </c>
      <c r="AV687" s="0" t="n">
        <f aca="false">COUNTIF($BA$873:$EH$873,"D")</f>
        <v>13</v>
      </c>
      <c r="AW687" s="0" t="n">
        <f aca="false">COUNTIF($BA$873:$EH$873,"R")</f>
        <v>0</v>
      </c>
      <c r="AX687" s="0" t="n">
        <f aca="false"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>9</v>
      </c>
      <c r="AY687" s="0" t="n">
        <f aca="false">COUNTIF(DU687:EH687, "&lt;&gt;")</f>
        <v>7</v>
      </c>
      <c r="AZ687" s="0" t="n">
        <f aca="false">IF(EH687&lt;&gt;"",1,0)</f>
        <v>1</v>
      </c>
      <c r="BB687" s="0" t="s">
        <v>153</v>
      </c>
      <c r="BC687" s="0" t="s">
        <v>154</v>
      </c>
      <c r="BD687" s="0" t="s">
        <v>154</v>
      </c>
      <c r="BE687" s="0" t="s">
        <v>154</v>
      </c>
      <c r="BF687" s="0" t="s">
        <v>154</v>
      </c>
      <c r="BG687" s="0" t="s">
        <v>154</v>
      </c>
      <c r="BH687" s="0" t="s">
        <v>154</v>
      </c>
      <c r="BI687" s="0" t="s">
        <v>154</v>
      </c>
      <c r="BJ687" s="0" t="s">
        <v>154</v>
      </c>
      <c r="BK687" s="0" t="s">
        <v>154</v>
      </c>
      <c r="BL687" s="0" t="s">
        <v>154</v>
      </c>
      <c r="BP687" s="0" t="s">
        <v>154</v>
      </c>
      <c r="BR687" s="0" t="s">
        <v>154</v>
      </c>
      <c r="BS687" s="0" t="s">
        <v>154</v>
      </c>
      <c r="BV687" s="0" t="s">
        <v>154</v>
      </c>
      <c r="BY687" s="0" t="s">
        <v>155</v>
      </c>
      <c r="CA687" s="0" t="s">
        <v>154</v>
      </c>
      <c r="CC687" s="0" t="s">
        <v>155</v>
      </c>
      <c r="CG687" s="0" t="s">
        <v>154</v>
      </c>
      <c r="CH687" s="0" t="s">
        <v>155</v>
      </c>
      <c r="CK687" s="0" t="s">
        <v>154</v>
      </c>
      <c r="CL687" s="0" t="s">
        <v>155</v>
      </c>
      <c r="CN687" s="0" t="s">
        <v>154</v>
      </c>
      <c r="CO687" s="0" t="s">
        <v>155</v>
      </c>
      <c r="CP687" s="0" t="s">
        <v>154</v>
      </c>
      <c r="CQ687" s="0" t="s">
        <v>155</v>
      </c>
      <c r="CT687" s="0" t="s">
        <v>154</v>
      </c>
      <c r="CU687" s="0" t="s">
        <v>155</v>
      </c>
      <c r="CV687" s="0" t="s">
        <v>154</v>
      </c>
      <c r="CW687" s="0" t="s">
        <v>155</v>
      </c>
      <c r="CY687" s="0" t="s">
        <v>154</v>
      </c>
      <c r="CZ687" s="0" t="s">
        <v>155</v>
      </c>
      <c r="DC687" s="0" t="s">
        <v>154</v>
      </c>
      <c r="DD687" s="0" t="s">
        <v>155</v>
      </c>
      <c r="DF687" s="0" t="s">
        <v>154</v>
      </c>
      <c r="DG687" s="0" t="s">
        <v>155</v>
      </c>
      <c r="DI687" s="0" t="s">
        <v>154</v>
      </c>
      <c r="DJ687" s="0" t="s">
        <v>155</v>
      </c>
      <c r="DL687" s="0" t="s">
        <v>154</v>
      </c>
      <c r="DM687" s="0" t="s">
        <v>155</v>
      </c>
      <c r="DN687" s="0" t="s">
        <v>154</v>
      </c>
      <c r="DO687" s="0" t="s">
        <v>155</v>
      </c>
      <c r="DR687" s="0" t="s">
        <v>154</v>
      </c>
      <c r="DS687" s="0" t="s">
        <v>155</v>
      </c>
      <c r="DT687" s="0" t="s">
        <v>155</v>
      </c>
      <c r="DU687" s="0" t="s">
        <v>154</v>
      </c>
      <c r="DW687" s="0" t="s">
        <v>155</v>
      </c>
      <c r="DX687" s="0" t="s">
        <v>154</v>
      </c>
      <c r="EA687" s="0" t="s">
        <v>154</v>
      </c>
      <c r="ED687" s="0" t="s">
        <v>155</v>
      </c>
      <c r="EF687" s="0" t="s">
        <v>154</v>
      </c>
      <c r="EH687" s="0" t="s">
        <v>155</v>
      </c>
    </row>
    <row r="688" customFormat="false" ht="13.8" hidden="false" customHeight="false" outlineLevel="0" collapsed="false">
      <c r="A688" s="0" t="s">
        <v>3510</v>
      </c>
      <c r="B688" s="0" t="n">
        <v>78</v>
      </c>
      <c r="C688" s="0" t="n">
        <v>110676</v>
      </c>
      <c r="D688" s="0" t="s">
        <v>3511</v>
      </c>
      <c r="E688" s="0" t="s">
        <v>1942</v>
      </c>
      <c r="F688" s="0" t="str">
        <f aca="false">CONCATENATE(D688," ",LEFT(H688,4),"T=",AU688,"D=",AV688,"R=",AW688,"M=",AX688,"L=",AY688,"B=",AZ688)</f>
        <v>CARROLL T=1D=0R=0M=2L=6B=0</v>
      </c>
      <c r="G688" s="0" t="s">
        <v>202</v>
      </c>
      <c r="I688" s="0" t="s">
        <v>3512</v>
      </c>
      <c r="J688" s="0" t="s">
        <v>3224</v>
      </c>
      <c r="K688" s="0" t="s">
        <v>175</v>
      </c>
      <c r="L688" s="1" t="s">
        <v>176</v>
      </c>
      <c r="M688" s="0" t="s">
        <v>3513</v>
      </c>
      <c r="N688" s="0" t="str">
        <f aca="false">RIGHT(M688,LEN(M688)-FIND(" ",M688))</f>
        <v>DANA ST NE</v>
      </c>
      <c r="P688" s="0" t="s">
        <v>146</v>
      </c>
      <c r="Q688" s="0" t="s">
        <v>147</v>
      </c>
      <c r="R688" s="0" t="n">
        <v>44483</v>
      </c>
      <c r="AD688" s="0" t="s">
        <v>148</v>
      </c>
      <c r="AE688" s="0" t="s">
        <v>149</v>
      </c>
      <c r="AF688" s="0" t="s">
        <v>150</v>
      </c>
      <c r="AH688" s="0" t="n">
        <v>14</v>
      </c>
      <c r="AI688" s="0" t="n">
        <v>11</v>
      </c>
      <c r="AN688" s="0" t="s">
        <v>146</v>
      </c>
      <c r="AO688" s="0" t="s">
        <v>236</v>
      </c>
      <c r="AP688" s="0" t="s">
        <v>237</v>
      </c>
      <c r="AQ688" s="0" t="n">
        <v>9</v>
      </c>
      <c r="AR688" s="0" t="n">
        <v>64</v>
      </c>
      <c r="AS688" s="0" t="n">
        <v>32</v>
      </c>
      <c r="AU688" s="0" t="n">
        <f aca="false">COUNTA($BA$510:$EH$510)</f>
        <v>1</v>
      </c>
      <c r="AV688" s="0" t="n">
        <f aca="false">COUNTIF($BA$510:$EH$510,"D")</f>
        <v>0</v>
      </c>
      <c r="AW688" s="0" t="n">
        <f aca="false">COUNTIF($BA$510:$EH$510,"R")</f>
        <v>0</v>
      </c>
      <c r="AX688" s="0" t="n">
        <f aca="false"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>2</v>
      </c>
      <c r="AY688" s="0" t="n">
        <f aca="false">COUNTIF(DU688:EH688, "&lt;&gt;")</f>
        <v>6</v>
      </c>
      <c r="AZ688" s="0" t="n">
        <f aca="false">IF(EH688&lt;&gt;"",1,0)</f>
        <v>0</v>
      </c>
      <c r="BB688" s="0" t="s">
        <v>153</v>
      </c>
      <c r="BC688" s="0" t="s">
        <v>154</v>
      </c>
      <c r="BD688" s="0" t="s">
        <v>154</v>
      </c>
      <c r="BF688" s="0" t="s">
        <v>154</v>
      </c>
      <c r="BH688" s="0" t="s">
        <v>154</v>
      </c>
      <c r="BI688" s="0" t="s">
        <v>154</v>
      </c>
      <c r="BJ688" s="0" t="s">
        <v>154</v>
      </c>
      <c r="BK688" s="0" t="s">
        <v>154</v>
      </c>
      <c r="BL688" s="0" t="s">
        <v>154</v>
      </c>
      <c r="BS688" s="0" t="s">
        <v>154</v>
      </c>
      <c r="CA688" s="0" t="s">
        <v>154</v>
      </c>
      <c r="CK688" s="0" t="s">
        <v>154</v>
      </c>
      <c r="CL688" s="0" t="s">
        <v>155</v>
      </c>
      <c r="CN688" s="0" t="s">
        <v>154</v>
      </c>
      <c r="CO688" s="0" t="s">
        <v>155</v>
      </c>
      <c r="CP688" s="0" t="s">
        <v>154</v>
      </c>
      <c r="CQ688" s="0" t="s">
        <v>154</v>
      </c>
      <c r="CT688" s="0" t="s">
        <v>154</v>
      </c>
      <c r="CU688" s="0" t="s">
        <v>155</v>
      </c>
      <c r="CV688" s="0" t="s">
        <v>154</v>
      </c>
      <c r="CW688" s="0" t="s">
        <v>154</v>
      </c>
      <c r="CY688" s="0" t="s">
        <v>154</v>
      </c>
      <c r="CZ688" s="0" t="s">
        <v>176</v>
      </c>
      <c r="DC688" s="0" t="s">
        <v>154</v>
      </c>
      <c r="DD688" s="0" t="s">
        <v>154</v>
      </c>
      <c r="DF688" s="0" t="s">
        <v>154</v>
      </c>
      <c r="DI688" s="0" t="s">
        <v>154</v>
      </c>
      <c r="DN688" s="0" t="s">
        <v>154</v>
      </c>
      <c r="DR688" s="0" t="s">
        <v>154</v>
      </c>
      <c r="DS688" s="0" t="s">
        <v>176</v>
      </c>
      <c r="DU688" s="0" t="s">
        <v>154</v>
      </c>
      <c r="DW688" s="0" t="s">
        <v>155</v>
      </c>
      <c r="DX688" s="0" t="s">
        <v>154</v>
      </c>
      <c r="EA688" s="0" t="s">
        <v>154</v>
      </c>
      <c r="ED688" s="0" t="s">
        <v>176</v>
      </c>
      <c r="EF688" s="0" t="s">
        <v>154</v>
      </c>
    </row>
    <row r="689" customFormat="false" ht="13.8" hidden="true" customHeight="false" outlineLevel="0" collapsed="false">
      <c r="A689" s="0" t="s">
        <v>3514</v>
      </c>
      <c r="B689" s="0" t="n">
        <v>78</v>
      </c>
      <c r="C689" s="0" t="n">
        <v>455385</v>
      </c>
      <c r="D689" s="0" t="s">
        <v>3515</v>
      </c>
      <c r="E689" s="0" t="s">
        <v>1980</v>
      </c>
      <c r="F689" s="0" t="str">
        <f aca="false">CONCATENATE(D689," ",LEFT(H689,4),"T=",AU689,"D=",AV689,"R=",AW689,"M=",AX689,"L=",AY689,"B=",AZ689)</f>
        <v>TUMBLIN T=7D=1R=0M=0L=1B=0</v>
      </c>
      <c r="G689" s="0" t="s">
        <v>176</v>
      </c>
      <c r="I689" s="0" t="s">
        <v>3516</v>
      </c>
      <c r="J689" s="0" t="s">
        <v>3517</v>
      </c>
      <c r="K689" s="0" t="s">
        <v>175</v>
      </c>
      <c r="L689" s="0"/>
      <c r="M689" s="0" t="s">
        <v>3518</v>
      </c>
      <c r="N689" s="0" t="str">
        <f aca="false">RIGHT(M689,LEN(M689)-FIND(" ",M689))</f>
        <v>DANA ST NE</v>
      </c>
      <c r="P689" s="0" t="s">
        <v>146</v>
      </c>
      <c r="Q689" s="0" t="s">
        <v>147</v>
      </c>
      <c r="R689" s="0" t="n">
        <v>44483</v>
      </c>
      <c r="AD689" s="0" t="s">
        <v>148</v>
      </c>
      <c r="AE689" s="0" t="s">
        <v>149</v>
      </c>
      <c r="AF689" s="0" t="s">
        <v>150</v>
      </c>
      <c r="AH689" s="0" t="n">
        <v>14</v>
      </c>
      <c r="AI689" s="0" t="n">
        <v>11</v>
      </c>
      <c r="AN689" s="0" t="s">
        <v>146</v>
      </c>
      <c r="AO689" s="0" t="s">
        <v>236</v>
      </c>
      <c r="AP689" s="0" t="s">
        <v>237</v>
      </c>
      <c r="AQ689" s="0" t="n">
        <v>9</v>
      </c>
      <c r="AR689" s="0" t="n">
        <v>64</v>
      </c>
      <c r="AS689" s="0" t="n">
        <v>32</v>
      </c>
      <c r="AU689" s="0" t="n">
        <f aca="false">COUNTA($BA$107:$EH$107)</f>
        <v>7</v>
      </c>
      <c r="AV689" s="0" t="n">
        <f aca="false">COUNTIF($BA$107:$EH$107,"D")</f>
        <v>1</v>
      </c>
      <c r="AW689" s="0" t="n">
        <f aca="false">COUNTIF($BA$107:$EH$107,"R")</f>
        <v>0</v>
      </c>
      <c r="AX689" s="0" t="n">
        <f aca="false"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>0</v>
      </c>
      <c r="AY689" s="0" t="n">
        <f aca="false">COUNTIF(DU689:EH689, "&lt;&gt;")</f>
        <v>1</v>
      </c>
      <c r="AZ689" s="0" t="n">
        <f aca="false">IF(EH689&lt;&gt;"",1,0)</f>
        <v>0</v>
      </c>
      <c r="BB689" s="0" t="s">
        <v>153</v>
      </c>
      <c r="DC689" s="0" t="s">
        <v>154</v>
      </c>
      <c r="EF689" s="0" t="s">
        <v>154</v>
      </c>
    </row>
    <row r="690" customFormat="false" ht="13.8" hidden="false" customHeight="false" outlineLevel="0" collapsed="false">
      <c r="A690" s="0" t="s">
        <v>3519</v>
      </c>
      <c r="B690" s="0" t="n">
        <v>78</v>
      </c>
      <c r="C690" s="0" t="n">
        <v>449681</v>
      </c>
      <c r="D690" s="0" t="s">
        <v>1521</v>
      </c>
      <c r="E690" s="0" t="s">
        <v>652</v>
      </c>
      <c r="F690" s="0" t="str">
        <f aca="false">CONCATENATE(D690," ",LEFT(H690,4),"T=",AU690,"D=",AV690,"R=",AW690,"M=",AX690,"L=",AY690,"B=",AZ690)</f>
        <v>LOCKHART T=1D=0R=0M=0L=2B=0</v>
      </c>
      <c r="G690" s="0" t="s">
        <v>188</v>
      </c>
      <c r="I690" s="0" t="s">
        <v>3520</v>
      </c>
      <c r="J690" s="0" t="s">
        <v>3521</v>
      </c>
      <c r="K690" s="0" t="s">
        <v>175</v>
      </c>
      <c r="M690" s="0" t="s">
        <v>3522</v>
      </c>
      <c r="N690" s="0" t="str">
        <f aca="false">RIGHT(M690,LEN(M690)-FIND(" ",M690))</f>
        <v>DANA ST NE</v>
      </c>
      <c r="P690" s="0" t="s">
        <v>146</v>
      </c>
      <c r="Q690" s="0" t="s">
        <v>147</v>
      </c>
      <c r="R690" s="0" t="n">
        <v>44483</v>
      </c>
      <c r="AD690" s="0" t="s">
        <v>148</v>
      </c>
      <c r="AE690" s="0" t="s">
        <v>149</v>
      </c>
      <c r="AF690" s="0" t="s">
        <v>150</v>
      </c>
      <c r="AH690" s="0" t="n">
        <v>14</v>
      </c>
      <c r="AI690" s="0" t="n">
        <v>11</v>
      </c>
      <c r="AN690" s="0" t="s">
        <v>146</v>
      </c>
      <c r="AO690" s="0" t="s">
        <v>236</v>
      </c>
      <c r="AP690" s="0" t="s">
        <v>237</v>
      </c>
      <c r="AQ690" s="0" t="n">
        <v>9</v>
      </c>
      <c r="AR690" s="0" t="n">
        <v>64</v>
      </c>
      <c r="AS690" s="0" t="n">
        <v>32</v>
      </c>
      <c r="AU690" s="0" t="n">
        <f aca="false">COUNTA($BA$461:$EH$461)</f>
        <v>1</v>
      </c>
      <c r="AV690" s="0" t="n">
        <f aca="false">COUNTIF($BA$461:$EH$461,"D")</f>
        <v>0</v>
      </c>
      <c r="AW690" s="0" t="n">
        <f aca="false">COUNTIF($BA$461:$EH$461,"R")</f>
        <v>0</v>
      </c>
      <c r="AX690" s="0" t="n">
        <f aca="false"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>0</v>
      </c>
      <c r="AY690" s="0" t="n">
        <f aca="false">COUNTIF(DU690:EH690, "&lt;&gt;")</f>
        <v>2</v>
      </c>
      <c r="AZ690" s="0" t="n">
        <f aca="false">IF(EH690&lt;&gt;"",1,0)</f>
        <v>0</v>
      </c>
      <c r="BB690" s="0" t="s">
        <v>153</v>
      </c>
      <c r="BS690" s="0" t="s">
        <v>154</v>
      </c>
      <c r="DN690" s="0" t="s">
        <v>154</v>
      </c>
      <c r="DU690" s="0" t="s">
        <v>154</v>
      </c>
      <c r="EF690" s="0" t="s">
        <v>154</v>
      </c>
    </row>
    <row r="691" customFormat="false" ht="13.8" hidden="true" customHeight="false" outlineLevel="0" collapsed="false">
      <c r="A691" s="0" t="s">
        <v>3523</v>
      </c>
      <c r="B691" s="0" t="n">
        <v>78</v>
      </c>
      <c r="C691" s="0" t="n">
        <v>313717</v>
      </c>
      <c r="D691" s="0" t="s">
        <v>3524</v>
      </c>
      <c r="E691" s="0" t="s">
        <v>1347</v>
      </c>
      <c r="F691" s="0" t="str">
        <f aca="false">CONCATENATE(D691," ",LEFT(H691,4),"T=",AU691,"D=",AV691,"R=",AW691,"M=",AX691,"L=",AY691,"B=",AZ691)</f>
        <v>DAWKINS T=7D=1R=0M=0L=1B=0</v>
      </c>
      <c r="I691" s="0" t="s">
        <v>3525</v>
      </c>
      <c r="J691" s="0" t="s">
        <v>3526</v>
      </c>
      <c r="K691" s="0" t="s">
        <v>175</v>
      </c>
      <c r="L691" s="0"/>
      <c r="M691" s="0" t="s">
        <v>3527</v>
      </c>
      <c r="N691" s="0" t="str">
        <f aca="false">RIGHT(M691,LEN(M691)-FIND(" ",M691))</f>
        <v>DANA ST NE</v>
      </c>
      <c r="P691" s="0" t="s">
        <v>146</v>
      </c>
      <c r="Q691" s="0" t="s">
        <v>147</v>
      </c>
      <c r="R691" s="0" t="n">
        <v>44483</v>
      </c>
      <c r="AD691" s="0" t="s">
        <v>148</v>
      </c>
      <c r="AE691" s="0" t="s">
        <v>149</v>
      </c>
      <c r="AF691" s="0" t="s">
        <v>150</v>
      </c>
      <c r="AH691" s="0" t="n">
        <v>14</v>
      </c>
      <c r="AI691" s="0" t="n">
        <v>11</v>
      </c>
      <c r="AN691" s="0" t="s">
        <v>146</v>
      </c>
      <c r="AO691" s="0" t="s">
        <v>236</v>
      </c>
      <c r="AP691" s="0" t="s">
        <v>237</v>
      </c>
      <c r="AQ691" s="0" t="n">
        <v>9</v>
      </c>
      <c r="AR691" s="0" t="n">
        <v>64</v>
      </c>
      <c r="AS691" s="0" t="n">
        <v>32</v>
      </c>
      <c r="AU691" s="0" t="n">
        <f aca="false">COUNTA($BA$75:$EH$75)</f>
        <v>7</v>
      </c>
      <c r="AV691" s="0" t="n">
        <f aca="false">COUNTIF($BA$75:$EH$75,"D")</f>
        <v>1</v>
      </c>
      <c r="AW691" s="0" t="n">
        <f aca="false">COUNTIF($BA$75:$EH$75,"R")</f>
        <v>0</v>
      </c>
      <c r="AX691" s="0" t="n">
        <f aca="false"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>0</v>
      </c>
      <c r="AY691" s="0" t="n">
        <f aca="false">COUNTIF(DU691:EH691, "&lt;&gt;")</f>
        <v>1</v>
      </c>
      <c r="AZ691" s="0" t="n">
        <f aca="false">IF(EH691&lt;&gt;"",1,0)</f>
        <v>0</v>
      </c>
      <c r="BB691" s="0" t="s">
        <v>153</v>
      </c>
      <c r="BL691" s="0" t="s">
        <v>154</v>
      </c>
      <c r="BS691" s="0" t="s">
        <v>154</v>
      </c>
      <c r="BY691" s="0" t="s">
        <v>155</v>
      </c>
      <c r="CA691" s="0" t="s">
        <v>154</v>
      </c>
      <c r="CP691" s="0" t="s">
        <v>154</v>
      </c>
      <c r="DN691" s="0" t="s">
        <v>154</v>
      </c>
      <c r="EF691" s="0" t="s">
        <v>154</v>
      </c>
    </row>
    <row r="692" customFormat="false" ht="13.8" hidden="false" customHeight="false" outlineLevel="0" collapsed="false">
      <c r="A692" s="0" t="s">
        <v>3528</v>
      </c>
      <c r="B692" s="0" t="n">
        <v>78</v>
      </c>
      <c r="C692" s="0" t="n">
        <v>287981</v>
      </c>
      <c r="D692" s="0" t="s">
        <v>3529</v>
      </c>
      <c r="E692" s="0" t="s">
        <v>3530</v>
      </c>
      <c r="F692" s="0" t="str">
        <f aca="false">CONCATENATE(D692," ",LEFT(H692,4),"T=",AU692,"D=",AV692,"R=",AW692,"M=",AX692,"L=",AY692,"B=",AZ692)</f>
        <v>JENNINGS T=2D=0R=0M=4L=4B=0</v>
      </c>
      <c r="I692" s="0" t="s">
        <v>3531</v>
      </c>
      <c r="J692" s="0" t="s">
        <v>2249</v>
      </c>
      <c r="K692" s="0" t="s">
        <v>175</v>
      </c>
      <c r="L692" s="1" t="s">
        <v>155</v>
      </c>
      <c r="M692" s="0" t="s">
        <v>3532</v>
      </c>
      <c r="N692" s="0" t="str">
        <f aca="false">RIGHT(M692,LEN(M692)-FIND(" ",M692))</f>
        <v>DANA ST NE</v>
      </c>
      <c r="P692" s="0" t="s">
        <v>146</v>
      </c>
      <c r="Q692" s="0" t="s">
        <v>147</v>
      </c>
      <c r="R692" s="0" t="n">
        <v>44483</v>
      </c>
      <c r="AD692" s="0" t="s">
        <v>148</v>
      </c>
      <c r="AE692" s="0" t="s">
        <v>149</v>
      </c>
      <c r="AF692" s="0" t="s">
        <v>150</v>
      </c>
      <c r="AH692" s="0" t="n">
        <v>14</v>
      </c>
      <c r="AI692" s="0" t="n">
        <v>11</v>
      </c>
      <c r="AN692" s="0" t="s">
        <v>146</v>
      </c>
      <c r="AO692" s="0" t="s">
        <v>236</v>
      </c>
      <c r="AP692" s="0" t="s">
        <v>237</v>
      </c>
      <c r="AQ692" s="0" t="n">
        <v>9</v>
      </c>
      <c r="AR692" s="0" t="n">
        <v>64</v>
      </c>
      <c r="AS692" s="0" t="n">
        <v>32</v>
      </c>
      <c r="AU692" s="0" t="n">
        <f aca="false">COUNTA($BA$822:$EH$822)</f>
        <v>2</v>
      </c>
      <c r="AV692" s="0" t="n">
        <f aca="false">COUNTIF($BA$822:$EH$822,"D")</f>
        <v>0</v>
      </c>
      <c r="AW692" s="0" t="n">
        <f aca="false">COUNTIF($BA$822:$EH$822,"R")</f>
        <v>0</v>
      </c>
      <c r="AX692" s="0" t="n">
        <f aca="false"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>4</v>
      </c>
      <c r="AY692" s="0" t="n">
        <f aca="false">COUNTIF(DU692:EH692, "&lt;&gt;")</f>
        <v>4</v>
      </c>
      <c r="AZ692" s="0" t="n">
        <f aca="false">IF(EH692&lt;&gt;"",1,0)</f>
        <v>0</v>
      </c>
      <c r="BB692" s="0" t="s">
        <v>153</v>
      </c>
      <c r="BC692" s="0" t="s">
        <v>154</v>
      </c>
      <c r="BD692" s="0" t="s">
        <v>154</v>
      </c>
      <c r="BE692" s="0" t="s">
        <v>154</v>
      </c>
      <c r="BF692" s="0" t="s">
        <v>154</v>
      </c>
      <c r="BG692" s="0" t="s">
        <v>154</v>
      </c>
      <c r="BH692" s="0" t="s">
        <v>154</v>
      </c>
      <c r="BI692" s="0" t="s">
        <v>154</v>
      </c>
      <c r="BJ692" s="0" t="s">
        <v>154</v>
      </c>
      <c r="BK692" s="0" t="s">
        <v>154</v>
      </c>
      <c r="BL692" s="0" t="s">
        <v>154</v>
      </c>
      <c r="BP692" s="0" t="s">
        <v>154</v>
      </c>
      <c r="BS692" s="0" t="s">
        <v>154</v>
      </c>
      <c r="BV692" s="0" t="s">
        <v>154</v>
      </c>
      <c r="BY692" s="0" t="s">
        <v>155</v>
      </c>
      <c r="CA692" s="0" t="s">
        <v>154</v>
      </c>
      <c r="CG692" s="0" t="s">
        <v>154</v>
      </c>
      <c r="CH692" s="0" t="s">
        <v>155</v>
      </c>
      <c r="CL692" s="0" t="s">
        <v>155</v>
      </c>
      <c r="CN692" s="0" t="s">
        <v>154</v>
      </c>
      <c r="CP692" s="0" t="s">
        <v>154</v>
      </c>
      <c r="CU692" s="0" t="s">
        <v>155</v>
      </c>
      <c r="CV692" s="0" t="s">
        <v>154</v>
      </c>
      <c r="CW692" s="0" t="s">
        <v>155</v>
      </c>
      <c r="CY692" s="0" t="s">
        <v>154</v>
      </c>
      <c r="CZ692" s="0" t="s">
        <v>176</v>
      </c>
      <c r="DC692" s="0" t="s">
        <v>154</v>
      </c>
      <c r="DD692" s="0" t="s">
        <v>155</v>
      </c>
      <c r="DF692" s="0" t="s">
        <v>154</v>
      </c>
      <c r="DG692" s="0" t="s">
        <v>155</v>
      </c>
      <c r="DI692" s="0" t="s">
        <v>154</v>
      </c>
      <c r="DL692" s="0" t="s">
        <v>154</v>
      </c>
      <c r="DN692" s="0" t="s">
        <v>154</v>
      </c>
      <c r="DU692" s="0" t="s">
        <v>154</v>
      </c>
      <c r="DW692" s="0" t="s">
        <v>155</v>
      </c>
      <c r="EA692" s="0" t="s">
        <v>154</v>
      </c>
      <c r="EF692" s="0" t="s">
        <v>154</v>
      </c>
    </row>
    <row r="693" customFormat="false" ht="13.8" hidden="false" customHeight="false" outlineLevel="0" collapsed="false">
      <c r="A693" s="0" t="s">
        <v>3533</v>
      </c>
      <c r="B693" s="0" t="n">
        <v>78</v>
      </c>
      <c r="C693" s="0" t="n">
        <v>305198</v>
      </c>
      <c r="D693" s="0" t="s">
        <v>790</v>
      </c>
      <c r="E693" s="0" t="s">
        <v>513</v>
      </c>
      <c r="F693" s="0" t="str">
        <f aca="false">CONCATENATE(D693," ",LEFT(H693,4),"T=",AU693,"D=",AV693,"R=",AW693,"M=",AX693,"L=",AY693,"B=",AZ693)</f>
        <v>KING T=50D=16R=1M=4L=6B=1</v>
      </c>
      <c r="G693" s="0" t="s">
        <v>159</v>
      </c>
      <c r="I693" s="0" t="s">
        <v>3534</v>
      </c>
      <c r="J693" s="0" t="s">
        <v>3535</v>
      </c>
      <c r="K693" s="0" t="s">
        <v>175</v>
      </c>
      <c r="L693" s="1" t="s">
        <v>155</v>
      </c>
      <c r="M693" s="0" t="s">
        <v>3532</v>
      </c>
      <c r="N693" s="0" t="str">
        <f aca="false">RIGHT(M693,LEN(M693)-FIND(" ",M693))</f>
        <v>DANA ST NE</v>
      </c>
      <c r="P693" s="0" t="s">
        <v>146</v>
      </c>
      <c r="Q693" s="0" t="s">
        <v>147</v>
      </c>
      <c r="R693" s="0" t="n">
        <v>44483</v>
      </c>
      <c r="AD693" s="0" t="s">
        <v>148</v>
      </c>
      <c r="AE693" s="0" t="s">
        <v>149</v>
      </c>
      <c r="AF693" s="0" t="s">
        <v>150</v>
      </c>
      <c r="AH693" s="0" t="n">
        <v>14</v>
      </c>
      <c r="AI693" s="0" t="n">
        <v>11</v>
      </c>
      <c r="AN693" s="0" t="s">
        <v>146</v>
      </c>
      <c r="AO693" s="0" t="s">
        <v>236</v>
      </c>
      <c r="AP693" s="0" t="s">
        <v>237</v>
      </c>
      <c r="AQ693" s="0" t="n">
        <v>9</v>
      </c>
      <c r="AR693" s="0" t="n">
        <v>64</v>
      </c>
      <c r="AS693" s="0" t="n">
        <v>32</v>
      </c>
      <c r="AU693" s="0" t="n">
        <f aca="false">COUNTA($BA$882:$EH$882)</f>
        <v>50</v>
      </c>
      <c r="AV693" s="0" t="n">
        <f aca="false">COUNTIF($BA$882:$EH$882,"D")</f>
        <v>16</v>
      </c>
      <c r="AW693" s="0" t="n">
        <f aca="false">COUNTIF($BA$882:$EH$882,"R")</f>
        <v>1</v>
      </c>
      <c r="AX693" s="0" t="n">
        <f aca="false"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>4</v>
      </c>
      <c r="AY693" s="0" t="n">
        <f aca="false">COUNTIF(DU693:EH693, "&lt;&gt;")</f>
        <v>6</v>
      </c>
      <c r="AZ693" s="0" t="n">
        <f aca="false">IF(EH693&lt;&gt;"",1,0)</f>
        <v>1</v>
      </c>
      <c r="BB693" s="0" t="s">
        <v>153</v>
      </c>
      <c r="CA693" s="0" t="s">
        <v>154</v>
      </c>
      <c r="CN693" s="0" t="s">
        <v>154</v>
      </c>
      <c r="CY693" s="0" t="s">
        <v>154</v>
      </c>
      <c r="DC693" s="0" t="s">
        <v>154</v>
      </c>
      <c r="DD693" s="0" t="s">
        <v>155</v>
      </c>
      <c r="DJ693" s="0" t="s">
        <v>155</v>
      </c>
      <c r="DL693" s="0" t="s">
        <v>154</v>
      </c>
      <c r="DN693" s="0" t="s">
        <v>154</v>
      </c>
      <c r="DR693" s="0" t="s">
        <v>154</v>
      </c>
      <c r="DU693" s="0" t="s">
        <v>154</v>
      </c>
      <c r="DW693" s="0" t="s">
        <v>155</v>
      </c>
      <c r="DX693" s="0" t="s">
        <v>154</v>
      </c>
      <c r="EA693" s="0" t="s">
        <v>154</v>
      </c>
      <c r="EF693" s="0" t="s">
        <v>154</v>
      </c>
      <c r="EH693" s="0" t="s">
        <v>155</v>
      </c>
    </row>
    <row r="694" customFormat="false" ht="13.8" hidden="false" customHeight="false" outlineLevel="0" collapsed="false">
      <c r="A694" s="0" t="s">
        <v>3536</v>
      </c>
      <c r="B694" s="0" t="n">
        <v>78</v>
      </c>
      <c r="C694" s="0" t="n">
        <v>6521</v>
      </c>
      <c r="D694" s="0" t="s">
        <v>3529</v>
      </c>
      <c r="E694" s="0" t="s">
        <v>619</v>
      </c>
      <c r="F694" s="0" t="str">
        <f aca="false">CONCATENATE(D694," ",LEFT(H694,4),"T=",AU694,"D=",AV694,"R=",AW694,"M=",AX694,"L=",AY694,"B=",AZ694)</f>
        <v>JENNINGS T=1D=0R=0M=8L=6B=1</v>
      </c>
      <c r="G694" s="0" t="s">
        <v>365</v>
      </c>
      <c r="I694" s="0" t="s">
        <v>3537</v>
      </c>
      <c r="J694" s="0" t="s">
        <v>3538</v>
      </c>
      <c r="K694" s="0" t="s">
        <v>175</v>
      </c>
      <c r="L694" s="1" t="s">
        <v>155</v>
      </c>
      <c r="M694" s="0" t="s">
        <v>3532</v>
      </c>
      <c r="N694" s="0" t="str">
        <f aca="false">RIGHT(M694,LEN(M694)-FIND(" ",M694))</f>
        <v>DANA ST NE</v>
      </c>
      <c r="P694" s="0" t="s">
        <v>146</v>
      </c>
      <c r="Q694" s="0" t="s">
        <v>147</v>
      </c>
      <c r="R694" s="0" t="n">
        <v>44483</v>
      </c>
      <c r="AD694" s="0" t="s">
        <v>148</v>
      </c>
      <c r="AE694" s="0" t="s">
        <v>149</v>
      </c>
      <c r="AF694" s="0" t="s">
        <v>150</v>
      </c>
      <c r="AH694" s="0" t="n">
        <v>14</v>
      </c>
      <c r="AI694" s="0" t="n">
        <v>11</v>
      </c>
      <c r="AN694" s="0" t="s">
        <v>146</v>
      </c>
      <c r="AO694" s="0" t="s">
        <v>236</v>
      </c>
      <c r="AP694" s="0" t="s">
        <v>237</v>
      </c>
      <c r="AQ694" s="0" t="n">
        <v>9</v>
      </c>
      <c r="AR694" s="0" t="n">
        <v>64</v>
      </c>
      <c r="AS694" s="0" t="n">
        <v>32</v>
      </c>
      <c r="AU694" s="0" t="n">
        <f aca="false">COUNTA($BA$888:$EH$888)</f>
        <v>1</v>
      </c>
      <c r="AV694" s="0" t="n">
        <f aca="false">COUNTIF($BA$888:$EH$888,"D")</f>
        <v>0</v>
      </c>
      <c r="AW694" s="0" t="n">
        <f aca="false">COUNTIF($BA$888:$EH$888,"R")</f>
        <v>0</v>
      </c>
      <c r="AX694" s="0" t="n">
        <f aca="false"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>8</v>
      </c>
      <c r="AY694" s="0" t="n">
        <f aca="false">COUNTIF(DU694:EH694, "&lt;&gt;")</f>
        <v>6</v>
      </c>
      <c r="AZ694" s="0" t="n">
        <f aca="false">IF(EH694&lt;&gt;"",1,0)</f>
        <v>1</v>
      </c>
      <c r="BB694" s="0" t="s">
        <v>153</v>
      </c>
      <c r="BC694" s="0" t="s">
        <v>154</v>
      </c>
      <c r="BD694" s="0" t="s">
        <v>154</v>
      </c>
      <c r="BE694" s="0" t="s">
        <v>154</v>
      </c>
      <c r="BF694" s="0" t="s">
        <v>154</v>
      </c>
      <c r="BG694" s="0" t="s">
        <v>154</v>
      </c>
      <c r="BH694" s="0" t="s">
        <v>154</v>
      </c>
      <c r="BI694" s="0" t="s">
        <v>154</v>
      </c>
      <c r="BJ694" s="0" t="s">
        <v>154</v>
      </c>
      <c r="BK694" s="0" t="s">
        <v>154</v>
      </c>
      <c r="BL694" s="0" t="s">
        <v>154</v>
      </c>
      <c r="BP694" s="0" t="s">
        <v>154</v>
      </c>
      <c r="BS694" s="0" t="s">
        <v>154</v>
      </c>
      <c r="CA694" s="0" t="s">
        <v>154</v>
      </c>
      <c r="CC694" s="0" t="s">
        <v>155</v>
      </c>
      <c r="CG694" s="0" t="s">
        <v>154</v>
      </c>
      <c r="CL694" s="0" t="s">
        <v>155</v>
      </c>
      <c r="CN694" s="0" t="s">
        <v>154</v>
      </c>
      <c r="CO694" s="0" t="s">
        <v>155</v>
      </c>
      <c r="CP694" s="0" t="s">
        <v>154</v>
      </c>
      <c r="CT694" s="0" t="s">
        <v>154</v>
      </c>
      <c r="CU694" s="0" t="s">
        <v>155</v>
      </c>
      <c r="CV694" s="0" t="s">
        <v>154</v>
      </c>
      <c r="CW694" s="0" t="s">
        <v>155</v>
      </c>
      <c r="CY694" s="0" t="s">
        <v>154</v>
      </c>
      <c r="CZ694" s="0" t="s">
        <v>155</v>
      </c>
      <c r="DC694" s="0" t="s">
        <v>154</v>
      </c>
      <c r="DD694" s="0" t="s">
        <v>155</v>
      </c>
      <c r="DF694" s="0" t="s">
        <v>154</v>
      </c>
      <c r="DI694" s="0" t="s">
        <v>154</v>
      </c>
      <c r="DJ694" s="0" t="s">
        <v>155</v>
      </c>
      <c r="DL694" s="0" t="s">
        <v>154</v>
      </c>
      <c r="DM694" s="0" t="s">
        <v>155</v>
      </c>
      <c r="DN694" s="0" t="s">
        <v>154</v>
      </c>
      <c r="DO694" s="0" t="s">
        <v>155</v>
      </c>
      <c r="DR694" s="0" t="s">
        <v>154</v>
      </c>
      <c r="DS694" s="0" t="s">
        <v>155</v>
      </c>
      <c r="DW694" s="0" t="s">
        <v>155</v>
      </c>
      <c r="DX694" s="0" t="s">
        <v>154</v>
      </c>
      <c r="EA694" s="0" t="s">
        <v>154</v>
      </c>
      <c r="ED694" s="0" t="s">
        <v>155</v>
      </c>
      <c r="EF694" s="0" t="s">
        <v>154</v>
      </c>
      <c r="EH694" s="0" t="s">
        <v>155</v>
      </c>
    </row>
    <row r="695" customFormat="false" ht="13.8" hidden="false" customHeight="false" outlineLevel="0" collapsed="false">
      <c r="A695" s="0" t="s">
        <v>3539</v>
      </c>
      <c r="B695" s="0" t="n">
        <v>78</v>
      </c>
      <c r="C695" s="0" t="n">
        <v>387028</v>
      </c>
      <c r="D695" s="0" t="s">
        <v>3540</v>
      </c>
      <c r="E695" s="0" t="s">
        <v>1039</v>
      </c>
      <c r="F695" s="0" t="str">
        <f aca="false">CONCATENATE(D695," ",LEFT(H695,4),"T=",AU695,"D=",AV695,"R=",AW695,"M=",AX695,"L=",AY695,"B=",AZ695)</f>
        <v>ROBINSON T=3D=0R=0M=3L=4B=0</v>
      </c>
      <c r="G695" s="0" t="s">
        <v>429</v>
      </c>
      <c r="I695" s="0" t="s">
        <v>3541</v>
      </c>
      <c r="J695" s="0" t="s">
        <v>3542</v>
      </c>
      <c r="K695" s="0" t="s">
        <v>175</v>
      </c>
      <c r="M695" s="0" t="s">
        <v>3543</v>
      </c>
      <c r="N695" s="0" t="str">
        <f aca="false">RIGHT(M695,LEN(M695)-FIND(" ",M695))</f>
        <v>DANA ST NE</v>
      </c>
      <c r="P695" s="0" t="s">
        <v>146</v>
      </c>
      <c r="Q695" s="0" t="s">
        <v>147</v>
      </c>
      <c r="R695" s="0" t="n">
        <v>44483</v>
      </c>
      <c r="AD695" s="0" t="s">
        <v>148</v>
      </c>
      <c r="AE695" s="0" t="s">
        <v>149</v>
      </c>
      <c r="AF695" s="0" t="s">
        <v>150</v>
      </c>
      <c r="AH695" s="0" t="n">
        <v>14</v>
      </c>
      <c r="AI695" s="0" t="n">
        <v>11</v>
      </c>
      <c r="AN695" s="0" t="s">
        <v>146</v>
      </c>
      <c r="AO695" s="0" t="s">
        <v>236</v>
      </c>
      <c r="AP695" s="0" t="s">
        <v>237</v>
      </c>
      <c r="AQ695" s="0" t="n">
        <v>9</v>
      </c>
      <c r="AR695" s="0" t="n">
        <v>64</v>
      </c>
      <c r="AS695" s="0" t="n">
        <v>32</v>
      </c>
      <c r="AU695" s="0" t="n">
        <f aca="false">COUNTA($BA$166:$EH$166)</f>
        <v>3</v>
      </c>
      <c r="AV695" s="0" t="n">
        <f aca="false">COUNTIF($BA$166:$EH$166,"D")</f>
        <v>0</v>
      </c>
      <c r="AW695" s="0" t="n">
        <f aca="false">COUNTIF($BA$166:$EH$166,"R")</f>
        <v>0</v>
      </c>
      <c r="AX695" s="0" t="n">
        <f aca="false"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>3</v>
      </c>
      <c r="AY695" s="0" t="n">
        <f aca="false">COUNTIF(DU695:EH695, "&lt;&gt;")</f>
        <v>4</v>
      </c>
      <c r="AZ695" s="0" t="n">
        <f aca="false">IF(EH695&lt;&gt;"",1,0)</f>
        <v>0</v>
      </c>
      <c r="BB695" s="0" t="s">
        <v>153</v>
      </c>
      <c r="BC695" s="0" t="s">
        <v>176</v>
      </c>
      <c r="BD695" s="0" t="s">
        <v>154</v>
      </c>
      <c r="BF695" s="0" t="s">
        <v>154</v>
      </c>
      <c r="BG695" s="0" t="s">
        <v>176</v>
      </c>
      <c r="BJ695" s="0" t="s">
        <v>154</v>
      </c>
      <c r="BK695" s="0" t="s">
        <v>176</v>
      </c>
      <c r="BL695" s="0" t="s">
        <v>154</v>
      </c>
      <c r="BR695" s="0" t="s">
        <v>176</v>
      </c>
      <c r="CW695" s="0" t="s">
        <v>155</v>
      </c>
      <c r="CY695" s="0" t="s">
        <v>154</v>
      </c>
      <c r="CZ695" s="0" t="s">
        <v>155</v>
      </c>
      <c r="DD695" s="0" t="s">
        <v>155</v>
      </c>
      <c r="DF695" s="0" t="s">
        <v>154</v>
      </c>
      <c r="DJ695" s="0" t="s">
        <v>155</v>
      </c>
      <c r="DN695" s="0" t="s">
        <v>154</v>
      </c>
      <c r="DR695" s="0" t="s">
        <v>154</v>
      </c>
      <c r="DU695" s="0" t="s">
        <v>154</v>
      </c>
      <c r="DX695" s="0" t="s">
        <v>154</v>
      </c>
      <c r="EA695" s="0" t="s">
        <v>154</v>
      </c>
      <c r="EF695" s="0" t="s">
        <v>154</v>
      </c>
    </row>
    <row r="696" customFormat="false" ht="13.8" hidden="false" customHeight="false" outlineLevel="0" collapsed="false">
      <c r="A696" s="0" t="s">
        <v>3544</v>
      </c>
      <c r="B696" s="0" t="n">
        <v>78</v>
      </c>
      <c r="C696" s="0" t="n">
        <v>378186</v>
      </c>
      <c r="D696" s="0" t="s">
        <v>3545</v>
      </c>
      <c r="E696" s="0" t="s">
        <v>750</v>
      </c>
      <c r="F696" s="0" t="str">
        <f aca="false">CONCATENATE(D696," ",LEFT(H696,4),"T=",AU696,"D=",AV696,"R=",AW696,"M=",AX696,"L=",AY696,"B=",AZ696)</f>
        <v>PACHUTA T=4D=0R=0M=4L=2B=0</v>
      </c>
      <c r="G696" s="0" t="s">
        <v>188</v>
      </c>
      <c r="I696" s="0" t="s">
        <v>3546</v>
      </c>
      <c r="J696" s="0" t="s">
        <v>3547</v>
      </c>
      <c r="K696" s="0" t="s">
        <v>175</v>
      </c>
      <c r="M696" s="0" t="s">
        <v>3543</v>
      </c>
      <c r="N696" s="0" t="str">
        <f aca="false">RIGHT(M696,LEN(M696)-FIND(" ",M696))</f>
        <v>DANA ST NE</v>
      </c>
      <c r="P696" s="0" t="s">
        <v>146</v>
      </c>
      <c r="Q696" s="0" t="s">
        <v>147</v>
      </c>
      <c r="R696" s="0" t="n">
        <v>44483</v>
      </c>
      <c r="AD696" s="0" t="s">
        <v>148</v>
      </c>
      <c r="AE696" s="0" t="s">
        <v>149</v>
      </c>
      <c r="AF696" s="0" t="s">
        <v>150</v>
      </c>
      <c r="AH696" s="0" t="n">
        <v>14</v>
      </c>
      <c r="AI696" s="0" t="n">
        <v>11</v>
      </c>
      <c r="AN696" s="0" t="s">
        <v>146</v>
      </c>
      <c r="AO696" s="0" t="s">
        <v>236</v>
      </c>
      <c r="AP696" s="0" t="s">
        <v>237</v>
      </c>
      <c r="AQ696" s="0" t="n">
        <v>9</v>
      </c>
      <c r="AR696" s="0" t="n">
        <v>64</v>
      </c>
      <c r="AS696" s="0" t="n">
        <v>32</v>
      </c>
      <c r="AU696" s="0" t="n">
        <f aca="false">COUNTA($BA$885:$EH$885)</f>
        <v>4</v>
      </c>
      <c r="AV696" s="0" t="n">
        <f aca="false">COUNTIF($BA$885:$EH$885,"D")</f>
        <v>0</v>
      </c>
      <c r="AW696" s="0" t="n">
        <f aca="false">COUNTIF($BA$885:$EH$885,"R")</f>
        <v>0</v>
      </c>
      <c r="AX696" s="0" t="n">
        <f aca="false"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>4</v>
      </c>
      <c r="AY696" s="0" t="n">
        <f aca="false">COUNTIF(DU696:EH696, "&lt;&gt;")</f>
        <v>2</v>
      </c>
      <c r="AZ696" s="0" t="n">
        <f aca="false">IF(EH696&lt;&gt;"",1,0)</f>
        <v>0</v>
      </c>
      <c r="BB696" s="0" t="s">
        <v>153</v>
      </c>
      <c r="BC696" s="0" t="s">
        <v>155</v>
      </c>
      <c r="CN696" s="0" t="s">
        <v>154</v>
      </c>
      <c r="CP696" s="0" t="s">
        <v>154</v>
      </c>
      <c r="CT696" s="0" t="s">
        <v>154</v>
      </c>
      <c r="CV696" s="0" t="s">
        <v>154</v>
      </c>
      <c r="CW696" s="0" t="s">
        <v>155</v>
      </c>
      <c r="CY696" s="0" t="s">
        <v>154</v>
      </c>
      <c r="CZ696" s="0" t="s">
        <v>155</v>
      </c>
      <c r="DC696" s="0" t="s">
        <v>154</v>
      </c>
      <c r="DD696" s="0" t="s">
        <v>155</v>
      </c>
      <c r="DF696" s="0" t="s">
        <v>154</v>
      </c>
      <c r="DI696" s="0" t="s">
        <v>154</v>
      </c>
      <c r="DJ696" s="0" t="s">
        <v>155</v>
      </c>
      <c r="DL696" s="0" t="s">
        <v>154</v>
      </c>
      <c r="DN696" s="0" t="s">
        <v>154</v>
      </c>
      <c r="DO696" s="0" t="s">
        <v>155</v>
      </c>
      <c r="DR696" s="0" t="s">
        <v>154</v>
      </c>
      <c r="DU696" s="0" t="s">
        <v>154</v>
      </c>
      <c r="EF696" s="0" t="s">
        <v>154</v>
      </c>
    </row>
    <row r="697" customFormat="false" ht="13.8" hidden="true" customHeight="false" outlineLevel="0" collapsed="false">
      <c r="A697" s="0" t="s">
        <v>3548</v>
      </c>
      <c r="B697" s="0" t="n">
        <v>78</v>
      </c>
      <c r="C697" s="0" t="n">
        <v>345328</v>
      </c>
      <c r="D697" s="0" t="s">
        <v>3549</v>
      </c>
      <c r="E697" s="0" t="s">
        <v>842</v>
      </c>
      <c r="F697" s="0" t="str">
        <f aca="false">CONCATENATE(D697," ",LEFT(H697,4),"T=",AU697,"D=",AV697,"R=",AW697,"M=",AX697,"L=",AY697,"B=",AZ697)</f>
        <v>FILIPCICH T=5D=0R=0M=0L=0B=0</v>
      </c>
      <c r="G697" s="0" t="s">
        <v>3550</v>
      </c>
      <c r="I697" s="0" t="s">
        <v>3551</v>
      </c>
      <c r="J697" s="0" t="s">
        <v>3552</v>
      </c>
      <c r="K697" s="0" t="s">
        <v>175</v>
      </c>
      <c r="L697" s="0"/>
      <c r="M697" s="0" t="s">
        <v>3553</v>
      </c>
      <c r="N697" s="0" t="str">
        <f aca="false">RIGHT(M697,LEN(M697)-FIND(" ",M697))</f>
        <v>DESOTA AVE NW</v>
      </c>
      <c r="P697" s="0" t="s">
        <v>146</v>
      </c>
      <c r="Q697" s="0" t="s">
        <v>147</v>
      </c>
      <c r="R697" s="0" t="n">
        <v>44483</v>
      </c>
      <c r="AD697" s="0" t="s">
        <v>148</v>
      </c>
      <c r="AE697" s="0" t="s">
        <v>149</v>
      </c>
      <c r="AF697" s="0" t="s">
        <v>150</v>
      </c>
      <c r="AH697" s="0" t="n">
        <v>14</v>
      </c>
      <c r="AI697" s="0" t="n">
        <v>11</v>
      </c>
      <c r="AN697" s="0" t="s">
        <v>146</v>
      </c>
      <c r="AO697" s="0" t="s">
        <v>151</v>
      </c>
      <c r="AP697" s="0" t="s">
        <v>152</v>
      </c>
      <c r="AQ697" s="0" t="n">
        <v>9</v>
      </c>
      <c r="AR697" s="0" t="n">
        <v>64</v>
      </c>
      <c r="AS697" s="0" t="n">
        <v>32</v>
      </c>
      <c r="AU697" s="0" t="n">
        <f aca="false">COUNTA($BA$1131:$EH$1131)</f>
        <v>5</v>
      </c>
      <c r="AV697" s="0" t="n">
        <f aca="false">COUNTIF($BA$1131:$EH$1131,"D")</f>
        <v>0</v>
      </c>
      <c r="AW697" s="0" t="n">
        <f aca="false">COUNTIF($BA$1131:$EH$1131,"R")</f>
        <v>0</v>
      </c>
      <c r="AX697" s="0" t="n">
        <f aca="false"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>0</v>
      </c>
      <c r="AY697" s="0" t="n">
        <f aca="false">COUNTIF(DU697:EH697, "&lt;&gt;")</f>
        <v>0</v>
      </c>
      <c r="AZ697" s="0" t="n">
        <f aca="false">IF(EH697&lt;&gt;"",1,0)</f>
        <v>0</v>
      </c>
      <c r="BB697" s="0" t="s">
        <v>153</v>
      </c>
      <c r="CA697" s="0" t="s">
        <v>154</v>
      </c>
    </row>
    <row r="698" customFormat="false" ht="13.8" hidden="true" customHeight="false" outlineLevel="0" collapsed="false">
      <c r="A698" s="0" t="s">
        <v>3554</v>
      </c>
      <c r="B698" s="0" t="n">
        <v>78</v>
      </c>
      <c r="C698" s="0" t="n">
        <v>440528</v>
      </c>
      <c r="D698" s="0" t="s">
        <v>3549</v>
      </c>
      <c r="E698" s="0" t="s">
        <v>3555</v>
      </c>
      <c r="F698" s="0" t="str">
        <f aca="false">CONCATENATE(D698," ",LEFT(H698,4),"T=",AU698,"D=",AV698,"R=",AW698,"M=",AX698,"L=",AY698,"B=",AZ698)</f>
        <v>FILIPCICH T=1D=0R=0M=0L=1B=0</v>
      </c>
      <c r="G698" s="0" t="s">
        <v>1664</v>
      </c>
      <c r="I698" s="0" t="s">
        <v>3556</v>
      </c>
      <c r="J698" s="0" t="s">
        <v>3557</v>
      </c>
      <c r="K698" s="0" t="s">
        <v>175</v>
      </c>
      <c r="L698" s="0"/>
      <c r="M698" s="0" t="s">
        <v>3553</v>
      </c>
      <c r="N698" s="0" t="str">
        <f aca="false">RIGHT(M698,LEN(M698)-FIND(" ",M698))</f>
        <v>DESOTA AVE NW</v>
      </c>
      <c r="P698" s="0" t="s">
        <v>146</v>
      </c>
      <c r="Q698" s="0" t="s">
        <v>147</v>
      </c>
      <c r="R698" s="0" t="n">
        <v>44483</v>
      </c>
      <c r="AD698" s="0" t="s">
        <v>148</v>
      </c>
      <c r="AE698" s="0" t="s">
        <v>149</v>
      </c>
      <c r="AF698" s="0" t="s">
        <v>150</v>
      </c>
      <c r="AH698" s="0" t="n">
        <v>14</v>
      </c>
      <c r="AI698" s="0" t="n">
        <v>11</v>
      </c>
      <c r="AN698" s="0" t="s">
        <v>146</v>
      </c>
      <c r="AO698" s="0" t="s">
        <v>151</v>
      </c>
      <c r="AP698" s="0" t="s">
        <v>152</v>
      </c>
      <c r="AQ698" s="0" t="n">
        <v>9</v>
      </c>
      <c r="AR698" s="0" t="n">
        <v>64</v>
      </c>
      <c r="AS698" s="0" t="n">
        <v>32</v>
      </c>
      <c r="AU698" s="0" t="n">
        <f aca="false">COUNTA($BA$1227:$EH$1227)</f>
        <v>1</v>
      </c>
      <c r="AV698" s="0" t="n">
        <f aca="false">COUNTIF($BA$1227:$EH$1227,"D")</f>
        <v>0</v>
      </c>
      <c r="AW698" s="0" t="n">
        <f aca="false">COUNTIF($BA$1227:$EH$1227,"R")</f>
        <v>0</v>
      </c>
      <c r="AX698" s="0" t="n">
        <f aca="false"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>0</v>
      </c>
      <c r="AY698" s="0" t="n">
        <f aca="false">COUNTIF(DU698:EH698, "&lt;&gt;")</f>
        <v>1</v>
      </c>
      <c r="AZ698" s="0" t="n">
        <f aca="false">IF(EH698&lt;&gt;"",1,0)</f>
        <v>0</v>
      </c>
      <c r="BB698" s="0" t="s">
        <v>153</v>
      </c>
      <c r="BP698" s="0" t="s">
        <v>154</v>
      </c>
      <c r="BR698" s="0" t="s">
        <v>154</v>
      </c>
      <c r="BS698" s="0" t="s">
        <v>154</v>
      </c>
      <c r="BT698" s="0" t="s">
        <v>154</v>
      </c>
      <c r="BV698" s="0" t="s">
        <v>154</v>
      </c>
      <c r="BY698" s="0" t="s">
        <v>155</v>
      </c>
      <c r="CA698" s="0" t="s">
        <v>154</v>
      </c>
      <c r="CG698" s="0" t="s">
        <v>154</v>
      </c>
      <c r="CN698" s="0" t="s">
        <v>154</v>
      </c>
      <c r="DN698" s="0" t="s">
        <v>154</v>
      </c>
      <c r="EF698" s="0" t="s">
        <v>154</v>
      </c>
    </row>
    <row r="699" customFormat="false" ht="13.8" hidden="true" customHeight="false" outlineLevel="0" collapsed="false">
      <c r="A699" s="0" t="s">
        <v>3558</v>
      </c>
      <c r="B699" s="0" t="n">
        <v>78</v>
      </c>
      <c r="C699" s="0" t="n">
        <v>446754</v>
      </c>
      <c r="D699" s="0" t="s">
        <v>3559</v>
      </c>
      <c r="E699" s="0" t="s">
        <v>981</v>
      </c>
      <c r="F699" s="0" t="str">
        <f aca="false">CONCATENATE(D699," ",LEFT(H699,4),"T=",AU699,"D=",AV699,"R=",AW699,"M=",AX699,"L=",AY699,"B=",AZ699)</f>
        <v>RICHARDSON T=8D=0R=0M=0L=0B=0</v>
      </c>
      <c r="G699" s="0" t="s">
        <v>3560</v>
      </c>
      <c r="I699" s="0" t="s">
        <v>3561</v>
      </c>
      <c r="J699" s="0" t="s">
        <v>3562</v>
      </c>
      <c r="K699" s="0" t="s">
        <v>175</v>
      </c>
      <c r="L699" s="0"/>
      <c r="M699" s="0" t="s">
        <v>3563</v>
      </c>
      <c r="N699" s="0" t="str">
        <f aca="false">RIGHT(M699,LEN(M699)-FIND(" ",M699))</f>
        <v>DESOTA AVE NW</v>
      </c>
      <c r="P699" s="0" t="s">
        <v>146</v>
      </c>
      <c r="Q699" s="0" t="s">
        <v>147</v>
      </c>
      <c r="R699" s="0" t="n">
        <v>44483</v>
      </c>
      <c r="AD699" s="0" t="s">
        <v>148</v>
      </c>
      <c r="AE699" s="0" t="s">
        <v>149</v>
      </c>
      <c r="AF699" s="0" t="s">
        <v>150</v>
      </c>
      <c r="AH699" s="0" t="n">
        <v>14</v>
      </c>
      <c r="AI699" s="0" t="n">
        <v>11</v>
      </c>
      <c r="AN699" s="0" t="s">
        <v>146</v>
      </c>
      <c r="AO699" s="0" t="s">
        <v>151</v>
      </c>
      <c r="AP699" s="0" t="s">
        <v>152</v>
      </c>
      <c r="AQ699" s="0" t="n">
        <v>9</v>
      </c>
      <c r="AR699" s="0" t="n">
        <v>64</v>
      </c>
      <c r="AS699" s="0" t="n">
        <v>32</v>
      </c>
      <c r="AU699" s="0" t="n">
        <f aca="false">COUNTA($BA$1939:$EH$1939)</f>
        <v>8</v>
      </c>
      <c r="AV699" s="0" t="n">
        <f aca="false">COUNTIF($BA$1939:$EH$1939,"D")</f>
        <v>0</v>
      </c>
      <c r="AW699" s="0" t="n">
        <f aca="false">COUNTIF($BA$1939:$EH$1939,"R")</f>
        <v>0</v>
      </c>
      <c r="AX699" s="0" t="n">
        <f aca="false"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>0</v>
      </c>
      <c r="AY699" s="0" t="n">
        <f aca="false">COUNTIF(DU699:EH699, "&lt;&gt;")</f>
        <v>0</v>
      </c>
      <c r="AZ699" s="0" t="n">
        <f aca="false">IF(EH699&lt;&gt;"",1,0)</f>
        <v>0</v>
      </c>
      <c r="BB699" s="0" t="s">
        <v>153</v>
      </c>
      <c r="DI699" s="0" t="s">
        <v>154</v>
      </c>
    </row>
    <row r="700" customFormat="false" ht="13.8" hidden="true" customHeight="false" outlineLevel="0" collapsed="false">
      <c r="A700" s="0" t="s">
        <v>3564</v>
      </c>
      <c r="B700" s="0" t="n">
        <v>78</v>
      </c>
      <c r="C700" s="0" t="n">
        <v>447451</v>
      </c>
      <c r="D700" s="0" t="s">
        <v>1288</v>
      </c>
      <c r="E700" s="0" t="s">
        <v>3565</v>
      </c>
      <c r="F700" s="0" t="str">
        <f aca="false">CONCATENATE(D700," ",LEFT(H700,4),"T=",AU700,"D=",AV700,"R=",AW700,"M=",AX700,"L=",AY700,"B=",AZ700)</f>
        <v>BENNETT T=4D=0R=0M=0L=1B=0</v>
      </c>
      <c r="G700" s="0" t="s">
        <v>3566</v>
      </c>
      <c r="I700" s="0" t="s">
        <v>3567</v>
      </c>
      <c r="J700" s="0" t="s">
        <v>3568</v>
      </c>
      <c r="K700" s="0" t="s">
        <v>175</v>
      </c>
      <c r="L700" s="0"/>
      <c r="M700" s="0" t="s">
        <v>3569</v>
      </c>
      <c r="N700" s="0" t="str">
        <f aca="false">RIGHT(M700,LEN(M700)-FIND(" ",M700))</f>
        <v>DESOTA AVE NW</v>
      </c>
      <c r="P700" s="0" t="s">
        <v>146</v>
      </c>
      <c r="Q700" s="0" t="s">
        <v>147</v>
      </c>
      <c r="R700" s="0" t="n">
        <v>44483</v>
      </c>
      <c r="AD700" s="0" t="s">
        <v>148</v>
      </c>
      <c r="AE700" s="0" t="s">
        <v>149</v>
      </c>
      <c r="AF700" s="0" t="s">
        <v>150</v>
      </c>
      <c r="AH700" s="0" t="n">
        <v>14</v>
      </c>
      <c r="AI700" s="0" t="n">
        <v>11</v>
      </c>
      <c r="AN700" s="0" t="s">
        <v>146</v>
      </c>
      <c r="AO700" s="0" t="s">
        <v>151</v>
      </c>
      <c r="AP700" s="0" t="s">
        <v>152</v>
      </c>
      <c r="AQ700" s="0" t="n">
        <v>9</v>
      </c>
      <c r="AR700" s="0" t="n">
        <v>64</v>
      </c>
      <c r="AS700" s="0" t="n">
        <v>32</v>
      </c>
      <c r="AU700" s="0" t="n">
        <f aca="false">COUNTA($BA$1503:$EH$1503)</f>
        <v>4</v>
      </c>
      <c r="AV700" s="0" t="n">
        <f aca="false">COUNTIF($BA$1503:$EH$1503,"D")</f>
        <v>0</v>
      </c>
      <c r="AW700" s="0" t="n">
        <f aca="false">COUNTIF($BA$1503:$EH$1503,"R")</f>
        <v>0</v>
      </c>
      <c r="AX700" s="0" t="n">
        <f aca="false"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>0</v>
      </c>
      <c r="AY700" s="0" t="n">
        <f aca="false">COUNTIF(DU700:EH700, "&lt;&gt;")</f>
        <v>1</v>
      </c>
      <c r="AZ700" s="0" t="n">
        <f aca="false">IF(EH700&lt;&gt;"",1,0)</f>
        <v>0</v>
      </c>
      <c r="BB700" s="0" t="s">
        <v>153</v>
      </c>
      <c r="DN700" s="0" t="s">
        <v>154</v>
      </c>
      <c r="EF700" s="0" t="s">
        <v>154</v>
      </c>
    </row>
    <row r="701" customFormat="false" ht="13.8" hidden="true" customHeight="false" outlineLevel="0" collapsed="false">
      <c r="A701" s="0" t="s">
        <v>3570</v>
      </c>
      <c r="B701" s="0" t="n">
        <v>78</v>
      </c>
      <c r="C701" s="0" t="n">
        <v>255985</v>
      </c>
      <c r="D701" s="0" t="s">
        <v>1288</v>
      </c>
      <c r="E701" s="0" t="s">
        <v>2973</v>
      </c>
      <c r="F701" s="0" t="str">
        <f aca="false">CONCATENATE(D701," ",LEFT(H701,4),"T=",AU701,"D=",AV701,"R=",AW701,"M=",AX701,"L=",AY701,"B=",AZ701)</f>
        <v>BENNETT T=31D=4R=0M=0L=1B=0</v>
      </c>
      <c r="G701" s="0" t="s">
        <v>172</v>
      </c>
      <c r="I701" s="0" t="s">
        <v>3571</v>
      </c>
      <c r="J701" s="0" t="s">
        <v>2460</v>
      </c>
      <c r="K701" s="0" t="s">
        <v>175</v>
      </c>
      <c r="L701" s="0"/>
      <c r="M701" s="0" t="s">
        <v>3569</v>
      </c>
      <c r="N701" s="0" t="str">
        <f aca="false">RIGHT(M701,LEN(M701)-FIND(" ",M701))</f>
        <v>DESOTA AVE NW</v>
      </c>
      <c r="P701" s="0" t="s">
        <v>146</v>
      </c>
      <c r="Q701" s="0" t="s">
        <v>147</v>
      </c>
      <c r="R701" s="0" t="n">
        <v>44483</v>
      </c>
      <c r="AD701" s="0" t="s">
        <v>148</v>
      </c>
      <c r="AE701" s="0" t="s">
        <v>149</v>
      </c>
      <c r="AF701" s="0" t="s">
        <v>150</v>
      </c>
      <c r="AH701" s="0" t="n">
        <v>14</v>
      </c>
      <c r="AI701" s="0" t="n">
        <v>11</v>
      </c>
      <c r="AN701" s="0" t="s">
        <v>146</v>
      </c>
      <c r="AO701" s="0" t="s">
        <v>151</v>
      </c>
      <c r="AP701" s="0" t="s">
        <v>152</v>
      </c>
      <c r="AQ701" s="0" t="n">
        <v>9</v>
      </c>
      <c r="AR701" s="0" t="n">
        <v>64</v>
      </c>
      <c r="AS701" s="0" t="n">
        <v>32</v>
      </c>
      <c r="AU701" s="0" t="n">
        <f aca="false">COUNTA($BA$2038:$EH$2038)</f>
        <v>31</v>
      </c>
      <c r="AV701" s="0" t="n">
        <f aca="false">COUNTIF($BA$2038:$EH$2038,"D")</f>
        <v>4</v>
      </c>
      <c r="AW701" s="0" t="n">
        <f aca="false">COUNTIF($BA$2038:$EH$2038,"R")</f>
        <v>0</v>
      </c>
      <c r="AX701" s="0" t="n">
        <f aca="false"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>0</v>
      </c>
      <c r="AY701" s="0" t="n">
        <f aca="false">COUNTIF(DU701:EH701, "&lt;&gt;")</f>
        <v>1</v>
      </c>
      <c r="AZ701" s="0" t="n">
        <f aca="false">IF(EH701&lt;&gt;"",1,0)</f>
        <v>0</v>
      </c>
      <c r="BB701" s="0" t="s">
        <v>153</v>
      </c>
      <c r="BD701" s="0" t="s">
        <v>154</v>
      </c>
      <c r="BG701" s="0" t="s">
        <v>154</v>
      </c>
      <c r="BH701" s="0" t="s">
        <v>154</v>
      </c>
      <c r="BJ701" s="0" t="s">
        <v>154</v>
      </c>
      <c r="BL701" s="0" t="s">
        <v>154</v>
      </c>
      <c r="BP701" s="0" t="s">
        <v>154</v>
      </c>
      <c r="BR701" s="0" t="s">
        <v>154</v>
      </c>
      <c r="BS701" s="0" t="s">
        <v>154</v>
      </c>
      <c r="BY701" s="0" t="s">
        <v>155</v>
      </c>
      <c r="CA701" s="0" t="s">
        <v>154</v>
      </c>
      <c r="CG701" s="0" t="s">
        <v>154</v>
      </c>
      <c r="CN701" s="0" t="s">
        <v>154</v>
      </c>
      <c r="CP701" s="0" t="s">
        <v>154</v>
      </c>
      <c r="DC701" s="0" t="s">
        <v>154</v>
      </c>
      <c r="DI701" s="0" t="s">
        <v>154</v>
      </c>
      <c r="DM701" s="0" t="s">
        <v>155</v>
      </c>
      <c r="DN701" s="0" t="s">
        <v>154</v>
      </c>
      <c r="EF701" s="0" t="s">
        <v>154</v>
      </c>
    </row>
    <row r="702" customFormat="false" ht="13.8" hidden="true" customHeight="false" outlineLevel="0" collapsed="false">
      <c r="A702" s="0" t="s">
        <v>3572</v>
      </c>
      <c r="B702" s="0" t="n">
        <v>78</v>
      </c>
      <c r="C702" s="0" t="n">
        <v>225647</v>
      </c>
      <c r="D702" s="0" t="s">
        <v>1288</v>
      </c>
      <c r="E702" s="0" t="s">
        <v>689</v>
      </c>
      <c r="F702" s="0" t="str">
        <f aca="false">CONCATENATE(D702," ",LEFT(H702,4),"T=",AU702,"D=",AV702,"R=",AW702,"M=",AX702,"L=",AY702,"B=",AZ702)</f>
        <v>BENNETT T=1D=0R=0M=0L=1B=0</v>
      </c>
      <c r="G702" s="0" t="s">
        <v>329</v>
      </c>
      <c r="I702" s="0" t="s">
        <v>3573</v>
      </c>
      <c r="J702" s="0" t="s">
        <v>3568</v>
      </c>
      <c r="K702" s="0" t="s">
        <v>175</v>
      </c>
      <c r="L702" s="0"/>
      <c r="M702" s="0" t="s">
        <v>3569</v>
      </c>
      <c r="N702" s="0" t="str">
        <f aca="false">RIGHT(M702,LEN(M702)-FIND(" ",M702))</f>
        <v>DESOTA AVE NW</v>
      </c>
      <c r="P702" s="0" t="s">
        <v>146</v>
      </c>
      <c r="Q702" s="0" t="s">
        <v>147</v>
      </c>
      <c r="R702" s="0" t="n">
        <v>44483</v>
      </c>
      <c r="AD702" s="0" t="s">
        <v>148</v>
      </c>
      <c r="AE702" s="0" t="s">
        <v>149</v>
      </c>
      <c r="AF702" s="0" t="s">
        <v>150</v>
      </c>
      <c r="AH702" s="0" t="n">
        <v>14</v>
      </c>
      <c r="AI702" s="0" t="n">
        <v>11</v>
      </c>
      <c r="AN702" s="0" t="s">
        <v>146</v>
      </c>
      <c r="AO702" s="0" t="s">
        <v>151</v>
      </c>
      <c r="AP702" s="0" t="s">
        <v>152</v>
      </c>
      <c r="AQ702" s="0" t="n">
        <v>9</v>
      </c>
      <c r="AR702" s="0" t="n">
        <v>64</v>
      </c>
      <c r="AS702" s="0" t="n">
        <v>32</v>
      </c>
      <c r="AU702" s="0" t="n">
        <f aca="false">COUNTA($BA$2045:$EH$2045)</f>
        <v>1</v>
      </c>
      <c r="AV702" s="0" t="n">
        <f aca="false">COUNTIF($BA$2045:$EH$2045,"D")</f>
        <v>0</v>
      </c>
      <c r="AW702" s="0" t="n">
        <f aca="false">COUNTIF($BA$2045:$EH$2045,"R")</f>
        <v>0</v>
      </c>
      <c r="AX702" s="0" t="n">
        <f aca="false"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>0</v>
      </c>
      <c r="AY702" s="0" t="n">
        <f aca="false">COUNTIF(DU702:EH702, "&lt;&gt;")</f>
        <v>1</v>
      </c>
      <c r="AZ702" s="0" t="n">
        <f aca="false">IF(EH702&lt;&gt;"",1,0)</f>
        <v>0</v>
      </c>
      <c r="BB702" s="0" t="s">
        <v>153</v>
      </c>
      <c r="BD702" s="0" t="s">
        <v>154</v>
      </c>
      <c r="BL702" s="0" t="s">
        <v>154</v>
      </c>
      <c r="BY702" s="0" t="s">
        <v>155</v>
      </c>
      <c r="CA702" s="0" t="s">
        <v>154</v>
      </c>
      <c r="CK702" s="0" t="s">
        <v>154</v>
      </c>
      <c r="CN702" s="0" t="s">
        <v>154</v>
      </c>
      <c r="CP702" s="0" t="s">
        <v>154</v>
      </c>
      <c r="DC702" s="0" t="s">
        <v>154</v>
      </c>
      <c r="DI702" s="0" t="s">
        <v>154</v>
      </c>
      <c r="DM702" s="0" t="s">
        <v>155</v>
      </c>
      <c r="DN702" s="0" t="s">
        <v>154</v>
      </c>
      <c r="EF702" s="0" t="s">
        <v>154</v>
      </c>
    </row>
    <row r="703" customFormat="false" ht="13.8" hidden="true" customHeight="false" outlineLevel="0" collapsed="false">
      <c r="A703" s="0" t="s">
        <v>3574</v>
      </c>
      <c r="B703" s="0" t="n">
        <v>78</v>
      </c>
      <c r="C703" s="0" t="n">
        <v>455140</v>
      </c>
      <c r="D703" s="0" t="s">
        <v>1027</v>
      </c>
      <c r="E703" s="0" t="s">
        <v>549</v>
      </c>
      <c r="F703" s="0" t="str">
        <f aca="false">CONCATENATE(D703," ",LEFT(H703,4),"T=",AU703,"D=",AV703,"R=",AW703,"M=",AX703,"L=",AY703,"B=",AZ703)</f>
        <v>MARTIN T=2D=0R=0M=0L=1B=0</v>
      </c>
      <c r="G703" s="0" t="s">
        <v>2303</v>
      </c>
      <c r="I703" s="0" t="s">
        <v>3575</v>
      </c>
      <c r="J703" s="0" t="s">
        <v>2666</v>
      </c>
      <c r="K703" s="0" t="s">
        <v>175</v>
      </c>
      <c r="L703" s="0"/>
      <c r="M703" s="0" t="s">
        <v>3576</v>
      </c>
      <c r="N703" s="0" t="str">
        <f aca="false">RIGHT(M703,LEN(M703)-FIND(" ",M703))</f>
        <v>DESOTA AVE NW</v>
      </c>
      <c r="P703" s="0" t="s">
        <v>146</v>
      </c>
      <c r="Q703" s="0" t="s">
        <v>147</v>
      </c>
      <c r="R703" s="0" t="n">
        <v>44483</v>
      </c>
      <c r="AD703" s="0" t="s">
        <v>148</v>
      </c>
      <c r="AE703" s="0" t="s">
        <v>149</v>
      </c>
      <c r="AF703" s="0" t="s">
        <v>150</v>
      </c>
      <c r="AH703" s="0" t="n">
        <v>14</v>
      </c>
      <c r="AI703" s="0" t="n">
        <v>11</v>
      </c>
      <c r="AN703" s="0" t="s">
        <v>146</v>
      </c>
      <c r="AO703" s="0" t="s">
        <v>151</v>
      </c>
      <c r="AP703" s="0" t="s">
        <v>152</v>
      </c>
      <c r="AQ703" s="0" t="n">
        <v>9</v>
      </c>
      <c r="AR703" s="0" t="n">
        <v>64</v>
      </c>
      <c r="AS703" s="0" t="n">
        <v>32</v>
      </c>
      <c r="AU703" s="0" t="n">
        <f aca="false">COUNTA($BA$1767:$EH$1767)</f>
        <v>2</v>
      </c>
      <c r="AV703" s="0" t="n">
        <f aca="false">COUNTIF($BA$1767:$EH$1767,"D")</f>
        <v>0</v>
      </c>
      <c r="AW703" s="0" t="n">
        <f aca="false">COUNTIF($BA$1767:$EH$1767,"R")</f>
        <v>0</v>
      </c>
      <c r="AX703" s="0" t="n">
        <f aca="false"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>0</v>
      </c>
      <c r="AY703" s="0" t="n">
        <f aca="false">COUNTIF(DU703:EH703, "&lt;&gt;")</f>
        <v>1</v>
      </c>
      <c r="AZ703" s="0" t="n">
        <f aca="false">IF(EH703&lt;&gt;"",1,0)</f>
        <v>0</v>
      </c>
      <c r="BB703" s="0" t="s">
        <v>153</v>
      </c>
      <c r="DN703" s="0" t="s">
        <v>154</v>
      </c>
      <c r="EF703" s="0" t="s">
        <v>154</v>
      </c>
    </row>
    <row r="704" customFormat="false" ht="13.8" hidden="false" customHeight="false" outlineLevel="0" collapsed="false">
      <c r="A704" s="0" t="s">
        <v>3577</v>
      </c>
      <c r="B704" s="0" t="n">
        <v>78</v>
      </c>
      <c r="C704" s="0" t="n">
        <v>446148</v>
      </c>
      <c r="D704" s="0" t="s">
        <v>3529</v>
      </c>
      <c r="E704" s="0" t="s">
        <v>3578</v>
      </c>
      <c r="F704" s="0" t="str">
        <f aca="false">CONCATENATE(D704," ",LEFT(H704,4),"T=",AU704,"D=",AV704,"R=",AW704,"M=",AX704,"L=",AY704,"B=",AZ704)</f>
        <v>JENNINGS T=1D=0R=0M=0L=3B=0</v>
      </c>
      <c r="I704" s="0" t="s">
        <v>3579</v>
      </c>
      <c r="J704" s="0" t="s">
        <v>819</v>
      </c>
      <c r="K704" s="0" t="s">
        <v>175</v>
      </c>
      <c r="M704" s="0" t="s">
        <v>3580</v>
      </c>
      <c r="N704" s="0" t="str">
        <f aca="false">RIGHT(M704,LEN(M704)-FIND(" ",M704))</f>
        <v>DESOTA AVE NW</v>
      </c>
      <c r="P704" s="0" t="s">
        <v>146</v>
      </c>
      <c r="Q704" s="0" t="s">
        <v>147</v>
      </c>
      <c r="R704" s="0" t="n">
        <v>44483</v>
      </c>
      <c r="AD704" s="0" t="s">
        <v>148</v>
      </c>
      <c r="AE704" s="0" t="s">
        <v>149</v>
      </c>
      <c r="AF704" s="0" t="s">
        <v>150</v>
      </c>
      <c r="AH704" s="0" t="n">
        <v>14</v>
      </c>
      <c r="AI704" s="0" t="n">
        <v>11</v>
      </c>
      <c r="AN704" s="0" t="s">
        <v>146</v>
      </c>
      <c r="AO704" s="0" t="s">
        <v>151</v>
      </c>
      <c r="AP704" s="0" t="s">
        <v>152</v>
      </c>
      <c r="AQ704" s="0" t="n">
        <v>9</v>
      </c>
      <c r="AR704" s="0" t="n">
        <v>64</v>
      </c>
      <c r="AS704" s="0" t="n">
        <v>32</v>
      </c>
      <c r="AU704" s="0" t="n">
        <f aca="false">COUNTA($BA$1765:$EH$1765)</f>
        <v>1</v>
      </c>
      <c r="AV704" s="0" t="n">
        <f aca="false">COUNTIF($BA$1765:$EH$1765,"D")</f>
        <v>0</v>
      </c>
      <c r="AW704" s="0" t="n">
        <f aca="false">COUNTIF($BA$1765:$EH$1765,"R")</f>
        <v>0</v>
      </c>
      <c r="AX704" s="0" t="n">
        <f aca="false"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>0</v>
      </c>
      <c r="AY704" s="0" t="n">
        <f aca="false">COUNTIF(DU704:EH704, "&lt;&gt;")</f>
        <v>3</v>
      </c>
      <c r="AZ704" s="0" t="n">
        <f aca="false">IF(EH704&lt;&gt;"",1,0)</f>
        <v>0</v>
      </c>
      <c r="BB704" s="0" t="s">
        <v>153</v>
      </c>
      <c r="BL704" s="0" t="s">
        <v>154</v>
      </c>
      <c r="CA704" s="0" t="s">
        <v>154</v>
      </c>
      <c r="CK704" s="0" t="s">
        <v>154</v>
      </c>
      <c r="CN704" s="0" t="s">
        <v>154</v>
      </c>
      <c r="CP704" s="0" t="s">
        <v>154</v>
      </c>
      <c r="DN704" s="0" t="s">
        <v>154</v>
      </c>
      <c r="DX704" s="0" t="s">
        <v>154</v>
      </c>
      <c r="EA704" s="0" t="s">
        <v>154</v>
      </c>
      <c r="EF704" s="0" t="s">
        <v>154</v>
      </c>
    </row>
    <row r="705" customFormat="false" ht="13.8" hidden="true" customHeight="false" outlineLevel="0" collapsed="false">
      <c r="A705" s="0" t="s">
        <v>3581</v>
      </c>
      <c r="B705" s="0" t="n">
        <v>78</v>
      </c>
      <c r="C705" s="0" t="n">
        <v>446942</v>
      </c>
      <c r="D705" s="0" t="s">
        <v>3582</v>
      </c>
      <c r="E705" s="0" t="s">
        <v>3583</v>
      </c>
      <c r="F705" s="0" t="str">
        <f aca="false">CONCATENATE(D705," ",LEFT(H705,4),"T=",AU705,"D=",AV705,"R=",AW705,"M=",AX705,"L=",AY705,"B=",AZ705)</f>
        <v>CAYSON T=3D=0R=0M=0L=1B=0</v>
      </c>
      <c r="G705" s="0" t="s">
        <v>3584</v>
      </c>
      <c r="I705" s="0" t="s">
        <v>3585</v>
      </c>
      <c r="J705" s="0" t="s">
        <v>3586</v>
      </c>
      <c r="K705" s="0" t="s">
        <v>175</v>
      </c>
      <c r="L705" s="0"/>
      <c r="M705" s="0" t="s">
        <v>3587</v>
      </c>
      <c r="N705" s="0" t="str">
        <f aca="false">RIGHT(M705,LEN(M705)-FIND(" ",M705))</f>
        <v>DOUGLAS ST NE</v>
      </c>
      <c r="P705" s="0" t="s">
        <v>146</v>
      </c>
      <c r="Q705" s="0" t="s">
        <v>147</v>
      </c>
      <c r="R705" s="0" t="n">
        <v>44483</v>
      </c>
      <c r="AD705" s="0" t="s">
        <v>148</v>
      </c>
      <c r="AE705" s="0" t="s">
        <v>149</v>
      </c>
      <c r="AF705" s="0" t="s">
        <v>150</v>
      </c>
      <c r="AH705" s="0" t="n">
        <v>14</v>
      </c>
      <c r="AI705" s="0" t="n">
        <v>11</v>
      </c>
      <c r="AN705" s="0" t="s">
        <v>146</v>
      </c>
      <c r="AO705" s="0" t="s">
        <v>250</v>
      </c>
      <c r="AP705" s="0" t="s">
        <v>251</v>
      </c>
      <c r="AQ705" s="0" t="n">
        <v>9</v>
      </c>
      <c r="AR705" s="0" t="n">
        <v>64</v>
      </c>
      <c r="AS705" s="0" t="n">
        <v>32</v>
      </c>
      <c r="AU705" s="0" t="n">
        <f aca="false">COUNTA($BA$2811:$EH$2811)</f>
        <v>3</v>
      </c>
      <c r="AV705" s="0" t="n">
        <f aca="false">COUNTIF($BA$2811:$EH$2811,"D")</f>
        <v>0</v>
      </c>
      <c r="AW705" s="0" t="n">
        <f aca="false">COUNTIF($BA$2811:$EH$2811,"R")</f>
        <v>0</v>
      </c>
      <c r="AX705" s="0" t="n">
        <f aca="false"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>0</v>
      </c>
      <c r="AY705" s="0" t="n">
        <f aca="false">COUNTIF(DU705:EH705, "&lt;&gt;")</f>
        <v>1</v>
      </c>
      <c r="AZ705" s="0" t="n">
        <f aca="false">IF(EH705&lt;&gt;"",1,0)</f>
        <v>0</v>
      </c>
      <c r="BB705" s="0" t="s">
        <v>153</v>
      </c>
      <c r="EF705" s="0" t="s">
        <v>154</v>
      </c>
    </row>
    <row r="706" customFormat="false" ht="13.8" hidden="true" customHeight="false" outlineLevel="0" collapsed="false">
      <c r="A706" s="0" t="s">
        <v>3588</v>
      </c>
      <c r="B706" s="0" t="n">
        <v>78</v>
      </c>
      <c r="C706" s="0" t="n">
        <v>437962</v>
      </c>
      <c r="D706" s="0" t="s">
        <v>3589</v>
      </c>
      <c r="E706" s="0" t="s">
        <v>2005</v>
      </c>
      <c r="F706" s="0" t="str">
        <f aca="false">CONCATENATE(D706," ",LEFT(H706,4),"T=",AU706,"D=",AV706,"R=",AW706,"M=",AX706,"L=",AY706,"B=",AZ706)</f>
        <v>COWGER T=6D=0R=0M=0L=0B=0</v>
      </c>
      <c r="G706" s="0" t="s">
        <v>241</v>
      </c>
      <c r="I706" s="0" t="s">
        <v>3590</v>
      </c>
      <c r="J706" s="0" t="s">
        <v>3591</v>
      </c>
      <c r="K706" s="0" t="s">
        <v>175</v>
      </c>
      <c r="L706" s="0"/>
      <c r="M706" s="0" t="s">
        <v>3592</v>
      </c>
      <c r="N706" s="0" t="str">
        <f aca="false">RIGHT(M706,LEN(M706)-FIND(" ",M706))</f>
        <v>DOUGLAS ST NE</v>
      </c>
      <c r="P706" s="0" t="s">
        <v>146</v>
      </c>
      <c r="Q706" s="0" t="s">
        <v>147</v>
      </c>
      <c r="R706" s="0" t="n">
        <v>44483</v>
      </c>
      <c r="AD706" s="0" t="s">
        <v>148</v>
      </c>
      <c r="AE706" s="0" t="s">
        <v>149</v>
      </c>
      <c r="AF706" s="0" t="s">
        <v>150</v>
      </c>
      <c r="AH706" s="0" t="n">
        <v>14</v>
      </c>
      <c r="AI706" s="0" t="n">
        <v>11</v>
      </c>
      <c r="AN706" s="0" t="s">
        <v>146</v>
      </c>
      <c r="AO706" s="0" t="s">
        <v>250</v>
      </c>
      <c r="AP706" s="0" t="s">
        <v>251</v>
      </c>
      <c r="AQ706" s="0" t="n">
        <v>9</v>
      </c>
      <c r="AR706" s="0" t="n">
        <v>64</v>
      </c>
      <c r="AS706" s="0" t="n">
        <v>32</v>
      </c>
      <c r="AU706" s="0" t="n">
        <f aca="false">COUNTA($BA$2676:$EH$2676)</f>
        <v>6</v>
      </c>
      <c r="AV706" s="0" t="n">
        <f aca="false">COUNTIF($BA$2676:$EH$2676,"D")</f>
        <v>0</v>
      </c>
      <c r="AW706" s="0" t="n">
        <f aca="false">COUNTIF($BA$2676:$EH$2676,"R")</f>
        <v>0</v>
      </c>
      <c r="AX706" s="0" t="n">
        <f aca="false"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>0</v>
      </c>
      <c r="AY706" s="0" t="n">
        <f aca="false">COUNTIF(DU706:EH706, "&lt;&gt;")</f>
        <v>0</v>
      </c>
      <c r="AZ706" s="0" t="n">
        <f aca="false">IF(EH706&lt;&gt;"",1,0)</f>
        <v>0</v>
      </c>
      <c r="BB706" s="0" t="s">
        <v>153</v>
      </c>
      <c r="CV706" s="0" t="s">
        <v>154</v>
      </c>
      <c r="CY706" s="0" t="s">
        <v>154</v>
      </c>
      <c r="DC706" s="0" t="s">
        <v>154</v>
      </c>
    </row>
    <row r="707" customFormat="false" ht="13.8" hidden="true" customHeight="false" outlineLevel="0" collapsed="false">
      <c r="A707" s="0" t="s">
        <v>3593</v>
      </c>
      <c r="B707" s="0" t="n">
        <v>78</v>
      </c>
      <c r="C707" s="0" t="n">
        <v>474798</v>
      </c>
      <c r="D707" s="0" t="s">
        <v>3594</v>
      </c>
      <c r="E707" s="0" t="s">
        <v>903</v>
      </c>
      <c r="F707" s="0" t="str">
        <f aca="false">CONCATENATE(D707," ",LEFT(H707,4),"T=",AU707,"D=",AV707,"R=",AW707,"M=",AX707,"L=",AY707,"B=",AZ707)</f>
        <v>QUIGGLE T=2D=0R=0M=0L=0B=0</v>
      </c>
      <c r="G707" s="0" t="s">
        <v>297</v>
      </c>
      <c r="I707" s="0" t="s">
        <v>3595</v>
      </c>
      <c r="J707" s="0" t="s">
        <v>3596</v>
      </c>
      <c r="K707" s="0" t="s">
        <v>175</v>
      </c>
      <c r="L707" s="0"/>
      <c r="M707" s="0" t="s">
        <v>3597</v>
      </c>
      <c r="N707" s="0" t="str">
        <f aca="false">RIGHT(M707,LEN(M707)-FIND(" ",M707))</f>
        <v>DOUGLAS ST NE</v>
      </c>
      <c r="P707" s="0" t="s">
        <v>146</v>
      </c>
      <c r="Q707" s="0" t="s">
        <v>147</v>
      </c>
      <c r="R707" s="0" t="n">
        <v>44483</v>
      </c>
      <c r="AD707" s="0" t="s">
        <v>148</v>
      </c>
      <c r="AE707" s="0" t="s">
        <v>149</v>
      </c>
      <c r="AF707" s="0" t="s">
        <v>150</v>
      </c>
      <c r="AH707" s="0" t="n">
        <v>14</v>
      </c>
      <c r="AI707" s="0" t="n">
        <v>11</v>
      </c>
      <c r="AN707" s="0" t="s">
        <v>146</v>
      </c>
      <c r="AO707" s="0" t="s">
        <v>250</v>
      </c>
      <c r="AP707" s="0" t="s">
        <v>251</v>
      </c>
      <c r="AQ707" s="0" t="n">
        <v>9</v>
      </c>
      <c r="AR707" s="0" t="n">
        <v>64</v>
      </c>
      <c r="AS707" s="0" t="n">
        <v>32</v>
      </c>
      <c r="AU707" s="0" t="n">
        <f aca="false">COUNTA($BA$2352:$EH$2352)</f>
        <v>2</v>
      </c>
      <c r="AV707" s="0" t="n">
        <f aca="false">COUNTIF($BA$2352:$EH$2352,"D")</f>
        <v>0</v>
      </c>
      <c r="AW707" s="0" t="n">
        <f aca="false">COUNTIF($BA$2352:$EH$2352,"R")</f>
        <v>0</v>
      </c>
      <c r="AX707" s="0" t="n">
        <f aca="false"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>0</v>
      </c>
      <c r="AY707" s="0" t="n">
        <f aca="false">COUNTIF(DU707:EH707, "&lt;&gt;")</f>
        <v>0</v>
      </c>
      <c r="AZ707" s="0" t="n">
        <f aca="false">IF(EH707&lt;&gt;"",1,0)</f>
        <v>0</v>
      </c>
      <c r="BB707" s="0" t="s">
        <v>153</v>
      </c>
    </row>
    <row r="708" customFormat="false" ht="13.8" hidden="true" customHeight="false" outlineLevel="0" collapsed="false">
      <c r="A708" s="0" t="s">
        <v>3598</v>
      </c>
      <c r="B708" s="0" t="n">
        <v>78</v>
      </c>
      <c r="C708" s="0" t="n">
        <v>337721</v>
      </c>
      <c r="D708" s="0" t="s">
        <v>3594</v>
      </c>
      <c r="E708" s="0" t="s">
        <v>903</v>
      </c>
      <c r="F708" s="0" t="str">
        <f aca="false">CONCATENATE(D708," ",LEFT(H708,4),"T=",AU708,"D=",AV708,"R=",AW708,"M=",AX708,"L=",AY708,"B=",AZ708)</f>
        <v>QUIGGLE T=2D=0R=0M=0L=0B=0</v>
      </c>
      <c r="G708" s="0" t="s">
        <v>172</v>
      </c>
      <c r="I708" s="0" t="s">
        <v>3599</v>
      </c>
      <c r="J708" s="0" t="s">
        <v>3596</v>
      </c>
      <c r="K708" s="0" t="s">
        <v>175</v>
      </c>
      <c r="L708" s="0"/>
      <c r="M708" s="0" t="s">
        <v>3597</v>
      </c>
      <c r="N708" s="0" t="str">
        <f aca="false">RIGHT(M708,LEN(M708)-FIND(" ",M708))</f>
        <v>DOUGLAS ST NE</v>
      </c>
      <c r="P708" s="0" t="s">
        <v>146</v>
      </c>
      <c r="Q708" s="0" t="s">
        <v>147</v>
      </c>
      <c r="R708" s="0" t="n">
        <v>44483</v>
      </c>
      <c r="AD708" s="0" t="s">
        <v>148</v>
      </c>
      <c r="AE708" s="0" t="s">
        <v>149</v>
      </c>
      <c r="AF708" s="0" t="s">
        <v>150</v>
      </c>
      <c r="AH708" s="0" t="n">
        <v>14</v>
      </c>
      <c r="AI708" s="0" t="n">
        <v>11</v>
      </c>
      <c r="AN708" s="0" t="s">
        <v>146</v>
      </c>
      <c r="AO708" s="0" t="s">
        <v>250</v>
      </c>
      <c r="AP708" s="0" t="s">
        <v>251</v>
      </c>
      <c r="AQ708" s="0" t="n">
        <v>9</v>
      </c>
      <c r="AR708" s="0" t="n">
        <v>64</v>
      </c>
      <c r="AS708" s="0" t="n">
        <v>32</v>
      </c>
      <c r="AU708" s="0" t="n">
        <f aca="false">COUNTA($BA$2585:$EH$2585)</f>
        <v>2</v>
      </c>
      <c r="AV708" s="0" t="n">
        <f aca="false">COUNTIF($BA$2585:$EH$2585,"D")</f>
        <v>0</v>
      </c>
      <c r="AW708" s="0" t="n">
        <f aca="false">COUNTIF($BA$2585:$EH$2585,"R")</f>
        <v>0</v>
      </c>
      <c r="AX708" s="0" t="n">
        <f aca="false"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>0</v>
      </c>
      <c r="AY708" s="0" t="n">
        <f aca="false">COUNTIF(DU708:EH708, "&lt;&gt;")</f>
        <v>0</v>
      </c>
      <c r="AZ708" s="0" t="n">
        <f aca="false">IF(EH708&lt;&gt;"",1,0)</f>
        <v>0</v>
      </c>
      <c r="BB708" s="0" t="s">
        <v>153</v>
      </c>
      <c r="BS708" s="0" t="s">
        <v>154</v>
      </c>
      <c r="CT708" s="0" t="s">
        <v>154</v>
      </c>
      <c r="CU708" s="0" t="s">
        <v>155</v>
      </c>
      <c r="CY708" s="0" t="s">
        <v>154</v>
      </c>
      <c r="DN708" s="0" t="s">
        <v>154</v>
      </c>
    </row>
    <row r="709" customFormat="false" ht="13.8" hidden="true" customHeight="false" outlineLevel="0" collapsed="false">
      <c r="A709" s="0" t="s">
        <v>3600</v>
      </c>
      <c r="B709" s="0" t="n">
        <v>78</v>
      </c>
      <c r="C709" s="0" t="n">
        <v>377973</v>
      </c>
      <c r="D709" s="0" t="s">
        <v>3601</v>
      </c>
      <c r="E709" s="0" t="s">
        <v>3602</v>
      </c>
      <c r="F709" s="0" t="str">
        <f aca="false">CONCATENATE(D709," ",LEFT(H709,4),"T=",AU709,"D=",AV709,"R=",AW709,"M=",AX709,"L=",AY709,"B=",AZ709)</f>
        <v>MCBRIDE T=3D=0R=0M=0L=0B=0</v>
      </c>
      <c r="G709" s="0" t="s">
        <v>155</v>
      </c>
      <c r="I709" s="0" t="s">
        <v>3603</v>
      </c>
      <c r="J709" s="0" t="s">
        <v>718</v>
      </c>
      <c r="K709" s="0" t="s">
        <v>175</v>
      </c>
      <c r="L709" s="0"/>
      <c r="M709" s="0" t="s">
        <v>3604</v>
      </c>
      <c r="N709" s="0" t="str">
        <f aca="false">RIGHT(M709,LEN(M709)-FIND(" ",M709))</f>
        <v>DOUGLAS ST NE</v>
      </c>
      <c r="P709" s="0" t="s">
        <v>146</v>
      </c>
      <c r="Q709" s="0" t="s">
        <v>147</v>
      </c>
      <c r="R709" s="0" t="n">
        <v>44483</v>
      </c>
      <c r="AD709" s="0" t="s">
        <v>148</v>
      </c>
      <c r="AE709" s="0" t="s">
        <v>149</v>
      </c>
      <c r="AF709" s="0" t="s">
        <v>150</v>
      </c>
      <c r="AH709" s="0" t="n">
        <v>14</v>
      </c>
      <c r="AI709" s="0" t="n">
        <v>11</v>
      </c>
      <c r="AN709" s="0" t="s">
        <v>146</v>
      </c>
      <c r="AO709" s="0" t="s">
        <v>250</v>
      </c>
      <c r="AP709" s="0" t="s">
        <v>251</v>
      </c>
      <c r="AQ709" s="0" t="n">
        <v>9</v>
      </c>
      <c r="AR709" s="0" t="n">
        <v>64</v>
      </c>
      <c r="AS709" s="0" t="n">
        <v>32</v>
      </c>
      <c r="AU709" s="0" t="n">
        <f aca="false">COUNTA($BA$2537:$EH$2537)</f>
        <v>3</v>
      </c>
      <c r="AV709" s="0" t="n">
        <f aca="false">COUNTIF($BA$2537:$EH$2537,"D")</f>
        <v>0</v>
      </c>
      <c r="AW709" s="0" t="n">
        <f aca="false">COUNTIF($BA$2537:$EH$2537,"R")</f>
        <v>0</v>
      </c>
      <c r="AX709" s="0" t="n">
        <f aca="false"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>0</v>
      </c>
      <c r="AY709" s="0" t="n">
        <f aca="false">COUNTIF(DU709:EH709, "&lt;&gt;")</f>
        <v>0</v>
      </c>
      <c r="AZ709" s="0" t="n">
        <f aca="false">IF(EH709&lt;&gt;"",1,0)</f>
        <v>0</v>
      </c>
      <c r="BB709" s="0" t="s">
        <v>153</v>
      </c>
      <c r="CN709" s="0" t="s">
        <v>154</v>
      </c>
      <c r="CP709" s="0" t="s">
        <v>154</v>
      </c>
      <c r="DI709" s="0" t="s">
        <v>154</v>
      </c>
      <c r="DN709" s="0" t="s">
        <v>154</v>
      </c>
    </row>
    <row r="710" customFormat="false" ht="13.8" hidden="true" customHeight="false" outlineLevel="0" collapsed="false">
      <c r="A710" s="0" t="s">
        <v>3605</v>
      </c>
      <c r="B710" s="0" t="n">
        <v>78</v>
      </c>
      <c r="C710" s="0" t="n">
        <v>446424</v>
      </c>
      <c r="D710" s="0" t="s">
        <v>931</v>
      </c>
      <c r="E710" s="0" t="s">
        <v>3606</v>
      </c>
      <c r="F710" s="0" t="str">
        <f aca="false">CONCATENATE(D710," ",LEFT(H710,4),"T=",AU710,"D=",AV710,"R=",AW710,"M=",AX710,"L=",AY710,"B=",AZ710)</f>
        <v>BAKER T=2D=0R=0M=0L=0B=0</v>
      </c>
      <c r="G710" s="0" t="s">
        <v>241</v>
      </c>
      <c r="I710" s="0" t="s">
        <v>3607</v>
      </c>
      <c r="J710" s="0" t="s">
        <v>3608</v>
      </c>
      <c r="K710" s="0" t="s">
        <v>144</v>
      </c>
      <c r="L710" s="0"/>
      <c r="M710" s="0" t="s">
        <v>3604</v>
      </c>
      <c r="N710" s="0" t="str">
        <f aca="false">RIGHT(M710,LEN(M710)-FIND(" ",M710))</f>
        <v>DOUGLAS ST NE</v>
      </c>
      <c r="P710" s="0" t="s">
        <v>146</v>
      </c>
      <c r="Q710" s="0" t="s">
        <v>147</v>
      </c>
      <c r="R710" s="0" t="n">
        <v>44483</v>
      </c>
      <c r="AD710" s="0" t="s">
        <v>148</v>
      </c>
      <c r="AE710" s="0" t="s">
        <v>149</v>
      </c>
      <c r="AF710" s="0" t="s">
        <v>150</v>
      </c>
      <c r="AH710" s="0" t="n">
        <v>14</v>
      </c>
      <c r="AI710" s="0" t="n">
        <v>11</v>
      </c>
      <c r="AN710" s="0" t="s">
        <v>146</v>
      </c>
      <c r="AO710" s="0" t="s">
        <v>250</v>
      </c>
      <c r="AP710" s="0" t="s">
        <v>251</v>
      </c>
      <c r="AQ710" s="0" t="n">
        <v>9</v>
      </c>
      <c r="AR710" s="0" t="n">
        <v>64</v>
      </c>
      <c r="AS710" s="0" t="n">
        <v>32</v>
      </c>
      <c r="AU710" s="0" t="n">
        <f aca="false">COUNTA($BA$2690:$EH$2690)</f>
        <v>2</v>
      </c>
      <c r="AV710" s="0" t="n">
        <f aca="false">COUNTIF($BA$2690:$EH$2690,"D")</f>
        <v>0</v>
      </c>
      <c r="AW710" s="0" t="n">
        <f aca="false">COUNTIF($BA$2690:$EH$2690,"R")</f>
        <v>0</v>
      </c>
      <c r="AX710" s="0" t="n">
        <f aca="false"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>0</v>
      </c>
      <c r="AY710" s="0" t="n">
        <f aca="false">COUNTIF(DU710:EH710, "&lt;&gt;")</f>
        <v>0</v>
      </c>
      <c r="AZ710" s="0" t="n">
        <f aca="false">IF(EH710&lt;&gt;"",1,0)</f>
        <v>0</v>
      </c>
      <c r="BB710" s="0" t="s">
        <v>153</v>
      </c>
      <c r="BL710" s="0" t="s">
        <v>154</v>
      </c>
      <c r="CA710" s="0" t="s">
        <v>154</v>
      </c>
      <c r="CK710" s="0" t="s">
        <v>154</v>
      </c>
    </row>
    <row r="711" customFormat="false" ht="13.8" hidden="true" customHeight="false" outlineLevel="0" collapsed="false">
      <c r="A711" s="0" t="s">
        <v>3609</v>
      </c>
      <c r="B711" s="0" t="n">
        <v>78</v>
      </c>
      <c r="C711" s="0" t="n">
        <v>440435</v>
      </c>
      <c r="D711" s="0" t="s">
        <v>3540</v>
      </c>
      <c r="E711" s="0" t="s">
        <v>3610</v>
      </c>
      <c r="F711" s="0" t="str">
        <f aca="false">CONCATENATE(D711," ",LEFT(H711,4),"T=",AU711,"D=",AV711,"R=",AW711,"M=",AX711,"L=",AY711,"B=",AZ711)</f>
        <v>ROBINSON T=4D=1R=0M=0L=0B=0</v>
      </c>
      <c r="G711" s="0" t="s">
        <v>3611</v>
      </c>
      <c r="I711" s="0" t="s">
        <v>3612</v>
      </c>
      <c r="J711" s="0" t="s">
        <v>575</v>
      </c>
      <c r="K711" s="0" t="s">
        <v>175</v>
      </c>
      <c r="L711" s="0"/>
      <c r="M711" s="0" t="s">
        <v>3604</v>
      </c>
      <c r="N711" s="0" t="str">
        <f aca="false">RIGHT(M711,LEN(M711)-FIND(" ",M711))</f>
        <v>DOUGLAS ST NE</v>
      </c>
      <c r="P711" s="0" t="s">
        <v>146</v>
      </c>
      <c r="Q711" s="0" t="s">
        <v>147</v>
      </c>
      <c r="R711" s="0" t="n">
        <v>44483</v>
      </c>
      <c r="AD711" s="0" t="s">
        <v>148</v>
      </c>
      <c r="AE711" s="0" t="s">
        <v>149</v>
      </c>
      <c r="AF711" s="0" t="s">
        <v>150</v>
      </c>
      <c r="AH711" s="0" t="n">
        <v>14</v>
      </c>
      <c r="AI711" s="0" t="n">
        <v>11</v>
      </c>
      <c r="AN711" s="0" t="s">
        <v>146</v>
      </c>
      <c r="AO711" s="0" t="s">
        <v>250</v>
      </c>
      <c r="AP711" s="0" t="s">
        <v>251</v>
      </c>
      <c r="AQ711" s="0" t="n">
        <v>9</v>
      </c>
      <c r="AR711" s="0" t="n">
        <v>64</v>
      </c>
      <c r="AS711" s="0" t="n">
        <v>32</v>
      </c>
      <c r="AU711" s="0" t="n">
        <f aca="false">COUNTA($BA$2732:$EH$2732)</f>
        <v>4</v>
      </c>
      <c r="AV711" s="0" t="n">
        <f aca="false">COUNTIF($BA$2732:$EH$2732,"D")</f>
        <v>1</v>
      </c>
      <c r="AW711" s="0" t="n">
        <f aca="false">COUNTIF($BA$2732:$EH$2732,"R")</f>
        <v>0</v>
      </c>
      <c r="AX711" s="0" t="n">
        <f aca="false"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>0</v>
      </c>
      <c r="AY711" s="0" t="n">
        <f aca="false">COUNTIF(DU711:EH711, "&lt;&gt;")</f>
        <v>0</v>
      </c>
      <c r="AZ711" s="0" t="n">
        <f aca="false">IF(EH711&lt;&gt;"",1,0)</f>
        <v>0</v>
      </c>
      <c r="BB711" s="0" t="s">
        <v>153</v>
      </c>
      <c r="DN711" s="0" t="s">
        <v>154</v>
      </c>
    </row>
    <row r="712" customFormat="false" ht="13.8" hidden="false" customHeight="false" outlineLevel="0" collapsed="false">
      <c r="A712" s="0" t="s">
        <v>3613</v>
      </c>
      <c r="B712" s="0" t="n">
        <v>78</v>
      </c>
      <c r="C712" s="0" t="n">
        <v>362829</v>
      </c>
      <c r="D712" s="0" t="s">
        <v>3614</v>
      </c>
      <c r="E712" s="0" t="s">
        <v>3615</v>
      </c>
      <c r="F712" s="0" t="str">
        <f aca="false">CONCATENATE(D712," ",LEFT(H712,4),"T=",AU712,"D=",AV712,"R=",AW712,"M=",AX712,"L=",AY712,"B=",AZ712)</f>
        <v>CONNELLY T=1D=0R=0M=10L=7B=1</v>
      </c>
      <c r="G712" s="0" t="s">
        <v>241</v>
      </c>
      <c r="I712" s="0" t="s">
        <v>3616</v>
      </c>
      <c r="J712" s="0" t="s">
        <v>3617</v>
      </c>
      <c r="K712" s="0" t="s">
        <v>175</v>
      </c>
      <c r="L712" s="1" t="s">
        <v>155</v>
      </c>
      <c r="M712" s="0" t="s">
        <v>3618</v>
      </c>
      <c r="N712" s="0" t="str">
        <f aca="false">RIGHT(M712,LEN(M712)-FIND(" ",M712))</f>
        <v>DOUGLAS ST NE</v>
      </c>
      <c r="P712" s="0" t="s">
        <v>146</v>
      </c>
      <c r="Q712" s="0" t="s">
        <v>147</v>
      </c>
      <c r="R712" s="0" t="n">
        <v>44483</v>
      </c>
      <c r="AD712" s="0" t="s">
        <v>148</v>
      </c>
      <c r="AE712" s="0" t="s">
        <v>149</v>
      </c>
      <c r="AF712" s="0" t="s">
        <v>150</v>
      </c>
      <c r="AH712" s="0" t="n">
        <v>14</v>
      </c>
      <c r="AI712" s="0" t="n">
        <v>11</v>
      </c>
      <c r="AN712" s="0" t="s">
        <v>146</v>
      </c>
      <c r="AO712" s="0" t="s">
        <v>250</v>
      </c>
      <c r="AP712" s="0" t="s">
        <v>251</v>
      </c>
      <c r="AQ712" s="0" t="n">
        <v>9</v>
      </c>
      <c r="AR712" s="0" t="n">
        <v>64</v>
      </c>
      <c r="AS712" s="0" t="n">
        <v>32</v>
      </c>
      <c r="AU712" s="0" t="n">
        <f aca="false">COUNTA($BA$2071:$EH$2071)</f>
        <v>1</v>
      </c>
      <c r="AV712" s="0" t="n">
        <f aca="false">COUNTIF($BA$2071:$EH$2071,"D")</f>
        <v>0</v>
      </c>
      <c r="AW712" s="0" t="n">
        <f aca="false">COUNTIF($BA$2071:$EH$2071,"R")</f>
        <v>0</v>
      </c>
      <c r="AX712" s="0" t="n">
        <f aca="false"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>10</v>
      </c>
      <c r="AY712" s="0" t="n">
        <f aca="false">COUNTIF(DU712:EH712, "&lt;&gt;")</f>
        <v>7</v>
      </c>
      <c r="AZ712" s="0" t="n">
        <f aca="false">IF(EH712&lt;&gt;"",1,0)</f>
        <v>1</v>
      </c>
      <c r="BB712" s="0" t="s">
        <v>153</v>
      </c>
      <c r="BC712" s="0" t="s">
        <v>155</v>
      </c>
      <c r="BD712" s="0" t="s">
        <v>154</v>
      </c>
      <c r="BE712" s="0" t="s">
        <v>155</v>
      </c>
      <c r="BF712" s="0" t="s">
        <v>154</v>
      </c>
      <c r="BG712" s="0" t="s">
        <v>155</v>
      </c>
      <c r="BH712" s="0" t="s">
        <v>154</v>
      </c>
      <c r="BJ712" s="0" t="s">
        <v>154</v>
      </c>
      <c r="BK712" s="0" t="s">
        <v>155</v>
      </c>
      <c r="BN712" s="0" t="s">
        <v>155</v>
      </c>
      <c r="BP712" s="0" t="s">
        <v>154</v>
      </c>
      <c r="BR712" s="0" t="s">
        <v>155</v>
      </c>
      <c r="BS712" s="0" t="s">
        <v>154</v>
      </c>
      <c r="BT712" s="0" t="s">
        <v>155</v>
      </c>
      <c r="BV712" s="0" t="s">
        <v>154</v>
      </c>
      <c r="BY712" s="0" t="s">
        <v>155</v>
      </c>
      <c r="CA712" s="0" t="s">
        <v>154</v>
      </c>
      <c r="CG712" s="0" t="s">
        <v>154</v>
      </c>
      <c r="CH712" s="0" t="s">
        <v>155</v>
      </c>
      <c r="CK712" s="0" t="s">
        <v>154</v>
      </c>
      <c r="CL712" s="0" t="s">
        <v>155</v>
      </c>
      <c r="CN712" s="0" t="s">
        <v>154</v>
      </c>
      <c r="CP712" s="0" t="s">
        <v>154</v>
      </c>
      <c r="CQ712" s="0" t="s">
        <v>155</v>
      </c>
      <c r="CT712" s="0" t="s">
        <v>154</v>
      </c>
      <c r="CU712" s="0" t="s">
        <v>155</v>
      </c>
      <c r="CV712" s="0" t="s">
        <v>154</v>
      </c>
      <c r="CW712" s="0" t="s">
        <v>155</v>
      </c>
      <c r="CY712" s="0" t="s">
        <v>154</v>
      </c>
      <c r="CZ712" s="0" t="s">
        <v>155</v>
      </c>
      <c r="DC712" s="0" t="s">
        <v>154</v>
      </c>
      <c r="DD712" s="0" t="s">
        <v>155</v>
      </c>
      <c r="DF712" s="0" t="s">
        <v>154</v>
      </c>
      <c r="DG712" s="0" t="s">
        <v>155</v>
      </c>
      <c r="DI712" s="0" t="s">
        <v>154</v>
      </c>
      <c r="DJ712" s="0" t="s">
        <v>155</v>
      </c>
      <c r="DL712" s="0" t="s">
        <v>154</v>
      </c>
      <c r="DM712" s="0" t="s">
        <v>155</v>
      </c>
      <c r="DN712" s="0" t="s">
        <v>154</v>
      </c>
      <c r="DO712" s="0" t="s">
        <v>155</v>
      </c>
      <c r="DR712" s="0" t="s">
        <v>154</v>
      </c>
      <c r="DS712" s="0" t="s">
        <v>155</v>
      </c>
      <c r="DT712" s="0" t="s">
        <v>155</v>
      </c>
      <c r="DU712" s="0" t="s">
        <v>154</v>
      </c>
      <c r="DW712" s="0" t="s">
        <v>155</v>
      </c>
      <c r="DX712" s="0" t="s">
        <v>154</v>
      </c>
      <c r="EA712" s="0" t="s">
        <v>154</v>
      </c>
      <c r="ED712" s="0" t="s">
        <v>155</v>
      </c>
      <c r="EF712" s="0" t="s">
        <v>154</v>
      </c>
      <c r="EH712" s="0" t="s">
        <v>155</v>
      </c>
    </row>
    <row r="713" customFormat="false" ht="13.8" hidden="false" customHeight="false" outlineLevel="0" collapsed="false">
      <c r="A713" s="0" t="s">
        <v>3619</v>
      </c>
      <c r="B713" s="0" t="n">
        <v>78</v>
      </c>
      <c r="C713" s="0" t="n">
        <v>366091</v>
      </c>
      <c r="D713" s="0" t="s">
        <v>3614</v>
      </c>
      <c r="E713" s="0" t="s">
        <v>471</v>
      </c>
      <c r="F713" s="0" t="str">
        <f aca="false">CONCATENATE(D713," ",LEFT(H713,4),"T=",AU713,"D=",AV713,"R=",AW713,"M=",AX713,"L=",AY713,"B=",AZ713)</f>
        <v>CONNELLY T=14D=0R=4M=10L=7B=1</v>
      </c>
      <c r="G713" s="0" t="s">
        <v>3620</v>
      </c>
      <c r="I713" s="0" t="s">
        <v>3621</v>
      </c>
      <c r="J713" s="0" t="s">
        <v>3617</v>
      </c>
      <c r="K713" s="0" t="s">
        <v>175</v>
      </c>
      <c r="L713" s="1" t="s">
        <v>155</v>
      </c>
      <c r="M713" s="0" t="s">
        <v>3618</v>
      </c>
      <c r="N713" s="0" t="str">
        <f aca="false">RIGHT(M713,LEN(M713)-FIND(" ",M713))</f>
        <v>DOUGLAS ST NE</v>
      </c>
      <c r="P713" s="0" t="s">
        <v>146</v>
      </c>
      <c r="Q713" s="0" t="s">
        <v>147</v>
      </c>
      <c r="R713" s="0" t="n">
        <v>44483</v>
      </c>
      <c r="AD713" s="0" t="s">
        <v>148</v>
      </c>
      <c r="AE713" s="0" t="s">
        <v>149</v>
      </c>
      <c r="AF713" s="0" t="s">
        <v>150</v>
      </c>
      <c r="AH713" s="0" t="n">
        <v>14</v>
      </c>
      <c r="AI713" s="0" t="n">
        <v>11</v>
      </c>
      <c r="AN713" s="0" t="s">
        <v>146</v>
      </c>
      <c r="AO713" s="0" t="s">
        <v>250</v>
      </c>
      <c r="AP713" s="0" t="s">
        <v>251</v>
      </c>
      <c r="AQ713" s="0" t="n">
        <v>9</v>
      </c>
      <c r="AR713" s="0" t="n">
        <v>64</v>
      </c>
      <c r="AS713" s="0" t="n">
        <v>32</v>
      </c>
      <c r="AU713" s="0" t="n">
        <f aca="false">COUNTA($BA$2078:$EH$2078)</f>
        <v>14</v>
      </c>
      <c r="AV713" s="0" t="n">
        <f aca="false">COUNTIF($BA$2078:$EH$2078,"D")</f>
        <v>0</v>
      </c>
      <c r="AW713" s="0" t="n">
        <f aca="false">COUNTIF($BA$2078:$EH$2078,"R")</f>
        <v>4</v>
      </c>
      <c r="AX713" s="0" t="n">
        <f aca="false"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>10</v>
      </c>
      <c r="AY713" s="0" t="n">
        <f aca="false">COUNTIF(DU713:EH713, "&lt;&gt;")</f>
        <v>7</v>
      </c>
      <c r="AZ713" s="0" t="n">
        <f aca="false">IF(EH713&lt;&gt;"",1,0)</f>
        <v>1</v>
      </c>
      <c r="BB713" s="0" t="s">
        <v>153</v>
      </c>
      <c r="BC713" s="0" t="s">
        <v>155</v>
      </c>
      <c r="BD713" s="0" t="s">
        <v>154</v>
      </c>
      <c r="BE713" s="0" t="s">
        <v>155</v>
      </c>
      <c r="BF713" s="0" t="s">
        <v>154</v>
      </c>
      <c r="BG713" s="0" t="s">
        <v>155</v>
      </c>
      <c r="BH713" s="0" t="s">
        <v>154</v>
      </c>
      <c r="BJ713" s="0" t="s">
        <v>154</v>
      </c>
      <c r="BK713" s="0" t="s">
        <v>155</v>
      </c>
      <c r="BL713" s="0" t="s">
        <v>154</v>
      </c>
      <c r="BN713" s="0" t="s">
        <v>155</v>
      </c>
      <c r="BP713" s="0" t="s">
        <v>154</v>
      </c>
      <c r="BR713" s="0" t="s">
        <v>155</v>
      </c>
      <c r="BS713" s="0" t="s">
        <v>154</v>
      </c>
      <c r="BT713" s="0" t="s">
        <v>155</v>
      </c>
      <c r="BV713" s="0" t="s">
        <v>154</v>
      </c>
      <c r="BY713" s="0" t="s">
        <v>155</v>
      </c>
      <c r="CA713" s="0" t="s">
        <v>154</v>
      </c>
      <c r="CG713" s="0" t="s">
        <v>154</v>
      </c>
      <c r="CH713" s="0" t="s">
        <v>155</v>
      </c>
      <c r="CK713" s="0" t="s">
        <v>154</v>
      </c>
      <c r="CL713" s="0" t="s">
        <v>155</v>
      </c>
      <c r="CN713" s="0" t="s">
        <v>154</v>
      </c>
      <c r="CO713" s="0" t="s">
        <v>155</v>
      </c>
      <c r="CP713" s="0" t="s">
        <v>154</v>
      </c>
      <c r="CQ713" s="0" t="s">
        <v>155</v>
      </c>
      <c r="CT713" s="0" t="s">
        <v>154</v>
      </c>
      <c r="CU713" s="0" t="s">
        <v>155</v>
      </c>
      <c r="CV713" s="0" t="s">
        <v>154</v>
      </c>
      <c r="CW713" s="0" t="s">
        <v>155</v>
      </c>
      <c r="CY713" s="0" t="s">
        <v>154</v>
      </c>
      <c r="CZ713" s="0" t="s">
        <v>155</v>
      </c>
      <c r="DC713" s="0" t="s">
        <v>154</v>
      </c>
      <c r="DD713" s="0" t="s">
        <v>155</v>
      </c>
      <c r="DF713" s="0" t="s">
        <v>154</v>
      </c>
      <c r="DG713" s="0" t="s">
        <v>155</v>
      </c>
      <c r="DI713" s="0" t="s">
        <v>154</v>
      </c>
      <c r="DJ713" s="0" t="s">
        <v>155</v>
      </c>
      <c r="DL713" s="0" t="s">
        <v>154</v>
      </c>
      <c r="DM713" s="0" t="s">
        <v>155</v>
      </c>
      <c r="DN713" s="0" t="s">
        <v>154</v>
      </c>
      <c r="DO713" s="0" t="s">
        <v>155</v>
      </c>
      <c r="DR713" s="0" t="s">
        <v>154</v>
      </c>
      <c r="DS713" s="0" t="s">
        <v>155</v>
      </c>
      <c r="DT713" s="0" t="s">
        <v>155</v>
      </c>
      <c r="DU713" s="0" t="s">
        <v>154</v>
      </c>
      <c r="DW713" s="0" t="s">
        <v>155</v>
      </c>
      <c r="DX713" s="0" t="s">
        <v>154</v>
      </c>
      <c r="EA713" s="0" t="s">
        <v>154</v>
      </c>
      <c r="ED713" s="0" t="s">
        <v>155</v>
      </c>
      <c r="EF713" s="0" t="s">
        <v>154</v>
      </c>
      <c r="EH713" s="0" t="s">
        <v>155</v>
      </c>
    </row>
    <row r="714" customFormat="false" ht="13.8" hidden="false" customHeight="false" outlineLevel="0" collapsed="false">
      <c r="A714" s="0" t="s">
        <v>3622</v>
      </c>
      <c r="B714" s="0" t="n">
        <v>78</v>
      </c>
      <c r="C714" s="0" t="n">
        <v>364150</v>
      </c>
      <c r="D714" s="0" t="s">
        <v>3623</v>
      </c>
      <c r="E714" s="0" t="s">
        <v>750</v>
      </c>
      <c r="F714" s="0" t="str">
        <f aca="false">CONCATENATE(D714," ",LEFT(H714,4),"T=",AU714,"D=",AV714,"R=",AW714,"M=",AX714,"L=",AY714,"B=",AZ714)</f>
        <v>ADKINS T=2D=0R=0M=0L=2B=0</v>
      </c>
      <c r="G714" s="0" t="s">
        <v>176</v>
      </c>
      <c r="I714" s="0" t="s">
        <v>3624</v>
      </c>
      <c r="J714" s="0" t="s">
        <v>3625</v>
      </c>
      <c r="K714" s="0" t="s">
        <v>175</v>
      </c>
      <c r="M714" s="0" t="s">
        <v>3626</v>
      </c>
      <c r="N714" s="0" t="str">
        <f aca="false">RIGHT(M714,LEN(M714)-FIND(" ",M714))</f>
        <v>DOUGLAS ST NE</v>
      </c>
      <c r="P714" s="0" t="s">
        <v>146</v>
      </c>
      <c r="Q714" s="0" t="s">
        <v>147</v>
      </c>
      <c r="R714" s="0" t="n">
        <v>44483</v>
      </c>
      <c r="AD714" s="0" t="s">
        <v>148</v>
      </c>
      <c r="AE714" s="0" t="s">
        <v>149</v>
      </c>
      <c r="AF714" s="0" t="s">
        <v>150</v>
      </c>
      <c r="AH714" s="0" t="n">
        <v>14</v>
      </c>
      <c r="AI714" s="0" t="n">
        <v>11</v>
      </c>
      <c r="AN714" s="0" t="s">
        <v>146</v>
      </c>
      <c r="AO714" s="0" t="s">
        <v>250</v>
      </c>
      <c r="AP714" s="0" t="s">
        <v>251</v>
      </c>
      <c r="AQ714" s="0" t="n">
        <v>9</v>
      </c>
      <c r="AR714" s="0" t="n">
        <v>64</v>
      </c>
      <c r="AS714" s="0" t="n">
        <v>32</v>
      </c>
      <c r="AU714" s="0" t="n">
        <f aca="false">COUNTA($BA$2094:$EH$2094)</f>
        <v>2</v>
      </c>
      <c r="AV714" s="0" t="n">
        <f aca="false">COUNTIF($BA$2094:$EH$2094,"D")</f>
        <v>0</v>
      </c>
      <c r="AW714" s="0" t="n">
        <f aca="false">COUNTIF($BA$2094:$EH$2094,"R")</f>
        <v>0</v>
      </c>
      <c r="AX714" s="0" t="n">
        <f aca="false"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>0</v>
      </c>
      <c r="AY714" s="0" t="n">
        <f aca="false">COUNTIF(DU714:EH714, "&lt;&gt;")</f>
        <v>2</v>
      </c>
      <c r="AZ714" s="0" t="n">
        <f aca="false">IF(EH714&lt;&gt;"",1,0)</f>
        <v>0</v>
      </c>
      <c r="BB714" s="0" t="s">
        <v>153</v>
      </c>
      <c r="CA714" s="0" t="s">
        <v>154</v>
      </c>
      <c r="CP714" s="0" t="s">
        <v>154</v>
      </c>
      <c r="CZ714" s="0" t="s">
        <v>176</v>
      </c>
      <c r="DI714" s="0" t="s">
        <v>154</v>
      </c>
      <c r="DN714" s="0" t="s">
        <v>154</v>
      </c>
      <c r="DU714" s="0" t="s">
        <v>154</v>
      </c>
      <c r="EF714" s="0" t="s">
        <v>154</v>
      </c>
    </row>
    <row r="715" customFormat="false" ht="13.8" hidden="true" customHeight="false" outlineLevel="0" collapsed="false">
      <c r="A715" s="0" t="s">
        <v>3627</v>
      </c>
      <c r="B715" s="0" t="n">
        <v>78</v>
      </c>
      <c r="C715" s="0" t="n">
        <v>476002</v>
      </c>
      <c r="D715" s="0" t="s">
        <v>3628</v>
      </c>
      <c r="E715" s="0" t="s">
        <v>2218</v>
      </c>
      <c r="F715" s="0" t="str">
        <f aca="false">CONCATENATE(D715," ",LEFT(H715,4),"T=",AU715,"D=",AV715,"R=",AW715,"M=",AX715,"L=",AY715,"B=",AZ715)</f>
        <v>LIPSTREU T=16D=4R=0M=0L=0B=0</v>
      </c>
      <c r="G715" s="0" t="s">
        <v>241</v>
      </c>
      <c r="I715" s="0" t="s">
        <v>3629</v>
      </c>
      <c r="J715" s="0" t="s">
        <v>3630</v>
      </c>
      <c r="K715" s="0" t="s">
        <v>175</v>
      </c>
      <c r="L715" s="0"/>
      <c r="M715" s="0" t="s">
        <v>3631</v>
      </c>
      <c r="N715" s="0" t="str">
        <f aca="false">RIGHT(M715,LEN(M715)-FIND(" ",M715))</f>
        <v>DOUGLAS ST NE</v>
      </c>
      <c r="P715" s="0" t="s">
        <v>146</v>
      </c>
      <c r="Q715" s="0" t="s">
        <v>147</v>
      </c>
      <c r="R715" s="0" t="n">
        <v>44483</v>
      </c>
      <c r="AD715" s="0" t="s">
        <v>148</v>
      </c>
      <c r="AE715" s="0" t="s">
        <v>149</v>
      </c>
      <c r="AF715" s="0" t="s">
        <v>150</v>
      </c>
      <c r="AH715" s="0" t="n">
        <v>14</v>
      </c>
      <c r="AI715" s="0" t="n">
        <v>11</v>
      </c>
      <c r="AN715" s="0" t="s">
        <v>146</v>
      </c>
      <c r="AO715" s="0" t="s">
        <v>250</v>
      </c>
      <c r="AP715" s="0" t="s">
        <v>251</v>
      </c>
      <c r="AQ715" s="0" t="n">
        <v>9</v>
      </c>
      <c r="AR715" s="0" t="n">
        <v>64</v>
      </c>
      <c r="AS715" s="0" t="n">
        <v>32</v>
      </c>
      <c r="AU715" s="0" t="n">
        <f aca="false">COUNTA($BA$2214:$EH$2214)</f>
        <v>16</v>
      </c>
      <c r="AV715" s="0" t="n">
        <f aca="false">COUNTIF($BA$2214:$EH$2214,"D")</f>
        <v>4</v>
      </c>
      <c r="AW715" s="0" t="n">
        <f aca="false">COUNTIF($BA$2214:$EH$2214,"R")</f>
        <v>0</v>
      </c>
      <c r="AX715" s="0" t="n">
        <f aca="false"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>0</v>
      </c>
      <c r="AY715" s="0" t="n">
        <f aca="false">COUNTIF(DU715:EH715, "&lt;&gt;")</f>
        <v>0</v>
      </c>
      <c r="AZ715" s="0" t="n">
        <f aca="false">IF(EH715&lt;&gt;"",1,0)</f>
        <v>0</v>
      </c>
      <c r="BB715" s="0" t="s">
        <v>153</v>
      </c>
    </row>
    <row r="716" customFormat="false" ht="13.8" hidden="false" customHeight="false" outlineLevel="0" collapsed="false">
      <c r="A716" s="0" t="s">
        <v>3632</v>
      </c>
      <c r="B716" s="0" t="n">
        <v>78</v>
      </c>
      <c r="C716" s="0" t="n">
        <v>462862</v>
      </c>
      <c r="D716" s="0" t="s">
        <v>3633</v>
      </c>
      <c r="E716" s="0" t="s">
        <v>3634</v>
      </c>
      <c r="F716" s="0" t="str">
        <f aca="false">CONCATENATE(D716," ",LEFT(H716,4),"T=",AU716,"D=",AV716,"R=",AW716,"M=",AX716,"L=",AY716,"B=",AZ716)</f>
        <v>HARRINGTON T=1D=0R=0M=0L=4B=0</v>
      </c>
      <c r="I716" s="0" t="s">
        <v>3635</v>
      </c>
      <c r="J716" s="0" t="s">
        <v>3636</v>
      </c>
      <c r="K716" s="0" t="s">
        <v>175</v>
      </c>
      <c r="M716" s="0" t="s">
        <v>3637</v>
      </c>
      <c r="N716" s="0" t="str">
        <f aca="false">RIGHT(M716,LEN(M716)-FIND(" ",M716))</f>
        <v>DOUGLAS ST NE</v>
      </c>
      <c r="P716" s="0" t="s">
        <v>146</v>
      </c>
      <c r="Q716" s="0" t="s">
        <v>147</v>
      </c>
      <c r="R716" s="0" t="n">
        <v>44483</v>
      </c>
      <c r="AD716" s="0" t="s">
        <v>148</v>
      </c>
      <c r="AE716" s="0" t="s">
        <v>149</v>
      </c>
      <c r="AF716" s="0" t="s">
        <v>150</v>
      </c>
      <c r="AH716" s="0" t="n">
        <v>14</v>
      </c>
      <c r="AI716" s="0" t="n">
        <v>11</v>
      </c>
      <c r="AN716" s="0" t="s">
        <v>146</v>
      </c>
      <c r="AO716" s="0" t="s">
        <v>250</v>
      </c>
      <c r="AP716" s="0" t="s">
        <v>251</v>
      </c>
      <c r="AQ716" s="0" t="n">
        <v>9</v>
      </c>
      <c r="AR716" s="0" t="n">
        <v>64</v>
      </c>
      <c r="AS716" s="0" t="n">
        <v>32</v>
      </c>
      <c r="AU716" s="0" t="n">
        <f aca="false">COUNTA($BA$2163:$EH$2163)</f>
        <v>1</v>
      </c>
      <c r="AV716" s="0" t="n">
        <f aca="false">COUNTIF($BA$2163:$EH$2163,"D")</f>
        <v>0</v>
      </c>
      <c r="AW716" s="0" t="n">
        <f aca="false">COUNTIF($BA$2163:$EH$2163,"R")</f>
        <v>0</v>
      </c>
      <c r="AX716" s="0" t="n">
        <f aca="false"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>0</v>
      </c>
      <c r="AY716" s="0" t="n">
        <f aca="false">COUNTIF(DU716:EH716, "&lt;&gt;")</f>
        <v>4</v>
      </c>
      <c r="AZ716" s="0" t="n">
        <f aca="false">IF(EH716&lt;&gt;"",1,0)</f>
        <v>0</v>
      </c>
      <c r="BB716" s="0" t="s">
        <v>153</v>
      </c>
      <c r="DU716" s="0" t="s">
        <v>154</v>
      </c>
      <c r="DX716" s="0" t="s">
        <v>154</v>
      </c>
      <c r="EA716" s="0" t="s">
        <v>154</v>
      </c>
      <c r="EF716" s="0" t="s">
        <v>154</v>
      </c>
    </row>
    <row r="717" customFormat="false" ht="13.8" hidden="false" customHeight="false" outlineLevel="0" collapsed="false">
      <c r="A717" s="0" t="s">
        <v>3638</v>
      </c>
      <c r="B717" s="0" t="n">
        <v>78</v>
      </c>
      <c r="C717" s="0" t="n">
        <v>465448</v>
      </c>
      <c r="D717" s="0" t="s">
        <v>3633</v>
      </c>
      <c r="E717" s="0" t="s">
        <v>3639</v>
      </c>
      <c r="F717" s="0" t="str">
        <f aca="false">CONCATENATE(D717," ",LEFT(H717,4),"T=",AU717,"D=",AV717,"R=",AW717,"M=",AX717,"L=",AY717,"B=",AZ717)</f>
        <v>HARRINGTON T=11D=1R=0M=0L=4B=0</v>
      </c>
      <c r="G717" s="0" t="s">
        <v>3640</v>
      </c>
      <c r="I717" s="0" t="s">
        <v>3641</v>
      </c>
      <c r="J717" s="0" t="s">
        <v>3642</v>
      </c>
      <c r="K717" s="0" t="s">
        <v>175</v>
      </c>
      <c r="M717" s="0" t="s">
        <v>3637</v>
      </c>
      <c r="N717" s="0" t="str">
        <f aca="false">RIGHT(M717,LEN(M717)-FIND(" ",M717))</f>
        <v>DOUGLAS ST NE</v>
      </c>
      <c r="P717" s="0" t="s">
        <v>146</v>
      </c>
      <c r="Q717" s="0" t="s">
        <v>147</v>
      </c>
      <c r="R717" s="0" t="n">
        <v>44483</v>
      </c>
      <c r="AD717" s="0" t="s">
        <v>148</v>
      </c>
      <c r="AE717" s="0" t="s">
        <v>149</v>
      </c>
      <c r="AF717" s="0" t="s">
        <v>150</v>
      </c>
      <c r="AH717" s="0" t="n">
        <v>14</v>
      </c>
      <c r="AI717" s="0" t="n">
        <v>11</v>
      </c>
      <c r="AN717" s="0" t="s">
        <v>146</v>
      </c>
      <c r="AO717" s="0" t="s">
        <v>250</v>
      </c>
      <c r="AP717" s="0" t="s">
        <v>251</v>
      </c>
      <c r="AQ717" s="0" t="n">
        <v>9</v>
      </c>
      <c r="AR717" s="0" t="n">
        <v>64</v>
      </c>
      <c r="AS717" s="0" t="n">
        <v>32</v>
      </c>
      <c r="AU717" s="0" t="n">
        <f aca="false">COUNTA($BA$2774:$EH$2774)</f>
        <v>11</v>
      </c>
      <c r="AV717" s="0" t="n">
        <f aca="false">COUNTIF($BA$2774:$EH$2774,"D")</f>
        <v>1</v>
      </c>
      <c r="AW717" s="0" t="n">
        <f aca="false">COUNTIF($BA$2774:$EH$2774,"R")</f>
        <v>0</v>
      </c>
      <c r="AX717" s="0" t="n">
        <f aca="false"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>0</v>
      </c>
      <c r="AY717" s="0" t="n">
        <f aca="false">COUNTIF(DU717:EH717, "&lt;&gt;")</f>
        <v>4</v>
      </c>
      <c r="AZ717" s="0" t="n">
        <f aca="false">IF(EH717&lt;&gt;"",1,0)</f>
        <v>0</v>
      </c>
      <c r="BB717" s="0" t="s">
        <v>153</v>
      </c>
      <c r="DU717" s="0" t="s">
        <v>154</v>
      </c>
      <c r="DX717" s="0" t="s">
        <v>154</v>
      </c>
      <c r="EA717" s="0" t="s">
        <v>154</v>
      </c>
      <c r="EF717" s="0" t="s">
        <v>154</v>
      </c>
    </row>
    <row r="718" customFormat="false" ht="13.8" hidden="false" customHeight="false" outlineLevel="0" collapsed="false">
      <c r="A718" s="0" t="s">
        <v>3643</v>
      </c>
      <c r="B718" s="0" t="n">
        <v>78</v>
      </c>
      <c r="C718" s="0" t="n">
        <v>400786</v>
      </c>
      <c r="D718" s="0" t="s">
        <v>3644</v>
      </c>
      <c r="E718" s="0" t="s">
        <v>3645</v>
      </c>
      <c r="F718" s="0" t="str">
        <f aca="false">CONCATENATE(D718," ",LEFT(H718,4),"T=",AU718,"D=",AV718,"R=",AW718,"M=",AX718,"L=",AY718,"B=",AZ718)</f>
        <v>JENKINS T=17D=2R=0M=1L=4B=0</v>
      </c>
      <c r="G718" s="0" t="s">
        <v>3646</v>
      </c>
      <c r="I718" s="0" t="s">
        <v>3647</v>
      </c>
      <c r="J718" s="0" t="s">
        <v>3648</v>
      </c>
      <c r="K718" s="0" t="s">
        <v>175</v>
      </c>
      <c r="L718" s="1" t="s">
        <v>155</v>
      </c>
      <c r="M718" s="0" t="s">
        <v>3649</v>
      </c>
      <c r="N718" s="0" t="str">
        <f aca="false">RIGHT(M718,LEN(M718)-FIND(" ",M718))</f>
        <v>DOUGLAS ST NE</v>
      </c>
      <c r="P718" s="0" t="s">
        <v>146</v>
      </c>
      <c r="Q718" s="0" t="s">
        <v>147</v>
      </c>
      <c r="R718" s="0" t="n">
        <v>44483</v>
      </c>
      <c r="AD718" s="0" t="s">
        <v>148</v>
      </c>
      <c r="AE718" s="0" t="s">
        <v>149</v>
      </c>
      <c r="AF718" s="0" t="s">
        <v>150</v>
      </c>
      <c r="AH718" s="0" t="n">
        <v>14</v>
      </c>
      <c r="AI718" s="0" t="n">
        <v>11</v>
      </c>
      <c r="AN718" s="0" t="s">
        <v>146</v>
      </c>
      <c r="AO718" s="0" t="s">
        <v>250</v>
      </c>
      <c r="AP718" s="0" t="s">
        <v>251</v>
      </c>
      <c r="AQ718" s="0" t="n">
        <v>9</v>
      </c>
      <c r="AR718" s="0" t="n">
        <v>64</v>
      </c>
      <c r="AS718" s="0" t="n">
        <v>32</v>
      </c>
      <c r="AU718" s="0" t="n">
        <f aca="false">COUNTA($BA$2292:$EH$2292)</f>
        <v>17</v>
      </c>
      <c r="AV718" s="0" t="n">
        <f aca="false">COUNTIF($BA$2292:$EH$2292,"D")</f>
        <v>2</v>
      </c>
      <c r="AW718" s="0" t="n">
        <f aca="false">COUNTIF($BA$2292:$EH$2292,"R")</f>
        <v>0</v>
      </c>
      <c r="AX718" s="0" t="n">
        <f aca="false"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>1</v>
      </c>
      <c r="AY718" s="0" t="n">
        <f aca="false">COUNTIF(DU718:EH718, "&lt;&gt;")</f>
        <v>4</v>
      </c>
      <c r="AZ718" s="0" t="n">
        <f aca="false">IF(EH718&lt;&gt;"",1,0)</f>
        <v>0</v>
      </c>
      <c r="BB718" s="0" t="s">
        <v>153</v>
      </c>
      <c r="CV718" s="0" t="s">
        <v>154</v>
      </c>
      <c r="CY718" s="0" t="s">
        <v>154</v>
      </c>
      <c r="CZ718" s="0" t="s">
        <v>155</v>
      </c>
      <c r="DC718" s="0" t="s">
        <v>154</v>
      </c>
      <c r="DG718" s="0" t="s">
        <v>155</v>
      </c>
      <c r="DI718" s="0" t="s">
        <v>154</v>
      </c>
      <c r="DJ718" s="0" t="s">
        <v>155</v>
      </c>
      <c r="DL718" s="0" t="s">
        <v>154</v>
      </c>
      <c r="DM718" s="0" t="s">
        <v>155</v>
      </c>
      <c r="DN718" s="0" t="s">
        <v>154</v>
      </c>
      <c r="DT718" s="0" t="s">
        <v>155</v>
      </c>
      <c r="DU718" s="0" t="s">
        <v>154</v>
      </c>
      <c r="DX718" s="0" t="s">
        <v>154</v>
      </c>
      <c r="EA718" s="0" t="s">
        <v>154</v>
      </c>
      <c r="EF718" s="0" t="s">
        <v>154</v>
      </c>
    </row>
    <row r="719" customFormat="false" ht="13.8" hidden="false" customHeight="false" outlineLevel="0" collapsed="false">
      <c r="A719" s="0" t="s">
        <v>3650</v>
      </c>
      <c r="B719" s="0" t="n">
        <v>78</v>
      </c>
      <c r="C719" s="0" t="n">
        <v>419489</v>
      </c>
      <c r="D719" s="0" t="s">
        <v>3644</v>
      </c>
      <c r="E719" s="0" t="s">
        <v>3651</v>
      </c>
      <c r="F719" s="0" t="str">
        <f aca="false">CONCATENATE(D719," ",LEFT(H719,4),"T=",AU719,"D=",AV719,"R=",AW719,"M=",AX719,"L=",AY719,"B=",AZ719)</f>
        <v>JENKINS T=3D=0R=0M=1L=4B=0</v>
      </c>
      <c r="G719" s="0" t="s">
        <v>241</v>
      </c>
      <c r="I719" s="0" t="s">
        <v>3652</v>
      </c>
      <c r="J719" s="0" t="s">
        <v>3653</v>
      </c>
      <c r="K719" s="0" t="s">
        <v>175</v>
      </c>
      <c r="M719" s="0" t="s">
        <v>3649</v>
      </c>
      <c r="N719" s="0" t="str">
        <f aca="false">RIGHT(M719,LEN(M719)-FIND(" ",M719))</f>
        <v>DOUGLAS ST NE</v>
      </c>
      <c r="P719" s="0" t="s">
        <v>146</v>
      </c>
      <c r="Q719" s="0" t="s">
        <v>147</v>
      </c>
      <c r="R719" s="0" t="n">
        <v>44483</v>
      </c>
      <c r="AD719" s="0" t="s">
        <v>148</v>
      </c>
      <c r="AE719" s="0" t="s">
        <v>149</v>
      </c>
      <c r="AF719" s="0" t="s">
        <v>150</v>
      </c>
      <c r="AH719" s="0" t="n">
        <v>14</v>
      </c>
      <c r="AI719" s="0" t="n">
        <v>11</v>
      </c>
      <c r="AN719" s="0" t="s">
        <v>146</v>
      </c>
      <c r="AO719" s="0" t="s">
        <v>250</v>
      </c>
      <c r="AP719" s="0" t="s">
        <v>251</v>
      </c>
      <c r="AQ719" s="0" t="n">
        <v>9</v>
      </c>
      <c r="AR719" s="0" t="n">
        <v>64</v>
      </c>
      <c r="AS719" s="0" t="n">
        <v>32</v>
      </c>
      <c r="AU719" s="0" t="n">
        <f aca="false">COUNTA($BA$2613:$EH$2613)</f>
        <v>3</v>
      </c>
      <c r="AV719" s="0" t="n">
        <f aca="false">COUNTIF($BA$2613:$EH$2613,"D")</f>
        <v>0</v>
      </c>
      <c r="AW719" s="0" t="n">
        <f aca="false">COUNTIF($BA$2613:$EH$2613,"R")</f>
        <v>0</v>
      </c>
      <c r="AX719" s="0" t="n">
        <f aca="false"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>1</v>
      </c>
      <c r="AY719" s="0" t="n">
        <f aca="false">COUNTIF(DU719:EH719, "&lt;&gt;")</f>
        <v>4</v>
      </c>
      <c r="AZ719" s="0" t="n">
        <f aca="false">IF(EH719&lt;&gt;"",1,0)</f>
        <v>0</v>
      </c>
      <c r="BB719" s="0" t="s">
        <v>153</v>
      </c>
      <c r="DC719" s="0" t="s">
        <v>154</v>
      </c>
      <c r="DF719" s="0" t="s">
        <v>154</v>
      </c>
      <c r="DG719" s="0" t="s">
        <v>155</v>
      </c>
      <c r="DI719" s="0" t="s">
        <v>154</v>
      </c>
      <c r="DJ719" s="0" t="s">
        <v>155</v>
      </c>
      <c r="DL719" s="0" t="s">
        <v>154</v>
      </c>
      <c r="DM719" s="0" t="s">
        <v>155</v>
      </c>
      <c r="DN719" s="0" t="s">
        <v>154</v>
      </c>
      <c r="DU719" s="0" t="s">
        <v>154</v>
      </c>
      <c r="DX719" s="0" t="s">
        <v>154</v>
      </c>
      <c r="EA719" s="0" t="s">
        <v>154</v>
      </c>
      <c r="EF719" s="0" t="s">
        <v>154</v>
      </c>
    </row>
    <row r="720" customFormat="false" ht="13.8" hidden="false" customHeight="false" outlineLevel="0" collapsed="false">
      <c r="A720" s="0" t="s">
        <v>3654</v>
      </c>
      <c r="B720" s="0" t="n">
        <v>78</v>
      </c>
      <c r="C720" s="0" t="n">
        <v>278728</v>
      </c>
      <c r="D720" s="0" t="s">
        <v>3655</v>
      </c>
      <c r="E720" s="0" t="s">
        <v>1817</v>
      </c>
      <c r="F720" s="0" t="str">
        <f aca="false">CONCATENATE(D720," ",LEFT(H720,4),"T=",AU720,"D=",AV720,"R=",AW720,"M=",AX720,"L=",AY720,"B=",AZ720)</f>
        <v>CARTNER T=10D=1R=0M=0L=3B=0</v>
      </c>
      <c r="G720" s="0" t="s">
        <v>939</v>
      </c>
      <c r="I720" s="0" t="s">
        <v>3656</v>
      </c>
      <c r="J720" s="0" t="s">
        <v>3657</v>
      </c>
      <c r="K720" s="0" t="s">
        <v>175</v>
      </c>
      <c r="M720" s="0" t="s">
        <v>3658</v>
      </c>
      <c r="N720" s="0" t="str">
        <f aca="false">RIGHT(M720,LEN(M720)-FIND(" ",M720))</f>
        <v>DOUGLAS ST NE</v>
      </c>
      <c r="P720" s="0" t="s">
        <v>146</v>
      </c>
      <c r="Q720" s="0" t="s">
        <v>147</v>
      </c>
      <c r="R720" s="0" t="n">
        <v>44483</v>
      </c>
      <c r="S720" s="0" t="n">
        <v>2703</v>
      </c>
      <c r="AD720" s="0" t="s">
        <v>148</v>
      </c>
      <c r="AE720" s="0" t="s">
        <v>149</v>
      </c>
      <c r="AF720" s="0" t="s">
        <v>150</v>
      </c>
      <c r="AH720" s="0" t="n">
        <v>14</v>
      </c>
      <c r="AI720" s="0" t="n">
        <v>11</v>
      </c>
      <c r="AN720" s="0" t="s">
        <v>146</v>
      </c>
      <c r="AO720" s="0" t="s">
        <v>250</v>
      </c>
      <c r="AP720" s="0" t="s">
        <v>251</v>
      </c>
      <c r="AQ720" s="0" t="n">
        <v>9</v>
      </c>
      <c r="AR720" s="0" t="n">
        <v>64</v>
      </c>
      <c r="AS720" s="0" t="n">
        <v>32</v>
      </c>
      <c r="AU720" s="0" t="n">
        <f aca="false">COUNTA($BA$2077:$EH$2077)</f>
        <v>10</v>
      </c>
      <c r="AV720" s="0" t="n">
        <f aca="false">COUNTIF($BA$2077:$EH$2077,"D")</f>
        <v>1</v>
      </c>
      <c r="AW720" s="0" t="n">
        <f aca="false">COUNTIF($BA$2077:$EH$2077,"R")</f>
        <v>0</v>
      </c>
      <c r="AX720" s="0" t="n">
        <f aca="false"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>0</v>
      </c>
      <c r="AY720" s="0" t="n">
        <f aca="false">COUNTIF(DU720:EH720, "&lt;&gt;")</f>
        <v>3</v>
      </c>
      <c r="AZ720" s="0" t="n">
        <f aca="false">IF(EH720&lt;&gt;"",1,0)</f>
        <v>0</v>
      </c>
      <c r="BB720" s="0" t="s">
        <v>153</v>
      </c>
      <c r="BD720" s="0" t="s">
        <v>154</v>
      </c>
      <c r="BL720" s="0" t="s">
        <v>154</v>
      </c>
      <c r="BP720" s="0" t="s">
        <v>154</v>
      </c>
      <c r="BS720" s="0" t="s">
        <v>154</v>
      </c>
      <c r="BY720" s="0" t="s">
        <v>155</v>
      </c>
      <c r="CA720" s="0" t="s">
        <v>154</v>
      </c>
      <c r="CG720" s="0" t="s">
        <v>154</v>
      </c>
      <c r="CN720" s="0" t="s">
        <v>154</v>
      </c>
      <c r="CP720" s="0" t="s">
        <v>154</v>
      </c>
      <c r="CV720" s="0" t="s">
        <v>154</v>
      </c>
      <c r="CY720" s="0" t="s">
        <v>154</v>
      </c>
      <c r="CZ720" s="0" t="s">
        <v>176</v>
      </c>
      <c r="DC720" s="0" t="s">
        <v>154</v>
      </c>
      <c r="DI720" s="0" t="s">
        <v>154</v>
      </c>
      <c r="DN720" s="0" t="s">
        <v>154</v>
      </c>
      <c r="DU720" s="0" t="s">
        <v>154</v>
      </c>
      <c r="EA720" s="0" t="s">
        <v>154</v>
      </c>
      <c r="EF720" s="0" t="s">
        <v>154</v>
      </c>
    </row>
    <row r="721" customFormat="false" ht="13.8" hidden="false" customHeight="false" outlineLevel="0" collapsed="false">
      <c r="A721" s="0" t="s">
        <v>3659</v>
      </c>
      <c r="B721" s="0" t="n">
        <v>78</v>
      </c>
      <c r="C721" s="0" t="n">
        <v>295051</v>
      </c>
      <c r="D721" s="0" t="s">
        <v>3655</v>
      </c>
      <c r="E721" s="0" t="s">
        <v>240</v>
      </c>
      <c r="F721" s="0" t="str">
        <f aca="false">CONCATENATE(D721," ",LEFT(H721,4),"T=",AU721,"D=",AV721,"R=",AW721,"M=",AX721,"L=",AY721,"B=",AZ721)</f>
        <v>CARTNER T=12D=1R=0M=0L=3B=0</v>
      </c>
      <c r="I721" s="0" t="s">
        <v>3660</v>
      </c>
      <c r="J721" s="0" t="s">
        <v>3661</v>
      </c>
      <c r="K721" s="0" t="s">
        <v>175</v>
      </c>
      <c r="M721" s="0" t="s">
        <v>3658</v>
      </c>
      <c r="N721" s="0" t="str">
        <f aca="false">RIGHT(M721,LEN(M721)-FIND(" ",M721))</f>
        <v>DOUGLAS ST NE</v>
      </c>
      <c r="P721" s="0" t="s">
        <v>146</v>
      </c>
      <c r="Q721" s="0" t="s">
        <v>147</v>
      </c>
      <c r="R721" s="0" t="n">
        <v>44483</v>
      </c>
      <c r="AD721" s="0" t="s">
        <v>148</v>
      </c>
      <c r="AE721" s="0" t="s">
        <v>149</v>
      </c>
      <c r="AF721" s="0" t="s">
        <v>150</v>
      </c>
      <c r="AH721" s="0" t="n">
        <v>14</v>
      </c>
      <c r="AI721" s="0" t="n">
        <v>11</v>
      </c>
      <c r="AN721" s="0" t="s">
        <v>146</v>
      </c>
      <c r="AO721" s="0" t="s">
        <v>250</v>
      </c>
      <c r="AP721" s="0" t="s">
        <v>251</v>
      </c>
      <c r="AQ721" s="0" t="n">
        <v>9</v>
      </c>
      <c r="AR721" s="0" t="n">
        <v>64</v>
      </c>
      <c r="AS721" s="0" t="n">
        <v>32</v>
      </c>
      <c r="AU721" s="0" t="n">
        <f aca="false">COUNTA($BA$2102:$EH$2102)</f>
        <v>12</v>
      </c>
      <c r="AV721" s="0" t="n">
        <f aca="false">COUNTIF($BA$2102:$EH$2102,"D")</f>
        <v>1</v>
      </c>
      <c r="AW721" s="0" t="n">
        <f aca="false">COUNTIF($BA$2102:$EH$2102,"R")</f>
        <v>0</v>
      </c>
      <c r="AX721" s="0" t="n">
        <f aca="false"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>0</v>
      </c>
      <c r="AY721" s="0" t="n">
        <f aca="false">COUNTIF(DU721:EH721, "&lt;&gt;")</f>
        <v>3</v>
      </c>
      <c r="AZ721" s="0" t="n">
        <f aca="false">IF(EH721&lt;&gt;"",1,0)</f>
        <v>0</v>
      </c>
      <c r="BB721" s="0" t="s">
        <v>153</v>
      </c>
      <c r="BD721" s="0" t="s">
        <v>154</v>
      </c>
      <c r="BJ721" s="0" t="s">
        <v>154</v>
      </c>
      <c r="BL721" s="0" t="s">
        <v>154</v>
      </c>
      <c r="BP721" s="0" t="s">
        <v>154</v>
      </c>
      <c r="BS721" s="0" t="s">
        <v>154</v>
      </c>
      <c r="BY721" s="0" t="s">
        <v>155</v>
      </c>
      <c r="CA721" s="0" t="s">
        <v>154</v>
      </c>
      <c r="CG721" s="0" t="s">
        <v>154</v>
      </c>
      <c r="CK721" s="0" t="s">
        <v>154</v>
      </c>
      <c r="CN721" s="0" t="s">
        <v>154</v>
      </c>
      <c r="CP721" s="0" t="s">
        <v>154</v>
      </c>
      <c r="CV721" s="0" t="s">
        <v>154</v>
      </c>
      <c r="CY721" s="0" t="s">
        <v>154</v>
      </c>
      <c r="CZ721" s="0" t="s">
        <v>176</v>
      </c>
      <c r="DC721" s="0" t="s">
        <v>154</v>
      </c>
      <c r="DI721" s="0" t="s">
        <v>154</v>
      </c>
      <c r="DN721" s="0" t="s">
        <v>154</v>
      </c>
      <c r="DU721" s="0" t="s">
        <v>154</v>
      </c>
      <c r="EA721" s="0" t="s">
        <v>154</v>
      </c>
      <c r="EF721" s="0" t="s">
        <v>154</v>
      </c>
    </row>
    <row r="722" customFormat="false" ht="13.8" hidden="true" customHeight="false" outlineLevel="0" collapsed="false">
      <c r="A722" s="0" t="s">
        <v>3662</v>
      </c>
      <c r="B722" s="0" t="n">
        <v>78</v>
      </c>
      <c r="C722" s="0" t="n">
        <v>424297</v>
      </c>
      <c r="D722" s="0" t="s">
        <v>1184</v>
      </c>
      <c r="E722" s="0" t="s">
        <v>3663</v>
      </c>
      <c r="F722" s="0" t="str">
        <f aca="false">CONCATENATE(D722," ",LEFT(H722,4),"T=",AU722,"D=",AV722,"R=",AW722,"M=",AX722,"L=",AY722,"B=",AZ722)</f>
        <v>PATTERSON T=1D=0R=0M=0L=0B=0</v>
      </c>
      <c r="G722" s="0" t="s">
        <v>297</v>
      </c>
      <c r="I722" s="0" t="s">
        <v>3664</v>
      </c>
      <c r="J722" s="0" t="s">
        <v>3665</v>
      </c>
      <c r="K722" s="0" t="s">
        <v>144</v>
      </c>
      <c r="L722" s="0"/>
      <c r="M722" s="0" t="s">
        <v>3666</v>
      </c>
      <c r="N722" s="0" t="str">
        <f aca="false">RIGHT(M722,LEN(M722)-FIND(" ",M722))</f>
        <v>DOUGLAS ST NE</v>
      </c>
      <c r="P722" s="0" t="s">
        <v>146</v>
      </c>
      <c r="Q722" s="0" t="s">
        <v>147</v>
      </c>
      <c r="R722" s="0" t="n">
        <v>44483</v>
      </c>
      <c r="AD722" s="0" t="s">
        <v>148</v>
      </c>
      <c r="AE722" s="0" t="s">
        <v>149</v>
      </c>
      <c r="AF722" s="0" t="s">
        <v>150</v>
      </c>
      <c r="AH722" s="0" t="n">
        <v>14</v>
      </c>
      <c r="AI722" s="0" t="n">
        <v>11</v>
      </c>
      <c r="AN722" s="0" t="s">
        <v>146</v>
      </c>
      <c r="AO722" s="0" t="s">
        <v>250</v>
      </c>
      <c r="AP722" s="0" t="s">
        <v>251</v>
      </c>
      <c r="AQ722" s="0" t="n">
        <v>9</v>
      </c>
      <c r="AR722" s="0" t="n">
        <v>64</v>
      </c>
      <c r="AS722" s="0" t="n">
        <v>32</v>
      </c>
      <c r="AU722" s="0" t="n">
        <f aca="false">COUNTA($BA$2261:$EH$2261)</f>
        <v>1</v>
      </c>
      <c r="AV722" s="0" t="n">
        <f aca="false">COUNTIF($BA$2261:$EH$2261,"D")</f>
        <v>0</v>
      </c>
      <c r="AW722" s="0" t="n">
        <f aca="false">COUNTIF($BA$2261:$EH$2261,"R")</f>
        <v>0</v>
      </c>
      <c r="AX722" s="0" t="n">
        <f aca="false"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>0</v>
      </c>
      <c r="AY722" s="0" t="n">
        <f aca="false">COUNTIF(DU722:EH722, "&lt;&gt;")</f>
        <v>0</v>
      </c>
      <c r="AZ722" s="0" t="n">
        <f aca="false">IF(EH722&lt;&gt;"",1,0)</f>
        <v>0</v>
      </c>
      <c r="BB722" s="0" t="s">
        <v>153</v>
      </c>
    </row>
    <row r="723" customFormat="false" ht="13.8" hidden="true" customHeight="false" outlineLevel="0" collapsed="false">
      <c r="A723" s="0" t="s">
        <v>3667</v>
      </c>
      <c r="B723" s="0" t="n">
        <v>78</v>
      </c>
      <c r="C723" s="0" t="n">
        <v>403428</v>
      </c>
      <c r="D723" s="0" t="s">
        <v>3668</v>
      </c>
      <c r="E723" s="0" t="s">
        <v>3669</v>
      </c>
      <c r="F723" s="0" t="str">
        <f aca="false">CONCATENATE(D723," ",LEFT(H723,4),"T=",AU723,"D=",AV723,"R=",AW723,"M=",AX723,"L=",AY723,"B=",AZ723)</f>
        <v>REED T=28D=6R=0M=0L=0B=0</v>
      </c>
      <c r="G723" s="0" t="s">
        <v>508</v>
      </c>
      <c r="I723" s="0" t="s">
        <v>3670</v>
      </c>
      <c r="J723" s="0" t="s">
        <v>3671</v>
      </c>
      <c r="K723" s="0" t="s">
        <v>175</v>
      </c>
      <c r="L723" s="0"/>
      <c r="M723" s="0" t="s">
        <v>3672</v>
      </c>
      <c r="N723" s="0" t="str">
        <f aca="false">RIGHT(M723,LEN(M723)-FIND(" ",M723))</f>
        <v>DOUGLAS ST NE</v>
      </c>
      <c r="P723" s="0" t="s">
        <v>146</v>
      </c>
      <c r="Q723" s="0" t="s">
        <v>147</v>
      </c>
      <c r="R723" s="0" t="n">
        <v>44483</v>
      </c>
      <c r="AD723" s="0" t="s">
        <v>148</v>
      </c>
      <c r="AE723" s="0" t="s">
        <v>149</v>
      </c>
      <c r="AF723" s="0" t="s">
        <v>150</v>
      </c>
      <c r="AH723" s="0" t="n">
        <v>14</v>
      </c>
      <c r="AI723" s="0" t="n">
        <v>11</v>
      </c>
      <c r="AN723" s="0" t="s">
        <v>146</v>
      </c>
      <c r="AO723" s="0" t="s">
        <v>250</v>
      </c>
      <c r="AP723" s="0" t="s">
        <v>251</v>
      </c>
      <c r="AQ723" s="0" t="n">
        <v>9</v>
      </c>
      <c r="AR723" s="0" t="n">
        <v>64</v>
      </c>
      <c r="AS723" s="0" t="n">
        <v>32</v>
      </c>
      <c r="AU723" s="0" t="n">
        <f aca="false">COUNTA($BA$2342:$EH$2342)</f>
        <v>28</v>
      </c>
      <c r="AV723" s="0" t="n">
        <f aca="false">COUNTIF($BA$2342:$EH$2342,"D")</f>
        <v>6</v>
      </c>
      <c r="AW723" s="0" t="n">
        <f aca="false">COUNTIF($BA$2342:$EH$2342,"R")</f>
        <v>0</v>
      </c>
      <c r="AX723" s="0" t="n">
        <f aca="false"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>0</v>
      </c>
      <c r="AY723" s="0" t="n">
        <f aca="false">COUNTIF(DU723:EH723, "&lt;&gt;")</f>
        <v>0</v>
      </c>
      <c r="AZ723" s="0" t="n">
        <f aca="false">IF(EH723&lt;&gt;"",1,0)</f>
        <v>0</v>
      </c>
      <c r="BB723" s="0" t="s">
        <v>153</v>
      </c>
      <c r="CA723" s="0" t="s">
        <v>154</v>
      </c>
    </row>
    <row r="724" customFormat="false" ht="13.8" hidden="true" customHeight="false" outlineLevel="0" collapsed="false">
      <c r="A724" s="0" t="s">
        <v>3673</v>
      </c>
      <c r="B724" s="0" t="n">
        <v>78</v>
      </c>
      <c r="C724" s="0" t="n">
        <v>413617</v>
      </c>
      <c r="D724" s="0" t="s">
        <v>3674</v>
      </c>
      <c r="E724" s="0" t="s">
        <v>3675</v>
      </c>
      <c r="F724" s="0" t="str">
        <f aca="false">CONCATENATE(D724," ",LEFT(H724,4),"T=",AU724,"D=",AV724,"R=",AW724,"M=",AX724,"L=",AY724,"B=",AZ724)</f>
        <v>HURT T=2D=0R=0M=0L=1B=0</v>
      </c>
      <c r="G724" s="0" t="s">
        <v>3676</v>
      </c>
      <c r="I724" s="0" t="s">
        <v>3677</v>
      </c>
      <c r="J724" s="0" t="s">
        <v>2761</v>
      </c>
      <c r="K724" s="0" t="s">
        <v>175</v>
      </c>
      <c r="L724" s="0"/>
      <c r="M724" s="0" t="s">
        <v>3678</v>
      </c>
      <c r="N724" s="0" t="str">
        <f aca="false">RIGHT(M724,LEN(M724)-FIND(" ",M724))</f>
        <v>DOUGLAS ST NE</v>
      </c>
      <c r="P724" s="0" t="s">
        <v>146</v>
      </c>
      <c r="Q724" s="0" t="s">
        <v>147</v>
      </c>
      <c r="R724" s="0" t="n">
        <v>44483</v>
      </c>
      <c r="AD724" s="0" t="s">
        <v>148</v>
      </c>
      <c r="AE724" s="0" t="s">
        <v>149</v>
      </c>
      <c r="AF724" s="0" t="s">
        <v>150</v>
      </c>
      <c r="AH724" s="0" t="n">
        <v>14</v>
      </c>
      <c r="AI724" s="0" t="n">
        <v>11</v>
      </c>
      <c r="AN724" s="0" t="s">
        <v>146</v>
      </c>
      <c r="AO724" s="0" t="s">
        <v>250</v>
      </c>
      <c r="AP724" s="0" t="s">
        <v>251</v>
      </c>
      <c r="AQ724" s="0" t="n">
        <v>9</v>
      </c>
      <c r="AR724" s="0" t="n">
        <v>64</v>
      </c>
      <c r="AS724" s="0" t="n">
        <v>32</v>
      </c>
      <c r="AU724" s="0" t="n">
        <f aca="false">COUNTA($BA$2349:$EH$2349)</f>
        <v>2</v>
      </c>
      <c r="AV724" s="0" t="n">
        <f aca="false">COUNTIF($BA$2349:$EH$2349,"D")</f>
        <v>0</v>
      </c>
      <c r="AW724" s="0" t="n">
        <f aca="false">COUNTIF($BA$2349:$EH$2349,"R")</f>
        <v>0</v>
      </c>
      <c r="AX724" s="0" t="n">
        <f aca="false"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>0</v>
      </c>
      <c r="AY724" s="0" t="n">
        <f aca="false">COUNTIF(DU724:EH724, "&lt;&gt;")</f>
        <v>1</v>
      </c>
      <c r="AZ724" s="0" t="n">
        <f aca="false">IF(EH724&lt;&gt;"",1,0)</f>
        <v>0</v>
      </c>
      <c r="BB724" s="0" t="s">
        <v>153</v>
      </c>
      <c r="DC724" s="0" t="s">
        <v>154</v>
      </c>
      <c r="DI724" s="0" t="s">
        <v>154</v>
      </c>
      <c r="DN724" s="0" t="s">
        <v>154</v>
      </c>
      <c r="EA724" s="0" t="s">
        <v>154</v>
      </c>
    </row>
    <row r="725" customFormat="false" ht="13.8" hidden="true" customHeight="false" outlineLevel="0" collapsed="false">
      <c r="A725" s="0" t="s">
        <v>3679</v>
      </c>
      <c r="B725" s="0" t="n">
        <v>78</v>
      </c>
      <c r="C725" s="0" t="n">
        <v>400742</v>
      </c>
      <c r="D725" s="0" t="s">
        <v>645</v>
      </c>
      <c r="E725" s="0" t="s">
        <v>2031</v>
      </c>
      <c r="F725" s="0" t="str">
        <f aca="false">CONCATENATE(D725," ",LEFT(H725,4),"T=",AU725,"D=",AV725,"R=",AW725,"M=",AX725,"L=",AY725,"B=",AZ725)</f>
        <v>WILLIAMS T=2D=0R=0M=0L=0B=0</v>
      </c>
      <c r="G725" s="0" t="s">
        <v>241</v>
      </c>
      <c r="I725" s="0" t="s">
        <v>3680</v>
      </c>
      <c r="J725" s="0" t="s">
        <v>3681</v>
      </c>
      <c r="K725" s="0" t="s">
        <v>144</v>
      </c>
      <c r="L725" s="0"/>
      <c r="M725" s="0" t="s">
        <v>3682</v>
      </c>
      <c r="N725" s="0" t="str">
        <f aca="false">RIGHT(M725,LEN(M725)-FIND(" ",M725))</f>
        <v>DOUGLAS ST NE</v>
      </c>
      <c r="P725" s="0" t="s">
        <v>146</v>
      </c>
      <c r="Q725" s="0" t="s">
        <v>147</v>
      </c>
      <c r="R725" s="0" t="n">
        <v>44483</v>
      </c>
      <c r="AD725" s="0" t="s">
        <v>148</v>
      </c>
      <c r="AE725" s="0" t="s">
        <v>149</v>
      </c>
      <c r="AF725" s="0" t="s">
        <v>150</v>
      </c>
      <c r="AH725" s="0" t="n">
        <v>14</v>
      </c>
      <c r="AI725" s="0" t="n">
        <v>11</v>
      </c>
      <c r="AN725" s="0" t="s">
        <v>146</v>
      </c>
      <c r="AO725" s="0" t="s">
        <v>250</v>
      </c>
      <c r="AP725" s="0" t="s">
        <v>251</v>
      </c>
      <c r="AQ725" s="0" t="n">
        <v>9</v>
      </c>
      <c r="AR725" s="0" t="n">
        <v>64</v>
      </c>
      <c r="AS725" s="0" t="n">
        <v>32</v>
      </c>
      <c r="AU725" s="0" t="n">
        <f aca="false">COUNTA($BA$2773:$EH$2773)</f>
        <v>2</v>
      </c>
      <c r="AV725" s="0" t="n">
        <f aca="false">COUNTIF($BA$2773:$EH$2773,"D")</f>
        <v>0</v>
      </c>
      <c r="AW725" s="0" t="n">
        <f aca="false">COUNTIF($BA$2773:$EH$2773,"R")</f>
        <v>0</v>
      </c>
      <c r="AX725" s="0" t="n">
        <f aca="false"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>0</v>
      </c>
      <c r="AY725" s="0" t="n">
        <f aca="false">COUNTIF(DU725:EH725, "&lt;&gt;")</f>
        <v>0</v>
      </c>
      <c r="AZ725" s="0" t="n">
        <f aca="false">IF(EH725&lt;&gt;"",1,0)</f>
        <v>0</v>
      </c>
      <c r="BB725" s="0" t="s">
        <v>153</v>
      </c>
      <c r="CZ725" s="0" t="s">
        <v>155</v>
      </c>
      <c r="DC725" s="0" t="s">
        <v>154</v>
      </c>
    </row>
    <row r="726" customFormat="false" ht="13.8" hidden="true" customHeight="false" outlineLevel="0" collapsed="false">
      <c r="A726" s="0" t="s">
        <v>3683</v>
      </c>
      <c r="B726" s="0" t="n">
        <v>78</v>
      </c>
      <c r="C726" s="0" t="n">
        <v>419298</v>
      </c>
      <c r="D726" s="0" t="s">
        <v>2311</v>
      </c>
      <c r="E726" s="0" t="s">
        <v>240</v>
      </c>
      <c r="F726" s="0" t="str">
        <f aca="false">CONCATENATE(D726," ",LEFT(H726,4),"T=",AU726,"D=",AV726,"R=",AW726,"M=",AX726,"L=",AY726,"B=",AZ726)</f>
        <v>LEWIS T=2D=0R=0M=0L=0B=0</v>
      </c>
      <c r="G726" s="0" t="s">
        <v>241</v>
      </c>
      <c r="I726" s="0" t="s">
        <v>3684</v>
      </c>
      <c r="J726" s="0" t="s">
        <v>2579</v>
      </c>
      <c r="K726" s="0" t="s">
        <v>175</v>
      </c>
      <c r="L726" s="0"/>
      <c r="M726" s="0" t="s">
        <v>3685</v>
      </c>
      <c r="N726" s="0" t="str">
        <f aca="false">RIGHT(M726,LEN(M726)-FIND(" ",M726))</f>
        <v>DOUGLAS ST NE</v>
      </c>
      <c r="P726" s="0" t="s">
        <v>146</v>
      </c>
      <c r="Q726" s="0" t="s">
        <v>147</v>
      </c>
      <c r="R726" s="0" t="n">
        <v>44483</v>
      </c>
      <c r="AD726" s="0" t="s">
        <v>148</v>
      </c>
      <c r="AE726" s="0" t="s">
        <v>149</v>
      </c>
      <c r="AF726" s="0" t="s">
        <v>150</v>
      </c>
      <c r="AH726" s="0" t="n">
        <v>14</v>
      </c>
      <c r="AI726" s="0" t="n">
        <v>11</v>
      </c>
      <c r="AN726" s="0" t="s">
        <v>146</v>
      </c>
      <c r="AO726" s="0" t="s">
        <v>250</v>
      </c>
      <c r="AP726" s="0" t="s">
        <v>251</v>
      </c>
      <c r="AQ726" s="0" t="n">
        <v>9</v>
      </c>
      <c r="AR726" s="0" t="n">
        <v>64</v>
      </c>
      <c r="AS726" s="0" t="n">
        <v>32</v>
      </c>
      <c r="AU726" s="0" t="n">
        <f aca="false">COUNTA($BA$2494:$EH$2494)</f>
        <v>2</v>
      </c>
      <c r="AV726" s="0" t="n">
        <f aca="false">COUNTIF($BA$2494:$EH$2494,"D")</f>
        <v>0</v>
      </c>
      <c r="AW726" s="0" t="n">
        <f aca="false">COUNTIF($BA$2494:$EH$2494,"R")</f>
        <v>0</v>
      </c>
      <c r="AX726" s="0" t="n">
        <f aca="false"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>0</v>
      </c>
      <c r="AY726" s="0" t="n">
        <f aca="false">COUNTIF(DU726:EH726, "&lt;&gt;")</f>
        <v>0</v>
      </c>
      <c r="AZ726" s="0" t="n">
        <f aca="false">IF(EH726&lt;&gt;"",1,0)</f>
        <v>0</v>
      </c>
      <c r="BB726" s="0" t="s">
        <v>153</v>
      </c>
    </row>
    <row r="727" customFormat="false" ht="13.8" hidden="false" customHeight="false" outlineLevel="0" collapsed="false">
      <c r="A727" s="0" t="s">
        <v>3686</v>
      </c>
      <c r="B727" s="0" t="n">
        <v>78</v>
      </c>
      <c r="C727" s="0" t="n">
        <v>243546</v>
      </c>
      <c r="D727" s="0" t="s">
        <v>1990</v>
      </c>
      <c r="E727" s="0" t="s">
        <v>938</v>
      </c>
      <c r="F727" s="0" t="str">
        <f aca="false">CONCATENATE(D727," ",LEFT(H727,4),"T=",AU727,"D=",AV727,"R=",AW727,"M=",AX727,"L=",AY727,"B=",AZ727)</f>
        <v>PERRY T=5D=0R=0M=5L=5B=0</v>
      </c>
      <c r="G727" s="0" t="s">
        <v>241</v>
      </c>
      <c r="I727" s="0" t="s">
        <v>3687</v>
      </c>
      <c r="J727" s="0" t="s">
        <v>3688</v>
      </c>
      <c r="K727" s="0" t="s">
        <v>175</v>
      </c>
      <c r="L727" s="1" t="s">
        <v>155</v>
      </c>
      <c r="M727" s="0" t="s">
        <v>3689</v>
      </c>
      <c r="N727" s="0" t="str">
        <f aca="false">RIGHT(M727,LEN(M727)-FIND(" ",M727))</f>
        <v>DOUGLAS ST NE</v>
      </c>
      <c r="P727" s="0" t="s">
        <v>146</v>
      </c>
      <c r="Q727" s="0" t="s">
        <v>147</v>
      </c>
      <c r="R727" s="0" t="n">
        <v>44483</v>
      </c>
      <c r="AD727" s="0" t="s">
        <v>148</v>
      </c>
      <c r="AE727" s="0" t="s">
        <v>149</v>
      </c>
      <c r="AF727" s="0" t="s">
        <v>150</v>
      </c>
      <c r="AH727" s="0" t="n">
        <v>14</v>
      </c>
      <c r="AI727" s="0" t="n">
        <v>11</v>
      </c>
      <c r="AN727" s="0" t="s">
        <v>146</v>
      </c>
      <c r="AO727" s="0" t="s">
        <v>250</v>
      </c>
      <c r="AP727" s="0" t="s">
        <v>251</v>
      </c>
      <c r="AQ727" s="0" t="n">
        <v>9</v>
      </c>
      <c r="AR727" s="0" t="n">
        <v>64</v>
      </c>
      <c r="AS727" s="0" t="n">
        <v>32</v>
      </c>
      <c r="AU727" s="0" t="n">
        <f aca="false">COUNTA($BA$2079:$EH$2079)</f>
        <v>5</v>
      </c>
      <c r="AV727" s="0" t="n">
        <f aca="false">COUNTIF($BA$2079:$EH$2079,"D")</f>
        <v>0</v>
      </c>
      <c r="AW727" s="0" t="n">
        <f aca="false">COUNTIF($BA$2079:$EH$2079,"R")</f>
        <v>0</v>
      </c>
      <c r="AX727" s="0" t="n">
        <f aca="false"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>5</v>
      </c>
      <c r="AY727" s="0" t="n">
        <f aca="false">COUNTIF(DU727:EH727, "&lt;&gt;")</f>
        <v>5</v>
      </c>
      <c r="AZ727" s="0" t="n">
        <f aca="false">IF(EH727&lt;&gt;"",1,0)</f>
        <v>0</v>
      </c>
      <c r="BB727" s="0" t="s">
        <v>153</v>
      </c>
      <c r="BC727" s="0" t="s">
        <v>154</v>
      </c>
      <c r="BD727" s="0" t="s">
        <v>154</v>
      </c>
      <c r="BE727" s="0" t="s">
        <v>154</v>
      </c>
      <c r="BF727" s="0" t="s">
        <v>154</v>
      </c>
      <c r="BG727" s="0" t="s">
        <v>154</v>
      </c>
      <c r="BH727" s="0" t="s">
        <v>154</v>
      </c>
      <c r="BI727" s="0" t="s">
        <v>154</v>
      </c>
      <c r="BJ727" s="0" t="s">
        <v>154</v>
      </c>
      <c r="BK727" s="0" t="s">
        <v>154</v>
      </c>
      <c r="BL727" s="0" t="s">
        <v>154</v>
      </c>
      <c r="BP727" s="0" t="s">
        <v>154</v>
      </c>
      <c r="BR727" s="0" t="s">
        <v>154</v>
      </c>
      <c r="BS727" s="0" t="s">
        <v>154</v>
      </c>
      <c r="BV727" s="0" t="s">
        <v>154</v>
      </c>
      <c r="BY727" s="0" t="s">
        <v>155</v>
      </c>
      <c r="CA727" s="0" t="s">
        <v>154</v>
      </c>
      <c r="CG727" s="0" t="s">
        <v>154</v>
      </c>
      <c r="CK727" s="0" t="s">
        <v>154</v>
      </c>
      <c r="CL727" s="0" t="s">
        <v>155</v>
      </c>
      <c r="CN727" s="0" t="s">
        <v>154</v>
      </c>
      <c r="CO727" s="0" t="s">
        <v>155</v>
      </c>
      <c r="CP727" s="0" t="s">
        <v>154</v>
      </c>
      <c r="CQ727" s="0" t="s">
        <v>155</v>
      </c>
      <c r="CT727" s="0" t="s">
        <v>154</v>
      </c>
      <c r="CU727" s="0" t="s">
        <v>155</v>
      </c>
      <c r="CV727" s="0" t="s">
        <v>154</v>
      </c>
      <c r="CW727" s="0" t="s">
        <v>155</v>
      </c>
      <c r="CY727" s="0" t="s">
        <v>154</v>
      </c>
      <c r="CZ727" s="0" t="s">
        <v>155</v>
      </c>
      <c r="DC727" s="0" t="s">
        <v>154</v>
      </c>
      <c r="DF727" s="0" t="s">
        <v>154</v>
      </c>
      <c r="DG727" s="0" t="s">
        <v>155</v>
      </c>
      <c r="DI727" s="0" t="s">
        <v>154</v>
      </c>
      <c r="DJ727" s="0" t="s">
        <v>155</v>
      </c>
      <c r="DL727" s="0" t="s">
        <v>154</v>
      </c>
      <c r="DN727" s="0" t="s">
        <v>154</v>
      </c>
      <c r="DR727" s="0" t="s">
        <v>154</v>
      </c>
      <c r="DS727" s="0" t="s">
        <v>155</v>
      </c>
      <c r="DU727" s="0" t="s">
        <v>154</v>
      </c>
      <c r="DW727" s="0" t="s">
        <v>155</v>
      </c>
      <c r="DX727" s="0" t="s">
        <v>154</v>
      </c>
      <c r="EA727" s="0" t="s">
        <v>154</v>
      </c>
      <c r="EF727" s="0" t="s">
        <v>154</v>
      </c>
    </row>
    <row r="728" customFormat="false" ht="13.8" hidden="false" customHeight="false" outlineLevel="0" collapsed="false">
      <c r="A728" s="0" t="s">
        <v>3690</v>
      </c>
      <c r="B728" s="0" t="n">
        <v>78</v>
      </c>
      <c r="C728" s="0" t="n">
        <v>324340</v>
      </c>
      <c r="D728" s="0" t="s">
        <v>1990</v>
      </c>
      <c r="E728" s="0" t="s">
        <v>3691</v>
      </c>
      <c r="F728" s="0" t="str">
        <f aca="false">CONCATENATE(D728," ",LEFT(H728,4),"T=",AU728,"D=",AV728,"R=",AW728,"M=",AX728,"L=",AY728,"B=",AZ728)</f>
        <v>PERRY T=14D=0R=4M=4L=4B=0</v>
      </c>
      <c r="G728" s="0" t="s">
        <v>188</v>
      </c>
      <c r="I728" s="0" t="s">
        <v>3692</v>
      </c>
      <c r="J728" s="0" t="s">
        <v>3051</v>
      </c>
      <c r="K728" s="0" t="s">
        <v>175</v>
      </c>
      <c r="L728" s="1" t="s">
        <v>155</v>
      </c>
      <c r="M728" s="0" t="s">
        <v>3689</v>
      </c>
      <c r="N728" s="0" t="str">
        <f aca="false">RIGHT(M728,LEN(M728)-FIND(" ",M728))</f>
        <v>DOUGLAS ST NE</v>
      </c>
      <c r="P728" s="0" t="s">
        <v>146</v>
      </c>
      <c r="Q728" s="0" t="s">
        <v>147</v>
      </c>
      <c r="R728" s="0" t="n">
        <v>44483</v>
      </c>
      <c r="AD728" s="0" t="s">
        <v>148</v>
      </c>
      <c r="AE728" s="0" t="s">
        <v>149</v>
      </c>
      <c r="AF728" s="0" t="s">
        <v>150</v>
      </c>
      <c r="AH728" s="0" t="n">
        <v>14</v>
      </c>
      <c r="AI728" s="0" t="n">
        <v>11</v>
      </c>
      <c r="AN728" s="0" t="s">
        <v>146</v>
      </c>
      <c r="AO728" s="0" t="s">
        <v>250</v>
      </c>
      <c r="AP728" s="0" t="s">
        <v>251</v>
      </c>
      <c r="AQ728" s="0" t="n">
        <v>9</v>
      </c>
      <c r="AR728" s="0" t="n">
        <v>64</v>
      </c>
      <c r="AS728" s="0" t="n">
        <v>32</v>
      </c>
      <c r="AU728" s="0" t="n">
        <f aca="false">COUNTA($BA$2081:$EH$2081)</f>
        <v>14</v>
      </c>
      <c r="AV728" s="0" t="n">
        <f aca="false">COUNTIF($BA$2081:$EH$2081,"D")</f>
        <v>0</v>
      </c>
      <c r="AW728" s="0" t="n">
        <f aca="false">COUNTIF($BA$2081:$EH$2081,"R")</f>
        <v>4</v>
      </c>
      <c r="AX728" s="0" t="n">
        <f aca="false"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>4</v>
      </c>
      <c r="AY728" s="0" t="n">
        <f aca="false">COUNTIF(DU728:EH728, "&lt;&gt;")</f>
        <v>4</v>
      </c>
      <c r="AZ728" s="0" t="n">
        <f aca="false">IF(EH728&lt;&gt;"",1,0)</f>
        <v>0</v>
      </c>
      <c r="BB728" s="0" t="s">
        <v>153</v>
      </c>
      <c r="BL728" s="0" t="s">
        <v>154</v>
      </c>
      <c r="BS728" s="0" t="s">
        <v>154</v>
      </c>
      <c r="BY728" s="0" t="s">
        <v>155</v>
      </c>
      <c r="CA728" s="0" t="s">
        <v>154</v>
      </c>
      <c r="CG728" s="0" t="s">
        <v>154</v>
      </c>
      <c r="CK728" s="0" t="s">
        <v>154</v>
      </c>
      <c r="CL728" s="0" t="s">
        <v>155</v>
      </c>
      <c r="CN728" s="0" t="s">
        <v>154</v>
      </c>
      <c r="CO728" s="0" t="s">
        <v>155</v>
      </c>
      <c r="CP728" s="0" t="s">
        <v>154</v>
      </c>
      <c r="CQ728" s="0" t="s">
        <v>155</v>
      </c>
      <c r="CT728" s="0" t="s">
        <v>154</v>
      </c>
      <c r="CU728" s="0" t="s">
        <v>155</v>
      </c>
      <c r="CV728" s="0" t="s">
        <v>154</v>
      </c>
      <c r="CW728" s="0" t="s">
        <v>155</v>
      </c>
      <c r="CY728" s="0" t="s">
        <v>154</v>
      </c>
      <c r="CZ728" s="0" t="s">
        <v>155</v>
      </c>
      <c r="DC728" s="0" t="s">
        <v>154</v>
      </c>
      <c r="DF728" s="0" t="s">
        <v>154</v>
      </c>
      <c r="DI728" s="0" t="s">
        <v>154</v>
      </c>
      <c r="DJ728" s="0" t="s">
        <v>155</v>
      </c>
      <c r="DL728" s="0" t="s">
        <v>154</v>
      </c>
      <c r="DN728" s="0" t="s">
        <v>154</v>
      </c>
      <c r="DR728" s="0" t="s">
        <v>154</v>
      </c>
      <c r="DS728" s="0" t="s">
        <v>155</v>
      </c>
      <c r="DU728" s="0" t="s">
        <v>154</v>
      </c>
      <c r="DX728" s="0" t="s">
        <v>154</v>
      </c>
      <c r="EA728" s="0" t="s">
        <v>154</v>
      </c>
      <c r="EF728" s="0" t="s">
        <v>154</v>
      </c>
    </row>
    <row r="729" customFormat="false" ht="13.8" hidden="true" customHeight="false" outlineLevel="0" collapsed="false">
      <c r="A729" s="0" t="s">
        <v>3693</v>
      </c>
      <c r="B729" s="0" t="n">
        <v>78</v>
      </c>
      <c r="C729" s="0" t="n">
        <v>262578</v>
      </c>
      <c r="D729" s="0" t="s">
        <v>1173</v>
      </c>
      <c r="E729" s="0" t="s">
        <v>1531</v>
      </c>
      <c r="F729" s="0" t="str">
        <f aca="false">CONCATENATE(D729," ",LEFT(H729,4),"T=",AU729,"D=",AV729,"R=",AW729,"M=",AX729,"L=",AY729,"B=",AZ729)</f>
        <v>JACKSON T=2D=0R=0M=0L=0B=0</v>
      </c>
      <c r="G729" s="0" t="s">
        <v>155</v>
      </c>
      <c r="I729" s="0" t="s">
        <v>3694</v>
      </c>
      <c r="J729" s="0" t="s">
        <v>3695</v>
      </c>
      <c r="K729" s="0" t="s">
        <v>144</v>
      </c>
      <c r="L729" s="0"/>
      <c r="M729" s="0" t="s">
        <v>3689</v>
      </c>
      <c r="N729" s="0" t="str">
        <f aca="false">RIGHT(M729,LEN(M729)-FIND(" ",M729))</f>
        <v>DOUGLAS ST NE</v>
      </c>
      <c r="P729" s="0" t="s">
        <v>146</v>
      </c>
      <c r="Q729" s="0" t="s">
        <v>147</v>
      </c>
      <c r="R729" s="0" t="n">
        <v>44483</v>
      </c>
      <c r="AD729" s="0" t="s">
        <v>148</v>
      </c>
      <c r="AE729" s="0" t="s">
        <v>149</v>
      </c>
      <c r="AF729" s="0" t="s">
        <v>150</v>
      </c>
      <c r="AH729" s="0" t="n">
        <v>14</v>
      </c>
      <c r="AI729" s="0" t="n">
        <v>11</v>
      </c>
      <c r="AN729" s="0" t="s">
        <v>146</v>
      </c>
      <c r="AO729" s="0" t="s">
        <v>250</v>
      </c>
      <c r="AP729" s="0" t="s">
        <v>251</v>
      </c>
      <c r="AQ729" s="0" t="n">
        <v>9</v>
      </c>
      <c r="AR729" s="0" t="n">
        <v>64</v>
      </c>
      <c r="AS729" s="0" t="n">
        <v>32</v>
      </c>
      <c r="AU729" s="0" t="n">
        <f aca="false">COUNTA($BA$2412:$EH$2412)</f>
        <v>2</v>
      </c>
      <c r="AV729" s="0" t="n">
        <f aca="false">COUNTIF($BA$2412:$EH$2412,"D")</f>
        <v>0</v>
      </c>
      <c r="AW729" s="0" t="n">
        <f aca="false">COUNTIF($BA$2412:$EH$2412,"R")</f>
        <v>0</v>
      </c>
      <c r="AX729" s="0" t="n">
        <f aca="false"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>0</v>
      </c>
      <c r="AY729" s="0" t="n">
        <f aca="false">COUNTIF(DU729:EH729, "&lt;&gt;")</f>
        <v>0</v>
      </c>
      <c r="AZ729" s="0" t="n">
        <f aca="false">IF(EH729&lt;&gt;"",1,0)</f>
        <v>0</v>
      </c>
      <c r="BB729" s="0" t="s">
        <v>153</v>
      </c>
      <c r="BL729" s="0" t="s">
        <v>154</v>
      </c>
      <c r="BY729" s="0" t="s">
        <v>155</v>
      </c>
      <c r="CA729" s="0" t="s">
        <v>154</v>
      </c>
      <c r="CP729" s="0" t="s">
        <v>154</v>
      </c>
      <c r="DN729" s="0" t="s">
        <v>154</v>
      </c>
    </row>
    <row r="730" customFormat="false" ht="13.8" hidden="true" customHeight="false" outlineLevel="0" collapsed="false">
      <c r="A730" s="0" t="s">
        <v>3696</v>
      </c>
      <c r="B730" s="0" t="n">
        <v>78</v>
      </c>
      <c r="C730" s="0" t="n">
        <v>447146</v>
      </c>
      <c r="D730" s="0" t="s">
        <v>3697</v>
      </c>
      <c r="E730" s="0" t="s">
        <v>3698</v>
      </c>
      <c r="F730" s="0" t="str">
        <f aca="false">CONCATENATE(D730," ",LEFT(H730,4),"T=",AU730,"D=",AV730,"R=",AW730,"M=",AX730,"L=",AY730,"B=",AZ730)</f>
        <v>POWELL T=2D=0R=0M=0L=0B=0</v>
      </c>
      <c r="G730" s="0" t="s">
        <v>3699</v>
      </c>
      <c r="I730" s="0" t="s">
        <v>3700</v>
      </c>
      <c r="J730" s="0" t="s">
        <v>922</v>
      </c>
      <c r="K730" s="0" t="s">
        <v>175</v>
      </c>
      <c r="L730" s="0"/>
      <c r="M730" s="0" t="s">
        <v>3701</v>
      </c>
      <c r="N730" s="0" t="str">
        <f aca="false">RIGHT(M730,LEN(M730)-FIND(" ",M730))</f>
        <v>DOUGLAS ST NE</v>
      </c>
      <c r="P730" s="0" t="s">
        <v>146</v>
      </c>
      <c r="Q730" s="0" t="s">
        <v>147</v>
      </c>
      <c r="R730" s="0" t="n">
        <v>44483</v>
      </c>
      <c r="AD730" s="0" t="s">
        <v>148</v>
      </c>
      <c r="AE730" s="0" t="s">
        <v>149</v>
      </c>
      <c r="AF730" s="0" t="s">
        <v>150</v>
      </c>
      <c r="AH730" s="0" t="n">
        <v>14</v>
      </c>
      <c r="AI730" s="0" t="n">
        <v>11</v>
      </c>
      <c r="AN730" s="0" t="s">
        <v>146</v>
      </c>
      <c r="AO730" s="0" t="s">
        <v>250</v>
      </c>
      <c r="AP730" s="0" t="s">
        <v>251</v>
      </c>
      <c r="AQ730" s="0" t="n">
        <v>9</v>
      </c>
      <c r="AR730" s="0" t="n">
        <v>64</v>
      </c>
      <c r="AS730" s="0" t="n">
        <v>32</v>
      </c>
      <c r="AU730" s="0" t="n">
        <f aca="false">COUNTA($BA$2217:$EH$2217)</f>
        <v>2</v>
      </c>
      <c r="AV730" s="0" t="n">
        <f aca="false">COUNTIF($BA$2217:$EH$2217,"D")</f>
        <v>0</v>
      </c>
      <c r="AW730" s="0" t="n">
        <f aca="false">COUNTIF($BA$2217:$EH$2217,"R")</f>
        <v>0</v>
      </c>
      <c r="AX730" s="0" t="n">
        <f aca="false"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>0</v>
      </c>
      <c r="AY730" s="0" t="n">
        <f aca="false">COUNTIF(DU730:EH730, "&lt;&gt;")</f>
        <v>0</v>
      </c>
      <c r="AZ730" s="0" t="n">
        <f aca="false">IF(EH730&lt;&gt;"",1,0)</f>
        <v>0</v>
      </c>
      <c r="BB730" s="0" t="s">
        <v>153</v>
      </c>
    </row>
    <row r="731" customFormat="false" ht="13.8" hidden="false" customHeight="false" outlineLevel="0" collapsed="false">
      <c r="A731" s="0" t="s">
        <v>3702</v>
      </c>
      <c r="B731" s="0" t="n">
        <v>78</v>
      </c>
      <c r="C731" s="0" t="n">
        <v>295725</v>
      </c>
      <c r="D731" s="0" t="s">
        <v>3703</v>
      </c>
      <c r="E731" s="0" t="s">
        <v>430</v>
      </c>
      <c r="F731" s="0" t="str">
        <f aca="false">CONCATENATE(D731," ",LEFT(H731,4),"T=",AU731,"D=",AV731,"R=",AW731,"M=",AX731,"L=",AY731,"B=",AZ731)</f>
        <v>IVES T=3D=0R=0M=0L=4B=0</v>
      </c>
      <c r="G731" s="0" t="s">
        <v>166</v>
      </c>
      <c r="I731" s="0" t="s">
        <v>3704</v>
      </c>
      <c r="J731" s="0" t="s">
        <v>521</v>
      </c>
      <c r="K731" s="0" t="s">
        <v>175</v>
      </c>
      <c r="M731" s="0" t="s">
        <v>3705</v>
      </c>
      <c r="N731" s="0" t="str">
        <f aca="false">RIGHT(M731,LEN(M731)-FIND(" ",M731))</f>
        <v>DOUGLAS ST NE</v>
      </c>
      <c r="P731" s="0" t="s">
        <v>146</v>
      </c>
      <c r="Q731" s="0" t="s">
        <v>147</v>
      </c>
      <c r="R731" s="0" t="n">
        <v>44483</v>
      </c>
      <c r="AD731" s="0" t="s">
        <v>148</v>
      </c>
      <c r="AE731" s="0" t="s">
        <v>149</v>
      </c>
      <c r="AF731" s="0" t="s">
        <v>150</v>
      </c>
      <c r="AH731" s="0" t="n">
        <v>14</v>
      </c>
      <c r="AI731" s="0" t="n">
        <v>11</v>
      </c>
      <c r="AN731" s="0" t="s">
        <v>146</v>
      </c>
      <c r="AO731" s="0" t="s">
        <v>250</v>
      </c>
      <c r="AP731" s="0" t="s">
        <v>251</v>
      </c>
      <c r="AQ731" s="0" t="n">
        <v>9</v>
      </c>
      <c r="AR731" s="0" t="n">
        <v>64</v>
      </c>
      <c r="AS731" s="0" t="n">
        <v>32</v>
      </c>
      <c r="AU731" s="0" t="n">
        <f aca="false">COUNTA($BA$2416:$EH$2416)</f>
        <v>3</v>
      </c>
      <c r="AV731" s="0" t="n">
        <f aca="false">COUNTIF($BA$2416:$EH$2416,"D")</f>
        <v>0</v>
      </c>
      <c r="AW731" s="0" t="n">
        <f aca="false">COUNTIF($BA$2416:$EH$2416,"R")</f>
        <v>0</v>
      </c>
      <c r="AX731" s="0" t="n">
        <f aca="false"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>0</v>
      </c>
      <c r="AY731" s="0" t="n">
        <f aca="false">COUNTIF(DU731:EH731, "&lt;&gt;")</f>
        <v>4</v>
      </c>
      <c r="AZ731" s="0" t="n">
        <f aca="false">IF(EH731&lt;&gt;"",1,0)</f>
        <v>0</v>
      </c>
      <c r="BB731" s="0" t="s">
        <v>153</v>
      </c>
      <c r="BD731" s="0" t="s">
        <v>154</v>
      </c>
      <c r="BH731" s="0" t="s">
        <v>154</v>
      </c>
      <c r="BL731" s="0" t="s">
        <v>154</v>
      </c>
      <c r="BV731" s="0" t="s">
        <v>154</v>
      </c>
      <c r="BY731" s="0" t="s">
        <v>155</v>
      </c>
      <c r="CA731" s="0" t="s">
        <v>154</v>
      </c>
      <c r="CK731" s="0" t="s">
        <v>154</v>
      </c>
      <c r="CP731" s="0" t="s">
        <v>154</v>
      </c>
      <c r="CV731" s="0" t="s">
        <v>154</v>
      </c>
      <c r="CY731" s="0" t="s">
        <v>154</v>
      </c>
      <c r="DC731" s="0" t="s">
        <v>154</v>
      </c>
      <c r="DF731" s="0" t="s">
        <v>154</v>
      </c>
      <c r="DI731" s="0" t="s">
        <v>154</v>
      </c>
      <c r="DL731" s="0" t="s">
        <v>154</v>
      </c>
      <c r="DN731" s="0" t="s">
        <v>154</v>
      </c>
      <c r="DU731" s="0" t="s">
        <v>154</v>
      </c>
      <c r="DX731" s="0" t="s">
        <v>154</v>
      </c>
      <c r="EA731" s="0" t="s">
        <v>154</v>
      </c>
      <c r="EF731" s="0" t="s">
        <v>154</v>
      </c>
    </row>
    <row r="732" customFormat="false" ht="13.8" hidden="false" customHeight="false" outlineLevel="0" collapsed="false">
      <c r="A732" s="0" t="s">
        <v>3706</v>
      </c>
      <c r="B732" s="0" t="n">
        <v>78</v>
      </c>
      <c r="C732" s="0" t="n">
        <v>295724</v>
      </c>
      <c r="D732" s="0" t="s">
        <v>3703</v>
      </c>
      <c r="E732" s="0" t="s">
        <v>3707</v>
      </c>
      <c r="F732" s="0" t="str">
        <f aca="false">CONCATENATE(D732," ",LEFT(H732,4),"T=",AU732,"D=",AV732,"R=",AW732,"M=",AX732,"L=",AY732,"B=",AZ732)</f>
        <v>IVES T=3D=0R=0M=0L=3B=0</v>
      </c>
      <c r="G732" s="0" t="s">
        <v>241</v>
      </c>
      <c r="I732" s="0" t="s">
        <v>1118</v>
      </c>
      <c r="J732" s="0" t="s">
        <v>521</v>
      </c>
      <c r="K732" s="0" t="s">
        <v>175</v>
      </c>
      <c r="M732" s="0" t="s">
        <v>3705</v>
      </c>
      <c r="N732" s="0" t="str">
        <f aca="false">RIGHT(M732,LEN(M732)-FIND(" ",M732))</f>
        <v>DOUGLAS ST NE</v>
      </c>
      <c r="P732" s="0" t="s">
        <v>146</v>
      </c>
      <c r="Q732" s="0" t="s">
        <v>147</v>
      </c>
      <c r="R732" s="0" t="n">
        <v>44483</v>
      </c>
      <c r="AD732" s="0" t="s">
        <v>148</v>
      </c>
      <c r="AE732" s="0" t="s">
        <v>149</v>
      </c>
      <c r="AF732" s="0" t="s">
        <v>150</v>
      </c>
      <c r="AH732" s="0" t="n">
        <v>14</v>
      </c>
      <c r="AI732" s="0" t="n">
        <v>11</v>
      </c>
      <c r="AN732" s="0" t="s">
        <v>146</v>
      </c>
      <c r="AO732" s="0" t="s">
        <v>250</v>
      </c>
      <c r="AP732" s="0" t="s">
        <v>251</v>
      </c>
      <c r="AQ732" s="0" t="n">
        <v>9</v>
      </c>
      <c r="AR732" s="0" t="n">
        <v>64</v>
      </c>
      <c r="AS732" s="0" t="n">
        <v>32</v>
      </c>
      <c r="AU732" s="0" t="n">
        <f aca="false">COUNTA($BA$2417:$EH$2417)</f>
        <v>3</v>
      </c>
      <c r="AV732" s="0" t="n">
        <f aca="false">COUNTIF($BA$2417:$EH$2417,"D")</f>
        <v>0</v>
      </c>
      <c r="AW732" s="0" t="n">
        <f aca="false">COUNTIF($BA$2417:$EH$2417,"R")</f>
        <v>0</v>
      </c>
      <c r="AX732" s="0" t="n">
        <f aca="false"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>0</v>
      </c>
      <c r="AY732" s="0" t="n">
        <f aca="false">COUNTIF(DU732:EH732, "&lt;&gt;")</f>
        <v>3</v>
      </c>
      <c r="AZ732" s="0" t="n">
        <f aca="false">IF(EH732&lt;&gt;"",1,0)</f>
        <v>0</v>
      </c>
      <c r="BB732" s="0" t="s">
        <v>153</v>
      </c>
      <c r="BD732" s="0" t="s">
        <v>154</v>
      </c>
      <c r="BH732" s="0" t="s">
        <v>154</v>
      </c>
      <c r="BL732" s="0" t="s">
        <v>154</v>
      </c>
      <c r="CA732" s="0" t="s">
        <v>154</v>
      </c>
      <c r="CK732" s="0" t="s">
        <v>154</v>
      </c>
      <c r="CP732" s="0" t="s">
        <v>154</v>
      </c>
      <c r="DC732" s="0" t="s">
        <v>154</v>
      </c>
      <c r="DI732" s="0" t="s">
        <v>154</v>
      </c>
      <c r="DL732" s="0" t="s">
        <v>154</v>
      </c>
      <c r="DN732" s="0" t="s">
        <v>154</v>
      </c>
      <c r="DU732" s="0" t="s">
        <v>154</v>
      </c>
      <c r="EA732" s="0" t="s">
        <v>154</v>
      </c>
      <c r="EF732" s="0" t="s">
        <v>154</v>
      </c>
    </row>
    <row r="733" customFormat="false" ht="13.8" hidden="true" customHeight="false" outlineLevel="0" collapsed="false">
      <c r="A733" s="0" t="s">
        <v>3708</v>
      </c>
      <c r="B733" s="0" t="n">
        <v>78</v>
      </c>
      <c r="C733" s="0" t="n">
        <v>484744</v>
      </c>
      <c r="D733" s="0" t="s">
        <v>474</v>
      </c>
      <c r="E733" s="0" t="s">
        <v>3709</v>
      </c>
      <c r="F733" s="0" t="str">
        <f aca="false">CONCATENATE(D733," ",LEFT(H733,4),"T=",AU733,"D=",AV733,"R=",AW733,"M=",AX733,"L=",AY733,"B=",AZ733)</f>
        <v>SCOTT T=12D=2R=0M=0L=1B=0</v>
      </c>
      <c r="G733" s="0" t="s">
        <v>1964</v>
      </c>
      <c r="I733" s="0" t="s">
        <v>3710</v>
      </c>
      <c r="J733" s="0" t="s">
        <v>3711</v>
      </c>
      <c r="K733" s="0" t="s">
        <v>175</v>
      </c>
      <c r="L733" s="0"/>
      <c r="M733" s="0" t="s">
        <v>3705</v>
      </c>
      <c r="N733" s="0" t="str">
        <f aca="false">RIGHT(M733,LEN(M733)-FIND(" ",M733))</f>
        <v>DOUGLAS ST NE</v>
      </c>
      <c r="P733" s="0" t="s">
        <v>146</v>
      </c>
      <c r="Q733" s="0" t="s">
        <v>147</v>
      </c>
      <c r="R733" s="0" t="n">
        <v>44483</v>
      </c>
      <c r="AD733" s="0" t="s">
        <v>148</v>
      </c>
      <c r="AE733" s="0" t="s">
        <v>149</v>
      </c>
      <c r="AF733" s="0" t="s">
        <v>150</v>
      </c>
      <c r="AH733" s="0" t="n">
        <v>14</v>
      </c>
      <c r="AI733" s="0" t="n">
        <v>11</v>
      </c>
      <c r="AN733" s="0" t="s">
        <v>146</v>
      </c>
      <c r="AO733" s="0" t="s">
        <v>250</v>
      </c>
      <c r="AP733" s="0" t="s">
        <v>251</v>
      </c>
      <c r="AQ733" s="0" t="n">
        <v>9</v>
      </c>
      <c r="AR733" s="0" t="n">
        <v>64</v>
      </c>
      <c r="AS733" s="0" t="n">
        <v>32</v>
      </c>
      <c r="AU733" s="0" t="n">
        <f aca="false">COUNTA($BA$2476:$EH$2476)</f>
        <v>12</v>
      </c>
      <c r="AV733" s="0" t="n">
        <f aca="false">COUNTIF($BA$2476:$EH$2476,"D")</f>
        <v>2</v>
      </c>
      <c r="AW733" s="0" t="n">
        <f aca="false">COUNTIF($BA$2476:$EH$2476,"R")</f>
        <v>0</v>
      </c>
      <c r="AX733" s="0" t="n">
        <f aca="false"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>0</v>
      </c>
      <c r="AY733" s="0" t="n">
        <f aca="false">COUNTIF(DU733:EH733, "&lt;&gt;")</f>
        <v>1</v>
      </c>
      <c r="AZ733" s="0" t="n">
        <f aca="false">IF(EH733&lt;&gt;"",1,0)</f>
        <v>0</v>
      </c>
      <c r="BB733" s="0" t="s">
        <v>153</v>
      </c>
      <c r="BD733" s="0" t="s">
        <v>154</v>
      </c>
      <c r="EF733" s="0" t="s">
        <v>154</v>
      </c>
    </row>
    <row r="734" customFormat="false" ht="13.8" hidden="false" customHeight="false" outlineLevel="0" collapsed="false">
      <c r="A734" s="0" t="s">
        <v>3712</v>
      </c>
      <c r="B734" s="0" t="n">
        <v>78</v>
      </c>
      <c r="C734" s="0" t="n">
        <v>154826</v>
      </c>
      <c r="D734" s="0" t="s">
        <v>3713</v>
      </c>
      <c r="E734" s="0" t="s">
        <v>1263</v>
      </c>
      <c r="F734" s="0" t="str">
        <f aca="false">CONCATENATE(D734," ",LEFT(H734,4),"T=",AU734,"D=",AV734,"R=",AW734,"M=",AX734,"L=",AY734,"B=",AZ734)</f>
        <v>HAMMERCHECK T=2D=0R=0M=7L=7B=1</v>
      </c>
      <c r="G734" s="0" t="s">
        <v>188</v>
      </c>
      <c r="I734" s="0" t="s">
        <v>3714</v>
      </c>
      <c r="J734" s="0" t="s">
        <v>3178</v>
      </c>
      <c r="K734" s="0" t="s">
        <v>175</v>
      </c>
      <c r="L734" s="1" t="s">
        <v>176</v>
      </c>
      <c r="M734" s="0" t="s">
        <v>3715</v>
      </c>
      <c r="N734" s="0" t="str">
        <f aca="false">RIGHT(M734,LEN(M734)-FIND(" ",M734))</f>
        <v>DOUGLAS ST NW</v>
      </c>
      <c r="P734" s="0" t="s">
        <v>146</v>
      </c>
      <c r="Q734" s="0" t="s">
        <v>147</v>
      </c>
      <c r="R734" s="0" t="n">
        <v>44483</v>
      </c>
      <c r="AD734" s="0" t="s">
        <v>148</v>
      </c>
      <c r="AE734" s="0" t="s">
        <v>149</v>
      </c>
      <c r="AF734" s="0" t="s">
        <v>150</v>
      </c>
      <c r="AH734" s="0" t="n">
        <v>14</v>
      </c>
      <c r="AI734" s="0" t="n">
        <v>11</v>
      </c>
      <c r="AN734" s="0" t="s">
        <v>146</v>
      </c>
      <c r="AO734" s="0" t="s">
        <v>250</v>
      </c>
      <c r="AP734" s="0" t="s">
        <v>251</v>
      </c>
      <c r="AQ734" s="0" t="n">
        <v>9</v>
      </c>
      <c r="AR734" s="0" t="n">
        <v>64</v>
      </c>
      <c r="AS734" s="0" t="n">
        <v>32</v>
      </c>
      <c r="AU734" s="0" t="n">
        <f aca="false">COUNTA($BA$2216:$EH$2216)</f>
        <v>2</v>
      </c>
      <c r="AV734" s="0" t="n">
        <f aca="false">COUNTIF($BA$2216:$EH$2216,"D")</f>
        <v>0</v>
      </c>
      <c r="AW734" s="0" t="n">
        <f aca="false">COUNTIF($BA$2216:$EH$2216,"R")</f>
        <v>0</v>
      </c>
      <c r="AX734" s="0" t="n">
        <f aca="false"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>7</v>
      </c>
      <c r="AY734" s="0" t="n">
        <f aca="false">COUNTIF(DU734:EH734, "&lt;&gt;")</f>
        <v>7</v>
      </c>
      <c r="AZ734" s="0" t="n">
        <f aca="false">IF(EH734&lt;&gt;"",1,0)</f>
        <v>1</v>
      </c>
      <c r="BB734" s="0" t="s">
        <v>153</v>
      </c>
      <c r="BC734" s="0" t="s">
        <v>154</v>
      </c>
      <c r="BD734" s="0" t="s">
        <v>154</v>
      </c>
      <c r="BE734" s="0" t="s">
        <v>154</v>
      </c>
      <c r="BG734" s="0" t="s">
        <v>154</v>
      </c>
      <c r="BH734" s="0" t="s">
        <v>154</v>
      </c>
      <c r="BI734" s="0" t="s">
        <v>154</v>
      </c>
      <c r="BJ734" s="0" t="s">
        <v>154</v>
      </c>
      <c r="BK734" s="0" t="s">
        <v>154</v>
      </c>
      <c r="BL734" s="0" t="s">
        <v>154</v>
      </c>
      <c r="BP734" s="0" t="s">
        <v>154</v>
      </c>
      <c r="BR734" s="0" t="s">
        <v>154</v>
      </c>
      <c r="BS734" s="0" t="s">
        <v>154</v>
      </c>
      <c r="BV734" s="0" t="s">
        <v>154</v>
      </c>
      <c r="BY734" s="0" t="s">
        <v>155</v>
      </c>
      <c r="CA734" s="0" t="s">
        <v>154</v>
      </c>
      <c r="CC734" s="0" t="s">
        <v>155</v>
      </c>
      <c r="CG734" s="0" t="s">
        <v>154</v>
      </c>
      <c r="CH734" s="0" t="s">
        <v>155</v>
      </c>
      <c r="CK734" s="0" t="s">
        <v>154</v>
      </c>
      <c r="CL734" s="0" t="s">
        <v>155</v>
      </c>
      <c r="CN734" s="0" t="s">
        <v>154</v>
      </c>
      <c r="CO734" s="0" t="s">
        <v>155</v>
      </c>
      <c r="CP734" s="0" t="s">
        <v>154</v>
      </c>
      <c r="CQ734" s="0" t="s">
        <v>155</v>
      </c>
      <c r="CV734" s="0" t="s">
        <v>154</v>
      </c>
      <c r="CY734" s="0" t="s">
        <v>154</v>
      </c>
      <c r="CZ734" s="0" t="s">
        <v>155</v>
      </c>
      <c r="DC734" s="0" t="s">
        <v>154</v>
      </c>
      <c r="DD734" s="0" t="s">
        <v>155</v>
      </c>
      <c r="DG734" s="0" t="s">
        <v>155</v>
      </c>
      <c r="DI734" s="0" t="s">
        <v>154</v>
      </c>
      <c r="DJ734" s="0" t="s">
        <v>155</v>
      </c>
      <c r="DL734" s="0" t="s">
        <v>154</v>
      </c>
      <c r="DM734" s="0" t="s">
        <v>155</v>
      </c>
      <c r="DN734" s="0" t="s">
        <v>154</v>
      </c>
      <c r="DO734" s="0" t="s">
        <v>155</v>
      </c>
      <c r="DR734" s="0" t="s">
        <v>154</v>
      </c>
      <c r="DS734" s="0" t="s">
        <v>176</v>
      </c>
      <c r="DU734" s="0" t="s">
        <v>154</v>
      </c>
      <c r="DW734" s="0" t="s">
        <v>155</v>
      </c>
      <c r="DX734" s="0" t="s">
        <v>154</v>
      </c>
      <c r="EA734" s="0" t="s">
        <v>154</v>
      </c>
      <c r="ED734" s="0" t="s">
        <v>176</v>
      </c>
      <c r="EF734" s="0" t="s">
        <v>154</v>
      </c>
      <c r="EH734" s="0" t="s">
        <v>154</v>
      </c>
    </row>
    <row r="735" customFormat="false" ht="13.8" hidden="false" customHeight="false" outlineLevel="0" collapsed="false">
      <c r="A735" s="0" t="s">
        <v>3716</v>
      </c>
      <c r="B735" s="0" t="n">
        <v>78</v>
      </c>
      <c r="C735" s="0" t="n">
        <v>436187</v>
      </c>
      <c r="D735" s="0" t="s">
        <v>1549</v>
      </c>
      <c r="E735" s="0" t="s">
        <v>1980</v>
      </c>
      <c r="F735" s="0" t="str">
        <f aca="false">CONCATENATE(D735," ",LEFT(H735,4),"T=",AU735,"D=",AV735,"R=",AW735,"M=",AX735,"L=",AY735,"B=",AZ735)</f>
        <v>WILSON T=2D=0R=0M=0L=5B=0</v>
      </c>
      <c r="G735" s="0" t="s">
        <v>241</v>
      </c>
      <c r="I735" s="0" t="s">
        <v>3717</v>
      </c>
      <c r="J735" s="0" t="s">
        <v>1854</v>
      </c>
      <c r="K735" s="0" t="s">
        <v>175</v>
      </c>
      <c r="L735" s="1" t="s">
        <v>155</v>
      </c>
      <c r="M735" s="0" t="s">
        <v>3718</v>
      </c>
      <c r="N735" s="0" t="str">
        <f aca="false">RIGHT(M735,LEN(M735)-FIND(" ",M735))</f>
        <v>DOUGLAS ST NW</v>
      </c>
      <c r="P735" s="0" t="s">
        <v>146</v>
      </c>
      <c r="Q735" s="0" t="s">
        <v>147</v>
      </c>
      <c r="R735" s="0" t="n">
        <v>44483</v>
      </c>
      <c r="AD735" s="0" t="s">
        <v>148</v>
      </c>
      <c r="AE735" s="0" t="s">
        <v>149</v>
      </c>
      <c r="AF735" s="0" t="s">
        <v>150</v>
      </c>
      <c r="AH735" s="0" t="n">
        <v>14</v>
      </c>
      <c r="AI735" s="0" t="n">
        <v>11</v>
      </c>
      <c r="AN735" s="0" t="s">
        <v>146</v>
      </c>
      <c r="AO735" s="0" t="s">
        <v>250</v>
      </c>
      <c r="AP735" s="0" t="s">
        <v>251</v>
      </c>
      <c r="AQ735" s="0" t="n">
        <v>9</v>
      </c>
      <c r="AR735" s="0" t="n">
        <v>64</v>
      </c>
      <c r="AS735" s="0" t="n">
        <v>32</v>
      </c>
      <c r="AU735" s="0" t="n">
        <f aca="false">COUNTA($BA$2381:$EH$2381)</f>
        <v>2</v>
      </c>
      <c r="AV735" s="0" t="n">
        <f aca="false">COUNTIF($BA$2381:$EH$2381,"D")</f>
        <v>0</v>
      </c>
      <c r="AW735" s="0" t="n">
        <f aca="false">COUNTIF($BA$2381:$EH$2381,"R")</f>
        <v>0</v>
      </c>
      <c r="AX735" s="0" t="n">
        <f aca="false"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>0</v>
      </c>
      <c r="AY735" s="0" t="n">
        <f aca="false">COUNTIF(DU735:EH735, "&lt;&gt;")</f>
        <v>5</v>
      </c>
      <c r="AZ735" s="0" t="n">
        <f aca="false">IF(EH735&lt;&gt;"",1,0)</f>
        <v>0</v>
      </c>
      <c r="BB735" s="0" t="s">
        <v>153</v>
      </c>
      <c r="DI735" s="0" t="s">
        <v>154</v>
      </c>
      <c r="DL735" s="0" t="s">
        <v>154</v>
      </c>
      <c r="DM735" s="0" t="s">
        <v>155</v>
      </c>
      <c r="DN735" s="0" t="s">
        <v>154</v>
      </c>
      <c r="DU735" s="0" t="s">
        <v>154</v>
      </c>
      <c r="DX735" s="0" t="s">
        <v>154</v>
      </c>
      <c r="EA735" s="0" t="s">
        <v>154</v>
      </c>
      <c r="ED735" s="0" t="s">
        <v>155</v>
      </c>
      <c r="EF735" s="0" t="s">
        <v>154</v>
      </c>
    </row>
    <row r="736" customFormat="false" ht="13.8" hidden="true" customHeight="false" outlineLevel="0" collapsed="false">
      <c r="A736" s="0" t="s">
        <v>3719</v>
      </c>
      <c r="B736" s="0" t="n">
        <v>78</v>
      </c>
      <c r="C736" s="0" t="n">
        <v>484213</v>
      </c>
      <c r="D736" s="0" t="s">
        <v>1549</v>
      </c>
      <c r="E736" s="0" t="s">
        <v>3032</v>
      </c>
      <c r="F736" s="0" t="str">
        <f aca="false">CONCATENATE(D736," ",LEFT(H736,4),"T=",AU736,"D=",AV736,"R=",AW736,"M=",AX736,"L=",AY736,"B=",AZ736)</f>
        <v>WILSON T=1D=0R=0M=0L=1B=0</v>
      </c>
      <c r="G736" s="0" t="s">
        <v>2293</v>
      </c>
      <c r="I736" s="0" t="s">
        <v>3720</v>
      </c>
      <c r="J736" s="0" t="s">
        <v>3721</v>
      </c>
      <c r="K736" s="0" t="s">
        <v>175</v>
      </c>
      <c r="L736" s="0"/>
      <c r="M736" s="0" t="s">
        <v>3718</v>
      </c>
      <c r="N736" s="0" t="str">
        <f aca="false">RIGHT(M736,LEN(M736)-FIND(" ",M736))</f>
        <v>DOUGLAS ST NW</v>
      </c>
      <c r="P736" s="0" t="s">
        <v>146</v>
      </c>
      <c r="Q736" s="0" t="s">
        <v>147</v>
      </c>
      <c r="R736" s="0" t="n">
        <v>44483</v>
      </c>
      <c r="AD736" s="0" t="s">
        <v>148</v>
      </c>
      <c r="AE736" s="0" t="s">
        <v>149</v>
      </c>
      <c r="AF736" s="0" t="s">
        <v>150</v>
      </c>
      <c r="AH736" s="0" t="n">
        <v>14</v>
      </c>
      <c r="AI736" s="0" t="n">
        <v>11</v>
      </c>
      <c r="AN736" s="0" t="s">
        <v>146</v>
      </c>
      <c r="AO736" s="0" t="s">
        <v>250</v>
      </c>
      <c r="AP736" s="0" t="s">
        <v>251</v>
      </c>
      <c r="AQ736" s="0" t="n">
        <v>9</v>
      </c>
      <c r="AR736" s="0" t="n">
        <v>64</v>
      </c>
      <c r="AS736" s="0" t="n">
        <v>32</v>
      </c>
      <c r="AU736" s="0" t="n">
        <f aca="false">COUNTA($BA$2478:$EH$2478)</f>
        <v>1</v>
      </c>
      <c r="AV736" s="0" t="n">
        <f aca="false">COUNTIF($BA$2478:$EH$2478,"D")</f>
        <v>0</v>
      </c>
      <c r="AW736" s="0" t="n">
        <f aca="false">COUNTIF($BA$2478:$EH$2478,"R")</f>
        <v>0</v>
      </c>
      <c r="AX736" s="0" t="n">
        <f aca="false"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>0</v>
      </c>
      <c r="AY736" s="0" t="n">
        <f aca="false">COUNTIF(DU736:EH736, "&lt;&gt;")</f>
        <v>1</v>
      </c>
      <c r="AZ736" s="0" t="n">
        <f aca="false">IF(EH736&lt;&gt;"",1,0)</f>
        <v>0</v>
      </c>
      <c r="BB736" s="0" t="s">
        <v>153</v>
      </c>
      <c r="EF736" s="0" t="s">
        <v>154</v>
      </c>
    </row>
    <row r="737" customFormat="false" ht="13.8" hidden="true" customHeight="false" outlineLevel="0" collapsed="false">
      <c r="A737" s="0" t="s">
        <v>3722</v>
      </c>
      <c r="B737" s="0" t="n">
        <v>78</v>
      </c>
      <c r="C737" s="0" t="n">
        <v>324169</v>
      </c>
      <c r="D737" s="0" t="s">
        <v>3723</v>
      </c>
      <c r="E737" s="0" t="s">
        <v>2370</v>
      </c>
      <c r="F737" s="0" t="str">
        <f aca="false">CONCATENATE(D737," ",LEFT(H737,4),"T=",AU737,"D=",AV737,"R=",AW737,"M=",AX737,"L=",AY737,"B=",AZ737)</f>
        <v>ENSINGER T=23D=3R=0M=0L=1B=0</v>
      </c>
      <c r="G737" s="0" t="s">
        <v>172</v>
      </c>
      <c r="I737" s="0" t="s">
        <v>3724</v>
      </c>
      <c r="J737" s="0" t="s">
        <v>3725</v>
      </c>
      <c r="K737" s="0" t="s">
        <v>175</v>
      </c>
      <c r="L737" s="0"/>
      <c r="M737" s="0" t="s">
        <v>3726</v>
      </c>
      <c r="N737" s="0" t="str">
        <f aca="false">RIGHT(M737,LEN(M737)-FIND(" ",M737))</f>
        <v>DOUGLAS ST NW</v>
      </c>
      <c r="P737" s="0" t="s">
        <v>146</v>
      </c>
      <c r="Q737" s="0" t="s">
        <v>147</v>
      </c>
      <c r="R737" s="0" t="n">
        <v>44483</v>
      </c>
      <c r="AD737" s="0" t="s">
        <v>148</v>
      </c>
      <c r="AE737" s="0" t="s">
        <v>149</v>
      </c>
      <c r="AF737" s="0" t="s">
        <v>150</v>
      </c>
      <c r="AH737" s="0" t="n">
        <v>14</v>
      </c>
      <c r="AI737" s="0" t="n">
        <v>11</v>
      </c>
      <c r="AN737" s="0" t="s">
        <v>146</v>
      </c>
      <c r="AO737" s="0" t="s">
        <v>250</v>
      </c>
      <c r="AP737" s="0" t="s">
        <v>251</v>
      </c>
      <c r="AQ737" s="0" t="n">
        <v>9</v>
      </c>
      <c r="AR737" s="0" t="n">
        <v>64</v>
      </c>
      <c r="AS737" s="0" t="n">
        <v>32</v>
      </c>
      <c r="AU737" s="0" t="n">
        <f aca="false">COUNTA($BA$2335:$EH$2335)</f>
        <v>23</v>
      </c>
      <c r="AV737" s="0" t="n">
        <f aca="false">COUNTIF($BA$2335:$EH$2335,"D")</f>
        <v>3</v>
      </c>
      <c r="AW737" s="0" t="n">
        <f aca="false">COUNTIF($BA$2335:$EH$2335,"R")</f>
        <v>0</v>
      </c>
      <c r="AX737" s="0" t="n">
        <f aca="false"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>0</v>
      </c>
      <c r="AY737" s="0" t="n">
        <f aca="false">COUNTIF(DU737:EH737, "&lt;&gt;")</f>
        <v>1</v>
      </c>
      <c r="AZ737" s="0" t="n">
        <f aca="false">IF(EH737&lt;&gt;"",1,0)</f>
        <v>0</v>
      </c>
      <c r="BB737" s="0" t="s">
        <v>153</v>
      </c>
      <c r="BL737" s="0" t="s">
        <v>154</v>
      </c>
      <c r="BS737" s="0" t="s">
        <v>154</v>
      </c>
      <c r="DC737" s="0" t="s">
        <v>154</v>
      </c>
      <c r="DN737" s="0" t="s">
        <v>154</v>
      </c>
      <c r="EF737" s="0" t="s">
        <v>154</v>
      </c>
    </row>
    <row r="738" customFormat="false" ht="13.8" hidden="true" customHeight="false" outlineLevel="0" collapsed="false">
      <c r="A738" s="0" t="s">
        <v>3727</v>
      </c>
      <c r="B738" s="0" t="n">
        <v>78</v>
      </c>
      <c r="C738" s="0" t="n">
        <v>431074</v>
      </c>
      <c r="D738" s="0" t="s">
        <v>3723</v>
      </c>
      <c r="E738" s="0" t="s">
        <v>1916</v>
      </c>
      <c r="F738" s="0" t="str">
        <f aca="false">CONCATENATE(D738," ",LEFT(H738,4),"T=",AU738,"D=",AV738,"R=",AW738,"M=",AX738,"L=",AY738,"B=",AZ738)</f>
        <v>ENSINGER T=5D=0R=1M=0L=1B=0</v>
      </c>
      <c r="G738" s="0" t="s">
        <v>155</v>
      </c>
      <c r="I738" s="0" t="s">
        <v>3728</v>
      </c>
      <c r="J738" s="0" t="s">
        <v>946</v>
      </c>
      <c r="K738" s="0" t="s">
        <v>175</v>
      </c>
      <c r="L738" s="0"/>
      <c r="M738" s="0" t="s">
        <v>3726</v>
      </c>
      <c r="N738" s="0" t="str">
        <f aca="false">RIGHT(M738,LEN(M738)-FIND(" ",M738))</f>
        <v>DOUGLAS ST NW</v>
      </c>
      <c r="P738" s="0" t="s">
        <v>146</v>
      </c>
      <c r="Q738" s="0" t="s">
        <v>147</v>
      </c>
      <c r="R738" s="0" t="n">
        <v>44483</v>
      </c>
      <c r="AD738" s="0" t="s">
        <v>148</v>
      </c>
      <c r="AE738" s="0" t="s">
        <v>149</v>
      </c>
      <c r="AF738" s="0" t="s">
        <v>150</v>
      </c>
      <c r="AH738" s="0" t="n">
        <v>14</v>
      </c>
      <c r="AI738" s="0" t="n">
        <v>11</v>
      </c>
      <c r="AN738" s="0" t="s">
        <v>146</v>
      </c>
      <c r="AO738" s="0" t="s">
        <v>250</v>
      </c>
      <c r="AP738" s="0" t="s">
        <v>251</v>
      </c>
      <c r="AQ738" s="0" t="n">
        <v>9</v>
      </c>
      <c r="AR738" s="0" t="n">
        <v>64</v>
      </c>
      <c r="AS738" s="0" t="n">
        <v>32</v>
      </c>
      <c r="AU738" s="0" t="n">
        <f aca="false">COUNTA($BA$2439:$EH$2439)</f>
        <v>5</v>
      </c>
      <c r="AV738" s="0" t="n">
        <f aca="false">COUNTIF($BA$2439:$EH$2439,"D")</f>
        <v>0</v>
      </c>
      <c r="AW738" s="0" t="n">
        <f aca="false">COUNTIF($BA$2439:$EH$2439,"R")</f>
        <v>1</v>
      </c>
      <c r="AX738" s="0" t="n">
        <f aca="false"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>0</v>
      </c>
      <c r="AY738" s="0" t="n">
        <f aca="false">COUNTIF(DU738:EH738, "&lt;&gt;")</f>
        <v>1</v>
      </c>
      <c r="AZ738" s="0" t="n">
        <f aca="false">IF(EH738&lt;&gt;"",1,0)</f>
        <v>0</v>
      </c>
      <c r="BB738" s="0" t="s">
        <v>153</v>
      </c>
      <c r="DI738" s="0" t="s">
        <v>154</v>
      </c>
      <c r="EF738" s="0" t="s">
        <v>154</v>
      </c>
    </row>
    <row r="739" customFormat="false" ht="13.8" hidden="true" customHeight="false" outlineLevel="0" collapsed="false">
      <c r="A739" s="0" t="s">
        <v>3729</v>
      </c>
      <c r="B739" s="0" t="n">
        <v>78</v>
      </c>
      <c r="C739" s="0" t="n">
        <v>487310</v>
      </c>
      <c r="D739" s="0" t="s">
        <v>3730</v>
      </c>
      <c r="E739" s="0" t="s">
        <v>3731</v>
      </c>
      <c r="F739" s="0" t="str">
        <f aca="false">CONCATENATE(D739," ",LEFT(H739,4),"T=",AU739,"D=",AV739,"R=",AW739,"M=",AX739,"L=",AY739,"B=",AZ739)</f>
        <v>LEEK T=1D=0R=0M=0L=0B=0</v>
      </c>
      <c r="G739" s="0" t="s">
        <v>1068</v>
      </c>
      <c r="I739" s="0" t="s">
        <v>3732</v>
      </c>
      <c r="J739" s="0" t="s">
        <v>3733</v>
      </c>
      <c r="K739" s="0" t="s">
        <v>175</v>
      </c>
      <c r="L739" s="0"/>
      <c r="M739" s="0" t="s">
        <v>3734</v>
      </c>
      <c r="N739" s="0" t="str">
        <f aca="false">RIGHT(M739,LEN(M739)-FIND(" ",M739))</f>
        <v>DOUGLAS ST NW</v>
      </c>
      <c r="P739" s="0" t="s">
        <v>146</v>
      </c>
      <c r="Q739" s="0" t="s">
        <v>147</v>
      </c>
      <c r="R739" s="0" t="n">
        <v>44483</v>
      </c>
      <c r="AD739" s="0" t="s">
        <v>148</v>
      </c>
      <c r="AE739" s="0" t="s">
        <v>149</v>
      </c>
      <c r="AF739" s="0" t="s">
        <v>150</v>
      </c>
      <c r="AH739" s="0" t="n">
        <v>14</v>
      </c>
      <c r="AI739" s="0" t="n">
        <v>11</v>
      </c>
      <c r="AN739" s="0" t="s">
        <v>146</v>
      </c>
      <c r="AO739" s="0" t="s">
        <v>250</v>
      </c>
      <c r="AP739" s="0" t="s">
        <v>251</v>
      </c>
      <c r="AQ739" s="0" t="n">
        <v>9</v>
      </c>
      <c r="AR739" s="0" t="n">
        <v>64</v>
      </c>
      <c r="AS739" s="0" t="n">
        <v>32</v>
      </c>
      <c r="AU739" s="0" t="n">
        <f aca="false">COUNTA($BA$2807:$EH$2807)</f>
        <v>1</v>
      </c>
      <c r="AV739" s="0" t="n">
        <f aca="false">COUNTIF($BA$2807:$EH$2807,"D")</f>
        <v>0</v>
      </c>
      <c r="AW739" s="0" t="n">
        <f aca="false">COUNTIF($BA$2807:$EH$2807,"R")</f>
        <v>0</v>
      </c>
      <c r="AX739" s="0" t="n">
        <f aca="false"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>0</v>
      </c>
      <c r="AY739" s="0" t="n">
        <f aca="false">COUNTIF(DU739:EH739, "&lt;&gt;")</f>
        <v>0</v>
      </c>
      <c r="AZ739" s="0" t="n">
        <f aca="false">IF(EH739&lt;&gt;"",1,0)</f>
        <v>0</v>
      </c>
      <c r="BB739" s="0" t="s">
        <v>153</v>
      </c>
    </row>
    <row r="740" customFormat="false" ht="13.8" hidden="true" customHeight="false" outlineLevel="0" collapsed="false">
      <c r="A740" s="0" t="s">
        <v>3735</v>
      </c>
      <c r="B740" s="0" t="n">
        <v>78</v>
      </c>
      <c r="C740" s="0" t="n">
        <v>324563</v>
      </c>
      <c r="D740" s="0" t="s">
        <v>3276</v>
      </c>
      <c r="E740" s="0" t="s">
        <v>1374</v>
      </c>
      <c r="F740" s="0" t="str">
        <f aca="false">CONCATENATE(D740," ",LEFT(H740,4),"T=",AU740,"D=",AV740,"R=",AW740,"M=",AX740,"L=",AY740,"B=",AZ740)</f>
        <v>MOORE T=2D=0R=0M=0L=0B=0</v>
      </c>
      <c r="G740" s="0" t="s">
        <v>166</v>
      </c>
      <c r="I740" s="0" t="s">
        <v>3736</v>
      </c>
      <c r="J740" s="0" t="s">
        <v>3737</v>
      </c>
      <c r="K740" s="0" t="s">
        <v>175</v>
      </c>
      <c r="L740" s="0"/>
      <c r="M740" s="0" t="s">
        <v>3738</v>
      </c>
      <c r="N740" s="0" t="str">
        <f aca="false">RIGHT(M740,LEN(M740)-FIND(" ",M740))</f>
        <v>DOUGLAS ST NW</v>
      </c>
      <c r="P740" s="0" t="s">
        <v>146</v>
      </c>
      <c r="Q740" s="0" t="s">
        <v>147</v>
      </c>
      <c r="R740" s="0" t="n">
        <v>44483</v>
      </c>
      <c r="AD740" s="0" t="s">
        <v>148</v>
      </c>
      <c r="AE740" s="0" t="s">
        <v>149</v>
      </c>
      <c r="AF740" s="0" t="s">
        <v>150</v>
      </c>
      <c r="AH740" s="0" t="n">
        <v>14</v>
      </c>
      <c r="AI740" s="0" t="n">
        <v>11</v>
      </c>
      <c r="AN740" s="0" t="s">
        <v>146</v>
      </c>
      <c r="AO740" s="0" t="s">
        <v>250</v>
      </c>
      <c r="AP740" s="0" t="s">
        <v>251</v>
      </c>
      <c r="AQ740" s="0" t="n">
        <v>9</v>
      </c>
      <c r="AR740" s="0" t="n">
        <v>64</v>
      </c>
      <c r="AS740" s="0" t="n">
        <v>32</v>
      </c>
      <c r="AU740" s="0" t="n">
        <f aca="false">COUNTA($BA$2806:$EH$2806)</f>
        <v>2</v>
      </c>
      <c r="AV740" s="0" t="n">
        <f aca="false">COUNTIF($BA$2806:$EH$2806,"D")</f>
        <v>0</v>
      </c>
      <c r="AW740" s="0" t="n">
        <f aca="false">COUNTIF($BA$2806:$EH$2806,"R")</f>
        <v>0</v>
      </c>
      <c r="AX740" s="0" t="n">
        <f aca="false"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>0</v>
      </c>
      <c r="AY740" s="0" t="n">
        <f aca="false">COUNTIF(DU740:EH740, "&lt;&gt;")</f>
        <v>0</v>
      </c>
      <c r="AZ740" s="0" t="n">
        <f aca="false">IF(EH740&lt;&gt;"",1,0)</f>
        <v>0</v>
      </c>
      <c r="BB740" s="0" t="s">
        <v>153</v>
      </c>
      <c r="BL740" s="0" t="s">
        <v>154</v>
      </c>
    </row>
    <row r="741" customFormat="false" ht="13.8" hidden="true" customHeight="false" outlineLevel="0" collapsed="false">
      <c r="A741" s="0" t="s">
        <v>3739</v>
      </c>
      <c r="B741" s="0" t="n">
        <v>78</v>
      </c>
      <c r="C741" s="0" t="n">
        <v>422368</v>
      </c>
      <c r="D741" s="0" t="s">
        <v>3740</v>
      </c>
      <c r="E741" s="0" t="s">
        <v>1948</v>
      </c>
      <c r="F741" s="0" t="str">
        <f aca="false">CONCATENATE(D741," ",LEFT(H741,4),"T=",AU741,"D=",AV741,"R=",AW741,"M=",AX741,"L=",AY741,"B=",AZ741)</f>
        <v>RITZ T=1D=0R=0M=0L=1B=0</v>
      </c>
      <c r="G741" s="0" t="s">
        <v>1717</v>
      </c>
      <c r="I741" s="0" t="s">
        <v>3741</v>
      </c>
      <c r="J741" s="0" t="s">
        <v>3742</v>
      </c>
      <c r="K741" s="0" t="s">
        <v>175</v>
      </c>
      <c r="L741" s="0"/>
      <c r="M741" s="0" t="s">
        <v>3743</v>
      </c>
      <c r="N741" s="0" t="str">
        <f aca="false">RIGHT(M741,LEN(M741)-FIND(" ",M741))</f>
        <v>DOUGLAS ST NW</v>
      </c>
      <c r="P741" s="0" t="s">
        <v>146</v>
      </c>
      <c r="Q741" s="0" t="s">
        <v>147</v>
      </c>
      <c r="R741" s="0" t="n">
        <v>44483</v>
      </c>
      <c r="AD741" s="0" t="s">
        <v>148</v>
      </c>
      <c r="AE741" s="0" t="s">
        <v>149</v>
      </c>
      <c r="AF741" s="0" t="s">
        <v>150</v>
      </c>
      <c r="AH741" s="0" t="n">
        <v>14</v>
      </c>
      <c r="AI741" s="0" t="n">
        <v>11</v>
      </c>
      <c r="AN741" s="0" t="s">
        <v>146</v>
      </c>
      <c r="AO741" s="0" t="s">
        <v>250</v>
      </c>
      <c r="AP741" s="0" t="s">
        <v>251</v>
      </c>
      <c r="AQ741" s="0" t="n">
        <v>9</v>
      </c>
      <c r="AR741" s="0" t="n">
        <v>64</v>
      </c>
      <c r="AS741" s="0" t="n">
        <v>32</v>
      </c>
      <c r="AU741" s="0" t="n">
        <f aca="false">COUNTA($BA$2593:$EH$2593)</f>
        <v>1</v>
      </c>
      <c r="AV741" s="0" t="n">
        <f aca="false">COUNTIF($BA$2593:$EH$2593,"D")</f>
        <v>0</v>
      </c>
      <c r="AW741" s="0" t="n">
        <f aca="false">COUNTIF($BA$2593:$EH$2593,"R")</f>
        <v>0</v>
      </c>
      <c r="AX741" s="0" t="n">
        <f aca="false"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>0</v>
      </c>
      <c r="AY741" s="0" t="n">
        <f aca="false">COUNTIF(DU741:EH741, "&lt;&gt;")</f>
        <v>1</v>
      </c>
      <c r="AZ741" s="0" t="n">
        <f aca="false">IF(EH741&lt;&gt;"",1,0)</f>
        <v>0</v>
      </c>
      <c r="BB741" s="0" t="s">
        <v>153</v>
      </c>
      <c r="DC741" s="0" t="s">
        <v>154</v>
      </c>
      <c r="DI741" s="0" t="s">
        <v>154</v>
      </c>
      <c r="DN741" s="0" t="s">
        <v>154</v>
      </c>
      <c r="EF741" s="0" t="s">
        <v>154</v>
      </c>
    </row>
    <row r="742" customFormat="false" ht="13.8" hidden="false" customHeight="false" outlineLevel="0" collapsed="false">
      <c r="A742" s="0" t="s">
        <v>3744</v>
      </c>
      <c r="B742" s="0" t="n">
        <v>78</v>
      </c>
      <c r="C742" s="0" t="n">
        <v>360166</v>
      </c>
      <c r="D742" s="0" t="s">
        <v>3668</v>
      </c>
      <c r="E742" s="0" t="s">
        <v>3745</v>
      </c>
      <c r="F742" s="0" t="str">
        <f aca="false">CONCATENATE(D742," ",LEFT(H742,4),"T=",AU742,"D=",AV742,"R=",AW742,"M=",AX742,"L=",AY742,"B=",AZ742)</f>
        <v>REED T=1D=0R=0M=2L=5B=0</v>
      </c>
      <c r="G742" s="0" t="s">
        <v>155</v>
      </c>
      <c r="I742" s="0" t="s">
        <v>3746</v>
      </c>
      <c r="J742" s="0" t="s">
        <v>3747</v>
      </c>
      <c r="K742" s="0" t="s">
        <v>175</v>
      </c>
      <c r="L742" s="1" t="s">
        <v>155</v>
      </c>
      <c r="M742" s="0" t="s">
        <v>3748</v>
      </c>
      <c r="N742" s="0" t="str">
        <f aca="false">RIGHT(M742,LEN(M742)-FIND(" ",M742))</f>
        <v>DOUGLAS ST NW</v>
      </c>
      <c r="P742" s="0" t="s">
        <v>146</v>
      </c>
      <c r="Q742" s="0" t="s">
        <v>147</v>
      </c>
      <c r="R742" s="0" t="n">
        <v>44483</v>
      </c>
      <c r="AD742" s="0" t="s">
        <v>148</v>
      </c>
      <c r="AE742" s="0" t="s">
        <v>149</v>
      </c>
      <c r="AF742" s="0" t="s">
        <v>150</v>
      </c>
      <c r="AH742" s="0" t="n">
        <v>14</v>
      </c>
      <c r="AI742" s="0" t="n">
        <v>11</v>
      </c>
      <c r="AN742" s="0" t="s">
        <v>146</v>
      </c>
      <c r="AO742" s="0" t="s">
        <v>250</v>
      </c>
      <c r="AP742" s="0" t="s">
        <v>251</v>
      </c>
      <c r="AQ742" s="0" t="n">
        <v>9</v>
      </c>
      <c r="AR742" s="0" t="n">
        <v>64</v>
      </c>
      <c r="AS742" s="0" t="n">
        <v>32</v>
      </c>
      <c r="AU742" s="0" t="n">
        <f aca="false">COUNTA($BA$2083:$EH$2083)</f>
        <v>1</v>
      </c>
      <c r="AV742" s="0" t="n">
        <f aca="false">COUNTIF($BA$2083:$EH$2083,"D")</f>
        <v>0</v>
      </c>
      <c r="AW742" s="0" t="n">
        <f aca="false">COUNTIF($BA$2083:$EH$2083,"R")</f>
        <v>0</v>
      </c>
      <c r="AX742" s="0" t="n">
        <f aca="false"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>2</v>
      </c>
      <c r="AY742" s="0" t="n">
        <f aca="false">COUNTIF(DU742:EH742, "&lt;&gt;")</f>
        <v>5</v>
      </c>
      <c r="AZ742" s="0" t="n">
        <f aca="false">IF(EH742&lt;&gt;"",1,0)</f>
        <v>0</v>
      </c>
      <c r="BB742" s="0" t="s">
        <v>153</v>
      </c>
      <c r="CA742" s="0" t="s">
        <v>154</v>
      </c>
      <c r="CG742" s="0" t="s">
        <v>154</v>
      </c>
      <c r="CK742" s="0" t="s">
        <v>154</v>
      </c>
      <c r="CL742" s="0" t="s">
        <v>155</v>
      </c>
      <c r="CN742" s="0" t="s">
        <v>154</v>
      </c>
      <c r="CP742" s="0" t="s">
        <v>154</v>
      </c>
      <c r="CZ742" s="0" t="s">
        <v>176</v>
      </c>
      <c r="DC742" s="0" t="s">
        <v>154</v>
      </c>
      <c r="DI742" s="0" t="s">
        <v>154</v>
      </c>
      <c r="DN742" s="0" t="s">
        <v>154</v>
      </c>
      <c r="DR742" s="0" t="s">
        <v>154</v>
      </c>
      <c r="DU742" s="0" t="s">
        <v>154</v>
      </c>
      <c r="DW742" s="0" t="s">
        <v>155</v>
      </c>
      <c r="DX742" s="0" t="s">
        <v>154</v>
      </c>
      <c r="EA742" s="0" t="s">
        <v>154</v>
      </c>
      <c r="EF742" s="0" t="s">
        <v>154</v>
      </c>
    </row>
    <row r="743" customFormat="false" ht="13.8" hidden="false" customHeight="false" outlineLevel="0" collapsed="false">
      <c r="A743" s="0" t="s">
        <v>3749</v>
      </c>
      <c r="B743" s="0" t="n">
        <v>78</v>
      </c>
      <c r="C743" s="0" t="n">
        <v>360700</v>
      </c>
      <c r="D743" s="0" t="s">
        <v>3668</v>
      </c>
      <c r="E743" s="0" t="s">
        <v>3750</v>
      </c>
      <c r="F743" s="0" t="str">
        <f aca="false">CONCATENATE(D743," ",LEFT(H743,4),"T=",AU743,"D=",AV743,"R=",AW743,"M=",AX743,"L=",AY743,"B=",AZ743)</f>
        <v>REED T=1D=0R=0M=3L=5B=0</v>
      </c>
      <c r="G743" s="0" t="s">
        <v>802</v>
      </c>
      <c r="I743" s="0" t="s">
        <v>3751</v>
      </c>
      <c r="J743" s="0" t="s">
        <v>2761</v>
      </c>
      <c r="K743" s="0" t="s">
        <v>175</v>
      </c>
      <c r="L743" s="1" t="s">
        <v>155</v>
      </c>
      <c r="M743" s="0" t="s">
        <v>3748</v>
      </c>
      <c r="N743" s="0" t="str">
        <f aca="false">RIGHT(M743,LEN(M743)-FIND(" ",M743))</f>
        <v>DOUGLAS ST NW</v>
      </c>
      <c r="P743" s="0" t="s">
        <v>146</v>
      </c>
      <c r="Q743" s="0" t="s">
        <v>147</v>
      </c>
      <c r="R743" s="0" t="n">
        <v>44483</v>
      </c>
      <c r="AD743" s="0" t="s">
        <v>148</v>
      </c>
      <c r="AE743" s="0" t="s">
        <v>149</v>
      </c>
      <c r="AF743" s="0" t="s">
        <v>150</v>
      </c>
      <c r="AH743" s="0" t="n">
        <v>14</v>
      </c>
      <c r="AI743" s="0" t="n">
        <v>11</v>
      </c>
      <c r="AN743" s="0" t="s">
        <v>146</v>
      </c>
      <c r="AO743" s="0" t="s">
        <v>250</v>
      </c>
      <c r="AP743" s="0" t="s">
        <v>251</v>
      </c>
      <c r="AQ743" s="0" t="n">
        <v>9</v>
      </c>
      <c r="AR743" s="0" t="n">
        <v>64</v>
      </c>
      <c r="AS743" s="0" t="n">
        <v>32</v>
      </c>
      <c r="AU743" s="0" t="n">
        <f aca="false">COUNTA($BA$2092:$EH$2092)</f>
        <v>1</v>
      </c>
      <c r="AV743" s="0" t="n">
        <f aca="false">COUNTIF($BA$2092:$EH$2092,"D")</f>
        <v>0</v>
      </c>
      <c r="AW743" s="0" t="n">
        <f aca="false">COUNTIF($BA$2092:$EH$2092,"R")</f>
        <v>0</v>
      </c>
      <c r="AX743" s="0" t="n">
        <f aca="false"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>3</v>
      </c>
      <c r="AY743" s="0" t="n">
        <f aca="false">COUNTIF(DU743:EH743, "&lt;&gt;")</f>
        <v>5</v>
      </c>
      <c r="AZ743" s="0" t="n">
        <f aca="false">IF(EH743&lt;&gt;"",1,0)</f>
        <v>0</v>
      </c>
      <c r="BB743" s="0" t="s">
        <v>153</v>
      </c>
      <c r="CA743" s="0" t="s">
        <v>154</v>
      </c>
      <c r="CG743" s="0" t="s">
        <v>154</v>
      </c>
      <c r="CK743" s="0" t="s">
        <v>154</v>
      </c>
      <c r="CL743" s="0" t="s">
        <v>155</v>
      </c>
      <c r="CN743" s="0" t="s">
        <v>154</v>
      </c>
      <c r="CP743" s="0" t="s">
        <v>154</v>
      </c>
      <c r="CQ743" s="0" t="s">
        <v>155</v>
      </c>
      <c r="CT743" s="0" t="s">
        <v>154</v>
      </c>
      <c r="CU743" s="0" t="s">
        <v>155</v>
      </c>
      <c r="CV743" s="0" t="s">
        <v>154</v>
      </c>
      <c r="CZ743" s="0" t="s">
        <v>155</v>
      </c>
      <c r="DC743" s="0" t="s">
        <v>154</v>
      </c>
      <c r="DG743" s="0" t="s">
        <v>155</v>
      </c>
      <c r="DI743" s="0" t="s">
        <v>154</v>
      </c>
      <c r="DN743" s="0" t="s">
        <v>154</v>
      </c>
      <c r="DR743" s="0" t="s">
        <v>154</v>
      </c>
      <c r="DS743" s="0" t="s">
        <v>155</v>
      </c>
      <c r="DU743" s="0" t="s">
        <v>154</v>
      </c>
      <c r="DW743" s="0" t="s">
        <v>155</v>
      </c>
      <c r="DX743" s="0" t="s">
        <v>154</v>
      </c>
      <c r="EA743" s="0" t="s">
        <v>154</v>
      </c>
      <c r="ED743" s="0" t="s">
        <v>155</v>
      </c>
    </row>
    <row r="744" customFormat="false" ht="13.8" hidden="true" customHeight="false" outlineLevel="0" collapsed="false">
      <c r="A744" s="0" t="s">
        <v>3752</v>
      </c>
      <c r="B744" s="0" t="n">
        <v>78</v>
      </c>
      <c r="C744" s="0" t="n">
        <v>470593</v>
      </c>
      <c r="D744" s="0" t="s">
        <v>3753</v>
      </c>
      <c r="E744" s="0" t="s">
        <v>1893</v>
      </c>
      <c r="F744" s="0" t="str">
        <f aca="false">CONCATENATE(D744," ",LEFT(H744,4),"T=",AU744,"D=",AV744,"R=",AW744,"M=",AX744,"L=",AY744,"B=",AZ744)</f>
        <v>FLEMING T=11D=4R=0M=0L=1B=0</v>
      </c>
      <c r="G744" s="0" t="s">
        <v>750</v>
      </c>
      <c r="I744" s="0" t="s">
        <v>3754</v>
      </c>
      <c r="J744" s="0" t="s">
        <v>3755</v>
      </c>
      <c r="K744" s="0" t="s">
        <v>175</v>
      </c>
      <c r="L744" s="0"/>
      <c r="M744" s="0" t="s">
        <v>3756</v>
      </c>
      <c r="N744" s="0" t="str">
        <f aca="false">RIGHT(M744,LEN(M744)-FIND(" ",M744))</f>
        <v>DOUGLAS ST NW</v>
      </c>
      <c r="P744" s="0" t="s">
        <v>146</v>
      </c>
      <c r="Q744" s="0" t="s">
        <v>147</v>
      </c>
      <c r="R744" s="0" t="n">
        <v>44483</v>
      </c>
      <c r="AD744" s="0" t="s">
        <v>148</v>
      </c>
      <c r="AE744" s="0" t="s">
        <v>149</v>
      </c>
      <c r="AF744" s="0" t="s">
        <v>150</v>
      </c>
      <c r="AH744" s="0" t="n">
        <v>14</v>
      </c>
      <c r="AI744" s="0" t="n">
        <v>11</v>
      </c>
      <c r="AN744" s="0" t="s">
        <v>146</v>
      </c>
      <c r="AO744" s="0" t="s">
        <v>250</v>
      </c>
      <c r="AP744" s="0" t="s">
        <v>251</v>
      </c>
      <c r="AQ744" s="0" t="n">
        <v>9</v>
      </c>
      <c r="AR744" s="0" t="n">
        <v>64</v>
      </c>
      <c r="AS744" s="0" t="n">
        <v>32</v>
      </c>
      <c r="AU744" s="0" t="n">
        <f aca="false">COUNTA($BA$2066:$EH$2066)</f>
        <v>11</v>
      </c>
      <c r="AV744" s="0" t="n">
        <f aca="false">COUNTIF($BA$2066:$EH$2066,"D")</f>
        <v>4</v>
      </c>
      <c r="AW744" s="0" t="n">
        <f aca="false">COUNTIF($BA$2066:$EH$2066,"R")</f>
        <v>0</v>
      </c>
      <c r="AX744" s="0" t="n">
        <f aca="false"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>0</v>
      </c>
      <c r="AY744" s="0" t="n">
        <f aca="false">COUNTIF(DU744:EH744, "&lt;&gt;")</f>
        <v>1</v>
      </c>
      <c r="AZ744" s="0" t="n">
        <f aca="false">IF(EH744&lt;&gt;"",1,0)</f>
        <v>0</v>
      </c>
      <c r="BB744" s="0" t="s">
        <v>153</v>
      </c>
      <c r="EF744" s="0" t="s">
        <v>154</v>
      </c>
    </row>
    <row r="745" customFormat="false" ht="13.8" hidden="true" customHeight="false" outlineLevel="0" collapsed="false">
      <c r="A745" s="0" t="s">
        <v>3757</v>
      </c>
      <c r="B745" s="0" t="n">
        <v>78</v>
      </c>
      <c r="C745" s="0" t="n">
        <v>443924</v>
      </c>
      <c r="D745" s="0" t="s">
        <v>3758</v>
      </c>
      <c r="E745" s="0" t="s">
        <v>3759</v>
      </c>
      <c r="F745" s="0" t="str">
        <f aca="false">CONCATENATE(D745," ",LEFT(H745,4),"T=",AU745,"D=",AV745,"R=",AW745,"M=",AX745,"L=",AY745,"B=",AZ745)</f>
        <v>HARBIN T=33D=11R=0M=0L=0B=0</v>
      </c>
      <c r="G745" s="0" t="s">
        <v>3760</v>
      </c>
      <c r="I745" s="0" t="s">
        <v>3761</v>
      </c>
      <c r="J745" s="0" t="s">
        <v>3762</v>
      </c>
      <c r="K745" s="0" t="s">
        <v>144</v>
      </c>
      <c r="L745" s="0"/>
      <c r="M745" s="0" t="s">
        <v>3763</v>
      </c>
      <c r="N745" s="0" t="str">
        <f aca="false">RIGHT(M745,LEN(M745)-FIND(" ",M745))</f>
        <v>DOUGLAS ST NW</v>
      </c>
      <c r="P745" s="0" t="s">
        <v>146</v>
      </c>
      <c r="Q745" s="0" t="s">
        <v>147</v>
      </c>
      <c r="R745" s="0" t="n">
        <v>44483</v>
      </c>
      <c r="AD745" s="0" t="s">
        <v>148</v>
      </c>
      <c r="AE745" s="0" t="s">
        <v>149</v>
      </c>
      <c r="AF745" s="0" t="s">
        <v>150</v>
      </c>
      <c r="AH745" s="0" t="n">
        <v>14</v>
      </c>
      <c r="AI745" s="0" t="n">
        <v>11</v>
      </c>
      <c r="AN745" s="0" t="s">
        <v>146</v>
      </c>
      <c r="AO745" s="0" t="s">
        <v>250</v>
      </c>
      <c r="AP745" s="0" t="s">
        <v>251</v>
      </c>
      <c r="AQ745" s="0" t="n">
        <v>9</v>
      </c>
      <c r="AR745" s="0" t="n">
        <v>64</v>
      </c>
      <c r="AS745" s="0" t="n">
        <v>32</v>
      </c>
      <c r="AU745" s="0" t="n">
        <f aca="false">COUNTA($BA$2103:$EH$2103)</f>
        <v>33</v>
      </c>
      <c r="AV745" s="0" t="n">
        <f aca="false">COUNTIF($BA$2103:$EH$2103,"D")</f>
        <v>11</v>
      </c>
      <c r="AW745" s="0" t="n">
        <f aca="false">COUNTIF($BA$2103:$EH$2103,"R")</f>
        <v>0</v>
      </c>
      <c r="AX745" s="0" t="n">
        <f aca="false"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>0</v>
      </c>
      <c r="AY745" s="0" t="n">
        <f aca="false">COUNTIF(DU745:EH745, "&lt;&gt;")</f>
        <v>0</v>
      </c>
      <c r="AZ745" s="0" t="n">
        <f aca="false">IF(EH745&lt;&gt;"",1,0)</f>
        <v>0</v>
      </c>
      <c r="BB745" s="0" t="s">
        <v>153</v>
      </c>
      <c r="DN745" s="0" t="s">
        <v>154</v>
      </c>
    </row>
    <row r="746" customFormat="false" ht="13.8" hidden="true" customHeight="false" outlineLevel="0" collapsed="false">
      <c r="A746" s="0" t="s">
        <v>3764</v>
      </c>
      <c r="B746" s="0" t="n">
        <v>78</v>
      </c>
      <c r="C746" s="0" t="n">
        <v>484522</v>
      </c>
      <c r="D746" s="0" t="s">
        <v>3765</v>
      </c>
      <c r="E746" s="0" t="s">
        <v>429</v>
      </c>
      <c r="F746" s="0" t="str">
        <f aca="false">CONCATENATE(D746," ",LEFT(H746,4),"T=",AU746,"D=",AV746,"R=",AW746,"M=",AX746,"L=",AY746,"B=",AZ746)</f>
        <v>MURRY T=1D=0R=0M=0L=1B=0</v>
      </c>
      <c r="I746" s="0" t="s">
        <v>3766</v>
      </c>
      <c r="J746" s="0" t="s">
        <v>3767</v>
      </c>
      <c r="K746" s="0" t="s">
        <v>175</v>
      </c>
      <c r="L746" s="0"/>
      <c r="M746" s="0" t="s">
        <v>3763</v>
      </c>
      <c r="N746" s="0" t="str">
        <f aca="false">RIGHT(M746,LEN(M746)-FIND(" ",M746))</f>
        <v>DOUGLAS ST NW</v>
      </c>
      <c r="P746" s="0" t="s">
        <v>146</v>
      </c>
      <c r="Q746" s="0" t="s">
        <v>147</v>
      </c>
      <c r="R746" s="0" t="n">
        <v>44483</v>
      </c>
      <c r="S746" s="0" t="n">
        <v>3215</v>
      </c>
      <c r="AD746" s="0" t="s">
        <v>148</v>
      </c>
      <c r="AE746" s="0" t="s">
        <v>149</v>
      </c>
      <c r="AF746" s="0" t="s">
        <v>150</v>
      </c>
      <c r="AH746" s="0" t="n">
        <v>14</v>
      </c>
      <c r="AI746" s="0" t="n">
        <v>11</v>
      </c>
      <c r="AN746" s="0" t="s">
        <v>146</v>
      </c>
      <c r="AO746" s="0" t="s">
        <v>250</v>
      </c>
      <c r="AP746" s="0" t="s">
        <v>251</v>
      </c>
      <c r="AQ746" s="0" t="n">
        <v>9</v>
      </c>
      <c r="AR746" s="0" t="n">
        <v>64</v>
      </c>
      <c r="AS746" s="0" t="n">
        <v>32</v>
      </c>
      <c r="AU746" s="0" t="n">
        <f aca="false">COUNTA($BA$2401:$EH$2401)</f>
        <v>1</v>
      </c>
      <c r="AV746" s="0" t="n">
        <f aca="false">COUNTIF($BA$2401:$EH$2401,"D")</f>
        <v>0</v>
      </c>
      <c r="AW746" s="0" t="n">
        <f aca="false">COUNTIF($BA$2401:$EH$2401,"R")</f>
        <v>0</v>
      </c>
      <c r="AX746" s="0" t="n">
        <f aca="false"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>0</v>
      </c>
      <c r="AY746" s="0" t="n">
        <f aca="false">COUNTIF(DU746:EH746, "&lt;&gt;")</f>
        <v>1</v>
      </c>
      <c r="AZ746" s="0" t="n">
        <f aca="false">IF(EH746&lt;&gt;"",1,0)</f>
        <v>0</v>
      </c>
      <c r="BB746" s="0" t="s">
        <v>153</v>
      </c>
      <c r="EF746" s="0" t="s">
        <v>154</v>
      </c>
    </row>
    <row r="747" customFormat="false" ht="13.8" hidden="false" customHeight="false" outlineLevel="0" collapsed="false">
      <c r="A747" s="0" t="s">
        <v>3768</v>
      </c>
      <c r="B747" s="0" t="n">
        <v>78</v>
      </c>
      <c r="C747" s="0" t="n">
        <v>379407</v>
      </c>
      <c r="D747" s="0" t="s">
        <v>3769</v>
      </c>
      <c r="E747" s="0" t="s">
        <v>3770</v>
      </c>
      <c r="F747" s="0" t="str">
        <f aca="false">CONCATENATE(D747," ",LEFT(H747,4),"T=",AU747,"D=",AV747,"R=",AW747,"M=",AX747,"L=",AY747,"B=",AZ747)</f>
        <v>HARSCH T=31D=2R=4M=1L=4B=0</v>
      </c>
      <c r="G747" s="0" t="s">
        <v>159</v>
      </c>
      <c r="I747" s="0" t="s">
        <v>3771</v>
      </c>
      <c r="J747" s="0" t="s">
        <v>3772</v>
      </c>
      <c r="K747" s="0" t="s">
        <v>175</v>
      </c>
      <c r="L747" s="1" t="s">
        <v>155</v>
      </c>
      <c r="M747" s="0" t="s">
        <v>3773</v>
      </c>
      <c r="N747" s="0" t="str">
        <f aca="false">RIGHT(M747,LEN(M747)-FIND(" ",M747))</f>
        <v>DOUGLAS ST NW</v>
      </c>
      <c r="P747" s="0" t="s">
        <v>146</v>
      </c>
      <c r="Q747" s="0" t="s">
        <v>147</v>
      </c>
      <c r="R747" s="0" t="n">
        <v>44483</v>
      </c>
      <c r="AD747" s="0" t="s">
        <v>148</v>
      </c>
      <c r="AE747" s="0" t="s">
        <v>149</v>
      </c>
      <c r="AF747" s="0" t="s">
        <v>150</v>
      </c>
      <c r="AH747" s="0" t="n">
        <v>14</v>
      </c>
      <c r="AI747" s="0" t="n">
        <v>11</v>
      </c>
      <c r="AN747" s="0" t="s">
        <v>146</v>
      </c>
      <c r="AO747" s="0" t="s">
        <v>250</v>
      </c>
      <c r="AP747" s="0" t="s">
        <v>251</v>
      </c>
      <c r="AQ747" s="0" t="n">
        <v>9</v>
      </c>
      <c r="AR747" s="0" t="n">
        <v>64</v>
      </c>
      <c r="AS747" s="0" t="n">
        <v>32</v>
      </c>
      <c r="AU747" s="0" t="n">
        <f aca="false">COUNTA($BA$2228:$EH$2228)</f>
        <v>31</v>
      </c>
      <c r="AV747" s="0" t="n">
        <f aca="false">COUNTIF($BA$2228:$EH$2228,"D")</f>
        <v>2</v>
      </c>
      <c r="AW747" s="0" t="n">
        <f aca="false">COUNTIF($BA$2228:$EH$2228,"R")</f>
        <v>4</v>
      </c>
      <c r="AX747" s="0" t="n">
        <f aca="false"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>1</v>
      </c>
      <c r="AY747" s="0" t="n">
        <f aca="false">COUNTIF(DU747:EH747, "&lt;&gt;")</f>
        <v>4</v>
      </c>
      <c r="AZ747" s="0" t="n">
        <f aca="false">IF(EH747&lt;&gt;"",1,0)</f>
        <v>0</v>
      </c>
      <c r="BB747" s="0" t="s">
        <v>153</v>
      </c>
      <c r="CZ747" s="0" t="s">
        <v>155</v>
      </c>
      <c r="DC747" s="0" t="s">
        <v>154</v>
      </c>
      <c r="DI747" s="0" t="s">
        <v>154</v>
      </c>
      <c r="DN747" s="0" t="s">
        <v>154</v>
      </c>
      <c r="DU747" s="0" t="s">
        <v>154</v>
      </c>
      <c r="DW747" s="0" t="s">
        <v>155</v>
      </c>
      <c r="EA747" s="0" t="s">
        <v>154</v>
      </c>
      <c r="EF747" s="0" t="s">
        <v>154</v>
      </c>
    </row>
    <row r="748" customFormat="false" ht="13.8" hidden="false" customHeight="false" outlineLevel="0" collapsed="false">
      <c r="A748" s="0" t="s">
        <v>3774</v>
      </c>
      <c r="B748" s="0" t="n">
        <v>78</v>
      </c>
      <c r="C748" s="0" t="n">
        <v>299085</v>
      </c>
      <c r="D748" s="0" t="s">
        <v>931</v>
      </c>
      <c r="E748" s="0" t="s">
        <v>3775</v>
      </c>
      <c r="F748" s="0" t="str">
        <f aca="false">CONCATENATE(D748," ",LEFT(H748,4),"T=",AU748,"D=",AV748,"R=",AW748,"M=",AX748,"L=",AY748,"B=",AZ748)</f>
        <v>BAKER T=44D=4R=8M=2L=5B=0</v>
      </c>
      <c r="G748" s="0" t="s">
        <v>297</v>
      </c>
      <c r="I748" s="0" t="s">
        <v>3776</v>
      </c>
      <c r="J748" s="0" t="s">
        <v>3585</v>
      </c>
      <c r="K748" s="0" t="s">
        <v>175</v>
      </c>
      <c r="L748" s="1" t="s">
        <v>155</v>
      </c>
      <c r="M748" s="0" t="s">
        <v>3777</v>
      </c>
      <c r="N748" s="0" t="str">
        <f aca="false">RIGHT(M748,LEN(M748)-FIND(" ",M748))</f>
        <v>DOUGLAS ST NW</v>
      </c>
      <c r="P748" s="0" t="s">
        <v>146</v>
      </c>
      <c r="Q748" s="0" t="s">
        <v>147</v>
      </c>
      <c r="R748" s="0" t="n">
        <v>44483</v>
      </c>
      <c r="AD748" s="0" t="s">
        <v>148</v>
      </c>
      <c r="AE748" s="0" t="s">
        <v>149</v>
      </c>
      <c r="AF748" s="0" t="s">
        <v>150</v>
      </c>
      <c r="AH748" s="0" t="n">
        <v>14</v>
      </c>
      <c r="AI748" s="0" t="n">
        <v>11</v>
      </c>
      <c r="AN748" s="0" t="s">
        <v>146</v>
      </c>
      <c r="AO748" s="0" t="s">
        <v>250</v>
      </c>
      <c r="AP748" s="0" t="s">
        <v>251</v>
      </c>
      <c r="AQ748" s="0" t="n">
        <v>9</v>
      </c>
      <c r="AR748" s="0" t="n">
        <v>64</v>
      </c>
      <c r="AS748" s="0" t="n">
        <v>32</v>
      </c>
      <c r="AU748" s="0" t="n">
        <f aca="false">COUNTA($BA$2220:$EH$2220)</f>
        <v>44</v>
      </c>
      <c r="AV748" s="0" t="n">
        <f aca="false">COUNTIF($BA$2220:$EH$2220,"D")</f>
        <v>4</v>
      </c>
      <c r="AW748" s="0" t="n">
        <f aca="false">COUNTIF($BA$2220:$EH$2220,"R")</f>
        <v>8</v>
      </c>
      <c r="AX748" s="0" t="n">
        <f aca="false"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>2</v>
      </c>
      <c r="AY748" s="0" t="n">
        <f aca="false">COUNTIF(DU748:EH748, "&lt;&gt;")</f>
        <v>5</v>
      </c>
      <c r="AZ748" s="0" t="n">
        <f aca="false">IF(EH748&lt;&gt;"",1,0)</f>
        <v>0</v>
      </c>
      <c r="BB748" s="0" t="s">
        <v>153</v>
      </c>
      <c r="BD748" s="0" t="s">
        <v>154</v>
      </c>
      <c r="BJ748" s="0" t="s">
        <v>154</v>
      </c>
      <c r="BL748" s="0" t="s">
        <v>154</v>
      </c>
      <c r="BR748" s="0" t="s">
        <v>154</v>
      </c>
      <c r="BS748" s="0" t="s">
        <v>154</v>
      </c>
      <c r="BY748" s="0" t="s">
        <v>155</v>
      </c>
      <c r="CA748" s="0" t="s">
        <v>154</v>
      </c>
      <c r="CK748" s="0" t="s">
        <v>154</v>
      </c>
      <c r="CN748" s="0" t="s">
        <v>154</v>
      </c>
      <c r="CP748" s="0" t="s">
        <v>154</v>
      </c>
      <c r="CU748" s="0" t="s">
        <v>155</v>
      </c>
      <c r="CV748" s="0" t="s">
        <v>154</v>
      </c>
      <c r="CY748" s="0" t="s">
        <v>154</v>
      </c>
      <c r="CZ748" s="0" t="s">
        <v>155</v>
      </c>
      <c r="DC748" s="0" t="s">
        <v>154</v>
      </c>
      <c r="DD748" s="0" t="s">
        <v>155</v>
      </c>
      <c r="DF748" s="0" t="s">
        <v>154</v>
      </c>
      <c r="DG748" s="0" t="s">
        <v>155</v>
      </c>
      <c r="DI748" s="0" t="s">
        <v>154</v>
      </c>
      <c r="DJ748" s="0" t="s">
        <v>155</v>
      </c>
      <c r="DL748" s="0" t="s">
        <v>154</v>
      </c>
      <c r="DM748" s="0" t="s">
        <v>155</v>
      </c>
      <c r="DN748" s="0" t="s">
        <v>154</v>
      </c>
      <c r="DS748" s="0" t="s">
        <v>155</v>
      </c>
      <c r="DU748" s="0" t="s">
        <v>154</v>
      </c>
      <c r="DX748" s="0" t="s">
        <v>154</v>
      </c>
      <c r="EA748" s="0" t="s">
        <v>154</v>
      </c>
      <c r="ED748" s="0" t="s">
        <v>155</v>
      </c>
      <c r="EF748" s="0" t="s">
        <v>154</v>
      </c>
    </row>
    <row r="749" customFormat="false" ht="13.8" hidden="true" customHeight="false" outlineLevel="0" collapsed="false">
      <c r="A749" s="0" t="s">
        <v>3778</v>
      </c>
      <c r="B749" s="0" t="n">
        <v>78</v>
      </c>
      <c r="C749" s="0" t="n">
        <v>378994</v>
      </c>
      <c r="D749" s="0" t="s">
        <v>3779</v>
      </c>
      <c r="E749" s="0" t="s">
        <v>3780</v>
      </c>
      <c r="F749" s="0" t="str">
        <f aca="false">CONCATENATE(D749," ",LEFT(H749,4),"T=",AU749,"D=",AV749,"R=",AW749,"M=",AX749,"L=",AY749,"B=",AZ749)</f>
        <v>SEGURA JRT=9D=1R=0M=0L=0B=0</v>
      </c>
      <c r="H749" s="0" t="s">
        <v>431</v>
      </c>
      <c r="I749" s="0" t="s">
        <v>3781</v>
      </c>
      <c r="J749" s="0" t="s">
        <v>3782</v>
      </c>
      <c r="K749" s="0" t="s">
        <v>144</v>
      </c>
      <c r="L749" s="0"/>
      <c r="M749" s="0" t="s">
        <v>3783</v>
      </c>
      <c r="N749" s="0" t="str">
        <f aca="false">RIGHT(M749,LEN(M749)-FIND(" ",M749))</f>
        <v>DOUGLAS ST NW</v>
      </c>
      <c r="P749" s="0" t="s">
        <v>146</v>
      </c>
      <c r="Q749" s="0" t="s">
        <v>147</v>
      </c>
      <c r="R749" s="0" t="n">
        <v>44483</v>
      </c>
      <c r="AD749" s="0" t="s">
        <v>148</v>
      </c>
      <c r="AE749" s="0" t="s">
        <v>149</v>
      </c>
      <c r="AF749" s="0" t="s">
        <v>150</v>
      </c>
      <c r="AH749" s="0" t="n">
        <v>14</v>
      </c>
      <c r="AI749" s="0" t="n">
        <v>11</v>
      </c>
      <c r="AN749" s="0" t="s">
        <v>146</v>
      </c>
      <c r="AO749" s="0" t="s">
        <v>250</v>
      </c>
      <c r="AP749" s="0" t="s">
        <v>251</v>
      </c>
      <c r="AQ749" s="0" t="n">
        <v>9</v>
      </c>
      <c r="AR749" s="0" t="n">
        <v>64</v>
      </c>
      <c r="AS749" s="0" t="n">
        <v>32</v>
      </c>
      <c r="AU749" s="0" t="n">
        <f aca="false">COUNTA($BA$2798:$EH$2798)</f>
        <v>9</v>
      </c>
      <c r="AV749" s="0" t="n">
        <f aca="false">COUNTIF($BA$2798:$EH$2798,"D")</f>
        <v>1</v>
      </c>
      <c r="AW749" s="0" t="n">
        <f aca="false">COUNTIF($BA$2798:$EH$2798,"R")</f>
        <v>0</v>
      </c>
      <c r="AX749" s="0" t="n">
        <f aca="false"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>0</v>
      </c>
      <c r="AY749" s="0" t="n">
        <f aca="false">COUNTIF(DU749:EH749, "&lt;&gt;")</f>
        <v>0</v>
      </c>
      <c r="AZ749" s="0" t="n">
        <f aca="false">IF(EH749&lt;&gt;"",1,0)</f>
        <v>0</v>
      </c>
      <c r="BB749" s="0" t="s">
        <v>153</v>
      </c>
    </row>
    <row r="750" customFormat="false" ht="13.8" hidden="false" customHeight="false" outlineLevel="0" collapsed="false">
      <c r="A750" s="0" t="s">
        <v>3784</v>
      </c>
      <c r="B750" s="0" t="n">
        <v>78</v>
      </c>
      <c r="C750" s="0" t="n">
        <v>7038</v>
      </c>
      <c r="D750" s="0" t="s">
        <v>3785</v>
      </c>
      <c r="E750" s="0" t="s">
        <v>2374</v>
      </c>
      <c r="F750" s="0" t="str">
        <f aca="false">CONCATENATE(D750," ",LEFT(H750,4),"T=",AU750,"D=",AV750,"R=",AW750,"M=",AX750,"L=",AY750,"B=",AZ750)</f>
        <v>STINER T=10D=3R=0M=6L=4B=0</v>
      </c>
      <c r="G750" s="0" t="s">
        <v>176</v>
      </c>
      <c r="I750" s="0" t="s">
        <v>3786</v>
      </c>
      <c r="J750" s="0" t="s">
        <v>3787</v>
      </c>
      <c r="K750" s="0" t="s">
        <v>175</v>
      </c>
      <c r="L750" s="1" t="s">
        <v>155</v>
      </c>
      <c r="M750" s="0" t="s">
        <v>3788</v>
      </c>
      <c r="N750" s="0" t="str">
        <f aca="false">RIGHT(M750,LEN(M750)-FIND(" ",M750))</f>
        <v>DOUGLAS ST NW</v>
      </c>
      <c r="P750" s="0" t="s">
        <v>146</v>
      </c>
      <c r="Q750" s="0" t="s">
        <v>147</v>
      </c>
      <c r="R750" s="0" t="n">
        <v>44483</v>
      </c>
      <c r="AD750" s="0" t="s">
        <v>148</v>
      </c>
      <c r="AE750" s="0" t="s">
        <v>149</v>
      </c>
      <c r="AF750" s="0" t="s">
        <v>150</v>
      </c>
      <c r="AH750" s="0" t="n">
        <v>14</v>
      </c>
      <c r="AI750" s="0" t="n">
        <v>11</v>
      </c>
      <c r="AN750" s="0" t="s">
        <v>146</v>
      </c>
      <c r="AO750" s="0" t="s">
        <v>250</v>
      </c>
      <c r="AP750" s="0" t="s">
        <v>251</v>
      </c>
      <c r="AQ750" s="0" t="n">
        <v>9</v>
      </c>
      <c r="AR750" s="0" t="n">
        <v>64</v>
      </c>
      <c r="AS750" s="0" t="n">
        <v>32</v>
      </c>
      <c r="AU750" s="0" t="n">
        <f aca="false">COUNTA($BA$2090:$EH$2090)</f>
        <v>10</v>
      </c>
      <c r="AV750" s="0" t="n">
        <f aca="false">COUNTIF($BA$2090:$EH$2090,"D")</f>
        <v>3</v>
      </c>
      <c r="AW750" s="0" t="n">
        <f aca="false">COUNTIF($BA$2090:$EH$2090,"R")</f>
        <v>0</v>
      </c>
      <c r="AX750" s="0" t="n">
        <f aca="false"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>6</v>
      </c>
      <c r="AY750" s="0" t="n">
        <f aca="false">COUNTIF(DU750:EH750, "&lt;&gt;")</f>
        <v>4</v>
      </c>
      <c r="AZ750" s="0" t="n">
        <f aca="false">IF(EH750&lt;&gt;"",1,0)</f>
        <v>0</v>
      </c>
      <c r="BB750" s="0" t="s">
        <v>153</v>
      </c>
      <c r="BC750" s="0" t="s">
        <v>154</v>
      </c>
      <c r="BD750" s="0" t="s">
        <v>154</v>
      </c>
      <c r="BE750" s="0" t="s">
        <v>154</v>
      </c>
      <c r="BF750" s="0" t="s">
        <v>154</v>
      </c>
      <c r="BG750" s="0" t="s">
        <v>154</v>
      </c>
      <c r="BI750" s="0" t="s">
        <v>154</v>
      </c>
      <c r="BJ750" s="0" t="s">
        <v>154</v>
      </c>
      <c r="BK750" s="0" t="s">
        <v>154</v>
      </c>
      <c r="BL750" s="0" t="s">
        <v>154</v>
      </c>
      <c r="BP750" s="0" t="s">
        <v>154</v>
      </c>
      <c r="BR750" s="0" t="s">
        <v>154</v>
      </c>
      <c r="BV750" s="0" t="s">
        <v>154</v>
      </c>
      <c r="BY750" s="0" t="s">
        <v>155</v>
      </c>
      <c r="CA750" s="0" t="s">
        <v>154</v>
      </c>
      <c r="CG750" s="0" t="s">
        <v>154</v>
      </c>
      <c r="CH750" s="0" t="s">
        <v>155</v>
      </c>
      <c r="CK750" s="0" t="s">
        <v>154</v>
      </c>
      <c r="CL750" s="0" t="s">
        <v>155</v>
      </c>
      <c r="CN750" s="0" t="s">
        <v>154</v>
      </c>
      <c r="CO750" s="0" t="s">
        <v>155</v>
      </c>
      <c r="CP750" s="0" t="s">
        <v>154</v>
      </c>
      <c r="CQ750" s="0" t="s">
        <v>155</v>
      </c>
      <c r="CU750" s="0" t="s">
        <v>176</v>
      </c>
      <c r="CV750" s="0" t="s">
        <v>154</v>
      </c>
      <c r="CW750" s="0" t="s">
        <v>155</v>
      </c>
      <c r="CY750" s="0" t="s">
        <v>154</v>
      </c>
      <c r="CZ750" s="0" t="s">
        <v>176</v>
      </c>
      <c r="DC750" s="0" t="s">
        <v>154</v>
      </c>
      <c r="DD750" s="0" t="s">
        <v>155</v>
      </c>
      <c r="DF750" s="0" t="s">
        <v>154</v>
      </c>
      <c r="DG750" s="0" t="s">
        <v>176</v>
      </c>
      <c r="DI750" s="0" t="s">
        <v>154</v>
      </c>
      <c r="DJ750" s="0" t="s">
        <v>155</v>
      </c>
      <c r="DL750" s="0" t="s">
        <v>154</v>
      </c>
      <c r="DN750" s="0" t="s">
        <v>154</v>
      </c>
      <c r="DO750" s="0" t="s">
        <v>155</v>
      </c>
      <c r="DR750" s="0" t="s">
        <v>154</v>
      </c>
      <c r="DT750" s="0" t="s">
        <v>155</v>
      </c>
      <c r="DU750" s="0" t="s">
        <v>154</v>
      </c>
      <c r="DX750" s="0" t="s">
        <v>154</v>
      </c>
      <c r="EA750" s="0" t="s">
        <v>154</v>
      </c>
      <c r="EF750" s="0" t="s">
        <v>154</v>
      </c>
    </row>
    <row r="751" customFormat="false" ht="13.8" hidden="true" customHeight="false" outlineLevel="0" collapsed="false">
      <c r="A751" s="0" t="s">
        <v>3789</v>
      </c>
      <c r="B751" s="0" t="n">
        <v>78</v>
      </c>
      <c r="C751" s="0" t="n">
        <v>384677</v>
      </c>
      <c r="D751" s="0" t="s">
        <v>1420</v>
      </c>
      <c r="E751" s="0" t="s">
        <v>2367</v>
      </c>
      <c r="F751" s="0" t="str">
        <f aca="false">CONCATENATE(D751," ",LEFT(H751,4),"T=",AU751,"D=",AV751,"R=",AW751,"M=",AX751,"L=",AY751,"B=",AZ751)</f>
        <v>BRYANT T=1D=0R=0M=0L=0B=0</v>
      </c>
      <c r="G751" s="0" t="s">
        <v>2478</v>
      </c>
      <c r="I751" s="0" t="s">
        <v>3790</v>
      </c>
      <c r="J751" s="0" t="s">
        <v>3791</v>
      </c>
      <c r="K751" s="0" t="s">
        <v>144</v>
      </c>
      <c r="L751" s="0"/>
      <c r="M751" s="0" t="s">
        <v>3792</v>
      </c>
      <c r="N751" s="0" t="str">
        <f aca="false">RIGHT(M751,LEN(M751)-FIND(" ",M751))</f>
        <v>DOUGLAS ST NW</v>
      </c>
      <c r="P751" s="0" t="s">
        <v>146</v>
      </c>
      <c r="Q751" s="0" t="s">
        <v>147</v>
      </c>
      <c r="R751" s="0" t="n">
        <v>44483</v>
      </c>
      <c r="AD751" s="0" t="s">
        <v>148</v>
      </c>
      <c r="AE751" s="0" t="s">
        <v>149</v>
      </c>
      <c r="AF751" s="0" t="s">
        <v>150</v>
      </c>
      <c r="AH751" s="0" t="n">
        <v>14</v>
      </c>
      <c r="AI751" s="0" t="n">
        <v>11</v>
      </c>
      <c r="AN751" s="0" t="s">
        <v>146</v>
      </c>
      <c r="AO751" s="0" t="s">
        <v>250</v>
      </c>
      <c r="AP751" s="0" t="s">
        <v>251</v>
      </c>
      <c r="AQ751" s="0" t="n">
        <v>9</v>
      </c>
      <c r="AR751" s="0" t="n">
        <v>64</v>
      </c>
      <c r="AS751" s="0" t="n">
        <v>32</v>
      </c>
      <c r="AU751" s="0" t="n">
        <f aca="false">COUNTA($BA$2415:$EH$2415)</f>
        <v>1</v>
      </c>
      <c r="AV751" s="0" t="n">
        <f aca="false">COUNTIF($BA$2415:$EH$2415,"D")</f>
        <v>0</v>
      </c>
      <c r="AW751" s="0" t="n">
        <f aca="false">COUNTIF($BA$2415:$EH$2415,"R")</f>
        <v>0</v>
      </c>
      <c r="AX751" s="0" t="n">
        <f aca="false"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>0</v>
      </c>
      <c r="AY751" s="0" t="n">
        <f aca="false">COUNTIF(DU751:EH751, "&lt;&gt;")</f>
        <v>0</v>
      </c>
      <c r="AZ751" s="0" t="n">
        <f aca="false">IF(EH751&lt;&gt;"",1,0)</f>
        <v>0</v>
      </c>
      <c r="BB751" s="0" t="s">
        <v>153</v>
      </c>
      <c r="CP751" s="0" t="s">
        <v>154</v>
      </c>
      <c r="DI751" s="0" t="s">
        <v>154</v>
      </c>
    </row>
    <row r="752" customFormat="false" ht="13.8" hidden="true" customHeight="false" outlineLevel="0" collapsed="false">
      <c r="A752" s="0" t="s">
        <v>3793</v>
      </c>
      <c r="B752" s="0" t="n">
        <v>78</v>
      </c>
      <c r="C752" s="0" t="n">
        <v>411307</v>
      </c>
      <c r="D752" s="0" t="s">
        <v>645</v>
      </c>
      <c r="E752" s="0" t="s">
        <v>3794</v>
      </c>
      <c r="F752" s="0" t="str">
        <f aca="false">CONCATENATE(D752," ",LEFT(H752,4),"T=",AU752,"D=",AV752,"R=",AW752,"M=",AX752,"L=",AY752,"B=",AZ752)</f>
        <v>WILLIAMS T=8D=0R=0M=0L=0B=0</v>
      </c>
      <c r="G752" s="0" t="s">
        <v>3795</v>
      </c>
      <c r="I752" s="0" t="s">
        <v>3796</v>
      </c>
      <c r="J752" s="0" t="s">
        <v>3797</v>
      </c>
      <c r="K752" s="0" t="s">
        <v>144</v>
      </c>
      <c r="L752" s="0"/>
      <c r="M752" s="0" t="s">
        <v>3798</v>
      </c>
      <c r="N752" s="0" t="str">
        <f aca="false">RIGHT(M752,LEN(M752)-FIND(" ",M752))</f>
        <v>DOUGLAS ST NW</v>
      </c>
      <c r="P752" s="0" t="s">
        <v>146</v>
      </c>
      <c r="Q752" s="0" t="s">
        <v>147</v>
      </c>
      <c r="R752" s="0" t="n">
        <v>44483</v>
      </c>
      <c r="AD752" s="0" t="s">
        <v>148</v>
      </c>
      <c r="AE752" s="0" t="s">
        <v>149</v>
      </c>
      <c r="AF752" s="0" t="s">
        <v>150</v>
      </c>
      <c r="AH752" s="0" t="n">
        <v>14</v>
      </c>
      <c r="AI752" s="0" t="n">
        <v>11</v>
      </c>
      <c r="AN752" s="0" t="s">
        <v>146</v>
      </c>
      <c r="AO752" s="0" t="s">
        <v>250</v>
      </c>
      <c r="AP752" s="0" t="s">
        <v>251</v>
      </c>
      <c r="AQ752" s="0" t="n">
        <v>9</v>
      </c>
      <c r="AR752" s="0" t="n">
        <v>64</v>
      </c>
      <c r="AS752" s="0" t="n">
        <v>32</v>
      </c>
      <c r="AU752" s="0" t="n">
        <f aca="false">COUNTA($BA$2556:$EH$2556)</f>
        <v>8</v>
      </c>
      <c r="AV752" s="0" t="n">
        <f aca="false">COUNTIF($BA$2556:$EH$2556,"D")</f>
        <v>0</v>
      </c>
      <c r="AW752" s="0" t="n">
        <f aca="false">COUNTIF($BA$2556:$EH$2556,"R")</f>
        <v>0</v>
      </c>
      <c r="AX752" s="0" t="n">
        <f aca="false"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>0</v>
      </c>
      <c r="AY752" s="0" t="n">
        <f aca="false">COUNTIF(DU752:EH752, "&lt;&gt;")</f>
        <v>0</v>
      </c>
      <c r="AZ752" s="0" t="n">
        <f aca="false">IF(EH752&lt;&gt;"",1,0)</f>
        <v>0</v>
      </c>
      <c r="BB752" s="0" t="s">
        <v>153</v>
      </c>
      <c r="DC752" s="0" t="s">
        <v>154</v>
      </c>
    </row>
    <row r="753" customFormat="false" ht="13.8" hidden="true" customHeight="false" outlineLevel="0" collapsed="false">
      <c r="A753" s="0" t="s">
        <v>3799</v>
      </c>
      <c r="B753" s="0" t="n">
        <v>78</v>
      </c>
      <c r="C753" s="0" t="n">
        <v>379403</v>
      </c>
      <c r="D753" s="0" t="s">
        <v>3800</v>
      </c>
      <c r="E753" s="0" t="s">
        <v>1131</v>
      </c>
      <c r="F753" s="0" t="str">
        <f aca="false">CONCATENATE(D753," ",LEFT(H753,4),"T=",AU753,"D=",AV753,"R=",AW753,"M=",AX753,"L=",AY753,"B=",AZ753)</f>
        <v>WESLEY T=1D=0R=0M=0L=0B=0</v>
      </c>
      <c r="G753" s="0" t="s">
        <v>172</v>
      </c>
      <c r="I753" s="0" t="s">
        <v>3801</v>
      </c>
      <c r="J753" s="0" t="s">
        <v>3802</v>
      </c>
      <c r="K753" s="0" t="s">
        <v>175</v>
      </c>
      <c r="L753" s="0"/>
      <c r="M753" s="0" t="s">
        <v>3803</v>
      </c>
      <c r="N753" s="0" t="str">
        <f aca="false">RIGHT(M753,LEN(M753)-FIND(" ",M753))</f>
        <v>DOUGLAS ST NW</v>
      </c>
      <c r="P753" s="0" t="s">
        <v>146</v>
      </c>
      <c r="Q753" s="0" t="s">
        <v>147</v>
      </c>
      <c r="R753" s="0" t="n">
        <v>44483</v>
      </c>
      <c r="AD753" s="0" t="s">
        <v>148</v>
      </c>
      <c r="AE753" s="0" t="s">
        <v>149</v>
      </c>
      <c r="AF753" s="0" t="s">
        <v>150</v>
      </c>
      <c r="AH753" s="0" t="n">
        <v>14</v>
      </c>
      <c r="AI753" s="0" t="n">
        <v>11</v>
      </c>
      <c r="AN753" s="0" t="s">
        <v>146</v>
      </c>
      <c r="AO753" s="0" t="s">
        <v>250</v>
      </c>
      <c r="AP753" s="0" t="s">
        <v>251</v>
      </c>
      <c r="AQ753" s="0" t="n">
        <v>9</v>
      </c>
      <c r="AR753" s="0" t="n">
        <v>64</v>
      </c>
      <c r="AS753" s="0" t="n">
        <v>32</v>
      </c>
      <c r="AU753" s="0" t="n">
        <f aca="false">COUNTA($BA$2424:$EH$2424)</f>
        <v>1</v>
      </c>
      <c r="AV753" s="0" t="n">
        <f aca="false">COUNTIF($BA$2424:$EH$2424,"D")</f>
        <v>0</v>
      </c>
      <c r="AW753" s="0" t="n">
        <f aca="false">COUNTIF($BA$2424:$EH$2424,"R")</f>
        <v>0</v>
      </c>
      <c r="AX753" s="0" t="n">
        <f aca="false"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>0</v>
      </c>
      <c r="AY753" s="0" t="n">
        <f aca="false">COUNTIF(DU753:EH753, "&lt;&gt;")</f>
        <v>0</v>
      </c>
      <c r="AZ753" s="0" t="n">
        <f aca="false">IF(EH753&lt;&gt;"",1,0)</f>
        <v>0</v>
      </c>
      <c r="BB753" s="0" t="s">
        <v>153</v>
      </c>
    </row>
    <row r="754" customFormat="false" ht="13.8" hidden="true" customHeight="false" outlineLevel="0" collapsed="false">
      <c r="A754" s="0" t="s">
        <v>3804</v>
      </c>
      <c r="B754" s="0" t="n">
        <v>78</v>
      </c>
      <c r="C754" s="0" t="n">
        <v>399857</v>
      </c>
      <c r="D754" s="0" t="s">
        <v>3805</v>
      </c>
      <c r="E754" s="0" t="s">
        <v>3806</v>
      </c>
      <c r="F754" s="0" t="str">
        <f aca="false">CONCATENATE(D754," ",LEFT(H754,4),"T=",AU754,"D=",AV754,"R=",AW754,"M=",AX754,"L=",AY754,"B=",AZ754)</f>
        <v>HOMEWOOD T=1D=0R=0M=0L=0B=0</v>
      </c>
      <c r="G754" s="0" t="s">
        <v>1482</v>
      </c>
      <c r="I754" s="0" t="s">
        <v>3807</v>
      </c>
      <c r="J754" s="0" t="s">
        <v>347</v>
      </c>
      <c r="K754" s="0" t="s">
        <v>144</v>
      </c>
      <c r="L754" s="0"/>
      <c r="M754" s="0" t="s">
        <v>3808</v>
      </c>
      <c r="N754" s="0" t="str">
        <f aca="false">RIGHT(M754,LEN(M754)-FIND(" ",M754))</f>
        <v>DOUGLAS ST NW</v>
      </c>
      <c r="P754" s="0" t="s">
        <v>146</v>
      </c>
      <c r="Q754" s="0" t="s">
        <v>147</v>
      </c>
      <c r="R754" s="0" t="n">
        <v>44483</v>
      </c>
      <c r="AD754" s="0" t="s">
        <v>148</v>
      </c>
      <c r="AE754" s="0" t="s">
        <v>149</v>
      </c>
      <c r="AF754" s="0" t="s">
        <v>150</v>
      </c>
      <c r="AH754" s="0" t="n">
        <v>14</v>
      </c>
      <c r="AI754" s="0" t="n">
        <v>11</v>
      </c>
      <c r="AN754" s="0" t="s">
        <v>146</v>
      </c>
      <c r="AO754" s="0" t="s">
        <v>250</v>
      </c>
      <c r="AP754" s="0" t="s">
        <v>251</v>
      </c>
      <c r="AQ754" s="0" t="n">
        <v>9</v>
      </c>
      <c r="AR754" s="0" t="n">
        <v>64</v>
      </c>
      <c r="AS754" s="0" t="n">
        <v>32</v>
      </c>
      <c r="AU754" s="0" t="n">
        <f aca="false">COUNTA($BA$2370:$EH$2370)</f>
        <v>1</v>
      </c>
      <c r="AV754" s="0" t="n">
        <f aca="false">COUNTIF($BA$2370:$EH$2370,"D")</f>
        <v>0</v>
      </c>
      <c r="AW754" s="0" t="n">
        <f aca="false">COUNTIF($BA$2370:$EH$2370,"R")</f>
        <v>0</v>
      </c>
      <c r="AX754" s="0" t="n">
        <f aca="false"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>0</v>
      </c>
      <c r="AY754" s="0" t="n">
        <f aca="false">COUNTIF(DU754:EH754, "&lt;&gt;")</f>
        <v>0</v>
      </c>
      <c r="AZ754" s="0" t="n">
        <f aca="false">IF(EH754&lt;&gt;"",1,0)</f>
        <v>0</v>
      </c>
      <c r="BB754" s="0" t="s">
        <v>153</v>
      </c>
    </row>
    <row r="755" customFormat="false" ht="13.8" hidden="true" customHeight="false" outlineLevel="0" collapsed="false">
      <c r="A755" s="0" t="s">
        <v>3809</v>
      </c>
      <c r="B755" s="0" t="n">
        <v>78</v>
      </c>
      <c r="C755" s="0" t="n">
        <v>394856</v>
      </c>
      <c r="D755" s="0" t="s">
        <v>429</v>
      </c>
      <c r="E755" s="0" t="s">
        <v>750</v>
      </c>
      <c r="F755" s="0" t="str">
        <f aca="false">CONCATENATE(D755," ",LEFT(H755,4),"T=",AU755,"D=",AV755,"R=",AW755,"M=",AX755,"L=",AY755,"B=",AZ755)</f>
        <v>JAMES T=2D=0R=0M=0L=0B=0</v>
      </c>
      <c r="G755" s="0" t="s">
        <v>202</v>
      </c>
      <c r="I755" s="0" t="s">
        <v>3810</v>
      </c>
      <c r="J755" s="0" t="s">
        <v>3811</v>
      </c>
      <c r="K755" s="0" t="s">
        <v>175</v>
      </c>
      <c r="L755" s="0"/>
      <c r="M755" s="0" t="s">
        <v>3808</v>
      </c>
      <c r="N755" s="0" t="str">
        <f aca="false">RIGHT(M755,LEN(M755)-FIND(" ",M755))</f>
        <v>DOUGLAS ST NW</v>
      </c>
      <c r="P755" s="0" t="s">
        <v>146</v>
      </c>
      <c r="Q755" s="0" t="s">
        <v>147</v>
      </c>
      <c r="R755" s="0" t="n">
        <v>44483</v>
      </c>
      <c r="AD755" s="0" t="s">
        <v>148</v>
      </c>
      <c r="AE755" s="0" t="s">
        <v>149</v>
      </c>
      <c r="AF755" s="0" t="s">
        <v>150</v>
      </c>
      <c r="AH755" s="0" t="n">
        <v>14</v>
      </c>
      <c r="AI755" s="0" t="n">
        <v>11</v>
      </c>
      <c r="AN755" s="0" t="s">
        <v>146</v>
      </c>
      <c r="AO755" s="0" t="s">
        <v>250</v>
      </c>
      <c r="AP755" s="0" t="s">
        <v>251</v>
      </c>
      <c r="AQ755" s="0" t="n">
        <v>9</v>
      </c>
      <c r="AR755" s="0" t="n">
        <v>64</v>
      </c>
      <c r="AS755" s="0" t="n">
        <v>32</v>
      </c>
      <c r="AU755" s="0" t="n">
        <f aca="false">COUNTA($BA$2702:$EH$2702)</f>
        <v>2</v>
      </c>
      <c r="AV755" s="0" t="n">
        <f aca="false">COUNTIF($BA$2702:$EH$2702,"D")</f>
        <v>0</v>
      </c>
      <c r="AW755" s="0" t="n">
        <f aca="false">COUNTIF($BA$2702:$EH$2702,"R")</f>
        <v>0</v>
      </c>
      <c r="AX755" s="0" t="n">
        <f aca="false"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>0</v>
      </c>
      <c r="AY755" s="0" t="n">
        <f aca="false">COUNTIF(DU755:EH755, "&lt;&gt;")</f>
        <v>0</v>
      </c>
      <c r="AZ755" s="0" t="n">
        <f aca="false">IF(EH755&lt;&gt;"",1,0)</f>
        <v>0</v>
      </c>
      <c r="BB755" s="0" t="s">
        <v>153</v>
      </c>
      <c r="BJ755" s="0" t="s">
        <v>154</v>
      </c>
      <c r="BL755" s="0" t="s">
        <v>154</v>
      </c>
      <c r="CA755" s="0" t="s">
        <v>154</v>
      </c>
      <c r="CH755" s="0" t="s">
        <v>154</v>
      </c>
      <c r="CK755" s="0" t="s">
        <v>154</v>
      </c>
    </row>
    <row r="756" customFormat="false" ht="13.8" hidden="true" customHeight="false" outlineLevel="0" collapsed="false">
      <c r="A756" s="0" t="s">
        <v>3812</v>
      </c>
      <c r="B756" s="0" t="n">
        <v>78</v>
      </c>
      <c r="C756" s="0" t="n">
        <v>470881</v>
      </c>
      <c r="D756" s="0" t="s">
        <v>3813</v>
      </c>
      <c r="E756" s="0" t="s">
        <v>3814</v>
      </c>
      <c r="F756" s="0" t="str">
        <f aca="false">CONCATENATE(D756," ",LEFT(H756,4),"T=",AU756,"D=",AV756,"R=",AW756,"M=",AX756,"L=",AY756,"B=",AZ756)</f>
        <v>LAKE T=9D=0R=0M=0L=0B=0</v>
      </c>
      <c r="G756" s="0" t="s">
        <v>241</v>
      </c>
      <c r="I756" s="0" t="s">
        <v>3815</v>
      </c>
      <c r="J756" s="0" t="s">
        <v>642</v>
      </c>
      <c r="K756" s="0" t="s">
        <v>175</v>
      </c>
      <c r="L756" s="0"/>
      <c r="M756" s="0" t="s">
        <v>3816</v>
      </c>
      <c r="N756" s="0" t="str">
        <f aca="false">RIGHT(M756,LEN(M756)-FIND(" ",M756))</f>
        <v>DOUGLAS ST NW</v>
      </c>
      <c r="P756" s="0" t="s">
        <v>146</v>
      </c>
      <c r="Q756" s="0" t="s">
        <v>147</v>
      </c>
      <c r="R756" s="0" t="n">
        <v>44483</v>
      </c>
      <c r="AD756" s="0" t="s">
        <v>148</v>
      </c>
      <c r="AE756" s="0" t="s">
        <v>149</v>
      </c>
      <c r="AF756" s="0" t="s">
        <v>150</v>
      </c>
      <c r="AH756" s="0" t="n">
        <v>14</v>
      </c>
      <c r="AI756" s="0" t="n">
        <v>11</v>
      </c>
      <c r="AN756" s="0" t="s">
        <v>146</v>
      </c>
      <c r="AO756" s="0" t="s">
        <v>250</v>
      </c>
      <c r="AP756" s="0" t="s">
        <v>251</v>
      </c>
      <c r="AQ756" s="0" t="n">
        <v>9</v>
      </c>
      <c r="AR756" s="0" t="n">
        <v>64</v>
      </c>
      <c r="AS756" s="0" t="n">
        <v>32</v>
      </c>
      <c r="AU756" s="0" t="n">
        <f aca="false">COUNTA($BA$2440:$EH$2440)</f>
        <v>9</v>
      </c>
      <c r="AV756" s="0" t="n">
        <f aca="false">COUNTIF($BA$2440:$EH$2440,"D")</f>
        <v>0</v>
      </c>
      <c r="AW756" s="0" t="n">
        <f aca="false">COUNTIF($BA$2440:$EH$2440,"R")</f>
        <v>0</v>
      </c>
      <c r="AX756" s="0" t="n">
        <f aca="false"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>0</v>
      </c>
      <c r="AY756" s="0" t="n">
        <f aca="false">COUNTIF(DU756:EH756, "&lt;&gt;")</f>
        <v>0</v>
      </c>
      <c r="AZ756" s="0" t="n">
        <f aca="false">IF(EH756&lt;&gt;"",1,0)</f>
        <v>0</v>
      </c>
      <c r="BB756" s="0" t="s">
        <v>153</v>
      </c>
    </row>
    <row r="757" customFormat="false" ht="13.8" hidden="true" customHeight="false" outlineLevel="0" collapsed="false">
      <c r="A757" s="0" t="s">
        <v>3817</v>
      </c>
      <c r="B757" s="0" t="n">
        <v>78</v>
      </c>
      <c r="C757" s="0" t="n">
        <v>291737</v>
      </c>
      <c r="D757" s="0" t="s">
        <v>3061</v>
      </c>
      <c r="E757" s="0" t="s">
        <v>3818</v>
      </c>
      <c r="F757" s="0" t="str">
        <f aca="false">CONCATENATE(D757," ",LEFT(H757,4),"T=",AU757,"D=",AV757,"R=",AW757,"M=",AX757,"L=",AY757,"B=",AZ757)</f>
        <v>FRANK T=39D=11R=1M=0L=1B=0</v>
      </c>
      <c r="G757" s="0" t="s">
        <v>376</v>
      </c>
      <c r="I757" s="0" t="s">
        <v>3819</v>
      </c>
      <c r="J757" s="0" t="s">
        <v>3820</v>
      </c>
      <c r="K757" s="0" t="s">
        <v>175</v>
      </c>
      <c r="L757" s="0"/>
      <c r="M757" s="0" t="s">
        <v>3821</v>
      </c>
      <c r="N757" s="0" t="str">
        <f aca="false">RIGHT(M757,LEN(M757)-FIND(" ",M757))</f>
        <v>DOUGLAS ST NW</v>
      </c>
      <c r="P757" s="0" t="s">
        <v>146</v>
      </c>
      <c r="Q757" s="0" t="s">
        <v>147</v>
      </c>
      <c r="R757" s="0" t="n">
        <v>44483</v>
      </c>
      <c r="AD757" s="0" t="s">
        <v>148</v>
      </c>
      <c r="AE757" s="0" t="s">
        <v>149</v>
      </c>
      <c r="AF757" s="0" t="s">
        <v>150</v>
      </c>
      <c r="AH757" s="0" t="n">
        <v>14</v>
      </c>
      <c r="AI757" s="0" t="n">
        <v>11</v>
      </c>
      <c r="AN757" s="0" t="s">
        <v>146</v>
      </c>
      <c r="AO757" s="0" t="s">
        <v>250</v>
      </c>
      <c r="AP757" s="0" t="s">
        <v>251</v>
      </c>
      <c r="AQ757" s="0" t="n">
        <v>9</v>
      </c>
      <c r="AR757" s="0" t="n">
        <v>64</v>
      </c>
      <c r="AS757" s="0" t="n">
        <v>32</v>
      </c>
      <c r="AU757" s="0" t="n">
        <f aca="false">COUNTA($BA$2222:$EH$2222)</f>
        <v>39</v>
      </c>
      <c r="AV757" s="0" t="n">
        <f aca="false">COUNTIF($BA$2222:$EH$2222,"D")</f>
        <v>11</v>
      </c>
      <c r="AW757" s="0" t="n">
        <f aca="false">COUNTIF($BA$2222:$EH$2222,"R")</f>
        <v>1</v>
      </c>
      <c r="AX757" s="0" t="n">
        <f aca="false"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>0</v>
      </c>
      <c r="AY757" s="0" t="n">
        <f aca="false">COUNTIF(DU757:EH757, "&lt;&gt;")</f>
        <v>1</v>
      </c>
      <c r="AZ757" s="0" t="n">
        <f aca="false">IF(EH757&lt;&gt;"",1,0)</f>
        <v>0</v>
      </c>
      <c r="BB757" s="0" t="s">
        <v>153</v>
      </c>
      <c r="BL757" s="0" t="s">
        <v>154</v>
      </c>
      <c r="BP757" s="0" t="s">
        <v>154</v>
      </c>
      <c r="CA757" s="0" t="s">
        <v>154</v>
      </c>
      <c r="CP757" s="0" t="s">
        <v>154</v>
      </c>
      <c r="CY757" s="0" t="s">
        <v>154</v>
      </c>
      <c r="DC757" s="0" t="s">
        <v>154</v>
      </c>
      <c r="DN757" s="0" t="s">
        <v>154</v>
      </c>
      <c r="EF757" s="0" t="s">
        <v>154</v>
      </c>
    </row>
    <row r="758" customFormat="false" ht="13.8" hidden="true" customHeight="false" outlineLevel="0" collapsed="false">
      <c r="A758" s="0" t="s">
        <v>3822</v>
      </c>
      <c r="B758" s="0" t="n">
        <v>78</v>
      </c>
      <c r="C758" s="0" t="n">
        <v>382442</v>
      </c>
      <c r="D758" s="0" t="s">
        <v>309</v>
      </c>
      <c r="E758" s="0" t="s">
        <v>3039</v>
      </c>
      <c r="F758" s="0" t="str">
        <f aca="false">CONCATENATE(D758," ",LEFT(H758,4),"T=",AU758,"D=",AV758,"R=",AW758,"M=",AX758,"L=",AY758,"B=",AZ758)</f>
        <v>BROWN T=44D=13R=0M=0L=1B=0</v>
      </c>
      <c r="G758" s="0" t="s">
        <v>155</v>
      </c>
      <c r="I758" s="0" t="s">
        <v>3823</v>
      </c>
      <c r="J758" s="0" t="s">
        <v>3824</v>
      </c>
      <c r="K758" s="0" t="s">
        <v>175</v>
      </c>
      <c r="L758" s="0"/>
      <c r="M758" s="0" t="s">
        <v>3825</v>
      </c>
      <c r="N758" s="0" t="str">
        <f aca="false">RIGHT(M758,LEN(M758)-FIND(" ",M758))</f>
        <v>DOUGLAS ST NW</v>
      </c>
      <c r="P758" s="0" t="s">
        <v>146</v>
      </c>
      <c r="Q758" s="0" t="s">
        <v>147</v>
      </c>
      <c r="R758" s="0" t="n">
        <v>44483</v>
      </c>
      <c r="AD758" s="0" t="s">
        <v>148</v>
      </c>
      <c r="AE758" s="0" t="s">
        <v>149</v>
      </c>
      <c r="AF758" s="0" t="s">
        <v>150</v>
      </c>
      <c r="AH758" s="0" t="n">
        <v>14</v>
      </c>
      <c r="AI758" s="0" t="n">
        <v>11</v>
      </c>
      <c r="AN758" s="0" t="s">
        <v>146</v>
      </c>
      <c r="AO758" s="0" t="s">
        <v>250</v>
      </c>
      <c r="AP758" s="0" t="s">
        <v>251</v>
      </c>
      <c r="AQ758" s="0" t="n">
        <v>9</v>
      </c>
      <c r="AR758" s="0" t="n">
        <v>64</v>
      </c>
      <c r="AS758" s="0" t="n">
        <v>32</v>
      </c>
      <c r="AU758" s="0" t="n">
        <f aca="false">COUNTA($BA$2304:$EH$2304)</f>
        <v>44</v>
      </c>
      <c r="AV758" s="0" t="n">
        <f aca="false">COUNTIF($BA$2304:$EH$2304,"D")</f>
        <v>13</v>
      </c>
      <c r="AW758" s="0" t="n">
        <f aca="false">COUNTIF($BA$2304:$EH$2304,"R")</f>
        <v>0</v>
      </c>
      <c r="AX758" s="0" t="n">
        <f aca="false"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>0</v>
      </c>
      <c r="AY758" s="0" t="n">
        <f aca="false">COUNTIF(DU758:EH758, "&lt;&gt;")</f>
        <v>1</v>
      </c>
      <c r="AZ758" s="0" t="n">
        <f aca="false">IF(EH758&lt;&gt;"",1,0)</f>
        <v>0</v>
      </c>
      <c r="BB758" s="0" t="s">
        <v>153</v>
      </c>
      <c r="CA758" s="0" t="s">
        <v>154</v>
      </c>
      <c r="DC758" s="0" t="s">
        <v>154</v>
      </c>
      <c r="EF758" s="0" t="s">
        <v>154</v>
      </c>
    </row>
    <row r="759" customFormat="false" ht="13.8" hidden="true" customHeight="false" outlineLevel="0" collapsed="false">
      <c r="A759" s="0" t="s">
        <v>3826</v>
      </c>
      <c r="B759" s="0" t="n">
        <v>78</v>
      </c>
      <c r="C759" s="0" t="n">
        <v>417095</v>
      </c>
      <c r="D759" s="0" t="s">
        <v>3827</v>
      </c>
      <c r="E759" s="0" t="s">
        <v>914</v>
      </c>
      <c r="F759" s="0" t="str">
        <f aca="false">CONCATENATE(D759," ",LEFT(H759,4),"T=",AU759,"D=",AV759,"R=",AW759,"M=",AX759,"L=",AY759,"B=",AZ759)</f>
        <v>SPICER T=12D=2R=0M=0L=0B=0</v>
      </c>
      <c r="G759" s="0" t="s">
        <v>172</v>
      </c>
      <c r="I759" s="0" t="s">
        <v>3828</v>
      </c>
      <c r="J759" s="0" t="s">
        <v>285</v>
      </c>
      <c r="K759" s="0" t="s">
        <v>144</v>
      </c>
      <c r="L759" s="0"/>
      <c r="M759" s="0" t="s">
        <v>3829</v>
      </c>
      <c r="N759" s="0" t="str">
        <f aca="false">RIGHT(M759,LEN(M759)-FIND(" ",M759))</f>
        <v>DOUGLAS ST NW</v>
      </c>
      <c r="P759" s="0" t="s">
        <v>146</v>
      </c>
      <c r="Q759" s="0" t="s">
        <v>147</v>
      </c>
      <c r="R759" s="0" t="n">
        <v>44483</v>
      </c>
      <c r="AD759" s="0" t="s">
        <v>148</v>
      </c>
      <c r="AE759" s="0" t="s">
        <v>149</v>
      </c>
      <c r="AF759" s="0" t="s">
        <v>150</v>
      </c>
      <c r="AH759" s="0" t="n">
        <v>14</v>
      </c>
      <c r="AI759" s="0" t="n">
        <v>11</v>
      </c>
      <c r="AN759" s="0" t="s">
        <v>146</v>
      </c>
      <c r="AO759" s="0" t="s">
        <v>250</v>
      </c>
      <c r="AP759" s="0" t="s">
        <v>251</v>
      </c>
      <c r="AQ759" s="0" t="n">
        <v>9</v>
      </c>
      <c r="AR759" s="0" t="n">
        <v>64</v>
      </c>
      <c r="AS759" s="0" t="n">
        <v>32</v>
      </c>
      <c r="AU759" s="0" t="n">
        <f aca="false">COUNTA($BA$2139:$EH$2139)</f>
        <v>12</v>
      </c>
      <c r="AV759" s="0" t="n">
        <f aca="false">COUNTIF($BA$2139:$EH$2139,"D")</f>
        <v>2</v>
      </c>
      <c r="AW759" s="0" t="n">
        <f aca="false">COUNTIF($BA$2139:$EH$2139,"R")</f>
        <v>0</v>
      </c>
      <c r="AX759" s="0" t="n">
        <f aca="false"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>0</v>
      </c>
      <c r="AY759" s="0" t="n">
        <f aca="false">COUNTIF(DU759:EH759, "&lt;&gt;")</f>
        <v>0</v>
      </c>
      <c r="AZ759" s="0" t="n">
        <f aca="false">IF(EH759&lt;&gt;"",1,0)</f>
        <v>0</v>
      </c>
      <c r="BB759" s="0" t="s">
        <v>153</v>
      </c>
    </row>
    <row r="760" customFormat="false" ht="13.8" hidden="false" customHeight="false" outlineLevel="0" collapsed="false">
      <c r="A760" s="0" t="s">
        <v>3830</v>
      </c>
      <c r="B760" s="0" t="n">
        <v>78</v>
      </c>
      <c r="C760" s="0" t="n">
        <v>409776</v>
      </c>
      <c r="D760" s="0" t="s">
        <v>801</v>
      </c>
      <c r="E760" s="0" t="s">
        <v>3831</v>
      </c>
      <c r="F760" s="0" t="str">
        <f aca="false">CONCATENATE(D760," ",LEFT(H760,4),"T=",AU760,"D=",AV760,"R=",AW760,"M=",AX760,"L=",AY760,"B=",AZ760)</f>
        <v>BELL T=5D=0R=0M=0L=2B=0</v>
      </c>
      <c r="G760" s="0" t="s">
        <v>155</v>
      </c>
      <c r="I760" s="0" t="s">
        <v>3832</v>
      </c>
      <c r="J760" s="0" t="s">
        <v>3833</v>
      </c>
      <c r="K760" s="0" t="s">
        <v>175</v>
      </c>
      <c r="M760" s="0" t="s">
        <v>3829</v>
      </c>
      <c r="N760" s="0" t="str">
        <f aca="false">RIGHT(M760,LEN(M760)-FIND(" ",M760))</f>
        <v>DOUGLAS ST NW</v>
      </c>
      <c r="P760" s="0" t="s">
        <v>146</v>
      </c>
      <c r="Q760" s="0" t="s">
        <v>147</v>
      </c>
      <c r="R760" s="0" t="n">
        <v>44483</v>
      </c>
      <c r="AD760" s="0" t="s">
        <v>148</v>
      </c>
      <c r="AE760" s="0" t="s">
        <v>149</v>
      </c>
      <c r="AF760" s="0" t="s">
        <v>150</v>
      </c>
      <c r="AH760" s="0" t="n">
        <v>14</v>
      </c>
      <c r="AI760" s="0" t="n">
        <v>11</v>
      </c>
      <c r="AN760" s="0" t="s">
        <v>146</v>
      </c>
      <c r="AO760" s="0" t="s">
        <v>250</v>
      </c>
      <c r="AP760" s="0" t="s">
        <v>251</v>
      </c>
      <c r="AQ760" s="0" t="n">
        <v>9</v>
      </c>
      <c r="AR760" s="0" t="n">
        <v>64</v>
      </c>
      <c r="AS760" s="0" t="n">
        <v>32</v>
      </c>
      <c r="AU760" s="0" t="n">
        <f aca="false">COUNTA($BA$2587:$EH$2587)</f>
        <v>5</v>
      </c>
      <c r="AV760" s="0" t="n">
        <f aca="false">COUNTIF($BA$2587:$EH$2587,"D")</f>
        <v>0</v>
      </c>
      <c r="AW760" s="0" t="n">
        <f aca="false">COUNTIF($BA$2587:$EH$2587,"R")</f>
        <v>0</v>
      </c>
      <c r="AX760" s="0" t="n">
        <f aca="false"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>0</v>
      </c>
      <c r="AY760" s="0" t="n">
        <f aca="false">COUNTIF(DU760:EH760, "&lt;&gt;")</f>
        <v>2</v>
      </c>
      <c r="AZ760" s="0" t="n">
        <f aca="false">IF(EH760&lt;&gt;"",1,0)</f>
        <v>0</v>
      </c>
      <c r="BB760" s="0" t="s">
        <v>153</v>
      </c>
      <c r="CY760" s="0" t="s">
        <v>154</v>
      </c>
      <c r="DC760" s="0" t="s">
        <v>154</v>
      </c>
      <c r="DM760" s="0" t="s">
        <v>155</v>
      </c>
      <c r="DN760" s="0" t="s">
        <v>154</v>
      </c>
      <c r="DU760" s="0" t="s">
        <v>154</v>
      </c>
      <c r="EF760" s="0" t="s">
        <v>154</v>
      </c>
    </row>
    <row r="761" customFormat="false" ht="13.8" hidden="true" customHeight="false" outlineLevel="0" collapsed="false">
      <c r="A761" s="0" t="s">
        <v>3834</v>
      </c>
      <c r="B761" s="0" t="n">
        <v>78</v>
      </c>
      <c r="C761" s="0" t="n">
        <v>390862</v>
      </c>
      <c r="D761" s="0" t="s">
        <v>990</v>
      </c>
      <c r="E761" s="0" t="s">
        <v>3835</v>
      </c>
      <c r="F761" s="0" t="str">
        <f aca="false">CONCATENATE(D761," ",LEFT(H761,4),"T=",AU761,"D=",AV761,"R=",AW761,"M=",AX761,"L=",AY761,"B=",AZ761)</f>
        <v>MCCRORY T=2D=0R=0M=0L=0B=0</v>
      </c>
      <c r="G761" s="0" t="s">
        <v>297</v>
      </c>
      <c r="I761" s="0" t="s">
        <v>3836</v>
      </c>
      <c r="J761" s="0" t="s">
        <v>3837</v>
      </c>
      <c r="K761" s="0" t="s">
        <v>144</v>
      </c>
      <c r="L761" s="0"/>
      <c r="M761" s="0" t="s">
        <v>3838</v>
      </c>
      <c r="N761" s="0" t="str">
        <f aca="false">RIGHT(M761,LEN(M761)-FIND(" ",M761))</f>
        <v>DOUGLAS ST NW</v>
      </c>
      <c r="P761" s="0" t="s">
        <v>146</v>
      </c>
      <c r="Q761" s="0" t="s">
        <v>147</v>
      </c>
      <c r="R761" s="0" t="n">
        <v>44483</v>
      </c>
      <c r="AD761" s="0" t="s">
        <v>148</v>
      </c>
      <c r="AE761" s="0" t="s">
        <v>149</v>
      </c>
      <c r="AF761" s="0" t="s">
        <v>150</v>
      </c>
      <c r="AH761" s="0" t="n">
        <v>14</v>
      </c>
      <c r="AI761" s="0" t="n">
        <v>11</v>
      </c>
      <c r="AN761" s="0" t="s">
        <v>146</v>
      </c>
      <c r="AO761" s="0" t="s">
        <v>250</v>
      </c>
      <c r="AP761" s="0" t="s">
        <v>251</v>
      </c>
      <c r="AQ761" s="0" t="n">
        <v>9</v>
      </c>
      <c r="AR761" s="0" t="n">
        <v>64</v>
      </c>
      <c r="AS761" s="0" t="n">
        <v>32</v>
      </c>
      <c r="AU761" s="0" t="n">
        <f aca="false">COUNTA($BA$2198:$EH$2198)</f>
        <v>2</v>
      </c>
      <c r="AV761" s="0" t="n">
        <f aca="false">COUNTIF($BA$2198:$EH$2198,"D")</f>
        <v>0</v>
      </c>
      <c r="AW761" s="0" t="n">
        <f aca="false">COUNTIF($BA$2198:$EH$2198,"R")</f>
        <v>0</v>
      </c>
      <c r="AX761" s="0" t="n">
        <f aca="false"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>0</v>
      </c>
      <c r="AY761" s="0" t="n">
        <f aca="false">COUNTIF(DU761:EH761, "&lt;&gt;")</f>
        <v>0</v>
      </c>
      <c r="AZ761" s="0" t="n">
        <f aca="false">IF(EH761&lt;&gt;"",1,0)</f>
        <v>0</v>
      </c>
      <c r="BB761" s="0" t="s">
        <v>153</v>
      </c>
    </row>
    <row r="762" customFormat="false" ht="13.8" hidden="true" customHeight="false" outlineLevel="0" collapsed="false">
      <c r="A762" s="0" t="s">
        <v>3839</v>
      </c>
      <c r="B762" s="0" t="n">
        <v>78</v>
      </c>
      <c r="C762" s="0" t="n">
        <v>271085</v>
      </c>
      <c r="D762" s="0" t="s">
        <v>3674</v>
      </c>
      <c r="E762" s="0" t="s">
        <v>3840</v>
      </c>
      <c r="F762" s="0" t="str">
        <f aca="false">CONCATENATE(D762," ",LEFT(H762,4),"T=",AU762,"D=",AV762,"R=",AW762,"M=",AX762,"L=",AY762,"B=",AZ762)</f>
        <v>HURT T=6D=1R=0M=1L=0B=0</v>
      </c>
      <c r="I762" s="0" t="s">
        <v>3841</v>
      </c>
      <c r="J762" s="0" t="s">
        <v>3842</v>
      </c>
      <c r="K762" s="0" t="s">
        <v>144</v>
      </c>
      <c r="L762" s="0"/>
      <c r="M762" s="0" t="s">
        <v>3838</v>
      </c>
      <c r="N762" s="0" t="str">
        <f aca="false">RIGHT(M762,LEN(M762)-FIND(" ",M762))</f>
        <v>DOUGLAS ST NW</v>
      </c>
      <c r="P762" s="0" t="s">
        <v>146</v>
      </c>
      <c r="Q762" s="0" t="s">
        <v>147</v>
      </c>
      <c r="R762" s="0" t="n">
        <v>44483</v>
      </c>
      <c r="AD762" s="0" t="s">
        <v>148</v>
      </c>
      <c r="AE762" s="0" t="s">
        <v>149</v>
      </c>
      <c r="AF762" s="0" t="s">
        <v>150</v>
      </c>
      <c r="AH762" s="0" t="n">
        <v>14</v>
      </c>
      <c r="AI762" s="0" t="n">
        <v>11</v>
      </c>
      <c r="AN762" s="0" t="s">
        <v>146</v>
      </c>
      <c r="AO762" s="0" t="s">
        <v>250</v>
      </c>
      <c r="AP762" s="0" t="s">
        <v>251</v>
      </c>
      <c r="AQ762" s="0" t="n">
        <v>9</v>
      </c>
      <c r="AR762" s="0" t="n">
        <v>64</v>
      </c>
      <c r="AS762" s="0" t="n">
        <v>32</v>
      </c>
      <c r="AU762" s="0" t="n">
        <f aca="false">COUNTA($BA$2206:$EH$2206)</f>
        <v>6</v>
      </c>
      <c r="AV762" s="0" t="n">
        <f aca="false">COUNTIF($BA$2206:$EH$2206,"D")</f>
        <v>1</v>
      </c>
      <c r="AW762" s="0" t="n">
        <f aca="false">COUNTIF($BA$2206:$EH$2206,"R")</f>
        <v>0</v>
      </c>
      <c r="AX762" s="0" t="n">
        <f aca="false"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>1</v>
      </c>
      <c r="AY762" s="0" t="n">
        <f aca="false">COUNTIF(DU762:EH762, "&lt;&gt;")</f>
        <v>0</v>
      </c>
      <c r="AZ762" s="0" t="n">
        <f aca="false">IF(EH762&lt;&gt;"",1,0)</f>
        <v>0</v>
      </c>
      <c r="BB762" s="0" t="s">
        <v>153</v>
      </c>
      <c r="BL762" s="0" t="s">
        <v>154</v>
      </c>
      <c r="CA762" s="0" t="s">
        <v>154</v>
      </c>
      <c r="CL762" s="0" t="s">
        <v>155</v>
      </c>
      <c r="CN762" s="0" t="s">
        <v>154</v>
      </c>
      <c r="CP762" s="0" t="s">
        <v>154</v>
      </c>
      <c r="CZ762" s="0" t="s">
        <v>155</v>
      </c>
      <c r="DC762" s="0" t="s">
        <v>154</v>
      </c>
      <c r="DN762" s="0" t="s">
        <v>154</v>
      </c>
    </row>
    <row r="763" customFormat="false" ht="13.8" hidden="true" customHeight="false" outlineLevel="0" collapsed="false">
      <c r="A763" s="0" t="s">
        <v>3843</v>
      </c>
      <c r="B763" s="0" t="n">
        <v>78</v>
      </c>
      <c r="C763" s="0" t="n">
        <v>407685</v>
      </c>
      <c r="D763" s="0" t="s">
        <v>3844</v>
      </c>
      <c r="E763" s="0" t="s">
        <v>3845</v>
      </c>
      <c r="F763" s="0" t="str">
        <f aca="false">CONCATENATE(D763," ",LEFT(H763,4),"T=",AU763,"D=",AV763,"R=",AW763,"M=",AX763,"L=",AY763,"B=",AZ763)</f>
        <v>BALL T=21D=2R=5M=1L=1B=0</v>
      </c>
      <c r="G763" s="0" t="s">
        <v>155</v>
      </c>
      <c r="I763" s="0" t="s">
        <v>3846</v>
      </c>
      <c r="J763" s="0" t="s">
        <v>1908</v>
      </c>
      <c r="K763" s="0" t="s">
        <v>175</v>
      </c>
      <c r="L763" s="0"/>
      <c r="M763" s="0" t="s">
        <v>3838</v>
      </c>
      <c r="N763" s="0" t="str">
        <f aca="false">RIGHT(M763,LEN(M763)-FIND(" ",M763))</f>
        <v>DOUGLAS ST NW</v>
      </c>
      <c r="P763" s="0" t="s">
        <v>146</v>
      </c>
      <c r="Q763" s="0" t="s">
        <v>147</v>
      </c>
      <c r="R763" s="0" t="n">
        <v>44483</v>
      </c>
      <c r="AD763" s="0" t="s">
        <v>148</v>
      </c>
      <c r="AE763" s="0" t="s">
        <v>149</v>
      </c>
      <c r="AF763" s="0" t="s">
        <v>150</v>
      </c>
      <c r="AH763" s="0" t="n">
        <v>14</v>
      </c>
      <c r="AI763" s="0" t="n">
        <v>11</v>
      </c>
      <c r="AN763" s="0" t="s">
        <v>146</v>
      </c>
      <c r="AO763" s="0" t="s">
        <v>250</v>
      </c>
      <c r="AP763" s="0" t="s">
        <v>251</v>
      </c>
      <c r="AQ763" s="0" t="n">
        <v>9</v>
      </c>
      <c r="AR763" s="0" t="n">
        <v>64</v>
      </c>
      <c r="AS763" s="0" t="n">
        <v>32</v>
      </c>
      <c r="AU763" s="0" t="n">
        <f aca="false">COUNTA($BA$2533:$EH$2533)</f>
        <v>21</v>
      </c>
      <c r="AV763" s="0" t="n">
        <f aca="false">COUNTIF($BA$2533:$EH$2533,"D")</f>
        <v>2</v>
      </c>
      <c r="AW763" s="0" t="n">
        <f aca="false">COUNTIF($BA$2533:$EH$2533,"R")</f>
        <v>5</v>
      </c>
      <c r="AX763" s="0" t="n">
        <f aca="false"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>1</v>
      </c>
      <c r="AY763" s="0" t="n">
        <f aca="false">COUNTIF(DU763:EH763, "&lt;&gt;")</f>
        <v>1</v>
      </c>
      <c r="AZ763" s="0" t="n">
        <f aca="false">IF(EH763&lt;&gt;"",1,0)</f>
        <v>0</v>
      </c>
      <c r="BB763" s="0" t="s">
        <v>153</v>
      </c>
      <c r="CY763" s="0" t="s">
        <v>154</v>
      </c>
      <c r="CZ763" s="0" t="s">
        <v>155</v>
      </c>
      <c r="DC763" s="0" t="s">
        <v>154</v>
      </c>
      <c r="DF763" s="0" t="s">
        <v>154</v>
      </c>
      <c r="DG763" s="0" t="s">
        <v>155</v>
      </c>
      <c r="DI763" s="0" t="s">
        <v>154</v>
      </c>
      <c r="DN763" s="0" t="s">
        <v>154</v>
      </c>
      <c r="DO763" s="0" t="s">
        <v>155</v>
      </c>
      <c r="EF763" s="0" t="s">
        <v>154</v>
      </c>
    </row>
    <row r="764" customFormat="false" ht="13.8" hidden="true" customHeight="false" outlineLevel="0" collapsed="false">
      <c r="A764" s="0" t="s">
        <v>3847</v>
      </c>
      <c r="B764" s="0" t="n">
        <v>78</v>
      </c>
      <c r="C764" s="0" t="n">
        <v>486355</v>
      </c>
      <c r="D764" s="0" t="s">
        <v>1582</v>
      </c>
      <c r="E764" s="0" t="s">
        <v>3848</v>
      </c>
      <c r="F764" s="0" t="str">
        <f aca="false">CONCATENATE(D764," ",LEFT(H764,4),"T=",AU764,"D=",AV764,"R=",AW764,"M=",AX764,"L=",AY764,"B=",AZ764)</f>
        <v>SMITH T=12D=2R=1M=0L=0B=0</v>
      </c>
      <c r="G764" s="0" t="s">
        <v>188</v>
      </c>
      <c r="I764" s="0" t="s">
        <v>3849</v>
      </c>
      <c r="J764" s="0" t="s">
        <v>3850</v>
      </c>
      <c r="K764" s="0" t="s">
        <v>175</v>
      </c>
      <c r="L764" s="0"/>
      <c r="M764" s="0" t="s">
        <v>3851</v>
      </c>
      <c r="N764" s="0" t="str">
        <f aca="false">RIGHT(M764,LEN(M764)-FIND(" ",M764))</f>
        <v>DOUGLAS ST NW</v>
      </c>
      <c r="P764" s="0" t="s">
        <v>146</v>
      </c>
      <c r="Q764" s="0" t="s">
        <v>147</v>
      </c>
      <c r="R764" s="0" t="n">
        <v>44483</v>
      </c>
      <c r="AD764" s="0" t="s">
        <v>148</v>
      </c>
      <c r="AE764" s="0" t="s">
        <v>149</v>
      </c>
      <c r="AF764" s="0" t="s">
        <v>150</v>
      </c>
      <c r="AH764" s="0" t="n">
        <v>14</v>
      </c>
      <c r="AI764" s="0" t="n">
        <v>11</v>
      </c>
      <c r="AN764" s="0" t="s">
        <v>146</v>
      </c>
      <c r="AO764" s="0" t="s">
        <v>250</v>
      </c>
      <c r="AP764" s="0" t="s">
        <v>251</v>
      </c>
      <c r="AQ764" s="0" t="n">
        <v>9</v>
      </c>
      <c r="AR764" s="0" t="n">
        <v>64</v>
      </c>
      <c r="AS764" s="0" t="n">
        <v>32</v>
      </c>
      <c r="AU764" s="0" t="n">
        <f aca="false">COUNTA($BA$2629:$EH$2629)</f>
        <v>12</v>
      </c>
      <c r="AV764" s="0" t="n">
        <f aca="false">COUNTIF($BA$2629:$EH$2629,"D")</f>
        <v>2</v>
      </c>
      <c r="AW764" s="0" t="n">
        <f aca="false">COUNTIF($BA$2629:$EH$2629,"R")</f>
        <v>1</v>
      </c>
      <c r="AX764" s="0" t="n">
        <f aca="false"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>0</v>
      </c>
      <c r="AY764" s="0" t="n">
        <f aca="false">COUNTIF(DU764:EH764, "&lt;&gt;")</f>
        <v>0</v>
      </c>
      <c r="AZ764" s="0" t="n">
        <f aca="false">IF(EH764&lt;&gt;"",1,0)</f>
        <v>0</v>
      </c>
      <c r="BB764" s="0" t="s">
        <v>153</v>
      </c>
    </row>
    <row r="765" customFormat="false" ht="13.8" hidden="true" customHeight="false" outlineLevel="0" collapsed="false">
      <c r="A765" s="0" t="s">
        <v>3852</v>
      </c>
      <c r="B765" s="0" t="n">
        <v>78</v>
      </c>
      <c r="C765" s="0" t="n">
        <v>484856</v>
      </c>
      <c r="D765" s="0" t="s">
        <v>3853</v>
      </c>
      <c r="E765" s="0" t="s">
        <v>3854</v>
      </c>
      <c r="F765" s="0" t="str">
        <f aca="false">CONCATENATE(D765," ",LEFT(H765,4),"T=",AU765,"D=",AV765,"R=",AW765,"M=",AX765,"L=",AY765,"B=",AZ765)</f>
        <v>DAWSON T=5D=1R=0M=0L=1B=0</v>
      </c>
      <c r="I765" s="0" t="s">
        <v>3855</v>
      </c>
      <c r="J765" s="0" t="s">
        <v>3856</v>
      </c>
      <c r="K765" s="0" t="s">
        <v>175</v>
      </c>
      <c r="L765" s="0"/>
      <c r="M765" s="0" t="s">
        <v>3857</v>
      </c>
      <c r="N765" s="0" t="str">
        <f aca="false">RIGHT(M765,LEN(M765)-FIND(" ",M765))</f>
        <v>DOUGLAS ST NW</v>
      </c>
      <c r="P765" s="0" t="s">
        <v>146</v>
      </c>
      <c r="Q765" s="0" t="s">
        <v>147</v>
      </c>
      <c r="R765" s="0" t="n">
        <v>44483</v>
      </c>
      <c r="AD765" s="0" t="s">
        <v>148</v>
      </c>
      <c r="AE765" s="0" t="s">
        <v>149</v>
      </c>
      <c r="AF765" s="0" t="s">
        <v>150</v>
      </c>
      <c r="AH765" s="0" t="n">
        <v>14</v>
      </c>
      <c r="AI765" s="0" t="n">
        <v>11</v>
      </c>
      <c r="AN765" s="0" t="s">
        <v>146</v>
      </c>
      <c r="AO765" s="0" t="s">
        <v>250</v>
      </c>
      <c r="AP765" s="0" t="s">
        <v>251</v>
      </c>
      <c r="AQ765" s="0" t="n">
        <v>9</v>
      </c>
      <c r="AR765" s="0" t="n">
        <v>64</v>
      </c>
      <c r="AS765" s="0" t="n">
        <v>32</v>
      </c>
      <c r="AU765" s="0" t="n">
        <f aca="false">COUNTA($BA$2110:$EH$2110)</f>
        <v>5</v>
      </c>
      <c r="AV765" s="0" t="n">
        <f aca="false">COUNTIF($BA$2110:$EH$2110,"D")</f>
        <v>1</v>
      </c>
      <c r="AW765" s="0" t="n">
        <f aca="false">COUNTIF($BA$2110:$EH$2110,"R")</f>
        <v>0</v>
      </c>
      <c r="AX765" s="0" t="n">
        <f aca="false"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>0</v>
      </c>
      <c r="AY765" s="0" t="n">
        <f aca="false">COUNTIF(DU765:EH765, "&lt;&gt;")</f>
        <v>1</v>
      </c>
      <c r="AZ765" s="0" t="n">
        <f aca="false">IF(EH765&lt;&gt;"",1,0)</f>
        <v>0</v>
      </c>
      <c r="BB765" s="0" t="s">
        <v>153</v>
      </c>
      <c r="DC765" s="0" t="s">
        <v>154</v>
      </c>
      <c r="EF765" s="0" t="s">
        <v>154</v>
      </c>
    </row>
    <row r="766" customFormat="false" ht="13.8" hidden="true" customHeight="false" outlineLevel="0" collapsed="false">
      <c r="A766" s="0" t="s">
        <v>3858</v>
      </c>
      <c r="B766" s="0" t="n">
        <v>78</v>
      </c>
      <c r="C766" s="0" t="n">
        <v>488566</v>
      </c>
      <c r="D766" s="0" t="s">
        <v>1468</v>
      </c>
      <c r="E766" s="0" t="s">
        <v>583</v>
      </c>
      <c r="F766" s="0" t="str">
        <f aca="false">CONCATENATE(D766," ",LEFT(H766,4),"T=",AU766,"D=",AV766,"R=",AW766,"M=",AX766,"L=",AY766,"B=",AZ766)</f>
        <v>FLOYD T=1D=0R=0M=0L=0B=0</v>
      </c>
      <c r="G766" s="0" t="s">
        <v>297</v>
      </c>
      <c r="I766" s="0" t="s">
        <v>3859</v>
      </c>
      <c r="J766" s="0" t="s">
        <v>3860</v>
      </c>
      <c r="K766" s="0" t="s">
        <v>175</v>
      </c>
      <c r="L766" s="0"/>
      <c r="M766" s="0" t="s">
        <v>3861</v>
      </c>
      <c r="N766" s="0" t="str">
        <f aca="false">RIGHT(M766,LEN(M766)-FIND(" ",M766))</f>
        <v>DOUGLAS ST NW</v>
      </c>
      <c r="P766" s="0" t="s">
        <v>146</v>
      </c>
      <c r="Q766" s="0" t="s">
        <v>147</v>
      </c>
      <c r="R766" s="0" t="n">
        <v>44483</v>
      </c>
      <c r="AD766" s="0" t="s">
        <v>148</v>
      </c>
      <c r="AE766" s="0" t="s">
        <v>149</v>
      </c>
      <c r="AF766" s="0" t="s">
        <v>150</v>
      </c>
      <c r="AH766" s="0" t="n">
        <v>14</v>
      </c>
      <c r="AI766" s="0" t="n">
        <v>11</v>
      </c>
      <c r="AN766" s="0" t="s">
        <v>146</v>
      </c>
      <c r="AO766" s="0" t="s">
        <v>250</v>
      </c>
      <c r="AP766" s="0" t="s">
        <v>251</v>
      </c>
      <c r="AQ766" s="0" t="n">
        <v>9</v>
      </c>
      <c r="AR766" s="0" t="n">
        <v>64</v>
      </c>
      <c r="AS766" s="0" t="n">
        <v>32</v>
      </c>
      <c r="AU766" s="0" t="n">
        <f aca="false">COUNTA($BA$2178:$EH$2178)</f>
        <v>1</v>
      </c>
      <c r="AV766" s="0" t="n">
        <f aca="false">COUNTIF($BA$2178:$EH$2178,"D")</f>
        <v>0</v>
      </c>
      <c r="AW766" s="0" t="n">
        <f aca="false">COUNTIF($BA$2178:$EH$2178,"R")</f>
        <v>0</v>
      </c>
      <c r="AX766" s="0" t="n">
        <f aca="false"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>0</v>
      </c>
      <c r="AY766" s="0" t="n">
        <f aca="false">COUNTIF(DU766:EH766, "&lt;&gt;")</f>
        <v>0</v>
      </c>
      <c r="AZ766" s="0" t="n">
        <f aca="false">IF(EH766&lt;&gt;"",1,0)</f>
        <v>0</v>
      </c>
      <c r="BB766" s="0" t="s">
        <v>153</v>
      </c>
    </row>
    <row r="767" customFormat="false" ht="13.8" hidden="true" customHeight="false" outlineLevel="0" collapsed="false">
      <c r="A767" s="0" t="s">
        <v>3862</v>
      </c>
      <c r="B767" s="0" t="n">
        <v>78</v>
      </c>
      <c r="C767" s="0" t="n">
        <v>377808</v>
      </c>
      <c r="D767" s="0" t="s">
        <v>2956</v>
      </c>
      <c r="E767" s="0" t="s">
        <v>3863</v>
      </c>
      <c r="F767" s="0" t="str">
        <f aca="false">CONCATENATE(D767," ",LEFT(H767,4),"T=",AU767,"D=",AV767,"R=",AW767,"M=",AX767,"L=",AY767,"B=",AZ767)</f>
        <v>HARDMAN T=1D=0R=0M=1L=0B=0</v>
      </c>
      <c r="G767" s="0" t="s">
        <v>241</v>
      </c>
      <c r="I767" s="0" t="s">
        <v>3864</v>
      </c>
      <c r="J767" s="0" t="s">
        <v>3865</v>
      </c>
      <c r="K767" s="0" t="s">
        <v>144</v>
      </c>
      <c r="L767" s="0"/>
      <c r="M767" s="0" t="s">
        <v>3861</v>
      </c>
      <c r="N767" s="0" t="str">
        <f aca="false">RIGHT(M767,LEN(M767)-FIND(" ",M767))</f>
        <v>DOUGLAS ST NW</v>
      </c>
      <c r="O767" s="0" t="s">
        <v>3866</v>
      </c>
      <c r="P767" s="0" t="s">
        <v>146</v>
      </c>
      <c r="Q767" s="0" t="s">
        <v>147</v>
      </c>
      <c r="R767" s="0" t="n">
        <v>44483</v>
      </c>
      <c r="AD767" s="0" t="s">
        <v>148</v>
      </c>
      <c r="AE767" s="0" t="s">
        <v>149</v>
      </c>
      <c r="AF767" s="0" t="s">
        <v>150</v>
      </c>
      <c r="AH767" s="0" t="n">
        <v>14</v>
      </c>
      <c r="AI767" s="0" t="n">
        <v>11</v>
      </c>
      <c r="AN767" s="0" t="s">
        <v>146</v>
      </c>
      <c r="AO767" s="0" t="s">
        <v>250</v>
      </c>
      <c r="AP767" s="0" t="s">
        <v>251</v>
      </c>
      <c r="AQ767" s="0" t="n">
        <v>9</v>
      </c>
      <c r="AR767" s="0" t="n">
        <v>64</v>
      </c>
      <c r="AS767" s="0" t="n">
        <v>32</v>
      </c>
      <c r="AU767" s="0" t="n">
        <f aca="false">COUNTA($BA$2188:$EH$2188)</f>
        <v>1</v>
      </c>
      <c r="AV767" s="0" t="n">
        <f aca="false">COUNTIF($BA$2188:$EH$2188,"D")</f>
        <v>0</v>
      </c>
      <c r="AW767" s="0" t="n">
        <f aca="false">COUNTIF($BA$2188:$EH$2188,"R")</f>
        <v>0</v>
      </c>
      <c r="AX767" s="0" t="n">
        <f aca="false"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>1</v>
      </c>
      <c r="AY767" s="0" t="n">
        <f aca="false">COUNTIF(DU767:EH767, "&lt;&gt;")</f>
        <v>0</v>
      </c>
      <c r="AZ767" s="0" t="n">
        <f aca="false">IF(EH767&lt;&gt;"",1,0)</f>
        <v>0</v>
      </c>
      <c r="BB767" s="0" t="s">
        <v>153</v>
      </c>
      <c r="CL767" s="0" t="s">
        <v>155</v>
      </c>
      <c r="CP767" s="0" t="s">
        <v>154</v>
      </c>
      <c r="DC767" s="0" t="s">
        <v>154</v>
      </c>
    </row>
    <row r="768" customFormat="false" ht="13.8" hidden="true" customHeight="false" outlineLevel="0" collapsed="false">
      <c r="A768" s="0" t="s">
        <v>3867</v>
      </c>
      <c r="B768" s="0" t="n">
        <v>78</v>
      </c>
      <c r="C768" s="0" t="n">
        <v>478000</v>
      </c>
      <c r="D768" s="0" t="s">
        <v>3868</v>
      </c>
      <c r="E768" s="0" t="s">
        <v>3669</v>
      </c>
      <c r="F768" s="0" t="str">
        <f aca="false">CONCATENATE(D768," ",LEFT(H768,4),"T=",AU768,"D=",AV768,"R=",AW768,"M=",AX768,"L=",AY768,"B=",AZ768)</f>
        <v>KERNER T=11D=3R=0M=0L=0B=0</v>
      </c>
      <c r="G768" s="0" t="s">
        <v>155</v>
      </c>
      <c r="I768" s="0" t="s">
        <v>3869</v>
      </c>
      <c r="J768" s="0" t="s">
        <v>476</v>
      </c>
      <c r="K768" s="0" t="s">
        <v>144</v>
      </c>
      <c r="L768" s="0"/>
      <c r="M768" s="0" t="s">
        <v>3861</v>
      </c>
      <c r="N768" s="0" t="str">
        <f aca="false">RIGHT(M768,LEN(M768)-FIND(" ",M768))</f>
        <v>DOUGLAS ST NW</v>
      </c>
      <c r="O768" s="0" t="s">
        <v>3870</v>
      </c>
      <c r="P768" s="0" t="s">
        <v>146</v>
      </c>
      <c r="Q768" s="0" t="s">
        <v>147</v>
      </c>
      <c r="R768" s="0" t="n">
        <v>44483</v>
      </c>
      <c r="AD768" s="0" t="s">
        <v>148</v>
      </c>
      <c r="AE768" s="0" t="s">
        <v>149</v>
      </c>
      <c r="AF768" s="0" t="s">
        <v>150</v>
      </c>
      <c r="AH768" s="0" t="n">
        <v>14</v>
      </c>
      <c r="AI768" s="0" t="n">
        <v>11</v>
      </c>
      <c r="AN768" s="0" t="s">
        <v>146</v>
      </c>
      <c r="AO768" s="0" t="s">
        <v>250</v>
      </c>
      <c r="AP768" s="0" t="s">
        <v>251</v>
      </c>
      <c r="AQ768" s="0" t="n">
        <v>9</v>
      </c>
      <c r="AR768" s="0" t="n">
        <v>64</v>
      </c>
      <c r="AS768" s="0" t="n">
        <v>32</v>
      </c>
      <c r="AU768" s="0" t="n">
        <f aca="false">COUNTA($BA$2300:$EH$2300)</f>
        <v>11</v>
      </c>
      <c r="AV768" s="0" t="n">
        <f aca="false">COUNTIF($BA$2300:$EH$2300,"D")</f>
        <v>3</v>
      </c>
      <c r="AW768" s="0" t="n">
        <f aca="false">COUNTIF($BA$2300:$EH$2300,"R")</f>
        <v>0</v>
      </c>
      <c r="AX768" s="0" t="n">
        <f aca="false"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>0</v>
      </c>
      <c r="AY768" s="0" t="n">
        <f aca="false">COUNTIF(DU768:EH768, "&lt;&gt;")</f>
        <v>0</v>
      </c>
      <c r="AZ768" s="0" t="n">
        <f aca="false">IF(EH768&lt;&gt;"",1,0)</f>
        <v>0</v>
      </c>
      <c r="BB768" s="0" t="s">
        <v>153</v>
      </c>
    </row>
    <row r="769" customFormat="false" ht="13.8" hidden="true" customHeight="false" outlineLevel="0" collapsed="false">
      <c r="A769" s="0" t="s">
        <v>3871</v>
      </c>
      <c r="B769" s="0" t="n">
        <v>78</v>
      </c>
      <c r="C769" s="0" t="n">
        <v>328309</v>
      </c>
      <c r="D769" s="0" t="s">
        <v>3872</v>
      </c>
      <c r="E769" s="0" t="s">
        <v>3873</v>
      </c>
      <c r="F769" s="0" t="str">
        <f aca="false">CONCATENATE(D769," ",LEFT(H769,4),"T=",AU769,"D=",AV769,"R=",AW769,"M=",AX769,"L=",AY769,"B=",AZ769)</f>
        <v>BUELL T=43D=12R=0M=0L=0B=0</v>
      </c>
      <c r="I769" s="0" t="s">
        <v>3874</v>
      </c>
      <c r="J769" s="0" t="s">
        <v>3875</v>
      </c>
      <c r="K769" s="0" t="s">
        <v>175</v>
      </c>
      <c r="L769" s="0"/>
      <c r="M769" s="0" t="s">
        <v>3861</v>
      </c>
      <c r="N769" s="0" t="str">
        <f aca="false">RIGHT(M769,LEN(M769)-FIND(" ",M769))</f>
        <v>DOUGLAS ST NW</v>
      </c>
      <c r="O769" s="0" t="s">
        <v>3876</v>
      </c>
      <c r="P769" s="0" t="s">
        <v>146</v>
      </c>
      <c r="Q769" s="0" t="s">
        <v>147</v>
      </c>
      <c r="R769" s="0" t="n">
        <v>44483</v>
      </c>
      <c r="AD769" s="0" t="s">
        <v>148</v>
      </c>
      <c r="AE769" s="0" t="s">
        <v>149</v>
      </c>
      <c r="AF769" s="0" t="s">
        <v>150</v>
      </c>
      <c r="AH769" s="0" t="n">
        <v>14</v>
      </c>
      <c r="AI769" s="0" t="n">
        <v>11</v>
      </c>
      <c r="AN769" s="0" t="s">
        <v>146</v>
      </c>
      <c r="AO769" s="0" t="s">
        <v>250</v>
      </c>
      <c r="AP769" s="0" t="s">
        <v>251</v>
      </c>
      <c r="AQ769" s="0" t="n">
        <v>9</v>
      </c>
      <c r="AR769" s="0" t="n">
        <v>64</v>
      </c>
      <c r="AS769" s="0" t="n">
        <v>32</v>
      </c>
      <c r="AU769" s="0" t="n">
        <f aca="false">COUNTA($BA$2315:$EH$2315)</f>
        <v>43</v>
      </c>
      <c r="AV769" s="0" t="n">
        <f aca="false">COUNTIF($BA$2315:$EH$2315,"D")</f>
        <v>12</v>
      </c>
      <c r="AW769" s="0" t="n">
        <f aca="false">COUNTIF($BA$2315:$EH$2315,"R")</f>
        <v>0</v>
      </c>
      <c r="AX769" s="0" t="n">
        <f aca="false"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>0</v>
      </c>
      <c r="AY769" s="0" t="n">
        <f aca="false">COUNTIF(DU769:EH769, "&lt;&gt;")</f>
        <v>0</v>
      </c>
      <c r="AZ769" s="0" t="n">
        <f aca="false">IF(EH769&lt;&gt;"",1,0)</f>
        <v>0</v>
      </c>
      <c r="BB769" s="0" t="s">
        <v>153</v>
      </c>
    </row>
    <row r="770" customFormat="false" ht="13.8" hidden="true" customHeight="false" outlineLevel="0" collapsed="false">
      <c r="A770" s="0" t="s">
        <v>3877</v>
      </c>
      <c r="B770" s="0" t="n">
        <v>78</v>
      </c>
      <c r="C770" s="0" t="n">
        <v>460808</v>
      </c>
      <c r="D770" s="0" t="s">
        <v>3878</v>
      </c>
      <c r="E770" s="0" t="s">
        <v>277</v>
      </c>
      <c r="F770" s="0" t="str">
        <f aca="false">CONCATENATE(D770," ",LEFT(H770,4),"T=",AU770,"D=",AV770,"R=",AW770,"M=",AX770,"L=",AY770,"B=",AZ770)</f>
        <v>GREENE T=17D=3R=0M=0L=0B=0</v>
      </c>
      <c r="G770" s="0" t="s">
        <v>1942</v>
      </c>
      <c r="I770" s="0" t="s">
        <v>3879</v>
      </c>
      <c r="J770" s="0" t="s">
        <v>2123</v>
      </c>
      <c r="K770" s="0" t="s">
        <v>144</v>
      </c>
      <c r="L770" s="0"/>
      <c r="M770" s="0" t="s">
        <v>3861</v>
      </c>
      <c r="N770" s="0" t="str">
        <f aca="false">RIGHT(M770,LEN(M770)-FIND(" ",M770))</f>
        <v>DOUGLAS ST NW</v>
      </c>
      <c r="O770" s="0" t="s">
        <v>3880</v>
      </c>
      <c r="P770" s="0" t="s">
        <v>146</v>
      </c>
      <c r="Q770" s="0" t="s">
        <v>147</v>
      </c>
      <c r="R770" s="0" t="n">
        <v>44483</v>
      </c>
      <c r="AD770" s="0" t="s">
        <v>148</v>
      </c>
      <c r="AE770" s="0" t="s">
        <v>149</v>
      </c>
      <c r="AF770" s="0" t="s">
        <v>150</v>
      </c>
      <c r="AH770" s="0" t="n">
        <v>14</v>
      </c>
      <c r="AI770" s="0" t="n">
        <v>11</v>
      </c>
      <c r="AN770" s="0" t="s">
        <v>146</v>
      </c>
      <c r="AO770" s="0" t="s">
        <v>250</v>
      </c>
      <c r="AP770" s="0" t="s">
        <v>251</v>
      </c>
      <c r="AQ770" s="0" t="n">
        <v>9</v>
      </c>
      <c r="AR770" s="0" t="n">
        <v>64</v>
      </c>
      <c r="AS770" s="0" t="n">
        <v>32</v>
      </c>
      <c r="AU770" s="0" t="n">
        <f aca="false">COUNTA($BA$2444:$EH$2444)</f>
        <v>17</v>
      </c>
      <c r="AV770" s="0" t="n">
        <f aca="false">COUNTIF($BA$2444:$EH$2444,"D")</f>
        <v>3</v>
      </c>
      <c r="AW770" s="0" t="n">
        <f aca="false">COUNTIF($BA$2444:$EH$2444,"R")</f>
        <v>0</v>
      </c>
      <c r="AX770" s="0" t="n">
        <f aca="false"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>0</v>
      </c>
      <c r="AY770" s="0" t="n">
        <f aca="false">COUNTIF(DU770:EH770, "&lt;&gt;")</f>
        <v>0</v>
      </c>
      <c r="AZ770" s="0" t="n">
        <f aca="false">IF(EH770&lt;&gt;"",1,0)</f>
        <v>0</v>
      </c>
      <c r="BB770" s="0" t="s">
        <v>153</v>
      </c>
    </row>
    <row r="771" customFormat="false" ht="13.8" hidden="true" customHeight="false" outlineLevel="0" collapsed="false">
      <c r="A771" s="0" t="s">
        <v>3881</v>
      </c>
      <c r="B771" s="0" t="n">
        <v>78</v>
      </c>
      <c r="C771" s="0" t="n">
        <v>416780</v>
      </c>
      <c r="D771" s="0" t="s">
        <v>3882</v>
      </c>
      <c r="E771" s="0" t="s">
        <v>3883</v>
      </c>
      <c r="F771" s="0" t="str">
        <f aca="false">CONCATENATE(D771," ",LEFT(H771,4),"T=",AU771,"D=",AV771,"R=",AW771,"M=",AX771,"L=",AY771,"B=",AZ771)</f>
        <v>MOLINA T=9D=0R=1M=0L=0B=0</v>
      </c>
      <c r="G771" s="0" t="s">
        <v>2788</v>
      </c>
      <c r="I771" s="0" t="s">
        <v>3884</v>
      </c>
      <c r="J771" s="0" t="s">
        <v>2573</v>
      </c>
      <c r="K771" s="0" t="s">
        <v>144</v>
      </c>
      <c r="L771" s="0"/>
      <c r="M771" s="0" t="s">
        <v>3861</v>
      </c>
      <c r="N771" s="0" t="str">
        <f aca="false">RIGHT(M771,LEN(M771)-FIND(" ",M771))</f>
        <v>DOUGLAS ST NW</v>
      </c>
      <c r="O771" s="0" t="s">
        <v>3885</v>
      </c>
      <c r="P771" s="0" t="s">
        <v>146</v>
      </c>
      <c r="Q771" s="0" t="s">
        <v>147</v>
      </c>
      <c r="R771" s="0" t="n">
        <v>44483</v>
      </c>
      <c r="AD771" s="0" t="s">
        <v>148</v>
      </c>
      <c r="AE771" s="0" t="s">
        <v>149</v>
      </c>
      <c r="AF771" s="0" t="s">
        <v>150</v>
      </c>
      <c r="AH771" s="0" t="n">
        <v>14</v>
      </c>
      <c r="AI771" s="0" t="n">
        <v>11</v>
      </c>
      <c r="AN771" s="0" t="s">
        <v>146</v>
      </c>
      <c r="AO771" s="0" t="s">
        <v>250</v>
      </c>
      <c r="AP771" s="0" t="s">
        <v>251</v>
      </c>
      <c r="AQ771" s="0" t="n">
        <v>9</v>
      </c>
      <c r="AR771" s="0" t="n">
        <v>64</v>
      </c>
      <c r="AS771" s="0" t="n">
        <v>32</v>
      </c>
      <c r="AU771" s="0" t="n">
        <f aca="false">COUNTA($BA$2498:$EH$2498)</f>
        <v>9</v>
      </c>
      <c r="AV771" s="0" t="n">
        <f aca="false">COUNTIF($BA$2498:$EH$2498,"D")</f>
        <v>0</v>
      </c>
      <c r="AW771" s="0" t="n">
        <f aca="false">COUNTIF($BA$2498:$EH$2498,"R")</f>
        <v>1</v>
      </c>
      <c r="AX771" s="0" t="n">
        <f aca="false"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>0</v>
      </c>
      <c r="AY771" s="0" t="n">
        <f aca="false">COUNTIF(DU771:EH771, "&lt;&gt;")</f>
        <v>0</v>
      </c>
      <c r="AZ771" s="0" t="n">
        <f aca="false">IF(EH771&lt;&gt;"",1,0)</f>
        <v>0</v>
      </c>
      <c r="BB771" s="0" t="s">
        <v>153</v>
      </c>
    </row>
    <row r="772" customFormat="false" ht="13.8" hidden="true" customHeight="false" outlineLevel="0" collapsed="false">
      <c r="A772" s="0" t="s">
        <v>3886</v>
      </c>
      <c r="B772" s="0" t="n">
        <v>78</v>
      </c>
      <c r="C772" s="0" t="n">
        <v>458171</v>
      </c>
      <c r="D772" s="0" t="s">
        <v>139</v>
      </c>
      <c r="E772" s="0" t="s">
        <v>3887</v>
      </c>
      <c r="F772" s="0" t="str">
        <f aca="false">CONCATENATE(D772," ",LEFT(H772,4),"T=",AU772,"D=",AV772,"R=",AW772,"M=",AX772,"L=",AY772,"B=",AZ772)</f>
        <v>ALLEN T=19D=5R=0M=0L=0B=0</v>
      </c>
      <c r="G772" s="0" t="s">
        <v>141</v>
      </c>
      <c r="I772" s="0" t="s">
        <v>3888</v>
      </c>
      <c r="J772" s="0" t="s">
        <v>3889</v>
      </c>
      <c r="K772" s="0" t="s">
        <v>144</v>
      </c>
      <c r="L772" s="0"/>
      <c r="M772" s="0" t="s">
        <v>3861</v>
      </c>
      <c r="N772" s="0" t="str">
        <f aca="false">RIGHT(M772,LEN(M772)-FIND(" ",M772))</f>
        <v>DOUGLAS ST NW</v>
      </c>
      <c r="O772" s="0" t="s">
        <v>3890</v>
      </c>
      <c r="P772" s="0" t="s">
        <v>146</v>
      </c>
      <c r="Q772" s="0" t="s">
        <v>147</v>
      </c>
      <c r="R772" s="0" t="n">
        <v>44483</v>
      </c>
      <c r="AD772" s="0" t="s">
        <v>148</v>
      </c>
      <c r="AE772" s="0" t="s">
        <v>149</v>
      </c>
      <c r="AF772" s="0" t="s">
        <v>150</v>
      </c>
      <c r="AH772" s="0" t="n">
        <v>14</v>
      </c>
      <c r="AI772" s="0" t="n">
        <v>11</v>
      </c>
      <c r="AN772" s="0" t="s">
        <v>146</v>
      </c>
      <c r="AO772" s="0" t="s">
        <v>250</v>
      </c>
      <c r="AP772" s="0" t="s">
        <v>251</v>
      </c>
      <c r="AQ772" s="0" t="n">
        <v>9</v>
      </c>
      <c r="AR772" s="0" t="n">
        <v>64</v>
      </c>
      <c r="AS772" s="0" t="n">
        <v>32</v>
      </c>
      <c r="AU772" s="0" t="n">
        <f aca="false">COUNTA($BA$2583:$EH$2583)</f>
        <v>19</v>
      </c>
      <c r="AV772" s="0" t="n">
        <f aca="false">COUNTIF($BA$2583:$EH$2583,"D")</f>
        <v>5</v>
      </c>
      <c r="AW772" s="0" t="n">
        <f aca="false">COUNTIF($BA$2583:$EH$2583,"R")</f>
        <v>0</v>
      </c>
      <c r="AX772" s="0" t="n">
        <f aca="false"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>0</v>
      </c>
      <c r="AY772" s="0" t="n">
        <f aca="false">COUNTIF(DU772:EH772, "&lt;&gt;")</f>
        <v>0</v>
      </c>
      <c r="AZ772" s="0" t="n">
        <f aca="false">IF(EH772&lt;&gt;"",1,0)</f>
        <v>0</v>
      </c>
      <c r="BB772" s="0" t="s">
        <v>153</v>
      </c>
    </row>
    <row r="773" customFormat="false" ht="13.8" hidden="true" customHeight="false" outlineLevel="0" collapsed="false">
      <c r="A773" s="0" t="s">
        <v>3891</v>
      </c>
      <c r="B773" s="0" t="n">
        <v>78</v>
      </c>
      <c r="C773" s="0" t="n">
        <v>429678</v>
      </c>
      <c r="D773" s="0" t="s">
        <v>3892</v>
      </c>
      <c r="E773" s="0" t="s">
        <v>3893</v>
      </c>
      <c r="F773" s="0" t="str">
        <f aca="false">CONCATENATE(D773," ",LEFT(H773,4),"T=",AU773,"D=",AV773,"R=",AW773,"M=",AX773,"L=",AY773,"B=",AZ773)</f>
        <v>YARTZ T=11D=1R=0M=0L=0B=0</v>
      </c>
      <c r="G773" s="0" t="s">
        <v>1131</v>
      </c>
      <c r="I773" s="0" t="s">
        <v>3894</v>
      </c>
      <c r="J773" s="0" t="s">
        <v>3895</v>
      </c>
      <c r="K773" s="0" t="s">
        <v>144</v>
      </c>
      <c r="L773" s="0"/>
      <c r="M773" s="0" t="s">
        <v>3861</v>
      </c>
      <c r="N773" s="0" t="str">
        <f aca="false">RIGHT(M773,LEN(M773)-FIND(" ",M773))</f>
        <v>DOUGLAS ST NW</v>
      </c>
      <c r="O773" s="0" t="s">
        <v>3896</v>
      </c>
      <c r="P773" s="0" t="s">
        <v>146</v>
      </c>
      <c r="Q773" s="0" t="s">
        <v>147</v>
      </c>
      <c r="R773" s="0" t="n">
        <v>44483</v>
      </c>
      <c r="AD773" s="0" t="s">
        <v>148</v>
      </c>
      <c r="AE773" s="0" t="s">
        <v>149</v>
      </c>
      <c r="AF773" s="0" t="s">
        <v>150</v>
      </c>
      <c r="AH773" s="0" t="n">
        <v>14</v>
      </c>
      <c r="AI773" s="0" t="n">
        <v>11</v>
      </c>
      <c r="AN773" s="0" t="s">
        <v>146</v>
      </c>
      <c r="AO773" s="0" t="s">
        <v>250</v>
      </c>
      <c r="AP773" s="0" t="s">
        <v>251</v>
      </c>
      <c r="AQ773" s="0" t="n">
        <v>9</v>
      </c>
      <c r="AR773" s="0" t="n">
        <v>64</v>
      </c>
      <c r="AS773" s="0" t="n">
        <v>32</v>
      </c>
      <c r="AU773" s="0" t="n">
        <f aca="false">COUNTA($BA$2733:$EH$2733)</f>
        <v>11</v>
      </c>
      <c r="AV773" s="0" t="n">
        <f aca="false">COUNTIF($BA$2733:$EH$2733,"D")</f>
        <v>1</v>
      </c>
      <c r="AW773" s="0" t="n">
        <f aca="false">COUNTIF($BA$2733:$EH$2733,"R")</f>
        <v>0</v>
      </c>
      <c r="AX773" s="0" t="n">
        <f aca="false"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>0</v>
      </c>
      <c r="AY773" s="0" t="n">
        <f aca="false">COUNTIF(DU773:EH773, "&lt;&gt;")</f>
        <v>0</v>
      </c>
      <c r="AZ773" s="0" t="n">
        <f aca="false">IF(EH773&lt;&gt;"",1,0)</f>
        <v>0</v>
      </c>
      <c r="BB773" s="0" t="s">
        <v>153</v>
      </c>
    </row>
    <row r="774" customFormat="false" ht="13.8" hidden="true" customHeight="false" outlineLevel="0" collapsed="false">
      <c r="A774" s="0" t="s">
        <v>3897</v>
      </c>
      <c r="B774" s="0" t="n">
        <v>78</v>
      </c>
      <c r="C774" s="0" t="n">
        <v>393977</v>
      </c>
      <c r="D774" s="0" t="s">
        <v>3898</v>
      </c>
      <c r="E774" s="0" t="s">
        <v>3899</v>
      </c>
      <c r="F774" s="0" t="str">
        <f aca="false">CONCATENATE(D774," ",LEFT(H774,4),"T=",AU774,"D=",AV774,"R=",AW774,"M=",AX774,"L=",AY774,"B=",AZ774)</f>
        <v>GAY T=12D=1R=2M=0L=0B=0</v>
      </c>
      <c r="G774" s="0" t="s">
        <v>181</v>
      </c>
      <c r="I774" s="0" t="s">
        <v>3900</v>
      </c>
      <c r="J774" s="0" t="s">
        <v>1494</v>
      </c>
      <c r="K774" s="0" t="s">
        <v>144</v>
      </c>
      <c r="L774" s="0"/>
      <c r="M774" s="0" t="s">
        <v>3861</v>
      </c>
      <c r="N774" s="0" t="str">
        <f aca="false">RIGHT(M774,LEN(M774)-FIND(" ",M774))</f>
        <v>DOUGLAS ST NW</v>
      </c>
      <c r="O774" s="0" t="s">
        <v>3901</v>
      </c>
      <c r="P774" s="0" t="s">
        <v>146</v>
      </c>
      <c r="Q774" s="0" t="s">
        <v>147</v>
      </c>
      <c r="R774" s="0" t="n">
        <v>44483</v>
      </c>
      <c r="AD774" s="0" t="s">
        <v>148</v>
      </c>
      <c r="AE774" s="0" t="s">
        <v>149</v>
      </c>
      <c r="AF774" s="0" t="s">
        <v>150</v>
      </c>
      <c r="AH774" s="0" t="n">
        <v>14</v>
      </c>
      <c r="AI774" s="0" t="n">
        <v>11</v>
      </c>
      <c r="AN774" s="0" t="s">
        <v>146</v>
      </c>
      <c r="AO774" s="0" t="s">
        <v>250</v>
      </c>
      <c r="AP774" s="0" t="s">
        <v>251</v>
      </c>
      <c r="AQ774" s="0" t="n">
        <v>9</v>
      </c>
      <c r="AR774" s="0" t="n">
        <v>64</v>
      </c>
      <c r="AS774" s="0" t="n">
        <v>32</v>
      </c>
      <c r="AU774" s="0" t="n">
        <f aca="false">COUNTA($BA$2735:$EH$2735)</f>
        <v>12</v>
      </c>
      <c r="AV774" s="0" t="n">
        <f aca="false">COUNTIF($BA$2735:$EH$2735,"D")</f>
        <v>1</v>
      </c>
      <c r="AW774" s="0" t="n">
        <f aca="false">COUNTIF($BA$2735:$EH$2735,"R")</f>
        <v>2</v>
      </c>
      <c r="AX774" s="0" t="n">
        <f aca="false"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>0</v>
      </c>
      <c r="AY774" s="0" t="n">
        <f aca="false">COUNTIF(DU774:EH774, "&lt;&gt;")</f>
        <v>0</v>
      </c>
      <c r="AZ774" s="0" t="n">
        <f aca="false">IF(EH774&lt;&gt;"",1,0)</f>
        <v>0</v>
      </c>
      <c r="BB774" s="0" t="s">
        <v>153</v>
      </c>
    </row>
    <row r="775" customFormat="false" ht="13.8" hidden="true" customHeight="false" outlineLevel="0" collapsed="false">
      <c r="A775" s="0" t="s">
        <v>3902</v>
      </c>
      <c r="B775" s="0" t="n">
        <v>78</v>
      </c>
      <c r="C775" s="0" t="n">
        <v>378331</v>
      </c>
      <c r="D775" s="0" t="s">
        <v>3903</v>
      </c>
      <c r="E775" s="0" t="s">
        <v>3904</v>
      </c>
      <c r="F775" s="0" t="str">
        <f aca="false">CONCATENATE(D775," ",LEFT(H775,4),"T=",AU775,"D=",AV775,"R=",AW775,"M=",AX775,"L=",AY775,"B=",AZ775)</f>
        <v>STEWART T=2D=0R=0M=0L=0B=0</v>
      </c>
      <c r="G775" s="0" t="s">
        <v>159</v>
      </c>
      <c r="I775" s="0" t="s">
        <v>3905</v>
      </c>
      <c r="J775" s="0" t="s">
        <v>3906</v>
      </c>
      <c r="K775" s="0" t="s">
        <v>144</v>
      </c>
      <c r="L775" s="0"/>
      <c r="M775" s="0" t="s">
        <v>3861</v>
      </c>
      <c r="N775" s="0" t="str">
        <f aca="false">RIGHT(M775,LEN(M775)-FIND(" ",M775))</f>
        <v>DOUGLAS ST NW</v>
      </c>
      <c r="P775" s="0" t="s">
        <v>146</v>
      </c>
      <c r="Q775" s="0" t="s">
        <v>147</v>
      </c>
      <c r="R775" s="0" t="n">
        <v>44483</v>
      </c>
      <c r="AD775" s="0" t="s">
        <v>148</v>
      </c>
      <c r="AE775" s="0" t="s">
        <v>149</v>
      </c>
      <c r="AF775" s="0" t="s">
        <v>150</v>
      </c>
      <c r="AH775" s="0" t="n">
        <v>14</v>
      </c>
      <c r="AI775" s="0" t="n">
        <v>11</v>
      </c>
      <c r="AN775" s="0" t="s">
        <v>146</v>
      </c>
      <c r="AO775" s="0" t="s">
        <v>250</v>
      </c>
      <c r="AP775" s="0" t="s">
        <v>251</v>
      </c>
      <c r="AQ775" s="0" t="n">
        <v>9</v>
      </c>
      <c r="AR775" s="0" t="n">
        <v>64</v>
      </c>
      <c r="AS775" s="0" t="n">
        <v>32</v>
      </c>
      <c r="AU775" s="0" t="n">
        <f aca="false">COUNTA($BA$2748:$EH$2748)</f>
        <v>2</v>
      </c>
      <c r="AV775" s="0" t="n">
        <f aca="false">COUNTIF($BA$2748:$EH$2748,"D")</f>
        <v>0</v>
      </c>
      <c r="AW775" s="0" t="n">
        <f aca="false">COUNTIF($BA$2748:$EH$2748,"R")</f>
        <v>0</v>
      </c>
      <c r="AX775" s="0" t="n">
        <f aca="false"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>0</v>
      </c>
      <c r="AY775" s="0" t="n">
        <f aca="false">COUNTIF(DU775:EH775, "&lt;&gt;")</f>
        <v>0</v>
      </c>
      <c r="AZ775" s="0" t="n">
        <f aca="false">IF(EH775&lt;&gt;"",1,0)</f>
        <v>0</v>
      </c>
      <c r="BB775" s="0" t="s">
        <v>153</v>
      </c>
    </row>
    <row r="776" customFormat="false" ht="13.8" hidden="false" customHeight="false" outlineLevel="0" collapsed="false">
      <c r="A776" s="0" t="s">
        <v>3907</v>
      </c>
      <c r="B776" s="0" t="n">
        <v>78</v>
      </c>
      <c r="C776" s="0" t="n">
        <v>486761</v>
      </c>
      <c r="D776" s="0" t="s">
        <v>404</v>
      </c>
      <c r="E776" s="0" t="s">
        <v>981</v>
      </c>
      <c r="F776" s="0" t="str">
        <f aca="false">CONCATENATE(D776," ",LEFT(H776,4),"T=",AU776,"D=",AV776,"R=",AW776,"M=",AX776,"L=",AY776,"B=",AZ776)</f>
        <v>CLARK T=30D=5R=0M=0L=3B=0</v>
      </c>
      <c r="G776" s="0" t="s">
        <v>297</v>
      </c>
      <c r="I776" s="0" t="s">
        <v>3908</v>
      </c>
      <c r="J776" s="0" t="s">
        <v>3909</v>
      </c>
      <c r="K776" s="0" t="s">
        <v>175</v>
      </c>
      <c r="M776" s="0" t="s">
        <v>3910</v>
      </c>
      <c r="N776" s="0" t="str">
        <f aca="false">RIGHT(M776,LEN(M776)-FIND(" ",M776))</f>
        <v>DOUGLAS ST NW</v>
      </c>
      <c r="P776" s="0" t="s">
        <v>146</v>
      </c>
      <c r="Q776" s="0" t="s">
        <v>147</v>
      </c>
      <c r="R776" s="0" t="n">
        <v>44483</v>
      </c>
      <c r="AD776" s="0" t="s">
        <v>148</v>
      </c>
      <c r="AE776" s="0" t="s">
        <v>149</v>
      </c>
      <c r="AF776" s="0" t="s">
        <v>150</v>
      </c>
      <c r="AH776" s="0" t="n">
        <v>14</v>
      </c>
      <c r="AI776" s="0" t="n">
        <v>11</v>
      </c>
      <c r="AN776" s="0" t="s">
        <v>146</v>
      </c>
      <c r="AO776" s="0" t="s">
        <v>250</v>
      </c>
      <c r="AP776" s="0" t="s">
        <v>251</v>
      </c>
      <c r="AQ776" s="0" t="n">
        <v>9</v>
      </c>
      <c r="AR776" s="0" t="n">
        <v>64</v>
      </c>
      <c r="AS776" s="0" t="n">
        <v>32</v>
      </c>
      <c r="AU776" s="0" t="n">
        <f aca="false">COUNTA($BA$2739:$EH$2739)</f>
        <v>30</v>
      </c>
      <c r="AV776" s="0" t="n">
        <f aca="false">COUNTIF($BA$2739:$EH$2739,"D")</f>
        <v>5</v>
      </c>
      <c r="AW776" s="0" t="n">
        <f aca="false">COUNTIF($BA$2739:$EH$2739,"R")</f>
        <v>0</v>
      </c>
      <c r="AX776" s="0" t="n">
        <f aca="false"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>0</v>
      </c>
      <c r="AY776" s="0" t="n">
        <f aca="false">COUNTIF(DU776:EH776, "&lt;&gt;")</f>
        <v>3</v>
      </c>
      <c r="AZ776" s="0" t="n">
        <f aca="false">IF(EH776&lt;&gt;"",1,0)</f>
        <v>0</v>
      </c>
      <c r="BB776" s="0" t="s">
        <v>153</v>
      </c>
      <c r="CK776" s="0" t="s">
        <v>154</v>
      </c>
      <c r="CN776" s="0" t="s">
        <v>154</v>
      </c>
      <c r="CO776" s="0" t="s">
        <v>176</v>
      </c>
      <c r="DG776" s="0" t="s">
        <v>176</v>
      </c>
      <c r="DI776" s="0" t="s">
        <v>154</v>
      </c>
      <c r="DJ776" s="0" t="s">
        <v>154</v>
      </c>
      <c r="DL776" s="0" t="s">
        <v>154</v>
      </c>
      <c r="DN776" s="0" t="s">
        <v>154</v>
      </c>
      <c r="DR776" s="0" t="s">
        <v>154</v>
      </c>
      <c r="DS776" s="0" t="s">
        <v>176</v>
      </c>
      <c r="DT776" s="0" t="s">
        <v>176</v>
      </c>
      <c r="DU776" s="0" t="s">
        <v>154</v>
      </c>
      <c r="DX776" s="0" t="s">
        <v>154</v>
      </c>
      <c r="EA776" s="0" t="s">
        <v>154</v>
      </c>
    </row>
    <row r="777" customFormat="false" ht="13.8" hidden="true" customHeight="false" outlineLevel="0" collapsed="false">
      <c r="A777" s="0" t="s">
        <v>3911</v>
      </c>
      <c r="B777" s="0" t="n">
        <v>78</v>
      </c>
      <c r="C777" s="0" t="n">
        <v>485273</v>
      </c>
      <c r="D777" s="0" t="s">
        <v>669</v>
      </c>
      <c r="E777" s="0" t="s">
        <v>3912</v>
      </c>
      <c r="F777" s="0" t="str">
        <f aca="false">CONCATENATE(D777," ",LEFT(H777,4),"T=",AU777,"D=",AV777,"R=",AW777,"M=",AX777,"L=",AY777,"B=",AZ777)</f>
        <v>SKINNER T=8D=1R=0M=0L=0B=0</v>
      </c>
      <c r="G777" s="0" t="s">
        <v>297</v>
      </c>
      <c r="I777" s="0" t="s">
        <v>3913</v>
      </c>
      <c r="J777" s="0" t="s">
        <v>1474</v>
      </c>
      <c r="K777" s="0" t="s">
        <v>175</v>
      </c>
      <c r="L777" s="0"/>
      <c r="M777" s="0" t="s">
        <v>3914</v>
      </c>
      <c r="N777" s="0" t="str">
        <f aca="false">RIGHT(M777,LEN(M777)-FIND(" ",M777))</f>
        <v>DOUGLAS ST NW</v>
      </c>
      <c r="P777" s="0" t="s">
        <v>146</v>
      </c>
      <c r="Q777" s="0" t="s">
        <v>147</v>
      </c>
      <c r="R777" s="0" t="n">
        <v>44483</v>
      </c>
      <c r="AD777" s="0" t="s">
        <v>148</v>
      </c>
      <c r="AE777" s="0" t="s">
        <v>149</v>
      </c>
      <c r="AF777" s="0" t="s">
        <v>150</v>
      </c>
      <c r="AH777" s="0" t="n">
        <v>14</v>
      </c>
      <c r="AI777" s="0" t="n">
        <v>11</v>
      </c>
      <c r="AN777" s="0" t="s">
        <v>146</v>
      </c>
      <c r="AO777" s="0" t="s">
        <v>250</v>
      </c>
      <c r="AP777" s="0" t="s">
        <v>251</v>
      </c>
      <c r="AQ777" s="0" t="n">
        <v>9</v>
      </c>
      <c r="AR777" s="0" t="n">
        <v>64</v>
      </c>
      <c r="AS777" s="0" t="n">
        <v>32</v>
      </c>
      <c r="AU777" s="0" t="n">
        <f aca="false">COUNTA($BA$2554:$EH$2554)</f>
        <v>8</v>
      </c>
      <c r="AV777" s="0" t="n">
        <f aca="false">COUNTIF($BA$2554:$EH$2554,"D")</f>
        <v>1</v>
      </c>
      <c r="AW777" s="0" t="n">
        <f aca="false">COUNTIF($BA$2554:$EH$2554,"R")</f>
        <v>0</v>
      </c>
      <c r="AX777" s="0" t="n">
        <f aca="false"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>0</v>
      </c>
      <c r="AY777" s="0" t="n">
        <f aca="false">COUNTIF(DU777:EH777, "&lt;&gt;")</f>
        <v>0</v>
      </c>
      <c r="AZ777" s="0" t="n">
        <f aca="false">IF(EH777&lt;&gt;"",1,0)</f>
        <v>0</v>
      </c>
      <c r="BB777" s="0" t="s">
        <v>153</v>
      </c>
    </row>
    <row r="778" customFormat="false" ht="13.8" hidden="true" customHeight="false" outlineLevel="0" collapsed="false">
      <c r="A778" s="0" t="s">
        <v>3915</v>
      </c>
      <c r="B778" s="0" t="n">
        <v>78</v>
      </c>
      <c r="C778" s="0" t="n">
        <v>412719</v>
      </c>
      <c r="D778" s="0" t="s">
        <v>703</v>
      </c>
      <c r="E778" s="0" t="s">
        <v>3916</v>
      </c>
      <c r="F778" s="0" t="str">
        <f aca="false">CONCATENATE(D778," ",LEFT(H778,4),"T=",AU778,"D=",AV778,"R=",AW778,"M=",AX778,"L=",AY778,"B=",AZ778)</f>
        <v>WADE T=50D=17R=0M=0L=0B=0</v>
      </c>
      <c r="G778" s="0" t="s">
        <v>155</v>
      </c>
      <c r="I778" s="0" t="s">
        <v>3917</v>
      </c>
      <c r="J778" s="0" t="s">
        <v>504</v>
      </c>
      <c r="K778" s="0" t="s">
        <v>175</v>
      </c>
      <c r="L778" s="0"/>
      <c r="M778" s="0" t="s">
        <v>3918</v>
      </c>
      <c r="N778" s="0" t="str">
        <f aca="false">RIGHT(M778,LEN(M778)-FIND(" ",M778))</f>
        <v>DOUGLAS ST NW</v>
      </c>
      <c r="P778" s="0" t="s">
        <v>146</v>
      </c>
      <c r="Q778" s="0" t="s">
        <v>147</v>
      </c>
      <c r="R778" s="0" t="n">
        <v>44483</v>
      </c>
      <c r="AD778" s="0" t="s">
        <v>148</v>
      </c>
      <c r="AE778" s="0" t="s">
        <v>149</v>
      </c>
      <c r="AF778" s="0" t="s">
        <v>150</v>
      </c>
      <c r="AH778" s="0" t="n">
        <v>14</v>
      </c>
      <c r="AI778" s="0" t="n">
        <v>11</v>
      </c>
      <c r="AN778" s="0" t="s">
        <v>146</v>
      </c>
      <c r="AO778" s="0" t="s">
        <v>250</v>
      </c>
      <c r="AP778" s="0" t="s">
        <v>251</v>
      </c>
      <c r="AQ778" s="0" t="n">
        <v>9</v>
      </c>
      <c r="AR778" s="0" t="n">
        <v>64</v>
      </c>
      <c r="AS778" s="0" t="n">
        <v>32</v>
      </c>
      <c r="AU778" s="0" t="n">
        <f aca="false">COUNTA($BA$2519:$EH$2519)</f>
        <v>50</v>
      </c>
      <c r="AV778" s="0" t="n">
        <f aca="false">COUNTIF($BA$2519:$EH$2519,"D")</f>
        <v>17</v>
      </c>
      <c r="AW778" s="0" t="n">
        <f aca="false">COUNTIF($BA$2519:$EH$2519,"R")</f>
        <v>0</v>
      </c>
      <c r="AX778" s="0" t="n">
        <f aca="false"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>0</v>
      </c>
      <c r="AY778" s="0" t="n">
        <f aca="false">COUNTIF(DU778:EH778, "&lt;&gt;")</f>
        <v>0</v>
      </c>
      <c r="AZ778" s="0" t="n">
        <f aca="false">IF(EH778&lt;&gt;"",1,0)</f>
        <v>0</v>
      </c>
      <c r="BB778" s="0" t="s">
        <v>153</v>
      </c>
      <c r="DI778" s="0" t="s">
        <v>154</v>
      </c>
    </row>
    <row r="779" customFormat="false" ht="13.8" hidden="true" customHeight="false" outlineLevel="0" collapsed="false">
      <c r="A779" s="0" t="s">
        <v>3919</v>
      </c>
      <c r="B779" s="0" t="n">
        <v>78</v>
      </c>
      <c r="C779" s="0" t="n">
        <v>459229</v>
      </c>
      <c r="D779" s="0" t="s">
        <v>3920</v>
      </c>
      <c r="E779" s="0" t="s">
        <v>3921</v>
      </c>
      <c r="F779" s="0" t="str">
        <f aca="false">CONCATENATE(D779," ",LEFT(H779,4),"T=",AU779,"D=",AV779,"R=",AW779,"M=",AX779,"L=",AY779,"B=",AZ779)</f>
        <v>SCRUGGS T=49D=16R=0M=0L=0B=0</v>
      </c>
      <c r="G779" s="0" t="s">
        <v>376</v>
      </c>
      <c r="I779" s="0" t="s">
        <v>3922</v>
      </c>
      <c r="J779" s="0" t="s">
        <v>3923</v>
      </c>
      <c r="K779" s="0" t="s">
        <v>175</v>
      </c>
      <c r="L779" s="0"/>
      <c r="M779" s="0" t="s">
        <v>3918</v>
      </c>
      <c r="N779" s="0" t="str">
        <f aca="false">RIGHT(M779,LEN(M779)-FIND(" ",M779))</f>
        <v>DOUGLAS ST NW</v>
      </c>
      <c r="P779" s="0" t="s">
        <v>146</v>
      </c>
      <c r="Q779" s="0" t="s">
        <v>147</v>
      </c>
      <c r="R779" s="0" t="n">
        <v>44483</v>
      </c>
      <c r="AD779" s="0" t="s">
        <v>148</v>
      </c>
      <c r="AE779" s="0" t="s">
        <v>149</v>
      </c>
      <c r="AF779" s="0" t="s">
        <v>150</v>
      </c>
      <c r="AH779" s="0" t="n">
        <v>14</v>
      </c>
      <c r="AI779" s="0" t="n">
        <v>11</v>
      </c>
      <c r="AN779" s="0" t="s">
        <v>146</v>
      </c>
      <c r="AO779" s="0" t="s">
        <v>250</v>
      </c>
      <c r="AP779" s="0" t="s">
        <v>251</v>
      </c>
      <c r="AQ779" s="0" t="n">
        <v>9</v>
      </c>
      <c r="AR779" s="0" t="n">
        <v>64</v>
      </c>
      <c r="AS779" s="0" t="n">
        <v>32</v>
      </c>
      <c r="AU779" s="0" t="n">
        <f aca="false">COUNTA($BA$2803:$EH$2803)</f>
        <v>49</v>
      </c>
      <c r="AV779" s="0" t="n">
        <f aca="false">COUNTIF($BA$2803:$EH$2803,"D")</f>
        <v>16</v>
      </c>
      <c r="AW779" s="0" t="n">
        <f aca="false">COUNTIF($BA$2803:$EH$2803,"R")</f>
        <v>0</v>
      </c>
      <c r="AX779" s="0" t="n">
        <f aca="false"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>0</v>
      </c>
      <c r="AY779" s="0" t="n">
        <f aca="false">COUNTIF(DU779:EH779, "&lt;&gt;")</f>
        <v>0</v>
      </c>
      <c r="AZ779" s="0" t="n">
        <f aca="false">IF(EH779&lt;&gt;"",1,0)</f>
        <v>0</v>
      </c>
      <c r="BB779" s="0" t="s">
        <v>153</v>
      </c>
      <c r="CP779" s="0" t="s">
        <v>154</v>
      </c>
    </row>
    <row r="780" customFormat="false" ht="13.8" hidden="true" customHeight="false" outlineLevel="0" collapsed="false">
      <c r="A780" s="0" t="s">
        <v>3924</v>
      </c>
      <c r="B780" s="0" t="n">
        <v>78</v>
      </c>
      <c r="C780" s="0" t="n">
        <v>365374</v>
      </c>
      <c r="D780" s="0" t="s">
        <v>2695</v>
      </c>
      <c r="E780" s="0" t="s">
        <v>1117</v>
      </c>
      <c r="F780" s="0" t="str">
        <f aca="false">CONCATENATE(D780," ",LEFT(H780,4),"T=",AU780,"D=",AV780,"R=",AW780,"M=",AX780,"L=",AY780,"B=",AZ780)</f>
        <v>HARRIS T=12D=0R=0M=0L=0B=0</v>
      </c>
      <c r="G780" s="0" t="s">
        <v>1910</v>
      </c>
      <c r="I780" s="0" t="s">
        <v>3925</v>
      </c>
      <c r="J780" s="0" t="s">
        <v>1570</v>
      </c>
      <c r="K780" s="0" t="s">
        <v>144</v>
      </c>
      <c r="L780" s="0"/>
      <c r="M780" s="0" t="s">
        <v>3926</v>
      </c>
      <c r="N780" s="0" t="str">
        <f aca="false">RIGHT(M780,LEN(M780)-FIND(" ",M780))</f>
        <v>DOUGLAS ST NW</v>
      </c>
      <c r="P780" s="0" t="s">
        <v>146</v>
      </c>
      <c r="Q780" s="0" t="s">
        <v>147</v>
      </c>
      <c r="R780" s="0" t="n">
        <v>44483</v>
      </c>
      <c r="AD780" s="0" t="s">
        <v>148</v>
      </c>
      <c r="AE780" s="0" t="s">
        <v>149</v>
      </c>
      <c r="AF780" s="0" t="s">
        <v>150</v>
      </c>
      <c r="AH780" s="0" t="n">
        <v>14</v>
      </c>
      <c r="AI780" s="0" t="n">
        <v>11</v>
      </c>
      <c r="AN780" s="0" t="s">
        <v>146</v>
      </c>
      <c r="AO780" s="0" t="s">
        <v>250</v>
      </c>
      <c r="AP780" s="0" t="s">
        <v>251</v>
      </c>
      <c r="AQ780" s="0" t="n">
        <v>9</v>
      </c>
      <c r="AR780" s="0" t="n">
        <v>64</v>
      </c>
      <c r="AS780" s="0" t="n">
        <v>32</v>
      </c>
      <c r="AU780" s="0" t="n">
        <f aca="false">COUNTA($BA$2488:$EH$2488)</f>
        <v>12</v>
      </c>
      <c r="AV780" s="0" t="n">
        <f aca="false">COUNTIF($BA$2488:$EH$2488,"D")</f>
        <v>0</v>
      </c>
      <c r="AW780" s="0" t="n">
        <f aca="false">COUNTIF($BA$2488:$EH$2488,"R")</f>
        <v>0</v>
      </c>
      <c r="AX780" s="0" t="n">
        <f aca="false"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>0</v>
      </c>
      <c r="AY780" s="0" t="n">
        <f aca="false">COUNTIF(DU780:EH780, "&lt;&gt;")</f>
        <v>0</v>
      </c>
      <c r="AZ780" s="0" t="n">
        <f aca="false">IF(EH780&lt;&gt;"",1,0)</f>
        <v>0</v>
      </c>
      <c r="BB780" s="0" t="s">
        <v>153</v>
      </c>
      <c r="CA780" s="0" t="s">
        <v>154</v>
      </c>
      <c r="CP780" s="0" t="s">
        <v>154</v>
      </c>
    </row>
    <row r="781" customFormat="false" ht="13.8" hidden="true" customHeight="false" outlineLevel="0" collapsed="false">
      <c r="A781" s="0" t="s">
        <v>3927</v>
      </c>
      <c r="B781" s="0" t="n">
        <v>78</v>
      </c>
      <c r="C781" s="0" t="n">
        <v>446438</v>
      </c>
      <c r="D781" s="0" t="s">
        <v>3928</v>
      </c>
      <c r="E781" s="0" t="s">
        <v>3929</v>
      </c>
      <c r="F781" s="0" t="str">
        <f aca="false">CONCATENATE(D781," ",LEFT(H781,4),"T=",AU781,"D=",AV781,"R=",AW781,"M=",AX781,"L=",AY781,"B=",AZ781)</f>
        <v>BEHNER T=1D=0R=0M=0L=0B=0</v>
      </c>
      <c r="G781" s="0" t="s">
        <v>241</v>
      </c>
      <c r="I781" s="0" t="s">
        <v>3761</v>
      </c>
      <c r="J781" s="0" t="s">
        <v>3930</v>
      </c>
      <c r="K781" s="0" t="s">
        <v>144</v>
      </c>
      <c r="L781" s="0"/>
      <c r="M781" s="0" t="s">
        <v>3926</v>
      </c>
      <c r="N781" s="0" t="str">
        <f aca="false">RIGHT(M781,LEN(M781)-FIND(" ",M781))</f>
        <v>DOUGLAS ST NW</v>
      </c>
      <c r="P781" s="0" t="s">
        <v>146</v>
      </c>
      <c r="Q781" s="0" t="s">
        <v>147</v>
      </c>
      <c r="R781" s="0" t="n">
        <v>44483</v>
      </c>
      <c r="AD781" s="0" t="s">
        <v>148</v>
      </c>
      <c r="AE781" s="0" t="s">
        <v>149</v>
      </c>
      <c r="AF781" s="0" t="s">
        <v>150</v>
      </c>
      <c r="AH781" s="0" t="n">
        <v>14</v>
      </c>
      <c r="AI781" s="0" t="n">
        <v>11</v>
      </c>
      <c r="AN781" s="0" t="s">
        <v>146</v>
      </c>
      <c r="AO781" s="0" t="s">
        <v>250</v>
      </c>
      <c r="AP781" s="0" t="s">
        <v>251</v>
      </c>
      <c r="AQ781" s="0" t="n">
        <v>9</v>
      </c>
      <c r="AR781" s="0" t="n">
        <v>64</v>
      </c>
      <c r="AS781" s="0" t="n">
        <v>32</v>
      </c>
      <c r="AU781" s="0" t="n">
        <f aca="false">COUNTA($BA$2686:$EH$2686)</f>
        <v>1</v>
      </c>
      <c r="AV781" s="0" t="n">
        <f aca="false">COUNTIF($BA$2686:$EH$2686,"D")</f>
        <v>0</v>
      </c>
      <c r="AW781" s="0" t="n">
        <f aca="false">COUNTIF($BA$2686:$EH$2686,"R")</f>
        <v>0</v>
      </c>
      <c r="AX781" s="0" t="n">
        <f aca="false"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>0</v>
      </c>
      <c r="AY781" s="0" t="n">
        <f aca="false">COUNTIF(DU781:EH781, "&lt;&gt;")</f>
        <v>0</v>
      </c>
      <c r="AZ781" s="0" t="n">
        <f aca="false">IF(EH781&lt;&gt;"",1,0)</f>
        <v>0</v>
      </c>
      <c r="BB781" s="0" t="s">
        <v>153</v>
      </c>
    </row>
    <row r="782" customFormat="false" ht="13.8" hidden="true" customHeight="false" outlineLevel="0" collapsed="false">
      <c r="A782" s="0" t="s">
        <v>3931</v>
      </c>
      <c r="B782" s="0" t="n">
        <v>78</v>
      </c>
      <c r="C782" s="0" t="n">
        <v>437810</v>
      </c>
      <c r="D782" s="0" t="s">
        <v>3932</v>
      </c>
      <c r="E782" s="0" t="s">
        <v>3933</v>
      </c>
      <c r="F782" s="0" t="str">
        <f aca="false">CONCATENATE(D782," ",LEFT(H782,4),"T=",AU782,"D=",AV782,"R=",AW782,"M=",AX782,"L=",AY782,"B=",AZ782)</f>
        <v>NICHOLS T=2D=0R=0M=0L=0B=0</v>
      </c>
      <c r="G782" s="0" t="s">
        <v>329</v>
      </c>
      <c r="I782" s="0" t="s">
        <v>3934</v>
      </c>
      <c r="J782" s="0" t="s">
        <v>1091</v>
      </c>
      <c r="K782" s="0" t="s">
        <v>144</v>
      </c>
      <c r="L782" s="0"/>
      <c r="M782" s="0" t="s">
        <v>3935</v>
      </c>
      <c r="N782" s="0" t="str">
        <f aca="false">RIGHT(M782,LEN(M782)-FIND(" ",M782))</f>
        <v>DOUGLAS ST NW</v>
      </c>
      <c r="P782" s="0" t="s">
        <v>146</v>
      </c>
      <c r="Q782" s="0" t="s">
        <v>147</v>
      </c>
      <c r="R782" s="0" t="n">
        <v>44483</v>
      </c>
      <c r="AD782" s="0" t="s">
        <v>148</v>
      </c>
      <c r="AE782" s="0" t="s">
        <v>149</v>
      </c>
      <c r="AF782" s="0" t="s">
        <v>150</v>
      </c>
      <c r="AH782" s="0" t="n">
        <v>14</v>
      </c>
      <c r="AI782" s="0" t="n">
        <v>11</v>
      </c>
      <c r="AN782" s="0" t="s">
        <v>146</v>
      </c>
      <c r="AO782" s="0" t="s">
        <v>250</v>
      </c>
      <c r="AP782" s="0" t="s">
        <v>251</v>
      </c>
      <c r="AQ782" s="0" t="n">
        <v>9</v>
      </c>
      <c r="AR782" s="0" t="n">
        <v>64</v>
      </c>
      <c r="AS782" s="0" t="n">
        <v>32</v>
      </c>
      <c r="AU782" s="0" t="n">
        <f aca="false">COUNTA($BA$2225:$EH$2225)</f>
        <v>2</v>
      </c>
      <c r="AV782" s="0" t="n">
        <f aca="false">COUNTIF($BA$2225:$EH$2225,"D")</f>
        <v>0</v>
      </c>
      <c r="AW782" s="0" t="n">
        <f aca="false">COUNTIF($BA$2225:$EH$2225,"R")</f>
        <v>0</v>
      </c>
      <c r="AX782" s="0" t="n">
        <f aca="false"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>0</v>
      </c>
      <c r="AY782" s="0" t="n">
        <f aca="false">COUNTIF(DU782:EH782, "&lt;&gt;")</f>
        <v>0</v>
      </c>
      <c r="AZ782" s="0" t="n">
        <f aca="false">IF(EH782&lt;&gt;"",1,0)</f>
        <v>0</v>
      </c>
      <c r="BB782" s="0" t="s">
        <v>153</v>
      </c>
    </row>
    <row r="783" customFormat="false" ht="13.8" hidden="true" customHeight="false" outlineLevel="0" collapsed="false">
      <c r="A783" s="0" t="s">
        <v>3936</v>
      </c>
      <c r="B783" s="0" t="n">
        <v>78</v>
      </c>
      <c r="C783" s="0" t="n">
        <v>410690</v>
      </c>
      <c r="D783" s="0" t="s">
        <v>3937</v>
      </c>
      <c r="E783" s="0" t="s">
        <v>375</v>
      </c>
      <c r="F783" s="0" t="str">
        <f aca="false">CONCATENATE(D783," ",LEFT(H783,4),"T=",AU783,"D=",AV783,"R=",AW783,"M=",AX783,"L=",AY783,"B=",AZ783)</f>
        <v>MCCANN T=7D=1R=0M=0L=0B=0</v>
      </c>
      <c r="G783" s="0" t="s">
        <v>241</v>
      </c>
      <c r="I783" s="0" t="s">
        <v>3938</v>
      </c>
      <c r="J783" s="0" t="s">
        <v>3939</v>
      </c>
      <c r="K783" s="0" t="s">
        <v>175</v>
      </c>
      <c r="L783" s="0"/>
      <c r="M783" s="0" t="s">
        <v>3940</v>
      </c>
      <c r="N783" s="0" t="str">
        <f aca="false">RIGHT(M783,LEN(M783)-FIND(" ",M783))</f>
        <v>DOUGLAS ST NW</v>
      </c>
      <c r="P783" s="0" t="s">
        <v>146</v>
      </c>
      <c r="Q783" s="0" t="s">
        <v>147</v>
      </c>
      <c r="R783" s="0" t="n">
        <v>44483</v>
      </c>
      <c r="AD783" s="0" t="s">
        <v>148</v>
      </c>
      <c r="AE783" s="0" t="s">
        <v>149</v>
      </c>
      <c r="AF783" s="0" t="s">
        <v>150</v>
      </c>
      <c r="AH783" s="0" t="n">
        <v>14</v>
      </c>
      <c r="AI783" s="0" t="n">
        <v>11</v>
      </c>
      <c r="AN783" s="0" t="s">
        <v>146</v>
      </c>
      <c r="AO783" s="0" t="s">
        <v>250</v>
      </c>
      <c r="AP783" s="0" t="s">
        <v>251</v>
      </c>
      <c r="AQ783" s="0" t="n">
        <v>9</v>
      </c>
      <c r="AR783" s="0" t="n">
        <v>64</v>
      </c>
      <c r="AS783" s="0" t="n">
        <v>32</v>
      </c>
      <c r="AU783" s="0" t="n">
        <f aca="false">COUNTA($BA$2357:$EH$2357)</f>
        <v>7</v>
      </c>
      <c r="AV783" s="0" t="n">
        <f aca="false">COUNTIF($BA$2357:$EH$2357,"D")</f>
        <v>1</v>
      </c>
      <c r="AW783" s="0" t="n">
        <f aca="false">COUNTIF($BA$2357:$EH$2357,"R")</f>
        <v>0</v>
      </c>
      <c r="AX783" s="0" t="n">
        <f aca="false"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>0</v>
      </c>
      <c r="AY783" s="0" t="n">
        <f aca="false">COUNTIF(DU783:EH783, "&lt;&gt;")</f>
        <v>0</v>
      </c>
      <c r="AZ783" s="0" t="n">
        <f aca="false">IF(EH783&lt;&gt;"",1,0)</f>
        <v>0</v>
      </c>
      <c r="BB783" s="0" t="s">
        <v>153</v>
      </c>
    </row>
    <row r="784" customFormat="false" ht="13.8" hidden="true" customHeight="false" outlineLevel="0" collapsed="false">
      <c r="A784" s="0" t="s">
        <v>3941</v>
      </c>
      <c r="B784" s="0" t="n">
        <v>78</v>
      </c>
      <c r="C784" s="0" t="n">
        <v>419236</v>
      </c>
      <c r="D784" s="0" t="s">
        <v>3479</v>
      </c>
      <c r="E784" s="0" t="s">
        <v>3942</v>
      </c>
      <c r="F784" s="0" t="str">
        <f aca="false">CONCATENATE(D784," ",LEFT(H784,4),"T=",AU784,"D=",AV784,"R=",AW784,"M=",AX784,"L=",AY784,"B=",AZ784)</f>
        <v>HAYES T=1D=0R=0M=0L=0B=0</v>
      </c>
      <c r="I784" s="0" t="s">
        <v>3943</v>
      </c>
      <c r="J784" s="0" t="s">
        <v>757</v>
      </c>
      <c r="K784" s="0" t="s">
        <v>175</v>
      </c>
      <c r="L784" s="0"/>
      <c r="M784" s="0" t="s">
        <v>3940</v>
      </c>
      <c r="N784" s="0" t="str">
        <f aca="false">RIGHT(M784,LEN(M784)-FIND(" ",M784))</f>
        <v>DOUGLAS ST NW</v>
      </c>
      <c r="P784" s="0" t="s">
        <v>146</v>
      </c>
      <c r="Q784" s="0" t="s">
        <v>147</v>
      </c>
      <c r="R784" s="0" t="n">
        <v>44483</v>
      </c>
      <c r="AD784" s="0" t="s">
        <v>148</v>
      </c>
      <c r="AE784" s="0" t="s">
        <v>149</v>
      </c>
      <c r="AF784" s="0" t="s">
        <v>150</v>
      </c>
      <c r="AH784" s="0" t="n">
        <v>14</v>
      </c>
      <c r="AI784" s="0" t="n">
        <v>11</v>
      </c>
      <c r="AN784" s="0" t="s">
        <v>146</v>
      </c>
      <c r="AO784" s="0" t="s">
        <v>250</v>
      </c>
      <c r="AP784" s="0" t="s">
        <v>251</v>
      </c>
      <c r="AQ784" s="0" t="n">
        <v>9</v>
      </c>
      <c r="AR784" s="0" t="n">
        <v>64</v>
      </c>
      <c r="AS784" s="0" t="n">
        <v>32</v>
      </c>
      <c r="AU784" s="0" t="n">
        <f aca="false">COUNTA($BA$2530:$EH$2530)</f>
        <v>1</v>
      </c>
      <c r="AV784" s="0" t="n">
        <f aca="false">COUNTIF($BA$2530:$EH$2530,"D")</f>
        <v>0</v>
      </c>
      <c r="AW784" s="0" t="n">
        <f aca="false">COUNTIF($BA$2530:$EH$2530,"R")</f>
        <v>0</v>
      </c>
      <c r="AX784" s="0" t="n">
        <f aca="false"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>0</v>
      </c>
      <c r="AY784" s="0" t="n">
        <f aca="false">COUNTIF(DU784:EH784, "&lt;&gt;")</f>
        <v>0</v>
      </c>
      <c r="AZ784" s="0" t="n">
        <f aca="false">IF(EH784&lt;&gt;"",1,0)</f>
        <v>0</v>
      </c>
      <c r="BB784" s="0" t="s">
        <v>153</v>
      </c>
      <c r="DC784" s="0" t="s">
        <v>154</v>
      </c>
      <c r="DL784" s="0" t="s">
        <v>154</v>
      </c>
    </row>
    <row r="785" customFormat="false" ht="13.8" hidden="true" customHeight="false" outlineLevel="0" collapsed="false">
      <c r="A785" s="0" t="s">
        <v>3944</v>
      </c>
      <c r="B785" s="0" t="n">
        <v>78</v>
      </c>
      <c r="C785" s="0" t="n">
        <v>424562</v>
      </c>
      <c r="D785" s="0" t="s">
        <v>3945</v>
      </c>
      <c r="E785" s="0" t="s">
        <v>3946</v>
      </c>
      <c r="F785" s="0" t="str">
        <f aca="false">CONCATENATE(D785," ",LEFT(H785,4),"T=",AU785,"D=",AV785,"R=",AW785,"M=",AX785,"L=",AY785,"B=",AZ785)</f>
        <v>RIVERS T=9D=0R=0M=0L=0B=0</v>
      </c>
      <c r="G785" s="0" t="s">
        <v>297</v>
      </c>
      <c r="I785" s="0" t="s">
        <v>3947</v>
      </c>
      <c r="J785" s="0" t="s">
        <v>3948</v>
      </c>
      <c r="K785" s="0" t="s">
        <v>144</v>
      </c>
      <c r="L785" s="0"/>
      <c r="M785" s="0" t="s">
        <v>3949</v>
      </c>
      <c r="N785" s="0" t="str">
        <f aca="false">RIGHT(M785,LEN(M785)-FIND(" ",M785))</f>
        <v>DOUGLAS ST NW</v>
      </c>
      <c r="P785" s="0" t="s">
        <v>146</v>
      </c>
      <c r="Q785" s="0" t="s">
        <v>147</v>
      </c>
      <c r="R785" s="0" t="n">
        <v>44483</v>
      </c>
      <c r="AD785" s="0" t="s">
        <v>148</v>
      </c>
      <c r="AE785" s="0" t="s">
        <v>149</v>
      </c>
      <c r="AF785" s="0" t="s">
        <v>150</v>
      </c>
      <c r="AH785" s="0" t="n">
        <v>14</v>
      </c>
      <c r="AI785" s="0" t="n">
        <v>11</v>
      </c>
      <c r="AN785" s="0" t="s">
        <v>146</v>
      </c>
      <c r="AO785" s="0" t="s">
        <v>250</v>
      </c>
      <c r="AP785" s="0" t="s">
        <v>251</v>
      </c>
      <c r="AQ785" s="0" t="n">
        <v>9</v>
      </c>
      <c r="AR785" s="0" t="n">
        <v>64</v>
      </c>
      <c r="AS785" s="0" t="n">
        <v>32</v>
      </c>
      <c r="AU785" s="0" t="n">
        <f aca="false">COUNTA($BA$2208:$EH$2208)</f>
        <v>9</v>
      </c>
      <c r="AV785" s="0" t="n">
        <f aca="false">COUNTIF($BA$2208:$EH$2208,"D")</f>
        <v>0</v>
      </c>
      <c r="AW785" s="0" t="n">
        <f aca="false">COUNTIF($BA$2208:$EH$2208,"R")</f>
        <v>0</v>
      </c>
      <c r="AX785" s="0" t="n">
        <f aca="false"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>0</v>
      </c>
      <c r="AY785" s="0" t="n">
        <f aca="false">COUNTIF(DU785:EH785, "&lt;&gt;")</f>
        <v>0</v>
      </c>
      <c r="AZ785" s="0" t="n">
        <f aca="false">IF(EH785&lt;&gt;"",1,0)</f>
        <v>0</v>
      </c>
      <c r="BB785" s="0" t="s">
        <v>153</v>
      </c>
    </row>
    <row r="786" customFormat="false" ht="13.8" hidden="true" customHeight="false" outlineLevel="0" collapsed="false">
      <c r="A786" s="0" t="s">
        <v>3950</v>
      </c>
      <c r="B786" s="0" t="n">
        <v>78</v>
      </c>
      <c r="C786" s="0" t="n">
        <v>446179</v>
      </c>
      <c r="D786" s="0" t="s">
        <v>1011</v>
      </c>
      <c r="E786" s="0" t="s">
        <v>3676</v>
      </c>
      <c r="F786" s="0" t="str">
        <f aca="false">CONCATENATE(D786," ",LEFT(H786,4),"T=",AU786,"D=",AV786,"R=",AW786,"M=",AX786,"L=",AY786,"B=",AZ786)</f>
        <v>DAVIS T=3D=0R=0M=0L=0B=0</v>
      </c>
      <c r="G786" s="0" t="s">
        <v>222</v>
      </c>
      <c r="I786" s="0" t="s">
        <v>3951</v>
      </c>
      <c r="J786" s="0" t="s">
        <v>3952</v>
      </c>
      <c r="K786" s="0" t="s">
        <v>144</v>
      </c>
      <c r="L786" s="0"/>
      <c r="M786" s="0" t="s">
        <v>3949</v>
      </c>
      <c r="N786" s="0" t="str">
        <f aca="false">RIGHT(M786,LEN(M786)-FIND(" ",M786))</f>
        <v>DOUGLAS ST NW</v>
      </c>
      <c r="P786" s="0" t="s">
        <v>146</v>
      </c>
      <c r="Q786" s="0" t="s">
        <v>147</v>
      </c>
      <c r="R786" s="0" t="n">
        <v>44483</v>
      </c>
      <c r="AD786" s="0" t="s">
        <v>148</v>
      </c>
      <c r="AE786" s="0" t="s">
        <v>149</v>
      </c>
      <c r="AF786" s="0" t="s">
        <v>150</v>
      </c>
      <c r="AH786" s="0" t="n">
        <v>14</v>
      </c>
      <c r="AI786" s="0" t="n">
        <v>11</v>
      </c>
      <c r="AN786" s="0" t="s">
        <v>146</v>
      </c>
      <c r="AO786" s="0" t="s">
        <v>250</v>
      </c>
      <c r="AP786" s="0" t="s">
        <v>251</v>
      </c>
      <c r="AQ786" s="0" t="n">
        <v>9</v>
      </c>
      <c r="AR786" s="0" t="n">
        <v>64</v>
      </c>
      <c r="AS786" s="0" t="n">
        <v>32</v>
      </c>
      <c r="AU786" s="0" t="n">
        <f aca="false">COUNTA($BA$2406:$EH$2406)</f>
        <v>3</v>
      </c>
      <c r="AV786" s="0" t="n">
        <f aca="false">COUNTIF($BA$2406:$EH$2406,"D")</f>
        <v>0</v>
      </c>
      <c r="AW786" s="0" t="n">
        <f aca="false">COUNTIF($BA$2406:$EH$2406,"R")</f>
        <v>0</v>
      </c>
      <c r="AX786" s="0" t="n">
        <f aca="false"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>0</v>
      </c>
      <c r="AY786" s="0" t="n">
        <f aca="false">COUNTIF(DU786:EH786, "&lt;&gt;")</f>
        <v>0</v>
      </c>
      <c r="AZ786" s="0" t="n">
        <f aca="false">IF(EH786&lt;&gt;"",1,0)</f>
        <v>0</v>
      </c>
      <c r="BB786" s="0" t="s">
        <v>153</v>
      </c>
    </row>
    <row r="787" customFormat="false" ht="13.8" hidden="true" customHeight="false" outlineLevel="0" collapsed="false">
      <c r="A787" s="0" t="s">
        <v>3953</v>
      </c>
      <c r="B787" s="0" t="n">
        <v>78</v>
      </c>
      <c r="C787" s="0" t="n">
        <v>409476</v>
      </c>
      <c r="D787" s="0" t="s">
        <v>474</v>
      </c>
      <c r="E787" s="0" t="s">
        <v>3954</v>
      </c>
      <c r="F787" s="0" t="str">
        <f aca="false">CONCATENATE(D787," ",LEFT(H787,4),"T=",AU787,"D=",AV787,"R=",AW787,"M=",AX787,"L=",AY787,"B=",AZ787)</f>
        <v>SCOTT T=2D=0R=0M=0L=0B=0</v>
      </c>
      <c r="G787" s="0" t="s">
        <v>155</v>
      </c>
      <c r="I787" s="0" t="s">
        <v>3955</v>
      </c>
      <c r="J787" s="0" t="s">
        <v>551</v>
      </c>
      <c r="K787" s="0" t="s">
        <v>175</v>
      </c>
      <c r="L787" s="0"/>
      <c r="M787" s="0" t="s">
        <v>3956</v>
      </c>
      <c r="N787" s="0" t="str">
        <f aca="false">RIGHT(M787,LEN(M787)-FIND(" ",M787))</f>
        <v>DOUGLAS ST NW</v>
      </c>
      <c r="P787" s="0" t="s">
        <v>146</v>
      </c>
      <c r="Q787" s="0" t="s">
        <v>147</v>
      </c>
      <c r="R787" s="0" t="n">
        <v>44483</v>
      </c>
      <c r="AD787" s="0" t="s">
        <v>148</v>
      </c>
      <c r="AE787" s="0" t="s">
        <v>149</v>
      </c>
      <c r="AF787" s="0" t="s">
        <v>150</v>
      </c>
      <c r="AH787" s="0" t="n">
        <v>14</v>
      </c>
      <c r="AI787" s="0" t="n">
        <v>11</v>
      </c>
      <c r="AN787" s="0" t="s">
        <v>146</v>
      </c>
      <c r="AO787" s="0" t="s">
        <v>250</v>
      </c>
      <c r="AP787" s="0" t="s">
        <v>251</v>
      </c>
      <c r="AQ787" s="0" t="n">
        <v>9</v>
      </c>
      <c r="AR787" s="0" t="n">
        <v>64</v>
      </c>
      <c r="AS787" s="0" t="n">
        <v>32</v>
      </c>
      <c r="AU787" s="0" t="n">
        <f aca="false">COUNTA($BA$2693:$EH$2693)</f>
        <v>2</v>
      </c>
      <c r="AV787" s="0" t="n">
        <f aca="false">COUNTIF($BA$2693:$EH$2693,"D")</f>
        <v>0</v>
      </c>
      <c r="AW787" s="0" t="n">
        <f aca="false">COUNTIF($BA$2693:$EH$2693,"R")</f>
        <v>0</v>
      </c>
      <c r="AX787" s="0" t="n">
        <f aca="false"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>0</v>
      </c>
      <c r="AY787" s="0" t="n">
        <f aca="false">COUNTIF(DU787:EH787, "&lt;&gt;")</f>
        <v>0</v>
      </c>
      <c r="AZ787" s="0" t="n">
        <f aca="false">IF(EH787&lt;&gt;"",1,0)</f>
        <v>0</v>
      </c>
      <c r="BB787" s="0" t="s">
        <v>153</v>
      </c>
    </row>
    <row r="788" customFormat="false" ht="13.8" hidden="false" customHeight="false" outlineLevel="0" collapsed="false">
      <c r="A788" s="0" t="s">
        <v>3957</v>
      </c>
      <c r="B788" s="0" t="n">
        <v>78</v>
      </c>
      <c r="C788" s="0" t="n">
        <v>323341</v>
      </c>
      <c r="D788" s="0" t="s">
        <v>291</v>
      </c>
      <c r="E788" s="0" t="s">
        <v>938</v>
      </c>
      <c r="F788" s="0" t="str">
        <f aca="false">CONCATENATE(D788," ",LEFT(H788,4),"T=",AU788,"D=",AV788,"R=",AW788,"M=",AX788,"L=",AY788,"B=",AZ788)</f>
        <v>HARVEY T=1D=0R=0M=3L=2B=0</v>
      </c>
      <c r="G788" s="0" t="s">
        <v>172</v>
      </c>
      <c r="I788" s="0" t="s">
        <v>3958</v>
      </c>
      <c r="J788" s="0" t="s">
        <v>3959</v>
      </c>
      <c r="K788" s="0" t="s">
        <v>175</v>
      </c>
      <c r="L788" s="1" t="s">
        <v>155</v>
      </c>
      <c r="M788" s="0" t="s">
        <v>3960</v>
      </c>
      <c r="N788" s="0" t="str">
        <f aca="false">RIGHT(M788,LEN(M788)-FIND(" ",M788))</f>
        <v>DOUGLAS ST NW</v>
      </c>
      <c r="P788" s="0" t="s">
        <v>146</v>
      </c>
      <c r="Q788" s="0" t="s">
        <v>147</v>
      </c>
      <c r="R788" s="0" t="n">
        <v>44483</v>
      </c>
      <c r="AD788" s="0" t="s">
        <v>148</v>
      </c>
      <c r="AE788" s="0" t="s">
        <v>149</v>
      </c>
      <c r="AF788" s="0" t="s">
        <v>150</v>
      </c>
      <c r="AH788" s="0" t="n">
        <v>14</v>
      </c>
      <c r="AI788" s="0" t="n">
        <v>11</v>
      </c>
      <c r="AN788" s="0" t="s">
        <v>146</v>
      </c>
      <c r="AO788" s="0" t="s">
        <v>250</v>
      </c>
      <c r="AP788" s="0" t="s">
        <v>251</v>
      </c>
      <c r="AQ788" s="0" t="n">
        <v>9</v>
      </c>
      <c r="AR788" s="0" t="n">
        <v>64</v>
      </c>
      <c r="AS788" s="0" t="n">
        <v>32</v>
      </c>
      <c r="AU788" s="0" t="n">
        <f aca="false">COUNTA($BA$2162:$EH$2162)</f>
        <v>1</v>
      </c>
      <c r="AV788" s="0" t="n">
        <f aca="false">COUNTIF($BA$2162:$EH$2162,"D")</f>
        <v>0</v>
      </c>
      <c r="AW788" s="0" t="n">
        <f aca="false">COUNTIF($BA$2162:$EH$2162,"R")</f>
        <v>0</v>
      </c>
      <c r="AX788" s="0" t="n">
        <f aca="false"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>3</v>
      </c>
      <c r="AY788" s="0" t="n">
        <f aca="false">COUNTIF(DU788:EH788, "&lt;&gt;")</f>
        <v>2</v>
      </c>
      <c r="AZ788" s="0" t="n">
        <f aca="false">IF(EH788&lt;&gt;"",1,0)</f>
        <v>0</v>
      </c>
      <c r="BB788" s="0" t="s">
        <v>153</v>
      </c>
      <c r="BL788" s="0" t="s">
        <v>154</v>
      </c>
      <c r="BS788" s="0" t="s">
        <v>154</v>
      </c>
      <c r="BY788" s="0" t="s">
        <v>155</v>
      </c>
      <c r="CA788" s="0" t="s">
        <v>154</v>
      </c>
      <c r="CK788" s="0" t="s">
        <v>154</v>
      </c>
      <c r="CN788" s="0" t="s">
        <v>154</v>
      </c>
      <c r="CP788" s="0" t="s">
        <v>154</v>
      </c>
      <c r="CQ788" s="0" t="s">
        <v>155</v>
      </c>
      <c r="CU788" s="0" t="s">
        <v>155</v>
      </c>
      <c r="CY788" s="0" t="s">
        <v>154</v>
      </c>
      <c r="DC788" s="0" t="s">
        <v>154</v>
      </c>
      <c r="DI788" s="0" t="s">
        <v>154</v>
      </c>
      <c r="DJ788" s="0" t="s">
        <v>155</v>
      </c>
      <c r="DL788" s="0" t="s">
        <v>154</v>
      </c>
      <c r="DN788" s="0" t="s">
        <v>154</v>
      </c>
      <c r="DW788" s="0" t="s">
        <v>155</v>
      </c>
      <c r="EF788" s="0" t="s">
        <v>154</v>
      </c>
    </row>
    <row r="789" customFormat="false" ht="13.8" hidden="true" customHeight="false" outlineLevel="0" collapsed="false">
      <c r="A789" s="0" t="s">
        <v>3961</v>
      </c>
      <c r="B789" s="0" t="n">
        <v>78</v>
      </c>
      <c r="C789" s="0" t="n">
        <v>157394</v>
      </c>
      <c r="D789" s="0" t="s">
        <v>3962</v>
      </c>
      <c r="E789" s="0" t="s">
        <v>2163</v>
      </c>
      <c r="F789" s="0" t="str">
        <f aca="false">CONCATENATE(D789," ",LEFT(H789,4),"T=",AU789,"D=",AV789,"R=",AW789,"M=",AX789,"L=",AY789,"B=",AZ789)</f>
        <v>HILL T=14D=3R=0M=0L=0B=0</v>
      </c>
      <c r="G789" s="0" t="s">
        <v>172</v>
      </c>
      <c r="I789" s="0" t="s">
        <v>3963</v>
      </c>
      <c r="J789" s="0" t="s">
        <v>3964</v>
      </c>
      <c r="K789" s="0" t="s">
        <v>144</v>
      </c>
      <c r="L789" s="0"/>
      <c r="M789" s="0" t="s">
        <v>3965</v>
      </c>
      <c r="N789" s="0" t="str">
        <f aca="false">RIGHT(M789,LEN(M789)-FIND(" ",M789))</f>
        <v>DOUGLAS ST NW</v>
      </c>
      <c r="P789" s="0" t="s">
        <v>146</v>
      </c>
      <c r="Q789" s="0" t="s">
        <v>147</v>
      </c>
      <c r="R789" s="0" t="n">
        <v>44483</v>
      </c>
      <c r="AD789" s="0" t="s">
        <v>148</v>
      </c>
      <c r="AE789" s="0" t="s">
        <v>149</v>
      </c>
      <c r="AF789" s="0" t="s">
        <v>150</v>
      </c>
      <c r="AH789" s="0" t="n">
        <v>14</v>
      </c>
      <c r="AI789" s="0" t="n">
        <v>11</v>
      </c>
      <c r="AN789" s="0" t="s">
        <v>146</v>
      </c>
      <c r="AO789" s="0" t="s">
        <v>250</v>
      </c>
      <c r="AP789" s="0" t="s">
        <v>251</v>
      </c>
      <c r="AQ789" s="0" t="n">
        <v>9</v>
      </c>
      <c r="AR789" s="0" t="n">
        <v>64</v>
      </c>
      <c r="AS789" s="0" t="n">
        <v>32</v>
      </c>
      <c r="AU789" s="0" t="n">
        <f aca="false">COUNTA($BA$2080:$EH$2080)</f>
        <v>14</v>
      </c>
      <c r="AV789" s="0" t="n">
        <f aca="false">COUNTIF($BA$2080:$EH$2080,"D")</f>
        <v>3</v>
      </c>
      <c r="AW789" s="0" t="n">
        <f aca="false">COUNTIF($BA$2080:$EH$2080,"R")</f>
        <v>0</v>
      </c>
      <c r="AX789" s="0" t="n">
        <f aca="false"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>0</v>
      </c>
      <c r="AY789" s="0" t="n">
        <f aca="false">COUNTIF(DU789:EH789, "&lt;&gt;")</f>
        <v>0</v>
      </c>
      <c r="AZ789" s="0" t="n">
        <f aca="false">IF(EH789&lt;&gt;"",1,0)</f>
        <v>0</v>
      </c>
      <c r="BB789" s="0" t="s">
        <v>153</v>
      </c>
      <c r="BD789" s="0" t="s">
        <v>154</v>
      </c>
      <c r="BH789" s="0" t="s">
        <v>154</v>
      </c>
      <c r="BJ789" s="0" t="s">
        <v>154</v>
      </c>
      <c r="BL789" s="0" t="s">
        <v>154</v>
      </c>
      <c r="BP789" s="0" t="s">
        <v>154</v>
      </c>
      <c r="BY789" s="0" t="s">
        <v>155</v>
      </c>
      <c r="CA789" s="0" t="s">
        <v>154</v>
      </c>
      <c r="CG789" s="0" t="s">
        <v>154</v>
      </c>
      <c r="CP789" s="0" t="s">
        <v>154</v>
      </c>
      <c r="DC789" s="0" t="s">
        <v>154</v>
      </c>
    </row>
    <row r="790" customFormat="false" ht="13.8" hidden="true" customHeight="false" outlineLevel="0" collapsed="false">
      <c r="A790" s="0" t="s">
        <v>3966</v>
      </c>
      <c r="B790" s="0" t="n">
        <v>78</v>
      </c>
      <c r="C790" s="0" t="n">
        <v>395132</v>
      </c>
      <c r="D790" s="0" t="s">
        <v>3967</v>
      </c>
      <c r="E790" s="0" t="s">
        <v>3968</v>
      </c>
      <c r="F790" s="0" t="str">
        <f aca="false">CONCATENATE(D790," ",LEFT(H790,4),"T=",AU790,"D=",AV790,"R=",AW790,"M=",AX790,"L=",AY790,"B=",AZ790)</f>
        <v>WINTERS T=16D=1R=2M=0L=0B=0</v>
      </c>
      <c r="G790" s="0" t="s">
        <v>188</v>
      </c>
      <c r="I790" s="0" t="s">
        <v>3969</v>
      </c>
      <c r="J790" s="0" t="s">
        <v>2484</v>
      </c>
      <c r="K790" s="0" t="s">
        <v>144</v>
      </c>
      <c r="L790" s="0"/>
      <c r="M790" s="0" t="s">
        <v>3970</v>
      </c>
      <c r="N790" s="0" t="str">
        <f aca="false">RIGHT(M790,LEN(M790)-FIND(" ",M790))</f>
        <v>DOUGLAS ST NW</v>
      </c>
      <c r="P790" s="0" t="s">
        <v>146</v>
      </c>
      <c r="Q790" s="0" t="s">
        <v>147</v>
      </c>
      <c r="R790" s="0" t="n">
        <v>44483</v>
      </c>
      <c r="AD790" s="0" t="s">
        <v>148</v>
      </c>
      <c r="AE790" s="0" t="s">
        <v>149</v>
      </c>
      <c r="AF790" s="0" t="s">
        <v>150</v>
      </c>
      <c r="AH790" s="0" t="n">
        <v>14</v>
      </c>
      <c r="AI790" s="0" t="n">
        <v>11</v>
      </c>
      <c r="AN790" s="0" t="s">
        <v>146</v>
      </c>
      <c r="AO790" s="0" t="s">
        <v>250</v>
      </c>
      <c r="AP790" s="0" t="s">
        <v>251</v>
      </c>
      <c r="AQ790" s="0" t="n">
        <v>9</v>
      </c>
      <c r="AR790" s="0" t="n">
        <v>64</v>
      </c>
      <c r="AS790" s="0" t="n">
        <v>32</v>
      </c>
      <c r="AU790" s="0" t="n">
        <f aca="false">COUNTA($BA$2606:$EH$2606)</f>
        <v>16</v>
      </c>
      <c r="AV790" s="0" t="n">
        <f aca="false">COUNTIF($BA$2606:$EH$2606,"D")</f>
        <v>1</v>
      </c>
      <c r="AW790" s="0" t="n">
        <f aca="false">COUNTIF($BA$2606:$EH$2606,"R")</f>
        <v>2</v>
      </c>
      <c r="AX790" s="0" t="n">
        <f aca="false"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>0</v>
      </c>
      <c r="AY790" s="0" t="n">
        <f aca="false">COUNTIF(DU790:EH790, "&lt;&gt;")</f>
        <v>0</v>
      </c>
      <c r="AZ790" s="0" t="n">
        <f aca="false">IF(EH790&lt;&gt;"",1,0)</f>
        <v>0</v>
      </c>
      <c r="BB790" s="0" t="s">
        <v>153</v>
      </c>
    </row>
    <row r="791" customFormat="false" ht="13.8" hidden="true" customHeight="false" outlineLevel="0" collapsed="false">
      <c r="A791" s="0" t="s">
        <v>3971</v>
      </c>
      <c r="B791" s="0" t="n">
        <v>78</v>
      </c>
      <c r="C791" s="0" t="n">
        <v>441744</v>
      </c>
      <c r="D791" s="0" t="s">
        <v>830</v>
      </c>
      <c r="E791" s="0" t="s">
        <v>3972</v>
      </c>
      <c r="F791" s="0" t="str">
        <f aca="false">CONCATENATE(D791," ",LEFT(H791,4),"T=",AU791,"D=",AV791,"R=",AW791,"M=",AX791,"L=",AY791,"B=",AZ791)</f>
        <v>BRANTLEY T=16D=2R=1M=0L=0B=0</v>
      </c>
      <c r="G791" s="0" t="s">
        <v>2640</v>
      </c>
      <c r="I791" s="0" t="s">
        <v>3973</v>
      </c>
      <c r="J791" s="0" t="s">
        <v>3974</v>
      </c>
      <c r="K791" s="0" t="s">
        <v>175</v>
      </c>
      <c r="L791" s="0"/>
      <c r="M791" s="0" t="s">
        <v>3975</v>
      </c>
      <c r="N791" s="0" t="str">
        <f aca="false">RIGHT(M791,LEN(M791)-FIND(" ",M791))</f>
        <v>DOUGLAS ST NW</v>
      </c>
      <c r="P791" s="0" t="s">
        <v>146</v>
      </c>
      <c r="Q791" s="0" t="s">
        <v>147</v>
      </c>
      <c r="R791" s="0" t="n">
        <v>44483</v>
      </c>
      <c r="AD791" s="0" t="s">
        <v>148</v>
      </c>
      <c r="AE791" s="0" t="s">
        <v>149</v>
      </c>
      <c r="AF791" s="0" t="s">
        <v>150</v>
      </c>
      <c r="AH791" s="0" t="n">
        <v>14</v>
      </c>
      <c r="AI791" s="0" t="n">
        <v>11</v>
      </c>
      <c r="AN791" s="0" t="s">
        <v>146</v>
      </c>
      <c r="AO791" s="0" t="s">
        <v>250</v>
      </c>
      <c r="AP791" s="0" t="s">
        <v>251</v>
      </c>
      <c r="AQ791" s="0" t="n">
        <v>9</v>
      </c>
      <c r="AR791" s="0" t="n">
        <v>64</v>
      </c>
      <c r="AS791" s="0" t="n">
        <v>32</v>
      </c>
      <c r="AU791" s="0" t="n">
        <f aca="false">COUNTA($BA$2345:$EH$2345)</f>
        <v>16</v>
      </c>
      <c r="AV791" s="0" t="n">
        <f aca="false">COUNTIF($BA$2345:$EH$2345,"D")</f>
        <v>2</v>
      </c>
      <c r="AW791" s="0" t="n">
        <f aca="false">COUNTIF($BA$2345:$EH$2345,"R")</f>
        <v>1</v>
      </c>
      <c r="AX791" s="0" t="n">
        <f aca="false"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>0</v>
      </c>
      <c r="AY791" s="0" t="n">
        <f aca="false">COUNTIF(DU791:EH791, "&lt;&gt;")</f>
        <v>0</v>
      </c>
      <c r="AZ791" s="0" t="n">
        <f aca="false">IF(EH791&lt;&gt;"",1,0)</f>
        <v>0</v>
      </c>
      <c r="BB791" s="0" t="s">
        <v>153</v>
      </c>
    </row>
    <row r="792" customFormat="false" ht="13.8" hidden="true" customHeight="false" outlineLevel="0" collapsed="false">
      <c r="A792" s="0" t="s">
        <v>3976</v>
      </c>
      <c r="B792" s="0" t="n">
        <v>78</v>
      </c>
      <c r="C792" s="0" t="n">
        <v>447407</v>
      </c>
      <c r="D792" s="0" t="s">
        <v>3962</v>
      </c>
      <c r="E792" s="0" t="s">
        <v>355</v>
      </c>
      <c r="F792" s="0" t="str">
        <f aca="false">CONCATENATE(D792," ",LEFT(H792,4),"T=",AU792,"D=",AV792,"R=",AW792,"M=",AX792,"L=",AY792,"B=",AZ792)</f>
        <v>HILL T=5D=0R=0M=0L=0B=0</v>
      </c>
      <c r="G792" s="0" t="s">
        <v>241</v>
      </c>
      <c r="I792" s="0" t="s">
        <v>3977</v>
      </c>
      <c r="J792" s="0" t="s">
        <v>2994</v>
      </c>
      <c r="K792" s="0" t="s">
        <v>175</v>
      </c>
      <c r="L792" s="0"/>
      <c r="M792" s="0" t="s">
        <v>3978</v>
      </c>
      <c r="N792" s="0" t="str">
        <f aca="false">RIGHT(M792,LEN(M792)-FIND(" ",M792))</f>
        <v>DOUGLAS ST NW</v>
      </c>
      <c r="P792" s="0" t="s">
        <v>146</v>
      </c>
      <c r="Q792" s="0" t="s">
        <v>147</v>
      </c>
      <c r="R792" s="0" t="n">
        <v>44483</v>
      </c>
      <c r="AD792" s="0" t="s">
        <v>148</v>
      </c>
      <c r="AE792" s="0" t="s">
        <v>149</v>
      </c>
      <c r="AF792" s="0" t="s">
        <v>150</v>
      </c>
      <c r="AH792" s="0" t="n">
        <v>14</v>
      </c>
      <c r="AI792" s="0" t="n">
        <v>11</v>
      </c>
      <c r="AN792" s="0" t="s">
        <v>146</v>
      </c>
      <c r="AO792" s="0" t="s">
        <v>250</v>
      </c>
      <c r="AP792" s="0" t="s">
        <v>251</v>
      </c>
      <c r="AQ792" s="0" t="n">
        <v>9</v>
      </c>
      <c r="AR792" s="0" t="n">
        <v>64</v>
      </c>
      <c r="AS792" s="0" t="n">
        <v>32</v>
      </c>
      <c r="AU792" s="0" t="n">
        <f aca="false">COUNTA($BA$2538:$EH$2538)</f>
        <v>5</v>
      </c>
      <c r="AV792" s="0" t="n">
        <f aca="false">COUNTIF($BA$2538:$EH$2538,"D")</f>
        <v>0</v>
      </c>
      <c r="AW792" s="0" t="n">
        <f aca="false">COUNTIF($BA$2538:$EH$2538,"R")</f>
        <v>0</v>
      </c>
      <c r="AX792" s="0" t="n">
        <f aca="false"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>0</v>
      </c>
      <c r="AY792" s="0" t="n">
        <f aca="false">COUNTIF(DU792:EH792, "&lt;&gt;")</f>
        <v>0</v>
      </c>
      <c r="AZ792" s="0" t="n">
        <f aca="false">IF(EH792&lt;&gt;"",1,0)</f>
        <v>0</v>
      </c>
      <c r="BB792" s="0" t="s">
        <v>153</v>
      </c>
      <c r="CP792" s="0" t="s">
        <v>154</v>
      </c>
      <c r="DN792" s="0" t="s">
        <v>154</v>
      </c>
    </row>
    <row r="793" customFormat="false" ht="13.8" hidden="true" customHeight="false" outlineLevel="0" collapsed="false">
      <c r="A793" s="0" t="s">
        <v>3979</v>
      </c>
      <c r="B793" s="0" t="n">
        <v>78</v>
      </c>
      <c r="C793" s="0" t="n">
        <v>356941</v>
      </c>
      <c r="D793" s="0" t="s">
        <v>3980</v>
      </c>
      <c r="E793" s="0" t="s">
        <v>3981</v>
      </c>
      <c r="F793" s="0" t="str">
        <f aca="false">CONCATENATE(D793," ",LEFT(H793,4),"T=",AU793,"D=",AV793,"R=",AW793,"M=",AX793,"L=",AY793,"B=",AZ793)</f>
        <v>CARKHUFF T=28D=5R=0M=0L=0B=0</v>
      </c>
      <c r="G793" s="0" t="s">
        <v>3982</v>
      </c>
      <c r="I793" s="0" t="s">
        <v>3983</v>
      </c>
      <c r="J793" s="0" t="s">
        <v>3984</v>
      </c>
      <c r="K793" s="0" t="s">
        <v>175</v>
      </c>
      <c r="L793" s="0"/>
      <c r="M793" s="0" t="s">
        <v>3985</v>
      </c>
      <c r="N793" s="0" t="str">
        <f aca="false">RIGHT(M793,LEN(M793)-FIND(" ",M793))</f>
        <v>DOUGLAS ST NW</v>
      </c>
      <c r="P793" s="0" t="s">
        <v>146</v>
      </c>
      <c r="Q793" s="0" t="s">
        <v>147</v>
      </c>
      <c r="R793" s="0" t="n">
        <v>44483</v>
      </c>
      <c r="AD793" s="0" t="s">
        <v>148</v>
      </c>
      <c r="AE793" s="0" t="s">
        <v>149</v>
      </c>
      <c r="AF793" s="0" t="s">
        <v>150</v>
      </c>
      <c r="AH793" s="0" t="n">
        <v>14</v>
      </c>
      <c r="AI793" s="0" t="n">
        <v>11</v>
      </c>
      <c r="AN793" s="0" t="s">
        <v>146</v>
      </c>
      <c r="AO793" s="0" t="s">
        <v>250</v>
      </c>
      <c r="AP793" s="0" t="s">
        <v>251</v>
      </c>
      <c r="AQ793" s="0" t="n">
        <v>9</v>
      </c>
      <c r="AR793" s="0" t="n">
        <v>64</v>
      </c>
      <c r="AS793" s="0" t="n">
        <v>32</v>
      </c>
      <c r="AU793" s="0" t="n">
        <f aca="false">COUNTA($BA$2089:$EH$2089)</f>
        <v>28</v>
      </c>
      <c r="AV793" s="0" t="n">
        <f aca="false">COUNTIF($BA$2089:$EH$2089,"D")</f>
        <v>5</v>
      </c>
      <c r="AW793" s="0" t="n">
        <f aca="false">COUNTIF($BA$2089:$EH$2089,"R")</f>
        <v>0</v>
      </c>
      <c r="AX793" s="0" t="n">
        <f aca="false"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>0</v>
      </c>
      <c r="AY793" s="0" t="n">
        <f aca="false">COUNTIF(DU793:EH793, "&lt;&gt;")</f>
        <v>0</v>
      </c>
      <c r="AZ793" s="0" t="n">
        <f aca="false">IF(EH793&lt;&gt;"",1,0)</f>
        <v>0</v>
      </c>
      <c r="BB793" s="0" t="s">
        <v>153</v>
      </c>
      <c r="CA793" s="0" t="s">
        <v>154</v>
      </c>
      <c r="CK793" s="0" t="s">
        <v>154</v>
      </c>
      <c r="DC793" s="0" t="s">
        <v>154</v>
      </c>
    </row>
    <row r="794" customFormat="false" ht="13.8" hidden="true" customHeight="false" outlineLevel="0" collapsed="false">
      <c r="A794" s="0" t="s">
        <v>3986</v>
      </c>
      <c r="B794" s="0" t="n">
        <v>78</v>
      </c>
      <c r="C794" s="0" t="n">
        <v>423217</v>
      </c>
      <c r="D794" s="0" t="s">
        <v>309</v>
      </c>
      <c r="E794" s="0" t="s">
        <v>863</v>
      </c>
      <c r="F794" s="0" t="str">
        <f aca="false">CONCATENATE(D794," ",LEFT(H794,4),"T=",AU794,"D=",AV794,"R=",AW794,"M=",AX794,"L=",AY794,"B=",AZ794)</f>
        <v>BROWN T=16D=6R=0M=0L=0B=0</v>
      </c>
      <c r="G794" s="0" t="s">
        <v>202</v>
      </c>
      <c r="I794" s="0" t="s">
        <v>3987</v>
      </c>
      <c r="J794" s="0" t="s">
        <v>600</v>
      </c>
      <c r="K794" s="0" t="s">
        <v>175</v>
      </c>
      <c r="L794" s="0"/>
      <c r="M794" s="0" t="s">
        <v>3988</v>
      </c>
      <c r="N794" s="0" t="str">
        <f aca="false">RIGHT(M794,LEN(M794)-FIND(" ",M794))</f>
        <v>DOUGLAS ST NW</v>
      </c>
      <c r="P794" s="0" t="s">
        <v>146</v>
      </c>
      <c r="Q794" s="0" t="s">
        <v>147</v>
      </c>
      <c r="R794" s="0" t="n">
        <v>44483</v>
      </c>
      <c r="AD794" s="0" t="s">
        <v>148</v>
      </c>
      <c r="AE794" s="0" t="s">
        <v>149</v>
      </c>
      <c r="AF794" s="0" t="s">
        <v>150</v>
      </c>
      <c r="AH794" s="0" t="n">
        <v>14</v>
      </c>
      <c r="AI794" s="0" t="n">
        <v>11</v>
      </c>
      <c r="AN794" s="0" t="s">
        <v>146</v>
      </c>
      <c r="AO794" s="0" t="s">
        <v>250</v>
      </c>
      <c r="AP794" s="0" t="s">
        <v>251</v>
      </c>
      <c r="AQ794" s="0" t="n">
        <v>9</v>
      </c>
      <c r="AR794" s="0" t="n">
        <v>64</v>
      </c>
      <c r="AS794" s="0" t="n">
        <v>32</v>
      </c>
      <c r="AU794" s="0" t="n">
        <f aca="false">COUNTA($BA$2604:$EH$2604)</f>
        <v>16</v>
      </c>
      <c r="AV794" s="0" t="n">
        <f aca="false">COUNTIF($BA$2604:$EH$2604,"D")</f>
        <v>6</v>
      </c>
      <c r="AW794" s="0" t="n">
        <f aca="false">COUNTIF($BA$2604:$EH$2604,"R")</f>
        <v>0</v>
      </c>
      <c r="AX794" s="0" t="n">
        <f aca="false"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>0</v>
      </c>
      <c r="AY794" s="0" t="n">
        <f aca="false">COUNTIF(DU794:EH794, "&lt;&gt;")</f>
        <v>0</v>
      </c>
      <c r="AZ794" s="0" t="n">
        <f aca="false">IF(EH794&lt;&gt;"",1,0)</f>
        <v>0</v>
      </c>
      <c r="BB794" s="0" t="s">
        <v>153</v>
      </c>
    </row>
    <row r="795" customFormat="false" ht="13.8" hidden="true" customHeight="false" outlineLevel="0" collapsed="false">
      <c r="A795" s="0" t="s">
        <v>3989</v>
      </c>
      <c r="B795" s="0" t="n">
        <v>78</v>
      </c>
      <c r="C795" s="0" t="n">
        <v>429303</v>
      </c>
      <c r="D795" s="0" t="s">
        <v>1173</v>
      </c>
      <c r="E795" s="0" t="s">
        <v>3990</v>
      </c>
      <c r="F795" s="0" t="str">
        <f aca="false">CONCATENATE(D795," ",LEFT(H795,4),"T=",AU795,"D=",AV795,"R=",AW795,"M=",AX795,"L=",AY795,"B=",AZ795)</f>
        <v>JACKSON T=3D=0R=0M=0L=1B=0</v>
      </c>
      <c r="G795" s="0" t="s">
        <v>188</v>
      </c>
      <c r="I795" s="0" t="s">
        <v>3991</v>
      </c>
      <c r="J795" s="0" t="s">
        <v>3992</v>
      </c>
      <c r="K795" s="0" t="s">
        <v>175</v>
      </c>
      <c r="L795" s="0"/>
      <c r="M795" s="0" t="s">
        <v>3993</v>
      </c>
      <c r="N795" s="0" t="str">
        <f aca="false">RIGHT(M795,LEN(M795)-FIND(" ",M795))</f>
        <v>DOUGLAS ST NW</v>
      </c>
      <c r="P795" s="0" t="s">
        <v>146</v>
      </c>
      <c r="Q795" s="0" t="s">
        <v>147</v>
      </c>
      <c r="R795" s="0" t="n">
        <v>44483</v>
      </c>
      <c r="AD795" s="0" t="s">
        <v>148</v>
      </c>
      <c r="AE795" s="0" t="s">
        <v>149</v>
      </c>
      <c r="AF795" s="0" t="s">
        <v>150</v>
      </c>
      <c r="AH795" s="0" t="n">
        <v>14</v>
      </c>
      <c r="AI795" s="0" t="n">
        <v>11</v>
      </c>
      <c r="AN795" s="0" t="s">
        <v>146</v>
      </c>
      <c r="AO795" s="0" t="s">
        <v>250</v>
      </c>
      <c r="AP795" s="0" t="s">
        <v>251</v>
      </c>
      <c r="AQ795" s="0" t="n">
        <v>9</v>
      </c>
      <c r="AR795" s="0" t="n">
        <v>64</v>
      </c>
      <c r="AS795" s="0" t="n">
        <v>32</v>
      </c>
      <c r="AU795" s="0" t="n">
        <f aca="false">COUNTA($BA$2319:$EH$2319)</f>
        <v>3</v>
      </c>
      <c r="AV795" s="0" t="n">
        <f aca="false">COUNTIF($BA$2319:$EH$2319,"D")</f>
        <v>0</v>
      </c>
      <c r="AW795" s="0" t="n">
        <f aca="false">COUNTIF($BA$2319:$EH$2319,"R")</f>
        <v>0</v>
      </c>
      <c r="AX795" s="0" t="n">
        <f aca="false"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>0</v>
      </c>
      <c r="AY795" s="0" t="n">
        <f aca="false">COUNTIF(DU795:EH795, "&lt;&gt;")</f>
        <v>1</v>
      </c>
      <c r="AZ795" s="0" t="n">
        <f aca="false">IF(EH795&lt;&gt;"",1,0)</f>
        <v>0</v>
      </c>
      <c r="BB795" s="0" t="s">
        <v>153</v>
      </c>
      <c r="BY795" s="0" t="s">
        <v>155</v>
      </c>
      <c r="CA795" s="0" t="s">
        <v>154</v>
      </c>
      <c r="CP795" s="0" t="s">
        <v>154</v>
      </c>
      <c r="DI795" s="0" t="s">
        <v>154</v>
      </c>
      <c r="DN795" s="0" t="s">
        <v>154</v>
      </c>
      <c r="EF795" s="0" t="s">
        <v>154</v>
      </c>
    </row>
    <row r="796" customFormat="false" ht="13.8" hidden="true" customHeight="false" outlineLevel="0" collapsed="false">
      <c r="A796" s="0" t="s">
        <v>3994</v>
      </c>
      <c r="B796" s="0" t="n">
        <v>78</v>
      </c>
      <c r="C796" s="0" t="n">
        <v>434215</v>
      </c>
      <c r="D796" s="0" t="s">
        <v>3995</v>
      </c>
      <c r="E796" s="0" t="s">
        <v>3996</v>
      </c>
      <c r="F796" s="0" t="str">
        <f aca="false">CONCATENATE(D796," ",LEFT(H796,4),"T=",AU796,"D=",AV796,"R=",AW796,"M=",AX796,"L=",AY796,"B=",AZ796)</f>
        <v>LYONS T=6D=1R=0M=0L=0B=0</v>
      </c>
      <c r="G796" s="0" t="s">
        <v>172</v>
      </c>
      <c r="I796" s="0" t="s">
        <v>3997</v>
      </c>
      <c r="J796" s="0" t="s">
        <v>2902</v>
      </c>
      <c r="K796" s="0" t="s">
        <v>175</v>
      </c>
      <c r="L796" s="0"/>
      <c r="M796" s="0" t="s">
        <v>3998</v>
      </c>
      <c r="N796" s="0" t="str">
        <f aca="false">RIGHT(M796,LEN(M796)-FIND(" ",M796))</f>
        <v>DOUGLAS ST NW</v>
      </c>
      <c r="P796" s="0" t="s">
        <v>146</v>
      </c>
      <c r="Q796" s="0" t="s">
        <v>147</v>
      </c>
      <c r="R796" s="0" t="n">
        <v>44483</v>
      </c>
      <c r="AD796" s="0" t="s">
        <v>148</v>
      </c>
      <c r="AE796" s="0" t="s">
        <v>149</v>
      </c>
      <c r="AF796" s="0" t="s">
        <v>150</v>
      </c>
      <c r="AH796" s="0" t="n">
        <v>14</v>
      </c>
      <c r="AI796" s="0" t="n">
        <v>11</v>
      </c>
      <c r="AN796" s="0" t="s">
        <v>146</v>
      </c>
      <c r="AO796" s="0" t="s">
        <v>250</v>
      </c>
      <c r="AP796" s="0" t="s">
        <v>251</v>
      </c>
      <c r="AQ796" s="0" t="n">
        <v>9</v>
      </c>
      <c r="AR796" s="0" t="n">
        <v>64</v>
      </c>
      <c r="AS796" s="0" t="n">
        <v>32</v>
      </c>
      <c r="AU796" s="0" t="n">
        <f aca="false">COUNTA($BA$2184:$EH$2184)</f>
        <v>6</v>
      </c>
      <c r="AV796" s="0" t="n">
        <f aca="false">COUNTIF($BA$2184:$EH$2184,"D")</f>
        <v>1</v>
      </c>
      <c r="AW796" s="0" t="n">
        <f aca="false">COUNTIF($BA$2184:$EH$2184,"R")</f>
        <v>0</v>
      </c>
      <c r="AX796" s="0" t="n">
        <f aca="false"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>0</v>
      </c>
      <c r="AY796" s="0" t="n">
        <f aca="false">COUNTIF(DU796:EH796, "&lt;&gt;")</f>
        <v>0</v>
      </c>
      <c r="AZ796" s="0" t="n">
        <f aca="false">IF(EH796&lt;&gt;"",1,0)</f>
        <v>0</v>
      </c>
      <c r="BB796" s="0" t="s">
        <v>153</v>
      </c>
    </row>
    <row r="797" customFormat="false" ht="13.8" hidden="true" customHeight="false" outlineLevel="0" collapsed="false">
      <c r="A797" s="0" t="s">
        <v>3999</v>
      </c>
      <c r="B797" s="0" t="n">
        <v>78</v>
      </c>
      <c r="C797" s="0" t="n">
        <v>420092</v>
      </c>
      <c r="D797" s="0" t="s">
        <v>4000</v>
      </c>
      <c r="E797" s="0" t="s">
        <v>4001</v>
      </c>
      <c r="F797" s="0" t="str">
        <f aca="false">CONCATENATE(D797," ",LEFT(H797,4),"T=",AU797,"D=",AV797,"R=",AW797,"M=",AX797,"L=",AY797,"B=",AZ797)</f>
        <v>DOUGLAS T=5D=0R=0M=0L=0B=0</v>
      </c>
      <c r="G797" s="0" t="s">
        <v>297</v>
      </c>
      <c r="I797" s="0" t="s">
        <v>4002</v>
      </c>
      <c r="J797" s="0" t="s">
        <v>636</v>
      </c>
      <c r="K797" s="0" t="s">
        <v>175</v>
      </c>
      <c r="L797" s="0"/>
      <c r="M797" s="0" t="s">
        <v>4003</v>
      </c>
      <c r="N797" s="0" t="str">
        <f aca="false">RIGHT(M797,LEN(M797)-FIND(" ",M797))</f>
        <v>DOUGLAS ST NW</v>
      </c>
      <c r="P797" s="0" t="s">
        <v>146</v>
      </c>
      <c r="Q797" s="0" t="s">
        <v>147</v>
      </c>
      <c r="R797" s="0" t="n">
        <v>44483</v>
      </c>
      <c r="AD797" s="0" t="s">
        <v>148</v>
      </c>
      <c r="AE797" s="0" t="s">
        <v>149</v>
      </c>
      <c r="AF797" s="0" t="s">
        <v>150</v>
      </c>
      <c r="AH797" s="0" t="n">
        <v>14</v>
      </c>
      <c r="AI797" s="0" t="n">
        <v>11</v>
      </c>
      <c r="AN797" s="0" t="s">
        <v>146</v>
      </c>
      <c r="AO797" s="0" t="s">
        <v>250</v>
      </c>
      <c r="AP797" s="0" t="s">
        <v>251</v>
      </c>
      <c r="AQ797" s="0" t="n">
        <v>9</v>
      </c>
      <c r="AR797" s="0" t="n">
        <v>64</v>
      </c>
      <c r="AS797" s="0" t="n">
        <v>32</v>
      </c>
      <c r="AU797" s="0" t="n">
        <f aca="false">COUNTA($BA$2675:$EH$2675)</f>
        <v>5</v>
      </c>
      <c r="AV797" s="0" t="n">
        <f aca="false">COUNTIF($BA$2675:$EH$2675,"D")</f>
        <v>0</v>
      </c>
      <c r="AW797" s="0" t="n">
        <f aca="false">COUNTIF($BA$2675:$EH$2675,"R")</f>
        <v>0</v>
      </c>
      <c r="AX797" s="0" t="n">
        <f aca="false"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>0</v>
      </c>
      <c r="AY797" s="0" t="n">
        <f aca="false">COUNTIF(DU797:EH797, "&lt;&gt;")</f>
        <v>0</v>
      </c>
      <c r="AZ797" s="0" t="n">
        <f aca="false">IF(EH797&lt;&gt;"",1,0)</f>
        <v>0</v>
      </c>
      <c r="BB797" s="0" t="s">
        <v>153</v>
      </c>
    </row>
    <row r="798" customFormat="false" ht="13.8" hidden="true" customHeight="false" outlineLevel="0" collapsed="false">
      <c r="A798" s="0" t="s">
        <v>4004</v>
      </c>
      <c r="B798" s="0" t="n">
        <v>78</v>
      </c>
      <c r="C798" s="0" t="n">
        <v>489655</v>
      </c>
      <c r="D798" s="0" t="s">
        <v>4005</v>
      </c>
      <c r="E798" s="0" t="s">
        <v>1232</v>
      </c>
      <c r="F798" s="0" t="str">
        <f aca="false">CONCATENATE(D798," ",LEFT(H798,4),"T=",AU798,"D=",AV798,"R=",AW798,"M=",AX798,"L=",AY798,"B=",AZ798)</f>
        <v>DERYLAK T=2D=0R=0M=0L=1B=0</v>
      </c>
      <c r="G798" s="0" t="s">
        <v>1852</v>
      </c>
      <c r="I798" s="0" t="s">
        <v>4006</v>
      </c>
      <c r="J798" s="0" t="s">
        <v>4007</v>
      </c>
      <c r="K798" s="0" t="s">
        <v>175</v>
      </c>
      <c r="L798" s="0"/>
      <c r="M798" s="0" t="s">
        <v>4008</v>
      </c>
      <c r="N798" s="0" t="str">
        <f aca="false">RIGHT(M798,LEN(M798)-FIND(" ",M798))</f>
        <v>DOUGLAS ST NW</v>
      </c>
      <c r="P798" s="0" t="s">
        <v>146</v>
      </c>
      <c r="Q798" s="0" t="s">
        <v>147</v>
      </c>
      <c r="R798" s="0" t="n">
        <v>44483</v>
      </c>
      <c r="AD798" s="0" t="s">
        <v>148</v>
      </c>
      <c r="AE798" s="0" t="s">
        <v>149</v>
      </c>
      <c r="AF798" s="0" t="s">
        <v>150</v>
      </c>
      <c r="AH798" s="0" t="n">
        <v>14</v>
      </c>
      <c r="AI798" s="0" t="n">
        <v>11</v>
      </c>
      <c r="AN798" s="0" t="s">
        <v>146</v>
      </c>
      <c r="AO798" s="0" t="s">
        <v>250</v>
      </c>
      <c r="AP798" s="0" t="s">
        <v>251</v>
      </c>
      <c r="AQ798" s="0" t="n">
        <v>9</v>
      </c>
      <c r="AR798" s="0" t="n">
        <v>64</v>
      </c>
      <c r="AS798" s="0" t="n">
        <v>32</v>
      </c>
      <c r="AU798" s="0" t="n">
        <f aca="false">COUNTA($BA$2076:$EH$2076)</f>
        <v>2</v>
      </c>
      <c r="AV798" s="0" t="n">
        <f aca="false">COUNTIF($BA$2076:$EH$2076,"D")</f>
        <v>0</v>
      </c>
      <c r="AW798" s="0" t="n">
        <f aca="false">COUNTIF($BA$2076:$EH$2076,"R")</f>
        <v>0</v>
      </c>
      <c r="AX798" s="0" t="n">
        <f aca="false"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>0</v>
      </c>
      <c r="AY798" s="0" t="n">
        <f aca="false">COUNTIF(DU798:EH798, "&lt;&gt;")</f>
        <v>1</v>
      </c>
      <c r="AZ798" s="0" t="n">
        <f aca="false">IF(EH798&lt;&gt;"",1,0)</f>
        <v>0</v>
      </c>
      <c r="BB798" s="0" t="s">
        <v>153</v>
      </c>
      <c r="CA798" s="0" t="s">
        <v>154</v>
      </c>
      <c r="DN798" s="0" t="s">
        <v>154</v>
      </c>
      <c r="EF798" s="0" t="s">
        <v>154</v>
      </c>
    </row>
    <row r="799" customFormat="false" ht="13.8" hidden="true" customHeight="false" outlineLevel="0" collapsed="false">
      <c r="A799" s="0" t="s">
        <v>4009</v>
      </c>
      <c r="B799" s="0" t="n">
        <v>78</v>
      </c>
      <c r="C799" s="0" t="n">
        <v>354828</v>
      </c>
      <c r="D799" s="0" t="s">
        <v>3559</v>
      </c>
      <c r="E799" s="0" t="s">
        <v>609</v>
      </c>
      <c r="F799" s="0" t="str">
        <f aca="false">CONCATENATE(D799," ",LEFT(H799,4),"T=",AU799,"D=",AV799,"R=",AW799,"M=",AX799,"L=",AY799,"B=",AZ799)</f>
        <v>RICHARDSON T=13D=0R=1M=0L=0B=0</v>
      </c>
      <c r="G799" s="0" t="s">
        <v>176</v>
      </c>
      <c r="I799" s="0" t="s">
        <v>4010</v>
      </c>
      <c r="J799" s="0" t="s">
        <v>4011</v>
      </c>
      <c r="K799" s="0" t="s">
        <v>144</v>
      </c>
      <c r="L799" s="0"/>
      <c r="M799" s="0" t="s">
        <v>4008</v>
      </c>
      <c r="N799" s="0" t="str">
        <f aca="false">RIGHT(M799,LEN(M799)-FIND(" ",M799))</f>
        <v>DOUGLAS ST NW</v>
      </c>
      <c r="P799" s="0" t="s">
        <v>146</v>
      </c>
      <c r="Q799" s="0" t="s">
        <v>147</v>
      </c>
      <c r="R799" s="0" t="n">
        <v>44483</v>
      </c>
      <c r="AD799" s="0" t="s">
        <v>148</v>
      </c>
      <c r="AE799" s="0" t="s">
        <v>149</v>
      </c>
      <c r="AF799" s="0" t="s">
        <v>150</v>
      </c>
      <c r="AH799" s="0" t="n">
        <v>14</v>
      </c>
      <c r="AI799" s="0" t="n">
        <v>11</v>
      </c>
      <c r="AN799" s="0" t="s">
        <v>146</v>
      </c>
      <c r="AO799" s="0" t="s">
        <v>250</v>
      </c>
      <c r="AP799" s="0" t="s">
        <v>251</v>
      </c>
      <c r="AQ799" s="0" t="n">
        <v>9</v>
      </c>
      <c r="AR799" s="0" t="n">
        <v>64</v>
      </c>
      <c r="AS799" s="0" t="n">
        <v>32</v>
      </c>
      <c r="AU799" s="0" t="n">
        <f aca="false">COUNTA($BA$2463:$EH$2463)</f>
        <v>13</v>
      </c>
      <c r="AV799" s="0" t="n">
        <f aca="false">COUNTIF($BA$2463:$EH$2463,"D")</f>
        <v>0</v>
      </c>
      <c r="AW799" s="0" t="n">
        <f aca="false">COUNTIF($BA$2463:$EH$2463,"R")</f>
        <v>1</v>
      </c>
      <c r="AX799" s="0" t="n">
        <f aca="false"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>0</v>
      </c>
      <c r="AY799" s="0" t="n">
        <f aca="false">COUNTIF(DU799:EH799, "&lt;&gt;")</f>
        <v>0</v>
      </c>
      <c r="AZ799" s="0" t="n">
        <f aca="false">IF(EH799&lt;&gt;"",1,0)</f>
        <v>0</v>
      </c>
      <c r="BB799" s="0" t="s">
        <v>153</v>
      </c>
      <c r="CP799" s="0" t="s">
        <v>154</v>
      </c>
      <c r="DC799" s="0" t="s">
        <v>154</v>
      </c>
    </row>
    <row r="800" customFormat="false" ht="13.8" hidden="true" customHeight="false" outlineLevel="0" collapsed="false">
      <c r="A800" s="0" t="s">
        <v>4012</v>
      </c>
      <c r="B800" s="0" t="n">
        <v>78</v>
      </c>
      <c r="C800" s="0" t="n">
        <v>449679</v>
      </c>
      <c r="D800" s="0" t="s">
        <v>2905</v>
      </c>
      <c r="E800" s="0" t="s">
        <v>1614</v>
      </c>
      <c r="F800" s="0" t="str">
        <f aca="false">CONCATENATE(D800," ",LEFT(H800,4),"T=",AU800,"D=",AV800,"R=",AW800,"M=",AX800,"L=",AY800,"B=",AZ800)</f>
        <v>MCCORMICK T=8D=0R=0M=0L=0B=0</v>
      </c>
      <c r="G800" s="0" t="s">
        <v>176</v>
      </c>
      <c r="I800" s="0" t="s">
        <v>4013</v>
      </c>
      <c r="J800" s="0" t="s">
        <v>4014</v>
      </c>
      <c r="K800" s="0" t="s">
        <v>175</v>
      </c>
      <c r="L800" s="0"/>
      <c r="M800" s="0" t="s">
        <v>4015</v>
      </c>
      <c r="N800" s="0" t="str">
        <f aca="false">RIGHT(M800,LEN(M800)-FIND(" ",M800))</f>
        <v>DOUGLAS ST NW</v>
      </c>
      <c r="P800" s="0" t="s">
        <v>146</v>
      </c>
      <c r="Q800" s="0" t="s">
        <v>147</v>
      </c>
      <c r="R800" s="0" t="n">
        <v>44483</v>
      </c>
      <c r="AD800" s="0" t="s">
        <v>148</v>
      </c>
      <c r="AE800" s="0" t="s">
        <v>149</v>
      </c>
      <c r="AF800" s="0" t="s">
        <v>150</v>
      </c>
      <c r="AH800" s="0" t="n">
        <v>14</v>
      </c>
      <c r="AI800" s="0" t="n">
        <v>11</v>
      </c>
      <c r="AN800" s="0" t="s">
        <v>146</v>
      </c>
      <c r="AO800" s="0" t="s">
        <v>250</v>
      </c>
      <c r="AP800" s="0" t="s">
        <v>251</v>
      </c>
      <c r="AQ800" s="0" t="n">
        <v>9</v>
      </c>
      <c r="AR800" s="0" t="n">
        <v>64</v>
      </c>
      <c r="AS800" s="0" t="n">
        <v>32</v>
      </c>
      <c r="AU800" s="0" t="n">
        <f aca="false">COUNTA($BA$2486:$EH$2486)</f>
        <v>8</v>
      </c>
      <c r="AV800" s="0" t="n">
        <f aca="false">COUNTIF($BA$2486:$EH$2486,"D")</f>
        <v>0</v>
      </c>
      <c r="AW800" s="0" t="n">
        <f aca="false">COUNTIF($BA$2486:$EH$2486,"R")</f>
        <v>0</v>
      </c>
      <c r="AX800" s="0" t="n">
        <f aca="false"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>0</v>
      </c>
      <c r="AY800" s="0" t="n">
        <f aca="false">COUNTIF(DU800:EH800, "&lt;&gt;")</f>
        <v>0</v>
      </c>
      <c r="AZ800" s="0" t="n">
        <f aca="false">IF(EH800&lt;&gt;"",1,0)</f>
        <v>0</v>
      </c>
      <c r="BB800" s="0" t="s">
        <v>153</v>
      </c>
    </row>
    <row r="801" customFormat="false" ht="13.8" hidden="true" customHeight="false" outlineLevel="0" collapsed="false">
      <c r="A801" s="0" t="s">
        <v>4016</v>
      </c>
      <c r="B801" s="0" t="n">
        <v>78</v>
      </c>
      <c r="C801" s="0" t="n">
        <v>490258</v>
      </c>
      <c r="D801" s="0" t="s">
        <v>1050</v>
      </c>
      <c r="E801" s="0" t="s">
        <v>3942</v>
      </c>
      <c r="F801" s="0" t="str">
        <f aca="false">CONCATENATE(D801," ",LEFT(H801,4),"T=",AU801,"D=",AV801,"R=",AW801,"M=",AX801,"L=",AY801,"B=",AZ801)</f>
        <v>JOHNSON T=12D=1R=1M=0L=0B=0</v>
      </c>
      <c r="G801" s="0" t="s">
        <v>155</v>
      </c>
      <c r="I801" s="0" t="s">
        <v>2536</v>
      </c>
      <c r="J801" s="0" t="s">
        <v>4017</v>
      </c>
      <c r="K801" s="0" t="s">
        <v>175</v>
      </c>
      <c r="L801" s="0"/>
      <c r="M801" s="0" t="s">
        <v>4018</v>
      </c>
      <c r="N801" s="0" t="str">
        <f aca="false">RIGHT(M801,LEN(M801)-FIND(" ",M801))</f>
        <v>ELM RD NE</v>
      </c>
      <c r="P801" s="0" t="s">
        <v>146</v>
      </c>
      <c r="Q801" s="0" t="s">
        <v>147</v>
      </c>
      <c r="R801" s="0" t="n">
        <v>44483</v>
      </c>
      <c r="AD801" s="0" t="s">
        <v>148</v>
      </c>
      <c r="AE801" s="0" t="s">
        <v>149</v>
      </c>
      <c r="AF801" s="0" t="s">
        <v>150</v>
      </c>
      <c r="AH801" s="0" t="n">
        <v>14</v>
      </c>
      <c r="AI801" s="0" t="n">
        <v>11</v>
      </c>
      <c r="AN801" s="0" t="s">
        <v>146</v>
      </c>
      <c r="AO801" s="0" t="s">
        <v>236</v>
      </c>
      <c r="AP801" s="0" t="s">
        <v>237</v>
      </c>
      <c r="AQ801" s="0" t="n">
        <v>9</v>
      </c>
      <c r="AR801" s="0" t="n">
        <v>64</v>
      </c>
      <c r="AS801" s="0" t="n">
        <v>32</v>
      </c>
      <c r="AU801" s="0" t="n">
        <f aca="false">COUNTA($BA$1011:$EH$1011)</f>
        <v>12</v>
      </c>
      <c r="AV801" s="0" t="n">
        <f aca="false">COUNTIF($BA$1011:$EH$1011,"D")</f>
        <v>1</v>
      </c>
      <c r="AW801" s="0" t="n">
        <f aca="false">COUNTIF($BA$1011:$EH$1011,"R")</f>
        <v>1</v>
      </c>
      <c r="AX801" s="0" t="n">
        <f aca="false"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>0</v>
      </c>
      <c r="AY801" s="0" t="n">
        <f aca="false">COUNTIF(DU801:EH801, "&lt;&gt;")</f>
        <v>0</v>
      </c>
      <c r="AZ801" s="0" t="n">
        <f aca="false">IF(EH801&lt;&gt;"",1,0)</f>
        <v>0</v>
      </c>
      <c r="BB801" s="0" t="s">
        <v>153</v>
      </c>
    </row>
    <row r="802" customFormat="false" ht="13.8" hidden="true" customHeight="false" outlineLevel="0" collapsed="false">
      <c r="A802" s="0" t="s">
        <v>4019</v>
      </c>
      <c r="B802" s="0" t="n">
        <v>78</v>
      </c>
      <c r="C802" s="0" t="n">
        <v>412059</v>
      </c>
      <c r="D802" s="0" t="s">
        <v>2334</v>
      </c>
      <c r="E802" s="0" t="s">
        <v>1910</v>
      </c>
      <c r="F802" s="0" t="str">
        <f aca="false">CONCATENATE(D802," ",LEFT(H802,4),"T=",AU802,"D=",AV802,"R=",AW802,"M=",AX802,"L=",AY802,"B=",AZ802)</f>
        <v>RICHARDS SRT=7D=1R=0M=0L=0B=0</v>
      </c>
      <c r="G802" s="0" t="s">
        <v>2293</v>
      </c>
      <c r="H802" s="0" t="s">
        <v>311</v>
      </c>
      <c r="I802" s="0" t="s">
        <v>4020</v>
      </c>
      <c r="J802" s="0" t="s">
        <v>218</v>
      </c>
      <c r="K802" s="0" t="s">
        <v>144</v>
      </c>
      <c r="L802" s="0"/>
      <c r="M802" s="0" t="s">
        <v>4021</v>
      </c>
      <c r="N802" s="0" t="str">
        <f aca="false">RIGHT(M802,LEN(M802)-FIND(" ",M802))</f>
        <v>ELM RD NE</v>
      </c>
      <c r="P802" s="0" t="s">
        <v>146</v>
      </c>
      <c r="Q802" s="0" t="s">
        <v>147</v>
      </c>
      <c r="R802" s="0" t="n">
        <v>44483</v>
      </c>
      <c r="AD802" s="0" t="s">
        <v>148</v>
      </c>
      <c r="AE802" s="0" t="s">
        <v>149</v>
      </c>
      <c r="AF802" s="0" t="s">
        <v>150</v>
      </c>
      <c r="AH802" s="0" t="n">
        <v>14</v>
      </c>
      <c r="AI802" s="0" t="n">
        <v>11</v>
      </c>
      <c r="AN802" s="0" t="s">
        <v>146</v>
      </c>
      <c r="AO802" s="0" t="s">
        <v>236</v>
      </c>
      <c r="AP802" s="0" t="s">
        <v>237</v>
      </c>
      <c r="AQ802" s="0" t="n">
        <v>9</v>
      </c>
      <c r="AR802" s="0" t="n">
        <v>64</v>
      </c>
      <c r="AS802" s="0" t="n">
        <v>32</v>
      </c>
      <c r="AU802" s="0" t="n">
        <f aca="false">COUNTA($BA$126:$EH$126)</f>
        <v>7</v>
      </c>
      <c r="AV802" s="0" t="n">
        <f aca="false">COUNTIF($BA$126:$EH$126,"D")</f>
        <v>1</v>
      </c>
      <c r="AW802" s="0" t="n">
        <f aca="false">COUNTIF($BA$126:$EH$126,"R")</f>
        <v>0</v>
      </c>
      <c r="AX802" s="0" t="n">
        <f aca="false"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>0</v>
      </c>
      <c r="AY802" s="0" t="n">
        <f aca="false">COUNTIF(DU802:EH802, "&lt;&gt;")</f>
        <v>0</v>
      </c>
      <c r="AZ802" s="0" t="n">
        <f aca="false">IF(EH802&lt;&gt;"",1,0)</f>
        <v>0</v>
      </c>
      <c r="BB802" s="0" t="s">
        <v>153</v>
      </c>
      <c r="BY802" s="0" t="s">
        <v>155</v>
      </c>
    </row>
    <row r="803" customFormat="false" ht="13.8" hidden="true" customHeight="false" outlineLevel="0" collapsed="false">
      <c r="A803" s="0" t="s">
        <v>4022</v>
      </c>
      <c r="B803" s="0" t="n">
        <v>78</v>
      </c>
      <c r="C803" s="0" t="n">
        <v>487324</v>
      </c>
      <c r="D803" s="0" t="s">
        <v>4023</v>
      </c>
      <c r="E803" s="0" t="s">
        <v>4024</v>
      </c>
      <c r="F803" s="0" t="str">
        <f aca="false">CONCATENATE(D803," ",LEFT(H803,4),"T=",AU803,"D=",AV803,"R=",AW803,"M=",AX803,"L=",AY803,"B=",AZ803)</f>
        <v>HENDERSON T=7D=0R=0M=0L=0B=0</v>
      </c>
      <c r="G803" s="0" t="s">
        <v>241</v>
      </c>
      <c r="I803" s="0" t="s">
        <v>4025</v>
      </c>
      <c r="J803" s="0" t="s">
        <v>228</v>
      </c>
      <c r="K803" s="0" t="s">
        <v>175</v>
      </c>
      <c r="L803" s="0"/>
      <c r="M803" s="0" t="s">
        <v>4021</v>
      </c>
      <c r="N803" s="0" t="str">
        <f aca="false">RIGHT(M803,LEN(M803)-FIND(" ",M803))</f>
        <v>ELM RD NE</v>
      </c>
      <c r="P803" s="0" t="s">
        <v>146</v>
      </c>
      <c r="Q803" s="0" t="s">
        <v>147</v>
      </c>
      <c r="R803" s="0" t="n">
        <v>44483</v>
      </c>
      <c r="AD803" s="0" t="s">
        <v>148</v>
      </c>
      <c r="AE803" s="0" t="s">
        <v>149</v>
      </c>
      <c r="AF803" s="0" t="s">
        <v>150</v>
      </c>
      <c r="AH803" s="0" t="n">
        <v>14</v>
      </c>
      <c r="AI803" s="0" t="n">
        <v>11</v>
      </c>
      <c r="AN803" s="0" t="s">
        <v>146</v>
      </c>
      <c r="AO803" s="0" t="s">
        <v>236</v>
      </c>
      <c r="AP803" s="0" t="s">
        <v>237</v>
      </c>
      <c r="AQ803" s="0" t="n">
        <v>9</v>
      </c>
      <c r="AR803" s="0" t="n">
        <v>64</v>
      </c>
      <c r="AS803" s="0" t="n">
        <v>32</v>
      </c>
      <c r="AU803" s="0" t="n">
        <f aca="false">COUNTA($BA$269:$EH$269)</f>
        <v>7</v>
      </c>
      <c r="AV803" s="0" t="n">
        <f aca="false">COUNTIF($BA$269:$EH$269,"D")</f>
        <v>0</v>
      </c>
      <c r="AW803" s="0" t="n">
        <f aca="false">COUNTIF($BA$269:$EH$269,"R")</f>
        <v>0</v>
      </c>
      <c r="AX803" s="0" t="n">
        <f aca="false"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>0</v>
      </c>
      <c r="AY803" s="0" t="n">
        <f aca="false">COUNTIF(DU803:EH803, "&lt;&gt;")</f>
        <v>0</v>
      </c>
      <c r="AZ803" s="0" t="n">
        <f aca="false">IF(EH803&lt;&gt;"",1,0)</f>
        <v>0</v>
      </c>
      <c r="BB803" s="0" t="s">
        <v>153</v>
      </c>
    </row>
    <row r="804" customFormat="false" ht="13.8" hidden="true" customHeight="false" outlineLevel="0" collapsed="false">
      <c r="A804" s="0" t="s">
        <v>4026</v>
      </c>
      <c r="B804" s="0" t="n">
        <v>78</v>
      </c>
      <c r="C804" s="0" t="n">
        <v>483578</v>
      </c>
      <c r="D804" s="0" t="s">
        <v>4027</v>
      </c>
      <c r="E804" s="0" t="s">
        <v>1063</v>
      </c>
      <c r="F804" s="0" t="str">
        <f aca="false">CONCATENATE(D804," ",LEFT(H804,4),"T=",AU804,"D=",AV804,"R=",AW804,"M=",AX804,"L=",AY804,"B=",AZ804)</f>
        <v>SMITHBERGER T=12D=0R=0M=0L=1B=0</v>
      </c>
      <c r="G804" s="0" t="s">
        <v>690</v>
      </c>
      <c r="I804" s="0" t="s">
        <v>4028</v>
      </c>
      <c r="J804" s="0" t="s">
        <v>3401</v>
      </c>
      <c r="K804" s="0" t="s">
        <v>175</v>
      </c>
      <c r="L804" s="0"/>
      <c r="M804" s="0" t="s">
        <v>4029</v>
      </c>
      <c r="N804" s="0" t="str">
        <f aca="false">RIGHT(M804,LEN(M804)-FIND(" ",M804))</f>
        <v>ELM RD NE</v>
      </c>
      <c r="P804" s="0" t="s">
        <v>146</v>
      </c>
      <c r="Q804" s="0" t="s">
        <v>147</v>
      </c>
      <c r="R804" s="0" t="n">
        <v>44483</v>
      </c>
      <c r="AD804" s="0" t="s">
        <v>148</v>
      </c>
      <c r="AE804" s="0" t="s">
        <v>149</v>
      </c>
      <c r="AF804" s="0" t="s">
        <v>150</v>
      </c>
      <c r="AH804" s="0" t="n">
        <v>14</v>
      </c>
      <c r="AI804" s="0" t="n">
        <v>11</v>
      </c>
      <c r="AN804" s="0" t="s">
        <v>146</v>
      </c>
      <c r="AO804" s="0" t="s">
        <v>236</v>
      </c>
      <c r="AP804" s="0" t="s">
        <v>237</v>
      </c>
      <c r="AQ804" s="0" t="n">
        <v>9</v>
      </c>
      <c r="AR804" s="0" t="n">
        <v>64</v>
      </c>
      <c r="AS804" s="0" t="n">
        <v>32</v>
      </c>
      <c r="AU804" s="0" t="n">
        <f aca="false">COUNTA($BA$810:$EH$810)</f>
        <v>12</v>
      </c>
      <c r="AV804" s="0" t="n">
        <f aca="false">COUNTIF($BA$810:$EH$810,"D")</f>
        <v>0</v>
      </c>
      <c r="AW804" s="0" t="n">
        <f aca="false">COUNTIF($BA$810:$EH$810,"R")</f>
        <v>0</v>
      </c>
      <c r="AX804" s="0" t="n">
        <f aca="false"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>0</v>
      </c>
      <c r="AY804" s="0" t="n">
        <f aca="false">COUNTIF(DU804:EH804, "&lt;&gt;")</f>
        <v>1</v>
      </c>
      <c r="AZ804" s="0" t="n">
        <f aca="false">IF(EH804&lt;&gt;"",1,0)</f>
        <v>0</v>
      </c>
      <c r="BB804" s="0" t="s">
        <v>153</v>
      </c>
      <c r="EF804" s="0" t="s">
        <v>154</v>
      </c>
    </row>
    <row r="805" customFormat="false" ht="13.8" hidden="true" customHeight="false" outlineLevel="0" collapsed="false">
      <c r="A805" s="0" t="s">
        <v>4030</v>
      </c>
      <c r="B805" s="0" t="n">
        <v>78</v>
      </c>
      <c r="C805" s="0" t="n">
        <v>393855</v>
      </c>
      <c r="D805" s="0" t="s">
        <v>4027</v>
      </c>
      <c r="E805" s="0" t="s">
        <v>4031</v>
      </c>
      <c r="F805" s="0" t="str">
        <f aca="false">CONCATENATE(D805," ",LEFT(H805,4),"T=",AU805,"D=",AV805,"R=",AW805,"M=",AX805,"L=",AY805,"B=",AZ805)</f>
        <v>SMITHBERGER T=2D=0R=0M=0L=1B=0</v>
      </c>
      <c r="G805" s="0" t="s">
        <v>241</v>
      </c>
      <c r="I805" s="0" t="s">
        <v>4032</v>
      </c>
      <c r="J805" s="0" t="s">
        <v>419</v>
      </c>
      <c r="K805" s="0" t="s">
        <v>175</v>
      </c>
      <c r="L805" s="0"/>
      <c r="M805" s="0" t="s">
        <v>4029</v>
      </c>
      <c r="N805" s="0" t="str">
        <f aca="false">RIGHT(M805,LEN(M805)-FIND(" ",M805))</f>
        <v>ELM RD NE</v>
      </c>
      <c r="P805" s="0" t="s">
        <v>146</v>
      </c>
      <c r="Q805" s="0" t="s">
        <v>147</v>
      </c>
      <c r="R805" s="0" t="n">
        <v>44483</v>
      </c>
      <c r="AD805" s="0" t="s">
        <v>148</v>
      </c>
      <c r="AE805" s="0" t="s">
        <v>149</v>
      </c>
      <c r="AF805" s="0" t="s">
        <v>150</v>
      </c>
      <c r="AH805" s="0" t="n">
        <v>14</v>
      </c>
      <c r="AI805" s="0" t="n">
        <v>11</v>
      </c>
      <c r="AN805" s="0" t="s">
        <v>146</v>
      </c>
      <c r="AO805" s="0" t="s">
        <v>236</v>
      </c>
      <c r="AP805" s="0" t="s">
        <v>237</v>
      </c>
      <c r="AQ805" s="0" t="n">
        <v>9</v>
      </c>
      <c r="AR805" s="0" t="n">
        <v>64</v>
      </c>
      <c r="AS805" s="0" t="n">
        <v>32</v>
      </c>
      <c r="AU805" s="0" t="n">
        <f aca="false">COUNTA($BA$1058:$EH$1058)</f>
        <v>2</v>
      </c>
      <c r="AV805" s="0" t="n">
        <f aca="false">COUNTIF($BA$1058:$EH$1058,"D")</f>
        <v>0</v>
      </c>
      <c r="AW805" s="0" t="n">
        <f aca="false">COUNTIF($BA$1058:$EH$1058,"R")</f>
        <v>0</v>
      </c>
      <c r="AX805" s="0" t="n">
        <f aca="false"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>0</v>
      </c>
      <c r="AY805" s="0" t="n">
        <f aca="false">COUNTIF(DU805:EH805, "&lt;&gt;")</f>
        <v>1</v>
      </c>
      <c r="AZ805" s="0" t="n">
        <f aca="false">IF(EH805&lt;&gt;"",1,0)</f>
        <v>0</v>
      </c>
      <c r="BB805" s="0" t="s">
        <v>153</v>
      </c>
      <c r="CZ805" s="0" t="s">
        <v>176</v>
      </c>
      <c r="DC805" s="0" t="s">
        <v>154</v>
      </c>
      <c r="EF805" s="0" t="s">
        <v>154</v>
      </c>
    </row>
    <row r="806" customFormat="false" ht="13.8" hidden="true" customHeight="false" outlineLevel="0" collapsed="false">
      <c r="A806" s="0" t="s">
        <v>4033</v>
      </c>
      <c r="B806" s="0" t="n">
        <v>78</v>
      </c>
      <c r="C806" s="0" t="n">
        <v>465934</v>
      </c>
      <c r="D806" s="0" t="s">
        <v>4034</v>
      </c>
      <c r="E806" s="0" t="s">
        <v>4035</v>
      </c>
      <c r="F806" s="0" t="str">
        <f aca="false">CONCATENATE(D806," ",LEFT(H806,4),"T=",AU806,"D=",AV806,"R=",AW806,"M=",AX806,"L=",AY806,"B=",AZ806)</f>
        <v>CRISP T=1D=0R=0M=0L=0B=0</v>
      </c>
      <c r="G806" s="0" t="s">
        <v>3139</v>
      </c>
      <c r="I806" s="0" t="s">
        <v>4036</v>
      </c>
      <c r="J806" s="0" t="s">
        <v>4037</v>
      </c>
      <c r="K806" s="0" t="s">
        <v>144</v>
      </c>
      <c r="L806" s="0"/>
      <c r="M806" s="0" t="s">
        <v>4038</v>
      </c>
      <c r="N806" s="0" t="str">
        <f aca="false">RIGHT(M806,LEN(M806)-FIND(" ",M806))</f>
        <v>ELM RD NE</v>
      </c>
      <c r="P806" s="0" t="s">
        <v>146</v>
      </c>
      <c r="Q806" s="0" t="s">
        <v>147</v>
      </c>
      <c r="R806" s="0" t="n">
        <v>44483</v>
      </c>
      <c r="AD806" s="0" t="s">
        <v>148</v>
      </c>
      <c r="AE806" s="0" t="s">
        <v>149</v>
      </c>
      <c r="AF806" s="0" t="s">
        <v>150</v>
      </c>
      <c r="AH806" s="0" t="n">
        <v>14</v>
      </c>
      <c r="AI806" s="0" t="n">
        <v>11</v>
      </c>
      <c r="AN806" s="0" t="s">
        <v>146</v>
      </c>
      <c r="AO806" s="0" t="s">
        <v>236</v>
      </c>
      <c r="AP806" s="0" t="s">
        <v>237</v>
      </c>
      <c r="AQ806" s="0" t="n">
        <v>9</v>
      </c>
      <c r="AR806" s="0" t="n">
        <v>64</v>
      </c>
      <c r="AS806" s="0" t="n">
        <v>32</v>
      </c>
      <c r="AU806" s="0" t="n">
        <f aca="false">COUNTA($BA$339:$EH$339)</f>
        <v>1</v>
      </c>
      <c r="AV806" s="0" t="n">
        <f aca="false">COUNTIF($BA$339:$EH$339,"D")</f>
        <v>0</v>
      </c>
      <c r="AW806" s="0" t="n">
        <f aca="false">COUNTIF($BA$339:$EH$339,"R")</f>
        <v>0</v>
      </c>
      <c r="AX806" s="0" t="n">
        <f aca="false"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>0</v>
      </c>
      <c r="AY806" s="0" t="n">
        <f aca="false">COUNTIF(DU806:EH806, "&lt;&gt;")</f>
        <v>0</v>
      </c>
      <c r="AZ806" s="0" t="n">
        <f aca="false">IF(EH806&lt;&gt;"",1,0)</f>
        <v>0</v>
      </c>
      <c r="BB806" s="0" t="s">
        <v>153</v>
      </c>
      <c r="DC806" s="0" t="s">
        <v>154</v>
      </c>
    </row>
    <row r="807" customFormat="false" ht="13.8" hidden="true" customHeight="false" outlineLevel="0" collapsed="false">
      <c r="A807" s="0" t="s">
        <v>4039</v>
      </c>
      <c r="B807" s="0" t="n">
        <v>78</v>
      </c>
      <c r="C807" s="0" t="n">
        <v>393170</v>
      </c>
      <c r="D807" s="0" t="s">
        <v>4040</v>
      </c>
      <c r="E807" s="0" t="s">
        <v>277</v>
      </c>
      <c r="F807" s="0" t="str">
        <f aca="false">CONCATENATE(D807," ",LEFT(H807,4),"T=",AU807,"D=",AV807,"R=",AW807,"M=",AX807,"L=",AY807,"B=",AZ807)</f>
        <v>IRWIN LEWIS T=1D=0R=0M=0L=0B=0</v>
      </c>
      <c r="G807" s="0" t="s">
        <v>188</v>
      </c>
      <c r="I807" s="0" t="s">
        <v>4041</v>
      </c>
      <c r="J807" s="0" t="s">
        <v>4042</v>
      </c>
      <c r="K807" s="0" t="s">
        <v>144</v>
      </c>
      <c r="L807" s="0"/>
      <c r="M807" s="0" t="s">
        <v>4043</v>
      </c>
      <c r="N807" s="0" t="str">
        <f aca="false">RIGHT(M807,LEN(M807)-FIND(" ",M807))</f>
        <v>ELM RD NE</v>
      </c>
      <c r="P807" s="0" t="s">
        <v>146</v>
      </c>
      <c r="Q807" s="0" t="s">
        <v>147</v>
      </c>
      <c r="R807" s="0" t="n">
        <v>44483</v>
      </c>
      <c r="AD807" s="0" t="s">
        <v>148</v>
      </c>
      <c r="AE807" s="0" t="s">
        <v>149</v>
      </c>
      <c r="AF807" s="0" t="s">
        <v>150</v>
      </c>
      <c r="AH807" s="0" t="n">
        <v>14</v>
      </c>
      <c r="AI807" s="0" t="n">
        <v>11</v>
      </c>
      <c r="AN807" s="0" t="s">
        <v>146</v>
      </c>
      <c r="AO807" s="0" t="s">
        <v>236</v>
      </c>
      <c r="AP807" s="0" t="s">
        <v>237</v>
      </c>
      <c r="AQ807" s="0" t="n">
        <v>9</v>
      </c>
      <c r="AR807" s="0" t="n">
        <v>64</v>
      </c>
      <c r="AS807" s="0" t="n">
        <v>32</v>
      </c>
      <c r="AU807" s="0" t="n">
        <f aca="false">COUNTA($BA$774:$EH$774)</f>
        <v>1</v>
      </c>
      <c r="AV807" s="0" t="n">
        <f aca="false">COUNTIF($BA$774:$EH$774,"D")</f>
        <v>0</v>
      </c>
      <c r="AW807" s="0" t="n">
        <f aca="false">COUNTIF($BA$774:$EH$774,"R")</f>
        <v>0</v>
      </c>
      <c r="AX807" s="0" t="n">
        <f aca="false"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>0</v>
      </c>
      <c r="AY807" s="0" t="n">
        <f aca="false">COUNTIF(DU807:EH807, "&lt;&gt;")</f>
        <v>0</v>
      </c>
      <c r="AZ807" s="0" t="n">
        <f aca="false">IF(EH807&lt;&gt;"",1,0)</f>
        <v>0</v>
      </c>
      <c r="BB807" s="0" t="s">
        <v>153</v>
      </c>
      <c r="CP807" s="0" t="s">
        <v>154</v>
      </c>
    </row>
    <row r="808" customFormat="false" ht="13.8" hidden="true" customHeight="false" outlineLevel="0" collapsed="false">
      <c r="A808" s="0" t="s">
        <v>4044</v>
      </c>
      <c r="B808" s="0" t="n">
        <v>78</v>
      </c>
      <c r="C808" s="0" t="n">
        <v>393437</v>
      </c>
      <c r="D808" s="0" t="s">
        <v>4045</v>
      </c>
      <c r="E808" s="0" t="s">
        <v>863</v>
      </c>
      <c r="F808" s="0" t="str">
        <f aca="false">CONCATENATE(D808," ",LEFT(H808,4),"T=",AU808,"D=",AV808,"R=",AW808,"M=",AX808,"L=",AY808,"B=",AZ808)</f>
        <v>CASTERLINE T=9D=0R=0M=0L=1B=0</v>
      </c>
      <c r="G808" s="0" t="s">
        <v>297</v>
      </c>
      <c r="I808" s="0" t="s">
        <v>4046</v>
      </c>
      <c r="J808" s="0" t="s">
        <v>712</v>
      </c>
      <c r="K808" s="0" t="s">
        <v>175</v>
      </c>
      <c r="L808" s="0" t="s">
        <v>176</v>
      </c>
      <c r="M808" s="0" t="s">
        <v>4047</v>
      </c>
      <c r="N808" s="0" t="str">
        <f aca="false">RIGHT(M808,LEN(M808)-FIND(" ",M808))</f>
        <v>ELM RD NE</v>
      </c>
      <c r="P808" s="0" t="s">
        <v>146</v>
      </c>
      <c r="Q808" s="0" t="s">
        <v>147</v>
      </c>
      <c r="R808" s="0" t="n">
        <v>44483</v>
      </c>
      <c r="AD808" s="0" t="s">
        <v>148</v>
      </c>
      <c r="AE808" s="0" t="s">
        <v>149</v>
      </c>
      <c r="AF808" s="0" t="s">
        <v>150</v>
      </c>
      <c r="AH808" s="0" t="n">
        <v>14</v>
      </c>
      <c r="AI808" s="0" t="n">
        <v>11</v>
      </c>
      <c r="AN808" s="0" t="s">
        <v>146</v>
      </c>
      <c r="AO808" s="0" t="s">
        <v>236</v>
      </c>
      <c r="AP808" s="0" t="s">
        <v>237</v>
      </c>
      <c r="AQ808" s="0" t="n">
        <v>9</v>
      </c>
      <c r="AR808" s="0" t="n">
        <v>64</v>
      </c>
      <c r="AS808" s="0" t="n">
        <v>32</v>
      </c>
      <c r="AU808" s="0" t="n">
        <f aca="false">COUNTA($BA$69:$EH$69)</f>
        <v>9</v>
      </c>
      <c r="AV808" s="0" t="n">
        <f aca="false">COUNTIF($BA$69:$EH$69,"D")</f>
        <v>0</v>
      </c>
      <c r="AW808" s="0" t="n">
        <f aca="false">COUNTIF($BA$69:$EH$69,"R")</f>
        <v>0</v>
      </c>
      <c r="AX808" s="0" t="n">
        <f aca="false"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>0</v>
      </c>
      <c r="AY808" s="0" t="n">
        <f aca="false">COUNTIF(DU808:EH808, "&lt;&gt;")</f>
        <v>1</v>
      </c>
      <c r="AZ808" s="0" t="n">
        <f aca="false">IF(EH808&lt;&gt;"",1,0)</f>
        <v>0</v>
      </c>
      <c r="BB808" s="0" t="s">
        <v>153</v>
      </c>
      <c r="BK808" s="0" t="s">
        <v>176</v>
      </c>
      <c r="BL808" s="0" t="s">
        <v>154</v>
      </c>
      <c r="BP808" s="0" t="s">
        <v>154</v>
      </c>
      <c r="BY808" s="0" t="s">
        <v>176</v>
      </c>
      <c r="CA808" s="0" t="s">
        <v>154</v>
      </c>
      <c r="CP808" s="0" t="s">
        <v>154</v>
      </c>
      <c r="CY808" s="0" t="s">
        <v>154</v>
      </c>
      <c r="CZ808" s="0" t="s">
        <v>176</v>
      </c>
      <c r="DC808" s="0" t="s">
        <v>154</v>
      </c>
      <c r="DI808" s="0" t="s">
        <v>154</v>
      </c>
      <c r="DN808" s="0" t="s">
        <v>154</v>
      </c>
      <c r="DR808" s="0" t="s">
        <v>154</v>
      </c>
      <c r="DS808" s="0" t="s">
        <v>176</v>
      </c>
      <c r="EF808" s="0" t="s">
        <v>154</v>
      </c>
    </row>
    <row r="809" customFormat="false" ht="13.8" hidden="true" customHeight="false" outlineLevel="0" collapsed="false">
      <c r="A809" s="0" t="s">
        <v>4048</v>
      </c>
      <c r="B809" s="0" t="n">
        <v>78</v>
      </c>
      <c r="C809" s="0" t="n">
        <v>446638</v>
      </c>
      <c r="D809" s="0" t="s">
        <v>4049</v>
      </c>
      <c r="E809" s="0" t="s">
        <v>652</v>
      </c>
      <c r="F809" s="0" t="str">
        <f aca="false">CONCATENATE(D809," ",LEFT(H809,4),"T=",AU809,"D=",AV809,"R=",AW809,"M=",AX809,"L=",AY809,"B=",AZ809)</f>
        <v>FRASIER T=4D=0R=0M=0L=1B=0</v>
      </c>
      <c r="G809" s="0" t="s">
        <v>283</v>
      </c>
      <c r="I809" s="0" t="s">
        <v>4050</v>
      </c>
      <c r="J809" s="0" t="s">
        <v>4051</v>
      </c>
      <c r="K809" s="0" t="s">
        <v>175</v>
      </c>
      <c r="L809" s="0"/>
      <c r="M809" s="0" t="s">
        <v>4047</v>
      </c>
      <c r="N809" s="0" t="str">
        <f aca="false">RIGHT(M809,LEN(M809)-FIND(" ",M809))</f>
        <v>ELM RD NE</v>
      </c>
      <c r="P809" s="0" t="s">
        <v>146</v>
      </c>
      <c r="Q809" s="0" t="s">
        <v>147</v>
      </c>
      <c r="R809" s="0" t="n">
        <v>44483</v>
      </c>
      <c r="AD809" s="0" t="s">
        <v>148</v>
      </c>
      <c r="AE809" s="0" t="s">
        <v>149</v>
      </c>
      <c r="AF809" s="0" t="s">
        <v>150</v>
      </c>
      <c r="AH809" s="0" t="n">
        <v>14</v>
      </c>
      <c r="AI809" s="0" t="n">
        <v>11</v>
      </c>
      <c r="AN809" s="0" t="s">
        <v>146</v>
      </c>
      <c r="AO809" s="0" t="s">
        <v>236</v>
      </c>
      <c r="AP809" s="0" t="s">
        <v>237</v>
      </c>
      <c r="AQ809" s="0" t="n">
        <v>9</v>
      </c>
      <c r="AR809" s="0" t="n">
        <v>64</v>
      </c>
      <c r="AS809" s="0" t="n">
        <v>32</v>
      </c>
      <c r="AU809" s="0" t="n">
        <f aca="false">COUNTA($BA$227:$EH$227)</f>
        <v>4</v>
      </c>
      <c r="AV809" s="0" t="n">
        <f aca="false">COUNTIF($BA$227:$EH$227,"D")</f>
        <v>0</v>
      </c>
      <c r="AW809" s="0" t="n">
        <f aca="false">COUNTIF($BA$227:$EH$227,"R")</f>
        <v>0</v>
      </c>
      <c r="AX809" s="0" t="n">
        <f aca="false"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>0</v>
      </c>
      <c r="AY809" s="0" t="n">
        <f aca="false">COUNTIF(DU809:EH809, "&lt;&gt;")</f>
        <v>1</v>
      </c>
      <c r="AZ809" s="0" t="n">
        <f aca="false">IF(EH809&lt;&gt;"",1,0)</f>
        <v>0</v>
      </c>
      <c r="BB809" s="0" t="s">
        <v>153</v>
      </c>
      <c r="DN809" s="0" t="s">
        <v>154</v>
      </c>
      <c r="EF809" s="0" t="s">
        <v>154</v>
      </c>
    </row>
    <row r="810" customFormat="false" ht="13.8" hidden="false" customHeight="false" outlineLevel="0" collapsed="false">
      <c r="A810" s="0" t="s">
        <v>4052</v>
      </c>
      <c r="B810" s="0" t="n">
        <v>78</v>
      </c>
      <c r="C810" s="0" t="n">
        <v>440340</v>
      </c>
      <c r="D810" s="0" t="s">
        <v>3309</v>
      </c>
      <c r="E810" s="0" t="s">
        <v>652</v>
      </c>
      <c r="F810" s="0" t="str">
        <f aca="false">CONCATENATE(D810," ",LEFT(H810,4),"T=",AU810,"D=",AV810,"R=",AW810,"M=",AX810,"L=",AY810,"B=",AZ810)</f>
        <v>SPENCER JRT=1D=0R=0M=0L=4B=0</v>
      </c>
      <c r="G810" s="0" t="s">
        <v>317</v>
      </c>
      <c r="H810" s="0" t="s">
        <v>431</v>
      </c>
      <c r="I810" s="0" t="s">
        <v>4053</v>
      </c>
      <c r="J810" s="0" t="s">
        <v>4054</v>
      </c>
      <c r="K810" s="0" t="s">
        <v>175</v>
      </c>
      <c r="M810" s="0" t="s">
        <v>4055</v>
      </c>
      <c r="N810" s="0" t="str">
        <f aca="false">RIGHT(M810,LEN(M810)-FIND(" ",M810))</f>
        <v>ELM RD NE</v>
      </c>
      <c r="P810" s="0" t="s">
        <v>146</v>
      </c>
      <c r="Q810" s="0" t="s">
        <v>147</v>
      </c>
      <c r="R810" s="0" t="n">
        <v>44483</v>
      </c>
      <c r="AD810" s="0" t="s">
        <v>148</v>
      </c>
      <c r="AE810" s="0" t="s">
        <v>149</v>
      </c>
      <c r="AF810" s="0" t="s">
        <v>150</v>
      </c>
      <c r="AH810" s="0" t="n">
        <v>14</v>
      </c>
      <c r="AI810" s="0" t="n">
        <v>11</v>
      </c>
      <c r="AN810" s="0" t="s">
        <v>146</v>
      </c>
      <c r="AO810" s="0" t="s">
        <v>236</v>
      </c>
      <c r="AP810" s="0" t="s">
        <v>237</v>
      </c>
      <c r="AQ810" s="0" t="n">
        <v>9</v>
      </c>
      <c r="AR810" s="0" t="n">
        <v>64</v>
      </c>
      <c r="AS810" s="0" t="n">
        <v>32</v>
      </c>
      <c r="AU810" s="0" t="n">
        <f aca="false">COUNTA($BA$33:$EH$33)</f>
        <v>1</v>
      </c>
      <c r="AV810" s="0" t="n">
        <f aca="false">COUNTIF($BA$33:$EH$33,"D")</f>
        <v>0</v>
      </c>
      <c r="AW810" s="0" t="n">
        <f aca="false">COUNTIF($BA$33:$EH$33,"R")</f>
        <v>0</v>
      </c>
      <c r="AX810" s="0" t="n">
        <f aca="false"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>0</v>
      </c>
      <c r="AY810" s="0" t="n">
        <f aca="false">COUNTIF(DU810:EH810, "&lt;&gt;")</f>
        <v>4</v>
      </c>
      <c r="AZ810" s="0" t="n">
        <f aca="false">IF(EH810&lt;&gt;"",1,0)</f>
        <v>0</v>
      </c>
      <c r="BB810" s="0" t="s">
        <v>153</v>
      </c>
      <c r="BL810" s="0" t="s">
        <v>154</v>
      </c>
      <c r="CN810" s="0" t="s">
        <v>154</v>
      </c>
      <c r="CP810" s="0" t="s">
        <v>154</v>
      </c>
      <c r="CV810" s="0" t="s">
        <v>154</v>
      </c>
      <c r="DC810" s="0" t="s">
        <v>154</v>
      </c>
      <c r="DI810" s="0" t="s">
        <v>154</v>
      </c>
      <c r="DN810" s="0" t="s">
        <v>154</v>
      </c>
      <c r="DU810" s="0" t="s">
        <v>154</v>
      </c>
      <c r="DX810" s="0" t="s">
        <v>154</v>
      </c>
      <c r="EA810" s="0" t="s">
        <v>154</v>
      </c>
      <c r="EF810" s="0" t="s">
        <v>154</v>
      </c>
    </row>
    <row r="811" customFormat="false" ht="13.8" hidden="true" customHeight="false" outlineLevel="0" collapsed="false">
      <c r="A811" s="0" t="s">
        <v>4056</v>
      </c>
      <c r="B811" s="0" t="n">
        <v>78</v>
      </c>
      <c r="C811" s="0" t="n">
        <v>478576</v>
      </c>
      <c r="D811" s="0" t="s">
        <v>4057</v>
      </c>
      <c r="E811" s="0" t="s">
        <v>4058</v>
      </c>
      <c r="F811" s="0" t="str">
        <f aca="false">CONCATENATE(D811," ",LEFT(H811,4),"T=",AU811,"D=",AV811,"R=",AW811,"M=",AX811,"L=",AY811,"B=",AZ811)</f>
        <v>BORRELL T=11D=1R=0M=0L=1B=0</v>
      </c>
      <c r="G811" s="0" t="s">
        <v>3139</v>
      </c>
      <c r="I811" s="0" t="s">
        <v>4059</v>
      </c>
      <c r="J811" s="0" t="s">
        <v>3464</v>
      </c>
      <c r="K811" s="0" t="s">
        <v>175</v>
      </c>
      <c r="L811" s="0"/>
      <c r="M811" s="0" t="s">
        <v>4060</v>
      </c>
      <c r="N811" s="0" t="str">
        <f aca="false">RIGHT(M811,LEN(M811)-FIND(" ",M811))</f>
        <v>ELM RD NE</v>
      </c>
      <c r="P811" s="0" t="s">
        <v>146</v>
      </c>
      <c r="Q811" s="0" t="s">
        <v>147</v>
      </c>
      <c r="R811" s="0" t="n">
        <v>44483</v>
      </c>
      <c r="AD811" s="0" t="s">
        <v>148</v>
      </c>
      <c r="AE811" s="0" t="s">
        <v>149</v>
      </c>
      <c r="AF811" s="0" t="s">
        <v>150</v>
      </c>
      <c r="AH811" s="0" t="n">
        <v>14</v>
      </c>
      <c r="AI811" s="0" t="n">
        <v>11</v>
      </c>
      <c r="AN811" s="0" t="s">
        <v>146</v>
      </c>
      <c r="AO811" s="0" t="s">
        <v>236</v>
      </c>
      <c r="AP811" s="0" t="s">
        <v>237</v>
      </c>
      <c r="AQ811" s="0" t="n">
        <v>9</v>
      </c>
      <c r="AR811" s="0" t="n">
        <v>64</v>
      </c>
      <c r="AS811" s="0" t="n">
        <v>32</v>
      </c>
      <c r="AU811" s="0" t="n">
        <f aca="false">COUNTA($BA$258:$EH$258)</f>
        <v>11</v>
      </c>
      <c r="AV811" s="0" t="n">
        <f aca="false">COUNTIF($BA$258:$EH$258,"D")</f>
        <v>1</v>
      </c>
      <c r="AW811" s="0" t="n">
        <f aca="false">COUNTIF($BA$258:$EH$258,"R")</f>
        <v>0</v>
      </c>
      <c r="AX811" s="0" t="n">
        <f aca="false"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>0</v>
      </c>
      <c r="AY811" s="0" t="n">
        <f aca="false">COUNTIF(DU811:EH811, "&lt;&gt;")</f>
        <v>1</v>
      </c>
      <c r="AZ811" s="0" t="n">
        <f aca="false">IF(EH811&lt;&gt;"",1,0)</f>
        <v>0</v>
      </c>
      <c r="BB811" s="0" t="s">
        <v>153</v>
      </c>
      <c r="EF811" s="0" t="s">
        <v>154</v>
      </c>
    </row>
    <row r="812" customFormat="false" ht="13.8" hidden="true" customHeight="false" outlineLevel="0" collapsed="false">
      <c r="A812" s="0" t="s">
        <v>4061</v>
      </c>
      <c r="B812" s="0" t="n">
        <v>78</v>
      </c>
      <c r="C812" s="0" t="n">
        <v>488110</v>
      </c>
      <c r="D812" s="0" t="s">
        <v>146</v>
      </c>
      <c r="E812" s="0" t="s">
        <v>4062</v>
      </c>
      <c r="F812" s="0" t="str">
        <f aca="false">CONCATENATE(D812," ",LEFT(H812,4),"T=",AU812,"D=",AV812,"R=",AW812,"M=",AX812,"L=",AY812,"B=",AZ812)</f>
        <v>WARREN T=20D=1R=0M=0L=1B=0</v>
      </c>
      <c r="G812" s="0" t="s">
        <v>3139</v>
      </c>
      <c r="I812" s="0" t="s">
        <v>4063</v>
      </c>
      <c r="J812" s="0" t="s">
        <v>3939</v>
      </c>
      <c r="K812" s="0" t="s">
        <v>175</v>
      </c>
      <c r="L812" s="0"/>
      <c r="M812" s="0" t="s">
        <v>4060</v>
      </c>
      <c r="N812" s="0" t="str">
        <f aca="false">RIGHT(M812,LEN(M812)-FIND(" ",M812))</f>
        <v>ELM RD NE</v>
      </c>
      <c r="P812" s="0" t="s">
        <v>146</v>
      </c>
      <c r="Q812" s="0" t="s">
        <v>147</v>
      </c>
      <c r="R812" s="0" t="n">
        <v>44483</v>
      </c>
      <c r="AD812" s="0" t="s">
        <v>148</v>
      </c>
      <c r="AE812" s="0" t="s">
        <v>149</v>
      </c>
      <c r="AF812" s="0" t="s">
        <v>150</v>
      </c>
      <c r="AH812" s="0" t="n">
        <v>14</v>
      </c>
      <c r="AI812" s="0" t="n">
        <v>11</v>
      </c>
      <c r="AN812" s="0" t="s">
        <v>146</v>
      </c>
      <c r="AO812" s="0" t="s">
        <v>236</v>
      </c>
      <c r="AP812" s="0" t="s">
        <v>237</v>
      </c>
      <c r="AQ812" s="0" t="n">
        <v>9</v>
      </c>
      <c r="AR812" s="0" t="n">
        <v>64</v>
      </c>
      <c r="AS812" s="0" t="n">
        <v>32</v>
      </c>
      <c r="AU812" s="0" t="n">
        <f aca="false">COUNTA($BA$731:$EH$731)</f>
        <v>20</v>
      </c>
      <c r="AV812" s="0" t="n">
        <f aca="false">COUNTIF($BA$731:$EH$731,"D")</f>
        <v>1</v>
      </c>
      <c r="AW812" s="0" t="n">
        <f aca="false">COUNTIF($BA$731:$EH$731,"R")</f>
        <v>0</v>
      </c>
      <c r="AX812" s="0" t="n">
        <f aca="false"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>0</v>
      </c>
      <c r="AY812" s="0" t="n">
        <f aca="false">COUNTIF(DU812:EH812, "&lt;&gt;")</f>
        <v>1</v>
      </c>
      <c r="AZ812" s="0" t="n">
        <f aca="false">IF(EH812&lt;&gt;"",1,0)</f>
        <v>0</v>
      </c>
      <c r="BB812" s="0" t="s">
        <v>153</v>
      </c>
      <c r="EF812" s="0" t="s">
        <v>154</v>
      </c>
    </row>
    <row r="813" customFormat="false" ht="13.8" hidden="true" customHeight="false" outlineLevel="0" collapsed="false">
      <c r="A813" s="0" t="s">
        <v>4064</v>
      </c>
      <c r="B813" s="0" t="n">
        <v>78</v>
      </c>
      <c r="C813" s="0" t="n">
        <v>430611</v>
      </c>
      <c r="D813" s="0" t="s">
        <v>1588</v>
      </c>
      <c r="E813" s="0" t="s">
        <v>4065</v>
      </c>
      <c r="F813" s="0" t="str">
        <f aca="false">CONCATENATE(D813," ",LEFT(H813,4),"T=",AU813,"D=",AV813,"R=",AW813,"M=",AX813,"L=",AY813,"B=",AZ813)</f>
        <v>HALL T=2D=0R=0M=0L=0B=0</v>
      </c>
      <c r="G813" s="0" t="s">
        <v>514</v>
      </c>
      <c r="I813" s="0" t="s">
        <v>4066</v>
      </c>
      <c r="J813" s="0" t="s">
        <v>4067</v>
      </c>
      <c r="K813" s="0" t="s">
        <v>144</v>
      </c>
      <c r="L813" s="0"/>
      <c r="M813" s="0" t="s">
        <v>4068</v>
      </c>
      <c r="N813" s="0" t="str">
        <f aca="false">RIGHT(M813,LEN(M813)-FIND(" ",M813))</f>
        <v>ELM RD NE</v>
      </c>
      <c r="P813" s="0" t="s">
        <v>146</v>
      </c>
      <c r="Q813" s="0" t="s">
        <v>147</v>
      </c>
      <c r="R813" s="0" t="n">
        <v>44483</v>
      </c>
      <c r="AD813" s="0" t="s">
        <v>148</v>
      </c>
      <c r="AE813" s="0" t="s">
        <v>149</v>
      </c>
      <c r="AF813" s="0" t="s">
        <v>150</v>
      </c>
      <c r="AH813" s="0" t="n">
        <v>14</v>
      </c>
      <c r="AI813" s="0" t="n">
        <v>11</v>
      </c>
      <c r="AN813" s="0" t="s">
        <v>146</v>
      </c>
      <c r="AO813" s="0" t="s">
        <v>236</v>
      </c>
      <c r="AP813" s="0" t="s">
        <v>237</v>
      </c>
      <c r="AQ813" s="0" t="n">
        <v>9</v>
      </c>
      <c r="AR813" s="0" t="n">
        <v>64</v>
      </c>
      <c r="AS813" s="0" t="n">
        <v>32</v>
      </c>
      <c r="AU813" s="0" t="n">
        <f aca="false">COUNTA($BA$146:$EH$146)</f>
        <v>2</v>
      </c>
      <c r="AV813" s="0" t="n">
        <f aca="false">COUNTIF($BA$146:$EH$146,"D")</f>
        <v>0</v>
      </c>
      <c r="AW813" s="0" t="n">
        <f aca="false">COUNTIF($BA$146:$EH$146,"R")</f>
        <v>0</v>
      </c>
      <c r="AX813" s="0" t="n">
        <f aca="false"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>0</v>
      </c>
      <c r="AY813" s="0" t="n">
        <f aca="false">COUNTIF(DU813:EH813, "&lt;&gt;")</f>
        <v>0</v>
      </c>
      <c r="AZ813" s="0" t="n">
        <f aca="false">IF(EH813&lt;&gt;"",1,0)</f>
        <v>0</v>
      </c>
      <c r="BB813" s="0" t="s">
        <v>153</v>
      </c>
    </row>
    <row r="814" customFormat="false" ht="13.8" hidden="true" customHeight="false" outlineLevel="0" collapsed="false">
      <c r="A814" s="0" t="s">
        <v>4069</v>
      </c>
      <c r="B814" s="0" t="n">
        <v>78</v>
      </c>
      <c r="C814" s="0" t="n">
        <v>433871</v>
      </c>
      <c r="D814" s="0" t="s">
        <v>4070</v>
      </c>
      <c r="E814" s="0" t="s">
        <v>863</v>
      </c>
      <c r="F814" s="0" t="str">
        <f aca="false">CONCATENATE(D814," ",LEFT(H814,4),"T=",AU814,"D=",AV814,"R=",AW814,"M=",AX814,"L=",AY814,"B=",AZ814)</f>
        <v>WHITE T=1D=0R=0M=0L=0B=0</v>
      </c>
      <c r="G814" s="0" t="s">
        <v>2764</v>
      </c>
      <c r="I814" s="0" t="s">
        <v>4071</v>
      </c>
      <c r="J814" s="0" t="s">
        <v>1364</v>
      </c>
      <c r="K814" s="0" t="s">
        <v>144</v>
      </c>
      <c r="L814" s="0"/>
      <c r="M814" s="0" t="s">
        <v>4068</v>
      </c>
      <c r="N814" s="0" t="str">
        <f aca="false">RIGHT(M814,LEN(M814)-FIND(" ",M814))</f>
        <v>ELM RD NE</v>
      </c>
      <c r="P814" s="0" t="s">
        <v>146</v>
      </c>
      <c r="Q814" s="0" t="s">
        <v>147</v>
      </c>
      <c r="R814" s="0" t="n">
        <v>44483</v>
      </c>
      <c r="AD814" s="0" t="s">
        <v>148</v>
      </c>
      <c r="AE814" s="0" t="s">
        <v>149</v>
      </c>
      <c r="AF814" s="0" t="s">
        <v>150</v>
      </c>
      <c r="AH814" s="0" t="n">
        <v>14</v>
      </c>
      <c r="AI814" s="0" t="n">
        <v>11</v>
      </c>
      <c r="AN814" s="0" t="s">
        <v>146</v>
      </c>
      <c r="AO814" s="0" t="s">
        <v>236</v>
      </c>
      <c r="AP814" s="0" t="s">
        <v>237</v>
      </c>
      <c r="AQ814" s="0" t="n">
        <v>9</v>
      </c>
      <c r="AR814" s="0" t="n">
        <v>64</v>
      </c>
      <c r="AS814" s="0" t="n">
        <v>32</v>
      </c>
      <c r="AU814" s="0" t="n">
        <f aca="false">COUNTA($BA$175:$EH$175)</f>
        <v>1</v>
      </c>
      <c r="AV814" s="0" t="n">
        <f aca="false">COUNTIF($BA$175:$EH$175,"D")</f>
        <v>0</v>
      </c>
      <c r="AW814" s="0" t="n">
        <f aca="false">COUNTIF($BA$175:$EH$175,"R")</f>
        <v>0</v>
      </c>
      <c r="AX814" s="0" t="n">
        <f aca="false"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>0</v>
      </c>
      <c r="AY814" s="0" t="n">
        <f aca="false">COUNTIF(DU814:EH814, "&lt;&gt;")</f>
        <v>0</v>
      </c>
      <c r="AZ814" s="0" t="n">
        <f aca="false">IF(EH814&lt;&gt;"",1,0)</f>
        <v>0</v>
      </c>
      <c r="BB814" s="0" t="s">
        <v>153</v>
      </c>
    </row>
    <row r="815" customFormat="false" ht="13.8" hidden="true" customHeight="false" outlineLevel="0" collapsed="false">
      <c r="A815" s="0" t="s">
        <v>4072</v>
      </c>
      <c r="B815" s="0" t="n">
        <v>78</v>
      </c>
      <c r="C815" s="0" t="n">
        <v>450957</v>
      </c>
      <c r="D815" s="0" t="s">
        <v>2648</v>
      </c>
      <c r="E815" s="0" t="s">
        <v>2836</v>
      </c>
      <c r="F815" s="0" t="str">
        <f aca="false">CONCATENATE(D815," ",LEFT(H815,4),"T=",AU815,"D=",AV815,"R=",AW815,"M=",AX815,"L=",AY815,"B=",AZ815)</f>
        <v>MURPHY T=7D=0R=0M=0L=0B=0</v>
      </c>
      <c r="G815" s="0" t="s">
        <v>277</v>
      </c>
      <c r="I815" s="0" t="s">
        <v>4073</v>
      </c>
      <c r="J815" s="0" t="s">
        <v>4074</v>
      </c>
      <c r="K815" s="0" t="s">
        <v>175</v>
      </c>
      <c r="L815" s="0"/>
      <c r="M815" s="0" t="s">
        <v>4068</v>
      </c>
      <c r="N815" s="0" t="str">
        <f aca="false">RIGHT(M815,LEN(M815)-FIND(" ",M815))</f>
        <v>ELM RD NE</v>
      </c>
      <c r="P815" s="0" t="s">
        <v>146</v>
      </c>
      <c r="Q815" s="0" t="s">
        <v>147</v>
      </c>
      <c r="R815" s="0" t="n">
        <v>44483</v>
      </c>
      <c r="AD815" s="0" t="s">
        <v>148</v>
      </c>
      <c r="AE815" s="0" t="s">
        <v>149</v>
      </c>
      <c r="AF815" s="0" t="s">
        <v>150</v>
      </c>
      <c r="AH815" s="0" t="n">
        <v>14</v>
      </c>
      <c r="AI815" s="0" t="n">
        <v>11</v>
      </c>
      <c r="AN815" s="0" t="s">
        <v>146</v>
      </c>
      <c r="AO815" s="0" t="s">
        <v>236</v>
      </c>
      <c r="AP815" s="0" t="s">
        <v>237</v>
      </c>
      <c r="AQ815" s="0" t="n">
        <v>9</v>
      </c>
      <c r="AR815" s="0" t="n">
        <v>64</v>
      </c>
      <c r="AS815" s="0" t="n">
        <v>32</v>
      </c>
      <c r="AU815" s="0" t="n">
        <f aca="false">COUNTA($BA$325:$EH$325)</f>
        <v>7</v>
      </c>
      <c r="AV815" s="0" t="n">
        <f aca="false">COUNTIF($BA$325:$EH$325,"D")</f>
        <v>0</v>
      </c>
      <c r="AW815" s="0" t="n">
        <f aca="false">COUNTIF($BA$325:$EH$325,"R")</f>
        <v>0</v>
      </c>
      <c r="AX815" s="0" t="n">
        <f aca="false"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>0</v>
      </c>
      <c r="AY815" s="0" t="n">
        <f aca="false">COUNTIF(DU815:EH815, "&lt;&gt;")</f>
        <v>0</v>
      </c>
      <c r="AZ815" s="0" t="n">
        <f aca="false">IF(EH815&lt;&gt;"",1,0)</f>
        <v>0</v>
      </c>
      <c r="BB815" s="0" t="s">
        <v>153</v>
      </c>
      <c r="DN815" s="0" t="s">
        <v>154</v>
      </c>
    </row>
    <row r="816" customFormat="false" ht="13.8" hidden="true" customHeight="false" outlineLevel="0" collapsed="false">
      <c r="A816" s="0" t="s">
        <v>4075</v>
      </c>
      <c r="B816" s="0" t="n">
        <v>78</v>
      </c>
      <c r="C816" s="0" t="n">
        <v>477871</v>
      </c>
      <c r="D816" s="0" t="s">
        <v>731</v>
      </c>
      <c r="E816" s="0" t="s">
        <v>1244</v>
      </c>
      <c r="F816" s="0" t="str">
        <f aca="false">CONCATENATE(D816," ",LEFT(H816,4),"T=",AU816,"D=",AV816,"R=",AW816,"M=",AX816,"L=",AY816,"B=",AZ816)</f>
        <v>CLAY T=1D=0R=0M=0L=0B=0</v>
      </c>
      <c r="G816" s="0" t="s">
        <v>181</v>
      </c>
      <c r="I816" s="0" t="s">
        <v>4076</v>
      </c>
      <c r="J816" s="0" t="s">
        <v>4074</v>
      </c>
      <c r="K816" s="0" t="s">
        <v>175</v>
      </c>
      <c r="L816" s="0"/>
      <c r="M816" s="0" t="s">
        <v>4068</v>
      </c>
      <c r="N816" s="0" t="str">
        <f aca="false">RIGHT(M816,LEN(M816)-FIND(" ",M816))</f>
        <v>ELM RD NE</v>
      </c>
      <c r="P816" s="0" t="s">
        <v>146</v>
      </c>
      <c r="Q816" s="0" t="s">
        <v>147</v>
      </c>
      <c r="R816" s="0" t="n">
        <v>44483</v>
      </c>
      <c r="AD816" s="0" t="s">
        <v>148</v>
      </c>
      <c r="AE816" s="0" t="s">
        <v>149</v>
      </c>
      <c r="AF816" s="0" t="s">
        <v>150</v>
      </c>
      <c r="AH816" s="0" t="n">
        <v>14</v>
      </c>
      <c r="AI816" s="0" t="n">
        <v>11</v>
      </c>
      <c r="AN816" s="0" t="s">
        <v>146</v>
      </c>
      <c r="AO816" s="0" t="s">
        <v>236</v>
      </c>
      <c r="AP816" s="0" t="s">
        <v>237</v>
      </c>
      <c r="AQ816" s="0" t="n">
        <v>9</v>
      </c>
      <c r="AR816" s="0" t="n">
        <v>64</v>
      </c>
      <c r="AS816" s="0" t="n">
        <v>32</v>
      </c>
      <c r="AU816" s="0" t="n">
        <f aca="false">COUNTA($BA$391:$EH$391)</f>
        <v>1</v>
      </c>
      <c r="AV816" s="0" t="n">
        <f aca="false">COUNTIF($BA$391:$EH$391,"D")</f>
        <v>0</v>
      </c>
      <c r="AW816" s="0" t="n">
        <f aca="false">COUNTIF($BA$391:$EH$391,"R")</f>
        <v>0</v>
      </c>
      <c r="AX816" s="0" t="n">
        <f aca="false"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>0</v>
      </c>
      <c r="AY816" s="0" t="n">
        <f aca="false">COUNTIF(DU816:EH816, "&lt;&gt;")</f>
        <v>0</v>
      </c>
      <c r="AZ816" s="0" t="n">
        <f aca="false">IF(EH816&lt;&gt;"",1,0)</f>
        <v>0</v>
      </c>
      <c r="BB816" s="0" t="s">
        <v>153</v>
      </c>
    </row>
    <row r="817" customFormat="false" ht="13.8" hidden="true" customHeight="false" outlineLevel="0" collapsed="false">
      <c r="A817" s="0" t="s">
        <v>4077</v>
      </c>
      <c r="B817" s="0" t="n">
        <v>78</v>
      </c>
      <c r="C817" s="0" t="n">
        <v>485239</v>
      </c>
      <c r="D817" s="0" t="s">
        <v>4078</v>
      </c>
      <c r="E817" s="0" t="s">
        <v>4079</v>
      </c>
      <c r="F817" s="0" t="str">
        <f aca="false">CONCATENATE(D817," ",LEFT(H817,4),"T=",AU817,"D=",AV817,"R=",AW817,"M=",AX817,"L=",AY817,"B=",AZ817)</f>
        <v>RODRIGUEZ T=2D=0R=0M=0L=0B=0</v>
      </c>
      <c r="G817" s="0" t="s">
        <v>4080</v>
      </c>
      <c r="I817" s="0" t="s">
        <v>4081</v>
      </c>
      <c r="J817" s="0" t="s">
        <v>4082</v>
      </c>
      <c r="K817" s="0" t="s">
        <v>175</v>
      </c>
      <c r="L817" s="0"/>
      <c r="M817" s="0" t="s">
        <v>4083</v>
      </c>
      <c r="N817" s="0" t="str">
        <f aca="false">RIGHT(M817,LEN(M817)-FIND(" ",M817))</f>
        <v>ELM RD NE</v>
      </c>
      <c r="P817" s="0" t="s">
        <v>146</v>
      </c>
      <c r="Q817" s="0" t="s">
        <v>147</v>
      </c>
      <c r="R817" s="0" t="n">
        <v>44483</v>
      </c>
      <c r="S817" s="0" t="n">
        <v>4014</v>
      </c>
      <c r="AD817" s="0" t="s">
        <v>148</v>
      </c>
      <c r="AE817" s="0" t="s">
        <v>149</v>
      </c>
      <c r="AF817" s="0" t="s">
        <v>150</v>
      </c>
      <c r="AH817" s="0" t="n">
        <v>14</v>
      </c>
      <c r="AI817" s="0" t="n">
        <v>11</v>
      </c>
      <c r="AN817" s="0" t="s">
        <v>146</v>
      </c>
      <c r="AO817" s="0" t="s">
        <v>236</v>
      </c>
      <c r="AP817" s="0" t="s">
        <v>237</v>
      </c>
      <c r="AQ817" s="0" t="n">
        <v>9</v>
      </c>
      <c r="AR817" s="0" t="n">
        <v>64</v>
      </c>
      <c r="AS817" s="0" t="n">
        <v>32</v>
      </c>
      <c r="AU817" s="0" t="n">
        <f aca="false">COUNTA($BA$239:$EH$239)</f>
        <v>2</v>
      </c>
      <c r="AV817" s="0" t="n">
        <f aca="false">COUNTIF($BA$239:$EH$239,"D")</f>
        <v>0</v>
      </c>
      <c r="AW817" s="0" t="n">
        <f aca="false">COUNTIF($BA$239:$EH$239,"R")</f>
        <v>0</v>
      </c>
      <c r="AX817" s="0" t="n">
        <f aca="false"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>0</v>
      </c>
      <c r="AY817" s="0" t="n">
        <f aca="false">COUNTIF(DU817:EH817, "&lt;&gt;")</f>
        <v>0</v>
      </c>
      <c r="AZ817" s="0" t="n">
        <f aca="false">IF(EH817&lt;&gt;"",1,0)</f>
        <v>0</v>
      </c>
      <c r="BB817" s="0" t="s">
        <v>153</v>
      </c>
    </row>
    <row r="818" customFormat="false" ht="13.8" hidden="true" customHeight="false" outlineLevel="0" collapsed="false">
      <c r="A818" s="0" t="s">
        <v>4084</v>
      </c>
      <c r="B818" s="0" t="n">
        <v>78</v>
      </c>
      <c r="C818" s="0" t="n">
        <v>484632</v>
      </c>
      <c r="D818" s="0" t="s">
        <v>4078</v>
      </c>
      <c r="E818" s="0" t="s">
        <v>4085</v>
      </c>
      <c r="F818" s="0" t="str">
        <f aca="false">CONCATENATE(D818," ",LEFT(H818,4),"T=",AU818,"D=",AV818,"R=",AW818,"M=",AX818,"L=",AY818,"B=",AZ818)</f>
        <v>RODRIGUEZ T=3D=0R=0M=0L=0B=0</v>
      </c>
      <c r="I818" s="0" t="s">
        <v>4086</v>
      </c>
      <c r="J818" s="0" t="s">
        <v>4087</v>
      </c>
      <c r="K818" s="0" t="s">
        <v>175</v>
      </c>
      <c r="L818" s="0"/>
      <c r="M818" s="0" t="s">
        <v>4083</v>
      </c>
      <c r="N818" s="0" t="str">
        <f aca="false">RIGHT(M818,LEN(M818)-FIND(" ",M818))</f>
        <v>ELM RD NE</v>
      </c>
      <c r="P818" s="0" t="s">
        <v>146</v>
      </c>
      <c r="Q818" s="0" t="s">
        <v>147</v>
      </c>
      <c r="R818" s="0" t="n">
        <v>44483</v>
      </c>
      <c r="AD818" s="0" t="s">
        <v>148</v>
      </c>
      <c r="AE818" s="0" t="s">
        <v>149</v>
      </c>
      <c r="AF818" s="0" t="s">
        <v>150</v>
      </c>
      <c r="AH818" s="0" t="n">
        <v>14</v>
      </c>
      <c r="AI818" s="0" t="n">
        <v>11</v>
      </c>
      <c r="AN818" s="0" t="s">
        <v>146</v>
      </c>
      <c r="AO818" s="0" t="s">
        <v>236</v>
      </c>
      <c r="AP818" s="0" t="s">
        <v>237</v>
      </c>
      <c r="AQ818" s="0" t="n">
        <v>9</v>
      </c>
      <c r="AR818" s="0" t="n">
        <v>64</v>
      </c>
      <c r="AS818" s="0" t="n">
        <v>32</v>
      </c>
      <c r="AU818" s="0" t="n">
        <f aca="false">COUNTA($BA$284:$EH$284)</f>
        <v>3</v>
      </c>
      <c r="AV818" s="0" t="n">
        <f aca="false">COUNTIF($BA$284:$EH$284,"D")</f>
        <v>0</v>
      </c>
      <c r="AW818" s="0" t="n">
        <f aca="false">COUNTIF($BA$284:$EH$284,"R")</f>
        <v>0</v>
      </c>
      <c r="AX818" s="0" t="n">
        <f aca="false"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>0</v>
      </c>
      <c r="AY818" s="0" t="n">
        <f aca="false">COUNTIF(DU818:EH818, "&lt;&gt;")</f>
        <v>0</v>
      </c>
      <c r="AZ818" s="0" t="n">
        <f aca="false">IF(EH818&lt;&gt;"",1,0)</f>
        <v>0</v>
      </c>
      <c r="BB818" s="0" t="s">
        <v>153</v>
      </c>
    </row>
    <row r="819" customFormat="false" ht="13.8" hidden="false" customHeight="false" outlineLevel="0" collapsed="false">
      <c r="A819" s="0" t="s">
        <v>4088</v>
      </c>
      <c r="B819" s="0" t="n">
        <v>78</v>
      </c>
      <c r="C819" s="0" t="n">
        <v>470895</v>
      </c>
      <c r="D819" s="0" t="s">
        <v>4089</v>
      </c>
      <c r="E819" s="0" t="s">
        <v>3462</v>
      </c>
      <c r="F819" s="0" t="str">
        <f aca="false">CONCATENATE(D819," ",LEFT(H819,4),"T=",AU819,"D=",AV819,"R=",AW819,"M=",AX819,"L=",AY819,"B=",AZ819)</f>
        <v>OMALLEY T=12D=2R=0M=1L=3B=0</v>
      </c>
      <c r="G819" s="0" t="s">
        <v>278</v>
      </c>
      <c r="I819" s="0" t="s">
        <v>4090</v>
      </c>
      <c r="J819" s="0" t="s">
        <v>910</v>
      </c>
      <c r="K819" s="0" t="s">
        <v>175</v>
      </c>
      <c r="L819" s="1" t="s">
        <v>155</v>
      </c>
      <c r="M819" s="0" t="s">
        <v>4091</v>
      </c>
      <c r="N819" s="0" t="str">
        <f aca="false">RIGHT(M819,LEN(M819)-FIND(" ",M819))</f>
        <v>ELM RD NE</v>
      </c>
      <c r="P819" s="0" t="s">
        <v>146</v>
      </c>
      <c r="Q819" s="0" t="s">
        <v>147</v>
      </c>
      <c r="R819" s="0" t="n">
        <v>44483</v>
      </c>
      <c r="AD819" s="0" t="s">
        <v>148</v>
      </c>
      <c r="AE819" s="0" t="s">
        <v>149</v>
      </c>
      <c r="AF819" s="0" t="s">
        <v>150</v>
      </c>
      <c r="AH819" s="0" t="n">
        <v>14</v>
      </c>
      <c r="AI819" s="0" t="n">
        <v>11</v>
      </c>
      <c r="AN819" s="0" t="s">
        <v>146</v>
      </c>
      <c r="AO819" s="0" t="s">
        <v>236</v>
      </c>
      <c r="AP819" s="0" t="s">
        <v>237</v>
      </c>
      <c r="AQ819" s="0" t="n">
        <v>9</v>
      </c>
      <c r="AR819" s="0" t="n">
        <v>64</v>
      </c>
      <c r="AS819" s="0" t="n">
        <v>32</v>
      </c>
      <c r="AU819" s="0" t="n">
        <f aca="false">COUNTA($BA$253:$EH$253)</f>
        <v>12</v>
      </c>
      <c r="AV819" s="0" t="n">
        <f aca="false">COUNTIF($BA$253:$EH$253,"D")</f>
        <v>2</v>
      </c>
      <c r="AW819" s="0" t="n">
        <f aca="false">COUNTIF($BA$253:$EH$253,"R")</f>
        <v>0</v>
      </c>
      <c r="AX819" s="0" t="n">
        <f aca="false"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>1</v>
      </c>
      <c r="AY819" s="0" t="n">
        <f aca="false">COUNTIF(DU819:EH819, "&lt;&gt;")</f>
        <v>3</v>
      </c>
      <c r="AZ819" s="0" t="n">
        <f aca="false">IF(EH819&lt;&gt;"",1,0)</f>
        <v>0</v>
      </c>
      <c r="BB819" s="0" t="s">
        <v>153</v>
      </c>
      <c r="DW819" s="0" t="s">
        <v>155</v>
      </c>
      <c r="DX819" s="0" t="s">
        <v>154</v>
      </c>
      <c r="EA819" s="0" t="s">
        <v>154</v>
      </c>
    </row>
    <row r="820" customFormat="false" ht="13.8" hidden="true" customHeight="false" outlineLevel="0" collapsed="false">
      <c r="A820" s="0" t="s">
        <v>4092</v>
      </c>
      <c r="B820" s="0" t="n">
        <v>78</v>
      </c>
      <c r="C820" s="0" t="n">
        <v>490110</v>
      </c>
      <c r="D820" s="0" t="s">
        <v>2788</v>
      </c>
      <c r="E820" s="0" t="s">
        <v>430</v>
      </c>
      <c r="F820" s="0" t="str">
        <f aca="false">CONCATENATE(D820," ",LEFT(H820,4),"T=",AU820,"D=",AV820,"R=",AW820,"M=",AX820,"L=",AY820,"B=",AZ820)</f>
        <v>LOPEZ T=1D=0R=0M=0L=1B=0</v>
      </c>
      <c r="G820" s="0" t="s">
        <v>155</v>
      </c>
      <c r="I820" s="0" t="s">
        <v>4093</v>
      </c>
      <c r="J820" s="0" t="s">
        <v>4094</v>
      </c>
      <c r="K820" s="0" t="s">
        <v>175</v>
      </c>
      <c r="L820" s="0"/>
      <c r="M820" s="0" t="s">
        <v>4091</v>
      </c>
      <c r="N820" s="0" t="str">
        <f aca="false">RIGHT(M820,LEN(M820)-FIND(" ",M820))</f>
        <v>ELM RD NE</v>
      </c>
      <c r="P820" s="0" t="s">
        <v>146</v>
      </c>
      <c r="Q820" s="0" t="s">
        <v>147</v>
      </c>
      <c r="R820" s="0" t="n">
        <v>44483</v>
      </c>
      <c r="AD820" s="0" t="s">
        <v>148</v>
      </c>
      <c r="AE820" s="0" t="s">
        <v>149</v>
      </c>
      <c r="AF820" s="0" t="s">
        <v>150</v>
      </c>
      <c r="AH820" s="0" t="n">
        <v>14</v>
      </c>
      <c r="AI820" s="0" t="n">
        <v>11</v>
      </c>
      <c r="AN820" s="0" t="s">
        <v>146</v>
      </c>
      <c r="AO820" s="0" t="s">
        <v>236</v>
      </c>
      <c r="AP820" s="0" t="s">
        <v>237</v>
      </c>
      <c r="AQ820" s="0" t="n">
        <v>9</v>
      </c>
      <c r="AR820" s="0" t="n">
        <v>64</v>
      </c>
      <c r="AS820" s="0" t="n">
        <v>32</v>
      </c>
      <c r="AU820" s="0" t="n">
        <f aca="false">COUNTA($BA$834:$EH$834)</f>
        <v>1</v>
      </c>
      <c r="AV820" s="0" t="n">
        <f aca="false">COUNTIF($BA$834:$EH$834,"D")</f>
        <v>0</v>
      </c>
      <c r="AW820" s="0" t="n">
        <f aca="false">COUNTIF($BA$834:$EH$834,"R")</f>
        <v>0</v>
      </c>
      <c r="AX820" s="0" t="n">
        <f aca="false"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>0</v>
      </c>
      <c r="AY820" s="0" t="n">
        <f aca="false">COUNTIF(DU820:EH820, "&lt;&gt;")</f>
        <v>1</v>
      </c>
      <c r="AZ820" s="0" t="n">
        <f aca="false">IF(EH820&lt;&gt;"",1,0)</f>
        <v>0</v>
      </c>
      <c r="BB820" s="0" t="s">
        <v>153</v>
      </c>
      <c r="CA820" s="0" t="s">
        <v>154</v>
      </c>
      <c r="CP820" s="0" t="s">
        <v>154</v>
      </c>
      <c r="EF820" s="0" t="s">
        <v>154</v>
      </c>
    </row>
    <row r="821" customFormat="false" ht="13.8" hidden="true" customHeight="false" outlineLevel="0" collapsed="false">
      <c r="A821" s="0" t="s">
        <v>4095</v>
      </c>
      <c r="B821" s="0" t="n">
        <v>78</v>
      </c>
      <c r="C821" s="0" t="n">
        <v>477552</v>
      </c>
      <c r="D821" s="0" t="s">
        <v>2788</v>
      </c>
      <c r="E821" s="0" t="s">
        <v>376</v>
      </c>
      <c r="F821" s="0" t="str">
        <f aca="false">CONCATENATE(D821," ",LEFT(H821,4),"T=",AU821,"D=",AV821,"R=",AW821,"M=",AX821,"L=",AY821,"B=",AZ821)</f>
        <v>LOPEZ T=2D=0R=0M=0L=1B=0</v>
      </c>
      <c r="G821" s="0" t="s">
        <v>241</v>
      </c>
      <c r="I821" s="0" t="s">
        <v>4096</v>
      </c>
      <c r="J821" s="0" t="s">
        <v>4097</v>
      </c>
      <c r="K821" s="0" t="s">
        <v>175</v>
      </c>
      <c r="L821" s="0"/>
      <c r="M821" s="0" t="s">
        <v>4091</v>
      </c>
      <c r="N821" s="0" t="str">
        <f aca="false">RIGHT(M821,LEN(M821)-FIND(" ",M821))</f>
        <v>ELM RD NE</v>
      </c>
      <c r="P821" s="0" t="s">
        <v>146</v>
      </c>
      <c r="Q821" s="0" t="s">
        <v>147</v>
      </c>
      <c r="R821" s="0" t="n">
        <v>44483</v>
      </c>
      <c r="AD821" s="0" t="s">
        <v>148</v>
      </c>
      <c r="AE821" s="0" t="s">
        <v>149</v>
      </c>
      <c r="AF821" s="0" t="s">
        <v>150</v>
      </c>
      <c r="AH821" s="0" t="n">
        <v>14</v>
      </c>
      <c r="AI821" s="0" t="n">
        <v>11</v>
      </c>
      <c r="AN821" s="0" t="s">
        <v>146</v>
      </c>
      <c r="AO821" s="0" t="s">
        <v>236</v>
      </c>
      <c r="AP821" s="0" t="s">
        <v>237</v>
      </c>
      <c r="AQ821" s="0" t="n">
        <v>9</v>
      </c>
      <c r="AR821" s="0" t="n">
        <v>64</v>
      </c>
      <c r="AS821" s="0" t="n">
        <v>32</v>
      </c>
      <c r="AU821" s="0" t="n">
        <f aca="false">COUNTA($BA$840:$EH$840)</f>
        <v>2</v>
      </c>
      <c r="AV821" s="0" t="n">
        <f aca="false">COUNTIF($BA$840:$EH$840,"D")</f>
        <v>0</v>
      </c>
      <c r="AW821" s="0" t="n">
        <f aca="false">COUNTIF($BA$840:$EH$840,"R")</f>
        <v>0</v>
      </c>
      <c r="AX821" s="0" t="n">
        <f aca="false"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>0</v>
      </c>
      <c r="AY821" s="0" t="n">
        <f aca="false">COUNTIF(DU821:EH821, "&lt;&gt;")</f>
        <v>1</v>
      </c>
      <c r="AZ821" s="0" t="n">
        <f aca="false">IF(EH821&lt;&gt;"",1,0)</f>
        <v>0</v>
      </c>
      <c r="BB821" s="0" t="s">
        <v>153</v>
      </c>
      <c r="CP821" s="0" t="s">
        <v>154</v>
      </c>
      <c r="EF821" s="0" t="s">
        <v>154</v>
      </c>
    </row>
    <row r="822" customFormat="false" ht="13.8" hidden="true" customHeight="false" outlineLevel="0" collapsed="false">
      <c r="A822" s="0" t="s">
        <v>4098</v>
      </c>
      <c r="B822" s="0" t="n">
        <v>78</v>
      </c>
      <c r="C822" s="0" t="n">
        <v>469353</v>
      </c>
      <c r="D822" s="0" t="s">
        <v>2788</v>
      </c>
      <c r="E822" s="0" t="s">
        <v>4099</v>
      </c>
      <c r="F822" s="0" t="str">
        <f aca="false">CONCATENATE(D822," ",LEFT(H822,4),"T=",AU822,"D=",AV822,"R=",AW822,"M=",AX822,"L=",AY822,"B=",AZ822)</f>
        <v>LOPEZ T=1D=0R=0M=0L=1B=0</v>
      </c>
      <c r="G822" s="0" t="s">
        <v>690</v>
      </c>
      <c r="I822" s="0" t="s">
        <v>4100</v>
      </c>
      <c r="J822" s="0" t="s">
        <v>4101</v>
      </c>
      <c r="K822" s="0" t="s">
        <v>175</v>
      </c>
      <c r="L822" s="0"/>
      <c r="M822" s="0" t="s">
        <v>4091</v>
      </c>
      <c r="N822" s="0" t="str">
        <f aca="false">RIGHT(M822,LEN(M822)-FIND(" ",M822))</f>
        <v>ELM RD NE</v>
      </c>
      <c r="P822" s="0" t="s">
        <v>146</v>
      </c>
      <c r="Q822" s="0" t="s">
        <v>147</v>
      </c>
      <c r="R822" s="0" t="n">
        <v>44483</v>
      </c>
      <c r="AD822" s="0" t="s">
        <v>148</v>
      </c>
      <c r="AE822" s="0" t="s">
        <v>149</v>
      </c>
      <c r="AF822" s="0" t="s">
        <v>150</v>
      </c>
      <c r="AH822" s="0" t="n">
        <v>14</v>
      </c>
      <c r="AI822" s="0" t="n">
        <v>11</v>
      </c>
      <c r="AN822" s="0" t="s">
        <v>146</v>
      </c>
      <c r="AO822" s="0" t="s">
        <v>236</v>
      </c>
      <c r="AP822" s="0" t="s">
        <v>237</v>
      </c>
      <c r="AQ822" s="0" t="n">
        <v>9</v>
      </c>
      <c r="AR822" s="0" t="n">
        <v>64</v>
      </c>
      <c r="AS822" s="0" t="n">
        <v>32</v>
      </c>
      <c r="AU822" s="0" t="n">
        <f aca="false">COUNTA($BA$985:$EH$985)</f>
        <v>1</v>
      </c>
      <c r="AV822" s="0" t="n">
        <f aca="false">COUNTIF($BA$985:$EH$985,"D")</f>
        <v>0</v>
      </c>
      <c r="AW822" s="0" t="n">
        <f aca="false">COUNTIF($BA$985:$EH$985,"R")</f>
        <v>0</v>
      </c>
      <c r="AX822" s="0" t="n">
        <f aca="false"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>0</v>
      </c>
      <c r="AY822" s="0" t="n">
        <f aca="false">COUNTIF(DU822:EH822, "&lt;&gt;")</f>
        <v>1</v>
      </c>
      <c r="AZ822" s="0" t="n">
        <f aca="false">IF(EH822&lt;&gt;"",1,0)</f>
        <v>0</v>
      </c>
      <c r="BB822" s="0" t="s">
        <v>153</v>
      </c>
      <c r="EF822" s="0" t="s">
        <v>154</v>
      </c>
    </row>
    <row r="823" customFormat="false" ht="13.8" hidden="false" customHeight="false" outlineLevel="0" collapsed="false">
      <c r="A823" s="0" t="s">
        <v>4102</v>
      </c>
      <c r="B823" s="0" t="n">
        <v>78</v>
      </c>
      <c r="C823" s="0" t="n">
        <v>295882</v>
      </c>
      <c r="D823" s="0" t="s">
        <v>931</v>
      </c>
      <c r="E823" s="0" t="s">
        <v>4103</v>
      </c>
      <c r="F823" s="0" t="str">
        <f aca="false">CONCATENATE(D823," ",LEFT(H823,4),"T=",AU823,"D=",AV823,"R=",AW823,"M=",AX823,"L=",AY823,"B=",AZ823)</f>
        <v>BAKER T=24D=6R=0M=0L=3B=0</v>
      </c>
      <c r="I823" s="0" t="s">
        <v>4104</v>
      </c>
      <c r="J823" s="0" t="s">
        <v>4105</v>
      </c>
      <c r="K823" s="0" t="s">
        <v>175</v>
      </c>
      <c r="M823" s="0" t="s">
        <v>4106</v>
      </c>
      <c r="N823" s="0" t="str">
        <f aca="false">RIGHT(M823,LEN(M823)-FIND(" ",M823))</f>
        <v>ELM RD NE</v>
      </c>
      <c r="P823" s="0" t="s">
        <v>146</v>
      </c>
      <c r="Q823" s="0" t="s">
        <v>147</v>
      </c>
      <c r="R823" s="0" t="n">
        <v>44483</v>
      </c>
      <c r="AD823" s="0" t="s">
        <v>148</v>
      </c>
      <c r="AE823" s="0" t="s">
        <v>149</v>
      </c>
      <c r="AF823" s="0" t="s">
        <v>150</v>
      </c>
      <c r="AH823" s="0" t="n">
        <v>14</v>
      </c>
      <c r="AI823" s="0" t="n">
        <v>11</v>
      </c>
      <c r="AN823" s="0" t="s">
        <v>146</v>
      </c>
      <c r="AO823" s="0" t="s">
        <v>236</v>
      </c>
      <c r="AP823" s="0" t="s">
        <v>237</v>
      </c>
      <c r="AQ823" s="0" t="n">
        <v>9</v>
      </c>
      <c r="AR823" s="0" t="n">
        <v>64</v>
      </c>
      <c r="AS823" s="0" t="n">
        <v>32</v>
      </c>
      <c r="AU823" s="0" t="n">
        <f aca="false">COUNTA($BA$15:$EH$15)</f>
        <v>24</v>
      </c>
      <c r="AV823" s="0" t="n">
        <f aca="false">COUNTIF($BA$15:$EH$15,"D")</f>
        <v>6</v>
      </c>
      <c r="AW823" s="0" t="n">
        <f aca="false">COUNTIF($BA$15:$EH$15,"R")</f>
        <v>0</v>
      </c>
      <c r="AX823" s="0" t="n">
        <f aca="false"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>0</v>
      </c>
      <c r="AY823" s="0" t="n">
        <f aca="false">COUNTIF(DU823:EH823, "&lt;&gt;")</f>
        <v>3</v>
      </c>
      <c r="AZ823" s="0" t="n">
        <f aca="false">IF(EH823&lt;&gt;"",1,0)</f>
        <v>0</v>
      </c>
      <c r="BB823" s="0" t="s">
        <v>153</v>
      </c>
      <c r="BD823" s="0" t="s">
        <v>154</v>
      </c>
      <c r="BH823" s="0" t="s">
        <v>154</v>
      </c>
      <c r="BL823" s="0" t="s">
        <v>154</v>
      </c>
      <c r="BP823" s="0" t="s">
        <v>154</v>
      </c>
      <c r="BR823" s="0" t="s">
        <v>154</v>
      </c>
      <c r="BS823" s="0" t="s">
        <v>154</v>
      </c>
      <c r="BY823" s="0" t="s">
        <v>155</v>
      </c>
      <c r="CA823" s="0" t="s">
        <v>154</v>
      </c>
      <c r="CG823" s="0" t="s">
        <v>154</v>
      </c>
      <c r="CN823" s="0" t="s">
        <v>154</v>
      </c>
      <c r="CO823" s="0" t="s">
        <v>155</v>
      </c>
      <c r="CP823" s="0" t="s">
        <v>154</v>
      </c>
      <c r="CY823" s="0" t="s">
        <v>154</v>
      </c>
      <c r="CZ823" s="0" t="s">
        <v>155</v>
      </c>
      <c r="DC823" s="0" t="s">
        <v>154</v>
      </c>
      <c r="DN823" s="0" t="s">
        <v>154</v>
      </c>
      <c r="DU823" s="0" t="s">
        <v>154</v>
      </c>
      <c r="EA823" s="0" t="s">
        <v>154</v>
      </c>
      <c r="EF823" s="0" t="s">
        <v>154</v>
      </c>
    </row>
    <row r="824" customFormat="false" ht="13.8" hidden="false" customHeight="false" outlineLevel="0" collapsed="false">
      <c r="A824" s="0" t="s">
        <v>4107</v>
      </c>
      <c r="B824" s="0" t="n">
        <v>78</v>
      </c>
      <c r="C824" s="0" t="n">
        <v>278211</v>
      </c>
      <c r="D824" s="0" t="s">
        <v>931</v>
      </c>
      <c r="E824" s="0" t="s">
        <v>619</v>
      </c>
      <c r="F824" s="0" t="str">
        <f aca="false">CONCATENATE(D824," ",LEFT(H824,4),"T=",AU824,"D=",AV824,"R=",AW824,"M=",AX824,"L=",AY824,"B=",AZ824)</f>
        <v>BAKER T=1D=0R=0M=0L=3B=0</v>
      </c>
      <c r="G824" s="0" t="s">
        <v>155</v>
      </c>
      <c r="I824" s="0" t="s">
        <v>4108</v>
      </c>
      <c r="J824" s="0" t="s">
        <v>4109</v>
      </c>
      <c r="K824" s="0" t="s">
        <v>175</v>
      </c>
      <c r="M824" s="0" t="s">
        <v>4106</v>
      </c>
      <c r="N824" s="0" t="str">
        <f aca="false">RIGHT(M824,LEN(M824)-FIND(" ",M824))</f>
        <v>ELM RD NE</v>
      </c>
      <c r="P824" s="0" t="s">
        <v>146</v>
      </c>
      <c r="Q824" s="0" t="s">
        <v>147</v>
      </c>
      <c r="R824" s="0" t="n">
        <v>44483</v>
      </c>
      <c r="AD824" s="0" t="s">
        <v>148</v>
      </c>
      <c r="AE824" s="0" t="s">
        <v>149</v>
      </c>
      <c r="AF824" s="0" t="s">
        <v>150</v>
      </c>
      <c r="AH824" s="0" t="n">
        <v>14</v>
      </c>
      <c r="AI824" s="0" t="n">
        <v>11</v>
      </c>
      <c r="AN824" s="0" t="s">
        <v>146</v>
      </c>
      <c r="AO824" s="0" t="s">
        <v>236</v>
      </c>
      <c r="AP824" s="0" t="s">
        <v>237</v>
      </c>
      <c r="AQ824" s="0" t="n">
        <v>9</v>
      </c>
      <c r="AR824" s="0" t="n">
        <v>64</v>
      </c>
      <c r="AS824" s="0" t="n">
        <v>32</v>
      </c>
      <c r="AU824" s="0" t="n">
        <f aca="false">COUNTA($BA$47:$EH$47)</f>
        <v>1</v>
      </c>
      <c r="AV824" s="0" t="n">
        <f aca="false">COUNTIF($BA$47:$EH$47,"D")</f>
        <v>0</v>
      </c>
      <c r="AW824" s="0" t="n">
        <f aca="false">COUNTIF($BA$47:$EH$47,"R")</f>
        <v>0</v>
      </c>
      <c r="AX824" s="0" t="n">
        <f aca="false"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>0</v>
      </c>
      <c r="AY824" s="0" t="n">
        <f aca="false">COUNTIF(DU824:EH824, "&lt;&gt;")</f>
        <v>3</v>
      </c>
      <c r="AZ824" s="0" t="n">
        <f aca="false">IF(EH824&lt;&gt;"",1,0)</f>
        <v>0</v>
      </c>
      <c r="BB824" s="0" t="s">
        <v>153</v>
      </c>
      <c r="BD824" s="0" t="s">
        <v>154</v>
      </c>
      <c r="BJ824" s="0" t="s">
        <v>154</v>
      </c>
      <c r="BL824" s="0" t="s">
        <v>154</v>
      </c>
      <c r="BS824" s="0" t="s">
        <v>154</v>
      </c>
      <c r="BY824" s="0" t="s">
        <v>155</v>
      </c>
      <c r="CA824" s="0" t="s">
        <v>154</v>
      </c>
      <c r="CG824" s="0" t="s">
        <v>154</v>
      </c>
      <c r="CK824" s="0" t="s">
        <v>154</v>
      </c>
      <c r="CN824" s="0" t="s">
        <v>154</v>
      </c>
      <c r="CP824" s="0" t="s">
        <v>154</v>
      </c>
      <c r="CY824" s="0" t="s">
        <v>154</v>
      </c>
      <c r="CZ824" s="0" t="s">
        <v>155</v>
      </c>
      <c r="DC824" s="0" t="s">
        <v>154</v>
      </c>
      <c r="DN824" s="0" t="s">
        <v>154</v>
      </c>
      <c r="DU824" s="0" t="s">
        <v>154</v>
      </c>
      <c r="EA824" s="0" t="s">
        <v>154</v>
      </c>
      <c r="EF824" s="0" t="s">
        <v>154</v>
      </c>
    </row>
    <row r="825" customFormat="false" ht="13.8" hidden="true" customHeight="false" outlineLevel="0" collapsed="false">
      <c r="A825" s="0" t="s">
        <v>4110</v>
      </c>
      <c r="B825" s="0" t="n">
        <v>78</v>
      </c>
      <c r="C825" s="0" t="n">
        <v>403097</v>
      </c>
      <c r="D825" s="0" t="s">
        <v>2171</v>
      </c>
      <c r="E825" s="0" t="s">
        <v>4111</v>
      </c>
      <c r="F825" s="0" t="str">
        <f aca="false">CONCATENATE(D825," ",LEFT(H825,4),"T=",AU825,"D=",AV825,"R=",AW825,"M=",AX825,"L=",AY825,"B=",AZ825)</f>
        <v>MORRIS T=9D=0R=0M=0L=0B=0</v>
      </c>
      <c r="G825" s="0" t="s">
        <v>155</v>
      </c>
      <c r="I825" s="0" t="s">
        <v>4112</v>
      </c>
      <c r="J825" s="0" t="s">
        <v>4113</v>
      </c>
      <c r="K825" s="0" t="s">
        <v>144</v>
      </c>
      <c r="L825" s="0"/>
      <c r="M825" s="0" t="s">
        <v>4114</v>
      </c>
      <c r="N825" s="0" t="str">
        <f aca="false">RIGHT(M825,LEN(M825)-FIND(" ",M825))</f>
        <v>ELM RD NE</v>
      </c>
      <c r="P825" s="0" t="s">
        <v>146</v>
      </c>
      <c r="Q825" s="0" t="s">
        <v>147</v>
      </c>
      <c r="R825" s="0" t="n">
        <v>44483</v>
      </c>
      <c r="AD825" s="0" t="s">
        <v>148</v>
      </c>
      <c r="AE825" s="0" t="s">
        <v>149</v>
      </c>
      <c r="AF825" s="0" t="s">
        <v>150</v>
      </c>
      <c r="AH825" s="0" t="n">
        <v>14</v>
      </c>
      <c r="AI825" s="0" t="n">
        <v>11</v>
      </c>
      <c r="AN825" s="0" t="s">
        <v>146</v>
      </c>
      <c r="AO825" s="0" t="s">
        <v>236</v>
      </c>
      <c r="AP825" s="0" t="s">
        <v>237</v>
      </c>
      <c r="AQ825" s="0" t="n">
        <v>9</v>
      </c>
      <c r="AR825" s="0" t="n">
        <v>64</v>
      </c>
      <c r="AS825" s="0" t="n">
        <v>32</v>
      </c>
      <c r="AU825" s="0" t="n">
        <f aca="false">COUNTA($BA$757:$EH$757)</f>
        <v>9</v>
      </c>
      <c r="AV825" s="0" t="n">
        <f aca="false">COUNTIF($BA$757:$EH$757,"D")</f>
        <v>0</v>
      </c>
      <c r="AW825" s="0" t="n">
        <f aca="false">COUNTIF($BA$757:$EH$757,"R")</f>
        <v>0</v>
      </c>
      <c r="AX825" s="0" t="n">
        <f aca="false"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>0</v>
      </c>
      <c r="AY825" s="0" t="n">
        <f aca="false">COUNTIF(DU825:EH825, "&lt;&gt;")</f>
        <v>0</v>
      </c>
      <c r="AZ825" s="0" t="n">
        <f aca="false">IF(EH825&lt;&gt;"",1,0)</f>
        <v>0</v>
      </c>
      <c r="BB825" s="0" t="s">
        <v>153</v>
      </c>
      <c r="DC825" s="0" t="s">
        <v>154</v>
      </c>
    </row>
    <row r="826" customFormat="false" ht="13.8" hidden="false" customHeight="false" outlineLevel="0" collapsed="false">
      <c r="A826" s="0" t="s">
        <v>4115</v>
      </c>
      <c r="B826" s="0" t="n">
        <v>78</v>
      </c>
      <c r="C826" s="0" t="n">
        <v>436419</v>
      </c>
      <c r="D826" s="0" t="s">
        <v>4023</v>
      </c>
      <c r="E826" s="0" t="s">
        <v>4116</v>
      </c>
      <c r="F826" s="0" t="str">
        <f aca="false">CONCATENATE(D826," ",LEFT(H826,4),"T=",AU826,"D=",AV826,"R=",AW826,"M=",AX826,"L=",AY826,"B=",AZ826)</f>
        <v>HENDERSON T=1D=0R=0M=0L=2B=0</v>
      </c>
      <c r="G826" s="0" t="s">
        <v>4117</v>
      </c>
      <c r="I826" s="0" t="s">
        <v>4118</v>
      </c>
      <c r="J826" s="0" t="s">
        <v>4119</v>
      </c>
      <c r="K826" s="0" t="s">
        <v>175</v>
      </c>
      <c r="M826" s="0" t="s">
        <v>4120</v>
      </c>
      <c r="N826" s="0" t="str">
        <f aca="false">RIGHT(M826,LEN(M826)-FIND(" ",M826))</f>
        <v>ELM RD NE</v>
      </c>
      <c r="P826" s="0" t="s">
        <v>146</v>
      </c>
      <c r="Q826" s="0" t="s">
        <v>147</v>
      </c>
      <c r="R826" s="0" t="n">
        <v>44483</v>
      </c>
      <c r="V826" s="0" t="s">
        <v>4121</v>
      </c>
      <c r="X826" s="0" t="s">
        <v>146</v>
      </c>
      <c r="Y826" s="0" t="s">
        <v>147</v>
      </c>
      <c r="Z826" s="0" t="n">
        <v>44484</v>
      </c>
      <c r="AD826" s="0" t="s">
        <v>148</v>
      </c>
      <c r="AE826" s="0" t="s">
        <v>149</v>
      </c>
      <c r="AF826" s="0" t="s">
        <v>150</v>
      </c>
      <c r="AH826" s="0" t="n">
        <v>14</v>
      </c>
      <c r="AI826" s="0" t="n">
        <v>11</v>
      </c>
      <c r="AN826" s="0" t="s">
        <v>146</v>
      </c>
      <c r="AO826" s="0" t="s">
        <v>236</v>
      </c>
      <c r="AP826" s="0" t="s">
        <v>237</v>
      </c>
      <c r="AQ826" s="0" t="n">
        <v>9</v>
      </c>
      <c r="AR826" s="0" t="n">
        <v>64</v>
      </c>
      <c r="AS826" s="0" t="n">
        <v>32</v>
      </c>
      <c r="AU826" s="0" t="n">
        <f aca="false">COUNTA($BA$41:$EH$41)</f>
        <v>1</v>
      </c>
      <c r="AV826" s="0" t="n">
        <f aca="false">COUNTIF($BA$41:$EH$41,"D")</f>
        <v>0</v>
      </c>
      <c r="AW826" s="0" t="n">
        <f aca="false">COUNTIF($BA$41:$EH$41,"R")</f>
        <v>0</v>
      </c>
      <c r="AX826" s="0" t="n">
        <f aca="false"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>0</v>
      </c>
      <c r="AY826" s="0" t="n">
        <f aca="false">COUNTIF(DU826:EH826, "&lt;&gt;")</f>
        <v>2</v>
      </c>
      <c r="AZ826" s="0" t="n">
        <f aca="false">IF(EH826&lt;&gt;"",1,0)</f>
        <v>0</v>
      </c>
      <c r="BB826" s="0" t="s">
        <v>153</v>
      </c>
      <c r="BL826" s="0" t="s">
        <v>154</v>
      </c>
      <c r="BS826" s="0" t="s">
        <v>154</v>
      </c>
      <c r="BV826" s="0" t="s">
        <v>154</v>
      </c>
      <c r="BY826" s="0" t="s">
        <v>155</v>
      </c>
      <c r="DU826" s="0" t="s">
        <v>154</v>
      </c>
      <c r="EF826" s="0" t="s">
        <v>154</v>
      </c>
    </row>
    <row r="827" customFormat="false" ht="13.8" hidden="true" customHeight="false" outlineLevel="0" collapsed="false">
      <c r="A827" s="0" t="s">
        <v>4122</v>
      </c>
      <c r="B827" s="0" t="n">
        <v>78</v>
      </c>
      <c r="C827" s="0" t="n">
        <v>456616</v>
      </c>
      <c r="D827" s="0" t="s">
        <v>4123</v>
      </c>
      <c r="E827" s="0" t="s">
        <v>4124</v>
      </c>
      <c r="F827" s="0" t="str">
        <f aca="false">CONCATENATE(D827," ",LEFT(H827,4),"T=",AU827,"D=",AV827,"R=",AW827,"M=",AX827,"L=",AY827,"B=",AZ827)</f>
        <v>COFER T=2D=0R=0M=0L=0B=0</v>
      </c>
      <c r="G827" s="0" t="s">
        <v>2939</v>
      </c>
      <c r="I827" s="0" t="s">
        <v>4125</v>
      </c>
      <c r="J827" s="0" t="s">
        <v>4126</v>
      </c>
      <c r="K827" s="0" t="s">
        <v>144</v>
      </c>
      <c r="L827" s="0"/>
      <c r="M827" s="0" t="s">
        <v>4120</v>
      </c>
      <c r="N827" s="0" t="str">
        <f aca="false">RIGHT(M827,LEN(M827)-FIND(" ",M827))</f>
        <v>ELM RD NE</v>
      </c>
      <c r="P827" s="0" t="s">
        <v>146</v>
      </c>
      <c r="Q827" s="0" t="s">
        <v>147</v>
      </c>
      <c r="R827" s="0" t="n">
        <v>44483</v>
      </c>
      <c r="AD827" s="0" t="s">
        <v>148</v>
      </c>
      <c r="AE827" s="0" t="s">
        <v>149</v>
      </c>
      <c r="AF827" s="0" t="s">
        <v>150</v>
      </c>
      <c r="AH827" s="0" t="n">
        <v>14</v>
      </c>
      <c r="AI827" s="0" t="n">
        <v>11</v>
      </c>
      <c r="AN827" s="0" t="s">
        <v>146</v>
      </c>
      <c r="AO827" s="0" t="s">
        <v>236</v>
      </c>
      <c r="AP827" s="0" t="s">
        <v>237</v>
      </c>
      <c r="AQ827" s="0" t="n">
        <v>9</v>
      </c>
      <c r="AR827" s="0" t="n">
        <v>64</v>
      </c>
      <c r="AS827" s="0" t="n">
        <v>32</v>
      </c>
      <c r="AU827" s="0" t="n">
        <f aca="false">COUNTA($BA$291:$EH$291)</f>
        <v>2</v>
      </c>
      <c r="AV827" s="0" t="n">
        <f aca="false">COUNTIF($BA$291:$EH$291,"D")</f>
        <v>0</v>
      </c>
      <c r="AW827" s="0" t="n">
        <f aca="false">COUNTIF($BA$291:$EH$291,"R")</f>
        <v>0</v>
      </c>
      <c r="AX827" s="0" t="n">
        <f aca="false"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>0</v>
      </c>
      <c r="AY827" s="0" t="n">
        <f aca="false">COUNTIF(DU827:EH827, "&lt;&gt;")</f>
        <v>0</v>
      </c>
      <c r="AZ827" s="0" t="n">
        <f aca="false">IF(EH827&lt;&gt;"",1,0)</f>
        <v>0</v>
      </c>
      <c r="BB827" s="0" t="s">
        <v>153</v>
      </c>
    </row>
    <row r="828" customFormat="false" ht="13.8" hidden="true" customHeight="false" outlineLevel="0" collapsed="false">
      <c r="A828" s="0" t="s">
        <v>4127</v>
      </c>
      <c r="B828" s="0" t="n">
        <v>78</v>
      </c>
      <c r="C828" s="0" t="n">
        <v>328536</v>
      </c>
      <c r="D828" s="0" t="s">
        <v>4128</v>
      </c>
      <c r="E828" s="0" t="s">
        <v>4129</v>
      </c>
      <c r="F828" s="0" t="str">
        <f aca="false">CONCATENATE(D828," ",LEFT(H828,4),"T=",AU828,"D=",AV828,"R=",AW828,"M=",AX828,"L=",AY828,"B=",AZ828)</f>
        <v>CARTER T=6D=0R=0M=0L=0B=0</v>
      </c>
      <c r="G828" s="0" t="s">
        <v>297</v>
      </c>
      <c r="I828" s="0" t="s">
        <v>4130</v>
      </c>
      <c r="J828" s="0" t="s">
        <v>4131</v>
      </c>
      <c r="K828" s="0" t="s">
        <v>175</v>
      </c>
      <c r="L828" s="0"/>
      <c r="M828" s="0" t="s">
        <v>4132</v>
      </c>
      <c r="N828" s="0" t="str">
        <f aca="false">RIGHT(M828,LEN(M828)-FIND(" ",M828))</f>
        <v>ELM RD NE</v>
      </c>
      <c r="P828" s="0" t="s">
        <v>146</v>
      </c>
      <c r="Q828" s="0" t="s">
        <v>147</v>
      </c>
      <c r="R828" s="0" t="n">
        <v>44483</v>
      </c>
      <c r="AD828" s="0" t="s">
        <v>148</v>
      </c>
      <c r="AE828" s="0" t="s">
        <v>149</v>
      </c>
      <c r="AF828" s="0" t="s">
        <v>150</v>
      </c>
      <c r="AH828" s="0" t="n">
        <v>14</v>
      </c>
      <c r="AI828" s="0" t="n">
        <v>11</v>
      </c>
      <c r="AN828" s="0" t="s">
        <v>146</v>
      </c>
      <c r="AO828" s="0" t="s">
        <v>236</v>
      </c>
      <c r="AP828" s="0" t="s">
        <v>237</v>
      </c>
      <c r="AQ828" s="0" t="n">
        <v>9</v>
      </c>
      <c r="AR828" s="0" t="n">
        <v>64</v>
      </c>
      <c r="AS828" s="0" t="n">
        <v>32</v>
      </c>
      <c r="AU828" s="0" t="n">
        <f aca="false">COUNTA($BA$170:$EH$170)</f>
        <v>6</v>
      </c>
      <c r="AV828" s="0" t="n">
        <f aca="false">COUNTIF($BA$170:$EH$170,"D")</f>
        <v>0</v>
      </c>
      <c r="AW828" s="0" t="n">
        <f aca="false">COUNTIF($BA$170:$EH$170,"R")</f>
        <v>0</v>
      </c>
      <c r="AX828" s="0" t="n">
        <f aca="false"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>0</v>
      </c>
      <c r="AY828" s="0" t="n">
        <f aca="false">COUNTIF(DU828:EH828, "&lt;&gt;")</f>
        <v>0</v>
      </c>
      <c r="AZ828" s="0" t="n">
        <f aca="false">IF(EH828&lt;&gt;"",1,0)</f>
        <v>0</v>
      </c>
      <c r="BB828" s="0" t="s">
        <v>153</v>
      </c>
      <c r="DN828" s="0" t="s">
        <v>154</v>
      </c>
    </row>
    <row r="829" customFormat="false" ht="13.8" hidden="true" customHeight="false" outlineLevel="0" collapsed="false">
      <c r="A829" s="0" t="s">
        <v>4133</v>
      </c>
      <c r="B829" s="0" t="n">
        <v>78</v>
      </c>
      <c r="C829" s="0" t="n">
        <v>322201</v>
      </c>
      <c r="D829" s="0" t="s">
        <v>4128</v>
      </c>
      <c r="E829" s="0" t="s">
        <v>750</v>
      </c>
      <c r="F829" s="0" t="str">
        <f aca="false">CONCATENATE(D829," ",LEFT(H829,4),"T=",AU829,"D=",AV829,"R=",AW829,"M=",AX829,"L=",AY829,"B=",AZ829)</f>
        <v>CARTER T=1D=0R=0M=0L=0B=0</v>
      </c>
      <c r="G829" s="0" t="s">
        <v>583</v>
      </c>
      <c r="I829" s="0" t="s">
        <v>4134</v>
      </c>
      <c r="J829" s="0" t="s">
        <v>4135</v>
      </c>
      <c r="K829" s="0" t="s">
        <v>175</v>
      </c>
      <c r="L829" s="0"/>
      <c r="M829" s="0" t="s">
        <v>4132</v>
      </c>
      <c r="N829" s="0" t="str">
        <f aca="false">RIGHT(M829,LEN(M829)-FIND(" ",M829))</f>
        <v>ELM RD NE</v>
      </c>
      <c r="P829" s="0" t="s">
        <v>146</v>
      </c>
      <c r="Q829" s="0" t="s">
        <v>147</v>
      </c>
      <c r="R829" s="0" t="n">
        <v>44483</v>
      </c>
      <c r="AD829" s="0" t="s">
        <v>148</v>
      </c>
      <c r="AE829" s="0" t="s">
        <v>149</v>
      </c>
      <c r="AF829" s="0" t="s">
        <v>150</v>
      </c>
      <c r="AH829" s="0" t="n">
        <v>14</v>
      </c>
      <c r="AI829" s="0" t="n">
        <v>11</v>
      </c>
      <c r="AN829" s="0" t="s">
        <v>146</v>
      </c>
      <c r="AO829" s="0" t="s">
        <v>236</v>
      </c>
      <c r="AP829" s="0" t="s">
        <v>237</v>
      </c>
      <c r="AQ829" s="0" t="n">
        <v>9</v>
      </c>
      <c r="AR829" s="0" t="n">
        <v>64</v>
      </c>
      <c r="AS829" s="0" t="n">
        <v>32</v>
      </c>
      <c r="AU829" s="0" t="n">
        <f aca="false">COUNTA($BA$857:$EH$857)</f>
        <v>1</v>
      </c>
      <c r="AV829" s="0" t="n">
        <f aca="false">COUNTIF($BA$857:$EH$857,"D")</f>
        <v>0</v>
      </c>
      <c r="AW829" s="0" t="n">
        <f aca="false">COUNTIF($BA$857:$EH$857,"R")</f>
        <v>0</v>
      </c>
      <c r="AX829" s="0" t="n">
        <f aca="false"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>0</v>
      </c>
      <c r="AY829" s="0" t="n">
        <f aca="false">COUNTIF(DU829:EH829, "&lt;&gt;")</f>
        <v>0</v>
      </c>
      <c r="AZ829" s="0" t="n">
        <f aca="false">IF(EH829&lt;&gt;"",1,0)</f>
        <v>0</v>
      </c>
      <c r="BB829" s="0" t="s">
        <v>153</v>
      </c>
      <c r="CA829" s="0" t="s">
        <v>154</v>
      </c>
      <c r="DN829" s="0" t="s">
        <v>154</v>
      </c>
    </row>
    <row r="830" customFormat="false" ht="13.8" hidden="true" customHeight="false" outlineLevel="0" collapsed="false">
      <c r="A830" s="0" t="s">
        <v>4136</v>
      </c>
      <c r="B830" s="0" t="n">
        <v>78</v>
      </c>
      <c r="C830" s="0" t="n">
        <v>478646</v>
      </c>
      <c r="D830" s="0" t="s">
        <v>895</v>
      </c>
      <c r="E830" s="0" t="s">
        <v>430</v>
      </c>
      <c r="F830" s="0" t="str">
        <f aca="false">CONCATENATE(D830," ",LEFT(H830,4),"T=",AU830,"D=",AV830,"R=",AW830,"M=",AX830,"L=",AY830,"B=",AZ830)</f>
        <v>MAY IIIT=1D=0R=0M=0L=0B=0</v>
      </c>
      <c r="G830" s="0" t="s">
        <v>317</v>
      </c>
      <c r="H830" s="0" t="s">
        <v>1175</v>
      </c>
      <c r="I830" s="0" t="s">
        <v>4137</v>
      </c>
      <c r="J830" s="0" t="s">
        <v>4138</v>
      </c>
      <c r="K830" s="0" t="s">
        <v>175</v>
      </c>
      <c r="L830" s="0"/>
      <c r="M830" s="0" t="s">
        <v>4132</v>
      </c>
      <c r="N830" s="0" t="str">
        <f aca="false">RIGHT(M830,LEN(M830)-FIND(" ",M830))</f>
        <v>ELM RD NE</v>
      </c>
      <c r="P830" s="0" t="s">
        <v>146</v>
      </c>
      <c r="Q830" s="0" t="s">
        <v>147</v>
      </c>
      <c r="R830" s="0" t="n">
        <v>44483</v>
      </c>
      <c r="AD830" s="0" t="s">
        <v>148</v>
      </c>
      <c r="AE830" s="0" t="s">
        <v>149</v>
      </c>
      <c r="AF830" s="0" t="s">
        <v>150</v>
      </c>
      <c r="AH830" s="0" t="n">
        <v>14</v>
      </c>
      <c r="AI830" s="0" t="n">
        <v>11</v>
      </c>
      <c r="AN830" s="0" t="s">
        <v>146</v>
      </c>
      <c r="AO830" s="0" t="s">
        <v>236</v>
      </c>
      <c r="AP830" s="0" t="s">
        <v>237</v>
      </c>
      <c r="AQ830" s="0" t="n">
        <v>9</v>
      </c>
      <c r="AR830" s="0" t="n">
        <v>64</v>
      </c>
      <c r="AS830" s="0" t="n">
        <v>32</v>
      </c>
      <c r="AU830" s="0" t="n">
        <f aca="false">COUNTA($BA$969:$EH$969)</f>
        <v>1</v>
      </c>
      <c r="AV830" s="0" t="n">
        <f aca="false">COUNTIF($BA$969:$EH$969,"D")</f>
        <v>0</v>
      </c>
      <c r="AW830" s="0" t="n">
        <f aca="false">COUNTIF($BA$969:$EH$969,"R")</f>
        <v>0</v>
      </c>
      <c r="AX830" s="0" t="n">
        <f aca="false"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>0</v>
      </c>
      <c r="AY830" s="0" t="n">
        <f aca="false">COUNTIF(DU830:EH830, "&lt;&gt;")</f>
        <v>0</v>
      </c>
      <c r="AZ830" s="0" t="n">
        <f aca="false">IF(EH830&lt;&gt;"",1,0)</f>
        <v>0</v>
      </c>
      <c r="BB830" s="0" t="s">
        <v>153</v>
      </c>
    </row>
    <row r="831" customFormat="false" ht="13.8" hidden="true" customHeight="false" outlineLevel="0" collapsed="false">
      <c r="A831" s="0" t="s">
        <v>4139</v>
      </c>
      <c r="B831" s="0" t="n">
        <v>78</v>
      </c>
      <c r="C831" s="0" t="n">
        <v>419201</v>
      </c>
      <c r="D831" s="0" t="s">
        <v>4140</v>
      </c>
      <c r="E831" s="0" t="s">
        <v>4141</v>
      </c>
      <c r="F831" s="0" t="str">
        <f aca="false">CONCATENATE(D831," ",LEFT(H831,4),"T=",AU831,"D=",AV831,"R=",AW831,"M=",AX831,"L=",AY831,"B=",AZ831)</f>
        <v>SHAFEE T=6D=0R=0M=0L=0B=0</v>
      </c>
      <c r="G831" s="0" t="s">
        <v>2769</v>
      </c>
      <c r="I831" s="0" t="s">
        <v>4142</v>
      </c>
      <c r="J831" s="0" t="s">
        <v>4143</v>
      </c>
      <c r="K831" s="0" t="s">
        <v>144</v>
      </c>
      <c r="L831" s="0"/>
      <c r="M831" s="0" t="s">
        <v>4144</v>
      </c>
      <c r="N831" s="0" t="str">
        <f aca="false">RIGHT(M831,LEN(M831)-FIND(" ",M831))</f>
        <v>ELM RD NE</v>
      </c>
      <c r="P831" s="0" t="s">
        <v>146</v>
      </c>
      <c r="Q831" s="0" t="s">
        <v>147</v>
      </c>
      <c r="R831" s="0" t="n">
        <v>44483</v>
      </c>
      <c r="AD831" s="0" t="s">
        <v>148</v>
      </c>
      <c r="AE831" s="0" t="s">
        <v>149</v>
      </c>
      <c r="AF831" s="0" t="s">
        <v>150</v>
      </c>
      <c r="AH831" s="0" t="n">
        <v>14</v>
      </c>
      <c r="AI831" s="0" t="n">
        <v>11</v>
      </c>
      <c r="AN831" s="0" t="s">
        <v>146</v>
      </c>
      <c r="AO831" s="0" t="s">
        <v>236</v>
      </c>
      <c r="AP831" s="0" t="s">
        <v>237</v>
      </c>
      <c r="AQ831" s="0" t="n">
        <v>9</v>
      </c>
      <c r="AR831" s="0" t="n">
        <v>64</v>
      </c>
      <c r="AS831" s="0" t="n">
        <v>32</v>
      </c>
      <c r="AU831" s="0" t="n">
        <f aca="false">COUNTA($BA$1061:$EH$1061)</f>
        <v>6</v>
      </c>
      <c r="AV831" s="0" t="n">
        <f aca="false">COUNTIF($BA$1061:$EH$1061,"D")</f>
        <v>0</v>
      </c>
      <c r="AW831" s="0" t="n">
        <f aca="false">COUNTIF($BA$1061:$EH$1061,"R")</f>
        <v>0</v>
      </c>
      <c r="AX831" s="0" t="n">
        <f aca="false"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>0</v>
      </c>
      <c r="AY831" s="0" t="n">
        <f aca="false">COUNTIF(DU831:EH831, "&lt;&gt;")</f>
        <v>0</v>
      </c>
      <c r="AZ831" s="0" t="n">
        <f aca="false">IF(EH831&lt;&gt;"",1,0)</f>
        <v>0</v>
      </c>
      <c r="BB831" s="0" t="s">
        <v>153</v>
      </c>
    </row>
    <row r="832" customFormat="false" ht="13.8" hidden="false" customHeight="false" outlineLevel="0" collapsed="false">
      <c r="A832" s="0" t="s">
        <v>4145</v>
      </c>
      <c r="B832" s="0" t="n">
        <v>78</v>
      </c>
      <c r="C832" s="0" t="n">
        <v>492912</v>
      </c>
      <c r="D832" s="0" t="s">
        <v>4146</v>
      </c>
      <c r="E832" s="0" t="s">
        <v>4147</v>
      </c>
      <c r="F832" s="0" t="str">
        <f aca="false">CONCATENATE(D832," ",LEFT(H832,4),"T=",AU832,"D=",AV832,"R=",AW832,"M=",AX832,"L=",AY832,"B=",AZ832)</f>
        <v>ALICEA T=3D=0R=0M=0L=2B=0</v>
      </c>
      <c r="G832" s="0" t="s">
        <v>4148</v>
      </c>
      <c r="I832" s="0" t="s">
        <v>4149</v>
      </c>
      <c r="J832" s="0" t="s">
        <v>4150</v>
      </c>
      <c r="K832" s="0" t="s">
        <v>175</v>
      </c>
      <c r="M832" s="0" t="s">
        <v>4151</v>
      </c>
      <c r="N832" s="0" t="str">
        <f aca="false">RIGHT(M832,LEN(M832)-FIND(" ",M832))</f>
        <v>ELM RD NE</v>
      </c>
      <c r="P832" s="0" t="s">
        <v>146</v>
      </c>
      <c r="Q832" s="0" t="s">
        <v>147</v>
      </c>
      <c r="R832" s="0" t="n">
        <v>44483</v>
      </c>
      <c r="AD832" s="0" t="s">
        <v>148</v>
      </c>
      <c r="AE832" s="0" t="s">
        <v>149</v>
      </c>
      <c r="AF832" s="0" t="s">
        <v>150</v>
      </c>
      <c r="AH832" s="0" t="n">
        <v>14</v>
      </c>
      <c r="AI832" s="0" t="n">
        <v>11</v>
      </c>
      <c r="AN832" s="0" t="s">
        <v>146</v>
      </c>
      <c r="AO832" s="0" t="s">
        <v>236</v>
      </c>
      <c r="AP832" s="0" t="s">
        <v>237</v>
      </c>
      <c r="AQ832" s="0" t="n">
        <v>9</v>
      </c>
      <c r="AR832" s="0" t="n">
        <v>64</v>
      </c>
      <c r="AS832" s="0" t="n">
        <v>32</v>
      </c>
      <c r="AU832" s="0" t="n">
        <f aca="false">COUNTA($BA$215:$EH$215)</f>
        <v>3</v>
      </c>
      <c r="AV832" s="0" t="n">
        <f aca="false">COUNTIF($BA$215:$EH$215,"D")</f>
        <v>0</v>
      </c>
      <c r="AW832" s="0" t="n">
        <f aca="false">COUNTIF($BA$215:$EH$215,"R")</f>
        <v>0</v>
      </c>
      <c r="AX832" s="0" t="n">
        <f aca="false"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>0</v>
      </c>
      <c r="AY832" s="0" t="n">
        <f aca="false">COUNTIF(DU832:EH832, "&lt;&gt;")</f>
        <v>2</v>
      </c>
      <c r="AZ832" s="0" t="n">
        <f aca="false">IF(EH832&lt;&gt;"",1,0)</f>
        <v>0</v>
      </c>
      <c r="BB832" s="0" t="s">
        <v>153</v>
      </c>
      <c r="DU832" s="0" t="s">
        <v>154</v>
      </c>
      <c r="EA832" s="0" t="s">
        <v>154</v>
      </c>
    </row>
    <row r="833" customFormat="false" ht="13.8" hidden="false" customHeight="false" outlineLevel="0" collapsed="false">
      <c r="A833" s="0" t="s">
        <v>4152</v>
      </c>
      <c r="B833" s="0" t="n">
        <v>78</v>
      </c>
      <c r="C833" s="0" t="n">
        <v>492910</v>
      </c>
      <c r="D833" s="0" t="s">
        <v>4153</v>
      </c>
      <c r="E833" s="0" t="s">
        <v>4154</v>
      </c>
      <c r="F833" s="0" t="str">
        <f aca="false">CONCATENATE(D833," ",LEFT(H833,4),"T=",AU833,"D=",AV833,"R=",AW833,"M=",AX833,"L=",AY833,"B=",AZ833)</f>
        <v>HALLIGAN T=4D=0R=0M=0L=2B=0</v>
      </c>
      <c r="G833" s="0" t="s">
        <v>159</v>
      </c>
      <c r="I833" s="0" t="s">
        <v>4155</v>
      </c>
      <c r="J833" s="0" t="s">
        <v>4150</v>
      </c>
      <c r="K833" s="0" t="s">
        <v>175</v>
      </c>
      <c r="M833" s="0" t="s">
        <v>4151</v>
      </c>
      <c r="N833" s="0" t="str">
        <f aca="false">RIGHT(M833,LEN(M833)-FIND(" ",M833))</f>
        <v>ELM RD NE</v>
      </c>
      <c r="P833" s="0" t="s">
        <v>146</v>
      </c>
      <c r="Q833" s="0" t="s">
        <v>147</v>
      </c>
      <c r="R833" s="0" t="n">
        <v>44483</v>
      </c>
      <c r="AD833" s="0" t="s">
        <v>148</v>
      </c>
      <c r="AE833" s="0" t="s">
        <v>149</v>
      </c>
      <c r="AF833" s="0" t="s">
        <v>150</v>
      </c>
      <c r="AH833" s="0" t="n">
        <v>14</v>
      </c>
      <c r="AI833" s="0" t="n">
        <v>11</v>
      </c>
      <c r="AN833" s="0" t="s">
        <v>146</v>
      </c>
      <c r="AO833" s="0" t="s">
        <v>236</v>
      </c>
      <c r="AP833" s="0" t="s">
        <v>237</v>
      </c>
      <c r="AQ833" s="0" t="n">
        <v>9</v>
      </c>
      <c r="AR833" s="0" t="n">
        <v>64</v>
      </c>
      <c r="AS833" s="0" t="n">
        <v>32</v>
      </c>
      <c r="AU833" s="0" t="n">
        <f aca="false">COUNTA($BA$218:$EH$218)</f>
        <v>4</v>
      </c>
      <c r="AV833" s="0" t="n">
        <f aca="false">COUNTIF($BA$218:$EH$218,"D")</f>
        <v>0</v>
      </c>
      <c r="AW833" s="0" t="n">
        <f aca="false">COUNTIF($BA$218:$EH$218,"R")</f>
        <v>0</v>
      </c>
      <c r="AX833" s="0" t="n">
        <f aca="false"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>0</v>
      </c>
      <c r="AY833" s="0" t="n">
        <f aca="false">COUNTIF(DU833:EH833, "&lt;&gt;")</f>
        <v>2</v>
      </c>
      <c r="AZ833" s="0" t="n">
        <f aca="false">IF(EH833&lt;&gt;"",1,0)</f>
        <v>0</v>
      </c>
      <c r="BB833" s="0" t="s">
        <v>153</v>
      </c>
      <c r="CP833" s="0" t="s">
        <v>154</v>
      </c>
      <c r="CY833" s="0" t="s">
        <v>154</v>
      </c>
      <c r="CZ833" s="0" t="s">
        <v>155</v>
      </c>
      <c r="DU833" s="0" t="s">
        <v>154</v>
      </c>
      <c r="EA833" s="0" t="s">
        <v>154</v>
      </c>
    </row>
    <row r="834" customFormat="false" ht="13.8" hidden="true" customHeight="false" outlineLevel="0" collapsed="false">
      <c r="A834" s="0" t="s">
        <v>4156</v>
      </c>
      <c r="B834" s="0" t="n">
        <v>78</v>
      </c>
      <c r="C834" s="0" t="n">
        <v>488066</v>
      </c>
      <c r="D834" s="0" t="s">
        <v>4157</v>
      </c>
      <c r="E834" s="0" t="s">
        <v>4158</v>
      </c>
      <c r="F834" s="0" t="str">
        <f aca="false">CONCATENATE(D834," ",LEFT(H834,4),"T=",AU834,"D=",AV834,"R=",AW834,"M=",AX834,"L=",AY834,"B=",AZ834)</f>
        <v>SABHA T=31D=5R=0M=0L=0B=0</v>
      </c>
      <c r="G834" s="0" t="s">
        <v>176</v>
      </c>
      <c r="I834" s="0" t="s">
        <v>4159</v>
      </c>
      <c r="J834" s="0" t="s">
        <v>4160</v>
      </c>
      <c r="K834" s="0" t="s">
        <v>175</v>
      </c>
      <c r="L834" s="0"/>
      <c r="M834" s="0" t="s">
        <v>4151</v>
      </c>
      <c r="N834" s="0" t="str">
        <f aca="false">RIGHT(M834,LEN(M834)-FIND(" ",M834))</f>
        <v>ELM RD NE</v>
      </c>
      <c r="P834" s="0" t="s">
        <v>146</v>
      </c>
      <c r="Q834" s="0" t="s">
        <v>147</v>
      </c>
      <c r="R834" s="0" t="n">
        <v>44483</v>
      </c>
      <c r="AD834" s="0" t="s">
        <v>148</v>
      </c>
      <c r="AE834" s="0" t="s">
        <v>149</v>
      </c>
      <c r="AF834" s="0" t="s">
        <v>150</v>
      </c>
      <c r="AH834" s="0" t="n">
        <v>14</v>
      </c>
      <c r="AI834" s="0" t="n">
        <v>11</v>
      </c>
      <c r="AN834" s="0" t="s">
        <v>146</v>
      </c>
      <c r="AO834" s="0" t="s">
        <v>236</v>
      </c>
      <c r="AP834" s="0" t="s">
        <v>237</v>
      </c>
      <c r="AQ834" s="0" t="n">
        <v>9</v>
      </c>
      <c r="AR834" s="0" t="n">
        <v>64</v>
      </c>
      <c r="AS834" s="0" t="n">
        <v>32</v>
      </c>
      <c r="AU834" s="0" t="n">
        <f aca="false">COUNTA($BA$576:$EH$576)</f>
        <v>31</v>
      </c>
      <c r="AV834" s="0" t="n">
        <f aca="false">COUNTIF($BA$576:$EH$576,"D")</f>
        <v>5</v>
      </c>
      <c r="AW834" s="0" t="n">
        <f aca="false">COUNTIF($BA$576:$EH$576,"R")</f>
        <v>0</v>
      </c>
      <c r="AX834" s="0" t="n">
        <f aca="false"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>0</v>
      </c>
      <c r="AY834" s="0" t="n">
        <f aca="false">COUNTIF(DU834:EH834, "&lt;&gt;")</f>
        <v>0</v>
      </c>
      <c r="AZ834" s="0" t="n">
        <f aca="false">IF(EH834&lt;&gt;"",1,0)</f>
        <v>0</v>
      </c>
      <c r="BB834" s="0" t="s">
        <v>153</v>
      </c>
    </row>
    <row r="835" customFormat="false" ht="13.8" hidden="false" customHeight="false" outlineLevel="0" collapsed="false">
      <c r="A835" s="0" t="s">
        <v>4161</v>
      </c>
      <c r="B835" s="0" t="n">
        <v>78</v>
      </c>
      <c r="C835" s="0" t="n">
        <v>359647</v>
      </c>
      <c r="D835" s="0" t="s">
        <v>4162</v>
      </c>
      <c r="E835" s="0" t="s">
        <v>1226</v>
      </c>
      <c r="F835" s="0" t="str">
        <f aca="false">CONCATENATE(D835," ",LEFT(H835,4),"T=",AU835,"D=",AV835,"R=",AW835,"M=",AX835,"L=",AY835,"B=",AZ835)</f>
        <v>LOPRESTO JRT=13D=3R=0M=0L=2B=0</v>
      </c>
      <c r="G835" s="0" t="s">
        <v>241</v>
      </c>
      <c r="H835" s="0" t="s">
        <v>431</v>
      </c>
      <c r="I835" s="0" t="s">
        <v>4163</v>
      </c>
      <c r="J835" s="0" t="s">
        <v>4164</v>
      </c>
      <c r="K835" s="0" t="s">
        <v>175</v>
      </c>
      <c r="M835" s="0" t="s">
        <v>4165</v>
      </c>
      <c r="N835" s="0" t="str">
        <f aca="false">RIGHT(M835,LEN(M835)-FIND(" ",M835))</f>
        <v>ELM RD NE</v>
      </c>
      <c r="P835" s="0" t="s">
        <v>146</v>
      </c>
      <c r="Q835" s="0" t="s">
        <v>147</v>
      </c>
      <c r="R835" s="0" t="n">
        <v>44483</v>
      </c>
      <c r="AD835" s="0" t="s">
        <v>148</v>
      </c>
      <c r="AE835" s="0" t="s">
        <v>149</v>
      </c>
      <c r="AF835" s="0" t="s">
        <v>150</v>
      </c>
      <c r="AH835" s="0" t="n">
        <v>14</v>
      </c>
      <c r="AI835" s="0" t="n">
        <v>11</v>
      </c>
      <c r="AN835" s="0" t="s">
        <v>146</v>
      </c>
      <c r="AO835" s="0" t="s">
        <v>236</v>
      </c>
      <c r="AP835" s="0" t="s">
        <v>237</v>
      </c>
      <c r="AQ835" s="0" t="n">
        <v>9</v>
      </c>
      <c r="AR835" s="0" t="n">
        <v>64</v>
      </c>
      <c r="AS835" s="0" t="n">
        <v>32</v>
      </c>
      <c r="AU835" s="0" t="n">
        <f aca="false">COUNTA($BA$320:$EH$320)</f>
        <v>13</v>
      </c>
      <c r="AV835" s="0" t="n">
        <f aca="false">COUNTIF($BA$320:$EH$320,"D")</f>
        <v>3</v>
      </c>
      <c r="AW835" s="0" t="n">
        <f aca="false">COUNTIF($BA$320:$EH$320,"R")</f>
        <v>0</v>
      </c>
      <c r="AX835" s="0" t="n">
        <f aca="false"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>0</v>
      </c>
      <c r="AY835" s="0" t="n">
        <f aca="false">COUNTIF(DU835:EH835, "&lt;&gt;")</f>
        <v>2</v>
      </c>
      <c r="AZ835" s="0" t="n">
        <f aca="false">IF(EH835&lt;&gt;"",1,0)</f>
        <v>0</v>
      </c>
      <c r="BB835" s="0" t="s">
        <v>153</v>
      </c>
      <c r="CA835" s="0" t="s">
        <v>154</v>
      </c>
      <c r="CG835" s="0" t="s">
        <v>154</v>
      </c>
      <c r="DN835" s="0" t="s">
        <v>154</v>
      </c>
      <c r="EA835" s="0" t="s">
        <v>154</v>
      </c>
      <c r="EF835" s="0" t="s">
        <v>154</v>
      </c>
    </row>
    <row r="836" customFormat="false" ht="13.8" hidden="false" customHeight="false" outlineLevel="0" collapsed="false">
      <c r="A836" s="0" t="s">
        <v>4166</v>
      </c>
      <c r="B836" s="0" t="n">
        <v>78</v>
      </c>
      <c r="C836" s="0" t="n">
        <v>5362</v>
      </c>
      <c r="D836" s="0" t="s">
        <v>4167</v>
      </c>
      <c r="E836" s="0" t="s">
        <v>1259</v>
      </c>
      <c r="F836" s="0" t="str">
        <f aca="false">CONCATENATE(D836," ",LEFT(H836,4),"T=",AU836,"D=",AV836,"R=",AW836,"M=",AX836,"L=",AY836,"B=",AZ836)</f>
        <v>MAKRIDIS T=2D=0R=0M=4L=7B=1</v>
      </c>
      <c r="G836" s="0" t="s">
        <v>222</v>
      </c>
      <c r="I836" s="0" t="s">
        <v>4168</v>
      </c>
      <c r="J836" s="0" t="s">
        <v>3086</v>
      </c>
      <c r="K836" s="0" t="s">
        <v>175</v>
      </c>
      <c r="L836" s="1" t="s">
        <v>155</v>
      </c>
      <c r="M836" s="0" t="s">
        <v>4169</v>
      </c>
      <c r="N836" s="0" t="str">
        <f aca="false">RIGHT(M836,LEN(M836)-FIND(" ",M836))</f>
        <v>ELM RD NE</v>
      </c>
      <c r="P836" s="0" t="s">
        <v>146</v>
      </c>
      <c r="Q836" s="0" t="s">
        <v>147</v>
      </c>
      <c r="R836" s="0" t="n">
        <v>44483</v>
      </c>
      <c r="AD836" s="0" t="s">
        <v>148</v>
      </c>
      <c r="AE836" s="0" t="s">
        <v>149</v>
      </c>
      <c r="AF836" s="0" t="s">
        <v>150</v>
      </c>
      <c r="AH836" s="0" t="n">
        <v>14</v>
      </c>
      <c r="AI836" s="0" t="n">
        <v>11</v>
      </c>
      <c r="AN836" s="0" t="s">
        <v>146</v>
      </c>
      <c r="AO836" s="0" t="s">
        <v>236</v>
      </c>
      <c r="AP836" s="0" t="s">
        <v>237</v>
      </c>
      <c r="AQ836" s="0" t="n">
        <v>9</v>
      </c>
      <c r="AR836" s="0" t="n">
        <v>64</v>
      </c>
      <c r="AS836" s="0" t="n">
        <v>32</v>
      </c>
      <c r="AU836" s="0" t="n">
        <f aca="false">COUNTA($BA$10:$EH$10)</f>
        <v>2</v>
      </c>
      <c r="AV836" s="0" t="n">
        <f aca="false">COUNTIF($BA$10:$EH$10,"D")</f>
        <v>0</v>
      </c>
      <c r="AW836" s="0" t="n">
        <f aca="false">COUNTIF($BA$10:$EH$10,"R")</f>
        <v>0</v>
      </c>
      <c r="AX836" s="0" t="n">
        <f aca="false"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>4</v>
      </c>
      <c r="AY836" s="0" t="n">
        <f aca="false">COUNTIF(DU836:EH836, "&lt;&gt;")</f>
        <v>7</v>
      </c>
      <c r="AZ836" s="0" t="n">
        <f aca="false">IF(EH836&lt;&gt;"",1,0)</f>
        <v>1</v>
      </c>
      <c r="BB836" s="0" t="s">
        <v>153</v>
      </c>
      <c r="BC836" s="0" t="s">
        <v>154</v>
      </c>
      <c r="BD836" s="0" t="s">
        <v>154</v>
      </c>
      <c r="BE836" s="0" t="s">
        <v>154</v>
      </c>
      <c r="BF836" s="0" t="s">
        <v>154</v>
      </c>
      <c r="BH836" s="0" t="s">
        <v>154</v>
      </c>
      <c r="BI836" s="0" t="s">
        <v>154</v>
      </c>
      <c r="BJ836" s="0" t="s">
        <v>154</v>
      </c>
      <c r="BL836" s="0" t="s">
        <v>154</v>
      </c>
      <c r="BP836" s="0" t="s">
        <v>154</v>
      </c>
      <c r="BR836" s="0" t="s">
        <v>154</v>
      </c>
      <c r="BS836" s="0" t="s">
        <v>154</v>
      </c>
      <c r="BY836" s="0" t="s">
        <v>155</v>
      </c>
      <c r="CA836" s="0" t="s">
        <v>154</v>
      </c>
      <c r="CK836" s="0" t="s">
        <v>154</v>
      </c>
      <c r="CL836" s="0" t="s">
        <v>155</v>
      </c>
      <c r="CN836" s="0" t="s">
        <v>154</v>
      </c>
      <c r="CQ836" s="0" t="s">
        <v>155</v>
      </c>
      <c r="CT836" s="0" t="s">
        <v>154</v>
      </c>
      <c r="CU836" s="0" t="s">
        <v>155</v>
      </c>
      <c r="CV836" s="0" t="s">
        <v>154</v>
      </c>
      <c r="DC836" s="0" t="s">
        <v>154</v>
      </c>
      <c r="DF836" s="0" t="s">
        <v>154</v>
      </c>
      <c r="DG836" s="0" t="s">
        <v>155</v>
      </c>
      <c r="DI836" s="0" t="s">
        <v>154</v>
      </c>
      <c r="DL836" s="0" t="s">
        <v>154</v>
      </c>
      <c r="DN836" s="0" t="s">
        <v>154</v>
      </c>
      <c r="DS836" s="0" t="s">
        <v>155</v>
      </c>
      <c r="DT836" s="0" t="s">
        <v>155</v>
      </c>
      <c r="DU836" s="0" t="s">
        <v>154</v>
      </c>
      <c r="DW836" s="0" t="s">
        <v>155</v>
      </c>
      <c r="DX836" s="0" t="s">
        <v>154</v>
      </c>
      <c r="EA836" s="0" t="s">
        <v>154</v>
      </c>
      <c r="ED836" s="0" t="s">
        <v>155</v>
      </c>
      <c r="EF836" s="0" t="s">
        <v>154</v>
      </c>
      <c r="EH836" s="0" t="s">
        <v>155</v>
      </c>
    </row>
    <row r="837" customFormat="false" ht="13.8" hidden="false" customHeight="false" outlineLevel="0" collapsed="false">
      <c r="A837" s="0" t="s">
        <v>4170</v>
      </c>
      <c r="B837" s="0" t="n">
        <v>78</v>
      </c>
      <c r="C837" s="0" t="n">
        <v>314049</v>
      </c>
      <c r="D837" s="0" t="s">
        <v>4167</v>
      </c>
      <c r="E837" s="0" t="s">
        <v>4171</v>
      </c>
      <c r="F837" s="0" t="str">
        <f aca="false">CONCATENATE(D837," ",LEFT(H837,4),"T=",AU837,"D=",AV837,"R=",AW837,"M=",AX837,"L=",AY837,"B=",AZ837)</f>
        <v>MAKRIDIS T=8D=1R=0M=1L=4B=1</v>
      </c>
      <c r="G837" s="0" t="s">
        <v>4172</v>
      </c>
      <c r="I837" s="0" t="s">
        <v>4173</v>
      </c>
      <c r="J837" s="0" t="s">
        <v>4174</v>
      </c>
      <c r="K837" s="0" t="s">
        <v>175</v>
      </c>
      <c r="L837" s="1" t="s">
        <v>155</v>
      </c>
      <c r="M837" s="0" t="s">
        <v>4169</v>
      </c>
      <c r="N837" s="0" t="str">
        <f aca="false">RIGHT(M837,LEN(M837)-FIND(" ",M837))</f>
        <v>ELM RD NE</v>
      </c>
      <c r="P837" s="0" t="s">
        <v>146</v>
      </c>
      <c r="Q837" s="0" t="s">
        <v>147</v>
      </c>
      <c r="R837" s="0" t="n">
        <v>44483</v>
      </c>
      <c r="AD837" s="0" t="s">
        <v>148</v>
      </c>
      <c r="AE837" s="0" t="s">
        <v>149</v>
      </c>
      <c r="AF837" s="0" t="s">
        <v>150</v>
      </c>
      <c r="AH837" s="0" t="n">
        <v>14</v>
      </c>
      <c r="AI837" s="0" t="n">
        <v>11</v>
      </c>
      <c r="AN837" s="0" t="s">
        <v>146</v>
      </c>
      <c r="AO837" s="0" t="s">
        <v>236</v>
      </c>
      <c r="AP837" s="0" t="s">
        <v>237</v>
      </c>
      <c r="AQ837" s="0" t="n">
        <v>9</v>
      </c>
      <c r="AR837" s="0" t="n">
        <v>64</v>
      </c>
      <c r="AS837" s="0" t="n">
        <v>32</v>
      </c>
      <c r="AU837" s="0" t="n">
        <f aca="false">COUNTA($BA$37:$EH$37)</f>
        <v>8</v>
      </c>
      <c r="AV837" s="0" t="n">
        <f aca="false">COUNTIF($BA$37:$EH$37,"D")</f>
        <v>1</v>
      </c>
      <c r="AW837" s="0" t="n">
        <f aca="false">COUNTIF($BA$37:$EH$37,"R")</f>
        <v>0</v>
      </c>
      <c r="AX837" s="0" t="n">
        <f aca="false"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>1</v>
      </c>
      <c r="AY837" s="0" t="n">
        <f aca="false">COUNTIF(DU837:EH837, "&lt;&gt;")</f>
        <v>4</v>
      </c>
      <c r="AZ837" s="0" t="n">
        <f aca="false">IF(EH837&lt;&gt;"",1,0)</f>
        <v>1</v>
      </c>
      <c r="BB837" s="0" t="s">
        <v>153</v>
      </c>
      <c r="BI837" s="0" t="s">
        <v>154</v>
      </c>
      <c r="BL837" s="0" t="s">
        <v>154</v>
      </c>
      <c r="BS837" s="0" t="s">
        <v>154</v>
      </c>
      <c r="BY837" s="0" t="s">
        <v>155</v>
      </c>
      <c r="CA837" s="0" t="s">
        <v>154</v>
      </c>
      <c r="CK837" s="0" t="s">
        <v>154</v>
      </c>
      <c r="CN837" s="0" t="s">
        <v>154</v>
      </c>
      <c r="CP837" s="0" t="s">
        <v>154</v>
      </c>
      <c r="CV837" s="0" t="s">
        <v>154</v>
      </c>
      <c r="CY837" s="0" t="s">
        <v>154</v>
      </c>
      <c r="CZ837" s="0" t="s">
        <v>155</v>
      </c>
      <c r="DC837" s="0" t="s">
        <v>154</v>
      </c>
      <c r="DF837" s="0" t="s">
        <v>154</v>
      </c>
      <c r="DG837" s="0" t="s">
        <v>155</v>
      </c>
      <c r="DI837" s="0" t="s">
        <v>154</v>
      </c>
      <c r="DL837" s="0" t="s">
        <v>154</v>
      </c>
      <c r="DM837" s="0" t="s">
        <v>155</v>
      </c>
      <c r="DN837" s="0" t="s">
        <v>154</v>
      </c>
      <c r="DU837" s="0" t="s">
        <v>154</v>
      </c>
      <c r="EA837" s="0" t="s">
        <v>154</v>
      </c>
      <c r="EF837" s="0" t="s">
        <v>154</v>
      </c>
      <c r="EH837" s="0" t="s">
        <v>155</v>
      </c>
    </row>
    <row r="838" customFormat="false" ht="13.8" hidden="true" customHeight="false" outlineLevel="0" collapsed="false">
      <c r="A838" s="0" t="s">
        <v>4175</v>
      </c>
      <c r="B838" s="0" t="n">
        <v>78</v>
      </c>
      <c r="C838" s="0" t="n">
        <v>405077</v>
      </c>
      <c r="D838" s="0" t="s">
        <v>4176</v>
      </c>
      <c r="E838" s="0" t="s">
        <v>1669</v>
      </c>
      <c r="F838" s="0" t="str">
        <f aca="false">CONCATENATE(D838," ",LEFT(H838,4),"T=",AU838,"D=",AV838,"R=",AW838,"M=",AX838,"L=",AY838,"B=",AZ838)</f>
        <v>SHUCK T=17D=2R=1M=0L=0B=0</v>
      </c>
      <c r="G838" s="0" t="s">
        <v>4177</v>
      </c>
      <c r="I838" s="0" t="s">
        <v>4178</v>
      </c>
      <c r="J838" s="0" t="s">
        <v>4179</v>
      </c>
      <c r="K838" s="0" t="s">
        <v>144</v>
      </c>
      <c r="L838" s="0"/>
      <c r="M838" s="0" t="s">
        <v>4180</v>
      </c>
      <c r="N838" s="0" t="str">
        <f aca="false">RIGHT(M838,LEN(M838)-FIND(" ",M838))</f>
        <v>ELM RD NE</v>
      </c>
      <c r="P838" s="0" t="s">
        <v>146</v>
      </c>
      <c r="Q838" s="0" t="s">
        <v>147</v>
      </c>
      <c r="R838" s="0" t="n">
        <v>44483</v>
      </c>
      <c r="AD838" s="0" t="s">
        <v>148</v>
      </c>
      <c r="AE838" s="0" t="s">
        <v>149</v>
      </c>
      <c r="AF838" s="0" t="s">
        <v>150</v>
      </c>
      <c r="AH838" s="0" t="n">
        <v>14</v>
      </c>
      <c r="AI838" s="0" t="n">
        <v>11</v>
      </c>
      <c r="AN838" s="0" t="s">
        <v>146</v>
      </c>
      <c r="AO838" s="0" t="s">
        <v>236</v>
      </c>
      <c r="AP838" s="0" t="s">
        <v>237</v>
      </c>
      <c r="AQ838" s="0" t="n">
        <v>9</v>
      </c>
      <c r="AR838" s="0" t="n">
        <v>64</v>
      </c>
      <c r="AS838" s="0" t="n">
        <v>32</v>
      </c>
      <c r="AU838" s="0" t="n">
        <f aca="false">COUNTA($BA$742:$EH$742)</f>
        <v>17</v>
      </c>
      <c r="AV838" s="0" t="n">
        <f aca="false">COUNTIF($BA$742:$EH$742,"D")</f>
        <v>2</v>
      </c>
      <c r="AW838" s="0" t="n">
        <f aca="false">COUNTIF($BA$742:$EH$742,"R")</f>
        <v>1</v>
      </c>
      <c r="AX838" s="0" t="n">
        <f aca="false"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>0</v>
      </c>
      <c r="AY838" s="0" t="n">
        <f aca="false">COUNTIF(DU838:EH838, "&lt;&gt;")</f>
        <v>0</v>
      </c>
      <c r="AZ838" s="0" t="n">
        <f aca="false">IF(EH838&lt;&gt;"",1,0)</f>
        <v>0</v>
      </c>
      <c r="BB838" s="0" t="s">
        <v>153</v>
      </c>
    </row>
    <row r="839" customFormat="false" ht="13.8" hidden="true" customHeight="false" outlineLevel="0" collapsed="false">
      <c r="A839" s="0" t="s">
        <v>4181</v>
      </c>
      <c r="B839" s="0" t="n">
        <v>78</v>
      </c>
      <c r="C839" s="0" t="n">
        <v>491603</v>
      </c>
      <c r="D839" s="0" t="s">
        <v>4182</v>
      </c>
      <c r="E839" s="0" t="s">
        <v>4183</v>
      </c>
      <c r="F839" s="0" t="str">
        <f aca="false">CONCATENATE(D839," ",LEFT(H839,4),"T=",AU839,"D=",AV839,"R=",AW839,"M=",AX839,"L=",AY839,"B=",AZ839)</f>
        <v>KADERA T=1D=0R=0M=0L=1B=0</v>
      </c>
      <c r="G839" s="0" t="s">
        <v>277</v>
      </c>
      <c r="I839" s="0" t="s">
        <v>4184</v>
      </c>
      <c r="J839" s="0" t="s">
        <v>4185</v>
      </c>
      <c r="K839" s="0" t="s">
        <v>175</v>
      </c>
      <c r="L839" s="0"/>
      <c r="M839" s="0" t="s">
        <v>4186</v>
      </c>
      <c r="N839" s="0" t="str">
        <f aca="false">RIGHT(M839,LEN(M839)-FIND(" ",M839))</f>
        <v>ELM RD NE</v>
      </c>
      <c r="P839" s="0" t="s">
        <v>146</v>
      </c>
      <c r="Q839" s="0" t="s">
        <v>147</v>
      </c>
      <c r="R839" s="0" t="n">
        <v>44483</v>
      </c>
      <c r="AD839" s="0" t="s">
        <v>148</v>
      </c>
      <c r="AE839" s="0" t="s">
        <v>149</v>
      </c>
      <c r="AF839" s="0" t="s">
        <v>150</v>
      </c>
      <c r="AH839" s="0" t="n">
        <v>14</v>
      </c>
      <c r="AI839" s="0" t="n">
        <v>11</v>
      </c>
      <c r="AN839" s="0" t="s">
        <v>146</v>
      </c>
      <c r="AO839" s="0" t="s">
        <v>236</v>
      </c>
      <c r="AP839" s="0" t="s">
        <v>237</v>
      </c>
      <c r="AQ839" s="0" t="n">
        <v>9</v>
      </c>
      <c r="AR839" s="0" t="n">
        <v>64</v>
      </c>
      <c r="AS839" s="0" t="n">
        <v>32</v>
      </c>
      <c r="AU839" s="0" t="n">
        <f aca="false">COUNTA($BA$46:$EH$46)</f>
        <v>1</v>
      </c>
      <c r="AV839" s="0" t="n">
        <f aca="false">COUNTIF($BA$46:$EH$46,"D")</f>
        <v>0</v>
      </c>
      <c r="AW839" s="0" t="n">
        <f aca="false">COUNTIF($BA$46:$EH$46,"R")</f>
        <v>0</v>
      </c>
      <c r="AX839" s="0" t="n">
        <f aca="false"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>0</v>
      </c>
      <c r="AY839" s="0" t="n">
        <f aca="false">COUNTIF(DU839:EH839, "&lt;&gt;")</f>
        <v>1</v>
      </c>
      <c r="AZ839" s="0" t="n">
        <f aca="false">IF(EH839&lt;&gt;"",1,0)</f>
        <v>0</v>
      </c>
      <c r="BB839" s="0" t="s">
        <v>153</v>
      </c>
      <c r="EF839" s="0" t="s">
        <v>154</v>
      </c>
    </row>
    <row r="840" customFormat="false" ht="13.8" hidden="true" customHeight="false" outlineLevel="0" collapsed="false">
      <c r="A840" s="0" t="s">
        <v>4187</v>
      </c>
      <c r="B840" s="0" t="n">
        <v>78</v>
      </c>
      <c r="C840" s="0" t="n">
        <v>489933</v>
      </c>
      <c r="D840" s="0" t="s">
        <v>4188</v>
      </c>
      <c r="E840" s="0" t="s">
        <v>4189</v>
      </c>
      <c r="F840" s="0" t="str">
        <f aca="false">CONCATENATE(D840," ",LEFT(H840,4),"T=",AU840,"D=",AV840,"R=",AW840,"M=",AX840,"L=",AY840,"B=",AZ840)</f>
        <v>ROB T=12D=2R=1M=0L=1B=0</v>
      </c>
      <c r="G840" s="0" t="s">
        <v>141</v>
      </c>
      <c r="I840" s="0" t="s">
        <v>4190</v>
      </c>
      <c r="J840" s="0" t="s">
        <v>4185</v>
      </c>
      <c r="K840" s="0" t="s">
        <v>175</v>
      </c>
      <c r="L840" s="0"/>
      <c r="M840" s="0" t="s">
        <v>4186</v>
      </c>
      <c r="N840" s="0" t="str">
        <f aca="false">RIGHT(M840,LEN(M840)-FIND(" ",M840))</f>
        <v>ELM RD NE</v>
      </c>
      <c r="P840" s="0" t="s">
        <v>146</v>
      </c>
      <c r="Q840" s="0" t="s">
        <v>147</v>
      </c>
      <c r="R840" s="0" t="n">
        <v>44483</v>
      </c>
      <c r="AD840" s="0" t="s">
        <v>148</v>
      </c>
      <c r="AE840" s="0" t="s">
        <v>149</v>
      </c>
      <c r="AF840" s="0" t="s">
        <v>150</v>
      </c>
      <c r="AH840" s="0" t="n">
        <v>14</v>
      </c>
      <c r="AI840" s="0" t="n">
        <v>11</v>
      </c>
      <c r="AN840" s="0" t="s">
        <v>146</v>
      </c>
      <c r="AO840" s="0" t="s">
        <v>236</v>
      </c>
      <c r="AP840" s="0" t="s">
        <v>237</v>
      </c>
      <c r="AQ840" s="0" t="n">
        <v>9</v>
      </c>
      <c r="AR840" s="0" t="n">
        <v>64</v>
      </c>
      <c r="AS840" s="0" t="n">
        <v>32</v>
      </c>
      <c r="AU840" s="0" t="n">
        <f aca="false">COUNTA($BA$280:$EH$280)</f>
        <v>12</v>
      </c>
      <c r="AV840" s="0" t="n">
        <f aca="false">COUNTIF($BA$280:$EH$280,"D")</f>
        <v>2</v>
      </c>
      <c r="AW840" s="0" t="n">
        <f aca="false">COUNTIF($BA$280:$EH$280,"R")</f>
        <v>1</v>
      </c>
      <c r="AX840" s="0" t="n">
        <f aca="false"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>0</v>
      </c>
      <c r="AY840" s="0" t="n">
        <f aca="false">COUNTIF(DU840:EH840, "&lt;&gt;")</f>
        <v>1</v>
      </c>
      <c r="AZ840" s="0" t="n">
        <f aca="false">IF(EH840&lt;&gt;"",1,0)</f>
        <v>0</v>
      </c>
      <c r="BB840" s="0" t="s">
        <v>153</v>
      </c>
      <c r="EF840" s="0" t="s">
        <v>154</v>
      </c>
    </row>
    <row r="841" customFormat="false" ht="13.8" hidden="true" customHeight="false" outlineLevel="0" collapsed="false">
      <c r="A841" s="0" t="s">
        <v>4191</v>
      </c>
      <c r="B841" s="0" t="n">
        <v>78</v>
      </c>
      <c r="C841" s="0" t="n">
        <v>491617</v>
      </c>
      <c r="D841" s="0" t="s">
        <v>4188</v>
      </c>
      <c r="E841" s="0" t="s">
        <v>4192</v>
      </c>
      <c r="F841" s="0" t="str">
        <f aca="false">CONCATENATE(D841," ",LEFT(H841,4),"T=",AU841,"D=",AV841,"R=",AW841,"M=",AX841,"L=",AY841,"B=",AZ841)</f>
        <v>ROB T=10D=0R=2M=0L=1B=0</v>
      </c>
      <c r="I841" s="0" t="s">
        <v>844</v>
      </c>
      <c r="J841" s="0" t="s">
        <v>4185</v>
      </c>
      <c r="K841" s="0" t="s">
        <v>175</v>
      </c>
      <c r="L841" s="0"/>
      <c r="M841" s="0" t="s">
        <v>4186</v>
      </c>
      <c r="N841" s="0" t="str">
        <f aca="false">RIGHT(M841,LEN(M841)-FIND(" ",M841))</f>
        <v>ELM RD NE</v>
      </c>
      <c r="P841" s="0" t="s">
        <v>146</v>
      </c>
      <c r="Q841" s="0" t="s">
        <v>147</v>
      </c>
      <c r="R841" s="0" t="n">
        <v>44483</v>
      </c>
      <c r="AD841" s="0" t="s">
        <v>148</v>
      </c>
      <c r="AE841" s="0" t="s">
        <v>149</v>
      </c>
      <c r="AF841" s="0" t="s">
        <v>150</v>
      </c>
      <c r="AH841" s="0" t="n">
        <v>14</v>
      </c>
      <c r="AI841" s="0" t="n">
        <v>11</v>
      </c>
      <c r="AN841" s="0" t="s">
        <v>146</v>
      </c>
      <c r="AO841" s="0" t="s">
        <v>236</v>
      </c>
      <c r="AP841" s="0" t="s">
        <v>237</v>
      </c>
      <c r="AQ841" s="0" t="n">
        <v>9</v>
      </c>
      <c r="AR841" s="0" t="n">
        <v>64</v>
      </c>
      <c r="AS841" s="0" t="n">
        <v>32</v>
      </c>
      <c r="AU841" s="0" t="n">
        <f aca="false">COUNTA($BA$459:$EH$459)</f>
        <v>10</v>
      </c>
      <c r="AV841" s="0" t="n">
        <f aca="false">COUNTIF($BA$459:$EH$459,"D")</f>
        <v>0</v>
      </c>
      <c r="AW841" s="0" t="n">
        <f aca="false">COUNTIF($BA$459:$EH$459,"R")</f>
        <v>2</v>
      </c>
      <c r="AX841" s="0" t="n">
        <f aca="false"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>0</v>
      </c>
      <c r="AY841" s="0" t="n">
        <f aca="false">COUNTIF(DU841:EH841, "&lt;&gt;")</f>
        <v>1</v>
      </c>
      <c r="AZ841" s="0" t="n">
        <f aca="false">IF(EH841&lt;&gt;"",1,0)</f>
        <v>0</v>
      </c>
      <c r="BB841" s="0" t="s">
        <v>153</v>
      </c>
      <c r="EF841" s="0" t="s">
        <v>154</v>
      </c>
    </row>
    <row r="842" customFormat="false" ht="13.8" hidden="true" customHeight="false" outlineLevel="0" collapsed="false">
      <c r="A842" s="0" t="s">
        <v>4193</v>
      </c>
      <c r="B842" s="0" t="n">
        <v>78</v>
      </c>
      <c r="C842" s="0" t="n">
        <v>494255</v>
      </c>
      <c r="D842" s="0" t="s">
        <v>4194</v>
      </c>
      <c r="E842" s="0" t="s">
        <v>502</v>
      </c>
      <c r="F842" s="0" t="str">
        <f aca="false">CONCATENATE(D842," ",LEFT(H842,4),"T=",AU842,"D=",AV842,"R=",AW842,"M=",AX842,"L=",AY842,"B=",AZ842)</f>
        <v>HUGHES T=6D=0R=1M=0L=0B=0</v>
      </c>
      <c r="G842" s="0" t="s">
        <v>172</v>
      </c>
      <c r="I842" s="0" t="s">
        <v>4195</v>
      </c>
      <c r="J842" s="0" t="s">
        <v>712</v>
      </c>
      <c r="K842" s="0" t="s">
        <v>175</v>
      </c>
      <c r="L842" s="0"/>
      <c r="M842" s="0" t="s">
        <v>4196</v>
      </c>
      <c r="N842" s="0" t="str">
        <f aca="false">RIGHT(M842,LEN(M842)-FIND(" ",M842))</f>
        <v>ELM RD NE</v>
      </c>
      <c r="P842" s="0" t="s">
        <v>146</v>
      </c>
      <c r="Q842" s="0" t="s">
        <v>147</v>
      </c>
      <c r="R842" s="0" t="n">
        <v>44483</v>
      </c>
      <c r="AD842" s="0" t="s">
        <v>148</v>
      </c>
      <c r="AE842" s="0" t="s">
        <v>149</v>
      </c>
      <c r="AF842" s="0" t="s">
        <v>150</v>
      </c>
      <c r="AH842" s="0" t="n">
        <v>14</v>
      </c>
      <c r="AI842" s="0" t="n">
        <v>11</v>
      </c>
      <c r="AN842" s="0" t="s">
        <v>146</v>
      </c>
      <c r="AO842" s="0" t="s">
        <v>236</v>
      </c>
      <c r="AP842" s="0" t="s">
        <v>237</v>
      </c>
      <c r="AQ842" s="0" t="n">
        <v>9</v>
      </c>
      <c r="AR842" s="0" t="n">
        <v>64</v>
      </c>
      <c r="AS842" s="0" t="n">
        <v>32</v>
      </c>
      <c r="AU842" s="0" t="n">
        <f aca="false">COUNTA($BA$140:$EH$140)</f>
        <v>6</v>
      </c>
      <c r="AV842" s="0" t="n">
        <f aca="false">COUNTIF($BA$140:$EH$140,"D")</f>
        <v>0</v>
      </c>
      <c r="AW842" s="0" t="n">
        <f aca="false">COUNTIF($BA$140:$EH$140,"R")</f>
        <v>1</v>
      </c>
      <c r="AX842" s="0" t="n">
        <f aca="false"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>0</v>
      </c>
      <c r="AY842" s="0" t="n">
        <f aca="false">COUNTIF(DU842:EH842, "&lt;&gt;")</f>
        <v>0</v>
      </c>
      <c r="AZ842" s="0" t="n">
        <f aca="false">IF(EH842&lt;&gt;"",1,0)</f>
        <v>0</v>
      </c>
      <c r="BB842" s="0" t="s">
        <v>153</v>
      </c>
      <c r="CA842" s="0" t="s">
        <v>154</v>
      </c>
      <c r="CG842" s="0" t="s">
        <v>154</v>
      </c>
      <c r="CP842" s="0" t="s">
        <v>154</v>
      </c>
      <c r="DC842" s="0" t="s">
        <v>154</v>
      </c>
    </row>
    <row r="843" customFormat="false" ht="13.8" hidden="true" customHeight="false" outlineLevel="0" collapsed="false">
      <c r="A843" s="0" t="s">
        <v>4197</v>
      </c>
      <c r="B843" s="0" t="n">
        <v>78</v>
      </c>
      <c r="C843" s="0" t="n">
        <v>286036</v>
      </c>
      <c r="D843" s="0" t="s">
        <v>1861</v>
      </c>
      <c r="E843" s="0" t="s">
        <v>3873</v>
      </c>
      <c r="F843" s="0" t="str">
        <f aca="false">CONCATENATE(D843," ",LEFT(H843,4),"T=",AU843,"D=",AV843,"R=",AW843,"M=",AX843,"L=",AY843,"B=",AZ843)</f>
        <v>WASHINGTON T=43D=14R=0M=0L=1B=0</v>
      </c>
      <c r="G843" s="0" t="s">
        <v>176</v>
      </c>
      <c r="I843" s="0" t="s">
        <v>4198</v>
      </c>
      <c r="J843" s="0" t="s">
        <v>712</v>
      </c>
      <c r="K843" s="0" t="s">
        <v>175</v>
      </c>
      <c r="L843" s="0"/>
      <c r="M843" s="0" t="s">
        <v>4196</v>
      </c>
      <c r="N843" s="0" t="str">
        <f aca="false">RIGHT(M843,LEN(M843)-FIND(" ",M843))</f>
        <v>ELM RD NE</v>
      </c>
      <c r="P843" s="0" t="s">
        <v>146</v>
      </c>
      <c r="Q843" s="0" t="s">
        <v>147</v>
      </c>
      <c r="R843" s="0" t="n">
        <v>44483</v>
      </c>
      <c r="AD843" s="0" t="s">
        <v>148</v>
      </c>
      <c r="AE843" s="0" t="s">
        <v>149</v>
      </c>
      <c r="AF843" s="0" t="s">
        <v>150</v>
      </c>
      <c r="AH843" s="0" t="n">
        <v>14</v>
      </c>
      <c r="AI843" s="0" t="n">
        <v>11</v>
      </c>
      <c r="AN843" s="0" t="s">
        <v>146</v>
      </c>
      <c r="AO843" s="0" t="s">
        <v>236</v>
      </c>
      <c r="AP843" s="0" t="s">
        <v>237</v>
      </c>
      <c r="AQ843" s="0" t="n">
        <v>9</v>
      </c>
      <c r="AR843" s="0" t="n">
        <v>64</v>
      </c>
      <c r="AS843" s="0" t="n">
        <v>32</v>
      </c>
      <c r="AU843" s="0" t="n">
        <f aca="false">COUNTA($BA$694:$EH$694)</f>
        <v>43</v>
      </c>
      <c r="AV843" s="0" t="n">
        <f aca="false">COUNTIF($BA$694:$EH$694,"D")</f>
        <v>14</v>
      </c>
      <c r="AW843" s="0" t="n">
        <f aca="false">COUNTIF($BA$694:$EH$694,"R")</f>
        <v>0</v>
      </c>
      <c r="AX843" s="0" t="n">
        <f aca="false"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>0</v>
      </c>
      <c r="AY843" s="0" t="n">
        <f aca="false">COUNTIF(DU843:EH843, "&lt;&gt;")</f>
        <v>1</v>
      </c>
      <c r="AZ843" s="0" t="n">
        <f aca="false">IF(EH843&lt;&gt;"",1,0)</f>
        <v>0</v>
      </c>
      <c r="BB843" s="0" t="s">
        <v>153</v>
      </c>
      <c r="BD843" s="0" t="s">
        <v>154</v>
      </c>
      <c r="BL843" s="0" t="s">
        <v>154</v>
      </c>
      <c r="BS843" s="0" t="s">
        <v>154</v>
      </c>
      <c r="CA843" s="0" t="s">
        <v>154</v>
      </c>
      <c r="CK843" s="0" t="s">
        <v>154</v>
      </c>
      <c r="CN843" s="0" t="s">
        <v>154</v>
      </c>
      <c r="CP843" s="0" t="s">
        <v>154</v>
      </c>
      <c r="CY843" s="0" t="s">
        <v>154</v>
      </c>
      <c r="DC843" s="0" t="s">
        <v>154</v>
      </c>
      <c r="DN843" s="0" t="s">
        <v>154</v>
      </c>
      <c r="EF843" s="0" t="s">
        <v>154</v>
      </c>
    </row>
    <row r="844" customFormat="false" ht="13.8" hidden="false" customHeight="false" outlineLevel="0" collapsed="false">
      <c r="A844" s="0" t="s">
        <v>4199</v>
      </c>
      <c r="B844" s="0" t="n">
        <v>78</v>
      </c>
      <c r="C844" s="0" t="n">
        <v>339913</v>
      </c>
      <c r="D844" s="0" t="s">
        <v>4200</v>
      </c>
      <c r="E844" s="0" t="s">
        <v>4201</v>
      </c>
      <c r="F844" s="0" t="str">
        <f aca="false">CONCATENATE(D844," ",LEFT(H844,4),"T=",AU844,"D=",AV844,"R=",AW844,"M=",AX844,"L=",AY844,"B=",AZ844)</f>
        <v>COLSON T=2D=0R=0M=7L=7B=1</v>
      </c>
      <c r="I844" s="0" t="s">
        <v>4202</v>
      </c>
      <c r="J844" s="0" t="s">
        <v>4203</v>
      </c>
      <c r="K844" s="0" t="s">
        <v>175</v>
      </c>
      <c r="L844" s="1" t="s">
        <v>155</v>
      </c>
      <c r="M844" s="0" t="s">
        <v>4204</v>
      </c>
      <c r="N844" s="0" t="str">
        <f aca="false">RIGHT(M844,LEN(M844)-FIND(" ",M844))</f>
        <v>ELM RD NE</v>
      </c>
      <c r="P844" s="0" t="s">
        <v>146</v>
      </c>
      <c r="Q844" s="0" t="s">
        <v>147</v>
      </c>
      <c r="R844" s="0" t="n">
        <v>44483</v>
      </c>
      <c r="AD844" s="0" t="s">
        <v>148</v>
      </c>
      <c r="AE844" s="0" t="s">
        <v>149</v>
      </c>
      <c r="AF844" s="0" t="s">
        <v>150</v>
      </c>
      <c r="AH844" s="0" t="n">
        <v>14</v>
      </c>
      <c r="AI844" s="0" t="n">
        <v>11</v>
      </c>
      <c r="AN844" s="0" t="s">
        <v>146</v>
      </c>
      <c r="AO844" s="0" t="s">
        <v>236</v>
      </c>
      <c r="AP844" s="0" t="s">
        <v>237</v>
      </c>
      <c r="AQ844" s="0" t="n">
        <v>9</v>
      </c>
      <c r="AR844" s="0" t="n">
        <v>64</v>
      </c>
      <c r="AS844" s="0" t="n">
        <v>32</v>
      </c>
      <c r="AU844" s="0" t="n">
        <f aca="false">COUNTA($BA$24:$EH$24)</f>
        <v>2</v>
      </c>
      <c r="AV844" s="0" t="n">
        <f aca="false">COUNTIF($BA$24:$EH$24,"D")</f>
        <v>0</v>
      </c>
      <c r="AW844" s="0" t="n">
        <f aca="false">COUNTIF($BA$24:$EH$24,"R")</f>
        <v>0</v>
      </c>
      <c r="AX844" s="0" t="n">
        <f aca="false"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>7</v>
      </c>
      <c r="AY844" s="0" t="n">
        <f aca="false">COUNTIF(DU844:EH844, "&lt;&gt;")</f>
        <v>7</v>
      </c>
      <c r="AZ844" s="0" t="n">
        <f aca="false">IF(EH844&lt;&gt;"",1,0)</f>
        <v>1</v>
      </c>
      <c r="BB844" s="0" t="s">
        <v>153</v>
      </c>
      <c r="BP844" s="0" t="s">
        <v>154</v>
      </c>
      <c r="BR844" s="0" t="s">
        <v>154</v>
      </c>
      <c r="BS844" s="0" t="s">
        <v>154</v>
      </c>
      <c r="BV844" s="0" t="s">
        <v>154</v>
      </c>
      <c r="BY844" s="0" t="s">
        <v>155</v>
      </c>
      <c r="CA844" s="0" t="s">
        <v>154</v>
      </c>
      <c r="CG844" s="0" t="s">
        <v>154</v>
      </c>
      <c r="CH844" s="0" t="s">
        <v>155</v>
      </c>
      <c r="CK844" s="0" t="s">
        <v>154</v>
      </c>
      <c r="CN844" s="0" t="s">
        <v>154</v>
      </c>
      <c r="CO844" s="0" t="s">
        <v>155</v>
      </c>
      <c r="CP844" s="0" t="s">
        <v>154</v>
      </c>
      <c r="CQ844" s="0" t="s">
        <v>155</v>
      </c>
      <c r="CT844" s="0" t="s">
        <v>154</v>
      </c>
      <c r="CU844" s="0" t="s">
        <v>155</v>
      </c>
      <c r="CV844" s="0" t="s">
        <v>154</v>
      </c>
      <c r="CW844" s="0" t="s">
        <v>155</v>
      </c>
      <c r="CY844" s="0" t="s">
        <v>154</v>
      </c>
      <c r="CZ844" s="0" t="s">
        <v>155</v>
      </c>
      <c r="DC844" s="0" t="s">
        <v>154</v>
      </c>
      <c r="DD844" s="0" t="s">
        <v>155</v>
      </c>
      <c r="DF844" s="0" t="s">
        <v>154</v>
      </c>
      <c r="DG844" s="0" t="s">
        <v>155</v>
      </c>
      <c r="DI844" s="0" t="s">
        <v>154</v>
      </c>
      <c r="DJ844" s="0" t="s">
        <v>155</v>
      </c>
      <c r="DL844" s="0" t="s">
        <v>154</v>
      </c>
      <c r="DM844" s="0" t="s">
        <v>155</v>
      </c>
      <c r="DN844" s="0" t="s">
        <v>154</v>
      </c>
      <c r="DO844" s="0" t="s">
        <v>155</v>
      </c>
      <c r="DR844" s="0" t="s">
        <v>154</v>
      </c>
      <c r="DS844" s="0" t="s">
        <v>155</v>
      </c>
      <c r="DU844" s="0" t="s">
        <v>154</v>
      </c>
      <c r="DW844" s="0" t="s">
        <v>155</v>
      </c>
      <c r="DX844" s="0" t="s">
        <v>154</v>
      </c>
      <c r="EA844" s="0" t="s">
        <v>154</v>
      </c>
      <c r="ED844" s="0" t="s">
        <v>155</v>
      </c>
      <c r="EF844" s="0" t="s">
        <v>154</v>
      </c>
      <c r="EH844" s="0" t="s">
        <v>155</v>
      </c>
    </row>
    <row r="845" customFormat="false" ht="13.8" hidden="false" customHeight="false" outlineLevel="0" collapsed="false">
      <c r="A845" s="0" t="s">
        <v>4205</v>
      </c>
      <c r="B845" s="0" t="n">
        <v>78</v>
      </c>
      <c r="C845" s="0" t="n">
        <v>369734</v>
      </c>
      <c r="D845" s="0" t="s">
        <v>4206</v>
      </c>
      <c r="E845" s="0" t="s">
        <v>652</v>
      </c>
      <c r="F845" s="0" t="str">
        <f aca="false">CONCATENATE(D845," ",LEFT(H845,4),"T=",AU845,"D=",AV845,"R=",AW845,"M=",AX845,"L=",AY845,"B=",AZ845)</f>
        <v>ZEMANN T=11D=1R=0M=0L=2B=0</v>
      </c>
      <c r="G845" s="0" t="s">
        <v>166</v>
      </c>
      <c r="I845" s="0" t="s">
        <v>4207</v>
      </c>
      <c r="J845" s="0" t="s">
        <v>4208</v>
      </c>
      <c r="K845" s="0" t="s">
        <v>175</v>
      </c>
      <c r="M845" s="0" t="s">
        <v>4209</v>
      </c>
      <c r="N845" s="0" t="str">
        <f aca="false">RIGHT(M845,LEN(M845)-FIND(" ",M845))</f>
        <v>EUCLID PL NE</v>
      </c>
      <c r="P845" s="0" t="s">
        <v>146</v>
      </c>
      <c r="Q845" s="0" t="s">
        <v>147</v>
      </c>
      <c r="R845" s="0" t="n">
        <v>44483</v>
      </c>
      <c r="AD845" s="0" t="s">
        <v>148</v>
      </c>
      <c r="AE845" s="0" t="s">
        <v>149</v>
      </c>
      <c r="AF845" s="0" t="s">
        <v>150</v>
      </c>
      <c r="AH845" s="0" t="n">
        <v>14</v>
      </c>
      <c r="AI845" s="0" t="n">
        <v>11</v>
      </c>
      <c r="AN845" s="0" t="s">
        <v>146</v>
      </c>
      <c r="AO845" s="0" t="s">
        <v>236</v>
      </c>
      <c r="AP845" s="0" t="s">
        <v>237</v>
      </c>
      <c r="AQ845" s="0" t="n">
        <v>9</v>
      </c>
      <c r="AR845" s="0" t="n">
        <v>64</v>
      </c>
      <c r="AS845" s="0" t="n">
        <v>32</v>
      </c>
      <c r="AU845" s="0" t="n">
        <f aca="false">COUNTA($BA$475:$EH$475)</f>
        <v>11</v>
      </c>
      <c r="AV845" s="0" t="n">
        <f aca="false">COUNTIF($BA$475:$EH$475,"D")</f>
        <v>1</v>
      </c>
      <c r="AW845" s="0" t="n">
        <f aca="false">COUNTIF($BA$475:$EH$475,"R")</f>
        <v>0</v>
      </c>
      <c r="AX845" s="0" t="n">
        <f aca="false"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>0</v>
      </c>
      <c r="AY845" s="0" t="n">
        <f aca="false">COUNTIF(DU845:EH845, "&lt;&gt;")</f>
        <v>2</v>
      </c>
      <c r="AZ845" s="0" t="n">
        <f aca="false">IF(EH845&lt;&gt;"",1,0)</f>
        <v>0</v>
      </c>
      <c r="BB845" s="0" t="s">
        <v>153</v>
      </c>
      <c r="CP845" s="0" t="s">
        <v>154</v>
      </c>
      <c r="DC845" s="0" t="s">
        <v>154</v>
      </c>
      <c r="DI845" s="0" t="s">
        <v>154</v>
      </c>
      <c r="DN845" s="0" t="s">
        <v>154</v>
      </c>
      <c r="DU845" s="0" t="s">
        <v>154</v>
      </c>
      <c r="EF845" s="0" t="s">
        <v>154</v>
      </c>
    </row>
    <row r="846" customFormat="false" ht="13.8" hidden="false" customHeight="false" outlineLevel="0" collapsed="false">
      <c r="A846" s="0" t="s">
        <v>4210</v>
      </c>
      <c r="B846" s="0" t="n">
        <v>78</v>
      </c>
      <c r="C846" s="0" t="n">
        <v>389614</v>
      </c>
      <c r="D846" s="0" t="s">
        <v>4206</v>
      </c>
      <c r="E846" s="0" t="s">
        <v>771</v>
      </c>
      <c r="F846" s="0" t="str">
        <f aca="false">CONCATENATE(D846," ",LEFT(H846,4),"T=",AU846,"D=",AV846,"R=",AW846,"M=",AX846,"L=",AY846,"B=",AZ846)</f>
        <v>ZEMANN T=33D=7R=0M=0L=2B=0</v>
      </c>
      <c r="G846" s="0" t="s">
        <v>297</v>
      </c>
      <c r="I846" s="0" t="s">
        <v>4211</v>
      </c>
      <c r="J846" s="0" t="s">
        <v>3107</v>
      </c>
      <c r="K846" s="0" t="s">
        <v>175</v>
      </c>
      <c r="M846" s="0" t="s">
        <v>4209</v>
      </c>
      <c r="N846" s="0" t="str">
        <f aca="false">RIGHT(M846,LEN(M846)-FIND(" ",M846))</f>
        <v>EUCLID PL NE</v>
      </c>
      <c r="P846" s="0" t="s">
        <v>146</v>
      </c>
      <c r="Q846" s="0" t="s">
        <v>147</v>
      </c>
      <c r="R846" s="0" t="n">
        <v>44483</v>
      </c>
      <c r="AD846" s="0" t="s">
        <v>148</v>
      </c>
      <c r="AE846" s="0" t="s">
        <v>149</v>
      </c>
      <c r="AF846" s="0" t="s">
        <v>150</v>
      </c>
      <c r="AH846" s="0" t="n">
        <v>14</v>
      </c>
      <c r="AI846" s="0" t="n">
        <v>11</v>
      </c>
      <c r="AN846" s="0" t="s">
        <v>146</v>
      </c>
      <c r="AO846" s="0" t="s">
        <v>236</v>
      </c>
      <c r="AP846" s="0" t="s">
        <v>237</v>
      </c>
      <c r="AQ846" s="0" t="n">
        <v>9</v>
      </c>
      <c r="AR846" s="0" t="n">
        <v>64</v>
      </c>
      <c r="AS846" s="0" t="n">
        <v>32</v>
      </c>
      <c r="AU846" s="0" t="n">
        <f aca="false">COUNTA($BA$625:$EH$625)</f>
        <v>33</v>
      </c>
      <c r="AV846" s="0" t="n">
        <f aca="false">COUNTIF($BA$625:$EH$625,"D")</f>
        <v>7</v>
      </c>
      <c r="AW846" s="0" t="n">
        <f aca="false">COUNTIF($BA$625:$EH$625,"R")</f>
        <v>0</v>
      </c>
      <c r="AX846" s="0" t="n">
        <f aca="false"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>0</v>
      </c>
      <c r="AY846" s="0" t="n">
        <f aca="false">COUNTIF(DU846:EH846, "&lt;&gt;")</f>
        <v>2</v>
      </c>
      <c r="AZ846" s="0" t="n">
        <f aca="false">IF(EH846&lt;&gt;"",1,0)</f>
        <v>0</v>
      </c>
      <c r="BB846" s="0" t="s">
        <v>153</v>
      </c>
      <c r="CP846" s="0" t="s">
        <v>154</v>
      </c>
      <c r="DC846" s="0" t="s">
        <v>154</v>
      </c>
      <c r="DN846" s="0" t="s">
        <v>154</v>
      </c>
      <c r="DU846" s="0" t="s">
        <v>154</v>
      </c>
      <c r="EF846" s="0" t="s">
        <v>154</v>
      </c>
    </row>
    <row r="847" customFormat="false" ht="13.8" hidden="true" customHeight="false" outlineLevel="0" collapsed="false">
      <c r="A847" s="0" t="s">
        <v>4212</v>
      </c>
      <c r="B847" s="0" t="n">
        <v>78</v>
      </c>
      <c r="C847" s="0" t="n">
        <v>464962</v>
      </c>
      <c r="D847" s="0" t="s">
        <v>4213</v>
      </c>
      <c r="E847" s="0" t="s">
        <v>4214</v>
      </c>
      <c r="F847" s="0" t="str">
        <f aca="false">CONCATENATE(D847," ",LEFT(H847,4),"T=",AU847,"D=",AV847,"R=",AW847,"M=",AX847,"L=",AY847,"B=",AZ847)</f>
        <v>CANNON T=9D=2R=0M=0L=0B=0</v>
      </c>
      <c r="G847" s="0" t="s">
        <v>188</v>
      </c>
      <c r="I847" s="0" t="s">
        <v>4215</v>
      </c>
      <c r="J847" s="0" t="s">
        <v>4216</v>
      </c>
      <c r="K847" s="0" t="s">
        <v>175</v>
      </c>
      <c r="L847" s="0"/>
      <c r="M847" s="0" t="s">
        <v>4217</v>
      </c>
      <c r="N847" s="0" t="str">
        <f aca="false">RIGHT(M847,LEN(M847)-FIND(" ",M847))</f>
        <v>FEDERAL ST NE</v>
      </c>
      <c r="P847" s="0" t="s">
        <v>146</v>
      </c>
      <c r="Q847" s="0" t="s">
        <v>147</v>
      </c>
      <c r="R847" s="0" t="n">
        <v>44483</v>
      </c>
      <c r="AD847" s="0" t="s">
        <v>148</v>
      </c>
      <c r="AE847" s="0" t="s">
        <v>149</v>
      </c>
      <c r="AF847" s="0" t="s">
        <v>150</v>
      </c>
      <c r="AH847" s="0" t="n">
        <v>14</v>
      </c>
      <c r="AI847" s="0" t="n">
        <v>11</v>
      </c>
      <c r="AN847" s="0" t="s">
        <v>146</v>
      </c>
      <c r="AO847" s="0" t="s">
        <v>250</v>
      </c>
      <c r="AP847" s="0" t="s">
        <v>251</v>
      </c>
      <c r="AQ847" s="0" t="n">
        <v>9</v>
      </c>
      <c r="AR847" s="0" t="n">
        <v>64</v>
      </c>
      <c r="AS847" s="0" t="n">
        <v>32</v>
      </c>
      <c r="AU847" s="0" t="n">
        <f aca="false">COUNTA($BA$2343:$EH$2343)</f>
        <v>9</v>
      </c>
      <c r="AV847" s="0" t="n">
        <f aca="false">COUNTIF($BA$2343:$EH$2343,"D")</f>
        <v>2</v>
      </c>
      <c r="AW847" s="0" t="n">
        <f aca="false">COUNTIF($BA$2343:$EH$2343,"R")</f>
        <v>0</v>
      </c>
      <c r="AX847" s="0" t="n">
        <f aca="false"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>0</v>
      </c>
      <c r="AY847" s="0" t="n">
        <f aca="false">COUNTIF(DU847:EH847, "&lt;&gt;")</f>
        <v>0</v>
      </c>
      <c r="AZ847" s="0" t="n">
        <f aca="false">IF(EH847&lt;&gt;"",1,0)</f>
        <v>0</v>
      </c>
      <c r="BB847" s="0" t="s">
        <v>153</v>
      </c>
    </row>
    <row r="848" customFormat="false" ht="13.8" hidden="true" customHeight="false" outlineLevel="0" collapsed="false">
      <c r="A848" s="0" t="s">
        <v>4218</v>
      </c>
      <c r="B848" s="0" t="n">
        <v>78</v>
      </c>
      <c r="C848" s="0" t="n">
        <v>438751</v>
      </c>
      <c r="D848" s="0" t="s">
        <v>4219</v>
      </c>
      <c r="E848" s="0" t="s">
        <v>4220</v>
      </c>
      <c r="F848" s="0" t="str">
        <f aca="false">CONCATENATE(D848," ",LEFT(H848,4),"T=",AU848,"D=",AV848,"R=",AW848,"M=",AX848,"L=",AY848,"B=",AZ848)</f>
        <v>HOWARD T=18D=1R=2M=0L=0B=0</v>
      </c>
      <c r="G848" s="0" t="s">
        <v>4221</v>
      </c>
      <c r="I848" s="0" t="s">
        <v>4222</v>
      </c>
      <c r="J848" s="0" t="s">
        <v>4223</v>
      </c>
      <c r="K848" s="0" t="s">
        <v>144</v>
      </c>
      <c r="L848" s="0"/>
      <c r="M848" s="0" t="s">
        <v>4217</v>
      </c>
      <c r="N848" s="0" t="str">
        <f aca="false">RIGHT(M848,LEN(M848)-FIND(" ",M848))</f>
        <v>FEDERAL ST NE</v>
      </c>
      <c r="P848" s="0" t="s">
        <v>146</v>
      </c>
      <c r="Q848" s="0" t="s">
        <v>147</v>
      </c>
      <c r="R848" s="0" t="n">
        <v>44483</v>
      </c>
      <c r="AD848" s="0" t="s">
        <v>148</v>
      </c>
      <c r="AE848" s="0" t="s">
        <v>149</v>
      </c>
      <c r="AF848" s="0" t="s">
        <v>150</v>
      </c>
      <c r="AH848" s="0" t="n">
        <v>14</v>
      </c>
      <c r="AI848" s="0" t="n">
        <v>11</v>
      </c>
      <c r="AN848" s="0" t="s">
        <v>146</v>
      </c>
      <c r="AO848" s="0" t="s">
        <v>250</v>
      </c>
      <c r="AP848" s="0" t="s">
        <v>251</v>
      </c>
      <c r="AQ848" s="0" t="n">
        <v>9</v>
      </c>
      <c r="AR848" s="0" t="n">
        <v>64</v>
      </c>
      <c r="AS848" s="0" t="n">
        <v>32</v>
      </c>
      <c r="AU848" s="0" t="n">
        <f aca="false">COUNTA($BA$2527:$EH$2527)</f>
        <v>18</v>
      </c>
      <c r="AV848" s="0" t="n">
        <f aca="false">COUNTIF($BA$2527:$EH$2527,"D")</f>
        <v>1</v>
      </c>
      <c r="AW848" s="0" t="n">
        <f aca="false">COUNTIF($BA$2527:$EH$2527,"R")</f>
        <v>2</v>
      </c>
      <c r="AX848" s="0" t="n">
        <f aca="false"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>0</v>
      </c>
      <c r="AY848" s="0" t="n">
        <f aca="false">COUNTIF(DU848:EH848, "&lt;&gt;")</f>
        <v>0</v>
      </c>
      <c r="AZ848" s="0" t="n">
        <f aca="false">IF(EH848&lt;&gt;"",1,0)</f>
        <v>0</v>
      </c>
      <c r="BB848" s="0" t="s">
        <v>153</v>
      </c>
    </row>
    <row r="849" customFormat="false" ht="13.8" hidden="false" customHeight="false" outlineLevel="0" collapsed="false">
      <c r="A849" s="0" t="s">
        <v>4224</v>
      </c>
      <c r="B849" s="0" t="n">
        <v>78</v>
      </c>
      <c r="C849" s="0" t="n">
        <v>164248</v>
      </c>
      <c r="D849" s="0" t="s">
        <v>4225</v>
      </c>
      <c r="E849" s="0" t="s">
        <v>399</v>
      </c>
      <c r="F849" s="0" t="str">
        <f aca="false">CONCATENATE(D849," ",LEFT(H849,4),"T=",AU849,"D=",AV849,"R=",AW849,"M=",AX849,"L=",AY849,"B=",AZ849)</f>
        <v>CRENSHAW FOLMAR T=1D=0R=0M=8L=6B=1</v>
      </c>
      <c r="I849" s="0" t="s">
        <v>4108</v>
      </c>
      <c r="J849" s="0" t="s">
        <v>4226</v>
      </c>
      <c r="K849" s="0" t="s">
        <v>175</v>
      </c>
      <c r="L849" s="1" t="s">
        <v>155</v>
      </c>
      <c r="M849" s="0" t="s">
        <v>4227</v>
      </c>
      <c r="N849" s="0" t="str">
        <f aca="false">RIGHT(M849,LEN(M849)-FIND(" ",M849))</f>
        <v>FEDERAL ST NE</v>
      </c>
      <c r="P849" s="0" t="s">
        <v>146</v>
      </c>
      <c r="Q849" s="0" t="s">
        <v>147</v>
      </c>
      <c r="R849" s="0" t="n">
        <v>44483</v>
      </c>
      <c r="AD849" s="0" t="s">
        <v>148</v>
      </c>
      <c r="AE849" s="0" t="s">
        <v>149</v>
      </c>
      <c r="AF849" s="0" t="s">
        <v>150</v>
      </c>
      <c r="AH849" s="0" t="n">
        <v>14</v>
      </c>
      <c r="AI849" s="0" t="n">
        <v>11</v>
      </c>
      <c r="AN849" s="0" t="s">
        <v>146</v>
      </c>
      <c r="AO849" s="0" t="s">
        <v>250</v>
      </c>
      <c r="AP849" s="0" t="s">
        <v>251</v>
      </c>
      <c r="AQ849" s="0" t="n">
        <v>9</v>
      </c>
      <c r="AR849" s="0" t="n">
        <v>64</v>
      </c>
      <c r="AS849" s="0" t="n">
        <v>32</v>
      </c>
      <c r="AU849" s="0" t="n">
        <f aca="false">COUNTA($BA$2430:$EH$2430)</f>
        <v>1</v>
      </c>
      <c r="AV849" s="0" t="n">
        <f aca="false">COUNTIF($BA$2430:$EH$2430,"D")</f>
        <v>0</v>
      </c>
      <c r="AW849" s="0" t="n">
        <f aca="false">COUNTIF($BA$2430:$EH$2430,"R")</f>
        <v>0</v>
      </c>
      <c r="AX849" s="0" t="n">
        <f aca="false"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>8</v>
      </c>
      <c r="AY849" s="0" t="n">
        <f aca="false">COUNTIF(DU849:EH849, "&lt;&gt;")</f>
        <v>6</v>
      </c>
      <c r="AZ849" s="0" t="n">
        <f aca="false">IF(EH849&lt;&gt;"",1,0)</f>
        <v>1</v>
      </c>
      <c r="BB849" s="0" t="s">
        <v>153</v>
      </c>
      <c r="BC849" s="0" t="s">
        <v>154</v>
      </c>
      <c r="BD849" s="0" t="s">
        <v>154</v>
      </c>
      <c r="BE849" s="0" t="s">
        <v>154</v>
      </c>
      <c r="BF849" s="0" t="s">
        <v>154</v>
      </c>
      <c r="BH849" s="0" t="s">
        <v>154</v>
      </c>
      <c r="BJ849" s="0" t="s">
        <v>154</v>
      </c>
      <c r="BK849" s="0" t="s">
        <v>154</v>
      </c>
      <c r="BL849" s="0" t="s">
        <v>154</v>
      </c>
      <c r="BP849" s="0" t="s">
        <v>154</v>
      </c>
      <c r="BS849" s="0" t="s">
        <v>154</v>
      </c>
      <c r="BV849" s="0" t="s">
        <v>154</v>
      </c>
      <c r="BY849" s="0" t="s">
        <v>155</v>
      </c>
      <c r="CA849" s="0" t="s">
        <v>154</v>
      </c>
      <c r="CG849" s="0" t="s">
        <v>154</v>
      </c>
      <c r="CH849" s="0" t="s">
        <v>155</v>
      </c>
      <c r="CK849" s="0" t="s">
        <v>154</v>
      </c>
      <c r="CL849" s="0" t="s">
        <v>155</v>
      </c>
      <c r="CN849" s="0" t="s">
        <v>154</v>
      </c>
      <c r="CO849" s="0" t="s">
        <v>155</v>
      </c>
      <c r="CP849" s="0" t="s">
        <v>154</v>
      </c>
      <c r="CQ849" s="0" t="s">
        <v>155</v>
      </c>
      <c r="CT849" s="0" t="s">
        <v>154</v>
      </c>
      <c r="CU849" s="0" t="s">
        <v>155</v>
      </c>
      <c r="CV849" s="0" t="s">
        <v>154</v>
      </c>
      <c r="CW849" s="0" t="s">
        <v>155</v>
      </c>
      <c r="CY849" s="0" t="s">
        <v>154</v>
      </c>
      <c r="CZ849" s="0" t="s">
        <v>155</v>
      </c>
      <c r="DC849" s="0" t="s">
        <v>154</v>
      </c>
      <c r="DD849" s="0" t="s">
        <v>155</v>
      </c>
      <c r="DF849" s="0" t="s">
        <v>154</v>
      </c>
      <c r="DG849" s="0" t="s">
        <v>155</v>
      </c>
      <c r="DI849" s="0" t="s">
        <v>154</v>
      </c>
      <c r="DJ849" s="0" t="s">
        <v>155</v>
      </c>
      <c r="DL849" s="0" t="s">
        <v>154</v>
      </c>
      <c r="DM849" s="0" t="s">
        <v>155</v>
      </c>
      <c r="DN849" s="0" t="s">
        <v>154</v>
      </c>
      <c r="DO849" s="0" t="s">
        <v>155</v>
      </c>
      <c r="DR849" s="0" t="s">
        <v>154</v>
      </c>
      <c r="DS849" s="0" t="s">
        <v>155</v>
      </c>
      <c r="DT849" s="0" t="s">
        <v>155</v>
      </c>
      <c r="DU849" s="0" t="s">
        <v>154</v>
      </c>
      <c r="DW849" s="0" t="s">
        <v>155</v>
      </c>
      <c r="DX849" s="0" t="s">
        <v>154</v>
      </c>
      <c r="ED849" s="0" t="s">
        <v>155</v>
      </c>
      <c r="EF849" s="0" t="s">
        <v>154</v>
      </c>
      <c r="EH849" s="0" t="s">
        <v>155</v>
      </c>
    </row>
    <row r="850" customFormat="false" ht="13.8" hidden="false" customHeight="false" outlineLevel="0" collapsed="false">
      <c r="A850" s="0" t="s">
        <v>4228</v>
      </c>
      <c r="B850" s="0" t="n">
        <v>78</v>
      </c>
      <c r="C850" s="0" t="n">
        <v>6526</v>
      </c>
      <c r="D850" s="0" t="s">
        <v>1244</v>
      </c>
      <c r="E850" s="0" t="s">
        <v>4229</v>
      </c>
      <c r="F850" s="0" t="str">
        <f aca="false">CONCATENATE(D850," ",LEFT(H850,4),"T=",AU850,"D=",AV850,"R=",AW850,"M=",AX850,"L=",AY850,"B=",AZ850)</f>
        <v>TAYLOR T=4D=0R=0M=7L=7B=1</v>
      </c>
      <c r="G850" s="0" t="s">
        <v>188</v>
      </c>
      <c r="I850" s="0" t="s">
        <v>4230</v>
      </c>
      <c r="J850" s="0" t="s">
        <v>4231</v>
      </c>
      <c r="K850" s="0" t="s">
        <v>175</v>
      </c>
      <c r="L850" s="1" t="s">
        <v>155</v>
      </c>
      <c r="M850" s="0" t="s">
        <v>4232</v>
      </c>
      <c r="N850" s="0" t="str">
        <f aca="false">RIGHT(M850,LEN(M850)-FIND(" ",M850))</f>
        <v>FEDERAL ST NE</v>
      </c>
      <c r="P850" s="0" t="s">
        <v>146</v>
      </c>
      <c r="Q850" s="0" t="s">
        <v>147</v>
      </c>
      <c r="R850" s="0" t="n">
        <v>44483</v>
      </c>
      <c r="V850" s="0" t="s">
        <v>4233</v>
      </c>
      <c r="X850" s="0" t="s">
        <v>146</v>
      </c>
      <c r="Y850" s="0" t="s">
        <v>147</v>
      </c>
      <c r="Z850" s="0" t="n">
        <v>44482</v>
      </c>
      <c r="AD850" s="0" t="s">
        <v>148</v>
      </c>
      <c r="AE850" s="0" t="s">
        <v>149</v>
      </c>
      <c r="AF850" s="0" t="s">
        <v>150</v>
      </c>
      <c r="AH850" s="0" t="n">
        <v>14</v>
      </c>
      <c r="AI850" s="0" t="n">
        <v>11</v>
      </c>
      <c r="AN850" s="0" t="s">
        <v>146</v>
      </c>
      <c r="AO850" s="0" t="s">
        <v>250</v>
      </c>
      <c r="AP850" s="0" t="s">
        <v>251</v>
      </c>
      <c r="AQ850" s="0" t="n">
        <v>9</v>
      </c>
      <c r="AR850" s="0" t="n">
        <v>64</v>
      </c>
      <c r="AS850" s="0" t="n">
        <v>32</v>
      </c>
      <c r="AU850" s="0" t="n">
        <f aca="false">COUNTA($BA$2428:$EH$2428)</f>
        <v>4</v>
      </c>
      <c r="AV850" s="0" t="n">
        <f aca="false">COUNTIF($BA$2428:$EH$2428,"D")</f>
        <v>0</v>
      </c>
      <c r="AW850" s="0" t="n">
        <f aca="false">COUNTIF($BA$2428:$EH$2428,"R")</f>
        <v>0</v>
      </c>
      <c r="AX850" s="0" t="n">
        <f aca="false"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>7</v>
      </c>
      <c r="AY850" s="0" t="n">
        <f aca="false">COUNTIF(DU850:EH850, "&lt;&gt;")</f>
        <v>7</v>
      </c>
      <c r="AZ850" s="0" t="n">
        <f aca="false">IF(EH850&lt;&gt;"",1,0)</f>
        <v>1</v>
      </c>
      <c r="BB850" s="0" t="s">
        <v>153</v>
      </c>
      <c r="BC850" s="0" t="s">
        <v>154</v>
      </c>
      <c r="BD850" s="0" t="s">
        <v>154</v>
      </c>
      <c r="BE850" s="0" t="s">
        <v>154</v>
      </c>
      <c r="BF850" s="0" t="s">
        <v>154</v>
      </c>
      <c r="BG850" s="0" t="s">
        <v>154</v>
      </c>
      <c r="BH850" s="0" t="s">
        <v>154</v>
      </c>
      <c r="BI850" s="0" t="s">
        <v>154</v>
      </c>
      <c r="BJ850" s="0" t="s">
        <v>154</v>
      </c>
      <c r="BK850" s="0" t="s">
        <v>154</v>
      </c>
      <c r="BL850" s="0" t="s">
        <v>154</v>
      </c>
      <c r="BP850" s="0" t="s">
        <v>154</v>
      </c>
      <c r="BR850" s="0" t="s">
        <v>154</v>
      </c>
      <c r="BS850" s="0" t="s">
        <v>154</v>
      </c>
      <c r="BV850" s="0" t="s">
        <v>154</v>
      </c>
      <c r="BY850" s="0" t="s">
        <v>155</v>
      </c>
      <c r="CA850" s="0" t="s">
        <v>154</v>
      </c>
      <c r="CG850" s="0" t="s">
        <v>154</v>
      </c>
      <c r="CK850" s="0" t="s">
        <v>154</v>
      </c>
      <c r="CL850" s="0" t="s">
        <v>155</v>
      </c>
      <c r="CN850" s="0" t="s">
        <v>154</v>
      </c>
      <c r="CP850" s="0" t="s">
        <v>154</v>
      </c>
      <c r="CQ850" s="0" t="s">
        <v>155</v>
      </c>
      <c r="CV850" s="0" t="s">
        <v>154</v>
      </c>
      <c r="CW850" s="0" t="s">
        <v>155</v>
      </c>
      <c r="CY850" s="0" t="s">
        <v>154</v>
      </c>
      <c r="CZ850" s="0" t="s">
        <v>155</v>
      </c>
      <c r="DC850" s="0" t="s">
        <v>154</v>
      </c>
      <c r="DD850" s="0" t="s">
        <v>155</v>
      </c>
      <c r="DG850" s="0" t="s">
        <v>155</v>
      </c>
      <c r="DI850" s="0" t="s">
        <v>154</v>
      </c>
      <c r="DJ850" s="0" t="s">
        <v>155</v>
      </c>
      <c r="DL850" s="0" t="s">
        <v>154</v>
      </c>
      <c r="DM850" s="0" t="s">
        <v>155</v>
      </c>
      <c r="DN850" s="0" t="s">
        <v>154</v>
      </c>
      <c r="DS850" s="0" t="s">
        <v>155</v>
      </c>
      <c r="DT850" s="0" t="s">
        <v>155</v>
      </c>
      <c r="DU850" s="0" t="s">
        <v>154</v>
      </c>
      <c r="DW850" s="0" t="s">
        <v>155</v>
      </c>
      <c r="DX850" s="0" t="s">
        <v>154</v>
      </c>
      <c r="EA850" s="0" t="s">
        <v>154</v>
      </c>
      <c r="ED850" s="0" t="s">
        <v>155</v>
      </c>
      <c r="EF850" s="0" t="s">
        <v>154</v>
      </c>
      <c r="EH850" s="0" t="s">
        <v>155</v>
      </c>
    </row>
    <row r="851" customFormat="false" ht="13.8" hidden="true" customHeight="false" outlineLevel="0" collapsed="false">
      <c r="A851" s="0" t="s">
        <v>4234</v>
      </c>
      <c r="B851" s="0" t="n">
        <v>78</v>
      </c>
      <c r="C851" s="0" t="n">
        <v>366363</v>
      </c>
      <c r="D851" s="0" t="s">
        <v>4235</v>
      </c>
      <c r="E851" s="0" t="s">
        <v>429</v>
      </c>
      <c r="F851" s="0" t="str">
        <f aca="false">CONCATENATE(D851," ",LEFT(H851,4),"T=",AU851,"D=",AV851,"R=",AW851,"M=",AX851,"L=",AY851,"B=",AZ851)</f>
        <v>ALLS T=4D=0R=0M=3L=0B=0</v>
      </c>
      <c r="G851" s="0" t="s">
        <v>166</v>
      </c>
      <c r="I851" s="0" t="s">
        <v>4236</v>
      </c>
      <c r="J851" s="0" t="s">
        <v>916</v>
      </c>
      <c r="K851" s="0" t="s">
        <v>144</v>
      </c>
      <c r="L851" s="0"/>
      <c r="M851" s="0" t="s">
        <v>4237</v>
      </c>
      <c r="N851" s="0" t="str">
        <f aca="false">RIGHT(M851,LEN(M851)-FIND(" ",M851))</f>
        <v>FEDERAL ST NE</v>
      </c>
      <c r="P851" s="0" t="s">
        <v>146</v>
      </c>
      <c r="Q851" s="0" t="s">
        <v>147</v>
      </c>
      <c r="R851" s="0" t="n">
        <v>44483</v>
      </c>
      <c r="AD851" s="0" t="s">
        <v>148</v>
      </c>
      <c r="AE851" s="0" t="s">
        <v>149</v>
      </c>
      <c r="AF851" s="0" t="s">
        <v>150</v>
      </c>
      <c r="AH851" s="0" t="n">
        <v>14</v>
      </c>
      <c r="AI851" s="0" t="n">
        <v>11</v>
      </c>
      <c r="AN851" s="0" t="s">
        <v>146</v>
      </c>
      <c r="AO851" s="0" t="s">
        <v>250</v>
      </c>
      <c r="AP851" s="0" t="s">
        <v>251</v>
      </c>
      <c r="AQ851" s="0" t="n">
        <v>9</v>
      </c>
      <c r="AR851" s="0" t="n">
        <v>64</v>
      </c>
      <c r="AS851" s="0" t="n">
        <v>32</v>
      </c>
      <c r="AU851" s="0" t="n">
        <f aca="false">COUNTA($BA$2337:$EH$2337)</f>
        <v>4</v>
      </c>
      <c r="AV851" s="0" t="n">
        <f aca="false">COUNTIF($BA$2337:$EH$2337,"D")</f>
        <v>0</v>
      </c>
      <c r="AW851" s="0" t="n">
        <f aca="false">COUNTIF($BA$2337:$EH$2337,"R")</f>
        <v>0</v>
      </c>
      <c r="AX851" s="0" t="n">
        <f aca="false"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>3</v>
      </c>
      <c r="AY851" s="0" t="n">
        <f aca="false">COUNTIF(DU851:EH851, "&lt;&gt;")</f>
        <v>0</v>
      </c>
      <c r="AZ851" s="0" t="n">
        <f aca="false">IF(EH851&lt;&gt;"",1,0)</f>
        <v>0</v>
      </c>
      <c r="BB851" s="0" t="s">
        <v>153</v>
      </c>
      <c r="CA851" s="0" t="s">
        <v>154</v>
      </c>
      <c r="CC851" s="0" t="s">
        <v>155</v>
      </c>
      <c r="CG851" s="0" t="s">
        <v>154</v>
      </c>
      <c r="CK851" s="0" t="s">
        <v>154</v>
      </c>
      <c r="CL851" s="0" t="s">
        <v>155</v>
      </c>
      <c r="CN851" s="0" t="s">
        <v>154</v>
      </c>
      <c r="CP851" s="0" t="s">
        <v>154</v>
      </c>
      <c r="CT851" s="0" t="s">
        <v>154</v>
      </c>
      <c r="CV851" s="0" t="s">
        <v>154</v>
      </c>
      <c r="CW851" s="0" t="s">
        <v>155</v>
      </c>
      <c r="CY851" s="0" t="s">
        <v>154</v>
      </c>
      <c r="CZ851" s="0" t="s">
        <v>155</v>
      </c>
      <c r="DC851" s="0" t="s">
        <v>154</v>
      </c>
      <c r="DI851" s="0" t="s">
        <v>154</v>
      </c>
    </row>
    <row r="852" customFormat="false" ht="13.8" hidden="false" customHeight="false" outlineLevel="0" collapsed="false">
      <c r="A852" s="0" t="s">
        <v>4238</v>
      </c>
      <c r="B852" s="0" t="n">
        <v>78</v>
      </c>
      <c r="C852" s="0" t="n">
        <v>6447</v>
      </c>
      <c r="D852" s="0" t="s">
        <v>4239</v>
      </c>
      <c r="E852" s="0" t="s">
        <v>3061</v>
      </c>
      <c r="F852" s="0" t="str">
        <f aca="false">CONCATENATE(D852," ",LEFT(H852,4),"T=",AU852,"D=",AV852,"R=",AW852,"M=",AX852,"L=",AY852,"B=",AZ852)</f>
        <v>CRENSHAW JRT=1D=0R=0M=3L=4B=0</v>
      </c>
      <c r="H852" s="0" t="s">
        <v>431</v>
      </c>
      <c r="I852" s="0" t="s">
        <v>4240</v>
      </c>
      <c r="J852" s="0" t="s">
        <v>4241</v>
      </c>
      <c r="K852" s="0" t="s">
        <v>175</v>
      </c>
      <c r="L852" s="1" t="s">
        <v>155</v>
      </c>
      <c r="M852" s="0" t="s">
        <v>4242</v>
      </c>
      <c r="N852" s="0" t="str">
        <f aca="false">RIGHT(M852,LEN(M852)-FIND(" ",M852))</f>
        <v>FEDERAL ST NE</v>
      </c>
      <c r="P852" s="0" t="s">
        <v>146</v>
      </c>
      <c r="Q852" s="0" t="s">
        <v>147</v>
      </c>
      <c r="R852" s="0" t="n">
        <v>44483</v>
      </c>
      <c r="AD852" s="0" t="s">
        <v>148</v>
      </c>
      <c r="AE852" s="0" t="s">
        <v>149</v>
      </c>
      <c r="AF852" s="0" t="s">
        <v>150</v>
      </c>
      <c r="AH852" s="0" t="n">
        <v>14</v>
      </c>
      <c r="AI852" s="0" t="n">
        <v>11</v>
      </c>
      <c r="AN852" s="0" t="s">
        <v>146</v>
      </c>
      <c r="AO852" s="0" t="s">
        <v>250</v>
      </c>
      <c r="AP852" s="0" t="s">
        <v>251</v>
      </c>
      <c r="AQ852" s="0" t="n">
        <v>9</v>
      </c>
      <c r="AR852" s="0" t="n">
        <v>64</v>
      </c>
      <c r="AS852" s="0" t="n">
        <v>32</v>
      </c>
      <c r="AU852" s="0" t="n">
        <f aca="false">COUNTA($BA$2072:$EH$2072)</f>
        <v>1</v>
      </c>
      <c r="AV852" s="0" t="n">
        <f aca="false">COUNTIF($BA$2072:$EH$2072,"D")</f>
        <v>0</v>
      </c>
      <c r="AW852" s="0" t="n">
        <f aca="false">COUNTIF($BA$2072:$EH$2072,"R")</f>
        <v>0</v>
      </c>
      <c r="AX852" s="0" t="n">
        <f aca="false"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>3</v>
      </c>
      <c r="AY852" s="0" t="n">
        <f aca="false">COUNTIF(DU852:EH852, "&lt;&gt;")</f>
        <v>4</v>
      </c>
      <c r="AZ852" s="0" t="n">
        <f aca="false">IF(EH852&lt;&gt;"",1,0)</f>
        <v>0</v>
      </c>
      <c r="BB852" s="0" t="s">
        <v>153</v>
      </c>
      <c r="BC852" s="0" t="s">
        <v>154</v>
      </c>
      <c r="BD852" s="0" t="s">
        <v>154</v>
      </c>
      <c r="BE852" s="0" t="s">
        <v>154</v>
      </c>
      <c r="BG852" s="0" t="s">
        <v>154</v>
      </c>
      <c r="BH852" s="0" t="s">
        <v>154</v>
      </c>
      <c r="BI852" s="0" t="s">
        <v>154</v>
      </c>
      <c r="BJ852" s="0" t="s">
        <v>154</v>
      </c>
      <c r="BK852" s="0" t="s">
        <v>154</v>
      </c>
      <c r="BL852" s="0" t="s">
        <v>154</v>
      </c>
      <c r="BP852" s="0" t="s">
        <v>154</v>
      </c>
      <c r="BR852" s="0" t="s">
        <v>154</v>
      </c>
      <c r="BS852" s="0" t="s">
        <v>154</v>
      </c>
      <c r="BV852" s="0" t="s">
        <v>154</v>
      </c>
      <c r="BY852" s="0" t="s">
        <v>155</v>
      </c>
      <c r="CA852" s="0" t="s">
        <v>154</v>
      </c>
      <c r="CG852" s="0" t="s">
        <v>154</v>
      </c>
      <c r="CH852" s="0" t="s">
        <v>155</v>
      </c>
      <c r="CK852" s="0" t="s">
        <v>154</v>
      </c>
      <c r="CL852" s="0" t="s">
        <v>155</v>
      </c>
      <c r="CN852" s="0" t="s">
        <v>154</v>
      </c>
      <c r="CP852" s="0" t="s">
        <v>154</v>
      </c>
      <c r="CQ852" s="0" t="s">
        <v>155</v>
      </c>
      <c r="CT852" s="0" t="s">
        <v>154</v>
      </c>
      <c r="CV852" s="0" t="s">
        <v>154</v>
      </c>
      <c r="CY852" s="0" t="s">
        <v>154</v>
      </c>
      <c r="CZ852" s="0" t="s">
        <v>155</v>
      </c>
      <c r="DC852" s="0" t="s">
        <v>154</v>
      </c>
      <c r="DF852" s="0" t="s">
        <v>154</v>
      </c>
      <c r="DI852" s="0" t="s">
        <v>154</v>
      </c>
      <c r="DL852" s="0" t="s">
        <v>154</v>
      </c>
      <c r="DN852" s="0" t="s">
        <v>154</v>
      </c>
      <c r="DU852" s="0" t="s">
        <v>154</v>
      </c>
      <c r="DW852" s="0" t="s">
        <v>155</v>
      </c>
      <c r="DX852" s="0" t="s">
        <v>154</v>
      </c>
      <c r="EF852" s="0" t="s">
        <v>154</v>
      </c>
    </row>
    <row r="853" customFormat="false" ht="13.8" hidden="true" customHeight="false" outlineLevel="0" collapsed="false">
      <c r="A853" s="0" t="s">
        <v>4243</v>
      </c>
      <c r="B853" s="0" t="n">
        <v>78</v>
      </c>
      <c r="C853" s="0" t="n">
        <v>454725</v>
      </c>
      <c r="D853" s="0" t="s">
        <v>856</v>
      </c>
      <c r="E853" s="0" t="s">
        <v>4244</v>
      </c>
      <c r="F853" s="0" t="str">
        <f aca="false">CONCATENATE(D853," ",LEFT(H853,4),"T=",AU853,"D=",AV853,"R=",AW853,"M=",AX853,"L=",AY853,"B=",AZ853)</f>
        <v>JONES T=8D=1R=0M=0L=0B=0</v>
      </c>
      <c r="G853" s="0" t="s">
        <v>216</v>
      </c>
      <c r="I853" s="0" t="s">
        <v>4245</v>
      </c>
      <c r="J853" s="0" t="s">
        <v>1764</v>
      </c>
      <c r="K853" s="0" t="s">
        <v>144</v>
      </c>
      <c r="L853" s="0"/>
      <c r="M853" s="0" t="s">
        <v>4246</v>
      </c>
      <c r="N853" s="0" t="str">
        <f aca="false">RIGHT(M853,LEN(M853)-FIND(" ",M853))</f>
        <v>FEDERAL ST NE</v>
      </c>
      <c r="P853" s="0" t="s">
        <v>146</v>
      </c>
      <c r="Q853" s="0" t="s">
        <v>147</v>
      </c>
      <c r="R853" s="0" t="n">
        <v>44483</v>
      </c>
      <c r="AD853" s="0" t="s">
        <v>148</v>
      </c>
      <c r="AE853" s="0" t="s">
        <v>149</v>
      </c>
      <c r="AF853" s="0" t="s">
        <v>150</v>
      </c>
      <c r="AH853" s="0" t="n">
        <v>14</v>
      </c>
      <c r="AI853" s="0" t="n">
        <v>11</v>
      </c>
      <c r="AN853" s="0" t="s">
        <v>146</v>
      </c>
      <c r="AO853" s="0" t="s">
        <v>250</v>
      </c>
      <c r="AP853" s="0" t="s">
        <v>251</v>
      </c>
      <c r="AQ853" s="0" t="n">
        <v>9</v>
      </c>
      <c r="AR853" s="0" t="n">
        <v>64</v>
      </c>
      <c r="AS853" s="0" t="n">
        <v>32</v>
      </c>
      <c r="AU853" s="0" t="n">
        <f aca="false">COUNTA($BA$2276:$EH$2276)</f>
        <v>8</v>
      </c>
      <c r="AV853" s="0" t="n">
        <f aca="false">COUNTIF($BA$2276:$EH$2276,"D")</f>
        <v>1</v>
      </c>
      <c r="AW853" s="0" t="n">
        <f aca="false">COUNTIF($BA$2276:$EH$2276,"R")</f>
        <v>0</v>
      </c>
      <c r="AX853" s="0" t="n">
        <f aca="false"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>0</v>
      </c>
      <c r="AY853" s="0" t="n">
        <f aca="false">COUNTIF(DU853:EH853, "&lt;&gt;")</f>
        <v>0</v>
      </c>
      <c r="AZ853" s="0" t="n">
        <f aca="false">IF(EH853&lt;&gt;"",1,0)</f>
        <v>0</v>
      </c>
      <c r="BB853" s="0" t="s">
        <v>153</v>
      </c>
      <c r="BL853" s="0" t="s">
        <v>154</v>
      </c>
      <c r="CA853" s="0" t="s">
        <v>154</v>
      </c>
      <c r="DN853" s="0" t="s">
        <v>154</v>
      </c>
    </row>
    <row r="854" customFormat="false" ht="13.8" hidden="true" customHeight="false" outlineLevel="0" collapsed="false">
      <c r="A854" s="0" t="s">
        <v>4247</v>
      </c>
      <c r="B854" s="0" t="n">
        <v>78</v>
      </c>
      <c r="C854" s="0" t="n">
        <v>461186</v>
      </c>
      <c r="D854" s="0" t="s">
        <v>4248</v>
      </c>
      <c r="E854" s="0" t="s">
        <v>762</v>
      </c>
      <c r="F854" s="0" t="str">
        <f aca="false">CONCATENATE(D854," ",LEFT(H854,4),"T=",AU854,"D=",AV854,"R=",AW854,"M=",AX854,"L=",AY854,"B=",AZ854)</f>
        <v>KLUG T=37D=10R=0M=0L=0B=0</v>
      </c>
      <c r="G854" s="0" t="s">
        <v>1295</v>
      </c>
      <c r="I854" s="0" t="s">
        <v>4249</v>
      </c>
      <c r="J854" s="0" t="s">
        <v>4250</v>
      </c>
      <c r="K854" s="0" t="s">
        <v>144</v>
      </c>
      <c r="L854" s="0"/>
      <c r="M854" s="0" t="s">
        <v>4251</v>
      </c>
      <c r="N854" s="0" t="str">
        <f aca="false">RIGHT(M854,LEN(M854)-FIND(" ",M854))</f>
        <v>FEDERAL ST NW</v>
      </c>
      <c r="P854" s="0" t="s">
        <v>146</v>
      </c>
      <c r="Q854" s="0" t="s">
        <v>147</v>
      </c>
      <c r="R854" s="0" t="n">
        <v>44483</v>
      </c>
      <c r="AD854" s="0" t="s">
        <v>148</v>
      </c>
      <c r="AE854" s="0" t="s">
        <v>149</v>
      </c>
      <c r="AF854" s="0" t="s">
        <v>150</v>
      </c>
      <c r="AH854" s="0" t="n">
        <v>14</v>
      </c>
      <c r="AI854" s="0" t="n">
        <v>11</v>
      </c>
      <c r="AN854" s="0" t="s">
        <v>146</v>
      </c>
      <c r="AO854" s="0" t="s">
        <v>250</v>
      </c>
      <c r="AP854" s="0" t="s">
        <v>251</v>
      </c>
      <c r="AQ854" s="0" t="n">
        <v>9</v>
      </c>
      <c r="AR854" s="0" t="n">
        <v>64</v>
      </c>
      <c r="AS854" s="0" t="n">
        <v>32</v>
      </c>
      <c r="AU854" s="0" t="n">
        <f aca="false">COUNTA($BA$2271:$EH$2271)</f>
        <v>37</v>
      </c>
      <c r="AV854" s="0" t="n">
        <f aca="false">COUNTIF($BA$2271:$EH$2271,"D")</f>
        <v>10</v>
      </c>
      <c r="AW854" s="0" t="n">
        <f aca="false">COUNTIF($BA$2271:$EH$2271,"R")</f>
        <v>0</v>
      </c>
      <c r="AX854" s="0" t="n">
        <f aca="false"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>0</v>
      </c>
      <c r="AY854" s="0" t="n">
        <f aca="false">COUNTIF(DU854:EH854, "&lt;&gt;")</f>
        <v>0</v>
      </c>
      <c r="AZ854" s="0" t="n">
        <f aca="false">IF(EH854&lt;&gt;"",1,0)</f>
        <v>0</v>
      </c>
      <c r="BB854" s="0" t="s">
        <v>153</v>
      </c>
    </row>
    <row r="855" customFormat="false" ht="13.8" hidden="true" customHeight="false" outlineLevel="0" collapsed="false">
      <c r="A855" s="0" t="s">
        <v>4252</v>
      </c>
      <c r="B855" s="0" t="n">
        <v>78</v>
      </c>
      <c r="C855" s="0" t="n">
        <v>439900</v>
      </c>
      <c r="D855" s="0" t="s">
        <v>4248</v>
      </c>
      <c r="E855" s="0" t="s">
        <v>344</v>
      </c>
      <c r="F855" s="0" t="str">
        <f aca="false">CONCATENATE(D855," ",LEFT(H855,4),"T=",AU855,"D=",AV855,"R=",AW855,"M=",AX855,"L=",AY855,"B=",AZ855)</f>
        <v>KLUG T=1D=0R=0M=0L=0B=0</v>
      </c>
      <c r="G855" s="0" t="s">
        <v>2759</v>
      </c>
      <c r="I855" s="0" t="s">
        <v>4253</v>
      </c>
      <c r="J855" s="0" t="s">
        <v>4254</v>
      </c>
      <c r="K855" s="0" t="s">
        <v>175</v>
      </c>
      <c r="L855" s="0"/>
      <c r="M855" s="0" t="s">
        <v>4251</v>
      </c>
      <c r="N855" s="0" t="str">
        <f aca="false">RIGHT(M855,LEN(M855)-FIND(" ",M855))</f>
        <v>FEDERAL ST NW</v>
      </c>
      <c r="P855" s="0" t="s">
        <v>146</v>
      </c>
      <c r="Q855" s="0" t="s">
        <v>147</v>
      </c>
      <c r="R855" s="0" t="n">
        <v>44483</v>
      </c>
      <c r="S855" s="0" t="n">
        <v>3224</v>
      </c>
      <c r="AD855" s="0" t="s">
        <v>148</v>
      </c>
      <c r="AE855" s="0" t="s">
        <v>149</v>
      </c>
      <c r="AF855" s="0" t="s">
        <v>150</v>
      </c>
      <c r="AH855" s="0" t="n">
        <v>14</v>
      </c>
      <c r="AI855" s="0" t="n">
        <v>11</v>
      </c>
      <c r="AN855" s="0" t="s">
        <v>146</v>
      </c>
      <c r="AO855" s="0" t="s">
        <v>250</v>
      </c>
      <c r="AP855" s="0" t="s">
        <v>251</v>
      </c>
      <c r="AQ855" s="0" t="n">
        <v>9</v>
      </c>
      <c r="AR855" s="0" t="n">
        <v>64</v>
      </c>
      <c r="AS855" s="0" t="n">
        <v>32</v>
      </c>
      <c r="AU855" s="0" t="n">
        <f aca="false">COUNTA($BA$2692:$EH$2692)</f>
        <v>1</v>
      </c>
      <c r="AV855" s="0" t="n">
        <f aca="false">COUNTIF($BA$2692:$EH$2692,"D")</f>
        <v>0</v>
      </c>
      <c r="AW855" s="0" t="n">
        <f aca="false">COUNTIF($BA$2692:$EH$2692,"R")</f>
        <v>0</v>
      </c>
      <c r="AX855" s="0" t="n">
        <f aca="false"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>0</v>
      </c>
      <c r="AY855" s="0" t="n">
        <f aca="false">COUNTIF(DU855:EH855, "&lt;&gt;")</f>
        <v>0</v>
      </c>
      <c r="AZ855" s="0" t="n">
        <f aca="false">IF(EH855&lt;&gt;"",1,0)</f>
        <v>0</v>
      </c>
      <c r="BB855" s="0" t="s">
        <v>153</v>
      </c>
      <c r="DN855" s="0" t="s">
        <v>154</v>
      </c>
    </row>
    <row r="856" customFormat="false" ht="13.8" hidden="true" customHeight="false" outlineLevel="0" collapsed="false">
      <c r="A856" s="0" t="s">
        <v>4255</v>
      </c>
      <c r="B856" s="0" t="n">
        <v>78</v>
      </c>
      <c r="C856" s="0" t="n">
        <v>458425</v>
      </c>
      <c r="D856" s="0" t="s">
        <v>4256</v>
      </c>
      <c r="E856" s="0" t="s">
        <v>4257</v>
      </c>
      <c r="F856" s="0" t="str">
        <f aca="false">CONCATENATE(D856," ",LEFT(H856,4),"T=",AU856,"D=",AV856,"R=",AW856,"M=",AX856,"L=",AY856,"B=",AZ856)</f>
        <v>OTERO T=1D=0R=0M=0L=0B=0</v>
      </c>
      <c r="G856" s="0" t="s">
        <v>4258</v>
      </c>
      <c r="I856" s="0" t="s">
        <v>4259</v>
      </c>
      <c r="J856" s="0" t="s">
        <v>4260</v>
      </c>
      <c r="K856" s="0" t="s">
        <v>175</v>
      </c>
      <c r="L856" s="0"/>
      <c r="M856" s="0" t="s">
        <v>4261</v>
      </c>
      <c r="N856" s="0" t="str">
        <f aca="false">RIGHT(M856,LEN(M856)-FIND(" ",M856))</f>
        <v>FEDERAL ST NW</v>
      </c>
      <c r="P856" s="0" t="s">
        <v>146</v>
      </c>
      <c r="Q856" s="0" t="s">
        <v>147</v>
      </c>
      <c r="R856" s="0" t="n">
        <v>44483</v>
      </c>
      <c r="AD856" s="0" t="s">
        <v>148</v>
      </c>
      <c r="AE856" s="0" t="s">
        <v>149</v>
      </c>
      <c r="AF856" s="0" t="s">
        <v>150</v>
      </c>
      <c r="AH856" s="0" t="n">
        <v>14</v>
      </c>
      <c r="AI856" s="0" t="n">
        <v>11</v>
      </c>
      <c r="AN856" s="0" t="s">
        <v>146</v>
      </c>
      <c r="AO856" s="0" t="s">
        <v>250</v>
      </c>
      <c r="AP856" s="0" t="s">
        <v>251</v>
      </c>
      <c r="AQ856" s="0" t="n">
        <v>9</v>
      </c>
      <c r="AR856" s="0" t="n">
        <v>64</v>
      </c>
      <c r="AS856" s="0" t="n">
        <v>32</v>
      </c>
      <c r="AU856" s="0" t="n">
        <f aca="false">COUNTA($BA$2084:$EH$2084)</f>
        <v>1</v>
      </c>
      <c r="AV856" s="0" t="n">
        <f aca="false">COUNTIF($BA$2084:$EH$2084,"D")</f>
        <v>0</v>
      </c>
      <c r="AW856" s="0" t="n">
        <f aca="false">COUNTIF($BA$2084:$EH$2084,"R")</f>
        <v>0</v>
      </c>
      <c r="AX856" s="0" t="n">
        <f aca="false"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>0</v>
      </c>
      <c r="AY856" s="0" t="n">
        <f aca="false">COUNTIF(DU856:EH856, "&lt;&gt;")</f>
        <v>0</v>
      </c>
      <c r="AZ856" s="0" t="n">
        <f aca="false">IF(EH856&lt;&gt;"",1,0)</f>
        <v>0</v>
      </c>
      <c r="BB856" s="0" t="s">
        <v>153</v>
      </c>
    </row>
    <row r="857" customFormat="false" ht="13.8" hidden="true" customHeight="false" outlineLevel="0" collapsed="false">
      <c r="A857" s="0" t="s">
        <v>4262</v>
      </c>
      <c r="B857" s="0" t="n">
        <v>78</v>
      </c>
      <c r="C857" s="0" t="n">
        <v>458426</v>
      </c>
      <c r="D857" s="0" t="s">
        <v>4263</v>
      </c>
      <c r="E857" s="0" t="s">
        <v>4264</v>
      </c>
      <c r="F857" s="0" t="str">
        <f aca="false">CONCATENATE(D857," ",LEFT(H857,4),"T=",AU857,"D=",AV857,"R=",AW857,"M=",AX857,"L=",AY857,"B=",AZ857)</f>
        <v>RODRIGUEZ CINTRON T=10D=1R=0M=0L=0B=0</v>
      </c>
      <c r="I857" s="0" t="s">
        <v>4265</v>
      </c>
      <c r="J857" s="0" t="s">
        <v>4260</v>
      </c>
      <c r="K857" s="0" t="s">
        <v>144</v>
      </c>
      <c r="L857" s="0"/>
      <c r="M857" s="0" t="s">
        <v>4261</v>
      </c>
      <c r="N857" s="0" t="str">
        <f aca="false">RIGHT(M857,LEN(M857)-FIND(" ",M857))</f>
        <v>FEDERAL ST NW</v>
      </c>
      <c r="P857" s="0" t="s">
        <v>146</v>
      </c>
      <c r="Q857" s="0" t="s">
        <v>147</v>
      </c>
      <c r="R857" s="0" t="n">
        <v>44483</v>
      </c>
      <c r="AD857" s="0" t="s">
        <v>148</v>
      </c>
      <c r="AE857" s="0" t="s">
        <v>149</v>
      </c>
      <c r="AF857" s="0" t="s">
        <v>150</v>
      </c>
      <c r="AH857" s="0" t="n">
        <v>14</v>
      </c>
      <c r="AI857" s="0" t="n">
        <v>11</v>
      </c>
      <c r="AN857" s="0" t="s">
        <v>146</v>
      </c>
      <c r="AO857" s="0" t="s">
        <v>250</v>
      </c>
      <c r="AP857" s="0" t="s">
        <v>251</v>
      </c>
      <c r="AQ857" s="0" t="n">
        <v>9</v>
      </c>
      <c r="AR857" s="0" t="n">
        <v>64</v>
      </c>
      <c r="AS857" s="0" t="n">
        <v>32</v>
      </c>
      <c r="AU857" s="0" t="n">
        <f aca="false">COUNTA($BA$2277:$EH$2277)</f>
        <v>10</v>
      </c>
      <c r="AV857" s="0" t="n">
        <f aca="false">COUNTIF($BA$2277:$EH$2277,"D")</f>
        <v>1</v>
      </c>
      <c r="AW857" s="0" t="n">
        <f aca="false">COUNTIF($BA$2277:$EH$2277,"R")</f>
        <v>0</v>
      </c>
      <c r="AX857" s="0" t="n">
        <f aca="false"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>0</v>
      </c>
      <c r="AY857" s="0" t="n">
        <f aca="false">COUNTIF(DU857:EH857, "&lt;&gt;")</f>
        <v>0</v>
      </c>
      <c r="AZ857" s="0" t="n">
        <f aca="false">IF(EH857&lt;&gt;"",1,0)</f>
        <v>0</v>
      </c>
      <c r="BB857" s="0" t="s">
        <v>153</v>
      </c>
    </row>
    <row r="858" customFormat="false" ht="13.8" hidden="false" customHeight="false" outlineLevel="0" collapsed="false">
      <c r="A858" s="0" t="s">
        <v>4266</v>
      </c>
      <c r="B858" s="0" t="n">
        <v>78</v>
      </c>
      <c r="C858" s="0" t="n">
        <v>427287</v>
      </c>
      <c r="D858" s="0" t="s">
        <v>4267</v>
      </c>
      <c r="E858" s="0" t="s">
        <v>4268</v>
      </c>
      <c r="F858" s="0" t="str">
        <f aca="false">CONCATENATE(D858," ",LEFT(H858,4),"T=",AU858,"D=",AV858,"R=",AW858,"M=",AX858,"L=",AY858,"B=",AZ858)</f>
        <v>ACEVEDO GAETAN T=14D=3R=1M=0L=2B=0</v>
      </c>
      <c r="G858" s="0" t="s">
        <v>172</v>
      </c>
      <c r="I858" s="0" t="s">
        <v>4269</v>
      </c>
      <c r="J858" s="0" t="s">
        <v>4270</v>
      </c>
      <c r="K858" s="0" t="s">
        <v>175</v>
      </c>
      <c r="M858" s="0" t="s">
        <v>4271</v>
      </c>
      <c r="N858" s="0" t="str">
        <f aca="false">RIGHT(M858,LEN(M858)-FIND(" ",M858))</f>
        <v>FEDERAL ST NW</v>
      </c>
      <c r="P858" s="0" t="s">
        <v>146</v>
      </c>
      <c r="Q858" s="0" t="s">
        <v>147</v>
      </c>
      <c r="R858" s="0" t="n">
        <v>44483</v>
      </c>
      <c r="AD858" s="0" t="s">
        <v>148</v>
      </c>
      <c r="AE858" s="0" t="s">
        <v>149</v>
      </c>
      <c r="AF858" s="0" t="s">
        <v>150</v>
      </c>
      <c r="AH858" s="0" t="n">
        <v>14</v>
      </c>
      <c r="AI858" s="0" t="n">
        <v>11</v>
      </c>
      <c r="AN858" s="0" t="s">
        <v>146</v>
      </c>
      <c r="AO858" s="0" t="s">
        <v>250</v>
      </c>
      <c r="AP858" s="0" t="s">
        <v>251</v>
      </c>
      <c r="AQ858" s="0" t="n">
        <v>9</v>
      </c>
      <c r="AR858" s="0" t="n">
        <v>64</v>
      </c>
      <c r="AS858" s="0" t="n">
        <v>32</v>
      </c>
      <c r="AU858" s="0" t="n">
        <f aca="false">COUNTA($BA$2543:$EH$2543)</f>
        <v>14</v>
      </c>
      <c r="AV858" s="0" t="n">
        <f aca="false">COUNTIF($BA$2543:$EH$2543,"D")</f>
        <v>3</v>
      </c>
      <c r="AW858" s="0" t="n">
        <f aca="false">COUNTIF($BA$2543:$EH$2543,"R")</f>
        <v>1</v>
      </c>
      <c r="AX858" s="0" t="n">
        <f aca="false"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>0</v>
      </c>
      <c r="AY858" s="0" t="n">
        <f aca="false">COUNTIF(DU858:EH858, "&lt;&gt;")</f>
        <v>2</v>
      </c>
      <c r="AZ858" s="0" t="n">
        <f aca="false">IF(EH858&lt;&gt;"",1,0)</f>
        <v>0</v>
      </c>
      <c r="BB858" s="0" t="s">
        <v>153</v>
      </c>
      <c r="DI858" s="0" t="s">
        <v>154</v>
      </c>
      <c r="DN858" s="0" t="s">
        <v>154</v>
      </c>
      <c r="DU858" s="0" t="s">
        <v>154</v>
      </c>
      <c r="EA858" s="0" t="s">
        <v>154</v>
      </c>
    </row>
    <row r="859" customFormat="false" ht="13.8" hidden="true" customHeight="false" outlineLevel="0" collapsed="false">
      <c r="A859" s="0" t="s">
        <v>4272</v>
      </c>
      <c r="B859" s="0" t="n">
        <v>78</v>
      </c>
      <c r="C859" s="0" t="n">
        <v>418555</v>
      </c>
      <c r="D859" s="0" t="s">
        <v>4273</v>
      </c>
      <c r="E859" s="0" t="s">
        <v>4274</v>
      </c>
      <c r="F859" s="0" t="str">
        <f aca="false">CONCATENATE(D859," ",LEFT(H859,4),"T=",AU859,"D=",AV859,"R=",AW859,"M=",AX859,"L=",AY859,"B=",AZ859)</f>
        <v>ACEVEDO T=9D=1R=0M=0L=0B=0</v>
      </c>
      <c r="G859" s="0" t="s">
        <v>4268</v>
      </c>
      <c r="I859" s="0" t="s">
        <v>4275</v>
      </c>
      <c r="J859" s="0" t="s">
        <v>4276</v>
      </c>
      <c r="K859" s="0" t="s">
        <v>144</v>
      </c>
      <c r="L859" s="0"/>
      <c r="M859" s="0" t="s">
        <v>4271</v>
      </c>
      <c r="N859" s="0" t="str">
        <f aca="false">RIGHT(M859,LEN(M859)-FIND(" ",M859))</f>
        <v>FEDERAL ST NW</v>
      </c>
      <c r="P859" s="0" t="s">
        <v>146</v>
      </c>
      <c r="Q859" s="0" t="s">
        <v>147</v>
      </c>
      <c r="R859" s="0" t="n">
        <v>44483</v>
      </c>
      <c r="AD859" s="0" t="s">
        <v>148</v>
      </c>
      <c r="AE859" s="0" t="s">
        <v>149</v>
      </c>
      <c r="AF859" s="0" t="s">
        <v>150</v>
      </c>
      <c r="AH859" s="0" t="n">
        <v>14</v>
      </c>
      <c r="AI859" s="0" t="n">
        <v>11</v>
      </c>
      <c r="AN859" s="0" t="s">
        <v>146</v>
      </c>
      <c r="AO859" s="0" t="s">
        <v>250</v>
      </c>
      <c r="AP859" s="0" t="s">
        <v>251</v>
      </c>
      <c r="AQ859" s="0" t="n">
        <v>9</v>
      </c>
      <c r="AR859" s="0" t="n">
        <v>64</v>
      </c>
      <c r="AS859" s="0" t="n">
        <v>32</v>
      </c>
      <c r="AU859" s="0" t="n">
        <f aca="false">COUNTA($BA$2746:$EH$2746)</f>
        <v>9</v>
      </c>
      <c r="AV859" s="0" t="n">
        <f aca="false">COUNTIF($BA$2746:$EH$2746,"D")</f>
        <v>1</v>
      </c>
      <c r="AW859" s="0" t="n">
        <f aca="false">COUNTIF($BA$2746:$EH$2746,"R")</f>
        <v>0</v>
      </c>
      <c r="AX859" s="0" t="n">
        <f aca="false"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>0</v>
      </c>
      <c r="AY859" s="0" t="n">
        <f aca="false">COUNTIF(DU859:EH859, "&lt;&gt;")</f>
        <v>0</v>
      </c>
      <c r="AZ859" s="0" t="n">
        <f aca="false">IF(EH859&lt;&gt;"",1,0)</f>
        <v>0</v>
      </c>
      <c r="BB859" s="0" t="s">
        <v>153</v>
      </c>
    </row>
    <row r="860" customFormat="false" ht="13.8" hidden="true" customHeight="false" outlineLevel="0" collapsed="false">
      <c r="A860" s="0" t="s">
        <v>4277</v>
      </c>
      <c r="B860" s="0" t="n">
        <v>78</v>
      </c>
      <c r="C860" s="0" t="n">
        <v>406548</v>
      </c>
      <c r="D860" s="0" t="s">
        <v>830</v>
      </c>
      <c r="E860" s="0" t="s">
        <v>4278</v>
      </c>
      <c r="F860" s="0" t="str">
        <f aca="false">CONCATENATE(D860," ",LEFT(H860,4),"T=",AU860,"D=",AV860,"R=",AW860,"M=",AX860,"L=",AY860,"B=",AZ860)</f>
        <v>BRANTLEY T=1D=0R=0M=0L=0B=0</v>
      </c>
      <c r="G860" s="0" t="s">
        <v>297</v>
      </c>
      <c r="I860" s="0" t="s">
        <v>4279</v>
      </c>
      <c r="J860" s="0" t="s">
        <v>4280</v>
      </c>
      <c r="K860" s="0" t="s">
        <v>175</v>
      </c>
      <c r="L860" s="0"/>
      <c r="M860" s="0" t="s">
        <v>4281</v>
      </c>
      <c r="N860" s="0" t="str">
        <f aca="false">RIGHT(M860,LEN(M860)-FIND(" ",M860))</f>
        <v>FEDERAL ST NW</v>
      </c>
      <c r="P860" s="0" t="s">
        <v>146</v>
      </c>
      <c r="Q860" s="0" t="s">
        <v>147</v>
      </c>
      <c r="R860" s="0" t="n">
        <v>44483</v>
      </c>
      <c r="AD860" s="0" t="s">
        <v>148</v>
      </c>
      <c r="AE860" s="0" t="s">
        <v>149</v>
      </c>
      <c r="AF860" s="0" t="s">
        <v>150</v>
      </c>
      <c r="AH860" s="0" t="n">
        <v>14</v>
      </c>
      <c r="AI860" s="0" t="n">
        <v>11</v>
      </c>
      <c r="AN860" s="0" t="s">
        <v>146</v>
      </c>
      <c r="AO860" s="0" t="s">
        <v>250</v>
      </c>
      <c r="AP860" s="0" t="s">
        <v>251</v>
      </c>
      <c r="AQ860" s="0" t="n">
        <v>9</v>
      </c>
      <c r="AR860" s="0" t="n">
        <v>64</v>
      </c>
      <c r="AS860" s="0" t="n">
        <v>32</v>
      </c>
      <c r="AU860" s="0" t="n">
        <f aca="false">COUNTA($BA$2242:$EH$2242)</f>
        <v>1</v>
      </c>
      <c r="AV860" s="0" t="n">
        <f aca="false">COUNTIF($BA$2242:$EH$2242,"D")</f>
        <v>0</v>
      </c>
      <c r="AW860" s="0" t="n">
        <f aca="false">COUNTIF($BA$2242:$EH$2242,"R")</f>
        <v>0</v>
      </c>
      <c r="AX860" s="0" t="n">
        <f aca="false"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>0</v>
      </c>
      <c r="AY860" s="0" t="n">
        <f aca="false">COUNTIF(DU860:EH860, "&lt;&gt;")</f>
        <v>0</v>
      </c>
      <c r="AZ860" s="0" t="n">
        <f aca="false">IF(EH860&lt;&gt;"",1,0)</f>
        <v>0</v>
      </c>
      <c r="BB860" s="0" t="s">
        <v>153</v>
      </c>
    </row>
    <row r="861" customFormat="false" ht="13.8" hidden="false" customHeight="false" outlineLevel="0" collapsed="false">
      <c r="A861" s="0" t="s">
        <v>4282</v>
      </c>
      <c r="B861" s="0" t="n">
        <v>78</v>
      </c>
      <c r="C861" s="0" t="n">
        <v>305747</v>
      </c>
      <c r="D861" s="0" t="s">
        <v>4283</v>
      </c>
      <c r="E861" s="0" t="s">
        <v>2218</v>
      </c>
      <c r="F861" s="0" t="str">
        <f aca="false">CONCATENATE(D861," ",LEFT(H861,4),"T=",AU861,"D=",AV861,"R=",AW861,"M=",AX861,"L=",AY861,"B=",AZ861)</f>
        <v>CONNER T=3D=0R=0M=1L=7B=1</v>
      </c>
      <c r="G861" s="0" t="s">
        <v>196</v>
      </c>
      <c r="I861" s="0" t="s">
        <v>4284</v>
      </c>
      <c r="J861" s="0" t="s">
        <v>4285</v>
      </c>
      <c r="K861" s="0" t="s">
        <v>175</v>
      </c>
      <c r="L861" s="1" t="s">
        <v>176</v>
      </c>
      <c r="M861" s="0" t="s">
        <v>4286</v>
      </c>
      <c r="N861" s="0" t="str">
        <f aca="false">RIGHT(M861,LEN(M861)-FIND(" ",M861))</f>
        <v>FEDERAL ST NW</v>
      </c>
      <c r="P861" s="0" t="s">
        <v>146</v>
      </c>
      <c r="Q861" s="0" t="s">
        <v>147</v>
      </c>
      <c r="R861" s="0" t="n">
        <v>44483</v>
      </c>
      <c r="S861" s="0" t="n">
        <v>3224</v>
      </c>
      <c r="AD861" s="0" t="s">
        <v>148</v>
      </c>
      <c r="AE861" s="0" t="s">
        <v>149</v>
      </c>
      <c r="AF861" s="0" t="s">
        <v>150</v>
      </c>
      <c r="AH861" s="0" t="n">
        <v>14</v>
      </c>
      <c r="AI861" s="0" t="n">
        <v>11</v>
      </c>
      <c r="AN861" s="0" t="s">
        <v>146</v>
      </c>
      <c r="AO861" s="0" t="s">
        <v>250</v>
      </c>
      <c r="AP861" s="0" t="s">
        <v>251</v>
      </c>
      <c r="AQ861" s="0" t="n">
        <v>9</v>
      </c>
      <c r="AR861" s="0" t="n">
        <v>64</v>
      </c>
      <c r="AS861" s="0" t="n">
        <v>32</v>
      </c>
      <c r="AU861" s="0" t="n">
        <f aca="false">COUNTA($BA$2223:$EH$2223)</f>
        <v>3</v>
      </c>
      <c r="AV861" s="0" t="n">
        <f aca="false">COUNTIF($BA$2223:$EH$2223,"D")</f>
        <v>0</v>
      </c>
      <c r="AW861" s="0" t="n">
        <f aca="false">COUNTIF($BA$2223:$EH$2223,"R")</f>
        <v>0</v>
      </c>
      <c r="AX861" s="0" t="n">
        <f aca="false"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>1</v>
      </c>
      <c r="AY861" s="0" t="n">
        <f aca="false">COUNTIF(DU861:EH861, "&lt;&gt;")</f>
        <v>7</v>
      </c>
      <c r="AZ861" s="0" t="n">
        <f aca="false">IF(EH861&lt;&gt;"",1,0)</f>
        <v>1</v>
      </c>
      <c r="BB861" s="0" t="s">
        <v>153</v>
      </c>
      <c r="BV861" s="0" t="s">
        <v>154</v>
      </c>
      <c r="BY861" s="0" t="s">
        <v>155</v>
      </c>
      <c r="CA861" s="0" t="s">
        <v>154</v>
      </c>
      <c r="CG861" s="0" t="s">
        <v>154</v>
      </c>
      <c r="CK861" s="0" t="s">
        <v>154</v>
      </c>
      <c r="CP861" s="0" t="s">
        <v>154</v>
      </c>
      <c r="CV861" s="0" t="s">
        <v>154</v>
      </c>
      <c r="CY861" s="0" t="s">
        <v>154</v>
      </c>
      <c r="CZ861" s="0" t="s">
        <v>176</v>
      </c>
      <c r="DC861" s="0" t="s">
        <v>154</v>
      </c>
      <c r="DI861" s="0" t="s">
        <v>154</v>
      </c>
      <c r="DL861" s="0" t="s">
        <v>154</v>
      </c>
      <c r="DM861" s="0" t="s">
        <v>176</v>
      </c>
      <c r="DN861" s="0" t="s">
        <v>154</v>
      </c>
      <c r="DT861" s="0" t="s">
        <v>176</v>
      </c>
      <c r="DU861" s="0" t="s">
        <v>154</v>
      </c>
      <c r="DW861" s="0" t="s">
        <v>155</v>
      </c>
      <c r="DX861" s="0" t="s">
        <v>154</v>
      </c>
      <c r="EA861" s="0" t="s">
        <v>154</v>
      </c>
      <c r="ED861" s="0" t="s">
        <v>176</v>
      </c>
      <c r="EF861" s="0" t="s">
        <v>154</v>
      </c>
      <c r="EH861" s="0" t="s">
        <v>154</v>
      </c>
    </row>
    <row r="862" customFormat="false" ht="13.8" hidden="true" customHeight="false" outlineLevel="0" collapsed="false">
      <c r="A862" s="0" t="s">
        <v>4287</v>
      </c>
      <c r="B862" s="0" t="n">
        <v>78</v>
      </c>
      <c r="C862" s="0" t="n">
        <v>384923</v>
      </c>
      <c r="D862" s="0" t="s">
        <v>4288</v>
      </c>
      <c r="E862" s="0" t="s">
        <v>1545</v>
      </c>
      <c r="F862" s="0" t="str">
        <f aca="false">CONCATENATE(D862," ",LEFT(H862,4),"T=",AU862,"D=",AV862,"R=",AW862,"M=",AX862,"L=",AY862,"B=",AZ862)</f>
        <v>MAJOR T=2D=0R=0M=0L=0B=0</v>
      </c>
      <c r="I862" s="0" t="s">
        <v>3391</v>
      </c>
      <c r="J862" s="0" t="s">
        <v>395</v>
      </c>
      <c r="K862" s="0" t="s">
        <v>175</v>
      </c>
      <c r="L862" s="0"/>
      <c r="M862" s="0" t="s">
        <v>4289</v>
      </c>
      <c r="N862" s="0" t="str">
        <f aca="false">RIGHT(M862,LEN(M862)-FIND(" ",M862))</f>
        <v>FEDERAL ST NW</v>
      </c>
      <c r="P862" s="0" t="s">
        <v>146</v>
      </c>
      <c r="Q862" s="0" t="s">
        <v>147</v>
      </c>
      <c r="R862" s="0" t="n">
        <v>44483</v>
      </c>
      <c r="AD862" s="0" t="s">
        <v>148</v>
      </c>
      <c r="AE862" s="0" t="s">
        <v>149</v>
      </c>
      <c r="AF862" s="0" t="s">
        <v>150</v>
      </c>
      <c r="AH862" s="0" t="n">
        <v>14</v>
      </c>
      <c r="AI862" s="0" t="n">
        <v>11</v>
      </c>
      <c r="AN862" s="0" t="s">
        <v>146</v>
      </c>
      <c r="AO862" s="0" t="s">
        <v>250</v>
      </c>
      <c r="AP862" s="0" t="s">
        <v>251</v>
      </c>
      <c r="AQ862" s="0" t="n">
        <v>9</v>
      </c>
      <c r="AR862" s="0" t="n">
        <v>64</v>
      </c>
      <c r="AS862" s="0" t="n">
        <v>32</v>
      </c>
      <c r="AU862" s="0" t="n">
        <f aca="false">COUNTA($BA$2394:$EH$2394)</f>
        <v>2</v>
      </c>
      <c r="AV862" s="0" t="n">
        <f aca="false">COUNTIF($BA$2394:$EH$2394,"D")</f>
        <v>0</v>
      </c>
      <c r="AW862" s="0" t="n">
        <f aca="false">COUNTIF($BA$2394:$EH$2394,"R")</f>
        <v>0</v>
      </c>
      <c r="AX862" s="0" t="n">
        <f aca="false"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>0</v>
      </c>
      <c r="AY862" s="0" t="n">
        <f aca="false">COUNTIF(DU862:EH862, "&lt;&gt;")</f>
        <v>0</v>
      </c>
      <c r="AZ862" s="0" t="n">
        <f aca="false">IF(EH862&lt;&gt;"",1,0)</f>
        <v>0</v>
      </c>
      <c r="BB862" s="0" t="s">
        <v>153</v>
      </c>
      <c r="CP862" s="0" t="s">
        <v>154</v>
      </c>
      <c r="DC862" s="0" t="s">
        <v>154</v>
      </c>
    </row>
    <row r="863" customFormat="false" ht="13.8" hidden="false" customHeight="false" outlineLevel="0" collapsed="false">
      <c r="A863" s="0" t="s">
        <v>4290</v>
      </c>
      <c r="B863" s="0" t="n">
        <v>78</v>
      </c>
      <c r="C863" s="0" t="n">
        <v>399335</v>
      </c>
      <c r="D863" s="0" t="s">
        <v>4291</v>
      </c>
      <c r="E863" s="0" t="s">
        <v>750</v>
      </c>
      <c r="F863" s="0" t="str">
        <f aca="false">CONCATENATE(D863," ",LEFT(H863,4),"T=",AU863,"D=",AV863,"R=",AW863,"M=",AX863,"L=",AY863,"B=",AZ863)</f>
        <v>FRENCHKO T=11D=2R=0M=1L=7B=1</v>
      </c>
      <c r="G863" s="0" t="s">
        <v>2367</v>
      </c>
      <c r="I863" s="0" t="s">
        <v>4292</v>
      </c>
      <c r="J863" s="0" t="s">
        <v>4293</v>
      </c>
      <c r="K863" s="0" t="s">
        <v>175</v>
      </c>
      <c r="L863" s="1" t="s">
        <v>176</v>
      </c>
      <c r="M863" s="0" t="s">
        <v>4294</v>
      </c>
      <c r="N863" s="0" t="str">
        <f aca="false">RIGHT(M863,LEN(M863)-FIND(" ",M863))</f>
        <v>FEDERAL ST NW</v>
      </c>
      <c r="P863" s="0" t="s">
        <v>146</v>
      </c>
      <c r="Q863" s="0" t="s">
        <v>147</v>
      </c>
      <c r="R863" s="0" t="n">
        <v>44483</v>
      </c>
      <c r="AD863" s="0" t="s">
        <v>148</v>
      </c>
      <c r="AE863" s="0" t="s">
        <v>149</v>
      </c>
      <c r="AF863" s="0" t="s">
        <v>150</v>
      </c>
      <c r="AH863" s="0" t="n">
        <v>14</v>
      </c>
      <c r="AI863" s="0" t="n">
        <v>11</v>
      </c>
      <c r="AN863" s="0" t="s">
        <v>146</v>
      </c>
      <c r="AO863" s="0" t="s">
        <v>250</v>
      </c>
      <c r="AP863" s="0" t="s">
        <v>251</v>
      </c>
      <c r="AQ863" s="0" t="n">
        <v>9</v>
      </c>
      <c r="AR863" s="0" t="n">
        <v>64</v>
      </c>
      <c r="AS863" s="0" t="n">
        <v>32</v>
      </c>
      <c r="AU863" s="0" t="n">
        <f aca="false">COUNTA($BA$2187:$EH$2187)</f>
        <v>11</v>
      </c>
      <c r="AV863" s="0" t="n">
        <f aca="false">COUNTIF($BA$2187:$EH$2187,"D")</f>
        <v>2</v>
      </c>
      <c r="AW863" s="0" t="n">
        <f aca="false">COUNTIF($BA$2187:$EH$2187,"R")</f>
        <v>0</v>
      </c>
      <c r="AX863" s="0" t="n">
        <f aca="false"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>1</v>
      </c>
      <c r="AY863" s="0" t="n">
        <f aca="false">COUNTIF(DU863:EH863, "&lt;&gt;")</f>
        <v>7</v>
      </c>
      <c r="AZ863" s="0" t="n">
        <f aca="false">IF(EH863&lt;&gt;"",1,0)</f>
        <v>1</v>
      </c>
      <c r="BB863" s="0" t="s">
        <v>153</v>
      </c>
      <c r="CV863" s="0" t="s">
        <v>154</v>
      </c>
      <c r="CY863" s="0" t="s">
        <v>154</v>
      </c>
      <c r="CZ863" s="0" t="s">
        <v>176</v>
      </c>
      <c r="DC863" s="0" t="s">
        <v>154</v>
      </c>
      <c r="DI863" s="0" t="s">
        <v>154</v>
      </c>
      <c r="DL863" s="0" t="s">
        <v>154</v>
      </c>
      <c r="DM863" s="0" t="s">
        <v>176</v>
      </c>
      <c r="DN863" s="0" t="s">
        <v>154</v>
      </c>
      <c r="DT863" s="0" t="s">
        <v>176</v>
      </c>
      <c r="DU863" s="0" t="s">
        <v>154</v>
      </c>
      <c r="DW863" s="0" t="s">
        <v>155</v>
      </c>
      <c r="DX863" s="0" t="s">
        <v>154</v>
      </c>
      <c r="EA863" s="0" t="s">
        <v>154</v>
      </c>
      <c r="ED863" s="0" t="s">
        <v>176</v>
      </c>
      <c r="EF863" s="0" t="s">
        <v>154</v>
      </c>
      <c r="EH863" s="0" t="s">
        <v>154</v>
      </c>
    </row>
    <row r="864" customFormat="false" ht="13.8" hidden="true" customHeight="false" outlineLevel="0" collapsed="false">
      <c r="A864" s="0" t="s">
        <v>4295</v>
      </c>
      <c r="B864" s="0" t="n">
        <v>78</v>
      </c>
      <c r="C864" s="0" t="n">
        <v>494356</v>
      </c>
      <c r="D864" s="0" t="s">
        <v>4291</v>
      </c>
      <c r="E864" s="0" t="s">
        <v>750</v>
      </c>
      <c r="F864" s="0" t="str">
        <f aca="false">CONCATENATE(D864," ",LEFT(H864,4),"T=",AU864,"D=",AV864,"R=",AW864,"M=",AX864,"L=",AY864,"B=",AZ864)</f>
        <v>FRENCHKO T=1D=0R=0M=0L=0B=0</v>
      </c>
      <c r="G864" s="0" t="s">
        <v>842</v>
      </c>
      <c r="I864" s="0" t="s">
        <v>4296</v>
      </c>
      <c r="J864" s="0" t="s">
        <v>712</v>
      </c>
      <c r="K864" s="0" t="s">
        <v>175</v>
      </c>
      <c r="L864" s="0"/>
      <c r="M864" s="0" t="s">
        <v>4294</v>
      </c>
      <c r="N864" s="0" t="str">
        <f aca="false">RIGHT(M864,LEN(M864)-FIND(" ",M864))</f>
        <v>FEDERAL ST NW</v>
      </c>
      <c r="P864" s="0" t="s">
        <v>146</v>
      </c>
      <c r="Q864" s="0" t="s">
        <v>147</v>
      </c>
      <c r="R864" s="0" t="n">
        <v>44483</v>
      </c>
      <c r="AD864" s="0" t="s">
        <v>148</v>
      </c>
      <c r="AE864" s="0" t="s">
        <v>149</v>
      </c>
      <c r="AF864" s="0" t="s">
        <v>150</v>
      </c>
      <c r="AH864" s="0" t="n">
        <v>14</v>
      </c>
      <c r="AI864" s="0" t="n">
        <v>11</v>
      </c>
      <c r="AN864" s="0" t="s">
        <v>146</v>
      </c>
      <c r="AO864" s="0" t="s">
        <v>250</v>
      </c>
      <c r="AP864" s="0" t="s">
        <v>251</v>
      </c>
      <c r="AQ864" s="0" t="n">
        <v>9</v>
      </c>
      <c r="AR864" s="0" t="n">
        <v>64</v>
      </c>
      <c r="AS864" s="0" t="n">
        <v>32</v>
      </c>
      <c r="AU864" s="0" t="n">
        <f aca="false">COUNTA($BA$2196:$EH$2196)</f>
        <v>1</v>
      </c>
      <c r="AV864" s="0" t="n">
        <f aca="false">COUNTIF($BA$2196:$EH$2196,"D")</f>
        <v>0</v>
      </c>
      <c r="AW864" s="0" t="n">
        <f aca="false">COUNTIF($BA$2196:$EH$2196,"R")</f>
        <v>0</v>
      </c>
      <c r="AX864" s="0" t="n">
        <f aca="false"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>0</v>
      </c>
      <c r="AY864" s="0" t="n">
        <f aca="false">COUNTIF(DU864:EH864, "&lt;&gt;")</f>
        <v>0</v>
      </c>
      <c r="AZ864" s="0" t="n">
        <f aca="false">IF(EH864&lt;&gt;"",1,0)</f>
        <v>0</v>
      </c>
      <c r="BB864" s="0" t="s">
        <v>153</v>
      </c>
    </row>
    <row r="865" customFormat="false" ht="13.8" hidden="true" customHeight="false" outlineLevel="0" collapsed="false">
      <c r="A865" s="0" t="s">
        <v>4297</v>
      </c>
      <c r="B865" s="0" t="n">
        <v>78</v>
      </c>
      <c r="C865" s="0" t="n">
        <v>454685</v>
      </c>
      <c r="D865" s="0" t="s">
        <v>4219</v>
      </c>
      <c r="E865" s="0" t="s">
        <v>261</v>
      </c>
      <c r="F865" s="0" t="str">
        <f aca="false">CONCATENATE(D865," ",LEFT(H865,4),"T=",AU865,"D=",AV865,"R=",AW865,"M=",AX865,"L=",AY865,"B=",AZ865)</f>
        <v>HOWARD T=35D=0R=7M=0L=1B=0</v>
      </c>
      <c r="G865" s="0" t="s">
        <v>181</v>
      </c>
      <c r="I865" s="0" t="s">
        <v>4298</v>
      </c>
      <c r="J865" s="0" t="s">
        <v>977</v>
      </c>
      <c r="K865" s="0" t="s">
        <v>175</v>
      </c>
      <c r="L865" s="0"/>
      <c r="M865" s="0" t="s">
        <v>4299</v>
      </c>
      <c r="N865" s="0" t="str">
        <f aca="false">RIGHT(M865,LEN(M865)-FIND(" ",M865))</f>
        <v>FEDERAL ST NW</v>
      </c>
      <c r="P865" s="0" t="s">
        <v>146</v>
      </c>
      <c r="Q865" s="0" t="s">
        <v>147</v>
      </c>
      <c r="R865" s="0" t="n">
        <v>44483</v>
      </c>
      <c r="AD865" s="0" t="s">
        <v>148</v>
      </c>
      <c r="AE865" s="0" t="s">
        <v>149</v>
      </c>
      <c r="AF865" s="0" t="s">
        <v>150</v>
      </c>
      <c r="AH865" s="0" t="n">
        <v>14</v>
      </c>
      <c r="AI865" s="0" t="n">
        <v>11</v>
      </c>
      <c r="AN865" s="0" t="s">
        <v>146</v>
      </c>
      <c r="AO865" s="0" t="s">
        <v>250</v>
      </c>
      <c r="AP865" s="0" t="s">
        <v>251</v>
      </c>
      <c r="AQ865" s="0" t="n">
        <v>9</v>
      </c>
      <c r="AR865" s="0" t="n">
        <v>64</v>
      </c>
      <c r="AS865" s="0" t="n">
        <v>32</v>
      </c>
      <c r="AU865" s="0" t="n">
        <f aca="false">COUNTA($BA$2321:$EH$2321)</f>
        <v>35</v>
      </c>
      <c r="AV865" s="0" t="n">
        <f aca="false">COUNTIF($BA$2321:$EH$2321,"D")</f>
        <v>0</v>
      </c>
      <c r="AW865" s="0" t="n">
        <f aca="false">COUNTIF($BA$2321:$EH$2321,"R")</f>
        <v>7</v>
      </c>
      <c r="AX865" s="0" t="n">
        <f aca="false"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>0</v>
      </c>
      <c r="AY865" s="0" t="n">
        <f aca="false">COUNTIF(DU865:EH865, "&lt;&gt;")</f>
        <v>1</v>
      </c>
      <c r="AZ865" s="0" t="n">
        <f aca="false">IF(EH865&lt;&gt;"",1,0)</f>
        <v>0</v>
      </c>
      <c r="BB865" s="0" t="s">
        <v>153</v>
      </c>
      <c r="CA865" s="0" t="s">
        <v>154</v>
      </c>
      <c r="DC865" s="0" t="s">
        <v>154</v>
      </c>
      <c r="DU865" s="0" t="s">
        <v>154</v>
      </c>
    </row>
    <row r="866" customFormat="false" ht="13.8" hidden="true" customHeight="false" outlineLevel="0" collapsed="false">
      <c r="A866" s="0" t="s">
        <v>4300</v>
      </c>
      <c r="B866" s="0" t="n">
        <v>78</v>
      </c>
      <c r="C866" s="0" t="n">
        <v>456065</v>
      </c>
      <c r="D866" s="0" t="s">
        <v>1027</v>
      </c>
      <c r="E866" s="0" t="s">
        <v>2253</v>
      </c>
      <c r="F866" s="0" t="str">
        <f aca="false">CONCATENATE(D866," ",LEFT(H866,4),"T=",AU866,"D=",AV866,"R=",AW866,"M=",AX866,"L=",AY866,"B=",AZ866)</f>
        <v>MARTIN T=9D=1R=0M=0L=0B=0</v>
      </c>
      <c r="G866" s="0" t="s">
        <v>172</v>
      </c>
      <c r="I866" s="0" t="s">
        <v>4301</v>
      </c>
      <c r="J866" s="0" t="s">
        <v>4302</v>
      </c>
      <c r="K866" s="0" t="s">
        <v>175</v>
      </c>
      <c r="L866" s="0"/>
      <c r="M866" s="0" t="s">
        <v>4303</v>
      </c>
      <c r="N866" s="0" t="str">
        <f aca="false">RIGHT(M866,LEN(M866)-FIND(" ",M866))</f>
        <v>FEDERAL ST NW</v>
      </c>
      <c r="P866" s="0" t="s">
        <v>146</v>
      </c>
      <c r="Q866" s="0" t="s">
        <v>147</v>
      </c>
      <c r="R866" s="0" t="n">
        <v>44483</v>
      </c>
      <c r="AD866" s="0" t="s">
        <v>148</v>
      </c>
      <c r="AE866" s="0" t="s">
        <v>149</v>
      </c>
      <c r="AF866" s="0" t="s">
        <v>150</v>
      </c>
      <c r="AH866" s="0" t="n">
        <v>14</v>
      </c>
      <c r="AI866" s="0" t="n">
        <v>11</v>
      </c>
      <c r="AN866" s="0" t="s">
        <v>146</v>
      </c>
      <c r="AO866" s="0" t="s">
        <v>250</v>
      </c>
      <c r="AP866" s="0" t="s">
        <v>251</v>
      </c>
      <c r="AQ866" s="0" t="n">
        <v>9</v>
      </c>
      <c r="AR866" s="0" t="n">
        <v>64</v>
      </c>
      <c r="AS866" s="0" t="n">
        <v>32</v>
      </c>
      <c r="AU866" s="0" t="n">
        <f aca="false">COUNTA($BA$2256:$EH$2256)</f>
        <v>9</v>
      </c>
      <c r="AV866" s="0" t="n">
        <f aca="false">COUNTIF($BA$2256:$EH$2256,"D")</f>
        <v>1</v>
      </c>
      <c r="AW866" s="0" t="n">
        <f aca="false">COUNTIF($BA$2256:$EH$2256,"R")</f>
        <v>0</v>
      </c>
      <c r="AX866" s="0" t="n">
        <f aca="false"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>0</v>
      </c>
      <c r="AY866" s="0" t="n">
        <f aca="false">COUNTIF(DU866:EH866, "&lt;&gt;")</f>
        <v>0</v>
      </c>
      <c r="AZ866" s="0" t="n">
        <f aca="false">IF(EH866&lt;&gt;"",1,0)</f>
        <v>0</v>
      </c>
      <c r="BB866" s="0" t="s">
        <v>153</v>
      </c>
    </row>
    <row r="867" customFormat="false" ht="13.8" hidden="false" customHeight="false" outlineLevel="0" collapsed="false">
      <c r="A867" s="0" t="s">
        <v>4304</v>
      </c>
      <c r="B867" s="0" t="n">
        <v>78</v>
      </c>
      <c r="C867" s="0" t="n">
        <v>250757</v>
      </c>
      <c r="D867" s="0" t="s">
        <v>1083</v>
      </c>
      <c r="E867" s="0" t="s">
        <v>4305</v>
      </c>
      <c r="F867" s="0" t="str">
        <f aca="false">CONCATENATE(D867," ",LEFT(H867,4),"T=",AU867,"D=",AV867,"R=",AW867,"M=",AX867,"L=",AY867,"B=",AZ867)</f>
        <v>MATLOCK T=12D=1R=1M=3L=3B=0</v>
      </c>
      <c r="I867" s="0" t="s">
        <v>4306</v>
      </c>
      <c r="J867" s="0" t="s">
        <v>3535</v>
      </c>
      <c r="K867" s="0" t="s">
        <v>175</v>
      </c>
      <c r="L867" s="1" t="s">
        <v>155</v>
      </c>
      <c r="M867" s="0" t="s">
        <v>4307</v>
      </c>
      <c r="N867" s="0" t="str">
        <f aca="false">RIGHT(M867,LEN(M867)-FIND(" ",M867))</f>
        <v>FEDERAL ST NW</v>
      </c>
      <c r="P867" s="0" t="s">
        <v>146</v>
      </c>
      <c r="Q867" s="0" t="s">
        <v>147</v>
      </c>
      <c r="R867" s="0" t="n">
        <v>44483</v>
      </c>
      <c r="AD867" s="0" t="s">
        <v>148</v>
      </c>
      <c r="AE867" s="0" t="s">
        <v>149</v>
      </c>
      <c r="AF867" s="0" t="s">
        <v>150</v>
      </c>
      <c r="AH867" s="0" t="n">
        <v>14</v>
      </c>
      <c r="AI867" s="0" t="n">
        <v>11</v>
      </c>
      <c r="AN867" s="0" t="s">
        <v>146</v>
      </c>
      <c r="AO867" s="0" t="s">
        <v>250</v>
      </c>
      <c r="AP867" s="0" t="s">
        <v>251</v>
      </c>
      <c r="AQ867" s="0" t="n">
        <v>9</v>
      </c>
      <c r="AR867" s="0" t="n">
        <v>64</v>
      </c>
      <c r="AS867" s="0" t="n">
        <v>32</v>
      </c>
      <c r="AU867" s="0" t="n">
        <f aca="false">COUNTA($BA$2096:$EH$2096)</f>
        <v>12</v>
      </c>
      <c r="AV867" s="0" t="n">
        <f aca="false">COUNTIF($BA$2096:$EH$2096,"D")</f>
        <v>1</v>
      </c>
      <c r="AW867" s="0" t="n">
        <f aca="false">COUNTIF($BA$2096:$EH$2096,"R")</f>
        <v>1</v>
      </c>
      <c r="AX867" s="0" t="n">
        <f aca="false"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>3</v>
      </c>
      <c r="AY867" s="0" t="n">
        <f aca="false">COUNTIF(DU867:EH867, "&lt;&gt;")</f>
        <v>3</v>
      </c>
      <c r="AZ867" s="0" t="n">
        <f aca="false">IF(EH867&lt;&gt;"",1,0)</f>
        <v>0</v>
      </c>
      <c r="BB867" s="0" t="s">
        <v>153</v>
      </c>
      <c r="BD867" s="0" t="s">
        <v>154</v>
      </c>
      <c r="BK867" s="0" t="s">
        <v>154</v>
      </c>
      <c r="BL867" s="0" t="s">
        <v>154</v>
      </c>
      <c r="BY867" s="0" t="s">
        <v>155</v>
      </c>
      <c r="CK867" s="0" t="s">
        <v>154</v>
      </c>
      <c r="CL867" s="0" t="s">
        <v>155</v>
      </c>
      <c r="CN867" s="0" t="s">
        <v>154</v>
      </c>
      <c r="CP867" s="0" t="s">
        <v>154</v>
      </c>
      <c r="CT867" s="0" t="s">
        <v>154</v>
      </c>
      <c r="CV867" s="0" t="s">
        <v>154</v>
      </c>
      <c r="CW867" s="0" t="s">
        <v>155</v>
      </c>
      <c r="CY867" s="0" t="s">
        <v>154</v>
      </c>
      <c r="CZ867" s="0" t="s">
        <v>155</v>
      </c>
      <c r="DC867" s="0" t="s">
        <v>154</v>
      </c>
      <c r="DI867" s="0" t="s">
        <v>154</v>
      </c>
      <c r="DM867" s="0" t="s">
        <v>155</v>
      </c>
      <c r="DN867" s="0" t="s">
        <v>154</v>
      </c>
      <c r="DS867" s="0" t="s">
        <v>155</v>
      </c>
      <c r="DU867" s="0" t="s">
        <v>154</v>
      </c>
      <c r="DW867" s="0" t="s">
        <v>155</v>
      </c>
      <c r="EF867" s="0" t="s">
        <v>154</v>
      </c>
    </row>
    <row r="868" customFormat="false" ht="13.8" hidden="true" customHeight="false" outlineLevel="0" collapsed="false">
      <c r="A868" s="0" t="s">
        <v>4308</v>
      </c>
      <c r="B868" s="0" t="n">
        <v>78</v>
      </c>
      <c r="C868" s="0" t="n">
        <v>495553</v>
      </c>
      <c r="D868" s="0" t="s">
        <v>2281</v>
      </c>
      <c r="E868" s="0" t="s">
        <v>1179</v>
      </c>
      <c r="F868" s="0" t="str">
        <f aca="false">CONCATENATE(D868," ",LEFT(H868,4),"T=",AU868,"D=",AV868,"R=",AW868,"M=",AX868,"L=",AY868,"B=",AZ868)</f>
        <v>WARFIELD T=48D=16R=0M=1L=1B=1</v>
      </c>
      <c r="G868" s="0" t="s">
        <v>4309</v>
      </c>
      <c r="I868" s="0" t="s">
        <v>4310</v>
      </c>
      <c r="J868" s="0" t="s">
        <v>3146</v>
      </c>
      <c r="K868" s="0" t="s">
        <v>175</v>
      </c>
      <c r="L868" s="0" t="s">
        <v>155</v>
      </c>
      <c r="M868" s="0" t="s">
        <v>4311</v>
      </c>
      <c r="N868" s="0" t="str">
        <f aca="false">RIGHT(M868,LEN(M868)-FIND(" ",M868))</f>
        <v>FEDERAL ST NW</v>
      </c>
      <c r="P868" s="0" t="s">
        <v>146</v>
      </c>
      <c r="Q868" s="0" t="s">
        <v>147</v>
      </c>
      <c r="R868" s="0" t="n">
        <v>44483</v>
      </c>
      <c r="AD868" s="0" t="s">
        <v>148</v>
      </c>
      <c r="AE868" s="0" t="s">
        <v>149</v>
      </c>
      <c r="AF868" s="0" t="s">
        <v>150</v>
      </c>
      <c r="AH868" s="0" t="n">
        <v>14</v>
      </c>
      <c r="AI868" s="0" t="n">
        <v>11</v>
      </c>
      <c r="AN868" s="0" t="s">
        <v>146</v>
      </c>
      <c r="AO868" s="0" t="s">
        <v>250</v>
      </c>
      <c r="AP868" s="0" t="s">
        <v>251</v>
      </c>
      <c r="AQ868" s="0" t="n">
        <v>9</v>
      </c>
      <c r="AR868" s="0" t="n">
        <v>64</v>
      </c>
      <c r="AS868" s="0" t="n">
        <v>32</v>
      </c>
      <c r="AU868" s="0" t="n">
        <f aca="false">COUNTA($BA$2125:$EH$2125)</f>
        <v>48</v>
      </c>
      <c r="AV868" s="0" t="n">
        <f aca="false">COUNTIF($BA$2125:$EH$2125,"D")</f>
        <v>16</v>
      </c>
      <c r="AW868" s="0" t="n">
        <f aca="false">COUNTIF($BA$2125:$EH$2125,"R")</f>
        <v>0</v>
      </c>
      <c r="AX868" s="0" t="n">
        <f aca="false"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>1</v>
      </c>
      <c r="AY868" s="0" t="n">
        <f aca="false">COUNTIF(DU868:EH868, "&lt;&gt;")</f>
        <v>1</v>
      </c>
      <c r="AZ868" s="0" t="n">
        <f aca="false">IF(EH868&lt;&gt;"",1,0)</f>
        <v>1</v>
      </c>
      <c r="BB868" s="0" t="s">
        <v>153</v>
      </c>
      <c r="BD868" s="0" t="s">
        <v>154</v>
      </c>
      <c r="BS868" s="0" t="s">
        <v>154</v>
      </c>
      <c r="BY868" s="0" t="s">
        <v>155</v>
      </c>
      <c r="EH868" s="0" t="s">
        <v>155</v>
      </c>
    </row>
    <row r="869" customFormat="false" ht="13.8" hidden="false" customHeight="false" outlineLevel="0" collapsed="false">
      <c r="A869" s="0" t="s">
        <v>4312</v>
      </c>
      <c r="B869" s="0" t="n">
        <v>78</v>
      </c>
      <c r="C869" s="0" t="n">
        <v>6574</v>
      </c>
      <c r="D869" s="0" t="s">
        <v>2281</v>
      </c>
      <c r="E869" s="0" t="s">
        <v>1068</v>
      </c>
      <c r="F869" s="0" t="str">
        <f aca="false">CONCATENATE(D869," ",LEFT(H869,4),"T=",AU869,"D=",AV869,"R=",AW869,"M=",AX869,"L=",AY869,"B=",AZ869)</f>
        <v>WARFIELD T=5D=0R=0M=7L=7B=1</v>
      </c>
      <c r="I869" s="0" t="s">
        <v>4313</v>
      </c>
      <c r="J869" s="0" t="s">
        <v>4314</v>
      </c>
      <c r="K869" s="0" t="s">
        <v>175</v>
      </c>
      <c r="L869" s="1" t="s">
        <v>155</v>
      </c>
      <c r="M869" s="0" t="s">
        <v>4311</v>
      </c>
      <c r="N869" s="0" t="str">
        <f aca="false">RIGHT(M869,LEN(M869)-FIND(" ",M869))</f>
        <v>FEDERAL ST NW</v>
      </c>
      <c r="P869" s="0" t="s">
        <v>146</v>
      </c>
      <c r="Q869" s="0" t="s">
        <v>147</v>
      </c>
      <c r="R869" s="0" t="n">
        <v>44483</v>
      </c>
      <c r="AD869" s="0" t="s">
        <v>148</v>
      </c>
      <c r="AE869" s="0" t="s">
        <v>149</v>
      </c>
      <c r="AF869" s="0" t="s">
        <v>150</v>
      </c>
      <c r="AH869" s="0" t="n">
        <v>14</v>
      </c>
      <c r="AI869" s="0" t="n">
        <v>11</v>
      </c>
      <c r="AN869" s="0" t="s">
        <v>146</v>
      </c>
      <c r="AO869" s="0" t="s">
        <v>250</v>
      </c>
      <c r="AP869" s="0" t="s">
        <v>251</v>
      </c>
      <c r="AQ869" s="0" t="n">
        <v>9</v>
      </c>
      <c r="AR869" s="0" t="n">
        <v>64</v>
      </c>
      <c r="AS869" s="0" t="n">
        <v>32</v>
      </c>
      <c r="AU869" s="0" t="n">
        <f aca="false">COUNTA($BA$2170:$EH$2170)</f>
        <v>5</v>
      </c>
      <c r="AV869" s="0" t="n">
        <f aca="false">COUNTIF($BA$2170:$EH$2170,"D")</f>
        <v>0</v>
      </c>
      <c r="AW869" s="0" t="n">
        <f aca="false">COUNTIF($BA$2170:$EH$2170,"R")</f>
        <v>0</v>
      </c>
      <c r="AX869" s="0" t="n">
        <f aca="false"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>7</v>
      </c>
      <c r="AY869" s="0" t="n">
        <f aca="false">COUNTIF(DU869:EH869, "&lt;&gt;")</f>
        <v>7</v>
      </c>
      <c r="AZ869" s="0" t="n">
        <f aca="false">IF(EH869&lt;&gt;"",1,0)</f>
        <v>1</v>
      </c>
      <c r="BB869" s="0" t="s">
        <v>153</v>
      </c>
      <c r="BC869" s="0" t="s">
        <v>154</v>
      </c>
      <c r="BD869" s="0" t="s">
        <v>154</v>
      </c>
      <c r="BL869" s="0" t="s">
        <v>154</v>
      </c>
      <c r="BP869" s="0" t="s">
        <v>154</v>
      </c>
      <c r="BY869" s="0" t="s">
        <v>155</v>
      </c>
      <c r="CA869" s="0" t="s">
        <v>154</v>
      </c>
      <c r="CC869" s="0" t="s">
        <v>155</v>
      </c>
      <c r="CG869" s="0" t="s">
        <v>154</v>
      </c>
      <c r="CH869" s="0" t="s">
        <v>155</v>
      </c>
      <c r="CK869" s="0" t="s">
        <v>154</v>
      </c>
      <c r="CL869" s="0" t="s">
        <v>155</v>
      </c>
      <c r="CN869" s="0" t="s">
        <v>154</v>
      </c>
      <c r="CO869" s="0" t="s">
        <v>155</v>
      </c>
      <c r="CP869" s="0" t="s">
        <v>154</v>
      </c>
      <c r="CT869" s="0" t="s">
        <v>154</v>
      </c>
      <c r="CU869" s="0" t="s">
        <v>155</v>
      </c>
      <c r="CV869" s="0" t="s">
        <v>154</v>
      </c>
      <c r="CW869" s="0" t="s">
        <v>155</v>
      </c>
      <c r="CY869" s="0" t="s">
        <v>154</v>
      </c>
      <c r="DC869" s="0" t="s">
        <v>154</v>
      </c>
      <c r="DF869" s="0" t="s">
        <v>154</v>
      </c>
      <c r="DG869" s="0" t="s">
        <v>155</v>
      </c>
      <c r="DI869" s="0" t="s">
        <v>154</v>
      </c>
      <c r="DJ869" s="0" t="s">
        <v>155</v>
      </c>
      <c r="DL869" s="0" t="s">
        <v>154</v>
      </c>
      <c r="DM869" s="0" t="s">
        <v>155</v>
      </c>
      <c r="DN869" s="0" t="s">
        <v>154</v>
      </c>
      <c r="DO869" s="0" t="s">
        <v>155</v>
      </c>
      <c r="DR869" s="0" t="s">
        <v>154</v>
      </c>
      <c r="DS869" s="0" t="s">
        <v>155</v>
      </c>
      <c r="DU869" s="0" t="s">
        <v>154</v>
      </c>
      <c r="DW869" s="0" t="s">
        <v>155</v>
      </c>
      <c r="DX869" s="0" t="s">
        <v>154</v>
      </c>
      <c r="EA869" s="0" t="s">
        <v>154</v>
      </c>
      <c r="ED869" s="0" t="s">
        <v>155</v>
      </c>
      <c r="EF869" s="0" t="s">
        <v>154</v>
      </c>
      <c r="EH869" s="0" t="s">
        <v>155</v>
      </c>
    </row>
    <row r="870" customFormat="false" ht="13.8" hidden="true" customHeight="false" outlineLevel="0" collapsed="false">
      <c r="A870" s="0" t="s">
        <v>4315</v>
      </c>
      <c r="B870" s="0" t="n">
        <v>78</v>
      </c>
      <c r="C870" s="0" t="n">
        <v>427008</v>
      </c>
      <c r="D870" s="0" t="s">
        <v>4316</v>
      </c>
      <c r="E870" s="0" t="s">
        <v>261</v>
      </c>
      <c r="F870" s="0" t="str">
        <f aca="false">CONCATENATE(D870," ",LEFT(H870,4),"T=",AU870,"D=",AV870,"R=",AW870,"M=",AX870,"L=",AY870,"B=",AZ870)</f>
        <v>BRENNER T=1D=0R=0M=0L=0B=0</v>
      </c>
      <c r="G870" s="0" t="s">
        <v>241</v>
      </c>
      <c r="I870" s="0" t="s">
        <v>4317</v>
      </c>
      <c r="J870" s="0" t="s">
        <v>4318</v>
      </c>
      <c r="K870" s="0" t="s">
        <v>175</v>
      </c>
      <c r="L870" s="0"/>
      <c r="M870" s="0" t="s">
        <v>4319</v>
      </c>
      <c r="N870" s="0" t="str">
        <f aca="false">RIGHT(M870,LEN(M870)-FIND(" ",M870))</f>
        <v>FEDERAL ST NW</v>
      </c>
      <c r="P870" s="0" t="s">
        <v>146</v>
      </c>
      <c r="Q870" s="0" t="s">
        <v>147</v>
      </c>
      <c r="R870" s="0" t="n">
        <v>44483</v>
      </c>
      <c r="AD870" s="0" t="s">
        <v>148</v>
      </c>
      <c r="AE870" s="0" t="s">
        <v>149</v>
      </c>
      <c r="AF870" s="0" t="s">
        <v>150</v>
      </c>
      <c r="AH870" s="0" t="n">
        <v>14</v>
      </c>
      <c r="AI870" s="0" t="n">
        <v>11</v>
      </c>
      <c r="AN870" s="0" t="s">
        <v>146</v>
      </c>
      <c r="AO870" s="0" t="s">
        <v>250</v>
      </c>
      <c r="AP870" s="0" t="s">
        <v>251</v>
      </c>
      <c r="AQ870" s="0" t="n">
        <v>9</v>
      </c>
      <c r="AR870" s="0" t="n">
        <v>64</v>
      </c>
      <c r="AS870" s="0" t="n">
        <v>32</v>
      </c>
      <c r="AU870" s="0" t="n">
        <f aca="false">COUNTA($BA$2252:$EH$2252)</f>
        <v>1</v>
      </c>
      <c r="AV870" s="0" t="n">
        <f aca="false">COUNTIF($BA$2252:$EH$2252,"D")</f>
        <v>0</v>
      </c>
      <c r="AW870" s="0" t="n">
        <f aca="false">COUNTIF($BA$2252:$EH$2252,"R")</f>
        <v>0</v>
      </c>
      <c r="AX870" s="0" t="n">
        <f aca="false"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>0</v>
      </c>
      <c r="AY870" s="0" t="n">
        <f aca="false">COUNTIF(DU870:EH870, "&lt;&gt;")</f>
        <v>0</v>
      </c>
      <c r="AZ870" s="0" t="n">
        <f aca="false">IF(EH870&lt;&gt;"",1,0)</f>
        <v>0</v>
      </c>
      <c r="BB870" s="0" t="s">
        <v>153</v>
      </c>
      <c r="BR870" s="0" t="s">
        <v>155</v>
      </c>
    </row>
    <row r="871" customFormat="false" ht="13.8" hidden="true" customHeight="false" outlineLevel="0" collapsed="false">
      <c r="A871" s="0" t="s">
        <v>4320</v>
      </c>
      <c r="B871" s="0" t="n">
        <v>78</v>
      </c>
      <c r="C871" s="0" t="n">
        <v>489354</v>
      </c>
      <c r="D871" s="0" t="s">
        <v>4316</v>
      </c>
      <c r="E871" s="0" t="s">
        <v>340</v>
      </c>
      <c r="F871" s="0" t="str">
        <f aca="false">CONCATENATE(D871," ",LEFT(H871,4),"T=",AU871,"D=",AV871,"R=",AW871,"M=",AX871,"L=",AY871,"B=",AZ871)</f>
        <v>BRENNER T=32D=3R=4M=0L=0B=0</v>
      </c>
      <c r="G871" s="0" t="s">
        <v>690</v>
      </c>
      <c r="I871" s="0" t="s">
        <v>4321</v>
      </c>
      <c r="J871" s="0" t="s">
        <v>1877</v>
      </c>
      <c r="K871" s="0" t="s">
        <v>175</v>
      </c>
      <c r="L871" s="0"/>
      <c r="M871" s="0" t="s">
        <v>4319</v>
      </c>
      <c r="N871" s="0" t="str">
        <f aca="false">RIGHT(M871,LEN(M871)-FIND(" ",M871))</f>
        <v>FEDERAL ST NW</v>
      </c>
      <c r="P871" s="0" t="s">
        <v>146</v>
      </c>
      <c r="Q871" s="0" t="s">
        <v>147</v>
      </c>
      <c r="R871" s="0" t="n">
        <v>44483</v>
      </c>
      <c r="AD871" s="0" t="s">
        <v>148</v>
      </c>
      <c r="AE871" s="0" t="s">
        <v>149</v>
      </c>
      <c r="AF871" s="0" t="s">
        <v>150</v>
      </c>
      <c r="AH871" s="0" t="n">
        <v>14</v>
      </c>
      <c r="AI871" s="0" t="n">
        <v>11</v>
      </c>
      <c r="AN871" s="0" t="s">
        <v>146</v>
      </c>
      <c r="AO871" s="0" t="s">
        <v>250</v>
      </c>
      <c r="AP871" s="0" t="s">
        <v>251</v>
      </c>
      <c r="AQ871" s="0" t="n">
        <v>9</v>
      </c>
      <c r="AR871" s="0" t="n">
        <v>64</v>
      </c>
      <c r="AS871" s="0" t="n">
        <v>32</v>
      </c>
      <c r="AU871" s="0" t="n">
        <f aca="false">COUNTA($BA$2565:$EH$2565)</f>
        <v>32</v>
      </c>
      <c r="AV871" s="0" t="n">
        <f aca="false">COUNTIF($BA$2565:$EH$2565,"D")</f>
        <v>3</v>
      </c>
      <c r="AW871" s="0" t="n">
        <f aca="false">COUNTIF($BA$2565:$EH$2565,"R")</f>
        <v>4</v>
      </c>
      <c r="AX871" s="0" t="n">
        <f aca="false"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>0</v>
      </c>
      <c r="AY871" s="0" t="n">
        <f aca="false">COUNTIF(DU871:EH871, "&lt;&gt;")</f>
        <v>0</v>
      </c>
      <c r="AZ871" s="0" t="n">
        <f aca="false">IF(EH871&lt;&gt;"",1,0)</f>
        <v>0</v>
      </c>
      <c r="BB871" s="0" t="s">
        <v>153</v>
      </c>
    </row>
    <row r="872" customFormat="false" ht="13.8" hidden="true" customHeight="false" outlineLevel="0" collapsed="false">
      <c r="A872" s="0" t="s">
        <v>4322</v>
      </c>
      <c r="B872" s="0" t="n">
        <v>78</v>
      </c>
      <c r="C872" s="0" t="n">
        <v>423765</v>
      </c>
      <c r="D872" s="0" t="s">
        <v>4323</v>
      </c>
      <c r="E872" s="0" t="s">
        <v>1653</v>
      </c>
      <c r="F872" s="0" t="str">
        <f aca="false">CONCATENATE(D872," ",LEFT(H872,4),"T=",AU872,"D=",AV872,"R=",AW872,"M=",AX872,"L=",AY872,"B=",AZ872)</f>
        <v>HINES T=7D=2R=0M=0L=1B=0</v>
      </c>
      <c r="G872" s="0" t="s">
        <v>4324</v>
      </c>
      <c r="I872" s="0" t="s">
        <v>4325</v>
      </c>
      <c r="J872" s="0" t="s">
        <v>4326</v>
      </c>
      <c r="K872" s="0" t="s">
        <v>175</v>
      </c>
      <c r="L872" s="0"/>
      <c r="M872" s="0" t="s">
        <v>4319</v>
      </c>
      <c r="N872" s="0" t="str">
        <f aca="false">RIGHT(M872,LEN(M872)-FIND(" ",M872))</f>
        <v>FEDERAL ST NW</v>
      </c>
      <c r="P872" s="0" t="s">
        <v>146</v>
      </c>
      <c r="Q872" s="0" t="s">
        <v>147</v>
      </c>
      <c r="R872" s="0" t="n">
        <v>44483</v>
      </c>
      <c r="AD872" s="0" t="s">
        <v>148</v>
      </c>
      <c r="AE872" s="0" t="s">
        <v>149</v>
      </c>
      <c r="AF872" s="0" t="s">
        <v>150</v>
      </c>
      <c r="AH872" s="0" t="n">
        <v>14</v>
      </c>
      <c r="AI872" s="0" t="n">
        <v>11</v>
      </c>
      <c r="AN872" s="0" t="s">
        <v>146</v>
      </c>
      <c r="AO872" s="0" t="s">
        <v>250</v>
      </c>
      <c r="AP872" s="0" t="s">
        <v>251</v>
      </c>
      <c r="AQ872" s="0" t="n">
        <v>9</v>
      </c>
      <c r="AR872" s="0" t="n">
        <v>64</v>
      </c>
      <c r="AS872" s="0" t="n">
        <v>32</v>
      </c>
      <c r="AU872" s="0" t="n">
        <f aca="false">COUNTA($BA$2621:$EH$2621)</f>
        <v>7</v>
      </c>
      <c r="AV872" s="0" t="n">
        <f aca="false">COUNTIF($BA$2621:$EH$2621,"D")</f>
        <v>2</v>
      </c>
      <c r="AW872" s="0" t="n">
        <f aca="false">COUNTIF($BA$2621:$EH$2621,"R")</f>
        <v>0</v>
      </c>
      <c r="AX872" s="0" t="n">
        <f aca="false"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>0</v>
      </c>
      <c r="AY872" s="0" t="n">
        <f aca="false">COUNTIF(DU872:EH872, "&lt;&gt;")</f>
        <v>1</v>
      </c>
      <c r="AZ872" s="0" t="n">
        <f aca="false">IF(EH872&lt;&gt;"",1,0)</f>
        <v>0</v>
      </c>
      <c r="BB872" s="0" t="s">
        <v>153</v>
      </c>
      <c r="EF872" s="0" t="s">
        <v>154</v>
      </c>
    </row>
    <row r="873" customFormat="false" ht="13.8" hidden="false" customHeight="false" outlineLevel="0" collapsed="false">
      <c r="A873" s="0" t="s">
        <v>4327</v>
      </c>
      <c r="B873" s="0" t="n">
        <v>78</v>
      </c>
      <c r="C873" s="0" t="n">
        <v>263911</v>
      </c>
      <c r="D873" s="0" t="s">
        <v>4328</v>
      </c>
      <c r="E873" s="0" t="s">
        <v>1389</v>
      </c>
      <c r="F873" s="0" t="str">
        <f aca="false">CONCATENATE(D873," ",LEFT(H873,4),"T=",AU873,"D=",AV873,"R=",AW873,"M=",AX873,"L=",AY873,"B=",AZ873)</f>
        <v>LUMPKIN T=1D=0R=0M=7L=7B=1</v>
      </c>
      <c r="I873" s="0" t="s">
        <v>4329</v>
      </c>
      <c r="J873" s="0" t="s">
        <v>1930</v>
      </c>
      <c r="K873" s="0" t="s">
        <v>175</v>
      </c>
      <c r="L873" s="1" t="s">
        <v>155</v>
      </c>
      <c r="M873" s="0" t="s">
        <v>4330</v>
      </c>
      <c r="N873" s="0" t="str">
        <f aca="false">RIGHT(M873,LEN(M873)-FIND(" ",M873))</f>
        <v>FEDERAL ST NW</v>
      </c>
      <c r="P873" s="0" t="s">
        <v>146</v>
      </c>
      <c r="Q873" s="0" t="s">
        <v>147</v>
      </c>
      <c r="R873" s="0" t="n">
        <v>44483</v>
      </c>
      <c r="AD873" s="0" t="s">
        <v>148</v>
      </c>
      <c r="AE873" s="0" t="s">
        <v>149</v>
      </c>
      <c r="AF873" s="0" t="s">
        <v>150</v>
      </c>
      <c r="AH873" s="0" t="n">
        <v>14</v>
      </c>
      <c r="AI873" s="0" t="n">
        <v>11</v>
      </c>
      <c r="AN873" s="0" t="s">
        <v>146</v>
      </c>
      <c r="AO873" s="0" t="s">
        <v>250</v>
      </c>
      <c r="AP873" s="0" t="s">
        <v>251</v>
      </c>
      <c r="AQ873" s="0" t="n">
        <v>9</v>
      </c>
      <c r="AR873" s="0" t="n">
        <v>64</v>
      </c>
      <c r="AS873" s="0" t="n">
        <v>32</v>
      </c>
      <c r="AU873" s="0" t="n">
        <f aca="false">COUNTA($BA$2150:$EH$2150)</f>
        <v>1</v>
      </c>
      <c r="AV873" s="0" t="n">
        <f aca="false">COUNTIF($BA$2150:$EH$2150,"D")</f>
        <v>0</v>
      </c>
      <c r="AW873" s="0" t="n">
        <f aca="false">COUNTIF($BA$2150:$EH$2150,"R")</f>
        <v>0</v>
      </c>
      <c r="AX873" s="0" t="n">
        <f aca="false"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>7</v>
      </c>
      <c r="AY873" s="0" t="n">
        <f aca="false">COUNTIF(DU873:EH873, "&lt;&gt;")</f>
        <v>7</v>
      </c>
      <c r="AZ873" s="0" t="n">
        <f aca="false">IF(EH873&lt;&gt;"",1,0)</f>
        <v>1</v>
      </c>
      <c r="BB873" s="0" t="s">
        <v>153</v>
      </c>
      <c r="BD873" s="0" t="s">
        <v>154</v>
      </c>
      <c r="BF873" s="0" t="s">
        <v>154</v>
      </c>
      <c r="BH873" s="0" t="s">
        <v>154</v>
      </c>
      <c r="BI873" s="0" t="s">
        <v>154</v>
      </c>
      <c r="BL873" s="0" t="s">
        <v>154</v>
      </c>
      <c r="BP873" s="0" t="s">
        <v>154</v>
      </c>
      <c r="BS873" s="0" t="s">
        <v>154</v>
      </c>
      <c r="BY873" s="0" t="s">
        <v>155</v>
      </c>
      <c r="CA873" s="0" t="s">
        <v>154</v>
      </c>
      <c r="CC873" s="0" t="s">
        <v>155</v>
      </c>
      <c r="CK873" s="0" t="s">
        <v>154</v>
      </c>
      <c r="CL873" s="0" t="s">
        <v>155</v>
      </c>
      <c r="CP873" s="0" t="s">
        <v>154</v>
      </c>
      <c r="CV873" s="0" t="s">
        <v>154</v>
      </c>
      <c r="CY873" s="0" t="s">
        <v>154</v>
      </c>
      <c r="CZ873" s="0" t="s">
        <v>155</v>
      </c>
      <c r="DC873" s="0" t="s">
        <v>154</v>
      </c>
      <c r="DD873" s="0" t="s">
        <v>155</v>
      </c>
      <c r="DF873" s="0" t="s">
        <v>154</v>
      </c>
      <c r="DI873" s="0" t="s">
        <v>154</v>
      </c>
      <c r="DJ873" s="0" t="s">
        <v>155</v>
      </c>
      <c r="DL873" s="0" t="s">
        <v>154</v>
      </c>
      <c r="DM873" s="0" t="s">
        <v>155</v>
      </c>
      <c r="DN873" s="0" t="s">
        <v>154</v>
      </c>
      <c r="DO873" s="0" t="s">
        <v>155</v>
      </c>
      <c r="DR873" s="0" t="s">
        <v>154</v>
      </c>
      <c r="DS873" s="0" t="s">
        <v>155</v>
      </c>
      <c r="DT873" s="0" t="s">
        <v>155</v>
      </c>
      <c r="DU873" s="0" t="s">
        <v>154</v>
      </c>
      <c r="DW873" s="0" t="s">
        <v>155</v>
      </c>
      <c r="DX873" s="0" t="s">
        <v>154</v>
      </c>
      <c r="EA873" s="0" t="s">
        <v>154</v>
      </c>
      <c r="ED873" s="0" t="s">
        <v>155</v>
      </c>
      <c r="EF873" s="0" t="s">
        <v>154</v>
      </c>
      <c r="EH873" s="0" t="s">
        <v>155</v>
      </c>
    </row>
    <row r="874" customFormat="false" ht="13.8" hidden="false" customHeight="false" outlineLevel="0" collapsed="false">
      <c r="A874" s="0" t="s">
        <v>4331</v>
      </c>
      <c r="B874" s="0" t="n">
        <v>78</v>
      </c>
      <c r="C874" s="0" t="n">
        <v>348685</v>
      </c>
      <c r="D874" s="0" t="s">
        <v>4235</v>
      </c>
      <c r="E874" s="0" t="s">
        <v>4332</v>
      </c>
      <c r="F874" s="0" t="str">
        <f aca="false">CONCATENATE(D874," ",LEFT(H874,4),"T=",AU874,"D=",AV874,"R=",AW874,"M=",AX874,"L=",AY874,"B=",AZ874)</f>
        <v>ALLS T=38D=0R=10M=7L=7B=1</v>
      </c>
      <c r="I874" s="0" t="s">
        <v>4333</v>
      </c>
      <c r="J874" s="0" t="s">
        <v>1930</v>
      </c>
      <c r="K874" s="0" t="s">
        <v>175</v>
      </c>
      <c r="L874" s="1" t="s">
        <v>155</v>
      </c>
      <c r="M874" s="0" t="s">
        <v>4330</v>
      </c>
      <c r="N874" s="0" t="str">
        <f aca="false">RIGHT(M874,LEN(M874)-FIND(" ",M874))</f>
        <v>FEDERAL ST NW</v>
      </c>
      <c r="P874" s="0" t="s">
        <v>146</v>
      </c>
      <c r="Q874" s="0" t="s">
        <v>147</v>
      </c>
      <c r="R874" s="0" t="n">
        <v>44483</v>
      </c>
      <c r="AD874" s="0" t="s">
        <v>148</v>
      </c>
      <c r="AE874" s="0" t="s">
        <v>149</v>
      </c>
      <c r="AF874" s="0" t="s">
        <v>150</v>
      </c>
      <c r="AH874" s="0" t="n">
        <v>14</v>
      </c>
      <c r="AI874" s="0" t="n">
        <v>11</v>
      </c>
      <c r="AN874" s="0" t="s">
        <v>146</v>
      </c>
      <c r="AO874" s="0" t="s">
        <v>250</v>
      </c>
      <c r="AP874" s="0" t="s">
        <v>251</v>
      </c>
      <c r="AQ874" s="0" t="n">
        <v>9</v>
      </c>
      <c r="AR874" s="0" t="n">
        <v>64</v>
      </c>
      <c r="AS874" s="0" t="n">
        <v>32</v>
      </c>
      <c r="AU874" s="0" t="n">
        <f aca="false">COUNTA($BA$2205:$EH$2205)</f>
        <v>38</v>
      </c>
      <c r="AV874" s="0" t="n">
        <f aca="false">COUNTIF($BA$2205:$EH$2205,"D")</f>
        <v>0</v>
      </c>
      <c r="AW874" s="0" t="n">
        <f aca="false">COUNTIF($BA$2205:$EH$2205,"R")</f>
        <v>10</v>
      </c>
      <c r="AX874" s="0" t="n">
        <f aca="false"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>7</v>
      </c>
      <c r="AY874" s="0" t="n">
        <f aca="false">COUNTIF(DU874:EH874, "&lt;&gt;")</f>
        <v>7</v>
      </c>
      <c r="AZ874" s="0" t="n">
        <f aca="false">IF(EH874&lt;&gt;"",1,0)</f>
        <v>1</v>
      </c>
      <c r="BB874" s="0" t="s">
        <v>153</v>
      </c>
      <c r="CC874" s="0" t="s">
        <v>155</v>
      </c>
      <c r="CG874" s="0" t="s">
        <v>154</v>
      </c>
      <c r="CL874" s="0" t="s">
        <v>155</v>
      </c>
      <c r="CP874" s="0" t="s">
        <v>154</v>
      </c>
      <c r="CV874" s="0" t="s">
        <v>154</v>
      </c>
      <c r="CY874" s="0" t="s">
        <v>154</v>
      </c>
      <c r="CZ874" s="0" t="s">
        <v>155</v>
      </c>
      <c r="DC874" s="0" t="s">
        <v>154</v>
      </c>
      <c r="DD874" s="0" t="s">
        <v>155</v>
      </c>
      <c r="DF874" s="0" t="s">
        <v>154</v>
      </c>
      <c r="DJ874" s="0" t="s">
        <v>155</v>
      </c>
      <c r="DL874" s="0" t="s">
        <v>154</v>
      </c>
      <c r="DM874" s="0" t="s">
        <v>155</v>
      </c>
      <c r="DN874" s="0" t="s">
        <v>154</v>
      </c>
      <c r="DO874" s="0" t="s">
        <v>155</v>
      </c>
      <c r="DR874" s="0" t="s">
        <v>154</v>
      </c>
      <c r="DS874" s="0" t="s">
        <v>155</v>
      </c>
      <c r="DT874" s="0" t="s">
        <v>155</v>
      </c>
      <c r="DU874" s="0" t="s">
        <v>154</v>
      </c>
      <c r="DW874" s="0" t="s">
        <v>155</v>
      </c>
      <c r="DX874" s="0" t="s">
        <v>154</v>
      </c>
      <c r="EA874" s="0" t="s">
        <v>154</v>
      </c>
      <c r="ED874" s="0" t="s">
        <v>155</v>
      </c>
      <c r="EF874" s="0" t="s">
        <v>154</v>
      </c>
      <c r="EH874" s="0" t="s">
        <v>155</v>
      </c>
    </row>
    <row r="875" customFormat="false" ht="13.8" hidden="true" customHeight="false" outlineLevel="0" collapsed="false">
      <c r="A875" s="0" t="s">
        <v>4334</v>
      </c>
      <c r="B875" s="0" t="n">
        <v>78</v>
      </c>
      <c r="C875" s="0" t="n">
        <v>369638</v>
      </c>
      <c r="D875" s="0" t="s">
        <v>633</v>
      </c>
      <c r="E875" s="0" t="s">
        <v>429</v>
      </c>
      <c r="F875" s="0" t="str">
        <f aca="false">CONCATENATE(D875," ",LEFT(H875,4),"T=",AU875,"D=",AV875,"R=",AW875,"M=",AX875,"L=",AY875,"B=",AZ875)</f>
        <v>WALKER T=3D=0R=0M=0L=0B=0</v>
      </c>
      <c r="G875" s="0" t="s">
        <v>496</v>
      </c>
      <c r="I875" s="0" t="s">
        <v>4335</v>
      </c>
      <c r="J875" s="0" t="s">
        <v>4336</v>
      </c>
      <c r="K875" s="0" t="s">
        <v>144</v>
      </c>
      <c r="L875" s="0"/>
      <c r="M875" s="0" t="s">
        <v>4337</v>
      </c>
      <c r="N875" s="0" t="str">
        <f aca="false">RIGHT(M875,LEN(M875)-FIND(" ",M875))</f>
        <v>FEDERAL ST NW</v>
      </c>
      <c r="P875" s="0" t="s">
        <v>146</v>
      </c>
      <c r="Q875" s="0" t="s">
        <v>147</v>
      </c>
      <c r="R875" s="0" t="n">
        <v>44483</v>
      </c>
      <c r="AD875" s="0" t="s">
        <v>148</v>
      </c>
      <c r="AE875" s="0" t="s">
        <v>149</v>
      </c>
      <c r="AF875" s="0" t="s">
        <v>150</v>
      </c>
      <c r="AH875" s="0" t="n">
        <v>14</v>
      </c>
      <c r="AI875" s="0" t="n">
        <v>11</v>
      </c>
      <c r="AN875" s="0" t="s">
        <v>146</v>
      </c>
      <c r="AO875" s="0" t="s">
        <v>250</v>
      </c>
      <c r="AP875" s="0" t="s">
        <v>251</v>
      </c>
      <c r="AQ875" s="0" t="n">
        <v>9</v>
      </c>
      <c r="AR875" s="0" t="n">
        <v>64</v>
      </c>
      <c r="AS875" s="0" t="n">
        <v>32</v>
      </c>
      <c r="AU875" s="0" t="n">
        <f aca="false">COUNTA($BA$2741:$EH$2741)</f>
        <v>3</v>
      </c>
      <c r="AV875" s="0" t="n">
        <f aca="false">COUNTIF($BA$2741:$EH$2741,"D")</f>
        <v>0</v>
      </c>
      <c r="AW875" s="0" t="n">
        <f aca="false">COUNTIF($BA$2741:$EH$2741,"R")</f>
        <v>0</v>
      </c>
      <c r="AX875" s="0" t="n">
        <f aca="false"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>0</v>
      </c>
      <c r="AY875" s="0" t="n">
        <f aca="false">COUNTIF(DU875:EH875, "&lt;&gt;")</f>
        <v>0</v>
      </c>
      <c r="AZ875" s="0" t="n">
        <f aca="false">IF(EH875&lt;&gt;"",1,0)</f>
        <v>0</v>
      </c>
      <c r="BB875" s="0" t="s">
        <v>153</v>
      </c>
      <c r="CG875" s="0" t="s">
        <v>154</v>
      </c>
      <c r="CK875" s="0" t="s">
        <v>154</v>
      </c>
      <c r="CV875" s="0" t="s">
        <v>154</v>
      </c>
    </row>
    <row r="876" customFormat="false" ht="13.8" hidden="true" customHeight="false" outlineLevel="0" collapsed="false">
      <c r="A876" s="0" t="s">
        <v>4338</v>
      </c>
      <c r="B876" s="0" t="n">
        <v>78</v>
      </c>
      <c r="C876" s="0" t="n">
        <v>485350</v>
      </c>
      <c r="D876" s="0" t="s">
        <v>4339</v>
      </c>
      <c r="E876" s="0" t="s">
        <v>4340</v>
      </c>
      <c r="F876" s="0" t="str">
        <f aca="false">CONCATENATE(D876," ",LEFT(H876,4),"T=",AU876,"D=",AV876,"R=",AW876,"M=",AX876,"L=",AY876,"B=",AZ876)</f>
        <v>THEODOSIOU T=2D=0R=0M=0L=0B=0</v>
      </c>
      <c r="I876" s="0" t="s">
        <v>4341</v>
      </c>
      <c r="J876" s="0" t="s">
        <v>4342</v>
      </c>
      <c r="K876" s="0" t="s">
        <v>175</v>
      </c>
      <c r="L876" s="0"/>
      <c r="M876" s="0" t="s">
        <v>4343</v>
      </c>
      <c r="N876" s="0" t="str">
        <f aca="false">RIGHT(M876,LEN(M876)-FIND(" ",M876))</f>
        <v>FEDERAL ST NW</v>
      </c>
      <c r="P876" s="0" t="s">
        <v>146</v>
      </c>
      <c r="Q876" s="0" t="s">
        <v>147</v>
      </c>
      <c r="R876" s="0" t="n">
        <v>44483</v>
      </c>
      <c r="AD876" s="0" t="s">
        <v>148</v>
      </c>
      <c r="AE876" s="0" t="s">
        <v>149</v>
      </c>
      <c r="AF876" s="0" t="s">
        <v>150</v>
      </c>
      <c r="AH876" s="0" t="n">
        <v>14</v>
      </c>
      <c r="AI876" s="0" t="n">
        <v>11</v>
      </c>
      <c r="AN876" s="0" t="s">
        <v>146</v>
      </c>
      <c r="AO876" s="0" t="s">
        <v>250</v>
      </c>
      <c r="AP876" s="0" t="s">
        <v>251</v>
      </c>
      <c r="AQ876" s="0" t="n">
        <v>9</v>
      </c>
      <c r="AR876" s="0" t="n">
        <v>64</v>
      </c>
      <c r="AS876" s="0" t="n">
        <v>32</v>
      </c>
      <c r="AU876" s="0" t="n">
        <f aca="false">COUNTA($BA$2097:$EH$2097)</f>
        <v>2</v>
      </c>
      <c r="AV876" s="0" t="n">
        <f aca="false">COUNTIF($BA$2097:$EH$2097,"D")</f>
        <v>0</v>
      </c>
      <c r="AW876" s="0" t="n">
        <f aca="false">COUNTIF($BA$2097:$EH$2097,"R")</f>
        <v>0</v>
      </c>
      <c r="AX876" s="0" t="n">
        <f aca="false"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>0</v>
      </c>
      <c r="AY876" s="0" t="n">
        <f aca="false">COUNTIF(DU876:EH876, "&lt;&gt;")</f>
        <v>0</v>
      </c>
      <c r="AZ876" s="0" t="n">
        <f aca="false">IF(EH876&lt;&gt;"",1,0)</f>
        <v>0</v>
      </c>
      <c r="BB876" s="0" t="s">
        <v>153</v>
      </c>
    </row>
    <row r="877" customFormat="false" ht="13.8" hidden="true" customHeight="false" outlineLevel="0" collapsed="false">
      <c r="A877" s="0" t="s">
        <v>4344</v>
      </c>
      <c r="B877" s="0" t="n">
        <v>78</v>
      </c>
      <c r="C877" s="0" t="n">
        <v>325750</v>
      </c>
      <c r="D877" s="0" t="s">
        <v>4345</v>
      </c>
      <c r="E877" s="0" t="s">
        <v>4346</v>
      </c>
      <c r="F877" s="0" t="str">
        <f aca="false">CONCATENATE(D877," ",LEFT(H877,4),"T=",AU877,"D=",AV877,"R=",AW877,"M=",AX877,"L=",AY877,"B=",AZ877)</f>
        <v>SEAWOOD T=23D=3R=0M=0L=0B=0</v>
      </c>
      <c r="G877" s="0" t="s">
        <v>4347</v>
      </c>
      <c r="I877" s="0" t="s">
        <v>2582</v>
      </c>
      <c r="J877" s="0" t="s">
        <v>551</v>
      </c>
      <c r="K877" s="0" t="s">
        <v>144</v>
      </c>
      <c r="L877" s="0"/>
      <c r="M877" s="0" t="s">
        <v>4348</v>
      </c>
      <c r="N877" s="0" t="str">
        <f aca="false">RIGHT(M877,LEN(M877)-FIND(" ",M877))</f>
        <v>FEDERAL ST NW</v>
      </c>
      <c r="P877" s="0" t="s">
        <v>146</v>
      </c>
      <c r="Q877" s="0" t="s">
        <v>147</v>
      </c>
      <c r="R877" s="0" t="n">
        <v>44483</v>
      </c>
      <c r="AD877" s="0" t="s">
        <v>148</v>
      </c>
      <c r="AE877" s="0" t="s">
        <v>149</v>
      </c>
      <c r="AF877" s="0" t="s">
        <v>150</v>
      </c>
      <c r="AH877" s="0" t="n">
        <v>14</v>
      </c>
      <c r="AI877" s="0" t="n">
        <v>11</v>
      </c>
      <c r="AN877" s="0" t="s">
        <v>146</v>
      </c>
      <c r="AO877" s="0" t="s">
        <v>250</v>
      </c>
      <c r="AP877" s="0" t="s">
        <v>251</v>
      </c>
      <c r="AQ877" s="0" t="n">
        <v>9</v>
      </c>
      <c r="AR877" s="0" t="n">
        <v>64</v>
      </c>
      <c r="AS877" s="0" t="n">
        <v>32</v>
      </c>
      <c r="AU877" s="0" t="n">
        <f aca="false">COUNTA($BA$2070:$EH$2070)</f>
        <v>23</v>
      </c>
      <c r="AV877" s="0" t="n">
        <f aca="false">COUNTIF($BA$2070:$EH$2070,"D")</f>
        <v>3</v>
      </c>
      <c r="AW877" s="0" t="n">
        <f aca="false">COUNTIF($BA$2070:$EH$2070,"R")</f>
        <v>0</v>
      </c>
      <c r="AX877" s="0" t="n">
        <f aca="false"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>0</v>
      </c>
      <c r="AY877" s="0" t="n">
        <f aca="false">COUNTIF(DU877:EH877, "&lt;&gt;")</f>
        <v>0</v>
      </c>
      <c r="AZ877" s="0" t="n">
        <f aca="false">IF(EH877&lt;&gt;"",1,0)</f>
        <v>0</v>
      </c>
      <c r="BB877" s="0" t="s">
        <v>153</v>
      </c>
      <c r="CO877" s="0" t="s">
        <v>155</v>
      </c>
    </row>
    <row r="878" customFormat="false" ht="13.8" hidden="false" customHeight="false" outlineLevel="0" collapsed="false">
      <c r="A878" s="0" t="s">
        <v>4349</v>
      </c>
      <c r="B878" s="0" t="n">
        <v>78</v>
      </c>
      <c r="C878" s="0" t="n">
        <v>273057</v>
      </c>
      <c r="D878" s="0" t="s">
        <v>3644</v>
      </c>
      <c r="E878" s="0" t="s">
        <v>4350</v>
      </c>
      <c r="F878" s="0" t="str">
        <f aca="false">CONCATENATE(D878," ",LEFT(H878,4),"T=",AU878,"D=",AV878,"R=",AW878,"M=",AX878,"L=",AY878,"B=",AZ878)</f>
        <v>JENKINS T=6D=0R=0M=0L=3B=0</v>
      </c>
      <c r="G878" s="0" t="s">
        <v>514</v>
      </c>
      <c r="I878" s="0" t="s">
        <v>4351</v>
      </c>
      <c r="J878" s="0" t="s">
        <v>4352</v>
      </c>
      <c r="K878" s="0" t="s">
        <v>175</v>
      </c>
      <c r="M878" s="0" t="s">
        <v>4348</v>
      </c>
      <c r="N878" s="0" t="str">
        <f aca="false">RIGHT(M878,LEN(M878)-FIND(" ",M878))</f>
        <v>FEDERAL ST NW</v>
      </c>
      <c r="P878" s="0" t="s">
        <v>146</v>
      </c>
      <c r="Q878" s="0" t="s">
        <v>147</v>
      </c>
      <c r="R878" s="0" t="n">
        <v>44483</v>
      </c>
      <c r="AD878" s="0" t="s">
        <v>148</v>
      </c>
      <c r="AE878" s="0" t="s">
        <v>149</v>
      </c>
      <c r="AF878" s="0" t="s">
        <v>150</v>
      </c>
      <c r="AH878" s="0" t="n">
        <v>14</v>
      </c>
      <c r="AI878" s="0" t="n">
        <v>11</v>
      </c>
      <c r="AN878" s="0" t="s">
        <v>146</v>
      </c>
      <c r="AO878" s="0" t="s">
        <v>250</v>
      </c>
      <c r="AP878" s="0" t="s">
        <v>251</v>
      </c>
      <c r="AQ878" s="0" t="n">
        <v>9</v>
      </c>
      <c r="AR878" s="0" t="n">
        <v>64</v>
      </c>
      <c r="AS878" s="0" t="n">
        <v>32</v>
      </c>
      <c r="AU878" s="0" t="n">
        <f aca="false">COUNTA($BA$2391:$EH$2391)</f>
        <v>6</v>
      </c>
      <c r="AV878" s="0" t="n">
        <f aca="false">COUNTIF($BA$2391:$EH$2391,"D")</f>
        <v>0</v>
      </c>
      <c r="AW878" s="0" t="n">
        <f aca="false">COUNTIF($BA$2391:$EH$2391,"R")</f>
        <v>0</v>
      </c>
      <c r="AX878" s="0" t="n">
        <f aca="false"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>0</v>
      </c>
      <c r="AY878" s="0" t="n">
        <f aca="false">COUNTIF(DU878:EH878, "&lt;&gt;")</f>
        <v>3</v>
      </c>
      <c r="AZ878" s="0" t="n">
        <f aca="false">IF(EH878&lt;&gt;"",1,0)</f>
        <v>0</v>
      </c>
      <c r="BB878" s="0" t="s">
        <v>153</v>
      </c>
      <c r="BD878" s="0" t="s">
        <v>154</v>
      </c>
      <c r="BY878" s="0" t="s">
        <v>155</v>
      </c>
      <c r="CA878" s="0" t="s">
        <v>154</v>
      </c>
      <c r="DC878" s="0" t="s">
        <v>154</v>
      </c>
      <c r="DI878" s="0" t="s">
        <v>154</v>
      </c>
      <c r="DN878" s="0" t="s">
        <v>154</v>
      </c>
      <c r="DU878" s="0" t="s">
        <v>154</v>
      </c>
      <c r="EA878" s="0" t="s">
        <v>154</v>
      </c>
      <c r="EF878" s="0" t="s">
        <v>154</v>
      </c>
    </row>
    <row r="879" customFormat="false" ht="13.8" hidden="true" customHeight="false" outlineLevel="0" collapsed="false">
      <c r="A879" s="0" t="s">
        <v>4353</v>
      </c>
      <c r="B879" s="0" t="n">
        <v>78</v>
      </c>
      <c r="C879" s="0" t="n">
        <v>386803</v>
      </c>
      <c r="D879" s="0" t="s">
        <v>1582</v>
      </c>
      <c r="E879" s="0" t="s">
        <v>3550</v>
      </c>
      <c r="F879" s="0" t="str">
        <f aca="false">CONCATENATE(D879," ",LEFT(H879,4),"T=",AU879,"D=",AV879,"R=",AW879,"M=",AX879,"L=",AY879,"B=",AZ879)</f>
        <v>SMITH T=2D=0R=0M=0L=0B=0</v>
      </c>
      <c r="G879" s="0" t="s">
        <v>166</v>
      </c>
      <c r="I879" s="0" t="s">
        <v>4354</v>
      </c>
      <c r="J879" s="0" t="s">
        <v>4355</v>
      </c>
      <c r="K879" s="0" t="s">
        <v>144</v>
      </c>
      <c r="L879" s="0"/>
      <c r="M879" s="0" t="s">
        <v>4356</v>
      </c>
      <c r="N879" s="0" t="str">
        <f aca="false">RIGHT(M879,LEN(M879)-FIND(" ",M879))</f>
        <v>FEDERAL ST NW</v>
      </c>
      <c r="P879" s="0" t="s">
        <v>146</v>
      </c>
      <c r="Q879" s="0" t="s">
        <v>147</v>
      </c>
      <c r="R879" s="0" t="n">
        <v>44483</v>
      </c>
      <c r="AD879" s="0" t="s">
        <v>148</v>
      </c>
      <c r="AE879" s="0" t="s">
        <v>149</v>
      </c>
      <c r="AF879" s="0" t="s">
        <v>150</v>
      </c>
      <c r="AH879" s="0" t="n">
        <v>14</v>
      </c>
      <c r="AI879" s="0" t="n">
        <v>11</v>
      </c>
      <c r="AN879" s="0" t="s">
        <v>146</v>
      </c>
      <c r="AO879" s="0" t="s">
        <v>250</v>
      </c>
      <c r="AP879" s="0" t="s">
        <v>251</v>
      </c>
      <c r="AQ879" s="0" t="n">
        <v>9</v>
      </c>
      <c r="AR879" s="0" t="n">
        <v>64</v>
      </c>
      <c r="AS879" s="0" t="n">
        <v>32</v>
      </c>
      <c r="AU879" s="0" t="n">
        <f aca="false">COUNTA($BA$2426:$EH$2426)</f>
        <v>2</v>
      </c>
      <c r="AV879" s="0" t="n">
        <f aca="false">COUNTIF($BA$2426:$EH$2426,"D")</f>
        <v>0</v>
      </c>
      <c r="AW879" s="0" t="n">
        <f aca="false">COUNTIF($BA$2426:$EH$2426,"R")</f>
        <v>0</v>
      </c>
      <c r="AX879" s="0" t="n">
        <f aca="false"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>0</v>
      </c>
      <c r="AY879" s="0" t="n">
        <f aca="false">COUNTIF(DU879:EH879, "&lt;&gt;")</f>
        <v>0</v>
      </c>
      <c r="AZ879" s="0" t="n">
        <f aca="false">IF(EH879&lt;&gt;"",1,0)</f>
        <v>0</v>
      </c>
      <c r="BB879" s="0" t="s">
        <v>153</v>
      </c>
      <c r="CP879" s="0" t="s">
        <v>154</v>
      </c>
    </row>
    <row r="880" customFormat="false" ht="13.8" hidden="true" customHeight="false" outlineLevel="0" collapsed="false">
      <c r="A880" s="0" t="s">
        <v>4357</v>
      </c>
      <c r="B880" s="0" t="n">
        <v>78</v>
      </c>
      <c r="C880" s="0" t="n">
        <v>339804</v>
      </c>
      <c r="D880" s="0" t="s">
        <v>4070</v>
      </c>
      <c r="E880" s="0" t="s">
        <v>867</v>
      </c>
      <c r="F880" s="0" t="str">
        <f aca="false">CONCATENATE(D880," ",LEFT(H880,4),"T=",AU880,"D=",AV880,"R=",AW880,"M=",AX880,"L=",AY880,"B=",AZ880)</f>
        <v>WHITE T=2D=0R=0M=0L=0B=0</v>
      </c>
      <c r="G880" s="0" t="s">
        <v>241</v>
      </c>
      <c r="I880" s="0" t="s">
        <v>4358</v>
      </c>
      <c r="J880" s="0" t="s">
        <v>1666</v>
      </c>
      <c r="K880" s="0" t="s">
        <v>144</v>
      </c>
      <c r="L880" s="0"/>
      <c r="M880" s="0" t="s">
        <v>4359</v>
      </c>
      <c r="N880" s="0" t="str">
        <f aca="false">RIGHT(M880,LEN(M880)-FIND(" ",M880))</f>
        <v>FEDERAL ST NW</v>
      </c>
      <c r="P880" s="0" t="s">
        <v>146</v>
      </c>
      <c r="Q880" s="0" t="s">
        <v>147</v>
      </c>
      <c r="R880" s="0" t="n">
        <v>44483</v>
      </c>
      <c r="AD880" s="0" t="s">
        <v>148</v>
      </c>
      <c r="AE880" s="0" t="s">
        <v>149</v>
      </c>
      <c r="AF880" s="0" t="s">
        <v>150</v>
      </c>
      <c r="AH880" s="0" t="n">
        <v>14</v>
      </c>
      <c r="AI880" s="0" t="n">
        <v>11</v>
      </c>
      <c r="AN880" s="0" t="s">
        <v>146</v>
      </c>
      <c r="AO880" s="0" t="s">
        <v>250</v>
      </c>
      <c r="AP880" s="0" t="s">
        <v>251</v>
      </c>
      <c r="AQ880" s="0" t="n">
        <v>9</v>
      </c>
      <c r="AR880" s="0" t="n">
        <v>64</v>
      </c>
      <c r="AS880" s="0" t="n">
        <v>32</v>
      </c>
      <c r="AU880" s="0" t="n">
        <f aca="false">COUNTA($BA$2336:$EH$2336)</f>
        <v>2</v>
      </c>
      <c r="AV880" s="0" t="n">
        <f aca="false">COUNTIF($BA$2336:$EH$2336,"D")</f>
        <v>0</v>
      </c>
      <c r="AW880" s="0" t="n">
        <f aca="false">COUNTIF($BA$2336:$EH$2336,"R")</f>
        <v>0</v>
      </c>
      <c r="AX880" s="0" t="n">
        <f aca="false"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>0</v>
      </c>
      <c r="AY880" s="0" t="n">
        <f aca="false">COUNTIF(DU880:EH880, "&lt;&gt;")</f>
        <v>0</v>
      </c>
      <c r="AZ880" s="0" t="n">
        <f aca="false">IF(EH880&lt;&gt;"",1,0)</f>
        <v>0</v>
      </c>
      <c r="BB880" s="0" t="s">
        <v>153</v>
      </c>
      <c r="CP880" s="0" t="s">
        <v>154</v>
      </c>
      <c r="DC880" s="0" t="s">
        <v>154</v>
      </c>
    </row>
    <row r="881" customFormat="false" ht="13.8" hidden="false" customHeight="false" outlineLevel="0" collapsed="false">
      <c r="A881" s="0" t="s">
        <v>4360</v>
      </c>
      <c r="B881" s="0" t="n">
        <v>78</v>
      </c>
      <c r="C881" s="0" t="n">
        <v>434861</v>
      </c>
      <c r="D881" s="0" t="s">
        <v>4361</v>
      </c>
      <c r="E881" s="0" t="s">
        <v>502</v>
      </c>
      <c r="F881" s="0" t="str">
        <f aca="false">CONCATENATE(D881," ",LEFT(H881,4),"T=",AU881,"D=",AV881,"R=",AW881,"M=",AX881,"L=",AY881,"B=",AZ881)</f>
        <v>MCGEE T=1D=0R=0M=2L=5B=0</v>
      </c>
      <c r="G881" s="0" t="s">
        <v>317</v>
      </c>
      <c r="I881" s="0" t="s">
        <v>4362</v>
      </c>
      <c r="J881" s="0" t="s">
        <v>4363</v>
      </c>
      <c r="K881" s="0" t="s">
        <v>175</v>
      </c>
      <c r="L881" s="1" t="s">
        <v>155</v>
      </c>
      <c r="M881" s="0" t="s">
        <v>4364</v>
      </c>
      <c r="N881" s="0" t="str">
        <f aca="false">RIGHT(M881,LEN(M881)-FIND(" ",M881))</f>
        <v>FEDERAL ST NW</v>
      </c>
      <c r="P881" s="0" t="s">
        <v>146</v>
      </c>
      <c r="Q881" s="0" t="s">
        <v>147</v>
      </c>
      <c r="R881" s="0" t="n">
        <v>44483</v>
      </c>
      <c r="AD881" s="0" t="s">
        <v>148</v>
      </c>
      <c r="AE881" s="0" t="s">
        <v>149</v>
      </c>
      <c r="AF881" s="0" t="s">
        <v>150</v>
      </c>
      <c r="AH881" s="0" t="n">
        <v>14</v>
      </c>
      <c r="AI881" s="0" t="n">
        <v>11</v>
      </c>
      <c r="AN881" s="0" t="s">
        <v>146</v>
      </c>
      <c r="AO881" s="0" t="s">
        <v>250</v>
      </c>
      <c r="AP881" s="0" t="s">
        <v>251</v>
      </c>
      <c r="AQ881" s="0" t="n">
        <v>9</v>
      </c>
      <c r="AR881" s="0" t="n">
        <v>64</v>
      </c>
      <c r="AS881" s="0" t="n">
        <v>32</v>
      </c>
      <c r="AU881" s="0" t="n">
        <f aca="false">COUNTA($BA$2069:$EH$2069)</f>
        <v>1</v>
      </c>
      <c r="AV881" s="0" t="n">
        <f aca="false">COUNTIF($BA$2069:$EH$2069,"D")</f>
        <v>0</v>
      </c>
      <c r="AW881" s="0" t="n">
        <f aca="false">COUNTIF($BA$2069:$EH$2069,"R")</f>
        <v>0</v>
      </c>
      <c r="AX881" s="0" t="n">
        <f aca="false"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>2</v>
      </c>
      <c r="AY881" s="0" t="n">
        <f aca="false">COUNTIF(DU881:EH881, "&lt;&gt;")</f>
        <v>5</v>
      </c>
      <c r="AZ881" s="0" t="n">
        <f aca="false">IF(EH881&lt;&gt;"",1,0)</f>
        <v>0</v>
      </c>
      <c r="BB881" s="0" t="s">
        <v>153</v>
      </c>
      <c r="DJ881" s="0" t="s">
        <v>155</v>
      </c>
      <c r="DN881" s="0" t="s">
        <v>154</v>
      </c>
      <c r="DU881" s="0" t="s">
        <v>154</v>
      </c>
      <c r="DW881" s="0" t="s">
        <v>155</v>
      </c>
      <c r="EA881" s="0" t="s">
        <v>154</v>
      </c>
      <c r="ED881" s="0" t="s">
        <v>155</v>
      </c>
      <c r="EF881" s="0" t="s">
        <v>154</v>
      </c>
    </row>
    <row r="882" customFormat="false" ht="13.8" hidden="false" customHeight="false" outlineLevel="0" collapsed="false">
      <c r="A882" s="0" t="s">
        <v>4365</v>
      </c>
      <c r="B882" s="0" t="n">
        <v>78</v>
      </c>
      <c r="C882" s="0" t="n">
        <v>234456</v>
      </c>
      <c r="D882" s="0" t="s">
        <v>4361</v>
      </c>
      <c r="E882" s="0" t="s">
        <v>2754</v>
      </c>
      <c r="F882" s="0" t="str">
        <f aca="false">CONCATENATE(D882," ",LEFT(H882,4),"T=",AU882,"D=",AV882,"R=",AW882,"M=",AX882,"L=",AY882,"B=",AZ882)</f>
        <v>MCGEE T=12D=3R=0M=8L=7B=1</v>
      </c>
      <c r="I882" s="0" t="s">
        <v>4366</v>
      </c>
      <c r="J882" s="0" t="s">
        <v>4367</v>
      </c>
      <c r="K882" s="0" t="s">
        <v>175</v>
      </c>
      <c r="L882" s="1" t="s">
        <v>155</v>
      </c>
      <c r="M882" s="0" t="s">
        <v>4364</v>
      </c>
      <c r="N882" s="0" t="str">
        <f aca="false">RIGHT(M882,LEN(M882)-FIND(" ",M882))</f>
        <v>FEDERAL ST NW</v>
      </c>
      <c r="P882" s="0" t="s">
        <v>146</v>
      </c>
      <c r="Q882" s="0" t="s">
        <v>147</v>
      </c>
      <c r="R882" s="0" t="n">
        <v>44483</v>
      </c>
      <c r="AD882" s="0" t="s">
        <v>148</v>
      </c>
      <c r="AE882" s="0" t="s">
        <v>149</v>
      </c>
      <c r="AF882" s="0" t="s">
        <v>150</v>
      </c>
      <c r="AH882" s="0" t="n">
        <v>14</v>
      </c>
      <c r="AI882" s="0" t="n">
        <v>11</v>
      </c>
      <c r="AN882" s="0" t="s">
        <v>146</v>
      </c>
      <c r="AO882" s="0" t="s">
        <v>250</v>
      </c>
      <c r="AP882" s="0" t="s">
        <v>251</v>
      </c>
      <c r="AQ882" s="0" t="n">
        <v>9</v>
      </c>
      <c r="AR882" s="0" t="n">
        <v>64</v>
      </c>
      <c r="AS882" s="0" t="n">
        <v>32</v>
      </c>
      <c r="AU882" s="0" t="n">
        <f aca="false">COUNTA($BA$2246:$EH$2246)</f>
        <v>12</v>
      </c>
      <c r="AV882" s="0" t="n">
        <f aca="false">COUNTIF($BA$2246:$EH$2246,"D")</f>
        <v>3</v>
      </c>
      <c r="AW882" s="0" t="n">
        <f aca="false">COUNTIF($BA$2246:$EH$2246,"R")</f>
        <v>0</v>
      </c>
      <c r="AX882" s="0" t="n">
        <f aca="false"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>8</v>
      </c>
      <c r="AY882" s="0" t="n">
        <f aca="false">COUNTIF(DU882:EH882, "&lt;&gt;")</f>
        <v>7</v>
      </c>
      <c r="AZ882" s="0" t="n">
        <f aca="false">IF(EH882&lt;&gt;"",1,0)</f>
        <v>1</v>
      </c>
      <c r="BB882" s="0" t="s">
        <v>153</v>
      </c>
      <c r="BC882" s="0" t="s">
        <v>154</v>
      </c>
      <c r="BD882" s="0" t="s">
        <v>154</v>
      </c>
      <c r="BE882" s="0" t="s">
        <v>154</v>
      </c>
      <c r="BF882" s="0" t="s">
        <v>154</v>
      </c>
      <c r="BG882" s="0" t="s">
        <v>154</v>
      </c>
      <c r="BH882" s="0" t="s">
        <v>154</v>
      </c>
      <c r="BI882" s="0" t="s">
        <v>154</v>
      </c>
      <c r="BJ882" s="0" t="s">
        <v>154</v>
      </c>
      <c r="BK882" s="0" t="s">
        <v>154</v>
      </c>
      <c r="BL882" s="0" t="s">
        <v>154</v>
      </c>
      <c r="BP882" s="0" t="s">
        <v>154</v>
      </c>
      <c r="BR882" s="0" t="s">
        <v>154</v>
      </c>
      <c r="BS882" s="0" t="s">
        <v>154</v>
      </c>
      <c r="BV882" s="0" t="s">
        <v>154</v>
      </c>
      <c r="BY882" s="0" t="s">
        <v>155</v>
      </c>
      <c r="CA882" s="0" t="s">
        <v>154</v>
      </c>
      <c r="CG882" s="0" t="s">
        <v>154</v>
      </c>
      <c r="CH882" s="0" t="s">
        <v>155</v>
      </c>
      <c r="CK882" s="0" t="s">
        <v>154</v>
      </c>
      <c r="CL882" s="0" t="s">
        <v>155</v>
      </c>
      <c r="CN882" s="0" t="s">
        <v>154</v>
      </c>
      <c r="CP882" s="0" t="s">
        <v>154</v>
      </c>
      <c r="CQ882" s="0" t="s">
        <v>155</v>
      </c>
      <c r="CT882" s="0" t="s">
        <v>154</v>
      </c>
      <c r="CU882" s="0" t="s">
        <v>155</v>
      </c>
      <c r="CV882" s="0" t="s">
        <v>154</v>
      </c>
      <c r="CW882" s="0" t="s">
        <v>155</v>
      </c>
      <c r="CY882" s="0" t="s">
        <v>154</v>
      </c>
      <c r="CZ882" s="0" t="s">
        <v>155</v>
      </c>
      <c r="DC882" s="0" t="s">
        <v>154</v>
      </c>
      <c r="DD882" s="0" t="s">
        <v>155</v>
      </c>
      <c r="DF882" s="0" t="s">
        <v>154</v>
      </c>
      <c r="DG882" s="0" t="s">
        <v>155</v>
      </c>
      <c r="DI882" s="0" t="s">
        <v>154</v>
      </c>
      <c r="DJ882" s="0" t="s">
        <v>155</v>
      </c>
      <c r="DL882" s="0" t="s">
        <v>154</v>
      </c>
      <c r="DM882" s="0" t="s">
        <v>155</v>
      </c>
      <c r="DN882" s="0" t="s">
        <v>154</v>
      </c>
      <c r="DO882" s="0" t="s">
        <v>155</v>
      </c>
      <c r="DR882" s="0" t="s">
        <v>154</v>
      </c>
      <c r="DS882" s="0" t="s">
        <v>155</v>
      </c>
      <c r="DT882" s="0" t="s">
        <v>155</v>
      </c>
      <c r="DU882" s="0" t="s">
        <v>154</v>
      </c>
      <c r="DW882" s="0" t="s">
        <v>155</v>
      </c>
      <c r="DX882" s="0" t="s">
        <v>154</v>
      </c>
      <c r="EA882" s="0" t="s">
        <v>154</v>
      </c>
      <c r="ED882" s="0" t="s">
        <v>176</v>
      </c>
      <c r="EF882" s="0" t="s">
        <v>154</v>
      </c>
      <c r="EH882" s="0" t="s">
        <v>155</v>
      </c>
    </row>
    <row r="883" customFormat="false" ht="13.8" hidden="true" customHeight="false" outlineLevel="0" collapsed="false">
      <c r="A883" s="0" t="s">
        <v>4368</v>
      </c>
      <c r="B883" s="0" t="n">
        <v>78</v>
      </c>
      <c r="C883" s="0" t="n">
        <v>6962</v>
      </c>
      <c r="D883" s="0" t="s">
        <v>4369</v>
      </c>
      <c r="E883" s="0" t="s">
        <v>4370</v>
      </c>
      <c r="F883" s="0" t="str">
        <f aca="false">CONCATENATE(D883," ",LEFT(H883,4),"T=",AU883,"D=",AV883,"R=",AW883,"M=",AX883,"L=",AY883,"B=",AZ883)</f>
        <v>PIERCE T=51D=19R=0M=1L=0B=0</v>
      </c>
      <c r="G883" s="0" t="s">
        <v>188</v>
      </c>
      <c r="I883" s="0" t="s">
        <v>4371</v>
      </c>
      <c r="J883" s="0" t="s">
        <v>606</v>
      </c>
      <c r="K883" s="0" t="s">
        <v>175</v>
      </c>
      <c r="L883" s="0"/>
      <c r="M883" s="0" t="s">
        <v>4372</v>
      </c>
      <c r="N883" s="0" t="str">
        <f aca="false">RIGHT(M883,LEN(M883)-FIND(" ",M883))</f>
        <v>FEDERAL ST NW</v>
      </c>
      <c r="P883" s="0" t="s">
        <v>146</v>
      </c>
      <c r="Q883" s="0" t="s">
        <v>147</v>
      </c>
      <c r="R883" s="0" t="n">
        <v>44483</v>
      </c>
      <c r="AD883" s="0" t="s">
        <v>148</v>
      </c>
      <c r="AE883" s="0" t="s">
        <v>149</v>
      </c>
      <c r="AF883" s="0" t="s">
        <v>150</v>
      </c>
      <c r="AH883" s="0" t="n">
        <v>14</v>
      </c>
      <c r="AI883" s="0" t="n">
        <v>11</v>
      </c>
      <c r="AN883" s="0" t="s">
        <v>146</v>
      </c>
      <c r="AO883" s="0" t="s">
        <v>250</v>
      </c>
      <c r="AP883" s="0" t="s">
        <v>251</v>
      </c>
      <c r="AQ883" s="0" t="n">
        <v>9</v>
      </c>
      <c r="AR883" s="0" t="n">
        <v>64</v>
      </c>
      <c r="AS883" s="0" t="n">
        <v>32</v>
      </c>
      <c r="AU883" s="0" t="n">
        <f aca="false">COUNTA($BA$2128:$EH$2128)</f>
        <v>51</v>
      </c>
      <c r="AV883" s="0" t="n">
        <f aca="false">COUNTIF($BA$2128:$EH$2128,"D")</f>
        <v>19</v>
      </c>
      <c r="AW883" s="0" t="n">
        <f aca="false">COUNTIF($BA$2128:$EH$2128,"R")</f>
        <v>0</v>
      </c>
      <c r="AX883" s="0" t="n">
        <f aca="false"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>1</v>
      </c>
      <c r="AY883" s="0" t="n">
        <f aca="false">COUNTIF(DU883:EH883, "&lt;&gt;")</f>
        <v>0</v>
      </c>
      <c r="AZ883" s="0" t="n">
        <f aca="false">IF(EH883&lt;&gt;"",1,0)</f>
        <v>0</v>
      </c>
      <c r="BB883" s="0" t="s">
        <v>153</v>
      </c>
      <c r="BC883" s="0" t="s">
        <v>154</v>
      </c>
      <c r="BD883" s="0" t="s">
        <v>154</v>
      </c>
      <c r="BE883" s="0" t="s">
        <v>154</v>
      </c>
      <c r="BF883" s="0" t="s">
        <v>154</v>
      </c>
      <c r="BG883" s="0" t="s">
        <v>154</v>
      </c>
      <c r="BH883" s="0" t="s">
        <v>154</v>
      </c>
      <c r="BI883" s="0" t="s">
        <v>154</v>
      </c>
      <c r="BJ883" s="0" t="s">
        <v>154</v>
      </c>
      <c r="BK883" s="0" t="s">
        <v>154</v>
      </c>
      <c r="BL883" s="0" t="s">
        <v>154</v>
      </c>
      <c r="BP883" s="0" t="s">
        <v>154</v>
      </c>
      <c r="BR883" s="0" t="s">
        <v>154</v>
      </c>
      <c r="BS883" s="0" t="s">
        <v>154</v>
      </c>
      <c r="BV883" s="0" t="s">
        <v>154</v>
      </c>
      <c r="BY883" s="0" t="s">
        <v>155</v>
      </c>
      <c r="CA883" s="0" t="s">
        <v>154</v>
      </c>
      <c r="CG883" s="0" t="s">
        <v>154</v>
      </c>
      <c r="CH883" s="0" t="s">
        <v>155</v>
      </c>
      <c r="CK883" s="0" t="s">
        <v>154</v>
      </c>
      <c r="CL883" s="0" t="s">
        <v>155</v>
      </c>
      <c r="CN883" s="0" t="s">
        <v>154</v>
      </c>
      <c r="CO883" s="0" t="s">
        <v>155</v>
      </c>
      <c r="CP883" s="0" t="s">
        <v>154</v>
      </c>
      <c r="CV883" s="0" t="s">
        <v>154</v>
      </c>
      <c r="CZ883" s="0" t="s">
        <v>176</v>
      </c>
      <c r="DC883" s="0" t="s">
        <v>154</v>
      </c>
      <c r="DI883" s="0" t="s">
        <v>154</v>
      </c>
      <c r="DM883" s="0" t="s">
        <v>155</v>
      </c>
      <c r="DN883" s="0" t="s">
        <v>154</v>
      </c>
    </row>
    <row r="884" customFormat="false" ht="13.8" hidden="true" customHeight="false" outlineLevel="0" collapsed="false">
      <c r="A884" s="0" t="s">
        <v>4373</v>
      </c>
      <c r="B884" s="0" t="n">
        <v>78</v>
      </c>
      <c r="C884" s="0" t="n">
        <v>409206</v>
      </c>
      <c r="D884" s="0" t="s">
        <v>3962</v>
      </c>
      <c r="E884" s="0" t="s">
        <v>4374</v>
      </c>
      <c r="F884" s="0" t="str">
        <f aca="false">CONCATENATE(D884," ",LEFT(H884,4),"T=",AU884,"D=",AV884,"R=",AW884,"M=",AX884,"L=",AY884,"B=",AZ884)</f>
        <v>HILL T=3D=0R=0M=0L=0B=0</v>
      </c>
      <c r="G884" s="0" t="s">
        <v>172</v>
      </c>
      <c r="I884" s="0" t="s">
        <v>4375</v>
      </c>
      <c r="J884" s="0" t="s">
        <v>4376</v>
      </c>
      <c r="K884" s="0" t="s">
        <v>144</v>
      </c>
      <c r="L884" s="0"/>
      <c r="M884" s="0" t="s">
        <v>4377</v>
      </c>
      <c r="N884" s="0" t="str">
        <f aca="false">RIGHT(M884,LEN(M884)-FIND(" ",M884))</f>
        <v>FEDERAL ST NW</v>
      </c>
      <c r="P884" s="0" t="s">
        <v>146</v>
      </c>
      <c r="Q884" s="0" t="s">
        <v>147</v>
      </c>
      <c r="R884" s="0" t="n">
        <v>44483</v>
      </c>
      <c r="AD884" s="0" t="s">
        <v>148</v>
      </c>
      <c r="AE884" s="0" t="s">
        <v>149</v>
      </c>
      <c r="AF884" s="0" t="s">
        <v>150</v>
      </c>
      <c r="AH884" s="0" t="n">
        <v>14</v>
      </c>
      <c r="AI884" s="0" t="n">
        <v>11</v>
      </c>
      <c r="AN884" s="0" t="s">
        <v>146</v>
      </c>
      <c r="AO884" s="0" t="s">
        <v>250</v>
      </c>
      <c r="AP884" s="0" t="s">
        <v>251</v>
      </c>
      <c r="AQ884" s="0" t="n">
        <v>9</v>
      </c>
      <c r="AR884" s="0" t="n">
        <v>64</v>
      </c>
      <c r="AS884" s="0" t="n">
        <v>32</v>
      </c>
      <c r="AU884" s="0" t="n">
        <f aca="false">COUNTA($BA$2177:$EH$2177)</f>
        <v>3</v>
      </c>
      <c r="AV884" s="0" t="n">
        <f aca="false">COUNTIF($BA$2177:$EH$2177,"D")</f>
        <v>0</v>
      </c>
      <c r="AW884" s="0" t="n">
        <f aca="false">COUNTIF($BA$2177:$EH$2177,"R")</f>
        <v>0</v>
      </c>
      <c r="AX884" s="0" t="n">
        <f aca="false"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>0</v>
      </c>
      <c r="AY884" s="0" t="n">
        <f aca="false">COUNTIF(DU884:EH884, "&lt;&gt;")</f>
        <v>0</v>
      </c>
      <c r="AZ884" s="0" t="n">
        <f aca="false">IF(EH884&lt;&gt;"",1,0)</f>
        <v>0</v>
      </c>
      <c r="BB884" s="0" t="s">
        <v>153</v>
      </c>
    </row>
    <row r="885" customFormat="false" ht="13.8" hidden="true" customHeight="false" outlineLevel="0" collapsed="false">
      <c r="A885" s="0" t="s">
        <v>4378</v>
      </c>
      <c r="B885" s="0" t="n">
        <v>78</v>
      </c>
      <c r="C885" s="0" t="n">
        <v>388410</v>
      </c>
      <c r="D885" s="0" t="s">
        <v>4379</v>
      </c>
      <c r="E885" s="0" t="s">
        <v>423</v>
      </c>
      <c r="F885" s="0" t="str">
        <f aca="false">CONCATENATE(D885," ",LEFT(H885,4),"T=",AU885,"D=",AV885,"R=",AW885,"M=",AX885,"L=",AY885,"B=",AZ885)</f>
        <v>BUSCH T=30D=9R=0M=0L=1B=0</v>
      </c>
      <c r="G885" s="0" t="s">
        <v>981</v>
      </c>
      <c r="I885" s="0" t="s">
        <v>4380</v>
      </c>
      <c r="J885" s="0" t="s">
        <v>1251</v>
      </c>
      <c r="K885" s="0" t="s">
        <v>175</v>
      </c>
      <c r="L885" s="0"/>
      <c r="M885" s="0" t="s">
        <v>4381</v>
      </c>
      <c r="N885" s="0" t="str">
        <f aca="false">RIGHT(M885,LEN(M885)-FIND(" ",M885))</f>
        <v>FEDERAL ST NW</v>
      </c>
      <c r="P885" s="0" t="s">
        <v>146</v>
      </c>
      <c r="Q885" s="0" t="s">
        <v>147</v>
      </c>
      <c r="R885" s="0" t="n">
        <v>44483</v>
      </c>
      <c r="AD885" s="0" t="s">
        <v>148</v>
      </c>
      <c r="AE885" s="0" t="s">
        <v>149</v>
      </c>
      <c r="AF885" s="0" t="s">
        <v>150</v>
      </c>
      <c r="AH885" s="0" t="n">
        <v>14</v>
      </c>
      <c r="AI885" s="0" t="n">
        <v>11</v>
      </c>
      <c r="AN885" s="0" t="s">
        <v>146</v>
      </c>
      <c r="AO885" s="0" t="s">
        <v>250</v>
      </c>
      <c r="AP885" s="0" t="s">
        <v>251</v>
      </c>
      <c r="AQ885" s="0" t="n">
        <v>9</v>
      </c>
      <c r="AR885" s="0" t="n">
        <v>64</v>
      </c>
      <c r="AS885" s="0" t="n">
        <v>32</v>
      </c>
      <c r="AU885" s="0" t="n">
        <f aca="false">COUNTA($BA$2213:$EH$2213)</f>
        <v>30</v>
      </c>
      <c r="AV885" s="0" t="n">
        <f aca="false">COUNTIF($BA$2213:$EH$2213,"D")</f>
        <v>9</v>
      </c>
      <c r="AW885" s="0" t="n">
        <f aca="false">COUNTIF($BA$2213:$EH$2213,"R")</f>
        <v>0</v>
      </c>
      <c r="AX885" s="0" t="n">
        <f aca="false"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>0</v>
      </c>
      <c r="AY885" s="0" t="n">
        <f aca="false">COUNTIF(DU885:EH885, "&lt;&gt;")</f>
        <v>1</v>
      </c>
      <c r="AZ885" s="0" t="n">
        <f aca="false">IF(EH885&lt;&gt;"",1,0)</f>
        <v>0</v>
      </c>
      <c r="BB885" s="0" t="s">
        <v>153</v>
      </c>
      <c r="CP885" s="0" t="s">
        <v>154</v>
      </c>
      <c r="DI885" s="0" t="s">
        <v>154</v>
      </c>
      <c r="EF885" s="0" t="s">
        <v>154</v>
      </c>
    </row>
    <row r="886" customFormat="false" ht="13.8" hidden="true" customHeight="false" outlineLevel="0" collapsed="false">
      <c r="A886" s="0" t="s">
        <v>4382</v>
      </c>
      <c r="B886" s="0" t="n">
        <v>78</v>
      </c>
      <c r="C886" s="0" t="n">
        <v>477875</v>
      </c>
      <c r="D886" s="0" t="s">
        <v>4383</v>
      </c>
      <c r="E886" s="0" t="s">
        <v>1536</v>
      </c>
      <c r="F886" s="0" t="str">
        <f aca="false">CONCATENATE(D886," ",LEFT(H886,4),"T=",AU886,"D=",AV886,"R=",AW886,"M=",AX886,"L=",AY886,"B=",AZ886)</f>
        <v>DODSON T=4D=0R=0M=0L=0B=0</v>
      </c>
      <c r="G886" s="0" t="s">
        <v>4384</v>
      </c>
      <c r="I886" s="0" t="s">
        <v>4385</v>
      </c>
      <c r="J886" s="0" t="s">
        <v>3591</v>
      </c>
      <c r="K886" s="0" t="s">
        <v>175</v>
      </c>
      <c r="L886" s="0"/>
      <c r="M886" s="0" t="s">
        <v>4381</v>
      </c>
      <c r="N886" s="0" t="str">
        <f aca="false">RIGHT(M886,LEN(M886)-FIND(" ",M886))</f>
        <v>FEDERAL ST NW</v>
      </c>
      <c r="P886" s="0" t="s">
        <v>146</v>
      </c>
      <c r="Q886" s="0" t="s">
        <v>147</v>
      </c>
      <c r="R886" s="0" t="n">
        <v>44483</v>
      </c>
      <c r="AD886" s="0" t="s">
        <v>148</v>
      </c>
      <c r="AE886" s="0" t="s">
        <v>149</v>
      </c>
      <c r="AF886" s="0" t="s">
        <v>150</v>
      </c>
      <c r="AH886" s="0" t="n">
        <v>14</v>
      </c>
      <c r="AI886" s="0" t="n">
        <v>11</v>
      </c>
      <c r="AN886" s="0" t="s">
        <v>146</v>
      </c>
      <c r="AO886" s="0" t="s">
        <v>250</v>
      </c>
      <c r="AP886" s="0" t="s">
        <v>251</v>
      </c>
      <c r="AQ886" s="0" t="n">
        <v>9</v>
      </c>
      <c r="AR886" s="0" t="n">
        <v>64</v>
      </c>
      <c r="AS886" s="0" t="n">
        <v>32</v>
      </c>
      <c r="AU886" s="0" t="n">
        <f aca="false">COUNTA($BA$2362:$EH$2362)</f>
        <v>4</v>
      </c>
      <c r="AV886" s="0" t="n">
        <f aca="false">COUNTIF($BA$2362:$EH$2362,"D")</f>
        <v>0</v>
      </c>
      <c r="AW886" s="0" t="n">
        <f aca="false">COUNTIF($BA$2362:$EH$2362,"R")</f>
        <v>0</v>
      </c>
      <c r="AX886" s="0" t="n">
        <f aca="false"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>0</v>
      </c>
      <c r="AY886" s="0" t="n">
        <f aca="false">COUNTIF(DU886:EH886, "&lt;&gt;")</f>
        <v>0</v>
      </c>
      <c r="AZ886" s="0" t="n">
        <f aca="false">IF(EH886&lt;&gt;"",1,0)</f>
        <v>0</v>
      </c>
      <c r="BB886" s="0" t="s">
        <v>153</v>
      </c>
    </row>
    <row r="887" customFormat="false" ht="13.8" hidden="true" customHeight="false" outlineLevel="0" collapsed="false">
      <c r="A887" s="0" t="s">
        <v>4386</v>
      </c>
      <c r="B887" s="0" t="n">
        <v>78</v>
      </c>
      <c r="C887" s="0" t="n">
        <v>417214</v>
      </c>
      <c r="D887" s="0" t="s">
        <v>645</v>
      </c>
      <c r="E887" s="0" t="s">
        <v>4387</v>
      </c>
      <c r="F887" s="0" t="str">
        <f aca="false">CONCATENATE(D887," ",LEFT(H887,4),"T=",AU887,"D=",AV887,"R=",AW887,"M=",AX887,"L=",AY887,"B=",AZ887)</f>
        <v>WILLIAMS T=29D=4R=0M=0L=0B=0</v>
      </c>
      <c r="G887" s="0" t="s">
        <v>188</v>
      </c>
      <c r="I887" s="0" t="s">
        <v>4388</v>
      </c>
      <c r="J887" s="0" t="s">
        <v>4389</v>
      </c>
      <c r="K887" s="0" t="s">
        <v>175</v>
      </c>
      <c r="L887" s="0"/>
      <c r="M887" s="0" t="s">
        <v>4390</v>
      </c>
      <c r="N887" s="0" t="str">
        <f aca="false">RIGHT(M887,LEN(M887)-FIND(" ",M887))</f>
        <v>FEDERAL ST NW</v>
      </c>
      <c r="P887" s="0" t="s">
        <v>146</v>
      </c>
      <c r="Q887" s="0" t="s">
        <v>147</v>
      </c>
      <c r="R887" s="0" t="n">
        <v>44483</v>
      </c>
      <c r="AD887" s="0" t="s">
        <v>148</v>
      </c>
      <c r="AE887" s="0" t="s">
        <v>149</v>
      </c>
      <c r="AF887" s="0" t="s">
        <v>150</v>
      </c>
      <c r="AH887" s="0" t="n">
        <v>14</v>
      </c>
      <c r="AI887" s="0" t="n">
        <v>11</v>
      </c>
      <c r="AN887" s="0" t="s">
        <v>146</v>
      </c>
      <c r="AO887" s="0" t="s">
        <v>250</v>
      </c>
      <c r="AP887" s="0" t="s">
        <v>251</v>
      </c>
      <c r="AQ887" s="0" t="n">
        <v>9</v>
      </c>
      <c r="AR887" s="0" t="n">
        <v>64</v>
      </c>
      <c r="AS887" s="0" t="n">
        <v>32</v>
      </c>
      <c r="AU887" s="0" t="n">
        <f aca="false">COUNTA($BA$2729:$EH$2729)</f>
        <v>29</v>
      </c>
      <c r="AV887" s="0" t="n">
        <f aca="false">COUNTIF($BA$2729:$EH$2729,"D")</f>
        <v>4</v>
      </c>
      <c r="AW887" s="0" t="n">
        <f aca="false">COUNTIF($BA$2729:$EH$2729,"R")</f>
        <v>0</v>
      </c>
      <c r="AX887" s="0" t="n">
        <f aca="false"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>0</v>
      </c>
      <c r="AY887" s="0" t="n">
        <f aca="false">COUNTIF(DU887:EH887, "&lt;&gt;")</f>
        <v>0</v>
      </c>
      <c r="AZ887" s="0" t="n">
        <f aca="false">IF(EH887&lt;&gt;"",1,0)</f>
        <v>0</v>
      </c>
      <c r="BB887" s="0" t="s">
        <v>153</v>
      </c>
    </row>
    <row r="888" customFormat="false" ht="13.8" hidden="true" customHeight="false" outlineLevel="0" collapsed="false">
      <c r="A888" s="0" t="s">
        <v>4391</v>
      </c>
      <c r="B888" s="0" t="n">
        <v>78</v>
      </c>
      <c r="C888" s="0" t="n">
        <v>427659</v>
      </c>
      <c r="D888" s="0" t="s">
        <v>1588</v>
      </c>
      <c r="E888" s="0" t="s">
        <v>4392</v>
      </c>
      <c r="F888" s="0" t="str">
        <f aca="false">CONCATENATE(D888," ",LEFT(H888,4),"T=",AU888,"D=",AV888,"R=",AW888,"M=",AX888,"L=",AY888,"B=",AZ888)</f>
        <v>HALL T=53D=19R=0M=0L=0B=0</v>
      </c>
      <c r="G888" s="0" t="s">
        <v>172</v>
      </c>
      <c r="I888" s="0" t="s">
        <v>4393</v>
      </c>
      <c r="J888" s="0" t="s">
        <v>4394</v>
      </c>
      <c r="K888" s="0" t="s">
        <v>175</v>
      </c>
      <c r="L888" s="0"/>
      <c r="M888" s="0" t="s">
        <v>4395</v>
      </c>
      <c r="N888" s="0" t="str">
        <f aca="false">RIGHT(M888,LEN(M888)-FIND(" ",M888))</f>
        <v>FEDERAL ST NW</v>
      </c>
      <c r="P888" s="0" t="s">
        <v>146</v>
      </c>
      <c r="Q888" s="0" t="s">
        <v>147</v>
      </c>
      <c r="R888" s="0" t="n">
        <v>44483</v>
      </c>
      <c r="AD888" s="0" t="s">
        <v>148</v>
      </c>
      <c r="AE888" s="0" t="s">
        <v>149</v>
      </c>
      <c r="AF888" s="0" t="s">
        <v>150</v>
      </c>
      <c r="AH888" s="0" t="n">
        <v>14</v>
      </c>
      <c r="AI888" s="0" t="n">
        <v>11</v>
      </c>
      <c r="AN888" s="0" t="s">
        <v>146</v>
      </c>
      <c r="AO888" s="0" t="s">
        <v>250</v>
      </c>
      <c r="AP888" s="0" t="s">
        <v>251</v>
      </c>
      <c r="AQ888" s="0" t="n">
        <v>9</v>
      </c>
      <c r="AR888" s="0" t="n">
        <v>64</v>
      </c>
      <c r="AS888" s="0" t="n">
        <v>32</v>
      </c>
      <c r="AU888" s="0" t="n">
        <f aca="false">COUNTA($BA$2236:$EH$2236)</f>
        <v>53</v>
      </c>
      <c r="AV888" s="0" t="n">
        <f aca="false">COUNTIF($BA$2236:$EH$2236,"D")</f>
        <v>19</v>
      </c>
      <c r="AW888" s="0" t="n">
        <f aca="false">COUNTIF($BA$2236:$EH$2236,"R")</f>
        <v>0</v>
      </c>
      <c r="AX888" s="0" t="n">
        <f aca="false"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>0</v>
      </c>
      <c r="AY888" s="0" t="n">
        <f aca="false">COUNTIF(DU888:EH888, "&lt;&gt;")</f>
        <v>0</v>
      </c>
      <c r="AZ888" s="0" t="n">
        <f aca="false">IF(EH888&lt;&gt;"",1,0)</f>
        <v>0</v>
      </c>
      <c r="BB888" s="0" t="s">
        <v>153</v>
      </c>
    </row>
    <row r="889" customFormat="false" ht="13.8" hidden="true" customHeight="false" outlineLevel="0" collapsed="false">
      <c r="A889" s="0" t="s">
        <v>4396</v>
      </c>
      <c r="B889" s="0" t="n">
        <v>78</v>
      </c>
      <c r="C889" s="0" t="n">
        <v>437873</v>
      </c>
      <c r="D889" s="0" t="s">
        <v>4397</v>
      </c>
      <c r="E889" s="0" t="s">
        <v>4398</v>
      </c>
      <c r="F889" s="0" t="str">
        <f aca="false">CONCATENATE(D889," ",LEFT(H889,4),"T=",AU889,"D=",AV889,"R=",AW889,"M=",AX889,"L=",AY889,"B=",AZ889)</f>
        <v>PICKETT T=6D=0R=1M=0L=0B=0</v>
      </c>
      <c r="G889" s="0" t="s">
        <v>329</v>
      </c>
      <c r="I889" s="0" t="s">
        <v>4399</v>
      </c>
      <c r="J889" s="0" t="s">
        <v>4400</v>
      </c>
      <c r="K889" s="0" t="s">
        <v>175</v>
      </c>
      <c r="L889" s="0"/>
      <c r="M889" s="0" t="s">
        <v>4395</v>
      </c>
      <c r="N889" s="0" t="str">
        <f aca="false">RIGHT(M889,LEN(M889)-FIND(" ",M889))</f>
        <v>FEDERAL ST NW</v>
      </c>
      <c r="P889" s="0" t="s">
        <v>146</v>
      </c>
      <c r="Q889" s="0" t="s">
        <v>147</v>
      </c>
      <c r="R889" s="0" t="n">
        <v>44483</v>
      </c>
      <c r="AD889" s="0" t="s">
        <v>148</v>
      </c>
      <c r="AE889" s="0" t="s">
        <v>149</v>
      </c>
      <c r="AF889" s="0" t="s">
        <v>150</v>
      </c>
      <c r="AH889" s="0" t="n">
        <v>14</v>
      </c>
      <c r="AI889" s="0" t="n">
        <v>11</v>
      </c>
      <c r="AN889" s="0" t="s">
        <v>146</v>
      </c>
      <c r="AO889" s="0" t="s">
        <v>250</v>
      </c>
      <c r="AP889" s="0" t="s">
        <v>251</v>
      </c>
      <c r="AQ889" s="0" t="n">
        <v>9</v>
      </c>
      <c r="AR889" s="0" t="n">
        <v>64</v>
      </c>
      <c r="AS889" s="0" t="n">
        <v>32</v>
      </c>
      <c r="AU889" s="0" t="n">
        <f aca="false">COUNTA($BA$2266:$EH$2266)</f>
        <v>6</v>
      </c>
      <c r="AV889" s="0" t="n">
        <f aca="false">COUNTIF($BA$2266:$EH$2266,"D")</f>
        <v>0</v>
      </c>
      <c r="AW889" s="0" t="n">
        <f aca="false">COUNTIF($BA$2266:$EH$2266,"R")</f>
        <v>1</v>
      </c>
      <c r="AX889" s="0" t="n">
        <f aca="false"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>0</v>
      </c>
      <c r="AY889" s="0" t="n">
        <f aca="false">COUNTIF(DU889:EH889, "&lt;&gt;")</f>
        <v>0</v>
      </c>
      <c r="AZ889" s="0" t="n">
        <f aca="false">IF(EH889&lt;&gt;"",1,0)</f>
        <v>0</v>
      </c>
      <c r="BB889" s="0" t="s">
        <v>153</v>
      </c>
    </row>
    <row r="890" customFormat="false" ht="13.8" hidden="true" customHeight="false" outlineLevel="0" collapsed="false">
      <c r="A890" s="0" t="s">
        <v>4401</v>
      </c>
      <c r="B890" s="0" t="n">
        <v>78</v>
      </c>
      <c r="C890" s="0" t="n">
        <v>413662</v>
      </c>
      <c r="D890" s="0" t="s">
        <v>4402</v>
      </c>
      <c r="E890" s="0" t="s">
        <v>4403</v>
      </c>
      <c r="F890" s="0" t="str">
        <f aca="false">CONCATENATE(D890," ",LEFT(H890,4),"T=",AU890,"D=",AV890,"R=",AW890,"M=",AX890,"L=",AY890,"B=",AZ890)</f>
        <v>PARKER JONES T=24D=6R=0M=0L=0B=0</v>
      </c>
      <c r="G890" s="0" t="s">
        <v>4404</v>
      </c>
      <c r="I890" s="0" t="s">
        <v>4405</v>
      </c>
      <c r="J890" s="0" t="s">
        <v>4406</v>
      </c>
      <c r="K890" s="0" t="s">
        <v>175</v>
      </c>
      <c r="L890" s="0"/>
      <c r="M890" s="0" t="s">
        <v>4407</v>
      </c>
      <c r="N890" s="0" t="str">
        <f aca="false">RIGHT(M890,LEN(M890)-FIND(" ",M890))</f>
        <v>FEDERAL ST NW</v>
      </c>
      <c r="P890" s="0" t="s">
        <v>146</v>
      </c>
      <c r="Q890" s="0" t="s">
        <v>147</v>
      </c>
      <c r="R890" s="0" t="n">
        <v>44483</v>
      </c>
      <c r="AD890" s="0" t="s">
        <v>148</v>
      </c>
      <c r="AE890" s="0" t="s">
        <v>149</v>
      </c>
      <c r="AF890" s="0" t="s">
        <v>150</v>
      </c>
      <c r="AH890" s="0" t="n">
        <v>14</v>
      </c>
      <c r="AI890" s="0" t="n">
        <v>11</v>
      </c>
      <c r="AN890" s="0" t="s">
        <v>146</v>
      </c>
      <c r="AO890" s="0" t="s">
        <v>250</v>
      </c>
      <c r="AP890" s="0" t="s">
        <v>251</v>
      </c>
      <c r="AQ890" s="0" t="n">
        <v>9</v>
      </c>
      <c r="AR890" s="0" t="n">
        <v>64</v>
      </c>
      <c r="AS890" s="0" t="n">
        <v>32</v>
      </c>
      <c r="AU890" s="0" t="n">
        <f aca="false">COUNTA($BA$2700:$EH$2700)</f>
        <v>24</v>
      </c>
      <c r="AV890" s="0" t="n">
        <f aca="false">COUNTIF($BA$2700:$EH$2700,"D")</f>
        <v>6</v>
      </c>
      <c r="AW890" s="0" t="n">
        <f aca="false">COUNTIF($BA$2700:$EH$2700,"R")</f>
        <v>0</v>
      </c>
      <c r="AX890" s="0" t="n">
        <f aca="false"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>0</v>
      </c>
      <c r="AY890" s="0" t="n">
        <f aca="false">COUNTIF(DU890:EH890, "&lt;&gt;")</f>
        <v>0</v>
      </c>
      <c r="AZ890" s="0" t="n">
        <f aca="false">IF(EH890&lt;&gt;"",1,0)</f>
        <v>0</v>
      </c>
      <c r="BB890" s="0" t="s">
        <v>153</v>
      </c>
    </row>
    <row r="891" customFormat="false" ht="13.8" hidden="true" customHeight="false" outlineLevel="0" collapsed="false">
      <c r="A891" s="0" t="s">
        <v>4408</v>
      </c>
      <c r="B891" s="0" t="n">
        <v>78</v>
      </c>
      <c r="C891" s="0" t="n">
        <v>487749</v>
      </c>
      <c r="D891" s="0" t="s">
        <v>1050</v>
      </c>
      <c r="E891" s="0" t="s">
        <v>513</v>
      </c>
      <c r="F891" s="0" t="str">
        <f aca="false">CONCATENATE(D891," ",LEFT(H891,4),"T=",AU891,"D=",AV891,"R=",AW891,"M=",AX891,"L=",AY891,"B=",AZ891)</f>
        <v>JOHNSON JRT=9D=0R=0M=0L=0B=0</v>
      </c>
      <c r="G891" s="0" t="s">
        <v>4409</v>
      </c>
      <c r="H891" s="0" t="s">
        <v>431</v>
      </c>
      <c r="I891" s="0" t="s">
        <v>4410</v>
      </c>
      <c r="J891" s="0" t="s">
        <v>4411</v>
      </c>
      <c r="K891" s="0" t="s">
        <v>175</v>
      </c>
      <c r="L891" s="0"/>
      <c r="M891" s="0" t="s">
        <v>4412</v>
      </c>
      <c r="N891" s="0" t="str">
        <f aca="false">RIGHT(M891,LEN(M891)-FIND(" ",M891))</f>
        <v>FOREST ST NE</v>
      </c>
      <c r="P891" s="0" t="s">
        <v>146</v>
      </c>
      <c r="Q891" s="0" t="s">
        <v>147</v>
      </c>
      <c r="R891" s="0" t="n">
        <v>44483</v>
      </c>
      <c r="AD891" s="0" t="s">
        <v>148</v>
      </c>
      <c r="AE891" s="0" t="s">
        <v>149</v>
      </c>
      <c r="AF891" s="0" t="s">
        <v>150</v>
      </c>
      <c r="AH891" s="0" t="n">
        <v>14</v>
      </c>
      <c r="AI891" s="0" t="n">
        <v>11</v>
      </c>
      <c r="AN891" s="0" t="s">
        <v>146</v>
      </c>
      <c r="AO891" s="0" t="s">
        <v>236</v>
      </c>
      <c r="AP891" s="0" t="s">
        <v>237</v>
      </c>
      <c r="AQ891" s="0" t="n">
        <v>9</v>
      </c>
      <c r="AR891" s="0" t="n">
        <v>64</v>
      </c>
      <c r="AS891" s="0" t="n">
        <v>32</v>
      </c>
      <c r="AU891" s="0" t="n">
        <f aca="false">COUNTA($BA$435:$EH$435)</f>
        <v>9</v>
      </c>
      <c r="AV891" s="0" t="n">
        <f aca="false">COUNTIF($BA$435:$EH$435,"D")</f>
        <v>0</v>
      </c>
      <c r="AW891" s="0" t="n">
        <f aca="false">COUNTIF($BA$435:$EH$435,"R")</f>
        <v>0</v>
      </c>
      <c r="AX891" s="0" t="n">
        <f aca="false"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>0</v>
      </c>
      <c r="AY891" s="0" t="n">
        <f aca="false">COUNTIF(DU891:EH891, "&lt;&gt;")</f>
        <v>0</v>
      </c>
      <c r="AZ891" s="0" t="n">
        <f aca="false">IF(EH891&lt;&gt;"",1,0)</f>
        <v>0</v>
      </c>
      <c r="BB891" s="0" t="s">
        <v>153</v>
      </c>
    </row>
    <row r="892" customFormat="false" ht="13.8" hidden="true" customHeight="false" outlineLevel="0" collapsed="false">
      <c r="A892" s="0" t="s">
        <v>4413</v>
      </c>
      <c r="B892" s="0" t="n">
        <v>78</v>
      </c>
      <c r="C892" s="0" t="n">
        <v>273389</v>
      </c>
      <c r="D892" s="0" t="s">
        <v>1582</v>
      </c>
      <c r="E892" s="0" t="s">
        <v>4414</v>
      </c>
      <c r="F892" s="0" t="str">
        <f aca="false">CONCATENATE(D892," ",LEFT(H892,4),"T=",AU892,"D=",AV892,"R=",AW892,"M=",AX892,"L=",AY892,"B=",AZ892)</f>
        <v>SMITH T=1D=0R=0M=0L=0B=0</v>
      </c>
      <c r="G892" s="0" t="s">
        <v>216</v>
      </c>
      <c r="I892" s="0" t="s">
        <v>4415</v>
      </c>
      <c r="J892" s="0" t="s">
        <v>4416</v>
      </c>
      <c r="K892" s="0" t="s">
        <v>175</v>
      </c>
      <c r="L892" s="0" t="s">
        <v>155</v>
      </c>
      <c r="M892" s="0" t="s">
        <v>4412</v>
      </c>
      <c r="N892" s="0" t="str">
        <f aca="false">RIGHT(M892,LEN(M892)-FIND(" ",M892))</f>
        <v>FOREST ST NE</v>
      </c>
      <c r="P892" s="0" t="s">
        <v>146</v>
      </c>
      <c r="Q892" s="0" t="s">
        <v>147</v>
      </c>
      <c r="R892" s="0" t="n">
        <v>44483</v>
      </c>
      <c r="AD892" s="0" t="s">
        <v>148</v>
      </c>
      <c r="AE892" s="0" t="s">
        <v>149</v>
      </c>
      <c r="AF892" s="0" t="s">
        <v>150</v>
      </c>
      <c r="AH892" s="0" t="n">
        <v>14</v>
      </c>
      <c r="AI892" s="0" t="n">
        <v>11</v>
      </c>
      <c r="AN892" s="0" t="s">
        <v>146</v>
      </c>
      <c r="AO892" s="0" t="s">
        <v>236</v>
      </c>
      <c r="AP892" s="0" t="s">
        <v>237</v>
      </c>
      <c r="AQ892" s="0" t="n">
        <v>9</v>
      </c>
      <c r="AR892" s="0" t="n">
        <v>64</v>
      </c>
      <c r="AS892" s="0" t="n">
        <v>32</v>
      </c>
      <c r="AU892" s="0" t="n">
        <f aca="false">COUNTA($BA$541:$EH$541)</f>
        <v>1</v>
      </c>
      <c r="AV892" s="0" t="n">
        <f aca="false">COUNTIF($BA$541:$EH$541,"D")</f>
        <v>0</v>
      </c>
      <c r="AW892" s="0" t="n">
        <f aca="false">COUNTIF($BA$541:$EH$541,"R")</f>
        <v>0</v>
      </c>
      <c r="AX892" s="0" t="n">
        <f aca="false"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>0</v>
      </c>
      <c r="AY892" s="0" t="n">
        <f aca="false">COUNTIF(DU892:EH892, "&lt;&gt;")</f>
        <v>0</v>
      </c>
      <c r="AZ892" s="0" t="n">
        <f aca="false">IF(EH892&lt;&gt;"",1,0)</f>
        <v>0</v>
      </c>
      <c r="BB892" s="0" t="s">
        <v>153</v>
      </c>
      <c r="CA892" s="0" t="s">
        <v>154</v>
      </c>
      <c r="CP892" s="0" t="s">
        <v>154</v>
      </c>
      <c r="DT892" s="0" t="s">
        <v>155</v>
      </c>
    </row>
    <row r="893" customFormat="false" ht="13.8" hidden="true" customHeight="false" outlineLevel="0" collapsed="false">
      <c r="A893" s="0" t="s">
        <v>4417</v>
      </c>
      <c r="B893" s="0" t="n">
        <v>78</v>
      </c>
      <c r="C893" s="0" t="n">
        <v>380948</v>
      </c>
      <c r="D893" s="0" t="s">
        <v>1861</v>
      </c>
      <c r="E893" s="0" t="s">
        <v>429</v>
      </c>
      <c r="F893" s="0" t="str">
        <f aca="false">CONCATENATE(D893," ",LEFT(H893,4),"T=",AU893,"D=",AV893,"R=",AW893,"M=",AX893,"L=",AY893,"B=",AZ893)</f>
        <v>WASHINGTON JRT=43D=10R=3M=0L=0B=0</v>
      </c>
      <c r="G893" s="0" t="s">
        <v>1991</v>
      </c>
      <c r="H893" s="0" t="s">
        <v>431</v>
      </c>
      <c r="I893" s="0" t="s">
        <v>4418</v>
      </c>
      <c r="J893" s="0" t="s">
        <v>3204</v>
      </c>
      <c r="K893" s="0" t="s">
        <v>144</v>
      </c>
      <c r="L893" s="0"/>
      <c r="M893" s="0" t="s">
        <v>4419</v>
      </c>
      <c r="N893" s="0" t="str">
        <f aca="false">RIGHT(M893,LEN(M893)-FIND(" ",M893))</f>
        <v>FOREST ST NE</v>
      </c>
      <c r="P893" s="0" t="s">
        <v>146</v>
      </c>
      <c r="Q893" s="0" t="s">
        <v>147</v>
      </c>
      <c r="R893" s="0" t="n">
        <v>44483</v>
      </c>
      <c r="AD893" s="0" t="s">
        <v>148</v>
      </c>
      <c r="AE893" s="0" t="s">
        <v>149</v>
      </c>
      <c r="AF893" s="0" t="s">
        <v>150</v>
      </c>
      <c r="AH893" s="0" t="n">
        <v>14</v>
      </c>
      <c r="AI893" s="0" t="n">
        <v>11</v>
      </c>
      <c r="AN893" s="0" t="s">
        <v>146</v>
      </c>
      <c r="AO893" s="0" t="s">
        <v>236</v>
      </c>
      <c r="AP893" s="0" t="s">
        <v>237</v>
      </c>
      <c r="AQ893" s="0" t="n">
        <v>9</v>
      </c>
      <c r="AR893" s="0" t="n">
        <v>64</v>
      </c>
      <c r="AS893" s="0" t="n">
        <v>32</v>
      </c>
      <c r="AU893" s="0" t="n">
        <f aca="false">COUNTA($BA$750:$EH$750)</f>
        <v>43</v>
      </c>
      <c r="AV893" s="0" t="n">
        <f aca="false">COUNTIF($BA$750:$EH$750,"D")</f>
        <v>10</v>
      </c>
      <c r="AW893" s="0" t="n">
        <f aca="false">COUNTIF($BA$750:$EH$750,"R")</f>
        <v>3</v>
      </c>
      <c r="AX893" s="0" t="n">
        <f aca="false"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>0</v>
      </c>
      <c r="AY893" s="0" t="n">
        <f aca="false">COUNTIF(DU893:EH893, "&lt;&gt;")</f>
        <v>0</v>
      </c>
      <c r="AZ893" s="0" t="n">
        <f aca="false">IF(EH893&lt;&gt;"",1,0)</f>
        <v>0</v>
      </c>
      <c r="BB893" s="0" t="s">
        <v>153</v>
      </c>
    </row>
    <row r="894" customFormat="false" ht="13.8" hidden="true" customHeight="false" outlineLevel="0" collapsed="false">
      <c r="A894" s="0" t="s">
        <v>4420</v>
      </c>
      <c r="B894" s="0" t="n">
        <v>78</v>
      </c>
      <c r="C894" s="0" t="n">
        <v>368724</v>
      </c>
      <c r="D894" s="0" t="s">
        <v>1901</v>
      </c>
      <c r="E894" s="0" t="s">
        <v>266</v>
      </c>
      <c r="F894" s="0" t="str">
        <f aca="false">CONCATENATE(D894," ",LEFT(H894,4),"T=",AU894,"D=",AV894,"R=",AW894,"M=",AX894,"L=",AY894,"B=",AZ894)</f>
        <v>SNYDER T=1D=0R=0M=0L=0B=0</v>
      </c>
      <c r="G894" s="0" t="s">
        <v>172</v>
      </c>
      <c r="I894" s="0" t="s">
        <v>4421</v>
      </c>
      <c r="J894" s="0" t="s">
        <v>4422</v>
      </c>
      <c r="K894" s="0" t="s">
        <v>144</v>
      </c>
      <c r="L894" s="0"/>
      <c r="M894" s="0" t="s">
        <v>4423</v>
      </c>
      <c r="N894" s="0" t="str">
        <f aca="false">RIGHT(M894,LEN(M894)-FIND(" ",M894))</f>
        <v>FOREST ST NE</v>
      </c>
      <c r="O894" s="0" t="s">
        <v>4424</v>
      </c>
      <c r="P894" s="0" t="s">
        <v>146</v>
      </c>
      <c r="Q894" s="0" t="s">
        <v>147</v>
      </c>
      <c r="R894" s="0" t="n">
        <v>44483</v>
      </c>
      <c r="AD894" s="0" t="s">
        <v>148</v>
      </c>
      <c r="AE894" s="0" t="s">
        <v>149</v>
      </c>
      <c r="AF894" s="0" t="s">
        <v>150</v>
      </c>
      <c r="AH894" s="0" t="n">
        <v>14</v>
      </c>
      <c r="AI894" s="0" t="n">
        <v>11</v>
      </c>
      <c r="AN894" s="0" t="s">
        <v>146</v>
      </c>
      <c r="AO894" s="0" t="s">
        <v>236</v>
      </c>
      <c r="AP894" s="0" t="s">
        <v>237</v>
      </c>
      <c r="AQ894" s="0" t="n">
        <v>9</v>
      </c>
      <c r="AR894" s="0" t="n">
        <v>64</v>
      </c>
      <c r="AS894" s="0" t="n">
        <v>32</v>
      </c>
      <c r="AU894" s="0" t="n">
        <f aca="false">COUNTA($BA$14:$EH$14)</f>
        <v>1</v>
      </c>
      <c r="AV894" s="0" t="n">
        <f aca="false">COUNTIF($BA$14:$EH$14,"D")</f>
        <v>0</v>
      </c>
      <c r="AW894" s="0" t="n">
        <f aca="false">COUNTIF($BA$14:$EH$14,"R")</f>
        <v>0</v>
      </c>
      <c r="AX894" s="0" t="n">
        <f aca="false"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>0</v>
      </c>
      <c r="AY894" s="0" t="n">
        <f aca="false">COUNTIF(DU894:EH894, "&lt;&gt;")</f>
        <v>0</v>
      </c>
      <c r="AZ894" s="0" t="n">
        <f aca="false">IF(EH894&lt;&gt;"",1,0)</f>
        <v>0</v>
      </c>
      <c r="BB894" s="0" t="s">
        <v>153</v>
      </c>
    </row>
    <row r="895" customFormat="false" ht="13.8" hidden="true" customHeight="false" outlineLevel="0" collapsed="false">
      <c r="A895" s="0" t="s">
        <v>4425</v>
      </c>
      <c r="B895" s="0" t="n">
        <v>78</v>
      </c>
      <c r="C895" s="0" t="n">
        <v>487873</v>
      </c>
      <c r="D895" s="0" t="s">
        <v>4426</v>
      </c>
      <c r="E895" s="0" t="s">
        <v>4427</v>
      </c>
      <c r="F895" s="0" t="str">
        <f aca="false">CONCATENATE(D895," ",LEFT(H895,4),"T=",AU895,"D=",AV895,"R=",AW895,"M=",AX895,"L=",AY895,"B=",AZ895)</f>
        <v>OWENS SRT=5D=0R=0M=0L=0B=0</v>
      </c>
      <c r="G895" s="0" t="s">
        <v>4428</v>
      </c>
      <c r="H895" s="0" t="s">
        <v>311</v>
      </c>
      <c r="I895" s="0" t="s">
        <v>4429</v>
      </c>
      <c r="J895" s="0" t="s">
        <v>845</v>
      </c>
      <c r="K895" s="0" t="s">
        <v>175</v>
      </c>
      <c r="L895" s="0"/>
      <c r="M895" s="0" t="s">
        <v>4423</v>
      </c>
      <c r="N895" s="0" t="str">
        <f aca="false">RIGHT(M895,LEN(M895)-FIND(" ",M895))</f>
        <v>FOREST ST NE</v>
      </c>
      <c r="O895" s="0" t="s">
        <v>972</v>
      </c>
      <c r="P895" s="0" t="s">
        <v>146</v>
      </c>
      <c r="Q895" s="0" t="s">
        <v>147</v>
      </c>
      <c r="R895" s="0" t="n">
        <v>44483</v>
      </c>
      <c r="AD895" s="0" t="s">
        <v>148</v>
      </c>
      <c r="AE895" s="0" t="s">
        <v>149</v>
      </c>
      <c r="AF895" s="0" t="s">
        <v>150</v>
      </c>
      <c r="AH895" s="0" t="n">
        <v>14</v>
      </c>
      <c r="AI895" s="0" t="n">
        <v>11</v>
      </c>
      <c r="AN895" s="0" t="s">
        <v>146</v>
      </c>
      <c r="AO895" s="0" t="s">
        <v>236</v>
      </c>
      <c r="AP895" s="0" t="s">
        <v>237</v>
      </c>
      <c r="AQ895" s="0" t="n">
        <v>9</v>
      </c>
      <c r="AR895" s="0" t="n">
        <v>64</v>
      </c>
      <c r="AS895" s="0" t="n">
        <v>32</v>
      </c>
      <c r="AU895" s="0" t="n">
        <f aca="false">COUNTA($BA$858:$EH$858)</f>
        <v>5</v>
      </c>
      <c r="AV895" s="0" t="n">
        <f aca="false">COUNTIF($BA$858:$EH$858,"D")</f>
        <v>0</v>
      </c>
      <c r="AW895" s="0" t="n">
        <f aca="false">COUNTIF($BA$858:$EH$858,"R")</f>
        <v>0</v>
      </c>
      <c r="AX895" s="0" t="n">
        <f aca="false"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>0</v>
      </c>
      <c r="AY895" s="0" t="n">
        <f aca="false">COUNTIF(DU895:EH895, "&lt;&gt;")</f>
        <v>0</v>
      </c>
      <c r="AZ895" s="0" t="n">
        <f aca="false">IF(EH895&lt;&gt;"",1,0)</f>
        <v>0</v>
      </c>
      <c r="BB895" s="0" t="s">
        <v>153</v>
      </c>
    </row>
    <row r="896" customFormat="false" ht="13.8" hidden="true" customHeight="false" outlineLevel="0" collapsed="false">
      <c r="A896" s="0" t="s">
        <v>4430</v>
      </c>
      <c r="B896" s="0" t="n">
        <v>78</v>
      </c>
      <c r="C896" s="0" t="n">
        <v>486314</v>
      </c>
      <c r="D896" s="0" t="s">
        <v>4431</v>
      </c>
      <c r="E896" s="0" t="s">
        <v>4432</v>
      </c>
      <c r="F896" s="0" t="str">
        <f aca="false">CONCATENATE(D896," ",LEFT(H896,4),"T=",AU896,"D=",AV896,"R=",AW896,"M=",AX896,"L=",AY896,"B=",AZ896)</f>
        <v>PROCTOR T=5D=0R=0M=0L=0B=0</v>
      </c>
      <c r="G896" s="0" t="s">
        <v>222</v>
      </c>
      <c r="I896" s="0" t="s">
        <v>4433</v>
      </c>
      <c r="J896" s="0" t="s">
        <v>4434</v>
      </c>
      <c r="K896" s="0" t="s">
        <v>175</v>
      </c>
      <c r="L896" s="0"/>
      <c r="M896" s="0" t="s">
        <v>4435</v>
      </c>
      <c r="N896" s="0" t="str">
        <f aca="false">RIGHT(M896,LEN(M896)-FIND(" ",M896))</f>
        <v>FOREST ST NE</v>
      </c>
      <c r="P896" s="0" t="s">
        <v>146</v>
      </c>
      <c r="Q896" s="0" t="s">
        <v>147</v>
      </c>
      <c r="R896" s="0" t="n">
        <v>44483</v>
      </c>
      <c r="AD896" s="0" t="s">
        <v>148</v>
      </c>
      <c r="AE896" s="0" t="s">
        <v>149</v>
      </c>
      <c r="AF896" s="0" t="s">
        <v>150</v>
      </c>
      <c r="AH896" s="0" t="n">
        <v>14</v>
      </c>
      <c r="AI896" s="0" t="n">
        <v>11</v>
      </c>
      <c r="AN896" s="0" t="s">
        <v>146</v>
      </c>
      <c r="AO896" s="0" t="s">
        <v>236</v>
      </c>
      <c r="AP896" s="0" t="s">
        <v>237</v>
      </c>
      <c r="AQ896" s="0" t="n">
        <v>9</v>
      </c>
      <c r="AR896" s="0" t="n">
        <v>64</v>
      </c>
      <c r="AS896" s="0" t="n">
        <v>32</v>
      </c>
      <c r="AU896" s="0" t="n">
        <f aca="false">COUNTA($BA$73:$EH$73)</f>
        <v>5</v>
      </c>
      <c r="AV896" s="0" t="n">
        <f aca="false">COUNTIF($BA$73:$EH$73,"D")</f>
        <v>0</v>
      </c>
      <c r="AW896" s="0" t="n">
        <f aca="false">COUNTIF($BA$73:$EH$73,"R")</f>
        <v>0</v>
      </c>
      <c r="AX896" s="0" t="n">
        <f aca="false"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>0</v>
      </c>
      <c r="AY896" s="0" t="n">
        <f aca="false">COUNTIF(DU896:EH896, "&lt;&gt;")</f>
        <v>0</v>
      </c>
      <c r="AZ896" s="0" t="n">
        <f aca="false">IF(EH896&lt;&gt;"",1,0)</f>
        <v>0</v>
      </c>
      <c r="BB896" s="0" t="s">
        <v>153</v>
      </c>
    </row>
    <row r="897" customFormat="false" ht="13.8" hidden="true" customHeight="false" outlineLevel="0" collapsed="false">
      <c r="A897" s="0" t="s">
        <v>4436</v>
      </c>
      <c r="B897" s="0" t="n">
        <v>78</v>
      </c>
      <c r="C897" s="0" t="n">
        <v>494158</v>
      </c>
      <c r="D897" s="0" t="s">
        <v>4437</v>
      </c>
      <c r="E897" s="0" t="s">
        <v>4438</v>
      </c>
      <c r="F897" s="0" t="str">
        <f aca="false">CONCATENATE(D897," ",LEFT(H897,4),"T=",AU897,"D=",AV897,"R=",AW897,"M=",AX897,"L=",AY897,"B=",AZ897)</f>
        <v>IGNASIAK T=17D=1R=0M=0L=0B=0</v>
      </c>
      <c r="G897" s="0" t="s">
        <v>2303</v>
      </c>
      <c r="I897" s="0" t="s">
        <v>4439</v>
      </c>
      <c r="J897" s="0" t="s">
        <v>2761</v>
      </c>
      <c r="K897" s="0" t="s">
        <v>175</v>
      </c>
      <c r="L897" s="0"/>
      <c r="M897" s="0" t="s">
        <v>4435</v>
      </c>
      <c r="N897" s="0" t="str">
        <f aca="false">RIGHT(M897,LEN(M897)-FIND(" ",M897))</f>
        <v>FOREST ST NE</v>
      </c>
      <c r="P897" s="0" t="s">
        <v>146</v>
      </c>
      <c r="Q897" s="0" t="s">
        <v>147</v>
      </c>
      <c r="R897" s="0" t="n">
        <v>44483</v>
      </c>
      <c r="AD897" s="0" t="s">
        <v>148</v>
      </c>
      <c r="AE897" s="0" t="s">
        <v>149</v>
      </c>
      <c r="AF897" s="0" t="s">
        <v>150</v>
      </c>
      <c r="AH897" s="0" t="n">
        <v>14</v>
      </c>
      <c r="AI897" s="0" t="n">
        <v>11</v>
      </c>
      <c r="AN897" s="0" t="s">
        <v>146</v>
      </c>
      <c r="AO897" s="0" t="s">
        <v>236</v>
      </c>
      <c r="AP897" s="0" t="s">
        <v>237</v>
      </c>
      <c r="AQ897" s="0" t="n">
        <v>9</v>
      </c>
      <c r="AR897" s="0" t="n">
        <v>64</v>
      </c>
      <c r="AS897" s="0" t="n">
        <v>32</v>
      </c>
      <c r="AU897" s="0" t="n">
        <f aca="false">COUNTA($BA$354:$EH$354)</f>
        <v>17</v>
      </c>
      <c r="AV897" s="0" t="n">
        <f aca="false">COUNTIF($BA$354:$EH$354,"D")</f>
        <v>1</v>
      </c>
      <c r="AW897" s="0" t="n">
        <f aca="false">COUNTIF($BA$354:$EH$354,"R")</f>
        <v>0</v>
      </c>
      <c r="AX897" s="0" t="n">
        <f aca="false"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>0</v>
      </c>
      <c r="AY897" s="0" t="n">
        <f aca="false">COUNTIF(DU897:EH897, "&lt;&gt;")</f>
        <v>0</v>
      </c>
      <c r="AZ897" s="0" t="n">
        <f aca="false">IF(EH897&lt;&gt;"",1,0)</f>
        <v>0</v>
      </c>
      <c r="BB897" s="0" t="s">
        <v>153</v>
      </c>
    </row>
    <row r="898" customFormat="false" ht="13.8" hidden="true" customHeight="false" outlineLevel="0" collapsed="false">
      <c r="A898" s="0" t="s">
        <v>4440</v>
      </c>
      <c r="B898" s="0" t="n">
        <v>78</v>
      </c>
      <c r="C898" s="0" t="n">
        <v>494418</v>
      </c>
      <c r="D898" s="0" t="s">
        <v>4441</v>
      </c>
      <c r="E898" s="0" t="s">
        <v>429</v>
      </c>
      <c r="F898" s="0" t="str">
        <f aca="false">CONCATENATE(D898," ",LEFT(H898,4),"T=",AU898,"D=",AV898,"R=",AW898,"M=",AX898,"L=",AY898,"B=",AZ898)</f>
        <v>MARAESSA T=4D=0R=0M=0L=0B=0</v>
      </c>
      <c r="G898" s="0" t="s">
        <v>172</v>
      </c>
      <c r="I898" s="0" t="s">
        <v>4442</v>
      </c>
      <c r="J898" s="0" t="s">
        <v>1542</v>
      </c>
      <c r="K898" s="0" t="s">
        <v>175</v>
      </c>
      <c r="L898" s="0"/>
      <c r="M898" s="0" t="s">
        <v>4435</v>
      </c>
      <c r="N898" s="0" t="str">
        <f aca="false">RIGHT(M898,LEN(M898)-FIND(" ",M898))</f>
        <v>FOREST ST NE</v>
      </c>
      <c r="P898" s="0" t="s">
        <v>146</v>
      </c>
      <c r="Q898" s="0" t="s">
        <v>147</v>
      </c>
      <c r="R898" s="0" t="n">
        <v>44483</v>
      </c>
      <c r="AD898" s="0" t="s">
        <v>148</v>
      </c>
      <c r="AE898" s="0" t="s">
        <v>149</v>
      </c>
      <c r="AF898" s="0" t="s">
        <v>150</v>
      </c>
      <c r="AH898" s="0" t="n">
        <v>14</v>
      </c>
      <c r="AI898" s="0" t="n">
        <v>11</v>
      </c>
      <c r="AN898" s="0" t="s">
        <v>146</v>
      </c>
      <c r="AO898" s="0" t="s">
        <v>236</v>
      </c>
      <c r="AP898" s="0" t="s">
        <v>237</v>
      </c>
      <c r="AQ898" s="0" t="n">
        <v>9</v>
      </c>
      <c r="AR898" s="0" t="n">
        <v>64</v>
      </c>
      <c r="AS898" s="0" t="n">
        <v>32</v>
      </c>
      <c r="AU898" s="0" t="n">
        <f aca="false">COUNTA($BA$453:$EH$453)</f>
        <v>4</v>
      </c>
      <c r="AV898" s="0" t="n">
        <f aca="false">COUNTIF($BA$453:$EH$453,"D")</f>
        <v>0</v>
      </c>
      <c r="AW898" s="0" t="n">
        <f aca="false">COUNTIF($BA$453:$EH$453,"R")</f>
        <v>0</v>
      </c>
      <c r="AX898" s="0" t="n">
        <f aca="false"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>0</v>
      </c>
      <c r="AY898" s="0" t="n">
        <f aca="false">COUNTIF(DU898:EH898, "&lt;&gt;")</f>
        <v>0</v>
      </c>
      <c r="AZ898" s="0" t="n">
        <f aca="false">IF(EH898&lt;&gt;"",1,0)</f>
        <v>0</v>
      </c>
      <c r="BB898" s="0" t="s">
        <v>153</v>
      </c>
    </row>
    <row r="899" customFormat="false" ht="13.8" hidden="true" customHeight="false" outlineLevel="0" collapsed="false">
      <c r="A899" s="0" t="s">
        <v>4443</v>
      </c>
      <c r="B899" s="0" t="n">
        <v>78</v>
      </c>
      <c r="C899" s="0" t="n">
        <v>383120</v>
      </c>
      <c r="D899" s="0" t="s">
        <v>4444</v>
      </c>
      <c r="E899" s="0" t="s">
        <v>507</v>
      </c>
      <c r="F899" s="0" t="str">
        <f aca="false">CONCATENATE(D899," ",LEFT(H899,4),"T=",AU899,"D=",AV899,"R=",AW899,"M=",AX899,"L=",AY899,"B=",AZ899)</f>
        <v>COUSINS T=10D=0R=0M=0L=0B=0</v>
      </c>
      <c r="G899" s="0" t="s">
        <v>771</v>
      </c>
      <c r="I899" s="0" t="s">
        <v>4445</v>
      </c>
      <c r="J899" s="0" t="s">
        <v>4446</v>
      </c>
      <c r="K899" s="0" t="s">
        <v>144</v>
      </c>
      <c r="L899" s="0"/>
      <c r="M899" s="0" t="s">
        <v>4435</v>
      </c>
      <c r="N899" s="0" t="str">
        <f aca="false">RIGHT(M899,LEN(M899)-FIND(" ",M899))</f>
        <v>FOREST ST NE</v>
      </c>
      <c r="P899" s="0" t="s">
        <v>146</v>
      </c>
      <c r="Q899" s="0" t="s">
        <v>147</v>
      </c>
      <c r="R899" s="0" t="n">
        <v>44483</v>
      </c>
      <c r="AD899" s="0" t="s">
        <v>148</v>
      </c>
      <c r="AE899" s="0" t="s">
        <v>149</v>
      </c>
      <c r="AF899" s="0" t="s">
        <v>150</v>
      </c>
      <c r="AH899" s="0" t="n">
        <v>14</v>
      </c>
      <c r="AI899" s="0" t="n">
        <v>11</v>
      </c>
      <c r="AN899" s="0" t="s">
        <v>146</v>
      </c>
      <c r="AO899" s="0" t="s">
        <v>236</v>
      </c>
      <c r="AP899" s="0" t="s">
        <v>237</v>
      </c>
      <c r="AQ899" s="0" t="n">
        <v>9</v>
      </c>
      <c r="AR899" s="0" t="n">
        <v>64</v>
      </c>
      <c r="AS899" s="0" t="n">
        <v>32</v>
      </c>
      <c r="AU899" s="0" t="n">
        <f aca="false">COUNTA($BA$704:$EH$704)</f>
        <v>10</v>
      </c>
      <c r="AV899" s="0" t="n">
        <f aca="false">COUNTIF($BA$704:$EH$704,"D")</f>
        <v>0</v>
      </c>
      <c r="AW899" s="0" t="n">
        <f aca="false">COUNTIF($BA$704:$EH$704,"R")</f>
        <v>0</v>
      </c>
      <c r="AX899" s="0" t="n">
        <f aca="false"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>0</v>
      </c>
      <c r="AY899" s="0" t="n">
        <f aca="false">COUNTIF(DU899:EH899, "&lt;&gt;")</f>
        <v>0</v>
      </c>
      <c r="AZ899" s="0" t="n">
        <f aca="false">IF(EH899&lt;&gt;"",1,0)</f>
        <v>0</v>
      </c>
      <c r="BB899" s="0" t="s">
        <v>153</v>
      </c>
      <c r="BL899" s="0" t="s">
        <v>154</v>
      </c>
      <c r="BP899" s="0" t="s">
        <v>154</v>
      </c>
      <c r="BQ899" s="0" t="s">
        <v>154</v>
      </c>
      <c r="BS899" s="0" t="s">
        <v>154</v>
      </c>
      <c r="BY899" s="0" t="s">
        <v>155</v>
      </c>
      <c r="CA899" s="0" t="s">
        <v>154</v>
      </c>
      <c r="CN899" s="0" t="s">
        <v>154</v>
      </c>
      <c r="CP899" s="0" t="s">
        <v>154</v>
      </c>
      <c r="CV899" s="0" t="s">
        <v>154</v>
      </c>
      <c r="CY899" s="0" t="s">
        <v>154</v>
      </c>
      <c r="DF899" s="0" t="s">
        <v>154</v>
      </c>
      <c r="DN899" s="0" t="s">
        <v>154</v>
      </c>
    </row>
    <row r="900" customFormat="false" ht="13.8" hidden="true" customHeight="false" outlineLevel="0" collapsed="false">
      <c r="A900" s="0" t="s">
        <v>4447</v>
      </c>
      <c r="B900" s="0" t="n">
        <v>78</v>
      </c>
      <c r="C900" s="0" t="n">
        <v>209019</v>
      </c>
      <c r="D900" s="0" t="s">
        <v>4448</v>
      </c>
      <c r="E900" s="0" t="s">
        <v>4449</v>
      </c>
      <c r="F900" s="0" t="str">
        <f aca="false">CONCATENATE(D900," ",LEFT(H900,4),"T=",AU900,"D=",AV900,"R=",AW900,"M=",AX900,"L=",AY900,"B=",AZ900)</f>
        <v>MAYERNIK T=6D=1R=0M=0L=0B=0</v>
      </c>
      <c r="G900" s="0" t="s">
        <v>176</v>
      </c>
      <c r="I900" s="0" t="s">
        <v>4450</v>
      </c>
      <c r="J900" s="0" t="s">
        <v>4451</v>
      </c>
      <c r="K900" s="0" t="s">
        <v>144</v>
      </c>
      <c r="L900" s="0"/>
      <c r="M900" s="0" t="s">
        <v>4452</v>
      </c>
      <c r="N900" s="0" t="str">
        <f aca="false">RIGHT(M900,LEN(M900)-FIND(" ",M900))</f>
        <v>FOREST ST NE</v>
      </c>
      <c r="P900" s="0" t="s">
        <v>146</v>
      </c>
      <c r="Q900" s="0" t="s">
        <v>147</v>
      </c>
      <c r="R900" s="0" t="n">
        <v>44483</v>
      </c>
      <c r="AD900" s="0" t="s">
        <v>148</v>
      </c>
      <c r="AE900" s="0" t="s">
        <v>149</v>
      </c>
      <c r="AF900" s="0" t="s">
        <v>150</v>
      </c>
      <c r="AH900" s="0" t="n">
        <v>14</v>
      </c>
      <c r="AI900" s="0" t="n">
        <v>11</v>
      </c>
      <c r="AN900" s="0" t="s">
        <v>146</v>
      </c>
      <c r="AO900" s="0" t="s">
        <v>236</v>
      </c>
      <c r="AP900" s="0" t="s">
        <v>237</v>
      </c>
      <c r="AQ900" s="0" t="n">
        <v>9</v>
      </c>
      <c r="AR900" s="0" t="n">
        <v>64</v>
      </c>
      <c r="AS900" s="0" t="n">
        <v>32</v>
      </c>
      <c r="AU900" s="0" t="n">
        <f aca="false">COUNTA($BA$833:$EH$833)</f>
        <v>6</v>
      </c>
      <c r="AV900" s="0" t="n">
        <f aca="false">COUNTIF($BA$833:$EH$833,"D")</f>
        <v>1</v>
      </c>
      <c r="AW900" s="0" t="n">
        <f aca="false">COUNTIF($BA$833:$EH$833,"R")</f>
        <v>0</v>
      </c>
      <c r="AX900" s="0" t="n">
        <f aca="false"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>0</v>
      </c>
      <c r="AY900" s="0" t="n">
        <f aca="false">COUNTIF(DU900:EH900, "&lt;&gt;")</f>
        <v>0</v>
      </c>
      <c r="AZ900" s="0" t="n">
        <f aca="false">IF(EH900&lt;&gt;"",1,0)</f>
        <v>0</v>
      </c>
      <c r="BB900" s="0" t="s">
        <v>153</v>
      </c>
      <c r="BC900" s="0" t="s">
        <v>154</v>
      </c>
      <c r="BD900" s="0" t="s">
        <v>154</v>
      </c>
      <c r="BE900" s="0" t="s">
        <v>154</v>
      </c>
      <c r="BH900" s="0" t="s">
        <v>154</v>
      </c>
      <c r="BL900" s="0" t="s">
        <v>154</v>
      </c>
      <c r="BP900" s="0" t="s">
        <v>154</v>
      </c>
      <c r="BS900" s="0" t="s">
        <v>154</v>
      </c>
      <c r="DC900" s="0" t="s">
        <v>154</v>
      </c>
    </row>
    <row r="901" customFormat="false" ht="13.8" hidden="true" customHeight="false" outlineLevel="0" collapsed="false">
      <c r="A901" s="0" t="s">
        <v>4453</v>
      </c>
      <c r="B901" s="0" t="n">
        <v>78</v>
      </c>
      <c r="C901" s="0" t="n">
        <v>417688</v>
      </c>
      <c r="D901" s="0" t="s">
        <v>1869</v>
      </c>
      <c r="E901" s="0" t="s">
        <v>1374</v>
      </c>
      <c r="F901" s="0" t="str">
        <f aca="false">CONCATENATE(D901," ",LEFT(H901,4),"T=",AU901,"D=",AV901,"R=",AW901,"M=",AX901,"L=",AY901,"B=",AZ901)</f>
        <v>PROVITT JRT=1D=0R=0M=0L=0B=0</v>
      </c>
      <c r="G901" s="0" t="s">
        <v>2033</v>
      </c>
      <c r="H901" s="0" t="s">
        <v>431</v>
      </c>
      <c r="I901" s="0" t="s">
        <v>4454</v>
      </c>
      <c r="J901" s="0" t="s">
        <v>4455</v>
      </c>
      <c r="K901" s="0" t="s">
        <v>144</v>
      </c>
      <c r="L901" s="0"/>
      <c r="M901" s="0" t="s">
        <v>4456</v>
      </c>
      <c r="N901" s="0" t="str">
        <f aca="false">RIGHT(M901,LEN(M901)-FIND(" ",M901))</f>
        <v>FOREST ST NE</v>
      </c>
      <c r="P901" s="0" t="s">
        <v>146</v>
      </c>
      <c r="Q901" s="0" t="s">
        <v>147</v>
      </c>
      <c r="R901" s="0" t="n">
        <v>44483</v>
      </c>
      <c r="AD901" s="0" t="s">
        <v>148</v>
      </c>
      <c r="AE901" s="0" t="s">
        <v>149</v>
      </c>
      <c r="AF901" s="0" t="s">
        <v>150</v>
      </c>
      <c r="AH901" s="0" t="n">
        <v>14</v>
      </c>
      <c r="AI901" s="0" t="n">
        <v>11</v>
      </c>
      <c r="AN901" s="0" t="s">
        <v>146</v>
      </c>
      <c r="AO901" s="0" t="s">
        <v>236</v>
      </c>
      <c r="AP901" s="0" t="s">
        <v>237</v>
      </c>
      <c r="AQ901" s="0" t="n">
        <v>9</v>
      </c>
      <c r="AR901" s="0" t="n">
        <v>64</v>
      </c>
      <c r="AS901" s="0" t="n">
        <v>32</v>
      </c>
      <c r="AU901" s="0" t="n">
        <f aca="false">COUNTA($BA$121:$EH$121)</f>
        <v>1</v>
      </c>
      <c r="AV901" s="0" t="n">
        <f aca="false">COUNTIF($BA$121:$EH$121,"D")</f>
        <v>0</v>
      </c>
      <c r="AW901" s="0" t="n">
        <f aca="false">COUNTIF($BA$121:$EH$121,"R")</f>
        <v>0</v>
      </c>
      <c r="AX901" s="0" t="n">
        <f aca="false"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>0</v>
      </c>
      <c r="AY901" s="0" t="n">
        <f aca="false">COUNTIF(DU901:EH901, "&lt;&gt;")</f>
        <v>0</v>
      </c>
      <c r="AZ901" s="0" t="n">
        <f aca="false">IF(EH901&lt;&gt;"",1,0)</f>
        <v>0</v>
      </c>
      <c r="BB901" s="0" t="s">
        <v>153</v>
      </c>
    </row>
    <row r="902" customFormat="false" ht="13.8" hidden="true" customHeight="false" outlineLevel="0" collapsed="false">
      <c r="A902" s="0" t="s">
        <v>4457</v>
      </c>
      <c r="B902" s="0" t="n">
        <v>78</v>
      </c>
      <c r="C902" s="0" t="n">
        <v>360474</v>
      </c>
      <c r="D902" s="0" t="s">
        <v>4458</v>
      </c>
      <c r="E902" s="0" t="s">
        <v>1131</v>
      </c>
      <c r="F902" s="0" t="str">
        <f aca="false">CONCATENATE(D902," ",LEFT(H902,4),"T=",AU902,"D=",AV902,"R=",AW902,"M=",AX902,"L=",AY902,"B=",AZ902)</f>
        <v>MARZEC T=1D=0R=0M=0L=0B=0</v>
      </c>
      <c r="G902" s="0" t="s">
        <v>1664</v>
      </c>
      <c r="I902" s="0" t="s">
        <v>4459</v>
      </c>
      <c r="J902" s="0" t="s">
        <v>4460</v>
      </c>
      <c r="K902" s="0" t="s">
        <v>175</v>
      </c>
      <c r="L902" s="0"/>
      <c r="M902" s="0" t="s">
        <v>4461</v>
      </c>
      <c r="N902" s="0" t="str">
        <f aca="false">RIGHT(M902,LEN(M902)-FIND(" ",M902))</f>
        <v>FOREST ST NE</v>
      </c>
      <c r="P902" s="0" t="s">
        <v>146</v>
      </c>
      <c r="Q902" s="0" t="s">
        <v>147</v>
      </c>
      <c r="R902" s="0" t="n">
        <v>44483</v>
      </c>
      <c r="AD902" s="0" t="s">
        <v>148</v>
      </c>
      <c r="AE902" s="0" t="s">
        <v>149</v>
      </c>
      <c r="AF902" s="0" t="s">
        <v>150</v>
      </c>
      <c r="AH902" s="0" t="n">
        <v>14</v>
      </c>
      <c r="AI902" s="0" t="n">
        <v>11</v>
      </c>
      <c r="AN902" s="0" t="s">
        <v>146</v>
      </c>
      <c r="AO902" s="0" t="s">
        <v>236</v>
      </c>
      <c r="AP902" s="0" t="s">
        <v>237</v>
      </c>
      <c r="AQ902" s="0" t="n">
        <v>9</v>
      </c>
      <c r="AR902" s="0" t="n">
        <v>64</v>
      </c>
      <c r="AS902" s="0" t="n">
        <v>32</v>
      </c>
      <c r="AU902" s="0" t="n">
        <f aca="false">COUNTA($BA$602:$EH$602)</f>
        <v>1</v>
      </c>
      <c r="AV902" s="0" t="n">
        <f aca="false">COUNTIF($BA$602:$EH$602,"D")</f>
        <v>0</v>
      </c>
      <c r="AW902" s="0" t="n">
        <f aca="false">COUNTIF($BA$602:$EH$602,"R")</f>
        <v>0</v>
      </c>
      <c r="AX902" s="0" t="n">
        <f aca="false"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>0</v>
      </c>
      <c r="AY902" s="0" t="n">
        <f aca="false">COUNTIF(DU902:EH902, "&lt;&gt;")</f>
        <v>0</v>
      </c>
      <c r="AZ902" s="0" t="n">
        <f aca="false">IF(EH902&lt;&gt;"",1,0)</f>
        <v>0</v>
      </c>
      <c r="BB902" s="0" t="s">
        <v>153</v>
      </c>
      <c r="CA902" s="0" t="s">
        <v>154</v>
      </c>
      <c r="CG902" s="0" t="s">
        <v>154</v>
      </c>
      <c r="CK902" s="0" t="s">
        <v>154</v>
      </c>
      <c r="CP902" s="0" t="s">
        <v>154</v>
      </c>
    </row>
    <row r="903" customFormat="false" ht="13.8" hidden="true" customHeight="false" outlineLevel="0" collapsed="false">
      <c r="A903" s="0" t="s">
        <v>4462</v>
      </c>
      <c r="B903" s="0" t="n">
        <v>78</v>
      </c>
      <c r="C903" s="0" t="n">
        <v>378138</v>
      </c>
      <c r="D903" s="0" t="s">
        <v>4458</v>
      </c>
      <c r="E903" s="0" t="s">
        <v>619</v>
      </c>
      <c r="F903" s="0" t="str">
        <f aca="false">CONCATENATE(D903," ",LEFT(H903,4),"T=",AU903,"D=",AV903,"R=",AW903,"M=",AX903,"L=",AY903,"B=",AZ903)</f>
        <v>MARZEC T=3D=0R=0M=0L=0B=0</v>
      </c>
      <c r="G903" s="0" t="s">
        <v>241</v>
      </c>
      <c r="I903" s="0" t="s">
        <v>4463</v>
      </c>
      <c r="J903" s="0" t="s">
        <v>4464</v>
      </c>
      <c r="K903" s="0" t="s">
        <v>144</v>
      </c>
      <c r="L903" s="0"/>
      <c r="M903" s="0" t="s">
        <v>4461</v>
      </c>
      <c r="N903" s="0" t="str">
        <f aca="false">RIGHT(M903,LEN(M903)-FIND(" ",M903))</f>
        <v>FOREST ST NE</v>
      </c>
      <c r="P903" s="0" t="s">
        <v>146</v>
      </c>
      <c r="Q903" s="0" t="s">
        <v>147</v>
      </c>
      <c r="R903" s="0" t="n">
        <v>44483</v>
      </c>
      <c r="AD903" s="0" t="s">
        <v>148</v>
      </c>
      <c r="AE903" s="0" t="s">
        <v>149</v>
      </c>
      <c r="AF903" s="0" t="s">
        <v>150</v>
      </c>
      <c r="AH903" s="0" t="n">
        <v>14</v>
      </c>
      <c r="AI903" s="0" t="n">
        <v>11</v>
      </c>
      <c r="AN903" s="0" t="s">
        <v>146</v>
      </c>
      <c r="AO903" s="0" t="s">
        <v>236</v>
      </c>
      <c r="AP903" s="0" t="s">
        <v>237</v>
      </c>
      <c r="AQ903" s="0" t="n">
        <v>9</v>
      </c>
      <c r="AR903" s="0" t="n">
        <v>64</v>
      </c>
      <c r="AS903" s="0" t="n">
        <v>32</v>
      </c>
      <c r="AU903" s="0" t="n">
        <f aca="false">COUNTA($BA$751:$EH$751)</f>
        <v>3</v>
      </c>
      <c r="AV903" s="0" t="n">
        <f aca="false">COUNTIF($BA$751:$EH$751,"D")</f>
        <v>0</v>
      </c>
      <c r="AW903" s="0" t="n">
        <f aca="false">COUNTIF($BA$751:$EH$751,"R")</f>
        <v>0</v>
      </c>
      <c r="AX903" s="0" t="n">
        <f aca="false"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>0</v>
      </c>
      <c r="AY903" s="0" t="n">
        <f aca="false">COUNTIF(DU903:EH903, "&lt;&gt;")</f>
        <v>0</v>
      </c>
      <c r="AZ903" s="0" t="n">
        <f aca="false">IF(EH903&lt;&gt;"",1,0)</f>
        <v>0</v>
      </c>
      <c r="BB903" s="0" t="s">
        <v>153</v>
      </c>
    </row>
    <row r="904" customFormat="false" ht="13.8" hidden="true" customHeight="false" outlineLevel="0" collapsed="false">
      <c r="A904" s="0" t="s">
        <v>4465</v>
      </c>
      <c r="B904" s="0" t="n">
        <v>78</v>
      </c>
      <c r="C904" s="0" t="n">
        <v>429447</v>
      </c>
      <c r="D904" s="0" t="s">
        <v>4466</v>
      </c>
      <c r="E904" s="0" t="s">
        <v>583</v>
      </c>
      <c r="F904" s="0" t="str">
        <f aca="false">CONCATENATE(D904," ",LEFT(H904,4),"T=",AU904,"D=",AV904,"R=",AW904,"M=",AX904,"L=",AY904,"B=",AZ904)</f>
        <v>SULLIVAN T=3D=0R=0M=0L=0B=0</v>
      </c>
      <c r="G904" s="0" t="s">
        <v>513</v>
      </c>
      <c r="I904" s="0" t="s">
        <v>4467</v>
      </c>
      <c r="J904" s="0" t="s">
        <v>4468</v>
      </c>
      <c r="K904" s="0" t="s">
        <v>144</v>
      </c>
      <c r="L904" s="0"/>
      <c r="M904" s="0" t="s">
        <v>4461</v>
      </c>
      <c r="N904" s="0" t="str">
        <f aca="false">RIGHT(M904,LEN(M904)-FIND(" ",M904))</f>
        <v>FOREST ST NE</v>
      </c>
      <c r="P904" s="0" t="s">
        <v>146</v>
      </c>
      <c r="Q904" s="0" t="s">
        <v>147</v>
      </c>
      <c r="R904" s="0" t="n">
        <v>44483</v>
      </c>
      <c r="AD904" s="0" t="s">
        <v>148</v>
      </c>
      <c r="AE904" s="0" t="s">
        <v>149</v>
      </c>
      <c r="AF904" s="0" t="s">
        <v>150</v>
      </c>
      <c r="AH904" s="0" t="n">
        <v>14</v>
      </c>
      <c r="AI904" s="0" t="n">
        <v>11</v>
      </c>
      <c r="AN904" s="0" t="s">
        <v>146</v>
      </c>
      <c r="AO904" s="0" t="s">
        <v>236</v>
      </c>
      <c r="AP904" s="0" t="s">
        <v>237</v>
      </c>
      <c r="AQ904" s="0" t="n">
        <v>9</v>
      </c>
      <c r="AR904" s="0" t="n">
        <v>64</v>
      </c>
      <c r="AS904" s="0" t="n">
        <v>32</v>
      </c>
      <c r="AU904" s="0" t="n">
        <f aca="false">COUNTA($BA$1066:$EH$1066)</f>
        <v>3</v>
      </c>
      <c r="AV904" s="0" t="n">
        <f aca="false">COUNTIF($BA$1066:$EH$1066,"D")</f>
        <v>0</v>
      </c>
      <c r="AW904" s="0" t="n">
        <f aca="false">COUNTIF($BA$1066:$EH$1066,"R")</f>
        <v>0</v>
      </c>
      <c r="AX904" s="0" t="n">
        <f aca="false"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>0</v>
      </c>
      <c r="AY904" s="0" t="n">
        <f aca="false">COUNTIF(DU904:EH904, "&lt;&gt;")</f>
        <v>0</v>
      </c>
      <c r="AZ904" s="0" t="n">
        <f aca="false">IF(EH904&lt;&gt;"",1,0)</f>
        <v>0</v>
      </c>
      <c r="BB904" s="0" t="s">
        <v>153</v>
      </c>
    </row>
    <row r="905" customFormat="false" ht="13.8" hidden="true" customHeight="false" outlineLevel="0" collapsed="false">
      <c r="A905" s="0" t="s">
        <v>4469</v>
      </c>
      <c r="B905" s="0" t="n">
        <v>78</v>
      </c>
      <c r="C905" s="0" t="n">
        <v>325845</v>
      </c>
      <c r="D905" s="0" t="s">
        <v>4239</v>
      </c>
      <c r="E905" s="0" t="s">
        <v>4470</v>
      </c>
      <c r="F905" s="0" t="str">
        <f aca="false">CONCATENATE(D905," ",LEFT(H905,4),"T=",AU905,"D=",AV905,"R=",AW905,"M=",AX905,"L=",AY905,"B=",AZ905)</f>
        <v>CRENSHAW T=1D=0R=0M=0L=0B=0</v>
      </c>
      <c r="G905" s="0" t="s">
        <v>4471</v>
      </c>
      <c r="I905" s="0" t="s">
        <v>4472</v>
      </c>
      <c r="J905" s="0" t="s">
        <v>4473</v>
      </c>
      <c r="K905" s="0" t="s">
        <v>144</v>
      </c>
      <c r="L905" s="0"/>
      <c r="M905" s="0" t="s">
        <v>4474</v>
      </c>
      <c r="N905" s="0" t="str">
        <f aca="false">RIGHT(M905,LEN(M905)-FIND(" ",M905))</f>
        <v>FOREST ST NE</v>
      </c>
      <c r="P905" s="0" t="s">
        <v>146</v>
      </c>
      <c r="Q905" s="0" t="s">
        <v>147</v>
      </c>
      <c r="R905" s="0" t="n">
        <v>44483</v>
      </c>
      <c r="AD905" s="0" t="s">
        <v>148</v>
      </c>
      <c r="AE905" s="0" t="s">
        <v>149</v>
      </c>
      <c r="AF905" s="0" t="s">
        <v>150</v>
      </c>
      <c r="AH905" s="0" t="n">
        <v>14</v>
      </c>
      <c r="AI905" s="0" t="n">
        <v>11</v>
      </c>
      <c r="AN905" s="0" t="s">
        <v>146</v>
      </c>
      <c r="AO905" s="0" t="s">
        <v>236</v>
      </c>
      <c r="AP905" s="0" t="s">
        <v>237</v>
      </c>
      <c r="AQ905" s="0" t="n">
        <v>9</v>
      </c>
      <c r="AR905" s="0" t="n">
        <v>64</v>
      </c>
      <c r="AS905" s="0" t="n">
        <v>32</v>
      </c>
      <c r="AU905" s="0" t="n">
        <f aca="false">COUNTA($BA$925:$EH$925)</f>
        <v>1</v>
      </c>
      <c r="AV905" s="0" t="n">
        <f aca="false">COUNTIF($BA$925:$EH$925,"D")</f>
        <v>0</v>
      </c>
      <c r="AW905" s="0" t="n">
        <f aca="false">COUNTIF($BA$925:$EH$925,"R")</f>
        <v>0</v>
      </c>
      <c r="AX905" s="0" t="n">
        <f aca="false"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>0</v>
      </c>
      <c r="AY905" s="0" t="n">
        <f aca="false">COUNTIF(DU905:EH905, "&lt;&gt;")</f>
        <v>0</v>
      </c>
      <c r="AZ905" s="0" t="n">
        <f aca="false">IF(EH905&lt;&gt;"",1,0)</f>
        <v>0</v>
      </c>
      <c r="BB905" s="0" t="s">
        <v>153</v>
      </c>
      <c r="CA905" s="0" t="s">
        <v>154</v>
      </c>
      <c r="DC905" s="0" t="s">
        <v>154</v>
      </c>
      <c r="DF905" s="0" t="s">
        <v>154</v>
      </c>
      <c r="DI905" s="0" t="s">
        <v>154</v>
      </c>
    </row>
    <row r="906" customFormat="false" ht="13.8" hidden="true" customHeight="false" outlineLevel="0" collapsed="false">
      <c r="A906" s="0" t="s">
        <v>4475</v>
      </c>
      <c r="B906" s="0" t="n">
        <v>78</v>
      </c>
      <c r="C906" s="0" t="n">
        <v>367701</v>
      </c>
      <c r="D906" s="0" t="s">
        <v>1116</v>
      </c>
      <c r="E906" s="0" t="s">
        <v>524</v>
      </c>
      <c r="F906" s="0" t="str">
        <f aca="false">CONCATENATE(D906," ",LEFT(H906,4),"T=",AU906,"D=",AV906,"R=",AW906,"M=",AX906,"L=",AY906,"B=",AZ906)</f>
        <v>TENNEY T=3D=0R=0M=0L=0B=0</v>
      </c>
      <c r="G906" s="0" t="s">
        <v>4476</v>
      </c>
      <c r="I906" s="0" t="s">
        <v>4477</v>
      </c>
      <c r="J906" s="0" t="s">
        <v>4478</v>
      </c>
      <c r="K906" s="0" t="s">
        <v>144</v>
      </c>
      <c r="L906" s="0"/>
      <c r="M906" s="0" t="s">
        <v>4479</v>
      </c>
      <c r="N906" s="0" t="str">
        <f aca="false">RIGHT(M906,LEN(M906)-FIND(" ",M906))</f>
        <v>FOREST ST NE</v>
      </c>
      <c r="P906" s="0" t="s">
        <v>146</v>
      </c>
      <c r="Q906" s="0" t="s">
        <v>147</v>
      </c>
      <c r="R906" s="0" t="n">
        <v>44483</v>
      </c>
      <c r="AD906" s="0" t="s">
        <v>148</v>
      </c>
      <c r="AE906" s="0" t="s">
        <v>149</v>
      </c>
      <c r="AF906" s="0" t="s">
        <v>150</v>
      </c>
      <c r="AH906" s="0" t="n">
        <v>14</v>
      </c>
      <c r="AI906" s="0" t="n">
        <v>11</v>
      </c>
      <c r="AN906" s="0" t="s">
        <v>146</v>
      </c>
      <c r="AO906" s="0" t="s">
        <v>236</v>
      </c>
      <c r="AP906" s="0" t="s">
        <v>237</v>
      </c>
      <c r="AQ906" s="0" t="n">
        <v>9</v>
      </c>
      <c r="AR906" s="0" t="n">
        <v>64</v>
      </c>
      <c r="AS906" s="0" t="n">
        <v>32</v>
      </c>
      <c r="AU906" s="0" t="n">
        <f aca="false">COUNTA($BA$1024:$EH$1024)</f>
        <v>3</v>
      </c>
      <c r="AV906" s="0" t="n">
        <f aca="false">COUNTIF($BA$1024:$EH$1024,"D")</f>
        <v>0</v>
      </c>
      <c r="AW906" s="0" t="n">
        <f aca="false">COUNTIF($BA$1024:$EH$1024,"R")</f>
        <v>0</v>
      </c>
      <c r="AX906" s="0" t="n">
        <f aca="false"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>0</v>
      </c>
      <c r="AY906" s="0" t="n">
        <f aca="false">COUNTIF(DU906:EH906, "&lt;&gt;")</f>
        <v>0</v>
      </c>
      <c r="AZ906" s="0" t="n">
        <f aca="false">IF(EH906&lt;&gt;"",1,0)</f>
        <v>0</v>
      </c>
      <c r="BB906" s="0" t="s">
        <v>153</v>
      </c>
    </row>
    <row r="907" customFormat="false" ht="13.8" hidden="true" customHeight="false" outlineLevel="0" collapsed="false">
      <c r="A907" s="0" t="s">
        <v>4480</v>
      </c>
      <c r="B907" s="0" t="n">
        <v>78</v>
      </c>
      <c r="C907" s="0" t="n">
        <v>327852</v>
      </c>
      <c r="D907" s="0" t="s">
        <v>1173</v>
      </c>
      <c r="E907" s="0" t="s">
        <v>4481</v>
      </c>
      <c r="F907" s="0" t="str">
        <f aca="false">CONCATENATE(D907," ",LEFT(H907,4),"T=",AU907,"D=",AV907,"R=",AW907,"M=",AX907,"L=",AY907,"B=",AZ907)</f>
        <v>JACKSON T=21D=6R=1M=0L=1B=0</v>
      </c>
      <c r="G907" s="0" t="s">
        <v>172</v>
      </c>
      <c r="I907" s="0" t="s">
        <v>4482</v>
      </c>
      <c r="J907" s="0" t="s">
        <v>4082</v>
      </c>
      <c r="K907" s="0" t="s">
        <v>175</v>
      </c>
      <c r="L907" s="0"/>
      <c r="M907" s="0" t="s">
        <v>4483</v>
      </c>
      <c r="N907" s="0" t="str">
        <f aca="false">RIGHT(M907,LEN(M907)-FIND(" ",M907))</f>
        <v>FOREST ST NE</v>
      </c>
      <c r="P907" s="0" t="s">
        <v>146</v>
      </c>
      <c r="Q907" s="0" t="s">
        <v>147</v>
      </c>
      <c r="R907" s="0" t="n">
        <v>44483</v>
      </c>
      <c r="AD907" s="0" t="s">
        <v>148</v>
      </c>
      <c r="AE907" s="0" t="s">
        <v>149</v>
      </c>
      <c r="AF907" s="0" t="s">
        <v>150</v>
      </c>
      <c r="AH907" s="0" t="n">
        <v>14</v>
      </c>
      <c r="AI907" s="0" t="n">
        <v>11</v>
      </c>
      <c r="AN907" s="0" t="s">
        <v>146</v>
      </c>
      <c r="AO907" s="0" t="s">
        <v>236</v>
      </c>
      <c r="AP907" s="0" t="s">
        <v>237</v>
      </c>
      <c r="AQ907" s="0" t="n">
        <v>9</v>
      </c>
      <c r="AR907" s="0" t="n">
        <v>64</v>
      </c>
      <c r="AS907" s="0" t="n">
        <v>32</v>
      </c>
      <c r="AU907" s="0" t="n">
        <f aca="false">COUNTA($BA$1081:$EH$1081)</f>
        <v>21</v>
      </c>
      <c r="AV907" s="0" t="n">
        <f aca="false">COUNTIF($BA$1081:$EH$1081,"D")</f>
        <v>6</v>
      </c>
      <c r="AW907" s="0" t="n">
        <f aca="false">COUNTIF($BA$1081:$EH$1081,"R")</f>
        <v>1</v>
      </c>
      <c r="AX907" s="0" t="n">
        <f aca="false"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>0</v>
      </c>
      <c r="AY907" s="0" t="n">
        <f aca="false">COUNTIF(DU907:EH907, "&lt;&gt;")</f>
        <v>1</v>
      </c>
      <c r="AZ907" s="0" t="n">
        <f aca="false">IF(EH907&lt;&gt;"",1,0)</f>
        <v>0</v>
      </c>
      <c r="BB907" s="0" t="s">
        <v>153</v>
      </c>
      <c r="BL907" s="0" t="s">
        <v>154</v>
      </c>
      <c r="DN907" s="0" t="s">
        <v>154</v>
      </c>
      <c r="EF907" s="0" t="s">
        <v>154</v>
      </c>
    </row>
    <row r="908" customFormat="false" ht="13.8" hidden="true" customHeight="false" outlineLevel="0" collapsed="false">
      <c r="A908" s="0" t="s">
        <v>4484</v>
      </c>
      <c r="B908" s="0" t="n">
        <v>78</v>
      </c>
      <c r="C908" s="0" t="n">
        <v>415388</v>
      </c>
      <c r="D908" s="0" t="s">
        <v>4485</v>
      </c>
      <c r="E908" s="0" t="s">
        <v>640</v>
      </c>
      <c r="F908" s="0" t="str">
        <f aca="false">CONCATENATE(D908," ",LEFT(H908,4),"T=",AU908,"D=",AV908,"R=",AW908,"M=",AX908,"L=",AY908,"B=",AZ908)</f>
        <v>KUNDEL T=47D=15R=0M=0L=0B=0</v>
      </c>
      <c r="G908" s="0" t="s">
        <v>1221</v>
      </c>
      <c r="I908" s="0" t="s">
        <v>4486</v>
      </c>
      <c r="J908" s="0" t="s">
        <v>4487</v>
      </c>
      <c r="K908" s="0" t="s">
        <v>144</v>
      </c>
      <c r="L908" s="0"/>
      <c r="M908" s="0" t="s">
        <v>4488</v>
      </c>
      <c r="N908" s="0" t="str">
        <f aca="false">RIGHT(M908,LEN(M908)-FIND(" ",M908))</f>
        <v>FOREST ST NE</v>
      </c>
      <c r="P908" s="0" t="s">
        <v>146</v>
      </c>
      <c r="Q908" s="0" t="s">
        <v>147</v>
      </c>
      <c r="R908" s="0" t="n">
        <v>44483</v>
      </c>
      <c r="AD908" s="0" t="s">
        <v>148</v>
      </c>
      <c r="AE908" s="0" t="s">
        <v>149</v>
      </c>
      <c r="AF908" s="0" t="s">
        <v>150</v>
      </c>
      <c r="AH908" s="0" t="n">
        <v>14</v>
      </c>
      <c r="AI908" s="0" t="n">
        <v>11</v>
      </c>
      <c r="AN908" s="0" t="s">
        <v>146</v>
      </c>
      <c r="AO908" s="0" t="s">
        <v>236</v>
      </c>
      <c r="AP908" s="0" t="s">
        <v>237</v>
      </c>
      <c r="AQ908" s="0" t="n">
        <v>9</v>
      </c>
      <c r="AR908" s="0" t="n">
        <v>64</v>
      </c>
      <c r="AS908" s="0" t="n">
        <v>32</v>
      </c>
      <c r="AU908" s="0" t="n">
        <f aca="false">COUNTA($BA$223:$EH$223)</f>
        <v>47</v>
      </c>
      <c r="AV908" s="0" t="n">
        <f aca="false">COUNTIF($BA$223:$EH$223,"D")</f>
        <v>15</v>
      </c>
      <c r="AW908" s="0" t="n">
        <f aca="false">COUNTIF($BA$223:$EH$223,"R")</f>
        <v>0</v>
      </c>
      <c r="AX908" s="0" t="n">
        <f aca="false"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>0</v>
      </c>
      <c r="AY908" s="0" t="n">
        <f aca="false">COUNTIF(DU908:EH908, "&lt;&gt;")</f>
        <v>0</v>
      </c>
      <c r="AZ908" s="0" t="n">
        <f aca="false">IF(EH908&lt;&gt;"",1,0)</f>
        <v>0</v>
      </c>
      <c r="BB908" s="0" t="s">
        <v>153</v>
      </c>
      <c r="DC908" s="0" t="s">
        <v>154</v>
      </c>
      <c r="DN908" s="0" t="s">
        <v>154</v>
      </c>
    </row>
    <row r="909" customFormat="false" ht="13.8" hidden="false" customHeight="false" outlineLevel="0" collapsed="false">
      <c r="A909" s="0" t="s">
        <v>4489</v>
      </c>
      <c r="B909" s="0" t="n">
        <v>78</v>
      </c>
      <c r="C909" s="0" t="n">
        <v>269307</v>
      </c>
      <c r="D909" s="0" t="s">
        <v>1697</v>
      </c>
      <c r="E909" s="0" t="s">
        <v>4490</v>
      </c>
      <c r="F909" s="0" t="str">
        <f aca="false">CONCATENATE(D909," ",LEFT(H909,4),"T=",AU909,"D=",AV909,"R=",AW909,"M=",AX909,"L=",AY909,"B=",AZ909)</f>
        <v>MATHEWS T=1D=0R=0M=0L=2B=0</v>
      </c>
      <c r="G909" s="0" t="s">
        <v>365</v>
      </c>
      <c r="I909" s="0" t="s">
        <v>4491</v>
      </c>
      <c r="J909" s="0" t="s">
        <v>1201</v>
      </c>
      <c r="K909" s="0" t="s">
        <v>175</v>
      </c>
      <c r="M909" s="0" t="s">
        <v>4492</v>
      </c>
      <c r="N909" s="0" t="str">
        <f aca="false">RIGHT(M909,LEN(M909)-FIND(" ",M909))</f>
        <v>FOREST ST NE</v>
      </c>
      <c r="P909" s="0" t="s">
        <v>146</v>
      </c>
      <c r="Q909" s="0" t="s">
        <v>147</v>
      </c>
      <c r="R909" s="0" t="n">
        <v>44483</v>
      </c>
      <c r="AD909" s="0" t="s">
        <v>148</v>
      </c>
      <c r="AE909" s="0" t="s">
        <v>149</v>
      </c>
      <c r="AF909" s="0" t="s">
        <v>150</v>
      </c>
      <c r="AH909" s="0" t="n">
        <v>14</v>
      </c>
      <c r="AI909" s="0" t="n">
        <v>11</v>
      </c>
      <c r="AN909" s="0" t="s">
        <v>146</v>
      </c>
      <c r="AO909" s="0" t="s">
        <v>236</v>
      </c>
      <c r="AP909" s="0" t="s">
        <v>237</v>
      </c>
      <c r="AQ909" s="0" t="n">
        <v>9</v>
      </c>
      <c r="AR909" s="0" t="n">
        <v>64</v>
      </c>
      <c r="AS909" s="0" t="n">
        <v>32</v>
      </c>
      <c r="AU909" s="0" t="n">
        <f aca="false">COUNTA($BA$230:$EH$230)</f>
        <v>1</v>
      </c>
      <c r="AV909" s="0" t="n">
        <f aca="false">COUNTIF($BA$230:$EH$230,"D")</f>
        <v>0</v>
      </c>
      <c r="AW909" s="0" t="n">
        <f aca="false">COUNTIF($BA$230:$EH$230,"R")</f>
        <v>0</v>
      </c>
      <c r="AX909" s="0" t="n">
        <f aca="false"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>0</v>
      </c>
      <c r="AY909" s="0" t="n">
        <f aca="false">COUNTIF(DU909:EH909, "&lt;&gt;")</f>
        <v>2</v>
      </c>
      <c r="AZ909" s="0" t="n">
        <f aca="false">IF(EH909&lt;&gt;"",1,0)</f>
        <v>0</v>
      </c>
      <c r="BB909" s="0" t="s">
        <v>153</v>
      </c>
      <c r="BD909" s="0" t="s">
        <v>154</v>
      </c>
      <c r="CA909" s="0" t="s">
        <v>154</v>
      </c>
      <c r="CK909" s="0" t="s">
        <v>154</v>
      </c>
      <c r="CP909" s="0" t="s">
        <v>154</v>
      </c>
      <c r="DN909" s="0" t="s">
        <v>154</v>
      </c>
      <c r="EA909" s="0" t="s">
        <v>154</v>
      </c>
      <c r="EF909" s="0" t="s">
        <v>154</v>
      </c>
    </row>
    <row r="910" customFormat="false" ht="13.8" hidden="true" customHeight="false" outlineLevel="0" collapsed="false">
      <c r="A910" s="0" t="s">
        <v>4493</v>
      </c>
      <c r="B910" s="0" t="n">
        <v>78</v>
      </c>
      <c r="C910" s="0" t="n">
        <v>477970</v>
      </c>
      <c r="D910" s="0" t="s">
        <v>1697</v>
      </c>
      <c r="E910" s="0" t="s">
        <v>1669</v>
      </c>
      <c r="F910" s="0" t="str">
        <f aca="false">CONCATENATE(D910," ",LEFT(H910,4),"T=",AU910,"D=",AV910,"R=",AW910,"M=",AX910,"L=",AY910,"B=",AZ910)</f>
        <v>MATHEWS T=1D=0R=0M=0L=1B=0</v>
      </c>
      <c r="G910" s="0" t="s">
        <v>323</v>
      </c>
      <c r="I910" s="0" t="s">
        <v>4494</v>
      </c>
      <c r="J910" s="0" t="s">
        <v>4495</v>
      </c>
      <c r="K910" s="0" t="s">
        <v>175</v>
      </c>
      <c r="L910" s="0"/>
      <c r="M910" s="0" t="s">
        <v>4492</v>
      </c>
      <c r="N910" s="0" t="str">
        <f aca="false">RIGHT(M910,LEN(M910)-FIND(" ",M910))</f>
        <v>FOREST ST NE</v>
      </c>
      <c r="P910" s="0" t="s">
        <v>146</v>
      </c>
      <c r="Q910" s="0" t="s">
        <v>147</v>
      </c>
      <c r="R910" s="0" t="n">
        <v>44483</v>
      </c>
      <c r="AD910" s="0" t="s">
        <v>148</v>
      </c>
      <c r="AE910" s="0" t="s">
        <v>149</v>
      </c>
      <c r="AF910" s="0" t="s">
        <v>150</v>
      </c>
      <c r="AH910" s="0" t="n">
        <v>14</v>
      </c>
      <c r="AI910" s="0" t="n">
        <v>11</v>
      </c>
      <c r="AN910" s="0" t="s">
        <v>146</v>
      </c>
      <c r="AO910" s="0" t="s">
        <v>236</v>
      </c>
      <c r="AP910" s="0" t="s">
        <v>237</v>
      </c>
      <c r="AQ910" s="0" t="n">
        <v>9</v>
      </c>
      <c r="AR910" s="0" t="n">
        <v>64</v>
      </c>
      <c r="AS910" s="0" t="n">
        <v>32</v>
      </c>
      <c r="AU910" s="0" t="n">
        <f aca="false">COUNTA($BA$332:$EH$332)</f>
        <v>1</v>
      </c>
      <c r="AV910" s="0" t="n">
        <f aca="false">COUNTIF($BA$332:$EH$332,"D")</f>
        <v>0</v>
      </c>
      <c r="AW910" s="0" t="n">
        <f aca="false">COUNTIF($BA$332:$EH$332,"R")</f>
        <v>0</v>
      </c>
      <c r="AX910" s="0" t="n">
        <f aca="false"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>0</v>
      </c>
      <c r="AY910" s="0" t="n">
        <f aca="false">COUNTIF(DU910:EH910, "&lt;&gt;")</f>
        <v>1</v>
      </c>
      <c r="AZ910" s="0" t="n">
        <f aca="false">IF(EH910&lt;&gt;"",1,0)</f>
        <v>0</v>
      </c>
      <c r="BB910" s="0" t="s">
        <v>153</v>
      </c>
      <c r="BY910" s="0" t="s">
        <v>155</v>
      </c>
      <c r="CA910" s="0" t="s">
        <v>154</v>
      </c>
      <c r="EF910" s="0" t="s">
        <v>154</v>
      </c>
    </row>
    <row r="911" customFormat="false" ht="13.8" hidden="true" customHeight="false" outlineLevel="0" collapsed="false">
      <c r="A911" s="0" t="s">
        <v>4496</v>
      </c>
      <c r="B911" s="0" t="n">
        <v>78</v>
      </c>
      <c r="C911" s="0" t="n">
        <v>484616</v>
      </c>
      <c r="D911" s="0" t="s">
        <v>4497</v>
      </c>
      <c r="E911" s="0" t="s">
        <v>4498</v>
      </c>
      <c r="F911" s="0" t="str">
        <f aca="false">CONCATENATE(D911," ",LEFT(H911,4),"T=",AU911,"D=",AV911,"R=",AW911,"M=",AX911,"L=",AY911,"B=",AZ911)</f>
        <v>CEJA T=1D=0R=0M=0L=0B=0</v>
      </c>
      <c r="G911" s="0" t="s">
        <v>297</v>
      </c>
      <c r="I911" s="0" t="s">
        <v>4499</v>
      </c>
      <c r="J911" s="0" t="s">
        <v>4500</v>
      </c>
      <c r="K911" s="0" t="s">
        <v>175</v>
      </c>
      <c r="L911" s="0"/>
      <c r="M911" s="0" t="s">
        <v>4501</v>
      </c>
      <c r="N911" s="0" t="str">
        <f aca="false">RIGHT(M911,LEN(M911)-FIND(" ",M911))</f>
        <v>FOREST ST NE</v>
      </c>
      <c r="P911" s="0" t="s">
        <v>146</v>
      </c>
      <c r="Q911" s="0" t="s">
        <v>147</v>
      </c>
      <c r="R911" s="0" t="n">
        <v>44483</v>
      </c>
      <c r="AD911" s="0" t="s">
        <v>148</v>
      </c>
      <c r="AE911" s="0" t="s">
        <v>149</v>
      </c>
      <c r="AF911" s="0" t="s">
        <v>150</v>
      </c>
      <c r="AH911" s="0" t="n">
        <v>14</v>
      </c>
      <c r="AI911" s="0" t="n">
        <v>11</v>
      </c>
      <c r="AN911" s="0" t="s">
        <v>146</v>
      </c>
      <c r="AO911" s="0" t="s">
        <v>236</v>
      </c>
      <c r="AP911" s="0" t="s">
        <v>237</v>
      </c>
      <c r="AQ911" s="0" t="n">
        <v>9</v>
      </c>
      <c r="AR911" s="0" t="n">
        <v>64</v>
      </c>
      <c r="AS911" s="0" t="n">
        <v>32</v>
      </c>
      <c r="AU911" s="0" t="n">
        <f aca="false">COUNTA($BA$171:$EH$171)</f>
        <v>1</v>
      </c>
      <c r="AV911" s="0" t="n">
        <f aca="false">COUNTIF($BA$171:$EH$171,"D")</f>
        <v>0</v>
      </c>
      <c r="AW911" s="0" t="n">
        <f aca="false">COUNTIF($BA$171:$EH$171,"R")</f>
        <v>0</v>
      </c>
      <c r="AX911" s="0" t="n">
        <f aca="false"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>0</v>
      </c>
      <c r="AY911" s="0" t="n">
        <f aca="false">COUNTIF(DU911:EH911, "&lt;&gt;")</f>
        <v>0</v>
      </c>
      <c r="AZ911" s="0" t="n">
        <f aca="false">IF(EH911&lt;&gt;"",1,0)</f>
        <v>0</v>
      </c>
      <c r="BB911" s="0" t="s">
        <v>153</v>
      </c>
    </row>
    <row r="912" customFormat="false" ht="13.8" hidden="true" customHeight="false" outlineLevel="0" collapsed="false">
      <c r="A912" s="0" t="s">
        <v>4502</v>
      </c>
      <c r="B912" s="0" t="n">
        <v>78</v>
      </c>
      <c r="C912" s="0" t="n">
        <v>495065</v>
      </c>
      <c r="D912" s="0" t="s">
        <v>4503</v>
      </c>
      <c r="E912" s="0" t="s">
        <v>340</v>
      </c>
      <c r="F912" s="0" t="str">
        <f aca="false">CONCATENATE(D912," ",LEFT(H912,4),"T=",AU912,"D=",AV912,"R=",AW912,"M=",AX912,"L=",AY912,"B=",AZ912)</f>
        <v>HARMS CASTLE T=19D=4R=0M=0L=0B=0</v>
      </c>
      <c r="G912" s="0" t="s">
        <v>4504</v>
      </c>
      <c r="I912" s="0" t="s">
        <v>3245</v>
      </c>
      <c r="J912" s="0" t="s">
        <v>4505</v>
      </c>
      <c r="K912" s="0" t="s">
        <v>144</v>
      </c>
      <c r="L912" s="0"/>
      <c r="M912" s="0" t="s">
        <v>4506</v>
      </c>
      <c r="N912" s="0" t="str">
        <f aca="false">RIGHT(M912,LEN(M912)-FIND(" ",M912))</f>
        <v>FOREST ST NE</v>
      </c>
      <c r="P912" s="0" t="s">
        <v>146</v>
      </c>
      <c r="Q912" s="0" t="s">
        <v>147</v>
      </c>
      <c r="R912" s="0" t="n">
        <v>44483</v>
      </c>
      <c r="AD912" s="0" t="s">
        <v>148</v>
      </c>
      <c r="AE912" s="0" t="s">
        <v>149</v>
      </c>
      <c r="AF912" s="0" t="s">
        <v>150</v>
      </c>
      <c r="AH912" s="0" t="n">
        <v>14</v>
      </c>
      <c r="AI912" s="0" t="n">
        <v>11</v>
      </c>
      <c r="AN912" s="0" t="s">
        <v>146</v>
      </c>
      <c r="AO912" s="0" t="s">
        <v>236</v>
      </c>
      <c r="AP912" s="0" t="s">
        <v>237</v>
      </c>
      <c r="AQ912" s="0" t="n">
        <v>9</v>
      </c>
      <c r="AR912" s="0" t="n">
        <v>64</v>
      </c>
      <c r="AS912" s="0" t="n">
        <v>32</v>
      </c>
      <c r="AU912" s="0" t="n">
        <f aca="false">COUNTA($BA$357:$EH$357)</f>
        <v>19</v>
      </c>
      <c r="AV912" s="0" t="n">
        <f aca="false">COUNTIF($BA$357:$EH$357,"D")</f>
        <v>4</v>
      </c>
      <c r="AW912" s="0" t="n">
        <f aca="false">COUNTIF($BA$357:$EH$357,"R")</f>
        <v>0</v>
      </c>
      <c r="AX912" s="0" t="n">
        <f aca="false"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>0</v>
      </c>
      <c r="AY912" s="0" t="n">
        <f aca="false">COUNTIF(DU912:EH912, "&lt;&gt;")</f>
        <v>0</v>
      </c>
      <c r="AZ912" s="0" t="n">
        <f aca="false">IF(EH912&lt;&gt;"",1,0)</f>
        <v>0</v>
      </c>
      <c r="BB912" s="0" t="s">
        <v>153</v>
      </c>
    </row>
    <row r="913" customFormat="false" ht="13.8" hidden="true" customHeight="false" outlineLevel="0" collapsed="false">
      <c r="A913" s="0" t="s">
        <v>4507</v>
      </c>
      <c r="B913" s="0" t="n">
        <v>78</v>
      </c>
      <c r="C913" s="0" t="n">
        <v>348409</v>
      </c>
      <c r="D913" s="0" t="s">
        <v>1324</v>
      </c>
      <c r="E913" s="0" t="s">
        <v>4508</v>
      </c>
      <c r="F913" s="0" t="str">
        <f aca="false">CONCATENATE(D913," ",LEFT(H913,4),"T=",AU913,"D=",AV913,"R=",AW913,"M=",AX913,"L=",AY913,"B=",AZ913)</f>
        <v>RITCHEY JRT=1D=0R=0M=0L=0B=0</v>
      </c>
      <c r="H913" s="0" t="s">
        <v>431</v>
      </c>
      <c r="I913" s="0" t="s">
        <v>4509</v>
      </c>
      <c r="J913" s="0" t="s">
        <v>4510</v>
      </c>
      <c r="K913" s="0" t="s">
        <v>144</v>
      </c>
      <c r="L913" s="0"/>
      <c r="M913" s="0" t="s">
        <v>4506</v>
      </c>
      <c r="N913" s="0" t="str">
        <f aca="false">RIGHT(M913,LEN(M913)-FIND(" ",M913))</f>
        <v>FOREST ST NE</v>
      </c>
      <c r="P913" s="0" t="s">
        <v>146</v>
      </c>
      <c r="Q913" s="0" t="s">
        <v>147</v>
      </c>
      <c r="R913" s="0" t="n">
        <v>44483</v>
      </c>
      <c r="AD913" s="0" t="s">
        <v>148</v>
      </c>
      <c r="AE913" s="0" t="s">
        <v>149</v>
      </c>
      <c r="AF913" s="0" t="s">
        <v>150</v>
      </c>
      <c r="AH913" s="0" t="n">
        <v>14</v>
      </c>
      <c r="AI913" s="0" t="n">
        <v>11</v>
      </c>
      <c r="AN913" s="0" t="s">
        <v>146</v>
      </c>
      <c r="AO913" s="0" t="s">
        <v>236</v>
      </c>
      <c r="AP913" s="0" t="s">
        <v>237</v>
      </c>
      <c r="AQ913" s="0" t="n">
        <v>9</v>
      </c>
      <c r="AR913" s="0" t="n">
        <v>64</v>
      </c>
      <c r="AS913" s="0" t="n">
        <v>32</v>
      </c>
      <c r="AU913" s="0" t="n">
        <f aca="false">COUNTA($BA$753:$EH$753)</f>
        <v>1</v>
      </c>
      <c r="AV913" s="0" t="n">
        <f aca="false">COUNTIF($BA$753:$EH$753,"D")</f>
        <v>0</v>
      </c>
      <c r="AW913" s="0" t="n">
        <f aca="false">COUNTIF($BA$753:$EH$753,"R")</f>
        <v>0</v>
      </c>
      <c r="AX913" s="0" t="n">
        <f aca="false"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>0</v>
      </c>
      <c r="AY913" s="0" t="n">
        <f aca="false">COUNTIF(DU913:EH913, "&lt;&gt;")</f>
        <v>0</v>
      </c>
      <c r="AZ913" s="0" t="n">
        <f aca="false">IF(EH913&lt;&gt;"",1,0)</f>
        <v>0</v>
      </c>
      <c r="BB913" s="0" t="s">
        <v>153</v>
      </c>
      <c r="CA913" s="0" t="s">
        <v>154</v>
      </c>
    </row>
    <row r="914" customFormat="false" ht="13.8" hidden="true" customHeight="false" outlineLevel="0" collapsed="false">
      <c r="A914" s="0" t="s">
        <v>4511</v>
      </c>
      <c r="B914" s="0" t="n">
        <v>78</v>
      </c>
      <c r="C914" s="0" t="n">
        <v>432493</v>
      </c>
      <c r="D914" s="0" t="s">
        <v>4512</v>
      </c>
      <c r="E914" s="0" t="s">
        <v>4513</v>
      </c>
      <c r="F914" s="0" t="str">
        <f aca="false">CONCATENATE(D914," ",LEFT(H914,4),"T=",AU914,"D=",AV914,"R=",AW914,"M=",AX914,"L=",AY914,"B=",AZ914)</f>
        <v>BLACKWELL T=42D=19R=0M=0L=0B=0</v>
      </c>
      <c r="G914" s="0" t="s">
        <v>216</v>
      </c>
      <c r="I914" s="0" t="s">
        <v>4514</v>
      </c>
      <c r="J914" s="0" t="s">
        <v>4515</v>
      </c>
      <c r="K914" s="0" t="s">
        <v>175</v>
      </c>
      <c r="L914" s="0"/>
      <c r="M914" s="0" t="s">
        <v>4516</v>
      </c>
      <c r="N914" s="0" t="str">
        <f aca="false">RIGHT(M914,LEN(M914)-FIND(" ",M914))</f>
        <v>FOREST ST NE</v>
      </c>
      <c r="P914" s="0" t="s">
        <v>146</v>
      </c>
      <c r="Q914" s="0" t="s">
        <v>147</v>
      </c>
      <c r="R914" s="0" t="n">
        <v>44483</v>
      </c>
      <c r="AD914" s="0" t="s">
        <v>148</v>
      </c>
      <c r="AE914" s="0" t="s">
        <v>149</v>
      </c>
      <c r="AF914" s="0" t="s">
        <v>150</v>
      </c>
      <c r="AH914" s="0" t="n">
        <v>14</v>
      </c>
      <c r="AI914" s="0" t="n">
        <v>11</v>
      </c>
      <c r="AN914" s="0" t="s">
        <v>146</v>
      </c>
      <c r="AO914" s="0" t="s">
        <v>236</v>
      </c>
      <c r="AP914" s="0" t="s">
        <v>237</v>
      </c>
      <c r="AQ914" s="0" t="n">
        <v>9</v>
      </c>
      <c r="AR914" s="0" t="n">
        <v>64</v>
      </c>
      <c r="AS914" s="0" t="n">
        <v>32</v>
      </c>
      <c r="AU914" s="0" t="n">
        <f aca="false">COUNTA($BA$610:$EH$610)</f>
        <v>42</v>
      </c>
      <c r="AV914" s="0" t="n">
        <f aca="false">COUNTIF($BA$610:$EH$610,"D")</f>
        <v>19</v>
      </c>
      <c r="AW914" s="0" t="n">
        <f aca="false">COUNTIF($BA$610:$EH$610,"R")</f>
        <v>0</v>
      </c>
      <c r="AX914" s="0" t="n">
        <f aca="false"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>0</v>
      </c>
      <c r="AY914" s="0" t="n">
        <f aca="false">COUNTIF(DU914:EH914, "&lt;&gt;")</f>
        <v>0</v>
      </c>
      <c r="AZ914" s="0" t="n">
        <f aca="false">IF(EH914&lt;&gt;"",1,0)</f>
        <v>0</v>
      </c>
      <c r="BB914" s="0" t="s">
        <v>153</v>
      </c>
    </row>
    <row r="915" customFormat="false" ht="13.8" hidden="true" customHeight="false" outlineLevel="0" collapsed="false">
      <c r="A915" s="0" t="s">
        <v>4517</v>
      </c>
      <c r="B915" s="0" t="n">
        <v>78</v>
      </c>
      <c r="C915" s="0" t="n">
        <v>357849</v>
      </c>
      <c r="D915" s="0" t="s">
        <v>4518</v>
      </c>
      <c r="E915" s="0" t="s">
        <v>4519</v>
      </c>
      <c r="F915" s="0" t="str">
        <f aca="false">CONCATENATE(D915," ",LEFT(H915,4),"T=",AU915,"D=",AV915,"R=",AW915,"M=",AX915,"L=",AY915,"B=",AZ915)</f>
        <v>WAGNER T=2D=0R=0M=0L=0B=0</v>
      </c>
      <c r="G915" s="0" t="s">
        <v>329</v>
      </c>
      <c r="I915" s="0" t="s">
        <v>4520</v>
      </c>
      <c r="J915" s="0" t="s">
        <v>4521</v>
      </c>
      <c r="K915" s="0" t="s">
        <v>144</v>
      </c>
      <c r="L915" s="0"/>
      <c r="M915" s="0" t="s">
        <v>4522</v>
      </c>
      <c r="N915" s="0" t="str">
        <f aca="false">RIGHT(M915,LEN(M915)-FIND(" ",M915))</f>
        <v>FOREST ST NE</v>
      </c>
      <c r="P915" s="0" t="s">
        <v>146</v>
      </c>
      <c r="Q915" s="0" t="s">
        <v>147</v>
      </c>
      <c r="R915" s="0" t="n">
        <v>44483</v>
      </c>
      <c r="AD915" s="0" t="s">
        <v>148</v>
      </c>
      <c r="AE915" s="0" t="s">
        <v>149</v>
      </c>
      <c r="AF915" s="0" t="s">
        <v>150</v>
      </c>
      <c r="AH915" s="0" t="n">
        <v>14</v>
      </c>
      <c r="AI915" s="0" t="n">
        <v>11</v>
      </c>
      <c r="AN915" s="0" t="s">
        <v>146</v>
      </c>
      <c r="AO915" s="0" t="s">
        <v>236</v>
      </c>
      <c r="AP915" s="0" t="s">
        <v>237</v>
      </c>
      <c r="AQ915" s="0" t="n">
        <v>9</v>
      </c>
      <c r="AR915" s="0" t="n">
        <v>64</v>
      </c>
      <c r="AS915" s="0" t="n">
        <v>32</v>
      </c>
      <c r="AU915" s="0" t="n">
        <f aca="false">COUNTA($BA$740:$EH$740)</f>
        <v>2</v>
      </c>
      <c r="AV915" s="0" t="n">
        <f aca="false">COUNTIF($BA$740:$EH$740,"D")</f>
        <v>0</v>
      </c>
      <c r="AW915" s="0" t="n">
        <f aca="false">COUNTIF($BA$740:$EH$740,"R")</f>
        <v>0</v>
      </c>
      <c r="AX915" s="0" t="n">
        <f aca="false"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>0</v>
      </c>
      <c r="AY915" s="0" t="n">
        <f aca="false">COUNTIF(DU915:EH915, "&lt;&gt;")</f>
        <v>0</v>
      </c>
      <c r="AZ915" s="0" t="n">
        <f aca="false">IF(EH915&lt;&gt;"",1,0)</f>
        <v>0</v>
      </c>
      <c r="BB915" s="0" t="s">
        <v>153</v>
      </c>
    </row>
    <row r="916" customFormat="false" ht="13.8" hidden="false" customHeight="false" outlineLevel="0" collapsed="false">
      <c r="A916" s="0" t="s">
        <v>4523</v>
      </c>
      <c r="B916" s="0" t="n">
        <v>78</v>
      </c>
      <c r="C916" s="0" t="n">
        <v>252733</v>
      </c>
      <c r="D916" s="0" t="s">
        <v>1050</v>
      </c>
      <c r="E916" s="0" t="s">
        <v>938</v>
      </c>
      <c r="F916" s="0" t="str">
        <f aca="false">CONCATENATE(D916," ",LEFT(H916,4),"T=",AU916,"D=",AV916,"R=",AW916,"M=",AX916,"L=",AY916,"B=",AZ916)</f>
        <v>JOHNSON T=32D=8R=0M=0L=4B=0</v>
      </c>
      <c r="G916" s="0" t="s">
        <v>365</v>
      </c>
      <c r="I916" s="0" t="s">
        <v>4524</v>
      </c>
      <c r="J916" s="0" t="s">
        <v>4525</v>
      </c>
      <c r="K916" s="0" t="s">
        <v>175</v>
      </c>
      <c r="L916" s="1" t="s">
        <v>176</v>
      </c>
      <c r="M916" s="0" t="s">
        <v>4526</v>
      </c>
      <c r="N916" s="0" t="str">
        <f aca="false">RIGHT(M916,LEN(M916)-FIND(" ",M916))</f>
        <v>FOREST ST NE</v>
      </c>
      <c r="P916" s="0" t="s">
        <v>146</v>
      </c>
      <c r="Q916" s="0" t="s">
        <v>147</v>
      </c>
      <c r="R916" s="0" t="n">
        <v>44483</v>
      </c>
      <c r="AD916" s="0" t="s">
        <v>148</v>
      </c>
      <c r="AE916" s="0" t="s">
        <v>149</v>
      </c>
      <c r="AF916" s="0" t="s">
        <v>150</v>
      </c>
      <c r="AH916" s="0" t="n">
        <v>14</v>
      </c>
      <c r="AI916" s="0" t="n">
        <v>11</v>
      </c>
      <c r="AN916" s="0" t="s">
        <v>146</v>
      </c>
      <c r="AO916" s="0" t="s">
        <v>236</v>
      </c>
      <c r="AP916" s="0" t="s">
        <v>237</v>
      </c>
      <c r="AQ916" s="0" t="n">
        <v>9</v>
      </c>
      <c r="AR916" s="0" t="n">
        <v>64</v>
      </c>
      <c r="AS916" s="0" t="n">
        <v>32</v>
      </c>
      <c r="AU916" s="0" t="n">
        <f aca="false">COUNTA($BA$238:$EH$238)</f>
        <v>32</v>
      </c>
      <c r="AV916" s="0" t="n">
        <f aca="false">COUNTIF($BA$238:$EH$238,"D")</f>
        <v>8</v>
      </c>
      <c r="AW916" s="0" t="n">
        <f aca="false">COUNTIF($BA$238:$EH$238,"R")</f>
        <v>0</v>
      </c>
      <c r="AX916" s="0" t="n">
        <f aca="false"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>0</v>
      </c>
      <c r="AY916" s="0" t="n">
        <f aca="false">COUNTIF(DU916:EH916, "&lt;&gt;")</f>
        <v>4</v>
      </c>
      <c r="AZ916" s="0" t="n">
        <f aca="false">IF(EH916&lt;&gt;"",1,0)</f>
        <v>0</v>
      </c>
      <c r="BB916" s="0" t="s">
        <v>153</v>
      </c>
      <c r="BD916" s="0" t="s">
        <v>154</v>
      </c>
      <c r="BL916" s="0" t="s">
        <v>154</v>
      </c>
      <c r="BS916" s="0" t="s">
        <v>154</v>
      </c>
      <c r="BV916" s="0" t="s">
        <v>154</v>
      </c>
      <c r="BY916" s="0" t="s">
        <v>155</v>
      </c>
      <c r="CA916" s="0" t="s">
        <v>154</v>
      </c>
      <c r="CG916" s="0" t="s">
        <v>154</v>
      </c>
      <c r="CH916" s="0" t="s">
        <v>155</v>
      </c>
      <c r="CK916" s="0" t="s">
        <v>154</v>
      </c>
      <c r="CN916" s="0" t="s">
        <v>154</v>
      </c>
      <c r="CO916" s="0" t="s">
        <v>155</v>
      </c>
      <c r="CP916" s="0" t="s">
        <v>154</v>
      </c>
      <c r="CY916" s="0" t="s">
        <v>154</v>
      </c>
      <c r="CZ916" s="0" t="s">
        <v>155</v>
      </c>
      <c r="DC916" s="0" t="s">
        <v>154</v>
      </c>
      <c r="DF916" s="0" t="s">
        <v>154</v>
      </c>
      <c r="DG916" s="0" t="s">
        <v>155</v>
      </c>
      <c r="DI916" s="0" t="s">
        <v>154</v>
      </c>
      <c r="DL916" s="0" t="s">
        <v>154</v>
      </c>
      <c r="DM916" s="0" t="s">
        <v>176</v>
      </c>
      <c r="DN916" s="0" t="s">
        <v>154</v>
      </c>
      <c r="DS916" s="0" t="s">
        <v>176</v>
      </c>
      <c r="DU916" s="0" t="s">
        <v>154</v>
      </c>
      <c r="DX916" s="0" t="s">
        <v>154</v>
      </c>
      <c r="EA916" s="0" t="s">
        <v>154</v>
      </c>
      <c r="EF916" s="0" t="s">
        <v>154</v>
      </c>
    </row>
    <row r="917" customFormat="false" ht="13.8" hidden="true" customHeight="false" outlineLevel="0" collapsed="false">
      <c r="A917" s="0" t="s">
        <v>4527</v>
      </c>
      <c r="B917" s="0" t="n">
        <v>78</v>
      </c>
      <c r="C917" s="0" t="n">
        <v>475451</v>
      </c>
      <c r="D917" s="0" t="s">
        <v>1050</v>
      </c>
      <c r="E917" s="0" t="s">
        <v>771</v>
      </c>
      <c r="F917" s="0" t="str">
        <f aca="false">CONCATENATE(D917," ",LEFT(H917,4),"T=",AU917,"D=",AV917,"R=",AW917,"M=",AX917,"L=",AY917,"B=",AZ917)</f>
        <v>JOHNSON T=6D=0R=0M=0L=1B=0</v>
      </c>
      <c r="G917" s="0" t="s">
        <v>455</v>
      </c>
      <c r="I917" s="0" t="s">
        <v>4528</v>
      </c>
      <c r="J917" s="0" t="s">
        <v>4529</v>
      </c>
      <c r="K917" s="0" t="s">
        <v>175</v>
      </c>
      <c r="L917" s="0"/>
      <c r="M917" s="0" t="s">
        <v>4526</v>
      </c>
      <c r="N917" s="0" t="str">
        <f aca="false">RIGHT(M917,LEN(M917)-FIND(" ",M917))</f>
        <v>FOREST ST NE</v>
      </c>
      <c r="P917" s="0" t="s">
        <v>146</v>
      </c>
      <c r="Q917" s="0" t="s">
        <v>147</v>
      </c>
      <c r="R917" s="0" t="n">
        <v>44483</v>
      </c>
      <c r="AD917" s="0" t="s">
        <v>148</v>
      </c>
      <c r="AE917" s="0" t="s">
        <v>149</v>
      </c>
      <c r="AF917" s="0" t="s">
        <v>150</v>
      </c>
      <c r="AH917" s="0" t="n">
        <v>14</v>
      </c>
      <c r="AI917" s="0" t="n">
        <v>11</v>
      </c>
      <c r="AN917" s="0" t="s">
        <v>146</v>
      </c>
      <c r="AO917" s="0" t="s">
        <v>236</v>
      </c>
      <c r="AP917" s="0" t="s">
        <v>237</v>
      </c>
      <c r="AQ917" s="0" t="n">
        <v>9</v>
      </c>
      <c r="AR917" s="0" t="n">
        <v>64</v>
      </c>
      <c r="AS917" s="0" t="n">
        <v>32</v>
      </c>
      <c r="AU917" s="0" t="n">
        <f aca="false">COUNTA($BA$675:$EH$675)</f>
        <v>6</v>
      </c>
      <c r="AV917" s="0" t="n">
        <f aca="false">COUNTIF($BA$675:$EH$675,"D")</f>
        <v>0</v>
      </c>
      <c r="AW917" s="0" t="n">
        <f aca="false">COUNTIF($BA$675:$EH$675,"R")</f>
        <v>0</v>
      </c>
      <c r="AX917" s="0" t="n">
        <f aca="false"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>0</v>
      </c>
      <c r="AY917" s="0" t="n">
        <f aca="false">COUNTIF(DU917:EH917, "&lt;&gt;")</f>
        <v>1</v>
      </c>
      <c r="AZ917" s="0" t="n">
        <f aca="false">IF(EH917&lt;&gt;"",1,0)</f>
        <v>0</v>
      </c>
      <c r="BB917" s="0" t="s">
        <v>153</v>
      </c>
      <c r="EF917" s="0" t="s">
        <v>154</v>
      </c>
    </row>
    <row r="918" customFormat="false" ht="13.8" hidden="false" customHeight="false" outlineLevel="0" collapsed="false">
      <c r="A918" s="0" t="s">
        <v>4530</v>
      </c>
      <c r="B918" s="0" t="n">
        <v>78</v>
      </c>
      <c r="C918" s="0" t="n">
        <v>254933</v>
      </c>
      <c r="D918" s="0" t="s">
        <v>4531</v>
      </c>
      <c r="E918" s="0" t="s">
        <v>920</v>
      </c>
      <c r="F918" s="0" t="str">
        <f aca="false">CONCATENATE(D918," ",LEFT(H918,4),"T=",AU918,"D=",AV918,"R=",AW918,"M=",AX918,"L=",AY918,"B=",AZ918)</f>
        <v>ASHCRAFT T=1D=0R=0M=0L=4B=0</v>
      </c>
      <c r="G918" s="0" t="s">
        <v>241</v>
      </c>
      <c r="I918" s="0" t="s">
        <v>4532</v>
      </c>
      <c r="J918" s="0" t="s">
        <v>4533</v>
      </c>
      <c r="K918" s="0" t="s">
        <v>175</v>
      </c>
      <c r="L918" s="1" t="s">
        <v>176</v>
      </c>
      <c r="M918" s="0" t="s">
        <v>4534</v>
      </c>
      <c r="N918" s="0" t="str">
        <f aca="false">RIGHT(M918,LEN(M918)-FIND(" ",M918))</f>
        <v>FOREST ST NE</v>
      </c>
      <c r="P918" s="0" t="s">
        <v>146</v>
      </c>
      <c r="Q918" s="0" t="s">
        <v>147</v>
      </c>
      <c r="R918" s="0" t="n">
        <v>44483</v>
      </c>
      <c r="AD918" s="0" t="s">
        <v>148</v>
      </c>
      <c r="AE918" s="0" t="s">
        <v>149</v>
      </c>
      <c r="AF918" s="0" t="s">
        <v>150</v>
      </c>
      <c r="AH918" s="0" t="n">
        <v>14</v>
      </c>
      <c r="AI918" s="0" t="n">
        <v>11</v>
      </c>
      <c r="AN918" s="0" t="s">
        <v>146</v>
      </c>
      <c r="AO918" s="0" t="s">
        <v>236</v>
      </c>
      <c r="AP918" s="0" t="s">
        <v>237</v>
      </c>
      <c r="AQ918" s="0" t="n">
        <v>9</v>
      </c>
      <c r="AR918" s="0" t="n">
        <v>64</v>
      </c>
      <c r="AS918" s="0" t="n">
        <v>32</v>
      </c>
      <c r="AU918" s="0" t="n">
        <f aca="false">COUNTA($BA$225:$EH$225)</f>
        <v>1</v>
      </c>
      <c r="AV918" s="0" t="n">
        <f aca="false">COUNTIF($BA$225:$EH$225,"D")</f>
        <v>0</v>
      </c>
      <c r="AW918" s="0" t="n">
        <f aca="false">COUNTIF($BA$225:$EH$225,"R")</f>
        <v>0</v>
      </c>
      <c r="AX918" s="0" t="n">
        <f aca="false"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>0</v>
      </c>
      <c r="AY918" s="0" t="n">
        <f aca="false">COUNTIF(DU918:EH918, "&lt;&gt;")</f>
        <v>4</v>
      </c>
      <c r="AZ918" s="0" t="n">
        <f aca="false">IF(EH918&lt;&gt;"",1,0)</f>
        <v>0</v>
      </c>
      <c r="BB918" s="0" t="s">
        <v>153</v>
      </c>
      <c r="BD918" s="0" t="s">
        <v>154</v>
      </c>
      <c r="BE918" s="0" t="s">
        <v>154</v>
      </c>
      <c r="BF918" s="0" t="s">
        <v>154</v>
      </c>
      <c r="BH918" s="0" t="s">
        <v>154</v>
      </c>
      <c r="BJ918" s="0" t="s">
        <v>154</v>
      </c>
      <c r="BL918" s="0" t="s">
        <v>154</v>
      </c>
      <c r="BP918" s="0" t="s">
        <v>154</v>
      </c>
      <c r="BS918" s="0" t="s">
        <v>154</v>
      </c>
      <c r="BY918" s="0" t="s">
        <v>155</v>
      </c>
      <c r="CA918" s="0" t="s">
        <v>154</v>
      </c>
      <c r="CP918" s="0" t="s">
        <v>154</v>
      </c>
      <c r="CY918" s="0" t="s">
        <v>154</v>
      </c>
      <c r="CZ918" s="0" t="s">
        <v>176</v>
      </c>
      <c r="DC918" s="0" t="s">
        <v>154</v>
      </c>
      <c r="DI918" s="0" t="s">
        <v>154</v>
      </c>
      <c r="DL918" s="0" t="s">
        <v>154</v>
      </c>
      <c r="DM918" s="0" t="s">
        <v>176</v>
      </c>
      <c r="DN918" s="0" t="s">
        <v>154</v>
      </c>
      <c r="DU918" s="0" t="s">
        <v>154</v>
      </c>
      <c r="EA918" s="0" t="s">
        <v>154</v>
      </c>
      <c r="ED918" s="0" t="s">
        <v>176</v>
      </c>
      <c r="EF918" s="0" t="s">
        <v>154</v>
      </c>
    </row>
    <row r="919" customFormat="false" ht="13.8" hidden="false" customHeight="false" outlineLevel="0" collapsed="false">
      <c r="A919" s="0" t="s">
        <v>4535</v>
      </c>
      <c r="B919" s="0" t="n">
        <v>78</v>
      </c>
      <c r="C919" s="0" t="n">
        <v>166641</v>
      </c>
      <c r="D919" s="0" t="s">
        <v>4531</v>
      </c>
      <c r="E919" s="0" t="s">
        <v>652</v>
      </c>
      <c r="F919" s="0" t="str">
        <f aca="false">CONCATENATE(D919," ",LEFT(H919,4),"T=",AU919,"D=",AV919,"R=",AW919,"M=",AX919,"L=",AY919,"B=",AZ919)</f>
        <v>ASHCRAFT T=3D=0R=0M=1L=5B=1</v>
      </c>
      <c r="G919" s="0" t="s">
        <v>297</v>
      </c>
      <c r="I919" s="0" t="s">
        <v>4536</v>
      </c>
      <c r="J919" s="0" t="s">
        <v>4537</v>
      </c>
      <c r="K919" s="0" t="s">
        <v>175</v>
      </c>
      <c r="L919" s="1" t="s">
        <v>155</v>
      </c>
      <c r="M919" s="0" t="s">
        <v>4534</v>
      </c>
      <c r="N919" s="0" t="str">
        <f aca="false">RIGHT(M919,LEN(M919)-FIND(" ",M919))</f>
        <v>FOREST ST NE</v>
      </c>
      <c r="P919" s="0" t="s">
        <v>146</v>
      </c>
      <c r="Q919" s="0" t="s">
        <v>147</v>
      </c>
      <c r="R919" s="0" t="n">
        <v>44483</v>
      </c>
      <c r="AD919" s="0" t="s">
        <v>148</v>
      </c>
      <c r="AE919" s="0" t="s">
        <v>149</v>
      </c>
      <c r="AF919" s="0" t="s">
        <v>150</v>
      </c>
      <c r="AH919" s="0" t="n">
        <v>14</v>
      </c>
      <c r="AI919" s="0" t="n">
        <v>11</v>
      </c>
      <c r="AN919" s="0" t="s">
        <v>146</v>
      </c>
      <c r="AO919" s="0" t="s">
        <v>236</v>
      </c>
      <c r="AP919" s="0" t="s">
        <v>237</v>
      </c>
      <c r="AQ919" s="0" t="n">
        <v>9</v>
      </c>
      <c r="AR919" s="0" t="n">
        <v>64</v>
      </c>
      <c r="AS919" s="0" t="n">
        <v>32</v>
      </c>
      <c r="AU919" s="0" t="n">
        <f aca="false">COUNTA($BA$228:$EH$228)</f>
        <v>3</v>
      </c>
      <c r="AV919" s="0" t="n">
        <f aca="false">COUNTIF($BA$228:$EH$228,"D")</f>
        <v>0</v>
      </c>
      <c r="AW919" s="0" t="n">
        <f aca="false">COUNTIF($BA$228:$EH$228,"R")</f>
        <v>0</v>
      </c>
      <c r="AX919" s="0" t="n">
        <f aca="false"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>1</v>
      </c>
      <c r="AY919" s="0" t="n">
        <f aca="false">COUNTIF(DU919:EH919, "&lt;&gt;")</f>
        <v>5</v>
      </c>
      <c r="AZ919" s="0" t="n">
        <f aca="false">IF(EH919&lt;&gt;"",1,0)</f>
        <v>1</v>
      </c>
      <c r="BB919" s="0" t="s">
        <v>153</v>
      </c>
      <c r="BD919" s="0" t="s">
        <v>154</v>
      </c>
      <c r="BE919" s="0" t="s">
        <v>154</v>
      </c>
      <c r="BF919" s="0" t="s">
        <v>154</v>
      </c>
      <c r="BH919" s="0" t="s">
        <v>154</v>
      </c>
      <c r="BI919" s="0" t="s">
        <v>154</v>
      </c>
      <c r="BJ919" s="0" t="s">
        <v>154</v>
      </c>
      <c r="BK919" s="0" t="s">
        <v>154</v>
      </c>
      <c r="BL919" s="0" t="s">
        <v>154</v>
      </c>
      <c r="BP919" s="0" t="s">
        <v>154</v>
      </c>
      <c r="BV919" s="0" t="s">
        <v>154</v>
      </c>
      <c r="CA919" s="0" t="s">
        <v>154</v>
      </c>
      <c r="CP919" s="0" t="s">
        <v>154</v>
      </c>
      <c r="CY919" s="0" t="s">
        <v>154</v>
      </c>
      <c r="CZ919" s="0" t="s">
        <v>176</v>
      </c>
      <c r="DC919" s="0" t="s">
        <v>154</v>
      </c>
      <c r="DG919" s="0" t="s">
        <v>176</v>
      </c>
      <c r="DI919" s="0" t="s">
        <v>154</v>
      </c>
      <c r="DL919" s="0" t="s">
        <v>154</v>
      </c>
      <c r="DM919" s="0" t="s">
        <v>176</v>
      </c>
      <c r="DN919" s="0" t="s">
        <v>154</v>
      </c>
      <c r="DR919" s="0" t="s">
        <v>154</v>
      </c>
      <c r="DU919" s="0" t="s">
        <v>154</v>
      </c>
      <c r="DX919" s="0" t="s">
        <v>154</v>
      </c>
      <c r="EA919" s="0" t="s">
        <v>154</v>
      </c>
      <c r="EF919" s="0" t="s">
        <v>154</v>
      </c>
      <c r="EH919" s="0" t="s">
        <v>155</v>
      </c>
    </row>
    <row r="920" customFormat="false" ht="13.8" hidden="false" customHeight="false" outlineLevel="0" collapsed="false">
      <c r="A920" s="0" t="s">
        <v>4538</v>
      </c>
      <c r="B920" s="0" t="n">
        <v>78</v>
      </c>
      <c r="C920" s="0" t="n">
        <v>344529</v>
      </c>
      <c r="D920" s="0" t="s">
        <v>4539</v>
      </c>
      <c r="E920" s="0" t="s">
        <v>171</v>
      </c>
      <c r="F920" s="0" t="str">
        <f aca="false">CONCATENATE(D920," ",LEFT(H920,4),"T=",AU920,"D=",AV920,"R=",AW920,"M=",AX920,"L=",AY920,"B=",AZ920)</f>
        <v>HELMHECKEL T=1D=0R=0M=1L=3B=1</v>
      </c>
      <c r="G920" s="0" t="s">
        <v>690</v>
      </c>
      <c r="I920" s="0" t="s">
        <v>4540</v>
      </c>
      <c r="J920" s="0" t="s">
        <v>4541</v>
      </c>
      <c r="K920" s="0" t="s">
        <v>175</v>
      </c>
      <c r="L920" s="1" t="s">
        <v>155</v>
      </c>
      <c r="M920" s="0" t="s">
        <v>4542</v>
      </c>
      <c r="N920" s="0" t="str">
        <f aca="false">RIGHT(M920,LEN(M920)-FIND(" ",M920))</f>
        <v>FOREST ST NE</v>
      </c>
      <c r="P920" s="0" t="s">
        <v>146</v>
      </c>
      <c r="Q920" s="0" t="s">
        <v>147</v>
      </c>
      <c r="R920" s="0" t="n">
        <v>44483</v>
      </c>
      <c r="AD920" s="0" t="s">
        <v>148</v>
      </c>
      <c r="AE920" s="0" t="s">
        <v>149</v>
      </c>
      <c r="AF920" s="0" t="s">
        <v>150</v>
      </c>
      <c r="AH920" s="0" t="n">
        <v>14</v>
      </c>
      <c r="AI920" s="0" t="n">
        <v>11</v>
      </c>
      <c r="AN920" s="0" t="s">
        <v>146</v>
      </c>
      <c r="AO920" s="0" t="s">
        <v>236</v>
      </c>
      <c r="AP920" s="0" t="s">
        <v>237</v>
      </c>
      <c r="AQ920" s="0" t="n">
        <v>9</v>
      </c>
      <c r="AR920" s="0" t="n">
        <v>64</v>
      </c>
      <c r="AS920" s="0" t="n">
        <v>32</v>
      </c>
      <c r="AU920" s="0" t="n">
        <f aca="false">COUNTA($BA$443:$EH$443)</f>
        <v>1</v>
      </c>
      <c r="AV920" s="0" t="n">
        <f aca="false">COUNTIF($BA$443:$EH$443,"D")</f>
        <v>0</v>
      </c>
      <c r="AW920" s="0" t="n">
        <f aca="false">COUNTIF($BA$443:$EH$443,"R")</f>
        <v>0</v>
      </c>
      <c r="AX920" s="0" t="n">
        <f aca="false"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>1</v>
      </c>
      <c r="AY920" s="0" t="n">
        <f aca="false">COUNTIF(DU920:EH920, "&lt;&gt;")</f>
        <v>3</v>
      </c>
      <c r="AZ920" s="0" t="n">
        <f aca="false">IF(EH920&lt;&gt;"",1,0)</f>
        <v>1</v>
      </c>
      <c r="BB920" s="0" t="s">
        <v>153</v>
      </c>
      <c r="BY920" s="0" t="s">
        <v>155</v>
      </c>
      <c r="CA920" s="0" t="s">
        <v>154</v>
      </c>
      <c r="CP920" s="0" t="s">
        <v>154</v>
      </c>
      <c r="EA920" s="0" t="s">
        <v>154</v>
      </c>
      <c r="EF920" s="0" t="s">
        <v>154</v>
      </c>
      <c r="EH920" s="0" t="s">
        <v>155</v>
      </c>
    </row>
    <row r="921" customFormat="false" ht="13.8" hidden="true" customHeight="false" outlineLevel="0" collapsed="false">
      <c r="A921" s="0" t="s">
        <v>4543</v>
      </c>
      <c r="B921" s="0" t="n">
        <v>78</v>
      </c>
      <c r="C921" s="0" t="n">
        <v>492141</v>
      </c>
      <c r="D921" s="0" t="s">
        <v>4539</v>
      </c>
      <c r="E921" s="0" t="s">
        <v>1653</v>
      </c>
      <c r="F921" s="0" t="str">
        <f aca="false">CONCATENATE(D921," ",LEFT(H921,4),"T=",AU921,"D=",AV921,"R=",AW921,"M=",AX921,"L=",AY921,"B=",AZ921)</f>
        <v>HELMHECKEL T=34D=12R=0M=0L=0B=0</v>
      </c>
      <c r="G921" s="0" t="s">
        <v>474</v>
      </c>
      <c r="I921" s="0" t="s">
        <v>4544</v>
      </c>
      <c r="J921" s="0" t="s">
        <v>4545</v>
      </c>
      <c r="K921" s="0" t="s">
        <v>175</v>
      </c>
      <c r="L921" s="0"/>
      <c r="M921" s="0" t="s">
        <v>4542</v>
      </c>
      <c r="N921" s="0" t="str">
        <f aca="false">RIGHT(M921,LEN(M921)-FIND(" ",M921))</f>
        <v>FOREST ST NE</v>
      </c>
      <c r="P921" s="0" t="s">
        <v>146</v>
      </c>
      <c r="Q921" s="0" t="s">
        <v>147</v>
      </c>
      <c r="R921" s="0" t="n">
        <v>44483</v>
      </c>
      <c r="AD921" s="0" t="s">
        <v>148</v>
      </c>
      <c r="AE921" s="0" t="s">
        <v>149</v>
      </c>
      <c r="AF921" s="0" t="s">
        <v>150</v>
      </c>
      <c r="AH921" s="0" t="n">
        <v>14</v>
      </c>
      <c r="AI921" s="0" t="n">
        <v>11</v>
      </c>
      <c r="AN921" s="0" t="s">
        <v>146</v>
      </c>
      <c r="AO921" s="0" t="s">
        <v>236</v>
      </c>
      <c r="AP921" s="0" t="s">
        <v>237</v>
      </c>
      <c r="AQ921" s="0" t="n">
        <v>9</v>
      </c>
      <c r="AR921" s="0" t="n">
        <v>64</v>
      </c>
      <c r="AS921" s="0" t="n">
        <v>32</v>
      </c>
      <c r="AU921" s="0" t="n">
        <f aca="false">COUNTA($BA$644:$EH$644)</f>
        <v>34</v>
      </c>
      <c r="AV921" s="0" t="n">
        <f aca="false">COUNTIF($BA$644:$EH$644,"D")</f>
        <v>12</v>
      </c>
      <c r="AW921" s="0" t="n">
        <f aca="false">COUNTIF($BA$644:$EH$644,"R")</f>
        <v>0</v>
      </c>
      <c r="AX921" s="0" t="n">
        <f aca="false"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>0</v>
      </c>
      <c r="AY921" s="0" t="n">
        <f aca="false">COUNTIF(DU921:EH921, "&lt;&gt;")</f>
        <v>0</v>
      </c>
      <c r="AZ921" s="0" t="n">
        <f aca="false">IF(EH921&lt;&gt;"",1,0)</f>
        <v>0</v>
      </c>
      <c r="BB921" s="0" t="s">
        <v>153</v>
      </c>
    </row>
    <row r="922" customFormat="false" ht="13.8" hidden="true" customHeight="false" outlineLevel="0" collapsed="false">
      <c r="A922" s="0" t="s">
        <v>4546</v>
      </c>
      <c r="B922" s="0" t="n">
        <v>78</v>
      </c>
      <c r="C922" s="0" t="n">
        <v>491790</v>
      </c>
      <c r="D922" s="0" t="s">
        <v>4547</v>
      </c>
      <c r="E922" s="0" t="s">
        <v>2720</v>
      </c>
      <c r="F922" s="0" t="str">
        <f aca="false">CONCATENATE(D922," ",LEFT(H922,4),"T=",AU922,"D=",AV922,"R=",AW922,"M=",AX922,"L=",AY922,"B=",AZ922)</f>
        <v>HARRIS WILLIAMS T=3D=0R=0M=0L=1B=0</v>
      </c>
      <c r="G922" s="0" t="s">
        <v>4548</v>
      </c>
      <c r="I922" s="0" t="s">
        <v>4549</v>
      </c>
      <c r="J922" s="0" t="s">
        <v>712</v>
      </c>
      <c r="K922" s="0" t="s">
        <v>175</v>
      </c>
      <c r="L922" s="0"/>
      <c r="M922" s="0" t="s">
        <v>4550</v>
      </c>
      <c r="N922" s="0" t="str">
        <f aca="false">RIGHT(M922,LEN(M922)-FIND(" ",M922))</f>
        <v>FOREST ST NE</v>
      </c>
      <c r="P922" s="0" t="s">
        <v>146</v>
      </c>
      <c r="Q922" s="0" t="s">
        <v>147</v>
      </c>
      <c r="R922" s="0" t="n">
        <v>44483</v>
      </c>
      <c r="AD922" s="0" t="s">
        <v>148</v>
      </c>
      <c r="AE922" s="0" t="s">
        <v>149</v>
      </c>
      <c r="AF922" s="0" t="s">
        <v>150</v>
      </c>
      <c r="AH922" s="0" t="n">
        <v>14</v>
      </c>
      <c r="AI922" s="0" t="n">
        <v>11</v>
      </c>
      <c r="AN922" s="0" t="s">
        <v>146</v>
      </c>
      <c r="AO922" s="0" t="s">
        <v>236</v>
      </c>
      <c r="AP922" s="0" t="s">
        <v>237</v>
      </c>
      <c r="AQ922" s="0" t="n">
        <v>9</v>
      </c>
      <c r="AR922" s="0" t="n">
        <v>64</v>
      </c>
      <c r="AS922" s="0" t="n">
        <v>32</v>
      </c>
      <c r="AU922" s="0" t="n">
        <f aca="false">COUNTA($BA$880:$EH$880)</f>
        <v>3</v>
      </c>
      <c r="AV922" s="0" t="n">
        <f aca="false">COUNTIF($BA$880:$EH$880,"D")</f>
        <v>0</v>
      </c>
      <c r="AW922" s="0" t="n">
        <f aca="false">COUNTIF($BA$880:$EH$880,"R")</f>
        <v>0</v>
      </c>
      <c r="AX922" s="0" t="n">
        <f aca="false"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>0</v>
      </c>
      <c r="AY922" s="0" t="n">
        <f aca="false">COUNTIF(DU922:EH922, "&lt;&gt;")</f>
        <v>1</v>
      </c>
      <c r="AZ922" s="0" t="n">
        <f aca="false">IF(EH922&lt;&gt;"",1,0)</f>
        <v>0</v>
      </c>
      <c r="BB922" s="0" t="s">
        <v>153</v>
      </c>
      <c r="EF922" s="0" t="s">
        <v>154</v>
      </c>
    </row>
    <row r="923" customFormat="false" ht="13.8" hidden="true" customHeight="false" outlineLevel="0" collapsed="false">
      <c r="A923" s="0" t="s">
        <v>4551</v>
      </c>
      <c r="B923" s="0" t="n">
        <v>78</v>
      </c>
      <c r="C923" s="0" t="n">
        <v>390356</v>
      </c>
      <c r="D923" s="0" t="s">
        <v>4466</v>
      </c>
      <c r="E923" s="0" t="s">
        <v>609</v>
      </c>
      <c r="F923" s="0" t="str">
        <f aca="false">CONCATENATE(D923," ",LEFT(H923,4),"T=",AU923,"D=",AV923,"R=",AW923,"M=",AX923,"L=",AY923,"B=",AZ923)</f>
        <v>SULLIVAN T=2D=0R=0M=0L=0B=0</v>
      </c>
      <c r="G923" s="0" t="s">
        <v>2262</v>
      </c>
      <c r="I923" s="0" t="s">
        <v>4552</v>
      </c>
      <c r="J923" s="0" t="s">
        <v>4553</v>
      </c>
      <c r="K923" s="0" t="s">
        <v>144</v>
      </c>
      <c r="L923" s="0"/>
      <c r="M923" s="0" t="s">
        <v>4554</v>
      </c>
      <c r="N923" s="0" t="str">
        <f aca="false">RIGHT(M923,LEN(M923)-FIND(" ",M923))</f>
        <v>FOREST ST NE</v>
      </c>
      <c r="P923" s="0" t="s">
        <v>146</v>
      </c>
      <c r="Q923" s="0" t="s">
        <v>147</v>
      </c>
      <c r="R923" s="0" t="n">
        <v>44483</v>
      </c>
      <c r="AD923" s="0" t="s">
        <v>148</v>
      </c>
      <c r="AE923" s="0" t="s">
        <v>149</v>
      </c>
      <c r="AF923" s="0" t="s">
        <v>150</v>
      </c>
      <c r="AH923" s="0" t="n">
        <v>14</v>
      </c>
      <c r="AI923" s="0" t="n">
        <v>11</v>
      </c>
      <c r="AN923" s="0" t="s">
        <v>146</v>
      </c>
      <c r="AO923" s="0" t="s">
        <v>236</v>
      </c>
      <c r="AP923" s="0" t="s">
        <v>237</v>
      </c>
      <c r="AQ923" s="0" t="n">
        <v>9</v>
      </c>
      <c r="AR923" s="0" t="n">
        <v>64</v>
      </c>
      <c r="AS923" s="0" t="n">
        <v>32</v>
      </c>
      <c r="AU923" s="0" t="n">
        <f aca="false">COUNTA($BA$333:$EH$333)</f>
        <v>2</v>
      </c>
      <c r="AV923" s="0" t="n">
        <f aca="false">COUNTIF($BA$333:$EH$333,"D")</f>
        <v>0</v>
      </c>
      <c r="AW923" s="0" t="n">
        <f aca="false">COUNTIF($BA$333:$EH$333,"R")</f>
        <v>0</v>
      </c>
      <c r="AX923" s="0" t="n">
        <f aca="false"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>0</v>
      </c>
      <c r="AY923" s="0" t="n">
        <f aca="false">COUNTIF(DU923:EH923, "&lt;&gt;")</f>
        <v>0</v>
      </c>
      <c r="AZ923" s="0" t="n">
        <f aca="false">IF(EH923&lt;&gt;"",1,0)</f>
        <v>0</v>
      </c>
      <c r="BB923" s="0" t="s">
        <v>153</v>
      </c>
    </row>
    <row r="924" customFormat="false" ht="13.8" hidden="true" customHeight="false" outlineLevel="0" collapsed="false">
      <c r="A924" s="0" t="s">
        <v>4555</v>
      </c>
      <c r="B924" s="0" t="n">
        <v>78</v>
      </c>
      <c r="C924" s="0" t="n">
        <v>453156</v>
      </c>
      <c r="D924" s="0" t="s">
        <v>4556</v>
      </c>
      <c r="E924" s="0" t="s">
        <v>328</v>
      </c>
      <c r="F924" s="0" t="str">
        <f aca="false">CONCATENATE(D924," ",LEFT(H924,4),"T=",AU924,"D=",AV924,"R=",AW924,"M=",AX924,"L=",AY924,"B=",AZ924)</f>
        <v>BANKS T=4D=1R=0M=0L=0B=0</v>
      </c>
      <c r="G924" s="0" t="s">
        <v>188</v>
      </c>
      <c r="I924" s="0" t="s">
        <v>4557</v>
      </c>
      <c r="J924" s="0" t="s">
        <v>854</v>
      </c>
      <c r="K924" s="0" t="s">
        <v>144</v>
      </c>
      <c r="L924" s="0"/>
      <c r="M924" s="0" t="s">
        <v>4554</v>
      </c>
      <c r="N924" s="0" t="str">
        <f aca="false">RIGHT(M924,LEN(M924)-FIND(" ",M924))</f>
        <v>FOREST ST NE</v>
      </c>
      <c r="P924" s="0" t="s">
        <v>146</v>
      </c>
      <c r="Q924" s="0" t="s">
        <v>147</v>
      </c>
      <c r="R924" s="0" t="n">
        <v>44483</v>
      </c>
      <c r="AD924" s="0" t="s">
        <v>148</v>
      </c>
      <c r="AE924" s="0" t="s">
        <v>149</v>
      </c>
      <c r="AF924" s="0" t="s">
        <v>150</v>
      </c>
      <c r="AH924" s="0" t="n">
        <v>14</v>
      </c>
      <c r="AI924" s="0" t="n">
        <v>11</v>
      </c>
      <c r="AN924" s="0" t="s">
        <v>146</v>
      </c>
      <c r="AO924" s="0" t="s">
        <v>236</v>
      </c>
      <c r="AP924" s="0" t="s">
        <v>237</v>
      </c>
      <c r="AQ924" s="0" t="n">
        <v>9</v>
      </c>
      <c r="AR924" s="0" t="n">
        <v>64</v>
      </c>
      <c r="AS924" s="0" t="n">
        <v>32</v>
      </c>
      <c r="AU924" s="0" t="n">
        <f aca="false">COUNTA($BA$560:$EH$560)</f>
        <v>4</v>
      </c>
      <c r="AV924" s="0" t="n">
        <f aca="false">COUNTIF($BA$560:$EH$560,"D")</f>
        <v>1</v>
      </c>
      <c r="AW924" s="0" t="n">
        <f aca="false">COUNTIF($BA$560:$EH$560,"R")</f>
        <v>0</v>
      </c>
      <c r="AX924" s="0" t="n">
        <f aca="false"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>0</v>
      </c>
      <c r="AY924" s="0" t="n">
        <f aca="false">COUNTIF(DU924:EH924, "&lt;&gt;")</f>
        <v>0</v>
      </c>
      <c r="AZ924" s="0" t="n">
        <f aca="false">IF(EH924&lt;&gt;"",1,0)</f>
        <v>0</v>
      </c>
      <c r="BB924" s="0" t="s">
        <v>153</v>
      </c>
    </row>
    <row r="925" customFormat="false" ht="13.8" hidden="true" customHeight="false" outlineLevel="0" collapsed="false">
      <c r="A925" s="0" t="s">
        <v>4558</v>
      </c>
      <c r="B925" s="0" t="n">
        <v>78</v>
      </c>
      <c r="C925" s="0" t="n">
        <v>453155</v>
      </c>
      <c r="D925" s="0" t="s">
        <v>4556</v>
      </c>
      <c r="E925" s="0" t="s">
        <v>2420</v>
      </c>
      <c r="F925" s="0" t="str">
        <f aca="false">CONCATENATE(D925," ",LEFT(H925,4),"T=",AU925,"D=",AV925,"R=",AW925,"M=",AX925,"L=",AY925,"B=",AZ925)</f>
        <v>BANKS T=35D=5R=4M=0L=0B=0</v>
      </c>
      <c r="G925" s="0" t="s">
        <v>241</v>
      </c>
      <c r="I925" s="0" t="s">
        <v>4559</v>
      </c>
      <c r="J925" s="0" t="s">
        <v>854</v>
      </c>
      <c r="K925" s="0" t="s">
        <v>144</v>
      </c>
      <c r="L925" s="0"/>
      <c r="M925" s="0" t="s">
        <v>4554</v>
      </c>
      <c r="N925" s="0" t="str">
        <f aca="false">RIGHT(M925,LEN(M925)-FIND(" ",M925))</f>
        <v>FOREST ST NE</v>
      </c>
      <c r="P925" s="0" t="s">
        <v>146</v>
      </c>
      <c r="Q925" s="0" t="s">
        <v>147</v>
      </c>
      <c r="R925" s="0" t="n">
        <v>44483</v>
      </c>
      <c r="AD925" s="0" t="s">
        <v>148</v>
      </c>
      <c r="AE925" s="0" t="s">
        <v>149</v>
      </c>
      <c r="AF925" s="0" t="s">
        <v>150</v>
      </c>
      <c r="AH925" s="0" t="n">
        <v>14</v>
      </c>
      <c r="AI925" s="0" t="n">
        <v>11</v>
      </c>
      <c r="AN925" s="0" t="s">
        <v>146</v>
      </c>
      <c r="AO925" s="0" t="s">
        <v>236</v>
      </c>
      <c r="AP925" s="0" t="s">
        <v>237</v>
      </c>
      <c r="AQ925" s="0" t="n">
        <v>9</v>
      </c>
      <c r="AR925" s="0" t="n">
        <v>64</v>
      </c>
      <c r="AS925" s="0" t="n">
        <v>32</v>
      </c>
      <c r="AU925" s="0" t="n">
        <f aca="false">COUNTA($BA$562:$EH$562)</f>
        <v>35</v>
      </c>
      <c r="AV925" s="0" t="n">
        <f aca="false">COUNTIF($BA$562:$EH$562,"D")</f>
        <v>5</v>
      </c>
      <c r="AW925" s="0" t="n">
        <f aca="false">COUNTIF($BA$562:$EH$562,"R")</f>
        <v>4</v>
      </c>
      <c r="AX925" s="0" t="n">
        <f aca="false"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>0</v>
      </c>
      <c r="AY925" s="0" t="n">
        <f aca="false">COUNTIF(DU925:EH925, "&lt;&gt;")</f>
        <v>0</v>
      </c>
      <c r="AZ925" s="0" t="n">
        <f aca="false">IF(EH925&lt;&gt;"",1,0)</f>
        <v>0</v>
      </c>
      <c r="BB925" s="0" t="s">
        <v>153</v>
      </c>
    </row>
    <row r="926" customFormat="false" ht="13.8" hidden="true" customHeight="false" outlineLevel="0" collapsed="false">
      <c r="A926" s="0" t="s">
        <v>4560</v>
      </c>
      <c r="B926" s="0" t="n">
        <v>78</v>
      </c>
      <c r="C926" s="0" t="n">
        <v>369657</v>
      </c>
      <c r="D926" s="0" t="s">
        <v>4556</v>
      </c>
      <c r="E926" s="0" t="s">
        <v>240</v>
      </c>
      <c r="F926" s="0" t="str">
        <f aca="false">CONCATENATE(D926," ",LEFT(H926,4),"T=",AU926,"D=",AV926,"R=",AW926,"M=",AX926,"L=",AY926,"B=",AZ926)</f>
        <v>BANKS T=2D=0R=0M=0L=0B=0</v>
      </c>
      <c r="G926" s="0" t="s">
        <v>181</v>
      </c>
      <c r="I926" s="0" t="s">
        <v>4561</v>
      </c>
      <c r="J926" s="0" t="s">
        <v>4562</v>
      </c>
      <c r="K926" s="0" t="s">
        <v>144</v>
      </c>
      <c r="L926" s="0"/>
      <c r="M926" s="0" t="s">
        <v>4563</v>
      </c>
      <c r="N926" s="0" t="str">
        <f aca="false">RIGHT(M926,LEN(M926)-FIND(" ",M926))</f>
        <v>FOREST ST NE</v>
      </c>
      <c r="O926" s="0" t="s">
        <v>420</v>
      </c>
      <c r="P926" s="0" t="s">
        <v>146</v>
      </c>
      <c r="Q926" s="0" t="s">
        <v>147</v>
      </c>
      <c r="R926" s="0" t="n">
        <v>44483</v>
      </c>
      <c r="AD926" s="0" t="s">
        <v>148</v>
      </c>
      <c r="AE926" s="0" t="s">
        <v>149</v>
      </c>
      <c r="AF926" s="0" t="s">
        <v>150</v>
      </c>
      <c r="AH926" s="0" t="n">
        <v>14</v>
      </c>
      <c r="AI926" s="0" t="n">
        <v>11</v>
      </c>
      <c r="AN926" s="0" t="s">
        <v>146</v>
      </c>
      <c r="AO926" s="0" t="s">
        <v>236</v>
      </c>
      <c r="AP926" s="0" t="s">
        <v>237</v>
      </c>
      <c r="AQ926" s="0" t="n">
        <v>9</v>
      </c>
      <c r="AR926" s="0" t="n">
        <v>64</v>
      </c>
      <c r="AS926" s="0" t="n">
        <v>32</v>
      </c>
      <c r="AU926" s="0" t="n">
        <f aca="false">COUNTA($BA$207:$EH$207)</f>
        <v>2</v>
      </c>
      <c r="AV926" s="0" t="n">
        <f aca="false">COUNTIF($BA$207:$EH$207,"D")</f>
        <v>0</v>
      </c>
      <c r="AW926" s="0" t="n">
        <f aca="false">COUNTIF($BA$207:$EH$207,"R")</f>
        <v>0</v>
      </c>
      <c r="AX926" s="0" t="n">
        <f aca="false"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>0</v>
      </c>
      <c r="AY926" s="0" t="n">
        <f aca="false">COUNTIF(DU926:EH926, "&lt;&gt;")</f>
        <v>0</v>
      </c>
      <c r="AZ926" s="0" t="n">
        <f aca="false">IF(EH926&lt;&gt;"",1,0)</f>
        <v>0</v>
      </c>
      <c r="BB926" s="0" t="s">
        <v>153</v>
      </c>
      <c r="CY926" s="0" t="s">
        <v>154</v>
      </c>
    </row>
    <row r="927" customFormat="false" ht="13.8" hidden="true" customHeight="false" outlineLevel="0" collapsed="false">
      <c r="A927" s="0" t="s">
        <v>4564</v>
      </c>
      <c r="B927" s="0" t="n">
        <v>78</v>
      </c>
      <c r="C927" s="0" t="n">
        <v>452485</v>
      </c>
      <c r="D927" s="0" t="s">
        <v>1099</v>
      </c>
      <c r="E927" s="0" t="s">
        <v>4565</v>
      </c>
      <c r="F927" s="0" t="str">
        <f aca="false">CONCATENATE(D927," ",LEFT(H927,4),"T=",AU927,"D=",AV927,"R=",AW927,"M=",AX927,"L=",AY927,"B=",AZ927)</f>
        <v>WRIGHT T=10D=1R=0M=0L=0B=0</v>
      </c>
      <c r="G927" s="0" t="s">
        <v>4566</v>
      </c>
      <c r="I927" s="0" t="s">
        <v>4567</v>
      </c>
      <c r="J927" s="0" t="s">
        <v>2313</v>
      </c>
      <c r="K927" s="0" t="s">
        <v>175</v>
      </c>
      <c r="L927" s="0"/>
      <c r="M927" s="0" t="s">
        <v>4563</v>
      </c>
      <c r="N927" s="0" t="str">
        <f aca="false">RIGHT(M927,LEN(M927)-FIND(" ",M927))</f>
        <v>FOREST ST NE</v>
      </c>
      <c r="P927" s="0" t="s">
        <v>146</v>
      </c>
      <c r="Q927" s="0" t="s">
        <v>147</v>
      </c>
      <c r="R927" s="0" t="n">
        <v>44483</v>
      </c>
      <c r="AD927" s="0" t="s">
        <v>148</v>
      </c>
      <c r="AE927" s="0" t="s">
        <v>149</v>
      </c>
      <c r="AF927" s="0" t="s">
        <v>150</v>
      </c>
      <c r="AH927" s="0" t="n">
        <v>14</v>
      </c>
      <c r="AI927" s="0" t="n">
        <v>11</v>
      </c>
      <c r="AN927" s="0" t="s">
        <v>146</v>
      </c>
      <c r="AO927" s="0" t="s">
        <v>236</v>
      </c>
      <c r="AP927" s="0" t="s">
        <v>237</v>
      </c>
      <c r="AQ927" s="0" t="n">
        <v>9</v>
      </c>
      <c r="AR927" s="0" t="n">
        <v>64</v>
      </c>
      <c r="AS927" s="0" t="n">
        <v>32</v>
      </c>
      <c r="AU927" s="0" t="n">
        <f aca="false">COUNTA($BA$360:$EH$360)</f>
        <v>10</v>
      </c>
      <c r="AV927" s="0" t="n">
        <f aca="false">COUNTIF($BA$360:$EH$360,"D")</f>
        <v>1</v>
      </c>
      <c r="AW927" s="0" t="n">
        <f aca="false">COUNTIF($BA$360:$EH$360,"R")</f>
        <v>0</v>
      </c>
      <c r="AX927" s="0" t="n">
        <f aca="false"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>0</v>
      </c>
      <c r="AY927" s="0" t="n">
        <f aca="false">COUNTIF(DU927:EH927, "&lt;&gt;")</f>
        <v>0</v>
      </c>
      <c r="AZ927" s="0" t="n">
        <f aca="false">IF(EH927&lt;&gt;"",1,0)</f>
        <v>0</v>
      </c>
      <c r="BB927" s="0" t="s">
        <v>153</v>
      </c>
      <c r="CZ927" s="0" t="s">
        <v>155</v>
      </c>
    </row>
    <row r="928" customFormat="false" ht="13.8" hidden="true" customHeight="false" outlineLevel="0" collapsed="false">
      <c r="A928" s="0" t="s">
        <v>4568</v>
      </c>
      <c r="B928" s="0" t="n">
        <v>78</v>
      </c>
      <c r="C928" s="0" t="n">
        <v>460595</v>
      </c>
      <c r="D928" s="0" t="s">
        <v>4569</v>
      </c>
      <c r="E928" s="0" t="s">
        <v>4570</v>
      </c>
      <c r="F928" s="0" t="str">
        <f aca="false">CONCATENATE(D928," ",LEFT(H928,4),"T=",AU928,"D=",AV928,"R=",AW928,"M=",AX928,"L=",AY928,"B=",AZ928)</f>
        <v>CRUZ T=8D=0R=0M=0L=0B=0</v>
      </c>
      <c r="G928" s="0" t="s">
        <v>176</v>
      </c>
      <c r="I928" s="0" t="s">
        <v>4571</v>
      </c>
      <c r="J928" s="0" t="s">
        <v>4572</v>
      </c>
      <c r="K928" s="0" t="s">
        <v>175</v>
      </c>
      <c r="L928" s="0"/>
      <c r="M928" s="0" t="s">
        <v>4563</v>
      </c>
      <c r="N928" s="0" t="str">
        <f aca="false">RIGHT(M928,LEN(M928)-FIND(" ",M928))</f>
        <v>FOREST ST NE</v>
      </c>
      <c r="P928" s="0" t="s">
        <v>146</v>
      </c>
      <c r="Q928" s="0" t="s">
        <v>147</v>
      </c>
      <c r="R928" s="0" t="n">
        <v>44483</v>
      </c>
      <c r="AD928" s="0" t="s">
        <v>148</v>
      </c>
      <c r="AE928" s="0" t="s">
        <v>149</v>
      </c>
      <c r="AF928" s="0" t="s">
        <v>150</v>
      </c>
      <c r="AH928" s="0" t="n">
        <v>14</v>
      </c>
      <c r="AI928" s="0" t="n">
        <v>11</v>
      </c>
      <c r="AN928" s="0" t="s">
        <v>146</v>
      </c>
      <c r="AO928" s="0" t="s">
        <v>236</v>
      </c>
      <c r="AP928" s="0" t="s">
        <v>237</v>
      </c>
      <c r="AQ928" s="0" t="n">
        <v>9</v>
      </c>
      <c r="AR928" s="0" t="n">
        <v>64</v>
      </c>
      <c r="AS928" s="0" t="n">
        <v>32</v>
      </c>
      <c r="AU928" s="0" t="n">
        <f aca="false">COUNTA($BA$999:$EH$999)</f>
        <v>8</v>
      </c>
      <c r="AV928" s="0" t="n">
        <f aca="false">COUNTIF($BA$999:$EH$999,"D")</f>
        <v>0</v>
      </c>
      <c r="AW928" s="0" t="n">
        <f aca="false">COUNTIF($BA$999:$EH$999,"R")</f>
        <v>0</v>
      </c>
      <c r="AX928" s="0" t="n">
        <f aca="false"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>0</v>
      </c>
      <c r="AY928" s="0" t="n">
        <f aca="false">COUNTIF(DU928:EH928, "&lt;&gt;")</f>
        <v>0</v>
      </c>
      <c r="AZ928" s="0" t="n">
        <f aca="false">IF(EH928&lt;&gt;"",1,0)</f>
        <v>0</v>
      </c>
      <c r="BB928" s="0" t="s">
        <v>153</v>
      </c>
      <c r="BL928" s="0" t="s">
        <v>154</v>
      </c>
    </row>
    <row r="929" customFormat="false" ht="13.8" hidden="false" customHeight="false" outlineLevel="0" collapsed="false">
      <c r="A929" s="0" t="s">
        <v>4573</v>
      </c>
      <c r="B929" s="0" t="n">
        <v>78</v>
      </c>
      <c r="C929" s="0" t="n">
        <v>299851</v>
      </c>
      <c r="D929" s="0" t="s">
        <v>4574</v>
      </c>
      <c r="E929" s="0" t="s">
        <v>920</v>
      </c>
      <c r="F929" s="0" t="str">
        <f aca="false">CONCATENATE(D929," ",LEFT(H929,4),"T=",AU929,"D=",AV929,"R=",AW929,"M=",AX929,"L=",AY929,"B=",AZ929)</f>
        <v>SNOWDEN T=10D=2R=0M=0L=5B=0</v>
      </c>
      <c r="G929" s="0" t="s">
        <v>690</v>
      </c>
      <c r="I929" s="0" t="s">
        <v>4575</v>
      </c>
      <c r="J929" s="0" t="s">
        <v>4576</v>
      </c>
      <c r="K929" s="0" t="s">
        <v>175</v>
      </c>
      <c r="L929" s="1" t="s">
        <v>176</v>
      </c>
      <c r="M929" s="0" t="s">
        <v>4577</v>
      </c>
      <c r="N929" s="0" t="str">
        <f aca="false">RIGHT(M929,LEN(M929)-FIND(" ",M929))</f>
        <v>FOREST ST NE</v>
      </c>
      <c r="P929" s="0" t="s">
        <v>146</v>
      </c>
      <c r="Q929" s="0" t="s">
        <v>147</v>
      </c>
      <c r="R929" s="0" t="n">
        <v>44483</v>
      </c>
      <c r="AD929" s="0" t="s">
        <v>148</v>
      </c>
      <c r="AE929" s="0" t="s">
        <v>149</v>
      </c>
      <c r="AF929" s="0" t="s">
        <v>150</v>
      </c>
      <c r="AH929" s="0" t="n">
        <v>14</v>
      </c>
      <c r="AI929" s="0" t="n">
        <v>11</v>
      </c>
      <c r="AN929" s="0" t="s">
        <v>146</v>
      </c>
      <c r="AO929" s="0" t="s">
        <v>236</v>
      </c>
      <c r="AP929" s="0" t="s">
        <v>237</v>
      </c>
      <c r="AQ929" s="0" t="n">
        <v>9</v>
      </c>
      <c r="AR929" s="0" t="n">
        <v>64</v>
      </c>
      <c r="AS929" s="0" t="n">
        <v>32</v>
      </c>
      <c r="AU929" s="0" t="n">
        <f aca="false">COUNTA($BA$735:$EH$735)</f>
        <v>10</v>
      </c>
      <c r="AV929" s="0" t="n">
        <f aca="false">COUNTIF($BA$735:$EH$735,"D")</f>
        <v>2</v>
      </c>
      <c r="AW929" s="0" t="n">
        <f aca="false">COUNTIF($BA$735:$EH$735,"R")</f>
        <v>0</v>
      </c>
      <c r="AX929" s="0" t="n">
        <f aca="false"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>0</v>
      </c>
      <c r="AY929" s="0" t="n">
        <f aca="false">COUNTIF(DU929:EH929, "&lt;&gt;")</f>
        <v>5</v>
      </c>
      <c r="AZ929" s="0" t="n">
        <f aca="false">IF(EH929&lt;&gt;"",1,0)</f>
        <v>0</v>
      </c>
      <c r="BB929" s="0" t="s">
        <v>153</v>
      </c>
      <c r="BL929" s="0" t="s">
        <v>154</v>
      </c>
      <c r="BS929" s="0" t="s">
        <v>154</v>
      </c>
      <c r="CA929" s="0" t="s">
        <v>154</v>
      </c>
      <c r="CP929" s="0" t="s">
        <v>154</v>
      </c>
      <c r="DC929" s="0" t="s">
        <v>154</v>
      </c>
      <c r="DM929" s="0" t="s">
        <v>176</v>
      </c>
      <c r="DN929" s="0" t="s">
        <v>154</v>
      </c>
      <c r="DU929" s="0" t="s">
        <v>154</v>
      </c>
      <c r="DX929" s="0" t="s">
        <v>154</v>
      </c>
      <c r="EA929" s="0" t="s">
        <v>154</v>
      </c>
      <c r="ED929" s="0" t="s">
        <v>176</v>
      </c>
      <c r="EF929" s="0" t="s">
        <v>154</v>
      </c>
    </row>
    <row r="930" customFormat="false" ht="13.8" hidden="true" customHeight="false" outlineLevel="0" collapsed="false">
      <c r="A930" s="0" t="s">
        <v>4578</v>
      </c>
      <c r="B930" s="0" t="n">
        <v>78</v>
      </c>
      <c r="C930" s="0" t="n">
        <v>458707</v>
      </c>
      <c r="D930" s="0" t="s">
        <v>4579</v>
      </c>
      <c r="E930" s="0" t="s">
        <v>4580</v>
      </c>
      <c r="F930" s="0" t="str">
        <f aca="false">CONCATENATE(D930," ",LEFT(H930,4),"T=",AU930,"D=",AV930,"R=",AW930,"M=",AX930,"L=",AY930,"B=",AZ930)</f>
        <v>MOORHEAD IIT=10D=1R=1M=0L=0B=0</v>
      </c>
      <c r="G930" s="0" t="s">
        <v>1039</v>
      </c>
      <c r="H930" s="0" t="s">
        <v>598</v>
      </c>
      <c r="I930" s="0" t="s">
        <v>4581</v>
      </c>
      <c r="J930" s="0" t="s">
        <v>4582</v>
      </c>
      <c r="K930" s="0" t="s">
        <v>175</v>
      </c>
      <c r="L930" s="0"/>
      <c r="M930" s="0" t="s">
        <v>4583</v>
      </c>
      <c r="N930" s="0" t="str">
        <f aca="false">RIGHT(M930,LEN(M930)-FIND(" ",M930))</f>
        <v>FOREST ST NE</v>
      </c>
      <c r="P930" s="0" t="s">
        <v>146</v>
      </c>
      <c r="Q930" s="0" t="s">
        <v>147</v>
      </c>
      <c r="R930" s="0" t="n">
        <v>44483</v>
      </c>
      <c r="AD930" s="0" t="s">
        <v>148</v>
      </c>
      <c r="AE930" s="0" t="s">
        <v>149</v>
      </c>
      <c r="AF930" s="0" t="s">
        <v>150</v>
      </c>
      <c r="AH930" s="0" t="n">
        <v>14</v>
      </c>
      <c r="AI930" s="0" t="n">
        <v>11</v>
      </c>
      <c r="AN930" s="0" t="s">
        <v>146</v>
      </c>
      <c r="AO930" s="0" t="s">
        <v>236</v>
      </c>
      <c r="AP930" s="0" t="s">
        <v>237</v>
      </c>
      <c r="AQ930" s="0" t="n">
        <v>9</v>
      </c>
      <c r="AR930" s="0" t="n">
        <v>64</v>
      </c>
      <c r="AS930" s="0" t="n">
        <v>32</v>
      </c>
      <c r="AU930" s="0" t="n">
        <f aca="false">COUNTA($BA$416:$EH$416)</f>
        <v>10</v>
      </c>
      <c r="AV930" s="0" t="n">
        <f aca="false">COUNTIF($BA$416:$EH$416,"D")</f>
        <v>1</v>
      </c>
      <c r="AW930" s="0" t="n">
        <f aca="false">COUNTIF($BA$416:$EH$416,"R")</f>
        <v>1</v>
      </c>
      <c r="AX930" s="0" t="n">
        <f aca="false"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>0</v>
      </c>
      <c r="AY930" s="0" t="n">
        <f aca="false">COUNTIF(DU930:EH930, "&lt;&gt;")</f>
        <v>0</v>
      </c>
      <c r="AZ930" s="0" t="n">
        <f aca="false">IF(EH930&lt;&gt;"",1,0)</f>
        <v>0</v>
      </c>
      <c r="BB930" s="0" t="s">
        <v>153</v>
      </c>
    </row>
    <row r="931" customFormat="false" ht="13.8" hidden="true" customHeight="false" outlineLevel="0" collapsed="false">
      <c r="A931" s="0" t="s">
        <v>4584</v>
      </c>
      <c r="B931" s="0" t="n">
        <v>78</v>
      </c>
      <c r="C931" s="0" t="n">
        <v>270622</v>
      </c>
      <c r="D931" s="0" t="s">
        <v>4585</v>
      </c>
      <c r="E931" s="0" t="s">
        <v>863</v>
      </c>
      <c r="F931" s="0" t="str">
        <f aca="false">CONCATENATE(D931," ",LEFT(H931,4),"T=",AU931,"D=",AV931,"R=",AW931,"M=",AX931,"L=",AY931,"B=",AZ931)</f>
        <v>CAIN T=23D=6R=0M=0L=0B=0</v>
      </c>
      <c r="G931" s="0" t="s">
        <v>241</v>
      </c>
      <c r="I931" s="0" t="s">
        <v>4586</v>
      </c>
      <c r="J931" s="0" t="s">
        <v>342</v>
      </c>
      <c r="K931" s="0" t="s">
        <v>144</v>
      </c>
      <c r="L931" s="0"/>
      <c r="M931" s="0" t="s">
        <v>4583</v>
      </c>
      <c r="N931" s="0" t="str">
        <f aca="false">RIGHT(M931,LEN(M931)-FIND(" ",M931))</f>
        <v>FOREST ST NE</v>
      </c>
      <c r="P931" s="0" t="s">
        <v>146</v>
      </c>
      <c r="Q931" s="0" t="s">
        <v>147</v>
      </c>
      <c r="R931" s="0" t="n">
        <v>44483</v>
      </c>
      <c r="AD931" s="0" t="s">
        <v>148</v>
      </c>
      <c r="AE931" s="0" t="s">
        <v>149</v>
      </c>
      <c r="AF931" s="0" t="s">
        <v>150</v>
      </c>
      <c r="AH931" s="0" t="n">
        <v>14</v>
      </c>
      <c r="AI931" s="0" t="n">
        <v>11</v>
      </c>
      <c r="AN931" s="0" t="s">
        <v>146</v>
      </c>
      <c r="AO931" s="0" t="s">
        <v>236</v>
      </c>
      <c r="AP931" s="0" t="s">
        <v>237</v>
      </c>
      <c r="AQ931" s="0" t="n">
        <v>9</v>
      </c>
      <c r="AR931" s="0" t="n">
        <v>64</v>
      </c>
      <c r="AS931" s="0" t="n">
        <v>32</v>
      </c>
      <c r="AU931" s="0" t="n">
        <f aca="false">COUNTA($BA$433:$EH$433)</f>
        <v>23</v>
      </c>
      <c r="AV931" s="0" t="n">
        <f aca="false">COUNTIF($BA$433:$EH$433,"D")</f>
        <v>6</v>
      </c>
      <c r="AW931" s="0" t="n">
        <f aca="false">COUNTIF($BA$433:$EH$433,"R")</f>
        <v>0</v>
      </c>
      <c r="AX931" s="0" t="n">
        <f aca="false"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>0</v>
      </c>
      <c r="AY931" s="0" t="n">
        <f aca="false">COUNTIF(DU931:EH931, "&lt;&gt;")</f>
        <v>0</v>
      </c>
      <c r="AZ931" s="0" t="n">
        <f aca="false">IF(EH931&lt;&gt;"",1,0)</f>
        <v>0</v>
      </c>
      <c r="BB931" s="0" t="s">
        <v>153</v>
      </c>
      <c r="CA931" s="0" t="s">
        <v>154</v>
      </c>
      <c r="CP931" s="0" t="s">
        <v>154</v>
      </c>
    </row>
    <row r="932" customFormat="false" ht="13.8" hidden="true" customHeight="false" outlineLevel="0" collapsed="false">
      <c r="A932" s="0" t="s">
        <v>4587</v>
      </c>
      <c r="B932" s="0" t="n">
        <v>78</v>
      </c>
      <c r="C932" s="0" t="n">
        <v>435200</v>
      </c>
      <c r="D932" s="0" t="s">
        <v>4588</v>
      </c>
      <c r="E932" s="0" t="s">
        <v>4589</v>
      </c>
      <c r="F932" s="0" t="str">
        <f aca="false">CONCATENATE(D932," ",LEFT(H932,4),"T=",AU932,"D=",AV932,"R=",AW932,"M=",AX932,"L=",AY932,"B=",AZ932)</f>
        <v>BOBERSKY T=29D=2R=4M=0L=0B=0</v>
      </c>
      <c r="G932" s="0" t="s">
        <v>4590</v>
      </c>
      <c r="I932" s="0" t="s">
        <v>4591</v>
      </c>
      <c r="J932" s="0" t="s">
        <v>757</v>
      </c>
      <c r="K932" s="0" t="s">
        <v>175</v>
      </c>
      <c r="L932" s="0"/>
      <c r="M932" s="0" t="s">
        <v>4592</v>
      </c>
      <c r="N932" s="0" t="str">
        <f aca="false">RIGHT(M932,LEN(M932)-FIND(" ",M932))</f>
        <v>FOREST ST NE</v>
      </c>
      <c r="P932" s="0" t="s">
        <v>146</v>
      </c>
      <c r="Q932" s="0" t="s">
        <v>147</v>
      </c>
      <c r="R932" s="0" t="n">
        <v>44483</v>
      </c>
      <c r="AD932" s="0" t="s">
        <v>148</v>
      </c>
      <c r="AE932" s="0" t="s">
        <v>149</v>
      </c>
      <c r="AF932" s="0" t="s">
        <v>150</v>
      </c>
      <c r="AH932" s="0" t="n">
        <v>14</v>
      </c>
      <c r="AI932" s="0" t="n">
        <v>11</v>
      </c>
      <c r="AN932" s="0" t="s">
        <v>146</v>
      </c>
      <c r="AO932" s="0" t="s">
        <v>236</v>
      </c>
      <c r="AP932" s="0" t="s">
        <v>237</v>
      </c>
      <c r="AQ932" s="0" t="n">
        <v>9</v>
      </c>
      <c r="AR932" s="0" t="n">
        <v>64</v>
      </c>
      <c r="AS932" s="0" t="n">
        <v>32</v>
      </c>
      <c r="AU932" s="0" t="n">
        <f aca="false">COUNTA($BA$514:$EH$514)</f>
        <v>29</v>
      </c>
      <c r="AV932" s="0" t="n">
        <f aca="false">COUNTIF($BA$514:$EH$514,"D")</f>
        <v>2</v>
      </c>
      <c r="AW932" s="0" t="n">
        <f aca="false">COUNTIF($BA$514:$EH$514,"R")</f>
        <v>4</v>
      </c>
      <c r="AX932" s="0" t="n">
        <f aca="false"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>0</v>
      </c>
      <c r="AY932" s="0" t="n">
        <f aca="false">COUNTIF(DU932:EH932, "&lt;&gt;")</f>
        <v>0</v>
      </c>
      <c r="AZ932" s="0" t="n">
        <f aca="false">IF(EH932&lt;&gt;"",1,0)</f>
        <v>0</v>
      </c>
      <c r="BB932" s="0" t="s">
        <v>153</v>
      </c>
      <c r="DI932" s="0" t="s">
        <v>154</v>
      </c>
      <c r="DN932" s="0" t="s">
        <v>154</v>
      </c>
    </row>
    <row r="933" customFormat="false" ht="13.8" hidden="true" customHeight="false" outlineLevel="0" collapsed="false">
      <c r="A933" s="0" t="s">
        <v>4593</v>
      </c>
      <c r="B933" s="0" t="n">
        <v>78</v>
      </c>
      <c r="C933" s="0" t="n">
        <v>322224</v>
      </c>
      <c r="D933" s="0" t="s">
        <v>4594</v>
      </c>
      <c r="E933" s="0" t="s">
        <v>2347</v>
      </c>
      <c r="F933" s="0" t="str">
        <f aca="false">CONCATENATE(D933," ",LEFT(H933,4),"T=",AU933,"D=",AV933,"R=",AW933,"M=",AX933,"L=",AY933,"B=",AZ933)</f>
        <v>WILAND T=2D=0R=0M=0L=0B=0</v>
      </c>
      <c r="G933" s="0" t="s">
        <v>496</v>
      </c>
      <c r="I933" s="0" t="s">
        <v>4595</v>
      </c>
      <c r="J933" s="0" t="s">
        <v>4596</v>
      </c>
      <c r="K933" s="0" t="s">
        <v>144</v>
      </c>
      <c r="L933" s="0"/>
      <c r="M933" s="0" t="s">
        <v>4597</v>
      </c>
      <c r="N933" s="0" t="str">
        <f aca="false">RIGHT(M933,LEN(M933)-FIND(" ",M933))</f>
        <v>FOREST ST NE</v>
      </c>
      <c r="P933" s="0" t="s">
        <v>146</v>
      </c>
      <c r="Q933" s="0" t="s">
        <v>147</v>
      </c>
      <c r="R933" s="0" t="n">
        <v>44483</v>
      </c>
      <c r="AD933" s="0" t="s">
        <v>148</v>
      </c>
      <c r="AE933" s="0" t="s">
        <v>149</v>
      </c>
      <c r="AF933" s="0" t="s">
        <v>150</v>
      </c>
      <c r="AH933" s="0" t="n">
        <v>14</v>
      </c>
      <c r="AI933" s="0" t="n">
        <v>11</v>
      </c>
      <c r="AN933" s="0" t="s">
        <v>146</v>
      </c>
      <c r="AO933" s="0" t="s">
        <v>236</v>
      </c>
      <c r="AP933" s="0" t="s">
        <v>237</v>
      </c>
      <c r="AQ933" s="0" t="n">
        <v>9</v>
      </c>
      <c r="AR933" s="0" t="n">
        <v>64</v>
      </c>
      <c r="AS933" s="0" t="n">
        <v>32</v>
      </c>
      <c r="AU933" s="0" t="n">
        <f aca="false">COUNTA($BA$752:$EH$752)</f>
        <v>2</v>
      </c>
      <c r="AV933" s="0" t="n">
        <f aca="false">COUNTIF($BA$752:$EH$752,"D")</f>
        <v>0</v>
      </c>
      <c r="AW933" s="0" t="n">
        <f aca="false">COUNTIF($BA$752:$EH$752,"R")</f>
        <v>0</v>
      </c>
      <c r="AX933" s="0" t="n">
        <f aca="false"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>0</v>
      </c>
      <c r="AY933" s="0" t="n">
        <f aca="false">COUNTIF(DU933:EH933, "&lt;&gt;")</f>
        <v>0</v>
      </c>
      <c r="AZ933" s="0" t="n">
        <f aca="false">IF(EH933&lt;&gt;"",1,0)</f>
        <v>0</v>
      </c>
      <c r="BB933" s="0" t="s">
        <v>153</v>
      </c>
      <c r="CG933" s="0" t="s">
        <v>154</v>
      </c>
    </row>
    <row r="934" customFormat="false" ht="13.8" hidden="false" customHeight="false" outlineLevel="0" collapsed="false">
      <c r="A934" s="0" t="s">
        <v>4598</v>
      </c>
      <c r="B934" s="0" t="n">
        <v>78</v>
      </c>
      <c r="C934" s="0" t="n">
        <v>280341</v>
      </c>
      <c r="D934" s="0" t="s">
        <v>290</v>
      </c>
      <c r="E934" s="0" t="s">
        <v>4599</v>
      </c>
      <c r="F934" s="0" t="str">
        <f aca="false">CONCATENATE(D934," ",LEFT(H934,4),"T=",AU934,"D=",AV934,"R=",AW934,"M=",AX934,"L=",AY934,"B=",AZ934)</f>
        <v>THOMPSON T=1D=0R=0M=2L=4B=1</v>
      </c>
      <c r="G934" s="0" t="s">
        <v>297</v>
      </c>
      <c r="I934" s="0" t="s">
        <v>4600</v>
      </c>
      <c r="J934" s="0" t="s">
        <v>4601</v>
      </c>
      <c r="K934" s="0" t="s">
        <v>175</v>
      </c>
      <c r="L934" s="1" t="s">
        <v>155</v>
      </c>
      <c r="M934" s="0" t="s">
        <v>4602</v>
      </c>
      <c r="N934" s="0" t="str">
        <f aca="false">RIGHT(M934,LEN(M934)-FIND(" ",M934))</f>
        <v>FOREST ST NE</v>
      </c>
      <c r="P934" s="0" t="s">
        <v>146</v>
      </c>
      <c r="Q934" s="0" t="s">
        <v>147</v>
      </c>
      <c r="R934" s="0" t="n">
        <v>44483</v>
      </c>
      <c r="AD934" s="0" t="s">
        <v>148</v>
      </c>
      <c r="AE934" s="0" t="s">
        <v>149</v>
      </c>
      <c r="AF934" s="0" t="s">
        <v>150</v>
      </c>
      <c r="AH934" s="0" t="n">
        <v>14</v>
      </c>
      <c r="AI934" s="0" t="n">
        <v>11</v>
      </c>
      <c r="AN934" s="0" t="s">
        <v>146</v>
      </c>
      <c r="AO934" s="0" t="s">
        <v>236</v>
      </c>
      <c r="AP934" s="0" t="s">
        <v>237</v>
      </c>
      <c r="AQ934" s="0" t="n">
        <v>9</v>
      </c>
      <c r="AR934" s="0" t="n">
        <v>64</v>
      </c>
      <c r="AS934" s="0" t="n">
        <v>32</v>
      </c>
      <c r="AU934" s="0" t="n">
        <f aca="false">COUNTA($BA$551:$EH$551)</f>
        <v>1</v>
      </c>
      <c r="AV934" s="0" t="n">
        <f aca="false">COUNTIF($BA$551:$EH$551,"D")</f>
        <v>0</v>
      </c>
      <c r="AW934" s="0" t="n">
        <f aca="false">COUNTIF($BA$551:$EH$551,"R")</f>
        <v>0</v>
      </c>
      <c r="AX934" s="0" t="n">
        <f aca="false"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>2</v>
      </c>
      <c r="AY934" s="0" t="n">
        <f aca="false">COUNTIF(DU934:EH934, "&lt;&gt;")</f>
        <v>4</v>
      </c>
      <c r="AZ934" s="0" t="n">
        <f aca="false">IF(EH934&lt;&gt;"",1,0)</f>
        <v>1</v>
      </c>
      <c r="BB934" s="0" t="s">
        <v>153</v>
      </c>
      <c r="BD934" s="0" t="s">
        <v>154</v>
      </c>
      <c r="BE934" s="0" t="s">
        <v>154</v>
      </c>
      <c r="BF934" s="0" t="s">
        <v>154</v>
      </c>
      <c r="BG934" s="0" t="s">
        <v>154</v>
      </c>
      <c r="BH934" s="0" t="s">
        <v>154</v>
      </c>
      <c r="BL934" s="0" t="s">
        <v>154</v>
      </c>
      <c r="BS934" s="0" t="s">
        <v>154</v>
      </c>
      <c r="BY934" s="0" t="s">
        <v>155</v>
      </c>
      <c r="CA934" s="0" t="s">
        <v>154</v>
      </c>
      <c r="CK934" s="0" t="s">
        <v>154</v>
      </c>
      <c r="CN934" s="0" t="s">
        <v>154</v>
      </c>
      <c r="CO934" s="0" t="s">
        <v>155</v>
      </c>
      <c r="CP934" s="0" t="s">
        <v>154</v>
      </c>
      <c r="CV934" s="0" t="s">
        <v>154</v>
      </c>
      <c r="CY934" s="0" t="s">
        <v>154</v>
      </c>
      <c r="CZ934" s="0" t="s">
        <v>176</v>
      </c>
      <c r="DC934" s="0" t="s">
        <v>154</v>
      </c>
      <c r="DI934" s="0" t="s">
        <v>154</v>
      </c>
      <c r="DM934" s="0" t="s">
        <v>176</v>
      </c>
      <c r="DN934" s="0" t="s">
        <v>154</v>
      </c>
      <c r="DO934" s="0" t="s">
        <v>155</v>
      </c>
      <c r="EA934" s="0" t="s">
        <v>154</v>
      </c>
      <c r="ED934" s="0" t="s">
        <v>155</v>
      </c>
      <c r="EF934" s="0" t="s">
        <v>154</v>
      </c>
      <c r="EH934" s="0" t="s">
        <v>155</v>
      </c>
    </row>
    <row r="935" customFormat="false" ht="13.8" hidden="false" customHeight="false" outlineLevel="0" collapsed="false">
      <c r="A935" s="0" t="s">
        <v>4603</v>
      </c>
      <c r="B935" s="0" t="n">
        <v>78</v>
      </c>
      <c r="C935" s="0" t="n">
        <v>7173</v>
      </c>
      <c r="D935" s="0" t="s">
        <v>856</v>
      </c>
      <c r="E935" s="0" t="s">
        <v>771</v>
      </c>
      <c r="F935" s="0" t="str">
        <f aca="false">CONCATENATE(D935," ",LEFT(H935,4),"T=",AU935,"D=",AV935,"R=",AW935,"M=",AX935,"L=",AY935,"B=",AZ935)</f>
        <v>JONES T=3D=0R=0M=5L=4B=1</v>
      </c>
      <c r="I935" s="0" t="s">
        <v>4604</v>
      </c>
      <c r="J935" s="0" t="s">
        <v>4605</v>
      </c>
      <c r="K935" s="0" t="s">
        <v>175</v>
      </c>
      <c r="L935" s="1" t="s">
        <v>155</v>
      </c>
      <c r="M935" s="0" t="s">
        <v>4606</v>
      </c>
      <c r="N935" s="0" t="str">
        <f aca="false">RIGHT(M935,LEN(M935)-FIND(" ",M935))</f>
        <v>FOREST ST NE</v>
      </c>
      <c r="P935" s="0" t="s">
        <v>146</v>
      </c>
      <c r="Q935" s="0" t="s">
        <v>147</v>
      </c>
      <c r="R935" s="0" t="n">
        <v>44483</v>
      </c>
      <c r="AD935" s="0" t="s">
        <v>148</v>
      </c>
      <c r="AE935" s="0" t="s">
        <v>149</v>
      </c>
      <c r="AF935" s="0" t="s">
        <v>150</v>
      </c>
      <c r="AH935" s="0" t="n">
        <v>14</v>
      </c>
      <c r="AI935" s="0" t="n">
        <v>11</v>
      </c>
      <c r="AN935" s="0" t="s">
        <v>146</v>
      </c>
      <c r="AO935" s="0" t="s">
        <v>236</v>
      </c>
      <c r="AP935" s="0" t="s">
        <v>237</v>
      </c>
      <c r="AQ935" s="0" t="n">
        <v>9</v>
      </c>
      <c r="AR935" s="0" t="n">
        <v>64</v>
      </c>
      <c r="AS935" s="0" t="n">
        <v>32</v>
      </c>
      <c r="AU935" s="0" t="n">
        <f aca="false">COUNTA($BA$689:$EH$689)</f>
        <v>3</v>
      </c>
      <c r="AV935" s="0" t="n">
        <f aca="false">COUNTIF($BA$689:$EH$689,"D")</f>
        <v>0</v>
      </c>
      <c r="AW935" s="0" t="n">
        <f aca="false">COUNTIF($BA$689:$EH$689,"R")</f>
        <v>0</v>
      </c>
      <c r="AX935" s="0" t="n">
        <f aca="false"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>5</v>
      </c>
      <c r="AY935" s="0" t="n">
        <f aca="false">COUNTIF(DU935:EH935, "&lt;&gt;")</f>
        <v>4</v>
      </c>
      <c r="AZ935" s="0" t="n">
        <f aca="false">IF(EH935&lt;&gt;"",1,0)</f>
        <v>1</v>
      </c>
      <c r="BB935" s="0" t="s">
        <v>153</v>
      </c>
      <c r="BC935" s="0" t="s">
        <v>154</v>
      </c>
      <c r="BD935" s="0" t="s">
        <v>154</v>
      </c>
      <c r="BE935" s="0" t="s">
        <v>154</v>
      </c>
      <c r="BF935" s="0" t="s">
        <v>154</v>
      </c>
      <c r="BG935" s="0" t="s">
        <v>154</v>
      </c>
      <c r="BH935" s="0" t="s">
        <v>154</v>
      </c>
      <c r="BI935" s="0" t="s">
        <v>154</v>
      </c>
      <c r="BJ935" s="0" t="s">
        <v>154</v>
      </c>
      <c r="BL935" s="0" t="s">
        <v>154</v>
      </c>
      <c r="BP935" s="0" t="s">
        <v>154</v>
      </c>
      <c r="BR935" s="0" t="s">
        <v>154</v>
      </c>
      <c r="BS935" s="0" t="s">
        <v>154</v>
      </c>
      <c r="BV935" s="0" t="s">
        <v>154</v>
      </c>
      <c r="BY935" s="0" t="s">
        <v>155</v>
      </c>
      <c r="CA935" s="0" t="s">
        <v>154</v>
      </c>
      <c r="CG935" s="0" t="s">
        <v>154</v>
      </c>
      <c r="CH935" s="0" t="s">
        <v>155</v>
      </c>
      <c r="CK935" s="0" t="s">
        <v>154</v>
      </c>
      <c r="CL935" s="0" t="s">
        <v>155</v>
      </c>
      <c r="CN935" s="0" t="s">
        <v>154</v>
      </c>
      <c r="CO935" s="0" t="s">
        <v>155</v>
      </c>
      <c r="CP935" s="0" t="s">
        <v>154</v>
      </c>
      <c r="CQ935" s="0" t="s">
        <v>155</v>
      </c>
      <c r="CT935" s="0" t="s">
        <v>154</v>
      </c>
      <c r="CV935" s="0" t="s">
        <v>154</v>
      </c>
      <c r="CY935" s="0" t="s">
        <v>154</v>
      </c>
      <c r="CZ935" s="0" t="s">
        <v>155</v>
      </c>
      <c r="DC935" s="0" t="s">
        <v>154</v>
      </c>
      <c r="DD935" s="0" t="s">
        <v>155</v>
      </c>
      <c r="DF935" s="0" t="s">
        <v>154</v>
      </c>
      <c r="DG935" s="0" t="s">
        <v>155</v>
      </c>
      <c r="DI935" s="0" t="s">
        <v>154</v>
      </c>
      <c r="DL935" s="0" t="s">
        <v>154</v>
      </c>
      <c r="DM935" s="0" t="s">
        <v>155</v>
      </c>
      <c r="DN935" s="0" t="s">
        <v>154</v>
      </c>
      <c r="DO935" s="0" t="s">
        <v>155</v>
      </c>
      <c r="EA935" s="0" t="s">
        <v>154</v>
      </c>
      <c r="ED935" s="0" t="s">
        <v>155</v>
      </c>
      <c r="EF935" s="0" t="s">
        <v>154</v>
      </c>
      <c r="EH935" s="0" t="s">
        <v>155</v>
      </c>
    </row>
    <row r="936" customFormat="false" ht="13.8" hidden="true" customHeight="false" outlineLevel="0" collapsed="false">
      <c r="A936" s="0" t="s">
        <v>4607</v>
      </c>
      <c r="B936" s="0" t="n">
        <v>78</v>
      </c>
      <c r="C936" s="0" t="n">
        <v>23232</v>
      </c>
      <c r="D936" s="0" t="s">
        <v>3276</v>
      </c>
      <c r="E936" s="0" t="s">
        <v>278</v>
      </c>
      <c r="F936" s="0" t="str">
        <f aca="false">CONCATENATE(D936," ",LEFT(H936,4),"T=",AU936,"D=",AV936,"R=",AW936,"M=",AX936,"L=",AY936,"B=",AZ936)</f>
        <v>MOORE T=14D=3R=0M=0L=0B=0</v>
      </c>
      <c r="G936" s="0" t="s">
        <v>365</v>
      </c>
      <c r="I936" s="0" t="s">
        <v>4608</v>
      </c>
      <c r="J936" s="0" t="s">
        <v>4609</v>
      </c>
      <c r="K936" s="0" t="s">
        <v>175</v>
      </c>
      <c r="L936" s="0"/>
      <c r="M936" s="0" t="s">
        <v>4610</v>
      </c>
      <c r="N936" s="0" t="str">
        <f aca="false">RIGHT(M936,LEN(M936)-FIND(" ",M936))</f>
        <v>FOREST ST NE</v>
      </c>
      <c r="P936" s="0" t="s">
        <v>146</v>
      </c>
      <c r="Q936" s="0" t="s">
        <v>147</v>
      </c>
      <c r="R936" s="0" t="n">
        <v>44483</v>
      </c>
      <c r="AD936" s="0" t="s">
        <v>148</v>
      </c>
      <c r="AE936" s="0" t="s">
        <v>149</v>
      </c>
      <c r="AF936" s="0" t="s">
        <v>150</v>
      </c>
      <c r="AH936" s="0" t="n">
        <v>14</v>
      </c>
      <c r="AI936" s="0" t="n">
        <v>11</v>
      </c>
      <c r="AN936" s="0" t="s">
        <v>146</v>
      </c>
      <c r="AO936" s="0" t="s">
        <v>236</v>
      </c>
      <c r="AP936" s="0" t="s">
        <v>237</v>
      </c>
      <c r="AQ936" s="0" t="n">
        <v>9</v>
      </c>
      <c r="AR936" s="0" t="n">
        <v>64</v>
      </c>
      <c r="AS936" s="0" t="n">
        <v>32</v>
      </c>
      <c r="AU936" s="0" t="n">
        <f aca="false">COUNTA($BA$565:$EH$565)</f>
        <v>14</v>
      </c>
      <c r="AV936" s="0" t="n">
        <f aca="false">COUNTIF($BA$565:$EH$565,"D")</f>
        <v>3</v>
      </c>
      <c r="AW936" s="0" t="n">
        <f aca="false">COUNTIF($BA$565:$EH$565,"R")</f>
        <v>0</v>
      </c>
      <c r="AX936" s="0" t="n">
        <f aca="false"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>0</v>
      </c>
      <c r="AY936" s="0" t="n">
        <f aca="false">COUNTIF(DU936:EH936, "&lt;&gt;")</f>
        <v>0</v>
      </c>
      <c r="AZ936" s="0" t="n">
        <f aca="false">IF(EH936&lt;&gt;"",1,0)</f>
        <v>0</v>
      </c>
      <c r="BB936" s="0" t="s">
        <v>153</v>
      </c>
      <c r="BC936" s="0" t="s">
        <v>154</v>
      </c>
      <c r="BD936" s="0" t="s">
        <v>154</v>
      </c>
      <c r="BL936" s="0" t="s">
        <v>154</v>
      </c>
      <c r="BS936" s="0" t="s">
        <v>154</v>
      </c>
      <c r="BV936" s="0" t="s">
        <v>154</v>
      </c>
      <c r="BY936" s="0" t="s">
        <v>155</v>
      </c>
      <c r="CA936" s="0" t="s">
        <v>154</v>
      </c>
      <c r="CK936" s="0" t="s">
        <v>154</v>
      </c>
      <c r="CN936" s="0" t="s">
        <v>154</v>
      </c>
      <c r="CO936" s="0" t="s">
        <v>155</v>
      </c>
      <c r="CP936" s="0" t="s">
        <v>154</v>
      </c>
      <c r="CV936" s="0" t="s">
        <v>154</v>
      </c>
      <c r="CY936" s="0" t="s">
        <v>154</v>
      </c>
      <c r="CZ936" s="0" t="s">
        <v>155</v>
      </c>
      <c r="DC936" s="0" t="s">
        <v>154</v>
      </c>
      <c r="DI936" s="0" t="s">
        <v>154</v>
      </c>
      <c r="DN936" s="0" t="s">
        <v>154</v>
      </c>
    </row>
    <row r="937" customFormat="false" ht="13.8" hidden="false" customHeight="false" outlineLevel="0" collapsed="false">
      <c r="A937" s="0" t="s">
        <v>4611</v>
      </c>
      <c r="B937" s="0" t="n">
        <v>78</v>
      </c>
      <c r="C937" s="0" t="n">
        <v>250833</v>
      </c>
      <c r="D937" s="0" t="s">
        <v>291</v>
      </c>
      <c r="E937" s="0" t="s">
        <v>867</v>
      </c>
      <c r="F937" s="0" t="str">
        <f aca="false">CONCATENATE(D937," ",LEFT(H937,4),"T=",AU937,"D=",AV937,"R=",AW937,"M=",AX937,"L=",AY937,"B=",AZ937)</f>
        <v>HARVEY T=1D=0R=0M=1L=2B=0</v>
      </c>
      <c r="I937" s="0" t="s">
        <v>4612</v>
      </c>
      <c r="J937" s="0" t="s">
        <v>4613</v>
      </c>
      <c r="K937" s="0" t="s">
        <v>175</v>
      </c>
      <c r="M937" s="0" t="s">
        <v>4610</v>
      </c>
      <c r="N937" s="0" t="str">
        <f aca="false">RIGHT(M937,LEN(M937)-FIND(" ",M937))</f>
        <v>FOREST ST NE</v>
      </c>
      <c r="P937" s="0" t="s">
        <v>146</v>
      </c>
      <c r="Q937" s="0" t="s">
        <v>147</v>
      </c>
      <c r="R937" s="0" t="n">
        <v>44483</v>
      </c>
      <c r="AD937" s="0" t="s">
        <v>148</v>
      </c>
      <c r="AE937" s="0" t="s">
        <v>149</v>
      </c>
      <c r="AF937" s="0" t="s">
        <v>150</v>
      </c>
      <c r="AH937" s="0" t="n">
        <v>14</v>
      </c>
      <c r="AI937" s="0" t="n">
        <v>11</v>
      </c>
      <c r="AN937" s="0" t="s">
        <v>146</v>
      </c>
      <c r="AO937" s="0" t="s">
        <v>236</v>
      </c>
      <c r="AP937" s="0" t="s">
        <v>237</v>
      </c>
      <c r="AQ937" s="0" t="n">
        <v>9</v>
      </c>
      <c r="AR937" s="0" t="n">
        <v>64</v>
      </c>
      <c r="AS937" s="0" t="n">
        <v>32</v>
      </c>
      <c r="AU937" s="0" t="n">
        <f aca="false">COUNTA($BA$570:$EH$570)</f>
        <v>1</v>
      </c>
      <c r="AV937" s="0" t="n">
        <f aca="false">COUNTIF($BA$570:$EH$570,"D")</f>
        <v>0</v>
      </c>
      <c r="AW937" s="0" t="n">
        <f aca="false">COUNTIF($BA$570:$EH$570,"R")</f>
        <v>0</v>
      </c>
      <c r="AX937" s="0" t="n">
        <f aca="false"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>1</v>
      </c>
      <c r="AY937" s="0" t="n">
        <f aca="false">COUNTIF(DU937:EH937, "&lt;&gt;")</f>
        <v>2</v>
      </c>
      <c r="AZ937" s="0" t="n">
        <f aca="false">IF(EH937&lt;&gt;"",1,0)</f>
        <v>0</v>
      </c>
      <c r="BB937" s="0" t="s">
        <v>153</v>
      </c>
      <c r="BD937" s="0" t="s">
        <v>154</v>
      </c>
      <c r="BJ937" s="0" t="s">
        <v>154</v>
      </c>
      <c r="BL937" s="0" t="s">
        <v>154</v>
      </c>
      <c r="BS937" s="0" t="s">
        <v>154</v>
      </c>
      <c r="BV937" s="0" t="s">
        <v>154</v>
      </c>
      <c r="BY937" s="0" t="s">
        <v>155</v>
      </c>
      <c r="CA937" s="0" t="s">
        <v>154</v>
      </c>
      <c r="CK937" s="0" t="s">
        <v>154</v>
      </c>
      <c r="CL937" s="0" t="s">
        <v>155</v>
      </c>
      <c r="CN937" s="0" t="s">
        <v>154</v>
      </c>
      <c r="CP937" s="0" t="s">
        <v>154</v>
      </c>
      <c r="CY937" s="0" t="s">
        <v>154</v>
      </c>
      <c r="CZ937" s="0" t="s">
        <v>155</v>
      </c>
      <c r="DC937" s="0" t="s">
        <v>154</v>
      </c>
      <c r="DI937" s="0" t="s">
        <v>154</v>
      </c>
      <c r="DN937" s="0" t="s">
        <v>154</v>
      </c>
      <c r="DU937" s="0" t="s">
        <v>154</v>
      </c>
      <c r="EF937" s="0" t="s">
        <v>154</v>
      </c>
    </row>
    <row r="938" customFormat="false" ht="13.8" hidden="true" customHeight="false" outlineLevel="0" collapsed="false">
      <c r="A938" s="0" t="s">
        <v>4614</v>
      </c>
      <c r="B938" s="0" t="n">
        <v>78</v>
      </c>
      <c r="C938" s="0" t="n">
        <v>273786</v>
      </c>
      <c r="D938" s="0" t="s">
        <v>2695</v>
      </c>
      <c r="E938" s="0" t="s">
        <v>1232</v>
      </c>
      <c r="F938" s="0" t="str">
        <f aca="false">CONCATENATE(D938," ",LEFT(H938,4),"T=",AU938,"D=",AV938,"R=",AW938,"M=",AX938,"L=",AY938,"B=",AZ938)</f>
        <v>HARRIS T=5D=0R=0M=2L=0B=0</v>
      </c>
      <c r="G938" s="0" t="s">
        <v>4615</v>
      </c>
      <c r="I938" s="0" t="s">
        <v>4616</v>
      </c>
      <c r="J938" s="0" t="s">
        <v>757</v>
      </c>
      <c r="K938" s="0" t="s">
        <v>175</v>
      </c>
      <c r="L938" s="0"/>
      <c r="M938" s="0" t="s">
        <v>4617</v>
      </c>
      <c r="N938" s="0" t="str">
        <f aca="false">RIGHT(M938,LEN(M938)-FIND(" ",M938))</f>
        <v>FOREST ST NE</v>
      </c>
      <c r="P938" s="0" t="s">
        <v>146</v>
      </c>
      <c r="Q938" s="0" t="s">
        <v>147</v>
      </c>
      <c r="R938" s="0" t="n">
        <v>44483</v>
      </c>
      <c r="AD938" s="0" t="s">
        <v>148</v>
      </c>
      <c r="AE938" s="0" t="s">
        <v>149</v>
      </c>
      <c r="AF938" s="0" t="s">
        <v>150</v>
      </c>
      <c r="AH938" s="0" t="n">
        <v>14</v>
      </c>
      <c r="AI938" s="0" t="n">
        <v>11</v>
      </c>
      <c r="AN938" s="0" t="s">
        <v>146</v>
      </c>
      <c r="AO938" s="0" t="s">
        <v>236</v>
      </c>
      <c r="AP938" s="0" t="s">
        <v>237</v>
      </c>
      <c r="AQ938" s="0" t="n">
        <v>9</v>
      </c>
      <c r="AR938" s="0" t="n">
        <v>64</v>
      </c>
      <c r="AS938" s="0" t="n">
        <v>32</v>
      </c>
      <c r="AU938" s="0" t="n">
        <f aca="false">COUNTA($BA$312:$EH$312)</f>
        <v>5</v>
      </c>
      <c r="AV938" s="0" t="n">
        <f aca="false">COUNTIF($BA$312:$EH$312,"D")</f>
        <v>0</v>
      </c>
      <c r="AW938" s="0" t="n">
        <f aca="false">COUNTIF($BA$312:$EH$312,"R")</f>
        <v>0</v>
      </c>
      <c r="AX938" s="0" t="n">
        <f aca="false"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>2</v>
      </c>
      <c r="AY938" s="0" t="n">
        <f aca="false">COUNTIF(DU938:EH938, "&lt;&gt;")</f>
        <v>0</v>
      </c>
      <c r="AZ938" s="0" t="n">
        <f aca="false">IF(EH938&lt;&gt;"",1,0)</f>
        <v>0</v>
      </c>
      <c r="BB938" s="0" t="s">
        <v>153</v>
      </c>
      <c r="BC938" s="0" t="s">
        <v>154</v>
      </c>
      <c r="BG938" s="0" t="s">
        <v>154</v>
      </c>
      <c r="BH938" s="0" t="s">
        <v>154</v>
      </c>
      <c r="BJ938" s="0" t="s">
        <v>154</v>
      </c>
      <c r="BL938" s="0" t="s">
        <v>154</v>
      </c>
      <c r="BY938" s="0" t="s">
        <v>155</v>
      </c>
      <c r="CA938" s="0" t="s">
        <v>154</v>
      </c>
      <c r="CK938" s="0" t="s">
        <v>154</v>
      </c>
      <c r="CL938" s="0" t="s">
        <v>155</v>
      </c>
      <c r="CW938" s="0" t="s">
        <v>155</v>
      </c>
      <c r="CY938" s="0" t="s">
        <v>154</v>
      </c>
      <c r="CZ938" s="0" t="s">
        <v>155</v>
      </c>
      <c r="DC938" s="0" t="s">
        <v>154</v>
      </c>
      <c r="DG938" s="0" t="s">
        <v>155</v>
      </c>
      <c r="DI938" s="0" t="s">
        <v>154</v>
      </c>
      <c r="DN938" s="0" t="s">
        <v>154</v>
      </c>
    </row>
    <row r="939" customFormat="false" ht="13.8" hidden="true" customHeight="false" outlineLevel="0" collapsed="false">
      <c r="A939" s="0" t="s">
        <v>4618</v>
      </c>
      <c r="B939" s="0" t="n">
        <v>78</v>
      </c>
      <c r="C939" s="0" t="n">
        <v>494709</v>
      </c>
      <c r="D939" s="0" t="s">
        <v>2281</v>
      </c>
      <c r="E939" s="0" t="s">
        <v>4619</v>
      </c>
      <c r="F939" s="0" t="str">
        <f aca="false">CONCATENATE(D939," ",LEFT(H939,4),"T=",AU939,"D=",AV939,"R=",AW939,"M=",AX939,"L=",AY939,"B=",AZ939)</f>
        <v>WARFIELD T=1D=0R=0M=0L=0B=0</v>
      </c>
      <c r="G939" s="0" t="s">
        <v>1664</v>
      </c>
      <c r="I939" s="0" t="s">
        <v>4620</v>
      </c>
      <c r="J939" s="0" t="s">
        <v>4621</v>
      </c>
      <c r="K939" s="0" t="s">
        <v>175</v>
      </c>
      <c r="L939" s="0"/>
      <c r="M939" s="0" t="s">
        <v>4617</v>
      </c>
      <c r="N939" s="0" t="str">
        <f aca="false">RIGHT(M939,LEN(M939)-FIND(" ",M939))</f>
        <v>FOREST ST NE</v>
      </c>
      <c r="P939" s="0" t="s">
        <v>146</v>
      </c>
      <c r="Q939" s="0" t="s">
        <v>147</v>
      </c>
      <c r="R939" s="0" t="n">
        <v>44483</v>
      </c>
      <c r="AD939" s="0" t="s">
        <v>148</v>
      </c>
      <c r="AE939" s="0" t="s">
        <v>149</v>
      </c>
      <c r="AF939" s="0" t="s">
        <v>150</v>
      </c>
      <c r="AH939" s="0" t="n">
        <v>14</v>
      </c>
      <c r="AI939" s="0" t="n">
        <v>11</v>
      </c>
      <c r="AN939" s="0" t="s">
        <v>146</v>
      </c>
      <c r="AO939" s="0" t="s">
        <v>236</v>
      </c>
      <c r="AP939" s="0" t="s">
        <v>237</v>
      </c>
      <c r="AQ939" s="0" t="n">
        <v>9</v>
      </c>
      <c r="AR939" s="0" t="n">
        <v>64</v>
      </c>
      <c r="AS939" s="0" t="n">
        <v>32</v>
      </c>
      <c r="AU939" s="0" t="n">
        <f aca="false">COUNTA($BA$924:$EH$924)</f>
        <v>1</v>
      </c>
      <c r="AV939" s="0" t="n">
        <f aca="false">COUNTIF($BA$924:$EH$924,"D")</f>
        <v>0</v>
      </c>
      <c r="AW939" s="0" t="n">
        <f aca="false">COUNTIF($BA$924:$EH$924,"R")</f>
        <v>0</v>
      </c>
      <c r="AX939" s="0" t="n">
        <f aca="false"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>0</v>
      </c>
      <c r="AY939" s="0" t="n">
        <f aca="false">COUNTIF(DU939:EH939, "&lt;&gt;")</f>
        <v>0</v>
      </c>
      <c r="AZ939" s="0" t="n">
        <f aca="false">IF(EH939&lt;&gt;"",1,0)</f>
        <v>0</v>
      </c>
      <c r="BB939" s="0" t="s">
        <v>153</v>
      </c>
    </row>
    <row r="940" customFormat="false" ht="13.8" hidden="false" customHeight="false" outlineLevel="0" collapsed="false">
      <c r="A940" s="0" t="s">
        <v>4622</v>
      </c>
      <c r="B940" s="0" t="n">
        <v>78</v>
      </c>
      <c r="C940" s="0" t="n">
        <v>428118</v>
      </c>
      <c r="D940" s="0" t="s">
        <v>856</v>
      </c>
      <c r="E940" s="0" t="s">
        <v>771</v>
      </c>
      <c r="F940" s="0" t="str">
        <f aca="false">CONCATENATE(D940," ",LEFT(H940,4),"T=",AU940,"D=",AV940,"R=",AW940,"M=",AX940,"L=",AY940,"B=",AZ940)</f>
        <v>JONES T=1D=0R=0M=0L=4B=0</v>
      </c>
      <c r="G940" s="0" t="s">
        <v>4623</v>
      </c>
      <c r="I940" s="0" t="s">
        <v>4624</v>
      </c>
      <c r="J940" s="0" t="s">
        <v>4625</v>
      </c>
      <c r="K940" s="0" t="s">
        <v>175</v>
      </c>
      <c r="L940" s="1" t="s">
        <v>176</v>
      </c>
      <c r="M940" s="0" t="s">
        <v>4626</v>
      </c>
      <c r="N940" s="0" t="str">
        <f aca="false">RIGHT(M940,LEN(M940)-FIND(" ",M940))</f>
        <v>FOREST ST NE</v>
      </c>
      <c r="P940" s="0" t="s">
        <v>146</v>
      </c>
      <c r="Q940" s="0" t="s">
        <v>147</v>
      </c>
      <c r="R940" s="0" t="n">
        <v>44483</v>
      </c>
      <c r="AD940" s="0" t="s">
        <v>148</v>
      </c>
      <c r="AE940" s="0" t="s">
        <v>149</v>
      </c>
      <c r="AF940" s="0" t="s">
        <v>150</v>
      </c>
      <c r="AH940" s="0" t="n">
        <v>14</v>
      </c>
      <c r="AI940" s="0" t="n">
        <v>11</v>
      </c>
      <c r="AN940" s="0" t="s">
        <v>146</v>
      </c>
      <c r="AO940" s="0" t="s">
        <v>236</v>
      </c>
      <c r="AP940" s="0" t="s">
        <v>237</v>
      </c>
      <c r="AQ940" s="0" t="n">
        <v>9</v>
      </c>
      <c r="AR940" s="0" t="n">
        <v>64</v>
      </c>
      <c r="AS940" s="0" t="n">
        <v>32</v>
      </c>
      <c r="AU940" s="0" t="n">
        <f aca="false">COUNTA($BA$57:$EH$57)</f>
        <v>1</v>
      </c>
      <c r="AV940" s="0" t="n">
        <f aca="false">COUNTIF($BA$57:$EH$57,"D")</f>
        <v>0</v>
      </c>
      <c r="AW940" s="0" t="n">
        <f aca="false">COUNTIF($BA$57:$EH$57,"R")</f>
        <v>0</v>
      </c>
      <c r="AX940" s="0" t="n">
        <f aca="false"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>0</v>
      </c>
      <c r="AY940" s="0" t="n">
        <f aca="false">COUNTIF(DU940:EH940, "&lt;&gt;")</f>
        <v>4</v>
      </c>
      <c r="AZ940" s="0" t="n">
        <f aca="false">IF(EH940&lt;&gt;"",1,0)</f>
        <v>0</v>
      </c>
      <c r="BB940" s="0" t="s">
        <v>153</v>
      </c>
      <c r="DF940" s="0" t="s">
        <v>154</v>
      </c>
      <c r="DG940" s="0" t="s">
        <v>155</v>
      </c>
      <c r="DI940" s="0" t="s">
        <v>154</v>
      </c>
      <c r="DN940" s="0" t="s">
        <v>154</v>
      </c>
      <c r="DU940" s="0" t="s">
        <v>154</v>
      </c>
      <c r="EA940" s="0" t="s">
        <v>154</v>
      </c>
      <c r="ED940" s="0" t="s">
        <v>176</v>
      </c>
      <c r="EF940" s="0" t="s">
        <v>154</v>
      </c>
    </row>
    <row r="941" customFormat="false" ht="13.8" hidden="false" customHeight="false" outlineLevel="0" collapsed="false">
      <c r="A941" s="0" t="s">
        <v>4627</v>
      </c>
      <c r="B941" s="0" t="n">
        <v>78</v>
      </c>
      <c r="C941" s="0" t="n">
        <v>191416</v>
      </c>
      <c r="D941" s="0" t="s">
        <v>856</v>
      </c>
      <c r="E941" s="0" t="s">
        <v>335</v>
      </c>
      <c r="F941" s="0" t="str">
        <f aca="false">CONCATENATE(D941," ",LEFT(H941,4),"T=",AU941,"D=",AV941,"R=",AW941,"M=",AX941,"L=",AY941,"B=",AZ941)</f>
        <v>JONES T=13D=0R=0M=2L=5B=1</v>
      </c>
      <c r="G941" s="0" t="s">
        <v>365</v>
      </c>
      <c r="I941" s="0" t="s">
        <v>4628</v>
      </c>
      <c r="J941" s="0" t="s">
        <v>4629</v>
      </c>
      <c r="K941" s="0" t="s">
        <v>175</v>
      </c>
      <c r="L941" s="1" t="s">
        <v>155</v>
      </c>
      <c r="M941" s="0" t="s">
        <v>4626</v>
      </c>
      <c r="N941" s="0" t="str">
        <f aca="false">RIGHT(M941,LEN(M941)-FIND(" ",M941))</f>
        <v>FOREST ST NE</v>
      </c>
      <c r="P941" s="0" t="s">
        <v>146</v>
      </c>
      <c r="Q941" s="0" t="s">
        <v>147</v>
      </c>
      <c r="R941" s="0" t="n">
        <v>44483</v>
      </c>
      <c r="AD941" s="0" t="s">
        <v>148</v>
      </c>
      <c r="AE941" s="0" t="s">
        <v>149</v>
      </c>
      <c r="AF941" s="0" t="s">
        <v>150</v>
      </c>
      <c r="AH941" s="0" t="n">
        <v>14</v>
      </c>
      <c r="AI941" s="0" t="n">
        <v>11</v>
      </c>
      <c r="AN941" s="0" t="s">
        <v>146</v>
      </c>
      <c r="AO941" s="0" t="s">
        <v>236</v>
      </c>
      <c r="AP941" s="0" t="s">
        <v>237</v>
      </c>
      <c r="AQ941" s="0" t="n">
        <v>9</v>
      </c>
      <c r="AR941" s="0" t="n">
        <v>64</v>
      </c>
      <c r="AS941" s="0" t="n">
        <v>32</v>
      </c>
      <c r="AU941" s="0" t="n">
        <f aca="false">COUNTA($BA$568:$EH$568)</f>
        <v>13</v>
      </c>
      <c r="AV941" s="0" t="n">
        <f aca="false">COUNTIF($BA$568:$EH$568,"D")</f>
        <v>0</v>
      </c>
      <c r="AW941" s="0" t="n">
        <f aca="false">COUNTIF($BA$568:$EH$568,"R")</f>
        <v>0</v>
      </c>
      <c r="AX941" s="0" t="n">
        <f aca="false"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>2</v>
      </c>
      <c r="AY941" s="0" t="n">
        <f aca="false">COUNTIF(DU941:EH941, "&lt;&gt;")</f>
        <v>5</v>
      </c>
      <c r="AZ941" s="0" t="n">
        <f aca="false">IF(EH941&lt;&gt;"",1,0)</f>
        <v>1</v>
      </c>
      <c r="BB941" s="0" t="s">
        <v>153</v>
      </c>
      <c r="BC941" s="0" t="s">
        <v>154</v>
      </c>
      <c r="BD941" s="0" t="s">
        <v>154</v>
      </c>
      <c r="BE941" s="0" t="s">
        <v>154</v>
      </c>
      <c r="BF941" s="0" t="s">
        <v>154</v>
      </c>
      <c r="BH941" s="0" t="s">
        <v>154</v>
      </c>
      <c r="BI941" s="0" t="s">
        <v>154</v>
      </c>
      <c r="BJ941" s="0" t="s">
        <v>154</v>
      </c>
      <c r="BK941" s="0" t="s">
        <v>154</v>
      </c>
      <c r="BL941" s="0" t="s">
        <v>154</v>
      </c>
      <c r="BP941" s="0" t="s">
        <v>154</v>
      </c>
      <c r="BR941" s="0" t="s">
        <v>154</v>
      </c>
      <c r="BS941" s="0" t="s">
        <v>154</v>
      </c>
      <c r="BV941" s="0" t="s">
        <v>154</v>
      </c>
      <c r="BY941" s="0" t="s">
        <v>155</v>
      </c>
      <c r="CA941" s="0" t="s">
        <v>154</v>
      </c>
      <c r="CK941" s="0" t="s">
        <v>154</v>
      </c>
      <c r="CL941" s="0" t="s">
        <v>155</v>
      </c>
      <c r="CP941" s="0" t="s">
        <v>154</v>
      </c>
      <c r="CV941" s="0" t="s">
        <v>154</v>
      </c>
      <c r="CY941" s="0" t="s">
        <v>154</v>
      </c>
      <c r="CZ941" s="0" t="s">
        <v>176</v>
      </c>
      <c r="DC941" s="0" t="s">
        <v>154</v>
      </c>
      <c r="DF941" s="0" t="s">
        <v>154</v>
      </c>
      <c r="DG941" s="0" t="s">
        <v>155</v>
      </c>
      <c r="DI941" s="0" t="s">
        <v>154</v>
      </c>
      <c r="DN941" s="0" t="s">
        <v>154</v>
      </c>
      <c r="DS941" s="0" t="s">
        <v>176</v>
      </c>
      <c r="DU941" s="0" t="s">
        <v>154</v>
      </c>
      <c r="EA941" s="0" t="s">
        <v>154</v>
      </c>
      <c r="ED941" s="0" t="s">
        <v>176</v>
      </c>
      <c r="EF941" s="0" t="s">
        <v>154</v>
      </c>
      <c r="EH941" s="0" t="s">
        <v>155</v>
      </c>
    </row>
    <row r="942" customFormat="false" ht="13.8" hidden="true" customHeight="false" outlineLevel="0" collapsed="false">
      <c r="A942" s="0" t="s">
        <v>4630</v>
      </c>
      <c r="B942" s="0" t="n">
        <v>78</v>
      </c>
      <c r="C942" s="0" t="n">
        <v>428531</v>
      </c>
      <c r="D942" s="0" t="s">
        <v>2253</v>
      </c>
      <c r="E942" s="0" t="s">
        <v>932</v>
      </c>
      <c r="F942" s="0" t="str">
        <f aca="false">CONCATENATE(D942," ",LEFT(H942,4),"T=",AU942,"D=",AV942,"R=",AW942,"M=",AX942,"L=",AY942,"B=",AZ942)</f>
        <v>MIRANDA T=6D=1R=0M=0L=0B=0</v>
      </c>
      <c r="G942" s="0" t="s">
        <v>241</v>
      </c>
      <c r="I942" s="0" t="s">
        <v>4631</v>
      </c>
      <c r="J942" s="0" t="s">
        <v>4632</v>
      </c>
      <c r="K942" s="0" t="s">
        <v>175</v>
      </c>
      <c r="L942" s="0"/>
      <c r="M942" s="0" t="s">
        <v>4633</v>
      </c>
      <c r="N942" s="0" t="str">
        <f aca="false">RIGHT(M942,LEN(M942)-FIND(" ",M942))</f>
        <v>FOREST ST NE</v>
      </c>
      <c r="P942" s="0" t="s">
        <v>146</v>
      </c>
      <c r="Q942" s="0" t="s">
        <v>147</v>
      </c>
      <c r="R942" s="0" t="n">
        <v>44483</v>
      </c>
      <c r="AD942" s="0" t="s">
        <v>148</v>
      </c>
      <c r="AE942" s="0" t="s">
        <v>149</v>
      </c>
      <c r="AF942" s="0" t="s">
        <v>150</v>
      </c>
      <c r="AH942" s="0" t="n">
        <v>14</v>
      </c>
      <c r="AI942" s="0" t="n">
        <v>11</v>
      </c>
      <c r="AN942" s="0" t="s">
        <v>146</v>
      </c>
      <c r="AO942" s="0" t="s">
        <v>236</v>
      </c>
      <c r="AP942" s="0" t="s">
        <v>237</v>
      </c>
      <c r="AQ942" s="0" t="n">
        <v>9</v>
      </c>
      <c r="AR942" s="0" t="n">
        <v>64</v>
      </c>
      <c r="AS942" s="0" t="n">
        <v>32</v>
      </c>
      <c r="AU942" s="0" t="n">
        <f aca="false">COUNTA($BA$348:$EH$348)</f>
        <v>6</v>
      </c>
      <c r="AV942" s="0" t="n">
        <f aca="false">COUNTIF($BA$348:$EH$348,"D")</f>
        <v>1</v>
      </c>
      <c r="AW942" s="0" t="n">
        <f aca="false">COUNTIF($BA$348:$EH$348,"R")</f>
        <v>0</v>
      </c>
      <c r="AX942" s="0" t="n">
        <f aca="false"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>0</v>
      </c>
      <c r="AY942" s="0" t="n">
        <f aca="false">COUNTIF(DU942:EH942, "&lt;&gt;")</f>
        <v>0</v>
      </c>
      <c r="AZ942" s="0" t="n">
        <f aca="false">IF(EH942&lt;&gt;"",1,0)</f>
        <v>0</v>
      </c>
      <c r="BB942" s="0" t="s">
        <v>153</v>
      </c>
    </row>
    <row r="943" customFormat="false" ht="13.8" hidden="true" customHeight="false" outlineLevel="0" collapsed="false">
      <c r="A943" s="0" t="s">
        <v>4634</v>
      </c>
      <c r="B943" s="0" t="n">
        <v>78</v>
      </c>
      <c r="C943" s="0" t="n">
        <v>425723</v>
      </c>
      <c r="D943" s="0" t="s">
        <v>4635</v>
      </c>
      <c r="E943" s="0" t="s">
        <v>4636</v>
      </c>
      <c r="F943" s="0" t="str">
        <f aca="false">CONCATENATE(D943," ",LEFT(H943,4),"T=",AU943,"D=",AV943,"R=",AW943,"M=",AX943,"L=",AY943,"B=",AZ943)</f>
        <v>BURNETT T=1D=0R=0M=0L=0B=0</v>
      </c>
      <c r="G943" s="0" t="s">
        <v>376</v>
      </c>
      <c r="I943" s="0" t="s">
        <v>4637</v>
      </c>
      <c r="J943" s="0" t="s">
        <v>4638</v>
      </c>
      <c r="K943" s="0" t="s">
        <v>175</v>
      </c>
      <c r="L943" s="0"/>
      <c r="M943" s="0" t="s">
        <v>4639</v>
      </c>
      <c r="N943" s="0" t="str">
        <f aca="false">RIGHT(M943,LEN(M943)-FIND(" ",M943))</f>
        <v>FOREST ST NE</v>
      </c>
      <c r="P943" s="0" t="s">
        <v>146</v>
      </c>
      <c r="Q943" s="0" t="s">
        <v>147</v>
      </c>
      <c r="R943" s="0" t="n">
        <v>44483</v>
      </c>
      <c r="AD943" s="0" t="s">
        <v>148</v>
      </c>
      <c r="AE943" s="0" t="s">
        <v>149</v>
      </c>
      <c r="AF943" s="0" t="s">
        <v>150</v>
      </c>
      <c r="AH943" s="0" t="n">
        <v>14</v>
      </c>
      <c r="AI943" s="0" t="n">
        <v>11</v>
      </c>
      <c r="AN943" s="0" t="s">
        <v>146</v>
      </c>
      <c r="AO943" s="0" t="s">
        <v>236</v>
      </c>
      <c r="AP943" s="0" t="s">
        <v>237</v>
      </c>
      <c r="AQ943" s="0" t="n">
        <v>9</v>
      </c>
      <c r="AR943" s="0" t="n">
        <v>64</v>
      </c>
      <c r="AS943" s="0" t="n">
        <v>32</v>
      </c>
      <c r="AU943" s="0" t="n">
        <f aca="false">COUNTA($BA$397:$EH$397)</f>
        <v>1</v>
      </c>
      <c r="AV943" s="0" t="n">
        <f aca="false">COUNTIF($BA$397:$EH$397,"D")</f>
        <v>0</v>
      </c>
      <c r="AW943" s="0" t="n">
        <f aca="false">COUNTIF($BA$397:$EH$397,"R")</f>
        <v>0</v>
      </c>
      <c r="AX943" s="0" t="n">
        <f aca="false"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>0</v>
      </c>
      <c r="AY943" s="0" t="n">
        <f aca="false">COUNTIF(DU943:EH943, "&lt;&gt;")</f>
        <v>0</v>
      </c>
      <c r="AZ943" s="0" t="n">
        <f aca="false">IF(EH943&lt;&gt;"",1,0)</f>
        <v>0</v>
      </c>
      <c r="BB943" s="0" t="s">
        <v>153</v>
      </c>
    </row>
    <row r="944" customFormat="false" ht="13.8" hidden="true" customHeight="false" outlineLevel="0" collapsed="false">
      <c r="A944" s="0" t="s">
        <v>4640</v>
      </c>
      <c r="B944" s="0" t="n">
        <v>78</v>
      </c>
      <c r="C944" s="0" t="n">
        <v>495233</v>
      </c>
      <c r="D944" s="0" t="s">
        <v>1657</v>
      </c>
      <c r="E944" s="0" t="s">
        <v>4641</v>
      </c>
      <c r="F944" s="0" t="str">
        <f aca="false">CONCATENATE(D944," ",LEFT(H944,4),"T=",AU944,"D=",AV944,"R=",AW944,"M=",AX944,"L=",AY944,"B=",AZ944)</f>
        <v>MILLER T=7D=1R=0M=0L=0B=0</v>
      </c>
      <c r="G944" s="0" t="s">
        <v>4642</v>
      </c>
      <c r="I944" s="0" t="s">
        <v>4643</v>
      </c>
      <c r="J944" s="0" t="s">
        <v>4644</v>
      </c>
      <c r="K944" s="0" t="s">
        <v>175</v>
      </c>
      <c r="L944" s="0"/>
      <c r="M944" s="0" t="s">
        <v>4645</v>
      </c>
      <c r="N944" s="0" t="str">
        <f aca="false">RIGHT(M944,LEN(M944)-FIND(" ",M944))</f>
        <v>FOREST ST NE</v>
      </c>
      <c r="P944" s="0" t="s">
        <v>146</v>
      </c>
      <c r="Q944" s="0" t="s">
        <v>147</v>
      </c>
      <c r="R944" s="0" t="n">
        <v>44483</v>
      </c>
      <c r="AD944" s="0" t="s">
        <v>148</v>
      </c>
      <c r="AE944" s="0" t="s">
        <v>149</v>
      </c>
      <c r="AF944" s="0" t="s">
        <v>150</v>
      </c>
      <c r="AH944" s="0" t="n">
        <v>14</v>
      </c>
      <c r="AI944" s="0" t="n">
        <v>11</v>
      </c>
      <c r="AN944" s="0" t="s">
        <v>146</v>
      </c>
      <c r="AO944" s="0" t="s">
        <v>236</v>
      </c>
      <c r="AP944" s="0" t="s">
        <v>237</v>
      </c>
      <c r="AQ944" s="0" t="n">
        <v>9</v>
      </c>
      <c r="AR944" s="0" t="n">
        <v>64</v>
      </c>
      <c r="AS944" s="0" t="n">
        <v>32</v>
      </c>
      <c r="AU944" s="0" t="n">
        <f aca="false">COUNTA($BA$133:$EH$133)</f>
        <v>7</v>
      </c>
      <c r="AV944" s="0" t="n">
        <f aca="false">COUNTIF($BA$133:$EH$133,"D")</f>
        <v>1</v>
      </c>
      <c r="AW944" s="0" t="n">
        <f aca="false">COUNTIF($BA$133:$EH$133,"R")</f>
        <v>0</v>
      </c>
      <c r="AX944" s="0" t="n">
        <f aca="false"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>0</v>
      </c>
      <c r="AY944" s="0" t="n">
        <f aca="false">COUNTIF(DU944:EH944, "&lt;&gt;")</f>
        <v>0</v>
      </c>
      <c r="AZ944" s="0" t="n">
        <f aca="false">IF(EH944&lt;&gt;"",1,0)</f>
        <v>0</v>
      </c>
      <c r="BB944" s="0" t="s">
        <v>153</v>
      </c>
    </row>
    <row r="945" customFormat="false" ht="13.8" hidden="true" customHeight="false" outlineLevel="0" collapsed="false">
      <c r="A945" s="0" t="s">
        <v>4646</v>
      </c>
      <c r="B945" s="0" t="n">
        <v>78</v>
      </c>
      <c r="C945" s="0" t="n">
        <v>484199</v>
      </c>
      <c r="D945" s="0" t="s">
        <v>1657</v>
      </c>
      <c r="E945" s="0" t="s">
        <v>4647</v>
      </c>
      <c r="F945" s="0" t="str">
        <f aca="false">CONCATENATE(D945," ",LEFT(H945,4),"T=",AU945,"D=",AV945,"R=",AW945,"M=",AX945,"L=",AY945,"B=",AZ945)</f>
        <v>MILLER T=7D=0R=0M=0L=0B=0</v>
      </c>
      <c r="G945" s="0" t="s">
        <v>241</v>
      </c>
      <c r="I945" s="0" t="s">
        <v>4648</v>
      </c>
      <c r="J945" s="0" t="s">
        <v>1059</v>
      </c>
      <c r="K945" s="0" t="s">
        <v>175</v>
      </c>
      <c r="L945" s="0"/>
      <c r="M945" s="0" t="s">
        <v>4645</v>
      </c>
      <c r="N945" s="0" t="str">
        <f aca="false">RIGHT(M945,LEN(M945)-FIND(" ",M945))</f>
        <v>FOREST ST NE</v>
      </c>
      <c r="P945" s="0" t="s">
        <v>146</v>
      </c>
      <c r="Q945" s="0" t="s">
        <v>147</v>
      </c>
      <c r="R945" s="0" t="n">
        <v>44483</v>
      </c>
      <c r="AD945" s="0" t="s">
        <v>148</v>
      </c>
      <c r="AE945" s="0" t="s">
        <v>149</v>
      </c>
      <c r="AF945" s="0" t="s">
        <v>150</v>
      </c>
      <c r="AH945" s="0" t="n">
        <v>14</v>
      </c>
      <c r="AI945" s="0" t="n">
        <v>11</v>
      </c>
      <c r="AN945" s="0" t="s">
        <v>146</v>
      </c>
      <c r="AO945" s="0" t="s">
        <v>236</v>
      </c>
      <c r="AP945" s="0" t="s">
        <v>237</v>
      </c>
      <c r="AQ945" s="0" t="n">
        <v>9</v>
      </c>
      <c r="AR945" s="0" t="n">
        <v>64</v>
      </c>
      <c r="AS945" s="0" t="n">
        <v>32</v>
      </c>
      <c r="AU945" s="0" t="n">
        <f aca="false">COUNTA($BA$137:$EH$137)</f>
        <v>7</v>
      </c>
      <c r="AV945" s="0" t="n">
        <f aca="false">COUNTIF($BA$137:$EH$137,"D")</f>
        <v>0</v>
      </c>
      <c r="AW945" s="0" t="n">
        <f aca="false">COUNTIF($BA$137:$EH$137,"R")</f>
        <v>0</v>
      </c>
      <c r="AX945" s="0" t="n">
        <f aca="false"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>0</v>
      </c>
      <c r="AY945" s="0" t="n">
        <f aca="false">COUNTIF(DU945:EH945, "&lt;&gt;")</f>
        <v>0</v>
      </c>
      <c r="AZ945" s="0" t="n">
        <f aca="false">IF(EH945&lt;&gt;"",1,0)</f>
        <v>0</v>
      </c>
      <c r="BB945" s="0" t="s">
        <v>153</v>
      </c>
    </row>
    <row r="946" customFormat="false" ht="13.8" hidden="true" customHeight="false" outlineLevel="0" collapsed="false">
      <c r="A946" s="0" t="s">
        <v>4649</v>
      </c>
      <c r="B946" s="0" t="n">
        <v>78</v>
      </c>
      <c r="C946" s="0" t="n">
        <v>468088</v>
      </c>
      <c r="D946" s="0" t="s">
        <v>1657</v>
      </c>
      <c r="E946" s="0" t="s">
        <v>4650</v>
      </c>
      <c r="F946" s="0" t="str">
        <f aca="false">CONCATENATE(D946," ",LEFT(H946,4),"T=",AU946,"D=",AV946,"R=",AW946,"M=",AX946,"L=",AY946,"B=",AZ946)</f>
        <v>MILLER T=4D=0R=0M=0L=1B=0</v>
      </c>
      <c r="G946" s="0" t="s">
        <v>297</v>
      </c>
      <c r="I946" s="0" t="s">
        <v>4651</v>
      </c>
      <c r="J946" s="0" t="s">
        <v>4652</v>
      </c>
      <c r="K946" s="0" t="s">
        <v>175</v>
      </c>
      <c r="L946" s="0"/>
      <c r="M946" s="0" t="s">
        <v>4645</v>
      </c>
      <c r="N946" s="0" t="str">
        <f aca="false">RIGHT(M946,LEN(M946)-FIND(" ",M946))</f>
        <v>FOREST ST NE</v>
      </c>
      <c r="P946" s="0" t="s">
        <v>146</v>
      </c>
      <c r="Q946" s="0" t="s">
        <v>147</v>
      </c>
      <c r="R946" s="0" t="n">
        <v>44483</v>
      </c>
      <c r="AD946" s="0" t="s">
        <v>148</v>
      </c>
      <c r="AE946" s="0" t="s">
        <v>149</v>
      </c>
      <c r="AF946" s="0" t="s">
        <v>150</v>
      </c>
      <c r="AH946" s="0" t="n">
        <v>14</v>
      </c>
      <c r="AI946" s="0" t="n">
        <v>11</v>
      </c>
      <c r="AN946" s="0" t="s">
        <v>146</v>
      </c>
      <c r="AO946" s="0" t="s">
        <v>236</v>
      </c>
      <c r="AP946" s="0" t="s">
        <v>237</v>
      </c>
      <c r="AQ946" s="0" t="n">
        <v>9</v>
      </c>
      <c r="AR946" s="0" t="n">
        <v>64</v>
      </c>
      <c r="AS946" s="0" t="n">
        <v>32</v>
      </c>
      <c r="AU946" s="0" t="n">
        <f aca="false">COUNTA($BA$501:$EH$501)</f>
        <v>4</v>
      </c>
      <c r="AV946" s="0" t="n">
        <f aca="false">COUNTIF($BA$501:$EH$501,"D")</f>
        <v>0</v>
      </c>
      <c r="AW946" s="0" t="n">
        <f aca="false">COUNTIF($BA$501:$EH$501,"R")</f>
        <v>0</v>
      </c>
      <c r="AX946" s="0" t="n">
        <f aca="false"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>0</v>
      </c>
      <c r="AY946" s="0" t="n">
        <f aca="false">COUNTIF(DU946:EH946, "&lt;&gt;")</f>
        <v>1</v>
      </c>
      <c r="AZ946" s="0" t="n">
        <f aca="false">IF(EH946&lt;&gt;"",1,0)</f>
        <v>0</v>
      </c>
      <c r="BB946" s="0" t="s">
        <v>153</v>
      </c>
      <c r="EF946" s="0" t="s">
        <v>154</v>
      </c>
    </row>
    <row r="947" customFormat="false" ht="13.8" hidden="true" customHeight="false" outlineLevel="0" collapsed="false">
      <c r="A947" s="0" t="s">
        <v>4653</v>
      </c>
      <c r="B947" s="0" t="n">
        <v>78</v>
      </c>
      <c r="C947" s="0" t="n">
        <v>451980</v>
      </c>
      <c r="D947" s="0" t="s">
        <v>4654</v>
      </c>
      <c r="E947" s="0" t="s">
        <v>4655</v>
      </c>
      <c r="F947" s="0" t="str">
        <f aca="false">CONCATENATE(D947," ",LEFT(H947,4),"T=",AU947,"D=",AV947,"R=",AW947,"M=",AX947,"L=",AY947,"B=",AZ947)</f>
        <v>HOGAN T=2D=0R=0M=0L=0B=0</v>
      </c>
      <c r="G947" s="0" t="s">
        <v>1027</v>
      </c>
      <c r="I947" s="0" t="s">
        <v>4656</v>
      </c>
      <c r="J947" s="0" t="s">
        <v>248</v>
      </c>
      <c r="K947" s="0" t="s">
        <v>144</v>
      </c>
      <c r="L947" s="0"/>
      <c r="M947" s="0" t="s">
        <v>4657</v>
      </c>
      <c r="N947" s="0" t="str">
        <f aca="false">RIGHT(M947,LEN(M947)-FIND(" ",M947))</f>
        <v>FOREST ST NE</v>
      </c>
      <c r="P947" s="0" t="s">
        <v>146</v>
      </c>
      <c r="Q947" s="0" t="s">
        <v>147</v>
      </c>
      <c r="R947" s="0" t="n">
        <v>44483</v>
      </c>
      <c r="AD947" s="0" t="s">
        <v>148</v>
      </c>
      <c r="AE947" s="0" t="s">
        <v>149</v>
      </c>
      <c r="AF947" s="0" t="s">
        <v>150</v>
      </c>
      <c r="AH947" s="0" t="n">
        <v>14</v>
      </c>
      <c r="AI947" s="0" t="n">
        <v>11</v>
      </c>
      <c r="AN947" s="0" t="s">
        <v>146</v>
      </c>
      <c r="AO947" s="0" t="s">
        <v>236</v>
      </c>
      <c r="AP947" s="0" t="s">
        <v>237</v>
      </c>
      <c r="AQ947" s="0" t="n">
        <v>9</v>
      </c>
      <c r="AR947" s="0" t="n">
        <v>64</v>
      </c>
      <c r="AS947" s="0" t="n">
        <v>32</v>
      </c>
      <c r="AU947" s="0" t="n">
        <f aca="false">COUNTA($BA$778:$EH$778)</f>
        <v>2</v>
      </c>
      <c r="AV947" s="0" t="n">
        <f aca="false">COUNTIF($BA$778:$EH$778,"D")</f>
        <v>0</v>
      </c>
      <c r="AW947" s="0" t="n">
        <f aca="false">COUNTIF($BA$778:$EH$778,"R")</f>
        <v>0</v>
      </c>
      <c r="AX947" s="0" t="n">
        <f aca="false"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>0</v>
      </c>
      <c r="AY947" s="0" t="n">
        <f aca="false">COUNTIF(DU947:EH947, "&lt;&gt;")</f>
        <v>0</v>
      </c>
      <c r="AZ947" s="0" t="n">
        <f aca="false">IF(EH947&lt;&gt;"",1,0)</f>
        <v>0</v>
      </c>
      <c r="BB947" s="0" t="s">
        <v>153</v>
      </c>
      <c r="DN947" s="0" t="s">
        <v>154</v>
      </c>
    </row>
    <row r="948" customFormat="false" ht="13.8" hidden="true" customHeight="false" outlineLevel="0" collapsed="false">
      <c r="A948" s="0" t="s">
        <v>4658</v>
      </c>
      <c r="B948" s="0" t="n">
        <v>78</v>
      </c>
      <c r="C948" s="0" t="n">
        <v>435040</v>
      </c>
      <c r="D948" s="0" t="s">
        <v>1011</v>
      </c>
      <c r="E948" s="0" t="s">
        <v>2292</v>
      </c>
      <c r="F948" s="0" t="str">
        <f aca="false">CONCATENATE(D948," ",LEFT(H948,4),"T=",AU948,"D=",AV948,"R=",AW948,"M=",AX948,"L=",AY948,"B=",AZ948)</f>
        <v>DAVIS JRT=3D=0R=0M=0L=0B=0</v>
      </c>
      <c r="G948" s="0" t="s">
        <v>365</v>
      </c>
      <c r="H948" s="0" t="s">
        <v>431</v>
      </c>
      <c r="I948" s="0" t="s">
        <v>4659</v>
      </c>
      <c r="J948" s="0" t="s">
        <v>4660</v>
      </c>
      <c r="K948" s="0" t="s">
        <v>144</v>
      </c>
      <c r="L948" s="0"/>
      <c r="M948" s="0" t="s">
        <v>4661</v>
      </c>
      <c r="N948" s="0" t="str">
        <f aca="false">RIGHT(M948,LEN(M948)-FIND(" ",M948))</f>
        <v>FOREST ST NE</v>
      </c>
      <c r="P948" s="0" t="s">
        <v>146</v>
      </c>
      <c r="Q948" s="0" t="s">
        <v>147</v>
      </c>
      <c r="R948" s="0" t="n">
        <v>44483</v>
      </c>
      <c r="AD948" s="0" t="s">
        <v>148</v>
      </c>
      <c r="AE948" s="0" t="s">
        <v>149</v>
      </c>
      <c r="AF948" s="0" t="s">
        <v>150</v>
      </c>
      <c r="AH948" s="0" t="n">
        <v>14</v>
      </c>
      <c r="AI948" s="0" t="n">
        <v>11</v>
      </c>
      <c r="AN948" s="0" t="s">
        <v>146</v>
      </c>
      <c r="AO948" s="0" t="s">
        <v>236</v>
      </c>
      <c r="AP948" s="0" t="s">
        <v>237</v>
      </c>
      <c r="AQ948" s="0" t="n">
        <v>9</v>
      </c>
      <c r="AR948" s="0" t="n">
        <v>64</v>
      </c>
      <c r="AS948" s="0" t="n">
        <v>32</v>
      </c>
      <c r="AU948" s="0" t="n">
        <f aca="false">COUNTA($BA$658:$EH$658)</f>
        <v>3</v>
      </c>
      <c r="AV948" s="0" t="n">
        <f aca="false">COUNTIF($BA$658:$EH$658,"D")</f>
        <v>0</v>
      </c>
      <c r="AW948" s="0" t="n">
        <f aca="false">COUNTIF($BA$658:$EH$658,"R")</f>
        <v>0</v>
      </c>
      <c r="AX948" s="0" t="n">
        <f aca="false"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>0</v>
      </c>
      <c r="AY948" s="0" t="n">
        <f aca="false">COUNTIF(DU948:EH948, "&lt;&gt;")</f>
        <v>0</v>
      </c>
      <c r="AZ948" s="0" t="n">
        <f aca="false">IF(EH948&lt;&gt;"",1,0)</f>
        <v>0</v>
      </c>
      <c r="BB948" s="0" t="s">
        <v>153</v>
      </c>
      <c r="DN948" s="0" t="s">
        <v>154</v>
      </c>
    </row>
    <row r="949" customFormat="false" ht="13.8" hidden="true" customHeight="false" outlineLevel="0" collapsed="false">
      <c r="A949" s="0" t="s">
        <v>4662</v>
      </c>
      <c r="B949" s="0" t="n">
        <v>78</v>
      </c>
      <c r="C949" s="0" t="n">
        <v>438022</v>
      </c>
      <c r="D949" s="0" t="s">
        <v>1011</v>
      </c>
      <c r="E949" s="0" t="s">
        <v>2292</v>
      </c>
      <c r="F949" s="0" t="str">
        <f aca="false">CONCATENATE(D949," ",LEFT(H949,4),"T=",AU949,"D=",AV949,"R=",AW949,"M=",AX949,"L=",AY949,"B=",AZ949)</f>
        <v>DAVIS T=2D=0R=0M=0L=0B=0</v>
      </c>
      <c r="G949" s="0" t="s">
        <v>2374</v>
      </c>
      <c r="I949" s="0" t="s">
        <v>4663</v>
      </c>
      <c r="J949" s="0" t="s">
        <v>4664</v>
      </c>
      <c r="K949" s="0" t="s">
        <v>175</v>
      </c>
      <c r="L949" s="0"/>
      <c r="M949" s="0" t="s">
        <v>4661</v>
      </c>
      <c r="N949" s="0" t="str">
        <f aca="false">RIGHT(M949,LEN(M949)-FIND(" ",M949))</f>
        <v>FOREST ST NE</v>
      </c>
      <c r="P949" s="0" t="s">
        <v>146</v>
      </c>
      <c r="Q949" s="0" t="s">
        <v>147</v>
      </c>
      <c r="R949" s="0" t="n">
        <v>44483</v>
      </c>
      <c r="AD949" s="0" t="s">
        <v>148</v>
      </c>
      <c r="AE949" s="0" t="s">
        <v>149</v>
      </c>
      <c r="AF949" s="0" t="s">
        <v>150</v>
      </c>
      <c r="AH949" s="0" t="n">
        <v>14</v>
      </c>
      <c r="AI949" s="0" t="n">
        <v>11</v>
      </c>
      <c r="AN949" s="0" t="s">
        <v>146</v>
      </c>
      <c r="AO949" s="0" t="s">
        <v>236</v>
      </c>
      <c r="AP949" s="0" t="s">
        <v>237</v>
      </c>
      <c r="AQ949" s="0" t="n">
        <v>9</v>
      </c>
      <c r="AR949" s="0" t="n">
        <v>64</v>
      </c>
      <c r="AS949" s="0" t="n">
        <v>32</v>
      </c>
      <c r="AU949" s="0" t="n">
        <f aca="false">COUNTA($BA$978:$EH$978)</f>
        <v>2</v>
      </c>
      <c r="AV949" s="0" t="n">
        <f aca="false">COUNTIF($BA$978:$EH$978,"D")</f>
        <v>0</v>
      </c>
      <c r="AW949" s="0" t="n">
        <f aca="false">COUNTIF($BA$978:$EH$978,"R")</f>
        <v>0</v>
      </c>
      <c r="AX949" s="0" t="n">
        <f aca="false"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>0</v>
      </c>
      <c r="AY949" s="0" t="n">
        <f aca="false">COUNTIF(DU949:EH949, "&lt;&gt;")</f>
        <v>0</v>
      </c>
      <c r="AZ949" s="0" t="n">
        <f aca="false">IF(EH949&lt;&gt;"",1,0)</f>
        <v>0</v>
      </c>
      <c r="BB949" s="0" t="s">
        <v>153</v>
      </c>
    </row>
    <row r="950" customFormat="false" ht="13.8" hidden="true" customHeight="false" outlineLevel="0" collapsed="false">
      <c r="A950" s="0" t="s">
        <v>4665</v>
      </c>
      <c r="B950" s="0" t="n">
        <v>78</v>
      </c>
      <c r="C950" s="0" t="n">
        <v>420949</v>
      </c>
      <c r="D950" s="0" t="s">
        <v>4666</v>
      </c>
      <c r="E950" s="0" t="s">
        <v>2121</v>
      </c>
      <c r="F950" s="0" t="str">
        <f aca="false">CONCATENATE(D950," ",LEFT(H950,4),"T=",AU950,"D=",AV950,"R=",AW950,"M=",AX950,"L=",AY950,"B=",AZ950)</f>
        <v>FAISON T=3D=0R=0M=0L=0B=0</v>
      </c>
      <c r="G950" s="0" t="s">
        <v>155</v>
      </c>
      <c r="I950" s="0" t="s">
        <v>4667</v>
      </c>
      <c r="J950" s="0" t="s">
        <v>4668</v>
      </c>
      <c r="K950" s="0" t="s">
        <v>144</v>
      </c>
      <c r="L950" s="0"/>
      <c r="M950" s="0" t="s">
        <v>4669</v>
      </c>
      <c r="N950" s="0" t="str">
        <f aca="false">RIGHT(M950,LEN(M950)-FIND(" ",M950))</f>
        <v>FOREST ST NE</v>
      </c>
      <c r="P950" s="0" t="s">
        <v>146</v>
      </c>
      <c r="Q950" s="0" t="s">
        <v>147</v>
      </c>
      <c r="R950" s="0" t="n">
        <v>44483</v>
      </c>
      <c r="AD950" s="0" t="s">
        <v>148</v>
      </c>
      <c r="AE950" s="0" t="s">
        <v>149</v>
      </c>
      <c r="AF950" s="0" t="s">
        <v>150</v>
      </c>
      <c r="AH950" s="0" t="n">
        <v>14</v>
      </c>
      <c r="AI950" s="0" t="n">
        <v>11</v>
      </c>
      <c r="AN950" s="0" t="s">
        <v>146</v>
      </c>
      <c r="AO950" s="0" t="s">
        <v>236</v>
      </c>
      <c r="AP950" s="0" t="s">
        <v>237</v>
      </c>
      <c r="AQ950" s="0" t="n">
        <v>9</v>
      </c>
      <c r="AR950" s="0" t="n">
        <v>64</v>
      </c>
      <c r="AS950" s="0" t="n">
        <v>32</v>
      </c>
      <c r="AU950" s="0" t="n">
        <f aca="false">COUNTA($BA$32:$EH$32)</f>
        <v>3</v>
      </c>
      <c r="AV950" s="0" t="n">
        <f aca="false">COUNTIF($BA$32:$EH$32,"D")</f>
        <v>0</v>
      </c>
      <c r="AW950" s="0" t="n">
        <f aca="false">COUNTIF($BA$32:$EH$32,"R")</f>
        <v>0</v>
      </c>
      <c r="AX950" s="0" t="n">
        <f aca="false"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>0</v>
      </c>
      <c r="AY950" s="0" t="n">
        <f aca="false">COUNTIF(DU950:EH950, "&lt;&gt;")</f>
        <v>0</v>
      </c>
      <c r="AZ950" s="0" t="n">
        <f aca="false">IF(EH950&lt;&gt;"",1,0)</f>
        <v>0</v>
      </c>
      <c r="BB950" s="0" t="s">
        <v>153</v>
      </c>
      <c r="CP950" s="0" t="s">
        <v>154</v>
      </c>
    </row>
    <row r="951" customFormat="false" ht="13.8" hidden="true" customHeight="false" outlineLevel="0" collapsed="false">
      <c r="A951" s="0" t="s">
        <v>4670</v>
      </c>
      <c r="B951" s="0" t="n">
        <v>78</v>
      </c>
      <c r="C951" s="0" t="n">
        <v>442812</v>
      </c>
      <c r="D951" s="0" t="s">
        <v>2944</v>
      </c>
      <c r="E951" s="0" t="s">
        <v>4671</v>
      </c>
      <c r="F951" s="0" t="str">
        <f aca="false">CONCATENATE(D951," ",LEFT(H951,4),"T=",AU951,"D=",AV951,"R=",AW951,"M=",AX951,"L=",AY951,"B=",AZ951)</f>
        <v>COFIELD JRT=18D=0R=3M=0L=1B=0</v>
      </c>
      <c r="G951" s="0" t="s">
        <v>365</v>
      </c>
      <c r="H951" s="0" t="s">
        <v>431</v>
      </c>
      <c r="I951" s="0" t="s">
        <v>4672</v>
      </c>
      <c r="J951" s="0" t="s">
        <v>2344</v>
      </c>
      <c r="K951" s="0" t="s">
        <v>175</v>
      </c>
      <c r="L951" s="0"/>
      <c r="M951" s="0" t="s">
        <v>4673</v>
      </c>
      <c r="N951" s="0" t="str">
        <f aca="false">RIGHT(M951,LEN(M951)-FIND(" ",M951))</f>
        <v>FOREST ST NW</v>
      </c>
      <c r="O951" s="0" t="s">
        <v>414</v>
      </c>
      <c r="P951" s="0" t="s">
        <v>146</v>
      </c>
      <c r="Q951" s="0" t="s">
        <v>147</v>
      </c>
      <c r="R951" s="0" t="n">
        <v>44483</v>
      </c>
      <c r="AD951" s="0" t="s">
        <v>148</v>
      </c>
      <c r="AE951" s="0" t="s">
        <v>149</v>
      </c>
      <c r="AF951" s="0" t="s">
        <v>150</v>
      </c>
      <c r="AH951" s="0" t="n">
        <v>14</v>
      </c>
      <c r="AI951" s="0" t="n">
        <v>11</v>
      </c>
      <c r="AN951" s="0" t="s">
        <v>146</v>
      </c>
      <c r="AO951" s="0" t="s">
        <v>151</v>
      </c>
      <c r="AP951" s="0" t="s">
        <v>152</v>
      </c>
      <c r="AQ951" s="0" t="n">
        <v>9</v>
      </c>
      <c r="AR951" s="0" t="n">
        <v>64</v>
      </c>
      <c r="AS951" s="0" t="n">
        <v>32</v>
      </c>
      <c r="AU951" s="0" t="n">
        <f aca="false">COUNTA($BA$1250:$EH$1250)</f>
        <v>18</v>
      </c>
      <c r="AV951" s="0" t="n">
        <f aca="false">COUNTIF($BA$1250:$EH$1250,"D")</f>
        <v>0</v>
      </c>
      <c r="AW951" s="0" t="n">
        <f aca="false">COUNTIF($BA$1250:$EH$1250,"R")</f>
        <v>3</v>
      </c>
      <c r="AX951" s="0" t="n">
        <f aca="false"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>0</v>
      </c>
      <c r="AY951" s="0" t="n">
        <f aca="false">COUNTIF(DU951:EH951, "&lt;&gt;")</f>
        <v>1</v>
      </c>
      <c r="AZ951" s="0" t="n">
        <f aca="false">IF(EH951&lt;&gt;"",1,0)</f>
        <v>0</v>
      </c>
      <c r="BB951" s="0" t="s">
        <v>153</v>
      </c>
      <c r="DN951" s="0" t="s">
        <v>154</v>
      </c>
      <c r="EF951" s="0" t="s">
        <v>154</v>
      </c>
    </row>
    <row r="952" customFormat="false" ht="13.8" hidden="true" customHeight="false" outlineLevel="0" collapsed="false">
      <c r="A952" s="0" t="s">
        <v>4674</v>
      </c>
      <c r="B952" s="0" t="n">
        <v>78</v>
      </c>
      <c r="C952" s="0" t="n">
        <v>476703</v>
      </c>
      <c r="D952" s="0" t="s">
        <v>4675</v>
      </c>
      <c r="E952" s="0" t="s">
        <v>4676</v>
      </c>
      <c r="F952" s="0" t="str">
        <f aca="false">CONCATENATE(D952," ",LEFT(H952,4),"T=",AU952,"D=",AV952,"R=",AW952,"M=",AX952,"L=",AY952,"B=",AZ952)</f>
        <v>MERCADO T=1D=0R=0M=0L=0B=0</v>
      </c>
      <c r="I952" s="0" t="s">
        <v>4677</v>
      </c>
      <c r="J952" s="0" t="s">
        <v>4678</v>
      </c>
      <c r="K952" s="0" t="s">
        <v>175</v>
      </c>
      <c r="L952" s="0"/>
      <c r="M952" s="0" t="s">
        <v>4679</v>
      </c>
      <c r="N952" s="0" t="str">
        <f aca="false">RIGHT(M952,LEN(M952)-FIND(" ",M952))</f>
        <v>FOREST ST NW</v>
      </c>
      <c r="P952" s="0" t="s">
        <v>146</v>
      </c>
      <c r="Q952" s="0" t="s">
        <v>147</v>
      </c>
      <c r="R952" s="0" t="n">
        <v>44483</v>
      </c>
      <c r="AD952" s="0" t="s">
        <v>148</v>
      </c>
      <c r="AE952" s="0" t="s">
        <v>149</v>
      </c>
      <c r="AF952" s="0" t="s">
        <v>150</v>
      </c>
      <c r="AH952" s="0" t="n">
        <v>14</v>
      </c>
      <c r="AI952" s="0" t="n">
        <v>11</v>
      </c>
      <c r="AN952" s="0" t="s">
        <v>146</v>
      </c>
      <c r="AO952" s="0" t="s">
        <v>151</v>
      </c>
      <c r="AP952" s="0" t="s">
        <v>152</v>
      </c>
      <c r="AQ952" s="0" t="n">
        <v>9</v>
      </c>
      <c r="AR952" s="0" t="n">
        <v>64</v>
      </c>
      <c r="AS952" s="0" t="n">
        <v>32</v>
      </c>
      <c r="AU952" s="0" t="n">
        <f aca="false">COUNTA($BA$1455:$EH$1455)</f>
        <v>1</v>
      </c>
      <c r="AV952" s="0" t="n">
        <f aca="false">COUNTIF($BA$1455:$EH$1455,"D")</f>
        <v>0</v>
      </c>
      <c r="AW952" s="0" t="n">
        <f aca="false">COUNTIF($BA$1455:$EH$1455,"R")</f>
        <v>0</v>
      </c>
      <c r="AX952" s="0" t="n">
        <f aca="false"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>0</v>
      </c>
      <c r="AY952" s="0" t="n">
        <f aca="false">COUNTIF(DU952:EH952, "&lt;&gt;")</f>
        <v>0</v>
      </c>
      <c r="AZ952" s="0" t="n">
        <f aca="false">IF(EH952&lt;&gt;"",1,0)</f>
        <v>0</v>
      </c>
      <c r="BB952" s="0" t="s">
        <v>153</v>
      </c>
    </row>
    <row r="953" customFormat="false" ht="13.8" hidden="false" customHeight="false" outlineLevel="0" collapsed="false">
      <c r="A953" s="0" t="s">
        <v>4680</v>
      </c>
      <c r="B953" s="0" t="n">
        <v>78</v>
      </c>
      <c r="C953" s="0" t="n">
        <v>375060</v>
      </c>
      <c r="D953" s="0" t="s">
        <v>856</v>
      </c>
      <c r="E953" s="0" t="s">
        <v>2060</v>
      </c>
      <c r="F953" s="0" t="str">
        <f aca="false">CONCATENATE(D953," ",LEFT(H953,4),"T=",AU953,"D=",AV953,"R=",AW953,"M=",AX953,"L=",AY953,"B=",AZ953)</f>
        <v>JONES T=1D=0R=0M=0L=2B=0</v>
      </c>
      <c r="G953" s="0" t="s">
        <v>155</v>
      </c>
      <c r="I953" s="0" t="s">
        <v>4681</v>
      </c>
      <c r="J953" s="0" t="s">
        <v>4682</v>
      </c>
      <c r="K953" s="0" t="s">
        <v>175</v>
      </c>
      <c r="M953" s="0" t="s">
        <v>4679</v>
      </c>
      <c r="N953" s="0" t="str">
        <f aca="false">RIGHT(M953,LEN(M953)-FIND(" ",M953))</f>
        <v>FOREST ST NW</v>
      </c>
      <c r="P953" s="0" t="s">
        <v>146</v>
      </c>
      <c r="Q953" s="0" t="s">
        <v>147</v>
      </c>
      <c r="R953" s="0" t="n">
        <v>44483</v>
      </c>
      <c r="AD953" s="0" t="s">
        <v>148</v>
      </c>
      <c r="AE953" s="0" t="s">
        <v>149</v>
      </c>
      <c r="AF953" s="0" t="s">
        <v>150</v>
      </c>
      <c r="AH953" s="0" t="n">
        <v>14</v>
      </c>
      <c r="AI953" s="0" t="n">
        <v>11</v>
      </c>
      <c r="AN953" s="0" t="s">
        <v>146</v>
      </c>
      <c r="AO953" s="0" t="s">
        <v>151</v>
      </c>
      <c r="AP953" s="0" t="s">
        <v>152</v>
      </c>
      <c r="AQ953" s="0" t="n">
        <v>9</v>
      </c>
      <c r="AR953" s="0" t="n">
        <v>64</v>
      </c>
      <c r="AS953" s="0" t="n">
        <v>32</v>
      </c>
      <c r="AU953" s="0" t="n">
        <f aca="false">COUNTA($BA$1937:$EH$1937)</f>
        <v>1</v>
      </c>
      <c r="AV953" s="0" t="n">
        <f aca="false">COUNTIF($BA$1937:$EH$1937,"D")</f>
        <v>0</v>
      </c>
      <c r="AW953" s="0" t="n">
        <f aca="false">COUNTIF($BA$1937:$EH$1937,"R")</f>
        <v>0</v>
      </c>
      <c r="AX953" s="0" t="n">
        <f aca="false"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>0</v>
      </c>
      <c r="AY953" s="0" t="n">
        <f aca="false">COUNTIF(DU953:EH953, "&lt;&gt;")</f>
        <v>2</v>
      </c>
      <c r="AZ953" s="0" t="n">
        <f aca="false">IF(EH953&lt;&gt;"",1,0)</f>
        <v>0</v>
      </c>
      <c r="BB953" s="0" t="s">
        <v>153</v>
      </c>
      <c r="CP953" s="0" t="s">
        <v>154</v>
      </c>
      <c r="DC953" s="0" t="s">
        <v>154</v>
      </c>
      <c r="EA953" s="0" t="s">
        <v>154</v>
      </c>
      <c r="EF953" s="0" t="s">
        <v>154</v>
      </c>
    </row>
    <row r="954" customFormat="false" ht="13.8" hidden="true" customHeight="false" outlineLevel="0" collapsed="false">
      <c r="A954" s="0" t="s">
        <v>4683</v>
      </c>
      <c r="B954" s="0" t="n">
        <v>78</v>
      </c>
      <c r="C954" s="0" t="n">
        <v>447110</v>
      </c>
      <c r="D954" s="0" t="s">
        <v>4684</v>
      </c>
      <c r="E954" s="0" t="s">
        <v>4685</v>
      </c>
      <c r="F954" s="0" t="str">
        <f aca="false">CONCATENATE(D954," ",LEFT(H954,4),"T=",AU954,"D=",AV954,"R=",AW954,"M=",AX954,"L=",AY954,"B=",AZ954)</f>
        <v>ZIELKE T=1D=0R=0M=0L=0B=0</v>
      </c>
      <c r="G954" s="0" t="s">
        <v>172</v>
      </c>
      <c r="I954" s="0" t="s">
        <v>4686</v>
      </c>
      <c r="J954" s="0" t="s">
        <v>4687</v>
      </c>
      <c r="K954" s="0" t="s">
        <v>175</v>
      </c>
      <c r="L954" s="0"/>
      <c r="M954" s="0" t="s">
        <v>4688</v>
      </c>
      <c r="N954" s="0" t="str">
        <f aca="false">RIGHT(M954,LEN(M954)-FIND(" ",M954))</f>
        <v>FOREST ST NW</v>
      </c>
      <c r="P954" s="0" t="s">
        <v>146</v>
      </c>
      <c r="Q954" s="0" t="s">
        <v>147</v>
      </c>
      <c r="R954" s="0" t="n">
        <v>44483</v>
      </c>
      <c r="AD954" s="0" t="s">
        <v>148</v>
      </c>
      <c r="AE954" s="0" t="s">
        <v>149</v>
      </c>
      <c r="AF954" s="0" t="s">
        <v>150</v>
      </c>
      <c r="AH954" s="0" t="n">
        <v>14</v>
      </c>
      <c r="AI954" s="0" t="n">
        <v>11</v>
      </c>
      <c r="AN954" s="0" t="s">
        <v>146</v>
      </c>
      <c r="AO954" s="0" t="s">
        <v>151</v>
      </c>
      <c r="AP954" s="0" t="s">
        <v>152</v>
      </c>
      <c r="AQ954" s="0" t="n">
        <v>9</v>
      </c>
      <c r="AR954" s="0" t="n">
        <v>64</v>
      </c>
      <c r="AS954" s="0" t="n">
        <v>32</v>
      </c>
      <c r="AU954" s="0" t="n">
        <f aca="false">COUNTA($BA$1945:$EH$1945)</f>
        <v>1</v>
      </c>
      <c r="AV954" s="0" t="n">
        <f aca="false">COUNTIF($BA$1945:$EH$1945,"D")</f>
        <v>0</v>
      </c>
      <c r="AW954" s="0" t="n">
        <f aca="false">COUNTIF($BA$1945:$EH$1945,"R")</f>
        <v>0</v>
      </c>
      <c r="AX954" s="0" t="n">
        <f aca="false"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>0</v>
      </c>
      <c r="AY954" s="0" t="n">
        <f aca="false">COUNTIF(DU954:EH954, "&lt;&gt;")</f>
        <v>0</v>
      </c>
      <c r="AZ954" s="0" t="n">
        <f aca="false">IF(EH954&lt;&gt;"",1,0)</f>
        <v>0</v>
      </c>
      <c r="BB954" s="0" t="s">
        <v>153</v>
      </c>
    </row>
    <row r="955" customFormat="false" ht="13.8" hidden="true" customHeight="false" outlineLevel="0" collapsed="false">
      <c r="A955" s="0" t="s">
        <v>4689</v>
      </c>
      <c r="B955" s="0" t="n">
        <v>78</v>
      </c>
      <c r="C955" s="0" t="n">
        <v>430624</v>
      </c>
      <c r="D955" s="0" t="s">
        <v>317</v>
      </c>
      <c r="E955" s="0" t="s">
        <v>4690</v>
      </c>
      <c r="F955" s="0" t="str">
        <f aca="false">CONCATENATE(D955," ",LEFT(H955,4),"T=",AU955,"D=",AV955,"R=",AW955,"M=",AX955,"L=",AY955,"B=",AZ955)</f>
        <v>LEE T=3D=1R=0M=0L=0B=0</v>
      </c>
      <c r="G955" s="0" t="s">
        <v>155</v>
      </c>
      <c r="I955" s="0" t="s">
        <v>4691</v>
      </c>
      <c r="J955" s="0" t="s">
        <v>4692</v>
      </c>
      <c r="K955" s="0" t="s">
        <v>144</v>
      </c>
      <c r="L955" s="0"/>
      <c r="M955" s="0" t="s">
        <v>4693</v>
      </c>
      <c r="N955" s="0" t="str">
        <f aca="false">RIGHT(M955,LEN(M955)-FIND(" ",M955))</f>
        <v>FOREST ST NW</v>
      </c>
      <c r="P955" s="0" t="s">
        <v>146</v>
      </c>
      <c r="Q955" s="0" t="s">
        <v>147</v>
      </c>
      <c r="R955" s="0" t="n">
        <v>44483</v>
      </c>
      <c r="AD955" s="0" t="s">
        <v>148</v>
      </c>
      <c r="AE955" s="0" t="s">
        <v>149</v>
      </c>
      <c r="AF955" s="0" t="s">
        <v>150</v>
      </c>
      <c r="AH955" s="0" t="n">
        <v>14</v>
      </c>
      <c r="AI955" s="0" t="n">
        <v>11</v>
      </c>
      <c r="AN955" s="0" t="s">
        <v>146</v>
      </c>
      <c r="AO955" s="0" t="s">
        <v>151</v>
      </c>
      <c r="AP955" s="0" t="s">
        <v>152</v>
      </c>
      <c r="AQ955" s="0" t="n">
        <v>9</v>
      </c>
      <c r="AR955" s="0" t="n">
        <v>64</v>
      </c>
      <c r="AS955" s="0" t="n">
        <v>32</v>
      </c>
      <c r="AU955" s="0" t="n">
        <f aca="false">COUNTA($BA$1356:$EH$1356)</f>
        <v>3</v>
      </c>
      <c r="AV955" s="0" t="n">
        <f aca="false">COUNTIF($BA$1356:$EH$1356,"D")</f>
        <v>1</v>
      </c>
      <c r="AW955" s="0" t="n">
        <f aca="false">COUNTIF($BA$1356:$EH$1356,"R")</f>
        <v>0</v>
      </c>
      <c r="AX955" s="0" t="n">
        <f aca="false"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>0</v>
      </c>
      <c r="AY955" s="0" t="n">
        <f aca="false">COUNTIF(DU955:EH955, "&lt;&gt;")</f>
        <v>0</v>
      </c>
      <c r="AZ955" s="0" t="n">
        <f aca="false">IF(EH955&lt;&gt;"",1,0)</f>
        <v>0</v>
      </c>
      <c r="BB955" s="0" t="s">
        <v>153</v>
      </c>
    </row>
    <row r="956" customFormat="false" ht="13.8" hidden="true" customHeight="false" outlineLevel="0" collapsed="false">
      <c r="A956" s="0" t="s">
        <v>4694</v>
      </c>
      <c r="B956" s="0" t="n">
        <v>78</v>
      </c>
      <c r="C956" s="0" t="n">
        <v>324848</v>
      </c>
      <c r="D956" s="0" t="s">
        <v>1582</v>
      </c>
      <c r="E956" s="0" t="s">
        <v>744</v>
      </c>
      <c r="F956" s="0" t="str">
        <f aca="false">CONCATENATE(D956," ",LEFT(H956,4),"T=",AU956,"D=",AV956,"R=",AW956,"M=",AX956,"L=",AY956,"B=",AZ956)</f>
        <v>SMITH T=2D=0R=0M=0L=0B=0</v>
      </c>
      <c r="G956" s="0" t="s">
        <v>4695</v>
      </c>
      <c r="I956" s="0" t="s">
        <v>4696</v>
      </c>
      <c r="J956" s="0" t="s">
        <v>4697</v>
      </c>
      <c r="K956" s="0" t="s">
        <v>175</v>
      </c>
      <c r="L956" s="0"/>
      <c r="M956" s="0" t="s">
        <v>4693</v>
      </c>
      <c r="N956" s="0" t="str">
        <f aca="false">RIGHT(M956,LEN(M956)-FIND(" ",M956))</f>
        <v>FOREST ST NW</v>
      </c>
      <c r="P956" s="0" t="s">
        <v>146</v>
      </c>
      <c r="Q956" s="0" t="s">
        <v>147</v>
      </c>
      <c r="R956" s="0" t="n">
        <v>44483</v>
      </c>
      <c r="AD956" s="0" t="s">
        <v>148</v>
      </c>
      <c r="AE956" s="0" t="s">
        <v>149</v>
      </c>
      <c r="AF956" s="0" t="s">
        <v>150</v>
      </c>
      <c r="AH956" s="0" t="n">
        <v>14</v>
      </c>
      <c r="AI956" s="0" t="n">
        <v>11</v>
      </c>
      <c r="AN956" s="0" t="s">
        <v>146</v>
      </c>
      <c r="AO956" s="0" t="s">
        <v>151</v>
      </c>
      <c r="AP956" s="0" t="s">
        <v>152</v>
      </c>
      <c r="AQ956" s="0" t="n">
        <v>9</v>
      </c>
      <c r="AR956" s="0" t="n">
        <v>64</v>
      </c>
      <c r="AS956" s="0" t="n">
        <v>32</v>
      </c>
      <c r="AU956" s="0" t="n">
        <f aca="false">COUNTA($BA$1592:$EH$1592)</f>
        <v>2</v>
      </c>
      <c r="AV956" s="0" t="n">
        <f aca="false">COUNTIF($BA$1592:$EH$1592,"D")</f>
        <v>0</v>
      </c>
      <c r="AW956" s="0" t="n">
        <f aca="false">COUNTIF($BA$1592:$EH$1592,"R")</f>
        <v>0</v>
      </c>
      <c r="AX956" s="0" t="n">
        <f aca="false"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>0</v>
      </c>
      <c r="AY956" s="0" t="n">
        <f aca="false">COUNTIF(DU956:EH956, "&lt;&gt;")</f>
        <v>0</v>
      </c>
      <c r="AZ956" s="0" t="n">
        <f aca="false">IF(EH956&lt;&gt;"",1,0)</f>
        <v>0</v>
      </c>
      <c r="BB956" s="0" t="s">
        <v>153</v>
      </c>
      <c r="BL956" s="0" t="s">
        <v>154</v>
      </c>
      <c r="CP956" s="0" t="s">
        <v>154</v>
      </c>
      <c r="DC956" s="0" t="s">
        <v>154</v>
      </c>
      <c r="DN956" s="0" t="s">
        <v>154</v>
      </c>
    </row>
    <row r="957" customFormat="false" ht="13.8" hidden="true" customHeight="false" outlineLevel="0" collapsed="false">
      <c r="A957" s="0" t="s">
        <v>4698</v>
      </c>
      <c r="B957" s="0" t="n">
        <v>78</v>
      </c>
      <c r="C957" s="0" t="n">
        <v>455889</v>
      </c>
      <c r="D957" s="0" t="s">
        <v>4699</v>
      </c>
      <c r="E957" s="0" t="s">
        <v>195</v>
      </c>
      <c r="F957" s="0" t="str">
        <f aca="false">CONCATENATE(D957," ",LEFT(H957,4),"T=",AU957,"D=",AV957,"R=",AW957,"M=",AX957,"L=",AY957,"B=",AZ957)</f>
        <v>CORBISELLO T=2D=0R=0M=0L=0B=0</v>
      </c>
      <c r="G957" s="0" t="s">
        <v>1374</v>
      </c>
      <c r="I957" s="0" t="s">
        <v>4700</v>
      </c>
      <c r="J957" s="0" t="s">
        <v>2666</v>
      </c>
      <c r="K957" s="0" t="s">
        <v>144</v>
      </c>
      <c r="L957" s="0"/>
      <c r="M957" s="0" t="s">
        <v>4701</v>
      </c>
      <c r="N957" s="0" t="str">
        <f aca="false">RIGHT(M957,LEN(M957)-FIND(" ",M957))</f>
        <v>FOREST ST NW</v>
      </c>
      <c r="P957" s="0" t="s">
        <v>146</v>
      </c>
      <c r="Q957" s="0" t="s">
        <v>147</v>
      </c>
      <c r="R957" s="0" t="n">
        <v>44483</v>
      </c>
      <c r="AD957" s="0" t="s">
        <v>148</v>
      </c>
      <c r="AE957" s="0" t="s">
        <v>149</v>
      </c>
      <c r="AF957" s="0" t="s">
        <v>150</v>
      </c>
      <c r="AH957" s="0" t="n">
        <v>14</v>
      </c>
      <c r="AI957" s="0" t="n">
        <v>11</v>
      </c>
      <c r="AN957" s="0" t="s">
        <v>146</v>
      </c>
      <c r="AO957" s="0" t="s">
        <v>151</v>
      </c>
      <c r="AP957" s="0" t="s">
        <v>152</v>
      </c>
      <c r="AQ957" s="0" t="n">
        <v>9</v>
      </c>
      <c r="AR957" s="0" t="n">
        <v>64</v>
      </c>
      <c r="AS957" s="0" t="n">
        <v>32</v>
      </c>
      <c r="AU957" s="0" t="n">
        <f aca="false">COUNTA($BA$1714:$EH$1714)</f>
        <v>2</v>
      </c>
      <c r="AV957" s="0" t="n">
        <f aca="false">COUNTIF($BA$1714:$EH$1714,"D")</f>
        <v>0</v>
      </c>
      <c r="AW957" s="0" t="n">
        <f aca="false">COUNTIF($BA$1714:$EH$1714,"R")</f>
        <v>0</v>
      </c>
      <c r="AX957" s="0" t="n">
        <f aca="false"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>0</v>
      </c>
      <c r="AY957" s="0" t="n">
        <f aca="false">COUNTIF(DU957:EH957, "&lt;&gt;")</f>
        <v>0</v>
      </c>
      <c r="AZ957" s="0" t="n">
        <f aca="false">IF(EH957&lt;&gt;"",1,0)</f>
        <v>0</v>
      </c>
      <c r="BB957" s="0" t="s">
        <v>153</v>
      </c>
    </row>
    <row r="958" customFormat="false" ht="13.8" hidden="true" customHeight="false" outlineLevel="0" collapsed="false">
      <c r="A958" s="0" t="s">
        <v>4702</v>
      </c>
      <c r="B958" s="0" t="n">
        <v>78</v>
      </c>
      <c r="C958" s="0" t="n">
        <v>422405</v>
      </c>
      <c r="D958" s="0" t="s">
        <v>1901</v>
      </c>
      <c r="E958" s="0" t="s">
        <v>609</v>
      </c>
      <c r="F958" s="0" t="str">
        <f aca="false">CONCATENATE(D958," ",LEFT(H958,4),"T=",AU958,"D=",AV958,"R=",AW958,"M=",AX958,"L=",AY958,"B=",AZ958)</f>
        <v>SNYDER T=45D=13R=0M=0L=0B=0</v>
      </c>
      <c r="G958" s="0" t="s">
        <v>159</v>
      </c>
      <c r="I958" s="0" t="s">
        <v>4703</v>
      </c>
      <c r="J958" s="0" t="s">
        <v>983</v>
      </c>
      <c r="K958" s="0" t="s">
        <v>144</v>
      </c>
      <c r="L958" s="0"/>
      <c r="M958" s="0" t="s">
        <v>4704</v>
      </c>
      <c r="N958" s="0" t="str">
        <f aca="false">RIGHT(M958,LEN(M958)-FIND(" ",M958))</f>
        <v>FOREST ST NW</v>
      </c>
      <c r="P958" s="0" t="s">
        <v>146</v>
      </c>
      <c r="Q958" s="0" t="s">
        <v>147</v>
      </c>
      <c r="R958" s="0" t="n">
        <v>44483</v>
      </c>
      <c r="AD958" s="0" t="s">
        <v>148</v>
      </c>
      <c r="AE958" s="0" t="s">
        <v>149</v>
      </c>
      <c r="AF958" s="0" t="s">
        <v>150</v>
      </c>
      <c r="AH958" s="0" t="n">
        <v>14</v>
      </c>
      <c r="AI958" s="0" t="n">
        <v>11</v>
      </c>
      <c r="AN958" s="0" t="s">
        <v>146</v>
      </c>
      <c r="AO958" s="0" t="s">
        <v>151</v>
      </c>
      <c r="AP958" s="0" t="s">
        <v>152</v>
      </c>
      <c r="AQ958" s="0" t="n">
        <v>9</v>
      </c>
      <c r="AR958" s="0" t="n">
        <v>64</v>
      </c>
      <c r="AS958" s="0" t="n">
        <v>32</v>
      </c>
      <c r="AU958" s="0" t="n">
        <f aca="false">COUNTA($BA$1275:$EH$1275)</f>
        <v>45</v>
      </c>
      <c r="AV958" s="0" t="n">
        <f aca="false">COUNTIF($BA$1275:$EH$1275,"D")</f>
        <v>13</v>
      </c>
      <c r="AW958" s="0" t="n">
        <f aca="false">COUNTIF($BA$1275:$EH$1275,"R")</f>
        <v>0</v>
      </c>
      <c r="AX958" s="0" t="n">
        <f aca="false"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>0</v>
      </c>
      <c r="AY958" s="0" t="n">
        <f aca="false">COUNTIF(DU958:EH958, "&lt;&gt;")</f>
        <v>0</v>
      </c>
      <c r="AZ958" s="0" t="n">
        <f aca="false">IF(EH958&lt;&gt;"",1,0)</f>
        <v>0</v>
      </c>
      <c r="BB958" s="0" t="s">
        <v>153</v>
      </c>
      <c r="DN958" s="0" t="s">
        <v>154</v>
      </c>
    </row>
    <row r="959" customFormat="false" ht="13.8" hidden="true" customHeight="false" outlineLevel="0" collapsed="false">
      <c r="A959" s="0" t="s">
        <v>4705</v>
      </c>
      <c r="B959" s="0" t="n">
        <v>78</v>
      </c>
      <c r="C959" s="0" t="n">
        <v>448448</v>
      </c>
      <c r="D959" s="0" t="s">
        <v>4706</v>
      </c>
      <c r="E959" s="0" t="s">
        <v>3887</v>
      </c>
      <c r="F959" s="0" t="str">
        <f aca="false">CONCATENATE(D959," ",LEFT(H959,4),"T=",AU959,"D=",AV959,"R=",AW959,"M=",AX959,"L=",AY959,"B=",AZ959)</f>
        <v>GINKINGER T=43D=16R=0M=0L=0B=0</v>
      </c>
      <c r="G959" s="0" t="s">
        <v>4707</v>
      </c>
      <c r="I959" s="0" t="s">
        <v>4708</v>
      </c>
      <c r="J959" s="0" t="s">
        <v>4709</v>
      </c>
      <c r="K959" s="0" t="s">
        <v>175</v>
      </c>
      <c r="L959" s="0"/>
      <c r="M959" s="0" t="s">
        <v>4704</v>
      </c>
      <c r="N959" s="0" t="str">
        <f aca="false">RIGHT(M959,LEN(M959)-FIND(" ",M959))</f>
        <v>FOREST ST NW</v>
      </c>
      <c r="P959" s="0" t="s">
        <v>146</v>
      </c>
      <c r="Q959" s="0" t="s">
        <v>147</v>
      </c>
      <c r="R959" s="0" t="n">
        <v>44483</v>
      </c>
      <c r="AD959" s="0" t="s">
        <v>148</v>
      </c>
      <c r="AE959" s="0" t="s">
        <v>149</v>
      </c>
      <c r="AF959" s="0" t="s">
        <v>150</v>
      </c>
      <c r="AH959" s="0" t="n">
        <v>14</v>
      </c>
      <c r="AI959" s="0" t="n">
        <v>11</v>
      </c>
      <c r="AN959" s="0" t="s">
        <v>146</v>
      </c>
      <c r="AO959" s="0" t="s">
        <v>151</v>
      </c>
      <c r="AP959" s="0" t="s">
        <v>152</v>
      </c>
      <c r="AQ959" s="0" t="n">
        <v>9</v>
      </c>
      <c r="AR959" s="0" t="n">
        <v>64</v>
      </c>
      <c r="AS959" s="0" t="n">
        <v>32</v>
      </c>
      <c r="AU959" s="0" t="n">
        <f aca="false">COUNTA($BA$1813:$EH$1813)</f>
        <v>43</v>
      </c>
      <c r="AV959" s="0" t="n">
        <f aca="false">COUNTIF($BA$1813:$EH$1813,"D")</f>
        <v>16</v>
      </c>
      <c r="AW959" s="0" t="n">
        <f aca="false">COUNTIF($BA$1813:$EH$1813,"R")</f>
        <v>0</v>
      </c>
      <c r="AX959" s="0" t="n">
        <f aca="false"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>0</v>
      </c>
      <c r="AY959" s="0" t="n">
        <f aca="false">COUNTIF(DU959:EH959, "&lt;&gt;")</f>
        <v>0</v>
      </c>
      <c r="AZ959" s="0" t="n">
        <f aca="false">IF(EH959&lt;&gt;"",1,0)</f>
        <v>0</v>
      </c>
      <c r="BB959" s="0" t="s">
        <v>153</v>
      </c>
    </row>
    <row r="960" customFormat="false" ht="13.8" hidden="true" customHeight="false" outlineLevel="0" collapsed="false">
      <c r="A960" s="0" t="s">
        <v>4710</v>
      </c>
      <c r="B960" s="0" t="n">
        <v>78</v>
      </c>
      <c r="C960" s="0" t="n">
        <v>448790</v>
      </c>
      <c r="D960" s="0" t="s">
        <v>1901</v>
      </c>
      <c r="E960" s="0" t="s">
        <v>2900</v>
      </c>
      <c r="F960" s="0" t="str">
        <f aca="false">CONCATENATE(D960," ",LEFT(H960,4),"T=",AU960,"D=",AV960,"R=",AW960,"M=",AX960,"L=",AY960,"B=",AZ960)</f>
        <v>SNYDER T=1D=0R=0M=0L=1B=0</v>
      </c>
      <c r="G960" s="0" t="s">
        <v>2031</v>
      </c>
      <c r="I960" s="0" t="s">
        <v>4711</v>
      </c>
      <c r="J960" s="0" t="s">
        <v>4712</v>
      </c>
      <c r="K960" s="0" t="s">
        <v>175</v>
      </c>
      <c r="L960" s="0"/>
      <c r="M960" s="0" t="s">
        <v>4704</v>
      </c>
      <c r="N960" s="0" t="str">
        <f aca="false">RIGHT(M960,LEN(M960)-FIND(" ",M960))</f>
        <v>FOREST ST NW</v>
      </c>
      <c r="P960" s="0" t="s">
        <v>146</v>
      </c>
      <c r="Q960" s="0" t="s">
        <v>147</v>
      </c>
      <c r="R960" s="0" t="n">
        <v>44483</v>
      </c>
      <c r="AD960" s="0" t="s">
        <v>148</v>
      </c>
      <c r="AE960" s="0" t="s">
        <v>149</v>
      </c>
      <c r="AF960" s="0" t="s">
        <v>150</v>
      </c>
      <c r="AH960" s="0" t="n">
        <v>14</v>
      </c>
      <c r="AI960" s="0" t="n">
        <v>11</v>
      </c>
      <c r="AN960" s="0" t="s">
        <v>146</v>
      </c>
      <c r="AO960" s="0" t="s">
        <v>151</v>
      </c>
      <c r="AP960" s="0" t="s">
        <v>152</v>
      </c>
      <c r="AQ960" s="0" t="n">
        <v>9</v>
      </c>
      <c r="AR960" s="0" t="n">
        <v>64</v>
      </c>
      <c r="AS960" s="0" t="n">
        <v>32</v>
      </c>
      <c r="AU960" s="0" t="n">
        <f aca="false">COUNTA($BA$1854:$EH$1854)</f>
        <v>1</v>
      </c>
      <c r="AV960" s="0" t="n">
        <f aca="false">COUNTIF($BA$1854:$EH$1854,"D")</f>
        <v>0</v>
      </c>
      <c r="AW960" s="0" t="n">
        <f aca="false">COUNTIF($BA$1854:$EH$1854,"R")</f>
        <v>0</v>
      </c>
      <c r="AX960" s="0" t="n">
        <f aca="false"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>0</v>
      </c>
      <c r="AY960" s="0" t="n">
        <f aca="false">COUNTIF(DU960:EH960, "&lt;&gt;")</f>
        <v>1</v>
      </c>
      <c r="AZ960" s="0" t="n">
        <f aca="false">IF(EH960&lt;&gt;"",1,0)</f>
        <v>0</v>
      </c>
      <c r="BB960" s="0" t="s">
        <v>153</v>
      </c>
      <c r="DN960" s="0" t="s">
        <v>154</v>
      </c>
      <c r="EF960" s="0" t="s">
        <v>154</v>
      </c>
    </row>
    <row r="961" customFormat="false" ht="13.8" hidden="true" customHeight="false" outlineLevel="0" collapsed="false">
      <c r="A961" s="0" t="s">
        <v>4713</v>
      </c>
      <c r="B961" s="0" t="n">
        <v>78</v>
      </c>
      <c r="C961" s="0" t="n">
        <v>480752</v>
      </c>
      <c r="D961" s="0" t="s">
        <v>4714</v>
      </c>
      <c r="E961" s="0" t="s">
        <v>278</v>
      </c>
      <c r="F961" s="0" t="str">
        <f aca="false">CONCATENATE(D961," ",LEFT(H961,4),"T=",AU961,"D=",AV961,"R=",AW961,"M=",AX961,"L=",AY961,"B=",AZ961)</f>
        <v>TRADER T=4D=0R=1M=0L=0B=0</v>
      </c>
      <c r="G961" s="0" t="s">
        <v>297</v>
      </c>
      <c r="I961" s="0" t="s">
        <v>4715</v>
      </c>
      <c r="J961" s="0" t="s">
        <v>4716</v>
      </c>
      <c r="K961" s="0" t="s">
        <v>175</v>
      </c>
      <c r="L961" s="0"/>
      <c r="M961" s="0" t="s">
        <v>4704</v>
      </c>
      <c r="N961" s="0" t="str">
        <f aca="false">RIGHT(M961,LEN(M961)-FIND(" ",M961))</f>
        <v>FOREST ST NW</v>
      </c>
      <c r="P961" s="0" t="s">
        <v>146</v>
      </c>
      <c r="Q961" s="0" t="s">
        <v>147</v>
      </c>
      <c r="R961" s="0" t="n">
        <v>44483</v>
      </c>
      <c r="AD961" s="0" t="s">
        <v>148</v>
      </c>
      <c r="AE961" s="0" t="s">
        <v>149</v>
      </c>
      <c r="AF961" s="0" t="s">
        <v>150</v>
      </c>
      <c r="AH961" s="0" t="n">
        <v>14</v>
      </c>
      <c r="AI961" s="0" t="n">
        <v>11</v>
      </c>
      <c r="AN961" s="0" t="s">
        <v>146</v>
      </c>
      <c r="AO961" s="0" t="s">
        <v>151</v>
      </c>
      <c r="AP961" s="0" t="s">
        <v>152</v>
      </c>
      <c r="AQ961" s="0" t="n">
        <v>9</v>
      </c>
      <c r="AR961" s="0" t="n">
        <v>64</v>
      </c>
      <c r="AS961" s="0" t="n">
        <v>32</v>
      </c>
      <c r="AU961" s="0" t="n">
        <f aca="false">COUNTA($BA$1997:$EH$1997)</f>
        <v>4</v>
      </c>
      <c r="AV961" s="0" t="n">
        <f aca="false">COUNTIF($BA$1997:$EH$1997,"D")</f>
        <v>0</v>
      </c>
      <c r="AW961" s="0" t="n">
        <f aca="false">COUNTIF($BA$1997:$EH$1997,"R")</f>
        <v>1</v>
      </c>
      <c r="AX961" s="0" t="n">
        <f aca="false"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>0</v>
      </c>
      <c r="AY961" s="0" t="n">
        <f aca="false">COUNTIF(DU961:EH961, "&lt;&gt;")</f>
        <v>0</v>
      </c>
      <c r="AZ961" s="0" t="n">
        <f aca="false">IF(EH961&lt;&gt;"",1,0)</f>
        <v>0</v>
      </c>
      <c r="BB961" s="0" t="s">
        <v>153</v>
      </c>
    </row>
    <row r="962" customFormat="false" ht="13.8" hidden="true" customHeight="false" outlineLevel="0" collapsed="false">
      <c r="A962" s="0" t="s">
        <v>4717</v>
      </c>
      <c r="B962" s="0" t="n">
        <v>78</v>
      </c>
      <c r="C962" s="0" t="n">
        <v>287623</v>
      </c>
      <c r="D962" s="0" t="s">
        <v>4718</v>
      </c>
      <c r="E962" s="0" t="s">
        <v>430</v>
      </c>
      <c r="F962" s="0" t="str">
        <f aca="false">CONCATENATE(D962," ",LEFT(H962,4),"T=",AU962,"D=",AV962,"R=",AW962,"M=",AX962,"L=",AY962,"B=",AZ962)</f>
        <v>KROLKOSKY T=1D=0R=0M=0L=0B=0</v>
      </c>
      <c r="G962" s="0" t="s">
        <v>241</v>
      </c>
      <c r="I962" s="0" t="s">
        <v>4719</v>
      </c>
      <c r="J962" s="0" t="s">
        <v>4720</v>
      </c>
      <c r="K962" s="0" t="s">
        <v>144</v>
      </c>
      <c r="L962" s="0"/>
      <c r="M962" s="0" t="s">
        <v>4721</v>
      </c>
      <c r="N962" s="0" t="str">
        <f aca="false">RIGHT(M962,LEN(M962)-FIND(" ",M962))</f>
        <v>FOREST ST NW</v>
      </c>
      <c r="P962" s="0" t="s">
        <v>146</v>
      </c>
      <c r="Q962" s="0" t="s">
        <v>147</v>
      </c>
      <c r="R962" s="0" t="n">
        <v>44483</v>
      </c>
      <c r="AD962" s="0" t="s">
        <v>148</v>
      </c>
      <c r="AE962" s="0" t="s">
        <v>149</v>
      </c>
      <c r="AF962" s="0" t="s">
        <v>150</v>
      </c>
      <c r="AH962" s="0" t="n">
        <v>14</v>
      </c>
      <c r="AI962" s="0" t="n">
        <v>11</v>
      </c>
      <c r="AN962" s="0" t="s">
        <v>146</v>
      </c>
      <c r="AO962" s="0" t="s">
        <v>151</v>
      </c>
      <c r="AP962" s="0" t="s">
        <v>152</v>
      </c>
      <c r="AQ962" s="0" t="n">
        <v>9</v>
      </c>
      <c r="AR962" s="0" t="n">
        <v>64</v>
      </c>
      <c r="AS962" s="0" t="n">
        <v>32</v>
      </c>
      <c r="AU962" s="0" t="n">
        <f aca="false">COUNTA($BA$1585:$EH$1585)</f>
        <v>1</v>
      </c>
      <c r="AV962" s="0" t="n">
        <f aca="false">COUNTIF($BA$1585:$EH$1585,"D")</f>
        <v>0</v>
      </c>
      <c r="AW962" s="0" t="n">
        <f aca="false">COUNTIF($BA$1585:$EH$1585,"R")</f>
        <v>0</v>
      </c>
      <c r="AX962" s="0" t="n">
        <f aca="false"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>0</v>
      </c>
      <c r="AY962" s="0" t="n">
        <f aca="false">COUNTIF(DU962:EH962, "&lt;&gt;")</f>
        <v>0</v>
      </c>
      <c r="AZ962" s="0" t="n">
        <f aca="false">IF(EH962&lt;&gt;"",1,0)</f>
        <v>0</v>
      </c>
      <c r="BB962" s="0" t="s">
        <v>153</v>
      </c>
      <c r="BE962" s="0" t="s">
        <v>154</v>
      </c>
    </row>
    <row r="963" customFormat="false" ht="13.8" hidden="true" customHeight="false" outlineLevel="0" collapsed="false">
      <c r="A963" s="0" t="s">
        <v>4722</v>
      </c>
      <c r="B963" s="0" t="n">
        <v>78</v>
      </c>
      <c r="C963" s="0" t="n">
        <v>453045</v>
      </c>
      <c r="D963" s="0" t="s">
        <v>4723</v>
      </c>
      <c r="E963" s="0" t="s">
        <v>652</v>
      </c>
      <c r="F963" s="0" t="str">
        <f aca="false">CONCATENATE(D963," ",LEFT(H963,4),"T=",AU963,"D=",AV963,"R=",AW963,"M=",AX963,"L=",AY963,"B=",AZ963)</f>
        <v>GIFFIN T=2D=0R=0M=0L=0B=0</v>
      </c>
      <c r="G963" s="0" t="s">
        <v>1341</v>
      </c>
      <c r="I963" s="0" t="s">
        <v>4724</v>
      </c>
      <c r="J963" s="0" t="s">
        <v>854</v>
      </c>
      <c r="K963" s="0" t="s">
        <v>144</v>
      </c>
      <c r="L963" s="0"/>
      <c r="M963" s="0" t="s">
        <v>4721</v>
      </c>
      <c r="N963" s="0" t="str">
        <f aca="false">RIGHT(M963,LEN(M963)-FIND(" ",M963))</f>
        <v>FOREST ST NW</v>
      </c>
      <c r="P963" s="0" t="s">
        <v>146</v>
      </c>
      <c r="Q963" s="0" t="s">
        <v>147</v>
      </c>
      <c r="R963" s="0" t="n">
        <v>44483</v>
      </c>
      <c r="AD963" s="0" t="s">
        <v>148</v>
      </c>
      <c r="AE963" s="0" t="s">
        <v>149</v>
      </c>
      <c r="AF963" s="0" t="s">
        <v>150</v>
      </c>
      <c r="AH963" s="0" t="n">
        <v>14</v>
      </c>
      <c r="AI963" s="0" t="n">
        <v>11</v>
      </c>
      <c r="AN963" s="0" t="s">
        <v>146</v>
      </c>
      <c r="AO963" s="0" t="s">
        <v>151</v>
      </c>
      <c r="AP963" s="0" t="s">
        <v>152</v>
      </c>
      <c r="AQ963" s="0" t="n">
        <v>9</v>
      </c>
      <c r="AR963" s="0" t="n">
        <v>64</v>
      </c>
      <c r="AS963" s="0" t="n">
        <v>32</v>
      </c>
      <c r="AU963" s="0" t="n">
        <f aca="false">COUNTA($BA$1857:$EH$1857)</f>
        <v>2</v>
      </c>
      <c r="AV963" s="0" t="n">
        <f aca="false">COUNTIF($BA$1857:$EH$1857,"D")</f>
        <v>0</v>
      </c>
      <c r="AW963" s="0" t="n">
        <f aca="false">COUNTIF($BA$1857:$EH$1857,"R")</f>
        <v>0</v>
      </c>
      <c r="AX963" s="0" t="n">
        <f aca="false"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>0</v>
      </c>
      <c r="AY963" s="0" t="n">
        <f aca="false">COUNTIF(DU963:EH963, "&lt;&gt;")</f>
        <v>0</v>
      </c>
      <c r="AZ963" s="0" t="n">
        <f aca="false">IF(EH963&lt;&gt;"",1,0)</f>
        <v>0</v>
      </c>
      <c r="BB963" s="0" t="s">
        <v>153</v>
      </c>
      <c r="DN963" s="0" t="s">
        <v>154</v>
      </c>
    </row>
    <row r="964" customFormat="false" ht="13.8" hidden="true" customHeight="false" outlineLevel="0" collapsed="false">
      <c r="A964" s="0" t="s">
        <v>4725</v>
      </c>
      <c r="B964" s="0" t="n">
        <v>78</v>
      </c>
      <c r="C964" s="0" t="n">
        <v>394696</v>
      </c>
      <c r="D964" s="0" t="s">
        <v>2248</v>
      </c>
      <c r="E964" s="0" t="s">
        <v>4726</v>
      </c>
      <c r="F964" s="0" t="str">
        <f aca="false">CONCATENATE(D964," ",LEFT(H964,4),"T=",AU964,"D=",AV964,"R=",AW964,"M=",AX964,"L=",AY964,"B=",AZ964)</f>
        <v>COX T=12D=2R=0M=0L=0B=0</v>
      </c>
      <c r="G964" s="0" t="s">
        <v>297</v>
      </c>
      <c r="I964" s="0" t="s">
        <v>4727</v>
      </c>
      <c r="J964" s="0" t="s">
        <v>4728</v>
      </c>
      <c r="K964" s="0" t="s">
        <v>144</v>
      </c>
      <c r="L964" s="0"/>
      <c r="M964" s="0" t="s">
        <v>4729</v>
      </c>
      <c r="N964" s="0" t="str">
        <f aca="false">RIGHT(M964,LEN(M964)-FIND(" ",M964))</f>
        <v>FOREST ST NW</v>
      </c>
      <c r="P964" s="0" t="s">
        <v>146</v>
      </c>
      <c r="Q964" s="0" t="s">
        <v>147</v>
      </c>
      <c r="R964" s="0" t="n">
        <v>44483</v>
      </c>
      <c r="AD964" s="0" t="s">
        <v>148</v>
      </c>
      <c r="AE964" s="0" t="s">
        <v>149</v>
      </c>
      <c r="AF964" s="0" t="s">
        <v>150</v>
      </c>
      <c r="AH964" s="0" t="n">
        <v>14</v>
      </c>
      <c r="AI964" s="0" t="n">
        <v>11</v>
      </c>
      <c r="AN964" s="0" t="s">
        <v>146</v>
      </c>
      <c r="AO964" s="0" t="s">
        <v>151</v>
      </c>
      <c r="AP964" s="0" t="s">
        <v>152</v>
      </c>
      <c r="AQ964" s="0" t="n">
        <v>9</v>
      </c>
      <c r="AR964" s="0" t="n">
        <v>64</v>
      </c>
      <c r="AS964" s="0" t="n">
        <v>32</v>
      </c>
      <c r="AU964" s="0" t="n">
        <f aca="false">COUNTA($BA$1941:$EH$1941)</f>
        <v>12</v>
      </c>
      <c r="AV964" s="0" t="n">
        <f aca="false">COUNTIF($BA$1941:$EH$1941,"D")</f>
        <v>2</v>
      </c>
      <c r="AW964" s="0" t="n">
        <f aca="false">COUNTIF($BA$1941:$EH$1941,"R")</f>
        <v>0</v>
      </c>
      <c r="AX964" s="0" t="n">
        <f aca="false"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>0</v>
      </c>
      <c r="AY964" s="0" t="n">
        <f aca="false">COUNTIF(DU964:EH964, "&lt;&gt;")</f>
        <v>0</v>
      </c>
      <c r="AZ964" s="0" t="n">
        <f aca="false">IF(EH964&lt;&gt;"",1,0)</f>
        <v>0</v>
      </c>
      <c r="BB964" s="0" t="s">
        <v>153</v>
      </c>
      <c r="CY964" s="0" t="s">
        <v>154</v>
      </c>
    </row>
    <row r="965" customFormat="false" ht="13.8" hidden="true" customHeight="false" outlineLevel="0" collapsed="false">
      <c r="A965" s="0" t="s">
        <v>4730</v>
      </c>
      <c r="B965" s="0" t="n">
        <v>78</v>
      </c>
      <c r="C965" s="0" t="n">
        <v>238613</v>
      </c>
      <c r="D965" s="0" t="s">
        <v>4731</v>
      </c>
      <c r="E965" s="0" t="s">
        <v>652</v>
      </c>
      <c r="F965" s="0" t="str">
        <f aca="false">CONCATENATE(D965," ",LEFT(H965,4),"T=",AU965,"D=",AV965,"R=",AW965,"M=",AX965,"L=",AY965,"B=",AZ965)</f>
        <v>KEENER IIT=1D=0R=0M=0L=0B=0</v>
      </c>
      <c r="G965" s="0" t="s">
        <v>1482</v>
      </c>
      <c r="H965" s="0" t="s">
        <v>598</v>
      </c>
      <c r="I965" s="0" t="s">
        <v>4732</v>
      </c>
      <c r="J965" s="0" t="s">
        <v>4733</v>
      </c>
      <c r="K965" s="0" t="s">
        <v>144</v>
      </c>
      <c r="L965" s="0"/>
      <c r="M965" s="0" t="s">
        <v>4734</v>
      </c>
      <c r="N965" s="0" t="str">
        <f aca="false">RIGHT(M965,LEN(M965)-FIND(" ",M965))</f>
        <v>FOREST ST NW</v>
      </c>
      <c r="O965" s="0" t="s">
        <v>420</v>
      </c>
      <c r="P965" s="0" t="s">
        <v>146</v>
      </c>
      <c r="Q965" s="0" t="s">
        <v>147</v>
      </c>
      <c r="R965" s="0" t="n">
        <v>44483</v>
      </c>
      <c r="AD965" s="0" t="s">
        <v>148</v>
      </c>
      <c r="AE965" s="0" t="s">
        <v>149</v>
      </c>
      <c r="AF965" s="0" t="s">
        <v>150</v>
      </c>
      <c r="AH965" s="0" t="n">
        <v>14</v>
      </c>
      <c r="AI965" s="0" t="n">
        <v>11</v>
      </c>
      <c r="AN965" s="0" t="s">
        <v>146</v>
      </c>
      <c r="AO965" s="0" t="s">
        <v>151</v>
      </c>
      <c r="AP965" s="0" t="s">
        <v>152</v>
      </c>
      <c r="AQ965" s="0" t="n">
        <v>9</v>
      </c>
      <c r="AR965" s="0" t="n">
        <v>64</v>
      </c>
      <c r="AS965" s="0" t="n">
        <v>32</v>
      </c>
      <c r="AU965" s="0" t="n">
        <f aca="false">COUNTA($BA$1815:$EH$1815)</f>
        <v>1</v>
      </c>
      <c r="AV965" s="0" t="n">
        <f aca="false">COUNTIF($BA$1815:$EH$1815,"D")</f>
        <v>0</v>
      </c>
      <c r="AW965" s="0" t="n">
        <f aca="false">COUNTIF($BA$1815:$EH$1815,"R")</f>
        <v>0</v>
      </c>
      <c r="AX965" s="0" t="n">
        <f aca="false"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>0</v>
      </c>
      <c r="AY965" s="0" t="n">
        <f aca="false">COUNTIF(DU965:EH965, "&lt;&gt;")</f>
        <v>0</v>
      </c>
      <c r="AZ965" s="0" t="n">
        <f aca="false">IF(EH965&lt;&gt;"",1,0)</f>
        <v>0</v>
      </c>
      <c r="BB965" s="0" t="s">
        <v>153</v>
      </c>
      <c r="BL965" s="0" t="s">
        <v>154</v>
      </c>
      <c r="BP965" s="0" t="s">
        <v>154</v>
      </c>
      <c r="BR965" s="0" t="s">
        <v>154</v>
      </c>
      <c r="BS965" s="0" t="s">
        <v>154</v>
      </c>
      <c r="BV965" s="0" t="s">
        <v>154</v>
      </c>
      <c r="BY965" s="0" t="s">
        <v>155</v>
      </c>
      <c r="CA965" s="0" t="s">
        <v>154</v>
      </c>
      <c r="CG965" s="0" t="s">
        <v>154</v>
      </c>
      <c r="CH965" s="0" t="s">
        <v>176</v>
      </c>
      <c r="CK965" s="0" t="s">
        <v>154</v>
      </c>
      <c r="CP965" s="0" t="s">
        <v>154</v>
      </c>
      <c r="CY965" s="0" t="s">
        <v>154</v>
      </c>
      <c r="CZ965" s="0" t="s">
        <v>176</v>
      </c>
      <c r="DC965" s="0" t="s">
        <v>154</v>
      </c>
      <c r="DN965" s="0" t="s">
        <v>154</v>
      </c>
    </row>
    <row r="966" customFormat="false" ht="13.8" hidden="true" customHeight="false" outlineLevel="0" collapsed="false">
      <c r="A966" s="0" t="s">
        <v>4735</v>
      </c>
      <c r="B966" s="0" t="n">
        <v>78</v>
      </c>
      <c r="C966" s="0" t="n">
        <v>495578</v>
      </c>
      <c r="D966" s="0" t="s">
        <v>4736</v>
      </c>
      <c r="E966" s="0" t="s">
        <v>335</v>
      </c>
      <c r="F966" s="0" t="str">
        <f aca="false">CONCATENATE(D966," ",LEFT(H966,4),"T=",AU966,"D=",AV966,"R=",AW966,"M=",AX966,"L=",AY966,"B=",AZ966)</f>
        <v>LICCARDI T=11D=1R=0M=0L=0B=0</v>
      </c>
      <c r="G966" s="0" t="s">
        <v>317</v>
      </c>
      <c r="I966" s="0" t="s">
        <v>4737</v>
      </c>
      <c r="J966" s="0" t="s">
        <v>4738</v>
      </c>
      <c r="K966" s="0" t="s">
        <v>175</v>
      </c>
      <c r="L966" s="0"/>
      <c r="M966" s="0" t="s">
        <v>4739</v>
      </c>
      <c r="N966" s="0" t="str">
        <f aca="false">RIGHT(M966,LEN(M966)-FIND(" ",M966))</f>
        <v>FREEMAN ST NW</v>
      </c>
      <c r="P966" s="0" t="s">
        <v>146</v>
      </c>
      <c r="Q966" s="0" t="s">
        <v>147</v>
      </c>
      <c r="R966" s="0" t="n">
        <v>44483</v>
      </c>
      <c r="AD966" s="0" t="s">
        <v>148</v>
      </c>
      <c r="AE966" s="0" t="s">
        <v>149</v>
      </c>
      <c r="AF966" s="0" t="s">
        <v>150</v>
      </c>
      <c r="AH966" s="0" t="n">
        <v>14</v>
      </c>
      <c r="AI966" s="0" t="n">
        <v>11</v>
      </c>
      <c r="AN966" s="0" t="s">
        <v>146</v>
      </c>
      <c r="AO966" s="0" t="s">
        <v>151</v>
      </c>
      <c r="AP966" s="0" t="s">
        <v>152</v>
      </c>
      <c r="AQ966" s="0" t="n">
        <v>9</v>
      </c>
      <c r="AR966" s="0" t="n">
        <v>64</v>
      </c>
      <c r="AS966" s="0" t="n">
        <v>32</v>
      </c>
      <c r="AU966" s="0" t="n">
        <f aca="false">COUNTA($BA$1615:$EH$1615)</f>
        <v>11</v>
      </c>
      <c r="AV966" s="0" t="n">
        <f aca="false">COUNTIF($BA$1615:$EH$1615,"D")</f>
        <v>1</v>
      </c>
      <c r="AW966" s="0" t="n">
        <f aca="false">COUNTIF($BA$1615:$EH$1615,"R")</f>
        <v>0</v>
      </c>
      <c r="AX966" s="0" t="n">
        <f aca="false"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>0</v>
      </c>
      <c r="AY966" s="0" t="n">
        <f aca="false">COUNTIF(DU966:EH966, "&lt;&gt;")</f>
        <v>0</v>
      </c>
      <c r="AZ966" s="0" t="n">
        <f aca="false">IF(EH966&lt;&gt;"",1,0)</f>
        <v>0</v>
      </c>
      <c r="BB966" s="0" t="s">
        <v>153</v>
      </c>
    </row>
    <row r="967" customFormat="false" ht="13.8" hidden="true" customHeight="false" outlineLevel="0" collapsed="false">
      <c r="A967" s="0" t="s">
        <v>4740</v>
      </c>
      <c r="B967" s="0" t="n">
        <v>78</v>
      </c>
      <c r="C967" s="0" t="n">
        <v>419771</v>
      </c>
      <c r="D967" s="0" t="s">
        <v>4741</v>
      </c>
      <c r="E967" s="0" t="s">
        <v>2595</v>
      </c>
      <c r="F967" s="0" t="str">
        <f aca="false">CONCATENATE(D967," ",LEFT(H967,4),"T=",AU967,"D=",AV967,"R=",AW967,"M=",AX967,"L=",AY967,"B=",AZ967)</f>
        <v>JACOBS T=3D=0R=0M=0L=0B=0</v>
      </c>
      <c r="G967" s="0" t="s">
        <v>172</v>
      </c>
      <c r="I967" s="0" t="s">
        <v>4742</v>
      </c>
      <c r="J967" s="0" t="s">
        <v>4743</v>
      </c>
      <c r="K967" s="0" t="s">
        <v>144</v>
      </c>
      <c r="L967" s="0"/>
      <c r="M967" s="0" t="s">
        <v>4739</v>
      </c>
      <c r="N967" s="0" t="str">
        <f aca="false">RIGHT(M967,LEN(M967)-FIND(" ",M967))</f>
        <v>FREEMAN ST NW</v>
      </c>
      <c r="P967" s="0" t="s">
        <v>146</v>
      </c>
      <c r="Q967" s="0" t="s">
        <v>147</v>
      </c>
      <c r="R967" s="0" t="n">
        <v>44483</v>
      </c>
      <c r="AD967" s="0" t="s">
        <v>148</v>
      </c>
      <c r="AE967" s="0" t="s">
        <v>149</v>
      </c>
      <c r="AF967" s="0" t="s">
        <v>150</v>
      </c>
      <c r="AH967" s="0" t="n">
        <v>14</v>
      </c>
      <c r="AI967" s="0" t="n">
        <v>11</v>
      </c>
      <c r="AN967" s="0" t="s">
        <v>146</v>
      </c>
      <c r="AO967" s="0" t="s">
        <v>151</v>
      </c>
      <c r="AP967" s="0" t="s">
        <v>152</v>
      </c>
      <c r="AQ967" s="0" t="n">
        <v>9</v>
      </c>
      <c r="AR967" s="0" t="n">
        <v>64</v>
      </c>
      <c r="AS967" s="0" t="n">
        <v>32</v>
      </c>
      <c r="AU967" s="0" t="n">
        <f aca="false">COUNTA($BA$1690:$EH$1690)</f>
        <v>3</v>
      </c>
      <c r="AV967" s="0" t="n">
        <f aca="false">COUNTIF($BA$1690:$EH$1690,"D")</f>
        <v>0</v>
      </c>
      <c r="AW967" s="0" t="n">
        <f aca="false">COUNTIF($BA$1690:$EH$1690,"R")</f>
        <v>0</v>
      </c>
      <c r="AX967" s="0" t="n">
        <f aca="false"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>0</v>
      </c>
      <c r="AY967" s="0" t="n">
        <f aca="false">COUNTIF(DU967:EH967, "&lt;&gt;")</f>
        <v>0</v>
      </c>
      <c r="AZ967" s="0" t="n">
        <f aca="false">IF(EH967&lt;&gt;"",1,0)</f>
        <v>0</v>
      </c>
      <c r="BB967" s="0" t="s">
        <v>153</v>
      </c>
    </row>
    <row r="968" customFormat="false" ht="13.8" hidden="true" customHeight="false" outlineLevel="0" collapsed="false">
      <c r="A968" s="0" t="s">
        <v>4744</v>
      </c>
      <c r="B968" s="0" t="n">
        <v>78</v>
      </c>
      <c r="C968" s="0" t="n">
        <v>488526</v>
      </c>
      <c r="D968" s="0" t="s">
        <v>4745</v>
      </c>
      <c r="E968" s="0" t="s">
        <v>4746</v>
      </c>
      <c r="F968" s="0" t="str">
        <f aca="false">CONCATENATE(D968," ",LEFT(H968,4),"T=",AU968,"D=",AV968,"R=",AW968,"M=",AX968,"L=",AY968,"B=",AZ968)</f>
        <v>YEAGER T=28D=6R=0M=0L=0B=0</v>
      </c>
      <c r="G968" s="0" t="s">
        <v>241</v>
      </c>
      <c r="I968" s="0" t="s">
        <v>4747</v>
      </c>
      <c r="J968" s="0" t="s">
        <v>2319</v>
      </c>
      <c r="K968" s="0" t="s">
        <v>175</v>
      </c>
      <c r="L968" s="0"/>
      <c r="M968" s="0" t="s">
        <v>4748</v>
      </c>
      <c r="N968" s="0" t="str">
        <f aca="false">RIGHT(M968,LEN(M968)-FIND(" ",M968))</f>
        <v>FREEMAN ST NW</v>
      </c>
      <c r="P968" s="0" t="s">
        <v>146</v>
      </c>
      <c r="Q968" s="0" t="s">
        <v>147</v>
      </c>
      <c r="R968" s="0" t="n">
        <v>44483</v>
      </c>
      <c r="AD968" s="0" t="s">
        <v>148</v>
      </c>
      <c r="AE968" s="0" t="s">
        <v>149</v>
      </c>
      <c r="AF968" s="0" t="s">
        <v>150</v>
      </c>
      <c r="AH968" s="0" t="n">
        <v>14</v>
      </c>
      <c r="AI968" s="0" t="n">
        <v>11</v>
      </c>
      <c r="AN968" s="0" t="s">
        <v>146</v>
      </c>
      <c r="AO968" s="0" t="s">
        <v>151</v>
      </c>
      <c r="AP968" s="0" t="s">
        <v>152</v>
      </c>
      <c r="AQ968" s="0" t="n">
        <v>9</v>
      </c>
      <c r="AR968" s="0" t="n">
        <v>64</v>
      </c>
      <c r="AS968" s="0" t="n">
        <v>32</v>
      </c>
      <c r="AU968" s="0" t="n">
        <f aca="false">COUNTA($BA$1561:$EH$1561)</f>
        <v>28</v>
      </c>
      <c r="AV968" s="0" t="n">
        <f aca="false">COUNTIF($BA$1561:$EH$1561,"D")</f>
        <v>6</v>
      </c>
      <c r="AW968" s="0" t="n">
        <f aca="false">COUNTIF($BA$1561:$EH$1561,"R")</f>
        <v>0</v>
      </c>
      <c r="AX968" s="0" t="n">
        <f aca="false"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>0</v>
      </c>
      <c r="AY968" s="0" t="n">
        <f aca="false">COUNTIF(DU968:EH968, "&lt;&gt;")</f>
        <v>0</v>
      </c>
      <c r="AZ968" s="0" t="n">
        <f aca="false">IF(EH968&lt;&gt;"",1,0)</f>
        <v>0</v>
      </c>
      <c r="BB968" s="0" t="s">
        <v>153</v>
      </c>
    </row>
    <row r="969" customFormat="false" ht="13.8" hidden="true" customHeight="false" outlineLevel="0" collapsed="false">
      <c r="A969" s="0" t="s">
        <v>4749</v>
      </c>
      <c r="B969" s="0" t="n">
        <v>78</v>
      </c>
      <c r="C969" s="0" t="n">
        <v>487382</v>
      </c>
      <c r="D969" s="0" t="s">
        <v>4750</v>
      </c>
      <c r="E969" s="0" t="s">
        <v>4751</v>
      </c>
      <c r="F969" s="0" t="str">
        <f aca="false">CONCATENATE(D969," ",LEFT(H969,4),"T=",AU969,"D=",AV969,"R=",AW969,"M=",AX969,"L=",AY969,"B=",AZ969)</f>
        <v>ARMINTROUT T=1D=0R=0M=0L=0B=0</v>
      </c>
      <c r="G969" s="0" t="s">
        <v>939</v>
      </c>
      <c r="I969" s="0" t="s">
        <v>4752</v>
      </c>
      <c r="J969" s="0" t="s">
        <v>3343</v>
      </c>
      <c r="K969" s="0" t="s">
        <v>175</v>
      </c>
      <c r="L969" s="0"/>
      <c r="M969" s="0" t="s">
        <v>4753</v>
      </c>
      <c r="N969" s="0" t="str">
        <f aca="false">RIGHT(M969,LEN(M969)-FIND(" ",M969))</f>
        <v>FREEMAN ST NW</v>
      </c>
      <c r="P969" s="0" t="s">
        <v>146</v>
      </c>
      <c r="Q969" s="0" t="s">
        <v>147</v>
      </c>
      <c r="R969" s="0" t="n">
        <v>44483</v>
      </c>
      <c r="AD969" s="0" t="s">
        <v>148</v>
      </c>
      <c r="AE969" s="0" t="s">
        <v>149</v>
      </c>
      <c r="AF969" s="0" t="s">
        <v>150</v>
      </c>
      <c r="AH969" s="0" t="n">
        <v>14</v>
      </c>
      <c r="AI969" s="0" t="n">
        <v>11</v>
      </c>
      <c r="AN969" s="0" t="s">
        <v>146</v>
      </c>
      <c r="AO969" s="0" t="s">
        <v>151</v>
      </c>
      <c r="AP969" s="0" t="s">
        <v>152</v>
      </c>
      <c r="AQ969" s="0" t="n">
        <v>9</v>
      </c>
      <c r="AR969" s="0" t="n">
        <v>64</v>
      </c>
      <c r="AS969" s="0" t="n">
        <v>32</v>
      </c>
      <c r="AU969" s="0" t="n">
        <f aca="false">COUNTA($BA$1932:$EH$1932)</f>
        <v>1</v>
      </c>
      <c r="AV969" s="0" t="n">
        <f aca="false">COUNTIF($BA$1932:$EH$1932,"D")</f>
        <v>0</v>
      </c>
      <c r="AW969" s="0" t="n">
        <f aca="false">COUNTIF($BA$1932:$EH$1932,"R")</f>
        <v>0</v>
      </c>
      <c r="AX969" s="0" t="n">
        <f aca="false"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>0</v>
      </c>
      <c r="AY969" s="0" t="n">
        <f aca="false">COUNTIF(DU969:EH969, "&lt;&gt;")</f>
        <v>0</v>
      </c>
      <c r="AZ969" s="0" t="n">
        <f aca="false">IF(EH969&lt;&gt;"",1,0)</f>
        <v>0</v>
      </c>
      <c r="BB969" s="0" t="s">
        <v>153</v>
      </c>
    </row>
    <row r="970" customFormat="false" ht="13.8" hidden="true" customHeight="false" outlineLevel="0" collapsed="false">
      <c r="A970" s="0" t="s">
        <v>4754</v>
      </c>
      <c r="B970" s="0" t="n">
        <v>78</v>
      </c>
      <c r="C970" s="0" t="n">
        <v>321998</v>
      </c>
      <c r="D970" s="0" t="s">
        <v>4736</v>
      </c>
      <c r="E970" s="0" t="s">
        <v>652</v>
      </c>
      <c r="F970" s="0" t="str">
        <f aca="false">CONCATENATE(D970," ",LEFT(H970,4),"T=",AU970,"D=",AV970,"R=",AW970,"M=",AX970,"L=",AY970,"B=",AZ970)</f>
        <v>LICCARDI T=7D=1R=0M=0L=0B=0</v>
      </c>
      <c r="G970" s="0" t="s">
        <v>278</v>
      </c>
      <c r="I970" s="0" t="s">
        <v>4755</v>
      </c>
      <c r="J970" s="0" t="s">
        <v>4495</v>
      </c>
      <c r="K970" s="0" t="s">
        <v>175</v>
      </c>
      <c r="L970" s="0"/>
      <c r="M970" s="0" t="s">
        <v>4753</v>
      </c>
      <c r="N970" s="0" t="str">
        <f aca="false">RIGHT(M970,LEN(M970)-FIND(" ",M970))</f>
        <v>FREEMAN ST NW</v>
      </c>
      <c r="P970" s="0" t="s">
        <v>146</v>
      </c>
      <c r="Q970" s="0" t="s">
        <v>147</v>
      </c>
      <c r="R970" s="0" t="n">
        <v>44483</v>
      </c>
      <c r="AD970" s="0" t="s">
        <v>148</v>
      </c>
      <c r="AE970" s="0" t="s">
        <v>149</v>
      </c>
      <c r="AF970" s="0" t="s">
        <v>150</v>
      </c>
      <c r="AH970" s="0" t="n">
        <v>14</v>
      </c>
      <c r="AI970" s="0" t="n">
        <v>11</v>
      </c>
      <c r="AN970" s="0" t="s">
        <v>146</v>
      </c>
      <c r="AO970" s="0" t="s">
        <v>151</v>
      </c>
      <c r="AP970" s="0" t="s">
        <v>152</v>
      </c>
      <c r="AQ970" s="0" t="n">
        <v>9</v>
      </c>
      <c r="AR970" s="0" t="n">
        <v>64</v>
      </c>
      <c r="AS970" s="0" t="n">
        <v>32</v>
      </c>
      <c r="AU970" s="0" t="n">
        <f aca="false">COUNTA($BA$2023:$EH$2023)</f>
        <v>7</v>
      </c>
      <c r="AV970" s="0" t="n">
        <f aca="false">COUNTIF($BA$2023:$EH$2023,"D")</f>
        <v>1</v>
      </c>
      <c r="AW970" s="0" t="n">
        <f aca="false">COUNTIF($BA$2023:$EH$2023,"R")</f>
        <v>0</v>
      </c>
      <c r="AX970" s="0" t="n">
        <f aca="false"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>0</v>
      </c>
      <c r="AY970" s="0" t="n">
        <f aca="false">COUNTIF(DU970:EH970, "&lt;&gt;")</f>
        <v>0</v>
      </c>
      <c r="AZ970" s="0" t="n">
        <f aca="false">IF(EH970&lt;&gt;"",1,0)</f>
        <v>0</v>
      </c>
      <c r="BB970" s="0" t="s">
        <v>153</v>
      </c>
      <c r="BL970" s="0" t="s">
        <v>154</v>
      </c>
    </row>
    <row r="971" customFormat="false" ht="13.8" hidden="true" customHeight="false" outlineLevel="0" collapsed="false">
      <c r="A971" s="0" t="s">
        <v>4756</v>
      </c>
      <c r="B971" s="0" t="n">
        <v>78</v>
      </c>
      <c r="C971" s="0" t="n">
        <v>294946</v>
      </c>
      <c r="D971" s="0" t="s">
        <v>4757</v>
      </c>
      <c r="E971" s="0" t="s">
        <v>619</v>
      </c>
      <c r="F971" s="0" t="str">
        <f aca="false">CONCATENATE(D971," ",LEFT(H971,4),"T=",AU971,"D=",AV971,"R=",AW971,"M=",AX971,"L=",AY971,"B=",AZ971)</f>
        <v>BOWMAN T=1D=0R=0M=0L=0B=0</v>
      </c>
      <c r="G971" s="0" t="s">
        <v>297</v>
      </c>
      <c r="I971" s="0" t="s">
        <v>4758</v>
      </c>
      <c r="J971" s="0" t="s">
        <v>1801</v>
      </c>
      <c r="K971" s="0" t="s">
        <v>175</v>
      </c>
      <c r="L971" s="0"/>
      <c r="M971" s="0" t="s">
        <v>4759</v>
      </c>
      <c r="N971" s="0" t="str">
        <f aca="false">RIGHT(M971,LEN(M971)-FIND(" ",M971))</f>
        <v>FREEMAN ST NW</v>
      </c>
      <c r="P971" s="0" t="s">
        <v>146</v>
      </c>
      <c r="Q971" s="0" t="s">
        <v>147</v>
      </c>
      <c r="R971" s="0" t="n">
        <v>44483</v>
      </c>
      <c r="AD971" s="0" t="s">
        <v>148</v>
      </c>
      <c r="AE971" s="0" t="s">
        <v>149</v>
      </c>
      <c r="AF971" s="0" t="s">
        <v>150</v>
      </c>
      <c r="AH971" s="0" t="n">
        <v>14</v>
      </c>
      <c r="AI971" s="0" t="n">
        <v>11</v>
      </c>
      <c r="AN971" s="0" t="s">
        <v>146</v>
      </c>
      <c r="AO971" s="0" t="s">
        <v>151</v>
      </c>
      <c r="AP971" s="0" t="s">
        <v>152</v>
      </c>
      <c r="AQ971" s="0" t="n">
        <v>9</v>
      </c>
      <c r="AR971" s="0" t="n">
        <v>64</v>
      </c>
      <c r="AS971" s="0" t="n">
        <v>32</v>
      </c>
      <c r="AU971" s="0" t="n">
        <f aca="false">COUNTA($BA$1635:$EH$1635)</f>
        <v>1</v>
      </c>
      <c r="AV971" s="0" t="n">
        <f aca="false">COUNTIF($BA$1635:$EH$1635,"D")</f>
        <v>0</v>
      </c>
      <c r="AW971" s="0" t="n">
        <f aca="false">COUNTIF($BA$1635:$EH$1635,"R")</f>
        <v>0</v>
      </c>
      <c r="AX971" s="0" t="n">
        <f aca="false"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>0</v>
      </c>
      <c r="AY971" s="0" t="n">
        <f aca="false">COUNTIF(DU971:EH971, "&lt;&gt;")</f>
        <v>0</v>
      </c>
      <c r="AZ971" s="0" t="n">
        <f aca="false">IF(EH971&lt;&gt;"",1,0)</f>
        <v>0</v>
      </c>
      <c r="BB971" s="0" t="s">
        <v>153</v>
      </c>
      <c r="BK971" s="0" t="s">
        <v>154</v>
      </c>
      <c r="BL971" s="0" t="s">
        <v>154</v>
      </c>
      <c r="CP971" s="0" t="s">
        <v>154</v>
      </c>
    </row>
    <row r="972" customFormat="false" ht="13.8" hidden="true" customHeight="false" outlineLevel="0" collapsed="false">
      <c r="A972" s="0" t="s">
        <v>4760</v>
      </c>
      <c r="B972" s="0" t="n">
        <v>78</v>
      </c>
      <c r="C972" s="0" t="n">
        <v>441710</v>
      </c>
      <c r="D972" s="0" t="s">
        <v>4761</v>
      </c>
      <c r="E972" s="0" t="s">
        <v>1374</v>
      </c>
      <c r="F972" s="0" t="str">
        <f aca="false">CONCATENATE(D972," ",LEFT(H972,4),"T=",AU972,"D=",AV972,"R=",AW972,"M=",AX972,"L=",AY972,"B=",AZ972)</f>
        <v>RICCIARDELLI T=10D=2R=0M=0L=1B=0</v>
      </c>
      <c r="G972" s="0" t="s">
        <v>4762</v>
      </c>
      <c r="I972" s="0" t="s">
        <v>4763</v>
      </c>
      <c r="J972" s="0" t="s">
        <v>4764</v>
      </c>
      <c r="K972" s="0" t="s">
        <v>175</v>
      </c>
      <c r="L972" s="0"/>
      <c r="M972" s="0" t="s">
        <v>4765</v>
      </c>
      <c r="N972" s="0" t="str">
        <f aca="false">RIGHT(M972,LEN(M972)-FIND(" ",M972))</f>
        <v>FREEMAN ST NW</v>
      </c>
      <c r="O972" s="0" t="s">
        <v>4766</v>
      </c>
      <c r="P972" s="0" t="s">
        <v>146</v>
      </c>
      <c r="Q972" s="0" t="s">
        <v>147</v>
      </c>
      <c r="R972" s="0" t="n">
        <v>44483</v>
      </c>
      <c r="AD972" s="0" t="s">
        <v>148</v>
      </c>
      <c r="AE972" s="0" t="s">
        <v>149</v>
      </c>
      <c r="AF972" s="0" t="s">
        <v>150</v>
      </c>
      <c r="AH972" s="0" t="n">
        <v>14</v>
      </c>
      <c r="AI972" s="0" t="n">
        <v>11</v>
      </c>
      <c r="AN972" s="0" t="s">
        <v>146</v>
      </c>
      <c r="AO972" s="0" t="s">
        <v>151</v>
      </c>
      <c r="AP972" s="0" t="s">
        <v>152</v>
      </c>
      <c r="AQ972" s="0" t="n">
        <v>9</v>
      </c>
      <c r="AR972" s="0" t="n">
        <v>64</v>
      </c>
      <c r="AS972" s="0" t="n">
        <v>32</v>
      </c>
      <c r="AU972" s="0" t="n">
        <f aca="false">COUNTA($BA$1671:$EH$1671)</f>
        <v>10</v>
      </c>
      <c r="AV972" s="0" t="n">
        <f aca="false">COUNTIF($BA$1671:$EH$1671,"D")</f>
        <v>2</v>
      </c>
      <c r="AW972" s="0" t="n">
        <f aca="false">COUNTIF($BA$1671:$EH$1671,"R")</f>
        <v>0</v>
      </c>
      <c r="AX972" s="0" t="n">
        <f aca="false"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>0</v>
      </c>
      <c r="AY972" s="0" t="n">
        <f aca="false">COUNTIF(DU972:EH972, "&lt;&gt;")</f>
        <v>1</v>
      </c>
      <c r="AZ972" s="0" t="n">
        <f aca="false">IF(EH972&lt;&gt;"",1,0)</f>
        <v>0</v>
      </c>
      <c r="BB972" s="0" t="s">
        <v>153</v>
      </c>
      <c r="EF972" s="0" t="s">
        <v>154</v>
      </c>
    </row>
    <row r="973" customFormat="false" ht="13.8" hidden="true" customHeight="false" outlineLevel="0" collapsed="false">
      <c r="A973" s="0" t="s">
        <v>4767</v>
      </c>
      <c r="B973" s="0" t="n">
        <v>78</v>
      </c>
      <c r="C973" s="0" t="n">
        <v>446817</v>
      </c>
      <c r="D973" s="0" t="s">
        <v>4768</v>
      </c>
      <c r="E973" s="0" t="s">
        <v>4769</v>
      </c>
      <c r="F973" s="0" t="str">
        <f aca="false">CONCATENATE(D973," ",LEFT(H973,4),"T=",AU973,"D=",AV973,"R=",AW973,"M=",AX973,"L=",AY973,"B=",AZ973)</f>
        <v>LAURETANO T=1D=0R=0M=0L=0B=0</v>
      </c>
      <c r="G973" s="0" t="s">
        <v>429</v>
      </c>
      <c r="I973" s="0" t="s">
        <v>4770</v>
      </c>
      <c r="J973" s="0" t="s">
        <v>4771</v>
      </c>
      <c r="K973" s="0" t="s">
        <v>144</v>
      </c>
      <c r="L973" s="0"/>
      <c r="M973" s="0" t="s">
        <v>4765</v>
      </c>
      <c r="N973" s="0" t="str">
        <f aca="false">RIGHT(M973,LEN(M973)-FIND(" ",M973))</f>
        <v>FREEMAN ST NW</v>
      </c>
      <c r="P973" s="0" t="s">
        <v>146</v>
      </c>
      <c r="Q973" s="0" t="s">
        <v>147</v>
      </c>
      <c r="R973" s="0" t="n">
        <v>44483</v>
      </c>
      <c r="S973" s="0" t="n">
        <v>3709</v>
      </c>
      <c r="AD973" s="0" t="s">
        <v>148</v>
      </c>
      <c r="AE973" s="0" t="s">
        <v>149</v>
      </c>
      <c r="AF973" s="0" t="s">
        <v>150</v>
      </c>
      <c r="AH973" s="0" t="n">
        <v>14</v>
      </c>
      <c r="AI973" s="0" t="n">
        <v>11</v>
      </c>
      <c r="AN973" s="0" t="s">
        <v>146</v>
      </c>
      <c r="AO973" s="0" t="s">
        <v>151</v>
      </c>
      <c r="AP973" s="0" t="s">
        <v>152</v>
      </c>
      <c r="AQ973" s="0" t="n">
        <v>9</v>
      </c>
      <c r="AR973" s="0" t="n">
        <v>64</v>
      </c>
      <c r="AS973" s="0" t="n">
        <v>32</v>
      </c>
      <c r="AU973" s="0" t="n">
        <f aca="false">COUNTA($BA$1970:$EH$1970)</f>
        <v>1</v>
      </c>
      <c r="AV973" s="0" t="n">
        <f aca="false">COUNTIF($BA$1970:$EH$1970,"D")</f>
        <v>0</v>
      </c>
      <c r="AW973" s="0" t="n">
        <f aca="false">COUNTIF($BA$1970:$EH$1970,"R")</f>
        <v>0</v>
      </c>
      <c r="AX973" s="0" t="n">
        <f aca="false"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>0</v>
      </c>
      <c r="AY973" s="0" t="n">
        <f aca="false">COUNTIF(DU973:EH973, "&lt;&gt;")</f>
        <v>0</v>
      </c>
      <c r="AZ973" s="0" t="n">
        <f aca="false">IF(EH973&lt;&gt;"",1,0)</f>
        <v>0</v>
      </c>
      <c r="BB973" s="0" t="s">
        <v>153</v>
      </c>
    </row>
    <row r="974" customFormat="false" ht="13.8" hidden="true" customHeight="false" outlineLevel="0" collapsed="false">
      <c r="A974" s="0" t="s">
        <v>4772</v>
      </c>
      <c r="B974" s="0" t="n">
        <v>78</v>
      </c>
      <c r="C974" s="0" t="n">
        <v>487574</v>
      </c>
      <c r="D974" s="0" t="s">
        <v>4773</v>
      </c>
      <c r="E974" s="0" t="s">
        <v>4774</v>
      </c>
      <c r="F974" s="0" t="str">
        <f aca="false">CONCATENATE(D974," ",LEFT(H974,4),"T=",AU974,"D=",AV974,"R=",AW974,"M=",AX974,"L=",AY974,"B=",AZ974)</f>
        <v>FARONE T=20D=3R=0M=0L=1B=0</v>
      </c>
      <c r="G974" s="0" t="s">
        <v>222</v>
      </c>
      <c r="I974" s="0" t="s">
        <v>4775</v>
      </c>
      <c r="J974" s="0" t="s">
        <v>757</v>
      </c>
      <c r="K974" s="0" t="s">
        <v>175</v>
      </c>
      <c r="L974" s="0"/>
      <c r="M974" s="0" t="s">
        <v>4776</v>
      </c>
      <c r="N974" s="0" t="str">
        <f aca="false">RIGHT(M974,LEN(M974)-FIND(" ",M974))</f>
        <v>FREEMAN ST NW</v>
      </c>
      <c r="P974" s="0" t="s">
        <v>146</v>
      </c>
      <c r="Q974" s="0" t="s">
        <v>147</v>
      </c>
      <c r="R974" s="0" t="n">
        <v>44483</v>
      </c>
      <c r="AD974" s="0" t="s">
        <v>148</v>
      </c>
      <c r="AE974" s="0" t="s">
        <v>149</v>
      </c>
      <c r="AF974" s="0" t="s">
        <v>150</v>
      </c>
      <c r="AH974" s="0" t="n">
        <v>14</v>
      </c>
      <c r="AI974" s="0" t="n">
        <v>11</v>
      </c>
      <c r="AN974" s="0" t="s">
        <v>146</v>
      </c>
      <c r="AO974" s="0" t="s">
        <v>151</v>
      </c>
      <c r="AP974" s="0" t="s">
        <v>152</v>
      </c>
      <c r="AQ974" s="0" t="n">
        <v>9</v>
      </c>
      <c r="AR974" s="0" t="n">
        <v>64</v>
      </c>
      <c r="AS974" s="0" t="n">
        <v>32</v>
      </c>
      <c r="AU974" s="0" t="n">
        <f aca="false">COUNTA($BA$1384:$EH$1384)</f>
        <v>20</v>
      </c>
      <c r="AV974" s="0" t="n">
        <f aca="false">COUNTIF($BA$1384:$EH$1384,"D")</f>
        <v>3</v>
      </c>
      <c r="AW974" s="0" t="n">
        <f aca="false">COUNTIF($BA$1384:$EH$1384,"R")</f>
        <v>0</v>
      </c>
      <c r="AX974" s="0" t="n">
        <f aca="false"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>0</v>
      </c>
      <c r="AY974" s="0" t="n">
        <f aca="false">COUNTIF(DU974:EH974, "&lt;&gt;")</f>
        <v>1</v>
      </c>
      <c r="AZ974" s="0" t="n">
        <f aca="false">IF(EH974&lt;&gt;"",1,0)</f>
        <v>0</v>
      </c>
      <c r="BB974" s="0" t="s">
        <v>153</v>
      </c>
      <c r="BL974" s="0" t="s">
        <v>154</v>
      </c>
      <c r="BP974" s="0" t="s">
        <v>154</v>
      </c>
      <c r="EF974" s="0" t="s">
        <v>154</v>
      </c>
    </row>
    <row r="975" customFormat="false" ht="13.8" hidden="true" customHeight="false" outlineLevel="0" collapsed="false">
      <c r="A975" s="0" t="s">
        <v>4777</v>
      </c>
      <c r="B975" s="0" t="n">
        <v>78</v>
      </c>
      <c r="C975" s="0" t="n">
        <v>420459</v>
      </c>
      <c r="D975" s="0" t="s">
        <v>4778</v>
      </c>
      <c r="E975" s="0" t="s">
        <v>4192</v>
      </c>
      <c r="F975" s="0" t="str">
        <f aca="false">CONCATENATE(D975," ",LEFT(H975,4),"T=",AU975,"D=",AV975,"R=",AW975,"M=",AX975,"L=",AY975,"B=",AZ975)</f>
        <v>OPAT T=28D=3R=0M=0L=0B=0</v>
      </c>
      <c r="G975" s="0" t="s">
        <v>241</v>
      </c>
      <c r="I975" s="0" t="s">
        <v>4779</v>
      </c>
      <c r="J975" s="0" t="s">
        <v>4780</v>
      </c>
      <c r="K975" s="0" t="s">
        <v>144</v>
      </c>
      <c r="L975" s="0"/>
      <c r="M975" s="0" t="s">
        <v>4776</v>
      </c>
      <c r="N975" s="0" t="str">
        <f aca="false">RIGHT(M975,LEN(M975)-FIND(" ",M975))</f>
        <v>FREEMAN ST NW</v>
      </c>
      <c r="P975" s="0" t="s">
        <v>146</v>
      </c>
      <c r="Q975" s="0" t="s">
        <v>147</v>
      </c>
      <c r="R975" s="0" t="n">
        <v>44483</v>
      </c>
      <c r="AD975" s="0" t="s">
        <v>148</v>
      </c>
      <c r="AE975" s="0" t="s">
        <v>149</v>
      </c>
      <c r="AF975" s="0" t="s">
        <v>150</v>
      </c>
      <c r="AH975" s="0" t="n">
        <v>14</v>
      </c>
      <c r="AI975" s="0" t="n">
        <v>11</v>
      </c>
      <c r="AN975" s="0" t="s">
        <v>146</v>
      </c>
      <c r="AO975" s="0" t="s">
        <v>151</v>
      </c>
      <c r="AP975" s="0" t="s">
        <v>152</v>
      </c>
      <c r="AQ975" s="0" t="n">
        <v>9</v>
      </c>
      <c r="AR975" s="0" t="n">
        <v>64</v>
      </c>
      <c r="AS975" s="0" t="n">
        <v>32</v>
      </c>
      <c r="AU975" s="0" t="n">
        <f aca="false">COUNTA($BA$1728:$EH$1728)</f>
        <v>28</v>
      </c>
      <c r="AV975" s="0" t="n">
        <f aca="false">COUNTIF($BA$1728:$EH$1728,"D")</f>
        <v>3</v>
      </c>
      <c r="AW975" s="0" t="n">
        <f aca="false">COUNTIF($BA$1728:$EH$1728,"R")</f>
        <v>0</v>
      </c>
      <c r="AX975" s="0" t="n">
        <f aca="false"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>0</v>
      </c>
      <c r="AY975" s="0" t="n">
        <f aca="false">COUNTIF(DU975:EH975, "&lt;&gt;")</f>
        <v>0</v>
      </c>
      <c r="AZ975" s="0" t="n">
        <f aca="false">IF(EH975&lt;&gt;"",1,0)</f>
        <v>0</v>
      </c>
      <c r="BB975" s="0" t="s">
        <v>153</v>
      </c>
    </row>
    <row r="976" customFormat="false" ht="13.8" hidden="false" customHeight="false" outlineLevel="0" collapsed="false">
      <c r="A976" s="0" t="s">
        <v>4781</v>
      </c>
      <c r="B976" s="0" t="n">
        <v>78</v>
      </c>
      <c r="C976" s="0" t="n">
        <v>409522</v>
      </c>
      <c r="D976" s="0" t="s">
        <v>4782</v>
      </c>
      <c r="E976" s="0" t="s">
        <v>165</v>
      </c>
      <c r="F976" s="0" t="str">
        <f aca="false">CONCATENATE(D976," ",LEFT(H976,4),"T=",AU976,"D=",AV976,"R=",AW976,"M=",AX976,"L=",AY976,"B=",AZ976)</f>
        <v>SANFORD T=2D=0R=0M=1L=3B=0</v>
      </c>
      <c r="G976" s="0" t="s">
        <v>2397</v>
      </c>
      <c r="I976" s="0" t="s">
        <v>4783</v>
      </c>
      <c r="J976" s="0" t="s">
        <v>1053</v>
      </c>
      <c r="K976" s="0" t="s">
        <v>175</v>
      </c>
      <c r="L976" s="1" t="s">
        <v>155</v>
      </c>
      <c r="M976" s="0" t="s">
        <v>4776</v>
      </c>
      <c r="N976" s="0" t="str">
        <f aca="false">RIGHT(M976,LEN(M976)-FIND(" ",M976))</f>
        <v>FREEMAN ST NW</v>
      </c>
      <c r="P976" s="0" t="s">
        <v>146</v>
      </c>
      <c r="Q976" s="0" t="s">
        <v>147</v>
      </c>
      <c r="R976" s="0" t="n">
        <v>44483</v>
      </c>
      <c r="AD976" s="0" t="s">
        <v>148</v>
      </c>
      <c r="AE976" s="0" t="s">
        <v>149</v>
      </c>
      <c r="AF976" s="0" t="s">
        <v>150</v>
      </c>
      <c r="AH976" s="0" t="n">
        <v>14</v>
      </c>
      <c r="AI976" s="0" t="n">
        <v>11</v>
      </c>
      <c r="AN976" s="0" t="s">
        <v>146</v>
      </c>
      <c r="AO976" s="0" t="s">
        <v>151</v>
      </c>
      <c r="AP976" s="0" t="s">
        <v>152</v>
      </c>
      <c r="AQ976" s="0" t="n">
        <v>9</v>
      </c>
      <c r="AR976" s="0" t="n">
        <v>64</v>
      </c>
      <c r="AS976" s="0" t="n">
        <v>32</v>
      </c>
      <c r="AU976" s="0" t="n">
        <f aca="false">COUNTA($BA$1934:$EH$1934)</f>
        <v>2</v>
      </c>
      <c r="AV976" s="0" t="n">
        <f aca="false">COUNTIF($BA$1934:$EH$1934,"D")</f>
        <v>0</v>
      </c>
      <c r="AW976" s="0" t="n">
        <f aca="false">COUNTIF($BA$1934:$EH$1934,"R")</f>
        <v>0</v>
      </c>
      <c r="AX976" s="0" t="n">
        <f aca="false"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>1</v>
      </c>
      <c r="AY976" s="0" t="n">
        <f aca="false">COUNTIF(DU976:EH976, "&lt;&gt;")</f>
        <v>3</v>
      </c>
      <c r="AZ976" s="0" t="n">
        <f aca="false">IF(EH976&lt;&gt;"",1,0)</f>
        <v>0</v>
      </c>
      <c r="BB976" s="0" t="s">
        <v>153</v>
      </c>
      <c r="CY976" s="0" t="s">
        <v>154</v>
      </c>
      <c r="DC976" s="0" t="s">
        <v>154</v>
      </c>
      <c r="DF976" s="0" t="s">
        <v>154</v>
      </c>
      <c r="DG976" s="0" t="s">
        <v>155</v>
      </c>
      <c r="DI976" s="0" t="s">
        <v>154</v>
      </c>
      <c r="DJ976" s="0" t="s">
        <v>155</v>
      </c>
      <c r="DN976" s="0" t="s">
        <v>154</v>
      </c>
      <c r="DU976" s="0" t="s">
        <v>154</v>
      </c>
      <c r="EA976" s="0" t="s">
        <v>154</v>
      </c>
      <c r="ED976" s="0" t="s">
        <v>155</v>
      </c>
    </row>
    <row r="977" customFormat="false" ht="13.8" hidden="true" customHeight="false" outlineLevel="0" collapsed="false">
      <c r="A977" s="0" t="s">
        <v>4784</v>
      </c>
      <c r="B977" s="0" t="n">
        <v>78</v>
      </c>
      <c r="C977" s="0" t="n">
        <v>448787</v>
      </c>
      <c r="D977" s="0" t="s">
        <v>4785</v>
      </c>
      <c r="E977" s="0" t="s">
        <v>278</v>
      </c>
      <c r="F977" s="0" t="str">
        <f aca="false">CONCATENATE(D977," ",LEFT(H977,4),"T=",AU977,"D=",AV977,"R=",AW977,"M=",AX977,"L=",AY977,"B=",AZ977)</f>
        <v>KONWALSKI T=15D=2R=3M=0L=1B=0</v>
      </c>
      <c r="G977" s="0" t="s">
        <v>188</v>
      </c>
      <c r="I977" s="0" t="s">
        <v>4786</v>
      </c>
      <c r="J977" s="0" t="s">
        <v>636</v>
      </c>
      <c r="K977" s="0" t="s">
        <v>175</v>
      </c>
      <c r="L977" s="0"/>
      <c r="M977" s="0" t="s">
        <v>4787</v>
      </c>
      <c r="N977" s="0" t="str">
        <f aca="false">RIGHT(M977,LEN(M977)-FIND(" ",M977))</f>
        <v>FREEMAN ST NW</v>
      </c>
      <c r="P977" s="0" t="s">
        <v>146</v>
      </c>
      <c r="Q977" s="0" t="s">
        <v>147</v>
      </c>
      <c r="R977" s="0" t="n">
        <v>44483</v>
      </c>
      <c r="AD977" s="0" t="s">
        <v>148</v>
      </c>
      <c r="AE977" s="0" t="s">
        <v>149</v>
      </c>
      <c r="AF977" s="0" t="s">
        <v>150</v>
      </c>
      <c r="AH977" s="0" t="n">
        <v>14</v>
      </c>
      <c r="AI977" s="0" t="n">
        <v>11</v>
      </c>
      <c r="AN977" s="0" t="s">
        <v>146</v>
      </c>
      <c r="AO977" s="0" t="s">
        <v>151</v>
      </c>
      <c r="AP977" s="0" t="s">
        <v>152</v>
      </c>
      <c r="AQ977" s="0" t="n">
        <v>9</v>
      </c>
      <c r="AR977" s="0" t="n">
        <v>64</v>
      </c>
      <c r="AS977" s="0" t="n">
        <v>32</v>
      </c>
      <c r="AU977" s="0" t="n">
        <f aca="false">COUNTA($BA$1613:$EH$1613)</f>
        <v>15</v>
      </c>
      <c r="AV977" s="0" t="n">
        <f aca="false">COUNTIF($BA$1613:$EH$1613,"D")</f>
        <v>2</v>
      </c>
      <c r="AW977" s="0" t="n">
        <f aca="false">COUNTIF($BA$1613:$EH$1613,"R")</f>
        <v>3</v>
      </c>
      <c r="AX977" s="0" t="n">
        <f aca="false"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>0</v>
      </c>
      <c r="AY977" s="0" t="n">
        <f aca="false">COUNTIF(DU977:EH977, "&lt;&gt;")</f>
        <v>1</v>
      </c>
      <c r="AZ977" s="0" t="n">
        <f aca="false">IF(EH977&lt;&gt;"",1,0)</f>
        <v>0</v>
      </c>
      <c r="BB977" s="0" t="s">
        <v>153</v>
      </c>
      <c r="DN977" s="0" t="s">
        <v>154</v>
      </c>
      <c r="EF977" s="0" t="s">
        <v>154</v>
      </c>
    </row>
    <row r="978" customFormat="false" ht="13.8" hidden="true" customHeight="false" outlineLevel="0" collapsed="false">
      <c r="A978" s="0" t="s">
        <v>4788</v>
      </c>
      <c r="B978" s="0" t="n">
        <v>78</v>
      </c>
      <c r="C978" s="0" t="n">
        <v>419435</v>
      </c>
      <c r="D978" s="0" t="s">
        <v>4789</v>
      </c>
      <c r="E978" s="0" t="s">
        <v>405</v>
      </c>
      <c r="F978" s="0" t="str">
        <f aca="false">CONCATENATE(D978," ",LEFT(H978,4),"T=",AU978,"D=",AV978,"R=",AW978,"M=",AX978,"L=",AY978,"B=",AZ978)</f>
        <v>MAIDEN T=1D=0R=0M=0L=0B=0</v>
      </c>
      <c r="G978" s="0" t="s">
        <v>188</v>
      </c>
      <c r="I978" s="0" t="s">
        <v>4790</v>
      </c>
      <c r="J978" s="0" t="s">
        <v>4791</v>
      </c>
      <c r="K978" s="0" t="s">
        <v>144</v>
      </c>
      <c r="L978" s="0"/>
      <c r="M978" s="0" t="s">
        <v>4792</v>
      </c>
      <c r="N978" s="0" t="str">
        <f aca="false">RIGHT(M978,LEN(M978)-FIND(" ",M978))</f>
        <v>FREEMAN ST NW</v>
      </c>
      <c r="P978" s="0" t="s">
        <v>146</v>
      </c>
      <c r="Q978" s="0" t="s">
        <v>147</v>
      </c>
      <c r="R978" s="0" t="n">
        <v>44483</v>
      </c>
      <c r="AD978" s="0" t="s">
        <v>148</v>
      </c>
      <c r="AE978" s="0" t="s">
        <v>149</v>
      </c>
      <c r="AF978" s="0" t="s">
        <v>150</v>
      </c>
      <c r="AH978" s="0" t="n">
        <v>14</v>
      </c>
      <c r="AI978" s="0" t="n">
        <v>11</v>
      </c>
      <c r="AN978" s="0" t="s">
        <v>146</v>
      </c>
      <c r="AO978" s="0" t="s">
        <v>151</v>
      </c>
      <c r="AP978" s="0" t="s">
        <v>152</v>
      </c>
      <c r="AQ978" s="0" t="n">
        <v>9</v>
      </c>
      <c r="AR978" s="0" t="n">
        <v>64</v>
      </c>
      <c r="AS978" s="0" t="n">
        <v>32</v>
      </c>
      <c r="AU978" s="0" t="n">
        <f aca="false">COUNTA($BA$1669:$EH$1669)</f>
        <v>1</v>
      </c>
      <c r="AV978" s="0" t="n">
        <f aca="false">COUNTIF($BA$1669:$EH$1669,"D")</f>
        <v>0</v>
      </c>
      <c r="AW978" s="0" t="n">
        <f aca="false">COUNTIF($BA$1669:$EH$1669,"R")</f>
        <v>0</v>
      </c>
      <c r="AX978" s="0" t="n">
        <f aca="false"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>0</v>
      </c>
      <c r="AY978" s="0" t="n">
        <f aca="false">COUNTIF(DU978:EH978, "&lt;&gt;")</f>
        <v>0</v>
      </c>
      <c r="AZ978" s="0" t="n">
        <f aca="false">IF(EH978&lt;&gt;"",1,0)</f>
        <v>0</v>
      </c>
      <c r="BB978" s="0" t="s">
        <v>153</v>
      </c>
      <c r="CA978" s="0" t="s">
        <v>154</v>
      </c>
    </row>
    <row r="979" customFormat="false" ht="13.8" hidden="false" customHeight="false" outlineLevel="0" collapsed="false">
      <c r="A979" s="0" t="s">
        <v>4793</v>
      </c>
      <c r="B979" s="0" t="n">
        <v>78</v>
      </c>
      <c r="C979" s="0" t="n">
        <v>377400</v>
      </c>
      <c r="D979" s="0" t="s">
        <v>139</v>
      </c>
      <c r="E979" s="0" t="s">
        <v>2005</v>
      </c>
      <c r="F979" s="0" t="str">
        <f aca="false">CONCATENATE(D979," ",LEFT(H979,4),"T=",AU979,"D=",AV979,"R=",AW979,"M=",AX979,"L=",AY979,"B=",AZ979)</f>
        <v>ALLEN T=1D=0R=0M=0L=3B=0</v>
      </c>
      <c r="G979" s="0" t="s">
        <v>4794</v>
      </c>
      <c r="I979" s="0" t="s">
        <v>2711</v>
      </c>
      <c r="J979" s="0" t="s">
        <v>4795</v>
      </c>
      <c r="K979" s="0" t="s">
        <v>175</v>
      </c>
      <c r="M979" s="0" t="s">
        <v>4796</v>
      </c>
      <c r="N979" s="0" t="str">
        <f aca="false">RIGHT(M979,LEN(M979)-FIND(" ",M979))</f>
        <v>FREEMAN ST NW</v>
      </c>
      <c r="P979" s="0" t="s">
        <v>146</v>
      </c>
      <c r="Q979" s="0" t="s">
        <v>147</v>
      </c>
      <c r="R979" s="0" t="n">
        <v>44483</v>
      </c>
      <c r="AD979" s="0" t="s">
        <v>148</v>
      </c>
      <c r="AE979" s="0" t="s">
        <v>149</v>
      </c>
      <c r="AF979" s="0" t="s">
        <v>150</v>
      </c>
      <c r="AH979" s="0" t="n">
        <v>14</v>
      </c>
      <c r="AI979" s="0" t="n">
        <v>11</v>
      </c>
      <c r="AN979" s="0" t="s">
        <v>146</v>
      </c>
      <c r="AO979" s="0" t="s">
        <v>151</v>
      </c>
      <c r="AP979" s="0" t="s">
        <v>152</v>
      </c>
      <c r="AQ979" s="0" t="n">
        <v>9</v>
      </c>
      <c r="AR979" s="0" t="n">
        <v>64</v>
      </c>
      <c r="AS979" s="0" t="n">
        <v>32</v>
      </c>
      <c r="AU979" s="0" t="n">
        <f aca="false">COUNTA($BA$1661:$EH$1661)</f>
        <v>1</v>
      </c>
      <c r="AV979" s="0" t="n">
        <f aca="false">COUNTIF($BA$1661:$EH$1661,"D")</f>
        <v>0</v>
      </c>
      <c r="AW979" s="0" t="n">
        <f aca="false">COUNTIF($BA$1661:$EH$1661,"R")</f>
        <v>0</v>
      </c>
      <c r="AX979" s="0" t="n">
        <f aca="false"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>0</v>
      </c>
      <c r="AY979" s="0" t="n">
        <f aca="false">COUNTIF(DU979:EH979, "&lt;&gt;")</f>
        <v>3</v>
      </c>
      <c r="AZ979" s="0" t="n">
        <f aca="false">IF(EH979&lt;&gt;"",1,0)</f>
        <v>0</v>
      </c>
      <c r="BB979" s="0" t="s">
        <v>153</v>
      </c>
      <c r="CK979" s="0" t="s">
        <v>154</v>
      </c>
      <c r="CL979" s="0" t="s">
        <v>154</v>
      </c>
      <c r="CN979" s="0" t="s">
        <v>154</v>
      </c>
      <c r="CO979" s="0" t="s">
        <v>155</v>
      </c>
      <c r="CP979" s="0" t="s">
        <v>154</v>
      </c>
      <c r="CV979" s="0" t="s">
        <v>154</v>
      </c>
      <c r="CZ979" s="0" t="s">
        <v>155</v>
      </c>
      <c r="DC979" s="0" t="s">
        <v>154</v>
      </c>
      <c r="DI979" s="0" t="s">
        <v>154</v>
      </c>
      <c r="DN979" s="0" t="s">
        <v>154</v>
      </c>
      <c r="DX979" s="0" t="s">
        <v>154</v>
      </c>
      <c r="EA979" s="0" t="s">
        <v>154</v>
      </c>
      <c r="EF979" s="0" t="s">
        <v>154</v>
      </c>
    </row>
    <row r="980" customFormat="false" ht="13.8" hidden="false" customHeight="false" outlineLevel="0" collapsed="false">
      <c r="A980" s="0" t="s">
        <v>4797</v>
      </c>
      <c r="B980" s="0" t="n">
        <v>78</v>
      </c>
      <c r="C980" s="0" t="n">
        <v>295412</v>
      </c>
      <c r="D980" s="0" t="s">
        <v>4798</v>
      </c>
      <c r="E980" s="0" t="s">
        <v>2181</v>
      </c>
      <c r="F980" s="0" t="str">
        <f aca="false">CONCATENATE(D980," ",LEFT(H980,4),"T=",AU980,"D=",AV980,"R=",AW980,"M=",AX980,"L=",AY980,"B=",AZ980)</f>
        <v>LANDIS T=1D=0R=0M=5L=6B=0</v>
      </c>
      <c r="I980" s="0" t="s">
        <v>4799</v>
      </c>
      <c r="J980" s="0" t="s">
        <v>4800</v>
      </c>
      <c r="K980" s="0" t="s">
        <v>175</v>
      </c>
      <c r="L980" s="1" t="s">
        <v>155</v>
      </c>
      <c r="M980" s="0" t="s">
        <v>4801</v>
      </c>
      <c r="N980" s="0" t="str">
        <f aca="false">RIGHT(M980,LEN(M980)-FIND(" ",M980))</f>
        <v>FREEMAN ST NW</v>
      </c>
      <c r="P980" s="0" t="s">
        <v>146</v>
      </c>
      <c r="Q980" s="0" t="s">
        <v>147</v>
      </c>
      <c r="R980" s="0" t="n">
        <v>44483</v>
      </c>
      <c r="AD980" s="0" t="s">
        <v>148</v>
      </c>
      <c r="AE980" s="0" t="s">
        <v>149</v>
      </c>
      <c r="AF980" s="0" t="s">
        <v>150</v>
      </c>
      <c r="AH980" s="0" t="n">
        <v>14</v>
      </c>
      <c r="AI980" s="0" t="n">
        <v>11</v>
      </c>
      <c r="AN980" s="0" t="s">
        <v>146</v>
      </c>
      <c r="AO980" s="0" t="s">
        <v>151</v>
      </c>
      <c r="AP980" s="0" t="s">
        <v>152</v>
      </c>
      <c r="AQ980" s="0" t="n">
        <v>9</v>
      </c>
      <c r="AR980" s="0" t="n">
        <v>64</v>
      </c>
      <c r="AS980" s="0" t="n">
        <v>32</v>
      </c>
      <c r="AU980" s="0" t="n">
        <f aca="false">COUNTA($BA$2025:$EH$2025)</f>
        <v>1</v>
      </c>
      <c r="AV980" s="0" t="n">
        <f aca="false">COUNTIF($BA$2025:$EH$2025,"D")</f>
        <v>0</v>
      </c>
      <c r="AW980" s="0" t="n">
        <f aca="false">COUNTIF($BA$2025:$EH$2025,"R")</f>
        <v>0</v>
      </c>
      <c r="AX980" s="0" t="n">
        <f aca="false"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>5</v>
      </c>
      <c r="AY980" s="0" t="n">
        <f aca="false">COUNTIF(DU980:EH980, "&lt;&gt;")</f>
        <v>6</v>
      </c>
      <c r="AZ980" s="0" t="n">
        <f aca="false">IF(EH980&lt;&gt;"",1,0)</f>
        <v>0</v>
      </c>
      <c r="BB980" s="0" t="s">
        <v>153</v>
      </c>
      <c r="BJ980" s="0" t="s">
        <v>154</v>
      </c>
      <c r="BK980" s="0" t="s">
        <v>154</v>
      </c>
      <c r="BL980" s="0" t="s">
        <v>154</v>
      </c>
      <c r="BP980" s="0" t="s">
        <v>154</v>
      </c>
      <c r="BS980" s="0" t="s">
        <v>154</v>
      </c>
      <c r="BY980" s="0" t="s">
        <v>155</v>
      </c>
      <c r="CA980" s="0" t="s">
        <v>154</v>
      </c>
      <c r="CK980" s="0" t="s">
        <v>154</v>
      </c>
      <c r="CL980" s="0" t="s">
        <v>155</v>
      </c>
      <c r="CN980" s="0" t="s">
        <v>154</v>
      </c>
      <c r="CO980" s="0" t="s">
        <v>155</v>
      </c>
      <c r="CP980" s="0" t="s">
        <v>154</v>
      </c>
      <c r="CV980" s="0" t="s">
        <v>154</v>
      </c>
      <c r="CY980" s="0" t="s">
        <v>154</v>
      </c>
      <c r="CZ980" s="0" t="s">
        <v>155</v>
      </c>
      <c r="DC980" s="0" t="s">
        <v>154</v>
      </c>
      <c r="DD980" s="0" t="s">
        <v>155</v>
      </c>
      <c r="DF980" s="0" t="s">
        <v>154</v>
      </c>
      <c r="DG980" s="0" t="s">
        <v>155</v>
      </c>
      <c r="DI980" s="0" t="s">
        <v>154</v>
      </c>
      <c r="DJ980" s="0" t="s">
        <v>155</v>
      </c>
      <c r="DL980" s="0" t="s">
        <v>154</v>
      </c>
      <c r="DM980" s="0" t="s">
        <v>155</v>
      </c>
      <c r="DN980" s="0" t="s">
        <v>154</v>
      </c>
      <c r="DO980" s="0" t="s">
        <v>155</v>
      </c>
      <c r="DR980" s="0" t="s">
        <v>154</v>
      </c>
      <c r="DS980" s="0" t="s">
        <v>155</v>
      </c>
      <c r="DT980" s="0" t="s">
        <v>155</v>
      </c>
      <c r="DU980" s="0" t="s">
        <v>154</v>
      </c>
      <c r="DW980" s="0" t="s">
        <v>155</v>
      </c>
      <c r="DX980" s="0" t="s">
        <v>154</v>
      </c>
      <c r="EA980" s="0" t="s">
        <v>154</v>
      </c>
      <c r="ED980" s="0" t="s">
        <v>155</v>
      </c>
      <c r="EF980" s="0" t="s">
        <v>154</v>
      </c>
    </row>
    <row r="981" customFormat="false" ht="13.8" hidden="false" customHeight="false" outlineLevel="0" collapsed="false">
      <c r="A981" s="0" t="s">
        <v>4802</v>
      </c>
      <c r="B981" s="0" t="n">
        <v>78</v>
      </c>
      <c r="C981" s="0" t="n">
        <v>316978</v>
      </c>
      <c r="D981" s="0" t="s">
        <v>4798</v>
      </c>
      <c r="E981" s="0" t="s">
        <v>1232</v>
      </c>
      <c r="F981" s="0" t="str">
        <f aca="false">CONCATENATE(D981," ",LEFT(H981,4),"T=",AU981,"D=",AV981,"R=",AW981,"M=",AX981,"L=",AY981,"B=",AZ981)</f>
        <v>LANDIS T=1D=0R=0M=6L=6B=0</v>
      </c>
      <c r="G981" s="0" t="s">
        <v>2397</v>
      </c>
      <c r="I981" s="0" t="s">
        <v>4803</v>
      </c>
      <c r="J981" s="0" t="s">
        <v>4804</v>
      </c>
      <c r="K981" s="0" t="s">
        <v>175</v>
      </c>
      <c r="L981" s="1" t="s">
        <v>155</v>
      </c>
      <c r="M981" s="0" t="s">
        <v>4801</v>
      </c>
      <c r="N981" s="0" t="str">
        <f aca="false">RIGHT(M981,LEN(M981)-FIND(" ",M981))</f>
        <v>FREEMAN ST NW</v>
      </c>
      <c r="P981" s="0" t="s">
        <v>146</v>
      </c>
      <c r="Q981" s="0" t="s">
        <v>147</v>
      </c>
      <c r="R981" s="0" t="n">
        <v>44483</v>
      </c>
      <c r="AD981" s="0" t="s">
        <v>148</v>
      </c>
      <c r="AE981" s="0" t="s">
        <v>149</v>
      </c>
      <c r="AF981" s="0" t="s">
        <v>150</v>
      </c>
      <c r="AH981" s="0" t="n">
        <v>14</v>
      </c>
      <c r="AI981" s="0" t="n">
        <v>11</v>
      </c>
      <c r="AN981" s="0" t="s">
        <v>146</v>
      </c>
      <c r="AO981" s="0" t="s">
        <v>151</v>
      </c>
      <c r="AP981" s="0" t="s">
        <v>152</v>
      </c>
      <c r="AQ981" s="0" t="n">
        <v>9</v>
      </c>
      <c r="AR981" s="0" t="n">
        <v>64</v>
      </c>
      <c r="AS981" s="0" t="n">
        <v>32</v>
      </c>
      <c r="AU981" s="0" t="n">
        <f aca="false">COUNTA($BA$2026:$EH$2026)</f>
        <v>1</v>
      </c>
      <c r="AV981" s="0" t="n">
        <f aca="false">COUNTIF($BA$2026:$EH$2026,"D")</f>
        <v>0</v>
      </c>
      <c r="AW981" s="0" t="n">
        <f aca="false">COUNTIF($BA$2026:$EH$2026,"R")</f>
        <v>0</v>
      </c>
      <c r="AX981" s="0" t="n">
        <f aca="false"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>6</v>
      </c>
      <c r="AY981" s="0" t="n">
        <f aca="false">COUNTIF(DU981:EH981, "&lt;&gt;")</f>
        <v>6</v>
      </c>
      <c r="AZ981" s="0" t="n">
        <f aca="false">IF(EH981&lt;&gt;"",1,0)</f>
        <v>0</v>
      </c>
      <c r="BB981" s="0" t="s">
        <v>153</v>
      </c>
      <c r="BJ981" s="0" t="s">
        <v>154</v>
      </c>
      <c r="BK981" s="0" t="s">
        <v>154</v>
      </c>
      <c r="BL981" s="0" t="s">
        <v>154</v>
      </c>
      <c r="BP981" s="0" t="s">
        <v>154</v>
      </c>
      <c r="BR981" s="0" t="s">
        <v>154</v>
      </c>
      <c r="BS981" s="0" t="s">
        <v>154</v>
      </c>
      <c r="BV981" s="0" t="s">
        <v>154</v>
      </c>
      <c r="BY981" s="0" t="s">
        <v>155</v>
      </c>
      <c r="CA981" s="0" t="s">
        <v>154</v>
      </c>
      <c r="CG981" s="0" t="s">
        <v>154</v>
      </c>
      <c r="CH981" s="0" t="s">
        <v>155</v>
      </c>
      <c r="CK981" s="0" t="s">
        <v>154</v>
      </c>
      <c r="CL981" s="0" t="s">
        <v>155</v>
      </c>
      <c r="CN981" s="0" t="s">
        <v>154</v>
      </c>
      <c r="CO981" s="0" t="s">
        <v>155</v>
      </c>
      <c r="CP981" s="0" t="s">
        <v>154</v>
      </c>
      <c r="CT981" s="0" t="s">
        <v>154</v>
      </c>
      <c r="CU981" s="0" t="s">
        <v>155</v>
      </c>
      <c r="CV981" s="0" t="s">
        <v>154</v>
      </c>
      <c r="CW981" s="0" t="s">
        <v>155</v>
      </c>
      <c r="CY981" s="0" t="s">
        <v>154</v>
      </c>
      <c r="CZ981" s="0" t="s">
        <v>155</v>
      </c>
      <c r="DC981" s="0" t="s">
        <v>154</v>
      </c>
      <c r="DD981" s="0" t="s">
        <v>155</v>
      </c>
      <c r="DF981" s="0" t="s">
        <v>154</v>
      </c>
      <c r="DG981" s="0" t="s">
        <v>155</v>
      </c>
      <c r="DI981" s="0" t="s">
        <v>154</v>
      </c>
      <c r="DJ981" s="0" t="s">
        <v>155</v>
      </c>
      <c r="DL981" s="0" t="s">
        <v>154</v>
      </c>
      <c r="DM981" s="0" t="s">
        <v>155</v>
      </c>
      <c r="DN981" s="0" t="s">
        <v>154</v>
      </c>
      <c r="DO981" s="0" t="s">
        <v>155</v>
      </c>
      <c r="DR981" s="0" t="s">
        <v>154</v>
      </c>
      <c r="DS981" s="0" t="s">
        <v>155</v>
      </c>
      <c r="DT981" s="0" t="s">
        <v>155</v>
      </c>
      <c r="DU981" s="0" t="s">
        <v>154</v>
      </c>
      <c r="DW981" s="0" t="s">
        <v>155</v>
      </c>
      <c r="DX981" s="0" t="s">
        <v>154</v>
      </c>
      <c r="EA981" s="0" t="s">
        <v>154</v>
      </c>
      <c r="ED981" s="0" t="s">
        <v>155</v>
      </c>
      <c r="EF981" s="0" t="s">
        <v>154</v>
      </c>
    </row>
    <row r="982" customFormat="false" ht="13.8" hidden="true" customHeight="false" outlineLevel="0" collapsed="false">
      <c r="A982" s="0" t="s">
        <v>4805</v>
      </c>
      <c r="B982" s="0" t="n">
        <v>78</v>
      </c>
      <c r="C982" s="0" t="n">
        <v>465558</v>
      </c>
      <c r="D982" s="0" t="s">
        <v>1582</v>
      </c>
      <c r="E982" s="0" t="s">
        <v>3139</v>
      </c>
      <c r="F982" s="0" t="str">
        <f aca="false">CONCATENATE(D982," ",LEFT(H982,4),"T=",AU982,"D=",AV982,"R=",AW982,"M=",AX982,"L=",AY982,"B=",AZ982)</f>
        <v>SMITH T=2D=0R=0M=0L=0B=0</v>
      </c>
      <c r="G982" s="0" t="s">
        <v>196</v>
      </c>
      <c r="I982" s="0" t="s">
        <v>4806</v>
      </c>
      <c r="J982" s="0" t="s">
        <v>4807</v>
      </c>
      <c r="K982" s="0" t="s">
        <v>175</v>
      </c>
      <c r="L982" s="0"/>
      <c r="M982" s="0" t="s">
        <v>4808</v>
      </c>
      <c r="N982" s="0" t="str">
        <f aca="false">RIGHT(M982,LEN(M982)-FIND(" ",M982))</f>
        <v>FREEMAN ST NW</v>
      </c>
      <c r="P982" s="0" t="s">
        <v>146</v>
      </c>
      <c r="Q982" s="0" t="s">
        <v>147</v>
      </c>
      <c r="R982" s="0" t="n">
        <v>44483</v>
      </c>
      <c r="AD982" s="0" t="s">
        <v>148</v>
      </c>
      <c r="AE982" s="0" t="s">
        <v>149</v>
      </c>
      <c r="AF982" s="0" t="s">
        <v>150</v>
      </c>
      <c r="AH982" s="0" t="n">
        <v>14</v>
      </c>
      <c r="AI982" s="0" t="n">
        <v>11</v>
      </c>
      <c r="AN982" s="0" t="s">
        <v>146</v>
      </c>
      <c r="AO982" s="0" t="s">
        <v>151</v>
      </c>
      <c r="AP982" s="0" t="s">
        <v>152</v>
      </c>
      <c r="AQ982" s="0" t="n">
        <v>9</v>
      </c>
      <c r="AR982" s="0" t="n">
        <v>64</v>
      </c>
      <c r="AS982" s="0" t="n">
        <v>32</v>
      </c>
      <c r="AU982" s="0" t="n">
        <f aca="false">COUNTA($BA$1545:$EH$1545)</f>
        <v>2</v>
      </c>
      <c r="AV982" s="0" t="n">
        <f aca="false">COUNTIF($BA$1545:$EH$1545,"D")</f>
        <v>0</v>
      </c>
      <c r="AW982" s="0" t="n">
        <f aca="false">COUNTIF($BA$1545:$EH$1545,"R")</f>
        <v>0</v>
      </c>
      <c r="AX982" s="0" t="n">
        <f aca="false"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>0</v>
      </c>
      <c r="AY982" s="0" t="n">
        <f aca="false">COUNTIF(DU982:EH982, "&lt;&gt;")</f>
        <v>0</v>
      </c>
      <c r="AZ982" s="0" t="n">
        <f aca="false">IF(EH982&lt;&gt;"",1,0)</f>
        <v>0</v>
      </c>
      <c r="BB982" s="0" t="s">
        <v>153</v>
      </c>
    </row>
    <row r="983" customFormat="false" ht="13.8" hidden="false" customHeight="false" outlineLevel="0" collapsed="false">
      <c r="A983" s="0" t="s">
        <v>4809</v>
      </c>
      <c r="B983" s="0" t="n">
        <v>78</v>
      </c>
      <c r="C983" s="0" t="n">
        <v>5523</v>
      </c>
      <c r="D983" s="0" t="s">
        <v>1582</v>
      </c>
      <c r="E983" s="0" t="s">
        <v>3269</v>
      </c>
      <c r="F983" s="0" t="str">
        <f aca="false">CONCATENATE(D983," ",LEFT(H983,4),"T=",AU983,"D=",AV983,"R=",AW983,"M=",AX983,"L=",AY983,"B=",AZ983)</f>
        <v>SMITH T=2D=0R=0M=2L=3B=0</v>
      </c>
      <c r="G983" s="0" t="s">
        <v>365</v>
      </c>
      <c r="I983" s="0" t="s">
        <v>4810</v>
      </c>
      <c r="J983" s="0" t="s">
        <v>4811</v>
      </c>
      <c r="K983" s="0" t="s">
        <v>175</v>
      </c>
      <c r="L983" s="1" t="s">
        <v>176</v>
      </c>
      <c r="M983" s="0" t="s">
        <v>4808</v>
      </c>
      <c r="N983" s="0" t="str">
        <f aca="false">RIGHT(M983,LEN(M983)-FIND(" ",M983))</f>
        <v>FREEMAN ST NW</v>
      </c>
      <c r="P983" s="0" t="s">
        <v>146</v>
      </c>
      <c r="Q983" s="0" t="s">
        <v>147</v>
      </c>
      <c r="R983" s="0" t="n">
        <v>44483</v>
      </c>
      <c r="AD983" s="0" t="s">
        <v>148</v>
      </c>
      <c r="AE983" s="0" t="s">
        <v>149</v>
      </c>
      <c r="AF983" s="0" t="s">
        <v>150</v>
      </c>
      <c r="AH983" s="0" t="n">
        <v>14</v>
      </c>
      <c r="AI983" s="0" t="n">
        <v>11</v>
      </c>
      <c r="AN983" s="0" t="s">
        <v>146</v>
      </c>
      <c r="AO983" s="0" t="s">
        <v>151</v>
      </c>
      <c r="AP983" s="0" t="s">
        <v>152</v>
      </c>
      <c r="AQ983" s="0" t="n">
        <v>9</v>
      </c>
      <c r="AR983" s="0" t="n">
        <v>64</v>
      </c>
      <c r="AS983" s="0" t="n">
        <v>32</v>
      </c>
      <c r="AU983" s="0" t="n">
        <f aca="false">COUNTA($BA$2014:$EH$2014)</f>
        <v>2</v>
      </c>
      <c r="AV983" s="0" t="n">
        <f aca="false">COUNTIF($BA$2014:$EH$2014,"D")</f>
        <v>0</v>
      </c>
      <c r="AW983" s="0" t="n">
        <f aca="false">COUNTIF($BA$2014:$EH$2014,"R")</f>
        <v>0</v>
      </c>
      <c r="AX983" s="0" t="n">
        <f aca="false"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>2</v>
      </c>
      <c r="AY983" s="0" t="n">
        <f aca="false">COUNTIF(DU983:EH983, "&lt;&gt;")</f>
        <v>3</v>
      </c>
      <c r="AZ983" s="0" t="n">
        <f aca="false">IF(EH983&lt;&gt;"",1,0)</f>
        <v>0</v>
      </c>
      <c r="BB983" s="0" t="s">
        <v>153</v>
      </c>
      <c r="BC983" s="0" t="s">
        <v>154</v>
      </c>
      <c r="BD983" s="0" t="s">
        <v>154</v>
      </c>
      <c r="BE983" s="0" t="s">
        <v>154</v>
      </c>
      <c r="BF983" s="0" t="s">
        <v>154</v>
      </c>
      <c r="BG983" s="0" t="s">
        <v>154</v>
      </c>
      <c r="BH983" s="0" t="s">
        <v>154</v>
      </c>
      <c r="BI983" s="0" t="s">
        <v>154</v>
      </c>
      <c r="BJ983" s="0" t="s">
        <v>154</v>
      </c>
      <c r="BK983" s="0" t="s">
        <v>154</v>
      </c>
      <c r="BL983" s="0" t="s">
        <v>154</v>
      </c>
      <c r="BP983" s="0" t="s">
        <v>154</v>
      </c>
      <c r="BY983" s="0" t="s">
        <v>155</v>
      </c>
      <c r="CA983" s="0" t="s">
        <v>154</v>
      </c>
      <c r="CG983" s="0" t="s">
        <v>154</v>
      </c>
      <c r="CK983" s="0" t="s">
        <v>154</v>
      </c>
      <c r="CL983" s="0" t="s">
        <v>155</v>
      </c>
      <c r="CN983" s="0" t="s">
        <v>154</v>
      </c>
      <c r="CO983" s="0" t="s">
        <v>155</v>
      </c>
      <c r="CP983" s="0" t="s">
        <v>154</v>
      </c>
      <c r="CT983" s="0" t="s">
        <v>154</v>
      </c>
      <c r="CU983" s="0" t="s">
        <v>155</v>
      </c>
      <c r="CV983" s="0" t="s">
        <v>154</v>
      </c>
      <c r="CW983" s="0" t="s">
        <v>155</v>
      </c>
      <c r="CY983" s="0" t="s">
        <v>154</v>
      </c>
      <c r="DC983" s="0" t="s">
        <v>154</v>
      </c>
      <c r="DI983" s="0" t="s">
        <v>154</v>
      </c>
      <c r="DL983" s="0" t="s">
        <v>154</v>
      </c>
      <c r="DN983" s="0" t="s">
        <v>154</v>
      </c>
      <c r="DR983" s="0" t="s">
        <v>154</v>
      </c>
      <c r="DX983" s="0" t="s">
        <v>154</v>
      </c>
      <c r="ED983" s="0" t="s">
        <v>176</v>
      </c>
      <c r="EF983" s="0" t="s">
        <v>154</v>
      </c>
    </row>
    <row r="984" customFormat="false" ht="13.8" hidden="true" customHeight="false" outlineLevel="0" collapsed="false">
      <c r="A984" s="0" t="s">
        <v>4812</v>
      </c>
      <c r="B984" s="0" t="n">
        <v>78</v>
      </c>
      <c r="C984" s="0" t="n">
        <v>330989</v>
      </c>
      <c r="D984" s="0" t="s">
        <v>675</v>
      </c>
      <c r="E984" s="0" t="s">
        <v>4085</v>
      </c>
      <c r="F984" s="0" t="str">
        <f aca="false">CONCATENATE(D984," ",LEFT(H984,4),"T=",AU984,"D=",AV984,"R=",AW984,"M=",AX984,"L=",AY984,"B=",AZ984)</f>
        <v>ANDERSON T=28D=10R=1M=0L=0B=0</v>
      </c>
      <c r="G984" s="0" t="s">
        <v>159</v>
      </c>
      <c r="I984" s="0" t="s">
        <v>4813</v>
      </c>
      <c r="J984" s="0" t="s">
        <v>4814</v>
      </c>
      <c r="K984" s="0" t="s">
        <v>144</v>
      </c>
      <c r="L984" s="0"/>
      <c r="M984" s="0" t="s">
        <v>4815</v>
      </c>
      <c r="N984" s="0" t="str">
        <f aca="false">RIGHT(M984,LEN(M984)-FIND(" ",M984))</f>
        <v>FREEMAN ST NW</v>
      </c>
      <c r="P984" s="0" t="s">
        <v>146</v>
      </c>
      <c r="Q984" s="0" t="s">
        <v>147</v>
      </c>
      <c r="R984" s="0" t="n">
        <v>44483</v>
      </c>
      <c r="AD984" s="0" t="s">
        <v>148</v>
      </c>
      <c r="AE984" s="0" t="s">
        <v>149</v>
      </c>
      <c r="AF984" s="0" t="s">
        <v>150</v>
      </c>
      <c r="AH984" s="0" t="n">
        <v>14</v>
      </c>
      <c r="AI984" s="0" t="n">
        <v>11</v>
      </c>
      <c r="AN984" s="0" t="s">
        <v>146</v>
      </c>
      <c r="AO984" s="0" t="s">
        <v>151</v>
      </c>
      <c r="AP984" s="0" t="s">
        <v>152</v>
      </c>
      <c r="AQ984" s="0" t="n">
        <v>9</v>
      </c>
      <c r="AR984" s="0" t="n">
        <v>64</v>
      </c>
      <c r="AS984" s="0" t="n">
        <v>32</v>
      </c>
      <c r="AU984" s="0" t="n">
        <f aca="false">COUNTA($BA$1871:$EH$1871)</f>
        <v>28</v>
      </c>
      <c r="AV984" s="0" t="n">
        <f aca="false">COUNTIF($BA$1871:$EH$1871,"D")</f>
        <v>10</v>
      </c>
      <c r="AW984" s="0" t="n">
        <f aca="false">COUNTIF($BA$1871:$EH$1871,"R")</f>
        <v>1</v>
      </c>
      <c r="AX984" s="0" t="n">
        <f aca="false"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>0</v>
      </c>
      <c r="AY984" s="0" t="n">
        <f aca="false">COUNTIF(DU984:EH984, "&lt;&gt;")</f>
        <v>0</v>
      </c>
      <c r="AZ984" s="0" t="n">
        <f aca="false">IF(EH984&lt;&gt;"",1,0)</f>
        <v>0</v>
      </c>
      <c r="BB984" s="0" t="s">
        <v>153</v>
      </c>
    </row>
    <row r="985" customFormat="false" ht="13.8" hidden="true" customHeight="false" outlineLevel="0" collapsed="false">
      <c r="A985" s="0" t="s">
        <v>4816</v>
      </c>
      <c r="B985" s="0" t="n">
        <v>78</v>
      </c>
      <c r="C985" s="0" t="n">
        <v>404232</v>
      </c>
      <c r="D985" s="0" t="s">
        <v>3211</v>
      </c>
      <c r="E985" s="0" t="s">
        <v>4817</v>
      </c>
      <c r="F985" s="0" t="str">
        <f aca="false">CONCATENATE(D985," ",LEFT(H985,4),"T=",AU985,"D=",AV985,"R=",AW985,"M=",AX985,"L=",AY985,"B=",AZ985)</f>
        <v>ERVIN T=49D=18R=0M=0L=0B=0</v>
      </c>
      <c r="G985" s="0" t="s">
        <v>181</v>
      </c>
      <c r="I985" s="0" t="s">
        <v>4818</v>
      </c>
      <c r="J985" s="0" t="s">
        <v>4819</v>
      </c>
      <c r="K985" s="0" t="s">
        <v>144</v>
      </c>
      <c r="L985" s="0"/>
      <c r="M985" s="0" t="s">
        <v>4815</v>
      </c>
      <c r="N985" s="0" t="str">
        <f aca="false">RIGHT(M985,LEN(M985)-FIND(" ",M985))</f>
        <v>FREEMAN ST NW</v>
      </c>
      <c r="P985" s="0" t="s">
        <v>146</v>
      </c>
      <c r="Q985" s="0" t="s">
        <v>147</v>
      </c>
      <c r="R985" s="0" t="n">
        <v>44483</v>
      </c>
      <c r="AD985" s="0" t="s">
        <v>148</v>
      </c>
      <c r="AE985" s="0" t="s">
        <v>149</v>
      </c>
      <c r="AF985" s="0" t="s">
        <v>150</v>
      </c>
      <c r="AH985" s="0" t="n">
        <v>14</v>
      </c>
      <c r="AI985" s="0" t="n">
        <v>11</v>
      </c>
      <c r="AN985" s="0" t="s">
        <v>146</v>
      </c>
      <c r="AO985" s="0" t="s">
        <v>151</v>
      </c>
      <c r="AP985" s="0" t="s">
        <v>152</v>
      </c>
      <c r="AQ985" s="0" t="n">
        <v>9</v>
      </c>
      <c r="AR985" s="0" t="n">
        <v>64</v>
      </c>
      <c r="AS985" s="0" t="n">
        <v>32</v>
      </c>
      <c r="AU985" s="0" t="n">
        <f aca="false">COUNTA($BA$1912:$EH$1912)</f>
        <v>49</v>
      </c>
      <c r="AV985" s="0" t="n">
        <f aca="false">COUNTIF($BA$1912:$EH$1912,"D")</f>
        <v>18</v>
      </c>
      <c r="AW985" s="0" t="n">
        <f aca="false">COUNTIF($BA$1912:$EH$1912,"R")</f>
        <v>0</v>
      </c>
      <c r="AX985" s="0" t="n">
        <f aca="false"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>0</v>
      </c>
      <c r="AY985" s="0" t="n">
        <f aca="false">COUNTIF(DU985:EH985, "&lt;&gt;")</f>
        <v>0</v>
      </c>
      <c r="AZ985" s="0" t="n">
        <f aca="false">IF(EH985&lt;&gt;"",1,0)</f>
        <v>0</v>
      </c>
      <c r="BB985" s="0" t="s">
        <v>153</v>
      </c>
    </row>
    <row r="986" customFormat="false" ht="13.8" hidden="true" customHeight="false" outlineLevel="0" collapsed="false">
      <c r="A986" s="0" t="s">
        <v>4820</v>
      </c>
      <c r="B986" s="0" t="n">
        <v>78</v>
      </c>
      <c r="C986" s="0" t="n">
        <v>419789</v>
      </c>
      <c r="D986" s="0" t="s">
        <v>1549</v>
      </c>
      <c r="E986" s="0" t="s">
        <v>1374</v>
      </c>
      <c r="F986" s="0" t="str">
        <f aca="false">CONCATENATE(D986," ",LEFT(H986,4),"T=",AU986,"D=",AV986,"R=",AW986,"M=",AX986,"L=",AY986,"B=",AZ986)</f>
        <v>WILSON JRT=41D=10R=1M=0L=0B=0</v>
      </c>
      <c r="G986" s="0" t="s">
        <v>241</v>
      </c>
      <c r="H986" s="0" t="s">
        <v>431</v>
      </c>
      <c r="I986" s="0" t="s">
        <v>4821</v>
      </c>
      <c r="J986" s="0" t="s">
        <v>4743</v>
      </c>
      <c r="K986" s="0" t="s">
        <v>144</v>
      </c>
      <c r="L986" s="0"/>
      <c r="M986" s="0" t="s">
        <v>4822</v>
      </c>
      <c r="N986" s="0" t="str">
        <f aca="false">RIGHT(M986,LEN(M986)-FIND(" ",M986))</f>
        <v>FREEMAN ST NW</v>
      </c>
      <c r="P986" s="0" t="s">
        <v>146</v>
      </c>
      <c r="Q986" s="0" t="s">
        <v>147</v>
      </c>
      <c r="R986" s="0" t="n">
        <v>44483</v>
      </c>
      <c r="AD986" s="0" t="s">
        <v>148</v>
      </c>
      <c r="AE986" s="0" t="s">
        <v>149</v>
      </c>
      <c r="AF986" s="0" t="s">
        <v>150</v>
      </c>
      <c r="AH986" s="0" t="n">
        <v>14</v>
      </c>
      <c r="AI986" s="0" t="n">
        <v>11</v>
      </c>
      <c r="AN986" s="0" t="s">
        <v>146</v>
      </c>
      <c r="AO986" s="0" t="s">
        <v>151</v>
      </c>
      <c r="AP986" s="0" t="s">
        <v>152</v>
      </c>
      <c r="AQ986" s="0" t="n">
        <v>9</v>
      </c>
      <c r="AR986" s="0" t="n">
        <v>64</v>
      </c>
      <c r="AS986" s="0" t="n">
        <v>32</v>
      </c>
      <c r="AU986" s="0" t="n">
        <f aca="false">COUNTA($BA$1954:$EH$1954)</f>
        <v>41</v>
      </c>
      <c r="AV986" s="0" t="n">
        <f aca="false">COUNTIF($BA$1954:$EH$1954,"D")</f>
        <v>10</v>
      </c>
      <c r="AW986" s="0" t="n">
        <f aca="false">COUNTIF($BA$1954:$EH$1954,"R")</f>
        <v>1</v>
      </c>
      <c r="AX986" s="0" t="n">
        <f aca="false"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>0</v>
      </c>
      <c r="AY986" s="0" t="n">
        <f aca="false">COUNTIF(DU986:EH986, "&lt;&gt;")</f>
        <v>0</v>
      </c>
      <c r="AZ986" s="0" t="n">
        <f aca="false">IF(EH986&lt;&gt;"",1,0)</f>
        <v>0</v>
      </c>
      <c r="BB986" s="0" t="s">
        <v>153</v>
      </c>
    </row>
    <row r="987" customFormat="false" ht="13.8" hidden="true" customHeight="false" outlineLevel="0" collapsed="false">
      <c r="A987" s="0" t="s">
        <v>4823</v>
      </c>
      <c r="B987" s="0" t="n">
        <v>78</v>
      </c>
      <c r="C987" s="0" t="n">
        <v>423079</v>
      </c>
      <c r="D987" s="0" t="s">
        <v>4824</v>
      </c>
      <c r="E987" s="0" t="s">
        <v>780</v>
      </c>
      <c r="F987" s="0" t="str">
        <f aca="false">CONCATENATE(D987," ",LEFT(H987,4),"T=",AU987,"D=",AV987,"R=",AW987,"M=",AX987,"L=",AY987,"B=",AZ987)</f>
        <v>GOODWIN T=13D=3R=0M=0L=0B=0</v>
      </c>
      <c r="G987" s="0" t="s">
        <v>365</v>
      </c>
      <c r="I987" s="0" t="s">
        <v>4825</v>
      </c>
      <c r="J987" s="0" t="s">
        <v>4826</v>
      </c>
      <c r="K987" s="0" t="s">
        <v>175</v>
      </c>
      <c r="L987" s="0"/>
      <c r="M987" s="0" t="s">
        <v>4827</v>
      </c>
      <c r="N987" s="0" t="str">
        <f aca="false">RIGHT(M987,LEN(M987)-FIND(" ",M987))</f>
        <v>FREEMAN ST NW</v>
      </c>
      <c r="P987" s="0" t="s">
        <v>146</v>
      </c>
      <c r="Q987" s="0" t="s">
        <v>147</v>
      </c>
      <c r="R987" s="0" t="n">
        <v>44483</v>
      </c>
      <c r="AD987" s="0" t="s">
        <v>148</v>
      </c>
      <c r="AE987" s="0" t="s">
        <v>149</v>
      </c>
      <c r="AF987" s="0" t="s">
        <v>150</v>
      </c>
      <c r="AH987" s="0" t="n">
        <v>14</v>
      </c>
      <c r="AI987" s="0" t="n">
        <v>11</v>
      </c>
      <c r="AN987" s="0" t="s">
        <v>146</v>
      </c>
      <c r="AO987" s="0" t="s">
        <v>151</v>
      </c>
      <c r="AP987" s="0" t="s">
        <v>152</v>
      </c>
      <c r="AQ987" s="0" t="n">
        <v>9</v>
      </c>
      <c r="AR987" s="0" t="n">
        <v>64</v>
      </c>
      <c r="AS987" s="0" t="n">
        <v>32</v>
      </c>
      <c r="AU987" s="0" t="n">
        <f aca="false">COUNTA($BA$1904:$EH$1904)</f>
        <v>13</v>
      </c>
      <c r="AV987" s="0" t="n">
        <f aca="false">COUNTIF($BA$1904:$EH$1904,"D")</f>
        <v>3</v>
      </c>
      <c r="AW987" s="0" t="n">
        <f aca="false">COUNTIF($BA$1904:$EH$1904,"R")</f>
        <v>0</v>
      </c>
      <c r="AX987" s="0" t="n">
        <f aca="false"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>0</v>
      </c>
      <c r="AY987" s="0" t="n">
        <f aca="false">COUNTIF(DU987:EH987, "&lt;&gt;")</f>
        <v>0</v>
      </c>
      <c r="AZ987" s="0" t="n">
        <f aca="false">IF(EH987&lt;&gt;"",1,0)</f>
        <v>0</v>
      </c>
      <c r="BB987" s="0" t="s">
        <v>153</v>
      </c>
      <c r="CA987" s="0" t="s">
        <v>154</v>
      </c>
    </row>
    <row r="988" customFormat="false" ht="13.8" hidden="true" customHeight="false" outlineLevel="0" collapsed="false">
      <c r="A988" s="0" t="s">
        <v>4828</v>
      </c>
      <c r="B988" s="0" t="n">
        <v>78</v>
      </c>
      <c r="C988" s="0" t="n">
        <v>311184</v>
      </c>
      <c r="D988" s="0" t="s">
        <v>4829</v>
      </c>
      <c r="E988" s="0" t="s">
        <v>376</v>
      </c>
      <c r="F988" s="0" t="str">
        <f aca="false">CONCATENATE(D988," ",LEFT(H988,4),"T=",AU988,"D=",AV988,"R=",AW988,"M=",AX988,"L=",AY988,"B=",AZ988)</f>
        <v>BAUGH T=1D=0R=0M=0L=1B=0</v>
      </c>
      <c r="G988" s="0" t="s">
        <v>4830</v>
      </c>
      <c r="I988" s="0" t="s">
        <v>4831</v>
      </c>
      <c r="J988" s="0" t="s">
        <v>4832</v>
      </c>
      <c r="K988" s="0" t="s">
        <v>175</v>
      </c>
      <c r="L988" s="0"/>
      <c r="M988" s="0" t="s">
        <v>4833</v>
      </c>
      <c r="N988" s="0" t="str">
        <f aca="false">RIGHT(M988,LEN(M988)-FIND(" ",M988))</f>
        <v>FREEMAN ST NW</v>
      </c>
      <c r="P988" s="0" t="s">
        <v>146</v>
      </c>
      <c r="Q988" s="0" t="s">
        <v>147</v>
      </c>
      <c r="R988" s="0" t="n">
        <v>44483</v>
      </c>
      <c r="AD988" s="0" t="s">
        <v>148</v>
      </c>
      <c r="AE988" s="0" t="s">
        <v>149</v>
      </c>
      <c r="AF988" s="0" t="s">
        <v>150</v>
      </c>
      <c r="AH988" s="0" t="n">
        <v>14</v>
      </c>
      <c r="AI988" s="0" t="n">
        <v>11</v>
      </c>
      <c r="AN988" s="0" t="s">
        <v>146</v>
      </c>
      <c r="AO988" s="0" t="s">
        <v>151</v>
      </c>
      <c r="AP988" s="0" t="s">
        <v>152</v>
      </c>
      <c r="AQ988" s="0" t="n">
        <v>9</v>
      </c>
      <c r="AR988" s="0" t="n">
        <v>64</v>
      </c>
      <c r="AS988" s="0" t="n">
        <v>32</v>
      </c>
      <c r="AU988" s="0" t="n">
        <f aca="false">COUNTA($BA$1433:$EH$1433)</f>
        <v>1</v>
      </c>
      <c r="AV988" s="0" t="n">
        <f aca="false">COUNTIF($BA$1433:$EH$1433,"D")</f>
        <v>0</v>
      </c>
      <c r="AW988" s="0" t="n">
        <f aca="false">COUNTIF($BA$1433:$EH$1433,"R")</f>
        <v>0</v>
      </c>
      <c r="AX988" s="0" t="n">
        <f aca="false"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>0</v>
      </c>
      <c r="AY988" s="0" t="n">
        <f aca="false">COUNTIF(DU988:EH988, "&lt;&gt;")</f>
        <v>1</v>
      </c>
      <c r="AZ988" s="0" t="n">
        <f aca="false">IF(EH988&lt;&gt;"",1,0)</f>
        <v>0</v>
      </c>
      <c r="BB988" s="0" t="s">
        <v>153</v>
      </c>
      <c r="BH988" s="0" t="s">
        <v>154</v>
      </c>
      <c r="BL988" s="0" t="s">
        <v>154</v>
      </c>
      <c r="BS988" s="0" t="s">
        <v>154</v>
      </c>
      <c r="CA988" s="0" t="s">
        <v>154</v>
      </c>
      <c r="CN988" s="0" t="s">
        <v>154</v>
      </c>
      <c r="CO988" s="0" t="s">
        <v>155</v>
      </c>
      <c r="CP988" s="0" t="s">
        <v>154</v>
      </c>
      <c r="CY988" s="0" t="s">
        <v>154</v>
      </c>
      <c r="CZ988" s="0" t="s">
        <v>155</v>
      </c>
      <c r="DC988" s="0" t="s">
        <v>154</v>
      </c>
      <c r="DN988" s="0" t="s">
        <v>154</v>
      </c>
      <c r="EF988" s="0" t="s">
        <v>154</v>
      </c>
    </row>
    <row r="989" customFormat="false" ht="13.8" hidden="true" customHeight="false" outlineLevel="0" collapsed="false">
      <c r="A989" s="0" t="s">
        <v>4834</v>
      </c>
      <c r="B989" s="0" t="n">
        <v>78</v>
      </c>
      <c r="C989" s="0" t="n">
        <v>394734</v>
      </c>
      <c r="D989" s="0" t="s">
        <v>4835</v>
      </c>
      <c r="E989" s="0" t="s">
        <v>1653</v>
      </c>
      <c r="F989" s="0" t="str">
        <f aca="false">CONCATENATE(D989," ",LEFT(H989,4),"T=",AU989,"D=",AV989,"R=",AW989,"M=",AX989,"L=",AY989,"B=",AZ989)</f>
        <v>TISSUE T=38D=10R=0M=0L=1B=0</v>
      </c>
      <c r="G989" s="0" t="s">
        <v>4836</v>
      </c>
      <c r="I989" s="0" t="s">
        <v>4837</v>
      </c>
      <c r="J989" s="0" t="s">
        <v>4838</v>
      </c>
      <c r="K989" s="0" t="s">
        <v>175</v>
      </c>
      <c r="L989" s="0"/>
      <c r="M989" s="0" t="s">
        <v>4833</v>
      </c>
      <c r="N989" s="0" t="str">
        <f aca="false">RIGHT(M989,LEN(M989)-FIND(" ",M989))</f>
        <v>FREEMAN ST NW</v>
      </c>
      <c r="P989" s="0" t="s">
        <v>146</v>
      </c>
      <c r="Q989" s="0" t="s">
        <v>147</v>
      </c>
      <c r="R989" s="0" t="n">
        <v>44483</v>
      </c>
      <c r="AD989" s="0" t="s">
        <v>148</v>
      </c>
      <c r="AE989" s="0" t="s">
        <v>149</v>
      </c>
      <c r="AF989" s="0" t="s">
        <v>150</v>
      </c>
      <c r="AH989" s="0" t="n">
        <v>14</v>
      </c>
      <c r="AI989" s="0" t="n">
        <v>11</v>
      </c>
      <c r="AN989" s="0" t="s">
        <v>146</v>
      </c>
      <c r="AO989" s="0" t="s">
        <v>151</v>
      </c>
      <c r="AP989" s="0" t="s">
        <v>152</v>
      </c>
      <c r="AQ989" s="0" t="n">
        <v>9</v>
      </c>
      <c r="AR989" s="0" t="n">
        <v>64</v>
      </c>
      <c r="AS989" s="0" t="n">
        <v>32</v>
      </c>
      <c r="AU989" s="0" t="n">
        <f aca="false">COUNTA($BA$1637:$EH$1637)</f>
        <v>38</v>
      </c>
      <c r="AV989" s="0" t="n">
        <f aca="false">COUNTIF($BA$1637:$EH$1637,"D")</f>
        <v>10</v>
      </c>
      <c r="AW989" s="0" t="n">
        <f aca="false">COUNTIF($BA$1637:$EH$1637,"R")</f>
        <v>0</v>
      </c>
      <c r="AX989" s="0" t="n">
        <f aca="false"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>0</v>
      </c>
      <c r="AY989" s="0" t="n">
        <f aca="false">COUNTIF(DU989:EH989, "&lt;&gt;")</f>
        <v>1</v>
      </c>
      <c r="AZ989" s="0" t="n">
        <f aca="false">IF(EH989&lt;&gt;"",1,0)</f>
        <v>0</v>
      </c>
      <c r="BB989" s="0" t="s">
        <v>153</v>
      </c>
      <c r="DC989" s="0" t="s">
        <v>154</v>
      </c>
      <c r="EF989" s="0" t="s">
        <v>154</v>
      </c>
    </row>
    <row r="990" customFormat="false" ht="13.8" hidden="true" customHeight="false" outlineLevel="0" collapsed="false">
      <c r="A990" s="0" t="s">
        <v>4839</v>
      </c>
      <c r="B990" s="0" t="n">
        <v>78</v>
      </c>
      <c r="C990" s="0" t="n">
        <v>302657</v>
      </c>
      <c r="D990" s="0" t="s">
        <v>4835</v>
      </c>
      <c r="E990" s="0" t="s">
        <v>3032</v>
      </c>
      <c r="F990" s="0" t="str">
        <f aca="false">CONCATENATE(D990," ",LEFT(H990,4),"T=",AU990,"D=",AV990,"R=",AW990,"M=",AX990,"L=",AY990,"B=",AZ990)</f>
        <v>TISSUE T=6D=1R=0M=0L=1B=0</v>
      </c>
      <c r="G990" s="0" t="s">
        <v>172</v>
      </c>
      <c r="I990" s="0" t="s">
        <v>4840</v>
      </c>
      <c r="J990" s="0" t="s">
        <v>4841</v>
      </c>
      <c r="K990" s="0" t="s">
        <v>175</v>
      </c>
      <c r="L990" s="0"/>
      <c r="M990" s="0" t="s">
        <v>4833</v>
      </c>
      <c r="N990" s="0" t="str">
        <f aca="false">RIGHT(M990,LEN(M990)-FIND(" ",M990))</f>
        <v>FREEMAN ST NW</v>
      </c>
      <c r="P990" s="0" t="s">
        <v>146</v>
      </c>
      <c r="Q990" s="0" t="s">
        <v>147</v>
      </c>
      <c r="R990" s="0" t="n">
        <v>44483</v>
      </c>
      <c r="AD990" s="0" t="s">
        <v>148</v>
      </c>
      <c r="AE990" s="0" t="s">
        <v>149</v>
      </c>
      <c r="AF990" s="0" t="s">
        <v>150</v>
      </c>
      <c r="AH990" s="0" t="n">
        <v>14</v>
      </c>
      <c r="AI990" s="0" t="n">
        <v>11</v>
      </c>
      <c r="AN990" s="0" t="s">
        <v>146</v>
      </c>
      <c r="AO990" s="0" t="s">
        <v>151</v>
      </c>
      <c r="AP990" s="0" t="s">
        <v>152</v>
      </c>
      <c r="AQ990" s="0" t="n">
        <v>9</v>
      </c>
      <c r="AR990" s="0" t="n">
        <v>64</v>
      </c>
      <c r="AS990" s="0" t="n">
        <v>32</v>
      </c>
      <c r="AU990" s="0" t="n">
        <f aca="false">COUNTA($BA$2021:$EH$2021)</f>
        <v>6</v>
      </c>
      <c r="AV990" s="0" t="n">
        <f aca="false">COUNTIF($BA$2021:$EH$2021,"D")</f>
        <v>1</v>
      </c>
      <c r="AW990" s="0" t="n">
        <f aca="false">COUNTIF($BA$2021:$EH$2021,"R")</f>
        <v>0</v>
      </c>
      <c r="AX990" s="0" t="n">
        <f aca="false"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>0</v>
      </c>
      <c r="AY990" s="0" t="n">
        <f aca="false">COUNTIF(DU990:EH990, "&lt;&gt;")</f>
        <v>1</v>
      </c>
      <c r="AZ990" s="0" t="n">
        <f aca="false">IF(EH990&lt;&gt;"",1,0)</f>
        <v>0</v>
      </c>
      <c r="BB990" s="0" t="s">
        <v>153</v>
      </c>
      <c r="BL990" s="0" t="s">
        <v>154</v>
      </c>
      <c r="CA990" s="0" t="s">
        <v>154</v>
      </c>
      <c r="CH990" s="0" t="s">
        <v>155</v>
      </c>
      <c r="CN990" s="0" t="s">
        <v>154</v>
      </c>
      <c r="CO990" s="0" t="s">
        <v>155</v>
      </c>
      <c r="CP990" s="0" t="s">
        <v>154</v>
      </c>
      <c r="DC990" s="0" t="s">
        <v>154</v>
      </c>
      <c r="EF990" s="0" t="s">
        <v>154</v>
      </c>
    </row>
    <row r="991" customFormat="false" ht="13.8" hidden="true" customHeight="false" outlineLevel="0" collapsed="false">
      <c r="A991" s="0" t="s">
        <v>4842</v>
      </c>
      <c r="B991" s="0" t="n">
        <v>78</v>
      </c>
      <c r="C991" s="0" t="n">
        <v>342848</v>
      </c>
      <c r="D991" s="0" t="s">
        <v>2132</v>
      </c>
      <c r="E991" s="0" t="s">
        <v>4843</v>
      </c>
      <c r="F991" s="0" t="str">
        <f aca="false">CONCATENATE(D991," ",LEFT(H991,4),"T=",AU991,"D=",AV991,"R=",AW991,"M=",AX991,"L=",AY991,"B=",AZ991)</f>
        <v>VAUGHN T=1D=0R=0M=0L=1B=0</v>
      </c>
      <c r="G991" s="0" t="s">
        <v>241</v>
      </c>
      <c r="I991" s="0" t="s">
        <v>4844</v>
      </c>
      <c r="J991" s="0" t="s">
        <v>4845</v>
      </c>
      <c r="K991" s="0" t="s">
        <v>175</v>
      </c>
      <c r="L991" s="0"/>
      <c r="M991" s="0" t="s">
        <v>4846</v>
      </c>
      <c r="N991" s="0" t="str">
        <f aca="false">RIGHT(M991,LEN(M991)-FIND(" ",M991))</f>
        <v>FREEMAN ST NW</v>
      </c>
      <c r="P991" s="0" t="s">
        <v>146</v>
      </c>
      <c r="Q991" s="0" t="s">
        <v>147</v>
      </c>
      <c r="R991" s="0" t="n">
        <v>44483</v>
      </c>
      <c r="AD991" s="0" t="s">
        <v>148</v>
      </c>
      <c r="AE991" s="0" t="s">
        <v>149</v>
      </c>
      <c r="AF991" s="0" t="s">
        <v>150</v>
      </c>
      <c r="AH991" s="0" t="n">
        <v>14</v>
      </c>
      <c r="AI991" s="0" t="n">
        <v>11</v>
      </c>
      <c r="AN991" s="0" t="s">
        <v>146</v>
      </c>
      <c r="AO991" s="0" t="s">
        <v>151</v>
      </c>
      <c r="AP991" s="0" t="s">
        <v>152</v>
      </c>
      <c r="AQ991" s="0" t="n">
        <v>9</v>
      </c>
      <c r="AR991" s="0" t="n">
        <v>64</v>
      </c>
      <c r="AS991" s="0" t="n">
        <v>32</v>
      </c>
      <c r="AU991" s="0" t="n">
        <f aca="false">COUNTA($BA$1630:$EH$1630)</f>
        <v>1</v>
      </c>
      <c r="AV991" s="0" t="n">
        <f aca="false">COUNTIF($BA$1630:$EH$1630,"D")</f>
        <v>0</v>
      </c>
      <c r="AW991" s="0" t="n">
        <f aca="false">COUNTIF($BA$1630:$EH$1630,"R")</f>
        <v>0</v>
      </c>
      <c r="AX991" s="0" t="n">
        <f aca="false"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>0</v>
      </c>
      <c r="AY991" s="0" t="n">
        <f aca="false">COUNTIF(DU991:EH991, "&lt;&gt;")</f>
        <v>1</v>
      </c>
      <c r="AZ991" s="0" t="n">
        <f aca="false">IF(EH991&lt;&gt;"",1,0)</f>
        <v>0</v>
      </c>
      <c r="BB991" s="0" t="s">
        <v>153</v>
      </c>
      <c r="CP991" s="0" t="s">
        <v>154</v>
      </c>
      <c r="EA991" s="0" t="s">
        <v>154</v>
      </c>
    </row>
    <row r="992" customFormat="false" ht="13.8" hidden="false" customHeight="false" outlineLevel="0" collapsed="false">
      <c r="A992" s="0" t="s">
        <v>4847</v>
      </c>
      <c r="B992" s="0" t="n">
        <v>78</v>
      </c>
      <c r="C992" s="0" t="n">
        <v>305171</v>
      </c>
      <c r="D992" s="0" t="s">
        <v>4848</v>
      </c>
      <c r="E992" s="0" t="s">
        <v>750</v>
      </c>
      <c r="F992" s="0" t="str">
        <f aca="false">CONCATENATE(D992," ",LEFT(H992,4),"T=",AU992,"D=",AV992,"R=",AW992,"M=",AX992,"L=",AY992,"B=",AZ992)</f>
        <v>COPENHAVER T=19D=1R=2M=4L=6B=1</v>
      </c>
      <c r="G992" s="0" t="s">
        <v>181</v>
      </c>
      <c r="I992" s="0" t="s">
        <v>4849</v>
      </c>
      <c r="J992" s="0" t="s">
        <v>4850</v>
      </c>
      <c r="K992" s="0" t="s">
        <v>175</v>
      </c>
      <c r="L992" s="1" t="s">
        <v>155</v>
      </c>
      <c r="M992" s="0" t="s">
        <v>4851</v>
      </c>
      <c r="N992" s="0" t="str">
        <f aca="false">RIGHT(M992,LEN(M992)-FIND(" ",M992))</f>
        <v>FREEMAN ST NW</v>
      </c>
      <c r="P992" s="0" t="s">
        <v>146</v>
      </c>
      <c r="Q992" s="0" t="s">
        <v>147</v>
      </c>
      <c r="R992" s="0" t="n">
        <v>44483</v>
      </c>
      <c r="AD992" s="0" t="s">
        <v>148</v>
      </c>
      <c r="AE992" s="0" t="s">
        <v>149</v>
      </c>
      <c r="AF992" s="0" t="s">
        <v>150</v>
      </c>
      <c r="AH992" s="0" t="n">
        <v>14</v>
      </c>
      <c r="AI992" s="0" t="n">
        <v>11</v>
      </c>
      <c r="AN992" s="0" t="s">
        <v>146</v>
      </c>
      <c r="AO992" s="0" t="s">
        <v>151</v>
      </c>
      <c r="AP992" s="0" t="s">
        <v>152</v>
      </c>
      <c r="AQ992" s="0" t="n">
        <v>9</v>
      </c>
      <c r="AR992" s="0" t="n">
        <v>64</v>
      </c>
      <c r="AS992" s="0" t="n">
        <v>32</v>
      </c>
      <c r="AU992" s="0" t="n">
        <f aca="false">COUNTA($BA$1274:$EH$1274)</f>
        <v>19</v>
      </c>
      <c r="AV992" s="0" t="n">
        <f aca="false">COUNTIF($BA$1274:$EH$1274,"D")</f>
        <v>1</v>
      </c>
      <c r="AW992" s="0" t="n">
        <f aca="false">COUNTIF($BA$1274:$EH$1274,"R")</f>
        <v>2</v>
      </c>
      <c r="AX992" s="0" t="n">
        <f aca="false"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>4</v>
      </c>
      <c r="AY992" s="0" t="n">
        <f aca="false">COUNTIF(DU992:EH992, "&lt;&gt;")</f>
        <v>6</v>
      </c>
      <c r="AZ992" s="0" t="n">
        <f aca="false">IF(EH992&lt;&gt;"",1,0)</f>
        <v>1</v>
      </c>
      <c r="BB992" s="0" t="s">
        <v>153</v>
      </c>
      <c r="BF992" s="0" t="s">
        <v>154</v>
      </c>
      <c r="BG992" s="0" t="s">
        <v>154</v>
      </c>
      <c r="BH992" s="0" t="s">
        <v>154</v>
      </c>
      <c r="BI992" s="0" t="s">
        <v>154</v>
      </c>
      <c r="BJ992" s="0" t="s">
        <v>154</v>
      </c>
      <c r="BK992" s="0" t="s">
        <v>154</v>
      </c>
      <c r="BL992" s="0" t="s">
        <v>154</v>
      </c>
      <c r="BP992" s="0" t="s">
        <v>154</v>
      </c>
      <c r="BR992" s="0" t="s">
        <v>154</v>
      </c>
      <c r="BS992" s="0" t="s">
        <v>154</v>
      </c>
      <c r="BV992" s="0" t="s">
        <v>154</v>
      </c>
      <c r="BY992" s="0" t="s">
        <v>155</v>
      </c>
      <c r="CA992" s="0" t="s">
        <v>154</v>
      </c>
      <c r="CH992" s="0" t="s">
        <v>155</v>
      </c>
      <c r="CK992" s="0" t="s">
        <v>154</v>
      </c>
      <c r="CN992" s="0" t="s">
        <v>154</v>
      </c>
      <c r="CO992" s="0" t="s">
        <v>155</v>
      </c>
      <c r="CP992" s="0" t="s">
        <v>154</v>
      </c>
      <c r="CT992" s="0" t="s">
        <v>154</v>
      </c>
      <c r="CU992" s="0" t="s">
        <v>155</v>
      </c>
      <c r="CV992" s="0" t="s">
        <v>154</v>
      </c>
      <c r="CW992" s="0" t="s">
        <v>155</v>
      </c>
      <c r="CY992" s="0" t="s">
        <v>154</v>
      </c>
      <c r="CZ992" s="0" t="s">
        <v>155</v>
      </c>
      <c r="DC992" s="0" t="s">
        <v>154</v>
      </c>
      <c r="DF992" s="0" t="s">
        <v>154</v>
      </c>
      <c r="DG992" s="0" t="s">
        <v>155</v>
      </c>
      <c r="DI992" s="0" t="s">
        <v>154</v>
      </c>
      <c r="DJ992" s="0" t="s">
        <v>155</v>
      </c>
      <c r="DL992" s="0" t="s">
        <v>154</v>
      </c>
      <c r="DN992" s="0" t="s">
        <v>154</v>
      </c>
      <c r="DO992" s="0" t="s">
        <v>155</v>
      </c>
      <c r="DR992" s="0" t="s">
        <v>154</v>
      </c>
      <c r="DS992" s="0" t="s">
        <v>155</v>
      </c>
      <c r="DT992" s="0" t="s">
        <v>155</v>
      </c>
      <c r="DU992" s="0" t="s">
        <v>154</v>
      </c>
      <c r="DX992" s="0" t="s">
        <v>154</v>
      </c>
      <c r="EA992" s="0" t="s">
        <v>154</v>
      </c>
      <c r="ED992" s="0" t="s">
        <v>155</v>
      </c>
      <c r="EF992" s="0" t="s">
        <v>154</v>
      </c>
      <c r="EH992" s="0" t="s">
        <v>155</v>
      </c>
    </row>
    <row r="993" customFormat="false" ht="13.8" hidden="true" customHeight="false" outlineLevel="0" collapsed="false">
      <c r="A993" s="0" t="s">
        <v>4852</v>
      </c>
      <c r="B993" s="0" t="n">
        <v>78</v>
      </c>
      <c r="C993" s="0" t="n">
        <v>352698</v>
      </c>
      <c r="D993" s="0" t="s">
        <v>4853</v>
      </c>
      <c r="E993" s="0" t="s">
        <v>1619</v>
      </c>
      <c r="F993" s="0" t="str">
        <f aca="false">CONCATENATE(D993," ",LEFT(H993,4),"T=",AU993,"D=",AV993,"R=",AW993,"M=",AX993,"L=",AY993,"B=",AZ993)</f>
        <v>MACOVITZ T=1D=0R=0M=0L=1B=0</v>
      </c>
      <c r="G993" s="0" t="s">
        <v>619</v>
      </c>
      <c r="I993" s="0" t="s">
        <v>4854</v>
      </c>
      <c r="J993" s="0" t="s">
        <v>977</v>
      </c>
      <c r="K993" s="0" t="s">
        <v>175</v>
      </c>
      <c r="L993" s="0"/>
      <c r="M993" s="0" t="s">
        <v>4855</v>
      </c>
      <c r="N993" s="0" t="str">
        <f aca="false">RIGHT(M993,LEN(M993)-FIND(" ",M993))</f>
        <v>FREEMAN ST NW</v>
      </c>
      <c r="P993" s="0" t="s">
        <v>146</v>
      </c>
      <c r="Q993" s="0" t="s">
        <v>147</v>
      </c>
      <c r="R993" s="0" t="n">
        <v>44483</v>
      </c>
      <c r="AD993" s="0" t="s">
        <v>148</v>
      </c>
      <c r="AE993" s="0" t="s">
        <v>149</v>
      </c>
      <c r="AF993" s="0" t="s">
        <v>150</v>
      </c>
      <c r="AH993" s="0" t="n">
        <v>14</v>
      </c>
      <c r="AI993" s="0" t="n">
        <v>11</v>
      </c>
      <c r="AN993" s="0" t="s">
        <v>146</v>
      </c>
      <c r="AO993" s="0" t="s">
        <v>151</v>
      </c>
      <c r="AP993" s="0" t="s">
        <v>152</v>
      </c>
      <c r="AQ993" s="0" t="n">
        <v>9</v>
      </c>
      <c r="AR993" s="0" t="n">
        <v>64</v>
      </c>
      <c r="AS993" s="0" t="n">
        <v>32</v>
      </c>
      <c r="AU993" s="0" t="n">
        <f aca="false">COUNTA($BA$1284:$EH$1284)</f>
        <v>1</v>
      </c>
      <c r="AV993" s="0" t="n">
        <f aca="false">COUNTIF($BA$1284:$EH$1284,"D")</f>
        <v>0</v>
      </c>
      <c r="AW993" s="0" t="n">
        <f aca="false">COUNTIF($BA$1284:$EH$1284,"R")</f>
        <v>0</v>
      </c>
      <c r="AX993" s="0" t="n">
        <f aca="false"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>0</v>
      </c>
      <c r="AY993" s="0" t="n">
        <f aca="false">COUNTIF(DU993:EH993, "&lt;&gt;")</f>
        <v>1</v>
      </c>
      <c r="AZ993" s="0" t="n">
        <f aca="false">IF(EH993&lt;&gt;"",1,0)</f>
        <v>0</v>
      </c>
      <c r="BB993" s="0" t="s">
        <v>153</v>
      </c>
      <c r="BH993" s="0" t="s">
        <v>154</v>
      </c>
      <c r="BJ993" s="0" t="s">
        <v>154</v>
      </c>
      <c r="BK993" s="0" t="s">
        <v>176</v>
      </c>
      <c r="BL993" s="0" t="s">
        <v>154</v>
      </c>
      <c r="BN993" s="0" t="s">
        <v>154</v>
      </c>
      <c r="BP993" s="0" t="s">
        <v>154</v>
      </c>
      <c r="BS993" s="0" t="s">
        <v>154</v>
      </c>
      <c r="BY993" s="0" t="s">
        <v>155</v>
      </c>
      <c r="CA993" s="0" t="s">
        <v>154</v>
      </c>
      <c r="CN993" s="0" t="s">
        <v>154</v>
      </c>
      <c r="CP993" s="0" t="s">
        <v>154</v>
      </c>
      <c r="DC993" s="0" t="s">
        <v>154</v>
      </c>
      <c r="DL993" s="0" t="s">
        <v>154</v>
      </c>
      <c r="DN993" s="0" t="s">
        <v>154</v>
      </c>
      <c r="DU993" s="0" t="s">
        <v>154</v>
      </c>
    </row>
    <row r="994" customFormat="false" ht="13.8" hidden="true" customHeight="false" outlineLevel="0" collapsed="false">
      <c r="A994" s="0" t="s">
        <v>4856</v>
      </c>
      <c r="B994" s="0" t="n">
        <v>78</v>
      </c>
      <c r="C994" s="0" t="n">
        <v>315298</v>
      </c>
      <c r="D994" s="0" t="s">
        <v>4857</v>
      </c>
      <c r="E994" s="0" t="s">
        <v>1131</v>
      </c>
      <c r="F994" s="0" t="str">
        <f aca="false">CONCATENATE(D994," ",LEFT(H994,4),"T=",AU994,"D=",AV994,"R=",AW994,"M=",AX994,"L=",AY994,"B=",AZ994)</f>
        <v>GASKILL T=4D=0R=0M=0L=0B=0</v>
      </c>
      <c r="G994" s="0" t="s">
        <v>241</v>
      </c>
      <c r="I994" s="0" t="s">
        <v>4858</v>
      </c>
      <c r="J994" s="0" t="s">
        <v>757</v>
      </c>
      <c r="K994" s="0" t="s">
        <v>175</v>
      </c>
      <c r="L994" s="0"/>
      <c r="M994" s="0" t="s">
        <v>4859</v>
      </c>
      <c r="N994" s="0" t="str">
        <f aca="false">RIGHT(M994,LEN(M994)-FIND(" ",M994))</f>
        <v>FREEMAN ST NW</v>
      </c>
      <c r="P994" s="0" t="s">
        <v>146</v>
      </c>
      <c r="Q994" s="0" t="s">
        <v>147</v>
      </c>
      <c r="R994" s="0" t="n">
        <v>44483</v>
      </c>
      <c r="AD994" s="0" t="s">
        <v>148</v>
      </c>
      <c r="AE994" s="0" t="s">
        <v>149</v>
      </c>
      <c r="AF994" s="0" t="s">
        <v>150</v>
      </c>
      <c r="AH994" s="0" t="n">
        <v>14</v>
      </c>
      <c r="AI994" s="0" t="n">
        <v>11</v>
      </c>
      <c r="AN994" s="0" t="s">
        <v>146</v>
      </c>
      <c r="AO994" s="0" t="s">
        <v>151</v>
      </c>
      <c r="AP994" s="0" t="s">
        <v>152</v>
      </c>
      <c r="AQ994" s="0" t="n">
        <v>9</v>
      </c>
      <c r="AR994" s="0" t="n">
        <v>64</v>
      </c>
      <c r="AS994" s="0" t="n">
        <v>32</v>
      </c>
      <c r="AU994" s="0" t="n">
        <f aca="false">COUNTA($BA$1434:$EH$1434)</f>
        <v>4</v>
      </c>
      <c r="AV994" s="0" t="n">
        <f aca="false">COUNTIF($BA$1434:$EH$1434,"D")</f>
        <v>0</v>
      </c>
      <c r="AW994" s="0" t="n">
        <f aca="false">COUNTIF($BA$1434:$EH$1434,"R")</f>
        <v>0</v>
      </c>
      <c r="AX994" s="0" t="n">
        <f aca="false"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>0</v>
      </c>
      <c r="AY994" s="0" t="n">
        <f aca="false">COUNTIF(DU994:EH994, "&lt;&gt;")</f>
        <v>0</v>
      </c>
      <c r="AZ994" s="0" t="n">
        <f aca="false">IF(EH994&lt;&gt;"",1,0)</f>
        <v>0</v>
      </c>
      <c r="BB994" s="0" t="s">
        <v>153</v>
      </c>
      <c r="CA994" s="0" t="s">
        <v>154</v>
      </c>
      <c r="CK994" s="0" t="s">
        <v>154</v>
      </c>
    </row>
    <row r="995" customFormat="false" ht="13.8" hidden="true" customHeight="false" outlineLevel="0" collapsed="false">
      <c r="A995" s="0" t="s">
        <v>4860</v>
      </c>
      <c r="B995" s="0" t="n">
        <v>78</v>
      </c>
      <c r="C995" s="0" t="n">
        <v>409298</v>
      </c>
      <c r="D995" s="0" t="s">
        <v>4861</v>
      </c>
      <c r="E995" s="0" t="s">
        <v>4862</v>
      </c>
      <c r="F995" s="0" t="str">
        <f aca="false">CONCATENATE(D995," ",LEFT(H995,4),"T=",AU995,"D=",AV995,"R=",AW995,"M=",AX995,"L=",AY995,"B=",AZ995)</f>
        <v>DOTSON T=7D=0R=0M=0L=0B=0</v>
      </c>
      <c r="G995" s="0" t="s">
        <v>297</v>
      </c>
      <c r="I995" s="0" t="s">
        <v>4863</v>
      </c>
      <c r="J995" s="0" t="s">
        <v>4864</v>
      </c>
      <c r="K995" s="0" t="s">
        <v>175</v>
      </c>
      <c r="L995" s="0"/>
      <c r="M995" s="0" t="s">
        <v>4859</v>
      </c>
      <c r="N995" s="0" t="str">
        <f aca="false">RIGHT(M995,LEN(M995)-FIND(" ",M995))</f>
        <v>FREEMAN ST NW</v>
      </c>
      <c r="P995" s="0" t="s">
        <v>146</v>
      </c>
      <c r="Q995" s="0" t="s">
        <v>147</v>
      </c>
      <c r="R995" s="0" t="n">
        <v>44483</v>
      </c>
      <c r="AD995" s="0" t="s">
        <v>148</v>
      </c>
      <c r="AE995" s="0" t="s">
        <v>149</v>
      </c>
      <c r="AF995" s="0" t="s">
        <v>150</v>
      </c>
      <c r="AH995" s="0" t="n">
        <v>14</v>
      </c>
      <c r="AI995" s="0" t="n">
        <v>11</v>
      </c>
      <c r="AN995" s="0" t="s">
        <v>146</v>
      </c>
      <c r="AO995" s="0" t="s">
        <v>151</v>
      </c>
      <c r="AP995" s="0" t="s">
        <v>152</v>
      </c>
      <c r="AQ995" s="0" t="n">
        <v>9</v>
      </c>
      <c r="AR995" s="0" t="n">
        <v>64</v>
      </c>
      <c r="AS995" s="0" t="n">
        <v>32</v>
      </c>
      <c r="AU995" s="0" t="n">
        <f aca="false">COUNTA($BA$1576:$EH$1576)</f>
        <v>7</v>
      </c>
      <c r="AV995" s="0" t="n">
        <f aca="false">COUNTIF($BA$1576:$EH$1576,"D")</f>
        <v>0</v>
      </c>
      <c r="AW995" s="0" t="n">
        <f aca="false">COUNTIF($BA$1576:$EH$1576,"R")</f>
        <v>0</v>
      </c>
      <c r="AX995" s="0" t="n">
        <f aca="false"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>0</v>
      </c>
      <c r="AY995" s="0" t="n">
        <f aca="false">COUNTIF(DU995:EH995, "&lt;&gt;")</f>
        <v>0</v>
      </c>
      <c r="AZ995" s="0" t="n">
        <f aca="false">IF(EH995&lt;&gt;"",1,0)</f>
        <v>0</v>
      </c>
      <c r="BB995" s="0" t="s">
        <v>153</v>
      </c>
      <c r="DN995" s="0" t="s">
        <v>154</v>
      </c>
    </row>
    <row r="996" customFormat="false" ht="13.8" hidden="true" customHeight="false" outlineLevel="0" collapsed="false">
      <c r="A996" s="0" t="s">
        <v>4865</v>
      </c>
      <c r="B996" s="0" t="n">
        <v>78</v>
      </c>
      <c r="C996" s="0" t="n">
        <v>158607</v>
      </c>
      <c r="D996" s="0" t="s">
        <v>404</v>
      </c>
      <c r="E996" s="0" t="s">
        <v>4866</v>
      </c>
      <c r="F996" s="0" t="str">
        <f aca="false">CONCATENATE(D996," ",LEFT(H996,4),"T=",AU996,"D=",AV996,"R=",AW996,"M=",AX996,"L=",AY996,"B=",AZ996)</f>
        <v>CLARK T=1D=0R=0M=0L=0B=0</v>
      </c>
      <c r="I996" s="0" t="s">
        <v>4867</v>
      </c>
      <c r="J996" s="0" t="s">
        <v>4868</v>
      </c>
      <c r="K996" s="0" t="s">
        <v>144</v>
      </c>
      <c r="L996" s="0"/>
      <c r="M996" s="0" t="s">
        <v>4869</v>
      </c>
      <c r="N996" s="0" t="str">
        <f aca="false">RIGHT(M996,LEN(M996)-FIND(" ",M996))</f>
        <v>FREEMAN ST NW</v>
      </c>
      <c r="P996" s="0" t="s">
        <v>146</v>
      </c>
      <c r="Q996" s="0" t="s">
        <v>147</v>
      </c>
      <c r="R996" s="0" t="n">
        <v>44483</v>
      </c>
      <c r="AD996" s="0" t="s">
        <v>148</v>
      </c>
      <c r="AE996" s="0" t="s">
        <v>149</v>
      </c>
      <c r="AF996" s="0" t="s">
        <v>150</v>
      </c>
      <c r="AH996" s="0" t="n">
        <v>14</v>
      </c>
      <c r="AI996" s="0" t="n">
        <v>11</v>
      </c>
      <c r="AN996" s="0" t="s">
        <v>146</v>
      </c>
      <c r="AO996" s="0" t="s">
        <v>151</v>
      </c>
      <c r="AP996" s="0" t="s">
        <v>152</v>
      </c>
      <c r="AQ996" s="0" t="n">
        <v>9</v>
      </c>
      <c r="AR996" s="0" t="n">
        <v>64</v>
      </c>
      <c r="AS996" s="0" t="n">
        <v>32</v>
      </c>
      <c r="AU996" s="0" t="n">
        <f aca="false">COUNTA($BA$1567:$EH$1567)</f>
        <v>1</v>
      </c>
      <c r="AV996" s="0" t="n">
        <f aca="false">COUNTIF($BA$1567:$EH$1567,"D")</f>
        <v>0</v>
      </c>
      <c r="AW996" s="0" t="n">
        <f aca="false">COUNTIF($BA$1567:$EH$1567,"R")</f>
        <v>0</v>
      </c>
      <c r="AX996" s="0" t="n">
        <f aca="false"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>0</v>
      </c>
      <c r="AY996" s="0" t="n">
        <f aca="false">COUNTIF(DU996:EH996, "&lt;&gt;")</f>
        <v>0</v>
      </c>
      <c r="AZ996" s="0" t="n">
        <f aca="false">IF(EH996&lt;&gt;"",1,0)</f>
        <v>0</v>
      </c>
      <c r="BB996" s="0" t="s">
        <v>153</v>
      </c>
      <c r="BC996" s="0" t="s">
        <v>154</v>
      </c>
      <c r="BD996" s="0" t="s">
        <v>154</v>
      </c>
      <c r="BH996" s="0" t="s">
        <v>154</v>
      </c>
      <c r="BJ996" s="0" t="s">
        <v>154</v>
      </c>
      <c r="BL996" s="0" t="s">
        <v>154</v>
      </c>
      <c r="BP996" s="0" t="s">
        <v>154</v>
      </c>
      <c r="BR996" s="0" t="s">
        <v>154</v>
      </c>
      <c r="BS996" s="0" t="s">
        <v>154</v>
      </c>
      <c r="BY996" s="0" t="s">
        <v>155</v>
      </c>
      <c r="CA996" s="0" t="s">
        <v>154</v>
      </c>
      <c r="CK996" s="0" t="s">
        <v>154</v>
      </c>
      <c r="CN996" s="0" t="s">
        <v>154</v>
      </c>
      <c r="CO996" s="0" t="s">
        <v>155</v>
      </c>
      <c r="CP996" s="0" t="s">
        <v>154</v>
      </c>
      <c r="CY996" s="0" t="s">
        <v>154</v>
      </c>
      <c r="CZ996" s="0" t="s">
        <v>155</v>
      </c>
      <c r="DC996" s="0" t="s">
        <v>154</v>
      </c>
      <c r="DN996" s="0" t="s">
        <v>154</v>
      </c>
    </row>
    <row r="997" customFormat="false" ht="13.8" hidden="true" customHeight="false" outlineLevel="0" collapsed="false">
      <c r="A997" s="0" t="s">
        <v>4870</v>
      </c>
      <c r="B997" s="0" t="n">
        <v>78</v>
      </c>
      <c r="C997" s="0" t="n">
        <v>394670</v>
      </c>
      <c r="D997" s="0" t="s">
        <v>4871</v>
      </c>
      <c r="E997" s="0" t="s">
        <v>474</v>
      </c>
      <c r="F997" s="0" t="str">
        <f aca="false">CONCATENATE(D997," ",LEFT(H997,4),"T=",AU997,"D=",AV997,"R=",AW997,"M=",AX997,"L=",AY997,"B=",AZ997)</f>
        <v>JACOBSEN SRT=25D=8R=0M=0L=0B=0</v>
      </c>
      <c r="G997" s="0" t="s">
        <v>139</v>
      </c>
      <c r="H997" s="0" t="s">
        <v>311</v>
      </c>
      <c r="I997" s="0" t="s">
        <v>4872</v>
      </c>
      <c r="J997" s="0" t="s">
        <v>2902</v>
      </c>
      <c r="K997" s="0" t="s">
        <v>144</v>
      </c>
      <c r="L997" s="0"/>
      <c r="M997" s="0" t="s">
        <v>4873</v>
      </c>
      <c r="N997" s="0" t="str">
        <f aca="false">RIGHT(M997,LEN(M997)-FIND(" ",M997))</f>
        <v>FREMONT AVE NE</v>
      </c>
      <c r="P997" s="0" t="s">
        <v>146</v>
      </c>
      <c r="Q997" s="0" t="s">
        <v>147</v>
      </c>
      <c r="R997" s="0" t="n">
        <v>44483</v>
      </c>
      <c r="AD997" s="0" t="s">
        <v>148</v>
      </c>
      <c r="AE997" s="0" t="s">
        <v>149</v>
      </c>
      <c r="AF997" s="0" t="s">
        <v>150</v>
      </c>
      <c r="AH997" s="0" t="n">
        <v>14</v>
      </c>
      <c r="AI997" s="0" t="n">
        <v>11</v>
      </c>
      <c r="AN997" s="0" t="s">
        <v>146</v>
      </c>
      <c r="AO997" s="0" t="s">
        <v>250</v>
      </c>
      <c r="AP997" s="0" t="s">
        <v>251</v>
      </c>
      <c r="AQ997" s="0" t="n">
        <v>9</v>
      </c>
      <c r="AR997" s="0" t="n">
        <v>64</v>
      </c>
      <c r="AS997" s="0" t="n">
        <v>32</v>
      </c>
      <c r="AU997" s="0" t="n">
        <f aca="false">COUNTA($BA$2218:$EH$2218)</f>
        <v>25</v>
      </c>
      <c r="AV997" s="0" t="n">
        <f aca="false">COUNTIF($BA$2218:$EH$2218,"D")</f>
        <v>8</v>
      </c>
      <c r="AW997" s="0" t="n">
        <f aca="false">COUNTIF($BA$2218:$EH$2218,"R")</f>
        <v>0</v>
      </c>
      <c r="AX997" s="0" t="n">
        <f aca="false"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>0</v>
      </c>
      <c r="AY997" s="0" t="n">
        <f aca="false">COUNTIF(DU997:EH997, "&lt;&gt;")</f>
        <v>0</v>
      </c>
      <c r="AZ997" s="0" t="n">
        <f aca="false">IF(EH997&lt;&gt;"",1,0)</f>
        <v>0</v>
      </c>
      <c r="BB997" s="0" t="s">
        <v>153</v>
      </c>
      <c r="CV997" s="0" t="s">
        <v>154</v>
      </c>
      <c r="CY997" s="0" t="s">
        <v>154</v>
      </c>
    </row>
    <row r="998" customFormat="false" ht="13.8" hidden="true" customHeight="false" outlineLevel="0" collapsed="false">
      <c r="A998" s="0" t="s">
        <v>4874</v>
      </c>
      <c r="B998" s="0" t="n">
        <v>78</v>
      </c>
      <c r="C998" s="0" t="n">
        <v>375047</v>
      </c>
      <c r="D998" s="0" t="s">
        <v>1011</v>
      </c>
      <c r="E998" s="0" t="s">
        <v>4875</v>
      </c>
      <c r="F998" s="0" t="str">
        <f aca="false">CONCATENATE(D998," ",LEFT(H998,4),"T=",AU998,"D=",AV998,"R=",AW998,"M=",AX998,"L=",AY998,"B=",AZ998)</f>
        <v>DAVIS T=6D=0R=0M=0L=1B=0</v>
      </c>
      <c r="G998" s="0" t="s">
        <v>365</v>
      </c>
      <c r="I998" s="0" t="s">
        <v>356</v>
      </c>
      <c r="J998" s="0" t="s">
        <v>4876</v>
      </c>
      <c r="K998" s="0" t="s">
        <v>175</v>
      </c>
      <c r="L998" s="0"/>
      <c r="M998" s="0" t="s">
        <v>4877</v>
      </c>
      <c r="N998" s="0" t="str">
        <f aca="false">RIGHT(M998,LEN(M998)-FIND(" ",M998))</f>
        <v>FREMONT AVE NE</v>
      </c>
      <c r="P998" s="0" t="s">
        <v>146</v>
      </c>
      <c r="Q998" s="0" t="s">
        <v>147</v>
      </c>
      <c r="R998" s="0" t="n">
        <v>44483</v>
      </c>
      <c r="AD998" s="0" t="s">
        <v>148</v>
      </c>
      <c r="AE998" s="0" t="s">
        <v>149</v>
      </c>
      <c r="AF998" s="0" t="s">
        <v>150</v>
      </c>
      <c r="AH998" s="0" t="n">
        <v>14</v>
      </c>
      <c r="AI998" s="0" t="n">
        <v>11</v>
      </c>
      <c r="AN998" s="0" t="s">
        <v>146</v>
      </c>
      <c r="AO998" s="0" t="s">
        <v>250</v>
      </c>
      <c r="AP998" s="0" t="s">
        <v>251</v>
      </c>
      <c r="AQ998" s="0" t="n">
        <v>9</v>
      </c>
      <c r="AR998" s="0" t="n">
        <v>64</v>
      </c>
      <c r="AS998" s="0" t="n">
        <v>32</v>
      </c>
      <c r="AU998" s="0" t="n">
        <f aca="false">COUNTA($BA$2523:$EH$2523)</f>
        <v>6</v>
      </c>
      <c r="AV998" s="0" t="n">
        <f aca="false">COUNTIF($BA$2523:$EH$2523,"D")</f>
        <v>0</v>
      </c>
      <c r="AW998" s="0" t="n">
        <f aca="false">COUNTIF($BA$2523:$EH$2523,"R")</f>
        <v>0</v>
      </c>
      <c r="AX998" s="0" t="n">
        <f aca="false"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>0</v>
      </c>
      <c r="AY998" s="0" t="n">
        <f aca="false">COUNTIF(DU998:EH998, "&lt;&gt;")</f>
        <v>1</v>
      </c>
      <c r="AZ998" s="0" t="n">
        <f aca="false">IF(EH998&lt;&gt;"",1,0)</f>
        <v>0</v>
      </c>
      <c r="BB998" s="0" t="s">
        <v>153</v>
      </c>
      <c r="BD998" s="0" t="s">
        <v>154</v>
      </c>
      <c r="BE998" s="0" t="s">
        <v>154</v>
      </c>
      <c r="BF998" s="0" t="s">
        <v>154</v>
      </c>
      <c r="BH998" s="0" t="s">
        <v>154</v>
      </c>
      <c r="BJ998" s="0" t="s">
        <v>154</v>
      </c>
      <c r="BK998" s="0" t="s">
        <v>154</v>
      </c>
      <c r="BL998" s="0" t="s">
        <v>154</v>
      </c>
      <c r="CA998" s="0" t="s">
        <v>154</v>
      </c>
      <c r="EF998" s="0" t="s">
        <v>154</v>
      </c>
    </row>
    <row r="999" customFormat="false" ht="13.8" hidden="true" customHeight="false" outlineLevel="0" collapsed="false">
      <c r="A999" s="0" t="s">
        <v>4878</v>
      </c>
      <c r="B999" s="0" t="n">
        <v>78</v>
      </c>
      <c r="C999" s="0" t="n">
        <v>426220</v>
      </c>
      <c r="D999" s="0" t="s">
        <v>1011</v>
      </c>
      <c r="E999" s="0" t="s">
        <v>208</v>
      </c>
      <c r="F999" s="0" t="str">
        <f aca="false">CONCATENATE(D999," ",LEFT(H999,4),"T=",AU999,"D=",AV999,"R=",AW999,"M=",AX999,"L=",AY999,"B=",AZ999)</f>
        <v>DAVIS T=18D=2R=0M=0L=0B=0</v>
      </c>
      <c r="I999" s="0" t="s">
        <v>4879</v>
      </c>
      <c r="J999" s="0" t="s">
        <v>4880</v>
      </c>
      <c r="K999" s="0" t="s">
        <v>144</v>
      </c>
      <c r="L999" s="0"/>
      <c r="M999" s="0" t="s">
        <v>4877</v>
      </c>
      <c r="N999" s="0" t="str">
        <f aca="false">RIGHT(M999,LEN(M999)-FIND(" ",M999))</f>
        <v>FREMONT AVE NE</v>
      </c>
      <c r="P999" s="0" t="s">
        <v>146</v>
      </c>
      <c r="Q999" s="0" t="s">
        <v>147</v>
      </c>
      <c r="R999" s="0" t="n">
        <v>44483</v>
      </c>
      <c r="AD999" s="0" t="s">
        <v>148</v>
      </c>
      <c r="AE999" s="0" t="s">
        <v>149</v>
      </c>
      <c r="AF999" s="0" t="s">
        <v>150</v>
      </c>
      <c r="AH999" s="0" t="n">
        <v>14</v>
      </c>
      <c r="AI999" s="0" t="n">
        <v>11</v>
      </c>
      <c r="AN999" s="0" t="s">
        <v>146</v>
      </c>
      <c r="AO999" s="0" t="s">
        <v>250</v>
      </c>
      <c r="AP999" s="0" t="s">
        <v>251</v>
      </c>
      <c r="AQ999" s="0" t="n">
        <v>9</v>
      </c>
      <c r="AR999" s="0" t="n">
        <v>64</v>
      </c>
      <c r="AS999" s="0" t="n">
        <v>32</v>
      </c>
      <c r="AU999" s="0" t="n">
        <f aca="false">COUNTA($BA$2785:$EH$2785)</f>
        <v>18</v>
      </c>
      <c r="AV999" s="0" t="n">
        <f aca="false">COUNTIF($BA$2785:$EH$2785,"D")</f>
        <v>2</v>
      </c>
      <c r="AW999" s="0" t="n">
        <f aca="false">COUNTIF($BA$2785:$EH$2785,"R")</f>
        <v>0</v>
      </c>
      <c r="AX999" s="0" t="n">
        <f aca="false"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>0</v>
      </c>
      <c r="AY999" s="0" t="n">
        <f aca="false">COUNTIF(DU999:EH999, "&lt;&gt;")</f>
        <v>0</v>
      </c>
      <c r="AZ999" s="0" t="n">
        <f aca="false">IF(EH999&lt;&gt;"",1,0)</f>
        <v>0</v>
      </c>
      <c r="BB999" s="0" t="s">
        <v>153</v>
      </c>
      <c r="BD999" s="0" t="s">
        <v>154</v>
      </c>
      <c r="BE999" s="0" t="s">
        <v>154</v>
      </c>
      <c r="BF999" s="0" t="s">
        <v>154</v>
      </c>
      <c r="BH999" s="0" t="s">
        <v>154</v>
      </c>
      <c r="BJ999" s="0" t="s">
        <v>154</v>
      </c>
      <c r="BK999" s="0" t="s">
        <v>154</v>
      </c>
      <c r="BL999" s="0" t="s">
        <v>154</v>
      </c>
    </row>
    <row r="1000" customFormat="false" ht="13.8" hidden="true" customHeight="false" outlineLevel="0" collapsed="false">
      <c r="A1000" s="0" t="s">
        <v>4881</v>
      </c>
      <c r="B1000" s="0" t="n">
        <v>78</v>
      </c>
      <c r="C1000" s="0" t="n">
        <v>412119</v>
      </c>
      <c r="D1000" s="0" t="s">
        <v>4882</v>
      </c>
      <c r="E1000" s="0" t="s">
        <v>4883</v>
      </c>
      <c r="F1000" s="0" t="str">
        <f aca="false">CONCATENATE(D1000," ",LEFT(H1000,4),"T=",AU1000,"D=",AV1000,"R=",AW1000,"M=",AX1000,"L=",AY1000,"B=",AZ1000)</f>
        <v>MCCAIN SRT=4D=0R=0M=0L=1B=0</v>
      </c>
      <c r="G1000" s="0" t="s">
        <v>597</v>
      </c>
      <c r="H1000" s="0" t="s">
        <v>311</v>
      </c>
      <c r="I1000" s="0" t="s">
        <v>4884</v>
      </c>
      <c r="J1000" s="0" t="s">
        <v>1755</v>
      </c>
      <c r="K1000" s="0" t="s">
        <v>175</v>
      </c>
      <c r="L1000" s="0"/>
      <c r="M1000" s="0" t="s">
        <v>4885</v>
      </c>
      <c r="N1000" s="0" t="str">
        <f aca="false">RIGHT(M1000,LEN(M1000)-FIND(" ",M1000))</f>
        <v>GENOA AVE NW</v>
      </c>
      <c r="P1000" s="0" t="s">
        <v>146</v>
      </c>
      <c r="Q1000" s="0" t="s">
        <v>147</v>
      </c>
      <c r="R1000" s="0" t="n">
        <v>44483</v>
      </c>
      <c r="AD1000" s="0" t="s">
        <v>148</v>
      </c>
      <c r="AE1000" s="0" t="s">
        <v>149</v>
      </c>
      <c r="AF1000" s="0" t="s">
        <v>150</v>
      </c>
      <c r="AH1000" s="0" t="n">
        <v>14</v>
      </c>
      <c r="AI1000" s="0" t="n">
        <v>11</v>
      </c>
      <c r="AN1000" s="0" t="s">
        <v>146</v>
      </c>
      <c r="AO1000" s="0" t="s">
        <v>250</v>
      </c>
      <c r="AP1000" s="0" t="s">
        <v>251</v>
      </c>
      <c r="AQ1000" s="0" t="n">
        <v>9</v>
      </c>
      <c r="AR1000" s="0" t="n">
        <v>64</v>
      </c>
      <c r="AS1000" s="0" t="n">
        <v>32</v>
      </c>
      <c r="AU1000" s="0" t="n">
        <f aca="false">COUNTA($BA$2106:$EH$2106)</f>
        <v>4</v>
      </c>
      <c r="AV1000" s="0" t="n">
        <f aca="false">COUNTIF($BA$2106:$EH$2106,"D")</f>
        <v>0</v>
      </c>
      <c r="AW1000" s="0" t="n">
        <f aca="false">COUNTIF($BA$2106:$EH$2106,"R")</f>
        <v>0</v>
      </c>
      <c r="AX1000" s="0" t="n">
        <f aca="false"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>0</v>
      </c>
      <c r="AY1000" s="0" t="n">
        <f aca="false">COUNTIF(DU1000:EH1000, "&lt;&gt;")</f>
        <v>1</v>
      </c>
      <c r="AZ1000" s="0" t="n">
        <f aca="false">IF(EH1000&lt;&gt;"",1,0)</f>
        <v>0</v>
      </c>
      <c r="BB1000" s="0" t="s">
        <v>153</v>
      </c>
      <c r="CZ1000" s="0" t="s">
        <v>155</v>
      </c>
      <c r="DN1000" s="0" t="s">
        <v>154</v>
      </c>
      <c r="EF1000" s="0" t="s">
        <v>154</v>
      </c>
    </row>
    <row r="1001" customFormat="false" ht="13.8" hidden="true" customHeight="false" outlineLevel="0" collapsed="false">
      <c r="A1001" s="0" t="s">
        <v>4886</v>
      </c>
      <c r="B1001" s="0" t="n">
        <v>78</v>
      </c>
      <c r="C1001" s="0" t="n">
        <v>296046</v>
      </c>
      <c r="D1001" s="0" t="s">
        <v>4887</v>
      </c>
      <c r="E1001" s="0" t="s">
        <v>4888</v>
      </c>
      <c r="F1001" s="0" t="str">
        <f aca="false">CONCATENATE(D1001," ",LEFT(H1001,4),"T=",AU1001,"D=",AV1001,"R=",AW1001,"M=",AX1001,"L=",AY1001,"B=",AZ1001)</f>
        <v>PERKINS T=1D=0R=0M=0L=0B=0</v>
      </c>
      <c r="G1001" s="0" t="s">
        <v>297</v>
      </c>
      <c r="I1001" s="0" t="s">
        <v>4889</v>
      </c>
      <c r="J1001" s="0" t="s">
        <v>4890</v>
      </c>
      <c r="K1001" s="0" t="s">
        <v>144</v>
      </c>
      <c r="L1001" s="0"/>
      <c r="M1001" s="0" t="s">
        <v>4891</v>
      </c>
      <c r="N1001" s="0" t="str">
        <f aca="false">RIGHT(M1001,LEN(M1001)-FIND(" ",M1001))</f>
        <v>GENOA AVE NW</v>
      </c>
      <c r="P1001" s="0" t="s">
        <v>146</v>
      </c>
      <c r="Q1001" s="0" t="s">
        <v>147</v>
      </c>
      <c r="R1001" s="0" t="n">
        <v>44483</v>
      </c>
      <c r="AD1001" s="0" t="s">
        <v>148</v>
      </c>
      <c r="AE1001" s="0" t="s">
        <v>149</v>
      </c>
      <c r="AF1001" s="0" t="s">
        <v>150</v>
      </c>
      <c r="AH1001" s="0" t="n">
        <v>14</v>
      </c>
      <c r="AI1001" s="0" t="n">
        <v>11</v>
      </c>
      <c r="AN1001" s="0" t="s">
        <v>146</v>
      </c>
      <c r="AO1001" s="0" t="s">
        <v>250</v>
      </c>
      <c r="AP1001" s="0" t="s">
        <v>251</v>
      </c>
      <c r="AQ1001" s="0" t="n">
        <v>9</v>
      </c>
      <c r="AR1001" s="0" t="n">
        <v>64</v>
      </c>
      <c r="AS1001" s="0" t="n">
        <v>32</v>
      </c>
      <c r="AU1001" s="0" t="n">
        <f aca="false">COUNTA($BA$2438:$EH$2438)</f>
        <v>1</v>
      </c>
      <c r="AV1001" s="0" t="n">
        <f aca="false">COUNTIF($BA$2438:$EH$2438,"D")</f>
        <v>0</v>
      </c>
      <c r="AW1001" s="0" t="n">
        <f aca="false">COUNTIF($BA$2438:$EH$2438,"R")</f>
        <v>0</v>
      </c>
      <c r="AX1001" s="0" t="n">
        <f aca="false"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>0</v>
      </c>
      <c r="AY1001" s="0" t="n">
        <f aca="false">COUNTIF(DU1001:EH1001, "&lt;&gt;")</f>
        <v>0</v>
      </c>
      <c r="AZ1001" s="0" t="n">
        <f aca="false">IF(EH1001&lt;&gt;"",1,0)</f>
        <v>0</v>
      </c>
      <c r="BB1001" s="0" t="s">
        <v>153</v>
      </c>
    </row>
    <row r="1002" customFormat="false" ht="13.8" hidden="false" customHeight="false" outlineLevel="0" collapsed="false">
      <c r="A1002" s="0" t="s">
        <v>4892</v>
      </c>
      <c r="B1002" s="0" t="n">
        <v>78</v>
      </c>
      <c r="C1002" s="0" t="n">
        <v>358320</v>
      </c>
      <c r="D1002" s="0" t="s">
        <v>4893</v>
      </c>
      <c r="E1002" s="0" t="s">
        <v>1916</v>
      </c>
      <c r="F1002" s="0" t="str">
        <f aca="false">CONCATENATE(D1002," ",LEFT(H1002,4),"T=",AU1002,"D=",AV1002,"R=",AW1002,"M=",AX1002,"L=",AY1002,"B=",AZ1002)</f>
        <v>RUDD T=2D=0R=0M=0L=4B=0</v>
      </c>
      <c r="G1002" s="0" t="s">
        <v>188</v>
      </c>
      <c r="I1002" s="0" t="s">
        <v>4894</v>
      </c>
      <c r="J1002" s="0" t="s">
        <v>4895</v>
      </c>
      <c r="K1002" s="0" t="s">
        <v>175</v>
      </c>
      <c r="M1002" s="0" t="s">
        <v>4896</v>
      </c>
      <c r="N1002" s="0" t="str">
        <f aca="false">RIGHT(M1002,LEN(M1002)-FIND(" ",M1002))</f>
        <v>GENOA AVE NW</v>
      </c>
      <c r="P1002" s="0" t="s">
        <v>146</v>
      </c>
      <c r="Q1002" s="0" t="s">
        <v>147</v>
      </c>
      <c r="R1002" s="0" t="n">
        <v>44483</v>
      </c>
      <c r="AD1002" s="0" t="s">
        <v>148</v>
      </c>
      <c r="AE1002" s="0" t="s">
        <v>149</v>
      </c>
      <c r="AF1002" s="0" t="s">
        <v>150</v>
      </c>
      <c r="AH1002" s="0" t="n">
        <v>14</v>
      </c>
      <c r="AI1002" s="0" t="n">
        <v>11</v>
      </c>
      <c r="AN1002" s="0" t="s">
        <v>146</v>
      </c>
      <c r="AO1002" s="0" t="s">
        <v>250</v>
      </c>
      <c r="AP1002" s="0" t="s">
        <v>251</v>
      </c>
      <c r="AQ1002" s="0" t="n">
        <v>9</v>
      </c>
      <c r="AR1002" s="0" t="n">
        <v>64</v>
      </c>
      <c r="AS1002" s="0" t="n">
        <v>32</v>
      </c>
      <c r="AU1002" s="0" t="n">
        <f aca="false">COUNTA($BA$2194:$EH$2194)</f>
        <v>2</v>
      </c>
      <c r="AV1002" s="0" t="n">
        <f aca="false">COUNTIF($BA$2194:$EH$2194,"D")</f>
        <v>0</v>
      </c>
      <c r="AW1002" s="0" t="n">
        <f aca="false">COUNTIF($BA$2194:$EH$2194,"R")</f>
        <v>0</v>
      </c>
      <c r="AX1002" s="0" t="n">
        <f aca="false"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>0</v>
      </c>
      <c r="AY1002" s="0" t="n">
        <f aca="false">COUNTIF(DU1002:EH1002, "&lt;&gt;")</f>
        <v>4</v>
      </c>
      <c r="AZ1002" s="0" t="n">
        <f aca="false">IF(EH1002&lt;&gt;"",1,0)</f>
        <v>0</v>
      </c>
      <c r="BB1002" s="0" t="s">
        <v>153</v>
      </c>
      <c r="CA1002" s="0" t="s">
        <v>154</v>
      </c>
      <c r="CG1002" s="0" t="s">
        <v>154</v>
      </c>
      <c r="CK1002" s="0" t="s">
        <v>154</v>
      </c>
      <c r="CP1002" s="0" t="s">
        <v>154</v>
      </c>
      <c r="CV1002" s="0" t="s">
        <v>154</v>
      </c>
      <c r="CY1002" s="0" t="s">
        <v>154</v>
      </c>
      <c r="CZ1002" s="0" t="s">
        <v>176</v>
      </c>
      <c r="DC1002" s="0" t="s">
        <v>154</v>
      </c>
      <c r="DF1002" s="0" t="s">
        <v>154</v>
      </c>
      <c r="DI1002" s="0" t="s">
        <v>154</v>
      </c>
      <c r="DN1002" s="0" t="s">
        <v>154</v>
      </c>
      <c r="DU1002" s="0" t="s">
        <v>154</v>
      </c>
      <c r="DX1002" s="0" t="s">
        <v>154</v>
      </c>
      <c r="EA1002" s="0" t="s">
        <v>154</v>
      </c>
      <c r="EF1002" s="0" t="s">
        <v>154</v>
      </c>
    </row>
    <row r="1003" customFormat="false" ht="13.8" hidden="false" customHeight="false" outlineLevel="0" collapsed="false">
      <c r="A1003" s="0" t="s">
        <v>4897</v>
      </c>
      <c r="B1003" s="0" t="n">
        <v>78</v>
      </c>
      <c r="C1003" s="0" t="n">
        <v>28064</v>
      </c>
      <c r="D1003" s="0" t="s">
        <v>4898</v>
      </c>
      <c r="E1003" s="0" t="s">
        <v>4899</v>
      </c>
      <c r="F1003" s="0" t="str">
        <f aca="false">CONCATENATE(D1003," ",LEFT(H1003,4),"T=",AU1003,"D=",AV1003,"R=",AW1003,"M=",AX1003,"L=",AY1003,"B=",AZ1003)</f>
        <v>ELLIS T=5D=1R=0M=6L=7B=1</v>
      </c>
      <c r="G1003" s="0" t="s">
        <v>188</v>
      </c>
      <c r="I1003" s="0" t="s">
        <v>4900</v>
      </c>
      <c r="J1003" s="0" t="s">
        <v>4901</v>
      </c>
      <c r="K1003" s="0" t="s">
        <v>175</v>
      </c>
      <c r="L1003" s="1" t="s">
        <v>155</v>
      </c>
      <c r="M1003" s="0" t="s">
        <v>4902</v>
      </c>
      <c r="N1003" s="0" t="str">
        <f aca="false">RIGHT(M1003,LEN(M1003)-FIND(" ",M1003))</f>
        <v>GENOA AVE NW</v>
      </c>
      <c r="P1003" s="0" t="s">
        <v>146</v>
      </c>
      <c r="Q1003" s="0" t="s">
        <v>147</v>
      </c>
      <c r="R1003" s="0" t="n">
        <v>44483</v>
      </c>
      <c r="AD1003" s="0" t="s">
        <v>148</v>
      </c>
      <c r="AE1003" s="0" t="s">
        <v>149</v>
      </c>
      <c r="AF1003" s="0" t="s">
        <v>150</v>
      </c>
      <c r="AH1003" s="0" t="n">
        <v>14</v>
      </c>
      <c r="AI1003" s="0" t="n">
        <v>11</v>
      </c>
      <c r="AN1003" s="0" t="s">
        <v>146</v>
      </c>
      <c r="AO1003" s="0" t="s">
        <v>250</v>
      </c>
      <c r="AP1003" s="0" t="s">
        <v>251</v>
      </c>
      <c r="AQ1003" s="0" t="n">
        <v>9</v>
      </c>
      <c r="AR1003" s="0" t="n">
        <v>64</v>
      </c>
      <c r="AS1003" s="0" t="n">
        <v>32</v>
      </c>
      <c r="AU1003" s="0" t="n">
        <f aca="false">COUNTA($BA$2190:$EH$2190)</f>
        <v>5</v>
      </c>
      <c r="AV1003" s="0" t="n">
        <f aca="false">COUNTIF($BA$2190:$EH$2190,"D")</f>
        <v>1</v>
      </c>
      <c r="AW1003" s="0" t="n">
        <f aca="false">COUNTIF($BA$2190:$EH$2190,"R")</f>
        <v>0</v>
      </c>
      <c r="AX1003" s="0" t="n">
        <f aca="false"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>6</v>
      </c>
      <c r="AY1003" s="0" t="n">
        <f aca="false">COUNTIF(DU1003:EH1003, "&lt;&gt;")</f>
        <v>7</v>
      </c>
      <c r="AZ1003" s="0" t="n">
        <f aca="false">IF(EH1003&lt;&gt;"",1,0)</f>
        <v>1</v>
      </c>
      <c r="BB1003" s="0" t="s">
        <v>153</v>
      </c>
      <c r="BC1003" s="0" t="s">
        <v>154</v>
      </c>
      <c r="BD1003" s="0" t="s">
        <v>154</v>
      </c>
      <c r="BE1003" s="0" t="s">
        <v>154</v>
      </c>
      <c r="BF1003" s="0" t="s">
        <v>154</v>
      </c>
      <c r="BG1003" s="0" t="s">
        <v>154</v>
      </c>
      <c r="BH1003" s="0" t="s">
        <v>154</v>
      </c>
      <c r="BI1003" s="0" t="s">
        <v>154</v>
      </c>
      <c r="BJ1003" s="0" t="s">
        <v>154</v>
      </c>
      <c r="BK1003" s="0" t="s">
        <v>154</v>
      </c>
      <c r="BL1003" s="0" t="s">
        <v>154</v>
      </c>
      <c r="BP1003" s="0" t="s">
        <v>154</v>
      </c>
      <c r="BS1003" s="0" t="s">
        <v>154</v>
      </c>
      <c r="BV1003" s="0" t="s">
        <v>154</v>
      </c>
      <c r="BY1003" s="0" t="s">
        <v>155</v>
      </c>
      <c r="CA1003" s="0" t="s">
        <v>154</v>
      </c>
      <c r="CG1003" s="0" t="s">
        <v>154</v>
      </c>
      <c r="CH1003" s="0" t="s">
        <v>155</v>
      </c>
      <c r="CK1003" s="0" t="s">
        <v>154</v>
      </c>
      <c r="CL1003" s="0" t="s">
        <v>155</v>
      </c>
      <c r="CN1003" s="0" t="s">
        <v>154</v>
      </c>
      <c r="CO1003" s="0" t="s">
        <v>155</v>
      </c>
      <c r="CP1003" s="0" t="s">
        <v>154</v>
      </c>
      <c r="CT1003" s="0" t="s">
        <v>154</v>
      </c>
      <c r="CU1003" s="0" t="s">
        <v>155</v>
      </c>
      <c r="CV1003" s="0" t="s">
        <v>154</v>
      </c>
      <c r="CY1003" s="0" t="s">
        <v>154</v>
      </c>
      <c r="CZ1003" s="0" t="s">
        <v>155</v>
      </c>
      <c r="DC1003" s="0" t="s">
        <v>154</v>
      </c>
      <c r="DD1003" s="0" t="s">
        <v>155</v>
      </c>
      <c r="DG1003" s="0" t="s">
        <v>155</v>
      </c>
      <c r="DI1003" s="0" t="s">
        <v>154</v>
      </c>
      <c r="DJ1003" s="0" t="s">
        <v>155</v>
      </c>
      <c r="DL1003" s="0" t="s">
        <v>154</v>
      </c>
      <c r="DM1003" s="0" t="s">
        <v>155</v>
      </c>
      <c r="DN1003" s="0" t="s">
        <v>154</v>
      </c>
      <c r="DO1003" s="0" t="s">
        <v>155</v>
      </c>
      <c r="DR1003" s="0" t="s">
        <v>154</v>
      </c>
      <c r="DS1003" s="0" t="s">
        <v>155</v>
      </c>
      <c r="DT1003" s="0" t="s">
        <v>155</v>
      </c>
      <c r="DU1003" s="0" t="s">
        <v>154</v>
      </c>
      <c r="DW1003" s="0" t="s">
        <v>155</v>
      </c>
      <c r="DX1003" s="0" t="s">
        <v>154</v>
      </c>
      <c r="EA1003" s="0" t="s">
        <v>154</v>
      </c>
      <c r="ED1003" s="0" t="s">
        <v>155</v>
      </c>
      <c r="EF1003" s="0" t="s">
        <v>154</v>
      </c>
      <c r="EH1003" s="0" t="s">
        <v>155</v>
      </c>
    </row>
    <row r="1004" customFormat="false" ht="13.8" hidden="true" customHeight="false" outlineLevel="0" collapsed="false">
      <c r="A1004" s="0" t="s">
        <v>4903</v>
      </c>
      <c r="B1004" s="0" t="n">
        <v>78</v>
      </c>
      <c r="C1004" s="0" t="n">
        <v>283584</v>
      </c>
      <c r="D1004" s="0" t="s">
        <v>4898</v>
      </c>
      <c r="E1004" s="0" t="s">
        <v>4904</v>
      </c>
      <c r="F1004" s="0" t="str">
        <f aca="false">CONCATENATE(D1004," ",LEFT(H1004,4),"T=",AU1004,"D=",AV1004,"R=",AW1004,"M=",AX1004,"L=",AY1004,"B=",AZ1004)</f>
        <v>ELLIS T=3D=0R=0M=0L=1B=0</v>
      </c>
      <c r="G1004" s="0" t="s">
        <v>514</v>
      </c>
      <c r="I1004" s="0" t="s">
        <v>4905</v>
      </c>
      <c r="J1004" s="0" t="s">
        <v>4906</v>
      </c>
      <c r="K1004" s="0" t="s">
        <v>175</v>
      </c>
      <c r="L1004" s="0"/>
      <c r="M1004" s="0" t="s">
        <v>4902</v>
      </c>
      <c r="N1004" s="0" t="str">
        <f aca="false">RIGHT(M1004,LEN(M1004)-FIND(" ",M1004))</f>
        <v>GENOA AVE NW</v>
      </c>
      <c r="P1004" s="0" t="s">
        <v>146</v>
      </c>
      <c r="Q1004" s="0" t="s">
        <v>147</v>
      </c>
      <c r="R1004" s="0" t="n">
        <v>44483</v>
      </c>
      <c r="AD1004" s="0" t="s">
        <v>148</v>
      </c>
      <c r="AE1004" s="0" t="s">
        <v>149</v>
      </c>
      <c r="AF1004" s="0" t="s">
        <v>150</v>
      </c>
      <c r="AH1004" s="0" t="n">
        <v>14</v>
      </c>
      <c r="AI1004" s="0" t="n">
        <v>11</v>
      </c>
      <c r="AN1004" s="0" t="s">
        <v>146</v>
      </c>
      <c r="AO1004" s="0" t="s">
        <v>250</v>
      </c>
      <c r="AP1004" s="0" t="s">
        <v>251</v>
      </c>
      <c r="AQ1004" s="0" t="n">
        <v>9</v>
      </c>
      <c r="AR1004" s="0" t="n">
        <v>64</v>
      </c>
      <c r="AS1004" s="0" t="n">
        <v>32</v>
      </c>
      <c r="AU1004" s="0" t="n">
        <f aca="false">COUNTA($BA$2191:$EH$2191)</f>
        <v>3</v>
      </c>
      <c r="AV1004" s="0" t="n">
        <f aca="false">COUNTIF($BA$2191:$EH$2191,"D")</f>
        <v>0</v>
      </c>
      <c r="AW1004" s="0" t="n">
        <f aca="false">COUNTIF($BA$2191:$EH$2191,"R")</f>
        <v>0</v>
      </c>
      <c r="AX1004" s="0" t="n">
        <f aca="false"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>0</v>
      </c>
      <c r="AY1004" s="0" t="n">
        <f aca="false">COUNTIF(DU1004:EH1004, "&lt;&gt;")</f>
        <v>1</v>
      </c>
      <c r="AZ1004" s="0" t="n">
        <f aca="false">IF(EH1004&lt;&gt;"",1,0)</f>
        <v>0</v>
      </c>
      <c r="BB1004" s="0" t="s">
        <v>153</v>
      </c>
      <c r="BD1004" s="0" t="s">
        <v>154</v>
      </c>
      <c r="BK1004" s="0" t="s">
        <v>154</v>
      </c>
      <c r="BL1004" s="0" t="s">
        <v>154</v>
      </c>
      <c r="BS1004" s="0" t="s">
        <v>154</v>
      </c>
      <c r="BY1004" s="0" t="s">
        <v>155</v>
      </c>
      <c r="CA1004" s="0" t="s">
        <v>154</v>
      </c>
      <c r="CK1004" s="0" t="s">
        <v>154</v>
      </c>
      <c r="CN1004" s="0" t="s">
        <v>154</v>
      </c>
      <c r="CP1004" s="0" t="s">
        <v>154</v>
      </c>
      <c r="CV1004" s="0" t="s">
        <v>154</v>
      </c>
      <c r="CY1004" s="0" t="s">
        <v>154</v>
      </c>
      <c r="DC1004" s="0" t="s">
        <v>154</v>
      </c>
      <c r="DF1004" s="0" t="s">
        <v>154</v>
      </c>
      <c r="DI1004" s="0" t="s">
        <v>154</v>
      </c>
      <c r="DN1004" s="0" t="s">
        <v>154</v>
      </c>
      <c r="EF1004" s="0" t="s">
        <v>154</v>
      </c>
    </row>
    <row r="1005" customFormat="false" ht="13.8" hidden="true" customHeight="false" outlineLevel="0" collapsed="false">
      <c r="A1005" s="0" t="s">
        <v>4907</v>
      </c>
      <c r="B1005" s="0" t="n">
        <v>78</v>
      </c>
      <c r="C1005" s="0" t="n">
        <v>417406</v>
      </c>
      <c r="D1005" s="0" t="s">
        <v>645</v>
      </c>
      <c r="E1005" s="0" t="s">
        <v>4570</v>
      </c>
      <c r="F1005" s="0" t="str">
        <f aca="false">CONCATENATE(D1005," ",LEFT(H1005,4),"T=",AU1005,"D=",AV1005,"R=",AW1005,"M=",AX1005,"L=",AY1005,"B=",AZ1005)</f>
        <v>WILLIAMS T=2D=0R=0M=0L=0B=0</v>
      </c>
      <c r="G1005" s="0" t="s">
        <v>496</v>
      </c>
      <c r="I1005" s="0" t="s">
        <v>4908</v>
      </c>
      <c r="J1005" s="0" t="s">
        <v>4223</v>
      </c>
      <c r="K1005" s="0" t="s">
        <v>144</v>
      </c>
      <c r="L1005" s="0"/>
      <c r="M1005" s="0" t="s">
        <v>4909</v>
      </c>
      <c r="N1005" s="0" t="str">
        <f aca="false">RIGHT(M1005,LEN(M1005)-FIND(" ",M1005))</f>
        <v>GERTRUDE PL NW</v>
      </c>
      <c r="P1005" s="0" t="s">
        <v>146</v>
      </c>
      <c r="Q1005" s="0" t="s">
        <v>147</v>
      </c>
      <c r="R1005" s="0" t="n">
        <v>44483</v>
      </c>
      <c r="AD1005" s="0" t="s">
        <v>148</v>
      </c>
      <c r="AE1005" s="0" t="s">
        <v>149</v>
      </c>
      <c r="AF1005" s="0" t="s">
        <v>150</v>
      </c>
      <c r="AH1005" s="0" t="n">
        <v>14</v>
      </c>
      <c r="AI1005" s="0" t="n">
        <v>11</v>
      </c>
      <c r="AN1005" s="0" t="s">
        <v>146</v>
      </c>
      <c r="AO1005" s="0" t="s">
        <v>151</v>
      </c>
      <c r="AP1005" s="0" t="s">
        <v>152</v>
      </c>
      <c r="AQ1005" s="0" t="n">
        <v>9</v>
      </c>
      <c r="AR1005" s="0" t="n">
        <v>64</v>
      </c>
      <c r="AS1005" s="0" t="n">
        <v>32</v>
      </c>
      <c r="AU1005" s="0" t="n">
        <f aca="false">COUNTA($BA$1418:$EH$1418)</f>
        <v>2</v>
      </c>
      <c r="AV1005" s="0" t="n">
        <f aca="false">COUNTIF($BA$1418:$EH$1418,"D")</f>
        <v>0</v>
      </c>
      <c r="AW1005" s="0" t="n">
        <f aca="false">COUNTIF($BA$1418:$EH$1418,"R")</f>
        <v>0</v>
      </c>
      <c r="AX1005" s="0" t="n">
        <f aca="false"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>0</v>
      </c>
      <c r="AY1005" s="0" t="n">
        <f aca="false">COUNTIF(DU1005:EH1005, "&lt;&gt;")</f>
        <v>0</v>
      </c>
      <c r="AZ1005" s="0" t="n">
        <f aca="false">IF(EH1005&lt;&gt;"",1,0)</f>
        <v>0</v>
      </c>
      <c r="BB1005" s="0" t="s">
        <v>153</v>
      </c>
      <c r="DN1005" s="0" t="s">
        <v>154</v>
      </c>
    </row>
    <row r="1006" customFormat="false" ht="13.8" hidden="false" customHeight="false" outlineLevel="0" collapsed="false">
      <c r="A1006" s="0" t="s">
        <v>4910</v>
      </c>
      <c r="B1006" s="0" t="n">
        <v>78</v>
      </c>
      <c r="C1006" s="0" t="n">
        <v>452267</v>
      </c>
      <c r="D1006" s="0" t="s">
        <v>4911</v>
      </c>
      <c r="E1006" s="0" t="s">
        <v>4912</v>
      </c>
      <c r="F1006" s="0" t="str">
        <f aca="false">CONCATENATE(D1006," ",LEFT(H1006,4),"T=",AU1006,"D=",AV1006,"R=",AW1006,"M=",AX1006,"L=",AY1006,"B=",AZ1006)</f>
        <v>SOSA BARRAGAN T=1D=0R=0M=0L=2B=0</v>
      </c>
      <c r="I1006" s="0" t="s">
        <v>4913</v>
      </c>
      <c r="J1006" s="0" t="s">
        <v>273</v>
      </c>
      <c r="K1006" s="0" t="s">
        <v>175</v>
      </c>
      <c r="M1006" s="0" t="s">
        <v>4914</v>
      </c>
      <c r="N1006" s="0" t="str">
        <f aca="false">RIGHT(M1006,LEN(M1006)-FIND(" ",M1006))</f>
        <v>GLENWOOD ST NE</v>
      </c>
      <c r="P1006" s="0" t="s">
        <v>146</v>
      </c>
      <c r="Q1006" s="0" t="s">
        <v>147</v>
      </c>
      <c r="R1006" s="0" t="n">
        <v>44483</v>
      </c>
      <c r="AD1006" s="0" t="s">
        <v>148</v>
      </c>
      <c r="AE1006" s="0" t="s">
        <v>149</v>
      </c>
      <c r="AF1006" s="0" t="s">
        <v>150</v>
      </c>
      <c r="AH1006" s="0" t="n">
        <v>14</v>
      </c>
      <c r="AI1006" s="0" t="n">
        <v>11</v>
      </c>
      <c r="AN1006" s="0" t="s">
        <v>146</v>
      </c>
      <c r="AO1006" s="0" t="s">
        <v>236</v>
      </c>
      <c r="AP1006" s="0" t="s">
        <v>237</v>
      </c>
      <c r="AQ1006" s="0" t="n">
        <v>9</v>
      </c>
      <c r="AR1006" s="0" t="n">
        <v>64</v>
      </c>
      <c r="AS1006" s="0" t="n">
        <v>32</v>
      </c>
      <c r="AU1006" s="0" t="n">
        <f aca="false">COUNTA($BA$79:$EH$79)</f>
        <v>1</v>
      </c>
      <c r="AV1006" s="0" t="n">
        <f aca="false">COUNTIF($BA$79:$EH$79,"D")</f>
        <v>0</v>
      </c>
      <c r="AW1006" s="0" t="n">
        <f aca="false">COUNTIF($BA$79:$EH$79,"R")</f>
        <v>0</v>
      </c>
      <c r="AX1006" s="0" t="n">
        <f aca="false"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>0</v>
      </c>
      <c r="AY1006" s="0" t="n">
        <f aca="false">COUNTIF(DU1006:EH1006, "&lt;&gt;")</f>
        <v>2</v>
      </c>
      <c r="AZ1006" s="0" t="n">
        <f aca="false">IF(EH1006&lt;&gt;"",1,0)</f>
        <v>0</v>
      </c>
      <c r="BB1006" s="0" t="s">
        <v>153</v>
      </c>
      <c r="DN1006" s="0" t="s">
        <v>154</v>
      </c>
      <c r="EA1006" s="0" t="s">
        <v>154</v>
      </c>
      <c r="EF1006" s="0" t="s">
        <v>154</v>
      </c>
    </row>
    <row r="1007" customFormat="false" ht="13.8" hidden="false" customHeight="false" outlineLevel="0" collapsed="false">
      <c r="A1007" s="0" t="s">
        <v>4915</v>
      </c>
      <c r="B1007" s="0" t="n">
        <v>78</v>
      </c>
      <c r="C1007" s="0" t="n">
        <v>443566</v>
      </c>
      <c r="D1007" s="0" t="s">
        <v>4916</v>
      </c>
      <c r="E1007" s="0" t="s">
        <v>4917</v>
      </c>
      <c r="F1007" s="0" t="str">
        <f aca="false">CONCATENATE(D1007," ",LEFT(H1007,4),"T=",AU1007,"D=",AV1007,"R=",AW1007,"M=",AX1007,"L=",AY1007,"B=",AZ1007)</f>
        <v>MENDEZ SOSA T=2D=0R=0M=0L=2B=0</v>
      </c>
      <c r="I1007" s="0" t="s">
        <v>4918</v>
      </c>
      <c r="J1007" s="0" t="s">
        <v>4919</v>
      </c>
      <c r="K1007" s="0" t="s">
        <v>175</v>
      </c>
      <c r="M1007" s="0" t="s">
        <v>4914</v>
      </c>
      <c r="N1007" s="0" t="str">
        <f aca="false">RIGHT(M1007,LEN(M1007)-FIND(" ",M1007))</f>
        <v>GLENWOOD ST NE</v>
      </c>
      <c r="P1007" s="0" t="s">
        <v>146</v>
      </c>
      <c r="Q1007" s="0" t="s">
        <v>147</v>
      </c>
      <c r="R1007" s="0" t="n">
        <v>44483</v>
      </c>
      <c r="AD1007" s="0" t="s">
        <v>148</v>
      </c>
      <c r="AE1007" s="0" t="s">
        <v>149</v>
      </c>
      <c r="AF1007" s="0" t="s">
        <v>150</v>
      </c>
      <c r="AH1007" s="0" t="n">
        <v>14</v>
      </c>
      <c r="AI1007" s="0" t="n">
        <v>11</v>
      </c>
      <c r="AN1007" s="0" t="s">
        <v>146</v>
      </c>
      <c r="AO1007" s="0" t="s">
        <v>236</v>
      </c>
      <c r="AP1007" s="0" t="s">
        <v>237</v>
      </c>
      <c r="AQ1007" s="0" t="n">
        <v>9</v>
      </c>
      <c r="AR1007" s="0" t="n">
        <v>64</v>
      </c>
      <c r="AS1007" s="0" t="n">
        <v>32</v>
      </c>
      <c r="AU1007" s="0" t="n">
        <f aca="false">COUNTA($BA$164:$EH$164)</f>
        <v>2</v>
      </c>
      <c r="AV1007" s="0" t="n">
        <f aca="false">COUNTIF($BA$164:$EH$164,"D")</f>
        <v>0</v>
      </c>
      <c r="AW1007" s="0" t="n">
        <f aca="false">COUNTIF($BA$164:$EH$164,"R")</f>
        <v>0</v>
      </c>
      <c r="AX1007" s="0" t="n">
        <f aca="false"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>0</v>
      </c>
      <c r="AY1007" s="0" t="n">
        <f aca="false">COUNTIF(DU1007:EH1007, "&lt;&gt;")</f>
        <v>2</v>
      </c>
      <c r="AZ1007" s="0" t="n">
        <f aca="false">IF(EH1007&lt;&gt;"",1,0)</f>
        <v>0</v>
      </c>
      <c r="BB1007" s="0" t="s">
        <v>153</v>
      </c>
      <c r="DN1007" s="0" t="s">
        <v>154</v>
      </c>
      <c r="EA1007" s="0" t="s">
        <v>154</v>
      </c>
      <c r="EF1007" s="0" t="s">
        <v>154</v>
      </c>
    </row>
    <row r="1008" customFormat="false" ht="13.8" hidden="false" customHeight="false" outlineLevel="0" collapsed="false">
      <c r="A1008" s="0" t="s">
        <v>4920</v>
      </c>
      <c r="B1008" s="0" t="n">
        <v>78</v>
      </c>
      <c r="C1008" s="0" t="n">
        <v>459679</v>
      </c>
      <c r="D1008" s="0" t="s">
        <v>779</v>
      </c>
      <c r="E1008" s="0" t="s">
        <v>4921</v>
      </c>
      <c r="F1008" s="0" t="str">
        <f aca="false">CONCATENATE(D1008," ",LEFT(H1008,4),"T=",AU1008,"D=",AV1008,"R=",AW1008,"M=",AX1008,"L=",AY1008,"B=",AZ1008)</f>
        <v>MENDEZ T=1D=0R=0M=0L=2B=0</v>
      </c>
      <c r="G1008" s="0" t="s">
        <v>376</v>
      </c>
      <c r="I1008" s="0" t="s">
        <v>4922</v>
      </c>
      <c r="J1008" s="0" t="s">
        <v>1826</v>
      </c>
      <c r="K1008" s="0" t="s">
        <v>175</v>
      </c>
      <c r="M1008" s="0" t="s">
        <v>4914</v>
      </c>
      <c r="N1008" s="0" t="str">
        <f aca="false">RIGHT(M1008,LEN(M1008)-FIND(" ",M1008))</f>
        <v>GLENWOOD ST NE</v>
      </c>
      <c r="P1008" s="0" t="s">
        <v>146</v>
      </c>
      <c r="Q1008" s="0" t="s">
        <v>147</v>
      </c>
      <c r="R1008" s="0" t="n">
        <v>44483</v>
      </c>
      <c r="AD1008" s="0" t="s">
        <v>148</v>
      </c>
      <c r="AE1008" s="0" t="s">
        <v>149</v>
      </c>
      <c r="AF1008" s="0" t="s">
        <v>150</v>
      </c>
      <c r="AH1008" s="0" t="n">
        <v>14</v>
      </c>
      <c r="AI1008" s="0" t="n">
        <v>11</v>
      </c>
      <c r="AN1008" s="0" t="s">
        <v>146</v>
      </c>
      <c r="AO1008" s="0" t="s">
        <v>236</v>
      </c>
      <c r="AP1008" s="0" t="s">
        <v>237</v>
      </c>
      <c r="AQ1008" s="0" t="n">
        <v>9</v>
      </c>
      <c r="AR1008" s="0" t="n">
        <v>64</v>
      </c>
      <c r="AS1008" s="0" t="n">
        <v>32</v>
      </c>
      <c r="AU1008" s="0" t="n">
        <f aca="false">COUNTA($BA$488:$EH$488)</f>
        <v>1</v>
      </c>
      <c r="AV1008" s="0" t="n">
        <f aca="false">COUNTIF($BA$488:$EH$488,"D")</f>
        <v>0</v>
      </c>
      <c r="AW1008" s="0" t="n">
        <f aca="false">COUNTIF($BA$488:$EH$488,"R")</f>
        <v>0</v>
      </c>
      <c r="AX1008" s="0" t="n">
        <f aca="false"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>0</v>
      </c>
      <c r="AY1008" s="0" t="n">
        <f aca="false">COUNTIF(DU1008:EH1008, "&lt;&gt;")</f>
        <v>2</v>
      </c>
      <c r="AZ1008" s="0" t="n">
        <f aca="false">IF(EH1008&lt;&gt;"",1,0)</f>
        <v>0</v>
      </c>
      <c r="BB1008" s="0" t="s">
        <v>153</v>
      </c>
      <c r="EA1008" s="0" t="s">
        <v>154</v>
      </c>
      <c r="EF1008" s="0" t="s">
        <v>154</v>
      </c>
    </row>
    <row r="1009" customFormat="false" ht="13.8" hidden="true" customHeight="false" outlineLevel="0" collapsed="false">
      <c r="A1009" s="0" t="s">
        <v>4923</v>
      </c>
      <c r="B1009" s="0" t="n">
        <v>78</v>
      </c>
      <c r="C1009" s="0" t="n">
        <v>440181</v>
      </c>
      <c r="D1009" s="0" t="s">
        <v>4924</v>
      </c>
      <c r="E1009" s="0" t="s">
        <v>750</v>
      </c>
      <c r="F1009" s="0" t="str">
        <f aca="false">CONCATENATE(D1009," ",LEFT(H1009,4),"T=",AU1009,"D=",AV1009,"R=",AW1009,"M=",AX1009,"L=",AY1009,"B=",AZ1009)</f>
        <v>TEETERS T=2D=0R=0M=0L=0B=0</v>
      </c>
      <c r="G1009" s="0" t="s">
        <v>241</v>
      </c>
      <c r="I1009" s="0" t="s">
        <v>4925</v>
      </c>
      <c r="J1009" s="0" t="s">
        <v>4926</v>
      </c>
      <c r="K1009" s="0" t="s">
        <v>144</v>
      </c>
      <c r="L1009" s="0"/>
      <c r="M1009" s="0" t="s">
        <v>4927</v>
      </c>
      <c r="N1009" s="0" t="str">
        <f aca="false">RIGHT(M1009,LEN(M1009)-FIND(" ",M1009))</f>
        <v>GLENWOOD ST NE</v>
      </c>
      <c r="P1009" s="0" t="s">
        <v>146</v>
      </c>
      <c r="Q1009" s="0" t="s">
        <v>147</v>
      </c>
      <c r="R1009" s="0" t="n">
        <v>44483</v>
      </c>
      <c r="AD1009" s="0" t="s">
        <v>148</v>
      </c>
      <c r="AE1009" s="0" t="s">
        <v>149</v>
      </c>
      <c r="AF1009" s="0" t="s">
        <v>150</v>
      </c>
      <c r="AH1009" s="0" t="n">
        <v>14</v>
      </c>
      <c r="AI1009" s="0" t="n">
        <v>11</v>
      </c>
      <c r="AN1009" s="0" t="s">
        <v>146</v>
      </c>
      <c r="AO1009" s="0" t="s">
        <v>236</v>
      </c>
      <c r="AP1009" s="0" t="s">
        <v>237</v>
      </c>
      <c r="AQ1009" s="0" t="n">
        <v>9</v>
      </c>
      <c r="AR1009" s="0" t="n">
        <v>64</v>
      </c>
      <c r="AS1009" s="0" t="n">
        <v>32</v>
      </c>
      <c r="AU1009" s="0" t="n">
        <f aca="false">COUNTA($BA$39:$EH$39)</f>
        <v>2</v>
      </c>
      <c r="AV1009" s="0" t="n">
        <f aca="false">COUNTIF($BA$39:$EH$39,"D")</f>
        <v>0</v>
      </c>
      <c r="AW1009" s="0" t="n">
        <f aca="false">COUNTIF($BA$39:$EH$39,"R")</f>
        <v>0</v>
      </c>
      <c r="AX1009" s="0" t="n">
        <f aca="false"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>0</v>
      </c>
      <c r="AY1009" s="0" t="n">
        <f aca="false">COUNTIF(DU1009:EH1009, "&lt;&gt;")</f>
        <v>0</v>
      </c>
      <c r="AZ1009" s="0" t="n">
        <f aca="false">IF(EH1009&lt;&gt;"",1,0)</f>
        <v>0</v>
      </c>
      <c r="BB1009" s="0" t="s">
        <v>153</v>
      </c>
    </row>
    <row r="1010" customFormat="false" ht="13.8" hidden="true" customHeight="false" outlineLevel="0" collapsed="false">
      <c r="A1010" s="0" t="s">
        <v>4928</v>
      </c>
      <c r="B1010" s="0" t="n">
        <v>78</v>
      </c>
      <c r="C1010" s="0" t="n">
        <v>427410</v>
      </c>
      <c r="D1010" s="0" t="s">
        <v>1487</v>
      </c>
      <c r="E1010" s="0" t="s">
        <v>1573</v>
      </c>
      <c r="F1010" s="0" t="str">
        <f aca="false">CONCATENATE(D1010," ",LEFT(H1010,4),"T=",AU1010,"D=",AV1010,"R=",AW1010,"M=",AX1010,"L=",AY1010,"B=",AZ1010)</f>
        <v>COLLINS T=5D=1R=0M=0L=0B=0</v>
      </c>
      <c r="G1010" s="0" t="s">
        <v>188</v>
      </c>
      <c r="I1010" s="0" t="s">
        <v>2348</v>
      </c>
      <c r="J1010" s="0" t="s">
        <v>4929</v>
      </c>
      <c r="K1010" s="0" t="s">
        <v>144</v>
      </c>
      <c r="L1010" s="0"/>
      <c r="M1010" s="0" t="s">
        <v>4930</v>
      </c>
      <c r="N1010" s="0" t="str">
        <f aca="false">RIGHT(M1010,LEN(M1010)-FIND(" ",M1010))</f>
        <v>GLENWOOD ST NE</v>
      </c>
      <c r="P1010" s="0" t="s">
        <v>146</v>
      </c>
      <c r="Q1010" s="0" t="s">
        <v>147</v>
      </c>
      <c r="R1010" s="0" t="n">
        <v>44483</v>
      </c>
      <c r="AD1010" s="0" t="s">
        <v>148</v>
      </c>
      <c r="AE1010" s="0" t="s">
        <v>149</v>
      </c>
      <c r="AF1010" s="0" t="s">
        <v>150</v>
      </c>
      <c r="AH1010" s="0" t="n">
        <v>14</v>
      </c>
      <c r="AI1010" s="0" t="n">
        <v>11</v>
      </c>
      <c r="AN1010" s="0" t="s">
        <v>146</v>
      </c>
      <c r="AO1010" s="0" t="s">
        <v>236</v>
      </c>
      <c r="AP1010" s="0" t="s">
        <v>237</v>
      </c>
      <c r="AQ1010" s="0" t="n">
        <v>9</v>
      </c>
      <c r="AR1010" s="0" t="n">
        <v>64</v>
      </c>
      <c r="AS1010" s="0" t="n">
        <v>32</v>
      </c>
      <c r="AU1010" s="0" t="n">
        <f aca="false">COUNTA($BA$11:$EH$11)</f>
        <v>5</v>
      </c>
      <c r="AV1010" s="0" t="n">
        <f aca="false">COUNTIF($BA$11:$EH$11,"D")</f>
        <v>1</v>
      </c>
      <c r="AW1010" s="0" t="n">
        <f aca="false">COUNTIF($BA$11:$EH$11,"R")</f>
        <v>0</v>
      </c>
      <c r="AX1010" s="0" t="n">
        <f aca="false"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>0</v>
      </c>
      <c r="AY1010" s="0" t="n">
        <f aca="false">COUNTIF(DU1010:EH1010, "&lt;&gt;")</f>
        <v>0</v>
      </c>
      <c r="AZ1010" s="0" t="n">
        <f aca="false">IF(EH1010&lt;&gt;"",1,0)</f>
        <v>0</v>
      </c>
      <c r="BB1010" s="0" t="s">
        <v>153</v>
      </c>
      <c r="DI1010" s="0" t="s">
        <v>154</v>
      </c>
    </row>
    <row r="1011" customFormat="false" ht="13.8" hidden="false" customHeight="false" outlineLevel="0" collapsed="false">
      <c r="A1011" s="0" t="s">
        <v>4931</v>
      </c>
      <c r="B1011" s="0" t="n">
        <v>78</v>
      </c>
      <c r="C1011" s="0" t="n">
        <v>331265</v>
      </c>
      <c r="D1011" s="0" t="s">
        <v>4932</v>
      </c>
      <c r="E1011" s="0" t="s">
        <v>4933</v>
      </c>
      <c r="F1011" s="0" t="str">
        <f aca="false">CONCATENATE(D1011," ",LEFT(H1011,4),"T=",AU1011,"D=",AV1011,"R=",AW1011,"M=",AX1011,"L=",AY1011,"B=",AZ1011)</f>
        <v>BROOKS T=3D=0R=0M=0L=3B=0</v>
      </c>
      <c r="G1011" s="0" t="s">
        <v>172</v>
      </c>
      <c r="I1011" s="0" t="s">
        <v>4934</v>
      </c>
      <c r="J1011" s="0" t="s">
        <v>4935</v>
      </c>
      <c r="K1011" s="0" t="s">
        <v>175</v>
      </c>
      <c r="M1011" s="0" t="s">
        <v>4936</v>
      </c>
      <c r="N1011" s="0" t="str">
        <f aca="false">RIGHT(M1011,LEN(M1011)-FIND(" ",M1011))</f>
        <v>GLENWOOD ST NE</v>
      </c>
      <c r="P1011" s="0" t="s">
        <v>146</v>
      </c>
      <c r="Q1011" s="0" t="s">
        <v>147</v>
      </c>
      <c r="R1011" s="0" t="n">
        <v>44483</v>
      </c>
      <c r="AD1011" s="0" t="s">
        <v>148</v>
      </c>
      <c r="AE1011" s="0" t="s">
        <v>149</v>
      </c>
      <c r="AF1011" s="0" t="s">
        <v>150</v>
      </c>
      <c r="AH1011" s="0" t="n">
        <v>14</v>
      </c>
      <c r="AI1011" s="0" t="n">
        <v>11</v>
      </c>
      <c r="AN1011" s="0" t="s">
        <v>146</v>
      </c>
      <c r="AO1011" s="0" t="s">
        <v>236</v>
      </c>
      <c r="AP1011" s="0" t="s">
        <v>237</v>
      </c>
      <c r="AQ1011" s="0" t="n">
        <v>9</v>
      </c>
      <c r="AR1011" s="0" t="n">
        <v>64</v>
      </c>
      <c r="AS1011" s="0" t="n">
        <v>32</v>
      </c>
      <c r="AU1011" s="0" t="n">
        <f aca="false">COUNTA($BA$252:$EH$252)</f>
        <v>3</v>
      </c>
      <c r="AV1011" s="0" t="n">
        <f aca="false">COUNTIF($BA$252:$EH$252,"D")</f>
        <v>0</v>
      </c>
      <c r="AW1011" s="0" t="n">
        <f aca="false">COUNTIF($BA$252:$EH$252,"R")</f>
        <v>0</v>
      </c>
      <c r="AX1011" s="0" t="n">
        <f aca="false"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>0</v>
      </c>
      <c r="AY1011" s="0" t="n">
        <f aca="false">COUNTIF(DU1011:EH1011, "&lt;&gt;")</f>
        <v>3</v>
      </c>
      <c r="AZ1011" s="0" t="n">
        <f aca="false">IF(EH1011&lt;&gt;"",1,0)</f>
        <v>0</v>
      </c>
      <c r="BB1011" s="0" t="s">
        <v>153</v>
      </c>
      <c r="BL1011" s="0" t="s">
        <v>154</v>
      </c>
      <c r="BY1011" s="0" t="s">
        <v>155</v>
      </c>
      <c r="CA1011" s="0" t="s">
        <v>154</v>
      </c>
      <c r="CP1011" s="0" t="s">
        <v>154</v>
      </c>
      <c r="CZ1011" s="0" t="s">
        <v>176</v>
      </c>
      <c r="DC1011" s="0" t="s">
        <v>154</v>
      </c>
      <c r="DI1011" s="0" t="s">
        <v>154</v>
      </c>
      <c r="DN1011" s="0" t="s">
        <v>154</v>
      </c>
      <c r="DU1011" s="0" t="s">
        <v>154</v>
      </c>
      <c r="EA1011" s="0" t="s">
        <v>154</v>
      </c>
      <c r="EF1011" s="0" t="s">
        <v>154</v>
      </c>
    </row>
    <row r="1012" customFormat="false" ht="13.8" hidden="false" customHeight="false" outlineLevel="0" collapsed="false">
      <c r="A1012" s="0" t="s">
        <v>4937</v>
      </c>
      <c r="B1012" s="0" t="n">
        <v>78</v>
      </c>
      <c r="C1012" s="0" t="n">
        <v>331267</v>
      </c>
      <c r="D1012" s="0" t="s">
        <v>4932</v>
      </c>
      <c r="E1012" s="0" t="s">
        <v>429</v>
      </c>
      <c r="F1012" s="0" t="str">
        <f aca="false">CONCATENATE(D1012," ",LEFT(H1012,4),"T=",AU1012,"D=",AV1012,"R=",AW1012,"M=",AX1012,"L=",AY1012,"B=",AZ1012)</f>
        <v>BROOKS T=17D=0R=2M=1L=3B=0</v>
      </c>
      <c r="G1012" s="0" t="s">
        <v>365</v>
      </c>
      <c r="I1012" s="0" t="s">
        <v>4938</v>
      </c>
      <c r="J1012" s="0" t="s">
        <v>4935</v>
      </c>
      <c r="K1012" s="0" t="s">
        <v>175</v>
      </c>
      <c r="M1012" s="0" t="s">
        <v>4936</v>
      </c>
      <c r="N1012" s="0" t="str">
        <f aca="false">RIGHT(M1012,LEN(M1012)-FIND(" ",M1012))</f>
        <v>GLENWOOD ST NE</v>
      </c>
      <c r="P1012" s="0" t="s">
        <v>146</v>
      </c>
      <c r="Q1012" s="0" t="s">
        <v>147</v>
      </c>
      <c r="R1012" s="0" t="n">
        <v>44483</v>
      </c>
      <c r="AD1012" s="0" t="s">
        <v>148</v>
      </c>
      <c r="AE1012" s="0" t="s">
        <v>149</v>
      </c>
      <c r="AF1012" s="0" t="s">
        <v>150</v>
      </c>
      <c r="AH1012" s="0" t="n">
        <v>14</v>
      </c>
      <c r="AI1012" s="0" t="n">
        <v>11</v>
      </c>
      <c r="AN1012" s="0" t="s">
        <v>146</v>
      </c>
      <c r="AO1012" s="0" t="s">
        <v>236</v>
      </c>
      <c r="AP1012" s="0" t="s">
        <v>237</v>
      </c>
      <c r="AQ1012" s="0" t="n">
        <v>9</v>
      </c>
      <c r="AR1012" s="0" t="n">
        <v>64</v>
      </c>
      <c r="AS1012" s="0" t="n">
        <v>32</v>
      </c>
      <c r="AU1012" s="0" t="n">
        <f aca="false">COUNTA($BA$299:$EH$299)</f>
        <v>17</v>
      </c>
      <c r="AV1012" s="0" t="n">
        <f aca="false">COUNTIF($BA$299:$EH$299,"D")</f>
        <v>0</v>
      </c>
      <c r="AW1012" s="0" t="n">
        <f aca="false">COUNTIF($BA$299:$EH$299,"R")</f>
        <v>2</v>
      </c>
      <c r="AX1012" s="0" t="n">
        <f aca="false"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>1</v>
      </c>
      <c r="AY1012" s="0" t="n">
        <f aca="false">COUNTIF(DU1012:EH1012, "&lt;&gt;")</f>
        <v>3</v>
      </c>
      <c r="AZ1012" s="0" t="n">
        <f aca="false">IF(EH1012&lt;&gt;"",1,0)</f>
        <v>0</v>
      </c>
      <c r="BB1012" s="0" t="s">
        <v>153</v>
      </c>
      <c r="BL1012" s="0" t="s">
        <v>154</v>
      </c>
      <c r="BY1012" s="0" t="s">
        <v>155</v>
      </c>
      <c r="CA1012" s="0" t="s">
        <v>154</v>
      </c>
      <c r="CG1012" s="0" t="s">
        <v>154</v>
      </c>
      <c r="CP1012" s="0" t="s">
        <v>154</v>
      </c>
      <c r="CZ1012" s="0" t="s">
        <v>155</v>
      </c>
      <c r="DC1012" s="0" t="s">
        <v>154</v>
      </c>
      <c r="DF1012" s="0" t="s">
        <v>154</v>
      </c>
      <c r="DG1012" s="0" t="s">
        <v>155</v>
      </c>
      <c r="DI1012" s="0" t="s">
        <v>154</v>
      </c>
      <c r="DJ1012" s="0" t="s">
        <v>155</v>
      </c>
      <c r="DL1012" s="0" t="s">
        <v>154</v>
      </c>
      <c r="DN1012" s="0" t="s">
        <v>154</v>
      </c>
      <c r="DU1012" s="0" t="s">
        <v>154</v>
      </c>
      <c r="EA1012" s="0" t="s">
        <v>154</v>
      </c>
      <c r="EF1012" s="0" t="s">
        <v>154</v>
      </c>
    </row>
    <row r="1013" customFormat="false" ht="13.8" hidden="true" customHeight="false" outlineLevel="0" collapsed="false">
      <c r="A1013" s="0" t="s">
        <v>4939</v>
      </c>
      <c r="B1013" s="0" t="n">
        <v>78</v>
      </c>
      <c r="C1013" s="0" t="n">
        <v>370960</v>
      </c>
      <c r="D1013" s="0" t="s">
        <v>4940</v>
      </c>
      <c r="E1013" s="0" t="s">
        <v>694</v>
      </c>
      <c r="F1013" s="0" t="str">
        <f aca="false">CONCATENATE(D1013," ",LEFT(H1013,4),"T=",AU1013,"D=",AV1013,"R=",AW1013,"M=",AX1013,"L=",AY1013,"B=",AZ1013)</f>
        <v>ENOS JRT=7D=0R=1M=0L=0B=0</v>
      </c>
      <c r="G1013" s="0" t="s">
        <v>329</v>
      </c>
      <c r="H1013" s="0" t="s">
        <v>431</v>
      </c>
      <c r="I1013" s="0" t="s">
        <v>4941</v>
      </c>
      <c r="J1013" s="0" t="s">
        <v>4942</v>
      </c>
      <c r="K1013" s="0" t="s">
        <v>144</v>
      </c>
      <c r="L1013" s="0"/>
      <c r="M1013" s="0" t="s">
        <v>4943</v>
      </c>
      <c r="N1013" s="0" t="str">
        <f aca="false">RIGHT(M1013,LEN(M1013)-FIND(" ",M1013))</f>
        <v>GLENWOOD ST NE</v>
      </c>
      <c r="P1013" s="0" t="s">
        <v>146</v>
      </c>
      <c r="Q1013" s="0" t="s">
        <v>147</v>
      </c>
      <c r="R1013" s="0" t="n">
        <v>44483</v>
      </c>
      <c r="AD1013" s="0" t="s">
        <v>148</v>
      </c>
      <c r="AE1013" s="0" t="s">
        <v>149</v>
      </c>
      <c r="AF1013" s="0" t="s">
        <v>150</v>
      </c>
      <c r="AH1013" s="0" t="n">
        <v>14</v>
      </c>
      <c r="AI1013" s="0" t="n">
        <v>11</v>
      </c>
      <c r="AN1013" s="0" t="s">
        <v>146</v>
      </c>
      <c r="AO1013" s="0" t="s">
        <v>236</v>
      </c>
      <c r="AP1013" s="0" t="s">
        <v>237</v>
      </c>
      <c r="AQ1013" s="0" t="n">
        <v>9</v>
      </c>
      <c r="AR1013" s="0" t="n">
        <v>64</v>
      </c>
      <c r="AS1013" s="0" t="n">
        <v>32</v>
      </c>
      <c r="AU1013" s="0" t="n">
        <f aca="false">COUNTA($BA$681:$EH$681)</f>
        <v>7</v>
      </c>
      <c r="AV1013" s="0" t="n">
        <f aca="false">COUNTIF($BA$681:$EH$681,"D")</f>
        <v>0</v>
      </c>
      <c r="AW1013" s="0" t="n">
        <f aca="false">COUNTIF($BA$681:$EH$681,"R")</f>
        <v>1</v>
      </c>
      <c r="AX1013" s="0" t="n">
        <f aca="false"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>0</v>
      </c>
      <c r="AY1013" s="0" t="n">
        <f aca="false">COUNTIF(DU1013:EH1013, "&lt;&gt;")</f>
        <v>0</v>
      </c>
      <c r="AZ1013" s="0" t="n">
        <f aca="false">IF(EH1013&lt;&gt;"",1,0)</f>
        <v>0</v>
      </c>
      <c r="BB1013" s="0" t="s">
        <v>153</v>
      </c>
      <c r="CG1013" s="0" t="s">
        <v>154</v>
      </c>
      <c r="CK1013" s="0" t="s">
        <v>154</v>
      </c>
      <c r="CP1013" s="0" t="s">
        <v>154</v>
      </c>
    </row>
    <row r="1014" customFormat="false" ht="13.8" hidden="true" customHeight="false" outlineLevel="0" collapsed="false">
      <c r="A1014" s="0" t="s">
        <v>4944</v>
      </c>
      <c r="B1014" s="0" t="n">
        <v>78</v>
      </c>
      <c r="C1014" s="0" t="n">
        <v>492655</v>
      </c>
      <c r="D1014" s="0" t="s">
        <v>4945</v>
      </c>
      <c r="E1014" s="0" t="s">
        <v>417</v>
      </c>
      <c r="F1014" s="0" t="str">
        <f aca="false">CONCATENATE(D1014," ",LEFT(H1014,4),"T=",AU1014,"D=",AV1014,"R=",AW1014,"M=",AX1014,"L=",AY1014,"B=",AZ1014)</f>
        <v>MELILLO T=33D=5R=1M=0L=0B=0</v>
      </c>
      <c r="G1014" s="0" t="s">
        <v>1221</v>
      </c>
      <c r="I1014" s="0" t="s">
        <v>4946</v>
      </c>
      <c r="J1014" s="0" t="s">
        <v>1542</v>
      </c>
      <c r="K1014" s="0" t="s">
        <v>175</v>
      </c>
      <c r="L1014" s="0"/>
      <c r="M1014" s="0" t="s">
        <v>4943</v>
      </c>
      <c r="N1014" s="0" t="str">
        <f aca="false">RIGHT(M1014,LEN(M1014)-FIND(" ",M1014))</f>
        <v>GLENWOOD ST NE</v>
      </c>
      <c r="P1014" s="0" t="s">
        <v>146</v>
      </c>
      <c r="Q1014" s="0" t="s">
        <v>147</v>
      </c>
      <c r="R1014" s="0" t="n">
        <v>44483</v>
      </c>
      <c r="AD1014" s="0" t="s">
        <v>148</v>
      </c>
      <c r="AE1014" s="0" t="s">
        <v>149</v>
      </c>
      <c r="AF1014" s="0" t="s">
        <v>150</v>
      </c>
      <c r="AH1014" s="0" t="n">
        <v>14</v>
      </c>
      <c r="AI1014" s="0" t="n">
        <v>11</v>
      </c>
      <c r="AN1014" s="0" t="s">
        <v>146</v>
      </c>
      <c r="AO1014" s="0" t="s">
        <v>236</v>
      </c>
      <c r="AP1014" s="0" t="s">
        <v>237</v>
      </c>
      <c r="AQ1014" s="0" t="n">
        <v>9</v>
      </c>
      <c r="AR1014" s="0" t="n">
        <v>64</v>
      </c>
      <c r="AS1014" s="0" t="n">
        <v>32</v>
      </c>
      <c r="AU1014" s="0" t="n">
        <f aca="false">COUNTA($BA$983:$EH$983)</f>
        <v>33</v>
      </c>
      <c r="AV1014" s="0" t="n">
        <f aca="false">COUNTIF($BA$983:$EH$983,"D")</f>
        <v>5</v>
      </c>
      <c r="AW1014" s="0" t="n">
        <f aca="false">COUNTIF($BA$983:$EH$983,"R")</f>
        <v>1</v>
      </c>
      <c r="AX1014" s="0" t="n">
        <f aca="false"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>0</v>
      </c>
      <c r="AY1014" s="0" t="n">
        <f aca="false">COUNTIF(DU1014:EH1014, "&lt;&gt;")</f>
        <v>0</v>
      </c>
      <c r="AZ1014" s="0" t="n">
        <f aca="false">IF(EH1014&lt;&gt;"",1,0)</f>
        <v>0</v>
      </c>
      <c r="BB1014" s="0" t="s">
        <v>153</v>
      </c>
    </row>
    <row r="1015" customFormat="false" ht="13.8" hidden="true" customHeight="false" outlineLevel="0" collapsed="false">
      <c r="A1015" s="0" t="s">
        <v>4947</v>
      </c>
      <c r="B1015" s="0" t="n">
        <v>78</v>
      </c>
      <c r="C1015" s="0" t="n">
        <v>490229</v>
      </c>
      <c r="D1015" s="0" t="s">
        <v>4948</v>
      </c>
      <c r="E1015" s="0" t="s">
        <v>4949</v>
      </c>
      <c r="F1015" s="0" t="str">
        <f aca="false">CONCATENATE(D1015," ",LEFT(H1015,4),"T=",AU1015,"D=",AV1015,"R=",AW1015,"M=",AX1015,"L=",AY1015,"B=",AZ1015)</f>
        <v>CARRASQUILLO T=2D=0R=0M=0L=1B=0</v>
      </c>
      <c r="G1015" s="0" t="s">
        <v>297</v>
      </c>
      <c r="I1015" s="0" t="s">
        <v>4950</v>
      </c>
      <c r="J1015" s="0" t="s">
        <v>600</v>
      </c>
      <c r="K1015" s="0" t="s">
        <v>175</v>
      </c>
      <c r="L1015" s="0"/>
      <c r="M1015" s="0" t="s">
        <v>4951</v>
      </c>
      <c r="N1015" s="0" t="str">
        <f aca="false">RIGHT(M1015,LEN(M1015)-FIND(" ",M1015))</f>
        <v>GLENWOOD ST NE</v>
      </c>
      <c r="P1015" s="0" t="s">
        <v>146</v>
      </c>
      <c r="Q1015" s="0" t="s">
        <v>147</v>
      </c>
      <c r="R1015" s="0" t="n">
        <v>44483</v>
      </c>
      <c r="AD1015" s="0" t="s">
        <v>148</v>
      </c>
      <c r="AE1015" s="0" t="s">
        <v>149</v>
      </c>
      <c r="AF1015" s="0" t="s">
        <v>150</v>
      </c>
      <c r="AH1015" s="0" t="n">
        <v>14</v>
      </c>
      <c r="AI1015" s="0" t="n">
        <v>11</v>
      </c>
      <c r="AN1015" s="0" t="s">
        <v>146</v>
      </c>
      <c r="AO1015" s="0" t="s">
        <v>236</v>
      </c>
      <c r="AP1015" s="0" t="s">
        <v>237</v>
      </c>
      <c r="AQ1015" s="0" t="n">
        <v>9</v>
      </c>
      <c r="AR1015" s="0" t="n">
        <v>64</v>
      </c>
      <c r="AS1015" s="0" t="n">
        <v>32</v>
      </c>
      <c r="AU1015" s="0" t="n">
        <f aca="false">COUNTA($BA$489:$EH$489)</f>
        <v>2</v>
      </c>
      <c r="AV1015" s="0" t="n">
        <f aca="false">COUNTIF($BA$489:$EH$489,"D")</f>
        <v>0</v>
      </c>
      <c r="AW1015" s="0" t="n">
        <f aca="false">COUNTIF($BA$489:$EH$489,"R")</f>
        <v>0</v>
      </c>
      <c r="AX1015" s="0" t="n">
        <f aca="false"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>0</v>
      </c>
      <c r="AY1015" s="0" t="n">
        <f aca="false">COUNTIF(DU1015:EH1015, "&lt;&gt;")</f>
        <v>1</v>
      </c>
      <c r="AZ1015" s="0" t="n">
        <f aca="false">IF(EH1015&lt;&gt;"",1,0)</f>
        <v>0</v>
      </c>
      <c r="BB1015" s="0" t="s">
        <v>153</v>
      </c>
      <c r="EF1015" s="0" t="s">
        <v>154</v>
      </c>
    </row>
    <row r="1016" customFormat="false" ht="13.8" hidden="false" customHeight="false" outlineLevel="0" collapsed="false">
      <c r="A1016" s="0" t="s">
        <v>4952</v>
      </c>
      <c r="B1016" s="0" t="n">
        <v>78</v>
      </c>
      <c r="C1016" s="0" t="n">
        <v>302893</v>
      </c>
      <c r="D1016" s="0" t="s">
        <v>4953</v>
      </c>
      <c r="E1016" s="0" t="s">
        <v>1374</v>
      </c>
      <c r="F1016" s="0" t="str">
        <f aca="false">CONCATENATE(D1016," ",LEFT(H1016,4),"T=",AU1016,"D=",AV1016,"R=",AW1016,"M=",AX1016,"L=",AY1016,"B=",AZ1016)</f>
        <v>MONTECALVO T=1D=0R=0M=2L=5B=1</v>
      </c>
      <c r="G1016" s="0" t="s">
        <v>188</v>
      </c>
      <c r="I1016" s="0" t="s">
        <v>4954</v>
      </c>
      <c r="J1016" s="0" t="s">
        <v>4955</v>
      </c>
      <c r="K1016" s="0" t="s">
        <v>175</v>
      </c>
      <c r="L1016" s="1" t="s">
        <v>155</v>
      </c>
      <c r="M1016" s="0" t="s">
        <v>4956</v>
      </c>
      <c r="N1016" s="0" t="str">
        <f aca="false">RIGHT(M1016,LEN(M1016)-FIND(" ",M1016))</f>
        <v>GLENWOOD ST NE</v>
      </c>
      <c r="P1016" s="0" t="s">
        <v>146</v>
      </c>
      <c r="Q1016" s="0" t="s">
        <v>147</v>
      </c>
      <c r="R1016" s="0" t="n">
        <v>44483</v>
      </c>
      <c r="AD1016" s="0" t="s">
        <v>148</v>
      </c>
      <c r="AE1016" s="0" t="s">
        <v>149</v>
      </c>
      <c r="AF1016" s="0" t="s">
        <v>150</v>
      </c>
      <c r="AH1016" s="0" t="n">
        <v>14</v>
      </c>
      <c r="AI1016" s="0" t="n">
        <v>11</v>
      </c>
      <c r="AN1016" s="0" t="s">
        <v>146</v>
      </c>
      <c r="AO1016" s="0" t="s">
        <v>236</v>
      </c>
      <c r="AP1016" s="0" t="s">
        <v>237</v>
      </c>
      <c r="AQ1016" s="0" t="n">
        <v>9</v>
      </c>
      <c r="AR1016" s="0" t="n">
        <v>64</v>
      </c>
      <c r="AS1016" s="0" t="n">
        <v>32</v>
      </c>
      <c r="AU1016" s="0" t="n">
        <f aca="false">COUNTA($BA$251:$EH$251)</f>
        <v>1</v>
      </c>
      <c r="AV1016" s="0" t="n">
        <f aca="false">COUNTIF($BA$251:$EH$251,"D")</f>
        <v>0</v>
      </c>
      <c r="AW1016" s="0" t="n">
        <f aca="false">COUNTIF($BA$251:$EH$251,"R")</f>
        <v>0</v>
      </c>
      <c r="AX1016" s="0" t="n">
        <f aca="false"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>2</v>
      </c>
      <c r="AY1016" s="0" t="n">
        <f aca="false">COUNTIF(DU1016:EH1016, "&lt;&gt;")</f>
        <v>5</v>
      </c>
      <c r="AZ1016" s="0" t="n">
        <f aca="false">IF(EH1016&lt;&gt;"",1,0)</f>
        <v>1</v>
      </c>
      <c r="BB1016" s="0" t="s">
        <v>153</v>
      </c>
      <c r="BL1016" s="0" t="s">
        <v>154</v>
      </c>
      <c r="BP1016" s="0" t="s">
        <v>154</v>
      </c>
      <c r="BS1016" s="0" t="s">
        <v>154</v>
      </c>
      <c r="BV1016" s="0" t="s">
        <v>154</v>
      </c>
      <c r="CG1016" s="0" t="s">
        <v>154</v>
      </c>
      <c r="CH1016" s="0" t="s">
        <v>176</v>
      </c>
      <c r="CK1016" s="0" t="s">
        <v>154</v>
      </c>
      <c r="CN1016" s="0" t="s">
        <v>154</v>
      </c>
      <c r="CO1016" s="0" t="s">
        <v>155</v>
      </c>
      <c r="CY1016" s="0" t="s">
        <v>154</v>
      </c>
      <c r="DC1016" s="0" t="s">
        <v>154</v>
      </c>
      <c r="DG1016" s="0" t="s">
        <v>155</v>
      </c>
      <c r="DI1016" s="0" t="s">
        <v>154</v>
      </c>
      <c r="DM1016" s="0" t="s">
        <v>155</v>
      </c>
      <c r="DN1016" s="0" t="s">
        <v>154</v>
      </c>
      <c r="DS1016" s="0" t="s">
        <v>155</v>
      </c>
      <c r="DU1016" s="0" t="s">
        <v>154</v>
      </c>
      <c r="DW1016" s="0" t="s">
        <v>155</v>
      </c>
      <c r="EA1016" s="0" t="s">
        <v>154</v>
      </c>
      <c r="ED1016" s="0" t="s">
        <v>155</v>
      </c>
      <c r="EH1016" s="0" t="s">
        <v>155</v>
      </c>
    </row>
    <row r="1017" customFormat="false" ht="13.8" hidden="true" customHeight="false" outlineLevel="0" collapsed="false">
      <c r="A1017" s="0" t="s">
        <v>4957</v>
      </c>
      <c r="B1017" s="0" t="n">
        <v>78</v>
      </c>
      <c r="C1017" s="0" t="n">
        <v>461253</v>
      </c>
      <c r="D1017" s="0" t="s">
        <v>4958</v>
      </c>
      <c r="E1017" s="0" t="s">
        <v>4959</v>
      </c>
      <c r="F1017" s="0" t="str">
        <f aca="false">CONCATENATE(D1017," ",LEFT(H1017,4),"T=",AU1017,"D=",AV1017,"R=",AW1017,"M=",AX1017,"L=",AY1017,"B=",AZ1017)</f>
        <v>FOX T=3D=0R=0M=0L=0B=0</v>
      </c>
      <c r="G1017" s="0" t="s">
        <v>2033</v>
      </c>
      <c r="I1017" s="0" t="s">
        <v>4960</v>
      </c>
      <c r="J1017" s="0" t="s">
        <v>4961</v>
      </c>
      <c r="K1017" s="0" t="s">
        <v>144</v>
      </c>
      <c r="L1017" s="0"/>
      <c r="M1017" s="0" t="s">
        <v>4962</v>
      </c>
      <c r="N1017" s="0" t="str">
        <f aca="false">RIGHT(M1017,LEN(M1017)-FIND(" ",M1017))</f>
        <v>GLENWOOD ST NE</v>
      </c>
      <c r="P1017" s="0" t="s">
        <v>146</v>
      </c>
      <c r="Q1017" s="0" t="s">
        <v>147</v>
      </c>
      <c r="R1017" s="0" t="n">
        <v>44483</v>
      </c>
      <c r="AD1017" s="0" t="s">
        <v>148</v>
      </c>
      <c r="AE1017" s="0" t="s">
        <v>149</v>
      </c>
      <c r="AF1017" s="0" t="s">
        <v>150</v>
      </c>
      <c r="AH1017" s="0" t="n">
        <v>14</v>
      </c>
      <c r="AI1017" s="0" t="n">
        <v>11</v>
      </c>
      <c r="AN1017" s="0" t="s">
        <v>146</v>
      </c>
      <c r="AO1017" s="0" t="s">
        <v>236</v>
      </c>
      <c r="AP1017" s="0" t="s">
        <v>237</v>
      </c>
      <c r="AQ1017" s="0" t="n">
        <v>9</v>
      </c>
      <c r="AR1017" s="0" t="n">
        <v>64</v>
      </c>
      <c r="AS1017" s="0" t="n">
        <v>32</v>
      </c>
      <c r="AU1017" s="0" t="n">
        <f aca="false">COUNTA($BA$977:$EH$977)</f>
        <v>3</v>
      </c>
      <c r="AV1017" s="0" t="n">
        <f aca="false">COUNTIF($BA$977:$EH$977,"D")</f>
        <v>0</v>
      </c>
      <c r="AW1017" s="0" t="n">
        <f aca="false">COUNTIF($BA$977:$EH$977,"R")</f>
        <v>0</v>
      </c>
      <c r="AX1017" s="0" t="n">
        <f aca="false"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>0</v>
      </c>
      <c r="AY1017" s="0" t="n">
        <f aca="false">COUNTIF(DU1017:EH1017, "&lt;&gt;")</f>
        <v>0</v>
      </c>
      <c r="AZ1017" s="0" t="n">
        <f aca="false">IF(EH1017&lt;&gt;"",1,0)</f>
        <v>0</v>
      </c>
      <c r="BB1017" s="0" t="s">
        <v>153</v>
      </c>
      <c r="BY1017" s="0" t="s">
        <v>155</v>
      </c>
      <c r="CA1017" s="0" t="s">
        <v>154</v>
      </c>
      <c r="CG1017" s="0" t="s">
        <v>154</v>
      </c>
      <c r="CK1017" s="0" t="s">
        <v>154</v>
      </c>
      <c r="CN1017" s="0" t="s">
        <v>154</v>
      </c>
    </row>
    <row r="1018" customFormat="false" ht="13.8" hidden="true" customHeight="false" outlineLevel="0" collapsed="false">
      <c r="A1018" s="0" t="s">
        <v>4963</v>
      </c>
      <c r="B1018" s="0" t="n">
        <v>78</v>
      </c>
      <c r="C1018" s="0" t="n">
        <v>385377</v>
      </c>
      <c r="D1018" s="0" t="s">
        <v>4964</v>
      </c>
      <c r="E1018" s="0" t="s">
        <v>1698</v>
      </c>
      <c r="F1018" s="0" t="str">
        <f aca="false">CONCATENATE(D1018," ",LEFT(H1018,4),"T=",AU1018,"D=",AV1018,"R=",AW1018,"M=",AX1018,"L=",AY1018,"B=",AZ1018)</f>
        <v>WOLBERT T=1D=0R=0M=0L=0B=0</v>
      </c>
      <c r="G1018" s="0" t="s">
        <v>4965</v>
      </c>
      <c r="I1018" s="0" t="s">
        <v>4966</v>
      </c>
      <c r="J1018" s="0" t="s">
        <v>1750</v>
      </c>
      <c r="K1018" s="0" t="s">
        <v>144</v>
      </c>
      <c r="L1018" s="0"/>
      <c r="M1018" s="0" t="s">
        <v>4967</v>
      </c>
      <c r="N1018" s="0" t="str">
        <f aca="false">RIGHT(M1018,LEN(M1018)-FIND(" ",M1018))</f>
        <v>GLENWOOD ST NE</v>
      </c>
      <c r="P1018" s="0" t="s">
        <v>146</v>
      </c>
      <c r="Q1018" s="0" t="s">
        <v>147</v>
      </c>
      <c r="R1018" s="0" t="n">
        <v>44483</v>
      </c>
      <c r="AD1018" s="0" t="s">
        <v>148</v>
      </c>
      <c r="AE1018" s="0" t="s">
        <v>149</v>
      </c>
      <c r="AF1018" s="0" t="s">
        <v>150</v>
      </c>
      <c r="AH1018" s="0" t="n">
        <v>14</v>
      </c>
      <c r="AI1018" s="0" t="n">
        <v>11</v>
      </c>
      <c r="AN1018" s="0" t="s">
        <v>146</v>
      </c>
      <c r="AO1018" s="0" t="s">
        <v>236</v>
      </c>
      <c r="AP1018" s="0" t="s">
        <v>237</v>
      </c>
      <c r="AQ1018" s="0" t="n">
        <v>9</v>
      </c>
      <c r="AR1018" s="0" t="n">
        <v>64</v>
      </c>
      <c r="AS1018" s="0" t="n">
        <v>32</v>
      </c>
      <c r="AU1018" s="0" t="n">
        <f aca="false">COUNTA($BA$313:$EH$313)</f>
        <v>1</v>
      </c>
      <c r="AV1018" s="0" t="n">
        <f aca="false">COUNTIF($BA$313:$EH$313,"D")</f>
        <v>0</v>
      </c>
      <c r="AW1018" s="0" t="n">
        <f aca="false">COUNTIF($BA$313:$EH$313,"R")</f>
        <v>0</v>
      </c>
      <c r="AX1018" s="0" t="n">
        <f aca="false"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>0</v>
      </c>
      <c r="AY1018" s="0" t="n">
        <f aca="false">COUNTIF(DU1018:EH1018, "&lt;&gt;")</f>
        <v>0</v>
      </c>
      <c r="AZ1018" s="0" t="n">
        <f aca="false">IF(EH1018&lt;&gt;"",1,0)</f>
        <v>0</v>
      </c>
      <c r="BB1018" s="0" t="s">
        <v>153</v>
      </c>
      <c r="CY1018" s="0" t="s">
        <v>154</v>
      </c>
      <c r="DC1018" s="0" t="s">
        <v>154</v>
      </c>
      <c r="DN1018" s="0" t="s">
        <v>154</v>
      </c>
    </row>
    <row r="1019" customFormat="false" ht="13.8" hidden="true" customHeight="false" outlineLevel="0" collapsed="false">
      <c r="A1019" s="0" t="s">
        <v>4968</v>
      </c>
      <c r="B1019" s="0" t="n">
        <v>78</v>
      </c>
      <c r="C1019" s="0" t="n">
        <v>385379</v>
      </c>
      <c r="D1019" s="0" t="s">
        <v>4964</v>
      </c>
      <c r="E1019" s="0" t="s">
        <v>278</v>
      </c>
      <c r="F1019" s="0" t="str">
        <f aca="false">CONCATENATE(D1019," ",LEFT(H1019,4),"T=",AU1019,"D=",AV1019,"R=",AW1019,"M=",AX1019,"L=",AY1019,"B=",AZ1019)</f>
        <v>WOLBERT T=2D=0R=0M=0L=0B=0</v>
      </c>
      <c r="G1019" s="0" t="s">
        <v>1169</v>
      </c>
      <c r="I1019" s="0" t="s">
        <v>4969</v>
      </c>
      <c r="J1019" s="0" t="s">
        <v>4970</v>
      </c>
      <c r="K1019" s="0" t="s">
        <v>144</v>
      </c>
      <c r="L1019" s="0"/>
      <c r="M1019" s="0" t="s">
        <v>4967</v>
      </c>
      <c r="N1019" s="0" t="str">
        <f aca="false">RIGHT(M1019,LEN(M1019)-FIND(" ",M1019))</f>
        <v>GLENWOOD ST NE</v>
      </c>
      <c r="P1019" s="0" t="s">
        <v>146</v>
      </c>
      <c r="Q1019" s="0" t="s">
        <v>147</v>
      </c>
      <c r="R1019" s="0" t="n">
        <v>44483</v>
      </c>
      <c r="AD1019" s="0" t="s">
        <v>148</v>
      </c>
      <c r="AE1019" s="0" t="s">
        <v>149</v>
      </c>
      <c r="AF1019" s="0" t="s">
        <v>150</v>
      </c>
      <c r="AH1019" s="0" t="n">
        <v>14</v>
      </c>
      <c r="AI1019" s="0" t="n">
        <v>11</v>
      </c>
      <c r="AN1019" s="0" t="s">
        <v>146</v>
      </c>
      <c r="AO1019" s="0" t="s">
        <v>236</v>
      </c>
      <c r="AP1019" s="0" t="s">
        <v>237</v>
      </c>
      <c r="AQ1019" s="0" t="n">
        <v>9</v>
      </c>
      <c r="AR1019" s="0" t="n">
        <v>64</v>
      </c>
      <c r="AS1019" s="0" t="n">
        <v>32</v>
      </c>
      <c r="AU1019" s="0" t="n">
        <f aca="false">COUNTA($BA$680:$EH$680)</f>
        <v>2</v>
      </c>
      <c r="AV1019" s="0" t="n">
        <f aca="false">COUNTIF($BA$680:$EH$680,"D")</f>
        <v>0</v>
      </c>
      <c r="AW1019" s="0" t="n">
        <f aca="false">COUNTIF($BA$680:$EH$680,"R")</f>
        <v>0</v>
      </c>
      <c r="AX1019" s="0" t="n">
        <f aca="false"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>0</v>
      </c>
      <c r="AY1019" s="0" t="n">
        <f aca="false">COUNTIF(DU1019:EH1019, "&lt;&gt;")</f>
        <v>0</v>
      </c>
      <c r="AZ1019" s="0" t="n">
        <f aca="false">IF(EH1019&lt;&gt;"",1,0)</f>
        <v>0</v>
      </c>
      <c r="BB1019" s="0" t="s">
        <v>153</v>
      </c>
      <c r="CY1019" s="0" t="s">
        <v>154</v>
      </c>
      <c r="DC1019" s="0" t="s">
        <v>154</v>
      </c>
      <c r="DI1019" s="0" t="s">
        <v>154</v>
      </c>
      <c r="DN1019" s="0" t="s">
        <v>154</v>
      </c>
    </row>
    <row r="1020" customFormat="false" ht="13.8" hidden="true" customHeight="false" outlineLevel="0" collapsed="false">
      <c r="A1020" s="0" t="s">
        <v>4971</v>
      </c>
      <c r="B1020" s="0" t="n">
        <v>78</v>
      </c>
      <c r="C1020" s="0" t="n">
        <v>337965</v>
      </c>
      <c r="D1020" s="0" t="s">
        <v>4972</v>
      </c>
      <c r="E1020" s="0" t="s">
        <v>744</v>
      </c>
      <c r="F1020" s="0" t="str">
        <f aca="false">CONCATENATE(D1020," ",LEFT(H1020,4),"T=",AU1020,"D=",AV1020,"R=",AW1020,"M=",AX1020,"L=",AY1020,"B=",AZ1020)</f>
        <v>COMANESCU T=47D=15R=0M=0L=0B=0</v>
      </c>
      <c r="G1020" s="0" t="s">
        <v>188</v>
      </c>
      <c r="I1020" s="0" t="s">
        <v>4973</v>
      </c>
      <c r="J1020" s="0" t="s">
        <v>4974</v>
      </c>
      <c r="K1020" s="0" t="s">
        <v>175</v>
      </c>
      <c r="L1020" s="0"/>
      <c r="M1020" s="0" t="s">
        <v>4975</v>
      </c>
      <c r="N1020" s="0" t="str">
        <f aca="false">RIGHT(M1020,LEN(M1020)-FIND(" ",M1020))</f>
        <v>GLENWOOD ST NE</v>
      </c>
      <c r="P1020" s="0" t="s">
        <v>146</v>
      </c>
      <c r="Q1020" s="0" t="s">
        <v>147</v>
      </c>
      <c r="R1020" s="0" t="n">
        <v>44483</v>
      </c>
      <c r="AD1020" s="0" t="s">
        <v>148</v>
      </c>
      <c r="AE1020" s="0" t="s">
        <v>149</v>
      </c>
      <c r="AF1020" s="0" t="s">
        <v>150</v>
      </c>
      <c r="AH1020" s="0" t="n">
        <v>14</v>
      </c>
      <c r="AI1020" s="0" t="n">
        <v>11</v>
      </c>
      <c r="AN1020" s="0" t="s">
        <v>146</v>
      </c>
      <c r="AO1020" s="0" t="s">
        <v>236</v>
      </c>
      <c r="AP1020" s="0" t="s">
        <v>237</v>
      </c>
      <c r="AQ1020" s="0" t="n">
        <v>9</v>
      </c>
      <c r="AR1020" s="0" t="n">
        <v>64</v>
      </c>
      <c r="AS1020" s="0" t="n">
        <v>32</v>
      </c>
      <c r="AU1020" s="0" t="n">
        <f aca="false">COUNTA($BA$323:$EH$323)</f>
        <v>47</v>
      </c>
      <c r="AV1020" s="0" t="n">
        <f aca="false">COUNTIF($BA$323:$EH$323,"D")</f>
        <v>15</v>
      </c>
      <c r="AW1020" s="0" t="n">
        <f aca="false">COUNTIF($BA$323:$EH$323,"R")</f>
        <v>0</v>
      </c>
      <c r="AX1020" s="0" t="n">
        <f aca="false"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>0</v>
      </c>
      <c r="AY1020" s="0" t="n">
        <f aca="false">COUNTIF(DU1020:EH1020, "&lt;&gt;")</f>
        <v>0</v>
      </c>
      <c r="AZ1020" s="0" t="n">
        <f aca="false">IF(EH1020&lt;&gt;"",1,0)</f>
        <v>0</v>
      </c>
      <c r="BB1020" s="0" t="s">
        <v>153</v>
      </c>
    </row>
    <row r="1021" customFormat="false" ht="13.8" hidden="true" customHeight="false" outlineLevel="0" collapsed="false">
      <c r="A1021" s="0" t="s">
        <v>4976</v>
      </c>
      <c r="B1021" s="0" t="n">
        <v>78</v>
      </c>
      <c r="C1021" s="0" t="n">
        <v>372939</v>
      </c>
      <c r="D1021" s="0" t="s">
        <v>4972</v>
      </c>
      <c r="E1021" s="0" t="s">
        <v>4977</v>
      </c>
      <c r="F1021" s="0" t="str">
        <f aca="false">CONCATENATE(D1021," ",LEFT(H1021,4),"T=",AU1021,"D=",AV1021,"R=",AW1021,"M=",AX1021,"L=",AY1021,"B=",AZ1021)</f>
        <v>COMANESCU T=2D=0R=0M=0L=0B=0</v>
      </c>
      <c r="G1021" s="0" t="s">
        <v>176</v>
      </c>
      <c r="I1021" s="0" t="s">
        <v>2054</v>
      </c>
      <c r="J1021" s="0" t="s">
        <v>4978</v>
      </c>
      <c r="K1021" s="0" t="s">
        <v>175</v>
      </c>
      <c r="L1021" s="0"/>
      <c r="M1021" s="0" t="s">
        <v>4975</v>
      </c>
      <c r="N1021" s="0" t="str">
        <f aca="false">RIGHT(M1021,LEN(M1021)-FIND(" ",M1021))</f>
        <v>GLENWOOD ST NE</v>
      </c>
      <c r="P1021" s="0" t="s">
        <v>146</v>
      </c>
      <c r="Q1021" s="0" t="s">
        <v>147</v>
      </c>
      <c r="R1021" s="0" t="n">
        <v>44483</v>
      </c>
      <c r="AD1021" s="0" t="s">
        <v>148</v>
      </c>
      <c r="AE1021" s="0" t="s">
        <v>149</v>
      </c>
      <c r="AF1021" s="0" t="s">
        <v>150</v>
      </c>
      <c r="AH1021" s="0" t="n">
        <v>14</v>
      </c>
      <c r="AI1021" s="0" t="n">
        <v>11</v>
      </c>
      <c r="AN1021" s="0" t="s">
        <v>146</v>
      </c>
      <c r="AO1021" s="0" t="s">
        <v>236</v>
      </c>
      <c r="AP1021" s="0" t="s">
        <v>237</v>
      </c>
      <c r="AQ1021" s="0" t="n">
        <v>9</v>
      </c>
      <c r="AR1021" s="0" t="n">
        <v>64</v>
      </c>
      <c r="AS1021" s="0" t="n">
        <v>32</v>
      </c>
      <c r="AU1021" s="0" t="n">
        <f aca="false">COUNTA($BA$504:$EH$504)</f>
        <v>2</v>
      </c>
      <c r="AV1021" s="0" t="n">
        <f aca="false">COUNTIF($BA$504:$EH$504,"D")</f>
        <v>0</v>
      </c>
      <c r="AW1021" s="0" t="n">
        <f aca="false">COUNTIF($BA$504:$EH$504,"R")</f>
        <v>0</v>
      </c>
      <c r="AX1021" s="0" t="n">
        <f aca="false"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>0</v>
      </c>
      <c r="AY1021" s="0" t="n">
        <f aca="false">COUNTIF(DU1021:EH1021, "&lt;&gt;")</f>
        <v>0</v>
      </c>
      <c r="AZ1021" s="0" t="n">
        <f aca="false">IF(EH1021&lt;&gt;"",1,0)</f>
        <v>0</v>
      </c>
      <c r="BB1021" s="0" t="s">
        <v>153</v>
      </c>
      <c r="CP1021" s="0" t="s">
        <v>154</v>
      </c>
    </row>
    <row r="1022" customFormat="false" ht="13.8" hidden="true" customHeight="false" outlineLevel="0" collapsed="false">
      <c r="A1022" s="0" t="s">
        <v>4979</v>
      </c>
      <c r="B1022" s="0" t="n">
        <v>78</v>
      </c>
      <c r="C1022" s="0" t="n">
        <v>409397</v>
      </c>
      <c r="D1022" s="0" t="s">
        <v>4972</v>
      </c>
      <c r="E1022" s="0" t="s">
        <v>750</v>
      </c>
      <c r="F1022" s="0" t="str">
        <f aca="false">CONCATENATE(D1022," ",LEFT(H1022,4),"T=",AU1022,"D=",AV1022,"R=",AW1022,"M=",AX1022,"L=",AY1022,"B=",AZ1022)</f>
        <v>COMANESCU T=2D=0R=0M=0L=0B=0</v>
      </c>
      <c r="G1022" s="0" t="s">
        <v>188</v>
      </c>
      <c r="I1022" s="0" t="s">
        <v>4980</v>
      </c>
      <c r="J1022" s="0" t="s">
        <v>4981</v>
      </c>
      <c r="K1022" s="0" t="s">
        <v>175</v>
      </c>
      <c r="L1022" s="0"/>
      <c r="M1022" s="0" t="s">
        <v>4975</v>
      </c>
      <c r="N1022" s="0" t="str">
        <f aca="false">RIGHT(M1022,LEN(M1022)-FIND(" ",M1022))</f>
        <v>GLENWOOD ST NE</v>
      </c>
      <c r="P1022" s="0" t="s">
        <v>146</v>
      </c>
      <c r="Q1022" s="0" t="s">
        <v>147</v>
      </c>
      <c r="R1022" s="0" t="n">
        <v>44483</v>
      </c>
      <c r="AD1022" s="0" t="s">
        <v>148</v>
      </c>
      <c r="AE1022" s="0" t="s">
        <v>149</v>
      </c>
      <c r="AF1022" s="0" t="s">
        <v>150</v>
      </c>
      <c r="AH1022" s="0" t="n">
        <v>14</v>
      </c>
      <c r="AI1022" s="0" t="n">
        <v>11</v>
      </c>
      <c r="AN1022" s="0" t="s">
        <v>146</v>
      </c>
      <c r="AO1022" s="0" t="s">
        <v>236</v>
      </c>
      <c r="AP1022" s="0" t="s">
        <v>237</v>
      </c>
      <c r="AQ1022" s="0" t="n">
        <v>9</v>
      </c>
      <c r="AR1022" s="0" t="n">
        <v>64</v>
      </c>
      <c r="AS1022" s="0" t="n">
        <v>32</v>
      </c>
      <c r="AU1022" s="0" t="n">
        <f aca="false">COUNTA($BA$530:$EH$530)</f>
        <v>2</v>
      </c>
      <c r="AV1022" s="0" t="n">
        <f aca="false">COUNTIF($BA$530:$EH$530,"D")</f>
        <v>0</v>
      </c>
      <c r="AW1022" s="0" t="n">
        <f aca="false">COUNTIF($BA$530:$EH$530,"R")</f>
        <v>0</v>
      </c>
      <c r="AX1022" s="0" t="n">
        <f aca="false"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>0</v>
      </c>
      <c r="AY1022" s="0" t="n">
        <f aca="false">COUNTIF(DU1022:EH1022, "&lt;&gt;")</f>
        <v>0</v>
      </c>
      <c r="AZ1022" s="0" t="n">
        <f aca="false">IF(EH1022&lt;&gt;"",1,0)</f>
        <v>0</v>
      </c>
      <c r="BB1022" s="0" t="s">
        <v>153</v>
      </c>
    </row>
    <row r="1023" customFormat="false" ht="13.8" hidden="true" customHeight="false" outlineLevel="0" collapsed="false">
      <c r="A1023" s="0" t="s">
        <v>4982</v>
      </c>
      <c r="B1023" s="0" t="n">
        <v>78</v>
      </c>
      <c r="C1023" s="0" t="n">
        <v>339178</v>
      </c>
      <c r="D1023" s="0" t="s">
        <v>4972</v>
      </c>
      <c r="E1023" s="0" t="s">
        <v>4983</v>
      </c>
      <c r="F1023" s="0" t="str">
        <f aca="false">CONCATENATE(D1023," ",LEFT(H1023,4),"T=",AU1023,"D=",AV1023,"R=",AW1023,"M=",AX1023,"L=",AY1023,"B=",AZ1023)</f>
        <v>COMANESCU T=2D=0R=0M=0L=0B=0</v>
      </c>
      <c r="I1023" s="0" t="s">
        <v>4984</v>
      </c>
      <c r="J1023" s="0" t="s">
        <v>3688</v>
      </c>
      <c r="K1023" s="0" t="s">
        <v>144</v>
      </c>
      <c r="L1023" s="0"/>
      <c r="M1023" s="0" t="s">
        <v>4975</v>
      </c>
      <c r="N1023" s="0" t="str">
        <f aca="false">RIGHT(M1023,LEN(M1023)-FIND(" ",M1023))</f>
        <v>GLENWOOD ST NE</v>
      </c>
      <c r="P1023" s="0" t="s">
        <v>146</v>
      </c>
      <c r="Q1023" s="0" t="s">
        <v>147</v>
      </c>
      <c r="R1023" s="0" t="n">
        <v>44483</v>
      </c>
      <c r="AD1023" s="0" t="s">
        <v>148</v>
      </c>
      <c r="AE1023" s="0" t="s">
        <v>149</v>
      </c>
      <c r="AF1023" s="0" t="s">
        <v>150</v>
      </c>
      <c r="AH1023" s="0" t="n">
        <v>14</v>
      </c>
      <c r="AI1023" s="0" t="n">
        <v>11</v>
      </c>
      <c r="AN1023" s="0" t="s">
        <v>146</v>
      </c>
      <c r="AO1023" s="0" t="s">
        <v>236</v>
      </c>
      <c r="AP1023" s="0" t="s">
        <v>237</v>
      </c>
      <c r="AQ1023" s="0" t="n">
        <v>9</v>
      </c>
      <c r="AR1023" s="0" t="n">
        <v>64</v>
      </c>
      <c r="AS1023" s="0" t="n">
        <v>32</v>
      </c>
      <c r="AU1023" s="0" t="n">
        <f aca="false">COUNTA($BA$679:$EH$679)</f>
        <v>2</v>
      </c>
      <c r="AV1023" s="0" t="n">
        <f aca="false">COUNTIF($BA$679:$EH$679,"D")</f>
        <v>0</v>
      </c>
      <c r="AW1023" s="0" t="n">
        <f aca="false">COUNTIF($BA$679:$EH$679,"R")</f>
        <v>0</v>
      </c>
      <c r="AX1023" s="0" t="n">
        <f aca="false"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>0</v>
      </c>
      <c r="AY1023" s="0" t="n">
        <f aca="false">COUNTIF(DU1023:EH1023, "&lt;&gt;")</f>
        <v>0</v>
      </c>
      <c r="AZ1023" s="0" t="n">
        <f aca="false">IF(EH1023&lt;&gt;"",1,0)</f>
        <v>0</v>
      </c>
      <c r="BB1023" s="0" t="s">
        <v>153</v>
      </c>
      <c r="BY1023" s="0" t="s">
        <v>155</v>
      </c>
      <c r="CA1023" s="0" t="s">
        <v>154</v>
      </c>
      <c r="CP1023" s="0" t="s">
        <v>154</v>
      </c>
      <c r="DC1023" s="0" t="s">
        <v>154</v>
      </c>
    </row>
    <row r="1024" customFormat="false" ht="13.8" hidden="true" customHeight="false" outlineLevel="0" collapsed="false">
      <c r="A1024" s="0" t="s">
        <v>4985</v>
      </c>
      <c r="B1024" s="0" t="n">
        <v>78</v>
      </c>
      <c r="C1024" s="0" t="n">
        <v>381842</v>
      </c>
      <c r="D1024" s="0" t="s">
        <v>4958</v>
      </c>
      <c r="E1024" s="0" t="s">
        <v>732</v>
      </c>
      <c r="F1024" s="0" t="str">
        <f aca="false">CONCATENATE(D1024," ",LEFT(H1024,4),"T=",AU1024,"D=",AV1024,"R=",AW1024,"M=",AX1024,"L=",AY1024,"B=",AZ1024)</f>
        <v>FOX T=5D=0R=0M=0L=0B=0</v>
      </c>
      <c r="G1024" s="0" t="s">
        <v>297</v>
      </c>
      <c r="I1024" s="0" t="s">
        <v>4986</v>
      </c>
      <c r="J1024" s="0" t="s">
        <v>4987</v>
      </c>
      <c r="K1024" s="0" t="s">
        <v>175</v>
      </c>
      <c r="L1024" s="0"/>
      <c r="M1024" s="0" t="s">
        <v>4988</v>
      </c>
      <c r="N1024" s="0" t="str">
        <f aca="false">RIGHT(M1024,LEN(M1024)-FIND(" ",M1024))</f>
        <v>GLENWOOD ST NE</v>
      </c>
      <c r="P1024" s="0" t="s">
        <v>146</v>
      </c>
      <c r="Q1024" s="0" t="s">
        <v>147</v>
      </c>
      <c r="R1024" s="0" t="n">
        <v>44483</v>
      </c>
      <c r="AD1024" s="0" t="s">
        <v>148</v>
      </c>
      <c r="AE1024" s="0" t="s">
        <v>149</v>
      </c>
      <c r="AF1024" s="0" t="s">
        <v>150</v>
      </c>
      <c r="AH1024" s="0" t="n">
        <v>14</v>
      </c>
      <c r="AI1024" s="0" t="n">
        <v>11</v>
      </c>
      <c r="AN1024" s="0" t="s">
        <v>146</v>
      </c>
      <c r="AO1024" s="0" t="s">
        <v>236</v>
      </c>
      <c r="AP1024" s="0" t="s">
        <v>237</v>
      </c>
      <c r="AQ1024" s="0" t="n">
        <v>9</v>
      </c>
      <c r="AR1024" s="0" t="n">
        <v>64</v>
      </c>
      <c r="AS1024" s="0" t="n">
        <v>32</v>
      </c>
      <c r="AU1024" s="0" t="n">
        <f aca="false">COUNTA($BA$523:$EH$523)</f>
        <v>5</v>
      </c>
      <c r="AV1024" s="0" t="n">
        <f aca="false">COUNTIF($BA$523:$EH$523,"D")</f>
        <v>0</v>
      </c>
      <c r="AW1024" s="0" t="n">
        <f aca="false">COUNTIF($BA$523:$EH$523,"R")</f>
        <v>0</v>
      </c>
      <c r="AX1024" s="0" t="n">
        <f aca="false"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>0</v>
      </c>
      <c r="AY1024" s="0" t="n">
        <f aca="false">COUNTIF(DU1024:EH1024, "&lt;&gt;")</f>
        <v>0</v>
      </c>
      <c r="AZ1024" s="0" t="n">
        <f aca="false">IF(EH1024&lt;&gt;"",1,0)</f>
        <v>0</v>
      </c>
      <c r="BB1024" s="0" t="s">
        <v>153</v>
      </c>
      <c r="CN1024" s="0" t="s">
        <v>154</v>
      </c>
      <c r="DN1024" s="0" t="s">
        <v>154</v>
      </c>
    </row>
    <row r="1025" customFormat="false" ht="13.8" hidden="true" customHeight="false" outlineLevel="0" collapsed="false">
      <c r="A1025" s="0" t="s">
        <v>4989</v>
      </c>
      <c r="B1025" s="0" t="n">
        <v>78</v>
      </c>
      <c r="C1025" s="0" t="n">
        <v>429745</v>
      </c>
      <c r="D1025" s="0" t="s">
        <v>4990</v>
      </c>
      <c r="E1025" s="0" t="s">
        <v>4991</v>
      </c>
      <c r="F1025" s="0" t="str">
        <f aca="false">CONCATENATE(D1025," ",LEFT(H1025,4),"T=",AU1025,"D=",AV1025,"R=",AW1025,"M=",AX1025,"L=",AY1025,"B=",AZ1025)</f>
        <v>KHAN T=4D=0R=0M=0L=0B=0</v>
      </c>
      <c r="G1025" s="0" t="s">
        <v>1446</v>
      </c>
      <c r="I1025" s="0" t="s">
        <v>4134</v>
      </c>
      <c r="J1025" s="0" t="s">
        <v>1524</v>
      </c>
      <c r="K1025" s="0" t="s">
        <v>175</v>
      </c>
      <c r="L1025" s="0"/>
      <c r="M1025" s="0" t="s">
        <v>4992</v>
      </c>
      <c r="N1025" s="0" t="str">
        <f aca="false">RIGHT(M1025,LEN(M1025)-FIND(" ",M1025))</f>
        <v>GLENWOOD ST NE</v>
      </c>
      <c r="P1025" s="0" t="s">
        <v>146</v>
      </c>
      <c r="Q1025" s="0" t="s">
        <v>147</v>
      </c>
      <c r="R1025" s="0" t="n">
        <v>44483</v>
      </c>
      <c r="AD1025" s="0" t="s">
        <v>148</v>
      </c>
      <c r="AE1025" s="0" t="s">
        <v>149</v>
      </c>
      <c r="AF1025" s="0" t="s">
        <v>150</v>
      </c>
      <c r="AH1025" s="0" t="n">
        <v>14</v>
      </c>
      <c r="AI1025" s="0" t="n">
        <v>11</v>
      </c>
      <c r="AN1025" s="0" t="s">
        <v>146</v>
      </c>
      <c r="AO1025" s="0" t="s">
        <v>236</v>
      </c>
      <c r="AP1025" s="0" t="s">
        <v>237</v>
      </c>
      <c r="AQ1025" s="0" t="n">
        <v>9</v>
      </c>
      <c r="AR1025" s="0" t="n">
        <v>64</v>
      </c>
      <c r="AS1025" s="0" t="n">
        <v>32</v>
      </c>
      <c r="AU1025" s="0" t="n">
        <f aca="false">COUNTA($BA$608:$EH$608)</f>
        <v>4</v>
      </c>
      <c r="AV1025" s="0" t="n">
        <f aca="false">COUNTIF($BA$608:$EH$608,"D")</f>
        <v>0</v>
      </c>
      <c r="AW1025" s="0" t="n">
        <f aca="false">COUNTIF($BA$608:$EH$608,"R")</f>
        <v>0</v>
      </c>
      <c r="AX1025" s="0" t="n">
        <f aca="false"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>0</v>
      </c>
      <c r="AY1025" s="0" t="n">
        <f aca="false">COUNTIF(DU1025:EH1025, "&lt;&gt;")</f>
        <v>0</v>
      </c>
      <c r="AZ1025" s="0" t="n">
        <f aca="false">IF(EH1025&lt;&gt;"",1,0)</f>
        <v>0</v>
      </c>
      <c r="BB1025" s="0" t="s">
        <v>153</v>
      </c>
    </row>
    <row r="1026" customFormat="false" ht="13.8" hidden="true" customHeight="false" outlineLevel="0" collapsed="false">
      <c r="A1026" s="0" t="s">
        <v>4993</v>
      </c>
      <c r="B1026" s="0" t="n">
        <v>78</v>
      </c>
      <c r="C1026" s="0" t="n">
        <v>463628</v>
      </c>
      <c r="D1026" s="0" t="s">
        <v>4990</v>
      </c>
      <c r="E1026" s="0" t="s">
        <v>4994</v>
      </c>
      <c r="F1026" s="0" t="str">
        <f aca="false">CONCATENATE(D1026," ",LEFT(H1026,4),"T=",AU1026,"D=",AV1026,"R=",AW1026,"M=",AX1026,"L=",AY1026,"B=",AZ1026)</f>
        <v>KHAN T=21D=4R=4M=0L=0B=0</v>
      </c>
      <c r="G1026" s="0" t="s">
        <v>4995</v>
      </c>
      <c r="I1026" s="0" t="s">
        <v>4996</v>
      </c>
      <c r="J1026" s="0" t="s">
        <v>4997</v>
      </c>
      <c r="K1026" s="0" t="s">
        <v>175</v>
      </c>
      <c r="L1026" s="0"/>
      <c r="M1026" s="0" t="s">
        <v>4992</v>
      </c>
      <c r="N1026" s="0" t="str">
        <f aca="false">RIGHT(M1026,LEN(M1026)-FIND(" ",M1026))</f>
        <v>GLENWOOD ST NE</v>
      </c>
      <c r="P1026" s="0" t="s">
        <v>146</v>
      </c>
      <c r="Q1026" s="0" t="s">
        <v>147</v>
      </c>
      <c r="R1026" s="0" t="n">
        <v>44483</v>
      </c>
      <c r="AD1026" s="0" t="s">
        <v>148</v>
      </c>
      <c r="AE1026" s="0" t="s">
        <v>149</v>
      </c>
      <c r="AF1026" s="0" t="s">
        <v>150</v>
      </c>
      <c r="AH1026" s="0" t="n">
        <v>14</v>
      </c>
      <c r="AI1026" s="0" t="n">
        <v>11</v>
      </c>
      <c r="AN1026" s="0" t="s">
        <v>146</v>
      </c>
      <c r="AO1026" s="0" t="s">
        <v>236</v>
      </c>
      <c r="AP1026" s="0" t="s">
        <v>237</v>
      </c>
      <c r="AQ1026" s="0" t="n">
        <v>9</v>
      </c>
      <c r="AR1026" s="0" t="n">
        <v>64</v>
      </c>
      <c r="AS1026" s="0" t="n">
        <v>32</v>
      </c>
      <c r="AU1026" s="0" t="n">
        <f aca="false">COUNTA($BA$695:$EH$695)</f>
        <v>21</v>
      </c>
      <c r="AV1026" s="0" t="n">
        <f aca="false">COUNTIF($BA$695:$EH$695,"D")</f>
        <v>4</v>
      </c>
      <c r="AW1026" s="0" t="n">
        <f aca="false">COUNTIF($BA$695:$EH$695,"R")</f>
        <v>4</v>
      </c>
      <c r="AX1026" s="0" t="n">
        <f aca="false"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>0</v>
      </c>
      <c r="AY1026" s="0" t="n">
        <f aca="false">COUNTIF(DU1026:EH1026, "&lt;&gt;")</f>
        <v>0</v>
      </c>
      <c r="AZ1026" s="0" t="n">
        <f aca="false">IF(EH1026&lt;&gt;"",1,0)</f>
        <v>0</v>
      </c>
      <c r="BB1026" s="0" t="s">
        <v>153</v>
      </c>
    </row>
    <row r="1027" customFormat="false" ht="13.8" hidden="false" customHeight="false" outlineLevel="0" collapsed="false">
      <c r="A1027" s="0" t="s">
        <v>4998</v>
      </c>
      <c r="B1027" s="0" t="n">
        <v>78</v>
      </c>
      <c r="C1027" s="0" t="n">
        <v>314512</v>
      </c>
      <c r="D1027" s="0" t="s">
        <v>4999</v>
      </c>
      <c r="E1027" s="0" t="s">
        <v>2005</v>
      </c>
      <c r="F1027" s="0" t="str">
        <f aca="false">CONCATENATE(D1027," ",LEFT(H1027,4),"T=",AU1027,"D=",AV1027,"R=",AW1027,"M=",AX1027,"L=",AY1027,"B=",AZ1027)</f>
        <v>STREETER T=1D=0R=0M=0L=5B=0</v>
      </c>
      <c r="I1027" s="0" t="s">
        <v>5000</v>
      </c>
      <c r="J1027" s="0" t="s">
        <v>5001</v>
      </c>
      <c r="K1027" s="0" t="s">
        <v>175</v>
      </c>
      <c r="L1027" s="1" t="s">
        <v>155</v>
      </c>
      <c r="M1027" s="0" t="s">
        <v>5002</v>
      </c>
      <c r="N1027" s="0" t="str">
        <f aca="false">RIGHT(M1027,LEN(M1027)-FIND(" ",M1027))</f>
        <v>GLENWOOD ST NE</v>
      </c>
      <c r="P1027" s="0" t="s">
        <v>146</v>
      </c>
      <c r="Q1027" s="0" t="s">
        <v>147</v>
      </c>
      <c r="R1027" s="0" t="n">
        <v>44483</v>
      </c>
      <c r="AD1027" s="0" t="s">
        <v>148</v>
      </c>
      <c r="AE1027" s="0" t="s">
        <v>149</v>
      </c>
      <c r="AF1027" s="0" t="s">
        <v>150</v>
      </c>
      <c r="AH1027" s="0" t="n">
        <v>14</v>
      </c>
      <c r="AI1027" s="0" t="n">
        <v>11</v>
      </c>
      <c r="AN1027" s="0" t="s">
        <v>146</v>
      </c>
      <c r="AO1027" s="0" t="s">
        <v>236</v>
      </c>
      <c r="AP1027" s="0" t="s">
        <v>237</v>
      </c>
      <c r="AQ1027" s="0" t="n">
        <v>9</v>
      </c>
      <c r="AR1027" s="0" t="n">
        <v>64</v>
      </c>
      <c r="AS1027" s="0" t="n">
        <v>32</v>
      </c>
      <c r="AU1027" s="0" t="n">
        <f aca="false">COUNTA($BA$285:$EH$285)</f>
        <v>1</v>
      </c>
      <c r="AV1027" s="0" t="n">
        <f aca="false">COUNTIF($BA$285:$EH$285,"D")</f>
        <v>0</v>
      </c>
      <c r="AW1027" s="0" t="n">
        <f aca="false">COUNTIF($BA$285:$EH$285,"R")</f>
        <v>0</v>
      </c>
      <c r="AX1027" s="0" t="n">
        <f aca="false"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>0</v>
      </c>
      <c r="AY1027" s="0" t="n">
        <f aca="false">COUNTIF(DU1027:EH1027, "&lt;&gt;")</f>
        <v>5</v>
      </c>
      <c r="AZ1027" s="0" t="n">
        <f aca="false">IF(EH1027&lt;&gt;"",1,0)</f>
        <v>0</v>
      </c>
      <c r="BB1027" s="0" t="s">
        <v>153</v>
      </c>
      <c r="BK1027" s="0" t="s">
        <v>154</v>
      </c>
      <c r="BL1027" s="0" t="s">
        <v>154</v>
      </c>
      <c r="BR1027" s="0" t="s">
        <v>154</v>
      </c>
      <c r="BS1027" s="0" t="s">
        <v>154</v>
      </c>
      <c r="BY1027" s="0" t="s">
        <v>155</v>
      </c>
      <c r="CA1027" s="0" t="s">
        <v>154</v>
      </c>
      <c r="CK1027" s="0" t="s">
        <v>154</v>
      </c>
      <c r="CN1027" s="0" t="s">
        <v>154</v>
      </c>
      <c r="CP1027" s="0" t="s">
        <v>154</v>
      </c>
      <c r="CV1027" s="0" t="s">
        <v>154</v>
      </c>
      <c r="CY1027" s="0" t="s">
        <v>154</v>
      </c>
      <c r="CZ1027" s="0" t="s">
        <v>155</v>
      </c>
      <c r="DC1027" s="0" t="s">
        <v>154</v>
      </c>
      <c r="DG1027" s="0" t="s">
        <v>155</v>
      </c>
      <c r="DI1027" s="0" t="s">
        <v>154</v>
      </c>
      <c r="DL1027" s="0" t="s">
        <v>154</v>
      </c>
      <c r="DM1027" s="0" t="s">
        <v>155</v>
      </c>
      <c r="DN1027" s="0" t="s">
        <v>154</v>
      </c>
      <c r="DU1027" s="0" t="s">
        <v>154</v>
      </c>
      <c r="DX1027" s="0" t="s">
        <v>154</v>
      </c>
      <c r="EA1027" s="0" t="s">
        <v>154</v>
      </c>
      <c r="ED1027" s="0" t="s">
        <v>155</v>
      </c>
      <c r="EF1027" s="0" t="s">
        <v>154</v>
      </c>
    </row>
    <row r="1028" customFormat="false" ht="13.8" hidden="false" customHeight="false" outlineLevel="0" collapsed="false">
      <c r="A1028" s="0" t="s">
        <v>5003</v>
      </c>
      <c r="B1028" s="0" t="n">
        <v>78</v>
      </c>
      <c r="C1028" s="0" t="n">
        <v>279557</v>
      </c>
      <c r="D1028" s="0" t="s">
        <v>4999</v>
      </c>
      <c r="E1028" s="0" t="s">
        <v>3942</v>
      </c>
      <c r="F1028" s="0" t="str">
        <f aca="false">CONCATENATE(D1028," ",LEFT(H1028,4),"T=",AU1028,"D=",AV1028,"R=",AW1028,"M=",AX1028,"L=",AY1028,"B=",AZ1028)</f>
        <v>STREETER T=1D=0R=0M=2L=6B=0</v>
      </c>
      <c r="G1028" s="0" t="s">
        <v>241</v>
      </c>
      <c r="I1028" s="0" t="s">
        <v>5004</v>
      </c>
      <c r="J1028" s="0" t="s">
        <v>5005</v>
      </c>
      <c r="K1028" s="0" t="s">
        <v>175</v>
      </c>
      <c r="L1028" s="1" t="s">
        <v>155</v>
      </c>
      <c r="M1028" s="0" t="s">
        <v>5002</v>
      </c>
      <c r="N1028" s="0" t="str">
        <f aca="false">RIGHT(M1028,LEN(M1028)-FIND(" ",M1028))</f>
        <v>GLENWOOD ST NE</v>
      </c>
      <c r="P1028" s="0" t="s">
        <v>146</v>
      </c>
      <c r="Q1028" s="0" t="s">
        <v>147</v>
      </c>
      <c r="R1028" s="0" t="n">
        <v>44483</v>
      </c>
      <c r="AD1028" s="0" t="s">
        <v>148</v>
      </c>
      <c r="AE1028" s="0" t="s">
        <v>149</v>
      </c>
      <c r="AF1028" s="0" t="s">
        <v>150</v>
      </c>
      <c r="AH1028" s="0" t="n">
        <v>14</v>
      </c>
      <c r="AI1028" s="0" t="n">
        <v>11</v>
      </c>
      <c r="AN1028" s="0" t="s">
        <v>146</v>
      </c>
      <c r="AO1028" s="0" t="s">
        <v>236</v>
      </c>
      <c r="AP1028" s="0" t="s">
        <v>237</v>
      </c>
      <c r="AQ1028" s="0" t="n">
        <v>9</v>
      </c>
      <c r="AR1028" s="0" t="n">
        <v>64</v>
      </c>
      <c r="AS1028" s="0" t="n">
        <v>32</v>
      </c>
      <c r="AU1028" s="0" t="n">
        <f aca="false">COUNTA($BA$503:$EH$503)</f>
        <v>1</v>
      </c>
      <c r="AV1028" s="0" t="n">
        <f aca="false">COUNTIF($BA$503:$EH$503,"D")</f>
        <v>0</v>
      </c>
      <c r="AW1028" s="0" t="n">
        <f aca="false">COUNTIF($BA$503:$EH$503,"R")</f>
        <v>0</v>
      </c>
      <c r="AX1028" s="0" t="n">
        <f aca="false"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>2</v>
      </c>
      <c r="AY1028" s="0" t="n">
        <f aca="false">COUNTIF(DU1028:EH1028, "&lt;&gt;")</f>
        <v>6</v>
      </c>
      <c r="AZ1028" s="0" t="n">
        <f aca="false">IF(EH1028&lt;&gt;"",1,0)</f>
        <v>0</v>
      </c>
      <c r="BB1028" s="0" t="s">
        <v>153</v>
      </c>
      <c r="BK1028" s="0" t="s">
        <v>154</v>
      </c>
      <c r="BL1028" s="0" t="s">
        <v>154</v>
      </c>
      <c r="BS1028" s="0" t="s">
        <v>154</v>
      </c>
      <c r="BY1028" s="0" t="s">
        <v>155</v>
      </c>
      <c r="CA1028" s="0" t="s">
        <v>154</v>
      </c>
      <c r="CK1028" s="0" t="s">
        <v>154</v>
      </c>
      <c r="CN1028" s="0" t="s">
        <v>154</v>
      </c>
      <c r="CP1028" s="0" t="s">
        <v>154</v>
      </c>
      <c r="CV1028" s="0" t="s">
        <v>154</v>
      </c>
      <c r="CY1028" s="0" t="s">
        <v>154</v>
      </c>
      <c r="CZ1028" s="0" t="s">
        <v>155</v>
      </c>
      <c r="DC1028" s="0" t="s">
        <v>154</v>
      </c>
      <c r="DF1028" s="0" t="s">
        <v>154</v>
      </c>
      <c r="DG1028" s="0" t="s">
        <v>155</v>
      </c>
      <c r="DI1028" s="0" t="s">
        <v>154</v>
      </c>
      <c r="DJ1028" s="0" t="s">
        <v>155</v>
      </c>
      <c r="DL1028" s="0" t="s">
        <v>154</v>
      </c>
      <c r="DM1028" s="0" t="s">
        <v>155</v>
      </c>
      <c r="DN1028" s="0" t="s">
        <v>154</v>
      </c>
      <c r="DS1028" s="0" t="s">
        <v>155</v>
      </c>
      <c r="DU1028" s="0" t="s">
        <v>154</v>
      </c>
      <c r="DW1028" s="0" t="s">
        <v>155</v>
      </c>
      <c r="DX1028" s="0" t="s">
        <v>154</v>
      </c>
      <c r="EA1028" s="0" t="s">
        <v>154</v>
      </c>
      <c r="ED1028" s="0" t="s">
        <v>155</v>
      </c>
      <c r="EF1028" s="0" t="s">
        <v>154</v>
      </c>
    </row>
    <row r="1029" customFormat="false" ht="13.8" hidden="false" customHeight="false" outlineLevel="0" collapsed="false">
      <c r="A1029" s="0" t="s">
        <v>5006</v>
      </c>
      <c r="B1029" s="0" t="n">
        <v>78</v>
      </c>
      <c r="C1029" s="0" t="n">
        <v>348843</v>
      </c>
      <c r="D1029" s="0" t="s">
        <v>5007</v>
      </c>
      <c r="E1029" s="0" t="s">
        <v>5008</v>
      </c>
      <c r="F1029" s="0" t="str">
        <f aca="false">CONCATENATE(D1029," ",LEFT(H1029,4),"T=",AU1029,"D=",AV1029,"R=",AW1029,"M=",AX1029,"L=",AY1029,"B=",AZ1029)</f>
        <v>HUSTON IIT=36D=8R=0M=0L=3B=0</v>
      </c>
      <c r="G1029" s="0" t="s">
        <v>297</v>
      </c>
      <c r="H1029" s="0" t="s">
        <v>598</v>
      </c>
      <c r="I1029" s="0" t="s">
        <v>5009</v>
      </c>
      <c r="J1029" s="0" t="s">
        <v>5010</v>
      </c>
      <c r="K1029" s="0" t="s">
        <v>175</v>
      </c>
      <c r="M1029" s="0" t="s">
        <v>5011</v>
      </c>
      <c r="N1029" s="0" t="str">
        <f aca="false">RIGHT(M1029,LEN(M1029)-FIND(" ",M1029))</f>
        <v>GLENWOOD ST NE</v>
      </c>
      <c r="P1029" s="0" t="s">
        <v>146</v>
      </c>
      <c r="Q1029" s="0" t="s">
        <v>147</v>
      </c>
      <c r="R1029" s="0" t="n">
        <v>44483</v>
      </c>
      <c r="AD1029" s="0" t="s">
        <v>148</v>
      </c>
      <c r="AE1029" s="0" t="s">
        <v>149</v>
      </c>
      <c r="AF1029" s="0" t="s">
        <v>150</v>
      </c>
      <c r="AH1029" s="0" t="n">
        <v>14</v>
      </c>
      <c r="AI1029" s="0" t="n">
        <v>11</v>
      </c>
      <c r="AN1029" s="0" t="s">
        <v>146</v>
      </c>
      <c r="AO1029" s="0" t="s">
        <v>236</v>
      </c>
      <c r="AP1029" s="0" t="s">
        <v>237</v>
      </c>
      <c r="AQ1029" s="0" t="n">
        <v>9</v>
      </c>
      <c r="AR1029" s="0" t="n">
        <v>64</v>
      </c>
      <c r="AS1029" s="0" t="n">
        <v>32</v>
      </c>
      <c r="AU1029" s="0" t="n">
        <f aca="false">COUNTA($BA$322:$EH$322)</f>
        <v>36</v>
      </c>
      <c r="AV1029" s="0" t="n">
        <f aca="false">COUNTIF($BA$322:$EH$322,"D")</f>
        <v>8</v>
      </c>
      <c r="AW1029" s="0" t="n">
        <f aca="false">COUNTIF($BA$322:$EH$322,"R")</f>
        <v>0</v>
      </c>
      <c r="AX1029" s="0" t="n">
        <f aca="false"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>0</v>
      </c>
      <c r="AY1029" s="0" t="n">
        <f aca="false">COUNTIF(DU1029:EH1029, "&lt;&gt;")</f>
        <v>3</v>
      </c>
      <c r="AZ1029" s="0" t="n">
        <f aca="false">IF(EH1029&lt;&gt;"",1,0)</f>
        <v>0</v>
      </c>
      <c r="BB1029" s="0" t="s">
        <v>153</v>
      </c>
      <c r="DC1029" s="0" t="s">
        <v>154</v>
      </c>
      <c r="DN1029" s="0" t="s">
        <v>154</v>
      </c>
      <c r="DU1029" s="0" t="s">
        <v>154</v>
      </c>
      <c r="EA1029" s="0" t="s">
        <v>154</v>
      </c>
      <c r="EF1029" s="0" t="s">
        <v>154</v>
      </c>
    </row>
    <row r="1030" customFormat="false" ht="13.8" hidden="true" customHeight="false" outlineLevel="0" collapsed="false">
      <c r="A1030" s="0" t="s">
        <v>5012</v>
      </c>
      <c r="B1030" s="0" t="n">
        <v>78</v>
      </c>
      <c r="C1030" s="0" t="n">
        <v>477909</v>
      </c>
      <c r="D1030" s="0" t="s">
        <v>2311</v>
      </c>
      <c r="E1030" s="0" t="s">
        <v>5013</v>
      </c>
      <c r="F1030" s="0" t="str">
        <f aca="false">CONCATENATE(D1030," ",LEFT(H1030,4),"T=",AU1030,"D=",AV1030,"R=",AW1030,"M=",AX1030,"L=",AY1030,"B=",AZ1030)</f>
        <v>LEWIS T=2D=0R=0M=0L=0B=0</v>
      </c>
      <c r="I1030" s="0" t="s">
        <v>5014</v>
      </c>
      <c r="J1030" s="0" t="s">
        <v>378</v>
      </c>
      <c r="K1030" s="0" t="s">
        <v>175</v>
      </c>
      <c r="L1030" s="0"/>
      <c r="M1030" s="0" t="s">
        <v>5015</v>
      </c>
      <c r="N1030" s="0" t="str">
        <f aca="false">RIGHT(M1030,LEN(M1030)-FIND(" ",M1030))</f>
        <v>GLENWOOD ST NE</v>
      </c>
      <c r="P1030" s="0" t="s">
        <v>146</v>
      </c>
      <c r="Q1030" s="0" t="s">
        <v>147</v>
      </c>
      <c r="R1030" s="0" t="n">
        <v>44483</v>
      </c>
      <c r="AD1030" s="0" t="s">
        <v>148</v>
      </c>
      <c r="AE1030" s="0" t="s">
        <v>149</v>
      </c>
      <c r="AF1030" s="0" t="s">
        <v>150</v>
      </c>
      <c r="AH1030" s="0" t="n">
        <v>14</v>
      </c>
      <c r="AI1030" s="0" t="n">
        <v>11</v>
      </c>
      <c r="AN1030" s="0" t="s">
        <v>146</v>
      </c>
      <c r="AO1030" s="0" t="s">
        <v>236</v>
      </c>
      <c r="AP1030" s="0" t="s">
        <v>237</v>
      </c>
      <c r="AQ1030" s="0" t="n">
        <v>9</v>
      </c>
      <c r="AR1030" s="0" t="n">
        <v>64</v>
      </c>
      <c r="AS1030" s="0" t="n">
        <v>32</v>
      </c>
      <c r="AU1030" s="0" t="n">
        <f aca="false">COUNTA($BA$962:$EH$962)</f>
        <v>2</v>
      </c>
      <c r="AV1030" s="0" t="n">
        <f aca="false">COUNTIF($BA$962:$EH$962,"D")</f>
        <v>0</v>
      </c>
      <c r="AW1030" s="0" t="n">
        <f aca="false">COUNTIF($BA$962:$EH$962,"R")</f>
        <v>0</v>
      </c>
      <c r="AX1030" s="0" t="n">
        <f aca="false"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>0</v>
      </c>
      <c r="AY1030" s="0" t="n">
        <f aca="false">COUNTIF(DU1030:EH1030, "&lt;&gt;")</f>
        <v>0</v>
      </c>
      <c r="AZ1030" s="0" t="n">
        <f aca="false">IF(EH1030&lt;&gt;"",1,0)</f>
        <v>0</v>
      </c>
      <c r="BB1030" s="0" t="s">
        <v>153</v>
      </c>
    </row>
    <row r="1031" customFormat="false" ht="13.8" hidden="true" customHeight="false" outlineLevel="0" collapsed="false">
      <c r="A1031" s="0" t="s">
        <v>5016</v>
      </c>
      <c r="B1031" s="0" t="n">
        <v>78</v>
      </c>
      <c r="C1031" s="0" t="n">
        <v>399865</v>
      </c>
      <c r="D1031" s="0" t="s">
        <v>5017</v>
      </c>
      <c r="E1031" s="0" t="s">
        <v>5018</v>
      </c>
      <c r="F1031" s="0" t="str">
        <f aca="false">CONCATENATE(D1031," ",LEFT(H1031,4),"T=",AU1031,"D=",AV1031,"R=",AW1031,"M=",AX1031,"L=",AY1031,"B=",AZ1031)</f>
        <v>DAVENPORT T=42D=16R=0M=0L=0B=0</v>
      </c>
      <c r="G1031" s="0" t="s">
        <v>176</v>
      </c>
      <c r="I1031" s="0" t="s">
        <v>5019</v>
      </c>
      <c r="J1031" s="0" t="s">
        <v>395</v>
      </c>
      <c r="K1031" s="0" t="s">
        <v>144</v>
      </c>
      <c r="L1031" s="0"/>
      <c r="M1031" s="0" t="s">
        <v>5020</v>
      </c>
      <c r="N1031" s="0" t="str">
        <f aca="false">RIGHT(M1031,LEN(M1031)-FIND(" ",M1031))</f>
        <v>GLENWOOD ST NE</v>
      </c>
      <c r="P1031" s="0" t="s">
        <v>146</v>
      </c>
      <c r="Q1031" s="0" t="s">
        <v>147</v>
      </c>
      <c r="R1031" s="0" t="n">
        <v>44483</v>
      </c>
      <c r="AD1031" s="0" t="s">
        <v>148</v>
      </c>
      <c r="AE1031" s="0" t="s">
        <v>149</v>
      </c>
      <c r="AF1031" s="0" t="s">
        <v>150</v>
      </c>
      <c r="AH1031" s="0" t="n">
        <v>14</v>
      </c>
      <c r="AI1031" s="0" t="n">
        <v>11</v>
      </c>
      <c r="AN1031" s="0" t="s">
        <v>146</v>
      </c>
      <c r="AO1031" s="0" t="s">
        <v>236</v>
      </c>
      <c r="AP1031" s="0" t="s">
        <v>237</v>
      </c>
      <c r="AQ1031" s="0" t="n">
        <v>9</v>
      </c>
      <c r="AR1031" s="0" t="n">
        <v>64</v>
      </c>
      <c r="AS1031" s="0" t="n">
        <v>32</v>
      </c>
      <c r="AU1031" s="0" t="n">
        <f aca="false">COUNTA($BA$981:$EH$981)</f>
        <v>42</v>
      </c>
      <c r="AV1031" s="0" t="n">
        <f aca="false">COUNTIF($BA$981:$EH$981,"D")</f>
        <v>16</v>
      </c>
      <c r="AW1031" s="0" t="n">
        <f aca="false">COUNTIF($BA$981:$EH$981,"R")</f>
        <v>0</v>
      </c>
      <c r="AX1031" s="0" t="n">
        <f aca="false"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>0</v>
      </c>
      <c r="AY1031" s="0" t="n">
        <f aca="false">COUNTIF(DU1031:EH1031, "&lt;&gt;")</f>
        <v>0</v>
      </c>
      <c r="AZ1031" s="0" t="n">
        <f aca="false">IF(EH1031&lt;&gt;"",1,0)</f>
        <v>0</v>
      </c>
      <c r="BB1031" s="0" t="s">
        <v>153</v>
      </c>
      <c r="DC1031" s="0" t="s">
        <v>154</v>
      </c>
    </row>
    <row r="1032" customFormat="false" ht="13.8" hidden="true" customHeight="false" outlineLevel="0" collapsed="false">
      <c r="A1032" s="0" t="s">
        <v>5021</v>
      </c>
      <c r="B1032" s="0" t="n">
        <v>78</v>
      </c>
      <c r="C1032" s="0" t="n">
        <v>443062</v>
      </c>
      <c r="D1032" s="0" t="s">
        <v>4666</v>
      </c>
      <c r="E1032" s="0" t="s">
        <v>5022</v>
      </c>
      <c r="F1032" s="0" t="str">
        <f aca="false">CONCATENATE(D1032," ",LEFT(H1032,4),"T=",AU1032,"D=",AV1032,"R=",AW1032,"M=",AX1032,"L=",AY1032,"B=",AZ1032)</f>
        <v>FAISON T=1D=0R=0M=0L=0B=0</v>
      </c>
      <c r="G1032" s="0" t="s">
        <v>3139</v>
      </c>
      <c r="I1032" s="0" t="s">
        <v>5023</v>
      </c>
      <c r="J1032" s="0" t="s">
        <v>5024</v>
      </c>
      <c r="K1032" s="0" t="s">
        <v>175</v>
      </c>
      <c r="L1032" s="0"/>
      <c r="M1032" s="0" t="s">
        <v>5025</v>
      </c>
      <c r="N1032" s="0" t="str">
        <f aca="false">RIGHT(M1032,LEN(M1032)-FIND(" ",M1032))</f>
        <v>GLENWOOD ST NE</v>
      </c>
      <c r="P1032" s="0" t="s">
        <v>146</v>
      </c>
      <c r="Q1032" s="0" t="s">
        <v>147</v>
      </c>
      <c r="R1032" s="0" t="n">
        <v>44483</v>
      </c>
      <c r="AD1032" s="0" t="s">
        <v>148</v>
      </c>
      <c r="AE1032" s="0" t="s">
        <v>149</v>
      </c>
      <c r="AF1032" s="0" t="s">
        <v>150</v>
      </c>
      <c r="AH1032" s="0" t="n">
        <v>14</v>
      </c>
      <c r="AI1032" s="0" t="n">
        <v>11</v>
      </c>
      <c r="AN1032" s="0" t="s">
        <v>146</v>
      </c>
      <c r="AO1032" s="0" t="s">
        <v>236</v>
      </c>
      <c r="AP1032" s="0" t="s">
        <v>237</v>
      </c>
      <c r="AQ1032" s="0" t="n">
        <v>9</v>
      </c>
      <c r="AR1032" s="0" t="n">
        <v>64</v>
      </c>
      <c r="AS1032" s="0" t="n">
        <v>32</v>
      </c>
      <c r="AU1032" s="0" t="n">
        <f aca="false">COUNTA($BA$257:$EH$257)</f>
        <v>1</v>
      </c>
      <c r="AV1032" s="0" t="n">
        <f aca="false">COUNTIF($BA$257:$EH$257,"D")</f>
        <v>0</v>
      </c>
      <c r="AW1032" s="0" t="n">
        <f aca="false">COUNTIF($BA$257:$EH$257,"R")</f>
        <v>0</v>
      </c>
      <c r="AX1032" s="0" t="n">
        <f aca="false"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>0</v>
      </c>
      <c r="AY1032" s="0" t="n">
        <f aca="false">COUNTIF(DU1032:EH1032, "&lt;&gt;")</f>
        <v>0</v>
      </c>
      <c r="AZ1032" s="0" t="n">
        <f aca="false">IF(EH1032&lt;&gt;"",1,0)</f>
        <v>0</v>
      </c>
      <c r="BB1032" s="0" t="s">
        <v>153</v>
      </c>
    </row>
    <row r="1033" customFormat="false" ht="13.8" hidden="true" customHeight="false" outlineLevel="0" collapsed="false">
      <c r="A1033" s="0" t="s">
        <v>5026</v>
      </c>
      <c r="B1033" s="0" t="n">
        <v>78</v>
      </c>
      <c r="C1033" s="0" t="n">
        <v>492648</v>
      </c>
      <c r="D1033" s="0" t="s">
        <v>4666</v>
      </c>
      <c r="E1033" s="0" t="s">
        <v>5027</v>
      </c>
      <c r="F1033" s="0" t="str">
        <f aca="false">CONCATENATE(D1033," ",LEFT(H1033,4),"T=",AU1033,"D=",AV1033,"R=",AW1033,"M=",AX1033,"L=",AY1033,"B=",AZ1033)</f>
        <v>FAISON T=49D=18R=0M=0L=0B=0</v>
      </c>
      <c r="G1033" s="0" t="s">
        <v>5028</v>
      </c>
      <c r="I1033" s="0" t="s">
        <v>5029</v>
      </c>
      <c r="J1033" s="0" t="s">
        <v>5030</v>
      </c>
      <c r="K1033" s="0" t="s">
        <v>175</v>
      </c>
      <c r="L1033" s="0"/>
      <c r="M1033" s="0" t="s">
        <v>5025</v>
      </c>
      <c r="N1033" s="0" t="str">
        <f aca="false">RIGHT(M1033,LEN(M1033)-FIND(" ",M1033))</f>
        <v>GLENWOOD ST NE</v>
      </c>
      <c r="O1033" s="0" t="s">
        <v>5031</v>
      </c>
      <c r="P1033" s="0" t="s">
        <v>146</v>
      </c>
      <c r="Q1033" s="0" t="s">
        <v>147</v>
      </c>
      <c r="R1033" s="0" t="n">
        <v>44483</v>
      </c>
      <c r="AD1033" s="0" t="s">
        <v>148</v>
      </c>
      <c r="AE1033" s="0" t="s">
        <v>149</v>
      </c>
      <c r="AF1033" s="0" t="s">
        <v>150</v>
      </c>
      <c r="AH1033" s="0" t="n">
        <v>14</v>
      </c>
      <c r="AI1033" s="0" t="n">
        <v>11</v>
      </c>
      <c r="AN1033" s="0" t="s">
        <v>146</v>
      </c>
      <c r="AO1033" s="0" t="s">
        <v>236</v>
      </c>
      <c r="AP1033" s="0" t="s">
        <v>237</v>
      </c>
      <c r="AQ1033" s="0" t="n">
        <v>9</v>
      </c>
      <c r="AR1033" s="0" t="n">
        <v>64</v>
      </c>
      <c r="AS1033" s="0" t="n">
        <v>32</v>
      </c>
      <c r="AU1033" s="0" t="n">
        <f aca="false">COUNTA($BA$609:$EH$609)</f>
        <v>49</v>
      </c>
      <c r="AV1033" s="0" t="n">
        <f aca="false">COUNTIF($BA$609:$EH$609,"D")</f>
        <v>18</v>
      </c>
      <c r="AW1033" s="0" t="n">
        <f aca="false">COUNTIF($BA$609:$EH$609,"R")</f>
        <v>0</v>
      </c>
      <c r="AX1033" s="0" t="n">
        <f aca="false"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>0</v>
      </c>
      <c r="AY1033" s="0" t="n">
        <f aca="false">COUNTIF(DU1033:EH1033, "&lt;&gt;")</f>
        <v>0</v>
      </c>
      <c r="AZ1033" s="0" t="n">
        <f aca="false">IF(EH1033&lt;&gt;"",1,0)</f>
        <v>0</v>
      </c>
      <c r="BB1033" s="0" t="s">
        <v>153</v>
      </c>
    </row>
    <row r="1034" customFormat="false" ht="13.8" hidden="true" customHeight="false" outlineLevel="0" collapsed="false">
      <c r="A1034" s="0" t="s">
        <v>5032</v>
      </c>
      <c r="B1034" s="0" t="n">
        <v>78</v>
      </c>
      <c r="C1034" s="0" t="n">
        <v>247045</v>
      </c>
      <c r="D1034" s="0" t="s">
        <v>2507</v>
      </c>
      <c r="E1034" s="0" t="s">
        <v>5033</v>
      </c>
      <c r="F1034" s="0" t="str">
        <f aca="false">CONCATENATE(D1034," ",LEFT(H1034,4),"T=",AU1034,"D=",AV1034,"R=",AW1034,"M=",AX1034,"L=",AY1034,"B=",AZ1034)</f>
        <v>WATSON T=8D=1R=0M=0L=1B=0</v>
      </c>
      <c r="G1034" s="0" t="s">
        <v>241</v>
      </c>
      <c r="I1034" s="0" t="s">
        <v>5034</v>
      </c>
      <c r="J1034" s="0" t="s">
        <v>712</v>
      </c>
      <c r="K1034" s="0" t="s">
        <v>175</v>
      </c>
      <c r="L1034" s="0"/>
      <c r="M1034" s="0" t="s">
        <v>5025</v>
      </c>
      <c r="N1034" s="0" t="str">
        <f aca="false">RIGHT(M1034,LEN(M1034)-FIND(" ",M1034))</f>
        <v>GLENWOOD ST NE</v>
      </c>
      <c r="P1034" s="0" t="s">
        <v>146</v>
      </c>
      <c r="Q1034" s="0" t="s">
        <v>147</v>
      </c>
      <c r="R1034" s="0" t="n">
        <v>44483</v>
      </c>
      <c r="AD1034" s="0" t="s">
        <v>148</v>
      </c>
      <c r="AE1034" s="0" t="s">
        <v>149</v>
      </c>
      <c r="AF1034" s="0" t="s">
        <v>150</v>
      </c>
      <c r="AH1034" s="0" t="n">
        <v>14</v>
      </c>
      <c r="AI1034" s="0" t="n">
        <v>11</v>
      </c>
      <c r="AN1034" s="0" t="s">
        <v>146</v>
      </c>
      <c r="AO1034" s="0" t="s">
        <v>236</v>
      </c>
      <c r="AP1034" s="0" t="s">
        <v>237</v>
      </c>
      <c r="AQ1034" s="0" t="n">
        <v>9</v>
      </c>
      <c r="AR1034" s="0" t="n">
        <v>64</v>
      </c>
      <c r="AS1034" s="0" t="n">
        <v>32</v>
      </c>
      <c r="AU1034" s="0" t="n">
        <f aca="false">COUNTA($BA$691:$EH$691)</f>
        <v>8</v>
      </c>
      <c r="AV1034" s="0" t="n">
        <f aca="false">COUNTIF($BA$691:$EH$691,"D")</f>
        <v>1</v>
      </c>
      <c r="AW1034" s="0" t="n">
        <f aca="false">COUNTIF($BA$691:$EH$691,"R")</f>
        <v>0</v>
      </c>
      <c r="AX1034" s="0" t="n">
        <f aca="false"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>0</v>
      </c>
      <c r="AY1034" s="0" t="n">
        <f aca="false">COUNTIF(DU1034:EH1034, "&lt;&gt;")</f>
        <v>1</v>
      </c>
      <c r="AZ1034" s="0" t="n">
        <f aca="false">IF(EH1034&lt;&gt;"",1,0)</f>
        <v>0</v>
      </c>
      <c r="BB1034" s="0" t="s">
        <v>153</v>
      </c>
      <c r="BD1034" s="0" t="s">
        <v>154</v>
      </c>
      <c r="BL1034" s="0" t="s">
        <v>154</v>
      </c>
      <c r="DC1034" s="0" t="s">
        <v>154</v>
      </c>
      <c r="DN1034" s="0" t="s">
        <v>154</v>
      </c>
      <c r="EF1034" s="0" t="s">
        <v>154</v>
      </c>
    </row>
    <row r="1035" customFormat="false" ht="13.8" hidden="true" customHeight="false" outlineLevel="0" collapsed="false">
      <c r="A1035" s="0" t="s">
        <v>5035</v>
      </c>
      <c r="B1035" s="0" t="n">
        <v>78</v>
      </c>
      <c r="C1035" s="0" t="n">
        <v>474374</v>
      </c>
      <c r="D1035" s="0" t="s">
        <v>2507</v>
      </c>
      <c r="E1035" s="0" t="s">
        <v>5036</v>
      </c>
      <c r="F1035" s="0" t="str">
        <f aca="false">CONCATENATE(D1035," ",LEFT(H1035,4),"T=",AU1035,"D=",AV1035,"R=",AW1035,"M=",AX1035,"L=",AY1035,"B=",AZ1035)</f>
        <v>WATSON T=11D=3R=0M=0L=0B=0</v>
      </c>
      <c r="G1035" s="0" t="s">
        <v>5037</v>
      </c>
      <c r="I1035" s="0" t="s">
        <v>5038</v>
      </c>
      <c r="J1035" s="0" t="s">
        <v>2656</v>
      </c>
      <c r="K1035" s="0" t="s">
        <v>175</v>
      </c>
      <c r="L1035" s="0"/>
      <c r="M1035" s="0" t="s">
        <v>5025</v>
      </c>
      <c r="N1035" s="0" t="str">
        <f aca="false">RIGHT(M1035,LEN(M1035)-FIND(" ",M1035))</f>
        <v>GLENWOOD ST NE</v>
      </c>
      <c r="P1035" s="0" t="s">
        <v>146</v>
      </c>
      <c r="Q1035" s="0" t="s">
        <v>147</v>
      </c>
      <c r="R1035" s="0" t="n">
        <v>44483</v>
      </c>
      <c r="AD1035" s="0" t="s">
        <v>148</v>
      </c>
      <c r="AE1035" s="0" t="s">
        <v>149</v>
      </c>
      <c r="AF1035" s="0" t="s">
        <v>150</v>
      </c>
      <c r="AH1035" s="0" t="n">
        <v>14</v>
      </c>
      <c r="AI1035" s="0" t="n">
        <v>11</v>
      </c>
      <c r="AN1035" s="0" t="s">
        <v>146</v>
      </c>
      <c r="AO1035" s="0" t="s">
        <v>236</v>
      </c>
      <c r="AP1035" s="0" t="s">
        <v>237</v>
      </c>
      <c r="AQ1035" s="0" t="n">
        <v>9</v>
      </c>
      <c r="AR1035" s="0" t="n">
        <v>64</v>
      </c>
      <c r="AS1035" s="0" t="n">
        <v>32</v>
      </c>
      <c r="AU1035" s="0" t="n">
        <f aca="false">COUNTA($BA$976:$EH$976)</f>
        <v>11</v>
      </c>
      <c r="AV1035" s="0" t="n">
        <f aca="false">COUNTIF($BA$976:$EH$976,"D")</f>
        <v>3</v>
      </c>
      <c r="AW1035" s="0" t="n">
        <f aca="false">COUNTIF($BA$976:$EH$976,"R")</f>
        <v>0</v>
      </c>
      <c r="AX1035" s="0" t="n">
        <f aca="false"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>0</v>
      </c>
      <c r="AY1035" s="0" t="n">
        <f aca="false">COUNTIF(DU1035:EH1035, "&lt;&gt;")</f>
        <v>0</v>
      </c>
      <c r="AZ1035" s="0" t="n">
        <f aca="false">IF(EH1035&lt;&gt;"",1,0)</f>
        <v>0</v>
      </c>
      <c r="BB1035" s="0" t="s">
        <v>153</v>
      </c>
    </row>
    <row r="1036" customFormat="false" ht="13.8" hidden="false" customHeight="false" outlineLevel="0" collapsed="false">
      <c r="A1036" s="0" t="s">
        <v>5039</v>
      </c>
      <c r="B1036" s="0" t="n">
        <v>78</v>
      </c>
      <c r="C1036" s="0" t="n">
        <v>491019</v>
      </c>
      <c r="D1036" s="0" t="s">
        <v>5040</v>
      </c>
      <c r="E1036" s="0" t="s">
        <v>283</v>
      </c>
      <c r="F1036" s="0" t="str">
        <f aca="false">CONCATENATE(D1036," ",LEFT(H1036,4),"T=",AU1036,"D=",AV1036,"R=",AW1036,"M=",AX1036,"L=",AY1036,"B=",AZ1036)</f>
        <v>WHITMAN T=2D=0R=0M=0L=2B=1</v>
      </c>
      <c r="G1036" s="0" t="s">
        <v>5041</v>
      </c>
      <c r="I1036" s="0" t="s">
        <v>5042</v>
      </c>
      <c r="J1036" s="0" t="s">
        <v>2140</v>
      </c>
      <c r="K1036" s="0" t="s">
        <v>175</v>
      </c>
      <c r="M1036" s="0" t="s">
        <v>5043</v>
      </c>
      <c r="N1036" s="0" t="str">
        <f aca="false">RIGHT(M1036,LEN(M1036)-FIND(" ",M1036))</f>
        <v>GLENWOOD ST NE</v>
      </c>
      <c r="P1036" s="0" t="s">
        <v>146</v>
      </c>
      <c r="Q1036" s="0" t="s">
        <v>147</v>
      </c>
      <c r="R1036" s="0" t="n">
        <v>44483</v>
      </c>
      <c r="AD1036" s="0" t="s">
        <v>148</v>
      </c>
      <c r="AE1036" s="0" t="s">
        <v>149</v>
      </c>
      <c r="AF1036" s="0" t="s">
        <v>150</v>
      </c>
      <c r="AH1036" s="0" t="n">
        <v>14</v>
      </c>
      <c r="AI1036" s="0" t="n">
        <v>11</v>
      </c>
      <c r="AN1036" s="0" t="s">
        <v>146</v>
      </c>
      <c r="AO1036" s="0" t="s">
        <v>236</v>
      </c>
      <c r="AP1036" s="0" t="s">
        <v>237</v>
      </c>
      <c r="AQ1036" s="0" t="n">
        <v>9</v>
      </c>
      <c r="AR1036" s="0" t="n">
        <v>64</v>
      </c>
      <c r="AS1036" s="0" t="n">
        <v>32</v>
      </c>
      <c r="AU1036" s="0" t="n">
        <f aca="false">COUNTA($BA$254:$EH$254)</f>
        <v>2</v>
      </c>
      <c r="AV1036" s="0" t="n">
        <f aca="false">COUNTIF($BA$254:$EH$254,"D")</f>
        <v>0</v>
      </c>
      <c r="AW1036" s="0" t="n">
        <f aca="false">COUNTIF($BA$254:$EH$254,"R")</f>
        <v>0</v>
      </c>
      <c r="AX1036" s="0" t="n">
        <f aca="false"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>0</v>
      </c>
      <c r="AY1036" s="0" t="n">
        <f aca="false">COUNTIF(DU1036:EH1036, "&lt;&gt;")</f>
        <v>2</v>
      </c>
      <c r="AZ1036" s="0" t="n">
        <f aca="false">IF(EH1036&lt;&gt;"",1,0)</f>
        <v>1</v>
      </c>
      <c r="BB1036" s="0" t="s">
        <v>153</v>
      </c>
      <c r="EF1036" s="0" t="s">
        <v>154</v>
      </c>
      <c r="EH1036" s="0" t="s">
        <v>154</v>
      </c>
    </row>
    <row r="1037" customFormat="false" ht="13.8" hidden="true" customHeight="false" outlineLevel="0" collapsed="false">
      <c r="A1037" s="0" t="s">
        <v>5044</v>
      </c>
      <c r="B1037" s="0" t="n">
        <v>78</v>
      </c>
      <c r="C1037" s="0" t="n">
        <v>448616</v>
      </c>
      <c r="D1037" s="0" t="s">
        <v>5045</v>
      </c>
      <c r="E1037" s="0" t="s">
        <v>694</v>
      </c>
      <c r="F1037" s="0" t="str">
        <f aca="false">CONCATENATE(D1037," ",LEFT(H1037,4),"T=",AU1037,"D=",AV1037,"R=",AW1037,"M=",AX1037,"L=",AY1037,"B=",AZ1037)</f>
        <v>POLTA SEKERAK T=5D=0R=1M=0L=0B=0</v>
      </c>
      <c r="G1037" s="0" t="s">
        <v>474</v>
      </c>
      <c r="I1037" s="0" t="s">
        <v>5046</v>
      </c>
      <c r="J1037" s="0" t="s">
        <v>5047</v>
      </c>
      <c r="K1037" s="0" t="s">
        <v>175</v>
      </c>
      <c r="L1037" s="0"/>
      <c r="M1037" s="0" t="s">
        <v>5048</v>
      </c>
      <c r="N1037" s="0" t="str">
        <f aca="false">RIGHT(M1037,LEN(M1037)-FIND(" ",M1037))</f>
        <v>GLENWOOD ST NE</v>
      </c>
      <c r="P1037" s="0" t="s">
        <v>146</v>
      </c>
      <c r="Q1037" s="0" t="s">
        <v>147</v>
      </c>
      <c r="R1037" s="0" t="n">
        <v>44483</v>
      </c>
      <c r="AD1037" s="0" t="s">
        <v>148</v>
      </c>
      <c r="AE1037" s="0" t="s">
        <v>149</v>
      </c>
      <c r="AF1037" s="0" t="s">
        <v>150</v>
      </c>
      <c r="AH1037" s="0" t="n">
        <v>14</v>
      </c>
      <c r="AI1037" s="0" t="n">
        <v>11</v>
      </c>
      <c r="AN1037" s="0" t="s">
        <v>146</v>
      </c>
      <c r="AO1037" s="0" t="s">
        <v>236</v>
      </c>
      <c r="AP1037" s="0" t="s">
        <v>237</v>
      </c>
      <c r="AQ1037" s="0" t="n">
        <v>9</v>
      </c>
      <c r="AR1037" s="0" t="n">
        <v>64</v>
      </c>
      <c r="AS1037" s="0" t="n">
        <v>32</v>
      </c>
      <c r="AU1037" s="0" t="n">
        <f aca="false">COUNTA($BA$168:$EH$168)</f>
        <v>5</v>
      </c>
      <c r="AV1037" s="0" t="n">
        <f aca="false">COUNTIF($BA$168:$EH$168,"D")</f>
        <v>0</v>
      </c>
      <c r="AW1037" s="0" t="n">
        <f aca="false">COUNTIF($BA$168:$EH$168,"R")</f>
        <v>1</v>
      </c>
      <c r="AX1037" s="0" t="n">
        <f aca="false"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>0</v>
      </c>
      <c r="AY1037" s="0" t="n">
        <f aca="false">COUNTIF(DU1037:EH1037, "&lt;&gt;")</f>
        <v>0</v>
      </c>
      <c r="AZ1037" s="0" t="n">
        <f aca="false">IF(EH1037&lt;&gt;"",1,0)</f>
        <v>0</v>
      </c>
      <c r="BB1037" s="0" t="s">
        <v>153</v>
      </c>
    </row>
    <row r="1038" customFormat="false" ht="13.8" hidden="false" customHeight="false" outlineLevel="0" collapsed="false">
      <c r="A1038" s="0" t="s">
        <v>5049</v>
      </c>
      <c r="B1038" s="0" t="n">
        <v>78</v>
      </c>
      <c r="C1038" s="0" t="n">
        <v>436115</v>
      </c>
      <c r="D1038" s="0" t="s">
        <v>5045</v>
      </c>
      <c r="E1038" s="0" t="s">
        <v>1702</v>
      </c>
      <c r="F1038" s="0" t="str">
        <f aca="false">CONCATENATE(D1038," ",LEFT(H1038,4),"T=",AU1038,"D=",AV1038,"R=",AW1038,"M=",AX1038,"L=",AY1038,"B=",AZ1038)</f>
        <v>POLTA SEKERAK T=7D=1R=1M=0L=4B=0</v>
      </c>
      <c r="G1038" s="0" t="s">
        <v>466</v>
      </c>
      <c r="I1038" s="0" t="s">
        <v>5050</v>
      </c>
      <c r="J1038" s="0" t="s">
        <v>5051</v>
      </c>
      <c r="K1038" s="0" t="s">
        <v>175</v>
      </c>
      <c r="M1038" s="0" t="s">
        <v>5048</v>
      </c>
      <c r="N1038" s="0" t="str">
        <f aca="false">RIGHT(M1038,LEN(M1038)-FIND(" ",M1038))</f>
        <v>GLENWOOD ST NE</v>
      </c>
      <c r="P1038" s="0" t="s">
        <v>146</v>
      </c>
      <c r="Q1038" s="0" t="s">
        <v>147</v>
      </c>
      <c r="R1038" s="0" t="n">
        <v>44483</v>
      </c>
      <c r="AD1038" s="0" t="s">
        <v>148</v>
      </c>
      <c r="AE1038" s="0" t="s">
        <v>149</v>
      </c>
      <c r="AF1038" s="0" t="s">
        <v>150</v>
      </c>
      <c r="AH1038" s="0" t="n">
        <v>14</v>
      </c>
      <c r="AI1038" s="0" t="n">
        <v>11</v>
      </c>
      <c r="AN1038" s="0" t="s">
        <v>146</v>
      </c>
      <c r="AO1038" s="0" t="s">
        <v>236</v>
      </c>
      <c r="AP1038" s="0" t="s">
        <v>237</v>
      </c>
      <c r="AQ1038" s="0" t="n">
        <v>9</v>
      </c>
      <c r="AR1038" s="0" t="n">
        <v>64</v>
      </c>
      <c r="AS1038" s="0" t="n">
        <v>32</v>
      </c>
      <c r="AU1038" s="0" t="n">
        <f aca="false">COUNTA($BA$1085:$EH$1085)</f>
        <v>7</v>
      </c>
      <c r="AV1038" s="0" t="n">
        <f aca="false">COUNTIF($BA$1085:$EH$1085,"D")</f>
        <v>1</v>
      </c>
      <c r="AW1038" s="0" t="n">
        <f aca="false">COUNTIF($BA$1085:$EH$1085,"R")</f>
        <v>1</v>
      </c>
      <c r="AX1038" s="0" t="n">
        <f aca="false"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>0</v>
      </c>
      <c r="AY1038" s="0" t="n">
        <f aca="false">COUNTIF(DU1038:EH1038, "&lt;&gt;")</f>
        <v>4</v>
      </c>
      <c r="AZ1038" s="0" t="n">
        <f aca="false">IF(EH1038&lt;&gt;"",1,0)</f>
        <v>0</v>
      </c>
      <c r="BB1038" s="0" t="s">
        <v>153</v>
      </c>
      <c r="DI1038" s="0" t="s">
        <v>154</v>
      </c>
      <c r="DL1038" s="0" t="s">
        <v>154</v>
      </c>
      <c r="DN1038" s="0" t="s">
        <v>154</v>
      </c>
      <c r="DU1038" s="0" t="s">
        <v>154</v>
      </c>
      <c r="DX1038" s="0" t="s">
        <v>154</v>
      </c>
      <c r="EA1038" s="0" t="s">
        <v>154</v>
      </c>
      <c r="EF1038" s="0" t="s">
        <v>154</v>
      </c>
    </row>
    <row r="1039" customFormat="false" ht="13.8" hidden="true" customHeight="false" outlineLevel="0" collapsed="false">
      <c r="A1039" s="0" t="s">
        <v>5052</v>
      </c>
      <c r="B1039" s="0" t="n">
        <v>78</v>
      </c>
      <c r="C1039" s="0" t="n">
        <v>408691</v>
      </c>
      <c r="D1039" s="0" t="s">
        <v>645</v>
      </c>
      <c r="E1039" s="0" t="s">
        <v>5053</v>
      </c>
      <c r="F1039" s="0" t="str">
        <f aca="false">CONCATENATE(D1039," ",LEFT(H1039,4),"T=",AU1039,"D=",AV1039,"R=",AW1039,"M=",AX1039,"L=",AY1039,"B=",AZ1039)</f>
        <v>WILLIAMS T=2D=0R=0M=0L=0B=0</v>
      </c>
      <c r="G1039" s="0" t="s">
        <v>222</v>
      </c>
      <c r="I1039" s="0" t="s">
        <v>5054</v>
      </c>
      <c r="J1039" s="0" t="s">
        <v>5055</v>
      </c>
      <c r="K1039" s="0" t="s">
        <v>144</v>
      </c>
      <c r="L1039" s="0"/>
      <c r="M1039" s="0" t="s">
        <v>5056</v>
      </c>
      <c r="N1039" s="0" t="str">
        <f aca="false">RIGHT(M1039,LEN(M1039)-FIND(" ",M1039))</f>
        <v>GLENWOOD ST NE</v>
      </c>
      <c r="P1039" s="0" t="s">
        <v>146</v>
      </c>
      <c r="Q1039" s="0" t="s">
        <v>147</v>
      </c>
      <c r="R1039" s="0" t="n">
        <v>44483</v>
      </c>
      <c r="AD1039" s="0" t="s">
        <v>148</v>
      </c>
      <c r="AE1039" s="0" t="s">
        <v>149</v>
      </c>
      <c r="AF1039" s="0" t="s">
        <v>150</v>
      </c>
      <c r="AH1039" s="0" t="n">
        <v>14</v>
      </c>
      <c r="AI1039" s="0" t="n">
        <v>11</v>
      </c>
      <c r="AN1039" s="0" t="s">
        <v>146</v>
      </c>
      <c r="AO1039" s="0" t="s">
        <v>236</v>
      </c>
      <c r="AP1039" s="0" t="s">
        <v>237</v>
      </c>
      <c r="AQ1039" s="0" t="n">
        <v>9</v>
      </c>
      <c r="AR1039" s="0" t="n">
        <v>64</v>
      </c>
      <c r="AS1039" s="0" t="n">
        <v>32</v>
      </c>
      <c r="AU1039" s="0" t="n">
        <f aca="false">COUNTA($BA$872:$EH$872)</f>
        <v>2</v>
      </c>
      <c r="AV1039" s="0" t="n">
        <f aca="false">COUNTIF($BA$872:$EH$872,"D")</f>
        <v>0</v>
      </c>
      <c r="AW1039" s="0" t="n">
        <f aca="false">COUNTIF($BA$872:$EH$872,"R")</f>
        <v>0</v>
      </c>
      <c r="AX1039" s="0" t="n">
        <f aca="false"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>0</v>
      </c>
      <c r="AY1039" s="0" t="n">
        <f aca="false">COUNTIF(DU1039:EH1039, "&lt;&gt;")</f>
        <v>0</v>
      </c>
      <c r="AZ1039" s="0" t="n">
        <f aca="false">IF(EH1039&lt;&gt;"",1,0)</f>
        <v>0</v>
      </c>
      <c r="BB1039" s="0" t="s">
        <v>153</v>
      </c>
    </row>
    <row r="1040" customFormat="false" ht="13.8" hidden="true" customHeight="false" outlineLevel="0" collapsed="false">
      <c r="A1040" s="0" t="s">
        <v>5057</v>
      </c>
      <c r="B1040" s="0" t="n">
        <v>78</v>
      </c>
      <c r="C1040" s="0" t="n">
        <v>484944</v>
      </c>
      <c r="D1040" s="0" t="s">
        <v>2275</v>
      </c>
      <c r="E1040" s="0" t="s">
        <v>652</v>
      </c>
      <c r="F1040" s="0" t="str">
        <f aca="false">CONCATENATE(D1040," ",LEFT(H1040,4),"T=",AU1040,"D=",AV1040,"R=",AW1040,"M=",AX1040,"L=",AY1040,"B=",AZ1040)</f>
        <v>BENDER T=1D=0R=0M=0L=1B=0</v>
      </c>
      <c r="G1040" s="0" t="s">
        <v>297</v>
      </c>
      <c r="I1040" s="0" t="s">
        <v>5058</v>
      </c>
      <c r="J1040" s="0" t="s">
        <v>970</v>
      </c>
      <c r="K1040" s="0" t="s">
        <v>175</v>
      </c>
      <c r="L1040" s="0"/>
      <c r="M1040" s="0" t="s">
        <v>5059</v>
      </c>
      <c r="N1040" s="0" t="str">
        <f aca="false">RIGHT(M1040,LEN(M1040)-FIND(" ",M1040))</f>
        <v>GLENWOOD ST NE</v>
      </c>
      <c r="P1040" s="0" t="s">
        <v>146</v>
      </c>
      <c r="Q1040" s="0" t="s">
        <v>147</v>
      </c>
      <c r="R1040" s="0" t="n">
        <v>44483</v>
      </c>
      <c r="AD1040" s="0" t="s">
        <v>148</v>
      </c>
      <c r="AE1040" s="0" t="s">
        <v>149</v>
      </c>
      <c r="AF1040" s="0" t="s">
        <v>150</v>
      </c>
      <c r="AH1040" s="0" t="n">
        <v>14</v>
      </c>
      <c r="AI1040" s="0" t="n">
        <v>11</v>
      </c>
      <c r="AN1040" s="0" t="s">
        <v>146</v>
      </c>
      <c r="AO1040" s="0" t="s">
        <v>236</v>
      </c>
      <c r="AP1040" s="0" t="s">
        <v>237</v>
      </c>
      <c r="AQ1040" s="0" t="n">
        <v>9</v>
      </c>
      <c r="AR1040" s="0" t="n">
        <v>64</v>
      </c>
      <c r="AS1040" s="0" t="n">
        <v>32</v>
      </c>
      <c r="AU1040" s="0" t="n">
        <f aca="false">COUNTA($BA$256:$EH$256)</f>
        <v>1</v>
      </c>
      <c r="AV1040" s="0" t="n">
        <f aca="false">COUNTIF($BA$256:$EH$256,"D")</f>
        <v>0</v>
      </c>
      <c r="AW1040" s="0" t="n">
        <f aca="false">COUNTIF($BA$256:$EH$256,"R")</f>
        <v>0</v>
      </c>
      <c r="AX1040" s="0" t="n">
        <f aca="false"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>0</v>
      </c>
      <c r="AY1040" s="0" t="n">
        <f aca="false">COUNTIF(DU1040:EH1040, "&lt;&gt;")</f>
        <v>1</v>
      </c>
      <c r="AZ1040" s="0" t="n">
        <f aca="false">IF(EH1040&lt;&gt;"",1,0)</f>
        <v>0</v>
      </c>
      <c r="BB1040" s="0" t="s">
        <v>153</v>
      </c>
      <c r="EF1040" s="0" t="s">
        <v>154</v>
      </c>
    </row>
    <row r="1041" customFormat="false" ht="13.8" hidden="true" customHeight="false" outlineLevel="0" collapsed="false">
      <c r="A1041" s="0" t="s">
        <v>5060</v>
      </c>
      <c r="B1041" s="0" t="n">
        <v>78</v>
      </c>
      <c r="C1041" s="0" t="n">
        <v>395484</v>
      </c>
      <c r="D1041" s="0" t="s">
        <v>1937</v>
      </c>
      <c r="E1041" s="0" t="s">
        <v>694</v>
      </c>
      <c r="F1041" s="0" t="str">
        <f aca="false">CONCATENATE(D1041," ",LEFT(H1041,4),"T=",AU1041,"D=",AV1041,"R=",AW1041,"M=",AX1041,"L=",AY1041,"B=",AZ1041)</f>
        <v>RILEY T=1D=0R=0M=0L=1B=0</v>
      </c>
      <c r="G1041" s="0" t="s">
        <v>1623</v>
      </c>
      <c r="I1041" s="0" t="s">
        <v>5061</v>
      </c>
      <c r="J1041" s="0" t="s">
        <v>712</v>
      </c>
      <c r="K1041" s="0" t="s">
        <v>175</v>
      </c>
      <c r="L1041" s="0"/>
      <c r="M1041" s="0" t="s">
        <v>5062</v>
      </c>
      <c r="N1041" s="0" t="str">
        <f aca="false">RIGHT(M1041,LEN(M1041)-FIND(" ",M1041))</f>
        <v>GLENWOOD ST NE</v>
      </c>
      <c r="P1041" s="0" t="s">
        <v>146</v>
      </c>
      <c r="Q1041" s="0" t="s">
        <v>147</v>
      </c>
      <c r="R1041" s="0" t="n">
        <v>44483</v>
      </c>
      <c r="AD1041" s="0" t="s">
        <v>148</v>
      </c>
      <c r="AE1041" s="0" t="s">
        <v>149</v>
      </c>
      <c r="AF1041" s="0" t="s">
        <v>150</v>
      </c>
      <c r="AH1041" s="0" t="n">
        <v>14</v>
      </c>
      <c r="AI1041" s="0" t="n">
        <v>11</v>
      </c>
      <c r="AN1041" s="0" t="s">
        <v>146</v>
      </c>
      <c r="AO1041" s="0" t="s">
        <v>236</v>
      </c>
      <c r="AP1041" s="0" t="s">
        <v>237</v>
      </c>
      <c r="AQ1041" s="0" t="n">
        <v>9</v>
      </c>
      <c r="AR1041" s="0" t="n">
        <v>64</v>
      </c>
      <c r="AS1041" s="0" t="n">
        <v>32</v>
      </c>
      <c r="AU1041" s="0" t="n">
        <f aca="false">COUNTA($BA$952:$EH$952)</f>
        <v>1</v>
      </c>
      <c r="AV1041" s="0" t="n">
        <f aca="false">COUNTIF($BA$952:$EH$952,"D")</f>
        <v>0</v>
      </c>
      <c r="AW1041" s="0" t="n">
        <f aca="false">COUNTIF($BA$952:$EH$952,"R")</f>
        <v>0</v>
      </c>
      <c r="AX1041" s="0" t="n">
        <f aca="false"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>0</v>
      </c>
      <c r="AY1041" s="0" t="n">
        <f aca="false">COUNTIF(DU1041:EH1041, "&lt;&gt;")</f>
        <v>1</v>
      </c>
      <c r="AZ1041" s="0" t="n">
        <f aca="false">IF(EH1041&lt;&gt;"",1,0)</f>
        <v>0</v>
      </c>
      <c r="BB1041" s="0" t="s">
        <v>153</v>
      </c>
      <c r="CZ1041" s="0" t="s">
        <v>155</v>
      </c>
      <c r="DN1041" s="0" t="s">
        <v>154</v>
      </c>
      <c r="EF1041" s="0" t="s">
        <v>154</v>
      </c>
    </row>
    <row r="1042" customFormat="false" ht="13.8" hidden="false" customHeight="false" outlineLevel="0" collapsed="false">
      <c r="A1042" s="0" t="s">
        <v>5063</v>
      </c>
      <c r="B1042" s="0" t="n">
        <v>78</v>
      </c>
      <c r="C1042" s="0" t="n">
        <v>203000</v>
      </c>
      <c r="D1042" s="0" t="s">
        <v>5064</v>
      </c>
      <c r="E1042" s="0" t="s">
        <v>5065</v>
      </c>
      <c r="F1042" s="0" t="str">
        <f aca="false">CONCATENATE(D1042," ",LEFT(H1042,4),"T=",AU1042,"D=",AV1042,"R=",AW1042,"M=",AX1042,"L=",AY1042,"B=",AZ1042)</f>
        <v>SALYARD T=1D=0R=0M=1L=2B=0</v>
      </c>
      <c r="G1042" s="0" t="s">
        <v>176</v>
      </c>
      <c r="I1042" s="0" t="s">
        <v>5066</v>
      </c>
      <c r="J1042" s="0" t="s">
        <v>3224</v>
      </c>
      <c r="K1042" s="0" t="s">
        <v>175</v>
      </c>
      <c r="M1042" s="0" t="s">
        <v>5067</v>
      </c>
      <c r="N1042" s="0" t="str">
        <f aca="false">RIGHT(M1042,LEN(M1042)-FIND(" ",M1042))</f>
        <v>GLENWOOD ST NE</v>
      </c>
      <c r="P1042" s="0" t="s">
        <v>146</v>
      </c>
      <c r="Q1042" s="0" t="s">
        <v>147</v>
      </c>
      <c r="R1042" s="0" t="n">
        <v>44483</v>
      </c>
      <c r="AD1042" s="0" t="s">
        <v>148</v>
      </c>
      <c r="AE1042" s="0" t="s">
        <v>149</v>
      </c>
      <c r="AF1042" s="0" t="s">
        <v>150</v>
      </c>
      <c r="AH1042" s="0" t="n">
        <v>14</v>
      </c>
      <c r="AI1042" s="0" t="n">
        <v>11</v>
      </c>
      <c r="AN1042" s="0" t="s">
        <v>146</v>
      </c>
      <c r="AO1042" s="0" t="s">
        <v>236</v>
      </c>
      <c r="AP1042" s="0" t="s">
        <v>237</v>
      </c>
      <c r="AQ1042" s="0" t="n">
        <v>9</v>
      </c>
      <c r="AR1042" s="0" t="n">
        <v>64</v>
      </c>
      <c r="AS1042" s="0" t="n">
        <v>32</v>
      </c>
      <c r="AU1042" s="0" t="n">
        <f aca="false">COUNTA($BA$511:$EH$511)</f>
        <v>1</v>
      </c>
      <c r="AV1042" s="0" t="n">
        <f aca="false">COUNTIF($BA$511:$EH$511,"D")</f>
        <v>0</v>
      </c>
      <c r="AW1042" s="0" t="n">
        <f aca="false">COUNTIF($BA$511:$EH$511,"R")</f>
        <v>0</v>
      </c>
      <c r="AX1042" s="0" t="n">
        <f aca="false"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>1</v>
      </c>
      <c r="AY1042" s="0" t="n">
        <f aca="false">COUNTIF(DU1042:EH1042, "&lt;&gt;")</f>
        <v>2</v>
      </c>
      <c r="AZ1042" s="0" t="n">
        <f aca="false">IF(EH1042&lt;&gt;"",1,0)</f>
        <v>0</v>
      </c>
      <c r="BB1042" s="0" t="s">
        <v>153</v>
      </c>
      <c r="BC1042" s="0" t="s">
        <v>154</v>
      </c>
      <c r="BD1042" s="0" t="s">
        <v>154</v>
      </c>
      <c r="BE1042" s="0" t="s">
        <v>154</v>
      </c>
      <c r="BF1042" s="0" t="s">
        <v>154</v>
      </c>
      <c r="BG1042" s="0" t="s">
        <v>154</v>
      </c>
      <c r="BH1042" s="0" t="s">
        <v>154</v>
      </c>
      <c r="BI1042" s="0" t="s">
        <v>154</v>
      </c>
      <c r="BJ1042" s="0" t="s">
        <v>154</v>
      </c>
      <c r="BK1042" s="0" t="s">
        <v>154</v>
      </c>
      <c r="BL1042" s="0" t="s">
        <v>154</v>
      </c>
      <c r="BR1042" s="0" t="s">
        <v>154</v>
      </c>
      <c r="BS1042" s="0" t="s">
        <v>154</v>
      </c>
      <c r="BY1042" s="0" t="s">
        <v>155</v>
      </c>
      <c r="CA1042" s="0" t="s">
        <v>154</v>
      </c>
      <c r="CV1042" s="0" t="s">
        <v>154</v>
      </c>
      <c r="CY1042" s="0" t="s">
        <v>154</v>
      </c>
      <c r="CZ1042" s="0" t="s">
        <v>155</v>
      </c>
      <c r="DC1042" s="0" t="s">
        <v>154</v>
      </c>
      <c r="DD1042" s="0" t="s">
        <v>155</v>
      </c>
      <c r="DI1042" s="0" t="s">
        <v>154</v>
      </c>
      <c r="DN1042" s="0" t="s">
        <v>154</v>
      </c>
      <c r="DU1042" s="0" t="s">
        <v>154</v>
      </c>
      <c r="EF1042" s="0" t="s">
        <v>154</v>
      </c>
    </row>
    <row r="1043" customFormat="false" ht="13.8" hidden="true" customHeight="false" outlineLevel="0" collapsed="false">
      <c r="A1043" s="0" t="s">
        <v>5068</v>
      </c>
      <c r="B1043" s="0" t="n">
        <v>78</v>
      </c>
      <c r="C1043" s="0" t="n">
        <v>308908</v>
      </c>
      <c r="D1043" s="0" t="s">
        <v>5064</v>
      </c>
      <c r="E1043" s="0" t="s">
        <v>195</v>
      </c>
      <c r="F1043" s="0" t="str">
        <f aca="false">CONCATENATE(D1043," ",LEFT(H1043,4),"T=",AU1043,"D=",AV1043,"R=",AW1043,"M=",AX1043,"L=",AY1043,"B=",AZ1043)</f>
        <v>SALYARD T=2D=0R=0M=0L=1B=0</v>
      </c>
      <c r="G1043" s="0" t="s">
        <v>188</v>
      </c>
      <c r="I1043" s="0" t="s">
        <v>5069</v>
      </c>
      <c r="J1043" s="0" t="s">
        <v>5070</v>
      </c>
      <c r="K1043" s="0" t="s">
        <v>175</v>
      </c>
      <c r="L1043" s="0"/>
      <c r="M1043" s="0" t="s">
        <v>5067</v>
      </c>
      <c r="N1043" s="0" t="str">
        <f aca="false">RIGHT(M1043,LEN(M1043)-FIND(" ",M1043))</f>
        <v>GLENWOOD ST NE</v>
      </c>
      <c r="P1043" s="0" t="s">
        <v>146</v>
      </c>
      <c r="Q1043" s="0" t="s">
        <v>147</v>
      </c>
      <c r="R1043" s="0" t="n">
        <v>44483</v>
      </c>
      <c r="AD1043" s="0" t="s">
        <v>148</v>
      </c>
      <c r="AE1043" s="0" t="s">
        <v>149</v>
      </c>
      <c r="AF1043" s="0" t="s">
        <v>150</v>
      </c>
      <c r="AH1043" s="0" t="n">
        <v>14</v>
      </c>
      <c r="AI1043" s="0" t="n">
        <v>11</v>
      </c>
      <c r="AN1043" s="0" t="s">
        <v>146</v>
      </c>
      <c r="AO1043" s="0" t="s">
        <v>236</v>
      </c>
      <c r="AP1043" s="0" t="s">
        <v>237</v>
      </c>
      <c r="AQ1043" s="0" t="n">
        <v>9</v>
      </c>
      <c r="AR1043" s="0" t="n">
        <v>64</v>
      </c>
      <c r="AS1043" s="0" t="n">
        <v>32</v>
      </c>
      <c r="AU1043" s="0" t="n">
        <f aca="false">COUNTA($BA$697:$EH$697)</f>
        <v>2</v>
      </c>
      <c r="AV1043" s="0" t="n">
        <f aca="false">COUNTIF($BA$697:$EH$697,"D")</f>
        <v>0</v>
      </c>
      <c r="AW1043" s="0" t="n">
        <f aca="false">COUNTIF($BA$697:$EH$697,"R")</f>
        <v>0</v>
      </c>
      <c r="AX1043" s="0" t="n">
        <f aca="false"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>0</v>
      </c>
      <c r="AY1043" s="0" t="n">
        <f aca="false">COUNTIF(DU1043:EH1043, "&lt;&gt;")</f>
        <v>1</v>
      </c>
      <c r="AZ1043" s="0" t="n">
        <f aca="false">IF(EH1043&lt;&gt;"",1,0)</f>
        <v>0</v>
      </c>
      <c r="BB1043" s="0" t="s">
        <v>153</v>
      </c>
      <c r="BH1043" s="0" t="s">
        <v>154</v>
      </c>
      <c r="BI1043" s="0" t="s">
        <v>154</v>
      </c>
      <c r="BL1043" s="0" t="s">
        <v>154</v>
      </c>
      <c r="BY1043" s="0" t="s">
        <v>155</v>
      </c>
      <c r="CA1043" s="0" t="s">
        <v>154</v>
      </c>
      <c r="CP1043" s="0" t="s">
        <v>154</v>
      </c>
      <c r="DC1043" s="0" t="s">
        <v>154</v>
      </c>
      <c r="DI1043" s="0" t="s">
        <v>154</v>
      </c>
      <c r="DN1043" s="0" t="s">
        <v>154</v>
      </c>
      <c r="EF1043" s="0" t="s">
        <v>154</v>
      </c>
    </row>
    <row r="1044" customFormat="false" ht="13.8" hidden="true" customHeight="false" outlineLevel="0" collapsed="false">
      <c r="A1044" s="0" t="s">
        <v>5071</v>
      </c>
      <c r="B1044" s="0" t="n">
        <v>78</v>
      </c>
      <c r="C1044" s="0" t="n">
        <v>421074</v>
      </c>
      <c r="D1044" s="0" t="s">
        <v>3061</v>
      </c>
      <c r="E1044" s="0" t="s">
        <v>1232</v>
      </c>
      <c r="F1044" s="0" t="str">
        <f aca="false">CONCATENATE(D1044," ",LEFT(H1044,4),"T=",AU1044,"D=",AV1044,"R=",AW1044,"M=",AX1044,"L=",AY1044,"B=",AZ1044)</f>
        <v>FRANK T=4D=0R=0M=0L=1B=0</v>
      </c>
      <c r="G1044" s="0" t="s">
        <v>1446</v>
      </c>
      <c r="I1044" s="0" t="s">
        <v>5072</v>
      </c>
      <c r="J1044" s="0" t="s">
        <v>5073</v>
      </c>
      <c r="K1044" s="0" t="s">
        <v>175</v>
      </c>
      <c r="L1044" s="0"/>
      <c r="M1044" s="0" t="s">
        <v>5067</v>
      </c>
      <c r="N1044" s="0" t="str">
        <f aca="false">RIGHT(M1044,LEN(M1044)-FIND(" ",M1044))</f>
        <v>GLENWOOD ST NE</v>
      </c>
      <c r="P1044" s="0" t="s">
        <v>146</v>
      </c>
      <c r="Q1044" s="0" t="s">
        <v>147</v>
      </c>
      <c r="R1044" s="0" t="n">
        <v>44483</v>
      </c>
      <c r="AD1044" s="0" t="s">
        <v>148</v>
      </c>
      <c r="AE1044" s="0" t="s">
        <v>149</v>
      </c>
      <c r="AF1044" s="0" t="s">
        <v>150</v>
      </c>
      <c r="AH1044" s="0" t="n">
        <v>14</v>
      </c>
      <c r="AI1044" s="0" t="n">
        <v>11</v>
      </c>
      <c r="AN1044" s="0" t="s">
        <v>146</v>
      </c>
      <c r="AO1044" s="0" t="s">
        <v>236</v>
      </c>
      <c r="AP1044" s="0" t="s">
        <v>237</v>
      </c>
      <c r="AQ1044" s="0" t="n">
        <v>9</v>
      </c>
      <c r="AR1044" s="0" t="n">
        <v>64</v>
      </c>
      <c r="AS1044" s="0" t="n">
        <v>32</v>
      </c>
      <c r="AU1044" s="0" t="n">
        <f aca="false">COUNTA($BA$706:$EH$706)</f>
        <v>4</v>
      </c>
      <c r="AV1044" s="0" t="n">
        <f aca="false">COUNTIF($BA$706:$EH$706,"D")</f>
        <v>0</v>
      </c>
      <c r="AW1044" s="0" t="n">
        <f aca="false">COUNTIF($BA$706:$EH$706,"R")</f>
        <v>0</v>
      </c>
      <c r="AX1044" s="0" t="n">
        <f aca="false"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>0</v>
      </c>
      <c r="AY1044" s="0" t="n">
        <f aca="false">COUNTIF(DU1044:EH1044, "&lt;&gt;")</f>
        <v>1</v>
      </c>
      <c r="AZ1044" s="0" t="n">
        <f aca="false">IF(EH1044&lt;&gt;"",1,0)</f>
        <v>0</v>
      </c>
      <c r="BB1044" s="0" t="s">
        <v>153</v>
      </c>
      <c r="BL1044" s="0" t="s">
        <v>154</v>
      </c>
      <c r="DC1044" s="0" t="s">
        <v>154</v>
      </c>
      <c r="EF1044" s="0" t="s">
        <v>154</v>
      </c>
    </row>
    <row r="1045" customFormat="false" ht="13.8" hidden="true" customHeight="false" outlineLevel="0" collapsed="false">
      <c r="A1045" s="0" t="s">
        <v>5074</v>
      </c>
      <c r="B1045" s="0" t="n">
        <v>78</v>
      </c>
      <c r="C1045" s="0" t="n">
        <v>487017</v>
      </c>
      <c r="D1045" s="0" t="s">
        <v>3903</v>
      </c>
      <c r="E1045" s="0" t="s">
        <v>1374</v>
      </c>
      <c r="F1045" s="0" t="str">
        <f aca="false">CONCATENATE(D1045," ",LEFT(H1045,4),"T=",AU1045,"D=",AV1045,"R=",AW1045,"M=",AX1045,"L=",AY1045,"B=",AZ1045)</f>
        <v>STEWART T=12D=1R=0M=0L=0B=0</v>
      </c>
      <c r="G1045" s="0" t="s">
        <v>166</v>
      </c>
      <c r="I1045" s="0" t="s">
        <v>5075</v>
      </c>
      <c r="J1045" s="0" t="s">
        <v>1777</v>
      </c>
      <c r="K1045" s="0" t="s">
        <v>175</v>
      </c>
      <c r="L1045" s="0"/>
      <c r="M1045" s="0" t="s">
        <v>5076</v>
      </c>
      <c r="N1045" s="0" t="str">
        <f aca="false">RIGHT(M1045,LEN(M1045)-FIND(" ",M1045))</f>
        <v>GLENWOOD ST NE</v>
      </c>
      <c r="P1045" s="0" t="s">
        <v>146</v>
      </c>
      <c r="Q1045" s="0" t="s">
        <v>147</v>
      </c>
      <c r="R1045" s="0" t="n">
        <v>44483</v>
      </c>
      <c r="AD1045" s="0" t="s">
        <v>148</v>
      </c>
      <c r="AE1045" s="0" t="s">
        <v>149</v>
      </c>
      <c r="AF1045" s="0" t="s">
        <v>150</v>
      </c>
      <c r="AH1045" s="0" t="n">
        <v>14</v>
      </c>
      <c r="AI1045" s="0" t="n">
        <v>11</v>
      </c>
      <c r="AN1045" s="0" t="s">
        <v>146</v>
      </c>
      <c r="AO1045" s="0" t="s">
        <v>236</v>
      </c>
      <c r="AP1045" s="0" t="s">
        <v>237</v>
      </c>
      <c r="AQ1045" s="0" t="n">
        <v>9</v>
      </c>
      <c r="AR1045" s="0" t="n">
        <v>64</v>
      </c>
      <c r="AS1045" s="0" t="n">
        <v>32</v>
      </c>
      <c r="AU1045" s="0" t="n">
        <f aca="false">COUNTA($BA$29:$EH$29)</f>
        <v>12</v>
      </c>
      <c r="AV1045" s="0" t="n">
        <f aca="false">COUNTIF($BA$29:$EH$29,"D")</f>
        <v>1</v>
      </c>
      <c r="AW1045" s="0" t="n">
        <f aca="false">COUNTIF($BA$29:$EH$29,"R")</f>
        <v>0</v>
      </c>
      <c r="AX1045" s="0" t="n">
        <f aca="false"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>0</v>
      </c>
      <c r="AY1045" s="0" t="n">
        <f aca="false">COUNTIF(DU1045:EH1045, "&lt;&gt;")</f>
        <v>0</v>
      </c>
      <c r="AZ1045" s="0" t="n">
        <f aca="false">IF(EH1045&lt;&gt;"",1,0)</f>
        <v>0</v>
      </c>
      <c r="BB1045" s="0" t="s">
        <v>153</v>
      </c>
    </row>
    <row r="1046" customFormat="false" ht="13.8" hidden="false" customHeight="false" outlineLevel="0" collapsed="false">
      <c r="A1046" s="0" t="s">
        <v>5077</v>
      </c>
      <c r="B1046" s="0" t="n">
        <v>78</v>
      </c>
      <c r="C1046" s="0" t="n">
        <v>297615</v>
      </c>
      <c r="D1046" s="0" t="s">
        <v>633</v>
      </c>
      <c r="E1046" s="0" t="s">
        <v>2236</v>
      </c>
      <c r="F1046" s="0" t="str">
        <f aca="false">CONCATENATE(D1046," ",LEFT(H1046,4),"T=",AU1046,"D=",AV1046,"R=",AW1046,"M=",AX1046,"L=",AY1046,"B=",AZ1046)</f>
        <v>WALKER T=6D=0R=0M=1L=5B=0</v>
      </c>
      <c r="I1046" s="0" t="s">
        <v>5078</v>
      </c>
      <c r="J1046" s="0" t="s">
        <v>5079</v>
      </c>
      <c r="K1046" s="0" t="s">
        <v>175</v>
      </c>
      <c r="L1046" s="1" t="s">
        <v>176</v>
      </c>
      <c r="M1046" s="0" t="s">
        <v>5080</v>
      </c>
      <c r="N1046" s="0" t="str">
        <f aca="false">RIGHT(M1046,LEN(M1046)-FIND(" ",M1046))</f>
        <v>GLENWOOD ST NE</v>
      </c>
      <c r="P1046" s="0" t="s">
        <v>146</v>
      </c>
      <c r="Q1046" s="0" t="s">
        <v>147</v>
      </c>
      <c r="R1046" s="0" t="n">
        <v>44483</v>
      </c>
      <c r="AD1046" s="0" t="s">
        <v>148</v>
      </c>
      <c r="AE1046" s="0" t="s">
        <v>149</v>
      </c>
      <c r="AF1046" s="0" t="s">
        <v>150</v>
      </c>
      <c r="AH1046" s="0" t="n">
        <v>14</v>
      </c>
      <c r="AI1046" s="0" t="n">
        <v>11</v>
      </c>
      <c r="AN1046" s="0" t="s">
        <v>146</v>
      </c>
      <c r="AO1046" s="0" t="s">
        <v>236</v>
      </c>
      <c r="AP1046" s="0" t="s">
        <v>237</v>
      </c>
      <c r="AQ1046" s="0" t="n">
        <v>9</v>
      </c>
      <c r="AR1046" s="0" t="n">
        <v>64</v>
      </c>
      <c r="AS1046" s="0" t="n">
        <v>32</v>
      </c>
      <c r="AU1046" s="0" t="n">
        <f aca="false">COUNTA($BA$472:$EH$472)</f>
        <v>6</v>
      </c>
      <c r="AV1046" s="0" t="n">
        <f aca="false">COUNTIF($BA$472:$EH$472,"D")</f>
        <v>0</v>
      </c>
      <c r="AW1046" s="0" t="n">
        <f aca="false">COUNTIF($BA$472:$EH$472,"R")</f>
        <v>0</v>
      </c>
      <c r="AX1046" s="0" t="n">
        <f aca="false"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>1</v>
      </c>
      <c r="AY1046" s="0" t="n">
        <f aca="false">COUNTIF(DU1046:EH1046, "&lt;&gt;")</f>
        <v>5</v>
      </c>
      <c r="AZ1046" s="0" t="n">
        <f aca="false">IF(EH1046&lt;&gt;"",1,0)</f>
        <v>0</v>
      </c>
      <c r="BB1046" s="0" t="s">
        <v>153</v>
      </c>
      <c r="BD1046" s="0" t="s">
        <v>154</v>
      </c>
      <c r="BE1046" s="0" t="s">
        <v>154</v>
      </c>
      <c r="BH1046" s="0" t="s">
        <v>154</v>
      </c>
      <c r="BJ1046" s="0" t="s">
        <v>154</v>
      </c>
      <c r="BK1046" s="0" t="s">
        <v>154</v>
      </c>
      <c r="BL1046" s="0" t="s">
        <v>154</v>
      </c>
      <c r="BP1046" s="0" t="s">
        <v>154</v>
      </c>
      <c r="BS1046" s="0" t="s">
        <v>154</v>
      </c>
      <c r="BV1046" s="0" t="s">
        <v>154</v>
      </c>
      <c r="BY1046" s="0" t="s">
        <v>155</v>
      </c>
      <c r="CA1046" s="0" t="s">
        <v>154</v>
      </c>
      <c r="CG1046" s="0" t="s">
        <v>154</v>
      </c>
      <c r="CK1046" s="0" t="s">
        <v>154</v>
      </c>
      <c r="CN1046" s="0" t="s">
        <v>154</v>
      </c>
      <c r="CP1046" s="0" t="s">
        <v>154</v>
      </c>
      <c r="CV1046" s="0" t="s">
        <v>154</v>
      </c>
      <c r="CY1046" s="0" t="s">
        <v>154</v>
      </c>
      <c r="CZ1046" s="0" t="s">
        <v>155</v>
      </c>
      <c r="DC1046" s="0" t="s">
        <v>154</v>
      </c>
      <c r="DF1046" s="0" t="s">
        <v>154</v>
      </c>
      <c r="DG1046" s="0" t="s">
        <v>176</v>
      </c>
      <c r="DI1046" s="0" t="s">
        <v>154</v>
      </c>
      <c r="DL1046" s="0" t="s">
        <v>154</v>
      </c>
      <c r="DN1046" s="0" t="s">
        <v>154</v>
      </c>
      <c r="DO1046" s="0" t="s">
        <v>155</v>
      </c>
      <c r="DS1046" s="0" t="s">
        <v>176</v>
      </c>
      <c r="DU1046" s="0" t="s">
        <v>154</v>
      </c>
      <c r="DX1046" s="0" t="s">
        <v>154</v>
      </c>
      <c r="EA1046" s="0" t="s">
        <v>154</v>
      </c>
      <c r="ED1046" s="0" t="s">
        <v>176</v>
      </c>
      <c r="EF1046" s="0" t="s">
        <v>154</v>
      </c>
    </row>
    <row r="1047" customFormat="false" ht="13.8" hidden="false" customHeight="false" outlineLevel="0" collapsed="false">
      <c r="A1047" s="0" t="s">
        <v>5081</v>
      </c>
      <c r="B1047" s="0" t="n">
        <v>78</v>
      </c>
      <c r="C1047" s="0" t="n">
        <v>157366</v>
      </c>
      <c r="D1047" s="0" t="s">
        <v>1646</v>
      </c>
      <c r="E1047" s="0" t="s">
        <v>867</v>
      </c>
      <c r="F1047" s="0" t="str">
        <f aca="false">CONCATENATE(D1047," ",LEFT(H1047,4),"T=",AU1047,"D=",AV1047,"R=",AW1047,"M=",AX1047,"L=",AY1047,"B=",AZ1047)</f>
        <v>GREATHOUSE T=3D=0R=0M=1L=6B=0</v>
      </c>
      <c r="G1047" s="0" t="s">
        <v>241</v>
      </c>
      <c r="I1047" s="0" t="s">
        <v>5082</v>
      </c>
      <c r="J1047" s="0" t="s">
        <v>5083</v>
      </c>
      <c r="K1047" s="0" t="s">
        <v>175</v>
      </c>
      <c r="L1047" s="1" t="s">
        <v>176</v>
      </c>
      <c r="M1047" s="0" t="s">
        <v>5084</v>
      </c>
      <c r="N1047" s="0" t="str">
        <f aca="false">RIGHT(M1047,LEN(M1047)-FIND(" ",M1047))</f>
        <v>GLENWOOD ST NE</v>
      </c>
      <c r="P1047" s="0" t="s">
        <v>146</v>
      </c>
      <c r="Q1047" s="0" t="s">
        <v>147</v>
      </c>
      <c r="R1047" s="0" t="n">
        <v>44483</v>
      </c>
      <c r="AD1047" s="0" t="s">
        <v>148</v>
      </c>
      <c r="AE1047" s="0" t="s">
        <v>149</v>
      </c>
      <c r="AF1047" s="0" t="s">
        <v>150</v>
      </c>
      <c r="AH1047" s="0" t="n">
        <v>14</v>
      </c>
      <c r="AI1047" s="0" t="n">
        <v>11</v>
      </c>
      <c r="AN1047" s="0" t="s">
        <v>146</v>
      </c>
      <c r="AO1047" s="0" t="s">
        <v>236</v>
      </c>
      <c r="AP1047" s="0" t="s">
        <v>237</v>
      </c>
      <c r="AQ1047" s="0" t="n">
        <v>9</v>
      </c>
      <c r="AR1047" s="0" t="n">
        <v>64</v>
      </c>
      <c r="AS1047" s="0" t="n">
        <v>32</v>
      </c>
      <c r="AU1047" s="0" t="n">
        <f aca="false">COUNTA($BA$308:$EH$308)</f>
        <v>3</v>
      </c>
      <c r="AV1047" s="0" t="n">
        <f aca="false">COUNTIF($BA$308:$EH$308,"D")</f>
        <v>0</v>
      </c>
      <c r="AW1047" s="0" t="n">
        <f aca="false">COUNTIF($BA$308:$EH$308,"R")</f>
        <v>0</v>
      </c>
      <c r="AX1047" s="0" t="n">
        <f aca="false"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>1</v>
      </c>
      <c r="AY1047" s="0" t="n">
        <f aca="false">COUNTIF(DU1047:EH1047, "&lt;&gt;")</f>
        <v>6</v>
      </c>
      <c r="AZ1047" s="0" t="n">
        <f aca="false">IF(EH1047&lt;&gt;"",1,0)</f>
        <v>0</v>
      </c>
      <c r="BB1047" s="0" t="s">
        <v>153</v>
      </c>
      <c r="BC1047" s="0" t="s">
        <v>154</v>
      </c>
      <c r="BD1047" s="0" t="s">
        <v>154</v>
      </c>
      <c r="BH1047" s="0" t="s">
        <v>154</v>
      </c>
      <c r="BI1047" s="0" t="s">
        <v>154</v>
      </c>
      <c r="BJ1047" s="0" t="s">
        <v>154</v>
      </c>
      <c r="BL1047" s="0" t="s">
        <v>154</v>
      </c>
      <c r="BP1047" s="0" t="s">
        <v>154</v>
      </c>
      <c r="BS1047" s="0" t="s">
        <v>154</v>
      </c>
      <c r="BY1047" s="0" t="s">
        <v>155</v>
      </c>
      <c r="CA1047" s="0" t="s">
        <v>154</v>
      </c>
      <c r="CP1047" s="0" t="s">
        <v>154</v>
      </c>
      <c r="CY1047" s="0" t="s">
        <v>154</v>
      </c>
      <c r="DC1047" s="0" t="s">
        <v>154</v>
      </c>
      <c r="DI1047" s="0" t="s">
        <v>154</v>
      </c>
      <c r="DL1047" s="0" t="s">
        <v>154</v>
      </c>
      <c r="DN1047" s="0" t="s">
        <v>154</v>
      </c>
      <c r="DU1047" s="0" t="s">
        <v>154</v>
      </c>
      <c r="DW1047" s="0" t="s">
        <v>155</v>
      </c>
      <c r="DX1047" s="0" t="s">
        <v>154</v>
      </c>
      <c r="EA1047" s="0" t="s">
        <v>154</v>
      </c>
      <c r="ED1047" s="0" t="s">
        <v>176</v>
      </c>
      <c r="EF1047" s="0" t="s">
        <v>154</v>
      </c>
    </row>
    <row r="1048" customFormat="false" ht="13.8" hidden="true" customHeight="false" outlineLevel="0" collapsed="false">
      <c r="A1048" s="0" t="s">
        <v>5085</v>
      </c>
      <c r="B1048" s="0" t="n">
        <v>78</v>
      </c>
      <c r="C1048" s="0" t="n">
        <v>347760</v>
      </c>
      <c r="D1048" s="0" t="s">
        <v>5086</v>
      </c>
      <c r="E1048" s="0" t="s">
        <v>1117</v>
      </c>
      <c r="F1048" s="0" t="str">
        <f aca="false">CONCATENATE(D1048," ",LEFT(H1048,4),"T=",AU1048,"D=",AV1048,"R=",AW1048,"M=",AX1048,"L=",AY1048,"B=",AZ1048)</f>
        <v>MCCLUNG T=8D=0R=2M=0L=0B=0</v>
      </c>
      <c r="G1048" s="0" t="s">
        <v>172</v>
      </c>
      <c r="I1048" s="0" t="s">
        <v>5087</v>
      </c>
      <c r="J1048" s="0" t="s">
        <v>5088</v>
      </c>
      <c r="K1048" s="0" t="s">
        <v>175</v>
      </c>
      <c r="L1048" s="0"/>
      <c r="M1048" s="0" t="s">
        <v>5089</v>
      </c>
      <c r="N1048" s="0" t="str">
        <f aca="false">RIGHT(M1048,LEN(M1048)-FIND(" ",M1048))</f>
        <v>GLENWOOD ST NE</v>
      </c>
      <c r="P1048" s="0" t="s">
        <v>146</v>
      </c>
      <c r="Q1048" s="0" t="s">
        <v>147</v>
      </c>
      <c r="R1048" s="0" t="n">
        <v>44483</v>
      </c>
      <c r="AD1048" s="0" t="s">
        <v>148</v>
      </c>
      <c r="AE1048" s="0" t="s">
        <v>149</v>
      </c>
      <c r="AF1048" s="0" t="s">
        <v>150</v>
      </c>
      <c r="AH1048" s="0" t="n">
        <v>14</v>
      </c>
      <c r="AI1048" s="0" t="n">
        <v>11</v>
      </c>
      <c r="AN1048" s="0" t="s">
        <v>146</v>
      </c>
      <c r="AO1048" s="0" t="s">
        <v>236</v>
      </c>
      <c r="AP1048" s="0" t="s">
        <v>237</v>
      </c>
      <c r="AQ1048" s="0" t="n">
        <v>9</v>
      </c>
      <c r="AR1048" s="0" t="n">
        <v>64</v>
      </c>
      <c r="AS1048" s="0" t="n">
        <v>32</v>
      </c>
      <c r="AU1048" s="0" t="n">
        <f aca="false">COUNTA($BA$458:$EH$458)</f>
        <v>8</v>
      </c>
      <c r="AV1048" s="0" t="n">
        <f aca="false">COUNTIF($BA$458:$EH$458,"D")</f>
        <v>0</v>
      </c>
      <c r="AW1048" s="0" t="n">
        <f aca="false">COUNTIF($BA$458:$EH$458,"R")</f>
        <v>2</v>
      </c>
      <c r="AX1048" s="0" t="n">
        <f aca="false"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>0</v>
      </c>
      <c r="AY1048" s="0" t="n">
        <f aca="false">COUNTIF(DU1048:EH1048, "&lt;&gt;")</f>
        <v>0</v>
      </c>
      <c r="AZ1048" s="0" t="n">
        <f aca="false">IF(EH1048&lt;&gt;"",1,0)</f>
        <v>0</v>
      </c>
      <c r="BB1048" s="0" t="s">
        <v>153</v>
      </c>
      <c r="CA1048" s="0" t="s">
        <v>154</v>
      </c>
      <c r="CN1048" s="0" t="s">
        <v>154</v>
      </c>
      <c r="CO1048" s="0" t="s">
        <v>155</v>
      </c>
      <c r="CP1048" s="0" t="s">
        <v>154</v>
      </c>
      <c r="CY1048" s="0" t="s">
        <v>154</v>
      </c>
      <c r="DC1048" s="0" t="s">
        <v>154</v>
      </c>
    </row>
    <row r="1049" customFormat="false" ht="13.8" hidden="false" customHeight="false" outlineLevel="0" collapsed="false">
      <c r="A1049" s="0" t="s">
        <v>5090</v>
      </c>
      <c r="B1049" s="0" t="n">
        <v>78</v>
      </c>
      <c r="C1049" s="0" t="n">
        <v>145537</v>
      </c>
      <c r="D1049" s="0" t="s">
        <v>5086</v>
      </c>
      <c r="E1049" s="0" t="s">
        <v>158</v>
      </c>
      <c r="F1049" s="0" t="str">
        <f aca="false">CONCATENATE(D1049," ",LEFT(H1049,4),"T=",AU1049,"D=",AV1049,"R=",AW1049,"M=",AX1049,"L=",AY1049,"B=",AZ1049)</f>
        <v>MCCLUNG T=3D=0R=0M=1L=4B=0</v>
      </c>
      <c r="G1049" s="0" t="s">
        <v>159</v>
      </c>
      <c r="I1049" s="0" t="s">
        <v>2021</v>
      </c>
      <c r="J1049" s="0" t="s">
        <v>5091</v>
      </c>
      <c r="K1049" s="0" t="s">
        <v>175</v>
      </c>
      <c r="L1049" s="1" t="s">
        <v>155</v>
      </c>
      <c r="M1049" s="0" t="s">
        <v>5089</v>
      </c>
      <c r="N1049" s="0" t="str">
        <f aca="false">RIGHT(M1049,LEN(M1049)-FIND(" ",M1049))</f>
        <v>GLENWOOD ST NE</v>
      </c>
      <c r="P1049" s="0" t="s">
        <v>146</v>
      </c>
      <c r="Q1049" s="0" t="s">
        <v>147</v>
      </c>
      <c r="R1049" s="0" t="n">
        <v>44483</v>
      </c>
      <c r="AD1049" s="0" t="s">
        <v>148</v>
      </c>
      <c r="AE1049" s="0" t="s">
        <v>149</v>
      </c>
      <c r="AF1049" s="0" t="s">
        <v>150</v>
      </c>
      <c r="AH1049" s="0" t="n">
        <v>14</v>
      </c>
      <c r="AI1049" s="0" t="n">
        <v>11</v>
      </c>
      <c r="AN1049" s="0" t="s">
        <v>146</v>
      </c>
      <c r="AO1049" s="0" t="s">
        <v>236</v>
      </c>
      <c r="AP1049" s="0" t="s">
        <v>237</v>
      </c>
      <c r="AQ1049" s="0" t="n">
        <v>9</v>
      </c>
      <c r="AR1049" s="0" t="n">
        <v>64</v>
      </c>
      <c r="AS1049" s="0" t="n">
        <v>32</v>
      </c>
      <c r="AU1049" s="0" t="n">
        <f aca="false">COUNTA($BA$505:$EH$505)</f>
        <v>3</v>
      </c>
      <c r="AV1049" s="0" t="n">
        <f aca="false">COUNTIF($BA$505:$EH$505,"D")</f>
        <v>0</v>
      </c>
      <c r="AW1049" s="0" t="n">
        <f aca="false">COUNTIF($BA$505:$EH$505,"R")</f>
        <v>0</v>
      </c>
      <c r="AX1049" s="0" t="n">
        <f aca="false"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>1</v>
      </c>
      <c r="AY1049" s="0" t="n">
        <f aca="false">COUNTIF(DU1049:EH1049, "&lt;&gt;")</f>
        <v>4</v>
      </c>
      <c r="AZ1049" s="0" t="n">
        <f aca="false">IF(EH1049&lt;&gt;"",1,0)</f>
        <v>0</v>
      </c>
      <c r="BB1049" s="0" t="s">
        <v>153</v>
      </c>
      <c r="BC1049" s="0" t="s">
        <v>154</v>
      </c>
      <c r="BD1049" s="0" t="s">
        <v>154</v>
      </c>
      <c r="BE1049" s="0" t="s">
        <v>154</v>
      </c>
      <c r="BG1049" s="0" t="s">
        <v>154</v>
      </c>
      <c r="BH1049" s="0" t="s">
        <v>154</v>
      </c>
      <c r="BJ1049" s="0" t="s">
        <v>154</v>
      </c>
      <c r="BK1049" s="0" t="s">
        <v>154</v>
      </c>
      <c r="BL1049" s="0" t="s">
        <v>154</v>
      </c>
      <c r="BP1049" s="0" t="s">
        <v>154</v>
      </c>
      <c r="BR1049" s="0" t="s">
        <v>154</v>
      </c>
      <c r="BS1049" s="0" t="s">
        <v>154</v>
      </c>
      <c r="BV1049" s="0" t="s">
        <v>154</v>
      </c>
      <c r="BY1049" s="0" t="s">
        <v>155</v>
      </c>
      <c r="CA1049" s="0" t="s">
        <v>154</v>
      </c>
      <c r="CG1049" s="0" t="s">
        <v>154</v>
      </c>
      <c r="CK1049" s="0" t="s">
        <v>154</v>
      </c>
      <c r="CN1049" s="0" t="s">
        <v>154</v>
      </c>
      <c r="CO1049" s="0" t="s">
        <v>155</v>
      </c>
      <c r="CP1049" s="0" t="s">
        <v>154</v>
      </c>
      <c r="CY1049" s="0" t="s">
        <v>154</v>
      </c>
      <c r="CZ1049" s="0" t="s">
        <v>155</v>
      </c>
      <c r="DC1049" s="0" t="s">
        <v>154</v>
      </c>
      <c r="DI1049" s="0" t="s">
        <v>154</v>
      </c>
      <c r="DM1049" s="0" t="s">
        <v>155</v>
      </c>
      <c r="DN1049" s="0" t="s">
        <v>154</v>
      </c>
      <c r="DS1049" s="0" t="s">
        <v>155</v>
      </c>
      <c r="DU1049" s="0" t="s">
        <v>154</v>
      </c>
      <c r="DW1049" s="0" t="s">
        <v>155</v>
      </c>
      <c r="EA1049" s="0" t="s">
        <v>154</v>
      </c>
      <c r="EF1049" s="0" t="s">
        <v>154</v>
      </c>
    </row>
    <row r="1050" customFormat="false" ht="13.8" hidden="true" customHeight="false" outlineLevel="0" collapsed="false">
      <c r="A1050" s="0" t="s">
        <v>5092</v>
      </c>
      <c r="B1050" s="0" t="n">
        <v>78</v>
      </c>
      <c r="C1050" s="0" t="n">
        <v>307795</v>
      </c>
      <c r="D1050" s="0" t="s">
        <v>5093</v>
      </c>
      <c r="E1050" s="0" t="s">
        <v>5094</v>
      </c>
      <c r="F1050" s="0" t="str">
        <f aca="false">CONCATENATE(D1050," ",LEFT(H1050,4),"T=",AU1050,"D=",AV1050,"R=",AW1050,"M=",AX1050,"L=",AY1050,"B=",AZ1050)</f>
        <v>WYMAN T=7D=1R=0M=0L=0B=0</v>
      </c>
      <c r="G1050" s="0" t="s">
        <v>297</v>
      </c>
      <c r="I1050" s="0" t="s">
        <v>5095</v>
      </c>
      <c r="J1050" s="0" t="s">
        <v>5096</v>
      </c>
      <c r="K1050" s="0" t="s">
        <v>175</v>
      </c>
      <c r="L1050" s="0"/>
      <c r="M1050" s="0" t="s">
        <v>5097</v>
      </c>
      <c r="N1050" s="0" t="str">
        <f aca="false">RIGHT(M1050,LEN(M1050)-FIND(" ",M1050))</f>
        <v>GLENWOOD ST NE</v>
      </c>
      <c r="P1050" s="0" t="s">
        <v>146</v>
      </c>
      <c r="Q1050" s="0" t="s">
        <v>147</v>
      </c>
      <c r="R1050" s="0" t="n">
        <v>44483</v>
      </c>
      <c r="AD1050" s="0" t="s">
        <v>148</v>
      </c>
      <c r="AE1050" s="0" t="s">
        <v>149</v>
      </c>
      <c r="AF1050" s="0" t="s">
        <v>150</v>
      </c>
      <c r="AH1050" s="0" t="n">
        <v>14</v>
      </c>
      <c r="AI1050" s="0" t="n">
        <v>11</v>
      </c>
      <c r="AN1050" s="0" t="s">
        <v>146</v>
      </c>
      <c r="AO1050" s="0" t="s">
        <v>236</v>
      </c>
      <c r="AP1050" s="0" t="s">
        <v>237</v>
      </c>
      <c r="AQ1050" s="0" t="n">
        <v>9</v>
      </c>
      <c r="AR1050" s="0" t="n">
        <v>64</v>
      </c>
      <c r="AS1050" s="0" t="n">
        <v>32</v>
      </c>
      <c r="AU1050" s="0" t="n">
        <f aca="false">COUNTA($BA$612:$EH$612)</f>
        <v>7</v>
      </c>
      <c r="AV1050" s="0" t="n">
        <f aca="false">COUNTIF($BA$612:$EH$612,"D")</f>
        <v>1</v>
      </c>
      <c r="AW1050" s="0" t="n">
        <f aca="false">COUNTIF($BA$612:$EH$612,"R")</f>
        <v>0</v>
      </c>
      <c r="AX1050" s="0" t="n">
        <f aca="false"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>0</v>
      </c>
      <c r="AY1050" s="0" t="n">
        <f aca="false">COUNTIF(DU1050:EH1050, "&lt;&gt;")</f>
        <v>0</v>
      </c>
      <c r="AZ1050" s="0" t="n">
        <f aca="false">IF(EH1050&lt;&gt;"",1,0)</f>
        <v>0</v>
      </c>
      <c r="BB1050" s="0" t="s">
        <v>153</v>
      </c>
      <c r="CA1050" s="0" t="s">
        <v>154</v>
      </c>
      <c r="CP1050" s="0" t="s">
        <v>154</v>
      </c>
    </row>
    <row r="1051" customFormat="false" ht="13.8" hidden="true" customHeight="false" outlineLevel="0" collapsed="false">
      <c r="A1051" s="0" t="s">
        <v>5098</v>
      </c>
      <c r="B1051" s="0" t="n">
        <v>78</v>
      </c>
      <c r="C1051" s="0" t="n">
        <v>375591</v>
      </c>
      <c r="D1051" s="0" t="s">
        <v>5093</v>
      </c>
      <c r="E1051" s="0" t="s">
        <v>5099</v>
      </c>
      <c r="F1051" s="0" t="str">
        <f aca="false">CONCATENATE(D1051," ",LEFT(H1051,4),"T=",AU1051,"D=",AV1051,"R=",AW1051,"M=",AX1051,"L=",AY1051,"B=",AZ1051)</f>
        <v>WYMAN T=13D=0R=2M=0L=0B=0</v>
      </c>
      <c r="G1051" s="0" t="s">
        <v>761</v>
      </c>
      <c r="I1051" s="0" t="s">
        <v>5100</v>
      </c>
      <c r="J1051" s="0" t="s">
        <v>4832</v>
      </c>
      <c r="K1051" s="0" t="s">
        <v>144</v>
      </c>
      <c r="L1051" s="0"/>
      <c r="M1051" s="0" t="s">
        <v>5097</v>
      </c>
      <c r="N1051" s="0" t="str">
        <f aca="false">RIGHT(M1051,LEN(M1051)-FIND(" ",M1051))</f>
        <v>GLENWOOD ST NE</v>
      </c>
      <c r="P1051" s="0" t="s">
        <v>146</v>
      </c>
      <c r="Q1051" s="0" t="s">
        <v>147</v>
      </c>
      <c r="R1051" s="0" t="n">
        <v>44483</v>
      </c>
      <c r="AD1051" s="0" t="s">
        <v>148</v>
      </c>
      <c r="AE1051" s="0" t="s">
        <v>149</v>
      </c>
      <c r="AF1051" s="0" t="s">
        <v>150</v>
      </c>
      <c r="AH1051" s="0" t="n">
        <v>14</v>
      </c>
      <c r="AI1051" s="0" t="n">
        <v>11</v>
      </c>
      <c r="AN1051" s="0" t="s">
        <v>146</v>
      </c>
      <c r="AO1051" s="0" t="s">
        <v>236</v>
      </c>
      <c r="AP1051" s="0" t="s">
        <v>237</v>
      </c>
      <c r="AQ1051" s="0" t="n">
        <v>9</v>
      </c>
      <c r="AR1051" s="0" t="n">
        <v>64</v>
      </c>
      <c r="AS1051" s="0" t="n">
        <v>32</v>
      </c>
      <c r="AU1051" s="0" t="n">
        <f aca="false">COUNTA($BA$929:$EH$929)</f>
        <v>13</v>
      </c>
      <c r="AV1051" s="0" t="n">
        <f aca="false">COUNTIF($BA$929:$EH$929,"D")</f>
        <v>0</v>
      </c>
      <c r="AW1051" s="0" t="n">
        <f aca="false">COUNTIF($BA$929:$EH$929,"R")</f>
        <v>2</v>
      </c>
      <c r="AX1051" s="0" t="n">
        <f aca="false"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>0</v>
      </c>
      <c r="AY1051" s="0" t="n">
        <f aca="false">COUNTIF(DU1051:EH1051, "&lt;&gt;")</f>
        <v>0</v>
      </c>
      <c r="AZ1051" s="0" t="n">
        <f aca="false">IF(EH1051&lt;&gt;"",1,0)</f>
        <v>0</v>
      </c>
      <c r="BB1051" s="0" t="s">
        <v>153</v>
      </c>
      <c r="CY1051" s="0" t="s">
        <v>154</v>
      </c>
      <c r="DN1051" s="0" t="s">
        <v>154</v>
      </c>
    </row>
    <row r="1052" customFormat="false" ht="13.8" hidden="false" customHeight="false" outlineLevel="0" collapsed="false">
      <c r="A1052" s="0" t="s">
        <v>5101</v>
      </c>
      <c r="B1052" s="0" t="n">
        <v>78</v>
      </c>
      <c r="C1052" s="0" t="n">
        <v>362468</v>
      </c>
      <c r="D1052" s="0" t="s">
        <v>5102</v>
      </c>
      <c r="E1052" s="0" t="s">
        <v>2218</v>
      </c>
      <c r="F1052" s="0" t="str">
        <f aca="false">CONCATENATE(D1052," ",LEFT(H1052,4),"T=",AU1052,"D=",AV1052,"R=",AW1052,"M=",AX1052,"L=",AY1052,"B=",AZ1052)</f>
        <v>BEASLEY T=4D=0R=0M=0L=2B=0</v>
      </c>
      <c r="G1052" s="0" t="s">
        <v>172</v>
      </c>
      <c r="I1052" s="0" t="s">
        <v>5103</v>
      </c>
      <c r="J1052" s="0" t="s">
        <v>5104</v>
      </c>
      <c r="K1052" s="0" t="s">
        <v>175</v>
      </c>
      <c r="M1052" s="0" t="s">
        <v>5105</v>
      </c>
      <c r="N1052" s="0" t="str">
        <f aca="false">RIGHT(M1052,LEN(M1052)-FIND(" ",M1052))</f>
        <v>GLENWOOD ST NE</v>
      </c>
      <c r="P1052" s="0" t="s">
        <v>146</v>
      </c>
      <c r="Q1052" s="0" t="s">
        <v>147</v>
      </c>
      <c r="R1052" s="0" t="n">
        <v>44483</v>
      </c>
      <c r="AD1052" s="0" t="s">
        <v>148</v>
      </c>
      <c r="AE1052" s="0" t="s">
        <v>149</v>
      </c>
      <c r="AF1052" s="0" t="s">
        <v>150</v>
      </c>
      <c r="AH1052" s="0" t="n">
        <v>14</v>
      </c>
      <c r="AI1052" s="0" t="n">
        <v>11</v>
      </c>
      <c r="AN1052" s="0" t="s">
        <v>146</v>
      </c>
      <c r="AO1052" s="0" t="s">
        <v>236</v>
      </c>
      <c r="AP1052" s="0" t="s">
        <v>237</v>
      </c>
      <c r="AQ1052" s="0" t="n">
        <v>9</v>
      </c>
      <c r="AR1052" s="0" t="n">
        <v>64</v>
      </c>
      <c r="AS1052" s="0" t="n">
        <v>32</v>
      </c>
      <c r="AU1052" s="0" t="n">
        <f aca="false">COUNTA($BA$385:$EH$385)</f>
        <v>4</v>
      </c>
      <c r="AV1052" s="0" t="n">
        <f aca="false">COUNTIF($BA$385:$EH$385,"D")</f>
        <v>0</v>
      </c>
      <c r="AW1052" s="0" t="n">
        <f aca="false">COUNTIF($BA$385:$EH$385,"R")</f>
        <v>0</v>
      </c>
      <c r="AX1052" s="0" t="n">
        <f aca="false"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>0</v>
      </c>
      <c r="AY1052" s="0" t="n">
        <f aca="false">COUNTIF(DU1052:EH1052, "&lt;&gt;")</f>
        <v>2</v>
      </c>
      <c r="AZ1052" s="0" t="n">
        <f aca="false">IF(EH1052&lt;&gt;"",1,0)</f>
        <v>0</v>
      </c>
      <c r="BB1052" s="0" t="s">
        <v>153</v>
      </c>
      <c r="CK1052" s="0" t="s">
        <v>154</v>
      </c>
      <c r="CP1052" s="0" t="s">
        <v>154</v>
      </c>
      <c r="CY1052" s="0" t="s">
        <v>154</v>
      </c>
      <c r="CZ1052" s="0" t="s">
        <v>176</v>
      </c>
      <c r="DC1052" s="0" t="s">
        <v>154</v>
      </c>
      <c r="DI1052" s="0" t="s">
        <v>154</v>
      </c>
      <c r="DN1052" s="0" t="s">
        <v>154</v>
      </c>
      <c r="DU1052" s="0" t="s">
        <v>154</v>
      </c>
      <c r="EF1052" s="0" t="s">
        <v>154</v>
      </c>
    </row>
    <row r="1053" customFormat="false" ht="13.8" hidden="false" customHeight="false" outlineLevel="0" collapsed="false">
      <c r="A1053" s="0" t="s">
        <v>5106</v>
      </c>
      <c r="B1053" s="0" t="n">
        <v>78</v>
      </c>
      <c r="C1053" s="0" t="n">
        <v>360990</v>
      </c>
      <c r="D1053" s="0" t="s">
        <v>5102</v>
      </c>
      <c r="E1053" s="0" t="s">
        <v>1545</v>
      </c>
      <c r="F1053" s="0" t="str">
        <f aca="false">CONCATENATE(D1053," ",LEFT(H1053,4),"T=",AU1053,"D=",AV1053,"R=",AW1053,"M=",AX1053,"L=",AY1053,"B=",AZ1053)</f>
        <v>BEASLEY T=3D=0R=0M=0L=5B=0</v>
      </c>
      <c r="G1053" s="0" t="s">
        <v>155</v>
      </c>
      <c r="I1053" s="0" t="s">
        <v>5107</v>
      </c>
      <c r="J1053" s="0" t="s">
        <v>5108</v>
      </c>
      <c r="K1053" s="0" t="s">
        <v>175</v>
      </c>
      <c r="L1053" s="1" t="s">
        <v>176</v>
      </c>
      <c r="M1053" s="0" t="s">
        <v>5105</v>
      </c>
      <c r="N1053" s="0" t="str">
        <f aca="false">RIGHT(M1053,LEN(M1053)-FIND(" ",M1053))</f>
        <v>GLENWOOD ST NE</v>
      </c>
      <c r="P1053" s="0" t="s">
        <v>146</v>
      </c>
      <c r="Q1053" s="0" t="s">
        <v>147</v>
      </c>
      <c r="R1053" s="0" t="n">
        <v>44483</v>
      </c>
      <c r="AD1053" s="0" t="s">
        <v>148</v>
      </c>
      <c r="AE1053" s="0" t="s">
        <v>149</v>
      </c>
      <c r="AF1053" s="0" t="s">
        <v>150</v>
      </c>
      <c r="AH1053" s="0" t="n">
        <v>14</v>
      </c>
      <c r="AI1053" s="0" t="n">
        <v>11</v>
      </c>
      <c r="AN1053" s="0" t="s">
        <v>146</v>
      </c>
      <c r="AO1053" s="0" t="s">
        <v>236</v>
      </c>
      <c r="AP1053" s="0" t="s">
        <v>237</v>
      </c>
      <c r="AQ1053" s="0" t="n">
        <v>9</v>
      </c>
      <c r="AR1053" s="0" t="n">
        <v>64</v>
      </c>
      <c r="AS1053" s="0" t="n">
        <v>32</v>
      </c>
      <c r="AU1053" s="0" t="n">
        <f aca="false">COUNTA($BA$402:$EH$402)</f>
        <v>3</v>
      </c>
      <c r="AV1053" s="0" t="n">
        <f aca="false">COUNTIF($BA$402:$EH$402,"D")</f>
        <v>0</v>
      </c>
      <c r="AW1053" s="0" t="n">
        <f aca="false">COUNTIF($BA$402:$EH$402,"R")</f>
        <v>0</v>
      </c>
      <c r="AX1053" s="0" t="n">
        <f aca="false"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>0</v>
      </c>
      <c r="AY1053" s="0" t="n">
        <f aca="false">COUNTIF(DU1053:EH1053, "&lt;&gt;")</f>
        <v>5</v>
      </c>
      <c r="AZ1053" s="0" t="n">
        <f aca="false">IF(EH1053&lt;&gt;"",1,0)</f>
        <v>0</v>
      </c>
      <c r="BB1053" s="0" t="s">
        <v>153</v>
      </c>
      <c r="CK1053" s="0" t="s">
        <v>154</v>
      </c>
      <c r="CP1053" s="0" t="s">
        <v>154</v>
      </c>
      <c r="CV1053" s="0" t="s">
        <v>154</v>
      </c>
      <c r="CY1053" s="0" t="s">
        <v>154</v>
      </c>
      <c r="CZ1053" s="0" t="s">
        <v>176</v>
      </c>
      <c r="DC1053" s="0" t="s">
        <v>154</v>
      </c>
      <c r="DI1053" s="0" t="s">
        <v>154</v>
      </c>
      <c r="DN1053" s="0" t="s">
        <v>154</v>
      </c>
      <c r="DU1053" s="0" t="s">
        <v>154</v>
      </c>
      <c r="DX1053" s="0" t="s">
        <v>154</v>
      </c>
      <c r="EA1053" s="0" t="s">
        <v>154</v>
      </c>
      <c r="ED1053" s="0" t="s">
        <v>176</v>
      </c>
      <c r="EF1053" s="0" t="s">
        <v>154</v>
      </c>
    </row>
    <row r="1054" customFormat="false" ht="13.8" hidden="false" customHeight="false" outlineLevel="0" collapsed="false">
      <c r="A1054" s="0" t="s">
        <v>5109</v>
      </c>
      <c r="B1054" s="0" t="n">
        <v>78</v>
      </c>
      <c r="C1054" s="0" t="n">
        <v>220431</v>
      </c>
      <c r="D1054" s="0" t="s">
        <v>5110</v>
      </c>
      <c r="E1054" s="0" t="s">
        <v>5111</v>
      </c>
      <c r="F1054" s="0" t="str">
        <f aca="false">CONCATENATE(D1054," ",LEFT(H1054,4),"T=",AU1054,"D=",AV1054,"R=",AW1054,"M=",AX1054,"L=",AY1054,"B=",AZ1054)</f>
        <v>LISK T=3D=0R=0M=0L=5B=0</v>
      </c>
      <c r="G1054" s="0" t="s">
        <v>172</v>
      </c>
      <c r="I1054" s="0" t="s">
        <v>5112</v>
      </c>
      <c r="J1054" s="0" t="s">
        <v>5113</v>
      </c>
      <c r="K1054" s="0" t="s">
        <v>175</v>
      </c>
      <c r="L1054" s="1" t="s">
        <v>176</v>
      </c>
      <c r="M1054" s="0" t="s">
        <v>5114</v>
      </c>
      <c r="N1054" s="0" t="str">
        <f aca="false">RIGHT(M1054,LEN(M1054)-FIND(" ",M1054))</f>
        <v>GLENWOOD ST NE</v>
      </c>
      <c r="P1054" s="0" t="s">
        <v>146</v>
      </c>
      <c r="Q1054" s="0" t="s">
        <v>147</v>
      </c>
      <c r="R1054" s="0" t="n">
        <v>44483</v>
      </c>
      <c r="AD1054" s="0" t="s">
        <v>148</v>
      </c>
      <c r="AE1054" s="0" t="s">
        <v>149</v>
      </c>
      <c r="AF1054" s="0" t="s">
        <v>150</v>
      </c>
      <c r="AH1054" s="0" t="n">
        <v>14</v>
      </c>
      <c r="AI1054" s="0" t="n">
        <v>11</v>
      </c>
      <c r="AN1054" s="0" t="s">
        <v>146</v>
      </c>
      <c r="AO1054" s="0" t="s">
        <v>236</v>
      </c>
      <c r="AP1054" s="0" t="s">
        <v>237</v>
      </c>
      <c r="AQ1054" s="0" t="n">
        <v>9</v>
      </c>
      <c r="AR1054" s="0" t="n">
        <v>64</v>
      </c>
      <c r="AS1054" s="0" t="n">
        <v>32</v>
      </c>
      <c r="AU1054" s="0" t="n">
        <f aca="false">COUNTA($BA$392:$EH$392)</f>
        <v>3</v>
      </c>
      <c r="AV1054" s="0" t="n">
        <f aca="false">COUNTIF($BA$392:$EH$392,"D")</f>
        <v>0</v>
      </c>
      <c r="AW1054" s="0" t="n">
        <f aca="false">COUNTIF($BA$392:$EH$392,"R")</f>
        <v>0</v>
      </c>
      <c r="AX1054" s="0" t="n">
        <f aca="false"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>0</v>
      </c>
      <c r="AY1054" s="0" t="n">
        <f aca="false">COUNTIF(DU1054:EH1054, "&lt;&gt;")</f>
        <v>5</v>
      </c>
      <c r="AZ1054" s="0" t="n">
        <f aca="false">IF(EH1054&lt;&gt;"",1,0)</f>
        <v>0</v>
      </c>
      <c r="BB1054" s="0" t="s">
        <v>153</v>
      </c>
      <c r="BD1054" s="0" t="s">
        <v>154</v>
      </c>
      <c r="BH1054" s="0" t="s">
        <v>154</v>
      </c>
      <c r="BJ1054" s="0" t="s">
        <v>154</v>
      </c>
      <c r="BL1054" s="0" t="s">
        <v>154</v>
      </c>
      <c r="BR1054" s="0" t="s">
        <v>154</v>
      </c>
      <c r="BS1054" s="0" t="s">
        <v>154</v>
      </c>
      <c r="BV1054" s="0" t="s">
        <v>154</v>
      </c>
      <c r="BY1054" s="0" t="s">
        <v>176</v>
      </c>
      <c r="CA1054" s="0" t="s">
        <v>154</v>
      </c>
      <c r="CG1054" s="0" t="s">
        <v>154</v>
      </c>
      <c r="CH1054" s="0" t="s">
        <v>176</v>
      </c>
      <c r="CK1054" s="0" t="s">
        <v>154</v>
      </c>
      <c r="CN1054" s="0" t="s">
        <v>154</v>
      </c>
      <c r="CO1054" s="0" t="s">
        <v>176</v>
      </c>
      <c r="CP1054" s="0" t="s">
        <v>154</v>
      </c>
      <c r="CV1054" s="0" t="s">
        <v>154</v>
      </c>
      <c r="CY1054" s="0" t="s">
        <v>154</v>
      </c>
      <c r="CZ1054" s="0" t="s">
        <v>176</v>
      </c>
      <c r="DC1054" s="0" t="s">
        <v>154</v>
      </c>
      <c r="DG1054" s="0" t="s">
        <v>176</v>
      </c>
      <c r="DI1054" s="0" t="s">
        <v>154</v>
      </c>
      <c r="DL1054" s="0" t="s">
        <v>154</v>
      </c>
      <c r="DM1054" s="0" t="s">
        <v>176</v>
      </c>
      <c r="DN1054" s="0" t="s">
        <v>154</v>
      </c>
      <c r="DS1054" s="0" t="s">
        <v>176</v>
      </c>
      <c r="DT1054" s="0" t="s">
        <v>176</v>
      </c>
      <c r="DU1054" s="0" t="s">
        <v>154</v>
      </c>
      <c r="DX1054" s="0" t="s">
        <v>154</v>
      </c>
      <c r="EA1054" s="0" t="s">
        <v>154</v>
      </c>
      <c r="ED1054" s="0" t="s">
        <v>176</v>
      </c>
      <c r="EF1054" s="0" t="s">
        <v>154</v>
      </c>
    </row>
    <row r="1055" customFormat="false" ht="13.8" hidden="true" customHeight="false" outlineLevel="0" collapsed="false">
      <c r="A1055" s="0" t="s">
        <v>5115</v>
      </c>
      <c r="B1055" s="0" t="n">
        <v>78</v>
      </c>
      <c r="C1055" s="0" t="n">
        <v>310669</v>
      </c>
      <c r="D1055" s="0" t="s">
        <v>5116</v>
      </c>
      <c r="E1055" s="0" t="s">
        <v>5117</v>
      </c>
      <c r="F1055" s="0" t="str">
        <f aca="false">CONCATENATE(D1055," ",LEFT(H1055,4),"T=",AU1055,"D=",AV1055,"R=",AW1055,"M=",AX1055,"L=",AY1055,"B=",AZ1055)</f>
        <v>CROSS T=1D=0R=0M=0L=0B=0</v>
      </c>
      <c r="I1055" s="0" t="s">
        <v>5118</v>
      </c>
      <c r="J1055" s="0" t="s">
        <v>5119</v>
      </c>
      <c r="K1055" s="0" t="s">
        <v>144</v>
      </c>
      <c r="L1055" s="0"/>
      <c r="M1055" s="0" t="s">
        <v>5120</v>
      </c>
      <c r="N1055" s="0" t="str">
        <f aca="false">RIGHT(M1055,LEN(M1055)-FIND(" ",M1055))</f>
        <v>GLENWOOD ST NE</v>
      </c>
      <c r="P1055" s="0" t="s">
        <v>146</v>
      </c>
      <c r="Q1055" s="0" t="s">
        <v>147</v>
      </c>
      <c r="R1055" s="0" t="n">
        <v>44483</v>
      </c>
      <c r="AD1055" s="0" t="s">
        <v>148</v>
      </c>
      <c r="AE1055" s="0" t="s">
        <v>149</v>
      </c>
      <c r="AF1055" s="0" t="s">
        <v>150</v>
      </c>
      <c r="AH1055" s="0" t="n">
        <v>14</v>
      </c>
      <c r="AI1055" s="0" t="n">
        <v>11</v>
      </c>
      <c r="AN1055" s="0" t="s">
        <v>146</v>
      </c>
      <c r="AO1055" s="0" t="s">
        <v>236</v>
      </c>
      <c r="AP1055" s="0" t="s">
        <v>237</v>
      </c>
      <c r="AQ1055" s="0" t="n">
        <v>9</v>
      </c>
      <c r="AR1055" s="0" t="n">
        <v>64</v>
      </c>
      <c r="AS1055" s="0" t="n">
        <v>32</v>
      </c>
      <c r="AU1055" s="0" t="n">
        <f aca="false">COUNTA($BA$114:$EH$114)</f>
        <v>1</v>
      </c>
      <c r="AV1055" s="0" t="n">
        <f aca="false">COUNTIF($BA$114:$EH$114,"D")</f>
        <v>0</v>
      </c>
      <c r="AW1055" s="0" t="n">
        <f aca="false">COUNTIF($BA$114:$EH$114,"R")</f>
        <v>0</v>
      </c>
      <c r="AX1055" s="0" t="n">
        <f aca="false"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>0</v>
      </c>
      <c r="AY1055" s="0" t="n">
        <f aca="false">COUNTIF(DU1055:EH1055, "&lt;&gt;")</f>
        <v>0</v>
      </c>
      <c r="AZ1055" s="0" t="n">
        <f aca="false">IF(EH1055&lt;&gt;"",1,0)</f>
        <v>0</v>
      </c>
      <c r="BB1055" s="0" t="s">
        <v>153</v>
      </c>
      <c r="BH1055" s="0" t="s">
        <v>154</v>
      </c>
      <c r="BJ1055" s="0" t="s">
        <v>154</v>
      </c>
      <c r="BK1055" s="0" t="s">
        <v>154</v>
      </c>
      <c r="BL1055" s="0" t="s">
        <v>154</v>
      </c>
      <c r="BP1055" s="0" t="s">
        <v>154</v>
      </c>
      <c r="CA1055" s="0" t="s">
        <v>154</v>
      </c>
      <c r="CK1055" s="0" t="s">
        <v>154</v>
      </c>
      <c r="CP1055" s="0" t="s">
        <v>154</v>
      </c>
      <c r="DC1055" s="0" t="s">
        <v>154</v>
      </c>
    </row>
    <row r="1056" customFormat="false" ht="13.8" hidden="true" customHeight="false" outlineLevel="0" collapsed="false">
      <c r="A1056" s="0" t="s">
        <v>5121</v>
      </c>
      <c r="B1056" s="0" t="n">
        <v>78</v>
      </c>
      <c r="C1056" s="0" t="n">
        <v>326311</v>
      </c>
      <c r="D1056" s="0" t="s">
        <v>165</v>
      </c>
      <c r="E1056" s="0" t="s">
        <v>3669</v>
      </c>
      <c r="F1056" s="0" t="str">
        <f aca="false">CONCATENATE(D1056," ",LEFT(H1056,4),"T=",AU1056,"D=",AV1056,"R=",AW1056,"M=",AX1056,"L=",AY1056,"B=",AZ1056)</f>
        <v>THOMAS T=33D=2R=5M=0L=0B=0</v>
      </c>
      <c r="G1056" s="0" t="s">
        <v>159</v>
      </c>
      <c r="I1056" s="0" t="s">
        <v>5122</v>
      </c>
      <c r="J1056" s="0" t="s">
        <v>5123</v>
      </c>
      <c r="K1056" s="0" t="s">
        <v>144</v>
      </c>
      <c r="L1056" s="0"/>
      <c r="M1056" s="0" t="s">
        <v>5120</v>
      </c>
      <c r="N1056" s="0" t="str">
        <f aca="false">RIGHT(M1056,LEN(M1056)-FIND(" ",M1056))</f>
        <v>GLENWOOD ST NE</v>
      </c>
      <c r="O1056" s="0" t="s">
        <v>972</v>
      </c>
      <c r="P1056" s="0" t="s">
        <v>146</v>
      </c>
      <c r="Q1056" s="0" t="s">
        <v>147</v>
      </c>
      <c r="R1056" s="0" t="n">
        <v>44483</v>
      </c>
      <c r="AD1056" s="0" t="s">
        <v>148</v>
      </c>
      <c r="AE1056" s="0" t="s">
        <v>149</v>
      </c>
      <c r="AF1056" s="0" t="s">
        <v>150</v>
      </c>
      <c r="AH1056" s="0" t="n">
        <v>14</v>
      </c>
      <c r="AI1056" s="0" t="n">
        <v>11</v>
      </c>
      <c r="AN1056" s="0" t="s">
        <v>146</v>
      </c>
      <c r="AO1056" s="0" t="s">
        <v>236</v>
      </c>
      <c r="AP1056" s="0" t="s">
        <v>237</v>
      </c>
      <c r="AQ1056" s="0" t="n">
        <v>9</v>
      </c>
      <c r="AR1056" s="0" t="n">
        <v>64</v>
      </c>
      <c r="AS1056" s="0" t="n">
        <v>32</v>
      </c>
      <c r="AU1056" s="0" t="n">
        <f aca="false">COUNTA($BA$450:$EH$450)</f>
        <v>33</v>
      </c>
      <c r="AV1056" s="0" t="n">
        <f aca="false">COUNTIF($BA$450:$EH$450,"D")</f>
        <v>2</v>
      </c>
      <c r="AW1056" s="0" t="n">
        <f aca="false">COUNTIF($BA$450:$EH$450,"R")</f>
        <v>5</v>
      </c>
      <c r="AX1056" s="0" t="n">
        <f aca="false"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>0</v>
      </c>
      <c r="AY1056" s="0" t="n">
        <f aca="false">COUNTIF(DU1056:EH1056, "&lt;&gt;")</f>
        <v>0</v>
      </c>
      <c r="AZ1056" s="0" t="n">
        <f aca="false">IF(EH1056&lt;&gt;"",1,0)</f>
        <v>0</v>
      </c>
      <c r="BB1056" s="0" t="s">
        <v>153</v>
      </c>
      <c r="BL1056" s="0" t="s">
        <v>154</v>
      </c>
      <c r="CA1056" s="0" t="s">
        <v>154</v>
      </c>
      <c r="DN1056" s="0" t="s">
        <v>154</v>
      </c>
    </row>
    <row r="1057" customFormat="false" ht="13.8" hidden="true" customHeight="false" outlineLevel="0" collapsed="false">
      <c r="A1057" s="0" t="s">
        <v>5124</v>
      </c>
      <c r="B1057" s="0" t="n">
        <v>78</v>
      </c>
      <c r="C1057" s="0" t="n">
        <v>430403</v>
      </c>
      <c r="D1057" s="0" t="s">
        <v>5125</v>
      </c>
      <c r="E1057" s="0" t="s">
        <v>4983</v>
      </c>
      <c r="F1057" s="0" t="str">
        <f aca="false">CONCATENATE(D1057," ",LEFT(H1057,4),"T=",AU1057,"D=",AV1057,"R=",AW1057,"M=",AX1057,"L=",AY1057,"B=",AZ1057)</f>
        <v>CVETKOVICH T=6D=0R=0M=0L=1B=0</v>
      </c>
      <c r="G1057" s="0" t="s">
        <v>455</v>
      </c>
      <c r="I1057" s="0" t="s">
        <v>5126</v>
      </c>
      <c r="J1057" s="0" t="s">
        <v>606</v>
      </c>
      <c r="K1057" s="0" t="s">
        <v>175</v>
      </c>
      <c r="L1057" s="0"/>
      <c r="M1057" s="0" t="s">
        <v>5127</v>
      </c>
      <c r="N1057" s="0" t="str">
        <f aca="false">RIGHT(M1057,LEN(M1057)-FIND(" ",M1057))</f>
        <v>GLENWOOD ST NE</v>
      </c>
      <c r="P1057" s="0" t="s">
        <v>146</v>
      </c>
      <c r="Q1057" s="0" t="s">
        <v>147</v>
      </c>
      <c r="R1057" s="0" t="n">
        <v>44483</v>
      </c>
      <c r="AD1057" s="0" t="s">
        <v>148</v>
      </c>
      <c r="AE1057" s="0" t="s">
        <v>149</v>
      </c>
      <c r="AF1057" s="0" t="s">
        <v>150</v>
      </c>
      <c r="AH1057" s="0" t="n">
        <v>14</v>
      </c>
      <c r="AI1057" s="0" t="n">
        <v>11</v>
      </c>
      <c r="AN1057" s="0" t="s">
        <v>146</v>
      </c>
      <c r="AO1057" s="0" t="s">
        <v>236</v>
      </c>
      <c r="AP1057" s="0" t="s">
        <v>237</v>
      </c>
      <c r="AQ1057" s="0" t="n">
        <v>9</v>
      </c>
      <c r="AR1057" s="0" t="n">
        <v>64</v>
      </c>
      <c r="AS1057" s="0" t="n">
        <v>32</v>
      </c>
      <c r="AU1057" s="0" t="n">
        <f aca="false">COUNTA($BA$303:$EH$303)</f>
        <v>6</v>
      </c>
      <c r="AV1057" s="0" t="n">
        <f aca="false">COUNTIF($BA$303:$EH$303,"D")</f>
        <v>0</v>
      </c>
      <c r="AW1057" s="0" t="n">
        <f aca="false">COUNTIF($BA$303:$EH$303,"R")</f>
        <v>0</v>
      </c>
      <c r="AX1057" s="0" t="n">
        <f aca="false"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>0</v>
      </c>
      <c r="AY1057" s="0" t="n">
        <f aca="false">COUNTIF(DU1057:EH1057, "&lt;&gt;")</f>
        <v>1</v>
      </c>
      <c r="AZ1057" s="0" t="n">
        <f aca="false">IF(EH1057&lt;&gt;"",1,0)</f>
        <v>0</v>
      </c>
      <c r="BB1057" s="0" t="s">
        <v>153</v>
      </c>
      <c r="DN1057" s="0" t="s">
        <v>154</v>
      </c>
      <c r="EF1057" s="0" t="s">
        <v>154</v>
      </c>
    </row>
    <row r="1058" customFormat="false" ht="13.8" hidden="true" customHeight="false" outlineLevel="0" collapsed="false">
      <c r="A1058" s="0" t="s">
        <v>5128</v>
      </c>
      <c r="B1058" s="0" t="n">
        <v>78</v>
      </c>
      <c r="C1058" s="0" t="n">
        <v>486284</v>
      </c>
      <c r="D1058" s="0" t="s">
        <v>5129</v>
      </c>
      <c r="E1058" s="0" t="s">
        <v>2989</v>
      </c>
      <c r="F1058" s="0" t="str">
        <f aca="false">CONCATENATE(D1058," ",LEFT(H1058,4),"T=",AU1058,"D=",AV1058,"R=",AW1058,"M=",AX1058,"L=",AY1058,"B=",AZ1058)</f>
        <v>LEMUS T=1D=0R=0M=0L=1B=0</v>
      </c>
      <c r="G1058" s="0" t="s">
        <v>1593</v>
      </c>
      <c r="I1058" s="0" t="s">
        <v>5130</v>
      </c>
      <c r="J1058" s="0" t="s">
        <v>1441</v>
      </c>
      <c r="K1058" s="0" t="s">
        <v>175</v>
      </c>
      <c r="L1058" s="0"/>
      <c r="M1058" s="0" t="s">
        <v>5127</v>
      </c>
      <c r="N1058" s="0" t="str">
        <f aca="false">RIGHT(M1058,LEN(M1058)-FIND(" ",M1058))</f>
        <v>GLENWOOD ST NE</v>
      </c>
      <c r="P1058" s="0" t="s">
        <v>146</v>
      </c>
      <c r="Q1058" s="0" t="s">
        <v>147</v>
      </c>
      <c r="R1058" s="0" t="n">
        <v>44483</v>
      </c>
      <c r="AD1058" s="0" t="s">
        <v>148</v>
      </c>
      <c r="AE1058" s="0" t="s">
        <v>149</v>
      </c>
      <c r="AF1058" s="0" t="s">
        <v>150</v>
      </c>
      <c r="AH1058" s="0" t="n">
        <v>14</v>
      </c>
      <c r="AI1058" s="0" t="n">
        <v>11</v>
      </c>
      <c r="AN1058" s="0" t="s">
        <v>146</v>
      </c>
      <c r="AO1058" s="0" t="s">
        <v>236</v>
      </c>
      <c r="AP1058" s="0" t="s">
        <v>237</v>
      </c>
      <c r="AQ1058" s="0" t="n">
        <v>9</v>
      </c>
      <c r="AR1058" s="0" t="n">
        <v>64</v>
      </c>
      <c r="AS1058" s="0" t="n">
        <v>32</v>
      </c>
      <c r="AU1058" s="0" t="n">
        <f aca="false">COUNTA($BA$588:$EH$588)</f>
        <v>1</v>
      </c>
      <c r="AV1058" s="0" t="n">
        <f aca="false">COUNTIF($BA$588:$EH$588,"D")</f>
        <v>0</v>
      </c>
      <c r="AW1058" s="0" t="n">
        <f aca="false">COUNTIF($BA$588:$EH$588,"R")</f>
        <v>0</v>
      </c>
      <c r="AX1058" s="0" t="n">
        <f aca="false"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>0</v>
      </c>
      <c r="AY1058" s="0" t="n">
        <f aca="false">COUNTIF(DU1058:EH1058, "&lt;&gt;")</f>
        <v>1</v>
      </c>
      <c r="AZ1058" s="0" t="n">
        <f aca="false">IF(EH1058&lt;&gt;"",1,0)</f>
        <v>0</v>
      </c>
      <c r="BB1058" s="0" t="s">
        <v>153</v>
      </c>
      <c r="EF1058" s="0" t="s">
        <v>154</v>
      </c>
    </row>
    <row r="1059" customFormat="false" ht="13.8" hidden="true" customHeight="false" outlineLevel="0" collapsed="false">
      <c r="A1059" s="0" t="s">
        <v>5131</v>
      </c>
      <c r="B1059" s="0" t="n">
        <v>78</v>
      </c>
      <c r="C1059" s="0" t="n">
        <v>342430</v>
      </c>
      <c r="D1059" s="0" t="s">
        <v>1050</v>
      </c>
      <c r="E1059" s="0" t="s">
        <v>5132</v>
      </c>
      <c r="F1059" s="0" t="str">
        <f aca="false">CONCATENATE(D1059," ",LEFT(H1059,4),"T=",AU1059,"D=",AV1059,"R=",AW1059,"M=",AX1059,"L=",AY1059,"B=",AZ1059)</f>
        <v>JOHNSON T=12D=3R=0M=2L=0B=0</v>
      </c>
      <c r="G1059" s="0" t="s">
        <v>297</v>
      </c>
      <c r="I1059" s="0" t="s">
        <v>5133</v>
      </c>
      <c r="J1059" s="0" t="s">
        <v>5134</v>
      </c>
      <c r="K1059" s="0" t="s">
        <v>175</v>
      </c>
      <c r="L1059" s="0"/>
      <c r="M1059" s="0" t="s">
        <v>5135</v>
      </c>
      <c r="N1059" s="0" t="str">
        <f aca="false">RIGHT(M1059,LEN(M1059)-FIND(" ",M1059))</f>
        <v>GLENWOOD ST NE</v>
      </c>
      <c r="P1059" s="0" t="s">
        <v>146</v>
      </c>
      <c r="Q1059" s="0" t="s">
        <v>147</v>
      </c>
      <c r="R1059" s="0" t="n">
        <v>44483</v>
      </c>
      <c r="AD1059" s="0" t="s">
        <v>148</v>
      </c>
      <c r="AE1059" s="0" t="s">
        <v>149</v>
      </c>
      <c r="AF1059" s="0" t="s">
        <v>150</v>
      </c>
      <c r="AH1059" s="0" t="n">
        <v>14</v>
      </c>
      <c r="AI1059" s="0" t="n">
        <v>11</v>
      </c>
      <c r="AN1059" s="0" t="s">
        <v>146</v>
      </c>
      <c r="AO1059" s="0" t="s">
        <v>236</v>
      </c>
      <c r="AP1059" s="0" t="s">
        <v>237</v>
      </c>
      <c r="AQ1059" s="0" t="n">
        <v>9</v>
      </c>
      <c r="AR1059" s="0" t="n">
        <v>64</v>
      </c>
      <c r="AS1059" s="0" t="n">
        <v>32</v>
      </c>
      <c r="AU1059" s="0" t="n">
        <f aca="false">COUNTA($BA$80:$EH$80)</f>
        <v>12</v>
      </c>
      <c r="AV1059" s="0" t="n">
        <f aca="false">COUNTIF($BA$80:$EH$80,"D")</f>
        <v>3</v>
      </c>
      <c r="AW1059" s="0" t="n">
        <f aca="false">COUNTIF($BA$80:$EH$80,"R")</f>
        <v>0</v>
      </c>
      <c r="AX1059" s="0" t="n">
        <f aca="false"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>2</v>
      </c>
      <c r="AY1059" s="0" t="n">
        <f aca="false">COUNTIF(DU1059:EH1059, "&lt;&gt;")</f>
        <v>0</v>
      </c>
      <c r="AZ1059" s="0" t="n">
        <f aca="false">IF(EH1059&lt;&gt;"",1,0)</f>
        <v>0</v>
      </c>
      <c r="BB1059" s="0" t="s">
        <v>153</v>
      </c>
      <c r="BR1059" s="0" t="s">
        <v>154</v>
      </c>
      <c r="BS1059" s="0" t="s">
        <v>154</v>
      </c>
      <c r="BV1059" s="0" t="s">
        <v>154</v>
      </c>
      <c r="BY1059" s="0" t="s">
        <v>155</v>
      </c>
      <c r="CA1059" s="0" t="s">
        <v>154</v>
      </c>
      <c r="CG1059" s="0" t="s">
        <v>154</v>
      </c>
      <c r="CP1059" s="0" t="s">
        <v>154</v>
      </c>
      <c r="CZ1059" s="0" t="s">
        <v>155</v>
      </c>
      <c r="DC1059" s="0" t="s">
        <v>154</v>
      </c>
      <c r="DD1059" s="0" t="s">
        <v>155</v>
      </c>
      <c r="DF1059" s="0" t="s">
        <v>154</v>
      </c>
      <c r="DG1059" s="0" t="s">
        <v>155</v>
      </c>
      <c r="DI1059" s="0" t="s">
        <v>154</v>
      </c>
      <c r="DJ1059" s="0" t="s">
        <v>155</v>
      </c>
      <c r="DL1059" s="0" t="s">
        <v>154</v>
      </c>
      <c r="DM1059" s="0" t="s">
        <v>155</v>
      </c>
      <c r="DN1059" s="0" t="s">
        <v>154</v>
      </c>
    </row>
    <row r="1060" customFormat="false" ht="13.8" hidden="true" customHeight="false" outlineLevel="0" collapsed="false">
      <c r="A1060" s="0" t="s">
        <v>5136</v>
      </c>
      <c r="B1060" s="0" t="n">
        <v>78</v>
      </c>
      <c r="C1060" s="0" t="n">
        <v>495441</v>
      </c>
      <c r="D1060" s="0" t="s">
        <v>5137</v>
      </c>
      <c r="E1060" s="0" t="s">
        <v>5138</v>
      </c>
      <c r="F1060" s="0" t="str">
        <f aca="false">CONCATENATE(D1060," ",LEFT(H1060,4),"T=",AU1060,"D=",AV1060,"R=",AW1060,"M=",AX1060,"L=",AY1060,"B=",AZ1060)</f>
        <v>MEADE T=9D=3R=0M=0L=0B=0</v>
      </c>
      <c r="G1060" s="0" t="s">
        <v>466</v>
      </c>
      <c r="I1060" s="0" t="s">
        <v>5139</v>
      </c>
      <c r="J1060" s="0" t="s">
        <v>2193</v>
      </c>
      <c r="K1060" s="0" t="s">
        <v>175</v>
      </c>
      <c r="L1060" s="0"/>
      <c r="M1060" s="0" t="s">
        <v>5140</v>
      </c>
      <c r="N1060" s="0" t="str">
        <f aca="false">RIGHT(M1060,LEN(M1060)-FIND(" ",M1060))</f>
        <v>GLENWOOD ST NE</v>
      </c>
      <c r="P1060" s="0" t="s">
        <v>146</v>
      </c>
      <c r="Q1060" s="0" t="s">
        <v>147</v>
      </c>
      <c r="R1060" s="0" t="n">
        <v>44483</v>
      </c>
      <c r="AD1060" s="0" t="s">
        <v>148</v>
      </c>
      <c r="AE1060" s="0" t="s">
        <v>149</v>
      </c>
      <c r="AF1060" s="0" t="s">
        <v>150</v>
      </c>
      <c r="AH1060" s="0" t="n">
        <v>14</v>
      </c>
      <c r="AI1060" s="0" t="n">
        <v>11</v>
      </c>
      <c r="AN1060" s="0" t="s">
        <v>146</v>
      </c>
      <c r="AO1060" s="0" t="s">
        <v>236</v>
      </c>
      <c r="AP1060" s="0" t="s">
        <v>237</v>
      </c>
      <c r="AQ1060" s="0" t="n">
        <v>9</v>
      </c>
      <c r="AR1060" s="0" t="n">
        <v>64</v>
      </c>
      <c r="AS1060" s="0" t="n">
        <v>32</v>
      </c>
      <c r="AU1060" s="0" t="n">
        <f aca="false">COUNTA($BA$421:$EH$421)</f>
        <v>9</v>
      </c>
      <c r="AV1060" s="0" t="n">
        <f aca="false">COUNTIF($BA$421:$EH$421,"D")</f>
        <v>3</v>
      </c>
      <c r="AW1060" s="0" t="n">
        <f aca="false">COUNTIF($BA$421:$EH$421,"R")</f>
        <v>0</v>
      </c>
      <c r="AX1060" s="0" t="n">
        <f aca="false"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>0</v>
      </c>
      <c r="AY1060" s="0" t="n">
        <f aca="false">COUNTIF(DU1060:EH1060, "&lt;&gt;")</f>
        <v>0</v>
      </c>
      <c r="AZ1060" s="0" t="n">
        <f aca="false">IF(EH1060&lt;&gt;"",1,0)</f>
        <v>0</v>
      </c>
      <c r="BB1060" s="0" t="s">
        <v>153</v>
      </c>
    </row>
    <row r="1061" customFormat="false" ht="13.8" hidden="true" customHeight="false" outlineLevel="0" collapsed="false">
      <c r="A1061" s="0" t="s">
        <v>5141</v>
      </c>
      <c r="B1061" s="0" t="n">
        <v>78</v>
      </c>
      <c r="C1061" s="0" t="n">
        <v>321223</v>
      </c>
      <c r="D1061" s="0" t="s">
        <v>5137</v>
      </c>
      <c r="E1061" s="0" t="s">
        <v>5142</v>
      </c>
      <c r="F1061" s="0" t="str">
        <f aca="false">CONCATENATE(D1061," ",LEFT(H1061,4),"T=",AU1061,"D=",AV1061,"R=",AW1061,"M=",AX1061,"L=",AY1061,"B=",AZ1061)</f>
        <v>MEADE T=5D=0R=0M=0L=0B=0</v>
      </c>
      <c r="G1061" s="0" t="s">
        <v>690</v>
      </c>
      <c r="I1061" s="0" t="s">
        <v>5143</v>
      </c>
      <c r="J1061" s="0" t="s">
        <v>5144</v>
      </c>
      <c r="K1061" s="0" t="s">
        <v>175</v>
      </c>
      <c r="L1061" s="0"/>
      <c r="M1061" s="0" t="s">
        <v>5140</v>
      </c>
      <c r="N1061" s="0" t="str">
        <f aca="false">RIGHT(M1061,LEN(M1061)-FIND(" ",M1061))</f>
        <v>GLENWOOD ST NE</v>
      </c>
      <c r="P1061" s="0" t="s">
        <v>146</v>
      </c>
      <c r="Q1061" s="0" t="s">
        <v>147</v>
      </c>
      <c r="R1061" s="0" t="n">
        <v>44483</v>
      </c>
      <c r="AD1061" s="0" t="s">
        <v>148</v>
      </c>
      <c r="AE1061" s="0" t="s">
        <v>149</v>
      </c>
      <c r="AF1061" s="0" t="s">
        <v>150</v>
      </c>
      <c r="AH1061" s="0" t="n">
        <v>14</v>
      </c>
      <c r="AI1061" s="0" t="n">
        <v>11</v>
      </c>
      <c r="AN1061" s="0" t="s">
        <v>146</v>
      </c>
      <c r="AO1061" s="0" t="s">
        <v>236</v>
      </c>
      <c r="AP1061" s="0" t="s">
        <v>237</v>
      </c>
      <c r="AQ1061" s="0" t="n">
        <v>9</v>
      </c>
      <c r="AR1061" s="0" t="n">
        <v>64</v>
      </c>
      <c r="AS1061" s="0" t="n">
        <v>32</v>
      </c>
      <c r="AU1061" s="0" t="n">
        <f aca="false">COUNTA($BA$741:$EH$741)</f>
        <v>5</v>
      </c>
      <c r="AV1061" s="0" t="n">
        <f aca="false">COUNTIF($BA$741:$EH$741,"D")</f>
        <v>0</v>
      </c>
      <c r="AW1061" s="0" t="n">
        <f aca="false">COUNTIF($BA$741:$EH$741,"R")</f>
        <v>0</v>
      </c>
      <c r="AX1061" s="0" t="n">
        <f aca="false"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>0</v>
      </c>
      <c r="AY1061" s="0" t="n">
        <f aca="false">COUNTIF(DU1061:EH1061, "&lt;&gt;")</f>
        <v>0</v>
      </c>
      <c r="AZ1061" s="0" t="n">
        <f aca="false">IF(EH1061&lt;&gt;"",1,0)</f>
        <v>0</v>
      </c>
      <c r="BB1061" s="0" t="s">
        <v>153</v>
      </c>
      <c r="BL1061" s="0" t="s">
        <v>154</v>
      </c>
      <c r="CA1061" s="0" t="s">
        <v>154</v>
      </c>
      <c r="CP1061" s="0" t="s">
        <v>154</v>
      </c>
      <c r="DC1061" s="0" t="s">
        <v>154</v>
      </c>
      <c r="DN1061" s="0" t="s">
        <v>154</v>
      </c>
    </row>
    <row r="1062" customFormat="false" ht="13.8" hidden="true" customHeight="false" outlineLevel="0" collapsed="false">
      <c r="A1062" s="0" t="s">
        <v>5145</v>
      </c>
      <c r="B1062" s="0" t="n">
        <v>78</v>
      </c>
      <c r="C1062" s="0" t="n">
        <v>495287</v>
      </c>
      <c r="D1062" s="0" t="s">
        <v>3490</v>
      </c>
      <c r="E1062" s="0" t="s">
        <v>2759</v>
      </c>
      <c r="F1062" s="0" t="str">
        <f aca="false">CONCATENATE(D1062," ",LEFT(H1062,4),"T=",AU1062,"D=",AV1062,"R=",AW1062,"M=",AX1062,"L=",AY1062,"B=",AZ1062)</f>
        <v>COPE T=3D=0R=0M=0L=0B=0</v>
      </c>
      <c r="G1062" s="0" t="s">
        <v>172</v>
      </c>
      <c r="I1062" s="0" t="s">
        <v>5146</v>
      </c>
      <c r="J1062" s="0" t="s">
        <v>5147</v>
      </c>
      <c r="K1062" s="0" t="s">
        <v>175</v>
      </c>
      <c r="L1062" s="0"/>
      <c r="M1062" s="0" t="s">
        <v>5148</v>
      </c>
      <c r="N1062" s="0" t="str">
        <f aca="false">RIGHT(M1062,LEN(M1062)-FIND(" ",M1062))</f>
        <v>GLENWOOD ST NE</v>
      </c>
      <c r="P1062" s="0" t="s">
        <v>146</v>
      </c>
      <c r="Q1062" s="0" t="s">
        <v>147</v>
      </c>
      <c r="R1062" s="0" t="n">
        <v>44483</v>
      </c>
      <c r="AD1062" s="0" t="s">
        <v>148</v>
      </c>
      <c r="AE1062" s="0" t="s">
        <v>149</v>
      </c>
      <c r="AF1062" s="0" t="s">
        <v>150</v>
      </c>
      <c r="AH1062" s="0" t="n">
        <v>14</v>
      </c>
      <c r="AI1062" s="0" t="n">
        <v>11</v>
      </c>
      <c r="AN1062" s="0" t="s">
        <v>146</v>
      </c>
      <c r="AO1062" s="0" t="s">
        <v>236</v>
      </c>
      <c r="AP1062" s="0" t="s">
        <v>237</v>
      </c>
      <c r="AQ1062" s="0" t="n">
        <v>9</v>
      </c>
      <c r="AR1062" s="0" t="n">
        <v>64</v>
      </c>
      <c r="AS1062" s="0" t="n">
        <v>32</v>
      </c>
      <c r="AU1062" s="0" t="n">
        <f aca="false">COUNTA($BA$991:$EH$991)</f>
        <v>3</v>
      </c>
      <c r="AV1062" s="0" t="n">
        <f aca="false">COUNTIF($BA$991:$EH$991,"D")</f>
        <v>0</v>
      </c>
      <c r="AW1062" s="0" t="n">
        <f aca="false">COUNTIF($BA$991:$EH$991,"R")</f>
        <v>0</v>
      </c>
      <c r="AX1062" s="0" t="n">
        <f aca="false"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>0</v>
      </c>
      <c r="AY1062" s="0" t="n">
        <f aca="false">COUNTIF(DU1062:EH1062, "&lt;&gt;")</f>
        <v>0</v>
      </c>
      <c r="AZ1062" s="0" t="n">
        <f aca="false">IF(EH1062&lt;&gt;"",1,0)</f>
        <v>0</v>
      </c>
      <c r="BB1062" s="0" t="s">
        <v>153</v>
      </c>
    </row>
    <row r="1063" customFormat="false" ht="13.8" hidden="true" customHeight="false" outlineLevel="0" collapsed="false">
      <c r="A1063" s="0" t="s">
        <v>5149</v>
      </c>
      <c r="B1063" s="0" t="n">
        <v>78</v>
      </c>
      <c r="C1063" s="0" t="n">
        <v>406058</v>
      </c>
      <c r="D1063" s="0" t="s">
        <v>4023</v>
      </c>
      <c r="E1063" s="0" t="s">
        <v>5150</v>
      </c>
      <c r="F1063" s="0" t="str">
        <f aca="false">CONCATENATE(D1063," ",LEFT(H1063,4),"T=",AU1063,"D=",AV1063,"R=",AW1063,"M=",AX1063,"L=",AY1063,"B=",AZ1063)</f>
        <v>HENDERSON T=2D=0R=0M=0L=0B=0</v>
      </c>
      <c r="G1063" s="0" t="s">
        <v>241</v>
      </c>
      <c r="I1063" s="0" t="s">
        <v>3700</v>
      </c>
      <c r="J1063" s="0" t="s">
        <v>357</v>
      </c>
      <c r="K1063" s="0" t="s">
        <v>144</v>
      </c>
      <c r="L1063" s="0"/>
      <c r="M1063" s="0" t="s">
        <v>5151</v>
      </c>
      <c r="N1063" s="0" t="str">
        <f aca="false">RIGHT(M1063,LEN(M1063)-FIND(" ",M1063))</f>
        <v>GLENWOOD ST NE</v>
      </c>
      <c r="P1063" s="0" t="s">
        <v>146</v>
      </c>
      <c r="Q1063" s="0" t="s">
        <v>147</v>
      </c>
      <c r="R1063" s="0" t="n">
        <v>44483</v>
      </c>
      <c r="AD1063" s="0" t="s">
        <v>148</v>
      </c>
      <c r="AE1063" s="0" t="s">
        <v>149</v>
      </c>
      <c r="AF1063" s="0" t="s">
        <v>150</v>
      </c>
      <c r="AH1063" s="0" t="n">
        <v>14</v>
      </c>
      <c r="AI1063" s="0" t="n">
        <v>11</v>
      </c>
      <c r="AN1063" s="0" t="s">
        <v>146</v>
      </c>
      <c r="AO1063" s="0" t="s">
        <v>236</v>
      </c>
      <c r="AP1063" s="0" t="s">
        <v>237</v>
      </c>
      <c r="AQ1063" s="0" t="n">
        <v>9</v>
      </c>
      <c r="AR1063" s="0" t="n">
        <v>64</v>
      </c>
      <c r="AS1063" s="0" t="n">
        <v>32</v>
      </c>
      <c r="AU1063" s="0" t="n">
        <f aca="false">COUNTA($BA$8:$EH$8)</f>
        <v>2</v>
      </c>
      <c r="AV1063" s="0" t="n">
        <f aca="false">COUNTIF($BA$8:$EH$8,"D")</f>
        <v>0</v>
      </c>
      <c r="AW1063" s="0" t="n">
        <f aca="false">COUNTIF($BA$8:$EH$8,"R")</f>
        <v>0</v>
      </c>
      <c r="AX1063" s="0" t="n">
        <f aca="false"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>0</v>
      </c>
      <c r="AY1063" s="0" t="n">
        <f aca="false">COUNTIF(DU1063:EH1063, "&lt;&gt;")</f>
        <v>0</v>
      </c>
      <c r="AZ1063" s="0" t="n">
        <f aca="false">IF(EH1063&lt;&gt;"",1,0)</f>
        <v>0</v>
      </c>
      <c r="BB1063" s="0" t="s">
        <v>153</v>
      </c>
      <c r="DC1063" s="0" t="s">
        <v>154</v>
      </c>
    </row>
    <row r="1064" customFormat="false" ht="13.8" hidden="false" customHeight="false" outlineLevel="0" collapsed="false">
      <c r="A1064" s="0" t="s">
        <v>5152</v>
      </c>
      <c r="B1064" s="0" t="n">
        <v>78</v>
      </c>
      <c r="C1064" s="0" t="n">
        <v>341881</v>
      </c>
      <c r="D1064" s="0" t="s">
        <v>2025</v>
      </c>
      <c r="E1064" s="0" t="s">
        <v>2330</v>
      </c>
      <c r="F1064" s="0" t="str">
        <f aca="false">CONCATENATE(D1064," ",LEFT(H1064,4),"T=",AU1064,"D=",AV1064,"R=",AW1064,"M=",AX1064,"L=",AY1064,"B=",AZ1064)</f>
        <v>NOVAK T=1D=0R=0M=7L=7B=1</v>
      </c>
      <c r="G1064" s="0" t="s">
        <v>429</v>
      </c>
      <c r="I1064" s="0" t="s">
        <v>5153</v>
      </c>
      <c r="J1064" s="0" t="s">
        <v>306</v>
      </c>
      <c r="K1064" s="0" t="s">
        <v>175</v>
      </c>
      <c r="L1064" s="1" t="s">
        <v>155</v>
      </c>
      <c r="M1064" s="0" t="s">
        <v>5151</v>
      </c>
      <c r="N1064" s="0" t="str">
        <f aca="false">RIGHT(M1064,LEN(M1064)-FIND(" ",M1064))</f>
        <v>GLENWOOD ST NE</v>
      </c>
      <c r="P1064" s="0" t="s">
        <v>146</v>
      </c>
      <c r="Q1064" s="0" t="s">
        <v>147</v>
      </c>
      <c r="R1064" s="0" t="n">
        <v>44483</v>
      </c>
      <c r="AD1064" s="0" t="s">
        <v>148</v>
      </c>
      <c r="AE1064" s="0" t="s">
        <v>149</v>
      </c>
      <c r="AF1064" s="0" t="s">
        <v>150</v>
      </c>
      <c r="AH1064" s="0" t="n">
        <v>14</v>
      </c>
      <c r="AI1064" s="0" t="n">
        <v>11</v>
      </c>
      <c r="AN1064" s="0" t="s">
        <v>146</v>
      </c>
      <c r="AO1064" s="0" t="s">
        <v>236</v>
      </c>
      <c r="AP1064" s="0" t="s">
        <v>237</v>
      </c>
      <c r="AQ1064" s="0" t="n">
        <v>9</v>
      </c>
      <c r="AR1064" s="0" t="n">
        <v>64</v>
      </c>
      <c r="AS1064" s="0" t="n">
        <v>32</v>
      </c>
      <c r="AU1064" s="0" t="n">
        <f aca="false">COUNTA($BA$340:$EH$340)</f>
        <v>1</v>
      </c>
      <c r="AV1064" s="0" t="n">
        <f aca="false">COUNTIF($BA$340:$EH$340,"D")</f>
        <v>0</v>
      </c>
      <c r="AW1064" s="0" t="n">
        <f aca="false">COUNTIF($BA$340:$EH$340,"R")</f>
        <v>0</v>
      </c>
      <c r="AX1064" s="0" t="n">
        <f aca="false"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>7</v>
      </c>
      <c r="AY1064" s="0" t="n">
        <f aca="false">COUNTIF(DU1064:EH1064, "&lt;&gt;")</f>
        <v>7</v>
      </c>
      <c r="AZ1064" s="0" t="n">
        <f aca="false">IF(EH1064&lt;&gt;"",1,0)</f>
        <v>1</v>
      </c>
      <c r="BB1064" s="0" t="s">
        <v>153</v>
      </c>
      <c r="BR1064" s="0" t="s">
        <v>154</v>
      </c>
      <c r="BS1064" s="0" t="s">
        <v>154</v>
      </c>
      <c r="BV1064" s="0" t="s">
        <v>154</v>
      </c>
      <c r="BY1064" s="0" t="s">
        <v>155</v>
      </c>
      <c r="CA1064" s="0" t="s">
        <v>154</v>
      </c>
      <c r="CC1064" s="0" t="s">
        <v>155</v>
      </c>
      <c r="CG1064" s="0" t="s">
        <v>154</v>
      </c>
      <c r="CH1064" s="0" t="s">
        <v>155</v>
      </c>
      <c r="CL1064" s="0" t="s">
        <v>155</v>
      </c>
      <c r="CO1064" s="0" t="s">
        <v>155</v>
      </c>
      <c r="CP1064" s="0" t="s">
        <v>154</v>
      </c>
      <c r="CU1064" s="0" t="s">
        <v>155</v>
      </c>
      <c r="CW1064" s="0" t="s">
        <v>155</v>
      </c>
      <c r="CY1064" s="0" t="s">
        <v>154</v>
      </c>
      <c r="CZ1064" s="0" t="s">
        <v>155</v>
      </c>
      <c r="DG1064" s="0" t="s">
        <v>176</v>
      </c>
      <c r="DJ1064" s="0" t="s">
        <v>155</v>
      </c>
      <c r="DL1064" s="0" t="s">
        <v>154</v>
      </c>
      <c r="DO1064" s="0" t="s">
        <v>155</v>
      </c>
      <c r="DS1064" s="0" t="s">
        <v>155</v>
      </c>
      <c r="DU1064" s="0" t="s">
        <v>154</v>
      </c>
      <c r="DW1064" s="0" t="s">
        <v>155</v>
      </c>
      <c r="DX1064" s="0" t="s">
        <v>154</v>
      </c>
      <c r="EA1064" s="0" t="s">
        <v>154</v>
      </c>
      <c r="ED1064" s="0" t="s">
        <v>155</v>
      </c>
      <c r="EF1064" s="0" t="s">
        <v>154</v>
      </c>
      <c r="EH1064" s="0" t="s">
        <v>155</v>
      </c>
    </row>
    <row r="1065" customFormat="false" ht="13.8" hidden="true" customHeight="false" outlineLevel="0" collapsed="false">
      <c r="A1065" s="0" t="s">
        <v>5154</v>
      </c>
      <c r="B1065" s="0" t="n">
        <v>78</v>
      </c>
      <c r="C1065" s="0" t="n">
        <v>405609</v>
      </c>
      <c r="D1065" s="0" t="s">
        <v>2025</v>
      </c>
      <c r="E1065" s="0" t="s">
        <v>5065</v>
      </c>
      <c r="F1065" s="0" t="str">
        <f aca="false">CONCATENATE(D1065," ",LEFT(H1065,4),"T=",AU1065,"D=",AV1065,"R=",AW1065,"M=",AX1065,"L=",AY1065,"B=",AZ1065)</f>
        <v>NOVAK T=2D=0R=0M=1L=0B=0</v>
      </c>
      <c r="G1065" s="0" t="s">
        <v>1964</v>
      </c>
      <c r="I1065" s="0" t="s">
        <v>5155</v>
      </c>
      <c r="J1065" s="0" t="s">
        <v>5156</v>
      </c>
      <c r="K1065" s="0" t="s">
        <v>175</v>
      </c>
      <c r="L1065" s="0"/>
      <c r="M1065" s="0" t="s">
        <v>5151</v>
      </c>
      <c r="N1065" s="0" t="str">
        <f aca="false">RIGHT(M1065,LEN(M1065)-FIND(" ",M1065))</f>
        <v>GLENWOOD ST NE</v>
      </c>
      <c r="P1065" s="0" t="s">
        <v>146</v>
      </c>
      <c r="Q1065" s="0" t="s">
        <v>147</v>
      </c>
      <c r="R1065" s="0" t="n">
        <v>44483</v>
      </c>
      <c r="AD1065" s="0" t="s">
        <v>148</v>
      </c>
      <c r="AE1065" s="0" t="s">
        <v>149</v>
      </c>
      <c r="AF1065" s="0" t="s">
        <v>150</v>
      </c>
      <c r="AH1065" s="0" t="n">
        <v>14</v>
      </c>
      <c r="AI1065" s="0" t="n">
        <v>11</v>
      </c>
      <c r="AN1065" s="0" t="s">
        <v>146</v>
      </c>
      <c r="AO1065" s="0" t="s">
        <v>236</v>
      </c>
      <c r="AP1065" s="0" t="s">
        <v>237</v>
      </c>
      <c r="AQ1065" s="0" t="n">
        <v>9</v>
      </c>
      <c r="AR1065" s="0" t="n">
        <v>64</v>
      </c>
      <c r="AS1065" s="0" t="n">
        <v>32</v>
      </c>
      <c r="AU1065" s="0" t="n">
        <f aca="false">COUNTA($BA$855:$EH$855)</f>
        <v>2</v>
      </c>
      <c r="AV1065" s="0" t="n">
        <f aca="false">COUNTIF($BA$855:$EH$855,"D")</f>
        <v>0</v>
      </c>
      <c r="AW1065" s="0" t="n">
        <f aca="false">COUNTIF($BA$855:$EH$855,"R")</f>
        <v>0</v>
      </c>
      <c r="AX1065" s="0" t="n">
        <f aca="false"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>1</v>
      </c>
      <c r="AY1065" s="0" t="n">
        <f aca="false">COUNTIF(DU1065:EH1065, "&lt;&gt;")</f>
        <v>0</v>
      </c>
      <c r="AZ1065" s="0" t="n">
        <f aca="false">IF(EH1065&lt;&gt;"",1,0)</f>
        <v>0</v>
      </c>
      <c r="BB1065" s="0" t="s">
        <v>153</v>
      </c>
      <c r="CW1065" s="0" t="s">
        <v>155</v>
      </c>
      <c r="CY1065" s="0" t="s">
        <v>154</v>
      </c>
    </row>
    <row r="1066" customFormat="false" ht="13.8" hidden="true" customHeight="false" outlineLevel="0" collapsed="false">
      <c r="A1066" s="0" t="s">
        <v>5157</v>
      </c>
      <c r="B1066" s="0" t="n">
        <v>78</v>
      </c>
      <c r="C1066" s="0" t="n">
        <v>418131</v>
      </c>
      <c r="D1066" s="0" t="s">
        <v>5158</v>
      </c>
      <c r="E1066" s="0" t="s">
        <v>5159</v>
      </c>
      <c r="F1066" s="0" t="str">
        <f aca="false">CONCATENATE(D1066," ",LEFT(H1066,4),"T=",AU1066,"D=",AV1066,"R=",AW1066,"M=",AX1066,"L=",AY1066,"B=",AZ1066)</f>
        <v>POLAK T=1D=0R=0M=0L=0B=0</v>
      </c>
      <c r="G1066" s="0" t="s">
        <v>1131</v>
      </c>
      <c r="I1066" s="0" t="s">
        <v>5160</v>
      </c>
      <c r="J1066" s="0" t="s">
        <v>5161</v>
      </c>
      <c r="K1066" s="0" t="s">
        <v>144</v>
      </c>
      <c r="L1066" s="0"/>
      <c r="M1066" s="0" t="s">
        <v>5162</v>
      </c>
      <c r="N1066" s="0" t="str">
        <f aca="false">RIGHT(M1066,LEN(M1066)-FIND(" ",M1066))</f>
        <v>GLENWOOD ST NE</v>
      </c>
      <c r="P1066" s="0" t="s">
        <v>146</v>
      </c>
      <c r="Q1066" s="0" t="s">
        <v>147</v>
      </c>
      <c r="R1066" s="0" t="n">
        <v>44483</v>
      </c>
      <c r="AD1066" s="0" t="s">
        <v>148</v>
      </c>
      <c r="AE1066" s="0" t="s">
        <v>149</v>
      </c>
      <c r="AF1066" s="0" t="s">
        <v>150</v>
      </c>
      <c r="AH1066" s="0" t="n">
        <v>14</v>
      </c>
      <c r="AI1066" s="0" t="n">
        <v>11</v>
      </c>
      <c r="AN1066" s="0" t="s">
        <v>146</v>
      </c>
      <c r="AO1066" s="0" t="s">
        <v>236</v>
      </c>
      <c r="AP1066" s="0" t="s">
        <v>237</v>
      </c>
      <c r="AQ1066" s="0" t="n">
        <v>9</v>
      </c>
      <c r="AR1066" s="0" t="n">
        <v>64</v>
      </c>
      <c r="AS1066" s="0" t="n">
        <v>32</v>
      </c>
      <c r="AU1066" s="0" t="n">
        <f aca="false">COUNTA($BA$213:$EH$213)</f>
        <v>1</v>
      </c>
      <c r="AV1066" s="0" t="n">
        <f aca="false">COUNTIF($BA$213:$EH$213,"D")</f>
        <v>0</v>
      </c>
      <c r="AW1066" s="0" t="n">
        <f aca="false">COUNTIF($BA$213:$EH$213,"R")</f>
        <v>0</v>
      </c>
      <c r="AX1066" s="0" t="n">
        <f aca="false"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>0</v>
      </c>
      <c r="AY1066" s="0" t="n">
        <f aca="false">COUNTIF(DU1066:EH1066, "&lt;&gt;")</f>
        <v>0</v>
      </c>
      <c r="AZ1066" s="0" t="n">
        <f aca="false">IF(EH1066&lt;&gt;"",1,0)</f>
        <v>0</v>
      </c>
      <c r="BB1066" s="0" t="s">
        <v>153</v>
      </c>
      <c r="DC1066" s="0" t="s">
        <v>154</v>
      </c>
      <c r="DN1066" s="0" t="s">
        <v>154</v>
      </c>
    </row>
    <row r="1067" customFormat="false" ht="13.8" hidden="false" customHeight="false" outlineLevel="0" collapsed="false">
      <c r="A1067" s="0" t="s">
        <v>5163</v>
      </c>
      <c r="B1067" s="0" t="n">
        <v>78</v>
      </c>
      <c r="C1067" s="0" t="n">
        <v>311837</v>
      </c>
      <c r="D1067" s="0" t="s">
        <v>5164</v>
      </c>
      <c r="E1067" s="0" t="s">
        <v>430</v>
      </c>
      <c r="F1067" s="0" t="str">
        <f aca="false">CONCATENATE(D1067," ",LEFT(H1067,4),"T=",AU1067,"D=",AV1067,"R=",AW1067,"M=",AX1067,"L=",AY1067,"B=",AZ1067)</f>
        <v>HICKMAN T=16D=4R=0M=0L=3B=0</v>
      </c>
      <c r="G1067" s="0" t="s">
        <v>2478</v>
      </c>
      <c r="I1067" s="0" t="s">
        <v>5165</v>
      </c>
      <c r="J1067" s="0" t="s">
        <v>2583</v>
      </c>
      <c r="K1067" s="0" t="s">
        <v>175</v>
      </c>
      <c r="M1067" s="0" t="s">
        <v>5162</v>
      </c>
      <c r="N1067" s="0" t="str">
        <f aca="false">RIGHT(M1067,LEN(M1067)-FIND(" ",M1067))</f>
        <v>GLENWOOD ST NE</v>
      </c>
      <c r="P1067" s="0" t="s">
        <v>146</v>
      </c>
      <c r="Q1067" s="0" t="s">
        <v>147</v>
      </c>
      <c r="R1067" s="0" t="n">
        <v>44483</v>
      </c>
      <c r="AD1067" s="0" t="s">
        <v>148</v>
      </c>
      <c r="AE1067" s="0" t="s">
        <v>149</v>
      </c>
      <c r="AF1067" s="0" t="s">
        <v>150</v>
      </c>
      <c r="AH1067" s="0" t="n">
        <v>14</v>
      </c>
      <c r="AI1067" s="0" t="n">
        <v>11</v>
      </c>
      <c r="AN1067" s="0" t="s">
        <v>146</v>
      </c>
      <c r="AO1067" s="0" t="s">
        <v>236</v>
      </c>
      <c r="AP1067" s="0" t="s">
        <v>237</v>
      </c>
      <c r="AQ1067" s="0" t="n">
        <v>9</v>
      </c>
      <c r="AR1067" s="0" t="n">
        <v>64</v>
      </c>
      <c r="AS1067" s="0" t="n">
        <v>32</v>
      </c>
      <c r="AU1067" s="0" t="n">
        <f aca="false">COUNTA($BA$693:$EH$693)</f>
        <v>16</v>
      </c>
      <c r="AV1067" s="0" t="n">
        <f aca="false">COUNTIF($BA$693:$EH$693,"D")</f>
        <v>4</v>
      </c>
      <c r="AW1067" s="0" t="n">
        <f aca="false">COUNTIF($BA$693:$EH$693,"R")</f>
        <v>0</v>
      </c>
      <c r="AX1067" s="0" t="n">
        <f aca="false"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>0</v>
      </c>
      <c r="AY1067" s="0" t="n">
        <f aca="false">COUNTIF(DU1067:EH1067, "&lt;&gt;")</f>
        <v>3</v>
      </c>
      <c r="AZ1067" s="0" t="n">
        <f aca="false">IF(EH1067&lt;&gt;"",1,0)</f>
        <v>0</v>
      </c>
      <c r="BB1067" s="0" t="s">
        <v>153</v>
      </c>
      <c r="BL1067" s="0" t="s">
        <v>154</v>
      </c>
      <c r="BP1067" s="0" t="s">
        <v>154</v>
      </c>
      <c r="CA1067" s="0" t="s">
        <v>154</v>
      </c>
      <c r="CZ1067" s="0" t="s">
        <v>176</v>
      </c>
      <c r="DC1067" s="0" t="s">
        <v>154</v>
      </c>
      <c r="DF1067" s="0" t="s">
        <v>154</v>
      </c>
      <c r="DI1067" s="0" t="s">
        <v>154</v>
      </c>
      <c r="DN1067" s="0" t="s">
        <v>154</v>
      </c>
      <c r="DU1067" s="0" t="s">
        <v>154</v>
      </c>
      <c r="DX1067" s="0" t="s">
        <v>154</v>
      </c>
      <c r="EF1067" s="0" t="s">
        <v>154</v>
      </c>
    </row>
    <row r="1068" customFormat="false" ht="13.8" hidden="true" customHeight="false" outlineLevel="0" collapsed="false">
      <c r="A1068" s="0" t="s">
        <v>5166</v>
      </c>
      <c r="B1068" s="0" t="n">
        <v>78</v>
      </c>
      <c r="C1068" s="0" t="n">
        <v>443928</v>
      </c>
      <c r="D1068" s="0" t="s">
        <v>5167</v>
      </c>
      <c r="E1068" s="0" t="s">
        <v>455</v>
      </c>
      <c r="F1068" s="0" t="str">
        <f aca="false">CONCATENATE(D1068," ",LEFT(H1068,4),"T=",AU1068,"D=",AV1068,"R=",AW1068,"M=",AX1068,"L=",AY1068,"B=",AZ1068)</f>
        <v>RODRIGUEZ ROMERO T=1D=0R=0M=0L=1B=0</v>
      </c>
      <c r="G1068" s="0" t="s">
        <v>5168</v>
      </c>
      <c r="I1068" s="0" t="s">
        <v>5169</v>
      </c>
      <c r="J1068" s="0" t="s">
        <v>5170</v>
      </c>
      <c r="K1068" s="0" t="s">
        <v>175</v>
      </c>
      <c r="L1068" s="0"/>
      <c r="M1068" s="0" t="s">
        <v>5171</v>
      </c>
      <c r="N1068" s="0" t="str">
        <f aca="false">RIGHT(M1068,LEN(M1068)-FIND(" ",M1068))</f>
        <v>GRISWOLD ST NE</v>
      </c>
      <c r="P1068" s="0" t="s">
        <v>146</v>
      </c>
      <c r="Q1068" s="0" t="s">
        <v>147</v>
      </c>
      <c r="R1068" s="0" t="n">
        <v>44483</v>
      </c>
      <c r="AD1068" s="0" t="s">
        <v>148</v>
      </c>
      <c r="AE1068" s="0" t="s">
        <v>149</v>
      </c>
      <c r="AF1068" s="0" t="s">
        <v>150</v>
      </c>
      <c r="AH1068" s="0" t="n">
        <v>14</v>
      </c>
      <c r="AI1068" s="0" t="n">
        <v>11</v>
      </c>
      <c r="AN1068" s="0" t="s">
        <v>146</v>
      </c>
      <c r="AO1068" s="0" t="s">
        <v>236</v>
      </c>
      <c r="AP1068" s="0" t="s">
        <v>237</v>
      </c>
      <c r="AQ1068" s="0" t="n">
        <v>9</v>
      </c>
      <c r="AR1068" s="0" t="n">
        <v>64</v>
      </c>
      <c r="AS1068" s="0" t="n">
        <v>32</v>
      </c>
      <c r="AU1068" s="0" t="n">
        <f aca="false">COUNTA($BA$464:$EH$464)</f>
        <v>1</v>
      </c>
      <c r="AV1068" s="0" t="n">
        <f aca="false">COUNTIF($BA$464:$EH$464,"D")</f>
        <v>0</v>
      </c>
      <c r="AW1068" s="0" t="n">
        <f aca="false">COUNTIF($BA$464:$EH$464,"R")</f>
        <v>0</v>
      </c>
      <c r="AX1068" s="0" t="n">
        <f aca="false"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>0</v>
      </c>
      <c r="AY1068" s="0" t="n">
        <f aca="false">COUNTIF(DU1068:EH1068, "&lt;&gt;")</f>
        <v>1</v>
      </c>
      <c r="AZ1068" s="0" t="n">
        <f aca="false">IF(EH1068&lt;&gt;"",1,0)</f>
        <v>0</v>
      </c>
      <c r="BB1068" s="0" t="s">
        <v>153</v>
      </c>
      <c r="DN1068" s="0" t="s">
        <v>154</v>
      </c>
      <c r="EF1068" s="0" t="s">
        <v>154</v>
      </c>
    </row>
    <row r="1069" customFormat="false" ht="13.8" hidden="true" customHeight="false" outlineLevel="0" collapsed="false">
      <c r="A1069" s="0" t="s">
        <v>5172</v>
      </c>
      <c r="B1069" s="0" t="n">
        <v>78</v>
      </c>
      <c r="C1069" s="0" t="n">
        <v>443929</v>
      </c>
      <c r="D1069" s="0" t="s">
        <v>5173</v>
      </c>
      <c r="E1069" s="0" t="s">
        <v>4192</v>
      </c>
      <c r="F1069" s="0" t="str">
        <f aca="false">CONCATENATE(D1069," ",LEFT(H1069,4),"T=",AU1069,"D=",AV1069,"R=",AW1069,"M=",AX1069,"L=",AY1069,"B=",AZ1069)</f>
        <v>ARIAS GUERRERO T=9D=0R=3M=0L=1B=0</v>
      </c>
      <c r="I1069" s="0" t="s">
        <v>5174</v>
      </c>
      <c r="J1069" s="0" t="s">
        <v>5170</v>
      </c>
      <c r="K1069" s="0" t="s">
        <v>175</v>
      </c>
      <c r="L1069" s="0"/>
      <c r="M1069" s="0" t="s">
        <v>5171</v>
      </c>
      <c r="N1069" s="0" t="str">
        <f aca="false">RIGHT(M1069,LEN(M1069)-FIND(" ",M1069))</f>
        <v>GRISWOLD ST NE</v>
      </c>
      <c r="P1069" s="0" t="s">
        <v>146</v>
      </c>
      <c r="Q1069" s="0" t="s">
        <v>147</v>
      </c>
      <c r="R1069" s="0" t="n">
        <v>44483</v>
      </c>
      <c r="AD1069" s="0" t="s">
        <v>148</v>
      </c>
      <c r="AE1069" s="0" t="s">
        <v>149</v>
      </c>
      <c r="AF1069" s="0" t="s">
        <v>150</v>
      </c>
      <c r="AH1069" s="0" t="n">
        <v>14</v>
      </c>
      <c r="AI1069" s="0" t="n">
        <v>11</v>
      </c>
      <c r="AN1069" s="0" t="s">
        <v>146</v>
      </c>
      <c r="AO1069" s="0" t="s">
        <v>236</v>
      </c>
      <c r="AP1069" s="0" t="s">
        <v>237</v>
      </c>
      <c r="AQ1069" s="0" t="n">
        <v>9</v>
      </c>
      <c r="AR1069" s="0" t="n">
        <v>64</v>
      </c>
      <c r="AS1069" s="0" t="n">
        <v>32</v>
      </c>
      <c r="AU1069" s="0" t="n">
        <f aca="false">COUNTA($BA$473:$EH$473)</f>
        <v>9</v>
      </c>
      <c r="AV1069" s="0" t="n">
        <f aca="false">COUNTIF($BA$473:$EH$473,"D")</f>
        <v>0</v>
      </c>
      <c r="AW1069" s="0" t="n">
        <f aca="false">COUNTIF($BA$473:$EH$473,"R")</f>
        <v>3</v>
      </c>
      <c r="AX1069" s="0" t="n">
        <f aca="false"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>0</v>
      </c>
      <c r="AY1069" s="0" t="n">
        <f aca="false">COUNTIF(DU1069:EH1069, "&lt;&gt;")</f>
        <v>1</v>
      </c>
      <c r="AZ1069" s="0" t="n">
        <f aca="false">IF(EH1069&lt;&gt;"",1,0)</f>
        <v>0</v>
      </c>
      <c r="BB1069" s="0" t="s">
        <v>153</v>
      </c>
      <c r="DN1069" s="0" t="s">
        <v>154</v>
      </c>
      <c r="EF1069" s="0" t="s">
        <v>154</v>
      </c>
    </row>
    <row r="1070" customFormat="false" ht="13.8" hidden="true" customHeight="false" outlineLevel="0" collapsed="false">
      <c r="A1070" s="0" t="s">
        <v>5175</v>
      </c>
      <c r="B1070" s="0" t="n">
        <v>78</v>
      </c>
      <c r="C1070" s="0" t="n">
        <v>375146</v>
      </c>
      <c r="D1070" s="0" t="s">
        <v>3248</v>
      </c>
      <c r="E1070" s="0" t="s">
        <v>619</v>
      </c>
      <c r="F1070" s="0" t="str">
        <f aca="false">CONCATENATE(D1070," ",LEFT(H1070,4),"T=",AU1070,"D=",AV1070,"R=",AW1070,"M=",AX1070,"L=",AY1070,"B=",AZ1070)</f>
        <v>HUDNELL T=1D=0R=0M=0L=0B=0</v>
      </c>
      <c r="G1070" s="0" t="s">
        <v>232</v>
      </c>
      <c r="I1070" s="0" t="s">
        <v>5176</v>
      </c>
      <c r="J1070" s="0" t="s">
        <v>1494</v>
      </c>
      <c r="K1070" s="0" t="s">
        <v>144</v>
      </c>
      <c r="L1070" s="0"/>
      <c r="M1070" s="0" t="s">
        <v>5177</v>
      </c>
      <c r="N1070" s="0" t="str">
        <f aca="false">RIGHT(M1070,LEN(M1070)-FIND(" ",M1070))</f>
        <v>GRISWOLD ST NE</v>
      </c>
      <c r="P1070" s="0" t="s">
        <v>146</v>
      </c>
      <c r="Q1070" s="0" t="s">
        <v>147</v>
      </c>
      <c r="R1070" s="0" t="n">
        <v>44483</v>
      </c>
      <c r="AD1070" s="0" t="s">
        <v>148</v>
      </c>
      <c r="AE1070" s="0" t="s">
        <v>149</v>
      </c>
      <c r="AF1070" s="0" t="s">
        <v>150</v>
      </c>
      <c r="AH1070" s="0" t="n">
        <v>14</v>
      </c>
      <c r="AI1070" s="0" t="n">
        <v>11</v>
      </c>
      <c r="AN1070" s="0" t="s">
        <v>146</v>
      </c>
      <c r="AO1070" s="0" t="s">
        <v>236</v>
      </c>
      <c r="AP1070" s="0" t="s">
        <v>237</v>
      </c>
      <c r="AQ1070" s="0" t="n">
        <v>9</v>
      </c>
      <c r="AR1070" s="0" t="n">
        <v>64</v>
      </c>
      <c r="AS1070" s="0" t="n">
        <v>32</v>
      </c>
      <c r="AU1070" s="0" t="n">
        <f aca="false">COUNTA($BA$414:$EH$414)</f>
        <v>1</v>
      </c>
      <c r="AV1070" s="0" t="n">
        <f aca="false">COUNTIF($BA$414:$EH$414,"D")</f>
        <v>0</v>
      </c>
      <c r="AW1070" s="0" t="n">
        <f aca="false">COUNTIF($BA$414:$EH$414,"R")</f>
        <v>0</v>
      </c>
      <c r="AX1070" s="0" t="n">
        <f aca="false"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>0</v>
      </c>
      <c r="AY1070" s="0" t="n">
        <f aca="false">COUNTIF(DU1070:EH1070, "&lt;&gt;")</f>
        <v>0</v>
      </c>
      <c r="AZ1070" s="0" t="n">
        <f aca="false">IF(EH1070&lt;&gt;"",1,0)</f>
        <v>0</v>
      </c>
      <c r="BB1070" s="0" t="s">
        <v>153</v>
      </c>
      <c r="CY1070" s="0" t="s">
        <v>154</v>
      </c>
      <c r="DC1070" s="0" t="s">
        <v>154</v>
      </c>
    </row>
    <row r="1071" customFormat="false" ht="13.8" hidden="true" customHeight="false" outlineLevel="0" collapsed="false">
      <c r="A1071" s="0" t="s">
        <v>5178</v>
      </c>
      <c r="B1071" s="0" t="n">
        <v>78</v>
      </c>
      <c r="C1071" s="0" t="n">
        <v>462285</v>
      </c>
      <c r="D1071" s="0" t="s">
        <v>5179</v>
      </c>
      <c r="E1071" s="0" t="s">
        <v>5180</v>
      </c>
      <c r="F1071" s="0" t="str">
        <f aca="false">CONCATENATE(D1071," ",LEFT(H1071,4),"T=",AU1071,"D=",AV1071,"R=",AW1071,"M=",AX1071,"L=",AY1071,"B=",AZ1071)</f>
        <v>DANGERFIELD T=47D=16R=0M=0L=0B=0</v>
      </c>
      <c r="G1071" s="0" t="s">
        <v>317</v>
      </c>
      <c r="I1071" s="0" t="s">
        <v>5181</v>
      </c>
      <c r="J1071" s="0" t="s">
        <v>5182</v>
      </c>
      <c r="K1071" s="0" t="s">
        <v>144</v>
      </c>
      <c r="L1071" s="0"/>
      <c r="M1071" s="0" t="s">
        <v>5177</v>
      </c>
      <c r="N1071" s="0" t="str">
        <f aca="false">RIGHT(M1071,LEN(M1071)-FIND(" ",M1071))</f>
        <v>GRISWOLD ST NE</v>
      </c>
      <c r="P1071" s="0" t="s">
        <v>146</v>
      </c>
      <c r="Q1071" s="0" t="s">
        <v>147</v>
      </c>
      <c r="R1071" s="0" t="n">
        <v>44483</v>
      </c>
      <c r="AD1071" s="0" t="s">
        <v>148</v>
      </c>
      <c r="AE1071" s="0" t="s">
        <v>149</v>
      </c>
      <c r="AF1071" s="0" t="s">
        <v>150</v>
      </c>
      <c r="AH1071" s="0" t="n">
        <v>14</v>
      </c>
      <c r="AI1071" s="0" t="n">
        <v>11</v>
      </c>
      <c r="AN1071" s="0" t="s">
        <v>146</v>
      </c>
      <c r="AO1071" s="0" t="s">
        <v>236</v>
      </c>
      <c r="AP1071" s="0" t="s">
        <v>237</v>
      </c>
      <c r="AQ1071" s="0" t="n">
        <v>9</v>
      </c>
      <c r="AR1071" s="0" t="n">
        <v>64</v>
      </c>
      <c r="AS1071" s="0" t="n">
        <v>32</v>
      </c>
      <c r="AU1071" s="0" t="n">
        <f aca="false">COUNTA($BA$1003:$EH$1003)</f>
        <v>47</v>
      </c>
      <c r="AV1071" s="0" t="n">
        <f aca="false">COUNTIF($BA$1003:$EH$1003,"D")</f>
        <v>16</v>
      </c>
      <c r="AW1071" s="0" t="n">
        <f aca="false">COUNTIF($BA$1003:$EH$1003,"R")</f>
        <v>0</v>
      </c>
      <c r="AX1071" s="0" t="n">
        <f aca="false"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>0</v>
      </c>
      <c r="AY1071" s="0" t="n">
        <f aca="false">COUNTIF(DU1071:EH1071, "&lt;&gt;")</f>
        <v>0</v>
      </c>
      <c r="AZ1071" s="0" t="n">
        <f aca="false">IF(EH1071&lt;&gt;"",1,0)</f>
        <v>0</v>
      </c>
      <c r="BB1071" s="0" t="s">
        <v>153</v>
      </c>
      <c r="BD1071" s="0" t="s">
        <v>154</v>
      </c>
      <c r="BE1071" s="0" t="s">
        <v>154</v>
      </c>
      <c r="BF1071" s="0" t="s">
        <v>154</v>
      </c>
      <c r="BG1071" s="0" t="s">
        <v>154</v>
      </c>
      <c r="BH1071" s="0" t="s">
        <v>154</v>
      </c>
      <c r="BI1071" s="0" t="s">
        <v>154</v>
      </c>
      <c r="BJ1071" s="0" t="s">
        <v>154</v>
      </c>
      <c r="BK1071" s="0" t="s">
        <v>154</v>
      </c>
      <c r="BL1071" s="0" t="s">
        <v>154</v>
      </c>
      <c r="BY1071" s="0" t="s">
        <v>155</v>
      </c>
      <c r="CA1071" s="0" t="s">
        <v>154</v>
      </c>
      <c r="CL1071" s="0" t="s">
        <v>154</v>
      </c>
    </row>
    <row r="1072" customFormat="false" ht="13.8" hidden="true" customHeight="false" outlineLevel="0" collapsed="false">
      <c r="A1072" s="0" t="s">
        <v>5183</v>
      </c>
      <c r="B1072" s="0" t="n">
        <v>78</v>
      </c>
      <c r="C1072" s="0" t="n">
        <v>460272</v>
      </c>
      <c r="D1072" s="0" t="s">
        <v>5184</v>
      </c>
      <c r="E1072" s="0" t="s">
        <v>5185</v>
      </c>
      <c r="F1072" s="0" t="str">
        <f aca="false">CONCATENATE(D1072," ",LEFT(H1072,4),"T=",AU1072,"D=",AV1072,"R=",AW1072,"M=",AX1072,"L=",AY1072,"B=",AZ1072)</f>
        <v>LUCAS T=20D=1R=0M=0L=0B=0</v>
      </c>
      <c r="G1072" s="0" t="s">
        <v>202</v>
      </c>
      <c r="I1072" s="0" t="s">
        <v>5186</v>
      </c>
      <c r="J1072" s="0" t="s">
        <v>5187</v>
      </c>
      <c r="K1072" s="0" t="s">
        <v>144</v>
      </c>
      <c r="L1072" s="0"/>
      <c r="M1072" s="0" t="s">
        <v>5188</v>
      </c>
      <c r="N1072" s="0" t="str">
        <f aca="false">RIGHT(M1072,LEN(M1072)-FIND(" ",M1072))</f>
        <v>GRISWOLD ST NE</v>
      </c>
      <c r="P1072" s="0" t="s">
        <v>146</v>
      </c>
      <c r="Q1072" s="0" t="s">
        <v>147</v>
      </c>
      <c r="R1072" s="0" t="n">
        <v>44483</v>
      </c>
      <c r="AD1072" s="0" t="s">
        <v>148</v>
      </c>
      <c r="AE1072" s="0" t="s">
        <v>149</v>
      </c>
      <c r="AF1072" s="0" t="s">
        <v>150</v>
      </c>
      <c r="AH1072" s="0" t="n">
        <v>14</v>
      </c>
      <c r="AI1072" s="0" t="n">
        <v>11</v>
      </c>
      <c r="AN1072" s="0" t="s">
        <v>146</v>
      </c>
      <c r="AO1072" s="0" t="s">
        <v>236</v>
      </c>
      <c r="AP1072" s="0" t="s">
        <v>237</v>
      </c>
      <c r="AQ1072" s="0" t="n">
        <v>9</v>
      </c>
      <c r="AR1072" s="0" t="n">
        <v>64</v>
      </c>
      <c r="AS1072" s="0" t="n">
        <v>32</v>
      </c>
      <c r="AU1072" s="0" t="n">
        <f aca="false">COUNTA($BA$374:$EH$374)</f>
        <v>20</v>
      </c>
      <c r="AV1072" s="0" t="n">
        <f aca="false">COUNTIF($BA$374:$EH$374,"D")</f>
        <v>1</v>
      </c>
      <c r="AW1072" s="0" t="n">
        <f aca="false">COUNTIF($BA$374:$EH$374,"R")</f>
        <v>0</v>
      </c>
      <c r="AX1072" s="0" t="n">
        <f aca="false"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>0</v>
      </c>
      <c r="AY1072" s="0" t="n">
        <f aca="false">COUNTIF(DU1072:EH1072, "&lt;&gt;")</f>
        <v>0</v>
      </c>
      <c r="AZ1072" s="0" t="n">
        <f aca="false">IF(EH1072&lt;&gt;"",1,0)</f>
        <v>0</v>
      </c>
      <c r="BB1072" s="0" t="s">
        <v>153</v>
      </c>
      <c r="CA1072" s="0" t="s">
        <v>154</v>
      </c>
      <c r="CP1072" s="0" t="s">
        <v>154</v>
      </c>
      <c r="DC1072" s="0" t="s">
        <v>154</v>
      </c>
    </row>
    <row r="1073" customFormat="false" ht="13.8" hidden="true" customHeight="false" outlineLevel="0" collapsed="false">
      <c r="A1073" s="0" t="s">
        <v>5189</v>
      </c>
      <c r="B1073" s="0" t="n">
        <v>78</v>
      </c>
      <c r="C1073" s="0" t="n">
        <v>408728</v>
      </c>
      <c r="D1073" s="0" t="s">
        <v>5190</v>
      </c>
      <c r="E1073" s="0" t="s">
        <v>2031</v>
      </c>
      <c r="F1073" s="0" t="str">
        <f aca="false">CONCATENATE(D1073," ",LEFT(H1073,4),"T=",AU1073,"D=",AV1073,"R=",AW1073,"M=",AX1073,"L=",AY1073,"B=",AZ1073)</f>
        <v>WHITACRE T=1D=0R=0M=0L=0B=0</v>
      </c>
      <c r="G1073" s="0" t="s">
        <v>172</v>
      </c>
      <c r="I1073" s="0" t="s">
        <v>5191</v>
      </c>
      <c r="J1073" s="0" t="s">
        <v>2353</v>
      </c>
      <c r="K1073" s="0" t="s">
        <v>144</v>
      </c>
      <c r="L1073" s="0"/>
      <c r="M1073" s="0" t="s">
        <v>5188</v>
      </c>
      <c r="N1073" s="0" t="str">
        <f aca="false">RIGHT(M1073,LEN(M1073)-FIND(" ",M1073))</f>
        <v>GRISWOLD ST NE</v>
      </c>
      <c r="P1073" s="0" t="s">
        <v>146</v>
      </c>
      <c r="Q1073" s="0" t="s">
        <v>147</v>
      </c>
      <c r="R1073" s="0" t="n">
        <v>44483</v>
      </c>
      <c r="AD1073" s="0" t="s">
        <v>148</v>
      </c>
      <c r="AE1073" s="0" t="s">
        <v>149</v>
      </c>
      <c r="AF1073" s="0" t="s">
        <v>150</v>
      </c>
      <c r="AH1073" s="0" t="n">
        <v>14</v>
      </c>
      <c r="AI1073" s="0" t="n">
        <v>11</v>
      </c>
      <c r="AN1073" s="0" t="s">
        <v>146</v>
      </c>
      <c r="AO1073" s="0" t="s">
        <v>236</v>
      </c>
      <c r="AP1073" s="0" t="s">
        <v>237</v>
      </c>
      <c r="AQ1073" s="0" t="n">
        <v>9</v>
      </c>
      <c r="AR1073" s="0" t="n">
        <v>64</v>
      </c>
      <c r="AS1073" s="0" t="n">
        <v>32</v>
      </c>
      <c r="AU1073" s="0" t="n">
        <f aca="false">COUNTA($BA$854:$EH$854)</f>
        <v>1</v>
      </c>
      <c r="AV1073" s="0" t="n">
        <f aca="false">COUNTIF($BA$854:$EH$854,"D")</f>
        <v>0</v>
      </c>
      <c r="AW1073" s="0" t="n">
        <f aca="false">COUNTIF($BA$854:$EH$854,"R")</f>
        <v>0</v>
      </c>
      <c r="AX1073" s="0" t="n">
        <f aca="false"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>0</v>
      </c>
      <c r="AY1073" s="0" t="n">
        <f aca="false">COUNTIF(DU1073:EH1073, "&lt;&gt;")</f>
        <v>0</v>
      </c>
      <c r="AZ1073" s="0" t="n">
        <f aca="false">IF(EH1073&lt;&gt;"",1,0)</f>
        <v>0</v>
      </c>
      <c r="BB1073" s="0" t="s">
        <v>153</v>
      </c>
    </row>
    <row r="1074" customFormat="false" ht="13.8" hidden="true" customHeight="false" outlineLevel="0" collapsed="false">
      <c r="A1074" s="0" t="s">
        <v>5192</v>
      </c>
      <c r="B1074" s="0" t="n">
        <v>78</v>
      </c>
      <c r="C1074" s="0" t="n">
        <v>351373</v>
      </c>
      <c r="D1074" s="0" t="s">
        <v>5193</v>
      </c>
      <c r="E1074" s="0" t="s">
        <v>317</v>
      </c>
      <c r="F1074" s="0" t="str">
        <f aca="false">CONCATENATE(D1074," ",LEFT(H1074,4),"T=",AU1074,"D=",AV1074,"R=",AW1074,"M=",AX1074,"L=",AY1074,"B=",AZ1074)</f>
        <v>CLEVIDENCE T=7D=0R=0M=0L=0B=0</v>
      </c>
      <c r="G1074" s="0" t="s">
        <v>172</v>
      </c>
      <c r="I1074" s="0" t="s">
        <v>5194</v>
      </c>
      <c r="J1074" s="0" t="s">
        <v>5195</v>
      </c>
      <c r="K1074" s="0" t="s">
        <v>175</v>
      </c>
      <c r="L1074" s="0"/>
      <c r="M1074" s="0" t="s">
        <v>5196</v>
      </c>
      <c r="N1074" s="0" t="str">
        <f aca="false">RIGHT(M1074,LEN(M1074)-FIND(" ",M1074))</f>
        <v>GRISWOLD ST NE</v>
      </c>
      <c r="P1074" s="0" t="s">
        <v>146</v>
      </c>
      <c r="Q1074" s="0" t="s">
        <v>147</v>
      </c>
      <c r="R1074" s="0" t="n">
        <v>44483</v>
      </c>
      <c r="AD1074" s="0" t="s">
        <v>148</v>
      </c>
      <c r="AE1074" s="0" t="s">
        <v>149</v>
      </c>
      <c r="AF1074" s="0" t="s">
        <v>150</v>
      </c>
      <c r="AH1074" s="0" t="n">
        <v>14</v>
      </c>
      <c r="AI1074" s="0" t="n">
        <v>11</v>
      </c>
      <c r="AN1074" s="0" t="s">
        <v>146</v>
      </c>
      <c r="AO1074" s="0" t="s">
        <v>236</v>
      </c>
      <c r="AP1074" s="0" t="s">
        <v>237</v>
      </c>
      <c r="AQ1074" s="0" t="n">
        <v>9</v>
      </c>
      <c r="AR1074" s="0" t="n">
        <v>64</v>
      </c>
      <c r="AS1074" s="0" t="n">
        <v>32</v>
      </c>
      <c r="AU1074" s="0" t="n">
        <f aca="false">COUNTA($BA$122:$EH$122)</f>
        <v>7</v>
      </c>
      <c r="AV1074" s="0" t="n">
        <f aca="false">COUNTIF($BA$122:$EH$122,"D")</f>
        <v>0</v>
      </c>
      <c r="AW1074" s="0" t="n">
        <f aca="false">COUNTIF($BA$122:$EH$122,"R")</f>
        <v>0</v>
      </c>
      <c r="AX1074" s="0" t="n">
        <f aca="false"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>0</v>
      </c>
      <c r="AY1074" s="0" t="n">
        <f aca="false">COUNTIF(DU1074:EH1074, "&lt;&gt;")</f>
        <v>0</v>
      </c>
      <c r="AZ1074" s="0" t="n">
        <f aca="false">IF(EH1074&lt;&gt;"",1,0)</f>
        <v>0</v>
      </c>
      <c r="BB1074" s="0" t="s">
        <v>153</v>
      </c>
      <c r="BY1074" s="0" t="s">
        <v>155</v>
      </c>
      <c r="CA1074" s="0" t="s">
        <v>154</v>
      </c>
      <c r="CG1074" s="0" t="s">
        <v>154</v>
      </c>
      <c r="CP1074" s="0" t="s">
        <v>154</v>
      </c>
      <c r="CZ1074" s="0" t="s">
        <v>176</v>
      </c>
      <c r="DC1074" s="0" t="s">
        <v>154</v>
      </c>
      <c r="DI1074" s="0" t="s">
        <v>154</v>
      </c>
      <c r="DN1074" s="0" t="s">
        <v>154</v>
      </c>
    </row>
    <row r="1075" customFormat="false" ht="13.8" hidden="true" customHeight="false" outlineLevel="0" collapsed="false">
      <c r="A1075" s="0" t="s">
        <v>5197</v>
      </c>
      <c r="B1075" s="0" t="n">
        <v>78</v>
      </c>
      <c r="C1075" s="0" t="n">
        <v>484132</v>
      </c>
      <c r="D1075" s="0" t="s">
        <v>5198</v>
      </c>
      <c r="E1075" s="0" t="s">
        <v>2367</v>
      </c>
      <c r="F1075" s="0" t="str">
        <f aca="false">CONCATENATE(D1075," ",LEFT(H1075,4),"T=",AU1075,"D=",AV1075,"R=",AW1075,"M=",AX1075,"L=",AY1075,"B=",AZ1075)</f>
        <v>DONOVAN T=2D=0R=0M=0L=0B=0</v>
      </c>
      <c r="G1075" s="0" t="s">
        <v>172</v>
      </c>
      <c r="I1075" s="0" t="s">
        <v>5199</v>
      </c>
      <c r="J1075" s="0" t="s">
        <v>5200</v>
      </c>
      <c r="K1075" s="0" t="s">
        <v>175</v>
      </c>
      <c r="L1075" s="0"/>
      <c r="M1075" s="0" t="s">
        <v>5196</v>
      </c>
      <c r="N1075" s="0" t="str">
        <f aca="false">RIGHT(M1075,LEN(M1075)-FIND(" ",M1075))</f>
        <v>GRISWOLD ST NE</v>
      </c>
      <c r="P1075" s="0" t="s">
        <v>146</v>
      </c>
      <c r="Q1075" s="0" t="s">
        <v>147</v>
      </c>
      <c r="R1075" s="0" t="n">
        <v>44483</v>
      </c>
      <c r="AD1075" s="0" t="s">
        <v>148</v>
      </c>
      <c r="AE1075" s="0" t="s">
        <v>149</v>
      </c>
      <c r="AF1075" s="0" t="s">
        <v>150</v>
      </c>
      <c r="AH1075" s="0" t="n">
        <v>14</v>
      </c>
      <c r="AI1075" s="0" t="n">
        <v>11</v>
      </c>
      <c r="AN1075" s="0" t="s">
        <v>146</v>
      </c>
      <c r="AO1075" s="0" t="s">
        <v>236</v>
      </c>
      <c r="AP1075" s="0" t="s">
        <v>237</v>
      </c>
      <c r="AQ1075" s="0" t="n">
        <v>9</v>
      </c>
      <c r="AR1075" s="0" t="n">
        <v>64</v>
      </c>
      <c r="AS1075" s="0" t="n">
        <v>32</v>
      </c>
      <c r="AU1075" s="0" t="n">
        <f aca="false">COUNTA($BA$1015:$EH$1015)</f>
        <v>2</v>
      </c>
      <c r="AV1075" s="0" t="n">
        <f aca="false">COUNTIF($BA$1015:$EH$1015,"D")</f>
        <v>0</v>
      </c>
      <c r="AW1075" s="0" t="n">
        <f aca="false">COUNTIF($BA$1015:$EH$1015,"R")</f>
        <v>0</v>
      </c>
      <c r="AX1075" s="0" t="n">
        <f aca="false"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>0</v>
      </c>
      <c r="AY1075" s="0" t="n">
        <f aca="false">COUNTIF(DU1075:EH1075, "&lt;&gt;")</f>
        <v>0</v>
      </c>
      <c r="AZ1075" s="0" t="n">
        <f aca="false">IF(EH1075&lt;&gt;"",1,0)</f>
        <v>0</v>
      </c>
      <c r="BB1075" s="0" t="s">
        <v>153</v>
      </c>
    </row>
    <row r="1076" customFormat="false" ht="13.8" hidden="true" customHeight="false" outlineLevel="0" collapsed="false">
      <c r="A1076" s="0" t="s">
        <v>5201</v>
      </c>
      <c r="B1076" s="0" t="n">
        <v>78</v>
      </c>
      <c r="C1076" s="0" t="n">
        <v>416866</v>
      </c>
      <c r="D1076" s="0" t="s">
        <v>5202</v>
      </c>
      <c r="E1076" s="0" t="s">
        <v>335</v>
      </c>
      <c r="F1076" s="0" t="str">
        <f aca="false">CONCATENATE(D1076," ",LEFT(H1076,4),"T=",AU1076,"D=",AV1076,"R=",AW1076,"M=",AX1076,"L=",AY1076,"B=",AZ1076)</f>
        <v>ROSIER T=6D=1R=0M=0L=0B=0</v>
      </c>
      <c r="G1076" s="0" t="s">
        <v>172</v>
      </c>
      <c r="I1076" s="0" t="s">
        <v>5203</v>
      </c>
      <c r="J1076" s="0" t="s">
        <v>5204</v>
      </c>
      <c r="K1076" s="0" t="s">
        <v>144</v>
      </c>
      <c r="L1076" s="0"/>
      <c r="M1076" s="0" t="s">
        <v>5205</v>
      </c>
      <c r="N1076" s="0" t="str">
        <f aca="false">RIGHT(M1076,LEN(M1076)-FIND(" ",M1076))</f>
        <v>GRISWOLD ST NE</v>
      </c>
      <c r="O1076" s="0" t="s">
        <v>5206</v>
      </c>
      <c r="P1076" s="0" t="s">
        <v>146</v>
      </c>
      <c r="Q1076" s="0" t="s">
        <v>147</v>
      </c>
      <c r="R1076" s="0" t="n">
        <v>44483</v>
      </c>
      <c r="AD1076" s="0" t="s">
        <v>148</v>
      </c>
      <c r="AE1076" s="0" t="s">
        <v>149</v>
      </c>
      <c r="AF1076" s="0" t="s">
        <v>150</v>
      </c>
      <c r="AH1076" s="0" t="n">
        <v>14</v>
      </c>
      <c r="AI1076" s="0" t="n">
        <v>11</v>
      </c>
      <c r="AN1076" s="0" t="s">
        <v>146</v>
      </c>
      <c r="AO1076" s="0" t="s">
        <v>236</v>
      </c>
      <c r="AP1076" s="0" t="s">
        <v>237</v>
      </c>
      <c r="AQ1076" s="0" t="n">
        <v>9</v>
      </c>
      <c r="AR1076" s="0" t="n">
        <v>64</v>
      </c>
      <c r="AS1076" s="0" t="n">
        <v>32</v>
      </c>
      <c r="AU1076" s="0" t="n">
        <f aca="false">COUNTA($BA$729:$EH$729)</f>
        <v>6</v>
      </c>
      <c r="AV1076" s="0" t="n">
        <f aca="false">COUNTIF($BA$729:$EH$729,"D")</f>
        <v>1</v>
      </c>
      <c r="AW1076" s="0" t="n">
        <f aca="false">COUNTIF($BA$729:$EH$729,"R")</f>
        <v>0</v>
      </c>
      <c r="AX1076" s="0" t="n">
        <f aca="false"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>0</v>
      </c>
      <c r="AY1076" s="0" t="n">
        <f aca="false">COUNTIF(DU1076:EH1076, "&lt;&gt;")</f>
        <v>0</v>
      </c>
      <c r="AZ1076" s="0" t="n">
        <f aca="false">IF(EH1076&lt;&gt;"",1,0)</f>
        <v>0</v>
      </c>
      <c r="BB1076" s="0" t="s">
        <v>153</v>
      </c>
      <c r="BL1076" s="0" t="s">
        <v>154</v>
      </c>
      <c r="BS1076" s="0" t="s">
        <v>154</v>
      </c>
      <c r="CO1076" s="0" t="s">
        <v>155</v>
      </c>
      <c r="CP1076" s="0" t="s">
        <v>154</v>
      </c>
      <c r="CT1076" s="0" t="s">
        <v>154</v>
      </c>
      <c r="DC1076" s="0" t="s">
        <v>154</v>
      </c>
    </row>
    <row r="1077" customFormat="false" ht="13.8" hidden="true" customHeight="false" outlineLevel="0" collapsed="false">
      <c r="A1077" s="0" t="s">
        <v>5207</v>
      </c>
      <c r="B1077" s="0" t="n">
        <v>78</v>
      </c>
      <c r="C1077" s="0" t="n">
        <v>271394</v>
      </c>
      <c r="D1077" s="0" t="s">
        <v>309</v>
      </c>
      <c r="E1077" s="0" t="s">
        <v>652</v>
      </c>
      <c r="F1077" s="0" t="str">
        <f aca="false">CONCATENATE(D1077," ",LEFT(H1077,4),"T=",AU1077,"D=",AV1077,"R=",AW1077,"M=",AX1077,"L=",AY1077,"B=",AZ1077)</f>
        <v>BROWN T=32D=8R=0M=0L=0B=0</v>
      </c>
      <c r="G1077" s="0" t="s">
        <v>241</v>
      </c>
      <c r="I1077" s="0" t="s">
        <v>5208</v>
      </c>
      <c r="J1077" s="0" t="s">
        <v>2500</v>
      </c>
      <c r="K1077" s="0" t="s">
        <v>175</v>
      </c>
      <c r="L1077" s="0"/>
      <c r="M1077" s="0" t="s">
        <v>5209</v>
      </c>
      <c r="N1077" s="0" t="str">
        <f aca="false">RIGHT(M1077,LEN(M1077)-FIND(" ",M1077))</f>
        <v>GRISWOLD ST NE</v>
      </c>
      <c r="P1077" s="0" t="s">
        <v>146</v>
      </c>
      <c r="Q1077" s="0" t="s">
        <v>147</v>
      </c>
      <c r="R1077" s="0" t="n">
        <v>44483</v>
      </c>
      <c r="AD1077" s="0" t="s">
        <v>148</v>
      </c>
      <c r="AE1077" s="0" t="s">
        <v>149</v>
      </c>
      <c r="AF1077" s="0" t="s">
        <v>150</v>
      </c>
      <c r="AH1077" s="0" t="n">
        <v>14</v>
      </c>
      <c r="AI1077" s="0" t="n">
        <v>11</v>
      </c>
      <c r="AN1077" s="0" t="s">
        <v>146</v>
      </c>
      <c r="AO1077" s="0" t="s">
        <v>236</v>
      </c>
      <c r="AP1077" s="0" t="s">
        <v>237</v>
      </c>
      <c r="AQ1077" s="0" t="n">
        <v>9</v>
      </c>
      <c r="AR1077" s="0" t="n">
        <v>64</v>
      </c>
      <c r="AS1077" s="0" t="n">
        <v>32</v>
      </c>
      <c r="AU1077" s="0" t="n">
        <f aca="false">COUNTA($BA$237:$EH$237)</f>
        <v>32</v>
      </c>
      <c r="AV1077" s="0" t="n">
        <f aca="false">COUNTIF($BA$237:$EH$237,"D")</f>
        <v>8</v>
      </c>
      <c r="AW1077" s="0" t="n">
        <f aca="false">COUNTIF($BA$237:$EH$237,"R")</f>
        <v>0</v>
      </c>
      <c r="AX1077" s="0" t="n">
        <f aca="false"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>0</v>
      </c>
      <c r="AY1077" s="0" t="n">
        <f aca="false">COUNTIF(DU1077:EH1077, "&lt;&gt;")</f>
        <v>0</v>
      </c>
      <c r="AZ1077" s="0" t="n">
        <f aca="false">IF(EH1077&lt;&gt;"",1,0)</f>
        <v>0</v>
      </c>
      <c r="BB1077" s="0" t="s">
        <v>153</v>
      </c>
      <c r="BY1077" s="0" t="s">
        <v>155</v>
      </c>
    </row>
    <row r="1078" customFormat="false" ht="13.8" hidden="true" customHeight="false" outlineLevel="0" collapsed="false">
      <c r="A1078" s="0" t="s">
        <v>5210</v>
      </c>
      <c r="B1078" s="0" t="n">
        <v>78</v>
      </c>
      <c r="C1078" s="0" t="n">
        <v>457226</v>
      </c>
      <c r="D1078" s="0" t="s">
        <v>3276</v>
      </c>
      <c r="E1078" s="0" t="s">
        <v>5211</v>
      </c>
      <c r="F1078" s="0" t="str">
        <f aca="false">CONCATENATE(D1078," ",LEFT(H1078,4),"T=",AU1078,"D=",AV1078,"R=",AW1078,"M=",AX1078,"L=",AY1078,"B=",AZ1078)</f>
        <v>MOORE T=5D=0R=0M=0L=0B=0</v>
      </c>
      <c r="G1078" s="0" t="s">
        <v>5212</v>
      </c>
      <c r="I1078" s="0" t="s">
        <v>5213</v>
      </c>
      <c r="J1078" s="0" t="s">
        <v>5214</v>
      </c>
      <c r="K1078" s="0" t="s">
        <v>175</v>
      </c>
      <c r="L1078" s="0"/>
      <c r="M1078" s="0" t="s">
        <v>5215</v>
      </c>
      <c r="N1078" s="0" t="str">
        <f aca="false">RIGHT(M1078,LEN(M1078)-FIND(" ",M1078))</f>
        <v>GRISWOLD ST NE</v>
      </c>
      <c r="P1078" s="0" t="s">
        <v>146</v>
      </c>
      <c r="Q1078" s="0" t="s">
        <v>147</v>
      </c>
      <c r="R1078" s="0" t="n">
        <v>44483</v>
      </c>
      <c r="AD1078" s="0" t="s">
        <v>148</v>
      </c>
      <c r="AE1078" s="0" t="s">
        <v>149</v>
      </c>
      <c r="AF1078" s="0" t="s">
        <v>150</v>
      </c>
      <c r="AH1078" s="0" t="n">
        <v>14</v>
      </c>
      <c r="AI1078" s="0" t="n">
        <v>11</v>
      </c>
      <c r="AN1078" s="0" t="s">
        <v>146</v>
      </c>
      <c r="AO1078" s="0" t="s">
        <v>236</v>
      </c>
      <c r="AP1078" s="0" t="s">
        <v>237</v>
      </c>
      <c r="AQ1078" s="0" t="n">
        <v>9</v>
      </c>
      <c r="AR1078" s="0" t="n">
        <v>64</v>
      </c>
      <c r="AS1078" s="0" t="n">
        <v>32</v>
      </c>
      <c r="AU1078" s="0" t="n">
        <f aca="false">COUNTA($BA$493:$EH$493)</f>
        <v>5</v>
      </c>
      <c r="AV1078" s="0" t="n">
        <f aca="false">COUNTIF($BA$493:$EH$493,"D")</f>
        <v>0</v>
      </c>
      <c r="AW1078" s="0" t="n">
        <f aca="false">COUNTIF($BA$493:$EH$493,"R")</f>
        <v>0</v>
      </c>
      <c r="AX1078" s="0" t="n">
        <f aca="false"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>0</v>
      </c>
      <c r="AY1078" s="0" t="n">
        <f aca="false">COUNTIF(DU1078:EH1078, "&lt;&gt;")</f>
        <v>0</v>
      </c>
      <c r="AZ1078" s="0" t="n">
        <f aca="false">IF(EH1078&lt;&gt;"",1,0)</f>
        <v>0</v>
      </c>
      <c r="BB1078" s="0" t="s">
        <v>153</v>
      </c>
    </row>
    <row r="1079" customFormat="false" ht="13.8" hidden="true" customHeight="false" outlineLevel="0" collapsed="false">
      <c r="A1079" s="0" t="s">
        <v>5216</v>
      </c>
      <c r="B1079" s="0" t="n">
        <v>78</v>
      </c>
      <c r="C1079" s="0" t="n">
        <v>362007</v>
      </c>
      <c r="D1079" s="0" t="s">
        <v>5217</v>
      </c>
      <c r="E1079" s="0" t="s">
        <v>1117</v>
      </c>
      <c r="F1079" s="0" t="str">
        <f aca="false">CONCATENATE(D1079," ",LEFT(H1079,4),"T=",AU1079,"D=",AV1079,"R=",AW1079,"M=",AX1079,"L=",AY1079,"B=",AZ1079)</f>
        <v>WAGMAN T=3D=0R=0M=0L=0B=0</v>
      </c>
      <c r="G1079" s="0" t="s">
        <v>241</v>
      </c>
      <c r="I1079" s="0" t="s">
        <v>5218</v>
      </c>
      <c r="J1079" s="0" t="s">
        <v>5219</v>
      </c>
      <c r="K1079" s="0" t="s">
        <v>144</v>
      </c>
      <c r="L1079" s="0"/>
      <c r="M1079" s="0" t="s">
        <v>5215</v>
      </c>
      <c r="N1079" s="0" t="str">
        <f aca="false">RIGHT(M1079,LEN(M1079)-FIND(" ",M1079))</f>
        <v>GRISWOLD ST NE</v>
      </c>
      <c r="P1079" s="0" t="s">
        <v>146</v>
      </c>
      <c r="Q1079" s="0" t="s">
        <v>147</v>
      </c>
      <c r="R1079" s="0" t="n">
        <v>44483</v>
      </c>
      <c r="AD1079" s="0" t="s">
        <v>148</v>
      </c>
      <c r="AE1079" s="0" t="s">
        <v>149</v>
      </c>
      <c r="AF1079" s="0" t="s">
        <v>150</v>
      </c>
      <c r="AH1079" s="0" t="n">
        <v>14</v>
      </c>
      <c r="AI1079" s="0" t="n">
        <v>11</v>
      </c>
      <c r="AN1079" s="0" t="s">
        <v>146</v>
      </c>
      <c r="AO1079" s="0" t="s">
        <v>236</v>
      </c>
      <c r="AP1079" s="0" t="s">
        <v>237</v>
      </c>
      <c r="AQ1079" s="0" t="n">
        <v>9</v>
      </c>
      <c r="AR1079" s="0" t="n">
        <v>64</v>
      </c>
      <c r="AS1079" s="0" t="n">
        <v>32</v>
      </c>
      <c r="AU1079" s="0" t="n">
        <f aca="false">COUNTA($BA$1057:$EH$1057)</f>
        <v>3</v>
      </c>
      <c r="AV1079" s="0" t="n">
        <f aca="false">COUNTIF($BA$1057:$EH$1057,"D")</f>
        <v>0</v>
      </c>
      <c r="AW1079" s="0" t="n">
        <f aca="false">COUNTIF($BA$1057:$EH$1057,"R")</f>
        <v>0</v>
      </c>
      <c r="AX1079" s="0" t="n">
        <f aca="false"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>0</v>
      </c>
      <c r="AY1079" s="0" t="n">
        <f aca="false">COUNTIF(DU1079:EH1079, "&lt;&gt;")</f>
        <v>0</v>
      </c>
      <c r="AZ1079" s="0" t="n">
        <f aca="false">IF(EH1079&lt;&gt;"",1,0)</f>
        <v>0</v>
      </c>
      <c r="BB1079" s="0" t="s">
        <v>153</v>
      </c>
    </row>
    <row r="1080" customFormat="false" ht="13.8" hidden="true" customHeight="false" outlineLevel="0" collapsed="false">
      <c r="A1080" s="0" t="s">
        <v>5220</v>
      </c>
      <c r="B1080" s="0" t="n">
        <v>78</v>
      </c>
      <c r="C1080" s="0" t="n">
        <v>444051</v>
      </c>
      <c r="D1080" s="0" t="s">
        <v>5221</v>
      </c>
      <c r="E1080" s="0" t="s">
        <v>1232</v>
      </c>
      <c r="F1080" s="0" t="str">
        <f aca="false">CONCATENATE(D1080," ",LEFT(H1080,4),"T=",AU1080,"D=",AV1080,"R=",AW1080,"M=",AX1080,"L=",AY1080,"B=",AZ1080)</f>
        <v>WISEMAN T=7D=1R=0M=0L=1B=0</v>
      </c>
      <c r="G1080" s="0" t="s">
        <v>2891</v>
      </c>
      <c r="I1080" s="0" t="s">
        <v>5222</v>
      </c>
      <c r="J1080" s="0" t="s">
        <v>617</v>
      </c>
      <c r="K1080" s="0" t="s">
        <v>175</v>
      </c>
      <c r="L1080" s="0" t="s">
        <v>176</v>
      </c>
      <c r="M1080" s="0" t="s">
        <v>5223</v>
      </c>
      <c r="N1080" s="0" t="str">
        <f aca="false">RIGHT(M1080,LEN(M1080)-FIND(" ",M1080))</f>
        <v>GRISWOLD ST NE</v>
      </c>
      <c r="P1080" s="0" t="s">
        <v>146</v>
      </c>
      <c r="Q1080" s="0" t="s">
        <v>147</v>
      </c>
      <c r="R1080" s="0" t="n">
        <v>44483</v>
      </c>
      <c r="AD1080" s="0" t="s">
        <v>148</v>
      </c>
      <c r="AE1080" s="0" t="s">
        <v>149</v>
      </c>
      <c r="AF1080" s="0" t="s">
        <v>150</v>
      </c>
      <c r="AH1080" s="0" t="n">
        <v>14</v>
      </c>
      <c r="AI1080" s="0" t="n">
        <v>11</v>
      </c>
      <c r="AN1080" s="0" t="s">
        <v>146</v>
      </c>
      <c r="AO1080" s="0" t="s">
        <v>250</v>
      </c>
      <c r="AP1080" s="0" t="s">
        <v>251</v>
      </c>
      <c r="AQ1080" s="0" t="n">
        <v>9</v>
      </c>
      <c r="AR1080" s="0" t="n">
        <v>64</v>
      </c>
      <c r="AS1080" s="0" t="n">
        <v>32</v>
      </c>
      <c r="AU1080" s="0" t="n">
        <f aca="false">COUNTA($BA$2730:$EH$2730)</f>
        <v>7</v>
      </c>
      <c r="AV1080" s="0" t="n">
        <f aca="false">COUNTIF($BA$2730:$EH$2730,"D")</f>
        <v>1</v>
      </c>
      <c r="AW1080" s="0" t="n">
        <f aca="false">COUNTIF($BA$2730:$EH$2730,"R")</f>
        <v>0</v>
      </c>
      <c r="AX1080" s="0" t="n">
        <f aca="false"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>0</v>
      </c>
      <c r="AY1080" s="0" t="n">
        <f aca="false">COUNTIF(DU1080:EH1080, "&lt;&gt;")</f>
        <v>1</v>
      </c>
      <c r="AZ1080" s="0" t="n">
        <f aca="false">IF(EH1080&lt;&gt;"",1,0)</f>
        <v>0</v>
      </c>
      <c r="BB1080" s="0" t="s">
        <v>153</v>
      </c>
      <c r="BL1080" s="0" t="s">
        <v>154</v>
      </c>
      <c r="BP1080" s="0" t="s">
        <v>154</v>
      </c>
      <c r="DS1080" s="0" t="s">
        <v>176</v>
      </c>
      <c r="EA1080" s="0" t="s">
        <v>154</v>
      </c>
    </row>
    <row r="1081" customFormat="false" ht="13.8" hidden="false" customHeight="false" outlineLevel="0" collapsed="false">
      <c r="A1081" s="0" t="s">
        <v>5224</v>
      </c>
      <c r="B1081" s="0" t="n">
        <v>78</v>
      </c>
      <c r="C1081" s="0" t="n">
        <v>369241</v>
      </c>
      <c r="D1081" s="0" t="s">
        <v>5225</v>
      </c>
      <c r="E1081" s="0" t="s">
        <v>5226</v>
      </c>
      <c r="F1081" s="0" t="str">
        <f aca="false">CONCATENATE(D1081," ",LEFT(H1081,4),"T=",AU1081,"D=",AV1081,"R=",AW1081,"M=",AX1081,"L=",AY1081,"B=",AZ1081)</f>
        <v>MAGEE T=11D=1R=0M=2L=5B=0</v>
      </c>
      <c r="I1081" s="0" t="s">
        <v>5227</v>
      </c>
      <c r="J1081" s="0" t="s">
        <v>5228</v>
      </c>
      <c r="K1081" s="0" t="s">
        <v>175</v>
      </c>
      <c r="L1081" s="1" t="s">
        <v>155</v>
      </c>
      <c r="M1081" s="0" t="s">
        <v>5229</v>
      </c>
      <c r="N1081" s="0" t="str">
        <f aca="false">RIGHT(M1081,LEN(M1081)-FIND(" ",M1081))</f>
        <v>GRISWOLD ST NE</v>
      </c>
      <c r="P1081" s="0" t="s">
        <v>146</v>
      </c>
      <c r="Q1081" s="0" t="s">
        <v>147</v>
      </c>
      <c r="R1081" s="0" t="n">
        <v>44483</v>
      </c>
      <c r="AD1081" s="0" t="s">
        <v>148</v>
      </c>
      <c r="AE1081" s="0" t="s">
        <v>149</v>
      </c>
      <c r="AF1081" s="0" t="s">
        <v>150</v>
      </c>
      <c r="AH1081" s="0" t="n">
        <v>14</v>
      </c>
      <c r="AI1081" s="0" t="n">
        <v>11</v>
      </c>
      <c r="AN1081" s="0" t="s">
        <v>146</v>
      </c>
      <c r="AO1081" s="0" t="s">
        <v>250</v>
      </c>
      <c r="AP1081" s="0" t="s">
        <v>251</v>
      </c>
      <c r="AQ1081" s="0" t="n">
        <v>9</v>
      </c>
      <c r="AR1081" s="0" t="n">
        <v>64</v>
      </c>
      <c r="AS1081" s="0" t="n">
        <v>32</v>
      </c>
      <c r="AU1081" s="0" t="n">
        <f aca="false">COUNTA($BA$2457:$EH$2457)</f>
        <v>11</v>
      </c>
      <c r="AV1081" s="0" t="n">
        <f aca="false">COUNTIF($BA$2457:$EH$2457,"D")</f>
        <v>1</v>
      </c>
      <c r="AW1081" s="0" t="n">
        <f aca="false">COUNTIF($BA$2457:$EH$2457,"R")</f>
        <v>0</v>
      </c>
      <c r="AX1081" s="0" t="n">
        <f aca="false"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>2</v>
      </c>
      <c r="AY1081" s="0" t="n">
        <f aca="false">COUNTIF(DU1081:EH1081, "&lt;&gt;")</f>
        <v>5</v>
      </c>
      <c r="AZ1081" s="0" t="n">
        <f aca="false">IF(EH1081&lt;&gt;"",1,0)</f>
        <v>0</v>
      </c>
      <c r="BB1081" s="0" t="s">
        <v>153</v>
      </c>
      <c r="CP1081" s="0" t="s">
        <v>154</v>
      </c>
      <c r="CV1081" s="0" t="s">
        <v>154</v>
      </c>
      <c r="CY1081" s="0" t="s">
        <v>154</v>
      </c>
      <c r="CZ1081" s="0" t="s">
        <v>176</v>
      </c>
      <c r="DC1081" s="0" t="s">
        <v>154</v>
      </c>
      <c r="DD1081" s="0" t="s">
        <v>155</v>
      </c>
      <c r="DF1081" s="0" t="s">
        <v>154</v>
      </c>
      <c r="DG1081" s="0" t="s">
        <v>155</v>
      </c>
      <c r="DI1081" s="0" t="s">
        <v>154</v>
      </c>
      <c r="DL1081" s="0" t="s">
        <v>154</v>
      </c>
      <c r="DM1081" s="0" t="s">
        <v>155</v>
      </c>
      <c r="DN1081" s="0" t="s">
        <v>154</v>
      </c>
      <c r="DR1081" s="0" t="s">
        <v>154</v>
      </c>
      <c r="DS1081" s="0" t="s">
        <v>155</v>
      </c>
      <c r="DT1081" s="0" t="s">
        <v>155</v>
      </c>
      <c r="DU1081" s="0" t="s">
        <v>154</v>
      </c>
      <c r="DW1081" s="0" t="s">
        <v>155</v>
      </c>
      <c r="DX1081" s="0" t="s">
        <v>154</v>
      </c>
      <c r="EA1081" s="0" t="s">
        <v>154</v>
      </c>
      <c r="EF1081" s="0" t="s">
        <v>154</v>
      </c>
    </row>
    <row r="1082" customFormat="false" ht="13.8" hidden="true" customHeight="false" outlineLevel="0" collapsed="false">
      <c r="A1082" s="0" t="s">
        <v>5230</v>
      </c>
      <c r="B1082" s="0" t="n">
        <v>78</v>
      </c>
      <c r="C1082" s="0" t="n">
        <v>408753</v>
      </c>
      <c r="D1082" s="0" t="s">
        <v>5231</v>
      </c>
      <c r="E1082" s="0" t="s">
        <v>1522</v>
      </c>
      <c r="F1082" s="0" t="str">
        <f aca="false">CONCATENATE(D1082," ",LEFT(H1082,4),"T=",AU1082,"D=",AV1082,"R=",AW1082,"M=",AX1082,"L=",AY1082,"B=",AZ1082)</f>
        <v>THORNE T=12D=0R=0M=0L=0B=0</v>
      </c>
      <c r="G1082" s="0" t="s">
        <v>241</v>
      </c>
      <c r="I1082" s="0" t="s">
        <v>5232</v>
      </c>
      <c r="J1082" s="0" t="s">
        <v>1494</v>
      </c>
      <c r="K1082" s="0" t="s">
        <v>175</v>
      </c>
      <c r="L1082" s="0"/>
      <c r="M1082" s="0" t="s">
        <v>5233</v>
      </c>
      <c r="N1082" s="0" t="str">
        <f aca="false">RIGHT(M1082,LEN(M1082)-FIND(" ",M1082))</f>
        <v>GRISWOLD ST NE</v>
      </c>
      <c r="P1082" s="0" t="s">
        <v>146</v>
      </c>
      <c r="Q1082" s="0" t="s">
        <v>147</v>
      </c>
      <c r="R1082" s="0" t="n">
        <v>44483</v>
      </c>
      <c r="AD1082" s="0" t="s">
        <v>148</v>
      </c>
      <c r="AE1082" s="0" t="s">
        <v>149</v>
      </c>
      <c r="AF1082" s="0" t="s">
        <v>150</v>
      </c>
      <c r="AH1082" s="0" t="n">
        <v>14</v>
      </c>
      <c r="AI1082" s="0" t="n">
        <v>11</v>
      </c>
      <c r="AN1082" s="0" t="s">
        <v>146</v>
      </c>
      <c r="AO1082" s="0" t="s">
        <v>250</v>
      </c>
      <c r="AP1082" s="0" t="s">
        <v>251</v>
      </c>
      <c r="AQ1082" s="0" t="n">
        <v>9</v>
      </c>
      <c r="AR1082" s="0" t="n">
        <v>64</v>
      </c>
      <c r="AS1082" s="0" t="n">
        <v>32</v>
      </c>
      <c r="AU1082" s="0" t="n">
        <f aca="false">COUNTA($BA$2820:$EH$2820)</f>
        <v>12</v>
      </c>
      <c r="AV1082" s="0" t="n">
        <f aca="false">COUNTIF($BA$2820:$EH$2820,"D")</f>
        <v>0</v>
      </c>
      <c r="AW1082" s="0" t="n">
        <f aca="false">COUNTIF($BA$2820:$EH$2820,"R")</f>
        <v>0</v>
      </c>
      <c r="AX1082" s="0" t="n">
        <f aca="false"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>0</v>
      </c>
      <c r="AY1082" s="0" t="n">
        <f aca="false">COUNTIF(DU1082:EH1082, "&lt;&gt;")</f>
        <v>0</v>
      </c>
      <c r="AZ1082" s="0" t="n">
        <f aca="false">IF(EH1082&lt;&gt;"",1,0)</f>
        <v>0</v>
      </c>
      <c r="BB1082" s="0" t="s">
        <v>153</v>
      </c>
    </row>
    <row r="1083" customFormat="false" ht="13.8" hidden="false" customHeight="false" outlineLevel="0" collapsed="false">
      <c r="A1083" s="0" t="s">
        <v>5234</v>
      </c>
      <c r="B1083" s="0" t="n">
        <v>78</v>
      </c>
      <c r="C1083" s="0" t="n">
        <v>457066</v>
      </c>
      <c r="D1083" s="0" t="s">
        <v>5235</v>
      </c>
      <c r="E1083" s="0" t="s">
        <v>471</v>
      </c>
      <c r="F1083" s="0" t="str">
        <f aca="false">CONCATENATE(D1083," ",LEFT(H1083,4),"T=",AU1083,"D=",AV1083,"R=",AW1083,"M=",AX1083,"L=",AY1083,"B=",AZ1083)</f>
        <v>ALLGOOD T=1D=0R=0M=2L=2B=1</v>
      </c>
      <c r="G1083" s="0" t="s">
        <v>241</v>
      </c>
      <c r="I1083" s="0" t="s">
        <v>5236</v>
      </c>
      <c r="J1083" s="0" t="s">
        <v>5237</v>
      </c>
      <c r="K1083" s="0" t="s">
        <v>175</v>
      </c>
      <c r="L1083" s="1" t="s">
        <v>155</v>
      </c>
      <c r="M1083" s="0" t="s">
        <v>5238</v>
      </c>
      <c r="N1083" s="0" t="str">
        <f aca="false">RIGHT(M1083,LEN(M1083)-FIND(" ",M1083))</f>
        <v>GROVE AVE NW</v>
      </c>
      <c r="P1083" s="0" t="s">
        <v>146</v>
      </c>
      <c r="Q1083" s="0" t="s">
        <v>147</v>
      </c>
      <c r="R1083" s="0" t="n">
        <v>44483</v>
      </c>
      <c r="AD1083" s="0" t="s">
        <v>148</v>
      </c>
      <c r="AE1083" s="0" t="s">
        <v>149</v>
      </c>
      <c r="AF1083" s="0" t="s">
        <v>150</v>
      </c>
      <c r="AH1083" s="0" t="n">
        <v>14</v>
      </c>
      <c r="AI1083" s="0" t="n">
        <v>11</v>
      </c>
      <c r="AN1083" s="0" t="s">
        <v>146</v>
      </c>
      <c r="AO1083" s="0" t="s">
        <v>250</v>
      </c>
      <c r="AP1083" s="0" t="s">
        <v>251</v>
      </c>
      <c r="AQ1083" s="0" t="n">
        <v>9</v>
      </c>
      <c r="AR1083" s="0" t="n">
        <v>64</v>
      </c>
      <c r="AS1083" s="0" t="n">
        <v>32</v>
      </c>
      <c r="AU1083" s="0" t="n">
        <f aca="false">COUNTA($BA$2459:$EH$2459)</f>
        <v>1</v>
      </c>
      <c r="AV1083" s="0" t="n">
        <f aca="false">COUNTIF($BA$2459:$EH$2459,"D")</f>
        <v>0</v>
      </c>
      <c r="AW1083" s="0" t="n">
        <f aca="false">COUNTIF($BA$2459:$EH$2459,"R")</f>
        <v>0</v>
      </c>
      <c r="AX1083" s="0" t="n">
        <f aca="false"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>2</v>
      </c>
      <c r="AY1083" s="0" t="n">
        <f aca="false">COUNTIF(DU1083:EH1083, "&lt;&gt;")</f>
        <v>2</v>
      </c>
      <c r="AZ1083" s="0" t="n">
        <f aca="false">IF(EH1083&lt;&gt;"",1,0)</f>
        <v>1</v>
      </c>
      <c r="BB1083" s="0" t="s">
        <v>153</v>
      </c>
      <c r="DR1083" s="0" t="s">
        <v>154</v>
      </c>
      <c r="DW1083" s="0" t="s">
        <v>155</v>
      </c>
      <c r="EH1083" s="0" t="s">
        <v>155</v>
      </c>
    </row>
    <row r="1084" customFormat="false" ht="13.8" hidden="false" customHeight="false" outlineLevel="0" collapsed="false">
      <c r="A1084" s="0" t="s">
        <v>5239</v>
      </c>
      <c r="B1084" s="0" t="n">
        <v>78</v>
      </c>
      <c r="C1084" s="0" t="n">
        <v>459728</v>
      </c>
      <c r="D1084" s="0" t="s">
        <v>5235</v>
      </c>
      <c r="E1084" s="0" t="s">
        <v>5240</v>
      </c>
      <c r="F1084" s="0" t="str">
        <f aca="false">CONCATENATE(D1084," ",LEFT(H1084,4),"T=",AU1084,"D=",AV1084,"R=",AW1084,"M=",AX1084,"L=",AY1084,"B=",AZ1084)</f>
        <v>ALLGOOD T=1D=0R=0M=2L=2B=1</v>
      </c>
      <c r="G1084" s="0" t="s">
        <v>155</v>
      </c>
      <c r="I1084" s="0" t="s">
        <v>5241</v>
      </c>
      <c r="J1084" s="0" t="s">
        <v>5242</v>
      </c>
      <c r="K1084" s="0" t="s">
        <v>175</v>
      </c>
      <c r="L1084" s="1" t="s">
        <v>155</v>
      </c>
      <c r="M1084" s="0" t="s">
        <v>5238</v>
      </c>
      <c r="N1084" s="0" t="str">
        <f aca="false">RIGHT(M1084,LEN(M1084)-FIND(" ",M1084))</f>
        <v>GROVE AVE NW</v>
      </c>
      <c r="P1084" s="0" t="s">
        <v>146</v>
      </c>
      <c r="Q1084" s="0" t="s">
        <v>147</v>
      </c>
      <c r="R1084" s="0" t="n">
        <v>44483</v>
      </c>
      <c r="AD1084" s="0" t="s">
        <v>148</v>
      </c>
      <c r="AE1084" s="0" t="s">
        <v>149</v>
      </c>
      <c r="AF1084" s="0" t="s">
        <v>150</v>
      </c>
      <c r="AH1084" s="0" t="n">
        <v>14</v>
      </c>
      <c r="AI1084" s="0" t="n">
        <v>11</v>
      </c>
      <c r="AN1084" s="0" t="s">
        <v>146</v>
      </c>
      <c r="AO1084" s="0" t="s">
        <v>250</v>
      </c>
      <c r="AP1084" s="0" t="s">
        <v>251</v>
      </c>
      <c r="AQ1084" s="0" t="n">
        <v>9</v>
      </c>
      <c r="AR1084" s="0" t="n">
        <v>64</v>
      </c>
      <c r="AS1084" s="0" t="n">
        <v>32</v>
      </c>
      <c r="AU1084" s="0" t="n">
        <f aca="false">COUNTA($BA$2501:$EH$2501)</f>
        <v>1</v>
      </c>
      <c r="AV1084" s="0" t="n">
        <f aca="false">COUNTIF($BA$2501:$EH$2501,"D")</f>
        <v>0</v>
      </c>
      <c r="AW1084" s="0" t="n">
        <f aca="false">COUNTIF($BA$2501:$EH$2501,"R")</f>
        <v>0</v>
      </c>
      <c r="AX1084" s="0" t="n">
        <f aca="false"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>2</v>
      </c>
      <c r="AY1084" s="0" t="n">
        <f aca="false">COUNTIF(DU1084:EH1084, "&lt;&gt;")</f>
        <v>2</v>
      </c>
      <c r="AZ1084" s="0" t="n">
        <f aca="false">IF(EH1084&lt;&gt;"",1,0)</f>
        <v>1</v>
      </c>
      <c r="BB1084" s="0" t="s">
        <v>153</v>
      </c>
      <c r="DR1084" s="0" t="s">
        <v>154</v>
      </c>
      <c r="DW1084" s="0" t="s">
        <v>155</v>
      </c>
      <c r="EH1084" s="0" t="s">
        <v>155</v>
      </c>
    </row>
    <row r="1085" customFormat="false" ht="13.8" hidden="true" customHeight="false" outlineLevel="0" collapsed="false">
      <c r="A1085" s="0" t="s">
        <v>5243</v>
      </c>
      <c r="B1085" s="0" t="n">
        <v>78</v>
      </c>
      <c r="C1085" s="0" t="n">
        <v>287807</v>
      </c>
      <c r="D1085" s="0" t="s">
        <v>381</v>
      </c>
      <c r="E1085" s="0" t="s">
        <v>1619</v>
      </c>
      <c r="F1085" s="0" t="str">
        <f aca="false">CONCATENATE(D1085," ",LEFT(H1085,4),"T=",AU1085,"D=",AV1085,"R=",AW1085,"M=",AX1085,"L=",AY1085,"B=",AZ1085)</f>
        <v>WEAVER T=1D=0R=0M=0L=0B=0</v>
      </c>
      <c r="G1085" s="0" t="s">
        <v>188</v>
      </c>
      <c r="I1085" s="0" t="s">
        <v>5244</v>
      </c>
      <c r="J1085" s="0" t="s">
        <v>5245</v>
      </c>
      <c r="K1085" s="0" t="s">
        <v>144</v>
      </c>
      <c r="L1085" s="0"/>
      <c r="M1085" s="0" t="s">
        <v>5246</v>
      </c>
      <c r="N1085" s="0" t="str">
        <f aca="false">RIGHT(M1085,LEN(M1085)-FIND(" ",M1085))</f>
        <v>GROVE AVE NW</v>
      </c>
      <c r="P1085" s="0" t="s">
        <v>146</v>
      </c>
      <c r="Q1085" s="0" t="s">
        <v>147</v>
      </c>
      <c r="R1085" s="0" t="n">
        <v>44483</v>
      </c>
      <c r="AD1085" s="0" t="s">
        <v>148</v>
      </c>
      <c r="AE1085" s="0" t="s">
        <v>149</v>
      </c>
      <c r="AF1085" s="0" t="s">
        <v>150</v>
      </c>
      <c r="AH1085" s="0" t="n">
        <v>14</v>
      </c>
      <c r="AI1085" s="0" t="n">
        <v>11</v>
      </c>
      <c r="AN1085" s="0" t="s">
        <v>146</v>
      </c>
      <c r="AO1085" s="0" t="s">
        <v>250</v>
      </c>
      <c r="AP1085" s="0" t="s">
        <v>251</v>
      </c>
      <c r="AQ1085" s="0" t="n">
        <v>9</v>
      </c>
      <c r="AR1085" s="0" t="n">
        <v>64</v>
      </c>
      <c r="AS1085" s="0" t="n">
        <v>32</v>
      </c>
      <c r="AU1085" s="0" t="n">
        <f aca="false">COUNTA($BA$2284:$EH$2284)</f>
        <v>1</v>
      </c>
      <c r="AV1085" s="0" t="n">
        <f aca="false">COUNTIF($BA$2284:$EH$2284,"D")</f>
        <v>0</v>
      </c>
      <c r="AW1085" s="0" t="n">
        <f aca="false">COUNTIF($BA$2284:$EH$2284,"R")</f>
        <v>0</v>
      </c>
      <c r="AX1085" s="0" t="n">
        <f aca="false"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>0</v>
      </c>
      <c r="AY1085" s="0" t="n">
        <f aca="false">COUNTIF(DU1085:EH1085, "&lt;&gt;")</f>
        <v>0</v>
      </c>
      <c r="AZ1085" s="0" t="n">
        <f aca="false">IF(EH1085&lt;&gt;"",1,0)</f>
        <v>0</v>
      </c>
      <c r="BB1085" s="0" t="s">
        <v>153</v>
      </c>
      <c r="BH1085" s="0" t="s">
        <v>154</v>
      </c>
      <c r="CA1085" s="0" t="s">
        <v>154</v>
      </c>
      <c r="CH1085" s="0" t="s">
        <v>155</v>
      </c>
      <c r="CN1085" s="0" t="s">
        <v>154</v>
      </c>
      <c r="CP1085" s="0" t="s">
        <v>154</v>
      </c>
      <c r="CZ1085" s="0" t="s">
        <v>176</v>
      </c>
    </row>
    <row r="1086" customFormat="false" ht="13.8" hidden="false" customHeight="false" outlineLevel="0" collapsed="false">
      <c r="A1086" s="0" t="s">
        <v>5247</v>
      </c>
      <c r="B1086" s="0" t="n">
        <v>78</v>
      </c>
      <c r="C1086" s="0" t="n">
        <v>384533</v>
      </c>
      <c r="D1086" s="0" t="s">
        <v>5248</v>
      </c>
      <c r="E1086" s="0" t="s">
        <v>5249</v>
      </c>
      <c r="F1086" s="0" t="str">
        <f aca="false">CONCATENATE(D1086," ",LEFT(H1086,4),"T=",AU1086,"D=",AV1086,"R=",AW1086,"M=",AX1086,"L=",AY1086,"B=",AZ1086)</f>
        <v>PREM T=10D=0R=1M=0L=2B=0</v>
      </c>
      <c r="I1086" s="0" t="s">
        <v>5250</v>
      </c>
      <c r="J1086" s="0" t="s">
        <v>5251</v>
      </c>
      <c r="K1086" s="0" t="s">
        <v>175</v>
      </c>
      <c r="M1086" s="0" t="s">
        <v>5246</v>
      </c>
      <c r="N1086" s="0" t="str">
        <f aca="false">RIGHT(M1086,LEN(M1086)-FIND(" ",M1086))</f>
        <v>GROVE AVE NW</v>
      </c>
      <c r="P1086" s="0" t="s">
        <v>146</v>
      </c>
      <c r="Q1086" s="0" t="s">
        <v>147</v>
      </c>
      <c r="R1086" s="0" t="n">
        <v>44483</v>
      </c>
      <c r="AD1086" s="0" t="s">
        <v>148</v>
      </c>
      <c r="AE1086" s="0" t="s">
        <v>149</v>
      </c>
      <c r="AF1086" s="0" t="s">
        <v>150</v>
      </c>
      <c r="AH1086" s="0" t="n">
        <v>14</v>
      </c>
      <c r="AI1086" s="0" t="n">
        <v>11</v>
      </c>
      <c r="AN1086" s="0" t="s">
        <v>146</v>
      </c>
      <c r="AO1086" s="0" t="s">
        <v>250</v>
      </c>
      <c r="AP1086" s="0" t="s">
        <v>251</v>
      </c>
      <c r="AQ1086" s="0" t="n">
        <v>9</v>
      </c>
      <c r="AR1086" s="0" t="n">
        <v>64</v>
      </c>
      <c r="AS1086" s="0" t="n">
        <v>32</v>
      </c>
      <c r="AU1086" s="0" t="n">
        <f aca="false">COUNTA($BA$2582:$EH$2582)</f>
        <v>10</v>
      </c>
      <c r="AV1086" s="0" t="n">
        <f aca="false">COUNTIF($BA$2582:$EH$2582,"D")</f>
        <v>0</v>
      </c>
      <c r="AW1086" s="0" t="n">
        <f aca="false">COUNTIF($BA$2582:$EH$2582,"R")</f>
        <v>1</v>
      </c>
      <c r="AX1086" s="0" t="n">
        <f aca="false"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>0</v>
      </c>
      <c r="AY1086" s="0" t="n">
        <f aca="false">COUNTIF(DU1086:EH1086, "&lt;&gt;")</f>
        <v>2</v>
      </c>
      <c r="AZ1086" s="0" t="n">
        <f aca="false">IF(EH1086&lt;&gt;"",1,0)</f>
        <v>0</v>
      </c>
      <c r="BB1086" s="0" t="s">
        <v>153</v>
      </c>
      <c r="CP1086" s="0" t="s">
        <v>154</v>
      </c>
      <c r="CZ1086" s="0" t="s">
        <v>155</v>
      </c>
      <c r="DC1086" s="0" t="s">
        <v>154</v>
      </c>
      <c r="DX1086" s="0" t="s">
        <v>154</v>
      </c>
      <c r="EA1086" s="0" t="s">
        <v>154</v>
      </c>
    </row>
    <row r="1087" customFormat="false" ht="13.8" hidden="true" customHeight="false" outlineLevel="0" collapsed="false">
      <c r="A1087" s="0" t="s">
        <v>5252</v>
      </c>
      <c r="B1087" s="0" t="n">
        <v>78</v>
      </c>
      <c r="C1087" s="0" t="n">
        <v>475931</v>
      </c>
      <c r="D1087" s="0" t="s">
        <v>5253</v>
      </c>
      <c r="E1087" s="0" t="s">
        <v>2754</v>
      </c>
      <c r="F1087" s="0" t="str">
        <f aca="false">CONCATENATE(D1087," ",LEFT(H1087,4),"T=",AU1087,"D=",AV1087,"R=",AW1087,"M=",AX1087,"L=",AY1087,"B=",AZ1087)</f>
        <v>OSTETRICO T=2D=0R=0M=0L=0B=0</v>
      </c>
      <c r="G1087" s="0" t="s">
        <v>323</v>
      </c>
      <c r="I1087" s="0" t="s">
        <v>5254</v>
      </c>
      <c r="J1087" s="0" t="s">
        <v>5255</v>
      </c>
      <c r="K1087" s="0" t="s">
        <v>175</v>
      </c>
      <c r="L1087" s="0"/>
      <c r="M1087" s="0" t="s">
        <v>5256</v>
      </c>
      <c r="N1087" s="0" t="str">
        <f aca="false">RIGHT(M1087,LEN(M1087)-FIND(" ",M1087))</f>
        <v>GROVE AVE NW</v>
      </c>
      <c r="P1087" s="0" t="s">
        <v>146</v>
      </c>
      <c r="Q1087" s="0" t="s">
        <v>147</v>
      </c>
      <c r="R1087" s="0" t="n">
        <v>44483</v>
      </c>
      <c r="AD1087" s="0" t="s">
        <v>148</v>
      </c>
      <c r="AE1087" s="0" t="s">
        <v>149</v>
      </c>
      <c r="AF1087" s="0" t="s">
        <v>150</v>
      </c>
      <c r="AH1087" s="0" t="n">
        <v>14</v>
      </c>
      <c r="AI1087" s="0" t="n">
        <v>11</v>
      </c>
      <c r="AN1087" s="0" t="s">
        <v>146</v>
      </c>
      <c r="AO1087" s="0" t="s">
        <v>250</v>
      </c>
      <c r="AP1087" s="0" t="s">
        <v>251</v>
      </c>
      <c r="AQ1087" s="0" t="n">
        <v>9</v>
      </c>
      <c r="AR1087" s="0" t="n">
        <v>64</v>
      </c>
      <c r="AS1087" s="0" t="n">
        <v>32</v>
      </c>
      <c r="AU1087" s="0" t="n">
        <f aca="false">COUNTA($BA$2350:$EH$2350)</f>
        <v>2</v>
      </c>
      <c r="AV1087" s="0" t="n">
        <f aca="false">COUNTIF($BA$2350:$EH$2350,"D")</f>
        <v>0</v>
      </c>
      <c r="AW1087" s="0" t="n">
        <f aca="false">COUNTIF($BA$2350:$EH$2350,"R")</f>
        <v>0</v>
      </c>
      <c r="AX1087" s="0" t="n">
        <f aca="false"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>0</v>
      </c>
      <c r="AY1087" s="0" t="n">
        <f aca="false">COUNTIF(DU1087:EH1087, "&lt;&gt;")</f>
        <v>0</v>
      </c>
      <c r="AZ1087" s="0" t="n">
        <f aca="false">IF(EH1087&lt;&gt;"",1,0)</f>
        <v>0</v>
      </c>
      <c r="BB1087" s="0" t="s">
        <v>153</v>
      </c>
    </row>
    <row r="1088" customFormat="false" ht="13.8" hidden="false" customHeight="false" outlineLevel="0" collapsed="false">
      <c r="A1088" s="0" t="s">
        <v>5257</v>
      </c>
      <c r="B1088" s="0" t="n">
        <v>78</v>
      </c>
      <c r="C1088" s="0" t="n">
        <v>139169</v>
      </c>
      <c r="D1088" s="0" t="s">
        <v>1011</v>
      </c>
      <c r="E1088" s="0" t="s">
        <v>5258</v>
      </c>
      <c r="F1088" s="0" t="str">
        <f aca="false">CONCATENATE(D1088," ",LEFT(H1088,4),"T=",AU1088,"D=",AV1088,"R=",AW1088,"M=",AX1088,"L=",AY1088,"B=",AZ1088)</f>
        <v>DAVIS T=12D=2R=0M=1L=5B=1</v>
      </c>
      <c r="G1088" s="0" t="s">
        <v>939</v>
      </c>
      <c r="I1088" s="0" t="s">
        <v>5259</v>
      </c>
      <c r="J1088" s="0" t="s">
        <v>899</v>
      </c>
      <c r="K1088" s="0" t="s">
        <v>175</v>
      </c>
      <c r="L1088" s="1" t="s">
        <v>155</v>
      </c>
      <c r="M1088" s="0" t="s">
        <v>5256</v>
      </c>
      <c r="N1088" s="0" t="str">
        <f aca="false">RIGHT(M1088,LEN(M1088)-FIND(" ",M1088))</f>
        <v>GROVE AVE NW</v>
      </c>
      <c r="P1088" s="0" t="s">
        <v>146</v>
      </c>
      <c r="Q1088" s="0" t="s">
        <v>147</v>
      </c>
      <c r="R1088" s="0" t="n">
        <v>44483</v>
      </c>
      <c r="AD1088" s="0" t="s">
        <v>148</v>
      </c>
      <c r="AE1088" s="0" t="s">
        <v>149</v>
      </c>
      <c r="AF1088" s="0" t="s">
        <v>150</v>
      </c>
      <c r="AH1088" s="0" t="n">
        <v>14</v>
      </c>
      <c r="AI1088" s="0" t="n">
        <v>11</v>
      </c>
      <c r="AN1088" s="0" t="s">
        <v>146</v>
      </c>
      <c r="AO1088" s="0" t="s">
        <v>250</v>
      </c>
      <c r="AP1088" s="0" t="s">
        <v>251</v>
      </c>
      <c r="AQ1088" s="0" t="n">
        <v>9</v>
      </c>
      <c r="AR1088" s="0" t="n">
        <v>64</v>
      </c>
      <c r="AS1088" s="0" t="n">
        <v>32</v>
      </c>
      <c r="AU1088" s="0" t="n">
        <f aca="false">COUNTA($BA$2670:$EH$2670)</f>
        <v>12</v>
      </c>
      <c r="AV1088" s="0" t="n">
        <f aca="false">COUNTIF($BA$2670:$EH$2670,"D")</f>
        <v>2</v>
      </c>
      <c r="AW1088" s="0" t="n">
        <f aca="false">COUNTIF($BA$2670:$EH$2670,"R")</f>
        <v>0</v>
      </c>
      <c r="AX1088" s="0" t="n">
        <f aca="false"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>1</v>
      </c>
      <c r="AY1088" s="0" t="n">
        <f aca="false">COUNTIF(DU1088:EH1088, "&lt;&gt;")</f>
        <v>5</v>
      </c>
      <c r="AZ1088" s="0" t="n">
        <f aca="false">IF(EH1088&lt;&gt;"",1,0)</f>
        <v>1</v>
      </c>
      <c r="BB1088" s="0" t="s">
        <v>153</v>
      </c>
      <c r="BD1088" s="0" t="s">
        <v>154</v>
      </c>
      <c r="BF1088" s="0" t="s">
        <v>154</v>
      </c>
      <c r="BH1088" s="0" t="s">
        <v>154</v>
      </c>
      <c r="BJ1088" s="0" t="s">
        <v>154</v>
      </c>
      <c r="BK1088" s="0" t="s">
        <v>154</v>
      </c>
      <c r="BL1088" s="0" t="s">
        <v>154</v>
      </c>
      <c r="BP1088" s="0" t="s">
        <v>154</v>
      </c>
      <c r="BS1088" s="0" t="s">
        <v>154</v>
      </c>
      <c r="BV1088" s="0" t="s">
        <v>154</v>
      </c>
      <c r="BY1088" s="0" t="s">
        <v>155</v>
      </c>
      <c r="CA1088" s="0" t="s">
        <v>154</v>
      </c>
      <c r="CG1088" s="0" t="s">
        <v>154</v>
      </c>
      <c r="CH1088" s="0" t="s">
        <v>155</v>
      </c>
      <c r="CK1088" s="0" t="s">
        <v>154</v>
      </c>
      <c r="CN1088" s="0" t="s">
        <v>154</v>
      </c>
      <c r="CO1088" s="0" t="s">
        <v>155</v>
      </c>
      <c r="CP1088" s="0" t="s">
        <v>154</v>
      </c>
      <c r="CT1088" s="0" t="s">
        <v>154</v>
      </c>
      <c r="CV1088" s="0" t="s">
        <v>154</v>
      </c>
      <c r="CY1088" s="0" t="s">
        <v>154</v>
      </c>
      <c r="CZ1088" s="0" t="s">
        <v>155</v>
      </c>
      <c r="DC1088" s="0" t="s">
        <v>154</v>
      </c>
      <c r="DF1088" s="0" t="s">
        <v>154</v>
      </c>
      <c r="DG1088" s="0" t="s">
        <v>155</v>
      </c>
      <c r="DI1088" s="0" t="s">
        <v>154</v>
      </c>
      <c r="DL1088" s="0" t="s">
        <v>154</v>
      </c>
      <c r="DN1088" s="0" t="s">
        <v>154</v>
      </c>
      <c r="DR1088" s="0" t="s">
        <v>154</v>
      </c>
      <c r="DS1088" s="0" t="s">
        <v>155</v>
      </c>
      <c r="DT1088" s="0" t="s">
        <v>155</v>
      </c>
      <c r="DU1088" s="0" t="s">
        <v>154</v>
      </c>
      <c r="DX1088" s="0" t="s">
        <v>154</v>
      </c>
      <c r="EA1088" s="0" t="s">
        <v>154</v>
      </c>
      <c r="EF1088" s="0" t="s">
        <v>154</v>
      </c>
      <c r="EH1088" s="0" t="s">
        <v>155</v>
      </c>
    </row>
    <row r="1089" customFormat="false" ht="13.8" hidden="true" customHeight="false" outlineLevel="0" collapsed="false">
      <c r="A1089" s="0" t="s">
        <v>5260</v>
      </c>
      <c r="B1089" s="0" t="n">
        <v>78</v>
      </c>
      <c r="C1089" s="0" t="n">
        <v>371949</v>
      </c>
      <c r="D1089" s="0" t="s">
        <v>645</v>
      </c>
      <c r="E1089" s="0" t="s">
        <v>5261</v>
      </c>
      <c r="F1089" s="0" t="str">
        <f aca="false">CONCATENATE(D1089," ",LEFT(H1089,4),"T=",AU1089,"D=",AV1089,"R=",AW1089,"M=",AX1089,"L=",AY1089,"B=",AZ1089)</f>
        <v>WILLIAMS T=22D=4R=1M=0L=0B=0</v>
      </c>
      <c r="G1089" s="0" t="s">
        <v>802</v>
      </c>
      <c r="I1089" s="0" t="s">
        <v>5262</v>
      </c>
      <c r="J1089" s="0" t="s">
        <v>1274</v>
      </c>
      <c r="K1089" s="0" t="s">
        <v>144</v>
      </c>
      <c r="L1089" s="0"/>
      <c r="M1089" s="0" t="s">
        <v>5263</v>
      </c>
      <c r="N1089" s="0" t="str">
        <f aca="false">RIGHT(M1089,LEN(M1089)-FIND(" ",M1089))</f>
        <v>HALL ST NW</v>
      </c>
      <c r="O1089" s="0" t="s">
        <v>3880</v>
      </c>
      <c r="P1089" s="0" t="s">
        <v>146</v>
      </c>
      <c r="Q1089" s="0" t="s">
        <v>147</v>
      </c>
      <c r="R1089" s="0" t="n">
        <v>44483</v>
      </c>
      <c r="AD1089" s="0" t="s">
        <v>148</v>
      </c>
      <c r="AE1089" s="0" t="s">
        <v>149</v>
      </c>
      <c r="AF1089" s="0" t="s">
        <v>150</v>
      </c>
      <c r="AH1089" s="0" t="n">
        <v>14</v>
      </c>
      <c r="AI1089" s="0" t="n">
        <v>11</v>
      </c>
      <c r="AN1089" s="0" t="s">
        <v>146</v>
      </c>
      <c r="AO1089" s="0" t="s">
        <v>250</v>
      </c>
      <c r="AP1089" s="0" t="s">
        <v>251</v>
      </c>
      <c r="AQ1089" s="0" t="n">
        <v>9</v>
      </c>
      <c r="AR1089" s="0" t="n">
        <v>64</v>
      </c>
      <c r="AS1089" s="0" t="n">
        <v>32</v>
      </c>
      <c r="AU1089" s="0" t="n">
        <f aca="false">COUNTA($BA$2814:$EH$2814)</f>
        <v>22</v>
      </c>
      <c r="AV1089" s="0" t="n">
        <f aca="false">COUNTIF($BA$2814:$EH$2814,"D")</f>
        <v>4</v>
      </c>
      <c r="AW1089" s="0" t="n">
        <f aca="false">COUNTIF($BA$2814:$EH$2814,"R")</f>
        <v>1</v>
      </c>
      <c r="AX1089" s="0" t="n">
        <f aca="false"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>0</v>
      </c>
      <c r="AY1089" s="0" t="n">
        <f aca="false">COUNTIF(DU1089:EH1089, "&lt;&gt;")</f>
        <v>0</v>
      </c>
      <c r="AZ1089" s="0" t="n">
        <f aca="false">IF(EH1089&lt;&gt;"",1,0)</f>
        <v>0</v>
      </c>
      <c r="BB1089" s="0" t="s">
        <v>153</v>
      </c>
      <c r="CP1089" s="0" t="s">
        <v>154</v>
      </c>
      <c r="DC1089" s="0" t="s">
        <v>154</v>
      </c>
    </row>
    <row r="1090" customFormat="false" ht="13.8" hidden="true" customHeight="false" outlineLevel="0" collapsed="false">
      <c r="A1090" s="0" t="s">
        <v>5264</v>
      </c>
      <c r="B1090" s="0" t="n">
        <v>78</v>
      </c>
      <c r="C1090" s="0" t="n">
        <v>442611</v>
      </c>
      <c r="D1090" s="0" t="s">
        <v>5265</v>
      </c>
      <c r="E1090" s="0" t="s">
        <v>266</v>
      </c>
      <c r="F1090" s="0" t="str">
        <f aca="false">CONCATENATE(D1090," ",LEFT(H1090,4),"T=",AU1090,"D=",AV1090,"R=",AW1090,"M=",AX1090,"L=",AY1090,"B=",AZ1090)</f>
        <v>LEVINS T=18D=4R=0M=0L=0B=0</v>
      </c>
      <c r="G1090" s="0" t="s">
        <v>297</v>
      </c>
      <c r="I1090" s="0" t="s">
        <v>5266</v>
      </c>
      <c r="J1090" s="0" t="s">
        <v>3636</v>
      </c>
      <c r="K1090" s="0" t="s">
        <v>175</v>
      </c>
      <c r="L1090" s="0"/>
      <c r="M1090" s="0" t="s">
        <v>5267</v>
      </c>
      <c r="N1090" s="0" t="str">
        <f aca="false">RIGHT(M1090,LEN(M1090)-FIND(" ",M1090))</f>
        <v>HALL ST NW</v>
      </c>
      <c r="P1090" s="0" t="s">
        <v>146</v>
      </c>
      <c r="Q1090" s="0" t="s">
        <v>147</v>
      </c>
      <c r="R1090" s="0" t="n">
        <v>44483</v>
      </c>
      <c r="AD1090" s="0" t="s">
        <v>148</v>
      </c>
      <c r="AE1090" s="0" t="s">
        <v>149</v>
      </c>
      <c r="AF1090" s="0" t="s">
        <v>150</v>
      </c>
      <c r="AH1090" s="0" t="n">
        <v>14</v>
      </c>
      <c r="AI1090" s="0" t="n">
        <v>11</v>
      </c>
      <c r="AN1090" s="0" t="s">
        <v>146</v>
      </c>
      <c r="AO1090" s="0" t="s">
        <v>151</v>
      </c>
      <c r="AP1090" s="0" t="s">
        <v>152</v>
      </c>
      <c r="AQ1090" s="0" t="n">
        <v>9</v>
      </c>
      <c r="AR1090" s="0" t="n">
        <v>64</v>
      </c>
      <c r="AS1090" s="0" t="n">
        <v>32</v>
      </c>
      <c r="AU1090" s="0" t="n">
        <f aca="false">COUNTA($BA$1650:$EH$1650)</f>
        <v>18</v>
      </c>
      <c r="AV1090" s="0" t="n">
        <f aca="false">COUNTIF($BA$1650:$EH$1650,"D")</f>
        <v>4</v>
      </c>
      <c r="AW1090" s="0" t="n">
        <f aca="false">COUNTIF($BA$1650:$EH$1650,"R")</f>
        <v>0</v>
      </c>
      <c r="AX1090" s="0" t="n">
        <f aca="false"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>0</v>
      </c>
      <c r="AY1090" s="0" t="n">
        <f aca="false">COUNTIF(DU1090:EH1090, "&lt;&gt;")</f>
        <v>0</v>
      </c>
      <c r="AZ1090" s="0" t="n">
        <f aca="false">IF(EH1090&lt;&gt;"",1,0)</f>
        <v>0</v>
      </c>
      <c r="BB1090" s="0" t="s">
        <v>153</v>
      </c>
      <c r="DM1090" s="0" t="s">
        <v>155</v>
      </c>
      <c r="DN1090" s="0" t="s">
        <v>154</v>
      </c>
    </row>
    <row r="1091" customFormat="false" ht="13.8" hidden="true" customHeight="false" outlineLevel="0" collapsed="false">
      <c r="A1091" s="0" t="s">
        <v>5268</v>
      </c>
      <c r="B1091" s="0" t="n">
        <v>78</v>
      </c>
      <c r="C1091" s="0" t="n">
        <v>431022</v>
      </c>
      <c r="D1091" s="0" t="s">
        <v>5269</v>
      </c>
      <c r="E1091" s="0" t="s">
        <v>5270</v>
      </c>
      <c r="F1091" s="0" t="str">
        <f aca="false">CONCATENATE(D1091," ",LEFT(H1091,4),"T=",AU1091,"D=",AV1091,"R=",AW1091,"M=",AX1091,"L=",AY1091,"B=",AZ1091)</f>
        <v>BYRD T=1D=0R=0M=0L=0B=0</v>
      </c>
      <c r="G1091" s="0" t="s">
        <v>297</v>
      </c>
      <c r="I1091" s="0" t="s">
        <v>5271</v>
      </c>
      <c r="J1091" s="0" t="s">
        <v>1755</v>
      </c>
      <c r="K1091" s="0" t="s">
        <v>175</v>
      </c>
      <c r="L1091" s="0"/>
      <c r="M1091" s="0" t="s">
        <v>5272</v>
      </c>
      <c r="N1091" s="0" t="str">
        <f aca="false">RIGHT(M1091,LEN(M1091)-FIND(" ",M1091))</f>
        <v>HALL ST NW</v>
      </c>
      <c r="O1091" s="0" t="s">
        <v>408</v>
      </c>
      <c r="P1091" s="0" t="s">
        <v>146</v>
      </c>
      <c r="Q1091" s="0" t="s">
        <v>147</v>
      </c>
      <c r="R1091" s="0" t="n">
        <v>44483</v>
      </c>
      <c r="AD1091" s="0" t="s">
        <v>148</v>
      </c>
      <c r="AE1091" s="0" t="s">
        <v>149</v>
      </c>
      <c r="AF1091" s="0" t="s">
        <v>150</v>
      </c>
      <c r="AH1091" s="0" t="n">
        <v>14</v>
      </c>
      <c r="AI1091" s="0" t="n">
        <v>11</v>
      </c>
      <c r="AN1091" s="0" t="s">
        <v>146</v>
      </c>
      <c r="AO1091" s="0" t="s">
        <v>151</v>
      </c>
      <c r="AP1091" s="0" t="s">
        <v>152</v>
      </c>
      <c r="AQ1091" s="0" t="n">
        <v>9</v>
      </c>
      <c r="AR1091" s="0" t="n">
        <v>64</v>
      </c>
      <c r="AS1091" s="0" t="n">
        <v>32</v>
      </c>
      <c r="AU1091" s="0" t="n">
        <f aca="false">COUNTA($BA$1447:$EH$1447)</f>
        <v>1</v>
      </c>
      <c r="AV1091" s="0" t="n">
        <f aca="false">COUNTIF($BA$1447:$EH$1447,"D")</f>
        <v>0</v>
      </c>
      <c r="AW1091" s="0" t="n">
        <f aca="false">COUNTIF($BA$1447:$EH$1447,"R")</f>
        <v>0</v>
      </c>
      <c r="AX1091" s="0" t="n">
        <f aca="false"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>0</v>
      </c>
      <c r="AY1091" s="0" t="n">
        <f aca="false">COUNTIF(DU1091:EH1091, "&lt;&gt;")</f>
        <v>0</v>
      </c>
      <c r="AZ1091" s="0" t="n">
        <f aca="false">IF(EH1091&lt;&gt;"",1,0)</f>
        <v>0</v>
      </c>
      <c r="BB1091" s="0" t="s">
        <v>153</v>
      </c>
      <c r="BL1091" s="0" t="s">
        <v>154</v>
      </c>
    </row>
    <row r="1092" customFormat="false" ht="13.8" hidden="false" customHeight="false" outlineLevel="0" collapsed="false">
      <c r="A1092" s="0" t="s">
        <v>5273</v>
      </c>
      <c r="B1092" s="0" t="n">
        <v>78</v>
      </c>
      <c r="C1092" s="0" t="n">
        <v>356397</v>
      </c>
      <c r="D1092" s="0" t="s">
        <v>5274</v>
      </c>
      <c r="E1092" s="0" t="s">
        <v>444</v>
      </c>
      <c r="F1092" s="0" t="str">
        <f aca="false">CONCATENATE(D1092," ",LEFT(H1092,4),"T=",AU1092,"D=",AV1092,"R=",AW1092,"M=",AX1092,"L=",AY1092,"B=",AZ1092)</f>
        <v>STIFFLER T=11D=1R=0M=0L=2B=0</v>
      </c>
      <c r="G1092" s="0" t="s">
        <v>297</v>
      </c>
      <c r="I1092" s="0" t="s">
        <v>5275</v>
      </c>
      <c r="J1092" s="0" t="s">
        <v>712</v>
      </c>
      <c r="K1092" s="0" t="s">
        <v>175</v>
      </c>
      <c r="M1092" s="0" t="s">
        <v>5276</v>
      </c>
      <c r="N1092" s="0" t="str">
        <f aca="false">RIGHT(M1092,LEN(M1092)-FIND(" ",M1092))</f>
        <v>HALL ST NW</v>
      </c>
      <c r="P1092" s="0" t="s">
        <v>146</v>
      </c>
      <c r="Q1092" s="0" t="s">
        <v>147</v>
      </c>
      <c r="R1092" s="0" t="n">
        <v>44483</v>
      </c>
      <c r="AD1092" s="0" t="s">
        <v>148</v>
      </c>
      <c r="AE1092" s="0" t="s">
        <v>149</v>
      </c>
      <c r="AF1092" s="0" t="s">
        <v>150</v>
      </c>
      <c r="AH1092" s="0" t="n">
        <v>14</v>
      </c>
      <c r="AI1092" s="0" t="n">
        <v>11</v>
      </c>
      <c r="AN1092" s="0" t="s">
        <v>146</v>
      </c>
      <c r="AO1092" s="0" t="s">
        <v>151</v>
      </c>
      <c r="AP1092" s="0" t="s">
        <v>152</v>
      </c>
      <c r="AQ1092" s="0" t="n">
        <v>9</v>
      </c>
      <c r="AR1092" s="0" t="n">
        <v>64</v>
      </c>
      <c r="AS1092" s="0" t="n">
        <v>32</v>
      </c>
      <c r="AU1092" s="0" t="n">
        <f aca="false">COUNTA($BA$1282:$EH$1282)</f>
        <v>11</v>
      </c>
      <c r="AV1092" s="0" t="n">
        <f aca="false">COUNTIF($BA$1282:$EH$1282,"D")</f>
        <v>1</v>
      </c>
      <c r="AW1092" s="0" t="n">
        <f aca="false">COUNTIF($BA$1282:$EH$1282,"R")</f>
        <v>0</v>
      </c>
      <c r="AX1092" s="0" t="n">
        <f aca="false"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>0</v>
      </c>
      <c r="AY1092" s="0" t="n">
        <f aca="false">COUNTIF(DU1092:EH1092, "&lt;&gt;")</f>
        <v>2</v>
      </c>
      <c r="AZ1092" s="0" t="n">
        <f aca="false">IF(EH1092&lt;&gt;"",1,0)</f>
        <v>0</v>
      </c>
      <c r="BB1092" s="0" t="s">
        <v>153</v>
      </c>
      <c r="BY1092" s="0" t="s">
        <v>155</v>
      </c>
      <c r="CA1092" s="0" t="s">
        <v>154</v>
      </c>
      <c r="CK1092" s="0" t="s">
        <v>154</v>
      </c>
      <c r="CN1092" s="0" t="s">
        <v>154</v>
      </c>
      <c r="CP1092" s="0" t="s">
        <v>154</v>
      </c>
      <c r="CV1092" s="0" t="s">
        <v>154</v>
      </c>
      <c r="DC1092" s="0" t="s">
        <v>154</v>
      </c>
      <c r="DI1092" s="0" t="s">
        <v>154</v>
      </c>
      <c r="DN1092" s="0" t="s">
        <v>154</v>
      </c>
      <c r="DU1092" s="0" t="s">
        <v>154</v>
      </c>
      <c r="EF1092" s="0" t="s">
        <v>154</v>
      </c>
    </row>
    <row r="1093" customFormat="false" ht="13.8" hidden="true" customHeight="false" outlineLevel="0" collapsed="false">
      <c r="A1093" s="0" t="s">
        <v>5277</v>
      </c>
      <c r="B1093" s="0" t="n">
        <v>78</v>
      </c>
      <c r="C1093" s="0" t="n">
        <v>356391</v>
      </c>
      <c r="D1093" s="0" t="s">
        <v>317</v>
      </c>
      <c r="E1093" s="0" t="s">
        <v>5278</v>
      </c>
      <c r="F1093" s="0" t="str">
        <f aca="false">CONCATENATE(D1093," ",LEFT(H1093,4),"T=",AU1093,"D=",AV1093,"R=",AW1093,"M=",AX1093,"L=",AY1093,"B=",AZ1093)</f>
        <v>LEE T=51D=19R=0M=0L=1B=0</v>
      </c>
      <c r="I1093" s="0" t="s">
        <v>5279</v>
      </c>
      <c r="J1093" s="0" t="s">
        <v>712</v>
      </c>
      <c r="K1093" s="0" t="s">
        <v>175</v>
      </c>
      <c r="L1093" s="0"/>
      <c r="M1093" s="0" t="s">
        <v>5276</v>
      </c>
      <c r="N1093" s="0" t="str">
        <f aca="false">RIGHT(M1093,LEN(M1093)-FIND(" ",M1093))</f>
        <v>HALL ST NW</v>
      </c>
      <c r="P1093" s="0" t="s">
        <v>146</v>
      </c>
      <c r="Q1093" s="0" t="s">
        <v>147</v>
      </c>
      <c r="R1093" s="0" t="n">
        <v>44483</v>
      </c>
      <c r="AD1093" s="0" t="s">
        <v>148</v>
      </c>
      <c r="AE1093" s="0" t="s">
        <v>149</v>
      </c>
      <c r="AF1093" s="0" t="s">
        <v>150</v>
      </c>
      <c r="AH1093" s="0" t="n">
        <v>14</v>
      </c>
      <c r="AI1093" s="0" t="n">
        <v>11</v>
      </c>
      <c r="AN1093" s="0" t="s">
        <v>146</v>
      </c>
      <c r="AO1093" s="0" t="s">
        <v>151</v>
      </c>
      <c r="AP1093" s="0" t="s">
        <v>152</v>
      </c>
      <c r="AQ1093" s="0" t="n">
        <v>9</v>
      </c>
      <c r="AR1093" s="0" t="n">
        <v>64</v>
      </c>
      <c r="AS1093" s="0" t="n">
        <v>32</v>
      </c>
      <c r="AU1093" s="0" t="n">
        <f aca="false">COUNTA($BA$1326:$EH$1326)</f>
        <v>51</v>
      </c>
      <c r="AV1093" s="0" t="n">
        <f aca="false">COUNTIF($BA$1326:$EH$1326,"D")</f>
        <v>19</v>
      </c>
      <c r="AW1093" s="0" t="n">
        <f aca="false">COUNTIF($BA$1326:$EH$1326,"R")</f>
        <v>0</v>
      </c>
      <c r="AX1093" s="0" t="n">
        <f aca="false"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>0</v>
      </c>
      <c r="AY1093" s="0" t="n">
        <f aca="false">COUNTIF(DU1093:EH1093, "&lt;&gt;")</f>
        <v>1</v>
      </c>
      <c r="AZ1093" s="0" t="n">
        <f aca="false">IF(EH1093&lt;&gt;"",1,0)</f>
        <v>0</v>
      </c>
      <c r="BB1093" s="0" t="s">
        <v>153</v>
      </c>
      <c r="BY1093" s="0" t="s">
        <v>155</v>
      </c>
      <c r="CA1093" s="0" t="s">
        <v>154</v>
      </c>
      <c r="CK1093" s="0" t="s">
        <v>154</v>
      </c>
      <c r="CN1093" s="0" t="s">
        <v>154</v>
      </c>
      <c r="CP1093" s="0" t="s">
        <v>154</v>
      </c>
      <c r="DC1093" s="0" t="s">
        <v>154</v>
      </c>
      <c r="DI1093" s="0" t="s">
        <v>154</v>
      </c>
      <c r="DN1093" s="0" t="s">
        <v>154</v>
      </c>
      <c r="EF1093" s="0" t="s">
        <v>154</v>
      </c>
    </row>
    <row r="1094" customFormat="false" ht="13.8" hidden="true" customHeight="false" outlineLevel="0" collapsed="false">
      <c r="A1094" s="0" t="s">
        <v>5280</v>
      </c>
      <c r="B1094" s="0" t="n">
        <v>78</v>
      </c>
      <c r="C1094" s="0" t="n">
        <v>364438</v>
      </c>
      <c r="D1094" s="0" t="s">
        <v>317</v>
      </c>
      <c r="E1094" s="0" t="s">
        <v>5281</v>
      </c>
      <c r="F1094" s="0" t="str">
        <f aca="false">CONCATENATE(D1094," ",LEFT(H1094,4),"T=",AU1094,"D=",AV1094,"R=",AW1094,"M=",AX1094,"L=",AY1094,"B=",AZ1094)</f>
        <v>LEE T=2D=0R=0M=0L=0B=0</v>
      </c>
      <c r="G1094" s="0" t="s">
        <v>216</v>
      </c>
      <c r="I1094" s="0" t="s">
        <v>5282</v>
      </c>
      <c r="J1094" s="0" t="s">
        <v>5283</v>
      </c>
      <c r="K1094" s="0" t="s">
        <v>144</v>
      </c>
      <c r="L1094" s="0"/>
      <c r="M1094" s="0" t="s">
        <v>5276</v>
      </c>
      <c r="N1094" s="0" t="str">
        <f aca="false">RIGHT(M1094,LEN(M1094)-FIND(" ",M1094))</f>
        <v>HALL ST NW</v>
      </c>
      <c r="P1094" s="0" t="s">
        <v>146</v>
      </c>
      <c r="Q1094" s="0" t="s">
        <v>147</v>
      </c>
      <c r="R1094" s="0" t="n">
        <v>44483</v>
      </c>
      <c r="AD1094" s="0" t="s">
        <v>148</v>
      </c>
      <c r="AE1094" s="0" t="s">
        <v>149</v>
      </c>
      <c r="AF1094" s="0" t="s">
        <v>150</v>
      </c>
      <c r="AH1094" s="0" t="n">
        <v>14</v>
      </c>
      <c r="AI1094" s="0" t="n">
        <v>11</v>
      </c>
      <c r="AN1094" s="0" t="s">
        <v>146</v>
      </c>
      <c r="AO1094" s="0" t="s">
        <v>151</v>
      </c>
      <c r="AP1094" s="0" t="s">
        <v>152</v>
      </c>
      <c r="AQ1094" s="0" t="n">
        <v>9</v>
      </c>
      <c r="AR1094" s="0" t="n">
        <v>64</v>
      </c>
      <c r="AS1094" s="0" t="n">
        <v>32</v>
      </c>
      <c r="AU1094" s="0" t="n">
        <f aca="false">COUNTA($BA$1782:$EH$1782)</f>
        <v>2</v>
      </c>
      <c r="AV1094" s="0" t="n">
        <f aca="false">COUNTIF($BA$1782:$EH$1782,"D")</f>
        <v>0</v>
      </c>
      <c r="AW1094" s="0" t="n">
        <f aca="false">COUNTIF($BA$1782:$EH$1782,"R")</f>
        <v>0</v>
      </c>
      <c r="AX1094" s="0" t="n">
        <f aca="false"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>0</v>
      </c>
      <c r="AY1094" s="0" t="n">
        <f aca="false">COUNTIF(DU1094:EH1094, "&lt;&gt;")</f>
        <v>0</v>
      </c>
      <c r="AZ1094" s="0" t="n">
        <f aca="false">IF(EH1094&lt;&gt;"",1,0)</f>
        <v>0</v>
      </c>
      <c r="BB1094" s="0" t="s">
        <v>153</v>
      </c>
      <c r="CA1094" s="0" t="s">
        <v>154</v>
      </c>
      <c r="CK1094" s="0" t="s">
        <v>154</v>
      </c>
      <c r="CP1094" s="0" t="s">
        <v>154</v>
      </c>
      <c r="DC1094" s="0" t="s">
        <v>154</v>
      </c>
      <c r="DI1094" s="0" t="s">
        <v>154</v>
      </c>
      <c r="DN1094" s="0" t="s">
        <v>154</v>
      </c>
    </row>
    <row r="1095" customFormat="false" ht="13.8" hidden="true" customHeight="false" outlineLevel="0" collapsed="false">
      <c r="A1095" s="0" t="s">
        <v>5284</v>
      </c>
      <c r="B1095" s="0" t="n">
        <v>78</v>
      </c>
      <c r="C1095" s="0" t="n">
        <v>296590</v>
      </c>
      <c r="D1095" s="0" t="s">
        <v>317</v>
      </c>
      <c r="E1095" s="0" t="s">
        <v>652</v>
      </c>
      <c r="F1095" s="0" t="str">
        <f aca="false">CONCATENATE(D1095," ",LEFT(H1095,4),"T=",AU1095,"D=",AV1095,"R=",AW1095,"M=",AX1095,"L=",AY1095,"B=",AZ1095)</f>
        <v>LEE T=1D=0R=0M=0L=0B=0</v>
      </c>
      <c r="I1095" s="0" t="s">
        <v>5285</v>
      </c>
      <c r="J1095" s="0" t="s">
        <v>2600</v>
      </c>
      <c r="K1095" s="0" t="s">
        <v>144</v>
      </c>
      <c r="L1095" s="0"/>
      <c r="M1095" s="0" t="s">
        <v>5276</v>
      </c>
      <c r="N1095" s="0" t="str">
        <f aca="false">RIGHT(M1095,LEN(M1095)-FIND(" ",M1095))</f>
        <v>HALL ST NW</v>
      </c>
      <c r="P1095" s="0" t="s">
        <v>146</v>
      </c>
      <c r="Q1095" s="0" t="s">
        <v>147</v>
      </c>
      <c r="R1095" s="0" t="n">
        <v>44483</v>
      </c>
      <c r="AD1095" s="0" t="s">
        <v>148</v>
      </c>
      <c r="AE1095" s="0" t="s">
        <v>149</v>
      </c>
      <c r="AF1095" s="0" t="s">
        <v>150</v>
      </c>
      <c r="AH1095" s="0" t="n">
        <v>14</v>
      </c>
      <c r="AI1095" s="0" t="n">
        <v>11</v>
      </c>
      <c r="AN1095" s="0" t="s">
        <v>146</v>
      </c>
      <c r="AO1095" s="0" t="s">
        <v>151</v>
      </c>
      <c r="AP1095" s="0" t="s">
        <v>152</v>
      </c>
      <c r="AQ1095" s="0" t="n">
        <v>9</v>
      </c>
      <c r="AR1095" s="0" t="n">
        <v>64</v>
      </c>
      <c r="AS1095" s="0" t="n">
        <v>32</v>
      </c>
      <c r="AU1095" s="0" t="n">
        <f aca="false">COUNTA($BA$1783:$EH$1783)</f>
        <v>1</v>
      </c>
      <c r="AV1095" s="0" t="n">
        <f aca="false">COUNTIF($BA$1783:$EH$1783,"D")</f>
        <v>0</v>
      </c>
      <c r="AW1095" s="0" t="n">
        <f aca="false">COUNTIF($BA$1783:$EH$1783,"R")</f>
        <v>0</v>
      </c>
      <c r="AX1095" s="0" t="n">
        <f aca="false"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>0</v>
      </c>
      <c r="AY1095" s="0" t="n">
        <f aca="false">COUNTIF(DU1095:EH1095, "&lt;&gt;")</f>
        <v>0</v>
      </c>
      <c r="AZ1095" s="0" t="n">
        <f aca="false">IF(EH1095&lt;&gt;"",1,0)</f>
        <v>0</v>
      </c>
      <c r="BB1095" s="0" t="s">
        <v>153</v>
      </c>
      <c r="CV1095" s="0" t="s">
        <v>154</v>
      </c>
    </row>
    <row r="1096" customFormat="false" ht="13.8" hidden="true" customHeight="false" outlineLevel="0" collapsed="false">
      <c r="A1096" s="0" t="s">
        <v>5286</v>
      </c>
      <c r="B1096" s="0" t="n">
        <v>78</v>
      </c>
      <c r="C1096" s="0" t="n">
        <v>372755</v>
      </c>
      <c r="D1096" s="0" t="s">
        <v>317</v>
      </c>
      <c r="E1096" s="0" t="s">
        <v>195</v>
      </c>
      <c r="F1096" s="0" t="str">
        <f aca="false">CONCATENATE(D1096," ",LEFT(H1096,4),"T=",AU1096,"D=",AV1096,"R=",AW1096,"M=",AX1096,"L=",AY1096,"B=",AZ1096)</f>
        <v>LEE T=10D=0R=1M=1L=1B=0</v>
      </c>
      <c r="G1096" s="0" t="s">
        <v>365</v>
      </c>
      <c r="I1096" s="0" t="s">
        <v>5287</v>
      </c>
      <c r="J1096" s="0" t="s">
        <v>5288</v>
      </c>
      <c r="K1096" s="0" t="s">
        <v>175</v>
      </c>
      <c r="L1096" s="0"/>
      <c r="M1096" s="0" t="s">
        <v>5276</v>
      </c>
      <c r="N1096" s="0" t="str">
        <f aca="false">RIGHT(M1096,LEN(M1096)-FIND(" ",M1096))</f>
        <v>HALL ST NW</v>
      </c>
      <c r="P1096" s="0" t="s">
        <v>146</v>
      </c>
      <c r="Q1096" s="0" t="s">
        <v>147</v>
      </c>
      <c r="R1096" s="0" t="n">
        <v>44483</v>
      </c>
      <c r="AD1096" s="0" t="s">
        <v>148</v>
      </c>
      <c r="AE1096" s="0" t="s">
        <v>149</v>
      </c>
      <c r="AF1096" s="0" t="s">
        <v>150</v>
      </c>
      <c r="AH1096" s="0" t="n">
        <v>14</v>
      </c>
      <c r="AI1096" s="0" t="n">
        <v>11</v>
      </c>
      <c r="AN1096" s="0" t="s">
        <v>146</v>
      </c>
      <c r="AO1096" s="0" t="s">
        <v>151</v>
      </c>
      <c r="AP1096" s="0" t="s">
        <v>152</v>
      </c>
      <c r="AQ1096" s="0" t="n">
        <v>9</v>
      </c>
      <c r="AR1096" s="0" t="n">
        <v>64</v>
      </c>
      <c r="AS1096" s="0" t="n">
        <v>32</v>
      </c>
      <c r="AU1096" s="0" t="n">
        <f aca="false">COUNTA($BA$1899:$EH$1899)</f>
        <v>10</v>
      </c>
      <c r="AV1096" s="0" t="n">
        <f aca="false">COUNTIF($BA$1899:$EH$1899,"D")</f>
        <v>0</v>
      </c>
      <c r="AW1096" s="0" t="n">
        <f aca="false">COUNTIF($BA$1899:$EH$1899,"R")</f>
        <v>1</v>
      </c>
      <c r="AX1096" s="0" t="n">
        <f aca="false"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>1</v>
      </c>
      <c r="AY1096" s="0" t="n">
        <f aca="false">COUNTIF(DU1096:EH1096, "&lt;&gt;")</f>
        <v>1</v>
      </c>
      <c r="AZ1096" s="0" t="n">
        <f aca="false">IF(EH1096&lt;&gt;"",1,0)</f>
        <v>0</v>
      </c>
      <c r="BB1096" s="0" t="s">
        <v>153</v>
      </c>
      <c r="CP1096" s="0" t="s">
        <v>154</v>
      </c>
      <c r="CW1096" s="0" t="s">
        <v>155</v>
      </c>
      <c r="CY1096" s="0" t="s">
        <v>154</v>
      </c>
      <c r="DC1096" s="0" t="s">
        <v>154</v>
      </c>
      <c r="DI1096" s="0" t="s">
        <v>154</v>
      </c>
      <c r="DN1096" s="0" t="s">
        <v>154</v>
      </c>
      <c r="EF1096" s="0" t="s">
        <v>154</v>
      </c>
    </row>
    <row r="1097" customFormat="false" ht="13.8" hidden="true" customHeight="false" outlineLevel="0" collapsed="false">
      <c r="A1097" s="0" t="s">
        <v>5289</v>
      </c>
      <c r="B1097" s="0" t="n">
        <v>78</v>
      </c>
      <c r="C1097" s="0" t="n">
        <v>392646</v>
      </c>
      <c r="D1097" s="0" t="s">
        <v>1582</v>
      </c>
      <c r="E1097" s="0" t="s">
        <v>2836</v>
      </c>
      <c r="F1097" s="0" t="str">
        <f aca="false">CONCATENATE(D1097," ",LEFT(H1097,4),"T=",AU1097,"D=",AV1097,"R=",AW1097,"M=",AX1097,"L=",AY1097,"B=",AZ1097)</f>
        <v>SMITH T=2D=0R=0M=0L=0B=0</v>
      </c>
      <c r="G1097" s="0" t="s">
        <v>365</v>
      </c>
      <c r="I1097" s="0" t="s">
        <v>5290</v>
      </c>
      <c r="J1097" s="0" t="s">
        <v>5291</v>
      </c>
      <c r="K1097" s="0" t="s">
        <v>175</v>
      </c>
      <c r="L1097" s="0"/>
      <c r="M1097" s="0" t="s">
        <v>5292</v>
      </c>
      <c r="N1097" s="0" t="str">
        <f aca="false">RIGHT(M1097,LEN(M1097)-FIND(" ",M1097))</f>
        <v>HALL ST NW</v>
      </c>
      <c r="P1097" s="0" t="s">
        <v>146</v>
      </c>
      <c r="Q1097" s="0" t="s">
        <v>147</v>
      </c>
      <c r="R1097" s="0" t="n">
        <v>44483</v>
      </c>
      <c r="AD1097" s="0" t="s">
        <v>148</v>
      </c>
      <c r="AE1097" s="0" t="s">
        <v>149</v>
      </c>
      <c r="AF1097" s="0" t="s">
        <v>150</v>
      </c>
      <c r="AH1097" s="0" t="n">
        <v>14</v>
      </c>
      <c r="AI1097" s="0" t="n">
        <v>11</v>
      </c>
      <c r="AN1097" s="0" t="s">
        <v>146</v>
      </c>
      <c r="AO1097" s="0" t="s">
        <v>250</v>
      </c>
      <c r="AP1097" s="0" t="s">
        <v>251</v>
      </c>
      <c r="AQ1097" s="0" t="n">
        <v>9</v>
      </c>
      <c r="AR1097" s="0" t="n">
        <v>64</v>
      </c>
      <c r="AS1097" s="0" t="n">
        <v>32</v>
      </c>
      <c r="AU1097" s="0" t="n">
        <f aca="false">COUNTA($BA$2510:$EH$2510)</f>
        <v>2</v>
      </c>
      <c r="AV1097" s="0" t="n">
        <f aca="false">COUNTIF($BA$2510:$EH$2510,"D")</f>
        <v>0</v>
      </c>
      <c r="AW1097" s="0" t="n">
        <f aca="false">COUNTIF($BA$2510:$EH$2510,"R")</f>
        <v>0</v>
      </c>
      <c r="AX1097" s="0" t="n">
        <f aca="false"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>0</v>
      </c>
      <c r="AY1097" s="0" t="n">
        <f aca="false">COUNTIF(DU1097:EH1097, "&lt;&gt;")</f>
        <v>0</v>
      </c>
      <c r="AZ1097" s="0" t="n">
        <f aca="false">IF(EH1097&lt;&gt;"",1,0)</f>
        <v>0</v>
      </c>
      <c r="BB1097" s="0" t="s">
        <v>153</v>
      </c>
    </row>
    <row r="1098" customFormat="false" ht="13.8" hidden="true" customHeight="false" outlineLevel="0" collapsed="false">
      <c r="A1098" s="0" t="s">
        <v>5293</v>
      </c>
      <c r="B1098" s="0" t="n">
        <v>78</v>
      </c>
      <c r="C1098" s="0" t="n">
        <v>392506</v>
      </c>
      <c r="D1098" s="0" t="s">
        <v>5294</v>
      </c>
      <c r="E1098" s="0" t="s">
        <v>1717</v>
      </c>
      <c r="F1098" s="0" t="str">
        <f aca="false">CONCATENATE(D1098," ",LEFT(H1098,4),"T=",AU1098,"D=",AV1098,"R=",AW1098,"M=",AX1098,"L=",AY1098,"B=",AZ1098)</f>
        <v>HOVIS T=3D=0R=0M=0L=1B=0</v>
      </c>
      <c r="G1098" s="0" t="s">
        <v>317</v>
      </c>
      <c r="I1098" s="0" t="s">
        <v>5295</v>
      </c>
      <c r="J1098" s="0" t="s">
        <v>5296</v>
      </c>
      <c r="K1098" s="0" t="s">
        <v>175</v>
      </c>
      <c r="L1098" s="0"/>
      <c r="M1098" s="0" t="s">
        <v>5297</v>
      </c>
      <c r="N1098" s="0" t="str">
        <f aca="false">RIGHT(M1098,LEN(M1098)-FIND(" ",M1098))</f>
        <v>HALL ST NW</v>
      </c>
      <c r="P1098" s="0" t="s">
        <v>146</v>
      </c>
      <c r="Q1098" s="0" t="s">
        <v>147</v>
      </c>
      <c r="R1098" s="0" t="n">
        <v>44483</v>
      </c>
      <c r="AD1098" s="0" t="s">
        <v>148</v>
      </c>
      <c r="AE1098" s="0" t="s">
        <v>149</v>
      </c>
      <c r="AF1098" s="0" t="s">
        <v>150</v>
      </c>
      <c r="AH1098" s="0" t="n">
        <v>14</v>
      </c>
      <c r="AI1098" s="0" t="n">
        <v>11</v>
      </c>
      <c r="AN1098" s="0" t="s">
        <v>146</v>
      </c>
      <c r="AO1098" s="0" t="s">
        <v>250</v>
      </c>
      <c r="AP1098" s="0" t="s">
        <v>251</v>
      </c>
      <c r="AQ1098" s="0" t="n">
        <v>9</v>
      </c>
      <c r="AR1098" s="0" t="n">
        <v>64</v>
      </c>
      <c r="AS1098" s="0" t="n">
        <v>32</v>
      </c>
      <c r="AU1098" s="0" t="n">
        <f aca="false">COUNTA($BA$2625:$EH$2625)</f>
        <v>3</v>
      </c>
      <c r="AV1098" s="0" t="n">
        <f aca="false">COUNTIF($BA$2625:$EH$2625,"D")</f>
        <v>0</v>
      </c>
      <c r="AW1098" s="0" t="n">
        <f aca="false">COUNTIF($BA$2625:$EH$2625,"R")</f>
        <v>0</v>
      </c>
      <c r="AX1098" s="0" t="n">
        <f aca="false"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>0</v>
      </c>
      <c r="AY1098" s="0" t="n">
        <f aca="false">COUNTIF(DU1098:EH1098, "&lt;&gt;")</f>
        <v>1</v>
      </c>
      <c r="AZ1098" s="0" t="n">
        <f aca="false">IF(EH1098&lt;&gt;"",1,0)</f>
        <v>0</v>
      </c>
      <c r="BB1098" s="0" t="s">
        <v>153</v>
      </c>
      <c r="CP1098" s="0" t="s">
        <v>154</v>
      </c>
      <c r="EF1098" s="0" t="s">
        <v>154</v>
      </c>
    </row>
    <row r="1099" customFormat="false" ht="13.8" hidden="true" customHeight="false" outlineLevel="0" collapsed="false">
      <c r="A1099" s="0" t="s">
        <v>5298</v>
      </c>
      <c r="B1099" s="0" t="n">
        <v>78</v>
      </c>
      <c r="C1099" s="0" t="n">
        <v>437732</v>
      </c>
      <c r="D1099" s="0" t="s">
        <v>5299</v>
      </c>
      <c r="E1099" s="0" t="s">
        <v>2710</v>
      </c>
      <c r="F1099" s="0" t="str">
        <f aca="false">CONCATENATE(D1099," ",LEFT(H1099,4),"T=",AU1099,"D=",AV1099,"R=",AW1099,"M=",AX1099,"L=",AY1099,"B=",AZ1099)</f>
        <v>OEHLERT T=22D=4R=0M=0L=0B=0</v>
      </c>
      <c r="G1099" s="0" t="s">
        <v>1289</v>
      </c>
      <c r="I1099" s="0" t="s">
        <v>5300</v>
      </c>
      <c r="J1099" s="0" t="s">
        <v>5301</v>
      </c>
      <c r="K1099" s="0" t="s">
        <v>144</v>
      </c>
      <c r="L1099" s="0"/>
      <c r="M1099" s="0" t="s">
        <v>5302</v>
      </c>
      <c r="N1099" s="0" t="str">
        <f aca="false">RIGHT(M1099,LEN(M1099)-FIND(" ",M1099))</f>
        <v>HALL ST NW</v>
      </c>
      <c r="P1099" s="0" t="s">
        <v>146</v>
      </c>
      <c r="Q1099" s="0" t="s">
        <v>147</v>
      </c>
      <c r="R1099" s="0" t="n">
        <v>44483</v>
      </c>
      <c r="AD1099" s="0" t="s">
        <v>148</v>
      </c>
      <c r="AE1099" s="0" t="s">
        <v>149</v>
      </c>
      <c r="AF1099" s="0" t="s">
        <v>150</v>
      </c>
      <c r="AH1099" s="0" t="n">
        <v>14</v>
      </c>
      <c r="AI1099" s="0" t="n">
        <v>11</v>
      </c>
      <c r="AN1099" s="0" t="s">
        <v>146</v>
      </c>
      <c r="AO1099" s="0" t="s">
        <v>250</v>
      </c>
      <c r="AP1099" s="0" t="s">
        <v>251</v>
      </c>
      <c r="AQ1099" s="0" t="n">
        <v>9</v>
      </c>
      <c r="AR1099" s="0" t="n">
        <v>64</v>
      </c>
      <c r="AS1099" s="0" t="n">
        <v>32</v>
      </c>
      <c r="AU1099" s="0" t="n">
        <f aca="false">COUNTA($BA$2372:$EH$2372)</f>
        <v>22</v>
      </c>
      <c r="AV1099" s="0" t="n">
        <f aca="false">COUNTIF($BA$2372:$EH$2372,"D")</f>
        <v>4</v>
      </c>
      <c r="AW1099" s="0" t="n">
        <f aca="false">COUNTIF($BA$2372:$EH$2372,"R")</f>
        <v>0</v>
      </c>
      <c r="AX1099" s="0" t="n">
        <f aca="false"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>0</v>
      </c>
      <c r="AY1099" s="0" t="n">
        <f aca="false">COUNTIF(DU1099:EH1099, "&lt;&gt;")</f>
        <v>0</v>
      </c>
      <c r="AZ1099" s="0" t="n">
        <f aca="false">IF(EH1099&lt;&gt;"",1,0)</f>
        <v>0</v>
      </c>
      <c r="BB1099" s="0" t="s">
        <v>153</v>
      </c>
    </row>
    <row r="1100" customFormat="false" ht="13.8" hidden="true" customHeight="false" outlineLevel="0" collapsed="false">
      <c r="A1100" s="0" t="s">
        <v>5303</v>
      </c>
      <c r="B1100" s="0" t="n">
        <v>78</v>
      </c>
      <c r="C1100" s="0" t="n">
        <v>456866</v>
      </c>
      <c r="D1100" s="0" t="s">
        <v>5304</v>
      </c>
      <c r="E1100" s="0" t="s">
        <v>1341</v>
      </c>
      <c r="F1100" s="0" t="str">
        <f aca="false">CONCATENATE(D1100," ",LEFT(H1100,4),"T=",AU1100,"D=",AV1100,"R=",AW1100,"M=",AX1100,"L=",AY1100,"B=",AZ1100)</f>
        <v>ROYAL T=6D=0R=0M=0L=0B=0</v>
      </c>
      <c r="G1100" s="0" t="s">
        <v>159</v>
      </c>
      <c r="I1100" s="0" t="s">
        <v>5305</v>
      </c>
      <c r="J1100" s="0" t="s">
        <v>3124</v>
      </c>
      <c r="K1100" s="0" t="s">
        <v>175</v>
      </c>
      <c r="L1100" s="0"/>
      <c r="M1100" s="0" t="s">
        <v>5306</v>
      </c>
      <c r="N1100" s="0" t="str">
        <f aca="false">RIGHT(M1100,LEN(M1100)-FIND(" ",M1100))</f>
        <v>HALL ST NW</v>
      </c>
      <c r="P1100" s="0" t="s">
        <v>146</v>
      </c>
      <c r="Q1100" s="0" t="s">
        <v>147</v>
      </c>
      <c r="R1100" s="0" t="n">
        <v>44483</v>
      </c>
      <c r="AD1100" s="0" t="s">
        <v>148</v>
      </c>
      <c r="AE1100" s="0" t="s">
        <v>149</v>
      </c>
      <c r="AF1100" s="0" t="s">
        <v>150</v>
      </c>
      <c r="AH1100" s="0" t="n">
        <v>14</v>
      </c>
      <c r="AI1100" s="0" t="n">
        <v>11</v>
      </c>
      <c r="AN1100" s="0" t="s">
        <v>146</v>
      </c>
      <c r="AO1100" s="0" t="s">
        <v>151</v>
      </c>
      <c r="AP1100" s="0" t="s">
        <v>152</v>
      </c>
      <c r="AQ1100" s="0" t="n">
        <v>9</v>
      </c>
      <c r="AR1100" s="0" t="n">
        <v>64</v>
      </c>
      <c r="AS1100" s="0" t="n">
        <v>32</v>
      </c>
      <c r="AU1100" s="0" t="n">
        <f aca="false">COUNTA($BA$1408:$EH$1408)</f>
        <v>6</v>
      </c>
      <c r="AV1100" s="0" t="n">
        <f aca="false">COUNTIF($BA$1408:$EH$1408,"D")</f>
        <v>0</v>
      </c>
      <c r="AW1100" s="0" t="n">
        <f aca="false">COUNTIF($BA$1408:$EH$1408,"R")</f>
        <v>0</v>
      </c>
      <c r="AX1100" s="0" t="n">
        <f aca="false"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>0</v>
      </c>
      <c r="AY1100" s="0" t="n">
        <f aca="false">COUNTIF(DU1100:EH1100, "&lt;&gt;")</f>
        <v>0</v>
      </c>
      <c r="AZ1100" s="0" t="n">
        <f aca="false">IF(EH1100&lt;&gt;"",1,0)</f>
        <v>0</v>
      </c>
      <c r="BB1100" s="0" t="s">
        <v>153</v>
      </c>
    </row>
    <row r="1101" customFormat="false" ht="13.8" hidden="true" customHeight="false" outlineLevel="0" collapsed="false">
      <c r="A1101" s="0" t="s">
        <v>5307</v>
      </c>
      <c r="B1101" s="0" t="n">
        <v>78</v>
      </c>
      <c r="C1101" s="0" t="n">
        <v>409765</v>
      </c>
      <c r="D1101" s="0" t="s">
        <v>4736</v>
      </c>
      <c r="E1101" s="0" t="s">
        <v>335</v>
      </c>
      <c r="F1101" s="0" t="str">
        <f aca="false">CONCATENATE(D1101," ",LEFT(H1101,4),"T=",AU1101,"D=",AV1101,"R=",AW1101,"M=",AX1101,"L=",AY1101,"B=",AZ1101)</f>
        <v>LICCARDI SRT=4D=0R=0M=0L=0B=0</v>
      </c>
      <c r="G1101" s="0" t="s">
        <v>241</v>
      </c>
      <c r="H1101" s="0" t="s">
        <v>311</v>
      </c>
      <c r="I1101" s="0" t="s">
        <v>5308</v>
      </c>
      <c r="J1101" s="0" t="s">
        <v>5309</v>
      </c>
      <c r="K1101" s="0" t="s">
        <v>144</v>
      </c>
      <c r="L1101" s="0"/>
      <c r="M1101" s="0" t="s">
        <v>5310</v>
      </c>
      <c r="N1101" s="0" t="str">
        <f aca="false">RIGHT(M1101,LEN(M1101)-FIND(" ",M1101))</f>
        <v>HALL ST NW</v>
      </c>
      <c r="P1101" s="0" t="s">
        <v>146</v>
      </c>
      <c r="Q1101" s="0" t="s">
        <v>147</v>
      </c>
      <c r="R1101" s="0" t="n">
        <v>44483</v>
      </c>
      <c r="AD1101" s="0" t="s">
        <v>148</v>
      </c>
      <c r="AE1101" s="0" t="s">
        <v>149</v>
      </c>
      <c r="AF1101" s="0" t="s">
        <v>150</v>
      </c>
      <c r="AH1101" s="0" t="n">
        <v>14</v>
      </c>
      <c r="AI1101" s="0" t="n">
        <v>11</v>
      </c>
      <c r="AN1101" s="0" t="s">
        <v>146</v>
      </c>
      <c r="AO1101" s="0" t="s">
        <v>151</v>
      </c>
      <c r="AP1101" s="0" t="s">
        <v>152</v>
      </c>
      <c r="AQ1101" s="0" t="n">
        <v>9</v>
      </c>
      <c r="AR1101" s="0" t="n">
        <v>64</v>
      </c>
      <c r="AS1101" s="0" t="n">
        <v>32</v>
      </c>
      <c r="AU1101" s="0" t="n">
        <f aca="false">COUNTA($BA$1575:$EH$1575)</f>
        <v>4</v>
      </c>
      <c r="AV1101" s="0" t="n">
        <f aca="false">COUNTIF($BA$1575:$EH$1575,"D")</f>
        <v>0</v>
      </c>
      <c r="AW1101" s="0" t="n">
        <f aca="false">COUNTIF($BA$1575:$EH$1575,"R")</f>
        <v>0</v>
      </c>
      <c r="AX1101" s="0" t="n">
        <f aca="false"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>0</v>
      </c>
      <c r="AY1101" s="0" t="n">
        <f aca="false">COUNTIF(DU1101:EH1101, "&lt;&gt;")</f>
        <v>0</v>
      </c>
      <c r="AZ1101" s="0" t="n">
        <f aca="false">IF(EH1101&lt;&gt;"",1,0)</f>
        <v>0</v>
      </c>
      <c r="BB1101" s="0" t="s">
        <v>153</v>
      </c>
    </row>
    <row r="1102" customFormat="false" ht="13.8" hidden="true" customHeight="false" outlineLevel="0" collapsed="false">
      <c r="A1102" s="0" t="s">
        <v>5311</v>
      </c>
      <c r="B1102" s="0" t="n">
        <v>78</v>
      </c>
      <c r="C1102" s="0" t="n">
        <v>446227</v>
      </c>
      <c r="D1102" s="0" t="s">
        <v>5312</v>
      </c>
      <c r="E1102" s="0" t="s">
        <v>2311</v>
      </c>
      <c r="F1102" s="0" t="str">
        <f aca="false">CONCATENATE(D1102," ",LEFT(H1102,4),"T=",AU1102,"D=",AV1102,"R=",AW1102,"M=",AX1102,"L=",AY1102,"B=",AZ1102)</f>
        <v>GROVES T=1D=0R=0M=0L=0B=0</v>
      </c>
      <c r="G1102" s="0" t="s">
        <v>188</v>
      </c>
      <c r="I1102" s="0" t="s">
        <v>5313</v>
      </c>
      <c r="J1102" s="0" t="s">
        <v>5314</v>
      </c>
      <c r="K1102" s="0" t="s">
        <v>144</v>
      </c>
      <c r="L1102" s="0"/>
      <c r="M1102" s="0" t="s">
        <v>5310</v>
      </c>
      <c r="N1102" s="0" t="str">
        <f aca="false">RIGHT(M1102,LEN(M1102)-FIND(" ",M1102))</f>
        <v>HALL ST NW</v>
      </c>
      <c r="P1102" s="0" t="s">
        <v>146</v>
      </c>
      <c r="Q1102" s="0" t="s">
        <v>147</v>
      </c>
      <c r="R1102" s="0" t="n">
        <v>44483</v>
      </c>
      <c r="AD1102" s="0" t="s">
        <v>148</v>
      </c>
      <c r="AE1102" s="0" t="s">
        <v>149</v>
      </c>
      <c r="AF1102" s="0" t="s">
        <v>150</v>
      </c>
      <c r="AH1102" s="0" t="n">
        <v>14</v>
      </c>
      <c r="AI1102" s="0" t="n">
        <v>11</v>
      </c>
      <c r="AN1102" s="0" t="s">
        <v>146</v>
      </c>
      <c r="AO1102" s="0" t="s">
        <v>151</v>
      </c>
      <c r="AP1102" s="0" t="s">
        <v>152</v>
      </c>
      <c r="AQ1102" s="0" t="n">
        <v>9</v>
      </c>
      <c r="AR1102" s="0" t="n">
        <v>64</v>
      </c>
      <c r="AS1102" s="0" t="n">
        <v>32</v>
      </c>
      <c r="AU1102" s="0" t="n">
        <f aca="false">COUNTA($BA$1860:$EH$1860)</f>
        <v>1</v>
      </c>
      <c r="AV1102" s="0" t="n">
        <f aca="false">COUNTIF($BA$1860:$EH$1860,"D")</f>
        <v>0</v>
      </c>
      <c r="AW1102" s="0" t="n">
        <f aca="false">COUNTIF($BA$1860:$EH$1860,"R")</f>
        <v>0</v>
      </c>
      <c r="AX1102" s="0" t="n">
        <f aca="false"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>0</v>
      </c>
      <c r="AY1102" s="0" t="n">
        <f aca="false">COUNTIF(DU1102:EH1102, "&lt;&gt;")</f>
        <v>0</v>
      </c>
      <c r="AZ1102" s="0" t="n">
        <f aca="false">IF(EH1102&lt;&gt;"",1,0)</f>
        <v>0</v>
      </c>
      <c r="BB1102" s="0" t="s">
        <v>153</v>
      </c>
      <c r="CA1102" s="0" t="s">
        <v>154</v>
      </c>
      <c r="DN1102" s="0" t="s">
        <v>154</v>
      </c>
    </row>
    <row r="1103" customFormat="false" ht="13.8" hidden="true" customHeight="false" outlineLevel="0" collapsed="false">
      <c r="A1103" s="0" t="s">
        <v>5315</v>
      </c>
      <c r="B1103" s="0" t="n">
        <v>78</v>
      </c>
      <c r="C1103" s="0" t="n">
        <v>442585</v>
      </c>
      <c r="D1103" s="0" t="s">
        <v>3426</v>
      </c>
      <c r="E1103" s="0" t="s">
        <v>5316</v>
      </c>
      <c r="F1103" s="0" t="str">
        <f aca="false">CONCATENATE(D1103," ",LEFT(H1103,4),"T=",AU1103,"D=",AV1103,"R=",AW1103,"M=",AX1103,"L=",AY1103,"B=",AZ1103)</f>
        <v>BUMBICO T=32D=4R=0M=0L=1B=0</v>
      </c>
      <c r="G1103" s="0" t="s">
        <v>5317</v>
      </c>
      <c r="I1103" s="0" t="s">
        <v>5318</v>
      </c>
      <c r="J1103" s="0" t="s">
        <v>5319</v>
      </c>
      <c r="K1103" s="0" t="s">
        <v>175</v>
      </c>
      <c r="L1103" s="0"/>
      <c r="M1103" s="0" t="s">
        <v>5320</v>
      </c>
      <c r="N1103" s="0" t="str">
        <f aca="false">RIGHT(M1103,LEN(M1103)-FIND(" ",M1103))</f>
        <v>HALL ST NW</v>
      </c>
      <c r="P1103" s="0" t="s">
        <v>146</v>
      </c>
      <c r="Q1103" s="0" t="s">
        <v>147</v>
      </c>
      <c r="R1103" s="0" t="n">
        <v>44483</v>
      </c>
      <c r="AD1103" s="0" t="s">
        <v>148</v>
      </c>
      <c r="AE1103" s="0" t="s">
        <v>149</v>
      </c>
      <c r="AF1103" s="0" t="s">
        <v>150</v>
      </c>
      <c r="AH1103" s="0" t="n">
        <v>14</v>
      </c>
      <c r="AI1103" s="0" t="n">
        <v>11</v>
      </c>
      <c r="AN1103" s="0" t="s">
        <v>146</v>
      </c>
      <c r="AO1103" s="0" t="s">
        <v>151</v>
      </c>
      <c r="AP1103" s="0" t="s">
        <v>152</v>
      </c>
      <c r="AQ1103" s="0" t="n">
        <v>9</v>
      </c>
      <c r="AR1103" s="0" t="n">
        <v>64</v>
      </c>
      <c r="AS1103" s="0" t="n">
        <v>32</v>
      </c>
      <c r="AU1103" s="0" t="n">
        <f aca="false">COUNTA($BA$1425:$EH$1425)</f>
        <v>32</v>
      </c>
      <c r="AV1103" s="0" t="n">
        <f aca="false">COUNTIF($BA$1425:$EH$1425,"D")</f>
        <v>4</v>
      </c>
      <c r="AW1103" s="0" t="n">
        <f aca="false">COUNTIF($BA$1425:$EH$1425,"R")</f>
        <v>0</v>
      </c>
      <c r="AX1103" s="0" t="n">
        <f aca="false"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>0</v>
      </c>
      <c r="AY1103" s="0" t="n">
        <f aca="false">COUNTIF(DU1103:EH1103, "&lt;&gt;")</f>
        <v>1</v>
      </c>
      <c r="AZ1103" s="0" t="n">
        <f aca="false">IF(EH1103&lt;&gt;"",1,0)</f>
        <v>0</v>
      </c>
      <c r="BB1103" s="0" t="s">
        <v>153</v>
      </c>
      <c r="CA1103" s="0" t="s">
        <v>154</v>
      </c>
      <c r="DU1103" s="0" t="s">
        <v>154</v>
      </c>
    </row>
    <row r="1104" customFormat="false" ht="13.8" hidden="true" customHeight="false" outlineLevel="0" collapsed="false">
      <c r="A1104" s="0" t="s">
        <v>5321</v>
      </c>
      <c r="B1104" s="0" t="n">
        <v>78</v>
      </c>
      <c r="C1104" s="0" t="n">
        <v>458513</v>
      </c>
      <c r="D1104" s="0" t="s">
        <v>675</v>
      </c>
      <c r="E1104" s="0" t="s">
        <v>5322</v>
      </c>
      <c r="F1104" s="0" t="str">
        <f aca="false">CONCATENATE(D1104," ",LEFT(H1104,4),"T=",AU1104,"D=",AV1104,"R=",AW1104,"M=",AX1104,"L=",AY1104,"B=",AZ1104)</f>
        <v>ANDERSON T=17D=6R=0M=0L=1B=0</v>
      </c>
      <c r="G1104" s="0" t="s">
        <v>690</v>
      </c>
      <c r="I1104" s="0" t="s">
        <v>2545</v>
      </c>
      <c r="J1104" s="0" t="s">
        <v>5323</v>
      </c>
      <c r="K1104" s="0" t="s">
        <v>175</v>
      </c>
      <c r="L1104" s="0"/>
      <c r="M1104" s="0" t="s">
        <v>5320</v>
      </c>
      <c r="N1104" s="0" t="str">
        <f aca="false">RIGHT(M1104,LEN(M1104)-FIND(" ",M1104))</f>
        <v>HALL ST NW</v>
      </c>
      <c r="P1104" s="0" t="s">
        <v>146</v>
      </c>
      <c r="Q1104" s="0" t="s">
        <v>147</v>
      </c>
      <c r="R1104" s="0" t="n">
        <v>44483</v>
      </c>
      <c r="AD1104" s="0" t="s">
        <v>148</v>
      </c>
      <c r="AE1104" s="0" t="s">
        <v>149</v>
      </c>
      <c r="AF1104" s="0" t="s">
        <v>150</v>
      </c>
      <c r="AH1104" s="0" t="n">
        <v>14</v>
      </c>
      <c r="AI1104" s="0" t="n">
        <v>11</v>
      </c>
      <c r="AN1104" s="0" t="s">
        <v>146</v>
      </c>
      <c r="AO1104" s="0" t="s">
        <v>151</v>
      </c>
      <c r="AP1104" s="0" t="s">
        <v>152</v>
      </c>
      <c r="AQ1104" s="0" t="n">
        <v>9</v>
      </c>
      <c r="AR1104" s="0" t="n">
        <v>64</v>
      </c>
      <c r="AS1104" s="0" t="n">
        <v>32</v>
      </c>
      <c r="AU1104" s="0" t="n">
        <f aca="false">COUNTA($BA$1489:$EH$1489)</f>
        <v>17</v>
      </c>
      <c r="AV1104" s="0" t="n">
        <f aca="false">COUNTIF($BA$1489:$EH$1489,"D")</f>
        <v>6</v>
      </c>
      <c r="AW1104" s="0" t="n">
        <f aca="false">COUNTIF($BA$1489:$EH$1489,"R")</f>
        <v>0</v>
      </c>
      <c r="AX1104" s="0" t="n">
        <f aca="false"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>0</v>
      </c>
      <c r="AY1104" s="0" t="n">
        <f aca="false">COUNTIF(DU1104:EH1104, "&lt;&gt;")</f>
        <v>1</v>
      </c>
      <c r="AZ1104" s="0" t="n">
        <f aca="false">IF(EH1104&lt;&gt;"",1,0)</f>
        <v>0</v>
      </c>
      <c r="BB1104" s="0" t="s">
        <v>153</v>
      </c>
      <c r="EF1104" s="0" t="s">
        <v>154</v>
      </c>
    </row>
    <row r="1105" customFormat="false" ht="13.8" hidden="true" customHeight="false" outlineLevel="0" collapsed="false">
      <c r="A1105" s="0" t="s">
        <v>5324</v>
      </c>
      <c r="B1105" s="0" t="n">
        <v>78</v>
      </c>
      <c r="C1105" s="0" t="n">
        <v>487997</v>
      </c>
      <c r="D1105" s="0" t="s">
        <v>675</v>
      </c>
      <c r="E1105" s="0" t="s">
        <v>1117</v>
      </c>
      <c r="F1105" s="0" t="str">
        <f aca="false">CONCATENATE(D1105," ",LEFT(H1105,4),"T=",AU1105,"D=",AV1105,"R=",AW1105,"M=",AX1105,"L=",AY1105,"B=",AZ1105)</f>
        <v>ANDERSON T=24D=3R=0M=0L=1B=0</v>
      </c>
      <c r="G1105" s="0" t="s">
        <v>652</v>
      </c>
      <c r="I1105" s="0" t="s">
        <v>5325</v>
      </c>
      <c r="J1105" s="0" t="s">
        <v>5323</v>
      </c>
      <c r="K1105" s="0" t="s">
        <v>175</v>
      </c>
      <c r="L1105" s="0"/>
      <c r="M1105" s="0" t="s">
        <v>5320</v>
      </c>
      <c r="N1105" s="0" t="str">
        <f aca="false">RIGHT(M1105,LEN(M1105)-FIND(" ",M1105))</f>
        <v>HALL ST NW</v>
      </c>
      <c r="P1105" s="0" t="s">
        <v>146</v>
      </c>
      <c r="Q1105" s="0" t="s">
        <v>147</v>
      </c>
      <c r="R1105" s="0" t="n">
        <v>44483</v>
      </c>
      <c r="AD1105" s="0" t="s">
        <v>148</v>
      </c>
      <c r="AE1105" s="0" t="s">
        <v>149</v>
      </c>
      <c r="AF1105" s="0" t="s">
        <v>150</v>
      </c>
      <c r="AH1105" s="0" t="n">
        <v>14</v>
      </c>
      <c r="AI1105" s="0" t="n">
        <v>11</v>
      </c>
      <c r="AN1105" s="0" t="s">
        <v>146</v>
      </c>
      <c r="AO1105" s="0" t="s">
        <v>151</v>
      </c>
      <c r="AP1105" s="0" t="s">
        <v>152</v>
      </c>
      <c r="AQ1105" s="0" t="n">
        <v>9</v>
      </c>
      <c r="AR1105" s="0" t="n">
        <v>64</v>
      </c>
      <c r="AS1105" s="0" t="n">
        <v>32</v>
      </c>
      <c r="AU1105" s="0" t="n">
        <f aca="false">COUNTA($BA$1542:$EH$1542)</f>
        <v>24</v>
      </c>
      <c r="AV1105" s="0" t="n">
        <f aca="false">COUNTIF($BA$1542:$EH$1542,"D")</f>
        <v>3</v>
      </c>
      <c r="AW1105" s="0" t="n">
        <f aca="false">COUNTIF($BA$1542:$EH$1542,"R")</f>
        <v>0</v>
      </c>
      <c r="AX1105" s="0" t="n">
        <f aca="false"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>0</v>
      </c>
      <c r="AY1105" s="0" t="n">
        <f aca="false">COUNTIF(DU1105:EH1105, "&lt;&gt;")</f>
        <v>1</v>
      </c>
      <c r="AZ1105" s="0" t="n">
        <f aca="false">IF(EH1105&lt;&gt;"",1,0)</f>
        <v>0</v>
      </c>
      <c r="BB1105" s="0" t="s">
        <v>153</v>
      </c>
      <c r="EF1105" s="0" t="s">
        <v>154</v>
      </c>
    </row>
    <row r="1106" customFormat="false" ht="13.8" hidden="false" customHeight="false" outlineLevel="0" collapsed="false">
      <c r="A1106" s="0" t="s">
        <v>5326</v>
      </c>
      <c r="B1106" s="0" t="n">
        <v>78</v>
      </c>
      <c r="C1106" s="0" t="n">
        <v>252561</v>
      </c>
      <c r="D1106" s="0" t="s">
        <v>5327</v>
      </c>
      <c r="E1106" s="0" t="s">
        <v>5328</v>
      </c>
      <c r="F1106" s="0" t="str">
        <f aca="false">CONCATENATE(D1106," ",LEFT(H1106,4),"T=",AU1106,"D=",AV1106,"R=",AW1106,"M=",AX1106,"L=",AY1106,"B=",AZ1106)</f>
        <v>LONG JRT=14D=2R=0M=0L=5B=0</v>
      </c>
      <c r="G1106" s="0" t="s">
        <v>155</v>
      </c>
      <c r="H1106" s="0" t="s">
        <v>431</v>
      </c>
      <c r="I1106" s="0" t="s">
        <v>5329</v>
      </c>
      <c r="J1106" s="0" t="s">
        <v>5330</v>
      </c>
      <c r="K1106" s="0" t="s">
        <v>175</v>
      </c>
      <c r="L1106" s="1" t="s">
        <v>176</v>
      </c>
      <c r="M1106" s="0" t="s">
        <v>5320</v>
      </c>
      <c r="N1106" s="0" t="str">
        <f aca="false">RIGHT(M1106,LEN(M1106)-FIND(" ",M1106))</f>
        <v>HALL ST NW</v>
      </c>
      <c r="P1106" s="0" t="s">
        <v>146</v>
      </c>
      <c r="Q1106" s="0" t="s">
        <v>147</v>
      </c>
      <c r="R1106" s="0" t="n">
        <v>44483</v>
      </c>
      <c r="AD1106" s="0" t="s">
        <v>148</v>
      </c>
      <c r="AE1106" s="0" t="s">
        <v>149</v>
      </c>
      <c r="AF1106" s="0" t="s">
        <v>150</v>
      </c>
      <c r="AH1106" s="0" t="n">
        <v>14</v>
      </c>
      <c r="AI1106" s="0" t="n">
        <v>11</v>
      </c>
      <c r="AN1106" s="0" t="s">
        <v>146</v>
      </c>
      <c r="AO1106" s="0" t="s">
        <v>151</v>
      </c>
      <c r="AP1106" s="0" t="s">
        <v>152</v>
      </c>
      <c r="AQ1106" s="0" t="n">
        <v>9</v>
      </c>
      <c r="AR1106" s="0" t="n">
        <v>64</v>
      </c>
      <c r="AS1106" s="0" t="n">
        <v>32</v>
      </c>
      <c r="AU1106" s="0" t="n">
        <f aca="false">COUNTA($BA$1749:$EH$1749)</f>
        <v>14</v>
      </c>
      <c r="AV1106" s="0" t="n">
        <f aca="false">COUNTIF($BA$1749:$EH$1749,"D")</f>
        <v>2</v>
      </c>
      <c r="AW1106" s="0" t="n">
        <f aca="false">COUNTIF($BA$1749:$EH$1749,"R")</f>
        <v>0</v>
      </c>
      <c r="AX1106" s="0" t="n">
        <f aca="false"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>0</v>
      </c>
      <c r="AY1106" s="0" t="n">
        <f aca="false">COUNTIF(DU1106:EH1106, "&lt;&gt;")</f>
        <v>5</v>
      </c>
      <c r="AZ1106" s="0" t="n">
        <f aca="false">IF(EH1106&lt;&gt;"",1,0)</f>
        <v>0</v>
      </c>
      <c r="BB1106" s="0" t="s">
        <v>153</v>
      </c>
      <c r="BD1106" s="0" t="s">
        <v>154</v>
      </c>
      <c r="BL1106" s="0" t="s">
        <v>154</v>
      </c>
      <c r="BS1106" s="0" t="s">
        <v>154</v>
      </c>
      <c r="BT1106" s="0" t="s">
        <v>154</v>
      </c>
      <c r="BY1106" s="0" t="s">
        <v>155</v>
      </c>
      <c r="CA1106" s="0" t="s">
        <v>154</v>
      </c>
      <c r="CG1106" s="0" t="s">
        <v>154</v>
      </c>
      <c r="CK1106" s="0" t="s">
        <v>154</v>
      </c>
      <c r="DC1106" s="0" t="s">
        <v>154</v>
      </c>
      <c r="DL1106" s="0" t="s">
        <v>154</v>
      </c>
      <c r="DN1106" s="0" t="s">
        <v>154</v>
      </c>
      <c r="DR1106" s="0" t="s">
        <v>154</v>
      </c>
      <c r="DS1106" s="0" t="s">
        <v>176</v>
      </c>
      <c r="DU1106" s="0" t="s">
        <v>154</v>
      </c>
      <c r="DX1106" s="0" t="s">
        <v>154</v>
      </c>
      <c r="EA1106" s="0" t="s">
        <v>154</v>
      </c>
      <c r="ED1106" s="0" t="s">
        <v>176</v>
      </c>
      <c r="EF1106" s="0" t="s">
        <v>154</v>
      </c>
    </row>
    <row r="1107" customFormat="false" ht="13.8" hidden="false" customHeight="false" outlineLevel="0" collapsed="false">
      <c r="A1107" s="0" t="s">
        <v>5331</v>
      </c>
      <c r="B1107" s="0" t="n">
        <v>78</v>
      </c>
      <c r="C1107" s="0" t="n">
        <v>384069</v>
      </c>
      <c r="D1107" s="0" t="s">
        <v>5332</v>
      </c>
      <c r="E1107" s="0" t="s">
        <v>4085</v>
      </c>
      <c r="F1107" s="0" t="str">
        <f aca="false">CONCATENATE(D1107," ",LEFT(H1107,4),"T=",AU1107,"D=",AV1107,"R=",AW1107,"M=",AX1107,"L=",AY1107,"B=",AZ1107)</f>
        <v>MIKUSEVICH SOHNGEN T=6D=0R=0M=0L=2B=0</v>
      </c>
      <c r="G1107" s="0" t="s">
        <v>5333</v>
      </c>
      <c r="I1107" s="0" t="s">
        <v>5334</v>
      </c>
      <c r="J1107" s="0" t="s">
        <v>3802</v>
      </c>
      <c r="K1107" s="0" t="s">
        <v>175</v>
      </c>
      <c r="M1107" s="0" t="s">
        <v>5335</v>
      </c>
      <c r="N1107" s="0" t="str">
        <f aca="false">RIGHT(M1107,LEN(M1107)-FIND(" ",M1107))</f>
        <v>HALL ST NW</v>
      </c>
      <c r="P1107" s="0" t="s">
        <v>146</v>
      </c>
      <c r="Q1107" s="0" t="s">
        <v>147</v>
      </c>
      <c r="R1107" s="0" t="n">
        <v>44483</v>
      </c>
      <c r="AD1107" s="0" t="s">
        <v>148</v>
      </c>
      <c r="AE1107" s="0" t="s">
        <v>149</v>
      </c>
      <c r="AF1107" s="0" t="s">
        <v>150</v>
      </c>
      <c r="AH1107" s="0" t="n">
        <v>14</v>
      </c>
      <c r="AI1107" s="0" t="n">
        <v>11</v>
      </c>
      <c r="AN1107" s="0" t="s">
        <v>146</v>
      </c>
      <c r="AO1107" s="0" t="s">
        <v>250</v>
      </c>
      <c r="AP1107" s="0" t="s">
        <v>251</v>
      </c>
      <c r="AQ1107" s="0" t="n">
        <v>9</v>
      </c>
      <c r="AR1107" s="0" t="n">
        <v>64</v>
      </c>
      <c r="AS1107" s="0" t="n">
        <v>32</v>
      </c>
      <c r="AU1107" s="0" t="n">
        <f aca="false">COUNTA($BA$2360:$EH$2360)</f>
        <v>6</v>
      </c>
      <c r="AV1107" s="0" t="n">
        <f aca="false">COUNTIF($BA$2360:$EH$2360,"D")</f>
        <v>0</v>
      </c>
      <c r="AW1107" s="0" t="n">
        <f aca="false">COUNTIF($BA$2360:$EH$2360,"R")</f>
        <v>0</v>
      </c>
      <c r="AX1107" s="0" t="n">
        <f aca="false"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>0</v>
      </c>
      <c r="AY1107" s="0" t="n">
        <f aca="false">COUNTIF(DU1107:EH1107, "&lt;&gt;")</f>
        <v>2</v>
      </c>
      <c r="AZ1107" s="0" t="n">
        <f aca="false">IF(EH1107&lt;&gt;"",1,0)</f>
        <v>0</v>
      </c>
      <c r="BB1107" s="0" t="s">
        <v>153</v>
      </c>
      <c r="CY1107" s="0" t="s">
        <v>154</v>
      </c>
      <c r="DC1107" s="0" t="s">
        <v>154</v>
      </c>
      <c r="DN1107" s="0" t="s">
        <v>154</v>
      </c>
      <c r="EA1107" s="0" t="s">
        <v>154</v>
      </c>
      <c r="EF1107" s="0" t="s">
        <v>154</v>
      </c>
    </row>
    <row r="1108" customFormat="false" ht="13.8" hidden="true" customHeight="false" outlineLevel="0" collapsed="false">
      <c r="A1108" s="0" t="s">
        <v>5336</v>
      </c>
      <c r="B1108" s="0" t="n">
        <v>78</v>
      </c>
      <c r="C1108" s="0" t="n">
        <v>439997</v>
      </c>
      <c r="D1108" s="0" t="s">
        <v>5337</v>
      </c>
      <c r="E1108" s="0" t="s">
        <v>5338</v>
      </c>
      <c r="F1108" s="0" t="str">
        <f aca="false">CONCATENATE(D1108," ",LEFT(H1108,4),"T=",AU1108,"D=",AV1108,"R=",AW1108,"M=",AX1108,"L=",AY1108,"B=",AZ1108)</f>
        <v>KALEUGHER T=9D=1R=0M=0L=0B=0</v>
      </c>
      <c r="G1108" s="0" t="s">
        <v>188</v>
      </c>
      <c r="I1108" s="0" t="s">
        <v>5339</v>
      </c>
      <c r="J1108" s="0" t="s">
        <v>5340</v>
      </c>
      <c r="K1108" s="0" t="s">
        <v>144</v>
      </c>
      <c r="L1108" s="0"/>
      <c r="M1108" s="0" t="s">
        <v>5335</v>
      </c>
      <c r="N1108" s="0" t="str">
        <f aca="false">RIGHT(M1108,LEN(M1108)-FIND(" ",M1108))</f>
        <v>HALL ST NW</v>
      </c>
      <c r="P1108" s="0" t="s">
        <v>146</v>
      </c>
      <c r="Q1108" s="0" t="s">
        <v>147</v>
      </c>
      <c r="R1108" s="0" t="n">
        <v>44483</v>
      </c>
      <c r="AD1108" s="0" t="s">
        <v>148</v>
      </c>
      <c r="AE1108" s="0" t="s">
        <v>149</v>
      </c>
      <c r="AF1108" s="0" t="s">
        <v>150</v>
      </c>
      <c r="AH1108" s="0" t="n">
        <v>14</v>
      </c>
      <c r="AI1108" s="0" t="n">
        <v>11</v>
      </c>
      <c r="AN1108" s="0" t="s">
        <v>146</v>
      </c>
      <c r="AO1108" s="0" t="s">
        <v>250</v>
      </c>
      <c r="AP1108" s="0" t="s">
        <v>251</v>
      </c>
      <c r="AQ1108" s="0" t="n">
        <v>9</v>
      </c>
      <c r="AR1108" s="0" t="n">
        <v>64</v>
      </c>
      <c r="AS1108" s="0" t="n">
        <v>32</v>
      </c>
      <c r="AU1108" s="0" t="n">
        <f aca="false">COUNTA($BA$2513:$EH$2513)</f>
        <v>9</v>
      </c>
      <c r="AV1108" s="0" t="n">
        <f aca="false">COUNTIF($BA$2513:$EH$2513,"D")</f>
        <v>1</v>
      </c>
      <c r="AW1108" s="0" t="n">
        <f aca="false">COUNTIF($BA$2513:$EH$2513,"R")</f>
        <v>0</v>
      </c>
      <c r="AX1108" s="0" t="n">
        <f aca="false"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>0</v>
      </c>
      <c r="AY1108" s="0" t="n">
        <f aca="false">COUNTIF(DU1108:EH1108, "&lt;&gt;")</f>
        <v>0</v>
      </c>
      <c r="AZ1108" s="0" t="n">
        <f aca="false">IF(EH1108&lt;&gt;"",1,0)</f>
        <v>0</v>
      </c>
      <c r="BB1108" s="0" t="s">
        <v>153</v>
      </c>
    </row>
    <row r="1109" customFormat="false" ht="13.8" hidden="true" customHeight="false" outlineLevel="0" collapsed="false">
      <c r="A1109" s="0" t="s">
        <v>5341</v>
      </c>
      <c r="B1109" s="0" t="n">
        <v>78</v>
      </c>
      <c r="C1109" s="0" t="n">
        <v>407914</v>
      </c>
      <c r="D1109" s="0" t="s">
        <v>5231</v>
      </c>
      <c r="E1109" s="0" t="s">
        <v>2033</v>
      </c>
      <c r="F1109" s="0" t="str">
        <f aca="false">CONCATENATE(D1109," ",LEFT(H1109,4),"T=",AU1109,"D=",AV1109,"R=",AW1109,"M=",AX1109,"L=",AY1109,"B=",AZ1109)</f>
        <v>THORNE JRT=2D=0R=0M=0L=0B=0</v>
      </c>
      <c r="G1109" s="0" t="s">
        <v>172</v>
      </c>
      <c r="H1109" s="0" t="s">
        <v>431</v>
      </c>
      <c r="I1109" s="0" t="s">
        <v>5342</v>
      </c>
      <c r="J1109" s="0" t="s">
        <v>228</v>
      </c>
      <c r="K1109" s="0" t="s">
        <v>175</v>
      </c>
      <c r="L1109" s="0"/>
      <c r="M1109" s="0" t="s">
        <v>5343</v>
      </c>
      <c r="N1109" s="0" t="str">
        <f aca="false">RIGHT(M1109,LEN(M1109)-FIND(" ",M1109))</f>
        <v>HALL ST NW</v>
      </c>
      <c r="P1109" s="0" t="s">
        <v>146</v>
      </c>
      <c r="Q1109" s="0" t="s">
        <v>147</v>
      </c>
      <c r="R1109" s="0" t="n">
        <v>44483</v>
      </c>
      <c r="AD1109" s="0" t="s">
        <v>148</v>
      </c>
      <c r="AE1109" s="0" t="s">
        <v>149</v>
      </c>
      <c r="AF1109" s="0" t="s">
        <v>150</v>
      </c>
      <c r="AH1109" s="0" t="n">
        <v>14</v>
      </c>
      <c r="AI1109" s="0" t="n">
        <v>11</v>
      </c>
      <c r="AN1109" s="0" t="s">
        <v>146</v>
      </c>
      <c r="AO1109" s="0" t="s">
        <v>250</v>
      </c>
      <c r="AP1109" s="0" t="s">
        <v>251</v>
      </c>
      <c r="AQ1109" s="0" t="n">
        <v>9</v>
      </c>
      <c r="AR1109" s="0" t="n">
        <v>64</v>
      </c>
      <c r="AS1109" s="0" t="n">
        <v>32</v>
      </c>
      <c r="AU1109" s="0" t="n">
        <f aca="false">COUNTA($BA$2596:$EH$2596)</f>
        <v>2</v>
      </c>
      <c r="AV1109" s="0" t="n">
        <f aca="false">COUNTIF($BA$2596:$EH$2596,"D")</f>
        <v>0</v>
      </c>
      <c r="AW1109" s="0" t="n">
        <f aca="false">COUNTIF($BA$2596:$EH$2596,"R")</f>
        <v>0</v>
      </c>
      <c r="AX1109" s="0" t="n">
        <f aca="false"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>0</v>
      </c>
      <c r="AY1109" s="0" t="n">
        <f aca="false">COUNTIF(DU1109:EH1109, "&lt;&gt;")</f>
        <v>0</v>
      </c>
      <c r="AZ1109" s="0" t="n">
        <f aca="false">IF(EH1109&lt;&gt;"",1,0)</f>
        <v>0</v>
      </c>
      <c r="BB1109" s="0" t="s">
        <v>153</v>
      </c>
    </row>
    <row r="1110" customFormat="false" ht="13.8" hidden="true" customHeight="false" outlineLevel="0" collapsed="false">
      <c r="A1110" s="0" t="s">
        <v>5344</v>
      </c>
      <c r="B1110" s="0" t="n">
        <v>78</v>
      </c>
      <c r="C1110" s="0" t="n">
        <v>417296</v>
      </c>
      <c r="D1110" s="0" t="s">
        <v>1753</v>
      </c>
      <c r="E1110" s="0" t="s">
        <v>429</v>
      </c>
      <c r="F1110" s="0" t="str">
        <f aca="false">CONCATENATE(D1110," ",LEFT(H1110,4),"T=",AU1110,"D=",AV1110,"R=",AW1110,"M=",AX1110,"L=",AY1110,"B=",AZ1110)</f>
        <v>PUTNAM T=2D=0R=0M=0L=0B=0</v>
      </c>
      <c r="G1110" s="0" t="s">
        <v>297</v>
      </c>
      <c r="I1110" s="0" t="s">
        <v>5345</v>
      </c>
      <c r="J1110" s="0" t="s">
        <v>5346</v>
      </c>
      <c r="K1110" s="0" t="s">
        <v>144</v>
      </c>
      <c r="L1110" s="0"/>
      <c r="M1110" s="0" t="s">
        <v>5347</v>
      </c>
      <c r="N1110" s="0" t="str">
        <f aca="false">RIGHT(M1110,LEN(M1110)-FIND(" ",M1110))</f>
        <v>HALL ST NW</v>
      </c>
      <c r="P1110" s="0" t="s">
        <v>146</v>
      </c>
      <c r="Q1110" s="0" t="s">
        <v>147</v>
      </c>
      <c r="R1110" s="0" t="n">
        <v>44483</v>
      </c>
      <c r="AD1110" s="0" t="s">
        <v>148</v>
      </c>
      <c r="AE1110" s="0" t="s">
        <v>149</v>
      </c>
      <c r="AF1110" s="0" t="s">
        <v>150</v>
      </c>
      <c r="AH1110" s="0" t="n">
        <v>14</v>
      </c>
      <c r="AI1110" s="0" t="n">
        <v>11</v>
      </c>
      <c r="AN1110" s="0" t="s">
        <v>146</v>
      </c>
      <c r="AO1110" s="0" t="s">
        <v>151</v>
      </c>
      <c r="AP1110" s="0" t="s">
        <v>152</v>
      </c>
      <c r="AQ1110" s="0" t="n">
        <v>9</v>
      </c>
      <c r="AR1110" s="0" t="n">
        <v>64</v>
      </c>
      <c r="AS1110" s="0" t="n">
        <v>32</v>
      </c>
      <c r="AU1110" s="0" t="n">
        <f aca="false">COUNTA($BA$1844:$EH$1844)</f>
        <v>2</v>
      </c>
      <c r="AV1110" s="0" t="n">
        <f aca="false">COUNTIF($BA$1844:$EH$1844,"D")</f>
        <v>0</v>
      </c>
      <c r="AW1110" s="0" t="n">
        <f aca="false">COUNTIF($BA$1844:$EH$1844,"R")</f>
        <v>0</v>
      </c>
      <c r="AX1110" s="0" t="n">
        <f aca="false"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>0</v>
      </c>
      <c r="AY1110" s="0" t="n">
        <f aca="false">COUNTIF(DU1110:EH1110, "&lt;&gt;")</f>
        <v>0</v>
      </c>
      <c r="AZ1110" s="0" t="n">
        <f aca="false">IF(EH1110&lt;&gt;"",1,0)</f>
        <v>0</v>
      </c>
      <c r="BB1110" s="0" t="s">
        <v>153</v>
      </c>
      <c r="BL1110" s="0" t="s">
        <v>154</v>
      </c>
    </row>
    <row r="1111" customFormat="false" ht="13.8" hidden="true" customHeight="false" outlineLevel="0" collapsed="false">
      <c r="A1111" s="0" t="s">
        <v>5348</v>
      </c>
      <c r="B1111" s="0" t="n">
        <v>78</v>
      </c>
      <c r="C1111" s="0" t="n">
        <v>490648</v>
      </c>
      <c r="D1111" s="0" t="s">
        <v>5349</v>
      </c>
      <c r="E1111" s="0" t="s">
        <v>5350</v>
      </c>
      <c r="F1111" s="0" t="str">
        <f aca="false">CONCATENATE(D1111," ",LEFT(H1111,4),"T=",AU1111,"D=",AV1111,"R=",AW1111,"M=",AX1111,"L=",AY1111,"B=",AZ1111)</f>
        <v>FERNANDEZ T=4D=0R=0M=0L=0B=0</v>
      </c>
      <c r="G1111" s="0" t="s">
        <v>172</v>
      </c>
      <c r="I1111" s="0" t="s">
        <v>5351</v>
      </c>
      <c r="J1111" s="0" t="s">
        <v>4094</v>
      </c>
      <c r="K1111" s="0" t="s">
        <v>144</v>
      </c>
      <c r="L1111" s="0"/>
      <c r="M1111" s="0" t="s">
        <v>5352</v>
      </c>
      <c r="N1111" s="0" t="str">
        <f aca="false">RIGHT(M1111,LEN(M1111)-FIND(" ",M1111))</f>
        <v>HALL ST NW</v>
      </c>
      <c r="P1111" s="0" t="s">
        <v>146</v>
      </c>
      <c r="Q1111" s="0" t="s">
        <v>147</v>
      </c>
      <c r="R1111" s="0" t="n">
        <v>44483</v>
      </c>
      <c r="AD1111" s="0" t="s">
        <v>148</v>
      </c>
      <c r="AE1111" s="0" t="s">
        <v>149</v>
      </c>
      <c r="AF1111" s="0" t="s">
        <v>150</v>
      </c>
      <c r="AH1111" s="0" t="n">
        <v>14</v>
      </c>
      <c r="AI1111" s="0" t="n">
        <v>11</v>
      </c>
      <c r="AN1111" s="0" t="s">
        <v>146</v>
      </c>
      <c r="AO1111" s="0" t="s">
        <v>250</v>
      </c>
      <c r="AP1111" s="0" t="s">
        <v>251</v>
      </c>
      <c r="AQ1111" s="0" t="n">
        <v>9</v>
      </c>
      <c r="AR1111" s="0" t="n">
        <v>64</v>
      </c>
      <c r="AS1111" s="0" t="n">
        <v>32</v>
      </c>
      <c r="AU1111" s="0" t="n">
        <f aca="false">COUNTA($BA$2137:$EH$2137)</f>
        <v>4</v>
      </c>
      <c r="AV1111" s="0" t="n">
        <f aca="false">COUNTIF($BA$2137:$EH$2137,"D")</f>
        <v>0</v>
      </c>
      <c r="AW1111" s="0" t="n">
        <f aca="false">COUNTIF($BA$2137:$EH$2137,"R")</f>
        <v>0</v>
      </c>
      <c r="AX1111" s="0" t="n">
        <f aca="false"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>0</v>
      </c>
      <c r="AY1111" s="0" t="n">
        <f aca="false">COUNTIF(DU1111:EH1111, "&lt;&gt;")</f>
        <v>0</v>
      </c>
      <c r="AZ1111" s="0" t="n">
        <f aca="false">IF(EH1111&lt;&gt;"",1,0)</f>
        <v>0</v>
      </c>
      <c r="BB1111" s="0" t="s">
        <v>153</v>
      </c>
    </row>
    <row r="1112" customFormat="false" ht="13.8" hidden="true" customHeight="false" outlineLevel="0" collapsed="false">
      <c r="A1112" s="0" t="s">
        <v>5353</v>
      </c>
      <c r="B1112" s="0" t="n">
        <v>78</v>
      </c>
      <c r="C1112" s="0" t="n">
        <v>396460</v>
      </c>
      <c r="D1112" s="0" t="s">
        <v>5354</v>
      </c>
      <c r="E1112" s="0" t="s">
        <v>5355</v>
      </c>
      <c r="F1112" s="0" t="str">
        <f aca="false">CONCATENATE(D1112," ",LEFT(H1112,4),"T=",AU1112,"D=",AV1112,"R=",AW1112,"M=",AX1112,"L=",AY1112,"B=",AZ1112)</f>
        <v>STOKES T=13D=0R=0M=0L=0B=0</v>
      </c>
      <c r="G1112" s="0" t="s">
        <v>216</v>
      </c>
      <c r="I1112" s="0" t="s">
        <v>5356</v>
      </c>
      <c r="J1112" s="0" t="s">
        <v>5357</v>
      </c>
      <c r="K1112" s="0" t="s">
        <v>144</v>
      </c>
      <c r="L1112" s="0"/>
      <c r="M1112" s="0" t="s">
        <v>5352</v>
      </c>
      <c r="N1112" s="0" t="str">
        <f aca="false">RIGHT(M1112,LEN(M1112)-FIND(" ",M1112))</f>
        <v>HALL ST NW</v>
      </c>
      <c r="P1112" s="0" t="s">
        <v>146</v>
      </c>
      <c r="Q1112" s="0" t="s">
        <v>147</v>
      </c>
      <c r="R1112" s="0" t="n">
        <v>44483</v>
      </c>
      <c r="AD1112" s="0" t="s">
        <v>148</v>
      </c>
      <c r="AE1112" s="0" t="s">
        <v>149</v>
      </c>
      <c r="AF1112" s="0" t="s">
        <v>150</v>
      </c>
      <c r="AH1112" s="0" t="n">
        <v>14</v>
      </c>
      <c r="AI1112" s="0" t="n">
        <v>11</v>
      </c>
      <c r="AN1112" s="0" t="s">
        <v>146</v>
      </c>
      <c r="AO1112" s="0" t="s">
        <v>250</v>
      </c>
      <c r="AP1112" s="0" t="s">
        <v>251</v>
      </c>
      <c r="AQ1112" s="0" t="n">
        <v>9</v>
      </c>
      <c r="AR1112" s="0" t="n">
        <v>64</v>
      </c>
      <c r="AS1112" s="0" t="n">
        <v>32</v>
      </c>
      <c r="AU1112" s="0" t="n">
        <f aca="false">COUNTA($BA$2507:$EH$2507)</f>
        <v>13</v>
      </c>
      <c r="AV1112" s="0" t="n">
        <f aca="false">COUNTIF($BA$2507:$EH$2507,"D")</f>
        <v>0</v>
      </c>
      <c r="AW1112" s="0" t="n">
        <f aca="false">COUNTIF($BA$2507:$EH$2507,"R")</f>
        <v>0</v>
      </c>
      <c r="AX1112" s="0" t="n">
        <f aca="false"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>0</v>
      </c>
      <c r="AY1112" s="0" t="n">
        <f aca="false">COUNTIF(DU1112:EH1112, "&lt;&gt;")</f>
        <v>0</v>
      </c>
      <c r="AZ1112" s="0" t="n">
        <f aca="false">IF(EH1112&lt;&gt;"",1,0)</f>
        <v>0</v>
      </c>
      <c r="BB1112" s="0" t="s">
        <v>153</v>
      </c>
    </row>
    <row r="1113" customFormat="false" ht="13.8" hidden="false" customHeight="false" outlineLevel="0" collapsed="false">
      <c r="A1113" s="0" t="s">
        <v>5358</v>
      </c>
      <c r="B1113" s="0" t="n">
        <v>78</v>
      </c>
      <c r="C1113" s="0" t="n">
        <v>294240</v>
      </c>
      <c r="D1113" s="0" t="s">
        <v>5354</v>
      </c>
      <c r="E1113" s="0" t="s">
        <v>944</v>
      </c>
      <c r="F1113" s="0" t="str">
        <f aca="false">CONCATENATE(D1113," ",LEFT(H1113,4),"T=",AU1113,"D=",AV1113,"R=",AW1113,"M=",AX1113,"L=",AY1113,"B=",AZ1113)</f>
        <v>STOKES T=35D=5R=1M=0L=4B=0</v>
      </c>
      <c r="G1113" s="0" t="s">
        <v>1482</v>
      </c>
      <c r="I1113" s="0" t="s">
        <v>5359</v>
      </c>
      <c r="J1113" s="0" t="s">
        <v>712</v>
      </c>
      <c r="K1113" s="0" t="s">
        <v>175</v>
      </c>
      <c r="M1113" s="0" t="s">
        <v>5352</v>
      </c>
      <c r="N1113" s="0" t="str">
        <f aca="false">RIGHT(M1113,LEN(M1113)-FIND(" ",M1113))</f>
        <v>HALL ST NW</v>
      </c>
      <c r="P1113" s="0" t="s">
        <v>146</v>
      </c>
      <c r="Q1113" s="0" t="s">
        <v>147</v>
      </c>
      <c r="R1113" s="0" t="n">
        <v>44483</v>
      </c>
      <c r="AD1113" s="0" t="s">
        <v>148</v>
      </c>
      <c r="AE1113" s="0" t="s">
        <v>149</v>
      </c>
      <c r="AF1113" s="0" t="s">
        <v>150</v>
      </c>
      <c r="AH1113" s="0" t="n">
        <v>14</v>
      </c>
      <c r="AI1113" s="0" t="n">
        <v>11</v>
      </c>
      <c r="AN1113" s="0" t="s">
        <v>146</v>
      </c>
      <c r="AO1113" s="0" t="s">
        <v>250</v>
      </c>
      <c r="AP1113" s="0" t="s">
        <v>251</v>
      </c>
      <c r="AQ1113" s="0" t="n">
        <v>9</v>
      </c>
      <c r="AR1113" s="0" t="n">
        <v>64</v>
      </c>
      <c r="AS1113" s="0" t="n">
        <v>32</v>
      </c>
      <c r="AU1113" s="0" t="n">
        <f aca="false">COUNTA($BA$2649:$EH$2649)</f>
        <v>35</v>
      </c>
      <c r="AV1113" s="0" t="n">
        <f aca="false">COUNTIF($BA$2649:$EH$2649,"D")</f>
        <v>5</v>
      </c>
      <c r="AW1113" s="0" t="n">
        <f aca="false">COUNTIF($BA$2649:$EH$2649,"R")</f>
        <v>1</v>
      </c>
      <c r="AX1113" s="0" t="n">
        <f aca="false"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>0</v>
      </c>
      <c r="AY1113" s="0" t="n">
        <f aca="false">COUNTIF(DU1113:EH1113, "&lt;&gt;")</f>
        <v>4</v>
      </c>
      <c r="AZ1113" s="0" t="n">
        <f aca="false">IF(EH1113&lt;&gt;"",1,0)</f>
        <v>0</v>
      </c>
      <c r="BB1113" s="0" t="s">
        <v>153</v>
      </c>
      <c r="BD1113" s="0" t="s">
        <v>154</v>
      </c>
      <c r="BL1113" s="0" t="s">
        <v>154</v>
      </c>
      <c r="BS1113" s="0" t="s">
        <v>154</v>
      </c>
      <c r="BY1113" s="0" t="s">
        <v>155</v>
      </c>
      <c r="CA1113" s="0" t="s">
        <v>154</v>
      </c>
      <c r="CK1113" s="0" t="s">
        <v>154</v>
      </c>
      <c r="CP1113" s="0" t="s">
        <v>154</v>
      </c>
      <c r="CT1113" s="0" t="s">
        <v>154</v>
      </c>
      <c r="CY1113" s="0" t="s">
        <v>154</v>
      </c>
      <c r="CZ1113" s="0" t="s">
        <v>155</v>
      </c>
      <c r="DC1113" s="0" t="s">
        <v>154</v>
      </c>
      <c r="DI1113" s="0" t="s">
        <v>154</v>
      </c>
      <c r="DN1113" s="0" t="s">
        <v>154</v>
      </c>
      <c r="DU1113" s="0" t="s">
        <v>154</v>
      </c>
      <c r="DX1113" s="0" t="s">
        <v>154</v>
      </c>
      <c r="EA1113" s="0" t="s">
        <v>154</v>
      </c>
      <c r="EF1113" s="0" t="s">
        <v>154</v>
      </c>
    </row>
    <row r="1114" customFormat="false" ht="13.8" hidden="true" customHeight="false" outlineLevel="0" collapsed="false">
      <c r="A1114" s="0" t="s">
        <v>5360</v>
      </c>
      <c r="B1114" s="0" t="n">
        <v>78</v>
      </c>
      <c r="C1114" s="0" t="n">
        <v>490646</v>
      </c>
      <c r="D1114" s="0" t="s">
        <v>3235</v>
      </c>
      <c r="E1114" s="0" t="s">
        <v>5361</v>
      </c>
      <c r="F1114" s="0" t="str">
        <f aca="false">CONCATENATE(D1114," ",LEFT(H1114,4),"T=",AU1114,"D=",AV1114,"R=",AW1114,"M=",AX1114,"L=",AY1114,"B=",AZ1114)</f>
        <v>FLORES T=2D=0R=0M=0L=0B=0</v>
      </c>
      <c r="G1114" s="0" t="s">
        <v>172</v>
      </c>
      <c r="I1114" s="0" t="s">
        <v>5362</v>
      </c>
      <c r="J1114" s="0" t="s">
        <v>4094</v>
      </c>
      <c r="K1114" s="0" t="s">
        <v>175</v>
      </c>
      <c r="L1114" s="0"/>
      <c r="M1114" s="0" t="s">
        <v>5352</v>
      </c>
      <c r="N1114" s="0" t="str">
        <f aca="false">RIGHT(M1114,LEN(M1114)-FIND(" ",M1114))</f>
        <v>HALL ST NW</v>
      </c>
      <c r="P1114" s="0" t="s">
        <v>146</v>
      </c>
      <c r="Q1114" s="0" t="s">
        <v>147</v>
      </c>
      <c r="R1114" s="0" t="n">
        <v>44483</v>
      </c>
      <c r="AD1114" s="0" t="s">
        <v>148</v>
      </c>
      <c r="AE1114" s="0" t="s">
        <v>149</v>
      </c>
      <c r="AF1114" s="0" t="s">
        <v>150</v>
      </c>
      <c r="AH1114" s="0" t="n">
        <v>14</v>
      </c>
      <c r="AI1114" s="0" t="n">
        <v>11</v>
      </c>
      <c r="AN1114" s="0" t="s">
        <v>146</v>
      </c>
      <c r="AO1114" s="0" t="s">
        <v>250</v>
      </c>
      <c r="AP1114" s="0" t="s">
        <v>251</v>
      </c>
      <c r="AQ1114" s="0" t="n">
        <v>9</v>
      </c>
      <c r="AR1114" s="0" t="n">
        <v>64</v>
      </c>
      <c r="AS1114" s="0" t="n">
        <v>32</v>
      </c>
      <c r="AU1114" s="0" t="n">
        <f aca="false">COUNTA($BA$2783:$EH$2783)</f>
        <v>2</v>
      </c>
      <c r="AV1114" s="0" t="n">
        <f aca="false">COUNTIF($BA$2783:$EH$2783,"D")</f>
        <v>0</v>
      </c>
      <c r="AW1114" s="0" t="n">
        <f aca="false">COUNTIF($BA$2783:$EH$2783,"R")</f>
        <v>0</v>
      </c>
      <c r="AX1114" s="0" t="n">
        <f aca="false"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>0</v>
      </c>
      <c r="AY1114" s="0" t="n">
        <f aca="false">COUNTIF(DU1114:EH1114, "&lt;&gt;")</f>
        <v>0</v>
      </c>
      <c r="AZ1114" s="0" t="n">
        <f aca="false">IF(EH1114&lt;&gt;"",1,0)</f>
        <v>0</v>
      </c>
      <c r="BB1114" s="0" t="s">
        <v>153</v>
      </c>
    </row>
    <row r="1115" customFormat="false" ht="13.8" hidden="false" customHeight="false" outlineLevel="0" collapsed="false">
      <c r="A1115" s="0" t="s">
        <v>5363</v>
      </c>
      <c r="B1115" s="0" t="n">
        <v>78</v>
      </c>
      <c r="C1115" s="0" t="n">
        <v>3831</v>
      </c>
      <c r="D1115" s="0" t="s">
        <v>5364</v>
      </c>
      <c r="E1115" s="0" t="s">
        <v>2218</v>
      </c>
      <c r="F1115" s="0" t="str">
        <f aca="false">CONCATENATE(D1115," ",LEFT(H1115,4),"T=",AU1115,"D=",AV1115,"R=",AW1115,"M=",AX1115,"L=",AY1115,"B=",AZ1115)</f>
        <v>YENCHOCHIK T=4D=0R=1M=0L=5B=0</v>
      </c>
      <c r="G1115" s="0" t="s">
        <v>172</v>
      </c>
      <c r="I1115" s="0" t="s">
        <v>5365</v>
      </c>
      <c r="J1115" s="0" t="s">
        <v>5366</v>
      </c>
      <c r="K1115" s="0" t="s">
        <v>175</v>
      </c>
      <c r="L1115" s="1" t="s">
        <v>176</v>
      </c>
      <c r="M1115" s="0" t="s">
        <v>5367</v>
      </c>
      <c r="N1115" s="0" t="str">
        <f aca="false">RIGHT(M1115,LEN(M1115)-FIND(" ",M1115))</f>
        <v>HALL ST NW</v>
      </c>
      <c r="P1115" s="0" t="s">
        <v>146</v>
      </c>
      <c r="Q1115" s="0" t="s">
        <v>147</v>
      </c>
      <c r="R1115" s="0" t="n">
        <v>44483</v>
      </c>
      <c r="AD1115" s="0" t="s">
        <v>148</v>
      </c>
      <c r="AE1115" s="0" t="s">
        <v>149</v>
      </c>
      <c r="AF1115" s="0" t="s">
        <v>150</v>
      </c>
      <c r="AH1115" s="0" t="n">
        <v>14</v>
      </c>
      <c r="AI1115" s="0" t="n">
        <v>11</v>
      </c>
      <c r="AN1115" s="0" t="s">
        <v>146</v>
      </c>
      <c r="AO1115" s="0" t="s">
        <v>151</v>
      </c>
      <c r="AP1115" s="0" t="s">
        <v>152</v>
      </c>
      <c r="AQ1115" s="0" t="n">
        <v>9</v>
      </c>
      <c r="AR1115" s="0" t="n">
        <v>64</v>
      </c>
      <c r="AS1115" s="0" t="n">
        <v>32</v>
      </c>
      <c r="AU1115" s="0" t="n">
        <f aca="false">COUNTA($BA$1898:$EH$1898)</f>
        <v>4</v>
      </c>
      <c r="AV1115" s="0" t="n">
        <f aca="false">COUNTIF($BA$1898:$EH$1898,"D")</f>
        <v>0</v>
      </c>
      <c r="AW1115" s="0" t="n">
        <f aca="false">COUNTIF($BA$1898:$EH$1898,"R")</f>
        <v>1</v>
      </c>
      <c r="AX1115" s="0" t="n">
        <f aca="false"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>0</v>
      </c>
      <c r="AY1115" s="0" t="n">
        <f aca="false">COUNTIF(DU1115:EH1115, "&lt;&gt;")</f>
        <v>5</v>
      </c>
      <c r="AZ1115" s="0" t="n">
        <f aca="false">IF(EH1115&lt;&gt;"",1,0)</f>
        <v>0</v>
      </c>
      <c r="BB1115" s="0" t="s">
        <v>153</v>
      </c>
      <c r="BC1115" s="0" t="s">
        <v>154</v>
      </c>
      <c r="BD1115" s="0" t="s">
        <v>154</v>
      </c>
      <c r="BE1115" s="0" t="s">
        <v>154</v>
      </c>
      <c r="BF1115" s="0" t="s">
        <v>154</v>
      </c>
      <c r="BH1115" s="0" t="s">
        <v>154</v>
      </c>
      <c r="BJ1115" s="0" t="s">
        <v>154</v>
      </c>
      <c r="BL1115" s="0" t="s">
        <v>154</v>
      </c>
      <c r="BP1115" s="0" t="s">
        <v>154</v>
      </c>
      <c r="BR1115" s="0" t="s">
        <v>154</v>
      </c>
      <c r="BS1115" s="0" t="s">
        <v>154</v>
      </c>
      <c r="BV1115" s="0" t="s">
        <v>154</v>
      </c>
      <c r="BY1115" s="0" t="s">
        <v>176</v>
      </c>
      <c r="CA1115" s="0" t="s">
        <v>154</v>
      </c>
      <c r="CG1115" s="0" t="s">
        <v>154</v>
      </c>
      <c r="CH1115" s="0" t="s">
        <v>176</v>
      </c>
      <c r="CK1115" s="0" t="s">
        <v>154</v>
      </c>
      <c r="CN1115" s="0" t="s">
        <v>154</v>
      </c>
      <c r="CO1115" s="0" t="s">
        <v>176</v>
      </c>
      <c r="CP1115" s="0" t="s">
        <v>154</v>
      </c>
      <c r="CT1115" s="0" t="s">
        <v>154</v>
      </c>
      <c r="CV1115" s="0" t="s">
        <v>154</v>
      </c>
      <c r="CY1115" s="0" t="s">
        <v>154</v>
      </c>
      <c r="CZ1115" s="0" t="s">
        <v>176</v>
      </c>
      <c r="DC1115" s="0" t="s">
        <v>154</v>
      </c>
      <c r="DI1115" s="0" t="s">
        <v>154</v>
      </c>
      <c r="DL1115" s="0" t="s">
        <v>154</v>
      </c>
      <c r="DN1115" s="0" t="s">
        <v>154</v>
      </c>
      <c r="DR1115" s="0" t="s">
        <v>154</v>
      </c>
      <c r="DS1115" s="0" t="s">
        <v>176</v>
      </c>
      <c r="DT1115" s="0" t="s">
        <v>176</v>
      </c>
      <c r="DU1115" s="0" t="s">
        <v>154</v>
      </c>
      <c r="DX1115" s="0" t="s">
        <v>154</v>
      </c>
      <c r="EA1115" s="0" t="s">
        <v>154</v>
      </c>
      <c r="ED1115" s="0" t="s">
        <v>176</v>
      </c>
      <c r="EF1115" s="0" t="s">
        <v>154</v>
      </c>
    </row>
    <row r="1116" customFormat="false" ht="13.8" hidden="true" customHeight="false" outlineLevel="0" collapsed="false">
      <c r="A1116" s="0" t="s">
        <v>5368</v>
      </c>
      <c r="B1116" s="0" t="n">
        <v>78</v>
      </c>
      <c r="C1116" s="0" t="n">
        <v>408682</v>
      </c>
      <c r="D1116" s="0" t="s">
        <v>5369</v>
      </c>
      <c r="E1116" s="0" t="s">
        <v>471</v>
      </c>
      <c r="F1116" s="0" t="str">
        <f aca="false">CONCATENATE(D1116," ",LEFT(H1116,4),"T=",AU1116,"D=",AV1116,"R=",AW1116,"M=",AX1116,"L=",AY1116,"B=",AZ1116)</f>
        <v>BABB JRT=1D=0R=0M=0L=0B=0</v>
      </c>
      <c r="G1116" s="0" t="s">
        <v>216</v>
      </c>
      <c r="H1116" s="0" t="s">
        <v>431</v>
      </c>
      <c r="I1116" s="0" t="s">
        <v>5370</v>
      </c>
      <c r="J1116" s="0" t="s">
        <v>2975</v>
      </c>
      <c r="K1116" s="0" t="s">
        <v>144</v>
      </c>
      <c r="L1116" s="0"/>
      <c r="M1116" s="0" t="s">
        <v>5371</v>
      </c>
      <c r="N1116" s="0" t="str">
        <f aca="false">RIGHT(M1116,LEN(M1116)-FIND(" ",M1116))</f>
        <v>HALL ST NW</v>
      </c>
      <c r="P1116" s="0" t="s">
        <v>146</v>
      </c>
      <c r="Q1116" s="0" t="s">
        <v>147</v>
      </c>
      <c r="R1116" s="0" t="n">
        <v>44483</v>
      </c>
      <c r="AD1116" s="0" t="s">
        <v>148</v>
      </c>
      <c r="AE1116" s="0" t="s">
        <v>149</v>
      </c>
      <c r="AF1116" s="0" t="s">
        <v>150</v>
      </c>
      <c r="AH1116" s="0" t="n">
        <v>14</v>
      </c>
      <c r="AI1116" s="0" t="n">
        <v>11</v>
      </c>
      <c r="AN1116" s="0" t="s">
        <v>146</v>
      </c>
      <c r="AO1116" s="0" t="s">
        <v>250</v>
      </c>
      <c r="AP1116" s="0" t="s">
        <v>251</v>
      </c>
      <c r="AQ1116" s="0" t="n">
        <v>9</v>
      </c>
      <c r="AR1116" s="0" t="n">
        <v>64</v>
      </c>
      <c r="AS1116" s="0" t="n">
        <v>32</v>
      </c>
      <c r="AU1116" s="0" t="n">
        <f aca="false">COUNTA($BA$2369:$EH$2369)</f>
        <v>1</v>
      </c>
      <c r="AV1116" s="0" t="n">
        <f aca="false">COUNTIF($BA$2369:$EH$2369,"D")</f>
        <v>0</v>
      </c>
      <c r="AW1116" s="0" t="n">
        <f aca="false">COUNTIF($BA$2369:$EH$2369,"R")</f>
        <v>0</v>
      </c>
      <c r="AX1116" s="0" t="n">
        <f aca="false"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>0</v>
      </c>
      <c r="AY1116" s="0" t="n">
        <f aca="false">COUNTIF(DU1116:EH1116, "&lt;&gt;")</f>
        <v>0</v>
      </c>
      <c r="AZ1116" s="0" t="n">
        <f aca="false">IF(EH1116&lt;&gt;"",1,0)</f>
        <v>0</v>
      </c>
      <c r="BB1116" s="0" t="s">
        <v>153</v>
      </c>
    </row>
    <row r="1117" customFormat="false" ht="13.8" hidden="true" customHeight="false" outlineLevel="0" collapsed="false">
      <c r="A1117" s="0" t="s">
        <v>5372</v>
      </c>
      <c r="B1117" s="0" t="n">
        <v>78</v>
      </c>
      <c r="C1117" s="0" t="n">
        <v>322967</v>
      </c>
      <c r="D1117" s="0" t="s">
        <v>5369</v>
      </c>
      <c r="E1117" s="0" t="s">
        <v>2218</v>
      </c>
      <c r="F1117" s="0" t="str">
        <f aca="false">CONCATENATE(D1117," ",LEFT(H1117,4),"T=",AU1117,"D=",AV1117,"R=",AW1117,"M=",AX1117,"L=",AY1117,"B=",AZ1117)</f>
        <v>BABB T=23D=0R=2M=0L=0B=0</v>
      </c>
      <c r="G1117" s="0" t="s">
        <v>895</v>
      </c>
      <c r="I1117" s="0" t="s">
        <v>5373</v>
      </c>
      <c r="J1117" s="0" t="s">
        <v>342</v>
      </c>
      <c r="K1117" s="0" t="s">
        <v>144</v>
      </c>
      <c r="L1117" s="0"/>
      <c r="M1117" s="0" t="s">
        <v>5371</v>
      </c>
      <c r="N1117" s="0" t="str">
        <f aca="false">RIGHT(M1117,LEN(M1117)-FIND(" ",M1117))</f>
        <v>HALL ST NW</v>
      </c>
      <c r="P1117" s="0" t="s">
        <v>146</v>
      </c>
      <c r="Q1117" s="0" t="s">
        <v>147</v>
      </c>
      <c r="R1117" s="0" t="n">
        <v>44483</v>
      </c>
      <c r="AD1117" s="0" t="s">
        <v>148</v>
      </c>
      <c r="AE1117" s="0" t="s">
        <v>149</v>
      </c>
      <c r="AF1117" s="0" t="s">
        <v>150</v>
      </c>
      <c r="AH1117" s="0" t="n">
        <v>14</v>
      </c>
      <c r="AI1117" s="0" t="n">
        <v>11</v>
      </c>
      <c r="AN1117" s="0" t="s">
        <v>146</v>
      </c>
      <c r="AO1117" s="0" t="s">
        <v>250</v>
      </c>
      <c r="AP1117" s="0" t="s">
        <v>251</v>
      </c>
      <c r="AQ1117" s="0" t="n">
        <v>9</v>
      </c>
      <c r="AR1117" s="0" t="n">
        <v>64</v>
      </c>
      <c r="AS1117" s="0" t="n">
        <v>32</v>
      </c>
      <c r="AU1117" s="0" t="n">
        <f aca="false">COUNTA($BA$2559:$EH$2559)</f>
        <v>23</v>
      </c>
      <c r="AV1117" s="0" t="n">
        <f aca="false">COUNTIF($BA$2559:$EH$2559,"D")</f>
        <v>0</v>
      </c>
      <c r="AW1117" s="0" t="n">
        <f aca="false">COUNTIF($BA$2559:$EH$2559,"R")</f>
        <v>2</v>
      </c>
      <c r="AX1117" s="0" t="n">
        <f aca="false"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>0</v>
      </c>
      <c r="AY1117" s="0" t="n">
        <f aca="false">COUNTIF(DU1117:EH1117, "&lt;&gt;")</f>
        <v>0</v>
      </c>
      <c r="AZ1117" s="0" t="n">
        <f aca="false">IF(EH1117&lt;&gt;"",1,0)</f>
        <v>0</v>
      </c>
      <c r="BB1117" s="0" t="s">
        <v>153</v>
      </c>
    </row>
    <row r="1118" customFormat="false" ht="13.8" hidden="true" customHeight="false" outlineLevel="0" collapsed="false">
      <c r="A1118" s="0" t="s">
        <v>5374</v>
      </c>
      <c r="B1118" s="0" t="n">
        <v>78</v>
      </c>
      <c r="C1118" s="0" t="n">
        <v>5545</v>
      </c>
      <c r="D1118" s="0" t="s">
        <v>5375</v>
      </c>
      <c r="E1118" s="0" t="s">
        <v>1573</v>
      </c>
      <c r="F1118" s="0" t="str">
        <f aca="false">CONCATENATE(D1118," ",LEFT(H1118,4),"T=",AU1118,"D=",AV1118,"R=",AW1118,"M=",AX1118,"L=",AY1118,"B=",AZ1118)</f>
        <v>STRICKLAND T=15D=0R=4M=1L=1B=0</v>
      </c>
      <c r="I1118" s="0" t="s">
        <v>5376</v>
      </c>
      <c r="J1118" s="0" t="s">
        <v>5377</v>
      </c>
      <c r="K1118" s="0" t="s">
        <v>175</v>
      </c>
      <c r="L1118" s="0"/>
      <c r="M1118" s="0" t="s">
        <v>5378</v>
      </c>
      <c r="N1118" s="0" t="str">
        <f aca="false">RIGHT(M1118,LEN(M1118)-FIND(" ",M1118))</f>
        <v>HALL ST NW</v>
      </c>
      <c r="P1118" s="0" t="s">
        <v>146</v>
      </c>
      <c r="Q1118" s="0" t="s">
        <v>147</v>
      </c>
      <c r="R1118" s="0" t="n">
        <v>44483</v>
      </c>
      <c r="AD1118" s="0" t="s">
        <v>148</v>
      </c>
      <c r="AE1118" s="0" t="s">
        <v>149</v>
      </c>
      <c r="AF1118" s="0" t="s">
        <v>150</v>
      </c>
      <c r="AH1118" s="0" t="n">
        <v>14</v>
      </c>
      <c r="AI1118" s="0" t="n">
        <v>11</v>
      </c>
      <c r="AN1118" s="0" t="s">
        <v>146</v>
      </c>
      <c r="AO1118" s="0" t="s">
        <v>151</v>
      </c>
      <c r="AP1118" s="0" t="s">
        <v>152</v>
      </c>
      <c r="AQ1118" s="0" t="n">
        <v>9</v>
      </c>
      <c r="AR1118" s="0" t="n">
        <v>64</v>
      </c>
      <c r="AS1118" s="0" t="n">
        <v>32</v>
      </c>
      <c r="AU1118" s="0" t="n">
        <f aca="false">COUNTA($BA$1897:$EH$1897)</f>
        <v>15</v>
      </c>
      <c r="AV1118" s="0" t="n">
        <f aca="false">COUNTIF($BA$1897:$EH$1897,"D")</f>
        <v>0</v>
      </c>
      <c r="AW1118" s="0" t="n">
        <f aca="false">COUNTIF($BA$1897:$EH$1897,"R")</f>
        <v>4</v>
      </c>
      <c r="AX1118" s="0" t="n">
        <f aca="false"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>1</v>
      </c>
      <c r="AY1118" s="0" t="n">
        <f aca="false">COUNTIF(DU1118:EH1118, "&lt;&gt;")</f>
        <v>1</v>
      </c>
      <c r="AZ1118" s="0" t="n">
        <f aca="false">IF(EH1118&lt;&gt;"",1,0)</f>
        <v>0</v>
      </c>
      <c r="BB1118" s="0" t="s">
        <v>153</v>
      </c>
      <c r="BC1118" s="0" t="s">
        <v>154</v>
      </c>
      <c r="BD1118" s="0" t="s">
        <v>154</v>
      </c>
      <c r="BH1118" s="0" t="s">
        <v>154</v>
      </c>
      <c r="BJ1118" s="0" t="s">
        <v>154</v>
      </c>
      <c r="BK1118" s="0" t="s">
        <v>154</v>
      </c>
      <c r="BL1118" s="0" t="s">
        <v>154</v>
      </c>
      <c r="CA1118" s="0" t="s">
        <v>154</v>
      </c>
      <c r="CG1118" s="0" t="s">
        <v>154</v>
      </c>
      <c r="CK1118" s="0" t="s">
        <v>154</v>
      </c>
      <c r="CL1118" s="0" t="s">
        <v>155</v>
      </c>
      <c r="CP1118" s="0" t="s">
        <v>154</v>
      </c>
      <c r="DC1118" s="0" t="s">
        <v>154</v>
      </c>
      <c r="DI1118" s="0" t="s">
        <v>154</v>
      </c>
      <c r="DN1118" s="0" t="s">
        <v>154</v>
      </c>
      <c r="DU1118" s="0" t="s">
        <v>154</v>
      </c>
    </row>
    <row r="1119" customFormat="false" ht="13.8" hidden="true" customHeight="false" outlineLevel="0" collapsed="false">
      <c r="A1119" s="0" t="s">
        <v>5379</v>
      </c>
      <c r="B1119" s="0" t="n">
        <v>78</v>
      </c>
      <c r="C1119" s="0" t="n">
        <v>440760</v>
      </c>
      <c r="D1119" s="0" t="s">
        <v>5380</v>
      </c>
      <c r="E1119" s="0" t="s">
        <v>1232</v>
      </c>
      <c r="F1119" s="0" t="str">
        <f aca="false">CONCATENATE(D1119," ",LEFT(H1119,4),"T=",AU1119,"D=",AV1119,"R=",AW1119,"M=",AX1119,"L=",AY1119,"B=",AZ1119)</f>
        <v>SACCO T=2D=0R=0M=0L=0B=0</v>
      </c>
      <c r="G1119" s="0" t="s">
        <v>241</v>
      </c>
      <c r="I1119" s="0" t="s">
        <v>5381</v>
      </c>
      <c r="J1119" s="0" t="s">
        <v>5382</v>
      </c>
      <c r="K1119" s="0" t="s">
        <v>144</v>
      </c>
      <c r="L1119" s="0"/>
      <c r="M1119" s="0" t="s">
        <v>5383</v>
      </c>
      <c r="N1119" s="0" t="str">
        <f aca="false">RIGHT(M1119,LEN(M1119)-FIND(" ",M1119))</f>
        <v>HALL ST NW</v>
      </c>
      <c r="P1119" s="0" t="s">
        <v>146</v>
      </c>
      <c r="Q1119" s="0" t="s">
        <v>147</v>
      </c>
      <c r="R1119" s="0" t="n">
        <v>44483</v>
      </c>
      <c r="AD1119" s="0" t="s">
        <v>148</v>
      </c>
      <c r="AE1119" s="0" t="s">
        <v>149</v>
      </c>
      <c r="AF1119" s="0" t="s">
        <v>150</v>
      </c>
      <c r="AH1119" s="0" t="n">
        <v>14</v>
      </c>
      <c r="AI1119" s="0" t="n">
        <v>11</v>
      </c>
      <c r="AN1119" s="0" t="s">
        <v>146</v>
      </c>
      <c r="AO1119" s="0" t="s">
        <v>250</v>
      </c>
      <c r="AP1119" s="0" t="s">
        <v>251</v>
      </c>
      <c r="AQ1119" s="0" t="n">
        <v>9</v>
      </c>
      <c r="AR1119" s="0" t="n">
        <v>64</v>
      </c>
      <c r="AS1119" s="0" t="n">
        <v>32</v>
      </c>
      <c r="AU1119" s="0" t="n">
        <f aca="false">COUNTA($BA$2152:$EH$2152)</f>
        <v>2</v>
      </c>
      <c r="AV1119" s="0" t="n">
        <f aca="false">COUNTIF($BA$2152:$EH$2152,"D")</f>
        <v>0</v>
      </c>
      <c r="AW1119" s="0" t="n">
        <f aca="false">COUNTIF($BA$2152:$EH$2152,"R")</f>
        <v>0</v>
      </c>
      <c r="AX1119" s="0" t="n">
        <f aca="false"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>0</v>
      </c>
      <c r="AY1119" s="0" t="n">
        <f aca="false">COUNTIF(DU1119:EH1119, "&lt;&gt;")</f>
        <v>0</v>
      </c>
      <c r="AZ1119" s="0" t="n">
        <f aca="false">IF(EH1119&lt;&gt;"",1,0)</f>
        <v>0</v>
      </c>
      <c r="BB1119" s="0" t="s">
        <v>153</v>
      </c>
      <c r="BD1119" s="0" t="s">
        <v>154</v>
      </c>
      <c r="BL1119" s="0" t="s">
        <v>154</v>
      </c>
      <c r="BP1119" s="0" t="s">
        <v>154</v>
      </c>
      <c r="BR1119" s="0" t="s">
        <v>154</v>
      </c>
      <c r="BS1119" s="0" t="s">
        <v>154</v>
      </c>
      <c r="BY1119" s="0" t="s">
        <v>155</v>
      </c>
      <c r="CA1119" s="0" t="s">
        <v>154</v>
      </c>
    </row>
    <row r="1120" customFormat="false" ht="13.8" hidden="true" customHeight="false" outlineLevel="0" collapsed="false">
      <c r="A1120" s="0" t="s">
        <v>5384</v>
      </c>
      <c r="B1120" s="0" t="n">
        <v>78</v>
      </c>
      <c r="C1120" s="0" t="n">
        <v>412585</v>
      </c>
      <c r="D1120" s="0" t="s">
        <v>1152</v>
      </c>
      <c r="E1120" s="0" t="s">
        <v>5385</v>
      </c>
      <c r="F1120" s="0" t="str">
        <f aca="false">CONCATENATE(D1120," ",LEFT(H1120,4),"T=",AU1120,"D=",AV1120,"R=",AW1120,"M=",AX1120,"L=",AY1120,"B=",AZ1120)</f>
        <v>SHAVER T=20D=5R=0M=0L=0B=0</v>
      </c>
      <c r="G1120" s="0" t="s">
        <v>5386</v>
      </c>
      <c r="I1120" s="0" t="s">
        <v>5387</v>
      </c>
      <c r="J1120" s="0" t="s">
        <v>5388</v>
      </c>
      <c r="K1120" s="0" t="s">
        <v>175</v>
      </c>
      <c r="L1120" s="0"/>
      <c r="M1120" s="0" t="s">
        <v>5389</v>
      </c>
      <c r="N1120" s="0" t="str">
        <f aca="false">RIGHT(M1120,LEN(M1120)-FIND(" ",M1120))</f>
        <v>HALL ST NW</v>
      </c>
      <c r="P1120" s="0" t="s">
        <v>146</v>
      </c>
      <c r="Q1120" s="0" t="s">
        <v>147</v>
      </c>
      <c r="R1120" s="0" t="n">
        <v>44483</v>
      </c>
      <c r="AD1120" s="0" t="s">
        <v>148</v>
      </c>
      <c r="AE1120" s="0" t="s">
        <v>149</v>
      </c>
      <c r="AF1120" s="0" t="s">
        <v>150</v>
      </c>
      <c r="AH1120" s="0" t="n">
        <v>14</v>
      </c>
      <c r="AI1120" s="0" t="n">
        <v>11</v>
      </c>
      <c r="AN1120" s="0" t="s">
        <v>146</v>
      </c>
      <c r="AO1120" s="0" t="s">
        <v>250</v>
      </c>
      <c r="AP1120" s="0" t="s">
        <v>251</v>
      </c>
      <c r="AQ1120" s="0" t="n">
        <v>9</v>
      </c>
      <c r="AR1120" s="0" t="n">
        <v>64</v>
      </c>
      <c r="AS1120" s="0" t="n">
        <v>32</v>
      </c>
      <c r="AU1120" s="0" t="n">
        <f aca="false">COUNTA($BA$2122:$EH$2122)</f>
        <v>20</v>
      </c>
      <c r="AV1120" s="0" t="n">
        <f aca="false">COUNTIF($BA$2122:$EH$2122,"D")</f>
        <v>5</v>
      </c>
      <c r="AW1120" s="0" t="n">
        <f aca="false">COUNTIF($BA$2122:$EH$2122,"R")</f>
        <v>0</v>
      </c>
      <c r="AX1120" s="0" t="n">
        <f aca="false"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>0</v>
      </c>
      <c r="AY1120" s="0" t="n">
        <f aca="false">COUNTIF(DU1120:EH1120, "&lt;&gt;")</f>
        <v>0</v>
      </c>
      <c r="AZ1120" s="0" t="n">
        <f aca="false">IF(EH1120&lt;&gt;"",1,0)</f>
        <v>0</v>
      </c>
      <c r="BB1120" s="0" t="s">
        <v>153</v>
      </c>
      <c r="DC1120" s="0" t="s">
        <v>154</v>
      </c>
      <c r="DI1120" s="0" t="s">
        <v>154</v>
      </c>
      <c r="DN1120" s="0" t="s">
        <v>154</v>
      </c>
    </row>
    <row r="1121" customFormat="false" ht="13.8" hidden="true" customHeight="false" outlineLevel="0" collapsed="false">
      <c r="A1121" s="0" t="s">
        <v>5390</v>
      </c>
      <c r="B1121" s="0" t="n">
        <v>78</v>
      </c>
      <c r="C1121" s="0" t="n">
        <v>334240</v>
      </c>
      <c r="D1121" s="0" t="s">
        <v>453</v>
      </c>
      <c r="E1121" s="0" t="s">
        <v>5391</v>
      </c>
      <c r="F1121" s="0" t="str">
        <f aca="false">CONCATENATE(D1121," ",LEFT(H1121,4),"T=",AU1121,"D=",AV1121,"R=",AW1121,"M=",AX1121,"L=",AY1121,"B=",AZ1121)</f>
        <v>YOUNG T=8D=1R=0M=0L=0B=0</v>
      </c>
      <c r="G1121" s="0" t="s">
        <v>5392</v>
      </c>
      <c r="I1121" s="0" t="s">
        <v>5393</v>
      </c>
      <c r="J1121" s="0" t="s">
        <v>5394</v>
      </c>
      <c r="K1121" s="0" t="s">
        <v>144</v>
      </c>
      <c r="L1121" s="0"/>
      <c r="M1121" s="0" t="s">
        <v>5389</v>
      </c>
      <c r="N1121" s="0" t="str">
        <f aca="false">RIGHT(M1121,LEN(M1121)-FIND(" ",M1121))</f>
        <v>HALL ST NW</v>
      </c>
      <c r="P1121" s="0" t="s">
        <v>146</v>
      </c>
      <c r="Q1121" s="0" t="s">
        <v>147</v>
      </c>
      <c r="R1121" s="0" t="n">
        <v>44483</v>
      </c>
      <c r="AD1121" s="0" t="s">
        <v>148</v>
      </c>
      <c r="AE1121" s="0" t="s">
        <v>149</v>
      </c>
      <c r="AF1121" s="0" t="s">
        <v>150</v>
      </c>
      <c r="AH1121" s="0" t="n">
        <v>14</v>
      </c>
      <c r="AI1121" s="0" t="n">
        <v>11</v>
      </c>
      <c r="AN1121" s="0" t="s">
        <v>146</v>
      </c>
      <c r="AO1121" s="0" t="s">
        <v>250</v>
      </c>
      <c r="AP1121" s="0" t="s">
        <v>251</v>
      </c>
      <c r="AQ1121" s="0" t="n">
        <v>9</v>
      </c>
      <c r="AR1121" s="0" t="n">
        <v>64</v>
      </c>
      <c r="AS1121" s="0" t="n">
        <v>32</v>
      </c>
      <c r="AU1121" s="0" t="n">
        <f aca="false">COUNTA($BA$2268:$EH$2268)</f>
        <v>8</v>
      </c>
      <c r="AV1121" s="0" t="n">
        <f aca="false">COUNTIF($BA$2268:$EH$2268,"D")</f>
        <v>1</v>
      </c>
      <c r="AW1121" s="0" t="n">
        <f aca="false">COUNTIF($BA$2268:$EH$2268,"R")</f>
        <v>0</v>
      </c>
      <c r="AX1121" s="0" t="n">
        <f aca="false"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>0</v>
      </c>
      <c r="AY1121" s="0" t="n">
        <f aca="false">COUNTIF(DU1121:EH1121, "&lt;&gt;")</f>
        <v>0</v>
      </c>
      <c r="AZ1121" s="0" t="n">
        <f aca="false">IF(EH1121&lt;&gt;"",1,0)</f>
        <v>0</v>
      </c>
      <c r="BB1121" s="0" t="s">
        <v>153</v>
      </c>
      <c r="BL1121" s="0" t="s">
        <v>154</v>
      </c>
      <c r="CA1121" s="0" t="s">
        <v>154</v>
      </c>
      <c r="CP1121" s="0" t="s">
        <v>154</v>
      </c>
      <c r="DN1121" s="0" t="s">
        <v>154</v>
      </c>
    </row>
    <row r="1122" customFormat="false" ht="13.8" hidden="false" customHeight="false" outlineLevel="0" collapsed="false">
      <c r="A1122" s="0" t="s">
        <v>5395</v>
      </c>
      <c r="B1122" s="0" t="n">
        <v>78</v>
      </c>
      <c r="C1122" s="0" t="n">
        <v>286272</v>
      </c>
      <c r="D1122" s="0" t="s">
        <v>5396</v>
      </c>
      <c r="E1122" s="0" t="s">
        <v>5397</v>
      </c>
      <c r="F1122" s="0" t="str">
        <f aca="false">CONCATENATE(D1122," ",LEFT(H1122,4),"T=",AU1122,"D=",AV1122,"R=",AW1122,"M=",AX1122,"L=",AY1122,"B=",AZ1122)</f>
        <v>TANNER T=38D=11R=0M=0L=3B=0</v>
      </c>
      <c r="G1122" s="0" t="s">
        <v>3334</v>
      </c>
      <c r="I1122" s="0" t="s">
        <v>5398</v>
      </c>
      <c r="J1122" s="0" t="s">
        <v>5399</v>
      </c>
      <c r="K1122" s="0" t="s">
        <v>175</v>
      </c>
      <c r="L1122" s="1" t="s">
        <v>155</v>
      </c>
      <c r="M1122" s="0" t="s">
        <v>5400</v>
      </c>
      <c r="N1122" s="0" t="str">
        <f aca="false">RIGHT(M1122,LEN(M1122)-FIND(" ",M1122))</f>
        <v>HALL ST NW</v>
      </c>
      <c r="P1122" s="0" t="s">
        <v>146</v>
      </c>
      <c r="Q1122" s="0" t="s">
        <v>147</v>
      </c>
      <c r="R1122" s="0" t="n">
        <v>44483</v>
      </c>
      <c r="AD1122" s="0" t="s">
        <v>148</v>
      </c>
      <c r="AE1122" s="0" t="s">
        <v>149</v>
      </c>
      <c r="AF1122" s="0" t="s">
        <v>150</v>
      </c>
      <c r="AH1122" s="0" t="n">
        <v>14</v>
      </c>
      <c r="AI1122" s="0" t="n">
        <v>11</v>
      </c>
      <c r="AN1122" s="0" t="s">
        <v>146</v>
      </c>
      <c r="AO1122" s="0" t="s">
        <v>250</v>
      </c>
      <c r="AP1122" s="0" t="s">
        <v>251</v>
      </c>
      <c r="AQ1122" s="0" t="n">
        <v>9</v>
      </c>
      <c r="AR1122" s="0" t="n">
        <v>64</v>
      </c>
      <c r="AS1122" s="0" t="n">
        <v>32</v>
      </c>
      <c r="AU1122" s="0" t="n">
        <f aca="false">COUNTA($BA$2230:$EH$2230)</f>
        <v>38</v>
      </c>
      <c r="AV1122" s="0" t="n">
        <f aca="false">COUNTIF($BA$2230:$EH$2230,"D")</f>
        <v>11</v>
      </c>
      <c r="AW1122" s="0" t="n">
        <f aca="false">COUNTIF($BA$2230:$EH$2230,"R")</f>
        <v>0</v>
      </c>
      <c r="AX1122" s="0" t="n">
        <f aca="false"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>0</v>
      </c>
      <c r="AY1122" s="0" t="n">
        <f aca="false">COUNTIF(DU1122:EH1122, "&lt;&gt;")</f>
        <v>3</v>
      </c>
      <c r="AZ1122" s="0" t="n">
        <f aca="false">IF(EH1122&lt;&gt;"",1,0)</f>
        <v>0</v>
      </c>
      <c r="BB1122" s="0" t="s">
        <v>153</v>
      </c>
      <c r="BD1122" s="0" t="s">
        <v>154</v>
      </c>
      <c r="BH1122" s="0" t="s">
        <v>154</v>
      </c>
      <c r="BI1122" s="0" t="s">
        <v>154</v>
      </c>
      <c r="BJ1122" s="0" t="s">
        <v>154</v>
      </c>
      <c r="BK1122" s="0" t="s">
        <v>154</v>
      </c>
      <c r="BL1122" s="0" t="s">
        <v>154</v>
      </c>
      <c r="BP1122" s="0" t="s">
        <v>154</v>
      </c>
      <c r="BS1122" s="0" t="s">
        <v>154</v>
      </c>
      <c r="BY1122" s="0" t="s">
        <v>155</v>
      </c>
      <c r="CA1122" s="0" t="s">
        <v>154</v>
      </c>
      <c r="CG1122" s="0" t="s">
        <v>154</v>
      </c>
      <c r="CK1122" s="0" t="s">
        <v>154</v>
      </c>
      <c r="CN1122" s="0" t="s">
        <v>154</v>
      </c>
      <c r="CP1122" s="0" t="s">
        <v>154</v>
      </c>
      <c r="CT1122" s="0" t="s">
        <v>154</v>
      </c>
      <c r="CY1122" s="0" t="s">
        <v>154</v>
      </c>
      <c r="CZ1122" s="0" t="s">
        <v>155</v>
      </c>
      <c r="DC1122" s="0" t="s">
        <v>154</v>
      </c>
      <c r="DF1122" s="0" t="s">
        <v>154</v>
      </c>
      <c r="DI1122" s="0" t="s">
        <v>154</v>
      </c>
      <c r="DL1122" s="0" t="s">
        <v>154</v>
      </c>
      <c r="DN1122" s="0" t="s">
        <v>154</v>
      </c>
      <c r="DS1122" s="0" t="s">
        <v>155</v>
      </c>
      <c r="DU1122" s="0" t="s">
        <v>154</v>
      </c>
      <c r="EA1122" s="0" t="s">
        <v>154</v>
      </c>
      <c r="EF1122" s="0" t="s">
        <v>154</v>
      </c>
    </row>
    <row r="1123" customFormat="false" ht="13.8" hidden="true" customHeight="false" outlineLevel="0" collapsed="false">
      <c r="A1123" s="0" t="s">
        <v>5401</v>
      </c>
      <c r="B1123" s="0" t="n">
        <v>78</v>
      </c>
      <c r="C1123" s="0" t="n">
        <v>422906</v>
      </c>
      <c r="D1123" s="0" t="s">
        <v>5396</v>
      </c>
      <c r="E1123" s="0" t="s">
        <v>750</v>
      </c>
      <c r="F1123" s="0" t="str">
        <f aca="false">CONCATENATE(D1123," ",LEFT(H1123,4),"T=",AU1123,"D=",AV1123,"R=",AW1123,"M=",AX1123,"L=",AY1123,"B=",AZ1123)</f>
        <v>TANNER T=14D=2R=0M=0L=0B=0</v>
      </c>
      <c r="G1123" s="0" t="s">
        <v>176</v>
      </c>
      <c r="I1123" s="0" t="s">
        <v>5402</v>
      </c>
      <c r="J1123" s="0" t="s">
        <v>5403</v>
      </c>
      <c r="K1123" s="0" t="s">
        <v>144</v>
      </c>
      <c r="L1123" s="0"/>
      <c r="M1123" s="0" t="s">
        <v>5400</v>
      </c>
      <c r="N1123" s="0" t="str">
        <f aca="false">RIGHT(M1123,LEN(M1123)-FIND(" ",M1123))</f>
        <v>HALL ST NW</v>
      </c>
      <c r="P1123" s="0" t="s">
        <v>146</v>
      </c>
      <c r="Q1123" s="0" t="s">
        <v>147</v>
      </c>
      <c r="R1123" s="0" t="n">
        <v>44483</v>
      </c>
      <c r="AD1123" s="0" t="s">
        <v>148</v>
      </c>
      <c r="AE1123" s="0" t="s">
        <v>149</v>
      </c>
      <c r="AF1123" s="0" t="s">
        <v>150</v>
      </c>
      <c r="AH1123" s="0" t="n">
        <v>14</v>
      </c>
      <c r="AI1123" s="0" t="n">
        <v>11</v>
      </c>
      <c r="AN1123" s="0" t="s">
        <v>146</v>
      </c>
      <c r="AO1123" s="0" t="s">
        <v>250</v>
      </c>
      <c r="AP1123" s="0" t="s">
        <v>251</v>
      </c>
      <c r="AQ1123" s="0" t="n">
        <v>9</v>
      </c>
      <c r="AR1123" s="0" t="n">
        <v>64</v>
      </c>
      <c r="AS1123" s="0" t="n">
        <v>32</v>
      </c>
      <c r="AU1123" s="0" t="n">
        <f aca="false">COUNTA($BA$2681:$EH$2681)</f>
        <v>14</v>
      </c>
      <c r="AV1123" s="0" t="n">
        <f aca="false">COUNTIF($BA$2681:$EH$2681,"D")</f>
        <v>2</v>
      </c>
      <c r="AW1123" s="0" t="n">
        <f aca="false">COUNTIF($BA$2681:$EH$2681,"R")</f>
        <v>0</v>
      </c>
      <c r="AX1123" s="0" t="n">
        <f aca="false"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>0</v>
      </c>
      <c r="AY1123" s="0" t="n">
        <f aca="false">COUNTIF(DU1123:EH1123, "&lt;&gt;")</f>
        <v>0</v>
      </c>
      <c r="AZ1123" s="0" t="n">
        <f aca="false">IF(EH1123&lt;&gt;"",1,0)</f>
        <v>0</v>
      </c>
      <c r="BB1123" s="0" t="s">
        <v>153</v>
      </c>
      <c r="CA1123" s="0" t="s">
        <v>154</v>
      </c>
      <c r="DC1123" s="0" t="s">
        <v>154</v>
      </c>
    </row>
    <row r="1124" customFormat="false" ht="13.8" hidden="true" customHeight="false" outlineLevel="0" collapsed="false">
      <c r="A1124" s="0" t="s">
        <v>5404</v>
      </c>
      <c r="B1124" s="0" t="n">
        <v>78</v>
      </c>
      <c r="C1124" s="0" t="n">
        <v>478583</v>
      </c>
      <c r="D1124" s="0" t="s">
        <v>1011</v>
      </c>
      <c r="E1124" s="0" t="s">
        <v>689</v>
      </c>
      <c r="F1124" s="0" t="str">
        <f aca="false">CONCATENATE(D1124," ",LEFT(H1124,4),"T=",AU1124,"D=",AV1124,"R=",AW1124,"M=",AX1124,"L=",AY1124,"B=",AZ1124)</f>
        <v>DAVIS T=2D=0R=0M=0L=0B=0</v>
      </c>
      <c r="G1124" s="0" t="s">
        <v>1068</v>
      </c>
      <c r="I1124" s="0" t="s">
        <v>5405</v>
      </c>
      <c r="J1124" s="0" t="s">
        <v>5406</v>
      </c>
      <c r="K1124" s="0" t="s">
        <v>175</v>
      </c>
      <c r="L1124" s="0"/>
      <c r="M1124" s="0" t="s">
        <v>5407</v>
      </c>
      <c r="N1124" s="0" t="str">
        <f aca="false">RIGHT(M1124,LEN(M1124)-FIND(" ",M1124))</f>
        <v>HALL ST NW</v>
      </c>
      <c r="P1124" s="0" t="s">
        <v>146</v>
      </c>
      <c r="Q1124" s="0" t="s">
        <v>147</v>
      </c>
      <c r="R1124" s="0" t="n">
        <v>44483</v>
      </c>
      <c r="AD1124" s="0" t="s">
        <v>148</v>
      </c>
      <c r="AE1124" s="0" t="s">
        <v>149</v>
      </c>
      <c r="AF1124" s="0" t="s">
        <v>150</v>
      </c>
      <c r="AH1124" s="0" t="n">
        <v>14</v>
      </c>
      <c r="AI1124" s="0" t="n">
        <v>11</v>
      </c>
      <c r="AN1124" s="0" t="s">
        <v>146</v>
      </c>
      <c r="AO1124" s="0" t="s">
        <v>151</v>
      </c>
      <c r="AP1124" s="0" t="s">
        <v>152</v>
      </c>
      <c r="AQ1124" s="0" t="n">
        <v>9</v>
      </c>
      <c r="AR1124" s="0" t="n">
        <v>64</v>
      </c>
      <c r="AS1124" s="0" t="n">
        <v>32</v>
      </c>
      <c r="AU1124" s="0" t="n">
        <f aca="false">COUNTA($BA$1128:$EH$1128)</f>
        <v>2</v>
      </c>
      <c r="AV1124" s="0" t="n">
        <f aca="false">COUNTIF($BA$1128:$EH$1128,"D")</f>
        <v>0</v>
      </c>
      <c r="AW1124" s="0" t="n">
        <f aca="false">COUNTIF($BA$1128:$EH$1128,"R")</f>
        <v>0</v>
      </c>
      <c r="AX1124" s="0" t="n">
        <f aca="false"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>0</v>
      </c>
      <c r="AY1124" s="0" t="n">
        <f aca="false">COUNTIF(DU1124:EH1124, "&lt;&gt;")</f>
        <v>0</v>
      </c>
      <c r="AZ1124" s="0" t="n">
        <f aca="false">IF(EH1124&lt;&gt;"",1,0)</f>
        <v>0</v>
      </c>
      <c r="BB1124" s="0" t="s">
        <v>153</v>
      </c>
      <c r="CP1124" s="0" t="s">
        <v>154</v>
      </c>
      <c r="CY1124" s="0" t="s">
        <v>154</v>
      </c>
    </row>
    <row r="1125" customFormat="false" ht="13.8" hidden="true" customHeight="false" outlineLevel="0" collapsed="false">
      <c r="A1125" s="0" t="s">
        <v>5408</v>
      </c>
      <c r="B1125" s="0" t="n">
        <v>78</v>
      </c>
      <c r="C1125" s="0" t="n">
        <v>386822</v>
      </c>
      <c r="D1125" s="0" t="s">
        <v>3559</v>
      </c>
      <c r="E1125" s="0" t="s">
        <v>1640</v>
      </c>
      <c r="F1125" s="0" t="str">
        <f aca="false">CONCATENATE(D1125," ",LEFT(H1125,4),"T=",AU1125,"D=",AV1125,"R=",AW1125,"M=",AX1125,"L=",AY1125,"B=",AZ1125)</f>
        <v>RICHARDSON T=23D=4R=0M=0L=0B=0</v>
      </c>
      <c r="G1125" s="0" t="s">
        <v>429</v>
      </c>
      <c r="I1125" s="0" t="s">
        <v>5409</v>
      </c>
      <c r="J1125" s="0" t="s">
        <v>4780</v>
      </c>
      <c r="K1125" s="0" t="s">
        <v>144</v>
      </c>
      <c r="L1125" s="0"/>
      <c r="M1125" s="0" t="s">
        <v>5407</v>
      </c>
      <c r="N1125" s="0" t="str">
        <f aca="false">RIGHT(M1125,LEN(M1125)-FIND(" ",M1125))</f>
        <v>HALL ST NW</v>
      </c>
      <c r="P1125" s="0" t="s">
        <v>146</v>
      </c>
      <c r="Q1125" s="0" t="s">
        <v>147</v>
      </c>
      <c r="R1125" s="0" t="n">
        <v>44483</v>
      </c>
      <c r="AD1125" s="0" t="s">
        <v>148</v>
      </c>
      <c r="AE1125" s="0" t="s">
        <v>149</v>
      </c>
      <c r="AF1125" s="0" t="s">
        <v>150</v>
      </c>
      <c r="AH1125" s="0" t="n">
        <v>14</v>
      </c>
      <c r="AI1125" s="0" t="n">
        <v>11</v>
      </c>
      <c r="AN1125" s="0" t="s">
        <v>146</v>
      </c>
      <c r="AO1125" s="0" t="s">
        <v>151</v>
      </c>
      <c r="AP1125" s="0" t="s">
        <v>152</v>
      </c>
      <c r="AQ1125" s="0" t="n">
        <v>9</v>
      </c>
      <c r="AR1125" s="0" t="n">
        <v>64</v>
      </c>
      <c r="AS1125" s="0" t="n">
        <v>32</v>
      </c>
      <c r="AU1125" s="0" t="n">
        <f aca="false">COUNTA($BA$1563:$EH$1563)</f>
        <v>23</v>
      </c>
      <c r="AV1125" s="0" t="n">
        <f aca="false">COUNTIF($BA$1563:$EH$1563,"D")</f>
        <v>4</v>
      </c>
      <c r="AW1125" s="0" t="n">
        <f aca="false">COUNTIF($BA$1563:$EH$1563,"R")</f>
        <v>0</v>
      </c>
      <c r="AX1125" s="0" t="n">
        <f aca="false"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>0</v>
      </c>
      <c r="AY1125" s="0" t="n">
        <f aca="false">COUNTIF(DU1125:EH1125, "&lt;&gt;")</f>
        <v>0</v>
      </c>
      <c r="AZ1125" s="0" t="n">
        <f aca="false">IF(EH1125&lt;&gt;"",1,0)</f>
        <v>0</v>
      </c>
      <c r="BB1125" s="0" t="s">
        <v>153</v>
      </c>
      <c r="CP1125" s="0" t="s">
        <v>154</v>
      </c>
    </row>
    <row r="1126" customFormat="false" ht="13.8" hidden="true" customHeight="false" outlineLevel="0" collapsed="false">
      <c r="A1126" s="0" t="s">
        <v>5410</v>
      </c>
      <c r="B1126" s="0" t="n">
        <v>78</v>
      </c>
      <c r="C1126" s="0" t="n">
        <v>456531</v>
      </c>
      <c r="D1126" s="0" t="s">
        <v>5411</v>
      </c>
      <c r="E1126" s="0" t="s">
        <v>3114</v>
      </c>
      <c r="F1126" s="0" t="str">
        <f aca="false">CONCATENATE(D1126," ",LEFT(H1126,4),"T=",AU1126,"D=",AV1126,"R=",AW1126,"M=",AX1126,"L=",AY1126,"B=",AZ1126)</f>
        <v>RIVERA T=11D=2R=0M=0L=0B=0</v>
      </c>
      <c r="G1126" s="0" t="s">
        <v>176</v>
      </c>
      <c r="I1126" s="0" t="s">
        <v>5412</v>
      </c>
      <c r="J1126" s="0" t="s">
        <v>5413</v>
      </c>
      <c r="K1126" s="0" t="s">
        <v>175</v>
      </c>
      <c r="L1126" s="0"/>
      <c r="M1126" s="0" t="s">
        <v>5414</v>
      </c>
      <c r="N1126" s="0" t="str">
        <f aca="false">RIGHT(M1126,LEN(M1126)-FIND(" ",M1126))</f>
        <v>HALL ST NW</v>
      </c>
      <c r="P1126" s="0" t="s">
        <v>146</v>
      </c>
      <c r="Q1126" s="0" t="s">
        <v>147</v>
      </c>
      <c r="R1126" s="0" t="n">
        <v>44483</v>
      </c>
      <c r="AD1126" s="0" t="s">
        <v>148</v>
      </c>
      <c r="AE1126" s="0" t="s">
        <v>149</v>
      </c>
      <c r="AF1126" s="0" t="s">
        <v>150</v>
      </c>
      <c r="AH1126" s="0" t="n">
        <v>14</v>
      </c>
      <c r="AI1126" s="0" t="n">
        <v>11</v>
      </c>
      <c r="AN1126" s="0" t="s">
        <v>146</v>
      </c>
      <c r="AO1126" s="0" t="s">
        <v>151</v>
      </c>
      <c r="AP1126" s="0" t="s">
        <v>152</v>
      </c>
      <c r="AQ1126" s="0" t="n">
        <v>9</v>
      </c>
      <c r="AR1126" s="0" t="n">
        <v>64</v>
      </c>
      <c r="AS1126" s="0" t="n">
        <v>32</v>
      </c>
      <c r="AU1126" s="0" t="n">
        <f aca="false">COUNTA($BA$1757:$EH$1757)</f>
        <v>11</v>
      </c>
      <c r="AV1126" s="0" t="n">
        <f aca="false">COUNTIF($BA$1757:$EH$1757,"D")</f>
        <v>2</v>
      </c>
      <c r="AW1126" s="0" t="n">
        <f aca="false">COUNTIF($BA$1757:$EH$1757,"R")</f>
        <v>0</v>
      </c>
      <c r="AX1126" s="0" t="n">
        <f aca="false"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>0</v>
      </c>
      <c r="AY1126" s="0" t="n">
        <f aca="false">COUNTIF(DU1126:EH1126, "&lt;&gt;")</f>
        <v>0</v>
      </c>
      <c r="AZ1126" s="0" t="n">
        <f aca="false">IF(EH1126&lt;&gt;"",1,0)</f>
        <v>0</v>
      </c>
      <c r="BB1126" s="0" t="s">
        <v>153</v>
      </c>
    </row>
    <row r="1127" customFormat="false" ht="13.8" hidden="true" customHeight="false" outlineLevel="0" collapsed="false">
      <c r="A1127" s="0" t="s">
        <v>5415</v>
      </c>
      <c r="B1127" s="0" t="n">
        <v>78</v>
      </c>
      <c r="C1127" s="0" t="n">
        <v>310533</v>
      </c>
      <c r="D1127" s="0" t="s">
        <v>309</v>
      </c>
      <c r="E1127" s="0" t="s">
        <v>1663</v>
      </c>
      <c r="F1127" s="0" t="str">
        <f aca="false">CONCATENATE(D1127," ",LEFT(H1127,4),"T=",AU1127,"D=",AV1127,"R=",AW1127,"M=",AX1127,"L=",AY1127,"B=",AZ1127)</f>
        <v>BROWN T=6D=0R=0M=0L=0B=0</v>
      </c>
      <c r="G1127" s="0" t="s">
        <v>241</v>
      </c>
      <c r="I1127" s="0" t="s">
        <v>5416</v>
      </c>
      <c r="J1127" s="0" t="s">
        <v>5417</v>
      </c>
      <c r="K1127" s="0" t="s">
        <v>175</v>
      </c>
      <c r="L1127" s="0"/>
      <c r="M1127" s="0" t="s">
        <v>5414</v>
      </c>
      <c r="N1127" s="0" t="str">
        <f aca="false">RIGHT(M1127,LEN(M1127)-FIND(" ",M1127))</f>
        <v>HALL ST NW</v>
      </c>
      <c r="P1127" s="0" t="s">
        <v>146</v>
      </c>
      <c r="Q1127" s="0" t="s">
        <v>147</v>
      </c>
      <c r="R1127" s="0" t="n">
        <v>44483</v>
      </c>
      <c r="AD1127" s="0" t="s">
        <v>148</v>
      </c>
      <c r="AE1127" s="0" t="s">
        <v>149</v>
      </c>
      <c r="AF1127" s="0" t="s">
        <v>150</v>
      </c>
      <c r="AH1127" s="0" t="n">
        <v>14</v>
      </c>
      <c r="AI1127" s="0" t="n">
        <v>11</v>
      </c>
      <c r="AN1127" s="0" t="s">
        <v>146</v>
      </c>
      <c r="AO1127" s="0" t="s">
        <v>151</v>
      </c>
      <c r="AP1127" s="0" t="s">
        <v>152</v>
      </c>
      <c r="AQ1127" s="0" t="n">
        <v>9</v>
      </c>
      <c r="AR1127" s="0" t="n">
        <v>64</v>
      </c>
      <c r="AS1127" s="0" t="n">
        <v>32</v>
      </c>
      <c r="AU1127" s="0" t="n">
        <f aca="false">COUNTA($BA$1775:$EH$1775)</f>
        <v>6</v>
      </c>
      <c r="AV1127" s="0" t="n">
        <f aca="false">COUNTIF($BA$1775:$EH$1775,"D")</f>
        <v>0</v>
      </c>
      <c r="AW1127" s="0" t="n">
        <f aca="false">COUNTIF($BA$1775:$EH$1775,"R")</f>
        <v>0</v>
      </c>
      <c r="AX1127" s="0" t="n">
        <f aca="false"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>0</v>
      </c>
      <c r="AY1127" s="0" t="n">
        <f aca="false">COUNTIF(DU1127:EH1127, "&lt;&gt;")</f>
        <v>0</v>
      </c>
      <c r="AZ1127" s="0" t="n">
        <f aca="false">IF(EH1127&lt;&gt;"",1,0)</f>
        <v>0</v>
      </c>
      <c r="BB1127" s="0" t="s">
        <v>153</v>
      </c>
      <c r="CP1127" s="0" t="s">
        <v>154</v>
      </c>
      <c r="CZ1127" s="0" t="s">
        <v>155</v>
      </c>
      <c r="DN1127" s="0" t="s">
        <v>154</v>
      </c>
    </row>
    <row r="1128" customFormat="false" ht="13.8" hidden="true" customHeight="false" outlineLevel="0" collapsed="false">
      <c r="A1128" s="0" t="s">
        <v>5418</v>
      </c>
      <c r="B1128" s="0" t="n">
        <v>78</v>
      </c>
      <c r="C1128" s="0" t="n">
        <v>337122</v>
      </c>
      <c r="D1128" s="0" t="s">
        <v>146</v>
      </c>
      <c r="E1128" s="0" t="s">
        <v>619</v>
      </c>
      <c r="F1128" s="0" t="str">
        <f aca="false">CONCATENATE(D1128," ",LEFT(H1128,4),"T=",AU1128,"D=",AV1128,"R=",AW1128,"M=",AX1128,"L=",AY1128,"B=",AZ1128)</f>
        <v>WARREN T=16D=1R=0M=0L=0B=0</v>
      </c>
      <c r="G1128" s="0" t="s">
        <v>297</v>
      </c>
      <c r="I1128" s="0" t="s">
        <v>5419</v>
      </c>
      <c r="J1128" s="0" t="s">
        <v>1570</v>
      </c>
      <c r="K1128" s="0" t="s">
        <v>175</v>
      </c>
      <c r="L1128" s="0"/>
      <c r="M1128" s="0" t="s">
        <v>5420</v>
      </c>
      <c r="N1128" s="0" t="str">
        <f aca="false">RIGHT(M1128,LEN(M1128)-FIND(" ",M1128))</f>
        <v>HALL ST NW</v>
      </c>
      <c r="P1128" s="0" t="s">
        <v>146</v>
      </c>
      <c r="Q1128" s="0" t="s">
        <v>147</v>
      </c>
      <c r="R1128" s="0" t="n">
        <v>44483</v>
      </c>
      <c r="AD1128" s="0" t="s">
        <v>148</v>
      </c>
      <c r="AE1128" s="0" t="s">
        <v>149</v>
      </c>
      <c r="AF1128" s="0" t="s">
        <v>150</v>
      </c>
      <c r="AH1128" s="0" t="n">
        <v>14</v>
      </c>
      <c r="AI1128" s="0" t="n">
        <v>11</v>
      </c>
      <c r="AN1128" s="0" t="s">
        <v>146</v>
      </c>
      <c r="AO1128" s="0" t="s">
        <v>151</v>
      </c>
      <c r="AP1128" s="0" t="s">
        <v>152</v>
      </c>
      <c r="AQ1128" s="0" t="n">
        <v>9</v>
      </c>
      <c r="AR1128" s="0" t="n">
        <v>64</v>
      </c>
      <c r="AS1128" s="0" t="n">
        <v>32</v>
      </c>
      <c r="AU1128" s="0" t="n">
        <f aca="false">COUNTA($BA$1285:$EH$1285)</f>
        <v>16</v>
      </c>
      <c r="AV1128" s="0" t="n">
        <f aca="false">COUNTIF($BA$1285:$EH$1285,"D")</f>
        <v>1</v>
      </c>
      <c r="AW1128" s="0" t="n">
        <f aca="false">COUNTIF($BA$1285:$EH$1285,"R")</f>
        <v>0</v>
      </c>
      <c r="AX1128" s="0" t="n">
        <f aca="false"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>0</v>
      </c>
      <c r="AY1128" s="0" t="n">
        <f aca="false">COUNTIF(DU1128:EH1128, "&lt;&gt;")</f>
        <v>0</v>
      </c>
      <c r="AZ1128" s="0" t="n">
        <f aca="false">IF(EH1128&lt;&gt;"",1,0)</f>
        <v>0</v>
      </c>
      <c r="BB1128" s="0" t="s">
        <v>153</v>
      </c>
      <c r="CA1128" s="0" t="s">
        <v>154</v>
      </c>
    </row>
    <row r="1129" customFormat="false" ht="13.8" hidden="true" customHeight="false" outlineLevel="0" collapsed="false">
      <c r="A1129" s="0" t="s">
        <v>5421</v>
      </c>
      <c r="B1129" s="0" t="n">
        <v>78</v>
      </c>
      <c r="C1129" s="0" t="n">
        <v>353334</v>
      </c>
      <c r="D1129" s="0" t="s">
        <v>146</v>
      </c>
      <c r="E1129" s="0" t="s">
        <v>802</v>
      </c>
      <c r="F1129" s="0" t="str">
        <f aca="false">CONCATENATE(D1129," ",LEFT(H1129,4),"T=",AU1129,"D=",AV1129,"R=",AW1129,"M=",AX1129,"L=",AY1129,"B=",AZ1129)</f>
        <v>WARREN T=1D=0R=0M=0L=1B=0</v>
      </c>
      <c r="G1129" s="0" t="s">
        <v>181</v>
      </c>
      <c r="I1129" s="0" t="s">
        <v>5422</v>
      </c>
      <c r="J1129" s="0" t="s">
        <v>5423</v>
      </c>
      <c r="K1129" s="0" t="s">
        <v>175</v>
      </c>
      <c r="L1129" s="0"/>
      <c r="M1129" s="0" t="s">
        <v>5420</v>
      </c>
      <c r="N1129" s="0" t="str">
        <f aca="false">RIGHT(M1129,LEN(M1129)-FIND(" ",M1129))</f>
        <v>HALL ST NW</v>
      </c>
      <c r="P1129" s="0" t="s">
        <v>146</v>
      </c>
      <c r="Q1129" s="0" t="s">
        <v>147</v>
      </c>
      <c r="R1129" s="0" t="n">
        <v>44483</v>
      </c>
      <c r="AD1129" s="0" t="s">
        <v>148</v>
      </c>
      <c r="AE1129" s="0" t="s">
        <v>149</v>
      </c>
      <c r="AF1129" s="0" t="s">
        <v>150</v>
      </c>
      <c r="AH1129" s="0" t="n">
        <v>14</v>
      </c>
      <c r="AI1129" s="0" t="n">
        <v>11</v>
      </c>
      <c r="AN1129" s="0" t="s">
        <v>146</v>
      </c>
      <c r="AO1129" s="0" t="s">
        <v>151</v>
      </c>
      <c r="AP1129" s="0" t="s">
        <v>152</v>
      </c>
      <c r="AQ1129" s="0" t="n">
        <v>9</v>
      </c>
      <c r="AR1129" s="0" t="n">
        <v>64</v>
      </c>
      <c r="AS1129" s="0" t="n">
        <v>32</v>
      </c>
      <c r="AU1129" s="0" t="n">
        <f aca="false">COUNTA($BA$1735:$EH$1735)</f>
        <v>1</v>
      </c>
      <c r="AV1129" s="0" t="n">
        <f aca="false">COUNTIF($BA$1735:$EH$1735,"D")</f>
        <v>0</v>
      </c>
      <c r="AW1129" s="0" t="n">
        <f aca="false">COUNTIF($BA$1735:$EH$1735,"R")</f>
        <v>0</v>
      </c>
      <c r="AX1129" s="0" t="n">
        <f aca="false"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>0</v>
      </c>
      <c r="AY1129" s="0" t="n">
        <f aca="false">COUNTIF(DU1129:EH1129, "&lt;&gt;")</f>
        <v>1</v>
      </c>
      <c r="AZ1129" s="0" t="n">
        <f aca="false">IF(EH1129&lt;&gt;"",1,0)</f>
        <v>0</v>
      </c>
      <c r="BB1129" s="0" t="s">
        <v>153</v>
      </c>
      <c r="CP1129" s="0" t="s">
        <v>154</v>
      </c>
      <c r="EF1129" s="0" t="s">
        <v>154</v>
      </c>
    </row>
    <row r="1130" customFormat="false" ht="13.8" hidden="true" customHeight="false" outlineLevel="0" collapsed="false">
      <c r="A1130" s="0" t="s">
        <v>5424</v>
      </c>
      <c r="B1130" s="0" t="n">
        <v>78</v>
      </c>
      <c r="C1130" s="0" t="n">
        <v>461262</v>
      </c>
      <c r="D1130" s="0" t="s">
        <v>1582</v>
      </c>
      <c r="E1130" s="0" t="s">
        <v>5425</v>
      </c>
      <c r="F1130" s="0" t="str">
        <f aca="false">CONCATENATE(D1130," ",LEFT(H1130,4),"T=",AU1130,"D=",AV1130,"R=",AW1130,"M=",AX1130,"L=",AY1130,"B=",AZ1130)</f>
        <v>SMITH T=1D=0R=0M=0L=1B=0</v>
      </c>
      <c r="G1130" s="0" t="s">
        <v>5426</v>
      </c>
      <c r="I1130" s="0" t="s">
        <v>5427</v>
      </c>
      <c r="J1130" s="0" t="s">
        <v>4250</v>
      </c>
      <c r="K1130" s="0" t="s">
        <v>175</v>
      </c>
      <c r="L1130" s="0"/>
      <c r="M1130" s="0" t="s">
        <v>5420</v>
      </c>
      <c r="N1130" s="0" t="str">
        <f aca="false">RIGHT(M1130,LEN(M1130)-FIND(" ",M1130))</f>
        <v>HALL ST NW</v>
      </c>
      <c r="P1130" s="0" t="s">
        <v>146</v>
      </c>
      <c r="Q1130" s="0" t="s">
        <v>147</v>
      </c>
      <c r="R1130" s="0" t="n">
        <v>44483</v>
      </c>
      <c r="AD1130" s="0" t="s">
        <v>148</v>
      </c>
      <c r="AE1130" s="0" t="s">
        <v>149</v>
      </c>
      <c r="AF1130" s="0" t="s">
        <v>150</v>
      </c>
      <c r="AH1130" s="0" t="n">
        <v>14</v>
      </c>
      <c r="AI1130" s="0" t="n">
        <v>11</v>
      </c>
      <c r="AN1130" s="0" t="s">
        <v>146</v>
      </c>
      <c r="AO1130" s="0" t="s">
        <v>151</v>
      </c>
      <c r="AP1130" s="0" t="s">
        <v>152</v>
      </c>
      <c r="AQ1130" s="0" t="n">
        <v>9</v>
      </c>
      <c r="AR1130" s="0" t="n">
        <v>64</v>
      </c>
      <c r="AS1130" s="0" t="n">
        <v>32</v>
      </c>
      <c r="AU1130" s="0" t="n">
        <f aca="false">COUNTA($BA$1921:$EH$1921)</f>
        <v>1</v>
      </c>
      <c r="AV1130" s="0" t="n">
        <f aca="false">COUNTIF($BA$1921:$EH$1921,"D")</f>
        <v>0</v>
      </c>
      <c r="AW1130" s="0" t="n">
        <f aca="false">COUNTIF($BA$1921:$EH$1921,"R")</f>
        <v>0</v>
      </c>
      <c r="AX1130" s="0" t="n">
        <f aca="false"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>0</v>
      </c>
      <c r="AY1130" s="0" t="n">
        <f aca="false">COUNTIF(DU1130:EH1130, "&lt;&gt;")</f>
        <v>1</v>
      </c>
      <c r="AZ1130" s="0" t="n">
        <f aca="false">IF(EH1130&lt;&gt;"",1,0)</f>
        <v>0</v>
      </c>
      <c r="BB1130" s="0" t="s">
        <v>153</v>
      </c>
      <c r="EF1130" s="0" t="s">
        <v>154</v>
      </c>
    </row>
    <row r="1131" customFormat="false" ht="13.8" hidden="true" customHeight="false" outlineLevel="0" collapsed="false">
      <c r="A1131" s="0" t="s">
        <v>5428</v>
      </c>
      <c r="B1131" s="0" t="n">
        <v>78</v>
      </c>
      <c r="C1131" s="0" t="n">
        <v>327970</v>
      </c>
      <c r="D1131" s="0" t="s">
        <v>5429</v>
      </c>
      <c r="E1131" s="0" t="s">
        <v>5430</v>
      </c>
      <c r="F1131" s="0" t="str">
        <f aca="false">CONCATENATE(D1131," ",LEFT(H1131,4),"T=",AU1131,"D=",AV1131,"R=",AW1131,"M=",AX1131,"L=",AY1131,"B=",AZ1131)</f>
        <v>QUICK T=1D=0R=0M=0L=1B=0</v>
      </c>
      <c r="G1131" s="0" t="s">
        <v>329</v>
      </c>
      <c r="I1131" s="0" t="s">
        <v>5431</v>
      </c>
      <c r="J1131" s="0" t="s">
        <v>1709</v>
      </c>
      <c r="K1131" s="0" t="s">
        <v>175</v>
      </c>
      <c r="L1131" s="0"/>
      <c r="M1131" s="0" t="s">
        <v>5432</v>
      </c>
      <c r="N1131" s="0" t="str">
        <f aca="false">RIGHT(M1131,LEN(M1131)-FIND(" ",M1131))</f>
        <v>HALL ST NW</v>
      </c>
      <c r="P1131" s="0" t="s">
        <v>146</v>
      </c>
      <c r="Q1131" s="0" t="s">
        <v>147</v>
      </c>
      <c r="R1131" s="0" t="n">
        <v>44483</v>
      </c>
      <c r="AD1131" s="0" t="s">
        <v>148</v>
      </c>
      <c r="AE1131" s="0" t="s">
        <v>149</v>
      </c>
      <c r="AF1131" s="0" t="s">
        <v>150</v>
      </c>
      <c r="AH1131" s="0" t="n">
        <v>14</v>
      </c>
      <c r="AI1131" s="0" t="n">
        <v>11</v>
      </c>
      <c r="AN1131" s="0" t="s">
        <v>146</v>
      </c>
      <c r="AO1131" s="0" t="s">
        <v>250</v>
      </c>
      <c r="AP1131" s="0" t="s">
        <v>251</v>
      </c>
      <c r="AQ1131" s="0" t="n">
        <v>9</v>
      </c>
      <c r="AR1131" s="0" t="n">
        <v>64</v>
      </c>
      <c r="AS1131" s="0" t="n">
        <v>32</v>
      </c>
      <c r="AU1131" s="0" t="n">
        <f aca="false">COUNTA($BA$2609:$EH$2609)</f>
        <v>1</v>
      </c>
      <c r="AV1131" s="0" t="n">
        <f aca="false">COUNTIF($BA$2609:$EH$2609,"D")</f>
        <v>0</v>
      </c>
      <c r="AW1131" s="0" t="n">
        <f aca="false">COUNTIF($BA$2609:$EH$2609,"R")</f>
        <v>0</v>
      </c>
      <c r="AX1131" s="0" t="n">
        <f aca="false"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>0</v>
      </c>
      <c r="AY1131" s="0" t="n">
        <f aca="false">COUNTIF(DU1131:EH1131, "&lt;&gt;")</f>
        <v>1</v>
      </c>
      <c r="AZ1131" s="0" t="n">
        <f aca="false">IF(EH1131&lt;&gt;"",1,0)</f>
        <v>0</v>
      </c>
      <c r="BB1131" s="0" t="s">
        <v>153</v>
      </c>
      <c r="BL1131" s="0" t="s">
        <v>154</v>
      </c>
      <c r="CA1131" s="0" t="s">
        <v>154</v>
      </c>
      <c r="CP1131" s="0" t="s">
        <v>154</v>
      </c>
      <c r="EA1131" s="0" t="s">
        <v>154</v>
      </c>
    </row>
    <row r="1132" customFormat="false" ht="13.8" hidden="false" customHeight="false" outlineLevel="0" collapsed="false">
      <c r="A1132" s="0" t="s">
        <v>5433</v>
      </c>
      <c r="B1132" s="0" t="n">
        <v>78</v>
      </c>
      <c r="C1132" s="0" t="n">
        <v>273041</v>
      </c>
      <c r="D1132" s="0" t="s">
        <v>1487</v>
      </c>
      <c r="E1132" s="0" t="s">
        <v>5434</v>
      </c>
      <c r="F1132" s="0" t="str">
        <f aca="false">CONCATENATE(D1132," ",LEFT(H1132,4),"T=",AU1132,"D=",AV1132,"R=",AW1132,"M=",AX1132,"L=",AY1132,"B=",AZ1132)</f>
        <v>COLLINS T=18D=2R=0M=3L=7B=1</v>
      </c>
      <c r="G1132" s="0" t="s">
        <v>365</v>
      </c>
      <c r="I1132" s="0" t="s">
        <v>5435</v>
      </c>
      <c r="J1132" s="0" t="s">
        <v>357</v>
      </c>
      <c r="K1132" s="0" t="s">
        <v>175</v>
      </c>
      <c r="L1132" s="1" t="s">
        <v>155</v>
      </c>
      <c r="M1132" s="0" t="s">
        <v>5436</v>
      </c>
      <c r="N1132" s="0" t="str">
        <f aca="false">RIGHT(M1132,LEN(M1132)-FIND(" ",M1132))</f>
        <v>HALL ST NW</v>
      </c>
      <c r="P1132" s="0" t="s">
        <v>146</v>
      </c>
      <c r="Q1132" s="0" t="s">
        <v>147</v>
      </c>
      <c r="R1132" s="0" t="n">
        <v>44483</v>
      </c>
      <c r="AD1132" s="0" t="s">
        <v>148</v>
      </c>
      <c r="AE1132" s="0" t="s">
        <v>149</v>
      </c>
      <c r="AF1132" s="0" t="s">
        <v>150</v>
      </c>
      <c r="AH1132" s="0" t="n">
        <v>14</v>
      </c>
      <c r="AI1132" s="0" t="n">
        <v>11</v>
      </c>
      <c r="AN1132" s="0" t="s">
        <v>146</v>
      </c>
      <c r="AO1132" s="0" t="s">
        <v>151</v>
      </c>
      <c r="AP1132" s="0" t="s">
        <v>152</v>
      </c>
      <c r="AQ1132" s="0" t="n">
        <v>9</v>
      </c>
      <c r="AR1132" s="0" t="n">
        <v>64</v>
      </c>
      <c r="AS1132" s="0" t="n">
        <v>32</v>
      </c>
      <c r="AU1132" s="0" t="n">
        <f aca="false">COUNTA($BA$1113:$EH$1113)</f>
        <v>18</v>
      </c>
      <c r="AV1132" s="0" t="n">
        <f aca="false">COUNTIF($BA$1113:$EH$1113,"D")</f>
        <v>2</v>
      </c>
      <c r="AW1132" s="0" t="n">
        <f aca="false">COUNTIF($BA$1113:$EH$1113,"R")</f>
        <v>0</v>
      </c>
      <c r="AX1132" s="0" t="n">
        <f aca="false"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>3</v>
      </c>
      <c r="AY1132" s="0" t="n">
        <f aca="false">COUNTIF(DU1132:EH1132, "&lt;&gt;")</f>
        <v>7</v>
      </c>
      <c r="AZ1132" s="0" t="n">
        <f aca="false">IF(EH1132&lt;&gt;"",1,0)</f>
        <v>1</v>
      </c>
      <c r="BB1132" s="0" t="s">
        <v>153</v>
      </c>
      <c r="BC1132" s="0" t="s">
        <v>154</v>
      </c>
      <c r="BD1132" s="0" t="s">
        <v>154</v>
      </c>
      <c r="BH1132" s="0" t="s">
        <v>154</v>
      </c>
      <c r="BJ1132" s="0" t="s">
        <v>154</v>
      </c>
      <c r="BL1132" s="0" t="s">
        <v>154</v>
      </c>
      <c r="BP1132" s="0" t="s">
        <v>154</v>
      </c>
      <c r="BS1132" s="0" t="s">
        <v>154</v>
      </c>
      <c r="BY1132" s="0" t="s">
        <v>155</v>
      </c>
      <c r="CA1132" s="0" t="s">
        <v>154</v>
      </c>
      <c r="CN1132" s="0" t="s">
        <v>154</v>
      </c>
      <c r="CP1132" s="0" t="s">
        <v>154</v>
      </c>
      <c r="CZ1132" s="0" t="s">
        <v>155</v>
      </c>
      <c r="DC1132" s="0" t="s">
        <v>154</v>
      </c>
      <c r="DD1132" s="0" t="s">
        <v>155</v>
      </c>
      <c r="DF1132" s="0" t="s">
        <v>154</v>
      </c>
      <c r="DG1132" s="0" t="s">
        <v>155</v>
      </c>
      <c r="DI1132" s="0" t="s">
        <v>154</v>
      </c>
      <c r="DN1132" s="0" t="s">
        <v>154</v>
      </c>
      <c r="DS1132" s="0" t="s">
        <v>155</v>
      </c>
      <c r="DU1132" s="0" t="s">
        <v>154</v>
      </c>
      <c r="DW1132" s="0" t="s">
        <v>155</v>
      </c>
      <c r="DX1132" s="0" t="s">
        <v>154</v>
      </c>
      <c r="EA1132" s="0" t="s">
        <v>154</v>
      </c>
      <c r="ED1132" s="0" t="s">
        <v>155</v>
      </c>
      <c r="EF1132" s="0" t="s">
        <v>154</v>
      </c>
      <c r="EH1132" s="0" t="s">
        <v>155</v>
      </c>
    </row>
    <row r="1133" customFormat="false" ht="13.8" hidden="true" customHeight="false" outlineLevel="0" collapsed="false">
      <c r="A1133" s="0" t="s">
        <v>5437</v>
      </c>
      <c r="B1133" s="0" t="n">
        <v>78</v>
      </c>
      <c r="C1133" s="0" t="n">
        <v>463291</v>
      </c>
      <c r="D1133" s="0" t="s">
        <v>633</v>
      </c>
      <c r="E1133" s="0" t="s">
        <v>165</v>
      </c>
      <c r="F1133" s="0" t="str">
        <f aca="false">CONCATENATE(D1133," ",LEFT(H1133,4),"T=",AU1133,"D=",AV1133,"R=",AW1133,"M=",AX1133,"L=",AY1133,"B=",AZ1133)</f>
        <v>WALKER JRT=4D=1R=0M=0L=0B=0</v>
      </c>
      <c r="G1133" s="0" t="s">
        <v>429</v>
      </c>
      <c r="H1133" s="0" t="s">
        <v>431</v>
      </c>
      <c r="I1133" s="0" t="s">
        <v>5438</v>
      </c>
      <c r="J1133" s="0" t="s">
        <v>5439</v>
      </c>
      <c r="K1133" s="0" t="s">
        <v>175</v>
      </c>
      <c r="L1133" s="0"/>
      <c r="M1133" s="0" t="s">
        <v>5436</v>
      </c>
      <c r="N1133" s="0" t="str">
        <f aca="false">RIGHT(M1133,LEN(M1133)-FIND(" ",M1133))</f>
        <v>HALL ST NW</v>
      </c>
      <c r="P1133" s="0" t="s">
        <v>146</v>
      </c>
      <c r="Q1133" s="0" t="s">
        <v>147</v>
      </c>
      <c r="R1133" s="0" t="n">
        <v>44483</v>
      </c>
      <c r="AD1133" s="0" t="s">
        <v>148</v>
      </c>
      <c r="AE1133" s="0" t="s">
        <v>149</v>
      </c>
      <c r="AF1133" s="0" t="s">
        <v>150</v>
      </c>
      <c r="AH1133" s="0" t="n">
        <v>14</v>
      </c>
      <c r="AI1133" s="0" t="n">
        <v>11</v>
      </c>
      <c r="AN1133" s="0" t="s">
        <v>146</v>
      </c>
      <c r="AO1133" s="0" t="s">
        <v>151</v>
      </c>
      <c r="AP1133" s="0" t="s">
        <v>152</v>
      </c>
      <c r="AQ1133" s="0" t="n">
        <v>9</v>
      </c>
      <c r="AR1133" s="0" t="n">
        <v>64</v>
      </c>
      <c r="AS1133" s="0" t="n">
        <v>32</v>
      </c>
      <c r="AU1133" s="0" t="n">
        <f aca="false">COUNTA($BA$1649:$EH$1649)</f>
        <v>4</v>
      </c>
      <c r="AV1133" s="0" t="n">
        <f aca="false">COUNTIF($BA$1649:$EH$1649,"D")</f>
        <v>1</v>
      </c>
      <c r="AW1133" s="0" t="n">
        <f aca="false">COUNTIF($BA$1649:$EH$1649,"R")</f>
        <v>0</v>
      </c>
      <c r="AX1133" s="0" t="n">
        <f aca="false"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>0</v>
      </c>
      <c r="AY1133" s="0" t="n">
        <f aca="false">COUNTIF(DU1133:EH1133, "&lt;&gt;")</f>
        <v>0</v>
      </c>
      <c r="AZ1133" s="0" t="n">
        <f aca="false">IF(EH1133&lt;&gt;"",1,0)</f>
        <v>0</v>
      </c>
      <c r="BB1133" s="0" t="s">
        <v>153</v>
      </c>
    </row>
    <row r="1134" customFormat="false" ht="13.8" hidden="false" customHeight="false" outlineLevel="0" collapsed="false">
      <c r="A1134" s="0" t="s">
        <v>5440</v>
      </c>
      <c r="B1134" s="0" t="n">
        <v>78</v>
      </c>
      <c r="C1134" s="0" t="n">
        <v>174723</v>
      </c>
      <c r="D1134" s="0" t="s">
        <v>633</v>
      </c>
      <c r="E1134" s="0" t="s">
        <v>557</v>
      </c>
      <c r="F1134" s="0" t="str">
        <f aca="false">CONCATENATE(D1134," ",LEFT(H1134,4),"T=",AU1134,"D=",AV1134,"R=",AW1134,"M=",AX1134,"L=",AY1134,"B=",AZ1134)</f>
        <v>WALKER T=2D=0R=0M=2L=6B=0</v>
      </c>
      <c r="G1134" s="0" t="s">
        <v>159</v>
      </c>
      <c r="I1134" s="0" t="s">
        <v>5441</v>
      </c>
      <c r="J1134" s="0" t="s">
        <v>5442</v>
      </c>
      <c r="K1134" s="0" t="s">
        <v>175</v>
      </c>
      <c r="L1134" s="1" t="s">
        <v>155</v>
      </c>
      <c r="M1134" s="0" t="s">
        <v>5436</v>
      </c>
      <c r="N1134" s="0" t="str">
        <f aca="false">RIGHT(M1134,LEN(M1134)-FIND(" ",M1134))</f>
        <v>HALL ST NW</v>
      </c>
      <c r="P1134" s="0" t="s">
        <v>146</v>
      </c>
      <c r="Q1134" s="0" t="s">
        <v>147</v>
      </c>
      <c r="R1134" s="0" t="n">
        <v>44483</v>
      </c>
      <c r="AD1134" s="0" t="s">
        <v>148</v>
      </c>
      <c r="AE1134" s="0" t="s">
        <v>149</v>
      </c>
      <c r="AF1134" s="0" t="s">
        <v>150</v>
      </c>
      <c r="AH1134" s="0" t="n">
        <v>14</v>
      </c>
      <c r="AI1134" s="0" t="n">
        <v>11</v>
      </c>
      <c r="AN1134" s="0" t="s">
        <v>146</v>
      </c>
      <c r="AO1134" s="0" t="s">
        <v>151</v>
      </c>
      <c r="AP1134" s="0" t="s">
        <v>152</v>
      </c>
      <c r="AQ1134" s="0" t="n">
        <v>9</v>
      </c>
      <c r="AR1134" s="0" t="n">
        <v>64</v>
      </c>
      <c r="AS1134" s="0" t="n">
        <v>32</v>
      </c>
      <c r="AU1134" s="0" t="n">
        <f aca="false">COUNTA($BA$1896:$EH$1896)</f>
        <v>2</v>
      </c>
      <c r="AV1134" s="0" t="n">
        <f aca="false">COUNTIF($BA$1896:$EH$1896,"D")</f>
        <v>0</v>
      </c>
      <c r="AW1134" s="0" t="n">
        <f aca="false">COUNTIF($BA$1896:$EH$1896,"R")</f>
        <v>0</v>
      </c>
      <c r="AX1134" s="0" t="n">
        <f aca="false"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>2</v>
      </c>
      <c r="AY1134" s="0" t="n">
        <f aca="false">COUNTIF(DU1134:EH1134, "&lt;&gt;")</f>
        <v>6</v>
      </c>
      <c r="AZ1134" s="0" t="n">
        <f aca="false">IF(EH1134&lt;&gt;"",1,0)</f>
        <v>0</v>
      </c>
      <c r="BB1134" s="0" t="s">
        <v>153</v>
      </c>
      <c r="BC1134" s="0" t="s">
        <v>154</v>
      </c>
      <c r="BD1134" s="0" t="s">
        <v>154</v>
      </c>
      <c r="BE1134" s="0" t="s">
        <v>154</v>
      </c>
      <c r="BG1134" s="0" t="s">
        <v>154</v>
      </c>
      <c r="BH1134" s="0" t="s">
        <v>154</v>
      </c>
      <c r="BJ1134" s="0" t="s">
        <v>154</v>
      </c>
      <c r="BK1134" s="0" t="s">
        <v>154</v>
      </c>
      <c r="BL1134" s="0" t="s">
        <v>154</v>
      </c>
      <c r="BR1134" s="0" t="s">
        <v>154</v>
      </c>
      <c r="BS1134" s="0" t="s">
        <v>154</v>
      </c>
      <c r="BV1134" s="0" t="s">
        <v>154</v>
      </c>
      <c r="BY1134" s="0" t="s">
        <v>155</v>
      </c>
      <c r="CA1134" s="0" t="s">
        <v>154</v>
      </c>
      <c r="CG1134" s="0" t="s">
        <v>154</v>
      </c>
      <c r="CH1134" s="0" t="s">
        <v>155</v>
      </c>
      <c r="CK1134" s="0" t="s">
        <v>154</v>
      </c>
      <c r="CN1134" s="0" t="s">
        <v>154</v>
      </c>
      <c r="CO1134" s="0" t="s">
        <v>155</v>
      </c>
      <c r="CP1134" s="0" t="s">
        <v>154</v>
      </c>
      <c r="CU1134" s="0" t="s">
        <v>155</v>
      </c>
      <c r="CV1134" s="0" t="s">
        <v>154</v>
      </c>
      <c r="CY1134" s="0" t="s">
        <v>154</v>
      </c>
      <c r="CZ1134" s="0" t="s">
        <v>155</v>
      </c>
      <c r="DC1134" s="0" t="s">
        <v>154</v>
      </c>
      <c r="DD1134" s="0" t="s">
        <v>155</v>
      </c>
      <c r="DF1134" s="0" t="s">
        <v>154</v>
      </c>
      <c r="DG1134" s="0" t="s">
        <v>155</v>
      </c>
      <c r="DI1134" s="0" t="s">
        <v>154</v>
      </c>
      <c r="DN1134" s="0" t="s">
        <v>154</v>
      </c>
      <c r="DS1134" s="0" t="s">
        <v>155</v>
      </c>
      <c r="DU1134" s="0" t="s">
        <v>154</v>
      </c>
      <c r="DW1134" s="0" t="s">
        <v>155</v>
      </c>
      <c r="DX1134" s="0" t="s">
        <v>154</v>
      </c>
      <c r="EA1134" s="0" t="s">
        <v>154</v>
      </c>
      <c r="ED1134" s="0" t="s">
        <v>155</v>
      </c>
      <c r="EF1134" s="0" t="s">
        <v>154</v>
      </c>
    </row>
    <row r="1135" customFormat="false" ht="13.8" hidden="false" customHeight="false" outlineLevel="0" collapsed="false">
      <c r="A1135" s="0" t="s">
        <v>5443</v>
      </c>
      <c r="B1135" s="0" t="n">
        <v>78</v>
      </c>
      <c r="C1135" s="0" t="n">
        <v>421772</v>
      </c>
      <c r="D1135" s="0" t="s">
        <v>5444</v>
      </c>
      <c r="E1135" s="0" t="s">
        <v>277</v>
      </c>
      <c r="F1135" s="0" t="str">
        <f aca="false">CONCATENATE(D1135," ",LEFT(H1135,4),"T=",AU1135,"D=",AV1135,"R=",AW1135,"M=",AX1135,"L=",AY1135,"B=",AZ1135)</f>
        <v>DEY ERMAND T=9D=0R=1M=1L=2B=0</v>
      </c>
      <c r="G1135" s="0" t="s">
        <v>5445</v>
      </c>
      <c r="I1135" s="0" t="s">
        <v>5446</v>
      </c>
      <c r="J1135" s="0" t="s">
        <v>357</v>
      </c>
      <c r="K1135" s="0" t="s">
        <v>175</v>
      </c>
      <c r="M1135" s="0" t="s">
        <v>5447</v>
      </c>
      <c r="N1135" s="0" t="str">
        <f aca="false">RIGHT(M1135,LEN(M1135)-FIND(" ",M1135))</f>
        <v>HALL ST NW</v>
      </c>
      <c r="P1135" s="0" t="s">
        <v>146</v>
      </c>
      <c r="Q1135" s="0" t="s">
        <v>147</v>
      </c>
      <c r="R1135" s="0" t="n">
        <v>44483</v>
      </c>
      <c r="AD1135" s="0" t="s">
        <v>148</v>
      </c>
      <c r="AE1135" s="0" t="s">
        <v>149</v>
      </c>
      <c r="AF1135" s="0" t="s">
        <v>150</v>
      </c>
      <c r="AH1135" s="0" t="n">
        <v>14</v>
      </c>
      <c r="AI1135" s="0" t="n">
        <v>11</v>
      </c>
      <c r="AN1135" s="0" t="s">
        <v>146</v>
      </c>
      <c r="AO1135" s="0" t="s">
        <v>151</v>
      </c>
      <c r="AP1135" s="0" t="s">
        <v>152</v>
      </c>
      <c r="AQ1135" s="0" t="n">
        <v>9</v>
      </c>
      <c r="AR1135" s="0" t="n">
        <v>64</v>
      </c>
      <c r="AS1135" s="0" t="n">
        <v>32</v>
      </c>
      <c r="AU1135" s="0" t="n">
        <f aca="false">COUNTA($BA$1445:$EH$1445)</f>
        <v>9</v>
      </c>
      <c r="AV1135" s="0" t="n">
        <f aca="false">COUNTIF($BA$1445:$EH$1445,"D")</f>
        <v>0</v>
      </c>
      <c r="AW1135" s="0" t="n">
        <f aca="false">COUNTIF($BA$1445:$EH$1445,"R")</f>
        <v>1</v>
      </c>
      <c r="AX1135" s="0" t="n">
        <f aca="false"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>1</v>
      </c>
      <c r="AY1135" s="0" t="n">
        <f aca="false">COUNTIF(DU1135:EH1135, "&lt;&gt;")</f>
        <v>2</v>
      </c>
      <c r="AZ1135" s="0" t="n">
        <f aca="false">IF(EH1135&lt;&gt;"",1,0)</f>
        <v>0</v>
      </c>
      <c r="BB1135" s="0" t="s">
        <v>153</v>
      </c>
      <c r="DC1135" s="0" t="s">
        <v>154</v>
      </c>
      <c r="DI1135" s="0" t="s">
        <v>154</v>
      </c>
      <c r="DJ1135" s="0" t="s">
        <v>155</v>
      </c>
      <c r="DL1135" s="0" t="s">
        <v>154</v>
      </c>
      <c r="DN1135" s="0" t="s">
        <v>154</v>
      </c>
      <c r="DU1135" s="0" t="s">
        <v>154</v>
      </c>
      <c r="EF1135" s="0" t="s">
        <v>154</v>
      </c>
    </row>
    <row r="1136" customFormat="false" ht="13.8" hidden="false" customHeight="false" outlineLevel="0" collapsed="false">
      <c r="A1136" s="0" t="s">
        <v>5448</v>
      </c>
      <c r="B1136" s="0" t="n">
        <v>78</v>
      </c>
      <c r="C1136" s="0" t="n">
        <v>322429</v>
      </c>
      <c r="D1136" s="0" t="s">
        <v>5444</v>
      </c>
      <c r="E1136" s="0" t="s">
        <v>187</v>
      </c>
      <c r="F1136" s="0" t="str">
        <f aca="false">CONCATENATE(D1136," ",LEFT(H1136,4),"T=",AU1136,"D=",AV1136,"R=",AW1136,"M=",AX1136,"L=",AY1136,"B=",AZ1136)</f>
        <v>DEY ERMAND T=1D=0R=0M=1L=2B=0</v>
      </c>
      <c r="G1136" s="0" t="s">
        <v>241</v>
      </c>
      <c r="I1136" s="0" t="s">
        <v>5449</v>
      </c>
      <c r="J1136" s="0" t="s">
        <v>5450</v>
      </c>
      <c r="K1136" s="0" t="s">
        <v>175</v>
      </c>
      <c r="M1136" s="0" t="s">
        <v>5447</v>
      </c>
      <c r="N1136" s="0" t="str">
        <f aca="false">RIGHT(M1136,LEN(M1136)-FIND(" ",M1136))</f>
        <v>HALL ST NW</v>
      </c>
      <c r="P1136" s="0" t="s">
        <v>146</v>
      </c>
      <c r="Q1136" s="0" t="s">
        <v>147</v>
      </c>
      <c r="R1136" s="0" t="n">
        <v>44483</v>
      </c>
      <c r="AD1136" s="0" t="s">
        <v>148</v>
      </c>
      <c r="AE1136" s="0" t="s">
        <v>149</v>
      </c>
      <c r="AF1136" s="0" t="s">
        <v>150</v>
      </c>
      <c r="AH1136" s="0" t="n">
        <v>14</v>
      </c>
      <c r="AI1136" s="0" t="n">
        <v>11</v>
      </c>
      <c r="AN1136" s="0" t="s">
        <v>146</v>
      </c>
      <c r="AO1136" s="0" t="s">
        <v>151</v>
      </c>
      <c r="AP1136" s="0" t="s">
        <v>152</v>
      </c>
      <c r="AQ1136" s="0" t="n">
        <v>9</v>
      </c>
      <c r="AR1136" s="0" t="n">
        <v>64</v>
      </c>
      <c r="AS1136" s="0" t="n">
        <v>32</v>
      </c>
      <c r="AU1136" s="0" t="n">
        <f aca="false">COUNTA($BA$1763:$EH$1763)</f>
        <v>1</v>
      </c>
      <c r="AV1136" s="0" t="n">
        <f aca="false">COUNTIF($BA$1763:$EH$1763,"D")</f>
        <v>0</v>
      </c>
      <c r="AW1136" s="0" t="n">
        <f aca="false">COUNTIF($BA$1763:$EH$1763,"R")</f>
        <v>0</v>
      </c>
      <c r="AX1136" s="0" t="n">
        <f aca="false"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>1</v>
      </c>
      <c r="AY1136" s="0" t="n">
        <f aca="false">COUNTIF(DU1136:EH1136, "&lt;&gt;")</f>
        <v>2</v>
      </c>
      <c r="AZ1136" s="0" t="n">
        <f aca="false">IF(EH1136&lt;&gt;"",1,0)</f>
        <v>0</v>
      </c>
      <c r="BB1136" s="0" t="s">
        <v>153</v>
      </c>
      <c r="BL1136" s="0" t="s">
        <v>154</v>
      </c>
      <c r="BP1136" s="0" t="s">
        <v>154</v>
      </c>
      <c r="BY1136" s="0" t="s">
        <v>155</v>
      </c>
      <c r="CA1136" s="0" t="s">
        <v>154</v>
      </c>
      <c r="CG1136" s="0" t="s">
        <v>154</v>
      </c>
      <c r="CK1136" s="0" t="s">
        <v>154</v>
      </c>
      <c r="CP1136" s="0" t="s">
        <v>154</v>
      </c>
      <c r="CT1136" s="0" t="s">
        <v>154</v>
      </c>
      <c r="CV1136" s="0" t="s">
        <v>154</v>
      </c>
      <c r="CY1136" s="0" t="s">
        <v>154</v>
      </c>
      <c r="DC1136" s="0" t="s">
        <v>154</v>
      </c>
      <c r="DG1136" s="0" t="s">
        <v>155</v>
      </c>
      <c r="DI1136" s="0" t="s">
        <v>154</v>
      </c>
      <c r="DJ1136" s="0" t="s">
        <v>155</v>
      </c>
      <c r="DL1136" s="0" t="s">
        <v>154</v>
      </c>
      <c r="DN1136" s="0" t="s">
        <v>154</v>
      </c>
      <c r="DU1136" s="0" t="s">
        <v>154</v>
      </c>
      <c r="EF1136" s="0" t="s">
        <v>154</v>
      </c>
    </row>
    <row r="1137" customFormat="false" ht="13.8" hidden="false" customHeight="false" outlineLevel="0" collapsed="false">
      <c r="A1137" s="0" t="s">
        <v>5451</v>
      </c>
      <c r="B1137" s="0" t="n">
        <v>78</v>
      </c>
      <c r="C1137" s="0" t="n">
        <v>364379</v>
      </c>
      <c r="D1137" s="0" t="s">
        <v>5452</v>
      </c>
      <c r="E1137" s="0" t="s">
        <v>429</v>
      </c>
      <c r="F1137" s="0" t="str">
        <f aca="false">CONCATENATE(D1137," ",LEFT(H1137,4),"T=",AU1137,"D=",AV1137,"R=",AW1137,"M=",AX1137,"L=",AY1137,"B=",AZ1137)</f>
        <v>GRUBB T=4D=0R=0M=0L=2B=0</v>
      </c>
      <c r="G1137" s="0" t="s">
        <v>202</v>
      </c>
      <c r="I1137" s="0" t="s">
        <v>5453</v>
      </c>
      <c r="J1137" s="0" t="s">
        <v>5454</v>
      </c>
      <c r="K1137" s="0" t="s">
        <v>175</v>
      </c>
      <c r="M1137" s="0" t="s">
        <v>5447</v>
      </c>
      <c r="N1137" s="0" t="str">
        <f aca="false">RIGHT(M1137,LEN(M1137)-FIND(" ",M1137))</f>
        <v>HALL ST NW</v>
      </c>
      <c r="P1137" s="0" t="s">
        <v>146</v>
      </c>
      <c r="Q1137" s="0" t="s">
        <v>147</v>
      </c>
      <c r="R1137" s="0" t="n">
        <v>44483</v>
      </c>
      <c r="AD1137" s="0" t="s">
        <v>148</v>
      </c>
      <c r="AE1137" s="0" t="s">
        <v>149</v>
      </c>
      <c r="AF1137" s="0" t="s">
        <v>150</v>
      </c>
      <c r="AH1137" s="0" t="n">
        <v>14</v>
      </c>
      <c r="AI1137" s="0" t="n">
        <v>11</v>
      </c>
      <c r="AN1137" s="0" t="s">
        <v>146</v>
      </c>
      <c r="AO1137" s="0" t="s">
        <v>151</v>
      </c>
      <c r="AP1137" s="0" t="s">
        <v>152</v>
      </c>
      <c r="AQ1137" s="0" t="n">
        <v>9</v>
      </c>
      <c r="AR1137" s="0" t="n">
        <v>64</v>
      </c>
      <c r="AS1137" s="0" t="n">
        <v>32</v>
      </c>
      <c r="AU1137" s="0" t="n">
        <f aca="false">COUNTA($BA$1916:$EH$1916)</f>
        <v>4</v>
      </c>
      <c r="AV1137" s="0" t="n">
        <f aca="false">COUNTIF($BA$1916:$EH$1916,"D")</f>
        <v>0</v>
      </c>
      <c r="AW1137" s="0" t="n">
        <f aca="false">COUNTIF($BA$1916:$EH$1916,"R")</f>
        <v>0</v>
      </c>
      <c r="AX1137" s="0" t="n">
        <f aca="false"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>0</v>
      </c>
      <c r="AY1137" s="0" t="n">
        <f aca="false">COUNTIF(DU1137:EH1137, "&lt;&gt;")</f>
        <v>2</v>
      </c>
      <c r="AZ1137" s="0" t="n">
        <f aca="false">IF(EH1137&lt;&gt;"",1,0)</f>
        <v>0</v>
      </c>
      <c r="BB1137" s="0" t="s">
        <v>153</v>
      </c>
      <c r="CY1137" s="0" t="s">
        <v>154</v>
      </c>
      <c r="DC1137" s="0" t="s">
        <v>154</v>
      </c>
      <c r="DI1137" s="0" t="s">
        <v>154</v>
      </c>
      <c r="DN1137" s="0" t="s">
        <v>154</v>
      </c>
      <c r="DU1137" s="0" t="s">
        <v>154</v>
      </c>
      <c r="EF1137" s="0" t="s">
        <v>154</v>
      </c>
    </row>
    <row r="1138" customFormat="false" ht="13.8" hidden="true" customHeight="false" outlineLevel="0" collapsed="false">
      <c r="A1138" s="0" t="s">
        <v>5455</v>
      </c>
      <c r="B1138" s="0" t="n">
        <v>78</v>
      </c>
      <c r="C1138" s="0" t="n">
        <v>365949</v>
      </c>
      <c r="D1138" s="0" t="s">
        <v>139</v>
      </c>
      <c r="E1138" s="0" t="s">
        <v>5456</v>
      </c>
      <c r="F1138" s="0" t="str">
        <f aca="false">CONCATENATE(D1138," ",LEFT(H1138,4),"T=",AU1138,"D=",AV1138,"R=",AW1138,"M=",AX1138,"L=",AY1138,"B=",AZ1138)</f>
        <v>ALLEN T=33D=5R=0M=0L=1B=0</v>
      </c>
      <c r="G1138" s="0" t="s">
        <v>172</v>
      </c>
      <c r="I1138" s="0" t="s">
        <v>5457</v>
      </c>
      <c r="J1138" s="0" t="s">
        <v>1129</v>
      </c>
      <c r="K1138" s="0" t="s">
        <v>175</v>
      </c>
      <c r="L1138" s="0"/>
      <c r="M1138" s="0" t="s">
        <v>5458</v>
      </c>
      <c r="N1138" s="0" t="str">
        <f aca="false">RIGHT(M1138,LEN(M1138)-FIND(" ",M1138))</f>
        <v>HALL ST NW</v>
      </c>
      <c r="P1138" s="0" t="s">
        <v>146</v>
      </c>
      <c r="Q1138" s="0" t="s">
        <v>147</v>
      </c>
      <c r="R1138" s="0" t="n">
        <v>44483</v>
      </c>
      <c r="AD1138" s="0" t="s">
        <v>148</v>
      </c>
      <c r="AE1138" s="0" t="s">
        <v>149</v>
      </c>
      <c r="AF1138" s="0" t="s">
        <v>150</v>
      </c>
      <c r="AH1138" s="0" t="n">
        <v>14</v>
      </c>
      <c r="AI1138" s="0" t="n">
        <v>11</v>
      </c>
      <c r="AN1138" s="0" t="s">
        <v>146</v>
      </c>
      <c r="AO1138" s="0" t="s">
        <v>250</v>
      </c>
      <c r="AP1138" s="0" t="s">
        <v>251</v>
      </c>
      <c r="AQ1138" s="0" t="n">
        <v>9</v>
      </c>
      <c r="AR1138" s="0" t="n">
        <v>64</v>
      </c>
      <c r="AS1138" s="0" t="n">
        <v>32</v>
      </c>
      <c r="AU1138" s="0" t="n">
        <f aca="false">COUNTA($BA$2132:$EH$2132)</f>
        <v>33</v>
      </c>
      <c r="AV1138" s="0" t="n">
        <f aca="false">COUNTIF($BA$2132:$EH$2132,"D")</f>
        <v>5</v>
      </c>
      <c r="AW1138" s="0" t="n">
        <f aca="false">COUNTIF($BA$2132:$EH$2132,"R")</f>
        <v>0</v>
      </c>
      <c r="AX1138" s="0" t="n">
        <f aca="false"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>0</v>
      </c>
      <c r="AY1138" s="0" t="n">
        <f aca="false">COUNTIF(DU1138:EH1138, "&lt;&gt;")</f>
        <v>1</v>
      </c>
      <c r="AZ1138" s="0" t="n">
        <f aca="false">IF(EH1138&lt;&gt;"",1,0)</f>
        <v>0</v>
      </c>
      <c r="BB1138" s="0" t="s">
        <v>153</v>
      </c>
      <c r="CA1138" s="0" t="s">
        <v>154</v>
      </c>
      <c r="CP1138" s="0" t="s">
        <v>154</v>
      </c>
      <c r="CZ1138" s="0" t="s">
        <v>155</v>
      </c>
      <c r="DC1138" s="0" t="s">
        <v>154</v>
      </c>
      <c r="DN1138" s="0" t="s">
        <v>154</v>
      </c>
      <c r="EF1138" s="0" t="s">
        <v>154</v>
      </c>
    </row>
    <row r="1139" customFormat="false" ht="13.8" hidden="true" customHeight="false" outlineLevel="0" collapsed="false">
      <c r="A1139" s="0" t="s">
        <v>5459</v>
      </c>
      <c r="B1139" s="0" t="n">
        <v>78</v>
      </c>
      <c r="C1139" s="0" t="n">
        <v>455929</v>
      </c>
      <c r="D1139" s="0" t="s">
        <v>5460</v>
      </c>
      <c r="E1139" s="0" t="s">
        <v>5461</v>
      </c>
      <c r="F1139" s="0" t="str">
        <f aca="false">CONCATENATE(D1139," ",LEFT(H1139,4),"T=",AU1139,"D=",AV1139,"R=",AW1139,"M=",AX1139,"L=",AY1139,"B=",AZ1139)</f>
        <v>COMER T=19D=2R=2M=0L=0B=0</v>
      </c>
      <c r="G1139" s="0" t="s">
        <v>5462</v>
      </c>
      <c r="I1139" s="0" t="s">
        <v>5463</v>
      </c>
      <c r="J1139" s="0" t="s">
        <v>2666</v>
      </c>
      <c r="K1139" s="0" t="s">
        <v>144</v>
      </c>
      <c r="L1139" s="0"/>
      <c r="M1139" s="0" t="s">
        <v>5458</v>
      </c>
      <c r="N1139" s="0" t="str">
        <f aca="false">RIGHT(M1139,LEN(M1139)-FIND(" ",M1139))</f>
        <v>HALL ST NW</v>
      </c>
      <c r="P1139" s="0" t="s">
        <v>146</v>
      </c>
      <c r="Q1139" s="0" t="s">
        <v>147</v>
      </c>
      <c r="R1139" s="0" t="n">
        <v>44483</v>
      </c>
      <c r="AD1139" s="0" t="s">
        <v>148</v>
      </c>
      <c r="AE1139" s="0" t="s">
        <v>149</v>
      </c>
      <c r="AF1139" s="0" t="s">
        <v>150</v>
      </c>
      <c r="AH1139" s="0" t="n">
        <v>14</v>
      </c>
      <c r="AI1139" s="0" t="n">
        <v>11</v>
      </c>
      <c r="AN1139" s="0" t="s">
        <v>146</v>
      </c>
      <c r="AO1139" s="0" t="s">
        <v>250</v>
      </c>
      <c r="AP1139" s="0" t="s">
        <v>251</v>
      </c>
      <c r="AQ1139" s="0" t="n">
        <v>9</v>
      </c>
      <c r="AR1139" s="0" t="n">
        <v>64</v>
      </c>
      <c r="AS1139" s="0" t="n">
        <v>32</v>
      </c>
      <c r="AU1139" s="0" t="n">
        <f aca="false">COUNTA($BA$2382:$EH$2382)</f>
        <v>19</v>
      </c>
      <c r="AV1139" s="0" t="n">
        <f aca="false">COUNTIF($BA$2382:$EH$2382,"D")</f>
        <v>2</v>
      </c>
      <c r="AW1139" s="0" t="n">
        <f aca="false">COUNTIF($BA$2382:$EH$2382,"R")</f>
        <v>2</v>
      </c>
      <c r="AX1139" s="0" t="n">
        <f aca="false"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>0</v>
      </c>
      <c r="AY1139" s="0" t="n">
        <f aca="false">COUNTIF(DU1139:EH1139, "&lt;&gt;")</f>
        <v>0</v>
      </c>
      <c r="AZ1139" s="0" t="n">
        <f aca="false">IF(EH1139&lt;&gt;"",1,0)</f>
        <v>0</v>
      </c>
      <c r="BB1139" s="0" t="s">
        <v>153</v>
      </c>
    </row>
    <row r="1140" customFormat="false" ht="13.8" hidden="true" customHeight="false" outlineLevel="0" collapsed="false">
      <c r="A1140" s="0" t="s">
        <v>5464</v>
      </c>
      <c r="B1140" s="0" t="n">
        <v>78</v>
      </c>
      <c r="C1140" s="0" t="n">
        <v>487423</v>
      </c>
      <c r="D1140" s="0" t="s">
        <v>139</v>
      </c>
      <c r="E1140" s="0" t="s">
        <v>5465</v>
      </c>
      <c r="F1140" s="0" t="str">
        <f aca="false">CONCATENATE(D1140," ",LEFT(H1140,4),"T=",AU1140,"D=",AV1140,"R=",AW1140,"M=",AX1140,"L=",AY1140,"B=",AZ1140)</f>
        <v>ALLEN T=44D=14R=0M=0L=1B=0</v>
      </c>
      <c r="G1140" s="0" t="s">
        <v>241</v>
      </c>
      <c r="I1140" s="0" t="s">
        <v>5466</v>
      </c>
      <c r="J1140" s="0" t="s">
        <v>3939</v>
      </c>
      <c r="K1140" s="0" t="s">
        <v>175</v>
      </c>
      <c r="L1140" s="0"/>
      <c r="M1140" s="0" t="s">
        <v>5458</v>
      </c>
      <c r="N1140" s="0" t="str">
        <f aca="false">RIGHT(M1140,LEN(M1140)-FIND(" ",M1140))</f>
        <v>HALL ST NW</v>
      </c>
      <c r="P1140" s="0" t="s">
        <v>146</v>
      </c>
      <c r="Q1140" s="0" t="s">
        <v>147</v>
      </c>
      <c r="R1140" s="0" t="n">
        <v>44483</v>
      </c>
      <c r="AD1140" s="0" t="s">
        <v>148</v>
      </c>
      <c r="AE1140" s="0" t="s">
        <v>149</v>
      </c>
      <c r="AF1140" s="0" t="s">
        <v>150</v>
      </c>
      <c r="AH1140" s="0" t="n">
        <v>14</v>
      </c>
      <c r="AI1140" s="0" t="n">
        <v>11</v>
      </c>
      <c r="AN1140" s="0" t="s">
        <v>146</v>
      </c>
      <c r="AO1140" s="0" t="s">
        <v>250</v>
      </c>
      <c r="AP1140" s="0" t="s">
        <v>251</v>
      </c>
      <c r="AQ1140" s="0" t="n">
        <v>9</v>
      </c>
      <c r="AR1140" s="0" t="n">
        <v>64</v>
      </c>
      <c r="AS1140" s="0" t="n">
        <v>32</v>
      </c>
      <c r="AU1140" s="0" t="n">
        <f aca="false">COUNTA($BA$2616:$EH$2616)</f>
        <v>44</v>
      </c>
      <c r="AV1140" s="0" t="n">
        <f aca="false">COUNTIF($BA$2616:$EH$2616,"D")</f>
        <v>14</v>
      </c>
      <c r="AW1140" s="0" t="n">
        <f aca="false">COUNTIF($BA$2616:$EH$2616,"R")</f>
        <v>0</v>
      </c>
      <c r="AX1140" s="0" t="n">
        <f aca="false"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>0</v>
      </c>
      <c r="AY1140" s="0" t="n">
        <f aca="false">COUNTIF(DU1140:EH1140, "&lt;&gt;")</f>
        <v>1</v>
      </c>
      <c r="AZ1140" s="0" t="n">
        <f aca="false">IF(EH1140&lt;&gt;"",1,0)</f>
        <v>0</v>
      </c>
      <c r="BB1140" s="0" t="s">
        <v>153</v>
      </c>
      <c r="EF1140" s="0" t="s">
        <v>154</v>
      </c>
    </row>
    <row r="1141" customFormat="false" ht="13.8" hidden="false" customHeight="false" outlineLevel="0" collapsed="false">
      <c r="A1141" s="0" t="s">
        <v>5467</v>
      </c>
      <c r="B1141" s="0" t="n">
        <v>78</v>
      </c>
      <c r="C1141" s="0" t="n">
        <v>320281</v>
      </c>
      <c r="D1141" s="0" t="s">
        <v>5468</v>
      </c>
      <c r="E1141" s="0" t="s">
        <v>5469</v>
      </c>
      <c r="F1141" s="0" t="str">
        <f aca="false">CONCATENATE(D1141," ",LEFT(H1141,4),"T=",AU1141,"D=",AV1141,"R=",AW1141,"M=",AX1141,"L=",AY1141,"B=",AZ1141)</f>
        <v>DOWELL JRT=1D=0R=0M=1L=6B=1</v>
      </c>
      <c r="G1141" s="0" t="s">
        <v>761</v>
      </c>
      <c r="H1141" s="0" t="s">
        <v>431</v>
      </c>
      <c r="I1141" s="0" t="s">
        <v>5470</v>
      </c>
      <c r="J1141" s="0" t="s">
        <v>5471</v>
      </c>
      <c r="K1141" s="0" t="s">
        <v>175</v>
      </c>
      <c r="L1141" s="1" t="s">
        <v>155</v>
      </c>
      <c r="M1141" s="0" t="s">
        <v>5472</v>
      </c>
      <c r="N1141" s="0" t="str">
        <f aca="false">RIGHT(M1141,LEN(M1141)-FIND(" ",M1141))</f>
        <v>HALL ST NW</v>
      </c>
      <c r="P1141" s="0" t="s">
        <v>146</v>
      </c>
      <c r="Q1141" s="0" t="s">
        <v>147</v>
      </c>
      <c r="R1141" s="0" t="n">
        <v>44483</v>
      </c>
      <c r="AD1141" s="0" t="s">
        <v>148</v>
      </c>
      <c r="AE1141" s="0" t="s">
        <v>149</v>
      </c>
      <c r="AF1141" s="0" t="s">
        <v>150</v>
      </c>
      <c r="AH1141" s="0" t="n">
        <v>14</v>
      </c>
      <c r="AI1141" s="0" t="n">
        <v>11</v>
      </c>
      <c r="AN1141" s="0" t="s">
        <v>146</v>
      </c>
      <c r="AO1141" s="0" t="s">
        <v>151</v>
      </c>
      <c r="AP1141" s="0" t="s">
        <v>152</v>
      </c>
      <c r="AQ1141" s="0" t="n">
        <v>9</v>
      </c>
      <c r="AR1141" s="0" t="n">
        <v>64</v>
      </c>
      <c r="AS1141" s="0" t="n">
        <v>32</v>
      </c>
      <c r="AU1141" s="0" t="n">
        <f aca="false">COUNTA($BA$1766:$EH$1766)</f>
        <v>1</v>
      </c>
      <c r="AV1141" s="0" t="n">
        <f aca="false">COUNTIF($BA$1766:$EH$1766,"D")</f>
        <v>0</v>
      </c>
      <c r="AW1141" s="0" t="n">
        <f aca="false">COUNTIF($BA$1766:$EH$1766,"R")</f>
        <v>0</v>
      </c>
      <c r="AX1141" s="0" t="n">
        <f aca="false"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>1</v>
      </c>
      <c r="AY1141" s="0" t="n">
        <f aca="false">COUNTIF(DU1141:EH1141, "&lt;&gt;")</f>
        <v>6</v>
      </c>
      <c r="AZ1141" s="0" t="n">
        <f aca="false">IF(EH1141&lt;&gt;"",1,0)</f>
        <v>1</v>
      </c>
      <c r="BB1141" s="0" t="s">
        <v>153</v>
      </c>
      <c r="CA1141" s="0" t="s">
        <v>154</v>
      </c>
      <c r="CP1141" s="0" t="s">
        <v>154</v>
      </c>
      <c r="CY1141" s="0" t="s">
        <v>154</v>
      </c>
      <c r="DC1141" s="0" t="s">
        <v>154</v>
      </c>
      <c r="DI1141" s="0" t="s">
        <v>154</v>
      </c>
      <c r="DN1141" s="0" t="s">
        <v>154</v>
      </c>
      <c r="DU1141" s="0" t="s">
        <v>154</v>
      </c>
      <c r="DX1141" s="0" t="s">
        <v>154</v>
      </c>
      <c r="EA1141" s="0" t="s">
        <v>154</v>
      </c>
      <c r="ED1141" s="0" t="s">
        <v>155</v>
      </c>
      <c r="EF1141" s="0" t="s">
        <v>154</v>
      </c>
      <c r="EH1141" s="0" t="s">
        <v>155</v>
      </c>
    </row>
    <row r="1142" customFormat="false" ht="13.8" hidden="false" customHeight="false" outlineLevel="0" collapsed="false">
      <c r="A1142" s="0" t="s">
        <v>5473</v>
      </c>
      <c r="B1142" s="0" t="n">
        <v>78</v>
      </c>
      <c r="C1142" s="0" t="n">
        <v>298661</v>
      </c>
      <c r="D1142" s="0" t="s">
        <v>5468</v>
      </c>
      <c r="E1142" s="0" t="s">
        <v>629</v>
      </c>
      <c r="F1142" s="0" t="str">
        <f aca="false">CONCATENATE(D1142," ",LEFT(H1142,4),"T=",AU1142,"D=",AV1142,"R=",AW1142,"M=",AX1142,"L=",AY1142,"B=",AZ1142)</f>
        <v>DOWELL T=22D=7R=0M=1L=6B=1</v>
      </c>
      <c r="I1142" s="0" t="s">
        <v>5474</v>
      </c>
      <c r="J1142" s="0" t="s">
        <v>5475</v>
      </c>
      <c r="K1142" s="0" t="s">
        <v>175</v>
      </c>
      <c r="L1142" s="1" t="s">
        <v>155</v>
      </c>
      <c r="M1142" s="0" t="s">
        <v>5472</v>
      </c>
      <c r="N1142" s="0" t="str">
        <f aca="false">RIGHT(M1142,LEN(M1142)-FIND(" ",M1142))</f>
        <v>HALL ST NW</v>
      </c>
      <c r="P1142" s="0" t="s">
        <v>146</v>
      </c>
      <c r="Q1142" s="0" t="s">
        <v>147</v>
      </c>
      <c r="R1142" s="0" t="n">
        <v>44483</v>
      </c>
      <c r="AD1142" s="0" t="s">
        <v>148</v>
      </c>
      <c r="AE1142" s="0" t="s">
        <v>149</v>
      </c>
      <c r="AF1142" s="0" t="s">
        <v>150</v>
      </c>
      <c r="AH1142" s="0" t="n">
        <v>14</v>
      </c>
      <c r="AI1142" s="0" t="n">
        <v>11</v>
      </c>
      <c r="AN1142" s="0" t="s">
        <v>146</v>
      </c>
      <c r="AO1142" s="0" t="s">
        <v>151</v>
      </c>
      <c r="AP1142" s="0" t="s">
        <v>152</v>
      </c>
      <c r="AQ1142" s="0" t="n">
        <v>9</v>
      </c>
      <c r="AR1142" s="0" t="n">
        <v>64</v>
      </c>
      <c r="AS1142" s="0" t="n">
        <v>32</v>
      </c>
      <c r="AU1142" s="0" t="n">
        <f aca="false">COUNTA($BA$1773:$EH$1773)</f>
        <v>22</v>
      </c>
      <c r="AV1142" s="0" t="n">
        <f aca="false">COUNTIF($BA$1773:$EH$1773,"D")</f>
        <v>7</v>
      </c>
      <c r="AW1142" s="0" t="n">
        <f aca="false">COUNTIF($BA$1773:$EH$1773,"R")</f>
        <v>0</v>
      </c>
      <c r="AX1142" s="0" t="n">
        <f aca="false"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>1</v>
      </c>
      <c r="AY1142" s="0" t="n">
        <f aca="false">COUNTIF(DU1142:EH1142, "&lt;&gt;")</f>
        <v>6</v>
      </c>
      <c r="AZ1142" s="0" t="n">
        <f aca="false">IF(EH1142&lt;&gt;"",1,0)</f>
        <v>1</v>
      </c>
      <c r="BB1142" s="0" t="s">
        <v>153</v>
      </c>
      <c r="BY1142" s="0" t="s">
        <v>155</v>
      </c>
      <c r="CA1142" s="0" t="s">
        <v>154</v>
      </c>
      <c r="CK1142" s="0" t="s">
        <v>154</v>
      </c>
      <c r="CP1142" s="0" t="s">
        <v>154</v>
      </c>
      <c r="CY1142" s="0" t="s">
        <v>154</v>
      </c>
      <c r="CZ1142" s="0" t="s">
        <v>155</v>
      </c>
      <c r="DC1142" s="0" t="s">
        <v>154</v>
      </c>
      <c r="DI1142" s="0" t="s">
        <v>154</v>
      </c>
      <c r="DN1142" s="0" t="s">
        <v>154</v>
      </c>
      <c r="DU1142" s="0" t="s">
        <v>154</v>
      </c>
      <c r="DX1142" s="0" t="s">
        <v>154</v>
      </c>
      <c r="EA1142" s="0" t="s">
        <v>154</v>
      </c>
      <c r="ED1142" s="0" t="s">
        <v>155</v>
      </c>
      <c r="EF1142" s="0" t="s">
        <v>154</v>
      </c>
      <c r="EH1142" s="0" t="s">
        <v>155</v>
      </c>
    </row>
    <row r="1143" customFormat="false" ht="13.8" hidden="false" customHeight="false" outlineLevel="0" collapsed="false">
      <c r="A1143" s="0" t="s">
        <v>5476</v>
      </c>
      <c r="B1143" s="0" t="n">
        <v>78</v>
      </c>
      <c r="C1143" s="0" t="n">
        <v>316817</v>
      </c>
      <c r="D1143" s="0" t="s">
        <v>5468</v>
      </c>
      <c r="E1143" s="0" t="s">
        <v>5477</v>
      </c>
      <c r="F1143" s="0" t="str">
        <f aca="false">CONCATENATE(D1143," ",LEFT(H1143,4),"T=",AU1143,"D=",AV1143,"R=",AW1143,"M=",AX1143,"L=",AY1143,"B=",AZ1143)</f>
        <v>DOWELL T=1D=0R=0M=1L=3B=1</v>
      </c>
      <c r="G1143" s="0" t="s">
        <v>188</v>
      </c>
      <c r="I1143" s="0" t="s">
        <v>5478</v>
      </c>
      <c r="J1143" s="0" t="s">
        <v>5471</v>
      </c>
      <c r="K1143" s="0" t="s">
        <v>175</v>
      </c>
      <c r="L1143" s="1" t="s">
        <v>155</v>
      </c>
      <c r="M1143" s="0" t="s">
        <v>5472</v>
      </c>
      <c r="N1143" s="0" t="str">
        <f aca="false">RIGHT(M1143,LEN(M1143)-FIND(" ",M1143))</f>
        <v>HALL ST NW</v>
      </c>
      <c r="P1143" s="0" t="s">
        <v>146</v>
      </c>
      <c r="Q1143" s="0" t="s">
        <v>147</v>
      </c>
      <c r="R1143" s="0" t="n">
        <v>44483</v>
      </c>
      <c r="AD1143" s="0" t="s">
        <v>148</v>
      </c>
      <c r="AE1143" s="0" t="s">
        <v>149</v>
      </c>
      <c r="AF1143" s="0" t="s">
        <v>150</v>
      </c>
      <c r="AH1143" s="0" t="n">
        <v>14</v>
      </c>
      <c r="AI1143" s="0" t="n">
        <v>11</v>
      </c>
      <c r="AN1143" s="0" t="s">
        <v>146</v>
      </c>
      <c r="AO1143" s="0" t="s">
        <v>151</v>
      </c>
      <c r="AP1143" s="0" t="s">
        <v>152</v>
      </c>
      <c r="AQ1143" s="0" t="n">
        <v>9</v>
      </c>
      <c r="AR1143" s="0" t="n">
        <v>64</v>
      </c>
      <c r="AS1143" s="0" t="n">
        <v>32</v>
      </c>
      <c r="AU1143" s="0" t="n">
        <f aca="false">COUNTA($BA$1778:$EH$1778)</f>
        <v>1</v>
      </c>
      <c r="AV1143" s="0" t="n">
        <f aca="false">COUNTIF($BA$1778:$EH$1778,"D")</f>
        <v>0</v>
      </c>
      <c r="AW1143" s="0" t="n">
        <f aca="false">COUNTIF($BA$1778:$EH$1778,"R")</f>
        <v>0</v>
      </c>
      <c r="AX1143" s="0" t="n">
        <f aca="false"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>1</v>
      </c>
      <c r="AY1143" s="0" t="n">
        <f aca="false">COUNTIF(DU1143:EH1143, "&lt;&gt;")</f>
        <v>3</v>
      </c>
      <c r="AZ1143" s="0" t="n">
        <f aca="false">IF(EH1143&lt;&gt;"",1,0)</f>
        <v>1</v>
      </c>
      <c r="BB1143" s="0" t="s">
        <v>153</v>
      </c>
      <c r="BJ1143" s="0" t="s">
        <v>154</v>
      </c>
      <c r="BK1143" s="0" t="s">
        <v>154</v>
      </c>
      <c r="BS1143" s="0" t="s">
        <v>154</v>
      </c>
      <c r="BY1143" s="0" t="s">
        <v>155</v>
      </c>
      <c r="CA1143" s="0" t="s">
        <v>154</v>
      </c>
      <c r="CP1143" s="0" t="s">
        <v>154</v>
      </c>
      <c r="CY1143" s="0" t="s">
        <v>154</v>
      </c>
      <c r="CZ1143" s="0" t="s">
        <v>155</v>
      </c>
      <c r="DC1143" s="0" t="s">
        <v>154</v>
      </c>
      <c r="EA1143" s="0" t="s">
        <v>154</v>
      </c>
      <c r="EF1143" s="0" t="s">
        <v>154</v>
      </c>
      <c r="EH1143" s="0" t="s">
        <v>155</v>
      </c>
    </row>
    <row r="1144" customFormat="false" ht="13.8" hidden="true" customHeight="false" outlineLevel="0" collapsed="false">
      <c r="A1144" s="0" t="s">
        <v>5479</v>
      </c>
      <c r="B1144" s="0" t="n">
        <v>78</v>
      </c>
      <c r="C1144" s="0" t="n">
        <v>299121</v>
      </c>
      <c r="D1144" s="0" t="s">
        <v>5480</v>
      </c>
      <c r="E1144" s="0" t="s">
        <v>802</v>
      </c>
      <c r="F1144" s="0" t="str">
        <f aca="false">CONCATENATE(D1144," ",LEFT(H1144,4),"T=",AU1144,"D=",AV1144,"R=",AW1144,"M=",AX1144,"L=",AY1144,"B=",AZ1144)</f>
        <v>COOKE T=33D=10R=0M=0L=0B=0</v>
      </c>
      <c r="G1144" s="0" t="s">
        <v>241</v>
      </c>
      <c r="I1144" s="0" t="s">
        <v>5481</v>
      </c>
      <c r="J1144" s="0" t="s">
        <v>5482</v>
      </c>
      <c r="K1144" s="0" t="s">
        <v>175</v>
      </c>
      <c r="L1144" s="0"/>
      <c r="M1144" s="0" t="s">
        <v>5483</v>
      </c>
      <c r="N1144" s="0" t="str">
        <f aca="false">RIGHT(M1144,LEN(M1144)-FIND(" ",M1144))</f>
        <v>HALL ST NW</v>
      </c>
      <c r="P1144" s="0" t="s">
        <v>146</v>
      </c>
      <c r="Q1144" s="0" t="s">
        <v>147</v>
      </c>
      <c r="R1144" s="0" t="n">
        <v>44483</v>
      </c>
      <c r="AD1144" s="0" t="s">
        <v>148</v>
      </c>
      <c r="AE1144" s="0" t="s">
        <v>149</v>
      </c>
      <c r="AF1144" s="0" t="s">
        <v>150</v>
      </c>
      <c r="AH1144" s="0" t="n">
        <v>14</v>
      </c>
      <c r="AI1144" s="0" t="n">
        <v>11</v>
      </c>
      <c r="AN1144" s="0" t="s">
        <v>146</v>
      </c>
      <c r="AO1144" s="0" t="s">
        <v>250</v>
      </c>
      <c r="AP1144" s="0" t="s">
        <v>251</v>
      </c>
      <c r="AQ1144" s="0" t="n">
        <v>9</v>
      </c>
      <c r="AR1144" s="0" t="n">
        <v>64</v>
      </c>
      <c r="AS1144" s="0" t="n">
        <v>32</v>
      </c>
      <c r="AU1144" s="0" t="n">
        <f aca="false">COUNTA($BA$2157:$EH$2157)</f>
        <v>33</v>
      </c>
      <c r="AV1144" s="0" t="n">
        <f aca="false">COUNTIF($BA$2157:$EH$2157,"D")</f>
        <v>10</v>
      </c>
      <c r="AW1144" s="0" t="n">
        <f aca="false">COUNTIF($BA$2157:$EH$2157,"R")</f>
        <v>0</v>
      </c>
      <c r="AX1144" s="0" t="n">
        <f aca="false"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>0</v>
      </c>
      <c r="AY1144" s="0" t="n">
        <f aca="false">COUNTIF(DU1144:EH1144, "&lt;&gt;")</f>
        <v>0</v>
      </c>
      <c r="AZ1144" s="0" t="n">
        <f aca="false">IF(EH1144&lt;&gt;"",1,0)</f>
        <v>0</v>
      </c>
      <c r="BB1144" s="0" t="s">
        <v>153</v>
      </c>
    </row>
    <row r="1145" customFormat="false" ht="13.8" hidden="false" customHeight="false" outlineLevel="0" collapsed="false">
      <c r="A1145" s="0" t="s">
        <v>5484</v>
      </c>
      <c r="B1145" s="0" t="n">
        <v>78</v>
      </c>
      <c r="C1145" s="0" t="n">
        <v>324630</v>
      </c>
      <c r="D1145" s="0" t="s">
        <v>317</v>
      </c>
      <c r="E1145" s="0" t="s">
        <v>5485</v>
      </c>
      <c r="F1145" s="0" t="str">
        <f aca="false">CONCATENATE(D1145," ",LEFT(H1145,4),"T=",AU1145,"D=",AV1145,"R=",AW1145,"M=",AX1145,"L=",AY1145,"B=",AZ1145)</f>
        <v>LEE T=1D=0R=0M=0L=3B=0</v>
      </c>
      <c r="G1145" s="0" t="s">
        <v>241</v>
      </c>
      <c r="I1145" s="0" t="s">
        <v>5486</v>
      </c>
      <c r="J1145" s="0" t="s">
        <v>5487</v>
      </c>
      <c r="K1145" s="0" t="s">
        <v>175</v>
      </c>
      <c r="L1145" s="1" t="s">
        <v>155</v>
      </c>
      <c r="M1145" s="0" t="s">
        <v>5488</v>
      </c>
      <c r="N1145" s="0" t="str">
        <f aca="false">RIGHT(M1145,LEN(M1145)-FIND(" ",M1145))</f>
        <v>HALL ST NW</v>
      </c>
      <c r="P1145" s="0" t="s">
        <v>146</v>
      </c>
      <c r="Q1145" s="0" t="s">
        <v>147</v>
      </c>
      <c r="R1145" s="0" t="n">
        <v>44483</v>
      </c>
      <c r="AD1145" s="0" t="s">
        <v>148</v>
      </c>
      <c r="AE1145" s="0" t="s">
        <v>149</v>
      </c>
      <c r="AF1145" s="0" t="s">
        <v>150</v>
      </c>
      <c r="AH1145" s="0" t="n">
        <v>14</v>
      </c>
      <c r="AI1145" s="0" t="n">
        <v>11</v>
      </c>
      <c r="AN1145" s="0" t="s">
        <v>146</v>
      </c>
      <c r="AO1145" s="0" t="s">
        <v>250</v>
      </c>
      <c r="AP1145" s="0" t="s">
        <v>251</v>
      </c>
      <c r="AQ1145" s="0" t="n">
        <v>9</v>
      </c>
      <c r="AR1145" s="0" t="n">
        <v>64</v>
      </c>
      <c r="AS1145" s="0" t="n">
        <v>32</v>
      </c>
      <c r="AU1145" s="0" t="n">
        <f aca="false">COUNTA($BA$2172:$EH$2172)</f>
        <v>1</v>
      </c>
      <c r="AV1145" s="0" t="n">
        <f aca="false">COUNTIF($BA$2172:$EH$2172,"D")</f>
        <v>0</v>
      </c>
      <c r="AW1145" s="0" t="n">
        <f aca="false">COUNTIF($BA$2172:$EH$2172,"R")</f>
        <v>0</v>
      </c>
      <c r="AX1145" s="0" t="n">
        <f aca="false"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>0</v>
      </c>
      <c r="AY1145" s="0" t="n">
        <f aca="false">COUNTIF(DU1145:EH1145, "&lt;&gt;")</f>
        <v>3</v>
      </c>
      <c r="AZ1145" s="0" t="n">
        <f aca="false">IF(EH1145&lt;&gt;"",1,0)</f>
        <v>0</v>
      </c>
      <c r="BB1145" s="0" t="s">
        <v>153</v>
      </c>
      <c r="BL1145" s="0" t="s">
        <v>154</v>
      </c>
      <c r="BS1145" s="0" t="s">
        <v>154</v>
      </c>
      <c r="BY1145" s="0" t="s">
        <v>155</v>
      </c>
      <c r="CA1145" s="0" t="s">
        <v>154</v>
      </c>
      <c r="CP1145" s="0" t="s">
        <v>154</v>
      </c>
      <c r="CV1145" s="0" t="s">
        <v>154</v>
      </c>
      <c r="CY1145" s="0" t="s">
        <v>154</v>
      </c>
      <c r="CZ1145" s="0" t="s">
        <v>155</v>
      </c>
      <c r="DC1145" s="0" t="s">
        <v>154</v>
      </c>
      <c r="DI1145" s="0" t="s">
        <v>154</v>
      </c>
      <c r="DN1145" s="0" t="s">
        <v>154</v>
      </c>
      <c r="EA1145" s="0" t="s">
        <v>154</v>
      </c>
      <c r="ED1145" s="0" t="s">
        <v>155</v>
      </c>
      <c r="EF1145" s="0" t="s">
        <v>154</v>
      </c>
    </row>
    <row r="1146" customFormat="false" ht="13.8" hidden="true" customHeight="false" outlineLevel="0" collapsed="false">
      <c r="A1146" s="0" t="s">
        <v>5489</v>
      </c>
      <c r="B1146" s="0" t="n">
        <v>78</v>
      </c>
      <c r="C1146" s="0" t="n">
        <v>489770</v>
      </c>
      <c r="D1146" s="0" t="s">
        <v>165</v>
      </c>
      <c r="E1146" s="0" t="s">
        <v>5490</v>
      </c>
      <c r="F1146" s="0" t="str">
        <f aca="false">CONCATENATE(D1146," ",LEFT(H1146,4),"T=",AU1146,"D=",AV1146,"R=",AW1146,"M=",AX1146,"L=",AY1146,"B=",AZ1146)</f>
        <v>THOMAS T=18D=5R=0M=0L=1B=0</v>
      </c>
      <c r="I1146" s="0" t="s">
        <v>1279</v>
      </c>
      <c r="J1146" s="0" t="s">
        <v>580</v>
      </c>
      <c r="K1146" s="0" t="s">
        <v>175</v>
      </c>
      <c r="L1146" s="0"/>
      <c r="M1146" s="0" t="s">
        <v>5488</v>
      </c>
      <c r="N1146" s="0" t="str">
        <f aca="false">RIGHT(M1146,LEN(M1146)-FIND(" ",M1146))</f>
        <v>HALL ST NW</v>
      </c>
      <c r="P1146" s="0" t="s">
        <v>146</v>
      </c>
      <c r="Q1146" s="0" t="s">
        <v>147</v>
      </c>
      <c r="R1146" s="0" t="n">
        <v>44483</v>
      </c>
      <c r="AD1146" s="0" t="s">
        <v>148</v>
      </c>
      <c r="AE1146" s="0" t="s">
        <v>149</v>
      </c>
      <c r="AF1146" s="0" t="s">
        <v>150</v>
      </c>
      <c r="AH1146" s="0" t="n">
        <v>14</v>
      </c>
      <c r="AI1146" s="0" t="n">
        <v>11</v>
      </c>
      <c r="AN1146" s="0" t="s">
        <v>146</v>
      </c>
      <c r="AO1146" s="0" t="s">
        <v>250</v>
      </c>
      <c r="AP1146" s="0" t="s">
        <v>251</v>
      </c>
      <c r="AQ1146" s="0" t="n">
        <v>9</v>
      </c>
      <c r="AR1146" s="0" t="n">
        <v>64</v>
      </c>
      <c r="AS1146" s="0" t="n">
        <v>32</v>
      </c>
      <c r="AU1146" s="0" t="n">
        <f aca="false">COUNTA($BA$2520:$EH$2520)</f>
        <v>18</v>
      </c>
      <c r="AV1146" s="0" t="n">
        <f aca="false">COUNTIF($BA$2520:$EH$2520,"D")</f>
        <v>5</v>
      </c>
      <c r="AW1146" s="0" t="n">
        <f aca="false">COUNTIF($BA$2520:$EH$2520,"R")</f>
        <v>0</v>
      </c>
      <c r="AX1146" s="0" t="n">
        <f aca="false"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>0</v>
      </c>
      <c r="AY1146" s="0" t="n">
        <f aca="false">COUNTIF(DU1146:EH1146, "&lt;&gt;")</f>
        <v>1</v>
      </c>
      <c r="AZ1146" s="0" t="n">
        <f aca="false">IF(EH1146&lt;&gt;"",1,0)</f>
        <v>0</v>
      </c>
      <c r="BB1146" s="0" t="s">
        <v>153</v>
      </c>
      <c r="EF1146" s="0" t="s">
        <v>154</v>
      </c>
    </row>
    <row r="1147" customFormat="false" ht="13.8" hidden="true" customHeight="false" outlineLevel="0" collapsed="false">
      <c r="A1147" s="0" t="s">
        <v>5491</v>
      </c>
      <c r="B1147" s="0" t="n">
        <v>78</v>
      </c>
      <c r="C1147" s="0" t="n">
        <v>358055</v>
      </c>
      <c r="D1147" s="0" t="s">
        <v>2575</v>
      </c>
      <c r="E1147" s="0" t="s">
        <v>5492</v>
      </c>
      <c r="F1147" s="0" t="str">
        <f aca="false">CONCATENATE(D1147," ",LEFT(H1147,4),"T=",AU1147,"D=",AV1147,"R=",AW1147,"M=",AX1147,"L=",AY1147,"B=",AZ1147)</f>
        <v>FLOWERS SRT=15D=2R=0M=0L=1B=0</v>
      </c>
      <c r="G1147" s="0" t="s">
        <v>172</v>
      </c>
      <c r="H1147" s="0" t="s">
        <v>311</v>
      </c>
      <c r="I1147" s="0" t="s">
        <v>5493</v>
      </c>
      <c r="J1147" s="0" t="s">
        <v>5494</v>
      </c>
      <c r="K1147" s="0" t="s">
        <v>175</v>
      </c>
      <c r="L1147" s="0"/>
      <c r="M1147" s="0" t="s">
        <v>5495</v>
      </c>
      <c r="N1147" s="0" t="str">
        <f aca="false">RIGHT(M1147,LEN(M1147)-FIND(" ",M1147))</f>
        <v>HALL ST NW</v>
      </c>
      <c r="P1147" s="0" t="s">
        <v>146</v>
      </c>
      <c r="Q1147" s="0" t="s">
        <v>147</v>
      </c>
      <c r="R1147" s="0" t="n">
        <v>44483</v>
      </c>
      <c r="AD1147" s="0" t="s">
        <v>148</v>
      </c>
      <c r="AE1147" s="0" t="s">
        <v>149</v>
      </c>
      <c r="AF1147" s="0" t="s">
        <v>150</v>
      </c>
      <c r="AH1147" s="0" t="n">
        <v>14</v>
      </c>
      <c r="AI1147" s="0" t="n">
        <v>11</v>
      </c>
      <c r="AN1147" s="0" t="s">
        <v>146</v>
      </c>
      <c r="AO1147" s="0" t="s">
        <v>250</v>
      </c>
      <c r="AP1147" s="0" t="s">
        <v>251</v>
      </c>
      <c r="AQ1147" s="0" t="n">
        <v>9</v>
      </c>
      <c r="AR1147" s="0" t="n">
        <v>64</v>
      </c>
      <c r="AS1147" s="0" t="n">
        <v>32</v>
      </c>
      <c r="AU1147" s="0" t="n">
        <f aca="false">COUNTA($BA$2617:$EH$2617)</f>
        <v>15</v>
      </c>
      <c r="AV1147" s="0" t="n">
        <f aca="false">COUNTIF($BA$2617:$EH$2617,"D")</f>
        <v>2</v>
      </c>
      <c r="AW1147" s="0" t="n">
        <f aca="false">COUNTIF($BA$2617:$EH$2617,"R")</f>
        <v>0</v>
      </c>
      <c r="AX1147" s="0" t="n">
        <f aca="false"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>0</v>
      </c>
      <c r="AY1147" s="0" t="n">
        <f aca="false">COUNTIF(DU1147:EH1147, "&lt;&gt;")</f>
        <v>1</v>
      </c>
      <c r="AZ1147" s="0" t="n">
        <f aca="false">IF(EH1147&lt;&gt;"",1,0)</f>
        <v>0</v>
      </c>
      <c r="BB1147" s="0" t="s">
        <v>153</v>
      </c>
      <c r="CA1147" s="0" t="s">
        <v>154</v>
      </c>
      <c r="CP1147" s="0" t="s">
        <v>154</v>
      </c>
      <c r="DN1147" s="0" t="s">
        <v>154</v>
      </c>
      <c r="EF1147" s="0" t="s">
        <v>154</v>
      </c>
    </row>
    <row r="1148" customFormat="false" ht="13.8" hidden="true" customHeight="false" outlineLevel="0" collapsed="false">
      <c r="A1148" s="0" t="s">
        <v>5496</v>
      </c>
      <c r="B1148" s="0" t="n">
        <v>78</v>
      </c>
      <c r="C1148" s="0" t="n">
        <v>369119</v>
      </c>
      <c r="D1148" s="0" t="s">
        <v>5497</v>
      </c>
      <c r="E1148" s="0" t="s">
        <v>1684</v>
      </c>
      <c r="F1148" s="0" t="str">
        <f aca="false">CONCATENATE(D1148," ",LEFT(H1148,4),"T=",AU1148,"D=",AV1148,"R=",AW1148,"M=",AX1148,"L=",AY1148,"B=",AZ1148)</f>
        <v>VUKOVICH T=11D=1R=0M=0L=0B=0</v>
      </c>
      <c r="G1148" s="0" t="s">
        <v>802</v>
      </c>
      <c r="I1148" s="0" t="s">
        <v>5498</v>
      </c>
      <c r="J1148" s="0" t="s">
        <v>757</v>
      </c>
      <c r="K1148" s="0" t="s">
        <v>175</v>
      </c>
      <c r="L1148" s="0"/>
      <c r="M1148" s="0" t="s">
        <v>5499</v>
      </c>
      <c r="N1148" s="0" t="str">
        <f aca="false">RIGHT(M1148,LEN(M1148)-FIND(" ",M1148))</f>
        <v>HALL ST NW</v>
      </c>
      <c r="P1148" s="0" t="s">
        <v>146</v>
      </c>
      <c r="Q1148" s="0" t="s">
        <v>147</v>
      </c>
      <c r="R1148" s="0" t="n">
        <v>44483</v>
      </c>
      <c r="AD1148" s="0" t="s">
        <v>148</v>
      </c>
      <c r="AE1148" s="0" t="s">
        <v>149</v>
      </c>
      <c r="AF1148" s="0" t="s">
        <v>150</v>
      </c>
      <c r="AH1148" s="0" t="n">
        <v>14</v>
      </c>
      <c r="AI1148" s="0" t="n">
        <v>11</v>
      </c>
      <c r="AN1148" s="0" t="s">
        <v>146</v>
      </c>
      <c r="AO1148" s="0" t="s">
        <v>250</v>
      </c>
      <c r="AP1148" s="0" t="s">
        <v>251</v>
      </c>
      <c r="AQ1148" s="0" t="n">
        <v>9</v>
      </c>
      <c r="AR1148" s="0" t="n">
        <v>64</v>
      </c>
      <c r="AS1148" s="0" t="n">
        <v>32</v>
      </c>
      <c r="AU1148" s="0" t="n">
        <f aca="false">COUNTA($BA$2398:$EH$2398)</f>
        <v>11</v>
      </c>
      <c r="AV1148" s="0" t="n">
        <f aca="false">COUNTIF($BA$2398:$EH$2398,"D")</f>
        <v>1</v>
      </c>
      <c r="AW1148" s="0" t="n">
        <f aca="false">COUNTIF($BA$2398:$EH$2398,"R")</f>
        <v>0</v>
      </c>
      <c r="AX1148" s="0" t="n">
        <f aca="false"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>0</v>
      </c>
      <c r="AY1148" s="0" t="n">
        <f aca="false">COUNTIF(DU1148:EH1148, "&lt;&gt;")</f>
        <v>0</v>
      </c>
      <c r="AZ1148" s="0" t="n">
        <f aca="false">IF(EH1148&lt;&gt;"",1,0)</f>
        <v>0</v>
      </c>
      <c r="BB1148" s="0" t="s">
        <v>153</v>
      </c>
      <c r="CP1148" s="0" t="s">
        <v>154</v>
      </c>
      <c r="DC1148" s="0" t="s">
        <v>154</v>
      </c>
      <c r="DN1148" s="0" t="s">
        <v>154</v>
      </c>
    </row>
    <row r="1149" customFormat="false" ht="13.8" hidden="true" customHeight="false" outlineLevel="0" collapsed="false">
      <c r="A1149" s="0" t="s">
        <v>5500</v>
      </c>
      <c r="B1149" s="0" t="n">
        <v>78</v>
      </c>
      <c r="C1149" s="0" t="n">
        <v>495033</v>
      </c>
      <c r="D1149" s="0" t="s">
        <v>5468</v>
      </c>
      <c r="E1149" s="0" t="s">
        <v>5501</v>
      </c>
      <c r="F1149" s="0" t="str">
        <f aca="false">CONCATENATE(D1149," ",LEFT(H1149,4),"T=",AU1149,"D=",AV1149,"R=",AW1149,"M=",AX1149,"L=",AY1149,"B=",AZ1149)</f>
        <v>DOWELL T=10D=5R=0M=0L=0B=0</v>
      </c>
      <c r="G1149" s="0" t="s">
        <v>5502</v>
      </c>
      <c r="I1149" s="0" t="s">
        <v>5503</v>
      </c>
      <c r="J1149" s="0" t="s">
        <v>5504</v>
      </c>
      <c r="K1149" s="0" t="s">
        <v>175</v>
      </c>
      <c r="L1149" s="0"/>
      <c r="M1149" s="0" t="s">
        <v>5499</v>
      </c>
      <c r="N1149" s="0" t="str">
        <f aca="false">RIGHT(M1149,LEN(M1149)-FIND(" ",M1149))</f>
        <v>HALL ST NW</v>
      </c>
      <c r="P1149" s="0" t="s">
        <v>146</v>
      </c>
      <c r="Q1149" s="0" t="s">
        <v>147</v>
      </c>
      <c r="R1149" s="0" t="n">
        <v>44483</v>
      </c>
      <c r="AD1149" s="0" t="s">
        <v>148</v>
      </c>
      <c r="AE1149" s="0" t="s">
        <v>149</v>
      </c>
      <c r="AF1149" s="0" t="s">
        <v>150</v>
      </c>
      <c r="AH1149" s="0" t="n">
        <v>14</v>
      </c>
      <c r="AI1149" s="0" t="n">
        <v>11</v>
      </c>
      <c r="AN1149" s="0" t="s">
        <v>146</v>
      </c>
      <c r="AO1149" s="0" t="s">
        <v>250</v>
      </c>
      <c r="AP1149" s="0" t="s">
        <v>251</v>
      </c>
      <c r="AQ1149" s="0" t="n">
        <v>9</v>
      </c>
      <c r="AR1149" s="0" t="n">
        <v>64</v>
      </c>
      <c r="AS1149" s="0" t="n">
        <v>32</v>
      </c>
      <c r="AU1149" s="0" t="n">
        <f aca="false">COUNTA($BA$2714:$EH$2714)</f>
        <v>10</v>
      </c>
      <c r="AV1149" s="0" t="n">
        <f aca="false">COUNTIF($BA$2714:$EH$2714,"D")</f>
        <v>5</v>
      </c>
      <c r="AW1149" s="0" t="n">
        <f aca="false">COUNTIF($BA$2714:$EH$2714,"R")</f>
        <v>0</v>
      </c>
      <c r="AX1149" s="0" t="n">
        <f aca="false"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>0</v>
      </c>
      <c r="AY1149" s="0" t="n">
        <f aca="false">COUNTIF(DU1149:EH1149, "&lt;&gt;")</f>
        <v>0</v>
      </c>
      <c r="AZ1149" s="0" t="n">
        <f aca="false">IF(EH1149&lt;&gt;"",1,0)</f>
        <v>0</v>
      </c>
      <c r="BB1149" s="0" t="s">
        <v>153</v>
      </c>
      <c r="CP1149" s="0" t="s">
        <v>154</v>
      </c>
    </row>
    <row r="1150" customFormat="false" ht="13.8" hidden="true" customHeight="false" outlineLevel="0" collapsed="false">
      <c r="A1150" s="0" t="s">
        <v>5505</v>
      </c>
      <c r="B1150" s="0" t="n">
        <v>78</v>
      </c>
      <c r="C1150" s="0" t="n">
        <v>322332</v>
      </c>
      <c r="D1150" s="0" t="s">
        <v>1263</v>
      </c>
      <c r="E1150" s="0" t="s">
        <v>471</v>
      </c>
      <c r="F1150" s="0" t="str">
        <f aca="false">CONCATENATE(D1150," ",LEFT(H1150,4),"T=",AU1150,"D=",AV1150,"R=",AW1150,"M=",AX1150,"L=",AY1150,"B=",AZ1150)</f>
        <v>PAUL T=9D=1R=0M=0L=0B=0</v>
      </c>
      <c r="G1150" s="0" t="s">
        <v>202</v>
      </c>
      <c r="I1150" s="0" t="s">
        <v>5506</v>
      </c>
      <c r="J1150" s="0" t="s">
        <v>5507</v>
      </c>
      <c r="K1150" s="0" t="s">
        <v>175</v>
      </c>
      <c r="L1150" s="0"/>
      <c r="M1150" s="0" t="s">
        <v>5508</v>
      </c>
      <c r="N1150" s="0" t="str">
        <f aca="false">RIGHT(M1150,LEN(M1150)-FIND(" ",M1150))</f>
        <v>HALL ST NW</v>
      </c>
      <c r="P1150" s="0" t="s">
        <v>146</v>
      </c>
      <c r="Q1150" s="0" t="s">
        <v>147</v>
      </c>
      <c r="R1150" s="0" t="n">
        <v>44483</v>
      </c>
      <c r="AD1150" s="0" t="s">
        <v>148</v>
      </c>
      <c r="AE1150" s="0" t="s">
        <v>149</v>
      </c>
      <c r="AF1150" s="0" t="s">
        <v>150</v>
      </c>
      <c r="AH1150" s="0" t="n">
        <v>14</v>
      </c>
      <c r="AI1150" s="0" t="n">
        <v>11</v>
      </c>
      <c r="AN1150" s="0" t="s">
        <v>146</v>
      </c>
      <c r="AO1150" s="0" t="s">
        <v>250</v>
      </c>
      <c r="AP1150" s="0" t="s">
        <v>251</v>
      </c>
      <c r="AQ1150" s="0" t="n">
        <v>9</v>
      </c>
      <c r="AR1150" s="0" t="n">
        <v>64</v>
      </c>
      <c r="AS1150" s="0" t="n">
        <v>32</v>
      </c>
      <c r="AU1150" s="0" t="n">
        <f aca="false">COUNTA($BA$2201:$EH$2201)</f>
        <v>9</v>
      </c>
      <c r="AV1150" s="0" t="n">
        <f aca="false">COUNTIF($BA$2201:$EH$2201,"D")</f>
        <v>1</v>
      </c>
      <c r="AW1150" s="0" t="n">
        <f aca="false">COUNTIF($BA$2201:$EH$2201,"R")</f>
        <v>0</v>
      </c>
      <c r="AX1150" s="0" t="n">
        <f aca="false"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>0</v>
      </c>
      <c r="AY1150" s="0" t="n">
        <f aca="false">COUNTIF(DU1150:EH1150, "&lt;&gt;")</f>
        <v>0</v>
      </c>
      <c r="AZ1150" s="0" t="n">
        <f aca="false">IF(EH1150&lt;&gt;"",1,0)</f>
        <v>0</v>
      </c>
      <c r="BB1150" s="0" t="s">
        <v>153</v>
      </c>
      <c r="BL1150" s="0" t="s">
        <v>154</v>
      </c>
      <c r="CA1150" s="0" t="s">
        <v>154</v>
      </c>
      <c r="CP1150" s="0" t="s">
        <v>154</v>
      </c>
      <c r="DI1150" s="0" t="s">
        <v>154</v>
      </c>
      <c r="DN1150" s="0" t="s">
        <v>154</v>
      </c>
    </row>
    <row r="1151" customFormat="false" ht="13.8" hidden="true" customHeight="false" outlineLevel="0" collapsed="false">
      <c r="A1151" s="0" t="s">
        <v>5509</v>
      </c>
      <c r="B1151" s="0" t="n">
        <v>78</v>
      </c>
      <c r="C1151" s="0" t="n">
        <v>352337</v>
      </c>
      <c r="D1151" s="0" t="s">
        <v>4824</v>
      </c>
      <c r="E1151" s="0" t="s">
        <v>4428</v>
      </c>
      <c r="F1151" s="0" t="str">
        <f aca="false">CONCATENATE(D1151," ",LEFT(H1151,4),"T=",AU1151,"D=",AV1151,"R=",AW1151,"M=",AX1151,"L=",AY1151,"B=",AZ1151)</f>
        <v>GOODWIN T=43D=12R=0M=0L=0B=0</v>
      </c>
      <c r="G1151" s="0" t="s">
        <v>652</v>
      </c>
      <c r="I1151" s="0" t="s">
        <v>5510</v>
      </c>
      <c r="J1151" s="0" t="s">
        <v>5511</v>
      </c>
      <c r="K1151" s="0" t="s">
        <v>144</v>
      </c>
      <c r="L1151" s="0"/>
      <c r="M1151" s="0" t="s">
        <v>5508</v>
      </c>
      <c r="N1151" s="0" t="str">
        <f aca="false">RIGHT(M1151,LEN(M1151)-FIND(" ",M1151))</f>
        <v>HALL ST NW</v>
      </c>
      <c r="P1151" s="0" t="s">
        <v>146</v>
      </c>
      <c r="Q1151" s="0" t="s">
        <v>147</v>
      </c>
      <c r="R1151" s="0" t="n">
        <v>44483</v>
      </c>
      <c r="AD1151" s="0" t="s">
        <v>148</v>
      </c>
      <c r="AE1151" s="0" t="s">
        <v>149</v>
      </c>
      <c r="AF1151" s="0" t="s">
        <v>150</v>
      </c>
      <c r="AH1151" s="0" t="n">
        <v>14</v>
      </c>
      <c r="AI1151" s="0" t="n">
        <v>11</v>
      </c>
      <c r="AN1151" s="0" t="s">
        <v>146</v>
      </c>
      <c r="AO1151" s="0" t="s">
        <v>250</v>
      </c>
      <c r="AP1151" s="0" t="s">
        <v>251</v>
      </c>
      <c r="AQ1151" s="0" t="n">
        <v>9</v>
      </c>
      <c r="AR1151" s="0" t="n">
        <v>64</v>
      </c>
      <c r="AS1151" s="0" t="n">
        <v>32</v>
      </c>
      <c r="AU1151" s="0" t="n">
        <f aca="false">COUNTA($BA$2633:$EH$2633)</f>
        <v>43</v>
      </c>
      <c r="AV1151" s="0" t="n">
        <f aca="false">COUNTIF($BA$2633:$EH$2633,"D")</f>
        <v>12</v>
      </c>
      <c r="AW1151" s="0" t="n">
        <f aca="false">COUNTIF($BA$2633:$EH$2633,"R")</f>
        <v>0</v>
      </c>
      <c r="AX1151" s="0" t="n">
        <f aca="false"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>0</v>
      </c>
      <c r="AY1151" s="0" t="n">
        <f aca="false">COUNTIF(DU1151:EH1151, "&lt;&gt;")</f>
        <v>0</v>
      </c>
      <c r="AZ1151" s="0" t="n">
        <f aca="false">IF(EH1151&lt;&gt;"",1,0)</f>
        <v>0</v>
      </c>
      <c r="BB1151" s="0" t="s">
        <v>153</v>
      </c>
    </row>
    <row r="1152" customFormat="false" ht="13.8" hidden="false" customHeight="false" outlineLevel="0" collapsed="false">
      <c r="A1152" s="0" t="s">
        <v>5512</v>
      </c>
      <c r="B1152" s="0" t="n">
        <v>78</v>
      </c>
      <c r="C1152" s="0" t="n">
        <v>368890</v>
      </c>
      <c r="D1152" s="0" t="s">
        <v>5513</v>
      </c>
      <c r="E1152" s="0" t="s">
        <v>652</v>
      </c>
      <c r="F1152" s="0" t="str">
        <f aca="false">CONCATENATE(D1152," ",LEFT(H1152,4),"T=",AU1152,"D=",AV1152,"R=",AW1152,"M=",AX1152,"L=",AY1152,"B=",AZ1152)</f>
        <v>BURNHAM T=8D=0R=1M=0L=4B=1</v>
      </c>
      <c r="G1152" s="0" t="s">
        <v>202</v>
      </c>
      <c r="I1152" s="0" t="s">
        <v>5514</v>
      </c>
      <c r="J1152" s="0" t="s">
        <v>5515</v>
      </c>
      <c r="K1152" s="0" t="s">
        <v>175</v>
      </c>
      <c r="L1152" s="1" t="s">
        <v>176</v>
      </c>
      <c r="M1152" s="0" t="s">
        <v>5516</v>
      </c>
      <c r="N1152" s="0" t="str">
        <f aca="false">RIGHT(M1152,LEN(M1152)-FIND(" ",M1152))</f>
        <v>HALL ST NW</v>
      </c>
      <c r="P1152" s="0" t="s">
        <v>146</v>
      </c>
      <c r="Q1152" s="0" t="s">
        <v>147</v>
      </c>
      <c r="R1152" s="0" t="n">
        <v>44483</v>
      </c>
      <c r="AD1152" s="0" t="s">
        <v>148</v>
      </c>
      <c r="AE1152" s="0" t="s">
        <v>149</v>
      </c>
      <c r="AF1152" s="0" t="s">
        <v>150</v>
      </c>
      <c r="AH1152" s="0" t="n">
        <v>14</v>
      </c>
      <c r="AI1152" s="0" t="n">
        <v>11</v>
      </c>
      <c r="AN1152" s="0" t="s">
        <v>146</v>
      </c>
      <c r="AO1152" s="0" t="s">
        <v>250</v>
      </c>
      <c r="AP1152" s="0" t="s">
        <v>251</v>
      </c>
      <c r="AQ1152" s="0" t="n">
        <v>9</v>
      </c>
      <c r="AR1152" s="0" t="n">
        <v>64</v>
      </c>
      <c r="AS1152" s="0" t="n">
        <v>32</v>
      </c>
      <c r="AU1152" s="0" t="n">
        <f aca="false">COUNTA($BA$2809:$EH$2809)</f>
        <v>8</v>
      </c>
      <c r="AV1152" s="0" t="n">
        <f aca="false">COUNTIF($BA$2809:$EH$2809,"D")</f>
        <v>0</v>
      </c>
      <c r="AW1152" s="0" t="n">
        <f aca="false">COUNTIF($BA$2809:$EH$2809,"R")</f>
        <v>1</v>
      </c>
      <c r="AX1152" s="0" t="n">
        <f aca="false"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>0</v>
      </c>
      <c r="AY1152" s="0" t="n">
        <f aca="false">COUNTIF(DU1152:EH1152, "&lt;&gt;")</f>
        <v>4</v>
      </c>
      <c r="AZ1152" s="0" t="n">
        <f aca="false">IF(EH1152&lt;&gt;"",1,0)</f>
        <v>1</v>
      </c>
      <c r="BB1152" s="0" t="s">
        <v>153</v>
      </c>
      <c r="CP1152" s="0" t="s">
        <v>154</v>
      </c>
      <c r="DC1152" s="0" t="s">
        <v>154</v>
      </c>
      <c r="DG1152" s="0" t="s">
        <v>176</v>
      </c>
      <c r="DI1152" s="0" t="s">
        <v>154</v>
      </c>
      <c r="DN1152" s="0" t="s">
        <v>154</v>
      </c>
      <c r="DR1152" s="0" t="s">
        <v>154</v>
      </c>
      <c r="DU1152" s="0" t="s">
        <v>154</v>
      </c>
      <c r="ED1152" s="0" t="s">
        <v>176</v>
      </c>
      <c r="EF1152" s="0" t="s">
        <v>154</v>
      </c>
      <c r="EH1152" s="0" t="s">
        <v>154</v>
      </c>
    </row>
    <row r="1153" customFormat="false" ht="13.8" hidden="true" customHeight="false" outlineLevel="0" collapsed="false">
      <c r="A1153" s="0" t="s">
        <v>5517</v>
      </c>
      <c r="B1153" s="0" t="n">
        <v>78</v>
      </c>
      <c r="C1153" s="0" t="n">
        <v>433838</v>
      </c>
      <c r="D1153" s="0" t="s">
        <v>5518</v>
      </c>
      <c r="E1153" s="0" t="s">
        <v>5519</v>
      </c>
      <c r="F1153" s="0" t="str">
        <f aca="false">CONCATENATE(D1153," ",LEFT(H1153,4),"T=",AU1153,"D=",AV1153,"R=",AW1153,"M=",AX1153,"L=",AY1153,"B=",AZ1153)</f>
        <v>THACKER T=3D=0R=0M=0L=0B=0</v>
      </c>
      <c r="G1153" s="0" t="s">
        <v>172</v>
      </c>
      <c r="I1153" s="0" t="s">
        <v>5520</v>
      </c>
      <c r="J1153" s="0" t="s">
        <v>5521</v>
      </c>
      <c r="K1153" s="0" t="s">
        <v>175</v>
      </c>
      <c r="L1153" s="0"/>
      <c r="M1153" s="0" t="s">
        <v>5522</v>
      </c>
      <c r="N1153" s="0" t="str">
        <f aca="false">RIGHT(M1153,LEN(M1153)-FIND(" ",M1153))</f>
        <v>HOLLYWOOD ST NE</v>
      </c>
      <c r="P1153" s="0" t="s">
        <v>146</v>
      </c>
      <c r="Q1153" s="0" t="s">
        <v>147</v>
      </c>
      <c r="R1153" s="0" t="n">
        <v>44483</v>
      </c>
      <c r="AD1153" s="0" t="s">
        <v>148</v>
      </c>
      <c r="AE1153" s="0" t="s">
        <v>149</v>
      </c>
      <c r="AF1153" s="0" t="s">
        <v>150</v>
      </c>
      <c r="AH1153" s="0" t="n">
        <v>14</v>
      </c>
      <c r="AI1153" s="0" t="n">
        <v>11</v>
      </c>
      <c r="AN1153" s="0" t="s">
        <v>146</v>
      </c>
      <c r="AO1153" s="0" t="s">
        <v>236</v>
      </c>
      <c r="AP1153" s="0" t="s">
        <v>237</v>
      </c>
      <c r="AQ1153" s="0" t="n">
        <v>9</v>
      </c>
      <c r="AR1153" s="0" t="n">
        <v>64</v>
      </c>
      <c r="AS1153" s="0" t="n">
        <v>32</v>
      </c>
      <c r="AU1153" s="0" t="n">
        <f aca="false">COUNTA($BA$203:$EH$203)</f>
        <v>3</v>
      </c>
      <c r="AV1153" s="0" t="n">
        <f aca="false">COUNTIF($BA$203:$EH$203,"D")</f>
        <v>0</v>
      </c>
      <c r="AW1153" s="0" t="n">
        <f aca="false">COUNTIF($BA$203:$EH$203,"R")</f>
        <v>0</v>
      </c>
      <c r="AX1153" s="0" t="n">
        <f aca="false"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>0</v>
      </c>
      <c r="AY1153" s="0" t="n">
        <f aca="false">COUNTIF(DU1153:EH1153, "&lt;&gt;")</f>
        <v>0</v>
      </c>
      <c r="AZ1153" s="0" t="n">
        <f aca="false">IF(EH1153&lt;&gt;"",1,0)</f>
        <v>0</v>
      </c>
      <c r="BB1153" s="0" t="s">
        <v>153</v>
      </c>
      <c r="DC1153" s="0" t="s">
        <v>154</v>
      </c>
    </row>
    <row r="1154" customFormat="false" ht="13.8" hidden="true" customHeight="false" outlineLevel="0" collapsed="false">
      <c r="A1154" s="0" t="s">
        <v>5523</v>
      </c>
      <c r="B1154" s="0" t="n">
        <v>78</v>
      </c>
      <c r="C1154" s="0" t="n">
        <v>442082</v>
      </c>
      <c r="D1154" s="0" t="s">
        <v>5524</v>
      </c>
      <c r="E1154" s="0" t="s">
        <v>2640</v>
      </c>
      <c r="F1154" s="0" t="str">
        <f aca="false">CONCATENATE(D1154," ",LEFT(H1154,4),"T=",AU1154,"D=",AV1154,"R=",AW1154,"M=",AX1154,"L=",AY1154,"B=",AZ1154)</f>
        <v>HEATON T=9D=2R=0M=0L=0B=0</v>
      </c>
      <c r="G1154" s="0" t="s">
        <v>690</v>
      </c>
      <c r="I1154" s="0" t="s">
        <v>5525</v>
      </c>
      <c r="J1154" s="0" t="s">
        <v>5526</v>
      </c>
      <c r="K1154" s="0" t="s">
        <v>175</v>
      </c>
      <c r="L1154" s="0"/>
      <c r="M1154" s="0" t="s">
        <v>5522</v>
      </c>
      <c r="N1154" s="0" t="str">
        <f aca="false">RIGHT(M1154,LEN(M1154)-FIND(" ",M1154))</f>
        <v>HOLLYWOOD ST NE</v>
      </c>
      <c r="P1154" s="0" t="s">
        <v>146</v>
      </c>
      <c r="Q1154" s="0" t="s">
        <v>147</v>
      </c>
      <c r="R1154" s="0" t="n">
        <v>44483</v>
      </c>
      <c r="AD1154" s="0" t="s">
        <v>148</v>
      </c>
      <c r="AE1154" s="0" t="s">
        <v>149</v>
      </c>
      <c r="AF1154" s="0" t="s">
        <v>150</v>
      </c>
      <c r="AH1154" s="0" t="n">
        <v>14</v>
      </c>
      <c r="AI1154" s="0" t="n">
        <v>11</v>
      </c>
      <c r="AN1154" s="0" t="s">
        <v>146</v>
      </c>
      <c r="AO1154" s="0" t="s">
        <v>236</v>
      </c>
      <c r="AP1154" s="0" t="s">
        <v>237</v>
      </c>
      <c r="AQ1154" s="0" t="n">
        <v>9</v>
      </c>
      <c r="AR1154" s="0" t="n">
        <v>64</v>
      </c>
      <c r="AS1154" s="0" t="n">
        <v>32</v>
      </c>
      <c r="AU1154" s="0" t="n">
        <f aca="false">COUNTA($BA$532:$EH$532)</f>
        <v>9</v>
      </c>
      <c r="AV1154" s="0" t="n">
        <f aca="false">COUNTIF($BA$532:$EH$532,"D")</f>
        <v>2</v>
      </c>
      <c r="AW1154" s="0" t="n">
        <f aca="false">COUNTIF($BA$532:$EH$532,"R")</f>
        <v>0</v>
      </c>
      <c r="AX1154" s="0" t="n">
        <f aca="false"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>0</v>
      </c>
      <c r="AY1154" s="0" t="n">
        <f aca="false">COUNTIF(DU1154:EH1154, "&lt;&gt;")</f>
        <v>0</v>
      </c>
      <c r="AZ1154" s="0" t="n">
        <f aca="false">IF(EH1154&lt;&gt;"",1,0)</f>
        <v>0</v>
      </c>
      <c r="BB1154" s="0" t="s">
        <v>153</v>
      </c>
      <c r="DC1154" s="0" t="s">
        <v>154</v>
      </c>
    </row>
    <row r="1155" customFormat="false" ht="13.8" hidden="true" customHeight="false" outlineLevel="0" collapsed="false">
      <c r="A1155" s="0" t="s">
        <v>5527</v>
      </c>
      <c r="B1155" s="0" t="n">
        <v>78</v>
      </c>
      <c r="C1155" s="0" t="n">
        <v>463767</v>
      </c>
      <c r="D1155" s="0" t="s">
        <v>309</v>
      </c>
      <c r="E1155" s="0" t="s">
        <v>5528</v>
      </c>
      <c r="F1155" s="0" t="str">
        <f aca="false">CONCATENATE(D1155," ",LEFT(H1155,4),"T=",AU1155,"D=",AV1155,"R=",AW1155,"M=",AX1155,"L=",AY1155,"B=",AZ1155)</f>
        <v>BROWN T=38D=15R=0M=0L=0B=0</v>
      </c>
      <c r="G1155" s="0" t="s">
        <v>5094</v>
      </c>
      <c r="I1155" s="0" t="s">
        <v>5529</v>
      </c>
      <c r="J1155" s="0" t="s">
        <v>5530</v>
      </c>
      <c r="K1155" s="0" t="s">
        <v>175</v>
      </c>
      <c r="L1155" s="0"/>
      <c r="M1155" s="0" t="s">
        <v>5522</v>
      </c>
      <c r="N1155" s="0" t="str">
        <f aca="false">RIGHT(M1155,LEN(M1155)-FIND(" ",M1155))</f>
        <v>HOLLYWOOD ST NE</v>
      </c>
      <c r="P1155" s="0" t="s">
        <v>146</v>
      </c>
      <c r="Q1155" s="0" t="s">
        <v>147</v>
      </c>
      <c r="R1155" s="0" t="n">
        <v>44483</v>
      </c>
      <c r="AD1155" s="0" t="s">
        <v>148</v>
      </c>
      <c r="AE1155" s="0" t="s">
        <v>149</v>
      </c>
      <c r="AF1155" s="0" t="s">
        <v>150</v>
      </c>
      <c r="AH1155" s="0" t="n">
        <v>14</v>
      </c>
      <c r="AI1155" s="0" t="n">
        <v>11</v>
      </c>
      <c r="AN1155" s="0" t="s">
        <v>146</v>
      </c>
      <c r="AO1155" s="0" t="s">
        <v>236</v>
      </c>
      <c r="AP1155" s="0" t="s">
        <v>237</v>
      </c>
      <c r="AQ1155" s="0" t="n">
        <v>9</v>
      </c>
      <c r="AR1155" s="0" t="n">
        <v>64</v>
      </c>
      <c r="AS1155" s="0" t="n">
        <v>32</v>
      </c>
      <c r="AU1155" s="0" t="n">
        <f aca="false">COUNTA($BA$869:$EH$869)</f>
        <v>38</v>
      </c>
      <c r="AV1155" s="0" t="n">
        <f aca="false">COUNTIF($BA$869:$EH$869,"D")</f>
        <v>15</v>
      </c>
      <c r="AW1155" s="0" t="n">
        <f aca="false">COUNTIF($BA$869:$EH$869,"R")</f>
        <v>0</v>
      </c>
      <c r="AX1155" s="0" t="n">
        <f aca="false"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>0</v>
      </c>
      <c r="AY1155" s="0" t="n">
        <f aca="false">COUNTIF(DU1155:EH1155, "&lt;&gt;")</f>
        <v>0</v>
      </c>
      <c r="AZ1155" s="0" t="n">
        <f aca="false">IF(EH1155&lt;&gt;"",1,0)</f>
        <v>0</v>
      </c>
      <c r="BB1155" s="0" t="s">
        <v>153</v>
      </c>
    </row>
    <row r="1156" customFormat="false" ht="13.8" hidden="true" customHeight="false" outlineLevel="0" collapsed="false">
      <c r="A1156" s="0" t="s">
        <v>5531</v>
      </c>
      <c r="B1156" s="0" t="n">
        <v>78</v>
      </c>
      <c r="C1156" s="0" t="n">
        <v>489090</v>
      </c>
      <c r="D1156" s="0" t="s">
        <v>404</v>
      </c>
      <c r="E1156" s="0" t="s">
        <v>1374</v>
      </c>
      <c r="F1156" s="0" t="str">
        <f aca="false">CONCATENATE(D1156," ",LEFT(H1156,4),"T=",AU1156,"D=",AV1156,"R=",AW1156,"M=",AX1156,"L=",AY1156,"B=",AZ1156)</f>
        <v>CLARK T=3D=0R=0M=0L=1B=0</v>
      </c>
      <c r="G1156" s="0" t="s">
        <v>5532</v>
      </c>
      <c r="I1156" s="0" t="s">
        <v>5533</v>
      </c>
      <c r="J1156" s="0" t="s">
        <v>1309</v>
      </c>
      <c r="K1156" s="0" t="s">
        <v>175</v>
      </c>
      <c r="L1156" s="0"/>
      <c r="M1156" s="0" t="s">
        <v>5534</v>
      </c>
      <c r="N1156" s="0" t="str">
        <f aca="false">RIGHT(M1156,LEN(M1156)-FIND(" ",M1156))</f>
        <v>HOLLYWOOD ST NE</v>
      </c>
      <c r="P1156" s="0" t="s">
        <v>146</v>
      </c>
      <c r="Q1156" s="0" t="s">
        <v>147</v>
      </c>
      <c r="R1156" s="0" t="n">
        <v>44483</v>
      </c>
      <c r="AD1156" s="0" t="s">
        <v>148</v>
      </c>
      <c r="AE1156" s="0" t="s">
        <v>149</v>
      </c>
      <c r="AF1156" s="0" t="s">
        <v>150</v>
      </c>
      <c r="AH1156" s="0" t="n">
        <v>14</v>
      </c>
      <c r="AI1156" s="0" t="n">
        <v>11</v>
      </c>
      <c r="AN1156" s="0" t="s">
        <v>146</v>
      </c>
      <c r="AO1156" s="0" t="s">
        <v>236</v>
      </c>
      <c r="AP1156" s="0" t="s">
        <v>237</v>
      </c>
      <c r="AQ1156" s="0" t="n">
        <v>9</v>
      </c>
      <c r="AR1156" s="0" t="n">
        <v>64</v>
      </c>
      <c r="AS1156" s="0" t="n">
        <v>32</v>
      </c>
      <c r="AU1156" s="0" t="n">
        <f aca="false">COUNTA($BA$281:$EH$281)</f>
        <v>3</v>
      </c>
      <c r="AV1156" s="0" t="n">
        <f aca="false">COUNTIF($BA$281:$EH$281,"D")</f>
        <v>0</v>
      </c>
      <c r="AW1156" s="0" t="n">
        <f aca="false">COUNTIF($BA$281:$EH$281,"R")</f>
        <v>0</v>
      </c>
      <c r="AX1156" s="0" t="n">
        <f aca="false"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>0</v>
      </c>
      <c r="AY1156" s="0" t="n">
        <f aca="false">COUNTIF(DU1156:EH1156, "&lt;&gt;")</f>
        <v>1</v>
      </c>
      <c r="AZ1156" s="0" t="n">
        <f aca="false">IF(EH1156&lt;&gt;"",1,0)</f>
        <v>0</v>
      </c>
      <c r="BB1156" s="0" t="s">
        <v>153</v>
      </c>
      <c r="EF1156" s="0" t="s">
        <v>154</v>
      </c>
    </row>
    <row r="1157" customFormat="false" ht="13.8" hidden="true" customHeight="false" outlineLevel="0" collapsed="false">
      <c r="A1157" s="0" t="s">
        <v>5535</v>
      </c>
      <c r="B1157" s="0" t="n">
        <v>78</v>
      </c>
      <c r="C1157" s="0" t="n">
        <v>488955</v>
      </c>
      <c r="D1157" s="0" t="s">
        <v>404</v>
      </c>
      <c r="E1157" s="0" t="s">
        <v>5536</v>
      </c>
      <c r="F1157" s="0" t="str">
        <f aca="false">CONCATENATE(D1157," ",LEFT(H1157,4),"T=",AU1157,"D=",AV1157,"R=",AW1157,"M=",AX1157,"L=",AY1157,"B=",AZ1157)</f>
        <v>CLARK T=2D=0R=0M=0L=1B=0</v>
      </c>
      <c r="G1157" s="0" t="s">
        <v>241</v>
      </c>
      <c r="I1157" s="0" t="s">
        <v>5537</v>
      </c>
      <c r="J1157" s="0" t="s">
        <v>1309</v>
      </c>
      <c r="K1157" s="0" t="s">
        <v>175</v>
      </c>
      <c r="L1157" s="0"/>
      <c r="M1157" s="0" t="s">
        <v>5534</v>
      </c>
      <c r="N1157" s="0" t="str">
        <f aca="false">RIGHT(M1157,LEN(M1157)-FIND(" ",M1157))</f>
        <v>HOLLYWOOD ST NE</v>
      </c>
      <c r="P1157" s="0" t="s">
        <v>146</v>
      </c>
      <c r="Q1157" s="0" t="s">
        <v>147</v>
      </c>
      <c r="R1157" s="0" t="n">
        <v>44483</v>
      </c>
      <c r="AD1157" s="0" t="s">
        <v>148</v>
      </c>
      <c r="AE1157" s="0" t="s">
        <v>149</v>
      </c>
      <c r="AF1157" s="0" t="s">
        <v>150</v>
      </c>
      <c r="AH1157" s="0" t="n">
        <v>14</v>
      </c>
      <c r="AI1157" s="0" t="n">
        <v>11</v>
      </c>
      <c r="AN1157" s="0" t="s">
        <v>146</v>
      </c>
      <c r="AO1157" s="0" t="s">
        <v>236</v>
      </c>
      <c r="AP1157" s="0" t="s">
        <v>237</v>
      </c>
      <c r="AQ1157" s="0" t="n">
        <v>9</v>
      </c>
      <c r="AR1157" s="0" t="n">
        <v>64</v>
      </c>
      <c r="AS1157" s="0" t="n">
        <v>32</v>
      </c>
      <c r="AU1157" s="0" t="n">
        <f aca="false">COUNTA($BA$948:$EH$948)</f>
        <v>2</v>
      </c>
      <c r="AV1157" s="0" t="n">
        <f aca="false">COUNTIF($BA$948:$EH$948,"D")</f>
        <v>0</v>
      </c>
      <c r="AW1157" s="0" t="n">
        <f aca="false">COUNTIF($BA$948:$EH$948,"R")</f>
        <v>0</v>
      </c>
      <c r="AX1157" s="0" t="n">
        <f aca="false"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>0</v>
      </c>
      <c r="AY1157" s="0" t="n">
        <f aca="false">COUNTIF(DU1157:EH1157, "&lt;&gt;")</f>
        <v>1</v>
      </c>
      <c r="AZ1157" s="0" t="n">
        <f aca="false">IF(EH1157&lt;&gt;"",1,0)</f>
        <v>0</v>
      </c>
      <c r="BB1157" s="0" t="s">
        <v>153</v>
      </c>
      <c r="EF1157" s="0" t="s">
        <v>154</v>
      </c>
    </row>
    <row r="1158" customFormat="false" ht="13.8" hidden="false" customHeight="false" outlineLevel="0" collapsed="false">
      <c r="A1158" s="0" t="s">
        <v>5538</v>
      </c>
      <c r="B1158" s="0" t="n">
        <v>78</v>
      </c>
      <c r="C1158" s="0" t="n">
        <v>359372</v>
      </c>
      <c r="D1158" s="0" t="s">
        <v>645</v>
      </c>
      <c r="E1158" s="0" t="s">
        <v>1374</v>
      </c>
      <c r="F1158" s="0" t="str">
        <f aca="false">CONCATENATE(D1158," ",LEFT(H1158,4),"T=",AU1158,"D=",AV1158,"R=",AW1158,"M=",AX1158,"L=",AY1158,"B=",AZ1158)</f>
        <v>WILLIAMS T=18D=1R=1M=0L=2B=0</v>
      </c>
      <c r="G1158" s="0" t="s">
        <v>176</v>
      </c>
      <c r="I1158" s="0" t="s">
        <v>5539</v>
      </c>
      <c r="J1158" s="0" t="s">
        <v>5540</v>
      </c>
      <c r="K1158" s="0" t="s">
        <v>175</v>
      </c>
      <c r="M1158" s="0" t="s">
        <v>5541</v>
      </c>
      <c r="N1158" s="0" t="str">
        <f aca="false">RIGHT(M1158,LEN(M1158)-FIND(" ",M1158))</f>
        <v>HOLLYWOOD ST NE</v>
      </c>
      <c r="P1158" s="0" t="s">
        <v>146</v>
      </c>
      <c r="Q1158" s="0" t="s">
        <v>147</v>
      </c>
      <c r="R1158" s="0" t="n">
        <v>44483</v>
      </c>
      <c r="AD1158" s="0" t="s">
        <v>148</v>
      </c>
      <c r="AE1158" s="0" t="s">
        <v>149</v>
      </c>
      <c r="AF1158" s="0" t="s">
        <v>150</v>
      </c>
      <c r="AH1158" s="0" t="n">
        <v>14</v>
      </c>
      <c r="AI1158" s="0" t="n">
        <v>11</v>
      </c>
      <c r="AN1158" s="0" t="s">
        <v>146</v>
      </c>
      <c r="AO1158" s="0" t="s">
        <v>236</v>
      </c>
      <c r="AP1158" s="0" t="s">
        <v>237</v>
      </c>
      <c r="AQ1158" s="0" t="n">
        <v>9</v>
      </c>
      <c r="AR1158" s="0" t="n">
        <v>64</v>
      </c>
      <c r="AS1158" s="0" t="n">
        <v>32</v>
      </c>
      <c r="AU1158" s="0" t="n">
        <f aca="false">COUNTA($BA$194:$EH$194)</f>
        <v>18</v>
      </c>
      <c r="AV1158" s="0" t="n">
        <f aca="false">COUNTIF($BA$194:$EH$194,"D")</f>
        <v>1</v>
      </c>
      <c r="AW1158" s="0" t="n">
        <f aca="false">COUNTIF($BA$194:$EH$194,"R")</f>
        <v>1</v>
      </c>
      <c r="AX1158" s="0" t="n">
        <f aca="false"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>0</v>
      </c>
      <c r="AY1158" s="0" t="n">
        <f aca="false">COUNTIF(DU1158:EH1158, "&lt;&gt;")</f>
        <v>2</v>
      </c>
      <c r="AZ1158" s="0" t="n">
        <f aca="false">IF(EH1158&lt;&gt;"",1,0)</f>
        <v>0</v>
      </c>
      <c r="BB1158" s="0" t="s">
        <v>153</v>
      </c>
      <c r="CA1158" s="0" t="s">
        <v>154</v>
      </c>
      <c r="CK1158" s="0" t="s">
        <v>154</v>
      </c>
      <c r="CO1158" s="0" t="s">
        <v>155</v>
      </c>
      <c r="CP1158" s="0" t="s">
        <v>154</v>
      </c>
      <c r="CT1158" s="0" t="s">
        <v>154</v>
      </c>
      <c r="CY1158" s="0" t="s">
        <v>154</v>
      </c>
      <c r="CZ1158" s="0" t="s">
        <v>155</v>
      </c>
      <c r="DC1158" s="0" t="s">
        <v>154</v>
      </c>
      <c r="DM1158" s="0" t="s">
        <v>155</v>
      </c>
      <c r="DN1158" s="0" t="s">
        <v>154</v>
      </c>
      <c r="DU1158" s="0" t="s">
        <v>154</v>
      </c>
      <c r="EF1158" s="0" t="s">
        <v>154</v>
      </c>
    </row>
    <row r="1159" customFormat="false" ht="13.8" hidden="true" customHeight="false" outlineLevel="0" collapsed="false">
      <c r="A1159" s="0" t="s">
        <v>5542</v>
      </c>
      <c r="B1159" s="0" t="n">
        <v>78</v>
      </c>
      <c r="C1159" s="0" t="n">
        <v>395694</v>
      </c>
      <c r="D1159" s="0" t="s">
        <v>645</v>
      </c>
      <c r="E1159" s="0" t="s">
        <v>4024</v>
      </c>
      <c r="F1159" s="0" t="str">
        <f aca="false">CONCATENATE(D1159," ",LEFT(H1159,4),"T=",AU1159,"D=",AV1159,"R=",AW1159,"M=",AX1159,"L=",AY1159,"B=",AZ1159)</f>
        <v>WILLIAMS T=1D=0R=0M=0L=0B=0</v>
      </c>
      <c r="G1159" s="0" t="s">
        <v>802</v>
      </c>
      <c r="I1159" s="0" t="s">
        <v>5543</v>
      </c>
      <c r="J1159" s="0" t="s">
        <v>5544</v>
      </c>
      <c r="K1159" s="0" t="s">
        <v>144</v>
      </c>
      <c r="L1159" s="0"/>
      <c r="M1159" s="0" t="s">
        <v>5541</v>
      </c>
      <c r="N1159" s="0" t="str">
        <f aca="false">RIGHT(M1159,LEN(M1159)-FIND(" ",M1159))</f>
        <v>HOLLYWOOD ST NE</v>
      </c>
      <c r="P1159" s="0" t="s">
        <v>146</v>
      </c>
      <c r="Q1159" s="0" t="s">
        <v>147</v>
      </c>
      <c r="R1159" s="0" t="n">
        <v>44483</v>
      </c>
      <c r="AD1159" s="0" t="s">
        <v>148</v>
      </c>
      <c r="AE1159" s="0" t="s">
        <v>149</v>
      </c>
      <c r="AF1159" s="0" t="s">
        <v>150</v>
      </c>
      <c r="AH1159" s="0" t="n">
        <v>14</v>
      </c>
      <c r="AI1159" s="0" t="n">
        <v>11</v>
      </c>
      <c r="AN1159" s="0" t="s">
        <v>146</v>
      </c>
      <c r="AO1159" s="0" t="s">
        <v>236</v>
      </c>
      <c r="AP1159" s="0" t="s">
        <v>237</v>
      </c>
      <c r="AQ1159" s="0" t="n">
        <v>9</v>
      </c>
      <c r="AR1159" s="0" t="n">
        <v>64</v>
      </c>
      <c r="AS1159" s="0" t="n">
        <v>32</v>
      </c>
      <c r="AU1159" s="0" t="n">
        <f aca="false">COUNTA($BA$903:$EH$903)</f>
        <v>1</v>
      </c>
      <c r="AV1159" s="0" t="n">
        <f aca="false">COUNTIF($BA$903:$EH$903,"D")</f>
        <v>0</v>
      </c>
      <c r="AW1159" s="0" t="n">
        <f aca="false">COUNTIF($BA$903:$EH$903,"R")</f>
        <v>0</v>
      </c>
      <c r="AX1159" s="0" t="n">
        <f aca="false"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>0</v>
      </c>
      <c r="AY1159" s="0" t="n">
        <f aca="false">COUNTIF(DU1159:EH1159, "&lt;&gt;")</f>
        <v>0</v>
      </c>
      <c r="AZ1159" s="0" t="n">
        <f aca="false">IF(EH1159&lt;&gt;"",1,0)</f>
        <v>0</v>
      </c>
      <c r="BB1159" s="0" t="s">
        <v>153</v>
      </c>
      <c r="DN1159" s="0" t="s">
        <v>154</v>
      </c>
    </row>
    <row r="1160" customFormat="false" ht="13.8" hidden="true" customHeight="false" outlineLevel="0" collapsed="false">
      <c r="A1160" s="0" t="s">
        <v>5545</v>
      </c>
      <c r="B1160" s="0" t="n">
        <v>78</v>
      </c>
      <c r="C1160" s="0" t="n">
        <v>381760</v>
      </c>
      <c r="D1160" s="0" t="s">
        <v>5546</v>
      </c>
      <c r="E1160" s="0" t="s">
        <v>2276</v>
      </c>
      <c r="F1160" s="0" t="str">
        <f aca="false">CONCATENATE(D1160," ",LEFT(H1160,4),"T=",AU1160,"D=",AV1160,"R=",AW1160,"M=",AX1160,"L=",AY1160,"B=",AZ1160)</f>
        <v>LOWERY T=5D=0R=1M=0L=0B=0</v>
      </c>
      <c r="G1160" s="0" t="s">
        <v>241</v>
      </c>
      <c r="I1160" s="0" t="s">
        <v>5547</v>
      </c>
      <c r="J1160" s="0" t="s">
        <v>5548</v>
      </c>
      <c r="K1160" s="0" t="s">
        <v>175</v>
      </c>
      <c r="L1160" s="0"/>
      <c r="M1160" s="0" t="s">
        <v>5549</v>
      </c>
      <c r="N1160" s="0" t="str">
        <f aca="false">RIGHT(M1160,LEN(M1160)-FIND(" ",M1160))</f>
        <v>HOLLYWOOD ST NE</v>
      </c>
      <c r="P1160" s="0" t="s">
        <v>146</v>
      </c>
      <c r="Q1160" s="0" t="s">
        <v>147</v>
      </c>
      <c r="R1160" s="0" t="n">
        <v>44483</v>
      </c>
      <c r="AD1160" s="0" t="s">
        <v>148</v>
      </c>
      <c r="AE1160" s="0" t="s">
        <v>149</v>
      </c>
      <c r="AF1160" s="0" t="s">
        <v>150</v>
      </c>
      <c r="AH1160" s="0" t="n">
        <v>14</v>
      </c>
      <c r="AI1160" s="0" t="n">
        <v>11</v>
      </c>
      <c r="AN1160" s="0" t="s">
        <v>146</v>
      </c>
      <c r="AO1160" s="0" t="s">
        <v>236</v>
      </c>
      <c r="AP1160" s="0" t="s">
        <v>237</v>
      </c>
      <c r="AQ1160" s="0" t="n">
        <v>9</v>
      </c>
      <c r="AR1160" s="0" t="n">
        <v>64</v>
      </c>
      <c r="AS1160" s="0" t="n">
        <v>32</v>
      </c>
      <c r="AU1160" s="0" t="n">
        <f aca="false">COUNTA($BA$535:$EH$535)</f>
        <v>5</v>
      </c>
      <c r="AV1160" s="0" t="n">
        <f aca="false">COUNTIF($BA$535:$EH$535,"D")</f>
        <v>0</v>
      </c>
      <c r="AW1160" s="0" t="n">
        <f aca="false">COUNTIF($BA$535:$EH$535,"R")</f>
        <v>1</v>
      </c>
      <c r="AX1160" s="0" t="n">
        <f aca="false"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>0</v>
      </c>
      <c r="AY1160" s="0" t="n">
        <f aca="false">COUNTIF(DU1160:EH1160, "&lt;&gt;")</f>
        <v>0</v>
      </c>
      <c r="AZ1160" s="0" t="n">
        <f aca="false">IF(EH1160&lt;&gt;"",1,0)</f>
        <v>0</v>
      </c>
      <c r="BB1160" s="0" t="s">
        <v>153</v>
      </c>
      <c r="CP1160" s="0" t="s">
        <v>154</v>
      </c>
      <c r="CY1160" s="0" t="s">
        <v>154</v>
      </c>
      <c r="DI1160" s="0" t="s">
        <v>154</v>
      </c>
    </row>
    <row r="1161" customFormat="false" ht="13.8" hidden="true" customHeight="false" outlineLevel="0" collapsed="false">
      <c r="A1161" s="0" t="s">
        <v>5550</v>
      </c>
      <c r="B1161" s="0" t="n">
        <v>78</v>
      </c>
      <c r="C1161" s="0" t="n">
        <v>425840</v>
      </c>
      <c r="D1161" s="0" t="s">
        <v>761</v>
      </c>
      <c r="E1161" s="0" t="s">
        <v>5551</v>
      </c>
      <c r="F1161" s="0" t="str">
        <f aca="false">CONCATENATE(D1161," ",LEFT(H1161,4),"T=",AU1161,"D=",AV1161,"R=",AW1161,"M=",AX1161,"L=",AY1161,"B=",AZ1161)</f>
        <v>ALEXANDER T=35D=13R=0M=0L=0B=0</v>
      </c>
      <c r="G1161" s="0" t="s">
        <v>222</v>
      </c>
      <c r="I1161" s="0" t="s">
        <v>5552</v>
      </c>
      <c r="J1161" s="0" t="s">
        <v>5553</v>
      </c>
      <c r="K1161" s="0" t="s">
        <v>144</v>
      </c>
      <c r="L1161" s="0"/>
      <c r="M1161" s="0" t="s">
        <v>5549</v>
      </c>
      <c r="N1161" s="0" t="str">
        <f aca="false">RIGHT(M1161,LEN(M1161)-FIND(" ",M1161))</f>
        <v>HOLLYWOOD ST NE</v>
      </c>
      <c r="P1161" s="0" t="s">
        <v>146</v>
      </c>
      <c r="Q1161" s="0" t="s">
        <v>147</v>
      </c>
      <c r="R1161" s="0" t="n">
        <v>44483</v>
      </c>
      <c r="AD1161" s="0" t="s">
        <v>148</v>
      </c>
      <c r="AE1161" s="0" t="s">
        <v>149</v>
      </c>
      <c r="AF1161" s="0" t="s">
        <v>150</v>
      </c>
      <c r="AH1161" s="0" t="n">
        <v>14</v>
      </c>
      <c r="AI1161" s="0" t="n">
        <v>11</v>
      </c>
      <c r="AN1161" s="0" t="s">
        <v>146</v>
      </c>
      <c r="AO1161" s="0" t="s">
        <v>236</v>
      </c>
      <c r="AP1161" s="0" t="s">
        <v>237</v>
      </c>
      <c r="AQ1161" s="0" t="n">
        <v>9</v>
      </c>
      <c r="AR1161" s="0" t="n">
        <v>64</v>
      </c>
      <c r="AS1161" s="0" t="n">
        <v>32</v>
      </c>
      <c r="AU1161" s="0" t="n">
        <f aca="false">COUNTA($BA$980:$EH$980)</f>
        <v>35</v>
      </c>
      <c r="AV1161" s="0" t="n">
        <f aca="false">COUNTIF($BA$980:$EH$980,"D")</f>
        <v>13</v>
      </c>
      <c r="AW1161" s="0" t="n">
        <f aca="false">COUNTIF($BA$980:$EH$980,"R")</f>
        <v>0</v>
      </c>
      <c r="AX1161" s="0" t="n">
        <f aca="false"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>0</v>
      </c>
      <c r="AY1161" s="0" t="n">
        <f aca="false">COUNTIF(DU1161:EH1161, "&lt;&gt;")</f>
        <v>0</v>
      </c>
      <c r="AZ1161" s="0" t="n">
        <f aca="false">IF(EH1161&lt;&gt;"",1,0)</f>
        <v>0</v>
      </c>
      <c r="BB1161" s="0" t="s">
        <v>153</v>
      </c>
    </row>
    <row r="1162" customFormat="false" ht="13.8" hidden="false" customHeight="false" outlineLevel="0" collapsed="false">
      <c r="A1162" s="0" t="s">
        <v>5554</v>
      </c>
      <c r="B1162" s="0" t="n">
        <v>78</v>
      </c>
      <c r="C1162" s="0" t="n">
        <v>289149</v>
      </c>
      <c r="D1162" s="0" t="s">
        <v>5555</v>
      </c>
      <c r="E1162" s="0" t="s">
        <v>1341</v>
      </c>
      <c r="F1162" s="0" t="str">
        <f aca="false">CONCATENATE(D1162," ",LEFT(H1162,4),"T=",AU1162,"D=",AV1162,"R=",AW1162,"M=",AX1162,"L=",AY1162,"B=",AZ1162)</f>
        <v>HEETER T=14D=2R=0M=4L=7B=1</v>
      </c>
      <c r="G1162" s="0" t="s">
        <v>159</v>
      </c>
      <c r="I1162" s="0" t="s">
        <v>5556</v>
      </c>
      <c r="J1162" s="0" t="s">
        <v>5557</v>
      </c>
      <c r="K1162" s="0" t="s">
        <v>175</v>
      </c>
      <c r="L1162" s="1" t="s">
        <v>155</v>
      </c>
      <c r="M1162" s="0" t="s">
        <v>5558</v>
      </c>
      <c r="N1162" s="0" t="str">
        <f aca="false">RIGHT(M1162,LEN(M1162)-FIND(" ",M1162))</f>
        <v>HOLLYWOOD ST NE</v>
      </c>
      <c r="P1162" s="0" t="s">
        <v>146</v>
      </c>
      <c r="Q1162" s="0" t="s">
        <v>147</v>
      </c>
      <c r="R1162" s="0" t="n">
        <v>44483</v>
      </c>
      <c r="AD1162" s="0" t="s">
        <v>148</v>
      </c>
      <c r="AE1162" s="0" t="s">
        <v>149</v>
      </c>
      <c r="AF1162" s="0" t="s">
        <v>150</v>
      </c>
      <c r="AH1162" s="0" t="n">
        <v>14</v>
      </c>
      <c r="AI1162" s="0" t="n">
        <v>11</v>
      </c>
      <c r="AN1162" s="0" t="s">
        <v>146</v>
      </c>
      <c r="AO1162" s="0" t="s">
        <v>236</v>
      </c>
      <c r="AP1162" s="0" t="s">
        <v>237</v>
      </c>
      <c r="AQ1162" s="0" t="n">
        <v>9</v>
      </c>
      <c r="AR1162" s="0" t="n">
        <v>64</v>
      </c>
      <c r="AS1162" s="0" t="n">
        <v>32</v>
      </c>
      <c r="AU1162" s="0" t="n">
        <f aca="false">COUNTA($BA$398:$EH$398)</f>
        <v>14</v>
      </c>
      <c r="AV1162" s="0" t="n">
        <f aca="false">COUNTIF($BA$398:$EH$398,"D")</f>
        <v>2</v>
      </c>
      <c r="AW1162" s="0" t="n">
        <f aca="false">COUNTIF($BA$398:$EH$398,"R")</f>
        <v>0</v>
      </c>
      <c r="AX1162" s="0" t="n">
        <f aca="false"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>4</v>
      </c>
      <c r="AY1162" s="0" t="n">
        <f aca="false">COUNTIF(DU1162:EH1162, "&lt;&gt;")</f>
        <v>7</v>
      </c>
      <c r="AZ1162" s="0" t="n">
        <f aca="false">IF(EH1162&lt;&gt;"",1,0)</f>
        <v>1</v>
      </c>
      <c r="BB1162" s="0" t="s">
        <v>153</v>
      </c>
      <c r="BC1162" s="0" t="s">
        <v>154</v>
      </c>
      <c r="BD1162" s="0" t="s">
        <v>154</v>
      </c>
      <c r="BE1162" s="0" t="s">
        <v>154</v>
      </c>
      <c r="BF1162" s="0" t="s">
        <v>154</v>
      </c>
      <c r="BG1162" s="0" t="s">
        <v>154</v>
      </c>
      <c r="BH1162" s="0" t="s">
        <v>154</v>
      </c>
      <c r="BI1162" s="0" t="s">
        <v>154</v>
      </c>
      <c r="BJ1162" s="0" t="s">
        <v>154</v>
      </c>
      <c r="BK1162" s="0" t="s">
        <v>154</v>
      </c>
      <c r="BL1162" s="0" t="s">
        <v>154</v>
      </c>
      <c r="BP1162" s="0" t="s">
        <v>154</v>
      </c>
      <c r="BR1162" s="0" t="s">
        <v>154</v>
      </c>
      <c r="BS1162" s="0" t="s">
        <v>154</v>
      </c>
      <c r="BV1162" s="0" t="s">
        <v>154</v>
      </c>
      <c r="BY1162" s="0" t="s">
        <v>155</v>
      </c>
      <c r="CA1162" s="0" t="s">
        <v>154</v>
      </c>
      <c r="CG1162" s="0" t="s">
        <v>154</v>
      </c>
      <c r="CO1162" s="0" t="s">
        <v>176</v>
      </c>
      <c r="CP1162" s="0" t="s">
        <v>154</v>
      </c>
      <c r="CU1162" s="0" t="s">
        <v>176</v>
      </c>
      <c r="CV1162" s="0" t="s">
        <v>154</v>
      </c>
      <c r="CW1162" s="0" t="s">
        <v>155</v>
      </c>
      <c r="CY1162" s="0" t="s">
        <v>154</v>
      </c>
      <c r="CZ1162" s="0" t="s">
        <v>176</v>
      </c>
      <c r="DC1162" s="0" t="s">
        <v>154</v>
      </c>
      <c r="DD1162" s="0" t="s">
        <v>155</v>
      </c>
      <c r="DF1162" s="0" t="s">
        <v>154</v>
      </c>
      <c r="DG1162" s="0" t="s">
        <v>176</v>
      </c>
      <c r="DI1162" s="0" t="s">
        <v>154</v>
      </c>
      <c r="DL1162" s="0" t="s">
        <v>154</v>
      </c>
      <c r="DN1162" s="0" t="s">
        <v>154</v>
      </c>
      <c r="DS1162" s="0" t="s">
        <v>176</v>
      </c>
      <c r="DU1162" s="0" t="s">
        <v>154</v>
      </c>
      <c r="DW1162" s="0" t="s">
        <v>155</v>
      </c>
      <c r="DX1162" s="0" t="s">
        <v>154</v>
      </c>
      <c r="EA1162" s="0" t="s">
        <v>154</v>
      </c>
      <c r="ED1162" s="0" t="s">
        <v>176</v>
      </c>
      <c r="EF1162" s="0" t="s">
        <v>154</v>
      </c>
      <c r="EH1162" s="0" t="s">
        <v>155</v>
      </c>
    </row>
    <row r="1163" customFormat="false" ht="13.8" hidden="true" customHeight="false" outlineLevel="0" collapsed="false">
      <c r="A1163" s="0" t="s">
        <v>5559</v>
      </c>
      <c r="B1163" s="0" t="n">
        <v>78</v>
      </c>
      <c r="C1163" s="0" t="n">
        <v>434120</v>
      </c>
      <c r="D1163" s="0" t="s">
        <v>5555</v>
      </c>
      <c r="E1163" s="0" t="s">
        <v>5560</v>
      </c>
      <c r="F1163" s="0" t="str">
        <f aca="false">CONCATENATE(D1163," ",LEFT(H1163,4),"T=",AU1163,"D=",AV1163,"R=",AW1163,"M=",AX1163,"L=",AY1163,"B=",AZ1163)</f>
        <v>HEETER T=5D=0R=0M=0L=1B=0</v>
      </c>
      <c r="G1163" s="0" t="s">
        <v>297</v>
      </c>
      <c r="I1163" s="0" t="s">
        <v>5561</v>
      </c>
      <c r="J1163" s="0" t="s">
        <v>712</v>
      </c>
      <c r="K1163" s="0" t="s">
        <v>175</v>
      </c>
      <c r="L1163" s="0"/>
      <c r="M1163" s="0" t="s">
        <v>5558</v>
      </c>
      <c r="N1163" s="0" t="str">
        <f aca="false">RIGHT(M1163,LEN(M1163)-FIND(" ",M1163))</f>
        <v>HOLLYWOOD ST NE</v>
      </c>
      <c r="P1163" s="0" t="s">
        <v>146</v>
      </c>
      <c r="Q1163" s="0" t="s">
        <v>147</v>
      </c>
      <c r="R1163" s="0" t="n">
        <v>44483</v>
      </c>
      <c r="AD1163" s="0" t="s">
        <v>148</v>
      </c>
      <c r="AE1163" s="0" t="s">
        <v>149</v>
      </c>
      <c r="AF1163" s="0" t="s">
        <v>150</v>
      </c>
      <c r="AH1163" s="0" t="n">
        <v>14</v>
      </c>
      <c r="AI1163" s="0" t="n">
        <v>11</v>
      </c>
      <c r="AN1163" s="0" t="s">
        <v>146</v>
      </c>
      <c r="AO1163" s="0" t="s">
        <v>236</v>
      </c>
      <c r="AP1163" s="0" t="s">
        <v>237</v>
      </c>
      <c r="AQ1163" s="0" t="n">
        <v>9</v>
      </c>
      <c r="AR1163" s="0" t="n">
        <v>64</v>
      </c>
      <c r="AS1163" s="0" t="n">
        <v>32</v>
      </c>
      <c r="AU1163" s="0" t="n">
        <f aca="false">COUNTA($BA$690:$EH$690)</f>
        <v>5</v>
      </c>
      <c r="AV1163" s="0" t="n">
        <f aca="false">COUNTIF($BA$690:$EH$690,"D")</f>
        <v>0</v>
      </c>
      <c r="AW1163" s="0" t="n">
        <f aca="false">COUNTIF($BA$690:$EH$690,"R")</f>
        <v>0</v>
      </c>
      <c r="AX1163" s="0" t="n">
        <f aca="false"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>0</v>
      </c>
      <c r="AY1163" s="0" t="n">
        <f aca="false">COUNTIF(DU1163:EH1163, "&lt;&gt;")</f>
        <v>1</v>
      </c>
      <c r="AZ1163" s="0" t="n">
        <f aca="false">IF(EH1163&lt;&gt;"",1,0)</f>
        <v>0</v>
      </c>
      <c r="BB1163" s="0" t="s">
        <v>153</v>
      </c>
      <c r="BD1163" s="0" t="s">
        <v>154</v>
      </c>
      <c r="BF1163" s="0" t="s">
        <v>154</v>
      </c>
      <c r="BG1163" s="0" t="s">
        <v>154</v>
      </c>
      <c r="BH1163" s="0" t="s">
        <v>154</v>
      </c>
      <c r="BJ1163" s="0" t="s">
        <v>154</v>
      </c>
      <c r="BK1163" s="0" t="s">
        <v>154</v>
      </c>
      <c r="BL1163" s="0" t="s">
        <v>154</v>
      </c>
      <c r="BP1163" s="0" t="s">
        <v>154</v>
      </c>
      <c r="BS1163" s="0" t="s">
        <v>154</v>
      </c>
      <c r="BV1163" s="0" t="s">
        <v>154</v>
      </c>
      <c r="BY1163" s="0" t="s">
        <v>155</v>
      </c>
      <c r="EF1163" s="0" t="s">
        <v>154</v>
      </c>
    </row>
    <row r="1164" customFormat="false" ht="13.8" hidden="false" customHeight="false" outlineLevel="0" collapsed="false">
      <c r="A1164" s="0" t="s">
        <v>5562</v>
      </c>
      <c r="B1164" s="0" t="n">
        <v>78</v>
      </c>
      <c r="C1164" s="0" t="n">
        <v>356703</v>
      </c>
      <c r="D1164" s="0" t="s">
        <v>5555</v>
      </c>
      <c r="E1164" s="0" t="s">
        <v>323</v>
      </c>
      <c r="F1164" s="0" t="str">
        <f aca="false">CONCATENATE(D1164," ",LEFT(H1164,4),"T=",AU1164,"D=",AV1164,"R=",AW1164,"M=",AX1164,"L=",AY1164,"B=",AZ1164)</f>
        <v>HEETER T=30D=9R=0M=2L=6B=0</v>
      </c>
      <c r="G1164" s="0" t="s">
        <v>297</v>
      </c>
      <c r="I1164" s="0" t="s">
        <v>5563</v>
      </c>
      <c r="J1164" s="0" t="s">
        <v>5564</v>
      </c>
      <c r="K1164" s="0" t="s">
        <v>175</v>
      </c>
      <c r="L1164" s="1" t="s">
        <v>176</v>
      </c>
      <c r="M1164" s="0" t="s">
        <v>5558</v>
      </c>
      <c r="N1164" s="0" t="str">
        <f aca="false">RIGHT(M1164,LEN(M1164)-FIND(" ",M1164))</f>
        <v>HOLLYWOOD ST NE</v>
      </c>
      <c r="P1164" s="0" t="s">
        <v>146</v>
      </c>
      <c r="Q1164" s="0" t="s">
        <v>147</v>
      </c>
      <c r="R1164" s="0" t="n">
        <v>44483</v>
      </c>
      <c r="AD1164" s="0" t="s">
        <v>148</v>
      </c>
      <c r="AE1164" s="0" t="s">
        <v>149</v>
      </c>
      <c r="AF1164" s="0" t="s">
        <v>150</v>
      </c>
      <c r="AH1164" s="0" t="n">
        <v>14</v>
      </c>
      <c r="AI1164" s="0" t="n">
        <v>11</v>
      </c>
      <c r="AN1164" s="0" t="s">
        <v>146</v>
      </c>
      <c r="AO1164" s="0" t="s">
        <v>236</v>
      </c>
      <c r="AP1164" s="0" t="s">
        <v>237</v>
      </c>
      <c r="AQ1164" s="0" t="n">
        <v>9</v>
      </c>
      <c r="AR1164" s="0" t="n">
        <v>64</v>
      </c>
      <c r="AS1164" s="0" t="n">
        <v>32</v>
      </c>
      <c r="AU1164" s="0" t="n">
        <f aca="false">COUNTA($BA$748:$EH$748)</f>
        <v>30</v>
      </c>
      <c r="AV1164" s="0" t="n">
        <f aca="false">COUNTIF($BA$748:$EH$748,"D")</f>
        <v>9</v>
      </c>
      <c r="AW1164" s="0" t="n">
        <f aca="false">COUNTIF($BA$748:$EH$748,"R")</f>
        <v>0</v>
      </c>
      <c r="AX1164" s="0" t="n">
        <f aca="false"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>2</v>
      </c>
      <c r="AY1164" s="0" t="n">
        <f aca="false">COUNTIF(DU1164:EH1164, "&lt;&gt;")</f>
        <v>6</v>
      </c>
      <c r="AZ1164" s="0" t="n">
        <f aca="false">IF(EH1164&lt;&gt;"",1,0)</f>
        <v>0</v>
      </c>
      <c r="BB1164" s="0" t="s">
        <v>153</v>
      </c>
      <c r="BD1164" s="0" t="s">
        <v>154</v>
      </c>
      <c r="BH1164" s="0" t="s">
        <v>154</v>
      </c>
      <c r="BL1164" s="0" t="s">
        <v>154</v>
      </c>
      <c r="CA1164" s="0" t="s">
        <v>154</v>
      </c>
      <c r="CG1164" s="0" t="s">
        <v>154</v>
      </c>
      <c r="CP1164" s="0" t="s">
        <v>154</v>
      </c>
      <c r="CU1164" s="0" t="s">
        <v>176</v>
      </c>
      <c r="CV1164" s="0" t="s">
        <v>154</v>
      </c>
      <c r="CY1164" s="0" t="s">
        <v>154</v>
      </c>
      <c r="CZ1164" s="0" t="s">
        <v>176</v>
      </c>
      <c r="DC1164" s="0" t="s">
        <v>154</v>
      </c>
      <c r="DD1164" s="0" t="s">
        <v>155</v>
      </c>
      <c r="DF1164" s="0" t="s">
        <v>154</v>
      </c>
      <c r="DG1164" s="0" t="s">
        <v>155</v>
      </c>
      <c r="DI1164" s="0" t="s">
        <v>154</v>
      </c>
      <c r="DN1164" s="0" t="s">
        <v>154</v>
      </c>
      <c r="DS1164" s="0" t="s">
        <v>176</v>
      </c>
      <c r="DU1164" s="0" t="s">
        <v>154</v>
      </c>
      <c r="DW1164" s="0" t="s">
        <v>155</v>
      </c>
      <c r="DX1164" s="0" t="s">
        <v>154</v>
      </c>
      <c r="EA1164" s="0" t="s">
        <v>154</v>
      </c>
      <c r="ED1164" s="0" t="s">
        <v>176</v>
      </c>
      <c r="EF1164" s="0" t="s">
        <v>154</v>
      </c>
    </row>
    <row r="1165" customFormat="false" ht="13.8" hidden="false" customHeight="false" outlineLevel="0" collapsed="false">
      <c r="A1165" s="0" t="s">
        <v>5565</v>
      </c>
      <c r="B1165" s="0" t="n">
        <v>78</v>
      </c>
      <c r="C1165" s="0" t="n">
        <v>450354</v>
      </c>
      <c r="D1165" s="0" t="s">
        <v>5566</v>
      </c>
      <c r="E1165" s="0" t="s">
        <v>5567</v>
      </c>
      <c r="F1165" s="0" t="str">
        <f aca="false">CONCATENATE(D1165," ",LEFT(H1165,4),"T=",AU1165,"D=",AV1165,"R=",AW1165,"M=",AX1165,"L=",AY1165,"B=",AZ1165)</f>
        <v>BOWERS T=42D=13R=0M=1L=6B=0</v>
      </c>
      <c r="G1165" s="0" t="s">
        <v>761</v>
      </c>
      <c r="I1165" s="0" t="s">
        <v>5568</v>
      </c>
      <c r="J1165" s="0" t="s">
        <v>4832</v>
      </c>
      <c r="K1165" s="0" t="s">
        <v>175</v>
      </c>
      <c r="L1165" s="1" t="s">
        <v>155</v>
      </c>
      <c r="M1165" s="0" t="s">
        <v>5558</v>
      </c>
      <c r="N1165" s="0" t="str">
        <f aca="false">RIGHT(M1165,LEN(M1165)-FIND(" ",M1165))</f>
        <v>HOLLYWOOD ST NE</v>
      </c>
      <c r="P1165" s="0" t="s">
        <v>146</v>
      </c>
      <c r="Q1165" s="0" t="s">
        <v>147</v>
      </c>
      <c r="R1165" s="0" t="n">
        <v>44483</v>
      </c>
      <c r="AD1165" s="0" t="s">
        <v>148</v>
      </c>
      <c r="AE1165" s="0" t="s">
        <v>149</v>
      </c>
      <c r="AF1165" s="0" t="s">
        <v>150</v>
      </c>
      <c r="AH1165" s="0" t="n">
        <v>14</v>
      </c>
      <c r="AI1165" s="0" t="n">
        <v>11</v>
      </c>
      <c r="AN1165" s="0" t="s">
        <v>146</v>
      </c>
      <c r="AO1165" s="0" t="s">
        <v>236</v>
      </c>
      <c r="AP1165" s="0" t="s">
        <v>237</v>
      </c>
      <c r="AQ1165" s="0" t="n">
        <v>9</v>
      </c>
      <c r="AR1165" s="0" t="n">
        <v>64</v>
      </c>
      <c r="AS1165" s="0" t="n">
        <v>32</v>
      </c>
      <c r="AU1165" s="0" t="n">
        <f aca="false">COUNTA($BA$992:$EH$992)</f>
        <v>42</v>
      </c>
      <c r="AV1165" s="0" t="n">
        <f aca="false">COUNTIF($BA$992:$EH$992,"D")</f>
        <v>13</v>
      </c>
      <c r="AW1165" s="0" t="n">
        <f aca="false">COUNTIF($BA$992:$EH$992,"R")</f>
        <v>0</v>
      </c>
      <c r="AX1165" s="0" t="n">
        <f aca="false"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>1</v>
      </c>
      <c r="AY1165" s="0" t="n">
        <f aca="false">COUNTIF(DU1165:EH1165, "&lt;&gt;")</f>
        <v>6</v>
      </c>
      <c r="AZ1165" s="0" t="n">
        <f aca="false">IF(EH1165&lt;&gt;"",1,0)</f>
        <v>0</v>
      </c>
      <c r="BB1165" s="0" t="s">
        <v>153</v>
      </c>
      <c r="DN1165" s="0" t="s">
        <v>154</v>
      </c>
      <c r="DS1165" s="0" t="s">
        <v>176</v>
      </c>
      <c r="DU1165" s="0" t="s">
        <v>154</v>
      </c>
      <c r="DW1165" s="0" t="s">
        <v>155</v>
      </c>
      <c r="DX1165" s="0" t="s">
        <v>154</v>
      </c>
      <c r="EA1165" s="0" t="s">
        <v>154</v>
      </c>
      <c r="ED1165" s="0" t="s">
        <v>155</v>
      </c>
      <c r="EF1165" s="0" t="s">
        <v>154</v>
      </c>
    </row>
    <row r="1166" customFormat="false" ht="13.8" hidden="false" customHeight="false" outlineLevel="0" collapsed="false">
      <c r="A1166" s="0" t="s">
        <v>5569</v>
      </c>
      <c r="B1166" s="0" t="n">
        <v>78</v>
      </c>
      <c r="C1166" s="0" t="n">
        <v>184134</v>
      </c>
      <c r="D1166" s="0" t="s">
        <v>4000</v>
      </c>
      <c r="E1166" s="0" t="s">
        <v>4449</v>
      </c>
      <c r="F1166" s="0" t="str">
        <f aca="false">CONCATENATE(D1166," ",LEFT(H1166,4),"T=",AU1166,"D=",AV1166,"R=",AW1166,"M=",AX1166,"L=",AY1166,"B=",AZ1166)</f>
        <v>DOUGLAS T=3D=0R=0M=2L=6B=0</v>
      </c>
      <c r="I1166" s="0" t="s">
        <v>5570</v>
      </c>
      <c r="J1166" s="0" t="s">
        <v>5571</v>
      </c>
      <c r="K1166" s="0" t="s">
        <v>175</v>
      </c>
      <c r="L1166" s="1" t="s">
        <v>176</v>
      </c>
      <c r="M1166" s="0" t="s">
        <v>5572</v>
      </c>
      <c r="N1166" s="0" t="str">
        <f aca="false">RIGHT(M1166,LEN(M1166)-FIND(" ",M1166))</f>
        <v>HOLLYWOOD ST NE</v>
      </c>
      <c r="P1166" s="0" t="s">
        <v>146</v>
      </c>
      <c r="Q1166" s="0" t="s">
        <v>147</v>
      </c>
      <c r="R1166" s="0" t="n">
        <v>44483</v>
      </c>
      <c r="AD1166" s="0" t="s">
        <v>148</v>
      </c>
      <c r="AE1166" s="0" t="s">
        <v>149</v>
      </c>
      <c r="AF1166" s="0" t="s">
        <v>150</v>
      </c>
      <c r="AH1166" s="0" t="n">
        <v>14</v>
      </c>
      <c r="AI1166" s="0" t="n">
        <v>11</v>
      </c>
      <c r="AN1166" s="0" t="s">
        <v>146</v>
      </c>
      <c r="AO1166" s="0" t="s">
        <v>236</v>
      </c>
      <c r="AP1166" s="0" t="s">
        <v>237</v>
      </c>
      <c r="AQ1166" s="0" t="n">
        <v>9</v>
      </c>
      <c r="AR1166" s="0" t="n">
        <v>64</v>
      </c>
      <c r="AS1166" s="0" t="n">
        <v>32</v>
      </c>
      <c r="AU1166" s="0" t="n">
        <f aca="false">COUNTA($BA$389:$EH$389)</f>
        <v>3</v>
      </c>
      <c r="AV1166" s="0" t="n">
        <f aca="false">COUNTIF($BA$389:$EH$389,"D")</f>
        <v>0</v>
      </c>
      <c r="AW1166" s="0" t="n">
        <f aca="false">COUNTIF($BA$389:$EH$389,"R")</f>
        <v>0</v>
      </c>
      <c r="AX1166" s="0" t="n">
        <f aca="false"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>2</v>
      </c>
      <c r="AY1166" s="0" t="n">
        <f aca="false">COUNTIF(DU1166:EH1166, "&lt;&gt;")</f>
        <v>6</v>
      </c>
      <c r="AZ1166" s="0" t="n">
        <f aca="false">IF(EH1166&lt;&gt;"",1,0)</f>
        <v>0</v>
      </c>
      <c r="BB1166" s="0" t="s">
        <v>153</v>
      </c>
      <c r="BC1166" s="0" t="s">
        <v>154</v>
      </c>
      <c r="BD1166" s="0" t="s">
        <v>154</v>
      </c>
      <c r="BE1166" s="0" t="s">
        <v>154</v>
      </c>
      <c r="BF1166" s="0" t="s">
        <v>154</v>
      </c>
      <c r="BH1166" s="0" t="s">
        <v>154</v>
      </c>
      <c r="BJ1166" s="0" t="s">
        <v>154</v>
      </c>
      <c r="BK1166" s="0" t="s">
        <v>154</v>
      </c>
      <c r="BL1166" s="0" t="s">
        <v>154</v>
      </c>
      <c r="BP1166" s="0" t="s">
        <v>154</v>
      </c>
      <c r="BR1166" s="0" t="s">
        <v>154</v>
      </c>
      <c r="BS1166" s="0" t="s">
        <v>154</v>
      </c>
      <c r="BV1166" s="0" t="s">
        <v>154</v>
      </c>
      <c r="BY1166" s="0" t="s">
        <v>155</v>
      </c>
      <c r="CA1166" s="0" t="s">
        <v>154</v>
      </c>
      <c r="CG1166" s="0" t="s">
        <v>154</v>
      </c>
      <c r="CK1166" s="0" t="s">
        <v>154</v>
      </c>
      <c r="CL1166" s="0" t="s">
        <v>155</v>
      </c>
      <c r="CN1166" s="0" t="s">
        <v>154</v>
      </c>
      <c r="CO1166" s="0" t="s">
        <v>155</v>
      </c>
      <c r="CP1166" s="0" t="s">
        <v>154</v>
      </c>
      <c r="CT1166" s="0" t="s">
        <v>154</v>
      </c>
      <c r="CY1166" s="0" t="s">
        <v>154</v>
      </c>
      <c r="CZ1166" s="0" t="s">
        <v>155</v>
      </c>
      <c r="DC1166" s="0" t="s">
        <v>154</v>
      </c>
      <c r="DI1166" s="0" t="s">
        <v>154</v>
      </c>
      <c r="DM1166" s="0" t="s">
        <v>155</v>
      </c>
      <c r="DN1166" s="0" t="s">
        <v>154</v>
      </c>
      <c r="DU1166" s="0" t="s">
        <v>154</v>
      </c>
      <c r="DW1166" s="0" t="s">
        <v>155</v>
      </c>
      <c r="DX1166" s="0" t="s">
        <v>154</v>
      </c>
      <c r="EA1166" s="0" t="s">
        <v>154</v>
      </c>
      <c r="ED1166" s="0" t="s">
        <v>176</v>
      </c>
      <c r="EF1166" s="0" t="s">
        <v>154</v>
      </c>
    </row>
    <row r="1167" customFormat="false" ht="13.8" hidden="true" customHeight="false" outlineLevel="0" collapsed="false">
      <c r="A1167" s="0" t="s">
        <v>5573</v>
      </c>
      <c r="B1167" s="0" t="n">
        <v>78</v>
      </c>
      <c r="C1167" s="0" t="n">
        <v>457871</v>
      </c>
      <c r="D1167" s="0" t="s">
        <v>2503</v>
      </c>
      <c r="E1167" s="0" t="s">
        <v>5574</v>
      </c>
      <c r="F1167" s="0" t="str">
        <f aca="false">CONCATENATE(D1167," ",LEFT(H1167,4),"T=",AU1167,"D=",AV1167,"R=",AW1167,"M=",AX1167,"L=",AY1167,"B=",AZ1167)</f>
        <v>BEVER T=4D=0R=0M=0L=0B=0</v>
      </c>
      <c r="G1167" s="0" t="s">
        <v>1244</v>
      </c>
      <c r="I1167" s="0" t="s">
        <v>5575</v>
      </c>
      <c r="J1167" s="0" t="s">
        <v>5576</v>
      </c>
      <c r="K1167" s="0" t="s">
        <v>144</v>
      </c>
      <c r="L1167" s="0"/>
      <c r="M1167" s="0" t="s">
        <v>5577</v>
      </c>
      <c r="N1167" s="0" t="str">
        <f aca="false">RIGHT(M1167,LEN(M1167)-FIND(" ",M1167))</f>
        <v>HOLLYWOOD ST NE</v>
      </c>
      <c r="P1167" s="0" t="s">
        <v>146</v>
      </c>
      <c r="Q1167" s="0" t="s">
        <v>147</v>
      </c>
      <c r="R1167" s="0" t="n">
        <v>44483</v>
      </c>
      <c r="AD1167" s="0" t="s">
        <v>148</v>
      </c>
      <c r="AE1167" s="0" t="s">
        <v>149</v>
      </c>
      <c r="AF1167" s="0" t="s">
        <v>150</v>
      </c>
      <c r="AH1167" s="0" t="n">
        <v>14</v>
      </c>
      <c r="AI1167" s="0" t="n">
        <v>11</v>
      </c>
      <c r="AN1167" s="0" t="s">
        <v>146</v>
      </c>
      <c r="AO1167" s="0" t="s">
        <v>236</v>
      </c>
      <c r="AP1167" s="0" t="s">
        <v>237</v>
      </c>
      <c r="AQ1167" s="0" t="n">
        <v>9</v>
      </c>
      <c r="AR1167" s="0" t="n">
        <v>64</v>
      </c>
      <c r="AS1167" s="0" t="n">
        <v>32</v>
      </c>
      <c r="AU1167" s="0" t="n">
        <f aca="false">COUNTA($BA$270:$EH$270)</f>
        <v>4</v>
      </c>
      <c r="AV1167" s="0" t="n">
        <f aca="false">COUNTIF($BA$270:$EH$270,"D")</f>
        <v>0</v>
      </c>
      <c r="AW1167" s="0" t="n">
        <f aca="false">COUNTIF($BA$270:$EH$270,"R")</f>
        <v>0</v>
      </c>
      <c r="AX1167" s="0" t="n">
        <f aca="false"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>0</v>
      </c>
      <c r="AY1167" s="0" t="n">
        <f aca="false">COUNTIF(DU1167:EH1167, "&lt;&gt;")</f>
        <v>0</v>
      </c>
      <c r="AZ1167" s="0" t="n">
        <f aca="false">IF(EH1167&lt;&gt;"",1,0)</f>
        <v>0</v>
      </c>
      <c r="BB1167" s="0" t="s">
        <v>153</v>
      </c>
    </row>
    <row r="1168" customFormat="false" ht="13.8" hidden="true" customHeight="false" outlineLevel="0" collapsed="false">
      <c r="A1168" s="0" t="s">
        <v>5578</v>
      </c>
      <c r="B1168" s="0" t="n">
        <v>78</v>
      </c>
      <c r="C1168" s="0" t="n">
        <v>184124</v>
      </c>
      <c r="D1168" s="0" t="s">
        <v>2503</v>
      </c>
      <c r="E1168" s="0" t="s">
        <v>1545</v>
      </c>
      <c r="F1168" s="0" t="str">
        <f aca="false">CONCATENATE(D1168," ",LEFT(H1168,4),"T=",AU1168,"D=",AV1168,"R=",AW1168,"M=",AX1168,"L=",AY1168,"B=",AZ1168)</f>
        <v>BEVER T=11D=0R=3M=0L=1B=0</v>
      </c>
      <c r="G1168" s="0" t="s">
        <v>365</v>
      </c>
      <c r="I1168" s="0" t="s">
        <v>5579</v>
      </c>
      <c r="J1168" s="0" t="s">
        <v>5580</v>
      </c>
      <c r="K1168" s="0" t="s">
        <v>175</v>
      </c>
      <c r="L1168" s="0"/>
      <c r="M1168" s="0" t="s">
        <v>5577</v>
      </c>
      <c r="N1168" s="0" t="str">
        <f aca="false">RIGHT(M1168,LEN(M1168)-FIND(" ",M1168))</f>
        <v>HOLLYWOOD ST NE</v>
      </c>
      <c r="P1168" s="0" t="s">
        <v>146</v>
      </c>
      <c r="Q1168" s="0" t="s">
        <v>147</v>
      </c>
      <c r="R1168" s="0" t="n">
        <v>44483</v>
      </c>
      <c r="AD1168" s="0" t="s">
        <v>148</v>
      </c>
      <c r="AE1168" s="0" t="s">
        <v>149</v>
      </c>
      <c r="AF1168" s="0" t="s">
        <v>150</v>
      </c>
      <c r="AH1168" s="0" t="n">
        <v>14</v>
      </c>
      <c r="AI1168" s="0" t="n">
        <v>11</v>
      </c>
      <c r="AN1168" s="0" t="s">
        <v>146</v>
      </c>
      <c r="AO1168" s="0" t="s">
        <v>236</v>
      </c>
      <c r="AP1168" s="0" t="s">
        <v>237</v>
      </c>
      <c r="AQ1168" s="0" t="n">
        <v>9</v>
      </c>
      <c r="AR1168" s="0" t="n">
        <v>64</v>
      </c>
      <c r="AS1168" s="0" t="n">
        <v>32</v>
      </c>
      <c r="AU1168" s="0" t="n">
        <f aca="false">COUNTA($BA$401:$EH$401)</f>
        <v>11</v>
      </c>
      <c r="AV1168" s="0" t="n">
        <f aca="false">COUNTIF($BA$401:$EH$401,"D")</f>
        <v>0</v>
      </c>
      <c r="AW1168" s="0" t="n">
        <f aca="false">COUNTIF($BA$401:$EH$401,"R")</f>
        <v>3</v>
      </c>
      <c r="AX1168" s="0" t="n">
        <f aca="false"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>0</v>
      </c>
      <c r="AY1168" s="0" t="n">
        <f aca="false">COUNTIF(DU1168:EH1168, "&lt;&gt;")</f>
        <v>1</v>
      </c>
      <c r="AZ1168" s="0" t="n">
        <f aca="false">IF(EH1168&lt;&gt;"",1,0)</f>
        <v>0</v>
      </c>
      <c r="BB1168" s="0" t="s">
        <v>153</v>
      </c>
      <c r="BD1168" s="0" t="s">
        <v>154</v>
      </c>
      <c r="BL1168" s="0" t="s">
        <v>154</v>
      </c>
      <c r="CA1168" s="0" t="s">
        <v>154</v>
      </c>
      <c r="CN1168" s="0" t="s">
        <v>154</v>
      </c>
      <c r="CP1168" s="0" t="s">
        <v>154</v>
      </c>
      <c r="CY1168" s="0" t="s">
        <v>154</v>
      </c>
      <c r="CZ1168" s="0" t="s">
        <v>176</v>
      </c>
      <c r="DC1168" s="0" t="s">
        <v>154</v>
      </c>
      <c r="DN1168" s="0" t="s">
        <v>154</v>
      </c>
      <c r="EF1168" s="0" t="s">
        <v>154</v>
      </c>
    </row>
    <row r="1169" customFormat="false" ht="13.8" hidden="false" customHeight="false" outlineLevel="0" collapsed="false">
      <c r="A1169" s="0" t="s">
        <v>5581</v>
      </c>
      <c r="B1169" s="0" t="n">
        <v>78</v>
      </c>
      <c r="C1169" s="0" t="n">
        <v>146302</v>
      </c>
      <c r="D1169" s="0" t="s">
        <v>2503</v>
      </c>
      <c r="E1169" s="0" t="s">
        <v>5582</v>
      </c>
      <c r="F1169" s="0" t="str">
        <f aca="false">CONCATENATE(D1169," ",LEFT(H1169,4),"T=",AU1169,"D=",AV1169,"R=",AW1169,"M=",AX1169,"L=",AY1169,"B=",AZ1169)</f>
        <v>BEVER T=12D=1R=1M=1L=2B=0</v>
      </c>
      <c r="G1169" s="0" t="s">
        <v>176</v>
      </c>
      <c r="I1169" s="0" t="s">
        <v>5583</v>
      </c>
      <c r="J1169" s="0" t="s">
        <v>5584</v>
      </c>
      <c r="K1169" s="0" t="s">
        <v>175</v>
      </c>
      <c r="M1169" s="0" t="s">
        <v>5577</v>
      </c>
      <c r="N1169" s="0" t="str">
        <f aca="false">RIGHT(M1169,LEN(M1169)-FIND(" ",M1169))</f>
        <v>HOLLYWOOD ST NE</v>
      </c>
      <c r="P1169" s="0" t="s">
        <v>146</v>
      </c>
      <c r="Q1169" s="0" t="s">
        <v>147</v>
      </c>
      <c r="R1169" s="0" t="n">
        <v>44483</v>
      </c>
      <c r="AD1169" s="0" t="s">
        <v>148</v>
      </c>
      <c r="AE1169" s="0" t="s">
        <v>149</v>
      </c>
      <c r="AF1169" s="0" t="s">
        <v>150</v>
      </c>
      <c r="AH1169" s="0" t="n">
        <v>14</v>
      </c>
      <c r="AI1169" s="0" t="n">
        <v>11</v>
      </c>
      <c r="AN1169" s="0" t="s">
        <v>146</v>
      </c>
      <c r="AO1169" s="0" t="s">
        <v>236</v>
      </c>
      <c r="AP1169" s="0" t="s">
        <v>237</v>
      </c>
      <c r="AQ1169" s="0" t="n">
        <v>9</v>
      </c>
      <c r="AR1169" s="0" t="n">
        <v>64</v>
      </c>
      <c r="AS1169" s="0" t="n">
        <v>32</v>
      </c>
      <c r="AU1169" s="0" t="n">
        <f aca="false">COUNTA($BA$418:$EH$418)</f>
        <v>12</v>
      </c>
      <c r="AV1169" s="0" t="n">
        <f aca="false">COUNTIF($BA$418:$EH$418,"D")</f>
        <v>1</v>
      </c>
      <c r="AW1169" s="0" t="n">
        <f aca="false">COUNTIF($BA$418:$EH$418,"R")</f>
        <v>1</v>
      </c>
      <c r="AX1169" s="0" t="n">
        <f aca="false"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>1</v>
      </c>
      <c r="AY1169" s="0" t="n">
        <f aca="false">COUNTIF(DU1169:EH1169, "&lt;&gt;")</f>
        <v>2</v>
      </c>
      <c r="AZ1169" s="0" t="n">
        <f aca="false">IF(EH1169&lt;&gt;"",1,0)</f>
        <v>0</v>
      </c>
      <c r="BB1169" s="0" t="s">
        <v>153</v>
      </c>
      <c r="BD1169" s="0" t="s">
        <v>154</v>
      </c>
      <c r="BL1169" s="0" t="s">
        <v>154</v>
      </c>
      <c r="BY1169" s="0" t="s">
        <v>155</v>
      </c>
      <c r="CA1169" s="0" t="s">
        <v>154</v>
      </c>
      <c r="CL1169" s="0" t="s">
        <v>155</v>
      </c>
      <c r="CN1169" s="0" t="s">
        <v>154</v>
      </c>
      <c r="CP1169" s="0" t="s">
        <v>154</v>
      </c>
      <c r="CY1169" s="0" t="s">
        <v>154</v>
      </c>
      <c r="CZ1169" s="0" t="s">
        <v>155</v>
      </c>
      <c r="DC1169" s="0" t="s">
        <v>154</v>
      </c>
      <c r="DN1169" s="0" t="s">
        <v>154</v>
      </c>
      <c r="EA1169" s="0" t="s">
        <v>154</v>
      </c>
      <c r="EF1169" s="0" t="s">
        <v>154</v>
      </c>
    </row>
    <row r="1170" customFormat="false" ht="13.8" hidden="true" customHeight="false" outlineLevel="0" collapsed="false">
      <c r="A1170" s="0" t="s">
        <v>5585</v>
      </c>
      <c r="B1170" s="0" t="n">
        <v>78</v>
      </c>
      <c r="C1170" s="0" t="n">
        <v>492757</v>
      </c>
      <c r="D1170" s="0" t="s">
        <v>5586</v>
      </c>
      <c r="E1170" s="0" t="s">
        <v>5587</v>
      </c>
      <c r="F1170" s="0" t="str">
        <f aca="false">CONCATENATE(D1170," ",LEFT(H1170,4),"T=",AU1170,"D=",AV1170,"R=",AW1170,"M=",AX1170,"L=",AY1170,"B=",AZ1170)</f>
        <v>GEE T=4D=1R=0M=0L=0B=0</v>
      </c>
      <c r="G1170" s="0" t="s">
        <v>771</v>
      </c>
      <c r="I1170" s="0" t="s">
        <v>5588</v>
      </c>
      <c r="J1170" s="0" t="s">
        <v>712</v>
      </c>
      <c r="K1170" s="0" t="s">
        <v>175</v>
      </c>
      <c r="L1170" s="0"/>
      <c r="M1170" s="0" t="s">
        <v>5589</v>
      </c>
      <c r="N1170" s="0" t="str">
        <f aca="false">RIGHT(M1170,LEN(M1170)-FIND(" ",M1170))</f>
        <v>HOLLYWOOD ST NE</v>
      </c>
      <c r="P1170" s="0" t="s">
        <v>146</v>
      </c>
      <c r="Q1170" s="0" t="s">
        <v>147</v>
      </c>
      <c r="R1170" s="0" t="n">
        <v>44483</v>
      </c>
      <c r="AD1170" s="0" t="s">
        <v>148</v>
      </c>
      <c r="AE1170" s="0" t="s">
        <v>149</v>
      </c>
      <c r="AF1170" s="0" t="s">
        <v>150</v>
      </c>
      <c r="AH1170" s="0" t="n">
        <v>14</v>
      </c>
      <c r="AI1170" s="0" t="n">
        <v>11</v>
      </c>
      <c r="AN1170" s="0" t="s">
        <v>146</v>
      </c>
      <c r="AO1170" s="0" t="s">
        <v>236</v>
      </c>
      <c r="AP1170" s="0" t="s">
        <v>237</v>
      </c>
      <c r="AQ1170" s="0" t="n">
        <v>9</v>
      </c>
      <c r="AR1170" s="0" t="n">
        <v>64</v>
      </c>
      <c r="AS1170" s="0" t="n">
        <v>32</v>
      </c>
      <c r="AU1170" s="0" t="n">
        <f aca="false">COUNTA($BA$358:$EH$358)</f>
        <v>4</v>
      </c>
      <c r="AV1170" s="0" t="n">
        <f aca="false">COUNTIF($BA$358:$EH$358,"D")</f>
        <v>1</v>
      </c>
      <c r="AW1170" s="0" t="n">
        <f aca="false">COUNTIF($BA$358:$EH$358,"R")</f>
        <v>0</v>
      </c>
      <c r="AX1170" s="0" t="n">
        <f aca="false"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>0</v>
      </c>
      <c r="AY1170" s="0" t="n">
        <f aca="false">COUNTIF(DU1170:EH1170, "&lt;&gt;")</f>
        <v>0</v>
      </c>
      <c r="AZ1170" s="0" t="n">
        <f aca="false">IF(EH1170&lt;&gt;"",1,0)</f>
        <v>0</v>
      </c>
      <c r="BB1170" s="0" t="s">
        <v>153</v>
      </c>
    </row>
    <row r="1171" customFormat="false" ht="13.8" hidden="true" customHeight="false" outlineLevel="0" collapsed="false">
      <c r="A1171" s="0" t="s">
        <v>5590</v>
      </c>
      <c r="B1171" s="0" t="n">
        <v>78</v>
      </c>
      <c r="C1171" s="0" t="n">
        <v>458540</v>
      </c>
      <c r="D1171" s="0" t="s">
        <v>146</v>
      </c>
      <c r="E1171" s="0" t="s">
        <v>3942</v>
      </c>
      <c r="F1171" s="0" t="str">
        <f aca="false">CONCATENATE(D1171," ",LEFT(H1171,4),"T=",AU1171,"D=",AV1171,"R=",AW1171,"M=",AX1171,"L=",AY1171,"B=",AZ1171)</f>
        <v>WARREN T=27D=3R=0M=0L=1B=0</v>
      </c>
      <c r="G1171" s="0" t="s">
        <v>1717</v>
      </c>
      <c r="I1171" s="0" t="s">
        <v>5591</v>
      </c>
      <c r="J1171" s="0" t="s">
        <v>5592</v>
      </c>
      <c r="K1171" s="0" t="s">
        <v>175</v>
      </c>
      <c r="L1171" s="0"/>
      <c r="M1171" s="0" t="s">
        <v>5589</v>
      </c>
      <c r="N1171" s="0" t="str">
        <f aca="false">RIGHT(M1171,LEN(M1171)-FIND(" ",M1171))</f>
        <v>HOLLYWOOD ST NE</v>
      </c>
      <c r="P1171" s="0" t="s">
        <v>146</v>
      </c>
      <c r="Q1171" s="0" t="s">
        <v>147</v>
      </c>
      <c r="R1171" s="0" t="n">
        <v>44483</v>
      </c>
      <c r="AD1171" s="0" t="s">
        <v>148</v>
      </c>
      <c r="AE1171" s="0" t="s">
        <v>149</v>
      </c>
      <c r="AF1171" s="0" t="s">
        <v>150</v>
      </c>
      <c r="AH1171" s="0" t="n">
        <v>14</v>
      </c>
      <c r="AI1171" s="0" t="n">
        <v>11</v>
      </c>
      <c r="AN1171" s="0" t="s">
        <v>146</v>
      </c>
      <c r="AO1171" s="0" t="s">
        <v>236</v>
      </c>
      <c r="AP1171" s="0" t="s">
        <v>237</v>
      </c>
      <c r="AQ1171" s="0" t="n">
        <v>9</v>
      </c>
      <c r="AR1171" s="0" t="n">
        <v>64</v>
      </c>
      <c r="AS1171" s="0" t="n">
        <v>32</v>
      </c>
      <c r="AU1171" s="0" t="n">
        <f aca="false">COUNTA($BA$463:$EH$463)</f>
        <v>27</v>
      </c>
      <c r="AV1171" s="0" t="n">
        <f aca="false">COUNTIF($BA$463:$EH$463,"D")</f>
        <v>3</v>
      </c>
      <c r="AW1171" s="0" t="n">
        <f aca="false">COUNTIF($BA$463:$EH$463,"R")</f>
        <v>0</v>
      </c>
      <c r="AX1171" s="0" t="n">
        <f aca="false"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>0</v>
      </c>
      <c r="AY1171" s="0" t="n">
        <f aca="false">COUNTIF(DU1171:EH1171, "&lt;&gt;")</f>
        <v>1</v>
      </c>
      <c r="AZ1171" s="0" t="n">
        <f aca="false">IF(EH1171&lt;&gt;"",1,0)</f>
        <v>0</v>
      </c>
      <c r="BB1171" s="0" t="s">
        <v>153</v>
      </c>
      <c r="DI1171" s="0" t="s">
        <v>154</v>
      </c>
      <c r="DN1171" s="0" t="s">
        <v>154</v>
      </c>
      <c r="EF1171" s="0" t="s">
        <v>154</v>
      </c>
    </row>
    <row r="1172" customFormat="false" ht="13.8" hidden="false" customHeight="false" outlineLevel="0" collapsed="false">
      <c r="A1172" s="0" t="s">
        <v>5593</v>
      </c>
      <c r="B1172" s="0" t="n">
        <v>78</v>
      </c>
      <c r="C1172" s="0" t="n">
        <v>241740</v>
      </c>
      <c r="D1172" s="0" t="s">
        <v>3061</v>
      </c>
      <c r="E1172" s="0" t="s">
        <v>5258</v>
      </c>
      <c r="F1172" s="0" t="str">
        <f aca="false">CONCATENATE(D1172," ",LEFT(H1172,4),"T=",AU1172,"D=",AV1172,"R=",AW1172,"M=",AX1172,"L=",AY1172,"B=",AZ1172)</f>
        <v>FRANK T=10D=3R=0M=0L=2B=0</v>
      </c>
      <c r="I1172" s="0" t="s">
        <v>5594</v>
      </c>
      <c r="J1172" s="0" t="s">
        <v>5595</v>
      </c>
      <c r="K1172" s="0" t="s">
        <v>175</v>
      </c>
      <c r="M1172" s="0" t="s">
        <v>5596</v>
      </c>
      <c r="N1172" s="0" t="str">
        <f aca="false">RIGHT(M1172,LEN(M1172)-FIND(" ",M1172))</f>
        <v>HOLLYWOOD ST NE</v>
      </c>
      <c r="P1172" s="0" t="s">
        <v>146</v>
      </c>
      <c r="Q1172" s="0" t="s">
        <v>147</v>
      </c>
      <c r="R1172" s="0" t="n">
        <v>44483</v>
      </c>
      <c r="AD1172" s="0" t="s">
        <v>148</v>
      </c>
      <c r="AE1172" s="0" t="s">
        <v>149</v>
      </c>
      <c r="AF1172" s="0" t="s">
        <v>150</v>
      </c>
      <c r="AH1172" s="0" t="n">
        <v>14</v>
      </c>
      <c r="AI1172" s="0" t="n">
        <v>11</v>
      </c>
      <c r="AN1172" s="0" t="s">
        <v>146</v>
      </c>
      <c r="AO1172" s="0" t="s">
        <v>236</v>
      </c>
      <c r="AP1172" s="0" t="s">
        <v>237</v>
      </c>
      <c r="AQ1172" s="0" t="n">
        <v>9</v>
      </c>
      <c r="AR1172" s="0" t="n">
        <v>64</v>
      </c>
      <c r="AS1172" s="0" t="n">
        <v>32</v>
      </c>
      <c r="AU1172" s="0" t="n">
        <f aca="false">COUNTA($BA$417:$EH$417)</f>
        <v>10</v>
      </c>
      <c r="AV1172" s="0" t="n">
        <f aca="false">COUNTIF($BA$417:$EH$417,"D")</f>
        <v>3</v>
      </c>
      <c r="AW1172" s="0" t="n">
        <f aca="false">COUNTIF($BA$417:$EH$417,"R")</f>
        <v>0</v>
      </c>
      <c r="AX1172" s="0" t="n">
        <f aca="false"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>0</v>
      </c>
      <c r="AY1172" s="0" t="n">
        <f aca="false">COUNTIF(DU1172:EH1172, "&lt;&gt;")</f>
        <v>2</v>
      </c>
      <c r="AZ1172" s="0" t="n">
        <f aca="false">IF(EH1172&lt;&gt;"",1,0)</f>
        <v>0</v>
      </c>
      <c r="BB1172" s="0" t="s">
        <v>153</v>
      </c>
      <c r="BC1172" s="0" t="s">
        <v>154</v>
      </c>
      <c r="BD1172" s="0" t="s">
        <v>154</v>
      </c>
      <c r="BH1172" s="0" t="s">
        <v>154</v>
      </c>
      <c r="BL1172" s="0" t="s">
        <v>154</v>
      </c>
      <c r="BS1172" s="0" t="s">
        <v>154</v>
      </c>
      <c r="BY1172" s="0" t="s">
        <v>155</v>
      </c>
      <c r="CA1172" s="0" t="s">
        <v>154</v>
      </c>
      <c r="CK1172" s="0" t="s">
        <v>154</v>
      </c>
      <c r="CN1172" s="0" t="s">
        <v>154</v>
      </c>
      <c r="CP1172" s="0" t="s">
        <v>154</v>
      </c>
      <c r="CV1172" s="0" t="s">
        <v>154</v>
      </c>
      <c r="CZ1172" s="0" t="s">
        <v>176</v>
      </c>
      <c r="DC1172" s="0" t="s">
        <v>154</v>
      </c>
      <c r="DN1172" s="0" t="s">
        <v>154</v>
      </c>
      <c r="DU1172" s="0" t="s">
        <v>154</v>
      </c>
      <c r="EF1172" s="0" t="s">
        <v>154</v>
      </c>
    </row>
    <row r="1173" customFormat="false" ht="13.8" hidden="false" customHeight="false" outlineLevel="0" collapsed="false">
      <c r="A1173" s="0" t="s">
        <v>5597</v>
      </c>
      <c r="B1173" s="0" t="n">
        <v>78</v>
      </c>
      <c r="C1173" s="0" t="n">
        <v>208324</v>
      </c>
      <c r="D1173" s="0" t="s">
        <v>3061</v>
      </c>
      <c r="E1173" s="0" t="s">
        <v>5598</v>
      </c>
      <c r="F1173" s="0" t="str">
        <f aca="false">CONCATENATE(D1173," ",LEFT(H1173,4),"T=",AU1173,"D=",AV1173,"R=",AW1173,"M=",AX1173,"L=",AY1173,"B=",AZ1173)</f>
        <v>FRANK T=48D=15R=1M=0L=2B=0</v>
      </c>
      <c r="G1173" s="0" t="s">
        <v>222</v>
      </c>
      <c r="I1173" s="0" t="s">
        <v>5599</v>
      </c>
      <c r="J1173" s="0" t="s">
        <v>5600</v>
      </c>
      <c r="K1173" s="0" t="s">
        <v>175</v>
      </c>
      <c r="M1173" s="0" t="s">
        <v>5596</v>
      </c>
      <c r="N1173" s="0" t="str">
        <f aca="false">RIGHT(M1173,LEN(M1173)-FIND(" ",M1173))</f>
        <v>HOLLYWOOD ST NE</v>
      </c>
      <c r="P1173" s="0" t="s">
        <v>146</v>
      </c>
      <c r="Q1173" s="0" t="s">
        <v>147</v>
      </c>
      <c r="R1173" s="0" t="n">
        <v>44483</v>
      </c>
      <c r="AD1173" s="0" t="s">
        <v>148</v>
      </c>
      <c r="AE1173" s="0" t="s">
        <v>149</v>
      </c>
      <c r="AF1173" s="0" t="s">
        <v>150</v>
      </c>
      <c r="AH1173" s="0" t="n">
        <v>14</v>
      </c>
      <c r="AI1173" s="0" t="n">
        <v>11</v>
      </c>
      <c r="AN1173" s="0" t="s">
        <v>146</v>
      </c>
      <c r="AO1173" s="0" t="s">
        <v>236</v>
      </c>
      <c r="AP1173" s="0" t="s">
        <v>237</v>
      </c>
      <c r="AQ1173" s="0" t="n">
        <v>9</v>
      </c>
      <c r="AR1173" s="0" t="n">
        <v>64</v>
      </c>
      <c r="AS1173" s="0" t="n">
        <v>32</v>
      </c>
      <c r="AU1173" s="0" t="n">
        <f aca="false">COUNTA($BA$419:$EH$419)</f>
        <v>48</v>
      </c>
      <c r="AV1173" s="0" t="n">
        <f aca="false">COUNTIF($BA$419:$EH$419,"D")</f>
        <v>15</v>
      </c>
      <c r="AW1173" s="0" t="n">
        <f aca="false">COUNTIF($BA$419:$EH$419,"R")</f>
        <v>1</v>
      </c>
      <c r="AX1173" s="0" t="n">
        <f aca="false"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>0</v>
      </c>
      <c r="AY1173" s="0" t="n">
        <f aca="false">COUNTIF(DU1173:EH1173, "&lt;&gt;")</f>
        <v>2</v>
      </c>
      <c r="AZ1173" s="0" t="n">
        <f aca="false">IF(EH1173&lt;&gt;"",1,0)</f>
        <v>0</v>
      </c>
      <c r="BB1173" s="0" t="s">
        <v>153</v>
      </c>
      <c r="BC1173" s="0" t="s">
        <v>154</v>
      </c>
      <c r="BD1173" s="0" t="s">
        <v>154</v>
      </c>
      <c r="BL1173" s="0" t="s">
        <v>154</v>
      </c>
      <c r="BS1173" s="0" t="s">
        <v>154</v>
      </c>
      <c r="BY1173" s="0" t="s">
        <v>176</v>
      </c>
      <c r="CA1173" s="0" t="s">
        <v>154</v>
      </c>
      <c r="CK1173" s="0" t="s">
        <v>154</v>
      </c>
      <c r="CN1173" s="0" t="s">
        <v>154</v>
      </c>
      <c r="CP1173" s="0" t="s">
        <v>154</v>
      </c>
      <c r="CV1173" s="0" t="s">
        <v>154</v>
      </c>
      <c r="CZ1173" s="0" t="s">
        <v>176</v>
      </c>
      <c r="DC1173" s="0" t="s">
        <v>154</v>
      </c>
      <c r="DN1173" s="0" t="s">
        <v>154</v>
      </c>
      <c r="DU1173" s="0" t="s">
        <v>154</v>
      </c>
      <c r="EF1173" s="0" t="s">
        <v>154</v>
      </c>
    </row>
    <row r="1174" customFormat="false" ht="13.8" hidden="true" customHeight="false" outlineLevel="0" collapsed="false">
      <c r="A1174" s="0" t="s">
        <v>5601</v>
      </c>
      <c r="B1174" s="0" t="n">
        <v>78</v>
      </c>
      <c r="C1174" s="0" t="n">
        <v>385059</v>
      </c>
      <c r="D1174" s="0" t="s">
        <v>677</v>
      </c>
      <c r="E1174" s="0" t="s">
        <v>5602</v>
      </c>
      <c r="F1174" s="0" t="str">
        <f aca="false">CONCATENATE(D1174," ",LEFT(H1174,4),"T=",AU1174,"D=",AV1174,"R=",AW1174,"M=",AX1174,"L=",AY1174,"B=",AZ1174)</f>
        <v>REESE T=3D=1R=0M=0L=0B=0</v>
      </c>
      <c r="G1174" s="0" t="s">
        <v>241</v>
      </c>
      <c r="I1174" s="0" t="s">
        <v>5603</v>
      </c>
      <c r="J1174" s="0" t="s">
        <v>5604</v>
      </c>
      <c r="K1174" s="0" t="s">
        <v>144</v>
      </c>
      <c r="L1174" s="0"/>
      <c r="M1174" s="0" t="s">
        <v>5605</v>
      </c>
      <c r="N1174" s="0" t="str">
        <f aca="false">RIGHT(M1174,LEN(M1174)-FIND(" ",M1174))</f>
        <v>HOLLYWOOD ST NE</v>
      </c>
      <c r="P1174" s="0" t="s">
        <v>146</v>
      </c>
      <c r="Q1174" s="0" t="s">
        <v>147</v>
      </c>
      <c r="R1174" s="0" t="n">
        <v>44483</v>
      </c>
      <c r="AD1174" s="0" t="s">
        <v>148</v>
      </c>
      <c r="AE1174" s="0" t="s">
        <v>149</v>
      </c>
      <c r="AF1174" s="0" t="s">
        <v>150</v>
      </c>
      <c r="AH1174" s="0" t="n">
        <v>14</v>
      </c>
      <c r="AI1174" s="0" t="n">
        <v>11</v>
      </c>
      <c r="AN1174" s="0" t="s">
        <v>146</v>
      </c>
      <c r="AO1174" s="0" t="s">
        <v>236</v>
      </c>
      <c r="AP1174" s="0" t="s">
        <v>237</v>
      </c>
      <c r="AQ1174" s="0" t="n">
        <v>9</v>
      </c>
      <c r="AR1174" s="0" t="n">
        <v>64</v>
      </c>
      <c r="AS1174" s="0" t="n">
        <v>32</v>
      </c>
      <c r="AU1174" s="0" t="n">
        <f aca="false">COUNTA($BA$28:$EH$28)</f>
        <v>3</v>
      </c>
      <c r="AV1174" s="0" t="n">
        <f aca="false">COUNTIF($BA$28:$EH$28,"D")</f>
        <v>1</v>
      </c>
      <c r="AW1174" s="0" t="n">
        <f aca="false">COUNTIF($BA$28:$EH$28,"R")</f>
        <v>0</v>
      </c>
      <c r="AX1174" s="0" t="n">
        <f aca="false"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>0</v>
      </c>
      <c r="AY1174" s="0" t="n">
        <f aca="false">COUNTIF(DU1174:EH1174, "&lt;&gt;")</f>
        <v>0</v>
      </c>
      <c r="AZ1174" s="0" t="n">
        <f aca="false">IF(EH1174&lt;&gt;"",1,0)</f>
        <v>0</v>
      </c>
      <c r="BB1174" s="0" t="s">
        <v>153</v>
      </c>
      <c r="CO1174" s="0" t="s">
        <v>176</v>
      </c>
      <c r="DC1174" s="0" t="s">
        <v>154</v>
      </c>
    </row>
    <row r="1175" customFormat="false" ht="13.8" hidden="true" customHeight="false" outlineLevel="0" collapsed="false">
      <c r="A1175" s="0" t="s">
        <v>5606</v>
      </c>
      <c r="B1175" s="0" t="n">
        <v>78</v>
      </c>
      <c r="C1175" s="0" t="n">
        <v>484510</v>
      </c>
      <c r="D1175" s="0" t="s">
        <v>5607</v>
      </c>
      <c r="E1175" s="0" t="s">
        <v>5608</v>
      </c>
      <c r="F1175" s="0" t="str">
        <f aca="false">CONCATENATE(D1175," ",LEFT(H1175,4),"T=",AU1175,"D=",AV1175,"R=",AW1175,"M=",AX1175,"L=",AY1175,"B=",AZ1175)</f>
        <v>MILENDER T=1D=0R=0M=0L=0B=0</v>
      </c>
      <c r="G1175" s="0" t="s">
        <v>5609</v>
      </c>
      <c r="I1175" s="0" t="s">
        <v>5610</v>
      </c>
      <c r="J1175" s="0" t="s">
        <v>5611</v>
      </c>
      <c r="K1175" s="0" t="s">
        <v>175</v>
      </c>
      <c r="L1175" s="0"/>
      <c r="M1175" s="0" t="s">
        <v>5605</v>
      </c>
      <c r="N1175" s="0" t="str">
        <f aca="false">RIGHT(M1175,LEN(M1175)-FIND(" ",M1175))</f>
        <v>HOLLYWOOD ST NE</v>
      </c>
      <c r="P1175" s="0" t="s">
        <v>146</v>
      </c>
      <c r="Q1175" s="0" t="s">
        <v>147</v>
      </c>
      <c r="R1175" s="0" t="n">
        <v>44483</v>
      </c>
      <c r="S1175" s="0" t="n">
        <v>3949</v>
      </c>
      <c r="AD1175" s="0" t="s">
        <v>148</v>
      </c>
      <c r="AE1175" s="0" t="s">
        <v>149</v>
      </c>
      <c r="AF1175" s="0" t="s">
        <v>150</v>
      </c>
      <c r="AH1175" s="0" t="n">
        <v>14</v>
      </c>
      <c r="AI1175" s="0" t="n">
        <v>11</v>
      </c>
      <c r="AN1175" s="0" t="s">
        <v>146</v>
      </c>
      <c r="AO1175" s="0" t="s">
        <v>236</v>
      </c>
      <c r="AP1175" s="0" t="s">
        <v>237</v>
      </c>
      <c r="AQ1175" s="0" t="n">
        <v>9</v>
      </c>
      <c r="AR1175" s="0" t="n">
        <v>64</v>
      </c>
      <c r="AS1175" s="0" t="n">
        <v>32</v>
      </c>
      <c r="AU1175" s="0" t="n">
        <f aca="false">COUNTA($BA$886:$EH$886)</f>
        <v>1</v>
      </c>
      <c r="AV1175" s="0" t="n">
        <f aca="false">COUNTIF($BA$886:$EH$886,"D")</f>
        <v>0</v>
      </c>
      <c r="AW1175" s="0" t="n">
        <f aca="false">COUNTIF($BA$886:$EH$886,"R")</f>
        <v>0</v>
      </c>
      <c r="AX1175" s="0" t="n">
        <f aca="false"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>0</v>
      </c>
      <c r="AY1175" s="0" t="n">
        <f aca="false">COUNTIF(DU1175:EH1175, "&lt;&gt;")</f>
        <v>0</v>
      </c>
      <c r="AZ1175" s="0" t="n">
        <f aca="false">IF(EH1175&lt;&gt;"",1,0)</f>
        <v>0</v>
      </c>
      <c r="BB1175" s="0" t="s">
        <v>153</v>
      </c>
    </row>
    <row r="1176" customFormat="false" ht="13.8" hidden="true" customHeight="false" outlineLevel="0" collapsed="false">
      <c r="A1176" s="0" t="s">
        <v>5612</v>
      </c>
      <c r="B1176" s="0" t="n">
        <v>78</v>
      </c>
      <c r="C1176" s="0" t="n">
        <v>357126</v>
      </c>
      <c r="D1176" s="0" t="s">
        <v>5613</v>
      </c>
      <c r="E1176" s="0" t="s">
        <v>1352</v>
      </c>
      <c r="F1176" s="0" t="str">
        <f aca="false">CONCATENATE(D1176," ",LEFT(H1176,4),"T=",AU1176,"D=",AV1176,"R=",AW1176,"M=",AX1176,"L=",AY1176,"B=",AZ1176)</f>
        <v>KERCHOFER T=1D=0R=0M=0L=0B=0</v>
      </c>
      <c r="G1176" s="0" t="s">
        <v>329</v>
      </c>
      <c r="I1176" s="0" t="s">
        <v>5614</v>
      </c>
      <c r="J1176" s="0" t="s">
        <v>3802</v>
      </c>
      <c r="K1176" s="0" t="s">
        <v>144</v>
      </c>
      <c r="L1176" s="0"/>
      <c r="M1176" s="0" t="s">
        <v>5615</v>
      </c>
      <c r="N1176" s="0" t="str">
        <f aca="false">RIGHT(M1176,LEN(M1176)-FIND(" ",M1176))</f>
        <v>HOLLYWOOD ST NE</v>
      </c>
      <c r="P1176" s="0" t="s">
        <v>146</v>
      </c>
      <c r="Q1176" s="0" t="s">
        <v>147</v>
      </c>
      <c r="R1176" s="0" t="n">
        <v>44483</v>
      </c>
      <c r="AD1176" s="0" t="s">
        <v>148</v>
      </c>
      <c r="AE1176" s="0" t="s">
        <v>149</v>
      </c>
      <c r="AF1176" s="0" t="s">
        <v>150</v>
      </c>
      <c r="AH1176" s="0" t="n">
        <v>14</v>
      </c>
      <c r="AI1176" s="0" t="n">
        <v>11</v>
      </c>
      <c r="AN1176" s="0" t="s">
        <v>146</v>
      </c>
      <c r="AO1176" s="0" t="s">
        <v>236</v>
      </c>
      <c r="AP1176" s="0" t="s">
        <v>237</v>
      </c>
      <c r="AQ1176" s="0" t="n">
        <v>9</v>
      </c>
      <c r="AR1176" s="0" t="n">
        <v>64</v>
      </c>
      <c r="AS1176" s="0" t="n">
        <v>32</v>
      </c>
      <c r="AU1176" s="0" t="n">
        <f aca="false">COUNTA($BA$156:$EH$156)</f>
        <v>1</v>
      </c>
      <c r="AV1176" s="0" t="n">
        <f aca="false">COUNTIF($BA$156:$EH$156,"D")</f>
        <v>0</v>
      </c>
      <c r="AW1176" s="0" t="n">
        <f aca="false">COUNTIF($BA$156:$EH$156,"R")</f>
        <v>0</v>
      </c>
      <c r="AX1176" s="0" t="n">
        <f aca="false"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>0</v>
      </c>
      <c r="AY1176" s="0" t="n">
        <f aca="false">COUNTIF(DU1176:EH1176, "&lt;&gt;")</f>
        <v>0</v>
      </c>
      <c r="AZ1176" s="0" t="n">
        <f aca="false">IF(EH1176&lt;&gt;"",1,0)</f>
        <v>0</v>
      </c>
      <c r="BB1176" s="0" t="s">
        <v>153</v>
      </c>
      <c r="CA1176" s="0" t="s">
        <v>154</v>
      </c>
      <c r="CP1176" s="0" t="s">
        <v>154</v>
      </c>
      <c r="DC1176" s="0" t="s">
        <v>154</v>
      </c>
    </row>
    <row r="1177" customFormat="false" ht="13.8" hidden="true" customHeight="false" outlineLevel="0" collapsed="false">
      <c r="A1177" s="0" t="s">
        <v>5616</v>
      </c>
      <c r="B1177" s="0" t="n">
        <v>78</v>
      </c>
      <c r="C1177" s="0" t="n">
        <v>351000</v>
      </c>
      <c r="D1177" s="0" t="s">
        <v>5617</v>
      </c>
      <c r="E1177" s="0" t="s">
        <v>2710</v>
      </c>
      <c r="F1177" s="0" t="str">
        <f aca="false">CONCATENATE(D1177," ",LEFT(H1177,4),"T=",AU1177,"D=",AV1177,"R=",AW1177,"M=",AX1177,"L=",AY1177,"B=",AZ1177)</f>
        <v>ANDREWS T=2D=0R=0M=0L=0B=0</v>
      </c>
      <c r="G1177" s="0" t="s">
        <v>297</v>
      </c>
      <c r="I1177" s="0" t="s">
        <v>5618</v>
      </c>
      <c r="J1177" s="0" t="s">
        <v>4014</v>
      </c>
      <c r="K1177" s="0" t="s">
        <v>175</v>
      </c>
      <c r="L1177" s="0"/>
      <c r="M1177" s="0" t="s">
        <v>5619</v>
      </c>
      <c r="N1177" s="0" t="str">
        <f aca="false">RIGHT(M1177,LEN(M1177)-FIND(" ",M1177))</f>
        <v>IDYLWILD ST NE</v>
      </c>
      <c r="P1177" s="0" t="s">
        <v>146</v>
      </c>
      <c r="Q1177" s="0" t="s">
        <v>147</v>
      </c>
      <c r="R1177" s="0" t="n">
        <v>44483</v>
      </c>
      <c r="AD1177" s="0" t="s">
        <v>148</v>
      </c>
      <c r="AE1177" s="0" t="s">
        <v>149</v>
      </c>
      <c r="AF1177" s="0" t="s">
        <v>150</v>
      </c>
      <c r="AH1177" s="0" t="n">
        <v>14</v>
      </c>
      <c r="AI1177" s="0" t="n">
        <v>11</v>
      </c>
      <c r="AN1177" s="0" t="s">
        <v>146</v>
      </c>
      <c r="AO1177" s="0" t="s">
        <v>250</v>
      </c>
      <c r="AP1177" s="0" t="s">
        <v>251</v>
      </c>
      <c r="AQ1177" s="0" t="n">
        <v>9</v>
      </c>
      <c r="AR1177" s="0" t="n">
        <v>64</v>
      </c>
      <c r="AS1177" s="0" t="n">
        <v>32</v>
      </c>
      <c r="AU1177" s="0" t="n">
        <f aca="false">COUNTA($BA$2375:$EH$2375)</f>
        <v>2</v>
      </c>
      <c r="AV1177" s="0" t="n">
        <f aca="false">COUNTIF($BA$2375:$EH$2375,"D")</f>
        <v>0</v>
      </c>
      <c r="AW1177" s="0" t="n">
        <f aca="false">COUNTIF($BA$2375:$EH$2375,"R")</f>
        <v>0</v>
      </c>
      <c r="AX1177" s="0" t="n">
        <f aca="false"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>0</v>
      </c>
      <c r="AY1177" s="0" t="n">
        <f aca="false">COUNTIF(DU1177:EH1177, "&lt;&gt;")</f>
        <v>0</v>
      </c>
      <c r="AZ1177" s="0" t="n">
        <f aca="false">IF(EH1177&lt;&gt;"",1,0)</f>
        <v>0</v>
      </c>
      <c r="BB1177" s="0" t="s">
        <v>153</v>
      </c>
      <c r="CA1177" s="0" t="s">
        <v>154</v>
      </c>
      <c r="CP1177" s="0" t="s">
        <v>154</v>
      </c>
      <c r="DC1177" s="0" t="s">
        <v>154</v>
      </c>
    </row>
    <row r="1178" customFormat="false" ht="13.8" hidden="true" customHeight="false" outlineLevel="0" collapsed="false">
      <c r="A1178" s="0" t="s">
        <v>5620</v>
      </c>
      <c r="B1178" s="0" t="n">
        <v>78</v>
      </c>
      <c r="C1178" s="0" t="n">
        <v>457842</v>
      </c>
      <c r="D1178" s="0" t="s">
        <v>5621</v>
      </c>
      <c r="E1178" s="0" t="s">
        <v>2181</v>
      </c>
      <c r="F1178" s="0" t="str">
        <f aca="false">CONCATENATE(D1178," ",LEFT(H1178,4),"T=",AU1178,"D=",AV1178,"R=",AW1178,"M=",AX1178,"L=",AY1178,"B=",AZ1178)</f>
        <v>CRUM T=6D=0R=0M=0L=0B=0</v>
      </c>
      <c r="G1178" s="0" t="s">
        <v>172</v>
      </c>
      <c r="I1178" s="0" t="s">
        <v>5622</v>
      </c>
      <c r="J1178" s="0" t="s">
        <v>5623</v>
      </c>
      <c r="K1178" s="0" t="s">
        <v>175</v>
      </c>
      <c r="L1178" s="0"/>
      <c r="M1178" s="0" t="s">
        <v>5624</v>
      </c>
      <c r="N1178" s="0" t="str">
        <f aca="false">RIGHT(M1178,LEN(M1178)-FIND(" ",M1178))</f>
        <v>IDYLWILD ST NE</v>
      </c>
      <c r="P1178" s="0" t="s">
        <v>146</v>
      </c>
      <c r="Q1178" s="0" t="s">
        <v>147</v>
      </c>
      <c r="R1178" s="0" t="n">
        <v>44483</v>
      </c>
      <c r="AD1178" s="0" t="s">
        <v>148</v>
      </c>
      <c r="AE1178" s="0" t="s">
        <v>149</v>
      </c>
      <c r="AF1178" s="0" t="s">
        <v>150</v>
      </c>
      <c r="AH1178" s="0" t="n">
        <v>14</v>
      </c>
      <c r="AI1178" s="0" t="n">
        <v>11</v>
      </c>
      <c r="AN1178" s="0" t="s">
        <v>146</v>
      </c>
      <c r="AO1178" s="0" t="s">
        <v>250</v>
      </c>
      <c r="AP1178" s="0" t="s">
        <v>251</v>
      </c>
      <c r="AQ1178" s="0" t="n">
        <v>9</v>
      </c>
      <c r="AR1178" s="0" t="n">
        <v>64</v>
      </c>
      <c r="AS1178" s="0" t="n">
        <v>32</v>
      </c>
      <c r="AU1178" s="0" t="n">
        <f aca="false">COUNTA($BA$2522:$EH$2522)</f>
        <v>6</v>
      </c>
      <c r="AV1178" s="0" t="n">
        <f aca="false">COUNTIF($BA$2522:$EH$2522,"D")</f>
        <v>0</v>
      </c>
      <c r="AW1178" s="0" t="n">
        <f aca="false">COUNTIF($BA$2522:$EH$2522,"R")</f>
        <v>0</v>
      </c>
      <c r="AX1178" s="0" t="n">
        <f aca="false"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>0</v>
      </c>
      <c r="AY1178" s="0" t="n">
        <f aca="false">COUNTIF(DU1178:EH1178, "&lt;&gt;")</f>
        <v>0</v>
      </c>
      <c r="AZ1178" s="0" t="n">
        <f aca="false">IF(EH1178&lt;&gt;"",1,0)</f>
        <v>0</v>
      </c>
      <c r="BB1178" s="0" t="s">
        <v>153</v>
      </c>
    </row>
    <row r="1179" customFormat="false" ht="13.8" hidden="true" customHeight="false" outlineLevel="0" collapsed="false">
      <c r="A1179" s="0" t="s">
        <v>5625</v>
      </c>
      <c r="B1179" s="0" t="n">
        <v>78</v>
      </c>
      <c r="C1179" s="0" t="n">
        <v>410626</v>
      </c>
      <c r="D1179" s="0" t="s">
        <v>926</v>
      </c>
      <c r="E1179" s="0" t="s">
        <v>5626</v>
      </c>
      <c r="F1179" s="0" t="str">
        <f aca="false">CONCATENATE(D1179," ",LEFT(H1179,4),"T=",AU1179,"D=",AV1179,"R=",AW1179,"M=",AX1179,"L=",AY1179,"B=",AZ1179)</f>
        <v>ROSS T=8D=0R=1M=0L=0B=0</v>
      </c>
      <c r="G1179" s="0" t="s">
        <v>694</v>
      </c>
      <c r="I1179" s="0" t="s">
        <v>5627</v>
      </c>
      <c r="J1179" s="0" t="s">
        <v>4664</v>
      </c>
      <c r="K1179" s="0" t="s">
        <v>175</v>
      </c>
      <c r="L1179" s="0"/>
      <c r="M1179" s="0" t="s">
        <v>5628</v>
      </c>
      <c r="N1179" s="0" t="str">
        <f aca="false">RIGHT(M1179,LEN(M1179)-FIND(" ",M1179))</f>
        <v>IDYLWILD ST NE</v>
      </c>
      <c r="P1179" s="0" t="s">
        <v>146</v>
      </c>
      <c r="Q1179" s="0" t="s">
        <v>147</v>
      </c>
      <c r="R1179" s="0" t="n">
        <v>44483</v>
      </c>
      <c r="AD1179" s="0" t="s">
        <v>148</v>
      </c>
      <c r="AE1179" s="0" t="s">
        <v>149</v>
      </c>
      <c r="AF1179" s="0" t="s">
        <v>150</v>
      </c>
      <c r="AH1179" s="0" t="n">
        <v>14</v>
      </c>
      <c r="AI1179" s="0" t="n">
        <v>11</v>
      </c>
      <c r="AN1179" s="0" t="s">
        <v>146</v>
      </c>
      <c r="AO1179" s="0" t="s">
        <v>250</v>
      </c>
      <c r="AP1179" s="0" t="s">
        <v>251</v>
      </c>
      <c r="AQ1179" s="0" t="n">
        <v>9</v>
      </c>
      <c r="AR1179" s="0" t="n">
        <v>64</v>
      </c>
      <c r="AS1179" s="0" t="n">
        <v>32</v>
      </c>
      <c r="AU1179" s="0" t="n">
        <f aca="false">COUNTA($BA$2275:$EH$2275)</f>
        <v>8</v>
      </c>
      <c r="AV1179" s="0" t="n">
        <f aca="false">COUNTIF($BA$2275:$EH$2275,"D")</f>
        <v>0</v>
      </c>
      <c r="AW1179" s="0" t="n">
        <f aca="false">COUNTIF($BA$2275:$EH$2275,"R")</f>
        <v>1</v>
      </c>
      <c r="AX1179" s="0" t="n">
        <f aca="false"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>0</v>
      </c>
      <c r="AY1179" s="0" t="n">
        <f aca="false">COUNTIF(DU1179:EH1179, "&lt;&gt;")</f>
        <v>0</v>
      </c>
      <c r="AZ1179" s="0" t="n">
        <f aca="false">IF(EH1179&lt;&gt;"",1,0)</f>
        <v>0</v>
      </c>
      <c r="BB1179" s="0" t="s">
        <v>153</v>
      </c>
      <c r="BP1179" s="0" t="s">
        <v>154</v>
      </c>
      <c r="CA1179" s="0" t="s">
        <v>154</v>
      </c>
      <c r="CP1179" s="0" t="s">
        <v>154</v>
      </c>
      <c r="DC1179" s="0" t="s">
        <v>154</v>
      </c>
      <c r="DN1179" s="0" t="s">
        <v>154</v>
      </c>
    </row>
    <row r="1180" customFormat="false" ht="13.8" hidden="true" customHeight="false" outlineLevel="0" collapsed="false">
      <c r="A1180" s="0" t="s">
        <v>5629</v>
      </c>
      <c r="B1180" s="0" t="n">
        <v>78</v>
      </c>
      <c r="C1180" s="0" t="n">
        <v>427263</v>
      </c>
      <c r="D1180" s="0" t="s">
        <v>5630</v>
      </c>
      <c r="E1180" s="0" t="s">
        <v>5631</v>
      </c>
      <c r="F1180" s="0" t="str">
        <f aca="false">CONCATENATE(D1180," ",LEFT(H1180,4),"T=",AU1180,"D=",AV1180,"R=",AW1180,"M=",AX1180,"L=",AY1180,"B=",AZ1180)</f>
        <v>BREWTON T=9D=2R=0M=0L=0B=0</v>
      </c>
      <c r="G1180" s="0" t="s">
        <v>5632</v>
      </c>
      <c r="I1180" s="0" t="s">
        <v>5633</v>
      </c>
      <c r="J1180" s="0" t="s">
        <v>5634</v>
      </c>
      <c r="K1180" s="0" t="s">
        <v>144</v>
      </c>
      <c r="L1180" s="0"/>
      <c r="M1180" s="0" t="s">
        <v>5635</v>
      </c>
      <c r="N1180" s="0" t="str">
        <f aca="false">RIGHT(M1180,LEN(M1180)-FIND(" ",M1180))</f>
        <v>IDYLWILD ST NE</v>
      </c>
      <c r="P1180" s="0" t="s">
        <v>146</v>
      </c>
      <c r="Q1180" s="0" t="s">
        <v>147</v>
      </c>
      <c r="R1180" s="0" t="n">
        <v>44483</v>
      </c>
      <c r="AD1180" s="0" t="s">
        <v>148</v>
      </c>
      <c r="AE1180" s="0" t="s">
        <v>149</v>
      </c>
      <c r="AF1180" s="0" t="s">
        <v>150</v>
      </c>
      <c r="AH1180" s="0" t="n">
        <v>14</v>
      </c>
      <c r="AI1180" s="0" t="n">
        <v>11</v>
      </c>
      <c r="AN1180" s="0" t="s">
        <v>146</v>
      </c>
      <c r="AO1180" s="0" t="s">
        <v>250</v>
      </c>
      <c r="AP1180" s="0" t="s">
        <v>251</v>
      </c>
      <c r="AQ1180" s="0" t="n">
        <v>9</v>
      </c>
      <c r="AR1180" s="0" t="n">
        <v>64</v>
      </c>
      <c r="AS1180" s="0" t="n">
        <v>32</v>
      </c>
      <c r="AU1180" s="0" t="n">
        <f aca="false">COUNTA($BA$2713:$EH$2713)</f>
        <v>9</v>
      </c>
      <c r="AV1180" s="0" t="n">
        <f aca="false">COUNTIF($BA$2713:$EH$2713,"D")</f>
        <v>2</v>
      </c>
      <c r="AW1180" s="0" t="n">
        <f aca="false">COUNTIF($BA$2713:$EH$2713,"R")</f>
        <v>0</v>
      </c>
      <c r="AX1180" s="0" t="n">
        <f aca="false"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>0</v>
      </c>
      <c r="AY1180" s="0" t="n">
        <f aca="false">COUNTIF(DU1180:EH1180, "&lt;&gt;")</f>
        <v>0</v>
      </c>
      <c r="AZ1180" s="0" t="n">
        <f aca="false">IF(EH1180&lt;&gt;"",1,0)</f>
        <v>0</v>
      </c>
      <c r="BB1180" s="0" t="s">
        <v>153</v>
      </c>
    </row>
    <row r="1181" customFormat="false" ht="13.8" hidden="false" customHeight="false" outlineLevel="0" collapsed="false">
      <c r="A1181" s="0" t="s">
        <v>5636</v>
      </c>
      <c r="B1181" s="0" t="n">
        <v>78</v>
      </c>
      <c r="C1181" s="0" t="n">
        <v>413432</v>
      </c>
      <c r="D1181" s="0" t="s">
        <v>214</v>
      </c>
      <c r="E1181" s="0" t="s">
        <v>524</v>
      </c>
      <c r="F1181" s="0" t="str">
        <f aca="false">CONCATENATE(D1181," ",LEFT(H1181,4),"T=",AU1181,"D=",AV1181,"R=",AW1181,"M=",AX1181,"L=",AY1181,"B=",AZ1181)</f>
        <v>FAIRCHILD T=11D=2R=0M=0L=4B=0</v>
      </c>
      <c r="G1181" s="0" t="s">
        <v>176</v>
      </c>
      <c r="I1181" s="0" t="s">
        <v>976</v>
      </c>
      <c r="J1181" s="0" t="s">
        <v>5637</v>
      </c>
      <c r="K1181" s="0" t="s">
        <v>175</v>
      </c>
      <c r="M1181" s="0" t="s">
        <v>5635</v>
      </c>
      <c r="N1181" s="0" t="str">
        <f aca="false">RIGHT(M1181,LEN(M1181)-FIND(" ",M1181))</f>
        <v>IDYLWILD ST NE</v>
      </c>
      <c r="P1181" s="0" t="s">
        <v>146</v>
      </c>
      <c r="Q1181" s="0" t="s">
        <v>147</v>
      </c>
      <c r="R1181" s="0" t="n">
        <v>44483</v>
      </c>
      <c r="AD1181" s="0" t="s">
        <v>148</v>
      </c>
      <c r="AE1181" s="0" t="s">
        <v>149</v>
      </c>
      <c r="AF1181" s="0" t="s">
        <v>150</v>
      </c>
      <c r="AH1181" s="0" t="n">
        <v>14</v>
      </c>
      <c r="AI1181" s="0" t="n">
        <v>11</v>
      </c>
      <c r="AN1181" s="0" t="s">
        <v>146</v>
      </c>
      <c r="AO1181" s="0" t="s">
        <v>250</v>
      </c>
      <c r="AP1181" s="0" t="s">
        <v>251</v>
      </c>
      <c r="AQ1181" s="0" t="n">
        <v>9</v>
      </c>
      <c r="AR1181" s="0" t="n">
        <v>64</v>
      </c>
      <c r="AS1181" s="0" t="n">
        <v>32</v>
      </c>
      <c r="AU1181" s="0" t="n">
        <f aca="false">COUNTA($BA$2764:$EH$2764)</f>
        <v>11</v>
      </c>
      <c r="AV1181" s="0" t="n">
        <f aca="false">COUNTIF($BA$2764:$EH$2764,"D")</f>
        <v>2</v>
      </c>
      <c r="AW1181" s="0" t="n">
        <f aca="false">COUNTIF($BA$2764:$EH$2764,"R")</f>
        <v>0</v>
      </c>
      <c r="AX1181" s="0" t="n">
        <f aca="false"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>0</v>
      </c>
      <c r="AY1181" s="0" t="n">
        <f aca="false">COUNTIF(DU1181:EH1181, "&lt;&gt;")</f>
        <v>4</v>
      </c>
      <c r="AZ1181" s="0" t="n">
        <f aca="false">IF(EH1181&lt;&gt;"",1,0)</f>
        <v>0</v>
      </c>
      <c r="BB1181" s="0" t="s">
        <v>153</v>
      </c>
      <c r="CZ1181" s="0" t="s">
        <v>155</v>
      </c>
      <c r="DU1181" s="0" t="s">
        <v>154</v>
      </c>
      <c r="DX1181" s="0" t="s">
        <v>154</v>
      </c>
      <c r="EA1181" s="0" t="s">
        <v>154</v>
      </c>
      <c r="EF1181" s="0" t="s">
        <v>154</v>
      </c>
    </row>
    <row r="1182" customFormat="false" ht="13.8" hidden="false" customHeight="false" outlineLevel="0" collapsed="false">
      <c r="A1182" s="0" t="s">
        <v>5638</v>
      </c>
      <c r="B1182" s="0" t="n">
        <v>78</v>
      </c>
      <c r="C1182" s="0" t="n">
        <v>413431</v>
      </c>
      <c r="D1182" s="0" t="s">
        <v>5639</v>
      </c>
      <c r="E1182" s="0" t="s">
        <v>5640</v>
      </c>
      <c r="F1182" s="0" t="str">
        <f aca="false">CONCATENATE(D1182," ",LEFT(H1182,4),"T=",AU1182,"D=",AV1182,"R=",AW1182,"M=",AX1182,"L=",AY1182,"B=",AZ1182)</f>
        <v>OWSLEY T=27D=7R=0M=0L=4B=0</v>
      </c>
      <c r="G1182" s="0" t="s">
        <v>297</v>
      </c>
      <c r="I1182" s="0" t="s">
        <v>5641</v>
      </c>
      <c r="J1182" s="0" t="s">
        <v>248</v>
      </c>
      <c r="K1182" s="0" t="s">
        <v>175</v>
      </c>
      <c r="M1182" s="0" t="s">
        <v>5635</v>
      </c>
      <c r="N1182" s="0" t="str">
        <f aca="false">RIGHT(M1182,LEN(M1182)-FIND(" ",M1182))</f>
        <v>IDYLWILD ST NE</v>
      </c>
      <c r="P1182" s="0" t="s">
        <v>146</v>
      </c>
      <c r="Q1182" s="0" t="s">
        <v>147</v>
      </c>
      <c r="R1182" s="0" t="n">
        <v>44483</v>
      </c>
      <c r="AD1182" s="0" t="s">
        <v>148</v>
      </c>
      <c r="AE1182" s="0" t="s">
        <v>149</v>
      </c>
      <c r="AF1182" s="0" t="s">
        <v>150</v>
      </c>
      <c r="AH1182" s="0" t="n">
        <v>14</v>
      </c>
      <c r="AI1182" s="0" t="n">
        <v>11</v>
      </c>
      <c r="AN1182" s="0" t="s">
        <v>146</v>
      </c>
      <c r="AO1182" s="0" t="s">
        <v>250</v>
      </c>
      <c r="AP1182" s="0" t="s">
        <v>251</v>
      </c>
      <c r="AQ1182" s="0" t="n">
        <v>9</v>
      </c>
      <c r="AR1182" s="0" t="n">
        <v>64</v>
      </c>
      <c r="AS1182" s="0" t="n">
        <v>32</v>
      </c>
      <c r="AU1182" s="0" t="n">
        <f aca="false">COUNTA($BA$2805:$EH$2805)</f>
        <v>27</v>
      </c>
      <c r="AV1182" s="0" t="n">
        <f aca="false">COUNTIF($BA$2805:$EH$2805,"D")</f>
        <v>7</v>
      </c>
      <c r="AW1182" s="0" t="n">
        <f aca="false">COUNTIF($BA$2805:$EH$2805,"R")</f>
        <v>0</v>
      </c>
      <c r="AX1182" s="0" t="n">
        <f aca="false"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>0</v>
      </c>
      <c r="AY1182" s="0" t="n">
        <f aca="false">COUNTIF(DU1182:EH1182, "&lt;&gt;")</f>
        <v>4</v>
      </c>
      <c r="AZ1182" s="0" t="n">
        <f aca="false">IF(EH1182&lt;&gt;"",1,0)</f>
        <v>0</v>
      </c>
      <c r="BB1182" s="0" t="s">
        <v>153</v>
      </c>
      <c r="CZ1182" s="0" t="s">
        <v>155</v>
      </c>
      <c r="DC1182" s="0" t="s">
        <v>154</v>
      </c>
      <c r="DF1182" s="0" t="s">
        <v>154</v>
      </c>
      <c r="DI1182" s="0" t="s">
        <v>154</v>
      </c>
      <c r="DN1182" s="0" t="s">
        <v>154</v>
      </c>
      <c r="DU1182" s="0" t="s">
        <v>154</v>
      </c>
      <c r="DX1182" s="0" t="s">
        <v>154</v>
      </c>
      <c r="EA1182" s="0" t="s">
        <v>154</v>
      </c>
      <c r="EF1182" s="0" t="s">
        <v>154</v>
      </c>
    </row>
    <row r="1183" customFormat="false" ht="13.8" hidden="true" customHeight="false" outlineLevel="0" collapsed="false">
      <c r="A1183" s="0" t="s">
        <v>5642</v>
      </c>
      <c r="B1183" s="0" t="n">
        <v>78</v>
      </c>
      <c r="C1183" s="0" t="n">
        <v>486408</v>
      </c>
      <c r="D1183" s="0" t="s">
        <v>3032</v>
      </c>
      <c r="E1183" s="0" t="s">
        <v>694</v>
      </c>
      <c r="F1183" s="0" t="str">
        <f aca="false">CONCATENATE(D1183," ",LEFT(H1183,4),"T=",AU1183,"D=",AV1183,"R=",AW1183,"M=",AX1183,"L=",AY1183,"B=",AZ1183)</f>
        <v>RUSSELL T=5D=0R=0M=0L=1B=0</v>
      </c>
      <c r="G1183" s="0" t="s">
        <v>5643</v>
      </c>
      <c r="I1183" s="0" t="s">
        <v>5644</v>
      </c>
      <c r="J1183" s="0" t="s">
        <v>1155</v>
      </c>
      <c r="K1183" s="0" t="s">
        <v>175</v>
      </c>
      <c r="L1183" s="0"/>
      <c r="M1183" s="0" t="s">
        <v>5645</v>
      </c>
      <c r="N1183" s="0" t="str">
        <f aca="false">RIGHT(M1183,LEN(M1183)-FIND(" ",M1183))</f>
        <v>IDYLWILD ST NE</v>
      </c>
      <c r="P1183" s="0" t="s">
        <v>146</v>
      </c>
      <c r="Q1183" s="0" t="s">
        <v>147</v>
      </c>
      <c r="R1183" s="0" t="n">
        <v>44483</v>
      </c>
      <c r="AD1183" s="0" t="s">
        <v>148</v>
      </c>
      <c r="AE1183" s="0" t="s">
        <v>149</v>
      </c>
      <c r="AF1183" s="0" t="s">
        <v>150</v>
      </c>
      <c r="AH1183" s="0" t="n">
        <v>14</v>
      </c>
      <c r="AI1183" s="0" t="n">
        <v>11</v>
      </c>
      <c r="AN1183" s="0" t="s">
        <v>146</v>
      </c>
      <c r="AO1183" s="0" t="s">
        <v>250</v>
      </c>
      <c r="AP1183" s="0" t="s">
        <v>251</v>
      </c>
      <c r="AQ1183" s="0" t="n">
        <v>9</v>
      </c>
      <c r="AR1183" s="0" t="n">
        <v>64</v>
      </c>
      <c r="AS1183" s="0" t="n">
        <v>32</v>
      </c>
      <c r="AU1183" s="0" t="n">
        <f aca="false">COUNTA($BA$2086:$EH$2086)</f>
        <v>5</v>
      </c>
      <c r="AV1183" s="0" t="n">
        <f aca="false">COUNTIF($BA$2086:$EH$2086,"D")</f>
        <v>0</v>
      </c>
      <c r="AW1183" s="0" t="n">
        <f aca="false">COUNTIF($BA$2086:$EH$2086,"R")</f>
        <v>0</v>
      </c>
      <c r="AX1183" s="0" t="n">
        <f aca="false"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>0</v>
      </c>
      <c r="AY1183" s="0" t="n">
        <f aca="false">COUNTIF(DU1183:EH1183, "&lt;&gt;")</f>
        <v>1</v>
      </c>
      <c r="AZ1183" s="0" t="n">
        <f aca="false">IF(EH1183&lt;&gt;"",1,0)</f>
        <v>0</v>
      </c>
      <c r="BB1183" s="0" t="s">
        <v>153</v>
      </c>
      <c r="EF1183" s="0" t="s">
        <v>154</v>
      </c>
    </row>
    <row r="1184" customFormat="false" ht="13.8" hidden="true" customHeight="false" outlineLevel="0" collapsed="false">
      <c r="A1184" s="0" t="s">
        <v>5646</v>
      </c>
      <c r="B1184" s="0" t="n">
        <v>78</v>
      </c>
      <c r="C1184" s="0" t="n">
        <v>468041</v>
      </c>
      <c r="D1184" s="0" t="s">
        <v>5647</v>
      </c>
      <c r="E1184" s="0" t="s">
        <v>5648</v>
      </c>
      <c r="F1184" s="0" t="str">
        <f aca="false">CONCATENATE(D1184," ",LEFT(H1184,4),"T=",AU1184,"D=",AV1184,"R=",AW1184,"M=",AX1184,"L=",AY1184,"B=",AZ1184)</f>
        <v>FITZGERALD T=2D=0R=0M=0L=0B=0</v>
      </c>
      <c r="G1184" s="0" t="s">
        <v>5649</v>
      </c>
      <c r="I1184" s="0" t="s">
        <v>5650</v>
      </c>
      <c r="J1184" s="0" t="s">
        <v>5651</v>
      </c>
      <c r="K1184" s="0" t="s">
        <v>175</v>
      </c>
      <c r="L1184" s="0"/>
      <c r="M1184" s="0" t="s">
        <v>5645</v>
      </c>
      <c r="N1184" s="0" t="str">
        <f aca="false">RIGHT(M1184,LEN(M1184)-FIND(" ",M1184))</f>
        <v>IDYLWILD ST NE</v>
      </c>
      <c r="P1184" s="0" t="s">
        <v>146</v>
      </c>
      <c r="Q1184" s="0" t="s">
        <v>147</v>
      </c>
      <c r="R1184" s="0" t="n">
        <v>44483</v>
      </c>
      <c r="AD1184" s="0" t="s">
        <v>148</v>
      </c>
      <c r="AE1184" s="0" t="s">
        <v>149</v>
      </c>
      <c r="AF1184" s="0" t="s">
        <v>150</v>
      </c>
      <c r="AH1184" s="0" t="n">
        <v>14</v>
      </c>
      <c r="AI1184" s="0" t="n">
        <v>11</v>
      </c>
      <c r="AN1184" s="0" t="s">
        <v>146</v>
      </c>
      <c r="AO1184" s="0" t="s">
        <v>250</v>
      </c>
      <c r="AP1184" s="0" t="s">
        <v>251</v>
      </c>
      <c r="AQ1184" s="0" t="n">
        <v>9</v>
      </c>
      <c r="AR1184" s="0" t="n">
        <v>64</v>
      </c>
      <c r="AS1184" s="0" t="n">
        <v>32</v>
      </c>
      <c r="AU1184" s="0" t="n">
        <f aca="false">COUNTA($BA$2558:$EH$2558)</f>
        <v>2</v>
      </c>
      <c r="AV1184" s="0" t="n">
        <f aca="false">COUNTIF($BA$2558:$EH$2558,"D")</f>
        <v>0</v>
      </c>
      <c r="AW1184" s="0" t="n">
        <f aca="false">COUNTIF($BA$2558:$EH$2558,"R")</f>
        <v>0</v>
      </c>
      <c r="AX1184" s="0" t="n">
        <f aca="false"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>0</v>
      </c>
      <c r="AY1184" s="0" t="n">
        <f aca="false">COUNTIF(DU1184:EH1184, "&lt;&gt;")</f>
        <v>0</v>
      </c>
      <c r="AZ1184" s="0" t="n">
        <f aca="false">IF(EH1184&lt;&gt;"",1,0)</f>
        <v>0</v>
      </c>
      <c r="BB1184" s="0" t="s">
        <v>153</v>
      </c>
    </row>
    <row r="1185" customFormat="false" ht="13.8" hidden="false" customHeight="false" outlineLevel="0" collapsed="false">
      <c r="A1185" s="0" t="s">
        <v>5652</v>
      </c>
      <c r="B1185" s="0" t="n">
        <v>78</v>
      </c>
      <c r="C1185" s="0" t="n">
        <v>313657</v>
      </c>
      <c r="D1185" s="0" t="s">
        <v>5653</v>
      </c>
      <c r="E1185" s="0" t="s">
        <v>5654</v>
      </c>
      <c r="F1185" s="0" t="str">
        <f aca="false">CONCATENATE(D1185," ",LEFT(H1185,4),"T=",AU1185,"D=",AV1185,"R=",AW1185,"M=",AX1185,"L=",AY1185,"B=",AZ1185)</f>
        <v>FREEMAN T=5D=1R=0M=0L=3B=0</v>
      </c>
      <c r="G1185" s="0" t="s">
        <v>241</v>
      </c>
      <c r="I1185" s="0" t="s">
        <v>5655</v>
      </c>
      <c r="J1185" s="0" t="s">
        <v>5656</v>
      </c>
      <c r="K1185" s="0" t="s">
        <v>175</v>
      </c>
      <c r="M1185" s="0" t="s">
        <v>5645</v>
      </c>
      <c r="N1185" s="0" t="str">
        <f aca="false">RIGHT(M1185,LEN(M1185)-FIND(" ",M1185))</f>
        <v>IDYLWILD ST NE</v>
      </c>
      <c r="P1185" s="0" t="s">
        <v>146</v>
      </c>
      <c r="Q1185" s="0" t="s">
        <v>147</v>
      </c>
      <c r="R1185" s="0" t="n">
        <v>44483</v>
      </c>
      <c r="AD1185" s="0" t="s">
        <v>148</v>
      </c>
      <c r="AE1185" s="0" t="s">
        <v>149</v>
      </c>
      <c r="AF1185" s="0" t="s">
        <v>150</v>
      </c>
      <c r="AH1185" s="0" t="n">
        <v>14</v>
      </c>
      <c r="AI1185" s="0" t="n">
        <v>11</v>
      </c>
      <c r="AN1185" s="0" t="s">
        <v>146</v>
      </c>
      <c r="AO1185" s="0" t="s">
        <v>250</v>
      </c>
      <c r="AP1185" s="0" t="s">
        <v>251</v>
      </c>
      <c r="AQ1185" s="0" t="n">
        <v>9</v>
      </c>
      <c r="AR1185" s="0" t="n">
        <v>64</v>
      </c>
      <c r="AS1185" s="0" t="n">
        <v>32</v>
      </c>
      <c r="AU1185" s="0" t="n">
        <f aca="false">COUNTA($BA$2724:$EH$2724)</f>
        <v>5</v>
      </c>
      <c r="AV1185" s="0" t="n">
        <f aca="false">COUNTIF($BA$2724:$EH$2724,"D")</f>
        <v>1</v>
      </c>
      <c r="AW1185" s="0" t="n">
        <f aca="false">COUNTIF($BA$2724:$EH$2724,"R")</f>
        <v>0</v>
      </c>
      <c r="AX1185" s="0" t="n">
        <f aca="false"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>0</v>
      </c>
      <c r="AY1185" s="0" t="n">
        <f aca="false">COUNTIF(DU1185:EH1185, "&lt;&gt;")</f>
        <v>3</v>
      </c>
      <c r="AZ1185" s="0" t="n">
        <f aca="false">IF(EH1185&lt;&gt;"",1,0)</f>
        <v>0</v>
      </c>
      <c r="BB1185" s="0" t="s">
        <v>153</v>
      </c>
      <c r="BL1185" s="0" t="s">
        <v>154</v>
      </c>
      <c r="BS1185" s="0" t="s">
        <v>154</v>
      </c>
      <c r="CK1185" s="0" t="s">
        <v>154</v>
      </c>
      <c r="CP1185" s="0" t="s">
        <v>154</v>
      </c>
      <c r="CY1185" s="0" t="s">
        <v>154</v>
      </c>
      <c r="DC1185" s="0" t="s">
        <v>154</v>
      </c>
      <c r="DI1185" s="0" t="s">
        <v>154</v>
      </c>
      <c r="DN1185" s="0" t="s">
        <v>154</v>
      </c>
      <c r="DU1185" s="0" t="s">
        <v>154</v>
      </c>
      <c r="DX1185" s="0" t="s">
        <v>154</v>
      </c>
      <c r="EF1185" s="0" t="s">
        <v>154</v>
      </c>
    </row>
    <row r="1186" customFormat="false" ht="13.8" hidden="true" customHeight="false" outlineLevel="0" collapsed="false">
      <c r="A1186" s="0" t="s">
        <v>5657</v>
      </c>
      <c r="B1186" s="0" t="n">
        <v>78</v>
      </c>
      <c r="C1186" s="0" t="n">
        <v>391445</v>
      </c>
      <c r="D1186" s="0" t="s">
        <v>5658</v>
      </c>
      <c r="E1186" s="0" t="s">
        <v>1131</v>
      </c>
      <c r="F1186" s="0" t="str">
        <f aca="false">CONCATENATE(D1186," ",LEFT(H1186,4),"T=",AU1186,"D=",AV1186,"R=",AW1186,"M=",AX1186,"L=",AY1186,"B=",AZ1186)</f>
        <v>MATOS T=48D=16R=0M=0L=1B=0</v>
      </c>
      <c r="G1186" s="0" t="s">
        <v>297</v>
      </c>
      <c r="I1186" s="0" t="s">
        <v>5659</v>
      </c>
      <c r="J1186" s="0" t="s">
        <v>5660</v>
      </c>
      <c r="K1186" s="0" t="s">
        <v>175</v>
      </c>
      <c r="L1186" s="0"/>
      <c r="M1186" s="0" t="s">
        <v>5661</v>
      </c>
      <c r="N1186" s="0" t="str">
        <f aca="false">RIGHT(M1186,LEN(M1186)-FIND(" ",M1186))</f>
        <v>IDYLWILD ST NE</v>
      </c>
      <c r="P1186" s="0" t="s">
        <v>146</v>
      </c>
      <c r="Q1186" s="0" t="s">
        <v>147</v>
      </c>
      <c r="R1186" s="0" t="n">
        <v>44483</v>
      </c>
      <c r="AD1186" s="0" t="s">
        <v>148</v>
      </c>
      <c r="AE1186" s="0" t="s">
        <v>149</v>
      </c>
      <c r="AF1186" s="0" t="s">
        <v>150</v>
      </c>
      <c r="AH1186" s="0" t="n">
        <v>14</v>
      </c>
      <c r="AI1186" s="0" t="n">
        <v>11</v>
      </c>
      <c r="AN1186" s="0" t="s">
        <v>146</v>
      </c>
      <c r="AO1186" s="0" t="s">
        <v>250</v>
      </c>
      <c r="AP1186" s="0" t="s">
        <v>251</v>
      </c>
      <c r="AQ1186" s="0" t="n">
        <v>9</v>
      </c>
      <c r="AR1186" s="0" t="n">
        <v>64</v>
      </c>
      <c r="AS1186" s="0" t="n">
        <v>32</v>
      </c>
      <c r="AU1186" s="0" t="n">
        <f aca="false">COUNTA($BA$2619:$EH$2619)</f>
        <v>48</v>
      </c>
      <c r="AV1186" s="0" t="n">
        <f aca="false">COUNTIF($BA$2619:$EH$2619,"D")</f>
        <v>16</v>
      </c>
      <c r="AW1186" s="0" t="n">
        <f aca="false">COUNTIF($BA$2619:$EH$2619,"R")</f>
        <v>0</v>
      </c>
      <c r="AX1186" s="0" t="n">
        <f aca="false"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>0</v>
      </c>
      <c r="AY1186" s="0" t="n">
        <f aca="false">COUNTIF(DU1186:EH1186, "&lt;&gt;")</f>
        <v>1</v>
      </c>
      <c r="AZ1186" s="0" t="n">
        <f aca="false">IF(EH1186&lt;&gt;"",1,0)</f>
        <v>0</v>
      </c>
      <c r="BB1186" s="0" t="s">
        <v>153</v>
      </c>
      <c r="CP1186" s="0" t="s">
        <v>154</v>
      </c>
      <c r="CY1186" s="0" t="s">
        <v>154</v>
      </c>
      <c r="CZ1186" s="0" t="s">
        <v>155</v>
      </c>
      <c r="DC1186" s="0" t="s">
        <v>154</v>
      </c>
      <c r="DN1186" s="0" t="s">
        <v>154</v>
      </c>
      <c r="DU1186" s="0" t="s">
        <v>154</v>
      </c>
    </row>
    <row r="1187" customFormat="false" ht="13.8" hidden="false" customHeight="false" outlineLevel="0" collapsed="false">
      <c r="A1187" s="0" t="s">
        <v>5662</v>
      </c>
      <c r="B1187" s="0" t="n">
        <v>78</v>
      </c>
      <c r="C1187" s="0" t="n">
        <v>391446</v>
      </c>
      <c r="D1187" s="0" t="s">
        <v>4273</v>
      </c>
      <c r="E1187" s="0" t="s">
        <v>5663</v>
      </c>
      <c r="F1187" s="0" t="str">
        <f aca="false">CONCATENATE(D1187," ",LEFT(H1187,4),"T=",AU1187,"D=",AV1187,"R=",AW1187,"M=",AX1187,"L=",AY1187,"B=",AZ1187)</f>
        <v>ACEVEDO T=48D=16R=0M=0L=4B=0</v>
      </c>
      <c r="G1187" s="0" t="s">
        <v>3039</v>
      </c>
      <c r="I1187" s="0" t="s">
        <v>5664</v>
      </c>
      <c r="J1187" s="0" t="s">
        <v>263</v>
      </c>
      <c r="K1187" s="0" t="s">
        <v>175</v>
      </c>
      <c r="M1187" s="0" t="s">
        <v>5661</v>
      </c>
      <c r="N1187" s="0" t="str">
        <f aca="false">RIGHT(M1187,LEN(M1187)-FIND(" ",M1187))</f>
        <v>IDYLWILD ST NE</v>
      </c>
      <c r="P1187" s="0" t="s">
        <v>146</v>
      </c>
      <c r="Q1187" s="0" t="s">
        <v>147</v>
      </c>
      <c r="R1187" s="0" t="n">
        <v>44483</v>
      </c>
      <c r="AD1187" s="0" t="s">
        <v>148</v>
      </c>
      <c r="AE1187" s="0" t="s">
        <v>149</v>
      </c>
      <c r="AF1187" s="0" t="s">
        <v>150</v>
      </c>
      <c r="AH1187" s="0" t="n">
        <v>14</v>
      </c>
      <c r="AI1187" s="0" t="n">
        <v>11</v>
      </c>
      <c r="AN1187" s="0" t="s">
        <v>146</v>
      </c>
      <c r="AO1187" s="0" t="s">
        <v>250</v>
      </c>
      <c r="AP1187" s="0" t="s">
        <v>251</v>
      </c>
      <c r="AQ1187" s="0" t="n">
        <v>9</v>
      </c>
      <c r="AR1187" s="0" t="n">
        <v>64</v>
      </c>
      <c r="AS1187" s="0" t="n">
        <v>32</v>
      </c>
      <c r="AU1187" s="0" t="n">
        <f aca="false">COUNTA($BA$2620:$EH$2620)</f>
        <v>48</v>
      </c>
      <c r="AV1187" s="0" t="n">
        <f aca="false">COUNTIF($BA$2620:$EH$2620,"D")</f>
        <v>16</v>
      </c>
      <c r="AW1187" s="0" t="n">
        <f aca="false">COUNTIF($BA$2620:$EH$2620,"R")</f>
        <v>0</v>
      </c>
      <c r="AX1187" s="0" t="n">
        <f aca="false"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>0</v>
      </c>
      <c r="AY1187" s="0" t="n">
        <f aca="false">COUNTIF(DU1187:EH1187, "&lt;&gt;")</f>
        <v>4</v>
      </c>
      <c r="AZ1187" s="0" t="n">
        <f aca="false">IF(EH1187&lt;&gt;"",1,0)</f>
        <v>0</v>
      </c>
      <c r="BB1187" s="0" t="s">
        <v>153</v>
      </c>
      <c r="CP1187" s="0" t="s">
        <v>154</v>
      </c>
      <c r="CY1187" s="0" t="s">
        <v>154</v>
      </c>
      <c r="CZ1187" s="0" t="s">
        <v>155</v>
      </c>
      <c r="DC1187" s="0" t="s">
        <v>154</v>
      </c>
      <c r="DF1187" s="0" t="s">
        <v>154</v>
      </c>
      <c r="DN1187" s="0" t="s">
        <v>154</v>
      </c>
      <c r="DU1187" s="0" t="s">
        <v>154</v>
      </c>
      <c r="DX1187" s="0" t="s">
        <v>154</v>
      </c>
      <c r="EA1187" s="0" t="s">
        <v>154</v>
      </c>
      <c r="EF1187" s="0" t="s">
        <v>154</v>
      </c>
    </row>
    <row r="1188" customFormat="false" ht="13.8" hidden="true" customHeight="false" outlineLevel="0" collapsed="false">
      <c r="A1188" s="0" t="s">
        <v>5665</v>
      </c>
      <c r="B1188" s="0" t="n">
        <v>78</v>
      </c>
      <c r="C1188" s="0" t="n">
        <v>357555</v>
      </c>
      <c r="D1188" s="0" t="s">
        <v>5666</v>
      </c>
      <c r="E1188" s="0" t="s">
        <v>698</v>
      </c>
      <c r="F1188" s="0" t="str">
        <f aca="false">CONCATENATE(D1188," ",LEFT(H1188,4),"T=",AU1188,"D=",AV1188,"R=",AW1188,"M=",AX1188,"L=",AY1188,"B=",AZ1188)</f>
        <v>SALEM T=5D=0R=0M=0L=0B=0</v>
      </c>
      <c r="G1188" s="0" t="s">
        <v>216</v>
      </c>
      <c r="I1188" s="0" t="s">
        <v>1133</v>
      </c>
      <c r="J1188" s="0" t="s">
        <v>5667</v>
      </c>
      <c r="K1188" s="0" t="s">
        <v>144</v>
      </c>
      <c r="L1188" s="0"/>
      <c r="M1188" s="0" t="s">
        <v>5668</v>
      </c>
      <c r="N1188" s="0" t="str">
        <f aca="false">RIGHT(M1188,LEN(M1188)-FIND(" ",M1188))</f>
        <v>IDYLWILD ST NE</v>
      </c>
      <c r="P1188" s="0" t="s">
        <v>146</v>
      </c>
      <c r="Q1188" s="0" t="s">
        <v>147</v>
      </c>
      <c r="R1188" s="0" t="n">
        <v>44483</v>
      </c>
      <c r="AD1188" s="0" t="s">
        <v>148</v>
      </c>
      <c r="AE1188" s="0" t="s">
        <v>149</v>
      </c>
      <c r="AF1188" s="0" t="s">
        <v>150</v>
      </c>
      <c r="AH1188" s="0" t="n">
        <v>14</v>
      </c>
      <c r="AI1188" s="0" t="n">
        <v>11</v>
      </c>
      <c r="AN1188" s="0" t="s">
        <v>146</v>
      </c>
      <c r="AO1188" s="0" t="s">
        <v>250</v>
      </c>
      <c r="AP1188" s="0" t="s">
        <v>251</v>
      </c>
      <c r="AQ1188" s="0" t="n">
        <v>9</v>
      </c>
      <c r="AR1188" s="0" t="n">
        <v>64</v>
      </c>
      <c r="AS1188" s="0" t="n">
        <v>32</v>
      </c>
      <c r="AU1188" s="0" t="n">
        <f aca="false">COUNTA($BA$2161:$EH$2161)</f>
        <v>5</v>
      </c>
      <c r="AV1188" s="0" t="n">
        <f aca="false">COUNTIF($BA$2161:$EH$2161,"D")</f>
        <v>0</v>
      </c>
      <c r="AW1188" s="0" t="n">
        <f aca="false">COUNTIF($BA$2161:$EH$2161,"R")</f>
        <v>0</v>
      </c>
      <c r="AX1188" s="0" t="n">
        <f aca="false"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>0</v>
      </c>
      <c r="AY1188" s="0" t="n">
        <f aca="false">COUNTIF(DU1188:EH1188, "&lt;&gt;")</f>
        <v>0</v>
      </c>
      <c r="AZ1188" s="0" t="n">
        <f aca="false">IF(EH1188&lt;&gt;"",1,0)</f>
        <v>0</v>
      </c>
      <c r="BB1188" s="0" t="s">
        <v>153</v>
      </c>
      <c r="CA1188" s="0" t="s">
        <v>154</v>
      </c>
      <c r="CY1188" s="0" t="s">
        <v>154</v>
      </c>
      <c r="CZ1188" s="0" t="s">
        <v>176</v>
      </c>
      <c r="DC1188" s="0" t="s">
        <v>154</v>
      </c>
    </row>
    <row r="1189" customFormat="false" ht="13.8" hidden="true" customHeight="false" outlineLevel="0" collapsed="false">
      <c r="A1189" s="0" t="s">
        <v>5669</v>
      </c>
      <c r="B1189" s="0" t="n">
        <v>78</v>
      </c>
      <c r="C1189" s="0" t="n">
        <v>398004</v>
      </c>
      <c r="D1189" s="0" t="s">
        <v>5354</v>
      </c>
      <c r="E1189" s="0" t="s">
        <v>750</v>
      </c>
      <c r="F1189" s="0" t="str">
        <f aca="false">CONCATENATE(D1189," ",LEFT(H1189,4),"T=",AU1189,"D=",AV1189,"R=",AW1189,"M=",AX1189,"L=",AY1189,"B=",AZ1189)</f>
        <v>STOKES T=1D=0R=0M=0L=0B=0</v>
      </c>
      <c r="G1189" s="0" t="s">
        <v>652</v>
      </c>
      <c r="I1189" s="0" t="s">
        <v>5670</v>
      </c>
      <c r="J1189" s="0" t="s">
        <v>5671</v>
      </c>
      <c r="K1189" s="0" t="s">
        <v>144</v>
      </c>
      <c r="L1189" s="0"/>
      <c r="M1189" s="0" t="s">
        <v>5672</v>
      </c>
      <c r="N1189" s="0" t="str">
        <f aca="false">RIGHT(M1189,LEN(M1189)-FIND(" ",M1189))</f>
        <v>IDYLWILD ST NE</v>
      </c>
      <c r="P1189" s="0" t="s">
        <v>146</v>
      </c>
      <c r="Q1189" s="0" t="s">
        <v>147</v>
      </c>
      <c r="R1189" s="0" t="n">
        <v>44483</v>
      </c>
      <c r="AD1189" s="0" t="s">
        <v>148</v>
      </c>
      <c r="AE1189" s="0" t="s">
        <v>149</v>
      </c>
      <c r="AF1189" s="0" t="s">
        <v>150</v>
      </c>
      <c r="AH1189" s="0" t="n">
        <v>14</v>
      </c>
      <c r="AI1189" s="0" t="n">
        <v>11</v>
      </c>
      <c r="AN1189" s="0" t="s">
        <v>146</v>
      </c>
      <c r="AO1189" s="0" t="s">
        <v>250</v>
      </c>
      <c r="AP1189" s="0" t="s">
        <v>251</v>
      </c>
      <c r="AQ1189" s="0" t="n">
        <v>9</v>
      </c>
      <c r="AR1189" s="0" t="n">
        <v>64</v>
      </c>
      <c r="AS1189" s="0" t="n">
        <v>32</v>
      </c>
      <c r="AU1189" s="0" t="n">
        <f aca="false">COUNTA($BA$2317:$EH$2317)</f>
        <v>1</v>
      </c>
      <c r="AV1189" s="0" t="n">
        <f aca="false">COUNTIF($BA$2317:$EH$2317,"D")</f>
        <v>0</v>
      </c>
      <c r="AW1189" s="0" t="n">
        <f aca="false">COUNTIF($BA$2317:$EH$2317,"R")</f>
        <v>0</v>
      </c>
      <c r="AX1189" s="0" t="n">
        <f aca="false"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>0</v>
      </c>
      <c r="AY1189" s="0" t="n">
        <f aca="false">COUNTIF(DU1189:EH1189, "&lt;&gt;")</f>
        <v>0</v>
      </c>
      <c r="AZ1189" s="0" t="n">
        <f aca="false">IF(EH1189&lt;&gt;"",1,0)</f>
        <v>0</v>
      </c>
      <c r="BB1189" s="0" t="s">
        <v>153</v>
      </c>
    </row>
    <row r="1190" customFormat="false" ht="13.8" hidden="false" customHeight="false" outlineLevel="0" collapsed="false">
      <c r="A1190" s="0" t="s">
        <v>5673</v>
      </c>
      <c r="B1190" s="0" t="n">
        <v>78</v>
      </c>
      <c r="C1190" s="0" t="n">
        <v>25052</v>
      </c>
      <c r="D1190" s="0" t="s">
        <v>2410</v>
      </c>
      <c r="E1190" s="0" t="s">
        <v>640</v>
      </c>
      <c r="F1190" s="0" t="str">
        <f aca="false">CONCATENATE(D1190," ",LEFT(H1190,4),"T=",AU1190,"D=",AV1190,"R=",AW1190,"M=",AX1190,"L=",AY1190,"B=",AZ1190)</f>
        <v>BARNES T=40D=10R=0M=4L=7B=1</v>
      </c>
      <c r="G1190" s="0" t="s">
        <v>166</v>
      </c>
      <c r="I1190" s="0" t="s">
        <v>5674</v>
      </c>
      <c r="J1190" s="0" t="s">
        <v>575</v>
      </c>
      <c r="K1190" s="0" t="s">
        <v>175</v>
      </c>
      <c r="L1190" s="1" t="s">
        <v>155</v>
      </c>
      <c r="M1190" s="0" t="s">
        <v>5672</v>
      </c>
      <c r="N1190" s="0" t="str">
        <f aca="false">RIGHT(M1190,LEN(M1190)-FIND(" ",M1190))</f>
        <v>IDYLWILD ST NE</v>
      </c>
      <c r="P1190" s="0" t="s">
        <v>146</v>
      </c>
      <c r="Q1190" s="0" t="s">
        <v>147</v>
      </c>
      <c r="R1190" s="0" t="n">
        <v>44483</v>
      </c>
      <c r="AD1190" s="0" t="s">
        <v>148</v>
      </c>
      <c r="AE1190" s="0" t="s">
        <v>149</v>
      </c>
      <c r="AF1190" s="0" t="s">
        <v>150</v>
      </c>
      <c r="AH1190" s="0" t="n">
        <v>14</v>
      </c>
      <c r="AI1190" s="0" t="n">
        <v>11</v>
      </c>
      <c r="AN1190" s="0" t="s">
        <v>146</v>
      </c>
      <c r="AO1190" s="0" t="s">
        <v>250</v>
      </c>
      <c r="AP1190" s="0" t="s">
        <v>251</v>
      </c>
      <c r="AQ1190" s="0" t="n">
        <v>9</v>
      </c>
      <c r="AR1190" s="0" t="n">
        <v>64</v>
      </c>
      <c r="AS1190" s="0" t="n">
        <v>32</v>
      </c>
      <c r="AU1190" s="0" t="n">
        <f aca="false">COUNTA($BA$2667:$EH$2667)</f>
        <v>40</v>
      </c>
      <c r="AV1190" s="0" t="n">
        <f aca="false">COUNTIF($BA$2667:$EH$2667,"D")</f>
        <v>10</v>
      </c>
      <c r="AW1190" s="0" t="n">
        <f aca="false">COUNTIF($BA$2667:$EH$2667,"R")</f>
        <v>0</v>
      </c>
      <c r="AX1190" s="0" t="n">
        <f aca="false"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>4</v>
      </c>
      <c r="AY1190" s="0" t="n">
        <f aca="false">COUNTIF(DU1190:EH1190, "&lt;&gt;")</f>
        <v>7</v>
      </c>
      <c r="AZ1190" s="0" t="n">
        <f aca="false">IF(EH1190&lt;&gt;"",1,0)</f>
        <v>1</v>
      </c>
      <c r="BB1190" s="0" t="s">
        <v>153</v>
      </c>
      <c r="BD1190" s="0" t="s">
        <v>154</v>
      </c>
      <c r="BF1190" s="0" t="s">
        <v>154</v>
      </c>
      <c r="BG1190" s="0" t="s">
        <v>154</v>
      </c>
      <c r="BH1190" s="0" t="s">
        <v>154</v>
      </c>
      <c r="BJ1190" s="0" t="s">
        <v>154</v>
      </c>
      <c r="BL1190" s="0" t="s">
        <v>154</v>
      </c>
      <c r="BP1190" s="0" t="s">
        <v>154</v>
      </c>
      <c r="BS1190" s="0" t="s">
        <v>154</v>
      </c>
      <c r="BV1190" s="0" t="s">
        <v>154</v>
      </c>
      <c r="BY1190" s="0" t="s">
        <v>155</v>
      </c>
      <c r="CA1190" s="0" t="s">
        <v>154</v>
      </c>
      <c r="CG1190" s="0" t="s">
        <v>154</v>
      </c>
      <c r="CK1190" s="0" t="s">
        <v>154</v>
      </c>
      <c r="CL1190" s="0" t="s">
        <v>155</v>
      </c>
      <c r="CN1190" s="0" t="s">
        <v>154</v>
      </c>
      <c r="CP1190" s="0" t="s">
        <v>154</v>
      </c>
      <c r="CV1190" s="0" t="s">
        <v>154</v>
      </c>
      <c r="CY1190" s="0" t="s">
        <v>154</v>
      </c>
      <c r="CZ1190" s="0" t="s">
        <v>155</v>
      </c>
      <c r="DC1190" s="0" t="s">
        <v>154</v>
      </c>
      <c r="DF1190" s="0" t="s">
        <v>154</v>
      </c>
      <c r="DI1190" s="0" t="s">
        <v>154</v>
      </c>
      <c r="DN1190" s="0" t="s">
        <v>154</v>
      </c>
      <c r="DO1190" s="0" t="s">
        <v>155</v>
      </c>
      <c r="DR1190" s="0" t="s">
        <v>154</v>
      </c>
      <c r="DS1190" s="0" t="s">
        <v>155</v>
      </c>
      <c r="DU1190" s="0" t="s">
        <v>154</v>
      </c>
      <c r="DW1190" s="0" t="s">
        <v>155</v>
      </c>
      <c r="DX1190" s="0" t="s">
        <v>154</v>
      </c>
      <c r="EA1190" s="0" t="s">
        <v>154</v>
      </c>
      <c r="ED1190" s="0" t="s">
        <v>155</v>
      </c>
      <c r="EF1190" s="0" t="s">
        <v>154</v>
      </c>
      <c r="EH1190" s="0" t="s">
        <v>155</v>
      </c>
    </row>
    <row r="1191" customFormat="false" ht="13.8" hidden="true" customHeight="false" outlineLevel="0" collapsed="false">
      <c r="A1191" s="0" t="s">
        <v>5675</v>
      </c>
      <c r="B1191" s="0" t="n">
        <v>78</v>
      </c>
      <c r="C1191" s="0" t="n">
        <v>402905</v>
      </c>
      <c r="D1191" s="0" t="s">
        <v>1588</v>
      </c>
      <c r="E1191" s="0" t="s">
        <v>5676</v>
      </c>
      <c r="F1191" s="0" t="str">
        <f aca="false">CONCATENATE(D1191," ",LEFT(H1191,4),"T=",AU1191,"D=",AV1191,"R=",AW1191,"M=",AX1191,"L=",AY1191,"B=",AZ1191)</f>
        <v>HALL T=1D=0R=0M=0L=0B=0</v>
      </c>
      <c r="G1191" s="0" t="s">
        <v>176</v>
      </c>
      <c r="I1191" s="0" t="s">
        <v>5677</v>
      </c>
      <c r="J1191" s="0" t="s">
        <v>1494</v>
      </c>
      <c r="K1191" s="0" t="s">
        <v>144</v>
      </c>
      <c r="L1191" s="0"/>
      <c r="M1191" s="0" t="s">
        <v>5678</v>
      </c>
      <c r="N1191" s="0" t="str">
        <f aca="false">RIGHT(M1191,LEN(M1191)-FIND(" ",M1191))</f>
        <v>IDYLWILD ST NE</v>
      </c>
      <c r="P1191" s="0" t="s">
        <v>146</v>
      </c>
      <c r="Q1191" s="0" t="s">
        <v>147</v>
      </c>
      <c r="R1191" s="0" t="n">
        <v>44483</v>
      </c>
      <c r="AD1191" s="0" t="s">
        <v>148</v>
      </c>
      <c r="AE1191" s="0" t="s">
        <v>149</v>
      </c>
      <c r="AF1191" s="0" t="s">
        <v>150</v>
      </c>
      <c r="AH1191" s="0" t="n">
        <v>14</v>
      </c>
      <c r="AI1191" s="0" t="n">
        <v>11</v>
      </c>
      <c r="AN1191" s="0" t="s">
        <v>146</v>
      </c>
      <c r="AO1191" s="0" t="s">
        <v>250</v>
      </c>
      <c r="AP1191" s="0" t="s">
        <v>251</v>
      </c>
      <c r="AQ1191" s="0" t="n">
        <v>9</v>
      </c>
      <c r="AR1191" s="0" t="n">
        <v>64</v>
      </c>
      <c r="AS1191" s="0" t="n">
        <v>32</v>
      </c>
      <c r="AU1191" s="0" t="n">
        <f aca="false">COUNTA($BA$2197:$EH$2197)</f>
        <v>1</v>
      </c>
      <c r="AV1191" s="0" t="n">
        <f aca="false">COUNTIF($BA$2197:$EH$2197,"D")</f>
        <v>0</v>
      </c>
      <c r="AW1191" s="0" t="n">
        <f aca="false">COUNTIF($BA$2197:$EH$2197,"R")</f>
        <v>0</v>
      </c>
      <c r="AX1191" s="0" t="n">
        <f aca="false"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>0</v>
      </c>
      <c r="AY1191" s="0" t="n">
        <f aca="false">COUNTIF(DU1191:EH1191, "&lt;&gt;")</f>
        <v>0</v>
      </c>
      <c r="AZ1191" s="0" t="n">
        <f aca="false">IF(EH1191&lt;&gt;"",1,0)</f>
        <v>0</v>
      </c>
      <c r="BB1191" s="0" t="s">
        <v>153</v>
      </c>
    </row>
    <row r="1192" customFormat="false" ht="13.8" hidden="true" customHeight="false" outlineLevel="0" collapsed="false">
      <c r="A1192" s="0" t="s">
        <v>5679</v>
      </c>
      <c r="B1192" s="0" t="n">
        <v>78</v>
      </c>
      <c r="C1192" s="0" t="n">
        <v>483385</v>
      </c>
      <c r="D1192" s="0" t="s">
        <v>1588</v>
      </c>
      <c r="E1192" s="0" t="s">
        <v>5680</v>
      </c>
      <c r="F1192" s="0" t="str">
        <f aca="false">CONCATENATE(D1192," ",LEFT(H1192,4),"T=",AU1192,"D=",AV1192,"R=",AW1192,"M=",AX1192,"L=",AY1192,"B=",AZ1192)</f>
        <v>HALL T=1D=0R=0M=0L=0B=0</v>
      </c>
      <c r="G1192" s="0" t="s">
        <v>176</v>
      </c>
      <c r="I1192" s="0" t="s">
        <v>5681</v>
      </c>
      <c r="J1192" s="0" t="s">
        <v>4216</v>
      </c>
      <c r="K1192" s="0" t="s">
        <v>175</v>
      </c>
      <c r="L1192" s="0"/>
      <c r="M1192" s="0" t="s">
        <v>5678</v>
      </c>
      <c r="N1192" s="0" t="str">
        <f aca="false">RIGHT(M1192,LEN(M1192)-FIND(" ",M1192))</f>
        <v>IDYLWILD ST NE</v>
      </c>
      <c r="P1192" s="0" t="s">
        <v>146</v>
      </c>
      <c r="Q1192" s="0" t="s">
        <v>147</v>
      </c>
      <c r="R1192" s="0" t="n">
        <v>44483</v>
      </c>
      <c r="AD1192" s="0" t="s">
        <v>148</v>
      </c>
      <c r="AE1192" s="0" t="s">
        <v>149</v>
      </c>
      <c r="AF1192" s="0" t="s">
        <v>150</v>
      </c>
      <c r="AH1192" s="0" t="n">
        <v>14</v>
      </c>
      <c r="AI1192" s="0" t="n">
        <v>11</v>
      </c>
      <c r="AN1192" s="0" t="s">
        <v>146</v>
      </c>
      <c r="AO1192" s="0" t="s">
        <v>250</v>
      </c>
      <c r="AP1192" s="0" t="s">
        <v>251</v>
      </c>
      <c r="AQ1192" s="0" t="n">
        <v>9</v>
      </c>
      <c r="AR1192" s="0" t="n">
        <v>64</v>
      </c>
      <c r="AS1192" s="0" t="n">
        <v>32</v>
      </c>
      <c r="AU1192" s="0" t="n">
        <f aca="false">COUNTA($BA$2518:$EH$2518)</f>
        <v>1</v>
      </c>
      <c r="AV1192" s="0" t="n">
        <f aca="false">COUNTIF($BA$2518:$EH$2518,"D")</f>
        <v>0</v>
      </c>
      <c r="AW1192" s="0" t="n">
        <f aca="false">COUNTIF($BA$2518:$EH$2518,"R")</f>
        <v>0</v>
      </c>
      <c r="AX1192" s="0" t="n">
        <f aca="false"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>0</v>
      </c>
      <c r="AY1192" s="0" t="n">
        <f aca="false">COUNTIF(DU1192:EH1192, "&lt;&gt;")</f>
        <v>0</v>
      </c>
      <c r="AZ1192" s="0" t="n">
        <f aca="false">IF(EH1192&lt;&gt;"",1,0)</f>
        <v>0</v>
      </c>
      <c r="BB1192" s="0" t="s">
        <v>153</v>
      </c>
    </row>
    <row r="1193" customFormat="false" ht="13.8" hidden="true" customHeight="false" outlineLevel="0" collapsed="false">
      <c r="A1193" s="0" t="s">
        <v>5682</v>
      </c>
      <c r="B1193" s="0" t="n">
        <v>78</v>
      </c>
      <c r="C1193" s="0" t="n">
        <v>344855</v>
      </c>
      <c r="D1193" s="0" t="s">
        <v>1588</v>
      </c>
      <c r="E1193" s="0" t="s">
        <v>187</v>
      </c>
      <c r="F1193" s="0" t="str">
        <f aca="false">CONCATENATE(D1193," ",LEFT(H1193,4),"T=",AU1193,"D=",AV1193,"R=",AW1193,"M=",AX1193,"L=",AY1193,"B=",AZ1193)</f>
        <v>HALL T=4D=0R=0M=0L=0B=0</v>
      </c>
      <c r="G1193" s="0" t="s">
        <v>172</v>
      </c>
      <c r="I1193" s="0" t="s">
        <v>5683</v>
      </c>
      <c r="J1193" s="0" t="s">
        <v>1494</v>
      </c>
      <c r="K1193" s="0" t="s">
        <v>144</v>
      </c>
      <c r="L1193" s="0"/>
      <c r="M1193" s="0" t="s">
        <v>5678</v>
      </c>
      <c r="N1193" s="0" t="str">
        <f aca="false">RIGHT(M1193,LEN(M1193)-FIND(" ",M1193))</f>
        <v>IDYLWILD ST NE</v>
      </c>
      <c r="P1193" s="0" t="s">
        <v>146</v>
      </c>
      <c r="Q1193" s="0" t="s">
        <v>147</v>
      </c>
      <c r="R1193" s="0" t="n">
        <v>44483</v>
      </c>
      <c r="AD1193" s="0" t="s">
        <v>148</v>
      </c>
      <c r="AE1193" s="0" t="s">
        <v>149</v>
      </c>
      <c r="AF1193" s="0" t="s">
        <v>150</v>
      </c>
      <c r="AH1193" s="0" t="n">
        <v>14</v>
      </c>
      <c r="AI1193" s="0" t="n">
        <v>11</v>
      </c>
      <c r="AN1193" s="0" t="s">
        <v>146</v>
      </c>
      <c r="AO1193" s="0" t="s">
        <v>250</v>
      </c>
      <c r="AP1193" s="0" t="s">
        <v>251</v>
      </c>
      <c r="AQ1193" s="0" t="n">
        <v>9</v>
      </c>
      <c r="AR1193" s="0" t="n">
        <v>64</v>
      </c>
      <c r="AS1193" s="0" t="n">
        <v>32</v>
      </c>
      <c r="AU1193" s="0" t="n">
        <f aca="false">COUNTA($BA$2749:$EH$2749)</f>
        <v>4</v>
      </c>
      <c r="AV1193" s="0" t="n">
        <f aca="false">COUNTIF($BA$2749:$EH$2749,"D")</f>
        <v>0</v>
      </c>
      <c r="AW1193" s="0" t="n">
        <f aca="false">COUNTIF($BA$2749:$EH$2749,"R")</f>
        <v>0</v>
      </c>
      <c r="AX1193" s="0" t="n">
        <f aca="false"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>0</v>
      </c>
      <c r="AY1193" s="0" t="n">
        <f aca="false">COUNTIF(DU1193:EH1193, "&lt;&gt;")</f>
        <v>0</v>
      </c>
      <c r="AZ1193" s="0" t="n">
        <f aca="false">IF(EH1193&lt;&gt;"",1,0)</f>
        <v>0</v>
      </c>
      <c r="BB1193" s="0" t="s">
        <v>153</v>
      </c>
    </row>
    <row r="1194" customFormat="false" ht="13.8" hidden="true" customHeight="false" outlineLevel="0" collapsed="false">
      <c r="A1194" s="0" t="s">
        <v>5684</v>
      </c>
      <c r="B1194" s="0" t="n">
        <v>78</v>
      </c>
      <c r="C1194" s="0" t="n">
        <v>443715</v>
      </c>
      <c r="D1194" s="0" t="s">
        <v>5685</v>
      </c>
      <c r="E1194" s="0" t="s">
        <v>652</v>
      </c>
      <c r="F1194" s="0" t="str">
        <f aca="false">CONCATENATE(D1194," ",LEFT(H1194,4),"T=",AU1194,"D=",AV1194,"R=",AW1194,"M=",AX1194,"L=",AY1194,"B=",AZ1194)</f>
        <v>GRAY T=3D=1R=0M=0L=0B=0</v>
      </c>
      <c r="G1194" s="0" t="s">
        <v>1263</v>
      </c>
      <c r="I1194" s="0" t="s">
        <v>5686</v>
      </c>
      <c r="J1194" s="0" t="s">
        <v>5687</v>
      </c>
      <c r="K1194" s="0" t="s">
        <v>144</v>
      </c>
      <c r="L1194" s="0"/>
      <c r="M1194" s="0" t="s">
        <v>5688</v>
      </c>
      <c r="N1194" s="0" t="str">
        <f aca="false">RIGHT(M1194,LEN(M1194)-FIND(" ",M1194))</f>
        <v>IDYLWILD ST NE</v>
      </c>
      <c r="P1194" s="0" t="s">
        <v>146</v>
      </c>
      <c r="Q1194" s="0" t="s">
        <v>147</v>
      </c>
      <c r="R1194" s="0" t="n">
        <v>44483</v>
      </c>
      <c r="AD1194" s="0" t="s">
        <v>148</v>
      </c>
      <c r="AE1194" s="0" t="s">
        <v>149</v>
      </c>
      <c r="AF1194" s="0" t="s">
        <v>150</v>
      </c>
      <c r="AH1194" s="0" t="n">
        <v>14</v>
      </c>
      <c r="AI1194" s="0" t="n">
        <v>11</v>
      </c>
      <c r="AN1194" s="0" t="s">
        <v>146</v>
      </c>
      <c r="AO1194" s="0" t="s">
        <v>250</v>
      </c>
      <c r="AP1194" s="0" t="s">
        <v>251</v>
      </c>
      <c r="AQ1194" s="0" t="n">
        <v>9</v>
      </c>
      <c r="AR1194" s="0" t="n">
        <v>64</v>
      </c>
      <c r="AS1194" s="0" t="n">
        <v>32</v>
      </c>
      <c r="AU1194" s="0" t="n">
        <f aca="false">COUNTA($BA$2189:$EH$2189)</f>
        <v>3</v>
      </c>
      <c r="AV1194" s="0" t="n">
        <f aca="false">COUNTIF($BA$2189:$EH$2189,"D")</f>
        <v>1</v>
      </c>
      <c r="AW1194" s="0" t="n">
        <f aca="false">COUNTIF($BA$2189:$EH$2189,"R")</f>
        <v>0</v>
      </c>
      <c r="AX1194" s="0" t="n">
        <f aca="false"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>0</v>
      </c>
      <c r="AY1194" s="0" t="n">
        <f aca="false">COUNTIF(DU1194:EH1194, "&lt;&gt;")</f>
        <v>0</v>
      </c>
      <c r="AZ1194" s="0" t="n">
        <f aca="false">IF(EH1194&lt;&gt;"",1,0)</f>
        <v>0</v>
      </c>
      <c r="BB1194" s="0" t="s">
        <v>153</v>
      </c>
    </row>
    <row r="1195" customFormat="false" ht="13.8" hidden="true" customHeight="false" outlineLevel="0" collapsed="false">
      <c r="A1195" s="0" t="s">
        <v>5689</v>
      </c>
      <c r="B1195" s="0" t="n">
        <v>78</v>
      </c>
      <c r="C1195" s="0" t="n">
        <v>445957</v>
      </c>
      <c r="D1195" s="0" t="s">
        <v>5690</v>
      </c>
      <c r="E1195" s="0" t="s">
        <v>1980</v>
      </c>
      <c r="F1195" s="0" t="str">
        <f aca="false">CONCATENATE(D1195," ",LEFT(H1195,4),"T=",AU1195,"D=",AV1195,"R=",AW1195,"M=",AX1195,"L=",AY1195,"B=",AZ1195)</f>
        <v>ZALICK T=1D=0R=0M=0L=0B=0</v>
      </c>
      <c r="G1195" s="0" t="s">
        <v>508</v>
      </c>
      <c r="I1195" s="0" t="s">
        <v>5691</v>
      </c>
      <c r="J1195" s="0" t="s">
        <v>5692</v>
      </c>
      <c r="K1195" s="0" t="s">
        <v>175</v>
      </c>
      <c r="L1195" s="0"/>
      <c r="M1195" s="0" t="s">
        <v>5693</v>
      </c>
      <c r="N1195" s="0" t="str">
        <f aca="false">RIGHT(M1195,LEN(M1195)-FIND(" ",M1195))</f>
        <v>IDYLWILD ST NE</v>
      </c>
      <c r="P1195" s="0" t="s">
        <v>146</v>
      </c>
      <c r="Q1195" s="0" t="s">
        <v>147</v>
      </c>
      <c r="R1195" s="0" t="n">
        <v>44483</v>
      </c>
      <c r="AD1195" s="0" t="s">
        <v>148</v>
      </c>
      <c r="AE1195" s="0" t="s">
        <v>149</v>
      </c>
      <c r="AF1195" s="0" t="s">
        <v>150</v>
      </c>
      <c r="AH1195" s="0" t="n">
        <v>14</v>
      </c>
      <c r="AI1195" s="0" t="n">
        <v>11</v>
      </c>
      <c r="AN1195" s="0" t="s">
        <v>146</v>
      </c>
      <c r="AO1195" s="0" t="s">
        <v>250</v>
      </c>
      <c r="AP1195" s="0" t="s">
        <v>251</v>
      </c>
      <c r="AQ1195" s="0" t="n">
        <v>9</v>
      </c>
      <c r="AR1195" s="0" t="n">
        <v>64</v>
      </c>
      <c r="AS1195" s="0" t="n">
        <v>32</v>
      </c>
      <c r="AU1195" s="0" t="n">
        <f aca="false">COUNTA($BA$2159:$EH$2159)</f>
        <v>1</v>
      </c>
      <c r="AV1195" s="0" t="n">
        <f aca="false">COUNTIF($BA$2159:$EH$2159,"D")</f>
        <v>0</v>
      </c>
      <c r="AW1195" s="0" t="n">
        <f aca="false">COUNTIF($BA$2159:$EH$2159,"R")</f>
        <v>0</v>
      </c>
      <c r="AX1195" s="0" t="n">
        <f aca="false"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>0</v>
      </c>
      <c r="AY1195" s="0" t="n">
        <f aca="false">COUNTIF(DU1195:EH1195, "&lt;&gt;")</f>
        <v>0</v>
      </c>
      <c r="AZ1195" s="0" t="n">
        <f aca="false">IF(EH1195&lt;&gt;"",1,0)</f>
        <v>0</v>
      </c>
      <c r="BB1195" s="0" t="s">
        <v>153</v>
      </c>
    </row>
    <row r="1196" customFormat="false" ht="13.8" hidden="true" customHeight="false" outlineLevel="0" collapsed="false">
      <c r="A1196" s="0" t="s">
        <v>5694</v>
      </c>
      <c r="B1196" s="0" t="n">
        <v>78</v>
      </c>
      <c r="C1196" s="0" t="n">
        <v>436321</v>
      </c>
      <c r="D1196" s="0" t="s">
        <v>1244</v>
      </c>
      <c r="E1196" s="0" t="s">
        <v>5695</v>
      </c>
      <c r="F1196" s="0" t="str">
        <f aca="false">CONCATENATE(D1196," ",LEFT(H1196,4),"T=",AU1196,"D=",AV1196,"R=",AW1196,"M=",AX1196,"L=",AY1196,"B=",AZ1196)</f>
        <v>TAYLOR T=1D=0R=0M=0L=0B=0</v>
      </c>
      <c r="G1196" s="0" t="s">
        <v>188</v>
      </c>
      <c r="I1196" s="0" t="s">
        <v>5696</v>
      </c>
      <c r="J1196" s="0" t="s">
        <v>5697</v>
      </c>
      <c r="K1196" s="0" t="s">
        <v>175</v>
      </c>
      <c r="L1196" s="0"/>
      <c r="M1196" s="0" t="s">
        <v>5698</v>
      </c>
      <c r="N1196" s="0" t="str">
        <f aca="false">RIGHT(M1196,LEN(M1196)-FIND(" ",M1196))</f>
        <v>IDYLWILD ST NE</v>
      </c>
      <c r="P1196" s="0" t="s">
        <v>146</v>
      </c>
      <c r="Q1196" s="0" t="s">
        <v>147</v>
      </c>
      <c r="R1196" s="0" t="n">
        <v>44483</v>
      </c>
      <c r="AD1196" s="0" t="s">
        <v>148</v>
      </c>
      <c r="AE1196" s="0" t="s">
        <v>149</v>
      </c>
      <c r="AF1196" s="0" t="s">
        <v>150</v>
      </c>
      <c r="AH1196" s="0" t="n">
        <v>14</v>
      </c>
      <c r="AI1196" s="0" t="n">
        <v>11</v>
      </c>
      <c r="AN1196" s="0" t="s">
        <v>146</v>
      </c>
      <c r="AO1196" s="0" t="s">
        <v>250</v>
      </c>
      <c r="AP1196" s="0" t="s">
        <v>251</v>
      </c>
      <c r="AQ1196" s="0" t="n">
        <v>9</v>
      </c>
      <c r="AR1196" s="0" t="n">
        <v>64</v>
      </c>
      <c r="AS1196" s="0" t="n">
        <v>32</v>
      </c>
      <c r="AU1196" s="0" t="n">
        <f aca="false">COUNTA($BA$2800:$EH$2800)</f>
        <v>1</v>
      </c>
      <c r="AV1196" s="0" t="n">
        <f aca="false">COUNTIF($BA$2800:$EH$2800,"D")</f>
        <v>0</v>
      </c>
      <c r="AW1196" s="0" t="n">
        <f aca="false">COUNTIF($BA$2800:$EH$2800,"R")</f>
        <v>0</v>
      </c>
      <c r="AX1196" s="0" t="n">
        <f aca="false"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>0</v>
      </c>
      <c r="AY1196" s="0" t="n">
        <f aca="false">COUNTIF(DU1196:EH1196, "&lt;&gt;")</f>
        <v>0</v>
      </c>
      <c r="AZ1196" s="0" t="n">
        <f aca="false">IF(EH1196&lt;&gt;"",1,0)</f>
        <v>0</v>
      </c>
      <c r="BB1196" s="0" t="s">
        <v>153</v>
      </c>
    </row>
    <row r="1197" customFormat="false" ht="13.8" hidden="false" customHeight="false" outlineLevel="0" collapsed="false">
      <c r="A1197" s="0" t="s">
        <v>5699</v>
      </c>
      <c r="B1197" s="0" t="n">
        <v>78</v>
      </c>
      <c r="C1197" s="0" t="n">
        <v>323085</v>
      </c>
      <c r="D1197" s="0" t="s">
        <v>5700</v>
      </c>
      <c r="E1197" s="0" t="s">
        <v>5701</v>
      </c>
      <c r="F1197" s="0" t="str">
        <f aca="false">CONCATENATE(D1197," ",LEFT(H1197,4),"T=",AU1197,"D=",AV1197,"R=",AW1197,"M=",AX1197,"L=",AY1197,"B=",AZ1197)</f>
        <v>EDGERSON T=11D=2R=0M=0L=2B=0</v>
      </c>
      <c r="G1197" s="0" t="s">
        <v>181</v>
      </c>
      <c r="I1197" s="0" t="s">
        <v>5702</v>
      </c>
      <c r="J1197" s="0" t="s">
        <v>2512</v>
      </c>
      <c r="K1197" s="0" t="s">
        <v>175</v>
      </c>
      <c r="M1197" s="0" t="s">
        <v>5703</v>
      </c>
      <c r="N1197" s="0" t="str">
        <f aca="false">RIGHT(M1197,LEN(M1197)-FIND(" ",M1197))</f>
        <v>IDYLWILD ST NE</v>
      </c>
      <c r="P1197" s="0" t="s">
        <v>146</v>
      </c>
      <c r="Q1197" s="0" t="s">
        <v>147</v>
      </c>
      <c r="R1197" s="0" t="n">
        <v>44483</v>
      </c>
      <c r="AD1197" s="0" t="s">
        <v>148</v>
      </c>
      <c r="AE1197" s="0" t="s">
        <v>149</v>
      </c>
      <c r="AF1197" s="0" t="s">
        <v>150</v>
      </c>
      <c r="AH1197" s="0" t="n">
        <v>14</v>
      </c>
      <c r="AI1197" s="0" t="n">
        <v>11</v>
      </c>
      <c r="AN1197" s="0" t="s">
        <v>146</v>
      </c>
      <c r="AO1197" s="0" t="s">
        <v>250</v>
      </c>
      <c r="AP1197" s="0" t="s">
        <v>251</v>
      </c>
      <c r="AQ1197" s="0" t="n">
        <v>9</v>
      </c>
      <c r="AR1197" s="0" t="n">
        <v>64</v>
      </c>
      <c r="AS1197" s="0" t="n">
        <v>32</v>
      </c>
      <c r="AU1197" s="0" t="n">
        <f aca="false">COUNTA($BA$2573:$EH$2573)</f>
        <v>11</v>
      </c>
      <c r="AV1197" s="0" t="n">
        <f aca="false">COUNTIF($BA$2573:$EH$2573,"D")</f>
        <v>2</v>
      </c>
      <c r="AW1197" s="0" t="n">
        <f aca="false">COUNTIF($BA$2573:$EH$2573,"R")</f>
        <v>0</v>
      </c>
      <c r="AX1197" s="0" t="n">
        <f aca="false"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>0</v>
      </c>
      <c r="AY1197" s="0" t="n">
        <f aca="false">COUNTIF(DU1197:EH1197, "&lt;&gt;")</f>
        <v>2</v>
      </c>
      <c r="AZ1197" s="0" t="n">
        <f aca="false">IF(EH1197&lt;&gt;"",1,0)</f>
        <v>0</v>
      </c>
      <c r="BB1197" s="0" t="s">
        <v>153</v>
      </c>
      <c r="BY1197" s="0" t="s">
        <v>155</v>
      </c>
      <c r="CA1197" s="0" t="s">
        <v>154</v>
      </c>
      <c r="CP1197" s="0" t="s">
        <v>154</v>
      </c>
      <c r="CV1197" s="0" t="s">
        <v>154</v>
      </c>
      <c r="CY1197" s="0" t="s">
        <v>154</v>
      </c>
      <c r="DC1197" s="0" t="s">
        <v>154</v>
      </c>
      <c r="DN1197" s="0" t="s">
        <v>154</v>
      </c>
      <c r="DX1197" s="0" t="s">
        <v>154</v>
      </c>
      <c r="EF1197" s="0" t="s">
        <v>154</v>
      </c>
    </row>
    <row r="1198" customFormat="false" ht="13.8" hidden="true" customHeight="false" outlineLevel="0" collapsed="false">
      <c r="A1198" s="0" t="s">
        <v>5704</v>
      </c>
      <c r="B1198" s="0" t="n">
        <v>78</v>
      </c>
      <c r="C1198" s="0" t="n">
        <v>432094</v>
      </c>
      <c r="D1198" s="0" t="s">
        <v>5705</v>
      </c>
      <c r="E1198" s="0" t="s">
        <v>5706</v>
      </c>
      <c r="F1198" s="0" t="str">
        <f aca="false">CONCATENATE(D1198," ",LEFT(H1198,4),"T=",AU1198,"D=",AV1198,"R=",AW1198,"M=",AX1198,"L=",AY1198,"B=",AZ1198)</f>
        <v>GASTON T=36D=8R=0M=0L=0B=0</v>
      </c>
      <c r="G1198" s="0" t="s">
        <v>241</v>
      </c>
      <c r="I1198" s="0" t="s">
        <v>599</v>
      </c>
      <c r="J1198" s="0" t="s">
        <v>5707</v>
      </c>
      <c r="K1198" s="0" t="s">
        <v>144</v>
      </c>
      <c r="L1198" s="0"/>
      <c r="M1198" s="0" t="s">
        <v>5703</v>
      </c>
      <c r="N1198" s="0" t="str">
        <f aca="false">RIGHT(M1198,LEN(M1198)-FIND(" ",M1198))</f>
        <v>IDYLWILD ST NE</v>
      </c>
      <c r="P1198" s="0" t="s">
        <v>146</v>
      </c>
      <c r="Q1198" s="0" t="s">
        <v>147</v>
      </c>
      <c r="R1198" s="0" t="n">
        <v>44483</v>
      </c>
      <c r="AD1198" s="0" t="s">
        <v>148</v>
      </c>
      <c r="AE1198" s="0" t="s">
        <v>149</v>
      </c>
      <c r="AF1198" s="0" t="s">
        <v>150</v>
      </c>
      <c r="AH1198" s="0" t="n">
        <v>14</v>
      </c>
      <c r="AI1198" s="0" t="n">
        <v>11</v>
      </c>
      <c r="AN1198" s="0" t="s">
        <v>146</v>
      </c>
      <c r="AO1198" s="0" t="s">
        <v>250</v>
      </c>
      <c r="AP1198" s="0" t="s">
        <v>251</v>
      </c>
      <c r="AQ1198" s="0" t="n">
        <v>9</v>
      </c>
      <c r="AR1198" s="0" t="n">
        <v>64</v>
      </c>
      <c r="AS1198" s="0" t="n">
        <v>32</v>
      </c>
      <c r="AU1198" s="0" t="n">
        <f aca="false">COUNTA($BA$2792:$EH$2792)</f>
        <v>36</v>
      </c>
      <c r="AV1198" s="0" t="n">
        <f aca="false">COUNTIF($BA$2792:$EH$2792,"D")</f>
        <v>8</v>
      </c>
      <c r="AW1198" s="0" t="n">
        <f aca="false">COUNTIF($BA$2792:$EH$2792,"R")</f>
        <v>0</v>
      </c>
      <c r="AX1198" s="0" t="n">
        <f aca="false"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>0</v>
      </c>
      <c r="AY1198" s="0" t="n">
        <f aca="false">COUNTIF(DU1198:EH1198, "&lt;&gt;")</f>
        <v>0</v>
      </c>
      <c r="AZ1198" s="0" t="n">
        <f aca="false">IF(EH1198&lt;&gt;"",1,0)</f>
        <v>0</v>
      </c>
      <c r="BB1198" s="0" t="s">
        <v>153</v>
      </c>
    </row>
    <row r="1199" customFormat="false" ht="13.8" hidden="true" customHeight="false" outlineLevel="0" collapsed="false">
      <c r="A1199" s="0" t="s">
        <v>5708</v>
      </c>
      <c r="B1199" s="0" t="n">
        <v>78</v>
      </c>
      <c r="C1199" s="0" t="n">
        <v>485376</v>
      </c>
      <c r="D1199" s="0" t="s">
        <v>5709</v>
      </c>
      <c r="E1199" s="0" t="s">
        <v>5710</v>
      </c>
      <c r="F1199" s="0" t="str">
        <f aca="false">CONCATENATE(D1199," ",LEFT(H1199,4),"T=",AU1199,"D=",AV1199,"R=",AW1199,"M=",AX1199,"L=",AY1199,"B=",AZ1199)</f>
        <v>TALBERT T=1D=0R=0M=0L=0B=0</v>
      </c>
      <c r="G1199" s="0" t="s">
        <v>5711</v>
      </c>
      <c r="I1199" s="0" t="s">
        <v>5712</v>
      </c>
      <c r="J1199" s="0" t="s">
        <v>5713</v>
      </c>
      <c r="K1199" s="0" t="s">
        <v>175</v>
      </c>
      <c r="L1199" s="0"/>
      <c r="M1199" s="0" t="s">
        <v>5714</v>
      </c>
      <c r="N1199" s="0" t="str">
        <f aca="false">RIGHT(M1199,LEN(M1199)-FIND(" ",M1199))</f>
        <v>IDYLWILD ST NE</v>
      </c>
      <c r="P1199" s="0" t="s">
        <v>146</v>
      </c>
      <c r="Q1199" s="0" t="s">
        <v>147</v>
      </c>
      <c r="R1199" s="0" t="n">
        <v>44483</v>
      </c>
      <c r="AD1199" s="0" t="s">
        <v>148</v>
      </c>
      <c r="AE1199" s="0" t="s">
        <v>149</v>
      </c>
      <c r="AF1199" s="0" t="s">
        <v>150</v>
      </c>
      <c r="AH1199" s="0" t="n">
        <v>14</v>
      </c>
      <c r="AI1199" s="0" t="n">
        <v>11</v>
      </c>
      <c r="AN1199" s="0" t="s">
        <v>146</v>
      </c>
      <c r="AO1199" s="0" t="s">
        <v>250</v>
      </c>
      <c r="AP1199" s="0" t="s">
        <v>251</v>
      </c>
      <c r="AQ1199" s="0" t="n">
        <v>9</v>
      </c>
      <c r="AR1199" s="0" t="n">
        <v>64</v>
      </c>
      <c r="AS1199" s="0" t="n">
        <v>32</v>
      </c>
      <c r="AU1199" s="0" t="n">
        <f aca="false">COUNTA($BA$2171:$EH$2171)</f>
        <v>1</v>
      </c>
      <c r="AV1199" s="0" t="n">
        <f aca="false">COUNTIF($BA$2171:$EH$2171,"D")</f>
        <v>0</v>
      </c>
      <c r="AW1199" s="0" t="n">
        <f aca="false">COUNTIF($BA$2171:$EH$2171,"R")</f>
        <v>0</v>
      </c>
      <c r="AX1199" s="0" t="n">
        <f aca="false"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>0</v>
      </c>
      <c r="AY1199" s="0" t="n">
        <f aca="false">COUNTIF(DU1199:EH1199, "&lt;&gt;")</f>
        <v>0</v>
      </c>
      <c r="AZ1199" s="0" t="n">
        <f aca="false">IF(EH1199&lt;&gt;"",1,0)</f>
        <v>0</v>
      </c>
      <c r="BB1199" s="0" t="s">
        <v>153</v>
      </c>
      <c r="DN1199" s="0" t="s">
        <v>154</v>
      </c>
    </row>
    <row r="1200" customFormat="false" ht="13.8" hidden="false" customHeight="false" outlineLevel="0" collapsed="false">
      <c r="A1200" s="0" t="s">
        <v>5715</v>
      </c>
      <c r="B1200" s="0" t="n">
        <v>78</v>
      </c>
      <c r="C1200" s="0" t="n">
        <v>389356</v>
      </c>
      <c r="D1200" s="0" t="s">
        <v>3149</v>
      </c>
      <c r="E1200" s="0" t="s">
        <v>5716</v>
      </c>
      <c r="F1200" s="0" t="str">
        <f aca="false">CONCATENATE(D1200," ",LEFT(H1200,4),"T=",AU1200,"D=",AV1200,"R=",AW1200,"M=",AX1200,"L=",AY1200,"B=",AZ1200)</f>
        <v>CALHOUN T=4D=1R=0M=0L=2B=0</v>
      </c>
      <c r="G1200" s="0" t="s">
        <v>155</v>
      </c>
      <c r="I1200" s="0" t="s">
        <v>5717</v>
      </c>
      <c r="J1200" s="0" t="s">
        <v>886</v>
      </c>
      <c r="K1200" s="0" t="s">
        <v>175</v>
      </c>
      <c r="M1200" s="0" t="s">
        <v>5718</v>
      </c>
      <c r="N1200" s="0" t="str">
        <f aca="false">RIGHT(M1200,LEN(M1200)-FIND(" ",M1200))</f>
        <v>IDYLWILD ST NE</v>
      </c>
      <c r="P1200" s="0" t="s">
        <v>146</v>
      </c>
      <c r="Q1200" s="0" t="s">
        <v>147</v>
      </c>
      <c r="R1200" s="0" t="n">
        <v>44483</v>
      </c>
      <c r="AD1200" s="0" t="s">
        <v>148</v>
      </c>
      <c r="AE1200" s="0" t="s">
        <v>149</v>
      </c>
      <c r="AF1200" s="0" t="s">
        <v>150</v>
      </c>
      <c r="AH1200" s="0" t="n">
        <v>14</v>
      </c>
      <c r="AI1200" s="0" t="n">
        <v>11</v>
      </c>
      <c r="AN1200" s="0" t="s">
        <v>146</v>
      </c>
      <c r="AO1200" s="0" t="s">
        <v>250</v>
      </c>
      <c r="AP1200" s="0" t="s">
        <v>251</v>
      </c>
      <c r="AQ1200" s="0" t="n">
        <v>9</v>
      </c>
      <c r="AR1200" s="0" t="n">
        <v>64</v>
      </c>
      <c r="AS1200" s="0" t="n">
        <v>32</v>
      </c>
      <c r="AU1200" s="0" t="n">
        <f aca="false">COUNTA($BA$2274:$EH$2274)</f>
        <v>4</v>
      </c>
      <c r="AV1200" s="0" t="n">
        <f aca="false">COUNTIF($BA$2274:$EH$2274,"D")</f>
        <v>1</v>
      </c>
      <c r="AW1200" s="0" t="n">
        <f aca="false">COUNTIF($BA$2274:$EH$2274,"R")</f>
        <v>0</v>
      </c>
      <c r="AX1200" s="0" t="n">
        <f aca="false"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>0</v>
      </c>
      <c r="AY1200" s="0" t="n">
        <f aca="false">COUNTIF(DU1200:EH1200, "&lt;&gt;")</f>
        <v>2</v>
      </c>
      <c r="AZ1200" s="0" t="n">
        <f aca="false">IF(EH1200&lt;&gt;"",1,0)</f>
        <v>0</v>
      </c>
      <c r="BB1200" s="0" t="s">
        <v>153</v>
      </c>
      <c r="CP1200" s="0" t="s">
        <v>154</v>
      </c>
      <c r="CY1200" s="0" t="s">
        <v>154</v>
      </c>
      <c r="DC1200" s="0" t="s">
        <v>154</v>
      </c>
      <c r="DN1200" s="0" t="s">
        <v>154</v>
      </c>
      <c r="EA1200" s="0" t="s">
        <v>154</v>
      </c>
      <c r="EF1200" s="0" t="s">
        <v>154</v>
      </c>
    </row>
    <row r="1201" customFormat="false" ht="13.8" hidden="false" customHeight="false" outlineLevel="0" collapsed="false">
      <c r="A1201" s="0" t="s">
        <v>5719</v>
      </c>
      <c r="B1201" s="0" t="n">
        <v>78</v>
      </c>
      <c r="C1201" s="0" t="n">
        <v>328214</v>
      </c>
      <c r="D1201" s="0" t="s">
        <v>2961</v>
      </c>
      <c r="E1201" s="0" t="s">
        <v>1468</v>
      </c>
      <c r="F1201" s="0" t="str">
        <f aca="false">CONCATENATE(D1201," ",LEFT(H1201,4),"T=",AU1201,"D=",AV1201,"R=",AW1201,"M=",AX1201,"L=",AY1201,"B=",AZ1201)</f>
        <v>BUTLER T=1D=0R=0M=0L=4B=0</v>
      </c>
      <c r="G1201" s="0" t="s">
        <v>241</v>
      </c>
      <c r="I1201" s="0" t="s">
        <v>5720</v>
      </c>
      <c r="J1201" s="0" t="s">
        <v>5721</v>
      </c>
      <c r="K1201" s="0" t="s">
        <v>175</v>
      </c>
      <c r="L1201" s="1" t="s">
        <v>155</v>
      </c>
      <c r="M1201" s="0" t="s">
        <v>5718</v>
      </c>
      <c r="N1201" s="0" t="str">
        <f aca="false">RIGHT(M1201,LEN(M1201)-FIND(" ",M1201))</f>
        <v>IDYLWILD ST NE</v>
      </c>
      <c r="P1201" s="0" t="s">
        <v>146</v>
      </c>
      <c r="Q1201" s="0" t="s">
        <v>147</v>
      </c>
      <c r="R1201" s="0" t="n">
        <v>44483</v>
      </c>
      <c r="AD1201" s="0" t="s">
        <v>148</v>
      </c>
      <c r="AE1201" s="0" t="s">
        <v>149</v>
      </c>
      <c r="AF1201" s="0" t="s">
        <v>150</v>
      </c>
      <c r="AH1201" s="0" t="n">
        <v>14</v>
      </c>
      <c r="AI1201" s="0" t="n">
        <v>11</v>
      </c>
      <c r="AN1201" s="0" t="s">
        <v>146</v>
      </c>
      <c r="AO1201" s="0" t="s">
        <v>250</v>
      </c>
      <c r="AP1201" s="0" t="s">
        <v>251</v>
      </c>
      <c r="AQ1201" s="0" t="n">
        <v>9</v>
      </c>
      <c r="AR1201" s="0" t="n">
        <v>64</v>
      </c>
      <c r="AS1201" s="0" t="n">
        <v>32</v>
      </c>
      <c r="AU1201" s="0" t="n">
        <f aca="false">COUNTA($BA$2500:$EH$2500)</f>
        <v>1</v>
      </c>
      <c r="AV1201" s="0" t="n">
        <f aca="false">COUNTIF($BA$2500:$EH$2500,"D")</f>
        <v>0</v>
      </c>
      <c r="AW1201" s="0" t="n">
        <f aca="false">COUNTIF($BA$2500:$EH$2500,"R")</f>
        <v>0</v>
      </c>
      <c r="AX1201" s="0" t="n">
        <f aca="false"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>0</v>
      </c>
      <c r="AY1201" s="0" t="n">
        <f aca="false">COUNTIF(DU1201:EH1201, "&lt;&gt;")</f>
        <v>4</v>
      </c>
      <c r="AZ1201" s="0" t="n">
        <f aca="false">IF(EH1201&lt;&gt;"",1,0)</f>
        <v>0</v>
      </c>
      <c r="BB1201" s="0" t="s">
        <v>153</v>
      </c>
      <c r="BL1201" s="0" t="s">
        <v>154</v>
      </c>
      <c r="CP1201" s="0" t="s">
        <v>154</v>
      </c>
      <c r="CY1201" s="0" t="s">
        <v>154</v>
      </c>
      <c r="DC1201" s="0" t="s">
        <v>154</v>
      </c>
      <c r="DI1201" s="0" t="s">
        <v>154</v>
      </c>
      <c r="DL1201" s="0" t="s">
        <v>154</v>
      </c>
      <c r="DM1201" s="0" t="s">
        <v>155</v>
      </c>
      <c r="DN1201" s="0" t="s">
        <v>154</v>
      </c>
      <c r="DU1201" s="0" t="s">
        <v>154</v>
      </c>
      <c r="DX1201" s="0" t="s">
        <v>154</v>
      </c>
      <c r="ED1201" s="0" t="s">
        <v>155</v>
      </c>
      <c r="EF1201" s="0" t="s">
        <v>154</v>
      </c>
    </row>
    <row r="1202" customFormat="false" ht="13.8" hidden="true" customHeight="false" outlineLevel="0" collapsed="false">
      <c r="A1202" s="0" t="s">
        <v>5722</v>
      </c>
      <c r="B1202" s="0" t="n">
        <v>78</v>
      </c>
      <c r="C1202" s="0" t="n">
        <v>355716</v>
      </c>
      <c r="D1202" s="0" t="s">
        <v>856</v>
      </c>
      <c r="E1202" s="0" t="s">
        <v>471</v>
      </c>
      <c r="F1202" s="0" t="str">
        <f aca="false">CONCATENATE(D1202," ",LEFT(H1202,4),"T=",AU1202,"D=",AV1202,"R=",AW1202,"M=",AX1202,"L=",AY1202,"B=",AZ1202)</f>
        <v>JONES JRT=37D=10R=0M=0L=1B=0</v>
      </c>
      <c r="G1202" s="0" t="s">
        <v>241</v>
      </c>
      <c r="H1202" s="0" t="s">
        <v>431</v>
      </c>
      <c r="I1202" s="0" t="s">
        <v>5723</v>
      </c>
      <c r="J1202" s="0" t="s">
        <v>757</v>
      </c>
      <c r="K1202" s="0" t="s">
        <v>175</v>
      </c>
      <c r="L1202" s="0"/>
      <c r="M1202" s="0" t="s">
        <v>5718</v>
      </c>
      <c r="N1202" s="0" t="str">
        <f aca="false">RIGHT(M1202,LEN(M1202)-FIND(" ",M1202))</f>
        <v>IDYLWILD ST NE</v>
      </c>
      <c r="P1202" s="0" t="s">
        <v>146</v>
      </c>
      <c r="Q1202" s="0" t="s">
        <v>147</v>
      </c>
      <c r="R1202" s="0" t="n">
        <v>44483</v>
      </c>
      <c r="AD1202" s="0" t="s">
        <v>148</v>
      </c>
      <c r="AE1202" s="0" t="s">
        <v>149</v>
      </c>
      <c r="AF1202" s="0" t="s">
        <v>150</v>
      </c>
      <c r="AH1202" s="0" t="n">
        <v>14</v>
      </c>
      <c r="AI1202" s="0" t="n">
        <v>11</v>
      </c>
      <c r="AN1202" s="0" t="s">
        <v>146</v>
      </c>
      <c r="AO1202" s="0" t="s">
        <v>250</v>
      </c>
      <c r="AP1202" s="0" t="s">
        <v>251</v>
      </c>
      <c r="AQ1202" s="0" t="n">
        <v>9</v>
      </c>
      <c r="AR1202" s="0" t="n">
        <v>64</v>
      </c>
      <c r="AS1202" s="0" t="n">
        <v>32</v>
      </c>
      <c r="AU1202" s="0" t="n">
        <f aca="false">COUNTA($BA$2781:$EH$2781)</f>
        <v>37</v>
      </c>
      <c r="AV1202" s="0" t="n">
        <f aca="false">COUNTIF($BA$2781:$EH$2781,"D")</f>
        <v>10</v>
      </c>
      <c r="AW1202" s="0" t="n">
        <f aca="false">COUNTIF($BA$2781:$EH$2781,"R")</f>
        <v>0</v>
      </c>
      <c r="AX1202" s="0" t="n">
        <f aca="false"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>0</v>
      </c>
      <c r="AY1202" s="0" t="n">
        <f aca="false">COUNTIF(DU1202:EH1202, "&lt;&gt;")</f>
        <v>1</v>
      </c>
      <c r="AZ1202" s="0" t="n">
        <f aca="false">IF(EH1202&lt;&gt;"",1,0)</f>
        <v>0</v>
      </c>
      <c r="BB1202" s="0" t="s">
        <v>153</v>
      </c>
      <c r="CA1202" s="0" t="s">
        <v>154</v>
      </c>
      <c r="CY1202" s="0" t="s">
        <v>154</v>
      </c>
      <c r="DN1202" s="0" t="s">
        <v>154</v>
      </c>
      <c r="EA1202" s="0" t="s">
        <v>154</v>
      </c>
    </row>
    <row r="1203" customFormat="false" ht="13.8" hidden="true" customHeight="false" outlineLevel="0" collapsed="false">
      <c r="A1203" s="0" t="s">
        <v>5724</v>
      </c>
      <c r="B1203" s="0" t="n">
        <v>78</v>
      </c>
      <c r="C1203" s="0" t="n">
        <v>336404</v>
      </c>
      <c r="D1203" s="0" t="s">
        <v>1050</v>
      </c>
      <c r="E1203" s="0" t="s">
        <v>5725</v>
      </c>
      <c r="F1203" s="0" t="str">
        <f aca="false">CONCATENATE(D1203," ",LEFT(H1203,4),"T=",AU1203,"D=",AV1203,"R=",AW1203,"M=",AX1203,"L=",AY1203,"B=",AZ1203)</f>
        <v>JOHNSON T=12D=1R=1M=0L=0B=0</v>
      </c>
      <c r="G1203" s="0" t="s">
        <v>297</v>
      </c>
      <c r="I1203" s="0" t="s">
        <v>5726</v>
      </c>
      <c r="J1203" s="0" t="s">
        <v>5727</v>
      </c>
      <c r="K1203" s="0" t="s">
        <v>175</v>
      </c>
      <c r="L1203" s="0"/>
      <c r="M1203" s="0" t="s">
        <v>5728</v>
      </c>
      <c r="N1203" s="0" t="str">
        <f aca="false">RIGHT(M1203,LEN(M1203)-FIND(" ",M1203))</f>
        <v>IDYLWILD ST NE</v>
      </c>
      <c r="P1203" s="0" t="s">
        <v>146</v>
      </c>
      <c r="Q1203" s="0" t="s">
        <v>147</v>
      </c>
      <c r="R1203" s="0" t="n">
        <v>44483</v>
      </c>
      <c r="AD1203" s="0" t="s">
        <v>148</v>
      </c>
      <c r="AE1203" s="0" t="s">
        <v>149</v>
      </c>
      <c r="AF1203" s="0" t="s">
        <v>150</v>
      </c>
      <c r="AH1203" s="0" t="n">
        <v>14</v>
      </c>
      <c r="AI1203" s="0" t="n">
        <v>11</v>
      </c>
      <c r="AN1203" s="0" t="s">
        <v>146</v>
      </c>
      <c r="AO1203" s="0" t="s">
        <v>250</v>
      </c>
      <c r="AP1203" s="0" t="s">
        <v>251</v>
      </c>
      <c r="AQ1203" s="0" t="n">
        <v>9</v>
      </c>
      <c r="AR1203" s="0" t="n">
        <v>64</v>
      </c>
      <c r="AS1203" s="0" t="n">
        <v>32</v>
      </c>
      <c r="AU1203" s="0" t="n">
        <f aca="false">COUNTA($BA$2578:$EH$2578)</f>
        <v>12</v>
      </c>
      <c r="AV1203" s="0" t="n">
        <f aca="false">COUNTIF($BA$2578:$EH$2578,"D")</f>
        <v>1</v>
      </c>
      <c r="AW1203" s="0" t="n">
        <f aca="false">COUNTIF($BA$2578:$EH$2578,"R")</f>
        <v>1</v>
      </c>
      <c r="AX1203" s="0" t="n">
        <f aca="false"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>0</v>
      </c>
      <c r="AY1203" s="0" t="n">
        <f aca="false">COUNTIF(DU1203:EH1203, "&lt;&gt;")</f>
        <v>0</v>
      </c>
      <c r="AZ1203" s="0" t="n">
        <f aca="false">IF(EH1203&lt;&gt;"",1,0)</f>
        <v>0</v>
      </c>
      <c r="BB1203" s="0" t="s">
        <v>153</v>
      </c>
      <c r="CA1203" s="0" t="s">
        <v>154</v>
      </c>
      <c r="CP1203" s="0" t="s">
        <v>154</v>
      </c>
      <c r="DC1203" s="0" t="s">
        <v>154</v>
      </c>
      <c r="DI1203" s="0" t="s">
        <v>154</v>
      </c>
      <c r="DN1203" s="0" t="s">
        <v>154</v>
      </c>
    </row>
    <row r="1204" customFormat="false" ht="13.8" hidden="true" customHeight="false" outlineLevel="0" collapsed="false">
      <c r="A1204" s="0" t="s">
        <v>5729</v>
      </c>
      <c r="B1204" s="0" t="n">
        <v>78</v>
      </c>
      <c r="C1204" s="0" t="n">
        <v>152286</v>
      </c>
      <c r="D1204" s="0" t="s">
        <v>1997</v>
      </c>
      <c r="E1204" s="0" t="s">
        <v>914</v>
      </c>
      <c r="F1204" s="0" t="str">
        <f aca="false">CONCATENATE(D1204," ",LEFT(H1204,4),"T=",AU1204,"D=",AV1204,"R=",AW1204,"M=",AX1204,"L=",AY1204,"B=",AZ1204)</f>
        <v>ALBERT T=2D=0R=0M=0L=1B=0</v>
      </c>
      <c r="G1204" s="0" t="s">
        <v>188</v>
      </c>
      <c r="I1204" s="0" t="s">
        <v>5730</v>
      </c>
      <c r="J1204" s="0" t="s">
        <v>2780</v>
      </c>
      <c r="K1204" s="0" t="s">
        <v>175</v>
      </c>
      <c r="L1204" s="0"/>
      <c r="M1204" s="0" t="s">
        <v>5731</v>
      </c>
      <c r="N1204" s="0" t="str">
        <f aca="false">RIGHT(M1204,LEN(M1204)-FIND(" ",M1204))</f>
        <v>IDYLWILD ST NE</v>
      </c>
      <c r="P1204" s="0" t="s">
        <v>146</v>
      </c>
      <c r="Q1204" s="0" t="s">
        <v>147</v>
      </c>
      <c r="R1204" s="0" t="n">
        <v>44483</v>
      </c>
      <c r="AD1204" s="0" t="s">
        <v>148</v>
      </c>
      <c r="AE1204" s="0" t="s">
        <v>149</v>
      </c>
      <c r="AF1204" s="0" t="s">
        <v>150</v>
      </c>
      <c r="AH1204" s="0" t="n">
        <v>14</v>
      </c>
      <c r="AI1204" s="0" t="n">
        <v>11</v>
      </c>
      <c r="AN1204" s="0" t="s">
        <v>146</v>
      </c>
      <c r="AO1204" s="0" t="s">
        <v>250</v>
      </c>
      <c r="AP1204" s="0" t="s">
        <v>251</v>
      </c>
      <c r="AQ1204" s="0" t="n">
        <v>9</v>
      </c>
      <c r="AR1204" s="0" t="n">
        <v>64</v>
      </c>
      <c r="AS1204" s="0" t="n">
        <v>32</v>
      </c>
      <c r="AU1204" s="0" t="n">
        <f aca="false">COUNTA($BA$2262:$EH$2262)</f>
        <v>2</v>
      </c>
      <c r="AV1204" s="0" t="n">
        <f aca="false">COUNTIF($BA$2262:$EH$2262,"D")</f>
        <v>0</v>
      </c>
      <c r="AW1204" s="0" t="n">
        <f aca="false">COUNTIF($BA$2262:$EH$2262,"R")</f>
        <v>0</v>
      </c>
      <c r="AX1204" s="0" t="n">
        <f aca="false"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>0</v>
      </c>
      <c r="AY1204" s="0" t="n">
        <f aca="false">COUNTIF(DU1204:EH1204, "&lt;&gt;")</f>
        <v>1</v>
      </c>
      <c r="AZ1204" s="0" t="n">
        <f aca="false">IF(EH1204&lt;&gt;"",1,0)</f>
        <v>0</v>
      </c>
      <c r="BB1204" s="0" t="s">
        <v>153</v>
      </c>
      <c r="BC1204" s="0" t="s">
        <v>154</v>
      </c>
      <c r="BD1204" s="0" t="s">
        <v>154</v>
      </c>
      <c r="BF1204" s="0" t="s">
        <v>154</v>
      </c>
      <c r="BK1204" s="0" t="s">
        <v>154</v>
      </c>
      <c r="BL1204" s="0" t="s">
        <v>154</v>
      </c>
      <c r="BP1204" s="0" t="s">
        <v>154</v>
      </c>
      <c r="BR1204" s="0" t="s">
        <v>154</v>
      </c>
      <c r="BS1204" s="0" t="s">
        <v>154</v>
      </c>
      <c r="BV1204" s="0" t="s">
        <v>154</v>
      </c>
      <c r="BY1204" s="0" t="s">
        <v>155</v>
      </c>
      <c r="CA1204" s="0" t="s">
        <v>154</v>
      </c>
      <c r="CG1204" s="0" t="s">
        <v>154</v>
      </c>
      <c r="CK1204" s="0" t="s">
        <v>154</v>
      </c>
      <c r="CN1204" s="0" t="s">
        <v>154</v>
      </c>
      <c r="CO1204" s="0" t="s">
        <v>155</v>
      </c>
      <c r="CP1204" s="0" t="s">
        <v>154</v>
      </c>
      <c r="DC1204" s="0" t="s">
        <v>154</v>
      </c>
      <c r="DF1204" s="0" t="s">
        <v>154</v>
      </c>
      <c r="DI1204" s="0" t="s">
        <v>154</v>
      </c>
      <c r="DN1204" s="0" t="s">
        <v>154</v>
      </c>
      <c r="EF1204" s="0" t="s">
        <v>154</v>
      </c>
    </row>
    <row r="1205" customFormat="false" ht="13.8" hidden="true" customHeight="false" outlineLevel="0" collapsed="false">
      <c r="A1205" s="0" t="s">
        <v>5732</v>
      </c>
      <c r="B1205" s="0" t="n">
        <v>78</v>
      </c>
      <c r="C1205" s="0" t="n">
        <v>67837</v>
      </c>
      <c r="D1205" s="0" t="s">
        <v>1997</v>
      </c>
      <c r="E1205" s="0" t="s">
        <v>277</v>
      </c>
      <c r="F1205" s="0" t="str">
        <f aca="false">CONCATENATE(D1205," ",LEFT(H1205,4),"T=",AU1205,"D=",AV1205,"R=",AW1205,"M=",AX1205,"L=",AY1205,"B=",AZ1205)</f>
        <v>ALBERT T=1D=0R=0M=1L=1B=0</v>
      </c>
      <c r="G1205" s="0" t="s">
        <v>1722</v>
      </c>
      <c r="I1205" s="0" t="s">
        <v>5733</v>
      </c>
      <c r="J1205" s="0" t="s">
        <v>2780</v>
      </c>
      <c r="K1205" s="0" t="s">
        <v>175</v>
      </c>
      <c r="L1205" s="0"/>
      <c r="M1205" s="0" t="s">
        <v>5731</v>
      </c>
      <c r="N1205" s="0" t="str">
        <f aca="false">RIGHT(M1205,LEN(M1205)-FIND(" ",M1205))</f>
        <v>IDYLWILD ST NE</v>
      </c>
      <c r="P1205" s="0" t="s">
        <v>146</v>
      </c>
      <c r="Q1205" s="0" t="s">
        <v>147</v>
      </c>
      <c r="R1205" s="0" t="n">
        <v>44483</v>
      </c>
      <c r="AD1205" s="0" t="s">
        <v>148</v>
      </c>
      <c r="AE1205" s="0" t="s">
        <v>149</v>
      </c>
      <c r="AF1205" s="0" t="s">
        <v>150</v>
      </c>
      <c r="AH1205" s="0" t="n">
        <v>14</v>
      </c>
      <c r="AI1205" s="0" t="n">
        <v>11</v>
      </c>
      <c r="AN1205" s="0" t="s">
        <v>146</v>
      </c>
      <c r="AO1205" s="0" t="s">
        <v>250</v>
      </c>
      <c r="AP1205" s="0" t="s">
        <v>251</v>
      </c>
      <c r="AQ1205" s="0" t="n">
        <v>9</v>
      </c>
      <c r="AR1205" s="0" t="n">
        <v>64</v>
      </c>
      <c r="AS1205" s="0" t="n">
        <v>32</v>
      </c>
      <c r="AU1205" s="0" t="n">
        <f aca="false">COUNTA($BA$2698:$EH$2698)</f>
        <v>1</v>
      </c>
      <c r="AV1205" s="0" t="n">
        <f aca="false">COUNTIF($BA$2698:$EH$2698,"D")</f>
        <v>0</v>
      </c>
      <c r="AW1205" s="0" t="n">
        <f aca="false">COUNTIF($BA$2698:$EH$2698,"R")</f>
        <v>0</v>
      </c>
      <c r="AX1205" s="0" t="n">
        <f aca="false"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>1</v>
      </c>
      <c r="AY1205" s="0" t="n">
        <f aca="false">COUNTIF(DU1205:EH1205, "&lt;&gt;")</f>
        <v>1</v>
      </c>
      <c r="AZ1205" s="0" t="n">
        <f aca="false">IF(EH1205&lt;&gt;"",1,0)</f>
        <v>0</v>
      </c>
      <c r="BB1205" s="0" t="s">
        <v>153</v>
      </c>
      <c r="BC1205" s="0" t="s">
        <v>154</v>
      </c>
      <c r="BD1205" s="0" t="s">
        <v>154</v>
      </c>
      <c r="BF1205" s="0" t="s">
        <v>154</v>
      </c>
      <c r="BK1205" s="0" t="s">
        <v>154</v>
      </c>
      <c r="BL1205" s="0" t="s">
        <v>154</v>
      </c>
      <c r="BP1205" s="0" t="s">
        <v>154</v>
      </c>
      <c r="BR1205" s="0" t="s">
        <v>154</v>
      </c>
      <c r="BS1205" s="0" t="s">
        <v>154</v>
      </c>
      <c r="BV1205" s="0" t="s">
        <v>154</v>
      </c>
      <c r="BY1205" s="0" t="s">
        <v>155</v>
      </c>
      <c r="CA1205" s="0" t="s">
        <v>154</v>
      </c>
      <c r="CG1205" s="0" t="s">
        <v>154</v>
      </c>
      <c r="CH1205" s="0" t="s">
        <v>155</v>
      </c>
      <c r="CK1205" s="0" t="s">
        <v>154</v>
      </c>
      <c r="CL1205" s="0" t="s">
        <v>155</v>
      </c>
      <c r="CN1205" s="0" t="s">
        <v>154</v>
      </c>
      <c r="CO1205" s="0" t="s">
        <v>155</v>
      </c>
      <c r="CP1205" s="0" t="s">
        <v>154</v>
      </c>
      <c r="CT1205" s="0" t="s">
        <v>154</v>
      </c>
      <c r="CU1205" s="0" t="s">
        <v>155</v>
      </c>
      <c r="CY1205" s="0" t="s">
        <v>154</v>
      </c>
      <c r="DC1205" s="0" t="s">
        <v>154</v>
      </c>
      <c r="DF1205" s="0" t="s">
        <v>154</v>
      </c>
      <c r="DG1205" s="0" t="s">
        <v>155</v>
      </c>
      <c r="DI1205" s="0" t="s">
        <v>154</v>
      </c>
      <c r="DN1205" s="0" t="s">
        <v>154</v>
      </c>
      <c r="EF1205" s="0" t="s">
        <v>154</v>
      </c>
    </row>
    <row r="1206" customFormat="false" ht="13.8" hidden="true" customHeight="false" outlineLevel="0" collapsed="false">
      <c r="A1206" s="0" t="s">
        <v>5734</v>
      </c>
      <c r="B1206" s="0" t="n">
        <v>78</v>
      </c>
      <c r="C1206" s="0" t="n">
        <v>388265</v>
      </c>
      <c r="D1206" s="0" t="s">
        <v>5735</v>
      </c>
      <c r="E1206" s="0" t="s">
        <v>750</v>
      </c>
      <c r="F1206" s="0" t="str">
        <f aca="false">CONCATENATE(D1206," ",LEFT(H1206,4),"T=",AU1206,"D=",AV1206,"R=",AW1206,"M=",AX1206,"L=",AY1206,"B=",AZ1206)</f>
        <v>SIMPSON JRT=2D=0R=0M=0L=0B=0</v>
      </c>
      <c r="G1206" s="0" t="s">
        <v>502</v>
      </c>
      <c r="H1206" s="0" t="s">
        <v>431</v>
      </c>
      <c r="I1206" s="0" t="s">
        <v>5736</v>
      </c>
      <c r="J1206" s="0" t="s">
        <v>5737</v>
      </c>
      <c r="K1206" s="0" t="s">
        <v>175</v>
      </c>
      <c r="L1206" s="0"/>
      <c r="M1206" s="0" t="s">
        <v>5738</v>
      </c>
      <c r="N1206" s="0" t="str">
        <f aca="false">RIGHT(M1206,LEN(M1206)-FIND(" ",M1206))</f>
        <v>IDYLWILD ST NE</v>
      </c>
      <c r="P1206" s="0" t="s">
        <v>146</v>
      </c>
      <c r="Q1206" s="0" t="s">
        <v>147</v>
      </c>
      <c r="R1206" s="0" t="n">
        <v>44483</v>
      </c>
      <c r="AD1206" s="0" t="s">
        <v>148</v>
      </c>
      <c r="AE1206" s="0" t="s">
        <v>149</v>
      </c>
      <c r="AF1206" s="0" t="s">
        <v>150</v>
      </c>
      <c r="AH1206" s="0" t="n">
        <v>14</v>
      </c>
      <c r="AI1206" s="0" t="n">
        <v>11</v>
      </c>
      <c r="AN1206" s="0" t="s">
        <v>146</v>
      </c>
      <c r="AO1206" s="0" t="s">
        <v>250</v>
      </c>
      <c r="AP1206" s="0" t="s">
        <v>251</v>
      </c>
      <c r="AQ1206" s="0" t="n">
        <v>9</v>
      </c>
      <c r="AR1206" s="0" t="n">
        <v>64</v>
      </c>
      <c r="AS1206" s="0" t="n">
        <v>32</v>
      </c>
      <c r="AU1206" s="0" t="n">
        <f aca="false">COUNTA($BA$2293:$EH$2293)</f>
        <v>2</v>
      </c>
      <c r="AV1206" s="0" t="n">
        <f aca="false">COUNTIF($BA$2293:$EH$2293,"D")</f>
        <v>0</v>
      </c>
      <c r="AW1206" s="0" t="n">
        <f aca="false">COUNTIF($BA$2293:$EH$2293,"R")</f>
        <v>0</v>
      </c>
      <c r="AX1206" s="0" t="n">
        <f aca="false"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>0</v>
      </c>
      <c r="AY1206" s="0" t="n">
        <f aca="false">COUNTIF(DU1206:EH1206, "&lt;&gt;")</f>
        <v>0</v>
      </c>
      <c r="AZ1206" s="0" t="n">
        <f aca="false">IF(EH1206&lt;&gt;"",1,0)</f>
        <v>0</v>
      </c>
      <c r="BB1206" s="0" t="s">
        <v>153</v>
      </c>
    </row>
    <row r="1207" customFormat="false" ht="13.8" hidden="true" customHeight="false" outlineLevel="0" collapsed="false">
      <c r="A1207" s="0" t="s">
        <v>5739</v>
      </c>
      <c r="B1207" s="0" t="n">
        <v>78</v>
      </c>
      <c r="C1207" s="0" t="n">
        <v>277744</v>
      </c>
      <c r="D1207" s="0" t="s">
        <v>5740</v>
      </c>
      <c r="E1207" s="0" t="s">
        <v>266</v>
      </c>
      <c r="F1207" s="0" t="str">
        <f aca="false">CONCATENATE(D1207," ",LEFT(H1207,4),"T=",AU1207,"D=",AV1207,"R=",AW1207,"M=",AX1207,"L=",AY1207,"B=",AZ1207)</f>
        <v>HUMPHREY T=23D=2R=3M=0L=0B=0</v>
      </c>
      <c r="G1207" s="0" t="s">
        <v>297</v>
      </c>
      <c r="I1207" s="0" t="s">
        <v>5741</v>
      </c>
      <c r="J1207" s="0" t="s">
        <v>5742</v>
      </c>
      <c r="K1207" s="0" t="s">
        <v>144</v>
      </c>
      <c r="L1207" s="0"/>
      <c r="M1207" s="0" t="s">
        <v>5738</v>
      </c>
      <c r="N1207" s="0" t="str">
        <f aca="false">RIGHT(M1207,LEN(M1207)-FIND(" ",M1207))</f>
        <v>IDYLWILD ST NE</v>
      </c>
      <c r="P1207" s="0" t="s">
        <v>146</v>
      </c>
      <c r="Q1207" s="0" t="s">
        <v>147</v>
      </c>
      <c r="R1207" s="0" t="n">
        <v>44483</v>
      </c>
      <c r="AD1207" s="0" t="s">
        <v>148</v>
      </c>
      <c r="AE1207" s="0" t="s">
        <v>149</v>
      </c>
      <c r="AF1207" s="0" t="s">
        <v>150</v>
      </c>
      <c r="AH1207" s="0" t="n">
        <v>14</v>
      </c>
      <c r="AI1207" s="0" t="n">
        <v>11</v>
      </c>
      <c r="AN1207" s="0" t="s">
        <v>146</v>
      </c>
      <c r="AO1207" s="0" t="s">
        <v>250</v>
      </c>
      <c r="AP1207" s="0" t="s">
        <v>251</v>
      </c>
      <c r="AQ1207" s="0" t="n">
        <v>9</v>
      </c>
      <c r="AR1207" s="0" t="n">
        <v>64</v>
      </c>
      <c r="AS1207" s="0" t="n">
        <v>32</v>
      </c>
      <c r="AU1207" s="0" t="n">
        <f aca="false">COUNTA($BA$2564:$EH$2564)</f>
        <v>23</v>
      </c>
      <c r="AV1207" s="0" t="n">
        <f aca="false">COUNTIF($BA$2564:$EH$2564,"D")</f>
        <v>2</v>
      </c>
      <c r="AW1207" s="0" t="n">
        <f aca="false">COUNTIF($BA$2564:$EH$2564,"R")</f>
        <v>3</v>
      </c>
      <c r="AX1207" s="0" t="n">
        <f aca="false"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>0</v>
      </c>
      <c r="AY1207" s="0" t="n">
        <f aca="false">COUNTIF(DU1207:EH1207, "&lt;&gt;")</f>
        <v>0</v>
      </c>
      <c r="AZ1207" s="0" t="n">
        <f aca="false">IF(EH1207&lt;&gt;"",1,0)</f>
        <v>0</v>
      </c>
      <c r="BB1207" s="0" t="s">
        <v>153</v>
      </c>
      <c r="BI1207" s="0" t="s">
        <v>154</v>
      </c>
      <c r="BJ1207" s="0" t="s">
        <v>154</v>
      </c>
      <c r="BL1207" s="0" t="s">
        <v>154</v>
      </c>
      <c r="CA1207" s="0" t="s">
        <v>154</v>
      </c>
      <c r="CP1207" s="0" t="s">
        <v>154</v>
      </c>
      <c r="CZ1207" s="0" t="s">
        <v>155</v>
      </c>
    </row>
    <row r="1208" customFormat="false" ht="13.8" hidden="true" customHeight="false" outlineLevel="0" collapsed="false">
      <c r="A1208" s="0" t="s">
        <v>5743</v>
      </c>
      <c r="B1208" s="0" t="n">
        <v>78</v>
      </c>
      <c r="C1208" s="0" t="n">
        <v>464197</v>
      </c>
      <c r="D1208" s="0" t="s">
        <v>1588</v>
      </c>
      <c r="E1208" s="0" t="s">
        <v>5744</v>
      </c>
      <c r="F1208" s="0" t="str">
        <f aca="false">CONCATENATE(D1208," ",LEFT(H1208,4),"T=",AU1208,"D=",AV1208,"R=",AW1208,"M=",AX1208,"L=",AY1208,"B=",AZ1208)</f>
        <v>HALL T=5D=0R=0M=0L=0B=0</v>
      </c>
      <c r="G1208" s="0" t="s">
        <v>5745</v>
      </c>
      <c r="I1208" s="0" t="s">
        <v>5746</v>
      </c>
      <c r="J1208" s="0" t="s">
        <v>5747</v>
      </c>
      <c r="K1208" s="0" t="s">
        <v>175</v>
      </c>
      <c r="L1208" s="0"/>
      <c r="M1208" s="0" t="s">
        <v>5748</v>
      </c>
      <c r="N1208" s="0" t="str">
        <f aca="false">RIGHT(M1208,LEN(M1208)-FIND(" ",M1208))</f>
        <v>IDYLWILD ST NE</v>
      </c>
      <c r="P1208" s="0" t="s">
        <v>146</v>
      </c>
      <c r="Q1208" s="0" t="s">
        <v>147</v>
      </c>
      <c r="R1208" s="0" t="n">
        <v>44483</v>
      </c>
      <c r="AD1208" s="0" t="s">
        <v>148</v>
      </c>
      <c r="AE1208" s="0" t="s">
        <v>149</v>
      </c>
      <c r="AF1208" s="0" t="s">
        <v>150</v>
      </c>
      <c r="AH1208" s="0" t="n">
        <v>14</v>
      </c>
      <c r="AI1208" s="0" t="n">
        <v>11</v>
      </c>
      <c r="AN1208" s="0" t="s">
        <v>146</v>
      </c>
      <c r="AO1208" s="0" t="s">
        <v>250</v>
      </c>
      <c r="AP1208" s="0" t="s">
        <v>251</v>
      </c>
      <c r="AQ1208" s="0" t="n">
        <v>9</v>
      </c>
      <c r="AR1208" s="0" t="n">
        <v>64</v>
      </c>
      <c r="AS1208" s="0" t="n">
        <v>32</v>
      </c>
      <c r="AU1208" s="0" t="n">
        <f aca="false">COUNTA($BA$2377:$EH$2377)</f>
        <v>5</v>
      </c>
      <c r="AV1208" s="0" t="n">
        <f aca="false">COUNTIF($BA$2377:$EH$2377,"D")</f>
        <v>0</v>
      </c>
      <c r="AW1208" s="0" t="n">
        <f aca="false">COUNTIF($BA$2377:$EH$2377,"R")</f>
        <v>0</v>
      </c>
      <c r="AX1208" s="0" t="n">
        <f aca="false"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>0</v>
      </c>
      <c r="AY1208" s="0" t="n">
        <f aca="false">COUNTIF(DU1208:EH1208, "&lt;&gt;")</f>
        <v>0</v>
      </c>
      <c r="AZ1208" s="0" t="n">
        <f aca="false">IF(EH1208&lt;&gt;"",1,0)</f>
        <v>0</v>
      </c>
      <c r="BB1208" s="0" t="s">
        <v>153</v>
      </c>
    </row>
    <row r="1209" customFormat="false" ht="13.8" hidden="true" customHeight="false" outlineLevel="0" collapsed="false">
      <c r="A1209" s="0" t="s">
        <v>5749</v>
      </c>
      <c r="B1209" s="0" t="n">
        <v>78</v>
      </c>
      <c r="C1209" s="0" t="n">
        <v>475789</v>
      </c>
      <c r="D1209" s="0" t="s">
        <v>1501</v>
      </c>
      <c r="E1209" s="0" t="s">
        <v>5750</v>
      </c>
      <c r="F1209" s="0" t="str">
        <f aca="false">CONCATENATE(D1209," ",LEFT(H1209,4),"T=",AU1209,"D=",AV1209,"R=",AW1209,"M=",AX1209,"L=",AY1209,"B=",AZ1209)</f>
        <v>CARMICHAEL T=9D=0R=2M=0L=0B=0</v>
      </c>
      <c r="G1209" s="0" t="s">
        <v>159</v>
      </c>
      <c r="I1209" s="0" t="s">
        <v>5751</v>
      </c>
      <c r="J1209" s="0" t="s">
        <v>1191</v>
      </c>
      <c r="K1209" s="0" t="s">
        <v>175</v>
      </c>
      <c r="L1209" s="0"/>
      <c r="M1209" s="0" t="s">
        <v>5748</v>
      </c>
      <c r="N1209" s="0" t="str">
        <f aca="false">RIGHT(M1209,LEN(M1209)-FIND(" ",M1209))</f>
        <v>IDYLWILD ST NE</v>
      </c>
      <c r="P1209" s="0" t="s">
        <v>146</v>
      </c>
      <c r="Q1209" s="0" t="s">
        <v>147</v>
      </c>
      <c r="R1209" s="0" t="n">
        <v>44483</v>
      </c>
      <c r="AD1209" s="0" t="s">
        <v>148</v>
      </c>
      <c r="AE1209" s="0" t="s">
        <v>149</v>
      </c>
      <c r="AF1209" s="0" t="s">
        <v>150</v>
      </c>
      <c r="AH1209" s="0" t="n">
        <v>14</v>
      </c>
      <c r="AI1209" s="0" t="n">
        <v>11</v>
      </c>
      <c r="AN1209" s="0" t="s">
        <v>146</v>
      </c>
      <c r="AO1209" s="0" t="s">
        <v>250</v>
      </c>
      <c r="AP1209" s="0" t="s">
        <v>251</v>
      </c>
      <c r="AQ1209" s="0" t="n">
        <v>9</v>
      </c>
      <c r="AR1209" s="0" t="n">
        <v>64</v>
      </c>
      <c r="AS1209" s="0" t="n">
        <v>32</v>
      </c>
      <c r="AU1209" s="0" t="n">
        <f aca="false">COUNTA($BA$2696:$EH$2696)</f>
        <v>9</v>
      </c>
      <c r="AV1209" s="0" t="n">
        <f aca="false">COUNTIF($BA$2696:$EH$2696,"D")</f>
        <v>0</v>
      </c>
      <c r="AW1209" s="0" t="n">
        <f aca="false">COUNTIF($BA$2696:$EH$2696,"R")</f>
        <v>2</v>
      </c>
      <c r="AX1209" s="0" t="n">
        <f aca="false"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>0</v>
      </c>
      <c r="AY1209" s="0" t="n">
        <f aca="false">COUNTIF(DU1209:EH1209, "&lt;&gt;")</f>
        <v>0</v>
      </c>
      <c r="AZ1209" s="0" t="n">
        <f aca="false">IF(EH1209&lt;&gt;"",1,0)</f>
        <v>0</v>
      </c>
      <c r="BB1209" s="0" t="s">
        <v>153</v>
      </c>
    </row>
    <row r="1210" customFormat="false" ht="13.8" hidden="false" customHeight="false" outlineLevel="0" collapsed="false">
      <c r="A1210" s="0" t="s">
        <v>5752</v>
      </c>
      <c r="B1210" s="0" t="n">
        <v>78</v>
      </c>
      <c r="C1210" s="0" t="n">
        <v>253486</v>
      </c>
      <c r="D1210" s="0" t="s">
        <v>5753</v>
      </c>
      <c r="E1210" s="0" t="s">
        <v>5754</v>
      </c>
      <c r="F1210" s="0" t="str">
        <f aca="false">CONCATENATE(D1210," ",LEFT(H1210,4),"T=",AU1210,"D=",AV1210,"R=",AW1210,"M=",AX1210,"L=",AY1210,"B=",AZ1210)</f>
        <v>SCRIVENS T=24D=10R=0M=0L=2B=0</v>
      </c>
      <c r="G1210" s="0" t="s">
        <v>241</v>
      </c>
      <c r="I1210" s="0" t="s">
        <v>5755</v>
      </c>
      <c r="J1210" s="0" t="s">
        <v>5756</v>
      </c>
      <c r="K1210" s="0" t="s">
        <v>175</v>
      </c>
      <c r="M1210" s="0" t="s">
        <v>5757</v>
      </c>
      <c r="N1210" s="0" t="str">
        <f aca="false">RIGHT(M1210,LEN(M1210)-FIND(" ",M1210))</f>
        <v>IDYLWILD ST NE</v>
      </c>
      <c r="P1210" s="0" t="s">
        <v>146</v>
      </c>
      <c r="Q1210" s="0" t="s">
        <v>147</v>
      </c>
      <c r="R1210" s="0" t="n">
        <v>44483</v>
      </c>
      <c r="AD1210" s="0" t="s">
        <v>148</v>
      </c>
      <c r="AE1210" s="0" t="s">
        <v>149</v>
      </c>
      <c r="AF1210" s="0" t="s">
        <v>150</v>
      </c>
      <c r="AH1210" s="0" t="n">
        <v>14</v>
      </c>
      <c r="AI1210" s="0" t="n">
        <v>11</v>
      </c>
      <c r="AN1210" s="0" t="s">
        <v>146</v>
      </c>
      <c r="AO1210" s="0" t="s">
        <v>250</v>
      </c>
      <c r="AP1210" s="0" t="s">
        <v>251</v>
      </c>
      <c r="AQ1210" s="0" t="n">
        <v>9</v>
      </c>
      <c r="AR1210" s="0" t="n">
        <v>64</v>
      </c>
      <c r="AS1210" s="0" t="n">
        <v>32</v>
      </c>
      <c r="AU1210" s="0" t="n">
        <f aca="false">COUNTA($BA$2492:$EH$2492)</f>
        <v>24</v>
      </c>
      <c r="AV1210" s="0" t="n">
        <f aca="false">COUNTIF($BA$2492:$EH$2492,"D")</f>
        <v>10</v>
      </c>
      <c r="AW1210" s="0" t="n">
        <f aca="false">COUNTIF($BA$2492:$EH$2492,"R")</f>
        <v>0</v>
      </c>
      <c r="AX1210" s="0" t="n">
        <f aca="false"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>0</v>
      </c>
      <c r="AY1210" s="0" t="n">
        <f aca="false">COUNTIF(DU1210:EH1210, "&lt;&gt;")</f>
        <v>2</v>
      </c>
      <c r="AZ1210" s="0" t="n">
        <f aca="false">IF(EH1210&lt;&gt;"",1,0)</f>
        <v>0</v>
      </c>
      <c r="BB1210" s="0" t="s">
        <v>153</v>
      </c>
      <c r="BL1210" s="0" t="s">
        <v>154</v>
      </c>
      <c r="BS1210" s="0" t="s">
        <v>154</v>
      </c>
      <c r="BY1210" s="0" t="s">
        <v>155</v>
      </c>
      <c r="CA1210" s="0" t="s">
        <v>154</v>
      </c>
      <c r="CG1210" s="0" t="s">
        <v>154</v>
      </c>
      <c r="CN1210" s="0" t="s">
        <v>154</v>
      </c>
      <c r="CP1210" s="0" t="s">
        <v>154</v>
      </c>
      <c r="CY1210" s="0" t="s">
        <v>154</v>
      </c>
      <c r="DC1210" s="0" t="s">
        <v>154</v>
      </c>
      <c r="DI1210" s="0" t="s">
        <v>154</v>
      </c>
      <c r="DN1210" s="0" t="s">
        <v>154</v>
      </c>
      <c r="DU1210" s="0" t="s">
        <v>154</v>
      </c>
      <c r="EF1210" s="0" t="s">
        <v>154</v>
      </c>
    </row>
    <row r="1211" customFormat="false" ht="13.8" hidden="true" customHeight="false" outlineLevel="0" collapsed="false">
      <c r="A1211" s="0" t="s">
        <v>5758</v>
      </c>
      <c r="B1211" s="0" t="n">
        <v>78</v>
      </c>
      <c r="C1211" s="0" t="n">
        <v>364124</v>
      </c>
      <c r="D1211" s="0" t="s">
        <v>5753</v>
      </c>
      <c r="E1211" s="0" t="s">
        <v>5759</v>
      </c>
      <c r="F1211" s="0" t="str">
        <f aca="false">CONCATENATE(D1211," ",LEFT(H1211,4),"T=",AU1211,"D=",AV1211,"R=",AW1211,"M=",AX1211,"L=",AY1211,"B=",AZ1211)</f>
        <v>SCRIVENS T=21D=2R=2M=0L=0B=0</v>
      </c>
      <c r="G1211" s="0" t="s">
        <v>297</v>
      </c>
      <c r="I1211" s="0" t="s">
        <v>5760</v>
      </c>
      <c r="J1211" s="0" t="s">
        <v>5756</v>
      </c>
      <c r="K1211" s="0" t="s">
        <v>175</v>
      </c>
      <c r="L1211" s="0"/>
      <c r="M1211" s="0" t="s">
        <v>5757</v>
      </c>
      <c r="N1211" s="0" t="str">
        <f aca="false">RIGHT(M1211,LEN(M1211)-FIND(" ",M1211))</f>
        <v>IDYLWILD ST NE</v>
      </c>
      <c r="P1211" s="0" t="s">
        <v>146</v>
      </c>
      <c r="Q1211" s="0" t="s">
        <v>147</v>
      </c>
      <c r="R1211" s="0" t="n">
        <v>44483</v>
      </c>
      <c r="AD1211" s="0" t="s">
        <v>148</v>
      </c>
      <c r="AE1211" s="0" t="s">
        <v>149</v>
      </c>
      <c r="AF1211" s="0" t="s">
        <v>150</v>
      </c>
      <c r="AH1211" s="0" t="n">
        <v>14</v>
      </c>
      <c r="AI1211" s="0" t="n">
        <v>11</v>
      </c>
      <c r="AN1211" s="0" t="s">
        <v>146</v>
      </c>
      <c r="AO1211" s="0" t="s">
        <v>250</v>
      </c>
      <c r="AP1211" s="0" t="s">
        <v>251</v>
      </c>
      <c r="AQ1211" s="0" t="n">
        <v>9</v>
      </c>
      <c r="AR1211" s="0" t="n">
        <v>64</v>
      </c>
      <c r="AS1211" s="0" t="n">
        <v>32</v>
      </c>
      <c r="AU1211" s="0" t="n">
        <f aca="false">COUNTA($BA$2499:$EH$2499)</f>
        <v>21</v>
      </c>
      <c r="AV1211" s="0" t="n">
        <f aca="false">COUNTIF($BA$2499:$EH$2499,"D")</f>
        <v>2</v>
      </c>
      <c r="AW1211" s="0" t="n">
        <f aca="false">COUNTIF($BA$2499:$EH$2499,"R")</f>
        <v>2</v>
      </c>
      <c r="AX1211" s="0" t="n">
        <f aca="false"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>0</v>
      </c>
      <c r="AY1211" s="0" t="n">
        <f aca="false">COUNTIF(DU1211:EH1211, "&lt;&gt;")</f>
        <v>0</v>
      </c>
      <c r="AZ1211" s="0" t="n">
        <f aca="false">IF(EH1211&lt;&gt;"",1,0)</f>
        <v>0</v>
      </c>
      <c r="BB1211" s="0" t="s">
        <v>153</v>
      </c>
      <c r="CA1211" s="0" t="s">
        <v>154</v>
      </c>
      <c r="CG1211" s="0" t="s">
        <v>154</v>
      </c>
      <c r="CP1211" s="0" t="s">
        <v>154</v>
      </c>
      <c r="CV1211" s="0" t="s">
        <v>154</v>
      </c>
      <c r="CY1211" s="0" t="s">
        <v>154</v>
      </c>
      <c r="DC1211" s="0" t="s">
        <v>154</v>
      </c>
    </row>
    <row r="1212" customFormat="false" ht="13.8" hidden="true" customHeight="false" outlineLevel="0" collapsed="false">
      <c r="A1212" s="0" t="s">
        <v>5761</v>
      </c>
      <c r="B1212" s="0" t="n">
        <v>78</v>
      </c>
      <c r="C1212" s="0" t="n">
        <v>328434</v>
      </c>
      <c r="D1212" s="0" t="s">
        <v>494</v>
      </c>
      <c r="E1212" s="0" t="s">
        <v>2303</v>
      </c>
      <c r="F1212" s="0" t="str">
        <f aca="false">CONCATENATE(D1212," ",LEFT(H1212,4),"T=",AU1212,"D=",AV1212,"R=",AW1212,"M=",AX1212,"L=",AY1212,"B=",AZ1212)</f>
        <v>KIRK JRT=1D=0R=0M=0L=1B=0</v>
      </c>
      <c r="G1212" s="0" t="s">
        <v>297</v>
      </c>
      <c r="H1212" s="0" t="s">
        <v>431</v>
      </c>
      <c r="I1212" s="0" t="s">
        <v>5762</v>
      </c>
      <c r="J1212" s="0" t="s">
        <v>1759</v>
      </c>
      <c r="K1212" s="0" t="s">
        <v>175</v>
      </c>
      <c r="L1212" s="0"/>
      <c r="M1212" s="0" t="s">
        <v>5763</v>
      </c>
      <c r="N1212" s="0" t="str">
        <f aca="false">RIGHT(M1212,LEN(M1212)-FIND(" ",M1212))</f>
        <v>IDYLWILD ST NE</v>
      </c>
      <c r="P1212" s="0" t="s">
        <v>146</v>
      </c>
      <c r="Q1212" s="0" t="s">
        <v>147</v>
      </c>
      <c r="R1212" s="0" t="n">
        <v>44483</v>
      </c>
      <c r="AD1212" s="0" t="s">
        <v>148</v>
      </c>
      <c r="AE1212" s="0" t="s">
        <v>149</v>
      </c>
      <c r="AF1212" s="0" t="s">
        <v>150</v>
      </c>
      <c r="AH1212" s="0" t="n">
        <v>14</v>
      </c>
      <c r="AI1212" s="0" t="n">
        <v>11</v>
      </c>
      <c r="AN1212" s="0" t="s">
        <v>146</v>
      </c>
      <c r="AO1212" s="0" t="s">
        <v>250</v>
      </c>
      <c r="AP1212" s="0" t="s">
        <v>251</v>
      </c>
      <c r="AQ1212" s="0" t="n">
        <v>9</v>
      </c>
      <c r="AR1212" s="0" t="n">
        <v>64</v>
      </c>
      <c r="AS1212" s="0" t="n">
        <v>32</v>
      </c>
      <c r="AU1212" s="0" t="n">
        <f aca="false">COUNTA($BA$2149:$EH$2149)</f>
        <v>1</v>
      </c>
      <c r="AV1212" s="0" t="n">
        <f aca="false">COUNTIF($BA$2149:$EH$2149,"D")</f>
        <v>0</v>
      </c>
      <c r="AW1212" s="0" t="n">
        <f aca="false">COUNTIF($BA$2149:$EH$2149,"R")</f>
        <v>0</v>
      </c>
      <c r="AX1212" s="0" t="n">
        <f aca="false"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>0</v>
      </c>
      <c r="AY1212" s="0" t="n">
        <f aca="false">COUNTIF(DU1212:EH1212, "&lt;&gt;")</f>
        <v>1</v>
      </c>
      <c r="AZ1212" s="0" t="n">
        <f aca="false">IF(EH1212&lt;&gt;"",1,0)</f>
        <v>0</v>
      </c>
      <c r="BB1212" s="0" t="s">
        <v>153</v>
      </c>
      <c r="BL1212" s="0" t="s">
        <v>154</v>
      </c>
      <c r="CA1212" s="0" t="s">
        <v>154</v>
      </c>
      <c r="CP1212" s="0" t="s">
        <v>154</v>
      </c>
      <c r="DN1212" s="0" t="s">
        <v>154</v>
      </c>
      <c r="EF1212" s="0" t="s">
        <v>154</v>
      </c>
    </row>
    <row r="1213" customFormat="false" ht="13.8" hidden="true" customHeight="false" outlineLevel="0" collapsed="false">
      <c r="A1213" s="0" t="s">
        <v>5764</v>
      </c>
      <c r="B1213" s="0" t="n">
        <v>78</v>
      </c>
      <c r="C1213" s="0" t="n">
        <v>403478</v>
      </c>
      <c r="D1213" s="0" t="s">
        <v>494</v>
      </c>
      <c r="E1213" s="0" t="s">
        <v>1232</v>
      </c>
      <c r="F1213" s="0" t="str">
        <f aca="false">CONCATENATE(D1213," ",LEFT(H1213,4),"T=",AU1213,"D=",AV1213,"R=",AW1213,"M=",AX1213,"L=",AY1213,"B=",AZ1213)</f>
        <v>KIRK T=3D=0R=0M=0L=1B=0</v>
      </c>
      <c r="G1213" s="0" t="s">
        <v>222</v>
      </c>
      <c r="I1213" s="0" t="s">
        <v>5765</v>
      </c>
      <c r="J1213" s="0" t="s">
        <v>5766</v>
      </c>
      <c r="K1213" s="0" t="s">
        <v>175</v>
      </c>
      <c r="L1213" s="0"/>
      <c r="M1213" s="0" t="s">
        <v>5763</v>
      </c>
      <c r="N1213" s="0" t="str">
        <f aca="false">RIGHT(M1213,LEN(M1213)-FIND(" ",M1213))</f>
        <v>IDYLWILD ST NE</v>
      </c>
      <c r="P1213" s="0" t="s">
        <v>146</v>
      </c>
      <c r="Q1213" s="0" t="s">
        <v>147</v>
      </c>
      <c r="R1213" s="0" t="n">
        <v>44483</v>
      </c>
      <c r="AD1213" s="0" t="s">
        <v>148</v>
      </c>
      <c r="AE1213" s="0" t="s">
        <v>149</v>
      </c>
      <c r="AF1213" s="0" t="s">
        <v>150</v>
      </c>
      <c r="AH1213" s="0" t="n">
        <v>14</v>
      </c>
      <c r="AI1213" s="0" t="n">
        <v>11</v>
      </c>
      <c r="AN1213" s="0" t="s">
        <v>146</v>
      </c>
      <c r="AO1213" s="0" t="s">
        <v>250</v>
      </c>
      <c r="AP1213" s="0" t="s">
        <v>251</v>
      </c>
      <c r="AQ1213" s="0" t="n">
        <v>9</v>
      </c>
      <c r="AR1213" s="0" t="n">
        <v>64</v>
      </c>
      <c r="AS1213" s="0" t="n">
        <v>32</v>
      </c>
      <c r="AU1213" s="0" t="n">
        <f aca="false">COUNTA($BA$2568:$EH$2568)</f>
        <v>3</v>
      </c>
      <c r="AV1213" s="0" t="n">
        <f aca="false">COUNTIF($BA$2568:$EH$2568,"D")</f>
        <v>0</v>
      </c>
      <c r="AW1213" s="0" t="n">
        <f aca="false">COUNTIF($BA$2568:$EH$2568,"R")</f>
        <v>0</v>
      </c>
      <c r="AX1213" s="0" t="n">
        <f aca="false"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>0</v>
      </c>
      <c r="AY1213" s="0" t="n">
        <f aca="false">COUNTIF(DU1213:EH1213, "&lt;&gt;")</f>
        <v>1</v>
      </c>
      <c r="AZ1213" s="0" t="n">
        <f aca="false">IF(EH1213&lt;&gt;"",1,0)</f>
        <v>0</v>
      </c>
      <c r="BB1213" s="0" t="s">
        <v>153</v>
      </c>
      <c r="BL1213" s="0" t="s">
        <v>154</v>
      </c>
      <c r="CA1213" s="0" t="s">
        <v>154</v>
      </c>
      <c r="CP1213" s="0" t="s">
        <v>154</v>
      </c>
      <c r="DI1213" s="0" t="s">
        <v>154</v>
      </c>
      <c r="DN1213" s="0" t="s">
        <v>154</v>
      </c>
      <c r="EF1213" s="0" t="s">
        <v>154</v>
      </c>
    </row>
    <row r="1214" customFormat="false" ht="13.8" hidden="true" customHeight="false" outlineLevel="0" collapsed="false">
      <c r="A1214" s="0" t="s">
        <v>5767</v>
      </c>
      <c r="B1214" s="0" t="n">
        <v>78</v>
      </c>
      <c r="C1214" s="0" t="n">
        <v>409068</v>
      </c>
      <c r="D1214" s="0" t="s">
        <v>5768</v>
      </c>
      <c r="E1214" s="0" t="s">
        <v>3775</v>
      </c>
      <c r="F1214" s="0" t="str">
        <f aca="false">CONCATENATE(D1214," ",LEFT(H1214,4),"T=",AU1214,"D=",AV1214,"R=",AW1214,"M=",AX1214,"L=",AY1214,"B=",AZ1214)</f>
        <v>BARTON IIIT=7D=0R=0M=0L=0B=0</v>
      </c>
      <c r="G1214" s="0" t="s">
        <v>317</v>
      </c>
      <c r="H1214" s="0" t="s">
        <v>1175</v>
      </c>
      <c r="I1214" s="0" t="s">
        <v>5769</v>
      </c>
      <c r="J1214" s="0" t="s">
        <v>5770</v>
      </c>
      <c r="K1214" s="0" t="s">
        <v>144</v>
      </c>
      <c r="L1214" s="0"/>
      <c r="M1214" s="0" t="s">
        <v>5771</v>
      </c>
      <c r="N1214" s="0" t="str">
        <f aca="false">RIGHT(M1214,LEN(M1214)-FIND(" ",M1214))</f>
        <v>IDYLWILD ST NE</v>
      </c>
      <c r="P1214" s="0" t="s">
        <v>146</v>
      </c>
      <c r="Q1214" s="0" t="s">
        <v>147</v>
      </c>
      <c r="R1214" s="0" t="n">
        <v>44483</v>
      </c>
      <c r="AD1214" s="0" t="s">
        <v>148</v>
      </c>
      <c r="AE1214" s="0" t="s">
        <v>149</v>
      </c>
      <c r="AF1214" s="0" t="s">
        <v>150</v>
      </c>
      <c r="AH1214" s="0" t="n">
        <v>14</v>
      </c>
      <c r="AI1214" s="0" t="n">
        <v>11</v>
      </c>
      <c r="AN1214" s="0" t="s">
        <v>146</v>
      </c>
      <c r="AO1214" s="0" t="s">
        <v>250</v>
      </c>
      <c r="AP1214" s="0" t="s">
        <v>251</v>
      </c>
      <c r="AQ1214" s="0" t="n">
        <v>9</v>
      </c>
      <c r="AR1214" s="0" t="n">
        <v>64</v>
      </c>
      <c r="AS1214" s="0" t="n">
        <v>32</v>
      </c>
      <c r="AU1214" s="0" t="n">
        <f aca="false">COUNTA($BA$2599:$EH$2599)</f>
        <v>7</v>
      </c>
      <c r="AV1214" s="0" t="n">
        <f aca="false">COUNTIF($BA$2599:$EH$2599,"D")</f>
        <v>0</v>
      </c>
      <c r="AW1214" s="0" t="n">
        <f aca="false">COUNTIF($BA$2599:$EH$2599,"R")</f>
        <v>0</v>
      </c>
      <c r="AX1214" s="0" t="n">
        <f aca="false"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>0</v>
      </c>
      <c r="AY1214" s="0" t="n">
        <f aca="false">COUNTIF(DU1214:EH1214, "&lt;&gt;")</f>
        <v>0</v>
      </c>
      <c r="AZ1214" s="0" t="n">
        <f aca="false">IF(EH1214&lt;&gt;"",1,0)</f>
        <v>0</v>
      </c>
      <c r="BB1214" s="0" t="s">
        <v>153</v>
      </c>
    </row>
    <row r="1215" customFormat="false" ht="13.8" hidden="false" customHeight="false" outlineLevel="0" collapsed="false">
      <c r="A1215" s="0" t="s">
        <v>5772</v>
      </c>
      <c r="B1215" s="0" t="n">
        <v>78</v>
      </c>
      <c r="C1215" s="0" t="n">
        <v>435803</v>
      </c>
      <c r="D1215" s="0" t="s">
        <v>4706</v>
      </c>
      <c r="E1215" s="0" t="s">
        <v>2389</v>
      </c>
      <c r="F1215" s="0" t="str">
        <f aca="false">CONCATENATE(D1215," ",LEFT(H1215,4),"T=",AU1215,"D=",AV1215,"R=",AW1215,"M=",AX1215,"L=",AY1215,"B=",AZ1215)</f>
        <v>GINKINGER T=27D=5R=0M=1L=4B=1</v>
      </c>
      <c r="G1215" s="0" t="s">
        <v>172</v>
      </c>
      <c r="I1215" s="0" t="s">
        <v>5773</v>
      </c>
      <c r="J1215" s="0" t="s">
        <v>5774</v>
      </c>
      <c r="K1215" s="0" t="s">
        <v>175</v>
      </c>
      <c r="L1215" s="1" t="s">
        <v>155</v>
      </c>
      <c r="M1215" s="0" t="s">
        <v>5775</v>
      </c>
      <c r="N1215" s="0" t="str">
        <f aca="false">RIGHT(M1215,LEN(M1215)-FIND(" ",M1215))</f>
        <v>IDYLWILD ST NE</v>
      </c>
      <c r="P1215" s="0" t="s">
        <v>146</v>
      </c>
      <c r="Q1215" s="0" t="s">
        <v>147</v>
      </c>
      <c r="R1215" s="0" t="n">
        <v>44483</v>
      </c>
      <c r="AD1215" s="0" t="s">
        <v>148</v>
      </c>
      <c r="AE1215" s="0" t="s">
        <v>149</v>
      </c>
      <c r="AF1215" s="0" t="s">
        <v>150</v>
      </c>
      <c r="AH1215" s="0" t="n">
        <v>14</v>
      </c>
      <c r="AI1215" s="0" t="n">
        <v>11</v>
      </c>
      <c r="AN1215" s="0" t="s">
        <v>146</v>
      </c>
      <c r="AO1215" s="0" t="s">
        <v>250</v>
      </c>
      <c r="AP1215" s="0" t="s">
        <v>251</v>
      </c>
      <c r="AQ1215" s="0" t="n">
        <v>9</v>
      </c>
      <c r="AR1215" s="0" t="n">
        <v>64</v>
      </c>
      <c r="AS1215" s="0" t="n">
        <v>32</v>
      </c>
      <c r="AU1215" s="0" t="n">
        <f aca="false">COUNTA($BA$2207:$EH$2207)</f>
        <v>27</v>
      </c>
      <c r="AV1215" s="0" t="n">
        <f aca="false">COUNTIF($BA$2207:$EH$2207,"D")</f>
        <v>5</v>
      </c>
      <c r="AW1215" s="0" t="n">
        <f aca="false">COUNTIF($BA$2207:$EH$2207,"R")</f>
        <v>0</v>
      </c>
      <c r="AX1215" s="0" t="n">
        <f aca="false"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>1</v>
      </c>
      <c r="AY1215" s="0" t="n">
        <f aca="false">COUNTIF(DU1215:EH1215, "&lt;&gt;")</f>
        <v>4</v>
      </c>
      <c r="AZ1215" s="0" t="n">
        <f aca="false">IF(EH1215&lt;&gt;"",1,0)</f>
        <v>1</v>
      </c>
      <c r="BB1215" s="0" t="s">
        <v>153</v>
      </c>
      <c r="DI1215" s="0" t="s">
        <v>154</v>
      </c>
      <c r="DM1215" s="0" t="s">
        <v>155</v>
      </c>
      <c r="DN1215" s="0" t="s">
        <v>154</v>
      </c>
      <c r="DR1215" s="0" t="s">
        <v>154</v>
      </c>
      <c r="DS1215" s="0" t="s">
        <v>155</v>
      </c>
      <c r="DU1215" s="0" t="s">
        <v>154</v>
      </c>
      <c r="EA1215" s="0" t="s">
        <v>154</v>
      </c>
      <c r="EF1215" s="0" t="s">
        <v>154</v>
      </c>
      <c r="EH1215" s="0" t="s">
        <v>155</v>
      </c>
    </row>
    <row r="1216" customFormat="false" ht="13.8" hidden="false" customHeight="false" outlineLevel="0" collapsed="false">
      <c r="A1216" s="0" t="s">
        <v>5776</v>
      </c>
      <c r="B1216" s="0" t="n">
        <v>78</v>
      </c>
      <c r="C1216" s="0" t="n">
        <v>311851</v>
      </c>
      <c r="D1216" s="0" t="s">
        <v>1027</v>
      </c>
      <c r="E1216" s="0" t="s">
        <v>2335</v>
      </c>
      <c r="F1216" s="0" t="str">
        <f aca="false">CONCATENATE(D1216," ",LEFT(H1216,4),"T=",AU1216,"D=",AV1216,"R=",AW1216,"M=",AX1216,"L=",AY1216,"B=",AZ1216)</f>
        <v>MARTIN T=1D=0R=0M=4L=3B=0</v>
      </c>
      <c r="G1216" s="0" t="s">
        <v>241</v>
      </c>
      <c r="I1216" s="0" t="s">
        <v>5777</v>
      </c>
      <c r="J1216" s="0" t="s">
        <v>5778</v>
      </c>
      <c r="K1216" s="0" t="s">
        <v>175</v>
      </c>
      <c r="L1216" s="1" t="s">
        <v>155</v>
      </c>
      <c r="M1216" s="0" t="s">
        <v>5779</v>
      </c>
      <c r="N1216" s="0" t="str">
        <f aca="false">RIGHT(M1216,LEN(M1216)-FIND(" ",M1216))</f>
        <v>IDYLWILD ST NE</v>
      </c>
      <c r="P1216" s="0" t="s">
        <v>146</v>
      </c>
      <c r="Q1216" s="0" t="s">
        <v>147</v>
      </c>
      <c r="R1216" s="0" t="n">
        <v>44483</v>
      </c>
      <c r="AD1216" s="0" t="s">
        <v>148</v>
      </c>
      <c r="AE1216" s="0" t="s">
        <v>149</v>
      </c>
      <c r="AF1216" s="0" t="s">
        <v>150</v>
      </c>
      <c r="AH1216" s="0" t="n">
        <v>14</v>
      </c>
      <c r="AI1216" s="0" t="n">
        <v>11</v>
      </c>
      <c r="AN1216" s="0" t="s">
        <v>146</v>
      </c>
      <c r="AO1216" s="0" t="s">
        <v>250</v>
      </c>
      <c r="AP1216" s="0" t="s">
        <v>251</v>
      </c>
      <c r="AQ1216" s="0" t="n">
        <v>9</v>
      </c>
      <c r="AR1216" s="0" t="n">
        <v>64</v>
      </c>
      <c r="AS1216" s="0" t="n">
        <v>32</v>
      </c>
      <c r="AU1216" s="0" t="n">
        <f aca="false">COUNTA($BA$2479:$EH$2479)</f>
        <v>1</v>
      </c>
      <c r="AV1216" s="0" t="n">
        <f aca="false">COUNTIF($BA$2479:$EH$2479,"D")</f>
        <v>0</v>
      </c>
      <c r="AW1216" s="0" t="n">
        <f aca="false">COUNTIF($BA$2479:$EH$2479,"R")</f>
        <v>0</v>
      </c>
      <c r="AX1216" s="0" t="n">
        <f aca="false"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>4</v>
      </c>
      <c r="AY1216" s="0" t="n">
        <f aca="false">COUNTIF(DU1216:EH1216, "&lt;&gt;")</f>
        <v>3</v>
      </c>
      <c r="AZ1216" s="0" t="n">
        <f aca="false">IF(EH1216&lt;&gt;"",1,0)</f>
        <v>0</v>
      </c>
      <c r="BB1216" s="0" t="s">
        <v>153</v>
      </c>
      <c r="BK1216" s="0" t="s">
        <v>154</v>
      </c>
      <c r="BL1216" s="0" t="s">
        <v>154</v>
      </c>
      <c r="BR1216" s="0" t="s">
        <v>154</v>
      </c>
      <c r="BS1216" s="0" t="s">
        <v>154</v>
      </c>
      <c r="CA1216" s="0" t="s">
        <v>154</v>
      </c>
      <c r="CG1216" s="0" t="s">
        <v>154</v>
      </c>
      <c r="CK1216" s="0" t="s">
        <v>154</v>
      </c>
      <c r="CL1216" s="0" t="s">
        <v>155</v>
      </c>
      <c r="CN1216" s="0" t="s">
        <v>154</v>
      </c>
      <c r="CP1216" s="0" t="s">
        <v>154</v>
      </c>
      <c r="CT1216" s="0" t="s">
        <v>154</v>
      </c>
      <c r="CU1216" s="0" t="s">
        <v>155</v>
      </c>
      <c r="CV1216" s="0" t="s">
        <v>154</v>
      </c>
      <c r="CW1216" s="0" t="s">
        <v>155</v>
      </c>
      <c r="CY1216" s="0" t="s">
        <v>154</v>
      </c>
      <c r="CZ1216" s="0" t="s">
        <v>155</v>
      </c>
      <c r="DC1216" s="0" t="s">
        <v>154</v>
      </c>
      <c r="DD1216" s="0" t="s">
        <v>155</v>
      </c>
      <c r="DF1216" s="0" t="s">
        <v>154</v>
      </c>
      <c r="DI1216" s="0" t="s">
        <v>154</v>
      </c>
      <c r="DL1216" s="0" t="s">
        <v>154</v>
      </c>
      <c r="DN1216" s="0" t="s">
        <v>154</v>
      </c>
      <c r="DO1216" s="0" t="s">
        <v>155</v>
      </c>
      <c r="DR1216" s="0" t="s">
        <v>154</v>
      </c>
      <c r="DS1216" s="0" t="s">
        <v>155</v>
      </c>
      <c r="DU1216" s="0" t="s">
        <v>154</v>
      </c>
      <c r="EA1216" s="0" t="s">
        <v>154</v>
      </c>
      <c r="EF1216" s="0" t="s">
        <v>154</v>
      </c>
    </row>
    <row r="1217" customFormat="false" ht="13.8" hidden="true" customHeight="false" outlineLevel="0" collapsed="false">
      <c r="A1217" s="0" t="s">
        <v>5780</v>
      </c>
      <c r="B1217" s="0" t="n">
        <v>78</v>
      </c>
      <c r="C1217" s="0" t="n">
        <v>473505</v>
      </c>
      <c r="D1217" s="0" t="s">
        <v>5781</v>
      </c>
      <c r="E1217" s="0" t="s">
        <v>5782</v>
      </c>
      <c r="F1217" s="0" t="str">
        <f aca="false">CONCATENATE(D1217," ",LEFT(H1217,4),"T=",AU1217,"D=",AV1217,"R=",AW1217,"M=",AX1217,"L=",AY1217,"B=",AZ1217)</f>
        <v>CONLEY T=2D=0R=0M=0L=0B=0</v>
      </c>
      <c r="G1217" s="0" t="s">
        <v>1536</v>
      </c>
      <c r="I1217" s="0" t="s">
        <v>5783</v>
      </c>
      <c r="J1217" s="0" t="s">
        <v>5784</v>
      </c>
      <c r="K1217" s="0" t="s">
        <v>175</v>
      </c>
      <c r="L1217" s="0"/>
      <c r="M1217" s="0" t="s">
        <v>5785</v>
      </c>
      <c r="N1217" s="0" t="str">
        <f aca="false">RIGHT(M1217,LEN(M1217)-FIND(" ",M1217))</f>
        <v>IDYLWILD ST NE</v>
      </c>
      <c r="P1217" s="0" t="s">
        <v>146</v>
      </c>
      <c r="Q1217" s="0" t="s">
        <v>147</v>
      </c>
      <c r="R1217" s="0" t="n">
        <v>44483</v>
      </c>
      <c r="AD1217" s="0" t="s">
        <v>148</v>
      </c>
      <c r="AE1217" s="0" t="s">
        <v>149</v>
      </c>
      <c r="AF1217" s="0" t="s">
        <v>150</v>
      </c>
      <c r="AH1217" s="0" t="n">
        <v>14</v>
      </c>
      <c r="AI1217" s="0" t="n">
        <v>11</v>
      </c>
      <c r="AN1217" s="0" t="s">
        <v>146</v>
      </c>
      <c r="AO1217" s="0" t="s">
        <v>250</v>
      </c>
      <c r="AP1217" s="0" t="s">
        <v>251</v>
      </c>
      <c r="AQ1217" s="0" t="n">
        <v>9</v>
      </c>
      <c r="AR1217" s="0" t="n">
        <v>64</v>
      </c>
      <c r="AS1217" s="0" t="n">
        <v>32</v>
      </c>
      <c r="AU1217" s="0" t="n">
        <f aca="false">COUNTA($BA$2368:$EH$2368)</f>
        <v>2</v>
      </c>
      <c r="AV1217" s="0" t="n">
        <f aca="false">COUNTIF($BA$2368:$EH$2368,"D")</f>
        <v>0</v>
      </c>
      <c r="AW1217" s="0" t="n">
        <f aca="false">COUNTIF($BA$2368:$EH$2368,"R")</f>
        <v>0</v>
      </c>
      <c r="AX1217" s="0" t="n">
        <f aca="false"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>0</v>
      </c>
      <c r="AY1217" s="0" t="n">
        <f aca="false">COUNTIF(DU1217:EH1217, "&lt;&gt;")</f>
        <v>0</v>
      </c>
      <c r="AZ1217" s="0" t="n">
        <f aca="false">IF(EH1217&lt;&gt;"",1,0)</f>
        <v>0</v>
      </c>
      <c r="BB1217" s="0" t="s">
        <v>153</v>
      </c>
    </row>
    <row r="1218" customFormat="false" ht="13.8" hidden="false" customHeight="false" outlineLevel="0" collapsed="false">
      <c r="A1218" s="0" t="s">
        <v>5786</v>
      </c>
      <c r="B1218" s="0" t="n">
        <v>78</v>
      </c>
      <c r="C1218" s="0" t="n">
        <v>163639</v>
      </c>
      <c r="D1218" s="0" t="s">
        <v>2275</v>
      </c>
      <c r="E1218" s="0" t="s">
        <v>5787</v>
      </c>
      <c r="F1218" s="0" t="str">
        <f aca="false">CONCATENATE(D1218," ",LEFT(H1218,4),"T=",AU1218,"D=",AV1218,"R=",AW1218,"M=",AX1218,"L=",AY1218,"B=",AZ1218)</f>
        <v>BENDER T=2D=0R=0M=0L=4B=0</v>
      </c>
      <c r="I1218" s="0" t="s">
        <v>5788</v>
      </c>
      <c r="J1218" s="0" t="s">
        <v>3797</v>
      </c>
      <c r="K1218" s="0" t="s">
        <v>175</v>
      </c>
      <c r="L1218" s="1" t="s">
        <v>155</v>
      </c>
      <c r="M1218" s="0" t="s">
        <v>5789</v>
      </c>
      <c r="N1218" s="0" t="str">
        <f aca="false">RIGHT(M1218,LEN(M1218)-FIND(" ",M1218))</f>
        <v>IDYLWILD ST NE</v>
      </c>
      <c r="P1218" s="0" t="s">
        <v>146</v>
      </c>
      <c r="Q1218" s="0" t="s">
        <v>147</v>
      </c>
      <c r="R1218" s="0" t="n">
        <v>44483</v>
      </c>
      <c r="V1218" s="0" t="s">
        <v>5790</v>
      </c>
      <c r="X1218" s="0" t="s">
        <v>146</v>
      </c>
      <c r="Y1218" s="0" t="s">
        <v>147</v>
      </c>
      <c r="Z1218" s="0" t="n">
        <v>44482</v>
      </c>
      <c r="AD1218" s="0" t="s">
        <v>148</v>
      </c>
      <c r="AE1218" s="0" t="s">
        <v>149</v>
      </c>
      <c r="AF1218" s="0" t="s">
        <v>150</v>
      </c>
      <c r="AH1218" s="0" t="n">
        <v>14</v>
      </c>
      <c r="AI1218" s="0" t="n">
        <v>11</v>
      </c>
      <c r="AN1218" s="0" t="s">
        <v>146</v>
      </c>
      <c r="AO1218" s="0" t="s">
        <v>250</v>
      </c>
      <c r="AP1218" s="0" t="s">
        <v>251</v>
      </c>
      <c r="AQ1218" s="0" t="n">
        <v>9</v>
      </c>
      <c r="AR1218" s="0" t="n">
        <v>64</v>
      </c>
      <c r="AS1218" s="0" t="n">
        <v>32</v>
      </c>
      <c r="AU1218" s="0" t="n">
        <f aca="false">COUNTA($BA$2489:$EH$2489)</f>
        <v>2</v>
      </c>
      <c r="AV1218" s="0" t="n">
        <f aca="false">COUNTIF($BA$2489:$EH$2489,"D")</f>
        <v>0</v>
      </c>
      <c r="AW1218" s="0" t="n">
        <f aca="false">COUNTIF($BA$2489:$EH$2489,"R")</f>
        <v>0</v>
      </c>
      <c r="AX1218" s="0" t="n">
        <f aca="false"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>0</v>
      </c>
      <c r="AY1218" s="0" t="n">
        <f aca="false">COUNTIF(DU1218:EH1218, "&lt;&gt;")</f>
        <v>4</v>
      </c>
      <c r="AZ1218" s="0" t="n">
        <f aca="false">IF(EH1218&lt;&gt;"",1,0)</f>
        <v>0</v>
      </c>
      <c r="BB1218" s="0" t="s">
        <v>153</v>
      </c>
      <c r="BC1218" s="0" t="s">
        <v>154</v>
      </c>
      <c r="BD1218" s="0" t="s">
        <v>154</v>
      </c>
      <c r="BH1218" s="0" t="s">
        <v>154</v>
      </c>
      <c r="BI1218" s="0" t="s">
        <v>154</v>
      </c>
      <c r="BL1218" s="0" t="s">
        <v>154</v>
      </c>
      <c r="BR1218" s="0" t="s">
        <v>154</v>
      </c>
      <c r="BS1218" s="0" t="s">
        <v>154</v>
      </c>
      <c r="BY1218" s="0" t="s">
        <v>155</v>
      </c>
      <c r="CA1218" s="0" t="s">
        <v>154</v>
      </c>
      <c r="CG1218" s="0" t="s">
        <v>154</v>
      </c>
      <c r="CH1218" s="0" t="s">
        <v>155</v>
      </c>
      <c r="CK1218" s="0" t="s">
        <v>154</v>
      </c>
      <c r="CN1218" s="0" t="s">
        <v>154</v>
      </c>
      <c r="CP1218" s="0" t="s">
        <v>154</v>
      </c>
      <c r="CV1218" s="0" t="s">
        <v>154</v>
      </c>
      <c r="CY1218" s="0" t="s">
        <v>154</v>
      </c>
      <c r="CZ1218" s="0" t="s">
        <v>155</v>
      </c>
      <c r="DC1218" s="0" t="s">
        <v>154</v>
      </c>
      <c r="DI1218" s="0" t="s">
        <v>154</v>
      </c>
      <c r="DL1218" s="0" t="s">
        <v>154</v>
      </c>
      <c r="DM1218" s="0" t="s">
        <v>155</v>
      </c>
      <c r="DN1218" s="0" t="s">
        <v>154</v>
      </c>
      <c r="DS1218" s="0" t="s">
        <v>155</v>
      </c>
      <c r="DT1218" s="0" t="s">
        <v>155</v>
      </c>
      <c r="DU1218" s="0" t="s">
        <v>154</v>
      </c>
      <c r="DX1218" s="0" t="s">
        <v>154</v>
      </c>
      <c r="EA1218" s="0" t="s">
        <v>154</v>
      </c>
      <c r="EF1218" s="0" t="s">
        <v>154</v>
      </c>
    </row>
    <row r="1219" customFormat="false" ht="13.8" hidden="false" customHeight="false" outlineLevel="0" collapsed="false">
      <c r="A1219" s="0" t="s">
        <v>5791</v>
      </c>
      <c r="B1219" s="0" t="n">
        <v>78</v>
      </c>
      <c r="C1219" s="0" t="n">
        <v>246060</v>
      </c>
      <c r="D1219" s="0" t="s">
        <v>5792</v>
      </c>
      <c r="E1219" s="0" t="s">
        <v>5793</v>
      </c>
      <c r="F1219" s="0" t="str">
        <f aca="false">CONCATENATE(D1219," ",LEFT(H1219,4),"T=",AU1219,"D=",AV1219,"R=",AW1219,"M=",AX1219,"L=",AY1219,"B=",AZ1219)</f>
        <v>COMBS T=7D=0R=0M=0L=4B=0</v>
      </c>
      <c r="I1219" s="0" t="s">
        <v>5794</v>
      </c>
      <c r="J1219" s="0" t="s">
        <v>3797</v>
      </c>
      <c r="K1219" s="0" t="s">
        <v>175</v>
      </c>
      <c r="L1219" s="1" t="s">
        <v>155</v>
      </c>
      <c r="M1219" s="0" t="s">
        <v>5789</v>
      </c>
      <c r="N1219" s="0" t="str">
        <f aca="false">RIGHT(M1219,LEN(M1219)-FIND(" ",M1219))</f>
        <v>IDYLWILD ST NE</v>
      </c>
      <c r="P1219" s="0" t="s">
        <v>146</v>
      </c>
      <c r="Q1219" s="0" t="s">
        <v>147</v>
      </c>
      <c r="R1219" s="0" t="n">
        <v>44483</v>
      </c>
      <c r="AD1219" s="0" t="s">
        <v>148</v>
      </c>
      <c r="AE1219" s="0" t="s">
        <v>149</v>
      </c>
      <c r="AF1219" s="0" t="s">
        <v>150</v>
      </c>
      <c r="AH1219" s="0" t="n">
        <v>14</v>
      </c>
      <c r="AI1219" s="0" t="n">
        <v>11</v>
      </c>
      <c r="AN1219" s="0" t="s">
        <v>146</v>
      </c>
      <c r="AO1219" s="0" t="s">
        <v>250</v>
      </c>
      <c r="AP1219" s="0" t="s">
        <v>251</v>
      </c>
      <c r="AQ1219" s="0" t="n">
        <v>9</v>
      </c>
      <c r="AR1219" s="0" t="n">
        <v>64</v>
      </c>
      <c r="AS1219" s="0" t="n">
        <v>32</v>
      </c>
      <c r="AU1219" s="0" t="n">
        <f aca="false">COUNTA($BA$2655:$EH$2655)</f>
        <v>7</v>
      </c>
      <c r="AV1219" s="0" t="n">
        <f aca="false">COUNTIF($BA$2655:$EH$2655,"D")</f>
        <v>0</v>
      </c>
      <c r="AW1219" s="0" t="n">
        <f aca="false">COUNTIF($BA$2655:$EH$2655,"R")</f>
        <v>0</v>
      </c>
      <c r="AX1219" s="0" t="n">
        <f aca="false"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>0</v>
      </c>
      <c r="AY1219" s="0" t="n">
        <f aca="false">COUNTIF(DU1219:EH1219, "&lt;&gt;")</f>
        <v>4</v>
      </c>
      <c r="AZ1219" s="0" t="n">
        <f aca="false">IF(EH1219&lt;&gt;"",1,0)</f>
        <v>0</v>
      </c>
      <c r="BB1219" s="0" t="s">
        <v>153</v>
      </c>
      <c r="BD1219" s="0" t="s">
        <v>154</v>
      </c>
      <c r="BE1219" s="0" t="s">
        <v>154</v>
      </c>
      <c r="BH1219" s="0" t="s">
        <v>154</v>
      </c>
      <c r="BL1219" s="0" t="s">
        <v>154</v>
      </c>
      <c r="BS1219" s="0" t="s">
        <v>154</v>
      </c>
      <c r="BV1219" s="0" t="s">
        <v>154</v>
      </c>
      <c r="BY1219" s="0" t="s">
        <v>155</v>
      </c>
      <c r="CA1219" s="0" t="s">
        <v>154</v>
      </c>
      <c r="CK1219" s="0" t="s">
        <v>154</v>
      </c>
      <c r="CN1219" s="0" t="s">
        <v>154</v>
      </c>
      <c r="CO1219" s="0" t="s">
        <v>155</v>
      </c>
      <c r="CP1219" s="0" t="s">
        <v>154</v>
      </c>
      <c r="CV1219" s="0" t="s">
        <v>154</v>
      </c>
      <c r="CY1219" s="0" t="s">
        <v>154</v>
      </c>
      <c r="CZ1219" s="0" t="s">
        <v>155</v>
      </c>
      <c r="DC1219" s="0" t="s">
        <v>154</v>
      </c>
      <c r="DF1219" s="0" t="s">
        <v>154</v>
      </c>
      <c r="DG1219" s="0" t="s">
        <v>155</v>
      </c>
      <c r="DI1219" s="0" t="s">
        <v>154</v>
      </c>
      <c r="DL1219" s="0" t="s">
        <v>154</v>
      </c>
      <c r="DM1219" s="0" t="s">
        <v>155</v>
      </c>
      <c r="DN1219" s="0" t="s">
        <v>154</v>
      </c>
      <c r="DS1219" s="0" t="s">
        <v>155</v>
      </c>
      <c r="DT1219" s="0" t="s">
        <v>155</v>
      </c>
      <c r="DU1219" s="0" t="s">
        <v>154</v>
      </c>
      <c r="DX1219" s="0" t="s">
        <v>154</v>
      </c>
      <c r="EA1219" s="0" t="s">
        <v>154</v>
      </c>
      <c r="EF1219" s="0" t="s">
        <v>154</v>
      </c>
    </row>
    <row r="1220" customFormat="false" ht="13.8" hidden="false" customHeight="false" outlineLevel="0" collapsed="false">
      <c r="A1220" s="0" t="s">
        <v>5795</v>
      </c>
      <c r="B1220" s="0" t="n">
        <v>78</v>
      </c>
      <c r="C1220" s="0" t="n">
        <v>329118</v>
      </c>
      <c r="D1220" s="0" t="s">
        <v>5796</v>
      </c>
      <c r="E1220" s="0" t="s">
        <v>1312</v>
      </c>
      <c r="F1220" s="0" t="str">
        <f aca="false">CONCATENATE(D1220," ",LEFT(H1220,4),"T=",AU1220,"D=",AV1220,"R=",AW1220,"M=",AX1220,"L=",AY1220,"B=",AZ1220)</f>
        <v>MORMON SRT=1D=0R=0M=3L=6B=0</v>
      </c>
      <c r="G1220" s="0" t="s">
        <v>241</v>
      </c>
      <c r="H1220" s="0" t="s">
        <v>311</v>
      </c>
      <c r="I1220" s="0" t="s">
        <v>5797</v>
      </c>
      <c r="J1220" s="0" t="s">
        <v>3302</v>
      </c>
      <c r="K1220" s="0" t="s">
        <v>175</v>
      </c>
      <c r="L1220" s="1" t="s">
        <v>155</v>
      </c>
      <c r="M1220" s="0" t="s">
        <v>5798</v>
      </c>
      <c r="N1220" s="0" t="str">
        <f aca="false">RIGHT(M1220,LEN(M1220)-FIND(" ",M1220))</f>
        <v>IDYLWILD ST NE</v>
      </c>
      <c r="P1220" s="0" t="s">
        <v>146</v>
      </c>
      <c r="Q1220" s="0" t="s">
        <v>147</v>
      </c>
      <c r="R1220" s="0" t="n">
        <v>44483</v>
      </c>
      <c r="AD1220" s="0" t="s">
        <v>148</v>
      </c>
      <c r="AE1220" s="0" t="s">
        <v>149</v>
      </c>
      <c r="AF1220" s="0" t="s">
        <v>150</v>
      </c>
      <c r="AH1220" s="0" t="n">
        <v>14</v>
      </c>
      <c r="AI1220" s="0" t="n">
        <v>11</v>
      </c>
      <c r="AN1220" s="0" t="s">
        <v>146</v>
      </c>
      <c r="AO1220" s="0" t="s">
        <v>250</v>
      </c>
      <c r="AP1220" s="0" t="s">
        <v>251</v>
      </c>
      <c r="AQ1220" s="0" t="n">
        <v>9</v>
      </c>
      <c r="AR1220" s="0" t="n">
        <v>64</v>
      </c>
      <c r="AS1220" s="0" t="n">
        <v>32</v>
      </c>
      <c r="AU1220" s="0" t="n">
        <f aca="false">COUNTA($BA$2752:$EH$2752)</f>
        <v>1</v>
      </c>
      <c r="AV1220" s="0" t="n">
        <f aca="false">COUNTIF($BA$2752:$EH$2752,"D")</f>
        <v>0</v>
      </c>
      <c r="AW1220" s="0" t="n">
        <f aca="false">COUNTIF($BA$2752:$EH$2752,"R")</f>
        <v>0</v>
      </c>
      <c r="AX1220" s="0" t="n">
        <f aca="false"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>3</v>
      </c>
      <c r="AY1220" s="0" t="n">
        <f aca="false">COUNTIF(DU1220:EH1220, "&lt;&gt;")</f>
        <v>6</v>
      </c>
      <c r="AZ1220" s="0" t="n">
        <f aca="false">IF(EH1220&lt;&gt;"",1,0)</f>
        <v>0</v>
      </c>
      <c r="BB1220" s="0" t="s">
        <v>153</v>
      </c>
      <c r="BL1220" s="0" t="s">
        <v>154</v>
      </c>
      <c r="BS1220" s="0" t="s">
        <v>154</v>
      </c>
      <c r="BY1220" s="0" t="s">
        <v>155</v>
      </c>
      <c r="CA1220" s="0" t="s">
        <v>154</v>
      </c>
      <c r="CG1220" s="0" t="s">
        <v>154</v>
      </c>
      <c r="CK1220" s="0" t="s">
        <v>154</v>
      </c>
      <c r="CL1220" s="0" t="s">
        <v>155</v>
      </c>
      <c r="CN1220" s="0" t="s">
        <v>154</v>
      </c>
      <c r="CP1220" s="0" t="s">
        <v>154</v>
      </c>
      <c r="CV1220" s="0" t="s">
        <v>154</v>
      </c>
      <c r="CW1220" s="0" t="s">
        <v>155</v>
      </c>
      <c r="CY1220" s="0" t="s">
        <v>154</v>
      </c>
      <c r="DC1220" s="0" t="s">
        <v>154</v>
      </c>
      <c r="DL1220" s="0" t="s">
        <v>154</v>
      </c>
      <c r="DN1220" s="0" t="s">
        <v>154</v>
      </c>
      <c r="DR1220" s="0" t="s">
        <v>154</v>
      </c>
      <c r="DU1220" s="0" t="s">
        <v>154</v>
      </c>
      <c r="DW1220" s="0" t="s">
        <v>155</v>
      </c>
      <c r="DX1220" s="0" t="s">
        <v>154</v>
      </c>
      <c r="EA1220" s="0" t="s">
        <v>154</v>
      </c>
      <c r="ED1220" s="0" t="s">
        <v>155</v>
      </c>
      <c r="EF1220" s="0" t="s">
        <v>154</v>
      </c>
    </row>
    <row r="1221" customFormat="false" ht="13.8" hidden="true" customHeight="false" outlineLevel="0" collapsed="false">
      <c r="A1221" s="0" t="s">
        <v>5799</v>
      </c>
      <c r="B1221" s="0" t="n">
        <v>78</v>
      </c>
      <c r="C1221" s="0" t="n">
        <v>317527</v>
      </c>
      <c r="D1221" s="0" t="s">
        <v>1027</v>
      </c>
      <c r="E1221" s="0" t="s">
        <v>3615</v>
      </c>
      <c r="F1221" s="0" t="str">
        <f aca="false">CONCATENATE(D1221," ",LEFT(H1221,4),"T=",AU1221,"D=",AV1221,"R=",AW1221,"M=",AX1221,"L=",AY1221,"B=",AZ1221)</f>
        <v>MARTIN T=2D=0R=0M=0L=0B=0</v>
      </c>
      <c r="G1221" s="0" t="s">
        <v>241</v>
      </c>
      <c r="I1221" s="0" t="s">
        <v>5800</v>
      </c>
      <c r="J1221" s="0" t="s">
        <v>5801</v>
      </c>
      <c r="K1221" s="0" t="s">
        <v>144</v>
      </c>
      <c r="L1221" s="0"/>
      <c r="M1221" s="0" t="s">
        <v>5802</v>
      </c>
      <c r="N1221" s="0" t="str">
        <f aca="false">RIGHT(M1221,LEN(M1221)-FIND(" ",M1221))</f>
        <v>IDYLWILD ST NE</v>
      </c>
      <c r="P1221" s="0" t="s">
        <v>146</v>
      </c>
      <c r="Q1221" s="0" t="s">
        <v>147</v>
      </c>
      <c r="R1221" s="0" t="n">
        <v>44483</v>
      </c>
      <c r="AD1221" s="0" t="s">
        <v>148</v>
      </c>
      <c r="AE1221" s="0" t="s">
        <v>149</v>
      </c>
      <c r="AF1221" s="0" t="s">
        <v>150</v>
      </c>
      <c r="AH1221" s="0" t="n">
        <v>14</v>
      </c>
      <c r="AI1221" s="0" t="n">
        <v>11</v>
      </c>
      <c r="AN1221" s="0" t="s">
        <v>146</v>
      </c>
      <c r="AO1221" s="0" t="s">
        <v>250</v>
      </c>
      <c r="AP1221" s="0" t="s">
        <v>251</v>
      </c>
      <c r="AQ1221" s="0" t="n">
        <v>9</v>
      </c>
      <c r="AR1221" s="0" t="n">
        <v>64</v>
      </c>
      <c r="AS1221" s="0" t="n">
        <v>32</v>
      </c>
      <c r="AU1221" s="0" t="n">
        <f aca="false">COUNTA($BA$2281:$EH$2281)</f>
        <v>2</v>
      </c>
      <c r="AV1221" s="0" t="n">
        <f aca="false">COUNTIF($BA$2281:$EH$2281,"D")</f>
        <v>0</v>
      </c>
      <c r="AW1221" s="0" t="n">
        <f aca="false">COUNTIF($BA$2281:$EH$2281,"R")</f>
        <v>0</v>
      </c>
      <c r="AX1221" s="0" t="n">
        <f aca="false"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>0</v>
      </c>
      <c r="AY1221" s="0" t="n">
        <f aca="false">COUNTIF(DU1221:EH1221, "&lt;&gt;")</f>
        <v>0</v>
      </c>
      <c r="AZ1221" s="0" t="n">
        <f aca="false">IF(EH1221&lt;&gt;"",1,0)</f>
        <v>0</v>
      </c>
      <c r="BB1221" s="0" t="s">
        <v>153</v>
      </c>
      <c r="BL1221" s="0" t="s">
        <v>154</v>
      </c>
      <c r="CA1221" s="0" t="s">
        <v>154</v>
      </c>
    </row>
    <row r="1222" customFormat="false" ht="13.8" hidden="true" customHeight="false" outlineLevel="0" collapsed="false">
      <c r="A1222" s="0" t="s">
        <v>5803</v>
      </c>
      <c r="B1222" s="0" t="n">
        <v>78</v>
      </c>
      <c r="C1222" s="0" t="n">
        <v>413318</v>
      </c>
      <c r="D1222" s="0" t="s">
        <v>333</v>
      </c>
      <c r="E1222" s="0" t="s">
        <v>5804</v>
      </c>
      <c r="F1222" s="0" t="str">
        <f aca="false">CONCATENATE(D1222," ",LEFT(H1222,4),"T=",AU1222,"D=",AV1222,"R=",AW1222,"M=",AX1222,"L=",AY1222,"B=",AZ1222)</f>
        <v>ADAMS T=8D=0R=0M=0L=0B=0</v>
      </c>
      <c r="G1222" s="0" t="s">
        <v>329</v>
      </c>
      <c r="I1222" s="0" t="s">
        <v>5805</v>
      </c>
      <c r="J1222" s="0" t="s">
        <v>228</v>
      </c>
      <c r="K1222" s="0" t="s">
        <v>175</v>
      </c>
      <c r="L1222" s="0"/>
      <c r="M1222" s="0" t="s">
        <v>5806</v>
      </c>
      <c r="N1222" s="0" t="str">
        <f aca="false">RIGHT(M1222,LEN(M1222)-FIND(" ",M1222))</f>
        <v>IDYLWILD ST NE</v>
      </c>
      <c r="P1222" s="0" t="s">
        <v>146</v>
      </c>
      <c r="Q1222" s="0" t="s">
        <v>147</v>
      </c>
      <c r="R1222" s="0" t="n">
        <v>44483</v>
      </c>
      <c r="AD1222" s="0" t="s">
        <v>148</v>
      </c>
      <c r="AE1222" s="0" t="s">
        <v>149</v>
      </c>
      <c r="AF1222" s="0" t="s">
        <v>150</v>
      </c>
      <c r="AH1222" s="0" t="n">
        <v>14</v>
      </c>
      <c r="AI1222" s="0" t="n">
        <v>11</v>
      </c>
      <c r="AN1222" s="0" t="s">
        <v>146</v>
      </c>
      <c r="AO1222" s="0" t="s">
        <v>250</v>
      </c>
      <c r="AP1222" s="0" t="s">
        <v>251</v>
      </c>
      <c r="AQ1222" s="0" t="n">
        <v>9</v>
      </c>
      <c r="AR1222" s="0" t="n">
        <v>64</v>
      </c>
      <c r="AS1222" s="0" t="n">
        <v>32</v>
      </c>
      <c r="AU1222" s="0" t="n">
        <f aca="false">COUNTA($BA$2787:$EH$2787)</f>
        <v>8</v>
      </c>
      <c r="AV1222" s="0" t="n">
        <f aca="false">COUNTIF($BA$2787:$EH$2787,"D")</f>
        <v>0</v>
      </c>
      <c r="AW1222" s="0" t="n">
        <f aca="false">COUNTIF($BA$2787:$EH$2787,"R")</f>
        <v>0</v>
      </c>
      <c r="AX1222" s="0" t="n">
        <f aca="false"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>0</v>
      </c>
      <c r="AY1222" s="0" t="n">
        <f aca="false">COUNTIF(DU1222:EH1222, "&lt;&gt;")</f>
        <v>0</v>
      </c>
      <c r="AZ1222" s="0" t="n">
        <f aca="false">IF(EH1222&lt;&gt;"",1,0)</f>
        <v>0</v>
      </c>
      <c r="BB1222" s="0" t="s">
        <v>153</v>
      </c>
    </row>
    <row r="1223" customFormat="false" ht="13.8" hidden="true" customHeight="false" outlineLevel="0" collapsed="false">
      <c r="A1223" s="0" t="s">
        <v>5807</v>
      </c>
      <c r="B1223" s="0" t="n">
        <v>78</v>
      </c>
      <c r="C1223" s="0" t="n">
        <v>314513</v>
      </c>
      <c r="D1223" s="0" t="s">
        <v>5808</v>
      </c>
      <c r="E1223" s="0" t="s">
        <v>1259</v>
      </c>
      <c r="F1223" s="0" t="str">
        <f aca="false">CONCATENATE(D1223," ",LEFT(H1223,4),"T=",AU1223,"D=",AV1223,"R=",AW1223,"M=",AX1223,"L=",AY1223,"B=",AZ1223)</f>
        <v>RATHBUN T=20D=7R=0M=0L=0B=0</v>
      </c>
      <c r="G1223" s="0" t="s">
        <v>176</v>
      </c>
      <c r="I1223" s="0" t="s">
        <v>5809</v>
      </c>
      <c r="J1223" s="0" t="s">
        <v>1854</v>
      </c>
      <c r="K1223" s="0" t="s">
        <v>175</v>
      </c>
      <c r="L1223" s="0"/>
      <c r="M1223" s="0" t="s">
        <v>5810</v>
      </c>
      <c r="N1223" s="0" t="str">
        <f aca="false">RIGHT(M1223,LEN(M1223)-FIND(" ",M1223))</f>
        <v>IDYLWILD ST NE</v>
      </c>
      <c r="P1223" s="0" t="s">
        <v>146</v>
      </c>
      <c r="Q1223" s="0" t="s">
        <v>147</v>
      </c>
      <c r="R1223" s="0" t="n">
        <v>44483</v>
      </c>
      <c r="AD1223" s="0" t="s">
        <v>148</v>
      </c>
      <c r="AE1223" s="0" t="s">
        <v>149</v>
      </c>
      <c r="AF1223" s="0" t="s">
        <v>150</v>
      </c>
      <c r="AH1223" s="0" t="n">
        <v>14</v>
      </c>
      <c r="AI1223" s="0" t="n">
        <v>11</v>
      </c>
      <c r="AN1223" s="0" t="s">
        <v>146</v>
      </c>
      <c r="AO1223" s="0" t="s">
        <v>250</v>
      </c>
      <c r="AP1223" s="0" t="s">
        <v>251</v>
      </c>
      <c r="AQ1223" s="0" t="n">
        <v>9</v>
      </c>
      <c r="AR1223" s="0" t="n">
        <v>64</v>
      </c>
      <c r="AS1223" s="0" t="n">
        <v>32</v>
      </c>
      <c r="AU1223" s="0" t="n">
        <f aca="false">COUNTA($BA$2487:$EH$2487)</f>
        <v>20</v>
      </c>
      <c r="AV1223" s="0" t="n">
        <f aca="false">COUNTIF($BA$2487:$EH$2487,"D")</f>
        <v>7</v>
      </c>
      <c r="AW1223" s="0" t="n">
        <f aca="false">COUNTIF($BA$2487:$EH$2487,"R")</f>
        <v>0</v>
      </c>
      <c r="AX1223" s="0" t="n">
        <f aca="false"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>0</v>
      </c>
      <c r="AY1223" s="0" t="n">
        <f aca="false">COUNTIF(DU1223:EH1223, "&lt;&gt;")</f>
        <v>0</v>
      </c>
      <c r="AZ1223" s="0" t="n">
        <f aca="false">IF(EH1223&lt;&gt;"",1,0)</f>
        <v>0</v>
      </c>
      <c r="BB1223" s="0" t="s">
        <v>153</v>
      </c>
      <c r="BL1223" s="0" t="s">
        <v>154</v>
      </c>
      <c r="CA1223" s="0" t="s">
        <v>154</v>
      </c>
      <c r="CP1223" s="0" t="s">
        <v>154</v>
      </c>
      <c r="DI1223" s="0" t="s">
        <v>154</v>
      </c>
    </row>
    <row r="1224" customFormat="false" ht="13.8" hidden="true" customHeight="false" outlineLevel="0" collapsed="false">
      <c r="A1224" s="0" t="s">
        <v>5811</v>
      </c>
      <c r="B1224" s="0" t="n">
        <v>78</v>
      </c>
      <c r="C1224" s="0" t="n">
        <v>461946</v>
      </c>
      <c r="D1224" s="0" t="s">
        <v>5812</v>
      </c>
      <c r="E1224" s="0" t="s">
        <v>2236</v>
      </c>
      <c r="F1224" s="0" t="str">
        <f aca="false">CONCATENATE(D1224," ",LEFT(H1224,4),"T=",AU1224,"D=",AV1224,"R=",AW1224,"M=",AX1224,"L=",AY1224,"B=",AZ1224)</f>
        <v>BUXTON T=1D=0R=0M=0L=0B=0</v>
      </c>
      <c r="G1224" s="0" t="s">
        <v>241</v>
      </c>
      <c r="I1224" s="0" t="s">
        <v>5813</v>
      </c>
      <c r="J1224" s="0" t="s">
        <v>1047</v>
      </c>
      <c r="K1224" s="0" t="s">
        <v>175</v>
      </c>
      <c r="L1224" s="0"/>
      <c r="M1224" s="0" t="s">
        <v>5814</v>
      </c>
      <c r="N1224" s="0" t="str">
        <f aca="false">RIGHT(M1224,LEN(M1224)-FIND(" ",M1224))</f>
        <v>IDYLWILD ST NW</v>
      </c>
      <c r="P1224" s="0" t="s">
        <v>146</v>
      </c>
      <c r="Q1224" s="0" t="s">
        <v>147</v>
      </c>
      <c r="R1224" s="0" t="n">
        <v>44483</v>
      </c>
      <c r="AD1224" s="0" t="s">
        <v>148</v>
      </c>
      <c r="AE1224" s="0" t="s">
        <v>149</v>
      </c>
      <c r="AF1224" s="0" t="s">
        <v>150</v>
      </c>
      <c r="AH1224" s="0" t="n">
        <v>14</v>
      </c>
      <c r="AI1224" s="0" t="n">
        <v>11</v>
      </c>
      <c r="AN1224" s="0" t="s">
        <v>146</v>
      </c>
      <c r="AO1224" s="0" t="s">
        <v>250</v>
      </c>
      <c r="AP1224" s="0" t="s">
        <v>251</v>
      </c>
      <c r="AQ1224" s="0" t="n">
        <v>9</v>
      </c>
      <c r="AR1224" s="0" t="n">
        <v>64</v>
      </c>
      <c r="AS1224" s="0" t="n">
        <v>32</v>
      </c>
      <c r="AU1224" s="0" t="n">
        <f aca="false">COUNTA($BA$2589:$EH$2589)</f>
        <v>1</v>
      </c>
      <c r="AV1224" s="0" t="n">
        <f aca="false">COUNTIF($BA$2589:$EH$2589,"D")</f>
        <v>0</v>
      </c>
      <c r="AW1224" s="0" t="n">
        <f aca="false">COUNTIF($BA$2589:$EH$2589,"R")</f>
        <v>0</v>
      </c>
      <c r="AX1224" s="0" t="n">
        <f aca="false"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>0</v>
      </c>
      <c r="AY1224" s="0" t="n">
        <f aca="false">COUNTIF(DU1224:EH1224, "&lt;&gt;")</f>
        <v>0</v>
      </c>
      <c r="AZ1224" s="0" t="n">
        <f aca="false">IF(EH1224&lt;&gt;"",1,0)</f>
        <v>0</v>
      </c>
      <c r="BB1224" s="0" t="s">
        <v>153</v>
      </c>
      <c r="BJ1224" s="0" t="s">
        <v>154</v>
      </c>
      <c r="BK1224" s="0" t="s">
        <v>155</v>
      </c>
      <c r="BL1224" s="0" t="s">
        <v>154</v>
      </c>
      <c r="BP1224" s="0" t="s">
        <v>154</v>
      </c>
      <c r="CP1224" s="0" t="s">
        <v>154</v>
      </c>
      <c r="CQ1224" s="0" t="s">
        <v>154</v>
      </c>
      <c r="CY1224" s="0" t="s">
        <v>154</v>
      </c>
    </row>
    <row r="1225" customFormat="false" ht="13.8" hidden="false" customHeight="false" outlineLevel="0" collapsed="false">
      <c r="A1225" s="0" t="s">
        <v>5815</v>
      </c>
      <c r="B1225" s="0" t="n">
        <v>78</v>
      </c>
      <c r="C1225" s="0" t="n">
        <v>439914</v>
      </c>
      <c r="D1225" s="0" t="s">
        <v>5812</v>
      </c>
      <c r="E1225" s="0" t="s">
        <v>277</v>
      </c>
      <c r="F1225" s="0" t="str">
        <f aca="false">CONCATENATE(D1225," ",LEFT(H1225,4),"T=",AU1225,"D=",AV1225,"R=",AW1225,"M=",AX1225,"L=",AY1225,"B=",AZ1225)</f>
        <v>BUXTON T=3D=0R=0M=0L=3B=0</v>
      </c>
      <c r="G1225" s="0" t="s">
        <v>496</v>
      </c>
      <c r="I1225" s="0" t="s">
        <v>3140</v>
      </c>
      <c r="J1225" s="0" t="s">
        <v>5388</v>
      </c>
      <c r="K1225" s="0" t="s">
        <v>175</v>
      </c>
      <c r="M1225" s="0" t="s">
        <v>5814</v>
      </c>
      <c r="N1225" s="0" t="str">
        <f aca="false">RIGHT(M1225,LEN(M1225)-FIND(" ",M1225))</f>
        <v>IDYLWILD ST NW</v>
      </c>
      <c r="P1225" s="0" t="s">
        <v>146</v>
      </c>
      <c r="Q1225" s="0" t="s">
        <v>147</v>
      </c>
      <c r="R1225" s="0" t="n">
        <v>44483</v>
      </c>
      <c r="AD1225" s="0" t="s">
        <v>148</v>
      </c>
      <c r="AE1225" s="0" t="s">
        <v>149</v>
      </c>
      <c r="AF1225" s="0" t="s">
        <v>150</v>
      </c>
      <c r="AH1225" s="0" t="n">
        <v>14</v>
      </c>
      <c r="AI1225" s="0" t="n">
        <v>11</v>
      </c>
      <c r="AN1225" s="0" t="s">
        <v>146</v>
      </c>
      <c r="AO1225" s="0" t="s">
        <v>250</v>
      </c>
      <c r="AP1225" s="0" t="s">
        <v>251</v>
      </c>
      <c r="AQ1225" s="0" t="n">
        <v>9</v>
      </c>
      <c r="AR1225" s="0" t="n">
        <v>64</v>
      </c>
      <c r="AS1225" s="0" t="n">
        <v>32</v>
      </c>
      <c r="AU1225" s="0" t="n">
        <f aca="false">COUNTA($BA$2682:$EH$2682)</f>
        <v>3</v>
      </c>
      <c r="AV1225" s="0" t="n">
        <f aca="false">COUNTIF($BA$2682:$EH$2682,"D")</f>
        <v>0</v>
      </c>
      <c r="AW1225" s="0" t="n">
        <f aca="false">COUNTIF($BA$2682:$EH$2682,"R")</f>
        <v>0</v>
      </c>
      <c r="AX1225" s="0" t="n">
        <f aca="false"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>0</v>
      </c>
      <c r="AY1225" s="0" t="n">
        <f aca="false">COUNTIF(DU1225:EH1225, "&lt;&gt;")</f>
        <v>3</v>
      </c>
      <c r="AZ1225" s="0" t="n">
        <f aca="false">IF(EH1225&lt;&gt;"",1,0)</f>
        <v>0</v>
      </c>
      <c r="BB1225" s="0" t="s">
        <v>153</v>
      </c>
      <c r="BG1225" s="0" t="s">
        <v>155</v>
      </c>
      <c r="BH1225" s="0" t="s">
        <v>154</v>
      </c>
      <c r="BJ1225" s="0" t="s">
        <v>154</v>
      </c>
      <c r="BK1225" s="0" t="s">
        <v>155</v>
      </c>
      <c r="BL1225" s="0" t="s">
        <v>154</v>
      </c>
      <c r="CP1225" s="0" t="s">
        <v>154</v>
      </c>
      <c r="CQ1225" s="0" t="s">
        <v>154</v>
      </c>
      <c r="CY1225" s="0" t="s">
        <v>154</v>
      </c>
      <c r="DN1225" s="0" t="s">
        <v>154</v>
      </c>
      <c r="DU1225" s="0" t="s">
        <v>154</v>
      </c>
      <c r="EA1225" s="0" t="s">
        <v>154</v>
      </c>
      <c r="EF1225" s="0" t="s">
        <v>154</v>
      </c>
    </row>
    <row r="1226" customFormat="false" ht="13.8" hidden="true" customHeight="false" outlineLevel="0" collapsed="false">
      <c r="A1226" s="0" t="s">
        <v>5816</v>
      </c>
      <c r="B1226" s="0" t="n">
        <v>78</v>
      </c>
      <c r="C1226" s="0" t="n">
        <v>363444</v>
      </c>
      <c r="D1226" s="0" t="s">
        <v>5817</v>
      </c>
      <c r="E1226" s="0" t="s">
        <v>1389</v>
      </c>
      <c r="F1226" s="0" t="str">
        <f aca="false">CONCATENATE(D1226," ",LEFT(H1226,4),"T=",AU1226,"D=",AV1226,"R=",AW1226,"M=",AX1226,"L=",AY1226,"B=",AZ1226)</f>
        <v>MCFADDEN GANNON T=5D=1R=0M=0L=0B=0</v>
      </c>
      <c r="G1226" s="0" t="s">
        <v>172</v>
      </c>
      <c r="I1226" s="0" t="s">
        <v>5818</v>
      </c>
      <c r="J1226" s="0" t="s">
        <v>5819</v>
      </c>
      <c r="K1226" s="0" t="s">
        <v>144</v>
      </c>
      <c r="L1226" s="0"/>
      <c r="M1226" s="0" t="s">
        <v>5820</v>
      </c>
      <c r="N1226" s="0" t="str">
        <f aca="false">RIGHT(M1226,LEN(M1226)-FIND(" ",M1226))</f>
        <v>IDYLWILD ST NW</v>
      </c>
      <c r="P1226" s="0" t="s">
        <v>146</v>
      </c>
      <c r="Q1226" s="0" t="s">
        <v>147</v>
      </c>
      <c r="R1226" s="0" t="n">
        <v>44483</v>
      </c>
      <c r="AD1226" s="0" t="s">
        <v>148</v>
      </c>
      <c r="AE1226" s="0" t="s">
        <v>149</v>
      </c>
      <c r="AF1226" s="0" t="s">
        <v>150</v>
      </c>
      <c r="AH1226" s="0" t="n">
        <v>14</v>
      </c>
      <c r="AI1226" s="0" t="n">
        <v>11</v>
      </c>
      <c r="AN1226" s="0" t="s">
        <v>146</v>
      </c>
      <c r="AO1226" s="0" t="s">
        <v>250</v>
      </c>
      <c r="AP1226" s="0" t="s">
        <v>251</v>
      </c>
      <c r="AQ1226" s="0" t="n">
        <v>9</v>
      </c>
      <c r="AR1226" s="0" t="n">
        <v>64</v>
      </c>
      <c r="AS1226" s="0" t="n">
        <v>32</v>
      </c>
      <c r="AU1226" s="0" t="n">
        <f aca="false">COUNTA($BA$2598:$EH$2598)</f>
        <v>5</v>
      </c>
      <c r="AV1226" s="0" t="n">
        <f aca="false">COUNTIF($BA$2598:$EH$2598,"D")</f>
        <v>1</v>
      </c>
      <c r="AW1226" s="0" t="n">
        <f aca="false">COUNTIF($BA$2598:$EH$2598,"R")</f>
        <v>0</v>
      </c>
      <c r="AX1226" s="0" t="n">
        <f aca="false"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>0</v>
      </c>
      <c r="AY1226" s="0" t="n">
        <f aca="false">COUNTIF(DU1226:EH1226, "&lt;&gt;")</f>
        <v>0</v>
      </c>
      <c r="AZ1226" s="0" t="n">
        <f aca="false">IF(EH1226&lt;&gt;"",1,0)</f>
        <v>0</v>
      </c>
      <c r="BB1226" s="0" t="s">
        <v>153</v>
      </c>
      <c r="CA1226" s="0" t="s">
        <v>154</v>
      </c>
      <c r="CP1226" s="0" t="s">
        <v>154</v>
      </c>
      <c r="DC1226" s="0" t="s">
        <v>154</v>
      </c>
    </row>
    <row r="1227" customFormat="false" ht="13.8" hidden="true" customHeight="false" outlineLevel="0" collapsed="false">
      <c r="A1227" s="0" t="s">
        <v>5821</v>
      </c>
      <c r="B1227" s="0" t="n">
        <v>78</v>
      </c>
      <c r="C1227" s="0" t="n">
        <v>461895</v>
      </c>
      <c r="D1227" s="0" t="s">
        <v>4426</v>
      </c>
      <c r="E1227" s="0" t="s">
        <v>5822</v>
      </c>
      <c r="F1227" s="0" t="str">
        <f aca="false">CONCATENATE(D1227," ",LEFT(H1227,4),"T=",AU1227,"D=",AV1227,"R=",AW1227,"M=",AX1227,"L=",AY1227,"B=",AZ1227)</f>
        <v>OWENS JRT=2D=0R=0M=0L=0B=0</v>
      </c>
      <c r="G1227" s="0" t="s">
        <v>365</v>
      </c>
      <c r="H1227" s="0" t="s">
        <v>431</v>
      </c>
      <c r="I1227" s="0" t="s">
        <v>5823</v>
      </c>
      <c r="J1227" s="0" t="s">
        <v>5824</v>
      </c>
      <c r="K1227" s="0" t="s">
        <v>144</v>
      </c>
      <c r="L1227" s="0"/>
      <c r="M1227" s="0" t="s">
        <v>5825</v>
      </c>
      <c r="N1227" s="0" t="str">
        <f aca="false">RIGHT(M1227,LEN(M1227)-FIND(" ",M1227))</f>
        <v>IDYLWILD ST NW</v>
      </c>
      <c r="P1227" s="0" t="s">
        <v>146</v>
      </c>
      <c r="Q1227" s="0" t="s">
        <v>147</v>
      </c>
      <c r="R1227" s="0" t="n">
        <v>44483</v>
      </c>
      <c r="AD1227" s="0" t="s">
        <v>148</v>
      </c>
      <c r="AE1227" s="0" t="s">
        <v>149</v>
      </c>
      <c r="AF1227" s="0" t="s">
        <v>150</v>
      </c>
      <c r="AH1227" s="0" t="n">
        <v>14</v>
      </c>
      <c r="AI1227" s="0" t="n">
        <v>11</v>
      </c>
      <c r="AN1227" s="0" t="s">
        <v>146</v>
      </c>
      <c r="AO1227" s="0" t="s">
        <v>250</v>
      </c>
      <c r="AP1227" s="0" t="s">
        <v>251</v>
      </c>
      <c r="AQ1227" s="0" t="n">
        <v>9</v>
      </c>
      <c r="AR1227" s="0" t="n">
        <v>64</v>
      </c>
      <c r="AS1227" s="0" t="n">
        <v>32</v>
      </c>
      <c r="AU1227" s="0" t="n">
        <f aca="false">COUNTA($BA$2146:$EH$2146)</f>
        <v>2</v>
      </c>
      <c r="AV1227" s="0" t="n">
        <f aca="false">COUNTIF($BA$2146:$EH$2146,"D")</f>
        <v>0</v>
      </c>
      <c r="AW1227" s="0" t="n">
        <f aca="false">COUNTIF($BA$2146:$EH$2146,"R")</f>
        <v>0</v>
      </c>
      <c r="AX1227" s="0" t="n">
        <f aca="false"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>0</v>
      </c>
      <c r="AY1227" s="0" t="n">
        <f aca="false">COUNTIF(DU1227:EH1227, "&lt;&gt;")</f>
        <v>0</v>
      </c>
      <c r="AZ1227" s="0" t="n">
        <f aca="false">IF(EH1227&lt;&gt;"",1,0)</f>
        <v>0</v>
      </c>
      <c r="BB1227" s="0" t="s">
        <v>153</v>
      </c>
    </row>
    <row r="1228" customFormat="false" ht="13.8" hidden="false" customHeight="false" outlineLevel="0" collapsed="false">
      <c r="A1228" s="0" t="s">
        <v>5826</v>
      </c>
      <c r="B1228" s="0" t="n">
        <v>78</v>
      </c>
      <c r="C1228" s="0" t="n">
        <v>484975</v>
      </c>
      <c r="D1228" s="0" t="s">
        <v>5827</v>
      </c>
      <c r="E1228" s="0" t="s">
        <v>652</v>
      </c>
      <c r="F1228" s="0" t="str">
        <f aca="false">CONCATENATE(D1228," ",LEFT(H1228,4),"T=",AU1228,"D=",AV1228,"R=",AW1228,"M=",AX1228,"L=",AY1228,"B=",AZ1228)</f>
        <v>ROMESBURG T=2D=0R=0M=0L=2B=0</v>
      </c>
      <c r="G1228" s="0" t="s">
        <v>502</v>
      </c>
      <c r="I1228" s="0" t="s">
        <v>5828</v>
      </c>
      <c r="J1228" s="0" t="s">
        <v>5829</v>
      </c>
      <c r="K1228" s="0" t="s">
        <v>175</v>
      </c>
      <c r="M1228" s="0" t="s">
        <v>5825</v>
      </c>
      <c r="N1228" s="0" t="str">
        <f aca="false">RIGHT(M1228,LEN(M1228)-FIND(" ",M1228))</f>
        <v>IDYLWILD ST NW</v>
      </c>
      <c r="P1228" s="0" t="s">
        <v>146</v>
      </c>
      <c r="Q1228" s="0" t="s">
        <v>147</v>
      </c>
      <c r="R1228" s="0" t="n">
        <v>44483</v>
      </c>
      <c r="AD1228" s="0" t="s">
        <v>148</v>
      </c>
      <c r="AE1228" s="0" t="s">
        <v>149</v>
      </c>
      <c r="AF1228" s="0" t="s">
        <v>150</v>
      </c>
      <c r="AH1228" s="0" t="n">
        <v>14</v>
      </c>
      <c r="AI1228" s="0" t="n">
        <v>11</v>
      </c>
      <c r="AN1228" s="0" t="s">
        <v>146</v>
      </c>
      <c r="AO1228" s="0" t="s">
        <v>250</v>
      </c>
      <c r="AP1228" s="0" t="s">
        <v>251</v>
      </c>
      <c r="AQ1228" s="0" t="n">
        <v>9</v>
      </c>
      <c r="AR1228" s="0" t="n">
        <v>64</v>
      </c>
      <c r="AS1228" s="0" t="n">
        <v>32</v>
      </c>
      <c r="AU1228" s="0" t="n">
        <f aca="false">COUNTA($BA$2742:$EH$2742)</f>
        <v>2</v>
      </c>
      <c r="AV1228" s="0" t="n">
        <f aca="false">COUNTIF($BA$2742:$EH$2742,"D")</f>
        <v>0</v>
      </c>
      <c r="AW1228" s="0" t="n">
        <f aca="false">COUNTIF($BA$2742:$EH$2742,"R")</f>
        <v>0</v>
      </c>
      <c r="AX1228" s="0" t="n">
        <f aca="false"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>0</v>
      </c>
      <c r="AY1228" s="0" t="n">
        <f aca="false">COUNTIF(DU1228:EH1228, "&lt;&gt;")</f>
        <v>2</v>
      </c>
      <c r="AZ1228" s="0" t="n">
        <f aca="false">IF(EH1228&lt;&gt;"",1,0)</f>
        <v>0</v>
      </c>
      <c r="BB1228" s="0" t="s">
        <v>153</v>
      </c>
      <c r="CP1228" s="0" t="s">
        <v>154</v>
      </c>
      <c r="CY1228" s="0" t="s">
        <v>154</v>
      </c>
      <c r="DC1228" s="0" t="s">
        <v>154</v>
      </c>
      <c r="DG1228" s="0" t="s">
        <v>176</v>
      </c>
      <c r="DI1228" s="0" t="s">
        <v>154</v>
      </c>
      <c r="DL1228" s="0" t="s">
        <v>154</v>
      </c>
      <c r="DN1228" s="0" t="s">
        <v>154</v>
      </c>
      <c r="DS1228" s="0" t="s">
        <v>176</v>
      </c>
      <c r="DU1228" s="0" t="s">
        <v>154</v>
      </c>
      <c r="EA1228" s="0" t="s">
        <v>154</v>
      </c>
    </row>
    <row r="1229" customFormat="false" ht="13.8" hidden="true" customHeight="false" outlineLevel="0" collapsed="false">
      <c r="A1229" s="0" t="s">
        <v>5830</v>
      </c>
      <c r="B1229" s="0" t="n">
        <v>78</v>
      </c>
      <c r="C1229" s="0" t="n">
        <v>277228</v>
      </c>
      <c r="D1229" s="0" t="s">
        <v>5831</v>
      </c>
      <c r="E1229" s="0" t="s">
        <v>502</v>
      </c>
      <c r="F1229" s="0" t="str">
        <f aca="false">CONCATENATE(D1229," ",LEFT(H1229,4),"T=",AU1229,"D=",AV1229,"R=",AW1229,"M=",AX1229,"L=",AY1229,"B=",AZ1229)</f>
        <v>PRYCHODNIK T=1D=0R=0M=0L=0B=0</v>
      </c>
      <c r="I1229" s="0" t="s">
        <v>5832</v>
      </c>
      <c r="J1229" s="0" t="s">
        <v>5833</v>
      </c>
      <c r="K1229" s="0" t="s">
        <v>175</v>
      </c>
      <c r="L1229" s="0"/>
      <c r="M1229" s="0" t="s">
        <v>5834</v>
      </c>
      <c r="N1229" s="0" t="str">
        <f aca="false">RIGHT(M1229,LEN(M1229)-FIND(" ",M1229))</f>
        <v>IDYLWILD ST NW</v>
      </c>
      <c r="P1229" s="0" t="s">
        <v>146</v>
      </c>
      <c r="Q1229" s="0" t="s">
        <v>147</v>
      </c>
      <c r="R1229" s="0" t="n">
        <v>44483</v>
      </c>
      <c r="AD1229" s="0" t="s">
        <v>148</v>
      </c>
      <c r="AE1229" s="0" t="s">
        <v>149</v>
      </c>
      <c r="AF1229" s="0" t="s">
        <v>150</v>
      </c>
      <c r="AH1229" s="0" t="n">
        <v>14</v>
      </c>
      <c r="AI1229" s="0" t="n">
        <v>11</v>
      </c>
      <c r="AN1229" s="0" t="s">
        <v>146</v>
      </c>
      <c r="AO1229" s="0" t="s">
        <v>250</v>
      </c>
      <c r="AP1229" s="0" t="s">
        <v>251</v>
      </c>
      <c r="AQ1229" s="0" t="n">
        <v>9</v>
      </c>
      <c r="AR1229" s="0" t="n">
        <v>64</v>
      </c>
      <c r="AS1229" s="0" t="n">
        <v>32</v>
      </c>
      <c r="AU1229" s="0" t="n">
        <f aca="false">COUNTA($BA$2309:$EH$2309)</f>
        <v>1</v>
      </c>
      <c r="AV1229" s="0" t="n">
        <f aca="false">COUNTIF($BA$2309:$EH$2309,"D")</f>
        <v>0</v>
      </c>
      <c r="AW1229" s="0" t="n">
        <f aca="false">COUNTIF($BA$2309:$EH$2309,"R")</f>
        <v>0</v>
      </c>
      <c r="AX1229" s="0" t="n">
        <f aca="false"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>0</v>
      </c>
      <c r="AY1229" s="0" t="n">
        <f aca="false">COUNTIF(DU1229:EH1229, "&lt;&gt;")</f>
        <v>0</v>
      </c>
      <c r="AZ1229" s="0" t="n">
        <f aca="false">IF(EH1229&lt;&gt;"",1,0)</f>
        <v>0</v>
      </c>
      <c r="BB1229" s="0" t="s">
        <v>153</v>
      </c>
      <c r="BL1229" s="0" t="s">
        <v>154</v>
      </c>
    </row>
    <row r="1230" customFormat="false" ht="13.8" hidden="true" customHeight="false" outlineLevel="0" collapsed="false">
      <c r="A1230" s="0" t="s">
        <v>5835</v>
      </c>
      <c r="B1230" s="0" t="n">
        <v>78</v>
      </c>
      <c r="C1230" s="0" t="n">
        <v>449076</v>
      </c>
      <c r="D1230" s="0" t="s">
        <v>5836</v>
      </c>
      <c r="E1230" s="0" t="s">
        <v>5837</v>
      </c>
      <c r="F1230" s="0" t="str">
        <f aca="false">CONCATENATE(D1230," ",LEFT(H1230,4),"T=",AU1230,"D=",AV1230,"R=",AW1230,"M=",AX1230,"L=",AY1230,"B=",AZ1230)</f>
        <v>BLASENS T=21D=3R=0M=0L=0B=0</v>
      </c>
      <c r="G1230" s="0" t="s">
        <v>241</v>
      </c>
      <c r="I1230" s="0" t="s">
        <v>5838</v>
      </c>
      <c r="J1230" s="0" t="s">
        <v>5839</v>
      </c>
      <c r="K1230" s="0" t="s">
        <v>175</v>
      </c>
      <c r="L1230" s="0"/>
      <c r="M1230" s="0" t="s">
        <v>5834</v>
      </c>
      <c r="N1230" s="0" t="str">
        <f aca="false">RIGHT(M1230,LEN(M1230)-FIND(" ",M1230))</f>
        <v>IDYLWILD ST NW</v>
      </c>
      <c r="P1230" s="0" t="s">
        <v>146</v>
      </c>
      <c r="Q1230" s="0" t="s">
        <v>147</v>
      </c>
      <c r="R1230" s="0" t="n">
        <v>44483</v>
      </c>
      <c r="AD1230" s="0" t="s">
        <v>148</v>
      </c>
      <c r="AE1230" s="0" t="s">
        <v>149</v>
      </c>
      <c r="AF1230" s="0" t="s">
        <v>150</v>
      </c>
      <c r="AH1230" s="0" t="n">
        <v>14</v>
      </c>
      <c r="AI1230" s="0" t="n">
        <v>11</v>
      </c>
      <c r="AN1230" s="0" t="s">
        <v>146</v>
      </c>
      <c r="AO1230" s="0" t="s">
        <v>250</v>
      </c>
      <c r="AP1230" s="0" t="s">
        <v>251</v>
      </c>
      <c r="AQ1230" s="0" t="n">
        <v>9</v>
      </c>
      <c r="AR1230" s="0" t="n">
        <v>64</v>
      </c>
      <c r="AS1230" s="0" t="n">
        <v>32</v>
      </c>
      <c r="AU1230" s="0" t="n">
        <f aca="false">COUNTA($BA$2545:$EH$2545)</f>
        <v>21</v>
      </c>
      <c r="AV1230" s="0" t="n">
        <f aca="false">COUNTIF($BA$2545:$EH$2545,"D")</f>
        <v>3</v>
      </c>
      <c r="AW1230" s="0" t="n">
        <f aca="false">COUNTIF($BA$2545:$EH$2545,"R")</f>
        <v>0</v>
      </c>
      <c r="AX1230" s="0" t="n">
        <f aca="false"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>0</v>
      </c>
      <c r="AY1230" s="0" t="n">
        <f aca="false">COUNTIF(DU1230:EH1230, "&lt;&gt;")</f>
        <v>0</v>
      </c>
      <c r="AZ1230" s="0" t="n">
        <f aca="false">IF(EH1230&lt;&gt;"",1,0)</f>
        <v>0</v>
      </c>
      <c r="BB1230" s="0" t="s">
        <v>153</v>
      </c>
    </row>
    <row r="1231" customFormat="false" ht="13.8" hidden="true" customHeight="false" outlineLevel="0" collapsed="false">
      <c r="A1231" s="0" t="s">
        <v>5840</v>
      </c>
      <c r="B1231" s="0" t="n">
        <v>78</v>
      </c>
      <c r="C1231" s="0" t="n">
        <v>481116</v>
      </c>
      <c r="D1231" s="0" t="s">
        <v>5841</v>
      </c>
      <c r="E1231" s="0" t="s">
        <v>5842</v>
      </c>
      <c r="F1231" s="0" t="str">
        <f aca="false">CONCATENATE(D1231," ",LEFT(H1231,4),"T=",AU1231,"D=",AV1231,"R=",AW1231,"M=",AX1231,"L=",AY1231,"B=",AZ1231)</f>
        <v>GREEN T=12D=2R=0M=0L=0B=0</v>
      </c>
      <c r="G1231" s="0" t="s">
        <v>5843</v>
      </c>
      <c r="I1231" s="0" t="s">
        <v>5844</v>
      </c>
      <c r="J1231" s="0" t="s">
        <v>5845</v>
      </c>
      <c r="K1231" s="0" t="s">
        <v>175</v>
      </c>
      <c r="L1231" s="0"/>
      <c r="M1231" s="0" t="s">
        <v>5846</v>
      </c>
      <c r="N1231" s="0" t="str">
        <f aca="false">RIGHT(M1231,LEN(M1231)-FIND(" ",M1231))</f>
        <v>IDYLWILD ST NW</v>
      </c>
      <c r="P1231" s="0" t="s">
        <v>146</v>
      </c>
      <c r="Q1231" s="0" t="s">
        <v>147</v>
      </c>
      <c r="R1231" s="0" t="n">
        <v>44483</v>
      </c>
      <c r="AD1231" s="0" t="s">
        <v>148</v>
      </c>
      <c r="AE1231" s="0" t="s">
        <v>149</v>
      </c>
      <c r="AF1231" s="0" t="s">
        <v>150</v>
      </c>
      <c r="AH1231" s="0" t="n">
        <v>14</v>
      </c>
      <c r="AI1231" s="0" t="n">
        <v>11</v>
      </c>
      <c r="AN1231" s="0" t="s">
        <v>146</v>
      </c>
      <c r="AO1231" s="0" t="s">
        <v>250</v>
      </c>
      <c r="AP1231" s="0" t="s">
        <v>251</v>
      </c>
      <c r="AQ1231" s="0" t="n">
        <v>9</v>
      </c>
      <c r="AR1231" s="0" t="n">
        <v>64</v>
      </c>
      <c r="AS1231" s="0" t="n">
        <v>32</v>
      </c>
      <c r="AU1231" s="0" t="n">
        <f aca="false">COUNTA($BA$2525:$EH$2525)</f>
        <v>12</v>
      </c>
      <c r="AV1231" s="0" t="n">
        <f aca="false">COUNTIF($BA$2525:$EH$2525,"D")</f>
        <v>2</v>
      </c>
      <c r="AW1231" s="0" t="n">
        <f aca="false">COUNTIF($BA$2525:$EH$2525,"R")</f>
        <v>0</v>
      </c>
      <c r="AX1231" s="0" t="n">
        <f aca="false"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>0</v>
      </c>
      <c r="AY1231" s="0" t="n">
        <f aca="false">COUNTIF(DU1231:EH1231, "&lt;&gt;")</f>
        <v>0</v>
      </c>
      <c r="AZ1231" s="0" t="n">
        <f aca="false">IF(EH1231&lt;&gt;"",1,0)</f>
        <v>0</v>
      </c>
      <c r="BB1231" s="0" t="s">
        <v>153</v>
      </c>
    </row>
    <row r="1232" customFormat="false" ht="13.8" hidden="true" customHeight="false" outlineLevel="0" collapsed="false">
      <c r="A1232" s="0" t="s">
        <v>5847</v>
      </c>
      <c r="B1232" s="0" t="n">
        <v>78</v>
      </c>
      <c r="C1232" s="0" t="n">
        <v>307122</v>
      </c>
      <c r="D1232" s="0" t="s">
        <v>5841</v>
      </c>
      <c r="E1232" s="0" t="s">
        <v>5848</v>
      </c>
      <c r="F1232" s="0" t="str">
        <f aca="false">CONCATENATE(D1232," ",LEFT(H1232,4),"T=",AU1232,"D=",AV1232,"R=",AW1232,"M=",AX1232,"L=",AY1232,"B=",AZ1232)</f>
        <v>GREEN T=26D=2R=2M=0L=0B=0</v>
      </c>
      <c r="G1232" s="0" t="s">
        <v>202</v>
      </c>
      <c r="I1232" s="0" t="s">
        <v>5849</v>
      </c>
      <c r="J1232" s="0" t="s">
        <v>5850</v>
      </c>
      <c r="K1232" s="0" t="s">
        <v>175</v>
      </c>
      <c r="L1232" s="0"/>
      <c r="M1232" s="0" t="s">
        <v>5846</v>
      </c>
      <c r="N1232" s="0" t="str">
        <f aca="false">RIGHT(M1232,LEN(M1232)-FIND(" ",M1232))</f>
        <v>IDYLWILD ST NW</v>
      </c>
      <c r="P1232" s="0" t="s">
        <v>146</v>
      </c>
      <c r="Q1232" s="0" t="s">
        <v>147</v>
      </c>
      <c r="R1232" s="0" t="n">
        <v>44483</v>
      </c>
      <c r="V1232" s="0" t="s">
        <v>5851</v>
      </c>
      <c r="X1232" s="0" t="s">
        <v>146</v>
      </c>
      <c r="Y1232" s="0" t="s">
        <v>147</v>
      </c>
      <c r="Z1232" s="0" t="n">
        <v>44485</v>
      </c>
      <c r="AA1232" s="0" t="n">
        <v>552</v>
      </c>
      <c r="AD1232" s="0" t="s">
        <v>148</v>
      </c>
      <c r="AE1232" s="0" t="s">
        <v>149</v>
      </c>
      <c r="AF1232" s="0" t="s">
        <v>150</v>
      </c>
      <c r="AH1232" s="0" t="n">
        <v>14</v>
      </c>
      <c r="AI1232" s="0" t="n">
        <v>11</v>
      </c>
      <c r="AN1232" s="0" t="s">
        <v>146</v>
      </c>
      <c r="AO1232" s="0" t="s">
        <v>250</v>
      </c>
      <c r="AP1232" s="0" t="s">
        <v>251</v>
      </c>
      <c r="AQ1232" s="0" t="n">
        <v>9</v>
      </c>
      <c r="AR1232" s="0" t="n">
        <v>64</v>
      </c>
      <c r="AS1232" s="0" t="n">
        <v>32</v>
      </c>
      <c r="AU1232" s="0" t="n">
        <f aca="false">COUNTA($BA$2539:$EH$2539)</f>
        <v>26</v>
      </c>
      <c r="AV1232" s="0" t="n">
        <f aca="false">COUNTIF($BA$2539:$EH$2539,"D")</f>
        <v>2</v>
      </c>
      <c r="AW1232" s="0" t="n">
        <f aca="false">COUNTIF($BA$2539:$EH$2539,"R")</f>
        <v>2</v>
      </c>
      <c r="AX1232" s="0" t="n">
        <f aca="false"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>0</v>
      </c>
      <c r="AY1232" s="0" t="n">
        <f aca="false">COUNTIF(DU1232:EH1232, "&lt;&gt;")</f>
        <v>0</v>
      </c>
      <c r="AZ1232" s="0" t="n">
        <f aca="false">IF(EH1232&lt;&gt;"",1,0)</f>
        <v>0</v>
      </c>
      <c r="BB1232" s="0" t="s">
        <v>153</v>
      </c>
    </row>
    <row r="1233" customFormat="false" ht="13.8" hidden="true" customHeight="false" outlineLevel="0" collapsed="false">
      <c r="A1233" s="0" t="s">
        <v>5852</v>
      </c>
      <c r="B1233" s="0" t="n">
        <v>78</v>
      </c>
      <c r="C1233" s="0" t="n">
        <v>411114</v>
      </c>
      <c r="D1233" s="0" t="s">
        <v>949</v>
      </c>
      <c r="E1233" s="0" t="s">
        <v>5853</v>
      </c>
      <c r="F1233" s="0" t="str">
        <f aca="false">CONCATENATE(D1233," ",LEFT(H1233,4),"T=",AU1233,"D=",AV1233,"R=",AW1233,"M=",AX1233,"L=",AY1233,"B=",AZ1233)</f>
        <v>RODGERS T=10D=1R=0M=0L=0B=0</v>
      </c>
      <c r="G1233" s="0" t="s">
        <v>297</v>
      </c>
      <c r="I1233" s="0" t="s">
        <v>5854</v>
      </c>
      <c r="J1233" s="0" t="s">
        <v>5855</v>
      </c>
      <c r="K1233" s="0" t="s">
        <v>144</v>
      </c>
      <c r="L1233" s="0"/>
      <c r="M1233" s="0" t="s">
        <v>5846</v>
      </c>
      <c r="N1233" s="0" t="str">
        <f aca="false">RIGHT(M1233,LEN(M1233)-FIND(" ",M1233))</f>
        <v>IDYLWILD ST NW</v>
      </c>
      <c r="P1233" s="0" t="s">
        <v>146</v>
      </c>
      <c r="Q1233" s="0" t="s">
        <v>147</v>
      </c>
      <c r="R1233" s="0" t="n">
        <v>44483</v>
      </c>
      <c r="AD1233" s="0" t="s">
        <v>148</v>
      </c>
      <c r="AE1233" s="0" t="s">
        <v>149</v>
      </c>
      <c r="AF1233" s="0" t="s">
        <v>150</v>
      </c>
      <c r="AH1233" s="0" t="n">
        <v>14</v>
      </c>
      <c r="AI1233" s="0" t="n">
        <v>11</v>
      </c>
      <c r="AN1233" s="0" t="s">
        <v>146</v>
      </c>
      <c r="AO1233" s="0" t="s">
        <v>250</v>
      </c>
      <c r="AP1233" s="0" t="s">
        <v>251</v>
      </c>
      <c r="AQ1233" s="0" t="n">
        <v>9</v>
      </c>
      <c r="AR1233" s="0" t="n">
        <v>64</v>
      </c>
      <c r="AS1233" s="0" t="n">
        <v>32</v>
      </c>
      <c r="AU1233" s="0" t="n">
        <f aca="false">COUNTA($BA$2646:$EH$2646)</f>
        <v>10</v>
      </c>
      <c r="AV1233" s="0" t="n">
        <f aca="false">COUNTIF($BA$2646:$EH$2646,"D")</f>
        <v>1</v>
      </c>
      <c r="AW1233" s="0" t="n">
        <f aca="false">COUNTIF($BA$2646:$EH$2646,"R")</f>
        <v>0</v>
      </c>
      <c r="AX1233" s="0" t="n">
        <f aca="false"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>0</v>
      </c>
      <c r="AY1233" s="0" t="n">
        <f aca="false">COUNTIF(DU1233:EH1233, "&lt;&gt;")</f>
        <v>0</v>
      </c>
      <c r="AZ1233" s="0" t="n">
        <f aca="false">IF(EH1233&lt;&gt;"",1,0)</f>
        <v>0</v>
      </c>
      <c r="BB1233" s="0" t="s">
        <v>153</v>
      </c>
    </row>
    <row r="1234" customFormat="false" ht="13.8" hidden="false" customHeight="false" outlineLevel="0" collapsed="false">
      <c r="A1234" s="0" t="s">
        <v>5856</v>
      </c>
      <c r="B1234" s="0" t="n">
        <v>78</v>
      </c>
      <c r="C1234" s="0" t="n">
        <v>18509</v>
      </c>
      <c r="D1234" s="0" t="s">
        <v>5653</v>
      </c>
      <c r="E1234" s="0" t="s">
        <v>5857</v>
      </c>
      <c r="F1234" s="0" t="str">
        <f aca="false">CONCATENATE(D1234," ",LEFT(H1234,4),"T=",AU1234,"D=",AV1234,"R=",AW1234,"M=",AX1234,"L=",AY1234,"B=",AZ1234)</f>
        <v>FREEMAN T=3D=0R=0M=3L=6B=1</v>
      </c>
      <c r="I1234" s="0" t="s">
        <v>5858</v>
      </c>
      <c r="J1234" s="0" t="s">
        <v>5859</v>
      </c>
      <c r="K1234" s="0" t="s">
        <v>175</v>
      </c>
      <c r="L1234" s="1" t="s">
        <v>155</v>
      </c>
      <c r="M1234" s="0" t="s">
        <v>5860</v>
      </c>
      <c r="N1234" s="0" t="str">
        <f aca="false">RIGHT(M1234,LEN(M1234)-FIND(" ",M1234))</f>
        <v>IDYLWILD ST NW</v>
      </c>
      <c r="P1234" s="0" t="s">
        <v>146</v>
      </c>
      <c r="Q1234" s="0" t="s">
        <v>147</v>
      </c>
      <c r="R1234" s="0" t="n">
        <v>44483</v>
      </c>
      <c r="AD1234" s="0" t="s">
        <v>148</v>
      </c>
      <c r="AE1234" s="0" t="s">
        <v>149</v>
      </c>
      <c r="AF1234" s="0" t="s">
        <v>150</v>
      </c>
      <c r="AH1234" s="0" t="n">
        <v>14</v>
      </c>
      <c r="AI1234" s="0" t="n">
        <v>11</v>
      </c>
      <c r="AN1234" s="0" t="s">
        <v>146</v>
      </c>
      <c r="AO1234" s="0" t="s">
        <v>250</v>
      </c>
      <c r="AP1234" s="0" t="s">
        <v>251</v>
      </c>
      <c r="AQ1234" s="0" t="n">
        <v>9</v>
      </c>
      <c r="AR1234" s="0" t="n">
        <v>64</v>
      </c>
      <c r="AS1234" s="0" t="n">
        <v>32</v>
      </c>
      <c r="AU1234" s="0" t="n">
        <f aca="false">COUNTA($BA$2502:$EH$2502)</f>
        <v>3</v>
      </c>
      <c r="AV1234" s="0" t="n">
        <f aca="false">COUNTIF($BA$2502:$EH$2502,"D")</f>
        <v>0</v>
      </c>
      <c r="AW1234" s="0" t="n">
        <f aca="false">COUNTIF($BA$2502:$EH$2502,"R")</f>
        <v>0</v>
      </c>
      <c r="AX1234" s="0" t="n">
        <f aca="false"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>3</v>
      </c>
      <c r="AY1234" s="0" t="n">
        <f aca="false">COUNTIF(DU1234:EH1234, "&lt;&gt;")</f>
        <v>6</v>
      </c>
      <c r="AZ1234" s="0" t="n">
        <f aca="false">IF(EH1234&lt;&gt;"",1,0)</f>
        <v>1</v>
      </c>
      <c r="BB1234" s="0" t="s">
        <v>153</v>
      </c>
      <c r="BC1234" s="0" t="s">
        <v>154</v>
      </c>
      <c r="BD1234" s="0" t="s">
        <v>154</v>
      </c>
      <c r="BE1234" s="0" t="s">
        <v>154</v>
      </c>
      <c r="BF1234" s="0" t="s">
        <v>154</v>
      </c>
      <c r="BG1234" s="0" t="s">
        <v>154</v>
      </c>
      <c r="BH1234" s="0" t="s">
        <v>154</v>
      </c>
      <c r="BJ1234" s="0" t="s">
        <v>154</v>
      </c>
      <c r="BL1234" s="0" t="s">
        <v>154</v>
      </c>
      <c r="BP1234" s="0" t="s">
        <v>154</v>
      </c>
      <c r="BR1234" s="0" t="s">
        <v>154</v>
      </c>
      <c r="BS1234" s="0" t="s">
        <v>154</v>
      </c>
      <c r="BV1234" s="0" t="s">
        <v>154</v>
      </c>
      <c r="BY1234" s="0" t="s">
        <v>155</v>
      </c>
      <c r="CA1234" s="0" t="s">
        <v>154</v>
      </c>
      <c r="CG1234" s="0" t="s">
        <v>154</v>
      </c>
      <c r="CK1234" s="0" t="s">
        <v>154</v>
      </c>
      <c r="CL1234" s="0" t="s">
        <v>155</v>
      </c>
      <c r="CN1234" s="0" t="s">
        <v>154</v>
      </c>
      <c r="CP1234" s="0" t="s">
        <v>154</v>
      </c>
      <c r="CV1234" s="0" t="s">
        <v>154</v>
      </c>
      <c r="CY1234" s="0" t="s">
        <v>154</v>
      </c>
      <c r="CZ1234" s="0" t="s">
        <v>155</v>
      </c>
      <c r="DC1234" s="0" t="s">
        <v>154</v>
      </c>
      <c r="DD1234" s="0" t="s">
        <v>155</v>
      </c>
      <c r="DF1234" s="0" t="s">
        <v>154</v>
      </c>
      <c r="DG1234" s="0" t="s">
        <v>155</v>
      </c>
      <c r="DI1234" s="0" t="s">
        <v>154</v>
      </c>
      <c r="DL1234" s="0" t="s">
        <v>154</v>
      </c>
      <c r="DM1234" s="0" t="s">
        <v>155</v>
      </c>
      <c r="DN1234" s="0" t="s">
        <v>154</v>
      </c>
      <c r="DS1234" s="0" t="s">
        <v>155</v>
      </c>
      <c r="DU1234" s="0" t="s">
        <v>154</v>
      </c>
      <c r="DX1234" s="0" t="s">
        <v>154</v>
      </c>
      <c r="EA1234" s="0" t="s">
        <v>154</v>
      </c>
      <c r="ED1234" s="0" t="s">
        <v>155</v>
      </c>
      <c r="EF1234" s="0" t="s">
        <v>154</v>
      </c>
      <c r="EH1234" s="0" t="s">
        <v>155</v>
      </c>
    </row>
    <row r="1235" customFormat="false" ht="13.8" hidden="true" customHeight="false" outlineLevel="0" collapsed="false">
      <c r="A1235" s="0" t="s">
        <v>5861</v>
      </c>
      <c r="B1235" s="0" t="n">
        <v>78</v>
      </c>
      <c r="C1235" s="0" t="n">
        <v>465605</v>
      </c>
      <c r="D1235" s="0" t="s">
        <v>675</v>
      </c>
      <c r="E1235" s="0" t="s">
        <v>5862</v>
      </c>
      <c r="F1235" s="0" t="str">
        <f aca="false">CONCATENATE(D1235," ",LEFT(H1235,4),"T=",AU1235,"D=",AV1235,"R=",AW1235,"M=",AX1235,"L=",AY1235,"B=",AZ1235)</f>
        <v>ANDERSON T=2D=0R=0M=0L=0B=0</v>
      </c>
      <c r="G1235" s="0" t="s">
        <v>241</v>
      </c>
      <c r="I1235" s="0" t="s">
        <v>5863</v>
      </c>
      <c r="J1235" s="0" t="s">
        <v>5864</v>
      </c>
      <c r="K1235" s="0" t="s">
        <v>144</v>
      </c>
      <c r="L1235" s="0"/>
      <c r="M1235" s="0" t="s">
        <v>5865</v>
      </c>
      <c r="N1235" s="0" t="str">
        <f aca="false">RIGHT(M1235,LEN(M1235)-FIND(" ",M1235))</f>
        <v>IDYLWILD ST NW</v>
      </c>
      <c r="P1235" s="0" t="s">
        <v>146</v>
      </c>
      <c r="Q1235" s="0" t="s">
        <v>147</v>
      </c>
      <c r="R1235" s="0" t="n">
        <v>44483</v>
      </c>
      <c r="AD1235" s="0" t="s">
        <v>148</v>
      </c>
      <c r="AE1235" s="0" t="s">
        <v>149</v>
      </c>
      <c r="AF1235" s="0" t="s">
        <v>150</v>
      </c>
      <c r="AH1235" s="0" t="n">
        <v>14</v>
      </c>
      <c r="AI1235" s="0" t="n">
        <v>11</v>
      </c>
      <c r="AN1235" s="0" t="s">
        <v>146</v>
      </c>
      <c r="AO1235" s="0" t="s">
        <v>250</v>
      </c>
      <c r="AP1235" s="0" t="s">
        <v>251</v>
      </c>
      <c r="AQ1235" s="0" t="n">
        <v>9</v>
      </c>
      <c r="AR1235" s="0" t="n">
        <v>64</v>
      </c>
      <c r="AS1235" s="0" t="n">
        <v>32</v>
      </c>
      <c r="AU1235" s="0" t="n">
        <f aca="false">COUNTA($BA$2812:$EH$2812)</f>
        <v>2</v>
      </c>
      <c r="AV1235" s="0" t="n">
        <f aca="false">COUNTIF($BA$2812:$EH$2812,"D")</f>
        <v>0</v>
      </c>
      <c r="AW1235" s="0" t="n">
        <f aca="false">COUNTIF($BA$2812:$EH$2812,"R")</f>
        <v>0</v>
      </c>
      <c r="AX1235" s="0" t="n">
        <f aca="false"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>0</v>
      </c>
      <c r="AY1235" s="0" t="n">
        <f aca="false">COUNTIF(DU1235:EH1235, "&lt;&gt;")</f>
        <v>0</v>
      </c>
      <c r="AZ1235" s="0" t="n">
        <f aca="false">IF(EH1235&lt;&gt;"",1,0)</f>
        <v>0</v>
      </c>
      <c r="BB1235" s="0" t="s">
        <v>153</v>
      </c>
    </row>
    <row r="1236" customFormat="false" ht="13.8" hidden="false" customHeight="false" outlineLevel="0" collapsed="false">
      <c r="A1236" s="0" t="s">
        <v>5866</v>
      </c>
      <c r="B1236" s="0" t="n">
        <v>78</v>
      </c>
      <c r="C1236" s="0" t="n">
        <v>449333</v>
      </c>
      <c r="D1236" s="0" t="s">
        <v>1657</v>
      </c>
      <c r="E1236" s="0" t="s">
        <v>920</v>
      </c>
      <c r="F1236" s="0" t="str">
        <f aca="false">CONCATENATE(D1236," ",LEFT(H1236,4),"T=",AU1236,"D=",AV1236,"R=",AW1236,"M=",AX1236,"L=",AY1236,"B=",AZ1236)</f>
        <v>MILLER T=14D=2R=0M=0L=2B=0</v>
      </c>
      <c r="G1236" s="0" t="s">
        <v>241</v>
      </c>
      <c r="I1236" s="0" t="s">
        <v>5867</v>
      </c>
      <c r="J1236" s="0" t="s">
        <v>5868</v>
      </c>
      <c r="K1236" s="0" t="s">
        <v>175</v>
      </c>
      <c r="M1236" s="0" t="s">
        <v>5869</v>
      </c>
      <c r="N1236" s="0" t="str">
        <f aca="false">RIGHT(M1236,LEN(M1236)-FIND(" ",M1236))</f>
        <v>IDYLWILD ST NW</v>
      </c>
      <c r="P1236" s="0" t="s">
        <v>146</v>
      </c>
      <c r="Q1236" s="0" t="s">
        <v>147</v>
      </c>
      <c r="R1236" s="0" t="n">
        <v>44483</v>
      </c>
      <c r="AD1236" s="0" t="s">
        <v>148</v>
      </c>
      <c r="AE1236" s="0" t="s">
        <v>149</v>
      </c>
      <c r="AF1236" s="0" t="s">
        <v>150</v>
      </c>
      <c r="AH1236" s="0" t="n">
        <v>14</v>
      </c>
      <c r="AI1236" s="0" t="n">
        <v>11</v>
      </c>
      <c r="AN1236" s="0" t="s">
        <v>146</v>
      </c>
      <c r="AO1236" s="0" t="s">
        <v>250</v>
      </c>
      <c r="AP1236" s="0" t="s">
        <v>251</v>
      </c>
      <c r="AQ1236" s="0" t="n">
        <v>9</v>
      </c>
      <c r="AR1236" s="0" t="n">
        <v>64</v>
      </c>
      <c r="AS1236" s="0" t="n">
        <v>32</v>
      </c>
      <c r="AU1236" s="0" t="n">
        <f aca="false">COUNTA($BA$2087:$EH$2087)</f>
        <v>14</v>
      </c>
      <c r="AV1236" s="0" t="n">
        <f aca="false">COUNTIF($BA$2087:$EH$2087,"D")</f>
        <v>2</v>
      </c>
      <c r="AW1236" s="0" t="n">
        <f aca="false">COUNTIF($BA$2087:$EH$2087,"R")</f>
        <v>0</v>
      </c>
      <c r="AX1236" s="0" t="n">
        <f aca="false"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>0</v>
      </c>
      <c r="AY1236" s="0" t="n">
        <f aca="false">COUNTIF(DU1236:EH1236, "&lt;&gt;")</f>
        <v>2</v>
      </c>
      <c r="AZ1236" s="0" t="n">
        <f aca="false">IF(EH1236&lt;&gt;"",1,0)</f>
        <v>0</v>
      </c>
      <c r="BB1236" s="0" t="s">
        <v>153</v>
      </c>
      <c r="CA1236" s="0" t="s">
        <v>154</v>
      </c>
      <c r="DN1236" s="0" t="s">
        <v>154</v>
      </c>
      <c r="DU1236" s="0" t="s">
        <v>154</v>
      </c>
      <c r="EF1236" s="0" t="s">
        <v>154</v>
      </c>
    </row>
    <row r="1237" customFormat="false" ht="13.8" hidden="true" customHeight="false" outlineLevel="0" collapsed="false">
      <c r="A1237" s="0" t="s">
        <v>5870</v>
      </c>
      <c r="B1237" s="0" t="n">
        <v>78</v>
      </c>
      <c r="C1237" s="0" t="n">
        <v>437168</v>
      </c>
      <c r="D1237" s="0" t="s">
        <v>5871</v>
      </c>
      <c r="E1237" s="0" t="s">
        <v>842</v>
      </c>
      <c r="F1237" s="0" t="str">
        <f aca="false">CONCATENATE(D1237," ",LEFT(H1237,4),"T=",AU1237,"D=",AV1237,"R=",AW1237,"M=",AX1237,"L=",AY1237,"B=",AZ1237)</f>
        <v>CURRIE T=23D=0R=2M=0L=1B=0</v>
      </c>
      <c r="G1237" s="0" t="s">
        <v>939</v>
      </c>
      <c r="I1237" s="0" t="s">
        <v>5872</v>
      </c>
      <c r="J1237" s="0" t="s">
        <v>1251</v>
      </c>
      <c r="K1237" s="0" t="s">
        <v>144</v>
      </c>
      <c r="L1237" s="0"/>
      <c r="M1237" s="0" t="s">
        <v>5869</v>
      </c>
      <c r="N1237" s="0" t="str">
        <f aca="false">RIGHT(M1237,LEN(M1237)-FIND(" ",M1237))</f>
        <v>IDYLWILD ST NW</v>
      </c>
      <c r="P1237" s="0" t="s">
        <v>146</v>
      </c>
      <c r="Q1237" s="0" t="s">
        <v>147</v>
      </c>
      <c r="R1237" s="0" t="n">
        <v>44483</v>
      </c>
      <c r="AD1237" s="0" t="s">
        <v>148</v>
      </c>
      <c r="AE1237" s="0" t="s">
        <v>149</v>
      </c>
      <c r="AF1237" s="0" t="s">
        <v>150</v>
      </c>
      <c r="AH1237" s="0" t="n">
        <v>14</v>
      </c>
      <c r="AI1237" s="0" t="n">
        <v>11</v>
      </c>
      <c r="AN1237" s="0" t="s">
        <v>146</v>
      </c>
      <c r="AO1237" s="0" t="s">
        <v>250</v>
      </c>
      <c r="AP1237" s="0" t="s">
        <v>251</v>
      </c>
      <c r="AQ1237" s="0" t="n">
        <v>9</v>
      </c>
      <c r="AR1237" s="0" t="n">
        <v>64</v>
      </c>
      <c r="AS1237" s="0" t="n">
        <v>32</v>
      </c>
      <c r="AU1237" s="0" t="n">
        <f aca="false">COUNTA($BA$2560:$EH$2560)</f>
        <v>23</v>
      </c>
      <c r="AV1237" s="0" t="n">
        <f aca="false">COUNTIF($BA$2560:$EH$2560,"D")</f>
        <v>0</v>
      </c>
      <c r="AW1237" s="0" t="n">
        <f aca="false">COUNTIF($BA$2560:$EH$2560,"R")</f>
        <v>2</v>
      </c>
      <c r="AX1237" s="0" t="n">
        <f aca="false"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>0</v>
      </c>
      <c r="AY1237" s="0" t="n">
        <f aca="false">COUNTIF(DU1237:EH1237, "&lt;&gt;")</f>
        <v>1</v>
      </c>
      <c r="AZ1237" s="0" t="n">
        <f aca="false">IF(EH1237&lt;&gt;"",1,0)</f>
        <v>0</v>
      </c>
      <c r="BB1237" s="0" t="s">
        <v>153</v>
      </c>
      <c r="BL1237" s="0" t="s">
        <v>154</v>
      </c>
      <c r="CA1237" s="0" t="s">
        <v>154</v>
      </c>
      <c r="CP1237" s="0" t="s">
        <v>154</v>
      </c>
      <c r="DN1237" s="0" t="s">
        <v>154</v>
      </c>
      <c r="DU1237" s="0" t="s">
        <v>154</v>
      </c>
    </row>
    <row r="1238" customFormat="false" ht="13.8" hidden="true" customHeight="false" outlineLevel="0" collapsed="false">
      <c r="A1238" s="0" t="s">
        <v>5873</v>
      </c>
      <c r="B1238" s="0" t="n">
        <v>78</v>
      </c>
      <c r="C1238" s="0" t="n">
        <v>439377</v>
      </c>
      <c r="D1238" s="0" t="s">
        <v>5874</v>
      </c>
      <c r="E1238" s="0" t="s">
        <v>208</v>
      </c>
      <c r="F1238" s="0" t="str">
        <f aca="false">CONCATENATE(D1238," ",LEFT(H1238,4),"T=",AU1238,"D=",AV1238,"R=",AW1238,"M=",AX1238,"L=",AY1238,"B=",AZ1238)</f>
        <v>EAKEN T=1D=0R=0M=0L=0B=0</v>
      </c>
      <c r="G1238" s="0" t="s">
        <v>690</v>
      </c>
      <c r="I1238" s="0" t="s">
        <v>5875</v>
      </c>
      <c r="J1238" s="0" t="s">
        <v>5876</v>
      </c>
      <c r="K1238" s="0" t="s">
        <v>175</v>
      </c>
      <c r="L1238" s="0"/>
      <c r="M1238" s="0" t="s">
        <v>5869</v>
      </c>
      <c r="N1238" s="0" t="str">
        <f aca="false">RIGHT(M1238,LEN(M1238)-FIND(" ",M1238))</f>
        <v>IDYLWILD ST NW</v>
      </c>
      <c r="P1238" s="0" t="s">
        <v>146</v>
      </c>
      <c r="Q1238" s="0" t="s">
        <v>147</v>
      </c>
      <c r="R1238" s="0" t="n">
        <v>44483</v>
      </c>
      <c r="AD1238" s="0" t="s">
        <v>148</v>
      </c>
      <c r="AE1238" s="0" t="s">
        <v>149</v>
      </c>
      <c r="AF1238" s="0" t="s">
        <v>150</v>
      </c>
      <c r="AH1238" s="0" t="n">
        <v>14</v>
      </c>
      <c r="AI1238" s="0" t="n">
        <v>11</v>
      </c>
      <c r="AN1238" s="0" t="s">
        <v>146</v>
      </c>
      <c r="AO1238" s="0" t="s">
        <v>250</v>
      </c>
      <c r="AP1238" s="0" t="s">
        <v>251</v>
      </c>
      <c r="AQ1238" s="0" t="n">
        <v>9</v>
      </c>
      <c r="AR1238" s="0" t="n">
        <v>64</v>
      </c>
      <c r="AS1238" s="0" t="n">
        <v>32</v>
      </c>
      <c r="AU1238" s="0" t="n">
        <f aca="false">COUNTA($BA$2588:$EH$2588)</f>
        <v>1</v>
      </c>
      <c r="AV1238" s="0" t="n">
        <f aca="false">COUNTIF($BA$2588:$EH$2588,"D")</f>
        <v>0</v>
      </c>
      <c r="AW1238" s="0" t="n">
        <f aca="false">COUNTIF($BA$2588:$EH$2588,"R")</f>
        <v>0</v>
      </c>
      <c r="AX1238" s="0" t="n">
        <f aca="false"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>0</v>
      </c>
      <c r="AY1238" s="0" t="n">
        <f aca="false">COUNTIF(DU1238:EH1238, "&lt;&gt;")</f>
        <v>0</v>
      </c>
      <c r="AZ1238" s="0" t="n">
        <f aca="false">IF(EH1238&lt;&gt;"",1,0)</f>
        <v>0</v>
      </c>
      <c r="BB1238" s="0" t="s">
        <v>153</v>
      </c>
    </row>
    <row r="1239" customFormat="false" ht="13.8" hidden="true" customHeight="false" outlineLevel="0" collapsed="false">
      <c r="A1239" s="0" t="s">
        <v>5877</v>
      </c>
      <c r="B1239" s="0" t="n">
        <v>78</v>
      </c>
      <c r="C1239" s="0" t="n">
        <v>353287</v>
      </c>
      <c r="D1239" s="0" t="s">
        <v>5878</v>
      </c>
      <c r="E1239" s="0" t="s">
        <v>5879</v>
      </c>
      <c r="F1239" s="0" t="str">
        <f aca="false">CONCATENATE(D1239," ",LEFT(H1239,4),"T=",AU1239,"D=",AV1239,"R=",AW1239,"M=",AX1239,"L=",AY1239,"B=",AZ1239)</f>
        <v>CALDERON T=13D=0R=1M=0L=0B=0</v>
      </c>
      <c r="G1239" s="0" t="s">
        <v>2397</v>
      </c>
      <c r="I1239" s="0" t="s">
        <v>5880</v>
      </c>
      <c r="J1239" s="0" t="s">
        <v>285</v>
      </c>
      <c r="K1239" s="0" t="s">
        <v>144</v>
      </c>
      <c r="L1239" s="0"/>
      <c r="M1239" s="0" t="s">
        <v>5869</v>
      </c>
      <c r="N1239" s="0" t="str">
        <f aca="false">RIGHT(M1239,LEN(M1239)-FIND(" ",M1239))</f>
        <v>IDYLWILD ST NW</v>
      </c>
      <c r="P1239" s="0" t="s">
        <v>146</v>
      </c>
      <c r="Q1239" s="0" t="s">
        <v>147</v>
      </c>
      <c r="R1239" s="0" t="n">
        <v>44483</v>
      </c>
      <c r="AD1239" s="0" t="s">
        <v>148</v>
      </c>
      <c r="AE1239" s="0" t="s">
        <v>149</v>
      </c>
      <c r="AF1239" s="0" t="s">
        <v>150</v>
      </c>
      <c r="AH1239" s="0" t="n">
        <v>14</v>
      </c>
      <c r="AI1239" s="0" t="n">
        <v>11</v>
      </c>
      <c r="AN1239" s="0" t="s">
        <v>146</v>
      </c>
      <c r="AO1239" s="0" t="s">
        <v>250</v>
      </c>
      <c r="AP1239" s="0" t="s">
        <v>251</v>
      </c>
      <c r="AQ1239" s="0" t="n">
        <v>9</v>
      </c>
      <c r="AR1239" s="0" t="n">
        <v>64</v>
      </c>
      <c r="AS1239" s="0" t="n">
        <v>32</v>
      </c>
      <c r="AU1239" s="0" t="n">
        <f aca="false">COUNTA($BA$2600:$EH$2600)</f>
        <v>13</v>
      </c>
      <c r="AV1239" s="0" t="n">
        <f aca="false">COUNTIF($BA$2600:$EH$2600,"D")</f>
        <v>0</v>
      </c>
      <c r="AW1239" s="0" t="n">
        <f aca="false">COUNTIF($BA$2600:$EH$2600,"R")</f>
        <v>1</v>
      </c>
      <c r="AX1239" s="0" t="n">
        <f aca="false"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>0</v>
      </c>
      <c r="AY1239" s="0" t="n">
        <f aca="false">COUNTIF(DU1239:EH1239, "&lt;&gt;")</f>
        <v>0</v>
      </c>
      <c r="AZ1239" s="0" t="n">
        <f aca="false">IF(EH1239&lt;&gt;"",1,0)</f>
        <v>0</v>
      </c>
      <c r="BB1239" s="0" t="s">
        <v>153</v>
      </c>
    </row>
    <row r="1240" customFormat="false" ht="13.8" hidden="true" customHeight="false" outlineLevel="0" collapsed="false">
      <c r="A1240" s="0" t="s">
        <v>5881</v>
      </c>
      <c r="B1240" s="0" t="n">
        <v>78</v>
      </c>
      <c r="C1240" s="0" t="n">
        <v>371491</v>
      </c>
      <c r="D1240" s="0" t="s">
        <v>4438</v>
      </c>
      <c r="E1240" s="0" t="s">
        <v>5882</v>
      </c>
      <c r="F1240" s="0" t="str">
        <f aca="false">CONCATENATE(D1240," ",LEFT(H1240,4),"T=",AU1240,"D=",AV1240,"R=",AW1240,"M=",AX1240,"L=",AY1240,"B=",AZ1240)</f>
        <v>CHANDLER SRT=45D=15R=0M=0L=0B=0</v>
      </c>
      <c r="G1240" s="0" t="s">
        <v>5883</v>
      </c>
      <c r="H1240" s="0" t="s">
        <v>311</v>
      </c>
      <c r="I1240" s="0" t="s">
        <v>5884</v>
      </c>
      <c r="J1240" s="0" t="s">
        <v>5885</v>
      </c>
      <c r="K1240" s="0" t="s">
        <v>175</v>
      </c>
      <c r="L1240" s="0"/>
      <c r="M1240" s="0" t="s">
        <v>5886</v>
      </c>
      <c r="N1240" s="0" t="str">
        <f aca="false">RIGHT(M1240,LEN(M1240)-FIND(" ",M1240))</f>
        <v>IDYLWILD ST NW</v>
      </c>
      <c r="P1240" s="0" t="s">
        <v>146</v>
      </c>
      <c r="Q1240" s="0" t="s">
        <v>147</v>
      </c>
      <c r="R1240" s="0" t="n">
        <v>44483</v>
      </c>
      <c r="AD1240" s="0" t="s">
        <v>148</v>
      </c>
      <c r="AE1240" s="0" t="s">
        <v>149</v>
      </c>
      <c r="AF1240" s="0" t="s">
        <v>150</v>
      </c>
      <c r="AH1240" s="0" t="n">
        <v>14</v>
      </c>
      <c r="AI1240" s="0" t="n">
        <v>11</v>
      </c>
      <c r="AN1240" s="0" t="s">
        <v>146</v>
      </c>
      <c r="AO1240" s="0" t="s">
        <v>250</v>
      </c>
      <c r="AP1240" s="0" t="s">
        <v>251</v>
      </c>
      <c r="AQ1240" s="0" t="n">
        <v>9</v>
      </c>
      <c r="AR1240" s="0" t="n">
        <v>64</v>
      </c>
      <c r="AS1240" s="0" t="n">
        <v>32</v>
      </c>
      <c r="AU1240" s="0" t="n">
        <f aca="false">COUNTA($BA$2754:$EH$2754)</f>
        <v>45</v>
      </c>
      <c r="AV1240" s="0" t="n">
        <f aca="false">COUNTIF($BA$2754:$EH$2754,"D")</f>
        <v>15</v>
      </c>
      <c r="AW1240" s="0" t="n">
        <f aca="false">COUNTIF($BA$2754:$EH$2754,"R")</f>
        <v>0</v>
      </c>
      <c r="AX1240" s="0" t="n">
        <f aca="false"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>0</v>
      </c>
      <c r="AY1240" s="0" t="n">
        <f aca="false">COUNTIF(DU1240:EH1240, "&lt;&gt;")</f>
        <v>0</v>
      </c>
      <c r="AZ1240" s="0" t="n">
        <f aca="false">IF(EH1240&lt;&gt;"",1,0)</f>
        <v>0</v>
      </c>
      <c r="BB1240" s="0" t="s">
        <v>153</v>
      </c>
    </row>
    <row r="1241" customFormat="false" ht="13.8" hidden="false" customHeight="false" outlineLevel="0" collapsed="false">
      <c r="A1241" s="0" t="s">
        <v>5887</v>
      </c>
      <c r="B1241" s="0" t="n">
        <v>78</v>
      </c>
      <c r="C1241" s="0" t="n">
        <v>152737</v>
      </c>
      <c r="D1241" s="0" t="s">
        <v>5700</v>
      </c>
      <c r="E1241" s="0" t="s">
        <v>1410</v>
      </c>
      <c r="F1241" s="0" t="str">
        <f aca="false">CONCATENATE(D1241," ",LEFT(H1241,4),"T=",AU1241,"D=",AV1241,"R=",AW1241,"M=",AX1241,"L=",AY1241,"B=",AZ1241)</f>
        <v>EDGERSON T=9D=0R=0M=3L=5B=1</v>
      </c>
      <c r="I1241" s="0" t="s">
        <v>5888</v>
      </c>
      <c r="J1241" s="0" t="s">
        <v>395</v>
      </c>
      <c r="K1241" s="0" t="s">
        <v>175</v>
      </c>
      <c r="L1241" s="1" t="s">
        <v>155</v>
      </c>
      <c r="M1241" s="0" t="s">
        <v>5889</v>
      </c>
      <c r="N1241" s="0" t="str">
        <f aca="false">RIGHT(M1241,LEN(M1241)-FIND(" ",M1241))</f>
        <v>IDYLWILD ST NW</v>
      </c>
      <c r="P1241" s="0" t="s">
        <v>146</v>
      </c>
      <c r="Q1241" s="0" t="s">
        <v>147</v>
      </c>
      <c r="R1241" s="0" t="n">
        <v>44483</v>
      </c>
      <c r="AD1241" s="0" t="s">
        <v>148</v>
      </c>
      <c r="AE1241" s="0" t="s">
        <v>149</v>
      </c>
      <c r="AF1241" s="0" t="s">
        <v>150</v>
      </c>
      <c r="AH1241" s="0" t="n">
        <v>14</v>
      </c>
      <c r="AI1241" s="0" t="n">
        <v>11</v>
      </c>
      <c r="AN1241" s="0" t="s">
        <v>146</v>
      </c>
      <c r="AO1241" s="0" t="s">
        <v>250</v>
      </c>
      <c r="AP1241" s="0" t="s">
        <v>251</v>
      </c>
      <c r="AQ1241" s="0" t="n">
        <v>9</v>
      </c>
      <c r="AR1241" s="0" t="n">
        <v>64</v>
      </c>
      <c r="AS1241" s="0" t="n">
        <v>32</v>
      </c>
      <c r="AU1241" s="0" t="n">
        <f aca="false">COUNTA($BA$2795:$EH$2795)</f>
        <v>9</v>
      </c>
      <c r="AV1241" s="0" t="n">
        <f aca="false">COUNTIF($BA$2795:$EH$2795,"D")</f>
        <v>0</v>
      </c>
      <c r="AW1241" s="0" t="n">
        <f aca="false">COUNTIF($BA$2795:$EH$2795,"R")</f>
        <v>0</v>
      </c>
      <c r="AX1241" s="0" t="n">
        <f aca="false"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>3</v>
      </c>
      <c r="AY1241" s="0" t="n">
        <f aca="false">COUNTIF(DU1241:EH1241, "&lt;&gt;")</f>
        <v>5</v>
      </c>
      <c r="AZ1241" s="0" t="n">
        <f aca="false">IF(EH1241&lt;&gt;"",1,0)</f>
        <v>1</v>
      </c>
      <c r="BB1241" s="0" t="s">
        <v>153</v>
      </c>
      <c r="BD1241" s="0" t="s">
        <v>154</v>
      </c>
      <c r="BF1241" s="0" t="s">
        <v>154</v>
      </c>
      <c r="BH1241" s="0" t="s">
        <v>154</v>
      </c>
      <c r="BJ1241" s="0" t="s">
        <v>154</v>
      </c>
      <c r="BL1241" s="0" t="s">
        <v>154</v>
      </c>
      <c r="BP1241" s="0" t="s">
        <v>154</v>
      </c>
      <c r="BR1241" s="0" t="s">
        <v>154</v>
      </c>
      <c r="BS1241" s="0" t="s">
        <v>154</v>
      </c>
      <c r="BY1241" s="0" t="s">
        <v>155</v>
      </c>
      <c r="CA1241" s="0" t="s">
        <v>154</v>
      </c>
      <c r="CN1241" s="0" t="s">
        <v>154</v>
      </c>
      <c r="CP1241" s="0" t="s">
        <v>154</v>
      </c>
      <c r="CU1241" s="0" t="s">
        <v>155</v>
      </c>
      <c r="CV1241" s="0" t="s">
        <v>154</v>
      </c>
      <c r="CW1241" s="0" t="s">
        <v>155</v>
      </c>
      <c r="CY1241" s="0" t="s">
        <v>154</v>
      </c>
      <c r="DC1241" s="0" t="s">
        <v>154</v>
      </c>
      <c r="DI1241" s="0" t="s">
        <v>154</v>
      </c>
      <c r="DL1241" s="0" t="s">
        <v>154</v>
      </c>
      <c r="DN1241" s="0" t="s">
        <v>154</v>
      </c>
      <c r="DO1241" s="0" t="s">
        <v>155</v>
      </c>
      <c r="DS1241" s="0" t="s">
        <v>155</v>
      </c>
      <c r="DU1241" s="0" t="s">
        <v>154</v>
      </c>
      <c r="DX1241" s="0" t="s">
        <v>154</v>
      </c>
      <c r="ED1241" s="0" t="s">
        <v>155</v>
      </c>
      <c r="EF1241" s="0" t="s">
        <v>154</v>
      </c>
      <c r="EH1241" s="0" t="s">
        <v>155</v>
      </c>
    </row>
    <row r="1242" customFormat="false" ht="13.8" hidden="false" customHeight="false" outlineLevel="0" collapsed="false">
      <c r="A1242" s="0" t="s">
        <v>5890</v>
      </c>
      <c r="B1242" s="0" t="n">
        <v>78</v>
      </c>
      <c r="C1242" s="0" t="n">
        <v>382456</v>
      </c>
      <c r="D1242" s="0" t="s">
        <v>5891</v>
      </c>
      <c r="E1242" s="0" t="s">
        <v>5892</v>
      </c>
      <c r="F1242" s="0" t="str">
        <f aca="false">CONCATENATE(D1242," ",LEFT(H1242,4),"T=",AU1242,"D=",AV1242,"R=",AW1242,"M=",AX1242,"L=",AY1242,"B=",AZ1242)</f>
        <v>KLINTZ T=14D=1R=0M=5L=6B=0</v>
      </c>
      <c r="G1242" s="0" t="s">
        <v>172</v>
      </c>
      <c r="I1242" s="0" t="s">
        <v>5893</v>
      </c>
      <c r="J1242" s="0" t="s">
        <v>5894</v>
      </c>
      <c r="K1242" s="0" t="s">
        <v>175</v>
      </c>
      <c r="L1242" s="1" t="s">
        <v>155</v>
      </c>
      <c r="M1242" s="0" t="s">
        <v>5895</v>
      </c>
      <c r="N1242" s="0" t="str">
        <f aca="false">RIGHT(M1242,LEN(M1242)-FIND(" ",M1242))</f>
        <v>IDYLWILD ST NW</v>
      </c>
      <c r="P1242" s="0" t="s">
        <v>146</v>
      </c>
      <c r="Q1242" s="0" t="s">
        <v>147</v>
      </c>
      <c r="R1242" s="0" t="n">
        <v>44483</v>
      </c>
      <c r="AD1242" s="0" t="s">
        <v>148</v>
      </c>
      <c r="AE1242" s="0" t="s">
        <v>149</v>
      </c>
      <c r="AF1242" s="0" t="s">
        <v>150</v>
      </c>
      <c r="AH1242" s="0" t="n">
        <v>14</v>
      </c>
      <c r="AI1242" s="0" t="n">
        <v>11</v>
      </c>
      <c r="AN1242" s="0" t="s">
        <v>146</v>
      </c>
      <c r="AO1242" s="0" t="s">
        <v>250</v>
      </c>
      <c r="AP1242" s="0" t="s">
        <v>251</v>
      </c>
      <c r="AQ1242" s="0" t="n">
        <v>9</v>
      </c>
      <c r="AR1242" s="0" t="n">
        <v>64</v>
      </c>
      <c r="AS1242" s="0" t="n">
        <v>32</v>
      </c>
      <c r="AU1242" s="0" t="n">
        <f aca="false">COUNTA($BA$2109:$EH$2109)</f>
        <v>14</v>
      </c>
      <c r="AV1242" s="0" t="n">
        <f aca="false">COUNTIF($BA$2109:$EH$2109,"D")</f>
        <v>1</v>
      </c>
      <c r="AW1242" s="0" t="n">
        <f aca="false">COUNTIF($BA$2109:$EH$2109,"R")</f>
        <v>0</v>
      </c>
      <c r="AX1242" s="0" t="n">
        <f aca="false"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>5</v>
      </c>
      <c r="AY1242" s="0" t="n">
        <f aca="false">COUNTIF(DU1242:EH1242, "&lt;&gt;")</f>
        <v>6</v>
      </c>
      <c r="AZ1242" s="0" t="n">
        <f aca="false">IF(EH1242&lt;&gt;"",1,0)</f>
        <v>0</v>
      </c>
      <c r="BB1242" s="0" t="s">
        <v>153</v>
      </c>
      <c r="CN1242" s="0" t="s">
        <v>154</v>
      </c>
      <c r="CP1242" s="0" t="s">
        <v>154</v>
      </c>
      <c r="CU1242" s="0" t="s">
        <v>155</v>
      </c>
      <c r="CV1242" s="0" t="s">
        <v>154</v>
      </c>
      <c r="CW1242" s="0" t="s">
        <v>155</v>
      </c>
      <c r="CY1242" s="0" t="s">
        <v>154</v>
      </c>
      <c r="CZ1242" s="0" t="s">
        <v>155</v>
      </c>
      <c r="DC1242" s="0" t="s">
        <v>154</v>
      </c>
      <c r="DD1242" s="0" t="s">
        <v>155</v>
      </c>
      <c r="DF1242" s="0" t="s">
        <v>154</v>
      </c>
      <c r="DG1242" s="0" t="s">
        <v>155</v>
      </c>
      <c r="DI1242" s="0" t="s">
        <v>154</v>
      </c>
      <c r="DJ1242" s="0" t="s">
        <v>155</v>
      </c>
      <c r="DL1242" s="0" t="s">
        <v>154</v>
      </c>
      <c r="DN1242" s="0" t="s">
        <v>154</v>
      </c>
      <c r="DO1242" s="0" t="s">
        <v>155</v>
      </c>
      <c r="DR1242" s="0" t="s">
        <v>154</v>
      </c>
      <c r="DS1242" s="0" t="s">
        <v>155</v>
      </c>
      <c r="DU1242" s="0" t="s">
        <v>154</v>
      </c>
      <c r="DW1242" s="0" t="s">
        <v>155</v>
      </c>
      <c r="DX1242" s="0" t="s">
        <v>154</v>
      </c>
      <c r="EA1242" s="0" t="s">
        <v>154</v>
      </c>
      <c r="ED1242" s="0" t="s">
        <v>155</v>
      </c>
      <c r="EF1242" s="0" t="s">
        <v>154</v>
      </c>
    </row>
    <row r="1243" customFormat="false" ht="13.8" hidden="true" customHeight="false" outlineLevel="0" collapsed="false">
      <c r="A1243" s="0" t="s">
        <v>5896</v>
      </c>
      <c r="B1243" s="0" t="n">
        <v>78</v>
      </c>
      <c r="C1243" s="0" t="n">
        <v>163373</v>
      </c>
      <c r="D1243" s="0" t="s">
        <v>5897</v>
      </c>
      <c r="E1243" s="0" t="s">
        <v>5598</v>
      </c>
      <c r="F1243" s="0" t="str">
        <f aca="false">CONCATENATE(D1243," ",LEFT(H1243,4),"T=",AU1243,"D=",AV1243,"R=",AW1243,"M=",AX1243,"L=",AY1243,"B=",AZ1243)</f>
        <v>HOLUPKA T=1D=0R=0M=0L=1B=0</v>
      </c>
      <c r="G1243" s="0" t="s">
        <v>297</v>
      </c>
      <c r="I1243" s="0" t="s">
        <v>5898</v>
      </c>
      <c r="J1243" s="0" t="s">
        <v>5899</v>
      </c>
      <c r="K1243" s="0" t="s">
        <v>175</v>
      </c>
      <c r="L1243" s="0"/>
      <c r="M1243" s="0" t="s">
        <v>5900</v>
      </c>
      <c r="N1243" s="0" t="str">
        <f aca="false">RIGHT(M1243,LEN(M1243)-FIND(" ",M1243))</f>
        <v>IDYLWILD ST NW</v>
      </c>
      <c r="P1243" s="0" t="s">
        <v>146</v>
      </c>
      <c r="Q1243" s="0" t="s">
        <v>147</v>
      </c>
      <c r="R1243" s="0" t="n">
        <v>44483</v>
      </c>
      <c r="AD1243" s="0" t="s">
        <v>148</v>
      </c>
      <c r="AE1243" s="0" t="s">
        <v>149</v>
      </c>
      <c r="AF1243" s="0" t="s">
        <v>150</v>
      </c>
      <c r="AH1243" s="0" t="n">
        <v>14</v>
      </c>
      <c r="AI1243" s="0" t="n">
        <v>11</v>
      </c>
      <c r="AN1243" s="0" t="s">
        <v>146</v>
      </c>
      <c r="AO1243" s="0" t="s">
        <v>250</v>
      </c>
      <c r="AP1243" s="0" t="s">
        <v>251</v>
      </c>
      <c r="AQ1243" s="0" t="n">
        <v>9</v>
      </c>
      <c r="AR1243" s="0" t="n">
        <v>64</v>
      </c>
      <c r="AS1243" s="0" t="n">
        <v>32</v>
      </c>
      <c r="AU1243" s="0" t="n">
        <f aca="false">COUNTA($BA$2240:$EH$2240)</f>
        <v>1</v>
      </c>
      <c r="AV1243" s="0" t="n">
        <f aca="false">COUNTIF($BA$2240:$EH$2240,"D")</f>
        <v>0</v>
      </c>
      <c r="AW1243" s="0" t="n">
        <f aca="false">COUNTIF($BA$2240:$EH$2240,"R")</f>
        <v>0</v>
      </c>
      <c r="AX1243" s="0" t="n">
        <f aca="false"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>0</v>
      </c>
      <c r="AY1243" s="0" t="n">
        <f aca="false">COUNTIF(DU1243:EH1243, "&lt;&gt;")</f>
        <v>1</v>
      </c>
      <c r="AZ1243" s="0" t="n">
        <f aca="false">IF(EH1243&lt;&gt;"",1,0)</f>
        <v>0</v>
      </c>
      <c r="BB1243" s="0" t="s">
        <v>153</v>
      </c>
      <c r="BD1243" s="0" t="s">
        <v>154</v>
      </c>
      <c r="BL1243" s="0" t="s">
        <v>154</v>
      </c>
      <c r="BS1243" s="0" t="s">
        <v>154</v>
      </c>
      <c r="CA1243" s="0" t="s">
        <v>154</v>
      </c>
      <c r="CG1243" s="0" t="s">
        <v>154</v>
      </c>
      <c r="CP1243" s="0" t="s">
        <v>154</v>
      </c>
      <c r="CV1243" s="0" t="s">
        <v>154</v>
      </c>
      <c r="DC1243" s="0" t="s">
        <v>154</v>
      </c>
      <c r="DI1243" s="0" t="s">
        <v>154</v>
      </c>
      <c r="DN1243" s="0" t="s">
        <v>154</v>
      </c>
      <c r="EF1243" s="0" t="s">
        <v>154</v>
      </c>
    </row>
    <row r="1244" customFormat="false" ht="13.8" hidden="true" customHeight="false" outlineLevel="0" collapsed="false">
      <c r="A1244" s="0" t="s">
        <v>5901</v>
      </c>
      <c r="B1244" s="0" t="n">
        <v>78</v>
      </c>
      <c r="C1244" s="0" t="n">
        <v>233521</v>
      </c>
      <c r="D1244" s="0" t="s">
        <v>5902</v>
      </c>
      <c r="E1244" s="0" t="s">
        <v>2044</v>
      </c>
      <c r="F1244" s="0" t="str">
        <f aca="false">CONCATENATE(D1244," ",LEFT(H1244,4),"T=",AU1244,"D=",AV1244,"R=",AW1244,"M=",AX1244,"L=",AY1244,"B=",AZ1244)</f>
        <v>LARICCIA T=5D=0R=0M=0L=0B=0</v>
      </c>
      <c r="G1244" s="0" t="s">
        <v>222</v>
      </c>
      <c r="I1244" s="0" t="s">
        <v>5903</v>
      </c>
      <c r="J1244" s="0" t="s">
        <v>5904</v>
      </c>
      <c r="K1244" s="0" t="s">
        <v>175</v>
      </c>
      <c r="L1244" s="0"/>
      <c r="M1244" s="0" t="s">
        <v>5900</v>
      </c>
      <c r="N1244" s="0" t="str">
        <f aca="false">RIGHT(M1244,LEN(M1244)-FIND(" ",M1244))</f>
        <v>IDYLWILD ST NW</v>
      </c>
      <c r="P1244" s="0" t="s">
        <v>146</v>
      </c>
      <c r="Q1244" s="0" t="s">
        <v>147</v>
      </c>
      <c r="R1244" s="0" t="n">
        <v>44483</v>
      </c>
      <c r="AD1244" s="0" t="s">
        <v>148</v>
      </c>
      <c r="AE1244" s="0" t="s">
        <v>149</v>
      </c>
      <c r="AF1244" s="0" t="s">
        <v>150</v>
      </c>
      <c r="AH1244" s="0" t="n">
        <v>14</v>
      </c>
      <c r="AI1244" s="0" t="n">
        <v>11</v>
      </c>
      <c r="AN1244" s="0" t="s">
        <v>146</v>
      </c>
      <c r="AO1244" s="0" t="s">
        <v>250</v>
      </c>
      <c r="AP1244" s="0" t="s">
        <v>251</v>
      </c>
      <c r="AQ1244" s="0" t="n">
        <v>9</v>
      </c>
      <c r="AR1244" s="0" t="n">
        <v>64</v>
      </c>
      <c r="AS1244" s="0" t="n">
        <v>32</v>
      </c>
      <c r="AU1244" s="0" t="n">
        <f aca="false">COUNTA($BA$2760:$EH$2760)</f>
        <v>5</v>
      </c>
      <c r="AV1244" s="0" t="n">
        <f aca="false">COUNTIF($BA$2760:$EH$2760,"D")</f>
        <v>0</v>
      </c>
      <c r="AW1244" s="0" t="n">
        <f aca="false">COUNTIF($BA$2760:$EH$2760,"R")</f>
        <v>0</v>
      </c>
      <c r="AX1244" s="0" t="n">
        <f aca="false"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>0</v>
      </c>
      <c r="AY1244" s="0" t="n">
        <f aca="false">COUNTIF(DU1244:EH1244, "&lt;&gt;")</f>
        <v>0</v>
      </c>
      <c r="AZ1244" s="0" t="n">
        <f aca="false">IF(EH1244&lt;&gt;"",1,0)</f>
        <v>0</v>
      </c>
      <c r="BB1244" s="0" t="s">
        <v>153</v>
      </c>
      <c r="BD1244" s="0" t="s">
        <v>154</v>
      </c>
      <c r="BH1244" s="0" t="s">
        <v>154</v>
      </c>
      <c r="BL1244" s="0" t="s">
        <v>154</v>
      </c>
      <c r="BS1244" s="0" t="s">
        <v>154</v>
      </c>
      <c r="CA1244" s="0" t="s">
        <v>154</v>
      </c>
      <c r="CP1244" s="0" t="s">
        <v>154</v>
      </c>
      <c r="DC1244" s="0" t="s">
        <v>154</v>
      </c>
      <c r="DN1244" s="0" t="s">
        <v>154</v>
      </c>
    </row>
    <row r="1245" customFormat="false" ht="13.8" hidden="true" customHeight="false" outlineLevel="0" collapsed="false">
      <c r="A1245" s="0" t="s">
        <v>5905</v>
      </c>
      <c r="B1245" s="0" t="n">
        <v>78</v>
      </c>
      <c r="C1245" s="0" t="n">
        <v>456824</v>
      </c>
      <c r="D1245" s="0" t="s">
        <v>5906</v>
      </c>
      <c r="E1245" s="0" t="s">
        <v>5907</v>
      </c>
      <c r="F1245" s="0" t="str">
        <f aca="false">CONCATENATE(D1245," ",LEFT(H1245,4),"T=",AU1245,"D=",AV1245,"R=",AW1245,"M=",AX1245,"L=",AY1245,"B=",AZ1245)</f>
        <v>MAUERMAN T=1D=0R=0M=0L=0B=0</v>
      </c>
      <c r="G1245" s="0" t="s">
        <v>165</v>
      </c>
      <c r="I1245" s="0" t="s">
        <v>5908</v>
      </c>
      <c r="J1245" s="0" t="s">
        <v>1939</v>
      </c>
      <c r="K1245" s="0" t="s">
        <v>175</v>
      </c>
      <c r="L1245" s="0"/>
      <c r="M1245" s="0" t="s">
        <v>5909</v>
      </c>
      <c r="N1245" s="0" t="str">
        <f aca="false">RIGHT(M1245,LEN(M1245)-FIND(" ",M1245))</f>
        <v>IDYLWILD ST NW</v>
      </c>
      <c r="P1245" s="0" t="s">
        <v>146</v>
      </c>
      <c r="Q1245" s="0" t="s">
        <v>147</v>
      </c>
      <c r="R1245" s="0" t="n">
        <v>44483</v>
      </c>
      <c r="AD1245" s="0" t="s">
        <v>148</v>
      </c>
      <c r="AE1245" s="0" t="s">
        <v>149</v>
      </c>
      <c r="AF1245" s="0" t="s">
        <v>150</v>
      </c>
      <c r="AH1245" s="0" t="n">
        <v>14</v>
      </c>
      <c r="AI1245" s="0" t="n">
        <v>11</v>
      </c>
      <c r="AN1245" s="0" t="s">
        <v>146</v>
      </c>
      <c r="AO1245" s="0" t="s">
        <v>250</v>
      </c>
      <c r="AP1245" s="0" t="s">
        <v>251</v>
      </c>
      <c r="AQ1245" s="0" t="n">
        <v>9</v>
      </c>
      <c r="AR1245" s="0" t="n">
        <v>64</v>
      </c>
      <c r="AS1245" s="0" t="n">
        <v>32</v>
      </c>
      <c r="AU1245" s="0" t="n">
        <f aca="false">COUNTA($BA$2192:$EH$2192)</f>
        <v>1</v>
      </c>
      <c r="AV1245" s="0" t="n">
        <f aca="false">COUNTIF($BA$2192:$EH$2192,"D")</f>
        <v>0</v>
      </c>
      <c r="AW1245" s="0" t="n">
        <f aca="false">COUNTIF($BA$2192:$EH$2192,"R")</f>
        <v>0</v>
      </c>
      <c r="AX1245" s="0" t="n">
        <f aca="false"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>0</v>
      </c>
      <c r="AY1245" s="0" t="n">
        <f aca="false">COUNTIF(DU1245:EH1245, "&lt;&gt;")</f>
        <v>0</v>
      </c>
      <c r="AZ1245" s="0" t="n">
        <f aca="false">IF(EH1245&lt;&gt;"",1,0)</f>
        <v>0</v>
      </c>
      <c r="BB1245" s="0" t="s">
        <v>153</v>
      </c>
    </row>
    <row r="1246" customFormat="false" ht="13.8" hidden="false" customHeight="false" outlineLevel="0" collapsed="false">
      <c r="A1246" s="0" t="s">
        <v>5910</v>
      </c>
      <c r="B1246" s="0" t="n">
        <v>78</v>
      </c>
      <c r="C1246" s="0" t="n">
        <v>439574</v>
      </c>
      <c r="D1246" s="0" t="s">
        <v>2926</v>
      </c>
      <c r="E1246" s="0" t="s">
        <v>962</v>
      </c>
      <c r="F1246" s="0" t="str">
        <f aca="false">CONCATENATE(D1246," ",LEFT(H1246,4),"T=",AU1246,"D=",AV1246,"R=",AW1246,"M=",AX1246,"L=",AY1246,"B=",AZ1246)</f>
        <v>CAMPBELL T=12D=0R=2M=0L=2B=0</v>
      </c>
      <c r="G1246" s="0" t="s">
        <v>1964</v>
      </c>
      <c r="I1246" s="0" t="s">
        <v>5911</v>
      </c>
      <c r="J1246" s="0" t="s">
        <v>757</v>
      </c>
      <c r="K1246" s="0" t="s">
        <v>175</v>
      </c>
      <c r="M1246" s="0" t="s">
        <v>5909</v>
      </c>
      <c r="N1246" s="0" t="str">
        <f aca="false">RIGHT(M1246,LEN(M1246)-FIND(" ",M1246))</f>
        <v>IDYLWILD ST NW</v>
      </c>
      <c r="P1246" s="0" t="s">
        <v>146</v>
      </c>
      <c r="Q1246" s="0" t="s">
        <v>147</v>
      </c>
      <c r="R1246" s="0" t="n">
        <v>44483</v>
      </c>
      <c r="AD1246" s="0" t="s">
        <v>148</v>
      </c>
      <c r="AE1246" s="0" t="s">
        <v>149</v>
      </c>
      <c r="AF1246" s="0" t="s">
        <v>150</v>
      </c>
      <c r="AH1246" s="0" t="n">
        <v>14</v>
      </c>
      <c r="AI1246" s="0" t="n">
        <v>11</v>
      </c>
      <c r="AN1246" s="0" t="s">
        <v>146</v>
      </c>
      <c r="AO1246" s="0" t="s">
        <v>250</v>
      </c>
      <c r="AP1246" s="0" t="s">
        <v>251</v>
      </c>
      <c r="AQ1246" s="0" t="n">
        <v>9</v>
      </c>
      <c r="AR1246" s="0" t="n">
        <v>64</v>
      </c>
      <c r="AS1246" s="0" t="n">
        <v>32</v>
      </c>
      <c r="AU1246" s="0" t="n">
        <f aca="false">COUNTA($BA$2404:$EH$2404)</f>
        <v>12</v>
      </c>
      <c r="AV1246" s="0" t="n">
        <f aca="false">COUNTIF($BA$2404:$EH$2404,"D")</f>
        <v>0</v>
      </c>
      <c r="AW1246" s="0" t="n">
        <f aca="false">COUNTIF($BA$2404:$EH$2404,"R")</f>
        <v>2</v>
      </c>
      <c r="AX1246" s="0" t="n">
        <f aca="false"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>0</v>
      </c>
      <c r="AY1246" s="0" t="n">
        <f aca="false">COUNTIF(DU1246:EH1246, "&lt;&gt;")</f>
        <v>2</v>
      </c>
      <c r="AZ1246" s="0" t="n">
        <f aca="false">IF(EH1246&lt;&gt;"",1,0)</f>
        <v>0</v>
      </c>
      <c r="BB1246" s="0" t="s">
        <v>153</v>
      </c>
      <c r="DM1246" s="0" t="s">
        <v>155</v>
      </c>
      <c r="DN1246" s="0" t="s">
        <v>154</v>
      </c>
      <c r="EA1246" s="0" t="s">
        <v>154</v>
      </c>
      <c r="EF1246" s="0" t="s">
        <v>154</v>
      </c>
    </row>
    <row r="1247" customFormat="false" ht="13.8" hidden="true" customHeight="false" outlineLevel="0" collapsed="false">
      <c r="A1247" s="0" t="s">
        <v>5912</v>
      </c>
      <c r="B1247" s="0" t="n">
        <v>78</v>
      </c>
      <c r="C1247" s="0" t="n">
        <v>380607</v>
      </c>
      <c r="D1247" s="0" t="s">
        <v>2926</v>
      </c>
      <c r="E1247" s="0" t="s">
        <v>698</v>
      </c>
      <c r="F1247" s="0" t="str">
        <f aca="false">CONCATENATE(D1247," ",LEFT(H1247,4),"T=",AU1247,"D=",AV1247,"R=",AW1247,"M=",AX1247,"L=",AY1247,"B=",AZ1247)</f>
        <v>CAMPBELL T=3D=0R=0M=0L=1B=0</v>
      </c>
      <c r="G1247" s="0" t="s">
        <v>188</v>
      </c>
      <c r="I1247" s="0" t="s">
        <v>5913</v>
      </c>
      <c r="J1247" s="0" t="s">
        <v>757</v>
      </c>
      <c r="K1247" s="0" t="s">
        <v>175</v>
      </c>
      <c r="L1247" s="0"/>
      <c r="M1247" s="0" t="s">
        <v>5909</v>
      </c>
      <c r="N1247" s="0" t="str">
        <f aca="false">RIGHT(M1247,LEN(M1247)-FIND(" ",M1247))</f>
        <v>IDYLWILD ST NW</v>
      </c>
      <c r="P1247" s="0" t="s">
        <v>146</v>
      </c>
      <c r="Q1247" s="0" t="s">
        <v>147</v>
      </c>
      <c r="R1247" s="0" t="n">
        <v>44483</v>
      </c>
      <c r="AD1247" s="0" t="s">
        <v>148</v>
      </c>
      <c r="AE1247" s="0" t="s">
        <v>149</v>
      </c>
      <c r="AF1247" s="0" t="s">
        <v>150</v>
      </c>
      <c r="AH1247" s="0" t="n">
        <v>14</v>
      </c>
      <c r="AI1247" s="0" t="n">
        <v>11</v>
      </c>
      <c r="AN1247" s="0" t="s">
        <v>146</v>
      </c>
      <c r="AO1247" s="0" t="s">
        <v>250</v>
      </c>
      <c r="AP1247" s="0" t="s">
        <v>251</v>
      </c>
      <c r="AQ1247" s="0" t="n">
        <v>9</v>
      </c>
      <c r="AR1247" s="0" t="n">
        <v>64</v>
      </c>
      <c r="AS1247" s="0" t="n">
        <v>32</v>
      </c>
      <c r="AU1247" s="0" t="n">
        <f aca="false">COUNTA($BA$2654:$EH$2654)</f>
        <v>3</v>
      </c>
      <c r="AV1247" s="0" t="n">
        <f aca="false">COUNTIF($BA$2654:$EH$2654,"D")</f>
        <v>0</v>
      </c>
      <c r="AW1247" s="0" t="n">
        <f aca="false">COUNTIF($BA$2654:$EH$2654,"R")</f>
        <v>0</v>
      </c>
      <c r="AX1247" s="0" t="n">
        <f aca="false"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>0</v>
      </c>
      <c r="AY1247" s="0" t="n">
        <f aca="false">COUNTIF(DU1247:EH1247, "&lt;&gt;")</f>
        <v>1</v>
      </c>
      <c r="AZ1247" s="0" t="n">
        <f aca="false">IF(EH1247&lt;&gt;"",1,0)</f>
        <v>0</v>
      </c>
      <c r="BB1247" s="0" t="s">
        <v>153</v>
      </c>
      <c r="CP1247" s="0" t="s">
        <v>154</v>
      </c>
      <c r="DC1247" s="0" t="s">
        <v>154</v>
      </c>
      <c r="DI1247" s="0" t="s">
        <v>154</v>
      </c>
      <c r="DM1247" s="0" t="s">
        <v>155</v>
      </c>
      <c r="DN1247" s="0" t="s">
        <v>154</v>
      </c>
      <c r="EF1247" s="0" t="s">
        <v>154</v>
      </c>
    </row>
    <row r="1248" customFormat="false" ht="13.8" hidden="false" customHeight="false" outlineLevel="0" collapsed="false">
      <c r="A1248" s="0" t="s">
        <v>5914</v>
      </c>
      <c r="B1248" s="0" t="n">
        <v>78</v>
      </c>
      <c r="C1248" s="0" t="n">
        <v>345844</v>
      </c>
      <c r="D1248" s="0" t="s">
        <v>5915</v>
      </c>
      <c r="E1248" s="0" t="s">
        <v>5916</v>
      </c>
      <c r="F1248" s="0" t="str">
        <f aca="false">CONCATENATE(D1248," ",LEFT(H1248,4),"T=",AU1248,"D=",AV1248,"R=",AW1248,"M=",AX1248,"L=",AY1248,"B=",AZ1248)</f>
        <v>BREESE T=11D=1R=2M=0L=5B=0</v>
      </c>
      <c r="G1248" s="0" t="s">
        <v>496</v>
      </c>
      <c r="I1248" s="0" t="s">
        <v>5917</v>
      </c>
      <c r="J1248" s="0" t="s">
        <v>5918</v>
      </c>
      <c r="K1248" s="0" t="s">
        <v>175</v>
      </c>
      <c r="L1248" s="1" t="s">
        <v>176</v>
      </c>
      <c r="M1248" s="0" t="s">
        <v>5919</v>
      </c>
      <c r="N1248" s="0" t="str">
        <f aca="false">RIGHT(M1248,LEN(M1248)-FIND(" ",M1248))</f>
        <v>IDYLWILD ST NW</v>
      </c>
      <c r="P1248" s="0" t="s">
        <v>146</v>
      </c>
      <c r="Q1248" s="0" t="s">
        <v>147</v>
      </c>
      <c r="R1248" s="0" t="n">
        <v>44483</v>
      </c>
      <c r="AD1248" s="0" t="s">
        <v>148</v>
      </c>
      <c r="AE1248" s="0" t="s">
        <v>149</v>
      </c>
      <c r="AF1248" s="0" t="s">
        <v>150</v>
      </c>
      <c r="AH1248" s="0" t="n">
        <v>14</v>
      </c>
      <c r="AI1248" s="0" t="n">
        <v>11</v>
      </c>
      <c r="AN1248" s="0" t="s">
        <v>146</v>
      </c>
      <c r="AO1248" s="0" t="s">
        <v>250</v>
      </c>
      <c r="AP1248" s="0" t="s">
        <v>251</v>
      </c>
      <c r="AQ1248" s="0" t="n">
        <v>9</v>
      </c>
      <c r="AR1248" s="0" t="n">
        <v>64</v>
      </c>
      <c r="AS1248" s="0" t="n">
        <v>32</v>
      </c>
      <c r="AU1248" s="0" t="n">
        <f aca="false">COUNTA($BA$2113:$EH$2113)</f>
        <v>11</v>
      </c>
      <c r="AV1248" s="0" t="n">
        <f aca="false">COUNTIF($BA$2113:$EH$2113,"D")</f>
        <v>1</v>
      </c>
      <c r="AW1248" s="0" t="n">
        <f aca="false">COUNTIF($BA$2113:$EH$2113,"R")</f>
        <v>2</v>
      </c>
      <c r="AX1248" s="0" t="n">
        <f aca="false"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>0</v>
      </c>
      <c r="AY1248" s="0" t="n">
        <f aca="false">COUNTIF(DU1248:EH1248, "&lt;&gt;")</f>
        <v>5</v>
      </c>
      <c r="AZ1248" s="0" t="n">
        <f aca="false">IF(EH1248&lt;&gt;"",1,0)</f>
        <v>0</v>
      </c>
      <c r="BB1248" s="0" t="s">
        <v>153</v>
      </c>
      <c r="BD1248" s="0" t="s">
        <v>154</v>
      </c>
      <c r="BF1248" s="0" t="s">
        <v>154</v>
      </c>
      <c r="BH1248" s="0" t="s">
        <v>154</v>
      </c>
      <c r="BI1248" s="0" t="s">
        <v>154</v>
      </c>
      <c r="BL1248" s="0" t="s">
        <v>154</v>
      </c>
      <c r="BS1248" s="0" t="s">
        <v>154</v>
      </c>
      <c r="BY1248" s="0" t="s">
        <v>176</v>
      </c>
      <c r="CA1248" s="0" t="s">
        <v>154</v>
      </c>
      <c r="CG1248" s="0" t="s">
        <v>154</v>
      </c>
      <c r="CK1248" s="0" t="s">
        <v>154</v>
      </c>
      <c r="CN1248" s="0" t="s">
        <v>154</v>
      </c>
      <c r="CO1248" s="0" t="s">
        <v>176</v>
      </c>
      <c r="CP1248" s="0" t="s">
        <v>154</v>
      </c>
      <c r="CU1248" s="0" t="s">
        <v>176</v>
      </c>
      <c r="CV1248" s="0" t="s">
        <v>154</v>
      </c>
      <c r="CY1248" s="0" t="s">
        <v>154</v>
      </c>
      <c r="CZ1248" s="0" t="s">
        <v>176</v>
      </c>
      <c r="DC1248" s="0" t="s">
        <v>154</v>
      </c>
      <c r="DG1248" s="0" t="s">
        <v>176</v>
      </c>
      <c r="DI1248" s="0" t="s">
        <v>154</v>
      </c>
      <c r="DL1248" s="0" t="s">
        <v>154</v>
      </c>
      <c r="DM1248" s="0" t="s">
        <v>176</v>
      </c>
      <c r="DN1248" s="0" t="s">
        <v>154</v>
      </c>
      <c r="DR1248" s="0" t="s">
        <v>154</v>
      </c>
      <c r="DS1248" s="0" t="s">
        <v>176</v>
      </c>
      <c r="DU1248" s="0" t="s">
        <v>154</v>
      </c>
      <c r="DX1248" s="0" t="s">
        <v>154</v>
      </c>
      <c r="EA1248" s="0" t="s">
        <v>154</v>
      </c>
      <c r="ED1248" s="0" t="s">
        <v>176</v>
      </c>
      <c r="EF1248" s="0" t="s">
        <v>154</v>
      </c>
    </row>
    <row r="1249" customFormat="false" ht="13.8" hidden="false" customHeight="false" outlineLevel="0" collapsed="false">
      <c r="A1249" s="0" t="s">
        <v>5920</v>
      </c>
      <c r="B1249" s="0" t="n">
        <v>78</v>
      </c>
      <c r="C1249" s="0" t="n">
        <v>345933</v>
      </c>
      <c r="D1249" s="0" t="s">
        <v>5915</v>
      </c>
      <c r="E1249" s="0" t="s">
        <v>1942</v>
      </c>
      <c r="F1249" s="0" t="str">
        <f aca="false">CONCATENATE(D1249," ",LEFT(H1249,4),"T=",AU1249,"D=",AV1249,"R=",AW1249,"M=",AX1249,"L=",AY1249,"B=",AZ1249)</f>
        <v>BREESE IIIT=20D=0R=5M=0L=5B=0</v>
      </c>
      <c r="G1249" s="0" t="s">
        <v>196</v>
      </c>
      <c r="H1249" s="0" t="s">
        <v>1175</v>
      </c>
      <c r="I1249" s="0" t="s">
        <v>5921</v>
      </c>
      <c r="J1249" s="0" t="s">
        <v>5922</v>
      </c>
      <c r="K1249" s="0" t="s">
        <v>175</v>
      </c>
      <c r="L1249" s="1" t="s">
        <v>176</v>
      </c>
      <c r="M1249" s="0" t="s">
        <v>5919</v>
      </c>
      <c r="N1249" s="0" t="str">
        <f aca="false">RIGHT(M1249,LEN(M1249)-FIND(" ",M1249))</f>
        <v>IDYLWILD ST NW</v>
      </c>
      <c r="P1249" s="0" t="s">
        <v>146</v>
      </c>
      <c r="Q1249" s="0" t="s">
        <v>147</v>
      </c>
      <c r="R1249" s="0" t="n">
        <v>44483</v>
      </c>
      <c r="AD1249" s="0" t="s">
        <v>148</v>
      </c>
      <c r="AE1249" s="0" t="s">
        <v>149</v>
      </c>
      <c r="AF1249" s="0" t="s">
        <v>150</v>
      </c>
      <c r="AH1249" s="0" t="n">
        <v>14</v>
      </c>
      <c r="AI1249" s="0" t="n">
        <v>11</v>
      </c>
      <c r="AN1249" s="0" t="s">
        <v>146</v>
      </c>
      <c r="AO1249" s="0" t="s">
        <v>250</v>
      </c>
      <c r="AP1249" s="0" t="s">
        <v>251</v>
      </c>
      <c r="AQ1249" s="0" t="n">
        <v>9</v>
      </c>
      <c r="AR1249" s="0" t="n">
        <v>64</v>
      </c>
      <c r="AS1249" s="0" t="n">
        <v>32</v>
      </c>
      <c r="AU1249" s="0" t="n">
        <f aca="false">COUNTA($BA$2120:$EH$2120)</f>
        <v>20</v>
      </c>
      <c r="AV1249" s="0" t="n">
        <f aca="false">COUNTIF($BA$2120:$EH$2120,"D")</f>
        <v>0</v>
      </c>
      <c r="AW1249" s="0" t="n">
        <f aca="false">COUNTIF($BA$2120:$EH$2120,"R")</f>
        <v>5</v>
      </c>
      <c r="AX1249" s="0" t="n">
        <f aca="false"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>0</v>
      </c>
      <c r="AY1249" s="0" t="n">
        <f aca="false">COUNTIF(DU1249:EH1249, "&lt;&gt;")</f>
        <v>5</v>
      </c>
      <c r="AZ1249" s="0" t="n">
        <f aca="false">IF(EH1249&lt;&gt;"",1,0)</f>
        <v>0</v>
      </c>
      <c r="BB1249" s="0" t="s">
        <v>153</v>
      </c>
      <c r="BS1249" s="0" t="s">
        <v>154</v>
      </c>
      <c r="BV1249" s="0" t="s">
        <v>154</v>
      </c>
      <c r="CA1249" s="0" t="s">
        <v>154</v>
      </c>
      <c r="CG1249" s="0" t="s">
        <v>154</v>
      </c>
      <c r="CK1249" s="0" t="s">
        <v>154</v>
      </c>
      <c r="CN1249" s="0" t="s">
        <v>154</v>
      </c>
      <c r="CO1249" s="0" t="s">
        <v>176</v>
      </c>
      <c r="CP1249" s="0" t="s">
        <v>154</v>
      </c>
      <c r="CT1249" s="0" t="s">
        <v>154</v>
      </c>
      <c r="CU1249" s="0" t="s">
        <v>176</v>
      </c>
      <c r="CV1249" s="0" t="s">
        <v>154</v>
      </c>
      <c r="CY1249" s="0" t="s">
        <v>154</v>
      </c>
      <c r="CZ1249" s="0" t="s">
        <v>176</v>
      </c>
      <c r="DC1249" s="0" t="s">
        <v>154</v>
      </c>
      <c r="DF1249" s="0" t="s">
        <v>154</v>
      </c>
      <c r="DG1249" s="0" t="s">
        <v>176</v>
      </c>
      <c r="DI1249" s="0" t="s">
        <v>154</v>
      </c>
      <c r="DL1249" s="0" t="s">
        <v>154</v>
      </c>
      <c r="DM1249" s="0" t="s">
        <v>176</v>
      </c>
      <c r="DN1249" s="0" t="s">
        <v>154</v>
      </c>
      <c r="DR1249" s="0" t="s">
        <v>154</v>
      </c>
      <c r="DS1249" s="0" t="s">
        <v>176</v>
      </c>
      <c r="DU1249" s="0" t="s">
        <v>154</v>
      </c>
      <c r="DX1249" s="0" t="s">
        <v>154</v>
      </c>
      <c r="EA1249" s="0" t="s">
        <v>154</v>
      </c>
      <c r="ED1249" s="0" t="s">
        <v>176</v>
      </c>
      <c r="EF1249" s="0" t="s">
        <v>154</v>
      </c>
    </row>
    <row r="1250" customFormat="false" ht="13.8" hidden="false" customHeight="false" outlineLevel="0" collapsed="false">
      <c r="A1250" s="0" t="s">
        <v>5923</v>
      </c>
      <c r="B1250" s="0" t="n">
        <v>78</v>
      </c>
      <c r="C1250" s="0" t="n">
        <v>345849</v>
      </c>
      <c r="D1250" s="0" t="s">
        <v>5915</v>
      </c>
      <c r="E1250" s="0" t="s">
        <v>277</v>
      </c>
      <c r="F1250" s="0" t="str">
        <f aca="false">CONCATENATE(D1250," ",LEFT(H1250,4),"T=",AU1250,"D=",AV1250,"R=",AW1250,"M=",AX1250,"L=",AY1250,"B=",AZ1250)</f>
        <v>BREESE T=4D=0R=0M=0L=3B=0</v>
      </c>
      <c r="G1250" s="0" t="s">
        <v>365</v>
      </c>
      <c r="I1250" s="0" t="s">
        <v>5924</v>
      </c>
      <c r="J1250" s="0" t="s">
        <v>712</v>
      </c>
      <c r="K1250" s="0" t="s">
        <v>175</v>
      </c>
      <c r="M1250" s="0" t="s">
        <v>5919</v>
      </c>
      <c r="N1250" s="0" t="str">
        <f aca="false">RIGHT(M1250,LEN(M1250)-FIND(" ",M1250))</f>
        <v>IDYLWILD ST NW</v>
      </c>
      <c r="P1250" s="0" t="s">
        <v>146</v>
      </c>
      <c r="Q1250" s="0" t="s">
        <v>147</v>
      </c>
      <c r="R1250" s="0" t="n">
        <v>44483</v>
      </c>
      <c r="AD1250" s="0" t="s">
        <v>148</v>
      </c>
      <c r="AE1250" s="0" t="s">
        <v>149</v>
      </c>
      <c r="AF1250" s="0" t="s">
        <v>150</v>
      </c>
      <c r="AH1250" s="0" t="n">
        <v>14</v>
      </c>
      <c r="AI1250" s="0" t="n">
        <v>11</v>
      </c>
      <c r="AN1250" s="0" t="s">
        <v>146</v>
      </c>
      <c r="AO1250" s="0" t="s">
        <v>250</v>
      </c>
      <c r="AP1250" s="0" t="s">
        <v>251</v>
      </c>
      <c r="AQ1250" s="0" t="n">
        <v>9</v>
      </c>
      <c r="AR1250" s="0" t="n">
        <v>64</v>
      </c>
      <c r="AS1250" s="0" t="n">
        <v>32</v>
      </c>
      <c r="AU1250" s="0" t="n">
        <f aca="false">COUNTA($BA$2656:$EH$2656)</f>
        <v>4</v>
      </c>
      <c r="AV1250" s="0" t="n">
        <f aca="false">COUNTIF($BA$2656:$EH$2656,"D")</f>
        <v>0</v>
      </c>
      <c r="AW1250" s="0" t="n">
        <f aca="false">COUNTIF($BA$2656:$EH$2656,"R")</f>
        <v>0</v>
      </c>
      <c r="AX1250" s="0" t="n">
        <f aca="false"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>0</v>
      </c>
      <c r="AY1250" s="0" t="n">
        <f aca="false">COUNTIF(DU1250:EH1250, "&lt;&gt;")</f>
        <v>3</v>
      </c>
      <c r="AZ1250" s="0" t="n">
        <f aca="false">IF(EH1250&lt;&gt;"",1,0)</f>
        <v>0</v>
      </c>
      <c r="BB1250" s="0" t="s">
        <v>153</v>
      </c>
      <c r="BS1250" s="0" t="s">
        <v>154</v>
      </c>
      <c r="CA1250" s="0" t="s">
        <v>154</v>
      </c>
      <c r="CK1250" s="0" t="s">
        <v>154</v>
      </c>
      <c r="CO1250" s="0" t="s">
        <v>176</v>
      </c>
      <c r="CP1250" s="0" t="s">
        <v>154</v>
      </c>
      <c r="CV1250" s="0" t="s">
        <v>154</v>
      </c>
      <c r="CY1250" s="0" t="s">
        <v>154</v>
      </c>
      <c r="CZ1250" s="0" t="s">
        <v>176</v>
      </c>
      <c r="DC1250" s="0" t="s">
        <v>154</v>
      </c>
      <c r="DF1250" s="0" t="s">
        <v>154</v>
      </c>
      <c r="DI1250" s="0" t="s">
        <v>154</v>
      </c>
      <c r="DL1250" s="0" t="s">
        <v>154</v>
      </c>
      <c r="DM1250" s="0" t="s">
        <v>176</v>
      </c>
      <c r="DN1250" s="0" t="s">
        <v>154</v>
      </c>
      <c r="DU1250" s="0" t="s">
        <v>154</v>
      </c>
      <c r="EA1250" s="0" t="s">
        <v>154</v>
      </c>
      <c r="EF1250" s="0" t="s">
        <v>154</v>
      </c>
    </row>
    <row r="1251" customFormat="false" ht="13.8" hidden="true" customHeight="false" outlineLevel="0" collapsed="false">
      <c r="A1251" s="0" t="s">
        <v>5925</v>
      </c>
      <c r="B1251" s="0" t="n">
        <v>78</v>
      </c>
      <c r="C1251" s="0" t="n">
        <v>354989</v>
      </c>
      <c r="D1251" s="0" t="s">
        <v>5926</v>
      </c>
      <c r="E1251" s="0" t="s">
        <v>3899</v>
      </c>
      <c r="F1251" s="0" t="str">
        <f aca="false">CONCATENATE(D1251," ",LEFT(H1251,4),"T=",AU1251,"D=",AV1251,"R=",AW1251,"M=",AX1251,"L=",AY1251,"B=",AZ1251)</f>
        <v>SLATER T=4D=1R=0M=0L=0B=0</v>
      </c>
      <c r="G1251" s="0" t="s">
        <v>181</v>
      </c>
      <c r="I1251" s="0" t="s">
        <v>5927</v>
      </c>
      <c r="J1251" s="0" t="s">
        <v>953</v>
      </c>
      <c r="K1251" s="0" t="s">
        <v>175</v>
      </c>
      <c r="L1251" s="0"/>
      <c r="M1251" s="0" t="s">
        <v>5928</v>
      </c>
      <c r="N1251" s="0" t="str">
        <f aca="false">RIGHT(M1251,LEN(M1251)-FIND(" ",M1251))</f>
        <v>IDYLWILD ST NW</v>
      </c>
      <c r="P1251" s="0" t="s">
        <v>146</v>
      </c>
      <c r="Q1251" s="0" t="s">
        <v>147</v>
      </c>
      <c r="R1251" s="0" t="n">
        <v>44483</v>
      </c>
      <c r="AD1251" s="0" t="s">
        <v>148</v>
      </c>
      <c r="AE1251" s="0" t="s">
        <v>149</v>
      </c>
      <c r="AF1251" s="0" t="s">
        <v>150</v>
      </c>
      <c r="AH1251" s="0" t="n">
        <v>14</v>
      </c>
      <c r="AI1251" s="0" t="n">
        <v>11</v>
      </c>
      <c r="AN1251" s="0" t="s">
        <v>146</v>
      </c>
      <c r="AO1251" s="0" t="s">
        <v>250</v>
      </c>
      <c r="AP1251" s="0" t="s">
        <v>251</v>
      </c>
      <c r="AQ1251" s="0" t="n">
        <v>9</v>
      </c>
      <c r="AR1251" s="0" t="n">
        <v>64</v>
      </c>
      <c r="AS1251" s="0" t="n">
        <v>32</v>
      </c>
      <c r="AU1251" s="0" t="n">
        <f aca="false">COUNTA($BA$2722:$EH$2722)</f>
        <v>4</v>
      </c>
      <c r="AV1251" s="0" t="n">
        <f aca="false">COUNTIF($BA$2722:$EH$2722,"D")</f>
        <v>1</v>
      </c>
      <c r="AW1251" s="0" t="n">
        <f aca="false">COUNTIF($BA$2722:$EH$2722,"R")</f>
        <v>0</v>
      </c>
      <c r="AX1251" s="0" t="n">
        <f aca="false"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>0</v>
      </c>
      <c r="AY1251" s="0" t="n">
        <f aca="false">COUNTIF(DU1251:EH1251, "&lt;&gt;")</f>
        <v>0</v>
      </c>
      <c r="AZ1251" s="0" t="n">
        <f aca="false">IF(EH1251&lt;&gt;"",1,0)</f>
        <v>0</v>
      </c>
      <c r="BB1251" s="0" t="s">
        <v>153</v>
      </c>
    </row>
    <row r="1252" customFormat="false" ht="13.8" hidden="false" customHeight="false" outlineLevel="0" collapsed="false">
      <c r="A1252" s="0" t="s">
        <v>5929</v>
      </c>
      <c r="B1252" s="0" t="n">
        <v>78</v>
      </c>
      <c r="C1252" s="0" t="n">
        <v>156831</v>
      </c>
      <c r="D1252" s="0" t="s">
        <v>1244</v>
      </c>
      <c r="E1252" s="0" t="s">
        <v>549</v>
      </c>
      <c r="F1252" s="0" t="str">
        <f aca="false">CONCATENATE(D1252," ",LEFT(H1252,4),"T=",AU1252,"D=",AV1252,"R=",AW1252,"M=",AX1252,"L=",AY1252,"B=",AZ1252)</f>
        <v>TAYLOR T=13D=1R=0M=2L=6B=1</v>
      </c>
      <c r="G1252" s="0" t="s">
        <v>155</v>
      </c>
      <c r="I1252" s="0" t="s">
        <v>5930</v>
      </c>
      <c r="J1252" s="0" t="s">
        <v>886</v>
      </c>
      <c r="K1252" s="0" t="s">
        <v>175</v>
      </c>
      <c r="L1252" s="1" t="s">
        <v>176</v>
      </c>
      <c r="M1252" s="0" t="s">
        <v>5931</v>
      </c>
      <c r="N1252" s="0" t="str">
        <f aca="false">RIGHT(M1252,LEN(M1252)-FIND(" ",M1252))</f>
        <v>IDYLWILD ST NW</v>
      </c>
      <c r="P1252" s="0" t="s">
        <v>146</v>
      </c>
      <c r="Q1252" s="0" t="s">
        <v>147</v>
      </c>
      <c r="R1252" s="0" t="n">
        <v>44483</v>
      </c>
      <c r="AD1252" s="0" t="s">
        <v>148</v>
      </c>
      <c r="AE1252" s="0" t="s">
        <v>149</v>
      </c>
      <c r="AF1252" s="0" t="s">
        <v>150</v>
      </c>
      <c r="AH1252" s="0" t="n">
        <v>14</v>
      </c>
      <c r="AI1252" s="0" t="n">
        <v>11</v>
      </c>
      <c r="AN1252" s="0" t="s">
        <v>146</v>
      </c>
      <c r="AO1252" s="0" t="s">
        <v>250</v>
      </c>
      <c r="AP1252" s="0" t="s">
        <v>251</v>
      </c>
      <c r="AQ1252" s="0" t="n">
        <v>9</v>
      </c>
      <c r="AR1252" s="0" t="n">
        <v>64</v>
      </c>
      <c r="AS1252" s="0" t="n">
        <v>32</v>
      </c>
      <c r="AU1252" s="0" t="n">
        <f aca="false">COUNTA($BA$2254:$EH$2254)</f>
        <v>13</v>
      </c>
      <c r="AV1252" s="0" t="n">
        <f aca="false">COUNTIF($BA$2254:$EH$2254,"D")</f>
        <v>1</v>
      </c>
      <c r="AW1252" s="0" t="n">
        <f aca="false">COUNTIF($BA$2254:$EH$2254,"R")</f>
        <v>0</v>
      </c>
      <c r="AX1252" s="0" t="n">
        <f aca="false"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>2</v>
      </c>
      <c r="AY1252" s="0" t="n">
        <f aca="false">COUNTIF(DU1252:EH1252, "&lt;&gt;")</f>
        <v>6</v>
      </c>
      <c r="AZ1252" s="0" t="n">
        <f aca="false">IF(EH1252&lt;&gt;"",1,0)</f>
        <v>1</v>
      </c>
      <c r="BB1252" s="0" t="s">
        <v>153</v>
      </c>
      <c r="BD1252" s="0" t="s">
        <v>154</v>
      </c>
      <c r="BH1252" s="0" t="s">
        <v>154</v>
      </c>
      <c r="BJ1252" s="0" t="s">
        <v>154</v>
      </c>
      <c r="BL1252" s="0" t="s">
        <v>154</v>
      </c>
      <c r="BV1252" s="0" t="s">
        <v>154</v>
      </c>
      <c r="BY1252" s="0" t="s">
        <v>155</v>
      </c>
      <c r="CA1252" s="0" t="s">
        <v>154</v>
      </c>
      <c r="CG1252" s="0" t="s">
        <v>154</v>
      </c>
      <c r="CH1252" s="0" t="s">
        <v>176</v>
      </c>
      <c r="CK1252" s="0" t="s">
        <v>154</v>
      </c>
      <c r="CL1252" s="0" t="s">
        <v>155</v>
      </c>
      <c r="CN1252" s="0" t="s">
        <v>154</v>
      </c>
      <c r="CO1252" s="0" t="s">
        <v>176</v>
      </c>
      <c r="CP1252" s="0" t="s">
        <v>154</v>
      </c>
      <c r="CU1252" s="0" t="s">
        <v>176</v>
      </c>
      <c r="CV1252" s="0" t="s">
        <v>154</v>
      </c>
      <c r="CY1252" s="0" t="s">
        <v>154</v>
      </c>
      <c r="CZ1252" s="0" t="s">
        <v>176</v>
      </c>
      <c r="DC1252" s="0" t="s">
        <v>154</v>
      </c>
      <c r="DD1252" s="0" t="s">
        <v>155</v>
      </c>
      <c r="DF1252" s="0" t="s">
        <v>154</v>
      </c>
      <c r="DG1252" s="0" t="s">
        <v>155</v>
      </c>
      <c r="DI1252" s="0" t="s">
        <v>154</v>
      </c>
      <c r="DL1252" s="0" t="s">
        <v>154</v>
      </c>
      <c r="DM1252" s="0" t="s">
        <v>176</v>
      </c>
      <c r="DN1252" s="0" t="s">
        <v>154</v>
      </c>
      <c r="DS1252" s="0" t="s">
        <v>176</v>
      </c>
      <c r="DU1252" s="0" t="s">
        <v>154</v>
      </c>
      <c r="DX1252" s="0" t="s">
        <v>154</v>
      </c>
      <c r="EA1252" s="0" t="s">
        <v>154</v>
      </c>
      <c r="ED1252" s="0" t="s">
        <v>176</v>
      </c>
      <c r="EF1252" s="0" t="s">
        <v>154</v>
      </c>
      <c r="EH1252" s="0" t="s">
        <v>154</v>
      </c>
    </row>
    <row r="1253" customFormat="false" ht="13.8" hidden="false" customHeight="false" outlineLevel="0" collapsed="false">
      <c r="A1253" s="0" t="s">
        <v>5932</v>
      </c>
      <c r="B1253" s="0" t="n">
        <v>78</v>
      </c>
      <c r="C1253" s="0" t="n">
        <v>205124</v>
      </c>
      <c r="D1253" s="0" t="s">
        <v>1244</v>
      </c>
      <c r="E1253" s="0" t="s">
        <v>180</v>
      </c>
      <c r="F1253" s="0" t="str">
        <f aca="false">CONCATENATE(D1253," ",LEFT(H1253,4),"T=",AU1253,"D=",AV1253,"R=",AW1253,"M=",AX1253,"L=",AY1253,"B=",AZ1253)</f>
        <v>TAYLOR T=1D=0R=0M=3L=7B=1</v>
      </c>
      <c r="I1253" s="0" t="s">
        <v>5933</v>
      </c>
      <c r="J1253" s="0" t="s">
        <v>886</v>
      </c>
      <c r="K1253" s="0" t="s">
        <v>175</v>
      </c>
      <c r="L1253" s="1" t="s">
        <v>176</v>
      </c>
      <c r="M1253" s="0" t="s">
        <v>5931</v>
      </c>
      <c r="N1253" s="0" t="str">
        <f aca="false">RIGHT(M1253,LEN(M1253)-FIND(" ",M1253))</f>
        <v>IDYLWILD ST NW</v>
      </c>
      <c r="P1253" s="0" t="s">
        <v>146</v>
      </c>
      <c r="Q1253" s="0" t="s">
        <v>147</v>
      </c>
      <c r="R1253" s="0" t="n">
        <v>44483</v>
      </c>
      <c r="AD1253" s="0" t="s">
        <v>148</v>
      </c>
      <c r="AE1253" s="0" t="s">
        <v>149</v>
      </c>
      <c r="AF1253" s="0" t="s">
        <v>150</v>
      </c>
      <c r="AH1253" s="0" t="n">
        <v>14</v>
      </c>
      <c r="AI1253" s="0" t="n">
        <v>11</v>
      </c>
      <c r="AN1253" s="0" t="s">
        <v>146</v>
      </c>
      <c r="AO1253" s="0" t="s">
        <v>250</v>
      </c>
      <c r="AP1253" s="0" t="s">
        <v>251</v>
      </c>
      <c r="AQ1253" s="0" t="n">
        <v>9</v>
      </c>
      <c r="AR1253" s="0" t="n">
        <v>64</v>
      </c>
      <c r="AS1253" s="0" t="n">
        <v>32</v>
      </c>
      <c r="AU1253" s="0" t="n">
        <f aca="false">COUNTA($BA$2503:$EH$2503)</f>
        <v>1</v>
      </c>
      <c r="AV1253" s="0" t="n">
        <f aca="false">COUNTIF($BA$2503:$EH$2503,"D")</f>
        <v>0</v>
      </c>
      <c r="AW1253" s="0" t="n">
        <f aca="false">COUNTIF($BA$2503:$EH$2503,"R")</f>
        <v>0</v>
      </c>
      <c r="AX1253" s="0" t="n">
        <f aca="false"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>3</v>
      </c>
      <c r="AY1253" s="0" t="n">
        <f aca="false">COUNTIF(DU1253:EH1253, "&lt;&gt;")</f>
        <v>7</v>
      </c>
      <c r="AZ1253" s="0" t="n">
        <f aca="false">IF(EH1253&lt;&gt;"",1,0)</f>
        <v>1</v>
      </c>
      <c r="BB1253" s="0" t="s">
        <v>153</v>
      </c>
      <c r="BC1253" s="0" t="s">
        <v>154</v>
      </c>
      <c r="BD1253" s="0" t="s">
        <v>154</v>
      </c>
      <c r="BF1253" s="0" t="s">
        <v>154</v>
      </c>
      <c r="BG1253" s="0" t="s">
        <v>154</v>
      </c>
      <c r="BH1253" s="0" t="s">
        <v>154</v>
      </c>
      <c r="BI1253" s="0" t="s">
        <v>154</v>
      </c>
      <c r="BJ1253" s="0" t="s">
        <v>154</v>
      </c>
      <c r="BL1253" s="0" t="s">
        <v>154</v>
      </c>
      <c r="BP1253" s="0" t="s">
        <v>154</v>
      </c>
      <c r="BR1253" s="0" t="s">
        <v>154</v>
      </c>
      <c r="BS1253" s="0" t="s">
        <v>154</v>
      </c>
      <c r="BV1253" s="0" t="s">
        <v>154</v>
      </c>
      <c r="BY1253" s="0" t="s">
        <v>176</v>
      </c>
      <c r="CA1253" s="0" t="s">
        <v>154</v>
      </c>
      <c r="CG1253" s="0" t="s">
        <v>154</v>
      </c>
      <c r="CH1253" s="0" t="s">
        <v>176</v>
      </c>
      <c r="CK1253" s="0" t="s">
        <v>154</v>
      </c>
      <c r="CL1253" s="0" t="s">
        <v>155</v>
      </c>
      <c r="CN1253" s="0" t="s">
        <v>154</v>
      </c>
      <c r="CO1253" s="0" t="s">
        <v>176</v>
      </c>
      <c r="CP1253" s="0" t="s">
        <v>154</v>
      </c>
      <c r="CT1253" s="0" t="s">
        <v>154</v>
      </c>
      <c r="CU1253" s="0" t="s">
        <v>176</v>
      </c>
      <c r="CV1253" s="0" t="s">
        <v>154</v>
      </c>
      <c r="CY1253" s="0" t="s">
        <v>154</v>
      </c>
      <c r="CZ1253" s="0" t="s">
        <v>176</v>
      </c>
      <c r="DC1253" s="0" t="s">
        <v>154</v>
      </c>
      <c r="DD1253" s="0" t="s">
        <v>155</v>
      </c>
      <c r="DF1253" s="0" t="s">
        <v>154</v>
      </c>
      <c r="DG1253" s="0" t="s">
        <v>176</v>
      </c>
      <c r="DI1253" s="0" t="s">
        <v>154</v>
      </c>
      <c r="DL1253" s="0" t="s">
        <v>154</v>
      </c>
      <c r="DM1253" s="0" t="s">
        <v>155</v>
      </c>
      <c r="DN1253" s="0" t="s">
        <v>154</v>
      </c>
      <c r="DS1253" s="0" t="s">
        <v>176</v>
      </c>
      <c r="DU1253" s="0" t="s">
        <v>154</v>
      </c>
      <c r="DW1253" s="0" t="s">
        <v>155</v>
      </c>
      <c r="DX1253" s="0" t="s">
        <v>154</v>
      </c>
      <c r="EA1253" s="0" t="s">
        <v>154</v>
      </c>
      <c r="ED1253" s="0" t="s">
        <v>176</v>
      </c>
      <c r="EF1253" s="0" t="s">
        <v>154</v>
      </c>
      <c r="EH1253" s="0" t="s">
        <v>154</v>
      </c>
    </row>
    <row r="1254" customFormat="false" ht="13.8" hidden="false" customHeight="false" outlineLevel="0" collapsed="false">
      <c r="A1254" s="0" t="s">
        <v>5934</v>
      </c>
      <c r="B1254" s="0" t="n">
        <v>78</v>
      </c>
      <c r="C1254" s="0" t="n">
        <v>195720</v>
      </c>
      <c r="D1254" s="0" t="s">
        <v>5935</v>
      </c>
      <c r="E1254" s="0" t="s">
        <v>3202</v>
      </c>
      <c r="F1254" s="0" t="str">
        <f aca="false">CONCATENATE(D1254," ",LEFT(H1254,4),"T=",AU1254,"D=",AV1254,"R=",AW1254,"M=",AX1254,"L=",AY1254,"B=",AZ1254)</f>
        <v>POHLOD T=32D=9R=0M=0L=4B=0</v>
      </c>
      <c r="G1254" s="0" t="s">
        <v>181</v>
      </c>
      <c r="I1254" s="0" t="s">
        <v>5936</v>
      </c>
      <c r="J1254" s="0" t="s">
        <v>1607</v>
      </c>
      <c r="K1254" s="0" t="s">
        <v>175</v>
      </c>
      <c r="L1254" s="1" t="s">
        <v>176</v>
      </c>
      <c r="M1254" s="0" t="s">
        <v>5937</v>
      </c>
      <c r="N1254" s="0" t="str">
        <f aca="false">RIGHT(M1254,LEN(M1254)-FIND(" ",M1254))</f>
        <v>IDYLWILD ST NW</v>
      </c>
      <c r="P1254" s="0" t="s">
        <v>146</v>
      </c>
      <c r="Q1254" s="0" t="s">
        <v>147</v>
      </c>
      <c r="R1254" s="0" t="n">
        <v>44483</v>
      </c>
      <c r="AD1254" s="0" t="s">
        <v>148</v>
      </c>
      <c r="AE1254" s="0" t="s">
        <v>149</v>
      </c>
      <c r="AF1254" s="0" t="s">
        <v>150</v>
      </c>
      <c r="AH1254" s="0" t="n">
        <v>14</v>
      </c>
      <c r="AI1254" s="0" t="n">
        <v>11</v>
      </c>
      <c r="AN1254" s="0" t="s">
        <v>146</v>
      </c>
      <c r="AO1254" s="0" t="s">
        <v>250</v>
      </c>
      <c r="AP1254" s="0" t="s">
        <v>251</v>
      </c>
      <c r="AQ1254" s="0" t="n">
        <v>9</v>
      </c>
      <c r="AR1254" s="0" t="n">
        <v>64</v>
      </c>
      <c r="AS1254" s="0" t="n">
        <v>32</v>
      </c>
      <c r="AU1254" s="0" t="n">
        <f aca="false">COUNTA($BA$2138:$EH$2138)</f>
        <v>32</v>
      </c>
      <c r="AV1254" s="0" t="n">
        <f aca="false">COUNTIF($BA$2138:$EH$2138,"D")</f>
        <v>9</v>
      </c>
      <c r="AW1254" s="0" t="n">
        <f aca="false">COUNTIF($BA$2138:$EH$2138,"R")</f>
        <v>0</v>
      </c>
      <c r="AX1254" s="0" t="n">
        <f aca="false"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>0</v>
      </c>
      <c r="AY1254" s="0" t="n">
        <f aca="false">COUNTIF(DU1254:EH1254, "&lt;&gt;")</f>
        <v>4</v>
      </c>
      <c r="AZ1254" s="0" t="n">
        <f aca="false">IF(EH1254&lt;&gt;"",1,0)</f>
        <v>0</v>
      </c>
      <c r="BB1254" s="0" t="s">
        <v>153</v>
      </c>
      <c r="BD1254" s="0" t="s">
        <v>154</v>
      </c>
      <c r="BL1254" s="0" t="s">
        <v>154</v>
      </c>
      <c r="BS1254" s="0" t="s">
        <v>154</v>
      </c>
      <c r="BY1254" s="0" t="s">
        <v>155</v>
      </c>
      <c r="CA1254" s="0" t="s">
        <v>154</v>
      </c>
      <c r="CZ1254" s="0" t="s">
        <v>176</v>
      </c>
      <c r="DC1254" s="0" t="s">
        <v>154</v>
      </c>
      <c r="DI1254" s="0" t="s">
        <v>154</v>
      </c>
      <c r="DN1254" s="0" t="s">
        <v>154</v>
      </c>
      <c r="DU1254" s="0" t="s">
        <v>154</v>
      </c>
      <c r="DX1254" s="0" t="s">
        <v>154</v>
      </c>
      <c r="ED1254" s="0" t="s">
        <v>176</v>
      </c>
      <c r="EF1254" s="0" t="s">
        <v>154</v>
      </c>
    </row>
    <row r="1255" customFormat="false" ht="13.8" hidden="false" customHeight="false" outlineLevel="0" collapsed="false">
      <c r="A1255" s="0" t="s">
        <v>5938</v>
      </c>
      <c r="B1255" s="0" t="n">
        <v>78</v>
      </c>
      <c r="C1255" s="0" t="n">
        <v>394412</v>
      </c>
      <c r="D1255" s="0" t="s">
        <v>633</v>
      </c>
      <c r="E1255" s="0" t="s">
        <v>1232</v>
      </c>
      <c r="F1255" s="0" t="str">
        <f aca="false">CONCATENATE(D1255," ",LEFT(H1255,4),"T=",AU1255,"D=",AV1255,"R=",AW1255,"M=",AX1255,"L=",AY1255,"B=",AZ1255)</f>
        <v>WALKER T=5D=0R=0M=4L=5B=1</v>
      </c>
      <c r="G1255" s="0" t="s">
        <v>297</v>
      </c>
      <c r="I1255" s="0" t="s">
        <v>5939</v>
      </c>
      <c r="J1255" s="0" t="s">
        <v>5309</v>
      </c>
      <c r="K1255" s="0" t="s">
        <v>175</v>
      </c>
      <c r="L1255" s="1" t="s">
        <v>155</v>
      </c>
      <c r="M1255" s="0" t="s">
        <v>5940</v>
      </c>
      <c r="N1255" s="0" t="str">
        <f aca="false">RIGHT(M1255,LEN(M1255)-FIND(" ",M1255))</f>
        <v>IDYLWILD ST NW</v>
      </c>
      <c r="P1255" s="0" t="s">
        <v>146</v>
      </c>
      <c r="Q1255" s="0" t="s">
        <v>147</v>
      </c>
      <c r="R1255" s="0" t="n">
        <v>44483</v>
      </c>
      <c r="AD1255" s="0" t="s">
        <v>148</v>
      </c>
      <c r="AE1255" s="0" t="s">
        <v>149</v>
      </c>
      <c r="AF1255" s="0" t="s">
        <v>150</v>
      </c>
      <c r="AH1255" s="0" t="n">
        <v>14</v>
      </c>
      <c r="AI1255" s="0" t="n">
        <v>11</v>
      </c>
      <c r="AN1255" s="0" t="s">
        <v>146</v>
      </c>
      <c r="AO1255" s="0" t="s">
        <v>250</v>
      </c>
      <c r="AP1255" s="0" t="s">
        <v>251</v>
      </c>
      <c r="AQ1255" s="0" t="n">
        <v>9</v>
      </c>
      <c r="AR1255" s="0" t="n">
        <v>64</v>
      </c>
      <c r="AS1255" s="0" t="n">
        <v>32</v>
      </c>
      <c r="AU1255" s="0" t="n">
        <f aca="false">COUNTA($BA$2531:$EH$2531)</f>
        <v>5</v>
      </c>
      <c r="AV1255" s="0" t="n">
        <f aca="false">COUNTIF($BA$2531:$EH$2531,"D")</f>
        <v>0</v>
      </c>
      <c r="AW1255" s="0" t="n">
        <f aca="false">COUNTIF($BA$2531:$EH$2531,"R")</f>
        <v>0</v>
      </c>
      <c r="AX1255" s="0" t="n">
        <f aca="false"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>4</v>
      </c>
      <c r="AY1255" s="0" t="n">
        <f aca="false">COUNTIF(DU1255:EH1255, "&lt;&gt;")</f>
        <v>5</v>
      </c>
      <c r="AZ1255" s="0" t="n">
        <f aca="false">IF(EH1255&lt;&gt;"",1,0)</f>
        <v>1</v>
      </c>
      <c r="BB1255" s="0" t="s">
        <v>153</v>
      </c>
      <c r="CT1255" s="0" t="s">
        <v>154</v>
      </c>
      <c r="CU1255" s="0" t="s">
        <v>155</v>
      </c>
      <c r="CV1255" s="0" t="s">
        <v>154</v>
      </c>
      <c r="CY1255" s="0" t="s">
        <v>154</v>
      </c>
      <c r="CZ1255" s="0" t="s">
        <v>155</v>
      </c>
      <c r="DC1255" s="0" t="s">
        <v>154</v>
      </c>
      <c r="DF1255" s="0" t="s">
        <v>154</v>
      </c>
      <c r="DG1255" s="0" t="s">
        <v>155</v>
      </c>
      <c r="DI1255" s="0" t="s">
        <v>154</v>
      </c>
      <c r="DJ1255" s="0" t="s">
        <v>155</v>
      </c>
      <c r="DL1255" s="0" t="s">
        <v>154</v>
      </c>
      <c r="DN1255" s="0" t="s">
        <v>154</v>
      </c>
      <c r="DO1255" s="0" t="s">
        <v>155</v>
      </c>
      <c r="DR1255" s="0" t="s">
        <v>154</v>
      </c>
      <c r="DS1255" s="0" t="s">
        <v>155</v>
      </c>
      <c r="DT1255" s="0" t="s">
        <v>155</v>
      </c>
      <c r="DU1255" s="0" t="s">
        <v>154</v>
      </c>
      <c r="DW1255" s="0" t="s">
        <v>155</v>
      </c>
      <c r="EA1255" s="0" t="s">
        <v>154</v>
      </c>
      <c r="EF1255" s="0" t="s">
        <v>154</v>
      </c>
      <c r="EH1255" s="0" t="s">
        <v>155</v>
      </c>
    </row>
    <row r="1256" customFormat="false" ht="13.8" hidden="false" customHeight="false" outlineLevel="0" collapsed="false">
      <c r="A1256" s="0" t="s">
        <v>5941</v>
      </c>
      <c r="B1256" s="0" t="n">
        <v>78</v>
      </c>
      <c r="C1256" s="0" t="n">
        <v>6986</v>
      </c>
      <c r="D1256" s="0" t="s">
        <v>3668</v>
      </c>
      <c r="E1256" s="0" t="s">
        <v>429</v>
      </c>
      <c r="F1256" s="0" t="str">
        <f aca="false">CONCATENATE(D1256," ",LEFT(H1256,4),"T=",AU1256,"D=",AV1256,"R=",AW1256,"M=",AX1256,"L=",AY1256,"B=",AZ1256)</f>
        <v>REED JRT=1D=0R=0M=8L=7B=1</v>
      </c>
      <c r="G1256" s="0" t="s">
        <v>166</v>
      </c>
      <c r="H1256" s="0" t="s">
        <v>431</v>
      </c>
      <c r="I1256" s="0" t="s">
        <v>5942</v>
      </c>
      <c r="J1256" s="0" t="s">
        <v>5943</v>
      </c>
      <c r="K1256" s="0" t="s">
        <v>175</v>
      </c>
      <c r="L1256" s="1" t="s">
        <v>155</v>
      </c>
      <c r="M1256" s="0" t="s">
        <v>5944</v>
      </c>
      <c r="N1256" s="0" t="str">
        <f aca="false">RIGHT(M1256,LEN(M1256)-FIND(" ",M1256))</f>
        <v>IVANHOE ST NE</v>
      </c>
      <c r="P1256" s="0" t="s">
        <v>146</v>
      </c>
      <c r="Q1256" s="0" t="s">
        <v>147</v>
      </c>
      <c r="R1256" s="0" t="n">
        <v>44483</v>
      </c>
      <c r="AD1256" s="0" t="s">
        <v>148</v>
      </c>
      <c r="AE1256" s="0" t="s">
        <v>149</v>
      </c>
      <c r="AF1256" s="0" t="s">
        <v>150</v>
      </c>
      <c r="AH1256" s="0" t="n">
        <v>14</v>
      </c>
      <c r="AI1256" s="0" t="n">
        <v>11</v>
      </c>
      <c r="AN1256" s="0" t="s">
        <v>146</v>
      </c>
      <c r="AO1256" s="0" t="s">
        <v>250</v>
      </c>
      <c r="AP1256" s="0" t="s">
        <v>251</v>
      </c>
      <c r="AQ1256" s="0" t="n">
        <v>9</v>
      </c>
      <c r="AR1256" s="0" t="n">
        <v>64</v>
      </c>
      <c r="AS1256" s="0" t="n">
        <v>32</v>
      </c>
      <c r="AU1256" s="0" t="n">
        <f aca="false">COUNTA($BA$2183:$EH$2183)</f>
        <v>1</v>
      </c>
      <c r="AV1256" s="0" t="n">
        <f aca="false">COUNTIF($BA$2183:$EH$2183,"D")</f>
        <v>0</v>
      </c>
      <c r="AW1256" s="0" t="n">
        <f aca="false">COUNTIF($BA$2183:$EH$2183,"R")</f>
        <v>0</v>
      </c>
      <c r="AX1256" s="0" t="n">
        <f aca="false"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>8</v>
      </c>
      <c r="AY1256" s="0" t="n">
        <f aca="false">COUNTIF(DU1256:EH1256, "&lt;&gt;")</f>
        <v>7</v>
      </c>
      <c r="AZ1256" s="0" t="n">
        <f aca="false">IF(EH1256&lt;&gt;"",1,0)</f>
        <v>1</v>
      </c>
      <c r="BB1256" s="0" t="s">
        <v>153</v>
      </c>
      <c r="BC1256" s="0" t="s">
        <v>154</v>
      </c>
      <c r="BD1256" s="0" t="s">
        <v>154</v>
      </c>
      <c r="BE1256" s="0" t="s">
        <v>154</v>
      </c>
      <c r="BG1256" s="0" t="s">
        <v>154</v>
      </c>
      <c r="BH1256" s="0" t="s">
        <v>154</v>
      </c>
      <c r="BI1256" s="0" t="s">
        <v>154</v>
      </c>
      <c r="BJ1256" s="0" t="s">
        <v>154</v>
      </c>
      <c r="BK1256" s="0" t="s">
        <v>154</v>
      </c>
      <c r="BL1256" s="0" t="s">
        <v>154</v>
      </c>
      <c r="BP1256" s="0" t="s">
        <v>154</v>
      </c>
      <c r="BR1256" s="0" t="s">
        <v>154</v>
      </c>
      <c r="BS1256" s="0" t="s">
        <v>154</v>
      </c>
      <c r="BV1256" s="0" t="s">
        <v>154</v>
      </c>
      <c r="BY1256" s="0" t="s">
        <v>155</v>
      </c>
      <c r="CA1256" s="0" t="s">
        <v>154</v>
      </c>
      <c r="CC1256" s="0" t="s">
        <v>155</v>
      </c>
      <c r="CG1256" s="0" t="s">
        <v>154</v>
      </c>
      <c r="CH1256" s="0" t="s">
        <v>155</v>
      </c>
      <c r="CK1256" s="0" t="s">
        <v>154</v>
      </c>
      <c r="CL1256" s="0" t="s">
        <v>155</v>
      </c>
      <c r="CN1256" s="0" t="s">
        <v>154</v>
      </c>
      <c r="CP1256" s="0" t="s">
        <v>154</v>
      </c>
      <c r="CQ1256" s="0" t="s">
        <v>155</v>
      </c>
      <c r="CT1256" s="0" t="s">
        <v>154</v>
      </c>
      <c r="CU1256" s="0" t="s">
        <v>155</v>
      </c>
      <c r="CV1256" s="0" t="s">
        <v>154</v>
      </c>
      <c r="CW1256" s="0" t="s">
        <v>155</v>
      </c>
      <c r="CY1256" s="0" t="s">
        <v>154</v>
      </c>
      <c r="CZ1256" s="0" t="s">
        <v>155</v>
      </c>
      <c r="DC1256" s="0" t="s">
        <v>154</v>
      </c>
      <c r="DD1256" s="0" t="s">
        <v>155</v>
      </c>
      <c r="DF1256" s="0" t="s">
        <v>154</v>
      </c>
      <c r="DG1256" s="0" t="s">
        <v>155</v>
      </c>
      <c r="DI1256" s="0" t="s">
        <v>154</v>
      </c>
      <c r="DJ1256" s="0" t="s">
        <v>155</v>
      </c>
      <c r="DL1256" s="0" t="s">
        <v>154</v>
      </c>
      <c r="DN1256" s="0" t="s">
        <v>154</v>
      </c>
      <c r="DR1256" s="0" t="s">
        <v>154</v>
      </c>
      <c r="DS1256" s="0" t="s">
        <v>155</v>
      </c>
      <c r="DT1256" s="0" t="s">
        <v>155</v>
      </c>
      <c r="DU1256" s="0" t="s">
        <v>154</v>
      </c>
      <c r="DW1256" s="0" t="s">
        <v>155</v>
      </c>
      <c r="DX1256" s="0" t="s">
        <v>154</v>
      </c>
      <c r="EA1256" s="0" t="s">
        <v>154</v>
      </c>
      <c r="ED1256" s="0" t="s">
        <v>155</v>
      </c>
      <c r="EF1256" s="0" t="s">
        <v>154</v>
      </c>
      <c r="EH1256" s="0" t="s">
        <v>155</v>
      </c>
    </row>
    <row r="1257" customFormat="false" ht="13.8" hidden="true" customHeight="false" outlineLevel="0" collapsed="false">
      <c r="A1257" s="0" t="s">
        <v>5945</v>
      </c>
      <c r="B1257" s="0" t="n">
        <v>78</v>
      </c>
      <c r="C1257" s="0" t="n">
        <v>415809</v>
      </c>
      <c r="D1257" s="0" t="s">
        <v>4316</v>
      </c>
      <c r="E1257" s="0" t="s">
        <v>1232</v>
      </c>
      <c r="F1257" s="0" t="str">
        <f aca="false">CONCATENATE(D1257," ",LEFT(H1257,4),"T=",AU1257,"D=",AV1257,"R=",AW1257,"M=",AX1257,"L=",AY1257,"B=",AZ1257)</f>
        <v>BRENNER T=1D=0R=0M=0L=0B=0</v>
      </c>
      <c r="G1257" s="0" t="s">
        <v>176</v>
      </c>
      <c r="I1257" s="0" t="s">
        <v>5946</v>
      </c>
      <c r="J1257" s="0" t="s">
        <v>5947</v>
      </c>
      <c r="K1257" s="0" t="s">
        <v>175</v>
      </c>
      <c r="L1257" s="0"/>
      <c r="M1257" s="0" t="s">
        <v>5948</v>
      </c>
      <c r="N1257" s="0" t="str">
        <f aca="false">RIGHT(M1257,LEN(M1257)-FIND(" ",M1257))</f>
        <v>IVANHOE ST NE</v>
      </c>
      <c r="P1257" s="0" t="s">
        <v>146</v>
      </c>
      <c r="Q1257" s="0" t="s">
        <v>147</v>
      </c>
      <c r="R1257" s="0" t="n">
        <v>44483</v>
      </c>
      <c r="AD1257" s="0" t="s">
        <v>148</v>
      </c>
      <c r="AE1257" s="0" t="s">
        <v>149</v>
      </c>
      <c r="AF1257" s="0" t="s">
        <v>150</v>
      </c>
      <c r="AH1257" s="0" t="n">
        <v>14</v>
      </c>
      <c r="AI1257" s="0" t="n">
        <v>11</v>
      </c>
      <c r="AN1257" s="0" t="s">
        <v>146</v>
      </c>
      <c r="AO1257" s="0" t="s">
        <v>250</v>
      </c>
      <c r="AP1257" s="0" t="s">
        <v>251</v>
      </c>
      <c r="AQ1257" s="0" t="n">
        <v>9</v>
      </c>
      <c r="AR1257" s="0" t="n">
        <v>64</v>
      </c>
      <c r="AS1257" s="0" t="n">
        <v>32</v>
      </c>
      <c r="AU1257" s="0" t="n">
        <f aca="false">COUNTA($BA$2155:$EH$2155)</f>
        <v>1</v>
      </c>
      <c r="AV1257" s="0" t="n">
        <f aca="false">COUNTIF($BA$2155:$EH$2155,"D")</f>
        <v>0</v>
      </c>
      <c r="AW1257" s="0" t="n">
        <f aca="false">COUNTIF($BA$2155:$EH$2155,"R")</f>
        <v>0</v>
      </c>
      <c r="AX1257" s="0" t="n">
        <f aca="false"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>0</v>
      </c>
      <c r="AY1257" s="0" t="n">
        <f aca="false">COUNTIF(DU1257:EH1257, "&lt;&gt;")</f>
        <v>0</v>
      </c>
      <c r="AZ1257" s="0" t="n">
        <f aca="false">IF(EH1257&lt;&gt;"",1,0)</f>
        <v>0</v>
      </c>
      <c r="BB1257" s="0" t="s">
        <v>153</v>
      </c>
    </row>
    <row r="1258" customFormat="false" ht="13.8" hidden="true" customHeight="false" outlineLevel="0" collapsed="false">
      <c r="A1258" s="0" t="s">
        <v>5949</v>
      </c>
      <c r="B1258" s="0" t="n">
        <v>78</v>
      </c>
      <c r="C1258" s="0" t="n">
        <v>487055</v>
      </c>
      <c r="D1258" s="0" t="s">
        <v>4789</v>
      </c>
      <c r="E1258" s="0" t="s">
        <v>1792</v>
      </c>
      <c r="F1258" s="0" t="str">
        <f aca="false">CONCATENATE(D1258," ",LEFT(H1258,4),"T=",AU1258,"D=",AV1258,"R=",AW1258,"M=",AX1258,"L=",AY1258,"B=",AZ1258)</f>
        <v>MAIDEN T=2D=0R=0M=0L=0B=0</v>
      </c>
      <c r="G1258" s="0" t="s">
        <v>5950</v>
      </c>
      <c r="I1258" s="0" t="s">
        <v>5951</v>
      </c>
      <c r="J1258" s="0" t="s">
        <v>1777</v>
      </c>
      <c r="K1258" s="0" t="s">
        <v>175</v>
      </c>
      <c r="L1258" s="0"/>
      <c r="M1258" s="0" t="s">
        <v>5948</v>
      </c>
      <c r="N1258" s="0" t="str">
        <f aca="false">RIGHT(M1258,LEN(M1258)-FIND(" ",M1258))</f>
        <v>IVANHOE ST NE</v>
      </c>
      <c r="P1258" s="0" t="s">
        <v>146</v>
      </c>
      <c r="Q1258" s="0" t="s">
        <v>147</v>
      </c>
      <c r="R1258" s="0" t="n">
        <v>44483</v>
      </c>
      <c r="AD1258" s="0" t="s">
        <v>148</v>
      </c>
      <c r="AE1258" s="0" t="s">
        <v>149</v>
      </c>
      <c r="AF1258" s="0" t="s">
        <v>150</v>
      </c>
      <c r="AH1258" s="0" t="n">
        <v>14</v>
      </c>
      <c r="AI1258" s="0" t="n">
        <v>11</v>
      </c>
      <c r="AN1258" s="0" t="s">
        <v>146</v>
      </c>
      <c r="AO1258" s="0" t="s">
        <v>250</v>
      </c>
      <c r="AP1258" s="0" t="s">
        <v>251</v>
      </c>
      <c r="AQ1258" s="0" t="n">
        <v>9</v>
      </c>
      <c r="AR1258" s="0" t="n">
        <v>64</v>
      </c>
      <c r="AS1258" s="0" t="n">
        <v>32</v>
      </c>
      <c r="AU1258" s="0" t="n">
        <f aca="false">COUNTA($BA$2532:$EH$2532)</f>
        <v>2</v>
      </c>
      <c r="AV1258" s="0" t="n">
        <f aca="false">COUNTIF($BA$2532:$EH$2532,"D")</f>
        <v>0</v>
      </c>
      <c r="AW1258" s="0" t="n">
        <f aca="false">COUNTIF($BA$2532:$EH$2532,"R")</f>
        <v>0</v>
      </c>
      <c r="AX1258" s="0" t="n">
        <f aca="false"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>0</v>
      </c>
      <c r="AY1258" s="0" t="n">
        <f aca="false">COUNTIF(DU1258:EH1258, "&lt;&gt;")</f>
        <v>0</v>
      </c>
      <c r="AZ1258" s="0" t="n">
        <f aca="false">IF(EH1258&lt;&gt;"",1,0)</f>
        <v>0</v>
      </c>
      <c r="BB1258" s="0" t="s">
        <v>153</v>
      </c>
    </row>
    <row r="1259" customFormat="false" ht="13.8" hidden="false" customHeight="false" outlineLevel="0" collapsed="false">
      <c r="A1259" s="0" t="s">
        <v>5952</v>
      </c>
      <c r="B1259" s="0" t="n">
        <v>78</v>
      </c>
      <c r="C1259" s="0" t="n">
        <v>331438</v>
      </c>
      <c r="D1259" s="0" t="s">
        <v>1582</v>
      </c>
      <c r="E1259" s="0" t="s">
        <v>2163</v>
      </c>
      <c r="F1259" s="0" t="str">
        <f aca="false">CONCATENATE(D1259," ",LEFT(H1259,4),"T=",AU1259,"D=",AV1259,"R=",AW1259,"M=",AX1259,"L=",AY1259,"B=",AZ1259)</f>
        <v>SMITH T=3D=0R=0M=3L=6B=1</v>
      </c>
      <c r="G1259" s="0" t="s">
        <v>4695</v>
      </c>
      <c r="I1259" s="0" t="s">
        <v>5953</v>
      </c>
      <c r="J1259" s="0" t="s">
        <v>5954</v>
      </c>
      <c r="K1259" s="0" t="s">
        <v>175</v>
      </c>
      <c r="L1259" s="1" t="s">
        <v>155</v>
      </c>
      <c r="M1259" s="0" t="s">
        <v>5955</v>
      </c>
      <c r="N1259" s="0" t="str">
        <f aca="false">RIGHT(M1259,LEN(M1259)-FIND(" ",M1259))</f>
        <v>IVANHOE ST NE</v>
      </c>
      <c r="P1259" s="0" t="s">
        <v>146</v>
      </c>
      <c r="Q1259" s="0" t="s">
        <v>147</v>
      </c>
      <c r="R1259" s="0" t="n">
        <v>44483</v>
      </c>
      <c r="AD1259" s="0" t="s">
        <v>148</v>
      </c>
      <c r="AE1259" s="0" t="s">
        <v>149</v>
      </c>
      <c r="AF1259" s="0" t="s">
        <v>150</v>
      </c>
      <c r="AH1259" s="0" t="n">
        <v>14</v>
      </c>
      <c r="AI1259" s="0" t="n">
        <v>11</v>
      </c>
      <c r="AN1259" s="0" t="s">
        <v>146</v>
      </c>
      <c r="AO1259" s="0" t="s">
        <v>250</v>
      </c>
      <c r="AP1259" s="0" t="s">
        <v>251</v>
      </c>
      <c r="AQ1259" s="0" t="n">
        <v>9</v>
      </c>
      <c r="AR1259" s="0" t="n">
        <v>64</v>
      </c>
      <c r="AS1259" s="0" t="n">
        <v>32</v>
      </c>
      <c r="AU1259" s="0" t="n">
        <f aca="false">COUNTA($BA$2672:$EH$2672)</f>
        <v>3</v>
      </c>
      <c r="AV1259" s="0" t="n">
        <f aca="false">COUNTIF($BA$2672:$EH$2672,"D")</f>
        <v>0</v>
      </c>
      <c r="AW1259" s="0" t="n">
        <f aca="false">COUNTIF($BA$2672:$EH$2672,"R")</f>
        <v>0</v>
      </c>
      <c r="AX1259" s="0" t="n">
        <f aca="false"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>3</v>
      </c>
      <c r="AY1259" s="0" t="n">
        <f aca="false">COUNTIF(DU1259:EH1259, "&lt;&gt;")</f>
        <v>6</v>
      </c>
      <c r="AZ1259" s="0" t="n">
        <f aca="false">IF(EH1259&lt;&gt;"",1,0)</f>
        <v>1</v>
      </c>
      <c r="BB1259" s="0" t="s">
        <v>153</v>
      </c>
      <c r="BL1259" s="0" t="s">
        <v>154</v>
      </c>
      <c r="BP1259" s="0" t="s">
        <v>154</v>
      </c>
      <c r="BS1259" s="0" t="s">
        <v>154</v>
      </c>
      <c r="BY1259" s="0" t="s">
        <v>155</v>
      </c>
      <c r="CA1259" s="0" t="s">
        <v>154</v>
      </c>
      <c r="CP1259" s="0" t="s">
        <v>154</v>
      </c>
      <c r="CY1259" s="0" t="s">
        <v>154</v>
      </c>
      <c r="CZ1259" s="0" t="s">
        <v>155</v>
      </c>
      <c r="DC1259" s="0" t="s">
        <v>154</v>
      </c>
      <c r="DG1259" s="0" t="s">
        <v>155</v>
      </c>
      <c r="DI1259" s="0" t="s">
        <v>154</v>
      </c>
      <c r="DJ1259" s="0" t="s">
        <v>155</v>
      </c>
      <c r="DL1259" s="0" t="s">
        <v>154</v>
      </c>
      <c r="DM1259" s="0" t="s">
        <v>155</v>
      </c>
      <c r="DN1259" s="0" t="s">
        <v>154</v>
      </c>
      <c r="DR1259" s="0" t="s">
        <v>154</v>
      </c>
      <c r="DS1259" s="0" t="s">
        <v>155</v>
      </c>
      <c r="DU1259" s="0" t="s">
        <v>154</v>
      </c>
      <c r="DW1259" s="0" t="s">
        <v>155</v>
      </c>
      <c r="EA1259" s="0" t="s">
        <v>154</v>
      </c>
      <c r="ED1259" s="0" t="s">
        <v>155</v>
      </c>
      <c r="EF1259" s="0" t="s">
        <v>154</v>
      </c>
      <c r="EH1259" s="0" t="s">
        <v>155</v>
      </c>
    </row>
    <row r="1260" customFormat="false" ht="13.8" hidden="false" customHeight="false" outlineLevel="0" collapsed="false">
      <c r="A1260" s="0" t="s">
        <v>5956</v>
      </c>
      <c r="B1260" s="0" t="n">
        <v>78</v>
      </c>
      <c r="C1260" s="0" t="n">
        <v>6321</v>
      </c>
      <c r="D1260" s="0" t="s">
        <v>1582</v>
      </c>
      <c r="E1260" s="0" t="s">
        <v>5957</v>
      </c>
      <c r="F1260" s="0" t="str">
        <f aca="false">CONCATENATE(D1260," ",LEFT(H1260,4),"T=",AU1260,"D=",AV1260,"R=",AW1260,"M=",AX1260,"L=",AY1260,"B=",AZ1260)</f>
        <v>SMITH T=44D=0R=10M=2L=5B=0</v>
      </c>
      <c r="G1260" s="0" t="s">
        <v>241</v>
      </c>
      <c r="I1260" s="0" t="s">
        <v>5958</v>
      </c>
      <c r="J1260" s="0" t="s">
        <v>161</v>
      </c>
      <c r="K1260" s="0" t="s">
        <v>175</v>
      </c>
      <c r="L1260" s="1" t="s">
        <v>155</v>
      </c>
      <c r="M1260" s="0" t="s">
        <v>5955</v>
      </c>
      <c r="N1260" s="0" t="str">
        <f aca="false">RIGHT(M1260,LEN(M1260)-FIND(" ",M1260))</f>
        <v>IVANHOE ST NE</v>
      </c>
      <c r="P1260" s="0" t="s">
        <v>146</v>
      </c>
      <c r="Q1260" s="0" t="s">
        <v>147</v>
      </c>
      <c r="R1260" s="0" t="n">
        <v>44483</v>
      </c>
      <c r="AD1260" s="0" t="s">
        <v>148</v>
      </c>
      <c r="AE1260" s="0" t="s">
        <v>149</v>
      </c>
      <c r="AF1260" s="0" t="s">
        <v>150</v>
      </c>
      <c r="AH1260" s="0" t="n">
        <v>14</v>
      </c>
      <c r="AI1260" s="0" t="n">
        <v>11</v>
      </c>
      <c r="AN1260" s="0" t="s">
        <v>146</v>
      </c>
      <c r="AO1260" s="0" t="s">
        <v>250</v>
      </c>
      <c r="AP1260" s="0" t="s">
        <v>251</v>
      </c>
      <c r="AQ1260" s="0" t="n">
        <v>9</v>
      </c>
      <c r="AR1260" s="0" t="n">
        <v>64</v>
      </c>
      <c r="AS1260" s="0" t="n">
        <v>32</v>
      </c>
      <c r="AU1260" s="0" t="n">
        <f aca="false">COUNTA($BA$2715:$EH$2715)</f>
        <v>44</v>
      </c>
      <c r="AV1260" s="0" t="n">
        <f aca="false">COUNTIF($BA$2715:$EH$2715,"D")</f>
        <v>0</v>
      </c>
      <c r="AW1260" s="0" t="n">
        <f aca="false">COUNTIF($BA$2715:$EH$2715,"R")</f>
        <v>10</v>
      </c>
      <c r="AX1260" s="0" t="n">
        <f aca="false"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>2</v>
      </c>
      <c r="AY1260" s="0" t="n">
        <f aca="false">COUNTIF(DU1260:EH1260, "&lt;&gt;")</f>
        <v>5</v>
      </c>
      <c r="AZ1260" s="0" t="n">
        <f aca="false">IF(EH1260&lt;&gt;"",1,0)</f>
        <v>0</v>
      </c>
      <c r="BB1260" s="0" t="s">
        <v>153</v>
      </c>
      <c r="BD1260" s="0" t="s">
        <v>154</v>
      </c>
      <c r="BF1260" s="0" t="s">
        <v>154</v>
      </c>
      <c r="BG1260" s="0" t="s">
        <v>154</v>
      </c>
      <c r="BH1260" s="0" t="s">
        <v>154</v>
      </c>
      <c r="BJ1260" s="0" t="s">
        <v>154</v>
      </c>
      <c r="BK1260" s="0" t="s">
        <v>154</v>
      </c>
      <c r="BL1260" s="0" t="s">
        <v>154</v>
      </c>
      <c r="BP1260" s="0" t="s">
        <v>154</v>
      </c>
      <c r="BS1260" s="0" t="s">
        <v>154</v>
      </c>
      <c r="BY1260" s="0" t="s">
        <v>155</v>
      </c>
      <c r="CA1260" s="0" t="s">
        <v>154</v>
      </c>
      <c r="CP1260" s="0" t="s">
        <v>154</v>
      </c>
      <c r="CY1260" s="0" t="s">
        <v>154</v>
      </c>
      <c r="CZ1260" s="0" t="s">
        <v>155</v>
      </c>
      <c r="DC1260" s="0" t="s">
        <v>154</v>
      </c>
      <c r="DG1260" s="0" t="s">
        <v>155</v>
      </c>
      <c r="DI1260" s="0" t="s">
        <v>154</v>
      </c>
      <c r="DJ1260" s="0" t="s">
        <v>155</v>
      </c>
      <c r="DL1260" s="0" t="s">
        <v>154</v>
      </c>
      <c r="DM1260" s="0" t="s">
        <v>155</v>
      </c>
      <c r="DN1260" s="0" t="s">
        <v>154</v>
      </c>
      <c r="DR1260" s="0" t="s">
        <v>154</v>
      </c>
      <c r="DS1260" s="0" t="s">
        <v>155</v>
      </c>
      <c r="DU1260" s="0" t="s">
        <v>154</v>
      </c>
      <c r="DW1260" s="0" t="s">
        <v>155</v>
      </c>
      <c r="EA1260" s="0" t="s">
        <v>154</v>
      </c>
      <c r="ED1260" s="0" t="s">
        <v>155</v>
      </c>
      <c r="EF1260" s="0" t="s">
        <v>154</v>
      </c>
    </row>
    <row r="1261" customFormat="false" ht="13.8" hidden="false" customHeight="false" outlineLevel="0" collapsed="false">
      <c r="A1261" s="0" t="s">
        <v>5959</v>
      </c>
      <c r="B1261" s="0" t="n">
        <v>78</v>
      </c>
      <c r="C1261" s="0" t="n">
        <v>295593</v>
      </c>
      <c r="D1261" s="0" t="s">
        <v>1702</v>
      </c>
      <c r="E1261" s="0" t="s">
        <v>5456</v>
      </c>
      <c r="F1261" s="0" t="str">
        <f aca="false">CONCATENATE(D1261," ",LEFT(H1261,4),"T=",AU1261,"D=",AV1261,"R=",AW1261,"M=",AX1261,"L=",AY1261,"B=",AZ1261)</f>
        <v>MORGAN T=8D=1R=0M=3L=4B=0</v>
      </c>
      <c r="G1261" s="0" t="s">
        <v>241</v>
      </c>
      <c r="I1261" s="0" t="s">
        <v>5960</v>
      </c>
      <c r="J1261" s="0" t="s">
        <v>2847</v>
      </c>
      <c r="K1261" s="0" t="s">
        <v>175</v>
      </c>
      <c r="L1261" s="1" t="s">
        <v>155</v>
      </c>
      <c r="M1261" s="0" t="s">
        <v>5961</v>
      </c>
      <c r="N1261" s="0" t="str">
        <f aca="false">RIGHT(M1261,LEN(M1261)-FIND(" ",M1261))</f>
        <v>IVANHOE ST NE</v>
      </c>
      <c r="P1261" s="0" t="s">
        <v>146</v>
      </c>
      <c r="Q1261" s="0" t="s">
        <v>147</v>
      </c>
      <c r="R1261" s="0" t="n">
        <v>44483</v>
      </c>
      <c r="AD1261" s="0" t="s">
        <v>148</v>
      </c>
      <c r="AE1261" s="0" t="s">
        <v>149</v>
      </c>
      <c r="AF1261" s="0" t="s">
        <v>150</v>
      </c>
      <c r="AH1261" s="0" t="n">
        <v>14</v>
      </c>
      <c r="AI1261" s="0" t="n">
        <v>11</v>
      </c>
      <c r="AN1261" s="0" t="s">
        <v>146</v>
      </c>
      <c r="AO1261" s="0" t="s">
        <v>250</v>
      </c>
      <c r="AP1261" s="0" t="s">
        <v>251</v>
      </c>
      <c r="AQ1261" s="0" t="n">
        <v>9</v>
      </c>
      <c r="AR1261" s="0" t="n">
        <v>64</v>
      </c>
      <c r="AS1261" s="0" t="n">
        <v>32</v>
      </c>
      <c r="AU1261" s="0" t="n">
        <f aca="false">COUNTA($BA$2422:$EH$2422)</f>
        <v>8</v>
      </c>
      <c r="AV1261" s="0" t="n">
        <f aca="false">COUNTIF($BA$2422:$EH$2422,"D")</f>
        <v>1</v>
      </c>
      <c r="AW1261" s="0" t="n">
        <f aca="false">COUNTIF($BA$2422:$EH$2422,"R")</f>
        <v>0</v>
      </c>
      <c r="AX1261" s="0" t="n">
        <f aca="false"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>3</v>
      </c>
      <c r="AY1261" s="0" t="n">
        <f aca="false">COUNTIF(DU1261:EH1261, "&lt;&gt;")</f>
        <v>4</v>
      </c>
      <c r="AZ1261" s="0" t="n">
        <f aca="false">IF(EH1261&lt;&gt;"",1,0)</f>
        <v>0</v>
      </c>
      <c r="BB1261" s="0" t="s">
        <v>153</v>
      </c>
      <c r="BD1261" s="0" t="s">
        <v>154</v>
      </c>
      <c r="BL1261" s="0" t="s">
        <v>154</v>
      </c>
      <c r="BP1261" s="0" t="s">
        <v>154</v>
      </c>
      <c r="BS1261" s="0" t="s">
        <v>154</v>
      </c>
      <c r="BY1261" s="0" t="s">
        <v>155</v>
      </c>
      <c r="CA1261" s="0" t="s">
        <v>154</v>
      </c>
      <c r="CC1261" s="0" t="s">
        <v>155</v>
      </c>
      <c r="CG1261" s="0" t="s">
        <v>154</v>
      </c>
      <c r="CH1261" s="0" t="s">
        <v>155</v>
      </c>
      <c r="CK1261" s="0" t="s">
        <v>154</v>
      </c>
      <c r="CL1261" s="0" t="s">
        <v>155</v>
      </c>
      <c r="CN1261" s="0" t="s">
        <v>154</v>
      </c>
      <c r="CO1261" s="0" t="s">
        <v>155</v>
      </c>
      <c r="CP1261" s="0" t="s">
        <v>154</v>
      </c>
      <c r="CQ1261" s="0" t="s">
        <v>155</v>
      </c>
      <c r="CT1261" s="0" t="s">
        <v>154</v>
      </c>
      <c r="CU1261" s="0" t="s">
        <v>155</v>
      </c>
      <c r="CV1261" s="0" t="s">
        <v>154</v>
      </c>
      <c r="DC1261" s="0" t="s">
        <v>154</v>
      </c>
      <c r="DI1261" s="0" t="s">
        <v>154</v>
      </c>
      <c r="DN1261" s="0" t="s">
        <v>154</v>
      </c>
      <c r="DU1261" s="0" t="s">
        <v>154</v>
      </c>
      <c r="EA1261" s="0" t="s">
        <v>154</v>
      </c>
      <c r="ED1261" s="0" t="s">
        <v>155</v>
      </c>
      <c r="EF1261" s="0" t="s">
        <v>154</v>
      </c>
    </row>
    <row r="1262" customFormat="false" ht="13.8" hidden="false" customHeight="false" outlineLevel="0" collapsed="false">
      <c r="A1262" s="0" t="s">
        <v>5962</v>
      </c>
      <c r="B1262" s="0" t="n">
        <v>78</v>
      </c>
      <c r="C1262" s="0" t="n">
        <v>6576</v>
      </c>
      <c r="D1262" s="0" t="s">
        <v>1702</v>
      </c>
      <c r="E1262" s="0" t="s">
        <v>652</v>
      </c>
      <c r="F1262" s="0" t="str">
        <f aca="false">CONCATENATE(D1262," ",LEFT(H1262,4),"T=",AU1262,"D=",AV1262,"R=",AW1262,"M=",AX1262,"L=",AY1262,"B=",AZ1262)</f>
        <v>MORGAN T=10D=4R=0M=9L=7B=1</v>
      </c>
      <c r="G1262" s="0" t="s">
        <v>241</v>
      </c>
      <c r="I1262" s="0" t="s">
        <v>5963</v>
      </c>
      <c r="J1262" s="0" t="s">
        <v>5964</v>
      </c>
      <c r="K1262" s="0" t="s">
        <v>175</v>
      </c>
      <c r="L1262" s="1" t="s">
        <v>155</v>
      </c>
      <c r="M1262" s="0" t="s">
        <v>5965</v>
      </c>
      <c r="N1262" s="0" t="str">
        <f aca="false">RIGHT(M1262,LEN(M1262)-FIND(" ",M1262))</f>
        <v>IVANHOE ST NE</v>
      </c>
      <c r="P1262" s="0" t="s">
        <v>146</v>
      </c>
      <c r="Q1262" s="0" t="s">
        <v>147</v>
      </c>
      <c r="R1262" s="0" t="n">
        <v>44483</v>
      </c>
      <c r="AD1262" s="0" t="s">
        <v>148</v>
      </c>
      <c r="AE1262" s="0" t="s">
        <v>149</v>
      </c>
      <c r="AF1262" s="0" t="s">
        <v>150</v>
      </c>
      <c r="AH1262" s="0" t="n">
        <v>14</v>
      </c>
      <c r="AI1262" s="0" t="n">
        <v>11</v>
      </c>
      <c r="AN1262" s="0" t="s">
        <v>146</v>
      </c>
      <c r="AO1262" s="0" t="s">
        <v>250</v>
      </c>
      <c r="AP1262" s="0" t="s">
        <v>251</v>
      </c>
      <c r="AQ1262" s="0" t="n">
        <v>9</v>
      </c>
      <c r="AR1262" s="0" t="n">
        <v>64</v>
      </c>
      <c r="AS1262" s="0" t="n">
        <v>32</v>
      </c>
      <c r="AU1262" s="0" t="n">
        <f aca="false">COUNTA($BA$2546:$EH$2546)</f>
        <v>10</v>
      </c>
      <c r="AV1262" s="0" t="n">
        <f aca="false">COUNTIF($BA$2546:$EH$2546,"D")</f>
        <v>4</v>
      </c>
      <c r="AW1262" s="0" t="n">
        <f aca="false">COUNTIF($BA$2546:$EH$2546,"R")</f>
        <v>0</v>
      </c>
      <c r="AX1262" s="0" t="n">
        <f aca="false"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>9</v>
      </c>
      <c r="AY1262" s="0" t="n">
        <f aca="false">COUNTIF(DU1262:EH1262, "&lt;&gt;")</f>
        <v>7</v>
      </c>
      <c r="AZ1262" s="0" t="n">
        <f aca="false">IF(EH1262&lt;&gt;"",1,0)</f>
        <v>1</v>
      </c>
      <c r="BB1262" s="0" t="s">
        <v>153</v>
      </c>
      <c r="BC1262" s="0" t="s">
        <v>154</v>
      </c>
      <c r="BD1262" s="0" t="s">
        <v>154</v>
      </c>
      <c r="BE1262" s="0" t="s">
        <v>154</v>
      </c>
      <c r="BF1262" s="0" t="s">
        <v>154</v>
      </c>
      <c r="BG1262" s="0" t="s">
        <v>154</v>
      </c>
      <c r="BH1262" s="0" t="s">
        <v>154</v>
      </c>
      <c r="BI1262" s="0" t="s">
        <v>154</v>
      </c>
      <c r="BJ1262" s="0" t="s">
        <v>154</v>
      </c>
      <c r="BK1262" s="0" t="s">
        <v>154</v>
      </c>
      <c r="BL1262" s="0" t="s">
        <v>154</v>
      </c>
      <c r="BP1262" s="0" t="s">
        <v>154</v>
      </c>
      <c r="BR1262" s="0" t="s">
        <v>154</v>
      </c>
      <c r="BS1262" s="0" t="s">
        <v>154</v>
      </c>
      <c r="BV1262" s="0" t="s">
        <v>154</v>
      </c>
      <c r="BY1262" s="0" t="s">
        <v>155</v>
      </c>
      <c r="CA1262" s="0" t="s">
        <v>154</v>
      </c>
      <c r="CC1262" s="0" t="s">
        <v>155</v>
      </c>
      <c r="CG1262" s="0" t="s">
        <v>154</v>
      </c>
      <c r="CH1262" s="0" t="s">
        <v>155</v>
      </c>
      <c r="CK1262" s="0" t="s">
        <v>154</v>
      </c>
      <c r="CL1262" s="0" t="s">
        <v>155</v>
      </c>
      <c r="CN1262" s="0" t="s">
        <v>154</v>
      </c>
      <c r="CO1262" s="0" t="s">
        <v>155</v>
      </c>
      <c r="CP1262" s="0" t="s">
        <v>154</v>
      </c>
      <c r="CQ1262" s="0" t="s">
        <v>155</v>
      </c>
      <c r="CT1262" s="0" t="s">
        <v>154</v>
      </c>
      <c r="CU1262" s="0" t="s">
        <v>155</v>
      </c>
      <c r="CV1262" s="0" t="s">
        <v>154</v>
      </c>
      <c r="CW1262" s="0" t="s">
        <v>155</v>
      </c>
      <c r="CY1262" s="0" t="s">
        <v>154</v>
      </c>
      <c r="CZ1262" s="0" t="s">
        <v>155</v>
      </c>
      <c r="DC1262" s="0" t="s">
        <v>154</v>
      </c>
      <c r="DD1262" s="0" t="s">
        <v>155</v>
      </c>
      <c r="DF1262" s="0" t="s">
        <v>154</v>
      </c>
      <c r="DG1262" s="0" t="s">
        <v>155</v>
      </c>
      <c r="DI1262" s="0" t="s">
        <v>154</v>
      </c>
      <c r="DJ1262" s="0" t="s">
        <v>155</v>
      </c>
      <c r="DL1262" s="0" t="s">
        <v>154</v>
      </c>
      <c r="DM1262" s="0" t="s">
        <v>155</v>
      </c>
      <c r="DN1262" s="0" t="s">
        <v>154</v>
      </c>
      <c r="DO1262" s="0" t="s">
        <v>155</v>
      </c>
      <c r="DR1262" s="0" t="s">
        <v>154</v>
      </c>
      <c r="DS1262" s="0" t="s">
        <v>155</v>
      </c>
      <c r="DT1262" s="0" t="s">
        <v>155</v>
      </c>
      <c r="DU1262" s="0" t="s">
        <v>154</v>
      </c>
      <c r="DW1262" s="0" t="s">
        <v>155</v>
      </c>
      <c r="DX1262" s="0" t="s">
        <v>154</v>
      </c>
      <c r="EA1262" s="0" t="s">
        <v>154</v>
      </c>
      <c r="ED1262" s="0" t="s">
        <v>155</v>
      </c>
      <c r="EF1262" s="0" t="s">
        <v>154</v>
      </c>
      <c r="EH1262" s="0" t="s">
        <v>155</v>
      </c>
    </row>
    <row r="1263" customFormat="false" ht="13.8" hidden="false" customHeight="false" outlineLevel="0" collapsed="false">
      <c r="A1263" s="0" t="s">
        <v>5966</v>
      </c>
      <c r="B1263" s="0" t="n">
        <v>78</v>
      </c>
      <c r="C1263" s="0" t="n">
        <v>6578</v>
      </c>
      <c r="D1263" s="0" t="s">
        <v>1702</v>
      </c>
      <c r="E1263" s="0" t="s">
        <v>3578</v>
      </c>
      <c r="F1263" s="0" t="str">
        <f aca="false">CONCATENATE(D1263," ",LEFT(H1263,4),"T=",AU1263,"D=",AV1263,"R=",AW1263,"M=",AX1263,"L=",AY1263,"B=",AZ1263)</f>
        <v>MORGAN T=42D=3R=7M=7L=6B=0</v>
      </c>
      <c r="I1263" s="0" t="s">
        <v>5967</v>
      </c>
      <c r="J1263" s="0" t="s">
        <v>5968</v>
      </c>
      <c r="K1263" s="0" t="s">
        <v>175</v>
      </c>
      <c r="L1263" s="1" t="s">
        <v>155</v>
      </c>
      <c r="M1263" s="0" t="s">
        <v>5965</v>
      </c>
      <c r="N1263" s="0" t="str">
        <f aca="false">RIGHT(M1263,LEN(M1263)-FIND(" ",M1263))</f>
        <v>IVANHOE ST NE</v>
      </c>
      <c r="P1263" s="0" t="s">
        <v>146</v>
      </c>
      <c r="Q1263" s="0" t="s">
        <v>147</v>
      </c>
      <c r="R1263" s="0" t="n">
        <v>44483</v>
      </c>
      <c r="AD1263" s="0" t="s">
        <v>148</v>
      </c>
      <c r="AE1263" s="0" t="s">
        <v>149</v>
      </c>
      <c r="AF1263" s="0" t="s">
        <v>150</v>
      </c>
      <c r="AH1263" s="0" t="n">
        <v>14</v>
      </c>
      <c r="AI1263" s="0" t="n">
        <v>11</v>
      </c>
      <c r="AN1263" s="0" t="s">
        <v>146</v>
      </c>
      <c r="AO1263" s="0" t="s">
        <v>250</v>
      </c>
      <c r="AP1263" s="0" t="s">
        <v>251</v>
      </c>
      <c r="AQ1263" s="0" t="n">
        <v>9</v>
      </c>
      <c r="AR1263" s="0" t="n">
        <v>64</v>
      </c>
      <c r="AS1263" s="0" t="n">
        <v>32</v>
      </c>
      <c r="AU1263" s="0" t="n">
        <f aca="false">COUNTA($BA$2711:$EH$2711)</f>
        <v>42</v>
      </c>
      <c r="AV1263" s="0" t="n">
        <f aca="false">COUNTIF($BA$2711:$EH$2711,"D")</f>
        <v>3</v>
      </c>
      <c r="AW1263" s="0" t="n">
        <f aca="false">COUNTIF($BA$2711:$EH$2711,"R")</f>
        <v>7</v>
      </c>
      <c r="AX1263" s="0" t="n">
        <f aca="false"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>7</v>
      </c>
      <c r="AY1263" s="0" t="n">
        <f aca="false">COUNTIF(DU1263:EH1263, "&lt;&gt;")</f>
        <v>6</v>
      </c>
      <c r="AZ1263" s="0" t="n">
        <f aca="false">IF(EH1263&lt;&gt;"",1,0)</f>
        <v>0</v>
      </c>
      <c r="BB1263" s="0" t="s">
        <v>153</v>
      </c>
      <c r="BC1263" s="0" t="s">
        <v>154</v>
      </c>
      <c r="BD1263" s="0" t="s">
        <v>154</v>
      </c>
      <c r="BG1263" s="0" t="s">
        <v>154</v>
      </c>
      <c r="BH1263" s="0" t="s">
        <v>154</v>
      </c>
      <c r="BI1263" s="0" t="s">
        <v>154</v>
      </c>
      <c r="BJ1263" s="0" t="s">
        <v>154</v>
      </c>
      <c r="BK1263" s="0" t="s">
        <v>154</v>
      </c>
      <c r="BL1263" s="0" t="s">
        <v>154</v>
      </c>
      <c r="BP1263" s="0" t="s">
        <v>154</v>
      </c>
      <c r="BS1263" s="0" t="s">
        <v>154</v>
      </c>
      <c r="BV1263" s="0" t="s">
        <v>154</v>
      </c>
      <c r="BY1263" s="0" t="s">
        <v>155</v>
      </c>
      <c r="CA1263" s="0" t="s">
        <v>154</v>
      </c>
      <c r="CC1263" s="0" t="s">
        <v>155</v>
      </c>
      <c r="CG1263" s="0" t="s">
        <v>154</v>
      </c>
      <c r="CH1263" s="0" t="s">
        <v>155</v>
      </c>
      <c r="CK1263" s="0" t="s">
        <v>154</v>
      </c>
      <c r="CL1263" s="0" t="s">
        <v>155</v>
      </c>
      <c r="CN1263" s="0" t="s">
        <v>154</v>
      </c>
      <c r="CO1263" s="0" t="s">
        <v>155</v>
      </c>
      <c r="CP1263" s="0" t="s">
        <v>154</v>
      </c>
      <c r="CQ1263" s="0" t="s">
        <v>155</v>
      </c>
      <c r="CT1263" s="0" t="s">
        <v>154</v>
      </c>
      <c r="CU1263" s="0" t="s">
        <v>155</v>
      </c>
      <c r="CV1263" s="0" t="s">
        <v>154</v>
      </c>
      <c r="CY1263" s="0" t="s">
        <v>154</v>
      </c>
      <c r="CZ1263" s="0" t="s">
        <v>155</v>
      </c>
      <c r="DC1263" s="0" t="s">
        <v>154</v>
      </c>
      <c r="DD1263" s="0" t="s">
        <v>155</v>
      </c>
      <c r="DF1263" s="0" t="s">
        <v>154</v>
      </c>
      <c r="DG1263" s="0" t="s">
        <v>155</v>
      </c>
      <c r="DI1263" s="0" t="s">
        <v>154</v>
      </c>
      <c r="DJ1263" s="0" t="s">
        <v>155</v>
      </c>
      <c r="DL1263" s="0" t="s">
        <v>154</v>
      </c>
      <c r="DM1263" s="0" t="s">
        <v>155</v>
      </c>
      <c r="DN1263" s="0" t="s">
        <v>154</v>
      </c>
      <c r="DO1263" s="0" t="s">
        <v>155</v>
      </c>
      <c r="DR1263" s="0" t="s">
        <v>154</v>
      </c>
      <c r="DS1263" s="0" t="s">
        <v>155</v>
      </c>
      <c r="DU1263" s="0" t="s">
        <v>154</v>
      </c>
      <c r="DW1263" s="0" t="s">
        <v>155</v>
      </c>
      <c r="DX1263" s="0" t="s">
        <v>154</v>
      </c>
      <c r="EA1263" s="0" t="s">
        <v>154</v>
      </c>
      <c r="ED1263" s="0" t="s">
        <v>155</v>
      </c>
      <c r="EF1263" s="0" t="s">
        <v>154</v>
      </c>
    </row>
    <row r="1264" customFormat="false" ht="13.8" hidden="false" customHeight="false" outlineLevel="0" collapsed="false">
      <c r="A1264" s="0" t="s">
        <v>5969</v>
      </c>
      <c r="B1264" s="0" t="n">
        <v>78</v>
      </c>
      <c r="C1264" s="0" t="n">
        <v>464044</v>
      </c>
      <c r="D1264" s="0" t="s">
        <v>790</v>
      </c>
      <c r="E1264" s="0" t="s">
        <v>266</v>
      </c>
      <c r="F1264" s="0" t="str">
        <f aca="false">CONCATENATE(D1264," ",LEFT(H1264,4),"T=",AU1264,"D=",AV1264,"R=",AW1264,"M=",AX1264,"L=",AY1264,"B=",AZ1264)</f>
        <v>KING T=16D=1R=1M=0L=4B=0</v>
      </c>
      <c r="G1264" s="0" t="s">
        <v>1374</v>
      </c>
      <c r="I1264" s="0" t="s">
        <v>5875</v>
      </c>
      <c r="J1264" s="0" t="s">
        <v>5970</v>
      </c>
      <c r="K1264" s="0" t="s">
        <v>175</v>
      </c>
      <c r="M1264" s="0" t="s">
        <v>5971</v>
      </c>
      <c r="N1264" s="0" t="str">
        <f aca="false">RIGHT(M1264,LEN(M1264)-FIND(" ",M1264))</f>
        <v>IVANHOE ST NE</v>
      </c>
      <c r="P1264" s="0" t="s">
        <v>146</v>
      </c>
      <c r="Q1264" s="0" t="s">
        <v>147</v>
      </c>
      <c r="R1264" s="0" t="n">
        <v>44483</v>
      </c>
      <c r="AD1264" s="0" t="s">
        <v>148</v>
      </c>
      <c r="AE1264" s="0" t="s">
        <v>149</v>
      </c>
      <c r="AF1264" s="0" t="s">
        <v>150</v>
      </c>
      <c r="AH1264" s="0" t="n">
        <v>14</v>
      </c>
      <c r="AI1264" s="0" t="n">
        <v>11</v>
      </c>
      <c r="AN1264" s="0" t="s">
        <v>146</v>
      </c>
      <c r="AO1264" s="0" t="s">
        <v>250</v>
      </c>
      <c r="AP1264" s="0" t="s">
        <v>251</v>
      </c>
      <c r="AQ1264" s="0" t="n">
        <v>9</v>
      </c>
      <c r="AR1264" s="0" t="n">
        <v>64</v>
      </c>
      <c r="AS1264" s="0" t="n">
        <v>32</v>
      </c>
      <c r="AU1264" s="0" t="n">
        <f aca="false">COUNTA($BA$2652:$EH$2652)</f>
        <v>16</v>
      </c>
      <c r="AV1264" s="0" t="n">
        <f aca="false">COUNTIF($BA$2652:$EH$2652,"D")</f>
        <v>1</v>
      </c>
      <c r="AW1264" s="0" t="n">
        <f aca="false">COUNTIF($BA$2652:$EH$2652,"R")</f>
        <v>1</v>
      </c>
      <c r="AX1264" s="0" t="n">
        <f aca="false"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>0</v>
      </c>
      <c r="AY1264" s="0" t="n">
        <f aca="false">COUNTIF(DU1264:EH1264, "&lt;&gt;")</f>
        <v>4</v>
      </c>
      <c r="AZ1264" s="0" t="n">
        <f aca="false">IF(EH1264&lt;&gt;"",1,0)</f>
        <v>0</v>
      </c>
      <c r="BB1264" s="0" t="s">
        <v>153</v>
      </c>
      <c r="DU1264" s="0" t="s">
        <v>154</v>
      </c>
      <c r="DX1264" s="0" t="s">
        <v>154</v>
      </c>
      <c r="EA1264" s="0" t="s">
        <v>154</v>
      </c>
      <c r="EF1264" s="0" t="s">
        <v>154</v>
      </c>
    </row>
    <row r="1265" customFormat="false" ht="13.8" hidden="false" customHeight="false" outlineLevel="0" collapsed="false">
      <c r="A1265" s="0" t="s">
        <v>5972</v>
      </c>
      <c r="B1265" s="0" t="n">
        <v>78</v>
      </c>
      <c r="C1265" s="0" t="n">
        <v>402842</v>
      </c>
      <c r="D1265" s="0" t="s">
        <v>5973</v>
      </c>
      <c r="E1265" s="0" t="s">
        <v>2754</v>
      </c>
      <c r="F1265" s="0" t="str">
        <f aca="false">CONCATENATE(D1265," ",LEFT(H1265,4),"T=",AU1265,"D=",AV1265,"R=",AW1265,"M=",AX1265,"L=",AY1265,"B=",AZ1265)</f>
        <v>ABEL T=5D=0R=0M=0L=2B=0</v>
      </c>
      <c r="G1265" s="0" t="s">
        <v>181</v>
      </c>
      <c r="I1265" s="0" t="s">
        <v>5974</v>
      </c>
      <c r="J1265" s="0" t="s">
        <v>5975</v>
      </c>
      <c r="K1265" s="0" t="s">
        <v>175</v>
      </c>
      <c r="M1265" s="0" t="s">
        <v>5971</v>
      </c>
      <c r="N1265" s="0" t="str">
        <f aca="false">RIGHT(M1265,LEN(M1265)-FIND(" ",M1265))</f>
        <v>IVANHOE ST NE</v>
      </c>
      <c r="P1265" s="0" t="s">
        <v>146</v>
      </c>
      <c r="Q1265" s="0" t="s">
        <v>147</v>
      </c>
      <c r="R1265" s="0" t="n">
        <v>44483</v>
      </c>
      <c r="AD1265" s="0" t="s">
        <v>148</v>
      </c>
      <c r="AE1265" s="0" t="s">
        <v>149</v>
      </c>
      <c r="AF1265" s="0" t="s">
        <v>150</v>
      </c>
      <c r="AH1265" s="0" t="n">
        <v>14</v>
      </c>
      <c r="AI1265" s="0" t="n">
        <v>11</v>
      </c>
      <c r="AN1265" s="0" t="s">
        <v>146</v>
      </c>
      <c r="AO1265" s="0" t="s">
        <v>250</v>
      </c>
      <c r="AP1265" s="0" t="s">
        <v>251</v>
      </c>
      <c r="AQ1265" s="0" t="n">
        <v>9</v>
      </c>
      <c r="AR1265" s="0" t="n">
        <v>64</v>
      </c>
      <c r="AS1265" s="0" t="n">
        <v>32</v>
      </c>
      <c r="AU1265" s="0" t="n">
        <f aca="false">COUNTA($BA$2817:$EH$2817)</f>
        <v>5</v>
      </c>
      <c r="AV1265" s="0" t="n">
        <f aca="false">COUNTIF($BA$2817:$EH$2817,"D")</f>
        <v>0</v>
      </c>
      <c r="AW1265" s="0" t="n">
        <f aca="false">COUNTIF($BA$2817:$EH$2817,"R")</f>
        <v>0</v>
      </c>
      <c r="AX1265" s="0" t="n">
        <f aca="false"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>0</v>
      </c>
      <c r="AY1265" s="0" t="n">
        <f aca="false">COUNTIF(DU1265:EH1265, "&lt;&gt;")</f>
        <v>2</v>
      </c>
      <c r="AZ1265" s="0" t="n">
        <f aca="false">IF(EH1265&lt;&gt;"",1,0)</f>
        <v>0</v>
      </c>
      <c r="BB1265" s="0" t="s">
        <v>153</v>
      </c>
      <c r="BD1265" s="0" t="s">
        <v>154</v>
      </c>
      <c r="BL1265" s="0" t="s">
        <v>154</v>
      </c>
      <c r="BP1265" s="0" t="s">
        <v>154</v>
      </c>
      <c r="BS1265" s="0" t="s">
        <v>154</v>
      </c>
      <c r="BY1265" s="0" t="s">
        <v>176</v>
      </c>
      <c r="CA1265" s="0" t="s">
        <v>154</v>
      </c>
      <c r="CG1265" s="0" t="s">
        <v>154</v>
      </c>
      <c r="CN1265" s="0" t="s">
        <v>154</v>
      </c>
      <c r="CP1265" s="0" t="s">
        <v>154</v>
      </c>
      <c r="CV1265" s="0" t="s">
        <v>154</v>
      </c>
      <c r="CY1265" s="0" t="s">
        <v>154</v>
      </c>
      <c r="CZ1265" s="0" t="s">
        <v>176</v>
      </c>
      <c r="DC1265" s="0" t="s">
        <v>154</v>
      </c>
      <c r="DI1265" s="0" t="s">
        <v>154</v>
      </c>
      <c r="DN1265" s="0" t="s">
        <v>154</v>
      </c>
      <c r="DU1265" s="0" t="s">
        <v>154</v>
      </c>
      <c r="DX1265" s="0" t="s">
        <v>154</v>
      </c>
    </row>
    <row r="1266" customFormat="false" ht="13.8" hidden="false" customHeight="false" outlineLevel="0" collapsed="false">
      <c r="A1266" s="0" t="s">
        <v>5976</v>
      </c>
      <c r="B1266" s="0" t="n">
        <v>78</v>
      </c>
      <c r="C1266" s="0" t="n">
        <v>440555</v>
      </c>
      <c r="D1266" s="0" t="s">
        <v>790</v>
      </c>
      <c r="E1266" s="0" t="s">
        <v>863</v>
      </c>
      <c r="F1266" s="0" t="str">
        <f aca="false">CONCATENATE(D1266," ",LEFT(H1266,4),"T=",AU1266,"D=",AV1266,"R=",AW1266,"M=",AX1266,"L=",AY1266,"B=",AZ1266)</f>
        <v>KING T=5D=1R=0M=0L=3B=0</v>
      </c>
      <c r="G1266" s="0" t="s">
        <v>2754</v>
      </c>
      <c r="I1266" s="0" t="s">
        <v>5977</v>
      </c>
      <c r="J1266" s="0" t="s">
        <v>5978</v>
      </c>
      <c r="K1266" s="0" t="s">
        <v>175</v>
      </c>
      <c r="M1266" s="0" t="s">
        <v>5979</v>
      </c>
      <c r="N1266" s="0" t="str">
        <f aca="false">RIGHT(M1266,LEN(M1266)-FIND(" ",M1266))</f>
        <v>IVANHOE ST NE</v>
      </c>
      <c r="P1266" s="0" t="s">
        <v>146</v>
      </c>
      <c r="Q1266" s="0" t="s">
        <v>147</v>
      </c>
      <c r="R1266" s="0" t="n">
        <v>44483</v>
      </c>
      <c r="AD1266" s="0" t="s">
        <v>148</v>
      </c>
      <c r="AE1266" s="0" t="s">
        <v>149</v>
      </c>
      <c r="AF1266" s="0" t="s">
        <v>150</v>
      </c>
      <c r="AH1266" s="0" t="n">
        <v>14</v>
      </c>
      <c r="AI1266" s="0" t="n">
        <v>11</v>
      </c>
      <c r="AN1266" s="0" t="s">
        <v>146</v>
      </c>
      <c r="AO1266" s="0" t="s">
        <v>250</v>
      </c>
      <c r="AP1266" s="0" t="s">
        <v>251</v>
      </c>
      <c r="AQ1266" s="0" t="n">
        <v>9</v>
      </c>
      <c r="AR1266" s="0" t="n">
        <v>64</v>
      </c>
      <c r="AS1266" s="0" t="n">
        <v>32</v>
      </c>
      <c r="AU1266" s="0" t="n">
        <f aca="false">COUNTA($BA$2612:$EH$2612)</f>
        <v>5</v>
      </c>
      <c r="AV1266" s="0" t="n">
        <f aca="false">COUNTIF($BA$2612:$EH$2612,"D")</f>
        <v>1</v>
      </c>
      <c r="AW1266" s="0" t="n">
        <f aca="false">COUNTIF($BA$2612:$EH$2612,"R")</f>
        <v>0</v>
      </c>
      <c r="AX1266" s="0" t="n">
        <f aca="false"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>0</v>
      </c>
      <c r="AY1266" s="0" t="n">
        <f aca="false">COUNTIF(DU1266:EH1266, "&lt;&gt;")</f>
        <v>3</v>
      </c>
      <c r="AZ1266" s="0" t="n">
        <f aca="false">IF(EH1266&lt;&gt;"",1,0)</f>
        <v>0</v>
      </c>
      <c r="BB1266" s="0" t="s">
        <v>153</v>
      </c>
      <c r="CV1266" s="0" t="s">
        <v>154</v>
      </c>
      <c r="CY1266" s="0" t="s">
        <v>154</v>
      </c>
      <c r="DC1266" s="0" t="s">
        <v>154</v>
      </c>
      <c r="DG1266" s="0" t="s">
        <v>176</v>
      </c>
      <c r="DN1266" s="0" t="s">
        <v>154</v>
      </c>
      <c r="DU1266" s="0" t="s">
        <v>154</v>
      </c>
      <c r="DX1266" s="0" t="s">
        <v>154</v>
      </c>
      <c r="EF1266" s="0" t="s">
        <v>154</v>
      </c>
    </row>
    <row r="1267" customFormat="false" ht="13.8" hidden="false" customHeight="false" outlineLevel="0" collapsed="false">
      <c r="A1267" s="0" t="s">
        <v>5980</v>
      </c>
      <c r="B1267" s="0" t="n">
        <v>78</v>
      </c>
      <c r="C1267" s="0" t="n">
        <v>335101</v>
      </c>
      <c r="D1267" s="0" t="s">
        <v>5981</v>
      </c>
      <c r="E1267" s="0" t="s">
        <v>165</v>
      </c>
      <c r="F1267" s="0" t="str">
        <f aca="false">CONCATENATE(D1267," ",LEFT(H1267,4),"T=",AU1267,"D=",AV1267,"R=",AW1267,"M=",AX1267,"L=",AY1267,"B=",AZ1267)</f>
        <v>FITZPATRICK T=1D=0R=0M=0L=3B=0</v>
      </c>
      <c r="G1267" s="0" t="s">
        <v>297</v>
      </c>
      <c r="I1267" s="0" t="s">
        <v>5982</v>
      </c>
      <c r="J1267" s="0" t="s">
        <v>5983</v>
      </c>
      <c r="K1267" s="0" t="s">
        <v>175</v>
      </c>
      <c r="M1267" s="0" t="s">
        <v>5984</v>
      </c>
      <c r="N1267" s="0" t="str">
        <f aca="false">RIGHT(M1267,LEN(M1267)-FIND(" ",M1267))</f>
        <v>IVANHOE ST NE</v>
      </c>
      <c r="P1267" s="0" t="s">
        <v>146</v>
      </c>
      <c r="Q1267" s="0" t="s">
        <v>147</v>
      </c>
      <c r="R1267" s="0" t="n">
        <v>44483</v>
      </c>
      <c r="AD1267" s="0" t="s">
        <v>148</v>
      </c>
      <c r="AE1267" s="0" t="s">
        <v>149</v>
      </c>
      <c r="AF1267" s="0" t="s">
        <v>150</v>
      </c>
      <c r="AH1267" s="0" t="n">
        <v>14</v>
      </c>
      <c r="AI1267" s="0" t="n">
        <v>11</v>
      </c>
      <c r="AN1267" s="0" t="s">
        <v>146</v>
      </c>
      <c r="AO1267" s="0" t="s">
        <v>250</v>
      </c>
      <c r="AP1267" s="0" t="s">
        <v>251</v>
      </c>
      <c r="AQ1267" s="0" t="n">
        <v>9</v>
      </c>
      <c r="AR1267" s="0" t="n">
        <v>64</v>
      </c>
      <c r="AS1267" s="0" t="n">
        <v>32</v>
      </c>
      <c r="AU1267" s="0" t="n">
        <f aca="false">COUNTA($BA$2816:$EH$2816)</f>
        <v>1</v>
      </c>
      <c r="AV1267" s="0" t="n">
        <f aca="false">COUNTIF($BA$2816:$EH$2816,"D")</f>
        <v>0</v>
      </c>
      <c r="AW1267" s="0" t="n">
        <f aca="false">COUNTIF($BA$2816:$EH$2816,"R")</f>
        <v>0</v>
      </c>
      <c r="AX1267" s="0" t="n">
        <f aca="false"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>0</v>
      </c>
      <c r="AY1267" s="0" t="n">
        <f aca="false">COUNTIF(DU1267:EH1267, "&lt;&gt;")</f>
        <v>3</v>
      </c>
      <c r="AZ1267" s="0" t="n">
        <f aca="false">IF(EH1267&lt;&gt;"",1,0)</f>
        <v>0</v>
      </c>
      <c r="BB1267" s="0" t="s">
        <v>153</v>
      </c>
      <c r="BL1267" s="0" t="s">
        <v>154</v>
      </c>
      <c r="BS1267" s="0" t="s">
        <v>154</v>
      </c>
      <c r="CA1267" s="0" t="s">
        <v>154</v>
      </c>
      <c r="CK1267" s="0" t="s">
        <v>154</v>
      </c>
      <c r="CP1267" s="0" t="s">
        <v>154</v>
      </c>
      <c r="DN1267" s="0" t="s">
        <v>154</v>
      </c>
      <c r="DU1267" s="0" t="s">
        <v>154</v>
      </c>
      <c r="EA1267" s="0" t="s">
        <v>154</v>
      </c>
      <c r="EF1267" s="0" t="s">
        <v>154</v>
      </c>
    </row>
    <row r="1268" customFormat="false" ht="13.8" hidden="true" customHeight="false" outlineLevel="0" collapsed="false">
      <c r="A1268" s="0" t="s">
        <v>5985</v>
      </c>
      <c r="B1268" s="0" t="n">
        <v>78</v>
      </c>
      <c r="C1268" s="0" t="n">
        <v>220024</v>
      </c>
      <c r="D1268" s="0" t="s">
        <v>5986</v>
      </c>
      <c r="E1268" s="0" t="s">
        <v>405</v>
      </c>
      <c r="F1268" s="0" t="str">
        <f aca="false">CONCATENATE(D1268," ",LEFT(H1268,4),"T=",AU1268,"D=",AV1268,"R=",AW1268,"M=",AX1268,"L=",AY1268,"B=",AZ1268)</f>
        <v>MARUCA T=38D=9R=0M=0L=0B=0</v>
      </c>
      <c r="I1268" s="0" t="s">
        <v>5987</v>
      </c>
      <c r="J1268" s="0" t="s">
        <v>1464</v>
      </c>
      <c r="K1268" s="0" t="s">
        <v>175</v>
      </c>
      <c r="L1268" s="0"/>
      <c r="M1268" s="0" t="s">
        <v>5988</v>
      </c>
      <c r="N1268" s="0" t="str">
        <f aca="false">RIGHT(M1268,LEN(M1268)-FIND(" ",M1268))</f>
        <v>IVANHOE ST NE</v>
      </c>
      <c r="P1268" s="0" t="s">
        <v>146</v>
      </c>
      <c r="Q1268" s="0" t="s">
        <v>147</v>
      </c>
      <c r="R1268" s="0" t="n">
        <v>44483</v>
      </c>
      <c r="AD1268" s="0" t="s">
        <v>148</v>
      </c>
      <c r="AE1268" s="0" t="s">
        <v>149</v>
      </c>
      <c r="AF1268" s="0" t="s">
        <v>150</v>
      </c>
      <c r="AH1268" s="0" t="n">
        <v>14</v>
      </c>
      <c r="AI1268" s="0" t="n">
        <v>11</v>
      </c>
      <c r="AN1268" s="0" t="s">
        <v>146</v>
      </c>
      <c r="AO1268" s="0" t="s">
        <v>250</v>
      </c>
      <c r="AP1268" s="0" t="s">
        <v>251</v>
      </c>
      <c r="AQ1268" s="0" t="n">
        <v>9</v>
      </c>
      <c r="AR1268" s="0" t="n">
        <v>64</v>
      </c>
      <c r="AS1268" s="0" t="n">
        <v>32</v>
      </c>
      <c r="AU1268" s="0" t="n">
        <f aca="false">COUNTA($BA$2474:$EH$2474)</f>
        <v>38</v>
      </c>
      <c r="AV1268" s="0" t="n">
        <f aca="false">COUNTIF($BA$2474:$EH$2474,"D")</f>
        <v>9</v>
      </c>
      <c r="AW1268" s="0" t="n">
        <f aca="false">COUNTIF($BA$2474:$EH$2474,"R")</f>
        <v>0</v>
      </c>
      <c r="AX1268" s="0" t="n">
        <f aca="false"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>0</v>
      </c>
      <c r="AY1268" s="0" t="n">
        <f aca="false">COUNTIF(DU1268:EH1268, "&lt;&gt;")</f>
        <v>0</v>
      </c>
      <c r="AZ1268" s="0" t="n">
        <f aca="false">IF(EH1268&lt;&gt;"",1,0)</f>
        <v>0</v>
      </c>
      <c r="BB1268" s="0" t="s">
        <v>153</v>
      </c>
      <c r="BD1268" s="0" t="s">
        <v>154</v>
      </c>
      <c r="BH1268" s="0" t="s">
        <v>154</v>
      </c>
      <c r="BL1268" s="0" t="s">
        <v>154</v>
      </c>
      <c r="BP1268" s="0" t="s">
        <v>154</v>
      </c>
      <c r="BS1268" s="0" t="s">
        <v>154</v>
      </c>
      <c r="BY1268" s="0" t="s">
        <v>155</v>
      </c>
      <c r="CA1268" s="0" t="s">
        <v>154</v>
      </c>
      <c r="CK1268" s="0" t="s">
        <v>154</v>
      </c>
      <c r="CN1268" s="0" t="s">
        <v>154</v>
      </c>
      <c r="CP1268" s="0" t="s">
        <v>154</v>
      </c>
      <c r="CV1268" s="0" t="s">
        <v>154</v>
      </c>
      <c r="CY1268" s="0" t="s">
        <v>154</v>
      </c>
      <c r="DC1268" s="0" t="s">
        <v>154</v>
      </c>
      <c r="DI1268" s="0" t="s">
        <v>154</v>
      </c>
      <c r="DN1268" s="0" t="s">
        <v>154</v>
      </c>
    </row>
    <row r="1269" customFormat="false" ht="13.8" hidden="false" customHeight="false" outlineLevel="0" collapsed="false">
      <c r="A1269" s="0" t="s">
        <v>5989</v>
      </c>
      <c r="B1269" s="0" t="n">
        <v>78</v>
      </c>
      <c r="C1269" s="0" t="n">
        <v>464692</v>
      </c>
      <c r="D1269" s="0" t="s">
        <v>5990</v>
      </c>
      <c r="E1269" s="0" t="s">
        <v>422</v>
      </c>
      <c r="F1269" s="0" t="str">
        <f aca="false">CONCATENATE(D1269," ",LEFT(H1269,4),"T=",AU1269,"D=",AV1269,"R=",AW1269,"M=",AX1269,"L=",AY1269,"B=",AZ1269)</f>
        <v>HURST T=5D=0R=1M=0L=2B=0</v>
      </c>
      <c r="G1269" s="0" t="s">
        <v>188</v>
      </c>
      <c r="I1269" s="0" t="s">
        <v>5991</v>
      </c>
      <c r="J1269" s="0" t="s">
        <v>5992</v>
      </c>
      <c r="K1269" s="0" t="s">
        <v>175</v>
      </c>
      <c r="M1269" s="0" t="s">
        <v>5993</v>
      </c>
      <c r="N1269" s="0" t="str">
        <f aca="false">RIGHT(M1269,LEN(M1269)-FIND(" ",M1269))</f>
        <v>IVANHOE ST NE</v>
      </c>
      <c r="P1269" s="0" t="s">
        <v>146</v>
      </c>
      <c r="Q1269" s="0" t="s">
        <v>147</v>
      </c>
      <c r="R1269" s="0" t="n">
        <v>44483</v>
      </c>
      <c r="AD1269" s="0" t="s">
        <v>148</v>
      </c>
      <c r="AE1269" s="0" t="s">
        <v>149</v>
      </c>
      <c r="AF1269" s="0" t="s">
        <v>150</v>
      </c>
      <c r="AH1269" s="0" t="n">
        <v>14</v>
      </c>
      <c r="AI1269" s="0" t="n">
        <v>11</v>
      </c>
      <c r="AN1269" s="0" t="s">
        <v>146</v>
      </c>
      <c r="AO1269" s="0" t="s">
        <v>250</v>
      </c>
      <c r="AP1269" s="0" t="s">
        <v>251</v>
      </c>
      <c r="AQ1269" s="0" t="n">
        <v>9</v>
      </c>
      <c r="AR1269" s="0" t="n">
        <v>64</v>
      </c>
      <c r="AS1269" s="0" t="n">
        <v>32</v>
      </c>
      <c r="AU1269" s="0" t="n">
        <f aca="false">COUNTA($BA$2380:$EH$2380)</f>
        <v>5</v>
      </c>
      <c r="AV1269" s="0" t="n">
        <f aca="false">COUNTIF($BA$2380:$EH$2380,"D")</f>
        <v>0</v>
      </c>
      <c r="AW1269" s="0" t="n">
        <f aca="false">COUNTIF($BA$2380:$EH$2380,"R")</f>
        <v>1</v>
      </c>
      <c r="AX1269" s="0" t="n">
        <f aca="false"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>0</v>
      </c>
      <c r="AY1269" s="0" t="n">
        <f aca="false">COUNTIF(DU1269:EH1269, "&lt;&gt;")</f>
        <v>2</v>
      </c>
      <c r="AZ1269" s="0" t="n">
        <f aca="false">IF(EH1269&lt;&gt;"",1,0)</f>
        <v>0</v>
      </c>
      <c r="BB1269" s="0" t="s">
        <v>153</v>
      </c>
      <c r="DU1269" s="0" t="s">
        <v>154</v>
      </c>
      <c r="EF1269" s="0" t="s">
        <v>154</v>
      </c>
    </row>
    <row r="1270" customFormat="false" ht="13.8" hidden="true" customHeight="false" outlineLevel="0" collapsed="false">
      <c r="A1270" s="0" t="s">
        <v>5994</v>
      </c>
      <c r="B1270" s="0" t="n">
        <v>78</v>
      </c>
      <c r="C1270" s="0" t="n">
        <v>345766</v>
      </c>
      <c r="D1270" s="0" t="s">
        <v>5995</v>
      </c>
      <c r="E1270" s="0" t="s">
        <v>1663</v>
      </c>
      <c r="F1270" s="0" t="str">
        <f aca="false">CONCATENATE(D1270," ",LEFT(H1270,4),"T=",AU1270,"D=",AV1270,"R=",AW1270,"M=",AX1270,"L=",AY1270,"B=",AZ1270)</f>
        <v>EWING T=29D=3R=0M=0L=1B=0</v>
      </c>
      <c r="G1270" s="0" t="s">
        <v>241</v>
      </c>
      <c r="I1270" s="0" t="s">
        <v>5996</v>
      </c>
      <c r="J1270" s="0" t="s">
        <v>5997</v>
      </c>
      <c r="K1270" s="0" t="s">
        <v>175</v>
      </c>
      <c r="L1270" s="0"/>
      <c r="M1270" s="0" t="s">
        <v>5998</v>
      </c>
      <c r="N1270" s="0" t="str">
        <f aca="false">RIGHT(M1270,LEN(M1270)-FIND(" ",M1270))</f>
        <v>JESSE AVE NE</v>
      </c>
      <c r="P1270" s="0" t="s">
        <v>146</v>
      </c>
      <c r="Q1270" s="0" t="s">
        <v>147</v>
      </c>
      <c r="R1270" s="0" t="n">
        <v>44483</v>
      </c>
      <c r="AD1270" s="0" t="s">
        <v>148</v>
      </c>
      <c r="AE1270" s="0" t="s">
        <v>149</v>
      </c>
      <c r="AF1270" s="0" t="s">
        <v>150</v>
      </c>
      <c r="AH1270" s="0" t="n">
        <v>14</v>
      </c>
      <c r="AI1270" s="0" t="n">
        <v>11</v>
      </c>
      <c r="AN1270" s="0" t="s">
        <v>146</v>
      </c>
      <c r="AO1270" s="0" t="s">
        <v>250</v>
      </c>
      <c r="AP1270" s="0" t="s">
        <v>251</v>
      </c>
      <c r="AQ1270" s="0" t="n">
        <v>9</v>
      </c>
      <c r="AR1270" s="0" t="n">
        <v>64</v>
      </c>
      <c r="AS1270" s="0" t="n">
        <v>32</v>
      </c>
      <c r="AU1270" s="0" t="n">
        <f aca="false">COUNTA($BA$2794:$EH$2794)</f>
        <v>29</v>
      </c>
      <c r="AV1270" s="0" t="n">
        <f aca="false">COUNTIF($BA$2794:$EH$2794,"D")</f>
        <v>3</v>
      </c>
      <c r="AW1270" s="0" t="n">
        <f aca="false">COUNTIF($BA$2794:$EH$2794,"R")</f>
        <v>0</v>
      </c>
      <c r="AX1270" s="0" t="n">
        <f aca="false"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>0</v>
      </c>
      <c r="AY1270" s="0" t="n">
        <f aca="false">COUNTIF(DU1270:EH1270, "&lt;&gt;")</f>
        <v>1</v>
      </c>
      <c r="AZ1270" s="0" t="n">
        <f aca="false">IF(EH1270&lt;&gt;"",1,0)</f>
        <v>0</v>
      </c>
      <c r="BB1270" s="0" t="s">
        <v>153</v>
      </c>
      <c r="BD1270" s="0" t="s">
        <v>154</v>
      </c>
      <c r="BL1270" s="0" t="s">
        <v>154</v>
      </c>
      <c r="CA1270" s="0" t="s">
        <v>154</v>
      </c>
      <c r="EF1270" s="0" t="s">
        <v>154</v>
      </c>
    </row>
    <row r="1271" customFormat="false" ht="13.8" hidden="false" customHeight="false" outlineLevel="0" collapsed="false">
      <c r="A1271" s="0" t="s">
        <v>5999</v>
      </c>
      <c r="B1271" s="0" t="n">
        <v>78</v>
      </c>
      <c r="C1271" s="0" t="n">
        <v>197607</v>
      </c>
      <c r="D1271" s="0" t="s">
        <v>6000</v>
      </c>
      <c r="E1271" s="0" t="s">
        <v>6001</v>
      </c>
      <c r="F1271" s="0" t="str">
        <f aca="false">CONCATENATE(D1271," ",LEFT(H1271,4),"T=",AU1271,"D=",AV1271,"R=",AW1271,"M=",AX1271,"L=",AY1271,"B=",AZ1271)</f>
        <v>MCKINNEY T=4D=0R=0M=3L=7B=1</v>
      </c>
      <c r="I1271" s="0" t="s">
        <v>6002</v>
      </c>
      <c r="J1271" s="0" t="s">
        <v>6003</v>
      </c>
      <c r="K1271" s="0" t="s">
        <v>175</v>
      </c>
      <c r="L1271" s="1" t="s">
        <v>155</v>
      </c>
      <c r="M1271" s="0" t="s">
        <v>6004</v>
      </c>
      <c r="N1271" s="0" t="str">
        <f aca="false">RIGHT(M1271,LEN(M1271)-FIND(" ",M1271))</f>
        <v>KINSMAN ST NW</v>
      </c>
      <c r="P1271" s="0" t="s">
        <v>146</v>
      </c>
      <c r="Q1271" s="0" t="s">
        <v>147</v>
      </c>
      <c r="R1271" s="0" t="n">
        <v>44483</v>
      </c>
      <c r="AD1271" s="0" t="s">
        <v>148</v>
      </c>
      <c r="AE1271" s="0" t="s">
        <v>149</v>
      </c>
      <c r="AF1271" s="0" t="s">
        <v>150</v>
      </c>
      <c r="AH1271" s="0" t="n">
        <v>14</v>
      </c>
      <c r="AI1271" s="0" t="n">
        <v>11</v>
      </c>
      <c r="AN1271" s="0" t="s">
        <v>146</v>
      </c>
      <c r="AO1271" s="0" t="s">
        <v>151</v>
      </c>
      <c r="AP1271" s="0" t="s">
        <v>152</v>
      </c>
      <c r="AQ1271" s="0" t="n">
        <v>9</v>
      </c>
      <c r="AR1271" s="0" t="n">
        <v>64</v>
      </c>
      <c r="AS1271" s="0" t="n">
        <v>32</v>
      </c>
      <c r="AU1271" s="0" t="n">
        <f aca="false">COUNTA($BA$1177:$EH$1177)</f>
        <v>4</v>
      </c>
      <c r="AV1271" s="0" t="n">
        <f aca="false">COUNTIF($BA$1177:$EH$1177,"D")</f>
        <v>0</v>
      </c>
      <c r="AW1271" s="0" t="n">
        <f aca="false">COUNTIF($BA$1177:$EH$1177,"R")</f>
        <v>0</v>
      </c>
      <c r="AX1271" s="0" t="n">
        <f aca="false"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>3</v>
      </c>
      <c r="AY1271" s="0" t="n">
        <f aca="false">COUNTIF(DU1271:EH1271, "&lt;&gt;")</f>
        <v>7</v>
      </c>
      <c r="AZ1271" s="0" t="n">
        <f aca="false">IF(EH1271&lt;&gt;"",1,0)</f>
        <v>1</v>
      </c>
      <c r="BB1271" s="0" t="s">
        <v>153</v>
      </c>
      <c r="BC1271" s="0" t="s">
        <v>154</v>
      </c>
      <c r="BD1271" s="0" t="s">
        <v>154</v>
      </c>
      <c r="BE1271" s="0" t="s">
        <v>154</v>
      </c>
      <c r="BF1271" s="0" t="s">
        <v>154</v>
      </c>
      <c r="BG1271" s="0" t="s">
        <v>154</v>
      </c>
      <c r="BH1271" s="0" t="s">
        <v>154</v>
      </c>
      <c r="BI1271" s="0" t="s">
        <v>154</v>
      </c>
      <c r="BJ1271" s="0" t="s">
        <v>154</v>
      </c>
      <c r="BK1271" s="0" t="s">
        <v>154</v>
      </c>
      <c r="BL1271" s="0" t="s">
        <v>154</v>
      </c>
      <c r="BP1271" s="0" t="s">
        <v>154</v>
      </c>
      <c r="BR1271" s="0" t="s">
        <v>154</v>
      </c>
      <c r="BS1271" s="0" t="s">
        <v>154</v>
      </c>
      <c r="BV1271" s="0" t="s">
        <v>154</v>
      </c>
      <c r="BY1271" s="0" t="s">
        <v>155</v>
      </c>
      <c r="CA1271" s="0" t="s">
        <v>154</v>
      </c>
      <c r="CG1271" s="0" t="s">
        <v>154</v>
      </c>
      <c r="CH1271" s="0" t="s">
        <v>155</v>
      </c>
      <c r="CK1271" s="0" t="s">
        <v>154</v>
      </c>
      <c r="CL1271" s="0" t="s">
        <v>155</v>
      </c>
      <c r="CN1271" s="0" t="s">
        <v>154</v>
      </c>
      <c r="CO1271" s="0" t="s">
        <v>155</v>
      </c>
      <c r="CP1271" s="0" t="s">
        <v>154</v>
      </c>
      <c r="CT1271" s="0" t="s">
        <v>154</v>
      </c>
      <c r="CU1271" s="0" t="s">
        <v>155</v>
      </c>
      <c r="CY1271" s="0" t="s">
        <v>154</v>
      </c>
      <c r="CZ1271" s="0" t="s">
        <v>155</v>
      </c>
      <c r="DC1271" s="0" t="s">
        <v>154</v>
      </c>
      <c r="DF1271" s="0" t="s">
        <v>154</v>
      </c>
      <c r="DI1271" s="0" t="s">
        <v>154</v>
      </c>
      <c r="DL1271" s="0" t="s">
        <v>154</v>
      </c>
      <c r="DN1271" s="0" t="s">
        <v>154</v>
      </c>
      <c r="DR1271" s="0" t="s">
        <v>154</v>
      </c>
      <c r="DS1271" s="0" t="s">
        <v>155</v>
      </c>
      <c r="DU1271" s="0" t="s">
        <v>154</v>
      </c>
      <c r="DW1271" s="0" t="s">
        <v>155</v>
      </c>
      <c r="DX1271" s="0" t="s">
        <v>154</v>
      </c>
      <c r="EA1271" s="0" t="s">
        <v>154</v>
      </c>
      <c r="ED1271" s="0" t="s">
        <v>155</v>
      </c>
      <c r="EF1271" s="0" t="s">
        <v>154</v>
      </c>
      <c r="EH1271" s="0" t="s">
        <v>155</v>
      </c>
    </row>
    <row r="1272" customFormat="false" ht="13.8" hidden="false" customHeight="false" outlineLevel="0" collapsed="false">
      <c r="A1272" s="0" t="s">
        <v>6005</v>
      </c>
      <c r="B1272" s="0" t="n">
        <v>78</v>
      </c>
      <c r="C1272" s="0" t="n">
        <v>234373</v>
      </c>
      <c r="D1272" s="0" t="s">
        <v>6000</v>
      </c>
      <c r="E1272" s="0" t="s">
        <v>652</v>
      </c>
      <c r="F1272" s="0" t="str">
        <f aca="false">CONCATENATE(D1272," ",LEFT(H1272,4),"T=",AU1272,"D=",AV1272,"R=",AW1272,"M=",AX1272,"L=",AY1272,"B=",AZ1272)</f>
        <v>MCKINNEY T=30D=2R=0M=3L=7B=1</v>
      </c>
      <c r="I1272" s="0" t="s">
        <v>6006</v>
      </c>
      <c r="J1272" s="0" t="s">
        <v>4367</v>
      </c>
      <c r="K1272" s="0" t="s">
        <v>175</v>
      </c>
      <c r="L1272" s="1" t="s">
        <v>155</v>
      </c>
      <c r="M1272" s="0" t="s">
        <v>6004</v>
      </c>
      <c r="N1272" s="0" t="str">
        <f aca="false">RIGHT(M1272,LEN(M1272)-FIND(" ",M1272))</f>
        <v>KINSMAN ST NW</v>
      </c>
      <c r="P1272" s="0" t="s">
        <v>146</v>
      </c>
      <c r="Q1272" s="0" t="s">
        <v>147</v>
      </c>
      <c r="R1272" s="0" t="n">
        <v>44483</v>
      </c>
      <c r="AD1272" s="0" t="s">
        <v>148</v>
      </c>
      <c r="AE1272" s="0" t="s">
        <v>149</v>
      </c>
      <c r="AF1272" s="0" t="s">
        <v>150</v>
      </c>
      <c r="AH1272" s="0" t="n">
        <v>14</v>
      </c>
      <c r="AI1272" s="0" t="n">
        <v>11</v>
      </c>
      <c r="AN1272" s="0" t="s">
        <v>146</v>
      </c>
      <c r="AO1272" s="0" t="s">
        <v>151</v>
      </c>
      <c r="AP1272" s="0" t="s">
        <v>152</v>
      </c>
      <c r="AQ1272" s="0" t="n">
        <v>9</v>
      </c>
      <c r="AR1272" s="0" t="n">
        <v>64</v>
      </c>
      <c r="AS1272" s="0" t="n">
        <v>32</v>
      </c>
      <c r="AU1272" s="0" t="n">
        <f aca="false">COUNTA($BA$1289:$EH$1289)</f>
        <v>30</v>
      </c>
      <c r="AV1272" s="0" t="n">
        <f aca="false">COUNTIF($BA$1289:$EH$1289,"D")</f>
        <v>2</v>
      </c>
      <c r="AW1272" s="0" t="n">
        <f aca="false">COUNTIF($BA$1289:$EH$1289,"R")</f>
        <v>0</v>
      </c>
      <c r="AX1272" s="0" t="n">
        <f aca="false"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>3</v>
      </c>
      <c r="AY1272" s="0" t="n">
        <f aca="false">COUNTIF(DU1272:EH1272, "&lt;&gt;")</f>
        <v>7</v>
      </c>
      <c r="AZ1272" s="0" t="n">
        <f aca="false">IF(EH1272&lt;&gt;"",1,0)</f>
        <v>1</v>
      </c>
      <c r="BB1272" s="0" t="s">
        <v>153</v>
      </c>
      <c r="BC1272" s="0" t="s">
        <v>154</v>
      </c>
      <c r="BD1272" s="0" t="s">
        <v>154</v>
      </c>
      <c r="BE1272" s="0" t="s">
        <v>154</v>
      </c>
      <c r="BF1272" s="0" t="s">
        <v>154</v>
      </c>
      <c r="BG1272" s="0" t="s">
        <v>154</v>
      </c>
      <c r="BH1272" s="0" t="s">
        <v>154</v>
      </c>
      <c r="BI1272" s="0" t="s">
        <v>154</v>
      </c>
      <c r="BJ1272" s="0" t="s">
        <v>154</v>
      </c>
      <c r="BK1272" s="0" t="s">
        <v>154</v>
      </c>
      <c r="BL1272" s="0" t="s">
        <v>154</v>
      </c>
      <c r="BP1272" s="0" t="s">
        <v>154</v>
      </c>
      <c r="BS1272" s="0" t="s">
        <v>154</v>
      </c>
      <c r="BV1272" s="0" t="s">
        <v>154</v>
      </c>
      <c r="BY1272" s="0" t="s">
        <v>155</v>
      </c>
      <c r="CA1272" s="0" t="s">
        <v>154</v>
      </c>
      <c r="CG1272" s="0" t="s">
        <v>154</v>
      </c>
      <c r="CH1272" s="0" t="s">
        <v>155</v>
      </c>
      <c r="CK1272" s="0" t="s">
        <v>154</v>
      </c>
      <c r="CL1272" s="0" t="s">
        <v>155</v>
      </c>
      <c r="CN1272" s="0" t="s">
        <v>154</v>
      </c>
      <c r="CO1272" s="0" t="s">
        <v>176</v>
      </c>
      <c r="CP1272" s="0" t="s">
        <v>154</v>
      </c>
      <c r="CT1272" s="0" t="s">
        <v>154</v>
      </c>
      <c r="CU1272" s="0" t="s">
        <v>155</v>
      </c>
      <c r="CY1272" s="0" t="s">
        <v>154</v>
      </c>
      <c r="CZ1272" s="0" t="s">
        <v>155</v>
      </c>
      <c r="DC1272" s="0" t="s">
        <v>154</v>
      </c>
      <c r="DF1272" s="0" t="s">
        <v>154</v>
      </c>
      <c r="DI1272" s="0" t="s">
        <v>154</v>
      </c>
      <c r="DL1272" s="0" t="s">
        <v>154</v>
      </c>
      <c r="DN1272" s="0" t="s">
        <v>154</v>
      </c>
      <c r="DR1272" s="0" t="s">
        <v>154</v>
      </c>
      <c r="DS1272" s="0" t="s">
        <v>176</v>
      </c>
      <c r="DU1272" s="0" t="s">
        <v>154</v>
      </c>
      <c r="DW1272" s="0" t="s">
        <v>155</v>
      </c>
      <c r="DX1272" s="0" t="s">
        <v>154</v>
      </c>
      <c r="EA1272" s="0" t="s">
        <v>154</v>
      </c>
      <c r="ED1272" s="0" t="s">
        <v>155</v>
      </c>
      <c r="EF1272" s="0" t="s">
        <v>154</v>
      </c>
      <c r="EH1272" s="0" t="s">
        <v>155</v>
      </c>
    </row>
    <row r="1273" customFormat="false" ht="13.8" hidden="false" customHeight="false" outlineLevel="0" collapsed="false">
      <c r="A1273" s="0" t="s">
        <v>6007</v>
      </c>
      <c r="B1273" s="0" t="n">
        <v>78</v>
      </c>
      <c r="C1273" s="0" t="n">
        <v>232363</v>
      </c>
      <c r="D1273" s="0" t="s">
        <v>6008</v>
      </c>
      <c r="E1273" s="0" t="s">
        <v>791</v>
      </c>
      <c r="F1273" s="0" t="str">
        <f aca="false">CONCATENATE(D1273," ",LEFT(H1273,4),"T=",AU1273,"D=",AV1273,"R=",AW1273,"M=",AX1273,"L=",AY1273,"B=",AZ1273)</f>
        <v>MEHLENBACHER T=1D=0R=0M=1L=5B=0</v>
      </c>
      <c r="G1273" s="0" t="s">
        <v>172</v>
      </c>
      <c r="I1273" s="0" t="s">
        <v>6009</v>
      </c>
      <c r="J1273" s="0" t="s">
        <v>6010</v>
      </c>
      <c r="K1273" s="0" t="s">
        <v>175</v>
      </c>
      <c r="L1273" s="1" t="s">
        <v>155</v>
      </c>
      <c r="M1273" s="0" t="s">
        <v>6011</v>
      </c>
      <c r="N1273" s="0" t="str">
        <f aca="false">RIGHT(M1273,LEN(M1273)-FIND(" ",M1273))</f>
        <v>KINSMAN ST NW</v>
      </c>
      <c r="P1273" s="0" t="s">
        <v>146</v>
      </c>
      <c r="Q1273" s="0" t="s">
        <v>147</v>
      </c>
      <c r="R1273" s="0" t="n">
        <v>44483</v>
      </c>
      <c r="AD1273" s="0" t="s">
        <v>148</v>
      </c>
      <c r="AE1273" s="0" t="s">
        <v>149</v>
      </c>
      <c r="AF1273" s="0" t="s">
        <v>150</v>
      </c>
      <c r="AH1273" s="0" t="n">
        <v>14</v>
      </c>
      <c r="AI1273" s="0" t="n">
        <v>11</v>
      </c>
      <c r="AN1273" s="0" t="s">
        <v>146</v>
      </c>
      <c r="AO1273" s="0" t="s">
        <v>151</v>
      </c>
      <c r="AP1273" s="0" t="s">
        <v>152</v>
      </c>
      <c r="AQ1273" s="0" t="n">
        <v>9</v>
      </c>
      <c r="AR1273" s="0" t="n">
        <v>64</v>
      </c>
      <c r="AS1273" s="0" t="n">
        <v>32</v>
      </c>
      <c r="AU1273" s="0" t="n">
        <f aca="false">COUNTA($BA$1175:$EH$1175)</f>
        <v>1</v>
      </c>
      <c r="AV1273" s="0" t="n">
        <f aca="false">COUNTIF($BA$1175:$EH$1175,"D")</f>
        <v>0</v>
      </c>
      <c r="AW1273" s="0" t="n">
        <f aca="false">COUNTIF($BA$1175:$EH$1175,"R")</f>
        <v>0</v>
      </c>
      <c r="AX1273" s="0" t="n">
        <f aca="false"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>1</v>
      </c>
      <c r="AY1273" s="0" t="n">
        <f aca="false">COUNTIF(DU1273:EH1273, "&lt;&gt;")</f>
        <v>5</v>
      </c>
      <c r="AZ1273" s="0" t="n">
        <f aca="false">IF(EH1273&lt;&gt;"",1,0)</f>
        <v>0</v>
      </c>
      <c r="BB1273" s="0" t="s">
        <v>153</v>
      </c>
      <c r="BE1273" s="0" t="s">
        <v>154</v>
      </c>
      <c r="BH1273" s="0" t="s">
        <v>154</v>
      </c>
      <c r="BI1273" s="0" t="s">
        <v>154</v>
      </c>
      <c r="BJ1273" s="0" t="s">
        <v>154</v>
      </c>
      <c r="BL1273" s="0" t="s">
        <v>154</v>
      </c>
      <c r="BY1273" s="0" t="s">
        <v>155</v>
      </c>
      <c r="CA1273" s="0" t="s">
        <v>154</v>
      </c>
      <c r="CL1273" s="0" t="s">
        <v>155</v>
      </c>
      <c r="CP1273" s="0" t="s">
        <v>154</v>
      </c>
      <c r="CV1273" s="0" t="s">
        <v>154</v>
      </c>
      <c r="DC1273" s="0" t="s">
        <v>154</v>
      </c>
      <c r="DI1273" s="0" t="s">
        <v>154</v>
      </c>
      <c r="DM1273" s="0" t="s">
        <v>155</v>
      </c>
      <c r="DN1273" s="0" t="s">
        <v>154</v>
      </c>
      <c r="DS1273" s="0" t="s">
        <v>155</v>
      </c>
      <c r="DU1273" s="0" t="s">
        <v>154</v>
      </c>
      <c r="DX1273" s="0" t="s">
        <v>154</v>
      </c>
      <c r="EA1273" s="0" t="s">
        <v>154</v>
      </c>
      <c r="ED1273" s="0" t="s">
        <v>155</v>
      </c>
      <c r="EF1273" s="0" t="s">
        <v>154</v>
      </c>
    </row>
    <row r="1274" customFormat="false" ht="13.8" hidden="false" customHeight="false" outlineLevel="0" collapsed="false">
      <c r="A1274" s="0" t="s">
        <v>6012</v>
      </c>
      <c r="B1274" s="0" t="n">
        <v>78</v>
      </c>
      <c r="C1274" s="0" t="n">
        <v>294727</v>
      </c>
      <c r="D1274" s="0" t="s">
        <v>6013</v>
      </c>
      <c r="E1274" s="0" t="s">
        <v>2163</v>
      </c>
      <c r="F1274" s="0" t="str">
        <f aca="false">CONCATENATE(D1274," ",LEFT(H1274,4),"T=",AU1274,"D=",AV1274,"R=",AW1274,"M=",AX1274,"L=",AY1274,"B=",AZ1274)</f>
        <v>SARDICH T=1D=0R=0M=0L=4B=0</v>
      </c>
      <c r="G1274" s="0" t="s">
        <v>2236</v>
      </c>
      <c r="I1274" s="0" t="s">
        <v>4211</v>
      </c>
      <c r="J1274" s="0" t="s">
        <v>6014</v>
      </c>
      <c r="K1274" s="0" t="s">
        <v>175</v>
      </c>
      <c r="M1274" s="0" t="s">
        <v>6015</v>
      </c>
      <c r="N1274" s="0" t="str">
        <f aca="false">RIGHT(M1274,LEN(M1274)-FIND(" ",M1274))</f>
        <v>KINSMAN ST NW</v>
      </c>
      <c r="P1274" s="0" t="s">
        <v>146</v>
      </c>
      <c r="Q1274" s="0" t="s">
        <v>147</v>
      </c>
      <c r="R1274" s="0" t="n">
        <v>44483</v>
      </c>
      <c r="AD1274" s="0" t="s">
        <v>148</v>
      </c>
      <c r="AE1274" s="0" t="s">
        <v>149</v>
      </c>
      <c r="AF1274" s="0" t="s">
        <v>150</v>
      </c>
      <c r="AH1274" s="0" t="n">
        <v>14</v>
      </c>
      <c r="AI1274" s="0" t="n">
        <v>11</v>
      </c>
      <c r="AN1274" s="0" t="s">
        <v>146</v>
      </c>
      <c r="AO1274" s="0" t="s">
        <v>151</v>
      </c>
      <c r="AP1274" s="0" t="s">
        <v>152</v>
      </c>
      <c r="AQ1274" s="0" t="n">
        <v>9</v>
      </c>
      <c r="AR1274" s="0" t="n">
        <v>64</v>
      </c>
      <c r="AS1274" s="0" t="n">
        <v>32</v>
      </c>
      <c r="AU1274" s="0" t="n">
        <f aca="false">COUNTA($BA$1126:$EH$1126)</f>
        <v>1</v>
      </c>
      <c r="AV1274" s="0" t="n">
        <f aca="false">COUNTIF($BA$1126:$EH$1126,"D")</f>
        <v>0</v>
      </c>
      <c r="AW1274" s="0" t="n">
        <f aca="false">COUNTIF($BA$1126:$EH$1126,"R")</f>
        <v>0</v>
      </c>
      <c r="AX1274" s="0" t="n">
        <f aca="false"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>0</v>
      </c>
      <c r="AY1274" s="0" t="n">
        <f aca="false">COUNTIF(DU1274:EH1274, "&lt;&gt;")</f>
        <v>4</v>
      </c>
      <c r="AZ1274" s="0" t="n">
        <f aca="false">IF(EH1274&lt;&gt;"",1,0)</f>
        <v>0</v>
      </c>
      <c r="BB1274" s="0" t="s">
        <v>153</v>
      </c>
      <c r="BD1274" s="0" t="s">
        <v>154</v>
      </c>
      <c r="BL1274" s="0" t="s">
        <v>154</v>
      </c>
      <c r="BR1274" s="0" t="s">
        <v>154</v>
      </c>
      <c r="BS1274" s="0" t="s">
        <v>154</v>
      </c>
      <c r="BY1274" s="0" t="s">
        <v>155</v>
      </c>
      <c r="CA1274" s="0" t="s">
        <v>154</v>
      </c>
      <c r="CG1274" s="0" t="s">
        <v>154</v>
      </c>
      <c r="CK1274" s="0" t="s">
        <v>154</v>
      </c>
      <c r="CP1274" s="0" t="s">
        <v>154</v>
      </c>
      <c r="CV1274" s="0" t="s">
        <v>154</v>
      </c>
      <c r="CZ1274" s="0" t="s">
        <v>176</v>
      </c>
      <c r="DC1274" s="0" t="s">
        <v>154</v>
      </c>
      <c r="DM1274" s="0" t="s">
        <v>176</v>
      </c>
      <c r="DN1274" s="0" t="s">
        <v>154</v>
      </c>
      <c r="DU1274" s="0" t="s">
        <v>154</v>
      </c>
      <c r="DX1274" s="0" t="s">
        <v>154</v>
      </c>
      <c r="EA1274" s="0" t="s">
        <v>154</v>
      </c>
      <c r="EF1274" s="0" t="s">
        <v>154</v>
      </c>
    </row>
    <row r="1275" customFormat="false" ht="13.8" hidden="false" customHeight="false" outlineLevel="0" collapsed="false">
      <c r="A1275" s="0" t="s">
        <v>6016</v>
      </c>
      <c r="B1275" s="0" t="n">
        <v>78</v>
      </c>
      <c r="C1275" s="0" t="n">
        <v>139665</v>
      </c>
      <c r="D1275" s="0" t="s">
        <v>6017</v>
      </c>
      <c r="E1275" s="0" t="s">
        <v>5111</v>
      </c>
      <c r="F1275" s="0" t="str">
        <f aca="false">CONCATENATE(D1275," ",LEFT(H1275,4),"T=",AU1275,"D=",AV1275,"R=",AW1275,"M=",AX1275,"L=",AY1275,"B=",AZ1275)</f>
        <v>BLAINE T=1D=0R=0M=4L=7B=1</v>
      </c>
      <c r="G1275" s="0" t="s">
        <v>172</v>
      </c>
      <c r="I1275" s="0" t="s">
        <v>6018</v>
      </c>
      <c r="J1275" s="0" t="s">
        <v>6019</v>
      </c>
      <c r="K1275" s="0" t="s">
        <v>175</v>
      </c>
      <c r="L1275" s="1" t="s">
        <v>155</v>
      </c>
      <c r="M1275" s="0" t="s">
        <v>6020</v>
      </c>
      <c r="N1275" s="0" t="str">
        <f aca="false">RIGHT(M1275,LEN(M1275)-FIND(" ",M1275))</f>
        <v>KINSMAN ST NW</v>
      </c>
      <c r="P1275" s="0" t="s">
        <v>146</v>
      </c>
      <c r="Q1275" s="0" t="s">
        <v>147</v>
      </c>
      <c r="R1275" s="0" t="n">
        <v>44483</v>
      </c>
      <c r="AD1275" s="0" t="s">
        <v>148</v>
      </c>
      <c r="AE1275" s="0" t="s">
        <v>149</v>
      </c>
      <c r="AF1275" s="0" t="s">
        <v>150</v>
      </c>
      <c r="AH1275" s="0" t="n">
        <v>14</v>
      </c>
      <c r="AI1275" s="0" t="n">
        <v>11</v>
      </c>
      <c r="AN1275" s="0" t="s">
        <v>146</v>
      </c>
      <c r="AO1275" s="0" t="s">
        <v>151</v>
      </c>
      <c r="AP1275" s="0" t="s">
        <v>152</v>
      </c>
      <c r="AQ1275" s="0" t="n">
        <v>9</v>
      </c>
      <c r="AR1275" s="0" t="n">
        <v>64</v>
      </c>
      <c r="AS1275" s="0" t="n">
        <v>32</v>
      </c>
      <c r="AU1275" s="0" t="n">
        <f aca="false">COUNTA($BA$1180:$EH$1180)</f>
        <v>1</v>
      </c>
      <c r="AV1275" s="0" t="n">
        <f aca="false">COUNTIF($BA$1180:$EH$1180,"D")</f>
        <v>0</v>
      </c>
      <c r="AW1275" s="0" t="n">
        <f aca="false">COUNTIF($BA$1180:$EH$1180,"R")</f>
        <v>0</v>
      </c>
      <c r="AX1275" s="0" t="n">
        <f aca="false"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>4</v>
      </c>
      <c r="AY1275" s="0" t="n">
        <f aca="false">COUNTIF(DU1275:EH1275, "&lt;&gt;")</f>
        <v>7</v>
      </c>
      <c r="AZ1275" s="0" t="n">
        <f aca="false">IF(EH1275&lt;&gt;"",1,0)</f>
        <v>1</v>
      </c>
      <c r="BB1275" s="0" t="s">
        <v>153</v>
      </c>
      <c r="BC1275" s="0" t="s">
        <v>154</v>
      </c>
      <c r="BD1275" s="0" t="s">
        <v>154</v>
      </c>
      <c r="BE1275" s="0" t="s">
        <v>154</v>
      </c>
      <c r="BF1275" s="0" t="s">
        <v>154</v>
      </c>
      <c r="BG1275" s="0" t="s">
        <v>154</v>
      </c>
      <c r="BH1275" s="0" t="s">
        <v>154</v>
      </c>
      <c r="BI1275" s="0" t="s">
        <v>154</v>
      </c>
      <c r="BJ1275" s="0" t="s">
        <v>154</v>
      </c>
      <c r="BK1275" s="0" t="s">
        <v>154</v>
      </c>
      <c r="BL1275" s="0" t="s">
        <v>154</v>
      </c>
      <c r="BP1275" s="0" t="s">
        <v>154</v>
      </c>
      <c r="BR1275" s="0" t="s">
        <v>154</v>
      </c>
      <c r="BS1275" s="0" t="s">
        <v>154</v>
      </c>
      <c r="BV1275" s="0" t="s">
        <v>154</v>
      </c>
      <c r="BY1275" s="0" t="s">
        <v>155</v>
      </c>
      <c r="CA1275" s="0" t="s">
        <v>154</v>
      </c>
      <c r="CG1275" s="0" t="s">
        <v>154</v>
      </c>
      <c r="CH1275" s="0" t="s">
        <v>155</v>
      </c>
      <c r="CK1275" s="0" t="s">
        <v>154</v>
      </c>
      <c r="CL1275" s="0" t="s">
        <v>155</v>
      </c>
      <c r="CN1275" s="0" t="s">
        <v>154</v>
      </c>
      <c r="CO1275" s="0" t="s">
        <v>155</v>
      </c>
      <c r="CP1275" s="0" t="s">
        <v>154</v>
      </c>
      <c r="CU1275" s="0" t="s">
        <v>155</v>
      </c>
      <c r="CV1275" s="0" t="s">
        <v>154</v>
      </c>
      <c r="CY1275" s="0" t="s">
        <v>154</v>
      </c>
      <c r="CZ1275" s="0" t="s">
        <v>155</v>
      </c>
      <c r="DC1275" s="0" t="s">
        <v>154</v>
      </c>
      <c r="DF1275" s="0" t="s">
        <v>154</v>
      </c>
      <c r="DG1275" s="0" t="s">
        <v>155</v>
      </c>
      <c r="DI1275" s="0" t="s">
        <v>154</v>
      </c>
      <c r="DL1275" s="0" t="s">
        <v>154</v>
      </c>
      <c r="DN1275" s="0" t="s">
        <v>154</v>
      </c>
      <c r="DO1275" s="0" t="s">
        <v>155</v>
      </c>
      <c r="DR1275" s="0" t="s">
        <v>154</v>
      </c>
      <c r="DS1275" s="0" t="s">
        <v>155</v>
      </c>
      <c r="DT1275" s="0" t="s">
        <v>155</v>
      </c>
      <c r="DU1275" s="0" t="s">
        <v>154</v>
      </c>
      <c r="DW1275" s="0" t="s">
        <v>155</v>
      </c>
      <c r="DX1275" s="0" t="s">
        <v>154</v>
      </c>
      <c r="EA1275" s="0" t="s">
        <v>154</v>
      </c>
      <c r="ED1275" s="0" t="s">
        <v>155</v>
      </c>
      <c r="EF1275" s="0" t="s">
        <v>154</v>
      </c>
      <c r="EH1275" s="0" t="s">
        <v>155</v>
      </c>
    </row>
    <row r="1276" customFormat="false" ht="13.8" hidden="false" customHeight="false" outlineLevel="0" collapsed="false">
      <c r="A1276" s="0" t="s">
        <v>6021</v>
      </c>
      <c r="B1276" s="0" t="n">
        <v>78</v>
      </c>
      <c r="C1276" s="0" t="n">
        <v>228794</v>
      </c>
      <c r="D1276" s="0" t="s">
        <v>6017</v>
      </c>
      <c r="E1276" s="0" t="s">
        <v>6022</v>
      </c>
      <c r="F1276" s="0" t="str">
        <f aca="false">CONCATENATE(D1276," ",LEFT(H1276,4),"T=",AU1276,"D=",AV1276,"R=",AW1276,"M=",AX1276,"L=",AY1276,"B=",AZ1276)</f>
        <v>BLAINE T=1D=0R=0M=4L=7B=1</v>
      </c>
      <c r="I1276" s="0" t="s">
        <v>6023</v>
      </c>
      <c r="J1276" s="0" t="s">
        <v>6024</v>
      </c>
      <c r="K1276" s="0" t="s">
        <v>175</v>
      </c>
      <c r="L1276" s="1" t="s">
        <v>155</v>
      </c>
      <c r="M1276" s="0" t="s">
        <v>6020</v>
      </c>
      <c r="N1276" s="0" t="str">
        <f aca="false">RIGHT(M1276,LEN(M1276)-FIND(" ",M1276))</f>
        <v>KINSMAN ST NW</v>
      </c>
      <c r="P1276" s="0" t="s">
        <v>146</v>
      </c>
      <c r="Q1276" s="0" t="s">
        <v>147</v>
      </c>
      <c r="R1276" s="0" t="n">
        <v>44483</v>
      </c>
      <c r="AD1276" s="0" t="s">
        <v>148</v>
      </c>
      <c r="AE1276" s="0" t="s">
        <v>149</v>
      </c>
      <c r="AF1276" s="0" t="s">
        <v>150</v>
      </c>
      <c r="AH1276" s="0" t="n">
        <v>14</v>
      </c>
      <c r="AI1276" s="0" t="n">
        <v>11</v>
      </c>
      <c r="AN1276" s="0" t="s">
        <v>146</v>
      </c>
      <c r="AO1276" s="0" t="s">
        <v>151</v>
      </c>
      <c r="AP1276" s="0" t="s">
        <v>152</v>
      </c>
      <c r="AQ1276" s="0" t="n">
        <v>9</v>
      </c>
      <c r="AR1276" s="0" t="n">
        <v>64</v>
      </c>
      <c r="AS1276" s="0" t="n">
        <v>32</v>
      </c>
      <c r="AU1276" s="0" t="n">
        <f aca="false">COUNTA($BA$2047:$EH$2047)</f>
        <v>1</v>
      </c>
      <c r="AV1276" s="0" t="n">
        <f aca="false">COUNTIF($BA$2047:$EH$2047,"D")</f>
        <v>0</v>
      </c>
      <c r="AW1276" s="0" t="n">
        <f aca="false">COUNTIF($BA$2047:$EH$2047,"R")</f>
        <v>0</v>
      </c>
      <c r="AX1276" s="0" t="n">
        <f aca="false"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>4</v>
      </c>
      <c r="AY1276" s="0" t="n">
        <f aca="false">COUNTIF(DU1276:EH1276, "&lt;&gt;")</f>
        <v>7</v>
      </c>
      <c r="AZ1276" s="0" t="n">
        <f aca="false">IF(EH1276&lt;&gt;"",1,0)</f>
        <v>1</v>
      </c>
      <c r="BB1276" s="0" t="s">
        <v>153</v>
      </c>
      <c r="BC1276" s="0" t="s">
        <v>154</v>
      </c>
      <c r="BD1276" s="0" t="s">
        <v>154</v>
      </c>
      <c r="BE1276" s="0" t="s">
        <v>154</v>
      </c>
      <c r="BG1276" s="0" t="s">
        <v>154</v>
      </c>
      <c r="BH1276" s="0" t="s">
        <v>154</v>
      </c>
      <c r="BI1276" s="0" t="s">
        <v>154</v>
      </c>
      <c r="BJ1276" s="0" t="s">
        <v>154</v>
      </c>
      <c r="BK1276" s="0" t="s">
        <v>154</v>
      </c>
      <c r="BL1276" s="0" t="s">
        <v>154</v>
      </c>
      <c r="BP1276" s="0" t="s">
        <v>154</v>
      </c>
      <c r="BR1276" s="0" t="s">
        <v>154</v>
      </c>
      <c r="BS1276" s="0" t="s">
        <v>154</v>
      </c>
      <c r="BV1276" s="0" t="s">
        <v>154</v>
      </c>
      <c r="CA1276" s="0" t="s">
        <v>154</v>
      </c>
      <c r="CH1276" s="0" t="s">
        <v>155</v>
      </c>
      <c r="CK1276" s="0" t="s">
        <v>154</v>
      </c>
      <c r="CL1276" s="0" t="s">
        <v>155</v>
      </c>
      <c r="CN1276" s="0" t="s">
        <v>154</v>
      </c>
      <c r="CO1276" s="0" t="s">
        <v>155</v>
      </c>
      <c r="CP1276" s="0" t="s">
        <v>154</v>
      </c>
      <c r="CU1276" s="0" t="s">
        <v>155</v>
      </c>
      <c r="CV1276" s="0" t="s">
        <v>154</v>
      </c>
      <c r="CY1276" s="0" t="s">
        <v>154</v>
      </c>
      <c r="CZ1276" s="0" t="s">
        <v>155</v>
      </c>
      <c r="DC1276" s="0" t="s">
        <v>154</v>
      </c>
      <c r="DF1276" s="0" t="s">
        <v>154</v>
      </c>
      <c r="DG1276" s="0" t="s">
        <v>155</v>
      </c>
      <c r="DI1276" s="0" t="s">
        <v>154</v>
      </c>
      <c r="DL1276" s="0" t="s">
        <v>154</v>
      </c>
      <c r="DN1276" s="0" t="s">
        <v>154</v>
      </c>
      <c r="DO1276" s="0" t="s">
        <v>155</v>
      </c>
      <c r="DR1276" s="0" t="s">
        <v>154</v>
      </c>
      <c r="DS1276" s="0" t="s">
        <v>155</v>
      </c>
      <c r="DT1276" s="0" t="s">
        <v>155</v>
      </c>
      <c r="DU1276" s="0" t="s">
        <v>154</v>
      </c>
      <c r="DW1276" s="0" t="s">
        <v>155</v>
      </c>
      <c r="DX1276" s="0" t="s">
        <v>154</v>
      </c>
      <c r="EA1276" s="0" t="s">
        <v>154</v>
      </c>
      <c r="ED1276" s="0" t="s">
        <v>155</v>
      </c>
      <c r="EF1276" s="0" t="s">
        <v>154</v>
      </c>
      <c r="EH1276" s="0" t="s">
        <v>155</v>
      </c>
    </row>
    <row r="1277" customFormat="false" ht="13.8" hidden="true" customHeight="false" outlineLevel="0" collapsed="false">
      <c r="A1277" s="0" t="s">
        <v>6025</v>
      </c>
      <c r="B1277" s="0" t="n">
        <v>78</v>
      </c>
      <c r="C1277" s="0" t="n">
        <v>417843</v>
      </c>
      <c r="D1277" s="0" t="s">
        <v>669</v>
      </c>
      <c r="E1277" s="0" t="s">
        <v>750</v>
      </c>
      <c r="F1277" s="0" t="str">
        <f aca="false">CONCATENATE(D1277," ",LEFT(H1277,4),"T=",AU1277,"D=",AV1277,"R=",AW1277,"M=",AX1277,"L=",AY1277,"B=",AZ1277)</f>
        <v>SKINNER T=13D=3R=0M=0L=0B=0</v>
      </c>
      <c r="G1277" s="0" t="s">
        <v>365</v>
      </c>
      <c r="I1277" s="0" t="s">
        <v>6026</v>
      </c>
      <c r="J1277" s="0" t="s">
        <v>2157</v>
      </c>
      <c r="K1277" s="0" t="s">
        <v>175</v>
      </c>
      <c r="L1277" s="0"/>
      <c r="M1277" s="0" t="s">
        <v>6027</v>
      </c>
      <c r="N1277" s="0" t="str">
        <f aca="false">RIGHT(M1277,LEN(M1277)-FIND(" ",M1277))</f>
        <v>KINSMAN ST NW</v>
      </c>
      <c r="P1277" s="0" t="s">
        <v>146</v>
      </c>
      <c r="Q1277" s="0" t="s">
        <v>147</v>
      </c>
      <c r="R1277" s="0" t="n">
        <v>44483</v>
      </c>
      <c r="AD1277" s="0" t="s">
        <v>148</v>
      </c>
      <c r="AE1277" s="0" t="s">
        <v>149</v>
      </c>
      <c r="AF1277" s="0" t="s">
        <v>150</v>
      </c>
      <c r="AH1277" s="0" t="n">
        <v>14</v>
      </c>
      <c r="AI1277" s="0" t="n">
        <v>11</v>
      </c>
      <c r="AN1277" s="0" t="s">
        <v>146</v>
      </c>
      <c r="AO1277" s="0" t="s">
        <v>151</v>
      </c>
      <c r="AP1277" s="0" t="s">
        <v>152</v>
      </c>
      <c r="AQ1277" s="0" t="n">
        <v>9</v>
      </c>
      <c r="AR1277" s="0" t="n">
        <v>64</v>
      </c>
      <c r="AS1277" s="0" t="n">
        <v>32</v>
      </c>
      <c r="AU1277" s="0" t="n">
        <f aca="false">COUNTA($BA$1158:$EH$1158)</f>
        <v>13</v>
      </c>
      <c r="AV1277" s="0" t="n">
        <f aca="false">COUNTIF($BA$1158:$EH$1158,"D")</f>
        <v>3</v>
      </c>
      <c r="AW1277" s="0" t="n">
        <f aca="false">COUNTIF($BA$1158:$EH$1158,"R")</f>
        <v>0</v>
      </c>
      <c r="AX1277" s="0" t="n">
        <f aca="false"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>0</v>
      </c>
      <c r="AY1277" s="0" t="n">
        <f aca="false">COUNTIF(DU1277:EH1277, "&lt;&gt;")</f>
        <v>0</v>
      </c>
      <c r="AZ1277" s="0" t="n">
        <f aca="false">IF(EH1277&lt;&gt;"",1,0)</f>
        <v>0</v>
      </c>
      <c r="BB1277" s="0" t="s">
        <v>153</v>
      </c>
    </row>
    <row r="1278" customFormat="false" ht="13.8" hidden="false" customHeight="false" outlineLevel="0" collapsed="false">
      <c r="A1278" s="0" t="s">
        <v>6028</v>
      </c>
      <c r="B1278" s="0" t="n">
        <v>78</v>
      </c>
      <c r="C1278" s="0" t="n">
        <v>288307</v>
      </c>
      <c r="D1278" s="0" t="s">
        <v>6029</v>
      </c>
      <c r="E1278" s="0" t="s">
        <v>3873</v>
      </c>
      <c r="F1278" s="0" t="str">
        <f aca="false">CONCATENATE(D1278," ",LEFT(H1278,4),"T=",AU1278,"D=",AV1278,"R=",AW1278,"M=",AX1278,"L=",AY1278,"B=",AZ1278)</f>
        <v>STEELE T=2D=0R=0M=0L=3B=0</v>
      </c>
      <c r="G1278" s="0" t="s">
        <v>172</v>
      </c>
      <c r="I1278" s="0" t="s">
        <v>6030</v>
      </c>
      <c r="J1278" s="0" t="s">
        <v>6031</v>
      </c>
      <c r="K1278" s="0" t="s">
        <v>175</v>
      </c>
      <c r="M1278" s="0" t="s">
        <v>6032</v>
      </c>
      <c r="N1278" s="0" t="str">
        <f aca="false">RIGHT(M1278,LEN(M1278)-FIND(" ",M1278))</f>
        <v>KINSMAN ST NW</v>
      </c>
      <c r="P1278" s="0" t="s">
        <v>146</v>
      </c>
      <c r="Q1278" s="0" t="s">
        <v>147</v>
      </c>
      <c r="R1278" s="0" t="n">
        <v>44483</v>
      </c>
      <c r="AD1278" s="0" t="s">
        <v>148</v>
      </c>
      <c r="AE1278" s="0" t="s">
        <v>149</v>
      </c>
      <c r="AF1278" s="0" t="s">
        <v>150</v>
      </c>
      <c r="AH1278" s="0" t="n">
        <v>14</v>
      </c>
      <c r="AI1278" s="0" t="n">
        <v>11</v>
      </c>
      <c r="AN1278" s="0" t="s">
        <v>146</v>
      </c>
      <c r="AO1278" s="0" t="s">
        <v>151</v>
      </c>
      <c r="AP1278" s="0" t="s">
        <v>152</v>
      </c>
      <c r="AQ1278" s="0" t="n">
        <v>9</v>
      </c>
      <c r="AR1278" s="0" t="n">
        <v>64</v>
      </c>
      <c r="AS1278" s="0" t="n">
        <v>32</v>
      </c>
      <c r="AU1278" s="0" t="n">
        <f aca="false">COUNTA($BA$2048:$EH$2048)</f>
        <v>2</v>
      </c>
      <c r="AV1278" s="0" t="n">
        <f aca="false">COUNTIF($BA$2048:$EH$2048,"D")</f>
        <v>0</v>
      </c>
      <c r="AW1278" s="0" t="n">
        <f aca="false">COUNTIF($BA$2048:$EH$2048,"R")</f>
        <v>0</v>
      </c>
      <c r="AX1278" s="0" t="n">
        <f aca="false"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>0</v>
      </c>
      <c r="AY1278" s="0" t="n">
        <f aca="false">COUNTIF(DU1278:EH1278, "&lt;&gt;")</f>
        <v>3</v>
      </c>
      <c r="AZ1278" s="0" t="n">
        <f aca="false">IF(EH1278&lt;&gt;"",1,0)</f>
        <v>0</v>
      </c>
      <c r="BB1278" s="0" t="s">
        <v>153</v>
      </c>
      <c r="BC1278" s="0" t="s">
        <v>154</v>
      </c>
      <c r="BD1278" s="0" t="s">
        <v>154</v>
      </c>
      <c r="BE1278" s="0" t="s">
        <v>154</v>
      </c>
      <c r="BL1278" s="0" t="s">
        <v>154</v>
      </c>
      <c r="BS1278" s="0" t="s">
        <v>154</v>
      </c>
      <c r="BY1278" s="0" t="s">
        <v>155</v>
      </c>
      <c r="CA1278" s="0" t="s">
        <v>154</v>
      </c>
      <c r="CG1278" s="0" t="s">
        <v>154</v>
      </c>
      <c r="CK1278" s="0" t="s">
        <v>154</v>
      </c>
      <c r="CP1278" s="0" t="s">
        <v>154</v>
      </c>
      <c r="CV1278" s="0" t="s">
        <v>154</v>
      </c>
      <c r="CZ1278" s="0" t="s">
        <v>176</v>
      </c>
      <c r="DC1278" s="0" t="s">
        <v>154</v>
      </c>
      <c r="DI1278" s="0" t="s">
        <v>154</v>
      </c>
      <c r="DN1278" s="0" t="s">
        <v>154</v>
      </c>
      <c r="DU1278" s="0" t="s">
        <v>154</v>
      </c>
      <c r="EA1278" s="0" t="s">
        <v>154</v>
      </c>
      <c r="EF1278" s="0" t="s">
        <v>154</v>
      </c>
    </row>
    <row r="1279" customFormat="false" ht="13.8" hidden="true" customHeight="false" outlineLevel="0" collapsed="false">
      <c r="A1279" s="0" t="s">
        <v>6033</v>
      </c>
      <c r="B1279" s="0" t="n">
        <v>78</v>
      </c>
      <c r="C1279" s="0" t="n">
        <v>400057</v>
      </c>
      <c r="D1279" s="0" t="s">
        <v>6034</v>
      </c>
      <c r="E1279" s="0" t="s">
        <v>744</v>
      </c>
      <c r="F1279" s="0" t="str">
        <f aca="false">CONCATENATE(D1279," ",LEFT(H1279,4),"T=",AU1279,"D=",AV1279,"R=",AW1279,"M=",AX1279,"L=",AY1279,"B=",AZ1279)</f>
        <v>BARTHOLOMEW T=1D=0R=0M=0L=0B=0</v>
      </c>
      <c r="G1279" s="0" t="s">
        <v>508</v>
      </c>
      <c r="I1279" s="0" t="s">
        <v>756</v>
      </c>
      <c r="J1279" s="0" t="s">
        <v>6035</v>
      </c>
      <c r="K1279" s="0" t="s">
        <v>144</v>
      </c>
      <c r="L1279" s="0"/>
      <c r="M1279" s="0" t="s">
        <v>6036</v>
      </c>
      <c r="N1279" s="0" t="str">
        <f aca="false">RIGHT(M1279,LEN(M1279)-FIND(" ",M1279))</f>
        <v>KINSMAN ST NW</v>
      </c>
      <c r="P1279" s="0" t="s">
        <v>146</v>
      </c>
      <c r="Q1279" s="0" t="s">
        <v>147</v>
      </c>
      <c r="R1279" s="0" t="n">
        <v>44483</v>
      </c>
      <c r="AD1279" s="0" t="s">
        <v>148</v>
      </c>
      <c r="AE1279" s="0" t="s">
        <v>149</v>
      </c>
      <c r="AF1279" s="0" t="s">
        <v>150</v>
      </c>
      <c r="AH1279" s="0" t="n">
        <v>14</v>
      </c>
      <c r="AI1279" s="0" t="n">
        <v>11</v>
      </c>
      <c r="AN1279" s="0" t="s">
        <v>146</v>
      </c>
      <c r="AO1279" s="0" t="s">
        <v>151</v>
      </c>
      <c r="AP1279" s="0" t="s">
        <v>152</v>
      </c>
      <c r="AQ1279" s="0" t="n">
        <v>9</v>
      </c>
      <c r="AR1279" s="0" t="n">
        <v>64</v>
      </c>
      <c r="AS1279" s="0" t="n">
        <v>32</v>
      </c>
      <c r="AU1279" s="0" t="n">
        <f aca="false">COUNTA($BA$1915:$EH$1915)</f>
        <v>1</v>
      </c>
      <c r="AV1279" s="0" t="n">
        <f aca="false">COUNTIF($BA$1915:$EH$1915,"D")</f>
        <v>0</v>
      </c>
      <c r="AW1279" s="0" t="n">
        <f aca="false">COUNTIF($BA$1915:$EH$1915,"R")</f>
        <v>0</v>
      </c>
      <c r="AX1279" s="0" t="n">
        <f aca="false"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>0</v>
      </c>
      <c r="AY1279" s="0" t="n">
        <f aca="false">COUNTIF(DU1279:EH1279, "&lt;&gt;")</f>
        <v>0</v>
      </c>
      <c r="AZ1279" s="0" t="n">
        <f aca="false">IF(EH1279&lt;&gt;"",1,0)</f>
        <v>0</v>
      </c>
      <c r="BB1279" s="0" t="s">
        <v>153</v>
      </c>
      <c r="DC1279" s="0" t="s">
        <v>154</v>
      </c>
    </row>
    <row r="1280" customFormat="false" ht="13.8" hidden="false" customHeight="false" outlineLevel="0" collapsed="false">
      <c r="A1280" s="0" t="s">
        <v>6037</v>
      </c>
      <c r="B1280" s="0" t="n">
        <v>78</v>
      </c>
      <c r="C1280" s="0" t="n">
        <v>238213</v>
      </c>
      <c r="D1280" s="0" t="s">
        <v>1652</v>
      </c>
      <c r="E1280" s="0" t="s">
        <v>1117</v>
      </c>
      <c r="F1280" s="0" t="str">
        <f aca="false">CONCATENATE(D1280," ",LEFT(H1280,4),"T=",AU1280,"D=",AV1280,"R=",AW1280,"M=",AX1280,"L=",AY1280,"B=",AZ1280)</f>
        <v>GILLESPIE T=1D=0R=0M=0L=5B=0</v>
      </c>
      <c r="G1280" s="0" t="s">
        <v>222</v>
      </c>
      <c r="I1280" s="0" t="s">
        <v>6038</v>
      </c>
      <c r="J1280" s="0" t="s">
        <v>6039</v>
      </c>
      <c r="K1280" s="0" t="s">
        <v>175</v>
      </c>
      <c r="L1280" s="1" t="s">
        <v>176</v>
      </c>
      <c r="M1280" s="0" t="s">
        <v>6036</v>
      </c>
      <c r="N1280" s="0" t="str">
        <f aca="false">RIGHT(M1280,LEN(M1280)-FIND(" ",M1280))</f>
        <v>KINSMAN ST NW</v>
      </c>
      <c r="P1280" s="0" t="s">
        <v>146</v>
      </c>
      <c r="Q1280" s="0" t="s">
        <v>147</v>
      </c>
      <c r="R1280" s="0" t="n">
        <v>44483</v>
      </c>
      <c r="AD1280" s="0" t="s">
        <v>148</v>
      </c>
      <c r="AE1280" s="0" t="s">
        <v>149</v>
      </c>
      <c r="AF1280" s="0" t="s">
        <v>150</v>
      </c>
      <c r="AH1280" s="0" t="n">
        <v>14</v>
      </c>
      <c r="AI1280" s="0" t="n">
        <v>11</v>
      </c>
      <c r="AN1280" s="0" t="s">
        <v>146</v>
      </c>
      <c r="AO1280" s="0" t="s">
        <v>151</v>
      </c>
      <c r="AP1280" s="0" t="s">
        <v>152</v>
      </c>
      <c r="AQ1280" s="0" t="n">
        <v>9</v>
      </c>
      <c r="AR1280" s="0" t="n">
        <v>64</v>
      </c>
      <c r="AS1280" s="0" t="n">
        <v>32</v>
      </c>
      <c r="AU1280" s="0" t="n">
        <f aca="false">COUNTA($BA$2029:$EH$2029)</f>
        <v>1</v>
      </c>
      <c r="AV1280" s="0" t="n">
        <f aca="false">COUNTIF($BA$2029:$EH$2029,"D")</f>
        <v>0</v>
      </c>
      <c r="AW1280" s="0" t="n">
        <f aca="false">COUNTIF($BA$2029:$EH$2029,"R")</f>
        <v>0</v>
      </c>
      <c r="AX1280" s="0" t="n">
        <f aca="false"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>0</v>
      </c>
      <c r="AY1280" s="0" t="n">
        <f aca="false">COUNTIF(DU1280:EH1280, "&lt;&gt;")</f>
        <v>5</v>
      </c>
      <c r="AZ1280" s="0" t="n">
        <f aca="false">IF(EH1280&lt;&gt;"",1,0)</f>
        <v>0</v>
      </c>
      <c r="BB1280" s="0" t="s">
        <v>153</v>
      </c>
      <c r="BC1280" s="0" t="s">
        <v>154</v>
      </c>
      <c r="BD1280" s="0" t="s">
        <v>154</v>
      </c>
      <c r="BE1280" s="0" t="s">
        <v>154</v>
      </c>
      <c r="BH1280" s="0" t="s">
        <v>154</v>
      </c>
      <c r="BI1280" s="0" t="s">
        <v>154</v>
      </c>
      <c r="BJ1280" s="0" t="s">
        <v>154</v>
      </c>
      <c r="BK1280" s="0" t="s">
        <v>154</v>
      </c>
      <c r="BL1280" s="0" t="s">
        <v>154</v>
      </c>
      <c r="BS1280" s="0" t="s">
        <v>154</v>
      </c>
      <c r="BY1280" s="0" t="s">
        <v>155</v>
      </c>
      <c r="CA1280" s="0" t="s">
        <v>154</v>
      </c>
      <c r="CG1280" s="0" t="s">
        <v>154</v>
      </c>
      <c r="CP1280" s="0" t="s">
        <v>154</v>
      </c>
      <c r="CZ1280" s="0" t="s">
        <v>176</v>
      </c>
      <c r="DC1280" s="0" t="s">
        <v>154</v>
      </c>
      <c r="DI1280" s="0" t="s">
        <v>154</v>
      </c>
      <c r="DN1280" s="0" t="s">
        <v>154</v>
      </c>
      <c r="DU1280" s="0" t="s">
        <v>154</v>
      </c>
      <c r="DX1280" s="0" t="s">
        <v>154</v>
      </c>
      <c r="EA1280" s="0" t="s">
        <v>154</v>
      </c>
      <c r="ED1280" s="0" t="s">
        <v>176</v>
      </c>
      <c r="EF1280" s="0" t="s">
        <v>154</v>
      </c>
    </row>
    <row r="1281" customFormat="false" ht="13.8" hidden="false" customHeight="false" outlineLevel="0" collapsed="false">
      <c r="A1281" s="0" t="s">
        <v>6040</v>
      </c>
      <c r="B1281" s="0" t="n">
        <v>78</v>
      </c>
      <c r="C1281" s="0" t="n">
        <v>241163</v>
      </c>
      <c r="D1281" s="0" t="s">
        <v>1652</v>
      </c>
      <c r="E1281" s="0" t="s">
        <v>6041</v>
      </c>
      <c r="F1281" s="0" t="str">
        <f aca="false">CONCATENATE(D1281," ",LEFT(H1281,4),"T=",AU1281,"D=",AV1281,"R=",AW1281,"M=",AX1281,"L=",AY1281,"B=",AZ1281)</f>
        <v>GILLESPIE T=14D=1R=0M=1L=5B=0</v>
      </c>
      <c r="G1281" s="0" t="s">
        <v>690</v>
      </c>
      <c r="I1281" s="0" t="s">
        <v>6042</v>
      </c>
      <c r="J1281" s="0" t="s">
        <v>6039</v>
      </c>
      <c r="K1281" s="0" t="s">
        <v>175</v>
      </c>
      <c r="L1281" s="1" t="s">
        <v>176</v>
      </c>
      <c r="M1281" s="0" t="s">
        <v>6036</v>
      </c>
      <c r="N1281" s="0" t="str">
        <f aca="false">RIGHT(M1281,LEN(M1281)-FIND(" ",M1281))</f>
        <v>KINSMAN ST NW</v>
      </c>
      <c r="P1281" s="0" t="s">
        <v>146</v>
      </c>
      <c r="Q1281" s="0" t="s">
        <v>147</v>
      </c>
      <c r="R1281" s="0" t="n">
        <v>44483</v>
      </c>
      <c r="AD1281" s="0" t="s">
        <v>148</v>
      </c>
      <c r="AE1281" s="0" t="s">
        <v>149</v>
      </c>
      <c r="AF1281" s="0" t="s">
        <v>150</v>
      </c>
      <c r="AH1281" s="0" t="n">
        <v>14</v>
      </c>
      <c r="AI1281" s="0" t="n">
        <v>11</v>
      </c>
      <c r="AN1281" s="0" t="s">
        <v>146</v>
      </c>
      <c r="AO1281" s="0" t="s">
        <v>151</v>
      </c>
      <c r="AP1281" s="0" t="s">
        <v>152</v>
      </c>
      <c r="AQ1281" s="0" t="n">
        <v>9</v>
      </c>
      <c r="AR1281" s="0" t="n">
        <v>64</v>
      </c>
      <c r="AS1281" s="0" t="n">
        <v>32</v>
      </c>
      <c r="AU1281" s="0" t="n">
        <f aca="false">COUNTA($BA$2043:$EH$2043)</f>
        <v>14</v>
      </c>
      <c r="AV1281" s="0" t="n">
        <f aca="false">COUNTIF($BA$2043:$EH$2043,"D")</f>
        <v>1</v>
      </c>
      <c r="AW1281" s="0" t="n">
        <f aca="false">COUNTIF($BA$2043:$EH$2043,"R")</f>
        <v>0</v>
      </c>
      <c r="AX1281" s="0" t="n">
        <f aca="false"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>1</v>
      </c>
      <c r="AY1281" s="0" t="n">
        <f aca="false">COUNTIF(DU1281:EH1281, "&lt;&gt;")</f>
        <v>5</v>
      </c>
      <c r="AZ1281" s="0" t="n">
        <f aca="false">IF(EH1281&lt;&gt;"",1,0)</f>
        <v>0</v>
      </c>
      <c r="BB1281" s="0" t="s">
        <v>153</v>
      </c>
      <c r="BC1281" s="0" t="s">
        <v>154</v>
      </c>
      <c r="BD1281" s="0" t="s">
        <v>154</v>
      </c>
      <c r="BE1281" s="0" t="s">
        <v>154</v>
      </c>
      <c r="BF1281" s="0" t="s">
        <v>154</v>
      </c>
      <c r="BG1281" s="0" t="s">
        <v>154</v>
      </c>
      <c r="BH1281" s="0" t="s">
        <v>154</v>
      </c>
      <c r="BI1281" s="0" t="s">
        <v>154</v>
      </c>
      <c r="BJ1281" s="0" t="s">
        <v>154</v>
      </c>
      <c r="BK1281" s="0" t="s">
        <v>154</v>
      </c>
      <c r="BL1281" s="0" t="s">
        <v>154</v>
      </c>
      <c r="BP1281" s="0" t="s">
        <v>154</v>
      </c>
      <c r="BR1281" s="0" t="s">
        <v>154</v>
      </c>
      <c r="BS1281" s="0" t="s">
        <v>154</v>
      </c>
      <c r="BV1281" s="0" t="s">
        <v>154</v>
      </c>
      <c r="BY1281" s="0" t="s">
        <v>155</v>
      </c>
      <c r="CA1281" s="0" t="s">
        <v>154</v>
      </c>
      <c r="CG1281" s="0" t="s">
        <v>154</v>
      </c>
      <c r="CH1281" s="0" t="s">
        <v>155</v>
      </c>
      <c r="CK1281" s="0" t="s">
        <v>154</v>
      </c>
      <c r="CL1281" s="0" t="s">
        <v>155</v>
      </c>
      <c r="CN1281" s="0" t="s">
        <v>154</v>
      </c>
      <c r="CO1281" s="0" t="s">
        <v>176</v>
      </c>
      <c r="CP1281" s="0" t="s">
        <v>154</v>
      </c>
      <c r="CV1281" s="0" t="s">
        <v>154</v>
      </c>
      <c r="CY1281" s="0" t="s">
        <v>154</v>
      </c>
      <c r="CZ1281" s="0" t="s">
        <v>176</v>
      </c>
      <c r="DC1281" s="0" t="s">
        <v>154</v>
      </c>
      <c r="DF1281" s="0" t="s">
        <v>154</v>
      </c>
      <c r="DG1281" s="0" t="s">
        <v>176</v>
      </c>
      <c r="DI1281" s="0" t="s">
        <v>154</v>
      </c>
      <c r="DL1281" s="0" t="s">
        <v>154</v>
      </c>
      <c r="DM1281" s="0" t="s">
        <v>176</v>
      </c>
      <c r="DN1281" s="0" t="s">
        <v>154</v>
      </c>
      <c r="DR1281" s="0" t="s">
        <v>154</v>
      </c>
      <c r="DU1281" s="0" t="s">
        <v>154</v>
      </c>
      <c r="DX1281" s="0" t="s">
        <v>154</v>
      </c>
      <c r="EA1281" s="0" t="s">
        <v>154</v>
      </c>
      <c r="ED1281" s="0" t="s">
        <v>176</v>
      </c>
      <c r="EF1281" s="0" t="s">
        <v>154</v>
      </c>
    </row>
    <row r="1282" customFormat="false" ht="13.8" hidden="false" customHeight="false" outlineLevel="0" collapsed="false">
      <c r="A1282" s="0" t="s">
        <v>6043</v>
      </c>
      <c r="B1282" s="0" t="n">
        <v>78</v>
      </c>
      <c r="C1282" s="0" t="n">
        <v>403170</v>
      </c>
      <c r="D1282" s="0" t="s">
        <v>6044</v>
      </c>
      <c r="E1282" s="0" t="s">
        <v>6045</v>
      </c>
      <c r="F1282" s="0" t="str">
        <f aca="false">CONCATENATE(D1282," ",LEFT(H1282,4),"T=",AU1282,"D=",AV1282,"R=",AW1282,"M=",AX1282,"L=",AY1282,"B=",AZ1282)</f>
        <v>FRITCH T=3D=0R=0M=0L=4B=0</v>
      </c>
      <c r="G1282" s="0" t="s">
        <v>6046</v>
      </c>
      <c r="I1282" s="0" t="s">
        <v>6047</v>
      </c>
      <c r="J1282" s="0" t="s">
        <v>977</v>
      </c>
      <c r="K1282" s="0" t="s">
        <v>175</v>
      </c>
      <c r="M1282" s="0" t="s">
        <v>6048</v>
      </c>
      <c r="N1282" s="0" t="str">
        <f aca="false">RIGHT(M1282,LEN(M1282)-FIND(" ",M1282))</f>
        <v>KINSMAN ST NW</v>
      </c>
      <c r="P1282" s="0" t="s">
        <v>146</v>
      </c>
      <c r="Q1282" s="0" t="s">
        <v>147</v>
      </c>
      <c r="R1282" s="0" t="n">
        <v>44483</v>
      </c>
      <c r="AD1282" s="0" t="s">
        <v>148</v>
      </c>
      <c r="AE1282" s="0" t="s">
        <v>149</v>
      </c>
      <c r="AF1282" s="0" t="s">
        <v>150</v>
      </c>
      <c r="AH1282" s="0" t="n">
        <v>14</v>
      </c>
      <c r="AI1282" s="0" t="n">
        <v>11</v>
      </c>
      <c r="AN1282" s="0" t="s">
        <v>146</v>
      </c>
      <c r="AO1282" s="0" t="s">
        <v>151</v>
      </c>
      <c r="AP1282" s="0" t="s">
        <v>152</v>
      </c>
      <c r="AQ1282" s="0" t="n">
        <v>9</v>
      </c>
      <c r="AR1282" s="0" t="n">
        <v>64</v>
      </c>
      <c r="AS1282" s="0" t="n">
        <v>32</v>
      </c>
      <c r="AU1282" s="0" t="n">
        <f aca="false">COUNTA($BA$1293:$EH$1293)</f>
        <v>3</v>
      </c>
      <c r="AV1282" s="0" t="n">
        <f aca="false">COUNTIF($BA$1293:$EH$1293,"D")</f>
        <v>0</v>
      </c>
      <c r="AW1282" s="0" t="n">
        <f aca="false">COUNTIF($BA$1293:$EH$1293,"R")</f>
        <v>0</v>
      </c>
      <c r="AX1282" s="0" t="n">
        <f aca="false"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>0</v>
      </c>
      <c r="AY1282" s="0" t="n">
        <f aca="false">COUNTIF(DU1282:EH1282, "&lt;&gt;")</f>
        <v>4</v>
      </c>
      <c r="AZ1282" s="0" t="n">
        <f aca="false">IF(EH1282&lt;&gt;"",1,0)</f>
        <v>0</v>
      </c>
      <c r="BB1282" s="0" t="s">
        <v>153</v>
      </c>
      <c r="CY1282" s="0" t="s">
        <v>154</v>
      </c>
      <c r="CZ1282" s="0" t="s">
        <v>155</v>
      </c>
      <c r="DC1282" s="0" t="s">
        <v>154</v>
      </c>
      <c r="DF1282" s="0" t="s">
        <v>154</v>
      </c>
      <c r="DI1282" s="0" t="s">
        <v>154</v>
      </c>
      <c r="DN1282" s="0" t="s">
        <v>154</v>
      </c>
      <c r="DU1282" s="0" t="s">
        <v>154</v>
      </c>
      <c r="DX1282" s="0" t="s">
        <v>154</v>
      </c>
      <c r="EA1282" s="0" t="s">
        <v>154</v>
      </c>
      <c r="EF1282" s="0" t="s">
        <v>154</v>
      </c>
    </row>
    <row r="1283" customFormat="false" ht="13.8" hidden="true" customHeight="false" outlineLevel="0" collapsed="false">
      <c r="A1283" s="0" t="s">
        <v>6049</v>
      </c>
      <c r="B1283" s="0" t="n">
        <v>78</v>
      </c>
      <c r="C1283" s="0" t="n">
        <v>5773</v>
      </c>
      <c r="D1283" s="0" t="s">
        <v>6050</v>
      </c>
      <c r="E1283" s="0" t="s">
        <v>4229</v>
      </c>
      <c r="F1283" s="0" t="str">
        <f aca="false">CONCATENATE(D1283," ",LEFT(H1283,4),"T=",AU1283,"D=",AV1283,"R=",AW1283,"M=",AX1283,"L=",AY1283,"B=",AZ1283)</f>
        <v>SHIPLEY T=6D=1R=0M=0L=1B=0</v>
      </c>
      <c r="G1283" s="0" t="s">
        <v>6051</v>
      </c>
      <c r="I1283" s="0" t="s">
        <v>6052</v>
      </c>
      <c r="J1283" s="0" t="s">
        <v>6053</v>
      </c>
      <c r="K1283" s="0" t="s">
        <v>175</v>
      </c>
      <c r="L1283" s="0"/>
      <c r="M1283" s="0" t="s">
        <v>6054</v>
      </c>
      <c r="N1283" s="0" t="str">
        <f aca="false">RIGHT(M1283,LEN(M1283)-FIND(" ",M1283))</f>
        <v>KINSMAN ST NW</v>
      </c>
      <c r="P1283" s="0" t="s">
        <v>146</v>
      </c>
      <c r="Q1283" s="0" t="s">
        <v>147</v>
      </c>
      <c r="R1283" s="0" t="n">
        <v>44483</v>
      </c>
      <c r="AD1283" s="0" t="s">
        <v>148</v>
      </c>
      <c r="AE1283" s="0" t="s">
        <v>149</v>
      </c>
      <c r="AF1283" s="0" t="s">
        <v>150</v>
      </c>
      <c r="AH1283" s="0" t="n">
        <v>14</v>
      </c>
      <c r="AI1283" s="0" t="n">
        <v>11</v>
      </c>
      <c r="AN1283" s="0" t="s">
        <v>146</v>
      </c>
      <c r="AO1283" s="0" t="s">
        <v>151</v>
      </c>
      <c r="AP1283" s="0" t="s">
        <v>152</v>
      </c>
      <c r="AQ1283" s="0" t="n">
        <v>9</v>
      </c>
      <c r="AR1283" s="0" t="n">
        <v>64</v>
      </c>
      <c r="AS1283" s="0" t="n">
        <v>32</v>
      </c>
      <c r="AU1283" s="0" t="n">
        <f aca="false">COUNTA($BA$1181:$EH$1181)</f>
        <v>6</v>
      </c>
      <c r="AV1283" s="0" t="n">
        <f aca="false">COUNTIF($BA$1181:$EH$1181,"D")</f>
        <v>1</v>
      </c>
      <c r="AW1283" s="0" t="n">
        <f aca="false">COUNTIF($BA$1181:$EH$1181,"R")</f>
        <v>0</v>
      </c>
      <c r="AX1283" s="0" t="n">
        <f aca="false"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>0</v>
      </c>
      <c r="AY1283" s="0" t="n">
        <f aca="false">COUNTIF(DU1283:EH1283, "&lt;&gt;")</f>
        <v>1</v>
      </c>
      <c r="AZ1283" s="0" t="n">
        <f aca="false">IF(EH1283&lt;&gt;"",1,0)</f>
        <v>0</v>
      </c>
      <c r="BB1283" s="0" t="s">
        <v>153</v>
      </c>
      <c r="BC1283" s="0" t="s">
        <v>154</v>
      </c>
      <c r="BD1283" s="0" t="s">
        <v>154</v>
      </c>
      <c r="BE1283" s="0" t="s">
        <v>154</v>
      </c>
      <c r="BH1283" s="0" t="s">
        <v>154</v>
      </c>
      <c r="BI1283" s="0" t="s">
        <v>154</v>
      </c>
      <c r="BJ1283" s="0" t="s">
        <v>154</v>
      </c>
      <c r="BK1283" s="0" t="s">
        <v>154</v>
      </c>
      <c r="BL1283" s="0" t="s">
        <v>154</v>
      </c>
      <c r="BP1283" s="0" t="s">
        <v>154</v>
      </c>
      <c r="BS1283" s="0" t="s">
        <v>154</v>
      </c>
      <c r="BV1283" s="0" t="s">
        <v>154</v>
      </c>
      <c r="BY1283" s="0" t="s">
        <v>155</v>
      </c>
      <c r="CA1283" s="0" t="s">
        <v>154</v>
      </c>
      <c r="CP1283" s="0" t="s">
        <v>154</v>
      </c>
      <c r="EF1283" s="0" t="s">
        <v>154</v>
      </c>
    </row>
    <row r="1284" customFormat="false" ht="13.8" hidden="true" customHeight="false" outlineLevel="0" collapsed="false">
      <c r="A1284" s="0" t="s">
        <v>6055</v>
      </c>
      <c r="B1284" s="0" t="n">
        <v>78</v>
      </c>
      <c r="C1284" s="0" t="n">
        <v>409145</v>
      </c>
      <c r="D1284" s="0" t="s">
        <v>6056</v>
      </c>
      <c r="E1284" s="0" t="s">
        <v>619</v>
      </c>
      <c r="F1284" s="0" t="str">
        <f aca="false">CONCATENATE(D1284," ",LEFT(H1284,4),"T=",AU1284,"D=",AV1284,"R=",AW1284,"M=",AX1284,"L=",AY1284,"B=",AZ1284)</f>
        <v>KASZOWSKI JRT=3D=0R=0M=0L=0B=0</v>
      </c>
      <c r="G1284" s="0" t="s">
        <v>297</v>
      </c>
      <c r="H1284" s="0" t="s">
        <v>431</v>
      </c>
      <c r="I1284" s="0" t="s">
        <v>6057</v>
      </c>
      <c r="J1284" s="0" t="s">
        <v>5251</v>
      </c>
      <c r="K1284" s="0" t="s">
        <v>175</v>
      </c>
      <c r="L1284" s="0"/>
      <c r="M1284" s="0" t="s">
        <v>6058</v>
      </c>
      <c r="N1284" s="0" t="str">
        <f aca="false">RIGHT(M1284,LEN(M1284)-FIND(" ",M1284))</f>
        <v>KINSMAN ST NW</v>
      </c>
      <c r="P1284" s="0" t="s">
        <v>146</v>
      </c>
      <c r="Q1284" s="0" t="s">
        <v>147</v>
      </c>
      <c r="R1284" s="0" t="n">
        <v>44483</v>
      </c>
      <c r="AD1284" s="0" t="s">
        <v>148</v>
      </c>
      <c r="AE1284" s="0" t="s">
        <v>149</v>
      </c>
      <c r="AF1284" s="0" t="s">
        <v>150</v>
      </c>
      <c r="AH1284" s="0" t="n">
        <v>14</v>
      </c>
      <c r="AI1284" s="0" t="n">
        <v>11</v>
      </c>
      <c r="AN1284" s="0" t="s">
        <v>146</v>
      </c>
      <c r="AO1284" s="0" t="s">
        <v>151</v>
      </c>
      <c r="AP1284" s="0" t="s">
        <v>152</v>
      </c>
      <c r="AQ1284" s="0" t="n">
        <v>9</v>
      </c>
      <c r="AR1284" s="0" t="n">
        <v>64</v>
      </c>
      <c r="AS1284" s="0" t="n">
        <v>32</v>
      </c>
      <c r="AU1284" s="0" t="n">
        <f aca="false">COUNTA($BA$1391:$EH$1391)</f>
        <v>3</v>
      </c>
      <c r="AV1284" s="0" t="n">
        <f aca="false">COUNTIF($BA$1391:$EH$1391,"D")</f>
        <v>0</v>
      </c>
      <c r="AW1284" s="0" t="n">
        <f aca="false">COUNTIF($BA$1391:$EH$1391,"R")</f>
        <v>0</v>
      </c>
      <c r="AX1284" s="0" t="n">
        <f aca="false"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>0</v>
      </c>
      <c r="AY1284" s="0" t="n">
        <f aca="false">COUNTIF(DU1284:EH1284, "&lt;&gt;")</f>
        <v>0</v>
      </c>
      <c r="AZ1284" s="0" t="n">
        <f aca="false">IF(EH1284&lt;&gt;"",1,0)</f>
        <v>0</v>
      </c>
      <c r="BB1284" s="0" t="s">
        <v>153</v>
      </c>
    </row>
    <row r="1285" customFormat="false" ht="13.8" hidden="false" customHeight="false" outlineLevel="0" collapsed="false">
      <c r="A1285" s="0" t="s">
        <v>6059</v>
      </c>
      <c r="B1285" s="0" t="n">
        <v>78</v>
      </c>
      <c r="C1285" s="0" t="n">
        <v>128736</v>
      </c>
      <c r="D1285" s="0" t="s">
        <v>1582</v>
      </c>
      <c r="E1285" s="0" t="s">
        <v>382</v>
      </c>
      <c r="F1285" s="0" t="str">
        <f aca="false">CONCATENATE(D1285," ",LEFT(H1285,4),"T=",AU1285,"D=",AV1285,"R=",AW1285,"M=",AX1285,"L=",AY1285,"B=",AZ1285)</f>
        <v>SMITH T=3D=0R=1M=0L=2B=0</v>
      </c>
      <c r="I1285" s="0" t="s">
        <v>6060</v>
      </c>
      <c r="J1285" s="0" t="s">
        <v>6061</v>
      </c>
      <c r="K1285" s="0" t="s">
        <v>175</v>
      </c>
      <c r="M1285" s="0" t="s">
        <v>6062</v>
      </c>
      <c r="N1285" s="0" t="str">
        <f aca="false">RIGHT(M1285,LEN(M1285)-FIND(" ",M1285))</f>
        <v>KINSMAN ST NW</v>
      </c>
      <c r="P1285" s="0" t="s">
        <v>146</v>
      </c>
      <c r="Q1285" s="0" t="s">
        <v>147</v>
      </c>
      <c r="R1285" s="0" t="n">
        <v>44483</v>
      </c>
      <c r="AD1285" s="0" t="s">
        <v>148</v>
      </c>
      <c r="AE1285" s="0" t="s">
        <v>149</v>
      </c>
      <c r="AF1285" s="0" t="s">
        <v>150</v>
      </c>
      <c r="AH1285" s="0" t="n">
        <v>14</v>
      </c>
      <c r="AI1285" s="0" t="n">
        <v>11</v>
      </c>
      <c r="AN1285" s="0" t="s">
        <v>146</v>
      </c>
      <c r="AO1285" s="0" t="s">
        <v>151</v>
      </c>
      <c r="AP1285" s="0" t="s">
        <v>152</v>
      </c>
      <c r="AQ1285" s="0" t="n">
        <v>9</v>
      </c>
      <c r="AR1285" s="0" t="n">
        <v>64</v>
      </c>
      <c r="AS1285" s="0" t="n">
        <v>32</v>
      </c>
      <c r="AU1285" s="0" t="n">
        <f aca="false">COUNTA($BA$1174:$EH$1174)</f>
        <v>3</v>
      </c>
      <c r="AV1285" s="0" t="n">
        <f aca="false">COUNTIF($BA$1174:$EH$1174,"D")</f>
        <v>0</v>
      </c>
      <c r="AW1285" s="0" t="n">
        <f aca="false">COUNTIF($BA$1174:$EH$1174,"R")</f>
        <v>1</v>
      </c>
      <c r="AX1285" s="0" t="n">
        <f aca="false"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>0</v>
      </c>
      <c r="AY1285" s="0" t="n">
        <f aca="false">COUNTIF(DU1285:EH1285, "&lt;&gt;")</f>
        <v>2</v>
      </c>
      <c r="AZ1285" s="0" t="n">
        <f aca="false">IF(EH1285&lt;&gt;"",1,0)</f>
        <v>0</v>
      </c>
      <c r="BB1285" s="0" t="s">
        <v>153</v>
      </c>
      <c r="BD1285" s="0" t="s">
        <v>154</v>
      </c>
      <c r="BL1285" s="0" t="s">
        <v>154</v>
      </c>
      <c r="BV1285" s="0" t="s">
        <v>154</v>
      </c>
      <c r="BY1285" s="0" t="s">
        <v>155</v>
      </c>
      <c r="CA1285" s="0" t="s">
        <v>154</v>
      </c>
      <c r="CK1285" s="0" t="s">
        <v>154</v>
      </c>
      <c r="CN1285" s="0" t="s">
        <v>154</v>
      </c>
      <c r="CP1285" s="0" t="s">
        <v>154</v>
      </c>
      <c r="CY1285" s="0" t="s">
        <v>154</v>
      </c>
      <c r="DC1285" s="0" t="s">
        <v>154</v>
      </c>
      <c r="DI1285" s="0" t="s">
        <v>154</v>
      </c>
      <c r="DL1285" s="0" t="s">
        <v>154</v>
      </c>
      <c r="DN1285" s="0" t="s">
        <v>154</v>
      </c>
      <c r="DU1285" s="0" t="s">
        <v>154</v>
      </c>
      <c r="EF1285" s="0" t="s">
        <v>154</v>
      </c>
    </row>
    <row r="1286" customFormat="false" ht="13.8" hidden="false" customHeight="false" outlineLevel="0" collapsed="false">
      <c r="A1286" s="0" t="s">
        <v>6063</v>
      </c>
      <c r="B1286" s="0" t="n">
        <v>78</v>
      </c>
      <c r="C1286" s="0" t="n">
        <v>128739</v>
      </c>
      <c r="D1286" s="0" t="s">
        <v>1582</v>
      </c>
      <c r="E1286" s="0" t="s">
        <v>430</v>
      </c>
      <c r="F1286" s="0" t="str">
        <f aca="false">CONCATENATE(D1286," ",LEFT(H1286,4),"T=",AU1286,"D=",AV1286,"R=",AW1286,"M=",AX1286,"L=",AY1286,"B=",AZ1286)</f>
        <v>SMITH T=12D=2R=0M=3L=4B=0</v>
      </c>
      <c r="G1286" s="0" t="s">
        <v>241</v>
      </c>
      <c r="I1286" s="0" t="s">
        <v>3270</v>
      </c>
      <c r="J1286" s="0" t="s">
        <v>161</v>
      </c>
      <c r="K1286" s="0" t="s">
        <v>175</v>
      </c>
      <c r="L1286" s="1" t="s">
        <v>155</v>
      </c>
      <c r="M1286" s="0" t="s">
        <v>6062</v>
      </c>
      <c r="N1286" s="0" t="str">
        <f aca="false">RIGHT(M1286,LEN(M1286)-FIND(" ",M1286))</f>
        <v>KINSMAN ST NW</v>
      </c>
      <c r="P1286" s="0" t="s">
        <v>146</v>
      </c>
      <c r="Q1286" s="0" t="s">
        <v>147</v>
      </c>
      <c r="R1286" s="0" t="n">
        <v>44483</v>
      </c>
      <c r="AD1286" s="0" t="s">
        <v>148</v>
      </c>
      <c r="AE1286" s="0" t="s">
        <v>149</v>
      </c>
      <c r="AF1286" s="0" t="s">
        <v>150</v>
      </c>
      <c r="AH1286" s="0" t="n">
        <v>14</v>
      </c>
      <c r="AI1286" s="0" t="n">
        <v>11</v>
      </c>
      <c r="AN1286" s="0" t="s">
        <v>146</v>
      </c>
      <c r="AO1286" s="0" t="s">
        <v>151</v>
      </c>
      <c r="AP1286" s="0" t="s">
        <v>152</v>
      </c>
      <c r="AQ1286" s="0" t="n">
        <v>9</v>
      </c>
      <c r="AR1286" s="0" t="n">
        <v>64</v>
      </c>
      <c r="AS1286" s="0" t="n">
        <v>32</v>
      </c>
      <c r="AU1286" s="0" t="n">
        <f aca="false">COUNTA($BA$1855:$EH$1855)</f>
        <v>12</v>
      </c>
      <c r="AV1286" s="0" t="n">
        <f aca="false">COUNTIF($BA$1855:$EH$1855,"D")</f>
        <v>2</v>
      </c>
      <c r="AW1286" s="0" t="n">
        <f aca="false">COUNTIF($BA$1855:$EH$1855,"R")</f>
        <v>0</v>
      </c>
      <c r="AX1286" s="0" t="n">
        <f aca="false"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>3</v>
      </c>
      <c r="AY1286" s="0" t="n">
        <f aca="false">COUNTIF(DU1286:EH1286, "&lt;&gt;")</f>
        <v>4</v>
      </c>
      <c r="AZ1286" s="0" t="n">
        <f aca="false">IF(EH1286&lt;&gt;"",1,0)</f>
        <v>0</v>
      </c>
      <c r="BB1286" s="0" t="s">
        <v>153</v>
      </c>
      <c r="BC1286" s="0" t="s">
        <v>154</v>
      </c>
      <c r="BD1286" s="0" t="s">
        <v>154</v>
      </c>
      <c r="BF1286" s="0" t="s">
        <v>154</v>
      </c>
      <c r="BH1286" s="0" t="s">
        <v>154</v>
      </c>
      <c r="BJ1286" s="0" t="s">
        <v>154</v>
      </c>
      <c r="BK1286" s="0" t="s">
        <v>154</v>
      </c>
      <c r="BL1286" s="0" t="s">
        <v>154</v>
      </c>
      <c r="BP1286" s="0" t="s">
        <v>154</v>
      </c>
      <c r="BV1286" s="0" t="s">
        <v>154</v>
      </c>
      <c r="BY1286" s="0" t="s">
        <v>155</v>
      </c>
      <c r="CA1286" s="0" t="s">
        <v>154</v>
      </c>
      <c r="CG1286" s="0" t="s">
        <v>154</v>
      </c>
      <c r="CK1286" s="0" t="s">
        <v>154</v>
      </c>
      <c r="CL1286" s="0" t="s">
        <v>155</v>
      </c>
      <c r="CN1286" s="0" t="s">
        <v>154</v>
      </c>
      <c r="CP1286" s="0" t="s">
        <v>154</v>
      </c>
      <c r="CY1286" s="0" t="s">
        <v>154</v>
      </c>
      <c r="CZ1286" s="0" t="s">
        <v>155</v>
      </c>
      <c r="DC1286" s="0" t="s">
        <v>154</v>
      </c>
      <c r="DD1286" s="0" t="s">
        <v>155</v>
      </c>
      <c r="DF1286" s="0" t="s">
        <v>154</v>
      </c>
      <c r="DG1286" s="0" t="s">
        <v>155</v>
      </c>
      <c r="DI1286" s="0" t="s">
        <v>154</v>
      </c>
      <c r="DL1286" s="0" t="s">
        <v>154</v>
      </c>
      <c r="DN1286" s="0" t="s">
        <v>154</v>
      </c>
      <c r="DR1286" s="0" t="s">
        <v>154</v>
      </c>
      <c r="DU1286" s="0" t="s">
        <v>154</v>
      </c>
      <c r="DW1286" s="0" t="s">
        <v>155</v>
      </c>
      <c r="EA1286" s="0" t="s">
        <v>154</v>
      </c>
      <c r="EF1286" s="0" t="s">
        <v>154</v>
      </c>
    </row>
    <row r="1287" customFormat="false" ht="13.8" hidden="true" customHeight="false" outlineLevel="0" collapsed="false">
      <c r="A1287" s="0" t="s">
        <v>6064</v>
      </c>
      <c r="B1287" s="0" t="n">
        <v>78</v>
      </c>
      <c r="C1287" s="0" t="n">
        <v>462218</v>
      </c>
      <c r="D1287" s="0" t="s">
        <v>5871</v>
      </c>
      <c r="E1287" s="0" t="s">
        <v>6065</v>
      </c>
      <c r="F1287" s="0" t="str">
        <f aca="false">CONCATENATE(D1287," ",LEFT(H1287,4),"T=",AU1287,"D=",AV1287,"R=",AW1287,"M=",AX1287,"L=",AY1287,"B=",AZ1287)</f>
        <v>CURRIE T=9D=0R=1M=0L=1B=0</v>
      </c>
      <c r="G1287" s="0" t="s">
        <v>597</v>
      </c>
      <c r="I1287" s="0" t="s">
        <v>6066</v>
      </c>
      <c r="J1287" s="0" t="s">
        <v>5144</v>
      </c>
      <c r="K1287" s="0" t="s">
        <v>175</v>
      </c>
      <c r="L1287" s="0"/>
      <c r="M1287" s="0" t="s">
        <v>6067</v>
      </c>
      <c r="N1287" s="0" t="str">
        <f aca="false">RIGHT(M1287,LEN(M1287)-FIND(" ",M1287))</f>
        <v>KINSMAN ST NW</v>
      </c>
      <c r="P1287" s="0" t="s">
        <v>146</v>
      </c>
      <c r="Q1287" s="0" t="s">
        <v>147</v>
      </c>
      <c r="R1287" s="0" t="n">
        <v>44483</v>
      </c>
      <c r="AD1287" s="0" t="s">
        <v>148</v>
      </c>
      <c r="AE1287" s="0" t="s">
        <v>149</v>
      </c>
      <c r="AF1287" s="0" t="s">
        <v>150</v>
      </c>
      <c r="AH1287" s="0" t="n">
        <v>14</v>
      </c>
      <c r="AI1287" s="0" t="n">
        <v>11</v>
      </c>
      <c r="AN1287" s="0" t="s">
        <v>146</v>
      </c>
      <c r="AO1287" s="0" t="s">
        <v>151</v>
      </c>
      <c r="AP1287" s="0" t="s">
        <v>152</v>
      </c>
      <c r="AQ1287" s="0" t="n">
        <v>9</v>
      </c>
      <c r="AR1287" s="0" t="n">
        <v>64</v>
      </c>
      <c r="AS1287" s="0" t="n">
        <v>32</v>
      </c>
      <c r="AU1287" s="0" t="n">
        <f aca="false">COUNTA($BA$1790:$EH$1790)</f>
        <v>9</v>
      </c>
      <c r="AV1287" s="0" t="n">
        <f aca="false">COUNTIF($BA$1790:$EH$1790,"D")</f>
        <v>0</v>
      </c>
      <c r="AW1287" s="0" t="n">
        <f aca="false">COUNTIF($BA$1790:$EH$1790,"R")</f>
        <v>1</v>
      </c>
      <c r="AX1287" s="0" t="n">
        <f aca="false"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>0</v>
      </c>
      <c r="AY1287" s="0" t="n">
        <f aca="false">COUNTIF(DU1287:EH1287, "&lt;&gt;")</f>
        <v>1</v>
      </c>
      <c r="AZ1287" s="0" t="n">
        <f aca="false">IF(EH1287&lt;&gt;"",1,0)</f>
        <v>0</v>
      </c>
      <c r="BB1287" s="0" t="s">
        <v>153</v>
      </c>
      <c r="EF1287" s="0" t="s">
        <v>154</v>
      </c>
    </row>
    <row r="1288" customFormat="false" ht="13.8" hidden="true" customHeight="false" outlineLevel="0" collapsed="false">
      <c r="A1288" s="0" t="s">
        <v>6068</v>
      </c>
      <c r="B1288" s="0" t="n">
        <v>78</v>
      </c>
      <c r="C1288" s="0" t="n">
        <v>314312</v>
      </c>
      <c r="D1288" s="0" t="s">
        <v>4512</v>
      </c>
      <c r="E1288" s="0" t="s">
        <v>6069</v>
      </c>
      <c r="F1288" s="0" t="str">
        <f aca="false">CONCATENATE(D1288," ",LEFT(H1288,4),"T=",AU1288,"D=",AV1288,"R=",AW1288,"M=",AX1288,"L=",AY1288,"B=",AZ1288)</f>
        <v>BLACKWELL T=18D=4R=0M=1L=1B=0</v>
      </c>
      <c r="G1288" s="0" t="s">
        <v>297</v>
      </c>
      <c r="I1288" s="0" t="s">
        <v>6070</v>
      </c>
      <c r="J1288" s="0" t="s">
        <v>575</v>
      </c>
      <c r="K1288" s="0" t="s">
        <v>175</v>
      </c>
      <c r="L1288" s="0"/>
      <c r="M1288" s="0" t="s">
        <v>6067</v>
      </c>
      <c r="N1288" s="0" t="str">
        <f aca="false">RIGHT(M1288,LEN(M1288)-FIND(" ",M1288))</f>
        <v>KINSMAN ST NW</v>
      </c>
      <c r="P1288" s="0" t="s">
        <v>146</v>
      </c>
      <c r="Q1288" s="0" t="s">
        <v>147</v>
      </c>
      <c r="R1288" s="0" t="n">
        <v>44483</v>
      </c>
      <c r="AD1288" s="0" t="s">
        <v>148</v>
      </c>
      <c r="AE1288" s="0" t="s">
        <v>149</v>
      </c>
      <c r="AF1288" s="0" t="s">
        <v>150</v>
      </c>
      <c r="AH1288" s="0" t="n">
        <v>14</v>
      </c>
      <c r="AI1288" s="0" t="n">
        <v>11</v>
      </c>
      <c r="AN1288" s="0" t="s">
        <v>146</v>
      </c>
      <c r="AO1288" s="0" t="s">
        <v>151</v>
      </c>
      <c r="AP1288" s="0" t="s">
        <v>152</v>
      </c>
      <c r="AQ1288" s="0" t="n">
        <v>9</v>
      </c>
      <c r="AR1288" s="0" t="n">
        <v>64</v>
      </c>
      <c r="AS1288" s="0" t="n">
        <v>32</v>
      </c>
      <c r="AU1288" s="0" t="n">
        <f aca="false">COUNTA($BA$1981:$EH$1981)</f>
        <v>18</v>
      </c>
      <c r="AV1288" s="0" t="n">
        <f aca="false">COUNTIF($BA$1981:$EH$1981,"D")</f>
        <v>4</v>
      </c>
      <c r="AW1288" s="0" t="n">
        <f aca="false">COUNTIF($BA$1981:$EH$1981,"R")</f>
        <v>0</v>
      </c>
      <c r="AX1288" s="0" t="n">
        <f aca="false"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>1</v>
      </c>
      <c r="AY1288" s="0" t="n">
        <f aca="false">COUNTIF(DU1288:EH1288, "&lt;&gt;")</f>
        <v>1</v>
      </c>
      <c r="AZ1288" s="0" t="n">
        <f aca="false">IF(EH1288&lt;&gt;"",1,0)</f>
        <v>0</v>
      </c>
      <c r="BB1288" s="0" t="s">
        <v>153</v>
      </c>
      <c r="BL1288" s="0" t="s">
        <v>154</v>
      </c>
      <c r="CA1288" s="0" t="s">
        <v>154</v>
      </c>
      <c r="CC1288" s="0" t="s">
        <v>155</v>
      </c>
      <c r="CN1288" s="0" t="s">
        <v>154</v>
      </c>
      <c r="CT1288" s="0" t="s">
        <v>154</v>
      </c>
      <c r="DN1288" s="0" t="s">
        <v>154</v>
      </c>
      <c r="EF1288" s="0" t="s">
        <v>154</v>
      </c>
    </row>
    <row r="1289" customFormat="false" ht="13.8" hidden="false" customHeight="false" outlineLevel="0" collapsed="false">
      <c r="A1289" s="0" t="s">
        <v>6071</v>
      </c>
      <c r="B1289" s="0" t="n">
        <v>78</v>
      </c>
      <c r="C1289" s="0" t="n">
        <v>135266</v>
      </c>
      <c r="D1289" s="0" t="s">
        <v>6072</v>
      </c>
      <c r="E1289" s="0" t="s">
        <v>1817</v>
      </c>
      <c r="F1289" s="0" t="str">
        <f aca="false">CONCATENATE(D1289," ",LEFT(H1289,4),"T=",AU1289,"D=",AV1289,"R=",AW1289,"M=",AX1289,"L=",AY1289,"B=",AZ1289)</f>
        <v>CULLISON T=7D=1R=0M=0L=4B=0</v>
      </c>
      <c r="G1289" s="0" t="s">
        <v>172</v>
      </c>
      <c r="I1289" s="0" t="s">
        <v>6073</v>
      </c>
      <c r="J1289" s="0" t="s">
        <v>1745</v>
      </c>
      <c r="K1289" s="0" t="s">
        <v>175</v>
      </c>
      <c r="M1289" s="0" t="s">
        <v>6074</v>
      </c>
      <c r="N1289" s="0" t="str">
        <f aca="false">RIGHT(M1289,LEN(M1289)-FIND(" ",M1289))</f>
        <v>KINSMAN ST NW</v>
      </c>
      <c r="P1289" s="0" t="s">
        <v>146</v>
      </c>
      <c r="Q1289" s="0" t="s">
        <v>147</v>
      </c>
      <c r="R1289" s="0" t="n">
        <v>44483</v>
      </c>
      <c r="AD1289" s="0" t="s">
        <v>148</v>
      </c>
      <c r="AE1289" s="0" t="s">
        <v>149</v>
      </c>
      <c r="AF1289" s="0" t="s">
        <v>150</v>
      </c>
      <c r="AH1289" s="0" t="n">
        <v>14</v>
      </c>
      <c r="AI1289" s="0" t="n">
        <v>11</v>
      </c>
      <c r="AN1289" s="0" t="s">
        <v>146</v>
      </c>
      <c r="AO1289" s="0" t="s">
        <v>151</v>
      </c>
      <c r="AP1289" s="0" t="s">
        <v>152</v>
      </c>
      <c r="AQ1289" s="0" t="n">
        <v>9</v>
      </c>
      <c r="AR1289" s="0" t="n">
        <v>64</v>
      </c>
      <c r="AS1289" s="0" t="n">
        <v>32</v>
      </c>
      <c r="AU1289" s="0" t="n">
        <f aca="false">COUNTA($BA$1186:$EH$1186)</f>
        <v>7</v>
      </c>
      <c r="AV1289" s="0" t="n">
        <f aca="false">COUNTIF($BA$1186:$EH$1186,"D")</f>
        <v>1</v>
      </c>
      <c r="AW1289" s="0" t="n">
        <f aca="false">COUNTIF($BA$1186:$EH$1186,"R")</f>
        <v>0</v>
      </c>
      <c r="AX1289" s="0" t="n">
        <f aca="false"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>0</v>
      </c>
      <c r="AY1289" s="0" t="n">
        <f aca="false">COUNTIF(DU1289:EH1289, "&lt;&gt;")</f>
        <v>4</v>
      </c>
      <c r="AZ1289" s="0" t="n">
        <f aca="false">IF(EH1289&lt;&gt;"",1,0)</f>
        <v>0</v>
      </c>
      <c r="BB1289" s="0" t="s">
        <v>153</v>
      </c>
      <c r="BC1289" s="0" t="s">
        <v>154</v>
      </c>
      <c r="BD1289" s="0" t="s">
        <v>154</v>
      </c>
      <c r="BE1289" s="0" t="s">
        <v>154</v>
      </c>
      <c r="BF1289" s="0" t="s">
        <v>154</v>
      </c>
      <c r="BG1289" s="0" t="s">
        <v>154</v>
      </c>
      <c r="BH1289" s="0" t="s">
        <v>154</v>
      </c>
      <c r="BI1289" s="0" t="s">
        <v>154</v>
      </c>
      <c r="BJ1289" s="0" t="s">
        <v>154</v>
      </c>
      <c r="BK1289" s="0" t="s">
        <v>154</v>
      </c>
      <c r="BL1289" s="0" t="s">
        <v>154</v>
      </c>
      <c r="BP1289" s="0" t="s">
        <v>154</v>
      </c>
      <c r="BR1289" s="0" t="s">
        <v>154</v>
      </c>
      <c r="BS1289" s="0" t="s">
        <v>154</v>
      </c>
      <c r="BV1289" s="0" t="s">
        <v>154</v>
      </c>
      <c r="BY1289" s="0" t="s">
        <v>155</v>
      </c>
      <c r="CA1289" s="0" t="s">
        <v>154</v>
      </c>
      <c r="CG1289" s="0" t="s">
        <v>154</v>
      </c>
      <c r="CN1289" s="0" t="s">
        <v>154</v>
      </c>
      <c r="CP1289" s="0" t="s">
        <v>154</v>
      </c>
      <c r="CV1289" s="0" t="s">
        <v>154</v>
      </c>
      <c r="CY1289" s="0" t="s">
        <v>154</v>
      </c>
      <c r="CZ1289" s="0" t="s">
        <v>155</v>
      </c>
      <c r="DC1289" s="0" t="s">
        <v>154</v>
      </c>
      <c r="DI1289" s="0" t="s">
        <v>154</v>
      </c>
      <c r="DN1289" s="0" t="s">
        <v>154</v>
      </c>
      <c r="DU1289" s="0" t="s">
        <v>154</v>
      </c>
      <c r="DX1289" s="0" t="s">
        <v>154</v>
      </c>
      <c r="EA1289" s="0" t="s">
        <v>154</v>
      </c>
      <c r="EF1289" s="0" t="s">
        <v>154</v>
      </c>
    </row>
    <row r="1290" customFormat="false" ht="13.8" hidden="false" customHeight="false" outlineLevel="0" collapsed="false">
      <c r="A1290" s="0" t="s">
        <v>6075</v>
      </c>
      <c r="B1290" s="0" t="n">
        <v>78</v>
      </c>
      <c r="C1290" s="0" t="n">
        <v>325445</v>
      </c>
      <c r="D1290" s="0" t="s">
        <v>2311</v>
      </c>
      <c r="E1290" s="0" t="s">
        <v>4983</v>
      </c>
      <c r="F1290" s="0" t="str">
        <f aca="false">CONCATENATE(D1290," ",LEFT(H1290,4),"T=",AU1290,"D=",AV1290,"R=",AW1290,"M=",AX1290,"L=",AY1290,"B=",AZ1290)</f>
        <v>LEWIS T=5D=0R=1M=1L=4B=0</v>
      </c>
      <c r="G1290" s="0" t="s">
        <v>172</v>
      </c>
      <c r="I1290" s="0" t="s">
        <v>6076</v>
      </c>
      <c r="J1290" s="0" t="s">
        <v>6077</v>
      </c>
      <c r="K1290" s="0" t="s">
        <v>175</v>
      </c>
      <c r="L1290" s="1" t="s">
        <v>155</v>
      </c>
      <c r="M1290" s="0" t="s">
        <v>6078</v>
      </c>
      <c r="N1290" s="0" t="str">
        <f aca="false">RIGHT(M1290,LEN(M1290)-FIND(" ",M1290))</f>
        <v>KINSMAN ST NW</v>
      </c>
      <c r="P1290" s="0" t="s">
        <v>146</v>
      </c>
      <c r="Q1290" s="0" t="s">
        <v>147</v>
      </c>
      <c r="R1290" s="0" t="n">
        <v>44483</v>
      </c>
      <c r="AD1290" s="0" t="s">
        <v>148</v>
      </c>
      <c r="AE1290" s="0" t="s">
        <v>149</v>
      </c>
      <c r="AF1290" s="0" t="s">
        <v>150</v>
      </c>
      <c r="AH1290" s="0" t="n">
        <v>14</v>
      </c>
      <c r="AI1290" s="0" t="n">
        <v>11</v>
      </c>
      <c r="AN1290" s="0" t="s">
        <v>146</v>
      </c>
      <c r="AO1290" s="0" t="s">
        <v>151</v>
      </c>
      <c r="AP1290" s="0" t="s">
        <v>152</v>
      </c>
      <c r="AQ1290" s="0" t="n">
        <v>9</v>
      </c>
      <c r="AR1290" s="0" t="n">
        <v>64</v>
      </c>
      <c r="AS1290" s="0" t="n">
        <v>32</v>
      </c>
      <c r="AU1290" s="0" t="n">
        <f aca="false">COUNTA($BA$1188:$EH$1188)</f>
        <v>5</v>
      </c>
      <c r="AV1290" s="0" t="n">
        <f aca="false">COUNTIF($BA$1188:$EH$1188,"D")</f>
        <v>0</v>
      </c>
      <c r="AW1290" s="0" t="n">
        <f aca="false">COUNTIF($BA$1188:$EH$1188,"R")</f>
        <v>1</v>
      </c>
      <c r="AX1290" s="0" t="n">
        <f aca="false"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>1</v>
      </c>
      <c r="AY1290" s="0" t="n">
        <f aca="false">COUNTIF(DU1290:EH1290, "&lt;&gt;")</f>
        <v>4</v>
      </c>
      <c r="AZ1290" s="0" t="n">
        <f aca="false">IF(EH1290&lt;&gt;"",1,0)</f>
        <v>0</v>
      </c>
      <c r="BB1290" s="0" t="s">
        <v>153</v>
      </c>
      <c r="BL1290" s="0" t="s">
        <v>154</v>
      </c>
      <c r="BS1290" s="0" t="s">
        <v>154</v>
      </c>
      <c r="BY1290" s="0" t="s">
        <v>155</v>
      </c>
      <c r="CA1290" s="0" t="s">
        <v>154</v>
      </c>
      <c r="CP1290" s="0" t="s">
        <v>154</v>
      </c>
      <c r="CY1290" s="0" t="s">
        <v>154</v>
      </c>
      <c r="DC1290" s="0" t="s">
        <v>154</v>
      </c>
      <c r="DI1290" s="0" t="s">
        <v>154</v>
      </c>
      <c r="DL1290" s="0" t="s">
        <v>154</v>
      </c>
      <c r="DN1290" s="0" t="s">
        <v>154</v>
      </c>
      <c r="DU1290" s="0" t="s">
        <v>154</v>
      </c>
      <c r="DW1290" s="0" t="s">
        <v>155</v>
      </c>
      <c r="EA1290" s="0" t="s">
        <v>154</v>
      </c>
      <c r="EF1290" s="0" t="s">
        <v>154</v>
      </c>
    </row>
    <row r="1291" customFormat="false" ht="13.8" hidden="false" customHeight="false" outlineLevel="0" collapsed="false">
      <c r="A1291" s="0" t="s">
        <v>6079</v>
      </c>
      <c r="B1291" s="0" t="n">
        <v>78</v>
      </c>
      <c r="C1291" s="0" t="n">
        <v>293573</v>
      </c>
      <c r="D1291" s="0" t="s">
        <v>2311</v>
      </c>
      <c r="E1291" s="0" t="s">
        <v>652</v>
      </c>
      <c r="F1291" s="0" t="str">
        <f aca="false">CONCATENATE(D1291," ",LEFT(H1291,4),"T=",AU1291,"D=",AV1291,"R=",AW1291,"M=",AX1291,"L=",AY1291,"B=",AZ1291)</f>
        <v>LEWIS JRT=1D=0R=0M=0L=3B=0</v>
      </c>
      <c r="H1291" s="0" t="s">
        <v>431</v>
      </c>
      <c r="I1291" s="0" t="s">
        <v>6080</v>
      </c>
      <c r="J1291" s="0" t="s">
        <v>6081</v>
      </c>
      <c r="K1291" s="0" t="s">
        <v>175</v>
      </c>
      <c r="M1291" s="0" t="s">
        <v>6078</v>
      </c>
      <c r="N1291" s="0" t="str">
        <f aca="false">RIGHT(M1291,LEN(M1291)-FIND(" ",M1291))</f>
        <v>KINSMAN ST NW</v>
      </c>
      <c r="P1291" s="0" t="s">
        <v>146</v>
      </c>
      <c r="Q1291" s="0" t="s">
        <v>147</v>
      </c>
      <c r="R1291" s="0" t="n">
        <v>44483</v>
      </c>
      <c r="AD1291" s="0" t="s">
        <v>148</v>
      </c>
      <c r="AE1291" s="0" t="s">
        <v>149</v>
      </c>
      <c r="AF1291" s="0" t="s">
        <v>150</v>
      </c>
      <c r="AH1291" s="0" t="n">
        <v>14</v>
      </c>
      <c r="AI1291" s="0" t="n">
        <v>11</v>
      </c>
      <c r="AN1291" s="0" t="s">
        <v>146</v>
      </c>
      <c r="AO1291" s="0" t="s">
        <v>151</v>
      </c>
      <c r="AP1291" s="0" t="s">
        <v>152</v>
      </c>
      <c r="AQ1291" s="0" t="n">
        <v>9</v>
      </c>
      <c r="AR1291" s="0" t="n">
        <v>64</v>
      </c>
      <c r="AS1291" s="0" t="n">
        <v>32</v>
      </c>
      <c r="AU1291" s="0" t="n">
        <f aca="false">COUNTA($BA$1189:$EH$1189)</f>
        <v>1</v>
      </c>
      <c r="AV1291" s="0" t="n">
        <f aca="false">COUNTIF($BA$1189:$EH$1189,"D")</f>
        <v>0</v>
      </c>
      <c r="AW1291" s="0" t="n">
        <f aca="false">COUNTIF($BA$1189:$EH$1189,"R")</f>
        <v>0</v>
      </c>
      <c r="AX1291" s="0" t="n">
        <f aca="false"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>0</v>
      </c>
      <c r="AY1291" s="0" t="n">
        <f aca="false">COUNTIF(DU1291:EH1291, "&lt;&gt;")</f>
        <v>3</v>
      </c>
      <c r="AZ1291" s="0" t="n">
        <f aca="false">IF(EH1291&lt;&gt;"",1,0)</f>
        <v>0</v>
      </c>
      <c r="BB1291" s="0" t="s">
        <v>153</v>
      </c>
      <c r="BL1291" s="0" t="s">
        <v>154</v>
      </c>
      <c r="BS1291" s="0" t="s">
        <v>154</v>
      </c>
      <c r="BY1291" s="0" t="s">
        <v>155</v>
      </c>
      <c r="CA1291" s="0" t="s">
        <v>154</v>
      </c>
      <c r="CP1291" s="0" t="s">
        <v>154</v>
      </c>
      <c r="CY1291" s="0" t="s">
        <v>154</v>
      </c>
      <c r="DC1291" s="0" t="s">
        <v>154</v>
      </c>
      <c r="DI1291" s="0" t="s">
        <v>154</v>
      </c>
      <c r="DL1291" s="0" t="s">
        <v>154</v>
      </c>
      <c r="DN1291" s="0" t="s">
        <v>154</v>
      </c>
      <c r="DU1291" s="0" t="s">
        <v>154</v>
      </c>
      <c r="EA1291" s="0" t="s">
        <v>154</v>
      </c>
      <c r="EF1291" s="0" t="s">
        <v>154</v>
      </c>
    </row>
    <row r="1292" customFormat="false" ht="13.8" hidden="true" customHeight="false" outlineLevel="0" collapsed="false">
      <c r="A1292" s="0" t="s">
        <v>6082</v>
      </c>
      <c r="B1292" s="0" t="n">
        <v>78</v>
      </c>
      <c r="C1292" s="0" t="n">
        <v>484628</v>
      </c>
      <c r="D1292" s="0" t="s">
        <v>2311</v>
      </c>
      <c r="E1292" s="0" t="s">
        <v>1893</v>
      </c>
      <c r="F1292" s="0" t="str">
        <f aca="false">CONCATENATE(D1292," ",LEFT(H1292,4),"T=",AU1292,"D=",AV1292,"R=",AW1292,"M=",AX1292,"L=",AY1292,"B=",AZ1292)</f>
        <v>LEWIS T=4D=0R=0M=0L=1B=0</v>
      </c>
      <c r="G1292" s="0" t="s">
        <v>155</v>
      </c>
      <c r="I1292" s="0" t="s">
        <v>6083</v>
      </c>
      <c r="J1292" s="0" t="s">
        <v>4101</v>
      </c>
      <c r="K1292" s="0" t="s">
        <v>175</v>
      </c>
      <c r="L1292" s="0"/>
      <c r="M1292" s="0" t="s">
        <v>6078</v>
      </c>
      <c r="N1292" s="0" t="str">
        <f aca="false">RIGHT(M1292,LEN(M1292)-FIND(" ",M1292))</f>
        <v>KINSMAN ST NW</v>
      </c>
      <c r="P1292" s="0" t="s">
        <v>146</v>
      </c>
      <c r="Q1292" s="0" t="s">
        <v>147</v>
      </c>
      <c r="R1292" s="0" t="n">
        <v>44483</v>
      </c>
      <c r="AD1292" s="0" t="s">
        <v>148</v>
      </c>
      <c r="AE1292" s="0" t="s">
        <v>149</v>
      </c>
      <c r="AF1292" s="0" t="s">
        <v>150</v>
      </c>
      <c r="AH1292" s="0" t="n">
        <v>14</v>
      </c>
      <c r="AI1292" s="0" t="n">
        <v>11</v>
      </c>
      <c r="AN1292" s="0" t="s">
        <v>146</v>
      </c>
      <c r="AO1292" s="0" t="s">
        <v>151</v>
      </c>
      <c r="AP1292" s="0" t="s">
        <v>152</v>
      </c>
      <c r="AQ1292" s="0" t="n">
        <v>9</v>
      </c>
      <c r="AR1292" s="0" t="n">
        <v>64</v>
      </c>
      <c r="AS1292" s="0" t="n">
        <v>32</v>
      </c>
      <c r="AU1292" s="0" t="n">
        <f aca="false">COUNTA($BA$1901:$EH$1901)</f>
        <v>4</v>
      </c>
      <c r="AV1292" s="0" t="n">
        <f aca="false">COUNTIF($BA$1901:$EH$1901,"D")</f>
        <v>0</v>
      </c>
      <c r="AW1292" s="0" t="n">
        <f aca="false">COUNTIF($BA$1901:$EH$1901,"R")</f>
        <v>0</v>
      </c>
      <c r="AX1292" s="0" t="n">
        <f aca="false"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>0</v>
      </c>
      <c r="AY1292" s="0" t="n">
        <f aca="false">COUNTIF(DU1292:EH1292, "&lt;&gt;")</f>
        <v>1</v>
      </c>
      <c r="AZ1292" s="0" t="n">
        <f aca="false">IF(EH1292&lt;&gt;"",1,0)</f>
        <v>0</v>
      </c>
      <c r="BB1292" s="0" t="s">
        <v>153</v>
      </c>
      <c r="EF1292" s="0" t="s">
        <v>154</v>
      </c>
    </row>
    <row r="1293" customFormat="false" ht="13.8" hidden="true" customHeight="false" outlineLevel="0" collapsed="false">
      <c r="A1293" s="0" t="s">
        <v>6084</v>
      </c>
      <c r="B1293" s="0" t="n">
        <v>78</v>
      </c>
      <c r="C1293" s="0" t="n">
        <v>445152</v>
      </c>
      <c r="D1293" s="0" t="s">
        <v>6085</v>
      </c>
      <c r="E1293" s="0" t="s">
        <v>6086</v>
      </c>
      <c r="F1293" s="0" t="str">
        <f aca="false">CONCATENATE(D1293," ",LEFT(H1293,4),"T=",AU1293,"D=",AV1293,"R=",AW1293,"M=",AX1293,"L=",AY1293,"B=",AZ1293)</f>
        <v>ANNANDONO T=1D=0R=0M=0L=1B=0</v>
      </c>
      <c r="G1293" s="0" t="s">
        <v>1664</v>
      </c>
      <c r="I1293" s="0" t="s">
        <v>6087</v>
      </c>
      <c r="J1293" s="0" t="s">
        <v>2376</v>
      </c>
      <c r="K1293" s="0" t="s">
        <v>175</v>
      </c>
      <c r="L1293" s="0"/>
      <c r="M1293" s="0" t="s">
        <v>6088</v>
      </c>
      <c r="N1293" s="0" t="str">
        <f aca="false">RIGHT(M1293,LEN(M1293)-FIND(" ",M1293))</f>
        <v>KINSMAN ST NW</v>
      </c>
      <c r="P1293" s="0" t="s">
        <v>146</v>
      </c>
      <c r="Q1293" s="0" t="s">
        <v>147</v>
      </c>
      <c r="R1293" s="0" t="n">
        <v>44483</v>
      </c>
      <c r="AD1293" s="0" t="s">
        <v>148</v>
      </c>
      <c r="AE1293" s="0" t="s">
        <v>149</v>
      </c>
      <c r="AF1293" s="0" t="s">
        <v>150</v>
      </c>
      <c r="AH1293" s="0" t="n">
        <v>14</v>
      </c>
      <c r="AI1293" s="0" t="n">
        <v>11</v>
      </c>
      <c r="AN1293" s="0" t="s">
        <v>146</v>
      </c>
      <c r="AO1293" s="0" t="s">
        <v>151</v>
      </c>
      <c r="AP1293" s="0" t="s">
        <v>152</v>
      </c>
      <c r="AQ1293" s="0" t="n">
        <v>9</v>
      </c>
      <c r="AR1293" s="0" t="n">
        <v>64</v>
      </c>
      <c r="AS1293" s="0" t="n">
        <v>32</v>
      </c>
      <c r="AU1293" s="0" t="n">
        <f aca="false">COUNTA($BA$1139:$EH$1139)</f>
        <v>1</v>
      </c>
      <c r="AV1293" s="0" t="n">
        <f aca="false">COUNTIF($BA$1139:$EH$1139,"D")</f>
        <v>0</v>
      </c>
      <c r="AW1293" s="0" t="n">
        <f aca="false">COUNTIF($BA$1139:$EH$1139,"R")</f>
        <v>0</v>
      </c>
      <c r="AX1293" s="0" t="n">
        <f aca="false"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>0</v>
      </c>
      <c r="AY1293" s="0" t="n">
        <f aca="false">COUNTIF(DU1293:EH1293, "&lt;&gt;")</f>
        <v>1</v>
      </c>
      <c r="AZ1293" s="0" t="n">
        <f aca="false">IF(EH1293&lt;&gt;"",1,0)</f>
        <v>0</v>
      </c>
      <c r="BB1293" s="0" t="s">
        <v>153</v>
      </c>
      <c r="DN1293" s="0" t="s">
        <v>154</v>
      </c>
      <c r="EA1293" s="0" t="s">
        <v>154</v>
      </c>
    </row>
    <row r="1294" customFormat="false" ht="13.8" hidden="false" customHeight="false" outlineLevel="0" collapsed="false">
      <c r="A1294" s="0" t="s">
        <v>6089</v>
      </c>
      <c r="B1294" s="0" t="n">
        <v>78</v>
      </c>
      <c r="C1294" s="0" t="n">
        <v>273380</v>
      </c>
      <c r="D1294" s="0" t="s">
        <v>6085</v>
      </c>
      <c r="E1294" s="0" t="s">
        <v>6090</v>
      </c>
      <c r="F1294" s="0" t="str">
        <f aca="false">CONCATENATE(D1294," ",LEFT(H1294,4),"T=",AU1294,"D=",AV1294,"R=",AW1294,"M=",AX1294,"L=",AY1294,"B=",AZ1294)</f>
        <v>ANNANDONO T=2D=0R=0M=0L=4B=0</v>
      </c>
      <c r="G1294" s="0" t="s">
        <v>188</v>
      </c>
      <c r="I1294" s="0" t="s">
        <v>6091</v>
      </c>
      <c r="J1294" s="0" t="s">
        <v>5342</v>
      </c>
      <c r="K1294" s="0" t="s">
        <v>175</v>
      </c>
      <c r="M1294" s="0" t="s">
        <v>6088</v>
      </c>
      <c r="N1294" s="0" t="str">
        <f aca="false">RIGHT(M1294,LEN(M1294)-FIND(" ",M1294))</f>
        <v>KINSMAN ST NW</v>
      </c>
      <c r="P1294" s="0" t="s">
        <v>146</v>
      </c>
      <c r="Q1294" s="0" t="s">
        <v>147</v>
      </c>
      <c r="R1294" s="0" t="n">
        <v>44483</v>
      </c>
      <c r="AD1294" s="0" t="s">
        <v>148</v>
      </c>
      <c r="AE1294" s="0" t="s">
        <v>149</v>
      </c>
      <c r="AF1294" s="0" t="s">
        <v>150</v>
      </c>
      <c r="AH1294" s="0" t="n">
        <v>14</v>
      </c>
      <c r="AI1294" s="0" t="n">
        <v>11</v>
      </c>
      <c r="AN1294" s="0" t="s">
        <v>146</v>
      </c>
      <c r="AO1294" s="0" t="s">
        <v>151</v>
      </c>
      <c r="AP1294" s="0" t="s">
        <v>152</v>
      </c>
      <c r="AQ1294" s="0" t="n">
        <v>9</v>
      </c>
      <c r="AR1294" s="0" t="n">
        <v>64</v>
      </c>
      <c r="AS1294" s="0" t="n">
        <v>32</v>
      </c>
      <c r="AU1294" s="0" t="n">
        <f aca="false">COUNTA($BA$1183:$EH$1183)</f>
        <v>2</v>
      </c>
      <c r="AV1294" s="0" t="n">
        <f aca="false">COUNTIF($BA$1183:$EH$1183,"D")</f>
        <v>0</v>
      </c>
      <c r="AW1294" s="0" t="n">
        <f aca="false">COUNTIF($BA$1183:$EH$1183,"R")</f>
        <v>0</v>
      </c>
      <c r="AX1294" s="0" t="n">
        <f aca="false"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>0</v>
      </c>
      <c r="AY1294" s="0" t="n">
        <f aca="false">COUNTIF(DU1294:EH1294, "&lt;&gt;")</f>
        <v>4</v>
      </c>
      <c r="AZ1294" s="0" t="n">
        <f aca="false">IF(EH1294&lt;&gt;"",1,0)</f>
        <v>0</v>
      </c>
      <c r="BB1294" s="0" t="s">
        <v>153</v>
      </c>
      <c r="BD1294" s="0" t="s">
        <v>154</v>
      </c>
      <c r="BJ1294" s="0" t="s">
        <v>154</v>
      </c>
      <c r="BL1294" s="0" t="s">
        <v>154</v>
      </c>
      <c r="BS1294" s="0" t="s">
        <v>154</v>
      </c>
      <c r="CA1294" s="0" t="s">
        <v>154</v>
      </c>
      <c r="CP1294" s="0" t="s">
        <v>154</v>
      </c>
      <c r="CY1294" s="0" t="s">
        <v>154</v>
      </c>
      <c r="DC1294" s="0" t="s">
        <v>154</v>
      </c>
      <c r="DI1294" s="0" t="s">
        <v>154</v>
      </c>
      <c r="DL1294" s="0" t="s">
        <v>154</v>
      </c>
      <c r="DN1294" s="0" t="s">
        <v>154</v>
      </c>
      <c r="DU1294" s="0" t="s">
        <v>154</v>
      </c>
      <c r="DX1294" s="0" t="s">
        <v>154</v>
      </c>
      <c r="EA1294" s="0" t="s">
        <v>154</v>
      </c>
      <c r="EF1294" s="0" t="s">
        <v>154</v>
      </c>
    </row>
    <row r="1295" customFormat="false" ht="13.8" hidden="false" customHeight="false" outlineLevel="0" collapsed="false">
      <c r="A1295" s="0" t="s">
        <v>6092</v>
      </c>
      <c r="B1295" s="0" t="n">
        <v>78</v>
      </c>
      <c r="C1295" s="0" t="n">
        <v>136824</v>
      </c>
      <c r="D1295" s="0" t="s">
        <v>6085</v>
      </c>
      <c r="E1295" s="0" t="s">
        <v>4183</v>
      </c>
      <c r="F1295" s="0" t="str">
        <f aca="false">CONCATENATE(D1295," ",LEFT(H1295,4),"T=",AU1295,"D=",AV1295,"R=",AW1295,"M=",AX1295,"L=",AY1295,"B=",AZ1295)</f>
        <v>ANNANDONO T=1D=0R=0M=1L=4B=0</v>
      </c>
      <c r="G1295" s="0" t="s">
        <v>514</v>
      </c>
      <c r="I1295" s="0" t="s">
        <v>6093</v>
      </c>
      <c r="J1295" s="0" t="s">
        <v>6094</v>
      </c>
      <c r="K1295" s="0" t="s">
        <v>175</v>
      </c>
      <c r="M1295" s="0" t="s">
        <v>6088</v>
      </c>
      <c r="N1295" s="0" t="str">
        <f aca="false">RIGHT(M1295,LEN(M1295)-FIND(" ",M1295))</f>
        <v>KINSMAN ST NW</v>
      </c>
      <c r="P1295" s="0" t="s">
        <v>146</v>
      </c>
      <c r="Q1295" s="0" t="s">
        <v>147</v>
      </c>
      <c r="R1295" s="0" t="n">
        <v>44483</v>
      </c>
      <c r="AD1295" s="0" t="s">
        <v>148</v>
      </c>
      <c r="AE1295" s="0" t="s">
        <v>149</v>
      </c>
      <c r="AF1295" s="0" t="s">
        <v>150</v>
      </c>
      <c r="AH1295" s="0" t="n">
        <v>14</v>
      </c>
      <c r="AI1295" s="0" t="n">
        <v>11</v>
      </c>
      <c r="AN1295" s="0" t="s">
        <v>146</v>
      </c>
      <c r="AO1295" s="0" t="s">
        <v>151</v>
      </c>
      <c r="AP1295" s="0" t="s">
        <v>152</v>
      </c>
      <c r="AQ1295" s="0" t="n">
        <v>9</v>
      </c>
      <c r="AR1295" s="0" t="n">
        <v>64</v>
      </c>
      <c r="AS1295" s="0" t="n">
        <v>32</v>
      </c>
      <c r="AU1295" s="0" t="n">
        <f aca="false">COUNTA($BA$1535:$EH$1535)</f>
        <v>1</v>
      </c>
      <c r="AV1295" s="0" t="n">
        <f aca="false">COUNTIF($BA$1535:$EH$1535,"D")</f>
        <v>0</v>
      </c>
      <c r="AW1295" s="0" t="n">
        <f aca="false">COUNTIF($BA$1535:$EH$1535,"R")</f>
        <v>0</v>
      </c>
      <c r="AX1295" s="0" t="n">
        <f aca="false"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>1</v>
      </c>
      <c r="AY1295" s="0" t="n">
        <f aca="false">COUNTIF(DU1295:EH1295, "&lt;&gt;")</f>
        <v>4</v>
      </c>
      <c r="AZ1295" s="0" t="n">
        <f aca="false">IF(EH1295&lt;&gt;"",1,0)</f>
        <v>0</v>
      </c>
      <c r="BB1295" s="0" t="s">
        <v>153</v>
      </c>
      <c r="BD1295" s="0" t="s">
        <v>154</v>
      </c>
      <c r="BH1295" s="0" t="s">
        <v>154</v>
      </c>
      <c r="BI1295" s="0" t="s">
        <v>154</v>
      </c>
      <c r="BJ1295" s="0" t="s">
        <v>154</v>
      </c>
      <c r="BK1295" s="0" t="s">
        <v>154</v>
      </c>
      <c r="BL1295" s="0" t="s">
        <v>154</v>
      </c>
      <c r="BP1295" s="0" t="s">
        <v>154</v>
      </c>
      <c r="BR1295" s="0" t="s">
        <v>154</v>
      </c>
      <c r="BS1295" s="0" t="s">
        <v>154</v>
      </c>
      <c r="BV1295" s="0" t="s">
        <v>154</v>
      </c>
      <c r="CA1295" s="0" t="s">
        <v>154</v>
      </c>
      <c r="CG1295" s="0" t="s">
        <v>154</v>
      </c>
      <c r="CN1295" s="0" t="s">
        <v>154</v>
      </c>
      <c r="CP1295" s="0" t="s">
        <v>154</v>
      </c>
      <c r="CT1295" s="0" t="s">
        <v>154</v>
      </c>
      <c r="CV1295" s="0" t="s">
        <v>154</v>
      </c>
      <c r="CW1295" s="0" t="s">
        <v>155</v>
      </c>
      <c r="CY1295" s="0" t="s">
        <v>154</v>
      </c>
      <c r="CZ1295" s="0" t="s">
        <v>155</v>
      </c>
      <c r="DC1295" s="0" t="s">
        <v>154</v>
      </c>
      <c r="DI1295" s="0" t="s">
        <v>154</v>
      </c>
      <c r="DL1295" s="0" t="s">
        <v>154</v>
      </c>
      <c r="DN1295" s="0" t="s">
        <v>154</v>
      </c>
      <c r="DU1295" s="0" t="s">
        <v>154</v>
      </c>
      <c r="DX1295" s="0" t="s">
        <v>154</v>
      </c>
      <c r="EA1295" s="0" t="s">
        <v>154</v>
      </c>
      <c r="EF1295" s="0" t="s">
        <v>154</v>
      </c>
    </row>
    <row r="1296" customFormat="false" ht="13.8" hidden="true" customHeight="false" outlineLevel="0" collapsed="false">
      <c r="A1296" s="0" t="s">
        <v>6095</v>
      </c>
      <c r="B1296" s="0" t="n">
        <v>78</v>
      </c>
      <c r="C1296" s="0" t="n">
        <v>463766</v>
      </c>
      <c r="D1296" s="0" t="s">
        <v>6096</v>
      </c>
      <c r="E1296" s="0" t="s">
        <v>3942</v>
      </c>
      <c r="F1296" s="0" t="str">
        <f aca="false">CONCATENATE(D1296," ",LEFT(H1296,4),"T=",AU1296,"D=",AV1296,"R=",AW1296,"M=",AX1296,"L=",AY1296,"B=",AZ1296)</f>
        <v>HOPSON T=6D=0R=0M=0L=0B=0</v>
      </c>
      <c r="G1296" s="0" t="s">
        <v>297</v>
      </c>
      <c r="I1296" s="0" t="s">
        <v>6097</v>
      </c>
      <c r="J1296" s="0" t="s">
        <v>757</v>
      </c>
      <c r="K1296" s="0" t="s">
        <v>175</v>
      </c>
      <c r="L1296" s="0"/>
      <c r="M1296" s="0" t="s">
        <v>6098</v>
      </c>
      <c r="N1296" s="0" t="str">
        <f aca="false">RIGHT(M1296,LEN(M1296)-FIND(" ",M1296))</f>
        <v>KINSMAN ST NW</v>
      </c>
      <c r="P1296" s="0" t="s">
        <v>146</v>
      </c>
      <c r="Q1296" s="0" t="s">
        <v>147</v>
      </c>
      <c r="R1296" s="0" t="n">
        <v>44483</v>
      </c>
      <c r="AD1296" s="0" t="s">
        <v>148</v>
      </c>
      <c r="AE1296" s="0" t="s">
        <v>149</v>
      </c>
      <c r="AF1296" s="0" t="s">
        <v>150</v>
      </c>
      <c r="AH1296" s="0" t="n">
        <v>14</v>
      </c>
      <c r="AI1296" s="0" t="n">
        <v>11</v>
      </c>
      <c r="AN1296" s="0" t="s">
        <v>146</v>
      </c>
      <c r="AO1296" s="0" t="s">
        <v>151</v>
      </c>
      <c r="AP1296" s="0" t="s">
        <v>152</v>
      </c>
      <c r="AQ1296" s="0" t="n">
        <v>9</v>
      </c>
      <c r="AR1296" s="0" t="n">
        <v>64</v>
      </c>
      <c r="AS1296" s="0" t="n">
        <v>32</v>
      </c>
      <c r="AU1296" s="0" t="n">
        <f aca="false">COUNTA($BA$1150:$EH$1150)</f>
        <v>6</v>
      </c>
      <c r="AV1296" s="0" t="n">
        <f aca="false">COUNTIF($BA$1150:$EH$1150,"D")</f>
        <v>0</v>
      </c>
      <c r="AW1296" s="0" t="n">
        <f aca="false">COUNTIF($BA$1150:$EH$1150,"R")</f>
        <v>0</v>
      </c>
      <c r="AX1296" s="0" t="n">
        <f aca="false"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>0</v>
      </c>
      <c r="AY1296" s="0" t="n">
        <f aca="false">COUNTIF(DU1296:EH1296, "&lt;&gt;")</f>
        <v>0</v>
      </c>
      <c r="AZ1296" s="0" t="n">
        <f aca="false">IF(EH1296&lt;&gt;"",1,0)</f>
        <v>0</v>
      </c>
      <c r="BB1296" s="0" t="s">
        <v>153</v>
      </c>
    </row>
    <row r="1297" customFormat="false" ht="13.8" hidden="false" customHeight="false" outlineLevel="0" collapsed="false">
      <c r="A1297" s="0" t="s">
        <v>6099</v>
      </c>
      <c r="B1297" s="0" t="n">
        <v>78</v>
      </c>
      <c r="C1297" s="0" t="n">
        <v>251069</v>
      </c>
      <c r="D1297" s="0" t="s">
        <v>6100</v>
      </c>
      <c r="E1297" s="0" t="s">
        <v>750</v>
      </c>
      <c r="F1297" s="0" t="str">
        <f aca="false">CONCATENATE(D1297," ",LEFT(H1297,4),"T=",AU1297,"D=",AV1297,"R=",AW1297,"M=",AX1297,"L=",AY1297,"B=",AZ1297)</f>
        <v>CUMBERLEDGE T=6D=1R=0M=1L=5B=0</v>
      </c>
      <c r="G1297" s="0" t="s">
        <v>159</v>
      </c>
      <c r="I1297" s="0" t="s">
        <v>2336</v>
      </c>
      <c r="J1297" s="0" t="s">
        <v>395</v>
      </c>
      <c r="K1297" s="0" t="s">
        <v>175</v>
      </c>
      <c r="L1297" s="1" t="s">
        <v>176</v>
      </c>
      <c r="M1297" s="0" t="s">
        <v>6101</v>
      </c>
      <c r="N1297" s="0" t="str">
        <f aca="false">RIGHT(M1297,LEN(M1297)-FIND(" ",M1297))</f>
        <v>KINSMAN ST NW</v>
      </c>
      <c r="P1297" s="0" t="s">
        <v>146</v>
      </c>
      <c r="Q1297" s="0" t="s">
        <v>147</v>
      </c>
      <c r="R1297" s="0" t="n">
        <v>44483</v>
      </c>
      <c r="AD1297" s="0" t="s">
        <v>148</v>
      </c>
      <c r="AE1297" s="0" t="s">
        <v>149</v>
      </c>
      <c r="AF1297" s="0" t="s">
        <v>150</v>
      </c>
      <c r="AH1297" s="0" t="n">
        <v>14</v>
      </c>
      <c r="AI1297" s="0" t="n">
        <v>11</v>
      </c>
      <c r="AN1297" s="0" t="s">
        <v>146</v>
      </c>
      <c r="AO1297" s="0" t="s">
        <v>151</v>
      </c>
      <c r="AP1297" s="0" t="s">
        <v>152</v>
      </c>
      <c r="AQ1297" s="0" t="n">
        <v>9</v>
      </c>
      <c r="AR1297" s="0" t="n">
        <v>64</v>
      </c>
      <c r="AS1297" s="0" t="n">
        <v>32</v>
      </c>
      <c r="AU1297" s="0" t="n">
        <f aca="false">COUNTA($BA$1536:$EH$1536)</f>
        <v>6</v>
      </c>
      <c r="AV1297" s="0" t="n">
        <f aca="false">COUNTIF($BA$1536:$EH$1536,"D")</f>
        <v>1</v>
      </c>
      <c r="AW1297" s="0" t="n">
        <f aca="false">COUNTIF($BA$1536:$EH$1536,"R")</f>
        <v>0</v>
      </c>
      <c r="AX1297" s="0" t="n">
        <f aca="false"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>1</v>
      </c>
      <c r="AY1297" s="0" t="n">
        <f aca="false">COUNTIF(DU1297:EH1297, "&lt;&gt;")</f>
        <v>5</v>
      </c>
      <c r="AZ1297" s="0" t="n">
        <f aca="false">IF(EH1297&lt;&gt;"",1,0)</f>
        <v>0</v>
      </c>
      <c r="BB1297" s="0" t="s">
        <v>153</v>
      </c>
      <c r="BD1297" s="0" t="s">
        <v>154</v>
      </c>
      <c r="BE1297" s="0" t="s">
        <v>154</v>
      </c>
      <c r="BF1297" s="0" t="s">
        <v>154</v>
      </c>
      <c r="BG1297" s="0" t="s">
        <v>154</v>
      </c>
      <c r="BH1297" s="0" t="s">
        <v>154</v>
      </c>
      <c r="BI1297" s="0" t="s">
        <v>154</v>
      </c>
      <c r="BJ1297" s="0" t="s">
        <v>154</v>
      </c>
      <c r="BK1297" s="0" t="s">
        <v>154</v>
      </c>
      <c r="BL1297" s="0" t="s">
        <v>154</v>
      </c>
      <c r="BS1297" s="0" t="s">
        <v>154</v>
      </c>
      <c r="BY1297" s="0" t="s">
        <v>155</v>
      </c>
      <c r="CA1297" s="0" t="s">
        <v>154</v>
      </c>
      <c r="CG1297" s="0" t="s">
        <v>154</v>
      </c>
      <c r="CP1297" s="0" t="s">
        <v>154</v>
      </c>
      <c r="DC1297" s="0" t="s">
        <v>154</v>
      </c>
      <c r="DL1297" s="0" t="s">
        <v>154</v>
      </c>
      <c r="DN1297" s="0" t="s">
        <v>154</v>
      </c>
      <c r="DO1297" s="0" t="s">
        <v>155</v>
      </c>
      <c r="DS1297" s="0" t="s">
        <v>176</v>
      </c>
      <c r="DU1297" s="0" t="s">
        <v>154</v>
      </c>
      <c r="DX1297" s="0" t="s">
        <v>154</v>
      </c>
      <c r="EA1297" s="0" t="s">
        <v>154</v>
      </c>
      <c r="ED1297" s="0" t="s">
        <v>176</v>
      </c>
      <c r="EF1297" s="0" t="s">
        <v>154</v>
      </c>
    </row>
    <row r="1298" customFormat="false" ht="13.8" hidden="false" customHeight="false" outlineLevel="0" collapsed="false">
      <c r="A1298" s="0" t="s">
        <v>6102</v>
      </c>
      <c r="B1298" s="0" t="n">
        <v>78</v>
      </c>
      <c r="C1298" s="0" t="n">
        <v>188757</v>
      </c>
      <c r="D1298" s="0" t="s">
        <v>6103</v>
      </c>
      <c r="E1298" s="0" t="s">
        <v>1980</v>
      </c>
      <c r="F1298" s="0" t="str">
        <f aca="false">CONCATENATE(D1298," ",LEFT(H1298,4),"T=",AU1298,"D=",AV1298,"R=",AW1298,"M=",AX1298,"L=",AY1298,"B=",AZ1298)</f>
        <v>KALLIO T=1D=0R=0M=1L=5B=0</v>
      </c>
      <c r="G1298" s="0" t="s">
        <v>222</v>
      </c>
      <c r="I1298" s="0" t="s">
        <v>6104</v>
      </c>
      <c r="J1298" s="0" t="s">
        <v>1322</v>
      </c>
      <c r="K1298" s="0" t="s">
        <v>175</v>
      </c>
      <c r="L1298" s="1" t="s">
        <v>176</v>
      </c>
      <c r="M1298" s="0" t="s">
        <v>6101</v>
      </c>
      <c r="N1298" s="0" t="str">
        <f aca="false">RIGHT(M1298,LEN(M1298)-FIND(" ",M1298))</f>
        <v>KINSMAN ST NW</v>
      </c>
      <c r="P1298" s="0" t="s">
        <v>146</v>
      </c>
      <c r="Q1298" s="0" t="s">
        <v>147</v>
      </c>
      <c r="R1298" s="0" t="n">
        <v>44483</v>
      </c>
      <c r="AD1298" s="0" t="s">
        <v>148</v>
      </c>
      <c r="AE1298" s="0" t="s">
        <v>149</v>
      </c>
      <c r="AF1298" s="0" t="s">
        <v>150</v>
      </c>
      <c r="AH1298" s="0" t="n">
        <v>14</v>
      </c>
      <c r="AI1298" s="0" t="n">
        <v>11</v>
      </c>
      <c r="AN1298" s="0" t="s">
        <v>146</v>
      </c>
      <c r="AO1298" s="0" t="s">
        <v>151</v>
      </c>
      <c r="AP1298" s="0" t="s">
        <v>152</v>
      </c>
      <c r="AQ1298" s="0" t="n">
        <v>9</v>
      </c>
      <c r="AR1298" s="0" t="n">
        <v>64</v>
      </c>
      <c r="AS1298" s="0" t="n">
        <v>32</v>
      </c>
      <c r="AU1298" s="0" t="n">
        <f aca="false">COUNTA($BA$2008:$EH$2008)</f>
        <v>1</v>
      </c>
      <c r="AV1298" s="0" t="n">
        <f aca="false">COUNTIF($BA$2008:$EH$2008,"D")</f>
        <v>0</v>
      </c>
      <c r="AW1298" s="0" t="n">
        <f aca="false">COUNTIF($BA$2008:$EH$2008,"R")</f>
        <v>0</v>
      </c>
      <c r="AX1298" s="0" t="n">
        <f aca="false"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>1</v>
      </c>
      <c r="AY1298" s="0" t="n">
        <f aca="false">COUNTIF(DU1298:EH1298, "&lt;&gt;")</f>
        <v>5</v>
      </c>
      <c r="AZ1298" s="0" t="n">
        <f aca="false">IF(EH1298&lt;&gt;"",1,0)</f>
        <v>0</v>
      </c>
      <c r="BB1298" s="0" t="s">
        <v>153</v>
      </c>
      <c r="BD1298" s="0" t="s">
        <v>154</v>
      </c>
      <c r="BE1298" s="0" t="s">
        <v>154</v>
      </c>
      <c r="BF1298" s="0" t="s">
        <v>154</v>
      </c>
      <c r="BG1298" s="0" t="s">
        <v>154</v>
      </c>
      <c r="BH1298" s="0" t="s">
        <v>154</v>
      </c>
      <c r="BI1298" s="0" t="s">
        <v>154</v>
      </c>
      <c r="BJ1298" s="0" t="s">
        <v>154</v>
      </c>
      <c r="BK1298" s="0" t="s">
        <v>154</v>
      </c>
      <c r="BL1298" s="0" t="s">
        <v>154</v>
      </c>
      <c r="BS1298" s="0" t="s">
        <v>154</v>
      </c>
      <c r="BY1298" s="0" t="s">
        <v>155</v>
      </c>
      <c r="CA1298" s="0" t="s">
        <v>154</v>
      </c>
      <c r="CG1298" s="0" t="s">
        <v>154</v>
      </c>
      <c r="CP1298" s="0" t="s">
        <v>154</v>
      </c>
      <c r="DC1298" s="0" t="s">
        <v>154</v>
      </c>
      <c r="DL1298" s="0" t="s">
        <v>154</v>
      </c>
      <c r="DN1298" s="0" t="s">
        <v>154</v>
      </c>
      <c r="DO1298" s="0" t="s">
        <v>155</v>
      </c>
      <c r="DS1298" s="0" t="s">
        <v>176</v>
      </c>
      <c r="DU1298" s="0" t="s">
        <v>154</v>
      </c>
      <c r="DX1298" s="0" t="s">
        <v>154</v>
      </c>
      <c r="EA1298" s="0" t="s">
        <v>154</v>
      </c>
      <c r="ED1298" s="0" t="s">
        <v>176</v>
      </c>
      <c r="EF1298" s="0" t="s">
        <v>154</v>
      </c>
    </row>
    <row r="1299" customFormat="false" ht="13.8" hidden="true" customHeight="false" outlineLevel="0" collapsed="false">
      <c r="A1299" s="0" t="s">
        <v>6105</v>
      </c>
      <c r="B1299" s="0" t="n">
        <v>78</v>
      </c>
      <c r="C1299" s="0" t="n">
        <v>494765</v>
      </c>
      <c r="D1299" s="0" t="s">
        <v>6106</v>
      </c>
      <c r="E1299" s="0" t="s">
        <v>6107</v>
      </c>
      <c r="F1299" s="0" t="str">
        <f aca="false">CONCATENATE(D1299," ",LEFT(H1299,4),"T=",AU1299,"D=",AV1299,"R=",AW1299,"M=",AX1299,"L=",AY1299,"B=",AZ1299)</f>
        <v>MEELY JACKSON T=3D=0R=0M=0L=0B=0</v>
      </c>
      <c r="G1299" s="0" t="s">
        <v>202</v>
      </c>
      <c r="I1299" s="0" t="s">
        <v>6108</v>
      </c>
      <c r="J1299" s="0" t="s">
        <v>6109</v>
      </c>
      <c r="K1299" s="0" t="s">
        <v>175</v>
      </c>
      <c r="L1299" s="0"/>
      <c r="M1299" s="0" t="s">
        <v>6110</v>
      </c>
      <c r="N1299" s="0" t="str">
        <f aca="false">RIGHT(M1299,LEN(M1299)-FIND(" ",M1299))</f>
        <v>KINSMAN ST NW</v>
      </c>
      <c r="P1299" s="0" t="s">
        <v>146</v>
      </c>
      <c r="Q1299" s="0" t="s">
        <v>147</v>
      </c>
      <c r="R1299" s="0" t="n">
        <v>44483</v>
      </c>
      <c r="AD1299" s="0" t="s">
        <v>148</v>
      </c>
      <c r="AE1299" s="0" t="s">
        <v>149</v>
      </c>
      <c r="AF1299" s="0" t="s">
        <v>150</v>
      </c>
      <c r="AH1299" s="0" t="n">
        <v>14</v>
      </c>
      <c r="AI1299" s="0" t="n">
        <v>11</v>
      </c>
      <c r="AN1299" s="0" t="s">
        <v>146</v>
      </c>
      <c r="AO1299" s="0" t="s">
        <v>151</v>
      </c>
      <c r="AP1299" s="0" t="s">
        <v>152</v>
      </c>
      <c r="AQ1299" s="0" t="n">
        <v>9</v>
      </c>
      <c r="AR1299" s="0" t="n">
        <v>64</v>
      </c>
      <c r="AS1299" s="0" t="n">
        <v>32</v>
      </c>
      <c r="AU1299" s="0" t="n">
        <f aca="false">COUNTA($BA$1312:$EH$1312)</f>
        <v>3</v>
      </c>
      <c r="AV1299" s="0" t="n">
        <f aca="false">COUNTIF($BA$1312:$EH$1312,"D")</f>
        <v>0</v>
      </c>
      <c r="AW1299" s="0" t="n">
        <f aca="false">COUNTIF($BA$1312:$EH$1312,"R")</f>
        <v>0</v>
      </c>
      <c r="AX1299" s="0" t="n">
        <f aca="false"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>0</v>
      </c>
      <c r="AY1299" s="0" t="n">
        <f aca="false">COUNTIF(DU1299:EH1299, "&lt;&gt;")</f>
        <v>0</v>
      </c>
      <c r="AZ1299" s="0" t="n">
        <f aca="false">IF(EH1299&lt;&gt;"",1,0)</f>
        <v>0</v>
      </c>
      <c r="BB1299" s="0" t="s">
        <v>153</v>
      </c>
    </row>
    <row r="1300" customFormat="false" ht="13.8" hidden="true" customHeight="false" outlineLevel="0" collapsed="false">
      <c r="A1300" s="0" t="s">
        <v>6111</v>
      </c>
      <c r="B1300" s="0" t="n">
        <v>78</v>
      </c>
      <c r="C1300" s="0" t="n">
        <v>491830</v>
      </c>
      <c r="D1300" s="0" t="s">
        <v>1173</v>
      </c>
      <c r="E1300" s="0" t="s">
        <v>3440</v>
      </c>
      <c r="F1300" s="0" t="str">
        <f aca="false">CONCATENATE(D1300," ",LEFT(H1300,4),"T=",AU1300,"D=",AV1300,"R=",AW1300,"M=",AX1300,"L=",AY1300,"B=",AZ1300)</f>
        <v>JACKSON IIIT=2D=0R=0M=0L=1B=0</v>
      </c>
      <c r="G1300" s="0" t="s">
        <v>429</v>
      </c>
      <c r="H1300" s="0" t="s">
        <v>1175</v>
      </c>
      <c r="I1300" s="0" t="s">
        <v>6112</v>
      </c>
      <c r="J1300" s="0" t="s">
        <v>712</v>
      </c>
      <c r="K1300" s="0" t="s">
        <v>175</v>
      </c>
      <c r="L1300" s="0"/>
      <c r="M1300" s="0" t="s">
        <v>6110</v>
      </c>
      <c r="N1300" s="0" t="str">
        <f aca="false">RIGHT(M1300,LEN(M1300)-FIND(" ",M1300))</f>
        <v>KINSMAN ST NW</v>
      </c>
      <c r="P1300" s="0" t="s">
        <v>146</v>
      </c>
      <c r="Q1300" s="0" t="s">
        <v>147</v>
      </c>
      <c r="R1300" s="0" t="n">
        <v>44483</v>
      </c>
      <c r="AD1300" s="0" t="s">
        <v>148</v>
      </c>
      <c r="AE1300" s="0" t="s">
        <v>149</v>
      </c>
      <c r="AF1300" s="0" t="s">
        <v>150</v>
      </c>
      <c r="AH1300" s="0" t="n">
        <v>14</v>
      </c>
      <c r="AI1300" s="0" t="n">
        <v>11</v>
      </c>
      <c r="AN1300" s="0" t="s">
        <v>146</v>
      </c>
      <c r="AO1300" s="0" t="s">
        <v>151</v>
      </c>
      <c r="AP1300" s="0" t="s">
        <v>152</v>
      </c>
      <c r="AQ1300" s="0" t="n">
        <v>9</v>
      </c>
      <c r="AR1300" s="0" t="n">
        <v>64</v>
      </c>
      <c r="AS1300" s="0" t="n">
        <v>32</v>
      </c>
      <c r="AU1300" s="0" t="n">
        <f aca="false">COUNTA($BA$1386:$EH$1386)</f>
        <v>2</v>
      </c>
      <c r="AV1300" s="0" t="n">
        <f aca="false">COUNTIF($BA$1386:$EH$1386,"D")</f>
        <v>0</v>
      </c>
      <c r="AW1300" s="0" t="n">
        <f aca="false">COUNTIF($BA$1386:$EH$1386,"R")</f>
        <v>0</v>
      </c>
      <c r="AX1300" s="0" t="n">
        <f aca="false"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>0</v>
      </c>
      <c r="AY1300" s="0" t="n">
        <f aca="false">COUNTIF(DU1300:EH1300, "&lt;&gt;")</f>
        <v>1</v>
      </c>
      <c r="AZ1300" s="0" t="n">
        <f aca="false">IF(EH1300&lt;&gt;"",1,0)</f>
        <v>0</v>
      </c>
      <c r="BB1300" s="0" t="s">
        <v>153</v>
      </c>
      <c r="EF1300" s="0" t="s">
        <v>154</v>
      </c>
    </row>
    <row r="1301" customFormat="false" ht="13.8" hidden="true" customHeight="false" outlineLevel="0" collapsed="false">
      <c r="A1301" s="0" t="s">
        <v>6113</v>
      </c>
      <c r="B1301" s="0" t="n">
        <v>78</v>
      </c>
      <c r="C1301" s="0" t="n">
        <v>457210</v>
      </c>
      <c r="D1301" s="0" t="s">
        <v>856</v>
      </c>
      <c r="E1301" s="0" t="s">
        <v>6114</v>
      </c>
      <c r="F1301" s="0" t="str">
        <f aca="false">CONCATENATE(D1301," ",LEFT(H1301,4),"T=",AU1301,"D=",AV1301,"R=",AW1301,"M=",AX1301,"L=",AY1301,"B=",AZ1301)</f>
        <v>JONES T=17D=6R=0M=0L=0B=0</v>
      </c>
      <c r="G1301" s="0" t="s">
        <v>6115</v>
      </c>
      <c r="I1301" s="0" t="s">
        <v>3879</v>
      </c>
      <c r="J1301" s="0" t="s">
        <v>6116</v>
      </c>
      <c r="K1301" s="0" t="s">
        <v>144</v>
      </c>
      <c r="L1301" s="0"/>
      <c r="M1301" s="0" t="s">
        <v>6110</v>
      </c>
      <c r="N1301" s="0" t="str">
        <f aca="false">RIGHT(M1301,LEN(M1301)-FIND(" ",M1301))</f>
        <v>KINSMAN ST NW</v>
      </c>
      <c r="P1301" s="0" t="s">
        <v>146</v>
      </c>
      <c r="Q1301" s="0" t="s">
        <v>147</v>
      </c>
      <c r="R1301" s="0" t="n">
        <v>44483</v>
      </c>
      <c r="AD1301" s="0" t="s">
        <v>148</v>
      </c>
      <c r="AE1301" s="0" t="s">
        <v>149</v>
      </c>
      <c r="AF1301" s="0" t="s">
        <v>150</v>
      </c>
      <c r="AH1301" s="0" t="n">
        <v>14</v>
      </c>
      <c r="AI1301" s="0" t="n">
        <v>11</v>
      </c>
      <c r="AN1301" s="0" t="s">
        <v>146</v>
      </c>
      <c r="AO1301" s="0" t="s">
        <v>151</v>
      </c>
      <c r="AP1301" s="0" t="s">
        <v>152</v>
      </c>
      <c r="AQ1301" s="0" t="n">
        <v>9</v>
      </c>
      <c r="AR1301" s="0" t="n">
        <v>64</v>
      </c>
      <c r="AS1301" s="0" t="n">
        <v>32</v>
      </c>
      <c r="AU1301" s="0" t="n">
        <f aca="false">COUNTA($BA$1738:$EH$1738)</f>
        <v>17</v>
      </c>
      <c r="AV1301" s="0" t="n">
        <f aca="false">COUNTIF($BA$1738:$EH$1738,"D")</f>
        <v>6</v>
      </c>
      <c r="AW1301" s="0" t="n">
        <f aca="false">COUNTIF($BA$1738:$EH$1738,"R")</f>
        <v>0</v>
      </c>
      <c r="AX1301" s="0" t="n">
        <f aca="false"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>0</v>
      </c>
      <c r="AY1301" s="0" t="n">
        <f aca="false">COUNTIF(DU1301:EH1301, "&lt;&gt;")</f>
        <v>0</v>
      </c>
      <c r="AZ1301" s="0" t="n">
        <f aca="false">IF(EH1301&lt;&gt;"",1,0)</f>
        <v>0</v>
      </c>
      <c r="BB1301" s="0" t="s">
        <v>153</v>
      </c>
    </row>
    <row r="1302" customFormat="false" ht="13.8" hidden="true" customHeight="false" outlineLevel="0" collapsed="false">
      <c r="A1302" s="0" t="s">
        <v>6117</v>
      </c>
      <c r="B1302" s="0" t="n">
        <v>78</v>
      </c>
      <c r="C1302" s="0" t="n">
        <v>427154</v>
      </c>
      <c r="D1302" s="0" t="s">
        <v>6118</v>
      </c>
      <c r="E1302" s="0" t="s">
        <v>6119</v>
      </c>
      <c r="F1302" s="0" t="str">
        <f aca="false">CONCATENATE(D1302," ",LEFT(H1302,4),"T=",AU1302,"D=",AV1302,"R=",AW1302,"M=",AX1302,"L=",AY1302,"B=",AZ1302)</f>
        <v>MEELY T=1D=0R=0M=0L=1B=0</v>
      </c>
      <c r="I1302" s="0" t="s">
        <v>6120</v>
      </c>
      <c r="J1302" s="0" t="s">
        <v>1764</v>
      </c>
      <c r="K1302" s="0" t="s">
        <v>175</v>
      </c>
      <c r="L1302" s="0"/>
      <c r="M1302" s="0" t="s">
        <v>6110</v>
      </c>
      <c r="N1302" s="0" t="str">
        <f aca="false">RIGHT(M1302,LEN(M1302)-FIND(" ",M1302))</f>
        <v>KINSMAN ST NW</v>
      </c>
      <c r="P1302" s="0" t="s">
        <v>146</v>
      </c>
      <c r="Q1302" s="0" t="s">
        <v>147</v>
      </c>
      <c r="R1302" s="0" t="n">
        <v>44483</v>
      </c>
      <c r="AD1302" s="0" t="s">
        <v>148</v>
      </c>
      <c r="AE1302" s="0" t="s">
        <v>149</v>
      </c>
      <c r="AF1302" s="0" t="s">
        <v>150</v>
      </c>
      <c r="AH1302" s="0" t="n">
        <v>14</v>
      </c>
      <c r="AI1302" s="0" t="n">
        <v>11</v>
      </c>
      <c r="AN1302" s="0" t="s">
        <v>146</v>
      </c>
      <c r="AO1302" s="0" t="s">
        <v>151</v>
      </c>
      <c r="AP1302" s="0" t="s">
        <v>152</v>
      </c>
      <c r="AQ1302" s="0" t="n">
        <v>9</v>
      </c>
      <c r="AR1302" s="0" t="n">
        <v>64</v>
      </c>
      <c r="AS1302" s="0" t="n">
        <v>32</v>
      </c>
      <c r="AU1302" s="0" t="n">
        <f aca="false">COUNTA($BA$1750:$EH$1750)</f>
        <v>1</v>
      </c>
      <c r="AV1302" s="0" t="n">
        <f aca="false">COUNTIF($BA$1750:$EH$1750,"D")</f>
        <v>0</v>
      </c>
      <c r="AW1302" s="0" t="n">
        <f aca="false">COUNTIF($BA$1750:$EH$1750,"R")</f>
        <v>0</v>
      </c>
      <c r="AX1302" s="0" t="n">
        <f aca="false"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>0</v>
      </c>
      <c r="AY1302" s="0" t="n">
        <f aca="false">COUNTIF(DU1302:EH1302, "&lt;&gt;")</f>
        <v>1</v>
      </c>
      <c r="AZ1302" s="0" t="n">
        <f aca="false">IF(EH1302&lt;&gt;"",1,0)</f>
        <v>0</v>
      </c>
      <c r="BB1302" s="0" t="s">
        <v>153</v>
      </c>
      <c r="DN1302" s="0" t="s">
        <v>154</v>
      </c>
      <c r="EF1302" s="0" t="s">
        <v>154</v>
      </c>
    </row>
    <row r="1303" customFormat="false" ht="13.8" hidden="true" customHeight="false" outlineLevel="0" collapsed="false">
      <c r="A1303" s="0" t="s">
        <v>6121</v>
      </c>
      <c r="B1303" s="0" t="n">
        <v>78</v>
      </c>
      <c r="C1303" s="0" t="n">
        <v>437890</v>
      </c>
      <c r="D1303" s="0" t="s">
        <v>1173</v>
      </c>
      <c r="E1303" s="0" t="s">
        <v>3440</v>
      </c>
      <c r="F1303" s="0" t="str">
        <f aca="false">CONCATENATE(D1303," ",LEFT(H1303,4),"T=",AU1303,"D=",AV1303,"R=",AW1303,"M=",AX1303,"L=",AY1303,"B=",AZ1303)</f>
        <v>JACKSON JRT=1D=0R=0M=0L=1B=0</v>
      </c>
      <c r="G1303" s="0" t="s">
        <v>188</v>
      </c>
      <c r="H1303" s="0" t="s">
        <v>431</v>
      </c>
      <c r="I1303" s="0" t="s">
        <v>6122</v>
      </c>
      <c r="J1303" s="0" t="s">
        <v>6123</v>
      </c>
      <c r="K1303" s="0" t="s">
        <v>175</v>
      </c>
      <c r="L1303" s="0"/>
      <c r="M1303" s="0" t="s">
        <v>6110</v>
      </c>
      <c r="N1303" s="0" t="str">
        <f aca="false">RIGHT(M1303,LEN(M1303)-FIND(" ",M1303))</f>
        <v>KINSMAN ST NW</v>
      </c>
      <c r="P1303" s="0" t="s">
        <v>146</v>
      </c>
      <c r="Q1303" s="0" t="s">
        <v>147</v>
      </c>
      <c r="R1303" s="0" t="n">
        <v>44483</v>
      </c>
      <c r="AD1303" s="0" t="s">
        <v>148</v>
      </c>
      <c r="AE1303" s="0" t="s">
        <v>149</v>
      </c>
      <c r="AF1303" s="0" t="s">
        <v>150</v>
      </c>
      <c r="AH1303" s="0" t="n">
        <v>14</v>
      </c>
      <c r="AI1303" s="0" t="n">
        <v>11</v>
      </c>
      <c r="AN1303" s="0" t="s">
        <v>146</v>
      </c>
      <c r="AO1303" s="0" t="s">
        <v>151</v>
      </c>
      <c r="AP1303" s="0" t="s">
        <v>152</v>
      </c>
      <c r="AQ1303" s="0" t="n">
        <v>9</v>
      </c>
      <c r="AR1303" s="0" t="n">
        <v>64</v>
      </c>
      <c r="AS1303" s="0" t="n">
        <v>32</v>
      </c>
      <c r="AU1303" s="0" t="n">
        <f aca="false">COUNTA($BA$1953:$EH$1953)</f>
        <v>1</v>
      </c>
      <c r="AV1303" s="0" t="n">
        <f aca="false">COUNTIF($BA$1953:$EH$1953,"D")</f>
        <v>0</v>
      </c>
      <c r="AW1303" s="0" t="n">
        <f aca="false">COUNTIF($BA$1953:$EH$1953,"R")</f>
        <v>0</v>
      </c>
      <c r="AX1303" s="0" t="n">
        <f aca="false"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>0</v>
      </c>
      <c r="AY1303" s="0" t="n">
        <f aca="false">COUNTIF(DU1303:EH1303, "&lt;&gt;")</f>
        <v>1</v>
      </c>
      <c r="AZ1303" s="0" t="n">
        <f aca="false">IF(EH1303&lt;&gt;"",1,0)</f>
        <v>0</v>
      </c>
      <c r="BB1303" s="0" t="s">
        <v>153</v>
      </c>
      <c r="BD1303" s="0" t="s">
        <v>154</v>
      </c>
      <c r="BL1303" s="0" t="s">
        <v>154</v>
      </c>
      <c r="BS1303" s="0" t="s">
        <v>154</v>
      </c>
      <c r="CA1303" s="0" t="s">
        <v>154</v>
      </c>
      <c r="CP1303" s="0" t="s">
        <v>154</v>
      </c>
      <c r="DC1303" s="0" t="s">
        <v>154</v>
      </c>
      <c r="DI1303" s="0" t="s">
        <v>154</v>
      </c>
      <c r="DN1303" s="0" t="s">
        <v>154</v>
      </c>
      <c r="EF1303" s="0" t="s">
        <v>154</v>
      </c>
    </row>
    <row r="1304" customFormat="false" ht="13.8" hidden="true" customHeight="false" outlineLevel="0" collapsed="false">
      <c r="A1304" s="0" t="s">
        <v>6124</v>
      </c>
      <c r="B1304" s="0" t="n">
        <v>78</v>
      </c>
      <c r="C1304" s="0" t="n">
        <v>476808</v>
      </c>
      <c r="D1304" s="0" t="s">
        <v>1582</v>
      </c>
      <c r="E1304" s="0" t="s">
        <v>6125</v>
      </c>
      <c r="F1304" s="0" t="str">
        <f aca="false">CONCATENATE(D1304," ",LEFT(H1304,4),"T=",AU1304,"D=",AV1304,"R=",AW1304,"M=",AX1304,"L=",AY1304,"B=",AZ1304)</f>
        <v>SMITH T=1D=0R=0M=0L=1B=0</v>
      </c>
      <c r="G1304" s="0" t="s">
        <v>664</v>
      </c>
      <c r="I1304" s="0" t="s">
        <v>6126</v>
      </c>
      <c r="J1304" s="0" t="s">
        <v>6127</v>
      </c>
      <c r="K1304" s="0" t="s">
        <v>175</v>
      </c>
      <c r="L1304" s="0"/>
      <c r="M1304" s="0" t="s">
        <v>6128</v>
      </c>
      <c r="N1304" s="0" t="str">
        <f aca="false">RIGHT(M1304,LEN(M1304)-FIND(" ",M1304))</f>
        <v>KINSMAN ST NW</v>
      </c>
      <c r="P1304" s="0" t="s">
        <v>146</v>
      </c>
      <c r="Q1304" s="0" t="s">
        <v>147</v>
      </c>
      <c r="R1304" s="0" t="n">
        <v>44483</v>
      </c>
      <c r="AD1304" s="0" t="s">
        <v>148</v>
      </c>
      <c r="AE1304" s="0" t="s">
        <v>149</v>
      </c>
      <c r="AF1304" s="0" t="s">
        <v>150</v>
      </c>
      <c r="AH1304" s="0" t="n">
        <v>14</v>
      </c>
      <c r="AI1304" s="0" t="n">
        <v>11</v>
      </c>
      <c r="AN1304" s="0" t="s">
        <v>146</v>
      </c>
      <c r="AO1304" s="0" t="s">
        <v>151</v>
      </c>
      <c r="AP1304" s="0" t="s">
        <v>152</v>
      </c>
      <c r="AQ1304" s="0" t="n">
        <v>9</v>
      </c>
      <c r="AR1304" s="0" t="n">
        <v>64</v>
      </c>
      <c r="AS1304" s="0" t="n">
        <v>32</v>
      </c>
      <c r="AU1304" s="0" t="n">
        <f aca="false">COUNTA($BA$1522:$EH$1522)</f>
        <v>1</v>
      </c>
      <c r="AV1304" s="0" t="n">
        <f aca="false">COUNTIF($BA$1522:$EH$1522,"D")</f>
        <v>0</v>
      </c>
      <c r="AW1304" s="0" t="n">
        <f aca="false">COUNTIF($BA$1522:$EH$1522,"R")</f>
        <v>0</v>
      </c>
      <c r="AX1304" s="0" t="n">
        <f aca="false"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>0</v>
      </c>
      <c r="AY1304" s="0" t="n">
        <f aca="false">COUNTIF(DU1304:EH1304, "&lt;&gt;")</f>
        <v>1</v>
      </c>
      <c r="AZ1304" s="0" t="n">
        <f aca="false">IF(EH1304&lt;&gt;"",1,0)</f>
        <v>0</v>
      </c>
      <c r="BB1304" s="0" t="s">
        <v>153</v>
      </c>
      <c r="EF1304" s="0" t="s">
        <v>154</v>
      </c>
    </row>
    <row r="1305" customFormat="false" ht="13.8" hidden="false" customHeight="false" outlineLevel="0" collapsed="false">
      <c r="A1305" s="0" t="s">
        <v>6129</v>
      </c>
      <c r="B1305" s="0" t="n">
        <v>78</v>
      </c>
      <c r="C1305" s="0" t="n">
        <v>308828</v>
      </c>
      <c r="D1305" s="0" t="s">
        <v>1582</v>
      </c>
      <c r="E1305" s="0" t="s">
        <v>6130</v>
      </c>
      <c r="F1305" s="0" t="str">
        <f aca="false">CONCATENATE(D1305," ",LEFT(H1305,4),"T=",AU1305,"D=",AV1305,"R=",AW1305,"M=",AX1305,"L=",AY1305,"B=",AZ1305)</f>
        <v>SMITH T=40D=9R=0M=0L=3B=0</v>
      </c>
      <c r="G1305" s="0" t="s">
        <v>365</v>
      </c>
      <c r="I1305" s="0" t="s">
        <v>6131</v>
      </c>
      <c r="J1305" s="0" t="s">
        <v>6132</v>
      </c>
      <c r="K1305" s="0" t="s">
        <v>175</v>
      </c>
      <c r="M1305" s="0" t="s">
        <v>6128</v>
      </c>
      <c r="N1305" s="0" t="str">
        <f aca="false">RIGHT(M1305,LEN(M1305)-FIND(" ",M1305))</f>
        <v>KINSMAN ST NW</v>
      </c>
      <c r="P1305" s="0" t="s">
        <v>146</v>
      </c>
      <c r="Q1305" s="0" t="s">
        <v>147</v>
      </c>
      <c r="R1305" s="0" t="n">
        <v>44483</v>
      </c>
      <c r="AD1305" s="0" t="s">
        <v>148</v>
      </c>
      <c r="AE1305" s="0" t="s">
        <v>149</v>
      </c>
      <c r="AF1305" s="0" t="s">
        <v>150</v>
      </c>
      <c r="AH1305" s="0" t="n">
        <v>14</v>
      </c>
      <c r="AI1305" s="0" t="n">
        <v>11</v>
      </c>
      <c r="AN1305" s="0" t="s">
        <v>146</v>
      </c>
      <c r="AO1305" s="0" t="s">
        <v>151</v>
      </c>
      <c r="AP1305" s="0" t="s">
        <v>152</v>
      </c>
      <c r="AQ1305" s="0" t="n">
        <v>9</v>
      </c>
      <c r="AR1305" s="0" t="n">
        <v>64</v>
      </c>
      <c r="AS1305" s="0" t="n">
        <v>32</v>
      </c>
      <c r="AU1305" s="0" t="n">
        <f aca="false">COUNTA($BA$1580:$EH$1580)</f>
        <v>40</v>
      </c>
      <c r="AV1305" s="0" t="n">
        <f aca="false">COUNTIF($BA$1580:$EH$1580,"D")</f>
        <v>9</v>
      </c>
      <c r="AW1305" s="0" t="n">
        <f aca="false">COUNTIF($BA$1580:$EH$1580,"R")</f>
        <v>0</v>
      </c>
      <c r="AX1305" s="0" t="n">
        <f aca="false"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>0</v>
      </c>
      <c r="AY1305" s="0" t="n">
        <f aca="false">COUNTIF(DU1305:EH1305, "&lt;&gt;")</f>
        <v>3</v>
      </c>
      <c r="AZ1305" s="0" t="n">
        <f aca="false">IF(EH1305&lt;&gt;"",1,0)</f>
        <v>0</v>
      </c>
      <c r="BB1305" s="0" t="s">
        <v>153</v>
      </c>
      <c r="BL1305" s="0" t="s">
        <v>154</v>
      </c>
      <c r="BP1305" s="0" t="s">
        <v>154</v>
      </c>
      <c r="BS1305" s="0" t="s">
        <v>154</v>
      </c>
      <c r="BY1305" s="0" t="s">
        <v>155</v>
      </c>
      <c r="CA1305" s="0" t="s">
        <v>154</v>
      </c>
      <c r="CK1305" s="0" t="s">
        <v>154</v>
      </c>
      <c r="CP1305" s="0" t="s">
        <v>154</v>
      </c>
      <c r="CZ1305" s="0" t="s">
        <v>155</v>
      </c>
      <c r="DC1305" s="0" t="s">
        <v>154</v>
      </c>
      <c r="DN1305" s="0" t="s">
        <v>154</v>
      </c>
      <c r="DU1305" s="0" t="s">
        <v>154</v>
      </c>
      <c r="EA1305" s="0" t="s">
        <v>154</v>
      </c>
      <c r="EF1305" s="0" t="s">
        <v>154</v>
      </c>
    </row>
    <row r="1306" customFormat="false" ht="13.8" hidden="false" customHeight="false" outlineLevel="0" collapsed="false">
      <c r="A1306" s="0" t="s">
        <v>6133</v>
      </c>
      <c r="B1306" s="0" t="n">
        <v>78</v>
      </c>
      <c r="C1306" s="0" t="n">
        <v>291733</v>
      </c>
      <c r="D1306" s="0" t="s">
        <v>1582</v>
      </c>
      <c r="E1306" s="0" t="s">
        <v>4959</v>
      </c>
      <c r="F1306" s="0" t="str">
        <f aca="false">CONCATENATE(D1306," ",LEFT(H1306,4),"T=",AU1306,"D=",AV1306,"R=",AW1306,"M=",AX1306,"L=",AY1306,"B=",AZ1306)</f>
        <v>SMITH T=5D=0R=0M=0L=2B=0</v>
      </c>
      <c r="G1306" s="0" t="s">
        <v>241</v>
      </c>
      <c r="I1306" s="0" t="s">
        <v>6134</v>
      </c>
      <c r="J1306" s="0" t="s">
        <v>6135</v>
      </c>
      <c r="K1306" s="0" t="s">
        <v>175</v>
      </c>
      <c r="M1306" s="0" t="s">
        <v>6128</v>
      </c>
      <c r="N1306" s="0" t="str">
        <f aca="false">RIGHT(M1306,LEN(M1306)-FIND(" ",M1306))</f>
        <v>KINSMAN ST NW</v>
      </c>
      <c r="P1306" s="0" t="s">
        <v>146</v>
      </c>
      <c r="Q1306" s="0" t="s">
        <v>147</v>
      </c>
      <c r="R1306" s="0" t="n">
        <v>44483</v>
      </c>
      <c r="AD1306" s="0" t="s">
        <v>148</v>
      </c>
      <c r="AE1306" s="0" t="s">
        <v>149</v>
      </c>
      <c r="AF1306" s="0" t="s">
        <v>150</v>
      </c>
      <c r="AH1306" s="0" t="n">
        <v>14</v>
      </c>
      <c r="AI1306" s="0" t="n">
        <v>11</v>
      </c>
      <c r="AN1306" s="0" t="s">
        <v>146</v>
      </c>
      <c r="AO1306" s="0" t="s">
        <v>151</v>
      </c>
      <c r="AP1306" s="0" t="s">
        <v>152</v>
      </c>
      <c r="AQ1306" s="0" t="n">
        <v>9</v>
      </c>
      <c r="AR1306" s="0" t="n">
        <v>64</v>
      </c>
      <c r="AS1306" s="0" t="n">
        <v>32</v>
      </c>
      <c r="AU1306" s="0" t="n">
        <f aca="false">COUNTA($BA$1583:$EH$1583)</f>
        <v>5</v>
      </c>
      <c r="AV1306" s="0" t="n">
        <f aca="false">COUNTIF($BA$1583:$EH$1583,"D")</f>
        <v>0</v>
      </c>
      <c r="AW1306" s="0" t="n">
        <f aca="false">COUNTIF($BA$1583:$EH$1583,"R")</f>
        <v>0</v>
      </c>
      <c r="AX1306" s="0" t="n">
        <f aca="false"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>0</v>
      </c>
      <c r="AY1306" s="0" t="n">
        <f aca="false">COUNTIF(DU1306:EH1306, "&lt;&gt;")</f>
        <v>2</v>
      </c>
      <c r="AZ1306" s="0" t="n">
        <f aca="false">IF(EH1306&lt;&gt;"",1,0)</f>
        <v>0</v>
      </c>
      <c r="BB1306" s="0" t="s">
        <v>153</v>
      </c>
      <c r="BD1306" s="0" t="s">
        <v>154</v>
      </c>
      <c r="BL1306" s="0" t="s">
        <v>154</v>
      </c>
      <c r="BP1306" s="0" t="s">
        <v>154</v>
      </c>
      <c r="BY1306" s="0" t="s">
        <v>155</v>
      </c>
      <c r="CA1306" s="0" t="s">
        <v>154</v>
      </c>
      <c r="CK1306" s="0" t="s">
        <v>154</v>
      </c>
      <c r="CP1306" s="0" t="s">
        <v>154</v>
      </c>
      <c r="DC1306" s="0" t="s">
        <v>154</v>
      </c>
      <c r="DN1306" s="0" t="s">
        <v>154</v>
      </c>
      <c r="DU1306" s="0" t="s">
        <v>154</v>
      </c>
      <c r="EF1306" s="0" t="s">
        <v>154</v>
      </c>
    </row>
    <row r="1307" customFormat="false" ht="13.8" hidden="true" customHeight="false" outlineLevel="0" collapsed="false">
      <c r="A1307" s="0" t="s">
        <v>6136</v>
      </c>
      <c r="B1307" s="0" t="n">
        <v>78</v>
      </c>
      <c r="C1307" s="0" t="n">
        <v>468336</v>
      </c>
      <c r="D1307" s="0" t="s">
        <v>1582</v>
      </c>
      <c r="E1307" s="0" t="s">
        <v>761</v>
      </c>
      <c r="F1307" s="0" t="str">
        <f aca="false">CONCATENATE(D1307," ",LEFT(H1307,4),"T=",AU1307,"D=",AV1307,"R=",AW1307,"M=",AX1307,"L=",AY1307,"B=",AZ1307)</f>
        <v>SMITH T=46D=16R=0M=0L=0B=0</v>
      </c>
      <c r="G1307" s="0" t="s">
        <v>188</v>
      </c>
      <c r="I1307" s="0" t="s">
        <v>6137</v>
      </c>
      <c r="J1307" s="0" t="s">
        <v>6138</v>
      </c>
      <c r="K1307" s="0" t="s">
        <v>175</v>
      </c>
      <c r="L1307" s="0"/>
      <c r="M1307" s="0" t="s">
        <v>6139</v>
      </c>
      <c r="N1307" s="0" t="str">
        <f aca="false">RIGHT(M1307,LEN(M1307)-FIND(" ",M1307))</f>
        <v>KINSMAN ST NW</v>
      </c>
      <c r="P1307" s="0" t="s">
        <v>146</v>
      </c>
      <c r="Q1307" s="0" t="s">
        <v>147</v>
      </c>
      <c r="R1307" s="0" t="n">
        <v>44483</v>
      </c>
      <c r="AD1307" s="0" t="s">
        <v>148</v>
      </c>
      <c r="AE1307" s="0" t="s">
        <v>149</v>
      </c>
      <c r="AF1307" s="0" t="s">
        <v>150</v>
      </c>
      <c r="AH1307" s="0" t="n">
        <v>14</v>
      </c>
      <c r="AI1307" s="0" t="n">
        <v>11</v>
      </c>
      <c r="AN1307" s="0" t="s">
        <v>146</v>
      </c>
      <c r="AO1307" s="0" t="s">
        <v>151</v>
      </c>
      <c r="AP1307" s="0" t="s">
        <v>152</v>
      </c>
      <c r="AQ1307" s="0" t="n">
        <v>9</v>
      </c>
      <c r="AR1307" s="0" t="n">
        <v>64</v>
      </c>
      <c r="AS1307" s="0" t="n">
        <v>32</v>
      </c>
      <c r="AU1307" s="0" t="n">
        <f aca="false">COUNTA($BA$1263:$EH$1263)</f>
        <v>46</v>
      </c>
      <c r="AV1307" s="0" t="n">
        <f aca="false">COUNTIF($BA$1263:$EH$1263,"D")</f>
        <v>16</v>
      </c>
      <c r="AW1307" s="0" t="n">
        <f aca="false">COUNTIF($BA$1263:$EH$1263,"R")</f>
        <v>0</v>
      </c>
      <c r="AX1307" s="0" t="n">
        <f aca="false"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>0</v>
      </c>
      <c r="AY1307" s="0" t="n">
        <f aca="false">COUNTIF(DU1307:EH1307, "&lt;&gt;")</f>
        <v>0</v>
      </c>
      <c r="AZ1307" s="0" t="n">
        <f aca="false">IF(EH1307&lt;&gt;"",1,0)</f>
        <v>0</v>
      </c>
      <c r="BB1307" s="0" t="s">
        <v>153</v>
      </c>
    </row>
    <row r="1308" customFormat="false" ht="13.8" hidden="true" customHeight="false" outlineLevel="0" collapsed="false">
      <c r="A1308" s="0" t="s">
        <v>6140</v>
      </c>
      <c r="B1308" s="0" t="n">
        <v>78</v>
      </c>
      <c r="C1308" s="0" t="n">
        <v>431965</v>
      </c>
      <c r="D1308" s="0" t="s">
        <v>6141</v>
      </c>
      <c r="E1308" s="0" t="s">
        <v>6142</v>
      </c>
      <c r="F1308" s="0" t="str">
        <f aca="false">CONCATENATE(D1308," ",LEFT(H1308,4),"T=",AU1308,"D=",AV1308,"R=",AW1308,"M=",AX1308,"L=",AY1308,"B=",AZ1308)</f>
        <v>HAYDEN T=7D=0R=0M=0L=0B=0</v>
      </c>
      <c r="G1308" s="0" t="s">
        <v>176</v>
      </c>
      <c r="I1308" s="0" t="s">
        <v>6143</v>
      </c>
      <c r="J1308" s="0" t="s">
        <v>5707</v>
      </c>
      <c r="K1308" s="0" t="s">
        <v>144</v>
      </c>
      <c r="L1308" s="0"/>
      <c r="M1308" s="0" t="s">
        <v>6139</v>
      </c>
      <c r="N1308" s="0" t="str">
        <f aca="false">RIGHT(M1308,LEN(M1308)-FIND(" ",M1308))</f>
        <v>KINSMAN ST NW</v>
      </c>
      <c r="P1308" s="0" t="s">
        <v>146</v>
      </c>
      <c r="Q1308" s="0" t="s">
        <v>147</v>
      </c>
      <c r="R1308" s="0" t="n">
        <v>44483</v>
      </c>
      <c r="AD1308" s="0" t="s">
        <v>148</v>
      </c>
      <c r="AE1308" s="0" t="s">
        <v>149</v>
      </c>
      <c r="AF1308" s="0" t="s">
        <v>150</v>
      </c>
      <c r="AH1308" s="0" t="n">
        <v>14</v>
      </c>
      <c r="AI1308" s="0" t="n">
        <v>11</v>
      </c>
      <c r="AN1308" s="0" t="s">
        <v>146</v>
      </c>
      <c r="AO1308" s="0" t="s">
        <v>151</v>
      </c>
      <c r="AP1308" s="0" t="s">
        <v>152</v>
      </c>
      <c r="AQ1308" s="0" t="n">
        <v>9</v>
      </c>
      <c r="AR1308" s="0" t="n">
        <v>64</v>
      </c>
      <c r="AS1308" s="0" t="n">
        <v>32</v>
      </c>
      <c r="AU1308" s="0" t="n">
        <f aca="false">COUNTA($BA$1373:$EH$1373)</f>
        <v>7</v>
      </c>
      <c r="AV1308" s="0" t="n">
        <f aca="false">COUNTIF($BA$1373:$EH$1373,"D")</f>
        <v>0</v>
      </c>
      <c r="AW1308" s="0" t="n">
        <f aca="false">COUNTIF($BA$1373:$EH$1373,"R")</f>
        <v>0</v>
      </c>
      <c r="AX1308" s="0" t="n">
        <f aca="false"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>0</v>
      </c>
      <c r="AY1308" s="0" t="n">
        <f aca="false">COUNTIF(DU1308:EH1308, "&lt;&gt;")</f>
        <v>0</v>
      </c>
      <c r="AZ1308" s="0" t="n">
        <f aca="false">IF(EH1308&lt;&gt;"",1,0)</f>
        <v>0</v>
      </c>
      <c r="BB1308" s="0" t="s">
        <v>153</v>
      </c>
    </row>
    <row r="1309" customFormat="false" ht="13.8" hidden="true" customHeight="false" outlineLevel="0" collapsed="false">
      <c r="A1309" s="0" t="s">
        <v>6144</v>
      </c>
      <c r="B1309" s="0" t="n">
        <v>78</v>
      </c>
      <c r="C1309" s="0" t="n">
        <v>495194</v>
      </c>
      <c r="D1309" s="0" t="s">
        <v>6145</v>
      </c>
      <c r="E1309" s="0" t="s">
        <v>1416</v>
      </c>
      <c r="F1309" s="0" t="str">
        <f aca="false">CONCATENATE(D1309," ",LEFT(H1309,4),"T=",AU1309,"D=",AV1309,"R=",AW1309,"M=",AX1309,"L=",AY1309,"B=",AZ1309)</f>
        <v>VAZQUEZ RODRIGUEZ T=32D=8R=0M=0L=0B=0</v>
      </c>
      <c r="G1309" s="0" t="s">
        <v>6146</v>
      </c>
      <c r="I1309" s="0" t="s">
        <v>2569</v>
      </c>
      <c r="J1309" s="0" t="s">
        <v>6147</v>
      </c>
      <c r="K1309" s="0" t="s">
        <v>175</v>
      </c>
      <c r="L1309" s="0"/>
      <c r="M1309" s="0" t="s">
        <v>6139</v>
      </c>
      <c r="N1309" s="0" t="str">
        <f aca="false">RIGHT(M1309,LEN(M1309)-FIND(" ",M1309))</f>
        <v>KINSMAN ST NW</v>
      </c>
      <c r="P1309" s="0" t="s">
        <v>146</v>
      </c>
      <c r="Q1309" s="0" t="s">
        <v>147</v>
      </c>
      <c r="R1309" s="0" t="n">
        <v>44483</v>
      </c>
      <c r="AD1309" s="0" t="s">
        <v>148</v>
      </c>
      <c r="AE1309" s="0" t="s">
        <v>149</v>
      </c>
      <c r="AF1309" s="0" t="s">
        <v>150</v>
      </c>
      <c r="AH1309" s="0" t="n">
        <v>14</v>
      </c>
      <c r="AI1309" s="0" t="n">
        <v>11</v>
      </c>
      <c r="AN1309" s="0" t="s">
        <v>146</v>
      </c>
      <c r="AO1309" s="0" t="s">
        <v>151</v>
      </c>
      <c r="AP1309" s="0" t="s">
        <v>152</v>
      </c>
      <c r="AQ1309" s="0" t="n">
        <v>9</v>
      </c>
      <c r="AR1309" s="0" t="n">
        <v>64</v>
      </c>
      <c r="AS1309" s="0" t="n">
        <v>32</v>
      </c>
      <c r="AU1309" s="0" t="n">
        <f aca="false">COUNTA($BA$1516:$EH$1516)</f>
        <v>32</v>
      </c>
      <c r="AV1309" s="0" t="n">
        <f aca="false">COUNTIF($BA$1516:$EH$1516,"D")</f>
        <v>8</v>
      </c>
      <c r="AW1309" s="0" t="n">
        <f aca="false">COUNTIF($BA$1516:$EH$1516,"R")</f>
        <v>0</v>
      </c>
      <c r="AX1309" s="0" t="n">
        <f aca="false"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>0</v>
      </c>
      <c r="AY1309" s="0" t="n">
        <f aca="false">COUNTIF(DU1309:EH1309, "&lt;&gt;")</f>
        <v>0</v>
      </c>
      <c r="AZ1309" s="0" t="n">
        <f aca="false">IF(EH1309&lt;&gt;"",1,0)</f>
        <v>0</v>
      </c>
      <c r="BB1309" s="0" t="s">
        <v>153</v>
      </c>
    </row>
    <row r="1310" customFormat="false" ht="13.8" hidden="true" customHeight="false" outlineLevel="0" collapsed="false">
      <c r="A1310" s="0" t="s">
        <v>6148</v>
      </c>
      <c r="B1310" s="0" t="n">
        <v>78</v>
      </c>
      <c r="C1310" s="0" t="n">
        <v>470745</v>
      </c>
      <c r="D1310" s="0" t="s">
        <v>1920</v>
      </c>
      <c r="E1310" s="0" t="s">
        <v>3181</v>
      </c>
      <c r="F1310" s="0" t="str">
        <f aca="false">CONCATENATE(D1310," ",LEFT(H1310,4),"T=",AU1310,"D=",AV1310,"R=",AW1310,"M=",AX1310,"L=",AY1310,"B=",AZ1310)</f>
        <v>KELLY T=1D=0R=0M=0L=0B=0</v>
      </c>
      <c r="G1310" s="0" t="s">
        <v>1374</v>
      </c>
      <c r="I1310" s="0" t="s">
        <v>6149</v>
      </c>
      <c r="J1310" s="0" t="s">
        <v>6150</v>
      </c>
      <c r="K1310" s="0" t="s">
        <v>175</v>
      </c>
      <c r="L1310" s="0"/>
      <c r="M1310" s="0" t="s">
        <v>6139</v>
      </c>
      <c r="N1310" s="0" t="str">
        <f aca="false">RIGHT(M1310,LEN(M1310)-FIND(" ",M1310))</f>
        <v>KINSMAN ST NW</v>
      </c>
      <c r="P1310" s="0" t="s">
        <v>146</v>
      </c>
      <c r="Q1310" s="0" t="s">
        <v>147</v>
      </c>
      <c r="R1310" s="0" t="n">
        <v>44483</v>
      </c>
      <c r="AD1310" s="0" t="s">
        <v>148</v>
      </c>
      <c r="AE1310" s="0" t="s">
        <v>149</v>
      </c>
      <c r="AF1310" s="0" t="s">
        <v>150</v>
      </c>
      <c r="AH1310" s="0" t="n">
        <v>14</v>
      </c>
      <c r="AI1310" s="0" t="n">
        <v>11</v>
      </c>
      <c r="AN1310" s="0" t="s">
        <v>146</v>
      </c>
      <c r="AO1310" s="0" t="s">
        <v>151</v>
      </c>
      <c r="AP1310" s="0" t="s">
        <v>152</v>
      </c>
      <c r="AQ1310" s="0" t="n">
        <v>9</v>
      </c>
      <c r="AR1310" s="0" t="n">
        <v>64</v>
      </c>
      <c r="AS1310" s="0" t="n">
        <v>32</v>
      </c>
      <c r="AU1310" s="0" t="n">
        <f aca="false">COUNTA($BA$1571:$EH$1571)</f>
        <v>1</v>
      </c>
      <c r="AV1310" s="0" t="n">
        <f aca="false">COUNTIF($BA$1571:$EH$1571,"D")</f>
        <v>0</v>
      </c>
      <c r="AW1310" s="0" t="n">
        <f aca="false">COUNTIF($BA$1571:$EH$1571,"R")</f>
        <v>0</v>
      </c>
      <c r="AX1310" s="0" t="n">
        <f aca="false"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>0</v>
      </c>
      <c r="AY1310" s="0" t="n">
        <f aca="false">COUNTIF(DU1310:EH1310, "&lt;&gt;")</f>
        <v>0</v>
      </c>
      <c r="AZ1310" s="0" t="n">
        <f aca="false">IF(EH1310&lt;&gt;"",1,0)</f>
        <v>0</v>
      </c>
      <c r="BB1310" s="0" t="s">
        <v>153</v>
      </c>
    </row>
    <row r="1311" customFormat="false" ht="13.8" hidden="true" customHeight="false" outlineLevel="0" collapsed="false">
      <c r="A1311" s="0" t="s">
        <v>6151</v>
      </c>
      <c r="B1311" s="0" t="n">
        <v>78</v>
      </c>
      <c r="C1311" s="0" t="n">
        <v>426374</v>
      </c>
      <c r="D1311" s="0" t="s">
        <v>6152</v>
      </c>
      <c r="E1311" s="0" t="s">
        <v>6153</v>
      </c>
      <c r="F1311" s="0" t="str">
        <f aca="false">CONCATENATE(D1311," ",LEFT(H1311,4),"T=",AU1311,"D=",AV1311,"R=",AW1311,"M=",AX1311,"L=",AY1311,"B=",AZ1311)</f>
        <v>HERAGHTY T=1D=0R=0M=0L=0B=0</v>
      </c>
      <c r="G1311" s="0" t="s">
        <v>939</v>
      </c>
      <c r="I1311" s="0" t="s">
        <v>6154</v>
      </c>
      <c r="J1311" s="0" t="s">
        <v>6155</v>
      </c>
      <c r="K1311" s="0" t="s">
        <v>144</v>
      </c>
      <c r="L1311" s="0"/>
      <c r="M1311" s="0" t="s">
        <v>6139</v>
      </c>
      <c r="N1311" s="0" t="str">
        <f aca="false">RIGHT(M1311,LEN(M1311)-FIND(" ",M1311))</f>
        <v>KINSMAN ST NW</v>
      </c>
      <c r="P1311" s="0" t="s">
        <v>146</v>
      </c>
      <c r="Q1311" s="0" t="s">
        <v>147</v>
      </c>
      <c r="R1311" s="0" t="n">
        <v>44483</v>
      </c>
      <c r="AD1311" s="0" t="s">
        <v>148</v>
      </c>
      <c r="AE1311" s="0" t="s">
        <v>149</v>
      </c>
      <c r="AF1311" s="0" t="s">
        <v>150</v>
      </c>
      <c r="AH1311" s="0" t="n">
        <v>14</v>
      </c>
      <c r="AI1311" s="0" t="n">
        <v>11</v>
      </c>
      <c r="AN1311" s="0" t="s">
        <v>146</v>
      </c>
      <c r="AO1311" s="0" t="s">
        <v>151</v>
      </c>
      <c r="AP1311" s="0" t="s">
        <v>152</v>
      </c>
      <c r="AQ1311" s="0" t="n">
        <v>9</v>
      </c>
      <c r="AR1311" s="0" t="n">
        <v>64</v>
      </c>
      <c r="AS1311" s="0" t="n">
        <v>32</v>
      </c>
      <c r="AU1311" s="0" t="n">
        <f aca="false">COUNTA($BA$1587:$EH$1587)</f>
        <v>1</v>
      </c>
      <c r="AV1311" s="0" t="n">
        <f aca="false">COUNTIF($BA$1587:$EH$1587,"D")</f>
        <v>0</v>
      </c>
      <c r="AW1311" s="0" t="n">
        <f aca="false">COUNTIF($BA$1587:$EH$1587,"R")</f>
        <v>0</v>
      </c>
      <c r="AX1311" s="0" t="n">
        <f aca="false"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>0</v>
      </c>
      <c r="AY1311" s="0" t="n">
        <f aca="false">COUNTIF(DU1311:EH1311, "&lt;&gt;")</f>
        <v>0</v>
      </c>
      <c r="AZ1311" s="0" t="n">
        <f aca="false">IF(EH1311&lt;&gt;"",1,0)</f>
        <v>0</v>
      </c>
      <c r="BB1311" s="0" t="s">
        <v>153</v>
      </c>
    </row>
    <row r="1312" customFormat="false" ht="13.8" hidden="true" customHeight="false" outlineLevel="0" collapsed="false">
      <c r="A1312" s="0" t="s">
        <v>6156</v>
      </c>
      <c r="B1312" s="0" t="n">
        <v>78</v>
      </c>
      <c r="C1312" s="0" t="n">
        <v>495582</v>
      </c>
      <c r="D1312" s="0" t="s">
        <v>2171</v>
      </c>
      <c r="E1312" s="0" t="s">
        <v>1991</v>
      </c>
      <c r="F1312" s="0" t="str">
        <f aca="false">CONCATENATE(D1312," ",LEFT(H1312,4),"T=",AU1312,"D=",AV1312,"R=",AW1312,"M=",AX1312,"L=",AY1312,"B=",AZ1312)</f>
        <v>MORRIS T=2D=0R=0M=0L=0B=0</v>
      </c>
      <c r="G1312" s="0" t="s">
        <v>172</v>
      </c>
      <c r="I1312" s="0" t="s">
        <v>6157</v>
      </c>
      <c r="J1312" s="0" t="s">
        <v>6158</v>
      </c>
      <c r="K1312" s="0" t="s">
        <v>175</v>
      </c>
      <c r="L1312" s="0"/>
      <c r="M1312" s="0" t="s">
        <v>6139</v>
      </c>
      <c r="N1312" s="0" t="str">
        <f aca="false">RIGHT(M1312,LEN(M1312)-FIND(" ",M1312))</f>
        <v>KINSMAN ST NW</v>
      </c>
      <c r="P1312" s="0" t="s">
        <v>146</v>
      </c>
      <c r="Q1312" s="0" t="s">
        <v>147</v>
      </c>
      <c r="R1312" s="0" t="n">
        <v>44483</v>
      </c>
      <c r="AD1312" s="0" t="s">
        <v>148</v>
      </c>
      <c r="AE1312" s="0" t="s">
        <v>149</v>
      </c>
      <c r="AF1312" s="0" t="s">
        <v>150</v>
      </c>
      <c r="AH1312" s="0" t="n">
        <v>14</v>
      </c>
      <c r="AI1312" s="0" t="n">
        <v>11</v>
      </c>
      <c r="AN1312" s="0" t="s">
        <v>146</v>
      </c>
      <c r="AO1312" s="0" t="s">
        <v>151</v>
      </c>
      <c r="AP1312" s="0" t="s">
        <v>152</v>
      </c>
      <c r="AQ1312" s="0" t="n">
        <v>9</v>
      </c>
      <c r="AR1312" s="0" t="n">
        <v>64</v>
      </c>
      <c r="AS1312" s="0" t="n">
        <v>32</v>
      </c>
      <c r="AU1312" s="0" t="n">
        <f aca="false">COUNTA($BA$1612:$EH$1612)</f>
        <v>2</v>
      </c>
      <c r="AV1312" s="0" t="n">
        <f aca="false">COUNTIF($BA$1612:$EH$1612,"D")</f>
        <v>0</v>
      </c>
      <c r="AW1312" s="0" t="n">
        <f aca="false">COUNTIF($BA$1612:$EH$1612,"R")</f>
        <v>0</v>
      </c>
      <c r="AX1312" s="0" t="n">
        <f aca="false"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>0</v>
      </c>
      <c r="AY1312" s="0" t="n">
        <f aca="false">COUNTIF(DU1312:EH1312, "&lt;&gt;")</f>
        <v>0</v>
      </c>
      <c r="AZ1312" s="0" t="n">
        <f aca="false">IF(EH1312&lt;&gt;"",1,0)</f>
        <v>0</v>
      </c>
      <c r="BB1312" s="0" t="s">
        <v>153</v>
      </c>
      <c r="BL1312" s="0" t="s">
        <v>154</v>
      </c>
      <c r="CP1312" s="0" t="s">
        <v>154</v>
      </c>
    </row>
    <row r="1313" customFormat="false" ht="13.8" hidden="true" customHeight="false" outlineLevel="0" collapsed="false">
      <c r="A1313" s="0" t="s">
        <v>6159</v>
      </c>
      <c r="B1313" s="0" t="n">
        <v>78</v>
      </c>
      <c r="C1313" s="0" t="n">
        <v>494979</v>
      </c>
      <c r="D1313" s="0" t="s">
        <v>6160</v>
      </c>
      <c r="E1313" s="0" t="s">
        <v>2121</v>
      </c>
      <c r="F1313" s="0" t="str">
        <f aca="false">CONCATENATE(D1313," ",LEFT(H1313,4),"T=",AU1313,"D=",AV1313,"R=",AW1313,"M=",AX1313,"L=",AY1313,"B=",AZ1313)</f>
        <v>FETTY T=1D=0R=0M=0L=0B=0</v>
      </c>
      <c r="G1313" s="0" t="s">
        <v>155</v>
      </c>
      <c r="I1313" s="0" t="s">
        <v>6161</v>
      </c>
      <c r="J1313" s="0" t="s">
        <v>6162</v>
      </c>
      <c r="K1313" s="0" t="s">
        <v>175</v>
      </c>
      <c r="L1313" s="0"/>
      <c r="M1313" s="0" t="s">
        <v>6139</v>
      </c>
      <c r="N1313" s="0" t="str">
        <f aca="false">RIGHT(M1313,LEN(M1313)-FIND(" ",M1313))</f>
        <v>KINSMAN ST NW</v>
      </c>
      <c r="P1313" s="0" t="s">
        <v>146</v>
      </c>
      <c r="Q1313" s="0" t="s">
        <v>147</v>
      </c>
      <c r="R1313" s="0" t="n">
        <v>44483</v>
      </c>
      <c r="AD1313" s="0" t="s">
        <v>148</v>
      </c>
      <c r="AE1313" s="0" t="s">
        <v>149</v>
      </c>
      <c r="AF1313" s="0" t="s">
        <v>150</v>
      </c>
      <c r="AH1313" s="0" t="n">
        <v>14</v>
      </c>
      <c r="AI1313" s="0" t="n">
        <v>11</v>
      </c>
      <c r="AN1313" s="0" t="s">
        <v>146</v>
      </c>
      <c r="AO1313" s="0" t="s">
        <v>151</v>
      </c>
      <c r="AP1313" s="0" t="s">
        <v>152</v>
      </c>
      <c r="AQ1313" s="0" t="n">
        <v>9</v>
      </c>
      <c r="AR1313" s="0" t="n">
        <v>64</v>
      </c>
      <c r="AS1313" s="0" t="n">
        <v>32</v>
      </c>
      <c r="AU1313" s="0" t="n">
        <f aca="false">COUNTA($BA$1621:$EH$1621)</f>
        <v>1</v>
      </c>
      <c r="AV1313" s="0" t="n">
        <f aca="false">COUNTIF($BA$1621:$EH$1621,"D")</f>
        <v>0</v>
      </c>
      <c r="AW1313" s="0" t="n">
        <f aca="false">COUNTIF($BA$1621:$EH$1621,"R")</f>
        <v>0</v>
      </c>
      <c r="AX1313" s="0" t="n">
        <f aca="false"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>0</v>
      </c>
      <c r="AY1313" s="0" t="n">
        <f aca="false">COUNTIF(DU1313:EH1313, "&lt;&gt;")</f>
        <v>0</v>
      </c>
      <c r="AZ1313" s="0" t="n">
        <f aca="false">IF(EH1313&lt;&gt;"",1,0)</f>
        <v>0</v>
      </c>
      <c r="BB1313" s="0" t="s">
        <v>153</v>
      </c>
    </row>
    <row r="1314" customFormat="false" ht="13.8" hidden="true" customHeight="false" outlineLevel="0" collapsed="false">
      <c r="A1314" s="0" t="s">
        <v>6163</v>
      </c>
      <c r="B1314" s="0" t="n">
        <v>78</v>
      </c>
      <c r="C1314" s="0" t="n">
        <v>320435</v>
      </c>
      <c r="D1314" s="0" t="s">
        <v>6164</v>
      </c>
      <c r="E1314" s="0" t="s">
        <v>750</v>
      </c>
      <c r="F1314" s="0" t="str">
        <f aca="false">CONCATENATE(D1314," ",LEFT(H1314,4),"T=",AU1314,"D=",AV1314,"R=",AW1314,"M=",AX1314,"L=",AY1314,"B=",AZ1314)</f>
        <v>RUSSO T=1D=0R=0M=0L=0B=0</v>
      </c>
      <c r="G1314" s="0" t="s">
        <v>172</v>
      </c>
      <c r="I1314" s="0" t="s">
        <v>6165</v>
      </c>
      <c r="J1314" s="0" t="s">
        <v>342</v>
      </c>
      <c r="K1314" s="0" t="s">
        <v>144</v>
      </c>
      <c r="L1314" s="0"/>
      <c r="M1314" s="0" t="s">
        <v>6139</v>
      </c>
      <c r="N1314" s="0" t="str">
        <f aca="false">RIGHT(M1314,LEN(M1314)-FIND(" ",M1314))</f>
        <v>KINSMAN ST NW</v>
      </c>
      <c r="P1314" s="0" t="s">
        <v>146</v>
      </c>
      <c r="Q1314" s="0" t="s">
        <v>147</v>
      </c>
      <c r="R1314" s="0" t="n">
        <v>44483</v>
      </c>
      <c r="AD1314" s="0" t="s">
        <v>148</v>
      </c>
      <c r="AE1314" s="0" t="s">
        <v>149</v>
      </c>
      <c r="AF1314" s="0" t="s">
        <v>150</v>
      </c>
      <c r="AH1314" s="0" t="n">
        <v>14</v>
      </c>
      <c r="AI1314" s="0" t="n">
        <v>11</v>
      </c>
      <c r="AN1314" s="0" t="s">
        <v>146</v>
      </c>
      <c r="AO1314" s="0" t="s">
        <v>151</v>
      </c>
      <c r="AP1314" s="0" t="s">
        <v>152</v>
      </c>
      <c r="AQ1314" s="0" t="n">
        <v>9</v>
      </c>
      <c r="AR1314" s="0" t="n">
        <v>64</v>
      </c>
      <c r="AS1314" s="0" t="n">
        <v>32</v>
      </c>
      <c r="AU1314" s="0" t="n">
        <f aca="false">COUNTA($BA$1715:$EH$1715)</f>
        <v>1</v>
      </c>
      <c r="AV1314" s="0" t="n">
        <f aca="false">COUNTIF($BA$1715:$EH$1715,"D")</f>
        <v>0</v>
      </c>
      <c r="AW1314" s="0" t="n">
        <f aca="false">COUNTIF($BA$1715:$EH$1715,"R")</f>
        <v>0</v>
      </c>
      <c r="AX1314" s="0" t="n">
        <f aca="false"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>0</v>
      </c>
      <c r="AY1314" s="0" t="n">
        <f aca="false">COUNTIF(DU1314:EH1314, "&lt;&gt;")</f>
        <v>0</v>
      </c>
      <c r="AZ1314" s="0" t="n">
        <f aca="false">IF(EH1314&lt;&gt;"",1,0)</f>
        <v>0</v>
      </c>
      <c r="BB1314" s="0" t="s">
        <v>153</v>
      </c>
      <c r="CZ1314" s="0" t="s">
        <v>155</v>
      </c>
    </row>
    <row r="1315" customFormat="false" ht="13.8" hidden="true" customHeight="false" outlineLevel="0" collapsed="false">
      <c r="A1315" s="0" t="s">
        <v>6166</v>
      </c>
      <c r="B1315" s="0" t="n">
        <v>78</v>
      </c>
      <c r="C1315" s="0" t="n">
        <v>483663</v>
      </c>
      <c r="D1315" s="0" t="s">
        <v>6167</v>
      </c>
      <c r="E1315" s="0" t="s">
        <v>1893</v>
      </c>
      <c r="F1315" s="0" t="str">
        <f aca="false">CONCATENATE(D1315," ",LEFT(H1315,4),"T=",AU1315,"D=",AV1315,"R=",AW1315,"M=",AX1315,"L=",AY1315,"B=",AZ1315)</f>
        <v>GODDARD T=1D=0R=0M=0L=0B=0</v>
      </c>
      <c r="G1315" s="0" t="s">
        <v>429</v>
      </c>
      <c r="I1315" s="0" t="s">
        <v>6168</v>
      </c>
      <c r="J1315" s="0" t="s">
        <v>6169</v>
      </c>
      <c r="K1315" s="0" t="s">
        <v>175</v>
      </c>
      <c r="L1315" s="0"/>
      <c r="M1315" s="0" t="s">
        <v>6139</v>
      </c>
      <c r="N1315" s="0" t="str">
        <f aca="false">RIGHT(M1315,LEN(M1315)-FIND(" ",M1315))</f>
        <v>KINSMAN ST NW</v>
      </c>
      <c r="P1315" s="0" t="s">
        <v>146</v>
      </c>
      <c r="Q1315" s="0" t="s">
        <v>147</v>
      </c>
      <c r="R1315" s="0" t="n">
        <v>44483</v>
      </c>
      <c r="AD1315" s="0" t="s">
        <v>148</v>
      </c>
      <c r="AE1315" s="0" t="s">
        <v>149</v>
      </c>
      <c r="AF1315" s="0" t="s">
        <v>150</v>
      </c>
      <c r="AH1315" s="0" t="n">
        <v>14</v>
      </c>
      <c r="AI1315" s="0" t="n">
        <v>11</v>
      </c>
      <c r="AN1315" s="0" t="s">
        <v>146</v>
      </c>
      <c r="AO1315" s="0" t="s">
        <v>151</v>
      </c>
      <c r="AP1315" s="0" t="s">
        <v>152</v>
      </c>
      <c r="AQ1315" s="0" t="n">
        <v>9</v>
      </c>
      <c r="AR1315" s="0" t="n">
        <v>64</v>
      </c>
      <c r="AS1315" s="0" t="n">
        <v>32</v>
      </c>
      <c r="AU1315" s="0" t="n">
        <f aca="false">COUNTA($BA$1933:$EH$1933)</f>
        <v>1</v>
      </c>
      <c r="AV1315" s="0" t="n">
        <f aca="false">COUNTIF($BA$1933:$EH$1933,"D")</f>
        <v>0</v>
      </c>
      <c r="AW1315" s="0" t="n">
        <f aca="false">COUNTIF($BA$1933:$EH$1933,"R")</f>
        <v>0</v>
      </c>
      <c r="AX1315" s="0" t="n">
        <f aca="false"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>0</v>
      </c>
      <c r="AY1315" s="0" t="n">
        <f aca="false">COUNTIF(DU1315:EH1315, "&lt;&gt;")</f>
        <v>0</v>
      </c>
      <c r="AZ1315" s="0" t="n">
        <f aca="false">IF(EH1315&lt;&gt;"",1,0)</f>
        <v>0</v>
      </c>
      <c r="BB1315" s="0" t="s">
        <v>153</v>
      </c>
    </row>
    <row r="1316" customFormat="false" ht="13.8" hidden="true" customHeight="false" outlineLevel="0" collapsed="false">
      <c r="A1316" s="0" t="s">
        <v>6170</v>
      </c>
      <c r="B1316" s="0" t="n">
        <v>78</v>
      </c>
      <c r="C1316" s="0" t="n">
        <v>367651</v>
      </c>
      <c r="D1316" s="0" t="s">
        <v>6171</v>
      </c>
      <c r="E1316" s="0" t="s">
        <v>1117</v>
      </c>
      <c r="F1316" s="0" t="str">
        <f aca="false">CONCATENATE(D1316," ",LEFT(H1316,4),"T=",AU1316,"D=",AV1316,"R=",AW1316,"M=",AX1316,"L=",AY1316,"B=",AZ1316)</f>
        <v>HAINES T=7D=1R=0M=0L=0B=0</v>
      </c>
      <c r="I1316" s="0" t="s">
        <v>6172</v>
      </c>
      <c r="J1316" s="0" t="s">
        <v>6173</v>
      </c>
      <c r="K1316" s="0" t="s">
        <v>144</v>
      </c>
      <c r="L1316" s="0"/>
      <c r="M1316" s="0" t="s">
        <v>6139</v>
      </c>
      <c r="N1316" s="0" t="str">
        <f aca="false">RIGHT(M1316,LEN(M1316)-FIND(" ",M1316))</f>
        <v>KINSMAN ST NW</v>
      </c>
      <c r="P1316" s="0" t="s">
        <v>146</v>
      </c>
      <c r="Q1316" s="0" t="s">
        <v>147</v>
      </c>
      <c r="R1316" s="0" t="n">
        <v>44483</v>
      </c>
      <c r="AD1316" s="0" t="s">
        <v>148</v>
      </c>
      <c r="AE1316" s="0" t="s">
        <v>149</v>
      </c>
      <c r="AF1316" s="0" t="s">
        <v>150</v>
      </c>
      <c r="AH1316" s="0" t="n">
        <v>14</v>
      </c>
      <c r="AI1316" s="0" t="n">
        <v>11</v>
      </c>
      <c r="AN1316" s="0" t="s">
        <v>146</v>
      </c>
      <c r="AO1316" s="0" t="s">
        <v>151</v>
      </c>
      <c r="AP1316" s="0" t="s">
        <v>152</v>
      </c>
      <c r="AQ1316" s="0" t="n">
        <v>9</v>
      </c>
      <c r="AR1316" s="0" t="n">
        <v>64</v>
      </c>
      <c r="AS1316" s="0" t="n">
        <v>32</v>
      </c>
      <c r="AU1316" s="0" t="n">
        <f aca="false">COUNTA($BA$1952:$EH$1952)</f>
        <v>7</v>
      </c>
      <c r="AV1316" s="0" t="n">
        <f aca="false">COUNTIF($BA$1952:$EH$1952,"D")</f>
        <v>1</v>
      </c>
      <c r="AW1316" s="0" t="n">
        <f aca="false">COUNTIF($BA$1952:$EH$1952,"R")</f>
        <v>0</v>
      </c>
      <c r="AX1316" s="0" t="n">
        <f aca="false"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>0</v>
      </c>
      <c r="AY1316" s="0" t="n">
        <f aca="false">COUNTIF(DU1316:EH1316, "&lt;&gt;")</f>
        <v>0</v>
      </c>
      <c r="AZ1316" s="0" t="n">
        <f aca="false">IF(EH1316&lt;&gt;"",1,0)</f>
        <v>0</v>
      </c>
      <c r="BB1316" s="0" t="s">
        <v>153</v>
      </c>
    </row>
    <row r="1317" customFormat="false" ht="13.8" hidden="false" customHeight="false" outlineLevel="0" collapsed="false">
      <c r="A1317" s="0" t="s">
        <v>6174</v>
      </c>
      <c r="B1317" s="0" t="n">
        <v>78</v>
      </c>
      <c r="C1317" s="0" t="n">
        <v>255632</v>
      </c>
      <c r="D1317" s="0" t="s">
        <v>6175</v>
      </c>
      <c r="E1317" s="0" t="s">
        <v>5853</v>
      </c>
      <c r="F1317" s="0" t="str">
        <f aca="false">CONCATENATE(D1317," ",LEFT(H1317,4),"T=",AU1317,"D=",AV1317,"R=",AW1317,"M=",AX1317,"L=",AY1317,"B=",AZ1317)</f>
        <v>TYNES T=2D=0R=0M=1L=5B=0</v>
      </c>
      <c r="I1317" s="0" t="s">
        <v>6176</v>
      </c>
      <c r="J1317" s="0" t="s">
        <v>6177</v>
      </c>
      <c r="K1317" s="0" t="s">
        <v>175</v>
      </c>
      <c r="L1317" s="1" t="s">
        <v>155</v>
      </c>
      <c r="M1317" s="0" t="s">
        <v>6178</v>
      </c>
      <c r="N1317" s="0" t="str">
        <f aca="false">RIGHT(M1317,LEN(M1317)-FIND(" ",M1317))</f>
        <v>KINSMAN ST NW</v>
      </c>
      <c r="P1317" s="0" t="s">
        <v>146</v>
      </c>
      <c r="Q1317" s="0" t="s">
        <v>147</v>
      </c>
      <c r="R1317" s="0" t="n">
        <v>44483</v>
      </c>
      <c r="AD1317" s="0" t="s">
        <v>148</v>
      </c>
      <c r="AE1317" s="0" t="s">
        <v>149</v>
      </c>
      <c r="AF1317" s="0" t="s">
        <v>150</v>
      </c>
      <c r="AH1317" s="0" t="n">
        <v>14</v>
      </c>
      <c r="AI1317" s="0" t="n">
        <v>11</v>
      </c>
      <c r="AN1317" s="0" t="s">
        <v>146</v>
      </c>
      <c r="AO1317" s="0" t="s">
        <v>151</v>
      </c>
      <c r="AP1317" s="0" t="s">
        <v>152</v>
      </c>
      <c r="AQ1317" s="0" t="n">
        <v>9</v>
      </c>
      <c r="AR1317" s="0" t="n">
        <v>64</v>
      </c>
      <c r="AS1317" s="0" t="n">
        <v>32</v>
      </c>
      <c r="AU1317" s="0" t="n">
        <f aca="false">COUNTA($BA$1579:$EH$1579)</f>
        <v>2</v>
      </c>
      <c r="AV1317" s="0" t="n">
        <f aca="false">COUNTIF($BA$1579:$EH$1579,"D")</f>
        <v>0</v>
      </c>
      <c r="AW1317" s="0" t="n">
        <f aca="false">COUNTIF($BA$1579:$EH$1579,"R")</f>
        <v>0</v>
      </c>
      <c r="AX1317" s="0" t="n">
        <f aca="false"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>1</v>
      </c>
      <c r="AY1317" s="0" t="n">
        <f aca="false">COUNTIF(DU1317:EH1317, "&lt;&gt;")</f>
        <v>5</v>
      </c>
      <c r="AZ1317" s="0" t="n">
        <f aca="false">IF(EH1317&lt;&gt;"",1,0)</f>
        <v>0</v>
      </c>
      <c r="BB1317" s="0" t="s">
        <v>153</v>
      </c>
      <c r="BC1317" s="0" t="s">
        <v>154</v>
      </c>
      <c r="BD1317" s="0" t="s">
        <v>154</v>
      </c>
      <c r="BH1317" s="0" t="s">
        <v>154</v>
      </c>
      <c r="BI1317" s="0" t="s">
        <v>154</v>
      </c>
      <c r="BJ1317" s="0" t="s">
        <v>154</v>
      </c>
      <c r="BK1317" s="0" t="s">
        <v>154</v>
      </c>
      <c r="BL1317" s="0" t="s">
        <v>154</v>
      </c>
      <c r="CA1317" s="0" t="s">
        <v>154</v>
      </c>
      <c r="CK1317" s="0" t="s">
        <v>154</v>
      </c>
      <c r="CN1317" s="0" t="s">
        <v>154</v>
      </c>
      <c r="CP1317" s="0" t="s">
        <v>154</v>
      </c>
      <c r="CV1317" s="0" t="s">
        <v>154</v>
      </c>
      <c r="CW1317" s="0" t="s">
        <v>155</v>
      </c>
      <c r="DC1317" s="0" t="s">
        <v>154</v>
      </c>
      <c r="DG1317" s="0" t="s">
        <v>155</v>
      </c>
      <c r="DN1317" s="0" t="s">
        <v>154</v>
      </c>
      <c r="DS1317" s="0" t="s">
        <v>155</v>
      </c>
      <c r="DU1317" s="0" t="s">
        <v>154</v>
      </c>
      <c r="DX1317" s="0" t="s">
        <v>154</v>
      </c>
      <c r="EA1317" s="0" t="s">
        <v>154</v>
      </c>
      <c r="ED1317" s="0" t="s">
        <v>155</v>
      </c>
      <c r="EF1317" s="0" t="s">
        <v>154</v>
      </c>
    </row>
    <row r="1318" customFormat="false" ht="13.8" hidden="true" customHeight="false" outlineLevel="0" collapsed="false">
      <c r="A1318" s="0" t="s">
        <v>6179</v>
      </c>
      <c r="B1318" s="0" t="n">
        <v>78</v>
      </c>
      <c r="C1318" s="0" t="n">
        <v>473844</v>
      </c>
      <c r="D1318" s="0" t="s">
        <v>6180</v>
      </c>
      <c r="E1318" s="0" t="s">
        <v>6181</v>
      </c>
      <c r="F1318" s="0" t="str">
        <f aca="false">CONCATENATE(D1318," ",LEFT(H1318,4),"T=",AU1318,"D=",AV1318,"R=",AW1318,"M=",AX1318,"L=",AY1318,"B=",AZ1318)</f>
        <v>MANKOWSKI T=4D=1R=0M=0L=0B=0</v>
      </c>
      <c r="G1318" s="0" t="s">
        <v>1068</v>
      </c>
      <c r="I1318" s="0" t="s">
        <v>6182</v>
      </c>
      <c r="J1318" s="0" t="s">
        <v>6183</v>
      </c>
      <c r="K1318" s="0" t="s">
        <v>175</v>
      </c>
      <c r="L1318" s="0"/>
      <c r="M1318" s="0" t="s">
        <v>6184</v>
      </c>
      <c r="N1318" s="0" t="str">
        <f aca="false">RIGHT(M1318,LEN(M1318)-FIND(" ",M1318))</f>
        <v>KINSMAN ST NW</v>
      </c>
      <c r="P1318" s="0" t="s">
        <v>146</v>
      </c>
      <c r="Q1318" s="0" t="s">
        <v>147</v>
      </c>
      <c r="R1318" s="0" t="n">
        <v>44483</v>
      </c>
      <c r="AD1318" s="0" t="s">
        <v>148</v>
      </c>
      <c r="AE1318" s="0" t="s">
        <v>149</v>
      </c>
      <c r="AF1318" s="0" t="s">
        <v>150</v>
      </c>
      <c r="AH1318" s="0" t="n">
        <v>14</v>
      </c>
      <c r="AI1318" s="0" t="n">
        <v>11</v>
      </c>
      <c r="AN1318" s="0" t="s">
        <v>146</v>
      </c>
      <c r="AO1318" s="0" t="s">
        <v>151</v>
      </c>
      <c r="AP1318" s="0" t="s">
        <v>152</v>
      </c>
      <c r="AQ1318" s="0" t="n">
        <v>9</v>
      </c>
      <c r="AR1318" s="0" t="n">
        <v>64</v>
      </c>
      <c r="AS1318" s="0" t="n">
        <v>32</v>
      </c>
      <c r="AU1318" s="0" t="n">
        <f aca="false">COUNTA($BA$1127:$EH$1127)</f>
        <v>4</v>
      </c>
      <c r="AV1318" s="0" t="n">
        <f aca="false">COUNTIF($BA$1127:$EH$1127,"D")</f>
        <v>1</v>
      </c>
      <c r="AW1318" s="0" t="n">
        <f aca="false">COUNTIF($BA$1127:$EH$1127,"R")</f>
        <v>0</v>
      </c>
      <c r="AX1318" s="0" t="n">
        <f aca="false"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>0</v>
      </c>
      <c r="AY1318" s="0" t="n">
        <f aca="false">COUNTIF(DU1318:EH1318, "&lt;&gt;")</f>
        <v>0</v>
      </c>
      <c r="AZ1318" s="0" t="n">
        <f aca="false">IF(EH1318&lt;&gt;"",1,0)</f>
        <v>0</v>
      </c>
      <c r="BB1318" s="0" t="s">
        <v>153</v>
      </c>
      <c r="BD1318" s="0" t="s">
        <v>154</v>
      </c>
    </row>
    <row r="1319" customFormat="false" ht="13.8" hidden="true" customHeight="false" outlineLevel="0" collapsed="false">
      <c r="A1319" s="0" t="s">
        <v>6185</v>
      </c>
      <c r="B1319" s="0" t="n">
        <v>78</v>
      </c>
      <c r="C1319" s="0" t="n">
        <v>303787</v>
      </c>
      <c r="D1319" s="0" t="s">
        <v>6186</v>
      </c>
      <c r="E1319" s="0" t="s">
        <v>1374</v>
      </c>
      <c r="F1319" s="0" t="str">
        <f aca="false">CONCATENATE(D1319," ",LEFT(H1319,4),"T=",AU1319,"D=",AV1319,"R=",AW1319,"M=",AX1319,"L=",AY1319,"B=",AZ1319)</f>
        <v>ZANGARA T=1D=0R=0M=0L=0B=0</v>
      </c>
      <c r="G1319" s="0" t="s">
        <v>172</v>
      </c>
      <c r="I1319" s="0" t="s">
        <v>6187</v>
      </c>
      <c r="J1319" s="0" t="s">
        <v>6188</v>
      </c>
      <c r="K1319" s="0" t="s">
        <v>144</v>
      </c>
      <c r="L1319" s="0"/>
      <c r="M1319" s="0" t="s">
        <v>6184</v>
      </c>
      <c r="N1319" s="0" t="str">
        <f aca="false">RIGHT(M1319,LEN(M1319)-FIND(" ",M1319))</f>
        <v>KINSMAN ST NW</v>
      </c>
      <c r="P1319" s="0" t="s">
        <v>146</v>
      </c>
      <c r="Q1319" s="0" t="s">
        <v>147</v>
      </c>
      <c r="R1319" s="0" t="n">
        <v>44483</v>
      </c>
      <c r="AD1319" s="0" t="s">
        <v>148</v>
      </c>
      <c r="AE1319" s="0" t="s">
        <v>149</v>
      </c>
      <c r="AF1319" s="0" t="s">
        <v>150</v>
      </c>
      <c r="AH1319" s="0" t="n">
        <v>14</v>
      </c>
      <c r="AI1319" s="0" t="n">
        <v>11</v>
      </c>
      <c r="AN1319" s="0" t="s">
        <v>146</v>
      </c>
      <c r="AO1319" s="0" t="s">
        <v>151</v>
      </c>
      <c r="AP1319" s="0" t="s">
        <v>152</v>
      </c>
      <c r="AQ1319" s="0" t="n">
        <v>9</v>
      </c>
      <c r="AR1319" s="0" t="n">
        <v>64</v>
      </c>
      <c r="AS1319" s="0" t="n">
        <v>32</v>
      </c>
      <c r="AU1319" s="0" t="n">
        <f aca="false">COUNTA($BA$2007:$EH$2007)</f>
        <v>1</v>
      </c>
      <c r="AV1319" s="0" t="n">
        <f aca="false">COUNTIF($BA$2007:$EH$2007,"D")</f>
        <v>0</v>
      </c>
      <c r="AW1319" s="0" t="n">
        <f aca="false">COUNTIF($BA$2007:$EH$2007,"R")</f>
        <v>0</v>
      </c>
      <c r="AX1319" s="0" t="n">
        <f aca="false"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>0</v>
      </c>
      <c r="AY1319" s="0" t="n">
        <f aca="false">COUNTIF(DU1319:EH1319, "&lt;&gt;")</f>
        <v>0</v>
      </c>
      <c r="AZ1319" s="0" t="n">
        <f aca="false">IF(EH1319&lt;&gt;"",1,0)</f>
        <v>0</v>
      </c>
      <c r="BB1319" s="0" t="s">
        <v>153</v>
      </c>
      <c r="CZ1319" s="0" t="s">
        <v>155</v>
      </c>
      <c r="DC1319" s="0" t="s">
        <v>154</v>
      </c>
    </row>
    <row r="1320" customFormat="false" ht="13.8" hidden="false" customHeight="false" outlineLevel="0" collapsed="false">
      <c r="A1320" s="0" t="s">
        <v>6189</v>
      </c>
      <c r="B1320" s="0" t="n">
        <v>78</v>
      </c>
      <c r="C1320" s="0" t="n">
        <v>300125</v>
      </c>
      <c r="D1320" s="0" t="s">
        <v>6190</v>
      </c>
      <c r="E1320" s="0" t="s">
        <v>2236</v>
      </c>
      <c r="F1320" s="0" t="str">
        <f aca="false">CONCATENATE(D1320," ",LEFT(H1320,4),"T=",AU1320,"D=",AV1320,"R=",AW1320,"M=",AX1320,"L=",AY1320,"B=",AZ1320)</f>
        <v>LEIS T=1D=0R=0M=0L=4B=0</v>
      </c>
      <c r="I1320" s="0" t="s">
        <v>6191</v>
      </c>
      <c r="J1320" s="0" t="s">
        <v>6192</v>
      </c>
      <c r="K1320" s="0" t="s">
        <v>175</v>
      </c>
      <c r="L1320" s="1" t="s">
        <v>176</v>
      </c>
      <c r="M1320" s="0" t="s">
        <v>6193</v>
      </c>
      <c r="N1320" s="0" t="str">
        <f aca="false">RIGHT(M1320,LEN(M1320)-FIND(" ",M1320))</f>
        <v>KINSMAN ST NW</v>
      </c>
      <c r="P1320" s="0" t="s">
        <v>146</v>
      </c>
      <c r="Q1320" s="0" t="s">
        <v>147</v>
      </c>
      <c r="R1320" s="0" t="n">
        <v>44483</v>
      </c>
      <c r="AD1320" s="0" t="s">
        <v>148</v>
      </c>
      <c r="AE1320" s="0" t="s">
        <v>149</v>
      </c>
      <c r="AF1320" s="0" t="s">
        <v>150</v>
      </c>
      <c r="AH1320" s="0" t="n">
        <v>14</v>
      </c>
      <c r="AI1320" s="0" t="n">
        <v>11</v>
      </c>
      <c r="AN1320" s="0" t="s">
        <v>146</v>
      </c>
      <c r="AO1320" s="0" t="s">
        <v>151</v>
      </c>
      <c r="AP1320" s="0" t="s">
        <v>152</v>
      </c>
      <c r="AQ1320" s="0" t="n">
        <v>9</v>
      </c>
      <c r="AR1320" s="0" t="n">
        <v>64</v>
      </c>
      <c r="AS1320" s="0" t="n">
        <v>32</v>
      </c>
      <c r="AU1320" s="0" t="n">
        <f aca="false">COUNTA($BA$1544:$EH$1544)</f>
        <v>1</v>
      </c>
      <c r="AV1320" s="0" t="n">
        <f aca="false">COUNTIF($BA$1544:$EH$1544,"D")</f>
        <v>0</v>
      </c>
      <c r="AW1320" s="0" t="n">
        <f aca="false">COUNTIF($BA$1544:$EH$1544,"R")</f>
        <v>0</v>
      </c>
      <c r="AX1320" s="0" t="n">
        <f aca="false"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>0</v>
      </c>
      <c r="AY1320" s="0" t="n">
        <f aca="false">COUNTIF(DU1320:EH1320, "&lt;&gt;")</f>
        <v>4</v>
      </c>
      <c r="AZ1320" s="0" t="n">
        <f aca="false">IF(EH1320&lt;&gt;"",1,0)</f>
        <v>0</v>
      </c>
      <c r="BB1320" s="0" t="s">
        <v>153</v>
      </c>
      <c r="BD1320" s="0" t="s">
        <v>154</v>
      </c>
      <c r="BE1320" s="0" t="s">
        <v>154</v>
      </c>
      <c r="BH1320" s="0" t="s">
        <v>154</v>
      </c>
      <c r="BK1320" s="0" t="s">
        <v>154</v>
      </c>
      <c r="BL1320" s="0" t="s">
        <v>154</v>
      </c>
      <c r="BP1320" s="0" t="s">
        <v>154</v>
      </c>
      <c r="BR1320" s="0" t="s">
        <v>154</v>
      </c>
      <c r="BS1320" s="0" t="s">
        <v>154</v>
      </c>
      <c r="BV1320" s="0" t="s">
        <v>154</v>
      </c>
      <c r="BY1320" s="0" t="s">
        <v>155</v>
      </c>
      <c r="CA1320" s="0" t="s">
        <v>154</v>
      </c>
      <c r="CG1320" s="0" t="s">
        <v>154</v>
      </c>
      <c r="CK1320" s="0" t="s">
        <v>154</v>
      </c>
      <c r="CN1320" s="0" t="s">
        <v>154</v>
      </c>
      <c r="CP1320" s="0" t="s">
        <v>154</v>
      </c>
      <c r="CV1320" s="0" t="s">
        <v>154</v>
      </c>
      <c r="CY1320" s="0" t="s">
        <v>154</v>
      </c>
      <c r="CZ1320" s="0" t="s">
        <v>176</v>
      </c>
      <c r="DC1320" s="0" t="s">
        <v>154</v>
      </c>
      <c r="DG1320" s="0" t="s">
        <v>176</v>
      </c>
      <c r="DI1320" s="0" t="s">
        <v>154</v>
      </c>
      <c r="DN1320" s="0" t="s">
        <v>154</v>
      </c>
      <c r="DS1320" s="0" t="s">
        <v>176</v>
      </c>
      <c r="DU1320" s="0" t="s">
        <v>154</v>
      </c>
      <c r="DX1320" s="0" t="s">
        <v>154</v>
      </c>
      <c r="EA1320" s="0" t="s">
        <v>154</v>
      </c>
      <c r="EF1320" s="0" t="s">
        <v>154</v>
      </c>
    </row>
    <row r="1321" customFormat="false" ht="13.8" hidden="false" customHeight="false" outlineLevel="0" collapsed="false">
      <c r="A1321" s="0" t="s">
        <v>6194</v>
      </c>
      <c r="B1321" s="0" t="n">
        <v>78</v>
      </c>
      <c r="C1321" s="0" t="n">
        <v>162855</v>
      </c>
      <c r="D1321" s="0" t="s">
        <v>3176</v>
      </c>
      <c r="E1321" s="0" t="s">
        <v>3181</v>
      </c>
      <c r="F1321" s="0" t="str">
        <f aca="false">CONCATENATE(D1321," ",LEFT(H1321,4),"T=",AU1321,"D=",AV1321,"R=",AW1321,"M=",AX1321,"L=",AY1321,"B=",AZ1321)</f>
        <v>NEAL JRT=4D=1R=0M=1L=4B=0</v>
      </c>
      <c r="H1321" s="0" t="s">
        <v>431</v>
      </c>
      <c r="I1321" s="0" t="s">
        <v>6195</v>
      </c>
      <c r="J1321" s="0" t="s">
        <v>6196</v>
      </c>
      <c r="K1321" s="0" t="s">
        <v>175</v>
      </c>
      <c r="M1321" s="0" t="s">
        <v>6197</v>
      </c>
      <c r="N1321" s="0" t="str">
        <f aca="false">RIGHT(M1321,LEN(M1321)-FIND(" ",M1321))</f>
        <v>KINSMAN ST NW</v>
      </c>
      <c r="P1321" s="0" t="s">
        <v>146</v>
      </c>
      <c r="Q1321" s="0" t="s">
        <v>147</v>
      </c>
      <c r="R1321" s="0" t="n">
        <v>44483</v>
      </c>
      <c r="AD1321" s="0" t="s">
        <v>148</v>
      </c>
      <c r="AE1321" s="0" t="s">
        <v>149</v>
      </c>
      <c r="AF1321" s="0" t="s">
        <v>150</v>
      </c>
      <c r="AH1321" s="0" t="n">
        <v>14</v>
      </c>
      <c r="AI1321" s="0" t="n">
        <v>11</v>
      </c>
      <c r="AN1321" s="0" t="s">
        <v>146</v>
      </c>
      <c r="AO1321" s="0" t="s">
        <v>151</v>
      </c>
      <c r="AP1321" s="0" t="s">
        <v>152</v>
      </c>
      <c r="AQ1321" s="0" t="n">
        <v>9</v>
      </c>
      <c r="AR1321" s="0" t="n">
        <v>64</v>
      </c>
      <c r="AS1321" s="0" t="n">
        <v>32</v>
      </c>
      <c r="AU1321" s="0" t="n">
        <f aca="false">COUNTA($BA$1467:$EH$1467)</f>
        <v>4</v>
      </c>
      <c r="AV1321" s="0" t="n">
        <f aca="false">COUNTIF($BA$1467:$EH$1467,"D")</f>
        <v>1</v>
      </c>
      <c r="AW1321" s="0" t="n">
        <f aca="false">COUNTIF($BA$1467:$EH$1467,"R")</f>
        <v>0</v>
      </c>
      <c r="AX1321" s="0" t="n">
        <f aca="false"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>1</v>
      </c>
      <c r="AY1321" s="0" t="n">
        <f aca="false">COUNTIF(DU1321:EH1321, "&lt;&gt;")</f>
        <v>4</v>
      </c>
      <c r="AZ1321" s="0" t="n">
        <f aca="false">IF(EH1321&lt;&gt;"",1,0)</f>
        <v>0</v>
      </c>
      <c r="BB1321" s="0" t="s">
        <v>153</v>
      </c>
      <c r="BC1321" s="0" t="s">
        <v>154</v>
      </c>
      <c r="BD1321" s="0" t="s">
        <v>154</v>
      </c>
      <c r="BE1321" s="0" t="s">
        <v>154</v>
      </c>
      <c r="BG1321" s="0" t="s">
        <v>154</v>
      </c>
      <c r="BH1321" s="0" t="s">
        <v>154</v>
      </c>
      <c r="BI1321" s="0" t="s">
        <v>154</v>
      </c>
      <c r="BJ1321" s="0" t="s">
        <v>154</v>
      </c>
      <c r="BK1321" s="0" t="s">
        <v>154</v>
      </c>
      <c r="BL1321" s="0" t="s">
        <v>154</v>
      </c>
      <c r="BP1321" s="0" t="s">
        <v>154</v>
      </c>
      <c r="BR1321" s="0" t="s">
        <v>154</v>
      </c>
      <c r="BS1321" s="0" t="s">
        <v>154</v>
      </c>
      <c r="CA1321" s="0" t="s">
        <v>154</v>
      </c>
      <c r="CG1321" s="0" t="s">
        <v>154</v>
      </c>
      <c r="CH1321" s="0" t="s">
        <v>155</v>
      </c>
      <c r="CK1321" s="0" t="s">
        <v>154</v>
      </c>
      <c r="CL1321" s="0" t="s">
        <v>155</v>
      </c>
      <c r="CN1321" s="0" t="s">
        <v>154</v>
      </c>
      <c r="CO1321" s="0" t="s">
        <v>155</v>
      </c>
      <c r="CP1321" s="0" t="s">
        <v>154</v>
      </c>
      <c r="CV1321" s="0" t="s">
        <v>154</v>
      </c>
      <c r="CZ1321" s="0" t="s">
        <v>155</v>
      </c>
      <c r="DC1321" s="0" t="s">
        <v>154</v>
      </c>
      <c r="DI1321" s="0" t="s">
        <v>154</v>
      </c>
      <c r="DL1321" s="0" t="s">
        <v>154</v>
      </c>
      <c r="DM1321" s="0" t="s">
        <v>155</v>
      </c>
      <c r="DN1321" s="0" t="s">
        <v>154</v>
      </c>
      <c r="DU1321" s="0" t="s">
        <v>154</v>
      </c>
      <c r="DX1321" s="0" t="s">
        <v>154</v>
      </c>
      <c r="EA1321" s="0" t="s">
        <v>154</v>
      </c>
      <c r="EF1321" s="0" t="s">
        <v>154</v>
      </c>
    </row>
    <row r="1322" customFormat="false" ht="13.8" hidden="true" customHeight="false" outlineLevel="0" collapsed="false">
      <c r="A1322" s="0" t="s">
        <v>6198</v>
      </c>
      <c r="B1322" s="0" t="n">
        <v>78</v>
      </c>
      <c r="C1322" s="0" t="n">
        <v>487985</v>
      </c>
      <c r="D1322" s="0" t="s">
        <v>6199</v>
      </c>
      <c r="E1322" s="0" t="s">
        <v>340</v>
      </c>
      <c r="F1322" s="0" t="str">
        <f aca="false">CONCATENATE(D1322," ",LEFT(H1322,4),"T=",AU1322,"D=",AV1322,"R=",AW1322,"M=",AX1322,"L=",AY1322,"B=",AZ1322)</f>
        <v>BURRELL T=1D=0R=0M=0L=0B=0</v>
      </c>
      <c r="G1322" s="0" t="s">
        <v>1389</v>
      </c>
      <c r="I1322" s="0" t="s">
        <v>6200</v>
      </c>
      <c r="J1322" s="0" t="s">
        <v>6201</v>
      </c>
      <c r="K1322" s="0" t="s">
        <v>175</v>
      </c>
      <c r="L1322" s="0"/>
      <c r="M1322" s="0" t="s">
        <v>6202</v>
      </c>
      <c r="N1322" s="0" t="str">
        <f aca="false">RIGHT(M1322,LEN(M1322)-FIND(" ",M1322))</f>
        <v>KINSMAN ST NW</v>
      </c>
      <c r="P1322" s="0" t="s">
        <v>146</v>
      </c>
      <c r="Q1322" s="0" t="s">
        <v>147</v>
      </c>
      <c r="R1322" s="0" t="n">
        <v>44483</v>
      </c>
      <c r="AD1322" s="0" t="s">
        <v>148</v>
      </c>
      <c r="AE1322" s="0" t="s">
        <v>149</v>
      </c>
      <c r="AF1322" s="0" t="s">
        <v>150</v>
      </c>
      <c r="AH1322" s="0" t="n">
        <v>14</v>
      </c>
      <c r="AI1322" s="0" t="n">
        <v>11</v>
      </c>
      <c r="AN1322" s="0" t="s">
        <v>146</v>
      </c>
      <c r="AO1322" s="0" t="s">
        <v>151</v>
      </c>
      <c r="AP1322" s="0" t="s">
        <v>152</v>
      </c>
      <c r="AQ1322" s="0" t="n">
        <v>9</v>
      </c>
      <c r="AR1322" s="0" t="n">
        <v>64</v>
      </c>
      <c r="AS1322" s="0" t="n">
        <v>32</v>
      </c>
      <c r="AU1322" s="0" t="n">
        <f aca="false">COUNTA($BA$1099:$EH$1099)</f>
        <v>1</v>
      </c>
      <c r="AV1322" s="0" t="n">
        <f aca="false">COUNTIF($BA$1099:$EH$1099,"D")</f>
        <v>0</v>
      </c>
      <c r="AW1322" s="0" t="n">
        <f aca="false">COUNTIF($BA$1099:$EH$1099,"R")</f>
        <v>0</v>
      </c>
      <c r="AX1322" s="0" t="n">
        <f aca="false"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>0</v>
      </c>
      <c r="AY1322" s="0" t="n">
        <f aca="false">COUNTIF(DU1322:EH1322, "&lt;&gt;")</f>
        <v>0</v>
      </c>
      <c r="AZ1322" s="0" t="n">
        <f aca="false">IF(EH1322&lt;&gt;"",1,0)</f>
        <v>0</v>
      </c>
      <c r="BB1322" s="0" t="s">
        <v>153</v>
      </c>
    </row>
    <row r="1323" customFormat="false" ht="13.8" hidden="true" customHeight="false" outlineLevel="0" collapsed="false">
      <c r="A1323" s="0" t="s">
        <v>6203</v>
      </c>
      <c r="B1323" s="0" t="n">
        <v>78</v>
      </c>
      <c r="C1323" s="0" t="n">
        <v>444958</v>
      </c>
      <c r="D1323" s="0" t="s">
        <v>6204</v>
      </c>
      <c r="E1323" s="0" t="s">
        <v>6205</v>
      </c>
      <c r="F1323" s="0" t="str">
        <f aca="false">CONCATENATE(D1323," ",LEFT(H1323,4),"T=",AU1323,"D=",AV1323,"R=",AW1323,"M=",AX1323,"L=",AY1323,"B=",AZ1323)</f>
        <v>PRITCHARD T=11D=1R=0M=0L=0B=0</v>
      </c>
      <c r="G1323" s="0" t="s">
        <v>6206</v>
      </c>
      <c r="I1323" s="0" t="s">
        <v>6207</v>
      </c>
      <c r="J1323" s="0" t="s">
        <v>983</v>
      </c>
      <c r="K1323" s="0" t="s">
        <v>144</v>
      </c>
      <c r="L1323" s="0"/>
      <c r="M1323" s="0" t="s">
        <v>6202</v>
      </c>
      <c r="N1323" s="0" t="str">
        <f aca="false">RIGHT(M1323,LEN(M1323)-FIND(" ",M1323))</f>
        <v>KINSMAN ST NW</v>
      </c>
      <c r="P1323" s="0" t="s">
        <v>146</v>
      </c>
      <c r="Q1323" s="0" t="s">
        <v>147</v>
      </c>
      <c r="R1323" s="0" t="n">
        <v>44483</v>
      </c>
      <c r="AD1323" s="0" t="s">
        <v>148</v>
      </c>
      <c r="AE1323" s="0" t="s">
        <v>149</v>
      </c>
      <c r="AF1323" s="0" t="s">
        <v>150</v>
      </c>
      <c r="AH1323" s="0" t="n">
        <v>14</v>
      </c>
      <c r="AI1323" s="0" t="n">
        <v>11</v>
      </c>
      <c r="AN1323" s="0" t="s">
        <v>146</v>
      </c>
      <c r="AO1323" s="0" t="s">
        <v>151</v>
      </c>
      <c r="AP1323" s="0" t="s">
        <v>152</v>
      </c>
      <c r="AQ1323" s="0" t="n">
        <v>9</v>
      </c>
      <c r="AR1323" s="0" t="n">
        <v>64</v>
      </c>
      <c r="AS1323" s="0" t="n">
        <v>32</v>
      </c>
      <c r="AU1323" s="0" t="n">
        <f aca="false">COUNTA($BA$1479:$EH$1479)</f>
        <v>11</v>
      </c>
      <c r="AV1323" s="0" t="n">
        <f aca="false">COUNTIF($BA$1479:$EH$1479,"D")</f>
        <v>1</v>
      </c>
      <c r="AW1323" s="0" t="n">
        <f aca="false">COUNTIF($BA$1479:$EH$1479,"R")</f>
        <v>0</v>
      </c>
      <c r="AX1323" s="0" t="n">
        <f aca="false"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>0</v>
      </c>
      <c r="AY1323" s="0" t="n">
        <f aca="false">COUNTIF(DU1323:EH1323, "&lt;&gt;")</f>
        <v>0</v>
      </c>
      <c r="AZ1323" s="0" t="n">
        <f aca="false">IF(EH1323&lt;&gt;"",1,0)</f>
        <v>0</v>
      </c>
      <c r="BB1323" s="0" t="s">
        <v>153</v>
      </c>
      <c r="DN1323" s="0" t="s">
        <v>154</v>
      </c>
    </row>
    <row r="1324" customFormat="false" ht="13.8" hidden="true" customHeight="false" outlineLevel="0" collapsed="false">
      <c r="A1324" s="0" t="s">
        <v>6208</v>
      </c>
      <c r="B1324" s="0" t="n">
        <v>78</v>
      </c>
      <c r="C1324" s="0" t="n">
        <v>387077</v>
      </c>
      <c r="D1324" s="0" t="s">
        <v>6209</v>
      </c>
      <c r="E1324" s="0" t="s">
        <v>6210</v>
      </c>
      <c r="F1324" s="0" t="str">
        <f aca="false">CONCATENATE(D1324," ",LEFT(H1324,4),"T=",AU1324,"D=",AV1324,"R=",AW1324,"M=",AX1324,"L=",AY1324,"B=",AZ1324)</f>
        <v>BROGDON T=7D=1R=0M=0L=0B=0</v>
      </c>
      <c r="G1324" s="0" t="s">
        <v>188</v>
      </c>
      <c r="I1324" s="0" t="s">
        <v>6211</v>
      </c>
      <c r="J1324" s="0" t="s">
        <v>6212</v>
      </c>
      <c r="K1324" s="0" t="s">
        <v>175</v>
      </c>
      <c r="L1324" s="0"/>
      <c r="M1324" s="0" t="s">
        <v>6202</v>
      </c>
      <c r="N1324" s="0" t="str">
        <f aca="false">RIGHT(M1324,LEN(M1324)-FIND(" ",M1324))</f>
        <v>KINSMAN ST NW</v>
      </c>
      <c r="P1324" s="0" t="s">
        <v>146</v>
      </c>
      <c r="Q1324" s="0" t="s">
        <v>147</v>
      </c>
      <c r="R1324" s="0" t="n">
        <v>44483</v>
      </c>
      <c r="AD1324" s="0" t="s">
        <v>148</v>
      </c>
      <c r="AE1324" s="0" t="s">
        <v>149</v>
      </c>
      <c r="AF1324" s="0" t="s">
        <v>150</v>
      </c>
      <c r="AH1324" s="0" t="n">
        <v>14</v>
      </c>
      <c r="AI1324" s="0" t="n">
        <v>11</v>
      </c>
      <c r="AN1324" s="0" t="s">
        <v>146</v>
      </c>
      <c r="AO1324" s="0" t="s">
        <v>151</v>
      </c>
      <c r="AP1324" s="0" t="s">
        <v>152</v>
      </c>
      <c r="AQ1324" s="0" t="n">
        <v>9</v>
      </c>
      <c r="AR1324" s="0" t="n">
        <v>64</v>
      </c>
      <c r="AS1324" s="0" t="n">
        <v>32</v>
      </c>
      <c r="AU1324" s="0" t="n">
        <f aca="false">COUNTA($BA$1718:$EH$1718)</f>
        <v>7</v>
      </c>
      <c r="AV1324" s="0" t="n">
        <f aca="false">COUNTIF($BA$1718:$EH$1718,"D")</f>
        <v>1</v>
      </c>
      <c r="AW1324" s="0" t="n">
        <f aca="false">COUNTIF($BA$1718:$EH$1718,"R")</f>
        <v>0</v>
      </c>
      <c r="AX1324" s="0" t="n">
        <f aca="false"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>0</v>
      </c>
      <c r="AY1324" s="0" t="n">
        <f aca="false">COUNTIF(DU1324:EH1324, "&lt;&gt;")</f>
        <v>0</v>
      </c>
      <c r="AZ1324" s="0" t="n">
        <f aca="false">IF(EH1324&lt;&gt;"",1,0)</f>
        <v>0</v>
      </c>
      <c r="BB1324" s="0" t="s">
        <v>153</v>
      </c>
      <c r="CP1324" s="0" t="s">
        <v>154</v>
      </c>
      <c r="CY1324" s="0" t="s">
        <v>154</v>
      </c>
      <c r="DC1324" s="0" t="s">
        <v>154</v>
      </c>
    </row>
    <row r="1325" customFormat="false" ht="13.8" hidden="true" customHeight="false" outlineLevel="0" collapsed="false">
      <c r="A1325" s="0" t="s">
        <v>6213</v>
      </c>
      <c r="B1325" s="0" t="n">
        <v>78</v>
      </c>
      <c r="C1325" s="0" t="n">
        <v>325684</v>
      </c>
      <c r="D1325" s="0" t="s">
        <v>6214</v>
      </c>
      <c r="E1325" s="0" t="s">
        <v>6215</v>
      </c>
      <c r="F1325" s="0" t="str">
        <f aca="false">CONCATENATE(D1325," ",LEFT(H1325,4),"T=",AU1325,"D=",AV1325,"R=",AW1325,"M=",AX1325,"L=",AY1325,"B=",AZ1325)</f>
        <v>KNISELEY T=30D=0R=4M=0L=1B=0</v>
      </c>
      <c r="G1325" s="0" t="s">
        <v>202</v>
      </c>
      <c r="I1325" s="0" t="s">
        <v>6216</v>
      </c>
      <c r="J1325" s="0" t="s">
        <v>575</v>
      </c>
      <c r="K1325" s="0" t="s">
        <v>175</v>
      </c>
      <c r="L1325" s="0"/>
      <c r="M1325" s="0" t="s">
        <v>6202</v>
      </c>
      <c r="N1325" s="0" t="str">
        <f aca="false">RIGHT(M1325,LEN(M1325)-FIND(" ",M1325))</f>
        <v>KINSMAN ST NW</v>
      </c>
      <c r="P1325" s="0" t="s">
        <v>146</v>
      </c>
      <c r="Q1325" s="0" t="s">
        <v>147</v>
      </c>
      <c r="R1325" s="0" t="n">
        <v>44483</v>
      </c>
      <c r="AD1325" s="0" t="s">
        <v>148</v>
      </c>
      <c r="AE1325" s="0" t="s">
        <v>149</v>
      </c>
      <c r="AF1325" s="0" t="s">
        <v>150</v>
      </c>
      <c r="AH1325" s="0" t="n">
        <v>14</v>
      </c>
      <c r="AI1325" s="0" t="n">
        <v>11</v>
      </c>
      <c r="AN1325" s="0" t="s">
        <v>146</v>
      </c>
      <c r="AO1325" s="0" t="s">
        <v>151</v>
      </c>
      <c r="AP1325" s="0" t="s">
        <v>152</v>
      </c>
      <c r="AQ1325" s="0" t="n">
        <v>9</v>
      </c>
      <c r="AR1325" s="0" t="n">
        <v>64</v>
      </c>
      <c r="AS1325" s="0" t="n">
        <v>32</v>
      </c>
      <c r="AU1325" s="0" t="n">
        <f aca="false">COUNTA($BA$1742:$EH$1742)</f>
        <v>30</v>
      </c>
      <c r="AV1325" s="0" t="n">
        <f aca="false">COUNTIF($BA$1742:$EH$1742,"D")</f>
        <v>0</v>
      </c>
      <c r="AW1325" s="0" t="n">
        <f aca="false">COUNTIF($BA$1742:$EH$1742,"R")</f>
        <v>4</v>
      </c>
      <c r="AX1325" s="0" t="n">
        <f aca="false"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>0</v>
      </c>
      <c r="AY1325" s="0" t="n">
        <f aca="false">COUNTIF(DU1325:EH1325, "&lt;&gt;")</f>
        <v>1</v>
      </c>
      <c r="AZ1325" s="0" t="n">
        <f aca="false">IF(EH1325&lt;&gt;"",1,0)</f>
        <v>0</v>
      </c>
      <c r="BB1325" s="0" t="s">
        <v>153</v>
      </c>
      <c r="CA1325" s="0" t="s">
        <v>154</v>
      </c>
      <c r="CP1325" s="0" t="s">
        <v>154</v>
      </c>
      <c r="CZ1325" s="0" t="s">
        <v>155</v>
      </c>
      <c r="DC1325" s="0" t="s">
        <v>154</v>
      </c>
      <c r="DI1325" s="0" t="s">
        <v>154</v>
      </c>
      <c r="DN1325" s="0" t="s">
        <v>154</v>
      </c>
      <c r="EF1325" s="0" t="s">
        <v>154</v>
      </c>
    </row>
    <row r="1326" customFormat="false" ht="13.8" hidden="false" customHeight="false" outlineLevel="0" collapsed="false">
      <c r="A1326" s="0" t="s">
        <v>6217</v>
      </c>
      <c r="B1326" s="0" t="n">
        <v>78</v>
      </c>
      <c r="C1326" s="0" t="n">
        <v>5631</v>
      </c>
      <c r="D1326" s="0" t="s">
        <v>675</v>
      </c>
      <c r="E1326" s="0" t="s">
        <v>6218</v>
      </c>
      <c r="F1326" s="0" t="str">
        <f aca="false">CONCATENATE(D1326," ",LEFT(H1326,4),"T=",AU1326,"D=",AV1326,"R=",AW1326,"M=",AX1326,"L=",AY1326,"B=",AZ1326)</f>
        <v>ANDERSON T=1D=0R=0M=9L=7B=1</v>
      </c>
      <c r="I1326" s="0" t="s">
        <v>6219</v>
      </c>
      <c r="J1326" s="0" t="s">
        <v>6220</v>
      </c>
      <c r="K1326" s="0" t="s">
        <v>175</v>
      </c>
      <c r="L1326" s="1" t="s">
        <v>155</v>
      </c>
      <c r="M1326" s="0" t="s">
        <v>6221</v>
      </c>
      <c r="N1326" s="0" t="str">
        <f aca="false">RIGHT(M1326,LEN(M1326)-FIND(" ",M1326))</f>
        <v>KINSMAN ST NW</v>
      </c>
      <c r="P1326" s="0" t="s">
        <v>146</v>
      </c>
      <c r="Q1326" s="0" t="s">
        <v>147</v>
      </c>
      <c r="R1326" s="0" t="n">
        <v>44483</v>
      </c>
      <c r="AD1326" s="0" t="s">
        <v>148</v>
      </c>
      <c r="AE1326" s="0" t="s">
        <v>149</v>
      </c>
      <c r="AF1326" s="0" t="s">
        <v>150</v>
      </c>
      <c r="AH1326" s="0" t="n">
        <v>14</v>
      </c>
      <c r="AI1326" s="0" t="n">
        <v>11</v>
      </c>
      <c r="AN1326" s="0" t="s">
        <v>146</v>
      </c>
      <c r="AO1326" s="0" t="s">
        <v>151</v>
      </c>
      <c r="AP1326" s="0" t="s">
        <v>152</v>
      </c>
      <c r="AQ1326" s="0" t="n">
        <v>9</v>
      </c>
      <c r="AR1326" s="0" t="n">
        <v>64</v>
      </c>
      <c r="AS1326" s="0" t="n">
        <v>32</v>
      </c>
      <c r="AU1326" s="0" t="n">
        <f aca="false">COUNTA($BA$1564:$EH$1564)</f>
        <v>1</v>
      </c>
      <c r="AV1326" s="0" t="n">
        <f aca="false">COUNTIF($BA$1564:$EH$1564,"D")</f>
        <v>0</v>
      </c>
      <c r="AW1326" s="0" t="n">
        <f aca="false">COUNTIF($BA$1564:$EH$1564,"R")</f>
        <v>0</v>
      </c>
      <c r="AX1326" s="0" t="n">
        <f aca="false"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>9</v>
      </c>
      <c r="AY1326" s="0" t="n">
        <f aca="false">COUNTIF(DU1326:EH1326, "&lt;&gt;")</f>
        <v>7</v>
      </c>
      <c r="AZ1326" s="0" t="n">
        <f aca="false">IF(EH1326&lt;&gt;"",1,0)</f>
        <v>1</v>
      </c>
      <c r="BB1326" s="0" t="s">
        <v>153</v>
      </c>
      <c r="BC1326" s="0" t="s">
        <v>154</v>
      </c>
      <c r="BD1326" s="0" t="s">
        <v>154</v>
      </c>
      <c r="BE1326" s="0" t="s">
        <v>154</v>
      </c>
      <c r="BF1326" s="0" t="s">
        <v>154</v>
      </c>
      <c r="BG1326" s="0" t="s">
        <v>154</v>
      </c>
      <c r="BH1326" s="0" t="s">
        <v>154</v>
      </c>
      <c r="BI1326" s="0" t="s">
        <v>154</v>
      </c>
      <c r="BJ1326" s="0" t="s">
        <v>154</v>
      </c>
      <c r="BK1326" s="0" t="s">
        <v>154</v>
      </c>
      <c r="BL1326" s="0" t="s">
        <v>154</v>
      </c>
      <c r="BP1326" s="0" t="s">
        <v>154</v>
      </c>
      <c r="BR1326" s="0" t="s">
        <v>154</v>
      </c>
      <c r="BS1326" s="0" t="s">
        <v>154</v>
      </c>
      <c r="BY1326" s="0" t="s">
        <v>155</v>
      </c>
      <c r="CA1326" s="0" t="s">
        <v>154</v>
      </c>
      <c r="CC1326" s="0" t="s">
        <v>155</v>
      </c>
      <c r="CG1326" s="0" t="s">
        <v>154</v>
      </c>
      <c r="CH1326" s="0" t="s">
        <v>155</v>
      </c>
      <c r="CK1326" s="0" t="s">
        <v>154</v>
      </c>
      <c r="CL1326" s="0" t="s">
        <v>155</v>
      </c>
      <c r="CN1326" s="0" t="s">
        <v>154</v>
      </c>
      <c r="CO1326" s="0" t="s">
        <v>155</v>
      </c>
      <c r="CP1326" s="0" t="s">
        <v>154</v>
      </c>
      <c r="CQ1326" s="0" t="s">
        <v>155</v>
      </c>
      <c r="CT1326" s="0" t="s">
        <v>154</v>
      </c>
      <c r="CU1326" s="0" t="s">
        <v>155</v>
      </c>
      <c r="CV1326" s="0" t="s">
        <v>154</v>
      </c>
      <c r="CW1326" s="0" t="s">
        <v>155</v>
      </c>
      <c r="CY1326" s="0" t="s">
        <v>154</v>
      </c>
      <c r="CZ1326" s="0" t="s">
        <v>155</v>
      </c>
      <c r="DC1326" s="0" t="s">
        <v>154</v>
      </c>
      <c r="DD1326" s="0" t="s">
        <v>155</v>
      </c>
      <c r="DF1326" s="0" t="s">
        <v>154</v>
      </c>
      <c r="DG1326" s="0" t="s">
        <v>155</v>
      </c>
      <c r="DI1326" s="0" t="s">
        <v>154</v>
      </c>
      <c r="DJ1326" s="0" t="s">
        <v>155</v>
      </c>
      <c r="DL1326" s="0" t="s">
        <v>154</v>
      </c>
      <c r="DM1326" s="0" t="s">
        <v>155</v>
      </c>
      <c r="DN1326" s="0" t="s">
        <v>154</v>
      </c>
      <c r="DO1326" s="0" t="s">
        <v>155</v>
      </c>
      <c r="DR1326" s="0" t="s">
        <v>154</v>
      </c>
      <c r="DS1326" s="0" t="s">
        <v>155</v>
      </c>
      <c r="DT1326" s="0" t="s">
        <v>155</v>
      </c>
      <c r="DU1326" s="0" t="s">
        <v>154</v>
      </c>
      <c r="DW1326" s="0" t="s">
        <v>155</v>
      </c>
      <c r="DX1326" s="0" t="s">
        <v>154</v>
      </c>
      <c r="EA1326" s="0" t="s">
        <v>154</v>
      </c>
      <c r="ED1326" s="0" t="s">
        <v>155</v>
      </c>
      <c r="EF1326" s="0" t="s">
        <v>154</v>
      </c>
      <c r="EH1326" s="0" t="s">
        <v>155</v>
      </c>
    </row>
    <row r="1327" customFormat="false" ht="13.8" hidden="false" customHeight="false" outlineLevel="0" collapsed="false">
      <c r="A1327" s="0" t="s">
        <v>6222</v>
      </c>
      <c r="B1327" s="0" t="n">
        <v>78</v>
      </c>
      <c r="C1327" s="0" t="n">
        <v>5630</v>
      </c>
      <c r="D1327" s="0" t="s">
        <v>675</v>
      </c>
      <c r="E1327" s="0" t="s">
        <v>2298</v>
      </c>
      <c r="F1327" s="0" t="str">
        <f aca="false">CONCATENATE(D1327," ",LEFT(H1327,4),"T=",AU1327,"D=",AV1327,"R=",AW1327,"M=",AX1327,"L=",AY1327,"B=",AZ1327)</f>
        <v>ANDERSON T=2D=0R=0M=7L=7B=1</v>
      </c>
      <c r="G1327" s="0" t="s">
        <v>241</v>
      </c>
      <c r="I1327" s="0" t="s">
        <v>6223</v>
      </c>
      <c r="J1327" s="0" t="s">
        <v>6224</v>
      </c>
      <c r="K1327" s="0" t="s">
        <v>175</v>
      </c>
      <c r="L1327" s="1" t="s">
        <v>155</v>
      </c>
      <c r="M1327" s="0" t="s">
        <v>6221</v>
      </c>
      <c r="N1327" s="0" t="str">
        <f aca="false">RIGHT(M1327,LEN(M1327)-FIND(" ",M1327))</f>
        <v>KINSMAN ST NW</v>
      </c>
      <c r="P1327" s="0" t="s">
        <v>146</v>
      </c>
      <c r="Q1327" s="0" t="s">
        <v>147</v>
      </c>
      <c r="R1327" s="0" t="n">
        <v>44483</v>
      </c>
      <c r="AD1327" s="0" t="s">
        <v>148</v>
      </c>
      <c r="AE1327" s="0" t="s">
        <v>149</v>
      </c>
      <c r="AF1327" s="0" t="s">
        <v>150</v>
      </c>
      <c r="AH1327" s="0" t="n">
        <v>14</v>
      </c>
      <c r="AI1327" s="0" t="n">
        <v>11</v>
      </c>
      <c r="AN1327" s="0" t="s">
        <v>146</v>
      </c>
      <c r="AO1327" s="0" t="s">
        <v>151</v>
      </c>
      <c r="AP1327" s="0" t="s">
        <v>152</v>
      </c>
      <c r="AQ1327" s="0" t="n">
        <v>9</v>
      </c>
      <c r="AR1327" s="0" t="n">
        <v>64</v>
      </c>
      <c r="AS1327" s="0" t="n">
        <v>32</v>
      </c>
      <c r="AU1327" s="0" t="n">
        <f aca="false">COUNTA($BA$1581:$EH$1581)</f>
        <v>2</v>
      </c>
      <c r="AV1327" s="0" t="n">
        <f aca="false">COUNTIF($BA$1581:$EH$1581,"D")</f>
        <v>0</v>
      </c>
      <c r="AW1327" s="0" t="n">
        <f aca="false">COUNTIF($BA$1581:$EH$1581,"R")</f>
        <v>0</v>
      </c>
      <c r="AX1327" s="0" t="n">
        <f aca="false"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>7</v>
      </c>
      <c r="AY1327" s="0" t="n">
        <f aca="false">COUNTIF(DU1327:EH1327, "&lt;&gt;")</f>
        <v>7</v>
      </c>
      <c r="AZ1327" s="0" t="n">
        <f aca="false">IF(EH1327&lt;&gt;"",1,0)</f>
        <v>1</v>
      </c>
      <c r="BB1327" s="0" t="s">
        <v>153</v>
      </c>
      <c r="BC1327" s="0" t="s">
        <v>154</v>
      </c>
      <c r="BD1327" s="0" t="s">
        <v>154</v>
      </c>
      <c r="BG1327" s="0" t="s">
        <v>154</v>
      </c>
      <c r="BH1327" s="0" t="s">
        <v>154</v>
      </c>
      <c r="BI1327" s="0" t="s">
        <v>154</v>
      </c>
      <c r="BJ1327" s="0" t="s">
        <v>154</v>
      </c>
      <c r="BK1327" s="0" t="s">
        <v>154</v>
      </c>
      <c r="BL1327" s="0" t="s">
        <v>154</v>
      </c>
      <c r="BP1327" s="0" t="s">
        <v>154</v>
      </c>
      <c r="BV1327" s="0" t="s">
        <v>154</v>
      </c>
      <c r="BY1327" s="0" t="s">
        <v>155</v>
      </c>
      <c r="CA1327" s="0" t="s">
        <v>154</v>
      </c>
      <c r="CG1327" s="0" t="s">
        <v>154</v>
      </c>
      <c r="CH1327" s="0" t="s">
        <v>155</v>
      </c>
      <c r="CK1327" s="0" t="s">
        <v>154</v>
      </c>
      <c r="CL1327" s="0" t="s">
        <v>155</v>
      </c>
      <c r="CN1327" s="0" t="s">
        <v>154</v>
      </c>
      <c r="CO1327" s="0" t="s">
        <v>155</v>
      </c>
      <c r="CP1327" s="0" t="s">
        <v>154</v>
      </c>
      <c r="CT1327" s="0" t="s">
        <v>154</v>
      </c>
      <c r="CU1327" s="0" t="s">
        <v>155</v>
      </c>
      <c r="CV1327" s="0" t="s">
        <v>154</v>
      </c>
      <c r="CW1327" s="0" t="s">
        <v>155</v>
      </c>
      <c r="CY1327" s="0" t="s">
        <v>154</v>
      </c>
      <c r="CZ1327" s="0" t="s">
        <v>155</v>
      </c>
      <c r="DC1327" s="0" t="s">
        <v>154</v>
      </c>
      <c r="DD1327" s="0" t="s">
        <v>155</v>
      </c>
      <c r="DF1327" s="0" t="s">
        <v>154</v>
      </c>
      <c r="DG1327" s="0" t="s">
        <v>155</v>
      </c>
      <c r="DI1327" s="0" t="s">
        <v>154</v>
      </c>
      <c r="DJ1327" s="0" t="s">
        <v>155</v>
      </c>
      <c r="DL1327" s="0" t="s">
        <v>154</v>
      </c>
      <c r="DM1327" s="0" t="s">
        <v>155</v>
      </c>
      <c r="DN1327" s="0" t="s">
        <v>154</v>
      </c>
      <c r="DO1327" s="0" t="s">
        <v>155</v>
      </c>
      <c r="DR1327" s="0" t="s">
        <v>154</v>
      </c>
      <c r="DS1327" s="0" t="s">
        <v>155</v>
      </c>
      <c r="DT1327" s="0" t="s">
        <v>155</v>
      </c>
      <c r="DU1327" s="0" t="s">
        <v>154</v>
      </c>
      <c r="DW1327" s="0" t="s">
        <v>155</v>
      </c>
      <c r="DX1327" s="0" t="s">
        <v>154</v>
      </c>
      <c r="EA1327" s="0" t="s">
        <v>154</v>
      </c>
      <c r="ED1327" s="0" t="s">
        <v>155</v>
      </c>
      <c r="EF1327" s="0" t="s">
        <v>154</v>
      </c>
      <c r="EH1327" s="0" t="s">
        <v>155</v>
      </c>
    </row>
    <row r="1328" customFormat="false" ht="13.8" hidden="false" customHeight="false" outlineLevel="0" collapsed="false">
      <c r="A1328" s="0" t="s">
        <v>6225</v>
      </c>
      <c r="B1328" s="0" t="n">
        <v>78</v>
      </c>
      <c r="C1328" s="0" t="n">
        <v>305377</v>
      </c>
      <c r="D1328" s="0" t="s">
        <v>6226</v>
      </c>
      <c r="E1328" s="0" t="s">
        <v>429</v>
      </c>
      <c r="F1328" s="0" t="str">
        <f aca="false">CONCATENATE(D1328," ",LEFT(H1328,4),"T=",AU1328,"D=",AV1328,"R=",AW1328,"M=",AX1328,"L=",AY1328,"B=",AZ1328)</f>
        <v>VALESKY IIIT=2D=0R=0M=4L=6B=1</v>
      </c>
      <c r="G1328" s="0" t="s">
        <v>329</v>
      </c>
      <c r="H1328" s="0" t="s">
        <v>1175</v>
      </c>
      <c r="I1328" s="0" t="s">
        <v>6227</v>
      </c>
      <c r="J1328" s="0" t="s">
        <v>6228</v>
      </c>
      <c r="K1328" s="0" t="s">
        <v>175</v>
      </c>
      <c r="L1328" s="1" t="s">
        <v>155</v>
      </c>
      <c r="M1328" s="0" t="s">
        <v>6229</v>
      </c>
      <c r="N1328" s="0" t="str">
        <f aca="false">RIGHT(M1328,LEN(M1328)-FIND(" ",M1328))</f>
        <v>KINSMAN ST NW</v>
      </c>
      <c r="P1328" s="0" t="s">
        <v>146</v>
      </c>
      <c r="Q1328" s="0" t="s">
        <v>147</v>
      </c>
      <c r="R1328" s="0" t="n">
        <v>44483</v>
      </c>
      <c r="AD1328" s="0" t="s">
        <v>148</v>
      </c>
      <c r="AE1328" s="0" t="s">
        <v>149</v>
      </c>
      <c r="AF1328" s="0" t="s">
        <v>150</v>
      </c>
      <c r="AH1328" s="0" t="n">
        <v>14</v>
      </c>
      <c r="AI1328" s="0" t="n">
        <v>11</v>
      </c>
      <c r="AN1328" s="0" t="s">
        <v>146</v>
      </c>
      <c r="AO1328" s="0" t="s">
        <v>151</v>
      </c>
      <c r="AP1328" s="0" t="s">
        <v>152</v>
      </c>
      <c r="AQ1328" s="0" t="n">
        <v>9</v>
      </c>
      <c r="AR1328" s="0" t="n">
        <v>64</v>
      </c>
      <c r="AS1328" s="0" t="n">
        <v>32</v>
      </c>
      <c r="AU1328" s="0" t="n">
        <f aca="false">COUNTA($BA$1729:$EH$1729)</f>
        <v>2</v>
      </c>
      <c r="AV1328" s="0" t="n">
        <f aca="false">COUNTIF($BA$1729:$EH$1729,"D")</f>
        <v>0</v>
      </c>
      <c r="AW1328" s="0" t="n">
        <f aca="false">COUNTIF($BA$1729:$EH$1729,"R")</f>
        <v>0</v>
      </c>
      <c r="AX1328" s="0" t="n">
        <f aca="false"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>4</v>
      </c>
      <c r="AY1328" s="0" t="n">
        <f aca="false">COUNTIF(DU1328:EH1328, "&lt;&gt;")</f>
        <v>6</v>
      </c>
      <c r="AZ1328" s="0" t="n">
        <f aca="false">IF(EH1328&lt;&gt;"",1,0)</f>
        <v>1</v>
      </c>
      <c r="BB1328" s="0" t="s">
        <v>153</v>
      </c>
      <c r="BG1328" s="0" t="s">
        <v>154</v>
      </c>
      <c r="BH1328" s="0" t="s">
        <v>154</v>
      </c>
      <c r="BI1328" s="0" t="s">
        <v>154</v>
      </c>
      <c r="BJ1328" s="0" t="s">
        <v>154</v>
      </c>
      <c r="BK1328" s="0" t="s">
        <v>154</v>
      </c>
      <c r="BL1328" s="0" t="s">
        <v>154</v>
      </c>
      <c r="BS1328" s="0" t="s">
        <v>154</v>
      </c>
      <c r="BV1328" s="0" t="s">
        <v>154</v>
      </c>
      <c r="BY1328" s="0" t="s">
        <v>155</v>
      </c>
      <c r="CA1328" s="0" t="s">
        <v>154</v>
      </c>
      <c r="CH1328" s="0" t="s">
        <v>155</v>
      </c>
      <c r="CL1328" s="0" t="s">
        <v>155</v>
      </c>
      <c r="CN1328" s="0" t="s">
        <v>154</v>
      </c>
      <c r="CP1328" s="0" t="s">
        <v>154</v>
      </c>
      <c r="CW1328" s="0" t="s">
        <v>155</v>
      </c>
      <c r="CY1328" s="0" t="s">
        <v>154</v>
      </c>
      <c r="CZ1328" s="0" t="s">
        <v>155</v>
      </c>
      <c r="DC1328" s="0" t="s">
        <v>154</v>
      </c>
      <c r="DI1328" s="0" t="s">
        <v>154</v>
      </c>
      <c r="DN1328" s="0" t="s">
        <v>154</v>
      </c>
      <c r="DU1328" s="0" t="s">
        <v>154</v>
      </c>
      <c r="DW1328" s="0" t="s">
        <v>155</v>
      </c>
      <c r="DX1328" s="0" t="s">
        <v>154</v>
      </c>
      <c r="EA1328" s="0" t="s">
        <v>154</v>
      </c>
      <c r="EF1328" s="0" t="s">
        <v>154</v>
      </c>
      <c r="EH1328" s="0" t="s">
        <v>155</v>
      </c>
    </row>
    <row r="1329" customFormat="false" ht="13.8" hidden="true" customHeight="false" outlineLevel="0" collapsed="false">
      <c r="A1329" s="0" t="s">
        <v>6230</v>
      </c>
      <c r="B1329" s="0" t="n">
        <v>78</v>
      </c>
      <c r="C1329" s="0" t="n">
        <v>382671</v>
      </c>
      <c r="D1329" s="0" t="s">
        <v>6226</v>
      </c>
      <c r="E1329" s="0" t="s">
        <v>863</v>
      </c>
      <c r="F1329" s="0" t="str">
        <f aca="false">CONCATENATE(D1329," ",LEFT(H1329,4),"T=",AU1329,"D=",AV1329,"R=",AW1329,"M=",AX1329,"L=",AY1329,"B=",AZ1329)</f>
        <v>VALESKY T=1D=0R=0M=0L=1B=0</v>
      </c>
      <c r="G1329" s="0" t="s">
        <v>181</v>
      </c>
      <c r="I1329" s="0" t="s">
        <v>6231</v>
      </c>
      <c r="J1329" s="0" t="s">
        <v>299</v>
      </c>
      <c r="K1329" s="0" t="s">
        <v>175</v>
      </c>
      <c r="L1329" s="0"/>
      <c r="M1329" s="0" t="s">
        <v>6229</v>
      </c>
      <c r="N1329" s="0" t="str">
        <f aca="false">RIGHT(M1329,LEN(M1329)-FIND(" ",M1329))</f>
        <v>KINSMAN ST NW</v>
      </c>
      <c r="P1329" s="0" t="s">
        <v>146</v>
      </c>
      <c r="Q1329" s="0" t="s">
        <v>147</v>
      </c>
      <c r="R1329" s="0" t="n">
        <v>44483</v>
      </c>
      <c r="AD1329" s="0" t="s">
        <v>148</v>
      </c>
      <c r="AE1329" s="0" t="s">
        <v>149</v>
      </c>
      <c r="AF1329" s="0" t="s">
        <v>150</v>
      </c>
      <c r="AH1329" s="0" t="n">
        <v>14</v>
      </c>
      <c r="AI1329" s="0" t="n">
        <v>11</v>
      </c>
      <c r="AN1329" s="0" t="s">
        <v>146</v>
      </c>
      <c r="AO1329" s="0" t="s">
        <v>151</v>
      </c>
      <c r="AP1329" s="0" t="s">
        <v>152</v>
      </c>
      <c r="AQ1329" s="0" t="n">
        <v>9</v>
      </c>
      <c r="AR1329" s="0" t="n">
        <v>64</v>
      </c>
      <c r="AS1329" s="0" t="n">
        <v>32</v>
      </c>
      <c r="AU1329" s="0" t="n">
        <f aca="false">COUNTA($BA$1732:$EH$1732)</f>
        <v>1</v>
      </c>
      <c r="AV1329" s="0" t="n">
        <f aca="false">COUNTIF($BA$1732:$EH$1732,"D")</f>
        <v>0</v>
      </c>
      <c r="AW1329" s="0" t="n">
        <f aca="false">COUNTIF($BA$1732:$EH$1732,"R")</f>
        <v>0</v>
      </c>
      <c r="AX1329" s="0" t="n">
        <f aca="false"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>0</v>
      </c>
      <c r="AY1329" s="0" t="n">
        <f aca="false">COUNTIF(DU1329:EH1329, "&lt;&gt;")</f>
        <v>1</v>
      </c>
      <c r="AZ1329" s="0" t="n">
        <f aca="false">IF(EH1329&lt;&gt;"",1,0)</f>
        <v>0</v>
      </c>
      <c r="BB1329" s="0" t="s">
        <v>153</v>
      </c>
      <c r="CA1329" s="0" t="s">
        <v>154</v>
      </c>
      <c r="CN1329" s="0" t="s">
        <v>154</v>
      </c>
      <c r="DC1329" s="0" t="s">
        <v>154</v>
      </c>
      <c r="DI1329" s="0" t="s">
        <v>154</v>
      </c>
      <c r="DN1329" s="0" t="s">
        <v>154</v>
      </c>
      <c r="EF1329" s="0" t="s">
        <v>154</v>
      </c>
    </row>
    <row r="1330" customFormat="false" ht="13.8" hidden="true" customHeight="false" outlineLevel="0" collapsed="false">
      <c r="A1330" s="0" t="s">
        <v>6232</v>
      </c>
      <c r="B1330" s="0" t="n">
        <v>78</v>
      </c>
      <c r="C1330" s="0" t="n">
        <v>431809</v>
      </c>
      <c r="D1330" s="0" t="s">
        <v>6233</v>
      </c>
      <c r="E1330" s="0" t="s">
        <v>6234</v>
      </c>
      <c r="F1330" s="0" t="str">
        <f aca="false">CONCATENATE(D1330," ",LEFT(H1330,4),"T=",AU1330,"D=",AV1330,"R=",AW1330,"M=",AX1330,"L=",AY1330,"B=",AZ1330)</f>
        <v>GOLEMBOWSKI T=2D=0R=0M=0L=0B=0</v>
      </c>
      <c r="G1330" s="0" t="s">
        <v>6235</v>
      </c>
      <c r="I1330" s="0" t="s">
        <v>6236</v>
      </c>
      <c r="J1330" s="0" t="s">
        <v>6237</v>
      </c>
      <c r="K1330" s="0" t="s">
        <v>144</v>
      </c>
      <c r="L1330" s="0"/>
      <c r="M1330" s="0" t="s">
        <v>6238</v>
      </c>
      <c r="N1330" s="0" t="str">
        <f aca="false">RIGHT(M1330,LEN(M1330)-FIND(" ",M1330))</f>
        <v>KINSMAN ST NW</v>
      </c>
      <c r="P1330" s="0" t="s">
        <v>146</v>
      </c>
      <c r="Q1330" s="0" t="s">
        <v>147</v>
      </c>
      <c r="R1330" s="0" t="n">
        <v>44483</v>
      </c>
      <c r="AD1330" s="0" t="s">
        <v>148</v>
      </c>
      <c r="AE1330" s="0" t="s">
        <v>149</v>
      </c>
      <c r="AF1330" s="0" t="s">
        <v>150</v>
      </c>
      <c r="AH1330" s="0" t="n">
        <v>14</v>
      </c>
      <c r="AI1330" s="0" t="n">
        <v>11</v>
      </c>
      <c r="AN1330" s="0" t="s">
        <v>146</v>
      </c>
      <c r="AO1330" s="0" t="s">
        <v>151</v>
      </c>
      <c r="AP1330" s="0" t="s">
        <v>152</v>
      </c>
      <c r="AQ1330" s="0" t="n">
        <v>9</v>
      </c>
      <c r="AR1330" s="0" t="n">
        <v>64</v>
      </c>
      <c r="AS1330" s="0" t="n">
        <v>32</v>
      </c>
      <c r="AU1330" s="0" t="n">
        <f aca="false">COUNTA($BA$1839:$EH$1839)</f>
        <v>2</v>
      </c>
      <c r="AV1330" s="0" t="n">
        <f aca="false">COUNTIF($BA$1839:$EH$1839,"D")</f>
        <v>0</v>
      </c>
      <c r="AW1330" s="0" t="n">
        <f aca="false">COUNTIF($BA$1839:$EH$1839,"R")</f>
        <v>0</v>
      </c>
      <c r="AX1330" s="0" t="n">
        <f aca="false"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>0</v>
      </c>
      <c r="AY1330" s="0" t="n">
        <f aca="false">COUNTIF(DU1330:EH1330, "&lt;&gt;")</f>
        <v>0</v>
      </c>
      <c r="AZ1330" s="0" t="n">
        <f aca="false">IF(EH1330&lt;&gt;"",1,0)</f>
        <v>0</v>
      </c>
      <c r="BB1330" s="0" t="s">
        <v>153</v>
      </c>
    </row>
    <row r="1331" customFormat="false" ht="13.8" hidden="true" customHeight="false" outlineLevel="0" collapsed="false">
      <c r="A1331" s="0" t="s">
        <v>6239</v>
      </c>
      <c r="B1331" s="0" t="n">
        <v>78</v>
      </c>
      <c r="C1331" s="0" t="n">
        <v>431805</v>
      </c>
      <c r="D1331" s="0" t="s">
        <v>6240</v>
      </c>
      <c r="E1331" s="0" t="s">
        <v>6241</v>
      </c>
      <c r="F1331" s="0" t="str">
        <f aca="false">CONCATENATE(D1331," ",LEFT(H1331,4),"T=",AU1331,"D=",AV1331,"R=",AW1331,"M=",AX1331,"L=",AY1331,"B=",AZ1331)</f>
        <v>FOLEY T=1D=0R=0M=0L=0B=0</v>
      </c>
      <c r="G1331" s="0" t="s">
        <v>297</v>
      </c>
      <c r="I1331" s="0" t="s">
        <v>1956</v>
      </c>
      <c r="J1331" s="0" t="s">
        <v>4687</v>
      </c>
      <c r="K1331" s="0" t="s">
        <v>144</v>
      </c>
      <c r="L1331" s="0"/>
      <c r="M1331" s="0" t="s">
        <v>6238</v>
      </c>
      <c r="N1331" s="0" t="str">
        <f aca="false">RIGHT(M1331,LEN(M1331)-FIND(" ",M1331))</f>
        <v>KINSMAN ST NW</v>
      </c>
      <c r="P1331" s="0" t="s">
        <v>146</v>
      </c>
      <c r="Q1331" s="0" t="s">
        <v>147</v>
      </c>
      <c r="R1331" s="0" t="n">
        <v>44483</v>
      </c>
      <c r="AD1331" s="0" t="s">
        <v>148</v>
      </c>
      <c r="AE1331" s="0" t="s">
        <v>149</v>
      </c>
      <c r="AF1331" s="0" t="s">
        <v>150</v>
      </c>
      <c r="AH1331" s="0" t="n">
        <v>14</v>
      </c>
      <c r="AI1331" s="0" t="n">
        <v>11</v>
      </c>
      <c r="AN1331" s="0" t="s">
        <v>146</v>
      </c>
      <c r="AO1331" s="0" t="s">
        <v>151</v>
      </c>
      <c r="AP1331" s="0" t="s">
        <v>152</v>
      </c>
      <c r="AQ1331" s="0" t="n">
        <v>9</v>
      </c>
      <c r="AR1331" s="0" t="n">
        <v>64</v>
      </c>
      <c r="AS1331" s="0" t="n">
        <v>32</v>
      </c>
      <c r="AU1331" s="0" t="n">
        <f aca="false">COUNTA($BA$1962:$EH$1962)</f>
        <v>1</v>
      </c>
      <c r="AV1331" s="0" t="n">
        <f aca="false">COUNTIF($BA$1962:$EH$1962,"D")</f>
        <v>0</v>
      </c>
      <c r="AW1331" s="0" t="n">
        <f aca="false">COUNTIF($BA$1962:$EH$1962,"R")</f>
        <v>0</v>
      </c>
      <c r="AX1331" s="0" t="n">
        <f aca="false"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>0</v>
      </c>
      <c r="AY1331" s="0" t="n">
        <f aca="false">COUNTIF(DU1331:EH1331, "&lt;&gt;")</f>
        <v>0</v>
      </c>
      <c r="AZ1331" s="0" t="n">
        <f aca="false">IF(EH1331&lt;&gt;"",1,0)</f>
        <v>0</v>
      </c>
      <c r="BB1331" s="0" t="s">
        <v>153</v>
      </c>
    </row>
    <row r="1332" customFormat="false" ht="13.8" hidden="false" customHeight="false" outlineLevel="0" collapsed="false">
      <c r="A1332" s="0" t="s">
        <v>6242</v>
      </c>
      <c r="B1332" s="0" t="n">
        <v>78</v>
      </c>
      <c r="C1332" s="0" t="n">
        <v>217705</v>
      </c>
      <c r="D1332" s="0" t="s">
        <v>6243</v>
      </c>
      <c r="E1332" s="0" t="s">
        <v>2236</v>
      </c>
      <c r="F1332" s="0" t="str">
        <f aca="false">CONCATENATE(D1332," ",LEFT(H1332,4),"T=",AU1332,"D=",AV1332,"R=",AW1332,"M=",AX1332,"L=",AY1332,"B=",AZ1332)</f>
        <v>RUFENER T=1D=0R=0M=3L=6B=1</v>
      </c>
      <c r="G1332" s="0" t="s">
        <v>188</v>
      </c>
      <c r="I1332" s="0" t="s">
        <v>2318</v>
      </c>
      <c r="J1332" s="0" t="s">
        <v>6244</v>
      </c>
      <c r="K1332" s="0" t="s">
        <v>175</v>
      </c>
      <c r="L1332" s="1" t="s">
        <v>155</v>
      </c>
      <c r="M1332" s="0" t="s">
        <v>6245</v>
      </c>
      <c r="N1332" s="0" t="str">
        <f aca="false">RIGHT(M1332,LEN(M1332)-FIND(" ",M1332))</f>
        <v>KINSMAN ST NW</v>
      </c>
      <c r="P1332" s="0" t="s">
        <v>146</v>
      </c>
      <c r="Q1332" s="0" t="s">
        <v>147</v>
      </c>
      <c r="R1332" s="0" t="n">
        <v>44483</v>
      </c>
      <c r="AD1332" s="0" t="s">
        <v>148</v>
      </c>
      <c r="AE1332" s="0" t="s">
        <v>149</v>
      </c>
      <c r="AF1332" s="0" t="s">
        <v>150</v>
      </c>
      <c r="AH1332" s="0" t="n">
        <v>14</v>
      </c>
      <c r="AI1332" s="0" t="n">
        <v>11</v>
      </c>
      <c r="AN1332" s="0" t="s">
        <v>146</v>
      </c>
      <c r="AO1332" s="0" t="s">
        <v>151</v>
      </c>
      <c r="AP1332" s="0" t="s">
        <v>152</v>
      </c>
      <c r="AQ1332" s="0" t="n">
        <v>9</v>
      </c>
      <c r="AR1332" s="0" t="n">
        <v>64</v>
      </c>
      <c r="AS1332" s="0" t="n">
        <v>32</v>
      </c>
      <c r="AU1332" s="0" t="n">
        <f aca="false">COUNTA($BA$1577:$EH$1577)</f>
        <v>1</v>
      </c>
      <c r="AV1332" s="0" t="n">
        <f aca="false">COUNTIF($BA$1577:$EH$1577,"D")</f>
        <v>0</v>
      </c>
      <c r="AW1332" s="0" t="n">
        <f aca="false">COUNTIF($BA$1577:$EH$1577,"R")</f>
        <v>0</v>
      </c>
      <c r="AX1332" s="0" t="n">
        <f aca="false"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>3</v>
      </c>
      <c r="AY1332" s="0" t="n">
        <f aca="false">COUNTIF(DU1332:EH1332, "&lt;&gt;")</f>
        <v>6</v>
      </c>
      <c r="AZ1332" s="0" t="n">
        <f aca="false">IF(EH1332&lt;&gt;"",1,0)</f>
        <v>1</v>
      </c>
      <c r="BB1332" s="0" t="s">
        <v>153</v>
      </c>
      <c r="BC1332" s="0" t="s">
        <v>154</v>
      </c>
      <c r="BD1332" s="0" t="s">
        <v>154</v>
      </c>
      <c r="BH1332" s="0" t="s">
        <v>154</v>
      </c>
      <c r="BJ1332" s="0" t="s">
        <v>154</v>
      </c>
      <c r="BK1332" s="0" t="s">
        <v>154</v>
      </c>
      <c r="BL1332" s="0" t="s">
        <v>154</v>
      </c>
      <c r="BP1332" s="0" t="s">
        <v>154</v>
      </c>
      <c r="BS1332" s="0" t="s">
        <v>154</v>
      </c>
      <c r="BV1332" s="0" t="s">
        <v>154</v>
      </c>
      <c r="BY1332" s="0" t="s">
        <v>155</v>
      </c>
      <c r="CA1332" s="0" t="s">
        <v>154</v>
      </c>
      <c r="CG1332" s="0" t="s">
        <v>154</v>
      </c>
      <c r="CK1332" s="0" t="s">
        <v>154</v>
      </c>
      <c r="CN1332" s="0" t="s">
        <v>154</v>
      </c>
      <c r="CO1332" s="0" t="s">
        <v>176</v>
      </c>
      <c r="CP1332" s="0" t="s">
        <v>154</v>
      </c>
      <c r="CV1332" s="0" t="s">
        <v>154</v>
      </c>
      <c r="CY1332" s="0" t="s">
        <v>154</v>
      </c>
      <c r="CZ1332" s="0" t="s">
        <v>176</v>
      </c>
      <c r="DC1332" s="0" t="s">
        <v>154</v>
      </c>
      <c r="DG1332" s="0" t="s">
        <v>176</v>
      </c>
      <c r="DI1332" s="0" t="s">
        <v>154</v>
      </c>
      <c r="DN1332" s="0" t="s">
        <v>154</v>
      </c>
      <c r="DO1332" s="0" t="s">
        <v>155</v>
      </c>
      <c r="DS1332" s="0" t="s">
        <v>176</v>
      </c>
      <c r="DT1332" s="0" t="s">
        <v>176</v>
      </c>
      <c r="DU1332" s="0" t="s">
        <v>154</v>
      </c>
      <c r="DW1332" s="0" t="s">
        <v>155</v>
      </c>
      <c r="DX1332" s="0" t="s">
        <v>154</v>
      </c>
      <c r="EA1332" s="0" t="s">
        <v>154</v>
      </c>
      <c r="EF1332" s="0" t="s">
        <v>154</v>
      </c>
      <c r="EH1332" s="0" t="s">
        <v>155</v>
      </c>
    </row>
    <row r="1333" customFormat="false" ht="13.8" hidden="false" customHeight="false" outlineLevel="0" collapsed="false">
      <c r="A1333" s="0" t="s">
        <v>6246</v>
      </c>
      <c r="B1333" s="0" t="n">
        <v>78</v>
      </c>
      <c r="C1333" s="0" t="n">
        <v>377439</v>
      </c>
      <c r="D1333" s="0" t="s">
        <v>6243</v>
      </c>
      <c r="E1333" s="0" t="s">
        <v>6247</v>
      </c>
      <c r="F1333" s="0" t="str">
        <f aca="false">CONCATENATE(D1333," ",LEFT(H1333,4),"T=",AU1333,"D=",AV1333,"R=",AW1333,"M=",AX1333,"L=",AY1333,"B=",AZ1333)</f>
        <v>RUFENER T=1D=0R=0M=0L=3B=0</v>
      </c>
      <c r="G1333" s="0" t="s">
        <v>172</v>
      </c>
      <c r="I1333" s="0" t="s">
        <v>6248</v>
      </c>
      <c r="J1333" s="0" t="s">
        <v>6249</v>
      </c>
      <c r="K1333" s="0" t="s">
        <v>175</v>
      </c>
      <c r="M1333" s="0" t="s">
        <v>6245</v>
      </c>
      <c r="N1333" s="0" t="str">
        <f aca="false">RIGHT(M1333,LEN(M1333)-FIND(" ",M1333))</f>
        <v>KINSMAN ST NW</v>
      </c>
      <c r="P1333" s="0" t="s">
        <v>146</v>
      </c>
      <c r="Q1333" s="0" t="s">
        <v>147</v>
      </c>
      <c r="R1333" s="0" t="n">
        <v>44483</v>
      </c>
      <c r="AD1333" s="0" t="s">
        <v>148</v>
      </c>
      <c r="AE1333" s="0" t="s">
        <v>149</v>
      </c>
      <c r="AF1333" s="0" t="s">
        <v>150</v>
      </c>
      <c r="AH1333" s="0" t="n">
        <v>14</v>
      </c>
      <c r="AI1333" s="0" t="n">
        <v>11</v>
      </c>
      <c r="AN1333" s="0" t="s">
        <v>146</v>
      </c>
      <c r="AO1333" s="0" t="s">
        <v>151</v>
      </c>
      <c r="AP1333" s="0" t="s">
        <v>152</v>
      </c>
      <c r="AQ1333" s="0" t="n">
        <v>9</v>
      </c>
      <c r="AR1333" s="0" t="n">
        <v>64</v>
      </c>
      <c r="AS1333" s="0" t="n">
        <v>32</v>
      </c>
      <c r="AU1333" s="0" t="n">
        <f aca="false">COUNTA($BA$1730:$EH$1730)</f>
        <v>1</v>
      </c>
      <c r="AV1333" s="0" t="n">
        <f aca="false">COUNTIF($BA$1730:$EH$1730,"D")</f>
        <v>0</v>
      </c>
      <c r="AW1333" s="0" t="n">
        <f aca="false">COUNTIF($BA$1730:$EH$1730,"R")</f>
        <v>0</v>
      </c>
      <c r="AX1333" s="0" t="n">
        <f aca="false"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>0</v>
      </c>
      <c r="AY1333" s="0" t="n">
        <f aca="false">COUNTIF(DU1333:EH1333, "&lt;&gt;")</f>
        <v>3</v>
      </c>
      <c r="AZ1333" s="0" t="n">
        <f aca="false">IF(EH1333&lt;&gt;"",1,0)</f>
        <v>0</v>
      </c>
      <c r="BB1333" s="0" t="s">
        <v>153</v>
      </c>
      <c r="CK1333" s="0" t="s">
        <v>154</v>
      </c>
      <c r="CN1333" s="0" t="s">
        <v>154</v>
      </c>
      <c r="CO1333" s="0" t="s">
        <v>176</v>
      </c>
      <c r="CP1333" s="0" t="s">
        <v>154</v>
      </c>
      <c r="CV1333" s="0" t="s">
        <v>154</v>
      </c>
      <c r="CY1333" s="0" t="s">
        <v>154</v>
      </c>
      <c r="CZ1333" s="0" t="s">
        <v>176</v>
      </c>
      <c r="DC1333" s="0" t="s">
        <v>154</v>
      </c>
      <c r="DG1333" s="0" t="s">
        <v>176</v>
      </c>
      <c r="DI1333" s="0" t="s">
        <v>154</v>
      </c>
      <c r="DN1333" s="0" t="s">
        <v>154</v>
      </c>
      <c r="DU1333" s="0" t="s">
        <v>154</v>
      </c>
      <c r="DX1333" s="0" t="s">
        <v>154</v>
      </c>
      <c r="EF1333" s="0" t="s">
        <v>154</v>
      </c>
    </row>
    <row r="1334" customFormat="false" ht="13.8" hidden="true" customHeight="false" outlineLevel="0" collapsed="false">
      <c r="A1334" s="0" t="s">
        <v>6250</v>
      </c>
      <c r="B1334" s="0" t="n">
        <v>78</v>
      </c>
      <c r="C1334" s="0" t="n">
        <v>395012</v>
      </c>
      <c r="D1334" s="0" t="s">
        <v>6251</v>
      </c>
      <c r="E1334" s="0" t="s">
        <v>140</v>
      </c>
      <c r="F1334" s="0" t="str">
        <f aca="false">CONCATENATE(D1334," ",LEFT(H1334,4),"T=",AU1334,"D=",AV1334,"R=",AW1334,"M=",AX1334,"L=",AY1334,"B=",AZ1334)</f>
        <v>HIGGINS T=41D=5R=6M=0L=0B=0</v>
      </c>
      <c r="G1334" s="0" t="s">
        <v>1389</v>
      </c>
      <c r="I1334" s="0" t="s">
        <v>6252</v>
      </c>
      <c r="J1334" s="0" t="s">
        <v>4017</v>
      </c>
      <c r="K1334" s="0" t="s">
        <v>175</v>
      </c>
      <c r="L1334" s="0"/>
      <c r="M1334" s="0" t="s">
        <v>6253</v>
      </c>
      <c r="N1334" s="0" t="str">
        <f aca="false">RIGHT(M1334,LEN(M1334)-FIND(" ",M1334))</f>
        <v>KINSMAN ST NW</v>
      </c>
      <c r="P1334" s="0" t="s">
        <v>146</v>
      </c>
      <c r="Q1334" s="0" t="s">
        <v>147</v>
      </c>
      <c r="R1334" s="0" t="n">
        <v>44483</v>
      </c>
      <c r="AD1334" s="0" t="s">
        <v>148</v>
      </c>
      <c r="AE1334" s="0" t="s">
        <v>149</v>
      </c>
      <c r="AF1334" s="0" t="s">
        <v>150</v>
      </c>
      <c r="AH1334" s="0" t="n">
        <v>14</v>
      </c>
      <c r="AI1334" s="0" t="n">
        <v>11</v>
      </c>
      <c r="AN1334" s="0" t="s">
        <v>146</v>
      </c>
      <c r="AO1334" s="0" t="s">
        <v>151</v>
      </c>
      <c r="AP1334" s="0" t="s">
        <v>152</v>
      </c>
      <c r="AQ1334" s="0" t="n">
        <v>9</v>
      </c>
      <c r="AR1334" s="0" t="n">
        <v>64</v>
      </c>
      <c r="AS1334" s="0" t="n">
        <v>32</v>
      </c>
      <c r="AU1334" s="0" t="n">
        <f aca="false">COUNTA($BA$1469:$EH$1469)</f>
        <v>41</v>
      </c>
      <c r="AV1334" s="0" t="n">
        <f aca="false">COUNTIF($BA$1469:$EH$1469,"D")</f>
        <v>5</v>
      </c>
      <c r="AW1334" s="0" t="n">
        <f aca="false">COUNTIF($BA$1469:$EH$1469,"R")</f>
        <v>6</v>
      </c>
      <c r="AX1334" s="0" t="n">
        <f aca="false"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>0</v>
      </c>
      <c r="AY1334" s="0" t="n">
        <f aca="false">COUNTIF(DU1334:EH1334, "&lt;&gt;")</f>
        <v>0</v>
      </c>
      <c r="AZ1334" s="0" t="n">
        <f aca="false">IF(EH1334&lt;&gt;"",1,0)</f>
        <v>0</v>
      </c>
      <c r="BB1334" s="0" t="s">
        <v>153</v>
      </c>
      <c r="BD1334" s="0" t="s">
        <v>154</v>
      </c>
      <c r="BL1334" s="0" t="s">
        <v>154</v>
      </c>
      <c r="DC1334" s="0" t="s">
        <v>154</v>
      </c>
      <c r="DI1334" s="0" t="s">
        <v>154</v>
      </c>
      <c r="DN1334" s="0" t="s">
        <v>154</v>
      </c>
    </row>
    <row r="1335" customFormat="false" ht="13.8" hidden="true" customHeight="false" outlineLevel="0" collapsed="false">
      <c r="A1335" s="0" t="s">
        <v>6254</v>
      </c>
      <c r="B1335" s="0" t="n">
        <v>78</v>
      </c>
      <c r="C1335" s="0" t="n">
        <v>408064</v>
      </c>
      <c r="D1335" s="0" t="s">
        <v>6255</v>
      </c>
      <c r="E1335" s="0" t="s">
        <v>3794</v>
      </c>
      <c r="F1335" s="0" t="str">
        <f aca="false">CONCATENATE(D1335," ",LEFT(H1335,4),"T=",AU1335,"D=",AV1335,"R=",AW1335,"M=",AX1335,"L=",AY1335,"B=",AZ1335)</f>
        <v>MCCALL T=22D=4R=0M=0L=0B=0</v>
      </c>
      <c r="G1335" s="0" t="s">
        <v>297</v>
      </c>
      <c r="I1335" s="0" t="s">
        <v>4301</v>
      </c>
      <c r="J1335" s="0" t="s">
        <v>1030</v>
      </c>
      <c r="K1335" s="0" t="s">
        <v>175</v>
      </c>
      <c r="L1335" s="0"/>
      <c r="M1335" s="0" t="s">
        <v>6256</v>
      </c>
      <c r="N1335" s="0" t="str">
        <f aca="false">RIGHT(M1335,LEN(M1335)-FIND(" ",M1335))</f>
        <v>KINSMAN ST NW</v>
      </c>
      <c r="P1335" s="0" t="s">
        <v>146</v>
      </c>
      <c r="Q1335" s="0" t="s">
        <v>147</v>
      </c>
      <c r="R1335" s="0" t="n">
        <v>44483</v>
      </c>
      <c r="AD1335" s="0" t="s">
        <v>148</v>
      </c>
      <c r="AE1335" s="0" t="s">
        <v>149</v>
      </c>
      <c r="AF1335" s="0" t="s">
        <v>150</v>
      </c>
      <c r="AH1335" s="0" t="n">
        <v>14</v>
      </c>
      <c r="AI1335" s="0" t="n">
        <v>11</v>
      </c>
      <c r="AN1335" s="0" t="s">
        <v>146</v>
      </c>
      <c r="AO1335" s="0" t="s">
        <v>151</v>
      </c>
      <c r="AP1335" s="0" t="s">
        <v>152</v>
      </c>
      <c r="AQ1335" s="0" t="n">
        <v>9</v>
      </c>
      <c r="AR1335" s="0" t="n">
        <v>64</v>
      </c>
      <c r="AS1335" s="0" t="n">
        <v>32</v>
      </c>
      <c r="AU1335" s="0" t="n">
        <f aca="false">COUNTA($BA$1498:$EH$1498)</f>
        <v>22</v>
      </c>
      <c r="AV1335" s="0" t="n">
        <f aca="false">COUNTIF($BA$1498:$EH$1498,"D")</f>
        <v>4</v>
      </c>
      <c r="AW1335" s="0" t="n">
        <f aca="false">COUNTIF($BA$1498:$EH$1498,"R")</f>
        <v>0</v>
      </c>
      <c r="AX1335" s="0" t="n">
        <f aca="false"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>0</v>
      </c>
      <c r="AY1335" s="0" t="n">
        <f aca="false">COUNTIF(DU1335:EH1335, "&lt;&gt;")</f>
        <v>0</v>
      </c>
      <c r="AZ1335" s="0" t="n">
        <f aca="false">IF(EH1335&lt;&gt;"",1,0)</f>
        <v>0</v>
      </c>
      <c r="BB1335" s="0" t="s">
        <v>153</v>
      </c>
    </row>
    <row r="1336" customFormat="false" ht="13.8" hidden="true" customHeight="false" outlineLevel="0" collapsed="false">
      <c r="A1336" s="0" t="s">
        <v>6257</v>
      </c>
      <c r="B1336" s="0" t="n">
        <v>78</v>
      </c>
      <c r="C1336" s="0" t="n">
        <v>430188</v>
      </c>
      <c r="D1336" s="0" t="s">
        <v>4078</v>
      </c>
      <c r="E1336" s="0" t="s">
        <v>1684</v>
      </c>
      <c r="F1336" s="0" t="str">
        <f aca="false">CONCATENATE(D1336," ",LEFT(H1336,4),"T=",AU1336,"D=",AV1336,"R=",AW1336,"M=",AX1336,"L=",AY1336,"B=",AZ1336)</f>
        <v>RODRIGUEZ T=2D=0R=0M=0L=0B=0</v>
      </c>
      <c r="G1336" s="0" t="s">
        <v>181</v>
      </c>
      <c r="I1336" s="0" t="s">
        <v>5712</v>
      </c>
      <c r="J1336" s="0" t="s">
        <v>6258</v>
      </c>
      <c r="K1336" s="0" t="s">
        <v>144</v>
      </c>
      <c r="L1336" s="0"/>
      <c r="M1336" s="0" t="s">
        <v>6259</v>
      </c>
      <c r="N1336" s="0" t="str">
        <f aca="false">RIGHT(M1336,LEN(M1336)-FIND(" ",M1336))</f>
        <v>KINSMAN ST NW</v>
      </c>
      <c r="P1336" s="0" t="s">
        <v>146</v>
      </c>
      <c r="Q1336" s="0" t="s">
        <v>147</v>
      </c>
      <c r="R1336" s="0" t="n">
        <v>44483</v>
      </c>
      <c r="AD1336" s="0" t="s">
        <v>148</v>
      </c>
      <c r="AE1336" s="0" t="s">
        <v>149</v>
      </c>
      <c r="AF1336" s="0" t="s">
        <v>150</v>
      </c>
      <c r="AH1336" s="0" t="n">
        <v>14</v>
      </c>
      <c r="AI1336" s="0" t="n">
        <v>11</v>
      </c>
      <c r="AN1336" s="0" t="s">
        <v>146</v>
      </c>
      <c r="AO1336" s="0" t="s">
        <v>151</v>
      </c>
      <c r="AP1336" s="0" t="s">
        <v>152</v>
      </c>
      <c r="AQ1336" s="0" t="n">
        <v>9</v>
      </c>
      <c r="AR1336" s="0" t="n">
        <v>64</v>
      </c>
      <c r="AS1336" s="0" t="n">
        <v>32</v>
      </c>
      <c r="AU1336" s="0" t="n">
        <f aca="false">COUNTA($BA$1772:$EH$1772)</f>
        <v>2</v>
      </c>
      <c r="AV1336" s="0" t="n">
        <f aca="false">COUNTIF($BA$1772:$EH$1772,"D")</f>
        <v>0</v>
      </c>
      <c r="AW1336" s="0" t="n">
        <f aca="false">COUNTIF($BA$1772:$EH$1772,"R")</f>
        <v>0</v>
      </c>
      <c r="AX1336" s="0" t="n">
        <f aca="false"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>0</v>
      </c>
      <c r="AY1336" s="0" t="n">
        <f aca="false">COUNTIF(DU1336:EH1336, "&lt;&gt;")</f>
        <v>0</v>
      </c>
      <c r="AZ1336" s="0" t="n">
        <f aca="false">IF(EH1336&lt;&gt;"",1,0)</f>
        <v>0</v>
      </c>
      <c r="BB1336" s="0" t="s">
        <v>153</v>
      </c>
      <c r="DI1336" s="0" t="s">
        <v>154</v>
      </c>
    </row>
    <row r="1337" customFormat="false" ht="13.8" hidden="true" customHeight="false" outlineLevel="0" collapsed="false">
      <c r="A1337" s="0" t="s">
        <v>6260</v>
      </c>
      <c r="B1337" s="0" t="n">
        <v>78</v>
      </c>
      <c r="C1337" s="0" t="n">
        <v>423933</v>
      </c>
      <c r="D1337" s="0" t="s">
        <v>6261</v>
      </c>
      <c r="E1337" s="0" t="s">
        <v>6262</v>
      </c>
      <c r="F1337" s="0" t="str">
        <f aca="false">CONCATENATE(D1337," ",LEFT(H1337,4),"T=",AU1337,"D=",AV1337,"R=",AW1337,"M=",AX1337,"L=",AY1337,"B=",AZ1337)</f>
        <v>HA T=6D=0R=1M=0L=1B=0</v>
      </c>
      <c r="G1337" s="0" t="s">
        <v>6263</v>
      </c>
      <c r="I1337" s="0" t="s">
        <v>6264</v>
      </c>
      <c r="J1337" s="0" t="s">
        <v>6265</v>
      </c>
      <c r="K1337" s="0" t="s">
        <v>175</v>
      </c>
      <c r="L1337" s="0"/>
      <c r="M1337" s="0" t="s">
        <v>6266</v>
      </c>
      <c r="N1337" s="0" t="str">
        <f aca="false">RIGHT(M1337,LEN(M1337)-FIND(" ",M1337))</f>
        <v>KINSMAN ST NW</v>
      </c>
      <c r="P1337" s="0" t="s">
        <v>146</v>
      </c>
      <c r="Q1337" s="0" t="s">
        <v>147</v>
      </c>
      <c r="R1337" s="0" t="n">
        <v>44483</v>
      </c>
      <c r="AD1337" s="0" t="s">
        <v>148</v>
      </c>
      <c r="AE1337" s="0" t="s">
        <v>149</v>
      </c>
      <c r="AF1337" s="0" t="s">
        <v>150</v>
      </c>
      <c r="AH1337" s="0" t="n">
        <v>14</v>
      </c>
      <c r="AI1337" s="0" t="n">
        <v>11</v>
      </c>
      <c r="AN1337" s="0" t="s">
        <v>146</v>
      </c>
      <c r="AO1337" s="0" t="s">
        <v>151</v>
      </c>
      <c r="AP1337" s="0" t="s">
        <v>152</v>
      </c>
      <c r="AQ1337" s="0" t="n">
        <v>9</v>
      </c>
      <c r="AR1337" s="0" t="n">
        <v>64</v>
      </c>
      <c r="AS1337" s="0" t="n">
        <v>32</v>
      </c>
      <c r="AU1337" s="0" t="n">
        <f aca="false">COUNTA($BA$1693:$EH$1693)</f>
        <v>6</v>
      </c>
      <c r="AV1337" s="0" t="n">
        <f aca="false">COUNTIF($BA$1693:$EH$1693,"D")</f>
        <v>0</v>
      </c>
      <c r="AW1337" s="0" t="n">
        <f aca="false">COUNTIF($BA$1693:$EH$1693,"R")</f>
        <v>1</v>
      </c>
      <c r="AX1337" s="0" t="n">
        <f aca="false"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>0</v>
      </c>
      <c r="AY1337" s="0" t="n">
        <f aca="false">COUNTIF(DU1337:EH1337, "&lt;&gt;")</f>
        <v>1</v>
      </c>
      <c r="AZ1337" s="0" t="n">
        <f aca="false">IF(EH1337&lt;&gt;"",1,0)</f>
        <v>0</v>
      </c>
      <c r="BB1337" s="0" t="s">
        <v>153</v>
      </c>
      <c r="DU1337" s="0" t="s">
        <v>154</v>
      </c>
    </row>
    <row r="1338" customFormat="false" ht="13.8" hidden="true" customHeight="false" outlineLevel="0" collapsed="false">
      <c r="A1338" s="0" t="s">
        <v>6267</v>
      </c>
      <c r="B1338" s="0" t="n">
        <v>78</v>
      </c>
      <c r="C1338" s="0" t="n">
        <v>259127</v>
      </c>
      <c r="D1338" s="0" t="s">
        <v>6268</v>
      </c>
      <c r="E1338" s="0" t="s">
        <v>1916</v>
      </c>
      <c r="F1338" s="0" t="str">
        <f aca="false">CONCATENATE(D1338," ",LEFT(H1338,4),"T=",AU1338,"D=",AV1338,"R=",AW1338,"M=",AX1338,"L=",AY1338,"B=",AZ1338)</f>
        <v>GIVEN T=2D=0R=0M=0L=0B=0</v>
      </c>
      <c r="G1338" s="0" t="s">
        <v>297</v>
      </c>
      <c r="I1338" s="0" t="s">
        <v>6269</v>
      </c>
      <c r="J1338" s="0" t="s">
        <v>6270</v>
      </c>
      <c r="K1338" s="0" t="s">
        <v>144</v>
      </c>
      <c r="L1338" s="0"/>
      <c r="M1338" s="0" t="s">
        <v>6271</v>
      </c>
      <c r="N1338" s="0" t="str">
        <f aca="false">RIGHT(M1338,LEN(M1338)-FIND(" ",M1338))</f>
        <v>LARCHMONT AVE NE</v>
      </c>
      <c r="P1338" s="0" t="s">
        <v>146</v>
      </c>
      <c r="Q1338" s="0" t="s">
        <v>147</v>
      </c>
      <c r="R1338" s="0" t="n">
        <v>44483</v>
      </c>
      <c r="AD1338" s="0" t="s">
        <v>148</v>
      </c>
      <c r="AE1338" s="0" t="s">
        <v>149</v>
      </c>
      <c r="AF1338" s="0" t="s">
        <v>150</v>
      </c>
      <c r="AH1338" s="0" t="n">
        <v>14</v>
      </c>
      <c r="AI1338" s="0" t="n">
        <v>11</v>
      </c>
      <c r="AN1338" s="0" t="s">
        <v>146</v>
      </c>
      <c r="AO1338" s="0" t="s">
        <v>236</v>
      </c>
      <c r="AP1338" s="0" t="s">
        <v>237</v>
      </c>
      <c r="AQ1338" s="0" t="n">
        <v>9</v>
      </c>
      <c r="AR1338" s="0" t="n">
        <v>64</v>
      </c>
      <c r="AS1338" s="0" t="n">
        <v>32</v>
      </c>
      <c r="AU1338" s="0" t="n">
        <f aca="false">COUNTA($BA$95:$EH$95)</f>
        <v>2</v>
      </c>
      <c r="AV1338" s="0" t="n">
        <f aca="false">COUNTIF($BA$95:$EH$95,"D")</f>
        <v>0</v>
      </c>
      <c r="AW1338" s="0" t="n">
        <f aca="false">COUNTIF($BA$95:$EH$95,"R")</f>
        <v>0</v>
      </c>
      <c r="AX1338" s="0" t="n">
        <f aca="false"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>0</v>
      </c>
      <c r="AY1338" s="0" t="n">
        <f aca="false">COUNTIF(DU1338:EH1338, "&lt;&gt;")</f>
        <v>0</v>
      </c>
      <c r="AZ1338" s="0" t="n">
        <f aca="false">IF(EH1338&lt;&gt;"",1,0)</f>
        <v>0</v>
      </c>
      <c r="BB1338" s="0" t="s">
        <v>153</v>
      </c>
      <c r="BL1338" s="0" t="s">
        <v>154</v>
      </c>
      <c r="BY1338" s="0" t="s">
        <v>155</v>
      </c>
      <c r="CA1338" s="0" t="s">
        <v>154</v>
      </c>
      <c r="CP1338" s="0" t="s">
        <v>154</v>
      </c>
      <c r="CZ1338" s="0" t="s">
        <v>155</v>
      </c>
      <c r="DC1338" s="0" t="s">
        <v>154</v>
      </c>
      <c r="DI1338" s="0" t="s">
        <v>154</v>
      </c>
    </row>
    <row r="1339" customFormat="false" ht="13.8" hidden="true" customHeight="false" outlineLevel="0" collapsed="false">
      <c r="A1339" s="0" t="s">
        <v>6272</v>
      </c>
      <c r="B1339" s="0" t="n">
        <v>78</v>
      </c>
      <c r="C1339" s="0" t="n">
        <v>276418</v>
      </c>
      <c r="D1339" s="0" t="s">
        <v>6268</v>
      </c>
      <c r="E1339" s="0" t="s">
        <v>6273</v>
      </c>
      <c r="F1339" s="0" t="str">
        <f aca="false">CONCATENATE(D1339," ",LEFT(H1339,4),"T=",AU1339,"D=",AV1339,"R=",AW1339,"M=",AX1339,"L=",AY1339,"B=",AZ1339)</f>
        <v>GIVEN T=1D=0R=0M=0L=0B=0</v>
      </c>
      <c r="G1339" s="0" t="s">
        <v>365</v>
      </c>
      <c r="I1339" s="0" t="s">
        <v>6274</v>
      </c>
      <c r="J1339" s="0" t="s">
        <v>6275</v>
      </c>
      <c r="K1339" s="0" t="s">
        <v>144</v>
      </c>
      <c r="L1339" s="0"/>
      <c r="M1339" s="0" t="s">
        <v>6271</v>
      </c>
      <c r="N1339" s="0" t="str">
        <f aca="false">RIGHT(M1339,LEN(M1339)-FIND(" ",M1339))</f>
        <v>LARCHMONT AVE NE</v>
      </c>
      <c r="P1339" s="0" t="s">
        <v>146</v>
      </c>
      <c r="Q1339" s="0" t="s">
        <v>147</v>
      </c>
      <c r="R1339" s="0" t="n">
        <v>44483</v>
      </c>
      <c r="AD1339" s="0" t="s">
        <v>148</v>
      </c>
      <c r="AE1339" s="0" t="s">
        <v>149</v>
      </c>
      <c r="AF1339" s="0" t="s">
        <v>150</v>
      </c>
      <c r="AH1339" s="0" t="n">
        <v>14</v>
      </c>
      <c r="AI1339" s="0" t="n">
        <v>11</v>
      </c>
      <c r="AN1339" s="0" t="s">
        <v>146</v>
      </c>
      <c r="AO1339" s="0" t="s">
        <v>236</v>
      </c>
      <c r="AP1339" s="0" t="s">
        <v>237</v>
      </c>
      <c r="AQ1339" s="0" t="n">
        <v>9</v>
      </c>
      <c r="AR1339" s="0" t="n">
        <v>64</v>
      </c>
      <c r="AS1339" s="0" t="n">
        <v>32</v>
      </c>
      <c r="AU1339" s="0" t="n">
        <f aca="false">COUNTA($BA$116:$EH$116)</f>
        <v>1</v>
      </c>
      <c r="AV1339" s="0" t="n">
        <f aca="false">COUNTIF($BA$116:$EH$116,"D")</f>
        <v>0</v>
      </c>
      <c r="AW1339" s="0" t="n">
        <f aca="false">COUNTIF($BA$116:$EH$116,"R")</f>
        <v>0</v>
      </c>
      <c r="AX1339" s="0" t="n">
        <f aca="false"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>0</v>
      </c>
      <c r="AY1339" s="0" t="n">
        <f aca="false">COUNTIF(DU1339:EH1339, "&lt;&gt;")</f>
        <v>0</v>
      </c>
      <c r="AZ1339" s="0" t="n">
        <f aca="false">IF(EH1339&lt;&gt;"",1,0)</f>
        <v>0</v>
      </c>
      <c r="BB1339" s="0" t="s">
        <v>153</v>
      </c>
      <c r="BH1339" s="0" t="s">
        <v>154</v>
      </c>
      <c r="BL1339" s="0" t="s">
        <v>154</v>
      </c>
      <c r="BY1339" s="0" t="s">
        <v>155</v>
      </c>
      <c r="CA1339" s="0" t="s">
        <v>154</v>
      </c>
      <c r="CZ1339" s="0" t="s">
        <v>155</v>
      </c>
      <c r="DC1339" s="0" t="s">
        <v>154</v>
      </c>
      <c r="DI1339" s="0" t="s">
        <v>154</v>
      </c>
    </row>
    <row r="1340" customFormat="false" ht="13.8" hidden="true" customHeight="false" outlineLevel="0" collapsed="false">
      <c r="A1340" s="0" t="s">
        <v>6276</v>
      </c>
      <c r="B1340" s="0" t="n">
        <v>78</v>
      </c>
      <c r="C1340" s="0" t="n">
        <v>489227</v>
      </c>
      <c r="D1340" s="0" t="s">
        <v>6277</v>
      </c>
      <c r="E1340" s="0" t="s">
        <v>762</v>
      </c>
      <c r="F1340" s="0" t="str">
        <f aca="false">CONCATENATE(D1340," ",LEFT(H1340,4),"T=",AU1340,"D=",AV1340,"R=",AW1340,"M=",AX1340,"L=",AY1340,"B=",AZ1340)</f>
        <v>CUNNINGHAM JRT=1D=0R=0M=0L=1B=0</v>
      </c>
      <c r="G1340" s="0" t="s">
        <v>1210</v>
      </c>
      <c r="H1340" s="0" t="s">
        <v>431</v>
      </c>
      <c r="I1340" s="0" t="s">
        <v>6278</v>
      </c>
      <c r="J1340" s="0" t="s">
        <v>6279</v>
      </c>
      <c r="K1340" s="0" t="s">
        <v>175</v>
      </c>
      <c r="L1340" s="0"/>
      <c r="M1340" s="0" t="s">
        <v>6271</v>
      </c>
      <c r="N1340" s="0" t="str">
        <f aca="false">RIGHT(M1340,LEN(M1340)-FIND(" ",M1340))</f>
        <v>LARCHMONT AVE NE</v>
      </c>
      <c r="P1340" s="0" t="s">
        <v>146</v>
      </c>
      <c r="Q1340" s="0" t="s">
        <v>147</v>
      </c>
      <c r="R1340" s="0" t="n">
        <v>44483</v>
      </c>
      <c r="AD1340" s="0" t="s">
        <v>148</v>
      </c>
      <c r="AE1340" s="0" t="s">
        <v>149</v>
      </c>
      <c r="AF1340" s="0" t="s">
        <v>150</v>
      </c>
      <c r="AH1340" s="0" t="n">
        <v>14</v>
      </c>
      <c r="AI1340" s="0" t="n">
        <v>11</v>
      </c>
      <c r="AN1340" s="0" t="s">
        <v>146</v>
      </c>
      <c r="AO1340" s="0" t="s">
        <v>236</v>
      </c>
      <c r="AP1340" s="0" t="s">
        <v>237</v>
      </c>
      <c r="AQ1340" s="0" t="n">
        <v>9</v>
      </c>
      <c r="AR1340" s="0" t="n">
        <v>64</v>
      </c>
      <c r="AS1340" s="0" t="n">
        <v>32</v>
      </c>
      <c r="AU1340" s="0" t="n">
        <f aca="false">COUNTA($BA$292:$EH$292)</f>
        <v>1</v>
      </c>
      <c r="AV1340" s="0" t="n">
        <f aca="false">COUNTIF($BA$292:$EH$292,"D")</f>
        <v>0</v>
      </c>
      <c r="AW1340" s="0" t="n">
        <f aca="false">COUNTIF($BA$292:$EH$292,"R")</f>
        <v>0</v>
      </c>
      <c r="AX1340" s="0" t="n">
        <f aca="false"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>0</v>
      </c>
      <c r="AY1340" s="0" t="n">
        <f aca="false">COUNTIF(DU1340:EH1340, "&lt;&gt;")</f>
        <v>1</v>
      </c>
      <c r="AZ1340" s="0" t="n">
        <f aca="false">IF(EH1340&lt;&gt;"",1,0)</f>
        <v>0</v>
      </c>
      <c r="BB1340" s="0" t="s">
        <v>153</v>
      </c>
      <c r="EF1340" s="0" t="s">
        <v>154</v>
      </c>
    </row>
    <row r="1341" customFormat="false" ht="13.8" hidden="true" customHeight="false" outlineLevel="0" collapsed="false">
      <c r="A1341" s="0" t="s">
        <v>6280</v>
      </c>
      <c r="B1341" s="0" t="n">
        <v>78</v>
      </c>
      <c r="C1341" s="0" t="n">
        <v>353046</v>
      </c>
      <c r="D1341" s="0" t="s">
        <v>428</v>
      </c>
      <c r="E1341" s="0" t="s">
        <v>744</v>
      </c>
      <c r="F1341" s="0" t="str">
        <f aca="false">CONCATENATE(D1341," ",LEFT(H1341,4),"T=",AU1341,"D=",AV1341,"R=",AW1341,"M=",AX1341,"L=",AY1341,"B=",AZ1341)</f>
        <v>CRAWFORD T=23D=5R=0M=0L=1B=0</v>
      </c>
      <c r="G1341" s="0" t="s">
        <v>6281</v>
      </c>
      <c r="I1341" s="0" t="s">
        <v>6282</v>
      </c>
      <c r="J1341" s="0" t="s">
        <v>1908</v>
      </c>
      <c r="K1341" s="0" t="s">
        <v>175</v>
      </c>
      <c r="L1341" s="0"/>
      <c r="M1341" s="0" t="s">
        <v>6271</v>
      </c>
      <c r="N1341" s="0" t="str">
        <f aca="false">RIGHT(M1341,LEN(M1341)-FIND(" ",M1341))</f>
        <v>LARCHMONT AVE NE</v>
      </c>
      <c r="P1341" s="0" t="s">
        <v>146</v>
      </c>
      <c r="Q1341" s="0" t="s">
        <v>147</v>
      </c>
      <c r="R1341" s="0" t="n">
        <v>44483</v>
      </c>
      <c r="AD1341" s="0" t="s">
        <v>148</v>
      </c>
      <c r="AE1341" s="0" t="s">
        <v>149</v>
      </c>
      <c r="AF1341" s="0" t="s">
        <v>150</v>
      </c>
      <c r="AH1341" s="0" t="n">
        <v>14</v>
      </c>
      <c r="AI1341" s="0" t="n">
        <v>11</v>
      </c>
      <c r="AN1341" s="0" t="s">
        <v>146</v>
      </c>
      <c r="AO1341" s="0" t="s">
        <v>236</v>
      </c>
      <c r="AP1341" s="0" t="s">
        <v>237</v>
      </c>
      <c r="AQ1341" s="0" t="n">
        <v>9</v>
      </c>
      <c r="AR1341" s="0" t="n">
        <v>64</v>
      </c>
      <c r="AS1341" s="0" t="n">
        <v>32</v>
      </c>
      <c r="AU1341" s="0" t="n">
        <f aca="false">COUNTA($BA$837:$EH$837)</f>
        <v>23</v>
      </c>
      <c r="AV1341" s="0" t="n">
        <f aca="false">COUNTIF($BA$837:$EH$837,"D")</f>
        <v>5</v>
      </c>
      <c r="AW1341" s="0" t="n">
        <f aca="false">COUNTIF($BA$837:$EH$837,"R")</f>
        <v>0</v>
      </c>
      <c r="AX1341" s="0" t="n">
        <f aca="false"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>0</v>
      </c>
      <c r="AY1341" s="0" t="n">
        <f aca="false">COUNTIF(DU1341:EH1341, "&lt;&gt;")</f>
        <v>1</v>
      </c>
      <c r="AZ1341" s="0" t="n">
        <f aca="false">IF(EH1341&lt;&gt;"",1,0)</f>
        <v>0</v>
      </c>
      <c r="BB1341" s="0" t="s">
        <v>153</v>
      </c>
      <c r="EF1341" s="0" t="s">
        <v>154</v>
      </c>
    </row>
    <row r="1342" customFormat="false" ht="13.8" hidden="false" customHeight="false" outlineLevel="0" collapsed="false">
      <c r="A1342" s="0" t="s">
        <v>6283</v>
      </c>
      <c r="B1342" s="0" t="n">
        <v>78</v>
      </c>
      <c r="C1342" s="0" t="n">
        <v>4476</v>
      </c>
      <c r="D1342" s="0" t="s">
        <v>6284</v>
      </c>
      <c r="E1342" s="0" t="s">
        <v>2921</v>
      </c>
      <c r="F1342" s="0" t="str">
        <f aca="false">CONCATENATE(D1342," ",LEFT(H1342,4),"T=",AU1342,"D=",AV1342,"R=",AW1342,"M=",AX1342,"L=",AY1342,"B=",AZ1342)</f>
        <v>EVANS T=49D=17R=0M=3L=5B=1</v>
      </c>
      <c r="G1342" s="0" t="s">
        <v>365</v>
      </c>
      <c r="I1342" s="0" t="s">
        <v>6285</v>
      </c>
      <c r="J1342" s="0" t="s">
        <v>6286</v>
      </c>
      <c r="K1342" s="0" t="s">
        <v>175</v>
      </c>
      <c r="L1342" s="1" t="s">
        <v>155</v>
      </c>
      <c r="M1342" s="0" t="s">
        <v>6287</v>
      </c>
      <c r="N1342" s="0" t="str">
        <f aca="false">RIGHT(M1342,LEN(M1342)-FIND(" ",M1342))</f>
        <v>LARCHMONT AVE NE</v>
      </c>
      <c r="P1342" s="0" t="s">
        <v>146</v>
      </c>
      <c r="Q1342" s="0" t="s">
        <v>147</v>
      </c>
      <c r="R1342" s="0" t="n">
        <v>44483</v>
      </c>
      <c r="AD1342" s="0" t="s">
        <v>148</v>
      </c>
      <c r="AE1342" s="0" t="s">
        <v>149</v>
      </c>
      <c r="AF1342" s="0" t="s">
        <v>150</v>
      </c>
      <c r="AH1342" s="0" t="n">
        <v>14</v>
      </c>
      <c r="AI1342" s="0" t="n">
        <v>11</v>
      </c>
      <c r="AN1342" s="0" t="s">
        <v>146</v>
      </c>
      <c r="AO1342" s="0" t="s">
        <v>236</v>
      </c>
      <c r="AP1342" s="0" t="s">
        <v>237</v>
      </c>
      <c r="AQ1342" s="0" t="n">
        <v>9</v>
      </c>
      <c r="AR1342" s="0" t="n">
        <v>64</v>
      </c>
      <c r="AS1342" s="0" t="n">
        <v>32</v>
      </c>
      <c r="AU1342" s="0" t="n">
        <f aca="false">COUNTA($BA$611:$EH$611)</f>
        <v>49</v>
      </c>
      <c r="AV1342" s="0" t="n">
        <f aca="false">COUNTIF($BA$611:$EH$611,"D")</f>
        <v>17</v>
      </c>
      <c r="AW1342" s="0" t="n">
        <f aca="false">COUNTIF($BA$611:$EH$611,"R")</f>
        <v>0</v>
      </c>
      <c r="AX1342" s="0" t="n">
        <f aca="false"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>3</v>
      </c>
      <c r="AY1342" s="0" t="n">
        <f aca="false">COUNTIF(DU1342:EH1342, "&lt;&gt;")</f>
        <v>5</v>
      </c>
      <c r="AZ1342" s="0" t="n">
        <f aca="false">IF(EH1342&lt;&gt;"",1,0)</f>
        <v>1</v>
      </c>
      <c r="BB1342" s="0" t="s">
        <v>153</v>
      </c>
      <c r="BC1342" s="0" t="s">
        <v>154</v>
      </c>
      <c r="BD1342" s="0" t="s">
        <v>154</v>
      </c>
      <c r="BE1342" s="0" t="s">
        <v>154</v>
      </c>
      <c r="BG1342" s="0" t="s">
        <v>154</v>
      </c>
      <c r="BK1342" s="0" t="s">
        <v>154</v>
      </c>
      <c r="BL1342" s="0" t="s">
        <v>154</v>
      </c>
      <c r="BR1342" s="0" t="s">
        <v>154</v>
      </c>
      <c r="BS1342" s="0" t="s">
        <v>154</v>
      </c>
      <c r="BY1342" s="0" t="s">
        <v>155</v>
      </c>
      <c r="CA1342" s="0" t="s">
        <v>154</v>
      </c>
      <c r="CC1342" s="0" t="s">
        <v>155</v>
      </c>
      <c r="CH1342" s="0" t="s">
        <v>155</v>
      </c>
      <c r="CK1342" s="0" t="s">
        <v>154</v>
      </c>
      <c r="CL1342" s="0" t="s">
        <v>155</v>
      </c>
      <c r="CN1342" s="0" t="s">
        <v>154</v>
      </c>
      <c r="CP1342" s="0" t="s">
        <v>154</v>
      </c>
      <c r="CT1342" s="0" t="s">
        <v>154</v>
      </c>
      <c r="CU1342" s="0" t="s">
        <v>155</v>
      </c>
      <c r="CV1342" s="0" t="s">
        <v>154</v>
      </c>
      <c r="CY1342" s="0" t="s">
        <v>154</v>
      </c>
      <c r="DF1342" s="0" t="s">
        <v>154</v>
      </c>
      <c r="DG1342" s="0" t="s">
        <v>155</v>
      </c>
      <c r="DI1342" s="0" t="s">
        <v>154</v>
      </c>
      <c r="DL1342" s="0" t="s">
        <v>154</v>
      </c>
      <c r="DN1342" s="0" t="s">
        <v>154</v>
      </c>
      <c r="DR1342" s="0" t="s">
        <v>154</v>
      </c>
      <c r="DU1342" s="0" t="s">
        <v>154</v>
      </c>
      <c r="DX1342" s="0" t="s">
        <v>154</v>
      </c>
      <c r="EA1342" s="0" t="s">
        <v>154</v>
      </c>
      <c r="EF1342" s="0" t="s">
        <v>154</v>
      </c>
      <c r="EH1342" s="0" t="s">
        <v>155</v>
      </c>
    </row>
    <row r="1343" customFormat="false" ht="13.8" hidden="true" customHeight="false" outlineLevel="0" collapsed="false">
      <c r="A1343" s="0" t="s">
        <v>6288</v>
      </c>
      <c r="B1343" s="0" t="n">
        <v>78</v>
      </c>
      <c r="C1343" s="0" t="n">
        <v>258535</v>
      </c>
      <c r="D1343" s="0" t="s">
        <v>6289</v>
      </c>
      <c r="E1343" s="0" t="s">
        <v>867</v>
      </c>
      <c r="F1343" s="0" t="str">
        <f aca="false">CONCATENATE(D1343," ",LEFT(H1343,4),"T=",AU1343,"D=",AV1343,"R=",AW1343,"M=",AX1343,"L=",AY1343,"B=",AZ1343)</f>
        <v>CAMPANA T=1D=0R=0M=2L=0B=0</v>
      </c>
      <c r="G1343" s="0" t="s">
        <v>317</v>
      </c>
      <c r="I1343" s="0" t="s">
        <v>6290</v>
      </c>
      <c r="J1343" s="0" t="s">
        <v>6291</v>
      </c>
      <c r="K1343" s="0" t="s">
        <v>144</v>
      </c>
      <c r="L1343" s="0"/>
      <c r="M1343" s="0" t="s">
        <v>6292</v>
      </c>
      <c r="N1343" s="0" t="str">
        <f aca="false">RIGHT(M1343,LEN(M1343)-FIND(" ",M1343))</f>
        <v>LARCHMONT AVE NE</v>
      </c>
      <c r="P1343" s="0" t="s">
        <v>146</v>
      </c>
      <c r="Q1343" s="0" t="s">
        <v>147</v>
      </c>
      <c r="R1343" s="0" t="n">
        <v>44483</v>
      </c>
      <c r="AD1343" s="0" t="s">
        <v>148</v>
      </c>
      <c r="AE1343" s="0" t="s">
        <v>149</v>
      </c>
      <c r="AF1343" s="0" t="s">
        <v>150</v>
      </c>
      <c r="AH1343" s="0" t="n">
        <v>14</v>
      </c>
      <c r="AI1343" s="0" t="n">
        <v>11</v>
      </c>
      <c r="AN1343" s="0" t="s">
        <v>146</v>
      </c>
      <c r="AO1343" s="0" t="s">
        <v>236</v>
      </c>
      <c r="AP1343" s="0" t="s">
        <v>237</v>
      </c>
      <c r="AQ1343" s="0" t="n">
        <v>9</v>
      </c>
      <c r="AR1343" s="0" t="n">
        <v>64</v>
      </c>
      <c r="AS1343" s="0" t="n">
        <v>32</v>
      </c>
      <c r="AU1343" s="0" t="n">
        <f aca="false">COUNTA($BA$50:$EH$50)</f>
        <v>1</v>
      </c>
      <c r="AV1343" s="0" t="n">
        <f aca="false">COUNTIF($BA$50:$EH$50,"D")</f>
        <v>0</v>
      </c>
      <c r="AW1343" s="0" t="n">
        <f aca="false">COUNTIF($BA$50:$EH$50,"R")</f>
        <v>0</v>
      </c>
      <c r="AX1343" s="0" t="n">
        <f aca="false"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>2</v>
      </c>
      <c r="AY1343" s="0" t="n">
        <f aca="false">COUNTIF(DU1343:EH1343, "&lt;&gt;")</f>
        <v>0</v>
      </c>
      <c r="AZ1343" s="0" t="n">
        <f aca="false">IF(EH1343&lt;&gt;"",1,0)</f>
        <v>0</v>
      </c>
      <c r="BB1343" s="0" t="s">
        <v>153</v>
      </c>
      <c r="BC1343" s="0" t="s">
        <v>154</v>
      </c>
      <c r="BD1343" s="0" t="s">
        <v>154</v>
      </c>
      <c r="BH1343" s="0" t="s">
        <v>154</v>
      </c>
      <c r="BI1343" s="0" t="s">
        <v>154</v>
      </c>
      <c r="BJ1343" s="0" t="s">
        <v>154</v>
      </c>
      <c r="BK1343" s="0" t="s">
        <v>154</v>
      </c>
      <c r="BL1343" s="0" t="s">
        <v>154</v>
      </c>
      <c r="BY1343" s="0" t="s">
        <v>155</v>
      </c>
      <c r="CA1343" s="0" t="s">
        <v>154</v>
      </c>
      <c r="CC1343" s="0" t="s">
        <v>155</v>
      </c>
      <c r="CG1343" s="0" t="s">
        <v>154</v>
      </c>
      <c r="CK1343" s="0" t="s">
        <v>154</v>
      </c>
      <c r="CL1343" s="0" t="s">
        <v>155</v>
      </c>
      <c r="CN1343" s="0" t="s">
        <v>154</v>
      </c>
      <c r="CP1343" s="0" t="s">
        <v>154</v>
      </c>
      <c r="CT1343" s="0" t="s">
        <v>154</v>
      </c>
      <c r="CU1343" s="0" t="s">
        <v>155</v>
      </c>
      <c r="CV1343" s="0" t="s">
        <v>154</v>
      </c>
      <c r="CY1343" s="0" t="s">
        <v>154</v>
      </c>
      <c r="DC1343" s="0" t="s">
        <v>154</v>
      </c>
      <c r="DN1343" s="0" t="s">
        <v>154</v>
      </c>
    </row>
    <row r="1344" customFormat="false" ht="13.8" hidden="true" customHeight="false" outlineLevel="0" collapsed="false">
      <c r="A1344" s="0" t="s">
        <v>6293</v>
      </c>
      <c r="B1344" s="0" t="n">
        <v>78</v>
      </c>
      <c r="C1344" s="0" t="n">
        <v>462156</v>
      </c>
      <c r="D1344" s="0" t="s">
        <v>1173</v>
      </c>
      <c r="E1344" s="0" t="s">
        <v>2759</v>
      </c>
      <c r="F1344" s="0" t="str">
        <f aca="false">CONCATENATE(D1344," ",LEFT(H1344,4),"T=",AU1344,"D=",AV1344,"R=",AW1344,"M=",AX1344,"L=",AY1344,"B=",AZ1344)</f>
        <v>JACKSON T=1D=0R=0M=0L=1B=0</v>
      </c>
      <c r="G1344" s="0" t="s">
        <v>6294</v>
      </c>
      <c r="I1344" s="0" t="s">
        <v>6295</v>
      </c>
      <c r="J1344" s="0" t="s">
        <v>6296</v>
      </c>
      <c r="K1344" s="0" t="s">
        <v>175</v>
      </c>
      <c r="L1344" s="0"/>
      <c r="M1344" s="0" t="s">
        <v>6297</v>
      </c>
      <c r="N1344" s="0" t="str">
        <f aca="false">RIGHT(M1344,LEN(M1344)-FIND(" ",M1344))</f>
        <v>LARCHMONT AVE NE</v>
      </c>
      <c r="P1344" s="0" t="s">
        <v>146</v>
      </c>
      <c r="Q1344" s="0" t="s">
        <v>147</v>
      </c>
      <c r="R1344" s="0" t="n">
        <v>44483</v>
      </c>
      <c r="AD1344" s="0" t="s">
        <v>148</v>
      </c>
      <c r="AE1344" s="0" t="s">
        <v>149</v>
      </c>
      <c r="AF1344" s="0" t="s">
        <v>150</v>
      </c>
      <c r="AH1344" s="0" t="n">
        <v>14</v>
      </c>
      <c r="AI1344" s="0" t="n">
        <v>11</v>
      </c>
      <c r="AN1344" s="0" t="s">
        <v>146</v>
      </c>
      <c r="AO1344" s="0" t="s">
        <v>236</v>
      </c>
      <c r="AP1344" s="0" t="s">
        <v>237</v>
      </c>
      <c r="AQ1344" s="0" t="n">
        <v>9</v>
      </c>
      <c r="AR1344" s="0" t="n">
        <v>64</v>
      </c>
      <c r="AS1344" s="0" t="n">
        <v>32</v>
      </c>
      <c r="AU1344" s="0" t="n">
        <f aca="false">COUNTA($BA$22:$EH$22)</f>
        <v>1</v>
      </c>
      <c r="AV1344" s="0" t="n">
        <f aca="false">COUNTIF($BA$22:$EH$22,"D")</f>
        <v>0</v>
      </c>
      <c r="AW1344" s="0" t="n">
        <f aca="false">COUNTIF($BA$22:$EH$22,"R")</f>
        <v>0</v>
      </c>
      <c r="AX1344" s="0" t="n">
        <f aca="false"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>0</v>
      </c>
      <c r="AY1344" s="0" t="n">
        <f aca="false">COUNTIF(DU1344:EH1344, "&lt;&gt;")</f>
        <v>1</v>
      </c>
      <c r="AZ1344" s="0" t="n">
        <f aca="false">IF(EH1344&lt;&gt;"",1,0)</f>
        <v>0</v>
      </c>
      <c r="BB1344" s="0" t="s">
        <v>153</v>
      </c>
      <c r="EF1344" s="0" t="s">
        <v>154</v>
      </c>
    </row>
    <row r="1345" customFormat="false" ht="13.8" hidden="true" customHeight="false" outlineLevel="0" collapsed="false">
      <c r="A1345" s="0" t="s">
        <v>6298</v>
      </c>
      <c r="B1345" s="0" t="n">
        <v>78</v>
      </c>
      <c r="C1345" s="0" t="n">
        <v>488615</v>
      </c>
      <c r="D1345" s="0" t="s">
        <v>1173</v>
      </c>
      <c r="E1345" s="0" t="s">
        <v>1852</v>
      </c>
      <c r="F1345" s="0" t="str">
        <f aca="false">CONCATENATE(D1345," ",LEFT(H1345,4),"T=",AU1345,"D=",AV1345,"R=",AW1345,"M=",AX1345,"L=",AY1345,"B=",AZ1345)</f>
        <v>JACKSON T=3D=0R=0M=0L=1B=0</v>
      </c>
      <c r="G1345" s="0" t="s">
        <v>445</v>
      </c>
      <c r="I1345" s="0" t="s">
        <v>6299</v>
      </c>
      <c r="J1345" s="0" t="s">
        <v>6300</v>
      </c>
      <c r="K1345" s="0" t="s">
        <v>175</v>
      </c>
      <c r="L1345" s="0"/>
      <c r="M1345" s="0" t="s">
        <v>6297</v>
      </c>
      <c r="N1345" s="0" t="str">
        <f aca="false">RIGHT(M1345,LEN(M1345)-FIND(" ",M1345))</f>
        <v>LARCHMONT AVE NE</v>
      </c>
      <c r="P1345" s="0" t="s">
        <v>146</v>
      </c>
      <c r="Q1345" s="0" t="s">
        <v>147</v>
      </c>
      <c r="R1345" s="0" t="n">
        <v>44483</v>
      </c>
      <c r="AD1345" s="0" t="s">
        <v>148</v>
      </c>
      <c r="AE1345" s="0" t="s">
        <v>149</v>
      </c>
      <c r="AF1345" s="0" t="s">
        <v>150</v>
      </c>
      <c r="AH1345" s="0" t="n">
        <v>14</v>
      </c>
      <c r="AI1345" s="0" t="n">
        <v>11</v>
      </c>
      <c r="AN1345" s="0" t="s">
        <v>146</v>
      </c>
      <c r="AO1345" s="0" t="s">
        <v>236</v>
      </c>
      <c r="AP1345" s="0" t="s">
        <v>237</v>
      </c>
      <c r="AQ1345" s="0" t="n">
        <v>9</v>
      </c>
      <c r="AR1345" s="0" t="n">
        <v>64</v>
      </c>
      <c r="AS1345" s="0" t="n">
        <v>32</v>
      </c>
      <c r="AU1345" s="0" t="n">
        <f aca="false">COUNTA($BA$245:$EH$245)</f>
        <v>3</v>
      </c>
      <c r="AV1345" s="0" t="n">
        <f aca="false">COUNTIF($BA$245:$EH$245,"D")</f>
        <v>0</v>
      </c>
      <c r="AW1345" s="0" t="n">
        <f aca="false">COUNTIF($BA$245:$EH$245,"R")</f>
        <v>0</v>
      </c>
      <c r="AX1345" s="0" t="n">
        <f aca="false"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>0</v>
      </c>
      <c r="AY1345" s="0" t="n">
        <f aca="false">COUNTIF(DU1345:EH1345, "&lt;&gt;")</f>
        <v>1</v>
      </c>
      <c r="AZ1345" s="0" t="n">
        <f aca="false">IF(EH1345&lt;&gt;"",1,0)</f>
        <v>0</v>
      </c>
      <c r="BB1345" s="0" t="s">
        <v>153</v>
      </c>
      <c r="EF1345" s="0" t="s">
        <v>154</v>
      </c>
    </row>
    <row r="1346" customFormat="false" ht="13.8" hidden="true" customHeight="false" outlineLevel="0" collapsed="false">
      <c r="A1346" s="0" t="s">
        <v>6301</v>
      </c>
      <c r="B1346" s="0" t="n">
        <v>78</v>
      </c>
      <c r="C1346" s="0" t="n">
        <v>229613</v>
      </c>
      <c r="D1346" s="0" t="s">
        <v>4426</v>
      </c>
      <c r="E1346" s="0" t="s">
        <v>2143</v>
      </c>
      <c r="F1346" s="0" t="str">
        <f aca="false">CONCATENATE(D1346," ",LEFT(H1346,4),"T=",AU1346,"D=",AV1346,"R=",AW1346,"M=",AX1346,"L=",AY1346,"B=",AZ1346)</f>
        <v>OWENS T=5D=0R=0M=0L=0B=0</v>
      </c>
      <c r="G1346" s="0" t="s">
        <v>181</v>
      </c>
      <c r="I1346" s="0" t="s">
        <v>6302</v>
      </c>
      <c r="J1346" s="0" t="s">
        <v>6303</v>
      </c>
      <c r="K1346" s="0" t="s">
        <v>175</v>
      </c>
      <c r="L1346" s="0"/>
      <c r="M1346" s="0" t="s">
        <v>6304</v>
      </c>
      <c r="N1346" s="0" t="str">
        <f aca="false">RIGHT(M1346,LEN(M1346)-FIND(" ",M1346))</f>
        <v>LARCHMONT AVE NE</v>
      </c>
      <c r="P1346" s="0" t="s">
        <v>146</v>
      </c>
      <c r="Q1346" s="0" t="s">
        <v>147</v>
      </c>
      <c r="R1346" s="0" t="n">
        <v>44483</v>
      </c>
      <c r="AD1346" s="0" t="s">
        <v>148</v>
      </c>
      <c r="AE1346" s="0" t="s">
        <v>149</v>
      </c>
      <c r="AF1346" s="0" t="s">
        <v>150</v>
      </c>
      <c r="AH1346" s="0" t="n">
        <v>14</v>
      </c>
      <c r="AI1346" s="0" t="n">
        <v>11</v>
      </c>
      <c r="AN1346" s="0" t="s">
        <v>146</v>
      </c>
      <c r="AO1346" s="0" t="s">
        <v>236</v>
      </c>
      <c r="AP1346" s="0" t="s">
        <v>237</v>
      </c>
      <c r="AQ1346" s="0" t="n">
        <v>9</v>
      </c>
      <c r="AR1346" s="0" t="n">
        <v>64</v>
      </c>
      <c r="AS1346" s="0" t="n">
        <v>32</v>
      </c>
      <c r="AU1346" s="0" t="n">
        <f aca="false">COUNTA($BA$445:$EH$445)</f>
        <v>5</v>
      </c>
      <c r="AV1346" s="0" t="n">
        <f aca="false">COUNTIF($BA$445:$EH$445,"D")</f>
        <v>0</v>
      </c>
      <c r="AW1346" s="0" t="n">
        <f aca="false">COUNTIF($BA$445:$EH$445,"R")</f>
        <v>0</v>
      </c>
      <c r="AX1346" s="0" t="n">
        <f aca="false"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>0</v>
      </c>
      <c r="AY1346" s="0" t="n">
        <f aca="false">COUNTIF(DU1346:EH1346, "&lt;&gt;")</f>
        <v>0</v>
      </c>
      <c r="AZ1346" s="0" t="n">
        <f aca="false">IF(EH1346&lt;&gt;"",1,0)</f>
        <v>0</v>
      </c>
      <c r="BB1346" s="0" t="s">
        <v>153</v>
      </c>
      <c r="BD1346" s="0" t="s">
        <v>154</v>
      </c>
      <c r="BE1346" s="0" t="s">
        <v>154</v>
      </c>
      <c r="BG1346" s="0" t="s">
        <v>154</v>
      </c>
      <c r="CA1346" s="0" t="s">
        <v>154</v>
      </c>
    </row>
    <row r="1347" customFormat="false" ht="13.8" hidden="true" customHeight="false" outlineLevel="0" collapsed="false">
      <c r="A1347" s="0" t="s">
        <v>6305</v>
      </c>
      <c r="B1347" s="0" t="n">
        <v>78</v>
      </c>
      <c r="C1347" s="0" t="n">
        <v>484739</v>
      </c>
      <c r="D1347" s="0" t="s">
        <v>6306</v>
      </c>
      <c r="E1347" s="0" t="s">
        <v>424</v>
      </c>
      <c r="F1347" s="0" t="str">
        <f aca="false">CONCATENATE(D1347," ",LEFT(H1347,4),"T=",AU1347,"D=",AV1347,"R=",AW1347,"M=",AX1347,"L=",AY1347,"B=",AZ1347)</f>
        <v>ULRICH T=4D=0R=0M=0L=0B=0</v>
      </c>
      <c r="G1347" s="0" t="s">
        <v>455</v>
      </c>
      <c r="I1347" s="0" t="s">
        <v>6307</v>
      </c>
      <c r="J1347" s="0" t="s">
        <v>3711</v>
      </c>
      <c r="K1347" s="0" t="s">
        <v>175</v>
      </c>
      <c r="L1347" s="0"/>
      <c r="M1347" s="0" t="s">
        <v>6308</v>
      </c>
      <c r="N1347" s="0" t="str">
        <f aca="false">RIGHT(M1347,LEN(M1347)-FIND(" ",M1347))</f>
        <v>LARCHMONT AVE NE</v>
      </c>
      <c r="P1347" s="0" t="s">
        <v>146</v>
      </c>
      <c r="Q1347" s="0" t="s">
        <v>147</v>
      </c>
      <c r="R1347" s="0" t="n">
        <v>44483</v>
      </c>
      <c r="AD1347" s="0" t="s">
        <v>148</v>
      </c>
      <c r="AE1347" s="0" t="s">
        <v>149</v>
      </c>
      <c r="AF1347" s="0" t="s">
        <v>150</v>
      </c>
      <c r="AH1347" s="0" t="n">
        <v>14</v>
      </c>
      <c r="AI1347" s="0" t="n">
        <v>11</v>
      </c>
      <c r="AN1347" s="0" t="s">
        <v>146</v>
      </c>
      <c r="AO1347" s="0" t="s">
        <v>236</v>
      </c>
      <c r="AP1347" s="0" t="s">
        <v>237</v>
      </c>
      <c r="AQ1347" s="0" t="n">
        <v>9</v>
      </c>
      <c r="AR1347" s="0" t="n">
        <v>64</v>
      </c>
      <c r="AS1347" s="0" t="n">
        <v>32</v>
      </c>
      <c r="AU1347" s="0" t="n">
        <f aca="false">COUNTA($BA$150:$EH$150)</f>
        <v>4</v>
      </c>
      <c r="AV1347" s="0" t="n">
        <f aca="false">COUNTIF($BA$150:$EH$150,"D")</f>
        <v>0</v>
      </c>
      <c r="AW1347" s="0" t="n">
        <f aca="false">COUNTIF($BA$150:$EH$150,"R")</f>
        <v>0</v>
      </c>
      <c r="AX1347" s="0" t="n">
        <f aca="false"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>0</v>
      </c>
      <c r="AY1347" s="0" t="n">
        <f aca="false">COUNTIF(DU1347:EH1347, "&lt;&gt;")</f>
        <v>0</v>
      </c>
      <c r="AZ1347" s="0" t="n">
        <f aca="false">IF(EH1347&lt;&gt;"",1,0)</f>
        <v>0</v>
      </c>
      <c r="BB1347" s="0" t="s">
        <v>153</v>
      </c>
    </row>
    <row r="1348" customFormat="false" ht="13.8" hidden="true" customHeight="false" outlineLevel="0" collapsed="false">
      <c r="A1348" s="0" t="s">
        <v>6309</v>
      </c>
      <c r="B1348" s="0" t="n">
        <v>78</v>
      </c>
      <c r="C1348" s="0" t="n">
        <v>407648</v>
      </c>
      <c r="D1348" s="0" t="s">
        <v>6306</v>
      </c>
      <c r="E1348" s="0" t="s">
        <v>208</v>
      </c>
      <c r="F1348" s="0" t="str">
        <f aca="false">CONCATENATE(D1348," ",LEFT(H1348,4),"T=",AU1348,"D=",AV1348,"R=",AW1348,"M=",AX1348,"L=",AY1348,"B=",AZ1348)</f>
        <v>ULRICH T=13D=2R=0M=0L=0B=0</v>
      </c>
      <c r="G1348" s="0" t="s">
        <v>455</v>
      </c>
      <c r="I1348" s="0" t="s">
        <v>6307</v>
      </c>
      <c r="J1348" s="0" t="s">
        <v>6310</v>
      </c>
      <c r="K1348" s="0" t="s">
        <v>144</v>
      </c>
      <c r="L1348" s="0"/>
      <c r="M1348" s="0" t="s">
        <v>6308</v>
      </c>
      <c r="N1348" s="0" t="str">
        <f aca="false">RIGHT(M1348,LEN(M1348)-FIND(" ",M1348))</f>
        <v>LARCHMONT AVE NE</v>
      </c>
      <c r="P1348" s="0" t="s">
        <v>146</v>
      </c>
      <c r="Q1348" s="0" t="s">
        <v>147</v>
      </c>
      <c r="R1348" s="0" t="n">
        <v>44483</v>
      </c>
      <c r="AD1348" s="0" t="s">
        <v>148</v>
      </c>
      <c r="AE1348" s="0" t="s">
        <v>149</v>
      </c>
      <c r="AF1348" s="0" t="s">
        <v>150</v>
      </c>
      <c r="AH1348" s="0" t="n">
        <v>14</v>
      </c>
      <c r="AI1348" s="0" t="n">
        <v>11</v>
      </c>
      <c r="AN1348" s="0" t="s">
        <v>146</v>
      </c>
      <c r="AO1348" s="0" t="s">
        <v>236</v>
      </c>
      <c r="AP1348" s="0" t="s">
        <v>237</v>
      </c>
      <c r="AQ1348" s="0" t="n">
        <v>9</v>
      </c>
      <c r="AR1348" s="0" t="n">
        <v>64</v>
      </c>
      <c r="AS1348" s="0" t="n">
        <v>32</v>
      </c>
      <c r="AU1348" s="0" t="n">
        <f aca="false">COUNTA($BA$702:$EH$702)</f>
        <v>13</v>
      </c>
      <c r="AV1348" s="0" t="n">
        <f aca="false">COUNTIF($BA$702:$EH$702,"D")</f>
        <v>2</v>
      </c>
      <c r="AW1348" s="0" t="n">
        <f aca="false">COUNTIF($BA$702:$EH$702,"R")</f>
        <v>0</v>
      </c>
      <c r="AX1348" s="0" t="n">
        <f aca="false"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>0</v>
      </c>
      <c r="AY1348" s="0" t="n">
        <f aca="false">COUNTIF(DU1348:EH1348, "&lt;&gt;")</f>
        <v>0</v>
      </c>
      <c r="AZ1348" s="0" t="n">
        <f aca="false">IF(EH1348&lt;&gt;"",1,0)</f>
        <v>0</v>
      </c>
      <c r="BB1348" s="0" t="s">
        <v>153</v>
      </c>
    </row>
    <row r="1349" customFormat="false" ht="13.8" hidden="true" customHeight="false" outlineLevel="0" collapsed="false">
      <c r="A1349" s="0" t="s">
        <v>6311</v>
      </c>
      <c r="B1349" s="0" t="n">
        <v>78</v>
      </c>
      <c r="C1349" s="0" t="n">
        <v>447672</v>
      </c>
      <c r="D1349" s="0" t="s">
        <v>6312</v>
      </c>
      <c r="E1349" s="0" t="s">
        <v>1653</v>
      </c>
      <c r="F1349" s="0" t="str">
        <f aca="false">CONCATENATE(D1349," ",LEFT(H1349,4),"T=",AU1349,"D=",AV1349,"R=",AW1349,"M=",AX1349,"L=",AY1349,"B=",AZ1349)</f>
        <v>FUMEROLA T=1D=0R=0M=0L=1B=0</v>
      </c>
      <c r="G1349" s="0" t="s">
        <v>317</v>
      </c>
      <c r="I1349" s="0" t="s">
        <v>6313</v>
      </c>
      <c r="J1349" s="0" t="s">
        <v>1877</v>
      </c>
      <c r="K1349" s="0" t="s">
        <v>175</v>
      </c>
      <c r="L1349" s="0"/>
      <c r="M1349" s="0" t="s">
        <v>6314</v>
      </c>
      <c r="N1349" s="0" t="str">
        <f aca="false">RIGHT(M1349,LEN(M1349)-FIND(" ",M1349))</f>
        <v>LARCHMONT AVE NE</v>
      </c>
      <c r="P1349" s="0" t="s">
        <v>146</v>
      </c>
      <c r="Q1349" s="0" t="s">
        <v>147</v>
      </c>
      <c r="R1349" s="0" t="n">
        <v>44483</v>
      </c>
      <c r="AD1349" s="0" t="s">
        <v>148</v>
      </c>
      <c r="AE1349" s="0" t="s">
        <v>149</v>
      </c>
      <c r="AF1349" s="0" t="s">
        <v>150</v>
      </c>
      <c r="AH1349" s="0" t="n">
        <v>14</v>
      </c>
      <c r="AI1349" s="0" t="n">
        <v>11</v>
      </c>
      <c r="AN1349" s="0" t="s">
        <v>146</v>
      </c>
      <c r="AO1349" s="0" t="s">
        <v>236</v>
      </c>
      <c r="AP1349" s="0" t="s">
        <v>237</v>
      </c>
      <c r="AQ1349" s="0" t="n">
        <v>9</v>
      </c>
      <c r="AR1349" s="0" t="n">
        <v>64</v>
      </c>
      <c r="AS1349" s="0" t="n">
        <v>32</v>
      </c>
      <c r="AU1349" s="0" t="n">
        <f aca="false">COUNTA($BA$376:$EH$376)</f>
        <v>1</v>
      </c>
      <c r="AV1349" s="0" t="n">
        <f aca="false">COUNTIF($BA$376:$EH$376,"D")</f>
        <v>0</v>
      </c>
      <c r="AW1349" s="0" t="n">
        <f aca="false">COUNTIF($BA$376:$EH$376,"R")</f>
        <v>0</v>
      </c>
      <c r="AX1349" s="0" t="n">
        <f aca="false"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>0</v>
      </c>
      <c r="AY1349" s="0" t="n">
        <f aca="false">COUNTIF(DU1349:EH1349, "&lt;&gt;")</f>
        <v>1</v>
      </c>
      <c r="AZ1349" s="0" t="n">
        <f aca="false">IF(EH1349&lt;&gt;"",1,0)</f>
        <v>0</v>
      </c>
      <c r="BB1349" s="0" t="s">
        <v>153</v>
      </c>
      <c r="EF1349" s="0" t="s">
        <v>154</v>
      </c>
    </row>
    <row r="1350" customFormat="false" ht="13.8" hidden="true" customHeight="false" outlineLevel="0" collapsed="false">
      <c r="A1350" s="0" t="s">
        <v>6315</v>
      </c>
      <c r="B1350" s="0" t="n">
        <v>78</v>
      </c>
      <c r="C1350" s="0" t="n">
        <v>495440</v>
      </c>
      <c r="D1350" s="0" t="s">
        <v>6312</v>
      </c>
      <c r="E1350" s="0" t="s">
        <v>1712</v>
      </c>
      <c r="F1350" s="0" t="str">
        <f aca="false">CONCATENATE(D1350," ",LEFT(H1350,4),"T=",AU1350,"D=",AV1350,"R=",AW1350,"M=",AX1350,"L=",AY1350,"B=",AZ1350)</f>
        <v>FUMEROLA T=50D=17R=0M=0L=0B=0</v>
      </c>
      <c r="G1350" s="0" t="s">
        <v>6316</v>
      </c>
      <c r="I1350" s="0" t="s">
        <v>6317</v>
      </c>
      <c r="J1350" s="0" t="s">
        <v>2193</v>
      </c>
      <c r="K1350" s="0" t="s">
        <v>175</v>
      </c>
      <c r="L1350" s="0"/>
      <c r="M1350" s="0" t="s">
        <v>6314</v>
      </c>
      <c r="N1350" s="0" t="str">
        <f aca="false">RIGHT(M1350,LEN(M1350)-FIND(" ",M1350))</f>
        <v>LARCHMONT AVE NE</v>
      </c>
      <c r="P1350" s="0" t="s">
        <v>146</v>
      </c>
      <c r="Q1350" s="0" t="s">
        <v>147</v>
      </c>
      <c r="R1350" s="0" t="n">
        <v>44483</v>
      </c>
      <c r="AD1350" s="0" t="s">
        <v>148</v>
      </c>
      <c r="AE1350" s="0" t="s">
        <v>149</v>
      </c>
      <c r="AF1350" s="0" t="s">
        <v>150</v>
      </c>
      <c r="AH1350" s="0" t="n">
        <v>14</v>
      </c>
      <c r="AI1350" s="0" t="n">
        <v>11</v>
      </c>
      <c r="AN1350" s="0" t="s">
        <v>146</v>
      </c>
      <c r="AO1350" s="0" t="s">
        <v>236</v>
      </c>
      <c r="AP1350" s="0" t="s">
        <v>237</v>
      </c>
      <c r="AQ1350" s="0" t="n">
        <v>9</v>
      </c>
      <c r="AR1350" s="0" t="n">
        <v>64</v>
      </c>
      <c r="AS1350" s="0" t="n">
        <v>32</v>
      </c>
      <c r="AU1350" s="0" t="n">
        <f aca="false">COUNTA($BA$400:$EH$400)</f>
        <v>50</v>
      </c>
      <c r="AV1350" s="0" t="n">
        <f aca="false">COUNTIF($BA$400:$EH$400,"D")</f>
        <v>17</v>
      </c>
      <c r="AW1350" s="0" t="n">
        <f aca="false">COUNTIF($BA$400:$EH$400,"R")</f>
        <v>0</v>
      </c>
      <c r="AX1350" s="0" t="n">
        <f aca="false"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>0</v>
      </c>
      <c r="AY1350" s="0" t="n">
        <f aca="false">COUNTIF(DU1350:EH1350, "&lt;&gt;")</f>
        <v>0</v>
      </c>
      <c r="AZ1350" s="0" t="n">
        <f aca="false">IF(EH1350&lt;&gt;"",1,0)</f>
        <v>0</v>
      </c>
      <c r="BB1350" s="0" t="s">
        <v>153</v>
      </c>
    </row>
    <row r="1351" customFormat="false" ht="13.8" hidden="true" customHeight="false" outlineLevel="0" collapsed="false">
      <c r="A1351" s="0" t="s">
        <v>6318</v>
      </c>
      <c r="B1351" s="0" t="n">
        <v>78</v>
      </c>
      <c r="C1351" s="0" t="n">
        <v>431465</v>
      </c>
      <c r="D1351" s="0" t="s">
        <v>1527</v>
      </c>
      <c r="E1351" s="0" t="s">
        <v>6319</v>
      </c>
      <c r="F1351" s="0" t="str">
        <f aca="false">CONCATENATE(D1351," ",LEFT(H1351,4),"T=",AU1351,"D=",AV1351,"R=",AW1351,"M=",AX1351,"L=",AY1351,"B=",AZ1351)</f>
        <v>KENNEDY T=10D=1R=0M=0L=0B=0</v>
      </c>
      <c r="G1351" s="0" t="s">
        <v>241</v>
      </c>
      <c r="I1351" s="0" t="s">
        <v>6320</v>
      </c>
      <c r="J1351" s="0" t="s">
        <v>6321</v>
      </c>
      <c r="K1351" s="0" t="s">
        <v>144</v>
      </c>
      <c r="L1351" s="0"/>
      <c r="M1351" s="0" t="s">
        <v>6314</v>
      </c>
      <c r="N1351" s="0" t="str">
        <f aca="false">RIGHT(M1351,LEN(M1351)-FIND(" ",M1351))</f>
        <v>LARCHMONT AVE NE</v>
      </c>
      <c r="P1351" s="0" t="s">
        <v>146</v>
      </c>
      <c r="Q1351" s="0" t="s">
        <v>147</v>
      </c>
      <c r="R1351" s="0" t="n">
        <v>44483</v>
      </c>
      <c r="AD1351" s="0" t="s">
        <v>148</v>
      </c>
      <c r="AE1351" s="0" t="s">
        <v>149</v>
      </c>
      <c r="AF1351" s="0" t="s">
        <v>150</v>
      </c>
      <c r="AH1351" s="0" t="n">
        <v>14</v>
      </c>
      <c r="AI1351" s="0" t="n">
        <v>11</v>
      </c>
      <c r="AN1351" s="0" t="s">
        <v>146</v>
      </c>
      <c r="AO1351" s="0" t="s">
        <v>236</v>
      </c>
      <c r="AP1351" s="0" t="s">
        <v>237</v>
      </c>
      <c r="AQ1351" s="0" t="n">
        <v>9</v>
      </c>
      <c r="AR1351" s="0" t="n">
        <v>64</v>
      </c>
      <c r="AS1351" s="0" t="n">
        <v>32</v>
      </c>
      <c r="AU1351" s="0" t="n">
        <f aca="false">COUNTA($BA$647:$EH$647)</f>
        <v>10</v>
      </c>
      <c r="AV1351" s="0" t="n">
        <f aca="false">COUNTIF($BA$647:$EH$647,"D")</f>
        <v>1</v>
      </c>
      <c r="AW1351" s="0" t="n">
        <f aca="false">COUNTIF($BA$647:$EH$647,"R")</f>
        <v>0</v>
      </c>
      <c r="AX1351" s="0" t="n">
        <f aca="false"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>0</v>
      </c>
      <c r="AY1351" s="0" t="n">
        <f aca="false">COUNTIF(DU1351:EH1351, "&lt;&gt;")</f>
        <v>0</v>
      </c>
      <c r="AZ1351" s="0" t="n">
        <f aca="false">IF(EH1351&lt;&gt;"",1,0)</f>
        <v>0</v>
      </c>
      <c r="BB1351" s="0" t="s">
        <v>153</v>
      </c>
    </row>
    <row r="1352" customFormat="false" ht="13.8" hidden="true" customHeight="false" outlineLevel="0" collapsed="false">
      <c r="A1352" s="0" t="s">
        <v>6322</v>
      </c>
      <c r="B1352" s="0" t="n">
        <v>78</v>
      </c>
      <c r="C1352" s="0" t="n">
        <v>487881</v>
      </c>
      <c r="D1352" s="0" t="s">
        <v>139</v>
      </c>
      <c r="E1352" s="0" t="s">
        <v>6323</v>
      </c>
      <c r="F1352" s="0" t="str">
        <f aca="false">CONCATENATE(D1352," ",LEFT(H1352,4),"T=",AU1352,"D=",AV1352,"R=",AW1352,"M=",AX1352,"L=",AY1352,"B=",AZ1352)</f>
        <v>ALLEN T=8D=0R=2M=0L=0B=0</v>
      </c>
      <c r="G1352" s="0" t="s">
        <v>172</v>
      </c>
      <c r="I1352" s="0" t="s">
        <v>6324</v>
      </c>
      <c r="J1352" s="0" t="s">
        <v>6201</v>
      </c>
      <c r="K1352" s="0" t="s">
        <v>175</v>
      </c>
      <c r="L1352" s="0"/>
      <c r="M1352" s="0" t="s">
        <v>6325</v>
      </c>
      <c r="N1352" s="0" t="str">
        <f aca="false">RIGHT(M1352,LEN(M1352)-FIND(" ",M1352))</f>
        <v>LARCHMONT AVE NE</v>
      </c>
      <c r="P1352" s="0" t="s">
        <v>146</v>
      </c>
      <c r="Q1352" s="0" t="s">
        <v>147</v>
      </c>
      <c r="R1352" s="0" t="n">
        <v>44483</v>
      </c>
      <c r="AD1352" s="0" t="s">
        <v>148</v>
      </c>
      <c r="AE1352" s="0" t="s">
        <v>149</v>
      </c>
      <c r="AF1352" s="0" t="s">
        <v>150</v>
      </c>
      <c r="AH1352" s="0" t="n">
        <v>14</v>
      </c>
      <c r="AI1352" s="0" t="n">
        <v>11</v>
      </c>
      <c r="AN1352" s="0" t="s">
        <v>146</v>
      </c>
      <c r="AO1352" s="0" t="s">
        <v>236</v>
      </c>
      <c r="AP1352" s="0" t="s">
        <v>237</v>
      </c>
      <c r="AQ1352" s="0" t="n">
        <v>9</v>
      </c>
      <c r="AR1352" s="0" t="n">
        <v>64</v>
      </c>
      <c r="AS1352" s="0" t="n">
        <v>32</v>
      </c>
      <c r="AU1352" s="0" t="n">
        <f aca="false">COUNTA($BA$255:$EH$255)</f>
        <v>8</v>
      </c>
      <c r="AV1352" s="0" t="n">
        <f aca="false">COUNTIF($BA$255:$EH$255,"D")</f>
        <v>0</v>
      </c>
      <c r="AW1352" s="0" t="n">
        <f aca="false">COUNTIF($BA$255:$EH$255,"R")</f>
        <v>2</v>
      </c>
      <c r="AX1352" s="0" t="n">
        <f aca="false"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>0</v>
      </c>
      <c r="AY1352" s="0" t="n">
        <f aca="false">COUNTIF(DU1352:EH1352, "&lt;&gt;")</f>
        <v>0</v>
      </c>
      <c r="AZ1352" s="0" t="n">
        <f aca="false">IF(EH1352&lt;&gt;"",1,0)</f>
        <v>0</v>
      </c>
      <c r="BB1352" s="0" t="s">
        <v>153</v>
      </c>
    </row>
    <row r="1353" customFormat="false" ht="13.8" hidden="true" customHeight="false" outlineLevel="0" collapsed="false">
      <c r="A1353" s="0" t="s">
        <v>6326</v>
      </c>
      <c r="B1353" s="0" t="n">
        <v>78</v>
      </c>
      <c r="C1353" s="0" t="n">
        <v>346418</v>
      </c>
      <c r="D1353" s="0" t="s">
        <v>139</v>
      </c>
      <c r="E1353" s="0" t="s">
        <v>932</v>
      </c>
      <c r="F1353" s="0" t="str">
        <f aca="false">CONCATENATE(D1353," ",LEFT(H1353,4),"T=",AU1353,"D=",AV1353,"R=",AW1353,"M=",AX1353,"L=",AY1353,"B=",AZ1353)</f>
        <v>ALLEN T=30D=6R=0M=0L=0B=0</v>
      </c>
      <c r="G1353" s="0" t="s">
        <v>6327</v>
      </c>
      <c r="I1353" s="0" t="s">
        <v>6328</v>
      </c>
      <c r="J1353" s="0" t="s">
        <v>4664</v>
      </c>
      <c r="K1353" s="0" t="s">
        <v>175</v>
      </c>
      <c r="L1353" s="0"/>
      <c r="M1353" s="0" t="s">
        <v>6325</v>
      </c>
      <c r="N1353" s="0" t="str">
        <f aca="false">RIGHT(M1353,LEN(M1353)-FIND(" ",M1353))</f>
        <v>LARCHMONT AVE NE</v>
      </c>
      <c r="P1353" s="0" t="s">
        <v>146</v>
      </c>
      <c r="Q1353" s="0" t="s">
        <v>147</v>
      </c>
      <c r="R1353" s="0" t="n">
        <v>44483</v>
      </c>
      <c r="AD1353" s="0" t="s">
        <v>148</v>
      </c>
      <c r="AE1353" s="0" t="s">
        <v>149</v>
      </c>
      <c r="AF1353" s="0" t="s">
        <v>150</v>
      </c>
      <c r="AH1353" s="0" t="n">
        <v>14</v>
      </c>
      <c r="AI1353" s="0" t="n">
        <v>11</v>
      </c>
      <c r="AN1353" s="0" t="s">
        <v>146</v>
      </c>
      <c r="AO1353" s="0" t="s">
        <v>236</v>
      </c>
      <c r="AP1353" s="0" t="s">
        <v>237</v>
      </c>
      <c r="AQ1353" s="0" t="n">
        <v>9</v>
      </c>
      <c r="AR1353" s="0" t="n">
        <v>64</v>
      </c>
      <c r="AS1353" s="0" t="n">
        <v>32</v>
      </c>
      <c r="AU1353" s="0" t="n">
        <f aca="false">COUNTA($BA$319:$EH$319)</f>
        <v>30</v>
      </c>
      <c r="AV1353" s="0" t="n">
        <f aca="false">COUNTIF($BA$319:$EH$319,"D")</f>
        <v>6</v>
      </c>
      <c r="AW1353" s="0" t="n">
        <f aca="false">COUNTIF($BA$319:$EH$319,"R")</f>
        <v>0</v>
      </c>
      <c r="AX1353" s="0" t="n">
        <f aca="false"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>0</v>
      </c>
      <c r="AY1353" s="0" t="n">
        <f aca="false">COUNTIF(DU1353:EH1353, "&lt;&gt;")</f>
        <v>0</v>
      </c>
      <c r="AZ1353" s="0" t="n">
        <f aca="false">IF(EH1353&lt;&gt;"",1,0)</f>
        <v>0</v>
      </c>
      <c r="BB1353" s="0" t="s">
        <v>153</v>
      </c>
      <c r="BY1353" s="0" t="s">
        <v>155</v>
      </c>
      <c r="CA1353" s="0" t="s">
        <v>154</v>
      </c>
      <c r="CK1353" s="0" t="s">
        <v>154</v>
      </c>
      <c r="CP1353" s="0" t="s">
        <v>154</v>
      </c>
      <c r="DC1353" s="0" t="s">
        <v>154</v>
      </c>
      <c r="DN1353" s="0" t="s">
        <v>154</v>
      </c>
    </row>
    <row r="1354" customFormat="false" ht="13.8" hidden="true" customHeight="false" outlineLevel="0" collapsed="false">
      <c r="A1354" s="0" t="s">
        <v>6329</v>
      </c>
      <c r="B1354" s="0" t="n">
        <v>78</v>
      </c>
      <c r="C1354" s="0" t="n">
        <v>445047</v>
      </c>
      <c r="D1354" s="0" t="s">
        <v>6330</v>
      </c>
      <c r="E1354" s="0" t="s">
        <v>6331</v>
      </c>
      <c r="F1354" s="0" t="str">
        <f aca="false">CONCATENATE(D1354," ",LEFT(H1354,4),"T=",AU1354,"D=",AV1354,"R=",AW1354,"M=",AX1354,"L=",AY1354,"B=",AZ1354)</f>
        <v>SALTER T=2D=0R=0M=0L=0B=0</v>
      </c>
      <c r="I1354" s="0" t="s">
        <v>6332</v>
      </c>
      <c r="J1354" s="0" t="s">
        <v>6333</v>
      </c>
      <c r="K1354" s="0" t="s">
        <v>144</v>
      </c>
      <c r="L1354" s="0"/>
      <c r="M1354" s="0" t="s">
        <v>6325</v>
      </c>
      <c r="N1354" s="0" t="str">
        <f aca="false">RIGHT(M1354,LEN(M1354)-FIND(" ",M1354))</f>
        <v>LARCHMONT AVE NE</v>
      </c>
      <c r="P1354" s="0" t="s">
        <v>146</v>
      </c>
      <c r="Q1354" s="0" t="s">
        <v>147</v>
      </c>
      <c r="R1354" s="0" t="n">
        <v>44483</v>
      </c>
      <c r="AD1354" s="0" t="s">
        <v>148</v>
      </c>
      <c r="AE1354" s="0" t="s">
        <v>149</v>
      </c>
      <c r="AF1354" s="0" t="s">
        <v>150</v>
      </c>
      <c r="AH1354" s="0" t="n">
        <v>14</v>
      </c>
      <c r="AI1354" s="0" t="n">
        <v>11</v>
      </c>
      <c r="AN1354" s="0" t="s">
        <v>146</v>
      </c>
      <c r="AO1354" s="0" t="s">
        <v>236</v>
      </c>
      <c r="AP1354" s="0" t="s">
        <v>237</v>
      </c>
      <c r="AQ1354" s="0" t="n">
        <v>9</v>
      </c>
      <c r="AR1354" s="0" t="n">
        <v>64</v>
      </c>
      <c r="AS1354" s="0" t="n">
        <v>32</v>
      </c>
      <c r="AU1354" s="0" t="n">
        <f aca="false">COUNTA($BA$460:$EH$460)</f>
        <v>2</v>
      </c>
      <c r="AV1354" s="0" t="n">
        <f aca="false">COUNTIF($BA$460:$EH$460,"D")</f>
        <v>0</v>
      </c>
      <c r="AW1354" s="0" t="n">
        <f aca="false">COUNTIF($BA$460:$EH$460,"R")</f>
        <v>0</v>
      </c>
      <c r="AX1354" s="0" t="n">
        <f aca="false"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>0</v>
      </c>
      <c r="AY1354" s="0" t="n">
        <f aca="false">COUNTIF(DU1354:EH1354, "&lt;&gt;")</f>
        <v>0</v>
      </c>
      <c r="AZ1354" s="0" t="n">
        <f aca="false">IF(EH1354&lt;&gt;"",1,0)</f>
        <v>0</v>
      </c>
      <c r="BB1354" s="0" t="s">
        <v>153</v>
      </c>
      <c r="DN1354" s="0" t="s">
        <v>154</v>
      </c>
    </row>
    <row r="1355" customFormat="false" ht="13.8" hidden="false" customHeight="false" outlineLevel="0" collapsed="false">
      <c r="A1355" s="0" t="s">
        <v>6334</v>
      </c>
      <c r="B1355" s="0" t="n">
        <v>78</v>
      </c>
      <c r="C1355" s="0" t="n">
        <v>250268</v>
      </c>
      <c r="D1355" s="0" t="s">
        <v>6335</v>
      </c>
      <c r="E1355" s="0" t="s">
        <v>771</v>
      </c>
      <c r="F1355" s="0" t="str">
        <f aca="false">CONCATENATE(D1355," ",LEFT(H1355,4),"T=",AU1355,"D=",AV1355,"R=",AW1355,"M=",AX1355,"L=",AY1355,"B=",AZ1355)</f>
        <v>MARZULLA T=1D=0R=0M=5L=7B=1</v>
      </c>
      <c r="G1355" s="0" t="s">
        <v>297</v>
      </c>
      <c r="I1355" s="0" t="s">
        <v>6336</v>
      </c>
      <c r="J1355" s="0" t="s">
        <v>6337</v>
      </c>
      <c r="K1355" s="0" t="s">
        <v>175</v>
      </c>
      <c r="L1355" s="1" t="s">
        <v>155</v>
      </c>
      <c r="M1355" s="0" t="s">
        <v>6338</v>
      </c>
      <c r="N1355" s="0" t="str">
        <f aca="false">RIGHT(M1355,LEN(M1355)-FIND(" ",M1355))</f>
        <v>LARCHMONT AVE NE</v>
      </c>
      <c r="P1355" s="0" t="s">
        <v>146</v>
      </c>
      <c r="Q1355" s="0" t="s">
        <v>147</v>
      </c>
      <c r="R1355" s="0" t="n">
        <v>44483</v>
      </c>
      <c r="AD1355" s="0" t="s">
        <v>148</v>
      </c>
      <c r="AE1355" s="0" t="s">
        <v>149</v>
      </c>
      <c r="AF1355" s="0" t="s">
        <v>150</v>
      </c>
      <c r="AH1355" s="0" t="n">
        <v>14</v>
      </c>
      <c r="AI1355" s="0" t="n">
        <v>11</v>
      </c>
      <c r="AN1355" s="0" t="s">
        <v>146</v>
      </c>
      <c r="AO1355" s="0" t="s">
        <v>236</v>
      </c>
      <c r="AP1355" s="0" t="s">
        <v>237</v>
      </c>
      <c r="AQ1355" s="0" t="n">
        <v>9</v>
      </c>
      <c r="AR1355" s="0" t="n">
        <v>64</v>
      </c>
      <c r="AS1355" s="0" t="n">
        <v>32</v>
      </c>
      <c r="AU1355" s="0" t="n">
        <f aca="false">COUNTA($BA$830:$EH$830)</f>
        <v>1</v>
      </c>
      <c r="AV1355" s="0" t="n">
        <f aca="false">COUNTIF($BA$830:$EH$830,"D")</f>
        <v>0</v>
      </c>
      <c r="AW1355" s="0" t="n">
        <f aca="false">COUNTIF($BA$830:$EH$830,"R")</f>
        <v>0</v>
      </c>
      <c r="AX1355" s="0" t="n">
        <f aca="false"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>5</v>
      </c>
      <c r="AY1355" s="0" t="n">
        <f aca="false">COUNTIF(DU1355:EH1355, "&lt;&gt;")</f>
        <v>7</v>
      </c>
      <c r="AZ1355" s="0" t="n">
        <f aca="false">IF(EH1355&lt;&gt;"",1,0)</f>
        <v>1</v>
      </c>
      <c r="BB1355" s="0" t="s">
        <v>153</v>
      </c>
      <c r="BD1355" s="0" t="s">
        <v>154</v>
      </c>
      <c r="BF1355" s="0" t="s">
        <v>154</v>
      </c>
      <c r="BG1355" s="0" t="s">
        <v>154</v>
      </c>
      <c r="BH1355" s="0" t="s">
        <v>154</v>
      </c>
      <c r="BL1355" s="0" t="s">
        <v>154</v>
      </c>
      <c r="BP1355" s="0" t="s">
        <v>154</v>
      </c>
      <c r="BR1355" s="0" t="s">
        <v>154</v>
      </c>
      <c r="BS1355" s="0" t="s">
        <v>154</v>
      </c>
      <c r="BY1355" s="0" t="s">
        <v>155</v>
      </c>
      <c r="CA1355" s="0" t="s">
        <v>154</v>
      </c>
      <c r="CG1355" s="0" t="s">
        <v>154</v>
      </c>
      <c r="CH1355" s="0" t="s">
        <v>155</v>
      </c>
      <c r="CK1355" s="0" t="s">
        <v>154</v>
      </c>
      <c r="CL1355" s="0" t="s">
        <v>155</v>
      </c>
      <c r="CN1355" s="0" t="s">
        <v>154</v>
      </c>
      <c r="CP1355" s="0" t="s">
        <v>154</v>
      </c>
      <c r="CT1355" s="0" t="s">
        <v>154</v>
      </c>
      <c r="CU1355" s="0" t="s">
        <v>155</v>
      </c>
      <c r="CV1355" s="0" t="s">
        <v>154</v>
      </c>
      <c r="CY1355" s="0" t="s">
        <v>154</v>
      </c>
      <c r="CZ1355" s="0" t="s">
        <v>155</v>
      </c>
      <c r="DC1355" s="0" t="s">
        <v>154</v>
      </c>
      <c r="DD1355" s="0" t="s">
        <v>155</v>
      </c>
      <c r="DF1355" s="0" t="s">
        <v>154</v>
      </c>
      <c r="DG1355" s="0" t="s">
        <v>155</v>
      </c>
      <c r="DI1355" s="0" t="s">
        <v>154</v>
      </c>
      <c r="DJ1355" s="0" t="s">
        <v>155</v>
      </c>
      <c r="DL1355" s="0" t="s">
        <v>154</v>
      </c>
      <c r="DM1355" s="0" t="s">
        <v>155</v>
      </c>
      <c r="DN1355" s="0" t="s">
        <v>154</v>
      </c>
      <c r="DR1355" s="0" t="s">
        <v>154</v>
      </c>
      <c r="DS1355" s="0" t="s">
        <v>155</v>
      </c>
      <c r="DT1355" s="0" t="s">
        <v>155</v>
      </c>
      <c r="DU1355" s="0" t="s">
        <v>154</v>
      </c>
      <c r="DW1355" s="0" t="s">
        <v>155</v>
      </c>
      <c r="DX1355" s="0" t="s">
        <v>154</v>
      </c>
      <c r="EA1355" s="0" t="s">
        <v>154</v>
      </c>
      <c r="ED1355" s="0" t="s">
        <v>155</v>
      </c>
      <c r="EF1355" s="0" t="s">
        <v>154</v>
      </c>
      <c r="EH1355" s="0" t="s">
        <v>155</v>
      </c>
    </row>
    <row r="1356" customFormat="false" ht="13.8" hidden="false" customHeight="false" outlineLevel="0" collapsed="false">
      <c r="A1356" s="0" t="s">
        <v>6339</v>
      </c>
      <c r="B1356" s="0" t="n">
        <v>78</v>
      </c>
      <c r="C1356" s="0" t="n">
        <v>430476</v>
      </c>
      <c r="D1356" s="0" t="s">
        <v>6340</v>
      </c>
      <c r="E1356" s="0" t="s">
        <v>6341</v>
      </c>
      <c r="F1356" s="0" t="str">
        <f aca="false">CONCATENATE(D1356," ",LEFT(H1356,4),"T=",AU1356,"D=",AV1356,"R=",AW1356,"M=",AX1356,"L=",AY1356,"B=",AZ1356)</f>
        <v>NADZAN T=1D=0R=0M=1L=2B=0</v>
      </c>
      <c r="G1356" s="0" t="s">
        <v>6342</v>
      </c>
      <c r="I1356" s="0" t="s">
        <v>6343</v>
      </c>
      <c r="J1356" s="0" t="s">
        <v>6344</v>
      </c>
      <c r="K1356" s="0" t="s">
        <v>175</v>
      </c>
      <c r="L1356" s="1" t="s">
        <v>155</v>
      </c>
      <c r="M1356" s="0" t="s">
        <v>6338</v>
      </c>
      <c r="N1356" s="0" t="str">
        <f aca="false">RIGHT(M1356,LEN(M1356)-FIND(" ",M1356))</f>
        <v>LARCHMONT AVE NE</v>
      </c>
      <c r="P1356" s="0" t="s">
        <v>146</v>
      </c>
      <c r="Q1356" s="0" t="s">
        <v>147</v>
      </c>
      <c r="R1356" s="0" t="n">
        <v>44483</v>
      </c>
      <c r="AD1356" s="0" t="s">
        <v>148</v>
      </c>
      <c r="AE1356" s="0" t="s">
        <v>149</v>
      </c>
      <c r="AF1356" s="0" t="s">
        <v>150</v>
      </c>
      <c r="AH1356" s="0" t="n">
        <v>14</v>
      </c>
      <c r="AI1356" s="0" t="n">
        <v>11</v>
      </c>
      <c r="AN1356" s="0" t="s">
        <v>146</v>
      </c>
      <c r="AO1356" s="0" t="s">
        <v>236</v>
      </c>
      <c r="AP1356" s="0" t="s">
        <v>237</v>
      </c>
      <c r="AQ1356" s="0" t="n">
        <v>9</v>
      </c>
      <c r="AR1356" s="0" t="n">
        <v>64</v>
      </c>
      <c r="AS1356" s="0" t="n">
        <v>32</v>
      </c>
      <c r="AU1356" s="0" t="n">
        <f aca="false">COUNTA($BA$897:$EH$897)</f>
        <v>1</v>
      </c>
      <c r="AV1356" s="0" t="n">
        <f aca="false">COUNTIF($BA$897:$EH$897,"D")</f>
        <v>0</v>
      </c>
      <c r="AW1356" s="0" t="n">
        <f aca="false">COUNTIF($BA$897:$EH$897,"R")</f>
        <v>0</v>
      </c>
      <c r="AX1356" s="0" t="n">
        <f aca="false"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>1</v>
      </c>
      <c r="AY1356" s="0" t="n">
        <f aca="false">COUNTIF(DU1356:EH1356, "&lt;&gt;")</f>
        <v>2</v>
      </c>
      <c r="AZ1356" s="0" t="n">
        <f aca="false">IF(EH1356&lt;&gt;"",1,0)</f>
        <v>0</v>
      </c>
      <c r="BB1356" s="0" t="s">
        <v>153</v>
      </c>
      <c r="DW1356" s="0" t="s">
        <v>155</v>
      </c>
      <c r="EF1356" s="0" t="s">
        <v>154</v>
      </c>
    </row>
    <row r="1357" customFormat="false" ht="13.8" hidden="true" customHeight="false" outlineLevel="0" collapsed="false">
      <c r="A1357" s="0" t="s">
        <v>6345</v>
      </c>
      <c r="B1357" s="0" t="n">
        <v>78</v>
      </c>
      <c r="C1357" s="0" t="n">
        <v>430288</v>
      </c>
      <c r="D1357" s="0" t="s">
        <v>6346</v>
      </c>
      <c r="E1357" s="0" t="s">
        <v>6347</v>
      </c>
      <c r="F1357" s="0" t="str">
        <f aca="false">CONCATENATE(D1357," ",LEFT(H1357,4),"T=",AU1357,"D=",AV1357,"R=",AW1357,"M=",AX1357,"L=",AY1357,"B=",AZ1357)</f>
        <v>FANT T=1D=0R=0M=0L=0B=0</v>
      </c>
      <c r="G1357" s="0" t="s">
        <v>297</v>
      </c>
      <c r="I1357" s="0" t="s">
        <v>6348</v>
      </c>
      <c r="J1357" s="0" t="s">
        <v>6349</v>
      </c>
      <c r="K1357" s="0" t="s">
        <v>144</v>
      </c>
      <c r="L1357" s="0"/>
      <c r="M1357" s="0" t="s">
        <v>6350</v>
      </c>
      <c r="N1357" s="0" t="str">
        <f aca="false">RIGHT(M1357,LEN(M1357)-FIND(" ",M1357))</f>
        <v>LARCHMONT AVE NE</v>
      </c>
      <c r="P1357" s="0" t="s">
        <v>146</v>
      </c>
      <c r="Q1357" s="0" t="s">
        <v>147</v>
      </c>
      <c r="R1357" s="0" t="n">
        <v>44483</v>
      </c>
      <c r="AD1357" s="0" t="s">
        <v>148</v>
      </c>
      <c r="AE1357" s="0" t="s">
        <v>149</v>
      </c>
      <c r="AF1357" s="0" t="s">
        <v>150</v>
      </c>
      <c r="AH1357" s="0" t="n">
        <v>14</v>
      </c>
      <c r="AI1357" s="0" t="n">
        <v>11</v>
      </c>
      <c r="AN1357" s="0" t="s">
        <v>146</v>
      </c>
      <c r="AO1357" s="0" t="s">
        <v>236</v>
      </c>
      <c r="AP1357" s="0" t="s">
        <v>237</v>
      </c>
      <c r="AQ1357" s="0" t="n">
        <v>9</v>
      </c>
      <c r="AR1357" s="0" t="n">
        <v>64</v>
      </c>
      <c r="AS1357" s="0" t="n">
        <v>32</v>
      </c>
      <c r="AU1357" s="0" t="n">
        <f aca="false">COUNTA($BA$91:$EH$91)</f>
        <v>1</v>
      </c>
      <c r="AV1357" s="0" t="n">
        <f aca="false">COUNTIF($BA$91:$EH$91,"D")</f>
        <v>0</v>
      </c>
      <c r="AW1357" s="0" t="n">
        <f aca="false">COUNTIF($BA$91:$EH$91,"R")</f>
        <v>0</v>
      </c>
      <c r="AX1357" s="0" t="n">
        <f aca="false"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>0</v>
      </c>
      <c r="AY1357" s="0" t="n">
        <f aca="false">COUNTIF(DU1357:EH1357, "&lt;&gt;")</f>
        <v>0</v>
      </c>
      <c r="AZ1357" s="0" t="n">
        <f aca="false">IF(EH1357&lt;&gt;"",1,0)</f>
        <v>0</v>
      </c>
      <c r="BB1357" s="0" t="s">
        <v>153</v>
      </c>
    </row>
    <row r="1358" customFormat="false" ht="13.8" hidden="true" customHeight="false" outlineLevel="0" collapsed="false">
      <c r="A1358" s="0" t="s">
        <v>6351</v>
      </c>
      <c r="B1358" s="0" t="n">
        <v>78</v>
      </c>
      <c r="C1358" s="0" t="n">
        <v>284467</v>
      </c>
      <c r="D1358" s="0" t="s">
        <v>6346</v>
      </c>
      <c r="E1358" s="0" t="s">
        <v>6352</v>
      </c>
      <c r="F1358" s="0" t="str">
        <f aca="false">CONCATENATE(D1358," ",LEFT(H1358,4),"T=",AU1358,"D=",AV1358,"R=",AW1358,"M=",AX1358,"L=",AY1358,"B=",AZ1358)</f>
        <v>FANT T=1D=0R=0M=0L=1B=0</v>
      </c>
      <c r="G1358" s="0" t="s">
        <v>297</v>
      </c>
      <c r="I1358" s="0" t="s">
        <v>6353</v>
      </c>
      <c r="J1358" s="0" t="s">
        <v>521</v>
      </c>
      <c r="K1358" s="0" t="s">
        <v>175</v>
      </c>
      <c r="L1358" s="0"/>
      <c r="M1358" s="0" t="s">
        <v>6350</v>
      </c>
      <c r="N1358" s="0" t="str">
        <f aca="false">RIGHT(M1358,LEN(M1358)-FIND(" ",M1358))</f>
        <v>LARCHMONT AVE NE</v>
      </c>
      <c r="P1358" s="0" t="s">
        <v>146</v>
      </c>
      <c r="Q1358" s="0" t="s">
        <v>147</v>
      </c>
      <c r="R1358" s="0" t="n">
        <v>44483</v>
      </c>
      <c r="AD1358" s="0" t="s">
        <v>148</v>
      </c>
      <c r="AE1358" s="0" t="s">
        <v>149</v>
      </c>
      <c r="AF1358" s="0" t="s">
        <v>150</v>
      </c>
      <c r="AH1358" s="0" t="n">
        <v>14</v>
      </c>
      <c r="AI1358" s="0" t="n">
        <v>11</v>
      </c>
      <c r="AN1358" s="0" t="s">
        <v>146</v>
      </c>
      <c r="AO1358" s="0" t="s">
        <v>236</v>
      </c>
      <c r="AP1358" s="0" t="s">
        <v>237</v>
      </c>
      <c r="AQ1358" s="0" t="n">
        <v>9</v>
      </c>
      <c r="AR1358" s="0" t="n">
        <v>64</v>
      </c>
      <c r="AS1358" s="0" t="n">
        <v>32</v>
      </c>
      <c r="AU1358" s="0" t="n">
        <f aca="false">COUNTA($BA$722:$EH$722)</f>
        <v>1</v>
      </c>
      <c r="AV1358" s="0" t="n">
        <f aca="false">COUNTIF($BA$722:$EH$722,"D")</f>
        <v>0</v>
      </c>
      <c r="AW1358" s="0" t="n">
        <f aca="false">COUNTIF($BA$722:$EH$722,"R")</f>
        <v>0</v>
      </c>
      <c r="AX1358" s="0" t="n">
        <f aca="false"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>0</v>
      </c>
      <c r="AY1358" s="0" t="n">
        <f aca="false">COUNTIF(DU1358:EH1358, "&lt;&gt;")</f>
        <v>1</v>
      </c>
      <c r="AZ1358" s="0" t="n">
        <f aca="false">IF(EH1358&lt;&gt;"",1,0)</f>
        <v>0</v>
      </c>
      <c r="BB1358" s="0" t="s">
        <v>153</v>
      </c>
      <c r="BD1358" s="0" t="s">
        <v>154</v>
      </c>
      <c r="BF1358" s="0" t="s">
        <v>154</v>
      </c>
      <c r="BH1358" s="0" t="s">
        <v>154</v>
      </c>
      <c r="BL1358" s="0" t="s">
        <v>154</v>
      </c>
      <c r="BY1358" s="0" t="s">
        <v>155</v>
      </c>
      <c r="CA1358" s="0" t="s">
        <v>154</v>
      </c>
      <c r="CK1358" s="0" t="s">
        <v>154</v>
      </c>
      <c r="CP1358" s="0" t="s">
        <v>154</v>
      </c>
      <c r="DI1358" s="0" t="s">
        <v>154</v>
      </c>
      <c r="DN1358" s="0" t="s">
        <v>154</v>
      </c>
      <c r="DU1358" s="0" t="s">
        <v>154</v>
      </c>
    </row>
    <row r="1359" customFormat="false" ht="13.8" hidden="true" customHeight="false" outlineLevel="0" collapsed="false">
      <c r="A1359" s="0" t="s">
        <v>6354</v>
      </c>
      <c r="B1359" s="0" t="n">
        <v>78</v>
      </c>
      <c r="C1359" s="0" t="n">
        <v>446131</v>
      </c>
      <c r="D1359" s="0" t="s">
        <v>4128</v>
      </c>
      <c r="E1359" s="0" t="s">
        <v>6355</v>
      </c>
      <c r="F1359" s="0" t="str">
        <f aca="false">CONCATENATE(D1359," ",LEFT(H1359,4),"T=",AU1359,"D=",AV1359,"R=",AW1359,"M=",AX1359,"L=",AY1359,"B=",AZ1359)</f>
        <v>CARTER T=28D=5R=0M=0L=0B=0</v>
      </c>
      <c r="G1359" s="0" t="s">
        <v>750</v>
      </c>
      <c r="I1359" s="0" t="s">
        <v>6356</v>
      </c>
      <c r="J1359" s="0" t="s">
        <v>6357</v>
      </c>
      <c r="K1359" s="0" t="s">
        <v>144</v>
      </c>
      <c r="L1359" s="0"/>
      <c r="M1359" s="0" t="s">
        <v>6358</v>
      </c>
      <c r="N1359" s="0" t="str">
        <f aca="false">RIGHT(M1359,LEN(M1359)-FIND(" ",M1359))</f>
        <v>LARCHMONT AVE NE</v>
      </c>
      <c r="P1359" s="0" t="s">
        <v>146</v>
      </c>
      <c r="Q1359" s="0" t="s">
        <v>147</v>
      </c>
      <c r="R1359" s="0" t="n">
        <v>44483</v>
      </c>
      <c r="AD1359" s="0" t="s">
        <v>148</v>
      </c>
      <c r="AE1359" s="0" t="s">
        <v>149</v>
      </c>
      <c r="AF1359" s="0" t="s">
        <v>150</v>
      </c>
      <c r="AH1359" s="0" t="n">
        <v>14</v>
      </c>
      <c r="AI1359" s="0" t="n">
        <v>11</v>
      </c>
      <c r="AN1359" s="0" t="s">
        <v>146</v>
      </c>
      <c r="AO1359" s="0" t="s">
        <v>236</v>
      </c>
      <c r="AP1359" s="0" t="s">
        <v>237</v>
      </c>
      <c r="AQ1359" s="0" t="n">
        <v>9</v>
      </c>
      <c r="AR1359" s="0" t="n">
        <v>64</v>
      </c>
      <c r="AS1359" s="0" t="n">
        <v>32</v>
      </c>
      <c r="AU1359" s="0" t="n">
        <f aca="false">COUNTA($BA$589:$EH$589)</f>
        <v>28</v>
      </c>
      <c r="AV1359" s="0" t="n">
        <f aca="false">COUNTIF($BA$589:$EH$589,"D")</f>
        <v>5</v>
      </c>
      <c r="AW1359" s="0" t="n">
        <f aca="false">COUNTIF($BA$589:$EH$589,"R")</f>
        <v>0</v>
      </c>
      <c r="AX1359" s="0" t="n">
        <f aca="false"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>0</v>
      </c>
      <c r="AY1359" s="0" t="n">
        <f aca="false">COUNTIF(DU1359:EH1359, "&lt;&gt;")</f>
        <v>0</v>
      </c>
      <c r="AZ1359" s="0" t="n">
        <f aca="false">IF(EH1359&lt;&gt;"",1,0)</f>
        <v>0</v>
      </c>
      <c r="BB1359" s="0" t="s">
        <v>153</v>
      </c>
      <c r="DN1359" s="0" t="s">
        <v>154</v>
      </c>
    </row>
    <row r="1360" customFormat="false" ht="13.8" hidden="true" customHeight="false" outlineLevel="0" collapsed="false">
      <c r="A1360" s="0" t="s">
        <v>6359</v>
      </c>
      <c r="B1360" s="0" t="n">
        <v>78</v>
      </c>
      <c r="C1360" s="0" t="n">
        <v>487207</v>
      </c>
      <c r="D1360" s="0" t="s">
        <v>4128</v>
      </c>
      <c r="E1360" s="0" t="s">
        <v>6360</v>
      </c>
      <c r="F1360" s="0" t="str">
        <f aca="false">CONCATENATE(D1360," ",LEFT(H1360,4),"T=",AU1360,"D=",AV1360,"R=",AW1360,"M=",AX1360,"L=",AY1360,"B=",AZ1360)</f>
        <v>CARTER T=3D=0R=0M=0L=0B=0</v>
      </c>
      <c r="G1360" s="0" t="s">
        <v>6361</v>
      </c>
      <c r="I1360" s="0" t="s">
        <v>6362</v>
      </c>
      <c r="J1360" s="0" t="s">
        <v>6363</v>
      </c>
      <c r="K1360" s="0" t="s">
        <v>175</v>
      </c>
      <c r="L1360" s="0"/>
      <c r="M1360" s="0" t="s">
        <v>6358</v>
      </c>
      <c r="N1360" s="0" t="str">
        <f aca="false">RIGHT(M1360,LEN(M1360)-FIND(" ",M1360))</f>
        <v>LARCHMONT AVE NE</v>
      </c>
      <c r="P1360" s="0" t="s">
        <v>146</v>
      </c>
      <c r="Q1360" s="0" t="s">
        <v>147</v>
      </c>
      <c r="R1360" s="0" t="n">
        <v>44483</v>
      </c>
      <c r="AD1360" s="0" t="s">
        <v>148</v>
      </c>
      <c r="AE1360" s="0" t="s">
        <v>149</v>
      </c>
      <c r="AF1360" s="0" t="s">
        <v>150</v>
      </c>
      <c r="AH1360" s="0" t="n">
        <v>14</v>
      </c>
      <c r="AI1360" s="0" t="n">
        <v>11</v>
      </c>
      <c r="AN1360" s="0" t="s">
        <v>146</v>
      </c>
      <c r="AO1360" s="0" t="s">
        <v>236</v>
      </c>
      <c r="AP1360" s="0" t="s">
        <v>237</v>
      </c>
      <c r="AQ1360" s="0" t="n">
        <v>9</v>
      </c>
      <c r="AR1360" s="0" t="n">
        <v>64</v>
      </c>
      <c r="AS1360" s="0" t="n">
        <v>32</v>
      </c>
      <c r="AU1360" s="0" t="n">
        <f aca="false">COUNTA($BA$673:$EH$673)</f>
        <v>3</v>
      </c>
      <c r="AV1360" s="0" t="n">
        <f aca="false">COUNTIF($BA$673:$EH$673,"D")</f>
        <v>0</v>
      </c>
      <c r="AW1360" s="0" t="n">
        <f aca="false">COUNTIF($BA$673:$EH$673,"R")</f>
        <v>0</v>
      </c>
      <c r="AX1360" s="0" t="n">
        <f aca="false"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>0</v>
      </c>
      <c r="AY1360" s="0" t="n">
        <f aca="false">COUNTIF(DU1360:EH1360, "&lt;&gt;")</f>
        <v>0</v>
      </c>
      <c r="AZ1360" s="0" t="n">
        <f aca="false">IF(EH1360&lt;&gt;"",1,0)</f>
        <v>0</v>
      </c>
      <c r="BB1360" s="0" t="s">
        <v>153</v>
      </c>
    </row>
    <row r="1361" customFormat="false" ht="13.8" hidden="false" customHeight="false" outlineLevel="0" collapsed="false">
      <c r="A1361" s="0" t="s">
        <v>6364</v>
      </c>
      <c r="B1361" s="0" t="n">
        <v>78</v>
      </c>
      <c r="C1361" s="0" t="n">
        <v>464132</v>
      </c>
      <c r="D1361" s="0" t="s">
        <v>6365</v>
      </c>
      <c r="E1361" s="0" t="s">
        <v>2244</v>
      </c>
      <c r="F1361" s="0" t="str">
        <f aca="false">CONCATENATE(D1361," ",LEFT(H1361,4),"T=",AU1361,"D=",AV1361,"R=",AW1361,"M=",AX1361,"L=",AY1361,"B=",AZ1361)</f>
        <v>GILRONAN T=1D=0R=0M=0L=3B=0</v>
      </c>
      <c r="G1361" s="0" t="s">
        <v>1964</v>
      </c>
      <c r="I1361" s="0" t="s">
        <v>6366</v>
      </c>
      <c r="J1361" s="0" t="s">
        <v>6367</v>
      </c>
      <c r="K1361" s="0" t="s">
        <v>175</v>
      </c>
      <c r="M1361" s="0" t="s">
        <v>6368</v>
      </c>
      <c r="N1361" s="0" t="str">
        <f aca="false">RIGHT(M1361,LEN(M1361)-FIND(" ",M1361))</f>
        <v>LARCHMONT AVE NE</v>
      </c>
      <c r="P1361" s="0" t="s">
        <v>146</v>
      </c>
      <c r="Q1361" s="0" t="s">
        <v>147</v>
      </c>
      <c r="R1361" s="0" t="n">
        <v>44483</v>
      </c>
      <c r="AD1361" s="0" t="s">
        <v>148</v>
      </c>
      <c r="AE1361" s="0" t="s">
        <v>149</v>
      </c>
      <c r="AF1361" s="0" t="s">
        <v>150</v>
      </c>
      <c r="AH1361" s="0" t="n">
        <v>14</v>
      </c>
      <c r="AI1361" s="0" t="n">
        <v>11</v>
      </c>
      <c r="AN1361" s="0" t="s">
        <v>146</v>
      </c>
      <c r="AO1361" s="0" t="s">
        <v>236</v>
      </c>
      <c r="AP1361" s="0" t="s">
        <v>237</v>
      </c>
      <c r="AQ1361" s="0" t="n">
        <v>9</v>
      </c>
      <c r="AR1361" s="0" t="n">
        <v>64</v>
      </c>
      <c r="AS1361" s="0" t="n">
        <v>32</v>
      </c>
      <c r="AU1361" s="0" t="n">
        <f aca="false">COUNTA($BA$399:$EH$399)</f>
        <v>1</v>
      </c>
      <c r="AV1361" s="0" t="n">
        <f aca="false">COUNTIF($BA$399:$EH$399,"D")</f>
        <v>0</v>
      </c>
      <c r="AW1361" s="0" t="n">
        <f aca="false">COUNTIF($BA$399:$EH$399,"R")</f>
        <v>0</v>
      </c>
      <c r="AX1361" s="0" t="n">
        <f aca="false"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>0</v>
      </c>
      <c r="AY1361" s="0" t="n">
        <f aca="false">COUNTIF(DU1361:EH1361, "&lt;&gt;")</f>
        <v>3</v>
      </c>
      <c r="AZ1361" s="0" t="n">
        <f aca="false">IF(EH1361&lt;&gt;"",1,0)</f>
        <v>0</v>
      </c>
      <c r="BB1361" s="0" t="s">
        <v>153</v>
      </c>
      <c r="DX1361" s="0" t="s">
        <v>154</v>
      </c>
      <c r="EA1361" s="0" t="s">
        <v>154</v>
      </c>
      <c r="EF1361" s="0" t="s">
        <v>154</v>
      </c>
    </row>
    <row r="1362" customFormat="false" ht="13.8" hidden="false" customHeight="false" outlineLevel="0" collapsed="false">
      <c r="A1362" s="0" t="s">
        <v>6369</v>
      </c>
      <c r="B1362" s="0" t="n">
        <v>78</v>
      </c>
      <c r="C1362" s="0" t="n">
        <v>214617</v>
      </c>
      <c r="D1362" s="0" t="s">
        <v>6365</v>
      </c>
      <c r="E1362" s="0" t="s">
        <v>6370</v>
      </c>
      <c r="F1362" s="0" t="str">
        <f aca="false">CONCATENATE(D1362," ",LEFT(H1362,4),"T=",AU1362,"D=",AV1362,"R=",AW1362,"M=",AX1362,"L=",AY1362,"B=",AZ1362)</f>
        <v>GILRONAN T=1D=0R=0M=1L=6B=0</v>
      </c>
      <c r="G1362" s="0" t="s">
        <v>159</v>
      </c>
      <c r="I1362" s="0" t="s">
        <v>6371</v>
      </c>
      <c r="J1362" s="0" t="s">
        <v>6372</v>
      </c>
      <c r="K1362" s="0" t="s">
        <v>175</v>
      </c>
      <c r="L1362" s="1" t="s">
        <v>176</v>
      </c>
      <c r="M1362" s="0" t="s">
        <v>6368</v>
      </c>
      <c r="N1362" s="0" t="str">
        <f aca="false">RIGHT(M1362,LEN(M1362)-FIND(" ",M1362))</f>
        <v>LARCHMONT AVE NE</v>
      </c>
      <c r="P1362" s="0" t="s">
        <v>146</v>
      </c>
      <c r="Q1362" s="0" t="s">
        <v>147</v>
      </c>
      <c r="R1362" s="0" t="n">
        <v>44483</v>
      </c>
      <c r="AD1362" s="0" t="s">
        <v>148</v>
      </c>
      <c r="AE1362" s="0" t="s">
        <v>149</v>
      </c>
      <c r="AF1362" s="0" t="s">
        <v>150</v>
      </c>
      <c r="AH1362" s="0" t="n">
        <v>14</v>
      </c>
      <c r="AI1362" s="0" t="n">
        <v>11</v>
      </c>
      <c r="AN1362" s="0" t="s">
        <v>146</v>
      </c>
      <c r="AO1362" s="0" t="s">
        <v>236</v>
      </c>
      <c r="AP1362" s="0" t="s">
        <v>237</v>
      </c>
      <c r="AQ1362" s="0" t="n">
        <v>9</v>
      </c>
      <c r="AR1362" s="0" t="n">
        <v>64</v>
      </c>
      <c r="AS1362" s="0" t="n">
        <v>32</v>
      </c>
      <c r="AU1362" s="0" t="n">
        <f aca="false">COUNTA($BA$618:$EH$618)</f>
        <v>1</v>
      </c>
      <c r="AV1362" s="0" t="n">
        <f aca="false">COUNTIF($BA$618:$EH$618,"D")</f>
        <v>0</v>
      </c>
      <c r="AW1362" s="0" t="n">
        <f aca="false">COUNTIF($BA$618:$EH$618,"R")</f>
        <v>0</v>
      </c>
      <c r="AX1362" s="0" t="n">
        <f aca="false"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>1</v>
      </c>
      <c r="AY1362" s="0" t="n">
        <f aca="false">COUNTIF(DU1362:EH1362, "&lt;&gt;")</f>
        <v>6</v>
      </c>
      <c r="AZ1362" s="0" t="n">
        <f aca="false">IF(EH1362&lt;&gt;"",1,0)</f>
        <v>0</v>
      </c>
      <c r="BB1362" s="0" t="s">
        <v>153</v>
      </c>
      <c r="BC1362" s="0" t="s">
        <v>154</v>
      </c>
      <c r="BD1362" s="0" t="s">
        <v>154</v>
      </c>
      <c r="BE1362" s="0" t="s">
        <v>154</v>
      </c>
      <c r="BG1362" s="0" t="s">
        <v>154</v>
      </c>
      <c r="BH1362" s="0" t="s">
        <v>154</v>
      </c>
      <c r="BI1362" s="0" t="s">
        <v>154</v>
      </c>
      <c r="BJ1362" s="0" t="s">
        <v>154</v>
      </c>
      <c r="BK1362" s="0" t="s">
        <v>154</v>
      </c>
      <c r="BL1362" s="0" t="s">
        <v>154</v>
      </c>
      <c r="BP1362" s="0" t="s">
        <v>154</v>
      </c>
      <c r="BR1362" s="0" t="s">
        <v>154</v>
      </c>
      <c r="BS1362" s="0" t="s">
        <v>154</v>
      </c>
      <c r="BV1362" s="0" t="s">
        <v>154</v>
      </c>
      <c r="BY1362" s="0" t="s">
        <v>155</v>
      </c>
      <c r="CA1362" s="0" t="s">
        <v>154</v>
      </c>
      <c r="CG1362" s="0" t="s">
        <v>154</v>
      </c>
      <c r="CH1362" s="0" t="s">
        <v>155</v>
      </c>
      <c r="CK1362" s="0" t="s">
        <v>154</v>
      </c>
      <c r="CN1362" s="0" t="s">
        <v>154</v>
      </c>
      <c r="CO1362" s="0" t="s">
        <v>155</v>
      </c>
      <c r="CP1362" s="0" t="s">
        <v>154</v>
      </c>
      <c r="CV1362" s="0" t="s">
        <v>154</v>
      </c>
      <c r="CY1362" s="0" t="s">
        <v>154</v>
      </c>
      <c r="CZ1362" s="0" t="s">
        <v>176</v>
      </c>
      <c r="DC1362" s="0" t="s">
        <v>154</v>
      </c>
      <c r="DF1362" s="0" t="s">
        <v>154</v>
      </c>
      <c r="DI1362" s="0" t="s">
        <v>154</v>
      </c>
      <c r="DN1362" s="0" t="s">
        <v>154</v>
      </c>
      <c r="DU1362" s="0" t="s">
        <v>154</v>
      </c>
      <c r="DW1362" s="0" t="s">
        <v>155</v>
      </c>
      <c r="DX1362" s="0" t="s">
        <v>154</v>
      </c>
      <c r="EA1362" s="0" t="s">
        <v>154</v>
      </c>
      <c r="ED1362" s="0" t="s">
        <v>176</v>
      </c>
      <c r="EF1362" s="0" t="s">
        <v>154</v>
      </c>
    </row>
    <row r="1363" customFormat="false" ht="13.8" hidden="false" customHeight="false" outlineLevel="0" collapsed="false">
      <c r="A1363" s="0" t="s">
        <v>6373</v>
      </c>
      <c r="B1363" s="0" t="n">
        <v>78</v>
      </c>
      <c r="C1363" s="0" t="n">
        <v>200667</v>
      </c>
      <c r="D1363" s="0" t="s">
        <v>6365</v>
      </c>
      <c r="E1363" s="0" t="s">
        <v>619</v>
      </c>
      <c r="F1363" s="0" t="str">
        <f aca="false">CONCATENATE(D1363," ",LEFT(H1363,4),"T=",AU1363,"D=",AV1363,"R=",AW1363,"M=",AX1363,"L=",AY1363,"B=",AZ1363)</f>
        <v>GILRONAN T=3D=0R=0M=0L=4B=0</v>
      </c>
      <c r="G1363" s="0" t="s">
        <v>188</v>
      </c>
      <c r="I1363" s="0" t="s">
        <v>6374</v>
      </c>
      <c r="J1363" s="0" t="s">
        <v>6375</v>
      </c>
      <c r="K1363" s="0" t="s">
        <v>175</v>
      </c>
      <c r="L1363" s="1" t="s">
        <v>176</v>
      </c>
      <c r="M1363" s="0" t="s">
        <v>6368</v>
      </c>
      <c r="N1363" s="0" t="str">
        <f aca="false">RIGHT(M1363,LEN(M1363)-FIND(" ",M1363))</f>
        <v>LARCHMONT AVE NE</v>
      </c>
      <c r="P1363" s="0" t="s">
        <v>146</v>
      </c>
      <c r="Q1363" s="0" t="s">
        <v>147</v>
      </c>
      <c r="R1363" s="0" t="n">
        <v>44483</v>
      </c>
      <c r="AD1363" s="0" t="s">
        <v>148</v>
      </c>
      <c r="AE1363" s="0" t="s">
        <v>149</v>
      </c>
      <c r="AF1363" s="0" t="s">
        <v>150</v>
      </c>
      <c r="AH1363" s="0" t="n">
        <v>14</v>
      </c>
      <c r="AI1363" s="0" t="n">
        <v>11</v>
      </c>
      <c r="AN1363" s="0" t="s">
        <v>146</v>
      </c>
      <c r="AO1363" s="0" t="s">
        <v>236</v>
      </c>
      <c r="AP1363" s="0" t="s">
        <v>237</v>
      </c>
      <c r="AQ1363" s="0" t="n">
        <v>9</v>
      </c>
      <c r="AR1363" s="0" t="n">
        <v>64</v>
      </c>
      <c r="AS1363" s="0" t="n">
        <v>32</v>
      </c>
      <c r="AU1363" s="0" t="n">
        <f aca="false">COUNTA($BA$809:$EH$809)</f>
        <v>3</v>
      </c>
      <c r="AV1363" s="0" t="n">
        <f aca="false">COUNTIF($BA$809:$EH$809,"D")</f>
        <v>0</v>
      </c>
      <c r="AW1363" s="0" t="n">
        <f aca="false">COUNTIF($BA$809:$EH$809,"R")</f>
        <v>0</v>
      </c>
      <c r="AX1363" s="0" t="n">
        <f aca="false"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>0</v>
      </c>
      <c r="AY1363" s="0" t="n">
        <f aca="false">COUNTIF(DU1363:EH1363, "&lt;&gt;")</f>
        <v>4</v>
      </c>
      <c r="AZ1363" s="0" t="n">
        <f aca="false">IF(EH1363&lt;&gt;"",1,0)</f>
        <v>0</v>
      </c>
      <c r="BB1363" s="0" t="s">
        <v>153</v>
      </c>
      <c r="BC1363" s="0" t="s">
        <v>154</v>
      </c>
      <c r="BD1363" s="0" t="s">
        <v>154</v>
      </c>
      <c r="BE1363" s="0" t="s">
        <v>154</v>
      </c>
      <c r="BH1363" s="0" t="s">
        <v>154</v>
      </c>
      <c r="BJ1363" s="0" t="s">
        <v>154</v>
      </c>
      <c r="BK1363" s="0" t="s">
        <v>154</v>
      </c>
      <c r="BL1363" s="0" t="s">
        <v>154</v>
      </c>
      <c r="BP1363" s="0" t="s">
        <v>154</v>
      </c>
      <c r="BS1363" s="0" t="s">
        <v>154</v>
      </c>
      <c r="BV1363" s="0" t="s">
        <v>154</v>
      </c>
      <c r="CA1363" s="0" t="s">
        <v>154</v>
      </c>
      <c r="CG1363" s="0" t="s">
        <v>154</v>
      </c>
      <c r="CH1363" s="0" t="s">
        <v>176</v>
      </c>
      <c r="CK1363" s="0" t="s">
        <v>154</v>
      </c>
      <c r="CN1363" s="0" t="s">
        <v>154</v>
      </c>
      <c r="CO1363" s="0" t="s">
        <v>176</v>
      </c>
      <c r="CP1363" s="0" t="s">
        <v>154</v>
      </c>
      <c r="CV1363" s="0" t="s">
        <v>154</v>
      </c>
      <c r="CY1363" s="0" t="s">
        <v>154</v>
      </c>
      <c r="CZ1363" s="0" t="s">
        <v>176</v>
      </c>
      <c r="DC1363" s="0" t="s">
        <v>154</v>
      </c>
      <c r="DF1363" s="0" t="s">
        <v>154</v>
      </c>
      <c r="DI1363" s="0" t="s">
        <v>154</v>
      </c>
      <c r="DN1363" s="0" t="s">
        <v>154</v>
      </c>
      <c r="DU1363" s="0" t="s">
        <v>154</v>
      </c>
      <c r="EA1363" s="0" t="s">
        <v>154</v>
      </c>
      <c r="ED1363" s="0" t="s">
        <v>176</v>
      </c>
      <c r="EF1363" s="0" t="s">
        <v>154</v>
      </c>
    </row>
    <row r="1364" customFormat="false" ht="13.8" hidden="true" customHeight="false" outlineLevel="0" collapsed="false">
      <c r="A1364" s="0" t="s">
        <v>6376</v>
      </c>
      <c r="B1364" s="0" t="n">
        <v>78</v>
      </c>
      <c r="C1364" s="0" t="n">
        <v>486290</v>
      </c>
      <c r="D1364" s="0" t="s">
        <v>6377</v>
      </c>
      <c r="E1364" s="0" t="s">
        <v>6378</v>
      </c>
      <c r="F1364" s="0" t="str">
        <f aca="false">CONCATENATE(D1364," ",LEFT(H1364,4),"T=",AU1364,"D=",AV1364,"R=",AW1364,"M=",AX1364,"L=",AY1364,"B=",AZ1364)</f>
        <v>SCATES T=16D=1R=2M=0L=0B=0</v>
      </c>
      <c r="G1364" s="0" t="s">
        <v>376</v>
      </c>
      <c r="I1364" s="0" t="s">
        <v>6379</v>
      </c>
      <c r="J1364" s="0" t="s">
        <v>1441</v>
      </c>
      <c r="K1364" s="0" t="s">
        <v>175</v>
      </c>
      <c r="L1364" s="0"/>
      <c r="M1364" s="0" t="s">
        <v>6380</v>
      </c>
      <c r="N1364" s="0" t="str">
        <f aca="false">RIGHT(M1364,LEN(M1364)-FIND(" ",M1364))</f>
        <v>LARCHMONT AVE NE</v>
      </c>
      <c r="P1364" s="0" t="s">
        <v>146</v>
      </c>
      <c r="Q1364" s="0" t="s">
        <v>147</v>
      </c>
      <c r="R1364" s="0" t="n">
        <v>44483</v>
      </c>
      <c r="AD1364" s="0" t="s">
        <v>148</v>
      </c>
      <c r="AE1364" s="0" t="s">
        <v>149</v>
      </c>
      <c r="AF1364" s="0" t="s">
        <v>150</v>
      </c>
      <c r="AH1364" s="0" t="n">
        <v>14</v>
      </c>
      <c r="AI1364" s="0" t="n">
        <v>11</v>
      </c>
      <c r="AN1364" s="0" t="s">
        <v>146</v>
      </c>
      <c r="AO1364" s="0" t="s">
        <v>236</v>
      </c>
      <c r="AP1364" s="0" t="s">
        <v>237</v>
      </c>
      <c r="AQ1364" s="0" t="n">
        <v>9</v>
      </c>
      <c r="AR1364" s="0" t="n">
        <v>64</v>
      </c>
      <c r="AS1364" s="0" t="n">
        <v>32</v>
      </c>
      <c r="AU1364" s="0" t="n">
        <f aca="false">COUNTA($BA$594:$EH$594)</f>
        <v>16</v>
      </c>
      <c r="AV1364" s="0" t="n">
        <f aca="false">COUNTIF($BA$594:$EH$594,"D")</f>
        <v>1</v>
      </c>
      <c r="AW1364" s="0" t="n">
        <f aca="false">COUNTIF($BA$594:$EH$594,"R")</f>
        <v>2</v>
      </c>
      <c r="AX1364" s="0" t="n">
        <f aca="false"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>0</v>
      </c>
      <c r="AY1364" s="0" t="n">
        <f aca="false">COUNTIF(DU1364:EH1364, "&lt;&gt;")</f>
        <v>0</v>
      </c>
      <c r="AZ1364" s="0" t="n">
        <f aca="false">IF(EH1364&lt;&gt;"",1,0)</f>
        <v>0</v>
      </c>
      <c r="BB1364" s="0" t="s">
        <v>153</v>
      </c>
    </row>
    <row r="1365" customFormat="false" ht="13.8" hidden="true" customHeight="false" outlineLevel="0" collapsed="false">
      <c r="A1365" s="0" t="s">
        <v>6381</v>
      </c>
      <c r="B1365" s="0" t="n">
        <v>78</v>
      </c>
      <c r="C1365" s="0" t="n">
        <v>430610</v>
      </c>
      <c r="D1365" s="0" t="s">
        <v>6377</v>
      </c>
      <c r="E1365" s="0" t="s">
        <v>6382</v>
      </c>
      <c r="F1365" s="0" t="str">
        <f aca="false">CONCATENATE(D1365," ",LEFT(H1365,4),"T=",AU1365,"D=",AV1365,"R=",AW1365,"M=",AX1365,"L=",AY1365,"B=",AZ1365)</f>
        <v>SCATES T=1D=0R=0M=0L=0B=0</v>
      </c>
      <c r="G1365" s="0" t="s">
        <v>172</v>
      </c>
      <c r="I1365" s="0" t="s">
        <v>6383</v>
      </c>
      <c r="J1365" s="0" t="s">
        <v>6349</v>
      </c>
      <c r="K1365" s="0" t="s">
        <v>144</v>
      </c>
      <c r="L1365" s="0"/>
      <c r="M1365" s="0" t="s">
        <v>6380</v>
      </c>
      <c r="N1365" s="0" t="str">
        <f aca="false">RIGHT(M1365,LEN(M1365)-FIND(" ",M1365))</f>
        <v>LARCHMONT AVE NE</v>
      </c>
      <c r="P1365" s="0" t="s">
        <v>146</v>
      </c>
      <c r="Q1365" s="0" t="s">
        <v>147</v>
      </c>
      <c r="R1365" s="0" t="n">
        <v>44483</v>
      </c>
      <c r="AD1365" s="0" t="s">
        <v>148</v>
      </c>
      <c r="AE1365" s="0" t="s">
        <v>149</v>
      </c>
      <c r="AF1365" s="0" t="s">
        <v>150</v>
      </c>
      <c r="AH1365" s="0" t="n">
        <v>14</v>
      </c>
      <c r="AI1365" s="0" t="n">
        <v>11</v>
      </c>
      <c r="AN1365" s="0" t="s">
        <v>146</v>
      </c>
      <c r="AO1365" s="0" t="s">
        <v>236</v>
      </c>
      <c r="AP1365" s="0" t="s">
        <v>237</v>
      </c>
      <c r="AQ1365" s="0" t="n">
        <v>9</v>
      </c>
      <c r="AR1365" s="0" t="n">
        <v>64</v>
      </c>
      <c r="AS1365" s="0" t="n">
        <v>32</v>
      </c>
      <c r="AU1365" s="0" t="n">
        <f aca="false">COUNTA($BA$653:$EH$653)</f>
        <v>1</v>
      </c>
      <c r="AV1365" s="0" t="n">
        <f aca="false">COUNTIF($BA$653:$EH$653,"D")</f>
        <v>0</v>
      </c>
      <c r="AW1365" s="0" t="n">
        <f aca="false">COUNTIF($BA$653:$EH$653,"R")</f>
        <v>0</v>
      </c>
      <c r="AX1365" s="0" t="n">
        <f aca="false"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>0</v>
      </c>
      <c r="AY1365" s="0" t="n">
        <f aca="false">COUNTIF(DU1365:EH1365, "&lt;&gt;")</f>
        <v>0</v>
      </c>
      <c r="AZ1365" s="0" t="n">
        <f aca="false">IF(EH1365&lt;&gt;"",1,0)</f>
        <v>0</v>
      </c>
      <c r="BB1365" s="0" t="s">
        <v>153</v>
      </c>
      <c r="DN1365" s="0" t="s">
        <v>154</v>
      </c>
    </row>
    <row r="1366" customFormat="false" ht="13.8" hidden="true" customHeight="false" outlineLevel="0" collapsed="false">
      <c r="A1366" s="0" t="s">
        <v>6384</v>
      </c>
      <c r="B1366" s="0" t="n">
        <v>78</v>
      </c>
      <c r="C1366" s="0" t="n">
        <v>434129</v>
      </c>
      <c r="D1366" s="0" t="s">
        <v>6377</v>
      </c>
      <c r="E1366" s="0" t="s">
        <v>6385</v>
      </c>
      <c r="F1366" s="0" t="str">
        <f aca="false">CONCATENATE(D1366," ",LEFT(H1366,4),"T=",AU1366,"D=",AV1366,"R=",AW1366,"M=",AX1366,"L=",AY1366,"B=",AZ1366)</f>
        <v>SCATES T=5D=0R=0M=0L=0B=0</v>
      </c>
      <c r="G1366" s="0" t="s">
        <v>6386</v>
      </c>
      <c r="I1366" s="0" t="s">
        <v>6387</v>
      </c>
      <c r="J1366" s="0" t="s">
        <v>6388</v>
      </c>
      <c r="K1366" s="0" t="s">
        <v>144</v>
      </c>
      <c r="L1366" s="0"/>
      <c r="M1366" s="0" t="s">
        <v>6380</v>
      </c>
      <c r="N1366" s="0" t="str">
        <f aca="false">RIGHT(M1366,LEN(M1366)-FIND(" ",M1366))</f>
        <v>LARCHMONT AVE NE</v>
      </c>
      <c r="P1366" s="0" t="s">
        <v>146</v>
      </c>
      <c r="Q1366" s="0" t="s">
        <v>147</v>
      </c>
      <c r="R1366" s="0" t="n">
        <v>44483</v>
      </c>
      <c r="AD1366" s="0" t="s">
        <v>148</v>
      </c>
      <c r="AE1366" s="0" t="s">
        <v>149</v>
      </c>
      <c r="AF1366" s="0" t="s">
        <v>150</v>
      </c>
      <c r="AH1366" s="0" t="n">
        <v>14</v>
      </c>
      <c r="AI1366" s="0" t="n">
        <v>11</v>
      </c>
      <c r="AN1366" s="0" t="s">
        <v>146</v>
      </c>
      <c r="AO1366" s="0" t="s">
        <v>236</v>
      </c>
      <c r="AP1366" s="0" t="s">
        <v>237</v>
      </c>
      <c r="AQ1366" s="0" t="n">
        <v>9</v>
      </c>
      <c r="AR1366" s="0" t="n">
        <v>64</v>
      </c>
      <c r="AS1366" s="0" t="n">
        <v>32</v>
      </c>
      <c r="AU1366" s="0" t="n">
        <f aca="false">COUNTA($BA$724:$EH$724)</f>
        <v>5</v>
      </c>
      <c r="AV1366" s="0" t="n">
        <f aca="false">COUNTIF($BA$724:$EH$724,"D")</f>
        <v>0</v>
      </c>
      <c r="AW1366" s="0" t="n">
        <f aca="false">COUNTIF($BA$724:$EH$724,"R")</f>
        <v>0</v>
      </c>
      <c r="AX1366" s="0" t="n">
        <f aca="false"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>0</v>
      </c>
      <c r="AY1366" s="0" t="n">
        <f aca="false">COUNTIF(DU1366:EH1366, "&lt;&gt;")</f>
        <v>0</v>
      </c>
      <c r="AZ1366" s="0" t="n">
        <f aca="false">IF(EH1366&lt;&gt;"",1,0)</f>
        <v>0</v>
      </c>
      <c r="BB1366" s="0" t="s">
        <v>153</v>
      </c>
    </row>
    <row r="1367" customFormat="false" ht="13.8" hidden="true" customHeight="false" outlineLevel="0" collapsed="false">
      <c r="A1367" s="0" t="s">
        <v>6389</v>
      </c>
      <c r="B1367" s="0" t="n">
        <v>78</v>
      </c>
      <c r="C1367" s="0" t="n">
        <v>473627</v>
      </c>
      <c r="D1367" s="0" t="s">
        <v>6377</v>
      </c>
      <c r="E1367" s="0" t="s">
        <v>6390</v>
      </c>
      <c r="F1367" s="0" t="str">
        <f aca="false">CONCATENATE(D1367," ",LEFT(H1367,4),"T=",AU1367,"D=",AV1367,"R=",AW1367,"M=",AX1367,"L=",AY1367,"B=",AZ1367)</f>
        <v>SCATES T=5D=2R=0M=0L=0B=0</v>
      </c>
      <c r="G1367" s="0" t="s">
        <v>241</v>
      </c>
      <c r="I1367" s="0" t="s">
        <v>6391</v>
      </c>
      <c r="J1367" s="0" t="s">
        <v>953</v>
      </c>
      <c r="K1367" s="0" t="s">
        <v>175</v>
      </c>
      <c r="L1367" s="0"/>
      <c r="M1367" s="0" t="s">
        <v>6380</v>
      </c>
      <c r="N1367" s="0" t="str">
        <f aca="false">RIGHT(M1367,LEN(M1367)-FIND(" ",M1367))</f>
        <v>LARCHMONT AVE NE</v>
      </c>
      <c r="P1367" s="0" t="s">
        <v>146</v>
      </c>
      <c r="Q1367" s="0" t="s">
        <v>147</v>
      </c>
      <c r="R1367" s="0" t="n">
        <v>44483</v>
      </c>
      <c r="AD1367" s="0" t="s">
        <v>148</v>
      </c>
      <c r="AE1367" s="0" t="s">
        <v>149</v>
      </c>
      <c r="AF1367" s="0" t="s">
        <v>150</v>
      </c>
      <c r="AH1367" s="0" t="n">
        <v>14</v>
      </c>
      <c r="AI1367" s="0" t="n">
        <v>11</v>
      </c>
      <c r="AN1367" s="0" t="s">
        <v>146</v>
      </c>
      <c r="AO1367" s="0" t="s">
        <v>236</v>
      </c>
      <c r="AP1367" s="0" t="s">
        <v>237</v>
      </c>
      <c r="AQ1367" s="0" t="n">
        <v>9</v>
      </c>
      <c r="AR1367" s="0" t="n">
        <v>64</v>
      </c>
      <c r="AS1367" s="0" t="n">
        <v>32</v>
      </c>
      <c r="AU1367" s="0" t="n">
        <f aca="false">COUNTA($BA$868:$EH$868)</f>
        <v>5</v>
      </c>
      <c r="AV1367" s="0" t="n">
        <f aca="false">COUNTIF($BA$868:$EH$868,"D")</f>
        <v>2</v>
      </c>
      <c r="AW1367" s="0" t="n">
        <f aca="false">COUNTIF($BA$868:$EH$868,"R")</f>
        <v>0</v>
      </c>
      <c r="AX1367" s="0" t="n">
        <f aca="false"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>0</v>
      </c>
      <c r="AY1367" s="0" t="n">
        <f aca="false">COUNTIF(DU1367:EH1367, "&lt;&gt;")</f>
        <v>0</v>
      </c>
      <c r="AZ1367" s="0" t="n">
        <f aca="false">IF(EH1367&lt;&gt;"",1,0)</f>
        <v>0</v>
      </c>
      <c r="BB1367" s="0" t="s">
        <v>153</v>
      </c>
    </row>
    <row r="1368" customFormat="false" ht="13.8" hidden="false" customHeight="false" outlineLevel="0" collapsed="false">
      <c r="A1368" s="0" t="s">
        <v>6392</v>
      </c>
      <c r="B1368" s="0" t="n">
        <v>78</v>
      </c>
      <c r="C1368" s="0" t="n">
        <v>373988</v>
      </c>
      <c r="D1368" s="0" t="s">
        <v>6393</v>
      </c>
      <c r="E1368" s="0" t="s">
        <v>1744</v>
      </c>
      <c r="F1368" s="0" t="str">
        <f aca="false">CONCATENATE(D1368," ",LEFT(H1368,4),"T=",AU1368,"D=",AV1368,"R=",AW1368,"M=",AX1368,"L=",AY1368,"B=",AZ1368)</f>
        <v>SHUMAN T=8D=0R=0M=0L=3B=0</v>
      </c>
      <c r="G1368" s="0" t="s">
        <v>1964</v>
      </c>
      <c r="I1368" s="0" t="s">
        <v>6394</v>
      </c>
      <c r="J1368" s="0" t="s">
        <v>4529</v>
      </c>
      <c r="K1368" s="0" t="s">
        <v>175</v>
      </c>
      <c r="L1368" s="1" t="s">
        <v>176</v>
      </c>
      <c r="M1368" s="0" t="s">
        <v>6395</v>
      </c>
      <c r="N1368" s="0" t="str">
        <f aca="false">RIGHT(M1368,LEN(M1368)-FIND(" ",M1368))</f>
        <v>LARCHMONT AVE NE</v>
      </c>
      <c r="P1368" s="0" t="s">
        <v>146</v>
      </c>
      <c r="Q1368" s="0" t="s">
        <v>147</v>
      </c>
      <c r="R1368" s="0" t="n">
        <v>44483</v>
      </c>
      <c r="AD1368" s="0" t="s">
        <v>148</v>
      </c>
      <c r="AE1368" s="0" t="s">
        <v>149</v>
      </c>
      <c r="AF1368" s="0" t="s">
        <v>150</v>
      </c>
      <c r="AH1368" s="0" t="n">
        <v>14</v>
      </c>
      <c r="AI1368" s="0" t="n">
        <v>11</v>
      </c>
      <c r="AN1368" s="0" t="s">
        <v>146</v>
      </c>
      <c r="AO1368" s="0" t="s">
        <v>236</v>
      </c>
      <c r="AP1368" s="0" t="s">
        <v>237</v>
      </c>
      <c r="AQ1368" s="0" t="n">
        <v>9</v>
      </c>
      <c r="AR1368" s="0" t="n">
        <v>64</v>
      </c>
      <c r="AS1368" s="0" t="n">
        <v>32</v>
      </c>
      <c r="AU1368" s="0" t="n">
        <f aca="false">COUNTA($BA$411:$EH$411)</f>
        <v>8</v>
      </c>
      <c r="AV1368" s="0" t="n">
        <f aca="false">COUNTIF($BA$411:$EH$411,"D")</f>
        <v>0</v>
      </c>
      <c r="AW1368" s="0" t="n">
        <f aca="false">COUNTIF($BA$411:$EH$411,"R")</f>
        <v>0</v>
      </c>
      <c r="AX1368" s="0" t="n">
        <f aca="false"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>0</v>
      </c>
      <c r="AY1368" s="0" t="n">
        <f aca="false">COUNTIF(DU1368:EH1368, "&lt;&gt;")</f>
        <v>3</v>
      </c>
      <c r="AZ1368" s="0" t="n">
        <f aca="false">IF(EH1368&lt;&gt;"",1,0)</f>
        <v>0</v>
      </c>
      <c r="BB1368" s="0" t="s">
        <v>153</v>
      </c>
      <c r="BJ1368" s="0" t="s">
        <v>154</v>
      </c>
      <c r="BL1368" s="0" t="s">
        <v>154</v>
      </c>
      <c r="BN1368" s="0" t="s">
        <v>154</v>
      </c>
      <c r="CA1368" s="0" t="s">
        <v>154</v>
      </c>
      <c r="CC1368" s="0" t="s">
        <v>154</v>
      </c>
      <c r="CP1368" s="0" t="s">
        <v>154</v>
      </c>
      <c r="CT1368" s="0" t="s">
        <v>154</v>
      </c>
      <c r="CV1368" s="0" t="s">
        <v>154</v>
      </c>
      <c r="CY1368" s="0" t="s">
        <v>154</v>
      </c>
      <c r="DC1368" s="0" t="s">
        <v>154</v>
      </c>
      <c r="DI1368" s="0" t="s">
        <v>154</v>
      </c>
      <c r="DN1368" s="0" t="s">
        <v>154</v>
      </c>
      <c r="DS1368" s="0" t="s">
        <v>176</v>
      </c>
      <c r="DU1368" s="0" t="s">
        <v>154</v>
      </c>
      <c r="EA1368" s="0" t="s">
        <v>154</v>
      </c>
      <c r="EF1368" s="0" t="s">
        <v>154</v>
      </c>
    </row>
    <row r="1369" customFormat="false" ht="13.8" hidden="false" customHeight="false" outlineLevel="0" collapsed="false">
      <c r="A1369" s="0" t="s">
        <v>6396</v>
      </c>
      <c r="B1369" s="0" t="n">
        <v>78</v>
      </c>
      <c r="C1369" s="0" t="n">
        <v>408660</v>
      </c>
      <c r="D1369" s="0" t="s">
        <v>6393</v>
      </c>
      <c r="E1369" s="0" t="s">
        <v>750</v>
      </c>
      <c r="F1369" s="0" t="str">
        <f aca="false">CONCATENATE(D1369," ",LEFT(H1369,4),"T=",AU1369,"D=",AV1369,"R=",AW1369,"M=",AX1369,"L=",AY1369,"B=",AZ1369)</f>
        <v>SHUMAN IIT=6D=1R=0M=0L=3B=0</v>
      </c>
      <c r="G1369" s="0" t="s">
        <v>365</v>
      </c>
      <c r="H1369" s="0" t="s">
        <v>598</v>
      </c>
      <c r="I1369" s="0" t="s">
        <v>6397</v>
      </c>
      <c r="J1369" s="0" t="s">
        <v>3733</v>
      </c>
      <c r="K1369" s="0" t="s">
        <v>175</v>
      </c>
      <c r="L1369" s="1" t="s">
        <v>176</v>
      </c>
      <c r="M1369" s="0" t="s">
        <v>6395</v>
      </c>
      <c r="N1369" s="0" t="str">
        <f aca="false">RIGHT(M1369,LEN(M1369)-FIND(" ",M1369))</f>
        <v>LARCHMONT AVE NE</v>
      </c>
      <c r="P1369" s="0" t="s">
        <v>146</v>
      </c>
      <c r="Q1369" s="0" t="s">
        <v>147</v>
      </c>
      <c r="R1369" s="0" t="n">
        <v>44483</v>
      </c>
      <c r="AD1369" s="0" t="s">
        <v>148</v>
      </c>
      <c r="AE1369" s="0" t="s">
        <v>149</v>
      </c>
      <c r="AF1369" s="0" t="s">
        <v>150</v>
      </c>
      <c r="AH1369" s="0" t="n">
        <v>14</v>
      </c>
      <c r="AI1369" s="0" t="n">
        <v>11</v>
      </c>
      <c r="AN1369" s="0" t="s">
        <v>146</v>
      </c>
      <c r="AO1369" s="0" t="s">
        <v>236</v>
      </c>
      <c r="AP1369" s="0" t="s">
        <v>237</v>
      </c>
      <c r="AQ1369" s="0" t="n">
        <v>9</v>
      </c>
      <c r="AR1369" s="0" t="n">
        <v>64</v>
      </c>
      <c r="AS1369" s="0" t="n">
        <v>32</v>
      </c>
      <c r="AU1369" s="0" t="n">
        <f aca="false">COUNTA($BA$490:$EH$490)</f>
        <v>6</v>
      </c>
      <c r="AV1369" s="0" t="n">
        <f aca="false">COUNTIF($BA$490:$EH$490,"D")</f>
        <v>1</v>
      </c>
      <c r="AW1369" s="0" t="n">
        <f aca="false">COUNTIF($BA$490:$EH$490,"R")</f>
        <v>0</v>
      </c>
      <c r="AX1369" s="0" t="n">
        <f aca="false"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>0</v>
      </c>
      <c r="AY1369" s="0" t="n">
        <f aca="false">COUNTIF(DU1369:EH1369, "&lt;&gt;")</f>
        <v>3</v>
      </c>
      <c r="AZ1369" s="0" t="n">
        <f aca="false">IF(EH1369&lt;&gt;"",1,0)</f>
        <v>0</v>
      </c>
      <c r="BB1369" s="0" t="s">
        <v>153</v>
      </c>
      <c r="CY1369" s="0" t="s">
        <v>154</v>
      </c>
      <c r="DC1369" s="0" t="s">
        <v>154</v>
      </c>
      <c r="DN1369" s="0" t="s">
        <v>154</v>
      </c>
      <c r="DS1369" s="0" t="s">
        <v>176</v>
      </c>
      <c r="DU1369" s="0" t="s">
        <v>154</v>
      </c>
      <c r="EA1369" s="0" t="s">
        <v>154</v>
      </c>
      <c r="EF1369" s="0" t="s">
        <v>154</v>
      </c>
    </row>
    <row r="1370" customFormat="false" ht="13.8" hidden="false" customHeight="false" outlineLevel="0" collapsed="false">
      <c r="A1370" s="0" t="s">
        <v>6398</v>
      </c>
      <c r="B1370" s="0" t="n">
        <v>78</v>
      </c>
      <c r="C1370" s="0" t="n">
        <v>426244</v>
      </c>
      <c r="D1370" s="0" t="s">
        <v>6399</v>
      </c>
      <c r="E1370" s="0" t="s">
        <v>2836</v>
      </c>
      <c r="F1370" s="0" t="str">
        <f aca="false">CONCATENATE(D1370," ",LEFT(H1370,4),"T=",AU1370,"D=",AV1370,"R=",AW1370,"M=",AX1370,"L=",AY1370,"B=",AZ1370)</f>
        <v>HAHN T=1D=0R=0M=0L=3B=0</v>
      </c>
      <c r="G1370" s="0" t="s">
        <v>2303</v>
      </c>
      <c r="I1370" s="0" t="s">
        <v>6400</v>
      </c>
      <c r="J1370" s="0" t="s">
        <v>4529</v>
      </c>
      <c r="K1370" s="0" t="s">
        <v>175</v>
      </c>
      <c r="L1370" s="1" t="s">
        <v>176</v>
      </c>
      <c r="M1370" s="0" t="s">
        <v>6395</v>
      </c>
      <c r="N1370" s="0" t="str">
        <f aca="false">RIGHT(M1370,LEN(M1370)-FIND(" ",M1370))</f>
        <v>LARCHMONT AVE NE</v>
      </c>
      <c r="P1370" s="0" t="s">
        <v>146</v>
      </c>
      <c r="Q1370" s="0" t="s">
        <v>147</v>
      </c>
      <c r="R1370" s="0" t="n">
        <v>44483</v>
      </c>
      <c r="AD1370" s="0" t="s">
        <v>148</v>
      </c>
      <c r="AE1370" s="0" t="s">
        <v>149</v>
      </c>
      <c r="AF1370" s="0" t="s">
        <v>150</v>
      </c>
      <c r="AH1370" s="0" t="n">
        <v>14</v>
      </c>
      <c r="AI1370" s="0" t="n">
        <v>11</v>
      </c>
      <c r="AN1370" s="0" t="s">
        <v>146</v>
      </c>
      <c r="AO1370" s="0" t="s">
        <v>236</v>
      </c>
      <c r="AP1370" s="0" t="s">
        <v>237</v>
      </c>
      <c r="AQ1370" s="0" t="n">
        <v>9</v>
      </c>
      <c r="AR1370" s="0" t="n">
        <v>64</v>
      </c>
      <c r="AS1370" s="0" t="n">
        <v>32</v>
      </c>
      <c r="AU1370" s="0" t="n">
        <f aca="false">COUNTA($BA$507:$EH$507)</f>
        <v>1</v>
      </c>
      <c r="AV1370" s="0" t="n">
        <f aca="false">COUNTIF($BA$507:$EH$507,"D")</f>
        <v>0</v>
      </c>
      <c r="AW1370" s="0" t="n">
        <f aca="false">COUNTIF($BA$507:$EH$507,"R")</f>
        <v>0</v>
      </c>
      <c r="AX1370" s="0" t="n">
        <f aca="false"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>0</v>
      </c>
      <c r="AY1370" s="0" t="n">
        <f aca="false">COUNTIF(DU1370:EH1370, "&lt;&gt;")</f>
        <v>3</v>
      </c>
      <c r="AZ1370" s="0" t="n">
        <f aca="false">IF(EH1370&lt;&gt;"",1,0)</f>
        <v>0</v>
      </c>
      <c r="BB1370" s="0" t="s">
        <v>153</v>
      </c>
      <c r="DI1370" s="0" t="s">
        <v>154</v>
      </c>
      <c r="DN1370" s="0" t="s">
        <v>154</v>
      </c>
      <c r="DS1370" s="0" t="s">
        <v>176</v>
      </c>
      <c r="DU1370" s="0" t="s">
        <v>154</v>
      </c>
      <c r="EA1370" s="0" t="s">
        <v>154</v>
      </c>
      <c r="EF1370" s="0" t="s">
        <v>154</v>
      </c>
    </row>
    <row r="1371" customFormat="false" ht="13.8" hidden="true" customHeight="false" outlineLevel="0" collapsed="false">
      <c r="A1371" s="0" t="s">
        <v>6401</v>
      </c>
      <c r="B1371" s="0" t="n">
        <v>78</v>
      </c>
      <c r="C1371" s="0" t="n">
        <v>440465</v>
      </c>
      <c r="D1371" s="0" t="s">
        <v>4745</v>
      </c>
      <c r="E1371" s="0" t="s">
        <v>1226</v>
      </c>
      <c r="F1371" s="0" t="str">
        <f aca="false">CONCATENATE(D1371," ",LEFT(H1371,4),"T=",AU1371,"D=",AV1371,"R=",AW1371,"M=",AX1371,"L=",AY1371,"B=",AZ1371)</f>
        <v>YEAGER JRT=1D=0R=0M=0L=0B=0</v>
      </c>
      <c r="G1371" s="0" t="s">
        <v>2551</v>
      </c>
      <c r="H1371" s="0" t="s">
        <v>431</v>
      </c>
      <c r="I1371" s="0" t="s">
        <v>6402</v>
      </c>
      <c r="J1371" s="0" t="s">
        <v>6403</v>
      </c>
      <c r="K1371" s="0" t="s">
        <v>144</v>
      </c>
      <c r="L1371" s="0"/>
      <c r="M1371" s="0" t="s">
        <v>6395</v>
      </c>
      <c r="N1371" s="0" t="str">
        <f aca="false">RIGHT(M1371,LEN(M1371)-FIND(" ",M1371))</f>
        <v>LARCHMONT AVE NE</v>
      </c>
      <c r="P1371" s="0" t="s">
        <v>146</v>
      </c>
      <c r="Q1371" s="0" t="s">
        <v>147</v>
      </c>
      <c r="R1371" s="0" t="n">
        <v>44483</v>
      </c>
      <c r="AD1371" s="0" t="s">
        <v>148</v>
      </c>
      <c r="AE1371" s="0" t="s">
        <v>149</v>
      </c>
      <c r="AF1371" s="0" t="s">
        <v>150</v>
      </c>
      <c r="AH1371" s="0" t="n">
        <v>14</v>
      </c>
      <c r="AI1371" s="0" t="n">
        <v>11</v>
      </c>
      <c r="AN1371" s="0" t="s">
        <v>146</v>
      </c>
      <c r="AO1371" s="0" t="s">
        <v>236</v>
      </c>
      <c r="AP1371" s="0" t="s">
        <v>237</v>
      </c>
      <c r="AQ1371" s="0" t="n">
        <v>9</v>
      </c>
      <c r="AR1371" s="0" t="n">
        <v>64</v>
      </c>
      <c r="AS1371" s="0" t="n">
        <v>32</v>
      </c>
      <c r="AU1371" s="0" t="n">
        <f aca="false">COUNTA($BA$739:$EH$739)</f>
        <v>1</v>
      </c>
      <c r="AV1371" s="0" t="n">
        <f aca="false">COUNTIF($BA$739:$EH$739,"D")</f>
        <v>0</v>
      </c>
      <c r="AW1371" s="0" t="n">
        <f aca="false">COUNTIF($BA$739:$EH$739,"R")</f>
        <v>0</v>
      </c>
      <c r="AX1371" s="0" t="n">
        <f aca="false"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>0</v>
      </c>
      <c r="AY1371" s="0" t="n">
        <f aca="false">COUNTIF(DU1371:EH1371, "&lt;&gt;")</f>
        <v>0</v>
      </c>
      <c r="AZ1371" s="0" t="n">
        <f aca="false">IF(EH1371&lt;&gt;"",1,0)</f>
        <v>0</v>
      </c>
      <c r="BB1371" s="0" t="s">
        <v>153</v>
      </c>
      <c r="BC1371" s="0" t="s">
        <v>155</v>
      </c>
      <c r="BD1371" s="0" t="s">
        <v>154</v>
      </c>
      <c r="BF1371" s="0" t="s">
        <v>154</v>
      </c>
      <c r="BH1371" s="0" t="s">
        <v>154</v>
      </c>
      <c r="BJ1371" s="0" t="s">
        <v>154</v>
      </c>
      <c r="BL1371" s="0" t="s">
        <v>154</v>
      </c>
      <c r="BP1371" s="0" t="s">
        <v>154</v>
      </c>
      <c r="BR1371" s="0" t="s">
        <v>155</v>
      </c>
      <c r="BS1371" s="0" t="s">
        <v>154</v>
      </c>
      <c r="CA1371" s="0" t="s">
        <v>154</v>
      </c>
      <c r="CG1371" s="0" t="s">
        <v>154</v>
      </c>
      <c r="CK1371" s="0" t="s">
        <v>154</v>
      </c>
    </row>
    <row r="1372" customFormat="false" ht="13.8" hidden="true" customHeight="false" outlineLevel="0" collapsed="false">
      <c r="A1372" s="0" t="s">
        <v>6404</v>
      </c>
      <c r="B1372" s="0" t="n">
        <v>78</v>
      </c>
      <c r="C1372" s="0" t="n">
        <v>486971</v>
      </c>
      <c r="D1372" s="0" t="s">
        <v>6405</v>
      </c>
      <c r="E1372" s="0" t="s">
        <v>975</v>
      </c>
      <c r="F1372" s="0" t="str">
        <f aca="false">CONCATENATE(D1372," ",LEFT(H1372,4),"T=",AU1372,"D=",AV1372,"R=",AW1372,"M=",AX1372,"L=",AY1372,"B=",AZ1372)</f>
        <v>GONZALEZ T=5D=0R=0M=0L=1B=0</v>
      </c>
      <c r="G1372" s="0" t="s">
        <v>6406</v>
      </c>
      <c r="I1372" s="0" t="s">
        <v>6407</v>
      </c>
      <c r="J1372" s="0" t="s">
        <v>504</v>
      </c>
      <c r="K1372" s="0" t="s">
        <v>175</v>
      </c>
      <c r="L1372" s="0"/>
      <c r="M1372" s="0" t="s">
        <v>6408</v>
      </c>
      <c r="N1372" s="0" t="str">
        <f aca="false">RIGHT(M1372,LEN(M1372)-FIND(" ",M1372))</f>
        <v>LARCHMONT AVE NE</v>
      </c>
      <c r="P1372" s="0" t="s">
        <v>146</v>
      </c>
      <c r="Q1372" s="0" t="s">
        <v>147</v>
      </c>
      <c r="R1372" s="0" t="n">
        <v>44483</v>
      </c>
      <c r="AD1372" s="0" t="s">
        <v>148</v>
      </c>
      <c r="AE1372" s="0" t="s">
        <v>149</v>
      </c>
      <c r="AF1372" s="0" t="s">
        <v>150</v>
      </c>
      <c r="AH1372" s="0" t="n">
        <v>14</v>
      </c>
      <c r="AI1372" s="0" t="n">
        <v>11</v>
      </c>
      <c r="AN1372" s="0" t="s">
        <v>146</v>
      </c>
      <c r="AO1372" s="0" t="s">
        <v>236</v>
      </c>
      <c r="AP1372" s="0" t="s">
        <v>237</v>
      </c>
      <c r="AQ1372" s="0" t="n">
        <v>9</v>
      </c>
      <c r="AR1372" s="0" t="n">
        <v>64</v>
      </c>
      <c r="AS1372" s="0" t="n">
        <v>32</v>
      </c>
      <c r="AU1372" s="0" t="n">
        <f aca="false">COUNTA($BA$477:$EH$477)</f>
        <v>5</v>
      </c>
      <c r="AV1372" s="0" t="n">
        <f aca="false">COUNTIF($BA$477:$EH$477,"D")</f>
        <v>0</v>
      </c>
      <c r="AW1372" s="0" t="n">
        <f aca="false">COUNTIF($BA$477:$EH$477,"R")</f>
        <v>0</v>
      </c>
      <c r="AX1372" s="0" t="n">
        <f aca="false"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>0</v>
      </c>
      <c r="AY1372" s="0" t="n">
        <f aca="false">COUNTIF(DU1372:EH1372, "&lt;&gt;")</f>
        <v>1</v>
      </c>
      <c r="AZ1372" s="0" t="n">
        <f aca="false">IF(EH1372&lt;&gt;"",1,0)</f>
        <v>0</v>
      </c>
      <c r="BB1372" s="0" t="s">
        <v>153</v>
      </c>
      <c r="EF1372" s="0" t="s">
        <v>154</v>
      </c>
    </row>
    <row r="1373" customFormat="false" ht="13.8" hidden="false" customHeight="false" outlineLevel="0" collapsed="false">
      <c r="A1373" s="0" t="s">
        <v>6409</v>
      </c>
      <c r="B1373" s="0" t="n">
        <v>78</v>
      </c>
      <c r="C1373" s="0" t="n">
        <v>407154</v>
      </c>
      <c r="D1373" s="0" t="s">
        <v>5184</v>
      </c>
      <c r="E1373" s="0" t="s">
        <v>340</v>
      </c>
      <c r="F1373" s="0" t="str">
        <f aca="false">CONCATENATE(D1373," ",LEFT(H1373,4),"T=",AU1373,"D=",AV1373,"R=",AW1373,"M=",AX1373,"L=",AY1373,"B=",AZ1373)</f>
        <v>LUCAS T=10D=1R=0M=0L=4B=0</v>
      </c>
      <c r="G1373" s="0" t="s">
        <v>455</v>
      </c>
      <c r="I1373" s="0" t="s">
        <v>6410</v>
      </c>
      <c r="J1373" s="0" t="s">
        <v>712</v>
      </c>
      <c r="K1373" s="0" t="s">
        <v>175</v>
      </c>
      <c r="M1373" s="0" t="s">
        <v>6411</v>
      </c>
      <c r="N1373" s="0" t="str">
        <f aca="false">RIGHT(M1373,LEN(M1373)-FIND(" ",M1373))</f>
        <v>LARCHMONT AVE NE</v>
      </c>
      <c r="P1373" s="0" t="s">
        <v>146</v>
      </c>
      <c r="Q1373" s="0" t="s">
        <v>147</v>
      </c>
      <c r="R1373" s="0" t="n">
        <v>44483</v>
      </c>
      <c r="AD1373" s="0" t="s">
        <v>148</v>
      </c>
      <c r="AE1373" s="0" t="s">
        <v>149</v>
      </c>
      <c r="AF1373" s="0" t="s">
        <v>150</v>
      </c>
      <c r="AH1373" s="0" t="n">
        <v>14</v>
      </c>
      <c r="AI1373" s="0" t="n">
        <v>11</v>
      </c>
      <c r="AN1373" s="0" t="s">
        <v>146</v>
      </c>
      <c r="AO1373" s="0" t="s">
        <v>236</v>
      </c>
      <c r="AP1373" s="0" t="s">
        <v>237</v>
      </c>
      <c r="AQ1373" s="0" t="n">
        <v>9</v>
      </c>
      <c r="AR1373" s="0" t="n">
        <v>64</v>
      </c>
      <c r="AS1373" s="0" t="n">
        <v>32</v>
      </c>
      <c r="AU1373" s="0" t="n">
        <f aca="false">COUNTA($BA$314:$EH$314)</f>
        <v>10</v>
      </c>
      <c r="AV1373" s="0" t="n">
        <f aca="false">COUNTIF($BA$314:$EH$314,"D")</f>
        <v>1</v>
      </c>
      <c r="AW1373" s="0" t="n">
        <f aca="false">COUNTIF($BA$314:$EH$314,"R")</f>
        <v>0</v>
      </c>
      <c r="AX1373" s="0" t="n">
        <f aca="false"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>0</v>
      </c>
      <c r="AY1373" s="0" t="n">
        <f aca="false">COUNTIF(DU1373:EH1373, "&lt;&gt;")</f>
        <v>4</v>
      </c>
      <c r="AZ1373" s="0" t="n">
        <f aca="false">IF(EH1373&lt;&gt;"",1,0)</f>
        <v>0</v>
      </c>
      <c r="BB1373" s="0" t="s">
        <v>153</v>
      </c>
      <c r="DC1373" s="0" t="s">
        <v>154</v>
      </c>
      <c r="DN1373" s="0" t="s">
        <v>154</v>
      </c>
      <c r="DU1373" s="0" t="s">
        <v>154</v>
      </c>
      <c r="DX1373" s="0" t="s">
        <v>154</v>
      </c>
      <c r="EA1373" s="0" t="s">
        <v>154</v>
      </c>
      <c r="EF1373" s="0" t="s">
        <v>154</v>
      </c>
    </row>
    <row r="1374" customFormat="false" ht="13.8" hidden="false" customHeight="false" outlineLevel="0" collapsed="false">
      <c r="A1374" s="0" t="s">
        <v>6412</v>
      </c>
      <c r="B1374" s="0" t="n">
        <v>78</v>
      </c>
      <c r="C1374" s="0" t="n">
        <v>463691</v>
      </c>
      <c r="D1374" s="0" t="s">
        <v>6413</v>
      </c>
      <c r="E1374" s="0" t="s">
        <v>158</v>
      </c>
      <c r="F1374" s="0" t="str">
        <f aca="false">CONCATENATE(D1374," ",LEFT(H1374,4),"T=",AU1374,"D=",AV1374,"R=",AW1374,"M=",AX1374,"L=",AY1374,"B=",AZ1374)</f>
        <v>COGSWELL T=3D=0R=0M=0L=2B=0</v>
      </c>
      <c r="G1374" s="0" t="s">
        <v>241</v>
      </c>
      <c r="I1374" s="0" t="s">
        <v>6414</v>
      </c>
      <c r="J1374" s="0" t="s">
        <v>6415</v>
      </c>
      <c r="K1374" s="0" t="s">
        <v>175</v>
      </c>
      <c r="M1374" s="0" t="s">
        <v>6416</v>
      </c>
      <c r="N1374" s="0" t="str">
        <f aca="false">RIGHT(M1374,LEN(M1374)-FIND(" ",M1374))</f>
        <v>LARCHMONT AVE NE</v>
      </c>
      <c r="P1374" s="0" t="s">
        <v>146</v>
      </c>
      <c r="Q1374" s="0" t="s">
        <v>147</v>
      </c>
      <c r="R1374" s="0" t="n">
        <v>44483</v>
      </c>
      <c r="AD1374" s="0" t="s">
        <v>148</v>
      </c>
      <c r="AE1374" s="0" t="s">
        <v>149</v>
      </c>
      <c r="AF1374" s="0" t="s">
        <v>150</v>
      </c>
      <c r="AH1374" s="0" t="n">
        <v>14</v>
      </c>
      <c r="AI1374" s="0" t="n">
        <v>11</v>
      </c>
      <c r="AN1374" s="0" t="s">
        <v>146</v>
      </c>
      <c r="AO1374" s="0" t="s">
        <v>236</v>
      </c>
      <c r="AP1374" s="0" t="s">
        <v>237</v>
      </c>
      <c r="AQ1374" s="0" t="n">
        <v>9</v>
      </c>
      <c r="AR1374" s="0" t="n">
        <v>64</v>
      </c>
      <c r="AS1374" s="0" t="n">
        <v>32</v>
      </c>
      <c r="AU1374" s="0" t="n">
        <f aca="false">COUNTA($BA$62:$EH$62)</f>
        <v>3</v>
      </c>
      <c r="AV1374" s="0" t="n">
        <f aca="false">COUNTIF($BA$62:$EH$62,"D")</f>
        <v>0</v>
      </c>
      <c r="AW1374" s="0" t="n">
        <f aca="false">COUNTIF($BA$62:$EH$62,"R")</f>
        <v>0</v>
      </c>
      <c r="AX1374" s="0" t="n">
        <f aca="false"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>0</v>
      </c>
      <c r="AY1374" s="0" t="n">
        <f aca="false">COUNTIF(DU1374:EH1374, "&lt;&gt;")</f>
        <v>2</v>
      </c>
      <c r="AZ1374" s="0" t="n">
        <f aca="false">IF(EH1374&lt;&gt;"",1,0)</f>
        <v>0</v>
      </c>
      <c r="BB1374" s="0" t="s">
        <v>153</v>
      </c>
      <c r="EA1374" s="0" t="s">
        <v>154</v>
      </c>
      <c r="EF1374" s="0" t="s">
        <v>154</v>
      </c>
    </row>
    <row r="1375" customFormat="false" ht="13.8" hidden="true" customHeight="false" outlineLevel="0" collapsed="false">
      <c r="A1375" s="0" t="s">
        <v>6417</v>
      </c>
      <c r="B1375" s="0" t="n">
        <v>78</v>
      </c>
      <c r="C1375" s="0" t="n">
        <v>438115</v>
      </c>
      <c r="D1375" s="0" t="s">
        <v>856</v>
      </c>
      <c r="E1375" s="0" t="s">
        <v>6418</v>
      </c>
      <c r="F1375" s="0" t="str">
        <f aca="false">CONCATENATE(D1375," ",LEFT(H1375,4),"T=",AU1375,"D=",AV1375,"R=",AW1375,"M=",AX1375,"L=",AY1375,"B=",AZ1375)</f>
        <v>JONES T=1D=0R=0M=0L=1B=0</v>
      </c>
      <c r="G1375" s="0" t="s">
        <v>241</v>
      </c>
      <c r="I1375" s="0" t="s">
        <v>6419</v>
      </c>
      <c r="J1375" s="0" t="s">
        <v>6420</v>
      </c>
      <c r="K1375" s="0" t="s">
        <v>175</v>
      </c>
      <c r="L1375" s="0"/>
      <c r="M1375" s="0" t="s">
        <v>6421</v>
      </c>
      <c r="N1375" s="0" t="str">
        <f aca="false">RIGHT(M1375,LEN(M1375)-FIND(" ",M1375))</f>
        <v>LARCHMONT AVE NE</v>
      </c>
      <c r="P1375" s="0" t="s">
        <v>146</v>
      </c>
      <c r="Q1375" s="0" t="s">
        <v>147</v>
      </c>
      <c r="R1375" s="0" t="n">
        <v>44483</v>
      </c>
      <c r="AD1375" s="0" t="s">
        <v>148</v>
      </c>
      <c r="AE1375" s="0" t="s">
        <v>149</v>
      </c>
      <c r="AF1375" s="0" t="s">
        <v>150</v>
      </c>
      <c r="AH1375" s="0" t="n">
        <v>14</v>
      </c>
      <c r="AI1375" s="0" t="n">
        <v>11</v>
      </c>
      <c r="AN1375" s="0" t="s">
        <v>146</v>
      </c>
      <c r="AO1375" s="0" t="s">
        <v>236</v>
      </c>
      <c r="AP1375" s="0" t="s">
        <v>237</v>
      </c>
      <c r="AQ1375" s="0" t="n">
        <v>9</v>
      </c>
      <c r="AR1375" s="0" t="n">
        <v>64</v>
      </c>
      <c r="AS1375" s="0" t="n">
        <v>32</v>
      </c>
      <c r="AU1375" s="0" t="n">
        <f aca="false">COUNTA($BA$894:$EH$894)</f>
        <v>1</v>
      </c>
      <c r="AV1375" s="0" t="n">
        <f aca="false">COUNTIF($BA$894:$EH$894,"D")</f>
        <v>0</v>
      </c>
      <c r="AW1375" s="0" t="n">
        <f aca="false">COUNTIF($BA$894:$EH$894,"R")</f>
        <v>0</v>
      </c>
      <c r="AX1375" s="0" t="n">
        <f aca="false"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>0</v>
      </c>
      <c r="AY1375" s="0" t="n">
        <f aca="false">COUNTIF(DU1375:EH1375, "&lt;&gt;")</f>
        <v>1</v>
      </c>
      <c r="AZ1375" s="0" t="n">
        <f aca="false">IF(EH1375&lt;&gt;"",1,0)</f>
        <v>0</v>
      </c>
      <c r="BB1375" s="0" t="s">
        <v>153</v>
      </c>
      <c r="EF1375" s="0" t="s">
        <v>154</v>
      </c>
    </row>
    <row r="1376" customFormat="false" ht="13.8" hidden="false" customHeight="false" outlineLevel="0" collapsed="false">
      <c r="A1376" s="0" t="s">
        <v>6422</v>
      </c>
      <c r="B1376" s="0" t="n">
        <v>78</v>
      </c>
      <c r="C1376" s="0" t="n">
        <v>24430</v>
      </c>
      <c r="D1376" s="0" t="s">
        <v>5184</v>
      </c>
      <c r="E1376" s="0" t="s">
        <v>277</v>
      </c>
      <c r="F1376" s="0" t="str">
        <f aca="false">CONCATENATE(D1376," ",LEFT(H1376,4),"T=",AU1376,"D=",AV1376,"R=",AW1376,"M=",AX1376,"L=",AY1376,"B=",AZ1376)</f>
        <v>LUCAS T=2D=0R=0M=0L=2B=0</v>
      </c>
      <c r="G1376" s="0" t="s">
        <v>172</v>
      </c>
      <c r="I1376" s="0" t="s">
        <v>6423</v>
      </c>
      <c r="J1376" s="0" t="s">
        <v>6424</v>
      </c>
      <c r="K1376" s="0" t="s">
        <v>175</v>
      </c>
      <c r="M1376" s="0" t="s">
        <v>6425</v>
      </c>
      <c r="N1376" s="0" t="str">
        <f aca="false">RIGHT(M1376,LEN(M1376)-FIND(" ",M1376))</f>
        <v>LARCHMONT AVE NE</v>
      </c>
      <c r="P1376" s="0" t="s">
        <v>146</v>
      </c>
      <c r="Q1376" s="0" t="s">
        <v>147</v>
      </c>
      <c r="R1376" s="0" t="n">
        <v>44483</v>
      </c>
      <c r="AD1376" s="0" t="s">
        <v>148</v>
      </c>
      <c r="AE1376" s="0" t="s">
        <v>149</v>
      </c>
      <c r="AF1376" s="0" t="s">
        <v>150</v>
      </c>
      <c r="AH1376" s="0" t="n">
        <v>14</v>
      </c>
      <c r="AI1376" s="0" t="n">
        <v>11</v>
      </c>
      <c r="AN1376" s="0" t="s">
        <v>146</v>
      </c>
      <c r="AO1376" s="0" t="s">
        <v>236</v>
      </c>
      <c r="AP1376" s="0" t="s">
        <v>237</v>
      </c>
      <c r="AQ1376" s="0" t="n">
        <v>9</v>
      </c>
      <c r="AR1376" s="0" t="n">
        <v>64</v>
      </c>
      <c r="AS1376" s="0" t="n">
        <v>32</v>
      </c>
      <c r="AU1376" s="0" t="n">
        <f aca="false">COUNTA($BA$427:$EH$427)</f>
        <v>2</v>
      </c>
      <c r="AV1376" s="0" t="n">
        <f aca="false">COUNTIF($BA$427:$EH$427,"D")</f>
        <v>0</v>
      </c>
      <c r="AW1376" s="0" t="n">
        <f aca="false">COUNTIF($BA$427:$EH$427,"R")</f>
        <v>0</v>
      </c>
      <c r="AX1376" s="0" t="n">
        <f aca="false"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>0</v>
      </c>
      <c r="AY1376" s="0" t="n">
        <f aca="false">COUNTIF(DU1376:EH1376, "&lt;&gt;")</f>
        <v>2</v>
      </c>
      <c r="AZ1376" s="0" t="n">
        <f aca="false">IF(EH1376&lt;&gt;"",1,0)</f>
        <v>0</v>
      </c>
      <c r="BB1376" s="0" t="s">
        <v>153</v>
      </c>
      <c r="BD1376" s="0" t="s">
        <v>154</v>
      </c>
      <c r="BL1376" s="0" t="s">
        <v>154</v>
      </c>
      <c r="BS1376" s="0" t="s">
        <v>154</v>
      </c>
      <c r="BY1376" s="0" t="s">
        <v>155</v>
      </c>
      <c r="CA1376" s="0" t="s">
        <v>154</v>
      </c>
      <c r="CK1376" s="0" t="s">
        <v>154</v>
      </c>
      <c r="CN1376" s="0" t="s">
        <v>154</v>
      </c>
      <c r="CP1376" s="0" t="s">
        <v>154</v>
      </c>
      <c r="DC1376" s="0" t="s">
        <v>154</v>
      </c>
      <c r="DI1376" s="0" t="s">
        <v>154</v>
      </c>
      <c r="DN1376" s="0" t="s">
        <v>154</v>
      </c>
      <c r="DU1376" s="0" t="s">
        <v>154</v>
      </c>
      <c r="EF1376" s="0" t="s">
        <v>154</v>
      </c>
    </row>
    <row r="1377" customFormat="false" ht="13.8" hidden="true" customHeight="false" outlineLevel="0" collapsed="false">
      <c r="A1377" s="0" t="s">
        <v>6426</v>
      </c>
      <c r="B1377" s="0" t="n">
        <v>78</v>
      </c>
      <c r="C1377" s="0" t="n">
        <v>365572</v>
      </c>
      <c r="D1377" s="0" t="s">
        <v>453</v>
      </c>
      <c r="E1377" s="0" t="s">
        <v>962</v>
      </c>
      <c r="F1377" s="0" t="str">
        <f aca="false">CONCATENATE(D1377," ",LEFT(H1377,4),"T=",AU1377,"D=",AV1377,"R=",AW1377,"M=",AX1377,"L=",AY1377,"B=",AZ1377)</f>
        <v>YOUNG T=9D=2R=0M=0L=0B=0</v>
      </c>
      <c r="G1377" s="0" t="s">
        <v>690</v>
      </c>
      <c r="I1377" s="0" t="s">
        <v>6427</v>
      </c>
      <c r="J1377" s="0" t="s">
        <v>6428</v>
      </c>
      <c r="K1377" s="0" t="s">
        <v>144</v>
      </c>
      <c r="L1377" s="0"/>
      <c r="M1377" s="0" t="s">
        <v>6425</v>
      </c>
      <c r="N1377" s="0" t="str">
        <f aca="false">RIGHT(M1377,LEN(M1377)-FIND(" ",M1377))</f>
        <v>LARCHMONT AVE NE</v>
      </c>
      <c r="P1377" s="0" t="s">
        <v>146</v>
      </c>
      <c r="Q1377" s="0" t="s">
        <v>147</v>
      </c>
      <c r="R1377" s="0" t="n">
        <v>44483</v>
      </c>
      <c r="AD1377" s="0" t="s">
        <v>148</v>
      </c>
      <c r="AE1377" s="0" t="s">
        <v>149</v>
      </c>
      <c r="AF1377" s="0" t="s">
        <v>150</v>
      </c>
      <c r="AH1377" s="0" t="n">
        <v>14</v>
      </c>
      <c r="AI1377" s="0" t="n">
        <v>11</v>
      </c>
      <c r="AN1377" s="0" t="s">
        <v>146</v>
      </c>
      <c r="AO1377" s="0" t="s">
        <v>236</v>
      </c>
      <c r="AP1377" s="0" t="s">
        <v>237</v>
      </c>
      <c r="AQ1377" s="0" t="n">
        <v>9</v>
      </c>
      <c r="AR1377" s="0" t="n">
        <v>64</v>
      </c>
      <c r="AS1377" s="0" t="n">
        <v>32</v>
      </c>
      <c r="AU1377" s="0" t="n">
        <f aca="false">COUNTA($BA$747:$EH$747)</f>
        <v>9</v>
      </c>
      <c r="AV1377" s="0" t="n">
        <f aca="false">COUNTIF($BA$747:$EH$747,"D")</f>
        <v>2</v>
      </c>
      <c r="AW1377" s="0" t="n">
        <f aca="false">COUNTIF($BA$747:$EH$747,"R")</f>
        <v>0</v>
      </c>
      <c r="AX1377" s="0" t="n">
        <f aca="false"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>0</v>
      </c>
      <c r="AY1377" s="0" t="n">
        <f aca="false">COUNTIF(DU1377:EH1377, "&lt;&gt;")</f>
        <v>0</v>
      </c>
      <c r="AZ1377" s="0" t="n">
        <f aca="false">IF(EH1377&lt;&gt;"",1,0)</f>
        <v>0</v>
      </c>
      <c r="BB1377" s="0" t="s">
        <v>153</v>
      </c>
      <c r="CA1377" s="0" t="s">
        <v>154</v>
      </c>
      <c r="CP1377" s="0" t="s">
        <v>154</v>
      </c>
      <c r="CZ1377" s="0" t="s">
        <v>155</v>
      </c>
      <c r="DC1377" s="0" t="s">
        <v>154</v>
      </c>
    </row>
    <row r="1378" customFormat="false" ht="13.8" hidden="false" customHeight="false" outlineLevel="0" collapsed="false">
      <c r="A1378" s="0" t="s">
        <v>6429</v>
      </c>
      <c r="B1378" s="0" t="n">
        <v>78</v>
      </c>
      <c r="C1378" s="0" t="n">
        <v>260446</v>
      </c>
      <c r="D1378" s="0" t="s">
        <v>6430</v>
      </c>
      <c r="E1378" s="0" t="s">
        <v>1840</v>
      </c>
      <c r="F1378" s="0" t="str">
        <f aca="false">CONCATENATE(D1378," ",LEFT(H1378,4),"T=",AU1378,"D=",AV1378,"R=",AW1378,"M=",AX1378,"L=",AY1378,"B=",AZ1378)</f>
        <v>DEVENGENCIE T=2D=0R=0M=0L=2B=0</v>
      </c>
      <c r="G1378" s="0" t="s">
        <v>241</v>
      </c>
      <c r="I1378" s="0" t="s">
        <v>6431</v>
      </c>
      <c r="J1378" s="0" t="s">
        <v>6432</v>
      </c>
      <c r="K1378" s="0" t="s">
        <v>175</v>
      </c>
      <c r="M1378" s="0" t="s">
        <v>6425</v>
      </c>
      <c r="N1378" s="0" t="str">
        <f aca="false">RIGHT(M1378,LEN(M1378)-FIND(" ",M1378))</f>
        <v>LARCHMONT AVE NE</v>
      </c>
      <c r="P1378" s="0" t="s">
        <v>146</v>
      </c>
      <c r="Q1378" s="0" t="s">
        <v>147</v>
      </c>
      <c r="R1378" s="0" t="n">
        <v>44483</v>
      </c>
      <c r="AD1378" s="0" t="s">
        <v>148</v>
      </c>
      <c r="AE1378" s="0" t="s">
        <v>149</v>
      </c>
      <c r="AF1378" s="0" t="s">
        <v>150</v>
      </c>
      <c r="AH1378" s="0" t="n">
        <v>14</v>
      </c>
      <c r="AI1378" s="0" t="n">
        <v>11</v>
      </c>
      <c r="AN1378" s="0" t="s">
        <v>146</v>
      </c>
      <c r="AO1378" s="0" t="s">
        <v>236</v>
      </c>
      <c r="AP1378" s="0" t="s">
        <v>237</v>
      </c>
      <c r="AQ1378" s="0" t="n">
        <v>9</v>
      </c>
      <c r="AR1378" s="0" t="n">
        <v>64</v>
      </c>
      <c r="AS1378" s="0" t="n">
        <v>32</v>
      </c>
      <c r="AU1378" s="0" t="n">
        <f aca="false">COUNTA($BA$806:$EH$806)</f>
        <v>2</v>
      </c>
      <c r="AV1378" s="0" t="n">
        <f aca="false">COUNTIF($BA$806:$EH$806,"D")</f>
        <v>0</v>
      </c>
      <c r="AW1378" s="0" t="n">
        <f aca="false">COUNTIF($BA$806:$EH$806,"R")</f>
        <v>0</v>
      </c>
      <c r="AX1378" s="0" t="n">
        <f aca="false"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>0</v>
      </c>
      <c r="AY1378" s="0" t="n">
        <f aca="false">COUNTIF(DU1378:EH1378, "&lt;&gt;")</f>
        <v>2</v>
      </c>
      <c r="AZ1378" s="0" t="n">
        <f aca="false">IF(EH1378&lt;&gt;"",1,0)</f>
        <v>0</v>
      </c>
      <c r="BB1378" s="0" t="s">
        <v>153</v>
      </c>
      <c r="BD1378" s="0" t="s">
        <v>154</v>
      </c>
      <c r="CA1378" s="0" t="s">
        <v>154</v>
      </c>
      <c r="CP1378" s="0" t="s">
        <v>154</v>
      </c>
      <c r="CZ1378" s="0" t="s">
        <v>155</v>
      </c>
      <c r="DC1378" s="0" t="s">
        <v>154</v>
      </c>
      <c r="DN1378" s="0" t="s">
        <v>154</v>
      </c>
      <c r="DU1378" s="0" t="s">
        <v>154</v>
      </c>
      <c r="EF1378" s="0" t="s">
        <v>154</v>
      </c>
    </row>
    <row r="1379" customFormat="false" ht="13.8" hidden="false" customHeight="false" outlineLevel="0" collapsed="false">
      <c r="A1379" s="0" t="s">
        <v>6433</v>
      </c>
      <c r="B1379" s="0" t="n">
        <v>78</v>
      </c>
      <c r="C1379" s="0" t="n">
        <v>139681</v>
      </c>
      <c r="D1379" s="0" t="s">
        <v>6434</v>
      </c>
      <c r="E1379" s="0" t="s">
        <v>232</v>
      </c>
      <c r="F1379" s="0" t="str">
        <f aca="false">CONCATENATE(D1379," ",LEFT(H1379,4),"T=",AU1379,"D=",AV1379,"R=",AW1379,"M=",AX1379,"L=",AY1379,"B=",AZ1379)</f>
        <v>WARGO T=2D=0R=0M=1L=5B=0</v>
      </c>
      <c r="G1379" s="0" t="s">
        <v>514</v>
      </c>
      <c r="I1379" s="0" t="s">
        <v>6435</v>
      </c>
      <c r="J1379" s="0" t="s">
        <v>6436</v>
      </c>
      <c r="K1379" s="0" t="s">
        <v>175</v>
      </c>
      <c r="L1379" s="1" t="s">
        <v>155</v>
      </c>
      <c r="M1379" s="0" t="s">
        <v>6437</v>
      </c>
      <c r="N1379" s="0" t="str">
        <f aca="false">RIGHT(M1379,LEN(M1379)-FIND(" ",M1379))</f>
        <v>LARCHMONT AVE NE</v>
      </c>
      <c r="P1379" s="0" t="s">
        <v>146</v>
      </c>
      <c r="Q1379" s="0" t="s">
        <v>147</v>
      </c>
      <c r="R1379" s="0" t="n">
        <v>44483</v>
      </c>
      <c r="AD1379" s="0" t="s">
        <v>148</v>
      </c>
      <c r="AE1379" s="0" t="s">
        <v>149</v>
      </c>
      <c r="AF1379" s="0" t="s">
        <v>150</v>
      </c>
      <c r="AH1379" s="0" t="n">
        <v>14</v>
      </c>
      <c r="AI1379" s="0" t="n">
        <v>11</v>
      </c>
      <c r="AN1379" s="0" t="s">
        <v>146</v>
      </c>
      <c r="AO1379" s="0" t="s">
        <v>236</v>
      </c>
      <c r="AP1379" s="0" t="s">
        <v>237</v>
      </c>
      <c r="AQ1379" s="0" t="n">
        <v>9</v>
      </c>
      <c r="AR1379" s="0" t="n">
        <v>64</v>
      </c>
      <c r="AS1379" s="0" t="n">
        <v>32</v>
      </c>
      <c r="AU1379" s="0" t="n">
        <f aca="false">COUNTA($BA$200:$EH$200)</f>
        <v>2</v>
      </c>
      <c r="AV1379" s="0" t="n">
        <f aca="false">COUNTIF($BA$200:$EH$200,"D")</f>
        <v>0</v>
      </c>
      <c r="AW1379" s="0" t="n">
        <f aca="false">COUNTIF($BA$200:$EH$200,"R")</f>
        <v>0</v>
      </c>
      <c r="AX1379" s="0" t="n">
        <f aca="false"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>1</v>
      </c>
      <c r="AY1379" s="0" t="n">
        <f aca="false">COUNTIF(DU1379:EH1379, "&lt;&gt;")</f>
        <v>5</v>
      </c>
      <c r="AZ1379" s="0" t="n">
        <f aca="false">IF(EH1379&lt;&gt;"",1,0)</f>
        <v>0</v>
      </c>
      <c r="BB1379" s="0" t="s">
        <v>153</v>
      </c>
      <c r="BC1379" s="0" t="s">
        <v>154</v>
      </c>
      <c r="BD1379" s="0" t="s">
        <v>154</v>
      </c>
      <c r="BF1379" s="0" t="s">
        <v>154</v>
      </c>
      <c r="BJ1379" s="0" t="s">
        <v>154</v>
      </c>
      <c r="BK1379" s="0" t="s">
        <v>154</v>
      </c>
      <c r="BL1379" s="0" t="s">
        <v>154</v>
      </c>
      <c r="BP1379" s="0" t="s">
        <v>154</v>
      </c>
      <c r="BS1379" s="0" t="s">
        <v>154</v>
      </c>
      <c r="BV1379" s="0" t="s">
        <v>154</v>
      </c>
      <c r="BY1379" s="0" t="s">
        <v>155</v>
      </c>
      <c r="CA1379" s="0" t="s">
        <v>154</v>
      </c>
      <c r="CG1379" s="0" t="s">
        <v>154</v>
      </c>
      <c r="CK1379" s="0" t="s">
        <v>154</v>
      </c>
      <c r="CL1379" s="0" t="s">
        <v>155</v>
      </c>
      <c r="CN1379" s="0" t="s">
        <v>154</v>
      </c>
      <c r="CP1379" s="0" t="s">
        <v>154</v>
      </c>
      <c r="CT1379" s="0" t="s">
        <v>154</v>
      </c>
      <c r="CV1379" s="0" t="s">
        <v>154</v>
      </c>
      <c r="CW1379" s="0" t="s">
        <v>154</v>
      </c>
      <c r="CY1379" s="0" t="s">
        <v>154</v>
      </c>
      <c r="CZ1379" s="0" t="s">
        <v>155</v>
      </c>
      <c r="DC1379" s="0" t="s">
        <v>154</v>
      </c>
      <c r="DN1379" s="0" t="s">
        <v>154</v>
      </c>
      <c r="DS1379" s="0" t="s">
        <v>155</v>
      </c>
      <c r="DU1379" s="0" t="s">
        <v>154</v>
      </c>
      <c r="DX1379" s="0" t="s">
        <v>154</v>
      </c>
      <c r="EA1379" s="0" t="s">
        <v>154</v>
      </c>
      <c r="ED1379" s="0" t="s">
        <v>155</v>
      </c>
      <c r="EF1379" s="0" t="s">
        <v>154</v>
      </c>
    </row>
    <row r="1380" customFormat="false" ht="13.8" hidden="true" customHeight="false" outlineLevel="0" collapsed="false">
      <c r="A1380" s="0" t="s">
        <v>6438</v>
      </c>
      <c r="B1380" s="0" t="n">
        <v>78</v>
      </c>
      <c r="C1380" s="0" t="n">
        <v>340086</v>
      </c>
      <c r="D1380" s="0" t="s">
        <v>2038</v>
      </c>
      <c r="E1380" s="0" t="s">
        <v>920</v>
      </c>
      <c r="F1380" s="0" t="str">
        <f aca="false">CONCATENATE(D1380," ",LEFT(H1380,4),"T=",AU1380,"D=",AV1380,"R=",AW1380,"M=",AX1380,"L=",AY1380,"B=",AZ1380)</f>
        <v>OSBORNE T=2D=0R=0M=0L=1B=0</v>
      </c>
      <c r="I1380" s="0" t="s">
        <v>6439</v>
      </c>
      <c r="J1380" s="0" t="s">
        <v>6440</v>
      </c>
      <c r="K1380" s="0" t="s">
        <v>175</v>
      </c>
      <c r="L1380" s="0"/>
      <c r="M1380" s="0" t="s">
        <v>6441</v>
      </c>
      <c r="N1380" s="0" t="str">
        <f aca="false">RIGHT(M1380,LEN(M1380)-FIND(" ",M1380))</f>
        <v>LARCHMONT AVE NE</v>
      </c>
      <c r="P1380" s="0" t="s">
        <v>146</v>
      </c>
      <c r="Q1380" s="0" t="s">
        <v>147</v>
      </c>
      <c r="R1380" s="0" t="n">
        <v>44483</v>
      </c>
      <c r="AD1380" s="0" t="s">
        <v>148</v>
      </c>
      <c r="AE1380" s="0" t="s">
        <v>149</v>
      </c>
      <c r="AF1380" s="0" t="s">
        <v>150</v>
      </c>
      <c r="AH1380" s="0" t="n">
        <v>14</v>
      </c>
      <c r="AI1380" s="0" t="n">
        <v>11</v>
      </c>
      <c r="AN1380" s="0" t="s">
        <v>146</v>
      </c>
      <c r="AO1380" s="0" t="s">
        <v>236</v>
      </c>
      <c r="AP1380" s="0" t="s">
        <v>237</v>
      </c>
      <c r="AQ1380" s="0" t="n">
        <v>9</v>
      </c>
      <c r="AR1380" s="0" t="n">
        <v>64</v>
      </c>
      <c r="AS1380" s="0" t="n">
        <v>32</v>
      </c>
      <c r="AU1380" s="0" t="n">
        <f aca="false">COUNTA($BA$811:$EH$811)</f>
        <v>2</v>
      </c>
      <c r="AV1380" s="0" t="n">
        <f aca="false">COUNTIF($BA$811:$EH$811,"D")</f>
        <v>0</v>
      </c>
      <c r="AW1380" s="0" t="n">
        <f aca="false">COUNTIF($BA$811:$EH$811,"R")</f>
        <v>0</v>
      </c>
      <c r="AX1380" s="0" t="n">
        <f aca="false"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>0</v>
      </c>
      <c r="AY1380" s="0" t="n">
        <f aca="false">COUNTIF(DU1380:EH1380, "&lt;&gt;")</f>
        <v>1</v>
      </c>
      <c r="AZ1380" s="0" t="n">
        <f aca="false">IF(EH1380&lt;&gt;"",1,0)</f>
        <v>0</v>
      </c>
      <c r="BB1380" s="0" t="s">
        <v>153</v>
      </c>
      <c r="CP1380" s="0" t="s">
        <v>154</v>
      </c>
      <c r="CY1380" s="0" t="s">
        <v>154</v>
      </c>
      <c r="DC1380" s="0" t="s">
        <v>154</v>
      </c>
      <c r="DN1380" s="0" t="s">
        <v>154</v>
      </c>
      <c r="EF1380" s="0" t="s">
        <v>154</v>
      </c>
    </row>
    <row r="1381" customFormat="false" ht="13.8" hidden="true" customHeight="false" outlineLevel="0" collapsed="false">
      <c r="A1381" s="0" t="s">
        <v>6442</v>
      </c>
      <c r="B1381" s="0" t="n">
        <v>78</v>
      </c>
      <c r="C1381" s="0" t="n">
        <v>251047</v>
      </c>
      <c r="D1381" s="0" t="s">
        <v>3623</v>
      </c>
      <c r="E1381" s="0" t="s">
        <v>4449</v>
      </c>
      <c r="F1381" s="0" t="str">
        <f aca="false">CONCATENATE(D1381," ",LEFT(H1381,4),"T=",AU1381,"D=",AV1381,"R=",AW1381,"M=",AX1381,"L=",AY1381,"B=",AZ1381)</f>
        <v>ADKINS T=1D=0R=0M=0L=1B=0</v>
      </c>
      <c r="G1381" s="0" t="s">
        <v>172</v>
      </c>
      <c r="I1381" s="0" t="s">
        <v>6443</v>
      </c>
      <c r="J1381" s="0" t="s">
        <v>4613</v>
      </c>
      <c r="K1381" s="0" t="s">
        <v>175</v>
      </c>
      <c r="L1381" s="0"/>
      <c r="M1381" s="0" t="s">
        <v>6444</v>
      </c>
      <c r="N1381" s="0" t="str">
        <f aca="false">RIGHT(M1381,LEN(M1381)-FIND(" ",M1381))</f>
        <v>LARCHMONT AVE NE</v>
      </c>
      <c r="P1381" s="0" t="s">
        <v>146</v>
      </c>
      <c r="Q1381" s="0" t="s">
        <v>147</v>
      </c>
      <c r="R1381" s="0" t="n">
        <v>44483</v>
      </c>
      <c r="AD1381" s="0" t="s">
        <v>148</v>
      </c>
      <c r="AE1381" s="0" t="s">
        <v>149</v>
      </c>
      <c r="AF1381" s="0" t="s">
        <v>150</v>
      </c>
      <c r="AH1381" s="0" t="n">
        <v>14</v>
      </c>
      <c r="AI1381" s="0" t="n">
        <v>11</v>
      </c>
      <c r="AN1381" s="0" t="s">
        <v>146</v>
      </c>
      <c r="AO1381" s="0" t="s">
        <v>236</v>
      </c>
      <c r="AP1381" s="0" t="s">
        <v>237</v>
      </c>
      <c r="AQ1381" s="0" t="n">
        <v>9</v>
      </c>
      <c r="AR1381" s="0" t="n">
        <v>64</v>
      </c>
      <c r="AS1381" s="0" t="n">
        <v>32</v>
      </c>
      <c r="AU1381" s="0" t="n">
        <f aca="false">COUNTA($BA$587:$EH$587)</f>
        <v>1</v>
      </c>
      <c r="AV1381" s="0" t="n">
        <f aca="false">COUNTIF($BA$587:$EH$587,"D")</f>
        <v>0</v>
      </c>
      <c r="AW1381" s="0" t="n">
        <f aca="false">COUNTIF($BA$587:$EH$587,"R")</f>
        <v>0</v>
      </c>
      <c r="AX1381" s="0" t="n">
        <f aca="false"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>0</v>
      </c>
      <c r="AY1381" s="0" t="n">
        <f aca="false">COUNTIF(DU1381:EH1381, "&lt;&gt;")</f>
        <v>1</v>
      </c>
      <c r="AZ1381" s="0" t="n">
        <f aca="false">IF(EH1381&lt;&gt;"",1,0)</f>
        <v>0</v>
      </c>
      <c r="BB1381" s="0" t="s">
        <v>153</v>
      </c>
      <c r="BC1381" s="0" t="s">
        <v>154</v>
      </c>
      <c r="BD1381" s="0" t="s">
        <v>154</v>
      </c>
      <c r="BE1381" s="0" t="s">
        <v>154</v>
      </c>
      <c r="BH1381" s="0" t="s">
        <v>154</v>
      </c>
      <c r="BJ1381" s="0" t="s">
        <v>154</v>
      </c>
      <c r="BL1381" s="0" t="s">
        <v>154</v>
      </c>
      <c r="BS1381" s="0" t="s">
        <v>154</v>
      </c>
      <c r="CA1381" s="0" t="s">
        <v>154</v>
      </c>
      <c r="CP1381" s="0" t="s">
        <v>154</v>
      </c>
      <c r="DC1381" s="0" t="s">
        <v>154</v>
      </c>
      <c r="DN1381" s="0" t="s">
        <v>154</v>
      </c>
      <c r="EF1381" s="0" t="s">
        <v>154</v>
      </c>
    </row>
    <row r="1382" customFormat="false" ht="13.8" hidden="true" customHeight="false" outlineLevel="0" collapsed="false">
      <c r="A1382" s="0" t="s">
        <v>6445</v>
      </c>
      <c r="B1382" s="0" t="n">
        <v>78</v>
      </c>
      <c r="C1382" s="0" t="n">
        <v>251062</v>
      </c>
      <c r="D1382" s="0" t="s">
        <v>3623</v>
      </c>
      <c r="E1382" s="0" t="s">
        <v>6446</v>
      </c>
      <c r="F1382" s="0" t="str">
        <f aca="false">CONCATENATE(D1382," ",LEFT(H1382,4),"T=",AU1382,"D=",AV1382,"R=",AW1382,"M=",AX1382,"L=",AY1382,"B=",AZ1382)</f>
        <v>ADKINS T=2D=1R=0M=0L=1B=0</v>
      </c>
      <c r="G1382" s="0" t="s">
        <v>514</v>
      </c>
      <c r="I1382" s="0" t="s">
        <v>6447</v>
      </c>
      <c r="J1382" s="0" t="s">
        <v>4613</v>
      </c>
      <c r="K1382" s="0" t="s">
        <v>175</v>
      </c>
      <c r="L1382" s="0"/>
      <c r="M1382" s="0" t="s">
        <v>6444</v>
      </c>
      <c r="N1382" s="0" t="str">
        <f aca="false">RIGHT(M1382,LEN(M1382)-FIND(" ",M1382))</f>
        <v>LARCHMONT AVE NE</v>
      </c>
      <c r="P1382" s="0" t="s">
        <v>146</v>
      </c>
      <c r="Q1382" s="0" t="s">
        <v>147</v>
      </c>
      <c r="R1382" s="0" t="n">
        <v>44483</v>
      </c>
      <c r="AD1382" s="0" t="s">
        <v>148</v>
      </c>
      <c r="AE1382" s="0" t="s">
        <v>149</v>
      </c>
      <c r="AF1382" s="0" t="s">
        <v>150</v>
      </c>
      <c r="AH1382" s="0" t="n">
        <v>14</v>
      </c>
      <c r="AI1382" s="0" t="n">
        <v>11</v>
      </c>
      <c r="AN1382" s="0" t="s">
        <v>146</v>
      </c>
      <c r="AO1382" s="0" t="s">
        <v>236</v>
      </c>
      <c r="AP1382" s="0" t="s">
        <v>237</v>
      </c>
      <c r="AQ1382" s="0" t="n">
        <v>9</v>
      </c>
      <c r="AR1382" s="0" t="n">
        <v>64</v>
      </c>
      <c r="AS1382" s="0" t="n">
        <v>32</v>
      </c>
      <c r="AU1382" s="0" t="n">
        <f aca="false">COUNTA($BA$877:$EH$877)</f>
        <v>2</v>
      </c>
      <c r="AV1382" s="0" t="n">
        <f aca="false">COUNTIF($BA$877:$EH$877,"D")</f>
        <v>1</v>
      </c>
      <c r="AW1382" s="0" t="n">
        <f aca="false">COUNTIF($BA$877:$EH$877,"R")</f>
        <v>0</v>
      </c>
      <c r="AX1382" s="0" t="n">
        <f aca="false"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>0</v>
      </c>
      <c r="AY1382" s="0" t="n">
        <f aca="false">COUNTIF(DU1382:EH1382, "&lt;&gt;")</f>
        <v>1</v>
      </c>
      <c r="AZ1382" s="0" t="n">
        <f aca="false">IF(EH1382&lt;&gt;"",1,0)</f>
        <v>0</v>
      </c>
      <c r="BB1382" s="0" t="s">
        <v>153</v>
      </c>
      <c r="BD1382" s="0" t="s">
        <v>154</v>
      </c>
      <c r="BE1382" s="0" t="s">
        <v>154</v>
      </c>
      <c r="BL1382" s="0" t="s">
        <v>154</v>
      </c>
      <c r="BS1382" s="0" t="s">
        <v>154</v>
      </c>
      <c r="CA1382" s="0" t="s">
        <v>154</v>
      </c>
      <c r="CP1382" s="0" t="s">
        <v>154</v>
      </c>
      <c r="DC1382" s="0" t="s">
        <v>154</v>
      </c>
      <c r="DN1382" s="0" t="s">
        <v>154</v>
      </c>
      <c r="EF1382" s="0" t="s">
        <v>154</v>
      </c>
    </row>
    <row r="1383" customFormat="false" ht="13.8" hidden="true" customHeight="false" outlineLevel="0" collapsed="false">
      <c r="A1383" s="0" t="s">
        <v>6448</v>
      </c>
      <c r="B1383" s="0" t="n">
        <v>78</v>
      </c>
      <c r="C1383" s="0" t="n">
        <v>372903</v>
      </c>
      <c r="D1383" s="0" t="s">
        <v>1420</v>
      </c>
      <c r="E1383" s="0" t="s">
        <v>1531</v>
      </c>
      <c r="F1383" s="0" t="str">
        <f aca="false">CONCATENATE(D1383," ",LEFT(H1383,4),"T=",AU1383,"D=",AV1383,"R=",AW1383,"M=",AX1383,"L=",AY1383,"B=",AZ1383)</f>
        <v>BRYANT JRT=5D=0R=0M=0L=1B=0</v>
      </c>
      <c r="G1383" s="0" t="s">
        <v>1482</v>
      </c>
      <c r="H1383" s="0" t="s">
        <v>431</v>
      </c>
      <c r="I1383" s="0" t="s">
        <v>5974</v>
      </c>
      <c r="J1383" s="0" t="s">
        <v>6449</v>
      </c>
      <c r="K1383" s="0" t="s">
        <v>175</v>
      </c>
      <c r="L1383" s="0"/>
      <c r="M1383" s="0" t="s">
        <v>6450</v>
      </c>
      <c r="N1383" s="0" t="str">
        <f aca="false">RIGHT(M1383,LEN(M1383)-FIND(" ",M1383))</f>
        <v>LARCHMONT AVE NE</v>
      </c>
      <c r="P1383" s="0" t="s">
        <v>146</v>
      </c>
      <c r="Q1383" s="0" t="s">
        <v>147</v>
      </c>
      <c r="R1383" s="0" t="n">
        <v>44483</v>
      </c>
      <c r="AD1383" s="0" t="s">
        <v>148</v>
      </c>
      <c r="AE1383" s="0" t="s">
        <v>149</v>
      </c>
      <c r="AF1383" s="0" t="s">
        <v>150</v>
      </c>
      <c r="AH1383" s="0" t="n">
        <v>14</v>
      </c>
      <c r="AI1383" s="0" t="n">
        <v>11</v>
      </c>
      <c r="AN1383" s="0" t="s">
        <v>146</v>
      </c>
      <c r="AO1383" s="0" t="s">
        <v>236</v>
      </c>
      <c r="AP1383" s="0" t="s">
        <v>237</v>
      </c>
      <c r="AQ1383" s="0" t="n">
        <v>9</v>
      </c>
      <c r="AR1383" s="0" t="n">
        <v>64</v>
      </c>
      <c r="AS1383" s="0" t="n">
        <v>32</v>
      </c>
      <c r="AU1383" s="0" t="n">
        <f aca="false">COUNTA($BA$152:$EH$152)</f>
        <v>5</v>
      </c>
      <c r="AV1383" s="0" t="n">
        <f aca="false">COUNTIF($BA$152:$EH$152,"D")</f>
        <v>0</v>
      </c>
      <c r="AW1383" s="0" t="n">
        <f aca="false">COUNTIF($BA$152:$EH$152,"R")</f>
        <v>0</v>
      </c>
      <c r="AX1383" s="0" t="n">
        <f aca="false"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>0</v>
      </c>
      <c r="AY1383" s="0" t="n">
        <f aca="false">COUNTIF(DU1383:EH1383, "&lt;&gt;")</f>
        <v>1</v>
      </c>
      <c r="AZ1383" s="0" t="n">
        <f aca="false">IF(EH1383&lt;&gt;"",1,0)</f>
        <v>0</v>
      </c>
      <c r="BB1383" s="0" t="s">
        <v>153</v>
      </c>
      <c r="DC1383" s="0" t="s">
        <v>154</v>
      </c>
      <c r="DI1383" s="0" t="s">
        <v>154</v>
      </c>
      <c r="DM1383" s="0" t="s">
        <v>155</v>
      </c>
      <c r="DN1383" s="0" t="s">
        <v>154</v>
      </c>
      <c r="EF1383" s="0" t="s">
        <v>154</v>
      </c>
    </row>
    <row r="1384" customFormat="false" ht="13.8" hidden="false" customHeight="false" outlineLevel="0" collapsed="false">
      <c r="A1384" s="0" t="s">
        <v>6451</v>
      </c>
      <c r="B1384" s="0" t="n">
        <v>78</v>
      </c>
      <c r="C1384" s="0" t="n">
        <v>320675</v>
      </c>
      <c r="D1384" s="0" t="s">
        <v>1420</v>
      </c>
      <c r="E1384" s="0" t="s">
        <v>6452</v>
      </c>
      <c r="F1384" s="0" t="str">
        <f aca="false">CONCATENATE(D1384," ",LEFT(H1384,4),"T=",AU1384,"D=",AV1384,"R=",AW1384,"M=",AX1384,"L=",AY1384,"B=",AZ1384)</f>
        <v>BRYANT T=1D=0R=0M=0L=2B=0</v>
      </c>
      <c r="G1384" s="0" t="s">
        <v>216</v>
      </c>
      <c r="I1384" s="0" t="s">
        <v>6453</v>
      </c>
      <c r="J1384" s="0" t="s">
        <v>3833</v>
      </c>
      <c r="K1384" s="0" t="s">
        <v>175</v>
      </c>
      <c r="M1384" s="0" t="s">
        <v>6450</v>
      </c>
      <c r="N1384" s="0" t="str">
        <f aca="false">RIGHT(M1384,LEN(M1384)-FIND(" ",M1384))</f>
        <v>LARCHMONT AVE NE</v>
      </c>
      <c r="P1384" s="0" t="s">
        <v>146</v>
      </c>
      <c r="Q1384" s="0" t="s">
        <v>147</v>
      </c>
      <c r="R1384" s="0" t="n">
        <v>44483</v>
      </c>
      <c r="AD1384" s="0" t="s">
        <v>148</v>
      </c>
      <c r="AE1384" s="0" t="s">
        <v>149</v>
      </c>
      <c r="AF1384" s="0" t="s">
        <v>150</v>
      </c>
      <c r="AH1384" s="0" t="n">
        <v>14</v>
      </c>
      <c r="AI1384" s="0" t="n">
        <v>11</v>
      </c>
      <c r="AN1384" s="0" t="s">
        <v>146</v>
      </c>
      <c r="AO1384" s="0" t="s">
        <v>236</v>
      </c>
      <c r="AP1384" s="0" t="s">
        <v>237</v>
      </c>
      <c r="AQ1384" s="0" t="n">
        <v>9</v>
      </c>
      <c r="AR1384" s="0" t="n">
        <v>64</v>
      </c>
      <c r="AS1384" s="0" t="n">
        <v>32</v>
      </c>
      <c r="AU1384" s="0" t="n">
        <f aca="false">COUNTA($BA$335:$EH$335)</f>
        <v>1</v>
      </c>
      <c r="AV1384" s="0" t="n">
        <f aca="false">COUNTIF($BA$335:$EH$335,"D")</f>
        <v>0</v>
      </c>
      <c r="AW1384" s="0" t="n">
        <f aca="false">COUNTIF($BA$335:$EH$335,"R")</f>
        <v>0</v>
      </c>
      <c r="AX1384" s="0" t="n">
        <f aca="false"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>0</v>
      </c>
      <c r="AY1384" s="0" t="n">
        <f aca="false">COUNTIF(DU1384:EH1384, "&lt;&gt;")</f>
        <v>2</v>
      </c>
      <c r="AZ1384" s="0" t="n">
        <f aca="false">IF(EH1384&lt;&gt;"",1,0)</f>
        <v>0</v>
      </c>
      <c r="BB1384" s="0" t="s">
        <v>153</v>
      </c>
      <c r="BL1384" s="0" t="s">
        <v>154</v>
      </c>
      <c r="BP1384" s="0" t="s">
        <v>154</v>
      </c>
      <c r="BS1384" s="0" t="s">
        <v>154</v>
      </c>
      <c r="BY1384" s="0" t="s">
        <v>155</v>
      </c>
      <c r="CA1384" s="0" t="s">
        <v>154</v>
      </c>
      <c r="CK1384" s="0" t="s">
        <v>154</v>
      </c>
      <c r="CN1384" s="0" t="s">
        <v>154</v>
      </c>
      <c r="CP1384" s="0" t="s">
        <v>154</v>
      </c>
      <c r="CV1384" s="0" t="s">
        <v>154</v>
      </c>
      <c r="CY1384" s="0" t="s">
        <v>154</v>
      </c>
      <c r="CZ1384" s="0" t="s">
        <v>155</v>
      </c>
      <c r="DC1384" s="0" t="s">
        <v>154</v>
      </c>
      <c r="DI1384" s="0" t="s">
        <v>154</v>
      </c>
      <c r="DL1384" s="0" t="s">
        <v>154</v>
      </c>
      <c r="DM1384" s="0" t="s">
        <v>155</v>
      </c>
      <c r="DN1384" s="0" t="s">
        <v>154</v>
      </c>
      <c r="DR1384" s="0" t="s">
        <v>154</v>
      </c>
      <c r="DU1384" s="0" t="s">
        <v>154</v>
      </c>
      <c r="EF1384" s="0" t="s">
        <v>154</v>
      </c>
    </row>
    <row r="1385" customFormat="false" ht="13.8" hidden="true" customHeight="false" outlineLevel="0" collapsed="false">
      <c r="A1385" s="0" t="s">
        <v>6454</v>
      </c>
      <c r="B1385" s="0" t="n">
        <v>78</v>
      </c>
      <c r="C1385" s="0" t="n">
        <v>494178</v>
      </c>
      <c r="D1385" s="0" t="s">
        <v>6455</v>
      </c>
      <c r="E1385" s="0" t="s">
        <v>1531</v>
      </c>
      <c r="F1385" s="0" t="str">
        <f aca="false">CONCATENATE(D1385," ",LEFT(H1385,4),"T=",AU1385,"D=",AV1385,"R=",AW1385,"M=",AX1385,"L=",AY1385,"B=",AZ1385)</f>
        <v>PARRISH T=5D=0R=0M=0L=0B=0</v>
      </c>
      <c r="G1385" s="0" t="s">
        <v>2293</v>
      </c>
      <c r="I1385" s="0" t="s">
        <v>6456</v>
      </c>
      <c r="J1385" s="0" t="s">
        <v>1014</v>
      </c>
      <c r="K1385" s="0" t="s">
        <v>175</v>
      </c>
      <c r="L1385" s="0"/>
      <c r="M1385" s="0" t="s">
        <v>6457</v>
      </c>
      <c r="N1385" s="0" t="str">
        <f aca="false">RIGHT(M1385,LEN(M1385)-FIND(" ",M1385))</f>
        <v>LARCHMONT AVE NE</v>
      </c>
      <c r="P1385" s="0" t="s">
        <v>146</v>
      </c>
      <c r="Q1385" s="0" t="s">
        <v>147</v>
      </c>
      <c r="R1385" s="0" t="n">
        <v>44483</v>
      </c>
      <c r="S1385" s="0" t="n">
        <v>3957</v>
      </c>
      <c r="AD1385" s="0" t="s">
        <v>148</v>
      </c>
      <c r="AE1385" s="0" t="s">
        <v>149</v>
      </c>
      <c r="AF1385" s="0" t="s">
        <v>150</v>
      </c>
      <c r="AH1385" s="0" t="n">
        <v>14</v>
      </c>
      <c r="AI1385" s="0" t="n">
        <v>11</v>
      </c>
      <c r="AN1385" s="0" t="s">
        <v>146</v>
      </c>
      <c r="AO1385" s="0" t="s">
        <v>236</v>
      </c>
      <c r="AP1385" s="0" t="s">
        <v>237</v>
      </c>
      <c r="AQ1385" s="0" t="n">
        <v>9</v>
      </c>
      <c r="AR1385" s="0" t="n">
        <v>64</v>
      </c>
      <c r="AS1385" s="0" t="n">
        <v>32</v>
      </c>
      <c r="AU1385" s="0" t="n">
        <f aca="false">COUNTA($BA$451:$EH$451)</f>
        <v>5</v>
      </c>
      <c r="AV1385" s="0" t="n">
        <f aca="false">COUNTIF($BA$451:$EH$451,"D")</f>
        <v>0</v>
      </c>
      <c r="AW1385" s="0" t="n">
        <f aca="false">COUNTIF($BA$451:$EH$451,"R")</f>
        <v>0</v>
      </c>
      <c r="AX1385" s="0" t="n">
        <f aca="false"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>0</v>
      </c>
      <c r="AY1385" s="0" t="n">
        <f aca="false">COUNTIF(DU1385:EH1385, "&lt;&gt;")</f>
        <v>0</v>
      </c>
      <c r="AZ1385" s="0" t="n">
        <f aca="false">IF(EH1385&lt;&gt;"",1,0)</f>
        <v>0</v>
      </c>
      <c r="BB1385" s="0" t="s">
        <v>153</v>
      </c>
    </row>
    <row r="1386" customFormat="false" ht="13.8" hidden="true" customHeight="false" outlineLevel="0" collapsed="false">
      <c r="A1386" s="0" t="s">
        <v>6458</v>
      </c>
      <c r="B1386" s="0" t="n">
        <v>78</v>
      </c>
      <c r="C1386" s="0" t="n">
        <v>436022</v>
      </c>
      <c r="D1386" s="0" t="s">
        <v>3211</v>
      </c>
      <c r="E1386" s="0" t="s">
        <v>6459</v>
      </c>
      <c r="F1386" s="0" t="str">
        <f aca="false">CONCATENATE(D1386," ",LEFT(H1386,4),"T=",AU1386,"D=",AV1386,"R=",AW1386,"M=",AX1386,"L=",AY1386,"B=",AZ1386)</f>
        <v>ERVIN T=19D=2R=0M=0L=0B=0</v>
      </c>
      <c r="G1386" s="0" t="s">
        <v>216</v>
      </c>
      <c r="I1386" s="0" t="s">
        <v>6460</v>
      </c>
      <c r="J1386" s="0" t="s">
        <v>6461</v>
      </c>
      <c r="K1386" s="0" t="s">
        <v>144</v>
      </c>
      <c r="L1386" s="0"/>
      <c r="M1386" s="0" t="s">
        <v>6462</v>
      </c>
      <c r="N1386" s="0" t="str">
        <f aca="false">RIGHT(M1386,LEN(M1386)-FIND(" ",M1386))</f>
        <v>LARCHMONT AVE NE</v>
      </c>
      <c r="P1386" s="0" t="s">
        <v>146</v>
      </c>
      <c r="Q1386" s="0" t="s">
        <v>147</v>
      </c>
      <c r="R1386" s="0" t="n">
        <v>44483</v>
      </c>
      <c r="AD1386" s="0" t="s">
        <v>148</v>
      </c>
      <c r="AE1386" s="0" t="s">
        <v>149</v>
      </c>
      <c r="AF1386" s="0" t="s">
        <v>150</v>
      </c>
      <c r="AH1386" s="0" t="n">
        <v>14</v>
      </c>
      <c r="AI1386" s="0" t="n">
        <v>11</v>
      </c>
      <c r="AN1386" s="0" t="s">
        <v>146</v>
      </c>
      <c r="AO1386" s="0" t="s">
        <v>236</v>
      </c>
      <c r="AP1386" s="0" t="s">
        <v>237</v>
      </c>
      <c r="AQ1386" s="0" t="n">
        <v>9</v>
      </c>
      <c r="AR1386" s="0" t="n">
        <v>64</v>
      </c>
      <c r="AS1386" s="0" t="n">
        <v>32</v>
      </c>
      <c r="AU1386" s="0" t="n">
        <f aca="false">COUNTA($BA$701:$EH$701)</f>
        <v>19</v>
      </c>
      <c r="AV1386" s="0" t="n">
        <f aca="false">COUNTIF($BA$701:$EH$701,"D")</f>
        <v>2</v>
      </c>
      <c r="AW1386" s="0" t="n">
        <f aca="false">COUNTIF($BA$701:$EH$701,"R")</f>
        <v>0</v>
      </c>
      <c r="AX1386" s="0" t="n">
        <f aca="false"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>0</v>
      </c>
      <c r="AY1386" s="0" t="n">
        <f aca="false">COUNTIF(DU1386:EH1386, "&lt;&gt;")</f>
        <v>0</v>
      </c>
      <c r="AZ1386" s="0" t="n">
        <f aca="false">IF(EH1386&lt;&gt;"",1,0)</f>
        <v>0</v>
      </c>
      <c r="BB1386" s="0" t="s">
        <v>153</v>
      </c>
      <c r="DC1386" s="0" t="s">
        <v>154</v>
      </c>
    </row>
    <row r="1387" customFormat="false" ht="13.8" hidden="true" customHeight="false" outlineLevel="0" collapsed="false">
      <c r="A1387" s="0" t="s">
        <v>6463</v>
      </c>
      <c r="B1387" s="0" t="n">
        <v>78</v>
      </c>
      <c r="C1387" s="0" t="n">
        <v>214952</v>
      </c>
      <c r="D1387" s="0" t="s">
        <v>3276</v>
      </c>
      <c r="E1387" s="0" t="s">
        <v>1788</v>
      </c>
      <c r="F1387" s="0" t="str">
        <f aca="false">CONCATENATE(D1387," ",LEFT(H1387,4),"T=",AU1387,"D=",AV1387,"R=",AW1387,"M=",AX1387,"L=",AY1387,"B=",AZ1387)</f>
        <v>MOORE T=1D=0R=0M=0L=0B=0</v>
      </c>
      <c r="G1387" s="0" t="s">
        <v>176</v>
      </c>
      <c r="I1387" s="0" t="s">
        <v>6464</v>
      </c>
      <c r="J1387" s="0" t="s">
        <v>6465</v>
      </c>
      <c r="K1387" s="0" t="s">
        <v>175</v>
      </c>
      <c r="L1387" s="0"/>
      <c r="M1387" s="0" t="s">
        <v>6466</v>
      </c>
      <c r="N1387" s="0" t="str">
        <f aca="false">RIGHT(M1387,LEN(M1387)-FIND(" ",M1387))</f>
        <v>LARCHMONT AVE NE</v>
      </c>
      <c r="P1387" s="0" t="s">
        <v>146</v>
      </c>
      <c r="Q1387" s="0" t="s">
        <v>147</v>
      </c>
      <c r="R1387" s="0" t="n">
        <v>44483</v>
      </c>
      <c r="AD1387" s="0" t="s">
        <v>148</v>
      </c>
      <c r="AE1387" s="0" t="s">
        <v>149</v>
      </c>
      <c r="AF1387" s="0" t="s">
        <v>150</v>
      </c>
      <c r="AH1387" s="0" t="n">
        <v>14</v>
      </c>
      <c r="AI1387" s="0" t="n">
        <v>11</v>
      </c>
      <c r="AN1387" s="0" t="s">
        <v>146</v>
      </c>
      <c r="AO1387" s="0" t="s">
        <v>236</v>
      </c>
      <c r="AP1387" s="0" t="s">
        <v>237</v>
      </c>
      <c r="AQ1387" s="0" t="n">
        <v>9</v>
      </c>
      <c r="AR1387" s="0" t="n">
        <v>64</v>
      </c>
      <c r="AS1387" s="0" t="n">
        <v>32</v>
      </c>
      <c r="AU1387" s="0" t="n">
        <f aca="false">COUNTA($BA$615:$EH$615)</f>
        <v>1</v>
      </c>
      <c r="AV1387" s="0" t="n">
        <f aca="false">COUNTIF($BA$615:$EH$615,"D")</f>
        <v>0</v>
      </c>
      <c r="AW1387" s="0" t="n">
        <f aca="false">COUNTIF($BA$615:$EH$615,"R")</f>
        <v>0</v>
      </c>
      <c r="AX1387" s="0" t="n">
        <f aca="false"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>0</v>
      </c>
      <c r="AY1387" s="0" t="n">
        <f aca="false">COUNTIF(DU1387:EH1387, "&lt;&gt;")</f>
        <v>0</v>
      </c>
      <c r="AZ1387" s="0" t="n">
        <f aca="false">IF(EH1387&lt;&gt;"",1,0)</f>
        <v>0</v>
      </c>
      <c r="BB1387" s="0" t="s">
        <v>153</v>
      </c>
    </row>
    <row r="1388" customFormat="false" ht="13.8" hidden="true" customHeight="false" outlineLevel="0" collapsed="false">
      <c r="A1388" s="0" t="s">
        <v>6467</v>
      </c>
      <c r="B1388" s="0" t="n">
        <v>78</v>
      </c>
      <c r="C1388" s="0" t="n">
        <v>302068</v>
      </c>
      <c r="D1388" s="0" t="s">
        <v>6468</v>
      </c>
      <c r="E1388" s="0" t="s">
        <v>6469</v>
      </c>
      <c r="F1388" s="0" t="str">
        <f aca="false">CONCATENATE(D1388," ",LEFT(H1388,4),"T=",AU1388,"D=",AV1388,"R=",AW1388,"M=",AX1388,"L=",AY1388,"B=",AZ1388)</f>
        <v>SCOFIELD T=4D=0R=0M=0L=0B=0</v>
      </c>
      <c r="G1388" s="0" t="s">
        <v>241</v>
      </c>
      <c r="I1388" s="0" t="s">
        <v>6470</v>
      </c>
      <c r="J1388" s="0" t="s">
        <v>6471</v>
      </c>
      <c r="K1388" s="0" t="s">
        <v>175</v>
      </c>
      <c r="L1388" s="0"/>
      <c r="M1388" s="0" t="s">
        <v>6472</v>
      </c>
      <c r="N1388" s="0" t="str">
        <f aca="false">RIGHT(M1388,LEN(M1388)-FIND(" ",M1388))</f>
        <v>LARCHMONT AVE NE</v>
      </c>
      <c r="P1388" s="0" t="s">
        <v>146</v>
      </c>
      <c r="Q1388" s="0" t="s">
        <v>147</v>
      </c>
      <c r="R1388" s="0" t="n">
        <v>44483</v>
      </c>
      <c r="AD1388" s="0" t="s">
        <v>148</v>
      </c>
      <c r="AE1388" s="0" t="s">
        <v>149</v>
      </c>
      <c r="AF1388" s="0" t="s">
        <v>150</v>
      </c>
      <c r="AH1388" s="0" t="n">
        <v>14</v>
      </c>
      <c r="AI1388" s="0" t="n">
        <v>11</v>
      </c>
      <c r="AN1388" s="0" t="s">
        <v>146</v>
      </c>
      <c r="AO1388" s="0" t="s">
        <v>236</v>
      </c>
      <c r="AP1388" s="0" t="s">
        <v>237</v>
      </c>
      <c r="AQ1388" s="0" t="n">
        <v>9</v>
      </c>
      <c r="AR1388" s="0" t="n">
        <v>64</v>
      </c>
      <c r="AS1388" s="0" t="n">
        <v>32</v>
      </c>
      <c r="AU1388" s="0" t="n">
        <f aca="false">COUNTA($BA$297:$EH$297)</f>
        <v>4</v>
      </c>
      <c r="AV1388" s="0" t="n">
        <f aca="false">COUNTIF($BA$297:$EH$297,"D")</f>
        <v>0</v>
      </c>
      <c r="AW1388" s="0" t="n">
        <f aca="false">COUNTIF($BA$297:$EH$297,"R")</f>
        <v>0</v>
      </c>
      <c r="AX1388" s="0" t="n">
        <f aca="false"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>0</v>
      </c>
      <c r="AY1388" s="0" t="n">
        <f aca="false">COUNTIF(DU1388:EH1388, "&lt;&gt;")</f>
        <v>0</v>
      </c>
      <c r="AZ1388" s="0" t="n">
        <f aca="false">IF(EH1388&lt;&gt;"",1,0)</f>
        <v>0</v>
      </c>
      <c r="BB1388" s="0" t="s">
        <v>153</v>
      </c>
      <c r="BH1388" s="0" t="s">
        <v>154</v>
      </c>
      <c r="BI1388" s="0" t="s">
        <v>154</v>
      </c>
      <c r="BL1388" s="0" t="s">
        <v>154</v>
      </c>
      <c r="CA1388" s="0" t="s">
        <v>154</v>
      </c>
      <c r="CY1388" s="0" t="s">
        <v>154</v>
      </c>
      <c r="DC1388" s="0" t="s">
        <v>154</v>
      </c>
    </row>
    <row r="1389" customFormat="false" ht="13.8" hidden="true" customHeight="false" outlineLevel="0" collapsed="false">
      <c r="A1389" s="0" t="s">
        <v>6473</v>
      </c>
      <c r="B1389" s="0" t="n">
        <v>78</v>
      </c>
      <c r="C1389" s="0" t="n">
        <v>477287</v>
      </c>
      <c r="D1389" s="0" t="s">
        <v>6474</v>
      </c>
      <c r="E1389" s="0" t="s">
        <v>1232</v>
      </c>
      <c r="F1389" s="0" t="str">
        <f aca="false">CONCATENATE(D1389," ",LEFT(H1389,4),"T=",AU1389,"D=",AV1389,"R=",AW1389,"M=",AX1389,"L=",AY1389,"B=",AZ1389)</f>
        <v>HOLLAND T=4D=0R=0M=0L=1B=0</v>
      </c>
      <c r="G1389" s="0" t="s">
        <v>181</v>
      </c>
      <c r="I1389" s="0" t="s">
        <v>6475</v>
      </c>
      <c r="J1389" s="0" t="s">
        <v>712</v>
      </c>
      <c r="K1389" s="0" t="s">
        <v>175</v>
      </c>
      <c r="L1389" s="0"/>
      <c r="M1389" s="0" t="s">
        <v>6472</v>
      </c>
      <c r="N1389" s="0" t="str">
        <f aca="false">RIGHT(M1389,LEN(M1389)-FIND(" ",M1389))</f>
        <v>LARCHMONT AVE NE</v>
      </c>
      <c r="P1389" s="0" t="s">
        <v>146</v>
      </c>
      <c r="Q1389" s="0" t="s">
        <v>147</v>
      </c>
      <c r="R1389" s="0" t="n">
        <v>44483</v>
      </c>
      <c r="AD1389" s="0" t="s">
        <v>148</v>
      </c>
      <c r="AE1389" s="0" t="s">
        <v>149</v>
      </c>
      <c r="AF1389" s="0" t="s">
        <v>150</v>
      </c>
      <c r="AH1389" s="0" t="n">
        <v>14</v>
      </c>
      <c r="AI1389" s="0" t="n">
        <v>11</v>
      </c>
      <c r="AN1389" s="0" t="s">
        <v>146</v>
      </c>
      <c r="AO1389" s="0" t="s">
        <v>236</v>
      </c>
      <c r="AP1389" s="0" t="s">
        <v>237</v>
      </c>
      <c r="AQ1389" s="0" t="n">
        <v>9</v>
      </c>
      <c r="AR1389" s="0" t="n">
        <v>64</v>
      </c>
      <c r="AS1389" s="0" t="n">
        <v>32</v>
      </c>
      <c r="AU1389" s="0" t="n">
        <f aca="false">COUNTA($BA$384:$EH$384)</f>
        <v>4</v>
      </c>
      <c r="AV1389" s="0" t="n">
        <f aca="false">COUNTIF($BA$384:$EH$384,"D")</f>
        <v>0</v>
      </c>
      <c r="AW1389" s="0" t="n">
        <f aca="false">COUNTIF($BA$384:$EH$384,"R")</f>
        <v>0</v>
      </c>
      <c r="AX1389" s="0" t="n">
        <f aca="false"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>0</v>
      </c>
      <c r="AY1389" s="0" t="n">
        <f aca="false">COUNTIF(DU1389:EH1389, "&lt;&gt;")</f>
        <v>1</v>
      </c>
      <c r="AZ1389" s="0" t="n">
        <f aca="false">IF(EH1389&lt;&gt;"",1,0)</f>
        <v>0</v>
      </c>
      <c r="BB1389" s="0" t="s">
        <v>153</v>
      </c>
      <c r="DF1389" s="0" t="s">
        <v>154</v>
      </c>
      <c r="EF1389" s="0" t="s">
        <v>154</v>
      </c>
    </row>
    <row r="1390" customFormat="false" ht="13.8" hidden="true" customHeight="false" outlineLevel="0" collapsed="false">
      <c r="A1390" s="0" t="s">
        <v>6476</v>
      </c>
      <c r="B1390" s="0" t="n">
        <v>78</v>
      </c>
      <c r="C1390" s="0" t="n">
        <v>314727</v>
      </c>
      <c r="D1390" s="0" t="s">
        <v>6477</v>
      </c>
      <c r="E1390" s="0" t="s">
        <v>6478</v>
      </c>
      <c r="F1390" s="0" t="str">
        <f aca="false">CONCATENATE(D1390," ",LEFT(H1390,4),"T=",AU1390,"D=",AV1390,"R=",AW1390,"M=",AX1390,"L=",AY1390,"B=",AZ1390)</f>
        <v>SEMBACH T=1D=0R=0M=0L=0B=0</v>
      </c>
      <c r="G1390" s="0" t="s">
        <v>241</v>
      </c>
      <c r="I1390" s="0" t="s">
        <v>6479</v>
      </c>
      <c r="J1390" s="0" t="s">
        <v>6480</v>
      </c>
      <c r="K1390" s="0" t="s">
        <v>175</v>
      </c>
      <c r="L1390" s="0"/>
      <c r="M1390" s="0" t="s">
        <v>6481</v>
      </c>
      <c r="N1390" s="0" t="str">
        <f aca="false">RIGHT(M1390,LEN(M1390)-FIND(" ",M1390))</f>
        <v>LARCHMONT AVE NE</v>
      </c>
      <c r="P1390" s="0" t="s">
        <v>146</v>
      </c>
      <c r="Q1390" s="0" t="s">
        <v>147</v>
      </c>
      <c r="R1390" s="0" t="n">
        <v>44483</v>
      </c>
      <c r="AD1390" s="0" t="s">
        <v>148</v>
      </c>
      <c r="AE1390" s="0" t="s">
        <v>149</v>
      </c>
      <c r="AF1390" s="0" t="s">
        <v>150</v>
      </c>
      <c r="AH1390" s="0" t="n">
        <v>14</v>
      </c>
      <c r="AI1390" s="0" t="n">
        <v>11</v>
      </c>
      <c r="AN1390" s="0" t="s">
        <v>146</v>
      </c>
      <c r="AO1390" s="0" t="s">
        <v>236</v>
      </c>
      <c r="AP1390" s="0" t="s">
        <v>237</v>
      </c>
      <c r="AQ1390" s="0" t="n">
        <v>9</v>
      </c>
      <c r="AR1390" s="0" t="n">
        <v>64</v>
      </c>
      <c r="AS1390" s="0" t="n">
        <v>32</v>
      </c>
      <c r="AU1390" s="0" t="n">
        <f aca="false">COUNTA($BA$407:$EH$407)</f>
        <v>1</v>
      </c>
      <c r="AV1390" s="0" t="n">
        <f aca="false">COUNTIF($BA$407:$EH$407,"D")</f>
        <v>0</v>
      </c>
      <c r="AW1390" s="0" t="n">
        <f aca="false">COUNTIF($BA$407:$EH$407,"R")</f>
        <v>0</v>
      </c>
      <c r="AX1390" s="0" t="n">
        <f aca="false"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>0</v>
      </c>
      <c r="AY1390" s="0" t="n">
        <f aca="false">COUNTIF(DU1390:EH1390, "&lt;&gt;")</f>
        <v>0</v>
      </c>
      <c r="AZ1390" s="0" t="n">
        <f aca="false">IF(EH1390&lt;&gt;"",1,0)</f>
        <v>0</v>
      </c>
      <c r="BB1390" s="0" t="s">
        <v>153</v>
      </c>
      <c r="BL1390" s="0" t="s">
        <v>154</v>
      </c>
      <c r="DN1390" s="0" t="s">
        <v>154</v>
      </c>
    </row>
    <row r="1391" customFormat="false" ht="13.8" hidden="true" customHeight="false" outlineLevel="0" collapsed="false">
      <c r="A1391" s="0" t="s">
        <v>6482</v>
      </c>
      <c r="B1391" s="0" t="n">
        <v>78</v>
      </c>
      <c r="C1391" s="0" t="n">
        <v>360502</v>
      </c>
      <c r="D1391" s="0" t="s">
        <v>6477</v>
      </c>
      <c r="E1391" s="0" t="s">
        <v>652</v>
      </c>
      <c r="F1391" s="0" t="str">
        <f aca="false">CONCATENATE(D1391," ",LEFT(H1391,4),"T=",AU1391,"D=",AV1391,"R=",AW1391,"M=",AX1391,"L=",AY1391,"B=",AZ1391)</f>
        <v>SEMBACH T=16D=0R=0M=0L=1B=0</v>
      </c>
      <c r="G1391" s="0" t="s">
        <v>563</v>
      </c>
      <c r="I1391" s="0" t="s">
        <v>6483</v>
      </c>
      <c r="J1391" s="0" t="s">
        <v>6484</v>
      </c>
      <c r="K1391" s="0" t="s">
        <v>175</v>
      </c>
      <c r="L1391" s="0"/>
      <c r="M1391" s="0" t="s">
        <v>6481</v>
      </c>
      <c r="N1391" s="0" t="str">
        <f aca="false">RIGHT(M1391,LEN(M1391)-FIND(" ",M1391))</f>
        <v>LARCHMONT AVE NE</v>
      </c>
      <c r="P1391" s="0" t="s">
        <v>146</v>
      </c>
      <c r="Q1391" s="0" t="s">
        <v>147</v>
      </c>
      <c r="R1391" s="0" t="n">
        <v>44483</v>
      </c>
      <c r="AD1391" s="0" t="s">
        <v>148</v>
      </c>
      <c r="AE1391" s="0" t="s">
        <v>149</v>
      </c>
      <c r="AF1391" s="0" t="s">
        <v>150</v>
      </c>
      <c r="AH1391" s="0" t="n">
        <v>14</v>
      </c>
      <c r="AI1391" s="0" t="n">
        <v>11</v>
      </c>
      <c r="AN1391" s="0" t="s">
        <v>146</v>
      </c>
      <c r="AO1391" s="0" t="s">
        <v>236</v>
      </c>
      <c r="AP1391" s="0" t="s">
        <v>237</v>
      </c>
      <c r="AQ1391" s="0" t="n">
        <v>9</v>
      </c>
      <c r="AR1391" s="0" t="n">
        <v>64</v>
      </c>
      <c r="AS1391" s="0" t="n">
        <v>32</v>
      </c>
      <c r="AU1391" s="0" t="n">
        <f aca="false">COUNTA($BA$499:$EH$499)</f>
        <v>16</v>
      </c>
      <c r="AV1391" s="0" t="n">
        <f aca="false">COUNTIF($BA$499:$EH$499,"D")</f>
        <v>0</v>
      </c>
      <c r="AW1391" s="0" t="n">
        <f aca="false">COUNTIF($BA$499:$EH$499,"R")</f>
        <v>0</v>
      </c>
      <c r="AX1391" s="0" t="n">
        <f aca="false"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>0</v>
      </c>
      <c r="AY1391" s="0" t="n">
        <f aca="false">COUNTIF(DU1391:EH1391, "&lt;&gt;")</f>
        <v>1</v>
      </c>
      <c r="AZ1391" s="0" t="n">
        <f aca="false">IF(EH1391&lt;&gt;"",1,0)</f>
        <v>0</v>
      </c>
      <c r="BB1391" s="0" t="s">
        <v>153</v>
      </c>
      <c r="DN1391" s="0" t="s">
        <v>154</v>
      </c>
      <c r="EF1391" s="0" t="s">
        <v>154</v>
      </c>
    </row>
    <row r="1392" customFormat="false" ht="13.8" hidden="false" customHeight="false" outlineLevel="0" collapsed="false">
      <c r="A1392" s="0" t="s">
        <v>6485</v>
      </c>
      <c r="B1392" s="0" t="n">
        <v>78</v>
      </c>
      <c r="C1392" s="0" t="n">
        <v>307904</v>
      </c>
      <c r="D1392" s="0" t="s">
        <v>6486</v>
      </c>
      <c r="E1392" s="0" t="s">
        <v>6487</v>
      </c>
      <c r="F1392" s="0" t="str">
        <f aca="false">CONCATENATE(D1392," ",LEFT(H1392,4),"T=",AU1392,"D=",AV1392,"R=",AW1392,"M=",AX1392,"L=",AY1392,"B=",AZ1392)</f>
        <v>BAILEY T=6D=0R=0M=0L=4B=0</v>
      </c>
      <c r="I1392" s="0" t="s">
        <v>6488</v>
      </c>
      <c r="J1392" s="0" t="s">
        <v>1508</v>
      </c>
      <c r="K1392" s="0" t="s">
        <v>175</v>
      </c>
      <c r="M1392" s="0" t="s">
        <v>6489</v>
      </c>
      <c r="N1392" s="0" t="str">
        <f aca="false">RIGHT(M1392,LEN(M1392)-FIND(" ",M1392))</f>
        <v>LARCHMONT AVE NE</v>
      </c>
      <c r="P1392" s="0" t="s">
        <v>146</v>
      </c>
      <c r="Q1392" s="0" t="s">
        <v>147</v>
      </c>
      <c r="R1392" s="0" t="n">
        <v>44483</v>
      </c>
      <c r="AD1392" s="0" t="s">
        <v>148</v>
      </c>
      <c r="AE1392" s="0" t="s">
        <v>149</v>
      </c>
      <c r="AF1392" s="0" t="s">
        <v>150</v>
      </c>
      <c r="AH1392" s="0" t="n">
        <v>14</v>
      </c>
      <c r="AI1392" s="0" t="n">
        <v>11</v>
      </c>
      <c r="AN1392" s="0" t="s">
        <v>146</v>
      </c>
      <c r="AO1392" s="0" t="s">
        <v>236</v>
      </c>
      <c r="AP1392" s="0" t="s">
        <v>237</v>
      </c>
      <c r="AQ1392" s="0" t="n">
        <v>9</v>
      </c>
      <c r="AR1392" s="0" t="n">
        <v>64</v>
      </c>
      <c r="AS1392" s="0" t="n">
        <v>32</v>
      </c>
      <c r="AU1392" s="0" t="n">
        <f aca="false">COUNTA($BA$549:$EH$549)</f>
        <v>6</v>
      </c>
      <c r="AV1392" s="0" t="n">
        <f aca="false">COUNTIF($BA$549:$EH$549,"D")</f>
        <v>0</v>
      </c>
      <c r="AW1392" s="0" t="n">
        <f aca="false">COUNTIF($BA$549:$EH$549,"R")</f>
        <v>0</v>
      </c>
      <c r="AX1392" s="0" t="n">
        <f aca="false"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>0</v>
      </c>
      <c r="AY1392" s="0" t="n">
        <f aca="false">COUNTIF(DU1392:EH1392, "&lt;&gt;")</f>
        <v>4</v>
      </c>
      <c r="AZ1392" s="0" t="n">
        <f aca="false">IF(EH1392&lt;&gt;"",1,0)</f>
        <v>0</v>
      </c>
      <c r="BB1392" s="0" t="s">
        <v>153</v>
      </c>
      <c r="BL1392" s="0" t="s">
        <v>154</v>
      </c>
      <c r="BS1392" s="0" t="s">
        <v>154</v>
      </c>
      <c r="BY1392" s="0" t="s">
        <v>155</v>
      </c>
      <c r="CA1392" s="0" t="s">
        <v>154</v>
      </c>
      <c r="CP1392" s="0" t="s">
        <v>154</v>
      </c>
      <c r="DU1392" s="0" t="s">
        <v>154</v>
      </c>
      <c r="DX1392" s="0" t="s">
        <v>154</v>
      </c>
      <c r="EA1392" s="0" t="s">
        <v>154</v>
      </c>
      <c r="EF1392" s="0" t="s">
        <v>154</v>
      </c>
    </row>
    <row r="1393" customFormat="false" ht="13.8" hidden="false" customHeight="false" outlineLevel="0" collapsed="false">
      <c r="A1393" s="0" t="s">
        <v>6490</v>
      </c>
      <c r="B1393" s="0" t="n">
        <v>78</v>
      </c>
      <c r="C1393" s="0" t="n">
        <v>459968</v>
      </c>
      <c r="D1393" s="0" t="s">
        <v>6486</v>
      </c>
      <c r="E1393" s="0" t="s">
        <v>6491</v>
      </c>
      <c r="F1393" s="0" t="str">
        <f aca="false">CONCATENATE(D1393," ",LEFT(H1393,4),"T=",AU1393,"D=",AV1393,"R=",AW1393,"M=",AX1393,"L=",AY1393,"B=",AZ1393)</f>
        <v>BAILEY T=1D=0R=0M=0L=4B=0</v>
      </c>
      <c r="G1393" s="0" t="s">
        <v>181</v>
      </c>
      <c r="I1393" s="0" t="s">
        <v>4385</v>
      </c>
      <c r="J1393" s="0" t="s">
        <v>6492</v>
      </c>
      <c r="K1393" s="0" t="s">
        <v>175</v>
      </c>
      <c r="M1393" s="0" t="s">
        <v>6489</v>
      </c>
      <c r="N1393" s="0" t="str">
        <f aca="false">RIGHT(M1393,LEN(M1393)-FIND(" ",M1393))</f>
        <v>LARCHMONT AVE NE</v>
      </c>
      <c r="P1393" s="0" t="s">
        <v>146</v>
      </c>
      <c r="Q1393" s="0" t="s">
        <v>147</v>
      </c>
      <c r="R1393" s="0" t="n">
        <v>44483</v>
      </c>
      <c r="AD1393" s="0" t="s">
        <v>148</v>
      </c>
      <c r="AE1393" s="0" t="s">
        <v>149</v>
      </c>
      <c r="AF1393" s="0" t="s">
        <v>150</v>
      </c>
      <c r="AH1393" s="0" t="n">
        <v>14</v>
      </c>
      <c r="AI1393" s="0" t="n">
        <v>11</v>
      </c>
      <c r="AN1393" s="0" t="s">
        <v>146</v>
      </c>
      <c r="AO1393" s="0" t="s">
        <v>236</v>
      </c>
      <c r="AP1393" s="0" t="s">
        <v>237</v>
      </c>
      <c r="AQ1393" s="0" t="n">
        <v>9</v>
      </c>
      <c r="AR1393" s="0" t="n">
        <v>64</v>
      </c>
      <c r="AS1393" s="0" t="n">
        <v>32</v>
      </c>
      <c r="AU1393" s="0" t="n">
        <f aca="false">COUNTA($BA$648:$EH$648)</f>
        <v>1</v>
      </c>
      <c r="AV1393" s="0" t="n">
        <f aca="false">COUNTIF($BA$648:$EH$648,"D")</f>
        <v>0</v>
      </c>
      <c r="AW1393" s="0" t="n">
        <f aca="false">COUNTIF($BA$648:$EH$648,"R")</f>
        <v>0</v>
      </c>
      <c r="AX1393" s="0" t="n">
        <f aca="false"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>0</v>
      </c>
      <c r="AY1393" s="0" t="n">
        <f aca="false">COUNTIF(DU1393:EH1393, "&lt;&gt;")</f>
        <v>4</v>
      </c>
      <c r="AZ1393" s="0" t="n">
        <f aca="false">IF(EH1393&lt;&gt;"",1,0)</f>
        <v>0</v>
      </c>
      <c r="BB1393" s="0" t="s">
        <v>153</v>
      </c>
      <c r="DU1393" s="0" t="s">
        <v>154</v>
      </c>
      <c r="DX1393" s="0" t="s">
        <v>154</v>
      </c>
      <c r="EA1393" s="0" t="s">
        <v>154</v>
      </c>
      <c r="EF1393" s="0" t="s">
        <v>154</v>
      </c>
    </row>
    <row r="1394" customFormat="false" ht="13.8" hidden="false" customHeight="false" outlineLevel="0" collapsed="false">
      <c r="A1394" s="0" t="s">
        <v>6493</v>
      </c>
      <c r="B1394" s="0" t="n">
        <v>78</v>
      </c>
      <c r="C1394" s="0" t="n">
        <v>385410</v>
      </c>
      <c r="D1394" s="0" t="s">
        <v>2020</v>
      </c>
      <c r="E1394" s="0" t="s">
        <v>1916</v>
      </c>
      <c r="F1394" s="0" t="str">
        <f aca="false">CONCATENATE(D1394," ",LEFT(H1394,4),"T=",AU1394,"D=",AV1394,"R=",AW1394,"M=",AX1394,"L=",AY1394,"B=",AZ1394)</f>
        <v>BYLAND T=2D=0R=0M=0L=3B=0</v>
      </c>
      <c r="G1394" s="0" t="s">
        <v>166</v>
      </c>
      <c r="I1394" s="0" t="s">
        <v>6494</v>
      </c>
      <c r="J1394" s="0" t="s">
        <v>6495</v>
      </c>
      <c r="K1394" s="0" t="s">
        <v>175</v>
      </c>
      <c r="M1394" s="0" t="s">
        <v>6496</v>
      </c>
      <c r="N1394" s="0" t="str">
        <f aca="false">RIGHT(M1394,LEN(M1394)-FIND(" ",M1394))</f>
        <v>LARCHMONT AVE NE</v>
      </c>
      <c r="P1394" s="0" t="s">
        <v>146</v>
      </c>
      <c r="Q1394" s="0" t="s">
        <v>147</v>
      </c>
      <c r="R1394" s="0" t="n">
        <v>44483</v>
      </c>
      <c r="AD1394" s="0" t="s">
        <v>148</v>
      </c>
      <c r="AE1394" s="0" t="s">
        <v>149</v>
      </c>
      <c r="AF1394" s="0" t="s">
        <v>150</v>
      </c>
      <c r="AH1394" s="0" t="n">
        <v>14</v>
      </c>
      <c r="AI1394" s="0" t="n">
        <v>11</v>
      </c>
      <c r="AN1394" s="0" t="s">
        <v>146</v>
      </c>
      <c r="AO1394" s="0" t="s">
        <v>236</v>
      </c>
      <c r="AP1394" s="0" t="s">
        <v>237</v>
      </c>
      <c r="AQ1394" s="0" t="n">
        <v>9</v>
      </c>
      <c r="AR1394" s="0" t="n">
        <v>64</v>
      </c>
      <c r="AS1394" s="0" t="n">
        <v>32</v>
      </c>
      <c r="AU1394" s="0" t="n">
        <f aca="false">COUNTA($BA$405:$EH$405)</f>
        <v>2</v>
      </c>
      <c r="AV1394" s="0" t="n">
        <f aca="false">COUNTIF($BA$405:$EH$405,"D")</f>
        <v>0</v>
      </c>
      <c r="AW1394" s="0" t="n">
        <f aca="false">COUNTIF($BA$405:$EH$405,"R")</f>
        <v>0</v>
      </c>
      <c r="AX1394" s="0" t="n">
        <f aca="false"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>0</v>
      </c>
      <c r="AY1394" s="0" t="n">
        <f aca="false">COUNTIF(DU1394:EH1394, "&lt;&gt;")</f>
        <v>3</v>
      </c>
      <c r="AZ1394" s="0" t="n">
        <f aca="false">IF(EH1394&lt;&gt;"",1,0)</f>
        <v>0</v>
      </c>
      <c r="BB1394" s="0" t="s">
        <v>153</v>
      </c>
      <c r="CP1394" s="0" t="s">
        <v>154</v>
      </c>
      <c r="CT1394" s="0" t="s">
        <v>154</v>
      </c>
      <c r="CV1394" s="0" t="s">
        <v>154</v>
      </c>
      <c r="CY1394" s="0" t="s">
        <v>154</v>
      </c>
      <c r="DC1394" s="0" t="s">
        <v>154</v>
      </c>
      <c r="DF1394" s="0" t="s">
        <v>154</v>
      </c>
      <c r="DG1394" s="0" t="s">
        <v>155</v>
      </c>
      <c r="DI1394" s="0" t="s">
        <v>154</v>
      </c>
      <c r="DN1394" s="0" t="s">
        <v>154</v>
      </c>
      <c r="DU1394" s="0" t="s">
        <v>154</v>
      </c>
      <c r="EA1394" s="0" t="s">
        <v>154</v>
      </c>
      <c r="EF1394" s="0" t="s">
        <v>154</v>
      </c>
    </row>
    <row r="1395" customFormat="false" ht="13.8" hidden="true" customHeight="false" outlineLevel="0" collapsed="false">
      <c r="A1395" s="0" t="s">
        <v>6497</v>
      </c>
      <c r="B1395" s="0" t="n">
        <v>78</v>
      </c>
      <c r="C1395" s="0" t="n">
        <v>466586</v>
      </c>
      <c r="D1395" s="0" t="s">
        <v>2297</v>
      </c>
      <c r="E1395" s="0" t="s">
        <v>6498</v>
      </c>
      <c r="F1395" s="0" t="str">
        <f aca="false">CONCATENATE(D1395," ",LEFT(H1395,4),"T=",AU1395,"D=",AV1395,"R=",AW1395,"M=",AX1395,"L=",AY1395,"B=",AZ1395)</f>
        <v>KARAFA T=1D=0R=0M=0L=0B=0</v>
      </c>
      <c r="G1395" s="0" t="s">
        <v>750</v>
      </c>
      <c r="I1395" s="0" t="s">
        <v>6499</v>
      </c>
      <c r="J1395" s="0" t="s">
        <v>6500</v>
      </c>
      <c r="K1395" s="0" t="s">
        <v>175</v>
      </c>
      <c r="L1395" s="0"/>
      <c r="M1395" s="0" t="s">
        <v>6501</v>
      </c>
      <c r="N1395" s="0" t="str">
        <f aca="false">RIGHT(M1395,LEN(M1395)-FIND(" ",M1395))</f>
        <v>LARCHMONT AVE NE</v>
      </c>
      <c r="P1395" s="0" t="s">
        <v>146</v>
      </c>
      <c r="Q1395" s="0" t="s">
        <v>147</v>
      </c>
      <c r="R1395" s="0" t="n">
        <v>44483</v>
      </c>
      <c r="AD1395" s="0" t="s">
        <v>148</v>
      </c>
      <c r="AE1395" s="0" t="s">
        <v>149</v>
      </c>
      <c r="AF1395" s="0" t="s">
        <v>150</v>
      </c>
      <c r="AH1395" s="0" t="n">
        <v>14</v>
      </c>
      <c r="AI1395" s="0" t="n">
        <v>11</v>
      </c>
      <c r="AN1395" s="0" t="s">
        <v>146</v>
      </c>
      <c r="AO1395" s="0" t="s">
        <v>236</v>
      </c>
      <c r="AP1395" s="0" t="s">
        <v>237</v>
      </c>
      <c r="AQ1395" s="0" t="n">
        <v>9</v>
      </c>
      <c r="AR1395" s="0" t="n">
        <v>64</v>
      </c>
      <c r="AS1395" s="0" t="n">
        <v>32</v>
      </c>
      <c r="AU1395" s="0" t="n">
        <f aca="false">COUNTA($BA$307:$EH$307)</f>
        <v>1</v>
      </c>
      <c r="AV1395" s="0" t="n">
        <f aca="false">COUNTIF($BA$307:$EH$307,"D")</f>
        <v>0</v>
      </c>
      <c r="AW1395" s="0" t="n">
        <f aca="false">COUNTIF($BA$307:$EH$307,"R")</f>
        <v>0</v>
      </c>
      <c r="AX1395" s="0" t="n">
        <f aca="false"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>0</v>
      </c>
      <c r="AY1395" s="0" t="n">
        <f aca="false">COUNTIF(DU1395:EH1395, "&lt;&gt;")</f>
        <v>0</v>
      </c>
      <c r="AZ1395" s="0" t="n">
        <f aca="false">IF(EH1395&lt;&gt;"",1,0)</f>
        <v>0</v>
      </c>
      <c r="BB1395" s="0" t="s">
        <v>153</v>
      </c>
    </row>
    <row r="1396" customFormat="false" ht="13.8" hidden="false" customHeight="false" outlineLevel="0" collapsed="false">
      <c r="A1396" s="0" t="s">
        <v>6502</v>
      </c>
      <c r="B1396" s="0" t="n">
        <v>78</v>
      </c>
      <c r="C1396" s="0" t="n">
        <v>235754</v>
      </c>
      <c r="D1396" s="0" t="s">
        <v>2297</v>
      </c>
      <c r="E1396" s="0" t="s">
        <v>750</v>
      </c>
      <c r="F1396" s="0" t="str">
        <f aca="false">CONCATENATE(D1396," ",LEFT(H1396,4),"T=",AU1396,"D=",AV1396,"R=",AW1396,"M=",AX1396,"L=",AY1396,"B=",AZ1396)</f>
        <v>KARAFA T=6D=1R=0M=5L=5B=0</v>
      </c>
      <c r="I1396" s="0" t="s">
        <v>6503</v>
      </c>
      <c r="J1396" s="0" t="s">
        <v>6504</v>
      </c>
      <c r="K1396" s="0" t="s">
        <v>175</v>
      </c>
      <c r="L1396" s="1" t="s">
        <v>155</v>
      </c>
      <c r="M1396" s="0" t="s">
        <v>6501</v>
      </c>
      <c r="N1396" s="0" t="str">
        <f aca="false">RIGHT(M1396,LEN(M1396)-FIND(" ",M1396))</f>
        <v>LARCHMONT AVE NE</v>
      </c>
      <c r="P1396" s="0" t="s">
        <v>146</v>
      </c>
      <c r="Q1396" s="0" t="s">
        <v>147</v>
      </c>
      <c r="R1396" s="0" t="n">
        <v>44483</v>
      </c>
      <c r="AD1396" s="0" t="s">
        <v>148</v>
      </c>
      <c r="AE1396" s="0" t="s">
        <v>149</v>
      </c>
      <c r="AF1396" s="0" t="s">
        <v>150</v>
      </c>
      <c r="AH1396" s="0" t="n">
        <v>14</v>
      </c>
      <c r="AI1396" s="0" t="n">
        <v>11</v>
      </c>
      <c r="AN1396" s="0" t="s">
        <v>146</v>
      </c>
      <c r="AO1396" s="0" t="s">
        <v>236</v>
      </c>
      <c r="AP1396" s="0" t="s">
        <v>237</v>
      </c>
      <c r="AQ1396" s="0" t="n">
        <v>9</v>
      </c>
      <c r="AR1396" s="0" t="n">
        <v>64</v>
      </c>
      <c r="AS1396" s="0" t="n">
        <v>32</v>
      </c>
      <c r="AU1396" s="0" t="n">
        <f aca="false">COUNTA($BA$578:$EH$578)</f>
        <v>6</v>
      </c>
      <c r="AV1396" s="0" t="n">
        <f aca="false">COUNTIF($BA$578:$EH$578,"D")</f>
        <v>1</v>
      </c>
      <c r="AW1396" s="0" t="n">
        <f aca="false">COUNTIF($BA$578:$EH$578,"R")</f>
        <v>0</v>
      </c>
      <c r="AX1396" s="0" t="n">
        <f aca="false"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>5</v>
      </c>
      <c r="AY1396" s="0" t="n">
        <f aca="false">COUNTIF(DU1396:EH1396, "&lt;&gt;")</f>
        <v>5</v>
      </c>
      <c r="AZ1396" s="0" t="n">
        <f aca="false">IF(EH1396&lt;&gt;"",1,0)</f>
        <v>0</v>
      </c>
      <c r="BB1396" s="0" t="s">
        <v>153</v>
      </c>
      <c r="BC1396" s="0" t="s">
        <v>154</v>
      </c>
      <c r="BD1396" s="0" t="s">
        <v>154</v>
      </c>
      <c r="BE1396" s="0" t="s">
        <v>154</v>
      </c>
      <c r="BF1396" s="0" t="s">
        <v>154</v>
      </c>
      <c r="BG1396" s="0" t="s">
        <v>154</v>
      </c>
      <c r="BH1396" s="0" t="s">
        <v>154</v>
      </c>
      <c r="BI1396" s="0" t="s">
        <v>154</v>
      </c>
      <c r="BJ1396" s="0" t="s">
        <v>154</v>
      </c>
      <c r="BK1396" s="0" t="s">
        <v>154</v>
      </c>
      <c r="BL1396" s="0" t="s">
        <v>154</v>
      </c>
      <c r="BR1396" s="0" t="s">
        <v>154</v>
      </c>
      <c r="BS1396" s="0" t="s">
        <v>154</v>
      </c>
      <c r="BY1396" s="0" t="s">
        <v>155</v>
      </c>
      <c r="CA1396" s="0" t="s">
        <v>154</v>
      </c>
      <c r="CG1396" s="0" t="s">
        <v>154</v>
      </c>
      <c r="CK1396" s="0" t="s">
        <v>154</v>
      </c>
      <c r="CL1396" s="0" t="s">
        <v>155</v>
      </c>
      <c r="CN1396" s="0" t="s">
        <v>154</v>
      </c>
      <c r="CO1396" s="0" t="s">
        <v>155</v>
      </c>
      <c r="CP1396" s="0" t="s">
        <v>154</v>
      </c>
      <c r="CT1396" s="0" t="s">
        <v>154</v>
      </c>
      <c r="CU1396" s="0" t="s">
        <v>155</v>
      </c>
      <c r="CV1396" s="0" t="s">
        <v>154</v>
      </c>
      <c r="CY1396" s="0" t="s">
        <v>154</v>
      </c>
      <c r="CZ1396" s="0" t="s">
        <v>155</v>
      </c>
      <c r="DC1396" s="0" t="s">
        <v>154</v>
      </c>
      <c r="DD1396" s="0" t="s">
        <v>155</v>
      </c>
      <c r="DF1396" s="0" t="s">
        <v>154</v>
      </c>
      <c r="DG1396" s="0" t="s">
        <v>155</v>
      </c>
      <c r="DI1396" s="0" t="s">
        <v>154</v>
      </c>
      <c r="DJ1396" s="0" t="s">
        <v>155</v>
      </c>
      <c r="DL1396" s="0" t="s">
        <v>154</v>
      </c>
      <c r="DM1396" s="0" t="s">
        <v>155</v>
      </c>
      <c r="DN1396" s="0" t="s">
        <v>154</v>
      </c>
      <c r="DO1396" s="0" t="s">
        <v>155</v>
      </c>
      <c r="DS1396" s="0" t="s">
        <v>155</v>
      </c>
      <c r="DU1396" s="0" t="s">
        <v>154</v>
      </c>
      <c r="DW1396" s="0" t="s">
        <v>155</v>
      </c>
      <c r="EA1396" s="0" t="s">
        <v>154</v>
      </c>
      <c r="ED1396" s="0" t="s">
        <v>155</v>
      </c>
      <c r="EF1396" s="0" t="s">
        <v>154</v>
      </c>
    </row>
    <row r="1397" customFormat="false" ht="13.8" hidden="false" customHeight="false" outlineLevel="0" collapsed="false">
      <c r="A1397" s="0" t="s">
        <v>6505</v>
      </c>
      <c r="B1397" s="0" t="n">
        <v>78</v>
      </c>
      <c r="C1397" s="0" t="n">
        <v>248874</v>
      </c>
      <c r="D1397" s="0" t="s">
        <v>2297</v>
      </c>
      <c r="E1397" s="0" t="s">
        <v>1663</v>
      </c>
      <c r="F1397" s="0" t="str">
        <f aca="false">CONCATENATE(D1397," ",LEFT(H1397,4),"T=",AU1397,"D=",AV1397,"R=",AW1397,"M=",AX1397,"L=",AY1397,"B=",AZ1397)</f>
        <v>KARAFA T=30D=5R=1M=4L=3B=0</v>
      </c>
      <c r="G1397" s="0" t="s">
        <v>159</v>
      </c>
      <c r="I1397" s="0" t="s">
        <v>6506</v>
      </c>
      <c r="J1397" s="0" t="s">
        <v>4552</v>
      </c>
      <c r="K1397" s="0" t="s">
        <v>175</v>
      </c>
      <c r="L1397" s="1" t="s">
        <v>155</v>
      </c>
      <c r="M1397" s="0" t="s">
        <v>6501</v>
      </c>
      <c r="N1397" s="0" t="str">
        <f aca="false">RIGHT(M1397,LEN(M1397)-FIND(" ",M1397))</f>
        <v>LARCHMONT AVE NE</v>
      </c>
      <c r="P1397" s="0" t="s">
        <v>146</v>
      </c>
      <c r="Q1397" s="0" t="s">
        <v>147</v>
      </c>
      <c r="R1397" s="0" t="n">
        <v>44483</v>
      </c>
      <c r="AD1397" s="0" t="s">
        <v>148</v>
      </c>
      <c r="AE1397" s="0" t="s">
        <v>149</v>
      </c>
      <c r="AF1397" s="0" t="s">
        <v>150</v>
      </c>
      <c r="AH1397" s="0" t="n">
        <v>14</v>
      </c>
      <c r="AI1397" s="0" t="n">
        <v>11</v>
      </c>
      <c r="AN1397" s="0" t="s">
        <v>146</v>
      </c>
      <c r="AO1397" s="0" t="s">
        <v>236</v>
      </c>
      <c r="AP1397" s="0" t="s">
        <v>237</v>
      </c>
      <c r="AQ1397" s="0" t="n">
        <v>9</v>
      </c>
      <c r="AR1397" s="0" t="n">
        <v>64</v>
      </c>
      <c r="AS1397" s="0" t="n">
        <v>32</v>
      </c>
      <c r="AU1397" s="0" t="n">
        <f aca="false">COUNTA($BA$883:$EH$883)</f>
        <v>30</v>
      </c>
      <c r="AV1397" s="0" t="n">
        <f aca="false">COUNTIF($BA$883:$EH$883,"D")</f>
        <v>5</v>
      </c>
      <c r="AW1397" s="0" t="n">
        <f aca="false">COUNTIF($BA$883:$EH$883,"R")</f>
        <v>1</v>
      </c>
      <c r="AX1397" s="0" t="n">
        <f aca="false"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>4</v>
      </c>
      <c r="AY1397" s="0" t="n">
        <f aca="false">COUNTIF(DU1397:EH1397, "&lt;&gt;")</f>
        <v>3</v>
      </c>
      <c r="AZ1397" s="0" t="n">
        <f aca="false">IF(EH1397&lt;&gt;"",1,0)</f>
        <v>0</v>
      </c>
      <c r="BB1397" s="0" t="s">
        <v>153</v>
      </c>
      <c r="BC1397" s="0" t="s">
        <v>154</v>
      </c>
      <c r="BD1397" s="0" t="s">
        <v>154</v>
      </c>
      <c r="BE1397" s="0" t="s">
        <v>154</v>
      </c>
      <c r="BF1397" s="0" t="s">
        <v>154</v>
      </c>
      <c r="BH1397" s="0" t="s">
        <v>154</v>
      </c>
      <c r="BI1397" s="0" t="s">
        <v>154</v>
      </c>
      <c r="BJ1397" s="0" t="s">
        <v>154</v>
      </c>
      <c r="BK1397" s="0" t="s">
        <v>154</v>
      </c>
      <c r="BL1397" s="0" t="s">
        <v>154</v>
      </c>
      <c r="BS1397" s="0" t="s">
        <v>154</v>
      </c>
      <c r="BY1397" s="0" t="s">
        <v>155</v>
      </c>
      <c r="CA1397" s="0" t="s">
        <v>154</v>
      </c>
      <c r="CG1397" s="0" t="s">
        <v>154</v>
      </c>
      <c r="CK1397" s="0" t="s">
        <v>154</v>
      </c>
      <c r="CL1397" s="0" t="s">
        <v>155</v>
      </c>
      <c r="CN1397" s="0" t="s">
        <v>154</v>
      </c>
      <c r="CO1397" s="0" t="s">
        <v>155</v>
      </c>
      <c r="CP1397" s="0" t="s">
        <v>154</v>
      </c>
      <c r="CT1397" s="0" t="s">
        <v>154</v>
      </c>
      <c r="CV1397" s="0" t="s">
        <v>154</v>
      </c>
      <c r="CY1397" s="0" t="s">
        <v>154</v>
      </c>
      <c r="CZ1397" s="0" t="s">
        <v>155</v>
      </c>
      <c r="DC1397" s="0" t="s">
        <v>154</v>
      </c>
      <c r="DD1397" s="0" t="s">
        <v>155</v>
      </c>
      <c r="DF1397" s="0" t="s">
        <v>154</v>
      </c>
      <c r="DI1397" s="0" t="s">
        <v>154</v>
      </c>
      <c r="DL1397" s="0" t="s">
        <v>154</v>
      </c>
      <c r="DN1397" s="0" t="s">
        <v>154</v>
      </c>
      <c r="DO1397" s="0" t="s">
        <v>155</v>
      </c>
      <c r="DU1397" s="0" t="s">
        <v>154</v>
      </c>
      <c r="DW1397" s="0" t="s">
        <v>155</v>
      </c>
      <c r="EF1397" s="0" t="s">
        <v>154</v>
      </c>
    </row>
    <row r="1398" customFormat="false" ht="13.8" hidden="true" customHeight="false" outlineLevel="0" collapsed="false">
      <c r="A1398" s="0" t="s">
        <v>6507</v>
      </c>
      <c r="B1398" s="0" t="n">
        <v>78</v>
      </c>
      <c r="C1398" s="0" t="n">
        <v>372208</v>
      </c>
      <c r="D1398" s="0" t="s">
        <v>1361</v>
      </c>
      <c r="E1398" s="0" t="s">
        <v>340</v>
      </c>
      <c r="F1398" s="0" t="str">
        <f aca="false">CONCATENATE(D1398," ",LEFT(H1398,4),"T=",AU1398,"D=",AV1398,"R=",AW1398,"M=",AX1398,"L=",AY1398,"B=",AZ1398)</f>
        <v>HUNT T=20D=0R=1M=0L=0B=0</v>
      </c>
      <c r="G1398" s="0" t="s">
        <v>172</v>
      </c>
      <c r="I1398" s="0" t="s">
        <v>6508</v>
      </c>
      <c r="J1398" s="0" t="s">
        <v>6509</v>
      </c>
      <c r="K1398" s="0" t="s">
        <v>144</v>
      </c>
      <c r="L1398" s="0"/>
      <c r="M1398" s="0" t="s">
        <v>6510</v>
      </c>
      <c r="N1398" s="0" t="str">
        <f aca="false">RIGHT(M1398,LEN(M1398)-FIND(" ",M1398))</f>
        <v>LARCHMONT AVE NE</v>
      </c>
      <c r="P1398" s="0" t="s">
        <v>146</v>
      </c>
      <c r="Q1398" s="0" t="s">
        <v>147</v>
      </c>
      <c r="R1398" s="0" t="n">
        <v>44483</v>
      </c>
      <c r="AD1398" s="0" t="s">
        <v>148</v>
      </c>
      <c r="AE1398" s="0" t="s">
        <v>149</v>
      </c>
      <c r="AF1398" s="0" t="s">
        <v>150</v>
      </c>
      <c r="AH1398" s="0" t="n">
        <v>14</v>
      </c>
      <c r="AI1398" s="0" t="n">
        <v>11</v>
      </c>
      <c r="AN1398" s="0" t="s">
        <v>146</v>
      </c>
      <c r="AO1398" s="0" t="s">
        <v>236</v>
      </c>
      <c r="AP1398" s="0" t="s">
        <v>237</v>
      </c>
      <c r="AQ1398" s="0" t="n">
        <v>9</v>
      </c>
      <c r="AR1398" s="0" t="n">
        <v>64</v>
      </c>
      <c r="AS1398" s="0" t="n">
        <v>32</v>
      </c>
      <c r="AU1398" s="0" t="n">
        <f aca="false">COUNTA($BA$670:$EH$670)</f>
        <v>20</v>
      </c>
      <c r="AV1398" s="0" t="n">
        <f aca="false">COUNTIF($BA$670:$EH$670,"D")</f>
        <v>0</v>
      </c>
      <c r="AW1398" s="0" t="n">
        <f aca="false">COUNTIF($BA$670:$EH$670,"R")</f>
        <v>1</v>
      </c>
      <c r="AX1398" s="0" t="n">
        <f aca="false"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>0</v>
      </c>
      <c r="AY1398" s="0" t="n">
        <f aca="false">COUNTIF(DU1398:EH1398, "&lt;&gt;")</f>
        <v>0</v>
      </c>
      <c r="AZ1398" s="0" t="n">
        <f aca="false">IF(EH1398&lt;&gt;"",1,0)</f>
        <v>0</v>
      </c>
      <c r="BB1398" s="0" t="s">
        <v>153</v>
      </c>
    </row>
    <row r="1399" customFormat="false" ht="13.8" hidden="true" customHeight="false" outlineLevel="0" collapsed="false">
      <c r="A1399" s="0" t="s">
        <v>6511</v>
      </c>
      <c r="B1399" s="0" t="n">
        <v>78</v>
      </c>
      <c r="C1399" s="0" t="n">
        <v>474355</v>
      </c>
      <c r="D1399" s="0" t="s">
        <v>6512</v>
      </c>
      <c r="E1399" s="0" t="s">
        <v>6513</v>
      </c>
      <c r="F1399" s="0" t="str">
        <f aca="false">CONCATENATE(D1399," ",LEFT(H1399,4),"T=",AU1399,"D=",AV1399,"R=",AW1399,"M=",AX1399,"L=",AY1399,"B=",AZ1399)</f>
        <v>SABOL T=1D=0R=0M=0L=1B=0</v>
      </c>
      <c r="G1399" s="0" t="s">
        <v>690</v>
      </c>
      <c r="I1399" s="0" t="s">
        <v>6514</v>
      </c>
      <c r="J1399" s="0" t="s">
        <v>6515</v>
      </c>
      <c r="K1399" s="0" t="s">
        <v>175</v>
      </c>
      <c r="L1399" s="0"/>
      <c r="M1399" s="0" t="s">
        <v>6516</v>
      </c>
      <c r="N1399" s="0" t="str">
        <f aca="false">RIGHT(M1399,LEN(M1399)-FIND(" ",M1399))</f>
        <v>LARCHMONT AVE NE</v>
      </c>
      <c r="P1399" s="0" t="s">
        <v>146</v>
      </c>
      <c r="Q1399" s="0" t="s">
        <v>147</v>
      </c>
      <c r="R1399" s="0" t="n">
        <v>44483</v>
      </c>
      <c r="AD1399" s="0" t="s">
        <v>148</v>
      </c>
      <c r="AE1399" s="0" t="s">
        <v>149</v>
      </c>
      <c r="AF1399" s="0" t="s">
        <v>150</v>
      </c>
      <c r="AH1399" s="0" t="n">
        <v>14</v>
      </c>
      <c r="AI1399" s="0" t="n">
        <v>11</v>
      </c>
      <c r="AN1399" s="0" t="s">
        <v>146</v>
      </c>
      <c r="AO1399" s="0" t="s">
        <v>236</v>
      </c>
      <c r="AP1399" s="0" t="s">
        <v>237</v>
      </c>
      <c r="AQ1399" s="0" t="n">
        <v>9</v>
      </c>
      <c r="AR1399" s="0" t="n">
        <v>64</v>
      </c>
      <c r="AS1399" s="0" t="n">
        <v>32</v>
      </c>
      <c r="AU1399" s="0" t="n">
        <f aca="false">COUNTA($BA$177:$EH$177)</f>
        <v>1</v>
      </c>
      <c r="AV1399" s="0" t="n">
        <f aca="false">COUNTIF($BA$177:$EH$177,"D")</f>
        <v>0</v>
      </c>
      <c r="AW1399" s="0" t="n">
        <f aca="false">COUNTIF($BA$177:$EH$177,"R")</f>
        <v>0</v>
      </c>
      <c r="AX1399" s="0" t="n">
        <f aca="false"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>0</v>
      </c>
      <c r="AY1399" s="0" t="n">
        <f aca="false">COUNTIF(DU1399:EH1399, "&lt;&gt;")</f>
        <v>1</v>
      </c>
      <c r="AZ1399" s="0" t="n">
        <f aca="false">IF(EH1399&lt;&gt;"",1,0)</f>
        <v>0</v>
      </c>
      <c r="BB1399" s="0" t="s">
        <v>153</v>
      </c>
      <c r="EF1399" s="0" t="s">
        <v>154</v>
      </c>
    </row>
    <row r="1400" customFormat="false" ht="13.8" hidden="false" customHeight="false" outlineLevel="0" collapsed="false">
      <c r="A1400" s="0" t="s">
        <v>6517</v>
      </c>
      <c r="B1400" s="0" t="n">
        <v>78</v>
      </c>
      <c r="C1400" s="0" t="n">
        <v>250137</v>
      </c>
      <c r="D1400" s="0" t="s">
        <v>317</v>
      </c>
      <c r="E1400" s="0" t="s">
        <v>454</v>
      </c>
      <c r="F1400" s="0" t="str">
        <f aca="false">CONCATENATE(D1400," ",LEFT(H1400,4),"T=",AU1400,"D=",AV1400,"R=",AW1400,"M=",AX1400,"L=",AY1400,"B=",AZ1400)</f>
        <v>LEE T=1D=0R=0M=0L=4B=0</v>
      </c>
      <c r="G1400" s="0" t="s">
        <v>455</v>
      </c>
      <c r="I1400" s="0" t="s">
        <v>6518</v>
      </c>
      <c r="J1400" s="0" t="s">
        <v>5319</v>
      </c>
      <c r="K1400" s="0" t="s">
        <v>175</v>
      </c>
      <c r="L1400" s="1" t="s">
        <v>155</v>
      </c>
      <c r="M1400" s="0" t="s">
        <v>6516</v>
      </c>
      <c r="N1400" s="0" t="str">
        <f aca="false">RIGHT(M1400,LEN(M1400)-FIND(" ",M1400))</f>
        <v>LARCHMONT AVE NE</v>
      </c>
      <c r="P1400" s="0" t="s">
        <v>146</v>
      </c>
      <c r="Q1400" s="0" t="s">
        <v>147</v>
      </c>
      <c r="R1400" s="0" t="n">
        <v>44483</v>
      </c>
      <c r="AD1400" s="0" t="s">
        <v>148</v>
      </c>
      <c r="AE1400" s="0" t="s">
        <v>149</v>
      </c>
      <c r="AF1400" s="0" t="s">
        <v>150</v>
      </c>
      <c r="AH1400" s="0" t="n">
        <v>14</v>
      </c>
      <c r="AI1400" s="0" t="n">
        <v>11</v>
      </c>
      <c r="AN1400" s="0" t="s">
        <v>146</v>
      </c>
      <c r="AO1400" s="0" t="s">
        <v>236</v>
      </c>
      <c r="AP1400" s="0" t="s">
        <v>237</v>
      </c>
      <c r="AQ1400" s="0" t="n">
        <v>9</v>
      </c>
      <c r="AR1400" s="0" t="n">
        <v>64</v>
      </c>
      <c r="AS1400" s="0" t="n">
        <v>32</v>
      </c>
      <c r="AU1400" s="0" t="n">
        <f aca="false">COUNTA($BA$486:$EH$486)</f>
        <v>1</v>
      </c>
      <c r="AV1400" s="0" t="n">
        <f aca="false">COUNTIF($BA$486:$EH$486,"D")</f>
        <v>0</v>
      </c>
      <c r="AW1400" s="0" t="n">
        <f aca="false">COUNTIF($BA$486:$EH$486,"R")</f>
        <v>0</v>
      </c>
      <c r="AX1400" s="0" t="n">
        <f aca="false"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>0</v>
      </c>
      <c r="AY1400" s="0" t="n">
        <f aca="false">COUNTIF(DU1400:EH1400, "&lt;&gt;")</f>
        <v>4</v>
      </c>
      <c r="AZ1400" s="0" t="n">
        <f aca="false">IF(EH1400&lt;&gt;"",1,0)</f>
        <v>0</v>
      </c>
      <c r="BB1400" s="0" t="s">
        <v>153</v>
      </c>
      <c r="BC1400" s="0" t="s">
        <v>154</v>
      </c>
      <c r="BD1400" s="0" t="s">
        <v>154</v>
      </c>
      <c r="BJ1400" s="0" t="s">
        <v>154</v>
      </c>
      <c r="BK1400" s="0" t="s">
        <v>154</v>
      </c>
      <c r="BL1400" s="0" t="s">
        <v>154</v>
      </c>
      <c r="BP1400" s="0" t="s">
        <v>154</v>
      </c>
      <c r="BR1400" s="0" t="s">
        <v>154</v>
      </c>
      <c r="BS1400" s="0" t="s">
        <v>154</v>
      </c>
      <c r="BV1400" s="0" t="s">
        <v>154</v>
      </c>
      <c r="BY1400" s="0" t="s">
        <v>155</v>
      </c>
      <c r="CA1400" s="0" t="s">
        <v>154</v>
      </c>
      <c r="CG1400" s="0" t="s">
        <v>154</v>
      </c>
      <c r="CP1400" s="0" t="s">
        <v>154</v>
      </c>
      <c r="CV1400" s="0" t="s">
        <v>154</v>
      </c>
      <c r="CY1400" s="0" t="s">
        <v>154</v>
      </c>
      <c r="DC1400" s="0" t="s">
        <v>154</v>
      </c>
      <c r="DN1400" s="0" t="s">
        <v>154</v>
      </c>
      <c r="DU1400" s="0" t="s">
        <v>154</v>
      </c>
      <c r="EA1400" s="0" t="s">
        <v>154</v>
      </c>
      <c r="ED1400" s="0" t="s">
        <v>155</v>
      </c>
      <c r="EF1400" s="0" t="s">
        <v>154</v>
      </c>
    </row>
    <row r="1401" customFormat="false" ht="13.8" hidden="true" customHeight="false" outlineLevel="0" collapsed="false">
      <c r="A1401" s="0" t="s">
        <v>6519</v>
      </c>
      <c r="B1401" s="0" t="n">
        <v>78</v>
      </c>
      <c r="C1401" s="0" t="n">
        <v>429374</v>
      </c>
      <c r="D1401" s="0" t="s">
        <v>6512</v>
      </c>
      <c r="E1401" s="0" t="s">
        <v>474</v>
      </c>
      <c r="F1401" s="0" t="str">
        <f aca="false">CONCATENATE(D1401," ",LEFT(H1401,4),"T=",AU1401,"D=",AV1401,"R=",AW1401,"M=",AX1401,"L=",AY1401,"B=",AZ1401)</f>
        <v>SABOL JRT=1D=0R=0M=0L=0B=0</v>
      </c>
      <c r="G1401" s="0" t="s">
        <v>139</v>
      </c>
      <c r="H1401" s="0" t="s">
        <v>431</v>
      </c>
      <c r="I1401" s="0" t="s">
        <v>6520</v>
      </c>
      <c r="J1401" s="0" t="s">
        <v>2785</v>
      </c>
      <c r="K1401" s="0" t="s">
        <v>175</v>
      </c>
      <c r="L1401" s="0"/>
      <c r="M1401" s="0" t="s">
        <v>6516</v>
      </c>
      <c r="N1401" s="0" t="str">
        <f aca="false">RIGHT(M1401,LEN(M1401)-FIND(" ",M1401))</f>
        <v>LARCHMONT AVE NE</v>
      </c>
      <c r="P1401" s="0" t="s">
        <v>146</v>
      </c>
      <c r="Q1401" s="0" t="s">
        <v>147</v>
      </c>
      <c r="R1401" s="0" t="n">
        <v>44483</v>
      </c>
      <c r="AD1401" s="0" t="s">
        <v>148</v>
      </c>
      <c r="AE1401" s="0" t="s">
        <v>149</v>
      </c>
      <c r="AF1401" s="0" t="s">
        <v>150</v>
      </c>
      <c r="AH1401" s="0" t="n">
        <v>14</v>
      </c>
      <c r="AI1401" s="0" t="n">
        <v>11</v>
      </c>
      <c r="AN1401" s="0" t="s">
        <v>146</v>
      </c>
      <c r="AO1401" s="0" t="s">
        <v>236</v>
      </c>
      <c r="AP1401" s="0" t="s">
        <v>237</v>
      </c>
      <c r="AQ1401" s="0" t="n">
        <v>9</v>
      </c>
      <c r="AR1401" s="0" t="n">
        <v>64</v>
      </c>
      <c r="AS1401" s="0" t="n">
        <v>32</v>
      </c>
      <c r="AU1401" s="0" t="n">
        <f aca="false">COUNTA($BA$508:$EH$508)</f>
        <v>1</v>
      </c>
      <c r="AV1401" s="0" t="n">
        <f aca="false">COUNTIF($BA$508:$EH$508,"D")</f>
        <v>0</v>
      </c>
      <c r="AW1401" s="0" t="n">
        <f aca="false">COUNTIF($BA$508:$EH$508,"R")</f>
        <v>0</v>
      </c>
      <c r="AX1401" s="0" t="n">
        <f aca="false"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>0</v>
      </c>
      <c r="AY1401" s="0" t="n">
        <f aca="false">COUNTIF(DU1401:EH1401, "&lt;&gt;")</f>
        <v>0</v>
      </c>
      <c r="AZ1401" s="0" t="n">
        <f aca="false">IF(EH1401&lt;&gt;"",1,0)</f>
        <v>0</v>
      </c>
      <c r="BB1401" s="0" t="s">
        <v>153</v>
      </c>
      <c r="DN1401" s="0" t="s">
        <v>154</v>
      </c>
    </row>
    <row r="1402" customFormat="false" ht="13.8" hidden="true" customHeight="false" outlineLevel="0" collapsed="false">
      <c r="A1402" s="0" t="s">
        <v>6521</v>
      </c>
      <c r="B1402" s="0" t="n">
        <v>78</v>
      </c>
      <c r="C1402" s="0" t="n">
        <v>408333</v>
      </c>
      <c r="D1402" s="0" t="s">
        <v>317</v>
      </c>
      <c r="E1402" s="0" t="s">
        <v>6522</v>
      </c>
      <c r="F1402" s="0" t="str">
        <f aca="false">CONCATENATE(D1402," ",LEFT(H1402,4),"T=",AU1402,"D=",AV1402,"R=",AW1402,"M=",AX1402,"L=",AY1402,"B=",AZ1402)</f>
        <v>LEE T=13D=1R=0M=0L=0B=0</v>
      </c>
      <c r="G1402" s="0" t="s">
        <v>155</v>
      </c>
      <c r="I1402" s="0" t="s">
        <v>6523</v>
      </c>
      <c r="J1402" s="0" t="s">
        <v>6524</v>
      </c>
      <c r="K1402" s="0" t="s">
        <v>144</v>
      </c>
      <c r="L1402" s="0"/>
      <c r="M1402" s="0" t="s">
        <v>6516</v>
      </c>
      <c r="N1402" s="0" t="str">
        <f aca="false">RIGHT(M1402,LEN(M1402)-FIND(" ",M1402))</f>
        <v>LARCHMONT AVE NE</v>
      </c>
      <c r="P1402" s="0" t="s">
        <v>146</v>
      </c>
      <c r="Q1402" s="0" t="s">
        <v>147</v>
      </c>
      <c r="R1402" s="0" t="n">
        <v>44483</v>
      </c>
      <c r="AD1402" s="0" t="s">
        <v>148</v>
      </c>
      <c r="AE1402" s="0" t="s">
        <v>149</v>
      </c>
      <c r="AF1402" s="0" t="s">
        <v>150</v>
      </c>
      <c r="AH1402" s="0" t="n">
        <v>14</v>
      </c>
      <c r="AI1402" s="0" t="n">
        <v>11</v>
      </c>
      <c r="AN1402" s="0" t="s">
        <v>146</v>
      </c>
      <c r="AO1402" s="0" t="s">
        <v>236</v>
      </c>
      <c r="AP1402" s="0" t="s">
        <v>237</v>
      </c>
      <c r="AQ1402" s="0" t="n">
        <v>9</v>
      </c>
      <c r="AR1402" s="0" t="n">
        <v>64</v>
      </c>
      <c r="AS1402" s="0" t="n">
        <v>32</v>
      </c>
      <c r="AU1402" s="0" t="n">
        <f aca="false">COUNTA($BA$636:$EH$636)</f>
        <v>13</v>
      </c>
      <c r="AV1402" s="0" t="n">
        <f aca="false">COUNTIF($BA$636:$EH$636,"D")</f>
        <v>1</v>
      </c>
      <c r="AW1402" s="0" t="n">
        <f aca="false">COUNTIF($BA$636:$EH$636,"R")</f>
        <v>0</v>
      </c>
      <c r="AX1402" s="0" t="n">
        <f aca="false"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>0</v>
      </c>
      <c r="AY1402" s="0" t="n">
        <f aca="false">COUNTIF(DU1402:EH1402, "&lt;&gt;")</f>
        <v>0</v>
      </c>
      <c r="AZ1402" s="0" t="n">
        <f aca="false">IF(EH1402&lt;&gt;"",1,0)</f>
        <v>0</v>
      </c>
      <c r="BB1402" s="0" t="s">
        <v>153</v>
      </c>
      <c r="BL1402" s="0" t="s">
        <v>154</v>
      </c>
    </row>
    <row r="1403" customFormat="false" ht="13.8" hidden="true" customHeight="false" outlineLevel="0" collapsed="false">
      <c r="A1403" s="0" t="s">
        <v>6525</v>
      </c>
      <c r="B1403" s="0" t="n">
        <v>78</v>
      </c>
      <c r="C1403" s="0" t="n">
        <v>316228</v>
      </c>
      <c r="D1403" s="0" t="s">
        <v>6233</v>
      </c>
      <c r="E1403" s="0" t="s">
        <v>4965</v>
      </c>
      <c r="F1403" s="0" t="str">
        <f aca="false">CONCATENATE(D1403," ",LEFT(H1403,4),"T=",AU1403,"D=",AV1403,"R=",AW1403,"M=",AX1403,"L=",AY1403,"B=",AZ1403)</f>
        <v>GOLEMBOWSKI T=1D=0R=0M=0L=0B=0</v>
      </c>
      <c r="G1403" s="0" t="s">
        <v>172</v>
      </c>
      <c r="I1403" s="0" t="s">
        <v>6526</v>
      </c>
      <c r="J1403" s="0" t="s">
        <v>621</v>
      </c>
      <c r="K1403" s="0" t="s">
        <v>144</v>
      </c>
      <c r="L1403" s="0"/>
      <c r="M1403" s="0" t="s">
        <v>6527</v>
      </c>
      <c r="N1403" s="0" t="str">
        <f aca="false">RIGHT(M1403,LEN(M1403)-FIND(" ",M1403))</f>
        <v>LARCHMONT AVE NE</v>
      </c>
      <c r="P1403" s="0" t="s">
        <v>146</v>
      </c>
      <c r="Q1403" s="0" t="s">
        <v>147</v>
      </c>
      <c r="R1403" s="0" t="n">
        <v>44483</v>
      </c>
      <c r="AD1403" s="0" t="s">
        <v>148</v>
      </c>
      <c r="AE1403" s="0" t="s">
        <v>149</v>
      </c>
      <c r="AF1403" s="0" t="s">
        <v>150</v>
      </c>
      <c r="AH1403" s="0" t="n">
        <v>14</v>
      </c>
      <c r="AI1403" s="0" t="n">
        <v>11</v>
      </c>
      <c r="AN1403" s="0" t="s">
        <v>146</v>
      </c>
      <c r="AO1403" s="0" t="s">
        <v>236</v>
      </c>
      <c r="AP1403" s="0" t="s">
        <v>237</v>
      </c>
      <c r="AQ1403" s="0" t="n">
        <v>9</v>
      </c>
      <c r="AR1403" s="0" t="n">
        <v>64</v>
      </c>
      <c r="AS1403" s="0" t="n">
        <v>32</v>
      </c>
      <c r="AU1403" s="0" t="n">
        <f aca="false">COUNTA($BA$180:$EH$180)</f>
        <v>1</v>
      </c>
      <c r="AV1403" s="0" t="n">
        <f aca="false">COUNTIF($BA$180:$EH$180,"D")</f>
        <v>0</v>
      </c>
      <c r="AW1403" s="0" t="n">
        <f aca="false">COUNTIF($BA$180:$EH$180,"R")</f>
        <v>0</v>
      </c>
      <c r="AX1403" s="0" t="n">
        <f aca="false"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>0</v>
      </c>
      <c r="AY1403" s="0" t="n">
        <f aca="false">COUNTIF(DU1403:EH1403, "&lt;&gt;")</f>
        <v>0</v>
      </c>
      <c r="AZ1403" s="0" t="n">
        <f aca="false">IF(EH1403&lt;&gt;"",1,0)</f>
        <v>0</v>
      </c>
      <c r="BB1403" s="0" t="s">
        <v>153</v>
      </c>
      <c r="BJ1403" s="0" t="s">
        <v>154</v>
      </c>
      <c r="BL1403" s="0" t="s">
        <v>154</v>
      </c>
      <c r="CA1403" s="0" t="s">
        <v>154</v>
      </c>
    </row>
    <row r="1404" customFormat="false" ht="13.8" hidden="true" customHeight="false" outlineLevel="0" collapsed="false">
      <c r="A1404" s="0" t="s">
        <v>6528</v>
      </c>
      <c r="B1404" s="0" t="n">
        <v>78</v>
      </c>
      <c r="C1404" s="0" t="n">
        <v>354530</v>
      </c>
      <c r="D1404" s="0" t="s">
        <v>6233</v>
      </c>
      <c r="E1404" s="0" t="s">
        <v>6529</v>
      </c>
      <c r="F1404" s="0" t="str">
        <f aca="false">CONCATENATE(D1404," ",LEFT(H1404,4),"T=",AU1404,"D=",AV1404,"R=",AW1404,"M=",AX1404,"L=",AY1404,"B=",AZ1404)</f>
        <v>GOLEMBOWSKI T=22D=3R=1M=0L=0B=0</v>
      </c>
      <c r="G1404" s="0" t="s">
        <v>514</v>
      </c>
      <c r="I1404" s="0" t="s">
        <v>6530</v>
      </c>
      <c r="J1404" s="0" t="s">
        <v>6531</v>
      </c>
      <c r="K1404" s="0" t="s">
        <v>144</v>
      </c>
      <c r="L1404" s="0"/>
      <c r="M1404" s="0" t="s">
        <v>6527</v>
      </c>
      <c r="N1404" s="0" t="str">
        <f aca="false">RIGHT(M1404,LEN(M1404)-FIND(" ",M1404))</f>
        <v>LARCHMONT AVE NE</v>
      </c>
      <c r="P1404" s="0" t="s">
        <v>146</v>
      </c>
      <c r="Q1404" s="0" t="s">
        <v>147</v>
      </c>
      <c r="R1404" s="0" t="n">
        <v>44483</v>
      </c>
      <c r="AD1404" s="0" t="s">
        <v>148</v>
      </c>
      <c r="AE1404" s="0" t="s">
        <v>149</v>
      </c>
      <c r="AF1404" s="0" t="s">
        <v>150</v>
      </c>
      <c r="AH1404" s="0" t="n">
        <v>14</v>
      </c>
      <c r="AI1404" s="0" t="n">
        <v>11</v>
      </c>
      <c r="AN1404" s="0" t="s">
        <v>146</v>
      </c>
      <c r="AO1404" s="0" t="s">
        <v>236</v>
      </c>
      <c r="AP1404" s="0" t="s">
        <v>237</v>
      </c>
      <c r="AQ1404" s="0" t="n">
        <v>9</v>
      </c>
      <c r="AR1404" s="0" t="n">
        <v>64</v>
      </c>
      <c r="AS1404" s="0" t="n">
        <v>32</v>
      </c>
      <c r="AU1404" s="0" t="n">
        <f aca="false">COUNTA($BA$229:$EH$229)</f>
        <v>22</v>
      </c>
      <c r="AV1404" s="0" t="n">
        <f aca="false">COUNTIF($BA$229:$EH$229,"D")</f>
        <v>3</v>
      </c>
      <c r="AW1404" s="0" t="n">
        <f aca="false">COUNTIF($BA$229:$EH$229,"R")</f>
        <v>1</v>
      </c>
      <c r="AX1404" s="0" t="n">
        <f aca="false"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>0</v>
      </c>
      <c r="AY1404" s="0" t="n">
        <f aca="false">COUNTIF(DU1404:EH1404, "&lt;&gt;")</f>
        <v>0</v>
      </c>
      <c r="AZ1404" s="0" t="n">
        <f aca="false">IF(EH1404&lt;&gt;"",1,0)</f>
        <v>0</v>
      </c>
      <c r="BB1404" s="0" t="s">
        <v>153</v>
      </c>
      <c r="CA1404" s="0" t="s">
        <v>154</v>
      </c>
      <c r="CP1404" s="0" t="s">
        <v>154</v>
      </c>
    </row>
    <row r="1405" customFormat="false" ht="13.8" hidden="true" customHeight="false" outlineLevel="0" collapsed="false">
      <c r="A1405" s="0" t="s">
        <v>6532</v>
      </c>
      <c r="B1405" s="0" t="n">
        <v>78</v>
      </c>
      <c r="C1405" s="0" t="n">
        <v>489773</v>
      </c>
      <c r="D1405" s="0" t="s">
        <v>6533</v>
      </c>
      <c r="E1405" s="0" t="s">
        <v>6534</v>
      </c>
      <c r="F1405" s="0" t="str">
        <f aca="false">CONCATENATE(D1405," ",LEFT(H1405,4),"T=",AU1405,"D=",AV1405,"R=",AW1405,"M=",AX1405,"L=",AY1405,"B=",AZ1405)</f>
        <v>BATCHELDER T=5D=0R=0M=0L=1B=0</v>
      </c>
      <c r="G1405" s="0" t="s">
        <v>6535</v>
      </c>
      <c r="I1405" s="0" t="s">
        <v>6536</v>
      </c>
      <c r="J1405" s="0" t="s">
        <v>4185</v>
      </c>
      <c r="K1405" s="0" t="s">
        <v>175</v>
      </c>
      <c r="L1405" s="0"/>
      <c r="M1405" s="0" t="s">
        <v>6537</v>
      </c>
      <c r="N1405" s="0" t="str">
        <f aca="false">RIGHT(M1405,LEN(M1405)-FIND(" ",M1405))</f>
        <v>LARCHMONT AVE NE</v>
      </c>
      <c r="P1405" s="0" t="s">
        <v>146</v>
      </c>
      <c r="Q1405" s="0" t="s">
        <v>147</v>
      </c>
      <c r="R1405" s="0" t="n">
        <v>44483</v>
      </c>
      <c r="AD1405" s="0" t="s">
        <v>148</v>
      </c>
      <c r="AE1405" s="0" t="s">
        <v>149</v>
      </c>
      <c r="AF1405" s="0" t="s">
        <v>150</v>
      </c>
      <c r="AH1405" s="0" t="n">
        <v>14</v>
      </c>
      <c r="AI1405" s="0" t="n">
        <v>11</v>
      </c>
      <c r="AN1405" s="0" t="s">
        <v>146</v>
      </c>
      <c r="AO1405" s="0" t="s">
        <v>236</v>
      </c>
      <c r="AP1405" s="0" t="s">
        <v>237</v>
      </c>
      <c r="AQ1405" s="0" t="n">
        <v>9</v>
      </c>
      <c r="AR1405" s="0" t="n">
        <v>64</v>
      </c>
      <c r="AS1405" s="0" t="n">
        <v>32</v>
      </c>
      <c r="AU1405" s="0" t="n">
        <f aca="false">COUNTA($BA$83:$EH$83)</f>
        <v>5</v>
      </c>
      <c r="AV1405" s="0" t="n">
        <f aca="false">COUNTIF($BA$83:$EH$83,"D")</f>
        <v>0</v>
      </c>
      <c r="AW1405" s="0" t="n">
        <f aca="false">COUNTIF($BA$83:$EH$83,"R")</f>
        <v>0</v>
      </c>
      <c r="AX1405" s="0" t="n">
        <f aca="false"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>0</v>
      </c>
      <c r="AY1405" s="0" t="n">
        <f aca="false">COUNTIF(DU1405:EH1405, "&lt;&gt;")</f>
        <v>1</v>
      </c>
      <c r="AZ1405" s="0" t="n">
        <f aca="false">IF(EH1405&lt;&gt;"",1,0)</f>
        <v>0</v>
      </c>
      <c r="BB1405" s="0" t="s">
        <v>153</v>
      </c>
      <c r="EF1405" s="0" t="s">
        <v>154</v>
      </c>
    </row>
    <row r="1406" customFormat="false" ht="13.8" hidden="false" customHeight="false" outlineLevel="0" collapsed="false">
      <c r="A1406" s="0" t="s">
        <v>6538</v>
      </c>
      <c r="B1406" s="0" t="n">
        <v>78</v>
      </c>
      <c r="C1406" s="0" t="n">
        <v>222542</v>
      </c>
      <c r="D1406" s="0" t="s">
        <v>6533</v>
      </c>
      <c r="E1406" s="0" t="s">
        <v>5226</v>
      </c>
      <c r="F1406" s="0" t="str">
        <f aca="false">CONCATENATE(D1406," ",LEFT(H1406,4),"T=",AU1406,"D=",AV1406,"R=",AW1406,"M=",AX1406,"L=",AY1406,"B=",AZ1406)</f>
        <v>BATCHELDER IIT=4D=1R=0M=0L=3B=0</v>
      </c>
      <c r="G1406" s="0" t="s">
        <v>317</v>
      </c>
      <c r="H1406" s="0" t="s">
        <v>598</v>
      </c>
      <c r="I1406" s="0" t="s">
        <v>6539</v>
      </c>
      <c r="J1406" s="0" t="s">
        <v>6540</v>
      </c>
      <c r="K1406" s="0" t="s">
        <v>175</v>
      </c>
      <c r="M1406" s="0" t="s">
        <v>6537</v>
      </c>
      <c r="N1406" s="0" t="str">
        <f aca="false">RIGHT(M1406,LEN(M1406)-FIND(" ",M1406))</f>
        <v>LARCHMONT AVE NE</v>
      </c>
      <c r="P1406" s="0" t="s">
        <v>146</v>
      </c>
      <c r="Q1406" s="0" t="s">
        <v>147</v>
      </c>
      <c r="R1406" s="0" t="n">
        <v>44483</v>
      </c>
      <c r="AD1406" s="0" t="s">
        <v>148</v>
      </c>
      <c r="AE1406" s="0" t="s">
        <v>149</v>
      </c>
      <c r="AF1406" s="0" t="s">
        <v>150</v>
      </c>
      <c r="AH1406" s="0" t="n">
        <v>14</v>
      </c>
      <c r="AI1406" s="0" t="n">
        <v>11</v>
      </c>
      <c r="AN1406" s="0" t="s">
        <v>146</v>
      </c>
      <c r="AO1406" s="0" t="s">
        <v>236</v>
      </c>
      <c r="AP1406" s="0" t="s">
        <v>237</v>
      </c>
      <c r="AQ1406" s="0" t="n">
        <v>9</v>
      </c>
      <c r="AR1406" s="0" t="n">
        <v>64</v>
      </c>
      <c r="AS1406" s="0" t="n">
        <v>32</v>
      </c>
      <c r="AU1406" s="0" t="n">
        <f aca="false">COUNTA($BA$616:$EH$616)</f>
        <v>4</v>
      </c>
      <c r="AV1406" s="0" t="n">
        <f aca="false">COUNTIF($BA$616:$EH$616,"D")</f>
        <v>1</v>
      </c>
      <c r="AW1406" s="0" t="n">
        <f aca="false">COUNTIF($BA$616:$EH$616,"R")</f>
        <v>0</v>
      </c>
      <c r="AX1406" s="0" t="n">
        <f aca="false"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>0</v>
      </c>
      <c r="AY1406" s="0" t="n">
        <f aca="false">COUNTIF(DU1406:EH1406, "&lt;&gt;")</f>
        <v>3</v>
      </c>
      <c r="AZ1406" s="0" t="n">
        <f aca="false">IF(EH1406&lt;&gt;"",1,0)</f>
        <v>0</v>
      </c>
      <c r="BB1406" s="0" t="s">
        <v>153</v>
      </c>
      <c r="BC1406" s="0" t="s">
        <v>154</v>
      </c>
      <c r="BD1406" s="0" t="s">
        <v>154</v>
      </c>
      <c r="BE1406" s="0" t="s">
        <v>154</v>
      </c>
      <c r="BG1406" s="0" t="s">
        <v>154</v>
      </c>
      <c r="BH1406" s="0" t="s">
        <v>154</v>
      </c>
      <c r="BI1406" s="0" t="s">
        <v>154</v>
      </c>
      <c r="BJ1406" s="0" t="s">
        <v>154</v>
      </c>
      <c r="BL1406" s="0" t="s">
        <v>154</v>
      </c>
      <c r="BP1406" s="0" t="s">
        <v>154</v>
      </c>
      <c r="BR1406" s="0" t="s">
        <v>154</v>
      </c>
      <c r="BS1406" s="0" t="s">
        <v>154</v>
      </c>
      <c r="BV1406" s="0" t="s">
        <v>154</v>
      </c>
      <c r="BY1406" s="0" t="s">
        <v>155</v>
      </c>
      <c r="CA1406" s="0" t="s">
        <v>154</v>
      </c>
      <c r="CG1406" s="0" t="s">
        <v>154</v>
      </c>
      <c r="CK1406" s="0" t="s">
        <v>154</v>
      </c>
      <c r="CN1406" s="0" t="s">
        <v>154</v>
      </c>
      <c r="CO1406" s="0" t="s">
        <v>176</v>
      </c>
      <c r="CP1406" s="0" t="s">
        <v>154</v>
      </c>
      <c r="CV1406" s="0" t="s">
        <v>154</v>
      </c>
      <c r="CY1406" s="0" t="s">
        <v>154</v>
      </c>
      <c r="CZ1406" s="0" t="s">
        <v>176</v>
      </c>
      <c r="DC1406" s="0" t="s">
        <v>154</v>
      </c>
      <c r="DG1406" s="0" t="s">
        <v>155</v>
      </c>
      <c r="DI1406" s="0" t="s">
        <v>154</v>
      </c>
      <c r="DL1406" s="0" t="s">
        <v>154</v>
      </c>
      <c r="DN1406" s="0" t="s">
        <v>154</v>
      </c>
      <c r="DU1406" s="0" t="s">
        <v>154</v>
      </c>
      <c r="EA1406" s="0" t="s">
        <v>154</v>
      </c>
      <c r="EF1406" s="0" t="s">
        <v>154</v>
      </c>
    </row>
    <row r="1407" customFormat="false" ht="13.8" hidden="false" customHeight="false" outlineLevel="0" collapsed="false">
      <c r="A1407" s="0" t="s">
        <v>6541</v>
      </c>
      <c r="B1407" s="0" t="n">
        <v>78</v>
      </c>
      <c r="C1407" s="0" t="n">
        <v>430147</v>
      </c>
      <c r="D1407" s="0" t="s">
        <v>6533</v>
      </c>
      <c r="E1407" s="0" t="s">
        <v>6542</v>
      </c>
      <c r="F1407" s="0" t="str">
        <f aca="false">CONCATENATE(D1407," ",LEFT(H1407,4),"T=",AU1407,"D=",AV1407,"R=",AW1407,"M=",AX1407,"L=",AY1407,"B=",AZ1407)</f>
        <v>BATCHELDER T=23D=1R=3M=0L=4B=0</v>
      </c>
      <c r="G1407" s="0" t="s">
        <v>216</v>
      </c>
      <c r="I1407" s="0" t="s">
        <v>4700</v>
      </c>
      <c r="J1407" s="0" t="s">
        <v>6543</v>
      </c>
      <c r="K1407" s="0" t="s">
        <v>175</v>
      </c>
      <c r="M1407" s="0" t="s">
        <v>6537</v>
      </c>
      <c r="N1407" s="0" t="str">
        <f aca="false">RIGHT(M1407,LEN(M1407)-FIND(" ",M1407))</f>
        <v>LARCHMONT AVE NE</v>
      </c>
      <c r="P1407" s="0" t="s">
        <v>146</v>
      </c>
      <c r="Q1407" s="0" t="s">
        <v>147</v>
      </c>
      <c r="R1407" s="0" t="n">
        <v>44483</v>
      </c>
      <c r="AD1407" s="0" t="s">
        <v>148</v>
      </c>
      <c r="AE1407" s="0" t="s">
        <v>149</v>
      </c>
      <c r="AF1407" s="0" t="s">
        <v>150</v>
      </c>
      <c r="AH1407" s="0" t="n">
        <v>14</v>
      </c>
      <c r="AI1407" s="0" t="n">
        <v>11</v>
      </c>
      <c r="AN1407" s="0" t="s">
        <v>146</v>
      </c>
      <c r="AO1407" s="0" t="s">
        <v>236</v>
      </c>
      <c r="AP1407" s="0" t="s">
        <v>237</v>
      </c>
      <c r="AQ1407" s="0" t="n">
        <v>9</v>
      </c>
      <c r="AR1407" s="0" t="n">
        <v>64</v>
      </c>
      <c r="AS1407" s="0" t="n">
        <v>32</v>
      </c>
      <c r="AU1407" s="0" t="n">
        <f aca="false">COUNTA($BA$918:$EH$918)</f>
        <v>23</v>
      </c>
      <c r="AV1407" s="0" t="n">
        <f aca="false">COUNTIF($BA$918:$EH$918,"D")</f>
        <v>1</v>
      </c>
      <c r="AW1407" s="0" t="n">
        <f aca="false">COUNTIF($BA$918:$EH$918,"R")</f>
        <v>3</v>
      </c>
      <c r="AX1407" s="0" t="n">
        <f aca="false"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>0</v>
      </c>
      <c r="AY1407" s="0" t="n">
        <f aca="false">COUNTIF(DU1407:EH1407, "&lt;&gt;")</f>
        <v>4</v>
      </c>
      <c r="AZ1407" s="0" t="n">
        <f aca="false">IF(EH1407&lt;&gt;"",1,0)</f>
        <v>0</v>
      </c>
      <c r="BB1407" s="0" t="s">
        <v>153</v>
      </c>
      <c r="DG1407" s="0" t="s">
        <v>155</v>
      </c>
      <c r="DI1407" s="0" t="s">
        <v>154</v>
      </c>
      <c r="DL1407" s="0" t="s">
        <v>154</v>
      </c>
      <c r="DN1407" s="0" t="s">
        <v>154</v>
      </c>
      <c r="DU1407" s="0" t="s">
        <v>154</v>
      </c>
      <c r="DX1407" s="0" t="s">
        <v>154</v>
      </c>
      <c r="EA1407" s="0" t="s">
        <v>154</v>
      </c>
      <c r="EF1407" s="0" t="s">
        <v>154</v>
      </c>
    </row>
    <row r="1408" customFormat="false" ht="13.8" hidden="false" customHeight="false" outlineLevel="0" collapsed="false">
      <c r="A1408" s="0" t="s">
        <v>6544</v>
      </c>
      <c r="B1408" s="0" t="n">
        <v>78</v>
      </c>
      <c r="C1408" s="0" t="n">
        <v>450054</v>
      </c>
      <c r="D1408" s="0" t="s">
        <v>6545</v>
      </c>
      <c r="E1408" s="0" t="s">
        <v>1698</v>
      </c>
      <c r="F1408" s="0" t="str">
        <f aca="false">CONCATENATE(D1408," ",LEFT(H1408,4),"T=",AU1408,"D=",AV1408,"R=",AW1408,"M=",AX1408,"L=",AY1408,"B=",AZ1408)</f>
        <v>CARAWAY T=15D=1R=0M=0L=3B=0</v>
      </c>
      <c r="G1408" s="0" t="s">
        <v>176</v>
      </c>
      <c r="I1408" s="0" t="s">
        <v>6546</v>
      </c>
      <c r="J1408" s="0" t="s">
        <v>6547</v>
      </c>
      <c r="K1408" s="0" t="s">
        <v>175</v>
      </c>
      <c r="M1408" s="0" t="s">
        <v>6548</v>
      </c>
      <c r="N1408" s="0" t="str">
        <f aca="false">RIGHT(M1408,LEN(M1408)-FIND(" ",M1408))</f>
        <v>LARCHMONT AVE NE</v>
      </c>
      <c r="P1408" s="0" t="s">
        <v>146</v>
      </c>
      <c r="Q1408" s="0" t="s">
        <v>147</v>
      </c>
      <c r="R1408" s="0" t="n">
        <v>44483</v>
      </c>
      <c r="AD1408" s="0" t="s">
        <v>148</v>
      </c>
      <c r="AE1408" s="0" t="s">
        <v>149</v>
      </c>
      <c r="AF1408" s="0" t="s">
        <v>150</v>
      </c>
      <c r="AH1408" s="0" t="n">
        <v>14</v>
      </c>
      <c r="AI1408" s="0" t="n">
        <v>11</v>
      </c>
      <c r="AN1408" s="0" t="s">
        <v>146</v>
      </c>
      <c r="AO1408" s="0" t="s">
        <v>236</v>
      </c>
      <c r="AP1408" s="0" t="s">
        <v>237</v>
      </c>
      <c r="AQ1408" s="0" t="n">
        <v>9</v>
      </c>
      <c r="AR1408" s="0" t="n">
        <v>64</v>
      </c>
      <c r="AS1408" s="0" t="n">
        <v>32</v>
      </c>
      <c r="AU1408" s="0" t="n">
        <f aca="false">COUNTA($BA$304:$EH$304)</f>
        <v>15</v>
      </c>
      <c r="AV1408" s="0" t="n">
        <f aca="false">COUNTIF($BA$304:$EH$304,"D")</f>
        <v>1</v>
      </c>
      <c r="AW1408" s="0" t="n">
        <f aca="false">COUNTIF($BA$304:$EH$304,"R")</f>
        <v>0</v>
      </c>
      <c r="AX1408" s="0" t="n">
        <f aca="false"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>0</v>
      </c>
      <c r="AY1408" s="0" t="n">
        <f aca="false">COUNTIF(DU1408:EH1408, "&lt;&gt;")</f>
        <v>3</v>
      </c>
      <c r="AZ1408" s="0" t="n">
        <f aca="false">IF(EH1408&lt;&gt;"",1,0)</f>
        <v>0</v>
      </c>
      <c r="BB1408" s="0" t="s">
        <v>153</v>
      </c>
      <c r="CP1408" s="0" t="s">
        <v>154</v>
      </c>
      <c r="DN1408" s="0" t="s">
        <v>154</v>
      </c>
      <c r="DU1408" s="0" t="s">
        <v>154</v>
      </c>
      <c r="EA1408" s="0" t="s">
        <v>154</v>
      </c>
      <c r="EF1408" s="0" t="s">
        <v>154</v>
      </c>
    </row>
    <row r="1409" customFormat="false" ht="13.8" hidden="true" customHeight="false" outlineLevel="0" collapsed="false">
      <c r="A1409" s="0" t="s">
        <v>6549</v>
      </c>
      <c r="B1409" s="0" t="n">
        <v>78</v>
      </c>
      <c r="C1409" s="0" t="n">
        <v>421244</v>
      </c>
      <c r="D1409" s="0" t="s">
        <v>6550</v>
      </c>
      <c r="E1409" s="0" t="s">
        <v>1210</v>
      </c>
      <c r="F1409" s="0" t="str">
        <f aca="false">CONCATENATE(D1409," ",LEFT(H1409,4),"T=",AU1409,"D=",AV1409,"R=",AW1409,"M=",AX1409,"L=",AY1409,"B=",AZ1409)</f>
        <v>MOSKO T=34D=8R=0M=0L=0B=0</v>
      </c>
      <c r="G1409" s="0" t="s">
        <v>2292</v>
      </c>
      <c r="I1409" s="0" t="s">
        <v>6551</v>
      </c>
      <c r="J1409" s="0" t="s">
        <v>6552</v>
      </c>
      <c r="K1409" s="0" t="s">
        <v>144</v>
      </c>
      <c r="L1409" s="0"/>
      <c r="M1409" s="0" t="s">
        <v>6553</v>
      </c>
      <c r="N1409" s="0" t="str">
        <f aca="false">RIGHT(M1409,LEN(M1409)-FIND(" ",M1409))</f>
        <v>LARCHMONT AVE NE</v>
      </c>
      <c r="P1409" s="0" t="s">
        <v>146</v>
      </c>
      <c r="Q1409" s="0" t="s">
        <v>147</v>
      </c>
      <c r="R1409" s="0" t="n">
        <v>44483</v>
      </c>
      <c r="AD1409" s="0" t="s">
        <v>148</v>
      </c>
      <c r="AE1409" s="0" t="s">
        <v>149</v>
      </c>
      <c r="AF1409" s="0" t="s">
        <v>150</v>
      </c>
      <c r="AH1409" s="0" t="n">
        <v>14</v>
      </c>
      <c r="AI1409" s="0" t="n">
        <v>11</v>
      </c>
      <c r="AN1409" s="0" t="s">
        <v>146</v>
      </c>
      <c r="AO1409" s="0" t="s">
        <v>236</v>
      </c>
      <c r="AP1409" s="0" t="s">
        <v>237</v>
      </c>
      <c r="AQ1409" s="0" t="n">
        <v>9</v>
      </c>
      <c r="AR1409" s="0" t="n">
        <v>64</v>
      </c>
      <c r="AS1409" s="0" t="n">
        <v>32</v>
      </c>
      <c r="AU1409" s="0" t="n">
        <f aca="false">COUNTA($BA$447:$EH$447)</f>
        <v>34</v>
      </c>
      <c r="AV1409" s="0" t="n">
        <f aca="false">COUNTIF($BA$447:$EH$447,"D")</f>
        <v>8</v>
      </c>
      <c r="AW1409" s="0" t="n">
        <f aca="false">COUNTIF($BA$447:$EH$447,"R")</f>
        <v>0</v>
      </c>
      <c r="AX1409" s="0" t="n">
        <f aca="false"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>0</v>
      </c>
      <c r="AY1409" s="0" t="n">
        <f aca="false">COUNTIF(DU1409:EH1409, "&lt;&gt;")</f>
        <v>0</v>
      </c>
      <c r="AZ1409" s="0" t="n">
        <f aca="false">IF(EH1409&lt;&gt;"",1,0)</f>
        <v>0</v>
      </c>
      <c r="BB1409" s="0" t="s">
        <v>153</v>
      </c>
    </row>
    <row r="1410" customFormat="false" ht="13.8" hidden="false" customHeight="false" outlineLevel="0" collapsed="false">
      <c r="A1410" s="0" t="s">
        <v>6554</v>
      </c>
      <c r="B1410" s="0" t="n">
        <v>78</v>
      </c>
      <c r="C1410" s="0" t="n">
        <v>214359</v>
      </c>
      <c r="D1410" s="0" t="s">
        <v>6550</v>
      </c>
      <c r="E1410" s="0" t="s">
        <v>2374</v>
      </c>
      <c r="F1410" s="0" t="str">
        <f aca="false">CONCATENATE(D1410," ",LEFT(H1410,4),"T=",AU1410,"D=",AV1410,"R=",AW1410,"M=",AX1410,"L=",AY1410,"B=",AZ1410)</f>
        <v>MOSKO T=21D=2R=2M=1L=5B=0</v>
      </c>
      <c r="G1410" s="0" t="s">
        <v>694</v>
      </c>
      <c r="I1410" s="0" t="s">
        <v>5034</v>
      </c>
      <c r="J1410" s="0" t="s">
        <v>2583</v>
      </c>
      <c r="K1410" s="0" t="s">
        <v>175</v>
      </c>
      <c r="L1410" s="1" t="s">
        <v>176</v>
      </c>
      <c r="M1410" s="0" t="s">
        <v>6553</v>
      </c>
      <c r="N1410" s="0" t="str">
        <f aca="false">RIGHT(M1410,LEN(M1410)-FIND(" ",M1410))</f>
        <v>LARCHMONT AVE NE</v>
      </c>
      <c r="P1410" s="0" t="s">
        <v>146</v>
      </c>
      <c r="Q1410" s="0" t="s">
        <v>147</v>
      </c>
      <c r="R1410" s="0" t="n">
        <v>44483</v>
      </c>
      <c r="AD1410" s="0" t="s">
        <v>148</v>
      </c>
      <c r="AE1410" s="0" t="s">
        <v>149</v>
      </c>
      <c r="AF1410" s="0" t="s">
        <v>150</v>
      </c>
      <c r="AH1410" s="0" t="n">
        <v>14</v>
      </c>
      <c r="AI1410" s="0" t="n">
        <v>11</v>
      </c>
      <c r="AN1410" s="0" t="s">
        <v>146</v>
      </c>
      <c r="AO1410" s="0" t="s">
        <v>236</v>
      </c>
      <c r="AP1410" s="0" t="s">
        <v>237</v>
      </c>
      <c r="AQ1410" s="0" t="n">
        <v>9</v>
      </c>
      <c r="AR1410" s="0" t="n">
        <v>64</v>
      </c>
      <c r="AS1410" s="0" t="n">
        <v>32</v>
      </c>
      <c r="AU1410" s="0" t="n">
        <f aca="false">COUNTA($BA$666:$EH$666)</f>
        <v>21</v>
      </c>
      <c r="AV1410" s="0" t="n">
        <f aca="false">COUNTIF($BA$666:$EH$666,"D")</f>
        <v>2</v>
      </c>
      <c r="AW1410" s="0" t="n">
        <f aca="false">COUNTIF($BA$666:$EH$666,"R")</f>
        <v>2</v>
      </c>
      <c r="AX1410" s="0" t="n">
        <f aca="false"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>1</v>
      </c>
      <c r="AY1410" s="0" t="n">
        <f aca="false">COUNTIF(DU1410:EH1410, "&lt;&gt;")</f>
        <v>5</v>
      </c>
      <c r="AZ1410" s="0" t="n">
        <f aca="false">IF(EH1410&lt;&gt;"",1,0)</f>
        <v>0</v>
      </c>
      <c r="BB1410" s="0" t="s">
        <v>153</v>
      </c>
      <c r="BC1410" s="0" t="s">
        <v>154</v>
      </c>
      <c r="BD1410" s="0" t="s">
        <v>154</v>
      </c>
      <c r="BE1410" s="0" t="s">
        <v>154</v>
      </c>
      <c r="BG1410" s="0" t="s">
        <v>154</v>
      </c>
      <c r="BH1410" s="0" t="s">
        <v>154</v>
      </c>
      <c r="BL1410" s="0" t="s">
        <v>154</v>
      </c>
      <c r="BP1410" s="0" t="s">
        <v>154</v>
      </c>
      <c r="BR1410" s="0" t="s">
        <v>154</v>
      </c>
      <c r="BS1410" s="0" t="s">
        <v>154</v>
      </c>
      <c r="CA1410" s="0" t="s">
        <v>154</v>
      </c>
      <c r="CG1410" s="0" t="s">
        <v>154</v>
      </c>
      <c r="CK1410" s="0" t="s">
        <v>154</v>
      </c>
      <c r="CN1410" s="0" t="s">
        <v>154</v>
      </c>
      <c r="CP1410" s="0" t="s">
        <v>154</v>
      </c>
      <c r="CT1410" s="0" t="s">
        <v>154</v>
      </c>
      <c r="CU1410" s="0" t="s">
        <v>155</v>
      </c>
      <c r="CV1410" s="0" t="s">
        <v>154</v>
      </c>
      <c r="CZ1410" s="0" t="s">
        <v>155</v>
      </c>
      <c r="DC1410" s="0" t="s">
        <v>154</v>
      </c>
      <c r="DI1410" s="0" t="s">
        <v>154</v>
      </c>
      <c r="DN1410" s="0" t="s">
        <v>154</v>
      </c>
      <c r="DR1410" s="0" t="s">
        <v>154</v>
      </c>
      <c r="DU1410" s="0" t="s">
        <v>154</v>
      </c>
      <c r="DW1410" s="0" t="s">
        <v>155</v>
      </c>
      <c r="EA1410" s="0" t="s">
        <v>154</v>
      </c>
      <c r="ED1410" s="0" t="s">
        <v>176</v>
      </c>
      <c r="EF1410" s="0" t="s">
        <v>154</v>
      </c>
    </row>
    <row r="1411" customFormat="false" ht="13.8" hidden="true" customHeight="false" outlineLevel="0" collapsed="false">
      <c r="A1411" s="0" t="s">
        <v>6555</v>
      </c>
      <c r="B1411" s="0" t="n">
        <v>78</v>
      </c>
      <c r="C1411" s="0" t="n">
        <v>446897</v>
      </c>
      <c r="D1411" s="0" t="s">
        <v>6556</v>
      </c>
      <c r="E1411" s="0" t="s">
        <v>1717</v>
      </c>
      <c r="F1411" s="0" t="str">
        <f aca="false">CONCATENATE(D1411," ",LEFT(H1411,4),"T=",AU1411,"D=",AV1411,"R=",AW1411,"M=",AX1411,"L=",AY1411,"B=",AZ1411)</f>
        <v>ROSSI T=2D=0R=0M=0L=1B=0</v>
      </c>
      <c r="G1411" s="0" t="s">
        <v>429</v>
      </c>
      <c r="I1411" s="0" t="s">
        <v>6557</v>
      </c>
      <c r="J1411" s="0" t="s">
        <v>6558</v>
      </c>
      <c r="K1411" s="0" t="s">
        <v>175</v>
      </c>
      <c r="L1411" s="0"/>
      <c r="M1411" s="0" t="s">
        <v>6559</v>
      </c>
      <c r="N1411" s="0" t="str">
        <f aca="false">RIGHT(M1411,LEN(M1411)-FIND(" ",M1411))</f>
        <v>LARCHMONT AVE NE</v>
      </c>
      <c r="P1411" s="0" t="s">
        <v>146</v>
      </c>
      <c r="Q1411" s="0" t="s">
        <v>147</v>
      </c>
      <c r="R1411" s="0" t="n">
        <v>44483</v>
      </c>
      <c r="AD1411" s="0" t="s">
        <v>148</v>
      </c>
      <c r="AE1411" s="0" t="s">
        <v>149</v>
      </c>
      <c r="AF1411" s="0" t="s">
        <v>150</v>
      </c>
      <c r="AH1411" s="0" t="n">
        <v>14</v>
      </c>
      <c r="AI1411" s="0" t="n">
        <v>11</v>
      </c>
      <c r="AN1411" s="0" t="s">
        <v>146</v>
      </c>
      <c r="AO1411" s="0" t="s">
        <v>236</v>
      </c>
      <c r="AP1411" s="0" t="s">
        <v>237</v>
      </c>
      <c r="AQ1411" s="0" t="n">
        <v>9</v>
      </c>
      <c r="AR1411" s="0" t="n">
        <v>64</v>
      </c>
      <c r="AS1411" s="0" t="n">
        <v>32</v>
      </c>
      <c r="AU1411" s="0" t="n">
        <f aca="false">COUNTA($BA$120:$EH$120)</f>
        <v>2</v>
      </c>
      <c r="AV1411" s="0" t="n">
        <f aca="false">COUNTIF($BA$120:$EH$120,"D")</f>
        <v>0</v>
      </c>
      <c r="AW1411" s="0" t="n">
        <f aca="false">COUNTIF($BA$120:$EH$120,"R")</f>
        <v>0</v>
      </c>
      <c r="AX1411" s="0" t="n">
        <f aca="false"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>0</v>
      </c>
      <c r="AY1411" s="0" t="n">
        <f aca="false">COUNTIF(DU1411:EH1411, "&lt;&gt;")</f>
        <v>1</v>
      </c>
      <c r="AZ1411" s="0" t="n">
        <f aca="false">IF(EH1411&lt;&gt;"",1,0)</f>
        <v>0</v>
      </c>
      <c r="BB1411" s="0" t="s">
        <v>153</v>
      </c>
      <c r="DN1411" s="0" t="s">
        <v>154</v>
      </c>
      <c r="EF1411" s="0" t="s">
        <v>154</v>
      </c>
    </row>
    <row r="1412" customFormat="false" ht="13.8" hidden="true" customHeight="false" outlineLevel="0" collapsed="false">
      <c r="A1412" s="0" t="s">
        <v>6560</v>
      </c>
      <c r="B1412" s="0" t="n">
        <v>78</v>
      </c>
      <c r="C1412" s="0" t="n">
        <v>444818</v>
      </c>
      <c r="D1412" s="0" t="s">
        <v>6561</v>
      </c>
      <c r="E1412" s="0" t="s">
        <v>1619</v>
      </c>
      <c r="F1412" s="0" t="str">
        <f aca="false">CONCATENATE(D1412," ",LEFT(H1412,4),"T=",AU1412,"D=",AV1412,"R=",AW1412,"M=",AX1412,"L=",AY1412,"B=",AZ1412)</f>
        <v>DRUMMOND T=1D=0R=0M=0L=0B=0</v>
      </c>
      <c r="G1412" s="0" t="s">
        <v>155</v>
      </c>
      <c r="I1412" s="0" t="s">
        <v>6562</v>
      </c>
      <c r="J1412" s="0" t="s">
        <v>6563</v>
      </c>
      <c r="K1412" s="0" t="s">
        <v>144</v>
      </c>
      <c r="L1412" s="0"/>
      <c r="M1412" s="0" t="s">
        <v>6564</v>
      </c>
      <c r="N1412" s="0" t="str">
        <f aca="false">RIGHT(M1412,LEN(M1412)-FIND(" ",M1412))</f>
        <v>LARCHMONT AVE NE</v>
      </c>
      <c r="P1412" s="0" t="s">
        <v>146</v>
      </c>
      <c r="Q1412" s="0" t="s">
        <v>147</v>
      </c>
      <c r="R1412" s="0" t="n">
        <v>44483</v>
      </c>
      <c r="AD1412" s="0" t="s">
        <v>148</v>
      </c>
      <c r="AE1412" s="0" t="s">
        <v>149</v>
      </c>
      <c r="AF1412" s="0" t="s">
        <v>150</v>
      </c>
      <c r="AH1412" s="0" t="n">
        <v>14</v>
      </c>
      <c r="AI1412" s="0" t="n">
        <v>11</v>
      </c>
      <c r="AN1412" s="0" t="s">
        <v>146</v>
      </c>
      <c r="AO1412" s="0" t="s">
        <v>236</v>
      </c>
      <c r="AP1412" s="0" t="s">
        <v>237</v>
      </c>
      <c r="AQ1412" s="0" t="n">
        <v>9</v>
      </c>
      <c r="AR1412" s="0" t="n">
        <v>64</v>
      </c>
      <c r="AS1412" s="0" t="n">
        <v>32</v>
      </c>
      <c r="AU1412" s="0" t="n">
        <f aca="false">COUNTA($BA$665:$EH$665)</f>
        <v>1</v>
      </c>
      <c r="AV1412" s="0" t="n">
        <f aca="false">COUNTIF($BA$665:$EH$665,"D")</f>
        <v>0</v>
      </c>
      <c r="AW1412" s="0" t="n">
        <f aca="false">COUNTIF($BA$665:$EH$665,"R")</f>
        <v>0</v>
      </c>
      <c r="AX1412" s="0" t="n">
        <f aca="false"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>0</v>
      </c>
      <c r="AY1412" s="0" t="n">
        <f aca="false">COUNTIF(DU1412:EH1412, "&lt;&gt;")</f>
        <v>0</v>
      </c>
      <c r="AZ1412" s="0" t="n">
        <f aca="false">IF(EH1412&lt;&gt;"",1,0)</f>
        <v>0</v>
      </c>
      <c r="BB1412" s="0" t="s">
        <v>153</v>
      </c>
    </row>
    <row r="1413" customFormat="false" ht="13.8" hidden="true" customHeight="false" outlineLevel="0" collapsed="false">
      <c r="A1413" s="0" t="s">
        <v>6565</v>
      </c>
      <c r="B1413" s="0" t="n">
        <v>78</v>
      </c>
      <c r="C1413" s="0" t="n">
        <v>302160</v>
      </c>
      <c r="D1413" s="0" t="s">
        <v>6566</v>
      </c>
      <c r="E1413" s="0" t="s">
        <v>6567</v>
      </c>
      <c r="F1413" s="0" t="str">
        <f aca="false">CONCATENATE(D1413," ",LEFT(H1413,4),"T=",AU1413,"D=",AV1413,"R=",AW1413,"M=",AX1413,"L=",AY1413,"B=",AZ1413)</f>
        <v>BOBBITT T=1D=0R=0M=0L=0B=0</v>
      </c>
      <c r="G1413" s="0" t="s">
        <v>6568</v>
      </c>
      <c r="I1413" s="0" t="s">
        <v>6569</v>
      </c>
      <c r="J1413" s="0" t="s">
        <v>6570</v>
      </c>
      <c r="K1413" s="0" t="s">
        <v>144</v>
      </c>
      <c r="L1413" s="0"/>
      <c r="M1413" s="0" t="s">
        <v>6564</v>
      </c>
      <c r="N1413" s="0" t="str">
        <f aca="false">RIGHT(M1413,LEN(M1413)-FIND(" ",M1413))</f>
        <v>LARCHMONT AVE NE</v>
      </c>
      <c r="P1413" s="0" t="s">
        <v>146</v>
      </c>
      <c r="Q1413" s="0" t="s">
        <v>147</v>
      </c>
      <c r="R1413" s="0" t="n">
        <v>44483</v>
      </c>
      <c r="AD1413" s="0" t="s">
        <v>148</v>
      </c>
      <c r="AE1413" s="0" t="s">
        <v>149</v>
      </c>
      <c r="AF1413" s="0" t="s">
        <v>150</v>
      </c>
      <c r="AH1413" s="0" t="n">
        <v>14</v>
      </c>
      <c r="AI1413" s="0" t="n">
        <v>11</v>
      </c>
      <c r="AN1413" s="0" t="s">
        <v>146</v>
      </c>
      <c r="AO1413" s="0" t="s">
        <v>236</v>
      </c>
      <c r="AP1413" s="0" t="s">
        <v>237</v>
      </c>
      <c r="AQ1413" s="0" t="n">
        <v>9</v>
      </c>
      <c r="AR1413" s="0" t="n">
        <v>64</v>
      </c>
      <c r="AS1413" s="0" t="n">
        <v>32</v>
      </c>
      <c r="AU1413" s="0" t="n">
        <f aca="false">COUNTA($BA$896:$EH$896)</f>
        <v>1</v>
      </c>
      <c r="AV1413" s="0" t="n">
        <f aca="false">COUNTIF($BA$896:$EH$896,"D")</f>
        <v>0</v>
      </c>
      <c r="AW1413" s="0" t="n">
        <f aca="false">COUNTIF($BA$896:$EH$896,"R")</f>
        <v>0</v>
      </c>
      <c r="AX1413" s="0" t="n">
        <f aca="false"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>0</v>
      </c>
      <c r="AY1413" s="0" t="n">
        <f aca="false">COUNTIF(DU1413:EH1413, "&lt;&gt;")</f>
        <v>0</v>
      </c>
      <c r="AZ1413" s="0" t="n">
        <f aca="false">IF(EH1413&lt;&gt;"",1,0)</f>
        <v>0</v>
      </c>
      <c r="BB1413" s="0" t="s">
        <v>153</v>
      </c>
      <c r="BH1413" s="0" t="s">
        <v>154</v>
      </c>
      <c r="BI1413" s="0" t="s">
        <v>154</v>
      </c>
      <c r="BL1413" s="0" t="s">
        <v>154</v>
      </c>
      <c r="BY1413" s="0" t="s">
        <v>155</v>
      </c>
      <c r="CA1413" s="0" t="s">
        <v>154</v>
      </c>
      <c r="CK1413" s="0" t="s">
        <v>154</v>
      </c>
      <c r="CP1413" s="0" t="s">
        <v>154</v>
      </c>
      <c r="CZ1413" s="0" t="s">
        <v>155</v>
      </c>
      <c r="DC1413" s="0" t="s">
        <v>154</v>
      </c>
      <c r="DN1413" s="0" t="s">
        <v>154</v>
      </c>
    </row>
    <row r="1414" customFormat="false" ht="13.8" hidden="true" customHeight="false" outlineLevel="0" collapsed="false">
      <c r="A1414" s="0" t="s">
        <v>6571</v>
      </c>
      <c r="B1414" s="0" t="n">
        <v>78</v>
      </c>
      <c r="C1414" s="0" t="n">
        <v>153097</v>
      </c>
      <c r="D1414" s="0" t="s">
        <v>6572</v>
      </c>
      <c r="E1414" s="0" t="s">
        <v>471</v>
      </c>
      <c r="F1414" s="0" t="str">
        <f aca="false">CONCATENATE(D1414," ",LEFT(H1414,4),"T=",AU1414,"D=",AV1414,"R=",AW1414,"M=",AX1414,"L=",AY1414,"B=",AZ1414)</f>
        <v>STARK JRT=18D=2R=0M=0L=0B=0</v>
      </c>
      <c r="G1414" s="0" t="s">
        <v>939</v>
      </c>
      <c r="H1414" s="0" t="s">
        <v>431</v>
      </c>
      <c r="I1414" s="0" t="s">
        <v>6573</v>
      </c>
      <c r="J1414" s="0" t="s">
        <v>6574</v>
      </c>
      <c r="K1414" s="0" t="s">
        <v>175</v>
      </c>
      <c r="L1414" s="0"/>
      <c r="M1414" s="0" t="s">
        <v>6575</v>
      </c>
      <c r="N1414" s="0" t="str">
        <f aca="false">RIGHT(M1414,LEN(M1414)-FIND(" ",M1414))</f>
        <v>LARCHMONT AVE NE</v>
      </c>
      <c r="P1414" s="0" t="s">
        <v>146</v>
      </c>
      <c r="Q1414" s="0" t="s">
        <v>147</v>
      </c>
      <c r="R1414" s="0" t="n">
        <v>44483</v>
      </c>
      <c r="AD1414" s="0" t="s">
        <v>148</v>
      </c>
      <c r="AE1414" s="0" t="s">
        <v>149</v>
      </c>
      <c r="AF1414" s="0" t="s">
        <v>150</v>
      </c>
      <c r="AH1414" s="0" t="n">
        <v>14</v>
      </c>
      <c r="AI1414" s="0" t="n">
        <v>11</v>
      </c>
      <c r="AN1414" s="0" t="s">
        <v>146</v>
      </c>
      <c r="AO1414" s="0" t="s">
        <v>236</v>
      </c>
      <c r="AP1414" s="0" t="s">
        <v>237</v>
      </c>
      <c r="AQ1414" s="0" t="n">
        <v>9</v>
      </c>
      <c r="AR1414" s="0" t="n">
        <v>64</v>
      </c>
      <c r="AS1414" s="0" t="n">
        <v>32</v>
      </c>
      <c r="AU1414" s="0" t="n">
        <f aca="false">COUNTA($BA$824:$EH$824)</f>
        <v>18</v>
      </c>
      <c r="AV1414" s="0" t="n">
        <f aca="false">COUNTIF($BA$824:$EH$824,"D")</f>
        <v>2</v>
      </c>
      <c r="AW1414" s="0" t="n">
        <f aca="false">COUNTIF($BA$824:$EH$824,"R")</f>
        <v>0</v>
      </c>
      <c r="AX1414" s="0" t="n">
        <f aca="false"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>0</v>
      </c>
      <c r="AY1414" s="0" t="n">
        <f aca="false">COUNTIF(DU1414:EH1414, "&lt;&gt;")</f>
        <v>0</v>
      </c>
      <c r="AZ1414" s="0" t="n">
        <f aca="false">IF(EH1414&lt;&gt;"",1,0)</f>
        <v>0</v>
      </c>
      <c r="BB1414" s="0" t="s">
        <v>153</v>
      </c>
    </row>
    <row r="1415" customFormat="false" ht="13.8" hidden="true" customHeight="false" outlineLevel="0" collapsed="false">
      <c r="A1415" s="0" t="s">
        <v>6576</v>
      </c>
      <c r="B1415" s="0" t="n">
        <v>78</v>
      </c>
      <c r="C1415" s="0" t="n">
        <v>308357</v>
      </c>
      <c r="D1415" s="0" t="s">
        <v>6572</v>
      </c>
      <c r="E1415" s="0" t="s">
        <v>6577</v>
      </c>
      <c r="F1415" s="0" t="str">
        <f aca="false">CONCATENATE(D1415," ",LEFT(H1415,4),"T=",AU1415,"D=",AV1415,"R=",AW1415,"M=",AX1415,"L=",AY1415,"B=",AZ1415)</f>
        <v>STARK T=1D=0R=0M=0L=0B=0</v>
      </c>
      <c r="G1415" s="0" t="s">
        <v>172</v>
      </c>
      <c r="I1415" s="0" t="s">
        <v>6578</v>
      </c>
      <c r="J1415" s="0" t="s">
        <v>2376</v>
      </c>
      <c r="K1415" s="0" t="s">
        <v>144</v>
      </c>
      <c r="L1415" s="0"/>
      <c r="M1415" s="0" t="s">
        <v>6575</v>
      </c>
      <c r="N1415" s="0" t="str">
        <f aca="false">RIGHT(M1415,LEN(M1415)-FIND(" ",M1415))</f>
        <v>LARCHMONT AVE NE</v>
      </c>
      <c r="P1415" s="0" t="s">
        <v>146</v>
      </c>
      <c r="Q1415" s="0" t="s">
        <v>147</v>
      </c>
      <c r="R1415" s="0" t="n">
        <v>44483</v>
      </c>
      <c r="AD1415" s="0" t="s">
        <v>148</v>
      </c>
      <c r="AE1415" s="0" t="s">
        <v>149</v>
      </c>
      <c r="AF1415" s="0" t="s">
        <v>150</v>
      </c>
      <c r="AH1415" s="0" t="n">
        <v>14</v>
      </c>
      <c r="AI1415" s="0" t="n">
        <v>11</v>
      </c>
      <c r="AN1415" s="0" t="s">
        <v>146</v>
      </c>
      <c r="AO1415" s="0" t="s">
        <v>236</v>
      </c>
      <c r="AP1415" s="0" t="s">
        <v>237</v>
      </c>
      <c r="AQ1415" s="0" t="n">
        <v>9</v>
      </c>
      <c r="AR1415" s="0" t="n">
        <v>64</v>
      </c>
      <c r="AS1415" s="0" t="n">
        <v>32</v>
      </c>
      <c r="AU1415" s="0" t="n">
        <f aca="false">COUNTA($BA$1026:$EH$1026)</f>
        <v>1</v>
      </c>
      <c r="AV1415" s="0" t="n">
        <f aca="false">COUNTIF($BA$1026:$EH$1026,"D")</f>
        <v>0</v>
      </c>
      <c r="AW1415" s="0" t="n">
        <f aca="false">COUNTIF($BA$1026:$EH$1026,"R")</f>
        <v>0</v>
      </c>
      <c r="AX1415" s="0" t="n">
        <f aca="false"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>0</v>
      </c>
      <c r="AY1415" s="0" t="n">
        <f aca="false">COUNTIF(DU1415:EH1415, "&lt;&gt;")</f>
        <v>0</v>
      </c>
      <c r="AZ1415" s="0" t="n">
        <f aca="false">IF(EH1415&lt;&gt;"",1,0)</f>
        <v>0</v>
      </c>
      <c r="BB1415" s="0" t="s">
        <v>153</v>
      </c>
      <c r="BL1415" s="0" t="s">
        <v>154</v>
      </c>
    </row>
    <row r="1416" customFormat="false" ht="13.8" hidden="true" customHeight="false" outlineLevel="0" collapsed="false">
      <c r="A1416" s="0" t="s">
        <v>6579</v>
      </c>
      <c r="B1416" s="0" t="n">
        <v>78</v>
      </c>
      <c r="C1416" s="0" t="n">
        <v>293967</v>
      </c>
      <c r="D1416" s="0" t="s">
        <v>4128</v>
      </c>
      <c r="E1416" s="0" t="s">
        <v>698</v>
      </c>
      <c r="F1416" s="0" t="str">
        <f aca="false">CONCATENATE(D1416," ",LEFT(H1416,4),"T=",AU1416,"D=",AV1416,"R=",AW1416,"M=",AX1416,"L=",AY1416,"B=",AZ1416)</f>
        <v>CARTER T=2D=0R=0M=0L=0B=0</v>
      </c>
      <c r="G1416" s="0" t="s">
        <v>241</v>
      </c>
      <c r="I1416" s="0" t="s">
        <v>6580</v>
      </c>
      <c r="J1416" s="0" t="s">
        <v>6581</v>
      </c>
      <c r="K1416" s="0" t="s">
        <v>175</v>
      </c>
      <c r="L1416" s="0"/>
      <c r="M1416" s="0" t="s">
        <v>6582</v>
      </c>
      <c r="N1416" s="0" t="str">
        <f aca="false">RIGHT(M1416,LEN(M1416)-FIND(" ",M1416))</f>
        <v>LARCHMONT AVE NE</v>
      </c>
      <c r="P1416" s="0" t="s">
        <v>146</v>
      </c>
      <c r="Q1416" s="0" t="s">
        <v>147</v>
      </c>
      <c r="R1416" s="0" t="n">
        <v>44483</v>
      </c>
      <c r="AD1416" s="0" t="s">
        <v>148</v>
      </c>
      <c r="AE1416" s="0" t="s">
        <v>149</v>
      </c>
      <c r="AF1416" s="0" t="s">
        <v>150</v>
      </c>
      <c r="AH1416" s="0" t="n">
        <v>14</v>
      </c>
      <c r="AI1416" s="0" t="n">
        <v>11</v>
      </c>
      <c r="AN1416" s="0" t="s">
        <v>146</v>
      </c>
      <c r="AO1416" s="0" t="s">
        <v>236</v>
      </c>
      <c r="AP1416" s="0" t="s">
        <v>237</v>
      </c>
      <c r="AQ1416" s="0" t="n">
        <v>9</v>
      </c>
      <c r="AR1416" s="0" t="n">
        <v>64</v>
      </c>
      <c r="AS1416" s="0" t="n">
        <v>32</v>
      </c>
      <c r="AU1416" s="0" t="n">
        <f aca="false">COUNTA($BA$440:$EH$440)</f>
        <v>2</v>
      </c>
      <c r="AV1416" s="0" t="n">
        <f aca="false">COUNTIF($BA$440:$EH$440,"D")</f>
        <v>0</v>
      </c>
      <c r="AW1416" s="0" t="n">
        <f aca="false">COUNTIF($BA$440:$EH$440,"R")</f>
        <v>0</v>
      </c>
      <c r="AX1416" s="0" t="n">
        <f aca="false"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>0</v>
      </c>
      <c r="AY1416" s="0" t="n">
        <f aca="false">COUNTIF(DU1416:EH1416, "&lt;&gt;")</f>
        <v>0</v>
      </c>
      <c r="AZ1416" s="0" t="n">
        <f aca="false">IF(EH1416&lt;&gt;"",1,0)</f>
        <v>0</v>
      </c>
      <c r="BB1416" s="0" t="s">
        <v>153</v>
      </c>
      <c r="BL1416" s="0" t="s">
        <v>154</v>
      </c>
      <c r="CA1416" s="0" t="s">
        <v>154</v>
      </c>
    </row>
    <row r="1417" customFormat="false" ht="13.8" hidden="true" customHeight="false" outlineLevel="0" collapsed="false">
      <c r="A1417" s="0" t="s">
        <v>6583</v>
      </c>
      <c r="B1417" s="0" t="n">
        <v>78</v>
      </c>
      <c r="C1417" s="0" t="n">
        <v>322186</v>
      </c>
      <c r="D1417" s="0" t="s">
        <v>3962</v>
      </c>
      <c r="E1417" s="0" t="s">
        <v>2989</v>
      </c>
      <c r="F1417" s="0" t="str">
        <f aca="false">CONCATENATE(D1417," ",LEFT(H1417,4),"T=",AU1417,"D=",AV1417,"R=",AW1417,"M=",AX1417,"L=",AY1417,"B=",AZ1417)</f>
        <v>HILL T=1D=0R=0M=1L=0B=0</v>
      </c>
      <c r="G1417" s="0" t="s">
        <v>172</v>
      </c>
      <c r="I1417" s="0" t="s">
        <v>6584</v>
      </c>
      <c r="J1417" s="0" t="s">
        <v>6585</v>
      </c>
      <c r="K1417" s="0" t="s">
        <v>175</v>
      </c>
      <c r="L1417" s="0"/>
      <c r="M1417" s="0" t="s">
        <v>6586</v>
      </c>
      <c r="N1417" s="0" t="str">
        <f aca="false">RIGHT(M1417,LEN(M1417)-FIND(" ",M1417))</f>
        <v>LARCHMONT AVE NE</v>
      </c>
      <c r="P1417" s="0" t="s">
        <v>146</v>
      </c>
      <c r="Q1417" s="0" t="s">
        <v>147</v>
      </c>
      <c r="R1417" s="0" t="n">
        <v>44483</v>
      </c>
      <c r="AD1417" s="0" t="s">
        <v>148</v>
      </c>
      <c r="AE1417" s="0" t="s">
        <v>149</v>
      </c>
      <c r="AF1417" s="0" t="s">
        <v>150</v>
      </c>
      <c r="AH1417" s="0" t="n">
        <v>14</v>
      </c>
      <c r="AI1417" s="0" t="n">
        <v>11</v>
      </c>
      <c r="AN1417" s="0" t="s">
        <v>146</v>
      </c>
      <c r="AO1417" s="0" t="s">
        <v>236</v>
      </c>
      <c r="AP1417" s="0" t="s">
        <v>237</v>
      </c>
      <c r="AQ1417" s="0" t="n">
        <v>9</v>
      </c>
      <c r="AR1417" s="0" t="n">
        <v>64</v>
      </c>
      <c r="AS1417" s="0" t="n">
        <v>32</v>
      </c>
      <c r="AU1417" s="0" t="n">
        <f aca="false">COUNTA($BA$196:$EH$196)</f>
        <v>1</v>
      </c>
      <c r="AV1417" s="0" t="n">
        <f aca="false">COUNTIF($BA$196:$EH$196,"D")</f>
        <v>0</v>
      </c>
      <c r="AW1417" s="0" t="n">
        <f aca="false">COUNTIF($BA$196:$EH$196,"R")</f>
        <v>0</v>
      </c>
      <c r="AX1417" s="0" t="n">
        <f aca="false"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>1</v>
      </c>
      <c r="AY1417" s="0" t="n">
        <f aca="false">COUNTIF(DU1417:EH1417, "&lt;&gt;")</f>
        <v>0</v>
      </c>
      <c r="AZ1417" s="0" t="n">
        <f aca="false">IF(EH1417&lt;&gt;"",1,0)</f>
        <v>0</v>
      </c>
      <c r="BB1417" s="0" t="s">
        <v>153</v>
      </c>
      <c r="BL1417" s="0" t="s">
        <v>154</v>
      </c>
      <c r="BP1417" s="0" t="s">
        <v>154</v>
      </c>
      <c r="BY1417" s="0" t="s">
        <v>155</v>
      </c>
      <c r="CA1417" s="0" t="s">
        <v>154</v>
      </c>
      <c r="CK1417" s="0" t="s">
        <v>154</v>
      </c>
      <c r="CL1417" s="0" t="s">
        <v>155</v>
      </c>
      <c r="CN1417" s="0" t="s">
        <v>154</v>
      </c>
      <c r="CP1417" s="0" t="s">
        <v>154</v>
      </c>
      <c r="CV1417" s="0" t="s">
        <v>154</v>
      </c>
      <c r="CY1417" s="0" t="s">
        <v>154</v>
      </c>
      <c r="DC1417" s="0" t="s">
        <v>154</v>
      </c>
      <c r="DF1417" s="0" t="s">
        <v>154</v>
      </c>
      <c r="DI1417" s="0" t="s">
        <v>154</v>
      </c>
      <c r="DL1417" s="0" t="s">
        <v>154</v>
      </c>
      <c r="DN1417" s="0" t="s">
        <v>154</v>
      </c>
    </row>
    <row r="1418" customFormat="false" ht="13.8" hidden="true" customHeight="false" outlineLevel="0" collapsed="false">
      <c r="A1418" s="0" t="s">
        <v>6587</v>
      </c>
      <c r="B1418" s="0" t="n">
        <v>78</v>
      </c>
      <c r="C1418" s="0" t="n">
        <v>407137</v>
      </c>
      <c r="D1418" s="0" t="s">
        <v>1420</v>
      </c>
      <c r="E1418" s="0" t="s">
        <v>6588</v>
      </c>
      <c r="F1418" s="0" t="str">
        <f aca="false">CONCATENATE(D1418," ",LEFT(H1418,4),"T=",AU1418,"D=",AV1418,"R=",AW1418,"M=",AX1418,"L=",AY1418,"B=",AZ1418)</f>
        <v>BRYANT T=23D=8R=0M=0L=0B=0</v>
      </c>
      <c r="G1418" s="0" t="s">
        <v>6589</v>
      </c>
      <c r="I1418" s="0" t="s">
        <v>6590</v>
      </c>
      <c r="J1418" s="0" t="s">
        <v>6591</v>
      </c>
      <c r="K1418" s="0" t="s">
        <v>175</v>
      </c>
      <c r="L1418" s="0"/>
      <c r="M1418" s="0" t="s">
        <v>6586</v>
      </c>
      <c r="N1418" s="0" t="str">
        <f aca="false">RIGHT(M1418,LEN(M1418)-FIND(" ",M1418))</f>
        <v>LARCHMONT AVE NE</v>
      </c>
      <c r="P1418" s="0" t="s">
        <v>146</v>
      </c>
      <c r="Q1418" s="0" t="s">
        <v>147</v>
      </c>
      <c r="R1418" s="0" t="n">
        <v>44483</v>
      </c>
      <c r="AD1418" s="0" t="s">
        <v>148</v>
      </c>
      <c r="AE1418" s="0" t="s">
        <v>149</v>
      </c>
      <c r="AF1418" s="0" t="s">
        <v>150</v>
      </c>
      <c r="AH1418" s="0" t="n">
        <v>14</v>
      </c>
      <c r="AI1418" s="0" t="n">
        <v>11</v>
      </c>
      <c r="AN1418" s="0" t="s">
        <v>146</v>
      </c>
      <c r="AO1418" s="0" t="s">
        <v>236</v>
      </c>
      <c r="AP1418" s="0" t="s">
        <v>237</v>
      </c>
      <c r="AQ1418" s="0" t="n">
        <v>9</v>
      </c>
      <c r="AR1418" s="0" t="n">
        <v>64</v>
      </c>
      <c r="AS1418" s="0" t="n">
        <v>32</v>
      </c>
      <c r="AU1418" s="0" t="n">
        <f aca="false">COUNTA($BA$743:$EH$743)</f>
        <v>23</v>
      </c>
      <c r="AV1418" s="0" t="n">
        <f aca="false">COUNTIF($BA$743:$EH$743,"D")</f>
        <v>8</v>
      </c>
      <c r="AW1418" s="0" t="n">
        <f aca="false">COUNTIF($BA$743:$EH$743,"R")</f>
        <v>0</v>
      </c>
      <c r="AX1418" s="0" t="n">
        <f aca="false"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>0</v>
      </c>
      <c r="AY1418" s="0" t="n">
        <f aca="false">COUNTIF(DU1418:EH1418, "&lt;&gt;")</f>
        <v>0</v>
      </c>
      <c r="AZ1418" s="0" t="n">
        <f aca="false">IF(EH1418&lt;&gt;"",1,0)</f>
        <v>0</v>
      </c>
      <c r="BB1418" s="0" t="s">
        <v>153</v>
      </c>
      <c r="DC1418" s="0" t="s">
        <v>154</v>
      </c>
    </row>
    <row r="1419" customFormat="false" ht="13.8" hidden="true" customHeight="false" outlineLevel="0" collapsed="false">
      <c r="A1419" s="0" t="s">
        <v>6592</v>
      </c>
      <c r="B1419" s="0" t="n">
        <v>78</v>
      </c>
      <c r="C1419" s="0" t="n">
        <v>411851</v>
      </c>
      <c r="D1419" s="0" t="s">
        <v>1420</v>
      </c>
      <c r="E1419" s="0" t="s">
        <v>6593</v>
      </c>
      <c r="F1419" s="0" t="str">
        <f aca="false">CONCATENATE(D1419," ",LEFT(H1419,4),"T=",AU1419,"D=",AV1419,"R=",AW1419,"M=",AX1419,"L=",AY1419,"B=",AZ1419)</f>
        <v>BRYANT T=2D=0R=0M=0L=0B=0</v>
      </c>
      <c r="G1419" s="0" t="s">
        <v>6594</v>
      </c>
      <c r="I1419" s="0" t="s">
        <v>6595</v>
      </c>
      <c r="J1419" s="0" t="s">
        <v>5864</v>
      </c>
      <c r="K1419" s="0" t="s">
        <v>175</v>
      </c>
      <c r="L1419" s="0"/>
      <c r="M1419" s="0" t="s">
        <v>6586</v>
      </c>
      <c r="N1419" s="0" t="str">
        <f aca="false">RIGHT(M1419,LEN(M1419)-FIND(" ",M1419))</f>
        <v>LARCHMONT AVE NE</v>
      </c>
      <c r="P1419" s="0" t="s">
        <v>146</v>
      </c>
      <c r="Q1419" s="0" t="s">
        <v>147</v>
      </c>
      <c r="R1419" s="0" t="n">
        <v>44483</v>
      </c>
      <c r="AD1419" s="0" t="s">
        <v>148</v>
      </c>
      <c r="AE1419" s="0" t="s">
        <v>149</v>
      </c>
      <c r="AF1419" s="0" t="s">
        <v>150</v>
      </c>
      <c r="AH1419" s="0" t="n">
        <v>14</v>
      </c>
      <c r="AI1419" s="0" t="n">
        <v>11</v>
      </c>
      <c r="AN1419" s="0" t="s">
        <v>146</v>
      </c>
      <c r="AO1419" s="0" t="s">
        <v>236</v>
      </c>
      <c r="AP1419" s="0" t="s">
        <v>237</v>
      </c>
      <c r="AQ1419" s="0" t="n">
        <v>9</v>
      </c>
      <c r="AR1419" s="0" t="n">
        <v>64</v>
      </c>
      <c r="AS1419" s="0" t="n">
        <v>32</v>
      </c>
      <c r="AU1419" s="0" t="n">
        <f aca="false">COUNTA($BA$995:$EH$995)</f>
        <v>2</v>
      </c>
      <c r="AV1419" s="0" t="n">
        <f aca="false">COUNTIF($BA$995:$EH$995,"D")</f>
        <v>0</v>
      </c>
      <c r="AW1419" s="0" t="n">
        <f aca="false">COUNTIF($BA$995:$EH$995,"R")</f>
        <v>0</v>
      </c>
      <c r="AX1419" s="0" t="n">
        <f aca="false"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>0</v>
      </c>
      <c r="AY1419" s="0" t="n">
        <f aca="false">COUNTIF(DU1419:EH1419, "&lt;&gt;")</f>
        <v>0</v>
      </c>
      <c r="AZ1419" s="0" t="n">
        <f aca="false">IF(EH1419&lt;&gt;"",1,0)</f>
        <v>0</v>
      </c>
      <c r="BB1419" s="0" t="s">
        <v>153</v>
      </c>
      <c r="CN1419" s="0" t="s">
        <v>154</v>
      </c>
    </row>
    <row r="1420" customFormat="false" ht="13.8" hidden="true" customHeight="false" outlineLevel="0" collapsed="false">
      <c r="A1420" s="0" t="s">
        <v>6596</v>
      </c>
      <c r="B1420" s="0" t="n">
        <v>78</v>
      </c>
      <c r="C1420" s="0" t="n">
        <v>432063</v>
      </c>
      <c r="D1420" s="0" t="s">
        <v>6597</v>
      </c>
      <c r="E1420" s="0" t="s">
        <v>1980</v>
      </c>
      <c r="F1420" s="0" t="str">
        <f aca="false">CONCATENATE(D1420," ",LEFT(H1420,4),"T=",AU1420,"D=",AV1420,"R=",AW1420,"M=",AX1420,"L=",AY1420,"B=",AZ1420)</f>
        <v>GUNTER T=2D=0R=0M=0L=1B=0</v>
      </c>
      <c r="G1420" s="0" t="s">
        <v>196</v>
      </c>
      <c r="I1420" s="0" t="s">
        <v>6598</v>
      </c>
      <c r="J1420" s="0" t="s">
        <v>4042</v>
      </c>
      <c r="K1420" s="0" t="s">
        <v>175</v>
      </c>
      <c r="L1420" s="0"/>
      <c r="M1420" s="0" t="s">
        <v>6599</v>
      </c>
      <c r="N1420" s="0" t="str">
        <f aca="false">RIGHT(M1420,LEN(M1420)-FIND(" ",M1420))</f>
        <v>LARCHMONT AVE NE</v>
      </c>
      <c r="P1420" s="0" t="s">
        <v>146</v>
      </c>
      <c r="Q1420" s="0" t="s">
        <v>147</v>
      </c>
      <c r="R1420" s="0" t="n">
        <v>44483</v>
      </c>
      <c r="AD1420" s="0" t="s">
        <v>148</v>
      </c>
      <c r="AE1420" s="0" t="s">
        <v>149</v>
      </c>
      <c r="AF1420" s="0" t="s">
        <v>150</v>
      </c>
      <c r="AH1420" s="0" t="n">
        <v>14</v>
      </c>
      <c r="AI1420" s="0" t="n">
        <v>11</v>
      </c>
      <c r="AN1420" s="0" t="s">
        <v>146</v>
      </c>
      <c r="AO1420" s="0" t="s">
        <v>236</v>
      </c>
      <c r="AP1420" s="0" t="s">
        <v>237</v>
      </c>
      <c r="AQ1420" s="0" t="n">
        <v>9</v>
      </c>
      <c r="AR1420" s="0" t="n">
        <v>64</v>
      </c>
      <c r="AS1420" s="0" t="n">
        <v>32</v>
      </c>
      <c r="AU1420" s="0" t="n">
        <f aca="false">COUNTA($BA$351:$EH$351)</f>
        <v>2</v>
      </c>
      <c r="AV1420" s="0" t="n">
        <f aca="false">COUNTIF($BA$351:$EH$351,"D")</f>
        <v>0</v>
      </c>
      <c r="AW1420" s="0" t="n">
        <f aca="false">COUNTIF($BA$351:$EH$351,"R")</f>
        <v>0</v>
      </c>
      <c r="AX1420" s="0" t="n">
        <f aca="false"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>0</v>
      </c>
      <c r="AY1420" s="0" t="n">
        <f aca="false">COUNTIF(DU1420:EH1420, "&lt;&gt;")</f>
        <v>1</v>
      </c>
      <c r="AZ1420" s="0" t="n">
        <f aca="false">IF(EH1420&lt;&gt;"",1,0)</f>
        <v>0</v>
      </c>
      <c r="BB1420" s="0" t="s">
        <v>153</v>
      </c>
      <c r="DC1420" s="0" t="s">
        <v>154</v>
      </c>
      <c r="DN1420" s="0" t="s">
        <v>154</v>
      </c>
      <c r="EF1420" s="0" t="s">
        <v>154</v>
      </c>
    </row>
    <row r="1421" customFormat="false" ht="13.8" hidden="true" customHeight="false" outlineLevel="0" collapsed="false">
      <c r="A1421" s="0" t="s">
        <v>6600</v>
      </c>
      <c r="B1421" s="0" t="n">
        <v>78</v>
      </c>
      <c r="C1421" s="0" t="n">
        <v>461987</v>
      </c>
      <c r="D1421" s="0" t="s">
        <v>1588</v>
      </c>
      <c r="E1421" s="0" t="s">
        <v>2143</v>
      </c>
      <c r="F1421" s="0" t="str">
        <f aca="false">CONCATENATE(D1421," ",LEFT(H1421,4),"T=",AU1421,"D=",AV1421,"R=",AW1421,"M=",AX1421,"L=",AY1421,"B=",AZ1421)</f>
        <v>HALL T=5D=0R=0M=0L=0B=0</v>
      </c>
      <c r="G1421" s="0" t="s">
        <v>317</v>
      </c>
      <c r="I1421" s="0" t="s">
        <v>6601</v>
      </c>
      <c r="J1421" s="0" t="s">
        <v>6602</v>
      </c>
      <c r="K1421" s="0" t="s">
        <v>144</v>
      </c>
      <c r="L1421" s="0"/>
      <c r="M1421" s="0" t="s">
        <v>6599</v>
      </c>
      <c r="N1421" s="0" t="str">
        <f aca="false">RIGHT(M1421,LEN(M1421)-FIND(" ",M1421))</f>
        <v>LARCHMONT AVE NE</v>
      </c>
      <c r="P1421" s="0" t="s">
        <v>146</v>
      </c>
      <c r="Q1421" s="0" t="s">
        <v>147</v>
      </c>
      <c r="R1421" s="0" t="n">
        <v>44483</v>
      </c>
      <c r="AD1421" s="0" t="s">
        <v>148</v>
      </c>
      <c r="AE1421" s="0" t="s">
        <v>149</v>
      </c>
      <c r="AF1421" s="0" t="s">
        <v>150</v>
      </c>
      <c r="AH1421" s="0" t="n">
        <v>14</v>
      </c>
      <c r="AI1421" s="0" t="n">
        <v>11</v>
      </c>
      <c r="AN1421" s="0" t="s">
        <v>146</v>
      </c>
      <c r="AO1421" s="0" t="s">
        <v>236</v>
      </c>
      <c r="AP1421" s="0" t="s">
        <v>237</v>
      </c>
      <c r="AQ1421" s="0" t="n">
        <v>9</v>
      </c>
      <c r="AR1421" s="0" t="n">
        <v>64</v>
      </c>
      <c r="AS1421" s="0" t="n">
        <v>32</v>
      </c>
      <c r="AU1421" s="0" t="n">
        <f aca="false">COUNTA($BA$717:$EH$717)</f>
        <v>5</v>
      </c>
      <c r="AV1421" s="0" t="n">
        <f aca="false">COUNTIF($BA$717:$EH$717,"D")</f>
        <v>0</v>
      </c>
      <c r="AW1421" s="0" t="n">
        <f aca="false">COUNTIF($BA$717:$EH$717,"R")</f>
        <v>0</v>
      </c>
      <c r="AX1421" s="0" t="n">
        <f aca="false"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>0</v>
      </c>
      <c r="AY1421" s="0" t="n">
        <f aca="false">COUNTIF(DU1421:EH1421, "&lt;&gt;")</f>
        <v>0</v>
      </c>
      <c r="AZ1421" s="0" t="n">
        <f aca="false">IF(EH1421&lt;&gt;"",1,0)</f>
        <v>0</v>
      </c>
      <c r="BB1421" s="0" t="s">
        <v>153</v>
      </c>
    </row>
    <row r="1422" customFormat="false" ht="13.8" hidden="true" customHeight="false" outlineLevel="0" collapsed="false">
      <c r="A1422" s="0" t="s">
        <v>6603</v>
      </c>
      <c r="B1422" s="0" t="n">
        <v>78</v>
      </c>
      <c r="C1422" s="0" t="n">
        <v>434397</v>
      </c>
      <c r="D1422" s="0" t="s">
        <v>6597</v>
      </c>
      <c r="E1422" s="0" t="s">
        <v>1374</v>
      </c>
      <c r="F1422" s="0" t="str">
        <f aca="false">CONCATENATE(D1422," ",LEFT(H1422,4),"T=",AU1422,"D=",AV1422,"R=",AW1422,"M=",AX1422,"L=",AY1422,"B=",AZ1422)</f>
        <v>GUNTER T=4D=0R=0M=0L=1B=0</v>
      </c>
      <c r="G1422" s="0" t="s">
        <v>1942</v>
      </c>
      <c r="I1422" s="0" t="s">
        <v>6604</v>
      </c>
      <c r="J1422" s="0" t="s">
        <v>2888</v>
      </c>
      <c r="K1422" s="0" t="s">
        <v>175</v>
      </c>
      <c r="L1422" s="0"/>
      <c r="M1422" s="0" t="s">
        <v>6599</v>
      </c>
      <c r="N1422" s="0" t="str">
        <f aca="false">RIGHT(M1422,LEN(M1422)-FIND(" ",M1422))</f>
        <v>LARCHMONT AVE NE</v>
      </c>
      <c r="P1422" s="0" t="s">
        <v>146</v>
      </c>
      <c r="Q1422" s="0" t="s">
        <v>147</v>
      </c>
      <c r="R1422" s="0" t="n">
        <v>44483</v>
      </c>
      <c r="AD1422" s="0" t="s">
        <v>148</v>
      </c>
      <c r="AE1422" s="0" t="s">
        <v>149</v>
      </c>
      <c r="AF1422" s="0" t="s">
        <v>150</v>
      </c>
      <c r="AH1422" s="0" t="n">
        <v>14</v>
      </c>
      <c r="AI1422" s="0" t="n">
        <v>11</v>
      </c>
      <c r="AN1422" s="0" t="s">
        <v>146</v>
      </c>
      <c r="AO1422" s="0" t="s">
        <v>236</v>
      </c>
      <c r="AP1422" s="0" t="s">
        <v>237</v>
      </c>
      <c r="AQ1422" s="0" t="n">
        <v>9</v>
      </c>
      <c r="AR1422" s="0" t="n">
        <v>64</v>
      </c>
      <c r="AS1422" s="0" t="n">
        <v>32</v>
      </c>
      <c r="AU1422" s="0" t="n">
        <f aca="false">COUNTA($BA$1013:$EH$1013)</f>
        <v>4</v>
      </c>
      <c r="AV1422" s="0" t="n">
        <f aca="false">COUNTIF($BA$1013:$EH$1013,"D")</f>
        <v>0</v>
      </c>
      <c r="AW1422" s="0" t="n">
        <f aca="false">COUNTIF($BA$1013:$EH$1013,"R")</f>
        <v>0</v>
      </c>
      <c r="AX1422" s="0" t="n">
        <f aca="false"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>0</v>
      </c>
      <c r="AY1422" s="0" t="n">
        <f aca="false">COUNTIF(DU1422:EH1422, "&lt;&gt;")</f>
        <v>1</v>
      </c>
      <c r="AZ1422" s="0" t="n">
        <f aca="false">IF(EH1422&lt;&gt;"",1,0)</f>
        <v>0</v>
      </c>
      <c r="BB1422" s="0" t="s">
        <v>153</v>
      </c>
      <c r="DC1422" s="0" t="s">
        <v>154</v>
      </c>
      <c r="DN1422" s="0" t="s">
        <v>154</v>
      </c>
      <c r="EF1422" s="0" t="s">
        <v>154</v>
      </c>
    </row>
    <row r="1423" customFormat="false" ht="13.8" hidden="true" customHeight="false" outlineLevel="0" collapsed="false">
      <c r="A1423" s="0" t="s">
        <v>6605</v>
      </c>
      <c r="B1423" s="0" t="n">
        <v>78</v>
      </c>
      <c r="C1423" s="0" t="n">
        <v>199437</v>
      </c>
      <c r="D1423" s="0" t="s">
        <v>2171</v>
      </c>
      <c r="E1423" s="0" t="s">
        <v>1531</v>
      </c>
      <c r="F1423" s="0" t="str">
        <f aca="false">CONCATENATE(D1423," ",LEFT(H1423,4),"T=",AU1423,"D=",AV1423,"R=",AW1423,"M=",AX1423,"L=",AY1423,"B=",AZ1423)</f>
        <v>MORRIS T=22D=5R=0M=4L=0B=0</v>
      </c>
      <c r="G1423" s="0" t="s">
        <v>166</v>
      </c>
      <c r="I1423" s="0" t="s">
        <v>6606</v>
      </c>
      <c r="J1423" s="0" t="s">
        <v>6607</v>
      </c>
      <c r="K1423" s="0" t="s">
        <v>175</v>
      </c>
      <c r="L1423" s="0"/>
      <c r="M1423" s="0" t="s">
        <v>6608</v>
      </c>
      <c r="N1423" s="0" t="str">
        <f aca="false">RIGHT(M1423,LEN(M1423)-FIND(" ",M1423))</f>
        <v>LARCHMONT AVE NE</v>
      </c>
      <c r="P1423" s="0" t="s">
        <v>146</v>
      </c>
      <c r="Q1423" s="0" t="s">
        <v>147</v>
      </c>
      <c r="R1423" s="0" t="n">
        <v>44483</v>
      </c>
      <c r="AD1423" s="0" t="s">
        <v>148</v>
      </c>
      <c r="AE1423" s="0" t="s">
        <v>149</v>
      </c>
      <c r="AF1423" s="0" t="s">
        <v>150</v>
      </c>
      <c r="AH1423" s="0" t="n">
        <v>14</v>
      </c>
      <c r="AI1423" s="0" t="n">
        <v>11</v>
      </c>
      <c r="AN1423" s="0" t="s">
        <v>146</v>
      </c>
      <c r="AO1423" s="0" t="s">
        <v>236</v>
      </c>
      <c r="AP1423" s="0" t="s">
        <v>237</v>
      </c>
      <c r="AQ1423" s="0" t="n">
        <v>9</v>
      </c>
      <c r="AR1423" s="0" t="n">
        <v>64</v>
      </c>
      <c r="AS1423" s="0" t="n">
        <v>32</v>
      </c>
      <c r="AU1423" s="0" t="n">
        <f aca="false">COUNTA($BA$617:$EH$617)</f>
        <v>22</v>
      </c>
      <c r="AV1423" s="0" t="n">
        <f aca="false">COUNTIF($BA$617:$EH$617,"D")</f>
        <v>5</v>
      </c>
      <c r="AW1423" s="0" t="n">
        <f aca="false">COUNTIF($BA$617:$EH$617,"R")</f>
        <v>0</v>
      </c>
      <c r="AX1423" s="0" t="n">
        <f aca="false"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>4</v>
      </c>
      <c r="AY1423" s="0" t="n">
        <f aca="false">COUNTIF(DU1423:EH1423, "&lt;&gt;")</f>
        <v>0</v>
      </c>
      <c r="AZ1423" s="0" t="n">
        <f aca="false">IF(EH1423&lt;&gt;"",1,0)</f>
        <v>0</v>
      </c>
      <c r="BB1423" s="0" t="s">
        <v>153</v>
      </c>
      <c r="BC1423" s="0" t="s">
        <v>154</v>
      </c>
      <c r="BD1423" s="0" t="s">
        <v>154</v>
      </c>
      <c r="BE1423" s="0" t="s">
        <v>154</v>
      </c>
      <c r="BF1423" s="0" t="s">
        <v>154</v>
      </c>
      <c r="BG1423" s="0" t="s">
        <v>154</v>
      </c>
      <c r="BH1423" s="0" t="s">
        <v>154</v>
      </c>
      <c r="BI1423" s="0" t="s">
        <v>154</v>
      </c>
      <c r="BJ1423" s="0" t="s">
        <v>154</v>
      </c>
      <c r="BK1423" s="0" t="s">
        <v>154</v>
      </c>
      <c r="BL1423" s="0" t="s">
        <v>154</v>
      </c>
      <c r="BP1423" s="0" t="s">
        <v>154</v>
      </c>
      <c r="BR1423" s="0" t="s">
        <v>154</v>
      </c>
      <c r="BS1423" s="0" t="s">
        <v>154</v>
      </c>
      <c r="BV1423" s="0" t="s">
        <v>154</v>
      </c>
      <c r="BY1423" s="0" t="s">
        <v>155</v>
      </c>
      <c r="CA1423" s="0" t="s">
        <v>154</v>
      </c>
      <c r="CG1423" s="0" t="s">
        <v>154</v>
      </c>
      <c r="CH1423" s="0" t="s">
        <v>155</v>
      </c>
      <c r="CK1423" s="0" t="s">
        <v>154</v>
      </c>
      <c r="CL1423" s="0" t="s">
        <v>155</v>
      </c>
      <c r="CN1423" s="0" t="s">
        <v>154</v>
      </c>
      <c r="CO1423" s="0" t="s">
        <v>155</v>
      </c>
      <c r="CP1423" s="0" t="s">
        <v>154</v>
      </c>
      <c r="CQ1423" s="0" t="s">
        <v>155</v>
      </c>
      <c r="CT1423" s="0" t="s">
        <v>154</v>
      </c>
      <c r="CU1423" s="0" t="s">
        <v>155</v>
      </c>
      <c r="CV1423" s="0" t="s">
        <v>154</v>
      </c>
      <c r="CY1423" s="0" t="s">
        <v>154</v>
      </c>
      <c r="CZ1423" s="0" t="s">
        <v>155</v>
      </c>
      <c r="DC1423" s="0" t="s">
        <v>154</v>
      </c>
      <c r="DD1423" s="0" t="s">
        <v>155</v>
      </c>
      <c r="DF1423" s="0" t="s">
        <v>154</v>
      </c>
      <c r="DG1423" s="0" t="s">
        <v>155</v>
      </c>
      <c r="DI1423" s="0" t="s">
        <v>154</v>
      </c>
      <c r="DJ1423" s="0" t="s">
        <v>155</v>
      </c>
      <c r="DM1423" s="0" t="s">
        <v>155</v>
      </c>
      <c r="DN1423" s="0" t="s">
        <v>154</v>
      </c>
    </row>
    <row r="1424" customFormat="false" ht="13.8" hidden="true" customHeight="false" outlineLevel="0" collapsed="false">
      <c r="A1424" s="0" t="s">
        <v>6609</v>
      </c>
      <c r="B1424" s="0" t="n">
        <v>78</v>
      </c>
      <c r="C1424" s="0" t="n">
        <v>288367</v>
      </c>
      <c r="D1424" s="0" t="s">
        <v>2171</v>
      </c>
      <c r="E1424" s="0" t="s">
        <v>6610</v>
      </c>
      <c r="F1424" s="0" t="str">
        <f aca="false">CONCATENATE(D1424," ",LEFT(H1424,4),"T=",AU1424,"D=",AV1424,"R=",AW1424,"M=",AX1424,"L=",AY1424,"B=",AZ1424)</f>
        <v>MORRIS T=1D=0R=0M=0L=0B=0</v>
      </c>
      <c r="G1424" s="0" t="s">
        <v>317</v>
      </c>
      <c r="I1424" s="0" t="s">
        <v>6611</v>
      </c>
      <c r="J1424" s="0" t="s">
        <v>6612</v>
      </c>
      <c r="K1424" s="0" t="s">
        <v>175</v>
      </c>
      <c r="L1424" s="0"/>
      <c r="M1424" s="0" t="s">
        <v>6608</v>
      </c>
      <c r="N1424" s="0" t="str">
        <f aca="false">RIGHT(M1424,LEN(M1424)-FIND(" ",M1424))</f>
        <v>LARCHMONT AVE NE</v>
      </c>
      <c r="P1424" s="0" t="s">
        <v>146</v>
      </c>
      <c r="Q1424" s="0" t="s">
        <v>147</v>
      </c>
      <c r="R1424" s="0" t="n">
        <v>44483</v>
      </c>
      <c r="AD1424" s="0" t="s">
        <v>148</v>
      </c>
      <c r="AE1424" s="0" t="s">
        <v>149</v>
      </c>
      <c r="AF1424" s="0" t="s">
        <v>150</v>
      </c>
      <c r="AH1424" s="0" t="n">
        <v>14</v>
      </c>
      <c r="AI1424" s="0" t="n">
        <v>11</v>
      </c>
      <c r="AN1424" s="0" t="s">
        <v>146</v>
      </c>
      <c r="AO1424" s="0" t="s">
        <v>236</v>
      </c>
      <c r="AP1424" s="0" t="s">
        <v>237</v>
      </c>
      <c r="AQ1424" s="0" t="n">
        <v>9</v>
      </c>
      <c r="AR1424" s="0" t="n">
        <v>64</v>
      </c>
      <c r="AS1424" s="0" t="n">
        <v>32</v>
      </c>
      <c r="AU1424" s="0" t="n">
        <f aca="false">COUNTA($BA$676:$EH$676)</f>
        <v>1</v>
      </c>
      <c r="AV1424" s="0" t="n">
        <f aca="false">COUNTIF($BA$676:$EH$676,"D")</f>
        <v>0</v>
      </c>
      <c r="AW1424" s="0" t="n">
        <f aca="false">COUNTIF($BA$676:$EH$676,"R")</f>
        <v>0</v>
      </c>
      <c r="AX1424" s="0" t="n">
        <f aca="false"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>0</v>
      </c>
      <c r="AY1424" s="0" t="n">
        <f aca="false">COUNTIF(DU1424:EH1424, "&lt;&gt;")</f>
        <v>0</v>
      </c>
      <c r="AZ1424" s="0" t="n">
        <f aca="false">IF(EH1424&lt;&gt;"",1,0)</f>
        <v>0</v>
      </c>
      <c r="BB1424" s="0" t="s">
        <v>153</v>
      </c>
      <c r="BC1424" s="0" t="s">
        <v>154</v>
      </c>
      <c r="BD1424" s="0" t="s">
        <v>154</v>
      </c>
      <c r="BE1424" s="0" t="s">
        <v>154</v>
      </c>
      <c r="BH1424" s="0" t="s">
        <v>154</v>
      </c>
      <c r="BI1424" s="0" t="s">
        <v>154</v>
      </c>
      <c r="BJ1424" s="0" t="s">
        <v>154</v>
      </c>
      <c r="BK1424" s="0" t="s">
        <v>154</v>
      </c>
      <c r="BL1424" s="0" t="s">
        <v>154</v>
      </c>
      <c r="BR1424" s="0" t="s">
        <v>154</v>
      </c>
      <c r="BS1424" s="0" t="s">
        <v>154</v>
      </c>
      <c r="BV1424" s="0" t="s">
        <v>154</v>
      </c>
      <c r="BY1424" s="0" t="s">
        <v>155</v>
      </c>
      <c r="CA1424" s="0" t="s">
        <v>154</v>
      </c>
      <c r="CV1424" s="0" t="s">
        <v>154</v>
      </c>
      <c r="CY1424" s="0" t="s">
        <v>154</v>
      </c>
      <c r="CZ1424" s="0" t="s">
        <v>155</v>
      </c>
      <c r="DC1424" s="0" t="s">
        <v>154</v>
      </c>
    </row>
    <row r="1425" customFormat="false" ht="13.8" hidden="false" customHeight="false" outlineLevel="0" collapsed="false">
      <c r="A1425" s="0" t="s">
        <v>6613</v>
      </c>
      <c r="B1425" s="0" t="n">
        <v>78</v>
      </c>
      <c r="C1425" s="0" t="n">
        <v>274753</v>
      </c>
      <c r="D1425" s="0" t="s">
        <v>6486</v>
      </c>
      <c r="E1425" s="0" t="s">
        <v>1920</v>
      </c>
      <c r="F1425" s="0" t="str">
        <f aca="false">CONCATENATE(D1425," ",LEFT(H1425,4),"T=",AU1425,"D=",AV1425,"R=",AW1425,"M=",AX1425,"L=",AY1425,"B=",AZ1425)</f>
        <v>BAILEY T=28D=9R=0M=0L=5B=0</v>
      </c>
      <c r="G1425" s="0" t="s">
        <v>188</v>
      </c>
      <c r="I1425" s="0" t="s">
        <v>6614</v>
      </c>
      <c r="J1425" s="0" t="s">
        <v>6615</v>
      </c>
      <c r="K1425" s="0" t="s">
        <v>175</v>
      </c>
      <c r="L1425" s="1" t="s">
        <v>155</v>
      </c>
      <c r="M1425" s="0" t="s">
        <v>6616</v>
      </c>
      <c r="N1425" s="0" t="str">
        <f aca="false">RIGHT(M1425,LEN(M1425)-FIND(" ",M1425))</f>
        <v>LARCHMONT AVE NE</v>
      </c>
      <c r="P1425" s="0" t="s">
        <v>146</v>
      </c>
      <c r="Q1425" s="0" t="s">
        <v>147</v>
      </c>
      <c r="R1425" s="0" t="n">
        <v>44483</v>
      </c>
      <c r="AD1425" s="0" t="s">
        <v>148</v>
      </c>
      <c r="AE1425" s="0" t="s">
        <v>149</v>
      </c>
      <c r="AF1425" s="0" t="s">
        <v>150</v>
      </c>
      <c r="AH1425" s="0" t="n">
        <v>14</v>
      </c>
      <c r="AI1425" s="0" t="n">
        <v>11</v>
      </c>
      <c r="AN1425" s="0" t="s">
        <v>146</v>
      </c>
      <c r="AO1425" s="0" t="s">
        <v>236</v>
      </c>
      <c r="AP1425" s="0" t="s">
        <v>237</v>
      </c>
      <c r="AQ1425" s="0" t="n">
        <v>9</v>
      </c>
      <c r="AR1425" s="0" t="n">
        <v>64</v>
      </c>
      <c r="AS1425" s="0" t="n">
        <v>32</v>
      </c>
      <c r="AU1425" s="0" t="n">
        <f aca="false">COUNTA($BA$619:$EH$619)</f>
        <v>28</v>
      </c>
      <c r="AV1425" s="0" t="n">
        <f aca="false">COUNTIF($BA$619:$EH$619,"D")</f>
        <v>9</v>
      </c>
      <c r="AW1425" s="0" t="n">
        <f aca="false">COUNTIF($BA$619:$EH$619,"R")</f>
        <v>0</v>
      </c>
      <c r="AX1425" s="0" t="n">
        <f aca="false"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>0</v>
      </c>
      <c r="AY1425" s="0" t="n">
        <f aca="false">COUNTIF(DU1425:EH1425, "&lt;&gt;")</f>
        <v>5</v>
      </c>
      <c r="AZ1425" s="0" t="n">
        <f aca="false">IF(EH1425&lt;&gt;"",1,0)</f>
        <v>0</v>
      </c>
      <c r="BB1425" s="0" t="s">
        <v>153</v>
      </c>
      <c r="BC1425" s="0" t="s">
        <v>154</v>
      </c>
      <c r="BD1425" s="0" t="s">
        <v>154</v>
      </c>
      <c r="BF1425" s="0" t="s">
        <v>154</v>
      </c>
      <c r="BH1425" s="0" t="s">
        <v>154</v>
      </c>
      <c r="BJ1425" s="0" t="s">
        <v>154</v>
      </c>
      <c r="BK1425" s="0" t="s">
        <v>154</v>
      </c>
      <c r="BL1425" s="0" t="s">
        <v>154</v>
      </c>
      <c r="BP1425" s="0" t="s">
        <v>154</v>
      </c>
      <c r="BR1425" s="0" t="s">
        <v>154</v>
      </c>
      <c r="BS1425" s="0" t="s">
        <v>154</v>
      </c>
      <c r="BV1425" s="0" t="s">
        <v>154</v>
      </c>
      <c r="BY1425" s="0" t="s">
        <v>155</v>
      </c>
      <c r="CA1425" s="0" t="s">
        <v>154</v>
      </c>
      <c r="CG1425" s="0" t="s">
        <v>154</v>
      </c>
      <c r="CK1425" s="0" t="s">
        <v>154</v>
      </c>
      <c r="CN1425" s="0" t="s">
        <v>154</v>
      </c>
      <c r="CP1425" s="0" t="s">
        <v>154</v>
      </c>
      <c r="CV1425" s="0" t="s">
        <v>154</v>
      </c>
      <c r="CY1425" s="0" t="s">
        <v>154</v>
      </c>
      <c r="CZ1425" s="0" t="s">
        <v>155</v>
      </c>
      <c r="DC1425" s="0" t="s">
        <v>154</v>
      </c>
      <c r="DF1425" s="0" t="s">
        <v>154</v>
      </c>
      <c r="DI1425" s="0" t="s">
        <v>154</v>
      </c>
      <c r="DL1425" s="0" t="s">
        <v>154</v>
      </c>
      <c r="DM1425" s="0" t="s">
        <v>155</v>
      </c>
      <c r="DN1425" s="0" t="s">
        <v>154</v>
      </c>
      <c r="DU1425" s="0" t="s">
        <v>154</v>
      </c>
      <c r="DX1425" s="0" t="s">
        <v>154</v>
      </c>
      <c r="EA1425" s="0" t="s">
        <v>154</v>
      </c>
      <c r="ED1425" s="0" t="s">
        <v>155</v>
      </c>
      <c r="EF1425" s="0" t="s">
        <v>154</v>
      </c>
    </row>
    <row r="1426" customFormat="false" ht="13.8" hidden="false" customHeight="false" outlineLevel="0" collapsed="false">
      <c r="A1426" s="0" t="s">
        <v>6617</v>
      </c>
      <c r="B1426" s="0" t="n">
        <v>78</v>
      </c>
      <c r="C1426" s="0" t="n">
        <v>285276</v>
      </c>
      <c r="D1426" s="0" t="s">
        <v>6486</v>
      </c>
      <c r="E1426" s="0" t="s">
        <v>6618</v>
      </c>
      <c r="F1426" s="0" t="str">
        <f aca="false">CONCATENATE(D1426," ",LEFT(H1426,4),"T=",AU1426,"D=",AV1426,"R=",AW1426,"M=",AX1426,"L=",AY1426,"B=",AZ1426)</f>
        <v>BAILEY T=12D=0R=0M=0L=5B=0</v>
      </c>
      <c r="G1426" s="0" t="s">
        <v>1482</v>
      </c>
      <c r="I1426" s="0" t="s">
        <v>6619</v>
      </c>
      <c r="J1426" s="0" t="s">
        <v>6620</v>
      </c>
      <c r="K1426" s="0" t="s">
        <v>175</v>
      </c>
      <c r="L1426" s="1" t="s">
        <v>155</v>
      </c>
      <c r="M1426" s="0" t="s">
        <v>6616</v>
      </c>
      <c r="N1426" s="0" t="str">
        <f aca="false">RIGHT(M1426,LEN(M1426)-FIND(" ",M1426))</f>
        <v>LARCHMONT AVE NE</v>
      </c>
      <c r="P1426" s="0" t="s">
        <v>146</v>
      </c>
      <c r="Q1426" s="0" t="s">
        <v>147</v>
      </c>
      <c r="R1426" s="0" t="n">
        <v>44483</v>
      </c>
      <c r="AD1426" s="0" t="s">
        <v>148</v>
      </c>
      <c r="AE1426" s="0" t="s">
        <v>149</v>
      </c>
      <c r="AF1426" s="0" t="s">
        <v>150</v>
      </c>
      <c r="AH1426" s="0" t="n">
        <v>14</v>
      </c>
      <c r="AI1426" s="0" t="n">
        <v>11</v>
      </c>
      <c r="AN1426" s="0" t="s">
        <v>146</v>
      </c>
      <c r="AO1426" s="0" t="s">
        <v>236</v>
      </c>
      <c r="AP1426" s="0" t="s">
        <v>237</v>
      </c>
      <c r="AQ1426" s="0" t="n">
        <v>9</v>
      </c>
      <c r="AR1426" s="0" t="n">
        <v>64</v>
      </c>
      <c r="AS1426" s="0" t="n">
        <v>32</v>
      </c>
      <c r="AU1426" s="0" t="n">
        <f aca="false">COUNTA($BA$843:$EH$843)</f>
        <v>12</v>
      </c>
      <c r="AV1426" s="0" t="n">
        <f aca="false">COUNTIF($BA$843:$EH$843,"D")</f>
        <v>0</v>
      </c>
      <c r="AW1426" s="0" t="n">
        <f aca="false">COUNTIF($BA$843:$EH$843,"R")</f>
        <v>0</v>
      </c>
      <c r="AX1426" s="0" t="n">
        <f aca="false"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>0</v>
      </c>
      <c r="AY1426" s="0" t="n">
        <f aca="false">COUNTIF(DU1426:EH1426, "&lt;&gt;")</f>
        <v>5</v>
      </c>
      <c r="AZ1426" s="0" t="n">
        <f aca="false">IF(EH1426&lt;&gt;"",1,0)</f>
        <v>0</v>
      </c>
      <c r="BB1426" s="0" t="s">
        <v>153</v>
      </c>
      <c r="BP1426" s="0" t="s">
        <v>154</v>
      </c>
      <c r="BR1426" s="0" t="s">
        <v>154</v>
      </c>
      <c r="BS1426" s="0" t="s">
        <v>154</v>
      </c>
      <c r="BV1426" s="0" t="s">
        <v>154</v>
      </c>
      <c r="BY1426" s="0" t="s">
        <v>155</v>
      </c>
      <c r="CA1426" s="0" t="s">
        <v>154</v>
      </c>
      <c r="CG1426" s="0" t="s">
        <v>154</v>
      </c>
      <c r="CK1426" s="0" t="s">
        <v>154</v>
      </c>
      <c r="CN1426" s="0" t="s">
        <v>154</v>
      </c>
      <c r="CP1426" s="0" t="s">
        <v>154</v>
      </c>
      <c r="CV1426" s="0" t="s">
        <v>154</v>
      </c>
      <c r="CY1426" s="0" t="s">
        <v>154</v>
      </c>
      <c r="CZ1426" s="0" t="s">
        <v>155</v>
      </c>
      <c r="DC1426" s="0" t="s">
        <v>154</v>
      </c>
      <c r="DF1426" s="0" t="s">
        <v>154</v>
      </c>
      <c r="DI1426" s="0" t="s">
        <v>154</v>
      </c>
      <c r="DL1426" s="0" t="s">
        <v>154</v>
      </c>
      <c r="DM1426" s="0" t="s">
        <v>155</v>
      </c>
      <c r="DN1426" s="0" t="s">
        <v>154</v>
      </c>
      <c r="DU1426" s="0" t="s">
        <v>154</v>
      </c>
      <c r="DX1426" s="0" t="s">
        <v>154</v>
      </c>
      <c r="EA1426" s="0" t="s">
        <v>154</v>
      </c>
      <c r="ED1426" s="0" t="s">
        <v>155</v>
      </c>
      <c r="EF1426" s="0" t="s">
        <v>154</v>
      </c>
    </row>
    <row r="1427" customFormat="false" ht="13.8" hidden="false" customHeight="false" outlineLevel="0" collapsed="false">
      <c r="A1427" s="0" t="s">
        <v>6621</v>
      </c>
      <c r="B1427" s="0" t="n">
        <v>78</v>
      </c>
      <c r="C1427" s="0" t="n">
        <v>297009</v>
      </c>
      <c r="D1427" s="0" t="s">
        <v>1027</v>
      </c>
      <c r="E1427" s="0" t="s">
        <v>471</v>
      </c>
      <c r="F1427" s="0" t="str">
        <f aca="false">CONCATENATE(D1427," ",LEFT(H1427,4),"T=",AU1427,"D=",AV1427,"R=",AW1427,"M=",AX1427,"L=",AY1427,"B=",AZ1427)</f>
        <v>MARTIN SRT=1D=0R=0M=1L=2B=0</v>
      </c>
      <c r="G1427" s="0" t="s">
        <v>365</v>
      </c>
      <c r="H1427" s="0" t="s">
        <v>311</v>
      </c>
      <c r="I1427" s="0" t="s">
        <v>6622</v>
      </c>
      <c r="J1427" s="0" t="s">
        <v>6623</v>
      </c>
      <c r="K1427" s="0" t="s">
        <v>144</v>
      </c>
      <c r="L1427" s="1" t="s">
        <v>155</v>
      </c>
      <c r="M1427" s="0" t="s">
        <v>6624</v>
      </c>
      <c r="N1427" s="0" t="str">
        <f aca="false">RIGHT(M1427,LEN(M1427)-FIND(" ",M1427))</f>
        <v>LARCHMONT AVE NE</v>
      </c>
      <c r="P1427" s="0" t="s">
        <v>146</v>
      </c>
      <c r="Q1427" s="0" t="s">
        <v>147</v>
      </c>
      <c r="R1427" s="0" t="n">
        <v>44483</v>
      </c>
      <c r="AD1427" s="0" t="s">
        <v>148</v>
      </c>
      <c r="AE1427" s="0" t="s">
        <v>149</v>
      </c>
      <c r="AF1427" s="0" t="s">
        <v>150</v>
      </c>
      <c r="AH1427" s="0" t="n">
        <v>14</v>
      </c>
      <c r="AI1427" s="0" t="n">
        <v>11</v>
      </c>
      <c r="AN1427" s="0" t="s">
        <v>146</v>
      </c>
      <c r="AO1427" s="0" t="s">
        <v>236</v>
      </c>
      <c r="AP1427" s="0" t="s">
        <v>237</v>
      </c>
      <c r="AQ1427" s="0" t="n">
        <v>9</v>
      </c>
      <c r="AR1427" s="0" t="n">
        <v>64</v>
      </c>
      <c r="AS1427" s="0" t="n">
        <v>32</v>
      </c>
      <c r="AU1427" s="0" t="n">
        <f aca="false">COUNTA($BA$21:$EH$21)</f>
        <v>1</v>
      </c>
      <c r="AV1427" s="0" t="n">
        <f aca="false">COUNTIF($BA$21:$EH$21,"D")</f>
        <v>0</v>
      </c>
      <c r="AW1427" s="0" t="n">
        <f aca="false">COUNTIF($BA$21:$EH$21,"R")</f>
        <v>0</v>
      </c>
      <c r="AX1427" s="0" t="n">
        <f aca="false"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>1</v>
      </c>
      <c r="AY1427" s="0" t="n">
        <f aca="false">COUNTIF(DU1427:EH1427, "&lt;&gt;")</f>
        <v>2</v>
      </c>
      <c r="AZ1427" s="0" t="n">
        <f aca="false">IF(EH1427&lt;&gt;"",1,0)</f>
        <v>0</v>
      </c>
      <c r="BB1427" s="0" t="s">
        <v>153</v>
      </c>
      <c r="BD1427" s="0" t="s">
        <v>154</v>
      </c>
      <c r="BF1427" s="0" t="s">
        <v>154</v>
      </c>
      <c r="CN1427" s="0" t="s">
        <v>154</v>
      </c>
      <c r="CP1427" s="0" t="s">
        <v>154</v>
      </c>
      <c r="CY1427" s="0" t="s">
        <v>154</v>
      </c>
      <c r="CZ1427" s="0" t="s">
        <v>155</v>
      </c>
      <c r="DC1427" s="0" t="s">
        <v>154</v>
      </c>
      <c r="DI1427" s="0" t="s">
        <v>154</v>
      </c>
      <c r="DN1427" s="0" t="s">
        <v>154</v>
      </c>
      <c r="DR1427" s="0" t="s">
        <v>154</v>
      </c>
      <c r="DU1427" s="0" t="s">
        <v>154</v>
      </c>
      <c r="DW1427" s="0" t="s">
        <v>155</v>
      </c>
    </row>
    <row r="1428" customFormat="false" ht="13.8" hidden="true" customHeight="false" outlineLevel="0" collapsed="false">
      <c r="A1428" s="0" t="s">
        <v>6625</v>
      </c>
      <c r="B1428" s="0" t="n">
        <v>78</v>
      </c>
      <c r="C1428" s="0" t="n">
        <v>496319</v>
      </c>
      <c r="D1428" s="0" t="s">
        <v>6626</v>
      </c>
      <c r="E1428" s="0" t="s">
        <v>266</v>
      </c>
      <c r="F1428" s="0" t="str">
        <f aca="false">CONCATENATE(D1428," ",LEFT(H1428,4),"T=",AU1428,"D=",AV1428,"R=",AW1428,"M=",AX1428,"L=",AY1428,"B=",AZ1428)</f>
        <v>RUE T=1D=0R=0M=0L=0B=0</v>
      </c>
      <c r="G1428" s="0" t="s">
        <v>188</v>
      </c>
      <c r="I1428" s="0" t="s">
        <v>6627</v>
      </c>
      <c r="J1428" s="0" t="s">
        <v>6628</v>
      </c>
      <c r="K1428" s="0" t="s">
        <v>175</v>
      </c>
      <c r="L1428" s="0"/>
      <c r="M1428" s="0" t="s">
        <v>6624</v>
      </c>
      <c r="N1428" s="0" t="str">
        <f aca="false">RIGHT(M1428,LEN(M1428)-FIND(" ",M1428))</f>
        <v>LARCHMONT AVE NE</v>
      </c>
      <c r="P1428" s="0" t="s">
        <v>146</v>
      </c>
      <c r="Q1428" s="0" t="s">
        <v>147</v>
      </c>
      <c r="R1428" s="0" t="n">
        <v>44483</v>
      </c>
      <c r="AD1428" s="0" t="s">
        <v>148</v>
      </c>
      <c r="AE1428" s="0" t="s">
        <v>149</v>
      </c>
      <c r="AF1428" s="0" t="s">
        <v>150</v>
      </c>
      <c r="AH1428" s="0" t="n">
        <v>14</v>
      </c>
      <c r="AI1428" s="0" t="n">
        <v>11</v>
      </c>
      <c r="AN1428" s="0" t="s">
        <v>146</v>
      </c>
      <c r="AO1428" s="0" t="s">
        <v>236</v>
      </c>
      <c r="AP1428" s="0" t="s">
        <v>237</v>
      </c>
      <c r="AQ1428" s="0" t="n">
        <v>9</v>
      </c>
      <c r="AR1428" s="0" t="n">
        <v>64</v>
      </c>
      <c r="AS1428" s="0" t="n">
        <v>32</v>
      </c>
      <c r="AU1428" s="0" t="n">
        <f aca="false">COUNTA($BA$192:$EH$192)</f>
        <v>1</v>
      </c>
      <c r="AV1428" s="0" t="n">
        <f aca="false">COUNTIF($BA$192:$EH$192,"D")</f>
        <v>0</v>
      </c>
      <c r="AW1428" s="0" t="n">
        <f aca="false">COUNTIF($BA$192:$EH$192,"R")</f>
        <v>0</v>
      </c>
      <c r="AX1428" s="0" t="n">
        <f aca="false"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>0</v>
      </c>
      <c r="AY1428" s="0" t="n">
        <f aca="false">COUNTIF(DU1428:EH1428, "&lt;&gt;")</f>
        <v>0</v>
      </c>
      <c r="AZ1428" s="0" t="n">
        <f aca="false">IF(EH1428&lt;&gt;"",1,0)</f>
        <v>0</v>
      </c>
      <c r="BB1428" s="0" t="s">
        <v>153</v>
      </c>
    </row>
    <row r="1429" customFormat="false" ht="13.8" hidden="true" customHeight="false" outlineLevel="0" collapsed="false">
      <c r="A1429" s="0" t="s">
        <v>6629</v>
      </c>
      <c r="B1429" s="0" t="n">
        <v>78</v>
      </c>
      <c r="C1429" s="0" t="n">
        <v>465712</v>
      </c>
      <c r="D1429" s="0" t="s">
        <v>6630</v>
      </c>
      <c r="E1429" s="0" t="s">
        <v>430</v>
      </c>
      <c r="F1429" s="0" t="str">
        <f aca="false">CONCATENATE(D1429," ",LEFT(H1429,4),"T=",AU1429,"D=",AV1429,"R=",AW1429,"M=",AX1429,"L=",AY1429,"B=",AZ1429)</f>
        <v>NORWOOD T=1D=0R=0M=0L=0B=0</v>
      </c>
      <c r="I1429" s="0" t="s">
        <v>6631</v>
      </c>
      <c r="J1429" s="0" t="s">
        <v>6632</v>
      </c>
      <c r="K1429" s="0" t="s">
        <v>175</v>
      </c>
      <c r="L1429" s="0"/>
      <c r="M1429" s="0" t="s">
        <v>6624</v>
      </c>
      <c r="N1429" s="0" t="str">
        <f aca="false">RIGHT(M1429,LEN(M1429)-FIND(" ",M1429))</f>
        <v>LARCHMONT AVE NE</v>
      </c>
      <c r="P1429" s="0" t="s">
        <v>146</v>
      </c>
      <c r="Q1429" s="0" t="s">
        <v>147</v>
      </c>
      <c r="R1429" s="0" t="n">
        <v>44483</v>
      </c>
      <c r="AD1429" s="0" t="s">
        <v>148</v>
      </c>
      <c r="AE1429" s="0" t="s">
        <v>149</v>
      </c>
      <c r="AF1429" s="0" t="s">
        <v>150</v>
      </c>
      <c r="AH1429" s="0" t="n">
        <v>14</v>
      </c>
      <c r="AI1429" s="0" t="n">
        <v>11</v>
      </c>
      <c r="AN1429" s="0" t="s">
        <v>146</v>
      </c>
      <c r="AO1429" s="0" t="s">
        <v>236</v>
      </c>
      <c r="AP1429" s="0" t="s">
        <v>237</v>
      </c>
      <c r="AQ1429" s="0" t="n">
        <v>9</v>
      </c>
      <c r="AR1429" s="0" t="n">
        <v>64</v>
      </c>
      <c r="AS1429" s="0" t="n">
        <v>32</v>
      </c>
      <c r="AU1429" s="0" t="n">
        <f aca="false">COUNTA($BA$890:$EH$890)</f>
        <v>1</v>
      </c>
      <c r="AV1429" s="0" t="n">
        <f aca="false">COUNTIF($BA$890:$EH$890,"D")</f>
        <v>0</v>
      </c>
      <c r="AW1429" s="0" t="n">
        <f aca="false">COUNTIF($BA$890:$EH$890,"R")</f>
        <v>0</v>
      </c>
      <c r="AX1429" s="0" t="n">
        <f aca="false"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>0</v>
      </c>
      <c r="AY1429" s="0" t="n">
        <f aca="false">COUNTIF(DU1429:EH1429, "&lt;&gt;")</f>
        <v>0</v>
      </c>
      <c r="AZ1429" s="0" t="n">
        <f aca="false">IF(EH1429&lt;&gt;"",1,0)</f>
        <v>0</v>
      </c>
      <c r="BB1429" s="0" t="s">
        <v>153</v>
      </c>
    </row>
    <row r="1430" customFormat="false" ht="13.8" hidden="false" customHeight="false" outlineLevel="0" collapsed="false">
      <c r="A1430" s="0" t="s">
        <v>6633</v>
      </c>
      <c r="B1430" s="0" t="n">
        <v>78</v>
      </c>
      <c r="C1430" s="0" t="n">
        <v>4045</v>
      </c>
      <c r="D1430" s="0" t="s">
        <v>6634</v>
      </c>
      <c r="E1430" s="0" t="s">
        <v>1948</v>
      </c>
      <c r="F1430" s="0" t="str">
        <f aca="false">CONCATENATE(D1430," ",LEFT(H1430,4),"T=",AU1430,"D=",AV1430,"R=",AW1430,"M=",AX1430,"L=",AY1430,"B=",AZ1430)</f>
        <v>HARCARIK SRT=4D=0R=1M=0L=2B=0</v>
      </c>
      <c r="G1430" s="0" t="s">
        <v>202</v>
      </c>
      <c r="H1430" s="0" t="s">
        <v>311</v>
      </c>
      <c r="I1430" s="0" t="s">
        <v>6635</v>
      </c>
      <c r="J1430" s="0" t="s">
        <v>6636</v>
      </c>
      <c r="K1430" s="0" t="s">
        <v>175</v>
      </c>
      <c r="M1430" s="0" t="s">
        <v>6637</v>
      </c>
      <c r="N1430" s="0" t="str">
        <f aca="false">RIGHT(M1430,LEN(M1430)-FIND(" ",M1430))</f>
        <v>LARCHMONT AVE NE</v>
      </c>
      <c r="P1430" s="0" t="s">
        <v>146</v>
      </c>
      <c r="Q1430" s="0" t="s">
        <v>147</v>
      </c>
      <c r="R1430" s="0" t="n">
        <v>44483</v>
      </c>
      <c r="AD1430" s="0" t="s">
        <v>148</v>
      </c>
      <c r="AE1430" s="0" t="s">
        <v>149</v>
      </c>
      <c r="AF1430" s="0" t="s">
        <v>150</v>
      </c>
      <c r="AH1430" s="0" t="n">
        <v>14</v>
      </c>
      <c r="AI1430" s="0" t="n">
        <v>11</v>
      </c>
      <c r="AN1430" s="0" t="s">
        <v>146</v>
      </c>
      <c r="AO1430" s="0" t="s">
        <v>236</v>
      </c>
      <c r="AP1430" s="0" t="s">
        <v>237</v>
      </c>
      <c r="AQ1430" s="0" t="n">
        <v>9</v>
      </c>
      <c r="AR1430" s="0" t="n">
        <v>64</v>
      </c>
      <c r="AS1430" s="0" t="n">
        <v>32</v>
      </c>
      <c r="AU1430" s="0" t="n">
        <f aca="false">COUNTA($BA$805:$EH$805)</f>
        <v>4</v>
      </c>
      <c r="AV1430" s="0" t="n">
        <f aca="false">COUNTIF($BA$805:$EH$805,"D")</f>
        <v>0</v>
      </c>
      <c r="AW1430" s="0" t="n">
        <f aca="false">COUNTIF($BA$805:$EH$805,"R")</f>
        <v>1</v>
      </c>
      <c r="AX1430" s="0" t="n">
        <f aca="false"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>0</v>
      </c>
      <c r="AY1430" s="0" t="n">
        <f aca="false">COUNTIF(DU1430:EH1430, "&lt;&gt;")</f>
        <v>2</v>
      </c>
      <c r="AZ1430" s="0" t="n">
        <f aca="false">IF(EH1430&lt;&gt;"",1,0)</f>
        <v>0</v>
      </c>
      <c r="BB1430" s="0" t="s">
        <v>153</v>
      </c>
      <c r="BC1430" s="0" t="s">
        <v>154</v>
      </c>
      <c r="BD1430" s="0" t="s">
        <v>154</v>
      </c>
      <c r="BG1430" s="0" t="s">
        <v>154</v>
      </c>
      <c r="BH1430" s="0" t="s">
        <v>154</v>
      </c>
      <c r="BJ1430" s="0" t="s">
        <v>154</v>
      </c>
      <c r="BL1430" s="0" t="s">
        <v>154</v>
      </c>
      <c r="BP1430" s="0" t="s">
        <v>154</v>
      </c>
      <c r="BS1430" s="0" t="s">
        <v>154</v>
      </c>
      <c r="BV1430" s="0" t="s">
        <v>154</v>
      </c>
      <c r="CA1430" s="0" t="s">
        <v>154</v>
      </c>
      <c r="CK1430" s="0" t="s">
        <v>154</v>
      </c>
      <c r="CN1430" s="0" t="s">
        <v>154</v>
      </c>
      <c r="CP1430" s="0" t="s">
        <v>154</v>
      </c>
      <c r="CV1430" s="0" t="s">
        <v>154</v>
      </c>
      <c r="CZ1430" s="0" t="s">
        <v>176</v>
      </c>
      <c r="DC1430" s="0" t="s">
        <v>154</v>
      </c>
      <c r="DN1430" s="0" t="s">
        <v>154</v>
      </c>
      <c r="DU1430" s="0" t="s">
        <v>154</v>
      </c>
      <c r="EF1430" s="0" t="s">
        <v>154</v>
      </c>
    </row>
    <row r="1431" customFormat="false" ht="13.8" hidden="true" customHeight="false" outlineLevel="0" collapsed="false">
      <c r="A1431" s="0" t="s">
        <v>6638</v>
      </c>
      <c r="B1431" s="0" t="n">
        <v>78</v>
      </c>
      <c r="C1431" s="0" t="n">
        <v>322061</v>
      </c>
      <c r="D1431" s="0" t="s">
        <v>1027</v>
      </c>
      <c r="E1431" s="0" t="s">
        <v>1481</v>
      </c>
      <c r="F1431" s="0" t="str">
        <f aca="false">CONCATENATE(D1431," ",LEFT(H1431,4),"T=",AU1431,"D=",AV1431,"R=",AW1431,"M=",AX1431,"L=",AY1431,"B=",AZ1431)</f>
        <v>MARTIN T=14D=1R=0M=0L=0B=0</v>
      </c>
      <c r="G1431" s="0" t="s">
        <v>181</v>
      </c>
      <c r="I1431" s="0" t="s">
        <v>6639</v>
      </c>
      <c r="J1431" s="0" t="s">
        <v>757</v>
      </c>
      <c r="K1431" s="0" t="s">
        <v>175</v>
      </c>
      <c r="L1431" s="0"/>
      <c r="M1431" s="0" t="s">
        <v>6640</v>
      </c>
      <c r="N1431" s="0" t="str">
        <f aca="false">RIGHT(M1431,LEN(M1431)-FIND(" ",M1431))</f>
        <v>LARCHMONT AVE NE</v>
      </c>
      <c r="P1431" s="0" t="s">
        <v>146</v>
      </c>
      <c r="Q1431" s="0" t="s">
        <v>147</v>
      </c>
      <c r="R1431" s="0" t="n">
        <v>44483</v>
      </c>
      <c r="AD1431" s="0" t="s">
        <v>148</v>
      </c>
      <c r="AE1431" s="0" t="s">
        <v>149</v>
      </c>
      <c r="AF1431" s="0" t="s">
        <v>150</v>
      </c>
      <c r="AH1431" s="0" t="n">
        <v>14</v>
      </c>
      <c r="AI1431" s="0" t="n">
        <v>11</v>
      </c>
      <c r="AN1431" s="0" t="s">
        <v>146</v>
      </c>
      <c r="AO1431" s="0" t="s">
        <v>236</v>
      </c>
      <c r="AP1431" s="0" t="s">
        <v>237</v>
      </c>
      <c r="AQ1431" s="0" t="n">
        <v>9</v>
      </c>
      <c r="AR1431" s="0" t="n">
        <v>64</v>
      </c>
      <c r="AS1431" s="0" t="n">
        <v>32</v>
      </c>
      <c r="AU1431" s="0" t="n">
        <f aca="false">COUNTA($BA$53:$EH$53)</f>
        <v>14</v>
      </c>
      <c r="AV1431" s="0" t="n">
        <f aca="false">COUNTIF($BA$53:$EH$53,"D")</f>
        <v>1</v>
      </c>
      <c r="AW1431" s="0" t="n">
        <f aca="false">COUNTIF($BA$53:$EH$53,"R")</f>
        <v>0</v>
      </c>
      <c r="AX1431" s="0" t="n">
        <f aca="false"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>0</v>
      </c>
      <c r="AY1431" s="0" t="n">
        <f aca="false">COUNTIF(DU1431:EH1431, "&lt;&gt;")</f>
        <v>0</v>
      </c>
      <c r="AZ1431" s="0" t="n">
        <f aca="false">IF(EH1431&lt;&gt;"",1,0)</f>
        <v>0</v>
      </c>
      <c r="BB1431" s="0" t="s">
        <v>153</v>
      </c>
      <c r="BL1431" s="0" t="s">
        <v>154</v>
      </c>
      <c r="BS1431" s="0" t="s">
        <v>154</v>
      </c>
      <c r="BY1431" s="0" t="s">
        <v>155</v>
      </c>
      <c r="CP1431" s="0" t="s">
        <v>154</v>
      </c>
      <c r="DC1431" s="0" t="s">
        <v>154</v>
      </c>
    </row>
    <row r="1432" customFormat="false" ht="13.8" hidden="true" customHeight="false" outlineLevel="0" collapsed="false">
      <c r="A1432" s="0" t="s">
        <v>6641</v>
      </c>
      <c r="B1432" s="0" t="n">
        <v>78</v>
      </c>
      <c r="C1432" s="0" t="n">
        <v>322440</v>
      </c>
      <c r="D1432" s="0" t="s">
        <v>1027</v>
      </c>
      <c r="E1432" s="0" t="s">
        <v>2236</v>
      </c>
      <c r="F1432" s="0" t="str">
        <f aca="false">CONCATENATE(D1432," ",LEFT(H1432,4),"T=",AU1432,"D=",AV1432,"R=",AW1432,"M=",AX1432,"L=",AY1432,"B=",AZ1432)</f>
        <v>MARTIN T=1D=0R=0M=0L=0B=0</v>
      </c>
      <c r="G1432" s="0" t="s">
        <v>514</v>
      </c>
      <c r="I1432" s="0" t="s">
        <v>6642</v>
      </c>
      <c r="J1432" s="0" t="s">
        <v>2380</v>
      </c>
      <c r="K1432" s="0" t="s">
        <v>144</v>
      </c>
      <c r="L1432" s="0"/>
      <c r="M1432" s="0" t="s">
        <v>6640</v>
      </c>
      <c r="N1432" s="0" t="str">
        <f aca="false">RIGHT(M1432,LEN(M1432)-FIND(" ",M1432))</f>
        <v>LARCHMONT AVE NE</v>
      </c>
      <c r="P1432" s="0" t="s">
        <v>146</v>
      </c>
      <c r="Q1432" s="0" t="s">
        <v>147</v>
      </c>
      <c r="R1432" s="0" t="n">
        <v>44483</v>
      </c>
      <c r="AD1432" s="0" t="s">
        <v>148</v>
      </c>
      <c r="AE1432" s="0" t="s">
        <v>149</v>
      </c>
      <c r="AF1432" s="0" t="s">
        <v>150</v>
      </c>
      <c r="AH1432" s="0" t="n">
        <v>14</v>
      </c>
      <c r="AI1432" s="0" t="n">
        <v>11</v>
      </c>
      <c r="AN1432" s="0" t="s">
        <v>146</v>
      </c>
      <c r="AO1432" s="0" t="s">
        <v>236</v>
      </c>
      <c r="AP1432" s="0" t="s">
        <v>237</v>
      </c>
      <c r="AQ1432" s="0" t="n">
        <v>9</v>
      </c>
      <c r="AR1432" s="0" t="n">
        <v>64</v>
      </c>
      <c r="AS1432" s="0" t="n">
        <v>32</v>
      </c>
      <c r="AU1432" s="0" t="n">
        <f aca="false">COUNTA($BA$160:$EH$160)</f>
        <v>1</v>
      </c>
      <c r="AV1432" s="0" t="n">
        <f aca="false">COUNTIF($BA$160:$EH$160,"D")</f>
        <v>0</v>
      </c>
      <c r="AW1432" s="0" t="n">
        <f aca="false">COUNTIF($BA$160:$EH$160,"R")</f>
        <v>0</v>
      </c>
      <c r="AX1432" s="0" t="n">
        <f aca="false"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>0</v>
      </c>
      <c r="AY1432" s="0" t="n">
        <f aca="false">COUNTIF(DU1432:EH1432, "&lt;&gt;")</f>
        <v>0</v>
      </c>
      <c r="AZ1432" s="0" t="n">
        <f aca="false">IF(EH1432&lt;&gt;"",1,0)</f>
        <v>0</v>
      </c>
      <c r="BB1432" s="0" t="s">
        <v>153</v>
      </c>
      <c r="BL1432" s="0" t="s">
        <v>154</v>
      </c>
      <c r="BS1432" s="0" t="s">
        <v>154</v>
      </c>
      <c r="BY1432" s="0" t="s">
        <v>155</v>
      </c>
      <c r="CA1432" s="0" t="s">
        <v>154</v>
      </c>
      <c r="CP1432" s="0" t="s">
        <v>154</v>
      </c>
      <c r="DC1432" s="0" t="s">
        <v>154</v>
      </c>
    </row>
    <row r="1433" customFormat="false" ht="13.8" hidden="true" customHeight="false" outlineLevel="0" collapsed="false">
      <c r="A1433" s="0" t="s">
        <v>6643</v>
      </c>
      <c r="B1433" s="0" t="n">
        <v>78</v>
      </c>
      <c r="C1433" s="0" t="n">
        <v>417927</v>
      </c>
      <c r="D1433" s="0" t="s">
        <v>6644</v>
      </c>
      <c r="E1433" s="0" t="s">
        <v>6645</v>
      </c>
      <c r="F1433" s="0" t="str">
        <f aca="false">CONCATENATE(D1433," ",LEFT(H1433,4),"T=",AU1433,"D=",AV1433,"R=",AW1433,"M=",AX1433,"L=",AY1433,"B=",AZ1433)</f>
        <v>KREPPS T=19D=3R=0M=0L=0B=0</v>
      </c>
      <c r="G1433" s="0" t="s">
        <v>159</v>
      </c>
      <c r="I1433" s="0" t="s">
        <v>6646</v>
      </c>
      <c r="J1433" s="0" t="s">
        <v>6647</v>
      </c>
      <c r="K1433" s="0" t="s">
        <v>175</v>
      </c>
      <c r="L1433" s="0"/>
      <c r="M1433" s="0" t="s">
        <v>6640</v>
      </c>
      <c r="N1433" s="0" t="str">
        <f aca="false">RIGHT(M1433,LEN(M1433)-FIND(" ",M1433))</f>
        <v>LARCHMONT AVE NE</v>
      </c>
      <c r="P1433" s="0" t="s">
        <v>146</v>
      </c>
      <c r="Q1433" s="0" t="s">
        <v>147</v>
      </c>
      <c r="R1433" s="0" t="n">
        <v>44483</v>
      </c>
      <c r="AD1433" s="0" t="s">
        <v>148</v>
      </c>
      <c r="AE1433" s="0" t="s">
        <v>149</v>
      </c>
      <c r="AF1433" s="0" t="s">
        <v>150</v>
      </c>
      <c r="AH1433" s="0" t="n">
        <v>14</v>
      </c>
      <c r="AI1433" s="0" t="n">
        <v>11</v>
      </c>
      <c r="AN1433" s="0" t="s">
        <v>146</v>
      </c>
      <c r="AO1433" s="0" t="s">
        <v>236</v>
      </c>
      <c r="AP1433" s="0" t="s">
        <v>237</v>
      </c>
      <c r="AQ1433" s="0" t="n">
        <v>9</v>
      </c>
      <c r="AR1433" s="0" t="n">
        <v>64</v>
      </c>
      <c r="AS1433" s="0" t="n">
        <v>32</v>
      </c>
      <c r="AU1433" s="0" t="n">
        <f aca="false">COUNTA($BA$996:$EH$996)</f>
        <v>19</v>
      </c>
      <c r="AV1433" s="0" t="n">
        <f aca="false">COUNTIF($BA$996:$EH$996,"D")</f>
        <v>3</v>
      </c>
      <c r="AW1433" s="0" t="n">
        <f aca="false">COUNTIF($BA$996:$EH$996,"R")</f>
        <v>0</v>
      </c>
      <c r="AX1433" s="0" t="n">
        <f aca="false"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>0</v>
      </c>
      <c r="AY1433" s="0" t="n">
        <f aca="false">COUNTIF(DU1433:EH1433, "&lt;&gt;")</f>
        <v>0</v>
      </c>
      <c r="AZ1433" s="0" t="n">
        <f aca="false">IF(EH1433&lt;&gt;"",1,0)</f>
        <v>0</v>
      </c>
      <c r="BB1433" s="0" t="s">
        <v>153</v>
      </c>
    </row>
    <row r="1434" customFormat="false" ht="13.8" hidden="true" customHeight="false" outlineLevel="0" collapsed="false">
      <c r="A1434" s="0" t="s">
        <v>6648</v>
      </c>
      <c r="B1434" s="0" t="n">
        <v>78</v>
      </c>
      <c r="C1434" s="0" t="n">
        <v>378121</v>
      </c>
      <c r="D1434" s="0" t="s">
        <v>2841</v>
      </c>
      <c r="E1434" s="0" t="s">
        <v>5328</v>
      </c>
      <c r="F1434" s="0" t="str">
        <f aca="false">CONCATENATE(D1434," ",LEFT(H1434,4),"T=",AU1434,"D=",AV1434,"R=",AW1434,"M=",AX1434,"L=",AY1434,"B=",AZ1434)</f>
        <v>NEWSOME T=1D=0R=0M=0L=1B=0</v>
      </c>
      <c r="G1434" s="0" t="s">
        <v>176</v>
      </c>
      <c r="I1434" s="0" t="s">
        <v>6649</v>
      </c>
      <c r="J1434" s="0" t="s">
        <v>6650</v>
      </c>
      <c r="K1434" s="0" t="s">
        <v>175</v>
      </c>
      <c r="L1434" s="0"/>
      <c r="M1434" s="0" t="s">
        <v>6651</v>
      </c>
      <c r="N1434" s="0" t="str">
        <f aca="false">RIGHT(M1434,LEN(M1434)-FIND(" ",M1434))</f>
        <v>LARCHMONT AVE NE</v>
      </c>
      <c r="P1434" s="0" t="s">
        <v>146</v>
      </c>
      <c r="Q1434" s="0" t="s">
        <v>147</v>
      </c>
      <c r="R1434" s="0" t="n">
        <v>44483</v>
      </c>
      <c r="AD1434" s="0" t="s">
        <v>148</v>
      </c>
      <c r="AE1434" s="0" t="s">
        <v>149</v>
      </c>
      <c r="AF1434" s="0" t="s">
        <v>150</v>
      </c>
      <c r="AH1434" s="0" t="n">
        <v>14</v>
      </c>
      <c r="AI1434" s="0" t="n">
        <v>11</v>
      </c>
      <c r="AN1434" s="0" t="s">
        <v>146</v>
      </c>
      <c r="AO1434" s="0" t="s">
        <v>236</v>
      </c>
      <c r="AP1434" s="0" t="s">
        <v>237</v>
      </c>
      <c r="AQ1434" s="0" t="n">
        <v>9</v>
      </c>
      <c r="AR1434" s="0" t="n">
        <v>64</v>
      </c>
      <c r="AS1434" s="0" t="n">
        <v>32</v>
      </c>
      <c r="AU1434" s="0" t="n">
        <f aca="false">COUNTA($BA$814:$EH$814)</f>
        <v>1</v>
      </c>
      <c r="AV1434" s="0" t="n">
        <f aca="false">COUNTIF($BA$814:$EH$814,"D")</f>
        <v>0</v>
      </c>
      <c r="AW1434" s="0" t="n">
        <f aca="false">COUNTIF($BA$814:$EH$814,"R")</f>
        <v>0</v>
      </c>
      <c r="AX1434" s="0" t="n">
        <f aca="false"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>0</v>
      </c>
      <c r="AY1434" s="0" t="n">
        <f aca="false">COUNTIF(DU1434:EH1434, "&lt;&gt;")</f>
        <v>1</v>
      </c>
      <c r="AZ1434" s="0" t="n">
        <f aca="false">IF(EH1434&lt;&gt;"",1,0)</f>
        <v>0</v>
      </c>
      <c r="BB1434" s="0" t="s">
        <v>153</v>
      </c>
      <c r="DC1434" s="0" t="s">
        <v>154</v>
      </c>
      <c r="DN1434" s="0" t="s">
        <v>154</v>
      </c>
      <c r="EF1434" s="0" t="s">
        <v>154</v>
      </c>
    </row>
    <row r="1435" customFormat="false" ht="13.8" hidden="false" customHeight="false" outlineLevel="0" collapsed="false">
      <c r="A1435" s="0" t="s">
        <v>6652</v>
      </c>
      <c r="B1435" s="0" t="n">
        <v>78</v>
      </c>
      <c r="C1435" s="0" t="n">
        <v>359551</v>
      </c>
      <c r="D1435" s="0" t="s">
        <v>4183</v>
      </c>
      <c r="E1435" s="0" t="s">
        <v>405</v>
      </c>
      <c r="F1435" s="0" t="str">
        <f aca="false">CONCATENATE(D1435," ",LEFT(H1435,4),"T=",AU1435,"D=",AV1435,"R=",AW1435,"M=",AX1435,"L=",AY1435,"B=",AZ1435)</f>
        <v>GREGORY T=1D=0R=0M=2L=7B=1</v>
      </c>
      <c r="G1435" s="0" t="s">
        <v>3139</v>
      </c>
      <c r="I1435" s="0" t="s">
        <v>6653</v>
      </c>
      <c r="J1435" s="0" t="s">
        <v>685</v>
      </c>
      <c r="K1435" s="0" t="s">
        <v>175</v>
      </c>
      <c r="L1435" s="1" t="s">
        <v>155</v>
      </c>
      <c r="M1435" s="0" t="s">
        <v>6654</v>
      </c>
      <c r="N1435" s="0" t="str">
        <f aca="false">RIGHT(M1435,LEN(M1435)-FIND(" ",M1435))</f>
        <v>LARCHMONT AVE NE</v>
      </c>
      <c r="P1435" s="0" t="s">
        <v>146</v>
      </c>
      <c r="Q1435" s="0" t="s">
        <v>147</v>
      </c>
      <c r="R1435" s="0" t="n">
        <v>44483</v>
      </c>
      <c r="AD1435" s="0" t="s">
        <v>148</v>
      </c>
      <c r="AE1435" s="0" t="s">
        <v>149</v>
      </c>
      <c r="AF1435" s="0" t="s">
        <v>150</v>
      </c>
      <c r="AH1435" s="0" t="n">
        <v>14</v>
      </c>
      <c r="AI1435" s="0" t="n">
        <v>11</v>
      </c>
      <c r="AN1435" s="0" t="s">
        <v>146</v>
      </c>
      <c r="AO1435" s="0" t="s">
        <v>236</v>
      </c>
      <c r="AP1435" s="0" t="s">
        <v>237</v>
      </c>
      <c r="AQ1435" s="0" t="n">
        <v>9</v>
      </c>
      <c r="AR1435" s="0" t="n">
        <v>64</v>
      </c>
      <c r="AS1435" s="0" t="n">
        <v>32</v>
      </c>
      <c r="AU1435" s="0" t="n">
        <f aca="false">COUNTA($BA$72:$EH$72)</f>
        <v>1</v>
      </c>
      <c r="AV1435" s="0" t="n">
        <f aca="false">COUNTIF($BA$72:$EH$72,"D")</f>
        <v>0</v>
      </c>
      <c r="AW1435" s="0" t="n">
        <f aca="false">COUNTIF($BA$72:$EH$72,"R")</f>
        <v>0</v>
      </c>
      <c r="AX1435" s="0" t="n">
        <f aca="false"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>2</v>
      </c>
      <c r="AY1435" s="0" t="n">
        <f aca="false">COUNTIF(DU1435:EH1435, "&lt;&gt;")</f>
        <v>7</v>
      </c>
      <c r="AZ1435" s="0" t="n">
        <f aca="false">IF(EH1435&lt;&gt;"",1,0)</f>
        <v>1</v>
      </c>
      <c r="BB1435" s="0" t="s">
        <v>153</v>
      </c>
      <c r="CP1435" s="0" t="s">
        <v>154</v>
      </c>
      <c r="CY1435" s="0" t="s">
        <v>154</v>
      </c>
      <c r="DC1435" s="0" t="s">
        <v>154</v>
      </c>
      <c r="DG1435" s="0" t="s">
        <v>155</v>
      </c>
      <c r="DI1435" s="0" t="s">
        <v>154</v>
      </c>
      <c r="DN1435" s="0" t="s">
        <v>154</v>
      </c>
      <c r="DU1435" s="0" t="s">
        <v>154</v>
      </c>
      <c r="DW1435" s="0" t="s">
        <v>155</v>
      </c>
      <c r="DX1435" s="0" t="s">
        <v>154</v>
      </c>
      <c r="EA1435" s="0" t="s">
        <v>154</v>
      </c>
      <c r="ED1435" s="0" t="s">
        <v>155</v>
      </c>
      <c r="EF1435" s="0" t="s">
        <v>154</v>
      </c>
      <c r="EH1435" s="0" t="s">
        <v>155</v>
      </c>
    </row>
    <row r="1436" customFormat="false" ht="13.8" hidden="false" customHeight="false" outlineLevel="0" collapsed="false">
      <c r="A1436" s="0" t="s">
        <v>6655</v>
      </c>
      <c r="B1436" s="0" t="n">
        <v>78</v>
      </c>
      <c r="C1436" s="0" t="n">
        <v>307757</v>
      </c>
      <c r="D1436" s="0" t="s">
        <v>4183</v>
      </c>
      <c r="E1436" s="0" t="s">
        <v>6656</v>
      </c>
      <c r="F1436" s="0" t="str">
        <f aca="false">CONCATENATE(D1436," ",LEFT(H1436,4),"T=",AU1436,"D=",AV1436,"R=",AW1436,"M=",AX1436,"L=",AY1436,"B=",AZ1436)</f>
        <v>GREGORY T=2D=0R=0M=2L=7B=1</v>
      </c>
      <c r="G1436" s="0" t="s">
        <v>6657</v>
      </c>
      <c r="I1436" s="0" t="s">
        <v>6658</v>
      </c>
      <c r="J1436" s="0" t="s">
        <v>685</v>
      </c>
      <c r="K1436" s="0" t="s">
        <v>175</v>
      </c>
      <c r="L1436" s="1" t="s">
        <v>155</v>
      </c>
      <c r="M1436" s="0" t="s">
        <v>6654</v>
      </c>
      <c r="N1436" s="0" t="str">
        <f aca="false">RIGHT(M1436,LEN(M1436)-FIND(" ",M1436))</f>
        <v>LARCHMONT AVE NE</v>
      </c>
      <c r="P1436" s="0" t="s">
        <v>146</v>
      </c>
      <c r="Q1436" s="0" t="s">
        <v>147</v>
      </c>
      <c r="R1436" s="0" t="n">
        <v>44483</v>
      </c>
      <c r="AD1436" s="0" t="s">
        <v>148</v>
      </c>
      <c r="AE1436" s="0" t="s">
        <v>149</v>
      </c>
      <c r="AF1436" s="0" t="s">
        <v>150</v>
      </c>
      <c r="AH1436" s="0" t="n">
        <v>14</v>
      </c>
      <c r="AI1436" s="0" t="n">
        <v>11</v>
      </c>
      <c r="AN1436" s="0" t="s">
        <v>146</v>
      </c>
      <c r="AO1436" s="0" t="s">
        <v>236</v>
      </c>
      <c r="AP1436" s="0" t="s">
        <v>237</v>
      </c>
      <c r="AQ1436" s="0" t="n">
        <v>9</v>
      </c>
      <c r="AR1436" s="0" t="n">
        <v>64</v>
      </c>
      <c r="AS1436" s="0" t="n">
        <v>32</v>
      </c>
      <c r="AU1436" s="0" t="n">
        <f aca="false">COUNTA($BA$950:$EH$950)</f>
        <v>2</v>
      </c>
      <c r="AV1436" s="0" t="n">
        <f aca="false">COUNTIF($BA$950:$EH$950,"D")</f>
        <v>0</v>
      </c>
      <c r="AW1436" s="0" t="n">
        <f aca="false">COUNTIF($BA$950:$EH$950,"R")</f>
        <v>0</v>
      </c>
      <c r="AX1436" s="0" t="n">
        <f aca="false"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>2</v>
      </c>
      <c r="AY1436" s="0" t="n">
        <f aca="false">COUNTIF(DU1436:EH1436, "&lt;&gt;")</f>
        <v>7</v>
      </c>
      <c r="AZ1436" s="0" t="n">
        <f aca="false">IF(EH1436&lt;&gt;"",1,0)</f>
        <v>1</v>
      </c>
      <c r="BB1436" s="0" t="s">
        <v>153</v>
      </c>
      <c r="BL1436" s="0" t="s">
        <v>154</v>
      </c>
      <c r="BP1436" s="0" t="s">
        <v>154</v>
      </c>
      <c r="BR1436" s="0" t="s">
        <v>154</v>
      </c>
      <c r="BY1436" s="0" t="s">
        <v>155</v>
      </c>
      <c r="CA1436" s="0" t="s">
        <v>154</v>
      </c>
      <c r="CP1436" s="0" t="s">
        <v>154</v>
      </c>
      <c r="CV1436" s="0" t="s">
        <v>154</v>
      </c>
      <c r="CY1436" s="0" t="s">
        <v>154</v>
      </c>
      <c r="DC1436" s="0" t="s">
        <v>154</v>
      </c>
      <c r="DG1436" s="0" t="s">
        <v>155</v>
      </c>
      <c r="DI1436" s="0" t="s">
        <v>154</v>
      </c>
      <c r="DN1436" s="0" t="s">
        <v>154</v>
      </c>
      <c r="DU1436" s="0" t="s">
        <v>154</v>
      </c>
      <c r="DW1436" s="0" t="s">
        <v>155</v>
      </c>
      <c r="DX1436" s="0" t="s">
        <v>154</v>
      </c>
      <c r="EA1436" s="0" t="s">
        <v>154</v>
      </c>
      <c r="ED1436" s="0" t="s">
        <v>155</v>
      </c>
      <c r="EF1436" s="0" t="s">
        <v>154</v>
      </c>
      <c r="EH1436" s="0" t="s">
        <v>155</v>
      </c>
    </row>
    <row r="1437" customFormat="false" ht="13.8" hidden="false" customHeight="false" outlineLevel="0" collapsed="false">
      <c r="A1437" s="0" t="s">
        <v>6659</v>
      </c>
      <c r="B1437" s="0" t="n">
        <v>78</v>
      </c>
      <c r="C1437" s="0" t="n">
        <v>151420</v>
      </c>
      <c r="D1437" s="0" t="s">
        <v>6660</v>
      </c>
      <c r="E1437" s="0" t="s">
        <v>629</v>
      </c>
      <c r="F1437" s="0" t="str">
        <f aca="false">CONCATENATE(D1437," ",LEFT(H1437,4),"T=",AU1437,"D=",AV1437,"R=",AW1437,"M=",AX1437,"L=",AY1437,"B=",AZ1437)</f>
        <v>SHINOSKY T=2D=0R=0M=7L=6B=1</v>
      </c>
      <c r="G1437" s="0" t="s">
        <v>172</v>
      </c>
      <c r="I1437" s="0" t="s">
        <v>6661</v>
      </c>
      <c r="J1437" s="0" t="s">
        <v>6662</v>
      </c>
      <c r="K1437" s="0" t="s">
        <v>175</v>
      </c>
      <c r="L1437" s="1" t="s">
        <v>155</v>
      </c>
      <c r="M1437" s="0" t="s">
        <v>6663</v>
      </c>
      <c r="N1437" s="0" t="str">
        <f aca="false">RIGHT(M1437,LEN(M1437)-FIND(" ",M1437))</f>
        <v>LARCHMONT AVE NE</v>
      </c>
      <c r="P1437" s="0" t="s">
        <v>146</v>
      </c>
      <c r="Q1437" s="0" t="s">
        <v>147</v>
      </c>
      <c r="R1437" s="0" t="n">
        <v>44483</v>
      </c>
      <c r="AD1437" s="0" t="s">
        <v>148</v>
      </c>
      <c r="AE1437" s="0" t="s">
        <v>149</v>
      </c>
      <c r="AF1437" s="0" t="s">
        <v>150</v>
      </c>
      <c r="AH1437" s="0" t="n">
        <v>14</v>
      </c>
      <c r="AI1437" s="0" t="n">
        <v>11</v>
      </c>
      <c r="AN1437" s="0" t="s">
        <v>146</v>
      </c>
      <c r="AO1437" s="0" t="s">
        <v>236</v>
      </c>
      <c r="AP1437" s="0" t="s">
        <v>237</v>
      </c>
      <c r="AQ1437" s="0" t="n">
        <v>9</v>
      </c>
      <c r="AR1437" s="0" t="n">
        <v>64</v>
      </c>
      <c r="AS1437" s="0" t="n">
        <v>32</v>
      </c>
      <c r="AU1437" s="0" t="n">
        <f aca="false">COUNTA($BA$807:$EH$807)</f>
        <v>2</v>
      </c>
      <c r="AV1437" s="0" t="n">
        <f aca="false">COUNTIF($BA$807:$EH$807,"D")</f>
        <v>0</v>
      </c>
      <c r="AW1437" s="0" t="n">
        <f aca="false">COUNTIF($BA$807:$EH$807,"R")</f>
        <v>0</v>
      </c>
      <c r="AX1437" s="0" t="n">
        <f aca="false"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>7</v>
      </c>
      <c r="AY1437" s="0" t="n">
        <f aca="false">COUNTIF(DU1437:EH1437, "&lt;&gt;")</f>
        <v>6</v>
      </c>
      <c r="AZ1437" s="0" t="n">
        <f aca="false">IF(EH1437&lt;&gt;"",1,0)</f>
        <v>1</v>
      </c>
      <c r="BB1437" s="0" t="s">
        <v>153</v>
      </c>
      <c r="BC1437" s="0" t="s">
        <v>154</v>
      </c>
      <c r="BD1437" s="0" t="s">
        <v>154</v>
      </c>
      <c r="BE1437" s="0" t="s">
        <v>154</v>
      </c>
      <c r="BF1437" s="0" t="s">
        <v>154</v>
      </c>
      <c r="BG1437" s="0" t="s">
        <v>154</v>
      </c>
      <c r="BH1437" s="0" t="s">
        <v>154</v>
      </c>
      <c r="BI1437" s="0" t="s">
        <v>154</v>
      </c>
      <c r="BJ1437" s="0" t="s">
        <v>154</v>
      </c>
      <c r="BK1437" s="0" t="s">
        <v>154</v>
      </c>
      <c r="BL1437" s="0" t="s">
        <v>154</v>
      </c>
      <c r="BP1437" s="0" t="s">
        <v>154</v>
      </c>
      <c r="BR1437" s="0" t="s">
        <v>154</v>
      </c>
      <c r="BS1437" s="0" t="s">
        <v>154</v>
      </c>
      <c r="BV1437" s="0" t="s">
        <v>154</v>
      </c>
      <c r="BY1437" s="0" t="s">
        <v>155</v>
      </c>
      <c r="CA1437" s="0" t="s">
        <v>154</v>
      </c>
      <c r="CG1437" s="0" t="s">
        <v>154</v>
      </c>
      <c r="CH1437" s="0" t="s">
        <v>155</v>
      </c>
      <c r="CK1437" s="0" t="s">
        <v>154</v>
      </c>
      <c r="CL1437" s="0" t="s">
        <v>155</v>
      </c>
      <c r="CN1437" s="0" t="s">
        <v>154</v>
      </c>
      <c r="CO1437" s="0" t="s">
        <v>155</v>
      </c>
      <c r="CP1437" s="0" t="s">
        <v>154</v>
      </c>
      <c r="CT1437" s="0" t="s">
        <v>154</v>
      </c>
      <c r="CU1437" s="0" t="s">
        <v>155</v>
      </c>
      <c r="CV1437" s="0" t="s">
        <v>154</v>
      </c>
      <c r="CW1437" s="0" t="s">
        <v>155</v>
      </c>
      <c r="CY1437" s="0" t="s">
        <v>154</v>
      </c>
      <c r="CZ1437" s="0" t="s">
        <v>155</v>
      </c>
      <c r="DC1437" s="0" t="s">
        <v>154</v>
      </c>
      <c r="DD1437" s="0" t="s">
        <v>155</v>
      </c>
      <c r="DF1437" s="0" t="s">
        <v>154</v>
      </c>
      <c r="DG1437" s="0" t="s">
        <v>155</v>
      </c>
      <c r="DI1437" s="0" t="s">
        <v>154</v>
      </c>
      <c r="DJ1437" s="0" t="s">
        <v>155</v>
      </c>
      <c r="DL1437" s="0" t="s">
        <v>154</v>
      </c>
      <c r="DN1437" s="0" t="s">
        <v>154</v>
      </c>
      <c r="DO1437" s="0" t="s">
        <v>155</v>
      </c>
      <c r="DR1437" s="0" t="s">
        <v>154</v>
      </c>
      <c r="DS1437" s="0" t="s">
        <v>155</v>
      </c>
      <c r="DT1437" s="0" t="s">
        <v>176</v>
      </c>
      <c r="DU1437" s="0" t="s">
        <v>154</v>
      </c>
      <c r="DW1437" s="0" t="s">
        <v>155</v>
      </c>
      <c r="EA1437" s="0" t="s">
        <v>154</v>
      </c>
      <c r="ED1437" s="0" t="s">
        <v>155</v>
      </c>
      <c r="EF1437" s="0" t="s">
        <v>154</v>
      </c>
      <c r="EH1437" s="0" t="s">
        <v>155</v>
      </c>
    </row>
    <row r="1438" customFormat="false" ht="13.8" hidden="false" customHeight="false" outlineLevel="0" collapsed="false">
      <c r="A1438" s="0" t="s">
        <v>6664</v>
      </c>
      <c r="B1438" s="0" t="n">
        <v>78</v>
      </c>
      <c r="C1438" s="0" t="n">
        <v>270743</v>
      </c>
      <c r="D1438" s="0" t="s">
        <v>6660</v>
      </c>
      <c r="E1438" s="0" t="s">
        <v>1374</v>
      </c>
      <c r="F1438" s="0" t="str">
        <f aca="false">CONCATENATE(D1438," ",LEFT(H1438,4),"T=",AU1438,"D=",AV1438,"R=",AW1438,"M=",AX1438,"L=",AY1438,"B=",AZ1438)</f>
        <v>SHINOSKY T=2D=1R=0M=7L=6B=1</v>
      </c>
      <c r="G1438" s="0" t="s">
        <v>365</v>
      </c>
      <c r="I1438" s="0" t="s">
        <v>6665</v>
      </c>
      <c r="J1438" s="0" t="s">
        <v>6666</v>
      </c>
      <c r="K1438" s="0" t="s">
        <v>175</v>
      </c>
      <c r="L1438" s="1" t="s">
        <v>155</v>
      </c>
      <c r="M1438" s="0" t="s">
        <v>6663</v>
      </c>
      <c r="N1438" s="0" t="str">
        <f aca="false">RIGHT(M1438,LEN(M1438)-FIND(" ",M1438))</f>
        <v>LARCHMONT AVE NE</v>
      </c>
      <c r="P1438" s="0" t="s">
        <v>146</v>
      </c>
      <c r="Q1438" s="0" t="s">
        <v>147</v>
      </c>
      <c r="R1438" s="0" t="n">
        <v>44483</v>
      </c>
      <c r="AD1438" s="0" t="s">
        <v>148</v>
      </c>
      <c r="AE1438" s="0" t="s">
        <v>149</v>
      </c>
      <c r="AF1438" s="0" t="s">
        <v>150</v>
      </c>
      <c r="AH1438" s="0" t="n">
        <v>14</v>
      </c>
      <c r="AI1438" s="0" t="n">
        <v>11</v>
      </c>
      <c r="AN1438" s="0" t="s">
        <v>146</v>
      </c>
      <c r="AO1438" s="0" t="s">
        <v>236</v>
      </c>
      <c r="AP1438" s="0" t="s">
        <v>237</v>
      </c>
      <c r="AQ1438" s="0" t="n">
        <v>9</v>
      </c>
      <c r="AR1438" s="0" t="n">
        <v>64</v>
      </c>
      <c r="AS1438" s="0" t="n">
        <v>32</v>
      </c>
      <c r="AU1438" s="0" t="n">
        <f aca="false">COUNTA($BA$927:$EH$927)</f>
        <v>2</v>
      </c>
      <c r="AV1438" s="0" t="n">
        <f aca="false">COUNTIF($BA$927:$EH$927,"D")</f>
        <v>1</v>
      </c>
      <c r="AW1438" s="0" t="n">
        <f aca="false">COUNTIF($BA$927:$EH$927,"R")</f>
        <v>0</v>
      </c>
      <c r="AX1438" s="0" t="n">
        <f aca="false"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>7</v>
      </c>
      <c r="AY1438" s="0" t="n">
        <f aca="false">COUNTIF(DU1438:EH1438, "&lt;&gt;")</f>
        <v>6</v>
      </c>
      <c r="AZ1438" s="0" t="n">
        <f aca="false">IF(EH1438&lt;&gt;"",1,0)</f>
        <v>1</v>
      </c>
      <c r="BB1438" s="0" t="s">
        <v>153</v>
      </c>
      <c r="BC1438" s="0" t="s">
        <v>154</v>
      </c>
      <c r="BD1438" s="0" t="s">
        <v>154</v>
      </c>
      <c r="BE1438" s="0" t="s">
        <v>154</v>
      </c>
      <c r="BF1438" s="0" t="s">
        <v>154</v>
      </c>
      <c r="BG1438" s="0" t="s">
        <v>154</v>
      </c>
      <c r="BH1438" s="0" t="s">
        <v>154</v>
      </c>
      <c r="BI1438" s="0" t="s">
        <v>154</v>
      </c>
      <c r="BJ1438" s="0" t="s">
        <v>154</v>
      </c>
      <c r="BK1438" s="0" t="s">
        <v>154</v>
      </c>
      <c r="BL1438" s="0" t="s">
        <v>154</v>
      </c>
      <c r="BP1438" s="0" t="s">
        <v>154</v>
      </c>
      <c r="BR1438" s="0" t="s">
        <v>154</v>
      </c>
      <c r="BS1438" s="0" t="s">
        <v>154</v>
      </c>
      <c r="BV1438" s="0" t="s">
        <v>154</v>
      </c>
      <c r="BY1438" s="0" t="s">
        <v>155</v>
      </c>
      <c r="CA1438" s="0" t="s">
        <v>154</v>
      </c>
      <c r="CG1438" s="0" t="s">
        <v>154</v>
      </c>
      <c r="CH1438" s="0" t="s">
        <v>155</v>
      </c>
      <c r="CK1438" s="0" t="s">
        <v>154</v>
      </c>
      <c r="CL1438" s="0" t="s">
        <v>155</v>
      </c>
      <c r="CN1438" s="0" t="s">
        <v>154</v>
      </c>
      <c r="CO1438" s="0" t="s">
        <v>155</v>
      </c>
      <c r="CP1438" s="0" t="s">
        <v>154</v>
      </c>
      <c r="CT1438" s="0" t="s">
        <v>154</v>
      </c>
      <c r="CU1438" s="0" t="s">
        <v>155</v>
      </c>
      <c r="CV1438" s="0" t="s">
        <v>154</v>
      </c>
      <c r="CW1438" s="0" t="s">
        <v>155</v>
      </c>
      <c r="CY1438" s="0" t="s">
        <v>154</v>
      </c>
      <c r="CZ1438" s="0" t="s">
        <v>155</v>
      </c>
      <c r="DC1438" s="0" t="s">
        <v>154</v>
      </c>
      <c r="DD1438" s="0" t="s">
        <v>155</v>
      </c>
      <c r="DF1438" s="0" t="s">
        <v>154</v>
      </c>
      <c r="DG1438" s="0" t="s">
        <v>155</v>
      </c>
      <c r="DI1438" s="0" t="s">
        <v>154</v>
      </c>
      <c r="DJ1438" s="0" t="s">
        <v>155</v>
      </c>
      <c r="DL1438" s="0" t="s">
        <v>154</v>
      </c>
      <c r="DN1438" s="0" t="s">
        <v>154</v>
      </c>
      <c r="DO1438" s="0" t="s">
        <v>155</v>
      </c>
      <c r="DR1438" s="0" t="s">
        <v>154</v>
      </c>
      <c r="DS1438" s="0" t="s">
        <v>155</v>
      </c>
      <c r="DT1438" s="0" t="s">
        <v>155</v>
      </c>
      <c r="DU1438" s="0" t="s">
        <v>154</v>
      </c>
      <c r="DW1438" s="0" t="s">
        <v>155</v>
      </c>
      <c r="EA1438" s="0" t="s">
        <v>154</v>
      </c>
      <c r="ED1438" s="0" t="s">
        <v>155</v>
      </c>
      <c r="EF1438" s="0" t="s">
        <v>154</v>
      </c>
      <c r="EH1438" s="0" t="s">
        <v>155</v>
      </c>
    </row>
    <row r="1439" customFormat="false" ht="13.8" hidden="true" customHeight="false" outlineLevel="0" collapsed="false">
      <c r="A1439" s="0" t="s">
        <v>6667</v>
      </c>
      <c r="B1439" s="0" t="n">
        <v>78</v>
      </c>
      <c r="C1439" s="0" t="n">
        <v>457170</v>
      </c>
      <c r="D1439" s="0" t="s">
        <v>3304</v>
      </c>
      <c r="E1439" s="0" t="s">
        <v>589</v>
      </c>
      <c r="F1439" s="0" t="str">
        <f aca="false">CONCATENATE(D1439," ",LEFT(H1439,4),"T=",AU1439,"D=",AV1439,"R=",AW1439,"M=",AX1439,"L=",AY1439,"B=",AZ1439)</f>
        <v>DEAN SRT=13D=1R=0M=0L=0B=0</v>
      </c>
      <c r="G1439" s="0" t="s">
        <v>139</v>
      </c>
      <c r="H1439" s="0" t="s">
        <v>311</v>
      </c>
      <c r="I1439" s="0" t="s">
        <v>6668</v>
      </c>
      <c r="J1439" s="0" t="s">
        <v>6669</v>
      </c>
      <c r="K1439" s="0" t="s">
        <v>144</v>
      </c>
      <c r="L1439" s="0"/>
      <c r="M1439" s="0" t="s">
        <v>6670</v>
      </c>
      <c r="N1439" s="0" t="str">
        <f aca="false">RIGHT(M1439,LEN(M1439)-FIND(" ",M1439))</f>
        <v>LARCHMONT AVE NE</v>
      </c>
      <c r="P1439" s="0" t="s">
        <v>146</v>
      </c>
      <c r="Q1439" s="0" t="s">
        <v>147</v>
      </c>
      <c r="R1439" s="0" t="n">
        <v>44483</v>
      </c>
      <c r="AD1439" s="0" t="s">
        <v>148</v>
      </c>
      <c r="AE1439" s="0" t="s">
        <v>149</v>
      </c>
      <c r="AF1439" s="0" t="s">
        <v>150</v>
      </c>
      <c r="AH1439" s="0" t="n">
        <v>14</v>
      </c>
      <c r="AI1439" s="0" t="n">
        <v>11</v>
      </c>
      <c r="AN1439" s="0" t="s">
        <v>146</v>
      </c>
      <c r="AO1439" s="0" t="s">
        <v>236</v>
      </c>
      <c r="AP1439" s="0" t="s">
        <v>237</v>
      </c>
      <c r="AQ1439" s="0" t="n">
        <v>9</v>
      </c>
      <c r="AR1439" s="0" t="n">
        <v>64</v>
      </c>
      <c r="AS1439" s="0" t="n">
        <v>32</v>
      </c>
      <c r="AU1439" s="0" t="n">
        <f aca="false">COUNTA($BA$600:$EH$600)</f>
        <v>13</v>
      </c>
      <c r="AV1439" s="0" t="n">
        <f aca="false">COUNTIF($BA$600:$EH$600,"D")</f>
        <v>1</v>
      </c>
      <c r="AW1439" s="0" t="n">
        <f aca="false">COUNTIF($BA$600:$EH$600,"R")</f>
        <v>0</v>
      </c>
      <c r="AX1439" s="0" t="n">
        <f aca="false"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>0</v>
      </c>
      <c r="AY1439" s="0" t="n">
        <f aca="false">COUNTIF(DU1439:EH1439, "&lt;&gt;")</f>
        <v>0</v>
      </c>
      <c r="AZ1439" s="0" t="n">
        <f aca="false">IF(EH1439&lt;&gt;"",1,0)</f>
        <v>0</v>
      </c>
      <c r="BB1439" s="0" t="s">
        <v>153</v>
      </c>
    </row>
    <row r="1440" customFormat="false" ht="13.8" hidden="false" customHeight="false" outlineLevel="0" collapsed="false">
      <c r="A1440" s="0" t="s">
        <v>6671</v>
      </c>
      <c r="B1440" s="0" t="n">
        <v>78</v>
      </c>
      <c r="C1440" s="0" t="n">
        <v>283434</v>
      </c>
      <c r="D1440" s="0" t="s">
        <v>1527</v>
      </c>
      <c r="E1440" s="0" t="s">
        <v>4154</v>
      </c>
      <c r="F1440" s="0" t="str">
        <f aca="false">CONCATENATE(D1440," ",LEFT(H1440,4),"T=",AU1440,"D=",AV1440,"R=",AW1440,"M=",AX1440,"L=",AY1440,"B=",AZ1440)</f>
        <v>KENNEDY T=1D=0R=0M=0L=2B=0</v>
      </c>
      <c r="G1440" s="0" t="s">
        <v>159</v>
      </c>
      <c r="I1440" s="0" t="s">
        <v>6672</v>
      </c>
      <c r="J1440" s="0" t="s">
        <v>6673</v>
      </c>
      <c r="K1440" s="0" t="s">
        <v>175</v>
      </c>
      <c r="M1440" s="0" t="s">
        <v>6670</v>
      </c>
      <c r="N1440" s="0" t="str">
        <f aca="false">RIGHT(M1440,LEN(M1440)-FIND(" ",M1440))</f>
        <v>LARCHMONT AVE NE</v>
      </c>
      <c r="P1440" s="0" t="s">
        <v>146</v>
      </c>
      <c r="Q1440" s="0" t="s">
        <v>147</v>
      </c>
      <c r="R1440" s="0" t="n">
        <v>44483</v>
      </c>
      <c r="AD1440" s="0" t="s">
        <v>148</v>
      </c>
      <c r="AE1440" s="0" t="s">
        <v>149</v>
      </c>
      <c r="AF1440" s="0" t="s">
        <v>150</v>
      </c>
      <c r="AH1440" s="0" t="n">
        <v>14</v>
      </c>
      <c r="AI1440" s="0" t="n">
        <v>11</v>
      </c>
      <c r="AN1440" s="0" t="s">
        <v>146</v>
      </c>
      <c r="AO1440" s="0" t="s">
        <v>236</v>
      </c>
      <c r="AP1440" s="0" t="s">
        <v>237</v>
      </c>
      <c r="AQ1440" s="0" t="n">
        <v>9</v>
      </c>
      <c r="AR1440" s="0" t="n">
        <v>64</v>
      </c>
      <c r="AS1440" s="0" t="n">
        <v>32</v>
      </c>
      <c r="AU1440" s="0" t="n">
        <f aca="false">COUNTA($BA$1060:$EH$1060)</f>
        <v>1</v>
      </c>
      <c r="AV1440" s="0" t="n">
        <f aca="false">COUNTIF($BA$1060:$EH$1060,"D")</f>
        <v>0</v>
      </c>
      <c r="AW1440" s="0" t="n">
        <f aca="false">COUNTIF($BA$1060:$EH$1060,"R")</f>
        <v>0</v>
      </c>
      <c r="AX1440" s="0" t="n">
        <f aca="false"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>0</v>
      </c>
      <c r="AY1440" s="0" t="n">
        <f aca="false">COUNTIF(DU1440:EH1440, "&lt;&gt;")</f>
        <v>2</v>
      </c>
      <c r="AZ1440" s="0" t="n">
        <f aca="false">IF(EH1440&lt;&gt;"",1,0)</f>
        <v>0</v>
      </c>
      <c r="BB1440" s="0" t="s">
        <v>153</v>
      </c>
      <c r="BC1440" s="0" t="s">
        <v>154</v>
      </c>
      <c r="BE1440" s="0" t="s">
        <v>154</v>
      </c>
      <c r="BH1440" s="0" t="s">
        <v>154</v>
      </c>
      <c r="BI1440" s="0" t="s">
        <v>154</v>
      </c>
      <c r="BJ1440" s="0" t="s">
        <v>154</v>
      </c>
      <c r="BL1440" s="0" t="s">
        <v>154</v>
      </c>
      <c r="BS1440" s="0" t="s">
        <v>154</v>
      </c>
      <c r="BV1440" s="0" t="s">
        <v>154</v>
      </c>
      <c r="BY1440" s="0" t="s">
        <v>155</v>
      </c>
      <c r="CA1440" s="0" t="s">
        <v>154</v>
      </c>
      <c r="CH1440" s="0" t="s">
        <v>155</v>
      </c>
      <c r="CP1440" s="0" t="s">
        <v>154</v>
      </c>
      <c r="CV1440" s="0" t="s">
        <v>154</v>
      </c>
      <c r="DU1440" s="0" t="s">
        <v>154</v>
      </c>
      <c r="EF1440" s="0" t="s">
        <v>154</v>
      </c>
    </row>
    <row r="1441" customFormat="false" ht="13.8" hidden="false" customHeight="false" outlineLevel="0" collapsed="false">
      <c r="A1441" s="0" t="s">
        <v>6674</v>
      </c>
      <c r="B1441" s="0" t="n">
        <v>78</v>
      </c>
      <c r="C1441" s="0" t="n">
        <v>316331</v>
      </c>
      <c r="D1441" s="0" t="s">
        <v>6675</v>
      </c>
      <c r="E1441" s="0" t="s">
        <v>5226</v>
      </c>
      <c r="F1441" s="0" t="str">
        <f aca="false">CONCATENATE(D1441," ",LEFT(H1441,4),"T=",AU1441,"D=",AV1441,"R=",AW1441,"M=",AX1441,"L=",AY1441,"B=",AZ1441)</f>
        <v>DAUGHERTY T=4D=0R=0M=0L=3B=0</v>
      </c>
      <c r="G1441" s="0" t="s">
        <v>241</v>
      </c>
      <c r="I1441" s="0" t="s">
        <v>6676</v>
      </c>
      <c r="J1441" s="0" t="s">
        <v>2975</v>
      </c>
      <c r="K1441" s="0" t="s">
        <v>175</v>
      </c>
      <c r="M1441" s="0" t="s">
        <v>6677</v>
      </c>
      <c r="N1441" s="0" t="str">
        <f aca="false">RIGHT(M1441,LEN(M1441)-FIND(" ",M1441))</f>
        <v>LARCHMONT AVE NE</v>
      </c>
      <c r="P1441" s="0" t="s">
        <v>146</v>
      </c>
      <c r="Q1441" s="0" t="s">
        <v>147</v>
      </c>
      <c r="R1441" s="0" t="n">
        <v>44483</v>
      </c>
      <c r="V1441" s="0" t="s">
        <v>6678</v>
      </c>
      <c r="X1441" s="0" t="s">
        <v>146</v>
      </c>
      <c r="Y1441" s="0" t="s">
        <v>147</v>
      </c>
      <c r="Z1441" s="0" t="n">
        <v>44482</v>
      </c>
      <c r="AD1441" s="0" t="s">
        <v>148</v>
      </c>
      <c r="AE1441" s="0" t="s">
        <v>149</v>
      </c>
      <c r="AF1441" s="0" t="s">
        <v>150</v>
      </c>
      <c r="AH1441" s="0" t="n">
        <v>14</v>
      </c>
      <c r="AI1441" s="0" t="n">
        <v>11</v>
      </c>
      <c r="AN1441" s="0" t="s">
        <v>146</v>
      </c>
      <c r="AO1441" s="0" t="s">
        <v>236</v>
      </c>
      <c r="AP1441" s="0" t="s">
        <v>237</v>
      </c>
      <c r="AQ1441" s="0" t="n">
        <v>9</v>
      </c>
      <c r="AR1441" s="0" t="n">
        <v>64</v>
      </c>
      <c r="AS1441" s="0" t="n">
        <v>32</v>
      </c>
      <c r="AU1441" s="0" t="n">
        <f aca="false">COUNTA($BA$202:$EH$202)</f>
        <v>4</v>
      </c>
      <c r="AV1441" s="0" t="n">
        <f aca="false">COUNTIF($BA$202:$EH$202,"D")</f>
        <v>0</v>
      </c>
      <c r="AW1441" s="0" t="n">
        <f aca="false">COUNTIF($BA$202:$EH$202,"R")</f>
        <v>0</v>
      </c>
      <c r="AX1441" s="0" t="n">
        <f aca="false"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>0</v>
      </c>
      <c r="AY1441" s="0" t="n">
        <f aca="false">COUNTIF(DU1441:EH1441, "&lt;&gt;")</f>
        <v>3</v>
      </c>
      <c r="AZ1441" s="0" t="n">
        <f aca="false">IF(EH1441&lt;&gt;"",1,0)</f>
        <v>0</v>
      </c>
      <c r="BB1441" s="0" t="s">
        <v>153</v>
      </c>
      <c r="BJ1441" s="0" t="s">
        <v>154</v>
      </c>
      <c r="BL1441" s="0" t="s">
        <v>154</v>
      </c>
      <c r="BY1441" s="0" t="s">
        <v>155</v>
      </c>
      <c r="CA1441" s="0" t="s">
        <v>154</v>
      </c>
      <c r="CG1441" s="0" t="s">
        <v>154</v>
      </c>
      <c r="CH1441" s="0" t="s">
        <v>155</v>
      </c>
      <c r="CN1441" s="0" t="s">
        <v>154</v>
      </c>
      <c r="DC1441" s="0" t="s">
        <v>154</v>
      </c>
      <c r="DN1441" s="0" t="s">
        <v>154</v>
      </c>
      <c r="DU1441" s="0" t="s">
        <v>154</v>
      </c>
      <c r="DW1441" s="0" t="s">
        <v>154</v>
      </c>
      <c r="EF1441" s="0" t="s">
        <v>154</v>
      </c>
    </row>
    <row r="1442" customFormat="false" ht="13.8" hidden="true" customHeight="false" outlineLevel="0" collapsed="false">
      <c r="A1442" s="0" t="s">
        <v>6679</v>
      </c>
      <c r="B1442" s="0" t="n">
        <v>78</v>
      </c>
      <c r="C1442" s="0" t="n">
        <v>304416</v>
      </c>
      <c r="D1442" s="0" t="s">
        <v>6634</v>
      </c>
      <c r="E1442" s="0" t="s">
        <v>1210</v>
      </c>
      <c r="F1442" s="0" t="str">
        <f aca="false">CONCATENATE(D1442," ",LEFT(H1442,4),"T=",AU1442,"D=",AV1442,"R=",AW1442,"M=",AX1442,"L=",AY1442,"B=",AZ1442)</f>
        <v>HARCARIK T=22D=1R=0M=0L=0B=0</v>
      </c>
      <c r="I1442" s="0" t="s">
        <v>6680</v>
      </c>
      <c r="J1442" s="0" t="s">
        <v>6681</v>
      </c>
      <c r="K1442" s="0" t="s">
        <v>144</v>
      </c>
      <c r="L1442" s="0"/>
      <c r="M1442" s="0" t="s">
        <v>6682</v>
      </c>
      <c r="N1442" s="0" t="str">
        <f aca="false">RIGHT(M1442,LEN(M1442)-FIND(" ",M1442))</f>
        <v>LARCHMONT AVE NE</v>
      </c>
      <c r="P1442" s="0" t="s">
        <v>146</v>
      </c>
      <c r="Q1442" s="0" t="s">
        <v>147</v>
      </c>
      <c r="R1442" s="0" t="n">
        <v>44483</v>
      </c>
      <c r="AD1442" s="0" t="s">
        <v>148</v>
      </c>
      <c r="AE1442" s="0" t="s">
        <v>149</v>
      </c>
      <c r="AF1442" s="0" t="s">
        <v>150</v>
      </c>
      <c r="AH1442" s="0" t="n">
        <v>14</v>
      </c>
      <c r="AI1442" s="0" t="n">
        <v>11</v>
      </c>
      <c r="AN1442" s="0" t="s">
        <v>146</v>
      </c>
      <c r="AO1442" s="0" t="s">
        <v>236</v>
      </c>
      <c r="AP1442" s="0" t="s">
        <v>237</v>
      </c>
      <c r="AQ1442" s="0" t="n">
        <v>9</v>
      </c>
      <c r="AR1442" s="0" t="n">
        <v>64</v>
      </c>
      <c r="AS1442" s="0" t="n">
        <v>32</v>
      </c>
      <c r="AU1442" s="0" t="n">
        <f aca="false">COUNTA($BA$403:$EH$403)</f>
        <v>22</v>
      </c>
      <c r="AV1442" s="0" t="n">
        <f aca="false">COUNTIF($BA$403:$EH$403,"D")</f>
        <v>1</v>
      </c>
      <c r="AW1442" s="0" t="n">
        <f aca="false">COUNTIF($BA$403:$EH$403,"R")</f>
        <v>0</v>
      </c>
      <c r="AX1442" s="0" t="n">
        <f aca="false"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>0</v>
      </c>
      <c r="AY1442" s="0" t="n">
        <f aca="false">COUNTIF(DU1442:EH1442, "&lt;&gt;")</f>
        <v>0</v>
      </c>
      <c r="AZ1442" s="0" t="n">
        <f aca="false">IF(EH1442&lt;&gt;"",1,0)</f>
        <v>0</v>
      </c>
      <c r="BB1442" s="0" t="s">
        <v>153</v>
      </c>
    </row>
    <row r="1443" customFormat="false" ht="13.8" hidden="true" customHeight="false" outlineLevel="0" collapsed="false">
      <c r="A1443" s="0" t="s">
        <v>6683</v>
      </c>
      <c r="B1443" s="0" t="n">
        <v>78</v>
      </c>
      <c r="C1443" s="0" t="n">
        <v>4041</v>
      </c>
      <c r="D1443" s="0" t="s">
        <v>6634</v>
      </c>
      <c r="E1443" s="0" t="s">
        <v>1352</v>
      </c>
      <c r="F1443" s="0" t="str">
        <f aca="false">CONCATENATE(D1443," ",LEFT(H1443,4),"T=",AU1443,"D=",AV1443,"R=",AW1443,"M=",AX1443,"L=",AY1443,"B=",AZ1443)</f>
        <v>HARCARIK T=1D=0R=0M=1L=1B=0</v>
      </c>
      <c r="G1443" s="0" t="s">
        <v>172</v>
      </c>
      <c r="I1443" s="0" t="s">
        <v>6684</v>
      </c>
      <c r="J1443" s="0" t="s">
        <v>6685</v>
      </c>
      <c r="K1443" s="0" t="s">
        <v>175</v>
      </c>
      <c r="L1443" s="0"/>
      <c r="M1443" s="0" t="s">
        <v>6682</v>
      </c>
      <c r="N1443" s="0" t="str">
        <f aca="false">RIGHT(M1443,LEN(M1443)-FIND(" ",M1443))</f>
        <v>LARCHMONT AVE NE</v>
      </c>
      <c r="P1443" s="0" t="s">
        <v>146</v>
      </c>
      <c r="Q1443" s="0" t="s">
        <v>147</v>
      </c>
      <c r="R1443" s="0" t="n">
        <v>44483</v>
      </c>
      <c r="AD1443" s="0" t="s">
        <v>148</v>
      </c>
      <c r="AE1443" s="0" t="s">
        <v>149</v>
      </c>
      <c r="AF1443" s="0" t="s">
        <v>150</v>
      </c>
      <c r="AH1443" s="0" t="n">
        <v>14</v>
      </c>
      <c r="AI1443" s="0" t="n">
        <v>11</v>
      </c>
      <c r="AN1443" s="0" t="s">
        <v>146</v>
      </c>
      <c r="AO1443" s="0" t="s">
        <v>236</v>
      </c>
      <c r="AP1443" s="0" t="s">
        <v>237</v>
      </c>
      <c r="AQ1443" s="0" t="n">
        <v>9</v>
      </c>
      <c r="AR1443" s="0" t="n">
        <v>64</v>
      </c>
      <c r="AS1443" s="0" t="n">
        <v>32</v>
      </c>
      <c r="AU1443" s="0" t="n">
        <f aca="false">COUNTA($BA$943:$EH$943)</f>
        <v>1</v>
      </c>
      <c r="AV1443" s="0" t="n">
        <f aca="false">COUNTIF($BA$943:$EH$943,"D")</f>
        <v>0</v>
      </c>
      <c r="AW1443" s="0" t="n">
        <f aca="false">COUNTIF($BA$943:$EH$943,"R")</f>
        <v>0</v>
      </c>
      <c r="AX1443" s="0" t="n">
        <f aca="false"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>1</v>
      </c>
      <c r="AY1443" s="0" t="n">
        <f aca="false">COUNTIF(DU1443:EH1443, "&lt;&gt;")</f>
        <v>1</v>
      </c>
      <c r="AZ1443" s="0" t="n">
        <f aca="false">IF(EH1443&lt;&gt;"",1,0)</f>
        <v>0</v>
      </c>
      <c r="BB1443" s="0" t="s">
        <v>153</v>
      </c>
      <c r="BD1443" s="0" t="s">
        <v>154</v>
      </c>
      <c r="BH1443" s="0" t="s">
        <v>154</v>
      </c>
      <c r="BI1443" s="0" t="s">
        <v>154</v>
      </c>
      <c r="BJ1443" s="0" t="s">
        <v>154</v>
      </c>
      <c r="BK1443" s="0" t="s">
        <v>154</v>
      </c>
      <c r="BL1443" s="0" t="s">
        <v>154</v>
      </c>
      <c r="BP1443" s="0" t="s">
        <v>154</v>
      </c>
      <c r="BS1443" s="0" t="s">
        <v>154</v>
      </c>
      <c r="BY1443" s="0" t="s">
        <v>155</v>
      </c>
      <c r="CA1443" s="0" t="s">
        <v>154</v>
      </c>
      <c r="CG1443" s="0" t="s">
        <v>154</v>
      </c>
      <c r="CH1443" s="0" t="s">
        <v>155</v>
      </c>
      <c r="CL1443" s="0" t="s">
        <v>155</v>
      </c>
      <c r="CN1443" s="0" t="s">
        <v>154</v>
      </c>
      <c r="CP1443" s="0" t="s">
        <v>154</v>
      </c>
      <c r="CV1443" s="0" t="s">
        <v>154</v>
      </c>
      <c r="CY1443" s="0" t="s">
        <v>154</v>
      </c>
      <c r="CZ1443" s="0" t="s">
        <v>155</v>
      </c>
      <c r="DC1443" s="0" t="s">
        <v>154</v>
      </c>
      <c r="DG1443" s="0" t="s">
        <v>155</v>
      </c>
      <c r="DI1443" s="0" t="s">
        <v>154</v>
      </c>
      <c r="DN1443" s="0" t="s">
        <v>154</v>
      </c>
      <c r="EF1443" s="0" t="s">
        <v>154</v>
      </c>
    </row>
    <row r="1444" customFormat="false" ht="13.8" hidden="false" customHeight="false" outlineLevel="0" collapsed="false">
      <c r="A1444" s="0" t="s">
        <v>6686</v>
      </c>
      <c r="B1444" s="0" t="n">
        <v>78</v>
      </c>
      <c r="C1444" s="0" t="n">
        <v>342405</v>
      </c>
      <c r="D1444" s="0" t="s">
        <v>6687</v>
      </c>
      <c r="E1444" s="0" t="s">
        <v>181</v>
      </c>
      <c r="F1444" s="0" t="str">
        <f aca="false">CONCATENATE(D1444," ",LEFT(H1444,4),"T=",AU1444,"D=",AV1444,"R=",AW1444,"M=",AX1444,"L=",AY1444,"B=",AZ1444)</f>
        <v>KIEPPER T=2D=0R=0M=0L=3B=0</v>
      </c>
      <c r="G1444" s="0" t="s">
        <v>297</v>
      </c>
      <c r="I1444" s="0" t="s">
        <v>6688</v>
      </c>
      <c r="J1444" s="0" t="s">
        <v>1217</v>
      </c>
      <c r="K1444" s="0" t="s">
        <v>175</v>
      </c>
      <c r="L1444" s="1" t="s">
        <v>176</v>
      </c>
      <c r="M1444" s="0" t="s">
        <v>6689</v>
      </c>
      <c r="N1444" s="0" t="str">
        <f aca="false">RIGHT(M1444,LEN(M1444)-FIND(" ",M1444))</f>
        <v>LARCHMONT AVE NE</v>
      </c>
      <c r="P1444" s="0" t="s">
        <v>146</v>
      </c>
      <c r="Q1444" s="0" t="s">
        <v>147</v>
      </c>
      <c r="R1444" s="0" t="n">
        <v>44483</v>
      </c>
      <c r="AD1444" s="0" t="s">
        <v>148</v>
      </c>
      <c r="AE1444" s="0" t="s">
        <v>149</v>
      </c>
      <c r="AF1444" s="0" t="s">
        <v>150</v>
      </c>
      <c r="AH1444" s="0" t="n">
        <v>14</v>
      </c>
      <c r="AI1444" s="0" t="n">
        <v>11</v>
      </c>
      <c r="AN1444" s="0" t="s">
        <v>146</v>
      </c>
      <c r="AO1444" s="0" t="s">
        <v>236</v>
      </c>
      <c r="AP1444" s="0" t="s">
        <v>237</v>
      </c>
      <c r="AQ1444" s="0" t="n">
        <v>9</v>
      </c>
      <c r="AR1444" s="0" t="n">
        <v>64</v>
      </c>
      <c r="AS1444" s="0" t="n">
        <v>32</v>
      </c>
      <c r="AU1444" s="0" t="n">
        <f aca="false">COUNTA($BA$812:$EH$812)</f>
        <v>2</v>
      </c>
      <c r="AV1444" s="0" t="n">
        <f aca="false">COUNTIF($BA$812:$EH$812,"D")</f>
        <v>0</v>
      </c>
      <c r="AW1444" s="0" t="n">
        <f aca="false">COUNTIF($BA$812:$EH$812,"R")</f>
        <v>0</v>
      </c>
      <c r="AX1444" s="0" t="n">
        <f aca="false"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>0</v>
      </c>
      <c r="AY1444" s="0" t="n">
        <f aca="false">COUNTIF(DU1444:EH1444, "&lt;&gt;")</f>
        <v>3</v>
      </c>
      <c r="AZ1444" s="0" t="n">
        <f aca="false">IF(EH1444&lt;&gt;"",1,0)</f>
        <v>0</v>
      </c>
      <c r="BB1444" s="0" t="s">
        <v>153</v>
      </c>
      <c r="BR1444" s="0" t="s">
        <v>154</v>
      </c>
      <c r="BS1444" s="0" t="s">
        <v>154</v>
      </c>
      <c r="BY1444" s="0" t="s">
        <v>155</v>
      </c>
      <c r="CA1444" s="0" t="s">
        <v>154</v>
      </c>
      <c r="CK1444" s="0" t="s">
        <v>154</v>
      </c>
      <c r="CP1444" s="0" t="s">
        <v>154</v>
      </c>
      <c r="CV1444" s="0" t="s">
        <v>154</v>
      </c>
      <c r="DC1444" s="0" t="s">
        <v>154</v>
      </c>
      <c r="DI1444" s="0" t="s">
        <v>154</v>
      </c>
      <c r="DN1444" s="0" t="s">
        <v>154</v>
      </c>
      <c r="DU1444" s="0" t="s">
        <v>154</v>
      </c>
      <c r="ED1444" s="0" t="s">
        <v>176</v>
      </c>
      <c r="EF1444" s="0" t="s">
        <v>154</v>
      </c>
    </row>
    <row r="1445" customFormat="false" ht="13.8" hidden="false" customHeight="false" outlineLevel="0" collapsed="false">
      <c r="A1445" s="0" t="s">
        <v>6690</v>
      </c>
      <c r="B1445" s="0" t="n">
        <v>78</v>
      </c>
      <c r="C1445" s="0" t="n">
        <v>386729</v>
      </c>
      <c r="D1445" s="0" t="s">
        <v>6687</v>
      </c>
      <c r="E1445" s="0" t="s">
        <v>2720</v>
      </c>
      <c r="F1445" s="0" t="str">
        <f aca="false">CONCATENATE(D1445," ",LEFT(H1445,4),"T=",AU1445,"D=",AV1445,"R=",AW1445,"M=",AX1445,"L=",AY1445,"B=",AZ1445)</f>
        <v>KIEPPER T=1D=0R=0M=0L=3B=0</v>
      </c>
      <c r="G1445" s="0" t="s">
        <v>455</v>
      </c>
      <c r="I1445" s="0" t="s">
        <v>2707</v>
      </c>
      <c r="J1445" s="0" t="s">
        <v>6691</v>
      </c>
      <c r="K1445" s="0" t="s">
        <v>175</v>
      </c>
      <c r="L1445" s="1" t="s">
        <v>176</v>
      </c>
      <c r="M1445" s="0" t="s">
        <v>6689</v>
      </c>
      <c r="N1445" s="0" t="str">
        <f aca="false">RIGHT(M1445,LEN(M1445)-FIND(" ",M1445))</f>
        <v>LARCHMONT AVE NE</v>
      </c>
      <c r="P1445" s="0" t="s">
        <v>146</v>
      </c>
      <c r="Q1445" s="0" t="s">
        <v>147</v>
      </c>
      <c r="R1445" s="0" t="n">
        <v>44483</v>
      </c>
      <c r="AD1445" s="0" t="s">
        <v>148</v>
      </c>
      <c r="AE1445" s="0" t="s">
        <v>149</v>
      </c>
      <c r="AF1445" s="0" t="s">
        <v>150</v>
      </c>
      <c r="AH1445" s="0" t="n">
        <v>14</v>
      </c>
      <c r="AI1445" s="0" t="n">
        <v>11</v>
      </c>
      <c r="AN1445" s="0" t="s">
        <v>146</v>
      </c>
      <c r="AO1445" s="0" t="s">
        <v>236</v>
      </c>
      <c r="AP1445" s="0" t="s">
        <v>237</v>
      </c>
      <c r="AQ1445" s="0" t="n">
        <v>9</v>
      </c>
      <c r="AR1445" s="0" t="n">
        <v>64</v>
      </c>
      <c r="AS1445" s="0" t="n">
        <v>32</v>
      </c>
      <c r="AU1445" s="0" t="n">
        <f aca="false">COUNTA($BA$813:$EH$813)</f>
        <v>1</v>
      </c>
      <c r="AV1445" s="0" t="n">
        <f aca="false">COUNTIF($BA$813:$EH$813,"D")</f>
        <v>0</v>
      </c>
      <c r="AW1445" s="0" t="n">
        <f aca="false">COUNTIF($BA$813:$EH$813,"R")</f>
        <v>0</v>
      </c>
      <c r="AX1445" s="0" t="n">
        <f aca="false"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>0</v>
      </c>
      <c r="AY1445" s="0" t="n">
        <f aca="false">COUNTIF(DU1445:EH1445, "&lt;&gt;")</f>
        <v>3</v>
      </c>
      <c r="AZ1445" s="0" t="n">
        <f aca="false">IF(EH1445&lt;&gt;"",1,0)</f>
        <v>0</v>
      </c>
      <c r="BB1445" s="0" t="s">
        <v>153</v>
      </c>
      <c r="CP1445" s="0" t="s">
        <v>154</v>
      </c>
      <c r="CV1445" s="0" t="s">
        <v>154</v>
      </c>
      <c r="DC1445" s="0" t="s">
        <v>154</v>
      </c>
      <c r="DI1445" s="0" t="s">
        <v>154</v>
      </c>
      <c r="DN1445" s="0" t="s">
        <v>154</v>
      </c>
      <c r="DU1445" s="0" t="s">
        <v>154</v>
      </c>
      <c r="ED1445" s="0" t="s">
        <v>176</v>
      </c>
      <c r="EF1445" s="0" t="s">
        <v>154</v>
      </c>
    </row>
    <row r="1446" customFormat="false" ht="13.8" hidden="true" customHeight="false" outlineLevel="0" collapsed="false">
      <c r="A1446" s="0" t="s">
        <v>6692</v>
      </c>
      <c r="B1446" s="0" t="n">
        <v>78</v>
      </c>
      <c r="C1446" s="0" t="n">
        <v>374096</v>
      </c>
      <c r="D1446" s="0" t="s">
        <v>3385</v>
      </c>
      <c r="E1446" s="0" t="s">
        <v>1122</v>
      </c>
      <c r="F1446" s="0" t="str">
        <f aca="false">CONCATENATE(D1446," ",LEFT(H1446,4),"T=",AU1446,"D=",AV1446,"R=",AW1446,"M=",AX1446,"L=",AY1446,"B=",AZ1446)</f>
        <v>RHINE T=3D=0R=0M=0L=0B=0</v>
      </c>
      <c r="G1446" s="0" t="s">
        <v>430</v>
      </c>
      <c r="I1446" s="0" t="s">
        <v>6693</v>
      </c>
      <c r="J1446" s="0" t="s">
        <v>357</v>
      </c>
      <c r="K1446" s="0" t="s">
        <v>144</v>
      </c>
      <c r="L1446" s="0"/>
      <c r="M1446" s="0" t="s">
        <v>6694</v>
      </c>
      <c r="N1446" s="0" t="str">
        <f aca="false">RIGHT(M1446,LEN(M1446)-FIND(" ",M1446))</f>
        <v>LARCHMONT AVE NE</v>
      </c>
      <c r="P1446" s="0" t="s">
        <v>146</v>
      </c>
      <c r="Q1446" s="0" t="s">
        <v>147</v>
      </c>
      <c r="R1446" s="0" t="n">
        <v>44483</v>
      </c>
      <c r="AD1446" s="0" t="s">
        <v>148</v>
      </c>
      <c r="AE1446" s="0" t="s">
        <v>149</v>
      </c>
      <c r="AF1446" s="0" t="s">
        <v>150</v>
      </c>
      <c r="AH1446" s="0" t="n">
        <v>14</v>
      </c>
      <c r="AI1446" s="0" t="n">
        <v>11</v>
      </c>
      <c r="AN1446" s="0" t="s">
        <v>146</v>
      </c>
      <c r="AO1446" s="0" t="s">
        <v>236</v>
      </c>
      <c r="AP1446" s="0" t="s">
        <v>237</v>
      </c>
      <c r="AQ1446" s="0" t="n">
        <v>9</v>
      </c>
      <c r="AR1446" s="0" t="n">
        <v>64</v>
      </c>
      <c r="AS1446" s="0" t="n">
        <v>32</v>
      </c>
      <c r="AU1446" s="0" t="n">
        <f aca="false">COUNTA($BA$298:$EH$298)</f>
        <v>3</v>
      </c>
      <c r="AV1446" s="0" t="n">
        <f aca="false">COUNTIF($BA$298:$EH$298,"D")</f>
        <v>0</v>
      </c>
      <c r="AW1446" s="0" t="n">
        <f aca="false">COUNTIF($BA$298:$EH$298,"R")</f>
        <v>0</v>
      </c>
      <c r="AX1446" s="0" t="n">
        <f aca="false"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>0</v>
      </c>
      <c r="AY1446" s="0" t="n">
        <f aca="false">COUNTIF(DU1446:EH1446, "&lt;&gt;")</f>
        <v>0</v>
      </c>
      <c r="AZ1446" s="0" t="n">
        <f aca="false">IF(EH1446&lt;&gt;"",1,0)</f>
        <v>0</v>
      </c>
      <c r="BB1446" s="0" t="s">
        <v>153</v>
      </c>
    </row>
    <row r="1447" customFormat="false" ht="13.8" hidden="true" customHeight="false" outlineLevel="0" collapsed="false">
      <c r="A1447" s="0" t="s">
        <v>6695</v>
      </c>
      <c r="B1447" s="0" t="n">
        <v>78</v>
      </c>
      <c r="C1447" s="0" t="n">
        <v>476652</v>
      </c>
      <c r="D1447" s="0" t="s">
        <v>6696</v>
      </c>
      <c r="E1447" s="0" t="s">
        <v>6697</v>
      </c>
      <c r="F1447" s="0" t="str">
        <f aca="false">CONCATENATE(D1447," ",LEFT(H1447,4),"T=",AU1447,"D=",AV1447,"R=",AW1447,"M=",AX1447,"L=",AY1447,"B=",AZ1447)</f>
        <v>STEVENSON T=1D=0R=0M=0L=0B=0</v>
      </c>
      <c r="G1447" s="0" t="s">
        <v>176</v>
      </c>
      <c r="I1447" s="0" t="s">
        <v>6698</v>
      </c>
      <c r="J1447" s="0" t="s">
        <v>2913</v>
      </c>
      <c r="K1447" s="0" t="s">
        <v>175</v>
      </c>
      <c r="L1447" s="0"/>
      <c r="M1447" s="0" t="s">
        <v>6699</v>
      </c>
      <c r="N1447" s="0" t="str">
        <f aca="false">RIGHT(M1447,LEN(M1447)-FIND(" ",M1447))</f>
        <v>LARCHMONT AVE NE</v>
      </c>
      <c r="P1447" s="0" t="s">
        <v>146</v>
      </c>
      <c r="Q1447" s="0" t="s">
        <v>147</v>
      </c>
      <c r="R1447" s="0" t="n">
        <v>44483</v>
      </c>
      <c r="AD1447" s="0" t="s">
        <v>148</v>
      </c>
      <c r="AE1447" s="0" t="s">
        <v>149</v>
      </c>
      <c r="AF1447" s="0" t="s">
        <v>150</v>
      </c>
      <c r="AH1447" s="0" t="n">
        <v>14</v>
      </c>
      <c r="AI1447" s="0" t="n">
        <v>11</v>
      </c>
      <c r="AN1447" s="0" t="s">
        <v>146</v>
      </c>
      <c r="AO1447" s="0" t="s">
        <v>236</v>
      </c>
      <c r="AP1447" s="0" t="s">
        <v>237</v>
      </c>
      <c r="AQ1447" s="0" t="n">
        <v>9</v>
      </c>
      <c r="AR1447" s="0" t="n">
        <v>64</v>
      </c>
      <c r="AS1447" s="0" t="n">
        <v>32</v>
      </c>
      <c r="AU1447" s="0" t="n">
        <f aca="false">COUNTA($BA$607:$EH$607)</f>
        <v>1</v>
      </c>
      <c r="AV1447" s="0" t="n">
        <f aca="false">COUNTIF($BA$607:$EH$607,"D")</f>
        <v>0</v>
      </c>
      <c r="AW1447" s="0" t="n">
        <f aca="false">COUNTIF($BA$607:$EH$607,"R")</f>
        <v>0</v>
      </c>
      <c r="AX1447" s="0" t="n">
        <f aca="false"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>0</v>
      </c>
      <c r="AY1447" s="0" t="n">
        <f aca="false">COUNTIF(DU1447:EH1447, "&lt;&gt;")</f>
        <v>0</v>
      </c>
      <c r="AZ1447" s="0" t="n">
        <f aca="false">IF(EH1447&lt;&gt;"",1,0)</f>
        <v>0</v>
      </c>
      <c r="BB1447" s="0" t="s">
        <v>153</v>
      </c>
    </row>
    <row r="1448" customFormat="false" ht="13.8" hidden="false" customHeight="false" outlineLevel="0" collapsed="false">
      <c r="A1448" s="0" t="s">
        <v>6700</v>
      </c>
      <c r="B1448" s="0" t="n">
        <v>78</v>
      </c>
      <c r="C1448" s="0" t="n">
        <v>486988</v>
      </c>
      <c r="D1448" s="0" t="s">
        <v>6701</v>
      </c>
      <c r="E1448" s="0" t="s">
        <v>430</v>
      </c>
      <c r="F1448" s="0" t="str">
        <f aca="false">CONCATENATE(D1448," ",LEFT(H1448,4),"T=",AU1448,"D=",AV1448,"R=",AW1448,"M=",AX1448,"L=",AY1448,"B=",AZ1448)</f>
        <v>HOLLOWAY T=5D=1R=0M=0L=3B=0</v>
      </c>
      <c r="G1448" s="0" t="s">
        <v>2293</v>
      </c>
      <c r="I1448" s="0" t="s">
        <v>6702</v>
      </c>
      <c r="J1448" s="0" t="s">
        <v>6703</v>
      </c>
      <c r="K1448" s="0" t="s">
        <v>175</v>
      </c>
      <c r="M1448" s="0" t="s">
        <v>6704</v>
      </c>
      <c r="N1448" s="0" t="str">
        <f aca="false">RIGHT(M1448,LEN(M1448)-FIND(" ",M1448))</f>
        <v>LARCHMONT AVE NE</v>
      </c>
      <c r="P1448" s="0" t="s">
        <v>146</v>
      </c>
      <c r="Q1448" s="0" t="s">
        <v>147</v>
      </c>
      <c r="R1448" s="0" t="n">
        <v>44483</v>
      </c>
      <c r="AD1448" s="0" t="s">
        <v>148</v>
      </c>
      <c r="AE1448" s="0" t="s">
        <v>149</v>
      </c>
      <c r="AF1448" s="0" t="s">
        <v>150</v>
      </c>
      <c r="AH1448" s="0" t="n">
        <v>14</v>
      </c>
      <c r="AI1448" s="0" t="n">
        <v>11</v>
      </c>
      <c r="AN1448" s="0" t="s">
        <v>146</v>
      </c>
      <c r="AO1448" s="0" t="s">
        <v>236</v>
      </c>
      <c r="AP1448" s="0" t="s">
        <v>237</v>
      </c>
      <c r="AQ1448" s="0" t="n">
        <v>9</v>
      </c>
      <c r="AR1448" s="0" t="n">
        <v>64</v>
      </c>
      <c r="AS1448" s="0" t="n">
        <v>32</v>
      </c>
      <c r="AU1448" s="0" t="n">
        <f aca="false">COUNTA($BA$12:$EH$12)</f>
        <v>5</v>
      </c>
      <c r="AV1448" s="0" t="n">
        <f aca="false">COUNTIF($BA$12:$EH$12,"D")</f>
        <v>1</v>
      </c>
      <c r="AW1448" s="0" t="n">
        <f aca="false">COUNTIF($BA$12:$EH$12,"R")</f>
        <v>0</v>
      </c>
      <c r="AX1448" s="0" t="n">
        <f aca="false"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>0</v>
      </c>
      <c r="AY1448" s="0" t="n">
        <f aca="false">COUNTIF(DU1448:EH1448, "&lt;&gt;")</f>
        <v>3</v>
      </c>
      <c r="AZ1448" s="0" t="n">
        <f aca="false">IF(EH1448&lt;&gt;"",1,0)</f>
        <v>0</v>
      </c>
      <c r="BB1448" s="0" t="s">
        <v>153</v>
      </c>
      <c r="CP1448" s="0" t="s">
        <v>154</v>
      </c>
      <c r="CZ1448" s="0" t="s">
        <v>176</v>
      </c>
      <c r="DC1448" s="0" t="s">
        <v>154</v>
      </c>
      <c r="DI1448" s="0" t="s">
        <v>154</v>
      </c>
      <c r="DU1448" s="0" t="s">
        <v>154</v>
      </c>
      <c r="EA1448" s="0" t="s">
        <v>154</v>
      </c>
      <c r="EF1448" s="0" t="s">
        <v>154</v>
      </c>
    </row>
    <row r="1449" customFormat="false" ht="13.8" hidden="true" customHeight="false" outlineLevel="0" collapsed="false">
      <c r="A1449" s="0" t="s">
        <v>6705</v>
      </c>
      <c r="B1449" s="0" t="n">
        <v>78</v>
      </c>
      <c r="C1449" s="0" t="n">
        <v>381090</v>
      </c>
      <c r="D1449" s="0" t="s">
        <v>6706</v>
      </c>
      <c r="E1449" s="0" t="s">
        <v>176</v>
      </c>
      <c r="F1449" s="0" t="str">
        <f aca="false">CONCATENATE(D1449," ",LEFT(H1449,4),"T=",AU1449,"D=",AV1449,"R=",AW1449,"M=",AX1449,"L=",AY1449,"B=",AZ1449)</f>
        <v>KUNDENREICH T=1D=0R=0M=0L=0B=0</v>
      </c>
      <c r="G1449" s="0" t="s">
        <v>2293</v>
      </c>
      <c r="I1449" s="0" t="s">
        <v>6707</v>
      </c>
      <c r="J1449" s="0" t="s">
        <v>1508</v>
      </c>
      <c r="K1449" s="0" t="s">
        <v>144</v>
      </c>
      <c r="L1449" s="0"/>
      <c r="M1449" s="0" t="s">
        <v>6708</v>
      </c>
      <c r="N1449" s="0" t="str">
        <f aca="false">RIGHT(M1449,LEN(M1449)-FIND(" ",M1449))</f>
        <v>LARCHMONT AVE NE</v>
      </c>
      <c r="P1449" s="0" t="s">
        <v>146</v>
      </c>
      <c r="Q1449" s="0" t="s">
        <v>147</v>
      </c>
      <c r="R1449" s="0" t="n">
        <v>44483</v>
      </c>
      <c r="AD1449" s="0" t="s">
        <v>148</v>
      </c>
      <c r="AE1449" s="0" t="s">
        <v>149</v>
      </c>
      <c r="AF1449" s="0" t="s">
        <v>150</v>
      </c>
      <c r="AH1449" s="0" t="n">
        <v>14</v>
      </c>
      <c r="AI1449" s="0" t="n">
        <v>11</v>
      </c>
      <c r="AN1449" s="0" t="s">
        <v>146</v>
      </c>
      <c r="AO1449" s="0" t="s">
        <v>236</v>
      </c>
      <c r="AP1449" s="0" t="s">
        <v>237</v>
      </c>
      <c r="AQ1449" s="0" t="n">
        <v>9</v>
      </c>
      <c r="AR1449" s="0" t="n">
        <v>64</v>
      </c>
      <c r="AS1449" s="0" t="n">
        <v>32</v>
      </c>
      <c r="AU1449" s="0" t="n">
        <f aca="false">COUNTA($BA$232:$EH$232)</f>
        <v>1</v>
      </c>
      <c r="AV1449" s="0" t="n">
        <f aca="false">COUNTIF($BA$232:$EH$232,"D")</f>
        <v>0</v>
      </c>
      <c r="AW1449" s="0" t="n">
        <f aca="false">COUNTIF($BA$232:$EH$232,"R")</f>
        <v>0</v>
      </c>
      <c r="AX1449" s="0" t="n">
        <f aca="false"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>0</v>
      </c>
      <c r="AY1449" s="0" t="n">
        <f aca="false">COUNTIF(DU1449:EH1449, "&lt;&gt;")</f>
        <v>0</v>
      </c>
      <c r="AZ1449" s="0" t="n">
        <f aca="false">IF(EH1449&lt;&gt;"",1,0)</f>
        <v>0</v>
      </c>
      <c r="BB1449" s="0" t="s">
        <v>153</v>
      </c>
      <c r="CY1449" s="0" t="s">
        <v>154</v>
      </c>
    </row>
    <row r="1450" customFormat="false" ht="13.8" hidden="true" customHeight="false" outlineLevel="0" collapsed="false">
      <c r="A1450" s="0" t="s">
        <v>6709</v>
      </c>
      <c r="B1450" s="0" t="n">
        <v>78</v>
      </c>
      <c r="C1450" s="0" t="n">
        <v>437660</v>
      </c>
      <c r="D1450" s="0" t="s">
        <v>6710</v>
      </c>
      <c r="E1450" s="0" t="s">
        <v>471</v>
      </c>
      <c r="F1450" s="0" t="str">
        <f aca="false">CONCATENATE(D1450," ",LEFT(H1450,4),"T=",AU1450,"D=",AV1450,"R=",AW1450,"M=",AX1450,"L=",AY1450,"B=",AZ1450)</f>
        <v>RAUSCHENBACH T=2D=0R=0M=0L=0B=0</v>
      </c>
      <c r="G1450" s="0" t="s">
        <v>172</v>
      </c>
      <c r="I1450" s="0" t="s">
        <v>6711</v>
      </c>
      <c r="J1450" s="0" t="s">
        <v>6712</v>
      </c>
      <c r="K1450" s="0" t="s">
        <v>175</v>
      </c>
      <c r="L1450" s="0"/>
      <c r="M1450" s="0" t="s">
        <v>6708</v>
      </c>
      <c r="N1450" s="0" t="str">
        <f aca="false">RIGHT(M1450,LEN(M1450)-FIND(" ",M1450))</f>
        <v>LARCHMONT AVE NE</v>
      </c>
      <c r="P1450" s="0" t="s">
        <v>146</v>
      </c>
      <c r="Q1450" s="0" t="s">
        <v>147</v>
      </c>
      <c r="R1450" s="0" t="n">
        <v>44483</v>
      </c>
      <c r="AD1450" s="0" t="s">
        <v>148</v>
      </c>
      <c r="AE1450" s="0" t="s">
        <v>149</v>
      </c>
      <c r="AF1450" s="0" t="s">
        <v>150</v>
      </c>
      <c r="AH1450" s="0" t="n">
        <v>14</v>
      </c>
      <c r="AI1450" s="0" t="n">
        <v>11</v>
      </c>
      <c r="AN1450" s="0" t="s">
        <v>146</v>
      </c>
      <c r="AO1450" s="0" t="s">
        <v>236</v>
      </c>
      <c r="AP1450" s="0" t="s">
        <v>237</v>
      </c>
      <c r="AQ1450" s="0" t="n">
        <v>9</v>
      </c>
      <c r="AR1450" s="0" t="n">
        <v>64</v>
      </c>
      <c r="AS1450" s="0" t="n">
        <v>32</v>
      </c>
      <c r="AU1450" s="0" t="n">
        <f aca="false">COUNTA($BA$295:$EH$295)</f>
        <v>2</v>
      </c>
      <c r="AV1450" s="0" t="n">
        <f aca="false">COUNTIF($BA$295:$EH$295,"D")</f>
        <v>0</v>
      </c>
      <c r="AW1450" s="0" t="n">
        <f aca="false">COUNTIF($BA$295:$EH$295,"R")</f>
        <v>0</v>
      </c>
      <c r="AX1450" s="0" t="n">
        <f aca="false"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>0</v>
      </c>
      <c r="AY1450" s="0" t="n">
        <f aca="false">COUNTIF(DU1450:EH1450, "&lt;&gt;")</f>
        <v>0</v>
      </c>
      <c r="AZ1450" s="0" t="n">
        <f aca="false">IF(EH1450&lt;&gt;"",1,0)</f>
        <v>0</v>
      </c>
      <c r="BB1450" s="0" t="s">
        <v>153</v>
      </c>
    </row>
    <row r="1451" customFormat="false" ht="13.8" hidden="true" customHeight="false" outlineLevel="0" collapsed="false">
      <c r="A1451" s="0" t="s">
        <v>6713</v>
      </c>
      <c r="B1451" s="0" t="n">
        <v>78</v>
      </c>
      <c r="C1451" s="0" t="n">
        <v>431999</v>
      </c>
      <c r="D1451" s="0" t="s">
        <v>6714</v>
      </c>
      <c r="E1451" s="0" t="s">
        <v>6715</v>
      </c>
      <c r="F1451" s="0" t="str">
        <f aca="false">CONCATENATE(D1451," ",LEFT(H1451,4),"T=",AU1451,"D=",AV1451,"R=",AW1451,"M=",AX1451,"L=",AY1451,"B=",AZ1451)</f>
        <v>CONSLRUCK T=2D=0R=0M=0L=1B=0</v>
      </c>
      <c r="I1451" s="0" t="s">
        <v>2424</v>
      </c>
      <c r="J1451" s="0" t="s">
        <v>3725</v>
      </c>
      <c r="K1451" s="0" t="s">
        <v>175</v>
      </c>
      <c r="L1451" s="0"/>
      <c r="M1451" s="0" t="s">
        <v>6716</v>
      </c>
      <c r="N1451" s="0" t="str">
        <f aca="false">RIGHT(M1451,LEN(M1451)-FIND(" ",M1451))</f>
        <v>LARCHMONT AVE NE</v>
      </c>
      <c r="P1451" s="0" t="s">
        <v>146</v>
      </c>
      <c r="Q1451" s="0" t="s">
        <v>147</v>
      </c>
      <c r="R1451" s="0" t="n">
        <v>44483</v>
      </c>
      <c r="AD1451" s="0" t="s">
        <v>148</v>
      </c>
      <c r="AE1451" s="0" t="s">
        <v>149</v>
      </c>
      <c r="AF1451" s="0" t="s">
        <v>150</v>
      </c>
      <c r="AH1451" s="0" t="n">
        <v>14</v>
      </c>
      <c r="AI1451" s="0" t="n">
        <v>11</v>
      </c>
      <c r="AN1451" s="0" t="s">
        <v>146</v>
      </c>
      <c r="AO1451" s="0" t="s">
        <v>236</v>
      </c>
      <c r="AP1451" s="0" t="s">
        <v>237</v>
      </c>
      <c r="AQ1451" s="0" t="n">
        <v>9</v>
      </c>
      <c r="AR1451" s="0" t="n">
        <v>64</v>
      </c>
      <c r="AS1451" s="0" t="n">
        <v>32</v>
      </c>
      <c r="AU1451" s="0" t="n">
        <f aca="false">COUNTA($BA$425:$EH$425)</f>
        <v>2</v>
      </c>
      <c r="AV1451" s="0" t="n">
        <f aca="false">COUNTIF($BA$425:$EH$425,"D")</f>
        <v>0</v>
      </c>
      <c r="AW1451" s="0" t="n">
        <f aca="false">COUNTIF($BA$425:$EH$425,"R")</f>
        <v>0</v>
      </c>
      <c r="AX1451" s="0" t="n">
        <f aca="false"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>0</v>
      </c>
      <c r="AY1451" s="0" t="n">
        <f aca="false">COUNTIF(DU1451:EH1451, "&lt;&gt;")</f>
        <v>1</v>
      </c>
      <c r="AZ1451" s="0" t="n">
        <f aca="false">IF(EH1451&lt;&gt;"",1,0)</f>
        <v>0</v>
      </c>
      <c r="BB1451" s="0" t="s">
        <v>153</v>
      </c>
      <c r="DN1451" s="0" t="s">
        <v>154</v>
      </c>
      <c r="EF1451" s="0" t="s">
        <v>154</v>
      </c>
    </row>
    <row r="1452" customFormat="false" ht="13.8" hidden="true" customHeight="false" outlineLevel="0" collapsed="false">
      <c r="A1452" s="0" t="s">
        <v>6717</v>
      </c>
      <c r="B1452" s="0" t="n">
        <v>78</v>
      </c>
      <c r="C1452" s="0" t="n">
        <v>385663</v>
      </c>
      <c r="D1452" s="0" t="s">
        <v>949</v>
      </c>
      <c r="E1452" s="0" t="s">
        <v>6718</v>
      </c>
      <c r="F1452" s="0" t="str">
        <f aca="false">CONCATENATE(D1452," ",LEFT(H1452,4),"T=",AU1452,"D=",AV1452,"R=",AW1452,"M=",AX1452,"L=",AY1452,"B=",AZ1452)</f>
        <v>RODGERS T=2D=0R=0M=0L=0B=0</v>
      </c>
      <c r="G1452" s="0" t="s">
        <v>329</v>
      </c>
      <c r="I1452" s="0" t="s">
        <v>6719</v>
      </c>
      <c r="J1452" s="0" t="s">
        <v>6720</v>
      </c>
      <c r="K1452" s="0" t="s">
        <v>144</v>
      </c>
      <c r="L1452" s="0"/>
      <c r="M1452" s="0" t="s">
        <v>6721</v>
      </c>
      <c r="N1452" s="0" t="str">
        <f aca="false">RIGHT(M1452,LEN(M1452)-FIND(" ",M1452))</f>
        <v>LARCHMONT AVE NE</v>
      </c>
      <c r="P1452" s="0" t="s">
        <v>146</v>
      </c>
      <c r="Q1452" s="0" t="s">
        <v>147</v>
      </c>
      <c r="R1452" s="0" t="n">
        <v>44483</v>
      </c>
      <c r="AD1452" s="0" t="s">
        <v>148</v>
      </c>
      <c r="AE1452" s="0" t="s">
        <v>149</v>
      </c>
      <c r="AF1452" s="0" t="s">
        <v>150</v>
      </c>
      <c r="AH1452" s="0" t="n">
        <v>14</v>
      </c>
      <c r="AI1452" s="0" t="n">
        <v>11</v>
      </c>
      <c r="AN1452" s="0" t="s">
        <v>146</v>
      </c>
      <c r="AO1452" s="0" t="s">
        <v>236</v>
      </c>
      <c r="AP1452" s="0" t="s">
        <v>237</v>
      </c>
      <c r="AQ1452" s="0" t="n">
        <v>9</v>
      </c>
      <c r="AR1452" s="0" t="n">
        <v>64</v>
      </c>
      <c r="AS1452" s="0" t="n">
        <v>32</v>
      </c>
      <c r="AU1452" s="0" t="n">
        <f aca="false">COUNTA($BA$26:$EH$26)</f>
        <v>2</v>
      </c>
      <c r="AV1452" s="0" t="n">
        <f aca="false">COUNTIF($BA$26:$EH$26,"D")</f>
        <v>0</v>
      </c>
      <c r="AW1452" s="0" t="n">
        <f aca="false">COUNTIF($BA$26:$EH$26,"R")</f>
        <v>0</v>
      </c>
      <c r="AX1452" s="0" t="n">
        <f aca="false"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>0</v>
      </c>
      <c r="AY1452" s="0" t="n">
        <f aca="false">COUNTIF(DU1452:EH1452, "&lt;&gt;")</f>
        <v>0</v>
      </c>
      <c r="AZ1452" s="0" t="n">
        <f aca="false">IF(EH1452&lt;&gt;"",1,0)</f>
        <v>0</v>
      </c>
      <c r="BB1452" s="0" t="s">
        <v>153</v>
      </c>
    </row>
    <row r="1453" customFormat="false" ht="13.8" hidden="true" customHeight="false" outlineLevel="0" collapsed="false">
      <c r="A1453" s="0" t="s">
        <v>6722</v>
      </c>
      <c r="B1453" s="0" t="n">
        <v>78</v>
      </c>
      <c r="C1453" s="0" t="n">
        <v>475733</v>
      </c>
      <c r="D1453" s="0" t="s">
        <v>6723</v>
      </c>
      <c r="E1453" s="0" t="s">
        <v>376</v>
      </c>
      <c r="F1453" s="0" t="str">
        <f aca="false">CONCATENATE(D1453," ",LEFT(H1453,4),"T=",AU1453,"D=",AV1453,"R=",AW1453,"M=",AX1453,"L=",AY1453,"B=",AZ1453)</f>
        <v>LAMBERT T=4D=2R=0M=0L=0B=0</v>
      </c>
      <c r="G1453" s="0" t="s">
        <v>176</v>
      </c>
      <c r="I1453" s="0" t="s">
        <v>6724</v>
      </c>
      <c r="J1453" s="0" t="s">
        <v>6725</v>
      </c>
      <c r="K1453" s="0" t="s">
        <v>175</v>
      </c>
      <c r="L1453" s="0"/>
      <c r="M1453" s="0" t="s">
        <v>6721</v>
      </c>
      <c r="N1453" s="0" t="str">
        <f aca="false">RIGHT(M1453,LEN(M1453)-FIND(" ",M1453))</f>
        <v>LARCHMONT AVE NE</v>
      </c>
      <c r="P1453" s="0" t="s">
        <v>146</v>
      </c>
      <c r="Q1453" s="0" t="s">
        <v>147</v>
      </c>
      <c r="R1453" s="0" t="n">
        <v>44483</v>
      </c>
      <c r="AD1453" s="0" t="s">
        <v>148</v>
      </c>
      <c r="AE1453" s="0" t="s">
        <v>149</v>
      </c>
      <c r="AF1453" s="0" t="s">
        <v>150</v>
      </c>
      <c r="AH1453" s="0" t="n">
        <v>14</v>
      </c>
      <c r="AI1453" s="0" t="n">
        <v>11</v>
      </c>
      <c r="AN1453" s="0" t="s">
        <v>146</v>
      </c>
      <c r="AO1453" s="0" t="s">
        <v>236</v>
      </c>
      <c r="AP1453" s="0" t="s">
        <v>237</v>
      </c>
      <c r="AQ1453" s="0" t="n">
        <v>9</v>
      </c>
      <c r="AR1453" s="0" t="n">
        <v>64</v>
      </c>
      <c r="AS1453" s="0" t="n">
        <v>32</v>
      </c>
      <c r="AU1453" s="0" t="n">
        <f aca="false">COUNTA($BA$1084:$EH$1084)</f>
        <v>4</v>
      </c>
      <c r="AV1453" s="0" t="n">
        <f aca="false">COUNTIF($BA$1084:$EH$1084,"D")</f>
        <v>2</v>
      </c>
      <c r="AW1453" s="0" t="n">
        <f aca="false">COUNTIF($BA$1084:$EH$1084,"R")</f>
        <v>0</v>
      </c>
      <c r="AX1453" s="0" t="n">
        <f aca="false"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>0</v>
      </c>
      <c r="AY1453" s="0" t="n">
        <f aca="false">COUNTIF(DU1453:EH1453, "&lt;&gt;")</f>
        <v>0</v>
      </c>
      <c r="AZ1453" s="0" t="n">
        <f aca="false">IF(EH1453&lt;&gt;"",1,0)</f>
        <v>0</v>
      </c>
      <c r="BB1453" s="0" t="s">
        <v>153</v>
      </c>
    </row>
    <row r="1454" customFormat="false" ht="13.8" hidden="false" customHeight="false" outlineLevel="0" collapsed="false">
      <c r="A1454" s="0" t="s">
        <v>6726</v>
      </c>
      <c r="B1454" s="0" t="n">
        <v>78</v>
      </c>
      <c r="C1454" s="0" t="n">
        <v>428663</v>
      </c>
      <c r="D1454" s="0" t="s">
        <v>6727</v>
      </c>
      <c r="E1454" s="0" t="s">
        <v>6728</v>
      </c>
      <c r="F1454" s="0" t="str">
        <f aca="false">CONCATENATE(D1454," ",LEFT(H1454,4),"T=",AU1454,"D=",AV1454,"R=",AW1454,"M=",AX1454,"L=",AY1454,"B=",AZ1454)</f>
        <v>HARIS T=1D=0R=0M=0L=3B=0</v>
      </c>
      <c r="I1454" s="0" t="s">
        <v>6729</v>
      </c>
      <c r="J1454" s="0" t="s">
        <v>6730</v>
      </c>
      <c r="K1454" s="0" t="s">
        <v>175</v>
      </c>
      <c r="M1454" s="0" t="s">
        <v>6731</v>
      </c>
      <c r="N1454" s="0" t="str">
        <f aca="false">RIGHT(M1454,LEN(M1454)-FIND(" ",M1454))</f>
        <v>LARCHMONT AVE NE</v>
      </c>
      <c r="P1454" s="0" t="s">
        <v>146</v>
      </c>
      <c r="Q1454" s="0" t="s">
        <v>147</v>
      </c>
      <c r="R1454" s="0" t="n">
        <v>44483</v>
      </c>
      <c r="AD1454" s="0" t="s">
        <v>148</v>
      </c>
      <c r="AE1454" s="0" t="s">
        <v>149</v>
      </c>
      <c r="AF1454" s="0" t="s">
        <v>150</v>
      </c>
      <c r="AH1454" s="0" t="n">
        <v>14</v>
      </c>
      <c r="AI1454" s="0" t="n">
        <v>11</v>
      </c>
      <c r="AN1454" s="0" t="s">
        <v>146</v>
      </c>
      <c r="AO1454" s="0" t="s">
        <v>236</v>
      </c>
      <c r="AP1454" s="0" t="s">
        <v>237</v>
      </c>
      <c r="AQ1454" s="0" t="n">
        <v>9</v>
      </c>
      <c r="AR1454" s="0" t="n">
        <v>64</v>
      </c>
      <c r="AS1454" s="0" t="n">
        <v>32</v>
      </c>
      <c r="AU1454" s="0" t="n">
        <f aca="false">COUNTA($BA$967:$EH$967)</f>
        <v>1</v>
      </c>
      <c r="AV1454" s="0" t="n">
        <f aca="false">COUNTIF($BA$967:$EH$967,"D")</f>
        <v>0</v>
      </c>
      <c r="AW1454" s="0" t="n">
        <f aca="false">COUNTIF($BA$967:$EH$967,"R")</f>
        <v>0</v>
      </c>
      <c r="AX1454" s="0" t="n">
        <f aca="false"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>0</v>
      </c>
      <c r="AY1454" s="0" t="n">
        <f aca="false">COUNTIF(DU1454:EH1454, "&lt;&gt;")</f>
        <v>3</v>
      </c>
      <c r="AZ1454" s="0" t="n">
        <f aca="false">IF(EH1454&lt;&gt;"",1,0)</f>
        <v>0</v>
      </c>
      <c r="BB1454" s="0" t="s">
        <v>153</v>
      </c>
      <c r="DG1454" s="0" t="s">
        <v>155</v>
      </c>
      <c r="DI1454" s="0" t="s">
        <v>154</v>
      </c>
      <c r="DL1454" s="0" t="s">
        <v>154</v>
      </c>
      <c r="DN1454" s="0" t="s">
        <v>154</v>
      </c>
      <c r="DR1454" s="0" t="s">
        <v>154</v>
      </c>
      <c r="DU1454" s="0" t="s">
        <v>154</v>
      </c>
      <c r="DX1454" s="0" t="s">
        <v>154</v>
      </c>
      <c r="EA1454" s="0" t="s">
        <v>154</v>
      </c>
    </row>
    <row r="1455" customFormat="false" ht="13.8" hidden="true" customHeight="false" outlineLevel="0" collapsed="false">
      <c r="A1455" s="0" t="s">
        <v>6732</v>
      </c>
      <c r="B1455" s="0" t="n">
        <v>78</v>
      </c>
      <c r="C1455" s="0" t="n">
        <v>357247</v>
      </c>
      <c r="D1455" s="0" t="s">
        <v>6733</v>
      </c>
      <c r="E1455" s="0" t="s">
        <v>6734</v>
      </c>
      <c r="F1455" s="0" t="str">
        <f aca="false">CONCATENATE(D1455," ",LEFT(H1455,4),"T=",AU1455,"D=",AV1455,"R=",AW1455,"M=",AX1455,"L=",AY1455,"B=",AZ1455)</f>
        <v>BUNGARD T=31D=4R=1M=0L=0B=0</v>
      </c>
      <c r="G1455" s="0" t="s">
        <v>241</v>
      </c>
      <c r="I1455" s="0" t="s">
        <v>6735</v>
      </c>
      <c r="J1455" s="0" t="s">
        <v>6736</v>
      </c>
      <c r="K1455" s="0" t="s">
        <v>144</v>
      </c>
      <c r="L1455" s="0"/>
      <c r="M1455" s="0" t="s">
        <v>6737</v>
      </c>
      <c r="N1455" s="0" t="str">
        <f aca="false">RIGHT(M1455,LEN(M1455)-FIND(" ",M1455))</f>
        <v>LARCHMONT AVE NE</v>
      </c>
      <c r="P1455" s="0" t="s">
        <v>146</v>
      </c>
      <c r="Q1455" s="0" t="s">
        <v>147</v>
      </c>
      <c r="R1455" s="0" t="n">
        <v>44483</v>
      </c>
      <c r="AD1455" s="0" t="s">
        <v>148</v>
      </c>
      <c r="AE1455" s="0" t="s">
        <v>149</v>
      </c>
      <c r="AF1455" s="0" t="s">
        <v>150</v>
      </c>
      <c r="AH1455" s="0" t="n">
        <v>14</v>
      </c>
      <c r="AI1455" s="0" t="n">
        <v>11</v>
      </c>
      <c r="AN1455" s="0" t="s">
        <v>146</v>
      </c>
      <c r="AO1455" s="0" t="s">
        <v>236</v>
      </c>
      <c r="AP1455" s="0" t="s">
        <v>237</v>
      </c>
      <c r="AQ1455" s="0" t="n">
        <v>9</v>
      </c>
      <c r="AR1455" s="0" t="n">
        <v>64</v>
      </c>
      <c r="AS1455" s="0" t="n">
        <v>32</v>
      </c>
      <c r="AU1455" s="0" t="n">
        <f aca="false">COUNTA($BA$115:$EH$115)</f>
        <v>31</v>
      </c>
      <c r="AV1455" s="0" t="n">
        <f aca="false">COUNTIF($BA$115:$EH$115,"D")</f>
        <v>4</v>
      </c>
      <c r="AW1455" s="0" t="n">
        <f aca="false">COUNTIF($BA$115:$EH$115,"R")</f>
        <v>1</v>
      </c>
      <c r="AX1455" s="0" t="n">
        <f aca="false"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>0</v>
      </c>
      <c r="AY1455" s="0" t="n">
        <f aca="false">COUNTIF(DU1455:EH1455, "&lt;&gt;")</f>
        <v>0</v>
      </c>
      <c r="AZ1455" s="0" t="n">
        <f aca="false">IF(EH1455&lt;&gt;"",1,0)</f>
        <v>0</v>
      </c>
      <c r="BB1455" s="0" t="s">
        <v>153</v>
      </c>
    </row>
    <row r="1456" customFormat="false" ht="13.8" hidden="true" customHeight="false" outlineLevel="0" collapsed="false">
      <c r="A1456" s="0" t="s">
        <v>6738</v>
      </c>
      <c r="B1456" s="0" t="n">
        <v>78</v>
      </c>
      <c r="C1456" s="0" t="n">
        <v>488470</v>
      </c>
      <c r="D1456" s="0" t="s">
        <v>6739</v>
      </c>
      <c r="E1456" s="0" t="s">
        <v>6125</v>
      </c>
      <c r="F1456" s="0" t="str">
        <f aca="false">CONCATENATE(D1456," ",LEFT(H1456,4),"T=",AU1456,"D=",AV1456,"R=",AW1456,"M=",AX1456,"L=",AY1456,"B=",AZ1456)</f>
        <v>SEIFULLAH T=31D=13R=0M=0L=0B=0</v>
      </c>
      <c r="G1456" s="0" t="s">
        <v>297</v>
      </c>
      <c r="I1456" s="0" t="s">
        <v>6740</v>
      </c>
      <c r="J1456" s="0" t="s">
        <v>600</v>
      </c>
      <c r="K1456" s="0" t="s">
        <v>175</v>
      </c>
      <c r="L1456" s="0"/>
      <c r="M1456" s="0" t="s">
        <v>6737</v>
      </c>
      <c r="N1456" s="0" t="str">
        <f aca="false">RIGHT(M1456,LEN(M1456)-FIND(" ",M1456))</f>
        <v>LARCHMONT AVE NE</v>
      </c>
      <c r="P1456" s="0" t="s">
        <v>146</v>
      </c>
      <c r="Q1456" s="0" t="s">
        <v>147</v>
      </c>
      <c r="R1456" s="0" t="n">
        <v>44483</v>
      </c>
      <c r="AD1456" s="0" t="s">
        <v>148</v>
      </c>
      <c r="AE1456" s="0" t="s">
        <v>149</v>
      </c>
      <c r="AF1456" s="0" t="s">
        <v>150</v>
      </c>
      <c r="AH1456" s="0" t="n">
        <v>14</v>
      </c>
      <c r="AI1456" s="0" t="n">
        <v>11</v>
      </c>
      <c r="AN1456" s="0" t="s">
        <v>146</v>
      </c>
      <c r="AO1456" s="0" t="s">
        <v>236</v>
      </c>
      <c r="AP1456" s="0" t="s">
        <v>237</v>
      </c>
      <c r="AQ1456" s="0" t="n">
        <v>9</v>
      </c>
      <c r="AR1456" s="0" t="n">
        <v>64</v>
      </c>
      <c r="AS1456" s="0" t="n">
        <v>32</v>
      </c>
      <c r="AU1456" s="0" t="n">
        <f aca="false">COUNTA($BA$582:$EH$582)</f>
        <v>31</v>
      </c>
      <c r="AV1456" s="0" t="n">
        <f aca="false">COUNTIF($BA$582:$EH$582,"D")</f>
        <v>13</v>
      </c>
      <c r="AW1456" s="0" t="n">
        <f aca="false">COUNTIF($BA$582:$EH$582,"R")</f>
        <v>0</v>
      </c>
      <c r="AX1456" s="0" t="n">
        <f aca="false"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>0</v>
      </c>
      <c r="AY1456" s="0" t="n">
        <f aca="false">COUNTIF(DU1456:EH1456, "&lt;&gt;")</f>
        <v>0</v>
      </c>
      <c r="AZ1456" s="0" t="n">
        <f aca="false">IF(EH1456&lt;&gt;"",1,0)</f>
        <v>0</v>
      </c>
      <c r="BB1456" s="0" t="s">
        <v>153</v>
      </c>
    </row>
    <row r="1457" customFormat="false" ht="13.8" hidden="false" customHeight="false" outlineLevel="0" collapsed="false">
      <c r="A1457" s="0" t="s">
        <v>6741</v>
      </c>
      <c r="B1457" s="0" t="n">
        <v>78</v>
      </c>
      <c r="C1457" s="0" t="n">
        <v>4241</v>
      </c>
      <c r="D1457" s="0" t="s">
        <v>6742</v>
      </c>
      <c r="E1457" s="0" t="s">
        <v>2163</v>
      </c>
      <c r="F1457" s="0" t="str">
        <f aca="false">CONCATENATE(D1457," ",LEFT(H1457,4),"T=",AU1457,"D=",AV1457,"R=",AW1457,"M=",AX1457,"L=",AY1457,"B=",AZ1457)</f>
        <v>PAKULNIEWICZ T=15D=0R=4M=9L=7B=1</v>
      </c>
      <c r="G1457" s="0" t="s">
        <v>172</v>
      </c>
      <c r="I1457" s="0" t="s">
        <v>6743</v>
      </c>
      <c r="J1457" s="0" t="s">
        <v>6744</v>
      </c>
      <c r="K1457" s="0" t="s">
        <v>175</v>
      </c>
      <c r="L1457" s="1" t="s">
        <v>155</v>
      </c>
      <c r="M1457" s="0" t="s">
        <v>6745</v>
      </c>
      <c r="N1457" s="0" t="str">
        <f aca="false">RIGHT(M1457,LEN(M1457)-FIND(" ",M1457))</f>
        <v>LARCHMONT AVE NE</v>
      </c>
      <c r="P1457" s="0" t="s">
        <v>146</v>
      </c>
      <c r="Q1457" s="0" t="s">
        <v>147</v>
      </c>
      <c r="R1457" s="0" t="n">
        <v>44483</v>
      </c>
      <c r="AD1457" s="0" t="s">
        <v>148</v>
      </c>
      <c r="AE1457" s="0" t="s">
        <v>149</v>
      </c>
      <c r="AF1457" s="0" t="s">
        <v>150</v>
      </c>
      <c r="AH1457" s="0" t="n">
        <v>14</v>
      </c>
      <c r="AI1457" s="0" t="n">
        <v>11</v>
      </c>
      <c r="AN1457" s="0" t="s">
        <v>146</v>
      </c>
      <c r="AO1457" s="0" t="s">
        <v>236</v>
      </c>
      <c r="AP1457" s="0" t="s">
        <v>237</v>
      </c>
      <c r="AQ1457" s="0" t="n">
        <v>9</v>
      </c>
      <c r="AR1457" s="0" t="n">
        <v>64</v>
      </c>
      <c r="AS1457" s="0" t="n">
        <v>32</v>
      </c>
      <c r="AU1457" s="0" t="n">
        <f aca="false">COUNTA($BA$808:$EH$808)</f>
        <v>15</v>
      </c>
      <c r="AV1457" s="0" t="n">
        <f aca="false">COUNTIF($BA$808:$EH$808,"D")</f>
        <v>0</v>
      </c>
      <c r="AW1457" s="0" t="n">
        <f aca="false">COUNTIF($BA$808:$EH$808,"R")</f>
        <v>4</v>
      </c>
      <c r="AX1457" s="0" t="n">
        <f aca="false"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>9</v>
      </c>
      <c r="AY1457" s="0" t="n">
        <f aca="false">COUNTIF(DU1457:EH1457, "&lt;&gt;")</f>
        <v>7</v>
      </c>
      <c r="AZ1457" s="0" t="n">
        <f aca="false">IF(EH1457&lt;&gt;"",1,0)</f>
        <v>1</v>
      </c>
      <c r="BB1457" s="0" t="s">
        <v>153</v>
      </c>
      <c r="BC1457" s="0" t="s">
        <v>154</v>
      </c>
      <c r="BD1457" s="0" t="s">
        <v>154</v>
      </c>
      <c r="BE1457" s="0" t="s">
        <v>154</v>
      </c>
      <c r="BF1457" s="0" t="s">
        <v>154</v>
      </c>
      <c r="BG1457" s="0" t="s">
        <v>154</v>
      </c>
      <c r="BH1457" s="0" t="s">
        <v>154</v>
      </c>
      <c r="BI1457" s="0" t="s">
        <v>154</v>
      </c>
      <c r="BJ1457" s="0" t="s">
        <v>154</v>
      </c>
      <c r="BK1457" s="0" t="s">
        <v>154</v>
      </c>
      <c r="BL1457" s="0" t="s">
        <v>154</v>
      </c>
      <c r="BP1457" s="0" t="s">
        <v>154</v>
      </c>
      <c r="BR1457" s="0" t="s">
        <v>154</v>
      </c>
      <c r="BS1457" s="0" t="s">
        <v>154</v>
      </c>
      <c r="BV1457" s="0" t="s">
        <v>154</v>
      </c>
      <c r="BY1457" s="0" t="s">
        <v>155</v>
      </c>
      <c r="CA1457" s="0" t="s">
        <v>154</v>
      </c>
      <c r="CC1457" s="0" t="s">
        <v>155</v>
      </c>
      <c r="CG1457" s="0" t="s">
        <v>154</v>
      </c>
      <c r="CH1457" s="0" t="s">
        <v>155</v>
      </c>
      <c r="CK1457" s="0" t="s">
        <v>154</v>
      </c>
      <c r="CL1457" s="0" t="s">
        <v>155</v>
      </c>
      <c r="CN1457" s="0" t="s">
        <v>154</v>
      </c>
      <c r="CO1457" s="0" t="s">
        <v>155</v>
      </c>
      <c r="CP1457" s="0" t="s">
        <v>154</v>
      </c>
      <c r="CQ1457" s="0" t="s">
        <v>155</v>
      </c>
      <c r="CT1457" s="0" t="s">
        <v>154</v>
      </c>
      <c r="CU1457" s="0" t="s">
        <v>155</v>
      </c>
      <c r="CV1457" s="0" t="s">
        <v>154</v>
      </c>
      <c r="CW1457" s="0" t="s">
        <v>155</v>
      </c>
      <c r="CY1457" s="0" t="s">
        <v>154</v>
      </c>
      <c r="CZ1457" s="0" t="s">
        <v>155</v>
      </c>
      <c r="DC1457" s="0" t="s">
        <v>154</v>
      </c>
      <c r="DD1457" s="0" t="s">
        <v>155</v>
      </c>
      <c r="DF1457" s="0" t="s">
        <v>154</v>
      </c>
      <c r="DG1457" s="0" t="s">
        <v>155</v>
      </c>
      <c r="DI1457" s="0" t="s">
        <v>154</v>
      </c>
      <c r="DJ1457" s="0" t="s">
        <v>155</v>
      </c>
      <c r="DL1457" s="0" t="s">
        <v>154</v>
      </c>
      <c r="DM1457" s="0" t="s">
        <v>155</v>
      </c>
      <c r="DN1457" s="0" t="s">
        <v>154</v>
      </c>
      <c r="DO1457" s="0" t="s">
        <v>155</v>
      </c>
      <c r="DR1457" s="0" t="s">
        <v>154</v>
      </c>
      <c r="DS1457" s="0" t="s">
        <v>155</v>
      </c>
      <c r="DT1457" s="0" t="s">
        <v>155</v>
      </c>
      <c r="DU1457" s="0" t="s">
        <v>154</v>
      </c>
      <c r="DW1457" s="0" t="s">
        <v>155</v>
      </c>
      <c r="DX1457" s="0" t="s">
        <v>154</v>
      </c>
      <c r="EA1457" s="0" t="s">
        <v>154</v>
      </c>
      <c r="ED1457" s="0" t="s">
        <v>155</v>
      </c>
      <c r="EF1457" s="0" t="s">
        <v>154</v>
      </c>
      <c r="EH1457" s="0" t="s">
        <v>155</v>
      </c>
    </row>
    <row r="1458" customFormat="false" ht="13.8" hidden="false" customHeight="false" outlineLevel="0" collapsed="false">
      <c r="A1458" s="0" t="s">
        <v>6746</v>
      </c>
      <c r="B1458" s="0" t="n">
        <v>78</v>
      </c>
      <c r="C1458" s="0" t="n">
        <v>254191</v>
      </c>
      <c r="D1458" s="0" t="s">
        <v>6747</v>
      </c>
      <c r="E1458" s="0" t="s">
        <v>4154</v>
      </c>
      <c r="F1458" s="0" t="str">
        <f aca="false">CONCATENATE(D1458," ",LEFT(H1458,4),"T=",AU1458,"D=",AV1458,"R=",AW1458,"M=",AX1458,"L=",AY1458,"B=",AZ1458)</f>
        <v>JAKUBEC T=5D=0R=1M=0L=4B=0</v>
      </c>
      <c r="G1458" s="0" t="s">
        <v>172</v>
      </c>
      <c r="I1458" s="0" t="s">
        <v>6748</v>
      </c>
      <c r="J1458" s="0" t="s">
        <v>712</v>
      </c>
      <c r="K1458" s="0" t="s">
        <v>175</v>
      </c>
      <c r="M1458" s="0" t="s">
        <v>6749</v>
      </c>
      <c r="N1458" s="0" t="str">
        <f aca="false">RIGHT(M1458,LEN(M1458)-FIND(" ",M1458))</f>
        <v>LARCHMONT AVE NE</v>
      </c>
      <c r="P1458" s="0" t="s">
        <v>146</v>
      </c>
      <c r="Q1458" s="0" t="s">
        <v>147</v>
      </c>
      <c r="R1458" s="0" t="n">
        <v>44483</v>
      </c>
      <c r="AD1458" s="0" t="s">
        <v>148</v>
      </c>
      <c r="AE1458" s="0" t="s">
        <v>149</v>
      </c>
      <c r="AF1458" s="0" t="s">
        <v>150</v>
      </c>
      <c r="AH1458" s="0" t="n">
        <v>14</v>
      </c>
      <c r="AI1458" s="0" t="n">
        <v>11</v>
      </c>
      <c r="AN1458" s="0" t="s">
        <v>146</v>
      </c>
      <c r="AO1458" s="0" t="s">
        <v>236</v>
      </c>
      <c r="AP1458" s="0" t="s">
        <v>237</v>
      </c>
      <c r="AQ1458" s="0" t="n">
        <v>9</v>
      </c>
      <c r="AR1458" s="0" t="n">
        <v>64</v>
      </c>
      <c r="AS1458" s="0" t="n">
        <v>32</v>
      </c>
      <c r="AU1458" s="0" t="n">
        <f aca="false">COUNTA($BA$241:$EH$241)</f>
        <v>5</v>
      </c>
      <c r="AV1458" s="0" t="n">
        <f aca="false">COUNTIF($BA$241:$EH$241,"D")</f>
        <v>0</v>
      </c>
      <c r="AW1458" s="0" t="n">
        <f aca="false">COUNTIF($BA$241:$EH$241,"R")</f>
        <v>1</v>
      </c>
      <c r="AX1458" s="0" t="n">
        <f aca="false"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>0</v>
      </c>
      <c r="AY1458" s="0" t="n">
        <f aca="false">COUNTIF(DU1458:EH1458, "&lt;&gt;")</f>
        <v>4</v>
      </c>
      <c r="AZ1458" s="0" t="n">
        <f aca="false">IF(EH1458&lt;&gt;"",1,0)</f>
        <v>0</v>
      </c>
      <c r="BB1458" s="0" t="s">
        <v>153</v>
      </c>
      <c r="BD1458" s="0" t="s">
        <v>154</v>
      </c>
      <c r="BF1458" s="0" t="s">
        <v>154</v>
      </c>
      <c r="BG1458" s="0" t="s">
        <v>154</v>
      </c>
      <c r="BH1458" s="0" t="s">
        <v>154</v>
      </c>
      <c r="BK1458" s="0" t="s">
        <v>154</v>
      </c>
      <c r="BL1458" s="0" t="s">
        <v>154</v>
      </c>
      <c r="BP1458" s="0" t="s">
        <v>154</v>
      </c>
      <c r="BV1458" s="0" t="s">
        <v>154</v>
      </c>
      <c r="BY1458" s="0" t="s">
        <v>155</v>
      </c>
      <c r="CA1458" s="0" t="s">
        <v>154</v>
      </c>
      <c r="CG1458" s="0" t="s">
        <v>154</v>
      </c>
      <c r="CN1458" s="0" t="s">
        <v>154</v>
      </c>
      <c r="CP1458" s="0" t="s">
        <v>154</v>
      </c>
      <c r="CT1458" s="0" t="s">
        <v>154</v>
      </c>
      <c r="CY1458" s="0" t="s">
        <v>154</v>
      </c>
      <c r="CZ1458" s="0" t="s">
        <v>176</v>
      </c>
      <c r="DC1458" s="0" t="s">
        <v>154</v>
      </c>
      <c r="DI1458" s="0" t="s">
        <v>154</v>
      </c>
      <c r="DN1458" s="0" t="s">
        <v>154</v>
      </c>
      <c r="DU1458" s="0" t="s">
        <v>154</v>
      </c>
      <c r="DX1458" s="0" t="s">
        <v>154</v>
      </c>
      <c r="EA1458" s="0" t="s">
        <v>154</v>
      </c>
      <c r="EF1458" s="0" t="s">
        <v>154</v>
      </c>
    </row>
    <row r="1459" customFormat="false" ht="13.8" hidden="true" customHeight="false" outlineLevel="0" collapsed="false">
      <c r="A1459" s="0" t="s">
        <v>6750</v>
      </c>
      <c r="B1459" s="0" t="n">
        <v>78</v>
      </c>
      <c r="C1459" s="0" t="n">
        <v>435072</v>
      </c>
      <c r="D1459" s="0" t="s">
        <v>677</v>
      </c>
      <c r="E1459" s="0" t="s">
        <v>6751</v>
      </c>
      <c r="F1459" s="0" t="str">
        <f aca="false">CONCATENATE(D1459," ",LEFT(H1459,4),"T=",AU1459,"D=",AV1459,"R=",AW1459,"M=",AX1459,"L=",AY1459,"B=",AZ1459)</f>
        <v>REESE SRT=1D=0R=0M=0L=0B=0</v>
      </c>
      <c r="G1459" s="0" t="s">
        <v>241</v>
      </c>
      <c r="H1459" s="0" t="s">
        <v>311</v>
      </c>
      <c r="I1459" s="0" t="s">
        <v>6752</v>
      </c>
      <c r="J1459" s="0" t="s">
        <v>6753</v>
      </c>
      <c r="K1459" s="0" t="s">
        <v>144</v>
      </c>
      <c r="L1459" s="0"/>
      <c r="M1459" s="0" t="s">
        <v>6754</v>
      </c>
      <c r="N1459" s="0" t="str">
        <f aca="false">RIGHT(M1459,LEN(M1459)-FIND(" ",M1459))</f>
        <v>LARCHMONT AVE NE</v>
      </c>
      <c r="P1459" s="0" t="s">
        <v>146</v>
      </c>
      <c r="Q1459" s="0" t="s">
        <v>147</v>
      </c>
      <c r="R1459" s="0" t="n">
        <v>44483</v>
      </c>
      <c r="AD1459" s="0" t="s">
        <v>148</v>
      </c>
      <c r="AE1459" s="0" t="s">
        <v>149</v>
      </c>
      <c r="AF1459" s="0" t="s">
        <v>150</v>
      </c>
      <c r="AH1459" s="0" t="n">
        <v>14</v>
      </c>
      <c r="AI1459" s="0" t="n">
        <v>11</v>
      </c>
      <c r="AN1459" s="0" t="s">
        <v>146</v>
      </c>
      <c r="AO1459" s="0" t="s">
        <v>236</v>
      </c>
      <c r="AP1459" s="0" t="s">
        <v>237</v>
      </c>
      <c r="AQ1459" s="0" t="n">
        <v>9</v>
      </c>
      <c r="AR1459" s="0" t="n">
        <v>64</v>
      </c>
      <c r="AS1459" s="0" t="n">
        <v>32</v>
      </c>
      <c r="AU1459" s="0" t="n">
        <f aca="false">COUNTA($BA$726:$EH$726)</f>
        <v>1</v>
      </c>
      <c r="AV1459" s="0" t="n">
        <f aca="false">COUNTIF($BA$726:$EH$726,"D")</f>
        <v>0</v>
      </c>
      <c r="AW1459" s="0" t="n">
        <f aca="false">COUNTIF($BA$726:$EH$726,"R")</f>
        <v>0</v>
      </c>
      <c r="AX1459" s="0" t="n">
        <f aca="false"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>0</v>
      </c>
      <c r="AY1459" s="0" t="n">
        <f aca="false">COUNTIF(DU1459:EH1459, "&lt;&gt;")</f>
        <v>0</v>
      </c>
      <c r="AZ1459" s="0" t="n">
        <f aca="false">IF(EH1459&lt;&gt;"",1,0)</f>
        <v>0</v>
      </c>
      <c r="BB1459" s="0" t="s">
        <v>153</v>
      </c>
    </row>
    <row r="1460" customFormat="false" ht="13.8" hidden="true" customHeight="false" outlineLevel="0" collapsed="false">
      <c r="A1460" s="0" t="s">
        <v>6755</v>
      </c>
      <c r="B1460" s="0" t="n">
        <v>78</v>
      </c>
      <c r="C1460" s="0" t="n">
        <v>313147</v>
      </c>
      <c r="D1460" s="0" t="s">
        <v>6756</v>
      </c>
      <c r="E1460" s="0" t="s">
        <v>2640</v>
      </c>
      <c r="F1460" s="0" t="str">
        <f aca="false">CONCATENATE(D1460," ",LEFT(H1460,4),"T=",AU1460,"D=",AV1460,"R=",AW1460,"M=",AX1460,"L=",AY1460,"B=",AZ1460)</f>
        <v>RABEL T=33D=6R=2M=0L=0B=0</v>
      </c>
      <c r="G1460" s="0" t="s">
        <v>158</v>
      </c>
      <c r="I1460" s="0" t="s">
        <v>6757</v>
      </c>
      <c r="J1460" s="0" t="s">
        <v>1494</v>
      </c>
      <c r="K1460" s="0" t="s">
        <v>144</v>
      </c>
      <c r="L1460" s="0"/>
      <c r="M1460" s="0" t="s">
        <v>6758</v>
      </c>
      <c r="N1460" s="0" t="str">
        <f aca="false">RIGHT(M1460,LEN(M1460)-FIND(" ",M1460))</f>
        <v>LARCHMONT AVE NE</v>
      </c>
      <c r="P1460" s="0" t="s">
        <v>146</v>
      </c>
      <c r="Q1460" s="0" t="s">
        <v>147</v>
      </c>
      <c r="R1460" s="0" t="n">
        <v>44483</v>
      </c>
      <c r="AD1460" s="0" t="s">
        <v>148</v>
      </c>
      <c r="AE1460" s="0" t="s">
        <v>149</v>
      </c>
      <c r="AF1460" s="0" t="s">
        <v>150</v>
      </c>
      <c r="AH1460" s="0" t="n">
        <v>14</v>
      </c>
      <c r="AI1460" s="0" t="n">
        <v>11</v>
      </c>
      <c r="AN1460" s="0" t="s">
        <v>146</v>
      </c>
      <c r="AO1460" s="0" t="s">
        <v>236</v>
      </c>
      <c r="AP1460" s="0" t="s">
        <v>237</v>
      </c>
      <c r="AQ1460" s="0" t="n">
        <v>9</v>
      </c>
      <c r="AR1460" s="0" t="n">
        <v>64</v>
      </c>
      <c r="AS1460" s="0" t="n">
        <v>32</v>
      </c>
      <c r="AU1460" s="0" t="n">
        <f aca="false">COUNTA($BA$424:$EH$424)</f>
        <v>33</v>
      </c>
      <c r="AV1460" s="0" t="n">
        <f aca="false">COUNTIF($BA$424:$EH$424,"D")</f>
        <v>6</v>
      </c>
      <c r="AW1460" s="0" t="n">
        <f aca="false">COUNTIF($BA$424:$EH$424,"R")</f>
        <v>2</v>
      </c>
      <c r="AX1460" s="0" t="n">
        <f aca="false"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>0</v>
      </c>
      <c r="AY1460" s="0" t="n">
        <f aca="false">COUNTIF(DU1460:EH1460, "&lt;&gt;")</f>
        <v>0</v>
      </c>
      <c r="AZ1460" s="0" t="n">
        <f aca="false">IF(EH1460&lt;&gt;"",1,0)</f>
        <v>0</v>
      </c>
      <c r="BB1460" s="0" t="s">
        <v>153</v>
      </c>
      <c r="CP1460" s="0" t="s">
        <v>154</v>
      </c>
      <c r="DC1460" s="0" t="s">
        <v>154</v>
      </c>
      <c r="DN1460" s="0" t="s">
        <v>154</v>
      </c>
    </row>
    <row r="1461" customFormat="false" ht="13.8" hidden="true" customHeight="false" outlineLevel="0" collapsed="false">
      <c r="A1461" s="0" t="s">
        <v>6759</v>
      </c>
      <c r="B1461" s="0" t="n">
        <v>78</v>
      </c>
      <c r="C1461" s="0" t="n">
        <v>277481</v>
      </c>
      <c r="D1461" s="0" t="s">
        <v>1127</v>
      </c>
      <c r="E1461" s="0" t="s">
        <v>158</v>
      </c>
      <c r="F1461" s="0" t="str">
        <f aca="false">CONCATENATE(D1461," ",LEFT(H1461,4),"T=",AU1461,"D=",AV1461,"R=",AW1461,"M=",AX1461,"L=",AY1461,"B=",AZ1461)</f>
        <v>MACK T=4D=0R=0M=0L=0B=0</v>
      </c>
      <c r="G1461" s="0" t="s">
        <v>3139</v>
      </c>
      <c r="I1461" s="0" t="s">
        <v>6760</v>
      </c>
      <c r="J1461" s="0" t="s">
        <v>672</v>
      </c>
      <c r="K1461" s="0" t="s">
        <v>175</v>
      </c>
      <c r="L1461" s="0"/>
      <c r="M1461" s="0" t="s">
        <v>6761</v>
      </c>
      <c r="N1461" s="0" t="str">
        <f aca="false">RIGHT(M1461,LEN(M1461)-FIND(" ",M1461))</f>
        <v>LARCHMONT AVE NE</v>
      </c>
      <c r="P1461" s="0" t="s">
        <v>146</v>
      </c>
      <c r="Q1461" s="0" t="s">
        <v>147</v>
      </c>
      <c r="R1461" s="0" t="n">
        <v>44483</v>
      </c>
      <c r="AD1461" s="0" t="s">
        <v>148</v>
      </c>
      <c r="AE1461" s="0" t="s">
        <v>149</v>
      </c>
      <c r="AF1461" s="0" t="s">
        <v>150</v>
      </c>
      <c r="AH1461" s="0" t="n">
        <v>14</v>
      </c>
      <c r="AI1461" s="0" t="n">
        <v>11</v>
      </c>
      <c r="AN1461" s="0" t="s">
        <v>146</v>
      </c>
      <c r="AO1461" s="0" t="s">
        <v>236</v>
      </c>
      <c r="AP1461" s="0" t="s">
        <v>237</v>
      </c>
      <c r="AQ1461" s="0" t="n">
        <v>9</v>
      </c>
      <c r="AR1461" s="0" t="n">
        <v>64</v>
      </c>
      <c r="AS1461" s="0" t="n">
        <v>32</v>
      </c>
      <c r="AU1461" s="0" t="n">
        <f aca="false">COUNTA($BA$127:$EH$127)</f>
        <v>4</v>
      </c>
      <c r="AV1461" s="0" t="n">
        <f aca="false">COUNTIF($BA$127:$EH$127,"D")</f>
        <v>0</v>
      </c>
      <c r="AW1461" s="0" t="n">
        <f aca="false">COUNTIF($BA$127:$EH$127,"R")</f>
        <v>0</v>
      </c>
      <c r="AX1461" s="0" t="n">
        <f aca="false"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>0</v>
      </c>
      <c r="AY1461" s="0" t="n">
        <f aca="false">COUNTIF(DU1461:EH1461, "&lt;&gt;")</f>
        <v>0</v>
      </c>
      <c r="AZ1461" s="0" t="n">
        <f aca="false">IF(EH1461&lt;&gt;"",1,0)</f>
        <v>0</v>
      </c>
      <c r="BB1461" s="0" t="s">
        <v>153</v>
      </c>
      <c r="CA1461" s="0" t="s">
        <v>154</v>
      </c>
      <c r="CG1461" s="0" t="s">
        <v>154</v>
      </c>
      <c r="CK1461" s="0" t="s">
        <v>154</v>
      </c>
      <c r="CV1461" s="0" t="s">
        <v>154</v>
      </c>
    </row>
    <row r="1462" customFormat="false" ht="13.8" hidden="true" customHeight="false" outlineLevel="0" collapsed="false">
      <c r="A1462" s="0" t="s">
        <v>6762</v>
      </c>
      <c r="B1462" s="0" t="n">
        <v>78</v>
      </c>
      <c r="C1462" s="0" t="n">
        <v>398666</v>
      </c>
      <c r="D1462" s="0" t="s">
        <v>6763</v>
      </c>
      <c r="E1462" s="0" t="s">
        <v>1467</v>
      </c>
      <c r="F1462" s="0" t="str">
        <f aca="false">CONCATENATE(D1462," ",LEFT(H1462,4),"T=",AU1462,"D=",AV1462,"R=",AW1462,"M=",AX1462,"L=",AY1462,"B=",AZ1462)</f>
        <v>MONROE T=2D=0R=0M=0L=0B=0</v>
      </c>
      <c r="G1462" s="0" t="s">
        <v>188</v>
      </c>
      <c r="I1462" s="0" t="s">
        <v>6764</v>
      </c>
      <c r="J1462" s="0" t="s">
        <v>342</v>
      </c>
      <c r="K1462" s="0" t="s">
        <v>144</v>
      </c>
      <c r="L1462" s="0"/>
      <c r="M1462" s="0" t="s">
        <v>6761</v>
      </c>
      <c r="N1462" s="0" t="str">
        <f aca="false">RIGHT(M1462,LEN(M1462)-FIND(" ",M1462))</f>
        <v>LARCHMONT AVE NE</v>
      </c>
      <c r="P1462" s="0" t="s">
        <v>146</v>
      </c>
      <c r="Q1462" s="0" t="s">
        <v>147</v>
      </c>
      <c r="R1462" s="0" t="n">
        <v>44483</v>
      </c>
      <c r="AD1462" s="0" t="s">
        <v>148</v>
      </c>
      <c r="AE1462" s="0" t="s">
        <v>149</v>
      </c>
      <c r="AF1462" s="0" t="s">
        <v>150</v>
      </c>
      <c r="AH1462" s="0" t="n">
        <v>14</v>
      </c>
      <c r="AI1462" s="0" t="n">
        <v>11</v>
      </c>
      <c r="AN1462" s="0" t="s">
        <v>146</v>
      </c>
      <c r="AO1462" s="0" t="s">
        <v>236</v>
      </c>
      <c r="AP1462" s="0" t="s">
        <v>237</v>
      </c>
      <c r="AQ1462" s="0" t="n">
        <v>9</v>
      </c>
      <c r="AR1462" s="0" t="n">
        <v>64</v>
      </c>
      <c r="AS1462" s="0" t="n">
        <v>32</v>
      </c>
      <c r="AU1462" s="0" t="n">
        <f aca="false">COUNTA($BA$613:$EH$613)</f>
        <v>2</v>
      </c>
      <c r="AV1462" s="0" t="n">
        <f aca="false">COUNTIF($BA$613:$EH$613,"D")</f>
        <v>0</v>
      </c>
      <c r="AW1462" s="0" t="n">
        <f aca="false">COUNTIF($BA$613:$EH$613,"R")</f>
        <v>0</v>
      </c>
      <c r="AX1462" s="0" t="n">
        <f aca="false"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>0</v>
      </c>
      <c r="AY1462" s="0" t="n">
        <f aca="false">COUNTIF(DU1462:EH1462, "&lt;&gt;")</f>
        <v>0</v>
      </c>
      <c r="AZ1462" s="0" t="n">
        <f aca="false">IF(EH1462&lt;&gt;"",1,0)</f>
        <v>0</v>
      </c>
      <c r="BB1462" s="0" t="s">
        <v>153</v>
      </c>
    </row>
    <row r="1463" customFormat="false" ht="13.8" hidden="true" customHeight="false" outlineLevel="0" collapsed="false">
      <c r="A1463" s="0" t="s">
        <v>6765</v>
      </c>
      <c r="B1463" s="0" t="n">
        <v>78</v>
      </c>
      <c r="C1463" s="0" t="n">
        <v>420286</v>
      </c>
      <c r="D1463" s="0" t="s">
        <v>1127</v>
      </c>
      <c r="E1463" s="0" t="s">
        <v>4085</v>
      </c>
      <c r="F1463" s="0" t="str">
        <f aca="false">CONCATENATE(D1463," ",LEFT(H1463,4),"T=",AU1463,"D=",AV1463,"R=",AW1463,"M=",AX1463,"L=",AY1463,"B=",AZ1463)</f>
        <v>MACK T=2D=0R=0M=0L=0B=0</v>
      </c>
      <c r="G1463" s="0" t="s">
        <v>317</v>
      </c>
      <c r="I1463" s="0" t="s">
        <v>6766</v>
      </c>
      <c r="J1463" s="0" t="s">
        <v>4318</v>
      </c>
      <c r="K1463" s="0" t="s">
        <v>144</v>
      </c>
      <c r="L1463" s="0"/>
      <c r="M1463" s="0" t="s">
        <v>6761</v>
      </c>
      <c r="N1463" s="0" t="str">
        <f aca="false">RIGHT(M1463,LEN(M1463)-FIND(" ",M1463))</f>
        <v>LARCHMONT AVE NE</v>
      </c>
      <c r="P1463" s="0" t="s">
        <v>146</v>
      </c>
      <c r="Q1463" s="0" t="s">
        <v>147</v>
      </c>
      <c r="R1463" s="0" t="n">
        <v>44483</v>
      </c>
      <c r="AD1463" s="0" t="s">
        <v>148</v>
      </c>
      <c r="AE1463" s="0" t="s">
        <v>149</v>
      </c>
      <c r="AF1463" s="0" t="s">
        <v>150</v>
      </c>
      <c r="AH1463" s="0" t="n">
        <v>14</v>
      </c>
      <c r="AI1463" s="0" t="n">
        <v>11</v>
      </c>
      <c r="AN1463" s="0" t="s">
        <v>146</v>
      </c>
      <c r="AO1463" s="0" t="s">
        <v>236</v>
      </c>
      <c r="AP1463" s="0" t="s">
        <v>237</v>
      </c>
      <c r="AQ1463" s="0" t="n">
        <v>9</v>
      </c>
      <c r="AR1463" s="0" t="n">
        <v>64</v>
      </c>
      <c r="AS1463" s="0" t="n">
        <v>32</v>
      </c>
      <c r="AU1463" s="0" t="n">
        <f aca="false">COUNTA($BA$736:$EH$736)</f>
        <v>2</v>
      </c>
      <c r="AV1463" s="0" t="n">
        <f aca="false">COUNTIF($BA$736:$EH$736,"D")</f>
        <v>0</v>
      </c>
      <c r="AW1463" s="0" t="n">
        <f aca="false">COUNTIF($BA$736:$EH$736,"R")</f>
        <v>0</v>
      </c>
      <c r="AX1463" s="0" t="n">
        <f aca="false"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>0</v>
      </c>
      <c r="AY1463" s="0" t="n">
        <f aca="false">COUNTIF(DU1463:EH1463, "&lt;&gt;")</f>
        <v>0</v>
      </c>
      <c r="AZ1463" s="0" t="n">
        <f aca="false">IF(EH1463&lt;&gt;"",1,0)</f>
        <v>0</v>
      </c>
      <c r="BB1463" s="0" t="s">
        <v>153</v>
      </c>
    </row>
    <row r="1464" customFormat="false" ht="13.8" hidden="true" customHeight="false" outlineLevel="0" collapsed="false">
      <c r="A1464" s="0" t="s">
        <v>6767</v>
      </c>
      <c r="B1464" s="0" t="n">
        <v>78</v>
      </c>
      <c r="C1464" s="0" t="n">
        <v>486102</v>
      </c>
      <c r="D1464" s="0" t="s">
        <v>6768</v>
      </c>
      <c r="E1464" s="0" t="s">
        <v>1619</v>
      </c>
      <c r="F1464" s="0" t="str">
        <f aca="false">CONCATENATE(D1464," ",LEFT(H1464,4),"T=",AU1464,"D=",AV1464,"R=",AW1464,"M=",AX1464,"L=",AY1464,"B=",AZ1464)</f>
        <v>YORK T=11D=0R=1M=0L=1B=0</v>
      </c>
      <c r="G1464" s="0" t="s">
        <v>1210</v>
      </c>
      <c r="I1464" s="0" t="s">
        <v>6769</v>
      </c>
      <c r="J1464" s="0" t="s">
        <v>6770</v>
      </c>
      <c r="K1464" s="0" t="s">
        <v>175</v>
      </c>
      <c r="L1464" s="0"/>
      <c r="M1464" s="0" t="s">
        <v>6771</v>
      </c>
      <c r="N1464" s="0" t="str">
        <f aca="false">RIGHT(M1464,LEN(M1464)-FIND(" ",M1464))</f>
        <v>LARCHMONT AVE NE</v>
      </c>
      <c r="P1464" s="0" t="s">
        <v>146</v>
      </c>
      <c r="Q1464" s="0" t="s">
        <v>147</v>
      </c>
      <c r="R1464" s="0" t="n">
        <v>44483</v>
      </c>
      <c r="AD1464" s="0" t="s">
        <v>148</v>
      </c>
      <c r="AE1464" s="0" t="s">
        <v>149</v>
      </c>
      <c r="AF1464" s="0" t="s">
        <v>150</v>
      </c>
      <c r="AH1464" s="0" t="n">
        <v>14</v>
      </c>
      <c r="AI1464" s="0" t="n">
        <v>11</v>
      </c>
      <c r="AN1464" s="0" t="s">
        <v>146</v>
      </c>
      <c r="AO1464" s="0" t="s">
        <v>236</v>
      </c>
      <c r="AP1464" s="0" t="s">
        <v>237</v>
      </c>
      <c r="AQ1464" s="0" t="n">
        <v>9</v>
      </c>
      <c r="AR1464" s="0" t="n">
        <v>64</v>
      </c>
      <c r="AS1464" s="0" t="n">
        <v>32</v>
      </c>
      <c r="AU1464" s="0" t="n">
        <f aca="false">COUNTA($BA$61:$EH$61)</f>
        <v>11</v>
      </c>
      <c r="AV1464" s="0" t="n">
        <f aca="false">COUNTIF($BA$61:$EH$61,"D")</f>
        <v>0</v>
      </c>
      <c r="AW1464" s="0" t="n">
        <f aca="false">COUNTIF($BA$61:$EH$61,"R")</f>
        <v>1</v>
      </c>
      <c r="AX1464" s="0" t="n">
        <f aca="false"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>0</v>
      </c>
      <c r="AY1464" s="0" t="n">
        <f aca="false">COUNTIF(DU1464:EH1464, "&lt;&gt;")</f>
        <v>1</v>
      </c>
      <c r="AZ1464" s="0" t="n">
        <f aca="false">IF(EH1464&lt;&gt;"",1,0)</f>
        <v>0</v>
      </c>
      <c r="BB1464" s="0" t="s">
        <v>153</v>
      </c>
      <c r="EF1464" s="0" t="s">
        <v>154</v>
      </c>
    </row>
    <row r="1465" customFormat="false" ht="13.8" hidden="false" customHeight="false" outlineLevel="0" collapsed="false">
      <c r="A1465" s="0" t="s">
        <v>6772</v>
      </c>
      <c r="B1465" s="0" t="n">
        <v>78</v>
      </c>
      <c r="C1465" s="0" t="n">
        <v>211882</v>
      </c>
      <c r="D1465" s="0" t="s">
        <v>6768</v>
      </c>
      <c r="E1465" s="0" t="s">
        <v>914</v>
      </c>
      <c r="F1465" s="0" t="str">
        <f aca="false">CONCATENATE(D1465," ",LEFT(H1465,4),"T=",AU1465,"D=",AV1465,"R=",AW1465,"M=",AX1465,"L=",AY1465,"B=",AZ1465)</f>
        <v>YORK T=11D=2R=2M=0L=2B=0</v>
      </c>
      <c r="G1465" s="0" t="s">
        <v>155</v>
      </c>
      <c r="I1465" s="0" t="s">
        <v>6773</v>
      </c>
      <c r="J1465" s="0" t="s">
        <v>1759</v>
      </c>
      <c r="K1465" s="0" t="s">
        <v>175</v>
      </c>
      <c r="M1465" s="0" t="s">
        <v>6771</v>
      </c>
      <c r="N1465" s="0" t="str">
        <f aca="false">RIGHT(M1465,LEN(M1465)-FIND(" ",M1465))</f>
        <v>LARCHMONT AVE NE</v>
      </c>
      <c r="P1465" s="0" t="s">
        <v>146</v>
      </c>
      <c r="Q1465" s="0" t="s">
        <v>147</v>
      </c>
      <c r="R1465" s="0" t="n">
        <v>44483</v>
      </c>
      <c r="AD1465" s="0" t="s">
        <v>148</v>
      </c>
      <c r="AE1465" s="0" t="s">
        <v>149</v>
      </c>
      <c r="AF1465" s="0" t="s">
        <v>150</v>
      </c>
      <c r="AH1465" s="0" t="n">
        <v>14</v>
      </c>
      <c r="AI1465" s="0" t="n">
        <v>11</v>
      </c>
      <c r="AN1465" s="0" t="s">
        <v>146</v>
      </c>
      <c r="AO1465" s="0" t="s">
        <v>236</v>
      </c>
      <c r="AP1465" s="0" t="s">
        <v>237</v>
      </c>
      <c r="AQ1465" s="0" t="n">
        <v>9</v>
      </c>
      <c r="AR1465" s="0" t="n">
        <v>64</v>
      </c>
      <c r="AS1465" s="0" t="n">
        <v>32</v>
      </c>
      <c r="AU1465" s="0" t="n">
        <f aca="false">COUNTA($BA$682:$EH$682)</f>
        <v>11</v>
      </c>
      <c r="AV1465" s="0" t="n">
        <f aca="false">COUNTIF($BA$682:$EH$682,"D")</f>
        <v>2</v>
      </c>
      <c r="AW1465" s="0" t="n">
        <f aca="false">COUNTIF($BA$682:$EH$682,"R")</f>
        <v>2</v>
      </c>
      <c r="AX1465" s="0" t="n">
        <f aca="false"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>0</v>
      </c>
      <c r="AY1465" s="0" t="n">
        <f aca="false">COUNTIF(DU1465:EH1465, "&lt;&gt;")</f>
        <v>2</v>
      </c>
      <c r="AZ1465" s="0" t="n">
        <f aca="false">IF(EH1465&lt;&gt;"",1,0)</f>
        <v>0</v>
      </c>
      <c r="BB1465" s="0" t="s">
        <v>153</v>
      </c>
      <c r="BC1465" s="0" t="s">
        <v>154</v>
      </c>
      <c r="BD1465" s="0" t="s">
        <v>154</v>
      </c>
      <c r="BH1465" s="0" t="s">
        <v>154</v>
      </c>
      <c r="BL1465" s="0" t="s">
        <v>154</v>
      </c>
      <c r="CA1465" s="0" t="s">
        <v>154</v>
      </c>
      <c r="DI1465" s="0" t="s">
        <v>154</v>
      </c>
      <c r="DN1465" s="0" t="s">
        <v>154</v>
      </c>
      <c r="DX1465" s="0" t="s">
        <v>154</v>
      </c>
      <c r="EF1465" s="0" t="s">
        <v>154</v>
      </c>
    </row>
    <row r="1466" customFormat="false" ht="13.8" hidden="false" customHeight="false" outlineLevel="0" collapsed="false">
      <c r="A1466" s="0" t="s">
        <v>6774</v>
      </c>
      <c r="B1466" s="0" t="n">
        <v>78</v>
      </c>
      <c r="C1466" s="0" t="n">
        <v>211828</v>
      </c>
      <c r="D1466" s="0" t="s">
        <v>6775</v>
      </c>
      <c r="E1466" s="0" t="s">
        <v>2367</v>
      </c>
      <c r="F1466" s="0" t="str">
        <f aca="false">CONCATENATE(D1466," ",LEFT(H1466,4),"T=",AU1466,"D=",AV1466,"R=",AW1466,"M=",AX1466,"L=",AY1466,"B=",AZ1466)</f>
        <v>HOSAFLOOK T=3D=0R=0M=0L=3B=0</v>
      </c>
      <c r="G1466" s="0" t="s">
        <v>176</v>
      </c>
      <c r="I1466" s="0" t="s">
        <v>6776</v>
      </c>
      <c r="J1466" s="0" t="s">
        <v>6777</v>
      </c>
      <c r="K1466" s="0" t="s">
        <v>175</v>
      </c>
      <c r="M1466" s="0" t="s">
        <v>6771</v>
      </c>
      <c r="N1466" s="0" t="str">
        <f aca="false">RIGHT(M1466,LEN(M1466)-FIND(" ",M1466))</f>
        <v>LARCHMONT AVE NE</v>
      </c>
      <c r="P1466" s="0" t="s">
        <v>146</v>
      </c>
      <c r="Q1466" s="0" t="s">
        <v>147</v>
      </c>
      <c r="R1466" s="0" t="n">
        <v>44483</v>
      </c>
      <c r="AD1466" s="0" t="s">
        <v>148</v>
      </c>
      <c r="AE1466" s="0" t="s">
        <v>149</v>
      </c>
      <c r="AF1466" s="0" t="s">
        <v>150</v>
      </c>
      <c r="AH1466" s="0" t="n">
        <v>14</v>
      </c>
      <c r="AI1466" s="0" t="n">
        <v>11</v>
      </c>
      <c r="AN1466" s="0" t="s">
        <v>146</v>
      </c>
      <c r="AO1466" s="0" t="s">
        <v>236</v>
      </c>
      <c r="AP1466" s="0" t="s">
        <v>237</v>
      </c>
      <c r="AQ1466" s="0" t="n">
        <v>9</v>
      </c>
      <c r="AR1466" s="0" t="n">
        <v>64</v>
      </c>
      <c r="AS1466" s="0" t="n">
        <v>32</v>
      </c>
      <c r="AU1466" s="0" t="n">
        <f aca="false">COUNTA($BA$1069:$EH$1069)</f>
        <v>3</v>
      </c>
      <c r="AV1466" s="0" t="n">
        <f aca="false">COUNTIF($BA$1069:$EH$1069,"D")</f>
        <v>0</v>
      </c>
      <c r="AW1466" s="0" t="n">
        <f aca="false">COUNTIF($BA$1069:$EH$1069,"R")</f>
        <v>0</v>
      </c>
      <c r="AX1466" s="0" t="n">
        <f aca="false"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>0</v>
      </c>
      <c r="AY1466" s="0" t="n">
        <f aca="false">COUNTIF(DU1466:EH1466, "&lt;&gt;")</f>
        <v>3</v>
      </c>
      <c r="AZ1466" s="0" t="n">
        <f aca="false">IF(EH1466&lt;&gt;"",1,0)</f>
        <v>0</v>
      </c>
      <c r="BB1466" s="0" t="s">
        <v>153</v>
      </c>
      <c r="BC1466" s="0" t="s">
        <v>154</v>
      </c>
      <c r="BD1466" s="0" t="s">
        <v>154</v>
      </c>
      <c r="BH1466" s="0" t="s">
        <v>154</v>
      </c>
      <c r="BJ1466" s="0" t="s">
        <v>154</v>
      </c>
      <c r="BL1466" s="0" t="s">
        <v>154</v>
      </c>
      <c r="BP1466" s="0" t="s">
        <v>154</v>
      </c>
      <c r="BR1466" s="0" t="s">
        <v>154</v>
      </c>
      <c r="BS1466" s="0" t="s">
        <v>154</v>
      </c>
      <c r="CA1466" s="0" t="s">
        <v>154</v>
      </c>
      <c r="CK1466" s="0" t="s">
        <v>154</v>
      </c>
      <c r="CN1466" s="0" t="s">
        <v>154</v>
      </c>
      <c r="CP1466" s="0" t="s">
        <v>154</v>
      </c>
      <c r="CY1466" s="0" t="s">
        <v>154</v>
      </c>
      <c r="CZ1466" s="0" t="s">
        <v>176</v>
      </c>
      <c r="DC1466" s="0" t="s">
        <v>154</v>
      </c>
      <c r="DI1466" s="0" t="s">
        <v>154</v>
      </c>
      <c r="DN1466" s="0" t="s">
        <v>154</v>
      </c>
      <c r="DU1466" s="0" t="s">
        <v>154</v>
      </c>
      <c r="DX1466" s="0" t="s">
        <v>154</v>
      </c>
      <c r="EF1466" s="0" t="s">
        <v>154</v>
      </c>
    </row>
    <row r="1467" customFormat="false" ht="13.8" hidden="true" customHeight="false" outlineLevel="0" collapsed="false">
      <c r="A1467" s="0" t="s">
        <v>6778</v>
      </c>
      <c r="B1467" s="0" t="n">
        <v>78</v>
      </c>
      <c r="C1467" s="0" t="n">
        <v>353921</v>
      </c>
      <c r="D1467" s="0" t="s">
        <v>1116</v>
      </c>
      <c r="E1467" s="0" t="s">
        <v>1131</v>
      </c>
      <c r="F1467" s="0" t="str">
        <f aca="false">CONCATENATE(D1467," ",LEFT(H1467,4),"T=",AU1467,"D=",AV1467,"R=",AW1467,"M=",AX1467,"L=",AY1467,"B=",AZ1467)</f>
        <v>TENNEY T=5D=0R=0M=0L=0B=0</v>
      </c>
      <c r="G1467" s="0" t="s">
        <v>155</v>
      </c>
      <c r="I1467" s="0" t="s">
        <v>6779</v>
      </c>
      <c r="J1467" s="0" t="s">
        <v>6780</v>
      </c>
      <c r="K1467" s="0" t="s">
        <v>144</v>
      </c>
      <c r="L1467" s="0"/>
      <c r="M1467" s="0" t="s">
        <v>6781</v>
      </c>
      <c r="N1467" s="0" t="str">
        <f aca="false">RIGHT(M1467,LEN(M1467)-FIND(" ",M1467))</f>
        <v>LARCHMONT AVE NE</v>
      </c>
      <c r="P1467" s="0" t="s">
        <v>146</v>
      </c>
      <c r="Q1467" s="0" t="s">
        <v>147</v>
      </c>
      <c r="R1467" s="0" t="n">
        <v>44483</v>
      </c>
      <c r="AD1467" s="0" t="s">
        <v>148</v>
      </c>
      <c r="AE1467" s="0" t="s">
        <v>149</v>
      </c>
      <c r="AF1467" s="0" t="s">
        <v>150</v>
      </c>
      <c r="AH1467" s="0" t="n">
        <v>14</v>
      </c>
      <c r="AI1467" s="0" t="n">
        <v>11</v>
      </c>
      <c r="AN1467" s="0" t="s">
        <v>146</v>
      </c>
      <c r="AO1467" s="0" t="s">
        <v>236</v>
      </c>
      <c r="AP1467" s="0" t="s">
        <v>237</v>
      </c>
      <c r="AQ1467" s="0" t="n">
        <v>9</v>
      </c>
      <c r="AR1467" s="0" t="n">
        <v>64</v>
      </c>
      <c r="AS1467" s="0" t="n">
        <v>32</v>
      </c>
      <c r="AU1467" s="0" t="n">
        <f aca="false">COUNTA($BA$197:$EH$197)</f>
        <v>5</v>
      </c>
      <c r="AV1467" s="0" t="n">
        <f aca="false">COUNTIF($BA$197:$EH$197,"D")</f>
        <v>0</v>
      </c>
      <c r="AW1467" s="0" t="n">
        <f aca="false">COUNTIF($BA$197:$EH$197,"R")</f>
        <v>0</v>
      </c>
      <c r="AX1467" s="0" t="n">
        <f aca="false"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>0</v>
      </c>
      <c r="AY1467" s="0" t="n">
        <f aca="false">COUNTIF(DU1467:EH1467, "&lt;&gt;")</f>
        <v>0</v>
      </c>
      <c r="AZ1467" s="0" t="n">
        <f aca="false">IF(EH1467&lt;&gt;"",1,0)</f>
        <v>0</v>
      </c>
      <c r="BB1467" s="0" t="s">
        <v>153</v>
      </c>
      <c r="BY1467" s="0" t="s">
        <v>155</v>
      </c>
      <c r="CA1467" s="0" t="s">
        <v>154</v>
      </c>
      <c r="CP1467" s="0" t="s">
        <v>154</v>
      </c>
    </row>
    <row r="1468" customFormat="false" ht="13.8" hidden="true" customHeight="false" outlineLevel="0" collapsed="false">
      <c r="A1468" s="0" t="s">
        <v>6782</v>
      </c>
      <c r="B1468" s="0" t="n">
        <v>78</v>
      </c>
      <c r="C1468" s="0" t="n">
        <v>318934</v>
      </c>
      <c r="D1468" s="0" t="s">
        <v>4183</v>
      </c>
      <c r="E1468" s="0" t="s">
        <v>889</v>
      </c>
      <c r="F1468" s="0" t="str">
        <f aca="false">CONCATENATE(D1468," ",LEFT(H1468,4),"T=",AU1468,"D=",AV1468,"R=",AW1468,"M=",AX1468,"L=",AY1468,"B=",AZ1468)</f>
        <v>GREGORY T=2D=0R=0M=2L=1B=0</v>
      </c>
      <c r="G1468" s="0" t="s">
        <v>297</v>
      </c>
      <c r="I1468" s="0" t="s">
        <v>6783</v>
      </c>
      <c r="J1468" s="0" t="s">
        <v>6784</v>
      </c>
      <c r="K1468" s="0" t="s">
        <v>175</v>
      </c>
      <c r="L1468" s="0"/>
      <c r="M1468" s="0" t="s">
        <v>6785</v>
      </c>
      <c r="N1468" s="0" t="str">
        <f aca="false">RIGHT(M1468,LEN(M1468)-FIND(" ",M1468))</f>
        <v>LARCHMONT AVE NE</v>
      </c>
      <c r="P1468" s="0" t="s">
        <v>146</v>
      </c>
      <c r="Q1468" s="0" t="s">
        <v>147</v>
      </c>
      <c r="R1468" s="0" t="n">
        <v>44483</v>
      </c>
      <c r="AD1468" s="0" t="s">
        <v>148</v>
      </c>
      <c r="AE1468" s="0" t="s">
        <v>149</v>
      </c>
      <c r="AF1468" s="0" t="s">
        <v>150</v>
      </c>
      <c r="AH1468" s="0" t="n">
        <v>14</v>
      </c>
      <c r="AI1468" s="0" t="n">
        <v>11</v>
      </c>
      <c r="AN1468" s="0" t="s">
        <v>146</v>
      </c>
      <c r="AO1468" s="0" t="s">
        <v>236</v>
      </c>
      <c r="AP1468" s="0" t="s">
        <v>237</v>
      </c>
      <c r="AQ1468" s="0" t="n">
        <v>9</v>
      </c>
      <c r="AR1468" s="0" t="n">
        <v>64</v>
      </c>
      <c r="AS1468" s="0" t="n">
        <v>32</v>
      </c>
      <c r="AU1468" s="0" t="n">
        <f aca="false">COUNTA($BA$815:$EH$815)</f>
        <v>2</v>
      </c>
      <c r="AV1468" s="0" t="n">
        <f aca="false">COUNTIF($BA$815:$EH$815,"D")</f>
        <v>0</v>
      </c>
      <c r="AW1468" s="0" t="n">
        <f aca="false">COUNTIF($BA$815:$EH$815,"R")</f>
        <v>0</v>
      </c>
      <c r="AX1468" s="0" t="n">
        <f aca="false"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>2</v>
      </c>
      <c r="AY1468" s="0" t="n">
        <f aca="false">COUNTIF(DU1468:EH1468, "&lt;&gt;")</f>
        <v>1</v>
      </c>
      <c r="AZ1468" s="0" t="n">
        <f aca="false">IF(EH1468&lt;&gt;"",1,0)</f>
        <v>0</v>
      </c>
      <c r="BB1468" s="0" t="s">
        <v>153</v>
      </c>
      <c r="BK1468" s="0" t="s">
        <v>154</v>
      </c>
      <c r="BL1468" s="0" t="s">
        <v>154</v>
      </c>
      <c r="BP1468" s="0" t="s">
        <v>154</v>
      </c>
      <c r="BY1468" s="0" t="s">
        <v>155</v>
      </c>
      <c r="CA1468" s="0" t="s">
        <v>154</v>
      </c>
      <c r="CK1468" s="0" t="s">
        <v>154</v>
      </c>
      <c r="CL1468" s="0" t="s">
        <v>155</v>
      </c>
      <c r="CN1468" s="0" t="s">
        <v>154</v>
      </c>
      <c r="CO1468" s="0" t="s">
        <v>155</v>
      </c>
      <c r="CP1468" s="0" t="s">
        <v>154</v>
      </c>
      <c r="CT1468" s="0" t="s">
        <v>154</v>
      </c>
      <c r="CV1468" s="0" t="s">
        <v>154</v>
      </c>
      <c r="CW1468" s="0" t="s">
        <v>155</v>
      </c>
      <c r="CY1468" s="0" t="s">
        <v>154</v>
      </c>
      <c r="CZ1468" s="0" t="s">
        <v>155</v>
      </c>
      <c r="DC1468" s="0" t="s">
        <v>154</v>
      </c>
      <c r="DF1468" s="0" t="s">
        <v>154</v>
      </c>
      <c r="DI1468" s="0" t="s">
        <v>154</v>
      </c>
      <c r="DM1468" s="0" t="s">
        <v>155</v>
      </c>
      <c r="DN1468" s="0" t="s">
        <v>154</v>
      </c>
      <c r="DU1468" s="0" t="s">
        <v>154</v>
      </c>
    </row>
    <row r="1469" customFormat="false" ht="13.8" hidden="false" customHeight="false" outlineLevel="0" collapsed="false">
      <c r="A1469" s="0" t="s">
        <v>6786</v>
      </c>
      <c r="B1469" s="0" t="n">
        <v>78</v>
      </c>
      <c r="C1469" s="0" t="n">
        <v>241843</v>
      </c>
      <c r="D1469" s="0" t="s">
        <v>6787</v>
      </c>
      <c r="E1469" s="0" t="s">
        <v>1942</v>
      </c>
      <c r="F1469" s="0" t="str">
        <f aca="false">CONCATENATE(D1469," ",LEFT(H1469,4),"T=",AU1469,"D=",AV1469,"R=",AW1469,"M=",AX1469,"L=",AY1469,"B=",AZ1469)</f>
        <v>PAINE JRT=5D=0R=1M=1L=6B=0</v>
      </c>
      <c r="G1469" s="0" t="s">
        <v>166</v>
      </c>
      <c r="H1469" s="0" t="s">
        <v>431</v>
      </c>
      <c r="I1469" s="0" t="s">
        <v>6788</v>
      </c>
      <c r="J1469" s="0" t="s">
        <v>706</v>
      </c>
      <c r="K1469" s="0" t="s">
        <v>175</v>
      </c>
      <c r="L1469" s="1" t="s">
        <v>176</v>
      </c>
      <c r="M1469" s="0" t="s">
        <v>6789</v>
      </c>
      <c r="N1469" s="0" t="str">
        <f aca="false">RIGHT(M1469,LEN(M1469)-FIND(" ",M1469))</f>
        <v>LARCHMONT AVE NE</v>
      </c>
      <c r="P1469" s="0" t="s">
        <v>146</v>
      </c>
      <c r="Q1469" s="0" t="s">
        <v>147</v>
      </c>
      <c r="R1469" s="0" t="n">
        <v>44483</v>
      </c>
      <c r="AD1469" s="0" t="s">
        <v>148</v>
      </c>
      <c r="AE1469" s="0" t="s">
        <v>149</v>
      </c>
      <c r="AF1469" s="0" t="s">
        <v>150</v>
      </c>
      <c r="AH1469" s="0" t="n">
        <v>14</v>
      </c>
      <c r="AI1469" s="0" t="n">
        <v>11</v>
      </c>
      <c r="AN1469" s="0" t="s">
        <v>146</v>
      </c>
      <c r="AO1469" s="0" t="s">
        <v>236</v>
      </c>
      <c r="AP1469" s="0" t="s">
        <v>237</v>
      </c>
      <c r="AQ1469" s="0" t="n">
        <v>9</v>
      </c>
      <c r="AR1469" s="0" t="n">
        <v>64</v>
      </c>
      <c r="AS1469" s="0" t="n">
        <v>32</v>
      </c>
      <c r="AU1469" s="0" t="n">
        <f aca="false">COUNTA($BA$1080:$EH$1080)</f>
        <v>5</v>
      </c>
      <c r="AV1469" s="0" t="n">
        <f aca="false">COUNTIF($BA$1080:$EH$1080,"D")</f>
        <v>0</v>
      </c>
      <c r="AW1469" s="0" t="n">
        <f aca="false">COUNTIF($BA$1080:$EH$1080,"R")</f>
        <v>1</v>
      </c>
      <c r="AX1469" s="0" t="n">
        <f aca="false"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>1</v>
      </c>
      <c r="AY1469" s="0" t="n">
        <f aca="false">COUNTIF(DU1469:EH1469, "&lt;&gt;")</f>
        <v>6</v>
      </c>
      <c r="AZ1469" s="0" t="n">
        <f aca="false">IF(EH1469&lt;&gt;"",1,0)</f>
        <v>0</v>
      </c>
      <c r="BB1469" s="0" t="s">
        <v>153</v>
      </c>
      <c r="BC1469" s="0" t="s">
        <v>154</v>
      </c>
      <c r="BD1469" s="0" t="s">
        <v>154</v>
      </c>
      <c r="BF1469" s="0" t="s">
        <v>154</v>
      </c>
      <c r="BH1469" s="0" t="s">
        <v>154</v>
      </c>
      <c r="BJ1469" s="0" t="s">
        <v>154</v>
      </c>
      <c r="BK1469" s="0" t="s">
        <v>154</v>
      </c>
      <c r="BL1469" s="0" t="s">
        <v>154</v>
      </c>
      <c r="BP1469" s="0" t="s">
        <v>154</v>
      </c>
      <c r="BR1469" s="0" t="s">
        <v>154</v>
      </c>
      <c r="BS1469" s="0" t="s">
        <v>154</v>
      </c>
      <c r="BV1469" s="0" t="s">
        <v>154</v>
      </c>
      <c r="BY1469" s="0" t="s">
        <v>155</v>
      </c>
      <c r="CA1469" s="0" t="s">
        <v>154</v>
      </c>
      <c r="CG1469" s="0" t="s">
        <v>154</v>
      </c>
      <c r="CH1469" s="0" t="s">
        <v>155</v>
      </c>
      <c r="CK1469" s="0" t="s">
        <v>154</v>
      </c>
      <c r="CN1469" s="0" t="s">
        <v>154</v>
      </c>
      <c r="CO1469" s="0" t="s">
        <v>155</v>
      </c>
      <c r="CP1469" s="0" t="s">
        <v>154</v>
      </c>
      <c r="CT1469" s="0" t="s">
        <v>154</v>
      </c>
      <c r="CU1469" s="0" t="s">
        <v>176</v>
      </c>
      <c r="CV1469" s="0" t="s">
        <v>154</v>
      </c>
      <c r="CY1469" s="0" t="s">
        <v>154</v>
      </c>
      <c r="CZ1469" s="0" t="s">
        <v>176</v>
      </c>
      <c r="DC1469" s="0" t="s">
        <v>154</v>
      </c>
      <c r="DG1469" s="0" t="s">
        <v>176</v>
      </c>
      <c r="DI1469" s="0" t="s">
        <v>154</v>
      </c>
      <c r="DJ1469" s="0" t="s">
        <v>155</v>
      </c>
      <c r="DL1469" s="0" t="s">
        <v>154</v>
      </c>
      <c r="DM1469" s="0" t="s">
        <v>155</v>
      </c>
      <c r="DN1469" s="0" t="s">
        <v>154</v>
      </c>
      <c r="DR1469" s="0" t="s">
        <v>154</v>
      </c>
      <c r="DS1469" s="0" t="s">
        <v>176</v>
      </c>
      <c r="DT1469" s="0" t="s">
        <v>176</v>
      </c>
      <c r="DU1469" s="0" t="s">
        <v>154</v>
      </c>
      <c r="DW1469" s="0" t="s">
        <v>154</v>
      </c>
      <c r="DX1469" s="0" t="s">
        <v>154</v>
      </c>
      <c r="EA1469" s="0" t="s">
        <v>154</v>
      </c>
      <c r="ED1469" s="0" t="s">
        <v>176</v>
      </c>
      <c r="EF1469" s="0" t="s">
        <v>154</v>
      </c>
    </row>
    <row r="1470" customFormat="false" ht="13.8" hidden="true" customHeight="false" outlineLevel="0" collapsed="false">
      <c r="A1470" s="0" t="s">
        <v>6790</v>
      </c>
      <c r="B1470" s="0" t="n">
        <v>78</v>
      </c>
      <c r="C1470" s="0" t="n">
        <v>489475</v>
      </c>
      <c r="D1470" s="0" t="s">
        <v>6791</v>
      </c>
      <c r="E1470" s="0" t="s">
        <v>3669</v>
      </c>
      <c r="F1470" s="0" t="str">
        <f aca="false">CONCATENATE(D1470," ",LEFT(H1470,4),"T=",AU1470,"D=",AV1470,"R=",AW1470,"M=",AX1470,"L=",AY1470,"B=",AZ1470)</f>
        <v>WILKINSON T=2D=0R=0M=0L=1B=0</v>
      </c>
      <c r="G1470" s="0" t="s">
        <v>771</v>
      </c>
      <c r="I1470" s="0" t="s">
        <v>6792</v>
      </c>
      <c r="J1470" s="0" t="s">
        <v>1877</v>
      </c>
      <c r="K1470" s="0" t="s">
        <v>175</v>
      </c>
      <c r="L1470" s="0"/>
      <c r="M1470" s="0" t="s">
        <v>6793</v>
      </c>
      <c r="N1470" s="0" t="str">
        <f aca="false">RIGHT(M1470,LEN(M1470)-FIND(" ",M1470))</f>
        <v>LARCHMONT AVE NE</v>
      </c>
      <c r="P1470" s="0" t="s">
        <v>146</v>
      </c>
      <c r="Q1470" s="0" t="s">
        <v>147</v>
      </c>
      <c r="R1470" s="0" t="n">
        <v>44483</v>
      </c>
      <c r="AD1470" s="0" t="s">
        <v>148</v>
      </c>
      <c r="AE1470" s="0" t="s">
        <v>149</v>
      </c>
      <c r="AF1470" s="0" t="s">
        <v>150</v>
      </c>
      <c r="AH1470" s="0" t="n">
        <v>14</v>
      </c>
      <c r="AI1470" s="0" t="n">
        <v>11</v>
      </c>
      <c r="AN1470" s="0" t="s">
        <v>146</v>
      </c>
      <c r="AO1470" s="0" t="s">
        <v>236</v>
      </c>
      <c r="AP1470" s="0" t="s">
        <v>237</v>
      </c>
      <c r="AQ1470" s="0" t="n">
        <v>9</v>
      </c>
      <c r="AR1470" s="0" t="n">
        <v>64</v>
      </c>
      <c r="AS1470" s="0" t="n">
        <v>32</v>
      </c>
      <c r="AU1470" s="0" t="n">
        <f aca="false">COUNTA($BA$841:$EH$841)</f>
        <v>2</v>
      </c>
      <c r="AV1470" s="0" t="n">
        <f aca="false">COUNTIF($BA$841:$EH$841,"D")</f>
        <v>0</v>
      </c>
      <c r="AW1470" s="0" t="n">
        <f aca="false">COUNTIF($BA$841:$EH$841,"R")</f>
        <v>0</v>
      </c>
      <c r="AX1470" s="0" t="n">
        <f aca="false"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>0</v>
      </c>
      <c r="AY1470" s="0" t="n">
        <f aca="false">COUNTIF(DU1470:EH1470, "&lt;&gt;")</f>
        <v>1</v>
      </c>
      <c r="AZ1470" s="0" t="n">
        <f aca="false">IF(EH1470&lt;&gt;"",1,0)</f>
        <v>0</v>
      </c>
      <c r="BB1470" s="0" t="s">
        <v>153</v>
      </c>
      <c r="CY1470" s="0" t="s">
        <v>154</v>
      </c>
      <c r="DC1470" s="0" t="s">
        <v>154</v>
      </c>
      <c r="DN1470" s="0" t="s">
        <v>154</v>
      </c>
      <c r="EA1470" s="0" t="s">
        <v>154</v>
      </c>
    </row>
    <row r="1471" customFormat="false" ht="13.8" hidden="true" customHeight="false" outlineLevel="0" collapsed="false">
      <c r="A1471" s="0" t="s">
        <v>6794</v>
      </c>
      <c r="B1471" s="0" t="n">
        <v>78</v>
      </c>
      <c r="C1471" s="0" t="n">
        <v>4147</v>
      </c>
      <c r="D1471" s="0" t="s">
        <v>6795</v>
      </c>
      <c r="E1471" s="0" t="s">
        <v>6796</v>
      </c>
      <c r="F1471" s="0" t="str">
        <f aca="false">CONCATENATE(D1471," ",LEFT(H1471,4),"T=",AU1471,"D=",AV1471,"R=",AW1471,"M=",AX1471,"L=",AY1471,"B=",AZ1471)</f>
        <v>LESNOSKI T=1D=0R=0M=0L=0B=0</v>
      </c>
      <c r="G1471" s="0" t="s">
        <v>939</v>
      </c>
      <c r="I1471" s="0" t="s">
        <v>6797</v>
      </c>
      <c r="J1471" s="0" t="s">
        <v>6798</v>
      </c>
      <c r="K1471" s="0" t="s">
        <v>144</v>
      </c>
      <c r="L1471" s="0"/>
      <c r="M1471" s="0" t="s">
        <v>6799</v>
      </c>
      <c r="N1471" s="0" t="str">
        <f aca="false">RIGHT(M1471,LEN(M1471)-FIND(" ",M1471))</f>
        <v>LARCHMONT AVE NE</v>
      </c>
      <c r="P1471" s="0" t="s">
        <v>146</v>
      </c>
      <c r="Q1471" s="0" t="s">
        <v>147</v>
      </c>
      <c r="R1471" s="0" t="n">
        <v>44483</v>
      </c>
      <c r="AD1471" s="0" t="s">
        <v>148</v>
      </c>
      <c r="AE1471" s="0" t="s">
        <v>149</v>
      </c>
      <c r="AF1471" s="0" t="s">
        <v>150</v>
      </c>
      <c r="AH1471" s="0" t="n">
        <v>14</v>
      </c>
      <c r="AI1471" s="0" t="n">
        <v>11</v>
      </c>
      <c r="AN1471" s="0" t="s">
        <v>146</v>
      </c>
      <c r="AO1471" s="0" t="s">
        <v>236</v>
      </c>
      <c r="AP1471" s="0" t="s">
        <v>237</v>
      </c>
      <c r="AQ1471" s="0" t="n">
        <v>9</v>
      </c>
      <c r="AR1471" s="0" t="n">
        <v>64</v>
      </c>
      <c r="AS1471" s="0" t="n">
        <v>32</v>
      </c>
      <c r="AU1471" s="0" t="n">
        <f aca="false">COUNTA($BA$125:$EH$125)</f>
        <v>1</v>
      </c>
      <c r="AV1471" s="0" t="n">
        <f aca="false">COUNTIF($BA$125:$EH$125,"D")</f>
        <v>0</v>
      </c>
      <c r="AW1471" s="0" t="n">
        <f aca="false">COUNTIF($BA$125:$EH$125,"R")</f>
        <v>0</v>
      </c>
      <c r="AX1471" s="0" t="n">
        <f aca="false"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>0</v>
      </c>
      <c r="AY1471" s="0" t="n">
        <f aca="false">COUNTIF(DU1471:EH1471, "&lt;&gt;")</f>
        <v>0</v>
      </c>
      <c r="AZ1471" s="0" t="n">
        <f aca="false">IF(EH1471&lt;&gt;"",1,0)</f>
        <v>0</v>
      </c>
      <c r="BB1471" s="0" t="s">
        <v>153</v>
      </c>
      <c r="BC1471" s="0" t="s">
        <v>154</v>
      </c>
      <c r="BD1471" s="0" t="s">
        <v>154</v>
      </c>
      <c r="BE1471" s="0" t="s">
        <v>154</v>
      </c>
      <c r="BF1471" s="0" t="s">
        <v>154</v>
      </c>
      <c r="BG1471" s="0" t="s">
        <v>154</v>
      </c>
      <c r="BH1471" s="0" t="s">
        <v>154</v>
      </c>
      <c r="BI1471" s="0" t="s">
        <v>154</v>
      </c>
      <c r="BJ1471" s="0" t="s">
        <v>154</v>
      </c>
      <c r="BK1471" s="0" t="s">
        <v>154</v>
      </c>
      <c r="BL1471" s="0" t="s">
        <v>154</v>
      </c>
      <c r="BP1471" s="0" t="s">
        <v>154</v>
      </c>
      <c r="BR1471" s="0" t="s">
        <v>154</v>
      </c>
      <c r="BS1471" s="0" t="s">
        <v>154</v>
      </c>
      <c r="BV1471" s="0" t="s">
        <v>154</v>
      </c>
      <c r="CA1471" s="0" t="s">
        <v>154</v>
      </c>
      <c r="CG1471" s="0" t="s">
        <v>154</v>
      </c>
      <c r="CK1471" s="0" t="s">
        <v>154</v>
      </c>
      <c r="CN1471" s="0" t="s">
        <v>154</v>
      </c>
      <c r="CP1471" s="0" t="s">
        <v>154</v>
      </c>
      <c r="CV1471" s="0" t="s">
        <v>154</v>
      </c>
      <c r="CY1471" s="0" t="s">
        <v>154</v>
      </c>
      <c r="DC1471" s="0" t="s">
        <v>154</v>
      </c>
      <c r="DF1471" s="0" t="s">
        <v>154</v>
      </c>
      <c r="DI1471" s="0" t="s">
        <v>154</v>
      </c>
      <c r="DN1471" s="0" t="s">
        <v>154</v>
      </c>
    </row>
    <row r="1472" customFormat="false" ht="13.8" hidden="true" customHeight="false" outlineLevel="0" collapsed="false">
      <c r="A1472" s="0" t="s">
        <v>6800</v>
      </c>
      <c r="B1472" s="0" t="n">
        <v>78</v>
      </c>
      <c r="C1472" s="0" t="n">
        <v>446707</v>
      </c>
      <c r="D1472" s="0" t="s">
        <v>3161</v>
      </c>
      <c r="E1472" s="0" t="s">
        <v>863</v>
      </c>
      <c r="F1472" s="0" t="str">
        <f aca="false">CONCATENATE(D1472," ",LEFT(H1472,4),"T=",AU1472,"D=",AV1472,"R=",AW1472,"M=",AX1472,"L=",AY1472,"B=",AZ1472)</f>
        <v>SHELBY T=3D=0R=0M=0L=1B=0</v>
      </c>
      <c r="G1472" s="0" t="s">
        <v>297</v>
      </c>
      <c r="I1472" s="0" t="s">
        <v>6801</v>
      </c>
      <c r="J1472" s="0" t="s">
        <v>4473</v>
      </c>
      <c r="K1472" s="0" t="s">
        <v>175</v>
      </c>
      <c r="L1472" s="0"/>
      <c r="M1472" s="0" t="s">
        <v>6802</v>
      </c>
      <c r="N1472" s="0" t="str">
        <f aca="false">RIGHT(M1472,LEN(M1472)-FIND(" ",M1472))</f>
        <v>LARCHMONT AVE NE</v>
      </c>
      <c r="P1472" s="0" t="s">
        <v>146</v>
      </c>
      <c r="Q1472" s="0" t="s">
        <v>147</v>
      </c>
      <c r="R1472" s="0" t="n">
        <v>44483</v>
      </c>
      <c r="AD1472" s="0" t="s">
        <v>148</v>
      </c>
      <c r="AE1472" s="0" t="s">
        <v>149</v>
      </c>
      <c r="AF1472" s="0" t="s">
        <v>150</v>
      </c>
      <c r="AH1472" s="0" t="n">
        <v>14</v>
      </c>
      <c r="AI1472" s="0" t="n">
        <v>11</v>
      </c>
      <c r="AN1472" s="0" t="s">
        <v>146</v>
      </c>
      <c r="AO1472" s="0" t="s">
        <v>236</v>
      </c>
      <c r="AP1472" s="0" t="s">
        <v>237</v>
      </c>
      <c r="AQ1472" s="0" t="n">
        <v>9</v>
      </c>
      <c r="AR1472" s="0" t="n">
        <v>64</v>
      </c>
      <c r="AS1472" s="0" t="n">
        <v>32</v>
      </c>
      <c r="AU1472" s="0" t="n">
        <f aca="false">COUNTA($BA$98:$EH$98)</f>
        <v>3</v>
      </c>
      <c r="AV1472" s="0" t="n">
        <f aca="false">COUNTIF($BA$98:$EH$98,"D")</f>
        <v>0</v>
      </c>
      <c r="AW1472" s="0" t="n">
        <f aca="false">COUNTIF($BA$98:$EH$98,"R")</f>
        <v>0</v>
      </c>
      <c r="AX1472" s="0" t="n">
        <f aca="false"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>0</v>
      </c>
      <c r="AY1472" s="0" t="n">
        <f aca="false">COUNTIF(DU1472:EH1472, "&lt;&gt;")</f>
        <v>1</v>
      </c>
      <c r="AZ1472" s="0" t="n">
        <f aca="false">IF(EH1472&lt;&gt;"",1,0)</f>
        <v>0</v>
      </c>
      <c r="BB1472" s="0" t="s">
        <v>153</v>
      </c>
      <c r="DN1472" s="0" t="s">
        <v>154</v>
      </c>
      <c r="EF1472" s="0" t="s">
        <v>154</v>
      </c>
    </row>
    <row r="1473" customFormat="false" ht="13.8" hidden="true" customHeight="false" outlineLevel="0" collapsed="false">
      <c r="A1473" s="0" t="s">
        <v>6803</v>
      </c>
      <c r="B1473" s="0" t="n">
        <v>78</v>
      </c>
      <c r="C1473" s="0" t="n">
        <v>406431</v>
      </c>
      <c r="D1473" s="0" t="s">
        <v>6804</v>
      </c>
      <c r="E1473" s="0" t="s">
        <v>195</v>
      </c>
      <c r="F1473" s="0" t="str">
        <f aca="false">CONCATENATE(D1473," ",LEFT(H1473,4),"T=",AU1473,"D=",AV1473,"R=",AW1473,"M=",AX1473,"L=",AY1473,"B=",AZ1473)</f>
        <v>YAKUBOWSKI T=40D=0R=10M=0L=1B=0</v>
      </c>
      <c r="G1473" s="0" t="s">
        <v>188</v>
      </c>
      <c r="I1473" s="0" t="s">
        <v>6805</v>
      </c>
      <c r="J1473" s="0" t="s">
        <v>4832</v>
      </c>
      <c r="K1473" s="0" t="s">
        <v>175</v>
      </c>
      <c r="L1473" s="0"/>
      <c r="M1473" s="0" t="s">
        <v>6802</v>
      </c>
      <c r="N1473" s="0" t="str">
        <f aca="false">RIGHT(M1473,LEN(M1473)-FIND(" ",M1473))</f>
        <v>LARCHMONT AVE NE</v>
      </c>
      <c r="P1473" s="0" t="s">
        <v>146</v>
      </c>
      <c r="Q1473" s="0" t="s">
        <v>147</v>
      </c>
      <c r="R1473" s="0" t="n">
        <v>44483</v>
      </c>
      <c r="AD1473" s="0" t="s">
        <v>148</v>
      </c>
      <c r="AE1473" s="0" t="s">
        <v>149</v>
      </c>
      <c r="AF1473" s="0" t="s">
        <v>150</v>
      </c>
      <c r="AH1473" s="0" t="n">
        <v>14</v>
      </c>
      <c r="AI1473" s="0" t="n">
        <v>11</v>
      </c>
      <c r="AN1473" s="0" t="s">
        <v>146</v>
      </c>
      <c r="AO1473" s="0" t="s">
        <v>236</v>
      </c>
      <c r="AP1473" s="0" t="s">
        <v>237</v>
      </c>
      <c r="AQ1473" s="0" t="n">
        <v>9</v>
      </c>
      <c r="AR1473" s="0" t="n">
        <v>64</v>
      </c>
      <c r="AS1473" s="0" t="n">
        <v>32</v>
      </c>
      <c r="AU1473" s="0" t="n">
        <f aca="false">COUNTA($BA$449:$EH$449)</f>
        <v>40</v>
      </c>
      <c r="AV1473" s="0" t="n">
        <f aca="false">COUNTIF($BA$449:$EH$449,"D")</f>
        <v>0</v>
      </c>
      <c r="AW1473" s="0" t="n">
        <f aca="false">COUNTIF($BA$449:$EH$449,"R")</f>
        <v>10</v>
      </c>
      <c r="AX1473" s="0" t="n">
        <f aca="false"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>0</v>
      </c>
      <c r="AY1473" s="0" t="n">
        <f aca="false">COUNTIF(DU1473:EH1473, "&lt;&gt;")</f>
        <v>1</v>
      </c>
      <c r="AZ1473" s="0" t="n">
        <f aca="false">IF(EH1473&lt;&gt;"",1,0)</f>
        <v>0</v>
      </c>
      <c r="BB1473" s="0" t="s">
        <v>153</v>
      </c>
      <c r="DC1473" s="0" t="s">
        <v>154</v>
      </c>
      <c r="DN1473" s="0" t="s">
        <v>154</v>
      </c>
      <c r="EF1473" s="0" t="s">
        <v>154</v>
      </c>
    </row>
    <row r="1474" customFormat="false" ht="13.8" hidden="false" customHeight="false" outlineLevel="0" collapsed="false">
      <c r="A1474" s="0" t="s">
        <v>6806</v>
      </c>
      <c r="B1474" s="0" t="n">
        <v>78</v>
      </c>
      <c r="C1474" s="0" t="n">
        <v>322640</v>
      </c>
      <c r="D1474" s="0" t="s">
        <v>6807</v>
      </c>
      <c r="E1474" s="0" t="s">
        <v>6808</v>
      </c>
      <c r="F1474" s="0" t="str">
        <f aca="false">CONCATENATE(D1474," ",LEFT(H1474,4),"T=",AU1474,"D=",AV1474,"R=",AW1474,"M=",AX1474,"L=",AY1474,"B=",AZ1474)</f>
        <v>HAMEED T=17D=0R=3M=0L=2B=0</v>
      </c>
      <c r="G1474" s="0" t="s">
        <v>188</v>
      </c>
      <c r="I1474" s="0" t="s">
        <v>6809</v>
      </c>
      <c r="J1474" s="0" t="s">
        <v>977</v>
      </c>
      <c r="K1474" s="0" t="s">
        <v>175</v>
      </c>
      <c r="M1474" s="0" t="s">
        <v>6810</v>
      </c>
      <c r="N1474" s="0" t="str">
        <f aca="false">RIGHT(M1474,LEN(M1474)-FIND(" ",M1474))</f>
        <v>MADISON AVE NW</v>
      </c>
      <c r="P1474" s="0" t="s">
        <v>146</v>
      </c>
      <c r="Q1474" s="0" t="s">
        <v>147</v>
      </c>
      <c r="R1474" s="0" t="n">
        <v>44483</v>
      </c>
      <c r="AD1474" s="0" t="s">
        <v>148</v>
      </c>
      <c r="AE1474" s="0" t="s">
        <v>149</v>
      </c>
      <c r="AF1474" s="0" t="s">
        <v>150</v>
      </c>
      <c r="AH1474" s="0" t="n">
        <v>14</v>
      </c>
      <c r="AI1474" s="0" t="n">
        <v>11</v>
      </c>
      <c r="AN1474" s="0" t="s">
        <v>146</v>
      </c>
      <c r="AO1474" s="0" t="s">
        <v>151</v>
      </c>
      <c r="AP1474" s="0" t="s">
        <v>152</v>
      </c>
      <c r="AQ1474" s="0" t="n">
        <v>9</v>
      </c>
      <c r="AR1474" s="0" t="n">
        <v>64</v>
      </c>
      <c r="AS1474" s="0" t="n">
        <v>32</v>
      </c>
      <c r="AU1474" s="0" t="n">
        <f aca="false">COUNTA($BA$1496:$EH$1496)</f>
        <v>17</v>
      </c>
      <c r="AV1474" s="0" t="n">
        <f aca="false">COUNTIF($BA$1496:$EH$1496,"D")</f>
        <v>0</v>
      </c>
      <c r="AW1474" s="0" t="n">
        <f aca="false">COUNTIF($BA$1496:$EH$1496,"R")</f>
        <v>3</v>
      </c>
      <c r="AX1474" s="0" t="n">
        <f aca="false"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>0</v>
      </c>
      <c r="AY1474" s="0" t="n">
        <f aca="false">COUNTIF(DU1474:EH1474, "&lt;&gt;")</f>
        <v>2</v>
      </c>
      <c r="AZ1474" s="0" t="n">
        <f aca="false">IF(EH1474&lt;&gt;"",1,0)</f>
        <v>0</v>
      </c>
      <c r="BB1474" s="0" t="s">
        <v>153</v>
      </c>
      <c r="BL1474" s="0" t="s">
        <v>154</v>
      </c>
      <c r="CP1474" s="0" t="s">
        <v>154</v>
      </c>
      <c r="CY1474" s="0" t="s">
        <v>154</v>
      </c>
      <c r="DU1474" s="0" t="s">
        <v>154</v>
      </c>
      <c r="EA1474" s="0" t="s">
        <v>154</v>
      </c>
    </row>
    <row r="1475" customFormat="false" ht="13.8" hidden="false" customHeight="false" outlineLevel="0" collapsed="false">
      <c r="A1475" s="0" t="s">
        <v>6811</v>
      </c>
      <c r="B1475" s="0" t="n">
        <v>78</v>
      </c>
      <c r="C1475" s="0" t="n">
        <v>444771</v>
      </c>
      <c r="D1475" s="0" t="s">
        <v>6807</v>
      </c>
      <c r="E1475" s="0" t="s">
        <v>6812</v>
      </c>
      <c r="F1475" s="0" t="str">
        <f aca="false">CONCATENATE(D1475," ",LEFT(H1475,4),"T=",AU1475,"D=",AV1475,"R=",AW1475,"M=",AX1475,"L=",AY1475,"B=",AZ1475)</f>
        <v>HAMEED IIT=8D=1R=0M=0L=4B=0</v>
      </c>
      <c r="G1475" s="0" t="s">
        <v>6813</v>
      </c>
      <c r="H1475" s="0" t="s">
        <v>598</v>
      </c>
      <c r="I1475" s="0" t="s">
        <v>6814</v>
      </c>
      <c r="J1475" s="0" t="s">
        <v>6815</v>
      </c>
      <c r="K1475" s="0" t="s">
        <v>175</v>
      </c>
      <c r="L1475" s="1" t="s">
        <v>155</v>
      </c>
      <c r="M1475" s="0" t="s">
        <v>6810</v>
      </c>
      <c r="N1475" s="0" t="str">
        <f aca="false">RIGHT(M1475,LEN(M1475)-FIND(" ",M1475))</f>
        <v>MADISON AVE NW</v>
      </c>
      <c r="P1475" s="0" t="s">
        <v>146</v>
      </c>
      <c r="Q1475" s="0" t="s">
        <v>147</v>
      </c>
      <c r="R1475" s="0" t="n">
        <v>44483</v>
      </c>
      <c r="AD1475" s="0" t="s">
        <v>148</v>
      </c>
      <c r="AE1475" s="0" t="s">
        <v>149</v>
      </c>
      <c r="AF1475" s="0" t="s">
        <v>150</v>
      </c>
      <c r="AH1475" s="0" t="n">
        <v>14</v>
      </c>
      <c r="AI1475" s="0" t="n">
        <v>11</v>
      </c>
      <c r="AN1475" s="0" t="s">
        <v>146</v>
      </c>
      <c r="AO1475" s="0" t="s">
        <v>151</v>
      </c>
      <c r="AP1475" s="0" t="s">
        <v>152</v>
      </c>
      <c r="AQ1475" s="0" t="n">
        <v>9</v>
      </c>
      <c r="AR1475" s="0" t="n">
        <v>64</v>
      </c>
      <c r="AS1475" s="0" t="n">
        <v>32</v>
      </c>
      <c r="AU1475" s="0" t="n">
        <f aca="false">COUNTA($BA$1924:$EH$1924)</f>
        <v>8</v>
      </c>
      <c r="AV1475" s="0" t="n">
        <f aca="false">COUNTIF($BA$1924:$EH$1924,"D")</f>
        <v>1</v>
      </c>
      <c r="AW1475" s="0" t="n">
        <f aca="false">COUNTIF($BA$1924:$EH$1924,"R")</f>
        <v>0</v>
      </c>
      <c r="AX1475" s="0" t="n">
        <f aca="false"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>0</v>
      </c>
      <c r="AY1475" s="0" t="n">
        <f aca="false">COUNTIF(DU1475:EH1475, "&lt;&gt;")</f>
        <v>4</v>
      </c>
      <c r="AZ1475" s="0" t="n">
        <f aca="false">IF(EH1475&lt;&gt;"",1,0)</f>
        <v>0</v>
      </c>
      <c r="BB1475" s="0" t="s">
        <v>153</v>
      </c>
      <c r="DN1475" s="0" t="s">
        <v>154</v>
      </c>
      <c r="DT1475" s="0" t="s">
        <v>155</v>
      </c>
      <c r="DU1475" s="0" t="s">
        <v>154</v>
      </c>
      <c r="DX1475" s="0" t="s">
        <v>154</v>
      </c>
      <c r="EA1475" s="0" t="s">
        <v>154</v>
      </c>
      <c r="EF1475" s="0" t="s">
        <v>154</v>
      </c>
    </row>
    <row r="1476" customFormat="false" ht="13.8" hidden="false" customHeight="false" outlineLevel="0" collapsed="false">
      <c r="A1476" s="0" t="s">
        <v>6816</v>
      </c>
      <c r="B1476" s="0" t="n">
        <v>78</v>
      </c>
      <c r="C1476" s="0" t="n">
        <v>384961</v>
      </c>
      <c r="D1476" s="0" t="s">
        <v>6807</v>
      </c>
      <c r="E1476" s="0" t="s">
        <v>6817</v>
      </c>
      <c r="F1476" s="0" t="str">
        <f aca="false">CONCATENATE(D1476," ",LEFT(H1476,4),"T=",AU1476,"D=",AV1476,"R=",AW1476,"M=",AX1476,"L=",AY1476,"B=",AZ1476)</f>
        <v>HAMEED T=1D=0R=0M=3L=5B=0</v>
      </c>
      <c r="G1476" s="0" t="s">
        <v>6818</v>
      </c>
      <c r="I1476" s="0" t="s">
        <v>6819</v>
      </c>
      <c r="J1476" s="0" t="s">
        <v>6820</v>
      </c>
      <c r="K1476" s="0" t="s">
        <v>175</v>
      </c>
      <c r="L1476" s="1" t="s">
        <v>155</v>
      </c>
      <c r="M1476" s="0" t="s">
        <v>6810</v>
      </c>
      <c r="N1476" s="0" t="str">
        <f aca="false">RIGHT(M1476,LEN(M1476)-FIND(" ",M1476))</f>
        <v>MADISON AVE NW</v>
      </c>
      <c r="P1476" s="0" t="s">
        <v>146</v>
      </c>
      <c r="Q1476" s="0" t="s">
        <v>147</v>
      </c>
      <c r="R1476" s="0" t="n">
        <v>44483</v>
      </c>
      <c r="AD1476" s="0" t="s">
        <v>148</v>
      </c>
      <c r="AE1476" s="0" t="s">
        <v>149</v>
      </c>
      <c r="AF1476" s="0" t="s">
        <v>150</v>
      </c>
      <c r="AH1476" s="0" t="n">
        <v>14</v>
      </c>
      <c r="AI1476" s="0" t="n">
        <v>11</v>
      </c>
      <c r="AN1476" s="0" t="s">
        <v>146</v>
      </c>
      <c r="AO1476" s="0" t="s">
        <v>151</v>
      </c>
      <c r="AP1476" s="0" t="s">
        <v>152</v>
      </c>
      <c r="AQ1476" s="0" t="n">
        <v>9</v>
      </c>
      <c r="AR1476" s="0" t="n">
        <v>64</v>
      </c>
      <c r="AS1476" s="0" t="n">
        <v>32</v>
      </c>
      <c r="AU1476" s="0" t="n">
        <f aca="false">COUNTA($BA$1946:$EH$1946)</f>
        <v>1</v>
      </c>
      <c r="AV1476" s="0" t="n">
        <f aca="false">COUNTIF($BA$1946:$EH$1946,"D")</f>
        <v>0</v>
      </c>
      <c r="AW1476" s="0" t="n">
        <f aca="false">COUNTIF($BA$1946:$EH$1946,"R")</f>
        <v>0</v>
      </c>
      <c r="AX1476" s="0" t="n">
        <f aca="false"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>3</v>
      </c>
      <c r="AY1476" s="0" t="n">
        <f aca="false">COUNTIF(DU1476:EH1476, "&lt;&gt;")</f>
        <v>5</v>
      </c>
      <c r="AZ1476" s="0" t="n">
        <f aca="false">IF(EH1476&lt;&gt;"",1,0)</f>
        <v>0</v>
      </c>
      <c r="BB1476" s="0" t="s">
        <v>153</v>
      </c>
      <c r="CP1476" s="0" t="s">
        <v>154</v>
      </c>
      <c r="CV1476" s="0" t="s">
        <v>154</v>
      </c>
      <c r="CW1476" s="0" t="s">
        <v>155</v>
      </c>
      <c r="CZ1476" s="0" t="s">
        <v>155</v>
      </c>
      <c r="DC1476" s="0" t="s">
        <v>154</v>
      </c>
      <c r="DD1476" s="0" t="s">
        <v>155</v>
      </c>
      <c r="DF1476" s="0" t="s">
        <v>154</v>
      </c>
      <c r="DG1476" s="0" t="s">
        <v>155</v>
      </c>
      <c r="DI1476" s="0" t="s">
        <v>154</v>
      </c>
      <c r="DL1476" s="0" t="s">
        <v>154</v>
      </c>
      <c r="DN1476" s="0" t="s">
        <v>154</v>
      </c>
      <c r="DO1476" s="0" t="s">
        <v>155</v>
      </c>
      <c r="DS1476" s="0" t="s">
        <v>155</v>
      </c>
      <c r="DU1476" s="0" t="s">
        <v>154</v>
      </c>
      <c r="DX1476" s="0" t="s">
        <v>154</v>
      </c>
      <c r="EA1476" s="0" t="s">
        <v>154</v>
      </c>
      <c r="ED1476" s="0" t="s">
        <v>155</v>
      </c>
      <c r="EF1476" s="0" t="s">
        <v>154</v>
      </c>
    </row>
    <row r="1477" customFormat="false" ht="13.8" hidden="false" customHeight="false" outlineLevel="0" collapsed="false">
      <c r="A1477" s="0" t="s">
        <v>6821</v>
      </c>
      <c r="B1477" s="0" t="n">
        <v>78</v>
      </c>
      <c r="C1477" s="0" t="n">
        <v>336402</v>
      </c>
      <c r="D1477" s="0" t="s">
        <v>6807</v>
      </c>
      <c r="E1477" s="0" t="s">
        <v>6812</v>
      </c>
      <c r="F1477" s="0" t="str">
        <f aca="false">CONCATENATE(D1477," ",LEFT(H1477,4),"T=",AU1477,"D=",AV1477,"R=",AW1477,"M=",AX1477,"L=",AY1477,"B=",AZ1477)</f>
        <v>HAMEED T=10D=2R=1M=3L=5B=0</v>
      </c>
      <c r="G1477" s="0" t="s">
        <v>172</v>
      </c>
      <c r="I1477" s="0" t="s">
        <v>6822</v>
      </c>
      <c r="J1477" s="0" t="s">
        <v>3688</v>
      </c>
      <c r="K1477" s="0" t="s">
        <v>175</v>
      </c>
      <c r="L1477" s="1" t="s">
        <v>155</v>
      </c>
      <c r="M1477" s="0" t="s">
        <v>6810</v>
      </c>
      <c r="N1477" s="0" t="str">
        <f aca="false">RIGHT(M1477,LEN(M1477)-FIND(" ",M1477))</f>
        <v>MADISON AVE NW</v>
      </c>
      <c r="P1477" s="0" t="s">
        <v>146</v>
      </c>
      <c r="Q1477" s="0" t="s">
        <v>147</v>
      </c>
      <c r="R1477" s="0" t="n">
        <v>44483</v>
      </c>
      <c r="AD1477" s="0" t="s">
        <v>148</v>
      </c>
      <c r="AE1477" s="0" t="s">
        <v>149</v>
      </c>
      <c r="AF1477" s="0" t="s">
        <v>150</v>
      </c>
      <c r="AH1477" s="0" t="n">
        <v>14</v>
      </c>
      <c r="AI1477" s="0" t="n">
        <v>11</v>
      </c>
      <c r="AN1477" s="0" t="s">
        <v>146</v>
      </c>
      <c r="AO1477" s="0" t="s">
        <v>151</v>
      </c>
      <c r="AP1477" s="0" t="s">
        <v>152</v>
      </c>
      <c r="AQ1477" s="0" t="n">
        <v>9</v>
      </c>
      <c r="AR1477" s="0" t="n">
        <v>64</v>
      </c>
      <c r="AS1477" s="0" t="n">
        <v>32</v>
      </c>
      <c r="AU1477" s="0" t="n">
        <f aca="false">COUNTA($BA$1947:$EH$1947)</f>
        <v>10</v>
      </c>
      <c r="AV1477" s="0" t="n">
        <f aca="false">COUNTIF($BA$1947:$EH$1947,"D")</f>
        <v>2</v>
      </c>
      <c r="AW1477" s="0" t="n">
        <f aca="false">COUNTIF($BA$1947:$EH$1947,"R")</f>
        <v>1</v>
      </c>
      <c r="AX1477" s="0" t="n">
        <f aca="false"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>3</v>
      </c>
      <c r="AY1477" s="0" t="n">
        <f aca="false">COUNTIF(DU1477:EH1477, "&lt;&gt;")</f>
        <v>5</v>
      </c>
      <c r="AZ1477" s="0" t="n">
        <f aca="false">IF(EH1477&lt;&gt;"",1,0)</f>
        <v>0</v>
      </c>
      <c r="BB1477" s="0" t="s">
        <v>153</v>
      </c>
      <c r="BY1477" s="0" t="s">
        <v>155</v>
      </c>
      <c r="CA1477" s="0" t="s">
        <v>154</v>
      </c>
      <c r="CG1477" s="0" t="s">
        <v>154</v>
      </c>
      <c r="CK1477" s="0" t="s">
        <v>154</v>
      </c>
      <c r="CN1477" s="0" t="s">
        <v>154</v>
      </c>
      <c r="CP1477" s="0" t="s">
        <v>154</v>
      </c>
      <c r="CT1477" s="0" t="s">
        <v>154</v>
      </c>
      <c r="CV1477" s="0" t="s">
        <v>154</v>
      </c>
      <c r="CW1477" s="0" t="s">
        <v>155</v>
      </c>
      <c r="CZ1477" s="0" t="s">
        <v>155</v>
      </c>
      <c r="DC1477" s="0" t="s">
        <v>154</v>
      </c>
      <c r="DD1477" s="0" t="s">
        <v>155</v>
      </c>
      <c r="DF1477" s="0" t="s">
        <v>154</v>
      </c>
      <c r="DG1477" s="0" t="s">
        <v>155</v>
      </c>
      <c r="DI1477" s="0" t="s">
        <v>154</v>
      </c>
      <c r="DL1477" s="0" t="s">
        <v>154</v>
      </c>
      <c r="DN1477" s="0" t="s">
        <v>154</v>
      </c>
      <c r="DO1477" s="0" t="s">
        <v>155</v>
      </c>
      <c r="DU1477" s="0" t="s">
        <v>154</v>
      </c>
      <c r="DX1477" s="0" t="s">
        <v>154</v>
      </c>
      <c r="EA1477" s="0" t="s">
        <v>154</v>
      </c>
      <c r="ED1477" s="0" t="s">
        <v>155</v>
      </c>
      <c r="EF1477" s="0" t="s">
        <v>154</v>
      </c>
    </row>
    <row r="1478" customFormat="false" ht="13.8" hidden="false" customHeight="false" outlineLevel="0" collapsed="false">
      <c r="A1478" s="0" t="s">
        <v>6823</v>
      </c>
      <c r="B1478" s="0" t="n">
        <v>78</v>
      </c>
      <c r="C1478" s="0" t="n">
        <v>299959</v>
      </c>
      <c r="D1478" s="0" t="s">
        <v>6807</v>
      </c>
      <c r="E1478" s="0" t="s">
        <v>6824</v>
      </c>
      <c r="F1478" s="0" t="str">
        <f aca="false">CONCATENATE(D1478," ",LEFT(H1478,4),"T=",AU1478,"D=",AV1478,"R=",AW1478,"M=",AX1478,"L=",AY1478,"B=",AZ1478)</f>
        <v>HAMEED T=1D=0R=0M=1L=5B=0</v>
      </c>
      <c r="G1478" s="0" t="s">
        <v>514</v>
      </c>
      <c r="I1478" s="0" t="s">
        <v>6825</v>
      </c>
      <c r="J1478" s="0" t="s">
        <v>6826</v>
      </c>
      <c r="K1478" s="0" t="s">
        <v>175</v>
      </c>
      <c r="L1478" s="1" t="s">
        <v>155</v>
      </c>
      <c r="M1478" s="0" t="s">
        <v>6810</v>
      </c>
      <c r="N1478" s="0" t="str">
        <f aca="false">RIGHT(M1478,LEN(M1478)-FIND(" ",M1478))</f>
        <v>MADISON AVE NW</v>
      </c>
      <c r="P1478" s="0" t="s">
        <v>146</v>
      </c>
      <c r="Q1478" s="0" t="s">
        <v>147</v>
      </c>
      <c r="R1478" s="0" t="n">
        <v>44483</v>
      </c>
      <c r="AD1478" s="0" t="s">
        <v>148</v>
      </c>
      <c r="AE1478" s="0" t="s">
        <v>149</v>
      </c>
      <c r="AF1478" s="0" t="s">
        <v>150</v>
      </c>
      <c r="AH1478" s="0" t="n">
        <v>14</v>
      </c>
      <c r="AI1478" s="0" t="n">
        <v>11</v>
      </c>
      <c r="AN1478" s="0" t="s">
        <v>146</v>
      </c>
      <c r="AO1478" s="0" t="s">
        <v>151</v>
      </c>
      <c r="AP1478" s="0" t="s">
        <v>152</v>
      </c>
      <c r="AQ1478" s="0" t="n">
        <v>9</v>
      </c>
      <c r="AR1478" s="0" t="n">
        <v>64</v>
      </c>
      <c r="AS1478" s="0" t="n">
        <v>32</v>
      </c>
      <c r="AU1478" s="0" t="n">
        <f aca="false">COUNTA($BA$1978:$EH$1978)</f>
        <v>1</v>
      </c>
      <c r="AV1478" s="0" t="n">
        <f aca="false">COUNTIF($BA$1978:$EH$1978,"D")</f>
        <v>0</v>
      </c>
      <c r="AW1478" s="0" t="n">
        <f aca="false">COUNTIF($BA$1978:$EH$1978,"R")</f>
        <v>0</v>
      </c>
      <c r="AX1478" s="0" t="n">
        <f aca="false"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>1</v>
      </c>
      <c r="AY1478" s="0" t="n">
        <f aca="false">COUNTIF(DU1478:EH1478, "&lt;&gt;")</f>
        <v>5</v>
      </c>
      <c r="AZ1478" s="0" t="n">
        <f aca="false">IF(EH1478&lt;&gt;"",1,0)</f>
        <v>0</v>
      </c>
      <c r="BB1478" s="0" t="s">
        <v>153</v>
      </c>
      <c r="BD1478" s="0" t="s">
        <v>154</v>
      </c>
      <c r="BI1478" s="0" t="s">
        <v>154</v>
      </c>
      <c r="BJ1478" s="0" t="s">
        <v>154</v>
      </c>
      <c r="BK1478" s="0" t="s">
        <v>154</v>
      </c>
      <c r="BL1478" s="0" t="s">
        <v>154</v>
      </c>
      <c r="BY1478" s="0" t="s">
        <v>155</v>
      </c>
      <c r="CA1478" s="0" t="s">
        <v>154</v>
      </c>
      <c r="CG1478" s="0" t="s">
        <v>154</v>
      </c>
      <c r="CK1478" s="0" t="s">
        <v>154</v>
      </c>
      <c r="CN1478" s="0" t="s">
        <v>154</v>
      </c>
      <c r="CP1478" s="0" t="s">
        <v>154</v>
      </c>
      <c r="CV1478" s="0" t="s">
        <v>154</v>
      </c>
      <c r="CZ1478" s="0" t="s">
        <v>155</v>
      </c>
      <c r="DC1478" s="0" t="s">
        <v>154</v>
      </c>
      <c r="DD1478" s="0" t="s">
        <v>155</v>
      </c>
      <c r="DF1478" s="0" t="s">
        <v>154</v>
      </c>
      <c r="DG1478" s="0" t="s">
        <v>155</v>
      </c>
      <c r="DI1478" s="0" t="s">
        <v>154</v>
      </c>
      <c r="DL1478" s="0" t="s">
        <v>154</v>
      </c>
      <c r="DN1478" s="0" t="s">
        <v>154</v>
      </c>
      <c r="DU1478" s="0" t="s">
        <v>154</v>
      </c>
      <c r="DX1478" s="0" t="s">
        <v>154</v>
      </c>
      <c r="EA1478" s="0" t="s">
        <v>154</v>
      </c>
      <c r="ED1478" s="0" t="s">
        <v>155</v>
      </c>
      <c r="EF1478" s="0" t="s">
        <v>154</v>
      </c>
    </row>
    <row r="1479" customFormat="false" ht="13.8" hidden="false" customHeight="false" outlineLevel="0" collapsed="false">
      <c r="A1479" s="0" t="s">
        <v>6827</v>
      </c>
      <c r="B1479" s="0" t="n">
        <v>78</v>
      </c>
      <c r="C1479" s="0" t="n">
        <v>384370</v>
      </c>
      <c r="D1479" s="0" t="s">
        <v>6828</v>
      </c>
      <c r="E1479" s="0" t="s">
        <v>1717</v>
      </c>
      <c r="F1479" s="0" t="str">
        <f aca="false">CONCATENATE(D1479," ",LEFT(H1479,4),"T=",AU1479,"D=",AV1479,"R=",AW1479,"M=",AX1479,"L=",AY1479,"B=",AZ1479)</f>
        <v>KELLAR T=34D=8R=0M=0L=3B=0</v>
      </c>
      <c r="G1479" s="0" t="s">
        <v>188</v>
      </c>
      <c r="I1479" s="0" t="s">
        <v>6829</v>
      </c>
      <c r="J1479" s="0" t="s">
        <v>6830</v>
      </c>
      <c r="K1479" s="0" t="s">
        <v>175</v>
      </c>
      <c r="M1479" s="0" t="s">
        <v>6831</v>
      </c>
      <c r="N1479" s="0" t="str">
        <f aca="false">RIGHT(M1479,LEN(M1479)-FIND(" ",M1479))</f>
        <v>MAHONING AVE NW</v>
      </c>
      <c r="P1479" s="0" t="s">
        <v>146</v>
      </c>
      <c r="Q1479" s="0" t="s">
        <v>147</v>
      </c>
      <c r="R1479" s="0" t="n">
        <v>44483</v>
      </c>
      <c r="AD1479" s="0" t="s">
        <v>148</v>
      </c>
      <c r="AE1479" s="0" t="s">
        <v>149</v>
      </c>
      <c r="AF1479" s="0" t="s">
        <v>150</v>
      </c>
      <c r="AH1479" s="0" t="n">
        <v>14</v>
      </c>
      <c r="AI1479" s="0" t="n">
        <v>11</v>
      </c>
      <c r="AN1479" s="0" t="s">
        <v>146</v>
      </c>
      <c r="AO1479" s="0" t="s">
        <v>151</v>
      </c>
      <c r="AP1479" s="0" t="s">
        <v>152</v>
      </c>
      <c r="AQ1479" s="0" t="n">
        <v>9</v>
      </c>
      <c r="AR1479" s="0" t="n">
        <v>64</v>
      </c>
      <c r="AS1479" s="0" t="n">
        <v>32</v>
      </c>
      <c r="AU1479" s="0" t="n">
        <f aca="false">COUNTA($BA$1190:$EH$1190)</f>
        <v>34</v>
      </c>
      <c r="AV1479" s="0" t="n">
        <f aca="false">COUNTIF($BA$1190:$EH$1190,"D")</f>
        <v>8</v>
      </c>
      <c r="AW1479" s="0" t="n">
        <f aca="false">COUNTIF($BA$1190:$EH$1190,"R")</f>
        <v>0</v>
      </c>
      <c r="AX1479" s="0" t="n">
        <f aca="false"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>0</v>
      </c>
      <c r="AY1479" s="0" t="n">
        <f aca="false">COUNTIF(DU1479:EH1479, "&lt;&gt;")</f>
        <v>3</v>
      </c>
      <c r="AZ1479" s="0" t="n">
        <f aca="false">IF(EH1479&lt;&gt;"",1,0)</f>
        <v>0</v>
      </c>
      <c r="BB1479" s="0" t="s">
        <v>153</v>
      </c>
      <c r="CP1479" s="0" t="s">
        <v>154</v>
      </c>
      <c r="CV1479" s="0" t="s">
        <v>154</v>
      </c>
      <c r="CY1479" s="0" t="s">
        <v>154</v>
      </c>
      <c r="CZ1479" s="0" t="s">
        <v>155</v>
      </c>
      <c r="DC1479" s="0" t="s">
        <v>154</v>
      </c>
      <c r="DI1479" s="0" t="s">
        <v>154</v>
      </c>
      <c r="DN1479" s="0" t="s">
        <v>154</v>
      </c>
      <c r="DX1479" s="0" t="s">
        <v>154</v>
      </c>
      <c r="EA1479" s="0" t="s">
        <v>154</v>
      </c>
      <c r="EF1479" s="0" t="s">
        <v>154</v>
      </c>
    </row>
    <row r="1480" customFormat="false" ht="13.8" hidden="false" customHeight="false" outlineLevel="0" collapsed="false">
      <c r="A1480" s="0" t="s">
        <v>6832</v>
      </c>
      <c r="B1480" s="0" t="n">
        <v>78</v>
      </c>
      <c r="C1480" s="0" t="n">
        <v>351923</v>
      </c>
      <c r="D1480" s="0" t="s">
        <v>6828</v>
      </c>
      <c r="E1480" s="0" t="s">
        <v>609</v>
      </c>
      <c r="F1480" s="0" t="str">
        <f aca="false">CONCATENATE(D1480," ",LEFT(H1480,4),"T=",AU1480,"D=",AV1480,"R=",AW1480,"M=",AX1480,"L=",AY1480,"B=",AZ1480)</f>
        <v>KELLAR T=6D=0R=1M=0L=4B=0</v>
      </c>
      <c r="G1480" s="0" t="s">
        <v>2764</v>
      </c>
      <c r="I1480" s="0" t="s">
        <v>6833</v>
      </c>
      <c r="J1480" s="0" t="s">
        <v>977</v>
      </c>
      <c r="K1480" s="0" t="s">
        <v>175</v>
      </c>
      <c r="M1480" s="0" t="s">
        <v>6831</v>
      </c>
      <c r="N1480" s="0" t="str">
        <f aca="false">RIGHT(M1480,LEN(M1480)-FIND(" ",M1480))</f>
        <v>MAHONING AVE NW</v>
      </c>
      <c r="P1480" s="0" t="s">
        <v>146</v>
      </c>
      <c r="Q1480" s="0" t="s">
        <v>147</v>
      </c>
      <c r="R1480" s="0" t="n">
        <v>44483</v>
      </c>
      <c r="AD1480" s="0" t="s">
        <v>148</v>
      </c>
      <c r="AE1480" s="0" t="s">
        <v>149</v>
      </c>
      <c r="AF1480" s="0" t="s">
        <v>150</v>
      </c>
      <c r="AH1480" s="0" t="n">
        <v>14</v>
      </c>
      <c r="AI1480" s="0" t="n">
        <v>11</v>
      </c>
      <c r="AN1480" s="0" t="s">
        <v>146</v>
      </c>
      <c r="AO1480" s="0" t="s">
        <v>151</v>
      </c>
      <c r="AP1480" s="0" t="s">
        <v>152</v>
      </c>
      <c r="AQ1480" s="0" t="n">
        <v>9</v>
      </c>
      <c r="AR1480" s="0" t="n">
        <v>64</v>
      </c>
      <c r="AS1480" s="0" t="n">
        <v>32</v>
      </c>
      <c r="AU1480" s="0" t="n">
        <f aca="false">COUNTA($BA$1662:$EH$1662)</f>
        <v>6</v>
      </c>
      <c r="AV1480" s="0" t="n">
        <f aca="false">COUNTIF($BA$1662:$EH$1662,"D")</f>
        <v>0</v>
      </c>
      <c r="AW1480" s="0" t="n">
        <f aca="false">COUNTIF($BA$1662:$EH$1662,"R")</f>
        <v>1</v>
      </c>
      <c r="AX1480" s="0" t="n">
        <f aca="false"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>0</v>
      </c>
      <c r="AY1480" s="0" t="n">
        <f aca="false">COUNTIF(DU1480:EH1480, "&lt;&gt;")</f>
        <v>4</v>
      </c>
      <c r="AZ1480" s="0" t="n">
        <f aca="false">IF(EH1480&lt;&gt;"",1,0)</f>
        <v>0</v>
      </c>
      <c r="BB1480" s="0" t="s">
        <v>153</v>
      </c>
      <c r="BY1480" s="0" t="s">
        <v>155</v>
      </c>
      <c r="CP1480" s="0" t="s">
        <v>154</v>
      </c>
      <c r="CV1480" s="0" t="s">
        <v>154</v>
      </c>
      <c r="CY1480" s="0" t="s">
        <v>154</v>
      </c>
      <c r="CZ1480" s="0" t="s">
        <v>155</v>
      </c>
      <c r="DC1480" s="0" t="s">
        <v>154</v>
      </c>
      <c r="DI1480" s="0" t="s">
        <v>154</v>
      </c>
      <c r="DN1480" s="0" t="s">
        <v>154</v>
      </c>
      <c r="DU1480" s="0" t="s">
        <v>154</v>
      </c>
      <c r="DX1480" s="0" t="s">
        <v>154</v>
      </c>
      <c r="EA1480" s="0" t="s">
        <v>154</v>
      </c>
      <c r="EF1480" s="0" t="s">
        <v>154</v>
      </c>
    </row>
    <row r="1481" customFormat="false" ht="13.8" hidden="true" customHeight="false" outlineLevel="0" collapsed="false">
      <c r="A1481" s="0" t="s">
        <v>6834</v>
      </c>
      <c r="B1481" s="0" t="n">
        <v>78</v>
      </c>
      <c r="C1481" s="0" t="n">
        <v>378570</v>
      </c>
      <c r="D1481" s="0" t="s">
        <v>6835</v>
      </c>
      <c r="E1481" s="0" t="s">
        <v>6836</v>
      </c>
      <c r="F1481" s="0" t="str">
        <f aca="false">CONCATENATE(D1481," ",LEFT(H1481,4),"T=",AU1481,"D=",AV1481,"R=",AW1481,"M=",AX1481,"L=",AY1481,"B=",AZ1481)</f>
        <v>FUENTES PIERCE T=1D=0R=0M=0L=1B=0</v>
      </c>
      <c r="G1481" s="0" t="s">
        <v>4449</v>
      </c>
      <c r="I1481" s="0" t="s">
        <v>6837</v>
      </c>
      <c r="J1481" s="0" t="s">
        <v>6838</v>
      </c>
      <c r="K1481" s="0" t="s">
        <v>175</v>
      </c>
      <c r="L1481" s="0"/>
      <c r="M1481" s="0" t="s">
        <v>6839</v>
      </c>
      <c r="N1481" s="0" t="str">
        <f aca="false">RIGHT(M1481,LEN(M1481)-FIND(" ",M1481))</f>
        <v>MAHONING AVE NW</v>
      </c>
      <c r="P1481" s="0" t="s">
        <v>146</v>
      </c>
      <c r="Q1481" s="0" t="s">
        <v>147</v>
      </c>
      <c r="R1481" s="0" t="n">
        <v>44483</v>
      </c>
      <c r="AD1481" s="0" t="s">
        <v>148</v>
      </c>
      <c r="AE1481" s="0" t="s">
        <v>149</v>
      </c>
      <c r="AF1481" s="0" t="s">
        <v>150</v>
      </c>
      <c r="AH1481" s="0" t="n">
        <v>14</v>
      </c>
      <c r="AI1481" s="0" t="n">
        <v>11</v>
      </c>
      <c r="AN1481" s="0" t="s">
        <v>146</v>
      </c>
      <c r="AO1481" s="0" t="s">
        <v>151</v>
      </c>
      <c r="AP1481" s="0" t="s">
        <v>152</v>
      </c>
      <c r="AQ1481" s="0" t="n">
        <v>9</v>
      </c>
      <c r="AR1481" s="0" t="n">
        <v>64</v>
      </c>
      <c r="AS1481" s="0" t="n">
        <v>32</v>
      </c>
      <c r="AU1481" s="0" t="n">
        <f aca="false">COUNTA($BA$1206:$EH$1206)</f>
        <v>1</v>
      </c>
      <c r="AV1481" s="0" t="n">
        <f aca="false">COUNTIF($BA$1206:$EH$1206,"D")</f>
        <v>0</v>
      </c>
      <c r="AW1481" s="0" t="n">
        <f aca="false">COUNTIF($BA$1206:$EH$1206,"R")</f>
        <v>0</v>
      </c>
      <c r="AX1481" s="0" t="n">
        <f aca="false"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>0</v>
      </c>
      <c r="AY1481" s="0" t="n">
        <f aca="false">COUNTIF(DU1481:EH1481, "&lt;&gt;")</f>
        <v>1</v>
      </c>
      <c r="AZ1481" s="0" t="n">
        <f aca="false">IF(EH1481&lt;&gt;"",1,0)</f>
        <v>0</v>
      </c>
      <c r="BB1481" s="0" t="s">
        <v>153</v>
      </c>
      <c r="CP1481" s="0" t="s">
        <v>154</v>
      </c>
      <c r="EF1481" s="0" t="s">
        <v>154</v>
      </c>
    </row>
    <row r="1482" customFormat="false" ht="13.8" hidden="false" customHeight="false" outlineLevel="0" collapsed="false">
      <c r="A1482" s="0" t="s">
        <v>6840</v>
      </c>
      <c r="B1482" s="0" t="n">
        <v>78</v>
      </c>
      <c r="C1482" s="0" t="n">
        <v>342473</v>
      </c>
      <c r="D1482" s="0" t="s">
        <v>6841</v>
      </c>
      <c r="E1482" s="0" t="s">
        <v>4570</v>
      </c>
      <c r="F1482" s="0" t="str">
        <f aca="false">CONCATENATE(D1482," ",LEFT(H1482,4),"T=",AU1482,"D=",AV1482,"R=",AW1482,"M=",AX1482,"L=",AY1482,"B=",AZ1482)</f>
        <v>SAUNDERS T=1D=0R=0M=1L=5B=1</v>
      </c>
      <c r="G1482" s="0" t="s">
        <v>317</v>
      </c>
      <c r="I1482" s="0" t="s">
        <v>6842</v>
      </c>
      <c r="J1482" s="0" t="s">
        <v>6843</v>
      </c>
      <c r="K1482" s="0" t="s">
        <v>175</v>
      </c>
      <c r="L1482" s="1" t="s">
        <v>155</v>
      </c>
      <c r="M1482" s="0" t="s">
        <v>6839</v>
      </c>
      <c r="N1482" s="0" t="str">
        <f aca="false">RIGHT(M1482,LEN(M1482)-FIND(" ",M1482))</f>
        <v>MAHONING AVE NW</v>
      </c>
      <c r="P1482" s="0" t="s">
        <v>146</v>
      </c>
      <c r="Q1482" s="0" t="s">
        <v>147</v>
      </c>
      <c r="R1482" s="0" t="n">
        <v>44483</v>
      </c>
      <c r="AD1482" s="0" t="s">
        <v>148</v>
      </c>
      <c r="AE1482" s="0" t="s">
        <v>149</v>
      </c>
      <c r="AF1482" s="0" t="s">
        <v>150</v>
      </c>
      <c r="AH1482" s="0" t="n">
        <v>14</v>
      </c>
      <c r="AI1482" s="0" t="n">
        <v>11</v>
      </c>
      <c r="AN1482" s="0" t="s">
        <v>146</v>
      </c>
      <c r="AO1482" s="0" t="s">
        <v>151</v>
      </c>
      <c r="AP1482" s="0" t="s">
        <v>152</v>
      </c>
      <c r="AQ1482" s="0" t="n">
        <v>9</v>
      </c>
      <c r="AR1482" s="0" t="n">
        <v>64</v>
      </c>
      <c r="AS1482" s="0" t="n">
        <v>32</v>
      </c>
      <c r="AU1482" s="0" t="n">
        <f aca="false">COUNTA($BA$1350:$EH$1350)</f>
        <v>1</v>
      </c>
      <c r="AV1482" s="0" t="n">
        <f aca="false">COUNTIF($BA$1350:$EH$1350,"D")</f>
        <v>0</v>
      </c>
      <c r="AW1482" s="0" t="n">
        <f aca="false">COUNTIF($BA$1350:$EH$1350,"R")</f>
        <v>0</v>
      </c>
      <c r="AX1482" s="0" t="n">
        <f aca="false"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>1</v>
      </c>
      <c r="AY1482" s="0" t="n">
        <f aca="false">COUNTIF(DU1482:EH1482, "&lt;&gt;")</f>
        <v>5</v>
      </c>
      <c r="AZ1482" s="0" t="n">
        <f aca="false">IF(EH1482&lt;&gt;"",1,0)</f>
        <v>1</v>
      </c>
      <c r="BB1482" s="0" t="s">
        <v>153</v>
      </c>
      <c r="BS1482" s="0" t="s">
        <v>154</v>
      </c>
      <c r="BY1482" s="0" t="s">
        <v>176</v>
      </c>
      <c r="CN1482" s="0" t="s">
        <v>154</v>
      </c>
      <c r="CO1482" s="0" t="s">
        <v>176</v>
      </c>
      <c r="CP1482" s="0" t="s">
        <v>154</v>
      </c>
      <c r="CV1482" s="0" t="s">
        <v>154</v>
      </c>
      <c r="CY1482" s="0" t="s">
        <v>154</v>
      </c>
      <c r="CZ1482" s="0" t="s">
        <v>176</v>
      </c>
      <c r="DC1482" s="0" t="s">
        <v>154</v>
      </c>
      <c r="DI1482" s="0" t="s">
        <v>154</v>
      </c>
      <c r="DM1482" s="0" t="s">
        <v>176</v>
      </c>
      <c r="DN1482" s="0" t="s">
        <v>154</v>
      </c>
      <c r="DS1482" s="0" t="s">
        <v>176</v>
      </c>
      <c r="DX1482" s="0" t="s">
        <v>154</v>
      </c>
      <c r="EA1482" s="0" t="s">
        <v>154</v>
      </c>
      <c r="ED1482" s="0" t="s">
        <v>155</v>
      </c>
      <c r="EF1482" s="0" t="s">
        <v>154</v>
      </c>
      <c r="EH1482" s="0" t="s">
        <v>155</v>
      </c>
    </row>
    <row r="1483" customFormat="false" ht="13.8" hidden="true" customHeight="false" outlineLevel="0" collapsed="false">
      <c r="A1483" s="0" t="s">
        <v>6844</v>
      </c>
      <c r="B1483" s="0" t="n">
        <v>78</v>
      </c>
      <c r="C1483" s="0" t="n">
        <v>354304</v>
      </c>
      <c r="D1483" s="0" t="s">
        <v>6845</v>
      </c>
      <c r="E1483" s="0" t="s">
        <v>292</v>
      </c>
      <c r="F1483" s="0" t="str">
        <f aca="false">CONCATENATE(D1483," ",LEFT(H1483,4),"T=",AU1483,"D=",AV1483,"R=",AW1483,"M=",AX1483,"L=",AY1483,"B=",AZ1483)</f>
        <v>BOBCO IIIT=1D=0R=0M=0L=0B=0</v>
      </c>
      <c r="G1483" s="0" t="s">
        <v>172</v>
      </c>
      <c r="H1483" s="0" t="s">
        <v>1175</v>
      </c>
      <c r="I1483" s="0" t="s">
        <v>6846</v>
      </c>
      <c r="J1483" s="0" t="s">
        <v>4625</v>
      </c>
      <c r="K1483" s="0" t="s">
        <v>144</v>
      </c>
      <c r="L1483" s="0"/>
      <c r="M1483" s="0" t="s">
        <v>6839</v>
      </c>
      <c r="N1483" s="0" t="str">
        <f aca="false">RIGHT(M1483,LEN(M1483)-FIND(" ",M1483))</f>
        <v>MAHONING AVE NW</v>
      </c>
      <c r="P1483" s="0" t="s">
        <v>146</v>
      </c>
      <c r="Q1483" s="0" t="s">
        <v>147</v>
      </c>
      <c r="R1483" s="0" t="n">
        <v>44483</v>
      </c>
      <c r="AD1483" s="0" t="s">
        <v>148</v>
      </c>
      <c r="AE1483" s="0" t="s">
        <v>149</v>
      </c>
      <c r="AF1483" s="0" t="s">
        <v>150</v>
      </c>
      <c r="AH1483" s="0" t="n">
        <v>14</v>
      </c>
      <c r="AI1483" s="0" t="n">
        <v>11</v>
      </c>
      <c r="AN1483" s="0" t="s">
        <v>146</v>
      </c>
      <c r="AO1483" s="0" t="s">
        <v>151</v>
      </c>
      <c r="AP1483" s="0" t="s">
        <v>152</v>
      </c>
      <c r="AQ1483" s="0" t="n">
        <v>9</v>
      </c>
      <c r="AR1483" s="0" t="n">
        <v>64</v>
      </c>
      <c r="AS1483" s="0" t="n">
        <v>32</v>
      </c>
      <c r="AU1483" s="0" t="n">
        <f aca="false">COUNTA($BA$1351:$EH$1351)</f>
        <v>1</v>
      </c>
      <c r="AV1483" s="0" t="n">
        <f aca="false">COUNTIF($BA$1351:$EH$1351,"D")</f>
        <v>0</v>
      </c>
      <c r="AW1483" s="0" t="n">
        <f aca="false">COUNTIF($BA$1351:$EH$1351,"R")</f>
        <v>0</v>
      </c>
      <c r="AX1483" s="0" t="n">
        <f aca="false"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>0</v>
      </c>
      <c r="AY1483" s="0" t="n">
        <f aca="false">COUNTIF(DU1483:EH1483, "&lt;&gt;")</f>
        <v>0</v>
      </c>
      <c r="AZ1483" s="0" t="n">
        <f aca="false">IF(EH1483&lt;&gt;"",1,0)</f>
        <v>0</v>
      </c>
      <c r="BB1483" s="0" t="s">
        <v>153</v>
      </c>
      <c r="CA1483" s="0" t="s">
        <v>154</v>
      </c>
      <c r="CG1483" s="0" t="s">
        <v>154</v>
      </c>
      <c r="CH1483" s="0" t="s">
        <v>154</v>
      </c>
      <c r="CK1483" s="0" t="s">
        <v>154</v>
      </c>
      <c r="CN1483" s="0" t="s">
        <v>154</v>
      </c>
      <c r="CO1483" s="0" t="s">
        <v>154</v>
      </c>
      <c r="CP1483" s="0" t="s">
        <v>154</v>
      </c>
      <c r="DG1483" s="0" t="s">
        <v>154</v>
      </c>
    </row>
    <row r="1484" customFormat="false" ht="13.8" hidden="false" customHeight="false" outlineLevel="0" collapsed="false">
      <c r="A1484" s="0" t="s">
        <v>6847</v>
      </c>
      <c r="B1484" s="0" t="n">
        <v>78</v>
      </c>
      <c r="C1484" s="0" t="n">
        <v>6783</v>
      </c>
      <c r="D1484" s="0" t="s">
        <v>5871</v>
      </c>
      <c r="E1484" s="0" t="s">
        <v>3044</v>
      </c>
      <c r="F1484" s="0" t="str">
        <f aca="false">CONCATENATE(D1484," ",LEFT(H1484,4),"T=",AU1484,"D=",AV1484,"R=",AW1484,"M=",AX1484,"L=",AY1484,"B=",AZ1484)</f>
        <v>CURRIE T=1D=0R=0M=6L=5B=1</v>
      </c>
      <c r="G1484" s="0" t="s">
        <v>188</v>
      </c>
      <c r="I1484" s="0" t="s">
        <v>6848</v>
      </c>
      <c r="J1484" s="0" t="s">
        <v>611</v>
      </c>
      <c r="K1484" s="0" t="s">
        <v>175</v>
      </c>
      <c r="L1484" s="1" t="s">
        <v>155</v>
      </c>
      <c r="M1484" s="0" t="s">
        <v>6839</v>
      </c>
      <c r="N1484" s="0" t="str">
        <f aca="false">RIGHT(M1484,LEN(M1484)-FIND(" ",M1484))</f>
        <v>MAHONING AVE NW</v>
      </c>
      <c r="P1484" s="0" t="s">
        <v>146</v>
      </c>
      <c r="Q1484" s="0" t="s">
        <v>147</v>
      </c>
      <c r="R1484" s="0" t="n">
        <v>44483</v>
      </c>
      <c r="AD1484" s="0" t="s">
        <v>148</v>
      </c>
      <c r="AE1484" s="0" t="s">
        <v>149</v>
      </c>
      <c r="AF1484" s="0" t="s">
        <v>150</v>
      </c>
      <c r="AH1484" s="0" t="n">
        <v>14</v>
      </c>
      <c r="AI1484" s="0" t="n">
        <v>11</v>
      </c>
      <c r="AN1484" s="0" t="s">
        <v>146</v>
      </c>
      <c r="AO1484" s="0" t="s">
        <v>151</v>
      </c>
      <c r="AP1484" s="0" t="s">
        <v>152</v>
      </c>
      <c r="AQ1484" s="0" t="n">
        <v>9</v>
      </c>
      <c r="AR1484" s="0" t="n">
        <v>64</v>
      </c>
      <c r="AS1484" s="0" t="n">
        <v>32</v>
      </c>
      <c r="AU1484" s="0" t="n">
        <f aca="false">COUNTA($BA$1414:$EH$1414)</f>
        <v>1</v>
      </c>
      <c r="AV1484" s="0" t="n">
        <f aca="false">COUNTIF($BA$1414:$EH$1414,"D")</f>
        <v>0</v>
      </c>
      <c r="AW1484" s="0" t="n">
        <f aca="false">COUNTIF($BA$1414:$EH$1414,"R")</f>
        <v>0</v>
      </c>
      <c r="AX1484" s="0" t="n">
        <f aca="false"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>6</v>
      </c>
      <c r="AY1484" s="0" t="n">
        <f aca="false">COUNTIF(DU1484:EH1484, "&lt;&gt;")</f>
        <v>5</v>
      </c>
      <c r="AZ1484" s="0" t="n">
        <f aca="false">IF(EH1484&lt;&gt;"",1,0)</f>
        <v>1</v>
      </c>
      <c r="BB1484" s="0" t="s">
        <v>153</v>
      </c>
      <c r="BC1484" s="0" t="s">
        <v>154</v>
      </c>
      <c r="BD1484" s="0" t="s">
        <v>154</v>
      </c>
      <c r="BE1484" s="0" t="s">
        <v>154</v>
      </c>
      <c r="BF1484" s="0" t="s">
        <v>154</v>
      </c>
      <c r="BG1484" s="0" t="s">
        <v>154</v>
      </c>
      <c r="BH1484" s="0" t="s">
        <v>154</v>
      </c>
      <c r="BI1484" s="0" t="s">
        <v>154</v>
      </c>
      <c r="BJ1484" s="0" t="s">
        <v>154</v>
      </c>
      <c r="BK1484" s="0" t="s">
        <v>154</v>
      </c>
      <c r="BL1484" s="0" t="s">
        <v>154</v>
      </c>
      <c r="BP1484" s="0" t="s">
        <v>154</v>
      </c>
      <c r="BR1484" s="0" t="s">
        <v>154</v>
      </c>
      <c r="BS1484" s="0" t="s">
        <v>154</v>
      </c>
      <c r="BY1484" s="0" t="s">
        <v>155</v>
      </c>
      <c r="CA1484" s="0" t="s">
        <v>154</v>
      </c>
      <c r="CC1484" s="0" t="s">
        <v>155</v>
      </c>
      <c r="CG1484" s="0" t="s">
        <v>154</v>
      </c>
      <c r="CK1484" s="0" t="s">
        <v>154</v>
      </c>
      <c r="CL1484" s="0" t="s">
        <v>155</v>
      </c>
      <c r="CP1484" s="0" t="s">
        <v>154</v>
      </c>
      <c r="CQ1484" s="0" t="s">
        <v>155</v>
      </c>
      <c r="CT1484" s="0" t="s">
        <v>154</v>
      </c>
      <c r="CU1484" s="0" t="s">
        <v>155</v>
      </c>
      <c r="CV1484" s="0" t="s">
        <v>154</v>
      </c>
      <c r="CW1484" s="0" t="s">
        <v>155</v>
      </c>
      <c r="CY1484" s="0" t="s">
        <v>154</v>
      </c>
      <c r="DC1484" s="0" t="s">
        <v>154</v>
      </c>
      <c r="DI1484" s="0" t="s">
        <v>154</v>
      </c>
      <c r="DL1484" s="0" t="s">
        <v>154</v>
      </c>
      <c r="DM1484" s="0" t="s">
        <v>155</v>
      </c>
      <c r="DN1484" s="0" t="s">
        <v>154</v>
      </c>
      <c r="DR1484" s="0" t="s">
        <v>154</v>
      </c>
      <c r="DS1484" s="0" t="s">
        <v>155</v>
      </c>
      <c r="DU1484" s="0" t="s">
        <v>154</v>
      </c>
      <c r="DW1484" s="0" t="s">
        <v>155</v>
      </c>
      <c r="DX1484" s="0" t="s">
        <v>154</v>
      </c>
      <c r="EF1484" s="0" t="s">
        <v>154</v>
      </c>
      <c r="EH1484" s="0" t="s">
        <v>155</v>
      </c>
    </row>
    <row r="1485" customFormat="false" ht="13.8" hidden="false" customHeight="false" outlineLevel="0" collapsed="false">
      <c r="A1485" s="0" t="s">
        <v>6849</v>
      </c>
      <c r="B1485" s="0" t="n">
        <v>78</v>
      </c>
      <c r="C1485" s="0" t="n">
        <v>419709</v>
      </c>
      <c r="D1485" s="0" t="s">
        <v>6850</v>
      </c>
      <c r="E1485" s="0" t="s">
        <v>6851</v>
      </c>
      <c r="F1485" s="0" t="str">
        <f aca="false">CONCATENATE(D1485," ",LEFT(H1485,4),"T=",AU1485,"D=",AV1485,"R=",AW1485,"M=",AX1485,"L=",AY1485,"B=",AZ1485)</f>
        <v>KUBUJ T=21D=0R=1M=4L=6B=1</v>
      </c>
      <c r="I1485" s="0" t="s">
        <v>6852</v>
      </c>
      <c r="J1485" s="0" t="s">
        <v>4955</v>
      </c>
      <c r="K1485" s="0" t="s">
        <v>175</v>
      </c>
      <c r="L1485" s="1" t="s">
        <v>155</v>
      </c>
      <c r="M1485" s="0" t="s">
        <v>6839</v>
      </c>
      <c r="N1485" s="0" t="str">
        <f aca="false">RIGHT(M1485,LEN(M1485)-FIND(" ",M1485))</f>
        <v>MAHONING AVE NW</v>
      </c>
      <c r="P1485" s="0" t="s">
        <v>146</v>
      </c>
      <c r="Q1485" s="0" t="s">
        <v>147</v>
      </c>
      <c r="R1485" s="0" t="n">
        <v>44483</v>
      </c>
      <c r="AD1485" s="0" t="s">
        <v>148</v>
      </c>
      <c r="AE1485" s="0" t="s">
        <v>149</v>
      </c>
      <c r="AF1485" s="0" t="s">
        <v>150</v>
      </c>
      <c r="AH1485" s="0" t="n">
        <v>14</v>
      </c>
      <c r="AI1485" s="0" t="n">
        <v>11</v>
      </c>
      <c r="AN1485" s="0" t="s">
        <v>146</v>
      </c>
      <c r="AO1485" s="0" t="s">
        <v>151</v>
      </c>
      <c r="AP1485" s="0" t="s">
        <v>152</v>
      </c>
      <c r="AQ1485" s="0" t="n">
        <v>9</v>
      </c>
      <c r="AR1485" s="0" t="n">
        <v>64</v>
      </c>
      <c r="AS1485" s="0" t="n">
        <v>32</v>
      </c>
      <c r="AU1485" s="0" t="n">
        <f aca="false">COUNTA($BA$1466:$EH$1466)</f>
        <v>21</v>
      </c>
      <c r="AV1485" s="0" t="n">
        <f aca="false">COUNTIF($BA$1466:$EH$1466,"D")</f>
        <v>0</v>
      </c>
      <c r="AW1485" s="0" t="n">
        <f aca="false">COUNTIF($BA$1466:$EH$1466,"R")</f>
        <v>1</v>
      </c>
      <c r="AX1485" s="0" t="n">
        <f aca="false"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>4</v>
      </c>
      <c r="AY1485" s="0" t="n">
        <f aca="false">COUNTIF(DU1485:EH1485, "&lt;&gt;")</f>
        <v>6</v>
      </c>
      <c r="AZ1485" s="0" t="n">
        <f aca="false">IF(EH1485&lt;&gt;"",1,0)</f>
        <v>1</v>
      </c>
      <c r="BB1485" s="0" t="s">
        <v>153</v>
      </c>
      <c r="DC1485" s="0" t="s">
        <v>154</v>
      </c>
      <c r="DD1485" s="0" t="s">
        <v>155</v>
      </c>
      <c r="DF1485" s="0" t="s">
        <v>154</v>
      </c>
      <c r="DG1485" s="0" t="s">
        <v>176</v>
      </c>
      <c r="DI1485" s="0" t="s">
        <v>154</v>
      </c>
      <c r="DJ1485" s="0" t="s">
        <v>155</v>
      </c>
      <c r="DL1485" s="0" t="s">
        <v>154</v>
      </c>
      <c r="DM1485" s="0" t="s">
        <v>176</v>
      </c>
      <c r="DN1485" s="0" t="s">
        <v>154</v>
      </c>
      <c r="DO1485" s="0" t="s">
        <v>155</v>
      </c>
      <c r="DR1485" s="0" t="s">
        <v>154</v>
      </c>
      <c r="DS1485" s="0" t="s">
        <v>176</v>
      </c>
      <c r="DT1485" s="0" t="s">
        <v>176</v>
      </c>
      <c r="DU1485" s="0" t="s">
        <v>154</v>
      </c>
      <c r="DW1485" s="0" t="s">
        <v>154</v>
      </c>
      <c r="DX1485" s="0" t="s">
        <v>154</v>
      </c>
      <c r="ED1485" s="0" t="s">
        <v>155</v>
      </c>
      <c r="EF1485" s="0" t="s">
        <v>154</v>
      </c>
      <c r="EH1485" s="0" t="s">
        <v>155</v>
      </c>
    </row>
    <row r="1486" customFormat="false" ht="13.8" hidden="false" customHeight="false" outlineLevel="0" collapsed="false">
      <c r="A1486" s="0" t="s">
        <v>6853</v>
      </c>
      <c r="B1486" s="0" t="n">
        <v>78</v>
      </c>
      <c r="C1486" s="0" t="n">
        <v>445266</v>
      </c>
      <c r="D1486" s="0" t="s">
        <v>608</v>
      </c>
      <c r="E1486" s="0" t="s">
        <v>277</v>
      </c>
      <c r="F1486" s="0" t="str">
        <f aca="false">CONCATENATE(D1486," ",LEFT(H1486,4),"T=",AU1486,"D=",AV1486,"R=",AW1486,"M=",AX1486,"L=",AY1486,"B=",AZ1486)</f>
        <v>COBB T=4D=0R=0M=0L=2B=0</v>
      </c>
      <c r="I1486" s="0" t="s">
        <v>6854</v>
      </c>
      <c r="J1486" s="0" t="s">
        <v>6855</v>
      </c>
      <c r="K1486" s="0" t="s">
        <v>175</v>
      </c>
      <c r="L1486" s="1" t="s">
        <v>155</v>
      </c>
      <c r="M1486" s="0" t="s">
        <v>6839</v>
      </c>
      <c r="N1486" s="0" t="str">
        <f aca="false">RIGHT(M1486,LEN(M1486)-FIND(" ",M1486))</f>
        <v>MAHONING AVE NW</v>
      </c>
      <c r="P1486" s="0" t="s">
        <v>146</v>
      </c>
      <c r="Q1486" s="0" t="s">
        <v>147</v>
      </c>
      <c r="R1486" s="0" t="n">
        <v>44483</v>
      </c>
      <c r="AD1486" s="0" t="s">
        <v>148</v>
      </c>
      <c r="AE1486" s="0" t="s">
        <v>149</v>
      </c>
      <c r="AF1486" s="0" t="s">
        <v>150</v>
      </c>
      <c r="AH1486" s="0" t="n">
        <v>14</v>
      </c>
      <c r="AI1486" s="0" t="n">
        <v>11</v>
      </c>
      <c r="AN1486" s="0" t="s">
        <v>146</v>
      </c>
      <c r="AO1486" s="0" t="s">
        <v>151</v>
      </c>
      <c r="AP1486" s="0" t="s">
        <v>152</v>
      </c>
      <c r="AQ1486" s="0" t="n">
        <v>9</v>
      </c>
      <c r="AR1486" s="0" t="n">
        <v>64</v>
      </c>
      <c r="AS1486" s="0" t="n">
        <v>32</v>
      </c>
      <c r="AU1486" s="0" t="n">
        <f aca="false">COUNTA($BA$1726:$EH$1726)</f>
        <v>4</v>
      </c>
      <c r="AV1486" s="0" t="n">
        <f aca="false">COUNTIF($BA$1726:$EH$1726,"D")</f>
        <v>0</v>
      </c>
      <c r="AW1486" s="0" t="n">
        <f aca="false">COUNTIF($BA$1726:$EH$1726,"R")</f>
        <v>0</v>
      </c>
      <c r="AX1486" s="0" t="n">
        <f aca="false"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>0</v>
      </c>
      <c r="AY1486" s="0" t="n">
        <f aca="false">COUNTIF(DU1486:EH1486, "&lt;&gt;")</f>
        <v>2</v>
      </c>
      <c r="AZ1486" s="0" t="n">
        <f aca="false">IF(EH1486&lt;&gt;"",1,0)</f>
        <v>0</v>
      </c>
      <c r="BB1486" s="0" t="s">
        <v>153</v>
      </c>
      <c r="DM1486" s="0" t="s">
        <v>155</v>
      </c>
      <c r="DN1486" s="0" t="s">
        <v>154</v>
      </c>
      <c r="DR1486" s="0" t="s">
        <v>154</v>
      </c>
      <c r="DS1486" s="0" t="s">
        <v>155</v>
      </c>
      <c r="DT1486" s="0" t="s">
        <v>155</v>
      </c>
      <c r="DU1486" s="0" t="s">
        <v>154</v>
      </c>
      <c r="EF1486" s="0" t="s">
        <v>154</v>
      </c>
    </row>
    <row r="1487" customFormat="false" ht="13.8" hidden="false" customHeight="false" outlineLevel="0" collapsed="false">
      <c r="A1487" s="0" t="s">
        <v>6856</v>
      </c>
      <c r="B1487" s="0" t="n">
        <v>78</v>
      </c>
      <c r="C1487" s="0" t="n">
        <v>480971</v>
      </c>
      <c r="D1487" s="0" t="s">
        <v>6857</v>
      </c>
      <c r="E1487" s="0" t="s">
        <v>3396</v>
      </c>
      <c r="F1487" s="0" t="str">
        <f aca="false">CONCATENATE(D1487," ",LEFT(H1487,4),"T=",AU1487,"D=",AV1487,"R=",AW1487,"M=",AX1487,"L=",AY1487,"B=",AZ1487)</f>
        <v>HENSLEY T=1D=0R=0M=1L=3B=1</v>
      </c>
      <c r="I1487" s="0" t="s">
        <v>6858</v>
      </c>
      <c r="J1487" s="0" t="s">
        <v>2672</v>
      </c>
      <c r="K1487" s="0" t="s">
        <v>175</v>
      </c>
      <c r="L1487" s="1" t="s">
        <v>155</v>
      </c>
      <c r="M1487" s="0" t="s">
        <v>6839</v>
      </c>
      <c r="N1487" s="0" t="str">
        <f aca="false">RIGHT(M1487,LEN(M1487)-FIND(" ",M1487))</f>
        <v>MAHONING AVE NW</v>
      </c>
      <c r="P1487" s="0" t="s">
        <v>146</v>
      </c>
      <c r="Q1487" s="0" t="s">
        <v>147</v>
      </c>
      <c r="R1487" s="0" t="n">
        <v>44483</v>
      </c>
      <c r="AD1487" s="0" t="s">
        <v>148</v>
      </c>
      <c r="AE1487" s="0" t="s">
        <v>149</v>
      </c>
      <c r="AF1487" s="0" t="s">
        <v>150</v>
      </c>
      <c r="AH1487" s="0" t="n">
        <v>14</v>
      </c>
      <c r="AI1487" s="0" t="n">
        <v>11</v>
      </c>
      <c r="AN1487" s="0" t="s">
        <v>146</v>
      </c>
      <c r="AO1487" s="0" t="s">
        <v>151</v>
      </c>
      <c r="AP1487" s="0" t="s">
        <v>152</v>
      </c>
      <c r="AQ1487" s="0" t="n">
        <v>9</v>
      </c>
      <c r="AR1487" s="0" t="n">
        <v>64</v>
      </c>
      <c r="AS1487" s="0" t="n">
        <v>32</v>
      </c>
      <c r="AU1487" s="0" t="n">
        <f aca="false">COUNTA($BA$1770:$EH$1770)</f>
        <v>1</v>
      </c>
      <c r="AV1487" s="0" t="n">
        <f aca="false">COUNTIF($BA$1770:$EH$1770,"D")</f>
        <v>0</v>
      </c>
      <c r="AW1487" s="0" t="n">
        <f aca="false">COUNTIF($BA$1770:$EH$1770,"R")</f>
        <v>0</v>
      </c>
      <c r="AX1487" s="0" t="n">
        <f aca="false"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>1</v>
      </c>
      <c r="AY1487" s="0" t="n">
        <f aca="false">COUNTIF(DU1487:EH1487, "&lt;&gt;")</f>
        <v>3</v>
      </c>
      <c r="AZ1487" s="0" t="n">
        <f aca="false">IF(EH1487&lt;&gt;"",1,0)</f>
        <v>1</v>
      </c>
      <c r="BB1487" s="0" t="s">
        <v>153</v>
      </c>
      <c r="ED1487" s="0" t="s">
        <v>155</v>
      </c>
      <c r="EF1487" s="0" t="s">
        <v>154</v>
      </c>
      <c r="EH1487" s="0" t="s">
        <v>155</v>
      </c>
    </row>
    <row r="1488" customFormat="false" ht="13.8" hidden="false" customHeight="false" outlineLevel="0" collapsed="false">
      <c r="A1488" s="0" t="s">
        <v>6859</v>
      </c>
      <c r="B1488" s="0" t="n">
        <v>78</v>
      </c>
      <c r="C1488" s="0" t="n">
        <v>438890</v>
      </c>
      <c r="D1488" s="0" t="s">
        <v>6860</v>
      </c>
      <c r="E1488" s="0" t="s">
        <v>278</v>
      </c>
      <c r="F1488" s="0" t="str">
        <f aca="false">CONCATENATE(D1488," ",LEFT(H1488,4),"T=",AU1488,"D=",AV1488,"R=",AW1488,"M=",AX1488,"L=",AY1488,"B=",AZ1488)</f>
        <v>LYTLE T=49D=17R=0M=2L=5B=1</v>
      </c>
      <c r="G1488" s="0" t="s">
        <v>196</v>
      </c>
      <c r="I1488" s="0" t="s">
        <v>6861</v>
      </c>
      <c r="J1488" s="0" t="s">
        <v>6862</v>
      </c>
      <c r="K1488" s="0" t="s">
        <v>175</v>
      </c>
      <c r="L1488" s="1" t="s">
        <v>155</v>
      </c>
      <c r="M1488" s="0" t="s">
        <v>6839</v>
      </c>
      <c r="N1488" s="0" t="str">
        <f aca="false">RIGHT(M1488,LEN(M1488)-FIND(" ",M1488))</f>
        <v>MAHONING AVE NW</v>
      </c>
      <c r="P1488" s="0" t="s">
        <v>146</v>
      </c>
      <c r="Q1488" s="0" t="s">
        <v>147</v>
      </c>
      <c r="R1488" s="0" t="n">
        <v>44483</v>
      </c>
      <c r="AD1488" s="0" t="s">
        <v>148</v>
      </c>
      <c r="AE1488" s="0" t="s">
        <v>149</v>
      </c>
      <c r="AF1488" s="0" t="s">
        <v>150</v>
      </c>
      <c r="AH1488" s="0" t="n">
        <v>14</v>
      </c>
      <c r="AI1488" s="0" t="n">
        <v>11</v>
      </c>
      <c r="AN1488" s="0" t="s">
        <v>146</v>
      </c>
      <c r="AO1488" s="0" t="s">
        <v>151</v>
      </c>
      <c r="AP1488" s="0" t="s">
        <v>152</v>
      </c>
      <c r="AQ1488" s="0" t="n">
        <v>9</v>
      </c>
      <c r="AR1488" s="0" t="n">
        <v>64</v>
      </c>
      <c r="AS1488" s="0" t="n">
        <v>32</v>
      </c>
      <c r="AU1488" s="0" t="n">
        <f aca="false">COUNTA($BA$1804:$EH$1804)</f>
        <v>49</v>
      </c>
      <c r="AV1488" s="0" t="n">
        <f aca="false">COUNTIF($BA$1804:$EH$1804,"D")</f>
        <v>17</v>
      </c>
      <c r="AW1488" s="0" t="n">
        <f aca="false">COUNTIF($BA$1804:$EH$1804,"R")</f>
        <v>0</v>
      </c>
      <c r="AX1488" s="0" t="n">
        <f aca="false"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>2</v>
      </c>
      <c r="AY1488" s="0" t="n">
        <f aca="false">COUNTIF(DU1488:EH1488, "&lt;&gt;")</f>
        <v>5</v>
      </c>
      <c r="AZ1488" s="0" t="n">
        <f aca="false">IF(EH1488&lt;&gt;"",1,0)</f>
        <v>1</v>
      </c>
      <c r="BB1488" s="0" t="s">
        <v>153</v>
      </c>
      <c r="DM1488" s="0" t="s">
        <v>155</v>
      </c>
      <c r="DR1488" s="0" t="s">
        <v>154</v>
      </c>
      <c r="DT1488" s="0" t="s">
        <v>155</v>
      </c>
      <c r="DU1488" s="0" t="s">
        <v>154</v>
      </c>
      <c r="DW1488" s="0" t="s">
        <v>155</v>
      </c>
      <c r="DX1488" s="0" t="s">
        <v>154</v>
      </c>
      <c r="EF1488" s="0" t="s">
        <v>154</v>
      </c>
      <c r="EH1488" s="0" t="s">
        <v>155</v>
      </c>
    </row>
    <row r="1489" customFormat="false" ht="13.8" hidden="false" customHeight="false" outlineLevel="0" collapsed="false">
      <c r="A1489" s="0" t="s">
        <v>6863</v>
      </c>
      <c r="B1489" s="0" t="n">
        <v>78</v>
      </c>
      <c r="C1489" s="0" t="n">
        <v>445248</v>
      </c>
      <c r="D1489" s="0" t="s">
        <v>2031</v>
      </c>
      <c r="E1489" s="0" t="s">
        <v>771</v>
      </c>
      <c r="F1489" s="0" t="str">
        <f aca="false">CONCATENATE(D1489," ",LEFT(H1489,4),"T=",AU1489,"D=",AV1489,"R=",AW1489,"M=",AX1489,"L=",AY1489,"B=",AZ1489)</f>
        <v>TYLER T=2D=0R=0M=2L=5B=0</v>
      </c>
      <c r="I1489" s="0" t="s">
        <v>6864</v>
      </c>
      <c r="J1489" s="0" t="s">
        <v>6865</v>
      </c>
      <c r="K1489" s="0" t="s">
        <v>175</v>
      </c>
      <c r="L1489" s="1" t="s">
        <v>155</v>
      </c>
      <c r="M1489" s="0" t="s">
        <v>6839</v>
      </c>
      <c r="N1489" s="0" t="str">
        <f aca="false">RIGHT(M1489,LEN(M1489)-FIND(" ",M1489))</f>
        <v>MAHONING AVE NW</v>
      </c>
      <c r="P1489" s="0" t="s">
        <v>146</v>
      </c>
      <c r="Q1489" s="0" t="s">
        <v>147</v>
      </c>
      <c r="R1489" s="0" t="n">
        <v>44483</v>
      </c>
      <c r="AD1489" s="0" t="s">
        <v>148</v>
      </c>
      <c r="AE1489" s="0" t="s">
        <v>149</v>
      </c>
      <c r="AF1489" s="0" t="s">
        <v>150</v>
      </c>
      <c r="AH1489" s="0" t="n">
        <v>14</v>
      </c>
      <c r="AI1489" s="0" t="n">
        <v>11</v>
      </c>
      <c r="AN1489" s="0" t="s">
        <v>146</v>
      </c>
      <c r="AO1489" s="0" t="s">
        <v>151</v>
      </c>
      <c r="AP1489" s="0" t="s">
        <v>152</v>
      </c>
      <c r="AQ1489" s="0" t="n">
        <v>9</v>
      </c>
      <c r="AR1489" s="0" t="n">
        <v>64</v>
      </c>
      <c r="AS1489" s="0" t="n">
        <v>32</v>
      </c>
      <c r="AU1489" s="0" t="n">
        <f aca="false">COUNTA($BA$1868:$EH$1868)</f>
        <v>2</v>
      </c>
      <c r="AV1489" s="0" t="n">
        <f aca="false">COUNTIF($BA$1868:$EH$1868,"D")</f>
        <v>0</v>
      </c>
      <c r="AW1489" s="0" t="n">
        <f aca="false">COUNTIF($BA$1868:$EH$1868,"R")</f>
        <v>0</v>
      </c>
      <c r="AX1489" s="0" t="n">
        <f aca="false"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>2</v>
      </c>
      <c r="AY1489" s="0" t="n">
        <f aca="false">COUNTIF(DU1489:EH1489, "&lt;&gt;")</f>
        <v>5</v>
      </c>
      <c r="AZ1489" s="0" t="n">
        <f aca="false">IF(EH1489&lt;&gt;"",1,0)</f>
        <v>0</v>
      </c>
      <c r="BB1489" s="0" t="s">
        <v>153</v>
      </c>
      <c r="BD1489" s="0" t="s">
        <v>154</v>
      </c>
      <c r="BE1489" s="0" t="s">
        <v>154</v>
      </c>
      <c r="BH1489" s="0" t="s">
        <v>154</v>
      </c>
      <c r="BL1489" s="0" t="s">
        <v>154</v>
      </c>
      <c r="BN1489" s="0" t="s">
        <v>155</v>
      </c>
      <c r="CA1489" s="0" t="s">
        <v>154</v>
      </c>
      <c r="DM1489" s="0" t="s">
        <v>155</v>
      </c>
      <c r="DN1489" s="0" t="s">
        <v>154</v>
      </c>
      <c r="DR1489" s="0" t="s">
        <v>154</v>
      </c>
      <c r="DS1489" s="0" t="s">
        <v>155</v>
      </c>
      <c r="DT1489" s="0" t="s">
        <v>155</v>
      </c>
      <c r="DU1489" s="0" t="s">
        <v>154</v>
      </c>
      <c r="DW1489" s="0" t="s">
        <v>155</v>
      </c>
      <c r="EA1489" s="0" t="s">
        <v>154</v>
      </c>
      <c r="ED1489" s="0" t="s">
        <v>155</v>
      </c>
      <c r="EF1489" s="0" t="s">
        <v>154</v>
      </c>
    </row>
    <row r="1490" customFormat="false" ht="13.8" hidden="false" customHeight="false" outlineLevel="0" collapsed="false">
      <c r="A1490" s="0" t="s">
        <v>6866</v>
      </c>
      <c r="B1490" s="0" t="n">
        <v>78</v>
      </c>
      <c r="C1490" s="0" t="n">
        <v>26501</v>
      </c>
      <c r="D1490" s="0" t="s">
        <v>6867</v>
      </c>
      <c r="E1490" s="0" t="s">
        <v>2163</v>
      </c>
      <c r="F1490" s="0" t="str">
        <f aca="false">CONCATENATE(D1490," ",LEFT(H1490,4),"T=",AU1490,"D=",AV1490,"R=",AW1490,"M=",AX1490,"L=",AY1490,"B=",AZ1490)</f>
        <v>PERNICE T=1D=0R=0M=5L=7B=1</v>
      </c>
      <c r="G1490" s="0" t="s">
        <v>202</v>
      </c>
      <c r="I1490" s="0" t="s">
        <v>6868</v>
      </c>
      <c r="J1490" s="0" t="s">
        <v>6869</v>
      </c>
      <c r="K1490" s="0" t="s">
        <v>175</v>
      </c>
      <c r="L1490" s="1" t="s">
        <v>155</v>
      </c>
      <c r="M1490" s="0" t="s">
        <v>6839</v>
      </c>
      <c r="N1490" s="0" t="str">
        <f aca="false">RIGHT(M1490,LEN(M1490)-FIND(" ",M1490))</f>
        <v>MAHONING AVE NW</v>
      </c>
      <c r="P1490" s="0" t="s">
        <v>146</v>
      </c>
      <c r="Q1490" s="0" t="s">
        <v>147</v>
      </c>
      <c r="R1490" s="0" t="n">
        <v>44483</v>
      </c>
      <c r="AD1490" s="0" t="s">
        <v>148</v>
      </c>
      <c r="AE1490" s="0" t="s">
        <v>149</v>
      </c>
      <c r="AF1490" s="0" t="s">
        <v>150</v>
      </c>
      <c r="AH1490" s="0" t="n">
        <v>14</v>
      </c>
      <c r="AI1490" s="0" t="n">
        <v>11</v>
      </c>
      <c r="AN1490" s="0" t="s">
        <v>146</v>
      </c>
      <c r="AO1490" s="0" t="s">
        <v>151</v>
      </c>
      <c r="AP1490" s="0" t="s">
        <v>152</v>
      </c>
      <c r="AQ1490" s="0" t="n">
        <v>9</v>
      </c>
      <c r="AR1490" s="0" t="n">
        <v>64</v>
      </c>
      <c r="AS1490" s="0" t="n">
        <v>32</v>
      </c>
      <c r="AU1490" s="0" t="n">
        <f aca="false">COUNTA($BA$1891:$EH$1891)</f>
        <v>1</v>
      </c>
      <c r="AV1490" s="0" t="n">
        <f aca="false">COUNTIF($BA$1891:$EH$1891,"D")</f>
        <v>0</v>
      </c>
      <c r="AW1490" s="0" t="n">
        <f aca="false">COUNTIF($BA$1891:$EH$1891,"R")</f>
        <v>0</v>
      </c>
      <c r="AX1490" s="0" t="n">
        <f aca="false"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>5</v>
      </c>
      <c r="AY1490" s="0" t="n">
        <f aca="false">COUNTIF(DU1490:EH1490, "&lt;&gt;")</f>
        <v>7</v>
      </c>
      <c r="AZ1490" s="0" t="n">
        <f aca="false">IF(EH1490&lt;&gt;"",1,0)</f>
        <v>1</v>
      </c>
      <c r="BB1490" s="0" t="s">
        <v>153</v>
      </c>
      <c r="BC1490" s="0" t="s">
        <v>154</v>
      </c>
      <c r="BD1490" s="0" t="s">
        <v>154</v>
      </c>
      <c r="BE1490" s="0" t="s">
        <v>154</v>
      </c>
      <c r="BG1490" s="0" t="s">
        <v>154</v>
      </c>
      <c r="BH1490" s="0" t="s">
        <v>154</v>
      </c>
      <c r="BI1490" s="0" t="s">
        <v>154</v>
      </c>
      <c r="BJ1490" s="0" t="s">
        <v>154</v>
      </c>
      <c r="BK1490" s="0" t="s">
        <v>154</v>
      </c>
      <c r="BL1490" s="0" t="s">
        <v>154</v>
      </c>
      <c r="BR1490" s="0" t="s">
        <v>154</v>
      </c>
      <c r="BS1490" s="0" t="s">
        <v>154</v>
      </c>
      <c r="BV1490" s="0" t="s">
        <v>154</v>
      </c>
      <c r="BY1490" s="0" t="s">
        <v>155</v>
      </c>
      <c r="CA1490" s="0" t="s">
        <v>154</v>
      </c>
      <c r="CG1490" s="0" t="s">
        <v>154</v>
      </c>
      <c r="CH1490" s="0" t="s">
        <v>155</v>
      </c>
      <c r="CK1490" s="0" t="s">
        <v>154</v>
      </c>
      <c r="CL1490" s="0" t="s">
        <v>155</v>
      </c>
      <c r="CN1490" s="0" t="s">
        <v>154</v>
      </c>
      <c r="CP1490" s="0" t="s">
        <v>154</v>
      </c>
      <c r="DC1490" s="0" t="s">
        <v>154</v>
      </c>
      <c r="DG1490" s="0" t="s">
        <v>155</v>
      </c>
      <c r="DI1490" s="0" t="s">
        <v>154</v>
      </c>
      <c r="DJ1490" s="0" t="s">
        <v>155</v>
      </c>
      <c r="DM1490" s="0" t="s">
        <v>155</v>
      </c>
      <c r="DN1490" s="0" t="s">
        <v>154</v>
      </c>
      <c r="DO1490" s="0" t="s">
        <v>155</v>
      </c>
      <c r="DR1490" s="0" t="s">
        <v>154</v>
      </c>
      <c r="DS1490" s="0" t="s">
        <v>155</v>
      </c>
      <c r="DT1490" s="0" t="s">
        <v>155</v>
      </c>
      <c r="DU1490" s="0" t="s">
        <v>154</v>
      </c>
      <c r="DW1490" s="0" t="s">
        <v>155</v>
      </c>
      <c r="DX1490" s="0" t="s">
        <v>154</v>
      </c>
      <c r="EA1490" s="0" t="s">
        <v>154</v>
      </c>
      <c r="ED1490" s="0" t="s">
        <v>155</v>
      </c>
      <c r="EF1490" s="0" t="s">
        <v>154</v>
      </c>
      <c r="EH1490" s="0" t="s">
        <v>155</v>
      </c>
    </row>
    <row r="1491" customFormat="false" ht="13.8" hidden="false" customHeight="false" outlineLevel="0" collapsed="false">
      <c r="A1491" s="0" t="s">
        <v>6870</v>
      </c>
      <c r="B1491" s="0" t="n">
        <v>78</v>
      </c>
      <c r="C1491" s="0" t="n">
        <v>348840</v>
      </c>
      <c r="D1491" s="0" t="s">
        <v>6871</v>
      </c>
      <c r="E1491" s="0" t="s">
        <v>6796</v>
      </c>
      <c r="F1491" s="0" t="str">
        <f aca="false">CONCATENATE(D1491," ",LEFT(H1491,4),"T=",AU1491,"D=",AV1491,"R=",AW1491,"M=",AX1491,"L=",AY1491,"B=",AZ1491)</f>
        <v>ELLIOTT T=27D=8R=0M=0L=2B=0</v>
      </c>
      <c r="G1491" s="0" t="s">
        <v>771</v>
      </c>
      <c r="I1491" s="0" t="s">
        <v>6872</v>
      </c>
      <c r="J1491" s="0" t="s">
        <v>3811</v>
      </c>
      <c r="K1491" s="0" t="s">
        <v>175</v>
      </c>
      <c r="L1491" s="1" t="s">
        <v>176</v>
      </c>
      <c r="M1491" s="0" t="s">
        <v>6839</v>
      </c>
      <c r="N1491" s="0" t="str">
        <f aca="false">RIGHT(M1491,LEN(M1491)-FIND(" ",M1491))</f>
        <v>MAHONING AVE NW</v>
      </c>
      <c r="P1491" s="0" t="s">
        <v>146</v>
      </c>
      <c r="Q1491" s="0" t="s">
        <v>147</v>
      </c>
      <c r="R1491" s="0" t="n">
        <v>44483</v>
      </c>
      <c r="AD1491" s="0" t="s">
        <v>148</v>
      </c>
      <c r="AE1491" s="0" t="s">
        <v>149</v>
      </c>
      <c r="AF1491" s="0" t="s">
        <v>150</v>
      </c>
      <c r="AH1491" s="0" t="n">
        <v>14</v>
      </c>
      <c r="AI1491" s="0" t="n">
        <v>11</v>
      </c>
      <c r="AN1491" s="0" t="s">
        <v>146</v>
      </c>
      <c r="AO1491" s="0" t="s">
        <v>151</v>
      </c>
      <c r="AP1491" s="0" t="s">
        <v>152</v>
      </c>
      <c r="AQ1491" s="0" t="n">
        <v>9</v>
      </c>
      <c r="AR1491" s="0" t="n">
        <v>64</v>
      </c>
      <c r="AS1491" s="0" t="n">
        <v>32</v>
      </c>
      <c r="AU1491" s="0" t="n">
        <f aca="false">COUNTA($BA$1965:$EH$1965)</f>
        <v>27</v>
      </c>
      <c r="AV1491" s="0" t="n">
        <f aca="false">COUNTIF($BA$1965:$EH$1965,"D")</f>
        <v>8</v>
      </c>
      <c r="AW1491" s="0" t="n">
        <f aca="false">COUNTIF($BA$1965:$EH$1965,"R")</f>
        <v>0</v>
      </c>
      <c r="AX1491" s="0" t="n">
        <f aca="false"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>0</v>
      </c>
      <c r="AY1491" s="0" t="n">
        <f aca="false">COUNTIF(DU1491:EH1491, "&lt;&gt;")</f>
        <v>2</v>
      </c>
      <c r="AZ1491" s="0" t="n">
        <f aca="false">IF(EH1491&lt;&gt;"",1,0)</f>
        <v>0</v>
      </c>
      <c r="BB1491" s="0" t="s">
        <v>153</v>
      </c>
      <c r="BY1491" s="0" t="s">
        <v>155</v>
      </c>
      <c r="CA1491" s="0" t="s">
        <v>154</v>
      </c>
      <c r="DL1491" s="0" t="s">
        <v>154</v>
      </c>
      <c r="DM1491" s="0" t="s">
        <v>176</v>
      </c>
      <c r="DN1491" s="0" t="s">
        <v>154</v>
      </c>
      <c r="DR1491" s="0" t="s">
        <v>154</v>
      </c>
      <c r="DS1491" s="0" t="s">
        <v>176</v>
      </c>
      <c r="DT1491" s="0" t="s">
        <v>176</v>
      </c>
      <c r="DU1491" s="0" t="s">
        <v>154</v>
      </c>
      <c r="EF1491" s="0" t="s">
        <v>154</v>
      </c>
    </row>
    <row r="1492" customFormat="false" ht="13.8" hidden="false" customHeight="false" outlineLevel="0" collapsed="false">
      <c r="A1492" s="0" t="s">
        <v>6873</v>
      </c>
      <c r="B1492" s="0" t="n">
        <v>78</v>
      </c>
      <c r="C1492" s="0" t="n">
        <v>395227</v>
      </c>
      <c r="D1492" s="0" t="s">
        <v>260</v>
      </c>
      <c r="E1492" s="0" t="s">
        <v>1531</v>
      </c>
      <c r="F1492" s="0" t="str">
        <f aca="false">CONCATENATE(D1492," ",LEFT(H1492,4),"T=",AU1492,"D=",AV1492,"R=",AW1492,"M=",AX1492,"L=",AY1492,"B=",AZ1492)</f>
        <v>SAPP T=1D=0R=0M=0L=2B=0</v>
      </c>
      <c r="G1492" s="0" t="s">
        <v>241</v>
      </c>
      <c r="I1492" s="0" t="s">
        <v>6874</v>
      </c>
      <c r="J1492" s="0" t="s">
        <v>6875</v>
      </c>
      <c r="K1492" s="0" t="s">
        <v>175</v>
      </c>
      <c r="L1492" s="1" t="s">
        <v>176</v>
      </c>
      <c r="M1492" s="0" t="s">
        <v>6876</v>
      </c>
      <c r="N1492" s="0" t="str">
        <f aca="false">RIGHT(M1492,LEN(M1492)-FIND(" ",M1492))</f>
        <v>MAHONING AVE NW</v>
      </c>
      <c r="P1492" s="0" t="s">
        <v>146</v>
      </c>
      <c r="Q1492" s="0" t="s">
        <v>147</v>
      </c>
      <c r="R1492" s="0" t="n">
        <v>44483</v>
      </c>
      <c r="AD1492" s="0" t="s">
        <v>148</v>
      </c>
      <c r="AE1492" s="0" t="s">
        <v>149</v>
      </c>
      <c r="AF1492" s="0" t="s">
        <v>150</v>
      </c>
      <c r="AH1492" s="0" t="n">
        <v>14</v>
      </c>
      <c r="AI1492" s="0" t="n">
        <v>11</v>
      </c>
      <c r="AN1492" s="0" t="s">
        <v>146</v>
      </c>
      <c r="AO1492" s="0" t="s">
        <v>151</v>
      </c>
      <c r="AP1492" s="0" t="s">
        <v>152</v>
      </c>
      <c r="AQ1492" s="0" t="n">
        <v>9</v>
      </c>
      <c r="AR1492" s="0" t="n">
        <v>64</v>
      </c>
      <c r="AS1492" s="0" t="n">
        <v>32</v>
      </c>
      <c r="AU1492" s="0" t="n">
        <f aca="false">COUNTA($BA$1560:$EH$1560)</f>
        <v>1</v>
      </c>
      <c r="AV1492" s="0" t="n">
        <f aca="false">COUNTIF($BA$1560:$EH$1560,"D")</f>
        <v>0</v>
      </c>
      <c r="AW1492" s="0" t="n">
        <f aca="false">COUNTIF($BA$1560:$EH$1560,"R")</f>
        <v>0</v>
      </c>
      <c r="AX1492" s="0" t="n">
        <f aca="false"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>0</v>
      </c>
      <c r="AY1492" s="0" t="n">
        <f aca="false">COUNTIF(DU1492:EH1492, "&lt;&gt;")</f>
        <v>2</v>
      </c>
      <c r="AZ1492" s="0" t="n">
        <f aca="false">IF(EH1492&lt;&gt;"",1,0)</f>
        <v>0</v>
      </c>
      <c r="BB1492" s="0" t="s">
        <v>153</v>
      </c>
      <c r="DN1492" s="0" t="s">
        <v>154</v>
      </c>
      <c r="DS1492" s="0" t="s">
        <v>176</v>
      </c>
      <c r="DT1492" s="0" t="s">
        <v>176</v>
      </c>
      <c r="ED1492" s="0" t="s">
        <v>176</v>
      </c>
      <c r="EF1492" s="0" t="s">
        <v>154</v>
      </c>
    </row>
    <row r="1493" customFormat="false" ht="13.8" hidden="true" customHeight="false" outlineLevel="0" collapsed="false">
      <c r="A1493" s="0" t="s">
        <v>6877</v>
      </c>
      <c r="B1493" s="0" t="n">
        <v>78</v>
      </c>
      <c r="C1493" s="0" t="n">
        <v>232777</v>
      </c>
      <c r="D1493" s="0" t="s">
        <v>6878</v>
      </c>
      <c r="E1493" s="0" t="s">
        <v>1272</v>
      </c>
      <c r="F1493" s="0" t="str">
        <f aca="false">CONCATENATE(D1493," ",LEFT(H1493,4),"T=",AU1493,"D=",AV1493,"R=",AW1493,"M=",AX1493,"L=",AY1493,"B=",AZ1493)</f>
        <v>CROMLEY T=3D=0R=0M=0L=1B=0</v>
      </c>
      <c r="G1493" s="0" t="s">
        <v>188</v>
      </c>
      <c r="I1493" s="0" t="s">
        <v>6879</v>
      </c>
      <c r="J1493" s="0" t="s">
        <v>757</v>
      </c>
      <c r="K1493" s="0" t="s">
        <v>175</v>
      </c>
      <c r="L1493" s="0" t="s">
        <v>155</v>
      </c>
      <c r="M1493" s="0" t="s">
        <v>6880</v>
      </c>
      <c r="N1493" s="0" t="str">
        <f aca="false">RIGHT(M1493,LEN(M1493)-FIND(" ",M1493))</f>
        <v>MAHONING AVE NW</v>
      </c>
      <c r="O1493" s="0" t="s">
        <v>6881</v>
      </c>
      <c r="P1493" s="0" t="s">
        <v>146</v>
      </c>
      <c r="Q1493" s="0" t="s">
        <v>147</v>
      </c>
      <c r="R1493" s="0" t="n">
        <v>44483</v>
      </c>
      <c r="AD1493" s="0" t="s">
        <v>148</v>
      </c>
      <c r="AE1493" s="0" t="s">
        <v>149</v>
      </c>
      <c r="AF1493" s="0" t="s">
        <v>150</v>
      </c>
      <c r="AH1493" s="0" t="n">
        <v>14</v>
      </c>
      <c r="AI1493" s="0" t="n">
        <v>11</v>
      </c>
      <c r="AN1493" s="0" t="s">
        <v>146</v>
      </c>
      <c r="AO1493" s="0" t="s">
        <v>151</v>
      </c>
      <c r="AP1493" s="0" t="s">
        <v>152</v>
      </c>
      <c r="AQ1493" s="0" t="n">
        <v>9</v>
      </c>
      <c r="AR1493" s="0" t="n">
        <v>64</v>
      </c>
      <c r="AS1493" s="0" t="n">
        <v>32</v>
      </c>
      <c r="AU1493" s="0" t="n">
        <f aca="false">COUNTA($BA$1089:$EH$1089)</f>
        <v>3</v>
      </c>
      <c r="AV1493" s="0" t="n">
        <f aca="false">COUNTIF($BA$1089:$EH$1089,"D")</f>
        <v>0</v>
      </c>
      <c r="AW1493" s="0" t="n">
        <f aca="false">COUNTIF($BA$1089:$EH$1089,"R")</f>
        <v>0</v>
      </c>
      <c r="AX1493" s="0" t="n">
        <f aca="false"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>0</v>
      </c>
      <c r="AY1493" s="0" t="n">
        <f aca="false">COUNTIF(DU1493:EH1493, "&lt;&gt;")</f>
        <v>1</v>
      </c>
      <c r="AZ1493" s="0" t="n">
        <f aca="false">IF(EH1493&lt;&gt;"",1,0)</f>
        <v>0</v>
      </c>
      <c r="BB1493" s="0" t="s">
        <v>153</v>
      </c>
      <c r="BC1493" s="0" t="s">
        <v>154</v>
      </c>
      <c r="BD1493" s="0" t="s">
        <v>154</v>
      </c>
      <c r="BE1493" s="0" t="s">
        <v>154</v>
      </c>
      <c r="BF1493" s="0" t="s">
        <v>154</v>
      </c>
      <c r="BG1493" s="0" t="s">
        <v>154</v>
      </c>
      <c r="BH1493" s="0" t="s">
        <v>154</v>
      </c>
      <c r="BI1493" s="0" t="s">
        <v>154</v>
      </c>
      <c r="BJ1493" s="0" t="s">
        <v>154</v>
      </c>
      <c r="BK1493" s="0" t="s">
        <v>154</v>
      </c>
      <c r="BL1493" s="0" t="s">
        <v>154</v>
      </c>
      <c r="BP1493" s="0" t="s">
        <v>154</v>
      </c>
      <c r="BR1493" s="0" t="s">
        <v>154</v>
      </c>
      <c r="BS1493" s="0" t="s">
        <v>154</v>
      </c>
      <c r="BY1493" s="0" t="s">
        <v>155</v>
      </c>
      <c r="CA1493" s="0" t="s">
        <v>154</v>
      </c>
      <c r="CC1493" s="0" t="s">
        <v>154</v>
      </c>
      <c r="CG1493" s="0" t="s">
        <v>154</v>
      </c>
      <c r="CH1493" s="0" t="s">
        <v>155</v>
      </c>
      <c r="CK1493" s="0" t="s">
        <v>154</v>
      </c>
      <c r="CL1493" s="0" t="s">
        <v>154</v>
      </c>
      <c r="CN1493" s="0" t="s">
        <v>154</v>
      </c>
      <c r="CO1493" s="0" t="s">
        <v>155</v>
      </c>
      <c r="CP1493" s="0" t="s">
        <v>154</v>
      </c>
      <c r="CQ1493" s="0" t="s">
        <v>154</v>
      </c>
      <c r="CT1493" s="0" t="s">
        <v>154</v>
      </c>
      <c r="CU1493" s="0" t="s">
        <v>155</v>
      </c>
      <c r="CV1493" s="0" t="s">
        <v>154</v>
      </c>
      <c r="CY1493" s="0" t="s">
        <v>154</v>
      </c>
      <c r="CZ1493" s="0" t="s">
        <v>155</v>
      </c>
      <c r="DC1493" s="0" t="s">
        <v>154</v>
      </c>
      <c r="DD1493" s="0" t="s">
        <v>154</v>
      </c>
      <c r="DF1493" s="0" t="s">
        <v>154</v>
      </c>
      <c r="DG1493" s="0" t="s">
        <v>155</v>
      </c>
      <c r="DI1493" s="0" t="s">
        <v>154</v>
      </c>
      <c r="DL1493" s="0" t="s">
        <v>154</v>
      </c>
      <c r="DM1493" s="0" t="s">
        <v>155</v>
      </c>
      <c r="DN1493" s="0" t="s">
        <v>154</v>
      </c>
      <c r="DR1493" s="0" t="s">
        <v>154</v>
      </c>
      <c r="DS1493" s="0" t="s">
        <v>155</v>
      </c>
      <c r="DT1493" s="0" t="s">
        <v>155</v>
      </c>
      <c r="DU1493" s="0" t="s">
        <v>154</v>
      </c>
    </row>
    <row r="1494" customFormat="false" ht="13.8" hidden="false" customHeight="false" outlineLevel="0" collapsed="false">
      <c r="A1494" s="0" t="s">
        <v>6882</v>
      </c>
      <c r="B1494" s="0" t="n">
        <v>78</v>
      </c>
      <c r="C1494" s="0" t="n">
        <v>82794</v>
      </c>
      <c r="D1494" s="0" t="s">
        <v>6883</v>
      </c>
      <c r="E1494" s="0" t="s">
        <v>1272</v>
      </c>
      <c r="F1494" s="0" t="str">
        <f aca="false">CONCATENATE(D1494," ",LEFT(H1494,4),"T=",AU1494,"D=",AV1494,"R=",AW1494,"M=",AX1494,"L=",AY1494,"B=",AZ1494)</f>
        <v>LUOMA T=5D=0R=0M=0L=4B=0</v>
      </c>
      <c r="G1494" s="0" t="s">
        <v>2397</v>
      </c>
      <c r="I1494" s="0" t="s">
        <v>6884</v>
      </c>
      <c r="J1494" s="0" t="s">
        <v>865</v>
      </c>
      <c r="K1494" s="0" t="s">
        <v>175</v>
      </c>
      <c r="L1494" s="1" t="s">
        <v>176</v>
      </c>
      <c r="M1494" s="0" t="s">
        <v>6880</v>
      </c>
      <c r="N1494" s="0" t="str">
        <f aca="false">RIGHT(M1494,LEN(M1494)-FIND(" ",M1494))</f>
        <v>MAHONING AVE NW</v>
      </c>
      <c r="O1494" s="0" t="s">
        <v>6885</v>
      </c>
      <c r="P1494" s="0" t="s">
        <v>146</v>
      </c>
      <c r="Q1494" s="0" t="s">
        <v>147</v>
      </c>
      <c r="R1494" s="0" t="n">
        <v>44483</v>
      </c>
      <c r="AD1494" s="0" t="s">
        <v>148</v>
      </c>
      <c r="AE1494" s="0" t="s">
        <v>149</v>
      </c>
      <c r="AF1494" s="0" t="s">
        <v>150</v>
      </c>
      <c r="AH1494" s="0" t="n">
        <v>14</v>
      </c>
      <c r="AI1494" s="0" t="n">
        <v>11</v>
      </c>
      <c r="AN1494" s="0" t="s">
        <v>146</v>
      </c>
      <c r="AO1494" s="0" t="s">
        <v>151</v>
      </c>
      <c r="AP1494" s="0" t="s">
        <v>152</v>
      </c>
      <c r="AQ1494" s="0" t="n">
        <v>9</v>
      </c>
      <c r="AR1494" s="0" t="n">
        <v>64</v>
      </c>
      <c r="AS1494" s="0" t="n">
        <v>32</v>
      </c>
      <c r="AU1494" s="0" t="n">
        <f aca="false">COUNTA($BA$1121:$EH$1121)</f>
        <v>5</v>
      </c>
      <c r="AV1494" s="0" t="n">
        <f aca="false">COUNTIF($BA$1121:$EH$1121,"D")</f>
        <v>0</v>
      </c>
      <c r="AW1494" s="0" t="n">
        <f aca="false">COUNTIF($BA$1121:$EH$1121,"R")</f>
        <v>0</v>
      </c>
      <c r="AX1494" s="0" t="n">
        <f aca="false"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>0</v>
      </c>
      <c r="AY1494" s="0" t="n">
        <f aca="false">COUNTIF(DU1494:EH1494, "&lt;&gt;")</f>
        <v>4</v>
      </c>
      <c r="AZ1494" s="0" t="n">
        <f aca="false">IF(EH1494&lt;&gt;"",1,0)</f>
        <v>0</v>
      </c>
      <c r="BB1494" s="0" t="s">
        <v>153</v>
      </c>
      <c r="BC1494" s="0" t="s">
        <v>154</v>
      </c>
      <c r="BD1494" s="0" t="s">
        <v>154</v>
      </c>
      <c r="BH1494" s="0" t="s">
        <v>154</v>
      </c>
      <c r="BL1494" s="0" t="s">
        <v>154</v>
      </c>
      <c r="BS1494" s="0" t="s">
        <v>154</v>
      </c>
      <c r="BV1494" s="0" t="s">
        <v>154</v>
      </c>
      <c r="CK1494" s="0" t="s">
        <v>154</v>
      </c>
      <c r="CP1494" s="0" t="s">
        <v>154</v>
      </c>
      <c r="CV1494" s="0" t="s">
        <v>154</v>
      </c>
      <c r="DC1494" s="0" t="s">
        <v>154</v>
      </c>
      <c r="DS1494" s="0" t="s">
        <v>176</v>
      </c>
      <c r="DU1494" s="0" t="s">
        <v>154</v>
      </c>
      <c r="DW1494" s="0" t="s">
        <v>154</v>
      </c>
      <c r="ED1494" s="0" t="s">
        <v>176</v>
      </c>
      <c r="EF1494" s="0" t="s">
        <v>154</v>
      </c>
    </row>
    <row r="1495" customFormat="false" ht="13.8" hidden="true" customHeight="false" outlineLevel="0" collapsed="false">
      <c r="A1495" s="0" t="s">
        <v>6886</v>
      </c>
      <c r="B1495" s="0" t="n">
        <v>78</v>
      </c>
      <c r="C1495" s="0" t="n">
        <v>343673</v>
      </c>
      <c r="D1495" s="0" t="s">
        <v>6887</v>
      </c>
      <c r="E1495" s="0" t="s">
        <v>698</v>
      </c>
      <c r="F1495" s="0" t="str">
        <f aca="false">CONCATENATE(D1495," ",LEFT(H1495,4),"T=",AU1495,"D=",AV1495,"R=",AW1495,"M=",AX1495,"L=",AY1495,"B=",AZ1495)</f>
        <v>LESLEIN T=15D=3R=0M=0L=1B=0</v>
      </c>
      <c r="G1495" s="0" t="s">
        <v>188</v>
      </c>
      <c r="I1495" s="0" t="s">
        <v>6888</v>
      </c>
      <c r="J1495" s="0" t="s">
        <v>606</v>
      </c>
      <c r="K1495" s="0" t="s">
        <v>175</v>
      </c>
      <c r="L1495" s="0" t="s">
        <v>176</v>
      </c>
      <c r="M1495" s="0" t="s">
        <v>6880</v>
      </c>
      <c r="N1495" s="0" t="str">
        <f aca="false">RIGHT(M1495,LEN(M1495)-FIND(" ",M1495))</f>
        <v>MAHONING AVE NW</v>
      </c>
      <c r="O1495" s="0" t="s">
        <v>6889</v>
      </c>
      <c r="P1495" s="0" t="s">
        <v>146</v>
      </c>
      <c r="Q1495" s="0" t="s">
        <v>147</v>
      </c>
      <c r="R1495" s="0" t="n">
        <v>44483</v>
      </c>
      <c r="AD1495" s="0" t="s">
        <v>148</v>
      </c>
      <c r="AE1495" s="0" t="s">
        <v>149</v>
      </c>
      <c r="AF1495" s="0" t="s">
        <v>150</v>
      </c>
      <c r="AH1495" s="0" t="n">
        <v>14</v>
      </c>
      <c r="AI1495" s="0" t="n">
        <v>11</v>
      </c>
      <c r="AN1495" s="0" t="s">
        <v>146</v>
      </c>
      <c r="AO1495" s="0" t="s">
        <v>151</v>
      </c>
      <c r="AP1495" s="0" t="s">
        <v>152</v>
      </c>
      <c r="AQ1495" s="0" t="n">
        <v>9</v>
      </c>
      <c r="AR1495" s="0" t="n">
        <v>64</v>
      </c>
      <c r="AS1495" s="0" t="n">
        <v>32</v>
      </c>
      <c r="AU1495" s="0" t="n">
        <f aca="false">COUNTA($BA$1145:$EH$1145)</f>
        <v>15</v>
      </c>
      <c r="AV1495" s="0" t="n">
        <f aca="false">COUNTIF($BA$1145:$EH$1145,"D")</f>
        <v>3</v>
      </c>
      <c r="AW1495" s="0" t="n">
        <f aca="false">COUNTIF($BA$1145:$EH$1145,"R")</f>
        <v>0</v>
      </c>
      <c r="AX1495" s="0" t="n">
        <f aca="false"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>0</v>
      </c>
      <c r="AY1495" s="0" t="n">
        <f aca="false">COUNTIF(DU1495:EH1495, "&lt;&gt;")</f>
        <v>1</v>
      </c>
      <c r="AZ1495" s="0" t="n">
        <f aca="false">IF(EH1495&lt;&gt;"",1,0)</f>
        <v>0</v>
      </c>
      <c r="BB1495" s="0" t="s">
        <v>153</v>
      </c>
      <c r="BS1495" s="0" t="s">
        <v>154</v>
      </c>
      <c r="CA1495" s="0" t="s">
        <v>154</v>
      </c>
      <c r="CK1495" s="0" t="s">
        <v>154</v>
      </c>
      <c r="CN1495" s="0" t="s">
        <v>154</v>
      </c>
      <c r="CP1495" s="0" t="s">
        <v>154</v>
      </c>
      <c r="ED1495" s="0" t="s">
        <v>176</v>
      </c>
    </row>
    <row r="1496" customFormat="false" ht="13.8" hidden="false" customHeight="false" outlineLevel="0" collapsed="false">
      <c r="A1496" s="0" t="s">
        <v>6890</v>
      </c>
      <c r="B1496" s="0" t="n">
        <v>78</v>
      </c>
      <c r="C1496" s="0" t="n">
        <v>340230</v>
      </c>
      <c r="D1496" s="0" t="s">
        <v>6891</v>
      </c>
      <c r="E1496" s="0" t="s">
        <v>791</v>
      </c>
      <c r="F1496" s="0" t="str">
        <f aca="false">CONCATENATE(D1496," ",LEFT(H1496,4),"T=",AU1496,"D=",AV1496,"R=",AW1496,"M=",AX1496,"L=",AY1496,"B=",AZ1496)</f>
        <v>JEWELL T=12D=0R=0M=0L=2B=0</v>
      </c>
      <c r="G1496" s="0" t="s">
        <v>297</v>
      </c>
      <c r="I1496" s="0" t="s">
        <v>6892</v>
      </c>
      <c r="J1496" s="0" t="s">
        <v>4208</v>
      </c>
      <c r="K1496" s="0" t="s">
        <v>175</v>
      </c>
      <c r="L1496" s="1" t="s">
        <v>176</v>
      </c>
      <c r="M1496" s="0" t="s">
        <v>6880</v>
      </c>
      <c r="N1496" s="0" t="str">
        <f aca="false">RIGHT(M1496,LEN(M1496)-FIND(" ",M1496))</f>
        <v>MAHONING AVE NW</v>
      </c>
      <c r="O1496" s="0" t="s">
        <v>6893</v>
      </c>
      <c r="P1496" s="0" t="s">
        <v>146</v>
      </c>
      <c r="Q1496" s="0" t="s">
        <v>147</v>
      </c>
      <c r="R1496" s="0" t="n">
        <v>44483</v>
      </c>
      <c r="AD1496" s="0" t="s">
        <v>148</v>
      </c>
      <c r="AE1496" s="0" t="s">
        <v>149</v>
      </c>
      <c r="AF1496" s="0" t="s">
        <v>150</v>
      </c>
      <c r="AH1496" s="0" t="n">
        <v>14</v>
      </c>
      <c r="AI1496" s="0" t="n">
        <v>11</v>
      </c>
      <c r="AN1496" s="0" t="s">
        <v>146</v>
      </c>
      <c r="AO1496" s="0" t="s">
        <v>151</v>
      </c>
      <c r="AP1496" s="0" t="s">
        <v>152</v>
      </c>
      <c r="AQ1496" s="0" t="n">
        <v>9</v>
      </c>
      <c r="AR1496" s="0" t="n">
        <v>64</v>
      </c>
      <c r="AS1496" s="0" t="n">
        <v>32</v>
      </c>
      <c r="AU1496" s="0" t="n">
        <f aca="false">COUNTA($BA$1185:$EH$1185)</f>
        <v>12</v>
      </c>
      <c r="AV1496" s="0" t="n">
        <f aca="false">COUNTIF($BA$1185:$EH$1185,"D")</f>
        <v>0</v>
      </c>
      <c r="AW1496" s="0" t="n">
        <f aca="false">COUNTIF($BA$1185:$EH$1185,"R")</f>
        <v>0</v>
      </c>
      <c r="AX1496" s="0" t="n">
        <f aca="false"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>0</v>
      </c>
      <c r="AY1496" s="0" t="n">
        <f aca="false">COUNTIF(DU1496:EH1496, "&lt;&gt;")</f>
        <v>2</v>
      </c>
      <c r="AZ1496" s="0" t="n">
        <f aca="false">IF(EH1496&lt;&gt;"",1,0)</f>
        <v>0</v>
      </c>
      <c r="BB1496" s="0" t="s">
        <v>153</v>
      </c>
      <c r="BL1496" s="0" t="s">
        <v>154</v>
      </c>
      <c r="BS1496" s="0" t="s">
        <v>154</v>
      </c>
      <c r="CA1496" s="0" t="s">
        <v>154</v>
      </c>
      <c r="CK1496" s="0" t="s">
        <v>154</v>
      </c>
      <c r="CP1496" s="0" t="s">
        <v>154</v>
      </c>
      <c r="CV1496" s="0" t="s">
        <v>154</v>
      </c>
      <c r="CY1496" s="0" t="s">
        <v>154</v>
      </c>
      <c r="CZ1496" s="0" t="s">
        <v>176</v>
      </c>
      <c r="DC1496" s="0" t="s">
        <v>154</v>
      </c>
      <c r="DF1496" s="0" t="s">
        <v>154</v>
      </c>
      <c r="DI1496" s="0" t="s">
        <v>154</v>
      </c>
      <c r="DN1496" s="0" t="s">
        <v>154</v>
      </c>
      <c r="DR1496" s="0" t="s">
        <v>154</v>
      </c>
      <c r="DS1496" s="0" t="s">
        <v>176</v>
      </c>
      <c r="ED1496" s="0" t="s">
        <v>176</v>
      </c>
      <c r="EF1496" s="0" t="s">
        <v>154</v>
      </c>
    </row>
    <row r="1497" customFormat="false" ht="13.8" hidden="false" customHeight="false" outlineLevel="0" collapsed="false">
      <c r="A1497" s="0" t="s">
        <v>6894</v>
      </c>
      <c r="B1497" s="0" t="n">
        <v>78</v>
      </c>
      <c r="C1497" s="0" t="n">
        <v>4747</v>
      </c>
      <c r="D1497" s="0" t="s">
        <v>2491</v>
      </c>
      <c r="E1497" s="0" t="s">
        <v>6895</v>
      </c>
      <c r="F1497" s="0" t="str">
        <f aca="false">CONCATENATE(D1497," ",LEFT(H1497,4),"T=",AU1497,"D=",AV1497,"R=",AW1497,"M=",AX1497,"L=",AY1497,"B=",AZ1497)</f>
        <v>GROOVER T=1D=0R=0M=6L=2B=0</v>
      </c>
      <c r="G1497" s="0" t="s">
        <v>297</v>
      </c>
      <c r="I1497" s="0" t="s">
        <v>6896</v>
      </c>
      <c r="J1497" s="0" t="s">
        <v>4185</v>
      </c>
      <c r="K1497" s="0" t="s">
        <v>175</v>
      </c>
      <c r="M1497" s="0" t="s">
        <v>6880</v>
      </c>
      <c r="N1497" s="0" t="str">
        <f aca="false">RIGHT(M1497,LEN(M1497)-FIND(" ",M1497))</f>
        <v>MAHONING AVE NW</v>
      </c>
      <c r="O1497" s="0" t="s">
        <v>6897</v>
      </c>
      <c r="P1497" s="0" t="s">
        <v>146</v>
      </c>
      <c r="Q1497" s="0" t="s">
        <v>147</v>
      </c>
      <c r="R1497" s="0" t="n">
        <v>44483</v>
      </c>
      <c r="AD1497" s="0" t="s">
        <v>148</v>
      </c>
      <c r="AE1497" s="0" t="s">
        <v>149</v>
      </c>
      <c r="AF1497" s="0" t="s">
        <v>150</v>
      </c>
      <c r="AH1497" s="0" t="n">
        <v>14</v>
      </c>
      <c r="AI1497" s="0" t="n">
        <v>11</v>
      </c>
      <c r="AN1497" s="0" t="s">
        <v>146</v>
      </c>
      <c r="AO1497" s="0" t="s">
        <v>151</v>
      </c>
      <c r="AP1497" s="0" t="s">
        <v>152</v>
      </c>
      <c r="AQ1497" s="0" t="n">
        <v>9</v>
      </c>
      <c r="AR1497" s="0" t="n">
        <v>64</v>
      </c>
      <c r="AS1497" s="0" t="n">
        <v>32</v>
      </c>
      <c r="AU1497" s="0" t="n">
        <f aca="false">COUNTA($BA$1193:$EH$1193)</f>
        <v>1</v>
      </c>
      <c r="AV1497" s="0" t="n">
        <f aca="false">COUNTIF($BA$1193:$EH$1193,"D")</f>
        <v>0</v>
      </c>
      <c r="AW1497" s="0" t="n">
        <f aca="false">COUNTIF($BA$1193:$EH$1193,"R")</f>
        <v>0</v>
      </c>
      <c r="AX1497" s="0" t="n">
        <f aca="false"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>6</v>
      </c>
      <c r="AY1497" s="0" t="n">
        <f aca="false">COUNTIF(DU1497:EH1497, "&lt;&gt;")</f>
        <v>2</v>
      </c>
      <c r="AZ1497" s="0" t="n">
        <f aca="false">IF(EH1497&lt;&gt;"",1,0)</f>
        <v>0</v>
      </c>
      <c r="BB1497" s="0" t="s">
        <v>153</v>
      </c>
      <c r="BC1497" s="0" t="s">
        <v>154</v>
      </c>
      <c r="BD1497" s="0" t="s">
        <v>154</v>
      </c>
      <c r="BE1497" s="0" t="s">
        <v>154</v>
      </c>
      <c r="BF1497" s="0" t="s">
        <v>154</v>
      </c>
      <c r="BH1497" s="0" t="s">
        <v>154</v>
      </c>
      <c r="BI1497" s="0" t="s">
        <v>154</v>
      </c>
      <c r="BJ1497" s="0" t="s">
        <v>154</v>
      </c>
      <c r="BK1497" s="0" t="s">
        <v>154</v>
      </c>
      <c r="BL1497" s="0" t="s">
        <v>154</v>
      </c>
      <c r="BP1497" s="0" t="s">
        <v>154</v>
      </c>
      <c r="BR1497" s="0" t="s">
        <v>154</v>
      </c>
      <c r="BS1497" s="0" t="s">
        <v>154</v>
      </c>
      <c r="BV1497" s="0" t="s">
        <v>154</v>
      </c>
      <c r="BY1497" s="0" t="s">
        <v>155</v>
      </c>
      <c r="CA1497" s="0" t="s">
        <v>154</v>
      </c>
      <c r="CG1497" s="0" t="s">
        <v>154</v>
      </c>
      <c r="CH1497" s="0" t="s">
        <v>155</v>
      </c>
      <c r="CK1497" s="0" t="s">
        <v>154</v>
      </c>
      <c r="CL1497" s="0" t="s">
        <v>155</v>
      </c>
      <c r="CN1497" s="0" t="s">
        <v>154</v>
      </c>
      <c r="CO1497" s="0" t="s">
        <v>155</v>
      </c>
      <c r="CP1497" s="0" t="s">
        <v>154</v>
      </c>
      <c r="CQ1497" s="0" t="s">
        <v>155</v>
      </c>
      <c r="CT1497" s="0" t="s">
        <v>154</v>
      </c>
      <c r="CU1497" s="0" t="s">
        <v>155</v>
      </c>
      <c r="CV1497" s="0" t="s">
        <v>154</v>
      </c>
      <c r="CW1497" s="0" t="s">
        <v>155</v>
      </c>
      <c r="CY1497" s="0" t="s">
        <v>154</v>
      </c>
      <c r="CZ1497" s="0" t="s">
        <v>155</v>
      </c>
      <c r="DC1497" s="0" t="s">
        <v>154</v>
      </c>
      <c r="DD1497" s="0" t="s">
        <v>155</v>
      </c>
      <c r="DF1497" s="0" t="s">
        <v>154</v>
      </c>
      <c r="DG1497" s="0" t="s">
        <v>155</v>
      </c>
      <c r="DI1497" s="0" t="s">
        <v>154</v>
      </c>
      <c r="DJ1497" s="0" t="s">
        <v>155</v>
      </c>
      <c r="DM1497" s="0" t="s">
        <v>155</v>
      </c>
      <c r="DN1497" s="0" t="s">
        <v>154</v>
      </c>
      <c r="DO1497" s="0" t="s">
        <v>155</v>
      </c>
      <c r="DR1497" s="0" t="s">
        <v>154</v>
      </c>
      <c r="DU1497" s="0" t="s">
        <v>154</v>
      </c>
      <c r="EF1497" s="0" t="s">
        <v>154</v>
      </c>
    </row>
    <row r="1498" customFormat="false" ht="13.8" hidden="false" customHeight="false" outlineLevel="0" collapsed="false">
      <c r="A1498" s="0" t="s">
        <v>6898</v>
      </c>
      <c r="B1498" s="0" t="n">
        <v>78</v>
      </c>
      <c r="C1498" s="0" t="n">
        <v>180824</v>
      </c>
      <c r="D1498" s="0" t="s">
        <v>6899</v>
      </c>
      <c r="E1498" s="0" t="s">
        <v>1817</v>
      </c>
      <c r="F1498" s="0" t="str">
        <f aca="false">CONCATENATE(D1498," ",LEFT(H1498,4),"T=",AU1498,"D=",AV1498,"R=",AW1498,"M=",AX1498,"L=",AY1498,"B=",AZ1498)</f>
        <v>TOOT T=2D=0R=0M=0L=3B=0</v>
      </c>
      <c r="G1498" s="0" t="s">
        <v>317</v>
      </c>
      <c r="I1498" s="0" t="s">
        <v>6900</v>
      </c>
      <c r="J1498" s="0" t="s">
        <v>6901</v>
      </c>
      <c r="K1498" s="0" t="s">
        <v>175</v>
      </c>
      <c r="L1498" s="1" t="s">
        <v>155</v>
      </c>
      <c r="M1498" s="0" t="s">
        <v>6880</v>
      </c>
      <c r="N1498" s="0" t="str">
        <f aca="false">RIGHT(M1498,LEN(M1498)-FIND(" ",M1498))</f>
        <v>MAHONING AVE NW</v>
      </c>
      <c r="O1498" s="0" t="s">
        <v>6902</v>
      </c>
      <c r="P1498" s="0" t="s">
        <v>146</v>
      </c>
      <c r="Q1498" s="0" t="s">
        <v>147</v>
      </c>
      <c r="R1498" s="0" t="n">
        <v>44483</v>
      </c>
      <c r="AD1498" s="0" t="s">
        <v>148</v>
      </c>
      <c r="AE1498" s="0" t="s">
        <v>149</v>
      </c>
      <c r="AF1498" s="0" t="s">
        <v>150</v>
      </c>
      <c r="AH1498" s="0" t="n">
        <v>14</v>
      </c>
      <c r="AI1498" s="0" t="n">
        <v>11</v>
      </c>
      <c r="AN1498" s="0" t="s">
        <v>146</v>
      </c>
      <c r="AO1498" s="0" t="s">
        <v>151</v>
      </c>
      <c r="AP1498" s="0" t="s">
        <v>152</v>
      </c>
      <c r="AQ1498" s="0" t="n">
        <v>9</v>
      </c>
      <c r="AR1498" s="0" t="n">
        <v>64</v>
      </c>
      <c r="AS1498" s="0" t="n">
        <v>32</v>
      </c>
      <c r="AU1498" s="0" t="n">
        <f aca="false">COUNTA($BA$1279:$EH$1279)</f>
        <v>2</v>
      </c>
      <c r="AV1498" s="0" t="n">
        <f aca="false">COUNTIF($BA$1279:$EH$1279,"D")</f>
        <v>0</v>
      </c>
      <c r="AW1498" s="0" t="n">
        <f aca="false">COUNTIF($BA$1279:$EH$1279,"R")</f>
        <v>0</v>
      </c>
      <c r="AX1498" s="0" t="n">
        <f aca="false"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>0</v>
      </c>
      <c r="AY1498" s="0" t="n">
        <f aca="false">COUNTIF(DU1498:EH1498, "&lt;&gt;")</f>
        <v>3</v>
      </c>
      <c r="AZ1498" s="0" t="n">
        <f aca="false">IF(EH1498&lt;&gt;"",1,0)</f>
        <v>0</v>
      </c>
      <c r="BB1498" s="0" t="s">
        <v>153</v>
      </c>
      <c r="BD1498" s="0" t="s">
        <v>154</v>
      </c>
      <c r="BH1498" s="0" t="s">
        <v>154</v>
      </c>
      <c r="BL1498" s="0" t="s">
        <v>154</v>
      </c>
      <c r="BP1498" s="0" t="s">
        <v>154</v>
      </c>
      <c r="BS1498" s="0" t="s">
        <v>154</v>
      </c>
      <c r="BV1498" s="0" t="s">
        <v>154</v>
      </c>
      <c r="BY1498" s="0" t="s">
        <v>155</v>
      </c>
      <c r="CA1498" s="0" t="s">
        <v>154</v>
      </c>
      <c r="CG1498" s="0" t="s">
        <v>154</v>
      </c>
      <c r="CH1498" s="0" t="s">
        <v>155</v>
      </c>
      <c r="CK1498" s="0" t="s">
        <v>154</v>
      </c>
      <c r="CN1498" s="0" t="s">
        <v>154</v>
      </c>
      <c r="CP1498" s="0" t="s">
        <v>154</v>
      </c>
      <c r="CQ1498" s="0" t="s">
        <v>154</v>
      </c>
      <c r="CU1498" s="0" t="s">
        <v>155</v>
      </c>
      <c r="CV1498" s="0" t="s">
        <v>154</v>
      </c>
      <c r="DC1498" s="0" t="s">
        <v>154</v>
      </c>
      <c r="DN1498" s="0" t="s">
        <v>154</v>
      </c>
      <c r="DU1498" s="0" t="s">
        <v>154</v>
      </c>
      <c r="ED1498" s="0" t="s">
        <v>155</v>
      </c>
      <c r="EF1498" s="0" t="s">
        <v>154</v>
      </c>
    </row>
    <row r="1499" customFormat="false" ht="13.8" hidden="true" customHeight="false" outlineLevel="0" collapsed="false">
      <c r="A1499" s="0" t="s">
        <v>6903</v>
      </c>
      <c r="B1499" s="0" t="n">
        <v>78</v>
      </c>
      <c r="C1499" s="0" t="n">
        <v>83363</v>
      </c>
      <c r="D1499" s="0" t="s">
        <v>856</v>
      </c>
      <c r="E1499" s="0" t="s">
        <v>4965</v>
      </c>
      <c r="F1499" s="0" t="str">
        <f aca="false">CONCATENATE(D1499," ",LEFT(H1499,4),"T=",AU1499,"D=",AV1499,"R=",AW1499,"M=",AX1499,"L=",AY1499,"B=",AZ1499)</f>
        <v>JONES T=5D=0R=0M=0L=0B=0</v>
      </c>
      <c r="G1499" s="0" t="s">
        <v>297</v>
      </c>
      <c r="I1499" s="0" t="s">
        <v>6904</v>
      </c>
      <c r="J1499" s="0" t="s">
        <v>1866</v>
      </c>
      <c r="K1499" s="0" t="s">
        <v>144</v>
      </c>
      <c r="L1499" s="0"/>
      <c r="M1499" s="0" t="s">
        <v>6880</v>
      </c>
      <c r="N1499" s="0" t="str">
        <f aca="false">RIGHT(M1499,LEN(M1499)-FIND(" ",M1499))</f>
        <v>MAHONING AVE NW</v>
      </c>
      <c r="O1499" s="0" t="s">
        <v>6905</v>
      </c>
      <c r="P1499" s="0" t="s">
        <v>146</v>
      </c>
      <c r="Q1499" s="0" t="s">
        <v>147</v>
      </c>
      <c r="R1499" s="0" t="n">
        <v>44483</v>
      </c>
      <c r="AD1499" s="0" t="s">
        <v>148</v>
      </c>
      <c r="AE1499" s="0" t="s">
        <v>149</v>
      </c>
      <c r="AF1499" s="0" t="s">
        <v>150</v>
      </c>
      <c r="AH1499" s="0" t="n">
        <v>14</v>
      </c>
      <c r="AI1499" s="0" t="n">
        <v>11</v>
      </c>
      <c r="AN1499" s="0" t="s">
        <v>146</v>
      </c>
      <c r="AO1499" s="0" t="s">
        <v>151</v>
      </c>
      <c r="AP1499" s="0" t="s">
        <v>152</v>
      </c>
      <c r="AQ1499" s="0" t="n">
        <v>9</v>
      </c>
      <c r="AR1499" s="0" t="n">
        <v>64</v>
      </c>
      <c r="AS1499" s="0" t="n">
        <v>32</v>
      </c>
      <c r="AU1499" s="0" t="n">
        <f aca="false">COUNTA($BA$1346:$EH$1346)</f>
        <v>5</v>
      </c>
      <c r="AV1499" s="0" t="n">
        <f aca="false">COUNTIF($BA$1346:$EH$1346,"D")</f>
        <v>0</v>
      </c>
      <c r="AW1499" s="0" t="n">
        <f aca="false">COUNTIF($BA$1346:$EH$1346,"R")</f>
        <v>0</v>
      </c>
      <c r="AX1499" s="0" t="n">
        <f aca="false"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>0</v>
      </c>
      <c r="AY1499" s="0" t="n">
        <f aca="false">COUNTIF(DU1499:EH1499, "&lt;&gt;")</f>
        <v>0</v>
      </c>
      <c r="AZ1499" s="0" t="n">
        <f aca="false">IF(EH1499&lt;&gt;"",1,0)</f>
        <v>0</v>
      </c>
      <c r="BB1499" s="0" t="s">
        <v>153</v>
      </c>
      <c r="BC1499" s="0" t="s">
        <v>154</v>
      </c>
      <c r="BD1499" s="0" t="s">
        <v>154</v>
      </c>
      <c r="BH1499" s="0" t="s">
        <v>154</v>
      </c>
      <c r="BJ1499" s="0" t="s">
        <v>154</v>
      </c>
      <c r="BL1499" s="0" t="s">
        <v>154</v>
      </c>
      <c r="BP1499" s="0" t="s">
        <v>154</v>
      </c>
      <c r="BR1499" s="0" t="s">
        <v>154</v>
      </c>
      <c r="CA1499" s="0" t="s">
        <v>154</v>
      </c>
      <c r="CK1499" s="0" t="s">
        <v>154</v>
      </c>
      <c r="DM1499" s="0" t="s">
        <v>176</v>
      </c>
    </row>
    <row r="1500" customFormat="false" ht="13.8" hidden="true" customHeight="false" outlineLevel="0" collapsed="false">
      <c r="A1500" s="0" t="s">
        <v>6906</v>
      </c>
      <c r="B1500" s="0" t="n">
        <v>78</v>
      </c>
      <c r="C1500" s="0" t="n">
        <v>402498</v>
      </c>
      <c r="D1500" s="0" t="s">
        <v>6907</v>
      </c>
      <c r="E1500" s="0" t="s">
        <v>6908</v>
      </c>
      <c r="F1500" s="0" t="str">
        <f aca="false">CONCATENATE(D1500," ",LEFT(H1500,4),"T=",AU1500,"D=",AV1500,"R=",AW1500,"M=",AX1500,"L=",AY1500,"B=",AZ1500)</f>
        <v>ROMANOVA T=1D=0R=0M=0L=0B=0</v>
      </c>
      <c r="G1500" s="0" t="s">
        <v>216</v>
      </c>
      <c r="I1500" s="0" t="s">
        <v>6909</v>
      </c>
      <c r="J1500" s="0" t="s">
        <v>1866</v>
      </c>
      <c r="K1500" s="0" t="s">
        <v>144</v>
      </c>
      <c r="L1500" s="0"/>
      <c r="M1500" s="0" t="s">
        <v>6880</v>
      </c>
      <c r="N1500" s="0" t="str">
        <f aca="false">RIGHT(M1500,LEN(M1500)-FIND(" ",M1500))</f>
        <v>MAHONING AVE NW</v>
      </c>
      <c r="O1500" s="0" t="s">
        <v>6910</v>
      </c>
      <c r="P1500" s="0" t="s">
        <v>146</v>
      </c>
      <c r="Q1500" s="0" t="s">
        <v>147</v>
      </c>
      <c r="R1500" s="0" t="n">
        <v>44483</v>
      </c>
      <c r="AD1500" s="0" t="s">
        <v>148</v>
      </c>
      <c r="AE1500" s="0" t="s">
        <v>149</v>
      </c>
      <c r="AF1500" s="0" t="s">
        <v>150</v>
      </c>
      <c r="AH1500" s="0" t="n">
        <v>14</v>
      </c>
      <c r="AI1500" s="0" t="n">
        <v>11</v>
      </c>
      <c r="AN1500" s="0" t="s">
        <v>146</v>
      </c>
      <c r="AO1500" s="0" t="s">
        <v>151</v>
      </c>
      <c r="AP1500" s="0" t="s">
        <v>152</v>
      </c>
      <c r="AQ1500" s="0" t="n">
        <v>9</v>
      </c>
      <c r="AR1500" s="0" t="n">
        <v>64</v>
      </c>
      <c r="AS1500" s="0" t="n">
        <v>32</v>
      </c>
      <c r="AU1500" s="0" t="n">
        <f aca="false">COUNTA($BA$1348:$EH$1348)</f>
        <v>1</v>
      </c>
      <c r="AV1500" s="0" t="n">
        <f aca="false">COUNTIF($BA$1348:$EH$1348,"D")</f>
        <v>0</v>
      </c>
      <c r="AW1500" s="0" t="n">
        <f aca="false">COUNTIF($BA$1348:$EH$1348,"R")</f>
        <v>0</v>
      </c>
      <c r="AX1500" s="0" t="n">
        <f aca="false"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>0</v>
      </c>
      <c r="AY1500" s="0" t="n">
        <f aca="false">COUNTIF(DU1500:EH1500, "&lt;&gt;")</f>
        <v>0</v>
      </c>
      <c r="AZ1500" s="0" t="n">
        <f aca="false">IF(EH1500&lt;&gt;"",1,0)</f>
        <v>0</v>
      </c>
      <c r="BB1500" s="0" t="s">
        <v>153</v>
      </c>
      <c r="CV1500" s="0" t="s">
        <v>154</v>
      </c>
      <c r="DI1500" s="0" t="s">
        <v>154</v>
      </c>
    </row>
    <row r="1501" customFormat="false" ht="13.8" hidden="true" customHeight="false" outlineLevel="0" collapsed="false">
      <c r="A1501" s="0" t="s">
        <v>6911</v>
      </c>
      <c r="B1501" s="0" t="n">
        <v>78</v>
      </c>
      <c r="C1501" s="0" t="n">
        <v>490165</v>
      </c>
      <c r="D1501" s="0" t="s">
        <v>6912</v>
      </c>
      <c r="E1501" s="0" t="s">
        <v>6851</v>
      </c>
      <c r="F1501" s="0" t="str">
        <f aca="false">CONCATENATE(D1501," ",LEFT(H1501,4),"T=",AU1501,"D=",AV1501,"R=",AW1501,"M=",AX1501,"L=",AY1501,"B=",AZ1501)</f>
        <v>MERCER T=4D=0R=0M=0L=1B=0</v>
      </c>
      <c r="G1501" s="0" t="s">
        <v>365</v>
      </c>
      <c r="I1501" s="0" t="s">
        <v>6913</v>
      </c>
      <c r="J1501" s="0" t="s">
        <v>4185</v>
      </c>
      <c r="K1501" s="0" t="s">
        <v>175</v>
      </c>
      <c r="L1501" s="0"/>
      <c r="M1501" s="0" t="s">
        <v>6880</v>
      </c>
      <c r="N1501" s="0" t="str">
        <f aca="false">RIGHT(M1501,LEN(M1501)-FIND(" ",M1501))</f>
        <v>MAHONING AVE NW</v>
      </c>
      <c r="O1501" s="0" t="s">
        <v>6914</v>
      </c>
      <c r="P1501" s="0" t="s">
        <v>146</v>
      </c>
      <c r="Q1501" s="0" t="s">
        <v>147</v>
      </c>
      <c r="R1501" s="0" t="n">
        <v>44483</v>
      </c>
      <c r="AD1501" s="0" t="s">
        <v>148</v>
      </c>
      <c r="AE1501" s="0" t="s">
        <v>149</v>
      </c>
      <c r="AF1501" s="0" t="s">
        <v>150</v>
      </c>
      <c r="AH1501" s="0" t="n">
        <v>14</v>
      </c>
      <c r="AI1501" s="0" t="n">
        <v>11</v>
      </c>
      <c r="AN1501" s="0" t="s">
        <v>146</v>
      </c>
      <c r="AO1501" s="0" t="s">
        <v>151</v>
      </c>
      <c r="AP1501" s="0" t="s">
        <v>152</v>
      </c>
      <c r="AQ1501" s="0" t="n">
        <v>9</v>
      </c>
      <c r="AR1501" s="0" t="n">
        <v>64</v>
      </c>
      <c r="AS1501" s="0" t="n">
        <v>32</v>
      </c>
      <c r="AU1501" s="0" t="n">
        <f aca="false">COUNTA($BA$1422:$EH$1422)</f>
        <v>4</v>
      </c>
      <c r="AV1501" s="0" t="n">
        <f aca="false">COUNTIF($BA$1422:$EH$1422,"D")</f>
        <v>0</v>
      </c>
      <c r="AW1501" s="0" t="n">
        <f aca="false">COUNTIF($BA$1422:$EH$1422,"R")</f>
        <v>0</v>
      </c>
      <c r="AX1501" s="0" t="n">
        <f aca="false"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>0</v>
      </c>
      <c r="AY1501" s="0" t="n">
        <f aca="false">COUNTIF(DU1501:EH1501, "&lt;&gt;")</f>
        <v>1</v>
      </c>
      <c r="AZ1501" s="0" t="n">
        <f aca="false">IF(EH1501&lt;&gt;"",1,0)</f>
        <v>0</v>
      </c>
      <c r="BB1501" s="0" t="s">
        <v>153</v>
      </c>
      <c r="BC1501" s="0" t="s">
        <v>155</v>
      </c>
      <c r="BD1501" s="0" t="s">
        <v>154</v>
      </c>
      <c r="CA1501" s="0" t="s">
        <v>154</v>
      </c>
      <c r="CG1501" s="0" t="s">
        <v>154</v>
      </c>
      <c r="CH1501" s="0" t="s">
        <v>155</v>
      </c>
      <c r="CK1501" s="0" t="s">
        <v>154</v>
      </c>
      <c r="CN1501" s="0" t="s">
        <v>154</v>
      </c>
      <c r="CP1501" s="0" t="s">
        <v>154</v>
      </c>
      <c r="CY1501" s="0" t="s">
        <v>154</v>
      </c>
      <c r="DC1501" s="0" t="s">
        <v>154</v>
      </c>
      <c r="DN1501" s="0" t="s">
        <v>154</v>
      </c>
      <c r="EF1501" s="0" t="s">
        <v>154</v>
      </c>
    </row>
    <row r="1502" customFormat="false" ht="13.8" hidden="false" customHeight="false" outlineLevel="0" collapsed="false">
      <c r="A1502" s="0" t="s">
        <v>6915</v>
      </c>
      <c r="B1502" s="0" t="n">
        <v>78</v>
      </c>
      <c r="C1502" s="0" t="n">
        <v>80824</v>
      </c>
      <c r="D1502" s="0" t="s">
        <v>6916</v>
      </c>
      <c r="E1502" s="0" t="s">
        <v>430</v>
      </c>
      <c r="F1502" s="0" t="str">
        <f aca="false">CONCATENATE(D1502," ",LEFT(H1502,4),"T=",AU1502,"D=",AV1502,"R=",AW1502,"M=",AX1502,"L=",AY1502,"B=",AZ1502)</f>
        <v>BUSH T=2D=0R=0M=2L=5B=0</v>
      </c>
      <c r="G1502" s="0" t="s">
        <v>155</v>
      </c>
      <c r="I1502" s="0" t="s">
        <v>6917</v>
      </c>
      <c r="J1502" s="0" t="s">
        <v>6918</v>
      </c>
      <c r="K1502" s="0" t="s">
        <v>175</v>
      </c>
      <c r="L1502" s="1" t="s">
        <v>155</v>
      </c>
      <c r="M1502" s="0" t="s">
        <v>6880</v>
      </c>
      <c r="N1502" s="0" t="str">
        <f aca="false">RIGHT(M1502,LEN(M1502)-FIND(" ",M1502))</f>
        <v>MAHONING AVE NW</v>
      </c>
      <c r="O1502" s="0" t="s">
        <v>6919</v>
      </c>
      <c r="P1502" s="0" t="s">
        <v>146</v>
      </c>
      <c r="Q1502" s="0" t="s">
        <v>147</v>
      </c>
      <c r="R1502" s="0" t="n">
        <v>44483</v>
      </c>
      <c r="AD1502" s="0" t="s">
        <v>148</v>
      </c>
      <c r="AE1502" s="0" t="s">
        <v>149</v>
      </c>
      <c r="AF1502" s="0" t="s">
        <v>150</v>
      </c>
      <c r="AH1502" s="0" t="n">
        <v>14</v>
      </c>
      <c r="AI1502" s="0" t="n">
        <v>11</v>
      </c>
      <c r="AN1502" s="0" t="s">
        <v>146</v>
      </c>
      <c r="AO1502" s="0" t="s">
        <v>151</v>
      </c>
      <c r="AP1502" s="0" t="s">
        <v>152</v>
      </c>
      <c r="AQ1502" s="0" t="n">
        <v>9</v>
      </c>
      <c r="AR1502" s="0" t="n">
        <v>64</v>
      </c>
      <c r="AS1502" s="0" t="n">
        <v>32</v>
      </c>
      <c r="AU1502" s="0" t="n">
        <f aca="false">COUNTA($BA$1539:$EH$1539)</f>
        <v>2</v>
      </c>
      <c r="AV1502" s="0" t="n">
        <f aca="false">COUNTIF($BA$1539:$EH$1539,"D")</f>
        <v>0</v>
      </c>
      <c r="AW1502" s="0" t="n">
        <f aca="false">COUNTIF($BA$1539:$EH$1539,"R")</f>
        <v>0</v>
      </c>
      <c r="AX1502" s="0" t="n">
        <f aca="false"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>2</v>
      </c>
      <c r="AY1502" s="0" t="n">
        <f aca="false">COUNTIF(DU1502:EH1502, "&lt;&gt;")</f>
        <v>5</v>
      </c>
      <c r="AZ1502" s="0" t="n">
        <f aca="false">IF(EH1502&lt;&gt;"",1,0)</f>
        <v>0</v>
      </c>
      <c r="BB1502" s="0" t="s">
        <v>153</v>
      </c>
      <c r="BC1502" s="0" t="s">
        <v>154</v>
      </c>
      <c r="BD1502" s="0" t="s">
        <v>154</v>
      </c>
      <c r="BE1502" s="0" t="s">
        <v>154</v>
      </c>
      <c r="BF1502" s="0" t="s">
        <v>154</v>
      </c>
      <c r="BG1502" s="0" t="s">
        <v>154</v>
      </c>
      <c r="BH1502" s="0" t="s">
        <v>154</v>
      </c>
      <c r="BI1502" s="0" t="s">
        <v>154</v>
      </c>
      <c r="BJ1502" s="0" t="s">
        <v>154</v>
      </c>
      <c r="BK1502" s="0" t="s">
        <v>154</v>
      </c>
      <c r="BL1502" s="0" t="s">
        <v>154</v>
      </c>
      <c r="BP1502" s="0" t="s">
        <v>154</v>
      </c>
      <c r="BR1502" s="0" t="s">
        <v>154</v>
      </c>
      <c r="BS1502" s="0" t="s">
        <v>154</v>
      </c>
      <c r="BT1502" s="0" t="s">
        <v>154</v>
      </c>
      <c r="BV1502" s="0" t="s">
        <v>154</v>
      </c>
      <c r="BY1502" s="0" t="s">
        <v>176</v>
      </c>
      <c r="CA1502" s="0" t="s">
        <v>154</v>
      </c>
      <c r="CC1502" s="0" t="s">
        <v>154</v>
      </c>
      <c r="CG1502" s="0" t="s">
        <v>154</v>
      </c>
      <c r="CH1502" s="0" t="s">
        <v>176</v>
      </c>
      <c r="CK1502" s="0" t="s">
        <v>154</v>
      </c>
      <c r="CN1502" s="0" t="s">
        <v>154</v>
      </c>
      <c r="CO1502" s="0" t="s">
        <v>176</v>
      </c>
      <c r="CP1502" s="0" t="s">
        <v>154</v>
      </c>
      <c r="CT1502" s="0" t="s">
        <v>154</v>
      </c>
      <c r="CU1502" s="0" t="s">
        <v>154</v>
      </c>
      <c r="CV1502" s="0" t="s">
        <v>154</v>
      </c>
      <c r="CW1502" s="0" t="s">
        <v>155</v>
      </c>
      <c r="CY1502" s="0" t="s">
        <v>154</v>
      </c>
      <c r="CZ1502" s="0" t="s">
        <v>176</v>
      </c>
      <c r="DC1502" s="0" t="s">
        <v>154</v>
      </c>
      <c r="DF1502" s="0" t="s">
        <v>154</v>
      </c>
      <c r="DG1502" s="0" t="s">
        <v>176</v>
      </c>
      <c r="DI1502" s="0" t="s">
        <v>154</v>
      </c>
      <c r="DL1502" s="0" t="s">
        <v>154</v>
      </c>
      <c r="DM1502" s="0" t="s">
        <v>176</v>
      </c>
      <c r="DN1502" s="0" t="s">
        <v>154</v>
      </c>
      <c r="DR1502" s="0" t="s">
        <v>154</v>
      </c>
      <c r="DS1502" s="0" t="s">
        <v>176</v>
      </c>
      <c r="DU1502" s="0" t="s">
        <v>154</v>
      </c>
      <c r="DW1502" s="0" t="s">
        <v>155</v>
      </c>
      <c r="DX1502" s="0" t="s">
        <v>154</v>
      </c>
      <c r="EA1502" s="0" t="s">
        <v>154</v>
      </c>
      <c r="EF1502" s="0" t="s">
        <v>154</v>
      </c>
    </row>
    <row r="1503" customFormat="false" ht="13.8" hidden="true" customHeight="false" outlineLevel="0" collapsed="false">
      <c r="A1503" s="0" t="s">
        <v>6920</v>
      </c>
      <c r="B1503" s="0" t="n">
        <v>78</v>
      </c>
      <c r="C1503" s="0" t="n">
        <v>352896</v>
      </c>
      <c r="D1503" s="0" t="s">
        <v>6921</v>
      </c>
      <c r="E1503" s="0" t="s">
        <v>5598</v>
      </c>
      <c r="F1503" s="0" t="str">
        <f aca="false">CONCATENATE(D1503," ",LEFT(H1503,4),"T=",AU1503,"D=",AV1503,"R=",AW1503,"M=",AX1503,"L=",AY1503,"B=",AZ1503)</f>
        <v>BAER DRUMMOND T=1D=0R=0M=0L=0B=0</v>
      </c>
      <c r="G1503" s="0" t="s">
        <v>939</v>
      </c>
      <c r="I1503" s="0" t="s">
        <v>6922</v>
      </c>
      <c r="J1503" s="0" t="s">
        <v>395</v>
      </c>
      <c r="K1503" s="0" t="s">
        <v>175</v>
      </c>
      <c r="L1503" s="0"/>
      <c r="M1503" s="0" t="s">
        <v>6880</v>
      </c>
      <c r="N1503" s="0" t="str">
        <f aca="false">RIGHT(M1503,LEN(M1503)-FIND(" ",M1503))</f>
        <v>MAHONING AVE NW</v>
      </c>
      <c r="O1503" s="0" t="s">
        <v>6881</v>
      </c>
      <c r="P1503" s="0" t="s">
        <v>146</v>
      </c>
      <c r="Q1503" s="0" t="s">
        <v>147</v>
      </c>
      <c r="R1503" s="0" t="n">
        <v>44483</v>
      </c>
      <c r="AD1503" s="0" t="s">
        <v>148</v>
      </c>
      <c r="AE1503" s="0" t="s">
        <v>149</v>
      </c>
      <c r="AF1503" s="0" t="s">
        <v>150</v>
      </c>
      <c r="AH1503" s="0" t="n">
        <v>14</v>
      </c>
      <c r="AI1503" s="0" t="n">
        <v>11</v>
      </c>
      <c r="AN1503" s="0" t="s">
        <v>146</v>
      </c>
      <c r="AO1503" s="0" t="s">
        <v>151</v>
      </c>
      <c r="AP1503" s="0" t="s">
        <v>152</v>
      </c>
      <c r="AQ1503" s="0" t="n">
        <v>9</v>
      </c>
      <c r="AR1503" s="0" t="n">
        <v>64</v>
      </c>
      <c r="AS1503" s="0" t="n">
        <v>32</v>
      </c>
      <c r="AU1503" s="0" t="n">
        <f aca="false">COUNTA($BA$1582:$EH$1582)</f>
        <v>1</v>
      </c>
      <c r="AV1503" s="0" t="n">
        <f aca="false">COUNTIF($BA$1582:$EH$1582,"D")</f>
        <v>0</v>
      </c>
      <c r="AW1503" s="0" t="n">
        <f aca="false">COUNTIF($BA$1582:$EH$1582,"R")</f>
        <v>0</v>
      </c>
      <c r="AX1503" s="0" t="n">
        <f aca="false"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>0</v>
      </c>
      <c r="AY1503" s="0" t="n">
        <f aca="false">COUNTIF(DU1503:EH1503, "&lt;&gt;")</f>
        <v>0</v>
      </c>
      <c r="AZ1503" s="0" t="n">
        <f aca="false">IF(EH1503&lt;&gt;"",1,0)</f>
        <v>0</v>
      </c>
      <c r="BB1503" s="0" t="s">
        <v>153</v>
      </c>
      <c r="CG1503" s="0" t="s">
        <v>154</v>
      </c>
      <c r="CK1503" s="0" t="s">
        <v>154</v>
      </c>
      <c r="DC1503" s="0" t="s">
        <v>154</v>
      </c>
    </row>
    <row r="1504" customFormat="false" ht="13.8" hidden="true" customHeight="false" outlineLevel="0" collapsed="false">
      <c r="A1504" s="0" t="s">
        <v>6923</v>
      </c>
      <c r="B1504" s="0" t="n">
        <v>78</v>
      </c>
      <c r="C1504" s="0" t="n">
        <v>7528</v>
      </c>
      <c r="D1504" s="0" t="s">
        <v>6924</v>
      </c>
      <c r="E1504" s="0" t="s">
        <v>938</v>
      </c>
      <c r="F1504" s="0" t="str">
        <f aca="false">CONCATENATE(D1504," ",LEFT(H1504,4),"T=",AU1504,"D=",AV1504,"R=",AW1504,"M=",AX1504,"L=",AY1504,"B=",AZ1504)</f>
        <v>VERBOSKY T=5D=1R=0M=1L=0B=0</v>
      </c>
      <c r="G1504" s="0" t="s">
        <v>222</v>
      </c>
      <c r="I1504" s="0" t="s">
        <v>6925</v>
      </c>
      <c r="J1504" s="0" t="s">
        <v>6926</v>
      </c>
      <c r="K1504" s="0" t="s">
        <v>144</v>
      </c>
      <c r="L1504" s="0"/>
      <c r="M1504" s="0" t="s">
        <v>6880</v>
      </c>
      <c r="N1504" s="0" t="str">
        <f aca="false">RIGHT(M1504,LEN(M1504)-FIND(" ",M1504))</f>
        <v>MAHONING AVE NW</v>
      </c>
      <c r="O1504" s="0" t="s">
        <v>6927</v>
      </c>
      <c r="P1504" s="0" t="s">
        <v>146</v>
      </c>
      <c r="Q1504" s="0" t="s">
        <v>147</v>
      </c>
      <c r="R1504" s="0" t="n">
        <v>44483</v>
      </c>
      <c r="AD1504" s="0" t="s">
        <v>148</v>
      </c>
      <c r="AE1504" s="0" t="s">
        <v>149</v>
      </c>
      <c r="AF1504" s="0" t="s">
        <v>150</v>
      </c>
      <c r="AH1504" s="0" t="n">
        <v>14</v>
      </c>
      <c r="AI1504" s="0" t="n">
        <v>11</v>
      </c>
      <c r="AN1504" s="0" t="s">
        <v>146</v>
      </c>
      <c r="AO1504" s="0" t="s">
        <v>151</v>
      </c>
      <c r="AP1504" s="0" t="s">
        <v>152</v>
      </c>
      <c r="AQ1504" s="0" t="n">
        <v>9</v>
      </c>
      <c r="AR1504" s="0" t="n">
        <v>64</v>
      </c>
      <c r="AS1504" s="0" t="n">
        <v>32</v>
      </c>
      <c r="AU1504" s="0" t="n">
        <f aca="false">COUNTA($BA$1639:$EH$1639)</f>
        <v>5</v>
      </c>
      <c r="AV1504" s="0" t="n">
        <f aca="false">COUNTIF($BA$1639:$EH$1639,"D")</f>
        <v>1</v>
      </c>
      <c r="AW1504" s="0" t="n">
        <f aca="false">COUNTIF($BA$1639:$EH$1639,"R")</f>
        <v>0</v>
      </c>
      <c r="AX1504" s="0" t="n">
        <f aca="false"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>1</v>
      </c>
      <c r="AY1504" s="0" t="n">
        <f aca="false">COUNTIF(DU1504:EH1504, "&lt;&gt;")</f>
        <v>0</v>
      </c>
      <c r="AZ1504" s="0" t="n">
        <f aca="false">IF(EH1504&lt;&gt;"",1,0)</f>
        <v>0</v>
      </c>
      <c r="BB1504" s="0" t="s">
        <v>153</v>
      </c>
      <c r="BC1504" s="0" t="s">
        <v>154</v>
      </c>
      <c r="BD1504" s="0" t="s">
        <v>154</v>
      </c>
      <c r="BH1504" s="0" t="s">
        <v>154</v>
      </c>
      <c r="BI1504" s="0" t="s">
        <v>154</v>
      </c>
      <c r="BJ1504" s="0" t="s">
        <v>154</v>
      </c>
      <c r="BK1504" s="0" t="s">
        <v>154</v>
      </c>
      <c r="BL1504" s="0" t="s">
        <v>154</v>
      </c>
      <c r="BP1504" s="0" t="s">
        <v>154</v>
      </c>
      <c r="BS1504" s="0" t="s">
        <v>154</v>
      </c>
      <c r="BY1504" s="0" t="s">
        <v>155</v>
      </c>
      <c r="CA1504" s="0" t="s">
        <v>154</v>
      </c>
      <c r="CN1504" s="0" t="s">
        <v>154</v>
      </c>
      <c r="CP1504" s="0" t="s">
        <v>154</v>
      </c>
      <c r="DG1504" s="0" t="s">
        <v>155</v>
      </c>
      <c r="DM1504" s="0" t="s">
        <v>155</v>
      </c>
      <c r="DO1504" s="0" t="s">
        <v>155</v>
      </c>
      <c r="DR1504" s="0" t="s">
        <v>154</v>
      </c>
    </row>
    <row r="1505" customFormat="false" ht="13.8" hidden="true" customHeight="false" outlineLevel="0" collapsed="false">
      <c r="A1505" s="0" t="s">
        <v>6928</v>
      </c>
      <c r="B1505" s="0" t="n">
        <v>78</v>
      </c>
      <c r="C1505" s="0" t="n">
        <v>70483</v>
      </c>
      <c r="D1505" s="0" t="s">
        <v>6561</v>
      </c>
      <c r="E1505" s="0" t="s">
        <v>5258</v>
      </c>
      <c r="F1505" s="0" t="str">
        <f aca="false">CONCATENATE(D1505," ",LEFT(H1505,4),"T=",AU1505,"D=",AV1505,"R=",AW1505,"M=",AX1505,"L=",AY1505,"B=",AZ1505)</f>
        <v>DRUMMOND T=2D=0R=0M=0L=0B=0</v>
      </c>
      <c r="G1505" s="0" t="s">
        <v>365</v>
      </c>
      <c r="I1505" s="0" t="s">
        <v>6929</v>
      </c>
      <c r="J1505" s="0" t="s">
        <v>3964</v>
      </c>
      <c r="K1505" s="0" t="s">
        <v>175</v>
      </c>
      <c r="L1505" s="0"/>
      <c r="M1505" s="0" t="s">
        <v>6880</v>
      </c>
      <c r="N1505" s="0" t="str">
        <f aca="false">RIGHT(M1505,LEN(M1505)-FIND(" ",M1505))</f>
        <v>MAHONING AVE NW</v>
      </c>
      <c r="O1505" s="0" t="s">
        <v>6881</v>
      </c>
      <c r="P1505" s="0" t="s">
        <v>146</v>
      </c>
      <c r="Q1505" s="0" t="s">
        <v>147</v>
      </c>
      <c r="R1505" s="0" t="n">
        <v>44483</v>
      </c>
      <c r="AD1505" s="0" t="s">
        <v>148</v>
      </c>
      <c r="AE1505" s="0" t="s">
        <v>149</v>
      </c>
      <c r="AF1505" s="0" t="s">
        <v>150</v>
      </c>
      <c r="AH1505" s="0" t="n">
        <v>14</v>
      </c>
      <c r="AI1505" s="0" t="n">
        <v>11</v>
      </c>
      <c r="AN1505" s="0" t="s">
        <v>146</v>
      </c>
      <c r="AO1505" s="0" t="s">
        <v>151</v>
      </c>
      <c r="AP1505" s="0" t="s">
        <v>152</v>
      </c>
      <c r="AQ1505" s="0" t="n">
        <v>9</v>
      </c>
      <c r="AR1505" s="0" t="n">
        <v>64</v>
      </c>
      <c r="AS1505" s="0" t="n">
        <v>32</v>
      </c>
      <c r="AU1505" s="0" t="n">
        <f aca="false">COUNTA($BA$1654:$EH$1654)</f>
        <v>2</v>
      </c>
      <c r="AV1505" s="0" t="n">
        <f aca="false">COUNTIF($BA$1654:$EH$1654,"D")</f>
        <v>0</v>
      </c>
      <c r="AW1505" s="0" t="n">
        <f aca="false">COUNTIF($BA$1654:$EH$1654,"R")</f>
        <v>0</v>
      </c>
      <c r="AX1505" s="0" t="n">
        <f aca="false"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>0</v>
      </c>
      <c r="AY1505" s="0" t="n">
        <f aca="false">COUNTIF(DU1505:EH1505, "&lt;&gt;")</f>
        <v>0</v>
      </c>
      <c r="AZ1505" s="0" t="n">
        <f aca="false">IF(EH1505&lt;&gt;"",1,0)</f>
        <v>0</v>
      </c>
      <c r="BB1505" s="0" t="s">
        <v>153</v>
      </c>
      <c r="BD1505" s="0" t="s">
        <v>154</v>
      </c>
      <c r="BH1505" s="0" t="s">
        <v>154</v>
      </c>
      <c r="BJ1505" s="0" t="s">
        <v>154</v>
      </c>
      <c r="BK1505" s="0" t="s">
        <v>154</v>
      </c>
      <c r="BL1505" s="0" t="s">
        <v>154</v>
      </c>
      <c r="BS1505" s="0" t="s">
        <v>154</v>
      </c>
      <c r="BY1505" s="0" t="s">
        <v>155</v>
      </c>
      <c r="DC1505" s="0" t="s">
        <v>154</v>
      </c>
    </row>
    <row r="1506" customFormat="false" ht="13.8" hidden="false" customHeight="false" outlineLevel="0" collapsed="false">
      <c r="A1506" s="0" t="s">
        <v>6930</v>
      </c>
      <c r="B1506" s="0" t="n">
        <v>78</v>
      </c>
      <c r="C1506" s="0" t="n">
        <v>257264</v>
      </c>
      <c r="D1506" s="0" t="s">
        <v>6931</v>
      </c>
      <c r="E1506" s="0" t="s">
        <v>6932</v>
      </c>
      <c r="F1506" s="0" t="str">
        <f aca="false">CONCATENATE(D1506," ",LEFT(H1506,4),"T=",AU1506,"D=",AV1506,"R=",AW1506,"M=",AX1506,"L=",AY1506,"B=",AZ1506)</f>
        <v>COOK T=23D=4R=0M=1L=6B=0</v>
      </c>
      <c r="G1506" s="0" t="s">
        <v>241</v>
      </c>
      <c r="I1506" s="0" t="s">
        <v>6933</v>
      </c>
      <c r="J1506" s="0" t="s">
        <v>451</v>
      </c>
      <c r="K1506" s="0" t="s">
        <v>175</v>
      </c>
      <c r="L1506" s="1" t="s">
        <v>155</v>
      </c>
      <c r="M1506" s="0" t="s">
        <v>6880</v>
      </c>
      <c r="N1506" s="0" t="str">
        <f aca="false">RIGHT(M1506,LEN(M1506)-FIND(" ",M1506))</f>
        <v>MAHONING AVE NW</v>
      </c>
      <c r="O1506" s="0" t="s">
        <v>6934</v>
      </c>
      <c r="P1506" s="0" t="s">
        <v>146</v>
      </c>
      <c r="Q1506" s="0" t="s">
        <v>147</v>
      </c>
      <c r="R1506" s="0" t="n">
        <v>44483</v>
      </c>
      <c r="AD1506" s="0" t="s">
        <v>148</v>
      </c>
      <c r="AE1506" s="0" t="s">
        <v>149</v>
      </c>
      <c r="AF1506" s="0" t="s">
        <v>150</v>
      </c>
      <c r="AH1506" s="0" t="n">
        <v>14</v>
      </c>
      <c r="AI1506" s="0" t="n">
        <v>11</v>
      </c>
      <c r="AN1506" s="0" t="s">
        <v>146</v>
      </c>
      <c r="AO1506" s="0" t="s">
        <v>151</v>
      </c>
      <c r="AP1506" s="0" t="s">
        <v>152</v>
      </c>
      <c r="AQ1506" s="0" t="n">
        <v>9</v>
      </c>
      <c r="AR1506" s="0" t="n">
        <v>64</v>
      </c>
      <c r="AS1506" s="0" t="n">
        <v>32</v>
      </c>
      <c r="AU1506" s="0" t="n">
        <f aca="false">COUNTA($BA$1694:$EH$1694)</f>
        <v>23</v>
      </c>
      <c r="AV1506" s="0" t="n">
        <f aca="false">COUNTIF($BA$1694:$EH$1694,"D")</f>
        <v>4</v>
      </c>
      <c r="AW1506" s="0" t="n">
        <f aca="false">COUNTIF($BA$1694:$EH$1694,"R")</f>
        <v>0</v>
      </c>
      <c r="AX1506" s="0" t="n">
        <f aca="false"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>1</v>
      </c>
      <c r="AY1506" s="0" t="n">
        <f aca="false">COUNTIF(DU1506:EH1506, "&lt;&gt;")</f>
        <v>6</v>
      </c>
      <c r="AZ1506" s="0" t="n">
        <f aca="false">IF(EH1506&lt;&gt;"",1,0)</f>
        <v>0</v>
      </c>
      <c r="BB1506" s="0" t="s">
        <v>153</v>
      </c>
      <c r="BC1506" s="0" t="s">
        <v>154</v>
      </c>
      <c r="BD1506" s="0" t="s">
        <v>154</v>
      </c>
      <c r="BF1506" s="0" t="s">
        <v>154</v>
      </c>
      <c r="BG1506" s="0" t="s">
        <v>154</v>
      </c>
      <c r="BH1506" s="0" t="s">
        <v>154</v>
      </c>
      <c r="BJ1506" s="0" t="s">
        <v>154</v>
      </c>
      <c r="BK1506" s="0" t="s">
        <v>154</v>
      </c>
      <c r="BL1506" s="0" t="s">
        <v>154</v>
      </c>
      <c r="BP1506" s="0" t="s">
        <v>154</v>
      </c>
      <c r="BR1506" s="0" t="s">
        <v>154</v>
      </c>
      <c r="BS1506" s="0" t="s">
        <v>154</v>
      </c>
      <c r="BV1506" s="0" t="s">
        <v>154</v>
      </c>
      <c r="BY1506" s="0" t="s">
        <v>155</v>
      </c>
      <c r="CA1506" s="0" t="s">
        <v>154</v>
      </c>
      <c r="CG1506" s="0" t="s">
        <v>154</v>
      </c>
      <c r="CH1506" s="0" t="s">
        <v>155</v>
      </c>
      <c r="CK1506" s="0" t="s">
        <v>154</v>
      </c>
      <c r="CN1506" s="0" t="s">
        <v>154</v>
      </c>
      <c r="CO1506" s="0" t="s">
        <v>155</v>
      </c>
      <c r="CP1506" s="0" t="s">
        <v>154</v>
      </c>
      <c r="CV1506" s="0" t="s">
        <v>154</v>
      </c>
      <c r="CY1506" s="0" t="s">
        <v>154</v>
      </c>
      <c r="CZ1506" s="0" t="s">
        <v>155</v>
      </c>
      <c r="DC1506" s="0" t="s">
        <v>154</v>
      </c>
      <c r="DI1506" s="0" t="s">
        <v>154</v>
      </c>
      <c r="DN1506" s="0" t="s">
        <v>154</v>
      </c>
      <c r="DR1506" s="0" t="s">
        <v>154</v>
      </c>
      <c r="DS1506" s="0" t="s">
        <v>155</v>
      </c>
      <c r="DU1506" s="0" t="s">
        <v>154</v>
      </c>
      <c r="DW1506" s="0" t="s">
        <v>155</v>
      </c>
      <c r="DX1506" s="0" t="s">
        <v>154</v>
      </c>
      <c r="EA1506" s="0" t="s">
        <v>154</v>
      </c>
      <c r="ED1506" s="0" t="s">
        <v>155</v>
      </c>
      <c r="EF1506" s="0" t="s">
        <v>154</v>
      </c>
    </row>
    <row r="1507" customFormat="false" ht="13.8" hidden="false" customHeight="false" outlineLevel="0" collapsed="false">
      <c r="A1507" s="0" t="s">
        <v>6935</v>
      </c>
      <c r="B1507" s="0" t="n">
        <v>78</v>
      </c>
      <c r="C1507" s="0" t="n">
        <v>171031</v>
      </c>
      <c r="D1507" s="0" t="s">
        <v>1050</v>
      </c>
      <c r="E1507" s="0" t="s">
        <v>2236</v>
      </c>
      <c r="F1507" s="0" t="str">
        <f aca="false">CONCATENATE(D1507," ",LEFT(H1507,4),"T=",AU1507,"D=",AV1507,"R=",AW1507,"M=",AX1507,"L=",AY1507,"B=",AZ1507)</f>
        <v>JOHNSON T=1D=0R=0M=6L=6B=0</v>
      </c>
      <c r="G1507" s="0" t="s">
        <v>222</v>
      </c>
      <c r="I1507" s="0" t="s">
        <v>6936</v>
      </c>
      <c r="J1507" s="0" t="s">
        <v>6937</v>
      </c>
      <c r="K1507" s="0" t="s">
        <v>175</v>
      </c>
      <c r="L1507" s="1" t="s">
        <v>155</v>
      </c>
      <c r="M1507" s="0" t="s">
        <v>6880</v>
      </c>
      <c r="N1507" s="0" t="str">
        <f aca="false">RIGHT(M1507,LEN(M1507)-FIND(" ",M1507))</f>
        <v>MAHONING AVE NW</v>
      </c>
      <c r="O1507" s="0" t="s">
        <v>6938</v>
      </c>
      <c r="P1507" s="0" t="s">
        <v>146</v>
      </c>
      <c r="Q1507" s="0" t="s">
        <v>147</v>
      </c>
      <c r="R1507" s="0" t="n">
        <v>44483</v>
      </c>
      <c r="AD1507" s="0" t="s">
        <v>148</v>
      </c>
      <c r="AE1507" s="0" t="s">
        <v>149</v>
      </c>
      <c r="AF1507" s="0" t="s">
        <v>150</v>
      </c>
      <c r="AH1507" s="0" t="n">
        <v>14</v>
      </c>
      <c r="AI1507" s="0" t="n">
        <v>11</v>
      </c>
      <c r="AN1507" s="0" t="s">
        <v>146</v>
      </c>
      <c r="AO1507" s="0" t="s">
        <v>151</v>
      </c>
      <c r="AP1507" s="0" t="s">
        <v>152</v>
      </c>
      <c r="AQ1507" s="0" t="n">
        <v>9</v>
      </c>
      <c r="AR1507" s="0" t="n">
        <v>64</v>
      </c>
      <c r="AS1507" s="0" t="n">
        <v>32</v>
      </c>
      <c r="AU1507" s="0" t="n">
        <f aca="false">COUNTA($BA$1695:$EH$1695)</f>
        <v>1</v>
      </c>
      <c r="AV1507" s="0" t="n">
        <f aca="false">COUNTIF($BA$1695:$EH$1695,"D")</f>
        <v>0</v>
      </c>
      <c r="AW1507" s="0" t="n">
        <f aca="false">COUNTIF($BA$1695:$EH$1695,"R")</f>
        <v>0</v>
      </c>
      <c r="AX1507" s="0" t="n">
        <f aca="false"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>6</v>
      </c>
      <c r="AY1507" s="0" t="n">
        <f aca="false">COUNTIF(DU1507:EH1507, "&lt;&gt;")</f>
        <v>6</v>
      </c>
      <c r="AZ1507" s="0" t="n">
        <f aca="false">IF(EH1507&lt;&gt;"",1,0)</f>
        <v>0</v>
      </c>
      <c r="BB1507" s="0" t="s">
        <v>153</v>
      </c>
      <c r="BC1507" s="0" t="s">
        <v>154</v>
      </c>
      <c r="BD1507" s="0" t="s">
        <v>154</v>
      </c>
      <c r="BE1507" s="0" t="s">
        <v>154</v>
      </c>
      <c r="BF1507" s="0" t="s">
        <v>154</v>
      </c>
      <c r="BG1507" s="0" t="s">
        <v>154</v>
      </c>
      <c r="BH1507" s="0" t="s">
        <v>154</v>
      </c>
      <c r="BI1507" s="0" t="s">
        <v>154</v>
      </c>
      <c r="BJ1507" s="0" t="s">
        <v>154</v>
      </c>
      <c r="BK1507" s="0" t="s">
        <v>154</v>
      </c>
      <c r="BL1507" s="0" t="s">
        <v>154</v>
      </c>
      <c r="BP1507" s="0" t="s">
        <v>154</v>
      </c>
      <c r="BR1507" s="0" t="s">
        <v>154</v>
      </c>
      <c r="BS1507" s="0" t="s">
        <v>154</v>
      </c>
      <c r="BT1507" s="0" t="s">
        <v>154</v>
      </c>
      <c r="BY1507" s="0" t="s">
        <v>155</v>
      </c>
      <c r="CA1507" s="0" t="s">
        <v>154</v>
      </c>
      <c r="CG1507" s="0" t="s">
        <v>154</v>
      </c>
      <c r="CH1507" s="0" t="s">
        <v>155</v>
      </c>
      <c r="CK1507" s="0" t="s">
        <v>154</v>
      </c>
      <c r="CL1507" s="0" t="s">
        <v>155</v>
      </c>
      <c r="CN1507" s="0" t="s">
        <v>154</v>
      </c>
      <c r="CO1507" s="0" t="s">
        <v>155</v>
      </c>
      <c r="CP1507" s="0" t="s">
        <v>154</v>
      </c>
      <c r="CQ1507" s="0" t="s">
        <v>155</v>
      </c>
      <c r="CT1507" s="0" t="s">
        <v>154</v>
      </c>
      <c r="CU1507" s="0" t="s">
        <v>155</v>
      </c>
      <c r="CV1507" s="0" t="s">
        <v>154</v>
      </c>
      <c r="CW1507" s="0" t="s">
        <v>155</v>
      </c>
      <c r="CY1507" s="0" t="s">
        <v>154</v>
      </c>
      <c r="CZ1507" s="0" t="s">
        <v>155</v>
      </c>
      <c r="DC1507" s="0" t="s">
        <v>154</v>
      </c>
      <c r="DD1507" s="0" t="s">
        <v>155</v>
      </c>
      <c r="DF1507" s="0" t="s">
        <v>154</v>
      </c>
      <c r="DG1507" s="0" t="s">
        <v>155</v>
      </c>
      <c r="DI1507" s="0" t="s">
        <v>154</v>
      </c>
      <c r="DJ1507" s="0" t="s">
        <v>155</v>
      </c>
      <c r="DL1507" s="0" t="s">
        <v>154</v>
      </c>
      <c r="DN1507" s="0" t="s">
        <v>154</v>
      </c>
      <c r="DS1507" s="0" t="s">
        <v>155</v>
      </c>
      <c r="DU1507" s="0" t="s">
        <v>154</v>
      </c>
      <c r="DW1507" s="0" t="s">
        <v>155</v>
      </c>
      <c r="DX1507" s="0" t="s">
        <v>154</v>
      </c>
      <c r="EA1507" s="0" t="s">
        <v>154</v>
      </c>
      <c r="ED1507" s="0" t="s">
        <v>155</v>
      </c>
      <c r="EF1507" s="0" t="s">
        <v>154</v>
      </c>
    </row>
    <row r="1508" customFormat="false" ht="13.8" hidden="true" customHeight="false" outlineLevel="0" collapsed="false">
      <c r="A1508" s="0" t="s">
        <v>6939</v>
      </c>
      <c r="B1508" s="0" t="n">
        <v>78</v>
      </c>
      <c r="C1508" s="0" t="n">
        <v>14631</v>
      </c>
      <c r="D1508" s="0" t="s">
        <v>6940</v>
      </c>
      <c r="E1508" s="0" t="s">
        <v>6941</v>
      </c>
      <c r="F1508" s="0" t="str">
        <f aca="false">CONCATENATE(D1508," ",LEFT(H1508,4),"T=",AU1508,"D=",AV1508,"R=",AW1508,"M=",AX1508,"L=",AY1508,"B=",AZ1508)</f>
        <v>MARINO T=8D=1R=0M=2L=1B=0</v>
      </c>
      <c r="G1508" s="0" t="s">
        <v>155</v>
      </c>
      <c r="I1508" s="0" t="s">
        <v>6942</v>
      </c>
      <c r="J1508" s="0" t="s">
        <v>4185</v>
      </c>
      <c r="K1508" s="0" t="s">
        <v>175</v>
      </c>
      <c r="L1508" s="0"/>
      <c r="M1508" s="0" t="s">
        <v>6880</v>
      </c>
      <c r="N1508" s="0" t="str">
        <f aca="false">RIGHT(M1508,LEN(M1508)-FIND(" ",M1508))</f>
        <v>MAHONING AVE NW</v>
      </c>
      <c r="O1508" s="0" t="s">
        <v>6943</v>
      </c>
      <c r="P1508" s="0" t="s">
        <v>146</v>
      </c>
      <c r="Q1508" s="0" t="s">
        <v>147</v>
      </c>
      <c r="R1508" s="0" t="n">
        <v>44483</v>
      </c>
      <c r="AD1508" s="0" t="s">
        <v>148</v>
      </c>
      <c r="AE1508" s="0" t="s">
        <v>149</v>
      </c>
      <c r="AF1508" s="0" t="s">
        <v>150</v>
      </c>
      <c r="AH1508" s="0" t="n">
        <v>14</v>
      </c>
      <c r="AI1508" s="0" t="n">
        <v>11</v>
      </c>
      <c r="AN1508" s="0" t="s">
        <v>146</v>
      </c>
      <c r="AO1508" s="0" t="s">
        <v>151</v>
      </c>
      <c r="AP1508" s="0" t="s">
        <v>152</v>
      </c>
      <c r="AQ1508" s="0" t="n">
        <v>9</v>
      </c>
      <c r="AR1508" s="0" t="n">
        <v>64</v>
      </c>
      <c r="AS1508" s="0" t="n">
        <v>32</v>
      </c>
      <c r="AU1508" s="0" t="n">
        <f aca="false">COUNTA($BA$1704:$EH$1704)</f>
        <v>8</v>
      </c>
      <c r="AV1508" s="0" t="n">
        <f aca="false">COUNTIF($BA$1704:$EH$1704,"D")</f>
        <v>1</v>
      </c>
      <c r="AW1508" s="0" t="n">
        <f aca="false">COUNTIF($BA$1704:$EH$1704,"R")</f>
        <v>0</v>
      </c>
      <c r="AX1508" s="0" t="n">
        <f aca="false"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>2</v>
      </c>
      <c r="AY1508" s="0" t="n">
        <f aca="false">COUNTIF(DU1508:EH1508, "&lt;&gt;")</f>
        <v>1</v>
      </c>
      <c r="AZ1508" s="0" t="n">
        <f aca="false">IF(EH1508&lt;&gt;"",1,0)</f>
        <v>0</v>
      </c>
      <c r="BB1508" s="0" t="s">
        <v>153</v>
      </c>
      <c r="BC1508" s="0" t="s">
        <v>154</v>
      </c>
      <c r="BD1508" s="0" t="s">
        <v>154</v>
      </c>
      <c r="BE1508" s="0" t="s">
        <v>154</v>
      </c>
      <c r="BF1508" s="0" t="s">
        <v>154</v>
      </c>
      <c r="BG1508" s="0" t="s">
        <v>154</v>
      </c>
      <c r="BH1508" s="0" t="s">
        <v>154</v>
      </c>
      <c r="BI1508" s="0" t="s">
        <v>154</v>
      </c>
      <c r="BJ1508" s="0" t="s">
        <v>154</v>
      </c>
      <c r="BK1508" s="0" t="s">
        <v>154</v>
      </c>
      <c r="BL1508" s="0" t="s">
        <v>154</v>
      </c>
      <c r="BP1508" s="0" t="s">
        <v>154</v>
      </c>
      <c r="BR1508" s="0" t="s">
        <v>154</v>
      </c>
      <c r="BS1508" s="0" t="s">
        <v>154</v>
      </c>
      <c r="BY1508" s="0" t="s">
        <v>155</v>
      </c>
      <c r="CA1508" s="0" t="s">
        <v>154</v>
      </c>
      <c r="CH1508" s="0" t="s">
        <v>155</v>
      </c>
      <c r="CK1508" s="0" t="s">
        <v>154</v>
      </c>
      <c r="CL1508" s="0" t="s">
        <v>155</v>
      </c>
      <c r="CP1508" s="0" t="s">
        <v>154</v>
      </c>
      <c r="CU1508" s="0" t="s">
        <v>155</v>
      </c>
      <c r="CW1508" s="0" t="s">
        <v>155</v>
      </c>
      <c r="CZ1508" s="0" t="s">
        <v>155</v>
      </c>
      <c r="DC1508" s="0" t="s">
        <v>154</v>
      </c>
      <c r="DI1508" s="0" t="s">
        <v>154</v>
      </c>
      <c r="DM1508" s="0" t="s">
        <v>155</v>
      </c>
      <c r="DN1508" s="0" t="s">
        <v>154</v>
      </c>
      <c r="EF1508" s="0" t="s">
        <v>154</v>
      </c>
    </row>
    <row r="1509" customFormat="false" ht="13.8" hidden="false" customHeight="false" outlineLevel="0" collapsed="false">
      <c r="A1509" s="0" t="s">
        <v>6944</v>
      </c>
      <c r="B1509" s="0" t="n">
        <v>78</v>
      </c>
      <c r="C1509" s="0" t="n">
        <v>321539</v>
      </c>
      <c r="D1509" s="0" t="s">
        <v>6945</v>
      </c>
      <c r="E1509" s="0" t="s">
        <v>5837</v>
      </c>
      <c r="F1509" s="0" t="str">
        <f aca="false">CONCATENATE(D1509," ",LEFT(H1509,4),"T=",AU1509,"D=",AV1509,"R=",AW1509,"M=",AX1509,"L=",AY1509,"B=",AZ1509)</f>
        <v>RININGER T=3D=0R=0M=1L=6B=0</v>
      </c>
      <c r="G1509" s="0" t="s">
        <v>939</v>
      </c>
      <c r="I1509" s="0" t="s">
        <v>6946</v>
      </c>
      <c r="J1509" s="0" t="s">
        <v>6937</v>
      </c>
      <c r="K1509" s="0" t="s">
        <v>175</v>
      </c>
      <c r="L1509" s="1" t="s">
        <v>155</v>
      </c>
      <c r="M1509" s="0" t="s">
        <v>6880</v>
      </c>
      <c r="N1509" s="0" t="str">
        <f aca="false">RIGHT(M1509,LEN(M1509)-FIND(" ",M1509))</f>
        <v>MAHONING AVE NW</v>
      </c>
      <c r="O1509" s="0" t="s">
        <v>6947</v>
      </c>
      <c r="P1509" s="0" t="s">
        <v>146</v>
      </c>
      <c r="Q1509" s="0" t="s">
        <v>147</v>
      </c>
      <c r="R1509" s="0" t="n">
        <v>44483</v>
      </c>
      <c r="AD1509" s="0" t="s">
        <v>148</v>
      </c>
      <c r="AE1509" s="0" t="s">
        <v>149</v>
      </c>
      <c r="AF1509" s="0" t="s">
        <v>150</v>
      </c>
      <c r="AH1509" s="0" t="n">
        <v>14</v>
      </c>
      <c r="AI1509" s="0" t="n">
        <v>11</v>
      </c>
      <c r="AN1509" s="0" t="s">
        <v>146</v>
      </c>
      <c r="AO1509" s="0" t="s">
        <v>151</v>
      </c>
      <c r="AP1509" s="0" t="s">
        <v>152</v>
      </c>
      <c r="AQ1509" s="0" t="n">
        <v>9</v>
      </c>
      <c r="AR1509" s="0" t="n">
        <v>64</v>
      </c>
      <c r="AS1509" s="0" t="n">
        <v>32</v>
      </c>
      <c r="AU1509" s="0" t="n">
        <f aca="false">COUNTA($BA$1710:$EH$1710)</f>
        <v>3</v>
      </c>
      <c r="AV1509" s="0" t="n">
        <f aca="false">COUNTIF($BA$1710:$EH$1710,"D")</f>
        <v>0</v>
      </c>
      <c r="AW1509" s="0" t="n">
        <f aca="false">COUNTIF($BA$1710:$EH$1710,"R")</f>
        <v>0</v>
      </c>
      <c r="AX1509" s="0" t="n">
        <f aca="false"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>1</v>
      </c>
      <c r="AY1509" s="0" t="n">
        <f aca="false">COUNTIF(DU1509:EH1509, "&lt;&gt;")</f>
        <v>6</v>
      </c>
      <c r="AZ1509" s="0" t="n">
        <f aca="false">IF(EH1509&lt;&gt;"",1,0)</f>
        <v>0</v>
      </c>
      <c r="BB1509" s="0" t="s">
        <v>153</v>
      </c>
      <c r="BL1509" s="0" t="s">
        <v>154</v>
      </c>
      <c r="BP1509" s="0" t="s">
        <v>154</v>
      </c>
      <c r="BR1509" s="0" t="s">
        <v>154</v>
      </c>
      <c r="BS1509" s="0" t="s">
        <v>154</v>
      </c>
      <c r="BY1509" s="0" t="s">
        <v>155</v>
      </c>
      <c r="CA1509" s="0" t="s">
        <v>154</v>
      </c>
      <c r="CH1509" s="0" t="s">
        <v>155</v>
      </c>
      <c r="CK1509" s="0" t="s">
        <v>154</v>
      </c>
      <c r="CN1509" s="0" t="s">
        <v>154</v>
      </c>
      <c r="CP1509" s="0" t="s">
        <v>154</v>
      </c>
      <c r="CV1509" s="0" t="s">
        <v>154</v>
      </c>
      <c r="CY1509" s="0" t="s">
        <v>154</v>
      </c>
      <c r="CZ1509" s="0" t="s">
        <v>155</v>
      </c>
      <c r="DC1509" s="0" t="s">
        <v>154</v>
      </c>
      <c r="DG1509" s="0" t="s">
        <v>155</v>
      </c>
      <c r="DN1509" s="0" t="s">
        <v>154</v>
      </c>
      <c r="DS1509" s="0" t="s">
        <v>155</v>
      </c>
      <c r="DU1509" s="0" t="s">
        <v>154</v>
      </c>
      <c r="DW1509" s="0" t="s">
        <v>155</v>
      </c>
      <c r="DX1509" s="0" t="s">
        <v>154</v>
      </c>
      <c r="EA1509" s="0" t="s">
        <v>154</v>
      </c>
      <c r="ED1509" s="0" t="s">
        <v>155</v>
      </c>
      <c r="EF1509" s="0" t="s">
        <v>154</v>
      </c>
    </row>
    <row r="1510" customFormat="false" ht="13.8" hidden="false" customHeight="false" outlineLevel="0" collapsed="false">
      <c r="A1510" s="0" t="s">
        <v>6948</v>
      </c>
      <c r="B1510" s="0" t="n">
        <v>78</v>
      </c>
      <c r="C1510" s="0" t="n">
        <v>422370</v>
      </c>
      <c r="D1510" s="0" t="s">
        <v>6949</v>
      </c>
      <c r="E1510" s="0" t="s">
        <v>2595</v>
      </c>
      <c r="F1510" s="0" t="str">
        <f aca="false">CONCATENATE(D1510," ",LEFT(H1510,4),"T=",AU1510,"D=",AV1510,"R=",AW1510,"M=",AX1510,"L=",AY1510,"B=",AZ1510)</f>
        <v>TESTA T=1D=0R=0M=1L=2B=0</v>
      </c>
      <c r="G1510" s="0" t="s">
        <v>514</v>
      </c>
      <c r="I1510" s="0" t="s">
        <v>6950</v>
      </c>
      <c r="J1510" s="0" t="s">
        <v>3833</v>
      </c>
      <c r="K1510" s="0" t="s">
        <v>175</v>
      </c>
      <c r="L1510" s="1" t="s">
        <v>155</v>
      </c>
      <c r="M1510" s="0" t="s">
        <v>6880</v>
      </c>
      <c r="N1510" s="0" t="str">
        <f aca="false">RIGHT(M1510,LEN(M1510)-FIND(" ",M1510))</f>
        <v>MAHONING AVE NW</v>
      </c>
      <c r="O1510" s="0" t="s">
        <v>6951</v>
      </c>
      <c r="P1510" s="0" t="s">
        <v>146</v>
      </c>
      <c r="Q1510" s="0" t="s">
        <v>147</v>
      </c>
      <c r="R1510" s="0" t="n">
        <v>44483</v>
      </c>
      <c r="AD1510" s="0" t="s">
        <v>148</v>
      </c>
      <c r="AE1510" s="0" t="s">
        <v>149</v>
      </c>
      <c r="AF1510" s="0" t="s">
        <v>150</v>
      </c>
      <c r="AH1510" s="0" t="n">
        <v>14</v>
      </c>
      <c r="AI1510" s="0" t="n">
        <v>11</v>
      </c>
      <c r="AN1510" s="0" t="s">
        <v>146</v>
      </c>
      <c r="AO1510" s="0" t="s">
        <v>151</v>
      </c>
      <c r="AP1510" s="0" t="s">
        <v>152</v>
      </c>
      <c r="AQ1510" s="0" t="n">
        <v>9</v>
      </c>
      <c r="AR1510" s="0" t="n">
        <v>64</v>
      </c>
      <c r="AS1510" s="0" t="n">
        <v>32</v>
      </c>
      <c r="AU1510" s="0" t="n">
        <f aca="false">COUNTA($BA$1711:$EH$1711)</f>
        <v>1</v>
      </c>
      <c r="AV1510" s="0" t="n">
        <f aca="false">COUNTIF($BA$1711:$EH$1711,"D")</f>
        <v>0</v>
      </c>
      <c r="AW1510" s="0" t="n">
        <f aca="false">COUNTIF($BA$1711:$EH$1711,"R")</f>
        <v>0</v>
      </c>
      <c r="AX1510" s="0" t="n">
        <f aca="false"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>1</v>
      </c>
      <c r="AY1510" s="0" t="n">
        <f aca="false">COUNTIF(DU1510:EH1510, "&lt;&gt;")</f>
        <v>2</v>
      </c>
      <c r="AZ1510" s="0" t="n">
        <f aca="false">IF(EH1510&lt;&gt;"",1,0)</f>
        <v>0</v>
      </c>
      <c r="BB1510" s="0" t="s">
        <v>153</v>
      </c>
      <c r="BD1510" s="0" t="s">
        <v>154</v>
      </c>
      <c r="BH1510" s="0" t="s">
        <v>154</v>
      </c>
      <c r="BI1510" s="0" t="s">
        <v>154</v>
      </c>
      <c r="BL1510" s="0" t="s">
        <v>154</v>
      </c>
      <c r="BY1510" s="0" t="s">
        <v>154</v>
      </c>
      <c r="CA1510" s="0" t="s">
        <v>154</v>
      </c>
      <c r="CN1510" s="0" t="s">
        <v>154</v>
      </c>
      <c r="CP1510" s="0" t="s">
        <v>154</v>
      </c>
      <c r="DC1510" s="0" t="s">
        <v>154</v>
      </c>
      <c r="DM1510" s="0" t="s">
        <v>155</v>
      </c>
      <c r="DN1510" s="0" t="s">
        <v>154</v>
      </c>
      <c r="DO1510" s="0" t="s">
        <v>155</v>
      </c>
      <c r="DR1510" s="0" t="s">
        <v>154</v>
      </c>
      <c r="DS1510" s="0" t="s">
        <v>155</v>
      </c>
      <c r="DU1510" s="0" t="s">
        <v>154</v>
      </c>
      <c r="EF1510" s="0" t="s">
        <v>154</v>
      </c>
    </row>
    <row r="1511" customFormat="false" ht="13.8" hidden="false" customHeight="false" outlineLevel="0" collapsed="false">
      <c r="A1511" s="0" t="s">
        <v>6952</v>
      </c>
      <c r="B1511" s="0" t="n">
        <v>78</v>
      </c>
      <c r="C1511" s="0" t="n">
        <v>147921</v>
      </c>
      <c r="D1511" s="0" t="s">
        <v>6953</v>
      </c>
      <c r="E1511" s="0" t="s">
        <v>6954</v>
      </c>
      <c r="F1511" s="0" t="str">
        <f aca="false">CONCATENATE(D1511," ",LEFT(H1511,4),"T=",AU1511,"D=",AV1511,"R=",AW1511,"M=",AX1511,"L=",AY1511,"B=",AZ1511)</f>
        <v>GRIGGS T=1D=0R=0M=5L=4B=0</v>
      </c>
      <c r="G1511" s="0" t="s">
        <v>1582</v>
      </c>
      <c r="I1511" s="0" t="s">
        <v>6955</v>
      </c>
      <c r="J1511" s="0" t="s">
        <v>1042</v>
      </c>
      <c r="K1511" s="0" t="s">
        <v>175</v>
      </c>
      <c r="L1511" s="1" t="s">
        <v>155</v>
      </c>
      <c r="M1511" s="0" t="s">
        <v>6880</v>
      </c>
      <c r="N1511" s="0" t="str">
        <f aca="false">RIGHT(M1511,LEN(M1511)-FIND(" ",M1511))</f>
        <v>MAHONING AVE NW</v>
      </c>
      <c r="O1511" s="0" t="s">
        <v>6956</v>
      </c>
      <c r="P1511" s="0" t="s">
        <v>146</v>
      </c>
      <c r="Q1511" s="0" t="s">
        <v>147</v>
      </c>
      <c r="R1511" s="0" t="n">
        <v>44483</v>
      </c>
      <c r="AD1511" s="0" t="s">
        <v>148</v>
      </c>
      <c r="AE1511" s="0" t="s">
        <v>149</v>
      </c>
      <c r="AF1511" s="0" t="s">
        <v>150</v>
      </c>
      <c r="AH1511" s="0" t="n">
        <v>14</v>
      </c>
      <c r="AI1511" s="0" t="n">
        <v>11</v>
      </c>
      <c r="AN1511" s="0" t="s">
        <v>146</v>
      </c>
      <c r="AO1511" s="0" t="s">
        <v>151</v>
      </c>
      <c r="AP1511" s="0" t="s">
        <v>152</v>
      </c>
      <c r="AQ1511" s="0" t="n">
        <v>9</v>
      </c>
      <c r="AR1511" s="0" t="n">
        <v>64</v>
      </c>
      <c r="AS1511" s="0" t="n">
        <v>32</v>
      </c>
      <c r="AU1511" s="0" t="n">
        <f aca="false">COUNTA($BA$1712:$EH$1712)</f>
        <v>1</v>
      </c>
      <c r="AV1511" s="0" t="n">
        <f aca="false">COUNTIF($BA$1712:$EH$1712,"D")</f>
        <v>0</v>
      </c>
      <c r="AW1511" s="0" t="n">
        <f aca="false">COUNTIF($BA$1712:$EH$1712,"R")</f>
        <v>0</v>
      </c>
      <c r="AX1511" s="0" t="n">
        <f aca="false"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>5</v>
      </c>
      <c r="AY1511" s="0" t="n">
        <f aca="false">COUNTIF(DU1511:EH1511, "&lt;&gt;")</f>
        <v>4</v>
      </c>
      <c r="AZ1511" s="0" t="n">
        <f aca="false">IF(EH1511&lt;&gt;"",1,0)</f>
        <v>0</v>
      </c>
      <c r="BB1511" s="0" t="s">
        <v>153</v>
      </c>
      <c r="BC1511" s="0" t="s">
        <v>154</v>
      </c>
      <c r="BD1511" s="0" t="s">
        <v>154</v>
      </c>
      <c r="BE1511" s="0" t="s">
        <v>154</v>
      </c>
      <c r="BF1511" s="0" t="s">
        <v>154</v>
      </c>
      <c r="BG1511" s="0" t="s">
        <v>154</v>
      </c>
      <c r="BH1511" s="0" t="s">
        <v>154</v>
      </c>
      <c r="BI1511" s="0" t="s">
        <v>154</v>
      </c>
      <c r="BJ1511" s="0" t="s">
        <v>154</v>
      </c>
      <c r="BL1511" s="0" t="s">
        <v>154</v>
      </c>
      <c r="BP1511" s="0" t="s">
        <v>154</v>
      </c>
      <c r="BR1511" s="0" t="s">
        <v>154</v>
      </c>
      <c r="BS1511" s="0" t="s">
        <v>154</v>
      </c>
      <c r="BV1511" s="0" t="s">
        <v>154</v>
      </c>
      <c r="BY1511" s="0" t="s">
        <v>155</v>
      </c>
      <c r="CA1511" s="0" t="s">
        <v>154</v>
      </c>
      <c r="CC1511" s="0" t="s">
        <v>155</v>
      </c>
      <c r="CH1511" s="0" t="s">
        <v>155</v>
      </c>
      <c r="CK1511" s="0" t="s">
        <v>154</v>
      </c>
      <c r="CL1511" s="0" t="s">
        <v>155</v>
      </c>
      <c r="CO1511" s="0" t="s">
        <v>155</v>
      </c>
      <c r="CP1511" s="0" t="s">
        <v>154</v>
      </c>
      <c r="CQ1511" s="0" t="s">
        <v>155</v>
      </c>
      <c r="CT1511" s="0" t="s">
        <v>154</v>
      </c>
      <c r="CV1511" s="0" t="s">
        <v>154</v>
      </c>
      <c r="CW1511" s="0" t="s">
        <v>155</v>
      </c>
      <c r="CY1511" s="0" t="s">
        <v>154</v>
      </c>
      <c r="CZ1511" s="0" t="s">
        <v>155</v>
      </c>
      <c r="DC1511" s="0" t="s">
        <v>154</v>
      </c>
      <c r="DD1511" s="0" t="s">
        <v>155</v>
      </c>
      <c r="DF1511" s="0" t="s">
        <v>154</v>
      </c>
      <c r="DG1511" s="0" t="s">
        <v>155</v>
      </c>
      <c r="DI1511" s="0" t="s">
        <v>154</v>
      </c>
      <c r="DM1511" s="0" t="s">
        <v>155</v>
      </c>
      <c r="DN1511" s="0" t="s">
        <v>154</v>
      </c>
      <c r="DR1511" s="0" t="s">
        <v>154</v>
      </c>
      <c r="DT1511" s="0" t="s">
        <v>155</v>
      </c>
      <c r="DU1511" s="0" t="s">
        <v>154</v>
      </c>
      <c r="EA1511" s="0" t="s">
        <v>154</v>
      </c>
      <c r="ED1511" s="0" t="s">
        <v>155</v>
      </c>
      <c r="EF1511" s="0" t="s">
        <v>154</v>
      </c>
    </row>
    <row r="1512" customFormat="false" ht="13.8" hidden="false" customHeight="false" outlineLevel="0" collapsed="false">
      <c r="A1512" s="0" t="s">
        <v>6957</v>
      </c>
      <c r="B1512" s="0" t="n">
        <v>78</v>
      </c>
      <c r="C1512" s="0" t="n">
        <v>411872</v>
      </c>
      <c r="D1512" s="0" t="s">
        <v>6958</v>
      </c>
      <c r="E1512" s="0" t="s">
        <v>429</v>
      </c>
      <c r="F1512" s="0" t="str">
        <f aca="false">CONCATENATE(D1512," ",LEFT(H1512,4),"T=",AU1512,"D=",AV1512,"R=",AW1512,"M=",AX1512,"L=",AY1512,"B=",AZ1512)</f>
        <v>GORRELL T=1D=0R=0M=1L=6B=0</v>
      </c>
      <c r="G1512" s="0" t="s">
        <v>176</v>
      </c>
      <c r="I1512" s="0" t="s">
        <v>6959</v>
      </c>
      <c r="J1512" s="0" t="s">
        <v>6960</v>
      </c>
      <c r="K1512" s="0" t="s">
        <v>175</v>
      </c>
      <c r="L1512" s="1" t="s">
        <v>176</v>
      </c>
      <c r="M1512" s="0" t="s">
        <v>6880</v>
      </c>
      <c r="N1512" s="0" t="str">
        <f aca="false">RIGHT(M1512,LEN(M1512)-FIND(" ",M1512))</f>
        <v>MAHONING AVE NW</v>
      </c>
      <c r="O1512" s="0" t="s">
        <v>6961</v>
      </c>
      <c r="P1512" s="0" t="s">
        <v>146</v>
      </c>
      <c r="Q1512" s="0" t="s">
        <v>147</v>
      </c>
      <c r="R1512" s="0" t="n">
        <v>44483</v>
      </c>
      <c r="AD1512" s="0" t="s">
        <v>148</v>
      </c>
      <c r="AE1512" s="0" t="s">
        <v>149</v>
      </c>
      <c r="AF1512" s="0" t="s">
        <v>150</v>
      </c>
      <c r="AH1512" s="0" t="n">
        <v>14</v>
      </c>
      <c r="AI1512" s="0" t="n">
        <v>11</v>
      </c>
      <c r="AN1512" s="0" t="s">
        <v>146</v>
      </c>
      <c r="AO1512" s="0" t="s">
        <v>151</v>
      </c>
      <c r="AP1512" s="0" t="s">
        <v>152</v>
      </c>
      <c r="AQ1512" s="0" t="n">
        <v>9</v>
      </c>
      <c r="AR1512" s="0" t="n">
        <v>64</v>
      </c>
      <c r="AS1512" s="0" t="n">
        <v>32</v>
      </c>
      <c r="AU1512" s="0" t="n">
        <f aca="false">COUNTA($BA$1713:$EH$1713)</f>
        <v>1</v>
      </c>
      <c r="AV1512" s="0" t="n">
        <f aca="false">COUNTIF($BA$1713:$EH$1713,"D")</f>
        <v>0</v>
      </c>
      <c r="AW1512" s="0" t="n">
        <f aca="false">COUNTIF($BA$1713:$EH$1713,"R")</f>
        <v>0</v>
      </c>
      <c r="AX1512" s="0" t="n">
        <f aca="false"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>1</v>
      </c>
      <c r="AY1512" s="0" t="n">
        <f aca="false">COUNTIF(DU1512:EH1512, "&lt;&gt;")</f>
        <v>6</v>
      </c>
      <c r="AZ1512" s="0" t="n">
        <f aca="false">IF(EH1512&lt;&gt;"",1,0)</f>
        <v>0</v>
      </c>
      <c r="BB1512" s="0" t="s">
        <v>153</v>
      </c>
      <c r="CZ1512" s="0" t="s">
        <v>176</v>
      </c>
      <c r="DC1512" s="0" t="s">
        <v>154</v>
      </c>
      <c r="DF1512" s="0" t="s">
        <v>154</v>
      </c>
      <c r="DG1512" s="0" t="s">
        <v>176</v>
      </c>
      <c r="DI1512" s="0" t="s">
        <v>154</v>
      </c>
      <c r="DN1512" s="0" t="s">
        <v>154</v>
      </c>
      <c r="DO1512" s="0" t="s">
        <v>155</v>
      </c>
      <c r="DR1512" s="0" t="s">
        <v>154</v>
      </c>
      <c r="DS1512" s="0" t="s">
        <v>155</v>
      </c>
      <c r="DU1512" s="0" t="s">
        <v>154</v>
      </c>
      <c r="DW1512" s="0" t="s">
        <v>154</v>
      </c>
      <c r="DX1512" s="0" t="s">
        <v>154</v>
      </c>
      <c r="EA1512" s="0" t="s">
        <v>154</v>
      </c>
      <c r="ED1512" s="0" t="s">
        <v>176</v>
      </c>
      <c r="EF1512" s="0" t="s">
        <v>154</v>
      </c>
    </row>
    <row r="1513" customFormat="false" ht="13.8" hidden="true" customHeight="false" outlineLevel="0" collapsed="false">
      <c r="A1513" s="0" t="s">
        <v>6962</v>
      </c>
      <c r="B1513" s="0" t="n">
        <v>78</v>
      </c>
      <c r="C1513" s="0" t="n">
        <v>374764</v>
      </c>
      <c r="D1513" s="0" t="s">
        <v>6963</v>
      </c>
      <c r="E1513" s="0" t="s">
        <v>180</v>
      </c>
      <c r="F1513" s="0" t="str">
        <f aca="false">CONCATENATE(D1513," ",LEFT(H1513,4),"T=",AU1513,"D=",AV1513,"R=",AW1513,"M=",AX1513,"L=",AY1513,"B=",AZ1513)</f>
        <v>BASS T=2D=0R=0M=0L=0B=0</v>
      </c>
      <c r="G1513" s="0" t="s">
        <v>222</v>
      </c>
      <c r="I1513" s="0" t="s">
        <v>6964</v>
      </c>
      <c r="J1513" s="0" t="s">
        <v>6965</v>
      </c>
      <c r="K1513" s="0" t="s">
        <v>175</v>
      </c>
      <c r="L1513" s="0"/>
      <c r="M1513" s="0" t="s">
        <v>6880</v>
      </c>
      <c r="N1513" s="0" t="str">
        <f aca="false">RIGHT(M1513,LEN(M1513)-FIND(" ",M1513))</f>
        <v>MAHONING AVE NW</v>
      </c>
      <c r="O1513" s="0" t="s">
        <v>6966</v>
      </c>
      <c r="P1513" s="0" t="s">
        <v>146</v>
      </c>
      <c r="Q1513" s="0" t="s">
        <v>147</v>
      </c>
      <c r="R1513" s="0" t="n">
        <v>44483</v>
      </c>
      <c r="AD1513" s="0" t="s">
        <v>148</v>
      </c>
      <c r="AE1513" s="0" t="s">
        <v>149</v>
      </c>
      <c r="AF1513" s="0" t="s">
        <v>150</v>
      </c>
      <c r="AH1513" s="0" t="n">
        <v>14</v>
      </c>
      <c r="AI1513" s="0" t="n">
        <v>11</v>
      </c>
      <c r="AN1513" s="0" t="s">
        <v>146</v>
      </c>
      <c r="AO1513" s="0" t="s">
        <v>151</v>
      </c>
      <c r="AP1513" s="0" t="s">
        <v>152</v>
      </c>
      <c r="AQ1513" s="0" t="n">
        <v>9</v>
      </c>
      <c r="AR1513" s="0" t="n">
        <v>64</v>
      </c>
      <c r="AS1513" s="0" t="n">
        <v>32</v>
      </c>
      <c r="AU1513" s="0" t="n">
        <f aca="false">COUNTA($BA$1753:$EH$1753)</f>
        <v>2</v>
      </c>
      <c r="AV1513" s="0" t="n">
        <f aca="false">COUNTIF($BA$1753:$EH$1753,"D")</f>
        <v>0</v>
      </c>
      <c r="AW1513" s="0" t="n">
        <f aca="false">COUNTIF($BA$1753:$EH$1753,"R")</f>
        <v>0</v>
      </c>
      <c r="AX1513" s="0" t="n">
        <f aca="false"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>0</v>
      </c>
      <c r="AY1513" s="0" t="n">
        <f aca="false">COUNTIF(DU1513:EH1513, "&lt;&gt;")</f>
        <v>0</v>
      </c>
      <c r="AZ1513" s="0" t="n">
        <f aca="false">IF(EH1513&lt;&gt;"",1,0)</f>
        <v>0</v>
      </c>
      <c r="BB1513" s="0" t="s">
        <v>153</v>
      </c>
      <c r="CK1513" s="0" t="s">
        <v>154</v>
      </c>
      <c r="DM1513" s="0" t="s">
        <v>155</v>
      </c>
      <c r="DN1513" s="0" t="s">
        <v>154</v>
      </c>
    </row>
    <row r="1514" customFormat="false" ht="13.8" hidden="true" customHeight="false" outlineLevel="0" collapsed="false">
      <c r="A1514" s="0" t="s">
        <v>6967</v>
      </c>
      <c r="B1514" s="0" t="n">
        <v>78</v>
      </c>
      <c r="C1514" s="0" t="n">
        <v>277048</v>
      </c>
      <c r="D1514" s="0" t="s">
        <v>6968</v>
      </c>
      <c r="E1514" s="0" t="s">
        <v>2001</v>
      </c>
      <c r="F1514" s="0" t="str">
        <f aca="false">CONCATENATE(D1514," ",LEFT(H1514,4),"T=",AU1514,"D=",AV1514,"R=",AW1514,"M=",AX1514,"L=",AY1514,"B=",AZ1514)</f>
        <v>BARTHA T=4D=0R=1M=0L=0B=0</v>
      </c>
      <c r="G1514" s="0" t="s">
        <v>317</v>
      </c>
      <c r="I1514" s="0" t="s">
        <v>6969</v>
      </c>
      <c r="J1514" s="0" t="s">
        <v>6970</v>
      </c>
      <c r="K1514" s="0" t="s">
        <v>144</v>
      </c>
      <c r="L1514" s="0"/>
      <c r="M1514" s="0" t="s">
        <v>6880</v>
      </c>
      <c r="N1514" s="0" t="str">
        <f aca="false">RIGHT(M1514,LEN(M1514)-FIND(" ",M1514))</f>
        <v>MAHONING AVE NW</v>
      </c>
      <c r="O1514" s="0" t="s">
        <v>6951</v>
      </c>
      <c r="P1514" s="0" t="s">
        <v>146</v>
      </c>
      <c r="Q1514" s="0" t="s">
        <v>147</v>
      </c>
      <c r="R1514" s="0" t="n">
        <v>44483</v>
      </c>
      <c r="AD1514" s="0" t="s">
        <v>148</v>
      </c>
      <c r="AE1514" s="0" t="s">
        <v>149</v>
      </c>
      <c r="AF1514" s="0" t="s">
        <v>150</v>
      </c>
      <c r="AH1514" s="0" t="n">
        <v>14</v>
      </c>
      <c r="AI1514" s="0" t="n">
        <v>11</v>
      </c>
      <c r="AN1514" s="0" t="s">
        <v>146</v>
      </c>
      <c r="AO1514" s="0" t="s">
        <v>151</v>
      </c>
      <c r="AP1514" s="0" t="s">
        <v>152</v>
      </c>
      <c r="AQ1514" s="0" t="n">
        <v>9</v>
      </c>
      <c r="AR1514" s="0" t="n">
        <v>64</v>
      </c>
      <c r="AS1514" s="0" t="n">
        <v>32</v>
      </c>
      <c r="AU1514" s="0" t="n">
        <f aca="false">COUNTA($BA$1776:$EH$1776)</f>
        <v>4</v>
      </c>
      <c r="AV1514" s="0" t="n">
        <f aca="false">COUNTIF($BA$1776:$EH$1776,"D")</f>
        <v>0</v>
      </c>
      <c r="AW1514" s="0" t="n">
        <f aca="false">COUNTIF($BA$1776:$EH$1776,"R")</f>
        <v>1</v>
      </c>
      <c r="AX1514" s="0" t="n">
        <f aca="false"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>0</v>
      </c>
      <c r="AY1514" s="0" t="n">
        <f aca="false">COUNTIF(DU1514:EH1514, "&lt;&gt;")</f>
        <v>0</v>
      </c>
      <c r="AZ1514" s="0" t="n">
        <f aca="false">IF(EH1514&lt;&gt;"",1,0)</f>
        <v>0</v>
      </c>
      <c r="BB1514" s="0" t="s">
        <v>153</v>
      </c>
      <c r="BD1514" s="0" t="s">
        <v>154</v>
      </c>
      <c r="BH1514" s="0" t="s">
        <v>154</v>
      </c>
      <c r="BJ1514" s="0" t="s">
        <v>154</v>
      </c>
      <c r="BK1514" s="0" t="s">
        <v>154</v>
      </c>
      <c r="BL1514" s="0" t="s">
        <v>154</v>
      </c>
      <c r="BP1514" s="0" t="s">
        <v>154</v>
      </c>
      <c r="BR1514" s="0" t="s">
        <v>154</v>
      </c>
      <c r="BS1514" s="0" t="s">
        <v>154</v>
      </c>
      <c r="BV1514" s="0" t="s">
        <v>154</v>
      </c>
      <c r="BY1514" s="0" t="s">
        <v>155</v>
      </c>
      <c r="CA1514" s="0" t="s">
        <v>154</v>
      </c>
      <c r="CG1514" s="0" t="s">
        <v>154</v>
      </c>
      <c r="CH1514" s="0" t="s">
        <v>155</v>
      </c>
      <c r="CK1514" s="0" t="s">
        <v>154</v>
      </c>
      <c r="CO1514" s="0" t="s">
        <v>155</v>
      </c>
      <c r="CP1514" s="0" t="s">
        <v>154</v>
      </c>
      <c r="CV1514" s="0" t="s">
        <v>154</v>
      </c>
      <c r="CY1514" s="0" t="s">
        <v>154</v>
      </c>
      <c r="DC1514" s="0" t="s">
        <v>154</v>
      </c>
    </row>
    <row r="1515" customFormat="false" ht="13.8" hidden="true" customHeight="false" outlineLevel="0" collapsed="false">
      <c r="A1515" s="0" t="s">
        <v>6971</v>
      </c>
      <c r="B1515" s="0" t="n">
        <v>78</v>
      </c>
      <c r="C1515" s="0" t="n">
        <v>127326</v>
      </c>
      <c r="D1515" s="0" t="s">
        <v>6972</v>
      </c>
      <c r="E1515" s="0" t="s">
        <v>4229</v>
      </c>
      <c r="F1515" s="0" t="str">
        <f aca="false">CONCATENATE(D1515," ",LEFT(H1515,4),"T=",AU1515,"D=",AV1515,"R=",AW1515,"M=",AX1515,"L=",AY1515,"B=",AZ1515)</f>
        <v>PATCHIN T=9D=0R=0M=1L=0B=0</v>
      </c>
      <c r="G1515" s="0" t="s">
        <v>496</v>
      </c>
      <c r="I1515" s="0" t="s">
        <v>6973</v>
      </c>
      <c r="J1515" s="0" t="s">
        <v>6974</v>
      </c>
      <c r="K1515" s="0" t="s">
        <v>175</v>
      </c>
      <c r="L1515" s="0"/>
      <c r="M1515" s="0" t="s">
        <v>6880</v>
      </c>
      <c r="N1515" s="0" t="str">
        <f aca="false">RIGHT(M1515,LEN(M1515)-FIND(" ",M1515))</f>
        <v>MAHONING AVE NW</v>
      </c>
      <c r="O1515" s="0" t="s">
        <v>6914</v>
      </c>
      <c r="P1515" s="0" t="s">
        <v>146</v>
      </c>
      <c r="Q1515" s="0" t="s">
        <v>147</v>
      </c>
      <c r="R1515" s="0" t="n">
        <v>44483</v>
      </c>
      <c r="AD1515" s="0" t="s">
        <v>148</v>
      </c>
      <c r="AE1515" s="0" t="s">
        <v>149</v>
      </c>
      <c r="AF1515" s="0" t="s">
        <v>150</v>
      </c>
      <c r="AH1515" s="0" t="n">
        <v>14</v>
      </c>
      <c r="AI1515" s="0" t="n">
        <v>11</v>
      </c>
      <c r="AN1515" s="0" t="s">
        <v>146</v>
      </c>
      <c r="AO1515" s="0" t="s">
        <v>151</v>
      </c>
      <c r="AP1515" s="0" t="s">
        <v>152</v>
      </c>
      <c r="AQ1515" s="0" t="n">
        <v>9</v>
      </c>
      <c r="AR1515" s="0" t="n">
        <v>64</v>
      </c>
      <c r="AS1515" s="0" t="n">
        <v>32</v>
      </c>
      <c r="AU1515" s="0" t="n">
        <f aca="false">COUNTA($BA$1786:$EH$1786)</f>
        <v>9</v>
      </c>
      <c r="AV1515" s="0" t="n">
        <f aca="false">COUNTIF($BA$1786:$EH$1786,"D")</f>
        <v>0</v>
      </c>
      <c r="AW1515" s="0" t="n">
        <f aca="false">COUNTIF($BA$1786:$EH$1786,"R")</f>
        <v>0</v>
      </c>
      <c r="AX1515" s="0" t="n">
        <f aca="false"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>1</v>
      </c>
      <c r="AY1515" s="0" t="n">
        <f aca="false">COUNTIF(DU1515:EH1515, "&lt;&gt;")</f>
        <v>0</v>
      </c>
      <c r="AZ1515" s="0" t="n">
        <f aca="false">IF(EH1515&lt;&gt;"",1,0)</f>
        <v>0</v>
      </c>
      <c r="BB1515" s="0" t="s">
        <v>153</v>
      </c>
      <c r="BD1515" s="0" t="s">
        <v>154</v>
      </c>
      <c r="BG1515" s="0" t="s">
        <v>154</v>
      </c>
      <c r="BL1515" s="0" t="s">
        <v>154</v>
      </c>
      <c r="BR1515" s="0" t="s">
        <v>154</v>
      </c>
      <c r="BY1515" s="0" t="s">
        <v>155</v>
      </c>
      <c r="CA1515" s="0" t="s">
        <v>154</v>
      </c>
      <c r="CK1515" s="0" t="s">
        <v>154</v>
      </c>
      <c r="CN1515" s="0" t="s">
        <v>154</v>
      </c>
      <c r="CP1515" s="0" t="s">
        <v>154</v>
      </c>
      <c r="DC1515" s="0" t="s">
        <v>154</v>
      </c>
      <c r="DO1515" s="0" t="s">
        <v>155</v>
      </c>
    </row>
    <row r="1516" customFormat="false" ht="13.8" hidden="true" customHeight="false" outlineLevel="0" collapsed="false">
      <c r="A1516" s="0" t="s">
        <v>6975</v>
      </c>
      <c r="B1516" s="0" t="n">
        <v>78</v>
      </c>
      <c r="C1516" s="0" t="n">
        <v>120405</v>
      </c>
      <c r="D1516" s="0" t="s">
        <v>6976</v>
      </c>
      <c r="E1516" s="0" t="s">
        <v>3640</v>
      </c>
      <c r="F1516" s="0" t="str">
        <f aca="false">CONCATENATE(D1516," ",LEFT(H1516,4),"T=",AU1516,"D=",AV1516,"R=",AW1516,"M=",AX1516,"L=",AY1516,"B=",AZ1516)</f>
        <v>KLINGMAN T=8D=0R=0M=3L=0B=0</v>
      </c>
      <c r="G1516" s="0" t="s">
        <v>939</v>
      </c>
      <c r="I1516" s="0" t="s">
        <v>6977</v>
      </c>
      <c r="J1516" s="0" t="s">
        <v>4733</v>
      </c>
      <c r="K1516" s="0" t="s">
        <v>144</v>
      </c>
      <c r="L1516" s="0"/>
      <c r="M1516" s="0" t="s">
        <v>6880</v>
      </c>
      <c r="N1516" s="0" t="str">
        <f aca="false">RIGHT(M1516,LEN(M1516)-FIND(" ",M1516))</f>
        <v>MAHONING AVE NW</v>
      </c>
      <c r="O1516" s="0" t="s">
        <v>6978</v>
      </c>
      <c r="P1516" s="0" t="s">
        <v>146</v>
      </c>
      <c r="Q1516" s="0" t="s">
        <v>147</v>
      </c>
      <c r="R1516" s="0" t="n">
        <v>44483</v>
      </c>
      <c r="AD1516" s="0" t="s">
        <v>148</v>
      </c>
      <c r="AE1516" s="0" t="s">
        <v>149</v>
      </c>
      <c r="AF1516" s="0" t="s">
        <v>150</v>
      </c>
      <c r="AH1516" s="0" t="n">
        <v>14</v>
      </c>
      <c r="AI1516" s="0" t="n">
        <v>11</v>
      </c>
      <c r="AN1516" s="0" t="s">
        <v>146</v>
      </c>
      <c r="AO1516" s="0" t="s">
        <v>151</v>
      </c>
      <c r="AP1516" s="0" t="s">
        <v>152</v>
      </c>
      <c r="AQ1516" s="0" t="n">
        <v>9</v>
      </c>
      <c r="AR1516" s="0" t="n">
        <v>64</v>
      </c>
      <c r="AS1516" s="0" t="n">
        <v>32</v>
      </c>
      <c r="AU1516" s="0" t="n">
        <f aca="false">COUNTA($BA$1816:$EH$1816)</f>
        <v>8</v>
      </c>
      <c r="AV1516" s="0" t="n">
        <f aca="false">COUNTIF($BA$1816:$EH$1816,"D")</f>
        <v>0</v>
      </c>
      <c r="AW1516" s="0" t="n">
        <f aca="false">COUNTIF($BA$1816:$EH$1816,"R")</f>
        <v>0</v>
      </c>
      <c r="AX1516" s="0" t="n">
        <f aca="false"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>3</v>
      </c>
      <c r="AY1516" s="0" t="n">
        <f aca="false">COUNTIF(DU1516:EH1516, "&lt;&gt;")</f>
        <v>0</v>
      </c>
      <c r="AZ1516" s="0" t="n">
        <f aca="false">IF(EH1516&lt;&gt;"",1,0)</f>
        <v>0</v>
      </c>
      <c r="BB1516" s="0" t="s">
        <v>153</v>
      </c>
      <c r="BC1516" s="0" t="s">
        <v>154</v>
      </c>
      <c r="BD1516" s="0" t="s">
        <v>154</v>
      </c>
      <c r="BE1516" s="0" t="s">
        <v>154</v>
      </c>
      <c r="BF1516" s="0" t="s">
        <v>154</v>
      </c>
      <c r="BG1516" s="0" t="s">
        <v>154</v>
      </c>
      <c r="BH1516" s="0" t="s">
        <v>154</v>
      </c>
      <c r="BI1516" s="0" t="s">
        <v>154</v>
      </c>
      <c r="BJ1516" s="0" t="s">
        <v>154</v>
      </c>
      <c r="BK1516" s="0" t="s">
        <v>154</v>
      </c>
      <c r="BL1516" s="0" t="s">
        <v>154</v>
      </c>
      <c r="BP1516" s="0" t="s">
        <v>154</v>
      </c>
      <c r="BS1516" s="0" t="s">
        <v>154</v>
      </c>
      <c r="BV1516" s="0" t="s">
        <v>154</v>
      </c>
      <c r="BY1516" s="0" t="s">
        <v>155</v>
      </c>
      <c r="CA1516" s="0" t="s">
        <v>154</v>
      </c>
      <c r="CG1516" s="0" t="s">
        <v>154</v>
      </c>
      <c r="CH1516" s="0" t="s">
        <v>155</v>
      </c>
      <c r="CK1516" s="0" t="s">
        <v>154</v>
      </c>
      <c r="CL1516" s="0" t="s">
        <v>155</v>
      </c>
      <c r="CN1516" s="0" t="s">
        <v>154</v>
      </c>
      <c r="CP1516" s="0" t="s">
        <v>154</v>
      </c>
      <c r="CY1516" s="0" t="s">
        <v>154</v>
      </c>
      <c r="CZ1516" s="0" t="s">
        <v>155</v>
      </c>
      <c r="DC1516" s="0" t="s">
        <v>154</v>
      </c>
      <c r="DF1516" s="0" t="s">
        <v>154</v>
      </c>
      <c r="DG1516" s="0" t="s">
        <v>155</v>
      </c>
      <c r="DI1516" s="0" t="s">
        <v>154</v>
      </c>
      <c r="DJ1516" s="0" t="s">
        <v>155</v>
      </c>
      <c r="DL1516" s="0" t="s">
        <v>154</v>
      </c>
      <c r="DM1516" s="0" t="s">
        <v>155</v>
      </c>
      <c r="DO1516" s="0" t="s">
        <v>155</v>
      </c>
    </row>
    <row r="1517" customFormat="false" ht="13.8" hidden="true" customHeight="false" outlineLevel="0" collapsed="false">
      <c r="A1517" s="0" t="s">
        <v>6979</v>
      </c>
      <c r="B1517" s="0" t="n">
        <v>78</v>
      </c>
      <c r="C1517" s="0" t="n">
        <v>243248</v>
      </c>
      <c r="D1517" s="0" t="s">
        <v>6980</v>
      </c>
      <c r="E1517" s="0" t="s">
        <v>6981</v>
      </c>
      <c r="F1517" s="0" t="str">
        <f aca="false">CONCATENATE(D1517," ",LEFT(H1517,4),"T=",AU1517,"D=",AV1517,"R=",AW1517,"M=",AX1517,"L=",AY1517,"B=",AZ1517)</f>
        <v>YANCY T=3D=0R=0M=1L=1B=0</v>
      </c>
      <c r="I1517" s="0" t="s">
        <v>6982</v>
      </c>
      <c r="J1517" s="0" t="s">
        <v>6983</v>
      </c>
      <c r="K1517" s="0" t="s">
        <v>175</v>
      </c>
      <c r="L1517" s="0"/>
      <c r="M1517" s="0" t="s">
        <v>6880</v>
      </c>
      <c r="N1517" s="0" t="str">
        <f aca="false">RIGHT(M1517,LEN(M1517)-FIND(" ",M1517))</f>
        <v>MAHONING AVE NW</v>
      </c>
      <c r="O1517" s="0" t="s">
        <v>6984</v>
      </c>
      <c r="P1517" s="0" t="s">
        <v>146</v>
      </c>
      <c r="Q1517" s="0" t="s">
        <v>147</v>
      </c>
      <c r="R1517" s="0" t="n">
        <v>44483</v>
      </c>
      <c r="AD1517" s="0" t="s">
        <v>148</v>
      </c>
      <c r="AE1517" s="0" t="s">
        <v>149</v>
      </c>
      <c r="AF1517" s="0" t="s">
        <v>150</v>
      </c>
      <c r="AH1517" s="0" t="n">
        <v>14</v>
      </c>
      <c r="AI1517" s="0" t="n">
        <v>11</v>
      </c>
      <c r="AN1517" s="0" t="s">
        <v>146</v>
      </c>
      <c r="AO1517" s="0" t="s">
        <v>151</v>
      </c>
      <c r="AP1517" s="0" t="s">
        <v>152</v>
      </c>
      <c r="AQ1517" s="0" t="n">
        <v>9</v>
      </c>
      <c r="AR1517" s="0" t="n">
        <v>64</v>
      </c>
      <c r="AS1517" s="0" t="n">
        <v>32</v>
      </c>
      <c r="AU1517" s="0" t="n">
        <f aca="false">COUNTA($BA$1908:$EH$1908)</f>
        <v>3</v>
      </c>
      <c r="AV1517" s="0" t="n">
        <f aca="false">COUNTIF($BA$1908:$EH$1908,"D")</f>
        <v>0</v>
      </c>
      <c r="AW1517" s="0" t="n">
        <f aca="false">COUNTIF($BA$1908:$EH$1908,"R")</f>
        <v>0</v>
      </c>
      <c r="AX1517" s="0" t="n">
        <f aca="false"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>1</v>
      </c>
      <c r="AY1517" s="0" t="n">
        <f aca="false">COUNTIF(DU1517:EH1517, "&lt;&gt;")</f>
        <v>1</v>
      </c>
      <c r="AZ1517" s="0" t="n">
        <f aca="false">IF(EH1517&lt;&gt;"",1,0)</f>
        <v>0</v>
      </c>
      <c r="BB1517" s="0" t="s">
        <v>153</v>
      </c>
      <c r="BI1517" s="0" t="s">
        <v>154</v>
      </c>
      <c r="BJ1517" s="0" t="s">
        <v>154</v>
      </c>
      <c r="BK1517" s="0" t="s">
        <v>154</v>
      </c>
      <c r="BL1517" s="0" t="s">
        <v>154</v>
      </c>
      <c r="BP1517" s="0" t="s">
        <v>154</v>
      </c>
      <c r="BS1517" s="0" t="s">
        <v>154</v>
      </c>
      <c r="BV1517" s="0" t="s">
        <v>154</v>
      </c>
      <c r="BY1517" s="0" t="s">
        <v>155</v>
      </c>
      <c r="CA1517" s="0" t="s">
        <v>154</v>
      </c>
      <c r="CG1517" s="0" t="s">
        <v>154</v>
      </c>
      <c r="CH1517" s="0" t="s">
        <v>176</v>
      </c>
      <c r="CK1517" s="0" t="s">
        <v>154</v>
      </c>
      <c r="CN1517" s="0" t="s">
        <v>154</v>
      </c>
      <c r="CO1517" s="0" t="s">
        <v>155</v>
      </c>
      <c r="CP1517" s="0" t="s">
        <v>154</v>
      </c>
      <c r="CT1517" s="0" t="s">
        <v>154</v>
      </c>
      <c r="CU1517" s="0" t="s">
        <v>176</v>
      </c>
      <c r="CV1517" s="0" t="s">
        <v>154</v>
      </c>
      <c r="CY1517" s="0" t="s">
        <v>154</v>
      </c>
      <c r="CZ1517" s="0" t="s">
        <v>176</v>
      </c>
      <c r="DC1517" s="0" t="s">
        <v>154</v>
      </c>
      <c r="DG1517" s="0" t="s">
        <v>155</v>
      </c>
      <c r="DI1517" s="0" t="s">
        <v>154</v>
      </c>
      <c r="DJ1517" s="0" t="s">
        <v>155</v>
      </c>
      <c r="DM1517" s="0" t="s">
        <v>155</v>
      </c>
      <c r="DN1517" s="0" t="s">
        <v>154</v>
      </c>
      <c r="EF1517" s="0" t="s">
        <v>154</v>
      </c>
    </row>
    <row r="1518" customFormat="false" ht="13.8" hidden="false" customHeight="false" outlineLevel="0" collapsed="false">
      <c r="A1518" s="0" t="s">
        <v>6985</v>
      </c>
      <c r="B1518" s="0" t="n">
        <v>78</v>
      </c>
      <c r="C1518" s="0" t="n">
        <v>67725</v>
      </c>
      <c r="D1518" s="0" t="s">
        <v>6986</v>
      </c>
      <c r="E1518" s="0" t="s">
        <v>619</v>
      </c>
      <c r="F1518" s="0" t="str">
        <f aca="false">CONCATENATE(D1518," ",LEFT(H1518,4),"T=",AU1518,"D=",AV1518,"R=",AW1518,"M=",AX1518,"L=",AY1518,"B=",AZ1518)</f>
        <v>SLOAN T=8D=0R=0M=0L=2B=0</v>
      </c>
      <c r="G1518" s="0" t="s">
        <v>241</v>
      </c>
      <c r="I1518" s="0" t="s">
        <v>6987</v>
      </c>
      <c r="J1518" s="0" t="s">
        <v>6988</v>
      </c>
      <c r="K1518" s="0" t="s">
        <v>175</v>
      </c>
      <c r="M1518" s="0" t="s">
        <v>6880</v>
      </c>
      <c r="N1518" s="0" t="str">
        <f aca="false">RIGHT(M1518,LEN(M1518)-FIND(" ",M1518))</f>
        <v>MAHONING AVE NW</v>
      </c>
      <c r="O1518" s="0" t="s">
        <v>6905</v>
      </c>
      <c r="P1518" s="0" t="s">
        <v>146</v>
      </c>
      <c r="Q1518" s="0" t="s">
        <v>147</v>
      </c>
      <c r="R1518" s="0" t="n">
        <v>44483</v>
      </c>
      <c r="AD1518" s="0" t="s">
        <v>148</v>
      </c>
      <c r="AE1518" s="0" t="s">
        <v>149</v>
      </c>
      <c r="AF1518" s="0" t="s">
        <v>150</v>
      </c>
      <c r="AH1518" s="0" t="n">
        <v>14</v>
      </c>
      <c r="AI1518" s="0" t="n">
        <v>11</v>
      </c>
      <c r="AN1518" s="0" t="s">
        <v>146</v>
      </c>
      <c r="AO1518" s="0" t="s">
        <v>151</v>
      </c>
      <c r="AP1518" s="0" t="s">
        <v>152</v>
      </c>
      <c r="AQ1518" s="0" t="n">
        <v>9</v>
      </c>
      <c r="AR1518" s="0" t="n">
        <v>64</v>
      </c>
      <c r="AS1518" s="0" t="n">
        <v>32</v>
      </c>
      <c r="AU1518" s="0" t="n">
        <f aca="false">COUNTA($BA$1911:$EH$1911)</f>
        <v>8</v>
      </c>
      <c r="AV1518" s="0" t="n">
        <f aca="false">COUNTIF($BA$1911:$EH$1911,"D")</f>
        <v>0</v>
      </c>
      <c r="AW1518" s="0" t="n">
        <f aca="false">COUNTIF($BA$1911:$EH$1911,"R")</f>
        <v>0</v>
      </c>
      <c r="AX1518" s="0" t="n">
        <f aca="false"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>0</v>
      </c>
      <c r="AY1518" s="0" t="n">
        <f aca="false">COUNTIF(DU1518:EH1518, "&lt;&gt;")</f>
        <v>2</v>
      </c>
      <c r="AZ1518" s="0" t="n">
        <f aca="false">IF(EH1518&lt;&gt;"",1,0)</f>
        <v>0</v>
      </c>
      <c r="BB1518" s="0" t="s">
        <v>153</v>
      </c>
      <c r="BC1518" s="0" t="s">
        <v>154</v>
      </c>
      <c r="BD1518" s="0" t="s">
        <v>154</v>
      </c>
      <c r="BF1518" s="0" t="s">
        <v>154</v>
      </c>
      <c r="BH1518" s="0" t="s">
        <v>154</v>
      </c>
      <c r="BJ1518" s="0" t="s">
        <v>154</v>
      </c>
      <c r="BK1518" s="0" t="s">
        <v>154</v>
      </c>
      <c r="BL1518" s="0" t="s">
        <v>154</v>
      </c>
      <c r="BP1518" s="0" t="s">
        <v>154</v>
      </c>
      <c r="BS1518" s="0" t="s">
        <v>154</v>
      </c>
      <c r="BV1518" s="0" t="s">
        <v>154</v>
      </c>
      <c r="BY1518" s="0" t="s">
        <v>176</v>
      </c>
      <c r="CA1518" s="0" t="s">
        <v>154</v>
      </c>
      <c r="CG1518" s="0" t="s">
        <v>154</v>
      </c>
      <c r="CH1518" s="0" t="s">
        <v>176</v>
      </c>
      <c r="CK1518" s="0" t="s">
        <v>154</v>
      </c>
      <c r="CN1518" s="0" t="s">
        <v>154</v>
      </c>
      <c r="CO1518" s="0" t="s">
        <v>176</v>
      </c>
      <c r="CP1518" s="0" t="s">
        <v>154</v>
      </c>
      <c r="CQ1518" s="0" t="s">
        <v>154</v>
      </c>
      <c r="CT1518" s="0" t="s">
        <v>154</v>
      </c>
      <c r="CU1518" s="0" t="s">
        <v>176</v>
      </c>
      <c r="CV1518" s="0" t="s">
        <v>154</v>
      </c>
      <c r="CY1518" s="0" t="s">
        <v>154</v>
      </c>
      <c r="CZ1518" s="0" t="s">
        <v>176</v>
      </c>
      <c r="DC1518" s="0" t="s">
        <v>154</v>
      </c>
      <c r="DF1518" s="0" t="s">
        <v>154</v>
      </c>
      <c r="DI1518" s="0" t="s">
        <v>154</v>
      </c>
      <c r="DL1518" s="0" t="s">
        <v>154</v>
      </c>
      <c r="DM1518" s="0" t="s">
        <v>176</v>
      </c>
      <c r="DN1518" s="0" t="s">
        <v>154</v>
      </c>
      <c r="DR1518" s="0" t="s">
        <v>154</v>
      </c>
      <c r="DW1518" s="0" t="s">
        <v>154</v>
      </c>
      <c r="DX1518" s="0" t="s">
        <v>154</v>
      </c>
    </row>
    <row r="1519" customFormat="false" ht="13.8" hidden="false" customHeight="false" outlineLevel="0" collapsed="false">
      <c r="A1519" s="0" t="s">
        <v>6989</v>
      </c>
      <c r="B1519" s="0" t="n">
        <v>78</v>
      </c>
      <c r="C1519" s="0" t="n">
        <v>88720</v>
      </c>
      <c r="D1519" s="0" t="s">
        <v>6990</v>
      </c>
      <c r="E1519" s="0" t="s">
        <v>2292</v>
      </c>
      <c r="F1519" s="0" t="str">
        <f aca="false">CONCATENATE(D1519," ",LEFT(H1519,4),"T=",AU1519,"D=",AV1519,"R=",AW1519,"M=",AX1519,"L=",AY1519,"B=",AZ1519)</f>
        <v>GIZZI T=1D=0R=0M=0L=5B=0</v>
      </c>
      <c r="G1519" s="0" t="s">
        <v>365</v>
      </c>
      <c r="I1519" s="0" t="s">
        <v>6991</v>
      </c>
      <c r="J1519" s="0" t="s">
        <v>6992</v>
      </c>
      <c r="K1519" s="0" t="s">
        <v>175</v>
      </c>
      <c r="L1519" s="1" t="s">
        <v>176</v>
      </c>
      <c r="M1519" s="0" t="s">
        <v>6880</v>
      </c>
      <c r="N1519" s="0" t="str">
        <f aca="false">RIGHT(M1519,LEN(M1519)-FIND(" ",M1519))</f>
        <v>MAHONING AVE NW</v>
      </c>
      <c r="O1519" s="0" t="s">
        <v>6993</v>
      </c>
      <c r="P1519" s="0" t="s">
        <v>146</v>
      </c>
      <c r="Q1519" s="0" t="s">
        <v>147</v>
      </c>
      <c r="R1519" s="0" t="n">
        <v>44483</v>
      </c>
      <c r="AD1519" s="0" t="s">
        <v>148</v>
      </c>
      <c r="AE1519" s="0" t="s">
        <v>149</v>
      </c>
      <c r="AF1519" s="0" t="s">
        <v>150</v>
      </c>
      <c r="AH1519" s="0" t="n">
        <v>14</v>
      </c>
      <c r="AI1519" s="0" t="n">
        <v>11</v>
      </c>
      <c r="AN1519" s="0" t="s">
        <v>146</v>
      </c>
      <c r="AO1519" s="0" t="s">
        <v>151</v>
      </c>
      <c r="AP1519" s="0" t="s">
        <v>152</v>
      </c>
      <c r="AQ1519" s="0" t="n">
        <v>9</v>
      </c>
      <c r="AR1519" s="0" t="n">
        <v>64</v>
      </c>
      <c r="AS1519" s="0" t="n">
        <v>32</v>
      </c>
      <c r="AU1519" s="0" t="n">
        <f aca="false">COUNTA($BA$2036:$EH$2036)</f>
        <v>1</v>
      </c>
      <c r="AV1519" s="0" t="n">
        <f aca="false">COUNTIF($BA$2036:$EH$2036,"D")</f>
        <v>0</v>
      </c>
      <c r="AW1519" s="0" t="n">
        <f aca="false">COUNTIF($BA$2036:$EH$2036,"R")</f>
        <v>0</v>
      </c>
      <c r="AX1519" s="0" t="n">
        <f aca="false"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>0</v>
      </c>
      <c r="AY1519" s="0" t="n">
        <f aca="false">COUNTIF(DU1519:EH1519, "&lt;&gt;")</f>
        <v>5</v>
      </c>
      <c r="AZ1519" s="0" t="n">
        <f aca="false">IF(EH1519&lt;&gt;"",1,0)</f>
        <v>0</v>
      </c>
      <c r="BB1519" s="0" t="s">
        <v>153</v>
      </c>
      <c r="BC1519" s="0" t="s">
        <v>154</v>
      </c>
      <c r="BD1519" s="0" t="s">
        <v>154</v>
      </c>
      <c r="BF1519" s="0" t="s">
        <v>154</v>
      </c>
      <c r="BG1519" s="0" t="s">
        <v>154</v>
      </c>
      <c r="BH1519" s="0" t="s">
        <v>154</v>
      </c>
      <c r="BJ1519" s="0" t="s">
        <v>154</v>
      </c>
      <c r="BK1519" s="0" t="s">
        <v>154</v>
      </c>
      <c r="BL1519" s="0" t="s">
        <v>154</v>
      </c>
      <c r="BR1519" s="0" t="s">
        <v>154</v>
      </c>
      <c r="BS1519" s="0" t="s">
        <v>154</v>
      </c>
      <c r="BV1519" s="0" t="s">
        <v>154</v>
      </c>
      <c r="BY1519" s="0" t="s">
        <v>176</v>
      </c>
      <c r="CA1519" s="0" t="s">
        <v>154</v>
      </c>
      <c r="CG1519" s="0" t="s">
        <v>154</v>
      </c>
      <c r="CH1519" s="0" t="s">
        <v>176</v>
      </c>
      <c r="CK1519" s="0" t="s">
        <v>154</v>
      </c>
      <c r="CL1519" s="0" t="s">
        <v>154</v>
      </c>
      <c r="CN1519" s="0" t="s">
        <v>154</v>
      </c>
      <c r="CO1519" s="0" t="s">
        <v>176</v>
      </c>
      <c r="CP1519" s="0" t="s">
        <v>154</v>
      </c>
      <c r="CQ1519" s="0" t="s">
        <v>154</v>
      </c>
      <c r="CT1519" s="0" t="s">
        <v>154</v>
      </c>
      <c r="CU1519" s="0" t="s">
        <v>176</v>
      </c>
      <c r="CV1519" s="0" t="s">
        <v>154</v>
      </c>
      <c r="CY1519" s="0" t="s">
        <v>154</v>
      </c>
      <c r="CZ1519" s="0" t="s">
        <v>176</v>
      </c>
      <c r="DC1519" s="0" t="s">
        <v>154</v>
      </c>
      <c r="DG1519" s="0" t="s">
        <v>176</v>
      </c>
      <c r="DI1519" s="0" t="s">
        <v>154</v>
      </c>
      <c r="DL1519" s="0" t="s">
        <v>154</v>
      </c>
      <c r="DN1519" s="0" t="s">
        <v>154</v>
      </c>
      <c r="DR1519" s="0" t="s">
        <v>154</v>
      </c>
      <c r="DS1519" s="0" t="s">
        <v>176</v>
      </c>
      <c r="DT1519" s="0" t="s">
        <v>176</v>
      </c>
      <c r="DU1519" s="0" t="s">
        <v>154</v>
      </c>
      <c r="DX1519" s="0" t="s">
        <v>154</v>
      </c>
      <c r="EA1519" s="0" t="s">
        <v>154</v>
      </c>
      <c r="ED1519" s="0" t="s">
        <v>176</v>
      </c>
      <c r="EF1519" s="0" t="s">
        <v>154</v>
      </c>
    </row>
    <row r="1520" customFormat="false" ht="13.8" hidden="false" customHeight="false" outlineLevel="0" collapsed="false">
      <c r="A1520" s="0" t="s">
        <v>6994</v>
      </c>
      <c r="B1520" s="0" t="n">
        <v>78</v>
      </c>
      <c r="C1520" s="0" t="n">
        <v>298690</v>
      </c>
      <c r="D1520" s="0" t="s">
        <v>6995</v>
      </c>
      <c r="E1520" s="0" t="s">
        <v>750</v>
      </c>
      <c r="F1520" s="0" t="str">
        <f aca="false">CONCATENATE(D1520," ",LEFT(H1520,4),"T=",AU1520,"D=",AV1520,"R=",AW1520,"M=",AX1520,"L=",AY1520,"B=",AZ1520)</f>
        <v>DIGIOVANNI T=4D=1R=0M=2L=5B=0</v>
      </c>
      <c r="G1520" s="0" t="s">
        <v>188</v>
      </c>
      <c r="I1520" s="0" t="s">
        <v>4719</v>
      </c>
      <c r="J1520" s="0" t="s">
        <v>916</v>
      </c>
      <c r="K1520" s="0" t="s">
        <v>175</v>
      </c>
      <c r="L1520" s="1" t="s">
        <v>155</v>
      </c>
      <c r="M1520" s="0" t="s">
        <v>6996</v>
      </c>
      <c r="N1520" s="0" t="str">
        <f aca="false">RIGHT(M1520,LEN(M1520)-FIND(" ",M1520))</f>
        <v>MAHONING AVE NW</v>
      </c>
      <c r="P1520" s="0" t="s">
        <v>146</v>
      </c>
      <c r="Q1520" s="0" t="s">
        <v>147</v>
      </c>
      <c r="R1520" s="0" t="n">
        <v>44483</v>
      </c>
      <c r="AD1520" s="0" t="s">
        <v>148</v>
      </c>
      <c r="AE1520" s="0" t="s">
        <v>149</v>
      </c>
      <c r="AF1520" s="0" t="s">
        <v>150</v>
      </c>
      <c r="AH1520" s="0" t="n">
        <v>14</v>
      </c>
      <c r="AI1520" s="0" t="n">
        <v>11</v>
      </c>
      <c r="AN1520" s="0" t="s">
        <v>146</v>
      </c>
      <c r="AO1520" s="0" t="s">
        <v>151</v>
      </c>
      <c r="AP1520" s="0" t="s">
        <v>152</v>
      </c>
      <c r="AQ1520" s="0" t="n">
        <v>9</v>
      </c>
      <c r="AR1520" s="0" t="n">
        <v>64</v>
      </c>
      <c r="AS1520" s="0" t="n">
        <v>32</v>
      </c>
      <c r="AU1520" s="0" t="n">
        <f aca="false">COUNTA($BA$1597:$EH$1597)</f>
        <v>4</v>
      </c>
      <c r="AV1520" s="0" t="n">
        <f aca="false">COUNTIF($BA$1597:$EH$1597,"D")</f>
        <v>1</v>
      </c>
      <c r="AW1520" s="0" t="n">
        <f aca="false">COUNTIF($BA$1597:$EH$1597,"R")</f>
        <v>0</v>
      </c>
      <c r="AX1520" s="0" t="n">
        <f aca="false"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>2</v>
      </c>
      <c r="AY1520" s="0" t="n">
        <f aca="false">COUNTIF(DU1520:EH1520, "&lt;&gt;")</f>
        <v>5</v>
      </c>
      <c r="AZ1520" s="0" t="n">
        <f aca="false">IF(EH1520&lt;&gt;"",1,0)</f>
        <v>0</v>
      </c>
      <c r="BB1520" s="0" t="s">
        <v>153</v>
      </c>
      <c r="BD1520" s="0" t="s">
        <v>154</v>
      </c>
      <c r="BL1520" s="0" t="s">
        <v>154</v>
      </c>
      <c r="CA1520" s="0" t="s">
        <v>154</v>
      </c>
      <c r="CG1520" s="0" t="s">
        <v>154</v>
      </c>
      <c r="CK1520" s="0" t="s">
        <v>154</v>
      </c>
      <c r="CP1520" s="0" t="s">
        <v>154</v>
      </c>
      <c r="CV1520" s="0" t="s">
        <v>154</v>
      </c>
      <c r="CY1520" s="0" t="s">
        <v>154</v>
      </c>
      <c r="CZ1520" s="0" t="s">
        <v>176</v>
      </c>
      <c r="DC1520" s="0" t="s">
        <v>154</v>
      </c>
      <c r="DI1520" s="0" t="s">
        <v>154</v>
      </c>
      <c r="DJ1520" s="0" t="s">
        <v>155</v>
      </c>
      <c r="DN1520" s="0" t="s">
        <v>154</v>
      </c>
      <c r="DW1520" s="0" t="s">
        <v>155</v>
      </c>
      <c r="DX1520" s="0" t="s">
        <v>154</v>
      </c>
      <c r="EA1520" s="0" t="s">
        <v>154</v>
      </c>
      <c r="ED1520" s="0" t="s">
        <v>155</v>
      </c>
      <c r="EF1520" s="0" t="s">
        <v>154</v>
      </c>
    </row>
    <row r="1521" customFormat="false" ht="13.8" hidden="true" customHeight="false" outlineLevel="0" collapsed="false">
      <c r="A1521" s="0" t="s">
        <v>6997</v>
      </c>
      <c r="B1521" s="0" t="n">
        <v>78</v>
      </c>
      <c r="C1521" s="0" t="n">
        <v>445827</v>
      </c>
      <c r="D1521" s="0" t="s">
        <v>5164</v>
      </c>
      <c r="E1521" s="0" t="s">
        <v>1039</v>
      </c>
      <c r="F1521" s="0" t="str">
        <f aca="false">CONCATENATE(D1521," ",LEFT(H1521,4),"T=",AU1521,"D=",AV1521,"R=",AW1521,"M=",AX1521,"L=",AY1521,"B=",AZ1521)</f>
        <v>HICKMAN T=2D=0R=0M=0L=0B=0</v>
      </c>
      <c r="G1521" s="0" t="s">
        <v>2551</v>
      </c>
      <c r="I1521" s="0" t="s">
        <v>6998</v>
      </c>
      <c r="J1521" s="0" t="s">
        <v>6999</v>
      </c>
      <c r="K1521" s="0" t="s">
        <v>175</v>
      </c>
      <c r="L1521" s="0"/>
      <c r="M1521" s="0" t="s">
        <v>7000</v>
      </c>
      <c r="N1521" s="0" t="str">
        <f aca="false">RIGHT(M1521,LEN(M1521)-FIND(" ",M1521))</f>
        <v>MAHONING AVE NW</v>
      </c>
      <c r="P1521" s="0" t="s">
        <v>146</v>
      </c>
      <c r="Q1521" s="0" t="s">
        <v>147</v>
      </c>
      <c r="R1521" s="0" t="n">
        <v>44483</v>
      </c>
      <c r="AD1521" s="0" t="s">
        <v>148</v>
      </c>
      <c r="AE1521" s="0" t="s">
        <v>149</v>
      </c>
      <c r="AF1521" s="0" t="s">
        <v>150</v>
      </c>
      <c r="AH1521" s="0" t="n">
        <v>14</v>
      </c>
      <c r="AI1521" s="0" t="n">
        <v>11</v>
      </c>
      <c r="AN1521" s="0" t="s">
        <v>146</v>
      </c>
      <c r="AO1521" s="0" t="s">
        <v>151</v>
      </c>
      <c r="AP1521" s="0" t="s">
        <v>152</v>
      </c>
      <c r="AQ1521" s="0" t="n">
        <v>9</v>
      </c>
      <c r="AR1521" s="0" t="n">
        <v>64</v>
      </c>
      <c r="AS1521" s="0" t="n">
        <v>32</v>
      </c>
      <c r="AU1521" s="0" t="n">
        <f aca="false">COUNTA($BA$1768:$EH$1768)</f>
        <v>2</v>
      </c>
      <c r="AV1521" s="0" t="n">
        <f aca="false">COUNTIF($BA$1768:$EH$1768,"D")</f>
        <v>0</v>
      </c>
      <c r="AW1521" s="0" t="n">
        <f aca="false">COUNTIF($BA$1768:$EH$1768,"R")</f>
        <v>0</v>
      </c>
      <c r="AX1521" s="0" t="n">
        <f aca="false"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>0</v>
      </c>
      <c r="AY1521" s="0" t="n">
        <f aca="false">COUNTIF(DU1521:EH1521, "&lt;&gt;")</f>
        <v>0</v>
      </c>
      <c r="AZ1521" s="0" t="n">
        <f aca="false">IF(EH1521&lt;&gt;"",1,0)</f>
        <v>0</v>
      </c>
      <c r="BB1521" s="0" t="s">
        <v>153</v>
      </c>
      <c r="CP1521" s="0" t="s">
        <v>154</v>
      </c>
    </row>
    <row r="1522" customFormat="false" ht="13.8" hidden="true" customHeight="false" outlineLevel="0" collapsed="false">
      <c r="A1522" s="0" t="s">
        <v>7001</v>
      </c>
      <c r="B1522" s="0" t="n">
        <v>78</v>
      </c>
      <c r="C1522" s="0" t="n">
        <v>470521</v>
      </c>
      <c r="D1522" s="0" t="s">
        <v>7002</v>
      </c>
      <c r="E1522" s="0" t="s">
        <v>7003</v>
      </c>
      <c r="F1522" s="0" t="str">
        <f aca="false">CONCATENATE(D1522," ",LEFT(H1522,4),"T=",AU1522,"D=",AV1522,"R=",AW1522,"M=",AX1522,"L=",AY1522,"B=",AZ1522)</f>
        <v>TATE T=1D=0R=0M=0L=0B=0</v>
      </c>
      <c r="G1522" s="0" t="s">
        <v>7004</v>
      </c>
      <c r="I1522" s="0" t="s">
        <v>7005</v>
      </c>
      <c r="J1522" s="0" t="s">
        <v>757</v>
      </c>
      <c r="K1522" s="0" t="s">
        <v>175</v>
      </c>
      <c r="L1522" s="0"/>
      <c r="M1522" s="0" t="s">
        <v>7006</v>
      </c>
      <c r="N1522" s="0" t="str">
        <f aca="false">RIGHT(M1522,LEN(M1522)-FIND(" ",M1522))</f>
        <v>MAHONING AVE NW</v>
      </c>
      <c r="O1522" s="0" t="s">
        <v>7007</v>
      </c>
      <c r="P1522" s="0" t="s">
        <v>146</v>
      </c>
      <c r="Q1522" s="0" t="s">
        <v>147</v>
      </c>
      <c r="R1522" s="0" t="n">
        <v>44483</v>
      </c>
      <c r="AD1522" s="0" t="s">
        <v>148</v>
      </c>
      <c r="AE1522" s="0" t="s">
        <v>149</v>
      </c>
      <c r="AF1522" s="0" t="s">
        <v>150</v>
      </c>
      <c r="AH1522" s="0" t="n">
        <v>14</v>
      </c>
      <c r="AI1522" s="0" t="n">
        <v>11</v>
      </c>
      <c r="AN1522" s="0" t="s">
        <v>146</v>
      </c>
      <c r="AO1522" s="0" t="s">
        <v>151</v>
      </c>
      <c r="AP1522" s="0" t="s">
        <v>152</v>
      </c>
      <c r="AQ1522" s="0" t="n">
        <v>9</v>
      </c>
      <c r="AR1522" s="0" t="n">
        <v>64</v>
      </c>
      <c r="AS1522" s="0" t="n">
        <v>32</v>
      </c>
      <c r="AU1522" s="0" t="n">
        <f aca="false">COUNTA($BA$1114:$EH$1114)</f>
        <v>1</v>
      </c>
      <c r="AV1522" s="0" t="n">
        <f aca="false">COUNTIF($BA$1114:$EH$1114,"D")</f>
        <v>0</v>
      </c>
      <c r="AW1522" s="0" t="n">
        <f aca="false">COUNTIF($BA$1114:$EH$1114,"R")</f>
        <v>0</v>
      </c>
      <c r="AX1522" s="0" t="n">
        <f aca="false"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>0</v>
      </c>
      <c r="AY1522" s="0" t="n">
        <f aca="false">COUNTIF(DU1522:EH1522, "&lt;&gt;")</f>
        <v>0</v>
      </c>
      <c r="AZ1522" s="0" t="n">
        <f aca="false">IF(EH1522&lt;&gt;"",1,0)</f>
        <v>0</v>
      </c>
      <c r="BB1522" s="0" t="s">
        <v>153</v>
      </c>
    </row>
    <row r="1523" customFormat="false" ht="13.8" hidden="true" customHeight="false" outlineLevel="0" collapsed="false">
      <c r="A1523" s="0" t="s">
        <v>7008</v>
      </c>
      <c r="B1523" s="0" t="n">
        <v>78</v>
      </c>
      <c r="C1523" s="0" t="n">
        <v>470834</v>
      </c>
      <c r="D1523" s="0" t="s">
        <v>1050</v>
      </c>
      <c r="E1523" s="0" t="s">
        <v>7009</v>
      </c>
      <c r="F1523" s="0" t="str">
        <f aca="false">CONCATENATE(D1523," ",LEFT(H1523,4),"T=",AU1523,"D=",AV1523,"R=",AW1523,"M=",AX1523,"L=",AY1523,"B=",AZ1523)</f>
        <v>JOHNSON T=1D=0R=0M=0L=0B=0</v>
      </c>
      <c r="G1523" s="0" t="s">
        <v>7010</v>
      </c>
      <c r="I1523" s="0" t="s">
        <v>7011</v>
      </c>
      <c r="J1523" s="0" t="s">
        <v>5030</v>
      </c>
      <c r="K1523" s="0" t="s">
        <v>175</v>
      </c>
      <c r="L1523" s="0"/>
      <c r="M1523" s="0" t="s">
        <v>7006</v>
      </c>
      <c r="N1523" s="0" t="str">
        <f aca="false">RIGHT(M1523,LEN(M1523)-FIND(" ",M1523))</f>
        <v>MAHONING AVE NW</v>
      </c>
      <c r="O1523" s="0" t="s">
        <v>6897</v>
      </c>
      <c r="P1523" s="0" t="s">
        <v>146</v>
      </c>
      <c r="Q1523" s="0" t="s">
        <v>147</v>
      </c>
      <c r="R1523" s="0" t="n">
        <v>44483</v>
      </c>
      <c r="AD1523" s="0" t="s">
        <v>148</v>
      </c>
      <c r="AE1523" s="0" t="s">
        <v>149</v>
      </c>
      <c r="AF1523" s="0" t="s">
        <v>150</v>
      </c>
      <c r="AH1523" s="0" t="n">
        <v>14</v>
      </c>
      <c r="AI1523" s="0" t="n">
        <v>11</v>
      </c>
      <c r="AN1523" s="0" t="s">
        <v>146</v>
      </c>
      <c r="AO1523" s="0" t="s">
        <v>151</v>
      </c>
      <c r="AP1523" s="0" t="s">
        <v>152</v>
      </c>
      <c r="AQ1523" s="0" t="n">
        <v>9</v>
      </c>
      <c r="AR1523" s="0" t="n">
        <v>64</v>
      </c>
      <c r="AS1523" s="0" t="n">
        <v>32</v>
      </c>
      <c r="AU1523" s="0" t="n">
        <f aca="false">COUNTA($BA$1428:$EH$1428)</f>
        <v>1</v>
      </c>
      <c r="AV1523" s="0" t="n">
        <f aca="false">COUNTIF($BA$1428:$EH$1428,"D")</f>
        <v>0</v>
      </c>
      <c r="AW1523" s="0" t="n">
        <f aca="false">COUNTIF($BA$1428:$EH$1428,"R")</f>
        <v>0</v>
      </c>
      <c r="AX1523" s="0" t="n">
        <f aca="false"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>0</v>
      </c>
      <c r="AY1523" s="0" t="n">
        <f aca="false">COUNTIF(DU1523:EH1523, "&lt;&gt;")</f>
        <v>0</v>
      </c>
      <c r="AZ1523" s="0" t="n">
        <f aca="false">IF(EH1523&lt;&gt;"",1,0)</f>
        <v>0</v>
      </c>
      <c r="BB1523" s="0" t="s">
        <v>153</v>
      </c>
    </row>
    <row r="1524" customFormat="false" ht="13.8" hidden="false" customHeight="false" outlineLevel="0" collapsed="false">
      <c r="A1524" s="0" t="s">
        <v>7012</v>
      </c>
      <c r="B1524" s="0" t="n">
        <v>78</v>
      </c>
      <c r="C1524" s="0" t="n">
        <v>390942</v>
      </c>
      <c r="D1524" s="0" t="s">
        <v>309</v>
      </c>
      <c r="E1524" s="0" t="s">
        <v>7013</v>
      </c>
      <c r="F1524" s="0" t="str">
        <f aca="false">CONCATENATE(D1524," ",LEFT(H1524,4),"T=",AU1524,"D=",AV1524,"R=",AW1524,"M=",AX1524,"L=",AY1524,"B=",AZ1524)</f>
        <v>BROWN T=1D=0R=0M=0L=3B=0</v>
      </c>
      <c r="G1524" s="0" t="s">
        <v>155</v>
      </c>
      <c r="I1524" s="0" t="s">
        <v>7014</v>
      </c>
      <c r="J1524" s="0" t="s">
        <v>395</v>
      </c>
      <c r="K1524" s="0" t="s">
        <v>175</v>
      </c>
      <c r="M1524" s="0" t="s">
        <v>7006</v>
      </c>
      <c r="N1524" s="0" t="str">
        <f aca="false">RIGHT(M1524,LEN(M1524)-FIND(" ",M1524))</f>
        <v>MAHONING AVE NW</v>
      </c>
      <c r="O1524" s="0" t="s">
        <v>6943</v>
      </c>
      <c r="P1524" s="0" t="s">
        <v>146</v>
      </c>
      <c r="Q1524" s="0" t="s">
        <v>147</v>
      </c>
      <c r="R1524" s="0" t="n">
        <v>44483</v>
      </c>
      <c r="AD1524" s="0" t="s">
        <v>148</v>
      </c>
      <c r="AE1524" s="0" t="s">
        <v>149</v>
      </c>
      <c r="AF1524" s="0" t="s">
        <v>150</v>
      </c>
      <c r="AH1524" s="0" t="n">
        <v>14</v>
      </c>
      <c r="AI1524" s="0" t="n">
        <v>11</v>
      </c>
      <c r="AN1524" s="0" t="s">
        <v>146</v>
      </c>
      <c r="AO1524" s="0" t="s">
        <v>151</v>
      </c>
      <c r="AP1524" s="0" t="s">
        <v>152</v>
      </c>
      <c r="AQ1524" s="0" t="n">
        <v>9</v>
      </c>
      <c r="AR1524" s="0" t="n">
        <v>64</v>
      </c>
      <c r="AS1524" s="0" t="n">
        <v>32</v>
      </c>
      <c r="AU1524" s="0" t="n">
        <f aca="false">COUNTA($BA$1450:$EH$1450)</f>
        <v>1</v>
      </c>
      <c r="AV1524" s="0" t="n">
        <f aca="false">COUNTIF($BA$1450:$EH$1450,"D")</f>
        <v>0</v>
      </c>
      <c r="AW1524" s="0" t="n">
        <f aca="false">COUNTIF($BA$1450:$EH$1450,"R")</f>
        <v>0</v>
      </c>
      <c r="AX1524" s="0" t="n">
        <f aca="false"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>0</v>
      </c>
      <c r="AY1524" s="0" t="n">
        <f aca="false">COUNTIF(DU1524:EH1524, "&lt;&gt;")</f>
        <v>3</v>
      </c>
      <c r="AZ1524" s="0" t="n">
        <f aca="false">IF(EH1524&lt;&gt;"",1,0)</f>
        <v>0</v>
      </c>
      <c r="BB1524" s="0" t="s">
        <v>153</v>
      </c>
      <c r="BL1524" s="0" t="s">
        <v>154</v>
      </c>
      <c r="BS1524" s="0" t="s">
        <v>154</v>
      </c>
      <c r="CZ1524" s="0" t="s">
        <v>155</v>
      </c>
      <c r="DC1524" s="0" t="s">
        <v>154</v>
      </c>
      <c r="DF1524" s="0" t="s">
        <v>154</v>
      </c>
      <c r="DN1524" s="0" t="s">
        <v>154</v>
      </c>
      <c r="DX1524" s="0" t="s">
        <v>154</v>
      </c>
      <c r="EA1524" s="0" t="s">
        <v>154</v>
      </c>
      <c r="EF1524" s="0" t="s">
        <v>154</v>
      </c>
    </row>
    <row r="1525" customFormat="false" ht="13.8" hidden="true" customHeight="false" outlineLevel="0" collapsed="false">
      <c r="A1525" s="0" t="s">
        <v>7015</v>
      </c>
      <c r="B1525" s="0" t="n">
        <v>78</v>
      </c>
      <c r="C1525" s="0" t="n">
        <v>301228</v>
      </c>
      <c r="D1525" s="0" t="s">
        <v>7016</v>
      </c>
      <c r="E1525" s="0" t="s">
        <v>7017</v>
      </c>
      <c r="F1525" s="0" t="str">
        <f aca="false">CONCATENATE(D1525," ",LEFT(H1525,4),"T=",AU1525,"D=",AV1525,"R=",AW1525,"M=",AX1525,"L=",AY1525,"B=",AZ1525)</f>
        <v>BURGESS T=1D=0R=0M=0L=0B=0</v>
      </c>
      <c r="G1525" s="0" t="s">
        <v>297</v>
      </c>
      <c r="I1525" s="0" t="s">
        <v>7018</v>
      </c>
      <c r="J1525" s="0" t="s">
        <v>757</v>
      </c>
      <c r="K1525" s="0" t="s">
        <v>175</v>
      </c>
      <c r="L1525" s="0"/>
      <c r="M1525" s="0" t="s">
        <v>7019</v>
      </c>
      <c r="N1525" s="0" t="str">
        <f aca="false">RIGHT(M1525,LEN(M1525)-FIND(" ",M1525))</f>
        <v>MAHONING AVE NW</v>
      </c>
      <c r="O1525" s="0" t="s">
        <v>6984</v>
      </c>
      <c r="P1525" s="0" t="s">
        <v>146</v>
      </c>
      <c r="Q1525" s="0" t="s">
        <v>147</v>
      </c>
      <c r="R1525" s="0" t="n">
        <v>44483</v>
      </c>
      <c r="AD1525" s="0" t="s">
        <v>148</v>
      </c>
      <c r="AE1525" s="0" t="s">
        <v>149</v>
      </c>
      <c r="AF1525" s="0" t="s">
        <v>150</v>
      </c>
      <c r="AH1525" s="0" t="n">
        <v>14</v>
      </c>
      <c r="AI1525" s="0" t="n">
        <v>11</v>
      </c>
      <c r="AN1525" s="0" t="s">
        <v>146</v>
      </c>
      <c r="AO1525" s="0" t="s">
        <v>151</v>
      </c>
      <c r="AP1525" s="0" t="s">
        <v>152</v>
      </c>
      <c r="AQ1525" s="0" t="n">
        <v>9</v>
      </c>
      <c r="AR1525" s="0" t="n">
        <v>64</v>
      </c>
      <c r="AS1525" s="0" t="n">
        <v>32</v>
      </c>
      <c r="AU1525" s="0" t="n">
        <f aca="false">COUNTA($BA$1101:$EH$1101)</f>
        <v>1</v>
      </c>
      <c r="AV1525" s="0" t="n">
        <f aca="false">COUNTIF($BA$1101:$EH$1101,"D")</f>
        <v>0</v>
      </c>
      <c r="AW1525" s="0" t="n">
        <f aca="false">COUNTIF($BA$1101:$EH$1101,"R")</f>
        <v>0</v>
      </c>
      <c r="AX1525" s="0" t="n">
        <f aca="false"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>0</v>
      </c>
      <c r="AY1525" s="0" t="n">
        <f aca="false">COUNTIF(DU1525:EH1525, "&lt;&gt;")</f>
        <v>0</v>
      </c>
      <c r="AZ1525" s="0" t="n">
        <f aca="false">IF(EH1525&lt;&gt;"",1,0)</f>
        <v>0</v>
      </c>
      <c r="BB1525" s="0" t="s">
        <v>153</v>
      </c>
      <c r="BJ1525" s="0" t="s">
        <v>154</v>
      </c>
      <c r="CP1525" s="0" t="s">
        <v>154</v>
      </c>
    </row>
    <row r="1526" customFormat="false" ht="13.8" hidden="true" customHeight="false" outlineLevel="0" collapsed="false">
      <c r="A1526" s="0" t="s">
        <v>7020</v>
      </c>
      <c r="B1526" s="0" t="n">
        <v>78</v>
      </c>
      <c r="C1526" s="0" t="n">
        <v>387526</v>
      </c>
      <c r="D1526" s="0" t="s">
        <v>830</v>
      </c>
      <c r="E1526" s="0" t="s">
        <v>7021</v>
      </c>
      <c r="F1526" s="0" t="str">
        <f aca="false">CONCATENATE(D1526," ",LEFT(H1526,4),"T=",AU1526,"D=",AV1526,"R=",AW1526,"M=",AX1526,"L=",AY1526,"B=",AZ1526)</f>
        <v>BRANTLEY T=19D=1R=2M=0L=0B=0</v>
      </c>
      <c r="G1526" s="0" t="s">
        <v>329</v>
      </c>
      <c r="I1526" s="0" t="s">
        <v>7022</v>
      </c>
      <c r="J1526" s="0" t="s">
        <v>757</v>
      </c>
      <c r="K1526" s="0" t="s">
        <v>175</v>
      </c>
      <c r="L1526" s="0"/>
      <c r="M1526" s="0" t="s">
        <v>7019</v>
      </c>
      <c r="N1526" s="0" t="str">
        <f aca="false">RIGHT(M1526,LEN(M1526)-FIND(" ",M1526))</f>
        <v>MAHONING AVE NW</v>
      </c>
      <c r="O1526" s="0" t="s">
        <v>7023</v>
      </c>
      <c r="P1526" s="0" t="s">
        <v>146</v>
      </c>
      <c r="Q1526" s="0" t="s">
        <v>147</v>
      </c>
      <c r="R1526" s="0" t="n">
        <v>44483</v>
      </c>
      <c r="AD1526" s="0" t="s">
        <v>148</v>
      </c>
      <c r="AE1526" s="0" t="s">
        <v>149</v>
      </c>
      <c r="AF1526" s="0" t="s">
        <v>150</v>
      </c>
      <c r="AH1526" s="0" t="n">
        <v>14</v>
      </c>
      <c r="AI1526" s="0" t="n">
        <v>11</v>
      </c>
      <c r="AN1526" s="0" t="s">
        <v>146</v>
      </c>
      <c r="AO1526" s="0" t="s">
        <v>151</v>
      </c>
      <c r="AP1526" s="0" t="s">
        <v>152</v>
      </c>
      <c r="AQ1526" s="0" t="n">
        <v>9</v>
      </c>
      <c r="AR1526" s="0" t="n">
        <v>64</v>
      </c>
      <c r="AS1526" s="0" t="n">
        <v>32</v>
      </c>
      <c r="AU1526" s="0" t="n">
        <f aca="false">COUNTA($BA$1106:$EH$1106)</f>
        <v>19</v>
      </c>
      <c r="AV1526" s="0" t="n">
        <f aca="false">COUNTIF($BA$1106:$EH$1106,"D")</f>
        <v>1</v>
      </c>
      <c r="AW1526" s="0" t="n">
        <f aca="false">COUNTIF($BA$1106:$EH$1106,"R")</f>
        <v>2</v>
      </c>
      <c r="AX1526" s="0" t="n">
        <f aca="false"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>0</v>
      </c>
      <c r="AY1526" s="0" t="n">
        <f aca="false">COUNTIF(DU1526:EH1526, "&lt;&gt;")</f>
        <v>0</v>
      </c>
      <c r="AZ1526" s="0" t="n">
        <f aca="false">IF(EH1526&lt;&gt;"",1,0)</f>
        <v>0</v>
      </c>
      <c r="BB1526" s="0" t="s">
        <v>153</v>
      </c>
      <c r="DN1526" s="0" t="s">
        <v>154</v>
      </c>
    </row>
    <row r="1527" customFormat="false" ht="13.8" hidden="false" customHeight="false" outlineLevel="0" collapsed="false">
      <c r="A1527" s="0" t="s">
        <v>7024</v>
      </c>
      <c r="B1527" s="0" t="n">
        <v>78</v>
      </c>
      <c r="C1527" s="0" t="n">
        <v>473922</v>
      </c>
      <c r="D1527" s="0" t="s">
        <v>7025</v>
      </c>
      <c r="E1527" s="0" t="s">
        <v>2374</v>
      </c>
      <c r="F1527" s="0" t="str">
        <f aca="false">CONCATENATE(D1527," ",LEFT(H1527,4),"T=",AU1527,"D=",AV1527,"R=",AW1527,"M=",AX1527,"L=",AY1527,"B=",AZ1527)</f>
        <v>TURNER T=11D=0R=1M=1L=6B=1</v>
      </c>
      <c r="G1527" s="0" t="s">
        <v>429</v>
      </c>
      <c r="I1527" s="0" t="s">
        <v>7026</v>
      </c>
      <c r="J1527" s="0" t="s">
        <v>7027</v>
      </c>
      <c r="K1527" s="0" t="s">
        <v>175</v>
      </c>
      <c r="L1527" s="1" t="s">
        <v>155</v>
      </c>
      <c r="M1527" s="0" t="s">
        <v>7019</v>
      </c>
      <c r="N1527" s="0" t="str">
        <f aca="false">RIGHT(M1527,LEN(M1527)-FIND(" ",M1527))</f>
        <v>MAHONING AVE NW</v>
      </c>
      <c r="O1527" s="0" t="s">
        <v>6947</v>
      </c>
      <c r="P1527" s="0" t="s">
        <v>146</v>
      </c>
      <c r="Q1527" s="0" t="s">
        <v>147</v>
      </c>
      <c r="R1527" s="0" t="n">
        <v>44483</v>
      </c>
      <c r="AD1527" s="0" t="s">
        <v>148</v>
      </c>
      <c r="AE1527" s="0" t="s">
        <v>149</v>
      </c>
      <c r="AF1527" s="0" t="s">
        <v>150</v>
      </c>
      <c r="AH1527" s="0" t="n">
        <v>14</v>
      </c>
      <c r="AI1527" s="0" t="n">
        <v>11</v>
      </c>
      <c r="AN1527" s="0" t="s">
        <v>146</v>
      </c>
      <c r="AO1527" s="0" t="s">
        <v>151</v>
      </c>
      <c r="AP1527" s="0" t="s">
        <v>152</v>
      </c>
      <c r="AQ1527" s="0" t="n">
        <v>9</v>
      </c>
      <c r="AR1527" s="0" t="n">
        <v>64</v>
      </c>
      <c r="AS1527" s="0" t="n">
        <v>32</v>
      </c>
      <c r="AU1527" s="0" t="n">
        <f aca="false">COUNTA($BA$1168:$EH$1168)</f>
        <v>11</v>
      </c>
      <c r="AV1527" s="0" t="n">
        <f aca="false">COUNTIF($BA$1168:$EH$1168,"D")</f>
        <v>0</v>
      </c>
      <c r="AW1527" s="0" t="n">
        <f aca="false">COUNTIF($BA$1168:$EH$1168,"R")</f>
        <v>1</v>
      </c>
      <c r="AX1527" s="0" t="n">
        <f aca="false"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>1</v>
      </c>
      <c r="AY1527" s="0" t="n">
        <f aca="false">COUNTIF(DU1527:EH1527, "&lt;&gt;")</f>
        <v>6</v>
      </c>
      <c r="AZ1527" s="0" t="n">
        <f aca="false">IF(EH1527&lt;&gt;"",1,0)</f>
        <v>1</v>
      </c>
      <c r="BB1527" s="0" t="s">
        <v>153</v>
      </c>
      <c r="BL1527" s="0" t="s">
        <v>154</v>
      </c>
      <c r="BP1527" s="0" t="s">
        <v>154</v>
      </c>
      <c r="BS1527" s="0" t="s">
        <v>154</v>
      </c>
      <c r="BV1527" s="0" t="s">
        <v>154</v>
      </c>
      <c r="CA1527" s="0" t="s">
        <v>154</v>
      </c>
      <c r="CG1527" s="0" t="s">
        <v>154</v>
      </c>
      <c r="CK1527" s="0" t="s">
        <v>154</v>
      </c>
      <c r="CN1527" s="0" t="s">
        <v>154</v>
      </c>
      <c r="CP1527" s="0" t="s">
        <v>154</v>
      </c>
      <c r="CT1527" s="0" t="s">
        <v>154</v>
      </c>
      <c r="CV1527" s="0" t="s">
        <v>154</v>
      </c>
      <c r="CY1527" s="0" t="s">
        <v>154</v>
      </c>
      <c r="DC1527" s="0" t="s">
        <v>154</v>
      </c>
      <c r="DD1527" s="0" t="s">
        <v>154</v>
      </c>
      <c r="DF1527" s="0" t="s">
        <v>154</v>
      </c>
      <c r="DN1527" s="0" t="s">
        <v>154</v>
      </c>
      <c r="DS1527" s="0" t="s">
        <v>155</v>
      </c>
      <c r="DU1527" s="0" t="s">
        <v>154</v>
      </c>
      <c r="DX1527" s="0" t="s">
        <v>154</v>
      </c>
      <c r="EA1527" s="0" t="s">
        <v>154</v>
      </c>
      <c r="ED1527" s="0" t="s">
        <v>155</v>
      </c>
      <c r="EF1527" s="0" t="s">
        <v>154</v>
      </c>
      <c r="EH1527" s="0" t="s">
        <v>155</v>
      </c>
    </row>
    <row r="1528" customFormat="false" ht="13.8" hidden="false" customHeight="false" outlineLevel="0" collapsed="false">
      <c r="A1528" s="0" t="s">
        <v>7028</v>
      </c>
      <c r="B1528" s="0" t="n">
        <v>78</v>
      </c>
      <c r="C1528" s="0" t="n">
        <v>395196</v>
      </c>
      <c r="D1528" s="0" t="s">
        <v>7029</v>
      </c>
      <c r="E1528" s="0" t="s">
        <v>2347</v>
      </c>
      <c r="F1528" s="0" t="str">
        <f aca="false">CONCATENATE(D1528," ",LEFT(H1528,4),"T=",AU1528,"D=",AV1528,"R=",AW1528,"M=",AX1528,"L=",AY1528,"B=",AZ1528)</f>
        <v>STANLEY T=1D=0R=0M=1L=5B=0</v>
      </c>
      <c r="G1528" s="0" t="s">
        <v>7030</v>
      </c>
      <c r="I1528" s="0" t="s">
        <v>7031</v>
      </c>
      <c r="J1528" s="0" t="s">
        <v>7032</v>
      </c>
      <c r="K1528" s="0" t="s">
        <v>175</v>
      </c>
      <c r="L1528" s="1" t="s">
        <v>176</v>
      </c>
      <c r="M1528" s="0" t="s">
        <v>7019</v>
      </c>
      <c r="N1528" s="0" t="str">
        <f aca="false">RIGHT(M1528,LEN(M1528)-FIND(" ",M1528))</f>
        <v>MAHONING AVE NW</v>
      </c>
      <c r="O1528" s="0" t="s">
        <v>6938</v>
      </c>
      <c r="P1528" s="0" t="s">
        <v>146</v>
      </c>
      <c r="Q1528" s="0" t="s">
        <v>147</v>
      </c>
      <c r="R1528" s="0" t="n">
        <v>44483</v>
      </c>
      <c r="AD1528" s="0" t="s">
        <v>148</v>
      </c>
      <c r="AE1528" s="0" t="s">
        <v>149</v>
      </c>
      <c r="AF1528" s="0" t="s">
        <v>150</v>
      </c>
      <c r="AH1528" s="0" t="n">
        <v>14</v>
      </c>
      <c r="AI1528" s="0" t="n">
        <v>11</v>
      </c>
      <c r="AN1528" s="0" t="s">
        <v>146</v>
      </c>
      <c r="AO1528" s="0" t="s">
        <v>151</v>
      </c>
      <c r="AP1528" s="0" t="s">
        <v>152</v>
      </c>
      <c r="AQ1528" s="0" t="n">
        <v>9</v>
      </c>
      <c r="AR1528" s="0" t="n">
        <v>64</v>
      </c>
      <c r="AS1528" s="0" t="n">
        <v>32</v>
      </c>
      <c r="AU1528" s="0" t="n">
        <f aca="false">COUNTA($BA$1196:$EH$1196)</f>
        <v>1</v>
      </c>
      <c r="AV1528" s="0" t="n">
        <f aca="false">COUNTIF($BA$1196:$EH$1196,"D")</f>
        <v>0</v>
      </c>
      <c r="AW1528" s="0" t="n">
        <f aca="false">COUNTIF($BA$1196:$EH$1196,"R")</f>
        <v>0</v>
      </c>
      <c r="AX1528" s="0" t="n">
        <f aca="false"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>1</v>
      </c>
      <c r="AY1528" s="0" t="n">
        <f aca="false">COUNTIF(DU1528:EH1528, "&lt;&gt;")</f>
        <v>5</v>
      </c>
      <c r="AZ1528" s="0" t="n">
        <f aca="false">IF(EH1528&lt;&gt;"",1,0)</f>
        <v>0</v>
      </c>
      <c r="BB1528" s="0" t="s">
        <v>153</v>
      </c>
      <c r="BC1528" s="0" t="s">
        <v>154</v>
      </c>
      <c r="BD1528" s="0" t="s">
        <v>154</v>
      </c>
      <c r="BG1528" s="0" t="s">
        <v>154</v>
      </c>
      <c r="BH1528" s="0" t="s">
        <v>154</v>
      </c>
      <c r="BK1528" s="0" t="s">
        <v>154</v>
      </c>
      <c r="BL1528" s="0" t="s">
        <v>154</v>
      </c>
      <c r="BR1528" s="0" t="s">
        <v>176</v>
      </c>
      <c r="BS1528" s="0" t="s">
        <v>154</v>
      </c>
      <c r="BY1528" s="0" t="s">
        <v>176</v>
      </c>
      <c r="CA1528" s="0" t="s">
        <v>154</v>
      </c>
      <c r="CG1528" s="0" t="s">
        <v>154</v>
      </c>
      <c r="CH1528" s="0" t="s">
        <v>176</v>
      </c>
      <c r="CK1528" s="0" t="s">
        <v>154</v>
      </c>
      <c r="CL1528" s="0" t="s">
        <v>154</v>
      </c>
      <c r="CN1528" s="0" t="s">
        <v>154</v>
      </c>
      <c r="CO1528" s="0" t="s">
        <v>176</v>
      </c>
      <c r="CP1528" s="0" t="s">
        <v>154</v>
      </c>
      <c r="CU1528" s="0" t="s">
        <v>176</v>
      </c>
      <c r="CV1528" s="0" t="s">
        <v>154</v>
      </c>
      <c r="CY1528" s="0" t="s">
        <v>154</v>
      </c>
      <c r="CZ1528" s="0" t="s">
        <v>176</v>
      </c>
      <c r="DC1528" s="0" t="s">
        <v>154</v>
      </c>
      <c r="DF1528" s="0" t="s">
        <v>154</v>
      </c>
      <c r="DG1528" s="0" t="s">
        <v>176</v>
      </c>
      <c r="DI1528" s="0" t="s">
        <v>154</v>
      </c>
      <c r="DJ1528" s="0" t="s">
        <v>155</v>
      </c>
      <c r="DM1528" s="0" t="s">
        <v>176</v>
      </c>
      <c r="DN1528" s="0" t="s">
        <v>154</v>
      </c>
      <c r="DS1528" s="0" t="s">
        <v>176</v>
      </c>
      <c r="DU1528" s="0" t="s">
        <v>154</v>
      </c>
      <c r="DX1528" s="0" t="s">
        <v>154</v>
      </c>
      <c r="EA1528" s="0" t="s">
        <v>154</v>
      </c>
      <c r="ED1528" s="0" t="s">
        <v>176</v>
      </c>
      <c r="EF1528" s="0" t="s">
        <v>154</v>
      </c>
    </row>
    <row r="1529" customFormat="false" ht="13.8" hidden="true" customHeight="false" outlineLevel="0" collapsed="false">
      <c r="A1529" s="0" t="s">
        <v>7033</v>
      </c>
      <c r="B1529" s="0" t="n">
        <v>78</v>
      </c>
      <c r="C1529" s="0" t="n">
        <v>246290</v>
      </c>
      <c r="D1529" s="0" t="s">
        <v>830</v>
      </c>
      <c r="E1529" s="0" t="s">
        <v>7034</v>
      </c>
      <c r="F1529" s="0" t="str">
        <f aca="false">CONCATENATE(D1529," ",LEFT(H1529,4),"T=",AU1529,"D=",AV1529,"R=",AW1529,"M=",AX1529,"L=",AY1529,"B=",AZ1529)</f>
        <v>BRANTLEY T=42D=10R=0M=0L=0B=0</v>
      </c>
      <c r="G1529" s="0" t="s">
        <v>159</v>
      </c>
      <c r="I1529" s="0" t="s">
        <v>6801</v>
      </c>
      <c r="J1529" s="0" t="s">
        <v>7035</v>
      </c>
      <c r="K1529" s="0" t="s">
        <v>175</v>
      </c>
      <c r="L1529" s="0"/>
      <c r="M1529" s="0" t="s">
        <v>7019</v>
      </c>
      <c r="N1529" s="0" t="str">
        <f aca="false">RIGHT(M1529,LEN(M1529)-FIND(" ",M1529))</f>
        <v>MAHONING AVE NW</v>
      </c>
      <c r="O1529" s="0" t="s">
        <v>7023</v>
      </c>
      <c r="P1529" s="0" t="s">
        <v>146</v>
      </c>
      <c r="Q1529" s="0" t="s">
        <v>147</v>
      </c>
      <c r="R1529" s="0" t="n">
        <v>44483</v>
      </c>
      <c r="AD1529" s="0" t="s">
        <v>148</v>
      </c>
      <c r="AE1529" s="0" t="s">
        <v>149</v>
      </c>
      <c r="AF1529" s="0" t="s">
        <v>150</v>
      </c>
      <c r="AH1529" s="0" t="n">
        <v>14</v>
      </c>
      <c r="AI1529" s="0" t="n">
        <v>11</v>
      </c>
      <c r="AN1529" s="0" t="s">
        <v>146</v>
      </c>
      <c r="AO1529" s="0" t="s">
        <v>151</v>
      </c>
      <c r="AP1529" s="0" t="s">
        <v>152</v>
      </c>
      <c r="AQ1529" s="0" t="n">
        <v>9</v>
      </c>
      <c r="AR1529" s="0" t="n">
        <v>64</v>
      </c>
      <c r="AS1529" s="0" t="n">
        <v>32</v>
      </c>
      <c r="AU1529" s="0" t="n">
        <f aca="false">COUNTA($BA$1271:$EH$1271)</f>
        <v>42</v>
      </c>
      <c r="AV1529" s="0" t="n">
        <f aca="false">COUNTIF($BA$1271:$EH$1271,"D")</f>
        <v>10</v>
      </c>
      <c r="AW1529" s="0" t="n">
        <f aca="false">COUNTIF($BA$1271:$EH$1271,"R")</f>
        <v>0</v>
      </c>
      <c r="AX1529" s="0" t="n">
        <f aca="false"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>0</v>
      </c>
      <c r="AY1529" s="0" t="n">
        <f aca="false">COUNTIF(DU1529:EH1529, "&lt;&gt;")</f>
        <v>0</v>
      </c>
      <c r="AZ1529" s="0" t="n">
        <f aca="false">IF(EH1529&lt;&gt;"",1,0)</f>
        <v>0</v>
      </c>
      <c r="BB1529" s="0" t="s">
        <v>153</v>
      </c>
      <c r="BY1529" s="0" t="s">
        <v>155</v>
      </c>
      <c r="CA1529" s="0" t="s">
        <v>154</v>
      </c>
      <c r="DN1529" s="0" t="s">
        <v>154</v>
      </c>
    </row>
    <row r="1530" customFormat="false" ht="13.8" hidden="true" customHeight="false" outlineLevel="0" collapsed="false">
      <c r="A1530" s="0" t="s">
        <v>7036</v>
      </c>
      <c r="B1530" s="0" t="n">
        <v>78</v>
      </c>
      <c r="C1530" s="0" t="n">
        <v>446366</v>
      </c>
      <c r="D1530" s="0" t="s">
        <v>2311</v>
      </c>
      <c r="E1530" s="0" t="s">
        <v>195</v>
      </c>
      <c r="F1530" s="0" t="str">
        <f aca="false">CONCATENATE(D1530," ",LEFT(H1530,4),"T=",AU1530,"D=",AV1530,"R=",AW1530,"M=",AX1530,"L=",AY1530,"B=",AZ1530)</f>
        <v>LEWIS T=42D=12R=0M=0L=0B=0</v>
      </c>
      <c r="I1530" s="0" t="s">
        <v>7037</v>
      </c>
      <c r="J1530" s="0" t="s">
        <v>757</v>
      </c>
      <c r="K1530" s="0" t="s">
        <v>175</v>
      </c>
      <c r="L1530" s="0"/>
      <c r="M1530" s="0" t="s">
        <v>7019</v>
      </c>
      <c r="N1530" s="0" t="str">
        <f aca="false">RIGHT(M1530,LEN(M1530)-FIND(" ",M1530))</f>
        <v>MAHONING AVE NW</v>
      </c>
      <c r="O1530" s="0" t="s">
        <v>6984</v>
      </c>
      <c r="P1530" s="0" t="s">
        <v>146</v>
      </c>
      <c r="Q1530" s="0" t="s">
        <v>147</v>
      </c>
      <c r="R1530" s="0" t="n">
        <v>44483</v>
      </c>
      <c r="AD1530" s="0" t="s">
        <v>148</v>
      </c>
      <c r="AE1530" s="0" t="s">
        <v>149</v>
      </c>
      <c r="AF1530" s="0" t="s">
        <v>150</v>
      </c>
      <c r="AH1530" s="0" t="n">
        <v>14</v>
      </c>
      <c r="AI1530" s="0" t="n">
        <v>11</v>
      </c>
      <c r="AN1530" s="0" t="s">
        <v>146</v>
      </c>
      <c r="AO1530" s="0" t="s">
        <v>151</v>
      </c>
      <c r="AP1530" s="0" t="s">
        <v>152</v>
      </c>
      <c r="AQ1530" s="0" t="n">
        <v>9</v>
      </c>
      <c r="AR1530" s="0" t="n">
        <v>64</v>
      </c>
      <c r="AS1530" s="0" t="n">
        <v>32</v>
      </c>
      <c r="AU1530" s="0" t="n">
        <f aca="false">COUNTA($BA$1276:$EH$1276)</f>
        <v>42</v>
      </c>
      <c r="AV1530" s="0" t="n">
        <f aca="false">COUNTIF($BA$1276:$EH$1276,"D")</f>
        <v>12</v>
      </c>
      <c r="AW1530" s="0" t="n">
        <f aca="false">COUNTIF($BA$1276:$EH$1276,"R")</f>
        <v>0</v>
      </c>
      <c r="AX1530" s="0" t="n">
        <f aca="false"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>0</v>
      </c>
      <c r="AY1530" s="0" t="n">
        <f aca="false">COUNTIF(DU1530:EH1530, "&lt;&gt;")</f>
        <v>0</v>
      </c>
      <c r="AZ1530" s="0" t="n">
        <f aca="false">IF(EH1530&lt;&gt;"",1,0)</f>
        <v>0</v>
      </c>
      <c r="BB1530" s="0" t="s">
        <v>153</v>
      </c>
      <c r="CP1530" s="0" t="s">
        <v>154</v>
      </c>
    </row>
    <row r="1531" customFormat="false" ht="13.8" hidden="true" customHeight="false" outlineLevel="0" collapsed="false">
      <c r="A1531" s="0" t="s">
        <v>7038</v>
      </c>
      <c r="B1531" s="0" t="n">
        <v>78</v>
      </c>
      <c r="C1531" s="0" t="n">
        <v>394276</v>
      </c>
      <c r="D1531" s="0" t="s">
        <v>7039</v>
      </c>
      <c r="E1531" s="0" t="s">
        <v>7040</v>
      </c>
      <c r="F1531" s="0" t="str">
        <f aca="false">CONCATENATE(D1531," ",LEFT(H1531,4),"T=",AU1531,"D=",AV1531,"R=",AW1531,"M=",AX1531,"L=",AY1531,"B=",AZ1531)</f>
        <v>WALLS T=3D=1R=0M=0L=1B=0</v>
      </c>
      <c r="I1531" s="0" t="s">
        <v>7041</v>
      </c>
      <c r="J1531" s="0" t="s">
        <v>4411</v>
      </c>
      <c r="K1531" s="0" t="s">
        <v>175</v>
      </c>
      <c r="L1531" s="0"/>
      <c r="M1531" s="0" t="s">
        <v>7019</v>
      </c>
      <c r="N1531" s="0" t="str">
        <f aca="false">RIGHT(M1531,LEN(M1531)-FIND(" ",M1531))</f>
        <v>MAHONING AVE NW</v>
      </c>
      <c r="O1531" s="0" t="s">
        <v>6934</v>
      </c>
      <c r="P1531" s="0" t="s">
        <v>146</v>
      </c>
      <c r="Q1531" s="0" t="s">
        <v>147</v>
      </c>
      <c r="R1531" s="0" t="n">
        <v>44483</v>
      </c>
      <c r="AD1531" s="0" t="s">
        <v>148</v>
      </c>
      <c r="AE1531" s="0" t="s">
        <v>149</v>
      </c>
      <c r="AF1531" s="0" t="s">
        <v>150</v>
      </c>
      <c r="AH1531" s="0" t="n">
        <v>14</v>
      </c>
      <c r="AI1531" s="0" t="n">
        <v>11</v>
      </c>
      <c r="AN1531" s="0" t="s">
        <v>146</v>
      </c>
      <c r="AO1531" s="0" t="s">
        <v>151</v>
      </c>
      <c r="AP1531" s="0" t="s">
        <v>152</v>
      </c>
      <c r="AQ1531" s="0" t="n">
        <v>9</v>
      </c>
      <c r="AR1531" s="0" t="n">
        <v>64</v>
      </c>
      <c r="AS1531" s="0" t="n">
        <v>32</v>
      </c>
      <c r="AU1531" s="0" t="n">
        <f aca="false">COUNTA($BA$1319:$EH$1319)</f>
        <v>3</v>
      </c>
      <c r="AV1531" s="0" t="n">
        <f aca="false">COUNTIF($BA$1319:$EH$1319,"D")</f>
        <v>1</v>
      </c>
      <c r="AW1531" s="0" t="n">
        <f aca="false">COUNTIF($BA$1319:$EH$1319,"R")</f>
        <v>0</v>
      </c>
      <c r="AX1531" s="0" t="n">
        <f aca="false"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>0</v>
      </c>
      <c r="AY1531" s="0" t="n">
        <f aca="false">COUNTIF(DU1531:EH1531, "&lt;&gt;")</f>
        <v>1</v>
      </c>
      <c r="AZ1531" s="0" t="n">
        <f aca="false">IF(EH1531&lt;&gt;"",1,0)</f>
        <v>0</v>
      </c>
      <c r="BB1531" s="0" t="s">
        <v>153</v>
      </c>
      <c r="BD1531" s="0" t="s">
        <v>154</v>
      </c>
      <c r="EF1531" s="0" t="s">
        <v>154</v>
      </c>
    </row>
    <row r="1532" customFormat="false" ht="13.8" hidden="true" customHeight="false" outlineLevel="0" collapsed="false">
      <c r="A1532" s="0" t="s">
        <v>7042</v>
      </c>
      <c r="B1532" s="0" t="n">
        <v>78</v>
      </c>
      <c r="C1532" s="0" t="n">
        <v>492430</v>
      </c>
      <c r="D1532" s="0" t="s">
        <v>1169</v>
      </c>
      <c r="E1532" s="0" t="s">
        <v>7043</v>
      </c>
      <c r="F1532" s="0" t="str">
        <f aca="false">CONCATENATE(D1532," ",LEFT(H1532,4),"T=",AU1532,"D=",AV1532,"R=",AW1532,"M=",AX1532,"L=",AY1532,"B=",AZ1532)</f>
        <v>CLAYTON T=2D=0R=0M=0L=0B=0</v>
      </c>
      <c r="G1532" s="0" t="s">
        <v>7044</v>
      </c>
      <c r="I1532" s="0" t="s">
        <v>1739</v>
      </c>
      <c r="J1532" s="0" t="s">
        <v>7045</v>
      </c>
      <c r="K1532" s="0" t="s">
        <v>175</v>
      </c>
      <c r="L1532" s="0"/>
      <c r="M1532" s="0" t="s">
        <v>7019</v>
      </c>
      <c r="N1532" s="0" t="str">
        <f aca="false">RIGHT(M1532,LEN(M1532)-FIND(" ",M1532))</f>
        <v>MAHONING AVE NW</v>
      </c>
      <c r="O1532" s="0" t="s">
        <v>7046</v>
      </c>
      <c r="P1532" s="0" t="s">
        <v>146</v>
      </c>
      <c r="Q1532" s="0" t="s">
        <v>147</v>
      </c>
      <c r="R1532" s="0" t="n">
        <v>44483</v>
      </c>
      <c r="AD1532" s="0" t="s">
        <v>148</v>
      </c>
      <c r="AE1532" s="0" t="s">
        <v>149</v>
      </c>
      <c r="AF1532" s="0" t="s">
        <v>150</v>
      </c>
      <c r="AH1532" s="0" t="n">
        <v>14</v>
      </c>
      <c r="AI1532" s="0" t="n">
        <v>11</v>
      </c>
      <c r="AN1532" s="0" t="s">
        <v>146</v>
      </c>
      <c r="AO1532" s="0" t="s">
        <v>151</v>
      </c>
      <c r="AP1532" s="0" t="s">
        <v>152</v>
      </c>
      <c r="AQ1532" s="0" t="n">
        <v>9</v>
      </c>
      <c r="AR1532" s="0" t="n">
        <v>64</v>
      </c>
      <c r="AS1532" s="0" t="n">
        <v>32</v>
      </c>
      <c r="AU1532" s="0" t="n">
        <f aca="false">COUNTA($BA$1354:$EH$1354)</f>
        <v>2</v>
      </c>
      <c r="AV1532" s="0" t="n">
        <f aca="false">COUNTIF($BA$1354:$EH$1354,"D")</f>
        <v>0</v>
      </c>
      <c r="AW1532" s="0" t="n">
        <f aca="false">COUNTIF($BA$1354:$EH$1354,"R")</f>
        <v>0</v>
      </c>
      <c r="AX1532" s="0" t="n">
        <f aca="false"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>0</v>
      </c>
      <c r="AY1532" s="0" t="n">
        <f aca="false">COUNTIF(DU1532:EH1532, "&lt;&gt;")</f>
        <v>0</v>
      </c>
      <c r="AZ1532" s="0" t="n">
        <f aca="false">IF(EH1532&lt;&gt;"",1,0)</f>
        <v>0</v>
      </c>
      <c r="BB1532" s="0" t="s">
        <v>153</v>
      </c>
      <c r="DC1532" s="0" t="s">
        <v>154</v>
      </c>
      <c r="DN1532" s="0" t="s">
        <v>154</v>
      </c>
    </row>
    <row r="1533" customFormat="false" ht="13.8" hidden="true" customHeight="false" outlineLevel="0" collapsed="false">
      <c r="A1533" s="0" t="s">
        <v>7047</v>
      </c>
      <c r="B1533" s="0" t="n">
        <v>78</v>
      </c>
      <c r="C1533" s="0" t="n">
        <v>487860</v>
      </c>
      <c r="D1533" s="0" t="s">
        <v>7039</v>
      </c>
      <c r="E1533" s="0" t="s">
        <v>195</v>
      </c>
      <c r="F1533" s="0" t="str">
        <f aca="false">CONCATENATE(D1533," ",LEFT(H1533,4),"T=",AU1533,"D=",AV1533,"R=",AW1533,"M=",AX1533,"L=",AY1533,"B=",AZ1533)</f>
        <v>WALLS T=1D=0R=0M=0L=1B=0</v>
      </c>
      <c r="G1533" s="0" t="s">
        <v>7048</v>
      </c>
      <c r="I1533" s="0" t="s">
        <v>7049</v>
      </c>
      <c r="J1533" s="0" t="s">
        <v>845</v>
      </c>
      <c r="K1533" s="0" t="s">
        <v>175</v>
      </c>
      <c r="L1533" s="0"/>
      <c r="M1533" s="0" t="s">
        <v>7019</v>
      </c>
      <c r="N1533" s="0" t="str">
        <f aca="false">RIGHT(M1533,LEN(M1533)-FIND(" ",M1533))</f>
        <v>MAHONING AVE NW</v>
      </c>
      <c r="O1533" s="0" t="s">
        <v>6934</v>
      </c>
      <c r="P1533" s="0" t="s">
        <v>146</v>
      </c>
      <c r="Q1533" s="0" t="s">
        <v>147</v>
      </c>
      <c r="R1533" s="0" t="n">
        <v>44483</v>
      </c>
      <c r="AD1533" s="0" t="s">
        <v>148</v>
      </c>
      <c r="AE1533" s="0" t="s">
        <v>149</v>
      </c>
      <c r="AF1533" s="0" t="s">
        <v>150</v>
      </c>
      <c r="AH1533" s="0" t="n">
        <v>14</v>
      </c>
      <c r="AI1533" s="0" t="n">
        <v>11</v>
      </c>
      <c r="AN1533" s="0" t="s">
        <v>146</v>
      </c>
      <c r="AO1533" s="0" t="s">
        <v>151</v>
      </c>
      <c r="AP1533" s="0" t="s">
        <v>152</v>
      </c>
      <c r="AQ1533" s="0" t="n">
        <v>9</v>
      </c>
      <c r="AR1533" s="0" t="n">
        <v>64</v>
      </c>
      <c r="AS1533" s="0" t="n">
        <v>32</v>
      </c>
      <c r="AU1533" s="0" t="n">
        <f aca="false">COUNTA($BA$1357:$EH$1357)</f>
        <v>1</v>
      </c>
      <c r="AV1533" s="0" t="n">
        <f aca="false">COUNTIF($BA$1357:$EH$1357,"D")</f>
        <v>0</v>
      </c>
      <c r="AW1533" s="0" t="n">
        <f aca="false">COUNTIF($BA$1357:$EH$1357,"R")</f>
        <v>0</v>
      </c>
      <c r="AX1533" s="0" t="n">
        <f aca="false"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>0</v>
      </c>
      <c r="AY1533" s="0" t="n">
        <f aca="false">COUNTIF(DU1533:EH1533, "&lt;&gt;")</f>
        <v>1</v>
      </c>
      <c r="AZ1533" s="0" t="n">
        <f aca="false">IF(EH1533&lt;&gt;"",1,0)</f>
        <v>0</v>
      </c>
      <c r="BB1533" s="0" t="s">
        <v>153</v>
      </c>
      <c r="EF1533" s="0" t="s">
        <v>154</v>
      </c>
    </row>
    <row r="1534" customFormat="false" ht="13.8" hidden="false" customHeight="false" outlineLevel="0" collapsed="false">
      <c r="A1534" s="0" t="s">
        <v>7050</v>
      </c>
      <c r="B1534" s="0" t="n">
        <v>78</v>
      </c>
      <c r="C1534" s="0" t="n">
        <v>330479</v>
      </c>
      <c r="D1534" s="0" t="s">
        <v>5871</v>
      </c>
      <c r="E1534" s="0" t="s">
        <v>1830</v>
      </c>
      <c r="F1534" s="0" t="str">
        <f aca="false">CONCATENATE(D1534," ",LEFT(H1534,4),"T=",AU1534,"D=",AV1534,"R=",AW1534,"M=",AX1534,"L=",AY1534,"B=",AZ1534)</f>
        <v>CURRIE T=8D=0R=1M=2L=2B=1</v>
      </c>
      <c r="G1534" s="0" t="s">
        <v>176</v>
      </c>
      <c r="I1534" s="0" t="s">
        <v>7051</v>
      </c>
      <c r="J1534" s="0" t="s">
        <v>7052</v>
      </c>
      <c r="K1534" s="0" t="s">
        <v>175</v>
      </c>
      <c r="L1534" s="1" t="s">
        <v>155</v>
      </c>
      <c r="M1534" s="0" t="s">
        <v>7019</v>
      </c>
      <c r="N1534" s="0" t="str">
        <f aca="false">RIGHT(M1534,LEN(M1534)-FIND(" ",M1534))</f>
        <v>MAHONING AVE NW</v>
      </c>
      <c r="O1534" s="0" t="s">
        <v>7053</v>
      </c>
      <c r="P1534" s="0" t="s">
        <v>146</v>
      </c>
      <c r="Q1534" s="0" t="s">
        <v>147</v>
      </c>
      <c r="R1534" s="0" t="n">
        <v>44483</v>
      </c>
      <c r="AD1534" s="0" t="s">
        <v>148</v>
      </c>
      <c r="AE1534" s="0" t="s">
        <v>149</v>
      </c>
      <c r="AF1534" s="0" t="s">
        <v>150</v>
      </c>
      <c r="AH1534" s="0" t="n">
        <v>14</v>
      </c>
      <c r="AI1534" s="0" t="n">
        <v>11</v>
      </c>
      <c r="AN1534" s="0" t="s">
        <v>146</v>
      </c>
      <c r="AO1534" s="0" t="s">
        <v>151</v>
      </c>
      <c r="AP1534" s="0" t="s">
        <v>152</v>
      </c>
      <c r="AQ1534" s="0" t="n">
        <v>9</v>
      </c>
      <c r="AR1534" s="0" t="n">
        <v>64</v>
      </c>
      <c r="AS1534" s="0" t="n">
        <v>32</v>
      </c>
      <c r="AU1534" s="0" t="n">
        <f aca="false">COUNTA($BA$1369:$EH$1369)</f>
        <v>8</v>
      </c>
      <c r="AV1534" s="0" t="n">
        <f aca="false">COUNTIF($BA$1369:$EH$1369,"D")</f>
        <v>0</v>
      </c>
      <c r="AW1534" s="0" t="n">
        <f aca="false">COUNTIF($BA$1369:$EH$1369,"R")</f>
        <v>1</v>
      </c>
      <c r="AX1534" s="0" t="n">
        <f aca="false"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>2</v>
      </c>
      <c r="AY1534" s="0" t="n">
        <f aca="false">COUNTIF(DU1534:EH1534, "&lt;&gt;")</f>
        <v>2</v>
      </c>
      <c r="AZ1534" s="0" t="n">
        <f aca="false">IF(EH1534&lt;&gt;"",1,0)</f>
        <v>1</v>
      </c>
      <c r="BB1534" s="0" t="s">
        <v>153</v>
      </c>
      <c r="BL1534" s="0" t="s">
        <v>154</v>
      </c>
      <c r="BP1534" s="0" t="s">
        <v>154</v>
      </c>
      <c r="BR1534" s="0" t="s">
        <v>154</v>
      </c>
      <c r="BS1534" s="0" t="s">
        <v>154</v>
      </c>
      <c r="BY1534" s="0" t="s">
        <v>155</v>
      </c>
      <c r="CA1534" s="0" t="s">
        <v>154</v>
      </c>
      <c r="CG1534" s="0" t="s">
        <v>154</v>
      </c>
      <c r="CK1534" s="0" t="s">
        <v>154</v>
      </c>
      <c r="CN1534" s="0" t="s">
        <v>154</v>
      </c>
      <c r="CP1534" s="0" t="s">
        <v>154</v>
      </c>
      <c r="CV1534" s="0" t="s">
        <v>154</v>
      </c>
      <c r="CW1534" s="0" t="s">
        <v>155</v>
      </c>
      <c r="DC1534" s="0" t="s">
        <v>154</v>
      </c>
      <c r="DF1534" s="0" t="s">
        <v>154</v>
      </c>
      <c r="DI1534" s="0" t="s">
        <v>154</v>
      </c>
      <c r="DN1534" s="0" t="s">
        <v>154</v>
      </c>
      <c r="EF1534" s="0" t="s">
        <v>154</v>
      </c>
      <c r="EH1534" s="0" t="s">
        <v>155</v>
      </c>
    </row>
    <row r="1535" customFormat="false" ht="13.8" hidden="true" customHeight="false" outlineLevel="0" collapsed="false">
      <c r="A1535" s="0" t="s">
        <v>7054</v>
      </c>
      <c r="B1535" s="0" t="n">
        <v>78</v>
      </c>
      <c r="C1535" s="0" t="n">
        <v>416111</v>
      </c>
      <c r="D1535" s="0" t="s">
        <v>1582</v>
      </c>
      <c r="E1535" s="0" t="s">
        <v>7055</v>
      </c>
      <c r="F1535" s="0" t="str">
        <f aca="false">CONCATENATE(D1535," ",LEFT(H1535,4),"T=",AU1535,"D=",AV1535,"R=",AW1535,"M=",AX1535,"L=",AY1535,"B=",AZ1535)</f>
        <v>SMITH T=10D=0R=0M=0L=0B=0</v>
      </c>
      <c r="G1535" s="0" t="s">
        <v>7056</v>
      </c>
      <c r="I1535" s="0" t="s">
        <v>7057</v>
      </c>
      <c r="J1535" s="0" t="s">
        <v>7058</v>
      </c>
      <c r="K1535" s="0" t="s">
        <v>175</v>
      </c>
      <c r="L1535" s="0"/>
      <c r="M1535" s="0" t="s">
        <v>7019</v>
      </c>
      <c r="N1535" s="0" t="str">
        <f aca="false">RIGHT(M1535,LEN(M1535)-FIND(" ",M1535))</f>
        <v>MAHONING AVE NW</v>
      </c>
      <c r="O1535" s="0" t="s">
        <v>7059</v>
      </c>
      <c r="P1535" s="0" t="s">
        <v>146</v>
      </c>
      <c r="Q1535" s="0" t="s">
        <v>147</v>
      </c>
      <c r="R1535" s="0" t="n">
        <v>44483</v>
      </c>
      <c r="AD1535" s="0" t="s">
        <v>148</v>
      </c>
      <c r="AE1535" s="0" t="s">
        <v>149</v>
      </c>
      <c r="AF1535" s="0" t="s">
        <v>150</v>
      </c>
      <c r="AH1535" s="0" t="n">
        <v>14</v>
      </c>
      <c r="AI1535" s="0" t="n">
        <v>11</v>
      </c>
      <c r="AN1535" s="0" t="s">
        <v>146</v>
      </c>
      <c r="AO1535" s="0" t="s">
        <v>151</v>
      </c>
      <c r="AP1535" s="0" t="s">
        <v>152</v>
      </c>
      <c r="AQ1535" s="0" t="n">
        <v>9</v>
      </c>
      <c r="AR1535" s="0" t="n">
        <v>64</v>
      </c>
      <c r="AS1535" s="0" t="n">
        <v>32</v>
      </c>
      <c r="AU1535" s="0" t="n">
        <f aca="false">COUNTA($BA$1465:$EH$1465)</f>
        <v>10</v>
      </c>
      <c r="AV1535" s="0" t="n">
        <f aca="false">COUNTIF($BA$1465:$EH$1465,"D")</f>
        <v>0</v>
      </c>
      <c r="AW1535" s="0" t="n">
        <f aca="false">COUNTIF($BA$1465:$EH$1465,"R")</f>
        <v>0</v>
      </c>
      <c r="AX1535" s="0" t="n">
        <f aca="false"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>0</v>
      </c>
      <c r="AY1535" s="0" t="n">
        <f aca="false">COUNTIF(DU1535:EH1535, "&lt;&gt;")</f>
        <v>0</v>
      </c>
      <c r="AZ1535" s="0" t="n">
        <f aca="false">IF(EH1535&lt;&gt;"",1,0)</f>
        <v>0</v>
      </c>
      <c r="BB1535" s="0" t="s">
        <v>153</v>
      </c>
    </row>
    <row r="1536" customFormat="false" ht="13.8" hidden="true" customHeight="false" outlineLevel="0" collapsed="false">
      <c r="A1536" s="0" t="s">
        <v>7060</v>
      </c>
      <c r="B1536" s="0" t="n">
        <v>78</v>
      </c>
      <c r="C1536" s="0" t="n">
        <v>387396</v>
      </c>
      <c r="D1536" s="0" t="s">
        <v>7061</v>
      </c>
      <c r="E1536" s="0" t="s">
        <v>2303</v>
      </c>
      <c r="F1536" s="0" t="str">
        <f aca="false">CONCATENATE(D1536," ",LEFT(H1536,4),"T=",AU1536,"D=",AV1536,"R=",AW1536,"M=",AX1536,"L=",AY1536,"B=",AZ1536)</f>
        <v>PENNOCK T=9D=1R=0M=0L=1B=0</v>
      </c>
      <c r="G1536" s="0" t="s">
        <v>329</v>
      </c>
      <c r="I1536" s="0" t="s">
        <v>7062</v>
      </c>
      <c r="J1536" s="0" t="s">
        <v>575</v>
      </c>
      <c r="K1536" s="0" t="s">
        <v>175</v>
      </c>
      <c r="L1536" s="0"/>
      <c r="M1536" s="0" t="s">
        <v>7019</v>
      </c>
      <c r="N1536" s="0" t="str">
        <f aca="false">RIGHT(M1536,LEN(M1536)-FIND(" ",M1536))</f>
        <v>MAHONING AVE NW</v>
      </c>
      <c r="O1536" s="0" t="s">
        <v>7063</v>
      </c>
      <c r="P1536" s="0" t="s">
        <v>146</v>
      </c>
      <c r="Q1536" s="0" t="s">
        <v>147</v>
      </c>
      <c r="R1536" s="0" t="n">
        <v>44483</v>
      </c>
      <c r="AD1536" s="0" t="s">
        <v>148</v>
      </c>
      <c r="AE1536" s="0" t="s">
        <v>149</v>
      </c>
      <c r="AF1536" s="0" t="s">
        <v>150</v>
      </c>
      <c r="AH1536" s="0" t="n">
        <v>14</v>
      </c>
      <c r="AI1536" s="0" t="n">
        <v>11</v>
      </c>
      <c r="AN1536" s="0" t="s">
        <v>146</v>
      </c>
      <c r="AO1536" s="0" t="s">
        <v>151</v>
      </c>
      <c r="AP1536" s="0" t="s">
        <v>152</v>
      </c>
      <c r="AQ1536" s="0" t="n">
        <v>9</v>
      </c>
      <c r="AR1536" s="0" t="n">
        <v>64</v>
      </c>
      <c r="AS1536" s="0" t="n">
        <v>32</v>
      </c>
      <c r="AU1536" s="0" t="n">
        <f aca="false">COUNTA($BA$1743:$EH$1743)</f>
        <v>9</v>
      </c>
      <c r="AV1536" s="0" t="n">
        <f aca="false">COUNTIF($BA$1743:$EH$1743,"D")</f>
        <v>1</v>
      </c>
      <c r="AW1536" s="0" t="n">
        <f aca="false">COUNTIF($BA$1743:$EH$1743,"R")</f>
        <v>0</v>
      </c>
      <c r="AX1536" s="0" t="n">
        <f aca="false"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>0</v>
      </c>
      <c r="AY1536" s="0" t="n">
        <f aca="false">COUNTIF(DU1536:EH1536, "&lt;&gt;")</f>
        <v>1</v>
      </c>
      <c r="AZ1536" s="0" t="n">
        <f aca="false">IF(EH1536&lt;&gt;"",1,0)</f>
        <v>0</v>
      </c>
      <c r="BB1536" s="0" t="s">
        <v>153</v>
      </c>
      <c r="CP1536" s="0" t="s">
        <v>154</v>
      </c>
      <c r="CZ1536" s="0" t="s">
        <v>155</v>
      </c>
      <c r="DC1536" s="0" t="s">
        <v>154</v>
      </c>
      <c r="DN1536" s="0" t="s">
        <v>154</v>
      </c>
      <c r="EA1536" s="0" t="s">
        <v>154</v>
      </c>
    </row>
    <row r="1537" customFormat="false" ht="13.8" hidden="true" customHeight="false" outlineLevel="0" collapsed="false">
      <c r="A1537" s="0" t="s">
        <v>7064</v>
      </c>
      <c r="B1537" s="0" t="n">
        <v>78</v>
      </c>
      <c r="C1537" s="0" t="n">
        <v>402689</v>
      </c>
      <c r="D1537" s="0" t="s">
        <v>4875</v>
      </c>
      <c r="E1537" s="0" t="s">
        <v>1684</v>
      </c>
      <c r="F1537" s="0" t="str">
        <f aca="false">CONCATENATE(D1537," ",LEFT(H1537,4),"T=",AU1537,"D=",AV1537,"R=",AW1537,"M=",AX1537,"L=",AY1537,"B=",AZ1537)</f>
        <v>FRANCIS T=1D=0R=0M=0L=0B=0</v>
      </c>
      <c r="G1537" s="0" t="s">
        <v>241</v>
      </c>
      <c r="I1537" s="0" t="s">
        <v>7065</v>
      </c>
      <c r="J1537" s="0" t="s">
        <v>1494</v>
      </c>
      <c r="K1537" s="0" t="s">
        <v>175</v>
      </c>
      <c r="L1537" s="0"/>
      <c r="M1537" s="0" t="s">
        <v>7019</v>
      </c>
      <c r="N1537" s="0" t="str">
        <f aca="false">RIGHT(M1537,LEN(M1537)-FIND(" ",M1537))</f>
        <v>MAHONING AVE NW</v>
      </c>
      <c r="O1537" s="0" t="s">
        <v>6947</v>
      </c>
      <c r="P1537" s="0" t="s">
        <v>146</v>
      </c>
      <c r="Q1537" s="0" t="s">
        <v>147</v>
      </c>
      <c r="R1537" s="0" t="n">
        <v>44483</v>
      </c>
      <c r="AD1537" s="0" t="s">
        <v>148</v>
      </c>
      <c r="AE1537" s="0" t="s">
        <v>149</v>
      </c>
      <c r="AF1537" s="0" t="s">
        <v>150</v>
      </c>
      <c r="AH1537" s="0" t="n">
        <v>14</v>
      </c>
      <c r="AI1537" s="0" t="n">
        <v>11</v>
      </c>
      <c r="AN1537" s="0" t="s">
        <v>146</v>
      </c>
      <c r="AO1537" s="0" t="s">
        <v>151</v>
      </c>
      <c r="AP1537" s="0" t="s">
        <v>152</v>
      </c>
      <c r="AQ1537" s="0" t="n">
        <v>9</v>
      </c>
      <c r="AR1537" s="0" t="n">
        <v>64</v>
      </c>
      <c r="AS1537" s="0" t="n">
        <v>32</v>
      </c>
      <c r="AU1537" s="0" t="n">
        <f aca="false">COUNTA($BA$1885:$EH$1885)</f>
        <v>1</v>
      </c>
      <c r="AV1537" s="0" t="n">
        <f aca="false">COUNTIF($BA$1885:$EH$1885,"D")</f>
        <v>0</v>
      </c>
      <c r="AW1537" s="0" t="n">
        <f aca="false">COUNTIF($BA$1885:$EH$1885,"R")</f>
        <v>0</v>
      </c>
      <c r="AX1537" s="0" t="n">
        <f aca="false"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>0</v>
      </c>
      <c r="AY1537" s="0" t="n">
        <f aca="false">COUNTIF(DU1537:EH1537, "&lt;&gt;")</f>
        <v>0</v>
      </c>
      <c r="AZ1537" s="0" t="n">
        <f aca="false">IF(EH1537&lt;&gt;"",1,0)</f>
        <v>0</v>
      </c>
      <c r="BB1537" s="0" t="s">
        <v>153</v>
      </c>
    </row>
    <row r="1538" customFormat="false" ht="13.8" hidden="true" customHeight="false" outlineLevel="0" collapsed="false">
      <c r="A1538" s="0" t="s">
        <v>7066</v>
      </c>
      <c r="B1538" s="0" t="n">
        <v>78</v>
      </c>
      <c r="C1538" s="0" t="n">
        <v>336891</v>
      </c>
      <c r="D1538" s="0" t="s">
        <v>4585</v>
      </c>
      <c r="E1538" s="0" t="s">
        <v>750</v>
      </c>
      <c r="F1538" s="0" t="str">
        <f aca="false">CONCATENATE(D1538," ",LEFT(H1538,4),"T=",AU1538,"D=",AV1538,"R=",AW1538,"M=",AX1538,"L=",AY1538,"B=",AZ1538)</f>
        <v>CAIN T=1D=0R=0M=0L=1B=0</v>
      </c>
      <c r="G1538" s="0" t="s">
        <v>7067</v>
      </c>
      <c r="I1538" s="0" t="s">
        <v>3538</v>
      </c>
      <c r="J1538" s="0" t="s">
        <v>6838</v>
      </c>
      <c r="K1538" s="0" t="s">
        <v>175</v>
      </c>
      <c r="L1538" s="0"/>
      <c r="M1538" s="0" t="s">
        <v>7019</v>
      </c>
      <c r="N1538" s="0" t="str">
        <f aca="false">RIGHT(M1538,LEN(M1538)-FIND(" ",M1538))</f>
        <v>MAHONING AVE NW</v>
      </c>
      <c r="O1538" s="0" t="s">
        <v>7068</v>
      </c>
      <c r="P1538" s="0" t="s">
        <v>146</v>
      </c>
      <c r="Q1538" s="0" t="s">
        <v>147</v>
      </c>
      <c r="R1538" s="0" t="n">
        <v>44483</v>
      </c>
      <c r="AD1538" s="0" t="s">
        <v>148</v>
      </c>
      <c r="AE1538" s="0" t="s">
        <v>149</v>
      </c>
      <c r="AF1538" s="0" t="s">
        <v>150</v>
      </c>
      <c r="AH1538" s="0" t="n">
        <v>14</v>
      </c>
      <c r="AI1538" s="0" t="n">
        <v>11</v>
      </c>
      <c r="AN1538" s="0" t="s">
        <v>146</v>
      </c>
      <c r="AO1538" s="0" t="s">
        <v>151</v>
      </c>
      <c r="AP1538" s="0" t="s">
        <v>152</v>
      </c>
      <c r="AQ1538" s="0" t="n">
        <v>9</v>
      </c>
      <c r="AR1538" s="0" t="n">
        <v>64</v>
      </c>
      <c r="AS1538" s="0" t="n">
        <v>32</v>
      </c>
      <c r="AU1538" s="0" t="n">
        <f aca="false">COUNTA($BA$1917:$EH$1917)</f>
        <v>1</v>
      </c>
      <c r="AV1538" s="0" t="n">
        <f aca="false">COUNTIF($BA$1917:$EH$1917,"D")</f>
        <v>0</v>
      </c>
      <c r="AW1538" s="0" t="n">
        <f aca="false">COUNTIF($BA$1917:$EH$1917,"R")</f>
        <v>0</v>
      </c>
      <c r="AX1538" s="0" t="n">
        <f aca="false"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>0</v>
      </c>
      <c r="AY1538" s="0" t="n">
        <f aca="false">COUNTIF(DU1538:EH1538, "&lt;&gt;")</f>
        <v>1</v>
      </c>
      <c r="AZ1538" s="0" t="n">
        <f aca="false">IF(EH1538&lt;&gt;"",1,0)</f>
        <v>0</v>
      </c>
      <c r="BB1538" s="0" t="s">
        <v>153</v>
      </c>
      <c r="DI1538" s="0" t="s">
        <v>154</v>
      </c>
      <c r="EF1538" s="0" t="s">
        <v>154</v>
      </c>
    </row>
    <row r="1539" customFormat="false" ht="13.8" hidden="true" customHeight="false" outlineLevel="0" collapsed="false">
      <c r="A1539" s="0" t="s">
        <v>7069</v>
      </c>
      <c r="B1539" s="0" t="n">
        <v>78</v>
      </c>
      <c r="C1539" s="0" t="n">
        <v>490381</v>
      </c>
      <c r="D1539" s="0" t="s">
        <v>5735</v>
      </c>
      <c r="E1539" s="0" t="s">
        <v>7070</v>
      </c>
      <c r="F1539" s="0" t="str">
        <f aca="false">CONCATENATE(D1539," ",LEFT(H1539,4),"T=",AU1539,"D=",AV1539,"R=",AW1539,"M=",AX1539,"L=",AY1539,"B=",AZ1539)</f>
        <v>SIMPSON T=2D=0R=0M=0L=1B=0</v>
      </c>
      <c r="G1539" s="0" t="s">
        <v>7071</v>
      </c>
      <c r="I1539" s="0" t="s">
        <v>7072</v>
      </c>
      <c r="J1539" s="0" t="s">
        <v>419</v>
      </c>
      <c r="K1539" s="0" t="s">
        <v>175</v>
      </c>
      <c r="L1539" s="0"/>
      <c r="M1539" s="0" t="s">
        <v>7073</v>
      </c>
      <c r="N1539" s="0" t="str">
        <f aca="false">RIGHT(M1539,LEN(M1539)-FIND(" ",M1539))</f>
        <v>MAHONING AVE NW</v>
      </c>
      <c r="O1539" s="0" t="s">
        <v>7074</v>
      </c>
      <c r="P1539" s="0" t="s">
        <v>146</v>
      </c>
      <c r="Q1539" s="0" t="s">
        <v>147</v>
      </c>
      <c r="R1539" s="0" t="n">
        <v>44483</v>
      </c>
      <c r="AD1539" s="0" t="s">
        <v>148</v>
      </c>
      <c r="AE1539" s="0" t="s">
        <v>149</v>
      </c>
      <c r="AF1539" s="0" t="s">
        <v>150</v>
      </c>
      <c r="AH1539" s="0" t="n">
        <v>14</v>
      </c>
      <c r="AI1539" s="0" t="n">
        <v>11</v>
      </c>
      <c r="AN1539" s="0" t="s">
        <v>146</v>
      </c>
      <c r="AO1539" s="0" t="s">
        <v>151</v>
      </c>
      <c r="AP1539" s="0" t="s">
        <v>152</v>
      </c>
      <c r="AQ1539" s="0" t="n">
        <v>9</v>
      </c>
      <c r="AR1539" s="0" t="n">
        <v>64</v>
      </c>
      <c r="AS1539" s="0" t="n">
        <v>32</v>
      </c>
      <c r="AU1539" s="0" t="n">
        <f aca="false">COUNTA($BA$1095:$EH$1095)</f>
        <v>2</v>
      </c>
      <c r="AV1539" s="0" t="n">
        <f aca="false">COUNTIF($BA$1095:$EH$1095,"D")</f>
        <v>0</v>
      </c>
      <c r="AW1539" s="0" t="n">
        <f aca="false">COUNTIF($BA$1095:$EH$1095,"R")</f>
        <v>0</v>
      </c>
      <c r="AX1539" s="0" t="n">
        <f aca="false"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>0</v>
      </c>
      <c r="AY1539" s="0" t="n">
        <f aca="false">COUNTIF(DU1539:EH1539, "&lt;&gt;")</f>
        <v>1</v>
      </c>
      <c r="AZ1539" s="0" t="n">
        <f aca="false">IF(EH1539&lt;&gt;"",1,0)</f>
        <v>0</v>
      </c>
      <c r="BB1539" s="0" t="s">
        <v>153</v>
      </c>
      <c r="EF1539" s="0" t="s">
        <v>154</v>
      </c>
    </row>
    <row r="1540" customFormat="false" ht="13.8" hidden="false" customHeight="false" outlineLevel="0" collapsed="false">
      <c r="A1540" s="0" t="s">
        <v>7075</v>
      </c>
      <c r="B1540" s="0" t="n">
        <v>78</v>
      </c>
      <c r="C1540" s="0" t="n">
        <v>184529</v>
      </c>
      <c r="D1540" s="0" t="s">
        <v>7076</v>
      </c>
      <c r="E1540" s="0" t="s">
        <v>652</v>
      </c>
      <c r="F1540" s="0" t="str">
        <f aca="false">CONCATENATE(D1540," ",LEFT(H1540,4),"T=",AU1540,"D=",AV1540,"R=",AW1540,"M=",AX1540,"L=",AY1540,"B=",AZ1540)</f>
        <v>POLLARD T=2D=0R=0M=9L=7B=1</v>
      </c>
      <c r="G1540" s="0" t="s">
        <v>202</v>
      </c>
      <c r="I1540" s="0" t="s">
        <v>4375</v>
      </c>
      <c r="J1540" s="0" t="s">
        <v>7077</v>
      </c>
      <c r="K1540" s="0" t="s">
        <v>175</v>
      </c>
      <c r="L1540" s="1" t="s">
        <v>155</v>
      </c>
      <c r="M1540" s="0" t="s">
        <v>7073</v>
      </c>
      <c r="N1540" s="0" t="str">
        <f aca="false">RIGHT(M1540,LEN(M1540)-FIND(" ",M1540))</f>
        <v>MAHONING AVE NW</v>
      </c>
      <c r="O1540" s="0" t="s">
        <v>7078</v>
      </c>
      <c r="P1540" s="0" t="s">
        <v>146</v>
      </c>
      <c r="Q1540" s="0" t="s">
        <v>147</v>
      </c>
      <c r="R1540" s="0" t="n">
        <v>44483</v>
      </c>
      <c r="S1540" s="0" t="n">
        <v>2073</v>
      </c>
      <c r="AD1540" s="0" t="s">
        <v>148</v>
      </c>
      <c r="AE1540" s="0" t="s">
        <v>149</v>
      </c>
      <c r="AF1540" s="0" t="s">
        <v>150</v>
      </c>
      <c r="AH1540" s="0" t="n">
        <v>14</v>
      </c>
      <c r="AI1540" s="0" t="n">
        <v>11</v>
      </c>
      <c r="AN1540" s="0" t="s">
        <v>146</v>
      </c>
      <c r="AO1540" s="0" t="s">
        <v>151</v>
      </c>
      <c r="AP1540" s="0" t="s">
        <v>152</v>
      </c>
      <c r="AQ1540" s="0" t="n">
        <v>9</v>
      </c>
      <c r="AR1540" s="0" t="n">
        <v>64</v>
      </c>
      <c r="AS1540" s="0" t="n">
        <v>32</v>
      </c>
      <c r="AU1540" s="0" t="n">
        <f aca="false">COUNTA($BA$1199:$EH$1199)</f>
        <v>2</v>
      </c>
      <c r="AV1540" s="0" t="n">
        <f aca="false">COUNTIF($BA$1199:$EH$1199,"D")</f>
        <v>0</v>
      </c>
      <c r="AW1540" s="0" t="n">
        <f aca="false">COUNTIF($BA$1199:$EH$1199,"R")</f>
        <v>0</v>
      </c>
      <c r="AX1540" s="0" t="n">
        <f aca="false"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>9</v>
      </c>
      <c r="AY1540" s="0" t="n">
        <f aca="false">COUNTIF(DU1540:EH1540, "&lt;&gt;")</f>
        <v>7</v>
      </c>
      <c r="AZ1540" s="0" t="n">
        <f aca="false">IF(EH1540&lt;&gt;"",1,0)</f>
        <v>1</v>
      </c>
      <c r="BB1540" s="0" t="s">
        <v>153</v>
      </c>
      <c r="BC1540" s="0" t="s">
        <v>154</v>
      </c>
      <c r="BD1540" s="0" t="s">
        <v>154</v>
      </c>
      <c r="BE1540" s="0" t="s">
        <v>154</v>
      </c>
      <c r="BF1540" s="0" t="s">
        <v>154</v>
      </c>
      <c r="BG1540" s="0" t="s">
        <v>154</v>
      </c>
      <c r="BH1540" s="0" t="s">
        <v>154</v>
      </c>
      <c r="BI1540" s="0" t="s">
        <v>154</v>
      </c>
      <c r="BJ1540" s="0" t="s">
        <v>154</v>
      </c>
      <c r="BK1540" s="0" t="s">
        <v>154</v>
      </c>
      <c r="BL1540" s="0" t="s">
        <v>154</v>
      </c>
      <c r="BP1540" s="0" t="s">
        <v>154</v>
      </c>
      <c r="BR1540" s="0" t="s">
        <v>154</v>
      </c>
      <c r="BS1540" s="0" t="s">
        <v>154</v>
      </c>
      <c r="BV1540" s="0" t="s">
        <v>154</v>
      </c>
      <c r="BY1540" s="0" t="s">
        <v>155</v>
      </c>
      <c r="CA1540" s="0" t="s">
        <v>154</v>
      </c>
      <c r="CC1540" s="0" t="s">
        <v>155</v>
      </c>
      <c r="CG1540" s="0" t="s">
        <v>154</v>
      </c>
      <c r="CH1540" s="0" t="s">
        <v>155</v>
      </c>
      <c r="CK1540" s="0" t="s">
        <v>154</v>
      </c>
      <c r="CL1540" s="0" t="s">
        <v>155</v>
      </c>
      <c r="CN1540" s="0" t="s">
        <v>154</v>
      </c>
      <c r="CO1540" s="0" t="s">
        <v>155</v>
      </c>
      <c r="CP1540" s="0" t="s">
        <v>154</v>
      </c>
      <c r="CQ1540" s="0" t="s">
        <v>155</v>
      </c>
      <c r="CT1540" s="0" t="s">
        <v>154</v>
      </c>
      <c r="CU1540" s="0" t="s">
        <v>155</v>
      </c>
      <c r="CV1540" s="0" t="s">
        <v>154</v>
      </c>
      <c r="CW1540" s="0" t="s">
        <v>155</v>
      </c>
      <c r="CY1540" s="0" t="s">
        <v>154</v>
      </c>
      <c r="CZ1540" s="0" t="s">
        <v>155</v>
      </c>
      <c r="DC1540" s="0" t="s">
        <v>154</v>
      </c>
      <c r="DD1540" s="0" t="s">
        <v>155</v>
      </c>
      <c r="DF1540" s="0" t="s">
        <v>154</v>
      </c>
      <c r="DG1540" s="0" t="s">
        <v>155</v>
      </c>
      <c r="DI1540" s="0" t="s">
        <v>154</v>
      </c>
      <c r="DJ1540" s="0" t="s">
        <v>155</v>
      </c>
      <c r="DL1540" s="0" t="s">
        <v>154</v>
      </c>
      <c r="DM1540" s="0" t="s">
        <v>155</v>
      </c>
      <c r="DN1540" s="0" t="s">
        <v>154</v>
      </c>
      <c r="DO1540" s="0" t="s">
        <v>155</v>
      </c>
      <c r="DR1540" s="0" t="s">
        <v>154</v>
      </c>
      <c r="DU1540" s="0" t="s">
        <v>154</v>
      </c>
      <c r="DW1540" s="0" t="s">
        <v>155</v>
      </c>
      <c r="DX1540" s="0" t="s">
        <v>154</v>
      </c>
      <c r="EA1540" s="0" t="s">
        <v>154</v>
      </c>
      <c r="ED1540" s="0" t="s">
        <v>155</v>
      </c>
      <c r="EF1540" s="0" t="s">
        <v>154</v>
      </c>
      <c r="EH1540" s="0" t="s">
        <v>155</v>
      </c>
    </row>
    <row r="1541" customFormat="false" ht="13.8" hidden="false" customHeight="false" outlineLevel="0" collapsed="false">
      <c r="A1541" s="0" t="s">
        <v>7079</v>
      </c>
      <c r="B1541" s="0" t="n">
        <v>78</v>
      </c>
      <c r="C1541" s="0" t="n">
        <v>139594</v>
      </c>
      <c r="D1541" s="0" t="s">
        <v>7080</v>
      </c>
      <c r="E1541" s="0" t="s">
        <v>1840</v>
      </c>
      <c r="F1541" s="0" t="str">
        <f aca="false">CONCATENATE(D1541," ",LEFT(H1541,4),"T=",AU1541,"D=",AV1541,"R=",AW1541,"M=",AX1541,"L=",AY1541,"B=",AZ1541)</f>
        <v>HORNER T=2D=1R=0M=4L=6B=0</v>
      </c>
      <c r="G1541" s="0" t="s">
        <v>176</v>
      </c>
      <c r="I1541" s="0" t="s">
        <v>7081</v>
      </c>
      <c r="J1541" s="0" t="s">
        <v>7082</v>
      </c>
      <c r="K1541" s="0" t="s">
        <v>175</v>
      </c>
      <c r="L1541" s="1" t="s">
        <v>176</v>
      </c>
      <c r="M1541" s="0" t="s">
        <v>7073</v>
      </c>
      <c r="N1541" s="0" t="str">
        <f aca="false">RIGHT(M1541,LEN(M1541)-FIND(" ",M1541))</f>
        <v>MAHONING AVE NW</v>
      </c>
      <c r="O1541" s="0" t="s">
        <v>7083</v>
      </c>
      <c r="P1541" s="0" t="s">
        <v>146</v>
      </c>
      <c r="Q1541" s="0" t="s">
        <v>147</v>
      </c>
      <c r="R1541" s="0" t="n">
        <v>44483</v>
      </c>
      <c r="AD1541" s="0" t="s">
        <v>148</v>
      </c>
      <c r="AE1541" s="0" t="s">
        <v>149</v>
      </c>
      <c r="AF1541" s="0" t="s">
        <v>150</v>
      </c>
      <c r="AH1541" s="0" t="n">
        <v>14</v>
      </c>
      <c r="AI1541" s="0" t="n">
        <v>11</v>
      </c>
      <c r="AN1541" s="0" t="s">
        <v>146</v>
      </c>
      <c r="AO1541" s="0" t="s">
        <v>151</v>
      </c>
      <c r="AP1541" s="0" t="s">
        <v>152</v>
      </c>
      <c r="AQ1541" s="0" t="n">
        <v>9</v>
      </c>
      <c r="AR1541" s="0" t="n">
        <v>64</v>
      </c>
      <c r="AS1541" s="0" t="n">
        <v>32</v>
      </c>
      <c r="AU1541" s="0" t="n">
        <f aca="false">COUNTA($BA$1314:$EH$1314)</f>
        <v>2</v>
      </c>
      <c r="AV1541" s="0" t="n">
        <f aca="false">COUNTIF($BA$1314:$EH$1314,"D")</f>
        <v>1</v>
      </c>
      <c r="AW1541" s="0" t="n">
        <f aca="false">COUNTIF($BA$1314:$EH$1314,"R")</f>
        <v>0</v>
      </c>
      <c r="AX1541" s="0" t="n">
        <f aca="false"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>4</v>
      </c>
      <c r="AY1541" s="0" t="n">
        <f aca="false">COUNTIF(DU1541:EH1541, "&lt;&gt;")</f>
        <v>6</v>
      </c>
      <c r="AZ1541" s="0" t="n">
        <f aca="false">IF(EH1541&lt;&gt;"",1,0)</f>
        <v>0</v>
      </c>
      <c r="BB1541" s="0" t="s">
        <v>153</v>
      </c>
      <c r="BC1541" s="0" t="s">
        <v>154</v>
      </c>
      <c r="BD1541" s="0" t="s">
        <v>154</v>
      </c>
      <c r="BF1541" s="0" t="s">
        <v>154</v>
      </c>
      <c r="BH1541" s="0" t="s">
        <v>154</v>
      </c>
      <c r="BK1541" s="0" t="s">
        <v>154</v>
      </c>
      <c r="BL1541" s="0" t="s">
        <v>154</v>
      </c>
      <c r="BP1541" s="0" t="s">
        <v>154</v>
      </c>
      <c r="BS1541" s="0" t="s">
        <v>154</v>
      </c>
      <c r="CA1541" s="0" t="s">
        <v>154</v>
      </c>
      <c r="CG1541" s="0" t="s">
        <v>154</v>
      </c>
      <c r="CK1541" s="0" t="s">
        <v>154</v>
      </c>
      <c r="CL1541" s="0" t="s">
        <v>155</v>
      </c>
      <c r="CN1541" s="0" t="s">
        <v>154</v>
      </c>
      <c r="CO1541" s="0" t="s">
        <v>176</v>
      </c>
      <c r="CP1541" s="0" t="s">
        <v>154</v>
      </c>
      <c r="CQ1541" s="0" t="s">
        <v>155</v>
      </c>
      <c r="CU1541" s="0" t="s">
        <v>155</v>
      </c>
      <c r="CV1541" s="0" t="s">
        <v>154</v>
      </c>
      <c r="CY1541" s="0" t="s">
        <v>154</v>
      </c>
      <c r="CZ1541" s="0" t="s">
        <v>176</v>
      </c>
      <c r="DC1541" s="0" t="s">
        <v>154</v>
      </c>
      <c r="DF1541" s="0" t="s">
        <v>154</v>
      </c>
      <c r="DG1541" s="0" t="s">
        <v>176</v>
      </c>
      <c r="DI1541" s="0" t="s">
        <v>154</v>
      </c>
      <c r="DJ1541" s="0" t="s">
        <v>155</v>
      </c>
      <c r="DL1541" s="0" t="s">
        <v>154</v>
      </c>
      <c r="DM1541" s="0" t="s">
        <v>176</v>
      </c>
      <c r="DN1541" s="0" t="s">
        <v>154</v>
      </c>
      <c r="DS1541" s="0" t="s">
        <v>176</v>
      </c>
      <c r="DT1541" s="0" t="s">
        <v>176</v>
      </c>
      <c r="DU1541" s="0" t="s">
        <v>154</v>
      </c>
      <c r="DW1541" s="0" t="s">
        <v>155</v>
      </c>
      <c r="DX1541" s="0" t="s">
        <v>154</v>
      </c>
      <c r="EA1541" s="0" t="s">
        <v>154</v>
      </c>
      <c r="ED1541" s="0" t="s">
        <v>176</v>
      </c>
      <c r="EF1541" s="0" t="s">
        <v>154</v>
      </c>
    </row>
    <row r="1542" customFormat="false" ht="13.8" hidden="false" customHeight="false" outlineLevel="0" collapsed="false">
      <c r="A1542" s="0" t="s">
        <v>7084</v>
      </c>
      <c r="B1542" s="0" t="n">
        <v>78</v>
      </c>
      <c r="C1542" s="0" t="n">
        <v>127794</v>
      </c>
      <c r="D1542" s="0" t="s">
        <v>7085</v>
      </c>
      <c r="E1542" s="0" t="s">
        <v>694</v>
      </c>
      <c r="F1542" s="0" t="str">
        <f aca="false">CONCATENATE(D1542," ",LEFT(H1542,4),"T=",AU1542,"D=",AV1542,"R=",AW1542,"M=",AX1542,"L=",AY1542,"B=",AZ1542)</f>
        <v>DUDLEY T=1D=0R=0M=0L=3B=0</v>
      </c>
      <c r="G1542" s="0" t="s">
        <v>297</v>
      </c>
      <c r="I1542" s="0" t="s">
        <v>7086</v>
      </c>
      <c r="J1542" s="0" t="s">
        <v>7087</v>
      </c>
      <c r="K1542" s="0" t="s">
        <v>175</v>
      </c>
      <c r="M1542" s="0" t="s">
        <v>7073</v>
      </c>
      <c r="N1542" s="0" t="str">
        <f aca="false">RIGHT(M1542,LEN(M1542)-FIND(" ",M1542))</f>
        <v>MAHONING AVE NW</v>
      </c>
      <c r="O1542" s="0" t="s">
        <v>7088</v>
      </c>
      <c r="P1542" s="0" t="s">
        <v>146</v>
      </c>
      <c r="Q1542" s="0" t="s">
        <v>147</v>
      </c>
      <c r="R1542" s="0" t="n">
        <v>44483</v>
      </c>
      <c r="AD1542" s="0" t="s">
        <v>148</v>
      </c>
      <c r="AE1542" s="0" t="s">
        <v>149</v>
      </c>
      <c r="AF1542" s="0" t="s">
        <v>150</v>
      </c>
      <c r="AH1542" s="0" t="n">
        <v>14</v>
      </c>
      <c r="AI1542" s="0" t="n">
        <v>11</v>
      </c>
      <c r="AN1542" s="0" t="s">
        <v>146</v>
      </c>
      <c r="AO1542" s="0" t="s">
        <v>151</v>
      </c>
      <c r="AP1542" s="0" t="s">
        <v>152</v>
      </c>
      <c r="AQ1542" s="0" t="n">
        <v>9</v>
      </c>
      <c r="AR1542" s="0" t="n">
        <v>64</v>
      </c>
      <c r="AS1542" s="0" t="n">
        <v>32</v>
      </c>
      <c r="AU1542" s="0" t="n">
        <f aca="false">COUNTA($BA$1316:$EH$1316)</f>
        <v>1</v>
      </c>
      <c r="AV1542" s="0" t="n">
        <f aca="false">COUNTIF($BA$1316:$EH$1316,"D")</f>
        <v>0</v>
      </c>
      <c r="AW1542" s="0" t="n">
        <f aca="false">COUNTIF($BA$1316:$EH$1316,"R")</f>
        <v>0</v>
      </c>
      <c r="AX1542" s="0" t="n">
        <f aca="false"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>0</v>
      </c>
      <c r="AY1542" s="0" t="n">
        <f aca="false">COUNTIF(DU1542:EH1542, "&lt;&gt;")</f>
        <v>3</v>
      </c>
      <c r="AZ1542" s="0" t="n">
        <f aca="false">IF(EH1542&lt;&gt;"",1,0)</f>
        <v>0</v>
      </c>
      <c r="BB1542" s="0" t="s">
        <v>153</v>
      </c>
      <c r="BC1542" s="0" t="s">
        <v>154</v>
      </c>
      <c r="BD1542" s="0" t="s">
        <v>154</v>
      </c>
      <c r="BH1542" s="0" t="s">
        <v>154</v>
      </c>
      <c r="BJ1542" s="0" t="s">
        <v>154</v>
      </c>
      <c r="BK1542" s="0" t="s">
        <v>154</v>
      </c>
      <c r="BL1542" s="0" t="s">
        <v>154</v>
      </c>
      <c r="BP1542" s="0" t="s">
        <v>154</v>
      </c>
      <c r="BS1542" s="0" t="s">
        <v>154</v>
      </c>
      <c r="BY1542" s="0" t="s">
        <v>155</v>
      </c>
      <c r="CA1542" s="0" t="s">
        <v>154</v>
      </c>
      <c r="CH1542" s="0" t="s">
        <v>155</v>
      </c>
      <c r="CK1542" s="0" t="s">
        <v>154</v>
      </c>
      <c r="CN1542" s="0" t="s">
        <v>154</v>
      </c>
      <c r="CP1542" s="0" t="s">
        <v>154</v>
      </c>
      <c r="CV1542" s="0" t="s">
        <v>154</v>
      </c>
      <c r="CY1542" s="0" t="s">
        <v>154</v>
      </c>
      <c r="CZ1542" s="0" t="s">
        <v>155</v>
      </c>
      <c r="DC1542" s="0" t="s">
        <v>154</v>
      </c>
      <c r="DI1542" s="0" t="s">
        <v>154</v>
      </c>
      <c r="DN1542" s="0" t="s">
        <v>154</v>
      </c>
      <c r="DU1542" s="0" t="s">
        <v>154</v>
      </c>
      <c r="EA1542" s="0" t="s">
        <v>154</v>
      </c>
      <c r="EF1542" s="0" t="s">
        <v>154</v>
      </c>
    </row>
    <row r="1543" customFormat="false" ht="13.8" hidden="false" customHeight="false" outlineLevel="0" collapsed="false">
      <c r="A1543" s="0" t="s">
        <v>7089</v>
      </c>
      <c r="B1543" s="0" t="n">
        <v>78</v>
      </c>
      <c r="C1543" s="0" t="n">
        <v>475121</v>
      </c>
      <c r="D1543" s="0" t="s">
        <v>1610</v>
      </c>
      <c r="E1543" s="0" t="s">
        <v>7090</v>
      </c>
      <c r="F1543" s="0" t="str">
        <f aca="false">CONCATENATE(D1543," ",LEFT(H1543,4),"T=",AU1543,"D=",AV1543,"R=",AW1543,"M=",AX1543,"L=",AY1543,"B=",AZ1543)</f>
        <v>PRATT T=4D=0R=0M=0L=3B=0</v>
      </c>
      <c r="G1543" s="0" t="s">
        <v>155</v>
      </c>
      <c r="I1543" s="0" t="s">
        <v>7091</v>
      </c>
      <c r="J1543" s="0" t="s">
        <v>3939</v>
      </c>
      <c r="K1543" s="0" t="s">
        <v>175</v>
      </c>
      <c r="M1543" s="0" t="s">
        <v>7073</v>
      </c>
      <c r="N1543" s="0" t="str">
        <f aca="false">RIGHT(M1543,LEN(M1543)-FIND(" ",M1543))</f>
        <v>MAHONING AVE NW</v>
      </c>
      <c r="O1543" s="0" t="s">
        <v>6897</v>
      </c>
      <c r="P1543" s="0" t="s">
        <v>146</v>
      </c>
      <c r="Q1543" s="0" t="s">
        <v>147</v>
      </c>
      <c r="R1543" s="0" t="n">
        <v>44483</v>
      </c>
      <c r="AD1543" s="0" t="s">
        <v>148</v>
      </c>
      <c r="AE1543" s="0" t="s">
        <v>149</v>
      </c>
      <c r="AF1543" s="0" t="s">
        <v>150</v>
      </c>
      <c r="AH1543" s="0" t="n">
        <v>14</v>
      </c>
      <c r="AI1543" s="0" t="n">
        <v>11</v>
      </c>
      <c r="AN1543" s="0" t="s">
        <v>146</v>
      </c>
      <c r="AO1543" s="0" t="s">
        <v>151</v>
      </c>
      <c r="AP1543" s="0" t="s">
        <v>152</v>
      </c>
      <c r="AQ1543" s="0" t="n">
        <v>9</v>
      </c>
      <c r="AR1543" s="0" t="n">
        <v>64</v>
      </c>
      <c r="AS1543" s="0" t="n">
        <v>32</v>
      </c>
      <c r="AU1543" s="0" t="n">
        <f aca="false">COUNTA($BA$1473:$EH$1473)</f>
        <v>4</v>
      </c>
      <c r="AV1543" s="0" t="n">
        <f aca="false">COUNTIF($BA$1473:$EH$1473,"D")</f>
        <v>0</v>
      </c>
      <c r="AW1543" s="0" t="n">
        <f aca="false">COUNTIF($BA$1473:$EH$1473,"R")</f>
        <v>0</v>
      </c>
      <c r="AX1543" s="0" t="n">
        <f aca="false"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>0</v>
      </c>
      <c r="AY1543" s="0" t="n">
        <f aca="false">COUNTIF(DU1543:EH1543, "&lt;&gt;")</f>
        <v>3</v>
      </c>
      <c r="AZ1543" s="0" t="n">
        <f aca="false">IF(EH1543&lt;&gt;"",1,0)</f>
        <v>0</v>
      </c>
      <c r="BB1543" s="0" t="s">
        <v>153</v>
      </c>
      <c r="BD1543" s="0" t="s">
        <v>154</v>
      </c>
      <c r="BE1543" s="0" t="s">
        <v>154</v>
      </c>
      <c r="BH1543" s="0" t="s">
        <v>154</v>
      </c>
      <c r="BI1543" s="0" t="s">
        <v>154</v>
      </c>
      <c r="BJ1543" s="0" t="s">
        <v>154</v>
      </c>
      <c r="BL1543" s="0" t="s">
        <v>154</v>
      </c>
      <c r="BP1543" s="0" t="s">
        <v>154</v>
      </c>
      <c r="BS1543" s="0" t="s">
        <v>154</v>
      </c>
      <c r="BV1543" s="0" t="s">
        <v>154</v>
      </c>
      <c r="CA1543" s="0" t="s">
        <v>154</v>
      </c>
      <c r="CG1543" s="0" t="s">
        <v>154</v>
      </c>
      <c r="CH1543" s="0" t="s">
        <v>154</v>
      </c>
      <c r="CK1543" s="0" t="s">
        <v>154</v>
      </c>
      <c r="CN1543" s="0" t="s">
        <v>154</v>
      </c>
      <c r="CP1543" s="0" t="s">
        <v>154</v>
      </c>
      <c r="DN1543" s="0" t="s">
        <v>154</v>
      </c>
      <c r="DX1543" s="0" t="s">
        <v>154</v>
      </c>
      <c r="EA1543" s="0" t="s">
        <v>154</v>
      </c>
      <c r="EF1543" s="0" t="s">
        <v>154</v>
      </c>
    </row>
    <row r="1544" customFormat="false" ht="13.8" hidden="true" customHeight="false" outlineLevel="0" collapsed="false">
      <c r="A1544" s="0" t="s">
        <v>7092</v>
      </c>
      <c r="B1544" s="0" t="n">
        <v>78</v>
      </c>
      <c r="C1544" s="0" t="n">
        <v>466854</v>
      </c>
      <c r="D1544" s="0" t="s">
        <v>7093</v>
      </c>
      <c r="E1544" s="0" t="s">
        <v>5456</v>
      </c>
      <c r="F1544" s="0" t="str">
        <f aca="false">CONCATENATE(D1544," ",LEFT(H1544,4),"T=",AU1544,"D=",AV1544,"R=",AW1544,"M=",AX1544,"L=",AY1544,"B=",AZ1544)</f>
        <v>SHUTTLESWORTH T=10D=1R=0M=0L=0B=0</v>
      </c>
      <c r="G1544" s="0" t="s">
        <v>241</v>
      </c>
      <c r="I1544" s="0" t="s">
        <v>4561</v>
      </c>
      <c r="J1544" s="0" t="s">
        <v>7094</v>
      </c>
      <c r="K1544" s="0" t="s">
        <v>175</v>
      </c>
      <c r="L1544" s="0"/>
      <c r="M1544" s="0" t="s">
        <v>7073</v>
      </c>
      <c r="N1544" s="0" t="str">
        <f aca="false">RIGHT(M1544,LEN(M1544)-FIND(" ",M1544))</f>
        <v>MAHONING AVE NW</v>
      </c>
      <c r="O1544" s="0" t="s">
        <v>7095</v>
      </c>
      <c r="P1544" s="0" t="s">
        <v>146</v>
      </c>
      <c r="Q1544" s="0" t="s">
        <v>147</v>
      </c>
      <c r="R1544" s="0" t="n">
        <v>44483</v>
      </c>
      <c r="AD1544" s="0" t="s">
        <v>148</v>
      </c>
      <c r="AE1544" s="0" t="s">
        <v>149</v>
      </c>
      <c r="AF1544" s="0" t="s">
        <v>150</v>
      </c>
      <c r="AH1544" s="0" t="n">
        <v>14</v>
      </c>
      <c r="AI1544" s="0" t="n">
        <v>11</v>
      </c>
      <c r="AN1544" s="0" t="s">
        <v>146</v>
      </c>
      <c r="AO1544" s="0" t="s">
        <v>151</v>
      </c>
      <c r="AP1544" s="0" t="s">
        <v>152</v>
      </c>
      <c r="AQ1544" s="0" t="n">
        <v>9</v>
      </c>
      <c r="AR1544" s="0" t="n">
        <v>64</v>
      </c>
      <c r="AS1544" s="0" t="n">
        <v>32</v>
      </c>
      <c r="AU1544" s="0" t="n">
        <f aca="false">COUNTA($BA$1806:$EH$1806)</f>
        <v>10</v>
      </c>
      <c r="AV1544" s="0" t="n">
        <f aca="false">COUNTIF($BA$1806:$EH$1806,"D")</f>
        <v>1</v>
      </c>
      <c r="AW1544" s="0" t="n">
        <f aca="false">COUNTIF($BA$1806:$EH$1806,"R")</f>
        <v>0</v>
      </c>
      <c r="AX1544" s="0" t="n">
        <f aca="false"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>0</v>
      </c>
      <c r="AY1544" s="0" t="n">
        <f aca="false">COUNTIF(DU1544:EH1544, "&lt;&gt;")</f>
        <v>0</v>
      </c>
      <c r="AZ1544" s="0" t="n">
        <f aca="false">IF(EH1544&lt;&gt;"",1,0)</f>
        <v>0</v>
      </c>
      <c r="BB1544" s="0" t="s">
        <v>153</v>
      </c>
    </row>
    <row r="1545" customFormat="false" ht="13.8" hidden="true" customHeight="false" outlineLevel="0" collapsed="false">
      <c r="A1545" s="0" t="s">
        <v>7096</v>
      </c>
      <c r="B1545" s="0" t="n">
        <v>78</v>
      </c>
      <c r="C1545" s="0" t="n">
        <v>431646</v>
      </c>
      <c r="D1545" s="0" t="s">
        <v>7097</v>
      </c>
      <c r="E1545" s="0" t="s">
        <v>7098</v>
      </c>
      <c r="F1545" s="0" t="str">
        <f aca="false">CONCATENATE(D1545," ",LEFT(H1545,4),"T=",AU1545,"D=",AV1545,"R=",AW1545,"M=",AX1545,"L=",AY1545,"B=",AZ1545)</f>
        <v>CORNELL T=1D=0R=0M=0L=0B=0</v>
      </c>
      <c r="G1545" s="0" t="s">
        <v>159</v>
      </c>
      <c r="I1545" s="0" t="s">
        <v>2952</v>
      </c>
      <c r="J1545" s="0" t="s">
        <v>7099</v>
      </c>
      <c r="K1545" s="0" t="s">
        <v>144</v>
      </c>
      <c r="L1545" s="0"/>
      <c r="M1545" s="0" t="s">
        <v>7073</v>
      </c>
      <c r="N1545" s="0" t="str">
        <f aca="false">RIGHT(M1545,LEN(M1545)-FIND(" ",M1545))</f>
        <v>MAHONING AVE NW</v>
      </c>
      <c r="O1545" s="0" t="s">
        <v>7095</v>
      </c>
      <c r="P1545" s="0" t="s">
        <v>146</v>
      </c>
      <c r="Q1545" s="0" t="s">
        <v>147</v>
      </c>
      <c r="R1545" s="0" t="n">
        <v>44483</v>
      </c>
      <c r="AD1545" s="0" t="s">
        <v>148</v>
      </c>
      <c r="AE1545" s="0" t="s">
        <v>149</v>
      </c>
      <c r="AF1545" s="0" t="s">
        <v>150</v>
      </c>
      <c r="AH1545" s="0" t="n">
        <v>14</v>
      </c>
      <c r="AI1545" s="0" t="n">
        <v>11</v>
      </c>
      <c r="AN1545" s="0" t="s">
        <v>146</v>
      </c>
      <c r="AO1545" s="0" t="s">
        <v>151</v>
      </c>
      <c r="AP1545" s="0" t="s">
        <v>152</v>
      </c>
      <c r="AQ1545" s="0" t="n">
        <v>9</v>
      </c>
      <c r="AR1545" s="0" t="n">
        <v>64</v>
      </c>
      <c r="AS1545" s="0" t="n">
        <v>32</v>
      </c>
      <c r="AU1545" s="0" t="n">
        <f aca="false">COUNTA($BA$1883:$EH$1883)</f>
        <v>1</v>
      </c>
      <c r="AV1545" s="0" t="n">
        <f aca="false">COUNTIF($BA$1883:$EH$1883,"D")</f>
        <v>0</v>
      </c>
      <c r="AW1545" s="0" t="n">
        <f aca="false">COUNTIF($BA$1883:$EH$1883,"R")</f>
        <v>0</v>
      </c>
      <c r="AX1545" s="0" t="n">
        <f aca="false"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>0</v>
      </c>
      <c r="AY1545" s="0" t="n">
        <f aca="false">COUNTIF(DU1545:EH1545, "&lt;&gt;")</f>
        <v>0</v>
      </c>
      <c r="AZ1545" s="0" t="n">
        <f aca="false">IF(EH1545&lt;&gt;"",1,0)</f>
        <v>0</v>
      </c>
      <c r="BB1545" s="0" t="s">
        <v>153</v>
      </c>
      <c r="DI1545" s="0" t="s">
        <v>154</v>
      </c>
    </row>
    <row r="1546" customFormat="false" ht="13.8" hidden="true" customHeight="false" outlineLevel="0" collapsed="false">
      <c r="A1546" s="0" t="s">
        <v>7100</v>
      </c>
      <c r="B1546" s="0" t="n">
        <v>78</v>
      </c>
      <c r="C1546" s="0" t="n">
        <v>309317</v>
      </c>
      <c r="D1546" s="0" t="s">
        <v>6768</v>
      </c>
      <c r="E1546" s="0" t="s">
        <v>1283</v>
      </c>
      <c r="F1546" s="0" t="str">
        <f aca="false">CONCATENATE(D1546," ",LEFT(H1546,4),"T=",AU1546,"D=",AV1546,"R=",AW1546,"M=",AX1546,"L=",AY1546,"B=",AZ1546)</f>
        <v>YORK T=1D=0R=0M=0L=0B=0</v>
      </c>
      <c r="G1546" s="0" t="s">
        <v>188</v>
      </c>
      <c r="I1546" s="0" t="s">
        <v>7101</v>
      </c>
      <c r="J1546" s="0" t="s">
        <v>7102</v>
      </c>
      <c r="K1546" s="0" t="s">
        <v>175</v>
      </c>
      <c r="L1546" s="0"/>
      <c r="M1546" s="0" t="s">
        <v>7073</v>
      </c>
      <c r="N1546" s="0" t="str">
        <f aca="false">RIGHT(M1546,LEN(M1546)-FIND(" ",M1546))</f>
        <v>MAHONING AVE NW</v>
      </c>
      <c r="O1546" s="0" t="s">
        <v>7103</v>
      </c>
      <c r="P1546" s="0" t="s">
        <v>146</v>
      </c>
      <c r="Q1546" s="0" t="s">
        <v>147</v>
      </c>
      <c r="R1546" s="0" t="n">
        <v>44483</v>
      </c>
      <c r="AD1546" s="0" t="s">
        <v>148</v>
      </c>
      <c r="AE1546" s="0" t="s">
        <v>149</v>
      </c>
      <c r="AF1546" s="0" t="s">
        <v>150</v>
      </c>
      <c r="AH1546" s="0" t="n">
        <v>14</v>
      </c>
      <c r="AI1546" s="0" t="n">
        <v>11</v>
      </c>
      <c r="AN1546" s="0" t="s">
        <v>146</v>
      </c>
      <c r="AO1546" s="0" t="s">
        <v>151</v>
      </c>
      <c r="AP1546" s="0" t="s">
        <v>152</v>
      </c>
      <c r="AQ1546" s="0" t="n">
        <v>9</v>
      </c>
      <c r="AR1546" s="0" t="n">
        <v>64</v>
      </c>
      <c r="AS1546" s="0" t="n">
        <v>32</v>
      </c>
      <c r="AU1546" s="0" t="n">
        <f aca="false">COUNTA($BA$1884:$EH$1884)</f>
        <v>1</v>
      </c>
      <c r="AV1546" s="0" t="n">
        <f aca="false">COUNTIF($BA$1884:$EH$1884,"D")</f>
        <v>0</v>
      </c>
      <c r="AW1546" s="0" t="n">
        <f aca="false">COUNTIF($BA$1884:$EH$1884,"R")</f>
        <v>0</v>
      </c>
      <c r="AX1546" s="0" t="n">
        <f aca="false"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>0</v>
      </c>
      <c r="AY1546" s="0" t="n">
        <f aca="false">COUNTIF(DU1546:EH1546, "&lt;&gt;")</f>
        <v>0</v>
      </c>
      <c r="AZ1546" s="0" t="n">
        <f aca="false">IF(EH1546&lt;&gt;"",1,0)</f>
        <v>0</v>
      </c>
      <c r="BB1546" s="0" t="s">
        <v>153</v>
      </c>
      <c r="BS1546" s="0" t="s">
        <v>154</v>
      </c>
      <c r="BV1546" s="0" t="s">
        <v>154</v>
      </c>
      <c r="BY1546" s="0" t="s">
        <v>155</v>
      </c>
      <c r="CA1546" s="0" t="s">
        <v>154</v>
      </c>
      <c r="CK1546" s="0" t="s">
        <v>154</v>
      </c>
      <c r="CN1546" s="0" t="s">
        <v>154</v>
      </c>
      <c r="CP1546" s="0" t="s">
        <v>154</v>
      </c>
      <c r="DC1546" s="0" t="s">
        <v>154</v>
      </c>
    </row>
    <row r="1547" customFormat="false" ht="13.8" hidden="true" customHeight="false" outlineLevel="0" collapsed="false">
      <c r="A1547" s="0" t="s">
        <v>7104</v>
      </c>
      <c r="B1547" s="0" t="n">
        <v>78</v>
      </c>
      <c r="C1547" s="0" t="n">
        <v>281531</v>
      </c>
      <c r="D1547" s="0" t="s">
        <v>7105</v>
      </c>
      <c r="E1547" s="0" t="s">
        <v>376</v>
      </c>
      <c r="F1547" s="0" t="str">
        <f aca="false">CONCATENATE(D1547," ",LEFT(H1547,4),"T=",AU1547,"D=",AV1547,"R=",AW1547,"M=",AX1547,"L=",AY1547,"B=",AZ1547)</f>
        <v>PERRICELLIA T=8D=1R=0M=0L=0B=0</v>
      </c>
      <c r="G1547" s="0" t="s">
        <v>241</v>
      </c>
      <c r="I1547" s="0" t="s">
        <v>7106</v>
      </c>
      <c r="J1547" s="0" t="s">
        <v>757</v>
      </c>
      <c r="K1547" s="0" t="s">
        <v>175</v>
      </c>
      <c r="L1547" s="0"/>
      <c r="M1547" s="0" t="s">
        <v>7073</v>
      </c>
      <c r="N1547" s="0" t="str">
        <f aca="false">RIGHT(M1547,LEN(M1547)-FIND(" ",M1547))</f>
        <v>MAHONING AVE NW</v>
      </c>
      <c r="O1547" s="0" t="s">
        <v>6951</v>
      </c>
      <c r="P1547" s="0" t="s">
        <v>146</v>
      </c>
      <c r="Q1547" s="0" t="s">
        <v>147</v>
      </c>
      <c r="R1547" s="0" t="n">
        <v>44483</v>
      </c>
      <c r="AD1547" s="0" t="s">
        <v>148</v>
      </c>
      <c r="AE1547" s="0" t="s">
        <v>149</v>
      </c>
      <c r="AF1547" s="0" t="s">
        <v>150</v>
      </c>
      <c r="AH1547" s="0" t="n">
        <v>14</v>
      </c>
      <c r="AI1547" s="0" t="n">
        <v>11</v>
      </c>
      <c r="AN1547" s="0" t="s">
        <v>146</v>
      </c>
      <c r="AO1547" s="0" t="s">
        <v>151</v>
      </c>
      <c r="AP1547" s="0" t="s">
        <v>152</v>
      </c>
      <c r="AQ1547" s="0" t="n">
        <v>9</v>
      </c>
      <c r="AR1547" s="0" t="n">
        <v>64</v>
      </c>
      <c r="AS1547" s="0" t="n">
        <v>32</v>
      </c>
      <c r="AU1547" s="0" t="n">
        <f aca="false">COUNTA($BA$1919:$EH$1919)</f>
        <v>8</v>
      </c>
      <c r="AV1547" s="0" t="n">
        <f aca="false">COUNTIF($BA$1919:$EH$1919,"D")</f>
        <v>1</v>
      </c>
      <c r="AW1547" s="0" t="n">
        <f aca="false">COUNTIF($BA$1919:$EH$1919,"R")</f>
        <v>0</v>
      </c>
      <c r="AX1547" s="0" t="n">
        <f aca="false"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>0</v>
      </c>
      <c r="AY1547" s="0" t="n">
        <f aca="false">COUNTIF(DU1547:EH1547, "&lt;&gt;")</f>
        <v>0</v>
      </c>
      <c r="AZ1547" s="0" t="n">
        <f aca="false">IF(EH1547&lt;&gt;"",1,0)</f>
        <v>0</v>
      </c>
      <c r="BB1547" s="0" t="s">
        <v>153</v>
      </c>
      <c r="BL1547" s="0" t="s">
        <v>154</v>
      </c>
      <c r="BS1547" s="0" t="s">
        <v>154</v>
      </c>
      <c r="BY1547" s="0" t="s">
        <v>155</v>
      </c>
      <c r="CA1547" s="0" t="s">
        <v>154</v>
      </c>
      <c r="CN1547" s="0" t="s">
        <v>154</v>
      </c>
      <c r="CP1547" s="0" t="s">
        <v>154</v>
      </c>
    </row>
    <row r="1548" customFormat="false" ht="13.8" hidden="true" customHeight="false" outlineLevel="0" collapsed="false">
      <c r="A1548" s="0" t="s">
        <v>7107</v>
      </c>
      <c r="B1548" s="0" t="n">
        <v>78</v>
      </c>
      <c r="C1548" s="0" t="n">
        <v>372081</v>
      </c>
      <c r="D1548" s="0" t="s">
        <v>3697</v>
      </c>
      <c r="E1548" s="0" t="s">
        <v>7108</v>
      </c>
      <c r="F1548" s="0" t="str">
        <f aca="false">CONCATENATE(D1548," ",LEFT(H1548,4),"T=",AU1548,"D=",AV1548,"R=",AW1548,"M=",AX1548,"L=",AY1548,"B=",AZ1548)</f>
        <v>POWELL T=1D=0R=0M=0L=0B=0</v>
      </c>
      <c r="G1548" s="0" t="s">
        <v>241</v>
      </c>
      <c r="I1548" s="0" t="s">
        <v>7109</v>
      </c>
      <c r="J1548" s="0" t="s">
        <v>7110</v>
      </c>
      <c r="K1548" s="0" t="s">
        <v>144</v>
      </c>
      <c r="L1548" s="0"/>
      <c r="M1548" s="0" t="s">
        <v>7073</v>
      </c>
      <c r="N1548" s="0" t="str">
        <f aca="false">RIGHT(M1548,LEN(M1548)-FIND(" ",M1548))</f>
        <v>MAHONING AVE NW</v>
      </c>
      <c r="O1548" s="0" t="s">
        <v>6943</v>
      </c>
      <c r="P1548" s="0" t="s">
        <v>146</v>
      </c>
      <c r="Q1548" s="0" t="s">
        <v>147</v>
      </c>
      <c r="R1548" s="0" t="n">
        <v>44483</v>
      </c>
      <c r="AD1548" s="0" t="s">
        <v>148</v>
      </c>
      <c r="AE1548" s="0" t="s">
        <v>149</v>
      </c>
      <c r="AF1548" s="0" t="s">
        <v>150</v>
      </c>
      <c r="AH1548" s="0" t="n">
        <v>14</v>
      </c>
      <c r="AI1548" s="0" t="n">
        <v>11</v>
      </c>
      <c r="AN1548" s="0" t="s">
        <v>146</v>
      </c>
      <c r="AO1548" s="0" t="s">
        <v>151</v>
      </c>
      <c r="AP1548" s="0" t="s">
        <v>152</v>
      </c>
      <c r="AQ1548" s="0" t="n">
        <v>9</v>
      </c>
      <c r="AR1548" s="0" t="n">
        <v>64</v>
      </c>
      <c r="AS1548" s="0" t="n">
        <v>32</v>
      </c>
      <c r="AU1548" s="0" t="n">
        <f aca="false">COUNTA($BA$1942:$EH$1942)</f>
        <v>1</v>
      </c>
      <c r="AV1548" s="0" t="n">
        <f aca="false">COUNTIF($BA$1942:$EH$1942,"D")</f>
        <v>0</v>
      </c>
      <c r="AW1548" s="0" t="n">
        <f aca="false">COUNTIF($BA$1942:$EH$1942,"R")</f>
        <v>0</v>
      </c>
      <c r="AX1548" s="0" t="n">
        <f aca="false"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>0</v>
      </c>
      <c r="AY1548" s="0" t="n">
        <f aca="false">COUNTIF(DU1548:EH1548, "&lt;&gt;")</f>
        <v>0</v>
      </c>
      <c r="AZ1548" s="0" t="n">
        <f aca="false">IF(EH1548&lt;&gt;"",1,0)</f>
        <v>0</v>
      </c>
      <c r="BB1548" s="0" t="s">
        <v>153</v>
      </c>
      <c r="DC1548" s="0" t="s">
        <v>154</v>
      </c>
    </row>
    <row r="1549" customFormat="false" ht="13.8" hidden="true" customHeight="false" outlineLevel="0" collapsed="false">
      <c r="A1549" s="0" t="s">
        <v>7111</v>
      </c>
      <c r="B1549" s="0" t="n">
        <v>78</v>
      </c>
      <c r="C1549" s="0" t="n">
        <v>369538</v>
      </c>
      <c r="D1549" s="0" t="s">
        <v>7112</v>
      </c>
      <c r="E1549" s="0" t="s">
        <v>1117</v>
      </c>
      <c r="F1549" s="0" t="str">
        <f aca="false">CONCATENATE(D1549," ",LEFT(H1549,4),"T=",AU1549,"D=",AV1549,"R=",AW1549,"M=",AX1549,"L=",AY1549,"B=",AZ1549)</f>
        <v>BOWER T=29D=7R=0M=0L=0B=0</v>
      </c>
      <c r="G1549" s="0" t="s">
        <v>172</v>
      </c>
      <c r="I1549" s="0" t="s">
        <v>7113</v>
      </c>
      <c r="J1549" s="0" t="s">
        <v>342</v>
      </c>
      <c r="K1549" s="0" t="s">
        <v>144</v>
      </c>
      <c r="L1549" s="0"/>
      <c r="M1549" s="0" t="s">
        <v>7114</v>
      </c>
      <c r="N1549" s="0" t="str">
        <f aca="false">RIGHT(M1549,LEN(M1549)-FIND(" ",M1549))</f>
        <v>MAHONING AVE NW</v>
      </c>
      <c r="O1549" s="0" t="s">
        <v>7115</v>
      </c>
      <c r="P1549" s="0" t="s">
        <v>146</v>
      </c>
      <c r="Q1549" s="0" t="s">
        <v>147</v>
      </c>
      <c r="R1549" s="0" t="n">
        <v>44483</v>
      </c>
      <c r="AD1549" s="0" t="s">
        <v>148</v>
      </c>
      <c r="AE1549" s="0" t="s">
        <v>149</v>
      </c>
      <c r="AF1549" s="0" t="s">
        <v>150</v>
      </c>
      <c r="AH1549" s="0" t="n">
        <v>14</v>
      </c>
      <c r="AI1549" s="0" t="n">
        <v>11</v>
      </c>
      <c r="AN1549" s="0" t="s">
        <v>146</v>
      </c>
      <c r="AO1549" s="0" t="s">
        <v>151</v>
      </c>
      <c r="AP1549" s="0" t="s">
        <v>152</v>
      </c>
      <c r="AQ1549" s="0" t="n">
        <v>9</v>
      </c>
      <c r="AR1549" s="0" t="n">
        <v>64</v>
      </c>
      <c r="AS1549" s="0" t="n">
        <v>32</v>
      </c>
      <c r="AU1549" s="0" t="n">
        <f aca="false">COUNTA($BA$1216:$EH$1216)</f>
        <v>29</v>
      </c>
      <c r="AV1549" s="0" t="n">
        <f aca="false">COUNTIF($BA$1216:$EH$1216,"D")</f>
        <v>7</v>
      </c>
      <c r="AW1549" s="0" t="n">
        <f aca="false">COUNTIF($BA$1216:$EH$1216,"R")</f>
        <v>0</v>
      </c>
      <c r="AX1549" s="0" t="n">
        <f aca="false"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>0</v>
      </c>
      <c r="AY1549" s="0" t="n">
        <f aca="false">COUNTIF(DU1549:EH1549, "&lt;&gt;")</f>
        <v>0</v>
      </c>
      <c r="AZ1549" s="0" t="n">
        <f aca="false">IF(EH1549&lt;&gt;"",1,0)</f>
        <v>0</v>
      </c>
      <c r="BB1549" s="0" t="s">
        <v>153</v>
      </c>
    </row>
    <row r="1550" customFormat="false" ht="13.8" hidden="false" customHeight="false" outlineLevel="0" collapsed="false">
      <c r="A1550" s="0" t="s">
        <v>7116</v>
      </c>
      <c r="B1550" s="0" t="n">
        <v>78</v>
      </c>
      <c r="C1550" s="0" t="n">
        <v>201535</v>
      </c>
      <c r="D1550" s="0" t="s">
        <v>7117</v>
      </c>
      <c r="E1550" s="0" t="s">
        <v>507</v>
      </c>
      <c r="F1550" s="0" t="str">
        <f aca="false">CONCATENATE(D1550," ",LEFT(H1550,4),"T=",AU1550,"D=",AV1550,"R=",AW1550,"M=",AX1550,"L=",AY1550,"B=",AZ1550)</f>
        <v>WIESNER T=1D=0R=0M=0L=2B=0</v>
      </c>
      <c r="G1550" s="0" t="s">
        <v>181</v>
      </c>
      <c r="I1550" s="0" t="s">
        <v>7118</v>
      </c>
      <c r="J1550" s="0" t="s">
        <v>7119</v>
      </c>
      <c r="K1550" s="0" t="s">
        <v>175</v>
      </c>
      <c r="L1550" s="1" t="s">
        <v>176</v>
      </c>
      <c r="M1550" s="0" t="s">
        <v>7114</v>
      </c>
      <c r="N1550" s="0" t="str">
        <f aca="false">RIGHT(M1550,LEN(M1550)-FIND(" ",M1550))</f>
        <v>MAHONING AVE NW</v>
      </c>
      <c r="O1550" s="0" t="s">
        <v>7120</v>
      </c>
      <c r="P1550" s="0" t="s">
        <v>146</v>
      </c>
      <c r="Q1550" s="0" t="s">
        <v>147</v>
      </c>
      <c r="R1550" s="0" t="n">
        <v>44483</v>
      </c>
      <c r="AD1550" s="0" t="s">
        <v>148</v>
      </c>
      <c r="AE1550" s="0" t="s">
        <v>149</v>
      </c>
      <c r="AF1550" s="0" t="s">
        <v>150</v>
      </c>
      <c r="AH1550" s="0" t="n">
        <v>14</v>
      </c>
      <c r="AI1550" s="0" t="n">
        <v>11</v>
      </c>
      <c r="AN1550" s="0" t="s">
        <v>146</v>
      </c>
      <c r="AO1550" s="0" t="s">
        <v>151</v>
      </c>
      <c r="AP1550" s="0" t="s">
        <v>152</v>
      </c>
      <c r="AQ1550" s="0" t="n">
        <v>9</v>
      </c>
      <c r="AR1550" s="0" t="n">
        <v>64</v>
      </c>
      <c r="AS1550" s="0" t="n">
        <v>32</v>
      </c>
      <c r="AU1550" s="0" t="n">
        <f aca="false">COUNTA($BA$1251:$EH$1251)</f>
        <v>1</v>
      </c>
      <c r="AV1550" s="0" t="n">
        <f aca="false">COUNTIF($BA$1251:$EH$1251,"D")</f>
        <v>0</v>
      </c>
      <c r="AW1550" s="0" t="n">
        <f aca="false">COUNTIF($BA$1251:$EH$1251,"R")</f>
        <v>0</v>
      </c>
      <c r="AX1550" s="0" t="n">
        <f aca="false"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>0</v>
      </c>
      <c r="AY1550" s="0" t="n">
        <f aca="false">COUNTIF(DU1550:EH1550, "&lt;&gt;")</f>
        <v>2</v>
      </c>
      <c r="AZ1550" s="0" t="n">
        <f aca="false">IF(EH1550&lt;&gt;"",1,0)</f>
        <v>0</v>
      </c>
      <c r="BB1550" s="0" t="s">
        <v>153</v>
      </c>
      <c r="BL1550" s="0" t="s">
        <v>154</v>
      </c>
      <c r="CA1550" s="0" t="s">
        <v>154</v>
      </c>
      <c r="CP1550" s="0" t="s">
        <v>154</v>
      </c>
      <c r="DC1550" s="0" t="s">
        <v>154</v>
      </c>
      <c r="DN1550" s="0" t="s">
        <v>154</v>
      </c>
      <c r="ED1550" s="0" t="s">
        <v>176</v>
      </c>
      <c r="EF1550" s="0" t="s">
        <v>154</v>
      </c>
    </row>
    <row r="1551" customFormat="false" ht="13.8" hidden="false" customHeight="false" outlineLevel="0" collapsed="false">
      <c r="A1551" s="0" t="s">
        <v>7121</v>
      </c>
      <c r="B1551" s="0" t="n">
        <v>78</v>
      </c>
      <c r="C1551" s="0" t="n">
        <v>221194</v>
      </c>
      <c r="D1551" s="0" t="s">
        <v>2900</v>
      </c>
      <c r="E1551" s="0" t="s">
        <v>287</v>
      </c>
      <c r="F1551" s="0" t="str">
        <f aca="false">CONCATENATE(D1551," ",LEFT(H1551,4),"T=",AU1551,"D=",AV1551,"R=",AW1551,"M=",AX1551,"L=",AY1551,"B=",AZ1551)</f>
        <v>BRADLEY T=2D=0R=0M=0L=4B=0</v>
      </c>
      <c r="G1551" s="0" t="s">
        <v>438</v>
      </c>
      <c r="I1551" s="0" t="s">
        <v>7122</v>
      </c>
      <c r="J1551" s="0" t="s">
        <v>6061</v>
      </c>
      <c r="K1551" s="0" t="s">
        <v>175</v>
      </c>
      <c r="L1551" s="1" t="s">
        <v>155</v>
      </c>
      <c r="M1551" s="0" t="s">
        <v>7114</v>
      </c>
      <c r="N1551" s="0" t="str">
        <f aca="false">RIGHT(M1551,LEN(M1551)-FIND(" ",M1551))</f>
        <v>MAHONING AVE NW</v>
      </c>
      <c r="O1551" s="0" t="s">
        <v>7123</v>
      </c>
      <c r="P1551" s="0" t="s">
        <v>146</v>
      </c>
      <c r="Q1551" s="0" t="s">
        <v>147</v>
      </c>
      <c r="R1551" s="0" t="n">
        <v>44483</v>
      </c>
      <c r="AD1551" s="0" t="s">
        <v>148</v>
      </c>
      <c r="AE1551" s="0" t="s">
        <v>149</v>
      </c>
      <c r="AF1551" s="0" t="s">
        <v>150</v>
      </c>
      <c r="AH1551" s="0" t="n">
        <v>14</v>
      </c>
      <c r="AI1551" s="0" t="n">
        <v>11</v>
      </c>
      <c r="AN1551" s="0" t="s">
        <v>146</v>
      </c>
      <c r="AO1551" s="0" t="s">
        <v>151</v>
      </c>
      <c r="AP1551" s="0" t="s">
        <v>152</v>
      </c>
      <c r="AQ1551" s="0" t="n">
        <v>9</v>
      </c>
      <c r="AR1551" s="0" t="n">
        <v>64</v>
      </c>
      <c r="AS1551" s="0" t="n">
        <v>32</v>
      </c>
      <c r="AU1551" s="0" t="n">
        <f aca="false">COUNTA($BA$1984:$EH$1984)</f>
        <v>2</v>
      </c>
      <c r="AV1551" s="0" t="n">
        <f aca="false">COUNTIF($BA$1984:$EH$1984,"D")</f>
        <v>0</v>
      </c>
      <c r="AW1551" s="0" t="n">
        <f aca="false">COUNTIF($BA$1984:$EH$1984,"R")</f>
        <v>0</v>
      </c>
      <c r="AX1551" s="0" t="n">
        <f aca="false"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>0</v>
      </c>
      <c r="AY1551" s="0" t="n">
        <f aca="false">COUNTIF(DU1551:EH1551, "&lt;&gt;")</f>
        <v>4</v>
      </c>
      <c r="AZ1551" s="0" t="n">
        <f aca="false">IF(EH1551&lt;&gt;"",1,0)</f>
        <v>0</v>
      </c>
      <c r="BB1551" s="0" t="s">
        <v>153</v>
      </c>
      <c r="BC1551" s="0" t="s">
        <v>154</v>
      </c>
      <c r="BD1551" s="0" t="s">
        <v>154</v>
      </c>
      <c r="BF1551" s="0" t="s">
        <v>154</v>
      </c>
      <c r="BH1551" s="0" t="s">
        <v>154</v>
      </c>
      <c r="BI1551" s="0" t="s">
        <v>154</v>
      </c>
      <c r="BJ1551" s="0" t="s">
        <v>154</v>
      </c>
      <c r="BK1551" s="0" t="s">
        <v>154</v>
      </c>
      <c r="BL1551" s="0" t="s">
        <v>154</v>
      </c>
      <c r="BR1551" s="0" t="s">
        <v>154</v>
      </c>
      <c r="BS1551" s="0" t="s">
        <v>154</v>
      </c>
      <c r="BV1551" s="0" t="s">
        <v>154</v>
      </c>
      <c r="BY1551" s="0" t="s">
        <v>155</v>
      </c>
      <c r="CA1551" s="0" t="s">
        <v>154</v>
      </c>
      <c r="CG1551" s="0" t="s">
        <v>154</v>
      </c>
      <c r="CK1551" s="0" t="s">
        <v>154</v>
      </c>
      <c r="CN1551" s="0" t="s">
        <v>154</v>
      </c>
      <c r="CP1551" s="0" t="s">
        <v>154</v>
      </c>
      <c r="CZ1551" s="0" t="s">
        <v>155</v>
      </c>
      <c r="DC1551" s="0" t="s">
        <v>154</v>
      </c>
      <c r="DI1551" s="0" t="s">
        <v>154</v>
      </c>
      <c r="DM1551" s="0" t="s">
        <v>155</v>
      </c>
      <c r="DN1551" s="0" t="s">
        <v>154</v>
      </c>
      <c r="DU1551" s="0" t="s">
        <v>154</v>
      </c>
      <c r="EA1551" s="0" t="s">
        <v>154</v>
      </c>
      <c r="ED1551" s="0" t="s">
        <v>155</v>
      </c>
      <c r="EF1551" s="0" t="s">
        <v>154</v>
      </c>
    </row>
    <row r="1552" customFormat="false" ht="13.8" hidden="true" customHeight="false" outlineLevel="0" collapsed="false">
      <c r="A1552" s="0" t="s">
        <v>7124</v>
      </c>
      <c r="B1552" s="0" t="n">
        <v>78</v>
      </c>
      <c r="C1552" s="0" t="n">
        <v>322504</v>
      </c>
      <c r="D1552" s="0" t="s">
        <v>1804</v>
      </c>
      <c r="E1552" s="0" t="s">
        <v>1669</v>
      </c>
      <c r="F1552" s="0" t="str">
        <f aca="false">CONCATENATE(D1552," ",LEFT(H1552,4),"T=",AU1552,"D=",AV1552,"R=",AW1552,"M=",AX1552,"L=",AY1552,"B=",AZ1552)</f>
        <v>EDINGTON T=8D=1R=0M=0L=0B=0</v>
      </c>
      <c r="G1552" s="0" t="s">
        <v>155</v>
      </c>
      <c r="I1552" s="0" t="s">
        <v>7125</v>
      </c>
      <c r="J1552" s="0" t="s">
        <v>757</v>
      </c>
      <c r="K1552" s="0" t="s">
        <v>175</v>
      </c>
      <c r="L1552" s="0"/>
      <c r="M1552" s="0" t="s">
        <v>7114</v>
      </c>
      <c r="N1552" s="0" t="str">
        <f aca="false">RIGHT(M1552,LEN(M1552)-FIND(" ",M1552))</f>
        <v>MAHONING AVE NW</v>
      </c>
      <c r="O1552" s="0" t="s">
        <v>6943</v>
      </c>
      <c r="P1552" s="0" t="s">
        <v>146</v>
      </c>
      <c r="Q1552" s="0" t="s">
        <v>147</v>
      </c>
      <c r="R1552" s="0" t="n">
        <v>44483</v>
      </c>
      <c r="AD1552" s="0" t="s">
        <v>148</v>
      </c>
      <c r="AE1552" s="0" t="s">
        <v>149</v>
      </c>
      <c r="AF1552" s="0" t="s">
        <v>150</v>
      </c>
      <c r="AH1552" s="0" t="n">
        <v>14</v>
      </c>
      <c r="AI1552" s="0" t="n">
        <v>11</v>
      </c>
      <c r="AN1552" s="0" t="s">
        <v>146</v>
      </c>
      <c r="AO1552" s="0" t="s">
        <v>151</v>
      </c>
      <c r="AP1552" s="0" t="s">
        <v>152</v>
      </c>
      <c r="AQ1552" s="0" t="n">
        <v>9</v>
      </c>
      <c r="AR1552" s="0" t="n">
        <v>64</v>
      </c>
      <c r="AS1552" s="0" t="n">
        <v>32</v>
      </c>
      <c r="AU1552" s="0" t="n">
        <f aca="false">COUNTA($BA$2016:$EH$2016)</f>
        <v>8</v>
      </c>
      <c r="AV1552" s="0" t="n">
        <f aca="false">COUNTIF($BA$2016:$EH$2016,"D")</f>
        <v>1</v>
      </c>
      <c r="AW1552" s="0" t="n">
        <f aca="false">COUNTIF($BA$2016:$EH$2016,"R")</f>
        <v>0</v>
      </c>
      <c r="AX1552" s="0" t="n">
        <f aca="false"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>0</v>
      </c>
      <c r="AY1552" s="0" t="n">
        <f aca="false">COUNTIF(DU1552:EH1552, "&lt;&gt;")</f>
        <v>0</v>
      </c>
      <c r="AZ1552" s="0" t="n">
        <f aca="false">IF(EH1552&lt;&gt;"",1,0)</f>
        <v>0</v>
      </c>
      <c r="BB1552" s="0" t="s">
        <v>153</v>
      </c>
      <c r="BL1552" s="0" t="s">
        <v>154</v>
      </c>
      <c r="CA1552" s="0" t="s">
        <v>154</v>
      </c>
      <c r="CP1552" s="0" t="s">
        <v>154</v>
      </c>
    </row>
    <row r="1553" customFormat="false" ht="13.8" hidden="false" customHeight="false" outlineLevel="0" collapsed="false">
      <c r="A1553" s="0" t="s">
        <v>7126</v>
      </c>
      <c r="B1553" s="0" t="n">
        <v>78</v>
      </c>
      <c r="C1553" s="0" t="n">
        <v>411761</v>
      </c>
      <c r="D1553" s="0" t="s">
        <v>6763</v>
      </c>
      <c r="E1553" s="0" t="s">
        <v>1063</v>
      </c>
      <c r="F1553" s="0" t="str">
        <f aca="false">CONCATENATE(D1553," ",LEFT(H1553,4),"T=",AU1553,"D=",AV1553,"R=",AW1553,"M=",AX1553,"L=",AY1553,"B=",AZ1553)</f>
        <v>MONROE T=1D=0R=0M=1L=2B=0</v>
      </c>
      <c r="G1553" s="0" t="s">
        <v>155</v>
      </c>
      <c r="I1553" s="0" t="s">
        <v>7127</v>
      </c>
      <c r="J1553" s="0" t="s">
        <v>7128</v>
      </c>
      <c r="K1553" s="0" t="s">
        <v>175</v>
      </c>
      <c r="L1553" s="1" t="s">
        <v>155</v>
      </c>
      <c r="M1553" s="0" t="s">
        <v>7129</v>
      </c>
      <c r="N1553" s="0" t="str">
        <f aca="false">RIGHT(M1553,LEN(M1553)-FIND(" ",M1553))</f>
        <v>MAHONING AVE NW</v>
      </c>
      <c r="O1553" s="0" t="s">
        <v>6951</v>
      </c>
      <c r="P1553" s="0" t="s">
        <v>146</v>
      </c>
      <c r="Q1553" s="0" t="s">
        <v>147</v>
      </c>
      <c r="R1553" s="0" t="n">
        <v>44483</v>
      </c>
      <c r="AD1553" s="0" t="s">
        <v>148</v>
      </c>
      <c r="AE1553" s="0" t="s">
        <v>149</v>
      </c>
      <c r="AF1553" s="0" t="s">
        <v>150</v>
      </c>
      <c r="AH1553" s="0" t="n">
        <v>14</v>
      </c>
      <c r="AI1553" s="0" t="n">
        <v>11</v>
      </c>
      <c r="AN1553" s="0" t="s">
        <v>146</v>
      </c>
      <c r="AO1553" s="0" t="s">
        <v>151</v>
      </c>
      <c r="AP1553" s="0" t="s">
        <v>152</v>
      </c>
      <c r="AQ1553" s="0" t="n">
        <v>9</v>
      </c>
      <c r="AR1553" s="0" t="n">
        <v>64</v>
      </c>
      <c r="AS1553" s="0" t="n">
        <v>32</v>
      </c>
      <c r="AU1553" s="0" t="n">
        <f aca="false">COUNTA($BA$1178:$EH$1178)</f>
        <v>1</v>
      </c>
      <c r="AV1553" s="0" t="n">
        <f aca="false">COUNTIF($BA$1178:$EH$1178,"D")</f>
        <v>0</v>
      </c>
      <c r="AW1553" s="0" t="n">
        <f aca="false">COUNTIF($BA$1178:$EH$1178,"R")</f>
        <v>0</v>
      </c>
      <c r="AX1553" s="0" t="n">
        <f aca="false"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>1</v>
      </c>
      <c r="AY1553" s="0" t="n">
        <f aca="false">COUNTIF(DU1553:EH1553, "&lt;&gt;")</f>
        <v>2</v>
      </c>
      <c r="AZ1553" s="0" t="n">
        <f aca="false">IF(EH1553&lt;&gt;"",1,0)</f>
        <v>0</v>
      </c>
      <c r="BB1553" s="0" t="s">
        <v>153</v>
      </c>
      <c r="BC1553" s="0" t="s">
        <v>154</v>
      </c>
      <c r="BD1553" s="0" t="s">
        <v>154</v>
      </c>
      <c r="BL1553" s="0" t="s">
        <v>154</v>
      </c>
      <c r="CA1553" s="0" t="s">
        <v>154</v>
      </c>
      <c r="CP1553" s="0" t="s">
        <v>154</v>
      </c>
      <c r="DC1553" s="0" t="s">
        <v>154</v>
      </c>
      <c r="DN1553" s="0" t="s">
        <v>154</v>
      </c>
      <c r="DU1553" s="0" t="s">
        <v>154</v>
      </c>
      <c r="DW1553" s="0" t="s">
        <v>155</v>
      </c>
    </row>
    <row r="1554" customFormat="false" ht="13.8" hidden="false" customHeight="false" outlineLevel="0" collapsed="false">
      <c r="A1554" s="0" t="s">
        <v>7130</v>
      </c>
      <c r="B1554" s="0" t="n">
        <v>78</v>
      </c>
      <c r="C1554" s="0" t="n">
        <v>417319</v>
      </c>
      <c r="D1554" s="0" t="s">
        <v>7131</v>
      </c>
      <c r="E1554" s="0" t="s">
        <v>7132</v>
      </c>
      <c r="F1554" s="0" t="str">
        <f aca="false">CONCATENATE(D1554," ",LEFT(H1554,4),"T=",AU1554,"D=",AV1554,"R=",AW1554,"M=",AX1554,"L=",AY1554,"B=",AZ1554)</f>
        <v>FOLMAR T=12D=1R=0M=0L=2B=0</v>
      </c>
      <c r="G1554" s="0" t="s">
        <v>188</v>
      </c>
      <c r="I1554" s="0" t="s">
        <v>7133</v>
      </c>
      <c r="J1554" s="0" t="s">
        <v>6703</v>
      </c>
      <c r="K1554" s="0" t="s">
        <v>175</v>
      </c>
      <c r="M1554" s="0" t="s">
        <v>7129</v>
      </c>
      <c r="N1554" s="0" t="str">
        <f aca="false">RIGHT(M1554,LEN(M1554)-FIND(" ",M1554))</f>
        <v>MAHONING AVE NW</v>
      </c>
      <c r="O1554" s="0" t="s">
        <v>7120</v>
      </c>
      <c r="P1554" s="0" t="s">
        <v>146</v>
      </c>
      <c r="Q1554" s="0" t="s">
        <v>147</v>
      </c>
      <c r="R1554" s="0" t="n">
        <v>44483</v>
      </c>
      <c r="AD1554" s="0" t="s">
        <v>148</v>
      </c>
      <c r="AE1554" s="0" t="s">
        <v>149</v>
      </c>
      <c r="AF1554" s="0" t="s">
        <v>150</v>
      </c>
      <c r="AH1554" s="0" t="n">
        <v>14</v>
      </c>
      <c r="AI1554" s="0" t="n">
        <v>11</v>
      </c>
      <c r="AN1554" s="0" t="s">
        <v>146</v>
      </c>
      <c r="AO1554" s="0" t="s">
        <v>151</v>
      </c>
      <c r="AP1554" s="0" t="s">
        <v>152</v>
      </c>
      <c r="AQ1554" s="0" t="n">
        <v>9</v>
      </c>
      <c r="AR1554" s="0" t="n">
        <v>64</v>
      </c>
      <c r="AS1554" s="0" t="n">
        <v>32</v>
      </c>
      <c r="AU1554" s="0" t="n">
        <f aca="false">COUNTA($BA$1306:$EH$1306)</f>
        <v>12</v>
      </c>
      <c r="AV1554" s="0" t="n">
        <f aca="false">COUNTIF($BA$1306:$EH$1306,"D")</f>
        <v>1</v>
      </c>
      <c r="AW1554" s="0" t="n">
        <f aca="false">COUNTIF($BA$1306:$EH$1306,"R")</f>
        <v>0</v>
      </c>
      <c r="AX1554" s="0" t="n">
        <f aca="false"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>0</v>
      </c>
      <c r="AY1554" s="0" t="n">
        <f aca="false">COUNTIF(DU1554:EH1554, "&lt;&gt;")</f>
        <v>2</v>
      </c>
      <c r="AZ1554" s="0" t="n">
        <f aca="false">IF(EH1554&lt;&gt;"",1,0)</f>
        <v>0</v>
      </c>
      <c r="BB1554" s="0" t="s">
        <v>153</v>
      </c>
      <c r="DC1554" s="0" t="s">
        <v>154</v>
      </c>
      <c r="DI1554" s="0" t="s">
        <v>154</v>
      </c>
      <c r="DN1554" s="0" t="s">
        <v>154</v>
      </c>
      <c r="DU1554" s="0" t="s">
        <v>154</v>
      </c>
      <c r="EF1554" s="0" t="s">
        <v>154</v>
      </c>
    </row>
    <row r="1555" customFormat="false" ht="13.8" hidden="true" customHeight="false" outlineLevel="0" collapsed="false">
      <c r="A1555" s="0" t="s">
        <v>7134</v>
      </c>
      <c r="B1555" s="0" t="n">
        <v>78</v>
      </c>
      <c r="C1555" s="0" t="n">
        <v>427916</v>
      </c>
      <c r="D1555" s="0" t="s">
        <v>7135</v>
      </c>
      <c r="E1555" s="0" t="s">
        <v>7136</v>
      </c>
      <c r="F1555" s="0" t="str">
        <f aca="false">CONCATENATE(D1555," ",LEFT(H1555,4),"T=",AU1555,"D=",AV1555,"R=",AW1555,"M=",AX1555,"L=",AY1555,"B=",AZ1555)</f>
        <v>MADERA T=2D=0R=0M=0L=1B=0</v>
      </c>
      <c r="G1555" s="0" t="s">
        <v>241</v>
      </c>
      <c r="I1555" s="0" t="s">
        <v>5696</v>
      </c>
      <c r="J1555" s="0" t="s">
        <v>712</v>
      </c>
      <c r="K1555" s="0" t="s">
        <v>175</v>
      </c>
      <c r="L1555" s="0"/>
      <c r="M1555" s="0" t="s">
        <v>7129</v>
      </c>
      <c r="N1555" s="0" t="str">
        <f aca="false">RIGHT(M1555,LEN(M1555)-FIND(" ",M1555))</f>
        <v>MAHONING AVE NW</v>
      </c>
      <c r="O1555" s="0" t="s">
        <v>7137</v>
      </c>
      <c r="P1555" s="0" t="s">
        <v>146</v>
      </c>
      <c r="Q1555" s="0" t="s">
        <v>147</v>
      </c>
      <c r="R1555" s="0" t="n">
        <v>44483</v>
      </c>
      <c r="AD1555" s="0" t="s">
        <v>148</v>
      </c>
      <c r="AE1555" s="0" t="s">
        <v>149</v>
      </c>
      <c r="AF1555" s="0" t="s">
        <v>150</v>
      </c>
      <c r="AH1555" s="0" t="n">
        <v>14</v>
      </c>
      <c r="AI1555" s="0" t="n">
        <v>11</v>
      </c>
      <c r="AN1555" s="0" t="s">
        <v>146</v>
      </c>
      <c r="AO1555" s="0" t="s">
        <v>151</v>
      </c>
      <c r="AP1555" s="0" t="s">
        <v>152</v>
      </c>
      <c r="AQ1555" s="0" t="n">
        <v>9</v>
      </c>
      <c r="AR1555" s="0" t="n">
        <v>64</v>
      </c>
      <c r="AS1555" s="0" t="n">
        <v>32</v>
      </c>
      <c r="AU1555" s="0" t="n">
        <f aca="false">COUNTA($BA$1419:$EH$1419)</f>
        <v>2</v>
      </c>
      <c r="AV1555" s="0" t="n">
        <f aca="false">COUNTIF($BA$1419:$EH$1419,"D")</f>
        <v>0</v>
      </c>
      <c r="AW1555" s="0" t="n">
        <f aca="false">COUNTIF($BA$1419:$EH$1419,"R")</f>
        <v>0</v>
      </c>
      <c r="AX1555" s="0" t="n">
        <f aca="false"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>0</v>
      </c>
      <c r="AY1555" s="0" t="n">
        <f aca="false">COUNTIF(DU1555:EH1555, "&lt;&gt;")</f>
        <v>1</v>
      </c>
      <c r="AZ1555" s="0" t="n">
        <f aca="false">IF(EH1555&lt;&gt;"",1,0)</f>
        <v>0</v>
      </c>
      <c r="BB1555" s="0" t="s">
        <v>153</v>
      </c>
      <c r="CK1555" s="0" t="s">
        <v>154</v>
      </c>
      <c r="CP1555" s="0" t="s">
        <v>154</v>
      </c>
      <c r="DC1555" s="0" t="s">
        <v>154</v>
      </c>
      <c r="DN1555" s="0" t="s">
        <v>154</v>
      </c>
      <c r="EF1555" s="0" t="s">
        <v>154</v>
      </c>
    </row>
    <row r="1556" customFormat="false" ht="13.8" hidden="true" customHeight="false" outlineLevel="0" collapsed="false">
      <c r="A1556" s="0" t="s">
        <v>7138</v>
      </c>
      <c r="B1556" s="0" t="n">
        <v>78</v>
      </c>
      <c r="C1556" s="0" t="n">
        <v>375210</v>
      </c>
      <c r="D1556" s="0" t="s">
        <v>856</v>
      </c>
      <c r="E1556" s="0" t="s">
        <v>6836</v>
      </c>
      <c r="F1556" s="0" t="str">
        <f aca="false">CONCATENATE(D1556," ",LEFT(H1556,4),"T=",AU1556,"D=",AV1556,"R=",AW1556,"M=",AX1556,"L=",AY1556,"B=",AZ1556)</f>
        <v>JONES T=20D=3R=0M=0L=0B=0</v>
      </c>
      <c r="G1556" s="0" t="s">
        <v>241</v>
      </c>
      <c r="I1556" s="0" t="s">
        <v>7139</v>
      </c>
      <c r="J1556" s="0" t="s">
        <v>7140</v>
      </c>
      <c r="K1556" s="0" t="s">
        <v>175</v>
      </c>
      <c r="L1556" s="0"/>
      <c r="M1556" s="0" t="s">
        <v>7129</v>
      </c>
      <c r="N1556" s="0" t="str">
        <f aca="false">RIGHT(M1556,LEN(M1556)-FIND(" ",M1556))</f>
        <v>MAHONING AVE NW</v>
      </c>
      <c r="O1556" s="0" t="s">
        <v>7141</v>
      </c>
      <c r="P1556" s="0" t="s">
        <v>146</v>
      </c>
      <c r="Q1556" s="0" t="s">
        <v>147</v>
      </c>
      <c r="R1556" s="0" t="n">
        <v>44483</v>
      </c>
      <c r="AD1556" s="0" t="s">
        <v>148</v>
      </c>
      <c r="AE1556" s="0" t="s">
        <v>149</v>
      </c>
      <c r="AF1556" s="0" t="s">
        <v>150</v>
      </c>
      <c r="AH1556" s="0" t="n">
        <v>14</v>
      </c>
      <c r="AI1556" s="0" t="n">
        <v>11</v>
      </c>
      <c r="AN1556" s="0" t="s">
        <v>146</v>
      </c>
      <c r="AO1556" s="0" t="s">
        <v>151</v>
      </c>
      <c r="AP1556" s="0" t="s">
        <v>152</v>
      </c>
      <c r="AQ1556" s="0" t="n">
        <v>9</v>
      </c>
      <c r="AR1556" s="0" t="n">
        <v>64</v>
      </c>
      <c r="AS1556" s="0" t="n">
        <v>32</v>
      </c>
      <c r="AU1556" s="0" t="n">
        <f aca="false">COUNTA($BA$1514:$EH$1514)</f>
        <v>20</v>
      </c>
      <c r="AV1556" s="0" t="n">
        <f aca="false">COUNTIF($BA$1514:$EH$1514,"D")</f>
        <v>3</v>
      </c>
      <c r="AW1556" s="0" t="n">
        <f aca="false">COUNTIF($BA$1514:$EH$1514,"R")</f>
        <v>0</v>
      </c>
      <c r="AX1556" s="0" t="n">
        <f aca="false"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>0</v>
      </c>
      <c r="AY1556" s="0" t="n">
        <f aca="false">COUNTIF(DU1556:EH1556, "&lt;&gt;")</f>
        <v>0</v>
      </c>
      <c r="AZ1556" s="0" t="n">
        <f aca="false">IF(EH1556&lt;&gt;"",1,0)</f>
        <v>0</v>
      </c>
      <c r="BB1556" s="0" t="s">
        <v>153</v>
      </c>
      <c r="CK1556" s="0" t="s">
        <v>154</v>
      </c>
      <c r="CN1556" s="0" t="s">
        <v>154</v>
      </c>
      <c r="CP1556" s="0" t="s">
        <v>154</v>
      </c>
      <c r="DC1556" s="0" t="s">
        <v>154</v>
      </c>
      <c r="DN1556" s="0" t="s">
        <v>154</v>
      </c>
    </row>
    <row r="1557" customFormat="false" ht="13.8" hidden="false" customHeight="false" outlineLevel="0" collapsed="false">
      <c r="A1557" s="0" t="s">
        <v>7142</v>
      </c>
      <c r="B1557" s="0" t="n">
        <v>78</v>
      </c>
      <c r="C1557" s="0" t="n">
        <v>495566</v>
      </c>
      <c r="D1557" s="0" t="s">
        <v>7143</v>
      </c>
      <c r="E1557" s="0" t="s">
        <v>7144</v>
      </c>
      <c r="F1557" s="0" t="str">
        <f aca="false">CONCATENATE(D1557," ",LEFT(H1557,4),"T=",AU1557,"D=",AV1557,"R=",AW1557,"M=",AX1557,"L=",AY1557,"B=",AZ1557)</f>
        <v>DONERSON IIIT=4D=1R=0M=0L=2B=0</v>
      </c>
      <c r="G1557" s="0" t="s">
        <v>317</v>
      </c>
      <c r="H1557" s="0" t="s">
        <v>1175</v>
      </c>
      <c r="I1557" s="0" t="s">
        <v>7145</v>
      </c>
      <c r="J1557" s="0" t="s">
        <v>7146</v>
      </c>
      <c r="K1557" s="0" t="s">
        <v>175</v>
      </c>
      <c r="M1557" s="0" t="s">
        <v>7129</v>
      </c>
      <c r="N1557" s="0" t="str">
        <f aca="false">RIGHT(M1557,LEN(M1557)-FIND(" ",M1557))</f>
        <v>MAHONING AVE NW</v>
      </c>
      <c r="O1557" s="0" t="s">
        <v>6885</v>
      </c>
      <c r="P1557" s="0" t="s">
        <v>146</v>
      </c>
      <c r="Q1557" s="0" t="s">
        <v>147</v>
      </c>
      <c r="R1557" s="0" t="n">
        <v>44483</v>
      </c>
      <c r="AD1557" s="0" t="s">
        <v>148</v>
      </c>
      <c r="AE1557" s="0" t="s">
        <v>149</v>
      </c>
      <c r="AF1557" s="0" t="s">
        <v>150</v>
      </c>
      <c r="AH1557" s="0" t="n">
        <v>14</v>
      </c>
      <c r="AI1557" s="0" t="n">
        <v>11</v>
      </c>
      <c r="AN1557" s="0" t="s">
        <v>146</v>
      </c>
      <c r="AO1557" s="0" t="s">
        <v>151</v>
      </c>
      <c r="AP1557" s="0" t="s">
        <v>152</v>
      </c>
      <c r="AQ1557" s="0" t="n">
        <v>9</v>
      </c>
      <c r="AR1557" s="0" t="n">
        <v>64</v>
      </c>
      <c r="AS1557" s="0" t="n">
        <v>32</v>
      </c>
      <c r="AU1557" s="0" t="n">
        <f aca="false">COUNTA($BA$1529:$EH$1529)</f>
        <v>4</v>
      </c>
      <c r="AV1557" s="0" t="n">
        <f aca="false">COUNTIF($BA$1529:$EH$1529,"D")</f>
        <v>1</v>
      </c>
      <c r="AW1557" s="0" t="n">
        <f aca="false">COUNTIF($BA$1529:$EH$1529,"R")</f>
        <v>0</v>
      </c>
      <c r="AX1557" s="0" t="n">
        <f aca="false"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>0</v>
      </c>
      <c r="AY1557" s="0" t="n">
        <f aca="false">COUNTIF(DU1557:EH1557, "&lt;&gt;")</f>
        <v>2</v>
      </c>
      <c r="AZ1557" s="0" t="n">
        <f aca="false">IF(EH1557&lt;&gt;"",1,0)</f>
        <v>0</v>
      </c>
      <c r="BB1557" s="0" t="s">
        <v>153</v>
      </c>
      <c r="BL1557" s="0" t="s">
        <v>154</v>
      </c>
      <c r="BS1557" s="0" t="s">
        <v>154</v>
      </c>
      <c r="BY1557" s="0" t="s">
        <v>155</v>
      </c>
      <c r="CA1557" s="0" t="s">
        <v>154</v>
      </c>
      <c r="CY1557" s="0" t="s">
        <v>154</v>
      </c>
      <c r="DC1557" s="0" t="s">
        <v>154</v>
      </c>
      <c r="EA1557" s="0" t="s">
        <v>154</v>
      </c>
      <c r="EF1557" s="0" t="s">
        <v>154</v>
      </c>
    </row>
    <row r="1558" customFormat="false" ht="13.8" hidden="false" customHeight="false" outlineLevel="0" collapsed="false">
      <c r="A1558" s="0" t="s">
        <v>7147</v>
      </c>
      <c r="B1558" s="0" t="n">
        <v>78</v>
      </c>
      <c r="C1558" s="0" t="n">
        <v>294996</v>
      </c>
      <c r="D1558" s="0" t="s">
        <v>7148</v>
      </c>
      <c r="E1558" s="0" t="s">
        <v>7149</v>
      </c>
      <c r="F1558" s="0" t="str">
        <f aca="false">CONCATENATE(D1558," ",LEFT(H1558,4),"T=",AU1558,"D=",AV1558,"R=",AW1558,"M=",AX1558,"L=",AY1558,"B=",AZ1558)</f>
        <v>NEWELL T=1D=0R=0M=3L=5B=0</v>
      </c>
      <c r="G1558" s="0" t="s">
        <v>241</v>
      </c>
      <c r="I1558" s="0" t="s">
        <v>7150</v>
      </c>
      <c r="J1558" s="0" t="s">
        <v>7151</v>
      </c>
      <c r="K1558" s="0" t="s">
        <v>175</v>
      </c>
      <c r="L1558" s="1" t="s">
        <v>155</v>
      </c>
      <c r="M1558" s="0" t="s">
        <v>7129</v>
      </c>
      <c r="N1558" s="0" t="str">
        <f aca="false">RIGHT(M1558,LEN(M1558)-FIND(" ",M1558))</f>
        <v>MAHONING AVE NW</v>
      </c>
      <c r="O1558" s="0" t="s">
        <v>7152</v>
      </c>
      <c r="P1558" s="0" t="s">
        <v>146</v>
      </c>
      <c r="Q1558" s="0" t="s">
        <v>147</v>
      </c>
      <c r="R1558" s="0" t="n">
        <v>44483</v>
      </c>
      <c r="AD1558" s="0" t="s">
        <v>148</v>
      </c>
      <c r="AE1558" s="0" t="s">
        <v>149</v>
      </c>
      <c r="AF1558" s="0" t="s">
        <v>150</v>
      </c>
      <c r="AH1558" s="0" t="n">
        <v>14</v>
      </c>
      <c r="AI1558" s="0" t="n">
        <v>11</v>
      </c>
      <c r="AN1558" s="0" t="s">
        <v>146</v>
      </c>
      <c r="AO1558" s="0" t="s">
        <v>151</v>
      </c>
      <c r="AP1558" s="0" t="s">
        <v>152</v>
      </c>
      <c r="AQ1558" s="0" t="n">
        <v>9</v>
      </c>
      <c r="AR1558" s="0" t="n">
        <v>64</v>
      </c>
      <c r="AS1558" s="0" t="n">
        <v>32</v>
      </c>
      <c r="AU1558" s="0" t="n">
        <f aca="false">COUNTA($BA$1641:$EH$1641)</f>
        <v>1</v>
      </c>
      <c r="AV1558" s="0" t="n">
        <f aca="false">COUNTIF($BA$1641:$EH$1641,"D")</f>
        <v>0</v>
      </c>
      <c r="AW1558" s="0" t="n">
        <f aca="false">COUNTIF($BA$1641:$EH$1641,"R")</f>
        <v>0</v>
      </c>
      <c r="AX1558" s="0" t="n">
        <f aca="false"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>3</v>
      </c>
      <c r="AY1558" s="0" t="n">
        <f aca="false">COUNTIF(DU1558:EH1558, "&lt;&gt;")</f>
        <v>5</v>
      </c>
      <c r="AZ1558" s="0" t="n">
        <f aca="false">IF(EH1558&lt;&gt;"",1,0)</f>
        <v>0</v>
      </c>
      <c r="BB1558" s="0" t="s">
        <v>153</v>
      </c>
      <c r="BD1558" s="0" t="s">
        <v>154</v>
      </c>
      <c r="BE1558" s="0" t="s">
        <v>154</v>
      </c>
      <c r="BF1558" s="0" t="s">
        <v>154</v>
      </c>
      <c r="BH1558" s="0" t="s">
        <v>154</v>
      </c>
      <c r="BI1558" s="0" t="s">
        <v>154</v>
      </c>
      <c r="BJ1558" s="0" t="s">
        <v>154</v>
      </c>
      <c r="BL1558" s="0" t="s">
        <v>154</v>
      </c>
      <c r="BP1558" s="0" t="s">
        <v>154</v>
      </c>
      <c r="BR1558" s="0" t="s">
        <v>154</v>
      </c>
      <c r="BS1558" s="0" t="s">
        <v>154</v>
      </c>
      <c r="BV1558" s="0" t="s">
        <v>154</v>
      </c>
      <c r="BY1558" s="0" t="s">
        <v>155</v>
      </c>
      <c r="CA1558" s="0" t="s">
        <v>154</v>
      </c>
      <c r="CG1558" s="0" t="s">
        <v>154</v>
      </c>
      <c r="CL1558" s="0" t="s">
        <v>155</v>
      </c>
      <c r="CN1558" s="0" t="s">
        <v>154</v>
      </c>
      <c r="CO1558" s="0" t="s">
        <v>155</v>
      </c>
      <c r="CP1558" s="0" t="s">
        <v>154</v>
      </c>
      <c r="CV1558" s="0" t="s">
        <v>154</v>
      </c>
      <c r="CY1558" s="0" t="s">
        <v>154</v>
      </c>
      <c r="CZ1558" s="0" t="s">
        <v>155</v>
      </c>
      <c r="DC1558" s="0" t="s">
        <v>154</v>
      </c>
      <c r="DI1558" s="0" t="s">
        <v>154</v>
      </c>
      <c r="DJ1558" s="0" t="s">
        <v>155</v>
      </c>
      <c r="DL1558" s="0" t="s">
        <v>154</v>
      </c>
      <c r="DN1558" s="0" t="s">
        <v>154</v>
      </c>
      <c r="DU1558" s="0" t="s">
        <v>154</v>
      </c>
      <c r="DW1558" s="0" t="s">
        <v>155</v>
      </c>
      <c r="DX1558" s="0" t="s">
        <v>154</v>
      </c>
      <c r="EA1558" s="0" t="s">
        <v>154</v>
      </c>
      <c r="EF1558" s="0" t="s">
        <v>154</v>
      </c>
    </row>
    <row r="1559" customFormat="false" ht="13.8" hidden="true" customHeight="false" outlineLevel="0" collapsed="false">
      <c r="A1559" s="0" t="s">
        <v>7153</v>
      </c>
      <c r="B1559" s="0" t="n">
        <v>78</v>
      </c>
      <c r="C1559" s="0" t="n">
        <v>487120</v>
      </c>
      <c r="D1559" s="0" t="s">
        <v>7154</v>
      </c>
      <c r="E1559" s="0" t="s">
        <v>698</v>
      </c>
      <c r="F1559" s="0" t="str">
        <f aca="false">CONCATENATE(D1559," ",LEFT(H1559,4),"T=",AU1559,"D=",AV1559,"R=",AW1559,"M=",AX1559,"L=",AY1559,"B=",AZ1559)</f>
        <v>ASHBY T=7D=1R=0M=0L=0B=0</v>
      </c>
      <c r="G1559" s="0" t="s">
        <v>172</v>
      </c>
      <c r="I1559" s="0" t="s">
        <v>7155</v>
      </c>
      <c r="J1559" s="0" t="s">
        <v>488</v>
      </c>
      <c r="K1559" s="0" t="s">
        <v>175</v>
      </c>
      <c r="L1559" s="0"/>
      <c r="M1559" s="0" t="s">
        <v>7156</v>
      </c>
      <c r="N1559" s="0" t="str">
        <f aca="false">RIGHT(M1559,LEN(M1559)-FIND(" ",M1559))</f>
        <v>MAHONING AVE NW</v>
      </c>
      <c r="P1559" s="0" t="s">
        <v>146</v>
      </c>
      <c r="Q1559" s="0" t="s">
        <v>147</v>
      </c>
      <c r="R1559" s="0" t="n">
        <v>44483</v>
      </c>
      <c r="AD1559" s="0" t="s">
        <v>148</v>
      </c>
      <c r="AE1559" s="0" t="s">
        <v>149</v>
      </c>
      <c r="AF1559" s="0" t="s">
        <v>150</v>
      </c>
      <c r="AH1559" s="0" t="n">
        <v>14</v>
      </c>
      <c r="AI1559" s="0" t="n">
        <v>11</v>
      </c>
      <c r="AN1559" s="0" t="s">
        <v>146</v>
      </c>
      <c r="AO1559" s="0" t="s">
        <v>151</v>
      </c>
      <c r="AP1559" s="0" t="s">
        <v>152</v>
      </c>
      <c r="AQ1559" s="0" t="n">
        <v>9</v>
      </c>
      <c r="AR1559" s="0" t="n">
        <v>64</v>
      </c>
      <c r="AS1559" s="0" t="n">
        <v>32</v>
      </c>
      <c r="AU1559" s="0" t="n">
        <f aca="false">COUNTA($BA$1895:$EH$1895)</f>
        <v>7</v>
      </c>
      <c r="AV1559" s="0" t="n">
        <f aca="false">COUNTIF($BA$1895:$EH$1895,"D")</f>
        <v>1</v>
      </c>
      <c r="AW1559" s="0" t="n">
        <f aca="false">COUNTIF($BA$1895:$EH$1895,"R")</f>
        <v>0</v>
      </c>
      <c r="AX1559" s="0" t="n">
        <f aca="false"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>0</v>
      </c>
      <c r="AY1559" s="0" t="n">
        <f aca="false">COUNTIF(DU1559:EH1559, "&lt;&gt;")</f>
        <v>0</v>
      </c>
      <c r="AZ1559" s="0" t="n">
        <f aca="false">IF(EH1559&lt;&gt;"",1,0)</f>
        <v>0</v>
      </c>
      <c r="BB1559" s="0" t="s">
        <v>153</v>
      </c>
    </row>
    <row r="1560" customFormat="false" ht="13.8" hidden="true" customHeight="false" outlineLevel="0" collapsed="false">
      <c r="A1560" s="0" t="s">
        <v>7157</v>
      </c>
      <c r="B1560" s="0" t="n">
        <v>78</v>
      </c>
      <c r="C1560" s="0" t="n">
        <v>456580</v>
      </c>
      <c r="D1560" s="0" t="s">
        <v>7158</v>
      </c>
      <c r="E1560" s="0" t="s">
        <v>506</v>
      </c>
      <c r="F1560" s="0" t="str">
        <f aca="false">CONCATENATE(D1560," ",LEFT(H1560,4),"T=",AU1560,"D=",AV1560,"R=",AW1560,"M=",AX1560,"L=",AY1560,"B=",AZ1560)</f>
        <v>MAMULA T=8D=0R=0M=0L=0B=0</v>
      </c>
      <c r="G1560" s="0" t="s">
        <v>159</v>
      </c>
      <c r="I1560" s="0" t="s">
        <v>5054</v>
      </c>
      <c r="J1560" s="0" t="s">
        <v>7159</v>
      </c>
      <c r="K1560" s="0" t="s">
        <v>144</v>
      </c>
      <c r="L1560" s="0"/>
      <c r="M1560" s="0" t="s">
        <v>7160</v>
      </c>
      <c r="N1560" s="0" t="str">
        <f aca="false">RIGHT(M1560,LEN(M1560)-FIND(" ",M1560))</f>
        <v>MAHONING AVE NW</v>
      </c>
      <c r="P1560" s="0" t="s">
        <v>146</v>
      </c>
      <c r="Q1560" s="0" t="s">
        <v>147</v>
      </c>
      <c r="R1560" s="0" t="n">
        <v>44483</v>
      </c>
      <c r="AD1560" s="0" t="s">
        <v>148</v>
      </c>
      <c r="AE1560" s="0" t="s">
        <v>149</v>
      </c>
      <c r="AF1560" s="0" t="s">
        <v>150</v>
      </c>
      <c r="AH1560" s="0" t="n">
        <v>14</v>
      </c>
      <c r="AI1560" s="0" t="n">
        <v>11</v>
      </c>
      <c r="AN1560" s="0" t="s">
        <v>146</v>
      </c>
      <c r="AO1560" s="0" t="s">
        <v>250</v>
      </c>
      <c r="AP1560" s="0" t="s">
        <v>251</v>
      </c>
      <c r="AQ1560" s="0" t="n">
        <v>9</v>
      </c>
      <c r="AR1560" s="0" t="n">
        <v>64</v>
      </c>
      <c r="AS1560" s="0" t="n">
        <v>32</v>
      </c>
      <c r="AU1560" s="0" t="n">
        <f aca="false">COUNTA($BA$2610:$EH$2610)</f>
        <v>8</v>
      </c>
      <c r="AV1560" s="0" t="n">
        <f aca="false">COUNTIF($BA$2610:$EH$2610,"D")</f>
        <v>0</v>
      </c>
      <c r="AW1560" s="0" t="n">
        <f aca="false">COUNTIF($BA$2610:$EH$2610,"R")</f>
        <v>0</v>
      </c>
      <c r="AX1560" s="0" t="n">
        <f aca="false"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>0</v>
      </c>
      <c r="AY1560" s="0" t="n">
        <f aca="false">COUNTIF(DU1560:EH1560, "&lt;&gt;")</f>
        <v>0</v>
      </c>
      <c r="AZ1560" s="0" t="n">
        <f aca="false">IF(EH1560&lt;&gt;"",1,0)</f>
        <v>0</v>
      </c>
      <c r="BB1560" s="0" t="s">
        <v>153</v>
      </c>
    </row>
    <row r="1561" customFormat="false" ht="13.8" hidden="false" customHeight="false" outlineLevel="0" collapsed="false">
      <c r="A1561" s="0" t="s">
        <v>7161</v>
      </c>
      <c r="B1561" s="0" t="n">
        <v>78</v>
      </c>
      <c r="C1561" s="0" t="n">
        <v>193386</v>
      </c>
      <c r="D1561" s="0" t="s">
        <v>6556</v>
      </c>
      <c r="E1561" s="0" t="s">
        <v>1840</v>
      </c>
      <c r="F1561" s="0" t="str">
        <f aca="false">CONCATENATE(D1561," ",LEFT(H1561,4),"T=",AU1561,"D=",AV1561,"R=",AW1561,"M=",AX1561,"L=",AY1561,"B=",AZ1561)</f>
        <v>ROSSI T=1D=0R=0M=2L=6B=0</v>
      </c>
      <c r="G1561" s="0" t="s">
        <v>241</v>
      </c>
      <c r="I1561" s="0" t="s">
        <v>7162</v>
      </c>
      <c r="J1561" s="0" t="s">
        <v>7163</v>
      </c>
      <c r="K1561" s="0" t="s">
        <v>175</v>
      </c>
      <c r="L1561" s="1" t="s">
        <v>155</v>
      </c>
      <c r="M1561" s="0" t="s">
        <v>7164</v>
      </c>
      <c r="N1561" s="0" t="str">
        <f aca="false">RIGHT(M1561,LEN(M1561)-FIND(" ",M1561))</f>
        <v>MAHONING AVE NW</v>
      </c>
      <c r="P1561" s="0" t="s">
        <v>146</v>
      </c>
      <c r="Q1561" s="0" t="s">
        <v>147</v>
      </c>
      <c r="R1561" s="0" t="n">
        <v>44483</v>
      </c>
      <c r="AD1561" s="0" t="s">
        <v>148</v>
      </c>
      <c r="AE1561" s="0" t="s">
        <v>149</v>
      </c>
      <c r="AF1561" s="0" t="s">
        <v>150</v>
      </c>
      <c r="AH1561" s="0" t="n">
        <v>14</v>
      </c>
      <c r="AI1561" s="0" t="n">
        <v>11</v>
      </c>
      <c r="AN1561" s="0" t="s">
        <v>146</v>
      </c>
      <c r="AO1561" s="0" t="s">
        <v>250</v>
      </c>
      <c r="AP1561" s="0" t="s">
        <v>251</v>
      </c>
      <c r="AQ1561" s="0" t="n">
        <v>9</v>
      </c>
      <c r="AR1561" s="0" t="n">
        <v>64</v>
      </c>
      <c r="AS1561" s="0" t="n">
        <v>32</v>
      </c>
      <c r="AU1561" s="0" t="n">
        <f aca="false">COUNTA($BA$2248:$EH$2248)</f>
        <v>1</v>
      </c>
      <c r="AV1561" s="0" t="n">
        <f aca="false">COUNTIF($BA$2248:$EH$2248,"D")</f>
        <v>0</v>
      </c>
      <c r="AW1561" s="0" t="n">
        <f aca="false">COUNTIF($BA$2248:$EH$2248,"R")</f>
        <v>0</v>
      </c>
      <c r="AX1561" s="0" t="n">
        <f aca="false"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>2</v>
      </c>
      <c r="AY1561" s="0" t="n">
        <f aca="false">COUNTIF(DU1561:EH1561, "&lt;&gt;")</f>
        <v>6</v>
      </c>
      <c r="AZ1561" s="0" t="n">
        <f aca="false">IF(EH1561&lt;&gt;"",1,0)</f>
        <v>0</v>
      </c>
      <c r="BB1561" s="0" t="s">
        <v>153</v>
      </c>
      <c r="BC1561" s="0" t="s">
        <v>154</v>
      </c>
      <c r="BD1561" s="0" t="s">
        <v>154</v>
      </c>
      <c r="BE1561" s="0" t="s">
        <v>154</v>
      </c>
      <c r="BH1561" s="0" t="s">
        <v>154</v>
      </c>
      <c r="BI1561" s="0" t="s">
        <v>154</v>
      </c>
      <c r="BL1561" s="0" t="s">
        <v>154</v>
      </c>
      <c r="BP1561" s="0" t="s">
        <v>154</v>
      </c>
      <c r="BS1561" s="0" t="s">
        <v>154</v>
      </c>
      <c r="BY1561" s="0" t="s">
        <v>155</v>
      </c>
      <c r="CA1561" s="0" t="s">
        <v>154</v>
      </c>
      <c r="CG1561" s="0" t="s">
        <v>154</v>
      </c>
      <c r="CK1561" s="0" t="s">
        <v>154</v>
      </c>
      <c r="CN1561" s="0" t="s">
        <v>154</v>
      </c>
      <c r="CP1561" s="0" t="s">
        <v>154</v>
      </c>
      <c r="DC1561" s="0" t="s">
        <v>154</v>
      </c>
      <c r="DI1561" s="0" t="s">
        <v>154</v>
      </c>
      <c r="DL1561" s="0" t="s">
        <v>154</v>
      </c>
      <c r="DM1561" s="0" t="s">
        <v>155</v>
      </c>
      <c r="DN1561" s="0" t="s">
        <v>154</v>
      </c>
      <c r="DO1561" s="0" t="s">
        <v>155</v>
      </c>
      <c r="DS1561" s="0" t="s">
        <v>155</v>
      </c>
      <c r="DU1561" s="0" t="s">
        <v>154</v>
      </c>
      <c r="DW1561" s="0" t="s">
        <v>155</v>
      </c>
      <c r="DX1561" s="0" t="s">
        <v>154</v>
      </c>
      <c r="EA1561" s="0" t="s">
        <v>154</v>
      </c>
      <c r="ED1561" s="0" t="s">
        <v>155</v>
      </c>
      <c r="EF1561" s="0" t="s">
        <v>154</v>
      </c>
    </row>
    <row r="1562" customFormat="false" ht="13.8" hidden="false" customHeight="false" outlineLevel="0" collapsed="false">
      <c r="A1562" s="0" t="s">
        <v>7165</v>
      </c>
      <c r="B1562" s="0" t="n">
        <v>78</v>
      </c>
      <c r="C1562" s="0" t="n">
        <v>356299</v>
      </c>
      <c r="D1562" s="0" t="s">
        <v>6556</v>
      </c>
      <c r="E1562" s="0" t="s">
        <v>7166</v>
      </c>
      <c r="F1562" s="0" t="str">
        <f aca="false">CONCATENATE(D1562," ",LEFT(H1562,4),"T=",AU1562,"D=",AV1562,"R=",AW1562,"M=",AX1562,"L=",AY1562,"B=",AZ1562)</f>
        <v>ROSSI T=1D=0R=0M=0L=2B=0</v>
      </c>
      <c r="G1562" s="0" t="s">
        <v>297</v>
      </c>
      <c r="I1562" s="0" t="s">
        <v>7167</v>
      </c>
      <c r="J1562" s="0" t="s">
        <v>1854</v>
      </c>
      <c r="K1562" s="0" t="s">
        <v>175</v>
      </c>
      <c r="M1562" s="0" t="s">
        <v>7164</v>
      </c>
      <c r="N1562" s="0" t="str">
        <f aca="false">RIGHT(M1562,LEN(M1562)-FIND(" ",M1562))</f>
        <v>MAHONING AVE NW</v>
      </c>
      <c r="P1562" s="0" t="s">
        <v>146</v>
      </c>
      <c r="Q1562" s="0" t="s">
        <v>147</v>
      </c>
      <c r="R1562" s="0" t="n">
        <v>44483</v>
      </c>
      <c r="AD1562" s="0" t="s">
        <v>148</v>
      </c>
      <c r="AE1562" s="0" t="s">
        <v>149</v>
      </c>
      <c r="AF1562" s="0" t="s">
        <v>150</v>
      </c>
      <c r="AH1562" s="0" t="n">
        <v>14</v>
      </c>
      <c r="AI1562" s="0" t="n">
        <v>11</v>
      </c>
      <c r="AN1562" s="0" t="s">
        <v>146</v>
      </c>
      <c r="AO1562" s="0" t="s">
        <v>250</v>
      </c>
      <c r="AP1562" s="0" t="s">
        <v>251</v>
      </c>
      <c r="AQ1562" s="0" t="n">
        <v>9</v>
      </c>
      <c r="AR1562" s="0" t="n">
        <v>64</v>
      </c>
      <c r="AS1562" s="0" t="n">
        <v>32</v>
      </c>
      <c r="AU1562" s="0" t="n">
        <f aca="false">COUNTA($BA$2455:$EH$2455)</f>
        <v>1</v>
      </c>
      <c r="AV1562" s="0" t="n">
        <f aca="false">COUNTIF($BA$2455:$EH$2455,"D")</f>
        <v>0</v>
      </c>
      <c r="AW1562" s="0" t="n">
        <f aca="false">COUNTIF($BA$2455:$EH$2455,"R")</f>
        <v>0</v>
      </c>
      <c r="AX1562" s="0" t="n">
        <f aca="false"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>0</v>
      </c>
      <c r="AY1562" s="0" t="n">
        <f aca="false">COUNTIF(DU1562:EH1562, "&lt;&gt;")</f>
        <v>2</v>
      </c>
      <c r="AZ1562" s="0" t="n">
        <f aca="false">IF(EH1562&lt;&gt;"",1,0)</f>
        <v>0</v>
      </c>
      <c r="BB1562" s="0" t="s">
        <v>153</v>
      </c>
      <c r="CA1562" s="0" t="s">
        <v>154</v>
      </c>
      <c r="CP1562" s="0" t="s">
        <v>154</v>
      </c>
      <c r="CZ1562" s="0" t="s">
        <v>155</v>
      </c>
      <c r="DC1562" s="0" t="s">
        <v>154</v>
      </c>
      <c r="DM1562" s="0" t="s">
        <v>155</v>
      </c>
      <c r="DN1562" s="0" t="s">
        <v>154</v>
      </c>
      <c r="DU1562" s="0" t="s">
        <v>154</v>
      </c>
      <c r="EA1562" s="0" t="s">
        <v>154</v>
      </c>
    </row>
    <row r="1563" customFormat="false" ht="13.8" hidden="false" customHeight="false" outlineLevel="0" collapsed="false">
      <c r="A1563" s="0" t="s">
        <v>7168</v>
      </c>
      <c r="B1563" s="0" t="n">
        <v>78</v>
      </c>
      <c r="C1563" s="0" t="n">
        <v>27367</v>
      </c>
      <c r="D1563" s="0" t="s">
        <v>6556</v>
      </c>
      <c r="E1563" s="0" t="s">
        <v>1374</v>
      </c>
      <c r="F1563" s="0" t="str">
        <f aca="false">CONCATENATE(D1563," ",LEFT(H1563,4),"T=",AU1563,"D=",AV1563,"R=",AW1563,"M=",AX1563,"L=",AY1563,"B=",AZ1563)</f>
        <v>ROSSI T=18D=1R=3M=0L=4B=0</v>
      </c>
      <c r="G1563" s="0" t="s">
        <v>196</v>
      </c>
      <c r="I1563" s="0" t="s">
        <v>7169</v>
      </c>
      <c r="J1563" s="0" t="s">
        <v>2145</v>
      </c>
      <c r="K1563" s="0" t="s">
        <v>175</v>
      </c>
      <c r="L1563" s="1" t="s">
        <v>155</v>
      </c>
      <c r="M1563" s="0" t="s">
        <v>7164</v>
      </c>
      <c r="N1563" s="0" t="str">
        <f aca="false">RIGHT(M1563,LEN(M1563)-FIND(" ",M1563))</f>
        <v>MAHONING AVE NW</v>
      </c>
      <c r="P1563" s="0" t="s">
        <v>146</v>
      </c>
      <c r="Q1563" s="0" t="s">
        <v>147</v>
      </c>
      <c r="R1563" s="0" t="n">
        <v>44483</v>
      </c>
      <c r="AD1563" s="0" t="s">
        <v>148</v>
      </c>
      <c r="AE1563" s="0" t="s">
        <v>149</v>
      </c>
      <c r="AF1563" s="0" t="s">
        <v>150</v>
      </c>
      <c r="AH1563" s="0" t="n">
        <v>14</v>
      </c>
      <c r="AI1563" s="0" t="n">
        <v>11</v>
      </c>
      <c r="AN1563" s="0" t="s">
        <v>146</v>
      </c>
      <c r="AO1563" s="0" t="s">
        <v>250</v>
      </c>
      <c r="AP1563" s="0" t="s">
        <v>251</v>
      </c>
      <c r="AQ1563" s="0" t="n">
        <v>9</v>
      </c>
      <c r="AR1563" s="0" t="n">
        <v>64</v>
      </c>
      <c r="AS1563" s="0" t="n">
        <v>32</v>
      </c>
      <c r="AU1563" s="0" t="n">
        <f aca="false">COUNTA($BA$2456:$EH$2456)</f>
        <v>18</v>
      </c>
      <c r="AV1563" s="0" t="n">
        <f aca="false">COUNTIF($BA$2456:$EH$2456,"D")</f>
        <v>1</v>
      </c>
      <c r="AW1563" s="0" t="n">
        <f aca="false">COUNTIF($BA$2456:$EH$2456,"R")</f>
        <v>3</v>
      </c>
      <c r="AX1563" s="0" t="n">
        <f aca="false"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>0</v>
      </c>
      <c r="AY1563" s="0" t="n">
        <f aca="false">COUNTIF(DU1563:EH1563, "&lt;&gt;")</f>
        <v>4</v>
      </c>
      <c r="AZ1563" s="0" t="n">
        <f aca="false">IF(EH1563&lt;&gt;"",1,0)</f>
        <v>0</v>
      </c>
      <c r="BB1563" s="0" t="s">
        <v>153</v>
      </c>
      <c r="BC1563" s="0" t="s">
        <v>154</v>
      </c>
      <c r="BD1563" s="0" t="s">
        <v>154</v>
      </c>
      <c r="BE1563" s="0" t="s">
        <v>154</v>
      </c>
      <c r="BI1563" s="0" t="s">
        <v>154</v>
      </c>
      <c r="BK1563" s="0" t="s">
        <v>154</v>
      </c>
      <c r="BL1563" s="0" t="s">
        <v>154</v>
      </c>
      <c r="BS1563" s="0" t="s">
        <v>154</v>
      </c>
      <c r="BY1563" s="0" t="s">
        <v>155</v>
      </c>
      <c r="CA1563" s="0" t="s">
        <v>154</v>
      </c>
      <c r="CG1563" s="0" t="s">
        <v>154</v>
      </c>
      <c r="CK1563" s="0" t="s">
        <v>154</v>
      </c>
      <c r="CP1563" s="0" t="s">
        <v>154</v>
      </c>
      <c r="DC1563" s="0" t="s">
        <v>154</v>
      </c>
      <c r="DI1563" s="0" t="s">
        <v>154</v>
      </c>
      <c r="DL1563" s="0" t="s">
        <v>154</v>
      </c>
      <c r="DM1563" s="0" t="s">
        <v>155</v>
      </c>
      <c r="DN1563" s="0" t="s">
        <v>154</v>
      </c>
      <c r="DS1563" s="0" t="s">
        <v>155</v>
      </c>
      <c r="DU1563" s="0" t="s">
        <v>154</v>
      </c>
      <c r="DX1563" s="0" t="s">
        <v>154</v>
      </c>
      <c r="ED1563" s="0" t="s">
        <v>155</v>
      </c>
      <c r="EF1563" s="0" t="s">
        <v>154</v>
      </c>
    </row>
    <row r="1564" customFormat="false" ht="13.8" hidden="true" customHeight="false" outlineLevel="0" collapsed="false">
      <c r="A1564" s="0" t="s">
        <v>7170</v>
      </c>
      <c r="B1564" s="0" t="n">
        <v>78</v>
      </c>
      <c r="C1564" s="0" t="n">
        <v>435909</v>
      </c>
      <c r="D1564" s="0" t="s">
        <v>1657</v>
      </c>
      <c r="E1564" s="0" t="s">
        <v>1852</v>
      </c>
      <c r="F1564" s="0" t="str">
        <f aca="false">CONCATENATE(D1564," ",LEFT(H1564,4),"T=",AU1564,"D=",AV1564,"R=",AW1564,"M=",AX1564,"L=",AY1564,"B=",AZ1564)</f>
        <v>MILLER T=44D=14R=0M=0L=0B=0</v>
      </c>
      <c r="G1564" s="0" t="s">
        <v>1788</v>
      </c>
      <c r="I1564" s="0" t="s">
        <v>7171</v>
      </c>
      <c r="J1564" s="0" t="s">
        <v>1746</v>
      </c>
      <c r="K1564" s="0" t="s">
        <v>144</v>
      </c>
      <c r="L1564" s="0"/>
      <c r="M1564" s="0" t="s">
        <v>7172</v>
      </c>
      <c r="N1564" s="0" t="str">
        <f aca="false">RIGHT(M1564,LEN(M1564)-FIND(" ",M1564))</f>
        <v>MAHONING AVE NW</v>
      </c>
      <c r="P1564" s="0" t="s">
        <v>146</v>
      </c>
      <c r="Q1564" s="0" t="s">
        <v>147</v>
      </c>
      <c r="R1564" s="0" t="n">
        <v>44483</v>
      </c>
      <c r="AD1564" s="0" t="s">
        <v>148</v>
      </c>
      <c r="AE1564" s="0" t="s">
        <v>149</v>
      </c>
      <c r="AF1564" s="0" t="s">
        <v>150</v>
      </c>
      <c r="AH1564" s="0" t="n">
        <v>14</v>
      </c>
      <c r="AI1564" s="0" t="n">
        <v>11</v>
      </c>
      <c r="AN1564" s="0" t="s">
        <v>146</v>
      </c>
      <c r="AO1564" s="0" t="s">
        <v>250</v>
      </c>
      <c r="AP1564" s="0" t="s">
        <v>251</v>
      </c>
      <c r="AQ1564" s="0" t="n">
        <v>9</v>
      </c>
      <c r="AR1564" s="0" t="n">
        <v>64</v>
      </c>
      <c r="AS1564" s="0" t="n">
        <v>32</v>
      </c>
      <c r="AU1564" s="0" t="n">
        <f aca="false">COUNTA($BA$2229:$EH$2229)</f>
        <v>44</v>
      </c>
      <c r="AV1564" s="0" t="n">
        <f aca="false">COUNTIF($BA$2229:$EH$2229,"D")</f>
        <v>14</v>
      </c>
      <c r="AW1564" s="0" t="n">
        <f aca="false">COUNTIF($BA$2229:$EH$2229,"R")</f>
        <v>0</v>
      </c>
      <c r="AX1564" s="0" t="n">
        <f aca="false"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>0</v>
      </c>
      <c r="AY1564" s="0" t="n">
        <f aca="false">COUNTIF(DU1564:EH1564, "&lt;&gt;")</f>
        <v>0</v>
      </c>
      <c r="AZ1564" s="0" t="n">
        <f aca="false">IF(EH1564&lt;&gt;"",1,0)</f>
        <v>0</v>
      </c>
      <c r="BB1564" s="0" t="s">
        <v>153</v>
      </c>
    </row>
    <row r="1565" customFormat="false" ht="13.8" hidden="true" customHeight="false" outlineLevel="0" collapsed="false">
      <c r="A1565" s="0" t="s">
        <v>7173</v>
      </c>
      <c r="B1565" s="0" t="n">
        <v>78</v>
      </c>
      <c r="C1565" s="0" t="n">
        <v>470566</v>
      </c>
      <c r="D1565" s="0" t="s">
        <v>7174</v>
      </c>
      <c r="E1565" s="0" t="s">
        <v>7175</v>
      </c>
      <c r="F1565" s="0" t="str">
        <f aca="false">CONCATENATE(D1565," ",LEFT(H1565,4),"T=",AU1565,"D=",AV1565,"R=",AW1565,"M=",AX1565,"L=",AY1565,"B=",AZ1565)</f>
        <v>SANAME T=1D=0R=0M=0L=0B=0</v>
      </c>
      <c r="G1565" s="0" t="s">
        <v>7176</v>
      </c>
      <c r="I1565" s="0" t="s">
        <v>7177</v>
      </c>
      <c r="J1565" s="0" t="s">
        <v>7178</v>
      </c>
      <c r="K1565" s="0" t="s">
        <v>175</v>
      </c>
      <c r="L1565" s="0"/>
      <c r="M1565" s="0" t="s">
        <v>7172</v>
      </c>
      <c r="N1565" s="0" t="str">
        <f aca="false">RIGHT(M1565,LEN(M1565)-FIND(" ",M1565))</f>
        <v>MAHONING AVE NW</v>
      </c>
      <c r="P1565" s="0" t="s">
        <v>146</v>
      </c>
      <c r="Q1565" s="0" t="s">
        <v>147</v>
      </c>
      <c r="R1565" s="0" t="n">
        <v>44483</v>
      </c>
      <c r="AD1565" s="0" t="s">
        <v>148</v>
      </c>
      <c r="AE1565" s="0" t="s">
        <v>149</v>
      </c>
      <c r="AF1565" s="0" t="s">
        <v>150</v>
      </c>
      <c r="AH1565" s="0" t="n">
        <v>14</v>
      </c>
      <c r="AI1565" s="0" t="n">
        <v>11</v>
      </c>
      <c r="AN1565" s="0" t="s">
        <v>146</v>
      </c>
      <c r="AO1565" s="0" t="s">
        <v>250</v>
      </c>
      <c r="AP1565" s="0" t="s">
        <v>251</v>
      </c>
      <c r="AQ1565" s="0" t="n">
        <v>9</v>
      </c>
      <c r="AR1565" s="0" t="n">
        <v>64</v>
      </c>
      <c r="AS1565" s="0" t="n">
        <v>32</v>
      </c>
      <c r="AU1565" s="0" t="n">
        <f aca="false">COUNTA($BA$2365:$EH$2365)</f>
        <v>1</v>
      </c>
      <c r="AV1565" s="0" t="n">
        <f aca="false">COUNTIF($BA$2365:$EH$2365,"D")</f>
        <v>0</v>
      </c>
      <c r="AW1565" s="0" t="n">
        <f aca="false">COUNTIF($BA$2365:$EH$2365,"R")</f>
        <v>0</v>
      </c>
      <c r="AX1565" s="0" t="n">
        <f aca="false"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>0</v>
      </c>
      <c r="AY1565" s="0" t="n">
        <f aca="false">COUNTIF(DU1565:EH1565, "&lt;&gt;")</f>
        <v>0</v>
      </c>
      <c r="AZ1565" s="0" t="n">
        <f aca="false">IF(EH1565&lt;&gt;"",1,0)</f>
        <v>0</v>
      </c>
      <c r="BB1565" s="0" t="s">
        <v>153</v>
      </c>
    </row>
    <row r="1566" customFormat="false" ht="13.8" hidden="true" customHeight="false" outlineLevel="0" collapsed="false">
      <c r="A1566" s="0" t="s">
        <v>7179</v>
      </c>
      <c r="B1566" s="0" t="n">
        <v>78</v>
      </c>
      <c r="C1566" s="0" t="n">
        <v>411822</v>
      </c>
      <c r="D1566" s="0" t="s">
        <v>1657</v>
      </c>
      <c r="E1566" s="0" t="s">
        <v>2568</v>
      </c>
      <c r="F1566" s="0" t="str">
        <f aca="false">CONCATENATE(D1566," ",LEFT(H1566,4),"T=",AU1566,"D=",AV1566,"R=",AW1566,"M=",AX1566,"L=",AY1566,"B=",AZ1566)</f>
        <v>MILLER T=37D=0R=8M=0L=0B=0</v>
      </c>
      <c r="G1566" s="0" t="s">
        <v>496</v>
      </c>
      <c r="I1566" s="0" t="s">
        <v>7180</v>
      </c>
      <c r="J1566" s="0" t="s">
        <v>7181</v>
      </c>
      <c r="K1566" s="0" t="s">
        <v>144</v>
      </c>
      <c r="L1566" s="0"/>
      <c r="M1566" s="0" t="s">
        <v>7172</v>
      </c>
      <c r="N1566" s="0" t="str">
        <f aca="false">RIGHT(M1566,LEN(M1566)-FIND(" ",M1566))</f>
        <v>MAHONING AVE NW</v>
      </c>
      <c r="P1566" s="0" t="s">
        <v>146</v>
      </c>
      <c r="Q1566" s="0" t="s">
        <v>147</v>
      </c>
      <c r="R1566" s="0" t="n">
        <v>44483</v>
      </c>
      <c r="AD1566" s="0" t="s">
        <v>148</v>
      </c>
      <c r="AE1566" s="0" t="s">
        <v>149</v>
      </c>
      <c r="AF1566" s="0" t="s">
        <v>150</v>
      </c>
      <c r="AH1566" s="0" t="n">
        <v>14</v>
      </c>
      <c r="AI1566" s="0" t="n">
        <v>11</v>
      </c>
      <c r="AN1566" s="0" t="s">
        <v>146</v>
      </c>
      <c r="AO1566" s="0" t="s">
        <v>250</v>
      </c>
      <c r="AP1566" s="0" t="s">
        <v>251</v>
      </c>
      <c r="AQ1566" s="0" t="n">
        <v>9</v>
      </c>
      <c r="AR1566" s="0" t="n">
        <v>64</v>
      </c>
      <c r="AS1566" s="0" t="n">
        <v>32</v>
      </c>
      <c r="AU1566" s="0" t="n">
        <f aca="false">COUNTA($BA$2452:$EH$2452)</f>
        <v>37</v>
      </c>
      <c r="AV1566" s="0" t="n">
        <f aca="false">COUNTIF($BA$2452:$EH$2452,"D")</f>
        <v>0</v>
      </c>
      <c r="AW1566" s="0" t="n">
        <f aca="false">COUNTIF($BA$2452:$EH$2452,"R")</f>
        <v>8</v>
      </c>
      <c r="AX1566" s="0" t="n">
        <f aca="false"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>0</v>
      </c>
      <c r="AY1566" s="0" t="n">
        <f aca="false">COUNTIF(DU1566:EH1566, "&lt;&gt;")</f>
        <v>0</v>
      </c>
      <c r="AZ1566" s="0" t="n">
        <f aca="false">IF(EH1566&lt;&gt;"",1,0)</f>
        <v>0</v>
      </c>
      <c r="BB1566" s="0" t="s">
        <v>153</v>
      </c>
      <c r="CZ1566" s="0" t="s">
        <v>176</v>
      </c>
      <c r="DC1566" s="0" t="s">
        <v>154</v>
      </c>
    </row>
    <row r="1567" customFormat="false" ht="13.8" hidden="true" customHeight="false" outlineLevel="0" collapsed="false">
      <c r="A1567" s="0" t="s">
        <v>7182</v>
      </c>
      <c r="B1567" s="0" t="n">
        <v>78</v>
      </c>
      <c r="C1567" s="0" t="n">
        <v>421382</v>
      </c>
      <c r="D1567" s="0" t="s">
        <v>7183</v>
      </c>
      <c r="E1567" s="0" t="s">
        <v>652</v>
      </c>
      <c r="F1567" s="0" t="str">
        <f aca="false">CONCATENATE(D1567," ",LEFT(H1567,4),"T=",AU1567,"D=",AV1567,"R=",AW1567,"M=",AX1567,"L=",AY1567,"B=",AZ1567)</f>
        <v>MARTINEZ T=9D=0R=0M=0L=0B=0</v>
      </c>
      <c r="G1567" s="0" t="s">
        <v>297</v>
      </c>
      <c r="I1567" s="0" t="s">
        <v>7184</v>
      </c>
      <c r="J1567" s="0" t="s">
        <v>3742</v>
      </c>
      <c r="K1567" s="0" t="s">
        <v>144</v>
      </c>
      <c r="L1567" s="0"/>
      <c r="M1567" s="0" t="s">
        <v>7172</v>
      </c>
      <c r="N1567" s="0" t="str">
        <f aca="false">RIGHT(M1567,LEN(M1567)-FIND(" ",M1567))</f>
        <v>MAHONING AVE NW</v>
      </c>
      <c r="P1567" s="0" t="s">
        <v>146</v>
      </c>
      <c r="Q1567" s="0" t="s">
        <v>147</v>
      </c>
      <c r="R1567" s="0" t="n">
        <v>44483</v>
      </c>
      <c r="AD1567" s="0" t="s">
        <v>148</v>
      </c>
      <c r="AE1567" s="0" t="s">
        <v>149</v>
      </c>
      <c r="AF1567" s="0" t="s">
        <v>150</v>
      </c>
      <c r="AH1567" s="0" t="n">
        <v>14</v>
      </c>
      <c r="AI1567" s="0" t="n">
        <v>11</v>
      </c>
      <c r="AN1567" s="0" t="s">
        <v>146</v>
      </c>
      <c r="AO1567" s="0" t="s">
        <v>250</v>
      </c>
      <c r="AP1567" s="0" t="s">
        <v>251</v>
      </c>
      <c r="AQ1567" s="0" t="n">
        <v>9</v>
      </c>
      <c r="AR1567" s="0" t="n">
        <v>64</v>
      </c>
      <c r="AS1567" s="0" t="n">
        <v>32</v>
      </c>
      <c r="AU1567" s="0" t="n">
        <f aca="false">COUNTA($BA$2639:$EH$2639)</f>
        <v>9</v>
      </c>
      <c r="AV1567" s="0" t="n">
        <f aca="false">COUNTIF($BA$2639:$EH$2639,"D")</f>
        <v>0</v>
      </c>
      <c r="AW1567" s="0" t="n">
        <f aca="false">COUNTIF($BA$2639:$EH$2639,"R")</f>
        <v>0</v>
      </c>
      <c r="AX1567" s="0" t="n">
        <f aca="false"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>0</v>
      </c>
      <c r="AY1567" s="0" t="n">
        <f aca="false">COUNTIF(DU1567:EH1567, "&lt;&gt;")</f>
        <v>0</v>
      </c>
      <c r="AZ1567" s="0" t="n">
        <f aca="false">IF(EH1567&lt;&gt;"",1,0)</f>
        <v>0</v>
      </c>
      <c r="BB1567" s="0" t="s">
        <v>153</v>
      </c>
    </row>
    <row r="1568" customFormat="false" ht="13.8" hidden="false" customHeight="false" outlineLevel="0" collapsed="false">
      <c r="A1568" s="0" t="s">
        <v>7185</v>
      </c>
      <c r="B1568" s="0" t="n">
        <v>78</v>
      </c>
      <c r="C1568" s="0" t="n">
        <v>5296</v>
      </c>
      <c r="D1568" s="0" t="s">
        <v>7186</v>
      </c>
      <c r="E1568" s="0" t="s">
        <v>7187</v>
      </c>
      <c r="F1568" s="0" t="str">
        <f aca="false">CONCATENATE(D1568," ",LEFT(H1568,4),"T=",AU1568,"D=",AV1568,"R=",AW1568,"M=",AX1568,"L=",AY1568,"B=",AZ1568)</f>
        <v>FITZWATER T=37D=0R=8M=5L=7B=1</v>
      </c>
      <c r="G1568" s="0" t="s">
        <v>514</v>
      </c>
      <c r="I1568" s="0" t="s">
        <v>7188</v>
      </c>
      <c r="J1568" s="0" t="s">
        <v>7189</v>
      </c>
      <c r="K1568" s="0" t="s">
        <v>175</v>
      </c>
      <c r="L1568" s="1" t="s">
        <v>155</v>
      </c>
      <c r="M1568" s="0" t="s">
        <v>7190</v>
      </c>
      <c r="N1568" s="0" t="str">
        <f aca="false">RIGHT(M1568,LEN(M1568)-FIND(" ",M1568))</f>
        <v>MAHONING AVE NW</v>
      </c>
      <c r="P1568" s="0" t="s">
        <v>146</v>
      </c>
      <c r="Q1568" s="0" t="s">
        <v>147</v>
      </c>
      <c r="R1568" s="0" t="n">
        <v>44483</v>
      </c>
      <c r="AD1568" s="0" t="s">
        <v>148</v>
      </c>
      <c r="AE1568" s="0" t="s">
        <v>149</v>
      </c>
      <c r="AF1568" s="0" t="s">
        <v>150</v>
      </c>
      <c r="AH1568" s="0" t="n">
        <v>14</v>
      </c>
      <c r="AI1568" s="0" t="n">
        <v>11</v>
      </c>
      <c r="AN1568" s="0" t="s">
        <v>146</v>
      </c>
      <c r="AO1568" s="0" t="s">
        <v>250</v>
      </c>
      <c r="AP1568" s="0" t="s">
        <v>251</v>
      </c>
      <c r="AQ1568" s="0" t="n">
        <v>9</v>
      </c>
      <c r="AR1568" s="0" t="n">
        <v>64</v>
      </c>
      <c r="AS1568" s="0" t="n">
        <v>32</v>
      </c>
      <c r="AU1568" s="0" t="n">
        <f aca="false">COUNTA($BA$2453:$EH$2453)</f>
        <v>37</v>
      </c>
      <c r="AV1568" s="0" t="n">
        <f aca="false">COUNTIF($BA$2453:$EH$2453,"D")</f>
        <v>0</v>
      </c>
      <c r="AW1568" s="0" t="n">
        <f aca="false">COUNTIF($BA$2453:$EH$2453,"R")</f>
        <v>8</v>
      </c>
      <c r="AX1568" s="0" t="n">
        <f aca="false"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>5</v>
      </c>
      <c r="AY1568" s="0" t="n">
        <f aca="false">COUNTIF(DU1568:EH1568, "&lt;&gt;")</f>
        <v>7</v>
      </c>
      <c r="AZ1568" s="0" t="n">
        <f aca="false">IF(EH1568&lt;&gt;"",1,0)</f>
        <v>1</v>
      </c>
      <c r="BB1568" s="0" t="s">
        <v>153</v>
      </c>
      <c r="BC1568" s="0" t="s">
        <v>154</v>
      </c>
      <c r="BD1568" s="0" t="s">
        <v>154</v>
      </c>
      <c r="BH1568" s="0" t="s">
        <v>154</v>
      </c>
      <c r="BJ1568" s="0" t="s">
        <v>154</v>
      </c>
      <c r="BK1568" s="0" t="s">
        <v>154</v>
      </c>
      <c r="BL1568" s="0" t="s">
        <v>154</v>
      </c>
      <c r="BP1568" s="0" t="s">
        <v>154</v>
      </c>
      <c r="BR1568" s="0" t="s">
        <v>154</v>
      </c>
      <c r="BS1568" s="0" t="s">
        <v>154</v>
      </c>
      <c r="BV1568" s="0" t="s">
        <v>154</v>
      </c>
      <c r="BY1568" s="0" t="s">
        <v>155</v>
      </c>
      <c r="CA1568" s="0" t="s">
        <v>154</v>
      </c>
      <c r="CG1568" s="0" t="s">
        <v>154</v>
      </c>
      <c r="CH1568" s="0" t="s">
        <v>155</v>
      </c>
      <c r="CK1568" s="0" t="s">
        <v>154</v>
      </c>
      <c r="CL1568" s="0" t="s">
        <v>155</v>
      </c>
      <c r="CN1568" s="0" t="s">
        <v>154</v>
      </c>
      <c r="CO1568" s="0" t="s">
        <v>155</v>
      </c>
      <c r="CP1568" s="0" t="s">
        <v>154</v>
      </c>
      <c r="CT1568" s="0" t="s">
        <v>154</v>
      </c>
      <c r="CU1568" s="0" t="s">
        <v>155</v>
      </c>
      <c r="CV1568" s="0" t="s">
        <v>154</v>
      </c>
      <c r="CY1568" s="0" t="s">
        <v>154</v>
      </c>
      <c r="CZ1568" s="0" t="s">
        <v>155</v>
      </c>
      <c r="DC1568" s="0" t="s">
        <v>154</v>
      </c>
      <c r="DF1568" s="0" t="s">
        <v>154</v>
      </c>
      <c r="DG1568" s="0" t="s">
        <v>155</v>
      </c>
      <c r="DI1568" s="0" t="s">
        <v>154</v>
      </c>
      <c r="DJ1568" s="0" t="s">
        <v>155</v>
      </c>
      <c r="DL1568" s="0" t="s">
        <v>154</v>
      </c>
      <c r="DN1568" s="0" t="s">
        <v>154</v>
      </c>
      <c r="DO1568" s="0" t="s">
        <v>155</v>
      </c>
      <c r="DR1568" s="0" t="s">
        <v>154</v>
      </c>
      <c r="DS1568" s="0" t="s">
        <v>155</v>
      </c>
      <c r="DU1568" s="0" t="s">
        <v>154</v>
      </c>
      <c r="DW1568" s="0" t="s">
        <v>155</v>
      </c>
      <c r="DX1568" s="0" t="s">
        <v>154</v>
      </c>
      <c r="EA1568" s="0" t="s">
        <v>154</v>
      </c>
      <c r="ED1568" s="0" t="s">
        <v>155</v>
      </c>
      <c r="EF1568" s="0" t="s">
        <v>154</v>
      </c>
      <c r="EH1568" s="0" t="s">
        <v>155</v>
      </c>
    </row>
    <row r="1569" customFormat="false" ht="13.8" hidden="false" customHeight="false" outlineLevel="0" collapsed="false">
      <c r="A1569" s="0" t="s">
        <v>7191</v>
      </c>
      <c r="B1569" s="0" t="n">
        <v>78</v>
      </c>
      <c r="C1569" s="0" t="n">
        <v>21770</v>
      </c>
      <c r="D1569" s="0" t="s">
        <v>1050</v>
      </c>
      <c r="E1569" s="0" t="s">
        <v>7192</v>
      </c>
      <c r="F1569" s="0" t="str">
        <f aca="false">CONCATENATE(D1569," ",LEFT(H1569,4),"T=",AU1569,"D=",AV1569,"R=",AW1569,"M=",AX1569,"L=",AY1569,"B=",AZ1569)</f>
        <v>JOHNSON T=3D=0R=0M=9L=7B=1</v>
      </c>
      <c r="G1569" s="0" t="s">
        <v>188</v>
      </c>
      <c r="I1569" s="0" t="s">
        <v>7193</v>
      </c>
      <c r="J1569" s="0" t="s">
        <v>7194</v>
      </c>
      <c r="K1569" s="0" t="s">
        <v>175</v>
      </c>
      <c r="L1569" s="1" t="s">
        <v>155</v>
      </c>
      <c r="M1569" s="0" t="s">
        <v>7195</v>
      </c>
      <c r="N1569" s="0" t="str">
        <f aca="false">RIGHT(M1569,LEN(M1569)-FIND(" ",M1569))</f>
        <v>MAHONING AVE NW</v>
      </c>
      <c r="P1569" s="0" t="s">
        <v>146</v>
      </c>
      <c r="Q1569" s="0" t="s">
        <v>147</v>
      </c>
      <c r="R1569" s="0" t="n">
        <v>44483</v>
      </c>
      <c r="AD1569" s="0" t="s">
        <v>148</v>
      </c>
      <c r="AE1569" s="0" t="s">
        <v>149</v>
      </c>
      <c r="AF1569" s="0" t="s">
        <v>150</v>
      </c>
      <c r="AH1569" s="0" t="n">
        <v>14</v>
      </c>
      <c r="AI1569" s="0" t="n">
        <v>11</v>
      </c>
      <c r="AN1569" s="0" t="s">
        <v>146</v>
      </c>
      <c r="AO1569" s="0" t="s">
        <v>151</v>
      </c>
      <c r="AP1569" s="0" t="s">
        <v>152</v>
      </c>
      <c r="AQ1569" s="0" t="n">
        <v>9</v>
      </c>
      <c r="AR1569" s="0" t="n">
        <v>64</v>
      </c>
      <c r="AS1569" s="0" t="n">
        <v>32</v>
      </c>
      <c r="AU1569" s="0" t="n">
        <f aca="false">COUNTA($BA$1124:$EH$1124)</f>
        <v>3</v>
      </c>
      <c r="AV1569" s="0" t="n">
        <f aca="false">COUNTIF($BA$1124:$EH$1124,"D")</f>
        <v>0</v>
      </c>
      <c r="AW1569" s="0" t="n">
        <f aca="false">COUNTIF($BA$1124:$EH$1124,"R")</f>
        <v>0</v>
      </c>
      <c r="AX1569" s="0" t="n">
        <f aca="false"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>9</v>
      </c>
      <c r="AY1569" s="0" t="n">
        <f aca="false">COUNTIF(DU1569:EH1569, "&lt;&gt;")</f>
        <v>7</v>
      </c>
      <c r="AZ1569" s="0" t="n">
        <f aca="false">IF(EH1569&lt;&gt;"",1,0)</f>
        <v>1</v>
      </c>
      <c r="BB1569" s="0" t="s">
        <v>153</v>
      </c>
      <c r="BC1569" s="0" t="s">
        <v>154</v>
      </c>
      <c r="BD1569" s="0" t="s">
        <v>154</v>
      </c>
      <c r="BE1569" s="0" t="s">
        <v>154</v>
      </c>
      <c r="BF1569" s="0" t="s">
        <v>154</v>
      </c>
      <c r="BG1569" s="0" t="s">
        <v>154</v>
      </c>
      <c r="BH1569" s="0" t="s">
        <v>154</v>
      </c>
      <c r="BI1569" s="0" t="s">
        <v>154</v>
      </c>
      <c r="BJ1569" s="0" t="s">
        <v>154</v>
      </c>
      <c r="BK1569" s="0" t="s">
        <v>154</v>
      </c>
      <c r="BL1569" s="0" t="s">
        <v>154</v>
      </c>
      <c r="BP1569" s="0" t="s">
        <v>154</v>
      </c>
      <c r="BR1569" s="0" t="s">
        <v>154</v>
      </c>
      <c r="BS1569" s="0" t="s">
        <v>154</v>
      </c>
      <c r="BY1569" s="0" t="s">
        <v>155</v>
      </c>
      <c r="CA1569" s="0" t="s">
        <v>154</v>
      </c>
      <c r="CC1569" s="0" t="s">
        <v>155</v>
      </c>
      <c r="CG1569" s="0" t="s">
        <v>154</v>
      </c>
      <c r="CH1569" s="0" t="s">
        <v>155</v>
      </c>
      <c r="CK1569" s="0" t="s">
        <v>154</v>
      </c>
      <c r="CL1569" s="0" t="s">
        <v>155</v>
      </c>
      <c r="CN1569" s="0" t="s">
        <v>154</v>
      </c>
      <c r="CO1569" s="0" t="s">
        <v>155</v>
      </c>
      <c r="CP1569" s="0" t="s">
        <v>154</v>
      </c>
      <c r="CQ1569" s="0" t="s">
        <v>155</v>
      </c>
      <c r="CT1569" s="0" t="s">
        <v>154</v>
      </c>
      <c r="CU1569" s="0" t="s">
        <v>155</v>
      </c>
      <c r="CV1569" s="0" t="s">
        <v>154</v>
      </c>
      <c r="CW1569" s="0" t="s">
        <v>155</v>
      </c>
      <c r="CY1569" s="0" t="s">
        <v>154</v>
      </c>
      <c r="CZ1569" s="0" t="s">
        <v>155</v>
      </c>
      <c r="DC1569" s="0" t="s">
        <v>154</v>
      </c>
      <c r="DD1569" s="0" t="s">
        <v>155</v>
      </c>
      <c r="DF1569" s="0" t="s">
        <v>154</v>
      </c>
      <c r="DG1569" s="0" t="s">
        <v>155</v>
      </c>
      <c r="DI1569" s="0" t="s">
        <v>154</v>
      </c>
      <c r="DJ1569" s="0" t="s">
        <v>155</v>
      </c>
      <c r="DL1569" s="0" t="s">
        <v>154</v>
      </c>
      <c r="DM1569" s="0" t="s">
        <v>155</v>
      </c>
      <c r="DN1569" s="0" t="s">
        <v>154</v>
      </c>
      <c r="DO1569" s="0" t="s">
        <v>155</v>
      </c>
      <c r="DR1569" s="0" t="s">
        <v>154</v>
      </c>
      <c r="DS1569" s="0" t="s">
        <v>155</v>
      </c>
      <c r="DT1569" s="0" t="s">
        <v>155</v>
      </c>
      <c r="DU1569" s="0" t="s">
        <v>154</v>
      </c>
      <c r="DW1569" s="0" t="s">
        <v>155</v>
      </c>
      <c r="DX1569" s="0" t="s">
        <v>154</v>
      </c>
      <c r="EA1569" s="0" t="s">
        <v>154</v>
      </c>
      <c r="ED1569" s="0" t="s">
        <v>155</v>
      </c>
      <c r="EF1569" s="0" t="s">
        <v>154</v>
      </c>
      <c r="EH1569" s="0" t="s">
        <v>155</v>
      </c>
    </row>
    <row r="1570" customFormat="false" ht="13.8" hidden="false" customHeight="false" outlineLevel="0" collapsed="false">
      <c r="A1570" s="0" t="s">
        <v>7196</v>
      </c>
      <c r="B1570" s="0" t="n">
        <v>78</v>
      </c>
      <c r="C1570" s="0" t="n">
        <v>21493</v>
      </c>
      <c r="D1570" s="0" t="s">
        <v>1050</v>
      </c>
      <c r="E1570" s="0" t="s">
        <v>652</v>
      </c>
      <c r="F1570" s="0" t="str">
        <f aca="false">CONCATENATE(D1570," ",LEFT(H1570,4),"T=",AU1570,"D=",AV1570,"R=",AW1570,"M=",AX1570,"L=",AY1570,"B=",AZ1570)</f>
        <v>JOHNSON SRT=37D=10R=0M=9L=7B=1</v>
      </c>
      <c r="G1570" s="0" t="s">
        <v>365</v>
      </c>
      <c r="H1570" s="0" t="s">
        <v>311</v>
      </c>
      <c r="I1570" s="0" t="s">
        <v>7197</v>
      </c>
      <c r="J1570" s="0" t="s">
        <v>5943</v>
      </c>
      <c r="K1570" s="0" t="s">
        <v>175</v>
      </c>
      <c r="L1570" s="1" t="s">
        <v>155</v>
      </c>
      <c r="M1570" s="0" t="s">
        <v>7195</v>
      </c>
      <c r="N1570" s="0" t="str">
        <f aca="false">RIGHT(M1570,LEN(M1570)-FIND(" ",M1570))</f>
        <v>MAHONING AVE NW</v>
      </c>
      <c r="P1570" s="0" t="s">
        <v>146</v>
      </c>
      <c r="Q1570" s="0" t="s">
        <v>147</v>
      </c>
      <c r="R1570" s="0" t="n">
        <v>44483</v>
      </c>
      <c r="AD1570" s="0" t="s">
        <v>148</v>
      </c>
      <c r="AE1570" s="0" t="s">
        <v>149</v>
      </c>
      <c r="AF1570" s="0" t="s">
        <v>150</v>
      </c>
      <c r="AH1570" s="0" t="n">
        <v>14</v>
      </c>
      <c r="AI1570" s="0" t="n">
        <v>11</v>
      </c>
      <c r="AN1570" s="0" t="s">
        <v>146</v>
      </c>
      <c r="AO1570" s="0" t="s">
        <v>151</v>
      </c>
      <c r="AP1570" s="0" t="s">
        <v>152</v>
      </c>
      <c r="AQ1570" s="0" t="n">
        <v>9</v>
      </c>
      <c r="AR1570" s="0" t="n">
        <v>64</v>
      </c>
      <c r="AS1570" s="0" t="n">
        <v>32</v>
      </c>
      <c r="AU1570" s="0" t="n">
        <f aca="false">COUNTA($BA$1134:$EH$1134)</f>
        <v>37</v>
      </c>
      <c r="AV1570" s="0" t="n">
        <f aca="false">COUNTIF($BA$1134:$EH$1134,"D")</f>
        <v>10</v>
      </c>
      <c r="AW1570" s="0" t="n">
        <f aca="false">COUNTIF($BA$1134:$EH$1134,"R")</f>
        <v>0</v>
      </c>
      <c r="AX1570" s="0" t="n">
        <f aca="false"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>9</v>
      </c>
      <c r="AY1570" s="0" t="n">
        <f aca="false">COUNTIF(DU1570:EH1570, "&lt;&gt;")</f>
        <v>7</v>
      </c>
      <c r="AZ1570" s="0" t="n">
        <f aca="false">IF(EH1570&lt;&gt;"",1,0)</f>
        <v>1</v>
      </c>
      <c r="BB1570" s="0" t="s">
        <v>153</v>
      </c>
      <c r="BD1570" s="0" t="s">
        <v>154</v>
      </c>
      <c r="BE1570" s="0" t="s">
        <v>154</v>
      </c>
      <c r="BF1570" s="0" t="s">
        <v>154</v>
      </c>
      <c r="BG1570" s="0" t="s">
        <v>154</v>
      </c>
      <c r="BH1570" s="0" t="s">
        <v>154</v>
      </c>
      <c r="BI1570" s="0" t="s">
        <v>154</v>
      </c>
      <c r="BJ1570" s="0" t="s">
        <v>154</v>
      </c>
      <c r="BK1570" s="0" t="s">
        <v>154</v>
      </c>
      <c r="BL1570" s="0" t="s">
        <v>154</v>
      </c>
      <c r="BP1570" s="0" t="s">
        <v>154</v>
      </c>
      <c r="BR1570" s="0" t="s">
        <v>154</v>
      </c>
      <c r="BS1570" s="0" t="s">
        <v>154</v>
      </c>
      <c r="BY1570" s="0" t="s">
        <v>155</v>
      </c>
      <c r="CA1570" s="0" t="s">
        <v>154</v>
      </c>
      <c r="CC1570" s="0" t="s">
        <v>155</v>
      </c>
      <c r="CG1570" s="0" t="s">
        <v>154</v>
      </c>
      <c r="CH1570" s="0" t="s">
        <v>155</v>
      </c>
      <c r="CK1570" s="0" t="s">
        <v>154</v>
      </c>
      <c r="CL1570" s="0" t="s">
        <v>155</v>
      </c>
      <c r="CN1570" s="0" t="s">
        <v>154</v>
      </c>
      <c r="CO1570" s="0" t="s">
        <v>155</v>
      </c>
      <c r="CP1570" s="0" t="s">
        <v>154</v>
      </c>
      <c r="CQ1570" s="0" t="s">
        <v>155</v>
      </c>
      <c r="CT1570" s="0" t="s">
        <v>154</v>
      </c>
      <c r="CU1570" s="0" t="s">
        <v>155</v>
      </c>
      <c r="CV1570" s="0" t="s">
        <v>154</v>
      </c>
      <c r="CW1570" s="0" t="s">
        <v>155</v>
      </c>
      <c r="CY1570" s="0" t="s">
        <v>154</v>
      </c>
      <c r="CZ1570" s="0" t="s">
        <v>155</v>
      </c>
      <c r="DC1570" s="0" t="s">
        <v>154</v>
      </c>
      <c r="DD1570" s="0" t="s">
        <v>155</v>
      </c>
      <c r="DF1570" s="0" t="s">
        <v>154</v>
      </c>
      <c r="DG1570" s="0" t="s">
        <v>155</v>
      </c>
      <c r="DI1570" s="0" t="s">
        <v>154</v>
      </c>
      <c r="DJ1570" s="0" t="s">
        <v>155</v>
      </c>
      <c r="DL1570" s="0" t="s">
        <v>154</v>
      </c>
      <c r="DM1570" s="0" t="s">
        <v>155</v>
      </c>
      <c r="DN1570" s="0" t="s">
        <v>154</v>
      </c>
      <c r="DO1570" s="0" t="s">
        <v>155</v>
      </c>
      <c r="DR1570" s="0" t="s">
        <v>154</v>
      </c>
      <c r="DS1570" s="0" t="s">
        <v>155</v>
      </c>
      <c r="DT1570" s="0" t="s">
        <v>155</v>
      </c>
      <c r="DU1570" s="0" t="s">
        <v>154</v>
      </c>
      <c r="DW1570" s="0" t="s">
        <v>155</v>
      </c>
      <c r="DX1570" s="0" t="s">
        <v>154</v>
      </c>
      <c r="EA1570" s="0" t="s">
        <v>154</v>
      </c>
      <c r="ED1570" s="0" t="s">
        <v>155</v>
      </c>
      <c r="EF1570" s="0" t="s">
        <v>154</v>
      </c>
      <c r="EH1570" s="0" t="s">
        <v>155</v>
      </c>
    </row>
    <row r="1571" customFormat="false" ht="13.8" hidden="true" customHeight="false" outlineLevel="0" collapsed="false">
      <c r="A1571" s="0" t="s">
        <v>7198</v>
      </c>
      <c r="B1571" s="0" t="n">
        <v>78</v>
      </c>
      <c r="C1571" s="0" t="n">
        <v>491624</v>
      </c>
      <c r="D1571" s="0" t="s">
        <v>474</v>
      </c>
      <c r="E1571" s="0" t="s">
        <v>7199</v>
      </c>
      <c r="F1571" s="0" t="str">
        <f aca="false">CONCATENATE(D1571," ",LEFT(H1571,4),"T=",AU1571,"D=",AV1571,"R=",AW1571,"M=",AX1571,"L=",AY1571,"B=",AZ1571)</f>
        <v>SCOTT T=11D=0R=2M=0L=0B=0</v>
      </c>
      <c r="G1571" s="0" t="s">
        <v>188</v>
      </c>
      <c r="I1571" s="0" t="s">
        <v>7200</v>
      </c>
      <c r="J1571" s="0" t="s">
        <v>488</v>
      </c>
      <c r="K1571" s="0" t="s">
        <v>175</v>
      </c>
      <c r="L1571" s="0"/>
      <c r="M1571" s="0" t="s">
        <v>7201</v>
      </c>
      <c r="N1571" s="0" t="str">
        <f aca="false">RIGHT(M1571,LEN(M1571)-FIND(" ",M1571))</f>
        <v>MAHONING AVE NW</v>
      </c>
      <c r="P1571" s="0" t="s">
        <v>146</v>
      </c>
      <c r="Q1571" s="0" t="s">
        <v>147</v>
      </c>
      <c r="R1571" s="0" t="n">
        <v>44483</v>
      </c>
      <c r="AD1571" s="0" t="s">
        <v>148</v>
      </c>
      <c r="AE1571" s="0" t="s">
        <v>149</v>
      </c>
      <c r="AF1571" s="0" t="s">
        <v>150</v>
      </c>
      <c r="AH1571" s="0" t="n">
        <v>14</v>
      </c>
      <c r="AI1571" s="0" t="n">
        <v>11</v>
      </c>
      <c r="AN1571" s="0" t="s">
        <v>146</v>
      </c>
      <c r="AO1571" s="0" t="s">
        <v>151</v>
      </c>
      <c r="AP1571" s="0" t="s">
        <v>152</v>
      </c>
      <c r="AQ1571" s="0" t="n">
        <v>9</v>
      </c>
      <c r="AR1571" s="0" t="n">
        <v>64</v>
      </c>
      <c r="AS1571" s="0" t="n">
        <v>32</v>
      </c>
      <c r="AU1571" s="0" t="n">
        <f aca="false">COUNTA($BA$1152:$EH$1152)</f>
        <v>11</v>
      </c>
      <c r="AV1571" s="0" t="n">
        <f aca="false">COUNTIF($BA$1152:$EH$1152,"D")</f>
        <v>0</v>
      </c>
      <c r="AW1571" s="0" t="n">
        <f aca="false">COUNTIF($BA$1152:$EH$1152,"R")</f>
        <v>2</v>
      </c>
      <c r="AX1571" s="0" t="n">
        <f aca="false"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>0</v>
      </c>
      <c r="AY1571" s="0" t="n">
        <f aca="false">COUNTIF(DU1571:EH1571, "&lt;&gt;")</f>
        <v>0</v>
      </c>
      <c r="AZ1571" s="0" t="n">
        <f aca="false">IF(EH1571&lt;&gt;"",1,0)</f>
        <v>0</v>
      </c>
      <c r="BB1571" s="0" t="s">
        <v>153</v>
      </c>
    </row>
    <row r="1572" customFormat="false" ht="13.8" hidden="true" customHeight="false" outlineLevel="0" collapsed="false">
      <c r="A1572" s="0" t="s">
        <v>7202</v>
      </c>
      <c r="B1572" s="0" t="n">
        <v>78</v>
      </c>
      <c r="C1572" s="0" t="n">
        <v>462081</v>
      </c>
      <c r="D1572" s="0" t="s">
        <v>474</v>
      </c>
      <c r="E1572" s="0" t="s">
        <v>7203</v>
      </c>
      <c r="F1572" s="0" t="str">
        <f aca="false">CONCATENATE(D1572," ",LEFT(H1572,4),"T=",AU1572,"D=",AV1572,"R=",AW1572,"M=",AX1572,"L=",AY1572,"B=",AZ1572)</f>
        <v>SCOTT T=40D=5R=6M=0L=0B=0</v>
      </c>
      <c r="G1572" s="0" t="s">
        <v>188</v>
      </c>
      <c r="I1572" s="0" t="s">
        <v>7200</v>
      </c>
      <c r="J1572" s="0" t="s">
        <v>419</v>
      </c>
      <c r="K1572" s="0" t="s">
        <v>175</v>
      </c>
      <c r="L1572" s="0"/>
      <c r="M1572" s="0" t="s">
        <v>7201</v>
      </c>
      <c r="N1572" s="0" t="str">
        <f aca="false">RIGHT(M1572,LEN(M1572)-FIND(" ",M1572))</f>
        <v>MAHONING AVE NW</v>
      </c>
      <c r="P1572" s="0" t="s">
        <v>146</v>
      </c>
      <c r="Q1572" s="0" t="s">
        <v>147</v>
      </c>
      <c r="R1572" s="0" t="n">
        <v>44483</v>
      </c>
      <c r="AD1572" s="0" t="s">
        <v>148</v>
      </c>
      <c r="AE1572" s="0" t="s">
        <v>149</v>
      </c>
      <c r="AF1572" s="0" t="s">
        <v>150</v>
      </c>
      <c r="AH1572" s="0" t="n">
        <v>14</v>
      </c>
      <c r="AI1572" s="0" t="n">
        <v>11</v>
      </c>
      <c r="AN1572" s="0" t="s">
        <v>146</v>
      </c>
      <c r="AO1572" s="0" t="s">
        <v>151</v>
      </c>
      <c r="AP1572" s="0" t="s">
        <v>152</v>
      </c>
      <c r="AQ1572" s="0" t="n">
        <v>9</v>
      </c>
      <c r="AR1572" s="0" t="n">
        <v>64</v>
      </c>
      <c r="AS1572" s="0" t="n">
        <v>32</v>
      </c>
      <c r="AU1572" s="0" t="n">
        <f aca="false">COUNTA($BA$1162:$EH$1162)</f>
        <v>40</v>
      </c>
      <c r="AV1572" s="0" t="n">
        <f aca="false">COUNTIF($BA$1162:$EH$1162,"D")</f>
        <v>5</v>
      </c>
      <c r="AW1572" s="0" t="n">
        <f aca="false">COUNTIF($BA$1162:$EH$1162,"R")</f>
        <v>6</v>
      </c>
      <c r="AX1572" s="0" t="n">
        <f aca="false"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>0</v>
      </c>
      <c r="AY1572" s="0" t="n">
        <f aca="false">COUNTIF(DU1572:EH1572, "&lt;&gt;")</f>
        <v>0</v>
      </c>
      <c r="AZ1572" s="0" t="n">
        <f aca="false">IF(EH1572&lt;&gt;"",1,0)</f>
        <v>0</v>
      </c>
      <c r="BB1572" s="0" t="s">
        <v>153</v>
      </c>
    </row>
    <row r="1573" customFormat="false" ht="13.8" hidden="true" customHeight="false" outlineLevel="0" collapsed="false">
      <c r="A1573" s="0" t="s">
        <v>7204</v>
      </c>
      <c r="B1573" s="0" t="n">
        <v>78</v>
      </c>
      <c r="C1573" s="0" t="n">
        <v>331608</v>
      </c>
      <c r="D1573" s="0" t="s">
        <v>754</v>
      </c>
      <c r="E1573" s="0" t="s">
        <v>609</v>
      </c>
      <c r="F1573" s="0" t="str">
        <f aca="false">CONCATENATE(D1573," ",LEFT(H1573,4),"T=",AU1573,"D=",AV1573,"R=",AW1573,"M=",AX1573,"L=",AY1573,"B=",AZ1573)</f>
        <v>REEVES T=1D=0R=0M=0L=0B=0</v>
      </c>
      <c r="G1573" s="0" t="s">
        <v>297</v>
      </c>
      <c r="I1573" s="0" t="s">
        <v>7205</v>
      </c>
      <c r="J1573" s="0" t="s">
        <v>7206</v>
      </c>
      <c r="K1573" s="0" t="s">
        <v>144</v>
      </c>
      <c r="L1573" s="0"/>
      <c r="M1573" s="0" t="s">
        <v>7207</v>
      </c>
      <c r="N1573" s="0" t="str">
        <f aca="false">RIGHT(M1573,LEN(M1573)-FIND(" ",M1573))</f>
        <v>MAHONING AVE NW</v>
      </c>
      <c r="P1573" s="0" t="s">
        <v>146</v>
      </c>
      <c r="Q1573" s="0" t="s">
        <v>147</v>
      </c>
      <c r="R1573" s="0" t="n">
        <v>44483</v>
      </c>
      <c r="AD1573" s="0" t="s">
        <v>148</v>
      </c>
      <c r="AE1573" s="0" t="s">
        <v>149</v>
      </c>
      <c r="AF1573" s="0" t="s">
        <v>150</v>
      </c>
      <c r="AH1573" s="0" t="n">
        <v>14</v>
      </c>
      <c r="AI1573" s="0" t="n">
        <v>11</v>
      </c>
      <c r="AN1573" s="0" t="s">
        <v>146</v>
      </c>
      <c r="AO1573" s="0" t="s">
        <v>151</v>
      </c>
      <c r="AP1573" s="0" t="s">
        <v>152</v>
      </c>
      <c r="AQ1573" s="0" t="n">
        <v>9</v>
      </c>
      <c r="AR1573" s="0" t="n">
        <v>64</v>
      </c>
      <c r="AS1573" s="0" t="n">
        <v>32</v>
      </c>
      <c r="AU1573" s="0" t="n">
        <f aca="false">COUNTA($BA$1631:$EH$1631)</f>
        <v>1</v>
      </c>
      <c r="AV1573" s="0" t="n">
        <f aca="false">COUNTIF($BA$1631:$EH$1631,"D")</f>
        <v>0</v>
      </c>
      <c r="AW1573" s="0" t="n">
        <f aca="false">COUNTIF($BA$1631:$EH$1631,"R")</f>
        <v>0</v>
      </c>
      <c r="AX1573" s="0" t="n">
        <f aca="false"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>0</v>
      </c>
      <c r="AY1573" s="0" t="n">
        <f aca="false">COUNTIF(DU1573:EH1573, "&lt;&gt;")</f>
        <v>0</v>
      </c>
      <c r="AZ1573" s="0" t="n">
        <f aca="false">IF(EH1573&lt;&gt;"",1,0)</f>
        <v>0</v>
      </c>
      <c r="BB1573" s="0" t="s">
        <v>153</v>
      </c>
    </row>
    <row r="1574" customFormat="false" ht="13.8" hidden="true" customHeight="false" outlineLevel="0" collapsed="false">
      <c r="A1574" s="0" t="s">
        <v>7208</v>
      </c>
      <c r="B1574" s="0" t="n">
        <v>78</v>
      </c>
      <c r="C1574" s="0" t="n">
        <v>417797</v>
      </c>
      <c r="D1574" s="0" t="s">
        <v>7209</v>
      </c>
      <c r="E1574" s="0" t="s">
        <v>7210</v>
      </c>
      <c r="F1574" s="0" t="str">
        <f aca="false">CONCATENATE(D1574," ",LEFT(H1574,4),"T=",AU1574,"D=",AV1574,"R=",AW1574,"M=",AX1574,"L=",AY1574,"B=",AZ1574)</f>
        <v>FISHER T=7D=0R=0M=0L=0B=0</v>
      </c>
      <c r="G1574" s="0" t="s">
        <v>335</v>
      </c>
      <c r="I1574" s="0" t="s">
        <v>7211</v>
      </c>
      <c r="J1574" s="0" t="s">
        <v>7212</v>
      </c>
      <c r="K1574" s="0" t="s">
        <v>175</v>
      </c>
      <c r="L1574" s="0"/>
      <c r="M1574" s="0" t="s">
        <v>7213</v>
      </c>
      <c r="N1574" s="0" t="str">
        <f aca="false">RIGHT(M1574,LEN(M1574)-FIND(" ",M1574))</f>
        <v>MAHONING AVE NW</v>
      </c>
      <c r="P1574" s="0" t="s">
        <v>146</v>
      </c>
      <c r="Q1574" s="0" t="s">
        <v>147</v>
      </c>
      <c r="R1574" s="0" t="n">
        <v>44483</v>
      </c>
      <c r="AD1574" s="0" t="s">
        <v>148</v>
      </c>
      <c r="AE1574" s="0" t="s">
        <v>149</v>
      </c>
      <c r="AF1574" s="0" t="s">
        <v>150</v>
      </c>
      <c r="AH1574" s="0" t="n">
        <v>14</v>
      </c>
      <c r="AI1574" s="0" t="n">
        <v>11</v>
      </c>
      <c r="AN1574" s="0" t="s">
        <v>146</v>
      </c>
      <c r="AO1574" s="0" t="s">
        <v>151</v>
      </c>
      <c r="AP1574" s="0" t="s">
        <v>152</v>
      </c>
      <c r="AQ1574" s="0" t="n">
        <v>9</v>
      </c>
      <c r="AR1574" s="0" t="n">
        <v>64</v>
      </c>
      <c r="AS1574" s="0" t="n">
        <v>32</v>
      </c>
      <c r="AU1574" s="0" t="n">
        <f aca="false">COUNTA($BA$1200:$EH$1200)</f>
        <v>7</v>
      </c>
      <c r="AV1574" s="0" t="n">
        <f aca="false">COUNTIF($BA$1200:$EH$1200,"D")</f>
        <v>0</v>
      </c>
      <c r="AW1574" s="0" t="n">
        <f aca="false">COUNTIF($BA$1200:$EH$1200,"R")</f>
        <v>0</v>
      </c>
      <c r="AX1574" s="0" t="n">
        <f aca="false"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>0</v>
      </c>
      <c r="AY1574" s="0" t="n">
        <f aca="false">COUNTIF(DU1574:EH1574, "&lt;&gt;")</f>
        <v>0</v>
      </c>
      <c r="AZ1574" s="0" t="n">
        <f aca="false">IF(EH1574&lt;&gt;"",1,0)</f>
        <v>0</v>
      </c>
      <c r="BB1574" s="0" t="s">
        <v>153</v>
      </c>
      <c r="DC1574" s="0" t="s">
        <v>154</v>
      </c>
    </row>
    <row r="1575" customFormat="false" ht="13.8" hidden="true" customHeight="false" outlineLevel="0" collapsed="false">
      <c r="A1575" s="0" t="s">
        <v>7214</v>
      </c>
      <c r="B1575" s="0" t="n">
        <v>78</v>
      </c>
      <c r="C1575" s="0" t="n">
        <v>310710</v>
      </c>
      <c r="D1575" s="0" t="s">
        <v>7215</v>
      </c>
      <c r="E1575" s="0" t="s">
        <v>6319</v>
      </c>
      <c r="F1575" s="0" t="str">
        <f aca="false">CONCATENATE(D1575," ",LEFT(H1575,4),"T=",AU1575,"D=",AV1575,"R=",AW1575,"M=",AX1575,"L=",AY1575,"B=",AZ1575)</f>
        <v>SEEMANN T=1D=0R=0M=0L=0B=0</v>
      </c>
      <c r="G1575" s="0" t="s">
        <v>241</v>
      </c>
      <c r="I1575" s="0" t="s">
        <v>7216</v>
      </c>
      <c r="J1575" s="0" t="s">
        <v>7217</v>
      </c>
      <c r="K1575" s="0" t="s">
        <v>175</v>
      </c>
      <c r="L1575" s="0"/>
      <c r="M1575" s="0" t="s">
        <v>7218</v>
      </c>
      <c r="N1575" s="0" t="str">
        <f aca="false">RIGHT(M1575,LEN(M1575)-FIND(" ",M1575))</f>
        <v>MAHONING AVE NW</v>
      </c>
      <c r="P1575" s="0" t="s">
        <v>146</v>
      </c>
      <c r="Q1575" s="0" t="s">
        <v>147</v>
      </c>
      <c r="R1575" s="0" t="n">
        <v>44483</v>
      </c>
      <c r="AD1575" s="0" t="s">
        <v>148</v>
      </c>
      <c r="AE1575" s="0" t="s">
        <v>149</v>
      </c>
      <c r="AF1575" s="0" t="s">
        <v>150</v>
      </c>
      <c r="AH1575" s="0" t="n">
        <v>14</v>
      </c>
      <c r="AI1575" s="0" t="n">
        <v>11</v>
      </c>
      <c r="AN1575" s="0" t="s">
        <v>146</v>
      </c>
      <c r="AO1575" s="0" t="s">
        <v>151</v>
      </c>
      <c r="AP1575" s="0" t="s">
        <v>152</v>
      </c>
      <c r="AQ1575" s="0" t="n">
        <v>9</v>
      </c>
      <c r="AR1575" s="0" t="n">
        <v>64</v>
      </c>
      <c r="AS1575" s="0" t="n">
        <v>32</v>
      </c>
      <c r="AU1575" s="0" t="n">
        <f aca="false">COUNTA($BA$1108:$EH$1108)</f>
        <v>1</v>
      </c>
      <c r="AV1575" s="0" t="n">
        <f aca="false">COUNTIF($BA$1108:$EH$1108,"D")</f>
        <v>0</v>
      </c>
      <c r="AW1575" s="0" t="n">
        <f aca="false">COUNTIF($BA$1108:$EH$1108,"R")</f>
        <v>0</v>
      </c>
      <c r="AX1575" s="0" t="n">
        <f aca="false"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>0</v>
      </c>
      <c r="AY1575" s="0" t="n">
        <f aca="false">COUNTIF(DU1575:EH1575, "&lt;&gt;")</f>
        <v>0</v>
      </c>
      <c r="AZ1575" s="0" t="n">
        <f aca="false">IF(EH1575&lt;&gt;"",1,0)</f>
        <v>0</v>
      </c>
      <c r="BB1575" s="0" t="s">
        <v>153</v>
      </c>
      <c r="BH1575" s="0" t="s">
        <v>154</v>
      </c>
      <c r="BL1575" s="0" t="s">
        <v>154</v>
      </c>
      <c r="CA1575" s="0" t="s">
        <v>154</v>
      </c>
    </row>
    <row r="1576" customFormat="false" ht="13.8" hidden="true" customHeight="false" outlineLevel="0" collapsed="false">
      <c r="A1576" s="0" t="s">
        <v>7219</v>
      </c>
      <c r="B1576" s="0" t="n">
        <v>78</v>
      </c>
      <c r="C1576" s="0" t="n">
        <v>310592</v>
      </c>
      <c r="D1576" s="0" t="s">
        <v>7215</v>
      </c>
      <c r="E1576" s="0" t="s">
        <v>6980</v>
      </c>
      <c r="F1576" s="0" t="str">
        <f aca="false">CONCATENATE(D1576," ",LEFT(H1576,4),"T=",AU1576,"D=",AV1576,"R=",AW1576,"M=",AX1576,"L=",AY1576,"B=",AZ1576)</f>
        <v>SEEMANN T=41D=13R=0M=0L=1B=0</v>
      </c>
      <c r="G1576" s="0" t="s">
        <v>3334</v>
      </c>
      <c r="I1576" s="0" t="s">
        <v>7220</v>
      </c>
      <c r="J1576" s="0" t="s">
        <v>2682</v>
      </c>
      <c r="K1576" s="0" t="s">
        <v>175</v>
      </c>
      <c r="L1576" s="0"/>
      <c r="M1576" s="0" t="s">
        <v>7218</v>
      </c>
      <c r="N1576" s="0" t="str">
        <f aca="false">RIGHT(M1576,LEN(M1576)-FIND(" ",M1576))</f>
        <v>MAHONING AVE NW</v>
      </c>
      <c r="P1576" s="0" t="s">
        <v>146</v>
      </c>
      <c r="Q1576" s="0" t="s">
        <v>147</v>
      </c>
      <c r="R1576" s="0" t="n">
        <v>44483</v>
      </c>
      <c r="AD1576" s="0" t="s">
        <v>148</v>
      </c>
      <c r="AE1576" s="0" t="s">
        <v>149</v>
      </c>
      <c r="AF1576" s="0" t="s">
        <v>150</v>
      </c>
      <c r="AH1576" s="0" t="n">
        <v>14</v>
      </c>
      <c r="AI1576" s="0" t="n">
        <v>11</v>
      </c>
      <c r="AN1576" s="0" t="s">
        <v>146</v>
      </c>
      <c r="AO1576" s="0" t="s">
        <v>151</v>
      </c>
      <c r="AP1576" s="0" t="s">
        <v>152</v>
      </c>
      <c r="AQ1576" s="0" t="n">
        <v>9</v>
      </c>
      <c r="AR1576" s="0" t="n">
        <v>64</v>
      </c>
      <c r="AS1576" s="0" t="n">
        <v>32</v>
      </c>
      <c r="AU1576" s="0" t="n">
        <f aca="false">COUNTA($BA$1511:$EH$1511)</f>
        <v>41</v>
      </c>
      <c r="AV1576" s="0" t="n">
        <f aca="false">COUNTIF($BA$1511:$EH$1511,"D")</f>
        <v>13</v>
      </c>
      <c r="AW1576" s="0" t="n">
        <f aca="false">COUNTIF($BA$1511:$EH$1511,"R")</f>
        <v>0</v>
      </c>
      <c r="AX1576" s="0" t="n">
        <f aca="false"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>0</v>
      </c>
      <c r="AY1576" s="0" t="n">
        <f aca="false">COUNTIF(DU1576:EH1576, "&lt;&gt;")</f>
        <v>1</v>
      </c>
      <c r="AZ1576" s="0" t="n">
        <f aca="false">IF(EH1576&lt;&gt;"",1,0)</f>
        <v>0</v>
      </c>
      <c r="BB1576" s="0" t="s">
        <v>153</v>
      </c>
      <c r="BH1576" s="0" t="s">
        <v>154</v>
      </c>
      <c r="BL1576" s="0" t="s">
        <v>154</v>
      </c>
      <c r="CA1576" s="0" t="s">
        <v>154</v>
      </c>
      <c r="DC1576" s="0" t="s">
        <v>154</v>
      </c>
      <c r="DN1576" s="0" t="s">
        <v>154</v>
      </c>
      <c r="EF1576" s="0" t="s">
        <v>154</v>
      </c>
    </row>
    <row r="1577" customFormat="false" ht="13.8" hidden="true" customHeight="false" outlineLevel="0" collapsed="false">
      <c r="A1577" s="0" t="s">
        <v>7221</v>
      </c>
      <c r="B1577" s="0" t="n">
        <v>78</v>
      </c>
      <c r="C1577" s="0" t="n">
        <v>347480</v>
      </c>
      <c r="D1577" s="0" t="s">
        <v>3903</v>
      </c>
      <c r="E1577" s="0" t="s">
        <v>7222</v>
      </c>
      <c r="F1577" s="0" t="str">
        <f aca="false">CONCATENATE(D1577," ",LEFT(H1577,4),"T=",AU1577,"D=",AV1577,"R=",AW1577,"M=",AX1577,"L=",AY1577,"B=",AZ1577)</f>
        <v>STEWART T=40D=14R=0M=0L=0B=0</v>
      </c>
      <c r="G1577" s="0" t="s">
        <v>7223</v>
      </c>
      <c r="I1577" s="0" t="s">
        <v>7224</v>
      </c>
      <c r="J1577" s="0" t="s">
        <v>7225</v>
      </c>
      <c r="K1577" s="0" t="s">
        <v>144</v>
      </c>
      <c r="L1577" s="0"/>
      <c r="M1577" s="0" t="s">
        <v>7218</v>
      </c>
      <c r="N1577" s="0" t="str">
        <f aca="false">RIGHT(M1577,LEN(M1577)-FIND(" ",M1577))</f>
        <v>MAHONING AVE NW</v>
      </c>
      <c r="P1577" s="0" t="s">
        <v>146</v>
      </c>
      <c r="Q1577" s="0" t="s">
        <v>147</v>
      </c>
      <c r="R1577" s="0" t="n">
        <v>44483</v>
      </c>
      <c r="AD1577" s="0" t="s">
        <v>148</v>
      </c>
      <c r="AE1577" s="0" t="s">
        <v>149</v>
      </c>
      <c r="AF1577" s="0" t="s">
        <v>150</v>
      </c>
      <c r="AH1577" s="0" t="n">
        <v>14</v>
      </c>
      <c r="AI1577" s="0" t="n">
        <v>11</v>
      </c>
      <c r="AN1577" s="0" t="s">
        <v>146</v>
      </c>
      <c r="AO1577" s="0" t="s">
        <v>151</v>
      </c>
      <c r="AP1577" s="0" t="s">
        <v>152</v>
      </c>
      <c r="AQ1577" s="0" t="n">
        <v>9</v>
      </c>
      <c r="AR1577" s="0" t="n">
        <v>64</v>
      </c>
      <c r="AS1577" s="0" t="n">
        <v>32</v>
      </c>
      <c r="AU1577" s="0" t="n">
        <f aca="false">COUNTA($BA$1812:$EH$1812)</f>
        <v>40</v>
      </c>
      <c r="AV1577" s="0" t="n">
        <f aca="false">COUNTIF($BA$1812:$EH$1812,"D")</f>
        <v>14</v>
      </c>
      <c r="AW1577" s="0" t="n">
        <f aca="false">COUNTIF($BA$1812:$EH$1812,"R")</f>
        <v>0</v>
      </c>
      <c r="AX1577" s="0" t="n">
        <f aca="false"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>0</v>
      </c>
      <c r="AY1577" s="0" t="n">
        <f aca="false">COUNTIF(DU1577:EH1577, "&lt;&gt;")</f>
        <v>0</v>
      </c>
      <c r="AZ1577" s="0" t="n">
        <f aca="false">IF(EH1577&lt;&gt;"",1,0)</f>
        <v>0</v>
      </c>
      <c r="BB1577" s="0" t="s">
        <v>153</v>
      </c>
    </row>
    <row r="1578" customFormat="false" ht="13.8" hidden="false" customHeight="false" outlineLevel="0" collapsed="false">
      <c r="A1578" s="0" t="s">
        <v>7226</v>
      </c>
      <c r="B1578" s="0" t="n">
        <v>78</v>
      </c>
      <c r="C1578" s="0" t="n">
        <v>411701</v>
      </c>
      <c r="D1578" s="0" t="s">
        <v>2248</v>
      </c>
      <c r="E1578" s="0" t="s">
        <v>1117</v>
      </c>
      <c r="F1578" s="0" t="str">
        <f aca="false">CONCATENATE(D1578," ",LEFT(H1578,4),"T=",AU1578,"D=",AV1578,"R=",AW1578,"M=",AX1578,"L=",AY1578,"B=",AZ1578)</f>
        <v>COX T=1D=0R=0M=1L=6B=1</v>
      </c>
      <c r="G1578" s="0" t="s">
        <v>297</v>
      </c>
      <c r="I1578" s="0" t="s">
        <v>7227</v>
      </c>
      <c r="J1578" s="0" t="s">
        <v>2548</v>
      </c>
      <c r="K1578" s="0" t="s">
        <v>175</v>
      </c>
      <c r="L1578" s="1" t="s">
        <v>176</v>
      </c>
      <c r="M1578" s="0" t="s">
        <v>7228</v>
      </c>
      <c r="N1578" s="0" t="str">
        <f aca="false">RIGHT(M1578,LEN(M1578)-FIND(" ",M1578))</f>
        <v>MAHONING AVE NW</v>
      </c>
      <c r="P1578" s="0" t="s">
        <v>146</v>
      </c>
      <c r="Q1578" s="0" t="s">
        <v>147</v>
      </c>
      <c r="R1578" s="0" t="n">
        <v>44483</v>
      </c>
      <c r="AD1578" s="0" t="s">
        <v>148</v>
      </c>
      <c r="AE1578" s="0" t="s">
        <v>149</v>
      </c>
      <c r="AF1578" s="0" t="s">
        <v>150</v>
      </c>
      <c r="AH1578" s="0" t="n">
        <v>14</v>
      </c>
      <c r="AI1578" s="0" t="n">
        <v>11</v>
      </c>
      <c r="AN1578" s="0" t="s">
        <v>146</v>
      </c>
      <c r="AO1578" s="0" t="s">
        <v>151</v>
      </c>
      <c r="AP1578" s="0" t="s">
        <v>152</v>
      </c>
      <c r="AQ1578" s="0" t="n">
        <v>9</v>
      </c>
      <c r="AR1578" s="0" t="n">
        <v>64</v>
      </c>
      <c r="AS1578" s="0" t="n">
        <v>32</v>
      </c>
      <c r="AU1578" s="0" t="n">
        <f aca="false">COUNTA($BA$1170:$EH$1170)</f>
        <v>1</v>
      </c>
      <c r="AV1578" s="0" t="n">
        <f aca="false">COUNTIF($BA$1170:$EH$1170,"D")</f>
        <v>0</v>
      </c>
      <c r="AW1578" s="0" t="n">
        <f aca="false">COUNTIF($BA$1170:$EH$1170,"R")</f>
        <v>0</v>
      </c>
      <c r="AX1578" s="0" t="n">
        <f aca="false"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>1</v>
      </c>
      <c r="AY1578" s="0" t="n">
        <f aca="false">COUNTIF(DU1578:EH1578, "&lt;&gt;")</f>
        <v>6</v>
      </c>
      <c r="AZ1578" s="0" t="n">
        <f aca="false">IF(EH1578&lt;&gt;"",1,0)</f>
        <v>1</v>
      </c>
      <c r="BB1578" s="0" t="s">
        <v>153</v>
      </c>
      <c r="BD1578" s="0" t="s">
        <v>154</v>
      </c>
      <c r="BE1578" s="0" t="s">
        <v>154</v>
      </c>
      <c r="BF1578" s="0" t="s">
        <v>154</v>
      </c>
      <c r="BH1578" s="0" t="s">
        <v>154</v>
      </c>
      <c r="BJ1578" s="0" t="s">
        <v>154</v>
      </c>
      <c r="BL1578" s="0" t="s">
        <v>154</v>
      </c>
      <c r="BP1578" s="0" t="s">
        <v>154</v>
      </c>
      <c r="BS1578" s="0" t="s">
        <v>154</v>
      </c>
      <c r="BV1578" s="0" t="s">
        <v>154</v>
      </c>
      <c r="BY1578" s="0" t="s">
        <v>176</v>
      </c>
      <c r="CA1578" s="0" t="s">
        <v>154</v>
      </c>
      <c r="CC1578" s="0" t="s">
        <v>155</v>
      </c>
      <c r="CG1578" s="0" t="s">
        <v>154</v>
      </c>
      <c r="CK1578" s="0" t="s">
        <v>154</v>
      </c>
      <c r="CN1578" s="0" t="s">
        <v>154</v>
      </c>
      <c r="CZ1578" s="0" t="s">
        <v>176</v>
      </c>
      <c r="DC1578" s="0" t="s">
        <v>154</v>
      </c>
      <c r="DF1578" s="0" t="s">
        <v>154</v>
      </c>
      <c r="DI1578" s="0" t="s">
        <v>154</v>
      </c>
      <c r="DL1578" s="0" t="s">
        <v>154</v>
      </c>
      <c r="DN1578" s="0" t="s">
        <v>154</v>
      </c>
      <c r="DR1578" s="0" t="s">
        <v>154</v>
      </c>
      <c r="DS1578" s="0" t="s">
        <v>176</v>
      </c>
      <c r="DU1578" s="0" t="s">
        <v>154</v>
      </c>
      <c r="DX1578" s="0" t="s">
        <v>154</v>
      </c>
      <c r="EA1578" s="0" t="s">
        <v>154</v>
      </c>
      <c r="ED1578" s="0" t="s">
        <v>176</v>
      </c>
      <c r="EF1578" s="0" t="s">
        <v>154</v>
      </c>
      <c r="EH1578" s="0" t="s">
        <v>154</v>
      </c>
    </row>
    <row r="1579" customFormat="false" ht="13.8" hidden="true" customHeight="false" outlineLevel="0" collapsed="false">
      <c r="A1579" s="0" t="s">
        <v>7229</v>
      </c>
      <c r="B1579" s="0" t="n">
        <v>78</v>
      </c>
      <c r="C1579" s="0" t="n">
        <v>407743</v>
      </c>
      <c r="D1579" s="0" t="s">
        <v>2248</v>
      </c>
      <c r="E1579" s="0" t="s">
        <v>7230</v>
      </c>
      <c r="F1579" s="0" t="str">
        <f aca="false">CONCATENATE(D1579," ",LEFT(H1579,4),"T=",AU1579,"D=",AV1579,"R=",AW1579,"M=",AX1579,"L=",AY1579,"B=",AZ1579)</f>
        <v>COX T=22D=6R=0M=0L=0B=0</v>
      </c>
      <c r="G1579" s="0" t="s">
        <v>166</v>
      </c>
      <c r="I1579" s="0" t="s">
        <v>7231</v>
      </c>
      <c r="J1579" s="0" t="s">
        <v>7232</v>
      </c>
      <c r="K1579" s="0" t="s">
        <v>175</v>
      </c>
      <c r="L1579" s="0"/>
      <c r="M1579" s="0" t="s">
        <v>7228</v>
      </c>
      <c r="N1579" s="0" t="str">
        <f aca="false">RIGHT(M1579,LEN(M1579)-FIND(" ",M1579))</f>
        <v>MAHONING AVE NW</v>
      </c>
      <c r="P1579" s="0" t="s">
        <v>146</v>
      </c>
      <c r="Q1579" s="0" t="s">
        <v>147</v>
      </c>
      <c r="R1579" s="0" t="n">
        <v>44483</v>
      </c>
      <c r="AD1579" s="0" t="s">
        <v>148</v>
      </c>
      <c r="AE1579" s="0" t="s">
        <v>149</v>
      </c>
      <c r="AF1579" s="0" t="s">
        <v>150</v>
      </c>
      <c r="AH1579" s="0" t="n">
        <v>14</v>
      </c>
      <c r="AI1579" s="0" t="n">
        <v>11</v>
      </c>
      <c r="AN1579" s="0" t="s">
        <v>146</v>
      </c>
      <c r="AO1579" s="0" t="s">
        <v>151</v>
      </c>
      <c r="AP1579" s="0" t="s">
        <v>152</v>
      </c>
      <c r="AQ1579" s="0" t="n">
        <v>9</v>
      </c>
      <c r="AR1579" s="0" t="n">
        <v>64</v>
      </c>
      <c r="AS1579" s="0" t="n">
        <v>32</v>
      </c>
      <c r="AU1579" s="0" t="n">
        <f aca="false">COUNTA($BA$1468:$EH$1468)</f>
        <v>22</v>
      </c>
      <c r="AV1579" s="0" t="n">
        <f aca="false">COUNTIF($BA$1468:$EH$1468,"D")</f>
        <v>6</v>
      </c>
      <c r="AW1579" s="0" t="n">
        <f aca="false">COUNTIF($BA$1468:$EH$1468,"R")</f>
        <v>0</v>
      </c>
      <c r="AX1579" s="0" t="n">
        <f aca="false"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>0</v>
      </c>
      <c r="AY1579" s="0" t="n">
        <f aca="false">COUNTIF(DU1579:EH1579, "&lt;&gt;")</f>
        <v>0</v>
      </c>
      <c r="AZ1579" s="0" t="n">
        <f aca="false">IF(EH1579&lt;&gt;"",1,0)</f>
        <v>0</v>
      </c>
      <c r="BB1579" s="0" t="s">
        <v>153</v>
      </c>
      <c r="DC1579" s="0" t="s">
        <v>154</v>
      </c>
    </row>
    <row r="1580" customFormat="false" ht="13.8" hidden="false" customHeight="false" outlineLevel="0" collapsed="false">
      <c r="A1580" s="0" t="s">
        <v>7233</v>
      </c>
      <c r="B1580" s="0" t="n">
        <v>78</v>
      </c>
      <c r="C1580" s="0" t="n">
        <v>256878</v>
      </c>
      <c r="D1580" s="0" t="s">
        <v>404</v>
      </c>
      <c r="E1580" s="0" t="s">
        <v>1840</v>
      </c>
      <c r="F1580" s="0" t="str">
        <f aca="false">CONCATENATE(D1580," ",LEFT(H1580,4),"T=",AU1580,"D=",AV1580,"R=",AW1580,"M=",AX1580,"L=",AY1580,"B=",AZ1580)</f>
        <v>CLARK T=1D=0R=0M=2L=5B=0</v>
      </c>
      <c r="G1580" s="0" t="s">
        <v>1022</v>
      </c>
      <c r="I1580" s="0" t="s">
        <v>7234</v>
      </c>
      <c r="J1580" s="0" t="s">
        <v>7235</v>
      </c>
      <c r="K1580" s="0" t="s">
        <v>175</v>
      </c>
      <c r="L1580" s="1" t="s">
        <v>155</v>
      </c>
      <c r="M1580" s="0" t="s">
        <v>7236</v>
      </c>
      <c r="N1580" s="0" t="str">
        <f aca="false">RIGHT(M1580,LEN(M1580)-FIND(" ",M1580))</f>
        <v>MAHONING AVE NW</v>
      </c>
      <c r="P1580" s="0" t="s">
        <v>146</v>
      </c>
      <c r="Q1580" s="0" t="s">
        <v>147</v>
      </c>
      <c r="R1580" s="0" t="n">
        <v>44483</v>
      </c>
      <c r="AD1580" s="0" t="s">
        <v>148</v>
      </c>
      <c r="AE1580" s="0" t="s">
        <v>149</v>
      </c>
      <c r="AF1580" s="0" t="s">
        <v>150</v>
      </c>
      <c r="AH1580" s="0" t="n">
        <v>14</v>
      </c>
      <c r="AI1580" s="0" t="n">
        <v>11</v>
      </c>
      <c r="AN1580" s="0" t="s">
        <v>146</v>
      </c>
      <c r="AO1580" s="0" t="s">
        <v>151</v>
      </c>
      <c r="AP1580" s="0" t="s">
        <v>152</v>
      </c>
      <c r="AQ1580" s="0" t="n">
        <v>9</v>
      </c>
      <c r="AR1580" s="0" t="n">
        <v>64</v>
      </c>
      <c r="AS1580" s="0" t="n">
        <v>32</v>
      </c>
      <c r="AU1580" s="0" t="n">
        <f aca="false">COUNTA($BA$1301:$EH$1301)</f>
        <v>1</v>
      </c>
      <c r="AV1580" s="0" t="n">
        <f aca="false">COUNTIF($BA$1301:$EH$1301,"D")</f>
        <v>0</v>
      </c>
      <c r="AW1580" s="0" t="n">
        <f aca="false">COUNTIF($BA$1301:$EH$1301,"R")</f>
        <v>0</v>
      </c>
      <c r="AX1580" s="0" t="n">
        <f aca="false"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>2</v>
      </c>
      <c r="AY1580" s="0" t="n">
        <f aca="false">COUNTIF(DU1580:EH1580, "&lt;&gt;")</f>
        <v>5</v>
      </c>
      <c r="AZ1580" s="0" t="n">
        <f aca="false">IF(EH1580&lt;&gt;"",1,0)</f>
        <v>0</v>
      </c>
      <c r="BB1580" s="0" t="s">
        <v>153</v>
      </c>
      <c r="BC1580" s="0" t="s">
        <v>154</v>
      </c>
      <c r="BD1580" s="0" t="s">
        <v>154</v>
      </c>
      <c r="BE1580" s="0" t="s">
        <v>154</v>
      </c>
      <c r="BF1580" s="0" t="s">
        <v>154</v>
      </c>
      <c r="BH1580" s="0" t="s">
        <v>154</v>
      </c>
      <c r="BI1580" s="0" t="s">
        <v>154</v>
      </c>
      <c r="BJ1580" s="0" t="s">
        <v>154</v>
      </c>
      <c r="BK1580" s="0" t="s">
        <v>154</v>
      </c>
      <c r="BL1580" s="0" t="s">
        <v>154</v>
      </c>
      <c r="BP1580" s="0" t="s">
        <v>154</v>
      </c>
      <c r="BR1580" s="0" t="s">
        <v>154</v>
      </c>
      <c r="BS1580" s="0" t="s">
        <v>154</v>
      </c>
      <c r="BV1580" s="0" t="s">
        <v>154</v>
      </c>
      <c r="BY1580" s="0" t="s">
        <v>155</v>
      </c>
      <c r="CA1580" s="0" t="s">
        <v>154</v>
      </c>
      <c r="CC1580" s="0" t="s">
        <v>155</v>
      </c>
      <c r="CG1580" s="0" t="s">
        <v>154</v>
      </c>
      <c r="CK1580" s="0" t="s">
        <v>154</v>
      </c>
      <c r="CN1580" s="0" t="s">
        <v>154</v>
      </c>
      <c r="CO1580" s="0" t="s">
        <v>155</v>
      </c>
      <c r="CP1580" s="0" t="s">
        <v>154</v>
      </c>
      <c r="CV1580" s="0" t="s">
        <v>154</v>
      </c>
      <c r="CY1580" s="0" t="s">
        <v>154</v>
      </c>
      <c r="CZ1580" s="0" t="s">
        <v>155</v>
      </c>
      <c r="DC1580" s="0" t="s">
        <v>154</v>
      </c>
      <c r="DF1580" s="0" t="s">
        <v>154</v>
      </c>
      <c r="DG1580" s="0" t="s">
        <v>155</v>
      </c>
      <c r="DI1580" s="0" t="s">
        <v>154</v>
      </c>
      <c r="DL1580" s="0" t="s">
        <v>154</v>
      </c>
      <c r="DM1580" s="0" t="s">
        <v>155</v>
      </c>
      <c r="DN1580" s="0" t="s">
        <v>154</v>
      </c>
      <c r="DO1580" s="0" t="s">
        <v>155</v>
      </c>
      <c r="DR1580" s="0" t="s">
        <v>154</v>
      </c>
      <c r="DS1580" s="0" t="s">
        <v>155</v>
      </c>
      <c r="DU1580" s="0" t="s">
        <v>154</v>
      </c>
      <c r="DX1580" s="0" t="s">
        <v>154</v>
      </c>
      <c r="EA1580" s="0" t="s">
        <v>154</v>
      </c>
      <c r="ED1580" s="0" t="s">
        <v>155</v>
      </c>
      <c r="EF1580" s="0" t="s">
        <v>154</v>
      </c>
    </row>
    <row r="1581" customFormat="false" ht="13.8" hidden="true" customHeight="false" outlineLevel="0" collapsed="false">
      <c r="A1581" s="0" t="s">
        <v>7237</v>
      </c>
      <c r="B1581" s="0" t="n">
        <v>78</v>
      </c>
      <c r="C1581" s="0" t="n">
        <v>342322</v>
      </c>
      <c r="D1581" s="0" t="s">
        <v>7238</v>
      </c>
      <c r="E1581" s="0" t="s">
        <v>1830</v>
      </c>
      <c r="F1581" s="0" t="str">
        <f aca="false">CONCATENATE(D1581," ",LEFT(H1581,4),"T=",AU1581,"D=",AV1581,"R=",AW1581,"M=",AX1581,"L=",AY1581,"B=",AZ1581)</f>
        <v>BLUNK T=2D=0R=0M=0L=0B=0</v>
      </c>
      <c r="G1581" s="0" t="s">
        <v>159</v>
      </c>
      <c r="I1581" s="0" t="s">
        <v>7239</v>
      </c>
      <c r="J1581" s="0" t="s">
        <v>7240</v>
      </c>
      <c r="K1581" s="0" t="s">
        <v>144</v>
      </c>
      <c r="L1581" s="0"/>
      <c r="M1581" s="0" t="s">
        <v>7241</v>
      </c>
      <c r="N1581" s="0" t="str">
        <f aca="false">RIGHT(M1581,LEN(M1581)-FIND(" ",M1581))</f>
        <v>MAHONING AVE NW</v>
      </c>
      <c r="P1581" s="0" t="s">
        <v>146</v>
      </c>
      <c r="Q1581" s="0" t="s">
        <v>147</v>
      </c>
      <c r="R1581" s="0" t="n">
        <v>44483</v>
      </c>
      <c r="AD1581" s="0" t="s">
        <v>148</v>
      </c>
      <c r="AE1581" s="0" t="s">
        <v>149</v>
      </c>
      <c r="AF1581" s="0" t="s">
        <v>150</v>
      </c>
      <c r="AH1581" s="0" t="n">
        <v>14</v>
      </c>
      <c r="AI1581" s="0" t="n">
        <v>11</v>
      </c>
      <c r="AN1581" s="0" t="s">
        <v>146</v>
      </c>
      <c r="AO1581" s="0" t="s">
        <v>151</v>
      </c>
      <c r="AP1581" s="0" t="s">
        <v>152</v>
      </c>
      <c r="AQ1581" s="0" t="n">
        <v>9</v>
      </c>
      <c r="AR1581" s="0" t="n">
        <v>64</v>
      </c>
      <c r="AS1581" s="0" t="n">
        <v>32</v>
      </c>
      <c r="AU1581" s="0" t="n">
        <f aca="false">COUNTA($BA$1628:$EH$1628)</f>
        <v>2</v>
      </c>
      <c r="AV1581" s="0" t="n">
        <f aca="false">COUNTIF($BA$1628:$EH$1628,"D")</f>
        <v>0</v>
      </c>
      <c r="AW1581" s="0" t="n">
        <f aca="false">COUNTIF($BA$1628:$EH$1628,"R")</f>
        <v>0</v>
      </c>
      <c r="AX1581" s="0" t="n">
        <f aca="false"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>0</v>
      </c>
      <c r="AY1581" s="0" t="n">
        <f aca="false">COUNTIF(DU1581:EH1581, "&lt;&gt;")</f>
        <v>0</v>
      </c>
      <c r="AZ1581" s="0" t="n">
        <f aca="false">IF(EH1581&lt;&gt;"",1,0)</f>
        <v>0</v>
      </c>
      <c r="BB1581" s="0" t="s">
        <v>153</v>
      </c>
      <c r="DC1581" s="0" t="s">
        <v>154</v>
      </c>
    </row>
    <row r="1582" customFormat="false" ht="13.8" hidden="true" customHeight="false" outlineLevel="0" collapsed="false">
      <c r="A1582" s="0" t="s">
        <v>7242</v>
      </c>
      <c r="B1582" s="0" t="n">
        <v>78</v>
      </c>
      <c r="C1582" s="0" t="n">
        <v>450989</v>
      </c>
      <c r="D1582" s="0" t="s">
        <v>333</v>
      </c>
      <c r="E1582" s="0" t="s">
        <v>7243</v>
      </c>
      <c r="F1582" s="0" t="str">
        <f aca="false">CONCATENATE(D1582," ",LEFT(H1582,4),"T=",AU1582,"D=",AV1582,"R=",AW1582,"M=",AX1582,"L=",AY1582,"B=",AZ1582)</f>
        <v>ADAMS T=1D=0R=0M=0L=0B=0</v>
      </c>
      <c r="G1582" s="0" t="s">
        <v>155</v>
      </c>
      <c r="I1582" s="0" t="s">
        <v>7244</v>
      </c>
      <c r="J1582" s="0" t="s">
        <v>3343</v>
      </c>
      <c r="K1582" s="0" t="s">
        <v>175</v>
      </c>
      <c r="L1582" s="0"/>
      <c r="M1582" s="0" t="s">
        <v>7245</v>
      </c>
      <c r="N1582" s="0" t="str">
        <f aca="false">RIGHT(M1582,LEN(M1582)-FIND(" ",M1582))</f>
        <v>MAHONING AVE NW</v>
      </c>
      <c r="P1582" s="0" t="s">
        <v>146</v>
      </c>
      <c r="Q1582" s="0" t="s">
        <v>147</v>
      </c>
      <c r="R1582" s="0" t="n">
        <v>44483</v>
      </c>
      <c r="AD1582" s="0" t="s">
        <v>148</v>
      </c>
      <c r="AE1582" s="0" t="s">
        <v>149</v>
      </c>
      <c r="AF1582" s="0" t="s">
        <v>150</v>
      </c>
      <c r="AH1582" s="0" t="n">
        <v>14</v>
      </c>
      <c r="AI1582" s="0" t="n">
        <v>11</v>
      </c>
      <c r="AN1582" s="0" t="s">
        <v>146</v>
      </c>
      <c r="AO1582" s="0" t="s">
        <v>151</v>
      </c>
      <c r="AP1582" s="0" t="s">
        <v>152</v>
      </c>
      <c r="AQ1582" s="0" t="n">
        <v>9</v>
      </c>
      <c r="AR1582" s="0" t="n">
        <v>64</v>
      </c>
      <c r="AS1582" s="0" t="n">
        <v>32</v>
      </c>
      <c r="AU1582" s="0" t="n">
        <f aca="false">COUNTA($BA$1231:$EH$1231)</f>
        <v>1</v>
      </c>
      <c r="AV1582" s="0" t="n">
        <f aca="false">COUNTIF($BA$1231:$EH$1231,"D")</f>
        <v>0</v>
      </c>
      <c r="AW1582" s="0" t="n">
        <f aca="false">COUNTIF($BA$1231:$EH$1231,"R")</f>
        <v>0</v>
      </c>
      <c r="AX1582" s="0" t="n">
        <f aca="false"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>0</v>
      </c>
      <c r="AY1582" s="0" t="n">
        <f aca="false">COUNTIF(DU1582:EH1582, "&lt;&gt;")</f>
        <v>0</v>
      </c>
      <c r="AZ1582" s="0" t="n">
        <f aca="false">IF(EH1582&lt;&gt;"",1,0)</f>
        <v>0</v>
      </c>
      <c r="BB1582" s="0" t="s">
        <v>153</v>
      </c>
    </row>
    <row r="1583" customFormat="false" ht="13.8" hidden="true" customHeight="false" outlineLevel="0" collapsed="false">
      <c r="A1583" s="0" t="s">
        <v>7246</v>
      </c>
      <c r="B1583" s="0" t="n">
        <v>78</v>
      </c>
      <c r="C1583" s="0" t="n">
        <v>351609</v>
      </c>
      <c r="D1583" s="0" t="s">
        <v>949</v>
      </c>
      <c r="E1583" s="0" t="s">
        <v>981</v>
      </c>
      <c r="F1583" s="0" t="str">
        <f aca="false">CONCATENATE(D1583," ",LEFT(H1583,4),"T=",AU1583,"D=",AV1583,"R=",AW1583,"M=",AX1583,"L=",AY1583,"B=",AZ1583)</f>
        <v>RODGERS T=33D=4R=5M=0L=0B=0</v>
      </c>
      <c r="G1583" s="0" t="s">
        <v>176</v>
      </c>
      <c r="I1583" s="0" t="s">
        <v>3182</v>
      </c>
      <c r="J1583" s="0" t="s">
        <v>4150</v>
      </c>
      <c r="K1583" s="0" t="s">
        <v>175</v>
      </c>
      <c r="L1583" s="0"/>
      <c r="M1583" s="0" t="s">
        <v>7245</v>
      </c>
      <c r="N1583" s="0" t="str">
        <f aca="false">RIGHT(M1583,LEN(M1583)-FIND(" ",M1583))</f>
        <v>MAHONING AVE NW</v>
      </c>
      <c r="O1583" s="0" t="s">
        <v>1681</v>
      </c>
      <c r="P1583" s="0" t="s">
        <v>146</v>
      </c>
      <c r="Q1583" s="0" t="s">
        <v>147</v>
      </c>
      <c r="R1583" s="0" t="n">
        <v>44483</v>
      </c>
      <c r="AD1583" s="0" t="s">
        <v>148</v>
      </c>
      <c r="AE1583" s="0" t="s">
        <v>149</v>
      </c>
      <c r="AF1583" s="0" t="s">
        <v>150</v>
      </c>
      <c r="AH1583" s="0" t="n">
        <v>14</v>
      </c>
      <c r="AI1583" s="0" t="n">
        <v>11</v>
      </c>
      <c r="AN1583" s="0" t="s">
        <v>146</v>
      </c>
      <c r="AO1583" s="0" t="s">
        <v>151</v>
      </c>
      <c r="AP1583" s="0" t="s">
        <v>152</v>
      </c>
      <c r="AQ1583" s="0" t="n">
        <v>9</v>
      </c>
      <c r="AR1583" s="0" t="n">
        <v>64</v>
      </c>
      <c r="AS1583" s="0" t="n">
        <v>32</v>
      </c>
      <c r="AU1583" s="0" t="n">
        <f aca="false">COUNTA($BA$1332:$EH$1332)</f>
        <v>33</v>
      </c>
      <c r="AV1583" s="0" t="n">
        <f aca="false">COUNTIF($BA$1332:$EH$1332,"D")</f>
        <v>4</v>
      </c>
      <c r="AW1583" s="0" t="n">
        <f aca="false">COUNTIF($BA$1332:$EH$1332,"R")</f>
        <v>5</v>
      </c>
      <c r="AX1583" s="0" t="n">
        <f aca="false"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>0</v>
      </c>
      <c r="AY1583" s="0" t="n">
        <f aca="false">COUNTIF(DU1583:EH1583, "&lt;&gt;")</f>
        <v>0</v>
      </c>
      <c r="AZ1583" s="0" t="n">
        <f aca="false">IF(EH1583&lt;&gt;"",1,0)</f>
        <v>0</v>
      </c>
      <c r="BB1583" s="0" t="s">
        <v>153</v>
      </c>
      <c r="CA1583" s="0" t="s">
        <v>154</v>
      </c>
      <c r="CP1583" s="0" t="s">
        <v>154</v>
      </c>
      <c r="DC1583" s="0" t="s">
        <v>154</v>
      </c>
      <c r="DN1583" s="0" t="s">
        <v>154</v>
      </c>
    </row>
    <row r="1584" customFormat="false" ht="13.8" hidden="true" customHeight="false" outlineLevel="0" collapsed="false">
      <c r="A1584" s="0" t="s">
        <v>7247</v>
      </c>
      <c r="B1584" s="0" t="n">
        <v>78</v>
      </c>
      <c r="C1584" s="0" t="n">
        <v>345307</v>
      </c>
      <c r="D1584" s="0" t="s">
        <v>1677</v>
      </c>
      <c r="E1584" s="0" t="s">
        <v>7248</v>
      </c>
      <c r="F1584" s="0" t="str">
        <f aca="false">CONCATENATE(D1584," ",LEFT(H1584,4),"T=",AU1584,"D=",AV1584,"R=",AW1584,"M=",AX1584,"L=",AY1584,"B=",AZ1584)</f>
        <v>HUDSON T=20D=0R=1M=0L=0B=0</v>
      </c>
      <c r="G1584" s="0" t="s">
        <v>7249</v>
      </c>
      <c r="I1584" s="0" t="s">
        <v>7250</v>
      </c>
      <c r="J1584" s="0" t="s">
        <v>7251</v>
      </c>
      <c r="K1584" s="0" t="s">
        <v>175</v>
      </c>
      <c r="L1584" s="0"/>
      <c r="M1584" s="0" t="s">
        <v>7245</v>
      </c>
      <c r="N1584" s="0" t="str">
        <f aca="false">RIGHT(M1584,LEN(M1584)-FIND(" ",M1584))</f>
        <v>MAHONING AVE NW</v>
      </c>
      <c r="O1584" s="0" t="s">
        <v>192</v>
      </c>
      <c r="P1584" s="0" t="s">
        <v>146</v>
      </c>
      <c r="Q1584" s="0" t="s">
        <v>147</v>
      </c>
      <c r="R1584" s="0" t="n">
        <v>44483</v>
      </c>
      <c r="AD1584" s="0" t="s">
        <v>148</v>
      </c>
      <c r="AE1584" s="0" t="s">
        <v>149</v>
      </c>
      <c r="AF1584" s="0" t="s">
        <v>150</v>
      </c>
      <c r="AH1584" s="0" t="n">
        <v>14</v>
      </c>
      <c r="AI1584" s="0" t="n">
        <v>11</v>
      </c>
      <c r="AN1584" s="0" t="s">
        <v>146</v>
      </c>
      <c r="AO1584" s="0" t="s">
        <v>151</v>
      </c>
      <c r="AP1584" s="0" t="s">
        <v>152</v>
      </c>
      <c r="AQ1584" s="0" t="n">
        <v>9</v>
      </c>
      <c r="AR1584" s="0" t="n">
        <v>64</v>
      </c>
      <c r="AS1584" s="0" t="n">
        <v>32</v>
      </c>
      <c r="AU1584" s="0" t="n">
        <f aca="false">COUNTA($BA$1430:$EH$1430)</f>
        <v>20</v>
      </c>
      <c r="AV1584" s="0" t="n">
        <f aca="false">COUNTIF($BA$1430:$EH$1430,"D")</f>
        <v>0</v>
      </c>
      <c r="AW1584" s="0" t="n">
        <f aca="false">COUNTIF($BA$1430:$EH$1430,"R")</f>
        <v>1</v>
      </c>
      <c r="AX1584" s="0" t="n">
        <f aca="false"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>0</v>
      </c>
      <c r="AY1584" s="0" t="n">
        <f aca="false">COUNTIF(DU1584:EH1584, "&lt;&gt;")</f>
        <v>0</v>
      </c>
      <c r="AZ1584" s="0" t="n">
        <f aca="false">IF(EH1584&lt;&gt;"",1,0)</f>
        <v>0</v>
      </c>
      <c r="BB1584" s="0" t="s">
        <v>153</v>
      </c>
      <c r="CA1584" s="0" t="s">
        <v>154</v>
      </c>
      <c r="CY1584" s="0" t="s">
        <v>154</v>
      </c>
      <c r="CZ1584" s="0" t="s">
        <v>155</v>
      </c>
    </row>
    <row r="1585" customFormat="false" ht="13.8" hidden="true" customHeight="false" outlineLevel="0" collapsed="false">
      <c r="A1585" s="0" t="s">
        <v>7252</v>
      </c>
      <c r="B1585" s="0" t="n">
        <v>78</v>
      </c>
      <c r="C1585" s="0" t="n">
        <v>368528</v>
      </c>
      <c r="D1585" s="0" t="s">
        <v>290</v>
      </c>
      <c r="E1585" s="0" t="s">
        <v>2209</v>
      </c>
      <c r="F1585" s="0" t="str">
        <f aca="false">CONCATENATE(D1585," ",LEFT(H1585,4),"T=",AU1585,"D=",AV1585,"R=",AW1585,"M=",AX1585,"L=",AY1585,"B=",AZ1585)</f>
        <v>THOMPSON T=4D=0R=0M=0L=0B=0</v>
      </c>
      <c r="G1585" s="0" t="s">
        <v>216</v>
      </c>
      <c r="I1585" s="0" t="s">
        <v>3096</v>
      </c>
      <c r="J1585" s="0" t="s">
        <v>3665</v>
      </c>
      <c r="K1585" s="0" t="s">
        <v>144</v>
      </c>
      <c r="L1585" s="0"/>
      <c r="M1585" s="0" t="s">
        <v>7245</v>
      </c>
      <c r="N1585" s="0" t="str">
        <f aca="false">RIGHT(M1585,LEN(M1585)-FIND(" ",M1585))</f>
        <v>MAHONING AVE NW</v>
      </c>
      <c r="O1585" s="0" t="s">
        <v>184</v>
      </c>
      <c r="P1585" s="0" t="s">
        <v>146</v>
      </c>
      <c r="Q1585" s="0" t="s">
        <v>147</v>
      </c>
      <c r="R1585" s="0" t="n">
        <v>44483</v>
      </c>
      <c r="AD1585" s="0" t="s">
        <v>148</v>
      </c>
      <c r="AE1585" s="0" t="s">
        <v>149</v>
      </c>
      <c r="AF1585" s="0" t="s">
        <v>150</v>
      </c>
      <c r="AH1585" s="0" t="n">
        <v>14</v>
      </c>
      <c r="AI1585" s="0" t="n">
        <v>11</v>
      </c>
      <c r="AN1585" s="0" t="s">
        <v>146</v>
      </c>
      <c r="AO1585" s="0" t="s">
        <v>151</v>
      </c>
      <c r="AP1585" s="0" t="s">
        <v>152</v>
      </c>
      <c r="AQ1585" s="0" t="n">
        <v>9</v>
      </c>
      <c r="AR1585" s="0" t="n">
        <v>64</v>
      </c>
      <c r="AS1585" s="0" t="n">
        <v>32</v>
      </c>
      <c r="AU1585" s="0" t="n">
        <f aca="false">COUNTA($BA$1552:$EH$1552)</f>
        <v>4</v>
      </c>
      <c r="AV1585" s="0" t="n">
        <f aca="false">COUNTIF($BA$1552:$EH$1552,"D")</f>
        <v>0</v>
      </c>
      <c r="AW1585" s="0" t="n">
        <f aca="false">COUNTIF($BA$1552:$EH$1552,"R")</f>
        <v>0</v>
      </c>
      <c r="AX1585" s="0" t="n">
        <f aca="false"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>0</v>
      </c>
      <c r="AY1585" s="0" t="n">
        <f aca="false">COUNTIF(DU1585:EH1585, "&lt;&gt;")</f>
        <v>0</v>
      </c>
      <c r="AZ1585" s="0" t="n">
        <f aca="false">IF(EH1585&lt;&gt;"",1,0)</f>
        <v>0</v>
      </c>
      <c r="BB1585" s="0" t="s">
        <v>153</v>
      </c>
    </row>
    <row r="1586" customFormat="false" ht="13.8" hidden="false" customHeight="false" outlineLevel="0" collapsed="false">
      <c r="A1586" s="0" t="s">
        <v>7253</v>
      </c>
      <c r="B1586" s="0" t="n">
        <v>78</v>
      </c>
      <c r="C1586" s="0" t="n">
        <v>81182</v>
      </c>
      <c r="D1586" s="0" t="s">
        <v>7254</v>
      </c>
      <c r="E1586" s="0" t="s">
        <v>165</v>
      </c>
      <c r="F1586" s="0" t="str">
        <f aca="false">CONCATENATE(D1586," ",LEFT(H1586,4),"T=",AU1586,"D=",AV1586,"R=",AW1586,"M=",AX1586,"L=",AY1586,"B=",AZ1586)</f>
        <v>SAVANYU T=6D=3R=0M=0L=4B=0</v>
      </c>
      <c r="G1586" s="0" t="s">
        <v>939</v>
      </c>
      <c r="I1586" s="0" t="s">
        <v>7255</v>
      </c>
      <c r="J1586" s="0" t="s">
        <v>7256</v>
      </c>
      <c r="K1586" s="0" t="s">
        <v>175</v>
      </c>
      <c r="M1586" s="0" t="s">
        <v>7245</v>
      </c>
      <c r="N1586" s="0" t="str">
        <f aca="false">RIGHT(M1586,LEN(M1586)-FIND(" ",M1586))</f>
        <v>MAHONING AVE NW</v>
      </c>
      <c r="O1586" s="0" t="s">
        <v>7257</v>
      </c>
      <c r="P1586" s="0" t="s">
        <v>146</v>
      </c>
      <c r="Q1586" s="0" t="s">
        <v>147</v>
      </c>
      <c r="R1586" s="0" t="n">
        <v>44483</v>
      </c>
      <c r="AD1586" s="0" t="s">
        <v>148</v>
      </c>
      <c r="AE1586" s="0" t="s">
        <v>149</v>
      </c>
      <c r="AF1586" s="0" t="s">
        <v>150</v>
      </c>
      <c r="AH1586" s="0" t="n">
        <v>14</v>
      </c>
      <c r="AI1586" s="0" t="n">
        <v>11</v>
      </c>
      <c r="AN1586" s="0" t="s">
        <v>146</v>
      </c>
      <c r="AO1586" s="0" t="s">
        <v>151</v>
      </c>
      <c r="AP1586" s="0" t="s">
        <v>152</v>
      </c>
      <c r="AQ1586" s="0" t="n">
        <v>9</v>
      </c>
      <c r="AR1586" s="0" t="n">
        <v>64</v>
      </c>
      <c r="AS1586" s="0" t="n">
        <v>32</v>
      </c>
      <c r="AU1586" s="0" t="n">
        <f aca="false">COUNTA($BA$2061:$EH$2061)</f>
        <v>6</v>
      </c>
      <c r="AV1586" s="0" t="n">
        <f aca="false">COUNTIF($BA$2061:$EH$2061,"D")</f>
        <v>3</v>
      </c>
      <c r="AW1586" s="0" t="n">
        <f aca="false">COUNTIF($BA$2061:$EH$2061,"R")</f>
        <v>0</v>
      </c>
      <c r="AX1586" s="0" t="n">
        <f aca="false"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>0</v>
      </c>
      <c r="AY1586" s="0" t="n">
        <f aca="false">COUNTIF(DU1586:EH1586, "&lt;&gt;")</f>
        <v>4</v>
      </c>
      <c r="AZ1586" s="0" t="n">
        <f aca="false">IF(EH1586&lt;&gt;"",1,0)</f>
        <v>0</v>
      </c>
      <c r="BB1586" s="0" t="s">
        <v>153</v>
      </c>
      <c r="BD1586" s="0" t="s">
        <v>154</v>
      </c>
      <c r="BH1586" s="0" t="s">
        <v>154</v>
      </c>
      <c r="BL1586" s="0" t="s">
        <v>154</v>
      </c>
      <c r="BS1586" s="0" t="s">
        <v>154</v>
      </c>
      <c r="BY1586" s="0" t="s">
        <v>155</v>
      </c>
      <c r="CA1586" s="0" t="s">
        <v>154</v>
      </c>
      <c r="CK1586" s="0" t="s">
        <v>154</v>
      </c>
      <c r="CN1586" s="0" t="s">
        <v>154</v>
      </c>
      <c r="CP1586" s="0" t="s">
        <v>154</v>
      </c>
      <c r="CY1586" s="0" t="s">
        <v>154</v>
      </c>
      <c r="CZ1586" s="0" t="s">
        <v>176</v>
      </c>
      <c r="DC1586" s="0" t="s">
        <v>154</v>
      </c>
      <c r="DI1586" s="0" t="s">
        <v>154</v>
      </c>
      <c r="DN1586" s="0" t="s">
        <v>154</v>
      </c>
      <c r="DU1586" s="0" t="s">
        <v>154</v>
      </c>
      <c r="DX1586" s="0" t="s">
        <v>154</v>
      </c>
      <c r="EA1586" s="0" t="s">
        <v>154</v>
      </c>
      <c r="EF1586" s="0" t="s">
        <v>154</v>
      </c>
    </row>
    <row r="1587" customFormat="false" ht="13.8" hidden="true" customHeight="false" outlineLevel="0" collapsed="false">
      <c r="A1587" s="0" t="s">
        <v>7258</v>
      </c>
      <c r="B1587" s="0" t="n">
        <v>78</v>
      </c>
      <c r="C1587" s="0" t="n">
        <v>419368</v>
      </c>
      <c r="D1587" s="0" t="s">
        <v>453</v>
      </c>
      <c r="E1587" s="0" t="s">
        <v>1232</v>
      </c>
      <c r="F1587" s="0" t="str">
        <f aca="false">CONCATENATE(D1587," ",LEFT(H1587,4),"T=",AU1587,"D=",AV1587,"R=",AW1587,"M=",AX1587,"L=",AY1587,"B=",AZ1587)</f>
        <v>YOUNG T=3D=0R=0M=0L=0B=0</v>
      </c>
      <c r="G1587" s="0" t="s">
        <v>172</v>
      </c>
      <c r="I1587" s="0" t="s">
        <v>7259</v>
      </c>
      <c r="J1587" s="0" t="s">
        <v>4355</v>
      </c>
      <c r="K1587" s="0" t="s">
        <v>144</v>
      </c>
      <c r="L1587" s="0"/>
      <c r="M1587" s="0" t="s">
        <v>7260</v>
      </c>
      <c r="N1587" s="0" t="str">
        <f aca="false">RIGHT(M1587,LEN(M1587)-FIND(" ",M1587))</f>
        <v>MAHONING AVE NW</v>
      </c>
      <c r="O1587" s="0" t="s">
        <v>184</v>
      </c>
      <c r="P1587" s="0" t="s">
        <v>146</v>
      </c>
      <c r="Q1587" s="0" t="s">
        <v>147</v>
      </c>
      <c r="R1587" s="0" t="n">
        <v>44483</v>
      </c>
      <c r="AD1587" s="0" t="s">
        <v>148</v>
      </c>
      <c r="AE1587" s="0" t="s">
        <v>149</v>
      </c>
      <c r="AF1587" s="0" t="s">
        <v>150</v>
      </c>
      <c r="AH1587" s="0" t="n">
        <v>14</v>
      </c>
      <c r="AI1587" s="0" t="n">
        <v>11</v>
      </c>
      <c r="AN1587" s="0" t="s">
        <v>146</v>
      </c>
      <c r="AO1587" s="0" t="s">
        <v>151</v>
      </c>
      <c r="AP1587" s="0" t="s">
        <v>152</v>
      </c>
      <c r="AQ1587" s="0" t="n">
        <v>9</v>
      </c>
      <c r="AR1587" s="0" t="n">
        <v>64</v>
      </c>
      <c r="AS1587" s="0" t="n">
        <v>32</v>
      </c>
      <c r="AU1587" s="0" t="n">
        <f aca="false">COUNTA($BA$1302:$EH$1302)</f>
        <v>3</v>
      </c>
      <c r="AV1587" s="0" t="n">
        <f aca="false">COUNTIF($BA$1302:$EH$1302,"D")</f>
        <v>0</v>
      </c>
      <c r="AW1587" s="0" t="n">
        <f aca="false">COUNTIF($BA$1302:$EH$1302,"R")</f>
        <v>0</v>
      </c>
      <c r="AX1587" s="0" t="n">
        <f aca="false"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>0</v>
      </c>
      <c r="AY1587" s="0" t="n">
        <f aca="false">COUNTIF(DU1587:EH1587, "&lt;&gt;")</f>
        <v>0</v>
      </c>
      <c r="AZ1587" s="0" t="n">
        <f aca="false">IF(EH1587&lt;&gt;"",1,0)</f>
        <v>0</v>
      </c>
      <c r="BB1587" s="0" t="s">
        <v>153</v>
      </c>
    </row>
    <row r="1588" customFormat="false" ht="13.8" hidden="true" customHeight="false" outlineLevel="0" collapsed="false">
      <c r="A1588" s="0" t="s">
        <v>7261</v>
      </c>
      <c r="B1588" s="0" t="n">
        <v>78</v>
      </c>
      <c r="C1588" s="0" t="n">
        <v>405510</v>
      </c>
      <c r="D1588" s="0" t="s">
        <v>7262</v>
      </c>
      <c r="E1588" s="0" t="s">
        <v>1405</v>
      </c>
      <c r="F1588" s="0" t="str">
        <f aca="false">CONCATENATE(D1588," ",LEFT(H1588,4),"T=",AU1588,"D=",AV1588,"R=",AW1588,"M=",AX1588,"L=",AY1588,"B=",AZ1588)</f>
        <v>HANEY T=1D=0R=0M=0L=0B=0</v>
      </c>
      <c r="G1588" s="0" t="s">
        <v>7263</v>
      </c>
      <c r="I1588" s="0" t="s">
        <v>7264</v>
      </c>
      <c r="J1588" s="0" t="s">
        <v>7265</v>
      </c>
      <c r="K1588" s="0" t="s">
        <v>144</v>
      </c>
      <c r="L1588" s="0"/>
      <c r="M1588" s="0" t="s">
        <v>7260</v>
      </c>
      <c r="N1588" s="0" t="str">
        <f aca="false">RIGHT(M1588,LEN(M1588)-FIND(" ",M1588))</f>
        <v>MAHONING AVE NW</v>
      </c>
      <c r="O1588" s="0" t="s">
        <v>192</v>
      </c>
      <c r="P1588" s="0" t="s">
        <v>146</v>
      </c>
      <c r="Q1588" s="0" t="s">
        <v>147</v>
      </c>
      <c r="R1588" s="0" t="n">
        <v>44483</v>
      </c>
      <c r="AD1588" s="0" t="s">
        <v>148</v>
      </c>
      <c r="AE1588" s="0" t="s">
        <v>149</v>
      </c>
      <c r="AF1588" s="0" t="s">
        <v>150</v>
      </c>
      <c r="AH1588" s="0" t="n">
        <v>14</v>
      </c>
      <c r="AI1588" s="0" t="n">
        <v>11</v>
      </c>
      <c r="AN1588" s="0" t="s">
        <v>146</v>
      </c>
      <c r="AO1588" s="0" t="s">
        <v>151</v>
      </c>
      <c r="AP1588" s="0" t="s">
        <v>152</v>
      </c>
      <c r="AQ1588" s="0" t="n">
        <v>9</v>
      </c>
      <c r="AR1588" s="0" t="n">
        <v>64</v>
      </c>
      <c r="AS1588" s="0" t="n">
        <v>32</v>
      </c>
      <c r="AU1588" s="0" t="n">
        <f aca="false">COUNTA($BA$1409:$EH$1409)</f>
        <v>1</v>
      </c>
      <c r="AV1588" s="0" t="n">
        <f aca="false">COUNTIF($BA$1409:$EH$1409,"D")</f>
        <v>0</v>
      </c>
      <c r="AW1588" s="0" t="n">
        <f aca="false">COUNTIF($BA$1409:$EH$1409,"R")</f>
        <v>0</v>
      </c>
      <c r="AX1588" s="0" t="n">
        <f aca="false"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>0</v>
      </c>
      <c r="AY1588" s="0" t="n">
        <f aca="false">COUNTIF(DU1588:EH1588, "&lt;&gt;")</f>
        <v>0</v>
      </c>
      <c r="AZ1588" s="0" t="n">
        <f aca="false">IF(EH1588&lt;&gt;"",1,0)</f>
        <v>0</v>
      </c>
      <c r="BB1588" s="0" t="s">
        <v>153</v>
      </c>
      <c r="CY1588" s="0" t="s">
        <v>154</v>
      </c>
      <c r="CZ1588" s="0" t="s">
        <v>155</v>
      </c>
    </row>
    <row r="1589" customFormat="false" ht="13.8" hidden="true" customHeight="false" outlineLevel="0" collapsed="false">
      <c r="A1589" s="0" t="s">
        <v>7266</v>
      </c>
      <c r="B1589" s="0" t="n">
        <v>78</v>
      </c>
      <c r="C1589" s="0" t="n">
        <v>428328</v>
      </c>
      <c r="D1589" s="0" t="s">
        <v>7267</v>
      </c>
      <c r="E1589" s="0" t="s">
        <v>1210</v>
      </c>
      <c r="F1589" s="0" t="str">
        <f aca="false">CONCATENATE(D1589," ",LEFT(H1589,4),"T=",AU1589,"D=",AV1589,"R=",AW1589,"M=",AX1589,"L=",AY1589,"B=",AZ1589)</f>
        <v>HUFF T=3D=0R=0M=0L=1B=0</v>
      </c>
      <c r="G1589" s="0" t="s">
        <v>283</v>
      </c>
      <c r="I1589" s="0" t="s">
        <v>7268</v>
      </c>
      <c r="J1589" s="0" t="s">
        <v>3128</v>
      </c>
      <c r="K1589" s="0" t="s">
        <v>175</v>
      </c>
      <c r="L1589" s="0"/>
      <c r="M1589" s="0" t="s">
        <v>7260</v>
      </c>
      <c r="N1589" s="0" t="str">
        <f aca="false">RIGHT(M1589,LEN(M1589)-FIND(" ",M1589))</f>
        <v>MAHONING AVE NW</v>
      </c>
      <c r="O1589" s="0" t="s">
        <v>192</v>
      </c>
      <c r="P1589" s="0" t="s">
        <v>146</v>
      </c>
      <c r="Q1589" s="0" t="s">
        <v>147</v>
      </c>
      <c r="R1589" s="0" t="n">
        <v>44483</v>
      </c>
      <c r="AD1589" s="0" t="s">
        <v>148</v>
      </c>
      <c r="AE1589" s="0" t="s">
        <v>149</v>
      </c>
      <c r="AF1589" s="0" t="s">
        <v>150</v>
      </c>
      <c r="AH1589" s="0" t="n">
        <v>14</v>
      </c>
      <c r="AI1589" s="0" t="n">
        <v>11</v>
      </c>
      <c r="AN1589" s="0" t="s">
        <v>146</v>
      </c>
      <c r="AO1589" s="0" t="s">
        <v>151</v>
      </c>
      <c r="AP1589" s="0" t="s">
        <v>152</v>
      </c>
      <c r="AQ1589" s="0" t="n">
        <v>9</v>
      </c>
      <c r="AR1589" s="0" t="n">
        <v>64</v>
      </c>
      <c r="AS1589" s="0" t="n">
        <v>32</v>
      </c>
      <c r="AU1589" s="0" t="n">
        <f aca="false">COUNTA($BA$1416:$EH$1416)</f>
        <v>3</v>
      </c>
      <c r="AV1589" s="0" t="n">
        <f aca="false">COUNTIF($BA$1416:$EH$1416,"D")</f>
        <v>0</v>
      </c>
      <c r="AW1589" s="0" t="n">
        <f aca="false">COUNTIF($BA$1416:$EH$1416,"R")</f>
        <v>0</v>
      </c>
      <c r="AX1589" s="0" t="n">
        <f aca="false"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>0</v>
      </c>
      <c r="AY1589" s="0" t="n">
        <f aca="false">COUNTIF(DU1589:EH1589, "&lt;&gt;")</f>
        <v>1</v>
      </c>
      <c r="AZ1589" s="0" t="n">
        <f aca="false">IF(EH1589&lt;&gt;"",1,0)</f>
        <v>0</v>
      </c>
      <c r="BB1589" s="0" t="s">
        <v>153</v>
      </c>
      <c r="DI1589" s="0" t="s">
        <v>154</v>
      </c>
      <c r="DN1589" s="0" t="s">
        <v>154</v>
      </c>
      <c r="EF1589" s="0" t="s">
        <v>154</v>
      </c>
    </row>
    <row r="1590" customFormat="false" ht="13.8" hidden="true" customHeight="false" outlineLevel="0" collapsed="false">
      <c r="A1590" s="0" t="s">
        <v>7269</v>
      </c>
      <c r="B1590" s="0" t="n">
        <v>78</v>
      </c>
      <c r="C1590" s="0" t="n">
        <v>438283</v>
      </c>
      <c r="D1590" s="0" t="s">
        <v>675</v>
      </c>
      <c r="E1590" s="0" t="s">
        <v>7270</v>
      </c>
      <c r="F1590" s="0" t="str">
        <f aca="false">CONCATENATE(D1590," ",LEFT(H1590,4),"T=",AU1590,"D=",AV1590,"R=",AW1590,"M=",AX1590,"L=",AY1590,"B=",AZ1590)</f>
        <v>ANDERSON T=35D=0R=7M=0L=1B=0</v>
      </c>
      <c r="G1590" s="0" t="s">
        <v>297</v>
      </c>
      <c r="I1590" s="0" t="s">
        <v>7271</v>
      </c>
      <c r="J1590" s="0" t="s">
        <v>7272</v>
      </c>
      <c r="K1590" s="0" t="s">
        <v>175</v>
      </c>
      <c r="L1590" s="0"/>
      <c r="M1590" s="0" t="s">
        <v>7260</v>
      </c>
      <c r="N1590" s="0" t="str">
        <f aca="false">RIGHT(M1590,LEN(M1590)-FIND(" ",M1590))</f>
        <v>MAHONING AVE NW</v>
      </c>
      <c r="O1590" s="0" t="s">
        <v>184</v>
      </c>
      <c r="P1590" s="0" t="s">
        <v>146</v>
      </c>
      <c r="Q1590" s="0" t="s">
        <v>147</v>
      </c>
      <c r="R1590" s="0" t="n">
        <v>44483</v>
      </c>
      <c r="AD1590" s="0" t="s">
        <v>148</v>
      </c>
      <c r="AE1590" s="0" t="s">
        <v>149</v>
      </c>
      <c r="AF1590" s="0" t="s">
        <v>150</v>
      </c>
      <c r="AH1590" s="0" t="n">
        <v>14</v>
      </c>
      <c r="AI1590" s="0" t="n">
        <v>11</v>
      </c>
      <c r="AN1590" s="0" t="s">
        <v>146</v>
      </c>
      <c r="AO1590" s="0" t="s">
        <v>151</v>
      </c>
      <c r="AP1590" s="0" t="s">
        <v>152</v>
      </c>
      <c r="AQ1590" s="0" t="n">
        <v>9</v>
      </c>
      <c r="AR1590" s="0" t="n">
        <v>64</v>
      </c>
      <c r="AS1590" s="0" t="n">
        <v>32</v>
      </c>
      <c r="AU1590" s="0" t="n">
        <f aca="false">COUNTA($BA$1878:$EH$1878)</f>
        <v>35</v>
      </c>
      <c r="AV1590" s="0" t="n">
        <f aca="false">COUNTIF($BA$1878:$EH$1878,"D")</f>
        <v>0</v>
      </c>
      <c r="AW1590" s="0" t="n">
        <f aca="false">COUNTIF($BA$1878:$EH$1878,"R")</f>
        <v>7</v>
      </c>
      <c r="AX1590" s="0" t="n">
        <f aca="false"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>0</v>
      </c>
      <c r="AY1590" s="0" t="n">
        <f aca="false">COUNTIF(DU1590:EH1590, "&lt;&gt;")</f>
        <v>1</v>
      </c>
      <c r="AZ1590" s="0" t="n">
        <f aca="false">IF(EH1590&lt;&gt;"",1,0)</f>
        <v>0</v>
      </c>
      <c r="BB1590" s="0" t="s">
        <v>153</v>
      </c>
      <c r="CP1590" s="0" t="s">
        <v>154</v>
      </c>
      <c r="DC1590" s="0" t="s">
        <v>154</v>
      </c>
      <c r="EF1590" s="0" t="s">
        <v>154</v>
      </c>
    </row>
    <row r="1591" customFormat="false" ht="13.8" hidden="true" customHeight="false" outlineLevel="0" collapsed="false">
      <c r="A1591" s="0" t="s">
        <v>7273</v>
      </c>
      <c r="B1591" s="0" t="n">
        <v>78</v>
      </c>
      <c r="C1591" s="0" t="n">
        <v>298339</v>
      </c>
      <c r="D1591" s="0" t="s">
        <v>7274</v>
      </c>
      <c r="E1591" s="0" t="s">
        <v>7275</v>
      </c>
      <c r="F1591" s="0" t="str">
        <f aca="false">CONCATENATE(D1591," ",LEFT(H1591,4),"T=",AU1591,"D=",AV1591,"R=",AW1591,"M=",AX1591,"L=",AY1591,"B=",AZ1591)</f>
        <v>BALDRIDGE T=7D=0R=0M=0L=1B=0</v>
      </c>
      <c r="G1591" s="0" t="s">
        <v>317</v>
      </c>
      <c r="I1591" s="0" t="s">
        <v>7276</v>
      </c>
      <c r="J1591" s="0" t="s">
        <v>5997</v>
      </c>
      <c r="K1591" s="0" t="s">
        <v>175</v>
      </c>
      <c r="L1591" s="0"/>
      <c r="M1591" s="0" t="s">
        <v>7277</v>
      </c>
      <c r="N1591" s="0" t="str">
        <f aca="false">RIGHT(M1591,LEN(M1591)-FIND(" ",M1591))</f>
        <v>MAHONING AVE NW</v>
      </c>
      <c r="O1591" s="0" t="s">
        <v>7115</v>
      </c>
      <c r="P1591" s="0" t="s">
        <v>146</v>
      </c>
      <c r="Q1591" s="0" t="s">
        <v>147</v>
      </c>
      <c r="R1591" s="0" t="n">
        <v>44483</v>
      </c>
      <c r="AD1591" s="0" t="s">
        <v>148</v>
      </c>
      <c r="AE1591" s="0" t="s">
        <v>149</v>
      </c>
      <c r="AF1591" s="0" t="s">
        <v>150</v>
      </c>
      <c r="AH1591" s="0" t="n">
        <v>14</v>
      </c>
      <c r="AI1591" s="0" t="n">
        <v>11</v>
      </c>
      <c r="AN1591" s="0" t="s">
        <v>146</v>
      </c>
      <c r="AO1591" s="0" t="s">
        <v>151</v>
      </c>
      <c r="AP1591" s="0" t="s">
        <v>152</v>
      </c>
      <c r="AQ1591" s="0" t="n">
        <v>9</v>
      </c>
      <c r="AR1591" s="0" t="n">
        <v>64</v>
      </c>
      <c r="AS1591" s="0" t="n">
        <v>32</v>
      </c>
      <c r="AU1591" s="0" t="n">
        <f aca="false">COUNTA($BA$1094:$EH$1094)</f>
        <v>7</v>
      </c>
      <c r="AV1591" s="0" t="n">
        <f aca="false">COUNTIF($BA$1094:$EH$1094,"D")</f>
        <v>0</v>
      </c>
      <c r="AW1591" s="0" t="n">
        <f aca="false">COUNTIF($BA$1094:$EH$1094,"R")</f>
        <v>0</v>
      </c>
      <c r="AX1591" s="0" t="n">
        <f aca="false"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>0</v>
      </c>
      <c r="AY1591" s="0" t="n">
        <f aca="false">COUNTIF(DU1591:EH1591, "&lt;&gt;")</f>
        <v>1</v>
      </c>
      <c r="AZ1591" s="0" t="n">
        <f aca="false">IF(EH1591&lt;&gt;"",1,0)</f>
        <v>0</v>
      </c>
      <c r="BB1591" s="0" t="s">
        <v>153</v>
      </c>
      <c r="BD1591" s="0" t="s">
        <v>154</v>
      </c>
      <c r="BH1591" s="0" t="s">
        <v>154</v>
      </c>
      <c r="BL1591" s="0" t="s">
        <v>154</v>
      </c>
      <c r="BP1591" s="0" t="s">
        <v>154</v>
      </c>
      <c r="CA1591" s="0" t="s">
        <v>154</v>
      </c>
      <c r="CP1591" s="0" t="s">
        <v>154</v>
      </c>
      <c r="CY1591" s="0" t="s">
        <v>154</v>
      </c>
      <c r="DC1591" s="0" t="s">
        <v>154</v>
      </c>
      <c r="DN1591" s="0" t="s">
        <v>154</v>
      </c>
      <c r="EF1591" s="0" t="s">
        <v>154</v>
      </c>
    </row>
    <row r="1592" customFormat="false" ht="13.8" hidden="true" customHeight="false" outlineLevel="0" collapsed="false">
      <c r="A1592" s="0" t="s">
        <v>7278</v>
      </c>
      <c r="B1592" s="0" t="n">
        <v>78</v>
      </c>
      <c r="C1592" s="0" t="n">
        <v>416042</v>
      </c>
      <c r="D1592" s="0" t="s">
        <v>4070</v>
      </c>
      <c r="E1592" s="0" t="s">
        <v>7279</v>
      </c>
      <c r="F1592" s="0" t="str">
        <f aca="false">CONCATENATE(D1592," ",LEFT(H1592,4),"T=",AU1592,"D=",AV1592,"R=",AW1592,"M=",AX1592,"L=",AY1592,"B=",AZ1592)</f>
        <v>WHITE T=3D=0R=0M=0L=0B=0</v>
      </c>
      <c r="G1592" s="0" t="s">
        <v>297</v>
      </c>
      <c r="I1592" s="0" t="s">
        <v>4686</v>
      </c>
      <c r="J1592" s="0" t="s">
        <v>1030</v>
      </c>
      <c r="K1592" s="0" t="s">
        <v>175</v>
      </c>
      <c r="L1592" s="0"/>
      <c r="M1592" s="0" t="s">
        <v>7277</v>
      </c>
      <c r="N1592" s="0" t="str">
        <f aca="false">RIGHT(M1592,LEN(M1592)-FIND(" ",M1592))</f>
        <v>MAHONING AVE NW</v>
      </c>
      <c r="O1592" s="0" t="s">
        <v>7046</v>
      </c>
      <c r="P1592" s="0" t="s">
        <v>146</v>
      </c>
      <c r="Q1592" s="0" t="s">
        <v>147</v>
      </c>
      <c r="R1592" s="0" t="n">
        <v>44483</v>
      </c>
      <c r="AD1592" s="0" t="s">
        <v>148</v>
      </c>
      <c r="AE1592" s="0" t="s">
        <v>149</v>
      </c>
      <c r="AF1592" s="0" t="s">
        <v>150</v>
      </c>
      <c r="AH1592" s="0" t="n">
        <v>14</v>
      </c>
      <c r="AI1592" s="0" t="n">
        <v>11</v>
      </c>
      <c r="AN1592" s="0" t="s">
        <v>146</v>
      </c>
      <c r="AO1592" s="0" t="s">
        <v>151</v>
      </c>
      <c r="AP1592" s="0" t="s">
        <v>152</v>
      </c>
      <c r="AQ1592" s="0" t="n">
        <v>9</v>
      </c>
      <c r="AR1592" s="0" t="n">
        <v>64</v>
      </c>
      <c r="AS1592" s="0" t="n">
        <v>32</v>
      </c>
      <c r="AU1592" s="0" t="n">
        <f aca="false">COUNTA($BA$1103:$EH$1103)</f>
        <v>3</v>
      </c>
      <c r="AV1592" s="0" t="n">
        <f aca="false">COUNTIF($BA$1103:$EH$1103,"D")</f>
        <v>0</v>
      </c>
      <c r="AW1592" s="0" t="n">
        <f aca="false">COUNTIF($BA$1103:$EH$1103,"R")</f>
        <v>0</v>
      </c>
      <c r="AX1592" s="0" t="n">
        <f aca="false"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>0</v>
      </c>
      <c r="AY1592" s="0" t="n">
        <f aca="false">COUNTIF(DU1592:EH1592, "&lt;&gt;")</f>
        <v>0</v>
      </c>
      <c r="AZ1592" s="0" t="n">
        <f aca="false">IF(EH1592&lt;&gt;"",1,0)</f>
        <v>0</v>
      </c>
      <c r="BB1592" s="0" t="s">
        <v>153</v>
      </c>
      <c r="DN1592" s="0" t="s">
        <v>154</v>
      </c>
    </row>
    <row r="1593" customFormat="false" ht="13.8" hidden="false" customHeight="false" outlineLevel="0" collapsed="false">
      <c r="A1593" s="0" t="s">
        <v>7280</v>
      </c>
      <c r="B1593" s="0" t="n">
        <v>78</v>
      </c>
      <c r="C1593" s="0" t="n">
        <v>206352</v>
      </c>
      <c r="D1593" s="0" t="s">
        <v>7281</v>
      </c>
      <c r="E1593" s="0" t="s">
        <v>652</v>
      </c>
      <c r="F1593" s="0" t="str">
        <f aca="false">CONCATENATE(D1593," ",LEFT(H1593,4),"T=",AU1593,"D=",AV1593,"R=",AW1593,"M=",AX1593,"L=",AY1593,"B=",AZ1593)</f>
        <v>ESTES T=1D=0R=0M=2L=7B=1</v>
      </c>
      <c r="G1593" s="0" t="s">
        <v>202</v>
      </c>
      <c r="I1593" s="0" t="s">
        <v>7282</v>
      </c>
      <c r="J1593" s="0" t="s">
        <v>6838</v>
      </c>
      <c r="K1593" s="0" t="s">
        <v>175</v>
      </c>
      <c r="L1593" s="1" t="s">
        <v>176</v>
      </c>
      <c r="M1593" s="0" t="s">
        <v>7277</v>
      </c>
      <c r="N1593" s="0" t="str">
        <f aca="false">RIGHT(M1593,LEN(M1593)-FIND(" ",M1593))</f>
        <v>MAHONING AVE NW</v>
      </c>
      <c r="O1593" s="0" t="s">
        <v>6961</v>
      </c>
      <c r="P1593" s="0" t="s">
        <v>146</v>
      </c>
      <c r="Q1593" s="0" t="s">
        <v>147</v>
      </c>
      <c r="R1593" s="0" t="n">
        <v>44483</v>
      </c>
      <c r="AD1593" s="0" t="s">
        <v>148</v>
      </c>
      <c r="AE1593" s="0" t="s">
        <v>149</v>
      </c>
      <c r="AF1593" s="0" t="s">
        <v>150</v>
      </c>
      <c r="AH1593" s="0" t="n">
        <v>14</v>
      </c>
      <c r="AI1593" s="0" t="n">
        <v>11</v>
      </c>
      <c r="AN1593" s="0" t="s">
        <v>146</v>
      </c>
      <c r="AO1593" s="0" t="s">
        <v>151</v>
      </c>
      <c r="AP1593" s="0" t="s">
        <v>152</v>
      </c>
      <c r="AQ1593" s="0" t="n">
        <v>9</v>
      </c>
      <c r="AR1593" s="0" t="n">
        <v>64</v>
      </c>
      <c r="AS1593" s="0" t="n">
        <v>32</v>
      </c>
      <c r="AU1593" s="0" t="n">
        <f aca="false">COUNTA($BA$1198:$EH$1198)</f>
        <v>1</v>
      </c>
      <c r="AV1593" s="0" t="n">
        <f aca="false">COUNTIF($BA$1198:$EH$1198,"D")</f>
        <v>0</v>
      </c>
      <c r="AW1593" s="0" t="n">
        <f aca="false">COUNTIF($BA$1198:$EH$1198,"R")</f>
        <v>0</v>
      </c>
      <c r="AX1593" s="0" t="n">
        <f aca="false"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>2</v>
      </c>
      <c r="AY1593" s="0" t="n">
        <f aca="false">COUNTIF(DU1593:EH1593, "&lt;&gt;")</f>
        <v>7</v>
      </c>
      <c r="AZ1593" s="0" t="n">
        <f aca="false">IF(EH1593&lt;&gt;"",1,0)</f>
        <v>1</v>
      </c>
      <c r="BB1593" s="0" t="s">
        <v>153</v>
      </c>
      <c r="BD1593" s="0" t="s">
        <v>154</v>
      </c>
      <c r="BE1593" s="0" t="s">
        <v>154</v>
      </c>
      <c r="BF1593" s="0" t="s">
        <v>154</v>
      </c>
      <c r="BI1593" s="0" t="s">
        <v>154</v>
      </c>
      <c r="BK1593" s="0" t="s">
        <v>154</v>
      </c>
      <c r="BL1593" s="0" t="s">
        <v>154</v>
      </c>
      <c r="CK1593" s="0" t="s">
        <v>154</v>
      </c>
      <c r="CN1593" s="0" t="s">
        <v>154</v>
      </c>
      <c r="CO1593" s="0" t="s">
        <v>176</v>
      </c>
      <c r="CP1593" s="0" t="s">
        <v>154</v>
      </c>
      <c r="CQ1593" s="0" t="s">
        <v>155</v>
      </c>
      <c r="CY1593" s="0" t="s">
        <v>154</v>
      </c>
      <c r="CZ1593" s="0" t="s">
        <v>176</v>
      </c>
      <c r="DC1593" s="0" t="s">
        <v>154</v>
      </c>
      <c r="DI1593" s="0" t="s">
        <v>154</v>
      </c>
      <c r="DL1593" s="0" t="s">
        <v>154</v>
      </c>
      <c r="DM1593" s="0" t="s">
        <v>155</v>
      </c>
      <c r="DN1593" s="0" t="s">
        <v>154</v>
      </c>
      <c r="DR1593" s="0" t="s">
        <v>154</v>
      </c>
      <c r="DU1593" s="0" t="s">
        <v>154</v>
      </c>
      <c r="DW1593" s="0" t="s">
        <v>155</v>
      </c>
      <c r="DX1593" s="0" t="s">
        <v>154</v>
      </c>
      <c r="EA1593" s="0" t="s">
        <v>154</v>
      </c>
      <c r="ED1593" s="0" t="s">
        <v>176</v>
      </c>
      <c r="EF1593" s="0" t="s">
        <v>154</v>
      </c>
      <c r="EH1593" s="0" t="s">
        <v>154</v>
      </c>
    </row>
    <row r="1594" customFormat="false" ht="13.8" hidden="true" customHeight="false" outlineLevel="0" collapsed="false">
      <c r="A1594" s="0" t="s">
        <v>7283</v>
      </c>
      <c r="B1594" s="0" t="n">
        <v>78</v>
      </c>
      <c r="C1594" s="0" t="n">
        <v>317860</v>
      </c>
      <c r="D1594" s="0" t="s">
        <v>3559</v>
      </c>
      <c r="E1594" s="0" t="s">
        <v>1669</v>
      </c>
      <c r="F1594" s="0" t="str">
        <f aca="false">CONCATENATE(D1594," ",LEFT(H1594,4),"T=",AU1594,"D=",AV1594,"R=",AW1594,"M=",AX1594,"L=",AY1594,"B=",AZ1594)</f>
        <v>RICHARDSON T=1D=0R=0M=2L=1B=0</v>
      </c>
      <c r="G1594" s="0" t="s">
        <v>7284</v>
      </c>
      <c r="I1594" s="0" t="s">
        <v>7285</v>
      </c>
      <c r="J1594" s="0" t="s">
        <v>257</v>
      </c>
      <c r="K1594" s="0" t="s">
        <v>175</v>
      </c>
      <c r="L1594" s="0"/>
      <c r="M1594" s="0" t="s">
        <v>7277</v>
      </c>
      <c r="N1594" s="0" t="str">
        <f aca="false">RIGHT(M1594,LEN(M1594)-FIND(" ",M1594))</f>
        <v>MAHONING AVE NW</v>
      </c>
      <c r="O1594" s="0" t="s">
        <v>7286</v>
      </c>
      <c r="P1594" s="0" t="s">
        <v>146</v>
      </c>
      <c r="Q1594" s="0" t="s">
        <v>147</v>
      </c>
      <c r="R1594" s="0" t="n">
        <v>44483</v>
      </c>
      <c r="AD1594" s="0" t="s">
        <v>148</v>
      </c>
      <c r="AE1594" s="0" t="s">
        <v>149</v>
      </c>
      <c r="AF1594" s="0" t="s">
        <v>150</v>
      </c>
      <c r="AH1594" s="0" t="n">
        <v>14</v>
      </c>
      <c r="AI1594" s="0" t="n">
        <v>11</v>
      </c>
      <c r="AN1594" s="0" t="s">
        <v>146</v>
      </c>
      <c r="AO1594" s="0" t="s">
        <v>151</v>
      </c>
      <c r="AP1594" s="0" t="s">
        <v>152</v>
      </c>
      <c r="AQ1594" s="0" t="n">
        <v>9</v>
      </c>
      <c r="AR1594" s="0" t="n">
        <v>64</v>
      </c>
      <c r="AS1594" s="0" t="n">
        <v>32</v>
      </c>
      <c r="AU1594" s="0" t="n">
        <f aca="false">COUNTA($BA$1309:$EH$1309)</f>
        <v>1</v>
      </c>
      <c r="AV1594" s="0" t="n">
        <f aca="false">COUNTIF($BA$1309:$EH$1309,"D")</f>
        <v>0</v>
      </c>
      <c r="AW1594" s="0" t="n">
        <f aca="false">COUNTIF($BA$1309:$EH$1309,"R")</f>
        <v>0</v>
      </c>
      <c r="AX1594" s="0" t="n">
        <f aca="false"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>2</v>
      </c>
      <c r="AY1594" s="0" t="n">
        <f aca="false">COUNTIF(DU1594:EH1594, "&lt;&gt;")</f>
        <v>1</v>
      </c>
      <c r="AZ1594" s="0" t="n">
        <f aca="false">IF(EH1594&lt;&gt;"",1,0)</f>
        <v>0</v>
      </c>
      <c r="BB1594" s="0" t="s">
        <v>153</v>
      </c>
      <c r="BL1594" s="0" t="s">
        <v>154</v>
      </c>
      <c r="BY1594" s="0" t="s">
        <v>155</v>
      </c>
      <c r="CA1594" s="0" t="s">
        <v>154</v>
      </c>
      <c r="CK1594" s="0" t="s">
        <v>154</v>
      </c>
      <c r="CL1594" s="0" t="s">
        <v>155</v>
      </c>
      <c r="CN1594" s="0" t="s">
        <v>154</v>
      </c>
      <c r="CP1594" s="0" t="s">
        <v>154</v>
      </c>
      <c r="CW1594" s="0" t="s">
        <v>155</v>
      </c>
      <c r="CY1594" s="0" t="s">
        <v>154</v>
      </c>
      <c r="CZ1594" s="0" t="s">
        <v>155</v>
      </c>
      <c r="DC1594" s="0" t="s">
        <v>154</v>
      </c>
      <c r="DF1594" s="0" t="s">
        <v>154</v>
      </c>
      <c r="DG1594" s="0" t="s">
        <v>155</v>
      </c>
      <c r="DI1594" s="0" t="s">
        <v>154</v>
      </c>
      <c r="DN1594" s="0" t="s">
        <v>154</v>
      </c>
      <c r="EF1594" s="0" t="s">
        <v>154</v>
      </c>
    </row>
    <row r="1595" customFormat="false" ht="13.8" hidden="true" customHeight="false" outlineLevel="0" collapsed="false">
      <c r="A1595" s="0" t="s">
        <v>7287</v>
      </c>
      <c r="B1595" s="0" t="n">
        <v>78</v>
      </c>
      <c r="C1595" s="0" t="n">
        <v>438407</v>
      </c>
      <c r="D1595" s="0" t="s">
        <v>7288</v>
      </c>
      <c r="E1595" s="0" t="s">
        <v>7289</v>
      </c>
      <c r="F1595" s="0" t="str">
        <f aca="false">CONCATENATE(D1595," ",LEFT(H1595,4),"T=",AU1595,"D=",AV1595,"R=",AW1595,"M=",AX1595,"L=",AY1595,"B=",AZ1595)</f>
        <v>TORRES RIVERA T=1D=0R=0M=0L=0B=0</v>
      </c>
      <c r="I1595" s="0" t="s">
        <v>7290</v>
      </c>
      <c r="J1595" s="0" t="s">
        <v>7291</v>
      </c>
      <c r="K1595" s="0" t="s">
        <v>175</v>
      </c>
      <c r="L1595" s="0"/>
      <c r="M1595" s="0" t="s">
        <v>7277</v>
      </c>
      <c r="N1595" s="0" t="str">
        <f aca="false">RIGHT(M1595,LEN(M1595)-FIND(" ",M1595))</f>
        <v>MAHONING AVE NW</v>
      </c>
      <c r="P1595" s="0" t="s">
        <v>146</v>
      </c>
      <c r="Q1595" s="0" t="s">
        <v>147</v>
      </c>
      <c r="R1595" s="0" t="n">
        <v>44483</v>
      </c>
      <c r="AD1595" s="0" t="s">
        <v>148</v>
      </c>
      <c r="AE1595" s="0" t="s">
        <v>149</v>
      </c>
      <c r="AF1595" s="0" t="s">
        <v>150</v>
      </c>
      <c r="AH1595" s="0" t="n">
        <v>14</v>
      </c>
      <c r="AI1595" s="0" t="n">
        <v>11</v>
      </c>
      <c r="AN1595" s="0" t="s">
        <v>146</v>
      </c>
      <c r="AO1595" s="0" t="s">
        <v>151</v>
      </c>
      <c r="AP1595" s="0" t="s">
        <v>152</v>
      </c>
      <c r="AQ1595" s="0" t="n">
        <v>9</v>
      </c>
      <c r="AR1595" s="0" t="n">
        <v>64</v>
      </c>
      <c r="AS1595" s="0" t="n">
        <v>32</v>
      </c>
      <c r="AU1595" s="0" t="n">
        <f aca="false">COUNTA($BA$1322:$EH$1322)</f>
        <v>1</v>
      </c>
      <c r="AV1595" s="0" t="n">
        <f aca="false">COUNTIF($BA$1322:$EH$1322,"D")</f>
        <v>0</v>
      </c>
      <c r="AW1595" s="0" t="n">
        <f aca="false">COUNTIF($BA$1322:$EH$1322,"R")</f>
        <v>0</v>
      </c>
      <c r="AX1595" s="0" t="n">
        <f aca="false"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>0</v>
      </c>
      <c r="AY1595" s="0" t="n">
        <f aca="false">COUNTIF(DU1595:EH1595, "&lt;&gt;")</f>
        <v>0</v>
      </c>
      <c r="AZ1595" s="0" t="n">
        <f aca="false">IF(EH1595&lt;&gt;"",1,0)</f>
        <v>0</v>
      </c>
      <c r="BB1595" s="0" t="s">
        <v>153</v>
      </c>
      <c r="DN1595" s="0" t="s">
        <v>154</v>
      </c>
    </row>
    <row r="1596" customFormat="false" ht="13.8" hidden="false" customHeight="false" outlineLevel="0" collapsed="false">
      <c r="A1596" s="0" t="s">
        <v>7292</v>
      </c>
      <c r="B1596" s="0" t="n">
        <v>78</v>
      </c>
      <c r="C1596" s="0" t="n">
        <v>400639</v>
      </c>
      <c r="D1596" s="0" t="s">
        <v>7293</v>
      </c>
      <c r="E1596" s="0" t="s">
        <v>609</v>
      </c>
      <c r="F1596" s="0" t="str">
        <f aca="false">CONCATENATE(D1596," ",LEFT(H1596,4),"T=",AU1596,"D=",AV1596,"R=",AW1596,"M=",AX1596,"L=",AY1596,"B=",AZ1596)</f>
        <v>ADAIR T=7D=1R=0M=0L=3B=0</v>
      </c>
      <c r="G1596" s="0" t="s">
        <v>216</v>
      </c>
      <c r="I1596" s="0" t="s">
        <v>7294</v>
      </c>
      <c r="J1596" s="0" t="s">
        <v>7295</v>
      </c>
      <c r="K1596" s="0" t="s">
        <v>175</v>
      </c>
      <c r="M1596" s="0" t="s">
        <v>7277</v>
      </c>
      <c r="N1596" s="0" t="str">
        <f aca="false">RIGHT(M1596,LEN(M1596)-FIND(" ",M1596))</f>
        <v>MAHONING AVE NW</v>
      </c>
      <c r="O1596" s="0" t="s">
        <v>6919</v>
      </c>
      <c r="P1596" s="0" t="s">
        <v>146</v>
      </c>
      <c r="Q1596" s="0" t="s">
        <v>147</v>
      </c>
      <c r="R1596" s="0" t="n">
        <v>44483</v>
      </c>
      <c r="AD1596" s="0" t="s">
        <v>148</v>
      </c>
      <c r="AE1596" s="0" t="s">
        <v>149</v>
      </c>
      <c r="AF1596" s="0" t="s">
        <v>150</v>
      </c>
      <c r="AH1596" s="0" t="n">
        <v>14</v>
      </c>
      <c r="AI1596" s="0" t="n">
        <v>11</v>
      </c>
      <c r="AN1596" s="0" t="s">
        <v>146</v>
      </c>
      <c r="AO1596" s="0" t="s">
        <v>151</v>
      </c>
      <c r="AP1596" s="0" t="s">
        <v>152</v>
      </c>
      <c r="AQ1596" s="0" t="n">
        <v>9</v>
      </c>
      <c r="AR1596" s="0" t="n">
        <v>64</v>
      </c>
      <c r="AS1596" s="0" t="n">
        <v>32</v>
      </c>
      <c r="AU1596" s="0" t="n">
        <f aca="false">COUNTA($BA$1353:$EH$1353)</f>
        <v>7</v>
      </c>
      <c r="AV1596" s="0" t="n">
        <f aca="false">COUNTIF($BA$1353:$EH$1353,"D")</f>
        <v>1</v>
      </c>
      <c r="AW1596" s="0" t="n">
        <f aca="false">COUNTIF($BA$1353:$EH$1353,"R")</f>
        <v>0</v>
      </c>
      <c r="AX1596" s="0" t="n">
        <f aca="false"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>0</v>
      </c>
      <c r="AY1596" s="0" t="n">
        <f aca="false">COUNTIF(DU1596:EH1596, "&lt;&gt;")</f>
        <v>3</v>
      </c>
      <c r="AZ1596" s="0" t="n">
        <f aca="false">IF(EH1596&lt;&gt;"",1,0)</f>
        <v>0</v>
      </c>
      <c r="BB1596" s="0" t="s">
        <v>153</v>
      </c>
      <c r="DN1596" s="0" t="s">
        <v>154</v>
      </c>
      <c r="DU1596" s="0" t="s">
        <v>154</v>
      </c>
      <c r="EA1596" s="0" t="s">
        <v>154</v>
      </c>
      <c r="EF1596" s="0" t="s">
        <v>154</v>
      </c>
    </row>
    <row r="1597" customFormat="false" ht="13.8" hidden="false" customHeight="false" outlineLevel="0" collapsed="false">
      <c r="A1597" s="0" t="s">
        <v>7296</v>
      </c>
      <c r="B1597" s="0" t="n">
        <v>78</v>
      </c>
      <c r="C1597" s="0" t="n">
        <v>442334</v>
      </c>
      <c r="D1597" s="0" t="s">
        <v>2961</v>
      </c>
      <c r="E1597" s="0" t="s">
        <v>7297</v>
      </c>
      <c r="F1597" s="0" t="str">
        <f aca="false">CONCATENATE(D1597," ",LEFT(H1597,4),"T=",AU1597,"D=",AV1597,"R=",AW1597,"M=",AX1597,"L=",AY1597,"B=",AZ1597)</f>
        <v>BUTLER T=1D=0R=0M=0L=2B=0</v>
      </c>
      <c r="G1597" s="0" t="s">
        <v>981</v>
      </c>
      <c r="I1597" s="0" t="s">
        <v>7298</v>
      </c>
      <c r="J1597" s="0" t="s">
        <v>1401</v>
      </c>
      <c r="K1597" s="0" t="s">
        <v>175</v>
      </c>
      <c r="L1597" s="1" t="s">
        <v>155</v>
      </c>
      <c r="M1597" s="0" t="s">
        <v>7277</v>
      </c>
      <c r="N1597" s="0" t="str">
        <f aca="false">RIGHT(M1597,LEN(M1597)-FIND(" ",M1597))</f>
        <v>MAHONING AVE NW</v>
      </c>
      <c r="O1597" s="0" t="s">
        <v>6885</v>
      </c>
      <c r="P1597" s="0" t="s">
        <v>146</v>
      </c>
      <c r="Q1597" s="0" t="s">
        <v>147</v>
      </c>
      <c r="R1597" s="0" t="n">
        <v>44483</v>
      </c>
      <c r="AD1597" s="0" t="s">
        <v>148</v>
      </c>
      <c r="AE1597" s="0" t="s">
        <v>149</v>
      </c>
      <c r="AF1597" s="0" t="s">
        <v>150</v>
      </c>
      <c r="AH1597" s="0" t="n">
        <v>14</v>
      </c>
      <c r="AI1597" s="0" t="n">
        <v>11</v>
      </c>
      <c r="AN1597" s="0" t="s">
        <v>146</v>
      </c>
      <c r="AO1597" s="0" t="s">
        <v>151</v>
      </c>
      <c r="AP1597" s="0" t="s">
        <v>152</v>
      </c>
      <c r="AQ1597" s="0" t="n">
        <v>9</v>
      </c>
      <c r="AR1597" s="0" t="n">
        <v>64</v>
      </c>
      <c r="AS1597" s="0" t="n">
        <v>32</v>
      </c>
      <c r="AU1597" s="0" t="n">
        <f aca="false">COUNTA($BA$1360:$EH$1360)</f>
        <v>1</v>
      </c>
      <c r="AV1597" s="0" t="n">
        <f aca="false">COUNTIF($BA$1360:$EH$1360,"D")</f>
        <v>0</v>
      </c>
      <c r="AW1597" s="0" t="n">
        <f aca="false">COUNTIF($BA$1360:$EH$1360,"R")</f>
        <v>0</v>
      </c>
      <c r="AX1597" s="0" t="n">
        <f aca="false"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>0</v>
      </c>
      <c r="AY1597" s="0" t="n">
        <f aca="false">COUNTIF(DU1597:EH1597, "&lt;&gt;")</f>
        <v>2</v>
      </c>
      <c r="AZ1597" s="0" t="n">
        <f aca="false">IF(EH1597&lt;&gt;"",1,0)</f>
        <v>0</v>
      </c>
      <c r="BB1597" s="0" t="s">
        <v>153</v>
      </c>
      <c r="DN1597" s="0" t="s">
        <v>154</v>
      </c>
      <c r="ED1597" s="0" t="s">
        <v>155</v>
      </c>
      <c r="EF1597" s="0" t="s">
        <v>154</v>
      </c>
    </row>
    <row r="1598" customFormat="false" ht="13.8" hidden="false" customHeight="false" outlineLevel="0" collapsed="false">
      <c r="A1598" s="0" t="s">
        <v>7299</v>
      </c>
      <c r="B1598" s="0" t="n">
        <v>78</v>
      </c>
      <c r="C1598" s="0" t="n">
        <v>301906</v>
      </c>
      <c r="D1598" s="0" t="s">
        <v>7300</v>
      </c>
      <c r="E1598" s="0" t="s">
        <v>7301</v>
      </c>
      <c r="F1598" s="0" t="str">
        <f aca="false">CONCATENATE(D1598," ",LEFT(H1598,4),"T=",AU1598,"D=",AV1598,"R=",AW1598,"M=",AX1598,"L=",AY1598,"B=",AZ1598)</f>
        <v>MOORE EADDY T=1D=0R=0M=7L=7B=1</v>
      </c>
      <c r="G1598" s="0" t="s">
        <v>514</v>
      </c>
      <c r="I1598" s="0" t="s">
        <v>503</v>
      </c>
      <c r="J1598" s="0" t="s">
        <v>7302</v>
      </c>
      <c r="K1598" s="0" t="s">
        <v>175</v>
      </c>
      <c r="L1598" s="1" t="s">
        <v>155</v>
      </c>
      <c r="M1598" s="0" t="s">
        <v>7277</v>
      </c>
      <c r="N1598" s="0" t="str">
        <f aca="false">RIGHT(M1598,LEN(M1598)-FIND(" ",M1598))</f>
        <v>MAHONING AVE NW</v>
      </c>
      <c r="O1598" s="0" t="s">
        <v>7007</v>
      </c>
      <c r="P1598" s="0" t="s">
        <v>146</v>
      </c>
      <c r="Q1598" s="0" t="s">
        <v>147</v>
      </c>
      <c r="R1598" s="0" t="n">
        <v>44483</v>
      </c>
      <c r="AD1598" s="0" t="s">
        <v>148</v>
      </c>
      <c r="AE1598" s="0" t="s">
        <v>149</v>
      </c>
      <c r="AF1598" s="0" t="s">
        <v>150</v>
      </c>
      <c r="AH1598" s="0" t="n">
        <v>14</v>
      </c>
      <c r="AI1598" s="0" t="n">
        <v>11</v>
      </c>
      <c r="AN1598" s="0" t="s">
        <v>146</v>
      </c>
      <c r="AO1598" s="0" t="s">
        <v>151</v>
      </c>
      <c r="AP1598" s="0" t="s">
        <v>152</v>
      </c>
      <c r="AQ1598" s="0" t="n">
        <v>9</v>
      </c>
      <c r="AR1598" s="0" t="n">
        <v>64</v>
      </c>
      <c r="AS1598" s="0" t="n">
        <v>32</v>
      </c>
      <c r="AU1598" s="0" t="n">
        <f aca="false">COUNTA($BA$1367:$EH$1367)</f>
        <v>1</v>
      </c>
      <c r="AV1598" s="0" t="n">
        <f aca="false">COUNTIF($BA$1367:$EH$1367,"D")</f>
        <v>0</v>
      </c>
      <c r="AW1598" s="0" t="n">
        <f aca="false">COUNTIF($BA$1367:$EH$1367,"R")</f>
        <v>0</v>
      </c>
      <c r="AX1598" s="0" t="n">
        <f aca="false"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>7</v>
      </c>
      <c r="AY1598" s="0" t="n">
        <f aca="false">COUNTIF(DU1598:EH1598, "&lt;&gt;")</f>
        <v>7</v>
      </c>
      <c r="AZ1598" s="0" t="n">
        <f aca="false">IF(EH1598&lt;&gt;"",1,0)</f>
        <v>1</v>
      </c>
      <c r="BB1598" s="0" t="s">
        <v>153</v>
      </c>
      <c r="BI1598" s="0" t="s">
        <v>154</v>
      </c>
      <c r="BK1598" s="0" t="s">
        <v>154</v>
      </c>
      <c r="BL1598" s="0" t="s">
        <v>154</v>
      </c>
      <c r="BP1598" s="0" t="s">
        <v>154</v>
      </c>
      <c r="BS1598" s="0" t="s">
        <v>154</v>
      </c>
      <c r="BY1598" s="0" t="s">
        <v>155</v>
      </c>
      <c r="CA1598" s="0" t="s">
        <v>154</v>
      </c>
      <c r="CK1598" s="0" t="s">
        <v>154</v>
      </c>
      <c r="CL1598" s="0" t="s">
        <v>155</v>
      </c>
      <c r="CN1598" s="0" t="s">
        <v>154</v>
      </c>
      <c r="CO1598" s="0" t="s">
        <v>155</v>
      </c>
      <c r="CP1598" s="0" t="s">
        <v>154</v>
      </c>
      <c r="CQ1598" s="0" t="s">
        <v>155</v>
      </c>
      <c r="CU1598" s="0" t="s">
        <v>155</v>
      </c>
      <c r="CV1598" s="0" t="s">
        <v>154</v>
      </c>
      <c r="CY1598" s="0" t="s">
        <v>154</v>
      </c>
      <c r="CZ1598" s="0" t="s">
        <v>155</v>
      </c>
      <c r="DC1598" s="0" t="s">
        <v>154</v>
      </c>
      <c r="DD1598" s="0" t="s">
        <v>155</v>
      </c>
      <c r="DF1598" s="0" t="s">
        <v>154</v>
      </c>
      <c r="DG1598" s="0" t="s">
        <v>155</v>
      </c>
      <c r="DI1598" s="0" t="s">
        <v>154</v>
      </c>
      <c r="DJ1598" s="0" t="s">
        <v>155</v>
      </c>
      <c r="DL1598" s="0" t="s">
        <v>154</v>
      </c>
      <c r="DM1598" s="0" t="s">
        <v>155</v>
      </c>
      <c r="DN1598" s="0" t="s">
        <v>154</v>
      </c>
      <c r="DO1598" s="0" t="s">
        <v>155</v>
      </c>
      <c r="DR1598" s="0" t="s">
        <v>154</v>
      </c>
      <c r="DS1598" s="0" t="s">
        <v>155</v>
      </c>
      <c r="DT1598" s="0" t="s">
        <v>155</v>
      </c>
      <c r="DU1598" s="0" t="s">
        <v>154</v>
      </c>
      <c r="DW1598" s="0" t="s">
        <v>155</v>
      </c>
      <c r="DX1598" s="0" t="s">
        <v>154</v>
      </c>
      <c r="EA1598" s="0" t="s">
        <v>154</v>
      </c>
      <c r="ED1598" s="0" t="s">
        <v>155</v>
      </c>
      <c r="EF1598" s="0" t="s">
        <v>154</v>
      </c>
      <c r="EH1598" s="0" t="s">
        <v>155</v>
      </c>
    </row>
    <row r="1599" customFormat="false" ht="13.8" hidden="false" customHeight="false" outlineLevel="0" collapsed="false">
      <c r="A1599" s="0" t="s">
        <v>7303</v>
      </c>
      <c r="B1599" s="0" t="n">
        <v>78</v>
      </c>
      <c r="C1599" s="0" t="n">
        <v>362719</v>
      </c>
      <c r="D1599" s="0" t="s">
        <v>4219</v>
      </c>
      <c r="E1599" s="0" t="s">
        <v>7304</v>
      </c>
      <c r="F1599" s="0" t="str">
        <f aca="false">CONCATENATE(D1599," ",LEFT(H1599,4),"T=",AU1599,"D=",AV1599,"R=",AW1599,"M=",AX1599,"L=",AY1599,"B=",AZ1599)</f>
        <v>HOWARD T=30D=5R=0M=0L=2B=0</v>
      </c>
      <c r="G1599" s="0" t="s">
        <v>202</v>
      </c>
      <c r="I1599" s="0" t="s">
        <v>5329</v>
      </c>
      <c r="J1599" s="0" t="s">
        <v>7305</v>
      </c>
      <c r="K1599" s="0" t="s">
        <v>175</v>
      </c>
      <c r="M1599" s="0" t="s">
        <v>7277</v>
      </c>
      <c r="N1599" s="0" t="str">
        <f aca="false">RIGHT(M1599,LEN(M1599)-FIND(" ",M1599))</f>
        <v>MAHONING AVE NW</v>
      </c>
      <c r="O1599" s="0" t="s">
        <v>7059</v>
      </c>
      <c r="P1599" s="0" t="s">
        <v>146</v>
      </c>
      <c r="Q1599" s="0" t="s">
        <v>147</v>
      </c>
      <c r="R1599" s="0" t="n">
        <v>44483</v>
      </c>
      <c r="AD1599" s="0" t="s">
        <v>148</v>
      </c>
      <c r="AE1599" s="0" t="s">
        <v>149</v>
      </c>
      <c r="AF1599" s="0" t="s">
        <v>150</v>
      </c>
      <c r="AH1599" s="0" t="n">
        <v>14</v>
      </c>
      <c r="AI1599" s="0" t="n">
        <v>11</v>
      </c>
      <c r="AN1599" s="0" t="s">
        <v>146</v>
      </c>
      <c r="AO1599" s="0" t="s">
        <v>151</v>
      </c>
      <c r="AP1599" s="0" t="s">
        <v>152</v>
      </c>
      <c r="AQ1599" s="0" t="n">
        <v>9</v>
      </c>
      <c r="AR1599" s="0" t="n">
        <v>64</v>
      </c>
      <c r="AS1599" s="0" t="n">
        <v>32</v>
      </c>
      <c r="AU1599" s="0" t="n">
        <f aca="false">COUNTA($BA$1379:$EH$1379)</f>
        <v>30</v>
      </c>
      <c r="AV1599" s="0" t="n">
        <f aca="false">COUNTIF($BA$1379:$EH$1379,"D")</f>
        <v>5</v>
      </c>
      <c r="AW1599" s="0" t="n">
        <f aca="false">COUNTIF($BA$1379:$EH$1379,"R")</f>
        <v>0</v>
      </c>
      <c r="AX1599" s="0" t="n">
        <f aca="false"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>0</v>
      </c>
      <c r="AY1599" s="0" t="n">
        <f aca="false">COUNTIF(DU1599:EH1599, "&lt;&gt;")</f>
        <v>2</v>
      </c>
      <c r="AZ1599" s="0" t="n">
        <f aca="false">IF(EH1599&lt;&gt;"",1,0)</f>
        <v>0</v>
      </c>
      <c r="BB1599" s="0" t="s">
        <v>153</v>
      </c>
      <c r="CP1599" s="0" t="s">
        <v>154</v>
      </c>
      <c r="CY1599" s="0" t="s">
        <v>154</v>
      </c>
      <c r="CZ1599" s="0" t="s">
        <v>155</v>
      </c>
      <c r="DC1599" s="0" t="s">
        <v>154</v>
      </c>
      <c r="DI1599" s="0" t="s">
        <v>154</v>
      </c>
      <c r="DL1599" s="0" t="s">
        <v>154</v>
      </c>
      <c r="DN1599" s="0" t="s">
        <v>154</v>
      </c>
      <c r="DU1599" s="0" t="s">
        <v>154</v>
      </c>
      <c r="EF1599" s="0" t="s">
        <v>154</v>
      </c>
    </row>
    <row r="1600" customFormat="false" ht="13.8" hidden="true" customHeight="false" outlineLevel="0" collapsed="false">
      <c r="A1600" s="0" t="s">
        <v>7306</v>
      </c>
      <c r="B1600" s="0" t="n">
        <v>78</v>
      </c>
      <c r="C1600" s="0" t="n">
        <v>446475</v>
      </c>
      <c r="D1600" s="0" t="s">
        <v>7307</v>
      </c>
      <c r="E1600" s="0" t="s">
        <v>7308</v>
      </c>
      <c r="F1600" s="0" t="str">
        <f aca="false">CONCATENATE(D1600," ",LEFT(H1600,4),"T=",AU1600,"D=",AV1600,"R=",AW1600,"M=",AX1600,"L=",AY1600,"B=",AZ1600)</f>
        <v>MILLS T=1D=0R=0M=0L=1B=0</v>
      </c>
      <c r="G1600" s="0" t="s">
        <v>241</v>
      </c>
      <c r="I1600" s="0" t="s">
        <v>7309</v>
      </c>
      <c r="J1600" s="0" t="s">
        <v>7310</v>
      </c>
      <c r="K1600" s="0" t="s">
        <v>175</v>
      </c>
      <c r="L1600" s="0"/>
      <c r="M1600" s="0" t="s">
        <v>7277</v>
      </c>
      <c r="N1600" s="0" t="str">
        <f aca="false">RIGHT(M1600,LEN(M1600)-FIND(" ",M1600))</f>
        <v>MAHONING AVE NW</v>
      </c>
      <c r="O1600" s="0" t="s">
        <v>7088</v>
      </c>
      <c r="P1600" s="0" t="s">
        <v>146</v>
      </c>
      <c r="Q1600" s="0" t="s">
        <v>147</v>
      </c>
      <c r="R1600" s="0" t="n">
        <v>44483</v>
      </c>
      <c r="AD1600" s="0" t="s">
        <v>148</v>
      </c>
      <c r="AE1600" s="0" t="s">
        <v>149</v>
      </c>
      <c r="AF1600" s="0" t="s">
        <v>150</v>
      </c>
      <c r="AH1600" s="0" t="n">
        <v>14</v>
      </c>
      <c r="AI1600" s="0" t="n">
        <v>11</v>
      </c>
      <c r="AN1600" s="0" t="s">
        <v>146</v>
      </c>
      <c r="AO1600" s="0" t="s">
        <v>151</v>
      </c>
      <c r="AP1600" s="0" t="s">
        <v>152</v>
      </c>
      <c r="AQ1600" s="0" t="n">
        <v>9</v>
      </c>
      <c r="AR1600" s="0" t="n">
        <v>64</v>
      </c>
      <c r="AS1600" s="0" t="n">
        <v>32</v>
      </c>
      <c r="AU1600" s="0" t="n">
        <f aca="false">COUNTA($BA$1387:$EH$1387)</f>
        <v>1</v>
      </c>
      <c r="AV1600" s="0" t="n">
        <f aca="false">COUNTIF($BA$1387:$EH$1387,"D")</f>
        <v>0</v>
      </c>
      <c r="AW1600" s="0" t="n">
        <f aca="false">COUNTIF($BA$1387:$EH$1387,"R")</f>
        <v>0</v>
      </c>
      <c r="AX1600" s="0" t="n">
        <f aca="false"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>0</v>
      </c>
      <c r="AY1600" s="0" t="n">
        <f aca="false">COUNTIF(DU1600:EH1600, "&lt;&gt;")</f>
        <v>1</v>
      </c>
      <c r="AZ1600" s="0" t="n">
        <f aca="false">IF(EH1600&lt;&gt;"",1,0)</f>
        <v>0</v>
      </c>
      <c r="BB1600" s="0" t="s">
        <v>153</v>
      </c>
      <c r="BL1600" s="0" t="s">
        <v>154</v>
      </c>
      <c r="CP1600" s="0" t="s">
        <v>154</v>
      </c>
      <c r="EF1600" s="0" t="s">
        <v>154</v>
      </c>
    </row>
    <row r="1601" customFormat="false" ht="13.8" hidden="true" customHeight="false" outlineLevel="0" collapsed="false">
      <c r="A1601" s="0" t="s">
        <v>7311</v>
      </c>
      <c r="B1601" s="0" t="n">
        <v>78</v>
      </c>
      <c r="C1601" s="0" t="n">
        <v>445945</v>
      </c>
      <c r="D1601" s="0" t="s">
        <v>7312</v>
      </c>
      <c r="E1601" s="0" t="s">
        <v>7313</v>
      </c>
      <c r="F1601" s="0" t="str">
        <f aca="false">CONCATENATE(D1601," ",LEFT(H1601,4),"T=",AU1601,"D=",AV1601,"R=",AW1601,"M=",AX1601,"L=",AY1601,"B=",AZ1601)</f>
        <v>FRAZIER T=5D=0R=0M=0L=0B=0</v>
      </c>
      <c r="G1601" s="0" t="s">
        <v>202</v>
      </c>
      <c r="I1601" s="0" t="s">
        <v>5262</v>
      </c>
      <c r="J1601" s="0" t="s">
        <v>7314</v>
      </c>
      <c r="K1601" s="0" t="s">
        <v>175</v>
      </c>
      <c r="L1601" s="0"/>
      <c r="M1601" s="0" t="s">
        <v>7277</v>
      </c>
      <c r="N1601" s="0" t="str">
        <f aca="false">RIGHT(M1601,LEN(M1601)-FIND(" ",M1601))</f>
        <v>MAHONING AVE NW</v>
      </c>
      <c r="O1601" s="0" t="s">
        <v>7046</v>
      </c>
      <c r="P1601" s="0" t="s">
        <v>146</v>
      </c>
      <c r="Q1601" s="0" t="s">
        <v>147</v>
      </c>
      <c r="R1601" s="0" t="n">
        <v>44483</v>
      </c>
      <c r="AD1601" s="0" t="s">
        <v>148</v>
      </c>
      <c r="AE1601" s="0" t="s">
        <v>149</v>
      </c>
      <c r="AF1601" s="0" t="s">
        <v>150</v>
      </c>
      <c r="AH1601" s="0" t="n">
        <v>14</v>
      </c>
      <c r="AI1601" s="0" t="n">
        <v>11</v>
      </c>
      <c r="AN1601" s="0" t="s">
        <v>146</v>
      </c>
      <c r="AO1601" s="0" t="s">
        <v>151</v>
      </c>
      <c r="AP1601" s="0" t="s">
        <v>152</v>
      </c>
      <c r="AQ1601" s="0" t="n">
        <v>9</v>
      </c>
      <c r="AR1601" s="0" t="n">
        <v>64</v>
      </c>
      <c r="AS1601" s="0" t="n">
        <v>32</v>
      </c>
      <c r="AU1601" s="0" t="n">
        <f aca="false">COUNTA($BA$1461:$EH$1461)</f>
        <v>5</v>
      </c>
      <c r="AV1601" s="0" t="n">
        <f aca="false">COUNTIF($BA$1461:$EH$1461,"D")</f>
        <v>0</v>
      </c>
      <c r="AW1601" s="0" t="n">
        <f aca="false">COUNTIF($BA$1461:$EH$1461,"R")</f>
        <v>0</v>
      </c>
      <c r="AX1601" s="0" t="n">
        <f aca="false"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>0</v>
      </c>
      <c r="AY1601" s="0" t="n">
        <f aca="false">COUNTIF(DU1601:EH1601, "&lt;&gt;")</f>
        <v>0</v>
      </c>
      <c r="AZ1601" s="0" t="n">
        <f aca="false">IF(EH1601&lt;&gt;"",1,0)</f>
        <v>0</v>
      </c>
      <c r="BB1601" s="0" t="s">
        <v>153</v>
      </c>
    </row>
    <row r="1602" customFormat="false" ht="13.8" hidden="true" customHeight="false" outlineLevel="0" collapsed="false">
      <c r="A1602" s="0" t="s">
        <v>7315</v>
      </c>
      <c r="B1602" s="0" t="n">
        <v>78</v>
      </c>
      <c r="C1602" s="0" t="n">
        <v>404902</v>
      </c>
      <c r="D1602" s="0" t="s">
        <v>7316</v>
      </c>
      <c r="E1602" s="0" t="s">
        <v>7317</v>
      </c>
      <c r="F1602" s="0" t="str">
        <f aca="false">CONCATENATE(D1602," ",LEFT(H1602,4),"T=",AU1602,"D=",AV1602,"R=",AW1602,"M=",AX1602,"L=",AY1602,"B=",AZ1602)</f>
        <v>BURR T=19D=3R=1M=0L=1B=0</v>
      </c>
      <c r="G1602" s="0" t="s">
        <v>172</v>
      </c>
      <c r="I1602" s="0" t="s">
        <v>7318</v>
      </c>
      <c r="J1602" s="0" t="s">
        <v>7319</v>
      </c>
      <c r="K1602" s="0" t="s">
        <v>175</v>
      </c>
      <c r="L1602" s="0"/>
      <c r="M1602" s="0" t="s">
        <v>7277</v>
      </c>
      <c r="N1602" s="0" t="str">
        <f aca="false">RIGHT(M1602,LEN(M1602)-FIND(" ",M1602))</f>
        <v>MAHONING AVE NW</v>
      </c>
      <c r="O1602" s="0" t="s">
        <v>6897</v>
      </c>
      <c r="P1602" s="0" t="s">
        <v>146</v>
      </c>
      <c r="Q1602" s="0" t="s">
        <v>147</v>
      </c>
      <c r="R1602" s="0" t="n">
        <v>44483</v>
      </c>
      <c r="AD1602" s="0" t="s">
        <v>148</v>
      </c>
      <c r="AE1602" s="0" t="s">
        <v>149</v>
      </c>
      <c r="AF1602" s="0" t="s">
        <v>150</v>
      </c>
      <c r="AH1602" s="0" t="n">
        <v>14</v>
      </c>
      <c r="AI1602" s="0" t="n">
        <v>11</v>
      </c>
      <c r="AN1602" s="0" t="s">
        <v>146</v>
      </c>
      <c r="AO1602" s="0" t="s">
        <v>151</v>
      </c>
      <c r="AP1602" s="0" t="s">
        <v>152</v>
      </c>
      <c r="AQ1602" s="0" t="n">
        <v>9</v>
      </c>
      <c r="AR1602" s="0" t="n">
        <v>64</v>
      </c>
      <c r="AS1602" s="0" t="n">
        <v>32</v>
      </c>
      <c r="AU1602" s="0" t="n">
        <f aca="false">COUNTA($BA$1520:$EH$1520)</f>
        <v>19</v>
      </c>
      <c r="AV1602" s="0" t="n">
        <f aca="false">COUNTIF($BA$1520:$EH$1520,"D")</f>
        <v>3</v>
      </c>
      <c r="AW1602" s="0" t="n">
        <f aca="false">COUNTIF($BA$1520:$EH$1520,"R")</f>
        <v>1</v>
      </c>
      <c r="AX1602" s="0" t="n">
        <f aca="false"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>0</v>
      </c>
      <c r="AY1602" s="0" t="n">
        <f aca="false">COUNTIF(DU1602:EH1602, "&lt;&gt;")</f>
        <v>1</v>
      </c>
      <c r="AZ1602" s="0" t="n">
        <f aca="false">IF(EH1602&lt;&gt;"",1,0)</f>
        <v>0</v>
      </c>
      <c r="BB1602" s="0" t="s">
        <v>153</v>
      </c>
      <c r="BK1602" s="0" t="s">
        <v>154</v>
      </c>
      <c r="CA1602" s="0" t="s">
        <v>154</v>
      </c>
      <c r="CG1602" s="0" t="s">
        <v>154</v>
      </c>
      <c r="CP1602" s="0" t="s">
        <v>154</v>
      </c>
      <c r="DN1602" s="0" t="s">
        <v>154</v>
      </c>
      <c r="EF1602" s="0" t="s">
        <v>154</v>
      </c>
    </row>
    <row r="1603" customFormat="false" ht="13.8" hidden="true" customHeight="false" outlineLevel="0" collapsed="false">
      <c r="A1603" s="0" t="s">
        <v>7320</v>
      </c>
      <c r="B1603" s="0" t="n">
        <v>78</v>
      </c>
      <c r="C1603" s="0" t="n">
        <v>383844</v>
      </c>
      <c r="D1603" s="0" t="s">
        <v>4426</v>
      </c>
      <c r="E1603" s="0" t="s">
        <v>7321</v>
      </c>
      <c r="F1603" s="0" t="str">
        <f aca="false">CONCATENATE(D1603," ",LEFT(H1603,4),"T=",AU1603,"D=",AV1603,"R=",AW1603,"M=",AX1603,"L=",AY1603,"B=",AZ1603)</f>
        <v>OWENS T=4D=0R=0M=0L=0B=0</v>
      </c>
      <c r="G1603" s="0" t="s">
        <v>939</v>
      </c>
      <c r="I1603" s="0" t="s">
        <v>7322</v>
      </c>
      <c r="J1603" s="0" t="s">
        <v>7323</v>
      </c>
      <c r="K1603" s="0" t="s">
        <v>175</v>
      </c>
      <c r="L1603" s="0"/>
      <c r="M1603" s="0" t="s">
        <v>7277</v>
      </c>
      <c r="N1603" s="0" t="str">
        <f aca="false">RIGHT(M1603,LEN(M1603)-FIND(" ",M1603))</f>
        <v>MAHONING AVE NW</v>
      </c>
      <c r="O1603" s="0" t="s">
        <v>6885</v>
      </c>
      <c r="P1603" s="0" t="s">
        <v>146</v>
      </c>
      <c r="Q1603" s="0" t="s">
        <v>147</v>
      </c>
      <c r="R1603" s="0" t="n">
        <v>44483</v>
      </c>
      <c r="AD1603" s="0" t="s">
        <v>148</v>
      </c>
      <c r="AE1603" s="0" t="s">
        <v>149</v>
      </c>
      <c r="AF1603" s="0" t="s">
        <v>150</v>
      </c>
      <c r="AH1603" s="0" t="n">
        <v>14</v>
      </c>
      <c r="AI1603" s="0" t="n">
        <v>11</v>
      </c>
      <c r="AN1603" s="0" t="s">
        <v>146</v>
      </c>
      <c r="AO1603" s="0" t="s">
        <v>151</v>
      </c>
      <c r="AP1603" s="0" t="s">
        <v>152</v>
      </c>
      <c r="AQ1603" s="0" t="n">
        <v>9</v>
      </c>
      <c r="AR1603" s="0" t="n">
        <v>64</v>
      </c>
      <c r="AS1603" s="0" t="n">
        <v>32</v>
      </c>
      <c r="AU1603" s="0" t="n">
        <f aca="false">COUNTA($BA$1629:$EH$1629)</f>
        <v>4</v>
      </c>
      <c r="AV1603" s="0" t="n">
        <f aca="false">COUNTIF($BA$1629:$EH$1629,"D")</f>
        <v>0</v>
      </c>
      <c r="AW1603" s="0" t="n">
        <f aca="false">COUNTIF($BA$1629:$EH$1629,"R")</f>
        <v>0</v>
      </c>
      <c r="AX1603" s="0" t="n">
        <f aca="false"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>0</v>
      </c>
      <c r="AY1603" s="0" t="n">
        <f aca="false">COUNTIF(DU1603:EH1603, "&lt;&gt;")</f>
        <v>0</v>
      </c>
      <c r="AZ1603" s="0" t="n">
        <f aca="false">IF(EH1603&lt;&gt;"",1,0)</f>
        <v>0</v>
      </c>
      <c r="BB1603" s="0" t="s">
        <v>153</v>
      </c>
      <c r="CP1603" s="0" t="s">
        <v>154</v>
      </c>
    </row>
    <row r="1604" customFormat="false" ht="13.8" hidden="false" customHeight="false" outlineLevel="0" collapsed="false">
      <c r="A1604" s="0" t="s">
        <v>7324</v>
      </c>
      <c r="B1604" s="0" t="n">
        <v>78</v>
      </c>
      <c r="C1604" s="0" t="n">
        <v>458920</v>
      </c>
      <c r="D1604" s="0" t="s">
        <v>6534</v>
      </c>
      <c r="E1604" s="0" t="s">
        <v>7325</v>
      </c>
      <c r="F1604" s="0" t="str">
        <f aca="false">CONCATENATE(D1604," ",LEFT(H1604,4),"T=",AU1604,"D=",AV1604,"R=",AW1604,"M=",AX1604,"L=",AY1604,"B=",AZ1604)</f>
        <v>PARKER T=4D=1R=0M=0L=2B=0</v>
      </c>
      <c r="G1604" s="0" t="s">
        <v>155</v>
      </c>
      <c r="I1604" s="0" t="s">
        <v>7326</v>
      </c>
      <c r="J1604" s="0" t="s">
        <v>7327</v>
      </c>
      <c r="K1604" s="0" t="s">
        <v>175</v>
      </c>
      <c r="M1604" s="0" t="s">
        <v>7277</v>
      </c>
      <c r="N1604" s="0" t="str">
        <f aca="false">RIGHT(M1604,LEN(M1604)-FIND(" ",M1604))</f>
        <v>MAHONING AVE NW</v>
      </c>
      <c r="O1604" s="0" t="s">
        <v>6951</v>
      </c>
      <c r="P1604" s="0" t="s">
        <v>146</v>
      </c>
      <c r="Q1604" s="0" t="s">
        <v>147</v>
      </c>
      <c r="R1604" s="0" t="n">
        <v>44483</v>
      </c>
      <c r="AD1604" s="0" t="s">
        <v>148</v>
      </c>
      <c r="AE1604" s="0" t="s">
        <v>149</v>
      </c>
      <c r="AF1604" s="0" t="s">
        <v>150</v>
      </c>
      <c r="AH1604" s="0" t="n">
        <v>14</v>
      </c>
      <c r="AI1604" s="0" t="n">
        <v>11</v>
      </c>
      <c r="AN1604" s="0" t="s">
        <v>146</v>
      </c>
      <c r="AO1604" s="0" t="s">
        <v>151</v>
      </c>
      <c r="AP1604" s="0" t="s">
        <v>152</v>
      </c>
      <c r="AQ1604" s="0" t="n">
        <v>9</v>
      </c>
      <c r="AR1604" s="0" t="n">
        <v>64</v>
      </c>
      <c r="AS1604" s="0" t="n">
        <v>32</v>
      </c>
      <c r="AU1604" s="0" t="n">
        <f aca="false">COUNTA($BA$1642:$EH$1642)</f>
        <v>4</v>
      </c>
      <c r="AV1604" s="0" t="n">
        <f aca="false">COUNTIF($BA$1642:$EH$1642,"D")</f>
        <v>1</v>
      </c>
      <c r="AW1604" s="0" t="n">
        <f aca="false">COUNTIF($BA$1642:$EH$1642,"R")</f>
        <v>0</v>
      </c>
      <c r="AX1604" s="0" t="n">
        <f aca="false"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>0</v>
      </c>
      <c r="AY1604" s="0" t="n">
        <f aca="false">COUNTIF(DU1604:EH1604, "&lt;&gt;")</f>
        <v>2</v>
      </c>
      <c r="AZ1604" s="0" t="n">
        <f aca="false">IF(EH1604&lt;&gt;"",1,0)</f>
        <v>0</v>
      </c>
      <c r="BB1604" s="0" t="s">
        <v>153</v>
      </c>
      <c r="EA1604" s="0" t="s">
        <v>154</v>
      </c>
      <c r="EF1604" s="0" t="s">
        <v>154</v>
      </c>
    </row>
    <row r="1605" customFormat="false" ht="13.8" hidden="true" customHeight="false" outlineLevel="0" collapsed="false">
      <c r="A1605" s="0" t="s">
        <v>7328</v>
      </c>
      <c r="B1605" s="0" t="n">
        <v>78</v>
      </c>
      <c r="C1605" s="0" t="n">
        <v>309274</v>
      </c>
      <c r="D1605" s="0" t="s">
        <v>2859</v>
      </c>
      <c r="E1605" s="0" t="s">
        <v>454</v>
      </c>
      <c r="F1605" s="0" t="str">
        <f aca="false">CONCATENATE(D1605," ",LEFT(H1605,4),"T=",AU1605,"D=",AV1605,"R=",AW1605,"M=",AX1605,"L=",AY1605,"B=",AZ1605)</f>
        <v>OLIVER T=3D=0R=0M=0L=0B=0</v>
      </c>
      <c r="G1605" s="0" t="s">
        <v>1482</v>
      </c>
      <c r="I1605" s="0" t="s">
        <v>7329</v>
      </c>
      <c r="J1605" s="0" t="s">
        <v>3755</v>
      </c>
      <c r="K1605" s="0" t="s">
        <v>175</v>
      </c>
      <c r="L1605" s="0"/>
      <c r="M1605" s="0" t="s">
        <v>7277</v>
      </c>
      <c r="N1605" s="0" t="str">
        <f aca="false">RIGHT(M1605,LEN(M1605)-FIND(" ",M1605))</f>
        <v>MAHONING AVE NW</v>
      </c>
      <c r="O1605" s="0" t="s">
        <v>7046</v>
      </c>
      <c r="P1605" s="0" t="s">
        <v>146</v>
      </c>
      <c r="Q1605" s="0" t="s">
        <v>147</v>
      </c>
      <c r="R1605" s="0" t="n">
        <v>44483</v>
      </c>
      <c r="AD1605" s="0" t="s">
        <v>148</v>
      </c>
      <c r="AE1605" s="0" t="s">
        <v>149</v>
      </c>
      <c r="AF1605" s="0" t="s">
        <v>150</v>
      </c>
      <c r="AH1605" s="0" t="n">
        <v>14</v>
      </c>
      <c r="AI1605" s="0" t="n">
        <v>11</v>
      </c>
      <c r="AN1605" s="0" t="s">
        <v>146</v>
      </c>
      <c r="AO1605" s="0" t="s">
        <v>151</v>
      </c>
      <c r="AP1605" s="0" t="s">
        <v>152</v>
      </c>
      <c r="AQ1605" s="0" t="n">
        <v>9</v>
      </c>
      <c r="AR1605" s="0" t="n">
        <v>64</v>
      </c>
      <c r="AS1605" s="0" t="n">
        <v>32</v>
      </c>
      <c r="AU1605" s="0" t="n">
        <f aca="false">COUNTA($BA$1706:$EH$1706)</f>
        <v>3</v>
      </c>
      <c r="AV1605" s="0" t="n">
        <f aca="false">COUNTIF($BA$1706:$EH$1706,"D")</f>
        <v>0</v>
      </c>
      <c r="AW1605" s="0" t="n">
        <f aca="false">COUNTIF($BA$1706:$EH$1706,"R")</f>
        <v>0</v>
      </c>
      <c r="AX1605" s="0" t="n">
        <f aca="false"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>0</v>
      </c>
      <c r="AY1605" s="0" t="n">
        <f aca="false">COUNTIF(DU1605:EH1605, "&lt;&gt;")</f>
        <v>0</v>
      </c>
      <c r="AZ1605" s="0" t="n">
        <f aca="false">IF(EH1605&lt;&gt;"",1,0)</f>
        <v>0</v>
      </c>
      <c r="BB1605" s="0" t="s">
        <v>153</v>
      </c>
      <c r="CK1605" s="0" t="s">
        <v>154</v>
      </c>
      <c r="CP1605" s="0" t="s">
        <v>154</v>
      </c>
    </row>
    <row r="1606" customFormat="false" ht="13.8" hidden="true" customHeight="false" outlineLevel="0" collapsed="false">
      <c r="A1606" s="0" t="s">
        <v>7330</v>
      </c>
      <c r="B1606" s="0" t="n">
        <v>78</v>
      </c>
      <c r="C1606" s="0" t="n">
        <v>406387</v>
      </c>
      <c r="D1606" s="0" t="s">
        <v>2695</v>
      </c>
      <c r="E1606" s="0" t="s">
        <v>619</v>
      </c>
      <c r="F1606" s="0" t="str">
        <f aca="false">CONCATENATE(D1606," ",LEFT(H1606,4),"T=",AU1606,"D=",AV1606,"R=",AW1606,"M=",AX1606,"L=",AY1606,"B=",AZ1606)</f>
        <v>HARRIS JRT=2D=0R=0M=0L=0B=0</v>
      </c>
      <c r="G1606" s="0" t="s">
        <v>317</v>
      </c>
      <c r="H1606" s="0" t="s">
        <v>431</v>
      </c>
      <c r="I1606" s="0" t="s">
        <v>7331</v>
      </c>
      <c r="J1606" s="0" t="s">
        <v>7332</v>
      </c>
      <c r="K1606" s="0" t="s">
        <v>175</v>
      </c>
      <c r="L1606" s="0"/>
      <c r="M1606" s="0" t="s">
        <v>7277</v>
      </c>
      <c r="N1606" s="0" t="str">
        <f aca="false">RIGHT(M1606,LEN(M1606)-FIND(" ",M1606))</f>
        <v>MAHONING AVE NW</v>
      </c>
      <c r="O1606" s="0" t="s">
        <v>6934</v>
      </c>
      <c r="P1606" s="0" t="s">
        <v>146</v>
      </c>
      <c r="Q1606" s="0" t="s">
        <v>147</v>
      </c>
      <c r="R1606" s="0" t="n">
        <v>44483</v>
      </c>
      <c r="AD1606" s="0" t="s">
        <v>148</v>
      </c>
      <c r="AE1606" s="0" t="s">
        <v>149</v>
      </c>
      <c r="AF1606" s="0" t="s">
        <v>150</v>
      </c>
      <c r="AH1606" s="0" t="n">
        <v>14</v>
      </c>
      <c r="AI1606" s="0" t="n">
        <v>11</v>
      </c>
      <c r="AN1606" s="0" t="s">
        <v>146</v>
      </c>
      <c r="AO1606" s="0" t="s">
        <v>151</v>
      </c>
      <c r="AP1606" s="0" t="s">
        <v>152</v>
      </c>
      <c r="AQ1606" s="0" t="n">
        <v>9</v>
      </c>
      <c r="AR1606" s="0" t="n">
        <v>64</v>
      </c>
      <c r="AS1606" s="0" t="n">
        <v>32</v>
      </c>
      <c r="AU1606" s="0" t="n">
        <f aca="false">COUNTA($BA$1758:$EH$1758)</f>
        <v>2</v>
      </c>
      <c r="AV1606" s="0" t="n">
        <f aca="false">COUNTIF($BA$1758:$EH$1758,"D")</f>
        <v>0</v>
      </c>
      <c r="AW1606" s="0" t="n">
        <f aca="false">COUNTIF($BA$1758:$EH$1758,"R")</f>
        <v>0</v>
      </c>
      <c r="AX1606" s="0" t="n">
        <f aca="false"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>0</v>
      </c>
      <c r="AY1606" s="0" t="n">
        <f aca="false">COUNTIF(DU1606:EH1606, "&lt;&gt;")</f>
        <v>0</v>
      </c>
      <c r="AZ1606" s="0" t="n">
        <f aca="false">IF(EH1606&lt;&gt;"",1,0)</f>
        <v>0</v>
      </c>
      <c r="BB1606" s="0" t="s">
        <v>153</v>
      </c>
      <c r="BL1606" s="0" t="s">
        <v>154</v>
      </c>
      <c r="BY1606" s="0" t="s">
        <v>155</v>
      </c>
      <c r="CA1606" s="0" t="s">
        <v>154</v>
      </c>
      <c r="CP1606" s="0" t="s">
        <v>154</v>
      </c>
      <c r="DN1606" s="0" t="s">
        <v>154</v>
      </c>
    </row>
    <row r="1607" customFormat="false" ht="13.8" hidden="true" customHeight="false" outlineLevel="0" collapsed="false">
      <c r="A1607" s="0" t="s">
        <v>7333</v>
      </c>
      <c r="B1607" s="0" t="n">
        <v>78</v>
      </c>
      <c r="C1607" s="0" t="n">
        <v>438789</v>
      </c>
      <c r="D1607" s="0" t="s">
        <v>7334</v>
      </c>
      <c r="E1607" s="0" t="s">
        <v>7335</v>
      </c>
      <c r="F1607" s="0" t="str">
        <f aca="false">CONCATENATE(D1607," ",LEFT(H1607,4),"T=",AU1607,"D=",AV1607,"R=",AW1607,"M=",AX1607,"L=",AY1607,"B=",AZ1607)</f>
        <v>SANDERS T=14D=5R=0M=0L=0B=0</v>
      </c>
      <c r="G1607" s="0" t="s">
        <v>7336</v>
      </c>
      <c r="I1607" s="0" t="s">
        <v>7337</v>
      </c>
      <c r="J1607" s="0" t="s">
        <v>7338</v>
      </c>
      <c r="K1607" s="0" t="s">
        <v>175</v>
      </c>
      <c r="L1607" s="0"/>
      <c r="M1607" s="0" t="s">
        <v>7277</v>
      </c>
      <c r="N1607" s="0" t="str">
        <f aca="false">RIGHT(M1607,LEN(M1607)-FIND(" ",M1607))</f>
        <v>MAHONING AVE NW</v>
      </c>
      <c r="O1607" s="0" t="s">
        <v>7339</v>
      </c>
      <c r="P1607" s="0" t="s">
        <v>146</v>
      </c>
      <c r="Q1607" s="0" t="s">
        <v>147</v>
      </c>
      <c r="R1607" s="0" t="n">
        <v>44483</v>
      </c>
      <c r="AD1607" s="0" t="s">
        <v>148</v>
      </c>
      <c r="AE1607" s="0" t="s">
        <v>149</v>
      </c>
      <c r="AF1607" s="0" t="s">
        <v>150</v>
      </c>
      <c r="AH1607" s="0" t="n">
        <v>14</v>
      </c>
      <c r="AI1607" s="0" t="n">
        <v>11</v>
      </c>
      <c r="AN1607" s="0" t="s">
        <v>146</v>
      </c>
      <c r="AO1607" s="0" t="s">
        <v>151</v>
      </c>
      <c r="AP1607" s="0" t="s">
        <v>152</v>
      </c>
      <c r="AQ1607" s="0" t="n">
        <v>9</v>
      </c>
      <c r="AR1607" s="0" t="n">
        <v>64</v>
      </c>
      <c r="AS1607" s="0" t="n">
        <v>32</v>
      </c>
      <c r="AU1607" s="0" t="n">
        <f aca="false">COUNTA($BA$1998:$EH$1998)</f>
        <v>14</v>
      </c>
      <c r="AV1607" s="0" t="n">
        <f aca="false">COUNTIF($BA$1998:$EH$1998,"D")</f>
        <v>5</v>
      </c>
      <c r="AW1607" s="0" t="n">
        <f aca="false">COUNTIF($BA$1998:$EH$1998,"R")</f>
        <v>0</v>
      </c>
      <c r="AX1607" s="0" t="n">
        <f aca="false"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>0</v>
      </c>
      <c r="AY1607" s="0" t="n">
        <f aca="false">COUNTIF(DU1607:EH1607, "&lt;&gt;")</f>
        <v>0</v>
      </c>
      <c r="AZ1607" s="0" t="n">
        <f aca="false">IF(EH1607&lt;&gt;"",1,0)</f>
        <v>0</v>
      </c>
      <c r="BB1607" s="0" t="s">
        <v>153</v>
      </c>
    </row>
    <row r="1608" customFormat="false" ht="13.8" hidden="true" customHeight="false" outlineLevel="0" collapsed="false">
      <c r="A1608" s="0" t="s">
        <v>7340</v>
      </c>
      <c r="B1608" s="0" t="n">
        <v>78</v>
      </c>
      <c r="C1608" s="0" t="n">
        <v>446347</v>
      </c>
      <c r="D1608" s="0" t="s">
        <v>7341</v>
      </c>
      <c r="E1608" s="0" t="s">
        <v>2759</v>
      </c>
      <c r="F1608" s="0" t="str">
        <f aca="false">CONCATENATE(D1608," ",LEFT(H1608,4),"T=",AU1608,"D=",AV1608,"R=",AW1608,"M=",AX1608,"L=",AY1608,"B=",AZ1608)</f>
        <v>STEFANIK T=4D=1R=0M=0L=0B=0</v>
      </c>
      <c r="G1608" s="0" t="s">
        <v>176</v>
      </c>
      <c r="I1608" s="0" t="s">
        <v>7342</v>
      </c>
      <c r="J1608" s="0" t="s">
        <v>4832</v>
      </c>
      <c r="K1608" s="0" t="s">
        <v>144</v>
      </c>
      <c r="L1608" s="0"/>
      <c r="M1608" s="0" t="s">
        <v>7277</v>
      </c>
      <c r="N1608" s="0" t="str">
        <f aca="false">RIGHT(M1608,LEN(M1608)-FIND(" ",M1608))</f>
        <v>MAHONING AVE NW</v>
      </c>
      <c r="O1608" s="0" t="s">
        <v>6984</v>
      </c>
      <c r="P1608" s="0" t="s">
        <v>146</v>
      </c>
      <c r="Q1608" s="0" t="s">
        <v>147</v>
      </c>
      <c r="R1608" s="0" t="n">
        <v>44483</v>
      </c>
      <c r="AD1608" s="0" t="s">
        <v>148</v>
      </c>
      <c r="AE1608" s="0" t="s">
        <v>149</v>
      </c>
      <c r="AF1608" s="0" t="s">
        <v>150</v>
      </c>
      <c r="AH1608" s="0" t="n">
        <v>14</v>
      </c>
      <c r="AI1608" s="0" t="n">
        <v>11</v>
      </c>
      <c r="AN1608" s="0" t="s">
        <v>146</v>
      </c>
      <c r="AO1608" s="0" t="s">
        <v>151</v>
      </c>
      <c r="AP1608" s="0" t="s">
        <v>152</v>
      </c>
      <c r="AQ1608" s="0" t="n">
        <v>9</v>
      </c>
      <c r="AR1608" s="0" t="n">
        <v>64</v>
      </c>
      <c r="AS1608" s="0" t="n">
        <v>32</v>
      </c>
      <c r="AU1608" s="0" t="n">
        <f aca="false">COUNTA($BA$2041:$EH$2041)</f>
        <v>4</v>
      </c>
      <c r="AV1608" s="0" t="n">
        <f aca="false">COUNTIF($BA$2041:$EH$2041,"D")</f>
        <v>1</v>
      </c>
      <c r="AW1608" s="0" t="n">
        <f aca="false">COUNTIF($BA$2041:$EH$2041,"R")</f>
        <v>0</v>
      </c>
      <c r="AX1608" s="0" t="n">
        <f aca="false"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>0</v>
      </c>
      <c r="AY1608" s="0" t="n">
        <f aca="false">COUNTIF(DU1608:EH1608, "&lt;&gt;")</f>
        <v>0</v>
      </c>
      <c r="AZ1608" s="0" t="n">
        <f aca="false">IF(EH1608&lt;&gt;"",1,0)</f>
        <v>0</v>
      </c>
      <c r="BB1608" s="0" t="s">
        <v>153</v>
      </c>
      <c r="CY1608" s="0" t="s">
        <v>154</v>
      </c>
      <c r="CZ1608" s="0" t="s">
        <v>155</v>
      </c>
      <c r="DC1608" s="0" t="s">
        <v>154</v>
      </c>
      <c r="DN1608" s="0" t="s">
        <v>154</v>
      </c>
    </row>
    <row r="1609" customFormat="false" ht="13.8" hidden="false" customHeight="false" outlineLevel="0" collapsed="false">
      <c r="A1609" s="0" t="s">
        <v>7343</v>
      </c>
      <c r="B1609" s="0" t="n">
        <v>78</v>
      </c>
      <c r="C1609" s="0" t="n">
        <v>279888</v>
      </c>
      <c r="D1609" s="0" t="s">
        <v>7344</v>
      </c>
      <c r="E1609" s="0" t="s">
        <v>7345</v>
      </c>
      <c r="F1609" s="0" t="str">
        <f aca="false">CONCATENATE(D1609," ",LEFT(H1609,4),"T=",AU1609,"D=",AV1609,"R=",AW1609,"M=",AX1609,"L=",AY1609,"B=",AZ1609)</f>
        <v>COULTER T=1D=0R=0M=0L=3B=0</v>
      </c>
      <c r="I1609" s="0" t="s">
        <v>7346</v>
      </c>
      <c r="J1609" s="0" t="s">
        <v>521</v>
      </c>
      <c r="K1609" s="0" t="s">
        <v>175</v>
      </c>
      <c r="M1609" s="0" t="s">
        <v>7347</v>
      </c>
      <c r="N1609" s="0" t="str">
        <f aca="false">RIGHT(M1609,LEN(M1609)-FIND(" ",M1609))</f>
        <v>MAHONING AVE NW</v>
      </c>
      <c r="P1609" s="0" t="s">
        <v>146</v>
      </c>
      <c r="Q1609" s="0" t="s">
        <v>147</v>
      </c>
      <c r="R1609" s="0" t="n">
        <v>44483</v>
      </c>
      <c r="AD1609" s="0" t="s">
        <v>148</v>
      </c>
      <c r="AE1609" s="0" t="s">
        <v>149</v>
      </c>
      <c r="AF1609" s="0" t="s">
        <v>150</v>
      </c>
      <c r="AH1609" s="0" t="n">
        <v>14</v>
      </c>
      <c r="AI1609" s="0" t="n">
        <v>11</v>
      </c>
      <c r="AN1609" s="0" t="s">
        <v>146</v>
      </c>
      <c r="AO1609" s="0" t="s">
        <v>151</v>
      </c>
      <c r="AP1609" s="0" t="s">
        <v>152</v>
      </c>
      <c r="AQ1609" s="0" t="n">
        <v>9</v>
      </c>
      <c r="AR1609" s="0" t="n">
        <v>64</v>
      </c>
      <c r="AS1609" s="0" t="n">
        <v>32</v>
      </c>
      <c r="AU1609" s="0" t="n">
        <f aca="false">COUNTA($BA$1238:$EH$1238)</f>
        <v>1</v>
      </c>
      <c r="AV1609" s="0" t="n">
        <f aca="false">COUNTIF($BA$1238:$EH$1238,"D")</f>
        <v>0</v>
      </c>
      <c r="AW1609" s="0" t="n">
        <f aca="false">COUNTIF($BA$1238:$EH$1238,"R")</f>
        <v>0</v>
      </c>
      <c r="AX1609" s="0" t="n">
        <f aca="false"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>0</v>
      </c>
      <c r="AY1609" s="0" t="n">
        <f aca="false">COUNTIF(DU1609:EH1609, "&lt;&gt;")</f>
        <v>3</v>
      </c>
      <c r="AZ1609" s="0" t="n">
        <f aca="false">IF(EH1609&lt;&gt;"",1,0)</f>
        <v>0</v>
      </c>
      <c r="BB1609" s="0" t="s">
        <v>153</v>
      </c>
      <c r="BC1609" s="0" t="s">
        <v>154</v>
      </c>
      <c r="BD1609" s="0" t="s">
        <v>154</v>
      </c>
      <c r="BE1609" s="0" t="s">
        <v>154</v>
      </c>
      <c r="BH1609" s="0" t="s">
        <v>154</v>
      </c>
      <c r="BI1609" s="0" t="s">
        <v>154</v>
      </c>
      <c r="BJ1609" s="0" t="s">
        <v>154</v>
      </c>
      <c r="BK1609" s="0" t="s">
        <v>154</v>
      </c>
      <c r="BL1609" s="0" t="s">
        <v>154</v>
      </c>
      <c r="BR1609" s="0" t="s">
        <v>154</v>
      </c>
      <c r="BS1609" s="0" t="s">
        <v>154</v>
      </c>
      <c r="CA1609" s="0" t="s">
        <v>154</v>
      </c>
      <c r="CH1609" s="0" t="s">
        <v>176</v>
      </c>
      <c r="CK1609" s="0" t="s">
        <v>154</v>
      </c>
      <c r="CP1609" s="0" t="s">
        <v>154</v>
      </c>
      <c r="DC1609" s="0" t="s">
        <v>154</v>
      </c>
      <c r="DM1609" s="0" t="s">
        <v>155</v>
      </c>
      <c r="DN1609" s="0" t="s">
        <v>154</v>
      </c>
      <c r="DU1609" s="0" t="s">
        <v>154</v>
      </c>
      <c r="EA1609" s="0" t="s">
        <v>154</v>
      </c>
      <c r="EF1609" s="0" t="s">
        <v>154</v>
      </c>
    </row>
    <row r="1610" customFormat="false" ht="13.8" hidden="false" customHeight="false" outlineLevel="0" collapsed="false">
      <c r="A1610" s="0" t="s">
        <v>7348</v>
      </c>
      <c r="B1610" s="0" t="n">
        <v>78</v>
      </c>
      <c r="C1610" s="0" t="n">
        <v>407276</v>
      </c>
      <c r="D1610" s="0" t="s">
        <v>7349</v>
      </c>
      <c r="E1610" s="0" t="s">
        <v>1374</v>
      </c>
      <c r="F1610" s="0" t="str">
        <f aca="false">CONCATENATE(D1610," ",LEFT(H1610,4),"T=",AU1610,"D=",AV1610,"R=",AW1610,"M=",AX1610,"L=",AY1610,"B=",AZ1610)</f>
        <v>VIINALASS T=9D=1R=0M=0L=2B=0</v>
      </c>
      <c r="G1610" s="0" t="s">
        <v>241</v>
      </c>
      <c r="I1610" s="0" t="s">
        <v>7350</v>
      </c>
      <c r="J1610" s="0" t="s">
        <v>6901</v>
      </c>
      <c r="K1610" s="0" t="s">
        <v>175</v>
      </c>
      <c r="L1610" s="1" t="s">
        <v>176</v>
      </c>
      <c r="M1610" s="0" t="s">
        <v>7351</v>
      </c>
      <c r="N1610" s="0" t="str">
        <f aca="false">RIGHT(M1610,LEN(M1610)-FIND(" ",M1610))</f>
        <v>MAHONING AVE NW</v>
      </c>
      <c r="P1610" s="0" t="s">
        <v>146</v>
      </c>
      <c r="Q1610" s="0" t="s">
        <v>147</v>
      </c>
      <c r="R1610" s="0" t="n">
        <v>44483</v>
      </c>
      <c r="AD1610" s="0" t="s">
        <v>148</v>
      </c>
      <c r="AE1610" s="0" t="s">
        <v>149</v>
      </c>
      <c r="AF1610" s="0" t="s">
        <v>150</v>
      </c>
      <c r="AH1610" s="0" t="n">
        <v>14</v>
      </c>
      <c r="AI1610" s="0" t="n">
        <v>11</v>
      </c>
      <c r="AN1610" s="0" t="s">
        <v>146</v>
      </c>
      <c r="AO1610" s="0" t="s">
        <v>151</v>
      </c>
      <c r="AP1610" s="0" t="s">
        <v>152</v>
      </c>
      <c r="AQ1610" s="0" t="n">
        <v>9</v>
      </c>
      <c r="AR1610" s="0" t="n">
        <v>64</v>
      </c>
      <c r="AS1610" s="0" t="n">
        <v>32</v>
      </c>
      <c r="AU1610" s="0" t="n">
        <f aca="false">COUNTA($BA$1454:$EH$1454)</f>
        <v>9</v>
      </c>
      <c r="AV1610" s="0" t="n">
        <f aca="false">COUNTIF($BA$1454:$EH$1454,"D")</f>
        <v>1</v>
      </c>
      <c r="AW1610" s="0" t="n">
        <f aca="false">COUNTIF($BA$1454:$EH$1454,"R")</f>
        <v>0</v>
      </c>
      <c r="AX1610" s="0" t="n">
        <f aca="false"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>0</v>
      </c>
      <c r="AY1610" s="0" t="n">
        <f aca="false">COUNTIF(DU1610:EH1610, "&lt;&gt;")</f>
        <v>2</v>
      </c>
      <c r="AZ1610" s="0" t="n">
        <f aca="false">IF(EH1610&lt;&gt;"",1,0)</f>
        <v>0</v>
      </c>
      <c r="BB1610" s="0" t="s">
        <v>153</v>
      </c>
      <c r="CA1610" s="0" t="s">
        <v>154</v>
      </c>
      <c r="CK1610" s="0" t="s">
        <v>154</v>
      </c>
      <c r="CO1610" s="0" t="s">
        <v>176</v>
      </c>
      <c r="CP1610" s="0" t="s">
        <v>154</v>
      </c>
      <c r="CZ1610" s="0" t="s">
        <v>176</v>
      </c>
      <c r="DC1610" s="0" t="s">
        <v>154</v>
      </c>
      <c r="DF1610" s="0" t="s">
        <v>154</v>
      </c>
      <c r="DI1610" s="0" t="s">
        <v>154</v>
      </c>
      <c r="DL1610" s="0" t="s">
        <v>154</v>
      </c>
      <c r="DN1610" s="0" t="s">
        <v>154</v>
      </c>
      <c r="DS1610" s="0" t="s">
        <v>176</v>
      </c>
      <c r="DU1610" s="0" t="s">
        <v>154</v>
      </c>
      <c r="EF1610" s="0" t="s">
        <v>154</v>
      </c>
    </row>
    <row r="1611" customFormat="false" ht="13.8" hidden="false" customHeight="false" outlineLevel="0" collapsed="false">
      <c r="A1611" s="0" t="s">
        <v>7352</v>
      </c>
      <c r="B1611" s="0" t="n">
        <v>78</v>
      </c>
      <c r="C1611" s="0" t="n">
        <v>489266</v>
      </c>
      <c r="D1611" s="0" t="s">
        <v>7353</v>
      </c>
      <c r="E1611" s="0" t="s">
        <v>7354</v>
      </c>
      <c r="F1611" s="0" t="str">
        <f aca="false">CONCATENATE(D1611," ",LEFT(H1611,4),"T=",AU1611,"D=",AV1611,"R=",AW1611,"M=",AX1611,"L=",AY1611,"B=",AZ1611)</f>
        <v>BLAND T=27D=8R=0M=1L=2B=1</v>
      </c>
      <c r="G1611" s="0" t="s">
        <v>7355</v>
      </c>
      <c r="I1611" s="0" t="s">
        <v>7356</v>
      </c>
      <c r="J1611" s="0" t="s">
        <v>7357</v>
      </c>
      <c r="K1611" s="0" t="s">
        <v>175</v>
      </c>
      <c r="L1611" s="1" t="s">
        <v>155</v>
      </c>
      <c r="M1611" s="0" t="s">
        <v>7358</v>
      </c>
      <c r="N1611" s="0" t="str">
        <f aca="false">RIGHT(M1611,LEN(M1611)-FIND(" ",M1611))</f>
        <v>MAHONING AVE NW</v>
      </c>
      <c r="P1611" s="0" t="s">
        <v>146</v>
      </c>
      <c r="Q1611" s="0" t="s">
        <v>147</v>
      </c>
      <c r="R1611" s="0" t="n">
        <v>44483</v>
      </c>
      <c r="AD1611" s="0" t="s">
        <v>148</v>
      </c>
      <c r="AE1611" s="0" t="s">
        <v>149</v>
      </c>
      <c r="AF1611" s="0" t="s">
        <v>150</v>
      </c>
      <c r="AH1611" s="0" t="n">
        <v>14</v>
      </c>
      <c r="AI1611" s="0" t="n">
        <v>11</v>
      </c>
      <c r="AN1611" s="0" t="s">
        <v>146</v>
      </c>
      <c r="AO1611" s="0" t="s">
        <v>151</v>
      </c>
      <c r="AP1611" s="0" t="s">
        <v>152</v>
      </c>
      <c r="AQ1611" s="0" t="n">
        <v>9</v>
      </c>
      <c r="AR1611" s="0" t="n">
        <v>64</v>
      </c>
      <c r="AS1611" s="0" t="n">
        <v>32</v>
      </c>
      <c r="AU1611" s="0" t="n">
        <f aca="false">COUNTA($BA$1132:$EH$1132)</f>
        <v>27</v>
      </c>
      <c r="AV1611" s="0" t="n">
        <f aca="false">COUNTIF($BA$1132:$EH$1132,"D")</f>
        <v>8</v>
      </c>
      <c r="AW1611" s="0" t="n">
        <f aca="false">COUNTIF($BA$1132:$EH$1132,"R")</f>
        <v>0</v>
      </c>
      <c r="AX1611" s="0" t="n">
        <f aca="false"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>1</v>
      </c>
      <c r="AY1611" s="0" t="n">
        <f aca="false">COUNTIF(DU1611:EH1611, "&lt;&gt;")</f>
        <v>2</v>
      </c>
      <c r="AZ1611" s="0" t="n">
        <f aca="false">IF(EH1611&lt;&gt;"",1,0)</f>
        <v>1</v>
      </c>
      <c r="BB1611" s="0" t="s">
        <v>153</v>
      </c>
      <c r="EF1611" s="0" t="s">
        <v>154</v>
      </c>
      <c r="EH1611" s="0" t="s">
        <v>155</v>
      </c>
    </row>
    <row r="1612" customFormat="false" ht="13.8" hidden="true" customHeight="false" outlineLevel="0" collapsed="false">
      <c r="A1612" s="0" t="s">
        <v>7359</v>
      </c>
      <c r="B1612" s="0" t="n">
        <v>78</v>
      </c>
      <c r="C1612" s="0" t="n">
        <v>392777</v>
      </c>
      <c r="D1612" s="0" t="s">
        <v>3903</v>
      </c>
      <c r="E1612" s="0" t="s">
        <v>7360</v>
      </c>
      <c r="F1612" s="0" t="str">
        <f aca="false">CONCATENATE(D1612," ",LEFT(H1612,4),"T=",AU1612,"D=",AV1612,"R=",AW1612,"M=",AX1612,"L=",AY1612,"B=",AZ1612)</f>
        <v>STEWART T=4D=0R=0M=0L=0B=0</v>
      </c>
      <c r="G1612" s="0" t="s">
        <v>241</v>
      </c>
      <c r="I1612" s="0" t="s">
        <v>7361</v>
      </c>
      <c r="J1612" s="0" t="s">
        <v>575</v>
      </c>
      <c r="K1612" s="0" t="s">
        <v>144</v>
      </c>
      <c r="L1612" s="0"/>
      <c r="M1612" s="0" t="s">
        <v>7358</v>
      </c>
      <c r="N1612" s="0" t="str">
        <f aca="false">RIGHT(M1612,LEN(M1612)-FIND(" ",M1612))</f>
        <v>MAHONING AVE NW</v>
      </c>
      <c r="P1612" s="0" t="s">
        <v>146</v>
      </c>
      <c r="Q1612" s="0" t="s">
        <v>147</v>
      </c>
      <c r="R1612" s="0" t="n">
        <v>44483</v>
      </c>
      <c r="AD1612" s="0" t="s">
        <v>148</v>
      </c>
      <c r="AE1612" s="0" t="s">
        <v>149</v>
      </c>
      <c r="AF1612" s="0" t="s">
        <v>150</v>
      </c>
      <c r="AH1612" s="0" t="n">
        <v>14</v>
      </c>
      <c r="AI1612" s="0" t="n">
        <v>11</v>
      </c>
      <c r="AN1612" s="0" t="s">
        <v>146</v>
      </c>
      <c r="AO1612" s="0" t="s">
        <v>151</v>
      </c>
      <c r="AP1612" s="0" t="s">
        <v>152</v>
      </c>
      <c r="AQ1612" s="0" t="n">
        <v>9</v>
      </c>
      <c r="AR1612" s="0" t="n">
        <v>64</v>
      </c>
      <c r="AS1612" s="0" t="n">
        <v>32</v>
      </c>
      <c r="AU1612" s="0" t="n">
        <f aca="false">COUNTA($BA$1700:$EH$1700)</f>
        <v>4</v>
      </c>
      <c r="AV1612" s="0" t="n">
        <f aca="false">COUNTIF($BA$1700:$EH$1700,"D")</f>
        <v>0</v>
      </c>
      <c r="AW1612" s="0" t="n">
        <f aca="false">COUNTIF($BA$1700:$EH$1700,"R")</f>
        <v>0</v>
      </c>
      <c r="AX1612" s="0" t="n">
        <f aca="false"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>0</v>
      </c>
      <c r="AY1612" s="0" t="n">
        <f aca="false">COUNTIF(DU1612:EH1612, "&lt;&gt;")</f>
        <v>0</v>
      </c>
      <c r="AZ1612" s="0" t="n">
        <f aca="false">IF(EH1612&lt;&gt;"",1,0)</f>
        <v>0</v>
      </c>
      <c r="BB1612" s="0" t="s">
        <v>153</v>
      </c>
      <c r="DN1612" s="0" t="s">
        <v>154</v>
      </c>
    </row>
    <row r="1613" customFormat="false" ht="13.8" hidden="false" customHeight="false" outlineLevel="0" collapsed="false">
      <c r="A1613" s="0" t="s">
        <v>7362</v>
      </c>
      <c r="B1613" s="0" t="n">
        <v>78</v>
      </c>
      <c r="C1613" s="0" t="n">
        <v>448331</v>
      </c>
      <c r="D1613" s="0" t="s">
        <v>7353</v>
      </c>
      <c r="E1613" s="0" t="s">
        <v>7363</v>
      </c>
      <c r="F1613" s="0" t="str">
        <f aca="false">CONCATENATE(D1613," ",LEFT(H1613,4),"T=",AU1613,"D=",AV1613,"R=",AW1613,"M=",AX1613,"L=",AY1613,"B=",AZ1613)</f>
        <v>BLAND T=2D=0R=0M=1L=6B=1</v>
      </c>
      <c r="G1613" s="0" t="s">
        <v>7364</v>
      </c>
      <c r="I1613" s="0" t="s">
        <v>7365</v>
      </c>
      <c r="J1613" s="0" t="s">
        <v>7366</v>
      </c>
      <c r="K1613" s="0" t="s">
        <v>175</v>
      </c>
      <c r="L1613" s="1" t="s">
        <v>155</v>
      </c>
      <c r="M1613" s="0" t="s">
        <v>7358</v>
      </c>
      <c r="N1613" s="0" t="str">
        <f aca="false">RIGHT(M1613,LEN(M1613)-FIND(" ",M1613))</f>
        <v>MAHONING AVE NW</v>
      </c>
      <c r="P1613" s="0" t="s">
        <v>146</v>
      </c>
      <c r="Q1613" s="0" t="s">
        <v>147</v>
      </c>
      <c r="R1613" s="0" t="n">
        <v>44483</v>
      </c>
      <c r="AD1613" s="0" t="s">
        <v>148</v>
      </c>
      <c r="AE1613" s="0" t="s">
        <v>149</v>
      </c>
      <c r="AF1613" s="0" t="s">
        <v>150</v>
      </c>
      <c r="AH1613" s="0" t="n">
        <v>14</v>
      </c>
      <c r="AI1613" s="0" t="n">
        <v>11</v>
      </c>
      <c r="AN1613" s="0" t="s">
        <v>146</v>
      </c>
      <c r="AO1613" s="0" t="s">
        <v>151</v>
      </c>
      <c r="AP1613" s="0" t="s">
        <v>152</v>
      </c>
      <c r="AQ1613" s="0" t="n">
        <v>9</v>
      </c>
      <c r="AR1613" s="0" t="n">
        <v>64</v>
      </c>
      <c r="AS1613" s="0" t="n">
        <v>32</v>
      </c>
      <c r="AU1613" s="0" t="n">
        <f aca="false">COUNTA($BA$1863:$EH$1863)</f>
        <v>2</v>
      </c>
      <c r="AV1613" s="0" t="n">
        <f aca="false">COUNTIF($BA$1863:$EH$1863,"D")</f>
        <v>0</v>
      </c>
      <c r="AW1613" s="0" t="n">
        <f aca="false">COUNTIF($BA$1863:$EH$1863,"R")</f>
        <v>0</v>
      </c>
      <c r="AX1613" s="0" t="n">
        <f aca="false"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>1</v>
      </c>
      <c r="AY1613" s="0" t="n">
        <f aca="false">COUNTIF(DU1613:EH1613, "&lt;&gt;")</f>
        <v>6</v>
      </c>
      <c r="AZ1613" s="0" t="n">
        <f aca="false">IF(EH1613&lt;&gt;"",1,0)</f>
        <v>1</v>
      </c>
      <c r="BB1613" s="0" t="s">
        <v>153</v>
      </c>
      <c r="BR1613" s="0" t="s">
        <v>154</v>
      </c>
      <c r="BS1613" s="0" t="s">
        <v>154</v>
      </c>
      <c r="BY1613" s="0" t="s">
        <v>155</v>
      </c>
      <c r="CA1613" s="0" t="s">
        <v>154</v>
      </c>
      <c r="CP1613" s="0" t="s">
        <v>154</v>
      </c>
      <c r="DR1613" s="0" t="s">
        <v>154</v>
      </c>
      <c r="DS1613" s="0" t="s">
        <v>176</v>
      </c>
      <c r="DT1613" s="0" t="s">
        <v>176</v>
      </c>
      <c r="DU1613" s="0" t="s">
        <v>154</v>
      </c>
      <c r="DX1613" s="0" t="s">
        <v>154</v>
      </c>
      <c r="EA1613" s="0" t="s">
        <v>154</v>
      </c>
      <c r="ED1613" s="0" t="s">
        <v>176</v>
      </c>
      <c r="EF1613" s="0" t="s">
        <v>154</v>
      </c>
      <c r="EH1613" s="0" t="s">
        <v>155</v>
      </c>
    </row>
    <row r="1614" customFormat="false" ht="13.8" hidden="true" customHeight="false" outlineLevel="0" collapsed="false">
      <c r="A1614" s="0" t="s">
        <v>7367</v>
      </c>
      <c r="B1614" s="0" t="n">
        <v>78</v>
      </c>
      <c r="C1614" s="0" t="n">
        <v>322017</v>
      </c>
      <c r="D1614" s="0" t="s">
        <v>7368</v>
      </c>
      <c r="E1614" s="0" t="s">
        <v>7369</v>
      </c>
      <c r="F1614" s="0" t="str">
        <f aca="false">CONCATENATE(D1614," ",LEFT(H1614,4),"T=",AU1614,"D=",AV1614,"R=",AW1614,"M=",AX1614,"L=",AY1614,"B=",AZ1614)</f>
        <v>PETRICK T=10D=1R=0M=0L=0B=0</v>
      </c>
      <c r="G1614" s="0" t="s">
        <v>188</v>
      </c>
      <c r="I1614" s="0" t="s">
        <v>7370</v>
      </c>
      <c r="J1614" s="0" t="s">
        <v>7371</v>
      </c>
      <c r="K1614" s="0" t="s">
        <v>144</v>
      </c>
      <c r="L1614" s="0"/>
      <c r="M1614" s="0" t="s">
        <v>7372</v>
      </c>
      <c r="N1614" s="0" t="str">
        <f aca="false">RIGHT(M1614,LEN(M1614)-FIND(" ",M1614))</f>
        <v>MAHONING AVE NW</v>
      </c>
      <c r="P1614" s="0" t="s">
        <v>146</v>
      </c>
      <c r="Q1614" s="0" t="s">
        <v>147</v>
      </c>
      <c r="R1614" s="0" t="n">
        <v>44483</v>
      </c>
      <c r="AD1614" s="0" t="s">
        <v>148</v>
      </c>
      <c r="AE1614" s="0" t="s">
        <v>149</v>
      </c>
      <c r="AF1614" s="0" t="s">
        <v>150</v>
      </c>
      <c r="AH1614" s="0" t="n">
        <v>14</v>
      </c>
      <c r="AI1614" s="0" t="n">
        <v>11</v>
      </c>
      <c r="AN1614" s="0" t="s">
        <v>146</v>
      </c>
      <c r="AO1614" s="0" t="s">
        <v>151</v>
      </c>
      <c r="AP1614" s="0" t="s">
        <v>152</v>
      </c>
      <c r="AQ1614" s="0" t="n">
        <v>9</v>
      </c>
      <c r="AR1614" s="0" t="n">
        <v>64</v>
      </c>
      <c r="AS1614" s="0" t="n">
        <v>32</v>
      </c>
      <c r="AU1614" s="0" t="n">
        <f aca="false">COUNTA($BA$1648:$EH$1648)</f>
        <v>10</v>
      </c>
      <c r="AV1614" s="0" t="n">
        <f aca="false">COUNTIF($BA$1648:$EH$1648,"D")</f>
        <v>1</v>
      </c>
      <c r="AW1614" s="0" t="n">
        <f aca="false">COUNTIF($BA$1648:$EH$1648,"R")</f>
        <v>0</v>
      </c>
      <c r="AX1614" s="0" t="n">
        <f aca="false"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>0</v>
      </c>
      <c r="AY1614" s="0" t="n">
        <f aca="false">COUNTIF(DU1614:EH1614, "&lt;&gt;")</f>
        <v>0</v>
      </c>
      <c r="AZ1614" s="0" t="n">
        <f aca="false">IF(EH1614&lt;&gt;"",1,0)</f>
        <v>0</v>
      </c>
      <c r="BB1614" s="0" t="s">
        <v>153</v>
      </c>
      <c r="BL1614" s="0" t="s">
        <v>154</v>
      </c>
    </row>
    <row r="1615" customFormat="false" ht="13.8" hidden="true" customHeight="false" outlineLevel="0" collapsed="false">
      <c r="A1615" s="0" t="s">
        <v>7373</v>
      </c>
      <c r="B1615" s="0" t="n">
        <v>78</v>
      </c>
      <c r="C1615" s="0" t="n">
        <v>236847</v>
      </c>
      <c r="D1615" s="0" t="s">
        <v>7374</v>
      </c>
      <c r="E1615" s="0" t="s">
        <v>7375</v>
      </c>
      <c r="F1615" s="0" t="str">
        <f aca="false">CONCATENATE(D1615," ",LEFT(H1615,4),"T=",AU1615,"D=",AV1615,"R=",AW1615,"M=",AX1615,"L=",AY1615,"B=",AZ1615)</f>
        <v>TEACHOUT T=23D=4R=0M=0L=0B=0</v>
      </c>
      <c r="G1615" s="0" t="s">
        <v>172</v>
      </c>
      <c r="I1615" s="0" t="s">
        <v>7376</v>
      </c>
      <c r="J1615" s="0" t="s">
        <v>7377</v>
      </c>
      <c r="K1615" s="0" t="s">
        <v>144</v>
      </c>
      <c r="L1615" s="0"/>
      <c r="M1615" s="0" t="s">
        <v>7378</v>
      </c>
      <c r="N1615" s="0" t="str">
        <f aca="false">RIGHT(M1615,LEN(M1615)-FIND(" ",M1615))</f>
        <v>MAHONING AVE NW</v>
      </c>
      <c r="O1615" s="0" t="s">
        <v>414</v>
      </c>
      <c r="P1615" s="0" t="s">
        <v>146</v>
      </c>
      <c r="Q1615" s="0" t="s">
        <v>147</v>
      </c>
      <c r="R1615" s="0" t="n">
        <v>44483</v>
      </c>
      <c r="AD1615" s="0" t="s">
        <v>148</v>
      </c>
      <c r="AE1615" s="0" t="s">
        <v>149</v>
      </c>
      <c r="AF1615" s="0" t="s">
        <v>150</v>
      </c>
      <c r="AH1615" s="0" t="n">
        <v>14</v>
      </c>
      <c r="AI1615" s="0" t="n">
        <v>11</v>
      </c>
      <c r="AN1615" s="0" t="s">
        <v>146</v>
      </c>
      <c r="AO1615" s="0" t="s">
        <v>151</v>
      </c>
      <c r="AP1615" s="0" t="s">
        <v>152</v>
      </c>
      <c r="AQ1615" s="0" t="n">
        <v>9</v>
      </c>
      <c r="AR1615" s="0" t="n">
        <v>64</v>
      </c>
      <c r="AS1615" s="0" t="n">
        <v>32</v>
      </c>
      <c r="AU1615" s="0" t="n">
        <f aca="false">COUNTA($BA$1317:$EH$1317)</f>
        <v>23</v>
      </c>
      <c r="AV1615" s="0" t="n">
        <f aca="false">COUNTIF($BA$1317:$EH$1317,"D")</f>
        <v>4</v>
      </c>
      <c r="AW1615" s="0" t="n">
        <f aca="false">COUNTIF($BA$1317:$EH$1317,"R")</f>
        <v>0</v>
      </c>
      <c r="AX1615" s="0" t="n">
        <f aca="false"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>0</v>
      </c>
      <c r="AY1615" s="0" t="n">
        <f aca="false">COUNTIF(DU1615:EH1615, "&lt;&gt;")</f>
        <v>0</v>
      </c>
      <c r="AZ1615" s="0" t="n">
        <f aca="false">IF(EH1615&lt;&gt;"",1,0)</f>
        <v>0</v>
      </c>
      <c r="BB1615" s="0" t="s">
        <v>153</v>
      </c>
      <c r="BD1615" s="0" t="s">
        <v>154</v>
      </c>
      <c r="BE1615" s="0" t="s">
        <v>154</v>
      </c>
      <c r="BL1615" s="0" t="s">
        <v>154</v>
      </c>
      <c r="BS1615" s="0" t="s">
        <v>154</v>
      </c>
      <c r="BY1615" s="0" t="s">
        <v>155</v>
      </c>
      <c r="CA1615" s="0" t="s">
        <v>154</v>
      </c>
      <c r="CK1615" s="0" t="s">
        <v>154</v>
      </c>
      <c r="CP1615" s="0" t="s">
        <v>154</v>
      </c>
      <c r="DC1615" s="0" t="s">
        <v>154</v>
      </c>
      <c r="DI1615" s="0" t="s">
        <v>154</v>
      </c>
    </row>
    <row r="1616" customFormat="false" ht="13.8" hidden="false" customHeight="false" outlineLevel="0" collapsed="false">
      <c r="A1616" s="0" t="s">
        <v>7379</v>
      </c>
      <c r="B1616" s="0" t="n">
        <v>78</v>
      </c>
      <c r="C1616" s="0" t="n">
        <v>495371</v>
      </c>
      <c r="D1616" s="0" t="s">
        <v>7380</v>
      </c>
      <c r="E1616" s="0" t="s">
        <v>7381</v>
      </c>
      <c r="F1616" s="0" t="str">
        <f aca="false">CONCATENATE(D1616," ",LEFT(H1616,4),"T=",AU1616,"D=",AV1616,"R=",AW1616,"M=",AX1616,"L=",AY1616,"B=",AZ1616)</f>
        <v>CATALINE T=3D=1R=0M=0L=3B=0</v>
      </c>
      <c r="G1616" s="0" t="s">
        <v>188</v>
      </c>
      <c r="I1616" s="0" t="s">
        <v>7382</v>
      </c>
      <c r="J1616" s="0" t="s">
        <v>2193</v>
      </c>
      <c r="K1616" s="0" t="s">
        <v>175</v>
      </c>
      <c r="M1616" s="0" t="s">
        <v>7378</v>
      </c>
      <c r="N1616" s="0" t="str">
        <f aca="false">RIGHT(M1616,LEN(M1616)-FIND(" ",M1616))</f>
        <v>MAHONING AVE NW</v>
      </c>
      <c r="P1616" s="0" t="s">
        <v>146</v>
      </c>
      <c r="Q1616" s="0" t="s">
        <v>147</v>
      </c>
      <c r="R1616" s="0" t="n">
        <v>44483</v>
      </c>
      <c r="AD1616" s="0" t="s">
        <v>148</v>
      </c>
      <c r="AE1616" s="0" t="s">
        <v>149</v>
      </c>
      <c r="AF1616" s="0" t="s">
        <v>150</v>
      </c>
      <c r="AH1616" s="0" t="n">
        <v>14</v>
      </c>
      <c r="AI1616" s="0" t="n">
        <v>11</v>
      </c>
      <c r="AN1616" s="0" t="s">
        <v>146</v>
      </c>
      <c r="AO1616" s="0" t="s">
        <v>151</v>
      </c>
      <c r="AP1616" s="0" t="s">
        <v>152</v>
      </c>
      <c r="AQ1616" s="0" t="n">
        <v>9</v>
      </c>
      <c r="AR1616" s="0" t="n">
        <v>64</v>
      </c>
      <c r="AS1616" s="0" t="n">
        <v>32</v>
      </c>
      <c r="AU1616" s="0" t="n">
        <f aca="false">COUNTA($BA$1618:$EH$1618)</f>
        <v>3</v>
      </c>
      <c r="AV1616" s="0" t="n">
        <f aca="false">COUNTIF($BA$1618:$EH$1618,"D")</f>
        <v>1</v>
      </c>
      <c r="AW1616" s="0" t="n">
        <f aca="false">COUNTIF($BA$1618:$EH$1618,"R")</f>
        <v>0</v>
      </c>
      <c r="AX1616" s="0" t="n">
        <f aca="false"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>0</v>
      </c>
      <c r="AY1616" s="0" t="n">
        <f aca="false">COUNTIF(DU1616:EH1616, "&lt;&gt;")</f>
        <v>3</v>
      </c>
      <c r="AZ1616" s="0" t="n">
        <f aca="false">IF(EH1616&lt;&gt;"",1,0)</f>
        <v>0</v>
      </c>
      <c r="BB1616" s="0" t="s">
        <v>153</v>
      </c>
      <c r="BY1616" s="0" t="s">
        <v>155</v>
      </c>
      <c r="CA1616" s="0" t="s">
        <v>154</v>
      </c>
      <c r="CN1616" s="0" t="s">
        <v>154</v>
      </c>
      <c r="DN1616" s="0" t="s">
        <v>154</v>
      </c>
      <c r="DU1616" s="0" t="s">
        <v>154</v>
      </c>
      <c r="EA1616" s="0" t="s">
        <v>154</v>
      </c>
      <c r="EF1616" s="0" t="s">
        <v>154</v>
      </c>
    </row>
    <row r="1617" customFormat="false" ht="13.8" hidden="true" customHeight="false" outlineLevel="0" collapsed="false">
      <c r="A1617" s="0" t="s">
        <v>7383</v>
      </c>
      <c r="B1617" s="0" t="n">
        <v>78</v>
      </c>
      <c r="C1617" s="0" t="n">
        <v>459603</v>
      </c>
      <c r="D1617" s="0" t="s">
        <v>1689</v>
      </c>
      <c r="E1617" s="0" t="s">
        <v>335</v>
      </c>
      <c r="F1617" s="0" t="str">
        <f aca="false">CONCATENATE(D1617," ",LEFT(H1617,4),"T=",AU1617,"D=",AV1617,"R=",AW1617,"M=",AX1617,"L=",AY1617,"B=",AZ1617)</f>
        <v>COOPER T=1D=0R=0M=0L=0B=0</v>
      </c>
      <c r="G1617" s="0" t="s">
        <v>176</v>
      </c>
      <c r="I1617" s="0" t="s">
        <v>1396</v>
      </c>
      <c r="J1617" s="0" t="s">
        <v>7384</v>
      </c>
      <c r="K1617" s="0" t="s">
        <v>144</v>
      </c>
      <c r="L1617" s="0"/>
      <c r="M1617" s="0" t="s">
        <v>7385</v>
      </c>
      <c r="N1617" s="0" t="str">
        <f aca="false">RIGHT(M1617,LEN(M1617)-FIND(" ",M1617))</f>
        <v>MAHONING AVE NW</v>
      </c>
      <c r="P1617" s="0" t="s">
        <v>146</v>
      </c>
      <c r="Q1617" s="0" t="s">
        <v>147</v>
      </c>
      <c r="R1617" s="0" t="n">
        <v>44483</v>
      </c>
      <c r="AD1617" s="0" t="s">
        <v>148</v>
      </c>
      <c r="AE1617" s="0" t="s">
        <v>149</v>
      </c>
      <c r="AF1617" s="0" t="s">
        <v>150</v>
      </c>
      <c r="AH1617" s="0" t="n">
        <v>14</v>
      </c>
      <c r="AI1617" s="0" t="n">
        <v>11</v>
      </c>
      <c r="AN1617" s="0" t="s">
        <v>146</v>
      </c>
      <c r="AO1617" s="0" t="s">
        <v>151</v>
      </c>
      <c r="AP1617" s="0" t="s">
        <v>152</v>
      </c>
      <c r="AQ1617" s="0" t="n">
        <v>9</v>
      </c>
      <c r="AR1617" s="0" t="n">
        <v>64</v>
      </c>
      <c r="AS1617" s="0" t="n">
        <v>32</v>
      </c>
      <c r="AU1617" s="0" t="n">
        <f aca="false">COUNTA($BA$1657:$EH$1657)</f>
        <v>1</v>
      </c>
      <c r="AV1617" s="0" t="n">
        <f aca="false">COUNTIF($BA$1657:$EH$1657,"D")</f>
        <v>0</v>
      </c>
      <c r="AW1617" s="0" t="n">
        <f aca="false">COUNTIF($BA$1657:$EH$1657,"R")</f>
        <v>0</v>
      </c>
      <c r="AX1617" s="0" t="n">
        <f aca="false"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>0</v>
      </c>
      <c r="AY1617" s="0" t="n">
        <f aca="false">COUNTIF(DU1617:EH1617, "&lt;&gt;")</f>
        <v>0</v>
      </c>
      <c r="AZ1617" s="0" t="n">
        <f aca="false">IF(EH1617&lt;&gt;"",1,0)</f>
        <v>0</v>
      </c>
      <c r="BB1617" s="0" t="s">
        <v>153</v>
      </c>
    </row>
    <row r="1618" customFormat="false" ht="13.8" hidden="true" customHeight="false" outlineLevel="0" collapsed="false">
      <c r="A1618" s="0" t="s">
        <v>7386</v>
      </c>
      <c r="B1618" s="0" t="n">
        <v>78</v>
      </c>
      <c r="C1618" s="0" t="n">
        <v>464386</v>
      </c>
      <c r="D1618" s="0" t="s">
        <v>7387</v>
      </c>
      <c r="E1618" s="0" t="s">
        <v>771</v>
      </c>
      <c r="F1618" s="0" t="str">
        <f aca="false">CONCATENATE(D1618," ",LEFT(H1618,4),"T=",AU1618,"D=",AV1618,"R=",AW1618,"M=",AX1618,"L=",AY1618,"B=",AZ1618)</f>
        <v>BLAZER T=3D=0R=0M=0L=0B=0</v>
      </c>
      <c r="G1618" s="0" t="s">
        <v>7388</v>
      </c>
      <c r="I1618" s="0" t="s">
        <v>7389</v>
      </c>
      <c r="J1618" s="0" t="s">
        <v>7390</v>
      </c>
      <c r="K1618" s="0" t="s">
        <v>175</v>
      </c>
      <c r="L1618" s="0"/>
      <c r="M1618" s="0" t="s">
        <v>7391</v>
      </c>
      <c r="N1618" s="0" t="str">
        <f aca="false">RIGHT(M1618,LEN(M1618)-FIND(" ",M1618))</f>
        <v>MAHONING AVE NW</v>
      </c>
      <c r="P1618" s="0" t="s">
        <v>146</v>
      </c>
      <c r="Q1618" s="0" t="s">
        <v>147</v>
      </c>
      <c r="R1618" s="0" t="n">
        <v>44483</v>
      </c>
      <c r="AD1618" s="0" t="s">
        <v>148</v>
      </c>
      <c r="AE1618" s="0" t="s">
        <v>149</v>
      </c>
      <c r="AF1618" s="0" t="s">
        <v>150</v>
      </c>
      <c r="AH1618" s="0" t="n">
        <v>14</v>
      </c>
      <c r="AI1618" s="0" t="n">
        <v>11</v>
      </c>
      <c r="AN1618" s="0" t="s">
        <v>146</v>
      </c>
      <c r="AO1618" s="0" t="s">
        <v>151</v>
      </c>
      <c r="AP1618" s="0" t="s">
        <v>152</v>
      </c>
      <c r="AQ1618" s="0" t="n">
        <v>9</v>
      </c>
      <c r="AR1618" s="0" t="n">
        <v>64</v>
      </c>
      <c r="AS1618" s="0" t="n">
        <v>32</v>
      </c>
      <c r="AU1618" s="0" t="n">
        <f aca="false">COUNTA($BA$1389:$EH$1389)</f>
        <v>3</v>
      </c>
      <c r="AV1618" s="0" t="n">
        <f aca="false">COUNTIF($BA$1389:$EH$1389,"D")</f>
        <v>0</v>
      </c>
      <c r="AW1618" s="0" t="n">
        <f aca="false">COUNTIF($BA$1389:$EH$1389,"R")</f>
        <v>0</v>
      </c>
      <c r="AX1618" s="0" t="n">
        <f aca="false"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>0</v>
      </c>
      <c r="AY1618" s="0" t="n">
        <f aca="false">COUNTIF(DU1618:EH1618, "&lt;&gt;")</f>
        <v>0</v>
      </c>
      <c r="AZ1618" s="0" t="n">
        <f aca="false">IF(EH1618&lt;&gt;"",1,0)</f>
        <v>0</v>
      </c>
      <c r="BB1618" s="0" t="s">
        <v>153</v>
      </c>
      <c r="BR1618" s="0" t="s">
        <v>155</v>
      </c>
      <c r="CP1618" s="0" t="s">
        <v>154</v>
      </c>
    </row>
    <row r="1619" customFormat="false" ht="13.8" hidden="false" customHeight="false" outlineLevel="0" collapsed="false">
      <c r="A1619" s="0" t="s">
        <v>7392</v>
      </c>
      <c r="B1619" s="0" t="n">
        <v>78</v>
      </c>
      <c r="C1619" s="0" t="n">
        <v>265079</v>
      </c>
      <c r="D1619" s="0" t="s">
        <v>7393</v>
      </c>
      <c r="E1619" s="0" t="s">
        <v>1980</v>
      </c>
      <c r="F1619" s="0" t="str">
        <f aca="false">CONCATENATE(D1619," ",LEFT(H1619,4),"T=",AU1619,"D=",AV1619,"R=",AW1619,"M=",AX1619,"L=",AY1619,"B=",AZ1619)</f>
        <v>MANCINI T=9D=0R=1M=0L=3B=0</v>
      </c>
      <c r="G1619" s="0" t="s">
        <v>172</v>
      </c>
      <c r="I1619" s="0" t="s">
        <v>7394</v>
      </c>
      <c r="J1619" s="0" t="s">
        <v>7395</v>
      </c>
      <c r="K1619" s="0" t="s">
        <v>175</v>
      </c>
      <c r="M1619" s="0" t="s">
        <v>7396</v>
      </c>
      <c r="N1619" s="0" t="str">
        <f aca="false">RIGHT(M1619,LEN(M1619)-FIND(" ",M1619))</f>
        <v>MAHONING AVE NW</v>
      </c>
      <c r="O1619" s="0" t="s">
        <v>408</v>
      </c>
      <c r="P1619" s="0" t="s">
        <v>146</v>
      </c>
      <c r="Q1619" s="0" t="s">
        <v>147</v>
      </c>
      <c r="R1619" s="0" t="n">
        <v>44483</v>
      </c>
      <c r="AD1619" s="0" t="s">
        <v>148</v>
      </c>
      <c r="AE1619" s="0" t="s">
        <v>149</v>
      </c>
      <c r="AF1619" s="0" t="s">
        <v>150</v>
      </c>
      <c r="AH1619" s="0" t="n">
        <v>14</v>
      </c>
      <c r="AI1619" s="0" t="n">
        <v>11</v>
      </c>
      <c r="AN1619" s="0" t="s">
        <v>146</v>
      </c>
      <c r="AO1619" s="0" t="s">
        <v>151</v>
      </c>
      <c r="AP1619" s="0" t="s">
        <v>152</v>
      </c>
      <c r="AQ1619" s="0" t="n">
        <v>9</v>
      </c>
      <c r="AR1619" s="0" t="n">
        <v>64</v>
      </c>
      <c r="AS1619" s="0" t="n">
        <v>32</v>
      </c>
      <c r="AU1619" s="0" t="n">
        <f aca="false">COUNTA($BA$1266:$EH$1266)</f>
        <v>9</v>
      </c>
      <c r="AV1619" s="0" t="n">
        <f aca="false">COUNTIF($BA$1266:$EH$1266,"D")</f>
        <v>0</v>
      </c>
      <c r="AW1619" s="0" t="n">
        <f aca="false">COUNTIF($BA$1266:$EH$1266,"R")</f>
        <v>1</v>
      </c>
      <c r="AX1619" s="0" t="n">
        <f aca="false"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>0</v>
      </c>
      <c r="AY1619" s="0" t="n">
        <f aca="false">COUNTIF(DU1619:EH1619, "&lt;&gt;")</f>
        <v>3</v>
      </c>
      <c r="AZ1619" s="0" t="n">
        <f aca="false">IF(EH1619&lt;&gt;"",1,0)</f>
        <v>0</v>
      </c>
      <c r="BB1619" s="0" t="s">
        <v>153</v>
      </c>
      <c r="BC1619" s="0" t="s">
        <v>154</v>
      </c>
      <c r="BD1619" s="0" t="s">
        <v>154</v>
      </c>
      <c r="BF1619" s="0" t="s">
        <v>154</v>
      </c>
      <c r="BH1619" s="0" t="s">
        <v>154</v>
      </c>
      <c r="BS1619" s="0" t="s">
        <v>154</v>
      </c>
      <c r="BY1619" s="0" t="s">
        <v>155</v>
      </c>
      <c r="CA1619" s="0" t="s">
        <v>154</v>
      </c>
      <c r="CG1619" s="0" t="s">
        <v>154</v>
      </c>
      <c r="CN1619" s="0" t="s">
        <v>154</v>
      </c>
      <c r="CP1619" s="0" t="s">
        <v>154</v>
      </c>
      <c r="CY1619" s="0" t="s">
        <v>154</v>
      </c>
      <c r="CZ1619" s="0" t="s">
        <v>155</v>
      </c>
      <c r="DC1619" s="0" t="s">
        <v>154</v>
      </c>
      <c r="DN1619" s="0" t="s">
        <v>154</v>
      </c>
      <c r="DX1619" s="0" t="s">
        <v>154</v>
      </c>
      <c r="EA1619" s="0" t="s">
        <v>154</v>
      </c>
      <c r="EF1619" s="0" t="s">
        <v>154</v>
      </c>
    </row>
    <row r="1620" customFormat="false" ht="13.8" hidden="true" customHeight="false" outlineLevel="0" collapsed="false">
      <c r="A1620" s="0" t="s">
        <v>7397</v>
      </c>
      <c r="B1620" s="0" t="n">
        <v>78</v>
      </c>
      <c r="C1620" s="0" t="n">
        <v>449209</v>
      </c>
      <c r="D1620" s="0" t="s">
        <v>2695</v>
      </c>
      <c r="E1620" s="0" t="s">
        <v>962</v>
      </c>
      <c r="F1620" s="0" t="str">
        <f aca="false">CONCATENATE(D1620," ",LEFT(H1620,4),"T=",AU1620,"D=",AV1620,"R=",AW1620,"M=",AX1620,"L=",AY1620,"B=",AZ1620)</f>
        <v>HARRIS T=39D=0R=9M=0L=1B=0</v>
      </c>
      <c r="G1620" s="0" t="s">
        <v>514</v>
      </c>
      <c r="I1620" s="0" t="s">
        <v>7398</v>
      </c>
      <c r="J1620" s="0" t="s">
        <v>4832</v>
      </c>
      <c r="K1620" s="0" t="s">
        <v>175</v>
      </c>
      <c r="L1620" s="0"/>
      <c r="M1620" s="0" t="s">
        <v>7399</v>
      </c>
      <c r="N1620" s="0" t="str">
        <f aca="false">RIGHT(M1620,LEN(M1620)-FIND(" ",M1620))</f>
        <v>MAHONING AVE NW</v>
      </c>
      <c r="P1620" s="0" t="s">
        <v>146</v>
      </c>
      <c r="Q1620" s="0" t="s">
        <v>147</v>
      </c>
      <c r="R1620" s="0" t="n">
        <v>44483</v>
      </c>
      <c r="AD1620" s="0" t="s">
        <v>148</v>
      </c>
      <c r="AE1620" s="0" t="s">
        <v>149</v>
      </c>
      <c r="AF1620" s="0" t="s">
        <v>150</v>
      </c>
      <c r="AH1620" s="0" t="n">
        <v>14</v>
      </c>
      <c r="AI1620" s="0" t="n">
        <v>11</v>
      </c>
      <c r="AN1620" s="0" t="s">
        <v>146</v>
      </c>
      <c r="AO1620" s="0" t="s">
        <v>151</v>
      </c>
      <c r="AP1620" s="0" t="s">
        <v>152</v>
      </c>
      <c r="AQ1620" s="0" t="n">
        <v>9</v>
      </c>
      <c r="AR1620" s="0" t="n">
        <v>64</v>
      </c>
      <c r="AS1620" s="0" t="n">
        <v>32</v>
      </c>
      <c r="AU1620" s="0" t="n">
        <f aca="false">COUNTA($BA$2059:$EH$2059)</f>
        <v>39</v>
      </c>
      <c r="AV1620" s="0" t="n">
        <f aca="false">COUNTIF($BA$2059:$EH$2059,"D")</f>
        <v>0</v>
      </c>
      <c r="AW1620" s="0" t="n">
        <f aca="false">COUNTIF($BA$2059:$EH$2059,"R")</f>
        <v>9</v>
      </c>
      <c r="AX1620" s="0" t="n">
        <f aca="false"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>0</v>
      </c>
      <c r="AY1620" s="0" t="n">
        <f aca="false">COUNTIF(DU1620:EH1620, "&lt;&gt;")</f>
        <v>1</v>
      </c>
      <c r="AZ1620" s="0" t="n">
        <f aca="false">IF(EH1620&lt;&gt;"",1,0)</f>
        <v>0</v>
      </c>
      <c r="BB1620" s="0" t="s">
        <v>153</v>
      </c>
      <c r="BC1620" s="0" t="s">
        <v>154</v>
      </c>
      <c r="BF1620" s="0" t="s">
        <v>154</v>
      </c>
      <c r="BL1620" s="0" t="s">
        <v>154</v>
      </c>
      <c r="BY1620" s="0" t="s">
        <v>155</v>
      </c>
      <c r="DN1620" s="0" t="s">
        <v>154</v>
      </c>
      <c r="EF1620" s="0" t="s">
        <v>154</v>
      </c>
    </row>
    <row r="1621" customFormat="false" ht="13.8" hidden="true" customHeight="false" outlineLevel="0" collapsed="false">
      <c r="A1621" s="0" t="s">
        <v>7400</v>
      </c>
      <c r="B1621" s="0" t="n">
        <v>78</v>
      </c>
      <c r="C1621" s="0" t="n">
        <v>407006</v>
      </c>
      <c r="D1621" s="0" t="s">
        <v>7401</v>
      </c>
      <c r="E1621" s="0" t="s">
        <v>507</v>
      </c>
      <c r="F1621" s="0" t="str">
        <f aca="false">CONCATENATE(D1621," ",LEFT(H1621,4),"T=",AU1621,"D=",AV1621,"R=",AW1621,"M=",AX1621,"L=",AY1621,"B=",AZ1621)</f>
        <v>RIHEL T=6D=0R=0M=0L=0B=0</v>
      </c>
      <c r="G1621" s="0" t="s">
        <v>241</v>
      </c>
      <c r="I1621" s="0" t="s">
        <v>7402</v>
      </c>
      <c r="J1621" s="0" t="s">
        <v>7403</v>
      </c>
      <c r="K1621" s="0" t="s">
        <v>175</v>
      </c>
      <c r="L1621" s="0"/>
      <c r="M1621" s="0" t="s">
        <v>7404</v>
      </c>
      <c r="N1621" s="0" t="str">
        <f aca="false">RIGHT(M1621,LEN(M1621)-FIND(" ",M1621))</f>
        <v>MAHONING AVE NW</v>
      </c>
      <c r="P1621" s="0" t="s">
        <v>146</v>
      </c>
      <c r="Q1621" s="0" t="s">
        <v>147</v>
      </c>
      <c r="R1621" s="0" t="n">
        <v>44483</v>
      </c>
      <c r="AD1621" s="0" t="s">
        <v>148</v>
      </c>
      <c r="AE1621" s="0" t="s">
        <v>149</v>
      </c>
      <c r="AF1621" s="0" t="s">
        <v>150</v>
      </c>
      <c r="AH1621" s="0" t="n">
        <v>14</v>
      </c>
      <c r="AI1621" s="0" t="n">
        <v>11</v>
      </c>
      <c r="AN1621" s="0" t="s">
        <v>146</v>
      </c>
      <c r="AO1621" s="0" t="s">
        <v>151</v>
      </c>
      <c r="AP1621" s="0" t="s">
        <v>152</v>
      </c>
      <c r="AQ1621" s="0" t="n">
        <v>9</v>
      </c>
      <c r="AR1621" s="0" t="n">
        <v>64</v>
      </c>
      <c r="AS1621" s="0" t="n">
        <v>32</v>
      </c>
      <c r="AU1621" s="0" t="n">
        <f aca="false">COUNTA($BA$1237:$EH$1237)</f>
        <v>6</v>
      </c>
      <c r="AV1621" s="0" t="n">
        <f aca="false">COUNTIF($BA$1237:$EH$1237,"D")</f>
        <v>0</v>
      </c>
      <c r="AW1621" s="0" t="n">
        <f aca="false">COUNTIF($BA$1237:$EH$1237,"R")</f>
        <v>0</v>
      </c>
      <c r="AX1621" s="0" t="n">
        <f aca="false"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>0</v>
      </c>
      <c r="AY1621" s="0" t="n">
        <f aca="false">COUNTIF(DU1621:EH1621, "&lt;&gt;")</f>
        <v>0</v>
      </c>
      <c r="AZ1621" s="0" t="n">
        <f aca="false">IF(EH1621&lt;&gt;"",1,0)</f>
        <v>0</v>
      </c>
      <c r="BB1621" s="0" t="s">
        <v>153</v>
      </c>
    </row>
    <row r="1622" customFormat="false" ht="13.8" hidden="true" customHeight="false" outlineLevel="0" collapsed="false">
      <c r="A1622" s="0" t="s">
        <v>7405</v>
      </c>
      <c r="B1622" s="0" t="n">
        <v>78</v>
      </c>
      <c r="C1622" s="0" t="n">
        <v>458771</v>
      </c>
      <c r="D1622" s="0" t="s">
        <v>7401</v>
      </c>
      <c r="E1622" s="0" t="s">
        <v>3440</v>
      </c>
      <c r="F1622" s="0" t="str">
        <f aca="false">CONCATENATE(D1622," ",LEFT(H1622,4),"T=",AU1622,"D=",AV1622,"R=",AW1622,"M=",AX1622,"L=",AY1622,"B=",AZ1622)</f>
        <v>RIHEL T=1D=0R=0M=0L=0B=0</v>
      </c>
      <c r="G1622" s="0" t="s">
        <v>939</v>
      </c>
      <c r="I1622" s="0" t="s">
        <v>7406</v>
      </c>
      <c r="J1622" s="0" t="s">
        <v>7407</v>
      </c>
      <c r="K1622" s="0" t="s">
        <v>144</v>
      </c>
      <c r="L1622" s="0"/>
      <c r="M1622" s="0" t="s">
        <v>7404</v>
      </c>
      <c r="N1622" s="0" t="str">
        <f aca="false">RIGHT(M1622,LEN(M1622)-FIND(" ",M1622))</f>
        <v>MAHONING AVE NW</v>
      </c>
      <c r="P1622" s="0" t="s">
        <v>146</v>
      </c>
      <c r="Q1622" s="0" t="s">
        <v>147</v>
      </c>
      <c r="R1622" s="0" t="n">
        <v>44483</v>
      </c>
      <c r="AD1622" s="0" t="s">
        <v>148</v>
      </c>
      <c r="AE1622" s="0" t="s">
        <v>149</v>
      </c>
      <c r="AF1622" s="0" t="s">
        <v>150</v>
      </c>
      <c r="AH1622" s="0" t="n">
        <v>14</v>
      </c>
      <c r="AI1622" s="0" t="n">
        <v>11</v>
      </c>
      <c r="AN1622" s="0" t="s">
        <v>146</v>
      </c>
      <c r="AO1622" s="0" t="s">
        <v>151</v>
      </c>
      <c r="AP1622" s="0" t="s">
        <v>152</v>
      </c>
      <c r="AQ1622" s="0" t="n">
        <v>9</v>
      </c>
      <c r="AR1622" s="0" t="n">
        <v>64</v>
      </c>
      <c r="AS1622" s="0" t="n">
        <v>32</v>
      </c>
      <c r="AU1622" s="0" t="n">
        <f aca="false">COUNTA($BA$2051:$EH$2051)</f>
        <v>1</v>
      </c>
      <c r="AV1622" s="0" t="n">
        <f aca="false">COUNTIF($BA$2051:$EH$2051,"D")</f>
        <v>0</v>
      </c>
      <c r="AW1622" s="0" t="n">
        <f aca="false">COUNTIF($BA$2051:$EH$2051,"R")</f>
        <v>0</v>
      </c>
      <c r="AX1622" s="0" t="n">
        <f aca="false"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>0</v>
      </c>
      <c r="AY1622" s="0" t="n">
        <f aca="false">COUNTIF(DU1622:EH1622, "&lt;&gt;")</f>
        <v>0</v>
      </c>
      <c r="AZ1622" s="0" t="n">
        <f aca="false">IF(EH1622&lt;&gt;"",1,0)</f>
        <v>0</v>
      </c>
      <c r="BB1622" s="0" t="s">
        <v>153</v>
      </c>
    </row>
    <row r="1623" customFormat="false" ht="13.8" hidden="false" customHeight="false" outlineLevel="0" collapsed="false">
      <c r="A1623" s="0" t="s">
        <v>7408</v>
      </c>
      <c r="B1623" s="0" t="n">
        <v>78</v>
      </c>
      <c r="C1623" s="0" t="n">
        <v>387462</v>
      </c>
      <c r="D1623" s="0" t="s">
        <v>1184</v>
      </c>
      <c r="E1623" s="0" t="s">
        <v>1663</v>
      </c>
      <c r="F1623" s="0" t="str">
        <f aca="false">CONCATENATE(D1623," ",LEFT(H1623,4),"T=",AU1623,"D=",AV1623,"R=",AW1623,"M=",AX1623,"L=",AY1623,"B=",AZ1623)</f>
        <v>PATTERSON T=3D=0R=1M=1L=3B=0</v>
      </c>
      <c r="G1623" s="0" t="s">
        <v>181</v>
      </c>
      <c r="I1623" s="0" t="s">
        <v>7409</v>
      </c>
      <c r="J1623" s="0" t="s">
        <v>5592</v>
      </c>
      <c r="K1623" s="0" t="s">
        <v>175</v>
      </c>
      <c r="L1623" s="1" t="s">
        <v>155</v>
      </c>
      <c r="M1623" s="0" t="s">
        <v>7410</v>
      </c>
      <c r="N1623" s="0" t="str">
        <f aca="false">RIGHT(M1623,LEN(M1623)-FIND(" ",M1623))</f>
        <v>MAHONING AVE NW</v>
      </c>
      <c r="P1623" s="0" t="s">
        <v>146</v>
      </c>
      <c r="Q1623" s="0" t="s">
        <v>147</v>
      </c>
      <c r="R1623" s="0" t="n">
        <v>44483</v>
      </c>
      <c r="AD1623" s="0" t="s">
        <v>148</v>
      </c>
      <c r="AE1623" s="0" t="s">
        <v>149</v>
      </c>
      <c r="AF1623" s="0" t="s">
        <v>150</v>
      </c>
      <c r="AH1623" s="0" t="n">
        <v>14</v>
      </c>
      <c r="AI1623" s="0" t="n">
        <v>11</v>
      </c>
      <c r="AN1623" s="0" t="s">
        <v>146</v>
      </c>
      <c r="AO1623" s="0" t="s">
        <v>151</v>
      </c>
      <c r="AP1623" s="0" t="s">
        <v>152</v>
      </c>
      <c r="AQ1623" s="0" t="n">
        <v>9</v>
      </c>
      <c r="AR1623" s="0" t="n">
        <v>64</v>
      </c>
      <c r="AS1623" s="0" t="n">
        <v>32</v>
      </c>
      <c r="AU1623" s="0" t="n">
        <f aca="false">COUNTA($BA$1566:$EH$1566)</f>
        <v>3</v>
      </c>
      <c r="AV1623" s="0" t="n">
        <f aca="false">COUNTIF($BA$1566:$EH$1566,"D")</f>
        <v>0</v>
      </c>
      <c r="AW1623" s="0" t="n">
        <f aca="false">COUNTIF($BA$1566:$EH$1566,"R")</f>
        <v>1</v>
      </c>
      <c r="AX1623" s="0" t="n">
        <f aca="false"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>1</v>
      </c>
      <c r="AY1623" s="0" t="n">
        <f aca="false">COUNTIF(DU1623:EH1623, "&lt;&gt;")</f>
        <v>3</v>
      </c>
      <c r="AZ1623" s="0" t="n">
        <f aca="false">IF(EH1623&lt;&gt;"",1,0)</f>
        <v>0</v>
      </c>
      <c r="BB1623" s="0" t="s">
        <v>153</v>
      </c>
      <c r="CP1623" s="0" t="s">
        <v>154</v>
      </c>
      <c r="CW1623" s="0" t="s">
        <v>155</v>
      </c>
      <c r="DC1623" s="0" t="s">
        <v>154</v>
      </c>
      <c r="DT1623" s="0" t="s">
        <v>155</v>
      </c>
      <c r="DU1623" s="0" t="s">
        <v>154</v>
      </c>
      <c r="EA1623" s="0" t="s">
        <v>154</v>
      </c>
      <c r="EF1623" s="0" t="s">
        <v>154</v>
      </c>
    </row>
    <row r="1624" customFormat="false" ht="13.8" hidden="false" customHeight="false" outlineLevel="0" collapsed="false">
      <c r="A1624" s="0" t="s">
        <v>7411</v>
      </c>
      <c r="B1624" s="0" t="n">
        <v>78</v>
      </c>
      <c r="C1624" s="0" t="n">
        <v>340816</v>
      </c>
      <c r="D1624" s="0" t="s">
        <v>1184</v>
      </c>
      <c r="E1624" s="0" t="s">
        <v>278</v>
      </c>
      <c r="F1624" s="0" t="str">
        <f aca="false">CONCATENATE(D1624," ",LEFT(H1624,4),"T=",AU1624,"D=",AV1624,"R=",AW1624,"M=",AX1624,"L=",AY1624,"B=",AZ1624)</f>
        <v>PATTERSON T=37D=11R=0M=2L=4B=0</v>
      </c>
      <c r="G1624" s="0" t="s">
        <v>222</v>
      </c>
      <c r="I1624" s="0" t="s">
        <v>7412</v>
      </c>
      <c r="J1624" s="0" t="s">
        <v>7413</v>
      </c>
      <c r="K1624" s="0" t="s">
        <v>175</v>
      </c>
      <c r="M1624" s="0" t="s">
        <v>7410</v>
      </c>
      <c r="N1624" s="0" t="str">
        <f aca="false">RIGHT(M1624,LEN(M1624)-FIND(" ",M1624))</f>
        <v>MAHONING AVE NW</v>
      </c>
      <c r="P1624" s="0" t="s">
        <v>146</v>
      </c>
      <c r="Q1624" s="0" t="s">
        <v>147</v>
      </c>
      <c r="R1624" s="0" t="n">
        <v>44483</v>
      </c>
      <c r="AD1624" s="0" t="s">
        <v>148</v>
      </c>
      <c r="AE1624" s="0" t="s">
        <v>149</v>
      </c>
      <c r="AF1624" s="0" t="s">
        <v>150</v>
      </c>
      <c r="AH1624" s="0" t="n">
        <v>14</v>
      </c>
      <c r="AI1624" s="0" t="n">
        <v>11</v>
      </c>
      <c r="AN1624" s="0" t="s">
        <v>146</v>
      </c>
      <c r="AO1624" s="0" t="s">
        <v>151</v>
      </c>
      <c r="AP1624" s="0" t="s">
        <v>152</v>
      </c>
      <c r="AQ1624" s="0" t="n">
        <v>9</v>
      </c>
      <c r="AR1624" s="0" t="n">
        <v>64</v>
      </c>
      <c r="AS1624" s="0" t="n">
        <v>32</v>
      </c>
      <c r="AU1624" s="0" t="n">
        <f aca="false">COUNTA($BA$1736:$EH$1736)</f>
        <v>37</v>
      </c>
      <c r="AV1624" s="0" t="n">
        <f aca="false">COUNTIF($BA$1736:$EH$1736,"D")</f>
        <v>11</v>
      </c>
      <c r="AW1624" s="0" t="n">
        <f aca="false">COUNTIF($BA$1736:$EH$1736,"R")</f>
        <v>0</v>
      </c>
      <c r="AX1624" s="0" t="n">
        <f aca="false"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>2</v>
      </c>
      <c r="AY1624" s="0" t="n">
        <f aca="false">COUNTIF(DU1624:EH1624, "&lt;&gt;")</f>
        <v>4</v>
      </c>
      <c r="AZ1624" s="0" t="n">
        <f aca="false">IF(EH1624&lt;&gt;"",1,0)</f>
        <v>0</v>
      </c>
      <c r="BB1624" s="0" t="s">
        <v>153</v>
      </c>
      <c r="BP1624" s="0" t="s">
        <v>154</v>
      </c>
      <c r="BS1624" s="0" t="s">
        <v>154</v>
      </c>
      <c r="CA1624" s="0" t="s">
        <v>154</v>
      </c>
      <c r="CP1624" s="0" t="s">
        <v>154</v>
      </c>
      <c r="CQ1624" s="0" t="s">
        <v>155</v>
      </c>
      <c r="CW1624" s="0" t="s">
        <v>155</v>
      </c>
      <c r="CY1624" s="0" t="s">
        <v>154</v>
      </c>
      <c r="DC1624" s="0" t="s">
        <v>154</v>
      </c>
      <c r="DN1624" s="0" t="s">
        <v>154</v>
      </c>
      <c r="DU1624" s="0" t="s">
        <v>154</v>
      </c>
      <c r="DX1624" s="0" t="s">
        <v>154</v>
      </c>
      <c r="EA1624" s="0" t="s">
        <v>154</v>
      </c>
      <c r="EF1624" s="0" t="s">
        <v>154</v>
      </c>
    </row>
    <row r="1625" customFormat="false" ht="13.8" hidden="true" customHeight="false" outlineLevel="0" collapsed="false">
      <c r="A1625" s="0" t="s">
        <v>7414</v>
      </c>
      <c r="B1625" s="0" t="n">
        <v>78</v>
      </c>
      <c r="C1625" s="0" t="n">
        <v>484059</v>
      </c>
      <c r="D1625" s="0" t="s">
        <v>7415</v>
      </c>
      <c r="E1625" s="0" t="s">
        <v>7416</v>
      </c>
      <c r="F1625" s="0" t="str">
        <f aca="false">CONCATENATE(D1625," ",LEFT(H1625,4),"T=",AU1625,"D=",AV1625,"R=",AW1625,"M=",AX1625,"L=",AY1625,"B=",AZ1625)</f>
        <v>HENTOSH T=2D=0R=0M=0L=0B=0</v>
      </c>
      <c r="G1625" s="0" t="s">
        <v>7417</v>
      </c>
      <c r="I1625" s="0" t="s">
        <v>7418</v>
      </c>
      <c r="J1625" s="0" t="s">
        <v>5611</v>
      </c>
      <c r="K1625" s="0" t="s">
        <v>175</v>
      </c>
      <c r="L1625" s="0"/>
      <c r="M1625" s="0" t="s">
        <v>7419</v>
      </c>
      <c r="N1625" s="0" t="str">
        <f aca="false">RIGHT(M1625,LEN(M1625)-FIND(" ",M1625))</f>
        <v>MAHONING AVE NW</v>
      </c>
      <c r="P1625" s="0" t="s">
        <v>146</v>
      </c>
      <c r="Q1625" s="0" t="s">
        <v>147</v>
      </c>
      <c r="R1625" s="0" t="n">
        <v>44483</v>
      </c>
      <c r="AD1625" s="0" t="s">
        <v>148</v>
      </c>
      <c r="AE1625" s="0" t="s">
        <v>149</v>
      </c>
      <c r="AF1625" s="0" t="s">
        <v>150</v>
      </c>
      <c r="AH1625" s="0" t="n">
        <v>14</v>
      </c>
      <c r="AI1625" s="0" t="n">
        <v>11</v>
      </c>
      <c r="AN1625" s="0" t="s">
        <v>146</v>
      </c>
      <c r="AO1625" s="0" t="s">
        <v>151</v>
      </c>
      <c r="AP1625" s="0" t="s">
        <v>152</v>
      </c>
      <c r="AQ1625" s="0" t="n">
        <v>9</v>
      </c>
      <c r="AR1625" s="0" t="n">
        <v>64</v>
      </c>
      <c r="AS1625" s="0" t="n">
        <v>32</v>
      </c>
      <c r="AU1625" s="0" t="n">
        <f aca="false">COUNTA($BA$1850:$EH$1850)</f>
        <v>2</v>
      </c>
      <c r="AV1625" s="0" t="n">
        <f aca="false">COUNTIF($BA$1850:$EH$1850,"D")</f>
        <v>0</v>
      </c>
      <c r="AW1625" s="0" t="n">
        <f aca="false">COUNTIF($BA$1850:$EH$1850,"R")</f>
        <v>0</v>
      </c>
      <c r="AX1625" s="0" t="n">
        <f aca="false"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>0</v>
      </c>
      <c r="AY1625" s="0" t="n">
        <f aca="false">COUNTIF(DU1625:EH1625, "&lt;&gt;")</f>
        <v>0</v>
      </c>
      <c r="AZ1625" s="0" t="n">
        <f aca="false">IF(EH1625&lt;&gt;"",1,0)</f>
        <v>0</v>
      </c>
      <c r="BB1625" s="0" t="s">
        <v>153</v>
      </c>
    </row>
    <row r="1626" customFormat="false" ht="13.8" hidden="true" customHeight="false" outlineLevel="0" collapsed="false">
      <c r="A1626" s="0" t="s">
        <v>7420</v>
      </c>
      <c r="B1626" s="0" t="n">
        <v>78</v>
      </c>
      <c r="C1626" s="0" t="n">
        <v>484340</v>
      </c>
      <c r="D1626" s="0" t="s">
        <v>1910</v>
      </c>
      <c r="E1626" s="0" t="s">
        <v>2478</v>
      </c>
      <c r="F1626" s="0" t="str">
        <f aca="false">CONCATENATE(D1626," ",LEFT(H1626,4),"T=",AU1626,"D=",AV1626,"R=",AW1626,"M=",AX1626,"L=",AY1626,"B=",AZ1626)</f>
        <v>DALE T=3D=0R=0M=0L=0B=0</v>
      </c>
      <c r="G1626" s="0" t="s">
        <v>155</v>
      </c>
      <c r="I1626" s="0" t="s">
        <v>7421</v>
      </c>
      <c r="J1626" s="0" t="s">
        <v>7422</v>
      </c>
      <c r="K1626" s="0" t="s">
        <v>175</v>
      </c>
      <c r="L1626" s="0"/>
      <c r="M1626" s="0" t="s">
        <v>7419</v>
      </c>
      <c r="N1626" s="0" t="str">
        <f aca="false">RIGHT(M1626,LEN(M1626)-FIND(" ",M1626))</f>
        <v>MAHONING AVE NW</v>
      </c>
      <c r="P1626" s="0" t="s">
        <v>146</v>
      </c>
      <c r="Q1626" s="0" t="s">
        <v>147</v>
      </c>
      <c r="R1626" s="0" t="n">
        <v>44483</v>
      </c>
      <c r="AD1626" s="0" t="s">
        <v>148</v>
      </c>
      <c r="AE1626" s="0" t="s">
        <v>149</v>
      </c>
      <c r="AF1626" s="0" t="s">
        <v>150</v>
      </c>
      <c r="AH1626" s="0" t="n">
        <v>14</v>
      </c>
      <c r="AI1626" s="0" t="n">
        <v>11</v>
      </c>
      <c r="AN1626" s="0" t="s">
        <v>146</v>
      </c>
      <c r="AO1626" s="0" t="s">
        <v>151</v>
      </c>
      <c r="AP1626" s="0" t="s">
        <v>152</v>
      </c>
      <c r="AQ1626" s="0" t="n">
        <v>9</v>
      </c>
      <c r="AR1626" s="0" t="n">
        <v>64</v>
      </c>
      <c r="AS1626" s="0" t="n">
        <v>32</v>
      </c>
      <c r="AU1626" s="0" t="n">
        <f aca="false">COUNTA($BA$1999:$EH$1999)</f>
        <v>3</v>
      </c>
      <c r="AV1626" s="0" t="n">
        <f aca="false">COUNTIF($BA$1999:$EH$1999,"D")</f>
        <v>0</v>
      </c>
      <c r="AW1626" s="0" t="n">
        <f aca="false">COUNTIF($BA$1999:$EH$1999,"R")</f>
        <v>0</v>
      </c>
      <c r="AX1626" s="0" t="n">
        <f aca="false"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>0</v>
      </c>
      <c r="AY1626" s="0" t="n">
        <f aca="false">COUNTIF(DU1626:EH1626, "&lt;&gt;")</f>
        <v>0</v>
      </c>
      <c r="AZ1626" s="0" t="n">
        <f aca="false">IF(EH1626&lt;&gt;"",1,0)</f>
        <v>0</v>
      </c>
      <c r="BB1626" s="0" t="s">
        <v>153</v>
      </c>
    </row>
    <row r="1627" customFormat="false" ht="13.8" hidden="true" customHeight="false" outlineLevel="0" collapsed="false">
      <c r="A1627" s="0" t="s">
        <v>7423</v>
      </c>
      <c r="B1627" s="0" t="n">
        <v>78</v>
      </c>
      <c r="C1627" s="0" t="n">
        <v>483745</v>
      </c>
      <c r="D1627" s="0" t="s">
        <v>7424</v>
      </c>
      <c r="E1627" s="0" t="s">
        <v>1635</v>
      </c>
      <c r="F1627" s="0" t="str">
        <f aca="false">CONCATENATE(D1627," ",LEFT(H1627,4),"T=",AU1627,"D=",AV1627,"R=",AW1627,"M=",AX1627,"L=",AY1627,"B=",AZ1627)</f>
        <v>ABERDEEN T=19D=3R=0M=0L=0B=0</v>
      </c>
      <c r="G1627" s="0" t="s">
        <v>7425</v>
      </c>
      <c r="I1627" s="0" t="s">
        <v>7426</v>
      </c>
      <c r="J1627" s="0" t="s">
        <v>7427</v>
      </c>
      <c r="K1627" s="0" t="s">
        <v>175</v>
      </c>
      <c r="L1627" s="0"/>
      <c r="M1627" s="0" t="s">
        <v>7428</v>
      </c>
      <c r="N1627" s="0" t="str">
        <f aca="false">RIGHT(M1627,LEN(M1627)-FIND(" ",M1627))</f>
        <v>MAHONING AVE NW</v>
      </c>
      <c r="P1627" s="0" t="s">
        <v>146</v>
      </c>
      <c r="Q1627" s="0" t="s">
        <v>147</v>
      </c>
      <c r="R1627" s="0" t="n">
        <v>44483</v>
      </c>
      <c r="AD1627" s="0" t="s">
        <v>148</v>
      </c>
      <c r="AE1627" s="0" t="s">
        <v>149</v>
      </c>
      <c r="AF1627" s="0" t="s">
        <v>150</v>
      </c>
      <c r="AH1627" s="0" t="n">
        <v>14</v>
      </c>
      <c r="AI1627" s="0" t="n">
        <v>11</v>
      </c>
      <c r="AN1627" s="0" t="s">
        <v>146</v>
      </c>
      <c r="AO1627" s="0" t="s">
        <v>151</v>
      </c>
      <c r="AP1627" s="0" t="s">
        <v>152</v>
      </c>
      <c r="AQ1627" s="0" t="n">
        <v>9</v>
      </c>
      <c r="AR1627" s="0" t="n">
        <v>64</v>
      </c>
      <c r="AS1627" s="0" t="n">
        <v>32</v>
      </c>
      <c r="AU1627" s="0" t="n">
        <f aca="false">COUNTA($BA$1136:$EH$1136)</f>
        <v>19</v>
      </c>
      <c r="AV1627" s="0" t="n">
        <f aca="false">COUNTIF($BA$1136:$EH$1136,"D")</f>
        <v>3</v>
      </c>
      <c r="AW1627" s="0" t="n">
        <f aca="false">COUNTIF($BA$1136:$EH$1136,"R")</f>
        <v>0</v>
      </c>
      <c r="AX1627" s="0" t="n">
        <f aca="false"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>0</v>
      </c>
      <c r="AY1627" s="0" t="n">
        <f aca="false">COUNTIF(DU1627:EH1627, "&lt;&gt;")</f>
        <v>0</v>
      </c>
      <c r="AZ1627" s="0" t="n">
        <f aca="false">IF(EH1627&lt;&gt;"",1,0)</f>
        <v>0</v>
      </c>
      <c r="BB1627" s="0" t="s">
        <v>153</v>
      </c>
    </row>
    <row r="1628" customFormat="false" ht="13.8" hidden="true" customHeight="false" outlineLevel="0" collapsed="false">
      <c r="A1628" s="0" t="s">
        <v>7429</v>
      </c>
      <c r="B1628" s="0" t="n">
        <v>78</v>
      </c>
      <c r="C1628" s="0" t="n">
        <v>477242</v>
      </c>
      <c r="D1628" s="0" t="s">
        <v>1099</v>
      </c>
      <c r="E1628" s="0" t="s">
        <v>7430</v>
      </c>
      <c r="F1628" s="0" t="str">
        <f aca="false">CONCATENATE(D1628," ",LEFT(H1628,4),"T=",AU1628,"D=",AV1628,"R=",AW1628,"M=",AX1628,"L=",AY1628,"B=",AZ1628)</f>
        <v>WRIGHT T=3D=0R=0M=0L=1B=0</v>
      </c>
      <c r="G1628" s="0" t="s">
        <v>7431</v>
      </c>
      <c r="I1628" s="0" t="s">
        <v>7432</v>
      </c>
      <c r="J1628" s="0" t="s">
        <v>4495</v>
      </c>
      <c r="K1628" s="0" t="s">
        <v>175</v>
      </c>
      <c r="L1628" s="0"/>
      <c r="M1628" s="0" t="s">
        <v>7428</v>
      </c>
      <c r="N1628" s="0" t="str">
        <f aca="false">RIGHT(M1628,LEN(M1628)-FIND(" ",M1628))</f>
        <v>MAHONING AVE NW</v>
      </c>
      <c r="P1628" s="0" t="s">
        <v>146</v>
      </c>
      <c r="Q1628" s="0" t="s">
        <v>147</v>
      </c>
      <c r="R1628" s="0" t="n">
        <v>44483</v>
      </c>
      <c r="AD1628" s="0" t="s">
        <v>148</v>
      </c>
      <c r="AE1628" s="0" t="s">
        <v>149</v>
      </c>
      <c r="AF1628" s="0" t="s">
        <v>150</v>
      </c>
      <c r="AH1628" s="0" t="n">
        <v>14</v>
      </c>
      <c r="AI1628" s="0" t="n">
        <v>11</v>
      </c>
      <c r="AN1628" s="0" t="s">
        <v>146</v>
      </c>
      <c r="AO1628" s="0" t="s">
        <v>151</v>
      </c>
      <c r="AP1628" s="0" t="s">
        <v>152</v>
      </c>
      <c r="AQ1628" s="0" t="n">
        <v>9</v>
      </c>
      <c r="AR1628" s="0" t="n">
        <v>64</v>
      </c>
      <c r="AS1628" s="0" t="n">
        <v>32</v>
      </c>
      <c r="AU1628" s="0" t="n">
        <f aca="false">COUNTA($BA$1605:$EH$1605)</f>
        <v>3</v>
      </c>
      <c r="AV1628" s="0" t="n">
        <f aca="false">COUNTIF($BA$1605:$EH$1605,"D")</f>
        <v>0</v>
      </c>
      <c r="AW1628" s="0" t="n">
        <f aca="false">COUNTIF($BA$1605:$EH$1605,"R")</f>
        <v>0</v>
      </c>
      <c r="AX1628" s="0" t="n">
        <f aca="false"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>0</v>
      </c>
      <c r="AY1628" s="0" t="n">
        <f aca="false">COUNTIF(DU1628:EH1628, "&lt;&gt;")</f>
        <v>1</v>
      </c>
      <c r="AZ1628" s="0" t="n">
        <f aca="false">IF(EH1628&lt;&gt;"",1,0)</f>
        <v>0</v>
      </c>
      <c r="BB1628" s="0" t="s">
        <v>153</v>
      </c>
      <c r="EA1628" s="0" t="s">
        <v>154</v>
      </c>
    </row>
    <row r="1629" customFormat="false" ht="13.8" hidden="false" customHeight="false" outlineLevel="0" collapsed="false">
      <c r="A1629" s="0" t="s">
        <v>7433</v>
      </c>
      <c r="B1629" s="0" t="n">
        <v>78</v>
      </c>
      <c r="C1629" s="0" t="n">
        <v>453521</v>
      </c>
      <c r="D1629" s="0" t="s">
        <v>7434</v>
      </c>
      <c r="E1629" s="0" t="s">
        <v>7435</v>
      </c>
      <c r="F1629" s="0" t="str">
        <f aca="false">CONCATENATE(D1629," ",LEFT(H1629,4),"T=",AU1629,"D=",AV1629,"R=",AW1629,"M=",AX1629,"L=",AY1629,"B=",AZ1629)</f>
        <v>KALE T=10D=1R=0M=0L=2B=0</v>
      </c>
      <c r="G1629" s="0" t="s">
        <v>2670</v>
      </c>
      <c r="I1629" s="0" t="s">
        <v>7436</v>
      </c>
      <c r="J1629" s="0" t="s">
        <v>7437</v>
      </c>
      <c r="K1629" s="0" t="s">
        <v>175</v>
      </c>
      <c r="M1629" s="0" t="s">
        <v>7438</v>
      </c>
      <c r="N1629" s="0" t="str">
        <f aca="false">RIGHT(M1629,LEN(M1629)-FIND(" ",M1629))</f>
        <v>MAHONING AVE NW</v>
      </c>
      <c r="P1629" s="0" t="s">
        <v>146</v>
      </c>
      <c r="Q1629" s="0" t="s">
        <v>147</v>
      </c>
      <c r="R1629" s="0" t="n">
        <v>44483</v>
      </c>
      <c r="AD1629" s="0" t="s">
        <v>148</v>
      </c>
      <c r="AE1629" s="0" t="s">
        <v>149</v>
      </c>
      <c r="AF1629" s="0" t="s">
        <v>150</v>
      </c>
      <c r="AH1629" s="0" t="n">
        <v>14</v>
      </c>
      <c r="AI1629" s="0" t="n">
        <v>11</v>
      </c>
      <c r="AN1629" s="0" t="s">
        <v>146</v>
      </c>
      <c r="AO1629" s="0" t="s">
        <v>151</v>
      </c>
      <c r="AP1629" s="0" t="s">
        <v>152</v>
      </c>
      <c r="AQ1629" s="0" t="n">
        <v>9</v>
      </c>
      <c r="AR1629" s="0" t="n">
        <v>64</v>
      </c>
      <c r="AS1629" s="0" t="n">
        <v>32</v>
      </c>
      <c r="AU1629" s="0" t="n">
        <f aca="false">COUNTA($BA$1093:$EH$1093)</f>
        <v>10</v>
      </c>
      <c r="AV1629" s="0" t="n">
        <f aca="false">COUNTIF($BA$1093:$EH$1093,"D")</f>
        <v>1</v>
      </c>
      <c r="AW1629" s="0" t="n">
        <f aca="false">COUNTIF($BA$1093:$EH$1093,"R")</f>
        <v>0</v>
      </c>
      <c r="AX1629" s="0" t="n">
        <f aca="false"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>0</v>
      </c>
      <c r="AY1629" s="0" t="n">
        <f aca="false">COUNTIF(DU1629:EH1629, "&lt;&gt;")</f>
        <v>2</v>
      </c>
      <c r="AZ1629" s="0" t="n">
        <f aca="false">IF(EH1629&lt;&gt;"",1,0)</f>
        <v>0</v>
      </c>
      <c r="BB1629" s="0" t="s">
        <v>153</v>
      </c>
      <c r="CP1629" s="0" t="s">
        <v>154</v>
      </c>
      <c r="DX1629" s="0" t="s">
        <v>154</v>
      </c>
      <c r="EA1629" s="0" t="s">
        <v>154</v>
      </c>
    </row>
    <row r="1630" customFormat="false" ht="13.8" hidden="true" customHeight="false" outlineLevel="0" collapsed="false">
      <c r="A1630" s="0" t="s">
        <v>7439</v>
      </c>
      <c r="B1630" s="0" t="n">
        <v>78</v>
      </c>
      <c r="C1630" s="0" t="n">
        <v>495506</v>
      </c>
      <c r="D1630" s="0" t="s">
        <v>645</v>
      </c>
      <c r="E1630" s="0" t="s">
        <v>3982</v>
      </c>
      <c r="F1630" s="0" t="str">
        <f aca="false">CONCATENATE(D1630," ",LEFT(H1630,4),"T=",AU1630,"D=",AV1630,"R=",AW1630,"M=",AX1630,"L=",AY1630,"B=",AZ1630)</f>
        <v>WILLIAMS T=1D=0R=0M=0L=0B=0</v>
      </c>
      <c r="G1630" s="0" t="s">
        <v>690</v>
      </c>
      <c r="I1630" s="0" t="s">
        <v>7440</v>
      </c>
      <c r="J1630" s="0" t="s">
        <v>7441</v>
      </c>
      <c r="K1630" s="0" t="s">
        <v>175</v>
      </c>
      <c r="L1630" s="0"/>
      <c r="M1630" s="0" t="s">
        <v>7438</v>
      </c>
      <c r="N1630" s="0" t="str">
        <f aca="false">RIGHT(M1630,LEN(M1630)-FIND(" ",M1630))</f>
        <v>MAHONING AVE NW</v>
      </c>
      <c r="P1630" s="0" t="s">
        <v>146</v>
      </c>
      <c r="Q1630" s="0" t="s">
        <v>147</v>
      </c>
      <c r="R1630" s="0" t="n">
        <v>44483</v>
      </c>
      <c r="AD1630" s="0" t="s">
        <v>148</v>
      </c>
      <c r="AE1630" s="0" t="s">
        <v>149</v>
      </c>
      <c r="AF1630" s="0" t="s">
        <v>150</v>
      </c>
      <c r="AH1630" s="0" t="n">
        <v>14</v>
      </c>
      <c r="AI1630" s="0" t="n">
        <v>11</v>
      </c>
      <c r="AN1630" s="0" t="s">
        <v>146</v>
      </c>
      <c r="AO1630" s="0" t="s">
        <v>151</v>
      </c>
      <c r="AP1630" s="0" t="s">
        <v>152</v>
      </c>
      <c r="AQ1630" s="0" t="n">
        <v>9</v>
      </c>
      <c r="AR1630" s="0" t="n">
        <v>64</v>
      </c>
      <c r="AS1630" s="0" t="n">
        <v>32</v>
      </c>
      <c r="AU1630" s="0" t="n">
        <f aca="false">COUNTA($BA$1385:$EH$1385)</f>
        <v>1</v>
      </c>
      <c r="AV1630" s="0" t="n">
        <f aca="false">COUNTIF($BA$1385:$EH$1385,"D")</f>
        <v>0</v>
      </c>
      <c r="AW1630" s="0" t="n">
        <f aca="false">COUNTIF($BA$1385:$EH$1385,"R")</f>
        <v>0</v>
      </c>
      <c r="AX1630" s="0" t="n">
        <f aca="false"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>0</v>
      </c>
      <c r="AY1630" s="0" t="n">
        <f aca="false">COUNTIF(DU1630:EH1630, "&lt;&gt;")</f>
        <v>0</v>
      </c>
      <c r="AZ1630" s="0" t="n">
        <f aca="false">IF(EH1630&lt;&gt;"",1,0)</f>
        <v>0</v>
      </c>
      <c r="BB1630" s="0" t="s">
        <v>153</v>
      </c>
    </row>
    <row r="1631" customFormat="false" ht="13.8" hidden="true" customHeight="false" outlineLevel="0" collapsed="false">
      <c r="A1631" s="0" t="s">
        <v>7442</v>
      </c>
      <c r="B1631" s="0" t="n">
        <v>78</v>
      </c>
      <c r="C1631" s="0" t="n">
        <v>338194</v>
      </c>
      <c r="D1631" s="0" t="s">
        <v>7434</v>
      </c>
      <c r="E1631" s="0" t="s">
        <v>609</v>
      </c>
      <c r="F1631" s="0" t="str">
        <f aca="false">CONCATENATE(D1631," ",LEFT(H1631,4),"T=",AU1631,"D=",AV1631,"R=",AW1631,"M=",AX1631,"L=",AY1631,"B=",AZ1631)</f>
        <v>KALE T=3D=0R=0M=0L=0B=0</v>
      </c>
      <c r="G1631" s="0" t="s">
        <v>1446</v>
      </c>
      <c r="I1631" s="0" t="s">
        <v>7443</v>
      </c>
      <c r="J1631" s="0" t="s">
        <v>7444</v>
      </c>
      <c r="K1631" s="0" t="s">
        <v>175</v>
      </c>
      <c r="L1631" s="0"/>
      <c r="M1631" s="0" t="s">
        <v>7438</v>
      </c>
      <c r="N1631" s="0" t="str">
        <f aca="false">RIGHT(M1631,LEN(M1631)-FIND(" ",M1631))</f>
        <v>MAHONING AVE NW</v>
      </c>
      <c r="O1631" s="0" t="s">
        <v>414</v>
      </c>
      <c r="P1631" s="0" t="s">
        <v>146</v>
      </c>
      <c r="Q1631" s="0" t="s">
        <v>147</v>
      </c>
      <c r="R1631" s="0" t="n">
        <v>44483</v>
      </c>
      <c r="AD1631" s="0" t="s">
        <v>148</v>
      </c>
      <c r="AE1631" s="0" t="s">
        <v>149</v>
      </c>
      <c r="AF1631" s="0" t="s">
        <v>150</v>
      </c>
      <c r="AH1631" s="0" t="n">
        <v>14</v>
      </c>
      <c r="AI1631" s="0" t="n">
        <v>11</v>
      </c>
      <c r="AN1631" s="0" t="s">
        <v>146</v>
      </c>
      <c r="AO1631" s="0" t="s">
        <v>151</v>
      </c>
      <c r="AP1631" s="0" t="s">
        <v>152</v>
      </c>
      <c r="AQ1631" s="0" t="n">
        <v>9</v>
      </c>
      <c r="AR1631" s="0" t="n">
        <v>64</v>
      </c>
      <c r="AS1631" s="0" t="n">
        <v>32</v>
      </c>
      <c r="AU1631" s="0" t="n">
        <f aca="false">COUNTA($BA$1451:$EH$1451)</f>
        <v>3</v>
      </c>
      <c r="AV1631" s="0" t="n">
        <f aca="false">COUNTIF($BA$1451:$EH$1451,"D")</f>
        <v>0</v>
      </c>
      <c r="AW1631" s="0" t="n">
        <f aca="false">COUNTIF($BA$1451:$EH$1451,"R")</f>
        <v>0</v>
      </c>
      <c r="AX1631" s="0" t="n">
        <f aca="false"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>0</v>
      </c>
      <c r="AY1631" s="0" t="n">
        <f aca="false">COUNTIF(DU1631:EH1631, "&lt;&gt;")</f>
        <v>0</v>
      </c>
      <c r="AZ1631" s="0" t="n">
        <f aca="false">IF(EH1631&lt;&gt;"",1,0)</f>
        <v>0</v>
      </c>
      <c r="BB1631" s="0" t="s">
        <v>153</v>
      </c>
    </row>
    <row r="1632" customFormat="false" ht="13.8" hidden="true" customHeight="false" outlineLevel="0" collapsed="false">
      <c r="A1632" s="0" t="s">
        <v>7445</v>
      </c>
      <c r="B1632" s="0" t="n">
        <v>78</v>
      </c>
      <c r="C1632" s="0" t="n">
        <v>374967</v>
      </c>
      <c r="D1632" s="0" t="s">
        <v>7446</v>
      </c>
      <c r="E1632" s="0" t="s">
        <v>283</v>
      </c>
      <c r="F1632" s="0" t="str">
        <f aca="false">CONCATENATE(D1632," ",LEFT(H1632,4),"T=",AU1632,"D=",AV1632,"R=",AW1632,"M=",AX1632,"L=",AY1632,"B=",AZ1632)</f>
        <v>SWAIN T=51D=19R=0M=0L=0B=0</v>
      </c>
      <c r="G1632" s="0" t="s">
        <v>172</v>
      </c>
      <c r="I1632" s="0" t="s">
        <v>7447</v>
      </c>
      <c r="J1632" s="0" t="s">
        <v>7448</v>
      </c>
      <c r="K1632" s="0" t="s">
        <v>175</v>
      </c>
      <c r="L1632" s="0"/>
      <c r="M1632" s="0" t="s">
        <v>7438</v>
      </c>
      <c r="N1632" s="0" t="str">
        <f aca="false">RIGHT(M1632,LEN(M1632)-FIND(" ",M1632))</f>
        <v>MAHONING AVE NW</v>
      </c>
      <c r="P1632" s="0" t="s">
        <v>146</v>
      </c>
      <c r="Q1632" s="0" t="s">
        <v>147</v>
      </c>
      <c r="R1632" s="0" t="n">
        <v>44483</v>
      </c>
      <c r="AD1632" s="0" t="s">
        <v>148</v>
      </c>
      <c r="AE1632" s="0" t="s">
        <v>149</v>
      </c>
      <c r="AF1632" s="0" t="s">
        <v>150</v>
      </c>
      <c r="AH1632" s="0" t="n">
        <v>14</v>
      </c>
      <c r="AI1632" s="0" t="n">
        <v>11</v>
      </c>
      <c r="AN1632" s="0" t="s">
        <v>146</v>
      </c>
      <c r="AO1632" s="0" t="s">
        <v>151</v>
      </c>
      <c r="AP1632" s="0" t="s">
        <v>152</v>
      </c>
      <c r="AQ1632" s="0" t="n">
        <v>9</v>
      </c>
      <c r="AR1632" s="0" t="n">
        <v>64</v>
      </c>
      <c r="AS1632" s="0" t="n">
        <v>32</v>
      </c>
      <c r="AU1632" s="0" t="n">
        <f aca="false">COUNTA($BA$1569:$EH$1569)</f>
        <v>51</v>
      </c>
      <c r="AV1632" s="0" t="n">
        <f aca="false">COUNTIF($BA$1569:$EH$1569,"D")</f>
        <v>19</v>
      </c>
      <c r="AW1632" s="0" t="n">
        <f aca="false">COUNTIF($BA$1569:$EH$1569,"R")</f>
        <v>0</v>
      </c>
      <c r="AX1632" s="0" t="n">
        <f aca="false"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>0</v>
      </c>
      <c r="AY1632" s="0" t="n">
        <f aca="false">COUNTIF(DU1632:EH1632, "&lt;&gt;")</f>
        <v>0</v>
      </c>
      <c r="AZ1632" s="0" t="n">
        <f aca="false">IF(EH1632&lt;&gt;"",1,0)</f>
        <v>0</v>
      </c>
      <c r="BB1632" s="0" t="s">
        <v>153</v>
      </c>
      <c r="CK1632" s="0" t="s">
        <v>154</v>
      </c>
      <c r="CY1632" s="0" t="s">
        <v>154</v>
      </c>
    </row>
    <row r="1633" customFormat="false" ht="13.8" hidden="false" customHeight="false" outlineLevel="0" collapsed="false">
      <c r="A1633" s="0" t="s">
        <v>7449</v>
      </c>
      <c r="B1633" s="0" t="n">
        <v>78</v>
      </c>
      <c r="C1633" s="0" t="n">
        <v>5843</v>
      </c>
      <c r="D1633" s="0" t="s">
        <v>7450</v>
      </c>
      <c r="E1633" s="0" t="s">
        <v>771</v>
      </c>
      <c r="F1633" s="0" t="str">
        <f aca="false">CONCATENATE(D1633," ",LEFT(H1633,4),"T=",AU1633,"D=",AV1633,"R=",AW1633,"M=",AX1633,"L=",AY1633,"B=",AZ1633)</f>
        <v>KISS T=5D=0R=0M=2L=4B=0</v>
      </c>
      <c r="G1633" s="0" t="s">
        <v>159</v>
      </c>
      <c r="I1633" s="0" t="s">
        <v>7451</v>
      </c>
      <c r="J1633" s="0" t="s">
        <v>7452</v>
      </c>
      <c r="K1633" s="0" t="s">
        <v>175</v>
      </c>
      <c r="L1633" s="1" t="s">
        <v>155</v>
      </c>
      <c r="M1633" s="0" t="s">
        <v>7453</v>
      </c>
      <c r="N1633" s="0" t="str">
        <f aca="false">RIGHT(M1633,LEN(M1633)-FIND(" ",M1633))</f>
        <v>MAHONING AVE NW</v>
      </c>
      <c r="P1633" s="0" t="s">
        <v>146</v>
      </c>
      <c r="Q1633" s="0" t="s">
        <v>147</v>
      </c>
      <c r="R1633" s="0" t="n">
        <v>44483</v>
      </c>
      <c r="AD1633" s="0" t="s">
        <v>148</v>
      </c>
      <c r="AE1633" s="0" t="s">
        <v>149</v>
      </c>
      <c r="AF1633" s="0" t="s">
        <v>150</v>
      </c>
      <c r="AH1633" s="0" t="n">
        <v>14</v>
      </c>
      <c r="AI1633" s="0" t="n">
        <v>11</v>
      </c>
      <c r="AN1633" s="0" t="s">
        <v>146</v>
      </c>
      <c r="AO1633" s="0" t="s">
        <v>151</v>
      </c>
      <c r="AP1633" s="0" t="s">
        <v>152</v>
      </c>
      <c r="AQ1633" s="0" t="n">
        <v>9</v>
      </c>
      <c r="AR1633" s="0" t="n">
        <v>64</v>
      </c>
      <c r="AS1633" s="0" t="n">
        <v>32</v>
      </c>
      <c r="AU1633" s="0" t="n">
        <f aca="false">COUNTA($BA$1596:$EH$1596)</f>
        <v>5</v>
      </c>
      <c r="AV1633" s="0" t="n">
        <f aca="false">COUNTIF($BA$1596:$EH$1596,"D")</f>
        <v>0</v>
      </c>
      <c r="AW1633" s="0" t="n">
        <f aca="false">COUNTIF($BA$1596:$EH$1596,"R")</f>
        <v>0</v>
      </c>
      <c r="AX1633" s="0" t="n">
        <f aca="false"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>2</v>
      </c>
      <c r="AY1633" s="0" t="n">
        <f aca="false">COUNTIF(DU1633:EH1633, "&lt;&gt;")</f>
        <v>4</v>
      </c>
      <c r="AZ1633" s="0" t="n">
        <f aca="false">IF(EH1633&lt;&gt;"",1,0)</f>
        <v>0</v>
      </c>
      <c r="BB1633" s="0" t="s">
        <v>153</v>
      </c>
      <c r="BC1633" s="0" t="s">
        <v>154</v>
      </c>
      <c r="BD1633" s="0" t="s">
        <v>154</v>
      </c>
      <c r="BH1633" s="0" t="s">
        <v>154</v>
      </c>
      <c r="BK1633" s="0" t="s">
        <v>154</v>
      </c>
      <c r="BL1633" s="0" t="s">
        <v>154</v>
      </c>
      <c r="BS1633" s="0" t="s">
        <v>154</v>
      </c>
      <c r="BY1633" s="0" t="s">
        <v>155</v>
      </c>
      <c r="CA1633" s="0" t="s">
        <v>154</v>
      </c>
      <c r="CK1633" s="0" t="s">
        <v>154</v>
      </c>
      <c r="CL1633" s="0" t="s">
        <v>155</v>
      </c>
      <c r="CP1633" s="0" t="s">
        <v>154</v>
      </c>
      <c r="CU1633" s="0" t="s">
        <v>155</v>
      </c>
      <c r="CV1633" s="0" t="s">
        <v>154</v>
      </c>
      <c r="CY1633" s="0" t="s">
        <v>154</v>
      </c>
      <c r="CZ1633" s="0" t="s">
        <v>155</v>
      </c>
      <c r="DC1633" s="0" t="s">
        <v>154</v>
      </c>
      <c r="DG1633" s="0" t="s">
        <v>155</v>
      </c>
      <c r="DI1633" s="0" t="s">
        <v>154</v>
      </c>
      <c r="DM1633" s="0" t="s">
        <v>155</v>
      </c>
      <c r="DN1633" s="0" t="s">
        <v>154</v>
      </c>
      <c r="DS1633" s="0" t="s">
        <v>155</v>
      </c>
      <c r="DU1633" s="0" t="s">
        <v>154</v>
      </c>
      <c r="DW1633" s="0" t="s">
        <v>155</v>
      </c>
      <c r="EA1633" s="0" t="s">
        <v>154</v>
      </c>
      <c r="EF1633" s="0" t="s">
        <v>154</v>
      </c>
    </row>
    <row r="1634" customFormat="false" ht="13.8" hidden="true" customHeight="false" outlineLevel="0" collapsed="false">
      <c r="A1634" s="0" t="s">
        <v>7454</v>
      </c>
      <c r="B1634" s="0" t="n">
        <v>78</v>
      </c>
      <c r="C1634" s="0" t="n">
        <v>461512</v>
      </c>
      <c r="D1634" s="0" t="s">
        <v>139</v>
      </c>
      <c r="E1634" s="0" t="s">
        <v>629</v>
      </c>
      <c r="F1634" s="0" t="str">
        <f aca="false">CONCATENATE(D1634," ",LEFT(H1634,4),"T=",AU1634,"D=",AV1634,"R=",AW1634,"M=",AX1634,"L=",AY1634,"B=",AZ1634)</f>
        <v>ALLEN T=6D=0R=0M=0L=1B=0</v>
      </c>
      <c r="G1634" s="0" t="s">
        <v>1446</v>
      </c>
      <c r="I1634" s="0" t="s">
        <v>7455</v>
      </c>
      <c r="J1634" s="0" t="s">
        <v>5024</v>
      </c>
      <c r="K1634" s="0" t="s">
        <v>175</v>
      </c>
      <c r="L1634" s="0"/>
      <c r="M1634" s="0" t="s">
        <v>7456</v>
      </c>
      <c r="N1634" s="0" t="str">
        <f aca="false">RIGHT(M1634,LEN(M1634)-FIND(" ",M1634))</f>
        <v>MAHONING AVE NW</v>
      </c>
      <c r="P1634" s="0" t="s">
        <v>146</v>
      </c>
      <c r="Q1634" s="0" t="s">
        <v>147</v>
      </c>
      <c r="R1634" s="0" t="n">
        <v>44483</v>
      </c>
      <c r="AD1634" s="0" t="s">
        <v>148</v>
      </c>
      <c r="AE1634" s="0" t="s">
        <v>149</v>
      </c>
      <c r="AF1634" s="0" t="s">
        <v>150</v>
      </c>
      <c r="AH1634" s="0" t="n">
        <v>14</v>
      </c>
      <c r="AI1634" s="0" t="n">
        <v>11</v>
      </c>
      <c r="AN1634" s="0" t="s">
        <v>146</v>
      </c>
      <c r="AO1634" s="0" t="s">
        <v>151</v>
      </c>
      <c r="AP1634" s="0" t="s">
        <v>152</v>
      </c>
      <c r="AQ1634" s="0" t="n">
        <v>9</v>
      </c>
      <c r="AR1634" s="0" t="n">
        <v>64</v>
      </c>
      <c r="AS1634" s="0" t="n">
        <v>32</v>
      </c>
      <c r="AU1634" s="0" t="n">
        <f aca="false">COUNTA($BA$1203:$EH$1203)</f>
        <v>6</v>
      </c>
      <c r="AV1634" s="0" t="n">
        <f aca="false">COUNTIF($BA$1203:$EH$1203,"D")</f>
        <v>0</v>
      </c>
      <c r="AW1634" s="0" t="n">
        <f aca="false">COUNTIF($BA$1203:$EH$1203,"R")</f>
        <v>0</v>
      </c>
      <c r="AX1634" s="0" t="n">
        <f aca="false"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>0</v>
      </c>
      <c r="AY1634" s="0" t="n">
        <f aca="false">COUNTIF(DU1634:EH1634, "&lt;&gt;")</f>
        <v>1</v>
      </c>
      <c r="AZ1634" s="0" t="n">
        <f aca="false">IF(EH1634&lt;&gt;"",1,0)</f>
        <v>0</v>
      </c>
      <c r="BB1634" s="0" t="s">
        <v>153</v>
      </c>
      <c r="CP1634" s="0" t="s">
        <v>154</v>
      </c>
      <c r="CY1634" s="0" t="s">
        <v>154</v>
      </c>
      <c r="DN1634" s="0" t="s">
        <v>154</v>
      </c>
      <c r="EA1634" s="0" t="s">
        <v>154</v>
      </c>
    </row>
    <row r="1635" customFormat="false" ht="13.8" hidden="true" customHeight="false" outlineLevel="0" collapsed="false">
      <c r="A1635" s="0" t="s">
        <v>7457</v>
      </c>
      <c r="B1635" s="0" t="n">
        <v>78</v>
      </c>
      <c r="C1635" s="0" t="n">
        <v>487739</v>
      </c>
      <c r="D1635" s="0" t="s">
        <v>6696</v>
      </c>
      <c r="E1635" s="0" t="s">
        <v>2989</v>
      </c>
      <c r="F1635" s="0" t="str">
        <f aca="false">CONCATENATE(D1635," ",LEFT(H1635,4),"T=",AU1635,"D=",AV1635,"R=",AW1635,"M=",AX1635,"L=",AY1635,"B=",AZ1635)</f>
        <v>STEVENSON T=14D=1R=0M=0L=0B=0</v>
      </c>
      <c r="G1635" s="0" t="s">
        <v>241</v>
      </c>
      <c r="I1635" s="0" t="s">
        <v>1035</v>
      </c>
      <c r="J1635" s="0" t="s">
        <v>1030</v>
      </c>
      <c r="K1635" s="0" t="s">
        <v>175</v>
      </c>
      <c r="L1635" s="0"/>
      <c r="M1635" s="0" t="s">
        <v>7458</v>
      </c>
      <c r="N1635" s="0" t="str">
        <f aca="false">RIGHT(M1635,LEN(M1635)-FIND(" ",M1635))</f>
        <v>MAHONING AVE NW</v>
      </c>
      <c r="P1635" s="0" t="s">
        <v>146</v>
      </c>
      <c r="Q1635" s="0" t="s">
        <v>147</v>
      </c>
      <c r="R1635" s="0" t="n">
        <v>44483</v>
      </c>
      <c r="AD1635" s="0" t="s">
        <v>148</v>
      </c>
      <c r="AE1635" s="0" t="s">
        <v>149</v>
      </c>
      <c r="AH1635" s="0" t="n">
        <v>14</v>
      </c>
      <c r="AI1635" s="0" t="n">
        <v>11</v>
      </c>
      <c r="AJ1635" s="0" t="s">
        <v>7459</v>
      </c>
      <c r="AM1635" s="0" t="s">
        <v>7460</v>
      </c>
      <c r="AN1635" s="0" t="s">
        <v>146</v>
      </c>
      <c r="AO1635" s="0" t="s">
        <v>151</v>
      </c>
      <c r="AP1635" s="0" t="s">
        <v>152</v>
      </c>
      <c r="AQ1635" s="0" t="n">
        <v>9</v>
      </c>
      <c r="AR1635" s="0" t="n">
        <v>64</v>
      </c>
      <c r="AS1635" s="0" t="n">
        <v>32</v>
      </c>
      <c r="AU1635" s="0" t="n">
        <f aca="false">COUNTA($BA$1291:$EH$1291)</f>
        <v>14</v>
      </c>
      <c r="AV1635" s="0" t="n">
        <f aca="false">COUNTIF($BA$1291:$EH$1291,"D")</f>
        <v>1</v>
      </c>
      <c r="AW1635" s="0" t="n">
        <f aca="false">COUNTIF($BA$1291:$EH$1291,"R")</f>
        <v>0</v>
      </c>
      <c r="AX1635" s="0" t="n">
        <f aca="false"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>0</v>
      </c>
      <c r="AY1635" s="0" t="n">
        <f aca="false">COUNTIF(DU1635:EH1635, "&lt;&gt;")</f>
        <v>0</v>
      </c>
      <c r="AZ1635" s="0" t="n">
        <f aca="false">IF(EH1635&lt;&gt;"",1,0)</f>
        <v>0</v>
      </c>
      <c r="BB1635" s="0" t="s">
        <v>153</v>
      </c>
    </row>
    <row r="1636" customFormat="false" ht="13.8" hidden="true" customHeight="false" outlineLevel="0" collapsed="false">
      <c r="A1636" s="0" t="s">
        <v>7461</v>
      </c>
      <c r="B1636" s="0" t="n">
        <v>78</v>
      </c>
      <c r="C1636" s="0" t="n">
        <v>333954</v>
      </c>
      <c r="D1636" s="0" t="s">
        <v>7462</v>
      </c>
      <c r="E1636" s="0" t="s">
        <v>3615</v>
      </c>
      <c r="F1636" s="0" t="str">
        <f aca="false">CONCATENATE(D1636," ",LEFT(H1636,4),"T=",AU1636,"D=",AV1636,"R=",AW1636,"M=",AX1636,"L=",AY1636,"B=",AZ1636)</f>
        <v>PATTON T=8D=1R=0M=0L=1B=0</v>
      </c>
      <c r="G1636" s="0" t="s">
        <v>1824</v>
      </c>
      <c r="I1636" s="0" t="s">
        <v>7463</v>
      </c>
      <c r="J1636" s="0" t="s">
        <v>2344</v>
      </c>
      <c r="K1636" s="0" t="s">
        <v>175</v>
      </c>
      <c r="L1636" s="0"/>
      <c r="M1636" s="0" t="s">
        <v>7464</v>
      </c>
      <c r="N1636" s="0" t="str">
        <f aca="false">RIGHT(M1636,LEN(M1636)-FIND(" ",M1636))</f>
        <v>MAHONING AVE NW</v>
      </c>
      <c r="P1636" s="0" t="s">
        <v>146</v>
      </c>
      <c r="Q1636" s="0" t="s">
        <v>147</v>
      </c>
      <c r="R1636" s="0" t="n">
        <v>44483</v>
      </c>
      <c r="AD1636" s="0" t="s">
        <v>148</v>
      </c>
      <c r="AE1636" s="0" t="s">
        <v>149</v>
      </c>
      <c r="AF1636" s="0" t="s">
        <v>150</v>
      </c>
      <c r="AH1636" s="0" t="n">
        <v>14</v>
      </c>
      <c r="AI1636" s="0" t="n">
        <v>11</v>
      </c>
      <c r="AN1636" s="0" t="s">
        <v>146</v>
      </c>
      <c r="AO1636" s="0" t="s">
        <v>151</v>
      </c>
      <c r="AP1636" s="0" t="s">
        <v>152</v>
      </c>
      <c r="AQ1636" s="0" t="n">
        <v>9</v>
      </c>
      <c r="AR1636" s="0" t="n">
        <v>64</v>
      </c>
      <c r="AS1636" s="0" t="n">
        <v>32</v>
      </c>
      <c r="AU1636" s="0" t="n">
        <f aca="false">COUNTA($BA$1135:$EH$1135)</f>
        <v>8</v>
      </c>
      <c r="AV1636" s="0" t="n">
        <f aca="false">COUNTIF($BA$1135:$EH$1135,"D")</f>
        <v>1</v>
      </c>
      <c r="AW1636" s="0" t="n">
        <f aca="false">COUNTIF($BA$1135:$EH$1135,"R")</f>
        <v>0</v>
      </c>
      <c r="AX1636" s="0" t="n">
        <f aca="false"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>0</v>
      </c>
      <c r="AY1636" s="0" t="n">
        <f aca="false">COUNTIF(DU1636:EH1636, "&lt;&gt;")</f>
        <v>1</v>
      </c>
      <c r="AZ1636" s="0" t="n">
        <f aca="false">IF(EH1636&lt;&gt;"",1,0)</f>
        <v>0</v>
      </c>
      <c r="BB1636" s="0" t="s">
        <v>153</v>
      </c>
      <c r="BL1636" s="0" t="s">
        <v>154</v>
      </c>
      <c r="BP1636" s="0" t="s">
        <v>154</v>
      </c>
      <c r="BR1636" s="0" t="s">
        <v>154</v>
      </c>
      <c r="BS1636" s="0" t="s">
        <v>154</v>
      </c>
      <c r="BY1636" s="0" t="s">
        <v>155</v>
      </c>
      <c r="CA1636" s="0" t="s">
        <v>154</v>
      </c>
      <c r="CG1636" s="0" t="s">
        <v>154</v>
      </c>
      <c r="CP1636" s="0" t="s">
        <v>154</v>
      </c>
      <c r="CY1636" s="0" t="s">
        <v>154</v>
      </c>
      <c r="DC1636" s="0" t="s">
        <v>154</v>
      </c>
      <c r="EF1636" s="0" t="s">
        <v>154</v>
      </c>
    </row>
    <row r="1637" customFormat="false" ht="13.8" hidden="false" customHeight="false" outlineLevel="0" collapsed="false">
      <c r="A1637" s="0" t="s">
        <v>7465</v>
      </c>
      <c r="B1637" s="0" t="n">
        <v>78</v>
      </c>
      <c r="C1637" s="0" t="n">
        <v>473</v>
      </c>
      <c r="D1637" s="0" t="s">
        <v>1582</v>
      </c>
      <c r="E1637" s="0" t="s">
        <v>3161</v>
      </c>
      <c r="F1637" s="0" t="str">
        <f aca="false">CONCATENATE(D1637," ",LEFT(H1637,4),"T=",AU1637,"D=",AV1637,"R=",AW1637,"M=",AX1637,"L=",AY1637,"B=",AZ1637)</f>
        <v>SMITH T=6D=0R=0M=4L=5B=0</v>
      </c>
      <c r="G1637" s="0" t="s">
        <v>159</v>
      </c>
      <c r="I1637" s="0" t="s">
        <v>7466</v>
      </c>
      <c r="J1637" s="0" t="s">
        <v>7467</v>
      </c>
      <c r="K1637" s="0" t="s">
        <v>175</v>
      </c>
      <c r="L1637" s="1" t="s">
        <v>155</v>
      </c>
      <c r="M1637" s="0" t="s">
        <v>7468</v>
      </c>
      <c r="N1637" s="0" t="str">
        <f aca="false">RIGHT(M1637,LEN(M1637)-FIND(" ",M1637))</f>
        <v>MAHONING AVE NW</v>
      </c>
      <c r="P1637" s="0" t="s">
        <v>146</v>
      </c>
      <c r="Q1637" s="0" t="s">
        <v>147</v>
      </c>
      <c r="R1637" s="0" t="n">
        <v>44483</v>
      </c>
      <c r="AD1637" s="0" t="s">
        <v>148</v>
      </c>
      <c r="AE1637" s="0" t="s">
        <v>149</v>
      </c>
      <c r="AF1637" s="0" t="s">
        <v>150</v>
      </c>
      <c r="AH1637" s="0" t="n">
        <v>14</v>
      </c>
      <c r="AI1637" s="0" t="n">
        <v>11</v>
      </c>
      <c r="AN1637" s="0" t="s">
        <v>146</v>
      </c>
      <c r="AO1637" s="0" t="s">
        <v>151</v>
      </c>
      <c r="AP1637" s="0" t="s">
        <v>152</v>
      </c>
      <c r="AQ1637" s="0" t="n">
        <v>9</v>
      </c>
      <c r="AR1637" s="0" t="n">
        <v>64</v>
      </c>
      <c r="AS1637" s="0" t="n">
        <v>32</v>
      </c>
      <c r="AU1637" s="0" t="n">
        <f aca="false">COUNTA($BA$1474:$EH$1474)</f>
        <v>6</v>
      </c>
      <c r="AV1637" s="0" t="n">
        <f aca="false">COUNTIF($BA$1474:$EH$1474,"D")</f>
        <v>0</v>
      </c>
      <c r="AW1637" s="0" t="n">
        <f aca="false">COUNTIF($BA$1474:$EH$1474,"R")</f>
        <v>0</v>
      </c>
      <c r="AX1637" s="0" t="n">
        <f aca="false"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>4</v>
      </c>
      <c r="AY1637" s="0" t="n">
        <f aca="false">COUNTIF(DU1637:EH1637, "&lt;&gt;")</f>
        <v>5</v>
      </c>
      <c r="AZ1637" s="0" t="n">
        <f aca="false">IF(EH1637&lt;&gt;"",1,0)</f>
        <v>0</v>
      </c>
      <c r="BB1637" s="0" t="s">
        <v>153</v>
      </c>
      <c r="BC1637" s="0" t="s">
        <v>154</v>
      </c>
      <c r="BD1637" s="0" t="s">
        <v>154</v>
      </c>
      <c r="BE1637" s="0" t="s">
        <v>154</v>
      </c>
      <c r="BF1637" s="0" t="s">
        <v>154</v>
      </c>
      <c r="BH1637" s="0" t="s">
        <v>154</v>
      </c>
      <c r="BI1637" s="0" t="s">
        <v>154</v>
      </c>
      <c r="BJ1637" s="0" t="s">
        <v>154</v>
      </c>
      <c r="BK1637" s="0" t="s">
        <v>154</v>
      </c>
      <c r="BL1637" s="0" t="s">
        <v>154</v>
      </c>
      <c r="BP1637" s="0" t="s">
        <v>154</v>
      </c>
      <c r="BS1637" s="0" t="s">
        <v>154</v>
      </c>
      <c r="BV1637" s="0" t="s">
        <v>154</v>
      </c>
      <c r="BY1637" s="0" t="s">
        <v>155</v>
      </c>
      <c r="CA1637" s="0" t="s">
        <v>154</v>
      </c>
      <c r="CG1637" s="0" t="s">
        <v>154</v>
      </c>
      <c r="CK1637" s="0" t="s">
        <v>154</v>
      </c>
      <c r="CN1637" s="0" t="s">
        <v>154</v>
      </c>
      <c r="CP1637" s="0" t="s">
        <v>154</v>
      </c>
      <c r="CV1637" s="0" t="s">
        <v>154</v>
      </c>
      <c r="CW1637" s="0" t="s">
        <v>155</v>
      </c>
      <c r="CY1637" s="0" t="s">
        <v>154</v>
      </c>
      <c r="CZ1637" s="0" t="s">
        <v>155</v>
      </c>
      <c r="DC1637" s="0" t="s">
        <v>154</v>
      </c>
      <c r="DD1637" s="0" t="s">
        <v>155</v>
      </c>
      <c r="DF1637" s="0" t="s">
        <v>154</v>
      </c>
      <c r="DG1637" s="0" t="s">
        <v>155</v>
      </c>
      <c r="DI1637" s="0" t="s">
        <v>154</v>
      </c>
      <c r="DJ1637" s="0" t="s">
        <v>155</v>
      </c>
      <c r="DL1637" s="0" t="s">
        <v>154</v>
      </c>
      <c r="DM1637" s="0" t="s">
        <v>155</v>
      </c>
      <c r="DN1637" s="0" t="s">
        <v>154</v>
      </c>
      <c r="DS1637" s="0" t="s">
        <v>155</v>
      </c>
      <c r="DW1637" s="0" t="s">
        <v>155</v>
      </c>
      <c r="DX1637" s="0" t="s">
        <v>154</v>
      </c>
      <c r="EA1637" s="0" t="s">
        <v>154</v>
      </c>
      <c r="ED1637" s="0" t="s">
        <v>155</v>
      </c>
      <c r="EF1637" s="0" t="s">
        <v>154</v>
      </c>
    </row>
    <row r="1638" customFormat="false" ht="13.8" hidden="false" customHeight="false" outlineLevel="0" collapsed="false">
      <c r="A1638" s="0" t="s">
        <v>7469</v>
      </c>
      <c r="B1638" s="0" t="n">
        <v>78</v>
      </c>
      <c r="C1638" s="0" t="n">
        <v>360542</v>
      </c>
      <c r="D1638" s="0" t="s">
        <v>7470</v>
      </c>
      <c r="E1638" s="0" t="s">
        <v>158</v>
      </c>
      <c r="F1638" s="0" t="str">
        <f aca="false">CONCATENATE(D1638," ",LEFT(H1638,4),"T=",AU1638,"D=",AV1638,"R=",AW1638,"M=",AX1638,"L=",AY1638,"B=",AZ1638)</f>
        <v>HEPP T=1D=0R=0M=0L=2B=0</v>
      </c>
      <c r="G1638" s="0" t="s">
        <v>172</v>
      </c>
      <c r="I1638" s="0" t="s">
        <v>7471</v>
      </c>
      <c r="J1638" s="0" t="s">
        <v>1912</v>
      </c>
      <c r="K1638" s="0" t="s">
        <v>175</v>
      </c>
      <c r="M1638" s="0" t="s">
        <v>7472</v>
      </c>
      <c r="N1638" s="0" t="str">
        <f aca="false">RIGHT(M1638,LEN(M1638)-FIND(" ",M1638))</f>
        <v>MAHONING AVE NW</v>
      </c>
      <c r="P1638" s="0" t="s">
        <v>146</v>
      </c>
      <c r="Q1638" s="0" t="s">
        <v>147</v>
      </c>
      <c r="R1638" s="0" t="n">
        <v>44483</v>
      </c>
      <c r="AD1638" s="0" t="s">
        <v>148</v>
      </c>
      <c r="AE1638" s="0" t="s">
        <v>149</v>
      </c>
      <c r="AF1638" s="0" t="s">
        <v>150</v>
      </c>
      <c r="AH1638" s="0" t="n">
        <v>14</v>
      </c>
      <c r="AI1638" s="0" t="n">
        <v>11</v>
      </c>
      <c r="AN1638" s="0" t="s">
        <v>146</v>
      </c>
      <c r="AO1638" s="0" t="s">
        <v>151</v>
      </c>
      <c r="AP1638" s="0" t="s">
        <v>152</v>
      </c>
      <c r="AQ1638" s="0" t="n">
        <v>9</v>
      </c>
      <c r="AR1638" s="0" t="n">
        <v>64</v>
      </c>
      <c r="AS1638" s="0" t="n">
        <v>32</v>
      </c>
      <c r="AU1638" s="0" t="n">
        <f aca="false">COUNTA($BA$1821:$EH$1821)</f>
        <v>1</v>
      </c>
      <c r="AV1638" s="0" t="n">
        <f aca="false">COUNTIF($BA$1821:$EH$1821,"D")</f>
        <v>0</v>
      </c>
      <c r="AW1638" s="0" t="n">
        <f aca="false">COUNTIF($BA$1821:$EH$1821,"R")</f>
        <v>0</v>
      </c>
      <c r="AX1638" s="0" t="n">
        <f aca="false"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>0</v>
      </c>
      <c r="AY1638" s="0" t="n">
        <f aca="false">COUNTIF(DU1638:EH1638, "&lt;&gt;")</f>
        <v>2</v>
      </c>
      <c r="AZ1638" s="0" t="n">
        <f aca="false">IF(EH1638&lt;&gt;"",1,0)</f>
        <v>0</v>
      </c>
      <c r="BB1638" s="0" t="s">
        <v>153</v>
      </c>
      <c r="CA1638" s="0" t="s">
        <v>154</v>
      </c>
      <c r="DC1638" s="0" t="s">
        <v>154</v>
      </c>
      <c r="DU1638" s="0" t="s">
        <v>154</v>
      </c>
      <c r="EF1638" s="0" t="s">
        <v>154</v>
      </c>
    </row>
    <row r="1639" customFormat="false" ht="13.8" hidden="false" customHeight="false" outlineLevel="0" collapsed="false">
      <c r="A1639" s="0" t="s">
        <v>7473</v>
      </c>
      <c r="B1639" s="0" t="n">
        <v>78</v>
      </c>
      <c r="C1639" s="0" t="n">
        <v>443166</v>
      </c>
      <c r="D1639" s="0" t="s">
        <v>7474</v>
      </c>
      <c r="E1639" s="0" t="s">
        <v>2869</v>
      </c>
      <c r="F1639" s="0" t="str">
        <f aca="false">CONCATENATE(D1639," ",LEFT(H1639,4),"T=",AU1639,"D=",AV1639,"R=",AW1639,"M=",AX1639,"L=",AY1639,"B=",AZ1639)</f>
        <v>SAFRANEK T=1D=0R=0M=1L=3B=0</v>
      </c>
      <c r="G1639" s="0" t="s">
        <v>3153</v>
      </c>
      <c r="I1639" s="0" t="s">
        <v>7475</v>
      </c>
      <c r="J1639" s="0" t="s">
        <v>7476</v>
      </c>
      <c r="K1639" s="0" t="s">
        <v>175</v>
      </c>
      <c r="L1639" s="1" t="s">
        <v>155</v>
      </c>
      <c r="M1639" s="0" t="s">
        <v>7477</v>
      </c>
      <c r="N1639" s="0" t="str">
        <f aca="false">RIGHT(M1639,LEN(M1639)-FIND(" ",M1639))</f>
        <v>MAHONING AVE NW</v>
      </c>
      <c r="P1639" s="0" t="s">
        <v>146</v>
      </c>
      <c r="Q1639" s="0" t="s">
        <v>147</v>
      </c>
      <c r="R1639" s="0" t="n">
        <v>44483</v>
      </c>
      <c r="AD1639" s="0" t="s">
        <v>148</v>
      </c>
      <c r="AE1639" s="0" t="s">
        <v>149</v>
      </c>
      <c r="AF1639" s="0" t="s">
        <v>150</v>
      </c>
      <c r="AH1639" s="0" t="n">
        <v>14</v>
      </c>
      <c r="AI1639" s="0" t="n">
        <v>11</v>
      </c>
      <c r="AN1639" s="0" t="s">
        <v>146</v>
      </c>
      <c r="AO1639" s="0" t="s">
        <v>151</v>
      </c>
      <c r="AP1639" s="0" t="s">
        <v>152</v>
      </c>
      <c r="AQ1639" s="0" t="n">
        <v>9</v>
      </c>
      <c r="AR1639" s="0" t="n">
        <v>64</v>
      </c>
      <c r="AS1639" s="0" t="n">
        <v>32</v>
      </c>
      <c r="AU1639" s="0" t="n">
        <f aca="false">COUNTA($BA$1245:$EH$1245)</f>
        <v>1</v>
      </c>
      <c r="AV1639" s="0" t="n">
        <f aca="false">COUNTIF($BA$1245:$EH$1245,"D")</f>
        <v>0</v>
      </c>
      <c r="AW1639" s="0" t="n">
        <f aca="false">COUNTIF($BA$1245:$EH$1245,"R")</f>
        <v>0</v>
      </c>
      <c r="AX1639" s="0" t="n">
        <f aca="false"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>1</v>
      </c>
      <c r="AY1639" s="0" t="n">
        <f aca="false">COUNTIF(DU1639:EH1639, "&lt;&gt;")</f>
        <v>3</v>
      </c>
      <c r="AZ1639" s="0" t="n">
        <f aca="false">IF(EH1639&lt;&gt;"",1,0)</f>
        <v>0</v>
      </c>
      <c r="BB1639" s="0" t="s">
        <v>153</v>
      </c>
      <c r="DN1639" s="0" t="s">
        <v>154</v>
      </c>
      <c r="DU1639" s="0" t="s">
        <v>154</v>
      </c>
      <c r="DW1639" s="0" t="s">
        <v>155</v>
      </c>
      <c r="EA1639" s="0" t="s">
        <v>154</v>
      </c>
    </row>
    <row r="1640" customFormat="false" ht="13.8" hidden="false" customHeight="false" outlineLevel="0" collapsed="false">
      <c r="A1640" s="0" t="s">
        <v>7478</v>
      </c>
      <c r="B1640" s="0" t="n">
        <v>78</v>
      </c>
      <c r="C1640" s="0" t="n">
        <v>341854</v>
      </c>
      <c r="D1640" s="0" t="s">
        <v>7479</v>
      </c>
      <c r="E1640" s="0" t="s">
        <v>4636</v>
      </c>
      <c r="F1640" s="0" t="str">
        <f aca="false">CONCATENATE(D1640," ",LEFT(H1640,4),"T=",AU1640,"D=",AV1640,"R=",AW1640,"M=",AX1640,"L=",AY1640,"B=",AZ1640)</f>
        <v>WEDMAN T=28D=7R=0M=0L=3B=0</v>
      </c>
      <c r="G1640" s="0" t="s">
        <v>1964</v>
      </c>
      <c r="I1640" s="0" t="s">
        <v>7480</v>
      </c>
      <c r="J1640" s="0" t="s">
        <v>6465</v>
      </c>
      <c r="K1640" s="0" t="s">
        <v>175</v>
      </c>
      <c r="M1640" s="0" t="s">
        <v>7477</v>
      </c>
      <c r="N1640" s="0" t="str">
        <f aca="false">RIGHT(M1640,LEN(M1640)-FIND(" ",M1640))</f>
        <v>MAHONING AVE NW</v>
      </c>
      <c r="P1640" s="0" t="s">
        <v>146</v>
      </c>
      <c r="Q1640" s="0" t="s">
        <v>147</v>
      </c>
      <c r="R1640" s="0" t="n">
        <v>44483</v>
      </c>
      <c r="AD1640" s="0" t="s">
        <v>148</v>
      </c>
      <c r="AE1640" s="0" t="s">
        <v>149</v>
      </c>
      <c r="AF1640" s="0" t="s">
        <v>150</v>
      </c>
      <c r="AH1640" s="0" t="n">
        <v>14</v>
      </c>
      <c r="AI1640" s="0" t="n">
        <v>11</v>
      </c>
      <c r="AN1640" s="0" t="s">
        <v>146</v>
      </c>
      <c r="AO1640" s="0" t="s">
        <v>151</v>
      </c>
      <c r="AP1640" s="0" t="s">
        <v>152</v>
      </c>
      <c r="AQ1640" s="0" t="n">
        <v>9</v>
      </c>
      <c r="AR1640" s="0" t="n">
        <v>64</v>
      </c>
      <c r="AS1640" s="0" t="n">
        <v>32</v>
      </c>
      <c r="AU1640" s="0" t="n">
        <f aca="false">COUNTA($BA$1508:$EH$1508)</f>
        <v>28</v>
      </c>
      <c r="AV1640" s="0" t="n">
        <f aca="false">COUNTIF($BA$1508:$EH$1508,"D")</f>
        <v>7</v>
      </c>
      <c r="AW1640" s="0" t="n">
        <f aca="false">COUNTIF($BA$1508:$EH$1508,"R")</f>
        <v>0</v>
      </c>
      <c r="AX1640" s="0" t="n">
        <f aca="false"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>0</v>
      </c>
      <c r="AY1640" s="0" t="n">
        <f aca="false">COUNTIF(DU1640:EH1640, "&lt;&gt;")</f>
        <v>3</v>
      </c>
      <c r="AZ1640" s="0" t="n">
        <f aca="false">IF(EH1640&lt;&gt;"",1,0)</f>
        <v>0</v>
      </c>
      <c r="BB1640" s="0" t="s">
        <v>153</v>
      </c>
      <c r="CN1640" s="0" t="s">
        <v>154</v>
      </c>
      <c r="CP1640" s="0" t="s">
        <v>154</v>
      </c>
      <c r="CY1640" s="0" t="s">
        <v>154</v>
      </c>
      <c r="DC1640" s="0" t="s">
        <v>154</v>
      </c>
      <c r="DI1640" s="0" t="s">
        <v>154</v>
      </c>
      <c r="DN1640" s="0" t="s">
        <v>154</v>
      </c>
      <c r="DU1640" s="0" t="s">
        <v>154</v>
      </c>
      <c r="DX1640" s="0" t="s">
        <v>154</v>
      </c>
      <c r="EF1640" s="0" t="s">
        <v>154</v>
      </c>
    </row>
    <row r="1641" customFormat="false" ht="13.8" hidden="true" customHeight="false" outlineLevel="0" collapsed="false">
      <c r="A1641" s="0" t="s">
        <v>7481</v>
      </c>
      <c r="B1641" s="0" t="n">
        <v>78</v>
      </c>
      <c r="C1641" s="0" t="n">
        <v>423140</v>
      </c>
      <c r="D1641" s="0" t="s">
        <v>7482</v>
      </c>
      <c r="E1641" s="0" t="s">
        <v>750</v>
      </c>
      <c r="F1641" s="0" t="str">
        <f aca="false">CONCATENATE(D1641," ",LEFT(H1641,4),"T=",AU1641,"D=",AV1641,"R=",AW1641,"M=",AX1641,"L=",AY1641,"B=",AZ1641)</f>
        <v>ARNOLD T=2D=0R=0M=0L=0B=0</v>
      </c>
      <c r="G1641" s="0" t="s">
        <v>172</v>
      </c>
      <c r="I1641" s="0" t="s">
        <v>7483</v>
      </c>
      <c r="J1641" s="0" t="s">
        <v>3392</v>
      </c>
      <c r="K1641" s="0" t="s">
        <v>144</v>
      </c>
      <c r="L1641" s="0"/>
      <c r="M1641" s="0" t="s">
        <v>7477</v>
      </c>
      <c r="N1641" s="0" t="str">
        <f aca="false">RIGHT(M1641,LEN(M1641)-FIND(" ",M1641))</f>
        <v>MAHONING AVE NW</v>
      </c>
      <c r="P1641" s="0" t="s">
        <v>146</v>
      </c>
      <c r="Q1641" s="0" t="s">
        <v>147</v>
      </c>
      <c r="R1641" s="0" t="n">
        <v>44483</v>
      </c>
      <c r="AD1641" s="0" t="s">
        <v>148</v>
      </c>
      <c r="AE1641" s="0" t="s">
        <v>149</v>
      </c>
      <c r="AF1641" s="0" t="s">
        <v>150</v>
      </c>
      <c r="AH1641" s="0" t="n">
        <v>14</v>
      </c>
      <c r="AI1641" s="0" t="n">
        <v>11</v>
      </c>
      <c r="AN1641" s="0" t="s">
        <v>146</v>
      </c>
      <c r="AO1641" s="0" t="s">
        <v>151</v>
      </c>
      <c r="AP1641" s="0" t="s">
        <v>152</v>
      </c>
      <c r="AQ1641" s="0" t="n">
        <v>9</v>
      </c>
      <c r="AR1641" s="0" t="n">
        <v>64</v>
      </c>
      <c r="AS1641" s="0" t="n">
        <v>32</v>
      </c>
      <c r="AU1641" s="0" t="n">
        <f aca="false">COUNTA($BA$1751:$EH$1751)</f>
        <v>2</v>
      </c>
      <c r="AV1641" s="0" t="n">
        <f aca="false">COUNTIF($BA$1751:$EH$1751,"D")</f>
        <v>0</v>
      </c>
      <c r="AW1641" s="0" t="n">
        <f aca="false">COUNTIF($BA$1751:$EH$1751,"R")</f>
        <v>0</v>
      </c>
      <c r="AX1641" s="0" t="n">
        <f aca="false"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>0</v>
      </c>
      <c r="AY1641" s="0" t="n">
        <f aca="false">COUNTIF(DU1641:EH1641, "&lt;&gt;")</f>
        <v>0</v>
      </c>
      <c r="AZ1641" s="0" t="n">
        <f aca="false">IF(EH1641&lt;&gt;"",1,0)</f>
        <v>0</v>
      </c>
      <c r="BB1641" s="0" t="s">
        <v>153</v>
      </c>
    </row>
    <row r="1642" customFormat="false" ht="13.8" hidden="false" customHeight="false" outlineLevel="0" collapsed="false">
      <c r="A1642" s="0" t="s">
        <v>7484</v>
      </c>
      <c r="B1642" s="0" t="n">
        <v>78</v>
      </c>
      <c r="C1642" s="0" t="n">
        <v>440413</v>
      </c>
      <c r="D1642" s="0" t="s">
        <v>328</v>
      </c>
      <c r="E1642" s="0" t="s">
        <v>5501</v>
      </c>
      <c r="F1642" s="0" t="str">
        <f aca="false">CONCATENATE(D1642," ",LEFT(H1642,4),"T=",AU1642,"D=",AV1642,"R=",AW1642,"M=",AX1642,"L=",AY1642,"B=",AZ1642)</f>
        <v>GEORGE T=4D=1R=0M=1L=2B=0</v>
      </c>
      <c r="G1642" s="0" t="s">
        <v>2367</v>
      </c>
      <c r="I1642" s="0" t="s">
        <v>7485</v>
      </c>
      <c r="J1642" s="0" t="s">
        <v>7486</v>
      </c>
      <c r="K1642" s="0" t="s">
        <v>175</v>
      </c>
      <c r="L1642" s="1" t="s">
        <v>155</v>
      </c>
      <c r="M1642" s="0" t="s">
        <v>7477</v>
      </c>
      <c r="N1642" s="0" t="str">
        <f aca="false">RIGHT(M1642,LEN(M1642)-FIND(" ",M1642))</f>
        <v>MAHONING AVE NW</v>
      </c>
      <c r="P1642" s="0" t="s">
        <v>146</v>
      </c>
      <c r="Q1642" s="0" t="s">
        <v>147</v>
      </c>
      <c r="R1642" s="0" t="n">
        <v>44483</v>
      </c>
      <c r="AD1642" s="0" t="s">
        <v>148</v>
      </c>
      <c r="AE1642" s="0" t="s">
        <v>149</v>
      </c>
      <c r="AF1642" s="0" t="s">
        <v>150</v>
      </c>
      <c r="AH1642" s="0" t="n">
        <v>14</v>
      </c>
      <c r="AI1642" s="0" t="n">
        <v>11</v>
      </c>
      <c r="AN1642" s="0" t="s">
        <v>146</v>
      </c>
      <c r="AO1642" s="0" t="s">
        <v>151</v>
      </c>
      <c r="AP1642" s="0" t="s">
        <v>152</v>
      </c>
      <c r="AQ1642" s="0" t="n">
        <v>9</v>
      </c>
      <c r="AR1642" s="0" t="n">
        <v>64</v>
      </c>
      <c r="AS1642" s="0" t="n">
        <v>32</v>
      </c>
      <c r="AU1642" s="0" t="n">
        <f aca="false">COUNTA($BA$1968:$EH$1968)</f>
        <v>4</v>
      </c>
      <c r="AV1642" s="0" t="n">
        <f aca="false">COUNTIF($BA$1968:$EH$1968,"D")</f>
        <v>1</v>
      </c>
      <c r="AW1642" s="0" t="n">
        <f aca="false">COUNTIF($BA$1968:$EH$1968,"R")</f>
        <v>0</v>
      </c>
      <c r="AX1642" s="0" t="n">
        <f aca="false"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>1</v>
      </c>
      <c r="AY1642" s="0" t="n">
        <f aca="false">COUNTIF(DU1642:EH1642, "&lt;&gt;")</f>
        <v>2</v>
      </c>
      <c r="AZ1642" s="0" t="n">
        <f aca="false">IF(EH1642&lt;&gt;"",1,0)</f>
        <v>0</v>
      </c>
      <c r="BB1642" s="0" t="s">
        <v>153</v>
      </c>
      <c r="DN1642" s="0" t="s">
        <v>154</v>
      </c>
      <c r="DU1642" s="0" t="s">
        <v>154</v>
      </c>
      <c r="DW1642" s="0" t="s">
        <v>155</v>
      </c>
    </row>
    <row r="1643" customFormat="false" ht="13.8" hidden="true" customHeight="false" outlineLevel="0" collapsed="false">
      <c r="A1643" s="0" t="s">
        <v>7487</v>
      </c>
      <c r="B1643" s="0" t="n">
        <v>78</v>
      </c>
      <c r="C1643" s="0" t="n">
        <v>353052</v>
      </c>
      <c r="D1643" s="0" t="s">
        <v>290</v>
      </c>
      <c r="E1643" s="0" t="s">
        <v>557</v>
      </c>
      <c r="F1643" s="0" t="str">
        <f aca="false">CONCATENATE(D1643," ",LEFT(H1643,4),"T=",AU1643,"D=",AV1643,"R=",AW1643,"M=",AX1643,"L=",AY1643,"B=",AZ1643)</f>
        <v>THOMPSON T=10D=1R=0M=0L=1B=0</v>
      </c>
      <c r="G1643" s="0" t="s">
        <v>455</v>
      </c>
      <c r="I1643" s="0" t="s">
        <v>7488</v>
      </c>
      <c r="J1643" s="0" t="s">
        <v>7489</v>
      </c>
      <c r="K1643" s="0" t="s">
        <v>175</v>
      </c>
      <c r="L1643" s="0"/>
      <c r="M1643" s="0" t="s">
        <v>7490</v>
      </c>
      <c r="N1643" s="0" t="str">
        <f aca="false">RIGHT(M1643,LEN(M1643)-FIND(" ",M1643))</f>
        <v>MAHONING AVE NW</v>
      </c>
      <c r="P1643" s="0" t="s">
        <v>146</v>
      </c>
      <c r="Q1643" s="0" t="s">
        <v>147</v>
      </c>
      <c r="R1643" s="0" t="n">
        <v>44483</v>
      </c>
      <c r="AD1643" s="0" t="s">
        <v>148</v>
      </c>
      <c r="AE1643" s="0" t="s">
        <v>149</v>
      </c>
      <c r="AF1643" s="0" t="s">
        <v>150</v>
      </c>
      <c r="AH1643" s="0" t="n">
        <v>14</v>
      </c>
      <c r="AI1643" s="0" t="n">
        <v>11</v>
      </c>
      <c r="AN1643" s="0" t="s">
        <v>146</v>
      </c>
      <c r="AO1643" s="0" t="s">
        <v>151</v>
      </c>
      <c r="AP1643" s="0" t="s">
        <v>152</v>
      </c>
      <c r="AQ1643" s="0" t="n">
        <v>9</v>
      </c>
      <c r="AR1643" s="0" t="n">
        <v>64</v>
      </c>
      <c r="AS1643" s="0" t="n">
        <v>32</v>
      </c>
      <c r="AU1643" s="0" t="n">
        <f aca="false">COUNTA($BA$1182:$EH$1182)</f>
        <v>10</v>
      </c>
      <c r="AV1643" s="0" t="n">
        <f aca="false">COUNTIF($BA$1182:$EH$1182,"D")</f>
        <v>1</v>
      </c>
      <c r="AW1643" s="0" t="n">
        <f aca="false">COUNTIF($BA$1182:$EH$1182,"R")</f>
        <v>0</v>
      </c>
      <c r="AX1643" s="0" t="n">
        <f aca="false"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>0</v>
      </c>
      <c r="AY1643" s="0" t="n">
        <f aca="false">COUNTIF(DU1643:EH1643, "&lt;&gt;")</f>
        <v>1</v>
      </c>
      <c r="AZ1643" s="0" t="n">
        <f aca="false">IF(EH1643&lt;&gt;"",1,0)</f>
        <v>0</v>
      </c>
      <c r="BB1643" s="0" t="s">
        <v>153</v>
      </c>
      <c r="BY1643" s="0" t="s">
        <v>155</v>
      </c>
      <c r="CA1643" s="0" t="s">
        <v>154</v>
      </c>
      <c r="CP1643" s="0" t="s">
        <v>154</v>
      </c>
      <c r="DC1643" s="0" t="s">
        <v>154</v>
      </c>
      <c r="DN1643" s="0" t="s">
        <v>154</v>
      </c>
      <c r="EF1643" s="0" t="s">
        <v>154</v>
      </c>
    </row>
    <row r="1644" customFormat="false" ht="13.8" hidden="true" customHeight="false" outlineLevel="0" collapsed="false">
      <c r="A1644" s="0" t="s">
        <v>7491</v>
      </c>
      <c r="B1644" s="0" t="n">
        <v>78</v>
      </c>
      <c r="C1644" s="0" t="n">
        <v>417394</v>
      </c>
      <c r="D1644" s="0" t="s">
        <v>290</v>
      </c>
      <c r="E1644" s="0" t="s">
        <v>7492</v>
      </c>
      <c r="F1644" s="0" t="str">
        <f aca="false">CONCATENATE(D1644," ",LEFT(H1644,4),"T=",AU1644,"D=",AV1644,"R=",AW1644,"M=",AX1644,"L=",AY1644,"B=",AZ1644)</f>
        <v>THOMPSON T=1D=0R=0M=0L=0B=0</v>
      </c>
      <c r="G1644" s="0" t="s">
        <v>7493</v>
      </c>
      <c r="I1644" s="0" t="s">
        <v>7494</v>
      </c>
      <c r="J1644" s="0" t="s">
        <v>1494</v>
      </c>
      <c r="K1644" s="0" t="s">
        <v>144</v>
      </c>
      <c r="L1644" s="0"/>
      <c r="M1644" s="0" t="s">
        <v>7490</v>
      </c>
      <c r="N1644" s="0" t="str">
        <f aca="false">RIGHT(M1644,LEN(M1644)-FIND(" ",M1644))</f>
        <v>MAHONING AVE NW</v>
      </c>
      <c r="P1644" s="0" t="s">
        <v>146</v>
      </c>
      <c r="Q1644" s="0" t="s">
        <v>147</v>
      </c>
      <c r="R1644" s="0" t="n">
        <v>44483</v>
      </c>
      <c r="AD1644" s="0" t="s">
        <v>148</v>
      </c>
      <c r="AE1644" s="0" t="s">
        <v>149</v>
      </c>
      <c r="AF1644" s="0" t="s">
        <v>150</v>
      </c>
      <c r="AH1644" s="0" t="n">
        <v>14</v>
      </c>
      <c r="AI1644" s="0" t="n">
        <v>11</v>
      </c>
      <c r="AN1644" s="0" t="s">
        <v>146</v>
      </c>
      <c r="AO1644" s="0" t="s">
        <v>151</v>
      </c>
      <c r="AP1644" s="0" t="s">
        <v>152</v>
      </c>
      <c r="AQ1644" s="0" t="n">
        <v>9</v>
      </c>
      <c r="AR1644" s="0" t="n">
        <v>64</v>
      </c>
      <c r="AS1644" s="0" t="n">
        <v>32</v>
      </c>
      <c r="AU1644" s="0" t="n">
        <f aca="false">COUNTA($BA$1902:$EH$1902)</f>
        <v>1</v>
      </c>
      <c r="AV1644" s="0" t="n">
        <f aca="false">COUNTIF($BA$1902:$EH$1902,"D")</f>
        <v>0</v>
      </c>
      <c r="AW1644" s="0" t="n">
        <f aca="false">COUNTIF($BA$1902:$EH$1902,"R")</f>
        <v>0</v>
      </c>
      <c r="AX1644" s="0" t="n">
        <f aca="false"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>0</v>
      </c>
      <c r="AY1644" s="0" t="n">
        <f aca="false">COUNTIF(DU1644:EH1644, "&lt;&gt;")</f>
        <v>0</v>
      </c>
      <c r="AZ1644" s="0" t="n">
        <f aca="false">IF(EH1644&lt;&gt;"",1,0)</f>
        <v>0</v>
      </c>
      <c r="BB1644" s="0" t="s">
        <v>153</v>
      </c>
    </row>
    <row r="1645" customFormat="false" ht="13.8" hidden="true" customHeight="false" outlineLevel="0" collapsed="false">
      <c r="A1645" s="0" t="s">
        <v>7495</v>
      </c>
      <c r="B1645" s="0" t="n">
        <v>78</v>
      </c>
      <c r="C1645" s="0" t="n">
        <v>78997</v>
      </c>
      <c r="D1645" s="0" t="s">
        <v>1439</v>
      </c>
      <c r="E1645" s="0" t="s">
        <v>629</v>
      </c>
      <c r="F1645" s="0" t="str">
        <f aca="false">CONCATENATE(D1645," ",LEFT(H1645,4),"T=",AU1645,"D=",AV1645,"R=",AW1645,"M=",AX1645,"L=",AY1645,"B=",AZ1645)</f>
        <v>AUSTIN T=1D=0R=0M=0L=0B=0</v>
      </c>
      <c r="G1645" s="0" t="s">
        <v>297</v>
      </c>
      <c r="I1645" s="0" t="s">
        <v>7496</v>
      </c>
      <c r="J1645" s="0" t="s">
        <v>7497</v>
      </c>
      <c r="K1645" s="0" t="s">
        <v>175</v>
      </c>
      <c r="L1645" s="0"/>
      <c r="M1645" s="0" t="s">
        <v>7498</v>
      </c>
      <c r="N1645" s="0" t="str">
        <f aca="false">RIGHT(M1645,LEN(M1645)-FIND(" ",M1645))</f>
        <v>MAHONING AVE NW</v>
      </c>
      <c r="P1645" s="0" t="s">
        <v>146</v>
      </c>
      <c r="Q1645" s="0" t="s">
        <v>147</v>
      </c>
      <c r="R1645" s="0" t="n">
        <v>44483</v>
      </c>
      <c r="AD1645" s="0" t="s">
        <v>148</v>
      </c>
      <c r="AE1645" s="0" t="s">
        <v>149</v>
      </c>
      <c r="AF1645" s="0" t="s">
        <v>150</v>
      </c>
      <c r="AH1645" s="0" t="n">
        <v>14</v>
      </c>
      <c r="AI1645" s="0" t="n">
        <v>11</v>
      </c>
      <c r="AN1645" s="0" t="s">
        <v>146</v>
      </c>
      <c r="AO1645" s="0" t="s">
        <v>151</v>
      </c>
      <c r="AP1645" s="0" t="s">
        <v>152</v>
      </c>
      <c r="AQ1645" s="0" t="n">
        <v>9</v>
      </c>
      <c r="AR1645" s="0" t="n">
        <v>64</v>
      </c>
      <c r="AS1645" s="0" t="n">
        <v>32</v>
      </c>
      <c r="AU1645" s="0" t="n">
        <f aca="false">COUNTA($BA$1986:$EH$1986)</f>
        <v>1</v>
      </c>
      <c r="AV1645" s="0" t="n">
        <f aca="false">COUNTIF($BA$1986:$EH$1986,"D")</f>
        <v>0</v>
      </c>
      <c r="AW1645" s="0" t="n">
        <f aca="false">COUNTIF($BA$1986:$EH$1986,"R")</f>
        <v>0</v>
      </c>
      <c r="AX1645" s="0" t="n">
        <f aca="false"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>0</v>
      </c>
      <c r="AY1645" s="0" t="n">
        <f aca="false">COUNTIF(DU1645:EH1645, "&lt;&gt;")</f>
        <v>0</v>
      </c>
      <c r="AZ1645" s="0" t="n">
        <f aca="false">IF(EH1645&lt;&gt;"",1,0)</f>
        <v>0</v>
      </c>
      <c r="BB1645" s="0" t="s">
        <v>153</v>
      </c>
      <c r="BC1645" s="0" t="s">
        <v>154</v>
      </c>
      <c r="BD1645" s="0" t="s">
        <v>154</v>
      </c>
      <c r="BF1645" s="0" t="s">
        <v>154</v>
      </c>
      <c r="BH1645" s="0" t="s">
        <v>154</v>
      </c>
      <c r="BJ1645" s="0" t="s">
        <v>154</v>
      </c>
      <c r="BK1645" s="0" t="s">
        <v>154</v>
      </c>
      <c r="BP1645" s="0" t="s">
        <v>154</v>
      </c>
      <c r="BR1645" s="0" t="s">
        <v>154</v>
      </c>
      <c r="BS1645" s="0" t="s">
        <v>154</v>
      </c>
      <c r="BY1645" s="0" t="s">
        <v>155</v>
      </c>
      <c r="CA1645" s="0" t="s">
        <v>154</v>
      </c>
      <c r="CN1645" s="0" t="s">
        <v>154</v>
      </c>
      <c r="CP1645" s="0" t="s">
        <v>154</v>
      </c>
      <c r="DC1645" s="0" t="s">
        <v>154</v>
      </c>
      <c r="DN1645" s="0" t="s">
        <v>154</v>
      </c>
    </row>
    <row r="1646" customFormat="false" ht="13.8" hidden="true" customHeight="false" outlineLevel="0" collapsed="false">
      <c r="A1646" s="0" t="s">
        <v>7499</v>
      </c>
      <c r="B1646" s="0" t="n">
        <v>78</v>
      </c>
      <c r="C1646" s="0" t="n">
        <v>496214</v>
      </c>
      <c r="D1646" s="0" t="s">
        <v>7500</v>
      </c>
      <c r="E1646" s="0" t="s">
        <v>3032</v>
      </c>
      <c r="F1646" s="0" t="str">
        <f aca="false">CONCATENATE(D1646," ",LEFT(H1646,4),"T=",AU1646,"D=",AV1646,"R=",AW1646,"M=",AX1646,"L=",AY1646,"B=",AZ1646)</f>
        <v>SPITZER T=1D=0R=0M=0L=0B=0</v>
      </c>
      <c r="G1646" s="0" t="s">
        <v>2181</v>
      </c>
      <c r="I1646" s="0" t="s">
        <v>7501</v>
      </c>
      <c r="J1646" s="0" t="s">
        <v>7502</v>
      </c>
      <c r="K1646" s="0" t="s">
        <v>175</v>
      </c>
      <c r="L1646" s="0"/>
      <c r="M1646" s="0" t="s">
        <v>7503</v>
      </c>
      <c r="N1646" s="0" t="str">
        <f aca="false">RIGHT(M1646,LEN(M1646)-FIND(" ",M1646))</f>
        <v>MAHONING AVE NW</v>
      </c>
      <c r="P1646" s="0" t="s">
        <v>146</v>
      </c>
      <c r="Q1646" s="0" t="s">
        <v>147</v>
      </c>
      <c r="R1646" s="0" t="n">
        <v>44483</v>
      </c>
      <c r="AD1646" s="0" t="s">
        <v>148</v>
      </c>
      <c r="AE1646" s="0" t="s">
        <v>149</v>
      </c>
      <c r="AF1646" s="0" t="s">
        <v>150</v>
      </c>
      <c r="AH1646" s="0" t="n">
        <v>14</v>
      </c>
      <c r="AI1646" s="0" t="n">
        <v>11</v>
      </c>
      <c r="AN1646" s="0" t="s">
        <v>146</v>
      </c>
      <c r="AO1646" s="0" t="s">
        <v>151</v>
      </c>
      <c r="AP1646" s="0" t="s">
        <v>152</v>
      </c>
      <c r="AQ1646" s="0" t="n">
        <v>9</v>
      </c>
      <c r="AR1646" s="0" t="n">
        <v>64</v>
      </c>
      <c r="AS1646" s="0" t="n">
        <v>32</v>
      </c>
      <c r="AU1646" s="0" t="n">
        <f aca="false">COUNTA($BA$1439:$EH$1439)</f>
        <v>1</v>
      </c>
      <c r="AV1646" s="0" t="n">
        <f aca="false">COUNTIF($BA$1439:$EH$1439,"D")</f>
        <v>0</v>
      </c>
      <c r="AW1646" s="0" t="n">
        <f aca="false">COUNTIF($BA$1439:$EH$1439,"R")</f>
        <v>0</v>
      </c>
      <c r="AX1646" s="0" t="n">
        <f aca="false"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>0</v>
      </c>
      <c r="AY1646" s="0" t="n">
        <f aca="false">COUNTIF(DU1646:EH1646, "&lt;&gt;")</f>
        <v>0</v>
      </c>
      <c r="AZ1646" s="0" t="n">
        <f aca="false">IF(EH1646&lt;&gt;"",1,0)</f>
        <v>0</v>
      </c>
      <c r="BB1646" s="0" t="s">
        <v>153</v>
      </c>
    </row>
    <row r="1647" customFormat="false" ht="13.8" hidden="true" customHeight="false" outlineLevel="0" collapsed="false">
      <c r="A1647" s="0" t="s">
        <v>7504</v>
      </c>
      <c r="B1647" s="0" t="n">
        <v>78</v>
      </c>
      <c r="C1647" s="0" t="n">
        <v>448271</v>
      </c>
      <c r="D1647" s="0" t="s">
        <v>474</v>
      </c>
      <c r="E1647" s="0" t="s">
        <v>7505</v>
      </c>
      <c r="F1647" s="0" t="str">
        <f aca="false">CONCATENATE(D1647," ",LEFT(H1647,4),"T=",AU1647,"D=",AV1647,"R=",AW1647,"M=",AX1647,"L=",AY1647,"B=",AZ1647)</f>
        <v>SCOTT T=26D=0R=0M=0L=1B=0</v>
      </c>
      <c r="G1647" s="0" t="s">
        <v>7506</v>
      </c>
      <c r="I1647" s="0" t="s">
        <v>7507</v>
      </c>
      <c r="J1647" s="0" t="s">
        <v>757</v>
      </c>
      <c r="K1647" s="0" t="s">
        <v>175</v>
      </c>
      <c r="L1647" s="0"/>
      <c r="M1647" s="0" t="s">
        <v>7508</v>
      </c>
      <c r="N1647" s="0" t="str">
        <f aca="false">RIGHT(M1647,LEN(M1647)-FIND(" ",M1647))</f>
        <v>MAHONING AVE NW</v>
      </c>
      <c r="P1647" s="0" t="s">
        <v>146</v>
      </c>
      <c r="Q1647" s="0" t="s">
        <v>147</v>
      </c>
      <c r="R1647" s="0" t="n">
        <v>44483</v>
      </c>
      <c r="AD1647" s="0" t="s">
        <v>148</v>
      </c>
      <c r="AE1647" s="0" t="s">
        <v>149</v>
      </c>
      <c r="AF1647" s="0" t="s">
        <v>150</v>
      </c>
      <c r="AH1647" s="0" t="n">
        <v>14</v>
      </c>
      <c r="AI1647" s="0" t="n">
        <v>11</v>
      </c>
      <c r="AN1647" s="0" t="s">
        <v>146</v>
      </c>
      <c r="AO1647" s="0" t="s">
        <v>151</v>
      </c>
      <c r="AP1647" s="0" t="s">
        <v>152</v>
      </c>
      <c r="AQ1647" s="0" t="n">
        <v>9</v>
      </c>
      <c r="AR1647" s="0" t="n">
        <v>64</v>
      </c>
      <c r="AS1647" s="0" t="n">
        <v>32</v>
      </c>
      <c r="AU1647" s="0" t="n">
        <f aca="false">COUNTA($BA$1471:$EH$1471)</f>
        <v>26</v>
      </c>
      <c r="AV1647" s="0" t="n">
        <f aca="false">COUNTIF($BA$1471:$EH$1471,"D")</f>
        <v>0</v>
      </c>
      <c r="AW1647" s="0" t="n">
        <f aca="false">COUNTIF($BA$1471:$EH$1471,"R")</f>
        <v>0</v>
      </c>
      <c r="AX1647" s="0" t="n">
        <f aca="false"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>0</v>
      </c>
      <c r="AY1647" s="0" t="n">
        <f aca="false">COUNTIF(DU1647:EH1647, "&lt;&gt;")</f>
        <v>1</v>
      </c>
      <c r="AZ1647" s="0" t="n">
        <f aca="false">IF(EH1647&lt;&gt;"",1,0)</f>
        <v>0</v>
      </c>
      <c r="BB1647" s="0" t="s">
        <v>153</v>
      </c>
      <c r="CP1647" s="0" t="s">
        <v>154</v>
      </c>
      <c r="DC1647" s="0" t="s">
        <v>154</v>
      </c>
      <c r="EF1647" s="0" t="s">
        <v>154</v>
      </c>
    </row>
    <row r="1648" customFormat="false" ht="13.8" hidden="false" customHeight="false" outlineLevel="0" collapsed="false">
      <c r="A1648" s="0" t="s">
        <v>7509</v>
      </c>
      <c r="B1648" s="0" t="n">
        <v>78</v>
      </c>
      <c r="C1648" s="0" t="n">
        <v>312277</v>
      </c>
      <c r="D1648" s="0" t="s">
        <v>7510</v>
      </c>
      <c r="E1648" s="0" t="s">
        <v>7511</v>
      </c>
      <c r="F1648" s="0" t="str">
        <f aca="false">CONCATENATE(D1648," ",LEFT(H1648,4),"T=",AU1648,"D=",AV1648,"R=",AW1648,"M=",AX1648,"L=",AY1648,"B=",AZ1648)</f>
        <v>SMITH BRANTLEY T=6D=0R=0M=0L=4B=0</v>
      </c>
      <c r="G1648" s="0" t="s">
        <v>297</v>
      </c>
      <c r="I1648" s="0" t="s">
        <v>7512</v>
      </c>
      <c r="J1648" s="0" t="s">
        <v>7513</v>
      </c>
      <c r="K1648" s="0" t="s">
        <v>175</v>
      </c>
      <c r="M1648" s="0" t="s">
        <v>7508</v>
      </c>
      <c r="N1648" s="0" t="str">
        <f aca="false">RIGHT(M1648,LEN(M1648)-FIND(" ",M1648))</f>
        <v>MAHONING AVE NW</v>
      </c>
      <c r="P1648" s="0" t="s">
        <v>146</v>
      </c>
      <c r="Q1648" s="0" t="s">
        <v>147</v>
      </c>
      <c r="R1648" s="0" t="n">
        <v>44483</v>
      </c>
      <c r="AD1648" s="0" t="s">
        <v>148</v>
      </c>
      <c r="AE1648" s="0" t="s">
        <v>149</v>
      </c>
      <c r="AF1648" s="0" t="s">
        <v>150</v>
      </c>
      <c r="AH1648" s="0" t="n">
        <v>14</v>
      </c>
      <c r="AI1648" s="0" t="n">
        <v>11</v>
      </c>
      <c r="AN1648" s="0" t="s">
        <v>146</v>
      </c>
      <c r="AO1648" s="0" t="s">
        <v>151</v>
      </c>
      <c r="AP1648" s="0" t="s">
        <v>152</v>
      </c>
      <c r="AQ1648" s="0" t="n">
        <v>9</v>
      </c>
      <c r="AR1648" s="0" t="n">
        <v>64</v>
      </c>
      <c r="AS1648" s="0" t="n">
        <v>32</v>
      </c>
      <c r="AU1648" s="0" t="n">
        <f aca="false">COUNTA($BA$1555:$EH$1555)</f>
        <v>6</v>
      </c>
      <c r="AV1648" s="0" t="n">
        <f aca="false">COUNTIF($BA$1555:$EH$1555,"D")</f>
        <v>0</v>
      </c>
      <c r="AW1648" s="0" t="n">
        <f aca="false">COUNTIF($BA$1555:$EH$1555,"R")</f>
        <v>0</v>
      </c>
      <c r="AX1648" s="0" t="n">
        <f aca="false"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>0</v>
      </c>
      <c r="AY1648" s="0" t="n">
        <f aca="false">COUNTIF(DU1648:EH1648, "&lt;&gt;")</f>
        <v>4</v>
      </c>
      <c r="AZ1648" s="0" t="n">
        <f aca="false">IF(EH1648&lt;&gt;"",1,0)</f>
        <v>0</v>
      </c>
      <c r="BB1648" s="0" t="s">
        <v>153</v>
      </c>
      <c r="CA1648" s="0" t="s">
        <v>154</v>
      </c>
      <c r="CP1648" s="0" t="s">
        <v>154</v>
      </c>
      <c r="CZ1648" s="0" t="s">
        <v>155</v>
      </c>
      <c r="DC1648" s="0" t="s">
        <v>154</v>
      </c>
      <c r="DN1648" s="0" t="s">
        <v>154</v>
      </c>
      <c r="DU1648" s="0" t="s">
        <v>154</v>
      </c>
      <c r="DX1648" s="0" t="s">
        <v>154</v>
      </c>
      <c r="EA1648" s="0" t="s">
        <v>154</v>
      </c>
      <c r="EF1648" s="0" t="s">
        <v>154</v>
      </c>
    </row>
    <row r="1649" customFormat="false" ht="13.8" hidden="true" customHeight="false" outlineLevel="0" collapsed="false">
      <c r="A1649" s="0" t="s">
        <v>7514</v>
      </c>
      <c r="B1649" s="0" t="n">
        <v>78</v>
      </c>
      <c r="C1649" s="0" t="n">
        <v>436360</v>
      </c>
      <c r="D1649" s="0" t="s">
        <v>7515</v>
      </c>
      <c r="E1649" s="0" t="s">
        <v>5338</v>
      </c>
      <c r="F1649" s="0" t="str">
        <f aca="false">CONCATENATE(D1649," ",LEFT(H1649,4),"T=",AU1649,"D=",AV1649,"R=",AW1649,"M=",AX1649,"L=",AY1649,"B=",AZ1649)</f>
        <v>GINNICKS T=2D=0R=0M=0L=0B=0</v>
      </c>
      <c r="G1649" s="0" t="s">
        <v>159</v>
      </c>
      <c r="I1649" s="0" t="s">
        <v>7516</v>
      </c>
      <c r="J1649" s="0" t="s">
        <v>757</v>
      </c>
      <c r="K1649" s="0" t="s">
        <v>175</v>
      </c>
      <c r="L1649" s="0"/>
      <c r="M1649" s="0" t="s">
        <v>7517</v>
      </c>
      <c r="N1649" s="0" t="str">
        <f aca="false">RIGHT(M1649,LEN(M1649)-FIND(" ",M1649))</f>
        <v>MAHONING AVE NW</v>
      </c>
      <c r="P1649" s="0" t="s">
        <v>146</v>
      </c>
      <c r="Q1649" s="0" t="s">
        <v>147</v>
      </c>
      <c r="R1649" s="0" t="n">
        <v>44483</v>
      </c>
      <c r="AD1649" s="0" t="s">
        <v>148</v>
      </c>
      <c r="AE1649" s="0" t="s">
        <v>149</v>
      </c>
      <c r="AF1649" s="0" t="s">
        <v>150</v>
      </c>
      <c r="AH1649" s="0" t="n">
        <v>14</v>
      </c>
      <c r="AI1649" s="0" t="n">
        <v>11</v>
      </c>
      <c r="AN1649" s="0" t="s">
        <v>146</v>
      </c>
      <c r="AO1649" s="0" t="s">
        <v>151</v>
      </c>
      <c r="AP1649" s="0" t="s">
        <v>152</v>
      </c>
      <c r="AQ1649" s="0" t="n">
        <v>9</v>
      </c>
      <c r="AR1649" s="0" t="n">
        <v>64</v>
      </c>
      <c r="AS1649" s="0" t="n">
        <v>32</v>
      </c>
      <c r="AU1649" s="0" t="n">
        <f aca="false">COUNTA($BA$1154:$EH$1154)</f>
        <v>2</v>
      </c>
      <c r="AV1649" s="0" t="n">
        <f aca="false">COUNTIF($BA$1154:$EH$1154,"D")</f>
        <v>0</v>
      </c>
      <c r="AW1649" s="0" t="n">
        <f aca="false">COUNTIF($BA$1154:$EH$1154,"R")</f>
        <v>0</v>
      </c>
      <c r="AX1649" s="0" t="n">
        <f aca="false"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>0</v>
      </c>
      <c r="AY1649" s="0" t="n">
        <f aca="false">COUNTIF(DU1649:EH1649, "&lt;&gt;")</f>
        <v>0</v>
      </c>
      <c r="AZ1649" s="0" t="n">
        <f aca="false">IF(EH1649&lt;&gt;"",1,0)</f>
        <v>0</v>
      </c>
      <c r="BB1649" s="0" t="s">
        <v>153</v>
      </c>
      <c r="DI1649" s="0" t="s">
        <v>154</v>
      </c>
      <c r="DM1649" s="0" t="s">
        <v>155</v>
      </c>
      <c r="DN1649" s="0" t="s">
        <v>154</v>
      </c>
    </row>
    <row r="1650" customFormat="false" ht="13.8" hidden="false" customHeight="false" outlineLevel="0" collapsed="false">
      <c r="A1650" s="0" t="s">
        <v>7518</v>
      </c>
      <c r="B1650" s="0" t="n">
        <v>78</v>
      </c>
      <c r="C1650" s="0" t="n">
        <v>181049</v>
      </c>
      <c r="D1650" s="0" t="s">
        <v>7515</v>
      </c>
      <c r="E1650" s="0" t="s">
        <v>1283</v>
      </c>
      <c r="F1650" s="0" t="str">
        <f aca="false">CONCATENATE(D1650," ",LEFT(H1650,4),"T=",AU1650,"D=",AV1650,"R=",AW1650,"M=",AX1650,"L=",AY1650,"B=",AZ1650)</f>
        <v>GINNICKS T=2D=0R=0M=1L=6B=1</v>
      </c>
      <c r="G1650" s="0" t="s">
        <v>241</v>
      </c>
      <c r="I1650" s="0" t="s">
        <v>7519</v>
      </c>
      <c r="J1650" s="0" t="s">
        <v>7119</v>
      </c>
      <c r="K1650" s="0" t="s">
        <v>175</v>
      </c>
      <c r="L1650" s="1" t="s">
        <v>155</v>
      </c>
      <c r="M1650" s="0" t="s">
        <v>7517</v>
      </c>
      <c r="N1650" s="0" t="str">
        <f aca="false">RIGHT(M1650,LEN(M1650)-FIND(" ",M1650))</f>
        <v>MAHONING AVE NW</v>
      </c>
      <c r="P1650" s="0" t="s">
        <v>146</v>
      </c>
      <c r="Q1650" s="0" t="s">
        <v>147</v>
      </c>
      <c r="R1650" s="0" t="n">
        <v>44483</v>
      </c>
      <c r="AD1650" s="0" t="s">
        <v>148</v>
      </c>
      <c r="AE1650" s="0" t="s">
        <v>149</v>
      </c>
      <c r="AF1650" s="0" t="s">
        <v>150</v>
      </c>
      <c r="AH1650" s="0" t="n">
        <v>14</v>
      </c>
      <c r="AI1650" s="0" t="n">
        <v>11</v>
      </c>
      <c r="AN1650" s="0" t="s">
        <v>146</v>
      </c>
      <c r="AO1650" s="0" t="s">
        <v>151</v>
      </c>
      <c r="AP1650" s="0" t="s">
        <v>152</v>
      </c>
      <c r="AQ1650" s="0" t="n">
        <v>9</v>
      </c>
      <c r="AR1650" s="0" t="n">
        <v>64</v>
      </c>
      <c r="AS1650" s="0" t="n">
        <v>32</v>
      </c>
      <c r="AU1650" s="0" t="n">
        <f aca="false">COUNTA($BA$1156:$EH$1156)</f>
        <v>2</v>
      </c>
      <c r="AV1650" s="0" t="n">
        <f aca="false">COUNTIF($BA$1156:$EH$1156,"D")</f>
        <v>0</v>
      </c>
      <c r="AW1650" s="0" t="n">
        <f aca="false">COUNTIF($BA$1156:$EH$1156,"R")</f>
        <v>0</v>
      </c>
      <c r="AX1650" s="0" t="n">
        <f aca="false"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>1</v>
      </c>
      <c r="AY1650" s="0" t="n">
        <f aca="false">COUNTIF(DU1650:EH1650, "&lt;&gt;")</f>
        <v>6</v>
      </c>
      <c r="AZ1650" s="0" t="n">
        <f aca="false">IF(EH1650&lt;&gt;"",1,0)</f>
        <v>1</v>
      </c>
      <c r="BB1650" s="0" t="s">
        <v>153</v>
      </c>
      <c r="BC1650" s="0" t="s">
        <v>154</v>
      </c>
      <c r="BD1650" s="0" t="s">
        <v>154</v>
      </c>
      <c r="BL1650" s="0" t="s">
        <v>154</v>
      </c>
      <c r="CA1650" s="0" t="s">
        <v>154</v>
      </c>
      <c r="CP1650" s="0" t="s">
        <v>154</v>
      </c>
      <c r="CY1650" s="0" t="s">
        <v>154</v>
      </c>
      <c r="DC1650" s="0" t="s">
        <v>154</v>
      </c>
      <c r="DI1650" s="0" t="s">
        <v>154</v>
      </c>
      <c r="DM1650" s="0" t="s">
        <v>155</v>
      </c>
      <c r="DN1650" s="0" t="s">
        <v>154</v>
      </c>
      <c r="DS1650" s="0" t="s">
        <v>155</v>
      </c>
      <c r="DU1650" s="0" t="s">
        <v>154</v>
      </c>
      <c r="DX1650" s="0" t="s">
        <v>154</v>
      </c>
      <c r="EA1650" s="0" t="s">
        <v>154</v>
      </c>
      <c r="ED1650" s="0" t="s">
        <v>155</v>
      </c>
      <c r="EF1650" s="0" t="s">
        <v>154</v>
      </c>
      <c r="EH1650" s="0" t="s">
        <v>155</v>
      </c>
    </row>
    <row r="1651" customFormat="false" ht="13.8" hidden="true" customHeight="false" outlineLevel="0" collapsed="false">
      <c r="A1651" s="0" t="s">
        <v>7520</v>
      </c>
      <c r="B1651" s="0" t="n">
        <v>78</v>
      </c>
      <c r="C1651" s="0" t="n">
        <v>333159</v>
      </c>
      <c r="D1651" s="0" t="s">
        <v>7521</v>
      </c>
      <c r="E1651" s="0" t="s">
        <v>1744</v>
      </c>
      <c r="F1651" s="0" t="str">
        <f aca="false">CONCATENATE(D1651," ",LEFT(H1651,4),"T=",AU1651,"D=",AV1651,"R=",AW1651,"M=",AX1651,"L=",AY1651,"B=",AZ1651)</f>
        <v>LABBE T=2D=0R=0M=0L=0B=0</v>
      </c>
      <c r="G1651" s="0" t="s">
        <v>241</v>
      </c>
      <c r="I1651" s="0" t="s">
        <v>7522</v>
      </c>
      <c r="J1651" s="0" t="s">
        <v>7523</v>
      </c>
      <c r="K1651" s="0" t="s">
        <v>175</v>
      </c>
      <c r="L1651" s="0"/>
      <c r="M1651" s="0" t="s">
        <v>7524</v>
      </c>
      <c r="N1651" s="0" t="str">
        <f aca="false">RIGHT(M1651,LEN(M1651)-FIND(" ",M1651))</f>
        <v>MAHONING AVE NW</v>
      </c>
      <c r="P1651" s="0" t="s">
        <v>146</v>
      </c>
      <c r="Q1651" s="0" t="s">
        <v>147</v>
      </c>
      <c r="R1651" s="0" t="n">
        <v>44483</v>
      </c>
      <c r="AD1651" s="0" t="s">
        <v>148</v>
      </c>
      <c r="AE1651" s="0" t="s">
        <v>149</v>
      </c>
      <c r="AF1651" s="0" t="s">
        <v>150</v>
      </c>
      <c r="AH1651" s="0" t="n">
        <v>14</v>
      </c>
      <c r="AI1651" s="0" t="n">
        <v>11</v>
      </c>
      <c r="AN1651" s="0" t="s">
        <v>146</v>
      </c>
      <c r="AO1651" s="0" t="s">
        <v>151</v>
      </c>
      <c r="AP1651" s="0" t="s">
        <v>152</v>
      </c>
      <c r="AQ1651" s="0" t="n">
        <v>9</v>
      </c>
      <c r="AR1651" s="0" t="n">
        <v>64</v>
      </c>
      <c r="AS1651" s="0" t="n">
        <v>32</v>
      </c>
      <c r="AU1651" s="0" t="n">
        <f aca="false">COUNTA($BA$1104:$EH$1104)</f>
        <v>2</v>
      </c>
      <c r="AV1651" s="0" t="n">
        <f aca="false">COUNTIF($BA$1104:$EH$1104,"D")</f>
        <v>0</v>
      </c>
      <c r="AW1651" s="0" t="n">
        <f aca="false">COUNTIF($BA$1104:$EH$1104,"R")</f>
        <v>0</v>
      </c>
      <c r="AX1651" s="0" t="n">
        <f aca="false"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>0</v>
      </c>
      <c r="AY1651" s="0" t="n">
        <f aca="false">COUNTIF(DU1651:EH1651, "&lt;&gt;")</f>
        <v>0</v>
      </c>
      <c r="AZ1651" s="0" t="n">
        <f aca="false">IF(EH1651&lt;&gt;"",1,0)</f>
        <v>0</v>
      </c>
      <c r="BB1651" s="0" t="s">
        <v>153</v>
      </c>
      <c r="BL1651" s="0" t="s">
        <v>154</v>
      </c>
      <c r="CA1651" s="0" t="s">
        <v>154</v>
      </c>
      <c r="DC1651" s="0" t="s">
        <v>154</v>
      </c>
    </row>
    <row r="1652" customFormat="false" ht="13.8" hidden="false" customHeight="false" outlineLevel="0" collapsed="false">
      <c r="A1652" s="0" t="s">
        <v>7525</v>
      </c>
      <c r="B1652" s="0" t="n">
        <v>78</v>
      </c>
      <c r="C1652" s="0" t="n">
        <v>921</v>
      </c>
      <c r="D1652" s="0" t="s">
        <v>7526</v>
      </c>
      <c r="E1652" s="0" t="s">
        <v>277</v>
      </c>
      <c r="F1652" s="0" t="str">
        <f aca="false">CONCATENATE(D1652," ",LEFT(H1652,4),"T=",AU1652,"D=",AV1652,"R=",AW1652,"M=",AX1652,"L=",AY1652,"B=",AZ1652)</f>
        <v>ABELL JRT=1D=0R=0M=7L=7B=1</v>
      </c>
      <c r="G1652" s="0" t="s">
        <v>514</v>
      </c>
      <c r="H1652" s="0" t="s">
        <v>431</v>
      </c>
      <c r="I1652" s="0" t="s">
        <v>7527</v>
      </c>
      <c r="J1652" s="0" t="s">
        <v>7528</v>
      </c>
      <c r="K1652" s="0" t="s">
        <v>175</v>
      </c>
      <c r="L1652" s="1" t="s">
        <v>155</v>
      </c>
      <c r="M1652" s="0" t="s">
        <v>7529</v>
      </c>
      <c r="N1652" s="0" t="str">
        <f aca="false">RIGHT(M1652,LEN(M1652)-FIND(" ",M1652))</f>
        <v>MAHONING AVE NW</v>
      </c>
      <c r="P1652" s="0" t="s">
        <v>146</v>
      </c>
      <c r="Q1652" s="0" t="s">
        <v>147</v>
      </c>
      <c r="R1652" s="0" t="n">
        <v>44483</v>
      </c>
      <c r="AD1652" s="0" t="s">
        <v>148</v>
      </c>
      <c r="AE1652" s="0" t="s">
        <v>149</v>
      </c>
      <c r="AF1652" s="0" t="s">
        <v>150</v>
      </c>
      <c r="AH1652" s="0" t="n">
        <v>14</v>
      </c>
      <c r="AI1652" s="0" t="n">
        <v>11</v>
      </c>
      <c r="AN1652" s="0" t="s">
        <v>146</v>
      </c>
      <c r="AO1652" s="0" t="s">
        <v>151</v>
      </c>
      <c r="AP1652" s="0" t="s">
        <v>152</v>
      </c>
      <c r="AQ1652" s="0" t="n">
        <v>9</v>
      </c>
      <c r="AR1652" s="0" t="n">
        <v>64</v>
      </c>
      <c r="AS1652" s="0" t="n">
        <v>32</v>
      </c>
      <c r="AU1652" s="0" t="n">
        <f aca="false">COUNTA($BA$1537:$EH$1537)</f>
        <v>1</v>
      </c>
      <c r="AV1652" s="0" t="n">
        <f aca="false">COUNTIF($BA$1537:$EH$1537,"D")</f>
        <v>0</v>
      </c>
      <c r="AW1652" s="0" t="n">
        <f aca="false">COUNTIF($BA$1537:$EH$1537,"R")</f>
        <v>0</v>
      </c>
      <c r="AX1652" s="0" t="n">
        <f aca="false"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>7</v>
      </c>
      <c r="AY1652" s="0" t="n">
        <f aca="false">COUNTIF(DU1652:EH1652, "&lt;&gt;")</f>
        <v>7</v>
      </c>
      <c r="AZ1652" s="0" t="n">
        <f aca="false">IF(EH1652&lt;&gt;"",1,0)</f>
        <v>1</v>
      </c>
      <c r="BB1652" s="0" t="s">
        <v>153</v>
      </c>
      <c r="BC1652" s="0" t="s">
        <v>154</v>
      </c>
      <c r="BD1652" s="0" t="s">
        <v>154</v>
      </c>
      <c r="BE1652" s="0" t="s">
        <v>154</v>
      </c>
      <c r="BF1652" s="0" t="s">
        <v>154</v>
      </c>
      <c r="BG1652" s="0" t="s">
        <v>154</v>
      </c>
      <c r="BH1652" s="0" t="s">
        <v>154</v>
      </c>
      <c r="BI1652" s="0" t="s">
        <v>154</v>
      </c>
      <c r="BJ1652" s="0" t="s">
        <v>154</v>
      </c>
      <c r="BK1652" s="0" t="s">
        <v>154</v>
      </c>
      <c r="BL1652" s="0" t="s">
        <v>154</v>
      </c>
      <c r="BP1652" s="0" t="s">
        <v>154</v>
      </c>
      <c r="BR1652" s="0" t="s">
        <v>154</v>
      </c>
      <c r="BS1652" s="0" t="s">
        <v>154</v>
      </c>
      <c r="BV1652" s="0" t="s">
        <v>154</v>
      </c>
      <c r="BY1652" s="0" t="s">
        <v>155</v>
      </c>
      <c r="CA1652" s="0" t="s">
        <v>154</v>
      </c>
      <c r="CG1652" s="0" t="s">
        <v>154</v>
      </c>
      <c r="CH1652" s="0" t="s">
        <v>155</v>
      </c>
      <c r="CK1652" s="0" t="s">
        <v>154</v>
      </c>
      <c r="CL1652" s="0" t="s">
        <v>155</v>
      </c>
      <c r="CN1652" s="0" t="s">
        <v>154</v>
      </c>
      <c r="CO1652" s="0" t="s">
        <v>155</v>
      </c>
      <c r="CP1652" s="0" t="s">
        <v>154</v>
      </c>
      <c r="CT1652" s="0" t="s">
        <v>154</v>
      </c>
      <c r="CU1652" s="0" t="s">
        <v>155</v>
      </c>
      <c r="CV1652" s="0" t="s">
        <v>154</v>
      </c>
      <c r="CW1652" s="0" t="s">
        <v>155</v>
      </c>
      <c r="CY1652" s="0" t="s">
        <v>154</v>
      </c>
      <c r="CZ1652" s="0" t="s">
        <v>155</v>
      </c>
      <c r="DC1652" s="0" t="s">
        <v>154</v>
      </c>
      <c r="DD1652" s="0" t="s">
        <v>155</v>
      </c>
      <c r="DF1652" s="0" t="s">
        <v>154</v>
      </c>
      <c r="DG1652" s="0" t="s">
        <v>155</v>
      </c>
      <c r="DI1652" s="0" t="s">
        <v>154</v>
      </c>
      <c r="DJ1652" s="0" t="s">
        <v>155</v>
      </c>
      <c r="DL1652" s="0" t="s">
        <v>154</v>
      </c>
      <c r="DM1652" s="0" t="s">
        <v>155</v>
      </c>
      <c r="DN1652" s="0" t="s">
        <v>154</v>
      </c>
      <c r="DO1652" s="0" t="s">
        <v>155</v>
      </c>
      <c r="DR1652" s="0" t="s">
        <v>154</v>
      </c>
      <c r="DS1652" s="0" t="s">
        <v>155</v>
      </c>
      <c r="DU1652" s="0" t="s">
        <v>154</v>
      </c>
      <c r="DW1652" s="0" t="s">
        <v>155</v>
      </c>
      <c r="DX1652" s="0" t="s">
        <v>154</v>
      </c>
      <c r="EA1652" s="0" t="s">
        <v>154</v>
      </c>
      <c r="ED1652" s="0" t="s">
        <v>155</v>
      </c>
      <c r="EF1652" s="0" t="s">
        <v>154</v>
      </c>
      <c r="EH1652" s="0" t="s">
        <v>155</v>
      </c>
    </row>
    <row r="1653" customFormat="false" ht="13.8" hidden="false" customHeight="false" outlineLevel="0" collapsed="false">
      <c r="A1653" s="0" t="s">
        <v>7530</v>
      </c>
      <c r="B1653" s="0" t="n">
        <v>78</v>
      </c>
      <c r="C1653" s="0" t="n">
        <v>272925</v>
      </c>
      <c r="D1653" s="0" t="s">
        <v>6226</v>
      </c>
      <c r="E1653" s="0" t="s">
        <v>429</v>
      </c>
      <c r="F1653" s="0" t="str">
        <f aca="false">CONCATENATE(D1653," ",LEFT(H1653,4),"T=",AU1653,"D=",AV1653,"R=",AW1653,"M=",AX1653,"L=",AY1653,"B=",AZ1653)</f>
        <v>VALESKY JRT=36D=0R=7M=9L=6B=1</v>
      </c>
      <c r="G1653" s="0" t="s">
        <v>329</v>
      </c>
      <c r="H1653" s="0" t="s">
        <v>431</v>
      </c>
      <c r="I1653" s="0" t="s">
        <v>7531</v>
      </c>
      <c r="J1653" s="0" t="s">
        <v>7532</v>
      </c>
      <c r="K1653" s="0" t="s">
        <v>175</v>
      </c>
      <c r="L1653" s="1" t="s">
        <v>155</v>
      </c>
      <c r="M1653" s="0" t="s">
        <v>7533</v>
      </c>
      <c r="N1653" s="0" t="str">
        <f aca="false">RIGHT(M1653,LEN(M1653)-FIND(" ",M1653))</f>
        <v>MAHONING AVE NW</v>
      </c>
      <c r="P1653" s="0" t="s">
        <v>146</v>
      </c>
      <c r="Q1653" s="0" t="s">
        <v>147</v>
      </c>
      <c r="R1653" s="0" t="n">
        <v>44483</v>
      </c>
      <c r="AD1653" s="0" t="s">
        <v>148</v>
      </c>
      <c r="AE1653" s="0" t="s">
        <v>149</v>
      </c>
      <c r="AF1653" s="0" t="s">
        <v>150</v>
      </c>
      <c r="AH1653" s="0" t="n">
        <v>14</v>
      </c>
      <c r="AI1653" s="0" t="n">
        <v>11</v>
      </c>
      <c r="AN1653" s="0" t="s">
        <v>146</v>
      </c>
      <c r="AO1653" s="0" t="s">
        <v>151</v>
      </c>
      <c r="AP1653" s="0" t="s">
        <v>152</v>
      </c>
      <c r="AQ1653" s="0" t="n">
        <v>9</v>
      </c>
      <c r="AR1653" s="0" t="n">
        <v>64</v>
      </c>
      <c r="AS1653" s="0" t="n">
        <v>32</v>
      </c>
      <c r="AU1653" s="0" t="n">
        <f aca="false">COUNTA($BA$1115:$EH$1115)</f>
        <v>36</v>
      </c>
      <c r="AV1653" s="0" t="n">
        <f aca="false">COUNTIF($BA$1115:$EH$1115,"D")</f>
        <v>0</v>
      </c>
      <c r="AW1653" s="0" t="n">
        <f aca="false">COUNTIF($BA$1115:$EH$1115,"R")</f>
        <v>7</v>
      </c>
      <c r="AX1653" s="0" t="n">
        <f aca="false"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>9</v>
      </c>
      <c r="AY1653" s="0" t="n">
        <f aca="false">COUNTIF(DU1653:EH1653, "&lt;&gt;")</f>
        <v>6</v>
      </c>
      <c r="AZ1653" s="0" t="n">
        <f aca="false">IF(EH1653&lt;&gt;"",1,0)</f>
        <v>1</v>
      </c>
      <c r="BB1653" s="0" t="s">
        <v>153</v>
      </c>
      <c r="BC1653" s="0" t="s">
        <v>154</v>
      </c>
      <c r="BD1653" s="0" t="s">
        <v>154</v>
      </c>
      <c r="BE1653" s="0" t="s">
        <v>154</v>
      </c>
      <c r="BH1653" s="0" t="s">
        <v>154</v>
      </c>
      <c r="BI1653" s="0" t="s">
        <v>154</v>
      </c>
      <c r="BJ1653" s="0" t="s">
        <v>154</v>
      </c>
      <c r="BK1653" s="0" t="s">
        <v>154</v>
      </c>
      <c r="BL1653" s="0" t="s">
        <v>154</v>
      </c>
      <c r="BP1653" s="0" t="s">
        <v>154</v>
      </c>
      <c r="BR1653" s="0" t="s">
        <v>154</v>
      </c>
      <c r="BS1653" s="0" t="s">
        <v>154</v>
      </c>
      <c r="BV1653" s="0" t="s">
        <v>154</v>
      </c>
      <c r="BY1653" s="0" t="s">
        <v>155</v>
      </c>
      <c r="CA1653" s="0" t="s">
        <v>154</v>
      </c>
      <c r="CC1653" s="0" t="s">
        <v>155</v>
      </c>
      <c r="CG1653" s="0" t="s">
        <v>154</v>
      </c>
      <c r="CH1653" s="0" t="s">
        <v>155</v>
      </c>
      <c r="CK1653" s="0" t="s">
        <v>154</v>
      </c>
      <c r="CL1653" s="0" t="s">
        <v>155</v>
      </c>
      <c r="CN1653" s="0" t="s">
        <v>154</v>
      </c>
      <c r="CO1653" s="0" t="s">
        <v>155</v>
      </c>
      <c r="CP1653" s="0" t="s">
        <v>154</v>
      </c>
      <c r="CQ1653" s="0" t="s">
        <v>155</v>
      </c>
      <c r="CT1653" s="0" t="s">
        <v>154</v>
      </c>
      <c r="CU1653" s="0" t="s">
        <v>155</v>
      </c>
      <c r="CV1653" s="0" t="s">
        <v>154</v>
      </c>
      <c r="CW1653" s="0" t="s">
        <v>155</v>
      </c>
      <c r="CY1653" s="0" t="s">
        <v>154</v>
      </c>
      <c r="CZ1653" s="0" t="s">
        <v>155</v>
      </c>
      <c r="DC1653" s="0" t="s">
        <v>154</v>
      </c>
      <c r="DD1653" s="0" t="s">
        <v>155</v>
      </c>
      <c r="DF1653" s="0" t="s">
        <v>154</v>
      </c>
      <c r="DG1653" s="0" t="s">
        <v>155</v>
      </c>
      <c r="DI1653" s="0" t="s">
        <v>154</v>
      </c>
      <c r="DJ1653" s="0" t="s">
        <v>155</v>
      </c>
      <c r="DL1653" s="0" t="s">
        <v>154</v>
      </c>
      <c r="DN1653" s="0" t="s">
        <v>154</v>
      </c>
      <c r="DO1653" s="0" t="s">
        <v>155</v>
      </c>
      <c r="DR1653" s="0" t="s">
        <v>154</v>
      </c>
      <c r="DS1653" s="0" t="s">
        <v>155</v>
      </c>
      <c r="DU1653" s="0" t="s">
        <v>154</v>
      </c>
      <c r="DW1653" s="0" t="s">
        <v>155</v>
      </c>
      <c r="DX1653" s="0" t="s">
        <v>154</v>
      </c>
      <c r="ED1653" s="0" t="s">
        <v>155</v>
      </c>
      <c r="EF1653" s="0" t="s">
        <v>154</v>
      </c>
      <c r="EH1653" s="0" t="s">
        <v>155</v>
      </c>
    </row>
    <row r="1654" customFormat="false" ht="13.8" hidden="true" customHeight="false" outlineLevel="0" collapsed="false">
      <c r="A1654" s="0" t="s">
        <v>7534</v>
      </c>
      <c r="B1654" s="0" t="n">
        <v>78</v>
      </c>
      <c r="C1654" s="0" t="n">
        <v>488203</v>
      </c>
      <c r="D1654" s="0" t="s">
        <v>4288</v>
      </c>
      <c r="E1654" s="0" t="s">
        <v>7535</v>
      </c>
      <c r="F1654" s="0" t="str">
        <f aca="false">CONCATENATE(D1654," ",LEFT(H1654,4),"T=",AU1654,"D=",AV1654,"R=",AW1654,"M=",AX1654,"L=",AY1654,"B=",AZ1654)</f>
        <v>MAJOR T=46D=14R=0M=0L=0B=0</v>
      </c>
      <c r="G1654" s="0" t="s">
        <v>317</v>
      </c>
      <c r="I1654" s="0" t="s">
        <v>7536</v>
      </c>
      <c r="J1654" s="0" t="s">
        <v>757</v>
      </c>
      <c r="K1654" s="0" t="s">
        <v>175</v>
      </c>
      <c r="L1654" s="0"/>
      <c r="M1654" s="0" t="s">
        <v>7537</v>
      </c>
      <c r="N1654" s="0" t="str">
        <f aca="false">RIGHT(M1654,LEN(M1654)-FIND(" ",M1654))</f>
        <v>MAHONING AVE NW</v>
      </c>
      <c r="P1654" s="0" t="s">
        <v>146</v>
      </c>
      <c r="Q1654" s="0" t="s">
        <v>147</v>
      </c>
      <c r="R1654" s="0" t="n">
        <v>44483</v>
      </c>
      <c r="AD1654" s="0" t="s">
        <v>148</v>
      </c>
      <c r="AE1654" s="0" t="s">
        <v>149</v>
      </c>
      <c r="AF1654" s="0" t="s">
        <v>150</v>
      </c>
      <c r="AH1654" s="0" t="n">
        <v>14</v>
      </c>
      <c r="AI1654" s="0" t="n">
        <v>11</v>
      </c>
      <c r="AN1654" s="0" t="s">
        <v>146</v>
      </c>
      <c r="AO1654" s="0" t="s">
        <v>151</v>
      </c>
      <c r="AP1654" s="0" t="s">
        <v>152</v>
      </c>
      <c r="AQ1654" s="0" t="n">
        <v>9</v>
      </c>
      <c r="AR1654" s="0" t="n">
        <v>64</v>
      </c>
      <c r="AS1654" s="0" t="n">
        <v>32</v>
      </c>
      <c r="AU1654" s="0" t="n">
        <f aca="false">COUNTA($BA$1507:$EH$1507)</f>
        <v>46</v>
      </c>
      <c r="AV1654" s="0" t="n">
        <f aca="false">COUNTIF($BA$1507:$EH$1507,"D")</f>
        <v>14</v>
      </c>
      <c r="AW1654" s="0" t="n">
        <f aca="false">COUNTIF($BA$1507:$EH$1507,"R")</f>
        <v>0</v>
      </c>
      <c r="AX1654" s="0" t="n">
        <f aca="false"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>0</v>
      </c>
      <c r="AY1654" s="0" t="n">
        <f aca="false">COUNTIF(DU1654:EH1654, "&lt;&gt;")</f>
        <v>0</v>
      </c>
      <c r="AZ1654" s="0" t="n">
        <f aca="false">IF(EH1654&lt;&gt;"",1,0)</f>
        <v>0</v>
      </c>
      <c r="BB1654" s="0" t="s">
        <v>153</v>
      </c>
      <c r="CA1654" s="0" t="s">
        <v>154</v>
      </c>
    </row>
    <row r="1655" customFormat="false" ht="13.8" hidden="true" customHeight="false" outlineLevel="0" collapsed="false">
      <c r="A1655" s="0" t="s">
        <v>7538</v>
      </c>
      <c r="B1655" s="0" t="n">
        <v>78</v>
      </c>
      <c r="C1655" s="0" t="n">
        <v>306893</v>
      </c>
      <c r="D1655" s="0" t="s">
        <v>1628</v>
      </c>
      <c r="E1655" s="0" t="s">
        <v>589</v>
      </c>
      <c r="F1655" s="0" t="str">
        <f aca="false">CONCATENATE(D1655," ",LEFT(H1655,4),"T=",AU1655,"D=",AV1655,"R=",AW1655,"M=",AX1655,"L=",AY1655,"B=",AZ1655)</f>
        <v>REYNOLDS T=10D=1R=0M=0L=0B=0</v>
      </c>
      <c r="G1655" s="0" t="s">
        <v>188</v>
      </c>
      <c r="I1655" s="0" t="s">
        <v>7539</v>
      </c>
      <c r="J1655" s="0" t="s">
        <v>1494</v>
      </c>
      <c r="K1655" s="0" t="s">
        <v>144</v>
      </c>
      <c r="L1655" s="0"/>
      <c r="M1655" s="0" t="s">
        <v>7537</v>
      </c>
      <c r="N1655" s="0" t="str">
        <f aca="false">RIGHT(M1655,LEN(M1655)-FIND(" ",M1655))</f>
        <v>MAHONING AVE NW</v>
      </c>
      <c r="O1655" s="0" t="s">
        <v>1687</v>
      </c>
      <c r="P1655" s="0" t="s">
        <v>146</v>
      </c>
      <c r="Q1655" s="0" t="s">
        <v>147</v>
      </c>
      <c r="R1655" s="0" t="n">
        <v>44483</v>
      </c>
      <c r="AD1655" s="0" t="s">
        <v>148</v>
      </c>
      <c r="AE1655" s="0" t="s">
        <v>149</v>
      </c>
      <c r="AF1655" s="0" t="s">
        <v>150</v>
      </c>
      <c r="AH1655" s="0" t="n">
        <v>14</v>
      </c>
      <c r="AI1655" s="0" t="n">
        <v>11</v>
      </c>
      <c r="AN1655" s="0" t="s">
        <v>146</v>
      </c>
      <c r="AO1655" s="0" t="s">
        <v>151</v>
      </c>
      <c r="AP1655" s="0" t="s">
        <v>152</v>
      </c>
      <c r="AQ1655" s="0" t="n">
        <v>9</v>
      </c>
      <c r="AR1655" s="0" t="n">
        <v>64</v>
      </c>
      <c r="AS1655" s="0" t="n">
        <v>32</v>
      </c>
      <c r="AU1655" s="0" t="n">
        <f aca="false">COUNTA($BA$1524:$EH$1524)</f>
        <v>10</v>
      </c>
      <c r="AV1655" s="0" t="n">
        <f aca="false">COUNTIF($BA$1524:$EH$1524,"D")</f>
        <v>1</v>
      </c>
      <c r="AW1655" s="0" t="n">
        <f aca="false">COUNTIF($BA$1524:$EH$1524,"R")</f>
        <v>0</v>
      </c>
      <c r="AX1655" s="0" t="n">
        <f aca="false"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>0</v>
      </c>
      <c r="AY1655" s="0" t="n">
        <f aca="false">COUNTIF(DU1655:EH1655, "&lt;&gt;")</f>
        <v>0</v>
      </c>
      <c r="AZ1655" s="0" t="n">
        <f aca="false">IF(EH1655&lt;&gt;"",1,0)</f>
        <v>0</v>
      </c>
      <c r="BB1655" s="0" t="s">
        <v>153</v>
      </c>
      <c r="BG1655" s="0" t="s">
        <v>154</v>
      </c>
      <c r="BL1655" s="0" t="s">
        <v>154</v>
      </c>
      <c r="CA1655" s="0" t="s">
        <v>154</v>
      </c>
      <c r="CP1655" s="0" t="s">
        <v>154</v>
      </c>
      <c r="CY1655" s="0" t="s">
        <v>154</v>
      </c>
    </row>
    <row r="1656" customFormat="false" ht="13.8" hidden="true" customHeight="false" outlineLevel="0" collapsed="false">
      <c r="A1656" s="0" t="s">
        <v>7540</v>
      </c>
      <c r="B1656" s="0" t="n">
        <v>78</v>
      </c>
      <c r="C1656" s="0" t="n">
        <v>416865</v>
      </c>
      <c r="D1656" s="0" t="s">
        <v>2709</v>
      </c>
      <c r="E1656" s="0" t="s">
        <v>889</v>
      </c>
      <c r="F1656" s="0" t="str">
        <f aca="false">CONCATENATE(D1656," ",LEFT(H1656,4),"T=",AU1656,"D=",AV1656,"R=",AW1656,"M=",AX1656,"L=",AY1656,"B=",AZ1656)</f>
        <v>GOULD T=9D=1R=1M=0L=1B=0</v>
      </c>
      <c r="G1656" s="0" t="s">
        <v>4000</v>
      </c>
      <c r="I1656" s="0" t="s">
        <v>7541</v>
      </c>
      <c r="J1656" s="0" t="s">
        <v>672</v>
      </c>
      <c r="K1656" s="0" t="s">
        <v>175</v>
      </c>
      <c r="L1656" s="0"/>
      <c r="M1656" s="0" t="s">
        <v>7537</v>
      </c>
      <c r="N1656" s="0" t="str">
        <f aca="false">RIGHT(M1656,LEN(M1656)-FIND(" ",M1656))</f>
        <v>MAHONING AVE NW</v>
      </c>
      <c r="O1656" s="0" t="s">
        <v>192</v>
      </c>
      <c r="P1656" s="0" t="s">
        <v>146</v>
      </c>
      <c r="Q1656" s="0" t="s">
        <v>147</v>
      </c>
      <c r="R1656" s="0" t="n">
        <v>44483</v>
      </c>
      <c r="AD1656" s="0" t="s">
        <v>148</v>
      </c>
      <c r="AE1656" s="0" t="s">
        <v>149</v>
      </c>
      <c r="AF1656" s="0" t="s">
        <v>150</v>
      </c>
      <c r="AH1656" s="0" t="n">
        <v>14</v>
      </c>
      <c r="AI1656" s="0" t="n">
        <v>11</v>
      </c>
      <c r="AN1656" s="0" t="s">
        <v>146</v>
      </c>
      <c r="AO1656" s="0" t="s">
        <v>151</v>
      </c>
      <c r="AP1656" s="0" t="s">
        <v>152</v>
      </c>
      <c r="AQ1656" s="0" t="n">
        <v>9</v>
      </c>
      <c r="AR1656" s="0" t="n">
        <v>64</v>
      </c>
      <c r="AS1656" s="0" t="n">
        <v>32</v>
      </c>
      <c r="AU1656" s="0" t="n">
        <f aca="false">COUNTA($BA$1673:$EH$1673)</f>
        <v>9</v>
      </c>
      <c r="AV1656" s="0" t="n">
        <f aca="false">COUNTIF($BA$1673:$EH$1673,"D")</f>
        <v>1</v>
      </c>
      <c r="AW1656" s="0" t="n">
        <f aca="false">COUNTIF($BA$1673:$EH$1673,"R")</f>
        <v>1</v>
      </c>
      <c r="AX1656" s="0" t="n">
        <f aca="false"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>0</v>
      </c>
      <c r="AY1656" s="0" t="n">
        <f aca="false">COUNTIF(DU1656:EH1656, "&lt;&gt;")</f>
        <v>1</v>
      </c>
      <c r="AZ1656" s="0" t="n">
        <f aca="false">IF(EH1656&lt;&gt;"",1,0)</f>
        <v>0</v>
      </c>
      <c r="BB1656" s="0" t="s">
        <v>153</v>
      </c>
      <c r="EF1656" s="0" t="s">
        <v>154</v>
      </c>
    </row>
    <row r="1657" customFormat="false" ht="13.8" hidden="true" customHeight="false" outlineLevel="0" collapsed="false">
      <c r="A1657" s="0" t="s">
        <v>7542</v>
      </c>
      <c r="B1657" s="0" t="n">
        <v>78</v>
      </c>
      <c r="C1657" s="0" t="n">
        <v>461423</v>
      </c>
      <c r="D1657" s="0" t="s">
        <v>7543</v>
      </c>
      <c r="E1657" s="0" t="s">
        <v>1341</v>
      </c>
      <c r="F1657" s="0" t="str">
        <f aca="false">CONCATENATE(D1657," ",LEFT(H1657,4),"T=",AU1657,"D=",AV1657,"R=",AW1657,"M=",AX1657,"L=",AY1657,"B=",AZ1657)</f>
        <v>VELAZQUEZ T=1D=0R=0M=0L=0B=0</v>
      </c>
      <c r="G1657" s="0" t="s">
        <v>277</v>
      </c>
      <c r="I1657" s="0" t="s">
        <v>7544</v>
      </c>
      <c r="J1657" s="0" t="s">
        <v>4250</v>
      </c>
      <c r="K1657" s="0" t="s">
        <v>144</v>
      </c>
      <c r="L1657" s="0"/>
      <c r="M1657" s="0" t="s">
        <v>7537</v>
      </c>
      <c r="N1657" s="0" t="str">
        <f aca="false">RIGHT(M1657,LEN(M1657)-FIND(" ",M1657))</f>
        <v>MAHONING AVE NW</v>
      </c>
      <c r="O1657" s="0" t="s">
        <v>7545</v>
      </c>
      <c r="P1657" s="0" t="s">
        <v>146</v>
      </c>
      <c r="Q1657" s="0" t="s">
        <v>147</v>
      </c>
      <c r="R1657" s="0" t="n">
        <v>44483</v>
      </c>
      <c r="AD1657" s="0" t="s">
        <v>148</v>
      </c>
      <c r="AE1657" s="0" t="s">
        <v>149</v>
      </c>
      <c r="AF1657" s="0" t="s">
        <v>150</v>
      </c>
      <c r="AH1657" s="0" t="n">
        <v>14</v>
      </c>
      <c r="AI1657" s="0" t="n">
        <v>11</v>
      </c>
      <c r="AN1657" s="0" t="s">
        <v>146</v>
      </c>
      <c r="AO1657" s="0" t="s">
        <v>151</v>
      </c>
      <c r="AP1657" s="0" t="s">
        <v>152</v>
      </c>
      <c r="AQ1657" s="0" t="n">
        <v>9</v>
      </c>
      <c r="AR1657" s="0" t="n">
        <v>64</v>
      </c>
      <c r="AS1657" s="0" t="n">
        <v>32</v>
      </c>
      <c r="AU1657" s="0" t="n">
        <f aca="false">COUNTA($BA$1691:$EH$1691)</f>
        <v>1</v>
      </c>
      <c r="AV1657" s="0" t="n">
        <f aca="false">COUNTIF($BA$1691:$EH$1691,"D")</f>
        <v>0</v>
      </c>
      <c r="AW1657" s="0" t="n">
        <f aca="false">COUNTIF($BA$1691:$EH$1691,"R")</f>
        <v>0</v>
      </c>
      <c r="AX1657" s="0" t="n">
        <f aca="false"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>0</v>
      </c>
      <c r="AY1657" s="0" t="n">
        <f aca="false">COUNTIF(DU1657:EH1657, "&lt;&gt;")</f>
        <v>0</v>
      </c>
      <c r="AZ1657" s="0" t="n">
        <f aca="false">IF(EH1657&lt;&gt;"",1,0)</f>
        <v>0</v>
      </c>
      <c r="BB1657" s="0" t="s">
        <v>153</v>
      </c>
    </row>
    <row r="1658" customFormat="false" ht="13.8" hidden="true" customHeight="false" outlineLevel="0" collapsed="false">
      <c r="A1658" s="0" t="s">
        <v>7546</v>
      </c>
      <c r="B1658" s="0" t="n">
        <v>78</v>
      </c>
      <c r="C1658" s="0" t="n">
        <v>135378</v>
      </c>
      <c r="D1658" s="0" t="s">
        <v>7547</v>
      </c>
      <c r="E1658" s="0" t="s">
        <v>867</v>
      </c>
      <c r="F1658" s="0" t="str">
        <f aca="false">CONCATENATE(D1658," ",LEFT(H1658,4),"T=",AU1658,"D=",AV1658,"R=",AW1658,"M=",AX1658,"L=",AY1658,"B=",AZ1658)</f>
        <v>HUEY T=1D=0R=0M=0L=0B=0</v>
      </c>
      <c r="G1658" s="0" t="s">
        <v>241</v>
      </c>
      <c r="I1658" s="0" t="s">
        <v>7548</v>
      </c>
      <c r="J1658" s="0" t="s">
        <v>7549</v>
      </c>
      <c r="K1658" s="0" t="s">
        <v>144</v>
      </c>
      <c r="L1658" s="0"/>
      <c r="M1658" s="0" t="s">
        <v>7537</v>
      </c>
      <c r="N1658" s="0" t="str">
        <f aca="false">RIGHT(M1658,LEN(M1658)-FIND(" ",M1658))</f>
        <v>MAHONING AVE NW</v>
      </c>
      <c r="O1658" s="0" t="s">
        <v>1681</v>
      </c>
      <c r="P1658" s="0" t="s">
        <v>146</v>
      </c>
      <c r="Q1658" s="0" t="s">
        <v>147</v>
      </c>
      <c r="R1658" s="0" t="n">
        <v>44483</v>
      </c>
      <c r="AD1658" s="0" t="s">
        <v>148</v>
      </c>
      <c r="AE1658" s="0" t="s">
        <v>149</v>
      </c>
      <c r="AF1658" s="0" t="s">
        <v>150</v>
      </c>
      <c r="AH1658" s="0" t="n">
        <v>14</v>
      </c>
      <c r="AI1658" s="0" t="n">
        <v>11</v>
      </c>
      <c r="AN1658" s="0" t="s">
        <v>146</v>
      </c>
      <c r="AO1658" s="0" t="s">
        <v>151</v>
      </c>
      <c r="AP1658" s="0" t="s">
        <v>152</v>
      </c>
      <c r="AQ1658" s="0" t="n">
        <v>9</v>
      </c>
      <c r="AR1658" s="0" t="n">
        <v>64</v>
      </c>
      <c r="AS1658" s="0" t="n">
        <v>32</v>
      </c>
      <c r="AU1658" s="0" t="n">
        <f aca="false">COUNTA($BA$1717:$EH$1717)</f>
        <v>1</v>
      </c>
      <c r="AV1658" s="0" t="n">
        <f aca="false">COUNTIF($BA$1717:$EH$1717,"D")</f>
        <v>0</v>
      </c>
      <c r="AW1658" s="0" t="n">
        <f aca="false">COUNTIF($BA$1717:$EH$1717,"R")</f>
        <v>0</v>
      </c>
      <c r="AX1658" s="0" t="n">
        <f aca="false"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>0</v>
      </c>
      <c r="AY1658" s="0" t="n">
        <f aca="false">COUNTIF(DU1658:EH1658, "&lt;&gt;")</f>
        <v>0</v>
      </c>
      <c r="AZ1658" s="0" t="n">
        <f aca="false">IF(EH1658&lt;&gt;"",1,0)</f>
        <v>0</v>
      </c>
      <c r="BB1658" s="0" t="s">
        <v>153</v>
      </c>
      <c r="BL1658" s="0" t="s">
        <v>154</v>
      </c>
      <c r="CN1658" s="0" t="s">
        <v>154</v>
      </c>
      <c r="CP1658" s="0" t="s">
        <v>154</v>
      </c>
      <c r="CZ1658" s="0" t="s">
        <v>155</v>
      </c>
      <c r="DC1658" s="0" t="s">
        <v>154</v>
      </c>
    </row>
    <row r="1659" customFormat="false" ht="13.8" hidden="true" customHeight="false" outlineLevel="0" collapsed="false">
      <c r="A1659" s="0" t="s">
        <v>7550</v>
      </c>
      <c r="B1659" s="0" t="n">
        <v>78</v>
      </c>
      <c r="C1659" s="0" t="n">
        <v>288294</v>
      </c>
      <c r="D1659" s="0" t="s">
        <v>7551</v>
      </c>
      <c r="E1659" s="0" t="s">
        <v>405</v>
      </c>
      <c r="F1659" s="0" t="str">
        <f aca="false">CONCATENATE(D1659," ",LEFT(H1659,4),"T=",AU1659,"D=",AV1659,"R=",AW1659,"M=",AX1659,"L=",AY1659,"B=",AZ1659)</f>
        <v>FURBEE T=3D=1R=0M=0L=1B=0</v>
      </c>
      <c r="G1659" s="0" t="s">
        <v>216</v>
      </c>
      <c r="I1659" s="0" t="s">
        <v>1133</v>
      </c>
      <c r="J1659" s="0" t="s">
        <v>4411</v>
      </c>
      <c r="K1659" s="0" t="s">
        <v>175</v>
      </c>
      <c r="L1659" s="0"/>
      <c r="M1659" s="0" t="s">
        <v>7552</v>
      </c>
      <c r="N1659" s="0" t="str">
        <f aca="false">RIGHT(M1659,LEN(M1659)-FIND(" ",M1659))</f>
        <v>MAHONING AVE NW</v>
      </c>
      <c r="P1659" s="0" t="s">
        <v>146</v>
      </c>
      <c r="Q1659" s="0" t="s">
        <v>147</v>
      </c>
      <c r="R1659" s="0" t="n">
        <v>44483</v>
      </c>
      <c r="AD1659" s="0" t="s">
        <v>148</v>
      </c>
      <c r="AE1659" s="0" t="s">
        <v>149</v>
      </c>
      <c r="AF1659" s="0" t="s">
        <v>150</v>
      </c>
      <c r="AH1659" s="0" t="n">
        <v>14</v>
      </c>
      <c r="AI1659" s="0" t="n">
        <v>11</v>
      </c>
      <c r="AN1659" s="0" t="s">
        <v>146</v>
      </c>
      <c r="AO1659" s="0" t="s">
        <v>151</v>
      </c>
      <c r="AP1659" s="0" t="s">
        <v>152</v>
      </c>
      <c r="AQ1659" s="0" t="n">
        <v>9</v>
      </c>
      <c r="AR1659" s="0" t="n">
        <v>64</v>
      </c>
      <c r="AS1659" s="0" t="n">
        <v>32</v>
      </c>
      <c r="AU1659" s="0" t="n">
        <f aca="false">COUNTA($BA$1090:$EH$1090)</f>
        <v>3</v>
      </c>
      <c r="AV1659" s="0" t="n">
        <f aca="false">COUNTIF($BA$1090:$EH$1090,"D")</f>
        <v>1</v>
      </c>
      <c r="AW1659" s="0" t="n">
        <f aca="false">COUNTIF($BA$1090:$EH$1090,"R")</f>
        <v>0</v>
      </c>
      <c r="AX1659" s="0" t="n">
        <f aca="false"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>0</v>
      </c>
      <c r="AY1659" s="0" t="n">
        <f aca="false">COUNTIF(DU1659:EH1659, "&lt;&gt;")</f>
        <v>1</v>
      </c>
      <c r="AZ1659" s="0" t="n">
        <f aca="false">IF(EH1659&lt;&gt;"",1,0)</f>
        <v>0</v>
      </c>
      <c r="BB1659" s="0" t="s">
        <v>153</v>
      </c>
      <c r="CZ1659" s="0" t="s">
        <v>155</v>
      </c>
      <c r="DC1659" s="0" t="s">
        <v>154</v>
      </c>
      <c r="DI1659" s="0" t="s">
        <v>154</v>
      </c>
      <c r="DM1659" s="0" t="s">
        <v>155</v>
      </c>
      <c r="DN1659" s="0" t="s">
        <v>154</v>
      </c>
      <c r="DR1659" s="0" t="s">
        <v>154</v>
      </c>
      <c r="DU1659" s="0" t="s">
        <v>154</v>
      </c>
    </row>
    <row r="1660" customFormat="false" ht="13.8" hidden="false" customHeight="false" outlineLevel="0" collapsed="false">
      <c r="A1660" s="0" t="s">
        <v>7553</v>
      </c>
      <c r="B1660" s="0" t="n">
        <v>78</v>
      </c>
      <c r="C1660" s="0" t="n">
        <v>248425</v>
      </c>
      <c r="D1660" s="0" t="s">
        <v>5555</v>
      </c>
      <c r="E1660" s="0" t="s">
        <v>750</v>
      </c>
      <c r="F1660" s="0" t="str">
        <f aca="false">CONCATENATE(D1660," ",LEFT(H1660,4),"T=",AU1660,"D=",AV1660,"R=",AW1660,"M=",AX1660,"L=",AY1660,"B=",AZ1660)</f>
        <v>HEETER T=41D=10R=3M=1L=5B=0</v>
      </c>
      <c r="G1660" s="0" t="s">
        <v>155</v>
      </c>
      <c r="I1660" s="0" t="s">
        <v>7554</v>
      </c>
      <c r="J1660" s="0" t="s">
        <v>7555</v>
      </c>
      <c r="K1660" s="0" t="s">
        <v>175</v>
      </c>
      <c r="L1660" s="1" t="s">
        <v>155</v>
      </c>
      <c r="M1660" s="0" t="s">
        <v>7556</v>
      </c>
      <c r="N1660" s="0" t="str">
        <f aca="false">RIGHT(M1660,LEN(M1660)-FIND(" ",M1660))</f>
        <v>MAHONING AVE NW</v>
      </c>
      <c r="P1660" s="0" t="s">
        <v>146</v>
      </c>
      <c r="Q1660" s="0" t="s">
        <v>147</v>
      </c>
      <c r="R1660" s="0" t="n">
        <v>44483</v>
      </c>
      <c r="AD1660" s="0" t="s">
        <v>148</v>
      </c>
      <c r="AE1660" s="0" t="s">
        <v>149</v>
      </c>
      <c r="AF1660" s="0" t="s">
        <v>150</v>
      </c>
      <c r="AH1660" s="0" t="n">
        <v>14</v>
      </c>
      <c r="AI1660" s="0" t="n">
        <v>11</v>
      </c>
      <c r="AN1660" s="0" t="s">
        <v>146</v>
      </c>
      <c r="AO1660" s="0" t="s">
        <v>151</v>
      </c>
      <c r="AP1660" s="0" t="s">
        <v>152</v>
      </c>
      <c r="AQ1660" s="0" t="n">
        <v>9</v>
      </c>
      <c r="AR1660" s="0" t="n">
        <v>64</v>
      </c>
      <c r="AS1660" s="0" t="n">
        <v>32</v>
      </c>
      <c r="AU1660" s="0" t="n">
        <f aca="false">COUNTA($BA$1672:$EH$1672)</f>
        <v>41</v>
      </c>
      <c r="AV1660" s="0" t="n">
        <f aca="false">COUNTIF($BA$1672:$EH$1672,"D")</f>
        <v>10</v>
      </c>
      <c r="AW1660" s="0" t="n">
        <f aca="false">COUNTIF($BA$1672:$EH$1672,"R")</f>
        <v>3</v>
      </c>
      <c r="AX1660" s="0" t="n">
        <f aca="false"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>1</v>
      </c>
      <c r="AY1660" s="0" t="n">
        <f aca="false">COUNTIF(DU1660:EH1660, "&lt;&gt;")</f>
        <v>5</v>
      </c>
      <c r="AZ1660" s="0" t="n">
        <f aca="false">IF(EH1660&lt;&gt;"",1,0)</f>
        <v>0</v>
      </c>
      <c r="BB1660" s="0" t="s">
        <v>153</v>
      </c>
      <c r="BC1660" s="0" t="s">
        <v>154</v>
      </c>
      <c r="BH1660" s="0" t="s">
        <v>154</v>
      </c>
      <c r="BI1660" s="0" t="s">
        <v>154</v>
      </c>
      <c r="BJ1660" s="0" t="s">
        <v>154</v>
      </c>
      <c r="BK1660" s="0" t="s">
        <v>154</v>
      </c>
      <c r="BL1660" s="0" t="s">
        <v>154</v>
      </c>
      <c r="BP1660" s="0" t="s">
        <v>154</v>
      </c>
      <c r="BR1660" s="0" t="s">
        <v>154</v>
      </c>
      <c r="BS1660" s="0" t="s">
        <v>154</v>
      </c>
      <c r="BV1660" s="0" t="s">
        <v>154</v>
      </c>
      <c r="BY1660" s="0" t="s">
        <v>155</v>
      </c>
      <c r="CA1660" s="0" t="s">
        <v>154</v>
      </c>
      <c r="CG1660" s="0" t="s">
        <v>154</v>
      </c>
      <c r="CL1660" s="0" t="s">
        <v>155</v>
      </c>
      <c r="CV1660" s="0" t="s">
        <v>154</v>
      </c>
      <c r="CY1660" s="0" t="s">
        <v>154</v>
      </c>
      <c r="CZ1660" s="0" t="s">
        <v>176</v>
      </c>
      <c r="DC1660" s="0" t="s">
        <v>154</v>
      </c>
      <c r="DF1660" s="0" t="s">
        <v>154</v>
      </c>
      <c r="DG1660" s="0" t="s">
        <v>155</v>
      </c>
      <c r="DI1660" s="0" t="s">
        <v>154</v>
      </c>
      <c r="DL1660" s="0" t="s">
        <v>154</v>
      </c>
      <c r="DM1660" s="0" t="s">
        <v>155</v>
      </c>
      <c r="DN1660" s="0" t="s">
        <v>154</v>
      </c>
      <c r="DR1660" s="0" t="s">
        <v>154</v>
      </c>
      <c r="DU1660" s="0" t="s">
        <v>154</v>
      </c>
      <c r="DX1660" s="0" t="s">
        <v>154</v>
      </c>
      <c r="EA1660" s="0" t="s">
        <v>154</v>
      </c>
      <c r="ED1660" s="0" t="s">
        <v>155</v>
      </c>
      <c r="EF1660" s="0" t="s">
        <v>154</v>
      </c>
    </row>
    <row r="1661" customFormat="false" ht="13.8" hidden="true" customHeight="false" outlineLevel="0" collapsed="false">
      <c r="A1661" s="0" t="s">
        <v>7557</v>
      </c>
      <c r="B1661" s="0" t="n">
        <v>78</v>
      </c>
      <c r="C1661" s="0" t="n">
        <v>487827</v>
      </c>
      <c r="D1661" s="0" t="s">
        <v>645</v>
      </c>
      <c r="E1661" s="0" t="s">
        <v>750</v>
      </c>
      <c r="F1661" s="0" t="str">
        <f aca="false">CONCATENATE(D1661," ",LEFT(H1661,4),"T=",AU1661,"D=",AV1661,"R=",AW1661,"M=",AX1661,"L=",AY1661,"B=",AZ1661)</f>
        <v>WILLIAMS T=3D=0R=0M=0L=0B=0</v>
      </c>
      <c r="G1661" s="0" t="s">
        <v>202</v>
      </c>
      <c r="I1661" s="0" t="s">
        <v>7558</v>
      </c>
      <c r="J1661" s="0" t="s">
        <v>4411</v>
      </c>
      <c r="K1661" s="0" t="s">
        <v>175</v>
      </c>
      <c r="L1661" s="0"/>
      <c r="M1661" s="0" t="s">
        <v>7559</v>
      </c>
      <c r="N1661" s="0" t="str">
        <f aca="false">RIGHT(M1661,LEN(M1661)-FIND(" ",M1661))</f>
        <v>MAHONING AVE NW</v>
      </c>
      <c r="O1661" s="0" t="s">
        <v>7257</v>
      </c>
      <c r="P1661" s="0" t="s">
        <v>146</v>
      </c>
      <c r="Q1661" s="0" t="s">
        <v>147</v>
      </c>
      <c r="R1661" s="0" t="n">
        <v>44483</v>
      </c>
      <c r="AD1661" s="0" t="s">
        <v>148</v>
      </c>
      <c r="AE1661" s="0" t="s">
        <v>149</v>
      </c>
      <c r="AF1661" s="0" t="s">
        <v>150</v>
      </c>
      <c r="AH1661" s="0" t="n">
        <v>14</v>
      </c>
      <c r="AI1661" s="0" t="n">
        <v>11</v>
      </c>
      <c r="AN1661" s="0" t="s">
        <v>146</v>
      </c>
      <c r="AO1661" s="0" t="s">
        <v>151</v>
      </c>
      <c r="AP1661" s="0" t="s">
        <v>152</v>
      </c>
      <c r="AQ1661" s="0" t="n">
        <v>9</v>
      </c>
      <c r="AR1661" s="0" t="n">
        <v>64</v>
      </c>
      <c r="AS1661" s="0" t="n">
        <v>32</v>
      </c>
      <c r="AU1661" s="0" t="n">
        <f aca="false">COUNTA($BA$1123:$EH$1123)</f>
        <v>3</v>
      </c>
      <c r="AV1661" s="0" t="n">
        <f aca="false">COUNTIF($BA$1123:$EH$1123,"D")</f>
        <v>0</v>
      </c>
      <c r="AW1661" s="0" t="n">
        <f aca="false">COUNTIF($BA$1123:$EH$1123,"R")</f>
        <v>0</v>
      </c>
      <c r="AX1661" s="0" t="n">
        <f aca="false"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>0</v>
      </c>
      <c r="AY1661" s="0" t="n">
        <f aca="false">COUNTIF(DU1661:EH1661, "&lt;&gt;")</f>
        <v>0</v>
      </c>
      <c r="AZ1661" s="0" t="n">
        <f aca="false">IF(EH1661&lt;&gt;"",1,0)</f>
        <v>0</v>
      </c>
      <c r="BB1661" s="0" t="s">
        <v>153</v>
      </c>
    </row>
    <row r="1662" customFormat="false" ht="13.8" hidden="false" customHeight="false" outlineLevel="0" collapsed="false">
      <c r="A1662" s="0" t="s">
        <v>7560</v>
      </c>
      <c r="B1662" s="0" t="n">
        <v>78</v>
      </c>
      <c r="C1662" s="0" t="n">
        <v>408894</v>
      </c>
      <c r="D1662" s="0" t="s">
        <v>1244</v>
      </c>
      <c r="E1662" s="0" t="s">
        <v>619</v>
      </c>
      <c r="F1662" s="0" t="str">
        <f aca="false">CONCATENATE(D1662," ",LEFT(H1662,4),"T=",AU1662,"D=",AV1662,"R=",AW1662,"M=",AX1662,"L=",AY1662,"B=",AZ1662)</f>
        <v>TAYLOR T=8D=2R=0M=0L=2B=0</v>
      </c>
      <c r="G1662" s="0" t="s">
        <v>1942</v>
      </c>
      <c r="I1662" s="0" t="s">
        <v>3078</v>
      </c>
      <c r="J1662" s="0" t="s">
        <v>977</v>
      </c>
      <c r="K1662" s="0" t="s">
        <v>175</v>
      </c>
      <c r="L1662" s="1" t="s">
        <v>176</v>
      </c>
      <c r="M1662" s="0" t="s">
        <v>7559</v>
      </c>
      <c r="N1662" s="0" t="str">
        <f aca="false">RIGHT(M1662,LEN(M1662)-FIND(" ",M1662))</f>
        <v>MAHONING AVE NW</v>
      </c>
      <c r="O1662" s="0" t="s">
        <v>1681</v>
      </c>
      <c r="P1662" s="0" t="s">
        <v>146</v>
      </c>
      <c r="Q1662" s="0" t="s">
        <v>147</v>
      </c>
      <c r="R1662" s="0" t="n">
        <v>44483</v>
      </c>
      <c r="AD1662" s="0" t="s">
        <v>148</v>
      </c>
      <c r="AE1662" s="0" t="s">
        <v>149</v>
      </c>
      <c r="AF1662" s="0" t="s">
        <v>150</v>
      </c>
      <c r="AH1662" s="0" t="n">
        <v>14</v>
      </c>
      <c r="AI1662" s="0" t="n">
        <v>11</v>
      </c>
      <c r="AN1662" s="0" t="s">
        <v>146</v>
      </c>
      <c r="AO1662" s="0" t="s">
        <v>151</v>
      </c>
      <c r="AP1662" s="0" t="s">
        <v>152</v>
      </c>
      <c r="AQ1662" s="0" t="n">
        <v>9</v>
      </c>
      <c r="AR1662" s="0" t="n">
        <v>64</v>
      </c>
      <c r="AS1662" s="0" t="n">
        <v>32</v>
      </c>
      <c r="AU1662" s="0" t="n">
        <f aca="false">COUNTA($BA$1338:$EH$1338)</f>
        <v>8</v>
      </c>
      <c r="AV1662" s="0" t="n">
        <f aca="false">COUNTIF($BA$1338:$EH$1338,"D")</f>
        <v>2</v>
      </c>
      <c r="AW1662" s="0" t="n">
        <f aca="false">COUNTIF($BA$1338:$EH$1338,"R")</f>
        <v>0</v>
      </c>
      <c r="AX1662" s="0" t="n">
        <f aca="false"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>0</v>
      </c>
      <c r="AY1662" s="0" t="n">
        <f aca="false">COUNTIF(DU1662:EH1662, "&lt;&gt;")</f>
        <v>2</v>
      </c>
      <c r="AZ1662" s="0" t="n">
        <f aca="false">IF(EH1662&lt;&gt;"",1,0)</f>
        <v>0</v>
      </c>
      <c r="BB1662" s="0" t="s">
        <v>153</v>
      </c>
      <c r="DC1662" s="0" t="s">
        <v>154</v>
      </c>
      <c r="DI1662" s="0" t="s">
        <v>154</v>
      </c>
      <c r="DT1662" s="0" t="s">
        <v>176</v>
      </c>
      <c r="DU1662" s="0" t="s">
        <v>154</v>
      </c>
      <c r="DX1662" s="0" t="s">
        <v>154</v>
      </c>
    </row>
    <row r="1663" customFormat="false" ht="13.8" hidden="true" customHeight="false" outlineLevel="0" collapsed="false">
      <c r="A1663" s="0" t="s">
        <v>7561</v>
      </c>
      <c r="B1663" s="0" t="n">
        <v>78</v>
      </c>
      <c r="C1663" s="0" t="n">
        <v>440217</v>
      </c>
      <c r="D1663" s="0" t="s">
        <v>7562</v>
      </c>
      <c r="E1663" s="0" t="s">
        <v>7563</v>
      </c>
      <c r="F1663" s="0" t="str">
        <f aca="false">CONCATENATE(D1663," ",LEFT(H1663,4),"T=",AU1663,"D=",AV1663,"R=",AW1663,"M=",AX1663,"L=",AY1663,"B=",AZ1663)</f>
        <v>UPLINGER T=25D=4R=0M=0L=0B=0</v>
      </c>
      <c r="G1663" s="0" t="s">
        <v>1131</v>
      </c>
      <c r="I1663" s="0" t="s">
        <v>7564</v>
      </c>
      <c r="J1663" s="0" t="s">
        <v>7565</v>
      </c>
      <c r="K1663" s="0" t="s">
        <v>144</v>
      </c>
      <c r="L1663" s="0"/>
      <c r="M1663" s="0" t="s">
        <v>7559</v>
      </c>
      <c r="N1663" s="0" t="str">
        <f aca="false">RIGHT(M1663,LEN(M1663)-FIND(" ",M1663))</f>
        <v>MAHONING AVE NW</v>
      </c>
      <c r="O1663" s="0" t="s">
        <v>192</v>
      </c>
      <c r="P1663" s="0" t="s">
        <v>146</v>
      </c>
      <c r="Q1663" s="0" t="s">
        <v>147</v>
      </c>
      <c r="R1663" s="0" t="n">
        <v>44483</v>
      </c>
      <c r="AD1663" s="0" t="s">
        <v>148</v>
      </c>
      <c r="AE1663" s="0" t="s">
        <v>149</v>
      </c>
      <c r="AF1663" s="0" t="s">
        <v>150</v>
      </c>
      <c r="AH1663" s="0" t="n">
        <v>14</v>
      </c>
      <c r="AI1663" s="0" t="n">
        <v>11</v>
      </c>
      <c r="AN1663" s="0" t="s">
        <v>146</v>
      </c>
      <c r="AO1663" s="0" t="s">
        <v>151</v>
      </c>
      <c r="AP1663" s="0" t="s">
        <v>152</v>
      </c>
      <c r="AQ1663" s="0" t="n">
        <v>9</v>
      </c>
      <c r="AR1663" s="0" t="n">
        <v>64</v>
      </c>
      <c r="AS1663" s="0" t="n">
        <v>32</v>
      </c>
      <c r="AU1663" s="0" t="n">
        <f aca="false">COUNTA($BA$1426:$EH$1426)</f>
        <v>25</v>
      </c>
      <c r="AV1663" s="0" t="n">
        <f aca="false">COUNTIF($BA$1426:$EH$1426,"D")</f>
        <v>4</v>
      </c>
      <c r="AW1663" s="0" t="n">
        <f aca="false">COUNTIF($BA$1426:$EH$1426,"R")</f>
        <v>0</v>
      </c>
      <c r="AX1663" s="0" t="n">
        <f aca="false"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>0</v>
      </c>
      <c r="AY1663" s="0" t="n">
        <f aca="false">COUNTIF(DU1663:EH1663, "&lt;&gt;")</f>
        <v>0</v>
      </c>
      <c r="AZ1663" s="0" t="n">
        <f aca="false">IF(EH1663&lt;&gt;"",1,0)</f>
        <v>0</v>
      </c>
      <c r="BB1663" s="0" t="s">
        <v>153</v>
      </c>
      <c r="CP1663" s="0" t="s">
        <v>154</v>
      </c>
      <c r="CZ1663" s="0" t="s">
        <v>176</v>
      </c>
      <c r="DC1663" s="0" t="s">
        <v>154</v>
      </c>
      <c r="DI1663" s="0" t="s">
        <v>154</v>
      </c>
      <c r="DN1663" s="0" t="s">
        <v>154</v>
      </c>
    </row>
    <row r="1664" customFormat="false" ht="13.8" hidden="true" customHeight="false" outlineLevel="0" collapsed="false">
      <c r="A1664" s="0" t="s">
        <v>7566</v>
      </c>
      <c r="B1664" s="0" t="n">
        <v>78</v>
      </c>
      <c r="C1664" s="0" t="n">
        <v>459464</v>
      </c>
      <c r="D1664" s="0" t="s">
        <v>2356</v>
      </c>
      <c r="E1664" s="0" t="s">
        <v>7567</v>
      </c>
      <c r="F1664" s="0" t="str">
        <f aca="false">CONCATENATE(D1664," ",LEFT(H1664,4),"T=",AU1664,"D=",AV1664,"R=",AW1664,"M=",AX1664,"L=",AY1664,"B=",AZ1664)</f>
        <v>ARMSTRONG T=2D=0R=0M=0L=1B=0</v>
      </c>
      <c r="G1664" s="0" t="s">
        <v>241</v>
      </c>
      <c r="I1664" s="0" t="s">
        <v>7568</v>
      </c>
      <c r="J1664" s="0" t="s">
        <v>2803</v>
      </c>
      <c r="K1664" s="0" t="s">
        <v>175</v>
      </c>
      <c r="L1664" s="0"/>
      <c r="M1664" s="0" t="s">
        <v>7559</v>
      </c>
      <c r="N1664" s="0" t="str">
        <f aca="false">RIGHT(M1664,LEN(M1664)-FIND(" ",M1664))</f>
        <v>MAHONING AVE NW</v>
      </c>
      <c r="P1664" s="0" t="s">
        <v>146</v>
      </c>
      <c r="Q1664" s="0" t="s">
        <v>147</v>
      </c>
      <c r="R1664" s="0" t="n">
        <v>44483</v>
      </c>
      <c r="AD1664" s="0" t="s">
        <v>148</v>
      </c>
      <c r="AE1664" s="0" t="s">
        <v>149</v>
      </c>
      <c r="AF1664" s="0" t="s">
        <v>150</v>
      </c>
      <c r="AH1664" s="0" t="n">
        <v>14</v>
      </c>
      <c r="AI1664" s="0" t="n">
        <v>11</v>
      </c>
      <c r="AN1664" s="0" t="s">
        <v>146</v>
      </c>
      <c r="AO1664" s="0" t="s">
        <v>151</v>
      </c>
      <c r="AP1664" s="0" t="s">
        <v>152</v>
      </c>
      <c r="AQ1664" s="0" t="n">
        <v>9</v>
      </c>
      <c r="AR1664" s="0" t="n">
        <v>64</v>
      </c>
      <c r="AS1664" s="0" t="n">
        <v>32</v>
      </c>
      <c r="AU1664" s="0" t="n">
        <f aca="false">COUNTA($BA$1705:$EH$1705)</f>
        <v>2</v>
      </c>
      <c r="AV1664" s="0" t="n">
        <f aca="false">COUNTIF($BA$1705:$EH$1705,"D")</f>
        <v>0</v>
      </c>
      <c r="AW1664" s="0" t="n">
        <f aca="false">COUNTIF($BA$1705:$EH$1705,"R")</f>
        <v>0</v>
      </c>
      <c r="AX1664" s="0" t="n">
        <f aca="false"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>0</v>
      </c>
      <c r="AY1664" s="0" t="n">
        <f aca="false">COUNTIF(DU1664:EH1664, "&lt;&gt;")</f>
        <v>1</v>
      </c>
      <c r="AZ1664" s="0" t="n">
        <f aca="false">IF(EH1664&lt;&gt;"",1,0)</f>
        <v>0</v>
      </c>
      <c r="BB1664" s="0" t="s">
        <v>153</v>
      </c>
      <c r="DC1664" s="0" t="s">
        <v>154</v>
      </c>
      <c r="DI1664" s="0" t="s">
        <v>154</v>
      </c>
      <c r="EF1664" s="0" t="s">
        <v>154</v>
      </c>
    </row>
    <row r="1665" customFormat="false" ht="13.8" hidden="false" customHeight="false" outlineLevel="0" collapsed="false">
      <c r="A1665" s="0" t="s">
        <v>7569</v>
      </c>
      <c r="B1665" s="0" t="n">
        <v>78</v>
      </c>
      <c r="C1665" s="0" t="n">
        <v>408531</v>
      </c>
      <c r="D1665" s="0" t="s">
        <v>7570</v>
      </c>
      <c r="E1665" s="0" t="s">
        <v>2759</v>
      </c>
      <c r="F1665" s="0" t="str">
        <f aca="false">CONCATENATE(D1665," ",LEFT(H1665,4),"T=",AU1665,"D=",AV1665,"R=",AW1665,"M=",AX1665,"L=",AY1665,"B=",AZ1665)</f>
        <v>FANNIN T=5D=1R=0M=0L=2B=0</v>
      </c>
      <c r="G1665" s="0" t="s">
        <v>297</v>
      </c>
      <c r="I1665" s="0" t="s">
        <v>7571</v>
      </c>
      <c r="J1665" s="0" t="s">
        <v>2471</v>
      </c>
      <c r="K1665" s="0" t="s">
        <v>175</v>
      </c>
      <c r="M1665" s="0" t="s">
        <v>7572</v>
      </c>
      <c r="N1665" s="0" t="str">
        <f aca="false">RIGHT(M1665,LEN(M1665)-FIND(" ",M1665))</f>
        <v>MAHONING AVE NW</v>
      </c>
      <c r="P1665" s="0" t="s">
        <v>146</v>
      </c>
      <c r="Q1665" s="0" t="s">
        <v>147</v>
      </c>
      <c r="R1665" s="0" t="n">
        <v>44483</v>
      </c>
      <c r="AD1665" s="0" t="s">
        <v>148</v>
      </c>
      <c r="AE1665" s="0" t="s">
        <v>149</v>
      </c>
      <c r="AF1665" s="0" t="s">
        <v>150</v>
      </c>
      <c r="AH1665" s="0" t="n">
        <v>14</v>
      </c>
      <c r="AI1665" s="0" t="n">
        <v>11</v>
      </c>
      <c r="AN1665" s="0" t="s">
        <v>146</v>
      </c>
      <c r="AO1665" s="0" t="s">
        <v>151</v>
      </c>
      <c r="AP1665" s="0" t="s">
        <v>152</v>
      </c>
      <c r="AQ1665" s="0" t="n">
        <v>9</v>
      </c>
      <c r="AR1665" s="0" t="n">
        <v>64</v>
      </c>
      <c r="AS1665" s="0" t="n">
        <v>32</v>
      </c>
      <c r="AU1665" s="0" t="n">
        <f aca="false">COUNTA($BA$1246:$EH$1246)</f>
        <v>5</v>
      </c>
      <c r="AV1665" s="0" t="n">
        <f aca="false">COUNTIF($BA$1246:$EH$1246,"D")</f>
        <v>1</v>
      </c>
      <c r="AW1665" s="0" t="n">
        <f aca="false">COUNTIF($BA$1246:$EH$1246,"R")</f>
        <v>0</v>
      </c>
      <c r="AX1665" s="0" t="n">
        <f aca="false"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>0</v>
      </c>
      <c r="AY1665" s="0" t="n">
        <f aca="false">COUNTIF(DU1665:EH1665, "&lt;&gt;")</f>
        <v>2</v>
      </c>
      <c r="AZ1665" s="0" t="n">
        <f aca="false">IF(EH1665&lt;&gt;"",1,0)</f>
        <v>0</v>
      </c>
      <c r="BB1665" s="0" t="s">
        <v>153</v>
      </c>
      <c r="DN1665" s="0" t="s">
        <v>154</v>
      </c>
      <c r="DU1665" s="0" t="s">
        <v>154</v>
      </c>
      <c r="EF1665" s="0" t="s">
        <v>154</v>
      </c>
    </row>
    <row r="1666" customFormat="false" ht="13.8" hidden="false" customHeight="false" outlineLevel="0" collapsed="false">
      <c r="A1666" s="0" t="s">
        <v>7573</v>
      </c>
      <c r="B1666" s="0" t="n">
        <v>78</v>
      </c>
      <c r="C1666" s="0" t="n">
        <v>435541</v>
      </c>
      <c r="D1666" s="0" t="s">
        <v>7574</v>
      </c>
      <c r="E1666" s="0" t="s">
        <v>744</v>
      </c>
      <c r="F1666" s="0" t="str">
        <f aca="false">CONCATENATE(D1666," ",LEFT(H1666,4),"T=",AU1666,"D=",AV1666,"R=",AW1666,"M=",AX1666,"L=",AY1666,"B=",AZ1666)</f>
        <v>MACCARTNEY T=3D=0R=0M=0L=3B=0</v>
      </c>
      <c r="G1666" s="0" t="s">
        <v>155</v>
      </c>
      <c r="I1666" s="0" t="s">
        <v>7575</v>
      </c>
      <c r="J1666" s="0" t="s">
        <v>7576</v>
      </c>
      <c r="K1666" s="0" t="s">
        <v>175</v>
      </c>
      <c r="M1666" s="0" t="s">
        <v>7577</v>
      </c>
      <c r="N1666" s="0" t="str">
        <f aca="false">RIGHT(M1666,LEN(M1666)-FIND(" ",M1666))</f>
        <v>MAHONING AVE NW</v>
      </c>
      <c r="O1666" s="0" t="s">
        <v>192</v>
      </c>
      <c r="P1666" s="0" t="s">
        <v>146</v>
      </c>
      <c r="Q1666" s="0" t="s">
        <v>147</v>
      </c>
      <c r="R1666" s="0" t="n">
        <v>44483</v>
      </c>
      <c r="AD1666" s="0" t="s">
        <v>148</v>
      </c>
      <c r="AE1666" s="0" t="s">
        <v>149</v>
      </c>
      <c r="AF1666" s="0" t="s">
        <v>150</v>
      </c>
      <c r="AH1666" s="0" t="n">
        <v>14</v>
      </c>
      <c r="AI1666" s="0" t="n">
        <v>11</v>
      </c>
      <c r="AN1666" s="0" t="s">
        <v>146</v>
      </c>
      <c r="AO1666" s="0" t="s">
        <v>151</v>
      </c>
      <c r="AP1666" s="0" t="s">
        <v>152</v>
      </c>
      <c r="AQ1666" s="0" t="n">
        <v>9</v>
      </c>
      <c r="AR1666" s="0" t="n">
        <v>64</v>
      </c>
      <c r="AS1666" s="0" t="n">
        <v>32</v>
      </c>
      <c r="AU1666" s="0" t="n">
        <f aca="false">COUNTA($BA$1411:$EH$1411)</f>
        <v>3</v>
      </c>
      <c r="AV1666" s="0" t="n">
        <f aca="false">COUNTIF($BA$1411:$EH$1411,"D")</f>
        <v>0</v>
      </c>
      <c r="AW1666" s="0" t="n">
        <f aca="false">COUNTIF($BA$1411:$EH$1411,"R")</f>
        <v>0</v>
      </c>
      <c r="AX1666" s="0" t="n">
        <f aca="false"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>0</v>
      </c>
      <c r="AY1666" s="0" t="n">
        <f aca="false">COUNTIF(DU1666:EH1666, "&lt;&gt;")</f>
        <v>3</v>
      </c>
      <c r="AZ1666" s="0" t="n">
        <f aca="false">IF(EH1666&lt;&gt;"",1,0)</f>
        <v>0</v>
      </c>
      <c r="BB1666" s="0" t="s">
        <v>153</v>
      </c>
      <c r="CG1666" s="0" t="s">
        <v>154</v>
      </c>
      <c r="CP1666" s="0" t="s">
        <v>154</v>
      </c>
      <c r="CQ1666" s="0" t="s">
        <v>154</v>
      </c>
      <c r="CY1666" s="0" t="s">
        <v>154</v>
      </c>
      <c r="CZ1666" s="0" t="s">
        <v>155</v>
      </c>
      <c r="DC1666" s="0" t="s">
        <v>154</v>
      </c>
      <c r="DI1666" s="0" t="s">
        <v>154</v>
      </c>
      <c r="DN1666" s="0" t="s">
        <v>154</v>
      </c>
      <c r="DX1666" s="0" t="s">
        <v>154</v>
      </c>
      <c r="EA1666" s="0" t="s">
        <v>154</v>
      </c>
      <c r="EF1666" s="0" t="s">
        <v>154</v>
      </c>
    </row>
    <row r="1667" customFormat="false" ht="13.8" hidden="false" customHeight="false" outlineLevel="0" collapsed="false">
      <c r="A1667" s="0" t="s">
        <v>7578</v>
      </c>
      <c r="B1667" s="0" t="n">
        <v>78</v>
      </c>
      <c r="C1667" s="0" t="n">
        <v>435119</v>
      </c>
      <c r="D1667" s="0" t="s">
        <v>7579</v>
      </c>
      <c r="E1667" s="0" t="s">
        <v>495</v>
      </c>
      <c r="F1667" s="0" t="str">
        <f aca="false">CONCATENATE(D1667," ",LEFT(H1667,4),"T=",AU1667,"D=",AV1667,"R=",AW1667,"M=",AX1667,"L=",AY1667,"B=",AZ1667)</f>
        <v>JESWALD JRT=3D=0R=0M=0L=3B=0</v>
      </c>
      <c r="G1667" s="0" t="s">
        <v>172</v>
      </c>
      <c r="H1667" s="0" t="s">
        <v>431</v>
      </c>
      <c r="I1667" s="0" t="s">
        <v>7580</v>
      </c>
      <c r="J1667" s="0" t="s">
        <v>7581</v>
      </c>
      <c r="K1667" s="0" t="s">
        <v>175</v>
      </c>
      <c r="M1667" s="0" t="s">
        <v>7577</v>
      </c>
      <c r="N1667" s="0" t="str">
        <f aca="false">RIGHT(M1667,LEN(M1667)-FIND(" ",M1667))</f>
        <v>MAHONING AVE NW</v>
      </c>
      <c r="O1667" s="0" t="s">
        <v>1681</v>
      </c>
      <c r="P1667" s="0" t="s">
        <v>146</v>
      </c>
      <c r="Q1667" s="0" t="s">
        <v>147</v>
      </c>
      <c r="R1667" s="0" t="n">
        <v>44483</v>
      </c>
      <c r="AD1667" s="0" t="s">
        <v>148</v>
      </c>
      <c r="AE1667" s="0" t="s">
        <v>149</v>
      </c>
      <c r="AF1667" s="0" t="s">
        <v>150</v>
      </c>
      <c r="AH1667" s="0" t="n">
        <v>14</v>
      </c>
      <c r="AI1667" s="0" t="n">
        <v>11</v>
      </c>
      <c r="AN1667" s="0" t="s">
        <v>146</v>
      </c>
      <c r="AO1667" s="0" t="s">
        <v>151</v>
      </c>
      <c r="AP1667" s="0" t="s">
        <v>152</v>
      </c>
      <c r="AQ1667" s="0" t="n">
        <v>9</v>
      </c>
      <c r="AR1667" s="0" t="n">
        <v>64</v>
      </c>
      <c r="AS1667" s="0" t="n">
        <v>32</v>
      </c>
      <c r="AU1667" s="0" t="n">
        <f aca="false">COUNTA($BA$1532:$EH$1532)</f>
        <v>3</v>
      </c>
      <c r="AV1667" s="0" t="n">
        <f aca="false">COUNTIF($BA$1532:$EH$1532,"D")</f>
        <v>0</v>
      </c>
      <c r="AW1667" s="0" t="n">
        <f aca="false">COUNTIF($BA$1532:$EH$1532,"R")</f>
        <v>0</v>
      </c>
      <c r="AX1667" s="0" t="n">
        <f aca="false"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>0</v>
      </c>
      <c r="AY1667" s="0" t="n">
        <f aca="false">COUNTIF(DU1667:EH1667, "&lt;&gt;")</f>
        <v>3</v>
      </c>
      <c r="AZ1667" s="0" t="n">
        <f aca="false">IF(EH1667&lt;&gt;"",1,0)</f>
        <v>0</v>
      </c>
      <c r="BB1667" s="0" t="s">
        <v>153</v>
      </c>
      <c r="BC1667" s="0" t="s">
        <v>154</v>
      </c>
      <c r="BD1667" s="0" t="s">
        <v>154</v>
      </c>
      <c r="BH1667" s="0" t="s">
        <v>154</v>
      </c>
      <c r="DI1667" s="0" t="s">
        <v>154</v>
      </c>
      <c r="DL1667" s="0" t="s">
        <v>154</v>
      </c>
      <c r="DN1667" s="0" t="s">
        <v>154</v>
      </c>
      <c r="DU1667" s="0" t="s">
        <v>154</v>
      </c>
      <c r="EA1667" s="0" t="s">
        <v>154</v>
      </c>
      <c r="EF1667" s="0" t="s">
        <v>154</v>
      </c>
    </row>
    <row r="1668" customFormat="false" ht="13.8" hidden="false" customHeight="false" outlineLevel="0" collapsed="false">
      <c r="A1668" s="0" t="s">
        <v>7582</v>
      </c>
      <c r="B1668" s="0" t="n">
        <v>78</v>
      </c>
      <c r="C1668" s="0" t="n">
        <v>200136</v>
      </c>
      <c r="D1668" s="0" t="s">
        <v>7583</v>
      </c>
      <c r="E1668" s="0" t="s">
        <v>6090</v>
      </c>
      <c r="F1668" s="0" t="str">
        <f aca="false">CONCATENATE(D1668," ",LEFT(H1668,4),"T=",AU1668,"D=",AV1668,"R=",AW1668,"M=",AX1668,"L=",AY1668,"B=",AZ1668)</f>
        <v>WINYARD T=27D=0R=7M=0L=3B=0</v>
      </c>
      <c r="I1668" s="0" t="s">
        <v>7584</v>
      </c>
      <c r="J1668" s="0" t="s">
        <v>3312</v>
      </c>
      <c r="K1668" s="0" t="s">
        <v>175</v>
      </c>
      <c r="M1668" s="0" t="s">
        <v>7577</v>
      </c>
      <c r="N1668" s="0" t="str">
        <f aca="false">RIGHT(M1668,LEN(M1668)-FIND(" ",M1668))</f>
        <v>MAHONING AVE NW</v>
      </c>
      <c r="O1668" s="0" t="s">
        <v>184</v>
      </c>
      <c r="P1668" s="0" t="s">
        <v>146</v>
      </c>
      <c r="Q1668" s="0" t="s">
        <v>147</v>
      </c>
      <c r="R1668" s="0" t="n">
        <v>44483</v>
      </c>
      <c r="AD1668" s="0" t="s">
        <v>148</v>
      </c>
      <c r="AE1668" s="0" t="s">
        <v>149</v>
      </c>
      <c r="AF1668" s="0" t="s">
        <v>150</v>
      </c>
      <c r="AH1668" s="0" t="n">
        <v>14</v>
      </c>
      <c r="AI1668" s="0" t="n">
        <v>11</v>
      </c>
      <c r="AN1668" s="0" t="s">
        <v>146</v>
      </c>
      <c r="AO1668" s="0" t="s">
        <v>151</v>
      </c>
      <c r="AP1668" s="0" t="s">
        <v>152</v>
      </c>
      <c r="AQ1668" s="0" t="n">
        <v>9</v>
      </c>
      <c r="AR1668" s="0" t="n">
        <v>64</v>
      </c>
      <c r="AS1668" s="0" t="n">
        <v>32</v>
      </c>
      <c r="AU1668" s="0" t="n">
        <f aca="false">COUNTA($BA$1955:$EH$1955)</f>
        <v>27</v>
      </c>
      <c r="AV1668" s="0" t="n">
        <f aca="false">COUNTIF($BA$1955:$EH$1955,"D")</f>
        <v>0</v>
      </c>
      <c r="AW1668" s="0" t="n">
        <f aca="false">COUNTIF($BA$1955:$EH$1955,"R")</f>
        <v>7</v>
      </c>
      <c r="AX1668" s="0" t="n">
        <f aca="false"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>0</v>
      </c>
      <c r="AY1668" s="0" t="n">
        <f aca="false">COUNTIF(DU1668:EH1668, "&lt;&gt;")</f>
        <v>3</v>
      </c>
      <c r="AZ1668" s="0" t="n">
        <f aca="false">IF(EH1668&lt;&gt;"",1,0)</f>
        <v>0</v>
      </c>
      <c r="BB1668" s="0" t="s">
        <v>153</v>
      </c>
      <c r="BC1668" s="0" t="s">
        <v>154</v>
      </c>
      <c r="BD1668" s="0" t="s">
        <v>154</v>
      </c>
      <c r="BH1668" s="0" t="s">
        <v>154</v>
      </c>
      <c r="CA1668" s="0" t="s">
        <v>154</v>
      </c>
      <c r="CK1668" s="0" t="s">
        <v>154</v>
      </c>
      <c r="CN1668" s="0" t="s">
        <v>154</v>
      </c>
      <c r="CP1668" s="0" t="s">
        <v>154</v>
      </c>
      <c r="CV1668" s="0" t="s">
        <v>154</v>
      </c>
      <c r="CY1668" s="0" t="s">
        <v>154</v>
      </c>
      <c r="CZ1668" s="0" t="s">
        <v>176</v>
      </c>
      <c r="DC1668" s="0" t="s">
        <v>154</v>
      </c>
      <c r="DI1668" s="0" t="s">
        <v>154</v>
      </c>
      <c r="DN1668" s="0" t="s">
        <v>154</v>
      </c>
      <c r="DU1668" s="0" t="s">
        <v>154</v>
      </c>
      <c r="DX1668" s="0" t="s">
        <v>154</v>
      </c>
      <c r="EF1668" s="0" t="s">
        <v>154</v>
      </c>
    </row>
    <row r="1669" customFormat="false" ht="13.8" hidden="true" customHeight="false" outlineLevel="0" collapsed="false">
      <c r="A1669" s="0" t="s">
        <v>7585</v>
      </c>
      <c r="B1669" s="0" t="n">
        <v>78</v>
      </c>
      <c r="C1669" s="0" t="n">
        <v>495330</v>
      </c>
      <c r="D1669" s="0" t="s">
        <v>7586</v>
      </c>
      <c r="E1669" s="0" t="s">
        <v>195</v>
      </c>
      <c r="F1669" s="0" t="str">
        <f aca="false">CONCATENATE(D1669," ",LEFT(H1669,4),"T=",AU1669,"D=",AV1669,"R=",AW1669,"M=",AX1669,"L=",AY1669,"B=",AZ1669)</f>
        <v>GILMOUR T=11D=2R=0M=0L=0B=0</v>
      </c>
      <c r="G1669" s="0" t="s">
        <v>694</v>
      </c>
      <c r="I1669" s="0" t="s">
        <v>7587</v>
      </c>
      <c r="J1669" s="0" t="s">
        <v>7588</v>
      </c>
      <c r="K1669" s="0" t="s">
        <v>175</v>
      </c>
      <c r="L1669" s="0"/>
      <c r="M1669" s="0" t="s">
        <v>7589</v>
      </c>
      <c r="N1669" s="0" t="str">
        <f aca="false">RIGHT(M1669,LEN(M1669)-FIND(" ",M1669))</f>
        <v>MAHONING AVE NW</v>
      </c>
      <c r="P1669" s="0" t="s">
        <v>146</v>
      </c>
      <c r="Q1669" s="0" t="s">
        <v>147</v>
      </c>
      <c r="R1669" s="0" t="n">
        <v>44483</v>
      </c>
      <c r="AD1669" s="0" t="s">
        <v>148</v>
      </c>
      <c r="AE1669" s="0" t="s">
        <v>149</v>
      </c>
      <c r="AF1669" s="0" t="s">
        <v>150</v>
      </c>
      <c r="AH1669" s="0" t="n">
        <v>14</v>
      </c>
      <c r="AI1669" s="0" t="n">
        <v>11</v>
      </c>
      <c r="AN1669" s="0" t="s">
        <v>146</v>
      </c>
      <c r="AO1669" s="0" t="s">
        <v>151</v>
      </c>
      <c r="AP1669" s="0" t="s">
        <v>152</v>
      </c>
      <c r="AQ1669" s="0" t="n">
        <v>9</v>
      </c>
      <c r="AR1669" s="0" t="n">
        <v>64</v>
      </c>
      <c r="AS1669" s="0" t="n">
        <v>32</v>
      </c>
      <c r="AU1669" s="0" t="n">
        <f aca="false">COUNTA($BA$1413:$EH$1413)</f>
        <v>11</v>
      </c>
      <c r="AV1669" s="0" t="n">
        <f aca="false">COUNTIF($BA$1413:$EH$1413,"D")</f>
        <v>2</v>
      </c>
      <c r="AW1669" s="0" t="n">
        <f aca="false">COUNTIF($BA$1413:$EH$1413,"R")</f>
        <v>0</v>
      </c>
      <c r="AX1669" s="0" t="n">
        <f aca="false"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>0</v>
      </c>
      <c r="AY1669" s="0" t="n">
        <f aca="false">COUNTIF(DU1669:EH1669, "&lt;&gt;")</f>
        <v>0</v>
      </c>
      <c r="AZ1669" s="0" t="n">
        <f aca="false">IF(EH1669&lt;&gt;"",1,0)</f>
        <v>0</v>
      </c>
      <c r="BB1669" s="0" t="s">
        <v>153</v>
      </c>
    </row>
    <row r="1670" customFormat="false" ht="13.8" hidden="true" customHeight="false" outlineLevel="0" collapsed="false">
      <c r="A1670" s="0" t="s">
        <v>7590</v>
      </c>
      <c r="B1670" s="0" t="n">
        <v>78</v>
      </c>
      <c r="C1670" s="0" t="n">
        <v>445267</v>
      </c>
      <c r="D1670" s="0" t="s">
        <v>6164</v>
      </c>
      <c r="E1670" s="0" t="s">
        <v>438</v>
      </c>
      <c r="F1670" s="0" t="str">
        <f aca="false">CONCATENATE(D1670," ",LEFT(H1670,4),"T=",AU1670,"D=",AV1670,"R=",AW1670,"M=",AX1670,"L=",AY1670,"B=",AZ1670)</f>
        <v>RUSSO T=8D=0R=2M=0L=0B=0</v>
      </c>
      <c r="G1670" s="0" t="s">
        <v>365</v>
      </c>
      <c r="I1670" s="0" t="s">
        <v>7591</v>
      </c>
      <c r="J1670" s="0" t="s">
        <v>1644</v>
      </c>
      <c r="K1670" s="0" t="s">
        <v>175</v>
      </c>
      <c r="L1670" s="0"/>
      <c r="M1670" s="0" t="s">
        <v>7589</v>
      </c>
      <c r="N1670" s="0" t="str">
        <f aca="false">RIGHT(M1670,LEN(M1670)-FIND(" ",M1670))</f>
        <v>MAHONING AVE NW</v>
      </c>
      <c r="P1670" s="0" t="s">
        <v>146</v>
      </c>
      <c r="Q1670" s="0" t="s">
        <v>147</v>
      </c>
      <c r="R1670" s="0" t="n">
        <v>44483</v>
      </c>
      <c r="AD1670" s="0" t="s">
        <v>148</v>
      </c>
      <c r="AE1670" s="0" t="s">
        <v>149</v>
      </c>
      <c r="AF1670" s="0" t="s">
        <v>150</v>
      </c>
      <c r="AH1670" s="0" t="n">
        <v>14</v>
      </c>
      <c r="AI1670" s="0" t="n">
        <v>11</v>
      </c>
      <c r="AN1670" s="0" t="s">
        <v>146</v>
      </c>
      <c r="AO1670" s="0" t="s">
        <v>151</v>
      </c>
      <c r="AP1670" s="0" t="s">
        <v>152</v>
      </c>
      <c r="AQ1670" s="0" t="n">
        <v>9</v>
      </c>
      <c r="AR1670" s="0" t="n">
        <v>64</v>
      </c>
      <c r="AS1670" s="0" t="n">
        <v>32</v>
      </c>
      <c r="AU1670" s="0" t="n">
        <f aca="false">COUNTA($BA$1724:$EH$1724)</f>
        <v>8</v>
      </c>
      <c r="AV1670" s="0" t="n">
        <f aca="false">COUNTIF($BA$1724:$EH$1724,"D")</f>
        <v>0</v>
      </c>
      <c r="AW1670" s="0" t="n">
        <f aca="false">COUNTIF($BA$1724:$EH$1724,"R")</f>
        <v>2</v>
      </c>
      <c r="AX1670" s="0" t="n">
        <f aca="false"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>0</v>
      </c>
      <c r="AY1670" s="0" t="n">
        <f aca="false">COUNTIF(DU1670:EH1670, "&lt;&gt;")</f>
        <v>0</v>
      </c>
      <c r="AZ1670" s="0" t="n">
        <f aca="false">IF(EH1670&lt;&gt;"",1,0)</f>
        <v>0</v>
      </c>
      <c r="BB1670" s="0" t="s">
        <v>153</v>
      </c>
      <c r="CA1670" s="0" t="s">
        <v>154</v>
      </c>
      <c r="DM1670" s="0" t="s">
        <v>176</v>
      </c>
    </row>
    <row r="1671" customFormat="false" ht="13.8" hidden="false" customHeight="false" outlineLevel="0" collapsed="false">
      <c r="A1671" s="0" t="s">
        <v>7592</v>
      </c>
      <c r="B1671" s="0" t="n">
        <v>78</v>
      </c>
      <c r="C1671" s="0" t="n">
        <v>447479</v>
      </c>
      <c r="D1671" s="0" t="s">
        <v>7593</v>
      </c>
      <c r="E1671" s="0" t="s">
        <v>4085</v>
      </c>
      <c r="F1671" s="0" t="str">
        <f aca="false">CONCATENATE(D1671," ",LEFT(H1671,4),"T=",AU1671,"D=",AV1671,"R=",AW1671,"M=",AX1671,"L=",AY1671,"B=",AZ1671)</f>
        <v>POLIVKA T=1D=0R=0M=0L=5B=0</v>
      </c>
      <c r="I1671" s="0" t="s">
        <v>7594</v>
      </c>
      <c r="J1671" s="0" t="s">
        <v>7595</v>
      </c>
      <c r="K1671" s="0" t="s">
        <v>175</v>
      </c>
      <c r="L1671" s="1" t="s">
        <v>155</v>
      </c>
      <c r="M1671" s="0" t="s">
        <v>7596</v>
      </c>
      <c r="N1671" s="0" t="str">
        <f aca="false">RIGHT(M1671,LEN(M1671)-FIND(" ",M1671))</f>
        <v>MAHONING AVE NW</v>
      </c>
      <c r="O1671" s="0" t="s">
        <v>7597</v>
      </c>
      <c r="P1671" s="0" t="s">
        <v>146</v>
      </c>
      <c r="Q1671" s="0" t="s">
        <v>147</v>
      </c>
      <c r="R1671" s="0" t="n">
        <v>44483</v>
      </c>
      <c r="AD1671" s="0" t="s">
        <v>148</v>
      </c>
      <c r="AE1671" s="0" t="s">
        <v>149</v>
      </c>
      <c r="AF1671" s="0" t="s">
        <v>150</v>
      </c>
      <c r="AH1671" s="0" t="n">
        <v>14</v>
      </c>
      <c r="AI1671" s="0" t="n">
        <v>11</v>
      </c>
      <c r="AN1671" s="0" t="s">
        <v>146</v>
      </c>
      <c r="AO1671" s="0" t="s">
        <v>151</v>
      </c>
      <c r="AP1671" s="0" t="s">
        <v>152</v>
      </c>
      <c r="AQ1671" s="0" t="n">
        <v>9</v>
      </c>
      <c r="AR1671" s="0" t="n">
        <v>64</v>
      </c>
      <c r="AS1671" s="0" t="n">
        <v>32</v>
      </c>
      <c r="AU1671" s="0" t="n">
        <f aca="false">COUNTA($BA$1239:$EH$1239)</f>
        <v>1</v>
      </c>
      <c r="AV1671" s="0" t="n">
        <f aca="false">COUNTIF($BA$1239:$EH$1239,"D")</f>
        <v>0</v>
      </c>
      <c r="AW1671" s="0" t="n">
        <f aca="false">COUNTIF($BA$1239:$EH$1239,"R")</f>
        <v>0</v>
      </c>
      <c r="AX1671" s="0" t="n">
        <f aca="false"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>0</v>
      </c>
      <c r="AY1671" s="0" t="n">
        <f aca="false">COUNTIF(DU1671:EH1671, "&lt;&gt;")</f>
        <v>5</v>
      </c>
      <c r="AZ1671" s="0" t="n">
        <f aca="false">IF(EH1671&lt;&gt;"",1,0)</f>
        <v>0</v>
      </c>
      <c r="BB1671" s="0" t="s">
        <v>153</v>
      </c>
      <c r="BV1671" s="0" t="s">
        <v>154</v>
      </c>
      <c r="BY1671" s="0" t="s">
        <v>155</v>
      </c>
      <c r="CP1671" s="0" t="s">
        <v>154</v>
      </c>
      <c r="DN1671" s="0" t="s">
        <v>154</v>
      </c>
      <c r="DU1671" s="0" t="s">
        <v>154</v>
      </c>
      <c r="DX1671" s="0" t="s">
        <v>154</v>
      </c>
      <c r="EA1671" s="0" t="s">
        <v>154</v>
      </c>
      <c r="ED1671" s="0" t="s">
        <v>155</v>
      </c>
      <c r="EF1671" s="0" t="s">
        <v>154</v>
      </c>
    </row>
    <row r="1672" customFormat="false" ht="13.8" hidden="false" customHeight="false" outlineLevel="0" collapsed="false">
      <c r="A1672" s="0" t="s">
        <v>7598</v>
      </c>
      <c r="B1672" s="0" t="n">
        <v>78</v>
      </c>
      <c r="C1672" s="0" t="n">
        <v>212053</v>
      </c>
      <c r="D1672" s="0" t="s">
        <v>7599</v>
      </c>
      <c r="E1672" s="0" t="s">
        <v>2218</v>
      </c>
      <c r="F1672" s="0" t="str">
        <f aca="false">CONCATENATE(D1672," ",LEFT(H1672,4),"T=",AU1672,"D=",AV1672,"R=",AW1672,"M=",AX1672,"L=",AY1672,"B=",AZ1672)</f>
        <v>HEDLUND T=1D=0R=0M=5L=7B=1</v>
      </c>
      <c r="G1672" s="0" t="s">
        <v>172</v>
      </c>
      <c r="I1672" s="0" t="s">
        <v>7600</v>
      </c>
      <c r="J1672" s="0" t="s">
        <v>7601</v>
      </c>
      <c r="K1672" s="0" t="s">
        <v>175</v>
      </c>
      <c r="L1672" s="1" t="s">
        <v>155</v>
      </c>
      <c r="M1672" s="0" t="s">
        <v>7596</v>
      </c>
      <c r="N1672" s="0" t="str">
        <f aca="false">RIGHT(M1672,LEN(M1672)-FIND(" ",M1672))</f>
        <v>MAHONING AVE NW</v>
      </c>
      <c r="O1672" s="0" t="s">
        <v>408</v>
      </c>
      <c r="P1672" s="0" t="s">
        <v>146</v>
      </c>
      <c r="Q1672" s="0" t="s">
        <v>147</v>
      </c>
      <c r="R1672" s="0" t="n">
        <v>44483</v>
      </c>
      <c r="AD1672" s="0" t="s">
        <v>148</v>
      </c>
      <c r="AE1672" s="0" t="s">
        <v>149</v>
      </c>
      <c r="AF1672" s="0" t="s">
        <v>150</v>
      </c>
      <c r="AH1672" s="0" t="n">
        <v>14</v>
      </c>
      <c r="AI1672" s="0" t="n">
        <v>11</v>
      </c>
      <c r="AN1672" s="0" t="s">
        <v>146</v>
      </c>
      <c r="AO1672" s="0" t="s">
        <v>151</v>
      </c>
      <c r="AP1672" s="0" t="s">
        <v>152</v>
      </c>
      <c r="AQ1672" s="0" t="n">
        <v>9</v>
      </c>
      <c r="AR1672" s="0" t="n">
        <v>64</v>
      </c>
      <c r="AS1672" s="0" t="n">
        <v>32</v>
      </c>
      <c r="AU1672" s="0" t="n">
        <f aca="false">COUNTA($BA$1988:$EH$1988)</f>
        <v>1</v>
      </c>
      <c r="AV1672" s="0" t="n">
        <f aca="false">COUNTIF($BA$1988:$EH$1988,"D")</f>
        <v>0</v>
      </c>
      <c r="AW1672" s="0" t="n">
        <f aca="false">COUNTIF($BA$1988:$EH$1988,"R")</f>
        <v>0</v>
      </c>
      <c r="AX1672" s="0" t="n">
        <f aca="false"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>5</v>
      </c>
      <c r="AY1672" s="0" t="n">
        <f aca="false">COUNTIF(DU1672:EH1672, "&lt;&gt;")</f>
        <v>7</v>
      </c>
      <c r="AZ1672" s="0" t="n">
        <f aca="false">IF(EH1672&lt;&gt;"",1,0)</f>
        <v>1</v>
      </c>
      <c r="BB1672" s="0" t="s">
        <v>153</v>
      </c>
      <c r="BD1672" s="0" t="s">
        <v>154</v>
      </c>
      <c r="BG1672" s="0" t="s">
        <v>154</v>
      </c>
      <c r="BH1672" s="0" t="s">
        <v>154</v>
      </c>
      <c r="BI1672" s="0" t="s">
        <v>154</v>
      </c>
      <c r="BJ1672" s="0" t="s">
        <v>154</v>
      </c>
      <c r="BK1672" s="0" t="s">
        <v>154</v>
      </c>
      <c r="BL1672" s="0" t="s">
        <v>154</v>
      </c>
      <c r="BP1672" s="0" t="s">
        <v>154</v>
      </c>
      <c r="BS1672" s="0" t="s">
        <v>154</v>
      </c>
      <c r="BY1672" s="0" t="s">
        <v>155</v>
      </c>
      <c r="CA1672" s="0" t="s">
        <v>154</v>
      </c>
      <c r="CG1672" s="0" t="s">
        <v>154</v>
      </c>
      <c r="CH1672" s="0" t="s">
        <v>155</v>
      </c>
      <c r="CK1672" s="0" t="s">
        <v>154</v>
      </c>
      <c r="CL1672" s="0" t="s">
        <v>155</v>
      </c>
      <c r="CN1672" s="0" t="s">
        <v>154</v>
      </c>
      <c r="CO1672" s="0" t="s">
        <v>176</v>
      </c>
      <c r="CP1672" s="0" t="s">
        <v>154</v>
      </c>
      <c r="CT1672" s="0" t="s">
        <v>154</v>
      </c>
      <c r="CU1672" s="0" t="s">
        <v>155</v>
      </c>
      <c r="CV1672" s="0" t="s">
        <v>154</v>
      </c>
      <c r="CW1672" s="0" t="s">
        <v>155</v>
      </c>
      <c r="CY1672" s="0" t="s">
        <v>154</v>
      </c>
      <c r="CZ1672" s="0" t="s">
        <v>176</v>
      </c>
      <c r="DC1672" s="0" t="s">
        <v>154</v>
      </c>
      <c r="DF1672" s="0" t="s">
        <v>154</v>
      </c>
      <c r="DG1672" s="0" t="s">
        <v>176</v>
      </c>
      <c r="DI1672" s="0" t="s">
        <v>154</v>
      </c>
      <c r="DJ1672" s="0" t="s">
        <v>155</v>
      </c>
      <c r="DL1672" s="0" t="s">
        <v>154</v>
      </c>
      <c r="DN1672" s="0" t="s">
        <v>154</v>
      </c>
      <c r="DR1672" s="0" t="s">
        <v>154</v>
      </c>
      <c r="DS1672" s="0" t="s">
        <v>155</v>
      </c>
      <c r="DU1672" s="0" t="s">
        <v>154</v>
      </c>
      <c r="DW1672" s="0" t="s">
        <v>155</v>
      </c>
      <c r="DX1672" s="0" t="s">
        <v>154</v>
      </c>
      <c r="EA1672" s="0" t="s">
        <v>154</v>
      </c>
      <c r="ED1672" s="0" t="s">
        <v>155</v>
      </c>
      <c r="EF1672" s="0" t="s">
        <v>154</v>
      </c>
      <c r="EH1672" s="0" t="s">
        <v>155</v>
      </c>
    </row>
    <row r="1673" customFormat="false" ht="13.8" hidden="true" customHeight="false" outlineLevel="0" collapsed="false">
      <c r="A1673" s="0" t="s">
        <v>7602</v>
      </c>
      <c r="B1673" s="0" t="n">
        <v>78</v>
      </c>
      <c r="C1673" s="0" t="n">
        <v>423636</v>
      </c>
      <c r="D1673" s="0" t="s">
        <v>7603</v>
      </c>
      <c r="E1673" s="0" t="s">
        <v>2754</v>
      </c>
      <c r="F1673" s="0" t="str">
        <f aca="false">CONCATENATE(D1673," ",LEFT(H1673,4),"T=",AU1673,"D=",AV1673,"R=",AW1673,"M=",AX1673,"L=",AY1673,"B=",AZ1673)</f>
        <v>PAPPAS T=21D=1R=1M=0L=1B=0</v>
      </c>
      <c r="I1673" s="0" t="s">
        <v>7604</v>
      </c>
      <c r="J1673" s="0" t="s">
        <v>5824</v>
      </c>
      <c r="K1673" s="0" t="s">
        <v>175</v>
      </c>
      <c r="L1673" s="0"/>
      <c r="M1673" s="0" t="s">
        <v>7605</v>
      </c>
      <c r="N1673" s="0" t="str">
        <f aca="false">RIGHT(M1673,LEN(M1673)-FIND(" ",M1673))</f>
        <v>MAHONING AVE NW</v>
      </c>
      <c r="P1673" s="0" t="s">
        <v>146</v>
      </c>
      <c r="Q1673" s="0" t="s">
        <v>147</v>
      </c>
      <c r="R1673" s="0" t="n">
        <v>44483</v>
      </c>
      <c r="AD1673" s="0" t="s">
        <v>148</v>
      </c>
      <c r="AE1673" s="0" t="s">
        <v>149</v>
      </c>
      <c r="AF1673" s="0" t="s">
        <v>150</v>
      </c>
      <c r="AH1673" s="0" t="n">
        <v>14</v>
      </c>
      <c r="AI1673" s="0" t="n">
        <v>11</v>
      </c>
      <c r="AN1673" s="0" t="s">
        <v>146</v>
      </c>
      <c r="AO1673" s="0" t="s">
        <v>151</v>
      </c>
      <c r="AP1673" s="0" t="s">
        <v>152</v>
      </c>
      <c r="AQ1673" s="0" t="n">
        <v>9</v>
      </c>
      <c r="AR1673" s="0" t="n">
        <v>64</v>
      </c>
      <c r="AS1673" s="0" t="n">
        <v>32</v>
      </c>
      <c r="AU1673" s="0" t="n">
        <f aca="false">COUNTA($BA$1609:$EH$1609)</f>
        <v>21</v>
      </c>
      <c r="AV1673" s="0" t="n">
        <f aca="false">COUNTIF($BA$1609:$EH$1609,"D")</f>
        <v>1</v>
      </c>
      <c r="AW1673" s="0" t="n">
        <f aca="false">COUNTIF($BA$1609:$EH$1609,"R")</f>
        <v>1</v>
      </c>
      <c r="AX1673" s="0" t="n">
        <f aca="false"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>0</v>
      </c>
      <c r="AY1673" s="0" t="n">
        <f aca="false">COUNTIF(DU1673:EH1673, "&lt;&gt;")</f>
        <v>1</v>
      </c>
      <c r="AZ1673" s="0" t="n">
        <f aca="false">IF(EH1673&lt;&gt;"",1,0)</f>
        <v>0</v>
      </c>
      <c r="BB1673" s="0" t="s">
        <v>153</v>
      </c>
      <c r="BY1673" s="0" t="s">
        <v>155</v>
      </c>
      <c r="CA1673" s="0" t="s">
        <v>154</v>
      </c>
      <c r="CG1673" s="0" t="s">
        <v>154</v>
      </c>
      <c r="CN1673" s="0" t="s">
        <v>154</v>
      </c>
      <c r="CP1673" s="0" t="s">
        <v>154</v>
      </c>
      <c r="CZ1673" s="0" t="s">
        <v>176</v>
      </c>
      <c r="DC1673" s="0" t="s">
        <v>154</v>
      </c>
      <c r="EF1673" s="0" t="s">
        <v>154</v>
      </c>
    </row>
    <row r="1674" customFormat="false" ht="13.8" hidden="false" customHeight="false" outlineLevel="0" collapsed="false">
      <c r="A1674" s="0" t="s">
        <v>7606</v>
      </c>
      <c r="B1674" s="0" t="n">
        <v>78</v>
      </c>
      <c r="C1674" s="0" t="n">
        <v>165370</v>
      </c>
      <c r="D1674" s="0" t="s">
        <v>7607</v>
      </c>
      <c r="E1674" s="0" t="s">
        <v>2303</v>
      </c>
      <c r="F1674" s="0" t="str">
        <f aca="false">CONCATENATE(D1674," ",LEFT(H1674,4),"T=",AU1674,"D=",AV1674,"R=",AW1674,"M=",AX1674,"L=",AY1674,"B=",AZ1674)</f>
        <v>HERMAN T=7D=1R=0M=3L=7B=1</v>
      </c>
      <c r="G1674" s="0" t="s">
        <v>188</v>
      </c>
      <c r="I1674" s="0" t="s">
        <v>7608</v>
      </c>
      <c r="J1674" s="0" t="s">
        <v>7609</v>
      </c>
      <c r="K1674" s="0" t="s">
        <v>175</v>
      </c>
      <c r="L1674" s="1" t="s">
        <v>155</v>
      </c>
      <c r="M1674" s="0" t="s">
        <v>7610</v>
      </c>
      <c r="N1674" s="0" t="str">
        <f aca="false">RIGHT(M1674,LEN(M1674)-FIND(" ",M1674))</f>
        <v>MAHONING AVE NW</v>
      </c>
      <c r="P1674" s="0" t="s">
        <v>146</v>
      </c>
      <c r="Q1674" s="0" t="s">
        <v>147</v>
      </c>
      <c r="R1674" s="0" t="n">
        <v>44483</v>
      </c>
      <c r="AD1674" s="0" t="s">
        <v>148</v>
      </c>
      <c r="AE1674" s="0" t="s">
        <v>149</v>
      </c>
      <c r="AF1674" s="0" t="s">
        <v>150</v>
      </c>
      <c r="AH1674" s="0" t="n">
        <v>14</v>
      </c>
      <c r="AI1674" s="0" t="n">
        <v>11</v>
      </c>
      <c r="AN1674" s="0" t="s">
        <v>146</v>
      </c>
      <c r="AO1674" s="0" t="s">
        <v>151</v>
      </c>
      <c r="AP1674" s="0" t="s">
        <v>152</v>
      </c>
      <c r="AQ1674" s="0" t="n">
        <v>9</v>
      </c>
      <c r="AR1674" s="0" t="n">
        <v>64</v>
      </c>
      <c r="AS1674" s="0" t="n">
        <v>32</v>
      </c>
      <c r="AU1674" s="0" t="n">
        <f aca="false">COUNTA($BA$1247:$EH$1247)</f>
        <v>7</v>
      </c>
      <c r="AV1674" s="0" t="n">
        <f aca="false">COUNTIF($BA$1247:$EH$1247,"D")</f>
        <v>1</v>
      </c>
      <c r="AW1674" s="0" t="n">
        <f aca="false">COUNTIF($BA$1247:$EH$1247,"R")</f>
        <v>0</v>
      </c>
      <c r="AX1674" s="0" t="n">
        <f aca="false"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>3</v>
      </c>
      <c r="AY1674" s="0" t="n">
        <f aca="false">COUNTIF(DU1674:EH1674, "&lt;&gt;")</f>
        <v>7</v>
      </c>
      <c r="AZ1674" s="0" t="n">
        <f aca="false">IF(EH1674&lt;&gt;"",1,0)</f>
        <v>1</v>
      </c>
      <c r="BB1674" s="0" t="s">
        <v>153</v>
      </c>
      <c r="BC1674" s="0" t="s">
        <v>154</v>
      </c>
      <c r="BD1674" s="0" t="s">
        <v>154</v>
      </c>
      <c r="BG1674" s="0" t="s">
        <v>154</v>
      </c>
      <c r="BH1674" s="0" t="s">
        <v>154</v>
      </c>
      <c r="BK1674" s="0" t="s">
        <v>154</v>
      </c>
      <c r="BL1674" s="0" t="s">
        <v>154</v>
      </c>
      <c r="BP1674" s="0" t="s">
        <v>154</v>
      </c>
      <c r="BS1674" s="0" t="s">
        <v>154</v>
      </c>
      <c r="BY1674" s="0" t="s">
        <v>155</v>
      </c>
      <c r="CA1674" s="0" t="s">
        <v>154</v>
      </c>
      <c r="CK1674" s="0" t="s">
        <v>154</v>
      </c>
      <c r="CN1674" s="0" t="s">
        <v>154</v>
      </c>
      <c r="CO1674" s="0" t="s">
        <v>176</v>
      </c>
      <c r="CP1674" s="0" t="s">
        <v>154</v>
      </c>
      <c r="CT1674" s="0" t="s">
        <v>154</v>
      </c>
      <c r="CU1674" s="0" t="s">
        <v>155</v>
      </c>
      <c r="CV1674" s="0" t="s">
        <v>154</v>
      </c>
      <c r="CZ1674" s="0" t="s">
        <v>155</v>
      </c>
      <c r="DC1674" s="0" t="s">
        <v>154</v>
      </c>
      <c r="DI1674" s="0" t="s">
        <v>154</v>
      </c>
      <c r="DL1674" s="0" t="s">
        <v>154</v>
      </c>
      <c r="DN1674" s="0" t="s">
        <v>154</v>
      </c>
      <c r="DO1674" s="0" t="s">
        <v>155</v>
      </c>
      <c r="DR1674" s="0" t="s">
        <v>154</v>
      </c>
      <c r="DT1674" s="0" t="s">
        <v>155</v>
      </c>
      <c r="DU1674" s="0" t="s">
        <v>154</v>
      </c>
      <c r="DW1674" s="0" t="s">
        <v>155</v>
      </c>
      <c r="DX1674" s="0" t="s">
        <v>154</v>
      </c>
      <c r="EA1674" s="0" t="s">
        <v>154</v>
      </c>
      <c r="ED1674" s="0" t="s">
        <v>176</v>
      </c>
      <c r="EF1674" s="0" t="s">
        <v>154</v>
      </c>
      <c r="EH1674" s="0" t="s">
        <v>155</v>
      </c>
    </row>
    <row r="1675" customFormat="false" ht="13.8" hidden="false" customHeight="false" outlineLevel="0" collapsed="false">
      <c r="A1675" s="0" t="s">
        <v>7611</v>
      </c>
      <c r="B1675" s="0" t="n">
        <v>78</v>
      </c>
      <c r="C1675" s="0" t="n">
        <v>331873</v>
      </c>
      <c r="D1675" s="0" t="s">
        <v>7607</v>
      </c>
      <c r="E1675" s="0" t="s">
        <v>7612</v>
      </c>
      <c r="F1675" s="0" t="str">
        <f aca="false">CONCATENATE(D1675," ",LEFT(H1675,4),"T=",AU1675,"D=",AV1675,"R=",AW1675,"M=",AX1675,"L=",AY1675,"B=",AZ1675)</f>
        <v>HERMAN T=14D=1R=0M=3L=4B=1</v>
      </c>
      <c r="I1675" s="0" t="s">
        <v>7613</v>
      </c>
      <c r="J1675" s="0" t="s">
        <v>7614</v>
      </c>
      <c r="K1675" s="0" t="s">
        <v>175</v>
      </c>
      <c r="L1675" s="1" t="s">
        <v>155</v>
      </c>
      <c r="M1675" s="0" t="s">
        <v>7610</v>
      </c>
      <c r="N1675" s="0" t="str">
        <f aca="false">RIGHT(M1675,LEN(M1675)-FIND(" ",M1675))</f>
        <v>MAHONING AVE NW</v>
      </c>
      <c r="P1675" s="0" t="s">
        <v>146</v>
      </c>
      <c r="Q1675" s="0" t="s">
        <v>147</v>
      </c>
      <c r="R1675" s="0" t="n">
        <v>44483</v>
      </c>
      <c r="AD1675" s="0" t="s">
        <v>148</v>
      </c>
      <c r="AE1675" s="0" t="s">
        <v>149</v>
      </c>
      <c r="AF1675" s="0" t="s">
        <v>150</v>
      </c>
      <c r="AH1675" s="0" t="n">
        <v>14</v>
      </c>
      <c r="AI1675" s="0" t="n">
        <v>11</v>
      </c>
      <c r="AN1675" s="0" t="s">
        <v>146</v>
      </c>
      <c r="AO1675" s="0" t="s">
        <v>151</v>
      </c>
      <c r="AP1675" s="0" t="s">
        <v>152</v>
      </c>
      <c r="AQ1675" s="0" t="n">
        <v>9</v>
      </c>
      <c r="AR1675" s="0" t="n">
        <v>64</v>
      </c>
      <c r="AS1675" s="0" t="n">
        <v>32</v>
      </c>
      <c r="AU1675" s="0" t="n">
        <f aca="false">COUNTA($BA$1376:$EH$1376)</f>
        <v>14</v>
      </c>
      <c r="AV1675" s="0" t="n">
        <f aca="false">COUNTIF($BA$1376:$EH$1376,"D")</f>
        <v>1</v>
      </c>
      <c r="AW1675" s="0" t="n">
        <f aca="false">COUNTIF($BA$1376:$EH$1376,"R")</f>
        <v>0</v>
      </c>
      <c r="AX1675" s="0" t="n">
        <f aca="false"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>3</v>
      </c>
      <c r="AY1675" s="0" t="n">
        <f aca="false">COUNTIF(DU1675:EH1675, "&lt;&gt;")</f>
        <v>4</v>
      </c>
      <c r="AZ1675" s="0" t="n">
        <f aca="false">IF(EH1675&lt;&gt;"",1,0)</f>
        <v>1</v>
      </c>
      <c r="BB1675" s="0" t="s">
        <v>153</v>
      </c>
      <c r="BS1675" s="0" t="s">
        <v>154</v>
      </c>
      <c r="BY1675" s="0" t="s">
        <v>155</v>
      </c>
      <c r="CA1675" s="0" t="s">
        <v>154</v>
      </c>
      <c r="CK1675" s="0" t="s">
        <v>154</v>
      </c>
      <c r="CP1675" s="0" t="s">
        <v>154</v>
      </c>
      <c r="CV1675" s="0" t="s">
        <v>154</v>
      </c>
      <c r="CZ1675" s="0" t="s">
        <v>155</v>
      </c>
      <c r="DC1675" s="0" t="s">
        <v>154</v>
      </c>
      <c r="DI1675" s="0" t="s">
        <v>154</v>
      </c>
      <c r="DL1675" s="0" t="s">
        <v>154</v>
      </c>
      <c r="DN1675" s="0" t="s">
        <v>154</v>
      </c>
      <c r="DO1675" s="0" t="s">
        <v>155</v>
      </c>
      <c r="DR1675" s="0" t="s">
        <v>154</v>
      </c>
      <c r="DT1675" s="0" t="s">
        <v>155</v>
      </c>
      <c r="DU1675" s="0" t="s">
        <v>154</v>
      </c>
      <c r="DW1675" s="0" t="s">
        <v>155</v>
      </c>
      <c r="EF1675" s="0" t="s">
        <v>154</v>
      </c>
      <c r="EH1675" s="0" t="s">
        <v>155</v>
      </c>
    </row>
    <row r="1676" customFormat="false" ht="13.8" hidden="false" customHeight="false" outlineLevel="0" collapsed="false">
      <c r="A1676" s="0" t="s">
        <v>7615</v>
      </c>
      <c r="B1676" s="0" t="n">
        <v>78</v>
      </c>
      <c r="C1676" s="0" t="n">
        <v>440848</v>
      </c>
      <c r="D1676" s="0" t="s">
        <v>7607</v>
      </c>
      <c r="E1676" s="0" t="s">
        <v>7616</v>
      </c>
      <c r="F1676" s="0" t="str">
        <f aca="false">CONCATENATE(D1676," ",LEFT(H1676,4),"T=",AU1676,"D=",AV1676,"R=",AW1676,"M=",AX1676,"L=",AY1676,"B=",AZ1676)</f>
        <v>HERMAN T=31D=2R=2M=2L=3B=0</v>
      </c>
      <c r="G1676" s="0" t="s">
        <v>222</v>
      </c>
      <c r="I1676" s="0" t="s">
        <v>7617</v>
      </c>
      <c r="J1676" s="0" t="s">
        <v>7618</v>
      </c>
      <c r="K1676" s="0" t="s">
        <v>175</v>
      </c>
      <c r="L1676" s="1" t="s">
        <v>155</v>
      </c>
      <c r="M1676" s="0" t="s">
        <v>7610</v>
      </c>
      <c r="N1676" s="0" t="str">
        <f aca="false">RIGHT(M1676,LEN(M1676)-FIND(" ",M1676))</f>
        <v>MAHONING AVE NW</v>
      </c>
      <c r="P1676" s="0" t="s">
        <v>146</v>
      </c>
      <c r="Q1676" s="0" t="s">
        <v>147</v>
      </c>
      <c r="R1676" s="0" t="n">
        <v>44483</v>
      </c>
      <c r="AD1676" s="0" t="s">
        <v>148</v>
      </c>
      <c r="AE1676" s="0" t="s">
        <v>149</v>
      </c>
      <c r="AF1676" s="0" t="s">
        <v>150</v>
      </c>
      <c r="AH1676" s="0" t="n">
        <v>14</v>
      </c>
      <c r="AI1676" s="0" t="n">
        <v>11</v>
      </c>
      <c r="AN1676" s="0" t="s">
        <v>146</v>
      </c>
      <c r="AO1676" s="0" t="s">
        <v>151</v>
      </c>
      <c r="AP1676" s="0" t="s">
        <v>152</v>
      </c>
      <c r="AQ1676" s="0" t="n">
        <v>9</v>
      </c>
      <c r="AR1676" s="0" t="n">
        <v>64</v>
      </c>
      <c r="AS1676" s="0" t="n">
        <v>32</v>
      </c>
      <c r="AU1676" s="0" t="n">
        <f aca="false">COUNTA($BA$1406:$EH$1406)</f>
        <v>31</v>
      </c>
      <c r="AV1676" s="0" t="n">
        <f aca="false">COUNTIF($BA$1406:$EH$1406,"D")</f>
        <v>2</v>
      </c>
      <c r="AW1676" s="0" t="n">
        <f aca="false">COUNTIF($BA$1406:$EH$1406,"R")</f>
        <v>2</v>
      </c>
      <c r="AX1676" s="0" t="n">
        <f aca="false"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>2</v>
      </c>
      <c r="AY1676" s="0" t="n">
        <f aca="false">COUNTIF(DU1676:EH1676, "&lt;&gt;")</f>
        <v>3</v>
      </c>
      <c r="AZ1676" s="0" t="n">
        <f aca="false">IF(EH1676&lt;&gt;"",1,0)</f>
        <v>0</v>
      </c>
      <c r="BB1676" s="0" t="s">
        <v>153</v>
      </c>
      <c r="DN1676" s="0" t="s">
        <v>154</v>
      </c>
      <c r="DO1676" s="0" t="s">
        <v>155</v>
      </c>
      <c r="DR1676" s="0" t="s">
        <v>154</v>
      </c>
      <c r="DU1676" s="0" t="s">
        <v>154</v>
      </c>
      <c r="DW1676" s="0" t="s">
        <v>155</v>
      </c>
      <c r="EA1676" s="0" t="s">
        <v>154</v>
      </c>
    </row>
    <row r="1677" customFormat="false" ht="13.8" hidden="false" customHeight="false" outlineLevel="0" collapsed="false">
      <c r="A1677" s="0" t="s">
        <v>7619</v>
      </c>
      <c r="B1677" s="0" t="n">
        <v>78</v>
      </c>
      <c r="C1677" s="0" t="n">
        <v>409124</v>
      </c>
      <c r="D1677" s="0" t="s">
        <v>7607</v>
      </c>
      <c r="E1677" s="0" t="s">
        <v>2568</v>
      </c>
      <c r="F1677" s="0" t="str">
        <f aca="false">CONCATENATE(D1677," ",LEFT(H1677,4),"T=",AU1677,"D=",AV1677,"R=",AW1677,"M=",AX1677,"L=",AY1677,"B=",AZ1677)</f>
        <v>HERMAN T=2D=1R=0M=1L=2B=0</v>
      </c>
      <c r="G1677" s="0" t="s">
        <v>297</v>
      </c>
      <c r="I1677" s="0" t="s">
        <v>2278</v>
      </c>
      <c r="J1677" s="0" t="s">
        <v>3984</v>
      </c>
      <c r="K1677" s="0" t="s">
        <v>175</v>
      </c>
      <c r="M1677" s="0" t="s">
        <v>7610</v>
      </c>
      <c r="N1677" s="0" t="str">
        <f aca="false">RIGHT(M1677,LEN(M1677)-FIND(" ",M1677))</f>
        <v>MAHONING AVE NW</v>
      </c>
      <c r="P1677" s="0" t="s">
        <v>146</v>
      </c>
      <c r="Q1677" s="0" t="s">
        <v>147</v>
      </c>
      <c r="R1677" s="0" t="n">
        <v>44483</v>
      </c>
      <c r="AD1677" s="0" t="s">
        <v>148</v>
      </c>
      <c r="AE1677" s="0" t="s">
        <v>149</v>
      </c>
      <c r="AF1677" s="0" t="s">
        <v>150</v>
      </c>
      <c r="AH1677" s="0" t="n">
        <v>14</v>
      </c>
      <c r="AI1677" s="0" t="n">
        <v>11</v>
      </c>
      <c r="AN1677" s="0" t="s">
        <v>146</v>
      </c>
      <c r="AO1677" s="0" t="s">
        <v>151</v>
      </c>
      <c r="AP1677" s="0" t="s">
        <v>152</v>
      </c>
      <c r="AQ1677" s="0" t="n">
        <v>9</v>
      </c>
      <c r="AR1677" s="0" t="n">
        <v>64</v>
      </c>
      <c r="AS1677" s="0" t="n">
        <v>32</v>
      </c>
      <c r="AU1677" s="0" t="n">
        <f aca="false">COUNTA($BA$1761:$EH$1761)</f>
        <v>2</v>
      </c>
      <c r="AV1677" s="0" t="n">
        <f aca="false">COUNTIF($BA$1761:$EH$1761,"D")</f>
        <v>1</v>
      </c>
      <c r="AW1677" s="0" t="n">
        <f aca="false">COUNTIF($BA$1761:$EH$1761,"R")</f>
        <v>0</v>
      </c>
      <c r="AX1677" s="0" t="n">
        <f aca="false"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>1</v>
      </c>
      <c r="AY1677" s="0" t="n">
        <f aca="false">COUNTIF(DU1677:EH1677, "&lt;&gt;")</f>
        <v>2</v>
      </c>
      <c r="AZ1677" s="0" t="n">
        <f aca="false">IF(EH1677&lt;&gt;"",1,0)</f>
        <v>0</v>
      </c>
      <c r="BB1677" s="0" t="s">
        <v>153</v>
      </c>
      <c r="CZ1677" s="0" t="s">
        <v>155</v>
      </c>
      <c r="DC1677" s="0" t="s">
        <v>154</v>
      </c>
      <c r="DN1677" s="0" t="s">
        <v>154</v>
      </c>
      <c r="DO1677" s="0" t="s">
        <v>155</v>
      </c>
      <c r="DR1677" s="0" t="s">
        <v>154</v>
      </c>
      <c r="DX1677" s="0" t="s">
        <v>154</v>
      </c>
      <c r="EA1677" s="0" t="s">
        <v>154</v>
      </c>
    </row>
    <row r="1678" customFormat="false" ht="13.8" hidden="false" customHeight="false" outlineLevel="0" collapsed="false">
      <c r="A1678" s="0" t="s">
        <v>7620</v>
      </c>
      <c r="B1678" s="0" t="n">
        <v>78</v>
      </c>
      <c r="C1678" s="0" t="n">
        <v>457559</v>
      </c>
      <c r="D1678" s="0" t="s">
        <v>7607</v>
      </c>
      <c r="E1678" s="0" t="s">
        <v>1373</v>
      </c>
      <c r="F1678" s="0" t="str">
        <f aca="false">CONCATENATE(D1678," ",LEFT(H1678,4),"T=",AU1678,"D=",AV1678,"R=",AW1678,"M=",AX1678,"L=",AY1678,"B=",AZ1678)</f>
        <v>HERMAN T=26D=3R=0M=3L=4B=1</v>
      </c>
      <c r="G1678" s="0" t="s">
        <v>297</v>
      </c>
      <c r="I1678" s="0" t="s">
        <v>7621</v>
      </c>
      <c r="J1678" s="0" t="s">
        <v>7622</v>
      </c>
      <c r="K1678" s="0" t="s">
        <v>175</v>
      </c>
      <c r="L1678" s="1" t="s">
        <v>155</v>
      </c>
      <c r="M1678" s="0" t="s">
        <v>7610</v>
      </c>
      <c r="N1678" s="0" t="str">
        <f aca="false">RIGHT(M1678,LEN(M1678)-FIND(" ",M1678))</f>
        <v>MAHONING AVE NW</v>
      </c>
      <c r="P1678" s="0" t="s">
        <v>146</v>
      </c>
      <c r="Q1678" s="0" t="s">
        <v>147</v>
      </c>
      <c r="R1678" s="0" t="n">
        <v>44483</v>
      </c>
      <c r="AD1678" s="0" t="s">
        <v>148</v>
      </c>
      <c r="AE1678" s="0" t="s">
        <v>149</v>
      </c>
      <c r="AF1678" s="0" t="s">
        <v>150</v>
      </c>
      <c r="AH1678" s="0" t="n">
        <v>14</v>
      </c>
      <c r="AI1678" s="0" t="n">
        <v>11</v>
      </c>
      <c r="AN1678" s="0" t="s">
        <v>146</v>
      </c>
      <c r="AO1678" s="0" t="s">
        <v>151</v>
      </c>
      <c r="AP1678" s="0" t="s">
        <v>152</v>
      </c>
      <c r="AQ1678" s="0" t="n">
        <v>9</v>
      </c>
      <c r="AR1678" s="0" t="n">
        <v>64</v>
      </c>
      <c r="AS1678" s="0" t="n">
        <v>32</v>
      </c>
      <c r="AU1678" s="0" t="n">
        <f aca="false">COUNTA($BA$1799:$EH$1799)</f>
        <v>26</v>
      </c>
      <c r="AV1678" s="0" t="n">
        <f aca="false">COUNTIF($BA$1799:$EH$1799,"D")</f>
        <v>3</v>
      </c>
      <c r="AW1678" s="0" t="n">
        <f aca="false">COUNTIF($BA$1799:$EH$1799,"R")</f>
        <v>0</v>
      </c>
      <c r="AX1678" s="0" t="n">
        <f aca="false"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>3</v>
      </c>
      <c r="AY1678" s="0" t="n">
        <f aca="false">COUNTIF(DU1678:EH1678, "&lt;&gt;")</f>
        <v>4</v>
      </c>
      <c r="AZ1678" s="0" t="n">
        <f aca="false">IF(EH1678&lt;&gt;"",1,0)</f>
        <v>1</v>
      </c>
      <c r="BB1678" s="0" t="s">
        <v>153</v>
      </c>
      <c r="DO1678" s="0" t="s">
        <v>155</v>
      </c>
      <c r="DW1678" s="0" t="s">
        <v>155</v>
      </c>
      <c r="EA1678" s="0" t="s">
        <v>154</v>
      </c>
      <c r="EF1678" s="0" t="s">
        <v>154</v>
      </c>
      <c r="EH1678" s="0" t="s">
        <v>155</v>
      </c>
    </row>
    <row r="1679" customFormat="false" ht="13.8" hidden="false" customHeight="false" outlineLevel="0" collapsed="false">
      <c r="A1679" s="0" t="s">
        <v>7623</v>
      </c>
      <c r="B1679" s="0" t="n">
        <v>78</v>
      </c>
      <c r="C1679" s="0" t="n">
        <v>237432</v>
      </c>
      <c r="D1679" s="0" t="s">
        <v>6931</v>
      </c>
      <c r="E1679" s="0" t="s">
        <v>694</v>
      </c>
      <c r="F1679" s="0" t="str">
        <f aca="false">CONCATENATE(D1679," ",LEFT(H1679,4),"T=",AU1679,"D=",AV1679,"R=",AW1679,"M=",AX1679,"L=",AY1679,"B=",AZ1679)</f>
        <v>COOK T=28D=6R=0M=0L=5B=0</v>
      </c>
      <c r="G1679" s="0" t="s">
        <v>496</v>
      </c>
      <c r="I1679" s="0" t="s">
        <v>7624</v>
      </c>
      <c r="J1679" s="0" t="s">
        <v>7625</v>
      </c>
      <c r="K1679" s="0" t="s">
        <v>175</v>
      </c>
      <c r="L1679" s="1" t="s">
        <v>155</v>
      </c>
      <c r="M1679" s="0" t="s">
        <v>7626</v>
      </c>
      <c r="N1679" s="0" t="str">
        <f aca="false">RIGHT(M1679,LEN(M1679)-FIND(" ",M1679))</f>
        <v>MAHONING AVE NW</v>
      </c>
      <c r="P1679" s="0" t="s">
        <v>146</v>
      </c>
      <c r="Q1679" s="0" t="s">
        <v>147</v>
      </c>
      <c r="R1679" s="0" t="n">
        <v>44483</v>
      </c>
      <c r="AD1679" s="0" t="s">
        <v>148</v>
      </c>
      <c r="AE1679" s="0" t="s">
        <v>149</v>
      </c>
      <c r="AF1679" s="0" t="s">
        <v>150</v>
      </c>
      <c r="AH1679" s="0" t="n">
        <v>14</v>
      </c>
      <c r="AI1679" s="0" t="n">
        <v>11</v>
      </c>
      <c r="AN1679" s="0" t="s">
        <v>146</v>
      </c>
      <c r="AO1679" s="0" t="s">
        <v>151</v>
      </c>
      <c r="AP1679" s="0" t="s">
        <v>152</v>
      </c>
      <c r="AQ1679" s="0" t="n">
        <v>9</v>
      </c>
      <c r="AR1679" s="0" t="n">
        <v>64</v>
      </c>
      <c r="AS1679" s="0" t="n">
        <v>32</v>
      </c>
      <c r="AU1679" s="0" t="n">
        <f aca="false">COUNTA($BA$1205:$EH$1205)</f>
        <v>28</v>
      </c>
      <c r="AV1679" s="0" t="n">
        <f aca="false">COUNTIF($BA$1205:$EH$1205,"D")</f>
        <v>6</v>
      </c>
      <c r="AW1679" s="0" t="n">
        <f aca="false">COUNTIF($BA$1205:$EH$1205,"R")</f>
        <v>0</v>
      </c>
      <c r="AX1679" s="0" t="n">
        <f aca="false"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>0</v>
      </c>
      <c r="AY1679" s="0" t="n">
        <f aca="false">COUNTIF(DU1679:EH1679, "&lt;&gt;")</f>
        <v>5</v>
      </c>
      <c r="AZ1679" s="0" t="n">
        <f aca="false">IF(EH1679&lt;&gt;"",1,0)</f>
        <v>0</v>
      </c>
      <c r="BB1679" s="0" t="s">
        <v>153</v>
      </c>
      <c r="BC1679" s="0" t="s">
        <v>154</v>
      </c>
      <c r="BD1679" s="0" t="s">
        <v>154</v>
      </c>
      <c r="BE1679" s="0" t="s">
        <v>154</v>
      </c>
      <c r="BH1679" s="0" t="s">
        <v>154</v>
      </c>
      <c r="BI1679" s="0" t="s">
        <v>154</v>
      </c>
      <c r="BJ1679" s="0" t="s">
        <v>154</v>
      </c>
      <c r="BK1679" s="0" t="s">
        <v>154</v>
      </c>
      <c r="BL1679" s="0" t="s">
        <v>154</v>
      </c>
      <c r="BP1679" s="0" t="s">
        <v>154</v>
      </c>
      <c r="BR1679" s="0" t="s">
        <v>154</v>
      </c>
      <c r="BS1679" s="0" t="s">
        <v>154</v>
      </c>
      <c r="BY1679" s="0" t="s">
        <v>155</v>
      </c>
      <c r="CA1679" s="0" t="s">
        <v>154</v>
      </c>
      <c r="CN1679" s="0" t="s">
        <v>154</v>
      </c>
      <c r="CO1679" s="0" t="s">
        <v>155</v>
      </c>
      <c r="CP1679" s="0" t="s">
        <v>154</v>
      </c>
      <c r="CY1679" s="0" t="s">
        <v>154</v>
      </c>
      <c r="CZ1679" s="0" t="s">
        <v>155</v>
      </c>
      <c r="DC1679" s="0" t="s">
        <v>154</v>
      </c>
      <c r="DF1679" s="0" t="s">
        <v>154</v>
      </c>
      <c r="DI1679" s="0" t="s">
        <v>154</v>
      </c>
      <c r="DM1679" s="0" t="s">
        <v>155</v>
      </c>
      <c r="DN1679" s="0" t="s">
        <v>154</v>
      </c>
      <c r="DS1679" s="0" t="s">
        <v>155</v>
      </c>
      <c r="DU1679" s="0" t="s">
        <v>154</v>
      </c>
      <c r="DX1679" s="0" t="s">
        <v>154</v>
      </c>
      <c r="EA1679" s="0" t="s">
        <v>154</v>
      </c>
      <c r="ED1679" s="0" t="s">
        <v>155</v>
      </c>
      <c r="EF1679" s="0" t="s">
        <v>154</v>
      </c>
    </row>
    <row r="1680" customFormat="false" ht="13.8" hidden="true" customHeight="false" outlineLevel="0" collapsed="false">
      <c r="A1680" s="0" t="s">
        <v>7627</v>
      </c>
      <c r="B1680" s="0" t="n">
        <v>78</v>
      </c>
      <c r="C1680" s="0" t="n">
        <v>438480</v>
      </c>
      <c r="D1680" s="0" t="s">
        <v>1582</v>
      </c>
      <c r="E1680" s="0" t="s">
        <v>3061</v>
      </c>
      <c r="F1680" s="0" t="str">
        <f aca="false">CONCATENATE(D1680," ",LEFT(H1680,4),"T=",AU1680,"D=",AV1680,"R=",AW1680,"M=",AX1680,"L=",AY1680,"B=",AZ1680)</f>
        <v>SMITH T=20D=5R=4M=0L=0B=0</v>
      </c>
      <c r="G1680" s="0" t="s">
        <v>165</v>
      </c>
      <c r="I1680" s="0" t="s">
        <v>7628</v>
      </c>
      <c r="J1680" s="0" t="s">
        <v>3526</v>
      </c>
      <c r="K1680" s="0" t="s">
        <v>144</v>
      </c>
      <c r="L1680" s="0"/>
      <c r="M1680" s="0" t="s">
        <v>7629</v>
      </c>
      <c r="N1680" s="0" t="str">
        <f aca="false">RIGHT(M1680,LEN(M1680)-FIND(" ",M1680))</f>
        <v>MAHONING AVE NW</v>
      </c>
      <c r="P1680" s="0" t="s">
        <v>146</v>
      </c>
      <c r="Q1680" s="0" t="s">
        <v>147</v>
      </c>
      <c r="R1680" s="0" t="n">
        <v>44483</v>
      </c>
      <c r="AD1680" s="0" t="s">
        <v>148</v>
      </c>
      <c r="AE1680" s="0" t="s">
        <v>149</v>
      </c>
      <c r="AF1680" s="0" t="s">
        <v>150</v>
      </c>
      <c r="AH1680" s="0" t="n">
        <v>14</v>
      </c>
      <c r="AI1680" s="0" t="n">
        <v>11</v>
      </c>
      <c r="AN1680" s="0" t="s">
        <v>146</v>
      </c>
      <c r="AO1680" s="0" t="s">
        <v>151</v>
      </c>
      <c r="AP1680" s="0" t="s">
        <v>152</v>
      </c>
      <c r="AQ1680" s="0" t="n">
        <v>9</v>
      </c>
      <c r="AR1680" s="0" t="n">
        <v>64</v>
      </c>
      <c r="AS1680" s="0" t="n">
        <v>32</v>
      </c>
      <c r="AU1680" s="0" t="n">
        <f aca="false">COUNTA($BA$1485:$EH$1485)</f>
        <v>20</v>
      </c>
      <c r="AV1680" s="0" t="n">
        <f aca="false">COUNTIF($BA$1485:$EH$1485,"D")</f>
        <v>5</v>
      </c>
      <c r="AW1680" s="0" t="n">
        <f aca="false">COUNTIF($BA$1485:$EH$1485,"R")</f>
        <v>4</v>
      </c>
      <c r="AX1680" s="0" t="n">
        <f aca="false"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>0</v>
      </c>
      <c r="AY1680" s="0" t="n">
        <f aca="false">COUNTIF(DU1680:EH1680, "&lt;&gt;")</f>
        <v>0</v>
      </c>
      <c r="AZ1680" s="0" t="n">
        <f aca="false">IF(EH1680&lt;&gt;"",1,0)</f>
        <v>0</v>
      </c>
      <c r="BB1680" s="0" t="s">
        <v>153</v>
      </c>
      <c r="DL1680" s="0" t="s">
        <v>154</v>
      </c>
      <c r="DM1680" s="0" t="s">
        <v>155</v>
      </c>
      <c r="DN1680" s="0" t="s">
        <v>154</v>
      </c>
    </row>
    <row r="1681" customFormat="false" ht="13.8" hidden="false" customHeight="false" outlineLevel="0" collapsed="false">
      <c r="A1681" s="0" t="s">
        <v>7630</v>
      </c>
      <c r="B1681" s="0" t="n">
        <v>78</v>
      </c>
      <c r="C1681" s="0" t="n">
        <v>251273</v>
      </c>
      <c r="D1681" s="0" t="s">
        <v>7631</v>
      </c>
      <c r="E1681" s="0" t="s">
        <v>2292</v>
      </c>
      <c r="F1681" s="0" t="str">
        <f aca="false">CONCATENATE(D1681," ",LEFT(H1681,4),"T=",AU1681,"D=",AV1681,"R=",AW1681,"M=",AX1681,"L=",AY1681,"B=",AZ1681)</f>
        <v>BOOK T=40D=0R=9M=2L=4B=1</v>
      </c>
      <c r="G1681" s="0" t="s">
        <v>2311</v>
      </c>
      <c r="I1681" s="0" t="s">
        <v>7632</v>
      </c>
      <c r="J1681" s="0" t="s">
        <v>7633</v>
      </c>
      <c r="K1681" s="0" t="s">
        <v>175</v>
      </c>
      <c r="L1681" s="1" t="s">
        <v>155</v>
      </c>
      <c r="M1681" s="0" t="s">
        <v>7634</v>
      </c>
      <c r="N1681" s="0" t="str">
        <f aca="false">RIGHT(M1681,LEN(M1681)-FIND(" ",M1681))</f>
        <v>MAHONING AVE NW</v>
      </c>
      <c r="P1681" s="0" t="s">
        <v>146</v>
      </c>
      <c r="Q1681" s="0" t="s">
        <v>147</v>
      </c>
      <c r="R1681" s="0" t="n">
        <v>44483</v>
      </c>
      <c r="AD1681" s="0" t="s">
        <v>148</v>
      </c>
      <c r="AE1681" s="0" t="s">
        <v>149</v>
      </c>
      <c r="AF1681" s="0" t="s">
        <v>150</v>
      </c>
      <c r="AH1681" s="0" t="n">
        <v>14</v>
      </c>
      <c r="AI1681" s="0" t="n">
        <v>11</v>
      </c>
      <c r="AN1681" s="0" t="s">
        <v>146</v>
      </c>
      <c r="AO1681" s="0" t="s">
        <v>151</v>
      </c>
      <c r="AP1681" s="0" t="s">
        <v>152</v>
      </c>
      <c r="AQ1681" s="0" t="n">
        <v>9</v>
      </c>
      <c r="AR1681" s="0" t="n">
        <v>64</v>
      </c>
      <c r="AS1681" s="0" t="n">
        <v>32</v>
      </c>
      <c r="AU1681" s="0" t="n">
        <f aca="false">COUNTA($BA$2060:$EH$2060)</f>
        <v>40</v>
      </c>
      <c r="AV1681" s="0" t="n">
        <f aca="false">COUNTIF($BA$2060:$EH$2060,"D")</f>
        <v>0</v>
      </c>
      <c r="AW1681" s="0" t="n">
        <f aca="false">COUNTIF($BA$2060:$EH$2060,"R")</f>
        <v>9</v>
      </c>
      <c r="AX1681" s="0" t="n">
        <f aca="false"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>2</v>
      </c>
      <c r="AY1681" s="0" t="n">
        <f aca="false">COUNTIF(DU1681:EH1681, "&lt;&gt;")</f>
        <v>4</v>
      </c>
      <c r="AZ1681" s="0" t="n">
        <f aca="false">IF(EH1681&lt;&gt;"",1,0)</f>
        <v>1</v>
      </c>
      <c r="BB1681" s="0" t="s">
        <v>153</v>
      </c>
      <c r="BD1681" s="0" t="s">
        <v>154</v>
      </c>
      <c r="BL1681" s="0" t="s">
        <v>154</v>
      </c>
      <c r="BS1681" s="0" t="s">
        <v>154</v>
      </c>
      <c r="BY1681" s="0" t="s">
        <v>155</v>
      </c>
      <c r="CA1681" s="0" t="s">
        <v>154</v>
      </c>
      <c r="CO1681" s="0" t="s">
        <v>155</v>
      </c>
      <c r="CP1681" s="0" t="s">
        <v>154</v>
      </c>
      <c r="CW1681" s="0" t="s">
        <v>155</v>
      </c>
      <c r="CY1681" s="0" t="s">
        <v>154</v>
      </c>
      <c r="DC1681" s="0" t="s">
        <v>154</v>
      </c>
      <c r="DI1681" s="0" t="s">
        <v>154</v>
      </c>
      <c r="DL1681" s="0" t="s">
        <v>154</v>
      </c>
      <c r="DM1681" s="0" t="s">
        <v>155</v>
      </c>
      <c r="DN1681" s="0" t="s">
        <v>154</v>
      </c>
      <c r="DT1681" s="0" t="s">
        <v>155</v>
      </c>
      <c r="DU1681" s="0" t="s">
        <v>154</v>
      </c>
      <c r="EA1681" s="0" t="s">
        <v>154</v>
      </c>
      <c r="EF1681" s="0" t="s">
        <v>154</v>
      </c>
      <c r="EH1681" s="0" t="s">
        <v>155</v>
      </c>
    </row>
    <row r="1682" customFormat="false" ht="13.8" hidden="true" customHeight="false" outlineLevel="0" collapsed="false">
      <c r="A1682" s="0" t="s">
        <v>7635</v>
      </c>
      <c r="B1682" s="0" t="n">
        <v>78</v>
      </c>
      <c r="C1682" s="0" t="n">
        <v>322491</v>
      </c>
      <c r="D1682" s="0" t="s">
        <v>194</v>
      </c>
      <c r="E1682" s="0" t="s">
        <v>2293</v>
      </c>
      <c r="F1682" s="0" t="str">
        <f aca="false">CONCATENATE(D1682," ",LEFT(H1682,4),"T=",AU1682,"D=",AV1682,"R=",AW1682,"M=",AX1682,"L=",AY1682,"B=",AZ1682)</f>
        <v>JORDAN T=11D=0R=0M=0L=0B=0</v>
      </c>
      <c r="G1682" s="0" t="s">
        <v>297</v>
      </c>
      <c r="I1682" s="0" t="s">
        <v>7636</v>
      </c>
      <c r="J1682" s="0" t="s">
        <v>7637</v>
      </c>
      <c r="K1682" s="0" t="s">
        <v>144</v>
      </c>
      <c r="L1682" s="0"/>
      <c r="M1682" s="0" t="s">
        <v>7638</v>
      </c>
      <c r="N1682" s="0" t="str">
        <f aca="false">RIGHT(M1682,LEN(M1682)-FIND(" ",M1682))</f>
        <v>MAHONING AVE NW</v>
      </c>
      <c r="P1682" s="0" t="s">
        <v>146</v>
      </c>
      <c r="Q1682" s="0" t="s">
        <v>147</v>
      </c>
      <c r="R1682" s="0" t="n">
        <v>44483</v>
      </c>
      <c r="AD1682" s="0" t="s">
        <v>148</v>
      </c>
      <c r="AE1682" s="0" t="s">
        <v>149</v>
      </c>
      <c r="AF1682" s="0" t="s">
        <v>150</v>
      </c>
      <c r="AH1682" s="0" t="n">
        <v>14</v>
      </c>
      <c r="AI1682" s="0" t="n">
        <v>11</v>
      </c>
      <c r="AN1682" s="0" t="s">
        <v>146</v>
      </c>
      <c r="AO1682" s="0" t="s">
        <v>151</v>
      </c>
      <c r="AP1682" s="0" t="s">
        <v>152</v>
      </c>
      <c r="AQ1682" s="0" t="n">
        <v>9</v>
      </c>
      <c r="AR1682" s="0" t="n">
        <v>64</v>
      </c>
      <c r="AS1682" s="0" t="n">
        <v>32</v>
      </c>
      <c r="AU1682" s="0" t="n">
        <f aca="false">COUNTA($BA$1835:$EH$1835)</f>
        <v>11</v>
      </c>
      <c r="AV1682" s="0" t="n">
        <f aca="false">COUNTIF($BA$1835:$EH$1835,"D")</f>
        <v>0</v>
      </c>
      <c r="AW1682" s="0" t="n">
        <f aca="false">COUNTIF($BA$1835:$EH$1835,"R")</f>
        <v>0</v>
      </c>
      <c r="AX1682" s="0" t="n">
        <f aca="false"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>0</v>
      </c>
      <c r="AY1682" s="0" t="n">
        <f aca="false">COUNTIF(DU1682:EH1682, "&lt;&gt;")</f>
        <v>0</v>
      </c>
      <c r="AZ1682" s="0" t="n">
        <f aca="false">IF(EH1682&lt;&gt;"",1,0)</f>
        <v>0</v>
      </c>
      <c r="BB1682" s="0" t="s">
        <v>153</v>
      </c>
      <c r="BS1682" s="0" t="s">
        <v>154</v>
      </c>
      <c r="BY1682" s="0" t="s">
        <v>155</v>
      </c>
    </row>
    <row r="1683" customFormat="false" ht="13.8" hidden="true" customHeight="false" outlineLevel="0" collapsed="false">
      <c r="A1683" s="0" t="s">
        <v>7639</v>
      </c>
      <c r="B1683" s="0" t="n">
        <v>78</v>
      </c>
      <c r="C1683" s="0" t="n">
        <v>319624</v>
      </c>
      <c r="D1683" s="0" t="s">
        <v>7640</v>
      </c>
      <c r="E1683" s="0" t="s">
        <v>652</v>
      </c>
      <c r="F1683" s="0" t="str">
        <f aca="false">CONCATENATE(D1683," ",LEFT(H1683,4),"T=",AU1683,"D=",AV1683,"R=",AW1683,"M=",AX1683,"L=",AY1683,"B=",AZ1683)</f>
        <v>MCCARTY T=1D=0R=0M=0L=0B=0</v>
      </c>
      <c r="G1683" s="0" t="s">
        <v>172</v>
      </c>
      <c r="I1683" s="0" t="s">
        <v>7641</v>
      </c>
      <c r="J1683" s="0" t="s">
        <v>7642</v>
      </c>
      <c r="K1683" s="0" t="s">
        <v>144</v>
      </c>
      <c r="L1683" s="0"/>
      <c r="M1683" s="0" t="s">
        <v>7643</v>
      </c>
      <c r="N1683" s="0" t="str">
        <f aca="false">RIGHT(M1683,LEN(M1683)-FIND(" ",M1683))</f>
        <v>MARTHA ST NE</v>
      </c>
      <c r="P1683" s="0" t="s">
        <v>146</v>
      </c>
      <c r="Q1683" s="0" t="s">
        <v>147</v>
      </c>
      <c r="R1683" s="0" t="n">
        <v>44483</v>
      </c>
      <c r="AD1683" s="0" t="s">
        <v>148</v>
      </c>
      <c r="AE1683" s="0" t="s">
        <v>149</v>
      </c>
      <c r="AF1683" s="0" t="s">
        <v>150</v>
      </c>
      <c r="AH1683" s="0" t="n">
        <v>14</v>
      </c>
      <c r="AI1683" s="0" t="n">
        <v>11</v>
      </c>
      <c r="AN1683" s="0" t="s">
        <v>146</v>
      </c>
      <c r="AO1683" s="0" t="s">
        <v>236</v>
      </c>
      <c r="AP1683" s="0" t="s">
        <v>237</v>
      </c>
      <c r="AQ1683" s="0" t="n">
        <v>9</v>
      </c>
      <c r="AR1683" s="0" t="n">
        <v>64</v>
      </c>
      <c r="AS1683" s="0" t="n">
        <v>32</v>
      </c>
      <c r="AU1683" s="0" t="n">
        <f aca="false">COUNTA($BA$677:$EH$677)</f>
        <v>1</v>
      </c>
      <c r="AV1683" s="0" t="n">
        <f aca="false">COUNTIF($BA$677:$EH$677,"D")</f>
        <v>0</v>
      </c>
      <c r="AW1683" s="0" t="n">
        <f aca="false">COUNTIF($BA$677:$EH$677,"R")</f>
        <v>0</v>
      </c>
      <c r="AX1683" s="0" t="n">
        <f aca="false"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>0</v>
      </c>
      <c r="AY1683" s="0" t="n">
        <f aca="false">COUNTIF(DU1683:EH1683, "&lt;&gt;")</f>
        <v>0</v>
      </c>
      <c r="AZ1683" s="0" t="n">
        <f aca="false">IF(EH1683&lt;&gt;"",1,0)</f>
        <v>0</v>
      </c>
      <c r="BB1683" s="0" t="s">
        <v>153</v>
      </c>
      <c r="BL1683" s="0" t="s">
        <v>154</v>
      </c>
      <c r="CY1683" s="0" t="s">
        <v>154</v>
      </c>
      <c r="DC1683" s="0" t="s">
        <v>154</v>
      </c>
    </row>
    <row r="1684" customFormat="false" ht="13.8" hidden="false" customHeight="false" outlineLevel="0" collapsed="false">
      <c r="A1684" s="0" t="s">
        <v>7644</v>
      </c>
      <c r="B1684" s="0" t="n">
        <v>78</v>
      </c>
      <c r="C1684" s="0" t="n">
        <v>434118</v>
      </c>
      <c r="D1684" s="0" t="s">
        <v>7640</v>
      </c>
      <c r="E1684" s="0" t="s">
        <v>292</v>
      </c>
      <c r="F1684" s="0" t="str">
        <f aca="false">CONCATENATE(D1684," ",LEFT(H1684,4),"T=",AU1684,"D=",AV1684,"R=",AW1684,"M=",AX1684,"L=",AY1684,"B=",AZ1684)</f>
        <v>MCCARTY T=24D=3R=0M=0L=4B=0</v>
      </c>
      <c r="G1684" s="0" t="s">
        <v>202</v>
      </c>
      <c r="I1684" s="0" t="s">
        <v>7645</v>
      </c>
      <c r="J1684" s="0" t="s">
        <v>7646</v>
      </c>
      <c r="K1684" s="0" t="s">
        <v>175</v>
      </c>
      <c r="L1684" s="1" t="s">
        <v>155</v>
      </c>
      <c r="M1684" s="0" t="s">
        <v>7643</v>
      </c>
      <c r="N1684" s="0" t="str">
        <f aca="false">RIGHT(M1684,LEN(M1684)-FIND(" ",M1684))</f>
        <v>MARTHA ST NE</v>
      </c>
      <c r="P1684" s="0" t="s">
        <v>146</v>
      </c>
      <c r="Q1684" s="0" t="s">
        <v>147</v>
      </c>
      <c r="R1684" s="0" t="n">
        <v>44483</v>
      </c>
      <c r="AD1684" s="0" t="s">
        <v>148</v>
      </c>
      <c r="AE1684" s="0" t="s">
        <v>149</v>
      </c>
      <c r="AF1684" s="0" t="s">
        <v>150</v>
      </c>
      <c r="AH1684" s="0" t="n">
        <v>14</v>
      </c>
      <c r="AI1684" s="0" t="n">
        <v>11</v>
      </c>
      <c r="AN1684" s="0" t="s">
        <v>146</v>
      </c>
      <c r="AO1684" s="0" t="s">
        <v>236</v>
      </c>
      <c r="AP1684" s="0" t="s">
        <v>237</v>
      </c>
      <c r="AQ1684" s="0" t="n">
        <v>9</v>
      </c>
      <c r="AR1684" s="0" t="n">
        <v>64</v>
      </c>
      <c r="AS1684" s="0" t="n">
        <v>32</v>
      </c>
      <c r="AU1684" s="0" t="n">
        <f aca="false">COUNTA($BA$1042:$EH$1042)</f>
        <v>24</v>
      </c>
      <c r="AV1684" s="0" t="n">
        <f aca="false">COUNTIF($BA$1042:$EH$1042,"D")</f>
        <v>3</v>
      </c>
      <c r="AW1684" s="0" t="n">
        <f aca="false">COUNTIF($BA$1042:$EH$1042,"R")</f>
        <v>0</v>
      </c>
      <c r="AX1684" s="0" t="n">
        <f aca="false"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>0</v>
      </c>
      <c r="AY1684" s="0" t="n">
        <f aca="false">COUNTIF(DU1684:EH1684, "&lt;&gt;")</f>
        <v>4</v>
      </c>
      <c r="AZ1684" s="0" t="n">
        <f aca="false">IF(EH1684&lt;&gt;"",1,0)</f>
        <v>0</v>
      </c>
      <c r="BB1684" s="0" t="s">
        <v>153</v>
      </c>
      <c r="DI1684" s="0" t="s">
        <v>154</v>
      </c>
      <c r="DM1684" s="0" t="s">
        <v>155</v>
      </c>
      <c r="DN1684" s="0" t="s">
        <v>154</v>
      </c>
      <c r="DT1684" s="0" t="s">
        <v>155</v>
      </c>
      <c r="DU1684" s="0" t="s">
        <v>154</v>
      </c>
      <c r="DX1684" s="0" t="s">
        <v>154</v>
      </c>
      <c r="EA1684" s="0" t="s">
        <v>154</v>
      </c>
      <c r="EF1684" s="0" t="s">
        <v>154</v>
      </c>
    </row>
    <row r="1685" customFormat="false" ht="13.8" hidden="true" customHeight="false" outlineLevel="0" collapsed="false">
      <c r="A1685" s="0" t="s">
        <v>7647</v>
      </c>
      <c r="B1685" s="0" t="n">
        <v>78</v>
      </c>
      <c r="C1685" s="0" t="n">
        <v>462880</v>
      </c>
      <c r="D1685" s="0" t="s">
        <v>7648</v>
      </c>
      <c r="E1685" s="0" t="s">
        <v>423</v>
      </c>
      <c r="F1685" s="0" t="str">
        <f aca="false">CONCATENATE(D1685," ",LEFT(H1685,4),"T=",AU1685,"D=",AV1685,"R=",AW1685,"M=",AX1685,"L=",AY1685,"B=",AZ1685)</f>
        <v>DUVALL T=8D=0R=0M=0L=0B=0</v>
      </c>
      <c r="G1685" s="0" t="s">
        <v>690</v>
      </c>
      <c r="I1685" s="0" t="s">
        <v>7649</v>
      </c>
      <c r="J1685" s="0" t="s">
        <v>7650</v>
      </c>
      <c r="K1685" s="0" t="s">
        <v>175</v>
      </c>
      <c r="L1685" s="0"/>
      <c r="M1685" s="0" t="s">
        <v>7651</v>
      </c>
      <c r="N1685" s="0" t="str">
        <f aca="false">RIGHT(M1685,LEN(M1685)-FIND(" ",M1685))</f>
        <v>MARTHA ST NE</v>
      </c>
      <c r="P1685" s="0" t="s">
        <v>146</v>
      </c>
      <c r="Q1685" s="0" t="s">
        <v>147</v>
      </c>
      <c r="R1685" s="0" t="n">
        <v>44483</v>
      </c>
      <c r="AD1685" s="0" t="s">
        <v>148</v>
      </c>
      <c r="AE1685" s="0" t="s">
        <v>149</v>
      </c>
      <c r="AF1685" s="0" t="s">
        <v>150</v>
      </c>
      <c r="AH1685" s="0" t="n">
        <v>14</v>
      </c>
      <c r="AI1685" s="0" t="n">
        <v>11</v>
      </c>
      <c r="AN1685" s="0" t="s">
        <v>146</v>
      </c>
      <c r="AO1685" s="0" t="s">
        <v>236</v>
      </c>
      <c r="AP1685" s="0" t="s">
        <v>237</v>
      </c>
      <c r="AQ1685" s="0" t="n">
        <v>9</v>
      </c>
      <c r="AR1685" s="0" t="n">
        <v>64</v>
      </c>
      <c r="AS1685" s="0" t="n">
        <v>32</v>
      </c>
      <c r="AU1685" s="0" t="n">
        <f aca="false">COUNTA($BA$456:$EH$456)</f>
        <v>8</v>
      </c>
      <c r="AV1685" s="0" t="n">
        <f aca="false">COUNTIF($BA$456:$EH$456,"D")</f>
        <v>0</v>
      </c>
      <c r="AW1685" s="0" t="n">
        <f aca="false">COUNTIF($BA$456:$EH$456,"R")</f>
        <v>0</v>
      </c>
      <c r="AX1685" s="0" t="n">
        <f aca="false"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>0</v>
      </c>
      <c r="AY1685" s="0" t="n">
        <f aca="false">COUNTIF(DU1685:EH1685, "&lt;&gt;")</f>
        <v>0</v>
      </c>
      <c r="AZ1685" s="0" t="n">
        <f aca="false">IF(EH1685&lt;&gt;"",1,0)</f>
        <v>0</v>
      </c>
      <c r="BB1685" s="0" t="s">
        <v>153</v>
      </c>
    </row>
    <row r="1686" customFormat="false" ht="13.8" hidden="true" customHeight="false" outlineLevel="0" collapsed="false">
      <c r="A1686" s="0" t="s">
        <v>7652</v>
      </c>
      <c r="B1686" s="0" t="n">
        <v>78</v>
      </c>
      <c r="C1686" s="0" t="n">
        <v>431654</v>
      </c>
      <c r="D1686" s="0" t="s">
        <v>7653</v>
      </c>
      <c r="E1686" s="0" t="s">
        <v>7654</v>
      </c>
      <c r="F1686" s="0" t="str">
        <f aca="false">CONCATENATE(D1686," ",LEFT(H1686,4),"T=",AU1686,"D=",AV1686,"R=",AW1686,"M=",AX1686,"L=",AY1686,"B=",AZ1686)</f>
        <v>GRINDER T=8D=2R=0M=0L=0B=0</v>
      </c>
      <c r="I1686" s="0" t="s">
        <v>4613</v>
      </c>
      <c r="J1686" s="0" t="s">
        <v>3501</v>
      </c>
      <c r="K1686" s="0" t="s">
        <v>144</v>
      </c>
      <c r="L1686" s="0"/>
      <c r="M1686" s="0" t="s">
        <v>7651</v>
      </c>
      <c r="N1686" s="0" t="str">
        <f aca="false">RIGHT(M1686,LEN(M1686)-FIND(" ",M1686))</f>
        <v>MARTHA ST NE</v>
      </c>
      <c r="P1686" s="0" t="s">
        <v>146</v>
      </c>
      <c r="Q1686" s="0" t="s">
        <v>147</v>
      </c>
      <c r="R1686" s="0" t="n">
        <v>44483</v>
      </c>
      <c r="AD1686" s="0" t="s">
        <v>148</v>
      </c>
      <c r="AE1686" s="0" t="s">
        <v>149</v>
      </c>
      <c r="AF1686" s="0" t="s">
        <v>150</v>
      </c>
      <c r="AH1686" s="0" t="n">
        <v>14</v>
      </c>
      <c r="AI1686" s="0" t="n">
        <v>11</v>
      </c>
      <c r="AN1686" s="0" t="s">
        <v>146</v>
      </c>
      <c r="AO1686" s="0" t="s">
        <v>236</v>
      </c>
      <c r="AP1686" s="0" t="s">
        <v>237</v>
      </c>
      <c r="AQ1686" s="0" t="n">
        <v>9</v>
      </c>
      <c r="AR1686" s="0" t="n">
        <v>64</v>
      </c>
      <c r="AS1686" s="0" t="n">
        <v>32</v>
      </c>
      <c r="AU1686" s="0" t="n">
        <f aca="false">COUNTA($BA$659:$EH$659)</f>
        <v>8</v>
      </c>
      <c r="AV1686" s="0" t="n">
        <f aca="false">COUNTIF($BA$659:$EH$659,"D")</f>
        <v>2</v>
      </c>
      <c r="AW1686" s="0" t="n">
        <f aca="false">COUNTIF($BA$659:$EH$659,"R")</f>
        <v>0</v>
      </c>
      <c r="AX1686" s="0" t="n">
        <f aca="false"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>0</v>
      </c>
      <c r="AY1686" s="0" t="n">
        <f aca="false">COUNTIF(DU1686:EH1686, "&lt;&gt;")</f>
        <v>0</v>
      </c>
      <c r="AZ1686" s="0" t="n">
        <f aca="false">IF(EH1686&lt;&gt;"",1,0)</f>
        <v>0</v>
      </c>
      <c r="BB1686" s="0" t="s">
        <v>153</v>
      </c>
    </row>
    <row r="1687" customFormat="false" ht="13.8" hidden="true" customHeight="false" outlineLevel="0" collapsed="false">
      <c r="A1687" s="0" t="s">
        <v>7655</v>
      </c>
      <c r="B1687" s="0" t="n">
        <v>78</v>
      </c>
      <c r="C1687" s="0" t="n">
        <v>397962</v>
      </c>
      <c r="D1687" s="0" t="s">
        <v>7656</v>
      </c>
      <c r="E1687" s="0" t="s">
        <v>1744</v>
      </c>
      <c r="F1687" s="0" t="str">
        <f aca="false">CONCATENATE(D1687," ",LEFT(H1687,4),"T=",AU1687,"D=",AV1687,"R=",AW1687,"M=",AX1687,"L=",AY1687,"B=",AZ1687)</f>
        <v>LOUK T=3D=1R=0M=0L=1B=0</v>
      </c>
      <c r="G1687" s="0" t="s">
        <v>690</v>
      </c>
      <c r="I1687" s="0" t="s">
        <v>7657</v>
      </c>
      <c r="J1687" s="0" t="s">
        <v>7658</v>
      </c>
      <c r="K1687" s="0" t="s">
        <v>175</v>
      </c>
      <c r="L1687" s="0"/>
      <c r="M1687" s="0" t="s">
        <v>7659</v>
      </c>
      <c r="N1687" s="0" t="str">
        <f aca="false">RIGHT(M1687,LEN(M1687)-FIND(" ",M1687))</f>
        <v>MARTHA ST NE</v>
      </c>
      <c r="P1687" s="0" t="s">
        <v>146</v>
      </c>
      <c r="Q1687" s="0" t="s">
        <v>147</v>
      </c>
      <c r="R1687" s="0" t="n">
        <v>44483</v>
      </c>
      <c r="AD1687" s="0" t="s">
        <v>148</v>
      </c>
      <c r="AE1687" s="0" t="s">
        <v>149</v>
      </c>
      <c r="AF1687" s="0" t="s">
        <v>150</v>
      </c>
      <c r="AH1687" s="0" t="n">
        <v>14</v>
      </c>
      <c r="AI1687" s="0" t="n">
        <v>11</v>
      </c>
      <c r="AN1687" s="0" t="s">
        <v>146</v>
      </c>
      <c r="AO1687" s="0" t="s">
        <v>236</v>
      </c>
      <c r="AP1687" s="0" t="s">
        <v>237</v>
      </c>
      <c r="AQ1687" s="0" t="n">
        <v>9</v>
      </c>
      <c r="AR1687" s="0" t="n">
        <v>64</v>
      </c>
      <c r="AS1687" s="0" t="n">
        <v>32</v>
      </c>
      <c r="AU1687" s="0" t="n">
        <f aca="false">COUNTA($BA$7:$EH$7)</f>
        <v>3</v>
      </c>
      <c r="AV1687" s="0" t="n">
        <f aca="false">COUNTIF($BA$7:$EH$7,"D")</f>
        <v>1</v>
      </c>
      <c r="AW1687" s="0" t="n">
        <f aca="false">COUNTIF($BA$7:$EH$7,"R")</f>
        <v>0</v>
      </c>
      <c r="AX1687" s="0" t="n">
        <f aca="false"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>0</v>
      </c>
      <c r="AY1687" s="0" t="n">
        <f aca="false">COUNTIF(DU1687:EH1687, "&lt;&gt;")</f>
        <v>1</v>
      </c>
      <c r="AZ1687" s="0" t="n">
        <f aca="false">IF(EH1687&lt;&gt;"",1,0)</f>
        <v>0</v>
      </c>
      <c r="BB1687" s="0" t="s">
        <v>153</v>
      </c>
      <c r="CA1687" s="0" t="s">
        <v>154</v>
      </c>
      <c r="CV1687" s="0" t="s">
        <v>154</v>
      </c>
      <c r="DC1687" s="0" t="s">
        <v>154</v>
      </c>
      <c r="DN1687" s="0" t="s">
        <v>154</v>
      </c>
      <c r="EF1687" s="0" t="s">
        <v>154</v>
      </c>
    </row>
    <row r="1688" customFormat="false" ht="13.8" hidden="true" customHeight="false" outlineLevel="0" collapsed="false">
      <c r="A1688" s="0" t="s">
        <v>7660</v>
      </c>
      <c r="B1688" s="0" t="n">
        <v>78</v>
      </c>
      <c r="C1688" s="0" t="n">
        <v>423095</v>
      </c>
      <c r="D1688" s="0" t="s">
        <v>7661</v>
      </c>
      <c r="E1688" s="0" t="s">
        <v>1131</v>
      </c>
      <c r="F1688" s="0" t="str">
        <f aca="false">CONCATENATE(D1688," ",LEFT(H1688,4),"T=",AU1688,"D=",AV1688,"R=",AW1688,"M=",AX1688,"L=",AY1688,"B=",AZ1688)</f>
        <v>KOVACH T=14D=1R=1M=0L=0B=0</v>
      </c>
      <c r="G1688" s="0" t="s">
        <v>216</v>
      </c>
      <c r="I1688" s="0" t="s">
        <v>7662</v>
      </c>
      <c r="J1688" s="0" t="s">
        <v>3132</v>
      </c>
      <c r="K1688" s="0" t="s">
        <v>175</v>
      </c>
      <c r="L1688" s="0"/>
      <c r="M1688" s="0" t="s">
        <v>7663</v>
      </c>
      <c r="N1688" s="0" t="str">
        <f aca="false">RIGHT(M1688,LEN(M1688)-FIND(" ",M1688))</f>
        <v>MARYLAND ST NE</v>
      </c>
      <c r="P1688" s="0" t="s">
        <v>146</v>
      </c>
      <c r="Q1688" s="0" t="s">
        <v>147</v>
      </c>
      <c r="R1688" s="0" t="n">
        <v>44483</v>
      </c>
      <c r="AD1688" s="0" t="s">
        <v>148</v>
      </c>
      <c r="AE1688" s="0" t="s">
        <v>149</v>
      </c>
      <c r="AF1688" s="0" t="s">
        <v>150</v>
      </c>
      <c r="AH1688" s="0" t="n">
        <v>14</v>
      </c>
      <c r="AI1688" s="0" t="n">
        <v>11</v>
      </c>
      <c r="AN1688" s="0" t="s">
        <v>146</v>
      </c>
      <c r="AO1688" s="0" t="s">
        <v>250</v>
      </c>
      <c r="AP1688" s="0" t="s">
        <v>251</v>
      </c>
      <c r="AQ1688" s="0" t="n">
        <v>9</v>
      </c>
      <c r="AR1688" s="0" t="n">
        <v>64</v>
      </c>
      <c r="AS1688" s="0" t="n">
        <v>32</v>
      </c>
      <c r="AU1688" s="0" t="n">
        <f aca="false">COUNTA($BA$2506:$EH$2506)</f>
        <v>14</v>
      </c>
      <c r="AV1688" s="0" t="n">
        <f aca="false">COUNTIF($BA$2506:$EH$2506,"D")</f>
        <v>1</v>
      </c>
      <c r="AW1688" s="0" t="n">
        <f aca="false">COUNTIF($BA$2506:$EH$2506,"R")</f>
        <v>1</v>
      </c>
      <c r="AX1688" s="0" t="n">
        <f aca="false"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>0</v>
      </c>
      <c r="AY1688" s="0" t="n">
        <f aca="false">COUNTIF(DU1688:EH1688, "&lt;&gt;")</f>
        <v>0</v>
      </c>
      <c r="AZ1688" s="0" t="n">
        <f aca="false">IF(EH1688&lt;&gt;"",1,0)</f>
        <v>0</v>
      </c>
      <c r="BB1688" s="0" t="s">
        <v>153</v>
      </c>
      <c r="BJ1688" s="0" t="s">
        <v>154</v>
      </c>
      <c r="BK1688" s="0" t="s">
        <v>154</v>
      </c>
      <c r="BL1688" s="0" t="s">
        <v>154</v>
      </c>
      <c r="BY1688" s="0" t="s">
        <v>155</v>
      </c>
    </row>
    <row r="1689" customFormat="false" ht="13.8" hidden="true" customHeight="false" outlineLevel="0" collapsed="false">
      <c r="A1689" s="0" t="s">
        <v>7664</v>
      </c>
      <c r="B1689" s="0" t="n">
        <v>78</v>
      </c>
      <c r="C1689" s="0" t="n">
        <v>461707</v>
      </c>
      <c r="D1689" s="0" t="s">
        <v>7665</v>
      </c>
      <c r="E1689" s="0" t="s">
        <v>7666</v>
      </c>
      <c r="F1689" s="0" t="str">
        <f aca="false">CONCATENATE(D1689," ",LEFT(H1689,4),"T=",AU1689,"D=",AV1689,"R=",AW1689,"M=",AX1689,"L=",AY1689,"B=",AZ1689)</f>
        <v>PLETCHER T=2D=0R=0M=0L=0B=0</v>
      </c>
      <c r="G1689" s="0" t="s">
        <v>188</v>
      </c>
      <c r="I1689" s="0" t="s">
        <v>7667</v>
      </c>
      <c r="J1689" s="0" t="s">
        <v>7668</v>
      </c>
      <c r="K1689" s="0" t="s">
        <v>144</v>
      </c>
      <c r="L1689" s="0"/>
      <c r="M1689" s="0" t="s">
        <v>7663</v>
      </c>
      <c r="N1689" s="0" t="str">
        <f aca="false">RIGHT(M1689,LEN(M1689)-FIND(" ",M1689))</f>
        <v>MARYLAND ST NE</v>
      </c>
      <c r="P1689" s="0" t="s">
        <v>146</v>
      </c>
      <c r="Q1689" s="0" t="s">
        <v>147</v>
      </c>
      <c r="R1689" s="0" t="n">
        <v>44483</v>
      </c>
      <c r="AD1689" s="0" t="s">
        <v>148</v>
      </c>
      <c r="AE1689" s="0" t="s">
        <v>149</v>
      </c>
      <c r="AF1689" s="0" t="s">
        <v>150</v>
      </c>
      <c r="AH1689" s="0" t="n">
        <v>14</v>
      </c>
      <c r="AI1689" s="0" t="n">
        <v>11</v>
      </c>
      <c r="AN1689" s="0" t="s">
        <v>146</v>
      </c>
      <c r="AO1689" s="0" t="s">
        <v>250</v>
      </c>
      <c r="AP1689" s="0" t="s">
        <v>251</v>
      </c>
      <c r="AQ1689" s="0" t="n">
        <v>9</v>
      </c>
      <c r="AR1689" s="0" t="n">
        <v>64</v>
      </c>
      <c r="AS1689" s="0" t="n">
        <v>32</v>
      </c>
      <c r="AU1689" s="0" t="n">
        <f aca="false">COUNTA($BA$2512:$EH$2512)</f>
        <v>2</v>
      </c>
      <c r="AV1689" s="0" t="n">
        <f aca="false">COUNTIF($BA$2512:$EH$2512,"D")</f>
        <v>0</v>
      </c>
      <c r="AW1689" s="0" t="n">
        <f aca="false">COUNTIF($BA$2512:$EH$2512,"R")</f>
        <v>0</v>
      </c>
      <c r="AX1689" s="0" t="n">
        <f aca="false"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>0</v>
      </c>
      <c r="AY1689" s="0" t="n">
        <f aca="false">COUNTIF(DU1689:EH1689, "&lt;&gt;")</f>
        <v>0</v>
      </c>
      <c r="AZ1689" s="0" t="n">
        <f aca="false">IF(EH1689&lt;&gt;"",1,0)</f>
        <v>0</v>
      </c>
      <c r="BB1689" s="0" t="s">
        <v>153</v>
      </c>
    </row>
    <row r="1690" customFormat="false" ht="13.8" hidden="true" customHeight="false" outlineLevel="0" collapsed="false">
      <c r="A1690" s="0" t="s">
        <v>7669</v>
      </c>
      <c r="B1690" s="0" t="n">
        <v>78</v>
      </c>
      <c r="C1690" s="0" t="n">
        <v>364618</v>
      </c>
      <c r="D1690" s="0" t="s">
        <v>7670</v>
      </c>
      <c r="E1690" s="0" t="s">
        <v>7671</v>
      </c>
      <c r="F1690" s="0" t="str">
        <f aca="false">CONCATENATE(D1690," ",LEFT(H1690,4),"T=",AU1690,"D=",AV1690,"R=",AW1690,"M=",AX1690,"L=",AY1690,"B=",AZ1690)</f>
        <v>FROST T=9D=1R=0M=0L=0B=0</v>
      </c>
      <c r="G1690" s="0" t="s">
        <v>202</v>
      </c>
      <c r="I1690" s="0" t="s">
        <v>7672</v>
      </c>
      <c r="J1690" s="0" t="s">
        <v>7673</v>
      </c>
      <c r="K1690" s="0" t="s">
        <v>175</v>
      </c>
      <c r="L1690" s="0"/>
      <c r="M1690" s="0" t="s">
        <v>7674</v>
      </c>
      <c r="N1690" s="0" t="str">
        <f aca="false">RIGHT(M1690,LEN(M1690)-FIND(" ",M1690))</f>
        <v>MARYLAND ST NE</v>
      </c>
      <c r="P1690" s="0" t="s">
        <v>146</v>
      </c>
      <c r="Q1690" s="0" t="s">
        <v>147</v>
      </c>
      <c r="R1690" s="0" t="n">
        <v>44483</v>
      </c>
      <c r="AD1690" s="0" t="s">
        <v>148</v>
      </c>
      <c r="AE1690" s="0" t="s">
        <v>149</v>
      </c>
      <c r="AF1690" s="0" t="s">
        <v>150</v>
      </c>
      <c r="AH1690" s="0" t="n">
        <v>14</v>
      </c>
      <c r="AI1690" s="0" t="n">
        <v>11</v>
      </c>
      <c r="AN1690" s="0" t="s">
        <v>146</v>
      </c>
      <c r="AO1690" s="0" t="s">
        <v>250</v>
      </c>
      <c r="AP1690" s="0" t="s">
        <v>251</v>
      </c>
      <c r="AQ1690" s="0" t="n">
        <v>9</v>
      </c>
      <c r="AR1690" s="0" t="n">
        <v>64</v>
      </c>
      <c r="AS1690" s="0" t="n">
        <v>32</v>
      </c>
      <c r="AU1690" s="0" t="n">
        <f aca="false">COUNTA($BA$2472:$EH$2472)</f>
        <v>9</v>
      </c>
      <c r="AV1690" s="0" t="n">
        <f aca="false">COUNTIF($BA$2472:$EH$2472,"D")</f>
        <v>1</v>
      </c>
      <c r="AW1690" s="0" t="n">
        <f aca="false">COUNTIF($BA$2472:$EH$2472,"R")</f>
        <v>0</v>
      </c>
      <c r="AX1690" s="0" t="n">
        <f aca="false"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>0</v>
      </c>
      <c r="AY1690" s="0" t="n">
        <f aca="false">COUNTIF(DU1690:EH1690, "&lt;&gt;")</f>
        <v>0</v>
      </c>
      <c r="AZ1690" s="0" t="n">
        <f aca="false">IF(EH1690&lt;&gt;"",1,0)</f>
        <v>0</v>
      </c>
      <c r="BB1690" s="0" t="s">
        <v>153</v>
      </c>
      <c r="CA1690" s="0" t="s">
        <v>154</v>
      </c>
      <c r="CP1690" s="0" t="s">
        <v>154</v>
      </c>
    </row>
    <row r="1691" customFormat="false" ht="13.8" hidden="true" customHeight="false" outlineLevel="0" collapsed="false">
      <c r="A1691" s="0" t="s">
        <v>7675</v>
      </c>
      <c r="B1691" s="0" t="n">
        <v>78</v>
      </c>
      <c r="C1691" s="0" t="n">
        <v>430938</v>
      </c>
      <c r="D1691" s="0" t="s">
        <v>7670</v>
      </c>
      <c r="E1691" s="0" t="s">
        <v>139</v>
      </c>
      <c r="F1691" s="0" t="str">
        <f aca="false">CONCATENATE(D1691," ",LEFT(H1691,4),"T=",AU1691,"D=",AV1691,"R=",AW1691,"M=",AX1691,"L=",AY1691,"B=",AZ1691)</f>
        <v>FROST T=2D=0R=0M=0L=0B=0</v>
      </c>
      <c r="G1691" s="0" t="s">
        <v>1531</v>
      </c>
      <c r="I1691" s="0" t="s">
        <v>7676</v>
      </c>
      <c r="J1691" s="0" t="s">
        <v>7677</v>
      </c>
      <c r="K1691" s="0" t="s">
        <v>144</v>
      </c>
      <c r="L1691" s="0"/>
      <c r="M1691" s="0" t="s">
        <v>7674</v>
      </c>
      <c r="N1691" s="0" t="str">
        <f aca="false">RIGHT(M1691,LEN(M1691)-FIND(" ",M1691))</f>
        <v>MARYLAND ST NE</v>
      </c>
      <c r="P1691" s="0" t="s">
        <v>146</v>
      </c>
      <c r="Q1691" s="0" t="s">
        <v>147</v>
      </c>
      <c r="R1691" s="0" t="n">
        <v>44483</v>
      </c>
      <c r="AD1691" s="0" t="s">
        <v>148</v>
      </c>
      <c r="AE1691" s="0" t="s">
        <v>149</v>
      </c>
      <c r="AF1691" s="0" t="s">
        <v>150</v>
      </c>
      <c r="AH1691" s="0" t="n">
        <v>14</v>
      </c>
      <c r="AI1691" s="0" t="n">
        <v>11</v>
      </c>
      <c r="AN1691" s="0" t="s">
        <v>146</v>
      </c>
      <c r="AO1691" s="0" t="s">
        <v>250</v>
      </c>
      <c r="AP1691" s="0" t="s">
        <v>251</v>
      </c>
      <c r="AQ1691" s="0" t="n">
        <v>9</v>
      </c>
      <c r="AR1691" s="0" t="n">
        <v>64</v>
      </c>
      <c r="AS1691" s="0" t="n">
        <v>32</v>
      </c>
      <c r="AU1691" s="0" t="n">
        <f aca="false">COUNTA($BA$2615:$EH$2615)</f>
        <v>2</v>
      </c>
      <c r="AV1691" s="0" t="n">
        <f aca="false">COUNTIF($BA$2615:$EH$2615,"D")</f>
        <v>0</v>
      </c>
      <c r="AW1691" s="0" t="n">
        <f aca="false">COUNTIF($BA$2615:$EH$2615,"R")</f>
        <v>0</v>
      </c>
      <c r="AX1691" s="0" t="n">
        <f aca="false"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>0</v>
      </c>
      <c r="AY1691" s="0" t="n">
        <f aca="false">COUNTIF(DU1691:EH1691, "&lt;&gt;")</f>
        <v>0</v>
      </c>
      <c r="AZ1691" s="0" t="n">
        <f aca="false">IF(EH1691&lt;&gt;"",1,0)</f>
        <v>0</v>
      </c>
      <c r="BB1691" s="0" t="s">
        <v>153</v>
      </c>
    </row>
    <row r="1692" customFormat="false" ht="13.8" hidden="true" customHeight="false" outlineLevel="0" collapsed="false">
      <c r="A1692" s="0" t="s">
        <v>7678</v>
      </c>
      <c r="B1692" s="0" t="n">
        <v>78</v>
      </c>
      <c r="C1692" s="0" t="n">
        <v>402657</v>
      </c>
      <c r="D1692" s="0" t="s">
        <v>7679</v>
      </c>
      <c r="E1692" s="0" t="s">
        <v>1117</v>
      </c>
      <c r="F1692" s="0" t="str">
        <f aca="false">CONCATENATE(D1692," ",LEFT(H1692,4),"T=",AU1692,"D=",AV1692,"R=",AW1692,"M=",AX1692,"L=",AY1692,"B=",AZ1692)</f>
        <v>HYDE T=2D=0R=0M=0L=0B=0</v>
      </c>
      <c r="G1692" s="0" t="s">
        <v>750</v>
      </c>
      <c r="I1692" s="0" t="s">
        <v>7680</v>
      </c>
      <c r="J1692" s="0" t="s">
        <v>7094</v>
      </c>
      <c r="K1692" s="0" t="s">
        <v>175</v>
      </c>
      <c r="L1692" s="0"/>
      <c r="M1692" s="0" t="s">
        <v>7681</v>
      </c>
      <c r="N1692" s="0" t="str">
        <f aca="false">RIGHT(M1692,LEN(M1692)-FIND(" ",M1692))</f>
        <v>MARYLAND ST NE</v>
      </c>
      <c r="P1692" s="0" t="s">
        <v>146</v>
      </c>
      <c r="Q1692" s="0" t="s">
        <v>147</v>
      </c>
      <c r="R1692" s="0" t="n">
        <v>44483</v>
      </c>
      <c r="AD1692" s="0" t="s">
        <v>148</v>
      </c>
      <c r="AE1692" s="0" t="s">
        <v>149</v>
      </c>
      <c r="AF1692" s="0" t="s">
        <v>150</v>
      </c>
      <c r="AH1692" s="0" t="n">
        <v>14</v>
      </c>
      <c r="AI1692" s="0" t="n">
        <v>11</v>
      </c>
      <c r="AN1692" s="0" t="s">
        <v>146</v>
      </c>
      <c r="AO1692" s="0" t="s">
        <v>250</v>
      </c>
      <c r="AP1692" s="0" t="s">
        <v>251</v>
      </c>
      <c r="AQ1692" s="0" t="n">
        <v>9</v>
      </c>
      <c r="AR1692" s="0" t="n">
        <v>64</v>
      </c>
      <c r="AS1692" s="0" t="n">
        <v>32</v>
      </c>
      <c r="AU1692" s="0" t="n">
        <f aca="false">COUNTA($BA$2331:$EH$2331)</f>
        <v>2</v>
      </c>
      <c r="AV1692" s="0" t="n">
        <f aca="false">COUNTIF($BA$2331:$EH$2331,"D")</f>
        <v>0</v>
      </c>
      <c r="AW1692" s="0" t="n">
        <f aca="false">COUNTIF($BA$2331:$EH$2331,"R")</f>
        <v>0</v>
      </c>
      <c r="AX1692" s="0" t="n">
        <f aca="false"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>0</v>
      </c>
      <c r="AY1692" s="0" t="n">
        <f aca="false">COUNTIF(DU1692:EH1692, "&lt;&gt;")</f>
        <v>0</v>
      </c>
      <c r="AZ1692" s="0" t="n">
        <f aca="false">IF(EH1692&lt;&gt;"",1,0)</f>
        <v>0</v>
      </c>
      <c r="BB1692" s="0" t="s">
        <v>153</v>
      </c>
    </row>
    <row r="1693" customFormat="false" ht="13.8" hidden="true" customHeight="false" outlineLevel="0" collapsed="false">
      <c r="A1693" s="0" t="s">
        <v>7682</v>
      </c>
      <c r="B1693" s="0" t="n">
        <v>78</v>
      </c>
      <c r="C1693" s="0" t="n">
        <v>195690</v>
      </c>
      <c r="D1693" s="0" t="s">
        <v>1689</v>
      </c>
      <c r="E1693" s="0" t="s">
        <v>2060</v>
      </c>
      <c r="F1693" s="0" t="str">
        <f aca="false">CONCATENATE(D1693," ",LEFT(H1693,4),"T=",AU1693,"D=",AV1693,"R=",AW1693,"M=",AX1693,"L=",AY1693,"B=",AZ1693)</f>
        <v>COOPER T=47D=13R=3M=0L=0B=0</v>
      </c>
      <c r="I1693" s="0" t="s">
        <v>7683</v>
      </c>
      <c r="J1693" s="0" t="s">
        <v>7684</v>
      </c>
      <c r="K1693" s="0" t="s">
        <v>144</v>
      </c>
      <c r="L1693" s="0"/>
      <c r="M1693" s="0" t="s">
        <v>7681</v>
      </c>
      <c r="N1693" s="0" t="str">
        <f aca="false">RIGHT(M1693,LEN(M1693)-FIND(" ",M1693))</f>
        <v>MARYLAND ST NE</v>
      </c>
      <c r="P1693" s="0" t="s">
        <v>146</v>
      </c>
      <c r="Q1693" s="0" t="s">
        <v>147</v>
      </c>
      <c r="R1693" s="0" t="n">
        <v>44483</v>
      </c>
      <c r="AD1693" s="0" t="s">
        <v>148</v>
      </c>
      <c r="AE1693" s="0" t="s">
        <v>149</v>
      </c>
      <c r="AF1693" s="0" t="s">
        <v>150</v>
      </c>
      <c r="AH1693" s="0" t="n">
        <v>14</v>
      </c>
      <c r="AI1693" s="0" t="n">
        <v>11</v>
      </c>
      <c r="AN1693" s="0" t="s">
        <v>146</v>
      </c>
      <c r="AO1693" s="0" t="s">
        <v>250</v>
      </c>
      <c r="AP1693" s="0" t="s">
        <v>251</v>
      </c>
      <c r="AQ1693" s="0" t="n">
        <v>9</v>
      </c>
      <c r="AR1693" s="0" t="n">
        <v>64</v>
      </c>
      <c r="AS1693" s="0" t="n">
        <v>32</v>
      </c>
      <c r="AU1693" s="0" t="n">
        <f aca="false">COUNTA($BA$2436:$EH$2436)</f>
        <v>47</v>
      </c>
      <c r="AV1693" s="0" t="n">
        <f aca="false">COUNTIF($BA$2436:$EH$2436,"D")</f>
        <v>13</v>
      </c>
      <c r="AW1693" s="0" t="n">
        <f aca="false">COUNTIF($BA$2436:$EH$2436,"R")</f>
        <v>3</v>
      </c>
      <c r="AX1693" s="0" t="n">
        <f aca="false"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>0</v>
      </c>
      <c r="AY1693" s="0" t="n">
        <f aca="false">COUNTIF(DU1693:EH1693, "&lt;&gt;")</f>
        <v>0</v>
      </c>
      <c r="AZ1693" s="0" t="n">
        <f aca="false">IF(EH1693&lt;&gt;"",1,0)</f>
        <v>0</v>
      </c>
      <c r="BB1693" s="0" t="s">
        <v>153</v>
      </c>
      <c r="BD1693" s="0" t="s">
        <v>154</v>
      </c>
      <c r="BL1693" s="0" t="s">
        <v>154</v>
      </c>
      <c r="CU1693" s="0" t="s">
        <v>154</v>
      </c>
      <c r="CZ1693" s="0" t="s">
        <v>176</v>
      </c>
      <c r="DC1693" s="0" t="s">
        <v>154</v>
      </c>
    </row>
    <row r="1694" customFormat="false" ht="13.8" hidden="true" customHeight="false" outlineLevel="0" collapsed="false">
      <c r="A1694" s="0" t="s">
        <v>7685</v>
      </c>
      <c r="B1694" s="0" t="n">
        <v>78</v>
      </c>
      <c r="C1694" s="0" t="n">
        <v>6734</v>
      </c>
      <c r="D1694" s="0" t="s">
        <v>7686</v>
      </c>
      <c r="E1694" s="0" t="s">
        <v>328</v>
      </c>
      <c r="F1694" s="0" t="str">
        <f aca="false">CONCATENATE(D1694," ",LEFT(H1694,4),"T=",AU1694,"D=",AV1694,"R=",AW1694,"M=",AX1694,"L=",AY1694,"B=",AZ1694)</f>
        <v>BOSSARD T=50D=19R=0M=2L=1B=0</v>
      </c>
      <c r="G1694" s="0" t="s">
        <v>365</v>
      </c>
      <c r="I1694" s="0" t="s">
        <v>7687</v>
      </c>
      <c r="J1694" s="0" t="s">
        <v>4651</v>
      </c>
      <c r="K1694" s="0" t="s">
        <v>175</v>
      </c>
      <c r="L1694" s="0"/>
      <c r="M1694" s="0" t="s">
        <v>7688</v>
      </c>
      <c r="N1694" s="0" t="str">
        <f aca="false">RIGHT(M1694,LEN(M1694)-FIND(" ",M1694))</f>
        <v>MARYLAND ST NE</v>
      </c>
      <c r="P1694" s="0" t="s">
        <v>146</v>
      </c>
      <c r="Q1694" s="0" t="s">
        <v>147</v>
      </c>
      <c r="R1694" s="0" t="n">
        <v>44483</v>
      </c>
      <c r="AD1694" s="0" t="s">
        <v>148</v>
      </c>
      <c r="AE1694" s="0" t="s">
        <v>149</v>
      </c>
      <c r="AF1694" s="0" t="s">
        <v>150</v>
      </c>
      <c r="AH1694" s="0" t="n">
        <v>14</v>
      </c>
      <c r="AI1694" s="0" t="n">
        <v>11</v>
      </c>
      <c r="AN1694" s="0" t="s">
        <v>146</v>
      </c>
      <c r="AO1694" s="0" t="s">
        <v>250</v>
      </c>
      <c r="AP1694" s="0" t="s">
        <v>251</v>
      </c>
      <c r="AQ1694" s="0" t="n">
        <v>9</v>
      </c>
      <c r="AR1694" s="0" t="n">
        <v>64</v>
      </c>
      <c r="AS1694" s="0" t="n">
        <v>32</v>
      </c>
      <c r="AU1694" s="0" t="n">
        <f aca="false">COUNTA($BA$2385:$EH$2385)</f>
        <v>50</v>
      </c>
      <c r="AV1694" s="0" t="n">
        <f aca="false">COUNTIF($BA$2385:$EH$2385,"D")</f>
        <v>19</v>
      </c>
      <c r="AW1694" s="0" t="n">
        <f aca="false">COUNTIF($BA$2385:$EH$2385,"R")</f>
        <v>0</v>
      </c>
      <c r="AX1694" s="0" t="n">
        <f aca="false"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>2</v>
      </c>
      <c r="AY1694" s="0" t="n">
        <f aca="false">COUNTIF(DU1694:EH1694, "&lt;&gt;")</f>
        <v>1</v>
      </c>
      <c r="AZ1694" s="0" t="n">
        <f aca="false">IF(EH1694&lt;&gt;"",1,0)</f>
        <v>0</v>
      </c>
      <c r="BB1694" s="0" t="s">
        <v>153</v>
      </c>
      <c r="BC1694" s="0" t="s">
        <v>154</v>
      </c>
      <c r="BD1694" s="0" t="s">
        <v>154</v>
      </c>
      <c r="BH1694" s="0" t="s">
        <v>154</v>
      </c>
      <c r="BI1694" s="0" t="s">
        <v>154</v>
      </c>
      <c r="BL1694" s="0" t="s">
        <v>154</v>
      </c>
      <c r="BP1694" s="0" t="s">
        <v>154</v>
      </c>
      <c r="BS1694" s="0" t="s">
        <v>154</v>
      </c>
      <c r="BV1694" s="0" t="s">
        <v>154</v>
      </c>
      <c r="BY1694" s="0" t="s">
        <v>155</v>
      </c>
      <c r="CA1694" s="0" t="s">
        <v>154</v>
      </c>
      <c r="CG1694" s="0" t="s">
        <v>154</v>
      </c>
      <c r="CL1694" s="0" t="s">
        <v>155</v>
      </c>
      <c r="CP1694" s="0" t="s">
        <v>154</v>
      </c>
      <c r="CQ1694" s="0" t="s">
        <v>155</v>
      </c>
      <c r="CT1694" s="0" t="s">
        <v>154</v>
      </c>
      <c r="CV1694" s="0" t="s">
        <v>154</v>
      </c>
      <c r="CY1694" s="0" t="s">
        <v>154</v>
      </c>
      <c r="CZ1694" s="0" t="s">
        <v>155</v>
      </c>
      <c r="DC1694" s="0" t="s">
        <v>154</v>
      </c>
      <c r="DI1694" s="0" t="s">
        <v>154</v>
      </c>
      <c r="DN1694" s="0" t="s">
        <v>154</v>
      </c>
      <c r="EF1694" s="0" t="s">
        <v>154</v>
      </c>
    </row>
    <row r="1695" customFormat="false" ht="13.8" hidden="true" customHeight="false" outlineLevel="0" collapsed="false">
      <c r="A1695" s="0" t="s">
        <v>7689</v>
      </c>
      <c r="B1695" s="0" t="n">
        <v>78</v>
      </c>
      <c r="C1695" s="0" t="n">
        <v>431789</v>
      </c>
      <c r="D1695" s="0" t="s">
        <v>5792</v>
      </c>
      <c r="E1695" s="0" t="s">
        <v>1536</v>
      </c>
      <c r="F1695" s="0" t="str">
        <f aca="false">CONCATENATE(D1695," ",LEFT(H1695,4),"T=",AU1695,"D=",AV1695,"R=",AW1695,"M=",AX1695,"L=",AY1695,"B=",AZ1695)</f>
        <v>COMBS T=1D=0R=0M=0L=0B=0</v>
      </c>
      <c r="G1695" s="0" t="s">
        <v>7690</v>
      </c>
      <c r="I1695" s="0" t="s">
        <v>7691</v>
      </c>
      <c r="J1695" s="0" t="s">
        <v>6237</v>
      </c>
      <c r="K1695" s="0" t="s">
        <v>144</v>
      </c>
      <c r="L1695" s="0"/>
      <c r="M1695" s="0" t="s">
        <v>7692</v>
      </c>
      <c r="N1695" s="0" t="str">
        <f aca="false">RIGHT(M1695,LEN(M1695)-FIND(" ",M1695))</f>
        <v>MARYLAND ST NE</v>
      </c>
      <c r="P1695" s="0" t="s">
        <v>146</v>
      </c>
      <c r="Q1695" s="0" t="s">
        <v>147</v>
      </c>
      <c r="R1695" s="0" t="n">
        <v>44483</v>
      </c>
      <c r="AD1695" s="0" t="s">
        <v>148</v>
      </c>
      <c r="AE1695" s="0" t="s">
        <v>149</v>
      </c>
      <c r="AF1695" s="0" t="s">
        <v>150</v>
      </c>
      <c r="AH1695" s="0" t="n">
        <v>14</v>
      </c>
      <c r="AI1695" s="0" t="n">
        <v>11</v>
      </c>
      <c r="AN1695" s="0" t="s">
        <v>146</v>
      </c>
      <c r="AO1695" s="0" t="s">
        <v>250</v>
      </c>
      <c r="AP1695" s="0" t="s">
        <v>251</v>
      </c>
      <c r="AQ1695" s="0" t="n">
        <v>9</v>
      </c>
      <c r="AR1695" s="0" t="n">
        <v>64</v>
      </c>
      <c r="AS1695" s="0" t="n">
        <v>32</v>
      </c>
      <c r="AU1695" s="0" t="n">
        <f aca="false">COUNTA($BA$2515:$EH$2515)</f>
        <v>1</v>
      </c>
      <c r="AV1695" s="0" t="n">
        <f aca="false">COUNTIF($BA$2515:$EH$2515,"D")</f>
        <v>0</v>
      </c>
      <c r="AW1695" s="0" t="n">
        <f aca="false">COUNTIF($BA$2515:$EH$2515,"R")</f>
        <v>0</v>
      </c>
      <c r="AX1695" s="0" t="n">
        <f aca="false"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>0</v>
      </c>
      <c r="AY1695" s="0" t="n">
        <f aca="false">COUNTIF(DU1695:EH1695, "&lt;&gt;")</f>
        <v>0</v>
      </c>
      <c r="AZ1695" s="0" t="n">
        <f aca="false">IF(EH1695&lt;&gt;"",1,0)</f>
        <v>0</v>
      </c>
      <c r="BB1695" s="0" t="s">
        <v>153</v>
      </c>
    </row>
    <row r="1696" customFormat="false" ht="13.8" hidden="true" customHeight="false" outlineLevel="0" collapsed="false">
      <c r="A1696" s="0" t="s">
        <v>7693</v>
      </c>
      <c r="B1696" s="0" t="n">
        <v>78</v>
      </c>
      <c r="C1696" s="0" t="n">
        <v>470739</v>
      </c>
      <c r="D1696" s="0" t="s">
        <v>7694</v>
      </c>
      <c r="E1696" s="0" t="s">
        <v>634</v>
      </c>
      <c r="F1696" s="0" t="str">
        <f aca="false">CONCATENATE(D1696," ",LEFT(H1696,4),"T=",AU1696,"D=",AV1696,"R=",AW1696,"M=",AX1696,"L=",AY1696,"B=",AZ1696)</f>
        <v>HILLARD T=2D=0R=0M=0L=0B=0</v>
      </c>
      <c r="G1696" s="0" t="s">
        <v>176</v>
      </c>
      <c r="I1696" s="0" t="s">
        <v>7695</v>
      </c>
      <c r="J1696" s="0" t="s">
        <v>7696</v>
      </c>
      <c r="K1696" s="0" t="s">
        <v>175</v>
      </c>
      <c r="L1696" s="0"/>
      <c r="M1696" s="0" t="s">
        <v>7697</v>
      </c>
      <c r="N1696" s="0" t="str">
        <f aca="false">RIGHT(M1696,LEN(M1696)-FIND(" ",M1696))</f>
        <v>MARYLAND ST NE</v>
      </c>
      <c r="P1696" s="0" t="s">
        <v>146</v>
      </c>
      <c r="Q1696" s="0" t="s">
        <v>147</v>
      </c>
      <c r="R1696" s="0" t="n">
        <v>44483</v>
      </c>
      <c r="AD1696" s="0" t="s">
        <v>148</v>
      </c>
      <c r="AE1696" s="0" t="s">
        <v>149</v>
      </c>
      <c r="AF1696" s="0" t="s">
        <v>150</v>
      </c>
      <c r="AH1696" s="0" t="n">
        <v>14</v>
      </c>
      <c r="AI1696" s="0" t="n">
        <v>11</v>
      </c>
      <c r="AN1696" s="0" t="s">
        <v>146</v>
      </c>
      <c r="AO1696" s="0" t="s">
        <v>250</v>
      </c>
      <c r="AP1696" s="0" t="s">
        <v>251</v>
      </c>
      <c r="AQ1696" s="0" t="n">
        <v>9</v>
      </c>
      <c r="AR1696" s="0" t="n">
        <v>64</v>
      </c>
      <c r="AS1696" s="0" t="n">
        <v>32</v>
      </c>
      <c r="AU1696" s="0" t="n">
        <f aca="false">COUNTA($BA$2310:$EH$2310)</f>
        <v>2</v>
      </c>
      <c r="AV1696" s="0" t="n">
        <f aca="false">COUNTIF($BA$2310:$EH$2310,"D")</f>
        <v>0</v>
      </c>
      <c r="AW1696" s="0" t="n">
        <f aca="false">COUNTIF($BA$2310:$EH$2310,"R")</f>
        <v>0</v>
      </c>
      <c r="AX1696" s="0" t="n">
        <f aca="false"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>0</v>
      </c>
      <c r="AY1696" s="0" t="n">
        <f aca="false">COUNTIF(DU1696:EH1696, "&lt;&gt;")</f>
        <v>0</v>
      </c>
      <c r="AZ1696" s="0" t="n">
        <f aca="false">IF(EH1696&lt;&gt;"",1,0)</f>
        <v>0</v>
      </c>
      <c r="BB1696" s="0" t="s">
        <v>153</v>
      </c>
    </row>
    <row r="1697" customFormat="false" ht="13.8" hidden="true" customHeight="false" outlineLevel="0" collapsed="false">
      <c r="A1697" s="0" t="s">
        <v>7698</v>
      </c>
      <c r="B1697" s="0" t="n">
        <v>78</v>
      </c>
      <c r="C1697" s="0" t="n">
        <v>125943</v>
      </c>
      <c r="D1697" s="0" t="s">
        <v>7699</v>
      </c>
      <c r="E1697" s="0" t="s">
        <v>557</v>
      </c>
      <c r="F1697" s="0" t="str">
        <f aca="false">CONCATENATE(D1697," ",LEFT(H1697,4),"T=",AU1697,"D=",AV1697,"R=",AW1697,"M=",AX1697,"L=",AY1697,"B=",AZ1697)</f>
        <v>HOFFMAN T=1D=0R=0M=2L=0B=0</v>
      </c>
      <c r="G1697" s="0" t="s">
        <v>455</v>
      </c>
      <c r="I1697" s="0" t="s">
        <v>7700</v>
      </c>
      <c r="J1697" s="0" t="s">
        <v>7701</v>
      </c>
      <c r="K1697" s="0" t="s">
        <v>144</v>
      </c>
      <c r="L1697" s="0"/>
      <c r="M1697" s="0" t="s">
        <v>7697</v>
      </c>
      <c r="N1697" s="0" t="str">
        <f aca="false">RIGHT(M1697,LEN(M1697)-FIND(" ",M1697))</f>
        <v>MARYLAND ST NE</v>
      </c>
      <c r="P1697" s="0" t="s">
        <v>146</v>
      </c>
      <c r="Q1697" s="0" t="s">
        <v>147</v>
      </c>
      <c r="R1697" s="0" t="n">
        <v>44483</v>
      </c>
      <c r="AD1697" s="0" t="s">
        <v>148</v>
      </c>
      <c r="AE1697" s="0" t="s">
        <v>149</v>
      </c>
      <c r="AF1697" s="0" t="s">
        <v>150</v>
      </c>
      <c r="AH1697" s="0" t="n">
        <v>14</v>
      </c>
      <c r="AI1697" s="0" t="n">
        <v>11</v>
      </c>
      <c r="AN1697" s="0" t="s">
        <v>146</v>
      </c>
      <c r="AO1697" s="0" t="s">
        <v>250</v>
      </c>
      <c r="AP1697" s="0" t="s">
        <v>251</v>
      </c>
      <c r="AQ1697" s="0" t="n">
        <v>9</v>
      </c>
      <c r="AR1697" s="0" t="n">
        <v>64</v>
      </c>
      <c r="AS1697" s="0" t="n">
        <v>32</v>
      </c>
      <c r="AU1697" s="0" t="n">
        <f aca="false">COUNTA($BA$2437:$EH$2437)</f>
        <v>1</v>
      </c>
      <c r="AV1697" s="0" t="n">
        <f aca="false">COUNTIF($BA$2437:$EH$2437,"D")</f>
        <v>0</v>
      </c>
      <c r="AW1697" s="0" t="n">
        <f aca="false">COUNTIF($BA$2437:$EH$2437,"R")</f>
        <v>0</v>
      </c>
      <c r="AX1697" s="0" t="n">
        <f aca="false"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>2</v>
      </c>
      <c r="AY1697" s="0" t="n">
        <f aca="false">COUNTIF(DU1697:EH1697, "&lt;&gt;")</f>
        <v>0</v>
      </c>
      <c r="AZ1697" s="0" t="n">
        <f aca="false">IF(EH1697&lt;&gt;"",1,0)</f>
        <v>0</v>
      </c>
      <c r="BB1697" s="0" t="s">
        <v>153</v>
      </c>
      <c r="BL1697" s="0" t="s">
        <v>154</v>
      </c>
      <c r="BP1697" s="0" t="s">
        <v>154</v>
      </c>
      <c r="BR1697" s="0" t="s">
        <v>154</v>
      </c>
      <c r="BS1697" s="0" t="s">
        <v>154</v>
      </c>
      <c r="BV1697" s="0" t="s">
        <v>154</v>
      </c>
      <c r="BY1697" s="0" t="s">
        <v>155</v>
      </c>
      <c r="CA1697" s="0" t="s">
        <v>154</v>
      </c>
      <c r="CK1697" s="0" t="s">
        <v>154</v>
      </c>
      <c r="CL1697" s="0" t="s">
        <v>155</v>
      </c>
      <c r="CN1697" s="0" t="s">
        <v>154</v>
      </c>
      <c r="CP1697" s="0" t="s">
        <v>154</v>
      </c>
      <c r="CV1697" s="0" t="s">
        <v>154</v>
      </c>
      <c r="CY1697" s="0" t="s">
        <v>154</v>
      </c>
      <c r="CZ1697" s="0" t="s">
        <v>155</v>
      </c>
      <c r="DC1697" s="0" t="s">
        <v>154</v>
      </c>
      <c r="DF1697" s="0" t="s">
        <v>154</v>
      </c>
      <c r="DI1697" s="0" t="s">
        <v>154</v>
      </c>
      <c r="DJ1697" s="0" t="s">
        <v>155</v>
      </c>
    </row>
    <row r="1698" customFormat="false" ht="13.8" hidden="true" customHeight="false" outlineLevel="0" collapsed="false">
      <c r="A1698" s="0" t="s">
        <v>7702</v>
      </c>
      <c r="B1698" s="0" t="n">
        <v>78</v>
      </c>
      <c r="C1698" s="0" t="n">
        <v>395380</v>
      </c>
      <c r="D1698" s="0" t="s">
        <v>7703</v>
      </c>
      <c r="E1698" s="0" t="s">
        <v>1295</v>
      </c>
      <c r="F1698" s="0" t="str">
        <f aca="false">CONCATENATE(D1698," ",LEFT(H1698,4),"T=",AU1698,"D=",AV1698,"R=",AW1698,"M=",AX1698,"L=",AY1698,"B=",AZ1698)</f>
        <v>FOBES JRT=15D=2R=0M=0L=1B=0</v>
      </c>
      <c r="G1698" s="0" t="s">
        <v>664</v>
      </c>
      <c r="H1698" s="0" t="s">
        <v>431</v>
      </c>
      <c r="I1698" s="0" t="s">
        <v>7704</v>
      </c>
      <c r="J1698" s="0" t="s">
        <v>757</v>
      </c>
      <c r="K1698" s="0" t="s">
        <v>175</v>
      </c>
      <c r="L1698" s="0"/>
      <c r="M1698" s="0" t="s">
        <v>7705</v>
      </c>
      <c r="N1698" s="0" t="str">
        <f aca="false">RIGHT(M1698,LEN(M1698)-FIND(" ",M1698))</f>
        <v>MARYLAND ST NE</v>
      </c>
      <c r="P1698" s="0" t="s">
        <v>146</v>
      </c>
      <c r="Q1698" s="0" t="s">
        <v>147</v>
      </c>
      <c r="R1698" s="0" t="n">
        <v>44483</v>
      </c>
      <c r="AD1698" s="0" t="s">
        <v>148</v>
      </c>
      <c r="AE1698" s="0" t="s">
        <v>149</v>
      </c>
      <c r="AF1698" s="0" t="s">
        <v>150</v>
      </c>
      <c r="AH1698" s="0" t="n">
        <v>14</v>
      </c>
      <c r="AI1698" s="0" t="n">
        <v>11</v>
      </c>
      <c r="AN1698" s="0" t="s">
        <v>146</v>
      </c>
      <c r="AO1698" s="0" t="s">
        <v>250</v>
      </c>
      <c r="AP1698" s="0" t="s">
        <v>251</v>
      </c>
      <c r="AQ1698" s="0" t="n">
        <v>9</v>
      </c>
      <c r="AR1698" s="0" t="n">
        <v>64</v>
      </c>
      <c r="AS1698" s="0" t="n">
        <v>32</v>
      </c>
      <c r="AU1698" s="0" t="n">
        <f aca="false">COUNTA($BA$2165:$EH$2165)</f>
        <v>15</v>
      </c>
      <c r="AV1698" s="0" t="n">
        <f aca="false">COUNTIF($BA$2165:$EH$2165,"D")</f>
        <v>2</v>
      </c>
      <c r="AW1698" s="0" t="n">
        <f aca="false">COUNTIF($BA$2165:$EH$2165,"R")</f>
        <v>0</v>
      </c>
      <c r="AX1698" s="0" t="n">
        <f aca="false"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>0</v>
      </c>
      <c r="AY1698" s="0" t="n">
        <f aca="false">COUNTIF(DU1698:EH1698, "&lt;&gt;")</f>
        <v>1</v>
      </c>
      <c r="AZ1698" s="0" t="n">
        <f aca="false">IF(EH1698&lt;&gt;"",1,0)</f>
        <v>0</v>
      </c>
      <c r="BB1698" s="0" t="s">
        <v>153</v>
      </c>
      <c r="CV1698" s="0" t="s">
        <v>154</v>
      </c>
      <c r="CZ1698" s="0" t="s">
        <v>176</v>
      </c>
      <c r="DC1698" s="0" t="s">
        <v>154</v>
      </c>
      <c r="DX1698" s="0" t="s">
        <v>154</v>
      </c>
    </row>
    <row r="1699" customFormat="false" ht="13.8" hidden="false" customHeight="false" outlineLevel="0" collapsed="false">
      <c r="A1699" s="0" t="s">
        <v>7706</v>
      </c>
      <c r="B1699" s="0" t="n">
        <v>78</v>
      </c>
      <c r="C1699" s="0" t="n">
        <v>224804</v>
      </c>
      <c r="D1699" s="0" t="s">
        <v>7703</v>
      </c>
      <c r="E1699" s="0" t="s">
        <v>323</v>
      </c>
      <c r="F1699" s="0" t="str">
        <f aca="false">CONCATENATE(D1699," ",LEFT(H1699,4),"T=",AU1699,"D=",AV1699,"R=",AW1699,"M=",AX1699,"L=",AY1699,"B=",AZ1699)</f>
        <v>FOBES T=2D=0R=0M=0L=4B=0</v>
      </c>
      <c r="G1699" s="0" t="s">
        <v>297</v>
      </c>
      <c r="I1699" s="0" t="s">
        <v>7707</v>
      </c>
      <c r="J1699" s="0" t="s">
        <v>7708</v>
      </c>
      <c r="K1699" s="0" t="s">
        <v>175</v>
      </c>
      <c r="M1699" s="0" t="s">
        <v>7705</v>
      </c>
      <c r="N1699" s="0" t="str">
        <f aca="false">RIGHT(M1699,LEN(M1699)-FIND(" ",M1699))</f>
        <v>MARYLAND ST NE</v>
      </c>
      <c r="P1699" s="0" t="s">
        <v>146</v>
      </c>
      <c r="Q1699" s="0" t="s">
        <v>147</v>
      </c>
      <c r="R1699" s="0" t="n">
        <v>44483</v>
      </c>
      <c r="S1699" s="0" t="n">
        <v>3417</v>
      </c>
      <c r="AD1699" s="0" t="s">
        <v>148</v>
      </c>
      <c r="AE1699" s="0" t="s">
        <v>149</v>
      </c>
      <c r="AF1699" s="0" t="s">
        <v>150</v>
      </c>
      <c r="AH1699" s="0" t="n">
        <v>14</v>
      </c>
      <c r="AI1699" s="0" t="n">
        <v>11</v>
      </c>
      <c r="AN1699" s="0" t="s">
        <v>146</v>
      </c>
      <c r="AO1699" s="0" t="s">
        <v>250</v>
      </c>
      <c r="AP1699" s="0" t="s">
        <v>251</v>
      </c>
      <c r="AQ1699" s="0" t="n">
        <v>9</v>
      </c>
      <c r="AR1699" s="0" t="n">
        <v>64</v>
      </c>
      <c r="AS1699" s="0" t="n">
        <v>32</v>
      </c>
      <c r="AU1699" s="0" t="n">
        <f aca="false">COUNTA($BA$2586:$EH$2586)</f>
        <v>2</v>
      </c>
      <c r="AV1699" s="0" t="n">
        <f aca="false">COUNTIF($BA$2586:$EH$2586,"D")</f>
        <v>0</v>
      </c>
      <c r="AW1699" s="0" t="n">
        <f aca="false">COUNTIF($BA$2586:$EH$2586,"R")</f>
        <v>0</v>
      </c>
      <c r="AX1699" s="0" t="n">
        <f aca="false"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>0</v>
      </c>
      <c r="AY1699" s="0" t="n">
        <f aca="false">COUNTIF(DU1699:EH1699, "&lt;&gt;")</f>
        <v>4</v>
      </c>
      <c r="AZ1699" s="0" t="n">
        <f aca="false">IF(EH1699&lt;&gt;"",1,0)</f>
        <v>0</v>
      </c>
      <c r="BB1699" s="0" t="s">
        <v>153</v>
      </c>
      <c r="BD1699" s="0" t="s">
        <v>154</v>
      </c>
      <c r="BF1699" s="0" t="s">
        <v>154</v>
      </c>
      <c r="BG1699" s="0" t="s">
        <v>154</v>
      </c>
      <c r="BH1699" s="0" t="s">
        <v>154</v>
      </c>
      <c r="BK1699" s="0" t="s">
        <v>154</v>
      </c>
      <c r="BL1699" s="0" t="s">
        <v>154</v>
      </c>
      <c r="BP1699" s="0" t="s">
        <v>154</v>
      </c>
      <c r="BR1699" s="0" t="s">
        <v>154</v>
      </c>
      <c r="BS1699" s="0" t="s">
        <v>154</v>
      </c>
      <c r="BY1699" s="0" t="s">
        <v>176</v>
      </c>
      <c r="CK1699" s="0" t="s">
        <v>154</v>
      </c>
      <c r="CN1699" s="0" t="s">
        <v>154</v>
      </c>
      <c r="CP1699" s="0" t="s">
        <v>154</v>
      </c>
      <c r="CY1699" s="0" t="s">
        <v>154</v>
      </c>
      <c r="CZ1699" s="0" t="s">
        <v>176</v>
      </c>
      <c r="DC1699" s="0" t="s">
        <v>154</v>
      </c>
      <c r="DG1699" s="0" t="s">
        <v>176</v>
      </c>
      <c r="DI1699" s="0" t="s">
        <v>154</v>
      </c>
      <c r="DL1699" s="0" t="s">
        <v>154</v>
      </c>
      <c r="DN1699" s="0" t="s">
        <v>154</v>
      </c>
      <c r="DU1699" s="0" t="s">
        <v>154</v>
      </c>
      <c r="DX1699" s="0" t="s">
        <v>154</v>
      </c>
      <c r="EA1699" s="0" t="s">
        <v>154</v>
      </c>
      <c r="EF1699" s="0" t="s">
        <v>154</v>
      </c>
    </row>
    <row r="1700" customFormat="false" ht="13.8" hidden="false" customHeight="false" outlineLevel="0" collapsed="false">
      <c r="A1700" s="0" t="s">
        <v>7709</v>
      </c>
      <c r="B1700" s="0" t="n">
        <v>78</v>
      </c>
      <c r="C1700" s="0" t="n">
        <v>468338</v>
      </c>
      <c r="D1700" s="0" t="s">
        <v>7703</v>
      </c>
      <c r="E1700" s="0" t="s">
        <v>266</v>
      </c>
      <c r="F1700" s="0" t="str">
        <f aca="false">CONCATENATE(D1700," ",LEFT(H1700,4),"T=",AU1700,"D=",AV1700,"R=",AW1700,"M=",AX1700,"L=",AY1700,"B=",AZ1700)</f>
        <v>FOBES T=1D=0R=0M=0L=3B=0</v>
      </c>
      <c r="G1700" s="0" t="s">
        <v>188</v>
      </c>
      <c r="I1700" s="0" t="s">
        <v>7710</v>
      </c>
      <c r="J1700" s="0" t="s">
        <v>1777</v>
      </c>
      <c r="K1700" s="0" t="s">
        <v>175</v>
      </c>
      <c r="M1700" s="0" t="s">
        <v>7705</v>
      </c>
      <c r="N1700" s="0" t="str">
        <f aca="false">RIGHT(M1700,LEN(M1700)-FIND(" ",M1700))</f>
        <v>MARYLAND ST NE</v>
      </c>
      <c r="P1700" s="0" t="s">
        <v>146</v>
      </c>
      <c r="Q1700" s="0" t="s">
        <v>147</v>
      </c>
      <c r="R1700" s="0" t="n">
        <v>44483</v>
      </c>
      <c r="AD1700" s="0" t="s">
        <v>148</v>
      </c>
      <c r="AE1700" s="0" t="s">
        <v>149</v>
      </c>
      <c r="AF1700" s="0" t="s">
        <v>150</v>
      </c>
      <c r="AH1700" s="0" t="n">
        <v>14</v>
      </c>
      <c r="AI1700" s="0" t="n">
        <v>11</v>
      </c>
      <c r="AN1700" s="0" t="s">
        <v>146</v>
      </c>
      <c r="AO1700" s="0" t="s">
        <v>250</v>
      </c>
      <c r="AP1700" s="0" t="s">
        <v>251</v>
      </c>
      <c r="AQ1700" s="0" t="n">
        <v>9</v>
      </c>
      <c r="AR1700" s="0" t="n">
        <v>64</v>
      </c>
      <c r="AS1700" s="0" t="n">
        <v>32</v>
      </c>
      <c r="AU1700" s="0" t="n">
        <f aca="false">COUNTA($BA$2687:$EH$2687)</f>
        <v>1</v>
      </c>
      <c r="AV1700" s="0" t="n">
        <f aca="false">COUNTIF($BA$2687:$EH$2687,"D")</f>
        <v>0</v>
      </c>
      <c r="AW1700" s="0" t="n">
        <f aca="false">COUNTIF($BA$2687:$EH$2687,"R")</f>
        <v>0</v>
      </c>
      <c r="AX1700" s="0" t="n">
        <f aca="false"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>0</v>
      </c>
      <c r="AY1700" s="0" t="n">
        <f aca="false">COUNTIF(DU1700:EH1700, "&lt;&gt;")</f>
        <v>3</v>
      </c>
      <c r="AZ1700" s="0" t="n">
        <f aca="false">IF(EH1700&lt;&gt;"",1,0)</f>
        <v>0</v>
      </c>
      <c r="BB1700" s="0" t="s">
        <v>153</v>
      </c>
      <c r="DX1700" s="0" t="s">
        <v>154</v>
      </c>
      <c r="EA1700" s="0" t="s">
        <v>154</v>
      </c>
      <c r="EF1700" s="0" t="s">
        <v>154</v>
      </c>
    </row>
    <row r="1701" customFormat="false" ht="13.8" hidden="true" customHeight="false" outlineLevel="0" collapsed="false">
      <c r="A1701" s="0" t="s">
        <v>7711</v>
      </c>
      <c r="B1701" s="0" t="n">
        <v>78</v>
      </c>
      <c r="C1701" s="0" t="n">
        <v>460144</v>
      </c>
      <c r="D1701" s="0" t="s">
        <v>7712</v>
      </c>
      <c r="E1701" s="0" t="s">
        <v>2303</v>
      </c>
      <c r="F1701" s="0" t="str">
        <f aca="false">CONCATENATE(D1701," ",LEFT(H1701,4),"T=",AU1701,"D=",AV1701,"R=",AW1701,"M=",AX1701,"L=",AY1701,"B=",AZ1701)</f>
        <v>FOSTER T=8D=0R=1M=0L=0B=0</v>
      </c>
      <c r="G1701" s="0" t="s">
        <v>1366</v>
      </c>
      <c r="I1701" s="0" t="s">
        <v>7713</v>
      </c>
      <c r="J1701" s="0" t="s">
        <v>7128</v>
      </c>
      <c r="K1701" s="0" t="s">
        <v>144</v>
      </c>
      <c r="L1701" s="0"/>
      <c r="M1701" s="0" t="s">
        <v>7714</v>
      </c>
      <c r="N1701" s="0" t="str">
        <f aca="false">RIGHT(M1701,LEN(M1701)-FIND(" ",M1701))</f>
        <v>MARYLAND ST NE</v>
      </c>
      <c r="P1701" s="0" t="s">
        <v>146</v>
      </c>
      <c r="Q1701" s="0" t="s">
        <v>147</v>
      </c>
      <c r="R1701" s="0" t="n">
        <v>44483</v>
      </c>
      <c r="AD1701" s="0" t="s">
        <v>148</v>
      </c>
      <c r="AE1701" s="0" t="s">
        <v>149</v>
      </c>
      <c r="AF1701" s="0" t="s">
        <v>150</v>
      </c>
      <c r="AH1701" s="0" t="n">
        <v>14</v>
      </c>
      <c r="AI1701" s="0" t="n">
        <v>11</v>
      </c>
      <c r="AN1701" s="0" t="s">
        <v>146</v>
      </c>
      <c r="AO1701" s="0" t="s">
        <v>250</v>
      </c>
      <c r="AP1701" s="0" t="s">
        <v>251</v>
      </c>
      <c r="AQ1701" s="0" t="n">
        <v>9</v>
      </c>
      <c r="AR1701" s="0" t="n">
        <v>64</v>
      </c>
      <c r="AS1701" s="0" t="n">
        <v>32</v>
      </c>
      <c r="AU1701" s="0" t="n">
        <f aca="false">COUNTA($BA$2683:$EH$2683)</f>
        <v>8</v>
      </c>
      <c r="AV1701" s="0" t="n">
        <f aca="false">COUNTIF($BA$2683:$EH$2683,"D")</f>
        <v>0</v>
      </c>
      <c r="AW1701" s="0" t="n">
        <f aca="false">COUNTIF($BA$2683:$EH$2683,"R")</f>
        <v>1</v>
      </c>
      <c r="AX1701" s="0" t="n">
        <f aca="false"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>0</v>
      </c>
      <c r="AY1701" s="0" t="n">
        <f aca="false">COUNTIF(DU1701:EH1701, "&lt;&gt;")</f>
        <v>0</v>
      </c>
      <c r="AZ1701" s="0" t="n">
        <f aca="false">IF(EH1701&lt;&gt;"",1,0)</f>
        <v>0</v>
      </c>
      <c r="BB1701" s="0" t="s">
        <v>153</v>
      </c>
    </row>
    <row r="1702" customFormat="false" ht="13.8" hidden="false" customHeight="false" outlineLevel="0" collapsed="false">
      <c r="A1702" s="0" t="s">
        <v>7715</v>
      </c>
      <c r="B1702" s="0" t="n">
        <v>78</v>
      </c>
      <c r="C1702" s="0" t="n">
        <v>404592</v>
      </c>
      <c r="D1702" s="0" t="s">
        <v>801</v>
      </c>
      <c r="E1702" s="0" t="s">
        <v>4481</v>
      </c>
      <c r="F1702" s="0" t="str">
        <f aca="false">CONCATENATE(D1702," ",LEFT(H1702,4),"T=",AU1702,"D=",AV1702,"R=",AW1702,"M=",AX1702,"L=",AY1702,"B=",AZ1702)</f>
        <v>BELL T=10D=2R=0M=1L=5B=0</v>
      </c>
      <c r="G1702" s="0" t="s">
        <v>317</v>
      </c>
      <c r="I1702" s="0" t="s">
        <v>7716</v>
      </c>
      <c r="J1702" s="0" t="s">
        <v>7128</v>
      </c>
      <c r="K1702" s="0" t="s">
        <v>175</v>
      </c>
      <c r="L1702" s="1" t="s">
        <v>155</v>
      </c>
      <c r="M1702" s="0" t="s">
        <v>7714</v>
      </c>
      <c r="N1702" s="0" t="str">
        <f aca="false">RIGHT(M1702,LEN(M1702)-FIND(" ",M1702))</f>
        <v>MARYLAND ST NE</v>
      </c>
      <c r="P1702" s="0" t="s">
        <v>146</v>
      </c>
      <c r="Q1702" s="0" t="s">
        <v>147</v>
      </c>
      <c r="R1702" s="0" t="n">
        <v>44483</v>
      </c>
      <c r="AD1702" s="0" t="s">
        <v>148</v>
      </c>
      <c r="AE1702" s="0" t="s">
        <v>149</v>
      </c>
      <c r="AF1702" s="0" t="s">
        <v>150</v>
      </c>
      <c r="AH1702" s="0" t="n">
        <v>14</v>
      </c>
      <c r="AI1702" s="0" t="n">
        <v>11</v>
      </c>
      <c r="AN1702" s="0" t="s">
        <v>146</v>
      </c>
      <c r="AO1702" s="0" t="s">
        <v>250</v>
      </c>
      <c r="AP1702" s="0" t="s">
        <v>251</v>
      </c>
      <c r="AQ1702" s="0" t="n">
        <v>9</v>
      </c>
      <c r="AR1702" s="0" t="n">
        <v>64</v>
      </c>
      <c r="AS1702" s="0" t="n">
        <v>32</v>
      </c>
      <c r="AU1702" s="0" t="n">
        <f aca="false">COUNTA($BA$2717:$EH$2717)</f>
        <v>10</v>
      </c>
      <c r="AV1702" s="0" t="n">
        <f aca="false">COUNTIF($BA$2717:$EH$2717,"D")</f>
        <v>2</v>
      </c>
      <c r="AW1702" s="0" t="n">
        <f aca="false">COUNTIF($BA$2717:$EH$2717,"R")</f>
        <v>0</v>
      </c>
      <c r="AX1702" s="0" t="n">
        <f aca="false"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>1</v>
      </c>
      <c r="AY1702" s="0" t="n">
        <f aca="false">COUNTIF(DU1702:EH1702, "&lt;&gt;")</f>
        <v>5</v>
      </c>
      <c r="AZ1702" s="0" t="n">
        <f aca="false">IF(EH1702&lt;&gt;"",1,0)</f>
        <v>0</v>
      </c>
      <c r="BB1702" s="0" t="s">
        <v>153</v>
      </c>
      <c r="CV1702" s="0" t="s">
        <v>154</v>
      </c>
      <c r="CY1702" s="0" t="s">
        <v>154</v>
      </c>
      <c r="DC1702" s="0" t="s">
        <v>154</v>
      </c>
      <c r="DI1702" s="0" t="s">
        <v>154</v>
      </c>
      <c r="DL1702" s="0" t="s">
        <v>154</v>
      </c>
      <c r="DN1702" s="0" t="s">
        <v>154</v>
      </c>
      <c r="DR1702" s="0" t="s">
        <v>154</v>
      </c>
      <c r="DT1702" s="0" t="s">
        <v>155</v>
      </c>
      <c r="DU1702" s="0" t="s">
        <v>154</v>
      </c>
      <c r="DW1702" s="0" t="s">
        <v>155</v>
      </c>
      <c r="DX1702" s="0" t="s">
        <v>154</v>
      </c>
      <c r="EA1702" s="0" t="s">
        <v>154</v>
      </c>
      <c r="EF1702" s="0" t="s">
        <v>154</v>
      </c>
    </row>
    <row r="1703" customFormat="false" ht="13.8" hidden="false" customHeight="false" outlineLevel="0" collapsed="false">
      <c r="A1703" s="0" t="s">
        <v>7717</v>
      </c>
      <c r="B1703" s="0" t="n">
        <v>78</v>
      </c>
      <c r="C1703" s="0" t="n">
        <v>145132</v>
      </c>
      <c r="D1703" s="0" t="s">
        <v>3713</v>
      </c>
      <c r="E1703" s="0" t="s">
        <v>7718</v>
      </c>
      <c r="F1703" s="0" t="str">
        <f aca="false">CONCATENATE(D1703," ",LEFT(H1703,4),"T=",AU1703,"D=",AV1703,"R=",AW1703,"M=",AX1703,"L=",AY1703,"B=",AZ1703)</f>
        <v>HAMMERCHECK T=11D=2R=0M=4L=7B=1</v>
      </c>
      <c r="G1703" s="0" t="s">
        <v>172</v>
      </c>
      <c r="I1703" s="0" t="s">
        <v>7719</v>
      </c>
      <c r="J1703" s="0" t="s">
        <v>7720</v>
      </c>
      <c r="K1703" s="0" t="s">
        <v>175</v>
      </c>
      <c r="L1703" s="1" t="s">
        <v>176</v>
      </c>
      <c r="M1703" s="0" t="s">
        <v>7721</v>
      </c>
      <c r="N1703" s="0" t="str">
        <f aca="false">RIGHT(M1703,LEN(M1703)-FIND(" ",M1703))</f>
        <v>MARYLAND ST NE</v>
      </c>
      <c r="P1703" s="0" t="s">
        <v>146</v>
      </c>
      <c r="Q1703" s="0" t="s">
        <v>147</v>
      </c>
      <c r="R1703" s="0" t="n">
        <v>44483</v>
      </c>
      <c r="AD1703" s="0" t="s">
        <v>148</v>
      </c>
      <c r="AE1703" s="0" t="s">
        <v>149</v>
      </c>
      <c r="AF1703" s="0" t="s">
        <v>150</v>
      </c>
      <c r="AH1703" s="0" t="n">
        <v>14</v>
      </c>
      <c r="AI1703" s="0" t="n">
        <v>11</v>
      </c>
      <c r="AN1703" s="0" t="s">
        <v>146</v>
      </c>
      <c r="AO1703" s="0" t="s">
        <v>250</v>
      </c>
      <c r="AP1703" s="0" t="s">
        <v>251</v>
      </c>
      <c r="AQ1703" s="0" t="n">
        <v>9</v>
      </c>
      <c r="AR1703" s="0" t="n">
        <v>64</v>
      </c>
      <c r="AS1703" s="0" t="n">
        <v>32</v>
      </c>
      <c r="AU1703" s="0" t="n">
        <f aca="false">COUNTA($BA$2458:$EH$2458)</f>
        <v>11</v>
      </c>
      <c r="AV1703" s="0" t="n">
        <f aca="false">COUNTIF($BA$2458:$EH$2458,"D")</f>
        <v>2</v>
      </c>
      <c r="AW1703" s="0" t="n">
        <f aca="false">COUNTIF($BA$2458:$EH$2458,"R")</f>
        <v>0</v>
      </c>
      <c r="AX1703" s="0" t="n">
        <f aca="false"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>4</v>
      </c>
      <c r="AY1703" s="0" t="n">
        <f aca="false">COUNTIF(DU1703:EH1703, "&lt;&gt;")</f>
        <v>7</v>
      </c>
      <c r="AZ1703" s="0" t="n">
        <f aca="false">IF(EH1703&lt;&gt;"",1,0)</f>
        <v>1</v>
      </c>
      <c r="BB1703" s="0" t="s">
        <v>153</v>
      </c>
      <c r="BC1703" s="0" t="s">
        <v>154</v>
      </c>
      <c r="BD1703" s="0" t="s">
        <v>154</v>
      </c>
      <c r="BE1703" s="0" t="s">
        <v>154</v>
      </c>
      <c r="BF1703" s="0" t="s">
        <v>154</v>
      </c>
      <c r="BG1703" s="0" t="s">
        <v>154</v>
      </c>
      <c r="BH1703" s="0" t="s">
        <v>154</v>
      </c>
      <c r="BJ1703" s="0" t="s">
        <v>154</v>
      </c>
      <c r="BK1703" s="0" t="s">
        <v>154</v>
      </c>
      <c r="BL1703" s="0" t="s">
        <v>154</v>
      </c>
      <c r="BP1703" s="0" t="s">
        <v>154</v>
      </c>
      <c r="BR1703" s="0" t="s">
        <v>154</v>
      </c>
      <c r="BS1703" s="0" t="s">
        <v>154</v>
      </c>
      <c r="BV1703" s="0" t="s">
        <v>154</v>
      </c>
      <c r="BY1703" s="0" t="s">
        <v>155</v>
      </c>
      <c r="CA1703" s="0" t="s">
        <v>154</v>
      </c>
      <c r="CG1703" s="0" t="s">
        <v>154</v>
      </c>
      <c r="CK1703" s="0" t="s">
        <v>154</v>
      </c>
      <c r="CL1703" s="0" t="s">
        <v>155</v>
      </c>
      <c r="CN1703" s="0" t="s">
        <v>154</v>
      </c>
      <c r="CO1703" s="0" t="s">
        <v>155</v>
      </c>
      <c r="CP1703" s="0" t="s">
        <v>154</v>
      </c>
      <c r="CQ1703" s="0" t="s">
        <v>155</v>
      </c>
      <c r="CT1703" s="0" t="s">
        <v>154</v>
      </c>
      <c r="CU1703" s="0" t="s">
        <v>155</v>
      </c>
      <c r="CV1703" s="0" t="s">
        <v>154</v>
      </c>
      <c r="CY1703" s="0" t="s">
        <v>154</v>
      </c>
      <c r="CZ1703" s="0" t="s">
        <v>155</v>
      </c>
      <c r="DC1703" s="0" t="s">
        <v>154</v>
      </c>
      <c r="DF1703" s="0" t="s">
        <v>154</v>
      </c>
      <c r="DG1703" s="0" t="s">
        <v>155</v>
      </c>
      <c r="DI1703" s="0" t="s">
        <v>154</v>
      </c>
      <c r="DL1703" s="0" t="s">
        <v>154</v>
      </c>
      <c r="DM1703" s="0" t="s">
        <v>176</v>
      </c>
      <c r="DN1703" s="0" t="s">
        <v>154</v>
      </c>
      <c r="DO1703" s="0" t="s">
        <v>155</v>
      </c>
      <c r="DR1703" s="0" t="s">
        <v>154</v>
      </c>
      <c r="DS1703" s="0" t="s">
        <v>176</v>
      </c>
      <c r="DT1703" s="0" t="s">
        <v>176</v>
      </c>
      <c r="DU1703" s="0" t="s">
        <v>154</v>
      </c>
      <c r="DW1703" s="0" t="s">
        <v>155</v>
      </c>
      <c r="DX1703" s="0" t="s">
        <v>154</v>
      </c>
      <c r="EA1703" s="0" t="s">
        <v>154</v>
      </c>
      <c r="ED1703" s="0" t="s">
        <v>176</v>
      </c>
      <c r="EF1703" s="0" t="s">
        <v>154</v>
      </c>
      <c r="EH1703" s="0" t="s">
        <v>154</v>
      </c>
    </row>
    <row r="1704" customFormat="false" ht="13.8" hidden="false" customHeight="false" outlineLevel="0" collapsed="false">
      <c r="A1704" s="0" t="s">
        <v>7722</v>
      </c>
      <c r="B1704" s="0" t="n">
        <v>78</v>
      </c>
      <c r="C1704" s="0" t="n">
        <v>374927</v>
      </c>
      <c r="D1704" s="0" t="s">
        <v>7723</v>
      </c>
      <c r="E1704" s="0" t="s">
        <v>7724</v>
      </c>
      <c r="F1704" s="0" t="str">
        <f aca="false">CONCATENATE(D1704," ",LEFT(H1704,4),"T=",AU1704,"D=",AV1704,"R=",AW1704,"M=",AX1704,"L=",AY1704,"B=",AZ1704)</f>
        <v>CAMERON T=11D=1R=0M=1L=2B=0</v>
      </c>
      <c r="G1704" s="0" t="s">
        <v>159</v>
      </c>
      <c r="I1704" s="0" t="s">
        <v>7725</v>
      </c>
      <c r="J1704" s="0" t="s">
        <v>7726</v>
      </c>
      <c r="K1704" s="0" t="s">
        <v>175</v>
      </c>
      <c r="M1704" s="0" t="s">
        <v>7727</v>
      </c>
      <c r="N1704" s="0" t="str">
        <f aca="false">RIGHT(M1704,LEN(M1704)-FIND(" ",M1704))</f>
        <v>MARYLAND ST NE</v>
      </c>
      <c r="P1704" s="0" t="s">
        <v>146</v>
      </c>
      <c r="Q1704" s="0" t="s">
        <v>147</v>
      </c>
      <c r="R1704" s="0" t="n">
        <v>44483</v>
      </c>
      <c r="AD1704" s="0" t="s">
        <v>148</v>
      </c>
      <c r="AE1704" s="0" t="s">
        <v>149</v>
      </c>
      <c r="AF1704" s="0" t="s">
        <v>150</v>
      </c>
      <c r="AH1704" s="0" t="n">
        <v>14</v>
      </c>
      <c r="AI1704" s="0" t="n">
        <v>11</v>
      </c>
      <c r="AN1704" s="0" t="s">
        <v>146</v>
      </c>
      <c r="AO1704" s="0" t="s">
        <v>250</v>
      </c>
      <c r="AP1704" s="0" t="s">
        <v>251</v>
      </c>
      <c r="AQ1704" s="0" t="n">
        <v>9</v>
      </c>
      <c r="AR1704" s="0" t="n">
        <v>64</v>
      </c>
      <c r="AS1704" s="0" t="n">
        <v>32</v>
      </c>
      <c r="AU1704" s="0" t="n">
        <f aca="false">COUNTA($BA$2647:$EH$2647)</f>
        <v>11</v>
      </c>
      <c r="AV1704" s="0" t="n">
        <f aca="false">COUNTIF($BA$2647:$EH$2647,"D")</f>
        <v>1</v>
      </c>
      <c r="AW1704" s="0" t="n">
        <f aca="false">COUNTIF($BA$2647:$EH$2647,"R")</f>
        <v>0</v>
      </c>
      <c r="AX1704" s="0" t="n">
        <f aca="false"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>1</v>
      </c>
      <c r="AY1704" s="0" t="n">
        <f aca="false">COUNTIF(DU1704:EH1704, "&lt;&gt;")</f>
        <v>2</v>
      </c>
      <c r="AZ1704" s="0" t="n">
        <f aca="false">IF(EH1704&lt;&gt;"",1,0)</f>
        <v>0</v>
      </c>
      <c r="BB1704" s="0" t="s">
        <v>153</v>
      </c>
      <c r="CK1704" s="0" t="s">
        <v>154</v>
      </c>
      <c r="CL1704" s="0" t="s">
        <v>155</v>
      </c>
      <c r="CP1704" s="0" t="s">
        <v>154</v>
      </c>
      <c r="DC1704" s="0" t="s">
        <v>154</v>
      </c>
      <c r="DN1704" s="0" t="s">
        <v>154</v>
      </c>
      <c r="EA1704" s="0" t="s">
        <v>154</v>
      </c>
      <c r="EF1704" s="0" t="s">
        <v>154</v>
      </c>
    </row>
    <row r="1705" customFormat="false" ht="13.8" hidden="true" customHeight="false" outlineLevel="0" collapsed="false">
      <c r="A1705" s="0" t="s">
        <v>7728</v>
      </c>
      <c r="B1705" s="0" t="n">
        <v>78</v>
      </c>
      <c r="C1705" s="0" t="n">
        <v>394363</v>
      </c>
      <c r="D1705" s="0" t="s">
        <v>7729</v>
      </c>
      <c r="E1705" s="0" t="s">
        <v>7730</v>
      </c>
      <c r="F1705" s="0" t="str">
        <f aca="false">CONCATENATE(D1705," ",LEFT(H1705,4),"T=",AU1705,"D=",AV1705,"R=",AW1705,"M=",AX1705,"L=",AY1705,"B=",AZ1705)</f>
        <v>SOWERS T=2D=0R=0M=0L=0B=0</v>
      </c>
      <c r="G1705" s="0" t="s">
        <v>241</v>
      </c>
      <c r="I1705" s="0" t="s">
        <v>7731</v>
      </c>
      <c r="J1705" s="0" t="s">
        <v>7732</v>
      </c>
      <c r="K1705" s="0" t="s">
        <v>175</v>
      </c>
      <c r="L1705" s="0"/>
      <c r="M1705" s="0" t="s">
        <v>7733</v>
      </c>
      <c r="N1705" s="0" t="str">
        <f aca="false">RIGHT(M1705,LEN(M1705)-FIND(" ",M1705))</f>
        <v>MARYLAND ST NE</v>
      </c>
      <c r="P1705" s="0" t="s">
        <v>146</v>
      </c>
      <c r="Q1705" s="0" t="s">
        <v>147</v>
      </c>
      <c r="R1705" s="0" t="n">
        <v>44483</v>
      </c>
      <c r="AD1705" s="0" t="s">
        <v>148</v>
      </c>
      <c r="AE1705" s="0" t="s">
        <v>149</v>
      </c>
      <c r="AF1705" s="0" t="s">
        <v>150</v>
      </c>
      <c r="AH1705" s="0" t="n">
        <v>14</v>
      </c>
      <c r="AI1705" s="0" t="n">
        <v>11</v>
      </c>
      <c r="AN1705" s="0" t="s">
        <v>146</v>
      </c>
      <c r="AO1705" s="0" t="s">
        <v>250</v>
      </c>
      <c r="AP1705" s="0" t="s">
        <v>251</v>
      </c>
      <c r="AQ1705" s="0" t="n">
        <v>9</v>
      </c>
      <c r="AR1705" s="0" t="n">
        <v>64</v>
      </c>
      <c r="AS1705" s="0" t="n">
        <v>32</v>
      </c>
      <c r="AU1705" s="0" t="n">
        <f aca="false">COUNTA($BA$2253:$EH$2253)</f>
        <v>2</v>
      </c>
      <c r="AV1705" s="0" t="n">
        <f aca="false">COUNTIF($BA$2253:$EH$2253,"D")</f>
        <v>0</v>
      </c>
      <c r="AW1705" s="0" t="n">
        <f aca="false">COUNTIF($BA$2253:$EH$2253,"R")</f>
        <v>0</v>
      </c>
      <c r="AX1705" s="0" t="n">
        <f aca="false"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>0</v>
      </c>
      <c r="AY1705" s="0" t="n">
        <f aca="false">COUNTIF(DU1705:EH1705, "&lt;&gt;")</f>
        <v>0</v>
      </c>
      <c r="AZ1705" s="0" t="n">
        <f aca="false">IF(EH1705&lt;&gt;"",1,0)</f>
        <v>0</v>
      </c>
      <c r="BB1705" s="0" t="s">
        <v>153</v>
      </c>
      <c r="DC1705" s="0" t="s">
        <v>154</v>
      </c>
    </row>
    <row r="1706" customFormat="false" ht="13.8" hidden="true" customHeight="false" outlineLevel="0" collapsed="false">
      <c r="A1706" s="0" t="s">
        <v>7734</v>
      </c>
      <c r="B1706" s="0" t="n">
        <v>78</v>
      </c>
      <c r="C1706" s="0" t="n">
        <v>381695</v>
      </c>
      <c r="D1706" s="0" t="s">
        <v>7729</v>
      </c>
      <c r="E1706" s="0" t="s">
        <v>7735</v>
      </c>
      <c r="F1706" s="0" t="str">
        <f aca="false">CONCATENATE(D1706," ",LEFT(H1706,4),"T=",AU1706,"D=",AV1706,"R=",AW1706,"M=",AX1706,"L=",AY1706,"B=",AZ1706)</f>
        <v>SOWERS T=1D=0R=0M=0L=0B=0</v>
      </c>
      <c r="G1706" s="0" t="s">
        <v>677</v>
      </c>
      <c r="I1706" s="0" t="s">
        <v>7736</v>
      </c>
      <c r="J1706" s="0" t="s">
        <v>7737</v>
      </c>
      <c r="K1706" s="0" t="s">
        <v>175</v>
      </c>
      <c r="L1706" s="0"/>
      <c r="M1706" s="0" t="s">
        <v>7733</v>
      </c>
      <c r="N1706" s="0" t="str">
        <f aca="false">RIGHT(M1706,LEN(M1706)-FIND(" ",M1706))</f>
        <v>MARYLAND ST NE</v>
      </c>
      <c r="P1706" s="0" t="s">
        <v>146</v>
      </c>
      <c r="Q1706" s="0" t="s">
        <v>147</v>
      </c>
      <c r="R1706" s="0" t="n">
        <v>44483</v>
      </c>
      <c r="AD1706" s="0" t="s">
        <v>148</v>
      </c>
      <c r="AE1706" s="0" t="s">
        <v>149</v>
      </c>
      <c r="AF1706" s="0" t="s">
        <v>150</v>
      </c>
      <c r="AH1706" s="0" t="n">
        <v>14</v>
      </c>
      <c r="AI1706" s="0" t="n">
        <v>11</v>
      </c>
      <c r="AN1706" s="0" t="s">
        <v>146</v>
      </c>
      <c r="AO1706" s="0" t="s">
        <v>250</v>
      </c>
      <c r="AP1706" s="0" t="s">
        <v>251</v>
      </c>
      <c r="AQ1706" s="0" t="n">
        <v>9</v>
      </c>
      <c r="AR1706" s="0" t="n">
        <v>64</v>
      </c>
      <c r="AS1706" s="0" t="n">
        <v>32</v>
      </c>
      <c r="AU1706" s="0" t="n">
        <f aca="false">COUNTA($BA$2403:$EH$2403)</f>
        <v>1</v>
      </c>
      <c r="AV1706" s="0" t="n">
        <f aca="false">COUNTIF($BA$2403:$EH$2403,"D")</f>
        <v>0</v>
      </c>
      <c r="AW1706" s="0" t="n">
        <f aca="false">COUNTIF($BA$2403:$EH$2403,"R")</f>
        <v>0</v>
      </c>
      <c r="AX1706" s="0" t="n">
        <f aca="false"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>0</v>
      </c>
      <c r="AY1706" s="0" t="n">
        <f aca="false">COUNTIF(DU1706:EH1706, "&lt;&gt;")</f>
        <v>0</v>
      </c>
      <c r="AZ1706" s="0" t="n">
        <f aca="false">IF(EH1706&lt;&gt;"",1,0)</f>
        <v>0</v>
      </c>
      <c r="BB1706" s="0" t="s">
        <v>153</v>
      </c>
      <c r="CP1706" s="0" t="s">
        <v>154</v>
      </c>
      <c r="DC1706" s="0" t="s">
        <v>154</v>
      </c>
    </row>
    <row r="1707" customFormat="false" ht="13.8" hidden="false" customHeight="false" outlineLevel="0" collapsed="false">
      <c r="A1707" s="0" t="s">
        <v>7738</v>
      </c>
      <c r="B1707" s="0" t="n">
        <v>78</v>
      </c>
      <c r="C1707" s="0" t="n">
        <v>473982</v>
      </c>
      <c r="D1707" s="0" t="s">
        <v>4128</v>
      </c>
      <c r="E1707" s="0" t="s">
        <v>423</v>
      </c>
      <c r="F1707" s="0" t="str">
        <f aca="false">CONCATENATE(D1707," ",LEFT(H1707,4),"T=",AU1707,"D=",AV1707,"R=",AW1707,"M=",AX1707,"L=",AY1707,"B=",AZ1707)</f>
        <v>CARTER T=2D=0R=0M=1L=5B=1</v>
      </c>
      <c r="G1707" s="0" t="s">
        <v>7739</v>
      </c>
      <c r="I1707" s="0" t="s">
        <v>7740</v>
      </c>
      <c r="J1707" s="0" t="s">
        <v>7741</v>
      </c>
      <c r="K1707" s="0" t="s">
        <v>175</v>
      </c>
      <c r="L1707" s="1" t="s">
        <v>155</v>
      </c>
      <c r="M1707" s="0" t="s">
        <v>7742</v>
      </c>
      <c r="N1707" s="0" t="str">
        <f aca="false">RIGHT(M1707,LEN(M1707)-FIND(" ",M1707))</f>
        <v>MARYLAND ST NE</v>
      </c>
      <c r="P1707" s="0" t="s">
        <v>146</v>
      </c>
      <c r="Q1707" s="0" t="s">
        <v>147</v>
      </c>
      <c r="R1707" s="0" t="n">
        <v>44483</v>
      </c>
      <c r="AD1707" s="0" t="s">
        <v>148</v>
      </c>
      <c r="AE1707" s="0" t="s">
        <v>149</v>
      </c>
      <c r="AF1707" s="0" t="s">
        <v>150</v>
      </c>
      <c r="AH1707" s="0" t="n">
        <v>14</v>
      </c>
      <c r="AI1707" s="0" t="n">
        <v>11</v>
      </c>
      <c r="AN1707" s="0" t="s">
        <v>146</v>
      </c>
      <c r="AO1707" s="0" t="s">
        <v>250</v>
      </c>
      <c r="AP1707" s="0" t="s">
        <v>251</v>
      </c>
      <c r="AQ1707" s="0" t="n">
        <v>9</v>
      </c>
      <c r="AR1707" s="0" t="n">
        <v>64</v>
      </c>
      <c r="AS1707" s="0" t="n">
        <v>32</v>
      </c>
      <c r="AU1707" s="0" t="n">
        <f aca="false">COUNTA($BA$2316:$EH$2316)</f>
        <v>2</v>
      </c>
      <c r="AV1707" s="0" t="n">
        <f aca="false">COUNTIF($BA$2316:$EH$2316,"D")</f>
        <v>0</v>
      </c>
      <c r="AW1707" s="0" t="n">
        <f aca="false">COUNTIF($BA$2316:$EH$2316,"R")</f>
        <v>0</v>
      </c>
      <c r="AX1707" s="0" t="n">
        <f aca="false"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>1</v>
      </c>
      <c r="AY1707" s="0" t="n">
        <f aca="false">COUNTIF(DU1707:EH1707, "&lt;&gt;")</f>
        <v>5</v>
      </c>
      <c r="AZ1707" s="0" t="n">
        <f aca="false">IF(EH1707&lt;&gt;"",1,0)</f>
        <v>1</v>
      </c>
      <c r="BB1707" s="0" t="s">
        <v>153</v>
      </c>
      <c r="DX1707" s="0" t="s">
        <v>154</v>
      </c>
      <c r="EA1707" s="0" t="s">
        <v>154</v>
      </c>
      <c r="ED1707" s="0" t="s">
        <v>155</v>
      </c>
      <c r="EF1707" s="0" t="s">
        <v>154</v>
      </c>
      <c r="EH1707" s="0" t="s">
        <v>155</v>
      </c>
    </row>
    <row r="1708" customFormat="false" ht="13.8" hidden="false" customHeight="false" outlineLevel="0" collapsed="false">
      <c r="A1708" s="0" t="s">
        <v>7743</v>
      </c>
      <c r="B1708" s="0" t="n">
        <v>78</v>
      </c>
      <c r="C1708" s="0" t="n">
        <v>128087</v>
      </c>
      <c r="D1708" s="0" t="s">
        <v>4128</v>
      </c>
      <c r="E1708" s="0" t="s">
        <v>7744</v>
      </c>
      <c r="F1708" s="0" t="str">
        <f aca="false">CONCATENATE(D1708," ",LEFT(H1708,4),"T=",AU1708,"D=",AV1708,"R=",AW1708,"M=",AX1708,"L=",AY1708,"B=",AZ1708)</f>
        <v>CARTER T=9D=0R=0M=8L=7B=1</v>
      </c>
      <c r="G1708" s="0" t="s">
        <v>172</v>
      </c>
      <c r="I1708" s="0" t="s">
        <v>7745</v>
      </c>
      <c r="J1708" s="0" t="s">
        <v>7746</v>
      </c>
      <c r="K1708" s="0" t="s">
        <v>175</v>
      </c>
      <c r="L1708" s="1" t="s">
        <v>155</v>
      </c>
      <c r="M1708" s="0" t="s">
        <v>7742</v>
      </c>
      <c r="N1708" s="0" t="str">
        <f aca="false">RIGHT(M1708,LEN(M1708)-FIND(" ",M1708))</f>
        <v>MARYLAND ST NE</v>
      </c>
      <c r="P1708" s="0" t="s">
        <v>146</v>
      </c>
      <c r="Q1708" s="0" t="s">
        <v>147</v>
      </c>
      <c r="R1708" s="0" t="n">
        <v>44483</v>
      </c>
      <c r="AD1708" s="0" t="s">
        <v>148</v>
      </c>
      <c r="AE1708" s="0" t="s">
        <v>149</v>
      </c>
      <c r="AF1708" s="0" t="s">
        <v>150</v>
      </c>
      <c r="AH1708" s="0" t="n">
        <v>14</v>
      </c>
      <c r="AI1708" s="0" t="n">
        <v>11</v>
      </c>
      <c r="AN1708" s="0" t="s">
        <v>146</v>
      </c>
      <c r="AO1708" s="0" t="s">
        <v>250</v>
      </c>
      <c r="AP1708" s="0" t="s">
        <v>251</v>
      </c>
      <c r="AQ1708" s="0" t="n">
        <v>9</v>
      </c>
      <c r="AR1708" s="0" t="n">
        <v>64</v>
      </c>
      <c r="AS1708" s="0" t="n">
        <v>32</v>
      </c>
      <c r="AU1708" s="0" t="n">
        <f aca="false">COUNTA($BA$2447:$EH$2447)</f>
        <v>9</v>
      </c>
      <c r="AV1708" s="0" t="n">
        <f aca="false">COUNTIF($BA$2447:$EH$2447,"D")</f>
        <v>0</v>
      </c>
      <c r="AW1708" s="0" t="n">
        <f aca="false">COUNTIF($BA$2447:$EH$2447,"R")</f>
        <v>0</v>
      </c>
      <c r="AX1708" s="0" t="n">
        <f aca="false"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>8</v>
      </c>
      <c r="AY1708" s="0" t="n">
        <f aca="false">COUNTIF(DU1708:EH1708, "&lt;&gt;")</f>
        <v>7</v>
      </c>
      <c r="AZ1708" s="0" t="n">
        <f aca="false">IF(EH1708&lt;&gt;"",1,0)</f>
        <v>1</v>
      </c>
      <c r="BB1708" s="0" t="s">
        <v>153</v>
      </c>
      <c r="BC1708" s="0" t="s">
        <v>154</v>
      </c>
      <c r="BD1708" s="0" t="s">
        <v>154</v>
      </c>
      <c r="BF1708" s="0" t="s">
        <v>154</v>
      </c>
      <c r="BH1708" s="0" t="s">
        <v>154</v>
      </c>
      <c r="BI1708" s="0" t="s">
        <v>154</v>
      </c>
      <c r="BJ1708" s="0" t="s">
        <v>154</v>
      </c>
      <c r="BK1708" s="0" t="s">
        <v>154</v>
      </c>
      <c r="BL1708" s="0" t="s">
        <v>154</v>
      </c>
      <c r="BP1708" s="0" t="s">
        <v>154</v>
      </c>
      <c r="BS1708" s="0" t="s">
        <v>154</v>
      </c>
      <c r="BY1708" s="0" t="s">
        <v>155</v>
      </c>
      <c r="CA1708" s="0" t="s">
        <v>154</v>
      </c>
      <c r="CG1708" s="0" t="s">
        <v>154</v>
      </c>
      <c r="CH1708" s="0" t="s">
        <v>155</v>
      </c>
      <c r="CK1708" s="0" t="s">
        <v>154</v>
      </c>
      <c r="CL1708" s="0" t="s">
        <v>155</v>
      </c>
      <c r="CN1708" s="0" t="s">
        <v>154</v>
      </c>
      <c r="CO1708" s="0" t="s">
        <v>155</v>
      </c>
      <c r="CP1708" s="0" t="s">
        <v>154</v>
      </c>
      <c r="CQ1708" s="0" t="s">
        <v>155</v>
      </c>
      <c r="CT1708" s="0" t="s">
        <v>154</v>
      </c>
      <c r="CU1708" s="0" t="s">
        <v>155</v>
      </c>
      <c r="CV1708" s="0" t="s">
        <v>154</v>
      </c>
      <c r="CW1708" s="0" t="s">
        <v>155</v>
      </c>
      <c r="CY1708" s="0" t="s">
        <v>154</v>
      </c>
      <c r="DC1708" s="0" t="s">
        <v>154</v>
      </c>
      <c r="DD1708" s="0" t="s">
        <v>155</v>
      </c>
      <c r="DF1708" s="0" t="s">
        <v>154</v>
      </c>
      <c r="DG1708" s="0" t="s">
        <v>155</v>
      </c>
      <c r="DI1708" s="0" t="s">
        <v>154</v>
      </c>
      <c r="DJ1708" s="0" t="s">
        <v>155</v>
      </c>
      <c r="DL1708" s="0" t="s">
        <v>154</v>
      </c>
      <c r="DM1708" s="0" t="s">
        <v>155</v>
      </c>
      <c r="DN1708" s="0" t="s">
        <v>154</v>
      </c>
      <c r="DO1708" s="0" t="s">
        <v>155</v>
      </c>
      <c r="DR1708" s="0" t="s">
        <v>154</v>
      </c>
      <c r="DS1708" s="0" t="s">
        <v>155</v>
      </c>
      <c r="DU1708" s="0" t="s">
        <v>154</v>
      </c>
      <c r="DW1708" s="0" t="s">
        <v>155</v>
      </c>
      <c r="DX1708" s="0" t="s">
        <v>154</v>
      </c>
      <c r="EA1708" s="0" t="s">
        <v>154</v>
      </c>
      <c r="ED1708" s="0" t="s">
        <v>155</v>
      </c>
      <c r="EF1708" s="0" t="s">
        <v>154</v>
      </c>
      <c r="EH1708" s="0" t="s">
        <v>155</v>
      </c>
    </row>
    <row r="1709" customFormat="false" ht="13.8" hidden="false" customHeight="false" outlineLevel="0" collapsed="false">
      <c r="A1709" s="0" t="s">
        <v>7747</v>
      </c>
      <c r="B1709" s="0" t="n">
        <v>78</v>
      </c>
      <c r="C1709" s="0" t="n">
        <v>128086</v>
      </c>
      <c r="D1709" s="0" t="s">
        <v>4128</v>
      </c>
      <c r="E1709" s="0" t="s">
        <v>471</v>
      </c>
      <c r="F1709" s="0" t="str">
        <f aca="false">CONCATENATE(D1709," ",LEFT(H1709,4),"T=",AU1709,"D=",AV1709,"R=",AW1709,"M=",AX1709,"L=",AY1709,"B=",AZ1709)</f>
        <v>CARTER T=2D=0R=0M=6L=7B=1</v>
      </c>
      <c r="I1709" s="0" t="s">
        <v>7748</v>
      </c>
      <c r="J1709" s="0" t="s">
        <v>7746</v>
      </c>
      <c r="K1709" s="0" t="s">
        <v>175</v>
      </c>
      <c r="L1709" s="1" t="s">
        <v>155</v>
      </c>
      <c r="M1709" s="0" t="s">
        <v>7742</v>
      </c>
      <c r="N1709" s="0" t="str">
        <f aca="false">RIGHT(M1709,LEN(M1709)-FIND(" ",M1709))</f>
        <v>MARYLAND ST NE</v>
      </c>
      <c r="P1709" s="0" t="s">
        <v>146</v>
      </c>
      <c r="Q1709" s="0" t="s">
        <v>147</v>
      </c>
      <c r="R1709" s="0" t="n">
        <v>44483</v>
      </c>
      <c r="AD1709" s="0" t="s">
        <v>148</v>
      </c>
      <c r="AE1709" s="0" t="s">
        <v>149</v>
      </c>
      <c r="AF1709" s="0" t="s">
        <v>150</v>
      </c>
      <c r="AH1709" s="0" t="n">
        <v>14</v>
      </c>
      <c r="AI1709" s="0" t="n">
        <v>11</v>
      </c>
      <c r="AN1709" s="0" t="s">
        <v>146</v>
      </c>
      <c r="AO1709" s="0" t="s">
        <v>250</v>
      </c>
      <c r="AP1709" s="0" t="s">
        <v>251</v>
      </c>
      <c r="AQ1709" s="0" t="n">
        <v>9</v>
      </c>
      <c r="AR1709" s="0" t="n">
        <v>64</v>
      </c>
      <c r="AS1709" s="0" t="n">
        <v>32</v>
      </c>
      <c r="AU1709" s="0" t="n">
        <f aca="false">COUNTA($BA$2477:$EH$2477)</f>
        <v>2</v>
      </c>
      <c r="AV1709" s="0" t="n">
        <f aca="false">COUNTIF($BA$2477:$EH$2477,"D")</f>
        <v>0</v>
      </c>
      <c r="AW1709" s="0" t="n">
        <f aca="false">COUNTIF($BA$2477:$EH$2477,"R")</f>
        <v>0</v>
      </c>
      <c r="AX1709" s="0" t="n">
        <f aca="false"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>6</v>
      </c>
      <c r="AY1709" s="0" t="n">
        <f aca="false">COUNTIF(DU1709:EH1709, "&lt;&gt;")</f>
        <v>7</v>
      </c>
      <c r="AZ1709" s="0" t="n">
        <f aca="false">IF(EH1709&lt;&gt;"",1,0)</f>
        <v>1</v>
      </c>
      <c r="BB1709" s="0" t="s">
        <v>153</v>
      </c>
      <c r="BD1709" s="0" t="s">
        <v>154</v>
      </c>
      <c r="BE1709" s="0" t="s">
        <v>154</v>
      </c>
      <c r="BF1709" s="0" t="s">
        <v>154</v>
      </c>
      <c r="BG1709" s="0" t="s">
        <v>154</v>
      </c>
      <c r="BH1709" s="0" t="s">
        <v>154</v>
      </c>
      <c r="BI1709" s="0" t="s">
        <v>154</v>
      </c>
      <c r="BJ1709" s="0" t="s">
        <v>154</v>
      </c>
      <c r="BK1709" s="0" t="s">
        <v>154</v>
      </c>
      <c r="BL1709" s="0" t="s">
        <v>154</v>
      </c>
      <c r="BP1709" s="0" t="s">
        <v>154</v>
      </c>
      <c r="BS1709" s="0" t="s">
        <v>154</v>
      </c>
      <c r="BV1709" s="0" t="s">
        <v>154</v>
      </c>
      <c r="BY1709" s="0" t="s">
        <v>155</v>
      </c>
      <c r="CA1709" s="0" t="s">
        <v>154</v>
      </c>
      <c r="CG1709" s="0" t="s">
        <v>154</v>
      </c>
      <c r="CH1709" s="0" t="s">
        <v>155</v>
      </c>
      <c r="CK1709" s="0" t="s">
        <v>154</v>
      </c>
      <c r="CN1709" s="0" t="s">
        <v>154</v>
      </c>
      <c r="CO1709" s="0" t="s">
        <v>155</v>
      </c>
      <c r="CP1709" s="0" t="s">
        <v>154</v>
      </c>
      <c r="CT1709" s="0" t="s">
        <v>154</v>
      </c>
      <c r="CV1709" s="0" t="s">
        <v>154</v>
      </c>
      <c r="CW1709" s="0" t="s">
        <v>155</v>
      </c>
      <c r="CY1709" s="0" t="s">
        <v>154</v>
      </c>
      <c r="CZ1709" s="0" t="s">
        <v>155</v>
      </c>
      <c r="DC1709" s="0" t="s">
        <v>154</v>
      </c>
      <c r="DD1709" s="0" t="s">
        <v>155</v>
      </c>
      <c r="DF1709" s="0" t="s">
        <v>154</v>
      </c>
      <c r="DG1709" s="0" t="s">
        <v>155</v>
      </c>
      <c r="DI1709" s="0" t="s">
        <v>154</v>
      </c>
      <c r="DJ1709" s="0" t="s">
        <v>155</v>
      </c>
      <c r="DL1709" s="0" t="s">
        <v>154</v>
      </c>
      <c r="DM1709" s="0" t="s">
        <v>155</v>
      </c>
      <c r="DN1709" s="0" t="s">
        <v>154</v>
      </c>
      <c r="DO1709" s="0" t="s">
        <v>155</v>
      </c>
      <c r="DR1709" s="0" t="s">
        <v>154</v>
      </c>
      <c r="DS1709" s="0" t="s">
        <v>155</v>
      </c>
      <c r="DU1709" s="0" t="s">
        <v>154</v>
      </c>
      <c r="DW1709" s="0" t="s">
        <v>155</v>
      </c>
      <c r="DX1709" s="0" t="s">
        <v>154</v>
      </c>
      <c r="EA1709" s="0" t="s">
        <v>154</v>
      </c>
      <c r="ED1709" s="0" t="s">
        <v>155</v>
      </c>
      <c r="EF1709" s="0" t="s">
        <v>154</v>
      </c>
      <c r="EH1709" s="0" t="s">
        <v>155</v>
      </c>
    </row>
    <row r="1710" customFormat="false" ht="13.8" hidden="true" customHeight="false" outlineLevel="0" collapsed="false">
      <c r="A1710" s="0" t="s">
        <v>7749</v>
      </c>
      <c r="B1710" s="0" t="n">
        <v>78</v>
      </c>
      <c r="C1710" s="0" t="n">
        <v>317455</v>
      </c>
      <c r="D1710" s="0" t="s">
        <v>1753</v>
      </c>
      <c r="E1710" s="0" t="s">
        <v>240</v>
      </c>
      <c r="F1710" s="0" t="str">
        <f aca="false">CONCATENATE(D1710," ",LEFT(H1710,4),"T=",AU1710,"D=",AV1710,"R=",AW1710,"M=",AX1710,"L=",AY1710,"B=",AZ1710)</f>
        <v>PUTNAM T=1D=0R=0M=0L=0B=0</v>
      </c>
      <c r="G1710" s="0" t="s">
        <v>141</v>
      </c>
      <c r="I1710" s="0" t="s">
        <v>1921</v>
      </c>
      <c r="J1710" s="0" t="s">
        <v>7750</v>
      </c>
      <c r="K1710" s="0" t="s">
        <v>175</v>
      </c>
      <c r="L1710" s="0"/>
      <c r="M1710" s="0" t="s">
        <v>7751</v>
      </c>
      <c r="N1710" s="0" t="str">
        <f aca="false">RIGHT(M1710,LEN(M1710)-FIND(" ",M1710))</f>
        <v>MARYLAND ST NE</v>
      </c>
      <c r="P1710" s="0" t="s">
        <v>146</v>
      </c>
      <c r="Q1710" s="0" t="s">
        <v>147</v>
      </c>
      <c r="R1710" s="0" t="n">
        <v>44483</v>
      </c>
      <c r="AD1710" s="0" t="s">
        <v>148</v>
      </c>
      <c r="AE1710" s="0" t="s">
        <v>149</v>
      </c>
      <c r="AF1710" s="0" t="s">
        <v>150</v>
      </c>
      <c r="AH1710" s="0" t="n">
        <v>14</v>
      </c>
      <c r="AI1710" s="0" t="n">
        <v>11</v>
      </c>
      <c r="AN1710" s="0" t="s">
        <v>146</v>
      </c>
      <c r="AO1710" s="0" t="s">
        <v>250</v>
      </c>
      <c r="AP1710" s="0" t="s">
        <v>251</v>
      </c>
      <c r="AQ1710" s="0" t="n">
        <v>9</v>
      </c>
      <c r="AR1710" s="0" t="n">
        <v>64</v>
      </c>
      <c r="AS1710" s="0" t="n">
        <v>32</v>
      </c>
      <c r="AU1710" s="0" t="n">
        <f aca="false">COUNTA($BA$2542:$EH$2542)</f>
        <v>1</v>
      </c>
      <c r="AV1710" s="0" t="n">
        <f aca="false">COUNTIF($BA$2542:$EH$2542,"D")</f>
        <v>0</v>
      </c>
      <c r="AW1710" s="0" t="n">
        <f aca="false">COUNTIF($BA$2542:$EH$2542,"R")</f>
        <v>0</v>
      </c>
      <c r="AX1710" s="0" t="n">
        <f aca="false"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>0</v>
      </c>
      <c r="AY1710" s="0" t="n">
        <f aca="false">COUNTIF(DU1710:EH1710, "&lt;&gt;")</f>
        <v>0</v>
      </c>
      <c r="AZ1710" s="0" t="n">
        <f aca="false">IF(EH1710&lt;&gt;"",1,0)</f>
        <v>0</v>
      </c>
      <c r="BB1710" s="0" t="s">
        <v>153</v>
      </c>
      <c r="BL1710" s="0" t="s">
        <v>154</v>
      </c>
      <c r="CP1710" s="0" t="s">
        <v>154</v>
      </c>
    </row>
    <row r="1711" customFormat="false" ht="13.8" hidden="true" customHeight="false" outlineLevel="0" collapsed="false">
      <c r="A1711" s="0" t="s">
        <v>7752</v>
      </c>
      <c r="B1711" s="0" t="n">
        <v>78</v>
      </c>
      <c r="C1711" s="0" t="n">
        <v>431354</v>
      </c>
      <c r="D1711" s="0" t="s">
        <v>949</v>
      </c>
      <c r="E1711" s="0" t="s">
        <v>7753</v>
      </c>
      <c r="F1711" s="0" t="str">
        <f aca="false">CONCATENATE(D1711," ",LEFT(H1711,4),"T=",AU1711,"D=",AV1711,"R=",AW1711,"M=",AX1711,"L=",AY1711,"B=",AZ1711)</f>
        <v>RODGERS T=1D=0R=0M=0L=0B=0</v>
      </c>
      <c r="G1711" s="0" t="s">
        <v>241</v>
      </c>
      <c r="I1711" s="0" t="s">
        <v>7754</v>
      </c>
      <c r="J1711" s="0" t="s">
        <v>488</v>
      </c>
      <c r="K1711" s="0" t="s">
        <v>175</v>
      </c>
      <c r="L1711" s="0"/>
      <c r="M1711" s="0" t="s">
        <v>7755</v>
      </c>
      <c r="N1711" s="0" t="str">
        <f aca="false">RIGHT(M1711,LEN(M1711)-FIND(" ",M1711))</f>
        <v>MARYLAND ST NE</v>
      </c>
      <c r="P1711" s="0" t="s">
        <v>146</v>
      </c>
      <c r="Q1711" s="0" t="s">
        <v>147</v>
      </c>
      <c r="R1711" s="0" t="n">
        <v>44483</v>
      </c>
      <c r="AD1711" s="0" t="s">
        <v>148</v>
      </c>
      <c r="AE1711" s="0" t="s">
        <v>149</v>
      </c>
      <c r="AF1711" s="0" t="s">
        <v>150</v>
      </c>
      <c r="AH1711" s="0" t="n">
        <v>14</v>
      </c>
      <c r="AI1711" s="0" t="n">
        <v>11</v>
      </c>
      <c r="AN1711" s="0" t="s">
        <v>146</v>
      </c>
      <c r="AO1711" s="0" t="s">
        <v>250</v>
      </c>
      <c r="AP1711" s="0" t="s">
        <v>251</v>
      </c>
      <c r="AQ1711" s="0" t="n">
        <v>9</v>
      </c>
      <c r="AR1711" s="0" t="n">
        <v>64</v>
      </c>
      <c r="AS1711" s="0" t="n">
        <v>32</v>
      </c>
      <c r="AU1711" s="0" t="n">
        <f aca="false">COUNTA($BA$2272:$EH$2272)</f>
        <v>1</v>
      </c>
      <c r="AV1711" s="0" t="n">
        <f aca="false">COUNTIF($BA$2272:$EH$2272,"D")</f>
        <v>0</v>
      </c>
      <c r="AW1711" s="0" t="n">
        <f aca="false">COUNTIF($BA$2272:$EH$2272,"R")</f>
        <v>0</v>
      </c>
      <c r="AX1711" s="0" t="n">
        <f aca="false"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>0</v>
      </c>
      <c r="AY1711" s="0" t="n">
        <f aca="false">COUNTIF(DU1711:EH1711, "&lt;&gt;")</f>
        <v>0</v>
      </c>
      <c r="AZ1711" s="0" t="n">
        <f aca="false">IF(EH1711&lt;&gt;"",1,0)</f>
        <v>0</v>
      </c>
      <c r="BB1711" s="0" t="s">
        <v>153</v>
      </c>
    </row>
    <row r="1712" customFormat="false" ht="13.8" hidden="true" customHeight="false" outlineLevel="0" collapsed="false">
      <c r="A1712" s="0" t="s">
        <v>7756</v>
      </c>
      <c r="B1712" s="0" t="n">
        <v>78</v>
      </c>
      <c r="C1712" s="0" t="n">
        <v>397729</v>
      </c>
      <c r="D1712" s="0" t="s">
        <v>1753</v>
      </c>
      <c r="E1712" s="0" t="s">
        <v>7757</v>
      </c>
      <c r="F1712" s="0" t="str">
        <f aca="false">CONCATENATE(D1712," ",LEFT(H1712,4),"T=",AU1712,"D=",AV1712,"R=",AW1712,"M=",AX1712,"L=",AY1712,"B=",AZ1712)</f>
        <v>PUTNAM T=1D=0R=0M=0L=0B=0</v>
      </c>
      <c r="G1712" s="0" t="s">
        <v>155</v>
      </c>
      <c r="I1712" s="0" t="s">
        <v>7758</v>
      </c>
      <c r="J1712" s="0" t="s">
        <v>7099</v>
      </c>
      <c r="K1712" s="0" t="s">
        <v>175</v>
      </c>
      <c r="L1712" s="0"/>
      <c r="M1712" s="0" t="s">
        <v>7755</v>
      </c>
      <c r="N1712" s="0" t="str">
        <f aca="false">RIGHT(M1712,LEN(M1712)-FIND(" ",M1712))</f>
        <v>MARYLAND ST NE</v>
      </c>
      <c r="P1712" s="0" t="s">
        <v>146</v>
      </c>
      <c r="Q1712" s="0" t="s">
        <v>147</v>
      </c>
      <c r="R1712" s="0" t="n">
        <v>44483</v>
      </c>
      <c r="AD1712" s="0" t="s">
        <v>148</v>
      </c>
      <c r="AE1712" s="0" t="s">
        <v>149</v>
      </c>
      <c r="AF1712" s="0" t="s">
        <v>150</v>
      </c>
      <c r="AH1712" s="0" t="n">
        <v>14</v>
      </c>
      <c r="AI1712" s="0" t="n">
        <v>11</v>
      </c>
      <c r="AN1712" s="0" t="s">
        <v>146</v>
      </c>
      <c r="AO1712" s="0" t="s">
        <v>250</v>
      </c>
      <c r="AP1712" s="0" t="s">
        <v>251</v>
      </c>
      <c r="AQ1712" s="0" t="n">
        <v>9</v>
      </c>
      <c r="AR1712" s="0" t="n">
        <v>64</v>
      </c>
      <c r="AS1712" s="0" t="n">
        <v>32</v>
      </c>
      <c r="AU1712" s="0" t="n">
        <f aca="false">COUNTA($BA$2678:$EH$2678)</f>
        <v>1</v>
      </c>
      <c r="AV1712" s="0" t="n">
        <f aca="false">COUNTIF($BA$2678:$EH$2678,"D")</f>
        <v>0</v>
      </c>
      <c r="AW1712" s="0" t="n">
        <f aca="false">COUNTIF($BA$2678:$EH$2678,"R")</f>
        <v>0</v>
      </c>
      <c r="AX1712" s="0" t="n">
        <f aca="false"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>0</v>
      </c>
      <c r="AY1712" s="0" t="n">
        <f aca="false">COUNTIF(DU1712:EH1712, "&lt;&gt;")</f>
        <v>0</v>
      </c>
      <c r="AZ1712" s="0" t="n">
        <f aca="false">IF(EH1712&lt;&gt;"",1,0)</f>
        <v>0</v>
      </c>
      <c r="BB1712" s="0" t="s">
        <v>153</v>
      </c>
    </row>
    <row r="1713" customFormat="false" ht="13.8" hidden="true" customHeight="false" outlineLevel="0" collapsed="false">
      <c r="A1713" s="0" t="s">
        <v>7759</v>
      </c>
      <c r="B1713" s="0" t="n">
        <v>78</v>
      </c>
      <c r="C1713" s="0" t="n">
        <v>404214</v>
      </c>
      <c r="D1713" s="0" t="s">
        <v>1491</v>
      </c>
      <c r="E1713" s="0" t="s">
        <v>7760</v>
      </c>
      <c r="F1713" s="0" t="str">
        <f aca="false">CONCATENATE(D1713," ",LEFT(H1713,4),"T=",AU1713,"D=",AV1713,"R=",AW1713,"M=",AX1713,"L=",AY1713,"B=",AZ1713)</f>
        <v>WILLIAMSON T=11D=2R=1M=0L=0B=0</v>
      </c>
      <c r="G1713" s="0" t="s">
        <v>181</v>
      </c>
      <c r="I1713" s="0" t="s">
        <v>7761</v>
      </c>
      <c r="J1713" s="0" t="s">
        <v>7762</v>
      </c>
      <c r="K1713" s="0" t="s">
        <v>175</v>
      </c>
      <c r="L1713" s="0"/>
      <c r="M1713" s="0" t="s">
        <v>7755</v>
      </c>
      <c r="N1713" s="0" t="str">
        <f aca="false">RIGHT(M1713,LEN(M1713)-FIND(" ",M1713))</f>
        <v>MARYLAND ST NE</v>
      </c>
      <c r="P1713" s="0" t="s">
        <v>146</v>
      </c>
      <c r="Q1713" s="0" t="s">
        <v>147</v>
      </c>
      <c r="R1713" s="0" t="n">
        <v>44483</v>
      </c>
      <c r="AD1713" s="0" t="s">
        <v>148</v>
      </c>
      <c r="AE1713" s="0" t="s">
        <v>149</v>
      </c>
      <c r="AF1713" s="0" t="s">
        <v>150</v>
      </c>
      <c r="AH1713" s="0" t="n">
        <v>14</v>
      </c>
      <c r="AI1713" s="0" t="n">
        <v>11</v>
      </c>
      <c r="AN1713" s="0" t="s">
        <v>146</v>
      </c>
      <c r="AO1713" s="0" t="s">
        <v>250</v>
      </c>
      <c r="AP1713" s="0" t="s">
        <v>251</v>
      </c>
      <c r="AQ1713" s="0" t="n">
        <v>9</v>
      </c>
      <c r="AR1713" s="0" t="n">
        <v>64</v>
      </c>
      <c r="AS1713" s="0" t="n">
        <v>32</v>
      </c>
      <c r="AU1713" s="0" t="n">
        <f aca="false">COUNTA($BA$2757:$EH$2757)</f>
        <v>11</v>
      </c>
      <c r="AV1713" s="0" t="n">
        <f aca="false">COUNTIF($BA$2757:$EH$2757,"D")</f>
        <v>2</v>
      </c>
      <c r="AW1713" s="0" t="n">
        <f aca="false">COUNTIF($BA$2757:$EH$2757,"R")</f>
        <v>1</v>
      </c>
      <c r="AX1713" s="0" t="n">
        <f aca="false"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>0</v>
      </c>
      <c r="AY1713" s="0" t="n">
        <f aca="false">COUNTIF(DU1713:EH1713, "&lt;&gt;")</f>
        <v>0</v>
      </c>
      <c r="AZ1713" s="0" t="n">
        <f aca="false">IF(EH1713&lt;&gt;"",1,0)</f>
        <v>0</v>
      </c>
      <c r="BB1713" s="0" t="s">
        <v>153</v>
      </c>
    </row>
    <row r="1714" customFormat="false" ht="13.8" hidden="true" customHeight="false" outlineLevel="0" collapsed="false">
      <c r="A1714" s="0" t="s">
        <v>7763</v>
      </c>
      <c r="B1714" s="0" t="n">
        <v>78</v>
      </c>
      <c r="C1714" s="0" t="n">
        <v>399282</v>
      </c>
      <c r="D1714" s="0" t="s">
        <v>7764</v>
      </c>
      <c r="E1714" s="0" t="s">
        <v>1374</v>
      </c>
      <c r="F1714" s="0" t="str">
        <f aca="false">CONCATENATE(D1714," ",LEFT(H1714,4),"T=",AU1714,"D=",AV1714,"R=",AW1714,"M=",AX1714,"L=",AY1714,"B=",AZ1714)</f>
        <v>CALDWELL T=21D=5R=0M=0L=0B=0</v>
      </c>
      <c r="G1714" s="0" t="s">
        <v>7765</v>
      </c>
      <c r="I1714" s="0" t="s">
        <v>7766</v>
      </c>
      <c r="J1714" s="0" t="s">
        <v>7767</v>
      </c>
      <c r="K1714" s="0" t="s">
        <v>144</v>
      </c>
      <c r="L1714" s="0"/>
      <c r="M1714" s="0" t="s">
        <v>7768</v>
      </c>
      <c r="N1714" s="0" t="str">
        <f aca="false">RIGHT(M1714,LEN(M1714)-FIND(" ",M1714))</f>
        <v>MARYLAND ST NE</v>
      </c>
      <c r="P1714" s="0" t="s">
        <v>146</v>
      </c>
      <c r="Q1714" s="0" t="s">
        <v>147</v>
      </c>
      <c r="R1714" s="0" t="n">
        <v>44483</v>
      </c>
      <c r="AD1714" s="0" t="s">
        <v>148</v>
      </c>
      <c r="AE1714" s="0" t="s">
        <v>149</v>
      </c>
      <c r="AF1714" s="0" t="s">
        <v>150</v>
      </c>
      <c r="AH1714" s="0" t="n">
        <v>14</v>
      </c>
      <c r="AI1714" s="0" t="n">
        <v>11</v>
      </c>
      <c r="AN1714" s="0" t="s">
        <v>146</v>
      </c>
      <c r="AO1714" s="0" t="s">
        <v>250</v>
      </c>
      <c r="AP1714" s="0" t="s">
        <v>251</v>
      </c>
      <c r="AQ1714" s="0" t="n">
        <v>9</v>
      </c>
      <c r="AR1714" s="0" t="n">
        <v>64</v>
      </c>
      <c r="AS1714" s="0" t="n">
        <v>32</v>
      </c>
      <c r="AU1714" s="0" t="n">
        <f aca="false">COUNTA($BA$2121:$EH$2121)</f>
        <v>21</v>
      </c>
      <c r="AV1714" s="0" t="n">
        <f aca="false">COUNTIF($BA$2121:$EH$2121,"D")</f>
        <v>5</v>
      </c>
      <c r="AW1714" s="0" t="n">
        <f aca="false">COUNTIF($BA$2121:$EH$2121,"R")</f>
        <v>0</v>
      </c>
      <c r="AX1714" s="0" t="n">
        <f aca="false"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>0</v>
      </c>
      <c r="AY1714" s="0" t="n">
        <f aca="false">COUNTIF(DU1714:EH1714, "&lt;&gt;")</f>
        <v>0</v>
      </c>
      <c r="AZ1714" s="0" t="n">
        <f aca="false">IF(EH1714&lt;&gt;"",1,0)</f>
        <v>0</v>
      </c>
      <c r="BB1714" s="0" t="s">
        <v>153</v>
      </c>
      <c r="CA1714" s="0" t="s">
        <v>154</v>
      </c>
    </row>
    <row r="1715" customFormat="false" ht="13.8" hidden="true" customHeight="false" outlineLevel="0" collapsed="false">
      <c r="A1715" s="0" t="s">
        <v>7769</v>
      </c>
      <c r="B1715" s="0" t="n">
        <v>78</v>
      </c>
      <c r="C1715" s="0" t="n">
        <v>470880</v>
      </c>
      <c r="D1715" s="0" t="s">
        <v>7764</v>
      </c>
      <c r="E1715" s="0" t="s">
        <v>7770</v>
      </c>
      <c r="F1715" s="0" t="str">
        <f aca="false">CONCATENATE(D1715," ",LEFT(H1715,4),"T=",AU1715,"D=",AV1715,"R=",AW1715,"M=",AX1715,"L=",AY1715,"B=",AZ1715)</f>
        <v>CALDWELL T=4D=0R=0M=0L=0B=0</v>
      </c>
      <c r="G1715" s="0" t="s">
        <v>7771</v>
      </c>
      <c r="I1715" s="0" t="s">
        <v>7772</v>
      </c>
      <c r="J1715" s="0" t="s">
        <v>3224</v>
      </c>
      <c r="K1715" s="0" t="s">
        <v>175</v>
      </c>
      <c r="L1715" s="0"/>
      <c r="M1715" s="0" t="s">
        <v>7768</v>
      </c>
      <c r="N1715" s="0" t="str">
        <f aca="false">RIGHT(M1715,LEN(M1715)-FIND(" ",M1715))</f>
        <v>MARYLAND ST NE</v>
      </c>
      <c r="P1715" s="0" t="s">
        <v>146</v>
      </c>
      <c r="Q1715" s="0" t="s">
        <v>147</v>
      </c>
      <c r="R1715" s="0" t="n">
        <v>44483</v>
      </c>
      <c r="AD1715" s="0" t="s">
        <v>148</v>
      </c>
      <c r="AE1715" s="0" t="s">
        <v>149</v>
      </c>
      <c r="AF1715" s="0" t="s">
        <v>150</v>
      </c>
      <c r="AH1715" s="0" t="n">
        <v>14</v>
      </c>
      <c r="AI1715" s="0" t="n">
        <v>11</v>
      </c>
      <c r="AN1715" s="0" t="s">
        <v>146</v>
      </c>
      <c r="AO1715" s="0" t="s">
        <v>250</v>
      </c>
      <c r="AP1715" s="0" t="s">
        <v>251</v>
      </c>
      <c r="AQ1715" s="0" t="n">
        <v>9</v>
      </c>
      <c r="AR1715" s="0" t="n">
        <v>64</v>
      </c>
      <c r="AS1715" s="0" t="n">
        <v>32</v>
      </c>
      <c r="AU1715" s="0" t="n">
        <f aca="false">COUNTA($BA$2174:$EH$2174)</f>
        <v>4</v>
      </c>
      <c r="AV1715" s="0" t="n">
        <f aca="false">COUNTIF($BA$2174:$EH$2174,"D")</f>
        <v>0</v>
      </c>
      <c r="AW1715" s="0" t="n">
        <f aca="false">COUNTIF($BA$2174:$EH$2174,"R")</f>
        <v>0</v>
      </c>
      <c r="AX1715" s="0" t="n">
        <f aca="false"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>0</v>
      </c>
      <c r="AY1715" s="0" t="n">
        <f aca="false">COUNTIF(DU1715:EH1715, "&lt;&gt;")</f>
        <v>0</v>
      </c>
      <c r="AZ1715" s="0" t="n">
        <f aca="false">IF(EH1715&lt;&gt;"",1,0)</f>
        <v>0</v>
      </c>
      <c r="BB1715" s="0" t="s">
        <v>153</v>
      </c>
    </row>
    <row r="1716" customFormat="false" ht="13.8" hidden="true" customHeight="false" outlineLevel="0" collapsed="false">
      <c r="A1716" s="0" t="s">
        <v>7773</v>
      </c>
      <c r="B1716" s="0" t="n">
        <v>78</v>
      </c>
      <c r="C1716" s="0" t="n">
        <v>487784</v>
      </c>
      <c r="D1716" s="0" t="s">
        <v>7774</v>
      </c>
      <c r="E1716" s="0" t="s">
        <v>7775</v>
      </c>
      <c r="F1716" s="0" t="str">
        <f aca="false">CONCATENATE(D1716," ",LEFT(H1716,4),"T=",AU1716,"D=",AV1716,"R=",AW1716,"M=",AX1716,"L=",AY1716,"B=",AZ1716)</f>
        <v>BLACKMAN T=9D=1R=0M=0L=0B=0</v>
      </c>
      <c r="G1716" s="0" t="s">
        <v>6406</v>
      </c>
      <c r="I1716" s="0" t="s">
        <v>7776</v>
      </c>
      <c r="J1716" s="0" t="s">
        <v>3343</v>
      </c>
      <c r="K1716" s="0" t="s">
        <v>175</v>
      </c>
      <c r="L1716" s="0"/>
      <c r="M1716" s="0" t="s">
        <v>7777</v>
      </c>
      <c r="N1716" s="0" t="str">
        <f aca="false">RIGHT(M1716,LEN(M1716)-FIND(" ",M1716))</f>
        <v>MARYLAND ST NE</v>
      </c>
      <c r="P1716" s="0" t="s">
        <v>146</v>
      </c>
      <c r="Q1716" s="0" t="s">
        <v>147</v>
      </c>
      <c r="R1716" s="0" t="n">
        <v>44483</v>
      </c>
      <c r="AD1716" s="0" t="s">
        <v>148</v>
      </c>
      <c r="AE1716" s="0" t="s">
        <v>149</v>
      </c>
      <c r="AF1716" s="0" t="s">
        <v>150</v>
      </c>
      <c r="AH1716" s="0" t="n">
        <v>14</v>
      </c>
      <c r="AI1716" s="0" t="n">
        <v>11</v>
      </c>
      <c r="AN1716" s="0" t="s">
        <v>146</v>
      </c>
      <c r="AO1716" s="0" t="s">
        <v>250</v>
      </c>
      <c r="AP1716" s="0" t="s">
        <v>251</v>
      </c>
      <c r="AQ1716" s="0" t="n">
        <v>9</v>
      </c>
      <c r="AR1716" s="0" t="n">
        <v>64</v>
      </c>
      <c r="AS1716" s="0" t="n">
        <v>32</v>
      </c>
      <c r="AU1716" s="0" t="n">
        <f aca="false">COUNTA($BA$2153:$EH$2153)</f>
        <v>9</v>
      </c>
      <c r="AV1716" s="0" t="n">
        <f aca="false">COUNTIF($BA$2153:$EH$2153,"D")</f>
        <v>1</v>
      </c>
      <c r="AW1716" s="0" t="n">
        <f aca="false">COUNTIF($BA$2153:$EH$2153,"R")</f>
        <v>0</v>
      </c>
      <c r="AX1716" s="0" t="n">
        <f aca="false"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>0</v>
      </c>
      <c r="AY1716" s="0" t="n">
        <f aca="false">COUNTIF(DU1716:EH1716, "&lt;&gt;")</f>
        <v>0</v>
      </c>
      <c r="AZ1716" s="0" t="n">
        <f aca="false">IF(EH1716&lt;&gt;"",1,0)</f>
        <v>0</v>
      </c>
      <c r="BB1716" s="0" t="s">
        <v>153</v>
      </c>
    </row>
    <row r="1717" customFormat="false" ht="13.8" hidden="true" customHeight="false" outlineLevel="0" collapsed="false">
      <c r="A1717" s="0" t="s">
        <v>7778</v>
      </c>
      <c r="B1717" s="0" t="n">
        <v>78</v>
      </c>
      <c r="C1717" s="0" t="n">
        <v>391837</v>
      </c>
      <c r="D1717" s="0" t="s">
        <v>2311</v>
      </c>
      <c r="E1717" s="0" t="s">
        <v>7779</v>
      </c>
      <c r="F1717" s="0" t="str">
        <f aca="false">CONCATENATE(D1717," ",LEFT(H1717,4),"T=",AU1717,"D=",AV1717,"R=",AW1717,"M=",AX1717,"L=",AY1717,"B=",AZ1717)</f>
        <v>LEWIS T=20D=4R=0M=0L=0B=0</v>
      </c>
      <c r="G1717" s="0" t="s">
        <v>188</v>
      </c>
      <c r="I1717" s="0" t="s">
        <v>7780</v>
      </c>
      <c r="J1717" s="0" t="s">
        <v>4389</v>
      </c>
      <c r="K1717" s="0" t="s">
        <v>144</v>
      </c>
      <c r="L1717" s="0"/>
      <c r="M1717" s="0" t="s">
        <v>7781</v>
      </c>
      <c r="N1717" s="0" t="str">
        <f aca="false">RIGHT(M1717,LEN(M1717)-FIND(" ",M1717))</f>
        <v>MARYLAND ST NE</v>
      </c>
      <c r="P1717" s="0" t="s">
        <v>146</v>
      </c>
      <c r="Q1717" s="0" t="s">
        <v>147</v>
      </c>
      <c r="R1717" s="0" t="n">
        <v>44483</v>
      </c>
      <c r="AD1717" s="0" t="s">
        <v>148</v>
      </c>
      <c r="AE1717" s="0" t="s">
        <v>149</v>
      </c>
      <c r="AF1717" s="0" t="s">
        <v>150</v>
      </c>
      <c r="AH1717" s="0" t="n">
        <v>14</v>
      </c>
      <c r="AI1717" s="0" t="n">
        <v>11</v>
      </c>
      <c r="AN1717" s="0" t="s">
        <v>146</v>
      </c>
      <c r="AO1717" s="0" t="s">
        <v>250</v>
      </c>
      <c r="AP1717" s="0" t="s">
        <v>251</v>
      </c>
      <c r="AQ1717" s="0" t="n">
        <v>9</v>
      </c>
      <c r="AR1717" s="0" t="n">
        <v>64</v>
      </c>
      <c r="AS1717" s="0" t="n">
        <v>32</v>
      </c>
      <c r="AU1717" s="0" t="n">
        <f aca="false">COUNTA($BA$2075:$EH$2075)</f>
        <v>20</v>
      </c>
      <c r="AV1717" s="0" t="n">
        <f aca="false">COUNTIF($BA$2075:$EH$2075,"D")</f>
        <v>4</v>
      </c>
      <c r="AW1717" s="0" t="n">
        <f aca="false">COUNTIF($BA$2075:$EH$2075,"R")</f>
        <v>0</v>
      </c>
      <c r="AX1717" s="0" t="n">
        <f aca="false"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>0</v>
      </c>
      <c r="AY1717" s="0" t="n">
        <f aca="false">COUNTIF(DU1717:EH1717, "&lt;&gt;")</f>
        <v>0</v>
      </c>
      <c r="AZ1717" s="0" t="n">
        <f aca="false">IF(EH1717&lt;&gt;"",1,0)</f>
        <v>0</v>
      </c>
      <c r="BB1717" s="0" t="s">
        <v>153</v>
      </c>
    </row>
    <row r="1718" customFormat="false" ht="13.8" hidden="false" customHeight="false" outlineLevel="0" collapsed="false">
      <c r="A1718" s="0" t="s">
        <v>7782</v>
      </c>
      <c r="B1718" s="0" t="n">
        <v>78</v>
      </c>
      <c r="C1718" s="0" t="n">
        <v>350959</v>
      </c>
      <c r="D1718" s="0" t="s">
        <v>1011</v>
      </c>
      <c r="E1718" s="0" t="s">
        <v>7783</v>
      </c>
      <c r="F1718" s="0" t="str">
        <f aca="false">CONCATENATE(D1718," ",LEFT(H1718,4),"T=",AU1718,"D=",AV1718,"R=",AW1718,"M=",AX1718,"L=",AY1718,"B=",AZ1718)</f>
        <v>DAVIS T=14D=2R=0M=0L=2B=0</v>
      </c>
      <c r="G1718" s="0" t="s">
        <v>188</v>
      </c>
      <c r="I1718" s="0" t="s">
        <v>7784</v>
      </c>
      <c r="J1718" s="0" t="s">
        <v>7785</v>
      </c>
      <c r="K1718" s="0" t="s">
        <v>175</v>
      </c>
      <c r="M1718" s="0" t="s">
        <v>7786</v>
      </c>
      <c r="N1718" s="0" t="str">
        <f aca="false">RIGHT(M1718,LEN(M1718)-FIND(" ",M1718))</f>
        <v>MARYLAND ST NE</v>
      </c>
      <c r="P1718" s="0" t="s">
        <v>146</v>
      </c>
      <c r="Q1718" s="0" t="s">
        <v>147</v>
      </c>
      <c r="R1718" s="0" t="n">
        <v>44483</v>
      </c>
      <c r="AD1718" s="0" t="s">
        <v>148</v>
      </c>
      <c r="AE1718" s="0" t="s">
        <v>149</v>
      </c>
      <c r="AF1718" s="0" t="s">
        <v>150</v>
      </c>
      <c r="AH1718" s="0" t="n">
        <v>14</v>
      </c>
      <c r="AI1718" s="0" t="n">
        <v>11</v>
      </c>
      <c r="AN1718" s="0" t="s">
        <v>146</v>
      </c>
      <c r="AO1718" s="0" t="s">
        <v>250</v>
      </c>
      <c r="AP1718" s="0" t="s">
        <v>251</v>
      </c>
      <c r="AQ1718" s="0" t="n">
        <v>9</v>
      </c>
      <c r="AR1718" s="0" t="n">
        <v>64</v>
      </c>
      <c r="AS1718" s="0" t="n">
        <v>32</v>
      </c>
      <c r="AU1718" s="0" t="n">
        <f aca="false">COUNTA($BA$2294:$EH$2294)</f>
        <v>14</v>
      </c>
      <c r="AV1718" s="0" t="n">
        <f aca="false">COUNTIF($BA$2294:$EH$2294,"D")</f>
        <v>2</v>
      </c>
      <c r="AW1718" s="0" t="n">
        <f aca="false">COUNTIF($BA$2294:$EH$2294,"R")</f>
        <v>0</v>
      </c>
      <c r="AX1718" s="0" t="n">
        <f aca="false"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>0</v>
      </c>
      <c r="AY1718" s="0" t="n">
        <f aca="false">COUNTIF(DU1718:EH1718, "&lt;&gt;")</f>
        <v>2</v>
      </c>
      <c r="AZ1718" s="0" t="n">
        <f aca="false">IF(EH1718&lt;&gt;"",1,0)</f>
        <v>0</v>
      </c>
      <c r="BB1718" s="0" t="s">
        <v>153</v>
      </c>
      <c r="BY1718" s="0" t="s">
        <v>155</v>
      </c>
      <c r="CN1718" s="0" t="s">
        <v>154</v>
      </c>
      <c r="CP1718" s="0" t="s">
        <v>154</v>
      </c>
      <c r="DN1718" s="0" t="s">
        <v>154</v>
      </c>
      <c r="DU1718" s="0" t="s">
        <v>154</v>
      </c>
      <c r="EF1718" s="0" t="s">
        <v>154</v>
      </c>
    </row>
    <row r="1719" customFormat="false" ht="13.8" hidden="true" customHeight="false" outlineLevel="0" collapsed="false">
      <c r="A1719" s="0" t="s">
        <v>7787</v>
      </c>
      <c r="B1719" s="0" t="n">
        <v>78</v>
      </c>
      <c r="C1719" s="0" t="n">
        <v>455127</v>
      </c>
      <c r="D1719" s="0" t="s">
        <v>1011</v>
      </c>
      <c r="E1719" s="0" t="s">
        <v>3369</v>
      </c>
      <c r="F1719" s="0" t="str">
        <f aca="false">CONCATENATE(D1719," ",LEFT(H1719,4),"T=",AU1719,"D=",AV1719,"R=",AW1719,"M=",AX1719,"L=",AY1719,"B=",AZ1719)</f>
        <v>DAVIS T=22D=2R=3M=0L=1B=0</v>
      </c>
      <c r="G1719" s="0" t="s">
        <v>172</v>
      </c>
      <c r="I1719" s="0" t="s">
        <v>7788</v>
      </c>
      <c r="J1719" s="0" t="s">
        <v>7789</v>
      </c>
      <c r="K1719" s="0" t="s">
        <v>175</v>
      </c>
      <c r="L1719" s="0"/>
      <c r="M1719" s="0" t="s">
        <v>7786</v>
      </c>
      <c r="N1719" s="0" t="str">
        <f aca="false">RIGHT(M1719,LEN(M1719)-FIND(" ",M1719))</f>
        <v>MARYLAND ST NE</v>
      </c>
      <c r="P1719" s="0" t="s">
        <v>146</v>
      </c>
      <c r="Q1719" s="0" t="s">
        <v>147</v>
      </c>
      <c r="R1719" s="0" t="n">
        <v>44483</v>
      </c>
      <c r="AD1719" s="0" t="s">
        <v>148</v>
      </c>
      <c r="AE1719" s="0" t="s">
        <v>149</v>
      </c>
      <c r="AF1719" s="0" t="s">
        <v>150</v>
      </c>
      <c r="AH1719" s="0" t="n">
        <v>14</v>
      </c>
      <c r="AI1719" s="0" t="n">
        <v>11</v>
      </c>
      <c r="AN1719" s="0" t="s">
        <v>146</v>
      </c>
      <c r="AO1719" s="0" t="s">
        <v>250</v>
      </c>
      <c r="AP1719" s="0" t="s">
        <v>251</v>
      </c>
      <c r="AQ1719" s="0" t="n">
        <v>9</v>
      </c>
      <c r="AR1719" s="0" t="n">
        <v>64</v>
      </c>
      <c r="AS1719" s="0" t="n">
        <v>32</v>
      </c>
      <c r="AU1719" s="0" t="n">
        <f aca="false">COUNTA($BA$2815:$EH$2815)</f>
        <v>22</v>
      </c>
      <c r="AV1719" s="0" t="n">
        <f aca="false">COUNTIF($BA$2815:$EH$2815,"D")</f>
        <v>2</v>
      </c>
      <c r="AW1719" s="0" t="n">
        <f aca="false">COUNTIF($BA$2815:$EH$2815,"R")</f>
        <v>3</v>
      </c>
      <c r="AX1719" s="0" t="n">
        <f aca="false"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>0</v>
      </c>
      <c r="AY1719" s="0" t="n">
        <f aca="false">COUNTIF(DU1719:EH1719, "&lt;&gt;")</f>
        <v>1</v>
      </c>
      <c r="AZ1719" s="0" t="n">
        <f aca="false">IF(EH1719&lt;&gt;"",1,0)</f>
        <v>0</v>
      </c>
      <c r="BB1719" s="0" t="s">
        <v>153</v>
      </c>
      <c r="BY1719" s="0" t="s">
        <v>155</v>
      </c>
      <c r="CP1719" s="0" t="s">
        <v>154</v>
      </c>
      <c r="DN1719" s="0" t="s">
        <v>154</v>
      </c>
      <c r="DU1719" s="0" t="s">
        <v>154</v>
      </c>
    </row>
    <row r="1720" customFormat="false" ht="13.8" hidden="false" customHeight="false" outlineLevel="0" collapsed="false">
      <c r="A1720" s="0" t="s">
        <v>7790</v>
      </c>
      <c r="B1720" s="0" t="n">
        <v>78</v>
      </c>
      <c r="C1720" s="0" t="n">
        <v>450080</v>
      </c>
      <c r="D1720" s="0" t="s">
        <v>7791</v>
      </c>
      <c r="E1720" s="0" t="s">
        <v>7792</v>
      </c>
      <c r="F1720" s="0" t="str">
        <f aca="false">CONCATENATE(D1720," ",LEFT(H1720,4),"T=",AU1720,"D=",AV1720,"R=",AW1720,"M=",AX1720,"L=",AY1720,"B=",AZ1720)</f>
        <v>AMIR T=9D=0R=1M=0L=2B=0</v>
      </c>
      <c r="I1720" s="0" t="s">
        <v>7793</v>
      </c>
      <c r="J1720" s="0" t="s">
        <v>6547</v>
      </c>
      <c r="K1720" s="0" t="s">
        <v>175</v>
      </c>
      <c r="M1720" s="0" t="s">
        <v>7794</v>
      </c>
      <c r="N1720" s="0" t="str">
        <f aca="false">RIGHT(M1720,LEN(M1720)-FIND(" ",M1720))</f>
        <v>MARYLAND ST NE</v>
      </c>
      <c r="P1720" s="0" t="s">
        <v>146</v>
      </c>
      <c r="Q1720" s="0" t="s">
        <v>147</v>
      </c>
      <c r="R1720" s="0" t="n">
        <v>44483</v>
      </c>
      <c r="AD1720" s="0" t="s">
        <v>148</v>
      </c>
      <c r="AE1720" s="0" t="s">
        <v>149</v>
      </c>
      <c r="AF1720" s="0" t="s">
        <v>150</v>
      </c>
      <c r="AH1720" s="0" t="n">
        <v>14</v>
      </c>
      <c r="AI1720" s="0" t="n">
        <v>11</v>
      </c>
      <c r="AN1720" s="0" t="s">
        <v>146</v>
      </c>
      <c r="AO1720" s="0" t="s">
        <v>250</v>
      </c>
      <c r="AP1720" s="0" t="s">
        <v>251</v>
      </c>
      <c r="AQ1720" s="0" t="n">
        <v>9</v>
      </c>
      <c r="AR1720" s="0" t="n">
        <v>64</v>
      </c>
      <c r="AS1720" s="0" t="n">
        <v>32</v>
      </c>
      <c r="AU1720" s="0" t="n">
        <f aca="false">COUNTA($BA$2605:$EH$2605)</f>
        <v>9</v>
      </c>
      <c r="AV1720" s="0" t="n">
        <f aca="false">COUNTIF($BA$2605:$EH$2605,"D")</f>
        <v>0</v>
      </c>
      <c r="AW1720" s="0" t="n">
        <f aca="false">COUNTIF($BA$2605:$EH$2605,"R")</f>
        <v>1</v>
      </c>
      <c r="AX1720" s="0" t="n">
        <f aca="false"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>0</v>
      </c>
      <c r="AY1720" s="0" t="n">
        <f aca="false">COUNTIF(DU1720:EH1720, "&lt;&gt;")</f>
        <v>2</v>
      </c>
      <c r="AZ1720" s="0" t="n">
        <f aca="false">IF(EH1720&lt;&gt;"",1,0)</f>
        <v>0</v>
      </c>
      <c r="BB1720" s="0" t="s">
        <v>153</v>
      </c>
      <c r="BL1720" s="0" t="s">
        <v>154</v>
      </c>
      <c r="BS1720" s="0" t="s">
        <v>154</v>
      </c>
      <c r="BY1720" s="0" t="s">
        <v>155</v>
      </c>
      <c r="CA1720" s="0" t="s">
        <v>154</v>
      </c>
      <c r="CK1720" s="0" t="s">
        <v>154</v>
      </c>
      <c r="CN1720" s="0" t="s">
        <v>154</v>
      </c>
      <c r="CP1720" s="0" t="s">
        <v>154</v>
      </c>
      <c r="DC1720" s="0" t="s">
        <v>154</v>
      </c>
      <c r="EA1720" s="0" t="s">
        <v>154</v>
      </c>
      <c r="EF1720" s="0" t="s">
        <v>154</v>
      </c>
    </row>
    <row r="1721" customFormat="false" ht="13.8" hidden="true" customHeight="false" outlineLevel="0" collapsed="false">
      <c r="A1721" s="0" t="s">
        <v>7795</v>
      </c>
      <c r="B1721" s="0" t="n">
        <v>78</v>
      </c>
      <c r="C1721" s="0" t="n">
        <v>495950</v>
      </c>
      <c r="D1721" s="0" t="s">
        <v>453</v>
      </c>
      <c r="E1721" s="0" t="s">
        <v>5338</v>
      </c>
      <c r="F1721" s="0" t="str">
        <f aca="false">CONCATENATE(D1721," ",LEFT(H1721,4),"T=",AU1721,"D=",AV1721,"R=",AW1721,"M=",AX1721,"L=",AY1721,"B=",AZ1721)</f>
        <v>YOUNG T=5D=1R=0M=0L=0B=0</v>
      </c>
      <c r="G1721" s="0" t="s">
        <v>166</v>
      </c>
      <c r="I1721" s="0" t="s">
        <v>7796</v>
      </c>
      <c r="J1721" s="0" t="s">
        <v>7797</v>
      </c>
      <c r="K1721" s="0" t="s">
        <v>175</v>
      </c>
      <c r="L1721" s="0"/>
      <c r="M1721" s="0" t="s">
        <v>7798</v>
      </c>
      <c r="N1721" s="0" t="str">
        <f aca="false">RIGHT(M1721,LEN(M1721)-FIND(" ",M1721))</f>
        <v>MARYLAND ST NE</v>
      </c>
      <c r="P1721" s="0" t="s">
        <v>146</v>
      </c>
      <c r="Q1721" s="0" t="s">
        <v>147</v>
      </c>
      <c r="R1721" s="0" t="n">
        <v>44483</v>
      </c>
      <c r="AD1721" s="0" t="s">
        <v>148</v>
      </c>
      <c r="AE1721" s="0" t="s">
        <v>149</v>
      </c>
      <c r="AF1721" s="0" t="s">
        <v>150</v>
      </c>
      <c r="AH1721" s="0" t="n">
        <v>14</v>
      </c>
      <c r="AI1721" s="0" t="n">
        <v>11</v>
      </c>
      <c r="AN1721" s="0" t="s">
        <v>146</v>
      </c>
      <c r="AO1721" s="0" t="s">
        <v>250</v>
      </c>
      <c r="AP1721" s="0" t="s">
        <v>251</v>
      </c>
      <c r="AQ1721" s="0" t="n">
        <v>9</v>
      </c>
      <c r="AR1721" s="0" t="n">
        <v>64</v>
      </c>
      <c r="AS1721" s="0" t="n">
        <v>32</v>
      </c>
      <c r="AU1721" s="0" t="n">
        <f aca="false">COUNTA($BA$2541:$EH$2541)</f>
        <v>5</v>
      </c>
      <c r="AV1721" s="0" t="n">
        <f aca="false">COUNTIF($BA$2541:$EH$2541,"D")</f>
        <v>1</v>
      </c>
      <c r="AW1721" s="0" t="n">
        <f aca="false">COUNTIF($BA$2541:$EH$2541,"R")</f>
        <v>0</v>
      </c>
      <c r="AX1721" s="0" t="n">
        <f aca="false"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>0</v>
      </c>
      <c r="AY1721" s="0" t="n">
        <f aca="false">COUNTIF(DU1721:EH1721, "&lt;&gt;")</f>
        <v>0</v>
      </c>
      <c r="AZ1721" s="0" t="n">
        <f aca="false">IF(EH1721&lt;&gt;"",1,0)</f>
        <v>0</v>
      </c>
      <c r="BB1721" s="0" t="s">
        <v>153</v>
      </c>
    </row>
    <row r="1722" customFormat="false" ht="13.8" hidden="false" customHeight="false" outlineLevel="0" collapsed="false">
      <c r="A1722" s="0" t="s">
        <v>7799</v>
      </c>
      <c r="B1722" s="0" t="n">
        <v>78</v>
      </c>
      <c r="C1722" s="0" t="n">
        <v>442309</v>
      </c>
      <c r="D1722" s="0" t="s">
        <v>453</v>
      </c>
      <c r="E1722" s="0" t="s">
        <v>2209</v>
      </c>
      <c r="F1722" s="0" t="str">
        <f aca="false">CONCATENATE(D1722," ",LEFT(H1722,4),"T=",AU1722,"D=",AV1722,"R=",AW1722,"M=",AX1722,"L=",AY1722,"B=",AZ1722)</f>
        <v>YOUNG T=37D=5R=4M=0L=3B=0</v>
      </c>
      <c r="G1722" s="0" t="s">
        <v>7800</v>
      </c>
      <c r="I1722" s="0" t="s">
        <v>7801</v>
      </c>
      <c r="J1722" s="0" t="s">
        <v>7802</v>
      </c>
      <c r="K1722" s="0" t="s">
        <v>175</v>
      </c>
      <c r="L1722" s="1" t="s">
        <v>176</v>
      </c>
      <c r="M1722" s="0" t="s">
        <v>7798</v>
      </c>
      <c r="N1722" s="0" t="str">
        <f aca="false">RIGHT(M1722,LEN(M1722)-FIND(" ",M1722))</f>
        <v>MARYLAND ST NE</v>
      </c>
      <c r="P1722" s="0" t="s">
        <v>146</v>
      </c>
      <c r="Q1722" s="0" t="s">
        <v>147</v>
      </c>
      <c r="R1722" s="0" t="n">
        <v>44483</v>
      </c>
      <c r="AD1722" s="0" t="s">
        <v>148</v>
      </c>
      <c r="AE1722" s="0" t="s">
        <v>149</v>
      </c>
      <c r="AF1722" s="0" t="s">
        <v>150</v>
      </c>
      <c r="AH1722" s="0" t="n">
        <v>14</v>
      </c>
      <c r="AI1722" s="0" t="n">
        <v>11</v>
      </c>
      <c r="AN1722" s="0" t="s">
        <v>146</v>
      </c>
      <c r="AO1722" s="0" t="s">
        <v>250</v>
      </c>
      <c r="AP1722" s="0" t="s">
        <v>251</v>
      </c>
      <c r="AQ1722" s="0" t="n">
        <v>9</v>
      </c>
      <c r="AR1722" s="0" t="n">
        <v>64</v>
      </c>
      <c r="AS1722" s="0" t="n">
        <v>32</v>
      </c>
      <c r="AU1722" s="0" t="n">
        <f aca="false">COUNTA($BA$2759:$EH$2759)</f>
        <v>37</v>
      </c>
      <c r="AV1722" s="0" t="n">
        <f aca="false">COUNTIF($BA$2759:$EH$2759,"D")</f>
        <v>5</v>
      </c>
      <c r="AW1722" s="0" t="n">
        <f aca="false">COUNTIF($BA$2759:$EH$2759,"R")</f>
        <v>4</v>
      </c>
      <c r="AX1722" s="0" t="n">
        <f aca="false"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>0</v>
      </c>
      <c r="AY1722" s="0" t="n">
        <f aca="false">COUNTIF(DU1722:EH1722, "&lt;&gt;")</f>
        <v>3</v>
      </c>
      <c r="AZ1722" s="0" t="n">
        <f aca="false">IF(EH1722&lt;&gt;"",1,0)</f>
        <v>0</v>
      </c>
      <c r="BB1722" s="0" t="s">
        <v>153</v>
      </c>
      <c r="BL1722" s="0" t="s">
        <v>154</v>
      </c>
      <c r="BP1722" s="0" t="s">
        <v>154</v>
      </c>
      <c r="BS1722" s="0" t="s">
        <v>154</v>
      </c>
      <c r="BY1722" s="0" t="s">
        <v>155</v>
      </c>
      <c r="CA1722" s="0" t="s">
        <v>154</v>
      </c>
      <c r="CG1722" s="0" t="s">
        <v>154</v>
      </c>
      <c r="CH1722" s="0" t="s">
        <v>155</v>
      </c>
      <c r="CK1722" s="0" t="s">
        <v>154</v>
      </c>
      <c r="DL1722" s="0" t="s">
        <v>154</v>
      </c>
      <c r="DM1722" s="0" t="s">
        <v>176</v>
      </c>
      <c r="DN1722" s="0" t="s">
        <v>154</v>
      </c>
      <c r="DU1722" s="0" t="s">
        <v>154</v>
      </c>
      <c r="ED1722" s="0" t="s">
        <v>176</v>
      </c>
      <c r="EF1722" s="0" t="s">
        <v>154</v>
      </c>
    </row>
    <row r="1723" customFormat="false" ht="13.8" hidden="true" customHeight="false" outlineLevel="0" collapsed="false">
      <c r="A1723" s="0" t="s">
        <v>7803</v>
      </c>
      <c r="B1723" s="0" t="n">
        <v>78</v>
      </c>
      <c r="C1723" s="0" t="n">
        <v>488233</v>
      </c>
      <c r="D1723" s="0" t="s">
        <v>4239</v>
      </c>
      <c r="E1723" s="0" t="s">
        <v>7804</v>
      </c>
      <c r="F1723" s="0" t="str">
        <f aca="false">CONCATENATE(D1723," ",LEFT(H1723,4),"T=",AU1723,"D=",AV1723,"R=",AW1723,"M=",AX1723,"L=",AY1723,"B=",AZ1723)</f>
        <v>CRENSHAW T=48D=16R=0M=0L=1B=0</v>
      </c>
      <c r="I1723" s="0" t="s">
        <v>7805</v>
      </c>
      <c r="J1723" s="0" t="s">
        <v>757</v>
      </c>
      <c r="K1723" s="0" t="s">
        <v>175</v>
      </c>
      <c r="L1723" s="0"/>
      <c r="M1723" s="0" t="s">
        <v>7806</v>
      </c>
      <c r="N1723" s="0" t="str">
        <f aca="false">RIGHT(M1723,LEN(M1723)-FIND(" ",M1723))</f>
        <v>MARYLAND ST NE</v>
      </c>
      <c r="P1723" s="0" t="s">
        <v>146</v>
      </c>
      <c r="Q1723" s="0" t="s">
        <v>147</v>
      </c>
      <c r="R1723" s="0" t="n">
        <v>44483</v>
      </c>
      <c r="AD1723" s="0" t="s">
        <v>148</v>
      </c>
      <c r="AE1723" s="0" t="s">
        <v>149</v>
      </c>
      <c r="AF1723" s="0" t="s">
        <v>150</v>
      </c>
      <c r="AH1723" s="0" t="n">
        <v>14</v>
      </c>
      <c r="AI1723" s="0" t="n">
        <v>11</v>
      </c>
      <c r="AN1723" s="0" t="s">
        <v>146</v>
      </c>
      <c r="AO1723" s="0" t="s">
        <v>250</v>
      </c>
      <c r="AP1723" s="0" t="s">
        <v>251</v>
      </c>
      <c r="AQ1723" s="0" t="n">
        <v>9</v>
      </c>
      <c r="AR1723" s="0" t="n">
        <v>64</v>
      </c>
      <c r="AS1723" s="0" t="n">
        <v>32</v>
      </c>
      <c r="AU1723" s="0" t="n">
        <f aca="false">COUNTA($BA$2126:$EH$2126)</f>
        <v>48</v>
      </c>
      <c r="AV1723" s="0" t="n">
        <f aca="false">COUNTIF($BA$2126:$EH$2126,"D")</f>
        <v>16</v>
      </c>
      <c r="AW1723" s="0" t="n">
        <f aca="false">COUNTIF($BA$2126:$EH$2126,"R")</f>
        <v>0</v>
      </c>
      <c r="AX1723" s="0" t="n">
        <f aca="false"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>0</v>
      </c>
      <c r="AY1723" s="0" t="n">
        <f aca="false">COUNTIF(DU1723:EH1723, "&lt;&gt;")</f>
        <v>1</v>
      </c>
      <c r="AZ1723" s="0" t="n">
        <f aca="false">IF(EH1723&lt;&gt;"",1,0)</f>
        <v>0</v>
      </c>
      <c r="BB1723" s="0" t="s">
        <v>153</v>
      </c>
      <c r="EF1723" s="0" t="s">
        <v>154</v>
      </c>
    </row>
    <row r="1724" customFormat="false" ht="13.8" hidden="false" customHeight="false" outlineLevel="0" collapsed="false">
      <c r="A1724" s="0" t="s">
        <v>7807</v>
      </c>
      <c r="B1724" s="0" t="n">
        <v>78</v>
      </c>
      <c r="C1724" s="0" t="n">
        <v>348610</v>
      </c>
      <c r="D1724" s="0" t="s">
        <v>7808</v>
      </c>
      <c r="E1724" s="0" t="s">
        <v>2710</v>
      </c>
      <c r="F1724" s="0" t="str">
        <f aca="false">CONCATENATE(D1724," ",LEFT(H1724,4),"T=",AU1724,"D=",AV1724,"R=",AW1724,"M=",AX1724,"L=",AY1724,"B=",AZ1724)</f>
        <v>SHEETS T=2D=0R=0M=0L=4B=0</v>
      </c>
      <c r="G1724" s="0" t="s">
        <v>241</v>
      </c>
      <c r="I1724" s="0" t="s">
        <v>7809</v>
      </c>
      <c r="J1724" s="0" t="s">
        <v>679</v>
      </c>
      <c r="K1724" s="0" t="s">
        <v>175</v>
      </c>
      <c r="L1724" s="1" t="s">
        <v>176</v>
      </c>
      <c r="M1724" s="0" t="s">
        <v>7806</v>
      </c>
      <c r="N1724" s="0" t="str">
        <f aca="false">RIGHT(M1724,LEN(M1724)-FIND(" ",M1724))</f>
        <v>MARYLAND ST NE</v>
      </c>
      <c r="P1724" s="0" t="s">
        <v>146</v>
      </c>
      <c r="Q1724" s="0" t="s">
        <v>147</v>
      </c>
      <c r="R1724" s="0" t="n">
        <v>44483</v>
      </c>
      <c r="AD1724" s="0" t="s">
        <v>148</v>
      </c>
      <c r="AE1724" s="0" t="s">
        <v>149</v>
      </c>
      <c r="AF1724" s="0" t="s">
        <v>150</v>
      </c>
      <c r="AH1724" s="0" t="n">
        <v>14</v>
      </c>
      <c r="AI1724" s="0" t="n">
        <v>11</v>
      </c>
      <c r="AN1724" s="0" t="s">
        <v>146</v>
      </c>
      <c r="AO1724" s="0" t="s">
        <v>250</v>
      </c>
      <c r="AP1724" s="0" t="s">
        <v>251</v>
      </c>
      <c r="AQ1724" s="0" t="n">
        <v>9</v>
      </c>
      <c r="AR1724" s="0" t="n">
        <v>64</v>
      </c>
      <c r="AS1724" s="0" t="n">
        <v>32</v>
      </c>
      <c r="AU1724" s="0" t="n">
        <f aca="false">COUNTA($BA$2341:$EH$2341)</f>
        <v>2</v>
      </c>
      <c r="AV1724" s="0" t="n">
        <f aca="false">COUNTIF($BA$2341:$EH$2341,"D")</f>
        <v>0</v>
      </c>
      <c r="AW1724" s="0" t="n">
        <f aca="false">COUNTIF($BA$2341:$EH$2341,"R")</f>
        <v>0</v>
      </c>
      <c r="AX1724" s="0" t="n">
        <f aca="false"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>0</v>
      </c>
      <c r="AY1724" s="0" t="n">
        <f aca="false">COUNTIF(DU1724:EH1724, "&lt;&gt;")</f>
        <v>4</v>
      </c>
      <c r="AZ1724" s="0" t="n">
        <f aca="false">IF(EH1724&lt;&gt;"",1,0)</f>
        <v>0</v>
      </c>
      <c r="BB1724" s="0" t="s">
        <v>153</v>
      </c>
      <c r="DC1724" s="0" t="s">
        <v>154</v>
      </c>
      <c r="DN1724" s="0" t="s">
        <v>154</v>
      </c>
      <c r="DS1724" s="0" t="s">
        <v>176</v>
      </c>
      <c r="DU1724" s="0" t="s">
        <v>154</v>
      </c>
      <c r="EA1724" s="0" t="s">
        <v>154</v>
      </c>
      <c r="ED1724" s="0" t="s">
        <v>176</v>
      </c>
      <c r="EF1724" s="0" t="s">
        <v>154</v>
      </c>
    </row>
    <row r="1725" customFormat="false" ht="13.8" hidden="false" customHeight="false" outlineLevel="0" collapsed="false">
      <c r="A1725" s="0" t="s">
        <v>7810</v>
      </c>
      <c r="B1725" s="0" t="n">
        <v>78</v>
      </c>
      <c r="C1725" s="0" t="n">
        <v>392230</v>
      </c>
      <c r="D1725" s="0" t="s">
        <v>1997</v>
      </c>
      <c r="E1725" s="0" t="s">
        <v>557</v>
      </c>
      <c r="F1725" s="0" t="str">
        <f aca="false">CONCATENATE(D1725," ",LEFT(H1725,4),"T=",AU1725,"D=",AV1725,"R=",AW1725,"M=",AX1725,"L=",AY1725,"B=",AZ1725)</f>
        <v>ALBERT T=3D=0R=0M=0L=4B=0</v>
      </c>
      <c r="G1725" s="0" t="s">
        <v>188</v>
      </c>
      <c r="I1725" s="0" t="s">
        <v>7811</v>
      </c>
      <c r="J1725" s="0" t="s">
        <v>575</v>
      </c>
      <c r="K1725" s="0" t="s">
        <v>175</v>
      </c>
      <c r="L1725" s="1" t="s">
        <v>176</v>
      </c>
      <c r="M1725" s="0" t="s">
        <v>7806</v>
      </c>
      <c r="N1725" s="0" t="str">
        <f aca="false">RIGHT(M1725,LEN(M1725)-FIND(" ",M1725))</f>
        <v>MARYLAND ST NE</v>
      </c>
      <c r="P1725" s="0" t="s">
        <v>146</v>
      </c>
      <c r="Q1725" s="0" t="s">
        <v>147</v>
      </c>
      <c r="R1725" s="0" t="n">
        <v>44483</v>
      </c>
      <c r="AD1725" s="0" t="s">
        <v>148</v>
      </c>
      <c r="AE1725" s="0" t="s">
        <v>149</v>
      </c>
      <c r="AF1725" s="0" t="s">
        <v>150</v>
      </c>
      <c r="AH1725" s="0" t="n">
        <v>14</v>
      </c>
      <c r="AI1725" s="0" t="n">
        <v>11</v>
      </c>
      <c r="AN1725" s="0" t="s">
        <v>146</v>
      </c>
      <c r="AO1725" s="0" t="s">
        <v>250</v>
      </c>
      <c r="AP1725" s="0" t="s">
        <v>251</v>
      </c>
      <c r="AQ1725" s="0" t="n">
        <v>9</v>
      </c>
      <c r="AR1725" s="0" t="n">
        <v>64</v>
      </c>
      <c r="AS1725" s="0" t="n">
        <v>32</v>
      </c>
      <c r="AU1725" s="0" t="n">
        <f aca="false">COUNTA($BA$2575:$EH$2575)</f>
        <v>3</v>
      </c>
      <c r="AV1725" s="0" t="n">
        <f aca="false">COUNTIF($BA$2575:$EH$2575,"D")</f>
        <v>0</v>
      </c>
      <c r="AW1725" s="0" t="n">
        <f aca="false">COUNTIF($BA$2575:$EH$2575,"R")</f>
        <v>0</v>
      </c>
      <c r="AX1725" s="0" t="n">
        <f aca="false"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>0</v>
      </c>
      <c r="AY1725" s="0" t="n">
        <f aca="false">COUNTIF(DU1725:EH1725, "&lt;&gt;")</f>
        <v>4</v>
      </c>
      <c r="AZ1725" s="0" t="n">
        <f aca="false">IF(EH1725&lt;&gt;"",1,0)</f>
        <v>0</v>
      </c>
      <c r="BB1725" s="0" t="s">
        <v>153</v>
      </c>
      <c r="CP1725" s="0" t="s">
        <v>154</v>
      </c>
      <c r="CZ1725" s="0" t="s">
        <v>176</v>
      </c>
      <c r="DC1725" s="0" t="s">
        <v>154</v>
      </c>
      <c r="DI1725" s="0" t="s">
        <v>154</v>
      </c>
      <c r="DN1725" s="0" t="s">
        <v>154</v>
      </c>
      <c r="DS1725" s="0" t="s">
        <v>176</v>
      </c>
      <c r="DU1725" s="0" t="s">
        <v>154</v>
      </c>
      <c r="EA1725" s="0" t="s">
        <v>154</v>
      </c>
      <c r="ED1725" s="0" t="s">
        <v>176</v>
      </c>
      <c r="EF1725" s="0" t="s">
        <v>154</v>
      </c>
    </row>
    <row r="1726" customFormat="false" ht="13.8" hidden="false" customHeight="false" outlineLevel="0" collapsed="false">
      <c r="A1726" s="0" t="s">
        <v>7812</v>
      </c>
      <c r="B1726" s="0" t="n">
        <v>78</v>
      </c>
      <c r="C1726" s="0" t="n">
        <v>430966</v>
      </c>
      <c r="D1726" s="0" t="s">
        <v>7813</v>
      </c>
      <c r="E1726" s="0" t="s">
        <v>7814</v>
      </c>
      <c r="F1726" s="0" t="str">
        <f aca="false">CONCATENATE(D1726," ",LEFT(H1726,4),"T=",AU1726,"D=",AV1726,"R=",AW1726,"M=",AX1726,"L=",AY1726,"B=",AZ1726)</f>
        <v>BLESSING T=23D=0R=1M=0L=2B=0</v>
      </c>
      <c r="G1726" s="0" t="s">
        <v>445</v>
      </c>
      <c r="I1726" s="0" t="s">
        <v>7815</v>
      </c>
      <c r="J1726" s="0" t="s">
        <v>2113</v>
      </c>
      <c r="K1726" s="0" t="s">
        <v>175</v>
      </c>
      <c r="M1726" s="0" t="s">
        <v>7816</v>
      </c>
      <c r="N1726" s="0" t="str">
        <f aca="false">RIGHT(M1726,LEN(M1726)-FIND(" ",M1726))</f>
        <v>MARYLAND ST NE</v>
      </c>
      <c r="P1726" s="0" t="s">
        <v>146</v>
      </c>
      <c r="Q1726" s="0" t="s">
        <v>147</v>
      </c>
      <c r="R1726" s="0" t="n">
        <v>44483</v>
      </c>
      <c r="AD1726" s="0" t="s">
        <v>148</v>
      </c>
      <c r="AE1726" s="0" t="s">
        <v>149</v>
      </c>
      <c r="AF1726" s="0" t="s">
        <v>150</v>
      </c>
      <c r="AH1726" s="0" t="n">
        <v>14</v>
      </c>
      <c r="AI1726" s="0" t="n">
        <v>11</v>
      </c>
      <c r="AN1726" s="0" t="s">
        <v>146</v>
      </c>
      <c r="AO1726" s="0" t="s">
        <v>250</v>
      </c>
      <c r="AP1726" s="0" t="s">
        <v>251</v>
      </c>
      <c r="AQ1726" s="0" t="n">
        <v>9</v>
      </c>
      <c r="AR1726" s="0" t="n">
        <v>64</v>
      </c>
      <c r="AS1726" s="0" t="n">
        <v>32</v>
      </c>
      <c r="AU1726" s="0" t="n">
        <f aca="false">COUNTA($BA$2133:$EH$2133)</f>
        <v>23</v>
      </c>
      <c r="AV1726" s="0" t="n">
        <f aca="false">COUNTIF($BA$2133:$EH$2133,"D")</f>
        <v>0</v>
      </c>
      <c r="AW1726" s="0" t="n">
        <f aca="false">COUNTIF($BA$2133:$EH$2133,"R")</f>
        <v>1</v>
      </c>
      <c r="AX1726" s="0" t="n">
        <f aca="false"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>0</v>
      </c>
      <c r="AY1726" s="0" t="n">
        <f aca="false">COUNTIF(DU1726:EH1726, "&lt;&gt;")</f>
        <v>2</v>
      </c>
      <c r="AZ1726" s="0" t="n">
        <f aca="false">IF(EH1726&lt;&gt;"",1,0)</f>
        <v>0</v>
      </c>
      <c r="BB1726" s="0" t="s">
        <v>153</v>
      </c>
      <c r="DI1726" s="0" t="s">
        <v>154</v>
      </c>
      <c r="EA1726" s="0" t="s">
        <v>154</v>
      </c>
      <c r="EF1726" s="0" t="s">
        <v>154</v>
      </c>
    </row>
    <row r="1727" customFormat="false" ht="13.8" hidden="false" customHeight="false" outlineLevel="0" collapsed="false">
      <c r="A1727" s="0" t="s">
        <v>7817</v>
      </c>
      <c r="B1727" s="0" t="n">
        <v>78</v>
      </c>
      <c r="C1727" s="0" t="n">
        <v>372696</v>
      </c>
      <c r="D1727" s="0" t="s">
        <v>7813</v>
      </c>
      <c r="E1727" s="0" t="s">
        <v>7818</v>
      </c>
      <c r="F1727" s="0" t="str">
        <f aca="false">CONCATENATE(D1727," ",LEFT(H1727,4),"T=",AU1727,"D=",AV1727,"R=",AW1727,"M=",AX1727,"L=",AY1727,"B=",AZ1727)</f>
        <v>BLESSING T=3D=1R=0M=0L=4B=0</v>
      </c>
      <c r="I1727" s="0" t="s">
        <v>7819</v>
      </c>
      <c r="J1727" s="0" t="s">
        <v>7820</v>
      </c>
      <c r="K1727" s="0" t="s">
        <v>175</v>
      </c>
      <c r="M1727" s="0" t="s">
        <v>7816</v>
      </c>
      <c r="N1727" s="0" t="str">
        <f aca="false">RIGHT(M1727,LEN(M1727)-FIND(" ",M1727))</f>
        <v>MARYLAND ST NE</v>
      </c>
      <c r="P1727" s="0" t="s">
        <v>146</v>
      </c>
      <c r="Q1727" s="0" t="s">
        <v>147</v>
      </c>
      <c r="R1727" s="0" t="n">
        <v>44483</v>
      </c>
      <c r="AD1727" s="0" t="s">
        <v>148</v>
      </c>
      <c r="AE1727" s="0" t="s">
        <v>149</v>
      </c>
      <c r="AF1727" s="0" t="s">
        <v>150</v>
      </c>
      <c r="AH1727" s="0" t="n">
        <v>14</v>
      </c>
      <c r="AI1727" s="0" t="n">
        <v>11</v>
      </c>
      <c r="AN1727" s="0" t="s">
        <v>146</v>
      </c>
      <c r="AO1727" s="0" t="s">
        <v>250</v>
      </c>
      <c r="AP1727" s="0" t="s">
        <v>251</v>
      </c>
      <c r="AQ1727" s="0" t="n">
        <v>9</v>
      </c>
      <c r="AR1727" s="0" t="n">
        <v>64</v>
      </c>
      <c r="AS1727" s="0" t="n">
        <v>32</v>
      </c>
      <c r="AU1727" s="0" t="n">
        <f aca="false">COUNTA($BA$2333:$EH$2333)</f>
        <v>3</v>
      </c>
      <c r="AV1727" s="0" t="n">
        <f aca="false">COUNTIF($BA$2333:$EH$2333,"D")</f>
        <v>1</v>
      </c>
      <c r="AW1727" s="0" t="n">
        <f aca="false">COUNTIF($BA$2333:$EH$2333,"R")</f>
        <v>0</v>
      </c>
      <c r="AX1727" s="0" t="n">
        <f aca="false"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>0</v>
      </c>
      <c r="AY1727" s="0" t="n">
        <f aca="false">COUNTIF(DU1727:EH1727, "&lt;&gt;")</f>
        <v>4</v>
      </c>
      <c r="AZ1727" s="0" t="n">
        <f aca="false">IF(EH1727&lt;&gt;"",1,0)</f>
        <v>0</v>
      </c>
      <c r="BB1727" s="0" t="s">
        <v>153</v>
      </c>
      <c r="CY1727" s="0" t="s">
        <v>154</v>
      </c>
      <c r="CZ1727" s="0" t="s">
        <v>155</v>
      </c>
      <c r="DC1727" s="0" t="s">
        <v>154</v>
      </c>
      <c r="DI1727" s="0" t="s">
        <v>154</v>
      </c>
      <c r="DN1727" s="0" t="s">
        <v>154</v>
      </c>
      <c r="DU1727" s="0" t="s">
        <v>154</v>
      </c>
      <c r="DX1727" s="0" t="s">
        <v>154</v>
      </c>
      <c r="EA1727" s="0" t="s">
        <v>154</v>
      </c>
      <c r="EF1727" s="0" t="s">
        <v>154</v>
      </c>
    </row>
    <row r="1728" customFormat="false" ht="13.8" hidden="false" customHeight="false" outlineLevel="0" collapsed="false">
      <c r="A1728" s="0" t="s">
        <v>7821</v>
      </c>
      <c r="B1728" s="0" t="n">
        <v>78</v>
      </c>
      <c r="C1728" s="0" t="n">
        <v>196751</v>
      </c>
      <c r="D1728" s="0" t="s">
        <v>6072</v>
      </c>
      <c r="E1728" s="0" t="s">
        <v>822</v>
      </c>
      <c r="F1728" s="0" t="str">
        <f aca="false">CONCATENATE(D1728," ",LEFT(H1728,4),"T=",AU1728,"D=",AV1728,"R=",AW1728,"M=",AX1728,"L=",AY1728,"B=",AZ1728)</f>
        <v>CULLISON T=45D=17R=0M=0L=4B=0</v>
      </c>
      <c r="G1728" s="0" t="s">
        <v>172</v>
      </c>
      <c r="I1728" s="0" t="s">
        <v>7822</v>
      </c>
      <c r="J1728" s="0" t="s">
        <v>7528</v>
      </c>
      <c r="K1728" s="0" t="s">
        <v>175</v>
      </c>
      <c r="M1728" s="0" t="s">
        <v>7816</v>
      </c>
      <c r="N1728" s="0" t="str">
        <f aca="false">RIGHT(M1728,LEN(M1728)-FIND(" ",M1728))</f>
        <v>MARYLAND ST NE</v>
      </c>
      <c r="P1728" s="0" t="s">
        <v>146</v>
      </c>
      <c r="Q1728" s="0" t="s">
        <v>147</v>
      </c>
      <c r="R1728" s="0" t="n">
        <v>44483</v>
      </c>
      <c r="AD1728" s="0" t="s">
        <v>148</v>
      </c>
      <c r="AE1728" s="0" t="s">
        <v>149</v>
      </c>
      <c r="AF1728" s="0" t="s">
        <v>150</v>
      </c>
      <c r="AH1728" s="0" t="n">
        <v>14</v>
      </c>
      <c r="AI1728" s="0" t="n">
        <v>11</v>
      </c>
      <c r="AN1728" s="0" t="s">
        <v>146</v>
      </c>
      <c r="AO1728" s="0" t="s">
        <v>250</v>
      </c>
      <c r="AP1728" s="0" t="s">
        <v>251</v>
      </c>
      <c r="AQ1728" s="0" t="n">
        <v>9</v>
      </c>
      <c r="AR1728" s="0" t="n">
        <v>64</v>
      </c>
      <c r="AS1728" s="0" t="n">
        <v>32</v>
      </c>
      <c r="AU1728" s="0" t="n">
        <f aca="false">COUNTA($BA$2384:$EH$2384)</f>
        <v>45</v>
      </c>
      <c r="AV1728" s="0" t="n">
        <f aca="false">COUNTIF($BA$2384:$EH$2384,"D")</f>
        <v>17</v>
      </c>
      <c r="AW1728" s="0" t="n">
        <f aca="false">COUNTIF($BA$2384:$EH$2384,"R")</f>
        <v>0</v>
      </c>
      <c r="AX1728" s="0" t="n">
        <f aca="false"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>0</v>
      </c>
      <c r="AY1728" s="0" t="n">
        <f aca="false">COUNTIF(DU1728:EH1728, "&lt;&gt;")</f>
        <v>4</v>
      </c>
      <c r="AZ1728" s="0" t="n">
        <f aca="false">IF(EH1728&lt;&gt;"",1,0)</f>
        <v>0</v>
      </c>
      <c r="BB1728" s="0" t="s">
        <v>153</v>
      </c>
      <c r="BC1728" s="0" t="s">
        <v>154</v>
      </c>
      <c r="BD1728" s="0" t="s">
        <v>154</v>
      </c>
      <c r="BF1728" s="0" t="s">
        <v>154</v>
      </c>
      <c r="BG1728" s="0" t="s">
        <v>154</v>
      </c>
      <c r="BH1728" s="0" t="s">
        <v>154</v>
      </c>
      <c r="BJ1728" s="0" t="s">
        <v>154</v>
      </c>
      <c r="BK1728" s="0" t="s">
        <v>154</v>
      </c>
      <c r="BL1728" s="0" t="s">
        <v>154</v>
      </c>
      <c r="BP1728" s="0" t="s">
        <v>154</v>
      </c>
      <c r="BS1728" s="0" t="s">
        <v>154</v>
      </c>
      <c r="BY1728" s="0" t="s">
        <v>155</v>
      </c>
      <c r="CA1728" s="0" t="s">
        <v>154</v>
      </c>
      <c r="CH1728" s="0" t="s">
        <v>155</v>
      </c>
      <c r="CK1728" s="0" t="s">
        <v>154</v>
      </c>
      <c r="CN1728" s="0" t="s">
        <v>154</v>
      </c>
      <c r="CP1728" s="0" t="s">
        <v>154</v>
      </c>
      <c r="CT1728" s="0" t="s">
        <v>154</v>
      </c>
      <c r="CV1728" s="0" t="s">
        <v>154</v>
      </c>
      <c r="CY1728" s="0" t="s">
        <v>154</v>
      </c>
      <c r="CZ1728" s="0" t="s">
        <v>155</v>
      </c>
      <c r="DC1728" s="0" t="s">
        <v>154</v>
      </c>
      <c r="DI1728" s="0" t="s">
        <v>154</v>
      </c>
      <c r="DN1728" s="0" t="s">
        <v>154</v>
      </c>
      <c r="DU1728" s="0" t="s">
        <v>154</v>
      </c>
      <c r="DX1728" s="0" t="s">
        <v>154</v>
      </c>
      <c r="EA1728" s="0" t="s">
        <v>154</v>
      </c>
      <c r="EF1728" s="0" t="s">
        <v>154</v>
      </c>
    </row>
    <row r="1729" customFormat="false" ht="13.8" hidden="true" customHeight="false" outlineLevel="0" collapsed="false">
      <c r="A1729" s="0" t="s">
        <v>7823</v>
      </c>
      <c r="B1729" s="0" t="n">
        <v>78</v>
      </c>
      <c r="C1729" s="0" t="n">
        <v>398965</v>
      </c>
      <c r="D1729" s="0" t="s">
        <v>7824</v>
      </c>
      <c r="E1729" s="0" t="s">
        <v>7825</v>
      </c>
      <c r="F1729" s="0" t="str">
        <f aca="false">CONCATENATE(D1729," ",LEFT(H1729,4),"T=",AU1729,"D=",AV1729,"R=",AW1729,"M=",AX1729,"L=",AY1729,"B=",AZ1729)</f>
        <v>PARHAM T=4D=0R=0M=0L=0B=0</v>
      </c>
      <c r="G1729" s="0" t="s">
        <v>7826</v>
      </c>
      <c r="I1729" s="0" t="s">
        <v>7827</v>
      </c>
      <c r="J1729" s="0" t="s">
        <v>294</v>
      </c>
      <c r="K1729" s="0" t="s">
        <v>175</v>
      </c>
      <c r="L1729" s="0"/>
      <c r="M1729" s="0" t="s">
        <v>7828</v>
      </c>
      <c r="N1729" s="0" t="str">
        <f aca="false">RIGHT(M1729,LEN(M1729)-FIND(" ",M1729))</f>
        <v>MARYLAND ST NW</v>
      </c>
      <c r="P1729" s="0" t="s">
        <v>146</v>
      </c>
      <c r="Q1729" s="0" t="s">
        <v>147</v>
      </c>
      <c r="R1729" s="0" t="n">
        <v>44483</v>
      </c>
      <c r="AD1729" s="0" t="s">
        <v>148</v>
      </c>
      <c r="AE1729" s="0" t="s">
        <v>149</v>
      </c>
      <c r="AF1729" s="0" t="s">
        <v>150</v>
      </c>
      <c r="AH1729" s="0" t="n">
        <v>14</v>
      </c>
      <c r="AI1729" s="0" t="n">
        <v>11</v>
      </c>
      <c r="AN1729" s="0" t="s">
        <v>146</v>
      </c>
      <c r="AO1729" s="0" t="s">
        <v>250</v>
      </c>
      <c r="AP1729" s="0" t="s">
        <v>251</v>
      </c>
      <c r="AQ1729" s="0" t="n">
        <v>9</v>
      </c>
      <c r="AR1729" s="0" t="n">
        <v>64</v>
      </c>
      <c r="AS1729" s="0" t="n">
        <v>32</v>
      </c>
      <c r="AU1729" s="0" t="n">
        <f aca="false">COUNTA($BA$2387:$EH$2387)</f>
        <v>4</v>
      </c>
      <c r="AV1729" s="0" t="n">
        <f aca="false">COUNTIF($BA$2387:$EH$2387,"D")</f>
        <v>0</v>
      </c>
      <c r="AW1729" s="0" t="n">
        <f aca="false">COUNTIF($BA$2387:$EH$2387,"R")</f>
        <v>0</v>
      </c>
      <c r="AX1729" s="0" t="n">
        <f aca="false"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>0</v>
      </c>
      <c r="AY1729" s="0" t="n">
        <f aca="false">COUNTIF(DU1729:EH1729, "&lt;&gt;")</f>
        <v>0</v>
      </c>
      <c r="AZ1729" s="0" t="n">
        <f aca="false">IF(EH1729&lt;&gt;"",1,0)</f>
        <v>0</v>
      </c>
      <c r="BB1729" s="0" t="s">
        <v>153</v>
      </c>
      <c r="DC1729" s="0" t="s">
        <v>154</v>
      </c>
    </row>
    <row r="1730" customFormat="false" ht="13.8" hidden="true" customHeight="false" outlineLevel="0" collapsed="false">
      <c r="A1730" s="0" t="s">
        <v>7829</v>
      </c>
      <c r="B1730" s="0" t="n">
        <v>78</v>
      </c>
      <c r="C1730" s="0" t="n">
        <v>361387</v>
      </c>
      <c r="D1730" s="0" t="s">
        <v>4328</v>
      </c>
      <c r="E1730" s="0" t="s">
        <v>1920</v>
      </c>
      <c r="F1730" s="0" t="str">
        <f aca="false">CONCATENATE(D1730," ",LEFT(H1730,4),"T=",AU1730,"D=",AV1730,"R=",AW1730,"M=",AX1730,"L=",AY1730,"B=",AZ1730)</f>
        <v>LUMPKIN T=32D=2R=2M=0L=0B=0</v>
      </c>
      <c r="G1730" s="0" t="s">
        <v>939</v>
      </c>
      <c r="I1730" s="0" t="s">
        <v>2002</v>
      </c>
      <c r="J1730" s="0" t="s">
        <v>1091</v>
      </c>
      <c r="K1730" s="0" t="s">
        <v>175</v>
      </c>
      <c r="L1730" s="0"/>
      <c r="M1730" s="0" t="s">
        <v>7828</v>
      </c>
      <c r="N1730" s="0" t="str">
        <f aca="false">RIGHT(M1730,LEN(M1730)-FIND(" ",M1730))</f>
        <v>MARYLAND ST NW</v>
      </c>
      <c r="P1730" s="0" t="s">
        <v>146</v>
      </c>
      <c r="Q1730" s="0" t="s">
        <v>147</v>
      </c>
      <c r="R1730" s="0" t="n">
        <v>44483</v>
      </c>
      <c r="AD1730" s="0" t="s">
        <v>148</v>
      </c>
      <c r="AE1730" s="0" t="s">
        <v>149</v>
      </c>
      <c r="AF1730" s="0" t="s">
        <v>150</v>
      </c>
      <c r="AH1730" s="0" t="n">
        <v>14</v>
      </c>
      <c r="AI1730" s="0" t="n">
        <v>11</v>
      </c>
      <c r="AN1730" s="0" t="s">
        <v>146</v>
      </c>
      <c r="AO1730" s="0" t="s">
        <v>250</v>
      </c>
      <c r="AP1730" s="0" t="s">
        <v>251</v>
      </c>
      <c r="AQ1730" s="0" t="n">
        <v>9</v>
      </c>
      <c r="AR1730" s="0" t="n">
        <v>64</v>
      </c>
      <c r="AS1730" s="0" t="n">
        <v>32</v>
      </c>
      <c r="AU1730" s="0" t="n">
        <f aca="false">COUNTA($BA$2483:$EH$2483)</f>
        <v>32</v>
      </c>
      <c r="AV1730" s="0" t="n">
        <f aca="false">COUNTIF($BA$2483:$EH$2483,"D")</f>
        <v>2</v>
      </c>
      <c r="AW1730" s="0" t="n">
        <f aca="false">COUNTIF($BA$2483:$EH$2483,"R")</f>
        <v>2</v>
      </c>
      <c r="AX1730" s="0" t="n">
        <f aca="false"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>0</v>
      </c>
      <c r="AY1730" s="0" t="n">
        <f aca="false">COUNTIF(DU1730:EH1730, "&lt;&gt;")</f>
        <v>0</v>
      </c>
      <c r="AZ1730" s="0" t="n">
        <f aca="false">IF(EH1730&lt;&gt;"",1,0)</f>
        <v>0</v>
      </c>
      <c r="BB1730" s="0" t="s">
        <v>153</v>
      </c>
    </row>
    <row r="1731" customFormat="false" ht="13.8" hidden="true" customHeight="false" outlineLevel="0" collapsed="false">
      <c r="A1731" s="0" t="s">
        <v>7830</v>
      </c>
      <c r="B1731" s="0" t="n">
        <v>78</v>
      </c>
      <c r="C1731" s="0" t="n">
        <v>489069</v>
      </c>
      <c r="D1731" s="0" t="s">
        <v>4328</v>
      </c>
      <c r="E1731" s="0" t="s">
        <v>7831</v>
      </c>
      <c r="F1731" s="0" t="str">
        <f aca="false">CONCATENATE(D1731," ",LEFT(H1731,4),"T=",AU1731,"D=",AV1731,"R=",AW1731,"M=",AX1731,"L=",AY1731,"B=",AZ1731)</f>
        <v>LUMPKIN T=8D=0R=1M=0L=0B=0</v>
      </c>
      <c r="I1731" s="0" t="s">
        <v>7832</v>
      </c>
      <c r="J1731" s="0" t="s">
        <v>3224</v>
      </c>
      <c r="K1731" s="0" t="s">
        <v>144</v>
      </c>
      <c r="L1731" s="0"/>
      <c r="M1731" s="0" t="s">
        <v>7833</v>
      </c>
      <c r="N1731" s="0" t="str">
        <f aca="false">RIGHT(M1731,LEN(M1731)-FIND(" ",M1731))</f>
        <v>MARYLAND ST NW</v>
      </c>
      <c r="P1731" s="0" t="s">
        <v>146</v>
      </c>
      <c r="Q1731" s="0" t="s">
        <v>147</v>
      </c>
      <c r="R1731" s="0" t="n">
        <v>44483</v>
      </c>
      <c r="AD1731" s="0" t="s">
        <v>148</v>
      </c>
      <c r="AE1731" s="0" t="s">
        <v>149</v>
      </c>
      <c r="AF1731" s="0" t="s">
        <v>150</v>
      </c>
      <c r="AH1731" s="0" t="n">
        <v>14</v>
      </c>
      <c r="AI1731" s="0" t="n">
        <v>11</v>
      </c>
      <c r="AN1731" s="0" t="s">
        <v>146</v>
      </c>
      <c r="AO1731" s="0" t="s">
        <v>250</v>
      </c>
      <c r="AP1731" s="0" t="s">
        <v>251</v>
      </c>
      <c r="AQ1731" s="0" t="n">
        <v>9</v>
      </c>
      <c r="AR1731" s="0" t="n">
        <v>64</v>
      </c>
      <c r="AS1731" s="0" t="n">
        <v>32</v>
      </c>
      <c r="AU1731" s="0" t="n">
        <f aca="false">COUNTA($BA$2376:$EH$2376)</f>
        <v>8</v>
      </c>
      <c r="AV1731" s="0" t="n">
        <f aca="false">COUNTIF($BA$2376:$EH$2376,"D")</f>
        <v>0</v>
      </c>
      <c r="AW1731" s="0" t="n">
        <f aca="false">COUNTIF($BA$2376:$EH$2376,"R")</f>
        <v>1</v>
      </c>
      <c r="AX1731" s="0" t="n">
        <f aca="false"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>0</v>
      </c>
      <c r="AY1731" s="0" t="n">
        <f aca="false">COUNTIF(DU1731:EH1731, "&lt;&gt;")</f>
        <v>0</v>
      </c>
      <c r="AZ1731" s="0" t="n">
        <f aca="false">IF(EH1731&lt;&gt;"",1,0)</f>
        <v>0</v>
      </c>
      <c r="BB1731" s="0" t="s">
        <v>153</v>
      </c>
    </row>
    <row r="1732" customFormat="false" ht="13.8" hidden="true" customHeight="false" outlineLevel="0" collapsed="false">
      <c r="A1732" s="0" t="s">
        <v>7834</v>
      </c>
      <c r="B1732" s="0" t="n">
        <v>78</v>
      </c>
      <c r="C1732" s="0" t="n">
        <v>433879</v>
      </c>
      <c r="D1732" s="0" t="s">
        <v>779</v>
      </c>
      <c r="E1732" s="0" t="s">
        <v>195</v>
      </c>
      <c r="F1732" s="0" t="str">
        <f aca="false">CONCATENATE(D1732," ",LEFT(H1732,4),"T=",AU1732,"D=",AV1732,"R=",AW1732,"M=",AX1732,"L=",AY1732,"B=",AZ1732)</f>
        <v>MENDEZ T=37D=11R=0M=0L=0B=0</v>
      </c>
      <c r="G1732" s="0" t="s">
        <v>514</v>
      </c>
      <c r="I1732" s="0" t="s">
        <v>7835</v>
      </c>
      <c r="J1732" s="0" t="s">
        <v>1364</v>
      </c>
      <c r="K1732" s="0" t="s">
        <v>175</v>
      </c>
      <c r="L1732" s="0"/>
      <c r="M1732" s="0" t="s">
        <v>7833</v>
      </c>
      <c r="N1732" s="0" t="str">
        <f aca="false">RIGHT(M1732,LEN(M1732)-FIND(" ",M1732))</f>
        <v>MARYLAND ST NW</v>
      </c>
      <c r="P1732" s="0" t="s">
        <v>146</v>
      </c>
      <c r="Q1732" s="0" t="s">
        <v>147</v>
      </c>
      <c r="R1732" s="0" t="n">
        <v>44483</v>
      </c>
      <c r="AD1732" s="0" t="s">
        <v>148</v>
      </c>
      <c r="AE1732" s="0" t="s">
        <v>149</v>
      </c>
      <c r="AF1732" s="0" t="s">
        <v>150</v>
      </c>
      <c r="AH1732" s="0" t="n">
        <v>14</v>
      </c>
      <c r="AI1732" s="0" t="n">
        <v>11</v>
      </c>
      <c r="AN1732" s="0" t="s">
        <v>146</v>
      </c>
      <c r="AO1732" s="0" t="s">
        <v>250</v>
      </c>
      <c r="AP1732" s="0" t="s">
        <v>251</v>
      </c>
      <c r="AQ1732" s="0" t="n">
        <v>9</v>
      </c>
      <c r="AR1732" s="0" t="n">
        <v>64</v>
      </c>
      <c r="AS1732" s="0" t="n">
        <v>32</v>
      </c>
      <c r="AU1732" s="0" t="n">
        <f aca="false">COUNTA($BA$2738:$EH$2738)</f>
        <v>37</v>
      </c>
      <c r="AV1732" s="0" t="n">
        <f aca="false">COUNTIF($BA$2738:$EH$2738,"D")</f>
        <v>11</v>
      </c>
      <c r="AW1732" s="0" t="n">
        <f aca="false">COUNTIF($BA$2738:$EH$2738,"R")</f>
        <v>0</v>
      </c>
      <c r="AX1732" s="0" t="n">
        <f aca="false"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>0</v>
      </c>
      <c r="AY1732" s="0" t="n">
        <f aca="false">COUNTIF(DU1732:EH1732, "&lt;&gt;")</f>
        <v>0</v>
      </c>
      <c r="AZ1732" s="0" t="n">
        <f aca="false">IF(EH1732&lt;&gt;"",1,0)</f>
        <v>0</v>
      </c>
      <c r="BB1732" s="0" t="s">
        <v>153</v>
      </c>
    </row>
    <row r="1733" customFormat="false" ht="13.8" hidden="true" customHeight="false" outlineLevel="0" collapsed="false">
      <c r="A1733" s="0" t="s">
        <v>7836</v>
      </c>
      <c r="B1733" s="0" t="n">
        <v>78</v>
      </c>
      <c r="C1733" s="0" t="n">
        <v>270192</v>
      </c>
      <c r="D1733" s="0" t="s">
        <v>7837</v>
      </c>
      <c r="E1733" s="0" t="s">
        <v>4599</v>
      </c>
      <c r="F1733" s="0" t="str">
        <f aca="false">CONCATENATE(D1733," ",LEFT(H1733,4),"T=",AU1733,"D=",AV1733,"R=",AW1733,"M=",AX1733,"L=",AY1733,"B=",AZ1733)</f>
        <v>HIGLEY T=2D=0R=0M=0L=0B=0</v>
      </c>
      <c r="G1733" s="0" t="s">
        <v>690</v>
      </c>
      <c r="I1733" s="0" t="s">
        <v>1384</v>
      </c>
      <c r="J1733" s="0" t="s">
        <v>7838</v>
      </c>
      <c r="K1733" s="0" t="s">
        <v>175</v>
      </c>
      <c r="L1733" s="0"/>
      <c r="M1733" s="0" t="s">
        <v>7839</v>
      </c>
      <c r="N1733" s="0" t="str">
        <f aca="false">RIGHT(M1733,LEN(M1733)-FIND(" ",M1733))</f>
        <v>MARYLAND ST NW</v>
      </c>
      <c r="P1733" s="0" t="s">
        <v>146</v>
      </c>
      <c r="Q1733" s="0" t="s">
        <v>147</v>
      </c>
      <c r="R1733" s="0" t="n">
        <v>44483</v>
      </c>
      <c r="AD1733" s="0" t="s">
        <v>148</v>
      </c>
      <c r="AE1733" s="0" t="s">
        <v>149</v>
      </c>
      <c r="AF1733" s="0" t="s">
        <v>150</v>
      </c>
      <c r="AH1733" s="0" t="n">
        <v>14</v>
      </c>
      <c r="AI1733" s="0" t="n">
        <v>11</v>
      </c>
      <c r="AN1733" s="0" t="s">
        <v>146</v>
      </c>
      <c r="AO1733" s="0" t="s">
        <v>250</v>
      </c>
      <c r="AP1733" s="0" t="s">
        <v>251</v>
      </c>
      <c r="AQ1733" s="0" t="n">
        <v>9</v>
      </c>
      <c r="AR1733" s="0" t="n">
        <v>64</v>
      </c>
      <c r="AS1733" s="0" t="n">
        <v>32</v>
      </c>
      <c r="AU1733" s="0" t="n">
        <f aca="false">COUNTA($BA$2611:$EH$2611)</f>
        <v>2</v>
      </c>
      <c r="AV1733" s="0" t="n">
        <f aca="false">COUNTIF($BA$2611:$EH$2611,"D")</f>
        <v>0</v>
      </c>
      <c r="AW1733" s="0" t="n">
        <f aca="false">COUNTIF($BA$2611:$EH$2611,"R")</f>
        <v>0</v>
      </c>
      <c r="AX1733" s="0" t="n">
        <f aca="false"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>0</v>
      </c>
      <c r="AY1733" s="0" t="n">
        <f aca="false">COUNTIF(DU1733:EH1733, "&lt;&gt;")</f>
        <v>0</v>
      </c>
      <c r="AZ1733" s="0" t="n">
        <f aca="false">IF(EH1733&lt;&gt;"",1,0)</f>
        <v>0</v>
      </c>
      <c r="BB1733" s="0" t="s">
        <v>153</v>
      </c>
      <c r="BL1733" s="0" t="s">
        <v>154</v>
      </c>
      <c r="BY1733" s="0" t="s">
        <v>155</v>
      </c>
    </row>
    <row r="1734" customFormat="false" ht="13.8" hidden="true" customHeight="false" outlineLevel="0" collapsed="false">
      <c r="A1734" s="0" t="s">
        <v>7840</v>
      </c>
      <c r="B1734" s="0" t="n">
        <v>78</v>
      </c>
      <c r="C1734" s="0" t="n">
        <v>457882</v>
      </c>
      <c r="D1734" s="0" t="s">
        <v>4829</v>
      </c>
      <c r="E1734" s="0" t="s">
        <v>981</v>
      </c>
      <c r="F1734" s="0" t="str">
        <f aca="false">CONCATENATE(D1734," ",LEFT(H1734,4),"T=",AU1734,"D=",AV1734,"R=",AW1734,"M=",AX1734,"L=",AY1734,"B=",AZ1734)</f>
        <v>BAUGH T=1D=0R=0M=0L=0B=0</v>
      </c>
      <c r="G1734" s="0" t="s">
        <v>7841</v>
      </c>
      <c r="I1734" s="0" t="s">
        <v>7842</v>
      </c>
      <c r="J1734" s="0" t="s">
        <v>7437</v>
      </c>
      <c r="K1734" s="0" t="s">
        <v>175</v>
      </c>
      <c r="L1734" s="0"/>
      <c r="M1734" s="0" t="s">
        <v>7843</v>
      </c>
      <c r="N1734" s="0" t="str">
        <f aca="false">RIGHT(M1734,LEN(M1734)-FIND(" ",M1734))</f>
        <v>MARYLAND ST NW</v>
      </c>
      <c r="P1734" s="0" t="s">
        <v>146</v>
      </c>
      <c r="Q1734" s="0" t="s">
        <v>147</v>
      </c>
      <c r="R1734" s="0" t="n">
        <v>44483</v>
      </c>
      <c r="AD1734" s="0" t="s">
        <v>148</v>
      </c>
      <c r="AE1734" s="0" t="s">
        <v>149</v>
      </c>
      <c r="AF1734" s="0" t="s">
        <v>150</v>
      </c>
      <c r="AH1734" s="0" t="n">
        <v>14</v>
      </c>
      <c r="AI1734" s="0" t="n">
        <v>11</v>
      </c>
      <c r="AN1734" s="0" t="s">
        <v>146</v>
      </c>
      <c r="AO1734" s="0" t="s">
        <v>250</v>
      </c>
      <c r="AP1734" s="0" t="s">
        <v>251</v>
      </c>
      <c r="AQ1734" s="0" t="n">
        <v>9</v>
      </c>
      <c r="AR1734" s="0" t="n">
        <v>64</v>
      </c>
      <c r="AS1734" s="0" t="n">
        <v>32</v>
      </c>
      <c r="AU1734" s="0" t="n">
        <f aca="false">COUNTA($BA$2257:$EH$2257)</f>
        <v>1</v>
      </c>
      <c r="AV1734" s="0" t="n">
        <f aca="false">COUNTIF($BA$2257:$EH$2257,"D")</f>
        <v>0</v>
      </c>
      <c r="AW1734" s="0" t="n">
        <f aca="false">COUNTIF($BA$2257:$EH$2257,"R")</f>
        <v>0</v>
      </c>
      <c r="AX1734" s="0" t="n">
        <f aca="false"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>0</v>
      </c>
      <c r="AY1734" s="0" t="n">
        <f aca="false">COUNTIF(DU1734:EH1734, "&lt;&gt;")</f>
        <v>0</v>
      </c>
      <c r="AZ1734" s="0" t="n">
        <f aca="false">IF(EH1734&lt;&gt;"",1,0)</f>
        <v>0</v>
      </c>
      <c r="BB1734" s="0" t="s">
        <v>153</v>
      </c>
    </row>
    <row r="1735" customFormat="false" ht="13.8" hidden="true" customHeight="false" outlineLevel="0" collapsed="false">
      <c r="A1735" s="0" t="s">
        <v>7844</v>
      </c>
      <c r="B1735" s="0" t="n">
        <v>78</v>
      </c>
      <c r="C1735" s="0" t="n">
        <v>411942</v>
      </c>
      <c r="D1735" s="0" t="s">
        <v>4512</v>
      </c>
      <c r="E1735" s="0" t="s">
        <v>7845</v>
      </c>
      <c r="F1735" s="0" t="str">
        <f aca="false">CONCATENATE(D1735," ",LEFT(H1735,4),"T=",AU1735,"D=",AV1735,"R=",AW1735,"M=",AX1735,"L=",AY1735,"B=",AZ1735)</f>
        <v>BLACKWELL T=19D=3R=2M=0L=0B=0</v>
      </c>
      <c r="G1735" s="0" t="s">
        <v>3640</v>
      </c>
      <c r="I1735" s="0" t="s">
        <v>7846</v>
      </c>
      <c r="J1735" s="0" t="s">
        <v>7847</v>
      </c>
      <c r="K1735" s="0" t="s">
        <v>144</v>
      </c>
      <c r="L1735" s="0"/>
      <c r="M1735" s="0" t="s">
        <v>7848</v>
      </c>
      <c r="N1735" s="0" t="str">
        <f aca="false">RIGHT(M1735,LEN(M1735)-FIND(" ",M1735))</f>
        <v>MARYLAND ST NW</v>
      </c>
      <c r="P1735" s="0" t="s">
        <v>146</v>
      </c>
      <c r="Q1735" s="0" t="s">
        <v>147</v>
      </c>
      <c r="R1735" s="0" t="n">
        <v>44483</v>
      </c>
      <c r="AD1735" s="0" t="s">
        <v>148</v>
      </c>
      <c r="AE1735" s="0" t="s">
        <v>149</v>
      </c>
      <c r="AF1735" s="0" t="s">
        <v>150</v>
      </c>
      <c r="AH1735" s="0" t="n">
        <v>14</v>
      </c>
      <c r="AI1735" s="0" t="n">
        <v>11</v>
      </c>
      <c r="AN1735" s="0" t="s">
        <v>146</v>
      </c>
      <c r="AO1735" s="0" t="s">
        <v>250</v>
      </c>
      <c r="AP1735" s="0" t="s">
        <v>251</v>
      </c>
      <c r="AQ1735" s="0" t="n">
        <v>9</v>
      </c>
      <c r="AR1735" s="0" t="n">
        <v>64</v>
      </c>
      <c r="AS1735" s="0" t="n">
        <v>32</v>
      </c>
      <c r="AU1735" s="0" t="n">
        <f aca="false">COUNTA($BA$2324:$EH$2324)</f>
        <v>19</v>
      </c>
      <c r="AV1735" s="0" t="n">
        <f aca="false">COUNTIF($BA$2324:$EH$2324,"D")</f>
        <v>3</v>
      </c>
      <c r="AW1735" s="0" t="n">
        <f aca="false">COUNTIF($BA$2324:$EH$2324,"R")</f>
        <v>2</v>
      </c>
      <c r="AX1735" s="0" t="n">
        <f aca="false"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>0</v>
      </c>
      <c r="AY1735" s="0" t="n">
        <f aca="false">COUNTIF(DU1735:EH1735, "&lt;&gt;")</f>
        <v>0</v>
      </c>
      <c r="AZ1735" s="0" t="n">
        <f aca="false">IF(EH1735&lt;&gt;"",1,0)</f>
        <v>0</v>
      </c>
      <c r="BB1735" s="0" t="s">
        <v>153</v>
      </c>
    </row>
    <row r="1736" customFormat="false" ht="13.8" hidden="false" customHeight="false" outlineLevel="0" collapsed="false">
      <c r="A1736" s="0" t="s">
        <v>7849</v>
      </c>
      <c r="B1736" s="0" t="n">
        <v>78</v>
      </c>
      <c r="C1736" s="0" t="n">
        <v>6401</v>
      </c>
      <c r="D1736" s="0" t="s">
        <v>7850</v>
      </c>
      <c r="E1736" s="0" t="s">
        <v>502</v>
      </c>
      <c r="F1736" s="0" t="str">
        <f aca="false">CONCATENATE(D1736," ",LEFT(H1736,4),"T=",AU1736,"D=",AV1736,"R=",AW1736,"M=",AX1736,"L=",AY1736,"B=",AZ1736)</f>
        <v>BUFFORD T=3D=0R=0M=3L=7B=1</v>
      </c>
      <c r="I1736" s="0" t="s">
        <v>1163</v>
      </c>
      <c r="J1736" s="0" t="s">
        <v>7851</v>
      </c>
      <c r="K1736" s="0" t="s">
        <v>175</v>
      </c>
      <c r="L1736" s="1" t="s">
        <v>155</v>
      </c>
      <c r="M1736" s="0" t="s">
        <v>7852</v>
      </c>
      <c r="N1736" s="0" t="str">
        <f aca="false">RIGHT(M1736,LEN(M1736)-FIND(" ",M1736))</f>
        <v>MARYLAND ST NW</v>
      </c>
      <c r="P1736" s="0" t="s">
        <v>146</v>
      </c>
      <c r="Q1736" s="0" t="s">
        <v>147</v>
      </c>
      <c r="R1736" s="0" t="n">
        <v>44483</v>
      </c>
      <c r="AD1736" s="0" t="s">
        <v>148</v>
      </c>
      <c r="AE1736" s="0" t="s">
        <v>149</v>
      </c>
      <c r="AF1736" s="0" t="s">
        <v>150</v>
      </c>
      <c r="AH1736" s="0" t="n">
        <v>14</v>
      </c>
      <c r="AI1736" s="0" t="n">
        <v>11</v>
      </c>
      <c r="AN1736" s="0" t="s">
        <v>146</v>
      </c>
      <c r="AO1736" s="0" t="s">
        <v>250</v>
      </c>
      <c r="AP1736" s="0" t="s">
        <v>251</v>
      </c>
      <c r="AQ1736" s="0" t="n">
        <v>9</v>
      </c>
      <c r="AR1736" s="0" t="n">
        <v>64</v>
      </c>
      <c r="AS1736" s="0" t="n">
        <v>32</v>
      </c>
      <c r="AU1736" s="0" t="n">
        <f aca="false">COUNTA($BA$2296:$EH$2296)</f>
        <v>3</v>
      </c>
      <c r="AV1736" s="0" t="n">
        <f aca="false">COUNTIF($BA$2296:$EH$2296,"D")</f>
        <v>0</v>
      </c>
      <c r="AW1736" s="0" t="n">
        <f aca="false">COUNTIF($BA$2296:$EH$2296,"R")</f>
        <v>0</v>
      </c>
      <c r="AX1736" s="0" t="n">
        <f aca="false"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>3</v>
      </c>
      <c r="AY1736" s="0" t="n">
        <f aca="false">COUNTIF(DU1736:EH1736, "&lt;&gt;")</f>
        <v>7</v>
      </c>
      <c r="AZ1736" s="0" t="n">
        <f aca="false">IF(EH1736&lt;&gt;"",1,0)</f>
        <v>1</v>
      </c>
      <c r="BB1736" s="0" t="s">
        <v>153</v>
      </c>
      <c r="BC1736" s="0" t="s">
        <v>154</v>
      </c>
      <c r="BD1736" s="0" t="s">
        <v>154</v>
      </c>
      <c r="BF1736" s="0" t="s">
        <v>154</v>
      </c>
      <c r="BH1736" s="0" t="s">
        <v>154</v>
      </c>
      <c r="BI1736" s="0" t="s">
        <v>154</v>
      </c>
      <c r="BJ1736" s="0" t="s">
        <v>154</v>
      </c>
      <c r="BL1736" s="0" t="s">
        <v>154</v>
      </c>
      <c r="BP1736" s="0" t="s">
        <v>154</v>
      </c>
      <c r="BS1736" s="0" t="s">
        <v>154</v>
      </c>
      <c r="BY1736" s="0" t="s">
        <v>155</v>
      </c>
      <c r="CA1736" s="0" t="s">
        <v>154</v>
      </c>
      <c r="CG1736" s="0" t="s">
        <v>154</v>
      </c>
      <c r="CK1736" s="0" t="s">
        <v>154</v>
      </c>
      <c r="CN1736" s="0" t="s">
        <v>154</v>
      </c>
      <c r="CO1736" s="0" t="s">
        <v>155</v>
      </c>
      <c r="CP1736" s="0" t="s">
        <v>154</v>
      </c>
      <c r="CY1736" s="0" t="s">
        <v>154</v>
      </c>
      <c r="CZ1736" s="0" t="s">
        <v>155</v>
      </c>
      <c r="DC1736" s="0" t="s">
        <v>154</v>
      </c>
      <c r="DF1736" s="0" t="s">
        <v>154</v>
      </c>
      <c r="DG1736" s="0" t="s">
        <v>155</v>
      </c>
      <c r="DI1736" s="0" t="s">
        <v>154</v>
      </c>
      <c r="DJ1736" s="0" t="s">
        <v>155</v>
      </c>
      <c r="DL1736" s="0" t="s">
        <v>154</v>
      </c>
      <c r="DM1736" s="0" t="s">
        <v>155</v>
      </c>
      <c r="DN1736" s="0" t="s">
        <v>154</v>
      </c>
      <c r="DR1736" s="0" t="s">
        <v>154</v>
      </c>
      <c r="DS1736" s="0" t="s">
        <v>155</v>
      </c>
      <c r="DT1736" s="0" t="s">
        <v>155</v>
      </c>
      <c r="DU1736" s="0" t="s">
        <v>154</v>
      </c>
      <c r="DW1736" s="0" t="s">
        <v>155</v>
      </c>
      <c r="DX1736" s="0" t="s">
        <v>154</v>
      </c>
      <c r="EA1736" s="0" t="s">
        <v>154</v>
      </c>
      <c r="ED1736" s="0" t="s">
        <v>155</v>
      </c>
      <c r="EF1736" s="0" t="s">
        <v>154</v>
      </c>
      <c r="EH1736" s="0" t="s">
        <v>155</v>
      </c>
    </row>
    <row r="1737" customFormat="false" ht="13.8" hidden="true" customHeight="false" outlineLevel="0" collapsed="false">
      <c r="A1737" s="0" t="s">
        <v>7853</v>
      </c>
      <c r="B1737" s="0" t="n">
        <v>78</v>
      </c>
      <c r="C1737" s="0" t="n">
        <v>340506</v>
      </c>
      <c r="D1737" s="0" t="s">
        <v>1702</v>
      </c>
      <c r="E1737" s="0" t="s">
        <v>857</v>
      </c>
      <c r="F1737" s="0" t="str">
        <f aca="false">CONCATENATE(D1737," ",LEFT(H1737,4),"T=",AU1737,"D=",AV1737,"R=",AW1737,"M=",AX1737,"L=",AY1737,"B=",AZ1737)</f>
        <v>MORGAN T=9D=1R=0M=3L=0B=0</v>
      </c>
      <c r="I1737" s="0" t="s">
        <v>7854</v>
      </c>
      <c r="J1737" s="0" t="s">
        <v>7855</v>
      </c>
      <c r="K1737" s="0" t="s">
        <v>144</v>
      </c>
      <c r="L1737" s="0"/>
      <c r="M1737" s="0" t="s">
        <v>7856</v>
      </c>
      <c r="N1737" s="0" t="str">
        <f aca="false">RIGHT(M1737,LEN(M1737)-FIND(" ",M1737))</f>
        <v>MARYLAND ST NW</v>
      </c>
      <c r="P1737" s="0" t="s">
        <v>146</v>
      </c>
      <c r="Q1737" s="0" t="s">
        <v>147</v>
      </c>
      <c r="R1737" s="0" t="n">
        <v>44483</v>
      </c>
      <c r="AD1737" s="0" t="s">
        <v>148</v>
      </c>
      <c r="AE1737" s="0" t="s">
        <v>149</v>
      </c>
      <c r="AF1737" s="0" t="s">
        <v>150</v>
      </c>
      <c r="AH1737" s="0" t="n">
        <v>14</v>
      </c>
      <c r="AI1737" s="0" t="n">
        <v>11</v>
      </c>
      <c r="AN1737" s="0" t="s">
        <v>146</v>
      </c>
      <c r="AO1737" s="0" t="s">
        <v>250</v>
      </c>
      <c r="AP1737" s="0" t="s">
        <v>251</v>
      </c>
      <c r="AQ1737" s="0" t="n">
        <v>9</v>
      </c>
      <c r="AR1737" s="0" t="n">
        <v>64</v>
      </c>
      <c r="AS1737" s="0" t="n">
        <v>32</v>
      </c>
      <c r="AU1737" s="0" t="n">
        <f aca="false">COUNTA($BA$2434:$EH$2434)</f>
        <v>9</v>
      </c>
      <c r="AV1737" s="0" t="n">
        <f aca="false">COUNTIF($BA$2434:$EH$2434,"D")</f>
        <v>1</v>
      </c>
      <c r="AW1737" s="0" t="n">
        <f aca="false">COUNTIF($BA$2434:$EH$2434,"R")</f>
        <v>0</v>
      </c>
      <c r="AX1737" s="0" t="n">
        <f aca="false"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>3</v>
      </c>
      <c r="AY1737" s="0" t="n">
        <f aca="false">COUNTIF(DU1737:EH1737, "&lt;&gt;")</f>
        <v>0</v>
      </c>
      <c r="AZ1737" s="0" t="n">
        <f aca="false">IF(EH1737&lt;&gt;"",1,0)</f>
        <v>0</v>
      </c>
      <c r="BB1737" s="0" t="s">
        <v>153</v>
      </c>
      <c r="BP1737" s="0" t="s">
        <v>154</v>
      </c>
      <c r="BS1737" s="0" t="s">
        <v>154</v>
      </c>
      <c r="BY1737" s="0" t="s">
        <v>155</v>
      </c>
      <c r="CA1737" s="0" t="s">
        <v>154</v>
      </c>
      <c r="CC1737" s="0" t="s">
        <v>155</v>
      </c>
      <c r="CG1737" s="0" t="s">
        <v>154</v>
      </c>
      <c r="CK1737" s="0" t="s">
        <v>154</v>
      </c>
      <c r="CN1737" s="0" t="s">
        <v>154</v>
      </c>
      <c r="CO1737" s="0" t="s">
        <v>155</v>
      </c>
      <c r="CP1737" s="0" t="s">
        <v>154</v>
      </c>
      <c r="CQ1737" s="0" t="s">
        <v>155</v>
      </c>
      <c r="CT1737" s="0" t="s">
        <v>154</v>
      </c>
      <c r="CU1737" s="0" t="s">
        <v>155</v>
      </c>
      <c r="CV1737" s="0" t="s">
        <v>154</v>
      </c>
      <c r="CW1737" s="0" t="s">
        <v>155</v>
      </c>
      <c r="CY1737" s="0" t="s">
        <v>154</v>
      </c>
      <c r="CZ1737" s="0" t="s">
        <v>155</v>
      </c>
      <c r="DC1737" s="0" t="s">
        <v>154</v>
      </c>
      <c r="DI1737" s="0" t="s">
        <v>154</v>
      </c>
      <c r="DM1737" s="0" t="s">
        <v>155</v>
      </c>
    </row>
    <row r="1738" customFormat="false" ht="13.8" hidden="true" customHeight="false" outlineLevel="0" collapsed="false">
      <c r="A1738" s="0" t="s">
        <v>7857</v>
      </c>
      <c r="B1738" s="0" t="n">
        <v>78</v>
      </c>
      <c r="C1738" s="0" t="n">
        <v>313704</v>
      </c>
      <c r="D1738" s="0" t="s">
        <v>1702</v>
      </c>
      <c r="E1738" s="0" t="s">
        <v>2921</v>
      </c>
      <c r="F1738" s="0" t="str">
        <f aca="false">CONCATENATE(D1738," ",LEFT(H1738,4),"T=",AU1738,"D=",AV1738,"R=",AW1738,"M=",AX1738,"L=",AY1738,"B=",AZ1738)</f>
        <v>MORGAN T=9D=1R=0M=3L=0B=0</v>
      </c>
      <c r="I1738" s="0" t="s">
        <v>7858</v>
      </c>
      <c r="J1738" s="0" t="s">
        <v>7859</v>
      </c>
      <c r="K1738" s="0" t="s">
        <v>144</v>
      </c>
      <c r="L1738" s="0"/>
      <c r="M1738" s="0" t="s">
        <v>7856</v>
      </c>
      <c r="N1738" s="0" t="str">
        <f aca="false">RIGHT(M1738,LEN(M1738)-FIND(" ",M1738))</f>
        <v>MARYLAND ST NW</v>
      </c>
      <c r="P1738" s="0" t="s">
        <v>146</v>
      </c>
      <c r="Q1738" s="0" t="s">
        <v>147</v>
      </c>
      <c r="R1738" s="0" t="n">
        <v>44483</v>
      </c>
      <c r="AD1738" s="0" t="s">
        <v>148</v>
      </c>
      <c r="AE1738" s="0" t="s">
        <v>149</v>
      </c>
      <c r="AF1738" s="0" t="s">
        <v>150</v>
      </c>
      <c r="AH1738" s="0" t="n">
        <v>14</v>
      </c>
      <c r="AI1738" s="0" t="n">
        <v>11</v>
      </c>
      <c r="AN1738" s="0" t="s">
        <v>146</v>
      </c>
      <c r="AO1738" s="0" t="s">
        <v>250</v>
      </c>
      <c r="AP1738" s="0" t="s">
        <v>251</v>
      </c>
      <c r="AQ1738" s="0" t="n">
        <v>9</v>
      </c>
      <c r="AR1738" s="0" t="n">
        <v>64</v>
      </c>
      <c r="AS1738" s="0" t="n">
        <v>32</v>
      </c>
      <c r="AU1738" s="0" t="n">
        <f aca="false">COUNTA($BA$2435:$EH$2435)</f>
        <v>9</v>
      </c>
      <c r="AV1738" s="0" t="n">
        <f aca="false">COUNTIF($BA$2435:$EH$2435,"D")</f>
        <v>1</v>
      </c>
      <c r="AW1738" s="0" t="n">
        <f aca="false">COUNTIF($BA$2435:$EH$2435,"R")</f>
        <v>0</v>
      </c>
      <c r="AX1738" s="0" t="n">
        <f aca="false"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>3</v>
      </c>
      <c r="AY1738" s="0" t="n">
        <f aca="false">COUNTIF(DU1738:EH1738, "&lt;&gt;")</f>
        <v>0</v>
      </c>
      <c r="AZ1738" s="0" t="n">
        <f aca="false">IF(EH1738&lt;&gt;"",1,0)</f>
        <v>0</v>
      </c>
      <c r="BB1738" s="0" t="s">
        <v>153</v>
      </c>
      <c r="BS1738" s="0" t="s">
        <v>154</v>
      </c>
      <c r="BY1738" s="0" t="s">
        <v>155</v>
      </c>
      <c r="CA1738" s="0" t="s">
        <v>154</v>
      </c>
      <c r="CC1738" s="0" t="s">
        <v>155</v>
      </c>
      <c r="CG1738" s="0" t="s">
        <v>154</v>
      </c>
      <c r="CK1738" s="0" t="s">
        <v>154</v>
      </c>
      <c r="CN1738" s="0" t="s">
        <v>154</v>
      </c>
      <c r="CP1738" s="0" t="s">
        <v>154</v>
      </c>
      <c r="CQ1738" s="0" t="s">
        <v>155</v>
      </c>
      <c r="CV1738" s="0" t="s">
        <v>154</v>
      </c>
      <c r="CW1738" s="0" t="s">
        <v>155</v>
      </c>
      <c r="CY1738" s="0" t="s">
        <v>154</v>
      </c>
      <c r="DC1738" s="0" t="s">
        <v>154</v>
      </c>
      <c r="DG1738" s="0" t="s">
        <v>155</v>
      </c>
      <c r="DI1738" s="0" t="s">
        <v>154</v>
      </c>
      <c r="DM1738" s="0" t="s">
        <v>155</v>
      </c>
    </row>
    <row r="1739" customFormat="false" ht="13.8" hidden="false" customHeight="false" outlineLevel="0" collapsed="false">
      <c r="A1739" s="0" t="s">
        <v>7860</v>
      </c>
      <c r="B1739" s="0" t="n">
        <v>78</v>
      </c>
      <c r="C1739" s="0" t="n">
        <v>445249</v>
      </c>
      <c r="D1739" s="0" t="s">
        <v>7861</v>
      </c>
      <c r="E1739" s="0" t="s">
        <v>822</v>
      </c>
      <c r="F1739" s="0" t="str">
        <f aca="false">CONCATENATE(D1739," ",LEFT(H1739,4),"T=",AU1739,"D=",AV1739,"R=",AW1739,"M=",AX1739,"L=",AY1739,"B=",AZ1739)</f>
        <v>SAFFLE T=2D=0R=0M=0L=2B=0</v>
      </c>
      <c r="G1739" s="0" t="s">
        <v>842</v>
      </c>
      <c r="I1739" s="0" t="s">
        <v>7862</v>
      </c>
      <c r="J1739" s="0" t="s">
        <v>7863</v>
      </c>
      <c r="K1739" s="0" t="s">
        <v>175</v>
      </c>
      <c r="M1739" s="0" t="s">
        <v>7864</v>
      </c>
      <c r="N1739" s="0" t="str">
        <f aca="false">RIGHT(M1739,LEN(M1739)-FIND(" ",M1739))</f>
        <v>MARYLAND ST NW</v>
      </c>
      <c r="P1739" s="0" t="s">
        <v>146</v>
      </c>
      <c r="Q1739" s="0" t="s">
        <v>147</v>
      </c>
      <c r="R1739" s="0" t="n">
        <v>44483</v>
      </c>
      <c r="AD1739" s="0" t="s">
        <v>148</v>
      </c>
      <c r="AE1739" s="0" t="s">
        <v>149</v>
      </c>
      <c r="AF1739" s="0" t="s">
        <v>150</v>
      </c>
      <c r="AH1739" s="0" t="n">
        <v>14</v>
      </c>
      <c r="AI1739" s="0" t="n">
        <v>11</v>
      </c>
      <c r="AN1739" s="0" t="s">
        <v>146</v>
      </c>
      <c r="AO1739" s="0" t="s">
        <v>250</v>
      </c>
      <c r="AP1739" s="0" t="s">
        <v>251</v>
      </c>
      <c r="AQ1739" s="0" t="n">
        <v>9</v>
      </c>
      <c r="AR1739" s="0" t="n">
        <v>64</v>
      </c>
      <c r="AS1739" s="0" t="n">
        <v>32</v>
      </c>
      <c r="AU1739" s="0" t="n">
        <f aca="false">COUNTA($BA$2117:$EH$2117)</f>
        <v>2</v>
      </c>
      <c r="AV1739" s="0" t="n">
        <f aca="false">COUNTIF($BA$2117:$EH$2117,"D")</f>
        <v>0</v>
      </c>
      <c r="AW1739" s="0" t="n">
        <f aca="false">COUNTIF($BA$2117:$EH$2117,"R")</f>
        <v>0</v>
      </c>
      <c r="AX1739" s="0" t="n">
        <f aca="false"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>0</v>
      </c>
      <c r="AY1739" s="0" t="n">
        <f aca="false">COUNTIF(DU1739:EH1739, "&lt;&gt;")</f>
        <v>2</v>
      </c>
      <c r="AZ1739" s="0" t="n">
        <f aca="false">IF(EH1739&lt;&gt;"",1,0)</f>
        <v>0</v>
      </c>
      <c r="BB1739" s="0" t="s">
        <v>153</v>
      </c>
      <c r="DM1739" s="0" t="s">
        <v>176</v>
      </c>
      <c r="DN1739" s="0" t="s">
        <v>154</v>
      </c>
      <c r="EA1739" s="0" t="s">
        <v>154</v>
      </c>
      <c r="EF1739" s="0" t="s">
        <v>154</v>
      </c>
    </row>
    <row r="1740" customFormat="false" ht="13.8" hidden="false" customHeight="false" outlineLevel="0" collapsed="false">
      <c r="A1740" s="0" t="s">
        <v>7865</v>
      </c>
      <c r="B1740" s="0" t="n">
        <v>78</v>
      </c>
      <c r="C1740" s="0" t="n">
        <v>6464</v>
      </c>
      <c r="D1740" s="0" t="s">
        <v>7866</v>
      </c>
      <c r="E1740" s="0" t="s">
        <v>4085</v>
      </c>
      <c r="F1740" s="0" t="str">
        <f aca="false">CONCATENATE(D1740," ",LEFT(H1740,4),"T=",AU1740,"D=",AV1740,"R=",AW1740,"M=",AX1740,"L=",AY1740,"B=",AZ1740)</f>
        <v>ZANDARSKI T=23D=1R=2M=8L=6B=1</v>
      </c>
      <c r="G1740" s="0" t="s">
        <v>155</v>
      </c>
      <c r="I1740" s="0" t="s">
        <v>7867</v>
      </c>
      <c r="J1740" s="0" t="s">
        <v>7868</v>
      </c>
      <c r="K1740" s="0" t="s">
        <v>175</v>
      </c>
      <c r="L1740" s="1" t="s">
        <v>155</v>
      </c>
      <c r="M1740" s="0" t="s">
        <v>7864</v>
      </c>
      <c r="N1740" s="0" t="str">
        <f aca="false">RIGHT(M1740,LEN(M1740)-FIND(" ",M1740))</f>
        <v>MARYLAND ST NW</v>
      </c>
      <c r="P1740" s="0" t="s">
        <v>146</v>
      </c>
      <c r="Q1740" s="0" t="s">
        <v>147</v>
      </c>
      <c r="R1740" s="0" t="n">
        <v>44483</v>
      </c>
      <c r="AD1740" s="0" t="s">
        <v>148</v>
      </c>
      <c r="AE1740" s="0" t="s">
        <v>149</v>
      </c>
      <c r="AF1740" s="0" t="s">
        <v>150</v>
      </c>
      <c r="AH1740" s="0" t="n">
        <v>14</v>
      </c>
      <c r="AI1740" s="0" t="n">
        <v>11</v>
      </c>
      <c r="AN1740" s="0" t="s">
        <v>146</v>
      </c>
      <c r="AO1740" s="0" t="s">
        <v>250</v>
      </c>
      <c r="AP1740" s="0" t="s">
        <v>251</v>
      </c>
      <c r="AQ1740" s="0" t="n">
        <v>9</v>
      </c>
      <c r="AR1740" s="0" t="n">
        <v>64</v>
      </c>
      <c r="AS1740" s="0" t="n">
        <v>32</v>
      </c>
      <c r="AU1740" s="0" t="n">
        <f aca="false">COUNTA($BA$2299:$EH$2299)</f>
        <v>23</v>
      </c>
      <c r="AV1740" s="0" t="n">
        <f aca="false">COUNTIF($BA$2299:$EH$2299,"D")</f>
        <v>1</v>
      </c>
      <c r="AW1740" s="0" t="n">
        <f aca="false">COUNTIF($BA$2299:$EH$2299,"R")</f>
        <v>2</v>
      </c>
      <c r="AX1740" s="0" t="n">
        <f aca="false"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>8</v>
      </c>
      <c r="AY1740" s="0" t="n">
        <f aca="false">COUNTIF(DU1740:EH1740, "&lt;&gt;")</f>
        <v>6</v>
      </c>
      <c r="AZ1740" s="0" t="n">
        <f aca="false">IF(EH1740&lt;&gt;"",1,0)</f>
        <v>1</v>
      </c>
      <c r="BB1740" s="0" t="s">
        <v>153</v>
      </c>
      <c r="BC1740" s="0" t="s">
        <v>154</v>
      </c>
      <c r="BD1740" s="0" t="s">
        <v>154</v>
      </c>
      <c r="BE1740" s="0" t="s">
        <v>154</v>
      </c>
      <c r="BF1740" s="0" t="s">
        <v>154</v>
      </c>
      <c r="BG1740" s="0" t="s">
        <v>154</v>
      </c>
      <c r="BH1740" s="0" t="s">
        <v>154</v>
      </c>
      <c r="BI1740" s="0" t="s">
        <v>154</v>
      </c>
      <c r="BJ1740" s="0" t="s">
        <v>154</v>
      </c>
      <c r="BK1740" s="0" t="s">
        <v>154</v>
      </c>
      <c r="BL1740" s="0" t="s">
        <v>154</v>
      </c>
      <c r="BP1740" s="0" t="s">
        <v>154</v>
      </c>
      <c r="BR1740" s="0" t="s">
        <v>154</v>
      </c>
      <c r="BS1740" s="0" t="s">
        <v>154</v>
      </c>
      <c r="BV1740" s="0" t="s">
        <v>154</v>
      </c>
      <c r="BY1740" s="0" t="s">
        <v>155</v>
      </c>
      <c r="CA1740" s="0" t="s">
        <v>154</v>
      </c>
      <c r="CC1740" s="0" t="s">
        <v>155</v>
      </c>
      <c r="CG1740" s="0" t="s">
        <v>154</v>
      </c>
      <c r="CH1740" s="0" t="s">
        <v>155</v>
      </c>
      <c r="CK1740" s="0" t="s">
        <v>154</v>
      </c>
      <c r="CL1740" s="0" t="s">
        <v>155</v>
      </c>
      <c r="CN1740" s="0" t="s">
        <v>154</v>
      </c>
      <c r="CO1740" s="0" t="s">
        <v>155</v>
      </c>
      <c r="CP1740" s="0" t="s">
        <v>154</v>
      </c>
      <c r="CQ1740" s="0" t="s">
        <v>155</v>
      </c>
      <c r="CT1740" s="0" t="s">
        <v>154</v>
      </c>
      <c r="CU1740" s="0" t="s">
        <v>155</v>
      </c>
      <c r="CV1740" s="0" t="s">
        <v>154</v>
      </c>
      <c r="CY1740" s="0" t="s">
        <v>154</v>
      </c>
      <c r="CZ1740" s="0" t="s">
        <v>155</v>
      </c>
      <c r="DC1740" s="0" t="s">
        <v>154</v>
      </c>
      <c r="DD1740" s="0" t="s">
        <v>155</v>
      </c>
      <c r="DF1740" s="0" t="s">
        <v>154</v>
      </c>
      <c r="DG1740" s="0" t="s">
        <v>155</v>
      </c>
      <c r="DI1740" s="0" t="s">
        <v>154</v>
      </c>
      <c r="DJ1740" s="0" t="s">
        <v>155</v>
      </c>
      <c r="DL1740" s="0" t="s">
        <v>154</v>
      </c>
      <c r="DM1740" s="0" t="s">
        <v>155</v>
      </c>
      <c r="DN1740" s="0" t="s">
        <v>154</v>
      </c>
      <c r="DO1740" s="0" t="s">
        <v>155</v>
      </c>
      <c r="DR1740" s="0" t="s">
        <v>154</v>
      </c>
      <c r="DS1740" s="0" t="s">
        <v>155</v>
      </c>
      <c r="DW1740" s="0" t="s">
        <v>155</v>
      </c>
      <c r="DX1740" s="0" t="s">
        <v>154</v>
      </c>
      <c r="EA1740" s="0" t="s">
        <v>154</v>
      </c>
      <c r="ED1740" s="0" t="s">
        <v>155</v>
      </c>
      <c r="EF1740" s="0" t="s">
        <v>154</v>
      </c>
      <c r="EH1740" s="0" t="s">
        <v>155</v>
      </c>
    </row>
    <row r="1741" customFormat="false" ht="13.8" hidden="true" customHeight="false" outlineLevel="0" collapsed="false">
      <c r="A1741" s="0" t="s">
        <v>7869</v>
      </c>
      <c r="B1741" s="0" t="n">
        <v>78</v>
      </c>
      <c r="C1741" s="0" t="n">
        <v>385820</v>
      </c>
      <c r="D1741" s="0" t="s">
        <v>7870</v>
      </c>
      <c r="E1741" s="0" t="s">
        <v>7871</v>
      </c>
      <c r="F1741" s="0" t="str">
        <f aca="false">CONCATENATE(D1741," ",LEFT(H1741,4),"T=",AU1741,"D=",AV1741,"R=",AW1741,"M=",AX1741,"L=",AY1741,"B=",AZ1741)</f>
        <v>DIXON T=14D=0R=0M=0L=0B=0</v>
      </c>
      <c r="G1741" s="0" t="s">
        <v>159</v>
      </c>
      <c r="I1741" s="0" t="s">
        <v>7872</v>
      </c>
      <c r="J1741" s="0" t="s">
        <v>7873</v>
      </c>
      <c r="K1741" s="0" t="s">
        <v>144</v>
      </c>
      <c r="L1741" s="0"/>
      <c r="M1741" s="0" t="s">
        <v>7874</v>
      </c>
      <c r="N1741" s="0" t="str">
        <f aca="false">RIGHT(M1741,LEN(M1741)-FIND(" ",M1741))</f>
        <v>MARYLAND ST NW</v>
      </c>
      <c r="P1741" s="0" t="s">
        <v>146</v>
      </c>
      <c r="Q1741" s="0" t="s">
        <v>147</v>
      </c>
      <c r="R1741" s="0" t="n">
        <v>44483</v>
      </c>
      <c r="AD1741" s="0" t="s">
        <v>148</v>
      </c>
      <c r="AE1741" s="0" t="s">
        <v>149</v>
      </c>
      <c r="AF1741" s="0" t="s">
        <v>150</v>
      </c>
      <c r="AH1741" s="0" t="n">
        <v>14</v>
      </c>
      <c r="AI1741" s="0" t="n">
        <v>11</v>
      </c>
      <c r="AN1741" s="0" t="s">
        <v>146</v>
      </c>
      <c r="AO1741" s="0" t="s">
        <v>250</v>
      </c>
      <c r="AP1741" s="0" t="s">
        <v>251</v>
      </c>
      <c r="AQ1741" s="0" t="n">
        <v>9</v>
      </c>
      <c r="AR1741" s="0" t="n">
        <v>64</v>
      </c>
      <c r="AS1741" s="0" t="n">
        <v>32</v>
      </c>
      <c r="AU1741" s="0" t="n">
        <f aca="false">COUNTA($BA$2263:$EH$2263)</f>
        <v>14</v>
      </c>
      <c r="AV1741" s="0" t="n">
        <f aca="false">COUNTIF($BA$2263:$EH$2263,"D")</f>
        <v>0</v>
      </c>
      <c r="AW1741" s="0" t="n">
        <f aca="false">COUNTIF($BA$2263:$EH$2263,"R")</f>
        <v>0</v>
      </c>
      <c r="AX1741" s="0" t="n">
        <f aca="false"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>0</v>
      </c>
      <c r="AY1741" s="0" t="n">
        <f aca="false">COUNTIF(DU1741:EH1741, "&lt;&gt;")</f>
        <v>0</v>
      </c>
      <c r="AZ1741" s="0" t="n">
        <f aca="false">IF(EH1741&lt;&gt;"",1,0)</f>
        <v>0</v>
      </c>
      <c r="BB1741" s="0" t="s">
        <v>153</v>
      </c>
      <c r="CP1741" s="0" t="s">
        <v>154</v>
      </c>
    </row>
    <row r="1742" customFormat="false" ht="13.8" hidden="false" customHeight="false" outlineLevel="0" collapsed="false">
      <c r="A1742" s="0" t="s">
        <v>7875</v>
      </c>
      <c r="B1742" s="0" t="n">
        <v>78</v>
      </c>
      <c r="C1742" s="0" t="n">
        <v>217808</v>
      </c>
      <c r="D1742" s="0" t="s">
        <v>7703</v>
      </c>
      <c r="E1742" s="0" t="s">
        <v>1295</v>
      </c>
      <c r="F1742" s="0" t="str">
        <f aca="false">CONCATENATE(D1742," ",LEFT(H1742,4),"T=",AU1742,"D=",AV1742,"R=",AW1742,"M=",AX1742,"L=",AY1742,"B=",AZ1742)</f>
        <v>FOBES T=11D=2R=0M=0L=4B=0</v>
      </c>
      <c r="G1742" s="0" t="s">
        <v>664</v>
      </c>
      <c r="I1742" s="0" t="s">
        <v>7876</v>
      </c>
      <c r="J1742" s="0" t="s">
        <v>7427</v>
      </c>
      <c r="K1742" s="0" t="s">
        <v>175</v>
      </c>
      <c r="L1742" s="1" t="s">
        <v>176</v>
      </c>
      <c r="M1742" s="0" t="s">
        <v>7877</v>
      </c>
      <c r="N1742" s="0" t="str">
        <f aca="false">RIGHT(M1742,LEN(M1742)-FIND(" ",M1742))</f>
        <v>MARYLAND ST NW</v>
      </c>
      <c r="P1742" s="0" t="s">
        <v>146</v>
      </c>
      <c r="Q1742" s="0" t="s">
        <v>147</v>
      </c>
      <c r="R1742" s="0" t="n">
        <v>44483</v>
      </c>
      <c r="AD1742" s="0" t="s">
        <v>148</v>
      </c>
      <c r="AE1742" s="0" t="s">
        <v>149</v>
      </c>
      <c r="AF1742" s="0" t="s">
        <v>150</v>
      </c>
      <c r="AH1742" s="0" t="n">
        <v>14</v>
      </c>
      <c r="AI1742" s="0" t="n">
        <v>11</v>
      </c>
      <c r="AN1742" s="0" t="s">
        <v>146</v>
      </c>
      <c r="AO1742" s="0" t="s">
        <v>250</v>
      </c>
      <c r="AP1742" s="0" t="s">
        <v>251</v>
      </c>
      <c r="AQ1742" s="0" t="n">
        <v>9</v>
      </c>
      <c r="AR1742" s="0" t="n">
        <v>64</v>
      </c>
      <c r="AS1742" s="0" t="n">
        <v>32</v>
      </c>
      <c r="AU1742" s="0" t="n">
        <f aca="false">COUNTA($BA$2450:$EH$2450)</f>
        <v>11</v>
      </c>
      <c r="AV1742" s="0" t="n">
        <f aca="false">COUNTIF($BA$2450:$EH$2450,"D")</f>
        <v>2</v>
      </c>
      <c r="AW1742" s="0" t="n">
        <f aca="false">COUNTIF($BA$2450:$EH$2450,"R")</f>
        <v>0</v>
      </c>
      <c r="AX1742" s="0" t="n">
        <f aca="false"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>0</v>
      </c>
      <c r="AY1742" s="0" t="n">
        <f aca="false">COUNTIF(DU1742:EH1742, "&lt;&gt;")</f>
        <v>4</v>
      </c>
      <c r="AZ1742" s="0" t="n">
        <f aca="false">IF(EH1742&lt;&gt;"",1,0)</f>
        <v>0</v>
      </c>
      <c r="BB1742" s="0" t="s">
        <v>153</v>
      </c>
      <c r="BD1742" s="0" t="s">
        <v>154</v>
      </c>
      <c r="BE1742" s="0" t="s">
        <v>154</v>
      </c>
      <c r="BF1742" s="0" t="s">
        <v>154</v>
      </c>
      <c r="BG1742" s="0" t="s">
        <v>154</v>
      </c>
      <c r="BH1742" s="0" t="s">
        <v>154</v>
      </c>
      <c r="BK1742" s="0" t="s">
        <v>154</v>
      </c>
      <c r="BL1742" s="0" t="s">
        <v>154</v>
      </c>
      <c r="BP1742" s="0" t="s">
        <v>154</v>
      </c>
      <c r="BR1742" s="0" t="s">
        <v>154</v>
      </c>
      <c r="BS1742" s="0" t="s">
        <v>154</v>
      </c>
      <c r="BV1742" s="0" t="s">
        <v>154</v>
      </c>
      <c r="BY1742" s="0" t="s">
        <v>176</v>
      </c>
      <c r="CA1742" s="0" t="s">
        <v>154</v>
      </c>
      <c r="CK1742" s="0" t="s">
        <v>154</v>
      </c>
      <c r="CN1742" s="0" t="s">
        <v>154</v>
      </c>
      <c r="CP1742" s="0" t="s">
        <v>154</v>
      </c>
      <c r="CV1742" s="0" t="s">
        <v>154</v>
      </c>
      <c r="CY1742" s="0" t="s">
        <v>154</v>
      </c>
      <c r="CZ1742" s="0" t="s">
        <v>176</v>
      </c>
      <c r="DC1742" s="0" t="s">
        <v>154</v>
      </c>
      <c r="DG1742" s="0" t="s">
        <v>176</v>
      </c>
      <c r="DI1742" s="0" t="s">
        <v>154</v>
      </c>
      <c r="DL1742" s="0" t="s">
        <v>154</v>
      </c>
      <c r="DN1742" s="0" t="s">
        <v>154</v>
      </c>
      <c r="DS1742" s="0" t="s">
        <v>176</v>
      </c>
      <c r="DU1742" s="0" t="s">
        <v>154</v>
      </c>
      <c r="DX1742" s="0" t="s">
        <v>154</v>
      </c>
      <c r="EA1742" s="0" t="s">
        <v>154</v>
      </c>
      <c r="EF1742" s="0" t="s">
        <v>154</v>
      </c>
    </row>
    <row r="1743" customFormat="false" ht="13.8" hidden="true" customHeight="false" outlineLevel="0" collapsed="false">
      <c r="A1743" s="0" t="s">
        <v>7878</v>
      </c>
      <c r="B1743" s="0" t="n">
        <v>78</v>
      </c>
      <c r="C1743" s="0" t="n">
        <v>214345</v>
      </c>
      <c r="D1743" s="0" t="s">
        <v>4426</v>
      </c>
      <c r="E1743" s="0" t="s">
        <v>2236</v>
      </c>
      <c r="F1743" s="0" t="str">
        <f aca="false">CONCATENATE(D1743," ",LEFT(H1743,4),"T=",AU1743,"D=",AV1743,"R=",AW1743,"M=",AX1743,"L=",AY1743,"B=",AZ1743)</f>
        <v>OWENS T=3D=1R=0M=0L=1B=0</v>
      </c>
      <c r="G1743" s="0" t="s">
        <v>172</v>
      </c>
      <c r="I1743" s="0" t="s">
        <v>7879</v>
      </c>
      <c r="J1743" s="0" t="s">
        <v>7880</v>
      </c>
      <c r="K1743" s="0" t="s">
        <v>175</v>
      </c>
      <c r="L1743" s="0"/>
      <c r="M1743" s="0" t="s">
        <v>7881</v>
      </c>
      <c r="N1743" s="0" t="str">
        <f aca="false">RIGHT(M1743,LEN(M1743)-FIND(" ",M1743))</f>
        <v>MARYLAND ST NW</v>
      </c>
      <c r="P1743" s="0" t="s">
        <v>146</v>
      </c>
      <c r="Q1743" s="0" t="s">
        <v>147</v>
      </c>
      <c r="R1743" s="0" t="n">
        <v>44483</v>
      </c>
      <c r="AD1743" s="0" t="s">
        <v>148</v>
      </c>
      <c r="AE1743" s="0" t="s">
        <v>149</v>
      </c>
      <c r="AF1743" s="0" t="s">
        <v>150</v>
      </c>
      <c r="AH1743" s="0" t="n">
        <v>14</v>
      </c>
      <c r="AI1743" s="0" t="n">
        <v>11</v>
      </c>
      <c r="AN1743" s="0" t="s">
        <v>146</v>
      </c>
      <c r="AO1743" s="0" t="s">
        <v>250</v>
      </c>
      <c r="AP1743" s="0" t="s">
        <v>251</v>
      </c>
      <c r="AQ1743" s="0" t="n">
        <v>9</v>
      </c>
      <c r="AR1743" s="0" t="n">
        <v>64</v>
      </c>
      <c r="AS1743" s="0" t="n">
        <v>32</v>
      </c>
      <c r="AU1743" s="0" t="n">
        <f aca="false">COUNTA($BA$2399:$EH$2399)</f>
        <v>3</v>
      </c>
      <c r="AV1743" s="0" t="n">
        <f aca="false">COUNTIF($BA$2399:$EH$2399,"D")</f>
        <v>1</v>
      </c>
      <c r="AW1743" s="0" t="n">
        <f aca="false">COUNTIF($BA$2399:$EH$2399,"R")</f>
        <v>0</v>
      </c>
      <c r="AX1743" s="0" t="n">
        <f aca="false"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>0</v>
      </c>
      <c r="AY1743" s="0" t="n">
        <f aca="false">COUNTIF(DU1743:EH1743, "&lt;&gt;")</f>
        <v>1</v>
      </c>
      <c r="AZ1743" s="0" t="n">
        <f aca="false">IF(EH1743&lt;&gt;"",1,0)</f>
        <v>0</v>
      </c>
      <c r="BB1743" s="0" t="s">
        <v>153</v>
      </c>
      <c r="BD1743" s="0" t="s">
        <v>154</v>
      </c>
      <c r="BF1743" s="0" t="s">
        <v>154</v>
      </c>
      <c r="BL1743" s="0" t="s">
        <v>154</v>
      </c>
      <c r="BY1743" s="0" t="s">
        <v>155</v>
      </c>
      <c r="CA1743" s="0" t="s">
        <v>154</v>
      </c>
      <c r="CP1743" s="0" t="s">
        <v>154</v>
      </c>
      <c r="DN1743" s="0" t="s">
        <v>154</v>
      </c>
      <c r="EF1743" s="0" t="s">
        <v>154</v>
      </c>
    </row>
    <row r="1744" customFormat="false" ht="13.8" hidden="true" customHeight="false" outlineLevel="0" collapsed="false">
      <c r="A1744" s="0" t="s">
        <v>7882</v>
      </c>
      <c r="B1744" s="0" t="n">
        <v>78</v>
      </c>
      <c r="C1744" s="0" t="n">
        <v>474002</v>
      </c>
      <c r="D1744" s="0" t="s">
        <v>2783</v>
      </c>
      <c r="E1744" s="0" t="s">
        <v>376</v>
      </c>
      <c r="F1744" s="0" t="str">
        <f aca="false">CONCATENATE(D1744," ",LEFT(H1744,4),"T=",AU1744,"D=",AV1744,"R=",AW1744,"M=",AX1744,"L=",AY1744,"B=",AZ1744)</f>
        <v>BALDWIN T=5D=1R=0M=0L=0B=0</v>
      </c>
      <c r="G1744" s="0" t="s">
        <v>297</v>
      </c>
      <c r="I1744" s="0" t="s">
        <v>7883</v>
      </c>
      <c r="J1744" s="0" t="s">
        <v>3037</v>
      </c>
      <c r="K1744" s="0" t="s">
        <v>175</v>
      </c>
      <c r="L1744" s="0"/>
      <c r="M1744" s="0" t="s">
        <v>7884</v>
      </c>
      <c r="N1744" s="0" t="str">
        <f aca="false">RIGHT(M1744,LEN(M1744)-FIND(" ",M1744))</f>
        <v>MARYLAND ST NW</v>
      </c>
      <c r="P1744" s="0" t="s">
        <v>146</v>
      </c>
      <c r="Q1744" s="0" t="s">
        <v>147</v>
      </c>
      <c r="R1744" s="0" t="n">
        <v>44483</v>
      </c>
      <c r="AD1744" s="0" t="s">
        <v>148</v>
      </c>
      <c r="AE1744" s="0" t="s">
        <v>149</v>
      </c>
      <c r="AF1744" s="0" t="s">
        <v>150</v>
      </c>
      <c r="AH1744" s="0" t="n">
        <v>14</v>
      </c>
      <c r="AI1744" s="0" t="n">
        <v>11</v>
      </c>
      <c r="AN1744" s="0" t="s">
        <v>146</v>
      </c>
      <c r="AO1744" s="0" t="s">
        <v>250</v>
      </c>
      <c r="AP1744" s="0" t="s">
        <v>251</v>
      </c>
      <c r="AQ1744" s="0" t="n">
        <v>9</v>
      </c>
      <c r="AR1744" s="0" t="n">
        <v>64</v>
      </c>
      <c r="AS1744" s="0" t="n">
        <v>32</v>
      </c>
      <c r="AU1744" s="0" t="n">
        <f aca="false">COUNTA($BA$2302:$EH$2302)</f>
        <v>5</v>
      </c>
      <c r="AV1744" s="0" t="n">
        <f aca="false">COUNTIF($BA$2302:$EH$2302,"D")</f>
        <v>1</v>
      </c>
      <c r="AW1744" s="0" t="n">
        <f aca="false">COUNTIF($BA$2302:$EH$2302,"R")</f>
        <v>0</v>
      </c>
      <c r="AX1744" s="0" t="n">
        <f aca="false"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>0</v>
      </c>
      <c r="AY1744" s="0" t="n">
        <f aca="false">COUNTIF(DU1744:EH1744, "&lt;&gt;")</f>
        <v>0</v>
      </c>
      <c r="AZ1744" s="0" t="n">
        <f aca="false">IF(EH1744&lt;&gt;"",1,0)</f>
        <v>0</v>
      </c>
      <c r="BB1744" s="0" t="s">
        <v>153</v>
      </c>
    </row>
    <row r="1745" customFormat="false" ht="13.8" hidden="true" customHeight="false" outlineLevel="0" collapsed="false">
      <c r="A1745" s="0" t="s">
        <v>7885</v>
      </c>
      <c r="B1745" s="0" t="n">
        <v>78</v>
      </c>
      <c r="C1745" s="0" t="n">
        <v>460828</v>
      </c>
      <c r="D1745" s="0" t="s">
        <v>1027</v>
      </c>
      <c r="E1745" s="0" t="s">
        <v>1140</v>
      </c>
      <c r="F1745" s="0" t="str">
        <f aca="false">CONCATENATE(D1745," ",LEFT(H1745,4),"T=",AU1745,"D=",AV1745,"R=",AW1745,"M=",AX1745,"L=",AY1745,"B=",AZ1745)</f>
        <v>MARTIN T=3D=0R=0M=0L=0B=0</v>
      </c>
      <c r="G1745" s="0" t="s">
        <v>690</v>
      </c>
      <c r="I1745" s="0" t="s">
        <v>7886</v>
      </c>
      <c r="J1745" s="0" t="s">
        <v>7887</v>
      </c>
      <c r="K1745" s="0" t="s">
        <v>175</v>
      </c>
      <c r="L1745" s="0"/>
      <c r="M1745" s="0" t="s">
        <v>7884</v>
      </c>
      <c r="N1745" s="0" t="str">
        <f aca="false">RIGHT(M1745,LEN(M1745)-FIND(" ",M1745))</f>
        <v>MARYLAND ST NW</v>
      </c>
      <c r="P1745" s="0" t="s">
        <v>146</v>
      </c>
      <c r="Q1745" s="0" t="s">
        <v>147</v>
      </c>
      <c r="R1745" s="0" t="n">
        <v>44483</v>
      </c>
      <c r="AD1745" s="0" t="s">
        <v>148</v>
      </c>
      <c r="AE1745" s="0" t="s">
        <v>149</v>
      </c>
      <c r="AF1745" s="0" t="s">
        <v>150</v>
      </c>
      <c r="AH1745" s="0" t="n">
        <v>14</v>
      </c>
      <c r="AI1745" s="0" t="n">
        <v>11</v>
      </c>
      <c r="AN1745" s="0" t="s">
        <v>146</v>
      </c>
      <c r="AO1745" s="0" t="s">
        <v>250</v>
      </c>
      <c r="AP1745" s="0" t="s">
        <v>251</v>
      </c>
      <c r="AQ1745" s="0" t="n">
        <v>9</v>
      </c>
      <c r="AR1745" s="0" t="n">
        <v>64</v>
      </c>
      <c r="AS1745" s="0" t="n">
        <v>32</v>
      </c>
      <c r="AU1745" s="0" t="n">
        <f aca="false">COUNTA($BA$2786:$EH$2786)</f>
        <v>3</v>
      </c>
      <c r="AV1745" s="0" t="n">
        <f aca="false">COUNTIF($BA$2786:$EH$2786,"D")</f>
        <v>0</v>
      </c>
      <c r="AW1745" s="0" t="n">
        <f aca="false">COUNTIF($BA$2786:$EH$2786,"R")</f>
        <v>0</v>
      </c>
      <c r="AX1745" s="0" t="n">
        <f aca="false"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>0</v>
      </c>
      <c r="AY1745" s="0" t="n">
        <f aca="false">COUNTIF(DU1745:EH1745, "&lt;&gt;")</f>
        <v>0</v>
      </c>
      <c r="AZ1745" s="0" t="n">
        <f aca="false">IF(EH1745&lt;&gt;"",1,0)</f>
        <v>0</v>
      </c>
      <c r="BB1745" s="0" t="s">
        <v>153</v>
      </c>
    </row>
    <row r="1746" customFormat="false" ht="13.8" hidden="true" customHeight="false" outlineLevel="0" collapsed="false">
      <c r="A1746" s="0" t="s">
        <v>7888</v>
      </c>
      <c r="B1746" s="0" t="n">
        <v>78</v>
      </c>
      <c r="C1746" s="0" t="n">
        <v>488521</v>
      </c>
      <c r="D1746" s="0" t="s">
        <v>1657</v>
      </c>
      <c r="E1746" s="0" t="s">
        <v>7889</v>
      </c>
      <c r="F1746" s="0" t="str">
        <f aca="false">CONCATENATE(D1746," ",LEFT(H1746,4),"T=",AU1746,"D=",AV1746,"R=",AW1746,"M=",AX1746,"L=",AY1746,"B=",AZ1746)</f>
        <v>MILLER T=1D=0R=0M=0L=1B=0</v>
      </c>
      <c r="I1746" s="0" t="s">
        <v>7890</v>
      </c>
      <c r="J1746" s="0" t="s">
        <v>7891</v>
      </c>
      <c r="K1746" s="0" t="s">
        <v>175</v>
      </c>
      <c r="L1746" s="0"/>
      <c r="M1746" s="0" t="s">
        <v>7892</v>
      </c>
      <c r="N1746" s="0" t="str">
        <f aca="false">RIGHT(M1746,LEN(M1746)-FIND(" ",M1746))</f>
        <v>MARYLAND ST NW</v>
      </c>
      <c r="P1746" s="0" t="s">
        <v>146</v>
      </c>
      <c r="Q1746" s="0" t="s">
        <v>147</v>
      </c>
      <c r="R1746" s="0" t="n">
        <v>44483</v>
      </c>
      <c r="AD1746" s="0" t="s">
        <v>148</v>
      </c>
      <c r="AE1746" s="0" t="s">
        <v>149</v>
      </c>
      <c r="AF1746" s="0" t="s">
        <v>150</v>
      </c>
      <c r="AH1746" s="0" t="n">
        <v>14</v>
      </c>
      <c r="AI1746" s="0" t="n">
        <v>11</v>
      </c>
      <c r="AN1746" s="0" t="s">
        <v>146</v>
      </c>
      <c r="AO1746" s="0" t="s">
        <v>250</v>
      </c>
      <c r="AP1746" s="0" t="s">
        <v>251</v>
      </c>
      <c r="AQ1746" s="0" t="n">
        <v>9</v>
      </c>
      <c r="AR1746" s="0" t="n">
        <v>64</v>
      </c>
      <c r="AS1746" s="0" t="n">
        <v>32</v>
      </c>
      <c r="AU1746" s="0" t="n">
        <f aca="false">COUNTA($BA$2493:$EH$2493)</f>
        <v>1</v>
      </c>
      <c r="AV1746" s="0" t="n">
        <f aca="false">COUNTIF($BA$2493:$EH$2493,"D")</f>
        <v>0</v>
      </c>
      <c r="AW1746" s="0" t="n">
        <f aca="false">COUNTIF($BA$2493:$EH$2493,"R")</f>
        <v>0</v>
      </c>
      <c r="AX1746" s="0" t="n">
        <f aca="false"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>0</v>
      </c>
      <c r="AY1746" s="0" t="n">
        <f aca="false">COUNTIF(DU1746:EH1746, "&lt;&gt;")</f>
        <v>1</v>
      </c>
      <c r="AZ1746" s="0" t="n">
        <f aca="false">IF(EH1746&lt;&gt;"",1,0)</f>
        <v>0</v>
      </c>
      <c r="BB1746" s="0" t="s">
        <v>153</v>
      </c>
      <c r="EF1746" s="0" t="s">
        <v>154</v>
      </c>
    </row>
    <row r="1747" customFormat="false" ht="13.8" hidden="false" customHeight="false" outlineLevel="0" collapsed="false">
      <c r="A1747" s="0" t="s">
        <v>7893</v>
      </c>
      <c r="B1747" s="0" t="n">
        <v>78</v>
      </c>
      <c r="C1747" s="0" t="n">
        <v>342201</v>
      </c>
      <c r="D1747" s="0" t="s">
        <v>856</v>
      </c>
      <c r="E1747" s="0" t="s">
        <v>7894</v>
      </c>
      <c r="F1747" s="0" t="str">
        <f aca="false">CONCATENATE(D1747," ",LEFT(H1747,4),"T=",AU1747,"D=",AV1747,"R=",AW1747,"M=",AX1747,"L=",AY1747,"B=",AZ1747)</f>
        <v>JONES T=37D=8R=0M=0L=2B=0</v>
      </c>
      <c r="G1747" s="0" t="s">
        <v>939</v>
      </c>
      <c r="I1747" s="0" t="s">
        <v>7895</v>
      </c>
      <c r="J1747" s="0" t="s">
        <v>7896</v>
      </c>
      <c r="K1747" s="0" t="s">
        <v>175</v>
      </c>
      <c r="M1747" s="0" t="s">
        <v>7892</v>
      </c>
      <c r="N1747" s="0" t="str">
        <f aca="false">RIGHT(M1747,LEN(M1747)-FIND(" ",M1747))</f>
        <v>MARYLAND ST NW</v>
      </c>
      <c r="P1747" s="0" t="s">
        <v>146</v>
      </c>
      <c r="Q1747" s="0" t="s">
        <v>147</v>
      </c>
      <c r="R1747" s="0" t="n">
        <v>44483</v>
      </c>
      <c r="AD1747" s="0" t="s">
        <v>148</v>
      </c>
      <c r="AE1747" s="0" t="s">
        <v>149</v>
      </c>
      <c r="AF1747" s="0" t="s">
        <v>150</v>
      </c>
      <c r="AH1747" s="0" t="n">
        <v>14</v>
      </c>
      <c r="AI1747" s="0" t="n">
        <v>11</v>
      </c>
      <c r="AN1747" s="0" t="s">
        <v>146</v>
      </c>
      <c r="AO1747" s="0" t="s">
        <v>250</v>
      </c>
      <c r="AP1747" s="0" t="s">
        <v>251</v>
      </c>
      <c r="AQ1747" s="0" t="n">
        <v>9</v>
      </c>
      <c r="AR1747" s="0" t="n">
        <v>64</v>
      </c>
      <c r="AS1747" s="0" t="n">
        <v>32</v>
      </c>
      <c r="AU1747" s="0" t="n">
        <f aca="false">COUNTA($BA$2791:$EH$2791)</f>
        <v>37</v>
      </c>
      <c r="AV1747" s="0" t="n">
        <f aca="false">COUNTIF($BA$2791:$EH$2791,"D")</f>
        <v>8</v>
      </c>
      <c r="AW1747" s="0" t="n">
        <f aca="false">COUNTIF($BA$2791:$EH$2791,"R")</f>
        <v>0</v>
      </c>
      <c r="AX1747" s="0" t="n">
        <f aca="false"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>0</v>
      </c>
      <c r="AY1747" s="0" t="n">
        <f aca="false">COUNTIF(DU1747:EH1747, "&lt;&gt;")</f>
        <v>2</v>
      </c>
      <c r="AZ1747" s="0" t="n">
        <f aca="false">IF(EH1747&lt;&gt;"",1,0)</f>
        <v>0</v>
      </c>
      <c r="BB1747" s="0" t="s">
        <v>153</v>
      </c>
      <c r="BY1747" s="0" t="s">
        <v>155</v>
      </c>
      <c r="CA1747" s="0" t="s">
        <v>154</v>
      </c>
      <c r="CK1747" s="0" t="s">
        <v>154</v>
      </c>
      <c r="CP1747" s="0" t="s">
        <v>154</v>
      </c>
      <c r="CZ1747" s="0" t="s">
        <v>155</v>
      </c>
      <c r="DC1747" s="0" t="s">
        <v>154</v>
      </c>
      <c r="DI1747" s="0" t="s">
        <v>154</v>
      </c>
      <c r="DL1747" s="0" t="s">
        <v>154</v>
      </c>
      <c r="DN1747" s="0" t="s">
        <v>154</v>
      </c>
      <c r="DX1747" s="0" t="s">
        <v>154</v>
      </c>
      <c r="EF1747" s="0" t="s">
        <v>154</v>
      </c>
    </row>
    <row r="1748" customFormat="false" ht="13.8" hidden="true" customHeight="false" outlineLevel="0" collapsed="false">
      <c r="A1748" s="0" t="s">
        <v>7897</v>
      </c>
      <c r="B1748" s="0" t="n">
        <v>78</v>
      </c>
      <c r="C1748" s="0" t="n">
        <v>6483</v>
      </c>
      <c r="D1748" s="0" t="s">
        <v>2551</v>
      </c>
      <c r="E1748" s="0" t="s">
        <v>165</v>
      </c>
      <c r="F1748" s="0" t="str">
        <f aca="false">CONCATENATE(D1748," ",LEFT(H1748,4),"T=",AU1748,"D=",AV1748,"R=",AW1748,"M=",AX1748,"L=",AY1748,"B=",AZ1748)</f>
        <v>FRANKLIN T=19D=4R=0M=2L=1B=0</v>
      </c>
      <c r="G1748" s="0" t="s">
        <v>155</v>
      </c>
      <c r="I1748" s="0" t="s">
        <v>7898</v>
      </c>
      <c r="J1748" s="0" t="s">
        <v>7899</v>
      </c>
      <c r="K1748" s="0" t="s">
        <v>175</v>
      </c>
      <c r="L1748" s="0" t="s">
        <v>155</v>
      </c>
      <c r="M1748" s="0" t="s">
        <v>7900</v>
      </c>
      <c r="N1748" s="0" t="str">
        <f aca="false">RIGHT(M1748,LEN(M1748)-FIND(" ",M1748))</f>
        <v>MARYLAND ST NW</v>
      </c>
      <c r="P1748" s="0" t="s">
        <v>146</v>
      </c>
      <c r="Q1748" s="0" t="s">
        <v>147</v>
      </c>
      <c r="R1748" s="0" t="n">
        <v>44483</v>
      </c>
      <c r="AD1748" s="0" t="s">
        <v>148</v>
      </c>
      <c r="AE1748" s="0" t="s">
        <v>149</v>
      </c>
      <c r="AF1748" s="0" t="s">
        <v>150</v>
      </c>
      <c r="AH1748" s="0" t="n">
        <v>14</v>
      </c>
      <c r="AI1748" s="0" t="n">
        <v>11</v>
      </c>
      <c r="AN1748" s="0" t="s">
        <v>146</v>
      </c>
      <c r="AO1748" s="0" t="s">
        <v>250</v>
      </c>
      <c r="AP1748" s="0" t="s">
        <v>251</v>
      </c>
      <c r="AQ1748" s="0" t="n">
        <v>9</v>
      </c>
      <c r="AR1748" s="0" t="n">
        <v>64</v>
      </c>
      <c r="AS1748" s="0" t="n">
        <v>32</v>
      </c>
      <c r="AU1748" s="0" t="n">
        <f aca="false">COUNTA($BA$2298:$EH$2298)</f>
        <v>19</v>
      </c>
      <c r="AV1748" s="0" t="n">
        <f aca="false">COUNTIF($BA$2298:$EH$2298,"D")</f>
        <v>4</v>
      </c>
      <c r="AW1748" s="0" t="n">
        <f aca="false">COUNTIF($BA$2298:$EH$2298,"R")</f>
        <v>0</v>
      </c>
      <c r="AX1748" s="0" t="n">
        <f aca="false"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>2</v>
      </c>
      <c r="AY1748" s="0" t="n">
        <f aca="false">COUNTIF(DU1748:EH1748, "&lt;&gt;")</f>
        <v>1</v>
      </c>
      <c r="AZ1748" s="0" t="n">
        <f aca="false">IF(EH1748&lt;&gt;"",1,0)</f>
        <v>0</v>
      </c>
      <c r="BB1748" s="0" t="s">
        <v>153</v>
      </c>
      <c r="BD1748" s="0" t="s">
        <v>154</v>
      </c>
      <c r="BG1748" s="0" t="s">
        <v>154</v>
      </c>
      <c r="BH1748" s="0" t="s">
        <v>154</v>
      </c>
      <c r="BI1748" s="0" t="s">
        <v>154</v>
      </c>
      <c r="BJ1748" s="0" t="s">
        <v>154</v>
      </c>
      <c r="BL1748" s="0" t="s">
        <v>154</v>
      </c>
      <c r="BP1748" s="0" t="s">
        <v>154</v>
      </c>
      <c r="BS1748" s="0" t="s">
        <v>154</v>
      </c>
      <c r="BV1748" s="0" t="s">
        <v>154</v>
      </c>
      <c r="BY1748" s="0" t="s">
        <v>155</v>
      </c>
      <c r="CA1748" s="0" t="s">
        <v>154</v>
      </c>
      <c r="CG1748" s="0" t="s">
        <v>154</v>
      </c>
      <c r="CK1748" s="0" t="s">
        <v>154</v>
      </c>
      <c r="CL1748" s="0" t="s">
        <v>155</v>
      </c>
      <c r="CN1748" s="0" t="s">
        <v>154</v>
      </c>
      <c r="CP1748" s="0" t="s">
        <v>154</v>
      </c>
      <c r="CV1748" s="0" t="s">
        <v>154</v>
      </c>
      <c r="CY1748" s="0" t="s">
        <v>154</v>
      </c>
      <c r="DC1748" s="0" t="s">
        <v>154</v>
      </c>
      <c r="DN1748" s="0" t="s">
        <v>154</v>
      </c>
      <c r="DW1748" s="0" t="s">
        <v>155</v>
      </c>
    </row>
    <row r="1749" customFormat="false" ht="13.8" hidden="true" customHeight="false" outlineLevel="0" collapsed="false">
      <c r="A1749" s="0" t="s">
        <v>7901</v>
      </c>
      <c r="B1749" s="0" t="n">
        <v>78</v>
      </c>
      <c r="C1749" s="0" t="n">
        <v>246845</v>
      </c>
      <c r="D1749" s="0" t="s">
        <v>7902</v>
      </c>
      <c r="E1749" s="0" t="s">
        <v>7903</v>
      </c>
      <c r="F1749" s="0" t="str">
        <f aca="false">CONCATENATE(D1749," ",LEFT(H1749,4),"T=",AU1749,"D=",AV1749,"R=",AW1749,"M=",AX1749,"L=",AY1749,"B=",AZ1749)</f>
        <v>SIMMONS T=1D=0R=0M=1L=0B=0</v>
      </c>
      <c r="G1749" s="0" t="s">
        <v>188</v>
      </c>
      <c r="I1749" s="0" t="s">
        <v>7904</v>
      </c>
      <c r="J1749" s="0" t="s">
        <v>7905</v>
      </c>
      <c r="K1749" s="0" t="s">
        <v>144</v>
      </c>
      <c r="L1749" s="0"/>
      <c r="M1749" s="0" t="s">
        <v>7906</v>
      </c>
      <c r="N1749" s="0" t="str">
        <f aca="false">RIGHT(M1749,LEN(M1749)-FIND(" ",M1749))</f>
        <v>MARYLAND ST NW</v>
      </c>
      <c r="P1749" s="0" t="s">
        <v>146</v>
      </c>
      <c r="Q1749" s="0" t="s">
        <v>147</v>
      </c>
      <c r="R1749" s="0" t="n">
        <v>44483</v>
      </c>
      <c r="AD1749" s="0" t="s">
        <v>148</v>
      </c>
      <c r="AE1749" s="0" t="s">
        <v>149</v>
      </c>
      <c r="AF1749" s="0" t="s">
        <v>150</v>
      </c>
      <c r="AH1749" s="0" t="n">
        <v>14</v>
      </c>
      <c r="AI1749" s="0" t="n">
        <v>11</v>
      </c>
      <c r="AN1749" s="0" t="s">
        <v>146</v>
      </c>
      <c r="AO1749" s="0" t="s">
        <v>250</v>
      </c>
      <c r="AP1749" s="0" t="s">
        <v>251</v>
      </c>
      <c r="AQ1749" s="0" t="n">
        <v>9</v>
      </c>
      <c r="AR1749" s="0" t="n">
        <v>64</v>
      </c>
      <c r="AS1749" s="0" t="n">
        <v>32</v>
      </c>
      <c r="AU1749" s="0" t="n">
        <f aca="false">COUNTA($BA$2433:$EH$2433)</f>
        <v>1</v>
      </c>
      <c r="AV1749" s="0" t="n">
        <f aca="false">COUNTIF($BA$2433:$EH$2433,"D")</f>
        <v>0</v>
      </c>
      <c r="AW1749" s="0" t="n">
        <f aca="false">COUNTIF($BA$2433:$EH$2433,"R")</f>
        <v>0</v>
      </c>
      <c r="AX1749" s="0" t="n">
        <f aca="false"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>1</v>
      </c>
      <c r="AY1749" s="0" t="n">
        <f aca="false">COUNTIF(DU1749:EH1749, "&lt;&gt;")</f>
        <v>0</v>
      </c>
      <c r="AZ1749" s="0" t="n">
        <f aca="false">IF(EH1749&lt;&gt;"",1,0)</f>
        <v>0</v>
      </c>
      <c r="BB1749" s="0" t="s">
        <v>153</v>
      </c>
      <c r="BI1749" s="0" t="s">
        <v>154</v>
      </c>
      <c r="CA1749" s="0" t="s">
        <v>154</v>
      </c>
      <c r="CG1749" s="0" t="s">
        <v>154</v>
      </c>
      <c r="CH1749" s="0" t="s">
        <v>155</v>
      </c>
      <c r="CK1749" s="0" t="s">
        <v>154</v>
      </c>
      <c r="CL1749" s="0" t="s">
        <v>155</v>
      </c>
      <c r="CN1749" s="0" t="s">
        <v>154</v>
      </c>
      <c r="CP1749" s="0" t="s">
        <v>154</v>
      </c>
      <c r="CT1749" s="0" t="s">
        <v>154</v>
      </c>
      <c r="CV1749" s="0" t="s">
        <v>154</v>
      </c>
      <c r="CY1749" s="0" t="s">
        <v>154</v>
      </c>
      <c r="DC1749" s="0" t="s">
        <v>154</v>
      </c>
      <c r="DI1749" s="0" t="s">
        <v>154</v>
      </c>
    </row>
    <row r="1750" customFormat="false" ht="13.8" hidden="true" customHeight="false" outlineLevel="0" collapsed="false">
      <c r="A1750" s="0" t="s">
        <v>7907</v>
      </c>
      <c r="B1750" s="0" t="n">
        <v>78</v>
      </c>
      <c r="C1750" s="0" t="n">
        <v>432273</v>
      </c>
      <c r="D1750" s="0" t="s">
        <v>7908</v>
      </c>
      <c r="E1750" s="0" t="s">
        <v>7909</v>
      </c>
      <c r="F1750" s="0" t="str">
        <f aca="false">CONCATENATE(D1750," ",LEFT(H1750,4),"T=",AU1750,"D=",AV1750,"R=",AW1750,"M=",AX1750,"L=",AY1750,"B=",AZ1750)</f>
        <v>WYCKOFF SKINNER T=7D=1R=0M=0L=0B=0</v>
      </c>
      <c r="G1750" s="0" t="s">
        <v>1916</v>
      </c>
      <c r="I1750" s="0" t="s">
        <v>7910</v>
      </c>
      <c r="J1750" s="0" t="s">
        <v>7911</v>
      </c>
      <c r="K1750" s="0" t="s">
        <v>144</v>
      </c>
      <c r="L1750" s="0"/>
      <c r="M1750" s="0" t="s">
        <v>7912</v>
      </c>
      <c r="N1750" s="0" t="str">
        <f aca="false">RIGHT(M1750,LEN(M1750)-FIND(" ",M1750))</f>
        <v>MARYLAND ST NW</v>
      </c>
      <c r="P1750" s="0" t="s">
        <v>146</v>
      </c>
      <c r="Q1750" s="0" t="s">
        <v>147</v>
      </c>
      <c r="R1750" s="0" t="n">
        <v>44483</v>
      </c>
      <c r="AD1750" s="0" t="s">
        <v>148</v>
      </c>
      <c r="AE1750" s="0" t="s">
        <v>149</v>
      </c>
      <c r="AF1750" s="0" t="s">
        <v>150</v>
      </c>
      <c r="AH1750" s="0" t="n">
        <v>14</v>
      </c>
      <c r="AI1750" s="0" t="n">
        <v>11</v>
      </c>
      <c r="AN1750" s="0" t="s">
        <v>146</v>
      </c>
      <c r="AO1750" s="0" t="s">
        <v>250</v>
      </c>
      <c r="AP1750" s="0" t="s">
        <v>251</v>
      </c>
      <c r="AQ1750" s="0" t="n">
        <v>9</v>
      </c>
      <c r="AR1750" s="0" t="n">
        <v>64</v>
      </c>
      <c r="AS1750" s="0" t="n">
        <v>32</v>
      </c>
      <c r="AU1750" s="0" t="n">
        <f aca="false">COUNTA($BA$2091:$EH$2091)</f>
        <v>7</v>
      </c>
      <c r="AV1750" s="0" t="n">
        <f aca="false">COUNTIF($BA$2091:$EH$2091,"D")</f>
        <v>1</v>
      </c>
      <c r="AW1750" s="0" t="n">
        <f aca="false">COUNTIF($BA$2091:$EH$2091,"R")</f>
        <v>0</v>
      </c>
      <c r="AX1750" s="0" t="n">
        <f aca="false"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>0</v>
      </c>
      <c r="AY1750" s="0" t="n">
        <f aca="false">COUNTIF(DU1750:EH1750, "&lt;&gt;")</f>
        <v>0</v>
      </c>
      <c r="AZ1750" s="0" t="n">
        <f aca="false">IF(EH1750&lt;&gt;"",1,0)</f>
        <v>0</v>
      </c>
      <c r="BB1750" s="0" t="s">
        <v>153</v>
      </c>
    </row>
    <row r="1751" customFormat="false" ht="13.8" hidden="true" customHeight="false" outlineLevel="0" collapsed="false">
      <c r="A1751" s="0" t="s">
        <v>7913</v>
      </c>
      <c r="B1751" s="0" t="n">
        <v>78</v>
      </c>
      <c r="C1751" s="0" t="n">
        <v>449396</v>
      </c>
      <c r="D1751" s="0" t="s">
        <v>7914</v>
      </c>
      <c r="E1751" s="0" t="s">
        <v>6734</v>
      </c>
      <c r="F1751" s="0" t="str">
        <f aca="false">CONCATENATE(D1751," ",LEFT(H1751,4),"T=",AU1751,"D=",AV1751,"R=",AW1751,"M=",AX1751,"L=",AY1751,"B=",AZ1751)</f>
        <v>SCAFFIDI T=31D=8R=0M=0L=0B=0</v>
      </c>
      <c r="G1751" s="0" t="s">
        <v>365</v>
      </c>
      <c r="I1751" s="0" t="s">
        <v>7915</v>
      </c>
      <c r="J1751" s="0" t="s">
        <v>5868</v>
      </c>
      <c r="K1751" s="0" t="s">
        <v>144</v>
      </c>
      <c r="L1751" s="0"/>
      <c r="M1751" s="0" t="s">
        <v>7912</v>
      </c>
      <c r="N1751" s="0" t="str">
        <f aca="false">RIGHT(M1751,LEN(M1751)-FIND(" ",M1751))</f>
        <v>MARYLAND ST NW</v>
      </c>
      <c r="P1751" s="0" t="s">
        <v>146</v>
      </c>
      <c r="Q1751" s="0" t="s">
        <v>147</v>
      </c>
      <c r="R1751" s="0" t="n">
        <v>44483</v>
      </c>
      <c r="AD1751" s="0" t="s">
        <v>148</v>
      </c>
      <c r="AE1751" s="0" t="s">
        <v>149</v>
      </c>
      <c r="AF1751" s="0" t="s">
        <v>150</v>
      </c>
      <c r="AH1751" s="0" t="n">
        <v>14</v>
      </c>
      <c r="AI1751" s="0" t="n">
        <v>11</v>
      </c>
      <c r="AN1751" s="0" t="s">
        <v>146</v>
      </c>
      <c r="AO1751" s="0" t="s">
        <v>250</v>
      </c>
      <c r="AP1751" s="0" t="s">
        <v>251</v>
      </c>
      <c r="AQ1751" s="0" t="n">
        <v>9</v>
      </c>
      <c r="AR1751" s="0" t="n">
        <v>64</v>
      </c>
      <c r="AS1751" s="0" t="n">
        <v>32</v>
      </c>
      <c r="AU1751" s="0" t="n">
        <f aca="false">COUNTA($BA$2279:$EH$2279)</f>
        <v>31</v>
      </c>
      <c r="AV1751" s="0" t="n">
        <f aca="false">COUNTIF($BA$2279:$EH$2279,"D")</f>
        <v>8</v>
      </c>
      <c r="AW1751" s="0" t="n">
        <f aca="false">COUNTIF($BA$2279:$EH$2279,"R")</f>
        <v>0</v>
      </c>
      <c r="AX1751" s="0" t="n">
        <f aca="false"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>0</v>
      </c>
      <c r="AY1751" s="0" t="n">
        <f aca="false">COUNTIF(DU1751:EH1751, "&lt;&gt;")</f>
        <v>0</v>
      </c>
      <c r="AZ1751" s="0" t="n">
        <f aca="false">IF(EH1751&lt;&gt;"",1,0)</f>
        <v>0</v>
      </c>
      <c r="BB1751" s="0" t="s">
        <v>153</v>
      </c>
      <c r="CA1751" s="0" t="s">
        <v>154</v>
      </c>
    </row>
    <row r="1752" customFormat="false" ht="13.8" hidden="true" customHeight="false" outlineLevel="0" collapsed="false">
      <c r="A1752" s="0" t="s">
        <v>7916</v>
      </c>
      <c r="B1752" s="0" t="n">
        <v>78</v>
      </c>
      <c r="C1752" s="0" t="n">
        <v>361335</v>
      </c>
      <c r="D1752" s="0" t="s">
        <v>669</v>
      </c>
      <c r="E1752" s="0" t="s">
        <v>266</v>
      </c>
      <c r="F1752" s="0" t="str">
        <f aca="false">CONCATENATE(D1752," ",LEFT(H1752,4),"T=",AU1752,"D=",AV1752,"R=",AW1752,"M=",AX1752,"L=",AY1752,"B=",AZ1752)</f>
        <v>SKINNER T=23D=3R=0M=0L=0B=0</v>
      </c>
      <c r="G1752" s="0" t="s">
        <v>939</v>
      </c>
      <c r="I1752" s="0" t="s">
        <v>7917</v>
      </c>
      <c r="J1752" s="0" t="s">
        <v>7918</v>
      </c>
      <c r="K1752" s="0" t="s">
        <v>175</v>
      </c>
      <c r="L1752" s="0"/>
      <c r="M1752" s="0" t="s">
        <v>7912</v>
      </c>
      <c r="N1752" s="0" t="str">
        <f aca="false">RIGHT(M1752,LEN(M1752)-FIND(" ",M1752))</f>
        <v>MARYLAND ST NW</v>
      </c>
      <c r="P1752" s="0" t="s">
        <v>146</v>
      </c>
      <c r="Q1752" s="0" t="s">
        <v>147</v>
      </c>
      <c r="R1752" s="0" t="n">
        <v>44483</v>
      </c>
      <c r="AD1752" s="0" t="s">
        <v>148</v>
      </c>
      <c r="AE1752" s="0" t="s">
        <v>149</v>
      </c>
      <c r="AF1752" s="0" t="s">
        <v>150</v>
      </c>
      <c r="AH1752" s="0" t="n">
        <v>14</v>
      </c>
      <c r="AI1752" s="0" t="n">
        <v>11</v>
      </c>
      <c r="AN1752" s="0" t="s">
        <v>146</v>
      </c>
      <c r="AO1752" s="0" t="s">
        <v>250</v>
      </c>
      <c r="AP1752" s="0" t="s">
        <v>251</v>
      </c>
      <c r="AQ1752" s="0" t="n">
        <v>9</v>
      </c>
      <c r="AR1752" s="0" t="n">
        <v>64</v>
      </c>
      <c r="AS1752" s="0" t="n">
        <v>32</v>
      </c>
      <c r="AU1752" s="0" t="n">
        <f aca="false">COUNTA($BA$2566:$EH$2566)</f>
        <v>23</v>
      </c>
      <c r="AV1752" s="0" t="n">
        <f aca="false">COUNTIF($BA$2566:$EH$2566,"D")</f>
        <v>3</v>
      </c>
      <c r="AW1752" s="0" t="n">
        <f aca="false">COUNTIF($BA$2566:$EH$2566,"R")</f>
        <v>0</v>
      </c>
      <c r="AX1752" s="0" t="n">
        <f aca="false"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>0</v>
      </c>
      <c r="AY1752" s="0" t="n">
        <f aca="false">COUNTIF(DU1752:EH1752, "&lt;&gt;")</f>
        <v>0</v>
      </c>
      <c r="AZ1752" s="0" t="n">
        <f aca="false">IF(EH1752&lt;&gt;"",1,0)</f>
        <v>0</v>
      </c>
      <c r="BB1752" s="0" t="s">
        <v>153</v>
      </c>
    </row>
    <row r="1753" customFormat="false" ht="13.8" hidden="true" customHeight="false" outlineLevel="0" collapsed="false">
      <c r="A1753" s="0" t="s">
        <v>7919</v>
      </c>
      <c r="B1753" s="0" t="n">
        <v>78</v>
      </c>
      <c r="C1753" s="0" t="n">
        <v>387185</v>
      </c>
      <c r="D1753" s="0" t="s">
        <v>7920</v>
      </c>
      <c r="E1753" s="0" t="s">
        <v>2060</v>
      </c>
      <c r="F1753" s="0" t="str">
        <f aca="false">CONCATENATE(D1753," ",LEFT(H1753,4),"T=",AU1753,"D=",AV1753,"R=",AW1753,"M=",AX1753,"L=",AY1753,"B=",AZ1753)</f>
        <v>WYCKOFF T=2D=0R=0M=0L=0B=0</v>
      </c>
      <c r="G1753" s="0" t="s">
        <v>159</v>
      </c>
      <c r="I1753" s="0" t="s">
        <v>7921</v>
      </c>
      <c r="J1753" s="0" t="s">
        <v>7922</v>
      </c>
      <c r="K1753" s="0" t="s">
        <v>144</v>
      </c>
      <c r="L1753" s="0"/>
      <c r="M1753" s="0" t="s">
        <v>7912</v>
      </c>
      <c r="N1753" s="0" t="str">
        <f aca="false">RIGHT(M1753,LEN(M1753)-FIND(" ",M1753))</f>
        <v>MARYLAND ST NW</v>
      </c>
      <c r="P1753" s="0" t="s">
        <v>146</v>
      </c>
      <c r="Q1753" s="0" t="s">
        <v>147</v>
      </c>
      <c r="R1753" s="0" t="n">
        <v>44483</v>
      </c>
      <c r="AD1753" s="0" t="s">
        <v>148</v>
      </c>
      <c r="AE1753" s="0" t="s">
        <v>149</v>
      </c>
      <c r="AF1753" s="0" t="s">
        <v>150</v>
      </c>
      <c r="AH1753" s="0" t="n">
        <v>14</v>
      </c>
      <c r="AI1753" s="0" t="n">
        <v>11</v>
      </c>
      <c r="AN1753" s="0" t="s">
        <v>146</v>
      </c>
      <c r="AO1753" s="0" t="s">
        <v>250</v>
      </c>
      <c r="AP1753" s="0" t="s">
        <v>251</v>
      </c>
      <c r="AQ1753" s="0" t="n">
        <v>9</v>
      </c>
      <c r="AR1753" s="0" t="n">
        <v>64</v>
      </c>
      <c r="AS1753" s="0" t="n">
        <v>32</v>
      </c>
      <c r="AU1753" s="0" t="n">
        <f aca="false">COUNTA($BA$2731:$EH$2731)</f>
        <v>2</v>
      </c>
      <c r="AV1753" s="0" t="n">
        <f aca="false">COUNTIF($BA$2731:$EH$2731,"D")</f>
        <v>0</v>
      </c>
      <c r="AW1753" s="0" t="n">
        <f aca="false">COUNTIF($BA$2731:$EH$2731,"R")</f>
        <v>0</v>
      </c>
      <c r="AX1753" s="0" t="n">
        <f aca="false"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>0</v>
      </c>
      <c r="AY1753" s="0" t="n">
        <f aca="false">COUNTIF(DU1753:EH1753, "&lt;&gt;")</f>
        <v>0</v>
      </c>
      <c r="AZ1753" s="0" t="n">
        <f aca="false">IF(EH1753&lt;&gt;"",1,0)</f>
        <v>0</v>
      </c>
      <c r="BB1753" s="0" t="s">
        <v>153</v>
      </c>
      <c r="CY1753" s="0" t="s">
        <v>154</v>
      </c>
    </row>
    <row r="1754" customFormat="false" ht="13.8" hidden="true" customHeight="false" outlineLevel="0" collapsed="false">
      <c r="A1754" s="0" t="s">
        <v>7923</v>
      </c>
      <c r="B1754" s="0" t="n">
        <v>78</v>
      </c>
      <c r="C1754" s="0" t="n">
        <v>406691</v>
      </c>
      <c r="D1754" s="0" t="s">
        <v>7924</v>
      </c>
      <c r="E1754" s="0" t="s">
        <v>2754</v>
      </c>
      <c r="F1754" s="0" t="str">
        <f aca="false">CONCATENATE(D1754," ",LEFT(H1754,4),"T=",AU1754,"D=",AV1754,"R=",AW1754,"M=",AX1754,"L=",AY1754,"B=",AZ1754)</f>
        <v>JEFFERYS T=5D=1R=0M=0L=0B=0</v>
      </c>
      <c r="G1754" s="0" t="s">
        <v>297</v>
      </c>
      <c r="I1754" s="0" t="s">
        <v>7925</v>
      </c>
      <c r="J1754" s="0" t="s">
        <v>7926</v>
      </c>
      <c r="K1754" s="0" t="s">
        <v>144</v>
      </c>
      <c r="L1754" s="0"/>
      <c r="M1754" s="0" t="s">
        <v>7912</v>
      </c>
      <c r="N1754" s="0" t="str">
        <f aca="false">RIGHT(M1754,LEN(M1754)-FIND(" ",M1754))</f>
        <v>MARYLAND ST NW</v>
      </c>
      <c r="P1754" s="0" t="s">
        <v>146</v>
      </c>
      <c r="Q1754" s="0" t="s">
        <v>147</v>
      </c>
      <c r="R1754" s="0" t="n">
        <v>44483</v>
      </c>
      <c r="AD1754" s="0" t="s">
        <v>148</v>
      </c>
      <c r="AE1754" s="0" t="s">
        <v>149</v>
      </c>
      <c r="AF1754" s="0" t="s">
        <v>150</v>
      </c>
      <c r="AH1754" s="0" t="n">
        <v>14</v>
      </c>
      <c r="AI1754" s="0" t="n">
        <v>11</v>
      </c>
      <c r="AN1754" s="0" t="s">
        <v>146</v>
      </c>
      <c r="AO1754" s="0" t="s">
        <v>250</v>
      </c>
      <c r="AP1754" s="0" t="s">
        <v>251</v>
      </c>
      <c r="AQ1754" s="0" t="n">
        <v>9</v>
      </c>
      <c r="AR1754" s="0" t="n">
        <v>64</v>
      </c>
      <c r="AS1754" s="0" t="n">
        <v>32</v>
      </c>
      <c r="AU1754" s="0" t="n">
        <f aca="false">COUNTA($BA$2804:$EH$2804)</f>
        <v>5</v>
      </c>
      <c r="AV1754" s="0" t="n">
        <f aca="false">COUNTIF($BA$2804:$EH$2804,"D")</f>
        <v>1</v>
      </c>
      <c r="AW1754" s="0" t="n">
        <f aca="false">COUNTIF($BA$2804:$EH$2804,"R")</f>
        <v>0</v>
      </c>
      <c r="AX1754" s="0" t="n">
        <f aca="false"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>0</v>
      </c>
      <c r="AY1754" s="0" t="n">
        <f aca="false">COUNTIF(DU1754:EH1754, "&lt;&gt;")</f>
        <v>0</v>
      </c>
      <c r="AZ1754" s="0" t="n">
        <f aca="false">IF(EH1754&lt;&gt;"",1,0)</f>
        <v>0</v>
      </c>
      <c r="BB1754" s="0" t="s">
        <v>153</v>
      </c>
    </row>
    <row r="1755" customFormat="false" ht="13.8" hidden="true" customHeight="false" outlineLevel="0" collapsed="false">
      <c r="A1755" s="0" t="s">
        <v>7927</v>
      </c>
      <c r="B1755" s="0" t="n">
        <v>78</v>
      </c>
      <c r="C1755" s="0" t="n">
        <v>370453</v>
      </c>
      <c r="D1755" s="0" t="s">
        <v>1173</v>
      </c>
      <c r="E1755" s="0" t="s">
        <v>4183</v>
      </c>
      <c r="F1755" s="0" t="str">
        <f aca="false">CONCATENATE(D1755," ",LEFT(H1755,4),"T=",AU1755,"D=",AV1755,"R=",AW1755,"M=",AX1755,"L=",AY1755,"B=",AZ1755)</f>
        <v>JACKSON JRT=1D=0R=0M=1L=0B=0</v>
      </c>
      <c r="H1755" s="0" t="s">
        <v>431</v>
      </c>
      <c r="I1755" s="0" t="s">
        <v>7928</v>
      </c>
      <c r="J1755" s="0" t="s">
        <v>7929</v>
      </c>
      <c r="K1755" s="0" t="s">
        <v>144</v>
      </c>
      <c r="L1755" s="0"/>
      <c r="M1755" s="0" t="s">
        <v>7930</v>
      </c>
      <c r="N1755" s="0" t="str">
        <f aca="false">RIGHT(M1755,LEN(M1755)-FIND(" ",M1755))</f>
        <v>MARYLAND ST NW</v>
      </c>
      <c r="P1755" s="0" t="s">
        <v>146</v>
      </c>
      <c r="Q1755" s="0" t="s">
        <v>147</v>
      </c>
      <c r="R1755" s="0" t="n">
        <v>44483</v>
      </c>
      <c r="AD1755" s="0" t="s">
        <v>148</v>
      </c>
      <c r="AE1755" s="0" t="s">
        <v>149</v>
      </c>
      <c r="AF1755" s="0" t="s">
        <v>150</v>
      </c>
      <c r="AH1755" s="0" t="n">
        <v>14</v>
      </c>
      <c r="AI1755" s="0" t="n">
        <v>11</v>
      </c>
      <c r="AN1755" s="0" t="s">
        <v>146</v>
      </c>
      <c r="AO1755" s="0" t="s">
        <v>250</v>
      </c>
      <c r="AP1755" s="0" t="s">
        <v>251</v>
      </c>
      <c r="AQ1755" s="0" t="n">
        <v>9</v>
      </c>
      <c r="AR1755" s="0" t="n">
        <v>64</v>
      </c>
      <c r="AS1755" s="0" t="n">
        <v>32</v>
      </c>
      <c r="AU1755" s="0" t="n">
        <f aca="false">COUNTA($BA$2505:$EH$2505)</f>
        <v>1</v>
      </c>
      <c r="AV1755" s="0" t="n">
        <f aca="false">COUNTIF($BA$2505:$EH$2505,"D")</f>
        <v>0</v>
      </c>
      <c r="AW1755" s="0" t="n">
        <f aca="false">COUNTIF($BA$2505:$EH$2505,"R")</f>
        <v>0</v>
      </c>
      <c r="AX1755" s="0" t="n">
        <f aca="false"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>1</v>
      </c>
      <c r="AY1755" s="0" t="n">
        <f aca="false">COUNTIF(DU1755:EH1755, "&lt;&gt;")</f>
        <v>0</v>
      </c>
      <c r="AZ1755" s="0" t="n">
        <f aca="false">IF(EH1755&lt;&gt;"",1,0)</f>
        <v>0</v>
      </c>
      <c r="BB1755" s="0" t="s">
        <v>153</v>
      </c>
      <c r="CL1755" s="0" t="s">
        <v>155</v>
      </c>
      <c r="DN1755" s="0" t="s">
        <v>154</v>
      </c>
    </row>
    <row r="1756" customFormat="false" ht="13.8" hidden="false" customHeight="false" outlineLevel="0" collapsed="false">
      <c r="A1756" s="0" t="s">
        <v>7931</v>
      </c>
      <c r="B1756" s="0" t="n">
        <v>78</v>
      </c>
      <c r="C1756" s="0" t="n">
        <v>244376</v>
      </c>
      <c r="D1756" s="0" t="s">
        <v>856</v>
      </c>
      <c r="E1756" s="0" t="s">
        <v>7932</v>
      </c>
      <c r="F1756" s="0" t="str">
        <f aca="false">CONCATENATE(D1756," ",LEFT(H1756,4),"T=",AU1756,"D=",AV1756,"R=",AW1756,"M=",AX1756,"L=",AY1756,"B=",AZ1756)</f>
        <v>JONES T=1D=0R=0M=5L=6B=0</v>
      </c>
      <c r="G1756" s="0" t="s">
        <v>176</v>
      </c>
      <c r="I1756" s="0" t="s">
        <v>6307</v>
      </c>
      <c r="J1756" s="0" t="s">
        <v>342</v>
      </c>
      <c r="K1756" s="0" t="s">
        <v>175</v>
      </c>
      <c r="L1756" s="1" t="s">
        <v>155</v>
      </c>
      <c r="M1756" s="0" t="s">
        <v>7930</v>
      </c>
      <c r="N1756" s="0" t="str">
        <f aca="false">RIGHT(M1756,LEN(M1756)-FIND(" ",M1756))</f>
        <v>MARYLAND ST NW</v>
      </c>
      <c r="P1756" s="0" t="s">
        <v>146</v>
      </c>
      <c r="Q1756" s="0" t="s">
        <v>147</v>
      </c>
      <c r="R1756" s="0" t="n">
        <v>44483</v>
      </c>
      <c r="AD1756" s="0" t="s">
        <v>148</v>
      </c>
      <c r="AE1756" s="0" t="s">
        <v>149</v>
      </c>
      <c r="AF1756" s="0" t="s">
        <v>150</v>
      </c>
      <c r="AH1756" s="0" t="n">
        <v>14</v>
      </c>
      <c r="AI1756" s="0" t="n">
        <v>11</v>
      </c>
      <c r="AN1756" s="0" t="s">
        <v>146</v>
      </c>
      <c r="AO1756" s="0" t="s">
        <v>250</v>
      </c>
      <c r="AP1756" s="0" t="s">
        <v>251</v>
      </c>
      <c r="AQ1756" s="0" t="n">
        <v>9</v>
      </c>
      <c r="AR1756" s="0" t="n">
        <v>64</v>
      </c>
      <c r="AS1756" s="0" t="n">
        <v>32</v>
      </c>
      <c r="AU1756" s="0" t="n">
        <f aca="false">COUNTA($BA$2581:$EH$2581)</f>
        <v>1</v>
      </c>
      <c r="AV1756" s="0" t="n">
        <f aca="false">COUNTIF($BA$2581:$EH$2581,"D")</f>
        <v>0</v>
      </c>
      <c r="AW1756" s="0" t="n">
        <f aca="false">COUNTIF($BA$2581:$EH$2581,"R")</f>
        <v>0</v>
      </c>
      <c r="AX1756" s="0" t="n">
        <f aca="false"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>5</v>
      </c>
      <c r="AY1756" s="0" t="n">
        <f aca="false">COUNTIF(DU1756:EH1756, "&lt;&gt;")</f>
        <v>6</v>
      </c>
      <c r="AZ1756" s="0" t="n">
        <f aca="false">IF(EH1756&lt;&gt;"",1,0)</f>
        <v>0</v>
      </c>
      <c r="BB1756" s="0" t="s">
        <v>153</v>
      </c>
      <c r="BC1756" s="0" t="s">
        <v>154</v>
      </c>
      <c r="BD1756" s="0" t="s">
        <v>154</v>
      </c>
      <c r="BF1756" s="0" t="s">
        <v>154</v>
      </c>
      <c r="BH1756" s="0" t="s">
        <v>154</v>
      </c>
      <c r="BI1756" s="0" t="s">
        <v>154</v>
      </c>
      <c r="BJ1756" s="0" t="s">
        <v>154</v>
      </c>
      <c r="BK1756" s="0" t="s">
        <v>154</v>
      </c>
      <c r="BL1756" s="0" t="s">
        <v>154</v>
      </c>
      <c r="BS1756" s="0" t="s">
        <v>154</v>
      </c>
      <c r="BV1756" s="0" t="s">
        <v>154</v>
      </c>
      <c r="BY1756" s="0" t="s">
        <v>155</v>
      </c>
      <c r="CA1756" s="0" t="s">
        <v>154</v>
      </c>
      <c r="CG1756" s="0" t="s">
        <v>154</v>
      </c>
      <c r="CK1756" s="0" t="s">
        <v>154</v>
      </c>
      <c r="CL1756" s="0" t="s">
        <v>155</v>
      </c>
      <c r="CP1756" s="0" t="s">
        <v>154</v>
      </c>
      <c r="DC1756" s="0" t="s">
        <v>154</v>
      </c>
      <c r="DD1756" s="0" t="s">
        <v>155</v>
      </c>
      <c r="DF1756" s="0" t="s">
        <v>154</v>
      </c>
      <c r="DG1756" s="0" t="s">
        <v>155</v>
      </c>
      <c r="DI1756" s="0" t="s">
        <v>154</v>
      </c>
      <c r="DJ1756" s="0" t="s">
        <v>155</v>
      </c>
      <c r="DL1756" s="0" t="s">
        <v>154</v>
      </c>
      <c r="DM1756" s="0" t="s">
        <v>155</v>
      </c>
      <c r="DN1756" s="0" t="s">
        <v>154</v>
      </c>
      <c r="DO1756" s="0" t="s">
        <v>155</v>
      </c>
      <c r="DU1756" s="0" t="s">
        <v>154</v>
      </c>
      <c r="DW1756" s="0" t="s">
        <v>155</v>
      </c>
      <c r="DX1756" s="0" t="s">
        <v>154</v>
      </c>
      <c r="EA1756" s="0" t="s">
        <v>154</v>
      </c>
      <c r="ED1756" s="0" t="s">
        <v>155</v>
      </c>
      <c r="EF1756" s="0" t="s">
        <v>154</v>
      </c>
    </row>
    <row r="1757" customFormat="false" ht="13.8" hidden="true" customHeight="false" outlineLevel="0" collapsed="false">
      <c r="A1757" s="0" t="s">
        <v>7933</v>
      </c>
      <c r="B1757" s="0" t="n">
        <v>78</v>
      </c>
      <c r="C1757" s="0" t="n">
        <v>286942</v>
      </c>
      <c r="D1757" s="0" t="s">
        <v>7934</v>
      </c>
      <c r="E1757" s="0" t="s">
        <v>7935</v>
      </c>
      <c r="F1757" s="0" t="str">
        <f aca="false">CONCATENATE(D1757," ",LEFT(H1757,4),"T=",AU1757,"D=",AV1757,"R=",AW1757,"M=",AX1757,"L=",AY1757,"B=",AZ1757)</f>
        <v>NUTTER T=7D=0R=0M=0L=1B=0</v>
      </c>
      <c r="G1757" s="0" t="s">
        <v>3640</v>
      </c>
      <c r="I1757" s="0" t="s">
        <v>7936</v>
      </c>
      <c r="J1757" s="0" t="s">
        <v>3146</v>
      </c>
      <c r="K1757" s="0" t="s">
        <v>175</v>
      </c>
      <c r="L1757" s="0"/>
      <c r="M1757" s="0" t="s">
        <v>7937</v>
      </c>
      <c r="N1757" s="0" t="str">
        <f aca="false">RIGHT(M1757,LEN(M1757)-FIND(" ",M1757))</f>
        <v>MARYLAND ST NW</v>
      </c>
      <c r="O1757" s="0" t="s">
        <v>7938</v>
      </c>
      <c r="P1757" s="0" t="s">
        <v>146</v>
      </c>
      <c r="Q1757" s="0" t="s">
        <v>147</v>
      </c>
      <c r="R1757" s="0" t="n">
        <v>44483</v>
      </c>
      <c r="AD1757" s="0" t="s">
        <v>148</v>
      </c>
      <c r="AE1757" s="0" t="s">
        <v>149</v>
      </c>
      <c r="AF1757" s="0" t="s">
        <v>150</v>
      </c>
      <c r="AH1757" s="0" t="n">
        <v>14</v>
      </c>
      <c r="AI1757" s="0" t="n">
        <v>11</v>
      </c>
      <c r="AN1757" s="0" t="s">
        <v>146</v>
      </c>
      <c r="AO1757" s="0" t="s">
        <v>250</v>
      </c>
      <c r="AP1757" s="0" t="s">
        <v>251</v>
      </c>
      <c r="AQ1757" s="0" t="n">
        <v>9</v>
      </c>
      <c r="AR1757" s="0" t="n">
        <v>64</v>
      </c>
      <c r="AS1757" s="0" t="n">
        <v>32</v>
      </c>
      <c r="AU1757" s="0" t="n">
        <f aca="false">COUNTA($BA$2116:$EH$2116)</f>
        <v>7</v>
      </c>
      <c r="AV1757" s="0" t="n">
        <f aca="false">COUNTIF($BA$2116:$EH$2116,"D")</f>
        <v>0</v>
      </c>
      <c r="AW1757" s="0" t="n">
        <f aca="false">COUNTIF($BA$2116:$EH$2116,"R")</f>
        <v>0</v>
      </c>
      <c r="AX1757" s="0" t="n">
        <f aca="false"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>0</v>
      </c>
      <c r="AY1757" s="0" t="n">
        <f aca="false">COUNTIF(DU1757:EH1757, "&lt;&gt;")</f>
        <v>1</v>
      </c>
      <c r="AZ1757" s="0" t="n">
        <f aca="false">IF(EH1757&lt;&gt;"",1,0)</f>
        <v>0</v>
      </c>
      <c r="BB1757" s="0" t="s">
        <v>153</v>
      </c>
      <c r="BS1757" s="0" t="s">
        <v>154</v>
      </c>
      <c r="BY1757" s="0" t="s">
        <v>155</v>
      </c>
      <c r="CA1757" s="0" t="s">
        <v>154</v>
      </c>
      <c r="CP1757" s="0" t="s">
        <v>154</v>
      </c>
      <c r="CY1757" s="0" t="s">
        <v>154</v>
      </c>
      <c r="CZ1757" s="0" t="s">
        <v>155</v>
      </c>
      <c r="DC1757" s="0" t="s">
        <v>154</v>
      </c>
      <c r="DI1757" s="0" t="s">
        <v>154</v>
      </c>
      <c r="DN1757" s="0" t="s">
        <v>154</v>
      </c>
      <c r="EA1757" s="0" t="s">
        <v>154</v>
      </c>
    </row>
    <row r="1758" customFormat="false" ht="13.8" hidden="true" customHeight="false" outlineLevel="0" collapsed="false">
      <c r="A1758" s="0" t="s">
        <v>7939</v>
      </c>
      <c r="B1758" s="0" t="n">
        <v>78</v>
      </c>
      <c r="C1758" s="0" t="n">
        <v>454903</v>
      </c>
      <c r="D1758" s="0" t="s">
        <v>139</v>
      </c>
      <c r="E1758" s="0" t="s">
        <v>7940</v>
      </c>
      <c r="F1758" s="0" t="str">
        <f aca="false">CONCATENATE(D1758," ",LEFT(H1758,4),"T=",AU1758,"D=",AV1758,"R=",AW1758,"M=",AX1758,"L=",AY1758,"B=",AZ1758)</f>
        <v>ALLEN T=6D=0R=1M=0L=0B=0</v>
      </c>
      <c r="G1758" s="0" t="s">
        <v>690</v>
      </c>
      <c r="I1758" s="0" t="s">
        <v>7941</v>
      </c>
      <c r="J1758" s="0" t="s">
        <v>2666</v>
      </c>
      <c r="K1758" s="0" t="s">
        <v>144</v>
      </c>
      <c r="L1758" s="0"/>
      <c r="M1758" s="0" t="s">
        <v>7937</v>
      </c>
      <c r="N1758" s="0" t="str">
        <f aca="false">RIGHT(M1758,LEN(M1758)-FIND(" ",M1758))</f>
        <v>MARYLAND ST NW</v>
      </c>
      <c r="O1758" s="0" t="s">
        <v>7942</v>
      </c>
      <c r="P1758" s="0" t="s">
        <v>146</v>
      </c>
      <c r="Q1758" s="0" t="s">
        <v>147</v>
      </c>
      <c r="R1758" s="0" t="n">
        <v>44483</v>
      </c>
      <c r="AD1758" s="0" t="s">
        <v>148</v>
      </c>
      <c r="AE1758" s="0" t="s">
        <v>149</v>
      </c>
      <c r="AF1758" s="0" t="s">
        <v>150</v>
      </c>
      <c r="AH1758" s="0" t="n">
        <v>14</v>
      </c>
      <c r="AI1758" s="0" t="n">
        <v>11</v>
      </c>
      <c r="AN1758" s="0" t="s">
        <v>146</v>
      </c>
      <c r="AO1758" s="0" t="s">
        <v>250</v>
      </c>
      <c r="AP1758" s="0" t="s">
        <v>251</v>
      </c>
      <c r="AQ1758" s="0" t="n">
        <v>9</v>
      </c>
      <c r="AR1758" s="0" t="n">
        <v>64</v>
      </c>
      <c r="AS1758" s="0" t="n">
        <v>32</v>
      </c>
      <c r="AU1758" s="0" t="n">
        <f aca="false">COUNTA($BA$2234:$EH$2234)</f>
        <v>6</v>
      </c>
      <c r="AV1758" s="0" t="n">
        <f aca="false">COUNTIF($BA$2234:$EH$2234,"D")</f>
        <v>0</v>
      </c>
      <c r="AW1758" s="0" t="n">
        <f aca="false">COUNTIF($BA$2234:$EH$2234,"R")</f>
        <v>1</v>
      </c>
      <c r="AX1758" s="0" t="n">
        <f aca="false"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>0</v>
      </c>
      <c r="AY1758" s="0" t="n">
        <f aca="false">COUNTIF(DU1758:EH1758, "&lt;&gt;")</f>
        <v>0</v>
      </c>
      <c r="AZ1758" s="0" t="n">
        <f aca="false">IF(EH1758&lt;&gt;"",1,0)</f>
        <v>0</v>
      </c>
      <c r="BB1758" s="0" t="s">
        <v>153</v>
      </c>
      <c r="DN1758" s="0" t="s">
        <v>154</v>
      </c>
    </row>
    <row r="1759" customFormat="false" ht="13.8" hidden="true" customHeight="false" outlineLevel="0" collapsed="false">
      <c r="A1759" s="0" t="s">
        <v>7943</v>
      </c>
      <c r="B1759" s="0" t="n">
        <v>78</v>
      </c>
      <c r="C1759" s="0" t="n">
        <v>451286</v>
      </c>
      <c r="D1759" s="0" t="s">
        <v>664</v>
      </c>
      <c r="E1759" s="0" t="s">
        <v>7944</v>
      </c>
      <c r="F1759" s="0" t="str">
        <f aca="false">CONCATENATE(D1759," ",LEFT(H1759,4),"T=",AU1759,"D=",AV1759,"R=",AW1759,"M=",AX1759,"L=",AY1759,"B=",AZ1759)</f>
        <v>RAY T=10D=1R=0M=0L=0B=0</v>
      </c>
      <c r="G1759" s="0" t="s">
        <v>1289</v>
      </c>
      <c r="I1759" s="0" t="s">
        <v>7945</v>
      </c>
      <c r="J1759" s="0" t="s">
        <v>5394</v>
      </c>
      <c r="K1759" s="0" t="s">
        <v>144</v>
      </c>
      <c r="L1759" s="0"/>
      <c r="M1759" s="0" t="s">
        <v>7937</v>
      </c>
      <c r="N1759" s="0" t="str">
        <f aca="false">RIGHT(M1759,LEN(M1759)-FIND(" ",M1759))</f>
        <v>MARYLAND ST NW</v>
      </c>
      <c r="O1759" s="0" t="s">
        <v>3870</v>
      </c>
      <c r="P1759" s="0" t="s">
        <v>146</v>
      </c>
      <c r="Q1759" s="0" t="s">
        <v>147</v>
      </c>
      <c r="R1759" s="0" t="n">
        <v>44483</v>
      </c>
      <c r="AD1759" s="0" t="s">
        <v>148</v>
      </c>
      <c r="AE1759" s="0" t="s">
        <v>149</v>
      </c>
      <c r="AF1759" s="0" t="s">
        <v>150</v>
      </c>
      <c r="AH1759" s="0" t="n">
        <v>14</v>
      </c>
      <c r="AI1759" s="0" t="n">
        <v>11</v>
      </c>
      <c r="AN1759" s="0" t="s">
        <v>146</v>
      </c>
      <c r="AO1759" s="0" t="s">
        <v>250</v>
      </c>
      <c r="AP1759" s="0" t="s">
        <v>251</v>
      </c>
      <c r="AQ1759" s="0" t="n">
        <v>9</v>
      </c>
      <c r="AR1759" s="0" t="n">
        <v>64</v>
      </c>
      <c r="AS1759" s="0" t="n">
        <v>32</v>
      </c>
      <c r="AU1759" s="0" t="n">
        <f aca="false">COUNTA($BA$2327:$EH$2327)</f>
        <v>10</v>
      </c>
      <c r="AV1759" s="0" t="n">
        <f aca="false">COUNTIF($BA$2327:$EH$2327,"D")</f>
        <v>1</v>
      </c>
      <c r="AW1759" s="0" t="n">
        <f aca="false">COUNTIF($BA$2327:$EH$2327,"R")</f>
        <v>0</v>
      </c>
      <c r="AX1759" s="0" t="n">
        <f aca="false"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>0</v>
      </c>
      <c r="AY1759" s="0" t="n">
        <f aca="false">COUNTIF(DU1759:EH1759, "&lt;&gt;")</f>
        <v>0</v>
      </c>
      <c r="AZ1759" s="0" t="n">
        <f aca="false">IF(EH1759&lt;&gt;"",1,0)</f>
        <v>0</v>
      </c>
      <c r="BB1759" s="0" t="s">
        <v>153</v>
      </c>
    </row>
    <row r="1760" customFormat="false" ht="13.8" hidden="true" customHeight="false" outlineLevel="0" collapsed="false">
      <c r="A1760" s="0" t="s">
        <v>7946</v>
      </c>
      <c r="B1760" s="0" t="n">
        <v>78</v>
      </c>
      <c r="C1760" s="0" t="n">
        <v>341996</v>
      </c>
      <c r="D1760" s="0" t="s">
        <v>836</v>
      </c>
      <c r="E1760" s="0" t="s">
        <v>7947</v>
      </c>
      <c r="F1760" s="0" t="str">
        <f aca="false">CONCATENATE(D1760," ",LEFT(H1760,4),"T=",AU1760,"D=",AV1760,"R=",AW1760,"M=",AX1760,"L=",AY1760,"B=",AZ1760)</f>
        <v>RAMSEY T=2D=0R=0M=0L=0B=0</v>
      </c>
      <c r="G1760" s="0" t="s">
        <v>241</v>
      </c>
      <c r="I1760" s="0" t="s">
        <v>7948</v>
      </c>
      <c r="J1760" s="0" t="s">
        <v>7949</v>
      </c>
      <c r="K1760" s="0" t="s">
        <v>175</v>
      </c>
      <c r="L1760" s="0"/>
      <c r="M1760" s="0" t="s">
        <v>7937</v>
      </c>
      <c r="N1760" s="0" t="str">
        <f aca="false">RIGHT(M1760,LEN(M1760)-FIND(" ",M1760))</f>
        <v>MARYLAND ST NW</v>
      </c>
      <c r="P1760" s="0" t="s">
        <v>146</v>
      </c>
      <c r="Q1760" s="0" t="s">
        <v>147</v>
      </c>
      <c r="R1760" s="0" t="n">
        <v>44483</v>
      </c>
      <c r="AD1760" s="0" t="s">
        <v>148</v>
      </c>
      <c r="AE1760" s="0" t="s">
        <v>149</v>
      </c>
      <c r="AF1760" s="0" t="s">
        <v>150</v>
      </c>
      <c r="AH1760" s="0" t="n">
        <v>14</v>
      </c>
      <c r="AI1760" s="0" t="n">
        <v>11</v>
      </c>
      <c r="AN1760" s="0" t="s">
        <v>146</v>
      </c>
      <c r="AO1760" s="0" t="s">
        <v>250</v>
      </c>
      <c r="AP1760" s="0" t="s">
        <v>251</v>
      </c>
      <c r="AQ1760" s="0" t="n">
        <v>9</v>
      </c>
      <c r="AR1760" s="0" t="n">
        <v>64</v>
      </c>
      <c r="AS1760" s="0" t="n">
        <v>32</v>
      </c>
      <c r="AU1760" s="0" t="n">
        <f aca="false">COUNTA($BA$2359:$EH$2359)</f>
        <v>2</v>
      </c>
      <c r="AV1760" s="0" t="n">
        <f aca="false">COUNTIF($BA$2359:$EH$2359,"D")</f>
        <v>0</v>
      </c>
      <c r="AW1760" s="0" t="n">
        <f aca="false">COUNTIF($BA$2359:$EH$2359,"R")</f>
        <v>0</v>
      </c>
      <c r="AX1760" s="0" t="n">
        <f aca="false"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>0</v>
      </c>
      <c r="AY1760" s="0" t="n">
        <f aca="false">COUNTIF(DU1760:EH1760, "&lt;&gt;")</f>
        <v>0</v>
      </c>
      <c r="AZ1760" s="0" t="n">
        <f aca="false">IF(EH1760&lt;&gt;"",1,0)</f>
        <v>0</v>
      </c>
      <c r="BB1760" s="0" t="s">
        <v>153</v>
      </c>
    </row>
    <row r="1761" customFormat="false" ht="13.8" hidden="true" customHeight="false" outlineLevel="0" collapsed="false">
      <c r="A1761" s="0" t="s">
        <v>7950</v>
      </c>
      <c r="B1761" s="0" t="n">
        <v>78</v>
      </c>
      <c r="C1761" s="0" t="n">
        <v>341049</v>
      </c>
      <c r="D1761" s="0" t="s">
        <v>7951</v>
      </c>
      <c r="E1761" s="0" t="s">
        <v>7952</v>
      </c>
      <c r="F1761" s="0" t="str">
        <f aca="false">CONCATENATE(D1761," ",LEFT(H1761,4),"T=",AU1761,"D=",AV1761,"R=",AW1761,"M=",AX1761,"L=",AY1761,"B=",AZ1761)</f>
        <v>BOWELL T=2D=0R=0M=0L=0B=0</v>
      </c>
      <c r="G1761" s="0" t="s">
        <v>690</v>
      </c>
      <c r="I1761" s="0" t="s">
        <v>7953</v>
      </c>
      <c r="J1761" s="0" t="s">
        <v>7954</v>
      </c>
      <c r="K1761" s="0" t="s">
        <v>144</v>
      </c>
      <c r="L1761" s="0"/>
      <c r="M1761" s="0" t="s">
        <v>7937</v>
      </c>
      <c r="N1761" s="0" t="str">
        <f aca="false">RIGHT(M1761,LEN(M1761)-FIND(" ",M1761))</f>
        <v>MARYLAND ST NW</v>
      </c>
      <c r="O1761" s="0" t="s">
        <v>7955</v>
      </c>
      <c r="P1761" s="0" t="s">
        <v>146</v>
      </c>
      <c r="Q1761" s="0" t="s">
        <v>147</v>
      </c>
      <c r="R1761" s="0" t="n">
        <v>44483</v>
      </c>
      <c r="AD1761" s="0" t="s">
        <v>148</v>
      </c>
      <c r="AE1761" s="0" t="s">
        <v>149</v>
      </c>
      <c r="AF1761" s="0" t="s">
        <v>150</v>
      </c>
      <c r="AH1761" s="0" t="n">
        <v>14</v>
      </c>
      <c r="AI1761" s="0" t="n">
        <v>11</v>
      </c>
      <c r="AN1761" s="0" t="s">
        <v>146</v>
      </c>
      <c r="AO1761" s="0" t="s">
        <v>250</v>
      </c>
      <c r="AP1761" s="0" t="s">
        <v>251</v>
      </c>
      <c r="AQ1761" s="0" t="n">
        <v>9</v>
      </c>
      <c r="AR1761" s="0" t="n">
        <v>64</v>
      </c>
      <c r="AS1761" s="0" t="n">
        <v>32</v>
      </c>
      <c r="AU1761" s="0" t="n">
        <f aca="false">COUNTA($BA$2379:$EH$2379)</f>
        <v>2</v>
      </c>
      <c r="AV1761" s="0" t="n">
        <f aca="false">COUNTIF($BA$2379:$EH$2379,"D")</f>
        <v>0</v>
      </c>
      <c r="AW1761" s="0" t="n">
        <f aca="false">COUNTIF($BA$2379:$EH$2379,"R")</f>
        <v>0</v>
      </c>
      <c r="AX1761" s="0" t="n">
        <f aca="false"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>0</v>
      </c>
      <c r="AY1761" s="0" t="n">
        <f aca="false">COUNTIF(DU1761:EH1761, "&lt;&gt;")</f>
        <v>0</v>
      </c>
      <c r="AZ1761" s="0" t="n">
        <f aca="false">IF(EH1761&lt;&gt;"",1,0)</f>
        <v>0</v>
      </c>
      <c r="BB1761" s="0" t="s">
        <v>153</v>
      </c>
      <c r="CZ1761" s="0" t="s">
        <v>155</v>
      </c>
    </row>
    <row r="1762" customFormat="false" ht="13.8" hidden="true" customHeight="false" outlineLevel="0" collapsed="false">
      <c r="A1762" s="0" t="s">
        <v>7956</v>
      </c>
      <c r="B1762" s="0" t="n">
        <v>78</v>
      </c>
      <c r="C1762" s="0" t="n">
        <v>345004</v>
      </c>
      <c r="D1762" s="0" t="s">
        <v>7957</v>
      </c>
      <c r="E1762" s="0" t="s">
        <v>2467</v>
      </c>
      <c r="F1762" s="0" t="str">
        <f aca="false">CONCATENATE(D1762," ",LEFT(H1762,4),"T=",AU1762,"D=",AV1762,"R=",AW1762,"M=",AX1762,"L=",AY1762,"B=",AZ1762)</f>
        <v>TYE T=3D=0R=0M=1L=1B=0</v>
      </c>
      <c r="G1762" s="0" t="s">
        <v>172</v>
      </c>
      <c r="I1762" s="0" t="s">
        <v>7958</v>
      </c>
      <c r="J1762" s="0" t="s">
        <v>1191</v>
      </c>
      <c r="K1762" s="0" t="s">
        <v>175</v>
      </c>
      <c r="L1762" s="0"/>
      <c r="M1762" s="0" t="s">
        <v>7937</v>
      </c>
      <c r="N1762" s="0" t="str">
        <f aca="false">RIGHT(M1762,LEN(M1762)-FIND(" ",M1762))</f>
        <v>MARYLAND ST NW</v>
      </c>
      <c r="O1762" s="0" t="s">
        <v>3901</v>
      </c>
      <c r="P1762" s="0" t="s">
        <v>146</v>
      </c>
      <c r="Q1762" s="0" t="s">
        <v>147</v>
      </c>
      <c r="R1762" s="0" t="n">
        <v>44483</v>
      </c>
      <c r="AD1762" s="0" t="s">
        <v>148</v>
      </c>
      <c r="AE1762" s="0" t="s">
        <v>149</v>
      </c>
      <c r="AF1762" s="0" t="s">
        <v>150</v>
      </c>
      <c r="AH1762" s="0" t="n">
        <v>14</v>
      </c>
      <c r="AI1762" s="0" t="n">
        <v>11</v>
      </c>
      <c r="AN1762" s="0" t="s">
        <v>146</v>
      </c>
      <c r="AO1762" s="0" t="s">
        <v>250</v>
      </c>
      <c r="AP1762" s="0" t="s">
        <v>251</v>
      </c>
      <c r="AQ1762" s="0" t="n">
        <v>9</v>
      </c>
      <c r="AR1762" s="0" t="n">
        <v>64</v>
      </c>
      <c r="AS1762" s="0" t="n">
        <v>32</v>
      </c>
      <c r="AU1762" s="0" t="n">
        <f aca="false">COUNTA($BA$2536:$EH$2536)</f>
        <v>3</v>
      </c>
      <c r="AV1762" s="0" t="n">
        <f aca="false">COUNTIF($BA$2536:$EH$2536,"D")</f>
        <v>0</v>
      </c>
      <c r="AW1762" s="0" t="n">
        <f aca="false">COUNTIF($BA$2536:$EH$2536,"R")</f>
        <v>0</v>
      </c>
      <c r="AX1762" s="0" t="n">
        <f aca="false"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>1</v>
      </c>
      <c r="AY1762" s="0" t="n">
        <f aca="false">COUNTIF(DU1762:EH1762, "&lt;&gt;")</f>
        <v>1</v>
      </c>
      <c r="AZ1762" s="0" t="n">
        <f aca="false">IF(EH1762&lt;&gt;"",1,0)</f>
        <v>0</v>
      </c>
      <c r="BB1762" s="0" t="s">
        <v>153</v>
      </c>
      <c r="BH1762" s="0" t="s">
        <v>154</v>
      </c>
      <c r="BJ1762" s="0" t="s">
        <v>154</v>
      </c>
      <c r="BK1762" s="0" t="s">
        <v>176</v>
      </c>
      <c r="BL1762" s="0" t="s">
        <v>154</v>
      </c>
      <c r="BS1762" s="0" t="s">
        <v>154</v>
      </c>
      <c r="BY1762" s="0" t="s">
        <v>155</v>
      </c>
      <c r="CA1762" s="0" t="s">
        <v>154</v>
      </c>
      <c r="CK1762" s="0" t="s">
        <v>154</v>
      </c>
      <c r="CL1762" s="0" t="s">
        <v>155</v>
      </c>
      <c r="CO1762" s="0" t="s">
        <v>155</v>
      </c>
      <c r="CP1762" s="0" t="s">
        <v>154</v>
      </c>
      <c r="CY1762" s="0" t="s">
        <v>154</v>
      </c>
      <c r="DN1762" s="0" t="s">
        <v>154</v>
      </c>
      <c r="EF1762" s="0" t="s">
        <v>154</v>
      </c>
    </row>
    <row r="1763" customFormat="false" ht="13.8" hidden="true" customHeight="false" outlineLevel="0" collapsed="false">
      <c r="A1763" s="0" t="s">
        <v>7959</v>
      </c>
      <c r="B1763" s="0" t="n">
        <v>78</v>
      </c>
      <c r="C1763" s="0" t="n">
        <v>483566</v>
      </c>
      <c r="D1763" s="0" t="s">
        <v>7960</v>
      </c>
      <c r="E1763" s="0" t="s">
        <v>7961</v>
      </c>
      <c r="F1763" s="0" t="str">
        <f aca="false">CONCATENATE(D1763," ",LEFT(H1763,4),"T=",AU1763,"D=",AV1763,"R=",AW1763,"M=",AX1763,"L=",AY1763,"B=",AZ1763)</f>
        <v>HEBROCK T=1D=0R=0M=0L=0B=0</v>
      </c>
      <c r="G1763" s="0" t="s">
        <v>690</v>
      </c>
      <c r="I1763" s="0" t="s">
        <v>7962</v>
      </c>
      <c r="J1763" s="0" t="s">
        <v>6901</v>
      </c>
      <c r="K1763" s="0" t="s">
        <v>175</v>
      </c>
      <c r="L1763" s="0"/>
      <c r="M1763" s="0" t="s">
        <v>7937</v>
      </c>
      <c r="N1763" s="0" t="str">
        <f aca="false">RIGHT(M1763,LEN(M1763)-FIND(" ",M1763))</f>
        <v>MARYLAND ST NW</v>
      </c>
      <c r="O1763" s="0" t="s">
        <v>7963</v>
      </c>
      <c r="P1763" s="0" t="s">
        <v>146</v>
      </c>
      <c r="Q1763" s="0" t="s">
        <v>147</v>
      </c>
      <c r="R1763" s="0" t="n">
        <v>44483</v>
      </c>
      <c r="AD1763" s="0" t="s">
        <v>148</v>
      </c>
      <c r="AE1763" s="0" t="s">
        <v>149</v>
      </c>
      <c r="AF1763" s="0" t="s">
        <v>150</v>
      </c>
      <c r="AH1763" s="0" t="n">
        <v>14</v>
      </c>
      <c r="AI1763" s="0" t="n">
        <v>11</v>
      </c>
      <c r="AN1763" s="0" t="s">
        <v>146</v>
      </c>
      <c r="AO1763" s="0" t="s">
        <v>250</v>
      </c>
      <c r="AP1763" s="0" t="s">
        <v>251</v>
      </c>
      <c r="AQ1763" s="0" t="n">
        <v>9</v>
      </c>
      <c r="AR1763" s="0" t="n">
        <v>64</v>
      </c>
      <c r="AS1763" s="0" t="n">
        <v>32</v>
      </c>
      <c r="AU1763" s="0" t="n">
        <f aca="false">COUNTA($BA$2572:$EH$2572)</f>
        <v>1</v>
      </c>
      <c r="AV1763" s="0" t="n">
        <f aca="false">COUNTIF($BA$2572:$EH$2572,"D")</f>
        <v>0</v>
      </c>
      <c r="AW1763" s="0" t="n">
        <f aca="false">COUNTIF($BA$2572:$EH$2572,"R")</f>
        <v>0</v>
      </c>
      <c r="AX1763" s="0" t="n">
        <f aca="false"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>0</v>
      </c>
      <c r="AY1763" s="0" t="n">
        <f aca="false">COUNTIF(DU1763:EH1763, "&lt;&gt;")</f>
        <v>0</v>
      </c>
      <c r="AZ1763" s="0" t="n">
        <f aca="false">IF(EH1763&lt;&gt;"",1,0)</f>
        <v>0</v>
      </c>
      <c r="BB1763" s="0" t="s">
        <v>153</v>
      </c>
    </row>
    <row r="1764" customFormat="false" ht="13.8" hidden="true" customHeight="false" outlineLevel="0" collapsed="false">
      <c r="A1764" s="0" t="s">
        <v>7964</v>
      </c>
      <c r="B1764" s="0" t="n">
        <v>78</v>
      </c>
      <c r="C1764" s="0" t="n">
        <v>395920</v>
      </c>
      <c r="D1764" s="0" t="s">
        <v>7965</v>
      </c>
      <c r="E1764" s="0" t="s">
        <v>863</v>
      </c>
      <c r="F1764" s="0" t="str">
        <f aca="false">CONCATENATE(D1764," ",LEFT(H1764,4),"T=",AU1764,"D=",AV1764,"R=",AW1764,"M=",AX1764,"L=",AY1764,"B=",AZ1764)</f>
        <v>SADDLER T=34D=6R=3M=0L=1B=0</v>
      </c>
      <c r="G1764" s="0" t="s">
        <v>188</v>
      </c>
      <c r="I1764" s="0" t="s">
        <v>7966</v>
      </c>
      <c r="J1764" s="0" t="s">
        <v>7967</v>
      </c>
      <c r="K1764" s="0" t="s">
        <v>175</v>
      </c>
      <c r="L1764" s="0"/>
      <c r="M1764" s="0" t="s">
        <v>7937</v>
      </c>
      <c r="N1764" s="0" t="str">
        <f aca="false">RIGHT(M1764,LEN(M1764)-FIND(" ",M1764))</f>
        <v>MARYLAND ST NW</v>
      </c>
      <c r="O1764" s="0" t="s">
        <v>7968</v>
      </c>
      <c r="P1764" s="0" t="s">
        <v>146</v>
      </c>
      <c r="Q1764" s="0" t="s">
        <v>147</v>
      </c>
      <c r="R1764" s="0" t="n">
        <v>44483</v>
      </c>
      <c r="AD1764" s="0" t="s">
        <v>148</v>
      </c>
      <c r="AE1764" s="0" t="s">
        <v>149</v>
      </c>
      <c r="AF1764" s="0" t="s">
        <v>150</v>
      </c>
      <c r="AH1764" s="0" t="n">
        <v>14</v>
      </c>
      <c r="AI1764" s="0" t="n">
        <v>11</v>
      </c>
      <c r="AN1764" s="0" t="s">
        <v>146</v>
      </c>
      <c r="AO1764" s="0" t="s">
        <v>250</v>
      </c>
      <c r="AP1764" s="0" t="s">
        <v>251</v>
      </c>
      <c r="AQ1764" s="0" t="n">
        <v>9</v>
      </c>
      <c r="AR1764" s="0" t="n">
        <v>64</v>
      </c>
      <c r="AS1764" s="0" t="n">
        <v>32</v>
      </c>
      <c r="AU1764" s="0" t="n">
        <f aca="false">COUNTA($BA$2591:$EH$2591)</f>
        <v>34</v>
      </c>
      <c r="AV1764" s="0" t="n">
        <f aca="false">COUNTIF($BA$2591:$EH$2591,"D")</f>
        <v>6</v>
      </c>
      <c r="AW1764" s="0" t="n">
        <f aca="false">COUNTIF($BA$2591:$EH$2591,"R")</f>
        <v>3</v>
      </c>
      <c r="AX1764" s="0" t="n">
        <f aca="false"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>0</v>
      </c>
      <c r="AY1764" s="0" t="n">
        <f aca="false">COUNTIF(DU1764:EH1764, "&lt;&gt;")</f>
        <v>1</v>
      </c>
      <c r="AZ1764" s="0" t="n">
        <f aca="false">IF(EH1764&lt;&gt;"",1,0)</f>
        <v>0</v>
      </c>
      <c r="BB1764" s="0" t="s">
        <v>153</v>
      </c>
      <c r="EF1764" s="0" t="s">
        <v>154</v>
      </c>
    </row>
    <row r="1765" customFormat="false" ht="13.8" hidden="true" customHeight="false" outlineLevel="0" collapsed="false">
      <c r="A1765" s="0" t="s">
        <v>7969</v>
      </c>
      <c r="B1765" s="0" t="n">
        <v>78</v>
      </c>
      <c r="C1765" s="0" t="n">
        <v>426303</v>
      </c>
      <c r="D1765" s="0" t="s">
        <v>664</v>
      </c>
      <c r="E1765" s="0" t="s">
        <v>7970</v>
      </c>
      <c r="F1765" s="0" t="str">
        <f aca="false">CONCATENATE(D1765," ",LEFT(H1765,4),"T=",AU1765,"D=",AV1765,"R=",AW1765,"M=",AX1765,"L=",AY1765,"B=",AZ1765)</f>
        <v>RAY T=7D=0R=0M=0L=0B=0</v>
      </c>
      <c r="G1765" s="0" t="s">
        <v>155</v>
      </c>
      <c r="I1765" s="0" t="s">
        <v>7971</v>
      </c>
      <c r="J1765" s="0" t="s">
        <v>6770</v>
      </c>
      <c r="K1765" s="0" t="s">
        <v>175</v>
      </c>
      <c r="L1765" s="0"/>
      <c r="M1765" s="0" t="s">
        <v>7937</v>
      </c>
      <c r="N1765" s="0" t="str">
        <f aca="false">RIGHT(M1765,LEN(M1765)-FIND(" ",M1765))</f>
        <v>MARYLAND ST NW</v>
      </c>
      <c r="O1765" s="0" t="s">
        <v>3870</v>
      </c>
      <c r="P1765" s="0" t="s">
        <v>146</v>
      </c>
      <c r="Q1765" s="0" t="s">
        <v>147</v>
      </c>
      <c r="R1765" s="0" t="n">
        <v>44483</v>
      </c>
      <c r="AD1765" s="0" t="s">
        <v>148</v>
      </c>
      <c r="AE1765" s="0" t="s">
        <v>149</v>
      </c>
      <c r="AF1765" s="0" t="s">
        <v>150</v>
      </c>
      <c r="AH1765" s="0" t="n">
        <v>14</v>
      </c>
      <c r="AI1765" s="0" t="n">
        <v>11</v>
      </c>
      <c r="AN1765" s="0" t="s">
        <v>146</v>
      </c>
      <c r="AO1765" s="0" t="s">
        <v>250</v>
      </c>
      <c r="AP1765" s="0" t="s">
        <v>251</v>
      </c>
      <c r="AQ1765" s="0" t="n">
        <v>9</v>
      </c>
      <c r="AR1765" s="0" t="n">
        <v>64</v>
      </c>
      <c r="AS1765" s="0" t="n">
        <v>32</v>
      </c>
      <c r="AU1765" s="0" t="n">
        <f aca="false">COUNTA($BA$2623:$EH$2623)</f>
        <v>7</v>
      </c>
      <c r="AV1765" s="0" t="n">
        <f aca="false">COUNTIF($BA$2623:$EH$2623,"D")</f>
        <v>0</v>
      </c>
      <c r="AW1765" s="0" t="n">
        <f aca="false">COUNTIF($BA$2623:$EH$2623,"R")</f>
        <v>0</v>
      </c>
      <c r="AX1765" s="0" t="n">
        <f aca="false"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>0</v>
      </c>
      <c r="AY1765" s="0" t="n">
        <f aca="false">COUNTIF(DU1765:EH1765, "&lt;&gt;")</f>
        <v>0</v>
      </c>
      <c r="AZ1765" s="0" t="n">
        <f aca="false">IF(EH1765&lt;&gt;"",1,0)</f>
        <v>0</v>
      </c>
      <c r="BB1765" s="0" t="s">
        <v>153</v>
      </c>
    </row>
    <row r="1766" customFormat="false" ht="13.8" hidden="true" customHeight="false" outlineLevel="0" collapsed="false">
      <c r="A1766" s="0" t="s">
        <v>7972</v>
      </c>
      <c r="B1766" s="0" t="n">
        <v>78</v>
      </c>
      <c r="C1766" s="0" t="n">
        <v>417812</v>
      </c>
      <c r="D1766" s="0" t="s">
        <v>7973</v>
      </c>
      <c r="E1766" s="0" t="s">
        <v>6235</v>
      </c>
      <c r="F1766" s="0" t="str">
        <f aca="false">CONCATENATE(D1766," ",LEFT(H1766,4),"T=",AU1766,"D=",AV1766,"R=",AW1766,"M=",AX1766,"L=",AY1766,"B=",AZ1766)</f>
        <v>REID T=36D=5R=5M=0L=0B=0</v>
      </c>
      <c r="G1766" s="0" t="s">
        <v>7974</v>
      </c>
      <c r="I1766" s="0" t="s">
        <v>7975</v>
      </c>
      <c r="J1766" s="0" t="s">
        <v>7976</v>
      </c>
      <c r="K1766" s="0" t="s">
        <v>144</v>
      </c>
      <c r="L1766" s="0"/>
      <c r="M1766" s="0" t="s">
        <v>7937</v>
      </c>
      <c r="N1766" s="0" t="str">
        <f aca="false">RIGHT(M1766,LEN(M1766)-FIND(" ",M1766))</f>
        <v>MARYLAND ST NW</v>
      </c>
      <c r="O1766" s="0" t="s">
        <v>3880</v>
      </c>
      <c r="P1766" s="0" t="s">
        <v>146</v>
      </c>
      <c r="Q1766" s="0" t="s">
        <v>147</v>
      </c>
      <c r="R1766" s="0" t="n">
        <v>44483</v>
      </c>
      <c r="AD1766" s="0" t="s">
        <v>148</v>
      </c>
      <c r="AE1766" s="0" t="s">
        <v>149</v>
      </c>
      <c r="AF1766" s="0" t="s">
        <v>150</v>
      </c>
      <c r="AH1766" s="0" t="n">
        <v>14</v>
      </c>
      <c r="AI1766" s="0" t="n">
        <v>11</v>
      </c>
      <c r="AN1766" s="0" t="s">
        <v>146</v>
      </c>
      <c r="AO1766" s="0" t="s">
        <v>250</v>
      </c>
      <c r="AP1766" s="0" t="s">
        <v>251</v>
      </c>
      <c r="AQ1766" s="0" t="n">
        <v>9</v>
      </c>
      <c r="AR1766" s="0" t="n">
        <v>64</v>
      </c>
      <c r="AS1766" s="0" t="n">
        <v>32</v>
      </c>
      <c r="AU1766" s="0" t="n">
        <f aca="false">COUNTA($BA$2660:$EH$2660)</f>
        <v>36</v>
      </c>
      <c r="AV1766" s="0" t="n">
        <f aca="false">COUNTIF($BA$2660:$EH$2660,"D")</f>
        <v>5</v>
      </c>
      <c r="AW1766" s="0" t="n">
        <f aca="false">COUNTIF($BA$2660:$EH$2660,"R")</f>
        <v>5</v>
      </c>
      <c r="AX1766" s="0" t="n">
        <f aca="false"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>0</v>
      </c>
      <c r="AY1766" s="0" t="n">
        <f aca="false">COUNTIF(DU1766:EH1766, "&lt;&gt;")</f>
        <v>0</v>
      </c>
      <c r="AZ1766" s="0" t="n">
        <f aca="false">IF(EH1766&lt;&gt;"",1,0)</f>
        <v>0</v>
      </c>
      <c r="BB1766" s="0" t="s">
        <v>153</v>
      </c>
    </row>
    <row r="1767" customFormat="false" ht="13.8" hidden="true" customHeight="false" outlineLevel="0" collapsed="false">
      <c r="A1767" s="0" t="s">
        <v>7977</v>
      </c>
      <c r="B1767" s="0" t="n">
        <v>78</v>
      </c>
      <c r="C1767" s="0" t="n">
        <v>379811</v>
      </c>
      <c r="D1767" s="0" t="s">
        <v>664</v>
      </c>
      <c r="E1767" s="0" t="s">
        <v>7978</v>
      </c>
      <c r="F1767" s="0" t="str">
        <f aca="false">CONCATENATE(D1767," ",LEFT(H1767,4),"T=",AU1767,"D=",AV1767,"R=",AW1767,"M=",AX1767,"L=",AY1767,"B=",AZ1767)</f>
        <v>RAY T=2D=0R=0M=0L=0B=0</v>
      </c>
      <c r="G1767" s="0" t="s">
        <v>939</v>
      </c>
      <c r="I1767" s="0" t="s">
        <v>7979</v>
      </c>
      <c r="J1767" s="0" t="s">
        <v>7980</v>
      </c>
      <c r="K1767" s="0" t="s">
        <v>144</v>
      </c>
      <c r="L1767" s="0"/>
      <c r="M1767" s="0" t="s">
        <v>7937</v>
      </c>
      <c r="N1767" s="0" t="str">
        <f aca="false">RIGHT(M1767,LEN(M1767)-FIND(" ",M1767))</f>
        <v>MARYLAND ST NW</v>
      </c>
      <c r="O1767" s="0" t="s">
        <v>3870</v>
      </c>
      <c r="P1767" s="0" t="s">
        <v>146</v>
      </c>
      <c r="Q1767" s="0" t="s">
        <v>147</v>
      </c>
      <c r="R1767" s="0" t="n">
        <v>44483</v>
      </c>
      <c r="AD1767" s="0" t="s">
        <v>148</v>
      </c>
      <c r="AE1767" s="0" t="s">
        <v>149</v>
      </c>
      <c r="AF1767" s="0" t="s">
        <v>150</v>
      </c>
      <c r="AH1767" s="0" t="n">
        <v>14</v>
      </c>
      <c r="AI1767" s="0" t="n">
        <v>11</v>
      </c>
      <c r="AN1767" s="0" t="s">
        <v>146</v>
      </c>
      <c r="AO1767" s="0" t="s">
        <v>250</v>
      </c>
      <c r="AP1767" s="0" t="s">
        <v>251</v>
      </c>
      <c r="AQ1767" s="0" t="n">
        <v>9</v>
      </c>
      <c r="AR1767" s="0" t="n">
        <v>64</v>
      </c>
      <c r="AS1767" s="0" t="n">
        <v>32</v>
      </c>
      <c r="AU1767" s="0" t="n">
        <f aca="false">COUNTA($BA$2762:$EH$2762)</f>
        <v>2</v>
      </c>
      <c r="AV1767" s="0" t="n">
        <f aca="false">COUNTIF($BA$2762:$EH$2762,"D")</f>
        <v>0</v>
      </c>
      <c r="AW1767" s="0" t="n">
        <f aca="false">COUNTIF($BA$2762:$EH$2762,"R")</f>
        <v>0</v>
      </c>
      <c r="AX1767" s="0" t="n">
        <f aca="false"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>0</v>
      </c>
      <c r="AY1767" s="0" t="n">
        <f aca="false">COUNTIF(DU1767:EH1767, "&lt;&gt;")</f>
        <v>0</v>
      </c>
      <c r="AZ1767" s="0" t="n">
        <f aca="false">IF(EH1767&lt;&gt;"",1,0)</f>
        <v>0</v>
      </c>
      <c r="BB1767" s="0" t="s">
        <v>153</v>
      </c>
      <c r="DN1767" s="0" t="s">
        <v>154</v>
      </c>
    </row>
    <row r="1768" customFormat="false" ht="13.8" hidden="true" customHeight="false" outlineLevel="0" collapsed="false">
      <c r="A1768" s="0" t="s">
        <v>7981</v>
      </c>
      <c r="B1768" s="0" t="n">
        <v>78</v>
      </c>
      <c r="C1768" s="0" t="n">
        <v>406465</v>
      </c>
      <c r="D1768" s="0" t="s">
        <v>4345</v>
      </c>
      <c r="E1768" s="0" t="s">
        <v>7982</v>
      </c>
      <c r="F1768" s="0" t="str">
        <f aca="false">CONCATENATE(D1768," ",LEFT(H1768,4),"T=",AU1768,"D=",AV1768,"R=",AW1768,"M=",AX1768,"L=",AY1768,"B=",AZ1768)</f>
        <v>SEAWOOD T=29D=2R=2M=0L=1B=0</v>
      </c>
      <c r="G1768" s="0" t="s">
        <v>7983</v>
      </c>
      <c r="I1768" s="0" t="s">
        <v>7984</v>
      </c>
      <c r="J1768" s="0" t="s">
        <v>672</v>
      </c>
      <c r="K1768" s="0" t="s">
        <v>175</v>
      </c>
      <c r="L1768" s="0"/>
      <c r="M1768" s="0" t="s">
        <v>7937</v>
      </c>
      <c r="N1768" s="0" t="str">
        <f aca="false">RIGHT(M1768,LEN(M1768)-FIND(" ",M1768))</f>
        <v>MARYLAND ST NW</v>
      </c>
      <c r="O1768" s="0" t="s">
        <v>7985</v>
      </c>
      <c r="P1768" s="0" t="s">
        <v>146</v>
      </c>
      <c r="Q1768" s="0" t="s">
        <v>147</v>
      </c>
      <c r="R1768" s="0" t="n">
        <v>44483</v>
      </c>
      <c r="V1768" s="0" t="s">
        <v>7986</v>
      </c>
      <c r="X1768" s="0" t="s">
        <v>146</v>
      </c>
      <c r="Y1768" s="0" t="s">
        <v>147</v>
      </c>
      <c r="Z1768" s="0" t="n">
        <v>44484</v>
      </c>
      <c r="AD1768" s="0" t="s">
        <v>148</v>
      </c>
      <c r="AE1768" s="0" t="s">
        <v>149</v>
      </c>
      <c r="AF1768" s="0" t="s">
        <v>150</v>
      </c>
      <c r="AH1768" s="0" t="n">
        <v>14</v>
      </c>
      <c r="AI1768" s="0" t="n">
        <v>11</v>
      </c>
      <c r="AN1768" s="0" t="s">
        <v>146</v>
      </c>
      <c r="AO1768" s="0" t="s">
        <v>250</v>
      </c>
      <c r="AP1768" s="0" t="s">
        <v>251</v>
      </c>
      <c r="AQ1768" s="0" t="n">
        <v>9</v>
      </c>
      <c r="AR1768" s="0" t="n">
        <v>64</v>
      </c>
      <c r="AS1768" s="0" t="n">
        <v>32</v>
      </c>
      <c r="AU1768" s="0" t="n">
        <f aca="false">COUNTA($BA$2776:$EH$2776)</f>
        <v>29</v>
      </c>
      <c r="AV1768" s="0" t="n">
        <f aca="false">COUNTIF($BA$2776:$EH$2776,"D")</f>
        <v>2</v>
      </c>
      <c r="AW1768" s="0" t="n">
        <f aca="false">COUNTIF($BA$2776:$EH$2776,"R")</f>
        <v>2</v>
      </c>
      <c r="AX1768" s="0" t="n">
        <f aca="false"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>0</v>
      </c>
      <c r="AY1768" s="0" t="n">
        <f aca="false">COUNTIF(DU1768:EH1768, "&lt;&gt;")</f>
        <v>1</v>
      </c>
      <c r="AZ1768" s="0" t="n">
        <f aca="false">IF(EH1768&lt;&gt;"",1,0)</f>
        <v>0</v>
      </c>
      <c r="BB1768" s="0" t="s">
        <v>153</v>
      </c>
      <c r="EF1768" s="0" t="s">
        <v>154</v>
      </c>
    </row>
    <row r="1769" customFormat="false" ht="13.8" hidden="true" customHeight="false" outlineLevel="0" collapsed="false">
      <c r="A1769" s="0" t="s">
        <v>7987</v>
      </c>
      <c r="B1769" s="0" t="n">
        <v>78</v>
      </c>
      <c r="C1769" s="0" t="n">
        <v>361410</v>
      </c>
      <c r="D1769" s="0" t="s">
        <v>6251</v>
      </c>
      <c r="E1769" s="0" t="s">
        <v>7988</v>
      </c>
      <c r="F1769" s="0" t="str">
        <f aca="false">CONCATENATE(D1769," ",LEFT(H1769,4),"T=",AU1769,"D=",AV1769,"R=",AW1769,"M=",AX1769,"L=",AY1769,"B=",AZ1769)</f>
        <v>HIGGINS T=1D=0R=0M=0L=0B=0</v>
      </c>
      <c r="G1769" s="0" t="s">
        <v>241</v>
      </c>
      <c r="I1769" s="0" t="s">
        <v>7989</v>
      </c>
      <c r="J1769" s="0" t="s">
        <v>7990</v>
      </c>
      <c r="K1769" s="0" t="s">
        <v>144</v>
      </c>
      <c r="L1769" s="0"/>
      <c r="M1769" s="0" t="s">
        <v>7937</v>
      </c>
      <c r="N1769" s="0" t="str">
        <f aca="false">RIGHT(M1769,LEN(M1769)-FIND(" ",M1769))</f>
        <v>MARYLAND ST NW</v>
      </c>
      <c r="O1769" s="0" t="s">
        <v>3890</v>
      </c>
      <c r="P1769" s="0" t="s">
        <v>146</v>
      </c>
      <c r="Q1769" s="0" t="s">
        <v>147</v>
      </c>
      <c r="R1769" s="0" t="n">
        <v>44483</v>
      </c>
      <c r="AD1769" s="0" t="s">
        <v>148</v>
      </c>
      <c r="AE1769" s="0" t="s">
        <v>149</v>
      </c>
      <c r="AF1769" s="0" t="s">
        <v>150</v>
      </c>
      <c r="AH1769" s="0" t="n">
        <v>14</v>
      </c>
      <c r="AI1769" s="0" t="n">
        <v>11</v>
      </c>
      <c r="AN1769" s="0" t="s">
        <v>146</v>
      </c>
      <c r="AO1769" s="0" t="s">
        <v>250</v>
      </c>
      <c r="AP1769" s="0" t="s">
        <v>251</v>
      </c>
      <c r="AQ1769" s="0" t="n">
        <v>9</v>
      </c>
      <c r="AR1769" s="0" t="n">
        <v>64</v>
      </c>
      <c r="AS1769" s="0" t="n">
        <v>32</v>
      </c>
      <c r="AU1769" s="0" t="n">
        <f aca="false">COUNTA($BA$2799:$EH$2799)</f>
        <v>1</v>
      </c>
      <c r="AV1769" s="0" t="n">
        <f aca="false">COUNTIF($BA$2799:$EH$2799,"D")</f>
        <v>0</v>
      </c>
      <c r="AW1769" s="0" t="n">
        <f aca="false">COUNTIF($BA$2799:$EH$2799,"R")</f>
        <v>0</v>
      </c>
      <c r="AX1769" s="0" t="n">
        <f aca="false"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>0</v>
      </c>
      <c r="AY1769" s="0" t="n">
        <f aca="false">COUNTIF(DU1769:EH1769, "&lt;&gt;")</f>
        <v>0</v>
      </c>
      <c r="AZ1769" s="0" t="n">
        <f aca="false">IF(EH1769&lt;&gt;"",1,0)</f>
        <v>0</v>
      </c>
      <c r="BB1769" s="0" t="s">
        <v>153</v>
      </c>
      <c r="CA1769" s="0" t="s">
        <v>154</v>
      </c>
    </row>
    <row r="1770" customFormat="false" ht="13.8" hidden="true" customHeight="false" outlineLevel="0" collapsed="false">
      <c r="A1770" s="0" t="s">
        <v>7991</v>
      </c>
      <c r="B1770" s="0" t="n">
        <v>78</v>
      </c>
      <c r="C1770" s="0" t="n">
        <v>429324</v>
      </c>
      <c r="D1770" s="0" t="s">
        <v>7992</v>
      </c>
      <c r="E1770" s="0" t="s">
        <v>7993</v>
      </c>
      <c r="F1770" s="0" t="str">
        <f aca="false">CONCATENATE(D1770," ",LEFT(H1770,4),"T=",AU1770,"D=",AV1770,"R=",AW1770,"M=",AX1770,"L=",AY1770,"B=",AZ1770)</f>
        <v>BARKSDALE T=2D=0R=0M=0L=0B=0</v>
      </c>
      <c r="G1770" s="0" t="s">
        <v>7994</v>
      </c>
      <c r="I1770" s="0" t="s">
        <v>7995</v>
      </c>
      <c r="J1770" s="0" t="s">
        <v>7996</v>
      </c>
      <c r="K1770" s="0" t="s">
        <v>144</v>
      </c>
      <c r="L1770" s="0"/>
      <c r="M1770" s="0" t="s">
        <v>7937</v>
      </c>
      <c r="N1770" s="0" t="str">
        <f aca="false">RIGHT(M1770,LEN(M1770)-FIND(" ",M1770))</f>
        <v>MARYLAND ST NW</v>
      </c>
      <c r="P1770" s="0" t="s">
        <v>146</v>
      </c>
      <c r="Q1770" s="0" t="s">
        <v>147</v>
      </c>
      <c r="R1770" s="0" t="n">
        <v>44483</v>
      </c>
      <c r="AD1770" s="0" t="s">
        <v>148</v>
      </c>
      <c r="AE1770" s="0" t="s">
        <v>149</v>
      </c>
      <c r="AF1770" s="0" t="s">
        <v>150</v>
      </c>
      <c r="AH1770" s="0" t="n">
        <v>14</v>
      </c>
      <c r="AI1770" s="0" t="n">
        <v>11</v>
      </c>
      <c r="AN1770" s="0" t="s">
        <v>146</v>
      </c>
      <c r="AO1770" s="0" t="s">
        <v>250</v>
      </c>
      <c r="AP1770" s="0" t="s">
        <v>251</v>
      </c>
      <c r="AQ1770" s="0" t="n">
        <v>9</v>
      </c>
      <c r="AR1770" s="0" t="n">
        <v>64</v>
      </c>
      <c r="AS1770" s="0" t="n">
        <v>32</v>
      </c>
      <c r="AU1770" s="0" t="n">
        <f aca="false">COUNTA($BA$2808:$EH$2808)</f>
        <v>2</v>
      </c>
      <c r="AV1770" s="0" t="n">
        <f aca="false">COUNTIF($BA$2808:$EH$2808,"D")</f>
        <v>0</v>
      </c>
      <c r="AW1770" s="0" t="n">
        <f aca="false">COUNTIF($BA$2808:$EH$2808,"R")</f>
        <v>0</v>
      </c>
      <c r="AX1770" s="0" t="n">
        <f aca="false"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>0</v>
      </c>
      <c r="AY1770" s="0" t="n">
        <f aca="false">COUNTIF(DU1770:EH1770, "&lt;&gt;")</f>
        <v>0</v>
      </c>
      <c r="AZ1770" s="0" t="n">
        <f aca="false">IF(EH1770&lt;&gt;"",1,0)</f>
        <v>0</v>
      </c>
      <c r="BB1770" s="0" t="s">
        <v>153</v>
      </c>
    </row>
    <row r="1771" customFormat="false" ht="13.8" hidden="true" customHeight="false" outlineLevel="0" collapsed="false">
      <c r="A1771" s="0" t="s">
        <v>7997</v>
      </c>
      <c r="B1771" s="0" t="n">
        <v>78</v>
      </c>
      <c r="C1771" s="0" t="n">
        <v>435413</v>
      </c>
      <c r="D1771" s="0" t="s">
        <v>7998</v>
      </c>
      <c r="E1771" s="0" t="s">
        <v>7999</v>
      </c>
      <c r="F1771" s="0" t="str">
        <f aca="false">CONCATENATE(D1771," ",LEFT(H1771,4),"T=",AU1771,"D=",AV1771,"R=",AW1771,"M=",AX1771,"L=",AY1771,"B=",AZ1771)</f>
        <v>HERRON T=1D=0R=0M=0L=0B=0</v>
      </c>
      <c r="G1771" s="0" t="s">
        <v>8000</v>
      </c>
      <c r="I1771" s="0" t="s">
        <v>8001</v>
      </c>
      <c r="J1771" s="0" t="s">
        <v>1370</v>
      </c>
      <c r="K1771" s="0" t="s">
        <v>175</v>
      </c>
      <c r="L1771" s="0"/>
      <c r="M1771" s="0" t="s">
        <v>8002</v>
      </c>
      <c r="N1771" s="0" t="str">
        <f aca="false">RIGHT(M1771,LEN(M1771)-FIND(" ",M1771))</f>
        <v>MARYLAND ST NW</v>
      </c>
      <c r="P1771" s="0" t="s">
        <v>146</v>
      </c>
      <c r="Q1771" s="0" t="s">
        <v>147</v>
      </c>
      <c r="R1771" s="0" t="n">
        <v>44483</v>
      </c>
      <c r="AD1771" s="0" t="s">
        <v>148</v>
      </c>
      <c r="AE1771" s="0" t="s">
        <v>149</v>
      </c>
      <c r="AF1771" s="0" t="s">
        <v>150</v>
      </c>
      <c r="AH1771" s="0" t="n">
        <v>14</v>
      </c>
      <c r="AI1771" s="0" t="n">
        <v>11</v>
      </c>
      <c r="AN1771" s="0" t="s">
        <v>146</v>
      </c>
      <c r="AO1771" s="0" t="s">
        <v>250</v>
      </c>
      <c r="AP1771" s="0" t="s">
        <v>251</v>
      </c>
      <c r="AQ1771" s="0" t="n">
        <v>9</v>
      </c>
      <c r="AR1771" s="0" t="n">
        <v>64</v>
      </c>
      <c r="AS1771" s="0" t="n">
        <v>32</v>
      </c>
      <c r="AU1771" s="0" t="n">
        <f aca="false">COUNTA($BA$2247:$EH$2247)</f>
        <v>1</v>
      </c>
      <c r="AV1771" s="0" t="n">
        <f aca="false">COUNTIF($BA$2247:$EH$2247,"D")</f>
        <v>0</v>
      </c>
      <c r="AW1771" s="0" t="n">
        <f aca="false">COUNTIF($BA$2247:$EH$2247,"R")</f>
        <v>0</v>
      </c>
      <c r="AX1771" s="0" t="n">
        <f aca="false"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>0</v>
      </c>
      <c r="AY1771" s="0" t="n">
        <f aca="false">COUNTIF(DU1771:EH1771, "&lt;&gt;")</f>
        <v>0</v>
      </c>
      <c r="AZ1771" s="0" t="n">
        <f aca="false">IF(EH1771&lt;&gt;"",1,0)</f>
        <v>0</v>
      </c>
      <c r="BB1771" s="0" t="s">
        <v>153</v>
      </c>
      <c r="DI1771" s="0" t="s">
        <v>154</v>
      </c>
    </row>
    <row r="1772" customFormat="false" ht="13.8" hidden="true" customHeight="false" outlineLevel="0" collapsed="false">
      <c r="A1772" s="0" t="s">
        <v>8003</v>
      </c>
      <c r="B1772" s="0" t="n">
        <v>78</v>
      </c>
      <c r="C1772" s="0" t="n">
        <v>408089</v>
      </c>
      <c r="D1772" s="0" t="s">
        <v>2253</v>
      </c>
      <c r="E1772" s="0" t="s">
        <v>8004</v>
      </c>
      <c r="F1772" s="0" t="str">
        <f aca="false">CONCATENATE(D1772," ",LEFT(H1772,4),"T=",AU1772,"D=",AV1772,"R=",AW1772,"M=",AX1772,"L=",AY1772,"B=",AZ1772)</f>
        <v>MIRANDA T=1D=0R=0M=0L=0B=0</v>
      </c>
      <c r="G1772" s="0" t="s">
        <v>690</v>
      </c>
      <c r="I1772" s="0" t="s">
        <v>8005</v>
      </c>
      <c r="J1772" s="0" t="s">
        <v>6960</v>
      </c>
      <c r="K1772" s="0" t="s">
        <v>144</v>
      </c>
      <c r="L1772" s="0"/>
      <c r="M1772" s="0" t="s">
        <v>8006</v>
      </c>
      <c r="N1772" s="0" t="str">
        <f aca="false">RIGHT(M1772,LEN(M1772)-FIND(" ",M1772))</f>
        <v>MARYLAND ST NW</v>
      </c>
      <c r="P1772" s="0" t="s">
        <v>146</v>
      </c>
      <c r="Q1772" s="0" t="s">
        <v>147</v>
      </c>
      <c r="R1772" s="0" t="n">
        <v>44483</v>
      </c>
      <c r="AD1772" s="0" t="s">
        <v>148</v>
      </c>
      <c r="AE1772" s="0" t="s">
        <v>149</v>
      </c>
      <c r="AF1772" s="0" t="s">
        <v>150</v>
      </c>
      <c r="AH1772" s="0" t="n">
        <v>14</v>
      </c>
      <c r="AI1772" s="0" t="n">
        <v>11</v>
      </c>
      <c r="AN1772" s="0" t="s">
        <v>146</v>
      </c>
      <c r="AO1772" s="0" t="s">
        <v>250</v>
      </c>
      <c r="AP1772" s="0" t="s">
        <v>251</v>
      </c>
      <c r="AQ1772" s="0" t="n">
        <v>9</v>
      </c>
      <c r="AR1772" s="0" t="n">
        <v>64</v>
      </c>
      <c r="AS1772" s="0" t="n">
        <v>32</v>
      </c>
      <c r="AU1772" s="0" t="n">
        <f aca="false">COUNTA($BA$2195:$EH$2195)</f>
        <v>1</v>
      </c>
      <c r="AV1772" s="0" t="n">
        <f aca="false">COUNTIF($BA$2195:$EH$2195,"D")</f>
        <v>0</v>
      </c>
      <c r="AW1772" s="0" t="n">
        <f aca="false">COUNTIF($BA$2195:$EH$2195,"R")</f>
        <v>0</v>
      </c>
      <c r="AX1772" s="0" t="n">
        <f aca="false"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>0</v>
      </c>
      <c r="AY1772" s="0" t="n">
        <f aca="false">COUNTIF(DU1772:EH1772, "&lt;&gt;")</f>
        <v>0</v>
      </c>
      <c r="AZ1772" s="0" t="n">
        <f aca="false">IF(EH1772&lt;&gt;"",1,0)</f>
        <v>0</v>
      </c>
      <c r="BB1772" s="0" t="s">
        <v>153</v>
      </c>
      <c r="DC1772" s="0" t="s">
        <v>154</v>
      </c>
    </row>
    <row r="1773" customFormat="false" ht="13.8" hidden="false" customHeight="false" outlineLevel="0" collapsed="false">
      <c r="A1773" s="0" t="s">
        <v>8007</v>
      </c>
      <c r="B1773" s="0" t="n">
        <v>78</v>
      </c>
      <c r="C1773" s="0" t="n">
        <v>444864</v>
      </c>
      <c r="D1773" s="0" t="s">
        <v>3309</v>
      </c>
      <c r="E1773" s="0" t="s">
        <v>1788</v>
      </c>
      <c r="F1773" s="0" t="str">
        <f aca="false">CONCATENATE(D1773," ",LEFT(H1773,4),"T=",AU1773,"D=",AV1773,"R=",AW1773,"M=",AX1773,"L=",AY1773,"B=",AZ1773)</f>
        <v>SPENCER T=2D=0R=0M=2L=4B=0</v>
      </c>
      <c r="G1773" s="0" t="s">
        <v>241</v>
      </c>
      <c r="I1773" s="0" t="s">
        <v>8008</v>
      </c>
      <c r="J1773" s="0" t="s">
        <v>8009</v>
      </c>
      <c r="K1773" s="0" t="s">
        <v>175</v>
      </c>
      <c r="L1773" s="1" t="s">
        <v>155</v>
      </c>
      <c r="M1773" s="0" t="s">
        <v>8006</v>
      </c>
      <c r="N1773" s="0" t="str">
        <f aca="false">RIGHT(M1773,LEN(M1773)-FIND(" ",M1773))</f>
        <v>MARYLAND ST NW</v>
      </c>
      <c r="P1773" s="0" t="s">
        <v>146</v>
      </c>
      <c r="Q1773" s="0" t="s">
        <v>147</v>
      </c>
      <c r="R1773" s="0" t="n">
        <v>44483</v>
      </c>
      <c r="V1773" s="0" t="s">
        <v>8010</v>
      </c>
      <c r="X1773" s="0" t="s">
        <v>146</v>
      </c>
      <c r="Y1773" s="0" t="s">
        <v>147</v>
      </c>
      <c r="Z1773" s="0" t="n">
        <v>44484</v>
      </c>
      <c r="AD1773" s="0" t="s">
        <v>148</v>
      </c>
      <c r="AE1773" s="0" t="s">
        <v>149</v>
      </c>
      <c r="AF1773" s="0" t="s">
        <v>150</v>
      </c>
      <c r="AH1773" s="0" t="n">
        <v>14</v>
      </c>
      <c r="AI1773" s="0" t="n">
        <v>11</v>
      </c>
      <c r="AN1773" s="0" t="s">
        <v>146</v>
      </c>
      <c r="AO1773" s="0" t="s">
        <v>250</v>
      </c>
      <c r="AP1773" s="0" t="s">
        <v>251</v>
      </c>
      <c r="AQ1773" s="0" t="n">
        <v>9</v>
      </c>
      <c r="AR1773" s="0" t="n">
        <v>64</v>
      </c>
      <c r="AS1773" s="0" t="n">
        <v>32</v>
      </c>
      <c r="AU1773" s="0" t="n">
        <f aca="false">COUNTA($BA$2429:$EH$2429)</f>
        <v>2</v>
      </c>
      <c r="AV1773" s="0" t="n">
        <f aca="false">COUNTIF($BA$2429:$EH$2429,"D")</f>
        <v>0</v>
      </c>
      <c r="AW1773" s="0" t="n">
        <f aca="false">COUNTIF($BA$2429:$EH$2429,"R")</f>
        <v>0</v>
      </c>
      <c r="AX1773" s="0" t="n">
        <f aca="false"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>2</v>
      </c>
      <c r="AY1773" s="0" t="n">
        <f aca="false">COUNTIF(DU1773:EH1773, "&lt;&gt;")</f>
        <v>4</v>
      </c>
      <c r="AZ1773" s="0" t="n">
        <f aca="false">IF(EH1773&lt;&gt;"",1,0)</f>
        <v>0</v>
      </c>
      <c r="BB1773" s="0" t="s">
        <v>153</v>
      </c>
      <c r="BC1773" s="0" t="s">
        <v>154</v>
      </c>
      <c r="BD1773" s="0" t="s">
        <v>154</v>
      </c>
      <c r="BI1773" s="0" t="s">
        <v>154</v>
      </c>
      <c r="BJ1773" s="0" t="s">
        <v>154</v>
      </c>
      <c r="BY1773" s="0" t="s">
        <v>155</v>
      </c>
      <c r="CA1773" s="0" t="s">
        <v>154</v>
      </c>
      <c r="CN1773" s="0" t="s">
        <v>154</v>
      </c>
      <c r="CP1773" s="0" t="s">
        <v>154</v>
      </c>
      <c r="CY1773" s="0" t="s">
        <v>154</v>
      </c>
      <c r="CZ1773" s="0" t="s">
        <v>155</v>
      </c>
      <c r="DC1773" s="0" t="s">
        <v>154</v>
      </c>
      <c r="DI1773" s="0" t="s">
        <v>154</v>
      </c>
      <c r="DJ1773" s="0" t="s">
        <v>155</v>
      </c>
      <c r="DM1773" s="0" t="s">
        <v>155</v>
      </c>
      <c r="DN1773" s="0" t="s">
        <v>154</v>
      </c>
      <c r="DS1773" s="0" t="s">
        <v>155</v>
      </c>
      <c r="DT1773" s="0" t="s">
        <v>155</v>
      </c>
      <c r="DU1773" s="0" t="s">
        <v>154</v>
      </c>
      <c r="DW1773" s="0" t="s">
        <v>155</v>
      </c>
      <c r="DX1773" s="0" t="s">
        <v>154</v>
      </c>
      <c r="EF1773" s="0" t="s">
        <v>154</v>
      </c>
    </row>
    <row r="1774" customFormat="false" ht="13.8" hidden="true" customHeight="false" outlineLevel="0" collapsed="false">
      <c r="A1774" s="0" t="s">
        <v>8011</v>
      </c>
      <c r="B1774" s="0" t="n">
        <v>78</v>
      </c>
      <c r="C1774" s="0" t="n">
        <v>450612</v>
      </c>
      <c r="D1774" s="0" t="s">
        <v>3197</v>
      </c>
      <c r="E1774" s="0" t="s">
        <v>8012</v>
      </c>
      <c r="F1774" s="0" t="str">
        <f aca="false">CONCATENATE(D1774," ",LEFT(H1774,4),"T=",AU1774,"D=",AV1774,"R=",AW1774,"M=",AX1774,"L=",AY1774,"B=",AZ1774)</f>
        <v>WELLS T=23D=4R=0M=0L=0B=0</v>
      </c>
      <c r="G1774" s="0" t="s">
        <v>8013</v>
      </c>
      <c r="I1774" s="0" t="s">
        <v>8014</v>
      </c>
      <c r="J1774" s="0" t="s">
        <v>8015</v>
      </c>
      <c r="K1774" s="0" t="s">
        <v>144</v>
      </c>
      <c r="L1774" s="0"/>
      <c r="M1774" s="0" t="s">
        <v>8006</v>
      </c>
      <c r="N1774" s="0" t="str">
        <f aca="false">RIGHT(M1774,LEN(M1774)-FIND(" ",M1774))</f>
        <v>MARYLAND ST NW</v>
      </c>
      <c r="P1774" s="0" t="s">
        <v>146</v>
      </c>
      <c r="Q1774" s="0" t="s">
        <v>147</v>
      </c>
      <c r="R1774" s="0" t="n">
        <v>44483</v>
      </c>
      <c r="AD1774" s="0" t="s">
        <v>148</v>
      </c>
      <c r="AE1774" s="0" t="s">
        <v>149</v>
      </c>
      <c r="AF1774" s="0" t="s">
        <v>150</v>
      </c>
      <c r="AH1774" s="0" t="n">
        <v>14</v>
      </c>
      <c r="AI1774" s="0" t="n">
        <v>11</v>
      </c>
      <c r="AN1774" s="0" t="s">
        <v>146</v>
      </c>
      <c r="AO1774" s="0" t="s">
        <v>250</v>
      </c>
      <c r="AP1774" s="0" t="s">
        <v>251</v>
      </c>
      <c r="AQ1774" s="0" t="n">
        <v>9</v>
      </c>
      <c r="AR1774" s="0" t="n">
        <v>64</v>
      </c>
      <c r="AS1774" s="0" t="n">
        <v>32</v>
      </c>
      <c r="AU1774" s="0" t="n">
        <f aca="false">COUNTA($BA$2432:$EH$2432)</f>
        <v>23</v>
      </c>
      <c r="AV1774" s="0" t="n">
        <f aca="false">COUNTIF($BA$2432:$EH$2432,"D")</f>
        <v>4</v>
      </c>
      <c r="AW1774" s="0" t="n">
        <f aca="false">COUNTIF($BA$2432:$EH$2432,"R")</f>
        <v>0</v>
      </c>
      <c r="AX1774" s="0" t="n">
        <f aca="false"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>0</v>
      </c>
      <c r="AY1774" s="0" t="n">
        <f aca="false">COUNTIF(DU1774:EH1774, "&lt;&gt;")</f>
        <v>0</v>
      </c>
      <c r="AZ1774" s="0" t="n">
        <f aca="false">IF(EH1774&lt;&gt;"",1,0)</f>
        <v>0</v>
      </c>
      <c r="BB1774" s="0" t="s">
        <v>153</v>
      </c>
    </row>
    <row r="1775" customFormat="false" ht="13.8" hidden="true" customHeight="false" outlineLevel="0" collapsed="false">
      <c r="A1775" s="0" t="s">
        <v>8016</v>
      </c>
      <c r="B1775" s="0" t="n">
        <v>78</v>
      </c>
      <c r="C1775" s="0" t="n">
        <v>386136</v>
      </c>
      <c r="D1775" s="0" t="s">
        <v>8017</v>
      </c>
      <c r="E1775" s="0" t="s">
        <v>8018</v>
      </c>
      <c r="F1775" s="0" t="str">
        <f aca="false">CONCATENATE(D1775," ",LEFT(H1775,4),"T=",AU1775,"D=",AV1775,"R=",AW1775,"M=",AX1775,"L=",AY1775,"B=",AZ1775)</f>
        <v>REDDING T=6D=2R=0M=0L=1B=0</v>
      </c>
      <c r="G1775" s="0" t="s">
        <v>241</v>
      </c>
      <c r="I1775" s="0" t="s">
        <v>3864</v>
      </c>
      <c r="J1775" s="0" t="s">
        <v>672</v>
      </c>
      <c r="K1775" s="0" t="s">
        <v>175</v>
      </c>
      <c r="L1775" s="0"/>
      <c r="M1775" s="0" t="s">
        <v>8019</v>
      </c>
      <c r="N1775" s="0" t="str">
        <f aca="false">RIGHT(M1775,LEN(M1775)-FIND(" ",M1775))</f>
        <v>MARYLAND ST NW</v>
      </c>
      <c r="P1775" s="0" t="s">
        <v>146</v>
      </c>
      <c r="Q1775" s="0" t="s">
        <v>147</v>
      </c>
      <c r="R1775" s="0" t="n">
        <v>44483</v>
      </c>
      <c r="AD1775" s="0" t="s">
        <v>148</v>
      </c>
      <c r="AE1775" s="0" t="s">
        <v>149</v>
      </c>
      <c r="AF1775" s="0" t="s">
        <v>150</v>
      </c>
      <c r="AH1775" s="0" t="n">
        <v>14</v>
      </c>
      <c r="AI1775" s="0" t="n">
        <v>11</v>
      </c>
      <c r="AN1775" s="0" t="s">
        <v>146</v>
      </c>
      <c r="AO1775" s="0" t="s">
        <v>250</v>
      </c>
      <c r="AP1775" s="0" t="s">
        <v>251</v>
      </c>
      <c r="AQ1775" s="0" t="n">
        <v>9</v>
      </c>
      <c r="AR1775" s="0" t="n">
        <v>64</v>
      </c>
      <c r="AS1775" s="0" t="n">
        <v>32</v>
      </c>
      <c r="AU1775" s="0" t="n">
        <f aca="false">COUNTA($BA$2528:$EH$2528)</f>
        <v>6</v>
      </c>
      <c r="AV1775" s="0" t="n">
        <f aca="false">COUNTIF($BA$2528:$EH$2528,"D")</f>
        <v>2</v>
      </c>
      <c r="AW1775" s="0" t="n">
        <f aca="false">COUNTIF($BA$2528:$EH$2528,"R")</f>
        <v>0</v>
      </c>
      <c r="AX1775" s="0" t="n">
        <f aca="false"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>0</v>
      </c>
      <c r="AY1775" s="0" t="n">
        <f aca="false">COUNTIF(DU1775:EH1775, "&lt;&gt;")</f>
        <v>1</v>
      </c>
      <c r="AZ1775" s="0" t="n">
        <f aca="false">IF(EH1775&lt;&gt;"",1,0)</f>
        <v>0</v>
      </c>
      <c r="BB1775" s="0" t="s">
        <v>153</v>
      </c>
      <c r="CP1775" s="0" t="s">
        <v>154</v>
      </c>
      <c r="CY1775" s="0" t="s">
        <v>154</v>
      </c>
      <c r="DI1775" s="0" t="s">
        <v>154</v>
      </c>
      <c r="DN1775" s="0" t="s">
        <v>154</v>
      </c>
      <c r="DU1775" s="0" t="s">
        <v>154</v>
      </c>
    </row>
    <row r="1776" customFormat="false" ht="13.8" hidden="false" customHeight="false" outlineLevel="0" collapsed="false">
      <c r="A1776" s="0" t="s">
        <v>8020</v>
      </c>
      <c r="B1776" s="0" t="n">
        <v>78</v>
      </c>
      <c r="C1776" s="0" t="n">
        <v>476583</v>
      </c>
      <c r="D1776" s="0" t="s">
        <v>8021</v>
      </c>
      <c r="E1776" s="0" t="s">
        <v>8022</v>
      </c>
      <c r="F1776" s="0" t="str">
        <f aca="false">CONCATENATE(D1776," ",LEFT(H1776,4),"T=",AU1776,"D=",AV1776,"R=",AW1776,"M=",AX1776,"L=",AY1776,"B=",AZ1776)</f>
        <v>REITZ T=10D=2R=0M=0L=3B=0</v>
      </c>
      <c r="G1776" s="0" t="s">
        <v>241</v>
      </c>
      <c r="I1776" s="0" t="s">
        <v>8023</v>
      </c>
      <c r="J1776" s="0" t="s">
        <v>2752</v>
      </c>
      <c r="K1776" s="0" t="s">
        <v>175</v>
      </c>
      <c r="L1776" s="1" t="s">
        <v>176</v>
      </c>
      <c r="M1776" s="0" t="s">
        <v>8024</v>
      </c>
      <c r="N1776" s="0" t="str">
        <f aca="false">RIGHT(M1776,LEN(M1776)-FIND(" ",M1776))</f>
        <v>MARYLAND ST NW</v>
      </c>
      <c r="O1776" s="0" t="s">
        <v>8025</v>
      </c>
      <c r="P1776" s="0" t="s">
        <v>146</v>
      </c>
      <c r="Q1776" s="0" t="s">
        <v>147</v>
      </c>
      <c r="R1776" s="0" t="n">
        <v>44483</v>
      </c>
      <c r="AD1776" s="0" t="s">
        <v>148</v>
      </c>
      <c r="AE1776" s="0" t="s">
        <v>149</v>
      </c>
      <c r="AF1776" s="0" t="s">
        <v>150</v>
      </c>
      <c r="AH1776" s="0" t="n">
        <v>14</v>
      </c>
      <c r="AI1776" s="0" t="n">
        <v>11</v>
      </c>
      <c r="AN1776" s="0" t="s">
        <v>146</v>
      </c>
      <c r="AO1776" s="0" t="s">
        <v>250</v>
      </c>
      <c r="AP1776" s="0" t="s">
        <v>251</v>
      </c>
      <c r="AQ1776" s="0" t="n">
        <v>9</v>
      </c>
      <c r="AR1776" s="0" t="n">
        <v>64</v>
      </c>
      <c r="AS1776" s="0" t="n">
        <v>32</v>
      </c>
      <c r="AU1776" s="0" t="n">
        <f aca="false">COUNTA($BA$2344:$EH$2344)</f>
        <v>10</v>
      </c>
      <c r="AV1776" s="0" t="n">
        <f aca="false">COUNTIF($BA$2344:$EH$2344,"D")</f>
        <v>2</v>
      </c>
      <c r="AW1776" s="0" t="n">
        <f aca="false">COUNTIF($BA$2344:$EH$2344,"R")</f>
        <v>0</v>
      </c>
      <c r="AX1776" s="0" t="n">
        <f aca="false"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>0</v>
      </c>
      <c r="AY1776" s="0" t="n">
        <f aca="false">COUNTIF(DU1776:EH1776, "&lt;&gt;")</f>
        <v>3</v>
      </c>
      <c r="AZ1776" s="0" t="n">
        <f aca="false">IF(EH1776&lt;&gt;"",1,0)</f>
        <v>0</v>
      </c>
      <c r="BB1776" s="0" t="s">
        <v>153</v>
      </c>
      <c r="EA1776" s="0" t="s">
        <v>154</v>
      </c>
      <c r="ED1776" s="0" t="s">
        <v>176</v>
      </c>
      <c r="EF1776" s="0" t="s">
        <v>154</v>
      </c>
    </row>
    <row r="1777" customFormat="false" ht="13.8" hidden="true" customHeight="false" outlineLevel="0" collapsed="false">
      <c r="A1777" s="0" t="s">
        <v>8026</v>
      </c>
      <c r="B1777" s="0" t="n">
        <v>78</v>
      </c>
      <c r="C1777" s="0" t="n">
        <v>414820</v>
      </c>
      <c r="D1777" s="0" t="s">
        <v>1549</v>
      </c>
      <c r="E1777" s="0" t="s">
        <v>8027</v>
      </c>
      <c r="F1777" s="0" t="str">
        <f aca="false">CONCATENATE(D1777," ",LEFT(H1777,4),"T=",AU1777,"D=",AV1777,"R=",AW1777,"M=",AX1777,"L=",AY1777,"B=",AZ1777)</f>
        <v>WILSON IIT=26D=1R=0M=0L=0B=0</v>
      </c>
      <c r="G1777" s="0" t="s">
        <v>3061</v>
      </c>
      <c r="H1777" s="0" t="s">
        <v>598</v>
      </c>
      <c r="I1777" s="0" t="s">
        <v>8028</v>
      </c>
      <c r="J1777" s="0" t="s">
        <v>3339</v>
      </c>
      <c r="K1777" s="0" t="s">
        <v>175</v>
      </c>
      <c r="L1777" s="0"/>
      <c r="M1777" s="0" t="s">
        <v>8024</v>
      </c>
      <c r="N1777" s="0" t="str">
        <f aca="false">RIGHT(M1777,LEN(M1777)-FIND(" ",M1777))</f>
        <v>MARYLAND ST NW</v>
      </c>
      <c r="P1777" s="0" t="s">
        <v>146</v>
      </c>
      <c r="Q1777" s="0" t="s">
        <v>147</v>
      </c>
      <c r="R1777" s="0" t="n">
        <v>44483</v>
      </c>
      <c r="AD1777" s="0" t="s">
        <v>148</v>
      </c>
      <c r="AE1777" s="0" t="s">
        <v>149</v>
      </c>
      <c r="AF1777" s="0" t="s">
        <v>150</v>
      </c>
      <c r="AH1777" s="0" t="n">
        <v>14</v>
      </c>
      <c r="AI1777" s="0" t="n">
        <v>11</v>
      </c>
      <c r="AN1777" s="0" t="s">
        <v>146</v>
      </c>
      <c r="AO1777" s="0" t="s">
        <v>250</v>
      </c>
      <c r="AP1777" s="0" t="s">
        <v>251</v>
      </c>
      <c r="AQ1777" s="0" t="n">
        <v>9</v>
      </c>
      <c r="AR1777" s="0" t="n">
        <v>64</v>
      </c>
      <c r="AS1777" s="0" t="n">
        <v>32</v>
      </c>
      <c r="AU1777" s="0" t="n">
        <f aca="false">COUNTA($BA$2658:$EH$2658)</f>
        <v>26</v>
      </c>
      <c r="AV1777" s="0" t="n">
        <f aca="false">COUNTIF($BA$2658:$EH$2658,"D")</f>
        <v>1</v>
      </c>
      <c r="AW1777" s="0" t="n">
        <f aca="false">COUNTIF($BA$2658:$EH$2658,"R")</f>
        <v>0</v>
      </c>
      <c r="AX1777" s="0" t="n">
        <f aca="false"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>0</v>
      </c>
      <c r="AY1777" s="0" t="n">
        <f aca="false">COUNTIF(DU1777:EH1777, "&lt;&gt;")</f>
        <v>0</v>
      </c>
      <c r="AZ1777" s="0" t="n">
        <f aca="false">IF(EH1777&lt;&gt;"",1,0)</f>
        <v>0</v>
      </c>
      <c r="BB1777" s="0" t="s">
        <v>153</v>
      </c>
      <c r="CP1777" s="0" t="s">
        <v>154</v>
      </c>
    </row>
    <row r="1778" customFormat="false" ht="13.8" hidden="true" customHeight="false" outlineLevel="0" collapsed="false">
      <c r="A1778" s="0" t="s">
        <v>8029</v>
      </c>
      <c r="B1778" s="0" t="n">
        <v>78</v>
      </c>
      <c r="C1778" s="0" t="n">
        <v>476435</v>
      </c>
      <c r="D1778" s="0" t="s">
        <v>703</v>
      </c>
      <c r="E1778" s="0" t="s">
        <v>8030</v>
      </c>
      <c r="F1778" s="0" t="str">
        <f aca="false">CONCATENATE(D1778," ",LEFT(H1778,4),"T=",AU1778,"D=",AV1778,"R=",AW1778,"M=",AX1778,"L=",AY1778,"B=",AZ1778)</f>
        <v>WADE T=4D=0R=0M=0L=0B=0</v>
      </c>
      <c r="G1778" s="0" t="s">
        <v>155</v>
      </c>
      <c r="I1778" s="0" t="s">
        <v>8031</v>
      </c>
      <c r="J1778" s="0" t="s">
        <v>8032</v>
      </c>
      <c r="K1778" s="0" t="s">
        <v>175</v>
      </c>
      <c r="L1778" s="0"/>
      <c r="M1778" s="0" t="s">
        <v>8033</v>
      </c>
      <c r="N1778" s="0" t="str">
        <f aca="false">RIGHT(M1778,LEN(M1778)-FIND(" ",M1778))</f>
        <v>MARYLAND ST NW</v>
      </c>
      <c r="P1778" s="0" t="s">
        <v>146</v>
      </c>
      <c r="Q1778" s="0" t="s">
        <v>147</v>
      </c>
      <c r="R1778" s="0" t="n">
        <v>44483</v>
      </c>
      <c r="AD1778" s="0" t="s">
        <v>148</v>
      </c>
      <c r="AE1778" s="0" t="s">
        <v>149</v>
      </c>
      <c r="AF1778" s="0" t="s">
        <v>150</v>
      </c>
      <c r="AH1778" s="0" t="n">
        <v>14</v>
      </c>
      <c r="AI1778" s="0" t="n">
        <v>11</v>
      </c>
      <c r="AN1778" s="0" t="s">
        <v>146</v>
      </c>
      <c r="AO1778" s="0" t="s">
        <v>250</v>
      </c>
      <c r="AP1778" s="0" t="s">
        <v>251</v>
      </c>
      <c r="AQ1778" s="0" t="n">
        <v>9</v>
      </c>
      <c r="AR1778" s="0" t="n">
        <v>64</v>
      </c>
      <c r="AS1778" s="0" t="n">
        <v>32</v>
      </c>
      <c r="AU1778" s="0" t="n">
        <f aca="false">COUNTA($BA$2135:$EH$2135)</f>
        <v>4</v>
      </c>
      <c r="AV1778" s="0" t="n">
        <f aca="false">COUNTIF($BA$2135:$EH$2135,"D")</f>
        <v>0</v>
      </c>
      <c r="AW1778" s="0" t="n">
        <f aca="false">COUNTIF($BA$2135:$EH$2135,"R")</f>
        <v>0</v>
      </c>
      <c r="AX1778" s="0" t="n">
        <f aca="false"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>0</v>
      </c>
      <c r="AY1778" s="0" t="n">
        <f aca="false">COUNTIF(DU1778:EH1778, "&lt;&gt;")</f>
        <v>0</v>
      </c>
      <c r="AZ1778" s="0" t="n">
        <f aca="false">IF(EH1778&lt;&gt;"",1,0)</f>
        <v>0</v>
      </c>
      <c r="BB1778" s="0" t="s">
        <v>153</v>
      </c>
    </row>
    <row r="1779" customFormat="false" ht="13.8" hidden="true" customHeight="false" outlineLevel="0" collapsed="false">
      <c r="A1779" s="0" t="s">
        <v>8034</v>
      </c>
      <c r="B1779" s="0" t="n">
        <v>78</v>
      </c>
      <c r="C1779" s="0" t="n">
        <v>447855</v>
      </c>
      <c r="D1779" s="0" t="s">
        <v>1461</v>
      </c>
      <c r="E1779" s="0" t="s">
        <v>8035</v>
      </c>
      <c r="F1779" s="0" t="str">
        <f aca="false">CONCATENATE(D1779," ",LEFT(H1779,4),"T=",AU1779,"D=",AV1779,"R=",AW1779,"M=",AX1779,"L=",AY1779,"B=",AZ1779)</f>
        <v>MYERS T=15D=2R=0M=0L=0B=0</v>
      </c>
      <c r="G1779" s="0" t="s">
        <v>445</v>
      </c>
      <c r="I1779" s="0" t="s">
        <v>751</v>
      </c>
      <c r="J1779" s="0" t="s">
        <v>8036</v>
      </c>
      <c r="K1779" s="0" t="s">
        <v>175</v>
      </c>
      <c r="L1779" s="0"/>
      <c r="M1779" s="0" t="s">
        <v>8037</v>
      </c>
      <c r="N1779" s="0" t="str">
        <f aca="false">RIGHT(M1779,LEN(M1779)-FIND(" ",M1779))</f>
        <v>MARYLAND ST NW</v>
      </c>
      <c r="O1779" s="0" t="s">
        <v>3880</v>
      </c>
      <c r="P1779" s="0" t="s">
        <v>146</v>
      </c>
      <c r="Q1779" s="0" t="s">
        <v>147</v>
      </c>
      <c r="R1779" s="0" t="n">
        <v>44483</v>
      </c>
      <c r="AD1779" s="0" t="s">
        <v>148</v>
      </c>
      <c r="AE1779" s="0" t="s">
        <v>149</v>
      </c>
      <c r="AF1779" s="0" t="s">
        <v>150</v>
      </c>
      <c r="AH1779" s="0" t="n">
        <v>14</v>
      </c>
      <c r="AI1779" s="0" t="n">
        <v>11</v>
      </c>
      <c r="AN1779" s="0" t="s">
        <v>146</v>
      </c>
      <c r="AO1779" s="0" t="s">
        <v>250</v>
      </c>
      <c r="AP1779" s="0" t="s">
        <v>251</v>
      </c>
      <c r="AQ1779" s="0" t="n">
        <v>9</v>
      </c>
      <c r="AR1779" s="0" t="n">
        <v>64</v>
      </c>
      <c r="AS1779" s="0" t="n">
        <v>32</v>
      </c>
      <c r="AU1779" s="0" t="n">
        <f aca="false">COUNTA($BA$2098:$EH$2098)</f>
        <v>15</v>
      </c>
      <c r="AV1779" s="0" t="n">
        <f aca="false">COUNTIF($BA$2098:$EH$2098,"D")</f>
        <v>2</v>
      </c>
      <c r="AW1779" s="0" t="n">
        <f aca="false">COUNTIF($BA$2098:$EH$2098,"R")</f>
        <v>0</v>
      </c>
      <c r="AX1779" s="0" t="n">
        <f aca="false"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>0</v>
      </c>
      <c r="AY1779" s="0" t="n">
        <f aca="false">COUNTIF(DU1779:EH1779, "&lt;&gt;")</f>
        <v>0</v>
      </c>
      <c r="AZ1779" s="0" t="n">
        <f aca="false">IF(EH1779&lt;&gt;"",1,0)</f>
        <v>0</v>
      </c>
      <c r="BB1779" s="0" t="s">
        <v>153</v>
      </c>
    </row>
    <row r="1780" customFormat="false" ht="13.8" hidden="true" customHeight="false" outlineLevel="0" collapsed="false">
      <c r="A1780" s="0" t="s">
        <v>8038</v>
      </c>
      <c r="B1780" s="0" t="n">
        <v>78</v>
      </c>
      <c r="C1780" s="0" t="n">
        <v>433877</v>
      </c>
      <c r="D1780" s="0" t="s">
        <v>1920</v>
      </c>
      <c r="E1780" s="0" t="s">
        <v>8039</v>
      </c>
      <c r="F1780" s="0" t="str">
        <f aca="false">CONCATENATE(D1780," ",LEFT(H1780,4),"T=",AU1780,"D=",AV1780,"R=",AW1780,"M=",AX1780,"L=",AY1780,"B=",AZ1780)</f>
        <v>KELLY T=2D=0R=0M=0L=0B=0</v>
      </c>
      <c r="G1780" s="0" t="s">
        <v>297</v>
      </c>
      <c r="I1780" s="0" t="s">
        <v>1863</v>
      </c>
      <c r="J1780" s="0" t="s">
        <v>8040</v>
      </c>
      <c r="K1780" s="0" t="s">
        <v>144</v>
      </c>
      <c r="L1780" s="0"/>
      <c r="M1780" s="0" t="s">
        <v>8037</v>
      </c>
      <c r="N1780" s="0" t="str">
        <f aca="false">RIGHT(M1780,LEN(M1780)-FIND(" ",M1780))</f>
        <v>MARYLAND ST NW</v>
      </c>
      <c r="O1780" s="0" t="s">
        <v>7942</v>
      </c>
      <c r="P1780" s="0" t="s">
        <v>146</v>
      </c>
      <c r="Q1780" s="0" t="s">
        <v>147</v>
      </c>
      <c r="R1780" s="0" t="n">
        <v>44483</v>
      </c>
      <c r="AD1780" s="0" t="s">
        <v>148</v>
      </c>
      <c r="AE1780" s="0" t="s">
        <v>149</v>
      </c>
      <c r="AF1780" s="0" t="s">
        <v>150</v>
      </c>
      <c r="AH1780" s="0" t="n">
        <v>14</v>
      </c>
      <c r="AI1780" s="0" t="n">
        <v>11</v>
      </c>
      <c r="AN1780" s="0" t="s">
        <v>146</v>
      </c>
      <c r="AO1780" s="0" t="s">
        <v>250</v>
      </c>
      <c r="AP1780" s="0" t="s">
        <v>251</v>
      </c>
      <c r="AQ1780" s="0" t="n">
        <v>9</v>
      </c>
      <c r="AR1780" s="0" t="n">
        <v>64</v>
      </c>
      <c r="AS1780" s="0" t="n">
        <v>32</v>
      </c>
      <c r="AU1780" s="0" t="n">
        <f aca="false">COUNTA($BA$2176:$EH$2176)</f>
        <v>2</v>
      </c>
      <c r="AV1780" s="0" t="n">
        <f aca="false">COUNTIF($BA$2176:$EH$2176,"D")</f>
        <v>0</v>
      </c>
      <c r="AW1780" s="0" t="n">
        <f aca="false">COUNTIF($BA$2176:$EH$2176,"R")</f>
        <v>0</v>
      </c>
      <c r="AX1780" s="0" t="n">
        <f aca="false"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>0</v>
      </c>
      <c r="AY1780" s="0" t="n">
        <f aca="false">COUNTIF(DU1780:EH1780, "&lt;&gt;")</f>
        <v>0</v>
      </c>
      <c r="AZ1780" s="0" t="n">
        <f aca="false">IF(EH1780&lt;&gt;"",1,0)</f>
        <v>0</v>
      </c>
      <c r="BB1780" s="0" t="s">
        <v>153</v>
      </c>
    </row>
    <row r="1781" customFormat="false" ht="13.8" hidden="true" customHeight="false" outlineLevel="0" collapsed="false">
      <c r="A1781" s="0" t="s">
        <v>8041</v>
      </c>
      <c r="B1781" s="0" t="n">
        <v>78</v>
      </c>
      <c r="C1781" s="0" t="n">
        <v>495881</v>
      </c>
      <c r="D1781" s="0" t="s">
        <v>453</v>
      </c>
      <c r="E1781" s="0" t="s">
        <v>8042</v>
      </c>
      <c r="F1781" s="0" t="str">
        <f aca="false">CONCATENATE(D1781," ",LEFT(H1781,4),"T=",AU1781,"D=",AV1781,"R=",AW1781,"M=",AX1781,"L=",AY1781,"B=",AZ1781)</f>
        <v>YOUNG T=1D=0R=0M=0L=0B=0</v>
      </c>
      <c r="G1781" s="0" t="s">
        <v>188</v>
      </c>
      <c r="I1781" s="0" t="s">
        <v>4321</v>
      </c>
      <c r="J1781" s="0" t="s">
        <v>8043</v>
      </c>
      <c r="K1781" s="0" t="s">
        <v>175</v>
      </c>
      <c r="L1781" s="0"/>
      <c r="M1781" s="0" t="s">
        <v>8037</v>
      </c>
      <c r="N1781" s="0" t="str">
        <f aca="false">RIGHT(M1781,LEN(M1781)-FIND(" ",M1781))</f>
        <v>MARYLAND ST NW</v>
      </c>
      <c r="O1781" s="0" t="s">
        <v>8044</v>
      </c>
      <c r="P1781" s="0" t="s">
        <v>146</v>
      </c>
      <c r="Q1781" s="0" t="s">
        <v>147</v>
      </c>
      <c r="R1781" s="0" t="n">
        <v>44483</v>
      </c>
      <c r="AD1781" s="0" t="s">
        <v>148</v>
      </c>
      <c r="AE1781" s="0" t="s">
        <v>149</v>
      </c>
      <c r="AF1781" s="0" t="s">
        <v>150</v>
      </c>
      <c r="AH1781" s="0" t="n">
        <v>14</v>
      </c>
      <c r="AI1781" s="0" t="n">
        <v>11</v>
      </c>
      <c r="AN1781" s="0" t="s">
        <v>146</v>
      </c>
      <c r="AO1781" s="0" t="s">
        <v>250</v>
      </c>
      <c r="AP1781" s="0" t="s">
        <v>251</v>
      </c>
      <c r="AQ1781" s="0" t="n">
        <v>9</v>
      </c>
      <c r="AR1781" s="0" t="n">
        <v>64</v>
      </c>
      <c r="AS1781" s="0" t="n">
        <v>32</v>
      </c>
      <c r="AU1781" s="0" t="n">
        <f aca="false">COUNTA($BA$2181:$EH$2181)</f>
        <v>1</v>
      </c>
      <c r="AV1781" s="0" t="n">
        <f aca="false">COUNTIF($BA$2181:$EH$2181,"D")</f>
        <v>0</v>
      </c>
      <c r="AW1781" s="0" t="n">
        <f aca="false">COUNTIF($BA$2181:$EH$2181,"R")</f>
        <v>0</v>
      </c>
      <c r="AX1781" s="0" t="n">
        <f aca="false"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>0</v>
      </c>
      <c r="AY1781" s="0" t="n">
        <f aca="false">COUNTIF(DU1781:EH1781, "&lt;&gt;")</f>
        <v>0</v>
      </c>
      <c r="AZ1781" s="0" t="n">
        <f aca="false">IF(EH1781&lt;&gt;"",1,0)</f>
        <v>0</v>
      </c>
      <c r="BB1781" s="0" t="s">
        <v>153</v>
      </c>
    </row>
    <row r="1782" customFormat="false" ht="13.8" hidden="true" customHeight="false" outlineLevel="0" collapsed="false">
      <c r="A1782" s="0" t="s">
        <v>8045</v>
      </c>
      <c r="B1782" s="0" t="n">
        <v>78</v>
      </c>
      <c r="C1782" s="0" t="n">
        <v>449533</v>
      </c>
      <c r="D1782" s="0" t="s">
        <v>4671</v>
      </c>
      <c r="E1782" s="0" t="s">
        <v>8046</v>
      </c>
      <c r="F1782" s="0" t="str">
        <f aca="false">CONCATENATE(D1782," ",LEFT(H1782,4),"T=",AU1782,"D=",AV1782,"R=",AW1782,"M=",AX1782,"L=",AY1782,"B=",AZ1782)</f>
        <v>IRVING T=3D=0R=0M=0L=0B=0</v>
      </c>
      <c r="G1782" s="0" t="s">
        <v>297</v>
      </c>
      <c r="I1782" s="0" t="s">
        <v>8047</v>
      </c>
      <c r="J1782" s="0" t="s">
        <v>228</v>
      </c>
      <c r="K1782" s="0" t="s">
        <v>175</v>
      </c>
      <c r="L1782" s="0"/>
      <c r="M1782" s="0" t="s">
        <v>8037</v>
      </c>
      <c r="N1782" s="0" t="str">
        <f aca="false">RIGHT(M1782,LEN(M1782)-FIND(" ",M1782))</f>
        <v>MARYLAND ST NW</v>
      </c>
      <c r="P1782" s="0" t="s">
        <v>146</v>
      </c>
      <c r="Q1782" s="0" t="s">
        <v>147</v>
      </c>
      <c r="R1782" s="0" t="n">
        <v>44483</v>
      </c>
      <c r="AD1782" s="0" t="s">
        <v>148</v>
      </c>
      <c r="AE1782" s="0" t="s">
        <v>149</v>
      </c>
      <c r="AF1782" s="0" t="s">
        <v>150</v>
      </c>
      <c r="AH1782" s="0" t="n">
        <v>14</v>
      </c>
      <c r="AI1782" s="0" t="n">
        <v>11</v>
      </c>
      <c r="AN1782" s="0" t="s">
        <v>146</v>
      </c>
      <c r="AO1782" s="0" t="s">
        <v>250</v>
      </c>
      <c r="AP1782" s="0" t="s">
        <v>251</v>
      </c>
      <c r="AQ1782" s="0" t="n">
        <v>9</v>
      </c>
      <c r="AR1782" s="0" t="n">
        <v>64</v>
      </c>
      <c r="AS1782" s="0" t="n">
        <v>32</v>
      </c>
      <c r="AU1782" s="0" t="n">
        <f aca="false">COUNTA($BA$2388:$EH$2388)</f>
        <v>3</v>
      </c>
      <c r="AV1782" s="0" t="n">
        <f aca="false">COUNTIF($BA$2388:$EH$2388,"D")</f>
        <v>0</v>
      </c>
      <c r="AW1782" s="0" t="n">
        <f aca="false">COUNTIF($BA$2388:$EH$2388,"R")</f>
        <v>0</v>
      </c>
      <c r="AX1782" s="0" t="n">
        <f aca="false"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>0</v>
      </c>
      <c r="AY1782" s="0" t="n">
        <f aca="false">COUNTIF(DU1782:EH1782, "&lt;&gt;")</f>
        <v>0</v>
      </c>
      <c r="AZ1782" s="0" t="n">
        <f aca="false">IF(EH1782&lt;&gt;"",1,0)</f>
        <v>0</v>
      </c>
      <c r="BB1782" s="0" t="s">
        <v>153</v>
      </c>
      <c r="DN1782" s="0" t="s">
        <v>154</v>
      </c>
    </row>
    <row r="1783" customFormat="false" ht="13.8" hidden="true" customHeight="false" outlineLevel="0" collapsed="false">
      <c r="A1783" s="0" t="s">
        <v>8048</v>
      </c>
      <c r="B1783" s="0" t="n">
        <v>78</v>
      </c>
      <c r="C1783" s="0" t="n">
        <v>463157</v>
      </c>
      <c r="D1783" s="0" t="s">
        <v>3928</v>
      </c>
      <c r="E1783" s="0" t="s">
        <v>1698</v>
      </c>
      <c r="F1783" s="0" t="str">
        <f aca="false">CONCATENATE(D1783," ",LEFT(H1783,4),"T=",AU1783,"D=",AV1783,"R=",AW1783,"M=",AX1783,"L=",AY1783,"B=",AZ1783)</f>
        <v>BEHNER T=1D=0R=0M=0L=0B=0</v>
      </c>
      <c r="G1783" s="0" t="s">
        <v>802</v>
      </c>
      <c r="I1783" s="0" t="s">
        <v>8049</v>
      </c>
      <c r="J1783" s="0" t="s">
        <v>2500</v>
      </c>
      <c r="K1783" s="0" t="s">
        <v>144</v>
      </c>
      <c r="L1783" s="0"/>
      <c r="M1783" s="0" t="s">
        <v>8037</v>
      </c>
      <c r="N1783" s="0" t="str">
        <f aca="false">RIGHT(M1783,LEN(M1783)-FIND(" ",M1783))</f>
        <v>MARYLAND ST NW</v>
      </c>
      <c r="P1783" s="0" t="s">
        <v>146</v>
      </c>
      <c r="Q1783" s="0" t="s">
        <v>147</v>
      </c>
      <c r="R1783" s="0" t="n">
        <v>44483</v>
      </c>
      <c r="AD1783" s="0" t="s">
        <v>148</v>
      </c>
      <c r="AE1783" s="0" t="s">
        <v>149</v>
      </c>
      <c r="AF1783" s="0" t="s">
        <v>150</v>
      </c>
      <c r="AH1783" s="0" t="n">
        <v>14</v>
      </c>
      <c r="AI1783" s="0" t="n">
        <v>11</v>
      </c>
      <c r="AN1783" s="0" t="s">
        <v>146</v>
      </c>
      <c r="AO1783" s="0" t="s">
        <v>250</v>
      </c>
      <c r="AP1783" s="0" t="s">
        <v>251</v>
      </c>
      <c r="AQ1783" s="0" t="n">
        <v>9</v>
      </c>
      <c r="AR1783" s="0" t="n">
        <v>64</v>
      </c>
      <c r="AS1783" s="0" t="n">
        <v>32</v>
      </c>
      <c r="AU1783" s="0" t="n">
        <f aca="false">COUNTA($BA$2419:$EH$2419)</f>
        <v>1</v>
      </c>
      <c r="AV1783" s="0" t="n">
        <f aca="false">COUNTIF($BA$2419:$EH$2419,"D")</f>
        <v>0</v>
      </c>
      <c r="AW1783" s="0" t="n">
        <f aca="false">COUNTIF($BA$2419:$EH$2419,"R")</f>
        <v>0</v>
      </c>
      <c r="AX1783" s="0" t="n">
        <f aca="false"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>0</v>
      </c>
      <c r="AY1783" s="0" t="n">
        <f aca="false">COUNTIF(DU1783:EH1783, "&lt;&gt;")</f>
        <v>0</v>
      </c>
      <c r="AZ1783" s="0" t="n">
        <f aca="false">IF(EH1783&lt;&gt;"",1,0)</f>
        <v>0</v>
      </c>
      <c r="BB1783" s="0" t="s">
        <v>153</v>
      </c>
    </row>
    <row r="1784" customFormat="false" ht="13.8" hidden="false" customHeight="false" outlineLevel="0" collapsed="false">
      <c r="A1784" s="0" t="s">
        <v>8050</v>
      </c>
      <c r="B1784" s="0" t="n">
        <v>78</v>
      </c>
      <c r="C1784" s="0" t="n">
        <v>356451</v>
      </c>
      <c r="D1784" s="0" t="s">
        <v>4518</v>
      </c>
      <c r="E1784" s="0" t="s">
        <v>8051</v>
      </c>
      <c r="F1784" s="0" t="str">
        <f aca="false">CONCATENATE(D1784," ",LEFT(H1784,4),"T=",AU1784,"D=",AV1784,"R=",AW1784,"M=",AX1784,"L=",AY1784,"B=",AZ1784)</f>
        <v>WAGNER SRT=6D=1R=0M=0L=3B=0</v>
      </c>
      <c r="G1784" s="0" t="s">
        <v>139</v>
      </c>
      <c r="H1784" s="0" t="s">
        <v>311</v>
      </c>
      <c r="I1784" s="0" t="s">
        <v>8052</v>
      </c>
      <c r="J1784" s="0" t="s">
        <v>757</v>
      </c>
      <c r="K1784" s="0" t="s">
        <v>175</v>
      </c>
      <c r="M1784" s="0" t="s">
        <v>8037</v>
      </c>
      <c r="N1784" s="0" t="str">
        <f aca="false">RIGHT(M1784,LEN(M1784)-FIND(" ",M1784))</f>
        <v>MARYLAND ST NW</v>
      </c>
      <c r="O1784" s="0" t="s">
        <v>7955</v>
      </c>
      <c r="P1784" s="0" t="s">
        <v>146</v>
      </c>
      <c r="Q1784" s="0" t="s">
        <v>147</v>
      </c>
      <c r="R1784" s="0" t="n">
        <v>44483</v>
      </c>
      <c r="AD1784" s="0" t="s">
        <v>148</v>
      </c>
      <c r="AE1784" s="0" t="s">
        <v>149</v>
      </c>
      <c r="AF1784" s="0" t="s">
        <v>150</v>
      </c>
      <c r="AH1784" s="0" t="n">
        <v>14</v>
      </c>
      <c r="AI1784" s="0" t="n">
        <v>11</v>
      </c>
      <c r="AN1784" s="0" t="s">
        <v>146</v>
      </c>
      <c r="AO1784" s="0" t="s">
        <v>250</v>
      </c>
      <c r="AP1784" s="0" t="s">
        <v>251</v>
      </c>
      <c r="AQ1784" s="0" t="n">
        <v>9</v>
      </c>
      <c r="AR1784" s="0" t="n">
        <v>64</v>
      </c>
      <c r="AS1784" s="0" t="n">
        <v>32</v>
      </c>
      <c r="AU1784" s="0" t="n">
        <f aca="false">COUNTA($BA$2504:$EH$2504)</f>
        <v>6</v>
      </c>
      <c r="AV1784" s="0" t="n">
        <f aca="false">COUNTIF($BA$2504:$EH$2504,"D")</f>
        <v>1</v>
      </c>
      <c r="AW1784" s="0" t="n">
        <f aca="false">COUNTIF($BA$2504:$EH$2504,"R")</f>
        <v>0</v>
      </c>
      <c r="AX1784" s="0" t="n">
        <f aca="false"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>0</v>
      </c>
      <c r="AY1784" s="0" t="n">
        <f aca="false">COUNTIF(DU1784:EH1784, "&lt;&gt;")</f>
        <v>3</v>
      </c>
      <c r="AZ1784" s="0" t="n">
        <f aca="false">IF(EH1784&lt;&gt;"",1,0)</f>
        <v>0</v>
      </c>
      <c r="BB1784" s="0" t="s">
        <v>153</v>
      </c>
      <c r="CA1784" s="0" t="s">
        <v>154</v>
      </c>
      <c r="CH1784" s="0" t="s">
        <v>155</v>
      </c>
      <c r="CK1784" s="0" t="s">
        <v>154</v>
      </c>
      <c r="CN1784" s="0" t="s">
        <v>154</v>
      </c>
      <c r="CP1784" s="0" t="s">
        <v>154</v>
      </c>
      <c r="CV1784" s="0" t="s">
        <v>154</v>
      </c>
      <c r="CY1784" s="0" t="s">
        <v>154</v>
      </c>
      <c r="CZ1784" s="0" t="s">
        <v>176</v>
      </c>
      <c r="DC1784" s="0" t="s">
        <v>154</v>
      </c>
      <c r="DI1784" s="0" t="s">
        <v>154</v>
      </c>
      <c r="DN1784" s="0" t="s">
        <v>154</v>
      </c>
      <c r="DU1784" s="0" t="s">
        <v>154</v>
      </c>
      <c r="EA1784" s="0" t="s">
        <v>154</v>
      </c>
      <c r="EF1784" s="0" t="s">
        <v>154</v>
      </c>
    </row>
    <row r="1785" customFormat="false" ht="13.8" hidden="true" customHeight="false" outlineLevel="0" collapsed="false">
      <c r="A1785" s="0" t="s">
        <v>8053</v>
      </c>
      <c r="B1785" s="0" t="n">
        <v>78</v>
      </c>
      <c r="C1785" s="0" t="n">
        <v>441311</v>
      </c>
      <c r="D1785" s="0" t="s">
        <v>8054</v>
      </c>
      <c r="E1785" s="0" t="s">
        <v>771</v>
      </c>
      <c r="F1785" s="0" t="str">
        <f aca="false">CONCATENATE(D1785," ",LEFT(H1785,4),"T=",AU1785,"D=",AV1785,"R=",AW1785,"M=",AX1785,"L=",AY1785,"B=",AZ1785)</f>
        <v>ARNDT T=2D=0R=0M=0L=0B=0</v>
      </c>
      <c r="G1785" s="0" t="s">
        <v>455</v>
      </c>
      <c r="I1785" s="0" t="s">
        <v>8055</v>
      </c>
      <c r="J1785" s="0" t="s">
        <v>8056</v>
      </c>
      <c r="K1785" s="0" t="s">
        <v>175</v>
      </c>
      <c r="L1785" s="0"/>
      <c r="M1785" s="0" t="s">
        <v>8037</v>
      </c>
      <c r="N1785" s="0" t="str">
        <f aca="false">RIGHT(M1785,LEN(M1785)-FIND(" ",M1785))</f>
        <v>MARYLAND ST NW</v>
      </c>
      <c r="O1785" s="0" t="s">
        <v>3901</v>
      </c>
      <c r="P1785" s="0" t="s">
        <v>146</v>
      </c>
      <c r="Q1785" s="0" t="s">
        <v>147</v>
      </c>
      <c r="R1785" s="0" t="n">
        <v>44483</v>
      </c>
      <c r="AD1785" s="0" t="s">
        <v>148</v>
      </c>
      <c r="AE1785" s="0" t="s">
        <v>149</v>
      </c>
      <c r="AF1785" s="0" t="s">
        <v>150</v>
      </c>
      <c r="AH1785" s="0" t="n">
        <v>14</v>
      </c>
      <c r="AI1785" s="0" t="n">
        <v>11</v>
      </c>
      <c r="AN1785" s="0" t="s">
        <v>146</v>
      </c>
      <c r="AO1785" s="0" t="s">
        <v>250</v>
      </c>
      <c r="AP1785" s="0" t="s">
        <v>251</v>
      </c>
      <c r="AQ1785" s="0" t="n">
        <v>9</v>
      </c>
      <c r="AR1785" s="0" t="n">
        <v>64</v>
      </c>
      <c r="AS1785" s="0" t="n">
        <v>32</v>
      </c>
      <c r="AU1785" s="0" t="n">
        <f aca="false">COUNTA($BA$2628:$EH$2628)</f>
        <v>2</v>
      </c>
      <c r="AV1785" s="0" t="n">
        <f aca="false">COUNTIF($BA$2628:$EH$2628,"D")</f>
        <v>0</v>
      </c>
      <c r="AW1785" s="0" t="n">
        <f aca="false">COUNTIF($BA$2628:$EH$2628,"R")</f>
        <v>0</v>
      </c>
      <c r="AX1785" s="0" t="n">
        <f aca="false"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>0</v>
      </c>
      <c r="AY1785" s="0" t="n">
        <f aca="false">COUNTIF(DU1785:EH1785, "&lt;&gt;")</f>
        <v>0</v>
      </c>
      <c r="AZ1785" s="0" t="n">
        <f aca="false">IF(EH1785&lt;&gt;"",1,0)</f>
        <v>0</v>
      </c>
      <c r="BB1785" s="0" t="s">
        <v>153</v>
      </c>
    </row>
    <row r="1786" customFormat="false" ht="13.8" hidden="false" customHeight="false" outlineLevel="0" collapsed="false">
      <c r="A1786" s="0" t="s">
        <v>8057</v>
      </c>
      <c r="B1786" s="0" t="n">
        <v>78</v>
      </c>
      <c r="C1786" s="0" t="n">
        <v>426310</v>
      </c>
      <c r="D1786" s="0" t="s">
        <v>4518</v>
      </c>
      <c r="E1786" s="0" t="s">
        <v>689</v>
      </c>
      <c r="F1786" s="0" t="str">
        <f aca="false">CONCATENATE(D1786," ",LEFT(H1786,4),"T=",AU1786,"D=",AV1786,"R=",AW1786,"M=",AX1786,"L=",AY1786,"B=",AZ1786)</f>
        <v>WAGNER T=2D=0R=0M=0L=3B=0</v>
      </c>
      <c r="G1786" s="0" t="s">
        <v>8058</v>
      </c>
      <c r="I1786" s="0" t="s">
        <v>8059</v>
      </c>
      <c r="J1786" s="0" t="s">
        <v>757</v>
      </c>
      <c r="K1786" s="0" t="s">
        <v>175</v>
      </c>
      <c r="M1786" s="0" t="s">
        <v>8037</v>
      </c>
      <c r="N1786" s="0" t="str">
        <f aca="false">RIGHT(M1786,LEN(M1786)-FIND(" ",M1786))</f>
        <v>MARYLAND ST NW</v>
      </c>
      <c r="O1786" s="0" t="s">
        <v>7955</v>
      </c>
      <c r="P1786" s="0" t="s">
        <v>146</v>
      </c>
      <c r="Q1786" s="0" t="s">
        <v>147</v>
      </c>
      <c r="R1786" s="0" t="n">
        <v>44483</v>
      </c>
      <c r="AD1786" s="0" t="s">
        <v>148</v>
      </c>
      <c r="AE1786" s="0" t="s">
        <v>149</v>
      </c>
      <c r="AF1786" s="0" t="s">
        <v>150</v>
      </c>
      <c r="AH1786" s="0" t="n">
        <v>14</v>
      </c>
      <c r="AI1786" s="0" t="n">
        <v>11</v>
      </c>
      <c r="AN1786" s="0" t="s">
        <v>146</v>
      </c>
      <c r="AO1786" s="0" t="s">
        <v>250</v>
      </c>
      <c r="AP1786" s="0" t="s">
        <v>251</v>
      </c>
      <c r="AQ1786" s="0" t="n">
        <v>9</v>
      </c>
      <c r="AR1786" s="0" t="n">
        <v>64</v>
      </c>
      <c r="AS1786" s="0" t="n">
        <v>32</v>
      </c>
      <c r="AU1786" s="0" t="n">
        <f aca="false">COUNTA($BA$2653:$EH$2653)</f>
        <v>2</v>
      </c>
      <c r="AV1786" s="0" t="n">
        <f aca="false">COUNTIF($BA$2653:$EH$2653,"D")</f>
        <v>0</v>
      </c>
      <c r="AW1786" s="0" t="n">
        <f aca="false">COUNTIF($BA$2653:$EH$2653,"R")</f>
        <v>0</v>
      </c>
      <c r="AX1786" s="0" t="n">
        <f aca="false"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>0</v>
      </c>
      <c r="AY1786" s="0" t="n">
        <f aca="false">COUNTIF(DU1786:EH1786, "&lt;&gt;")</f>
        <v>3</v>
      </c>
      <c r="AZ1786" s="0" t="n">
        <f aca="false">IF(EH1786&lt;&gt;"",1,0)</f>
        <v>0</v>
      </c>
      <c r="BB1786" s="0" t="s">
        <v>153</v>
      </c>
      <c r="CA1786" s="0" t="s">
        <v>154</v>
      </c>
      <c r="CP1786" s="0" t="s">
        <v>154</v>
      </c>
      <c r="CV1786" s="0" t="s">
        <v>154</v>
      </c>
      <c r="CY1786" s="0" t="s">
        <v>154</v>
      </c>
      <c r="DN1786" s="0" t="s">
        <v>154</v>
      </c>
      <c r="DU1786" s="0" t="s">
        <v>154</v>
      </c>
      <c r="EA1786" s="0" t="s">
        <v>154</v>
      </c>
      <c r="EF1786" s="0" t="s">
        <v>154</v>
      </c>
    </row>
    <row r="1787" customFormat="false" ht="13.8" hidden="true" customHeight="false" outlineLevel="0" collapsed="false">
      <c r="A1787" s="0" t="s">
        <v>8060</v>
      </c>
      <c r="B1787" s="0" t="n">
        <v>78</v>
      </c>
      <c r="C1787" s="0" t="n">
        <v>461892</v>
      </c>
      <c r="D1787" s="0" t="s">
        <v>8061</v>
      </c>
      <c r="E1787" s="0" t="s">
        <v>8062</v>
      </c>
      <c r="F1787" s="0" t="str">
        <f aca="false">CONCATENATE(D1787," ",LEFT(H1787,4),"T=",AU1787,"D=",AV1787,"R=",AW1787,"M=",AX1787,"L=",AY1787,"B=",AZ1787)</f>
        <v>HEMMINGWAY T=15D=2R=1M=0L=0B=0</v>
      </c>
      <c r="G1787" s="0" t="s">
        <v>329</v>
      </c>
      <c r="I1787" s="0" t="s">
        <v>8063</v>
      </c>
      <c r="J1787" s="0" t="s">
        <v>8064</v>
      </c>
      <c r="K1787" s="0" t="s">
        <v>175</v>
      </c>
      <c r="L1787" s="0"/>
      <c r="M1787" s="0" t="s">
        <v>8037</v>
      </c>
      <c r="N1787" s="0" t="str">
        <f aca="false">RIGHT(M1787,LEN(M1787)-FIND(" ",M1787))</f>
        <v>MARYLAND ST NW</v>
      </c>
      <c r="O1787" s="0" t="s">
        <v>3880</v>
      </c>
      <c r="P1787" s="0" t="s">
        <v>146</v>
      </c>
      <c r="Q1787" s="0" t="s">
        <v>147</v>
      </c>
      <c r="R1787" s="0" t="n">
        <v>44483</v>
      </c>
      <c r="AD1787" s="0" t="s">
        <v>148</v>
      </c>
      <c r="AE1787" s="0" t="s">
        <v>149</v>
      </c>
      <c r="AF1787" s="0" t="s">
        <v>150</v>
      </c>
      <c r="AH1787" s="0" t="n">
        <v>14</v>
      </c>
      <c r="AI1787" s="0" t="n">
        <v>11</v>
      </c>
      <c r="AN1787" s="0" t="s">
        <v>146</v>
      </c>
      <c r="AO1787" s="0" t="s">
        <v>250</v>
      </c>
      <c r="AP1787" s="0" t="s">
        <v>251</v>
      </c>
      <c r="AQ1787" s="0" t="n">
        <v>9</v>
      </c>
      <c r="AR1787" s="0" t="n">
        <v>64</v>
      </c>
      <c r="AS1787" s="0" t="n">
        <v>32</v>
      </c>
      <c r="AU1787" s="0" t="n">
        <f aca="false">COUNTA($BA$2673:$EH$2673)</f>
        <v>15</v>
      </c>
      <c r="AV1787" s="0" t="n">
        <f aca="false">COUNTIF($BA$2673:$EH$2673,"D")</f>
        <v>2</v>
      </c>
      <c r="AW1787" s="0" t="n">
        <f aca="false">COUNTIF($BA$2673:$EH$2673,"R")</f>
        <v>1</v>
      </c>
      <c r="AX1787" s="0" t="n">
        <f aca="false"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>0</v>
      </c>
      <c r="AY1787" s="0" t="n">
        <f aca="false">COUNTIF(DU1787:EH1787, "&lt;&gt;")</f>
        <v>0</v>
      </c>
      <c r="AZ1787" s="0" t="n">
        <f aca="false">IF(EH1787&lt;&gt;"",1,0)</f>
        <v>0</v>
      </c>
      <c r="BB1787" s="0" t="s">
        <v>153</v>
      </c>
    </row>
    <row r="1788" customFormat="false" ht="13.8" hidden="true" customHeight="false" outlineLevel="0" collapsed="false">
      <c r="A1788" s="0" t="s">
        <v>8065</v>
      </c>
      <c r="B1788" s="0" t="n">
        <v>78</v>
      </c>
      <c r="C1788" s="0" t="n">
        <v>381885</v>
      </c>
      <c r="D1788" s="0" t="s">
        <v>2695</v>
      </c>
      <c r="E1788" s="0" t="s">
        <v>1573</v>
      </c>
      <c r="F1788" s="0" t="str">
        <f aca="false">CONCATENATE(D1788," ",LEFT(H1788,4),"T=",AU1788,"D=",AV1788,"R=",AW1788,"M=",AX1788,"L=",AY1788,"B=",AZ1788)</f>
        <v>HARRIS T=26D=5R=0M=0L=1B=0</v>
      </c>
      <c r="G1788" s="0" t="s">
        <v>172</v>
      </c>
      <c r="I1788" s="0" t="s">
        <v>8066</v>
      </c>
      <c r="J1788" s="0" t="s">
        <v>7732</v>
      </c>
      <c r="K1788" s="0" t="s">
        <v>175</v>
      </c>
      <c r="L1788" s="0"/>
      <c r="M1788" s="0" t="s">
        <v>8067</v>
      </c>
      <c r="N1788" s="0" t="str">
        <f aca="false">RIGHT(M1788,LEN(M1788)-FIND(" ",M1788))</f>
        <v>MARYLAND ST NW</v>
      </c>
      <c r="P1788" s="0" t="s">
        <v>146</v>
      </c>
      <c r="Q1788" s="0" t="s">
        <v>147</v>
      </c>
      <c r="R1788" s="0" t="n">
        <v>44483</v>
      </c>
      <c r="AD1788" s="0" t="s">
        <v>148</v>
      </c>
      <c r="AE1788" s="0" t="s">
        <v>149</v>
      </c>
      <c r="AF1788" s="0" t="s">
        <v>150</v>
      </c>
      <c r="AH1788" s="0" t="n">
        <v>14</v>
      </c>
      <c r="AI1788" s="0" t="n">
        <v>11</v>
      </c>
      <c r="AN1788" s="0" t="s">
        <v>146</v>
      </c>
      <c r="AO1788" s="0" t="s">
        <v>151</v>
      </c>
      <c r="AP1788" s="0" t="s">
        <v>152</v>
      </c>
      <c r="AQ1788" s="0" t="n">
        <v>9</v>
      </c>
      <c r="AR1788" s="0" t="n">
        <v>64</v>
      </c>
      <c r="AS1788" s="0" t="n">
        <v>32</v>
      </c>
      <c r="AU1788" s="0" t="n">
        <f aca="false">COUNTA($BA$1478:$EH$1478)</f>
        <v>26</v>
      </c>
      <c r="AV1788" s="0" t="n">
        <f aca="false">COUNTIF($BA$1478:$EH$1478,"D")</f>
        <v>5</v>
      </c>
      <c r="AW1788" s="0" t="n">
        <f aca="false">COUNTIF($BA$1478:$EH$1478,"R")</f>
        <v>0</v>
      </c>
      <c r="AX1788" s="0" t="n">
        <f aca="false"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>0</v>
      </c>
      <c r="AY1788" s="0" t="n">
        <f aca="false">COUNTIF(DU1788:EH1788, "&lt;&gt;")</f>
        <v>1</v>
      </c>
      <c r="AZ1788" s="0" t="n">
        <f aca="false">IF(EH1788&lt;&gt;"",1,0)</f>
        <v>0</v>
      </c>
      <c r="BB1788" s="0" t="s">
        <v>153</v>
      </c>
      <c r="DC1788" s="0" t="s">
        <v>154</v>
      </c>
      <c r="DI1788" s="0" t="s">
        <v>154</v>
      </c>
      <c r="DN1788" s="0" t="s">
        <v>154</v>
      </c>
      <c r="EF1788" s="0" t="s">
        <v>154</v>
      </c>
    </row>
    <row r="1789" customFormat="false" ht="13.8" hidden="true" customHeight="false" outlineLevel="0" collapsed="false">
      <c r="A1789" s="0" t="s">
        <v>8068</v>
      </c>
      <c r="B1789" s="0" t="n">
        <v>78</v>
      </c>
      <c r="C1789" s="0" t="n">
        <v>455340</v>
      </c>
      <c r="D1789" s="0" t="s">
        <v>2695</v>
      </c>
      <c r="E1789" s="0" t="s">
        <v>8069</v>
      </c>
      <c r="F1789" s="0" t="str">
        <f aca="false">CONCATENATE(D1789," ",LEFT(H1789,4),"T=",AU1789,"D=",AV1789,"R=",AW1789,"M=",AX1789,"L=",AY1789,"B=",AZ1789)</f>
        <v>HARRIS T=37D=5R=7M=0L=0B=0</v>
      </c>
      <c r="G1789" s="0" t="s">
        <v>241</v>
      </c>
      <c r="I1789" s="0" t="s">
        <v>8070</v>
      </c>
      <c r="J1789" s="0" t="s">
        <v>8071</v>
      </c>
      <c r="K1789" s="0" t="s">
        <v>144</v>
      </c>
      <c r="L1789" s="0"/>
      <c r="M1789" s="0" t="s">
        <v>8067</v>
      </c>
      <c r="N1789" s="0" t="str">
        <f aca="false">RIGHT(M1789,LEN(M1789)-FIND(" ",M1789))</f>
        <v>MARYLAND ST NW</v>
      </c>
      <c r="P1789" s="0" t="s">
        <v>146</v>
      </c>
      <c r="Q1789" s="0" t="s">
        <v>147</v>
      </c>
      <c r="R1789" s="0" t="n">
        <v>44483</v>
      </c>
      <c r="AD1789" s="0" t="s">
        <v>148</v>
      </c>
      <c r="AE1789" s="0" t="s">
        <v>149</v>
      </c>
      <c r="AF1789" s="0" t="s">
        <v>150</v>
      </c>
      <c r="AH1789" s="0" t="n">
        <v>14</v>
      </c>
      <c r="AI1789" s="0" t="n">
        <v>11</v>
      </c>
      <c r="AN1789" s="0" t="s">
        <v>146</v>
      </c>
      <c r="AO1789" s="0" t="s">
        <v>151</v>
      </c>
      <c r="AP1789" s="0" t="s">
        <v>152</v>
      </c>
      <c r="AQ1789" s="0" t="n">
        <v>9</v>
      </c>
      <c r="AR1789" s="0" t="n">
        <v>64</v>
      </c>
      <c r="AS1789" s="0" t="n">
        <v>32</v>
      </c>
      <c r="AU1789" s="0" t="n">
        <f aca="false">COUNTA($BA$1541:$EH$1541)</f>
        <v>37</v>
      </c>
      <c r="AV1789" s="0" t="n">
        <f aca="false">COUNTIF($BA$1541:$EH$1541,"D")</f>
        <v>5</v>
      </c>
      <c r="AW1789" s="0" t="n">
        <f aca="false">COUNTIF($BA$1541:$EH$1541,"R")</f>
        <v>7</v>
      </c>
      <c r="AX1789" s="0" t="n">
        <f aca="false"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>0</v>
      </c>
      <c r="AY1789" s="0" t="n">
        <f aca="false">COUNTIF(DU1789:EH1789, "&lt;&gt;")</f>
        <v>0</v>
      </c>
      <c r="AZ1789" s="0" t="n">
        <f aca="false">IF(EH1789&lt;&gt;"",1,0)</f>
        <v>0</v>
      </c>
      <c r="BB1789" s="0" t="s">
        <v>153</v>
      </c>
    </row>
    <row r="1790" customFormat="false" ht="13.8" hidden="true" customHeight="false" outlineLevel="0" collapsed="false">
      <c r="A1790" s="0" t="s">
        <v>8072</v>
      </c>
      <c r="B1790" s="0" t="n">
        <v>78</v>
      </c>
      <c r="C1790" s="0" t="n">
        <v>470785</v>
      </c>
      <c r="D1790" s="0" t="s">
        <v>8073</v>
      </c>
      <c r="E1790" s="0" t="s">
        <v>5333</v>
      </c>
      <c r="F1790" s="0" t="str">
        <f aca="false">CONCATENATE(D1790," ",LEFT(H1790,4),"T=",AU1790,"D=",AV1790,"R=",AW1790,"M=",AX1790,"L=",AY1790,"B=",AZ1790)</f>
        <v>SHATTUCK T=1D=0R=0M=0L=0B=0</v>
      </c>
      <c r="G1790" s="0" t="s">
        <v>323</v>
      </c>
      <c r="I1790" s="0" t="s">
        <v>8074</v>
      </c>
      <c r="J1790" s="0" t="s">
        <v>5237</v>
      </c>
      <c r="K1790" s="0" t="s">
        <v>175</v>
      </c>
      <c r="L1790" s="0"/>
      <c r="M1790" s="0" t="s">
        <v>8075</v>
      </c>
      <c r="N1790" s="0" t="str">
        <f aca="false">RIGHT(M1790,LEN(M1790)-FIND(" ",M1790))</f>
        <v>MARYLAND ST NW</v>
      </c>
      <c r="P1790" s="0" t="s">
        <v>146</v>
      </c>
      <c r="Q1790" s="0" t="s">
        <v>147</v>
      </c>
      <c r="R1790" s="0" t="n">
        <v>44483</v>
      </c>
      <c r="AD1790" s="0" t="s">
        <v>148</v>
      </c>
      <c r="AE1790" s="0" t="s">
        <v>149</v>
      </c>
      <c r="AF1790" s="0" t="s">
        <v>150</v>
      </c>
      <c r="AH1790" s="0" t="n">
        <v>14</v>
      </c>
      <c r="AI1790" s="0" t="n">
        <v>11</v>
      </c>
      <c r="AN1790" s="0" t="s">
        <v>146</v>
      </c>
      <c r="AO1790" s="0" t="s">
        <v>151</v>
      </c>
      <c r="AP1790" s="0" t="s">
        <v>152</v>
      </c>
      <c r="AQ1790" s="0" t="n">
        <v>9</v>
      </c>
      <c r="AR1790" s="0" t="n">
        <v>64</v>
      </c>
      <c r="AS1790" s="0" t="n">
        <v>32</v>
      </c>
      <c r="AU1790" s="0" t="n">
        <f aca="false">COUNTA($BA$1940:$EH$1940)</f>
        <v>1</v>
      </c>
      <c r="AV1790" s="0" t="n">
        <f aca="false">COUNTIF($BA$1940:$EH$1940,"D")</f>
        <v>0</v>
      </c>
      <c r="AW1790" s="0" t="n">
        <f aca="false">COUNTIF($BA$1940:$EH$1940,"R")</f>
        <v>0</v>
      </c>
      <c r="AX1790" s="0" t="n">
        <f aca="false"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>0</v>
      </c>
      <c r="AY1790" s="0" t="n">
        <f aca="false">COUNTIF(DU1790:EH1790, "&lt;&gt;")</f>
        <v>0</v>
      </c>
      <c r="AZ1790" s="0" t="n">
        <f aca="false">IF(EH1790&lt;&gt;"",1,0)</f>
        <v>0</v>
      </c>
      <c r="BB1790" s="0" t="s">
        <v>153</v>
      </c>
      <c r="BL1790" s="0" t="s">
        <v>154</v>
      </c>
      <c r="CA1790" s="0" t="s">
        <v>154</v>
      </c>
      <c r="DC1790" s="0" t="s">
        <v>154</v>
      </c>
      <c r="DF1790" s="0" t="s">
        <v>154</v>
      </c>
      <c r="DG1790" s="0" t="s">
        <v>176</v>
      </c>
      <c r="DI1790" s="0" t="s">
        <v>154</v>
      </c>
      <c r="DL1790" s="0" t="s">
        <v>154</v>
      </c>
      <c r="DN1790" s="0" t="s">
        <v>154</v>
      </c>
    </row>
    <row r="1791" customFormat="false" ht="13.8" hidden="false" customHeight="false" outlineLevel="0" collapsed="false">
      <c r="A1791" s="0" t="s">
        <v>8076</v>
      </c>
      <c r="B1791" s="0" t="n">
        <v>78</v>
      </c>
      <c r="C1791" s="0" t="n">
        <v>311817</v>
      </c>
      <c r="D1791" s="0" t="s">
        <v>8077</v>
      </c>
      <c r="E1791" s="0" t="s">
        <v>277</v>
      </c>
      <c r="F1791" s="0" t="str">
        <f aca="false">CONCATENATE(D1791," ",LEFT(H1791,4),"T=",AU1791,"D=",AV1791,"R=",AW1791,"M=",AX1791,"L=",AY1791,"B=",AZ1791)</f>
        <v>GUERINI T=2D=0R=0M=0L=3B=0</v>
      </c>
      <c r="G1791" s="0" t="s">
        <v>159</v>
      </c>
      <c r="I1791" s="0" t="s">
        <v>8078</v>
      </c>
      <c r="J1791" s="0" t="s">
        <v>8079</v>
      </c>
      <c r="K1791" s="0" t="s">
        <v>175</v>
      </c>
      <c r="M1791" s="0" t="s">
        <v>8080</v>
      </c>
      <c r="N1791" s="0" t="str">
        <f aca="false">RIGHT(M1791,LEN(M1791)-FIND(" ",M1791))</f>
        <v>MARYLAND ST NW</v>
      </c>
      <c r="P1791" s="0" t="s">
        <v>146</v>
      </c>
      <c r="Q1791" s="0" t="s">
        <v>147</v>
      </c>
      <c r="R1791" s="0" t="n">
        <v>44483</v>
      </c>
      <c r="AD1791" s="0" t="s">
        <v>148</v>
      </c>
      <c r="AE1791" s="0" t="s">
        <v>149</v>
      </c>
      <c r="AF1791" s="0" t="s">
        <v>150</v>
      </c>
      <c r="AH1791" s="0" t="n">
        <v>14</v>
      </c>
      <c r="AI1791" s="0" t="n">
        <v>11</v>
      </c>
      <c r="AN1791" s="0" t="s">
        <v>146</v>
      </c>
      <c r="AO1791" s="0" t="s">
        <v>151</v>
      </c>
      <c r="AP1791" s="0" t="s">
        <v>152</v>
      </c>
      <c r="AQ1791" s="0" t="n">
        <v>9</v>
      </c>
      <c r="AR1791" s="0" t="n">
        <v>64</v>
      </c>
      <c r="AS1791" s="0" t="n">
        <v>32</v>
      </c>
      <c r="AU1791" s="0" t="n">
        <f aca="false">COUNTA($BA$1846:$EH$1846)</f>
        <v>2</v>
      </c>
      <c r="AV1791" s="0" t="n">
        <f aca="false">COUNTIF($BA$1846:$EH$1846,"D")</f>
        <v>0</v>
      </c>
      <c r="AW1791" s="0" t="n">
        <f aca="false">COUNTIF($BA$1846:$EH$1846,"R")</f>
        <v>0</v>
      </c>
      <c r="AX1791" s="0" t="n">
        <f aca="false"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>0</v>
      </c>
      <c r="AY1791" s="0" t="n">
        <f aca="false">COUNTIF(DU1791:EH1791, "&lt;&gt;")</f>
        <v>3</v>
      </c>
      <c r="AZ1791" s="0" t="n">
        <f aca="false">IF(EH1791&lt;&gt;"",1,0)</f>
        <v>0</v>
      </c>
      <c r="BB1791" s="0" t="s">
        <v>153</v>
      </c>
      <c r="BK1791" s="0" t="s">
        <v>154</v>
      </c>
      <c r="BL1791" s="0" t="s">
        <v>154</v>
      </c>
      <c r="BS1791" s="0" t="s">
        <v>154</v>
      </c>
      <c r="BY1791" s="0" t="s">
        <v>155</v>
      </c>
      <c r="CY1791" s="0" t="s">
        <v>154</v>
      </c>
      <c r="CZ1791" s="0" t="s">
        <v>155</v>
      </c>
      <c r="DI1791" s="0" t="s">
        <v>154</v>
      </c>
      <c r="DU1791" s="0" t="s">
        <v>154</v>
      </c>
      <c r="EA1791" s="0" t="s">
        <v>154</v>
      </c>
      <c r="EF1791" s="0" t="s">
        <v>154</v>
      </c>
    </row>
    <row r="1792" customFormat="false" ht="13.8" hidden="false" customHeight="false" outlineLevel="0" collapsed="false">
      <c r="A1792" s="0" t="s">
        <v>8081</v>
      </c>
      <c r="B1792" s="0" t="n">
        <v>78</v>
      </c>
      <c r="C1792" s="0" t="n">
        <v>226293</v>
      </c>
      <c r="D1792" s="0" t="s">
        <v>8082</v>
      </c>
      <c r="E1792" s="0" t="s">
        <v>546</v>
      </c>
      <c r="F1792" s="0" t="str">
        <f aca="false">CONCATENATE(D1792," ",LEFT(H1792,4),"T=",AU1792,"D=",AV1792,"R=",AW1792,"M=",AX1792,"L=",AY1792,"B=",AZ1792)</f>
        <v>SCHUMAN TAYLOR T=1D=0R=0M=0L=4B=0</v>
      </c>
      <c r="G1792" s="0" t="s">
        <v>690</v>
      </c>
      <c r="I1792" s="0" t="s">
        <v>8083</v>
      </c>
      <c r="J1792" s="0" t="s">
        <v>8084</v>
      </c>
      <c r="K1792" s="0" t="s">
        <v>175</v>
      </c>
      <c r="L1792" s="1" t="s">
        <v>155</v>
      </c>
      <c r="M1792" s="0" t="s">
        <v>8085</v>
      </c>
      <c r="N1792" s="0" t="str">
        <f aca="false">RIGHT(M1792,LEN(M1792)-FIND(" ",M1792))</f>
        <v>MARYLAND ST NW</v>
      </c>
      <c r="P1792" s="0" t="s">
        <v>146</v>
      </c>
      <c r="Q1792" s="0" t="s">
        <v>147</v>
      </c>
      <c r="R1792" s="0" t="n">
        <v>44483</v>
      </c>
      <c r="AD1792" s="0" t="s">
        <v>148</v>
      </c>
      <c r="AE1792" s="0" t="s">
        <v>149</v>
      </c>
      <c r="AF1792" s="0" t="s">
        <v>150</v>
      </c>
      <c r="AH1792" s="0" t="n">
        <v>14</v>
      </c>
      <c r="AI1792" s="0" t="n">
        <v>11</v>
      </c>
      <c r="AN1792" s="0" t="s">
        <v>146</v>
      </c>
      <c r="AO1792" s="0" t="s">
        <v>151</v>
      </c>
      <c r="AP1792" s="0" t="s">
        <v>152</v>
      </c>
      <c r="AQ1792" s="0" t="n">
        <v>9</v>
      </c>
      <c r="AR1792" s="0" t="n">
        <v>64</v>
      </c>
      <c r="AS1792" s="0" t="n">
        <v>32</v>
      </c>
      <c r="AU1792" s="0" t="n">
        <f aca="false">COUNTA($BA$1155:$EH$1155)</f>
        <v>1</v>
      </c>
      <c r="AV1792" s="0" t="n">
        <f aca="false">COUNTIF($BA$1155:$EH$1155,"D")</f>
        <v>0</v>
      </c>
      <c r="AW1792" s="0" t="n">
        <f aca="false">COUNTIF($BA$1155:$EH$1155,"R")</f>
        <v>0</v>
      </c>
      <c r="AX1792" s="0" t="n">
        <f aca="false"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>0</v>
      </c>
      <c r="AY1792" s="0" t="n">
        <f aca="false">COUNTIF(DU1792:EH1792, "&lt;&gt;")</f>
        <v>4</v>
      </c>
      <c r="AZ1792" s="0" t="n">
        <f aca="false">IF(EH1792&lt;&gt;"",1,0)</f>
        <v>0</v>
      </c>
      <c r="BB1792" s="0" t="s">
        <v>153</v>
      </c>
      <c r="BL1792" s="0" t="s">
        <v>154</v>
      </c>
      <c r="BY1792" s="0" t="s">
        <v>155</v>
      </c>
      <c r="CA1792" s="0" t="s">
        <v>154</v>
      </c>
      <c r="CG1792" s="0" t="s">
        <v>154</v>
      </c>
      <c r="CN1792" s="0" t="s">
        <v>154</v>
      </c>
      <c r="CP1792" s="0" t="s">
        <v>154</v>
      </c>
      <c r="CY1792" s="0" t="s">
        <v>154</v>
      </c>
      <c r="DC1792" s="0" t="s">
        <v>154</v>
      </c>
      <c r="DN1792" s="0" t="s">
        <v>154</v>
      </c>
      <c r="DU1792" s="0" t="s">
        <v>154</v>
      </c>
      <c r="EA1792" s="0" t="s">
        <v>154</v>
      </c>
      <c r="ED1792" s="0" t="s">
        <v>155</v>
      </c>
      <c r="EF1792" s="0" t="s">
        <v>154</v>
      </c>
    </row>
    <row r="1793" customFormat="false" ht="13.8" hidden="false" customHeight="false" outlineLevel="0" collapsed="false">
      <c r="A1793" s="0" t="s">
        <v>8086</v>
      </c>
      <c r="B1793" s="0" t="n">
        <v>78</v>
      </c>
      <c r="C1793" s="0" t="n">
        <v>288836</v>
      </c>
      <c r="D1793" s="0" t="s">
        <v>8082</v>
      </c>
      <c r="E1793" s="0" t="s">
        <v>932</v>
      </c>
      <c r="F1793" s="0" t="str">
        <f aca="false">CONCATENATE(D1793," ",LEFT(H1793,4),"T=",AU1793,"D=",AV1793,"R=",AW1793,"M=",AX1793,"L=",AY1793,"B=",AZ1793)</f>
        <v>SCHUMAN TAYLOR T=22D=2R=0M=0L=4B=0</v>
      </c>
      <c r="G1793" s="0" t="s">
        <v>176</v>
      </c>
      <c r="I1793" s="0" t="s">
        <v>8087</v>
      </c>
      <c r="J1793" s="0" t="s">
        <v>977</v>
      </c>
      <c r="K1793" s="0" t="s">
        <v>175</v>
      </c>
      <c r="L1793" s="1" t="s">
        <v>155</v>
      </c>
      <c r="M1793" s="0" t="s">
        <v>8085</v>
      </c>
      <c r="N1793" s="0" t="str">
        <f aca="false">RIGHT(M1793,LEN(M1793)-FIND(" ",M1793))</f>
        <v>MARYLAND ST NW</v>
      </c>
      <c r="P1793" s="0" t="s">
        <v>146</v>
      </c>
      <c r="Q1793" s="0" t="s">
        <v>147</v>
      </c>
      <c r="R1793" s="0" t="n">
        <v>44483</v>
      </c>
      <c r="AD1793" s="0" t="s">
        <v>148</v>
      </c>
      <c r="AE1793" s="0" t="s">
        <v>149</v>
      </c>
      <c r="AF1793" s="0" t="s">
        <v>150</v>
      </c>
      <c r="AH1793" s="0" t="n">
        <v>14</v>
      </c>
      <c r="AI1793" s="0" t="n">
        <v>11</v>
      </c>
      <c r="AN1793" s="0" t="s">
        <v>146</v>
      </c>
      <c r="AO1793" s="0" t="s">
        <v>151</v>
      </c>
      <c r="AP1793" s="0" t="s">
        <v>152</v>
      </c>
      <c r="AQ1793" s="0" t="n">
        <v>9</v>
      </c>
      <c r="AR1793" s="0" t="n">
        <v>64</v>
      </c>
      <c r="AS1793" s="0" t="n">
        <v>32</v>
      </c>
      <c r="AU1793" s="0" t="n">
        <f aca="false">COUNTA($BA$1204:$EH$1204)</f>
        <v>22</v>
      </c>
      <c r="AV1793" s="0" t="n">
        <f aca="false">COUNTIF($BA$1204:$EH$1204,"D")</f>
        <v>2</v>
      </c>
      <c r="AW1793" s="0" t="n">
        <f aca="false">COUNTIF($BA$1204:$EH$1204,"R")</f>
        <v>0</v>
      </c>
      <c r="AX1793" s="0" t="n">
        <f aca="false"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>0</v>
      </c>
      <c r="AY1793" s="0" t="n">
        <f aca="false">COUNTIF(DU1793:EH1793, "&lt;&gt;")</f>
        <v>4</v>
      </c>
      <c r="AZ1793" s="0" t="n">
        <f aca="false">IF(EH1793&lt;&gt;"",1,0)</f>
        <v>0</v>
      </c>
      <c r="BB1793" s="0" t="s">
        <v>153</v>
      </c>
      <c r="BC1793" s="0" t="s">
        <v>154</v>
      </c>
      <c r="BD1793" s="0" t="s">
        <v>154</v>
      </c>
      <c r="BH1793" s="0" t="s">
        <v>154</v>
      </c>
      <c r="BI1793" s="0" t="s">
        <v>154</v>
      </c>
      <c r="BK1793" s="0" t="s">
        <v>154</v>
      </c>
      <c r="BL1793" s="0" t="s">
        <v>154</v>
      </c>
      <c r="BS1793" s="0" t="s">
        <v>154</v>
      </c>
      <c r="BV1793" s="0" t="s">
        <v>154</v>
      </c>
      <c r="BY1793" s="0" t="s">
        <v>155</v>
      </c>
      <c r="CA1793" s="0" t="s">
        <v>154</v>
      </c>
      <c r="CG1793" s="0" t="s">
        <v>154</v>
      </c>
      <c r="CN1793" s="0" t="s">
        <v>154</v>
      </c>
      <c r="CP1793" s="0" t="s">
        <v>154</v>
      </c>
      <c r="CY1793" s="0" t="s">
        <v>154</v>
      </c>
      <c r="DC1793" s="0" t="s">
        <v>154</v>
      </c>
      <c r="DN1793" s="0" t="s">
        <v>154</v>
      </c>
      <c r="DU1793" s="0" t="s">
        <v>154</v>
      </c>
      <c r="EA1793" s="0" t="s">
        <v>154</v>
      </c>
      <c r="ED1793" s="0" t="s">
        <v>155</v>
      </c>
      <c r="EF1793" s="0" t="s">
        <v>154</v>
      </c>
    </row>
    <row r="1794" customFormat="false" ht="13.8" hidden="false" customHeight="false" outlineLevel="0" collapsed="false">
      <c r="A1794" s="0" t="s">
        <v>8088</v>
      </c>
      <c r="B1794" s="0" t="n">
        <v>78</v>
      </c>
      <c r="C1794" s="0" t="n">
        <v>154132</v>
      </c>
      <c r="D1794" s="0" t="s">
        <v>8089</v>
      </c>
      <c r="E1794" s="0" t="s">
        <v>171</v>
      </c>
      <c r="F1794" s="0" t="str">
        <f aca="false">CONCATENATE(D1794," ",LEFT(H1794,4),"T=",AU1794,"D=",AV1794,"R=",AW1794,"M=",AX1794,"L=",AY1794,"B=",AZ1794)</f>
        <v>SCANLON T=15D=2R=0M=4L=7B=1</v>
      </c>
      <c r="G1794" s="0" t="s">
        <v>3334</v>
      </c>
      <c r="I1794" s="0" t="s">
        <v>8090</v>
      </c>
      <c r="J1794" s="0" t="s">
        <v>3833</v>
      </c>
      <c r="K1794" s="0" t="s">
        <v>175</v>
      </c>
      <c r="L1794" s="1" t="s">
        <v>155</v>
      </c>
      <c r="M1794" s="0" t="s">
        <v>8085</v>
      </c>
      <c r="N1794" s="0" t="str">
        <f aca="false">RIGHT(M1794,LEN(M1794)-FIND(" ",M1794))</f>
        <v>MARYLAND ST NW</v>
      </c>
      <c r="P1794" s="0" t="s">
        <v>146</v>
      </c>
      <c r="Q1794" s="0" t="s">
        <v>147</v>
      </c>
      <c r="R1794" s="0" t="n">
        <v>44483</v>
      </c>
      <c r="AD1794" s="0" t="s">
        <v>148</v>
      </c>
      <c r="AE1794" s="0" t="s">
        <v>149</v>
      </c>
      <c r="AF1794" s="0" t="s">
        <v>150</v>
      </c>
      <c r="AH1794" s="0" t="n">
        <v>14</v>
      </c>
      <c r="AI1794" s="0" t="n">
        <v>11</v>
      </c>
      <c r="AN1794" s="0" t="s">
        <v>146</v>
      </c>
      <c r="AO1794" s="0" t="s">
        <v>151</v>
      </c>
      <c r="AP1794" s="0" t="s">
        <v>152</v>
      </c>
      <c r="AQ1794" s="0" t="n">
        <v>9</v>
      </c>
      <c r="AR1794" s="0" t="n">
        <v>64</v>
      </c>
      <c r="AS1794" s="0" t="n">
        <v>32</v>
      </c>
      <c r="AU1794" s="0" t="n">
        <f aca="false">COUNTA($BA$1290:$EH$1290)</f>
        <v>15</v>
      </c>
      <c r="AV1794" s="0" t="n">
        <f aca="false">COUNTIF($BA$1290:$EH$1290,"D")</f>
        <v>2</v>
      </c>
      <c r="AW1794" s="0" t="n">
        <f aca="false">COUNTIF($BA$1290:$EH$1290,"R")</f>
        <v>0</v>
      </c>
      <c r="AX1794" s="0" t="n">
        <f aca="false"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>4</v>
      </c>
      <c r="AY1794" s="0" t="n">
        <f aca="false">COUNTIF(DU1794:EH1794, "&lt;&gt;")</f>
        <v>7</v>
      </c>
      <c r="AZ1794" s="0" t="n">
        <f aca="false">IF(EH1794&lt;&gt;"",1,0)</f>
        <v>1</v>
      </c>
      <c r="BB1794" s="0" t="s">
        <v>153</v>
      </c>
      <c r="BC1794" s="0" t="s">
        <v>154</v>
      </c>
      <c r="BD1794" s="0" t="s">
        <v>154</v>
      </c>
      <c r="BF1794" s="0" t="s">
        <v>154</v>
      </c>
      <c r="BG1794" s="0" t="s">
        <v>154</v>
      </c>
      <c r="BH1794" s="0" t="s">
        <v>154</v>
      </c>
      <c r="BI1794" s="0" t="s">
        <v>154</v>
      </c>
      <c r="BK1794" s="0" t="s">
        <v>154</v>
      </c>
      <c r="BL1794" s="0" t="s">
        <v>154</v>
      </c>
      <c r="BS1794" s="0" t="s">
        <v>154</v>
      </c>
      <c r="BV1794" s="0" t="s">
        <v>154</v>
      </c>
      <c r="BY1794" s="0" t="s">
        <v>155</v>
      </c>
      <c r="CA1794" s="0" t="s">
        <v>154</v>
      </c>
      <c r="CG1794" s="0" t="s">
        <v>154</v>
      </c>
      <c r="CK1794" s="0" t="s">
        <v>154</v>
      </c>
      <c r="CL1794" s="0" t="s">
        <v>155</v>
      </c>
      <c r="CN1794" s="0" t="s">
        <v>154</v>
      </c>
      <c r="CP1794" s="0" t="s">
        <v>154</v>
      </c>
      <c r="CU1794" s="0" t="s">
        <v>155</v>
      </c>
      <c r="CV1794" s="0" t="s">
        <v>154</v>
      </c>
      <c r="CW1794" s="0" t="s">
        <v>155</v>
      </c>
      <c r="CY1794" s="0" t="s">
        <v>154</v>
      </c>
      <c r="CZ1794" s="0" t="s">
        <v>155</v>
      </c>
      <c r="DC1794" s="0" t="s">
        <v>154</v>
      </c>
      <c r="DF1794" s="0" t="s">
        <v>154</v>
      </c>
      <c r="DG1794" s="0" t="s">
        <v>155</v>
      </c>
      <c r="DI1794" s="0" t="s">
        <v>154</v>
      </c>
      <c r="DL1794" s="0" t="s">
        <v>154</v>
      </c>
      <c r="DM1794" s="0" t="s">
        <v>155</v>
      </c>
      <c r="DN1794" s="0" t="s">
        <v>154</v>
      </c>
      <c r="DR1794" s="0" t="s">
        <v>154</v>
      </c>
      <c r="DS1794" s="0" t="s">
        <v>155</v>
      </c>
      <c r="DU1794" s="0" t="s">
        <v>154</v>
      </c>
      <c r="DW1794" s="0" t="s">
        <v>155</v>
      </c>
      <c r="DX1794" s="0" t="s">
        <v>154</v>
      </c>
      <c r="EA1794" s="0" t="s">
        <v>154</v>
      </c>
      <c r="ED1794" s="0" t="s">
        <v>155</v>
      </c>
      <c r="EF1794" s="0" t="s">
        <v>154</v>
      </c>
      <c r="EH1794" s="0" t="s">
        <v>155</v>
      </c>
    </row>
    <row r="1795" customFormat="false" ht="13.8" hidden="true" customHeight="false" outlineLevel="0" collapsed="false">
      <c r="A1795" s="0" t="s">
        <v>8091</v>
      </c>
      <c r="B1795" s="0" t="n">
        <v>78</v>
      </c>
      <c r="C1795" s="0" t="n">
        <v>159319</v>
      </c>
      <c r="D1795" s="0" t="s">
        <v>2281</v>
      </c>
      <c r="E1795" s="0" t="s">
        <v>5278</v>
      </c>
      <c r="F1795" s="0" t="str">
        <f aca="false">CONCATENATE(D1795," ",LEFT(H1795,4),"T=",AU1795,"D=",AV1795,"R=",AW1795,"M=",AX1795,"L=",AY1795,"B=",AZ1795)</f>
        <v>WARFIELD T=11D=2R=0M=0L=0B=0</v>
      </c>
      <c r="I1795" s="0" t="s">
        <v>8092</v>
      </c>
      <c r="J1795" s="0" t="s">
        <v>8093</v>
      </c>
      <c r="K1795" s="0" t="s">
        <v>144</v>
      </c>
      <c r="L1795" s="0"/>
      <c r="M1795" s="0" t="s">
        <v>8094</v>
      </c>
      <c r="N1795" s="0" t="str">
        <f aca="false">RIGHT(M1795,LEN(M1795)-FIND(" ",M1795))</f>
        <v>MARYLAND ST NW</v>
      </c>
      <c r="P1795" s="0" t="s">
        <v>146</v>
      </c>
      <c r="Q1795" s="0" t="s">
        <v>147</v>
      </c>
      <c r="R1795" s="0" t="n">
        <v>44483</v>
      </c>
      <c r="AD1795" s="0" t="s">
        <v>148</v>
      </c>
      <c r="AE1795" s="0" t="s">
        <v>149</v>
      </c>
      <c r="AF1795" s="0" t="s">
        <v>150</v>
      </c>
      <c r="AH1795" s="0" t="n">
        <v>14</v>
      </c>
      <c r="AI1795" s="0" t="n">
        <v>11</v>
      </c>
      <c r="AN1795" s="0" t="s">
        <v>146</v>
      </c>
      <c r="AO1795" s="0" t="s">
        <v>151</v>
      </c>
      <c r="AP1795" s="0" t="s">
        <v>152</v>
      </c>
      <c r="AQ1795" s="0" t="n">
        <v>9</v>
      </c>
      <c r="AR1795" s="0" t="n">
        <v>64</v>
      </c>
      <c r="AS1795" s="0" t="n">
        <v>32</v>
      </c>
      <c r="AU1795" s="0" t="n">
        <f aca="false">COUNTA($BA$1791:$EH$1791)</f>
        <v>11</v>
      </c>
      <c r="AV1795" s="0" t="n">
        <f aca="false">COUNTIF($BA$1791:$EH$1791,"D")</f>
        <v>2</v>
      </c>
      <c r="AW1795" s="0" t="n">
        <f aca="false">COUNTIF($BA$1791:$EH$1791,"R")</f>
        <v>0</v>
      </c>
      <c r="AX1795" s="0" t="n">
        <f aca="false"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>0</v>
      </c>
      <c r="AY1795" s="0" t="n">
        <f aca="false">COUNTIF(DU1795:EH1795, "&lt;&gt;")</f>
        <v>0</v>
      </c>
      <c r="AZ1795" s="0" t="n">
        <f aca="false">IF(EH1795&lt;&gt;"",1,0)</f>
        <v>0</v>
      </c>
      <c r="BB1795" s="0" t="s">
        <v>153</v>
      </c>
      <c r="BC1795" s="0" t="s">
        <v>154</v>
      </c>
      <c r="BD1795" s="0" t="s">
        <v>154</v>
      </c>
      <c r="BF1795" s="0" t="s">
        <v>154</v>
      </c>
      <c r="BG1795" s="0" t="s">
        <v>154</v>
      </c>
      <c r="BH1795" s="0" t="s">
        <v>154</v>
      </c>
      <c r="BL1795" s="0" t="s">
        <v>154</v>
      </c>
      <c r="BY1795" s="0" t="s">
        <v>155</v>
      </c>
      <c r="CA1795" s="0" t="s">
        <v>154</v>
      </c>
      <c r="CY1795" s="0" t="s">
        <v>154</v>
      </c>
      <c r="CZ1795" s="0" t="s">
        <v>155</v>
      </c>
      <c r="DC1795" s="0" t="s">
        <v>154</v>
      </c>
      <c r="DN1795" s="0" t="s">
        <v>154</v>
      </c>
    </row>
    <row r="1796" customFormat="false" ht="13.8" hidden="true" customHeight="false" outlineLevel="0" collapsed="false">
      <c r="A1796" s="0" t="s">
        <v>8095</v>
      </c>
      <c r="B1796" s="0" t="n">
        <v>78</v>
      </c>
      <c r="C1796" s="0" t="n">
        <v>229820</v>
      </c>
      <c r="D1796" s="0" t="s">
        <v>645</v>
      </c>
      <c r="E1796" s="0" t="s">
        <v>6181</v>
      </c>
      <c r="F1796" s="0" t="str">
        <f aca="false">CONCATENATE(D1796," ",LEFT(H1796,4),"T=",AU1796,"D=",AV1796,"R=",AW1796,"M=",AX1796,"L=",AY1796,"B=",AZ1796)</f>
        <v>WILLIAMS T=4D=1R=0M=0L=0B=0</v>
      </c>
      <c r="G1796" s="0" t="s">
        <v>297</v>
      </c>
      <c r="I1796" s="0" t="s">
        <v>8096</v>
      </c>
      <c r="J1796" s="0" t="s">
        <v>5357</v>
      </c>
      <c r="K1796" s="0" t="s">
        <v>175</v>
      </c>
      <c r="L1796" s="0"/>
      <c r="M1796" s="0" t="s">
        <v>8094</v>
      </c>
      <c r="N1796" s="0" t="str">
        <f aca="false">RIGHT(M1796,LEN(M1796)-FIND(" ",M1796))</f>
        <v>MARYLAND ST NW</v>
      </c>
      <c r="P1796" s="0" t="s">
        <v>146</v>
      </c>
      <c r="Q1796" s="0" t="s">
        <v>147</v>
      </c>
      <c r="R1796" s="0" t="n">
        <v>44483</v>
      </c>
      <c r="AD1796" s="0" t="s">
        <v>148</v>
      </c>
      <c r="AE1796" s="0" t="s">
        <v>149</v>
      </c>
      <c r="AF1796" s="0" t="s">
        <v>150</v>
      </c>
      <c r="AH1796" s="0" t="n">
        <v>14</v>
      </c>
      <c r="AI1796" s="0" t="n">
        <v>11</v>
      </c>
      <c r="AN1796" s="0" t="s">
        <v>146</v>
      </c>
      <c r="AO1796" s="0" t="s">
        <v>151</v>
      </c>
      <c r="AP1796" s="0" t="s">
        <v>152</v>
      </c>
      <c r="AQ1796" s="0" t="n">
        <v>9</v>
      </c>
      <c r="AR1796" s="0" t="n">
        <v>64</v>
      </c>
      <c r="AS1796" s="0" t="n">
        <v>32</v>
      </c>
      <c r="AU1796" s="0" t="n">
        <f aca="false">COUNTA($BA$1824:$EH$1824)</f>
        <v>4</v>
      </c>
      <c r="AV1796" s="0" t="n">
        <f aca="false">COUNTIF($BA$1824:$EH$1824,"D")</f>
        <v>1</v>
      </c>
      <c r="AW1796" s="0" t="n">
        <f aca="false">COUNTIF($BA$1824:$EH$1824,"R")</f>
        <v>0</v>
      </c>
      <c r="AX1796" s="0" t="n">
        <f aca="false"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>0</v>
      </c>
      <c r="AY1796" s="0" t="n">
        <f aca="false">COUNTIF(DU1796:EH1796, "&lt;&gt;")</f>
        <v>0</v>
      </c>
      <c r="AZ1796" s="0" t="n">
        <f aca="false">IF(EH1796&lt;&gt;"",1,0)</f>
        <v>0</v>
      </c>
      <c r="BB1796" s="0" t="s">
        <v>153</v>
      </c>
      <c r="BL1796" s="0" t="s">
        <v>154</v>
      </c>
      <c r="CA1796" s="0" t="s">
        <v>154</v>
      </c>
      <c r="DN1796" s="0" t="s">
        <v>154</v>
      </c>
    </row>
    <row r="1797" customFormat="false" ht="13.8" hidden="true" customHeight="false" outlineLevel="0" collapsed="false">
      <c r="A1797" s="0" t="s">
        <v>8097</v>
      </c>
      <c r="B1797" s="0" t="n">
        <v>78</v>
      </c>
      <c r="C1797" s="0" t="n">
        <v>336659</v>
      </c>
      <c r="D1797" s="0" t="s">
        <v>633</v>
      </c>
      <c r="E1797" s="0" t="s">
        <v>8098</v>
      </c>
      <c r="F1797" s="0" t="str">
        <f aca="false">CONCATENATE(D1797," ",LEFT(H1797,4),"T=",AU1797,"D=",AV1797,"R=",AW1797,"M=",AX1797,"L=",AY1797,"B=",AZ1797)</f>
        <v>WALKER T=1D=0R=0M=0L=0B=0</v>
      </c>
      <c r="G1797" s="0" t="s">
        <v>172</v>
      </c>
      <c r="I1797" s="0" t="s">
        <v>8099</v>
      </c>
      <c r="J1797" s="0" t="s">
        <v>3423</v>
      </c>
      <c r="K1797" s="0" t="s">
        <v>175</v>
      </c>
      <c r="L1797" s="0"/>
      <c r="M1797" s="0" t="s">
        <v>8100</v>
      </c>
      <c r="N1797" s="0" t="str">
        <f aca="false">RIGHT(M1797,LEN(M1797)-FIND(" ",M1797))</f>
        <v>MARYLAND ST NW</v>
      </c>
      <c r="P1797" s="0" t="s">
        <v>146</v>
      </c>
      <c r="Q1797" s="0" t="s">
        <v>147</v>
      </c>
      <c r="R1797" s="0" t="n">
        <v>44483</v>
      </c>
      <c r="AD1797" s="0" t="s">
        <v>148</v>
      </c>
      <c r="AE1797" s="0" t="s">
        <v>149</v>
      </c>
      <c r="AF1797" s="0" t="s">
        <v>150</v>
      </c>
      <c r="AH1797" s="0" t="n">
        <v>14</v>
      </c>
      <c r="AI1797" s="0" t="n">
        <v>11</v>
      </c>
      <c r="AN1797" s="0" t="s">
        <v>146</v>
      </c>
      <c r="AO1797" s="0" t="s">
        <v>151</v>
      </c>
      <c r="AP1797" s="0" t="s">
        <v>152</v>
      </c>
      <c r="AQ1797" s="0" t="n">
        <v>9</v>
      </c>
      <c r="AR1797" s="0" t="n">
        <v>64</v>
      </c>
      <c r="AS1797" s="0" t="n">
        <v>32</v>
      </c>
      <c r="AU1797" s="0" t="n">
        <f aca="false">COUNTA($BA$1097:$EH$1097)</f>
        <v>1</v>
      </c>
      <c r="AV1797" s="0" t="n">
        <f aca="false">COUNTIF($BA$1097:$EH$1097,"D")</f>
        <v>0</v>
      </c>
      <c r="AW1797" s="0" t="n">
        <f aca="false">COUNTIF($BA$1097:$EH$1097,"R")</f>
        <v>0</v>
      </c>
      <c r="AX1797" s="0" t="n">
        <f aca="false"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>0</v>
      </c>
      <c r="AY1797" s="0" t="n">
        <f aca="false">COUNTIF(DU1797:EH1797, "&lt;&gt;")</f>
        <v>0</v>
      </c>
      <c r="AZ1797" s="0" t="n">
        <f aca="false">IF(EH1797&lt;&gt;"",1,0)</f>
        <v>0</v>
      </c>
      <c r="BB1797" s="0" t="s">
        <v>153</v>
      </c>
      <c r="CP1797" s="0" t="s">
        <v>154</v>
      </c>
      <c r="CZ1797" s="0" t="s">
        <v>155</v>
      </c>
      <c r="DC1797" s="0" t="s">
        <v>154</v>
      </c>
    </row>
    <row r="1798" customFormat="false" ht="13.8" hidden="true" customHeight="false" outlineLevel="0" collapsed="false">
      <c r="A1798" s="0" t="s">
        <v>8101</v>
      </c>
      <c r="B1798" s="0" t="n">
        <v>78</v>
      </c>
      <c r="C1798" s="0" t="n">
        <v>489392</v>
      </c>
      <c r="D1798" s="0" t="s">
        <v>856</v>
      </c>
      <c r="E1798" s="0" t="s">
        <v>8102</v>
      </c>
      <c r="F1798" s="0" t="str">
        <f aca="false">CONCATENATE(D1798," ",LEFT(H1798,4),"T=",AU1798,"D=",AV1798,"R=",AW1798,"M=",AX1798,"L=",AY1798,"B=",AZ1798)</f>
        <v>JONES T=13D=2R=0M=0L=0B=0</v>
      </c>
      <c r="G1798" s="0" t="s">
        <v>172</v>
      </c>
      <c r="I1798" s="0" t="s">
        <v>8103</v>
      </c>
      <c r="J1798" s="0" t="s">
        <v>1877</v>
      </c>
      <c r="K1798" s="0" t="s">
        <v>175</v>
      </c>
      <c r="L1798" s="0"/>
      <c r="M1798" s="0" t="s">
        <v>8100</v>
      </c>
      <c r="N1798" s="0" t="str">
        <f aca="false">RIGHT(M1798,LEN(M1798)-FIND(" ",M1798))</f>
        <v>MARYLAND ST NW</v>
      </c>
      <c r="P1798" s="0" t="s">
        <v>146</v>
      </c>
      <c r="Q1798" s="0" t="s">
        <v>147</v>
      </c>
      <c r="R1798" s="0" t="n">
        <v>44483</v>
      </c>
      <c r="AD1798" s="0" t="s">
        <v>148</v>
      </c>
      <c r="AE1798" s="0" t="s">
        <v>149</v>
      </c>
      <c r="AF1798" s="0" t="s">
        <v>150</v>
      </c>
      <c r="AH1798" s="0" t="n">
        <v>14</v>
      </c>
      <c r="AI1798" s="0" t="n">
        <v>11</v>
      </c>
      <c r="AN1798" s="0" t="s">
        <v>146</v>
      </c>
      <c r="AO1798" s="0" t="s">
        <v>151</v>
      </c>
      <c r="AP1798" s="0" t="s">
        <v>152</v>
      </c>
      <c r="AQ1798" s="0" t="n">
        <v>9</v>
      </c>
      <c r="AR1798" s="0" t="n">
        <v>64</v>
      </c>
      <c r="AS1798" s="0" t="n">
        <v>32</v>
      </c>
      <c r="AU1798" s="0" t="n">
        <f aca="false">COUNTA($BA$1480:$EH$1480)</f>
        <v>13</v>
      </c>
      <c r="AV1798" s="0" t="n">
        <f aca="false">COUNTIF($BA$1480:$EH$1480,"D")</f>
        <v>2</v>
      </c>
      <c r="AW1798" s="0" t="n">
        <f aca="false">COUNTIF($BA$1480:$EH$1480,"R")</f>
        <v>0</v>
      </c>
      <c r="AX1798" s="0" t="n">
        <f aca="false"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>0</v>
      </c>
      <c r="AY1798" s="0" t="n">
        <f aca="false">COUNTIF(DU1798:EH1798, "&lt;&gt;")</f>
        <v>0</v>
      </c>
      <c r="AZ1798" s="0" t="n">
        <f aca="false">IF(EH1798&lt;&gt;"",1,0)</f>
        <v>0</v>
      </c>
      <c r="BB1798" s="0" t="s">
        <v>153</v>
      </c>
    </row>
    <row r="1799" customFormat="false" ht="13.8" hidden="false" customHeight="false" outlineLevel="0" collapsed="false">
      <c r="A1799" s="0" t="s">
        <v>8104</v>
      </c>
      <c r="B1799" s="0" t="n">
        <v>78</v>
      </c>
      <c r="C1799" s="0" t="n">
        <v>240334</v>
      </c>
      <c r="D1799" s="0" t="s">
        <v>8105</v>
      </c>
      <c r="E1799" s="0" t="s">
        <v>1531</v>
      </c>
      <c r="F1799" s="0" t="str">
        <f aca="false">CONCATENATE(D1799," ",LEFT(H1799,4),"T=",AU1799,"D=",AV1799,"R=",AW1799,"M=",AX1799,"L=",AY1799,"B=",AZ1799)</f>
        <v>DAMON T=1D=0R=0M=1L=4B=0</v>
      </c>
      <c r="G1799" s="0" t="s">
        <v>196</v>
      </c>
      <c r="I1799" s="0" t="s">
        <v>8106</v>
      </c>
      <c r="J1799" s="0" t="s">
        <v>8107</v>
      </c>
      <c r="K1799" s="0" t="s">
        <v>175</v>
      </c>
      <c r="M1799" s="0" t="s">
        <v>8108</v>
      </c>
      <c r="N1799" s="0" t="str">
        <f aca="false">RIGHT(M1799,LEN(M1799)-FIND(" ",M1799))</f>
        <v>MARYLAND ST NW</v>
      </c>
      <c r="P1799" s="0" t="s">
        <v>146</v>
      </c>
      <c r="Q1799" s="0" t="s">
        <v>147</v>
      </c>
      <c r="R1799" s="0" t="n">
        <v>44483</v>
      </c>
      <c r="AD1799" s="0" t="s">
        <v>148</v>
      </c>
      <c r="AE1799" s="0" t="s">
        <v>149</v>
      </c>
      <c r="AF1799" s="0" t="s">
        <v>150</v>
      </c>
      <c r="AH1799" s="0" t="n">
        <v>14</v>
      </c>
      <c r="AI1799" s="0" t="n">
        <v>11</v>
      </c>
      <c r="AN1799" s="0" t="s">
        <v>146</v>
      </c>
      <c r="AO1799" s="0" t="s">
        <v>151</v>
      </c>
      <c r="AP1799" s="0" t="s">
        <v>152</v>
      </c>
      <c r="AQ1799" s="0" t="n">
        <v>9</v>
      </c>
      <c r="AR1799" s="0" t="n">
        <v>64</v>
      </c>
      <c r="AS1799" s="0" t="n">
        <v>32</v>
      </c>
      <c r="AU1799" s="0" t="n">
        <f aca="false">COUNTA($BA$1233:$EH$1233)</f>
        <v>1</v>
      </c>
      <c r="AV1799" s="0" t="n">
        <f aca="false">COUNTIF($BA$1233:$EH$1233,"D")</f>
        <v>0</v>
      </c>
      <c r="AW1799" s="0" t="n">
        <f aca="false">COUNTIF($BA$1233:$EH$1233,"R")</f>
        <v>0</v>
      </c>
      <c r="AX1799" s="0" t="n">
        <f aca="false"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>1</v>
      </c>
      <c r="AY1799" s="0" t="n">
        <f aca="false">COUNTIF(DU1799:EH1799, "&lt;&gt;")</f>
        <v>4</v>
      </c>
      <c r="AZ1799" s="0" t="n">
        <f aca="false">IF(EH1799&lt;&gt;"",1,0)</f>
        <v>0</v>
      </c>
      <c r="BB1799" s="0" t="s">
        <v>153</v>
      </c>
      <c r="BC1799" s="0" t="s">
        <v>154</v>
      </c>
      <c r="BD1799" s="0" t="s">
        <v>154</v>
      </c>
      <c r="BE1799" s="0" t="s">
        <v>154</v>
      </c>
      <c r="BH1799" s="0" t="s">
        <v>154</v>
      </c>
      <c r="BI1799" s="0" t="s">
        <v>154</v>
      </c>
      <c r="BJ1799" s="0" t="s">
        <v>154</v>
      </c>
      <c r="BK1799" s="0" t="s">
        <v>154</v>
      </c>
      <c r="BL1799" s="0" t="s">
        <v>154</v>
      </c>
      <c r="BS1799" s="0" t="s">
        <v>154</v>
      </c>
      <c r="BY1799" s="0" t="s">
        <v>155</v>
      </c>
      <c r="CA1799" s="0" t="s">
        <v>154</v>
      </c>
      <c r="CK1799" s="0" t="s">
        <v>154</v>
      </c>
      <c r="CL1799" s="0" t="s">
        <v>155</v>
      </c>
      <c r="CN1799" s="0" t="s">
        <v>154</v>
      </c>
      <c r="CP1799" s="0" t="s">
        <v>154</v>
      </c>
      <c r="CV1799" s="0" t="s">
        <v>154</v>
      </c>
      <c r="CY1799" s="0" t="s">
        <v>154</v>
      </c>
      <c r="CZ1799" s="0" t="s">
        <v>155</v>
      </c>
      <c r="DC1799" s="0" t="s">
        <v>154</v>
      </c>
      <c r="DI1799" s="0" t="s">
        <v>154</v>
      </c>
      <c r="DN1799" s="0" t="s">
        <v>154</v>
      </c>
      <c r="DU1799" s="0" t="s">
        <v>154</v>
      </c>
      <c r="DX1799" s="0" t="s">
        <v>154</v>
      </c>
      <c r="EA1799" s="0" t="s">
        <v>154</v>
      </c>
      <c r="EF1799" s="0" t="s">
        <v>154</v>
      </c>
    </row>
    <row r="1800" customFormat="false" ht="13.8" hidden="false" customHeight="false" outlineLevel="0" collapsed="false">
      <c r="A1800" s="0" t="s">
        <v>8109</v>
      </c>
      <c r="B1800" s="0" t="n">
        <v>78</v>
      </c>
      <c r="C1800" s="0" t="n">
        <v>240321</v>
      </c>
      <c r="D1800" s="0" t="s">
        <v>8105</v>
      </c>
      <c r="E1800" s="0" t="s">
        <v>2236</v>
      </c>
      <c r="F1800" s="0" t="str">
        <f aca="false">CONCATENATE(D1800," ",LEFT(H1800,4),"T=",AU1800,"D=",AV1800,"R=",AW1800,"M=",AX1800,"L=",AY1800,"B=",AZ1800)</f>
        <v>DAMON T=40D=3R=5M=1L=4B=0</v>
      </c>
      <c r="G1800" s="0" t="s">
        <v>176</v>
      </c>
      <c r="I1800" s="0" t="s">
        <v>5373</v>
      </c>
      <c r="J1800" s="0" t="s">
        <v>8110</v>
      </c>
      <c r="K1800" s="0" t="s">
        <v>175</v>
      </c>
      <c r="M1800" s="0" t="s">
        <v>8108</v>
      </c>
      <c r="N1800" s="0" t="str">
        <f aca="false">RIGHT(M1800,LEN(M1800)-FIND(" ",M1800))</f>
        <v>MARYLAND ST NW</v>
      </c>
      <c r="P1800" s="0" t="s">
        <v>146</v>
      </c>
      <c r="Q1800" s="0" t="s">
        <v>147</v>
      </c>
      <c r="R1800" s="0" t="n">
        <v>44483</v>
      </c>
      <c r="AD1800" s="0" t="s">
        <v>148</v>
      </c>
      <c r="AE1800" s="0" t="s">
        <v>149</v>
      </c>
      <c r="AF1800" s="0" t="s">
        <v>150</v>
      </c>
      <c r="AH1800" s="0" t="n">
        <v>14</v>
      </c>
      <c r="AI1800" s="0" t="n">
        <v>11</v>
      </c>
      <c r="AN1800" s="0" t="s">
        <v>146</v>
      </c>
      <c r="AO1800" s="0" t="s">
        <v>151</v>
      </c>
      <c r="AP1800" s="0" t="s">
        <v>152</v>
      </c>
      <c r="AQ1800" s="0" t="n">
        <v>9</v>
      </c>
      <c r="AR1800" s="0" t="n">
        <v>64</v>
      </c>
      <c r="AS1800" s="0" t="n">
        <v>32</v>
      </c>
      <c r="AU1800" s="0" t="n">
        <f aca="false">COUNTA($BA$1281:$EH$1281)</f>
        <v>40</v>
      </c>
      <c r="AV1800" s="0" t="n">
        <f aca="false">COUNTIF($BA$1281:$EH$1281,"D")</f>
        <v>3</v>
      </c>
      <c r="AW1800" s="0" t="n">
        <f aca="false">COUNTIF($BA$1281:$EH$1281,"R")</f>
        <v>5</v>
      </c>
      <c r="AX1800" s="0" t="n">
        <f aca="false"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>1</v>
      </c>
      <c r="AY1800" s="0" t="n">
        <f aca="false">COUNTIF(DU1800:EH1800, "&lt;&gt;")</f>
        <v>4</v>
      </c>
      <c r="AZ1800" s="0" t="n">
        <f aca="false">IF(EH1800&lt;&gt;"",1,0)</f>
        <v>0</v>
      </c>
      <c r="BB1800" s="0" t="s">
        <v>153</v>
      </c>
      <c r="BC1800" s="0" t="s">
        <v>154</v>
      </c>
      <c r="BD1800" s="0" t="s">
        <v>154</v>
      </c>
      <c r="BE1800" s="0" t="s">
        <v>154</v>
      </c>
      <c r="BH1800" s="0" t="s">
        <v>154</v>
      </c>
      <c r="BJ1800" s="0" t="s">
        <v>154</v>
      </c>
      <c r="BK1800" s="0" t="s">
        <v>154</v>
      </c>
      <c r="BL1800" s="0" t="s">
        <v>154</v>
      </c>
      <c r="BS1800" s="0" t="s">
        <v>154</v>
      </c>
      <c r="BY1800" s="0" t="s">
        <v>155</v>
      </c>
      <c r="CA1800" s="0" t="s">
        <v>154</v>
      </c>
      <c r="CK1800" s="0" t="s">
        <v>154</v>
      </c>
      <c r="CL1800" s="0" t="s">
        <v>155</v>
      </c>
      <c r="CN1800" s="0" t="s">
        <v>154</v>
      </c>
      <c r="CP1800" s="0" t="s">
        <v>154</v>
      </c>
      <c r="CV1800" s="0" t="s">
        <v>154</v>
      </c>
      <c r="CY1800" s="0" t="s">
        <v>154</v>
      </c>
      <c r="CZ1800" s="0" t="s">
        <v>155</v>
      </c>
      <c r="DC1800" s="0" t="s">
        <v>154</v>
      </c>
      <c r="DI1800" s="0" t="s">
        <v>154</v>
      </c>
      <c r="DN1800" s="0" t="s">
        <v>154</v>
      </c>
      <c r="DU1800" s="0" t="s">
        <v>154</v>
      </c>
      <c r="DX1800" s="0" t="s">
        <v>154</v>
      </c>
      <c r="EA1800" s="0" t="s">
        <v>154</v>
      </c>
      <c r="EF1800" s="0" t="s">
        <v>154</v>
      </c>
    </row>
    <row r="1801" customFormat="false" ht="13.8" hidden="true" customHeight="false" outlineLevel="0" collapsed="false">
      <c r="A1801" s="0" t="s">
        <v>8111</v>
      </c>
      <c r="B1801" s="0" t="n">
        <v>78</v>
      </c>
      <c r="C1801" s="0" t="n">
        <v>390560</v>
      </c>
      <c r="D1801" s="0" t="s">
        <v>8105</v>
      </c>
      <c r="E1801" s="0" t="s">
        <v>2303</v>
      </c>
      <c r="F1801" s="0" t="str">
        <f aca="false">CONCATENATE(D1801," ",LEFT(H1801,4),"T=",AU1801,"D=",AV1801,"R=",AW1801,"M=",AX1801,"L=",AY1801,"B=",AZ1801)</f>
        <v>DAMON T=20D=0R=0M=0L=1B=0</v>
      </c>
      <c r="G1801" s="0" t="s">
        <v>939</v>
      </c>
      <c r="I1801" s="0" t="s">
        <v>8112</v>
      </c>
      <c r="J1801" s="0" t="s">
        <v>8113</v>
      </c>
      <c r="K1801" s="0" t="s">
        <v>175</v>
      </c>
      <c r="L1801" s="0"/>
      <c r="M1801" s="0" t="s">
        <v>8108</v>
      </c>
      <c r="N1801" s="0" t="str">
        <f aca="false">RIGHT(M1801,LEN(M1801)-FIND(" ",M1801))</f>
        <v>MARYLAND ST NW</v>
      </c>
      <c r="P1801" s="0" t="s">
        <v>146</v>
      </c>
      <c r="Q1801" s="0" t="s">
        <v>147</v>
      </c>
      <c r="R1801" s="0" t="n">
        <v>44483</v>
      </c>
      <c r="AD1801" s="0" t="s">
        <v>148</v>
      </c>
      <c r="AE1801" s="0" t="s">
        <v>149</v>
      </c>
      <c r="AF1801" s="0" t="s">
        <v>150</v>
      </c>
      <c r="AH1801" s="0" t="n">
        <v>14</v>
      </c>
      <c r="AI1801" s="0" t="n">
        <v>11</v>
      </c>
      <c r="AN1801" s="0" t="s">
        <v>146</v>
      </c>
      <c r="AO1801" s="0" t="s">
        <v>151</v>
      </c>
      <c r="AP1801" s="0" t="s">
        <v>152</v>
      </c>
      <c r="AQ1801" s="0" t="n">
        <v>9</v>
      </c>
      <c r="AR1801" s="0" t="n">
        <v>64</v>
      </c>
      <c r="AS1801" s="0" t="n">
        <v>32</v>
      </c>
      <c r="AU1801" s="0" t="n">
        <f aca="false">COUNTA($BA$1543:$EH$1543)</f>
        <v>20</v>
      </c>
      <c r="AV1801" s="0" t="n">
        <f aca="false">COUNTIF($BA$1543:$EH$1543,"D")</f>
        <v>0</v>
      </c>
      <c r="AW1801" s="0" t="n">
        <f aca="false">COUNTIF($BA$1543:$EH$1543,"R")</f>
        <v>0</v>
      </c>
      <c r="AX1801" s="0" t="n">
        <f aca="false"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>0</v>
      </c>
      <c r="AY1801" s="0" t="n">
        <f aca="false">COUNTIF(DU1801:EH1801, "&lt;&gt;")</f>
        <v>1</v>
      </c>
      <c r="AZ1801" s="0" t="n">
        <f aca="false">IF(EH1801&lt;&gt;"",1,0)</f>
        <v>0</v>
      </c>
      <c r="BB1801" s="0" t="s">
        <v>153</v>
      </c>
      <c r="CP1801" s="0" t="s">
        <v>154</v>
      </c>
      <c r="EF1801" s="0" t="s">
        <v>154</v>
      </c>
    </row>
    <row r="1802" customFormat="false" ht="13.8" hidden="true" customHeight="false" outlineLevel="0" collapsed="false">
      <c r="A1802" s="0" t="s">
        <v>8114</v>
      </c>
      <c r="B1802" s="0" t="n">
        <v>78</v>
      </c>
      <c r="C1802" s="0" t="n">
        <v>475428</v>
      </c>
      <c r="D1802" s="0" t="s">
        <v>309</v>
      </c>
      <c r="E1802" s="0" t="s">
        <v>5240</v>
      </c>
      <c r="F1802" s="0" t="str">
        <f aca="false">CONCATENATE(D1802," ",LEFT(H1802,4),"T=",AU1802,"D=",AV1802,"R=",AW1802,"M=",AX1802,"L=",AY1802,"B=",AZ1802)</f>
        <v>BROWN T=1D=0R=0M=0L=1B=0</v>
      </c>
      <c r="G1802" s="0" t="s">
        <v>1462</v>
      </c>
      <c r="I1802" s="0" t="s">
        <v>8115</v>
      </c>
      <c r="J1802" s="0" t="s">
        <v>8116</v>
      </c>
      <c r="K1802" s="0" t="s">
        <v>175</v>
      </c>
      <c r="L1802" s="0"/>
      <c r="M1802" s="0" t="s">
        <v>8108</v>
      </c>
      <c r="N1802" s="0" t="str">
        <f aca="false">RIGHT(M1802,LEN(M1802)-FIND(" ",M1802))</f>
        <v>MARYLAND ST NW</v>
      </c>
      <c r="P1802" s="0" t="s">
        <v>146</v>
      </c>
      <c r="Q1802" s="0" t="s">
        <v>147</v>
      </c>
      <c r="R1802" s="0" t="n">
        <v>44483</v>
      </c>
      <c r="AD1802" s="0" t="s">
        <v>148</v>
      </c>
      <c r="AE1802" s="0" t="s">
        <v>149</v>
      </c>
      <c r="AF1802" s="0" t="s">
        <v>150</v>
      </c>
      <c r="AH1802" s="0" t="n">
        <v>14</v>
      </c>
      <c r="AI1802" s="0" t="n">
        <v>11</v>
      </c>
      <c r="AN1802" s="0" t="s">
        <v>146</v>
      </c>
      <c r="AO1802" s="0" t="s">
        <v>151</v>
      </c>
      <c r="AP1802" s="0" t="s">
        <v>152</v>
      </c>
      <c r="AQ1802" s="0" t="n">
        <v>9</v>
      </c>
      <c r="AR1802" s="0" t="n">
        <v>64</v>
      </c>
      <c r="AS1802" s="0" t="n">
        <v>32</v>
      </c>
      <c r="AU1802" s="0" t="n">
        <f aca="false">COUNTA($BA$1721:$EH$1721)</f>
        <v>1</v>
      </c>
      <c r="AV1802" s="0" t="n">
        <f aca="false">COUNTIF($BA$1721:$EH$1721,"D")</f>
        <v>0</v>
      </c>
      <c r="AW1802" s="0" t="n">
        <f aca="false">COUNTIF($BA$1721:$EH$1721,"R")</f>
        <v>0</v>
      </c>
      <c r="AX1802" s="0" t="n">
        <f aca="false"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>0</v>
      </c>
      <c r="AY1802" s="0" t="n">
        <f aca="false">COUNTIF(DU1802:EH1802, "&lt;&gt;")</f>
        <v>1</v>
      </c>
      <c r="AZ1802" s="0" t="n">
        <f aca="false">IF(EH1802&lt;&gt;"",1,0)</f>
        <v>0</v>
      </c>
      <c r="BB1802" s="0" t="s">
        <v>153</v>
      </c>
      <c r="EF1802" s="0" t="s">
        <v>154</v>
      </c>
    </row>
    <row r="1803" customFormat="false" ht="13.8" hidden="true" customHeight="false" outlineLevel="0" collapsed="false">
      <c r="A1803" s="0" t="s">
        <v>8117</v>
      </c>
      <c r="B1803" s="0" t="n">
        <v>78</v>
      </c>
      <c r="C1803" s="0" t="n">
        <v>486611</v>
      </c>
      <c r="D1803" s="0" t="s">
        <v>4426</v>
      </c>
      <c r="E1803" s="0" t="s">
        <v>8118</v>
      </c>
      <c r="F1803" s="0" t="str">
        <f aca="false">CONCATENATE(D1803," ",LEFT(H1803,4),"T=",AU1803,"D=",AV1803,"R=",AW1803,"M=",AX1803,"L=",AY1803,"B=",AZ1803)</f>
        <v>OWENS T=13D=1R=0M=0L=0B=0</v>
      </c>
      <c r="G1803" s="0" t="s">
        <v>241</v>
      </c>
      <c r="I1803" s="0" t="s">
        <v>8119</v>
      </c>
      <c r="J1803" s="0" t="s">
        <v>6770</v>
      </c>
      <c r="K1803" s="0" t="s">
        <v>175</v>
      </c>
      <c r="L1803" s="0"/>
      <c r="M1803" s="0" t="s">
        <v>8120</v>
      </c>
      <c r="N1803" s="0" t="str">
        <f aca="false">RIGHT(M1803,LEN(M1803)-FIND(" ",M1803))</f>
        <v>MARYLAND ST NW</v>
      </c>
      <c r="O1803" s="0" t="s">
        <v>3870</v>
      </c>
      <c r="P1803" s="0" t="s">
        <v>146</v>
      </c>
      <c r="Q1803" s="0" t="s">
        <v>147</v>
      </c>
      <c r="R1803" s="0" t="n">
        <v>44483</v>
      </c>
      <c r="AD1803" s="0" t="s">
        <v>148</v>
      </c>
      <c r="AE1803" s="0" t="s">
        <v>149</v>
      </c>
      <c r="AF1803" s="0" t="s">
        <v>150</v>
      </c>
      <c r="AH1803" s="0" t="n">
        <v>14</v>
      </c>
      <c r="AI1803" s="0" t="n">
        <v>11</v>
      </c>
      <c r="AN1803" s="0" t="s">
        <v>146</v>
      </c>
      <c r="AO1803" s="0" t="s">
        <v>151</v>
      </c>
      <c r="AP1803" s="0" t="s">
        <v>152</v>
      </c>
      <c r="AQ1803" s="0" t="n">
        <v>9</v>
      </c>
      <c r="AR1803" s="0" t="n">
        <v>64</v>
      </c>
      <c r="AS1803" s="0" t="n">
        <v>32</v>
      </c>
      <c r="AU1803" s="0" t="n">
        <f aca="false">COUNTA($BA$1394:$EH$1394)</f>
        <v>13</v>
      </c>
      <c r="AV1803" s="0" t="n">
        <f aca="false">COUNTIF($BA$1394:$EH$1394,"D")</f>
        <v>1</v>
      </c>
      <c r="AW1803" s="0" t="n">
        <f aca="false">COUNTIF($BA$1394:$EH$1394,"R")</f>
        <v>0</v>
      </c>
      <c r="AX1803" s="0" t="n">
        <f aca="false"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>0</v>
      </c>
      <c r="AY1803" s="0" t="n">
        <f aca="false">COUNTIF(DU1803:EH1803, "&lt;&gt;")</f>
        <v>0</v>
      </c>
      <c r="AZ1803" s="0" t="n">
        <f aca="false">IF(EH1803&lt;&gt;"",1,0)</f>
        <v>0</v>
      </c>
      <c r="BB1803" s="0" t="s">
        <v>153</v>
      </c>
    </row>
    <row r="1804" customFormat="false" ht="13.8" hidden="false" customHeight="false" outlineLevel="0" collapsed="false">
      <c r="A1804" s="0" t="s">
        <v>8121</v>
      </c>
      <c r="B1804" s="0" t="n">
        <v>78</v>
      </c>
      <c r="C1804" s="0" t="n">
        <v>5692</v>
      </c>
      <c r="D1804" s="0" t="s">
        <v>8122</v>
      </c>
      <c r="E1804" s="0" t="s">
        <v>1352</v>
      </c>
      <c r="F1804" s="0" t="str">
        <f aca="false">CONCATENATE(D1804," ",LEFT(H1804,4),"T=",AU1804,"D=",AV1804,"R=",AW1804,"M=",AX1804,"L=",AY1804,"B=",AZ1804)</f>
        <v>CHURCH T=8D=1R=0M=9L=7B=1</v>
      </c>
      <c r="G1804" s="0" t="s">
        <v>514</v>
      </c>
      <c r="I1804" s="0" t="s">
        <v>997</v>
      </c>
      <c r="J1804" s="0" t="s">
        <v>8123</v>
      </c>
      <c r="K1804" s="0" t="s">
        <v>175</v>
      </c>
      <c r="L1804" s="1" t="s">
        <v>155</v>
      </c>
      <c r="M1804" s="0" t="s">
        <v>8124</v>
      </c>
      <c r="N1804" s="0" t="str">
        <f aca="false">RIGHT(M1804,LEN(M1804)-FIND(" ",M1804))</f>
        <v>MARYLAND ST NW</v>
      </c>
      <c r="P1804" s="0" t="s">
        <v>146</v>
      </c>
      <c r="Q1804" s="0" t="s">
        <v>147</v>
      </c>
      <c r="R1804" s="0" t="n">
        <v>44483</v>
      </c>
      <c r="AD1804" s="0" t="s">
        <v>148</v>
      </c>
      <c r="AE1804" s="0" t="s">
        <v>149</v>
      </c>
      <c r="AF1804" s="0" t="s">
        <v>150</v>
      </c>
      <c r="AH1804" s="0" t="n">
        <v>14</v>
      </c>
      <c r="AI1804" s="0" t="n">
        <v>11</v>
      </c>
      <c r="AN1804" s="0" t="s">
        <v>146</v>
      </c>
      <c r="AO1804" s="0" t="s">
        <v>151</v>
      </c>
      <c r="AP1804" s="0" t="s">
        <v>152</v>
      </c>
      <c r="AQ1804" s="0" t="n">
        <v>9</v>
      </c>
      <c r="AR1804" s="0" t="n">
        <v>64</v>
      </c>
      <c r="AS1804" s="0" t="n">
        <v>32</v>
      </c>
      <c r="AU1804" s="0" t="n">
        <f aca="false">COUNTA($BA$1096:$EH$1096)</f>
        <v>8</v>
      </c>
      <c r="AV1804" s="0" t="n">
        <f aca="false">COUNTIF($BA$1096:$EH$1096,"D")</f>
        <v>1</v>
      </c>
      <c r="AW1804" s="0" t="n">
        <f aca="false">COUNTIF($BA$1096:$EH$1096,"R")</f>
        <v>0</v>
      </c>
      <c r="AX1804" s="0" t="n">
        <f aca="false"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>9</v>
      </c>
      <c r="AY1804" s="0" t="n">
        <f aca="false">COUNTIF(DU1804:EH1804, "&lt;&gt;")</f>
        <v>7</v>
      </c>
      <c r="AZ1804" s="0" t="n">
        <f aca="false">IF(EH1804&lt;&gt;"",1,0)</f>
        <v>1</v>
      </c>
      <c r="BB1804" s="0" t="s">
        <v>153</v>
      </c>
      <c r="BC1804" s="0" t="s">
        <v>154</v>
      </c>
      <c r="BD1804" s="0" t="s">
        <v>154</v>
      </c>
      <c r="BE1804" s="0" t="s">
        <v>154</v>
      </c>
      <c r="BF1804" s="0" t="s">
        <v>154</v>
      </c>
      <c r="BG1804" s="0" t="s">
        <v>154</v>
      </c>
      <c r="BH1804" s="0" t="s">
        <v>154</v>
      </c>
      <c r="BI1804" s="0" t="s">
        <v>154</v>
      </c>
      <c r="BJ1804" s="0" t="s">
        <v>154</v>
      </c>
      <c r="BK1804" s="0" t="s">
        <v>154</v>
      </c>
      <c r="BL1804" s="0" t="s">
        <v>154</v>
      </c>
      <c r="BP1804" s="0" t="s">
        <v>154</v>
      </c>
      <c r="BR1804" s="0" t="s">
        <v>154</v>
      </c>
      <c r="BS1804" s="0" t="s">
        <v>154</v>
      </c>
      <c r="BV1804" s="0" t="s">
        <v>154</v>
      </c>
      <c r="BY1804" s="0" t="s">
        <v>155</v>
      </c>
      <c r="CA1804" s="0" t="s">
        <v>154</v>
      </c>
      <c r="CC1804" s="0" t="s">
        <v>155</v>
      </c>
      <c r="CG1804" s="0" t="s">
        <v>154</v>
      </c>
      <c r="CH1804" s="0" t="s">
        <v>155</v>
      </c>
      <c r="CK1804" s="0" t="s">
        <v>154</v>
      </c>
      <c r="CL1804" s="0" t="s">
        <v>155</v>
      </c>
      <c r="CN1804" s="0" t="s">
        <v>154</v>
      </c>
      <c r="CO1804" s="0" t="s">
        <v>155</v>
      </c>
      <c r="CP1804" s="0" t="s">
        <v>154</v>
      </c>
      <c r="CQ1804" s="0" t="s">
        <v>155</v>
      </c>
      <c r="CT1804" s="0" t="s">
        <v>154</v>
      </c>
      <c r="CV1804" s="0" t="s">
        <v>154</v>
      </c>
      <c r="CW1804" s="0" t="s">
        <v>155</v>
      </c>
      <c r="CY1804" s="0" t="s">
        <v>154</v>
      </c>
      <c r="CZ1804" s="0" t="s">
        <v>155</v>
      </c>
      <c r="DC1804" s="0" t="s">
        <v>154</v>
      </c>
      <c r="DD1804" s="0" t="s">
        <v>155</v>
      </c>
      <c r="DF1804" s="0" t="s">
        <v>154</v>
      </c>
      <c r="DG1804" s="0" t="s">
        <v>155</v>
      </c>
      <c r="DI1804" s="0" t="s">
        <v>154</v>
      </c>
      <c r="DJ1804" s="0" t="s">
        <v>155</v>
      </c>
      <c r="DL1804" s="0" t="s">
        <v>154</v>
      </c>
      <c r="DN1804" s="0" t="s">
        <v>154</v>
      </c>
      <c r="DO1804" s="0" t="s">
        <v>155</v>
      </c>
      <c r="DS1804" s="0" t="s">
        <v>155</v>
      </c>
      <c r="DT1804" s="0" t="s">
        <v>155</v>
      </c>
      <c r="DU1804" s="0" t="s">
        <v>154</v>
      </c>
      <c r="DW1804" s="0" t="s">
        <v>155</v>
      </c>
      <c r="DX1804" s="0" t="s">
        <v>154</v>
      </c>
      <c r="EA1804" s="0" t="s">
        <v>154</v>
      </c>
      <c r="ED1804" s="0" t="s">
        <v>155</v>
      </c>
      <c r="EF1804" s="0" t="s">
        <v>154</v>
      </c>
      <c r="EH1804" s="0" t="s">
        <v>155</v>
      </c>
    </row>
    <row r="1805" customFormat="false" ht="13.8" hidden="true" customHeight="false" outlineLevel="0" collapsed="false">
      <c r="A1805" s="0" t="s">
        <v>8125</v>
      </c>
      <c r="B1805" s="0" t="n">
        <v>78</v>
      </c>
      <c r="C1805" s="0" t="n">
        <v>411116</v>
      </c>
      <c r="D1805" s="0" t="s">
        <v>8126</v>
      </c>
      <c r="E1805" s="0" t="s">
        <v>5240</v>
      </c>
      <c r="F1805" s="0" t="str">
        <f aca="false">CONCATENATE(D1805," ",LEFT(H1805,4),"T=",AU1805,"D=",AV1805,"R=",AW1805,"M=",AX1805,"L=",AY1805,"B=",AZ1805)</f>
        <v>GOINS T=1D=0R=0M=0L=0B=0</v>
      </c>
      <c r="I1805" s="0" t="s">
        <v>8127</v>
      </c>
      <c r="J1805" s="0" t="s">
        <v>8128</v>
      </c>
      <c r="K1805" s="0" t="s">
        <v>144</v>
      </c>
      <c r="L1805" s="0"/>
      <c r="M1805" s="0" t="s">
        <v>8129</v>
      </c>
      <c r="N1805" s="0" t="str">
        <f aca="false">RIGHT(M1805,LEN(M1805)-FIND(" ",M1805))</f>
        <v>MARYLAND ST NW</v>
      </c>
      <c r="P1805" s="0" t="s">
        <v>146</v>
      </c>
      <c r="Q1805" s="0" t="s">
        <v>147</v>
      </c>
      <c r="R1805" s="0" t="n">
        <v>44483</v>
      </c>
      <c r="AD1805" s="0" t="s">
        <v>148</v>
      </c>
      <c r="AE1805" s="0" t="s">
        <v>149</v>
      </c>
      <c r="AF1805" s="0" t="s">
        <v>150</v>
      </c>
      <c r="AH1805" s="0" t="n">
        <v>14</v>
      </c>
      <c r="AI1805" s="0" t="n">
        <v>11</v>
      </c>
      <c r="AN1805" s="0" t="s">
        <v>146</v>
      </c>
      <c r="AO1805" s="0" t="s">
        <v>151</v>
      </c>
      <c r="AP1805" s="0" t="s">
        <v>152</v>
      </c>
      <c r="AQ1805" s="0" t="n">
        <v>9</v>
      </c>
      <c r="AR1805" s="0" t="n">
        <v>64</v>
      </c>
      <c r="AS1805" s="0" t="n">
        <v>32</v>
      </c>
      <c r="AU1805" s="0" t="n">
        <f aca="false">COUNTA($BA$1565:$EH$1565)</f>
        <v>1</v>
      </c>
      <c r="AV1805" s="0" t="n">
        <f aca="false">COUNTIF($BA$1565:$EH$1565,"D")</f>
        <v>0</v>
      </c>
      <c r="AW1805" s="0" t="n">
        <f aca="false">COUNTIF($BA$1565:$EH$1565,"R")</f>
        <v>0</v>
      </c>
      <c r="AX1805" s="0" t="n">
        <f aca="false"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>0</v>
      </c>
      <c r="AY1805" s="0" t="n">
        <f aca="false">COUNTIF(DU1805:EH1805, "&lt;&gt;")</f>
        <v>0</v>
      </c>
      <c r="AZ1805" s="0" t="n">
        <f aca="false">IF(EH1805&lt;&gt;"",1,0)</f>
        <v>0</v>
      </c>
      <c r="BB1805" s="0" t="s">
        <v>153</v>
      </c>
    </row>
    <row r="1806" customFormat="false" ht="13.8" hidden="false" customHeight="false" outlineLevel="0" collapsed="false">
      <c r="A1806" s="0" t="s">
        <v>8130</v>
      </c>
      <c r="B1806" s="0" t="n">
        <v>78</v>
      </c>
      <c r="C1806" s="0" t="n">
        <v>369327</v>
      </c>
      <c r="D1806" s="0" t="s">
        <v>1491</v>
      </c>
      <c r="E1806" s="0" t="s">
        <v>2710</v>
      </c>
      <c r="F1806" s="0" t="str">
        <f aca="false">CONCATENATE(D1806," ",LEFT(H1806,4),"T=",AU1806,"D=",AV1806,"R=",AW1806,"M=",AX1806,"L=",AY1806,"B=",AZ1806)</f>
        <v>WILLIAMSON T=3D=1R=0M=0L=2B=0</v>
      </c>
      <c r="G1806" s="0" t="s">
        <v>376</v>
      </c>
      <c r="I1806" s="0" t="s">
        <v>8131</v>
      </c>
      <c r="J1806" s="0" t="s">
        <v>8132</v>
      </c>
      <c r="K1806" s="0" t="s">
        <v>175</v>
      </c>
      <c r="M1806" s="0" t="s">
        <v>8133</v>
      </c>
      <c r="N1806" s="0" t="str">
        <f aca="false">RIGHT(M1806,LEN(M1806)-FIND(" ",M1806))</f>
        <v>MARYLAND ST NW</v>
      </c>
      <c r="P1806" s="0" t="s">
        <v>146</v>
      </c>
      <c r="Q1806" s="0" t="s">
        <v>147</v>
      </c>
      <c r="R1806" s="0" t="n">
        <v>44483</v>
      </c>
      <c r="AD1806" s="0" t="s">
        <v>148</v>
      </c>
      <c r="AE1806" s="0" t="s">
        <v>149</v>
      </c>
      <c r="AF1806" s="0" t="s">
        <v>150</v>
      </c>
      <c r="AH1806" s="0" t="n">
        <v>14</v>
      </c>
      <c r="AI1806" s="0" t="n">
        <v>11</v>
      </c>
      <c r="AN1806" s="0" t="s">
        <v>146</v>
      </c>
      <c r="AO1806" s="0" t="s">
        <v>151</v>
      </c>
      <c r="AP1806" s="0" t="s">
        <v>152</v>
      </c>
      <c r="AQ1806" s="0" t="n">
        <v>9</v>
      </c>
      <c r="AR1806" s="0" t="n">
        <v>64</v>
      </c>
      <c r="AS1806" s="0" t="n">
        <v>32</v>
      </c>
      <c r="AU1806" s="0" t="n">
        <f aca="false">COUNTA($BA$1682:$EH$1682)</f>
        <v>3</v>
      </c>
      <c r="AV1806" s="0" t="n">
        <f aca="false">COUNTIF($BA$1682:$EH$1682,"D")</f>
        <v>1</v>
      </c>
      <c r="AW1806" s="0" t="n">
        <f aca="false">COUNTIF($BA$1682:$EH$1682,"R")</f>
        <v>0</v>
      </c>
      <c r="AX1806" s="0" t="n">
        <f aca="false"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>0</v>
      </c>
      <c r="AY1806" s="0" t="n">
        <f aca="false">COUNTIF(DU1806:EH1806, "&lt;&gt;")</f>
        <v>2</v>
      </c>
      <c r="AZ1806" s="0" t="n">
        <f aca="false">IF(EH1806&lt;&gt;"",1,0)</f>
        <v>0</v>
      </c>
      <c r="BB1806" s="0" t="s">
        <v>153</v>
      </c>
      <c r="CN1806" s="0" t="s">
        <v>154</v>
      </c>
      <c r="CP1806" s="0" t="s">
        <v>154</v>
      </c>
      <c r="CZ1806" s="0" t="s">
        <v>155</v>
      </c>
      <c r="DC1806" s="0" t="s">
        <v>154</v>
      </c>
      <c r="DI1806" s="0" t="s">
        <v>154</v>
      </c>
      <c r="DL1806" s="0" t="s">
        <v>154</v>
      </c>
      <c r="DN1806" s="0" t="s">
        <v>154</v>
      </c>
      <c r="EA1806" s="0" t="s">
        <v>154</v>
      </c>
      <c r="EF1806" s="0" t="s">
        <v>154</v>
      </c>
    </row>
    <row r="1807" customFormat="false" ht="13.8" hidden="false" customHeight="false" outlineLevel="0" collapsed="false">
      <c r="A1807" s="0" t="s">
        <v>8134</v>
      </c>
      <c r="B1807" s="0" t="n">
        <v>78</v>
      </c>
      <c r="C1807" s="0" t="n">
        <v>224417</v>
      </c>
      <c r="D1807" s="0" t="s">
        <v>8135</v>
      </c>
      <c r="E1807" s="0" t="s">
        <v>8136</v>
      </c>
      <c r="F1807" s="0" t="str">
        <f aca="false">CONCATENATE(D1807," ",LEFT(H1807,4),"T=",AU1807,"D=",AV1807,"R=",AW1807,"M=",AX1807,"L=",AY1807,"B=",AZ1807)</f>
        <v>STEFAN T=2D=0R=0M=1L=3B=0</v>
      </c>
      <c r="G1807" s="0" t="s">
        <v>297</v>
      </c>
      <c r="I1807" s="0" t="s">
        <v>8137</v>
      </c>
      <c r="J1807" s="0" t="s">
        <v>1326</v>
      </c>
      <c r="K1807" s="0" t="s">
        <v>175</v>
      </c>
      <c r="M1807" s="0" t="s">
        <v>8138</v>
      </c>
      <c r="N1807" s="0" t="str">
        <f aca="false">RIGHT(M1807,LEN(M1807)-FIND(" ",M1807))</f>
        <v>MARYLAND ST NW</v>
      </c>
      <c r="P1807" s="0" t="s">
        <v>146</v>
      </c>
      <c r="Q1807" s="0" t="s">
        <v>147</v>
      </c>
      <c r="R1807" s="0" t="n">
        <v>44483</v>
      </c>
      <c r="AD1807" s="0" t="s">
        <v>148</v>
      </c>
      <c r="AE1807" s="0" t="s">
        <v>149</v>
      </c>
      <c r="AF1807" s="0" t="s">
        <v>150</v>
      </c>
      <c r="AH1807" s="0" t="n">
        <v>14</v>
      </c>
      <c r="AI1807" s="0" t="n">
        <v>11</v>
      </c>
      <c r="AN1807" s="0" t="s">
        <v>146</v>
      </c>
      <c r="AO1807" s="0" t="s">
        <v>151</v>
      </c>
      <c r="AP1807" s="0" t="s">
        <v>152</v>
      </c>
      <c r="AQ1807" s="0" t="n">
        <v>9</v>
      </c>
      <c r="AR1807" s="0" t="n">
        <v>64</v>
      </c>
      <c r="AS1807" s="0" t="n">
        <v>32</v>
      </c>
      <c r="AU1807" s="0" t="n">
        <f aca="false">COUNTA($BA$1140:$EH$1140)</f>
        <v>2</v>
      </c>
      <c r="AV1807" s="0" t="n">
        <f aca="false">COUNTIF($BA$1140:$EH$1140,"D")</f>
        <v>0</v>
      </c>
      <c r="AW1807" s="0" t="n">
        <f aca="false">COUNTIF($BA$1140:$EH$1140,"R")</f>
        <v>0</v>
      </c>
      <c r="AX1807" s="0" t="n">
        <f aca="false"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>1</v>
      </c>
      <c r="AY1807" s="0" t="n">
        <f aca="false">COUNTIF(DU1807:EH1807, "&lt;&gt;")</f>
        <v>3</v>
      </c>
      <c r="AZ1807" s="0" t="n">
        <f aca="false">IF(EH1807&lt;&gt;"",1,0)</f>
        <v>0</v>
      </c>
      <c r="BB1807" s="0" t="s">
        <v>153</v>
      </c>
      <c r="BC1807" s="0" t="s">
        <v>154</v>
      </c>
      <c r="BD1807" s="0" t="s">
        <v>154</v>
      </c>
      <c r="BE1807" s="0" t="s">
        <v>154</v>
      </c>
      <c r="BF1807" s="0" t="s">
        <v>154</v>
      </c>
      <c r="BG1807" s="0" t="s">
        <v>154</v>
      </c>
      <c r="BH1807" s="0" t="s">
        <v>154</v>
      </c>
      <c r="BI1807" s="0" t="s">
        <v>154</v>
      </c>
      <c r="BJ1807" s="0" t="s">
        <v>154</v>
      </c>
      <c r="BK1807" s="0" t="s">
        <v>154</v>
      </c>
      <c r="BL1807" s="0" t="s">
        <v>154</v>
      </c>
      <c r="BP1807" s="0" t="s">
        <v>154</v>
      </c>
      <c r="BR1807" s="0" t="s">
        <v>154</v>
      </c>
      <c r="BS1807" s="0" t="s">
        <v>154</v>
      </c>
      <c r="BV1807" s="0" t="s">
        <v>154</v>
      </c>
      <c r="BY1807" s="0" t="s">
        <v>155</v>
      </c>
      <c r="CA1807" s="0" t="s">
        <v>154</v>
      </c>
      <c r="CG1807" s="0" t="s">
        <v>154</v>
      </c>
      <c r="CK1807" s="0" t="s">
        <v>154</v>
      </c>
      <c r="CL1807" s="0" t="s">
        <v>155</v>
      </c>
      <c r="CN1807" s="0" t="s">
        <v>154</v>
      </c>
      <c r="CP1807" s="0" t="s">
        <v>154</v>
      </c>
      <c r="CV1807" s="0" t="s">
        <v>154</v>
      </c>
      <c r="CY1807" s="0" t="s">
        <v>154</v>
      </c>
      <c r="CZ1807" s="0" t="s">
        <v>155</v>
      </c>
      <c r="DC1807" s="0" t="s">
        <v>154</v>
      </c>
      <c r="DI1807" s="0" t="s">
        <v>154</v>
      </c>
      <c r="DN1807" s="0" t="s">
        <v>154</v>
      </c>
      <c r="DR1807" s="0" t="s">
        <v>154</v>
      </c>
      <c r="DU1807" s="0" t="s">
        <v>154</v>
      </c>
      <c r="EA1807" s="0" t="s">
        <v>154</v>
      </c>
      <c r="EF1807" s="0" t="s">
        <v>154</v>
      </c>
    </row>
    <row r="1808" customFormat="false" ht="13.8" hidden="false" customHeight="false" outlineLevel="0" collapsed="false">
      <c r="A1808" s="0" t="s">
        <v>8139</v>
      </c>
      <c r="B1808" s="0" t="n">
        <v>78</v>
      </c>
      <c r="C1808" s="0" t="n">
        <v>22521</v>
      </c>
      <c r="D1808" s="0" t="s">
        <v>8135</v>
      </c>
      <c r="E1808" s="0" t="s">
        <v>187</v>
      </c>
      <c r="F1808" s="0" t="str">
        <f aca="false">CONCATENATE(D1808," ",LEFT(H1808,4),"T=",AU1808,"D=",AV1808,"R=",AW1808,"M=",AX1808,"L=",AY1808,"B=",AZ1808)</f>
        <v>STEFAN T=1D=0R=0M=0L=4B=0</v>
      </c>
      <c r="G1808" s="0" t="s">
        <v>297</v>
      </c>
      <c r="I1808" s="0" t="s">
        <v>8140</v>
      </c>
      <c r="J1808" s="0" t="s">
        <v>6286</v>
      </c>
      <c r="K1808" s="0" t="s">
        <v>175</v>
      </c>
      <c r="L1808" s="1" t="s">
        <v>155</v>
      </c>
      <c r="M1808" s="0" t="s">
        <v>8138</v>
      </c>
      <c r="N1808" s="0" t="str">
        <f aca="false">RIGHT(M1808,LEN(M1808)-FIND(" ",M1808))</f>
        <v>MARYLAND ST NW</v>
      </c>
      <c r="P1808" s="0" t="s">
        <v>146</v>
      </c>
      <c r="Q1808" s="0" t="s">
        <v>147</v>
      </c>
      <c r="R1808" s="0" t="n">
        <v>44483</v>
      </c>
      <c r="AD1808" s="0" t="s">
        <v>148</v>
      </c>
      <c r="AE1808" s="0" t="s">
        <v>149</v>
      </c>
      <c r="AF1808" s="0" t="s">
        <v>150</v>
      </c>
      <c r="AH1808" s="0" t="n">
        <v>14</v>
      </c>
      <c r="AI1808" s="0" t="n">
        <v>11</v>
      </c>
      <c r="AN1808" s="0" t="s">
        <v>146</v>
      </c>
      <c r="AO1808" s="0" t="s">
        <v>151</v>
      </c>
      <c r="AP1808" s="0" t="s">
        <v>152</v>
      </c>
      <c r="AQ1808" s="0" t="n">
        <v>9</v>
      </c>
      <c r="AR1808" s="0" t="n">
        <v>64</v>
      </c>
      <c r="AS1808" s="0" t="n">
        <v>32</v>
      </c>
      <c r="AU1808" s="0" t="n">
        <f aca="false">COUNTA($BA$1277:$EH$1277)</f>
        <v>1</v>
      </c>
      <c r="AV1808" s="0" t="n">
        <f aca="false">COUNTIF($BA$1277:$EH$1277,"D")</f>
        <v>0</v>
      </c>
      <c r="AW1808" s="0" t="n">
        <f aca="false">COUNTIF($BA$1277:$EH$1277,"R")</f>
        <v>0</v>
      </c>
      <c r="AX1808" s="0" t="n">
        <f aca="false"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>0</v>
      </c>
      <c r="AY1808" s="0" t="n">
        <f aca="false">COUNTIF(DU1808:EH1808, "&lt;&gt;")</f>
        <v>4</v>
      </c>
      <c r="AZ1808" s="0" t="n">
        <f aca="false">IF(EH1808&lt;&gt;"",1,0)</f>
        <v>0</v>
      </c>
      <c r="BB1808" s="0" t="s">
        <v>153</v>
      </c>
      <c r="BC1808" s="0" t="s">
        <v>154</v>
      </c>
      <c r="BD1808" s="0" t="s">
        <v>154</v>
      </c>
      <c r="BE1808" s="0" t="s">
        <v>154</v>
      </c>
      <c r="BF1808" s="0" t="s">
        <v>154</v>
      </c>
      <c r="BG1808" s="0" t="s">
        <v>154</v>
      </c>
      <c r="BH1808" s="0" t="s">
        <v>154</v>
      </c>
      <c r="BI1808" s="0" t="s">
        <v>154</v>
      </c>
      <c r="BJ1808" s="0" t="s">
        <v>154</v>
      </c>
      <c r="BK1808" s="0" t="s">
        <v>154</v>
      </c>
      <c r="BL1808" s="0" t="s">
        <v>154</v>
      </c>
      <c r="BP1808" s="0" t="s">
        <v>154</v>
      </c>
      <c r="BR1808" s="0" t="s">
        <v>154</v>
      </c>
      <c r="BS1808" s="0" t="s">
        <v>154</v>
      </c>
      <c r="BV1808" s="0" t="s">
        <v>154</v>
      </c>
      <c r="BY1808" s="0" t="s">
        <v>155</v>
      </c>
      <c r="CA1808" s="0" t="s">
        <v>154</v>
      </c>
      <c r="CK1808" s="0" t="s">
        <v>154</v>
      </c>
      <c r="CN1808" s="0" t="s">
        <v>154</v>
      </c>
      <c r="CP1808" s="0" t="s">
        <v>154</v>
      </c>
      <c r="CV1808" s="0" t="s">
        <v>154</v>
      </c>
      <c r="CY1808" s="0" t="s">
        <v>154</v>
      </c>
      <c r="CZ1808" s="0" t="s">
        <v>155</v>
      </c>
      <c r="DC1808" s="0" t="s">
        <v>154</v>
      </c>
      <c r="DI1808" s="0" t="s">
        <v>154</v>
      </c>
      <c r="DN1808" s="0" t="s">
        <v>154</v>
      </c>
      <c r="DU1808" s="0" t="s">
        <v>154</v>
      </c>
      <c r="EA1808" s="0" t="s">
        <v>154</v>
      </c>
      <c r="ED1808" s="0" t="s">
        <v>155</v>
      </c>
      <c r="EF1808" s="0" t="s">
        <v>154</v>
      </c>
    </row>
    <row r="1809" customFormat="false" ht="13.8" hidden="true" customHeight="false" outlineLevel="0" collapsed="false">
      <c r="A1809" s="0" t="s">
        <v>8141</v>
      </c>
      <c r="B1809" s="0" t="n">
        <v>78</v>
      </c>
      <c r="C1809" s="0" t="n">
        <v>419605</v>
      </c>
      <c r="D1809" s="0" t="s">
        <v>2311</v>
      </c>
      <c r="E1809" s="0" t="s">
        <v>8142</v>
      </c>
      <c r="F1809" s="0" t="str">
        <f aca="false">CONCATENATE(D1809," ",LEFT(H1809,4),"T=",AU1809,"D=",AV1809,"R=",AW1809,"M=",AX1809,"L=",AY1809,"B=",AZ1809)</f>
        <v>LEWIS T=41D=14R=0M=0L=1B=0</v>
      </c>
      <c r="G1809" s="0" t="s">
        <v>466</v>
      </c>
      <c r="I1809" s="0" t="s">
        <v>8143</v>
      </c>
      <c r="J1809" s="0" t="s">
        <v>8144</v>
      </c>
      <c r="K1809" s="0" t="s">
        <v>175</v>
      </c>
      <c r="L1809" s="0"/>
      <c r="M1809" s="0" t="s">
        <v>8138</v>
      </c>
      <c r="N1809" s="0" t="str">
        <f aca="false">RIGHT(M1809,LEN(M1809)-FIND(" ",M1809))</f>
        <v>MARYLAND ST NW</v>
      </c>
      <c r="P1809" s="0" t="s">
        <v>146</v>
      </c>
      <c r="Q1809" s="0" t="s">
        <v>147</v>
      </c>
      <c r="R1809" s="0" t="n">
        <v>44483</v>
      </c>
      <c r="AD1809" s="0" t="s">
        <v>148</v>
      </c>
      <c r="AE1809" s="0" t="s">
        <v>149</v>
      </c>
      <c r="AF1809" s="0" t="s">
        <v>150</v>
      </c>
      <c r="AH1809" s="0" t="n">
        <v>14</v>
      </c>
      <c r="AI1809" s="0" t="n">
        <v>11</v>
      </c>
      <c r="AN1809" s="0" t="s">
        <v>146</v>
      </c>
      <c r="AO1809" s="0" t="s">
        <v>151</v>
      </c>
      <c r="AP1809" s="0" t="s">
        <v>152</v>
      </c>
      <c r="AQ1809" s="0" t="n">
        <v>9</v>
      </c>
      <c r="AR1809" s="0" t="n">
        <v>64</v>
      </c>
      <c r="AS1809" s="0" t="n">
        <v>32</v>
      </c>
      <c r="AU1809" s="0" t="n">
        <f aca="false">COUNTA($BA$1355:$EH$1355)</f>
        <v>41</v>
      </c>
      <c r="AV1809" s="0" t="n">
        <f aca="false">COUNTIF($BA$1355:$EH$1355,"D")</f>
        <v>14</v>
      </c>
      <c r="AW1809" s="0" t="n">
        <f aca="false">COUNTIF($BA$1355:$EH$1355,"R")</f>
        <v>0</v>
      </c>
      <c r="AX1809" s="0" t="n">
        <f aca="false"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>0</v>
      </c>
      <c r="AY1809" s="0" t="n">
        <f aca="false">COUNTIF(DU1809:EH1809, "&lt;&gt;")</f>
        <v>1</v>
      </c>
      <c r="AZ1809" s="0" t="n">
        <f aca="false">IF(EH1809&lt;&gt;"",1,0)</f>
        <v>0</v>
      </c>
      <c r="BB1809" s="0" t="s">
        <v>153</v>
      </c>
      <c r="DC1809" s="0" t="s">
        <v>154</v>
      </c>
      <c r="DN1809" s="0" t="s">
        <v>154</v>
      </c>
      <c r="EF1809" s="0" t="s">
        <v>154</v>
      </c>
    </row>
    <row r="1810" customFormat="false" ht="13.8" hidden="true" customHeight="false" outlineLevel="0" collapsed="false">
      <c r="A1810" s="0" t="s">
        <v>8145</v>
      </c>
      <c r="B1810" s="0" t="n">
        <v>78</v>
      </c>
      <c r="C1810" s="0" t="n">
        <v>229122</v>
      </c>
      <c r="D1810" s="0" t="s">
        <v>5116</v>
      </c>
      <c r="E1810" s="0" t="s">
        <v>1840</v>
      </c>
      <c r="F1810" s="0" t="str">
        <f aca="false">CONCATENATE(D1810," ",LEFT(H1810,4),"T=",AU1810,"D=",AV1810,"R=",AW1810,"M=",AX1810,"L=",AY1810,"B=",AZ1810)</f>
        <v>CROSS T=1D=0R=0M=0L=1B=0</v>
      </c>
      <c r="I1810" s="0" t="s">
        <v>8146</v>
      </c>
      <c r="J1810" s="0" t="s">
        <v>8147</v>
      </c>
      <c r="K1810" s="0" t="s">
        <v>175</v>
      </c>
      <c r="L1810" s="0"/>
      <c r="M1810" s="0" t="s">
        <v>8148</v>
      </c>
      <c r="N1810" s="0" t="str">
        <f aca="false">RIGHT(M1810,LEN(M1810)-FIND(" ",M1810))</f>
        <v>MARYLAND ST NW</v>
      </c>
      <c r="P1810" s="0" t="s">
        <v>146</v>
      </c>
      <c r="Q1810" s="0" t="s">
        <v>147</v>
      </c>
      <c r="R1810" s="0" t="n">
        <v>44483</v>
      </c>
      <c r="AD1810" s="0" t="s">
        <v>148</v>
      </c>
      <c r="AE1810" s="0" t="s">
        <v>149</v>
      </c>
      <c r="AF1810" s="0" t="s">
        <v>150</v>
      </c>
      <c r="AH1810" s="0" t="n">
        <v>14</v>
      </c>
      <c r="AI1810" s="0" t="n">
        <v>11</v>
      </c>
      <c r="AN1810" s="0" t="s">
        <v>146</v>
      </c>
      <c r="AO1810" s="0" t="s">
        <v>151</v>
      </c>
      <c r="AP1810" s="0" t="s">
        <v>152</v>
      </c>
      <c r="AQ1810" s="0" t="n">
        <v>9</v>
      </c>
      <c r="AR1810" s="0" t="n">
        <v>64</v>
      </c>
      <c r="AS1810" s="0" t="n">
        <v>32</v>
      </c>
      <c r="AU1810" s="0" t="n">
        <f aca="false">COUNTA($BA$1331:$EH$1331)</f>
        <v>1</v>
      </c>
      <c r="AV1810" s="0" t="n">
        <f aca="false">COUNTIF($BA$1331:$EH$1331,"D")</f>
        <v>0</v>
      </c>
      <c r="AW1810" s="0" t="n">
        <f aca="false">COUNTIF($BA$1331:$EH$1331,"R")</f>
        <v>0</v>
      </c>
      <c r="AX1810" s="0" t="n">
        <f aca="false"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>0</v>
      </c>
      <c r="AY1810" s="0" t="n">
        <f aca="false">COUNTIF(DU1810:EH1810, "&lt;&gt;")</f>
        <v>1</v>
      </c>
      <c r="AZ1810" s="0" t="n">
        <f aca="false">IF(EH1810&lt;&gt;"",1,0)</f>
        <v>0</v>
      </c>
      <c r="BB1810" s="0" t="s">
        <v>153</v>
      </c>
      <c r="BC1810" s="0" t="s">
        <v>154</v>
      </c>
      <c r="BD1810" s="0" t="s">
        <v>154</v>
      </c>
      <c r="BI1810" s="0" t="s">
        <v>154</v>
      </c>
      <c r="BL1810" s="0" t="s">
        <v>154</v>
      </c>
      <c r="BP1810" s="0" t="s">
        <v>154</v>
      </c>
      <c r="BS1810" s="0" t="s">
        <v>154</v>
      </c>
      <c r="BY1810" s="0" t="s">
        <v>155</v>
      </c>
      <c r="CA1810" s="0" t="s">
        <v>154</v>
      </c>
      <c r="CG1810" s="0" t="s">
        <v>154</v>
      </c>
      <c r="CN1810" s="0" t="s">
        <v>154</v>
      </c>
      <c r="CP1810" s="0" t="s">
        <v>154</v>
      </c>
      <c r="CY1810" s="0" t="s">
        <v>154</v>
      </c>
      <c r="CZ1810" s="0" t="s">
        <v>155</v>
      </c>
      <c r="DC1810" s="0" t="s">
        <v>154</v>
      </c>
      <c r="DN1810" s="0" t="s">
        <v>154</v>
      </c>
      <c r="EF1810" s="0" t="s">
        <v>154</v>
      </c>
    </row>
    <row r="1811" customFormat="false" ht="13.8" hidden="true" customHeight="false" outlineLevel="0" collapsed="false">
      <c r="A1811" s="0" t="s">
        <v>8149</v>
      </c>
      <c r="B1811" s="0" t="n">
        <v>78</v>
      </c>
      <c r="C1811" s="0" t="n">
        <v>496231</v>
      </c>
      <c r="D1811" s="0" t="s">
        <v>1038</v>
      </c>
      <c r="E1811" s="0" t="s">
        <v>8150</v>
      </c>
      <c r="F1811" s="0" t="str">
        <f aca="false">CONCATENATE(D1811," ",LEFT(H1811,4),"T=",AU1811,"D=",AV1811,"R=",AW1811,"M=",AX1811,"L=",AY1811,"B=",AZ1811)</f>
        <v>BUTCHER T=48D=16R=0M=0L=1B=0</v>
      </c>
      <c r="G1811" s="0" t="s">
        <v>8151</v>
      </c>
      <c r="I1811" s="0" t="s">
        <v>8152</v>
      </c>
      <c r="J1811" s="0" t="s">
        <v>8153</v>
      </c>
      <c r="K1811" s="0" t="s">
        <v>175</v>
      </c>
      <c r="L1811" s="0"/>
      <c r="M1811" s="0" t="s">
        <v>8154</v>
      </c>
      <c r="N1811" s="0" t="str">
        <f aca="false">RIGHT(M1811,LEN(M1811)-FIND(" ",M1811))</f>
        <v>MARYLAND ST NW</v>
      </c>
      <c r="P1811" s="0" t="s">
        <v>146</v>
      </c>
      <c r="Q1811" s="0" t="s">
        <v>147</v>
      </c>
      <c r="R1811" s="0" t="n">
        <v>44483</v>
      </c>
      <c r="AD1811" s="0" t="s">
        <v>148</v>
      </c>
      <c r="AE1811" s="0" t="s">
        <v>149</v>
      </c>
      <c r="AF1811" s="0" t="s">
        <v>150</v>
      </c>
      <c r="AH1811" s="0" t="n">
        <v>14</v>
      </c>
      <c r="AI1811" s="0" t="n">
        <v>11</v>
      </c>
      <c r="AN1811" s="0" t="s">
        <v>146</v>
      </c>
      <c r="AO1811" s="0" t="s">
        <v>151</v>
      </c>
      <c r="AP1811" s="0" t="s">
        <v>152</v>
      </c>
      <c r="AQ1811" s="0" t="n">
        <v>9</v>
      </c>
      <c r="AR1811" s="0" t="n">
        <v>64</v>
      </c>
      <c r="AS1811" s="0" t="n">
        <v>32</v>
      </c>
      <c r="AU1811" s="0" t="n">
        <f aca="false">COUNTA($BA$1256:$EH$1256)</f>
        <v>48</v>
      </c>
      <c r="AV1811" s="0" t="n">
        <f aca="false">COUNTIF($BA$1256:$EH$1256,"D")</f>
        <v>16</v>
      </c>
      <c r="AW1811" s="0" t="n">
        <f aca="false">COUNTIF($BA$1256:$EH$1256,"R")</f>
        <v>0</v>
      </c>
      <c r="AX1811" s="0" t="n">
        <f aca="false"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>0</v>
      </c>
      <c r="AY1811" s="0" t="n">
        <f aca="false">COUNTIF(DU1811:EH1811, "&lt;&gt;")</f>
        <v>1</v>
      </c>
      <c r="AZ1811" s="0" t="n">
        <f aca="false">IF(EH1811&lt;&gt;"",1,0)</f>
        <v>0</v>
      </c>
      <c r="BB1811" s="0" t="s">
        <v>153</v>
      </c>
      <c r="EF1811" s="0" t="s">
        <v>154</v>
      </c>
    </row>
    <row r="1812" customFormat="false" ht="13.8" hidden="false" customHeight="false" outlineLevel="0" collapsed="false">
      <c r="A1812" s="0" t="s">
        <v>8155</v>
      </c>
      <c r="B1812" s="0" t="n">
        <v>78</v>
      </c>
      <c r="C1812" s="0" t="n">
        <v>300250</v>
      </c>
      <c r="D1812" s="0" t="s">
        <v>8156</v>
      </c>
      <c r="E1812" s="0" t="s">
        <v>3008</v>
      </c>
      <c r="F1812" s="0" t="str">
        <f aca="false">CONCATENATE(D1812," ",LEFT(H1812,4),"T=",AU1812,"D=",AV1812,"R=",AW1812,"M=",AX1812,"L=",AY1812,"B=",AZ1812)</f>
        <v>BECK T=8D=1R=0M=6L=7B=1</v>
      </c>
      <c r="G1812" s="0" t="s">
        <v>297</v>
      </c>
      <c r="I1812" s="0" t="s">
        <v>8157</v>
      </c>
      <c r="J1812" s="0" t="s">
        <v>4253</v>
      </c>
      <c r="K1812" s="0" t="s">
        <v>175</v>
      </c>
      <c r="L1812" s="1" t="s">
        <v>155</v>
      </c>
      <c r="M1812" s="0" t="s">
        <v>8158</v>
      </c>
      <c r="N1812" s="0" t="str">
        <f aca="false">RIGHT(M1812,LEN(M1812)-FIND(" ",M1812))</f>
        <v>MARYLAND ST NW</v>
      </c>
      <c r="P1812" s="0" t="s">
        <v>146</v>
      </c>
      <c r="Q1812" s="0" t="s">
        <v>147</v>
      </c>
      <c r="R1812" s="0" t="n">
        <v>44483</v>
      </c>
      <c r="AD1812" s="0" t="s">
        <v>148</v>
      </c>
      <c r="AE1812" s="0" t="s">
        <v>149</v>
      </c>
      <c r="AF1812" s="0" t="s">
        <v>150</v>
      </c>
      <c r="AH1812" s="0" t="n">
        <v>14</v>
      </c>
      <c r="AI1812" s="0" t="n">
        <v>11</v>
      </c>
      <c r="AN1812" s="0" t="s">
        <v>146</v>
      </c>
      <c r="AO1812" s="0" t="s">
        <v>151</v>
      </c>
      <c r="AP1812" s="0" t="s">
        <v>152</v>
      </c>
      <c r="AQ1812" s="0" t="n">
        <v>9</v>
      </c>
      <c r="AR1812" s="0" t="n">
        <v>64</v>
      </c>
      <c r="AS1812" s="0" t="n">
        <v>32</v>
      </c>
      <c r="AU1812" s="0" t="n">
        <f aca="false">COUNTA($BA$1224:$EH$1224)</f>
        <v>8</v>
      </c>
      <c r="AV1812" s="0" t="n">
        <f aca="false">COUNTIF($BA$1224:$EH$1224,"D")</f>
        <v>1</v>
      </c>
      <c r="AW1812" s="0" t="n">
        <f aca="false">COUNTIF($BA$1224:$EH$1224,"R")</f>
        <v>0</v>
      </c>
      <c r="AX1812" s="0" t="n">
        <f aca="false"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>6</v>
      </c>
      <c r="AY1812" s="0" t="n">
        <f aca="false">COUNTIF(DU1812:EH1812, "&lt;&gt;")</f>
        <v>7</v>
      </c>
      <c r="AZ1812" s="0" t="n">
        <f aca="false">IF(EH1812&lt;&gt;"",1,0)</f>
        <v>1</v>
      </c>
      <c r="BB1812" s="0" t="s">
        <v>153</v>
      </c>
      <c r="BD1812" s="0" t="s">
        <v>154</v>
      </c>
      <c r="BE1812" s="0" t="s">
        <v>154</v>
      </c>
      <c r="BF1812" s="0" t="s">
        <v>154</v>
      </c>
      <c r="BG1812" s="0" t="s">
        <v>154</v>
      </c>
      <c r="BH1812" s="0" t="s">
        <v>154</v>
      </c>
      <c r="BJ1812" s="0" t="s">
        <v>154</v>
      </c>
      <c r="BR1812" s="0" t="s">
        <v>154</v>
      </c>
      <c r="BS1812" s="0" t="s">
        <v>154</v>
      </c>
      <c r="BV1812" s="0" t="s">
        <v>154</v>
      </c>
      <c r="BY1812" s="0" t="s">
        <v>155</v>
      </c>
      <c r="CA1812" s="0" t="s">
        <v>154</v>
      </c>
      <c r="CG1812" s="0" t="s">
        <v>154</v>
      </c>
      <c r="CK1812" s="0" t="s">
        <v>154</v>
      </c>
      <c r="CL1812" s="0" t="s">
        <v>155</v>
      </c>
      <c r="CN1812" s="0" t="s">
        <v>154</v>
      </c>
      <c r="CO1812" s="0" t="s">
        <v>155</v>
      </c>
      <c r="CP1812" s="0" t="s">
        <v>154</v>
      </c>
      <c r="CQ1812" s="0" t="s">
        <v>155</v>
      </c>
      <c r="CT1812" s="0" t="s">
        <v>154</v>
      </c>
      <c r="CV1812" s="0" t="s">
        <v>154</v>
      </c>
      <c r="CZ1812" s="0" t="s">
        <v>155</v>
      </c>
      <c r="DC1812" s="0" t="s">
        <v>154</v>
      </c>
      <c r="DD1812" s="0" t="s">
        <v>155</v>
      </c>
      <c r="DG1812" s="0" t="s">
        <v>155</v>
      </c>
      <c r="DI1812" s="0" t="s">
        <v>154</v>
      </c>
      <c r="DL1812" s="0" t="s">
        <v>154</v>
      </c>
      <c r="DM1812" s="0" t="s">
        <v>155</v>
      </c>
      <c r="DN1812" s="0" t="s">
        <v>154</v>
      </c>
      <c r="DO1812" s="0" t="s">
        <v>155</v>
      </c>
      <c r="DR1812" s="0" t="s">
        <v>154</v>
      </c>
      <c r="DS1812" s="0" t="s">
        <v>155</v>
      </c>
      <c r="DT1812" s="0" t="s">
        <v>155</v>
      </c>
      <c r="DU1812" s="0" t="s">
        <v>154</v>
      </c>
      <c r="DW1812" s="0" t="s">
        <v>155</v>
      </c>
      <c r="DX1812" s="0" t="s">
        <v>154</v>
      </c>
      <c r="EA1812" s="0" t="s">
        <v>154</v>
      </c>
      <c r="ED1812" s="0" t="s">
        <v>155</v>
      </c>
      <c r="EF1812" s="0" t="s">
        <v>154</v>
      </c>
      <c r="EH1812" s="0" t="s">
        <v>155</v>
      </c>
    </row>
    <row r="1813" customFormat="false" ht="13.8" hidden="false" customHeight="false" outlineLevel="0" collapsed="false">
      <c r="A1813" s="0" t="s">
        <v>8159</v>
      </c>
      <c r="B1813" s="0" t="n">
        <v>78</v>
      </c>
      <c r="C1813" s="0" t="n">
        <v>202716</v>
      </c>
      <c r="D1813" s="0" t="s">
        <v>8156</v>
      </c>
      <c r="E1813" s="0" t="s">
        <v>2791</v>
      </c>
      <c r="F1813" s="0" t="str">
        <f aca="false">CONCATENATE(D1813," ",LEFT(H1813,4),"T=",AU1813,"D=",AV1813,"R=",AW1813,"M=",AX1813,"L=",AY1813,"B=",AZ1813)</f>
        <v>BECK T=2D=0R=0M=7L=7B=1</v>
      </c>
      <c r="G1813" s="0" t="s">
        <v>297</v>
      </c>
      <c r="I1813" s="0" t="s">
        <v>8160</v>
      </c>
      <c r="J1813" s="0" t="s">
        <v>2728</v>
      </c>
      <c r="K1813" s="0" t="s">
        <v>175</v>
      </c>
      <c r="L1813" s="1" t="s">
        <v>155</v>
      </c>
      <c r="M1813" s="0" t="s">
        <v>8158</v>
      </c>
      <c r="N1813" s="0" t="str">
        <f aca="false">RIGHT(M1813,LEN(M1813)-FIND(" ",M1813))</f>
        <v>MARYLAND ST NW</v>
      </c>
      <c r="P1813" s="0" t="s">
        <v>146</v>
      </c>
      <c r="Q1813" s="0" t="s">
        <v>147</v>
      </c>
      <c r="R1813" s="0" t="n">
        <v>44483</v>
      </c>
      <c r="AD1813" s="0" t="s">
        <v>148</v>
      </c>
      <c r="AE1813" s="0" t="s">
        <v>149</v>
      </c>
      <c r="AF1813" s="0" t="s">
        <v>150</v>
      </c>
      <c r="AH1813" s="0" t="n">
        <v>14</v>
      </c>
      <c r="AI1813" s="0" t="n">
        <v>11</v>
      </c>
      <c r="AN1813" s="0" t="s">
        <v>146</v>
      </c>
      <c r="AO1813" s="0" t="s">
        <v>151</v>
      </c>
      <c r="AP1813" s="0" t="s">
        <v>152</v>
      </c>
      <c r="AQ1813" s="0" t="n">
        <v>9</v>
      </c>
      <c r="AR1813" s="0" t="n">
        <v>64</v>
      </c>
      <c r="AS1813" s="0" t="n">
        <v>32</v>
      </c>
      <c r="AU1813" s="0" t="n">
        <f aca="false">COUNTA($BA$1337:$EH$1337)</f>
        <v>2</v>
      </c>
      <c r="AV1813" s="0" t="n">
        <f aca="false">COUNTIF($BA$1337:$EH$1337,"D")</f>
        <v>0</v>
      </c>
      <c r="AW1813" s="0" t="n">
        <f aca="false">COUNTIF($BA$1337:$EH$1337,"R")</f>
        <v>0</v>
      </c>
      <c r="AX1813" s="0" t="n">
        <f aca="false"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>7</v>
      </c>
      <c r="AY1813" s="0" t="n">
        <f aca="false">COUNTIF(DU1813:EH1813, "&lt;&gt;")</f>
        <v>7</v>
      </c>
      <c r="AZ1813" s="0" t="n">
        <f aca="false">IF(EH1813&lt;&gt;"",1,0)</f>
        <v>1</v>
      </c>
      <c r="BB1813" s="0" t="s">
        <v>153</v>
      </c>
      <c r="BC1813" s="0" t="s">
        <v>154</v>
      </c>
      <c r="BD1813" s="0" t="s">
        <v>154</v>
      </c>
      <c r="BE1813" s="0" t="s">
        <v>154</v>
      </c>
      <c r="BF1813" s="0" t="s">
        <v>154</v>
      </c>
      <c r="BH1813" s="0" t="s">
        <v>154</v>
      </c>
      <c r="BJ1813" s="0" t="s">
        <v>154</v>
      </c>
      <c r="BL1813" s="0" t="s">
        <v>154</v>
      </c>
      <c r="BR1813" s="0" t="s">
        <v>154</v>
      </c>
      <c r="BS1813" s="0" t="s">
        <v>154</v>
      </c>
      <c r="BY1813" s="0" t="s">
        <v>155</v>
      </c>
      <c r="CA1813" s="0" t="s">
        <v>154</v>
      </c>
      <c r="CG1813" s="0" t="s">
        <v>154</v>
      </c>
      <c r="CK1813" s="0" t="s">
        <v>154</v>
      </c>
      <c r="CL1813" s="0" t="s">
        <v>155</v>
      </c>
      <c r="CN1813" s="0" t="s">
        <v>154</v>
      </c>
      <c r="CO1813" s="0" t="s">
        <v>155</v>
      </c>
      <c r="CP1813" s="0" t="s">
        <v>154</v>
      </c>
      <c r="CQ1813" s="0" t="s">
        <v>155</v>
      </c>
      <c r="CT1813" s="0" t="s">
        <v>154</v>
      </c>
      <c r="CU1813" s="0" t="s">
        <v>155</v>
      </c>
      <c r="CV1813" s="0" t="s">
        <v>154</v>
      </c>
      <c r="CY1813" s="0" t="s">
        <v>154</v>
      </c>
      <c r="CZ1813" s="0" t="s">
        <v>155</v>
      </c>
      <c r="DC1813" s="0" t="s">
        <v>154</v>
      </c>
      <c r="DD1813" s="0" t="s">
        <v>155</v>
      </c>
      <c r="DG1813" s="0" t="s">
        <v>155</v>
      </c>
      <c r="DI1813" s="0" t="s">
        <v>154</v>
      </c>
      <c r="DJ1813" s="0" t="s">
        <v>155</v>
      </c>
      <c r="DL1813" s="0" t="s">
        <v>154</v>
      </c>
      <c r="DM1813" s="0" t="s">
        <v>155</v>
      </c>
      <c r="DN1813" s="0" t="s">
        <v>154</v>
      </c>
      <c r="DO1813" s="0" t="s">
        <v>155</v>
      </c>
      <c r="DR1813" s="0" t="s">
        <v>154</v>
      </c>
      <c r="DS1813" s="0" t="s">
        <v>155</v>
      </c>
      <c r="DT1813" s="0" t="s">
        <v>155</v>
      </c>
      <c r="DU1813" s="0" t="s">
        <v>154</v>
      </c>
      <c r="DW1813" s="0" t="s">
        <v>155</v>
      </c>
      <c r="DX1813" s="0" t="s">
        <v>154</v>
      </c>
      <c r="EA1813" s="0" t="s">
        <v>154</v>
      </c>
      <c r="ED1813" s="0" t="s">
        <v>155</v>
      </c>
      <c r="EF1813" s="0" t="s">
        <v>154</v>
      </c>
      <c r="EH1813" s="0" t="s">
        <v>155</v>
      </c>
    </row>
    <row r="1814" customFormat="false" ht="13.8" hidden="true" customHeight="false" outlineLevel="0" collapsed="false">
      <c r="A1814" s="0" t="s">
        <v>8161</v>
      </c>
      <c r="B1814" s="0" t="n">
        <v>78</v>
      </c>
      <c r="C1814" s="0" t="n">
        <v>346080</v>
      </c>
      <c r="D1814" s="0" t="s">
        <v>5841</v>
      </c>
      <c r="E1814" s="0" t="s">
        <v>3176</v>
      </c>
      <c r="F1814" s="0" t="str">
        <f aca="false">CONCATENATE(D1814," ",LEFT(H1814,4),"T=",AU1814,"D=",AV1814,"R=",AW1814,"M=",AX1814,"L=",AY1814,"B=",AZ1814)</f>
        <v>GREEN T=1D=0R=0M=0L=0B=0</v>
      </c>
      <c r="G1814" s="0" t="s">
        <v>176</v>
      </c>
      <c r="I1814" s="0" t="s">
        <v>8162</v>
      </c>
      <c r="J1814" s="0" t="s">
        <v>8163</v>
      </c>
      <c r="K1814" s="0" t="s">
        <v>144</v>
      </c>
      <c r="L1814" s="0"/>
      <c r="M1814" s="0" t="s">
        <v>8158</v>
      </c>
      <c r="N1814" s="0" t="str">
        <f aca="false">RIGHT(M1814,LEN(M1814)-FIND(" ",M1814))</f>
        <v>MARYLAND ST NW</v>
      </c>
      <c r="P1814" s="0" t="s">
        <v>146</v>
      </c>
      <c r="Q1814" s="0" t="s">
        <v>147</v>
      </c>
      <c r="R1814" s="0" t="n">
        <v>44483</v>
      </c>
      <c r="AD1814" s="0" t="s">
        <v>148</v>
      </c>
      <c r="AE1814" s="0" t="s">
        <v>149</v>
      </c>
      <c r="AF1814" s="0" t="s">
        <v>150</v>
      </c>
      <c r="AH1814" s="0" t="n">
        <v>14</v>
      </c>
      <c r="AI1814" s="0" t="n">
        <v>11</v>
      </c>
      <c r="AN1814" s="0" t="s">
        <v>146</v>
      </c>
      <c r="AO1814" s="0" t="s">
        <v>151</v>
      </c>
      <c r="AP1814" s="0" t="s">
        <v>152</v>
      </c>
      <c r="AQ1814" s="0" t="n">
        <v>9</v>
      </c>
      <c r="AR1814" s="0" t="n">
        <v>64</v>
      </c>
      <c r="AS1814" s="0" t="n">
        <v>32</v>
      </c>
      <c r="AU1814" s="0" t="n">
        <f aca="false">COUNTA($BA$2057:$EH$2057)</f>
        <v>1</v>
      </c>
      <c r="AV1814" s="0" t="n">
        <f aca="false">COUNTIF($BA$2057:$EH$2057,"D")</f>
        <v>0</v>
      </c>
      <c r="AW1814" s="0" t="n">
        <f aca="false">COUNTIF($BA$2057:$EH$2057,"R")</f>
        <v>0</v>
      </c>
      <c r="AX1814" s="0" t="n">
        <f aca="false"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>0</v>
      </c>
      <c r="AY1814" s="0" t="n">
        <f aca="false">COUNTIF(DU1814:EH1814, "&lt;&gt;")</f>
        <v>0</v>
      </c>
      <c r="AZ1814" s="0" t="n">
        <f aca="false">IF(EH1814&lt;&gt;"",1,0)</f>
        <v>0</v>
      </c>
      <c r="BB1814" s="0" t="s">
        <v>153</v>
      </c>
      <c r="BY1814" s="0" t="s">
        <v>155</v>
      </c>
      <c r="CA1814" s="0" t="s">
        <v>154</v>
      </c>
      <c r="CK1814" s="0" t="s">
        <v>154</v>
      </c>
      <c r="CP1814" s="0" t="s">
        <v>154</v>
      </c>
      <c r="DC1814" s="0" t="s">
        <v>154</v>
      </c>
      <c r="DI1814" s="0" t="s">
        <v>154</v>
      </c>
    </row>
    <row r="1815" customFormat="false" ht="13.8" hidden="true" customHeight="false" outlineLevel="0" collapsed="false">
      <c r="A1815" s="0" t="s">
        <v>8164</v>
      </c>
      <c r="B1815" s="0" t="n">
        <v>78</v>
      </c>
      <c r="C1815" s="0" t="n">
        <v>412365</v>
      </c>
      <c r="D1815" s="0" t="s">
        <v>8165</v>
      </c>
      <c r="E1815" s="0" t="s">
        <v>277</v>
      </c>
      <c r="F1815" s="0" t="str">
        <f aca="false">CONCATENATE(D1815," ",LEFT(H1815,4),"T=",AU1815,"D=",AV1815,"R=",AW1815,"M=",AX1815,"L=",AY1815,"B=",AZ1815)</f>
        <v>KISTLER T=12D=1R=0M=0L=0B=0</v>
      </c>
      <c r="G1815" s="0" t="s">
        <v>188</v>
      </c>
      <c r="I1815" s="0" t="s">
        <v>8166</v>
      </c>
      <c r="J1815" s="0" t="s">
        <v>3194</v>
      </c>
      <c r="K1815" s="0" t="s">
        <v>175</v>
      </c>
      <c r="L1815" s="0"/>
      <c r="M1815" s="0" t="s">
        <v>8167</v>
      </c>
      <c r="N1815" s="0" t="str">
        <f aca="false">RIGHT(M1815,LEN(M1815)-FIND(" ",M1815))</f>
        <v>MARYLAND ST NW</v>
      </c>
      <c r="P1815" s="0" t="s">
        <v>146</v>
      </c>
      <c r="Q1815" s="0" t="s">
        <v>147</v>
      </c>
      <c r="R1815" s="0" t="n">
        <v>44483</v>
      </c>
      <c r="AD1815" s="0" t="s">
        <v>148</v>
      </c>
      <c r="AE1815" s="0" t="s">
        <v>149</v>
      </c>
      <c r="AF1815" s="0" t="s">
        <v>150</v>
      </c>
      <c r="AH1815" s="0" t="n">
        <v>14</v>
      </c>
      <c r="AI1815" s="0" t="n">
        <v>11</v>
      </c>
      <c r="AN1815" s="0" t="s">
        <v>146</v>
      </c>
      <c r="AO1815" s="0" t="s">
        <v>151</v>
      </c>
      <c r="AP1815" s="0" t="s">
        <v>152</v>
      </c>
      <c r="AQ1815" s="0" t="n">
        <v>9</v>
      </c>
      <c r="AR1815" s="0" t="n">
        <v>64</v>
      </c>
      <c r="AS1815" s="0" t="n">
        <v>32</v>
      </c>
      <c r="AU1815" s="0" t="n">
        <f aca="false">COUNTA($BA$1636:$EH$1636)</f>
        <v>12</v>
      </c>
      <c r="AV1815" s="0" t="n">
        <f aca="false">COUNTIF($BA$1636:$EH$1636,"D")</f>
        <v>1</v>
      </c>
      <c r="AW1815" s="0" t="n">
        <f aca="false">COUNTIF($BA$1636:$EH$1636,"R")</f>
        <v>0</v>
      </c>
      <c r="AX1815" s="0" t="n">
        <f aca="false"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>0</v>
      </c>
      <c r="AY1815" s="0" t="n">
        <f aca="false">COUNTIF(DU1815:EH1815, "&lt;&gt;")</f>
        <v>0</v>
      </c>
      <c r="AZ1815" s="0" t="n">
        <f aca="false">IF(EH1815&lt;&gt;"",1,0)</f>
        <v>0</v>
      </c>
      <c r="BB1815" s="0" t="s">
        <v>153</v>
      </c>
    </row>
    <row r="1816" customFormat="false" ht="13.8" hidden="false" customHeight="false" outlineLevel="0" collapsed="false">
      <c r="A1816" s="0" t="s">
        <v>8168</v>
      </c>
      <c r="B1816" s="0" t="n">
        <v>78</v>
      </c>
      <c r="C1816" s="0" t="n">
        <v>414949</v>
      </c>
      <c r="D1816" s="0" t="s">
        <v>8169</v>
      </c>
      <c r="E1816" s="0" t="s">
        <v>8170</v>
      </c>
      <c r="F1816" s="0" t="str">
        <f aca="false">CONCATENATE(D1816," ",LEFT(H1816,4),"T=",AU1816,"D=",AV1816,"R=",AW1816,"M=",AX1816,"L=",AY1816,"B=",AZ1816)</f>
        <v>CLOVER T=3D=0R=0M=0L=4B=0</v>
      </c>
      <c r="G1816" s="0" t="s">
        <v>172</v>
      </c>
      <c r="I1816" s="0" t="s">
        <v>8171</v>
      </c>
      <c r="J1816" s="0" t="s">
        <v>3503</v>
      </c>
      <c r="K1816" s="0" t="s">
        <v>175</v>
      </c>
      <c r="M1816" s="0" t="s">
        <v>8172</v>
      </c>
      <c r="N1816" s="0" t="str">
        <f aca="false">RIGHT(M1816,LEN(M1816)-FIND(" ",M1816))</f>
        <v>MAYFLOWER ST NW</v>
      </c>
      <c r="P1816" s="0" t="s">
        <v>146</v>
      </c>
      <c r="Q1816" s="0" t="s">
        <v>147</v>
      </c>
      <c r="R1816" s="0" t="n">
        <v>44483</v>
      </c>
      <c r="AD1816" s="0" t="s">
        <v>148</v>
      </c>
      <c r="AE1816" s="0" t="s">
        <v>149</v>
      </c>
      <c r="AF1816" s="0" t="s">
        <v>150</v>
      </c>
      <c r="AH1816" s="0" t="n">
        <v>14</v>
      </c>
      <c r="AI1816" s="0" t="n">
        <v>11</v>
      </c>
      <c r="AN1816" s="0" t="s">
        <v>146</v>
      </c>
      <c r="AO1816" s="0" t="s">
        <v>151</v>
      </c>
      <c r="AP1816" s="0" t="s">
        <v>152</v>
      </c>
      <c r="AQ1816" s="0" t="n">
        <v>9</v>
      </c>
      <c r="AR1816" s="0" t="n">
        <v>64</v>
      </c>
      <c r="AS1816" s="0" t="n">
        <v>32</v>
      </c>
      <c r="AU1816" s="0" t="n">
        <f aca="false">COUNTA($BA$1604:$EH$1604)</f>
        <v>3</v>
      </c>
      <c r="AV1816" s="0" t="n">
        <f aca="false">COUNTIF($BA$1604:$EH$1604,"D")</f>
        <v>0</v>
      </c>
      <c r="AW1816" s="0" t="n">
        <f aca="false">COUNTIF($BA$1604:$EH$1604,"R")</f>
        <v>0</v>
      </c>
      <c r="AX1816" s="0" t="n">
        <f aca="false"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>0</v>
      </c>
      <c r="AY1816" s="0" t="n">
        <f aca="false">COUNTIF(DU1816:EH1816, "&lt;&gt;")</f>
        <v>4</v>
      </c>
      <c r="AZ1816" s="0" t="n">
        <f aca="false">IF(EH1816&lt;&gt;"",1,0)</f>
        <v>0</v>
      </c>
      <c r="BB1816" s="0" t="s">
        <v>153</v>
      </c>
      <c r="DC1816" s="0" t="s">
        <v>154</v>
      </c>
      <c r="DI1816" s="0" t="s">
        <v>154</v>
      </c>
      <c r="DN1816" s="0" t="s">
        <v>154</v>
      </c>
      <c r="DU1816" s="0" t="s">
        <v>154</v>
      </c>
      <c r="DX1816" s="0" t="s">
        <v>154</v>
      </c>
      <c r="EA1816" s="0" t="s">
        <v>154</v>
      </c>
      <c r="EF1816" s="0" t="s">
        <v>154</v>
      </c>
    </row>
    <row r="1817" customFormat="false" ht="13.8" hidden="false" customHeight="false" outlineLevel="0" collapsed="false">
      <c r="A1817" s="0" t="s">
        <v>8173</v>
      </c>
      <c r="B1817" s="0" t="n">
        <v>78</v>
      </c>
      <c r="C1817" s="0" t="n">
        <v>305901</v>
      </c>
      <c r="D1817" s="0" t="s">
        <v>8169</v>
      </c>
      <c r="E1817" s="0" t="s">
        <v>1352</v>
      </c>
      <c r="F1817" s="0" t="str">
        <f aca="false">CONCATENATE(D1817," ",LEFT(H1817,4),"T=",AU1817,"D=",AV1817,"R=",AW1817,"M=",AX1817,"L=",AY1817,"B=",AZ1817)</f>
        <v>CLOVER T=1D=0R=0M=0L=4B=0</v>
      </c>
      <c r="G1817" s="0" t="s">
        <v>172</v>
      </c>
      <c r="I1817" s="0" t="s">
        <v>8174</v>
      </c>
      <c r="J1817" s="0" t="s">
        <v>3487</v>
      </c>
      <c r="K1817" s="0" t="s">
        <v>175</v>
      </c>
      <c r="M1817" s="0" t="s">
        <v>8172</v>
      </c>
      <c r="N1817" s="0" t="str">
        <f aca="false">RIGHT(M1817,LEN(M1817)-FIND(" ",M1817))</f>
        <v>MAYFLOWER ST NW</v>
      </c>
      <c r="P1817" s="0" t="s">
        <v>146</v>
      </c>
      <c r="Q1817" s="0" t="s">
        <v>147</v>
      </c>
      <c r="R1817" s="0" t="n">
        <v>44483</v>
      </c>
      <c r="AD1817" s="0" t="s">
        <v>148</v>
      </c>
      <c r="AE1817" s="0" t="s">
        <v>149</v>
      </c>
      <c r="AF1817" s="0" t="s">
        <v>150</v>
      </c>
      <c r="AH1817" s="0" t="n">
        <v>14</v>
      </c>
      <c r="AI1817" s="0" t="n">
        <v>11</v>
      </c>
      <c r="AN1817" s="0" t="s">
        <v>146</v>
      </c>
      <c r="AO1817" s="0" t="s">
        <v>151</v>
      </c>
      <c r="AP1817" s="0" t="s">
        <v>152</v>
      </c>
      <c r="AQ1817" s="0" t="n">
        <v>9</v>
      </c>
      <c r="AR1817" s="0" t="n">
        <v>64</v>
      </c>
      <c r="AS1817" s="0" t="n">
        <v>32</v>
      </c>
      <c r="AU1817" s="0" t="n">
        <f aca="false">COUNTA($BA$1780:$EH$1780)</f>
        <v>1</v>
      </c>
      <c r="AV1817" s="0" t="n">
        <f aca="false">COUNTIF($BA$1780:$EH$1780,"D")</f>
        <v>0</v>
      </c>
      <c r="AW1817" s="0" t="n">
        <f aca="false">COUNTIF($BA$1780:$EH$1780,"R")</f>
        <v>0</v>
      </c>
      <c r="AX1817" s="0" t="n">
        <f aca="false"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>0</v>
      </c>
      <c r="AY1817" s="0" t="n">
        <f aca="false">COUNTIF(DU1817:EH1817, "&lt;&gt;")</f>
        <v>4</v>
      </c>
      <c r="AZ1817" s="0" t="n">
        <f aca="false">IF(EH1817&lt;&gt;"",1,0)</f>
        <v>0</v>
      </c>
      <c r="BB1817" s="0" t="s">
        <v>153</v>
      </c>
      <c r="BH1817" s="0" t="s">
        <v>154</v>
      </c>
      <c r="BL1817" s="0" t="s">
        <v>154</v>
      </c>
      <c r="BS1817" s="0" t="s">
        <v>154</v>
      </c>
      <c r="CA1817" s="0" t="s">
        <v>154</v>
      </c>
      <c r="CK1817" s="0" t="s">
        <v>154</v>
      </c>
      <c r="CP1817" s="0" t="s">
        <v>154</v>
      </c>
      <c r="CV1817" s="0" t="s">
        <v>154</v>
      </c>
      <c r="CY1817" s="0" t="s">
        <v>154</v>
      </c>
      <c r="CZ1817" s="0" t="s">
        <v>155</v>
      </c>
      <c r="DC1817" s="0" t="s">
        <v>154</v>
      </c>
      <c r="DI1817" s="0" t="s">
        <v>154</v>
      </c>
      <c r="DN1817" s="0" t="s">
        <v>154</v>
      </c>
      <c r="DU1817" s="0" t="s">
        <v>154</v>
      </c>
      <c r="DX1817" s="0" t="s">
        <v>154</v>
      </c>
      <c r="EA1817" s="0" t="s">
        <v>154</v>
      </c>
      <c r="EF1817" s="0" t="s">
        <v>154</v>
      </c>
    </row>
    <row r="1818" customFormat="false" ht="13.8" hidden="false" customHeight="false" outlineLevel="0" collapsed="false">
      <c r="A1818" s="0" t="s">
        <v>8175</v>
      </c>
      <c r="B1818" s="0" t="n">
        <v>78</v>
      </c>
      <c r="C1818" s="0" t="n">
        <v>449123</v>
      </c>
      <c r="D1818" s="0" t="s">
        <v>3644</v>
      </c>
      <c r="E1818" s="0" t="s">
        <v>1893</v>
      </c>
      <c r="F1818" s="0" t="str">
        <f aca="false">CONCATENATE(D1818," ",LEFT(H1818,4),"T=",AU1818,"D=",AV1818,"R=",AW1818,"M=",AX1818,"L=",AY1818,"B=",AZ1818)</f>
        <v>JENKINS T=25D=5R=0M=0L=2B=0</v>
      </c>
      <c r="G1818" s="0" t="s">
        <v>2478</v>
      </c>
      <c r="I1818" s="0" t="s">
        <v>8176</v>
      </c>
      <c r="J1818" s="0" t="s">
        <v>8177</v>
      </c>
      <c r="K1818" s="0" t="s">
        <v>175</v>
      </c>
      <c r="M1818" s="0" t="s">
        <v>8172</v>
      </c>
      <c r="N1818" s="0" t="str">
        <f aca="false">RIGHT(M1818,LEN(M1818)-FIND(" ",M1818))</f>
        <v>MAYFLOWER ST NW</v>
      </c>
      <c r="P1818" s="0" t="s">
        <v>146</v>
      </c>
      <c r="Q1818" s="0" t="s">
        <v>147</v>
      </c>
      <c r="R1818" s="0" t="n">
        <v>44483</v>
      </c>
      <c r="AD1818" s="0" t="s">
        <v>148</v>
      </c>
      <c r="AE1818" s="0" t="s">
        <v>149</v>
      </c>
      <c r="AF1818" s="0" t="s">
        <v>150</v>
      </c>
      <c r="AH1818" s="0" t="n">
        <v>14</v>
      </c>
      <c r="AI1818" s="0" t="n">
        <v>11</v>
      </c>
      <c r="AN1818" s="0" t="s">
        <v>146</v>
      </c>
      <c r="AO1818" s="0" t="s">
        <v>151</v>
      </c>
      <c r="AP1818" s="0" t="s">
        <v>152</v>
      </c>
      <c r="AQ1818" s="0" t="n">
        <v>9</v>
      </c>
      <c r="AR1818" s="0" t="n">
        <v>64</v>
      </c>
      <c r="AS1818" s="0" t="n">
        <v>32</v>
      </c>
      <c r="AU1818" s="0" t="n">
        <f aca="false">COUNTA($BA$1982:$EH$1982)</f>
        <v>25</v>
      </c>
      <c r="AV1818" s="0" t="n">
        <f aca="false">COUNTIF($BA$1982:$EH$1982,"D")</f>
        <v>5</v>
      </c>
      <c r="AW1818" s="0" t="n">
        <f aca="false">COUNTIF($BA$1982:$EH$1982,"R")</f>
        <v>0</v>
      </c>
      <c r="AX1818" s="0" t="n">
        <f aca="false"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>0</v>
      </c>
      <c r="AY1818" s="0" t="n">
        <f aca="false">COUNTIF(DU1818:EH1818, "&lt;&gt;")</f>
        <v>2</v>
      </c>
      <c r="AZ1818" s="0" t="n">
        <f aca="false">IF(EH1818&lt;&gt;"",1,0)</f>
        <v>0</v>
      </c>
      <c r="BB1818" s="0" t="s">
        <v>153</v>
      </c>
      <c r="DN1818" s="0" t="s">
        <v>154</v>
      </c>
      <c r="DU1818" s="0" t="s">
        <v>154</v>
      </c>
      <c r="EF1818" s="0" t="s">
        <v>154</v>
      </c>
    </row>
    <row r="1819" customFormat="false" ht="13.8" hidden="true" customHeight="false" outlineLevel="0" collapsed="false">
      <c r="A1819" s="0" t="s">
        <v>8178</v>
      </c>
      <c r="B1819" s="0" t="n">
        <v>78</v>
      </c>
      <c r="C1819" s="0" t="n">
        <v>495280</v>
      </c>
      <c r="D1819" s="0" t="s">
        <v>8179</v>
      </c>
      <c r="E1819" s="0" t="s">
        <v>8180</v>
      </c>
      <c r="F1819" s="0" t="str">
        <f aca="false">CONCATENATE(D1819," ",LEFT(H1819,4),"T=",AU1819,"D=",AV1819,"R=",AW1819,"M=",AX1819,"L=",AY1819,"B=",AZ1819)</f>
        <v>MINOR T=4D=0R=0M=0L=0B=0</v>
      </c>
      <c r="G1819" s="0" t="s">
        <v>8181</v>
      </c>
      <c r="I1819" s="0" t="s">
        <v>8182</v>
      </c>
      <c r="J1819" s="0" t="s">
        <v>5147</v>
      </c>
      <c r="K1819" s="0" t="s">
        <v>175</v>
      </c>
      <c r="L1819" s="0"/>
      <c r="M1819" s="0" t="s">
        <v>8183</v>
      </c>
      <c r="N1819" s="0" t="str">
        <f aca="false">RIGHT(M1819,LEN(M1819)-FIND(" ",M1819))</f>
        <v>MAYFLOWER ST NW</v>
      </c>
      <c r="P1819" s="0" t="s">
        <v>146</v>
      </c>
      <c r="Q1819" s="0" t="s">
        <v>147</v>
      </c>
      <c r="R1819" s="0" t="n">
        <v>44483</v>
      </c>
      <c r="AD1819" s="0" t="s">
        <v>148</v>
      </c>
      <c r="AE1819" s="0" t="s">
        <v>149</v>
      </c>
      <c r="AF1819" s="0" t="s">
        <v>150</v>
      </c>
      <c r="AH1819" s="0" t="n">
        <v>14</v>
      </c>
      <c r="AI1819" s="0" t="n">
        <v>11</v>
      </c>
      <c r="AN1819" s="0" t="s">
        <v>146</v>
      </c>
      <c r="AO1819" s="0" t="s">
        <v>151</v>
      </c>
      <c r="AP1819" s="0" t="s">
        <v>152</v>
      </c>
      <c r="AQ1819" s="0" t="n">
        <v>9</v>
      </c>
      <c r="AR1819" s="0" t="n">
        <v>64</v>
      </c>
      <c r="AS1819" s="0" t="n">
        <v>32</v>
      </c>
      <c r="AU1819" s="0" t="n">
        <f aca="false">COUNTA($BA$1324:$EH$1324)</f>
        <v>4</v>
      </c>
      <c r="AV1819" s="0" t="n">
        <f aca="false">COUNTIF($BA$1324:$EH$1324,"D")</f>
        <v>0</v>
      </c>
      <c r="AW1819" s="0" t="n">
        <f aca="false">COUNTIF($BA$1324:$EH$1324,"R")</f>
        <v>0</v>
      </c>
      <c r="AX1819" s="0" t="n">
        <f aca="false"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>0</v>
      </c>
      <c r="AY1819" s="0" t="n">
        <f aca="false">COUNTIF(DU1819:EH1819, "&lt;&gt;")</f>
        <v>0</v>
      </c>
      <c r="AZ1819" s="0" t="n">
        <f aca="false">IF(EH1819&lt;&gt;"",1,0)</f>
        <v>0</v>
      </c>
      <c r="BB1819" s="0" t="s">
        <v>153</v>
      </c>
    </row>
    <row r="1820" customFormat="false" ht="13.8" hidden="true" customHeight="false" outlineLevel="0" collapsed="false">
      <c r="A1820" s="0" t="s">
        <v>8184</v>
      </c>
      <c r="B1820" s="0" t="n">
        <v>78</v>
      </c>
      <c r="C1820" s="0" t="n">
        <v>310400</v>
      </c>
      <c r="D1820" s="0" t="s">
        <v>5841</v>
      </c>
      <c r="E1820" s="0" t="s">
        <v>8185</v>
      </c>
      <c r="F1820" s="0" t="str">
        <f aca="false">CONCATENATE(D1820," ",LEFT(H1820,4),"T=",AU1820,"D=",AV1820,"R=",AW1820,"M=",AX1820,"L=",AY1820,"B=",AZ1820)</f>
        <v>GREEN T=49D=16R=0M=0L=1B=0</v>
      </c>
      <c r="I1820" s="0" t="s">
        <v>8186</v>
      </c>
      <c r="J1820" s="0" t="s">
        <v>8187</v>
      </c>
      <c r="K1820" s="0" t="s">
        <v>175</v>
      </c>
      <c r="L1820" s="0"/>
      <c r="M1820" s="0" t="s">
        <v>8183</v>
      </c>
      <c r="N1820" s="0" t="str">
        <f aca="false">RIGHT(M1820,LEN(M1820)-FIND(" ",M1820))</f>
        <v>MAYFLOWER ST NW</v>
      </c>
      <c r="P1820" s="0" t="s">
        <v>146</v>
      </c>
      <c r="Q1820" s="0" t="s">
        <v>147</v>
      </c>
      <c r="R1820" s="0" t="n">
        <v>44483</v>
      </c>
      <c r="AD1820" s="0" t="s">
        <v>148</v>
      </c>
      <c r="AE1820" s="0" t="s">
        <v>149</v>
      </c>
      <c r="AF1820" s="0" t="s">
        <v>150</v>
      </c>
      <c r="AH1820" s="0" t="n">
        <v>14</v>
      </c>
      <c r="AI1820" s="0" t="n">
        <v>11</v>
      </c>
      <c r="AN1820" s="0" t="s">
        <v>146</v>
      </c>
      <c r="AO1820" s="0" t="s">
        <v>151</v>
      </c>
      <c r="AP1820" s="0" t="s">
        <v>152</v>
      </c>
      <c r="AQ1820" s="0" t="n">
        <v>9</v>
      </c>
      <c r="AR1820" s="0" t="n">
        <v>64</v>
      </c>
      <c r="AS1820" s="0" t="n">
        <v>32</v>
      </c>
      <c r="AU1820" s="0" t="n">
        <f aca="false">COUNTA($BA$1652:$EH$1652)</f>
        <v>49</v>
      </c>
      <c r="AV1820" s="0" t="n">
        <f aca="false">COUNTIF($BA$1652:$EH$1652,"D")</f>
        <v>16</v>
      </c>
      <c r="AW1820" s="0" t="n">
        <f aca="false">COUNTIF($BA$1652:$EH$1652,"R")</f>
        <v>0</v>
      </c>
      <c r="AX1820" s="0" t="n">
        <f aca="false"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>0</v>
      </c>
      <c r="AY1820" s="0" t="n">
        <f aca="false">COUNTIF(DU1820:EH1820, "&lt;&gt;")</f>
        <v>1</v>
      </c>
      <c r="AZ1820" s="0" t="n">
        <f aca="false">IF(EH1820&lt;&gt;"",1,0)</f>
        <v>0</v>
      </c>
      <c r="BB1820" s="0" t="s">
        <v>153</v>
      </c>
      <c r="BL1820" s="0" t="s">
        <v>154</v>
      </c>
      <c r="CP1820" s="0" t="s">
        <v>154</v>
      </c>
      <c r="CV1820" s="0" t="s">
        <v>154</v>
      </c>
      <c r="CY1820" s="0" t="s">
        <v>154</v>
      </c>
      <c r="DC1820" s="0" t="s">
        <v>154</v>
      </c>
      <c r="DI1820" s="0" t="s">
        <v>154</v>
      </c>
      <c r="EF1820" s="0" t="s">
        <v>154</v>
      </c>
    </row>
    <row r="1821" customFormat="false" ht="13.8" hidden="true" customHeight="false" outlineLevel="0" collapsed="false">
      <c r="A1821" s="0" t="s">
        <v>8188</v>
      </c>
      <c r="B1821" s="0" t="n">
        <v>78</v>
      </c>
      <c r="C1821" s="0" t="n">
        <v>439074</v>
      </c>
      <c r="D1821" s="0" t="s">
        <v>8179</v>
      </c>
      <c r="E1821" s="0" t="s">
        <v>8189</v>
      </c>
      <c r="F1821" s="0" t="str">
        <f aca="false">CONCATENATE(D1821," ",LEFT(H1821,4),"T=",AU1821,"D=",AV1821,"R=",AW1821,"M=",AX1821,"L=",AY1821,"B=",AZ1821)</f>
        <v>MINOR T=16D=3R=0M=0L=0B=0</v>
      </c>
      <c r="G1821" s="0" t="s">
        <v>8190</v>
      </c>
      <c r="I1821" s="0" t="s">
        <v>8191</v>
      </c>
      <c r="J1821" s="0" t="s">
        <v>6310</v>
      </c>
      <c r="K1821" s="0" t="s">
        <v>144</v>
      </c>
      <c r="L1821" s="0"/>
      <c r="M1821" s="0" t="s">
        <v>8183</v>
      </c>
      <c r="N1821" s="0" t="str">
        <f aca="false">RIGHT(M1821,LEN(M1821)-FIND(" ",M1821))</f>
        <v>MAYFLOWER ST NW</v>
      </c>
      <c r="P1821" s="0" t="s">
        <v>146</v>
      </c>
      <c r="Q1821" s="0" t="s">
        <v>147</v>
      </c>
      <c r="R1821" s="0" t="n">
        <v>44483</v>
      </c>
      <c r="AD1821" s="0" t="s">
        <v>148</v>
      </c>
      <c r="AE1821" s="0" t="s">
        <v>149</v>
      </c>
      <c r="AF1821" s="0" t="s">
        <v>150</v>
      </c>
      <c r="AH1821" s="0" t="n">
        <v>14</v>
      </c>
      <c r="AI1821" s="0" t="n">
        <v>11</v>
      </c>
      <c r="AN1821" s="0" t="s">
        <v>146</v>
      </c>
      <c r="AO1821" s="0" t="s">
        <v>151</v>
      </c>
      <c r="AP1821" s="0" t="s">
        <v>152</v>
      </c>
      <c r="AQ1821" s="0" t="n">
        <v>9</v>
      </c>
      <c r="AR1821" s="0" t="n">
        <v>64</v>
      </c>
      <c r="AS1821" s="0" t="n">
        <v>32</v>
      </c>
      <c r="AU1821" s="0" t="n">
        <f aca="false">COUNTA($BA$1910:$EH$1910)</f>
        <v>16</v>
      </c>
      <c r="AV1821" s="0" t="n">
        <f aca="false">COUNTIF($BA$1910:$EH$1910,"D")</f>
        <v>3</v>
      </c>
      <c r="AW1821" s="0" t="n">
        <f aca="false">COUNTIF($BA$1910:$EH$1910,"R")</f>
        <v>0</v>
      </c>
      <c r="AX1821" s="0" t="n">
        <f aca="false"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>0</v>
      </c>
      <c r="AY1821" s="0" t="n">
        <f aca="false">COUNTIF(DU1821:EH1821, "&lt;&gt;")</f>
        <v>0</v>
      </c>
      <c r="AZ1821" s="0" t="n">
        <f aca="false">IF(EH1821&lt;&gt;"",1,0)</f>
        <v>0</v>
      </c>
      <c r="BB1821" s="0" t="s">
        <v>153</v>
      </c>
    </row>
    <row r="1822" customFormat="false" ht="13.8" hidden="true" customHeight="false" outlineLevel="0" collapsed="false">
      <c r="A1822" s="0" t="s">
        <v>8192</v>
      </c>
      <c r="B1822" s="0" t="n">
        <v>78</v>
      </c>
      <c r="C1822" s="0" t="n">
        <v>379150</v>
      </c>
      <c r="D1822" s="0" t="s">
        <v>8193</v>
      </c>
      <c r="E1822" s="0" t="s">
        <v>2900</v>
      </c>
      <c r="F1822" s="0" t="str">
        <f aca="false">CONCATENATE(D1822," ",LEFT(H1822,4),"T=",AU1822,"D=",AV1822,"R=",AW1822,"M=",AX1822,"L=",AY1822,"B=",AZ1822)</f>
        <v>NOBLE T=24D=7R=0M=0L=0B=0</v>
      </c>
      <c r="G1822" s="0" t="s">
        <v>429</v>
      </c>
      <c r="I1822" s="0" t="s">
        <v>8194</v>
      </c>
      <c r="J1822" s="0" t="s">
        <v>8195</v>
      </c>
      <c r="K1822" s="0" t="s">
        <v>175</v>
      </c>
      <c r="L1822" s="0"/>
      <c r="M1822" s="0" t="s">
        <v>8196</v>
      </c>
      <c r="N1822" s="0" t="str">
        <f aca="false">RIGHT(M1822,LEN(M1822)-FIND(" ",M1822))</f>
        <v>MAYFLOWER ST NW</v>
      </c>
      <c r="P1822" s="0" t="s">
        <v>146</v>
      </c>
      <c r="Q1822" s="0" t="s">
        <v>147</v>
      </c>
      <c r="R1822" s="0" t="n">
        <v>44483</v>
      </c>
      <c r="AD1822" s="0" t="s">
        <v>148</v>
      </c>
      <c r="AE1822" s="0" t="s">
        <v>149</v>
      </c>
      <c r="AF1822" s="0" t="s">
        <v>150</v>
      </c>
      <c r="AH1822" s="0" t="n">
        <v>14</v>
      </c>
      <c r="AI1822" s="0" t="n">
        <v>11</v>
      </c>
      <c r="AN1822" s="0" t="s">
        <v>146</v>
      </c>
      <c r="AO1822" s="0" t="s">
        <v>151</v>
      </c>
      <c r="AP1822" s="0" t="s">
        <v>152</v>
      </c>
      <c r="AQ1822" s="0" t="n">
        <v>9</v>
      </c>
      <c r="AR1822" s="0" t="n">
        <v>64</v>
      </c>
      <c r="AS1822" s="0" t="n">
        <v>32</v>
      </c>
      <c r="AU1822" s="0" t="n">
        <f aca="false">COUNTA($BA$1477:$EH$1477)</f>
        <v>24</v>
      </c>
      <c r="AV1822" s="0" t="n">
        <f aca="false">COUNTIF($BA$1477:$EH$1477,"D")</f>
        <v>7</v>
      </c>
      <c r="AW1822" s="0" t="n">
        <f aca="false">COUNTIF($BA$1477:$EH$1477,"R")</f>
        <v>0</v>
      </c>
      <c r="AX1822" s="0" t="n">
        <f aca="false"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>0</v>
      </c>
      <c r="AY1822" s="0" t="n">
        <f aca="false">COUNTIF(DU1822:EH1822, "&lt;&gt;")</f>
        <v>0</v>
      </c>
      <c r="AZ1822" s="0" t="n">
        <f aca="false">IF(EH1822&lt;&gt;"",1,0)</f>
        <v>0</v>
      </c>
      <c r="BB1822" s="0" t="s">
        <v>153</v>
      </c>
      <c r="CP1822" s="0" t="s">
        <v>154</v>
      </c>
    </row>
    <row r="1823" customFormat="false" ht="13.8" hidden="false" customHeight="false" outlineLevel="0" collapsed="false">
      <c r="A1823" s="0" t="s">
        <v>8197</v>
      </c>
      <c r="B1823" s="0" t="n">
        <v>78</v>
      </c>
      <c r="C1823" s="0" t="n">
        <v>394422</v>
      </c>
      <c r="D1823" s="0" t="s">
        <v>8193</v>
      </c>
      <c r="E1823" s="0" t="s">
        <v>2236</v>
      </c>
      <c r="F1823" s="0" t="str">
        <f aca="false">CONCATENATE(D1823," ",LEFT(H1823,4),"T=",AU1823,"D=",AV1823,"R=",AW1823,"M=",AX1823,"L=",AY1823,"B=",AZ1823)</f>
        <v>NOBLE T=1D=0R=0M=1L=3B=0</v>
      </c>
      <c r="G1823" s="0" t="s">
        <v>365</v>
      </c>
      <c r="I1823" s="0" t="s">
        <v>8198</v>
      </c>
      <c r="J1823" s="0" t="s">
        <v>1256</v>
      </c>
      <c r="K1823" s="0" t="s">
        <v>175</v>
      </c>
      <c r="L1823" s="1" t="s">
        <v>155</v>
      </c>
      <c r="M1823" s="0" t="s">
        <v>8196</v>
      </c>
      <c r="N1823" s="0" t="str">
        <f aca="false">RIGHT(M1823,LEN(M1823)-FIND(" ",M1823))</f>
        <v>MAYFLOWER ST NW</v>
      </c>
      <c r="P1823" s="0" t="s">
        <v>146</v>
      </c>
      <c r="Q1823" s="0" t="s">
        <v>147</v>
      </c>
      <c r="R1823" s="0" t="n">
        <v>44483</v>
      </c>
      <c r="AD1823" s="0" t="s">
        <v>148</v>
      </c>
      <c r="AE1823" s="0" t="s">
        <v>149</v>
      </c>
      <c r="AF1823" s="0" t="s">
        <v>150</v>
      </c>
      <c r="AH1823" s="0" t="n">
        <v>14</v>
      </c>
      <c r="AI1823" s="0" t="n">
        <v>11</v>
      </c>
      <c r="AN1823" s="0" t="s">
        <v>146</v>
      </c>
      <c r="AO1823" s="0" t="s">
        <v>151</v>
      </c>
      <c r="AP1823" s="0" t="s">
        <v>152</v>
      </c>
      <c r="AQ1823" s="0" t="n">
        <v>9</v>
      </c>
      <c r="AR1823" s="0" t="n">
        <v>64</v>
      </c>
      <c r="AS1823" s="0" t="n">
        <v>32</v>
      </c>
      <c r="AU1823" s="0" t="n">
        <f aca="false">COUNTA($BA$1646:$EH$1646)</f>
        <v>1</v>
      </c>
      <c r="AV1823" s="0" t="n">
        <f aca="false">COUNTIF($BA$1646:$EH$1646,"D")</f>
        <v>0</v>
      </c>
      <c r="AW1823" s="0" t="n">
        <f aca="false">COUNTIF($BA$1646:$EH$1646,"R")</f>
        <v>0</v>
      </c>
      <c r="AX1823" s="0" t="n">
        <f aca="false"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>1</v>
      </c>
      <c r="AY1823" s="0" t="n">
        <f aca="false">COUNTIF(DU1823:EH1823, "&lt;&gt;")</f>
        <v>3</v>
      </c>
      <c r="AZ1823" s="0" t="n">
        <f aca="false">IF(EH1823&lt;&gt;"",1,0)</f>
        <v>0</v>
      </c>
      <c r="BB1823" s="0" t="s">
        <v>153</v>
      </c>
      <c r="BD1823" s="0" t="s">
        <v>154</v>
      </c>
      <c r="BL1823" s="0" t="s">
        <v>154</v>
      </c>
      <c r="DC1823" s="0" t="s">
        <v>154</v>
      </c>
      <c r="DI1823" s="0" t="s">
        <v>154</v>
      </c>
      <c r="DN1823" s="0" t="s">
        <v>154</v>
      </c>
      <c r="DW1823" s="0" t="s">
        <v>155</v>
      </c>
      <c r="EA1823" s="0" t="s">
        <v>154</v>
      </c>
      <c r="EF1823" s="0" t="s">
        <v>154</v>
      </c>
    </row>
    <row r="1824" customFormat="false" ht="13.8" hidden="false" customHeight="false" outlineLevel="0" collapsed="false">
      <c r="A1824" s="0" t="s">
        <v>8199</v>
      </c>
      <c r="B1824" s="0" t="n">
        <v>78</v>
      </c>
      <c r="C1824" s="0" t="n">
        <v>426475</v>
      </c>
      <c r="D1824" s="0" t="s">
        <v>8200</v>
      </c>
      <c r="E1824" s="0" t="s">
        <v>7654</v>
      </c>
      <c r="F1824" s="0" t="str">
        <f aca="false">CONCATENATE(D1824," ",LEFT(H1824,4),"T=",AU1824,"D=",AV1824,"R=",AW1824,"M=",AX1824,"L=",AY1824,"B=",AZ1824)</f>
        <v>LIGHTNER T=45D=16R=0M=1L=2B=0</v>
      </c>
      <c r="G1824" s="0" t="s">
        <v>8201</v>
      </c>
      <c r="I1824" s="0" t="s">
        <v>8202</v>
      </c>
      <c r="J1824" s="0" t="s">
        <v>5323</v>
      </c>
      <c r="K1824" s="0" t="s">
        <v>175</v>
      </c>
      <c r="L1824" s="1" t="s">
        <v>155</v>
      </c>
      <c r="M1824" s="0" t="s">
        <v>8196</v>
      </c>
      <c r="N1824" s="0" t="str">
        <f aca="false">RIGHT(M1824,LEN(M1824)-FIND(" ",M1824))</f>
        <v>MAYFLOWER ST NW</v>
      </c>
      <c r="P1824" s="0" t="s">
        <v>146</v>
      </c>
      <c r="Q1824" s="0" t="s">
        <v>147</v>
      </c>
      <c r="R1824" s="0" t="n">
        <v>44483</v>
      </c>
      <c r="AD1824" s="0" t="s">
        <v>148</v>
      </c>
      <c r="AE1824" s="0" t="s">
        <v>149</v>
      </c>
      <c r="AF1824" s="0" t="s">
        <v>150</v>
      </c>
      <c r="AH1824" s="0" t="n">
        <v>14</v>
      </c>
      <c r="AI1824" s="0" t="n">
        <v>11</v>
      </c>
      <c r="AN1824" s="0" t="s">
        <v>146</v>
      </c>
      <c r="AO1824" s="0" t="s">
        <v>151</v>
      </c>
      <c r="AP1824" s="0" t="s">
        <v>152</v>
      </c>
      <c r="AQ1824" s="0" t="n">
        <v>9</v>
      </c>
      <c r="AR1824" s="0" t="n">
        <v>64</v>
      </c>
      <c r="AS1824" s="0" t="n">
        <v>32</v>
      </c>
      <c r="AU1824" s="0" t="n">
        <f aca="false">COUNTA($BA$1708:$EH$1708)</f>
        <v>45</v>
      </c>
      <c r="AV1824" s="0" t="n">
        <f aca="false">COUNTIF($BA$1708:$EH$1708,"D")</f>
        <v>16</v>
      </c>
      <c r="AW1824" s="0" t="n">
        <f aca="false">COUNTIF($BA$1708:$EH$1708,"R")</f>
        <v>0</v>
      </c>
      <c r="AX1824" s="0" t="n">
        <f aca="false"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>1</v>
      </c>
      <c r="AY1824" s="0" t="n">
        <f aca="false">COUNTIF(DU1824:EH1824, "&lt;&gt;")</f>
        <v>2</v>
      </c>
      <c r="AZ1824" s="0" t="n">
        <f aca="false">IF(EH1824&lt;&gt;"",1,0)</f>
        <v>0</v>
      </c>
      <c r="BB1824" s="0" t="s">
        <v>153</v>
      </c>
      <c r="DN1824" s="0" t="s">
        <v>154</v>
      </c>
      <c r="DW1824" s="0" t="s">
        <v>155</v>
      </c>
      <c r="EF1824" s="0" t="s">
        <v>154</v>
      </c>
    </row>
    <row r="1825" customFormat="false" ht="13.8" hidden="false" customHeight="false" outlineLevel="0" collapsed="false">
      <c r="A1825" s="0" t="s">
        <v>8203</v>
      </c>
      <c r="B1825" s="0" t="n">
        <v>78</v>
      </c>
      <c r="C1825" s="0" t="n">
        <v>283377</v>
      </c>
      <c r="D1825" s="0" t="s">
        <v>8200</v>
      </c>
      <c r="E1825" s="0" t="s">
        <v>2044</v>
      </c>
      <c r="F1825" s="0" t="str">
        <f aca="false">CONCATENATE(D1825," ",LEFT(H1825,4),"T=",AU1825,"D=",AV1825,"R=",AW1825,"M=",AX1825,"L=",AY1825,"B=",AZ1825)</f>
        <v>LIGHTNER T=1D=0R=0M=1L=2B=0</v>
      </c>
      <c r="I1825" s="0" t="s">
        <v>8204</v>
      </c>
      <c r="J1825" s="0" t="s">
        <v>395</v>
      </c>
      <c r="K1825" s="0" t="s">
        <v>175</v>
      </c>
      <c r="L1825" s="1" t="s">
        <v>155</v>
      </c>
      <c r="M1825" s="0" t="s">
        <v>8196</v>
      </c>
      <c r="N1825" s="0" t="str">
        <f aca="false">RIGHT(M1825,LEN(M1825)-FIND(" ",M1825))</f>
        <v>MAYFLOWER ST NW</v>
      </c>
      <c r="P1825" s="0" t="s">
        <v>146</v>
      </c>
      <c r="Q1825" s="0" t="s">
        <v>147</v>
      </c>
      <c r="R1825" s="0" t="n">
        <v>44483</v>
      </c>
      <c r="AD1825" s="0" t="s">
        <v>148</v>
      </c>
      <c r="AE1825" s="0" t="s">
        <v>149</v>
      </c>
      <c r="AF1825" s="0" t="s">
        <v>150</v>
      </c>
      <c r="AH1825" s="0" t="n">
        <v>14</v>
      </c>
      <c r="AI1825" s="0" t="n">
        <v>11</v>
      </c>
      <c r="AN1825" s="0" t="s">
        <v>146</v>
      </c>
      <c r="AO1825" s="0" t="s">
        <v>151</v>
      </c>
      <c r="AP1825" s="0" t="s">
        <v>152</v>
      </c>
      <c r="AQ1825" s="0" t="n">
        <v>9</v>
      </c>
      <c r="AR1825" s="0" t="n">
        <v>64</v>
      </c>
      <c r="AS1825" s="0" t="n">
        <v>32</v>
      </c>
      <c r="AU1825" s="0" t="n">
        <f aca="false">COUNTA($BA$1819:$EH$1819)</f>
        <v>1</v>
      </c>
      <c r="AV1825" s="0" t="n">
        <f aca="false">COUNTIF($BA$1819:$EH$1819,"D")</f>
        <v>0</v>
      </c>
      <c r="AW1825" s="0" t="n">
        <f aca="false">COUNTIF($BA$1819:$EH$1819,"R")</f>
        <v>0</v>
      </c>
      <c r="AX1825" s="0" t="n">
        <f aca="false"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>1</v>
      </c>
      <c r="AY1825" s="0" t="n">
        <f aca="false">COUNTIF(DU1825:EH1825, "&lt;&gt;")</f>
        <v>2</v>
      </c>
      <c r="AZ1825" s="0" t="n">
        <f aca="false">IF(EH1825&lt;&gt;"",1,0)</f>
        <v>0</v>
      </c>
      <c r="BB1825" s="0" t="s">
        <v>153</v>
      </c>
      <c r="BL1825" s="0" t="s">
        <v>154</v>
      </c>
      <c r="BP1825" s="0" t="s">
        <v>154</v>
      </c>
      <c r="BS1825" s="0" t="s">
        <v>154</v>
      </c>
      <c r="BY1825" s="0" t="s">
        <v>155</v>
      </c>
      <c r="CA1825" s="0" t="s">
        <v>154</v>
      </c>
      <c r="CG1825" s="0" t="s">
        <v>154</v>
      </c>
      <c r="CP1825" s="0" t="s">
        <v>154</v>
      </c>
      <c r="DC1825" s="0" t="s">
        <v>154</v>
      </c>
      <c r="DI1825" s="0" t="s">
        <v>154</v>
      </c>
      <c r="DN1825" s="0" t="s">
        <v>154</v>
      </c>
      <c r="DW1825" s="0" t="s">
        <v>155</v>
      </c>
      <c r="EF1825" s="0" t="s">
        <v>154</v>
      </c>
    </row>
    <row r="1826" customFormat="false" ht="13.8" hidden="false" customHeight="false" outlineLevel="0" collapsed="false">
      <c r="A1826" s="0" t="s">
        <v>8205</v>
      </c>
      <c r="B1826" s="0" t="n">
        <v>78</v>
      </c>
      <c r="C1826" s="0" t="n">
        <v>372459</v>
      </c>
      <c r="D1826" s="0" t="s">
        <v>8206</v>
      </c>
      <c r="E1826" s="0" t="s">
        <v>8207</v>
      </c>
      <c r="F1826" s="0" t="str">
        <f aca="false">CONCATENATE(D1826," ",LEFT(H1826,4),"T=",AU1826,"D=",AV1826,"R=",AW1826,"M=",AX1826,"L=",AY1826,"B=",AZ1826)</f>
        <v>NAHM T=28D=3R=1M=2L=2B=0</v>
      </c>
      <c r="G1826" s="0" t="s">
        <v>166</v>
      </c>
      <c r="I1826" s="0" t="s">
        <v>8208</v>
      </c>
      <c r="J1826" s="0" t="s">
        <v>8209</v>
      </c>
      <c r="K1826" s="0" t="s">
        <v>175</v>
      </c>
      <c r="L1826" s="1" t="s">
        <v>155</v>
      </c>
      <c r="M1826" s="0" t="s">
        <v>8210</v>
      </c>
      <c r="N1826" s="0" t="str">
        <f aca="false">RIGHT(M1826,LEN(M1826)-FIND(" ",M1826))</f>
        <v>MAYFLOWER ST NW</v>
      </c>
      <c r="P1826" s="0" t="s">
        <v>146</v>
      </c>
      <c r="Q1826" s="0" t="s">
        <v>147</v>
      </c>
      <c r="R1826" s="0" t="n">
        <v>44483</v>
      </c>
      <c r="AD1826" s="0" t="s">
        <v>148</v>
      </c>
      <c r="AE1826" s="0" t="s">
        <v>149</v>
      </c>
      <c r="AF1826" s="0" t="s">
        <v>150</v>
      </c>
      <c r="AH1826" s="0" t="n">
        <v>14</v>
      </c>
      <c r="AI1826" s="0" t="n">
        <v>11</v>
      </c>
      <c r="AN1826" s="0" t="s">
        <v>146</v>
      </c>
      <c r="AO1826" s="0" t="s">
        <v>151</v>
      </c>
      <c r="AP1826" s="0" t="s">
        <v>152</v>
      </c>
      <c r="AQ1826" s="0" t="n">
        <v>9</v>
      </c>
      <c r="AR1826" s="0" t="n">
        <v>64</v>
      </c>
      <c r="AS1826" s="0" t="n">
        <v>32</v>
      </c>
      <c r="AU1826" s="0" t="n">
        <f aca="false">COUNTA($BA$1410:$EH$1410)</f>
        <v>28</v>
      </c>
      <c r="AV1826" s="0" t="n">
        <f aca="false">COUNTIF($BA$1410:$EH$1410,"D")</f>
        <v>3</v>
      </c>
      <c r="AW1826" s="0" t="n">
        <f aca="false">COUNTIF($BA$1410:$EH$1410,"R")</f>
        <v>1</v>
      </c>
      <c r="AX1826" s="0" t="n">
        <f aca="false"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>2</v>
      </c>
      <c r="AY1826" s="0" t="n">
        <f aca="false">COUNTIF(DU1826:EH1826, "&lt;&gt;")</f>
        <v>2</v>
      </c>
      <c r="AZ1826" s="0" t="n">
        <f aca="false">IF(EH1826&lt;&gt;"",1,0)</f>
        <v>0</v>
      </c>
      <c r="BB1826" s="0" t="s">
        <v>153</v>
      </c>
      <c r="CK1826" s="0" t="s">
        <v>154</v>
      </c>
      <c r="CP1826" s="0" t="s">
        <v>154</v>
      </c>
      <c r="CV1826" s="0" t="s">
        <v>154</v>
      </c>
      <c r="CY1826" s="0" t="s">
        <v>154</v>
      </c>
      <c r="CZ1826" s="0" t="s">
        <v>176</v>
      </c>
      <c r="DC1826" s="0" t="s">
        <v>154</v>
      </c>
      <c r="DL1826" s="0" t="s">
        <v>154</v>
      </c>
      <c r="DN1826" s="0" t="s">
        <v>154</v>
      </c>
      <c r="DO1826" s="0" t="s">
        <v>155</v>
      </c>
      <c r="DR1826" s="0" t="s">
        <v>154</v>
      </c>
      <c r="DT1826" s="0" t="s">
        <v>155</v>
      </c>
      <c r="DW1826" s="0" t="s">
        <v>155</v>
      </c>
      <c r="EF1826" s="0" t="s">
        <v>154</v>
      </c>
    </row>
    <row r="1827" customFormat="false" ht="13.8" hidden="true" customHeight="false" outlineLevel="0" collapsed="false">
      <c r="A1827" s="0" t="s">
        <v>8211</v>
      </c>
      <c r="B1827" s="0" t="n">
        <v>78</v>
      </c>
      <c r="C1827" s="0" t="n">
        <v>372926</v>
      </c>
      <c r="D1827" s="0" t="s">
        <v>8206</v>
      </c>
      <c r="E1827" s="0" t="s">
        <v>744</v>
      </c>
      <c r="F1827" s="0" t="str">
        <f aca="false">CONCATENATE(D1827," ",LEFT(H1827,4),"T=",AU1827,"D=",AV1827,"R=",AW1827,"M=",AX1827,"L=",AY1827,"B=",AZ1827)</f>
        <v>NAHM T=7D=0R=0M=0L=0B=0</v>
      </c>
      <c r="G1827" s="0" t="s">
        <v>172</v>
      </c>
      <c r="I1827" s="0" t="s">
        <v>8212</v>
      </c>
      <c r="J1827" s="0" t="s">
        <v>325</v>
      </c>
      <c r="K1827" s="0" t="s">
        <v>175</v>
      </c>
      <c r="L1827" s="0"/>
      <c r="M1827" s="0" t="s">
        <v>8210</v>
      </c>
      <c r="N1827" s="0" t="str">
        <f aca="false">RIGHT(M1827,LEN(M1827)-FIND(" ",M1827))</f>
        <v>MAYFLOWER ST NW</v>
      </c>
      <c r="P1827" s="0" t="s">
        <v>146</v>
      </c>
      <c r="Q1827" s="0" t="s">
        <v>147</v>
      </c>
      <c r="R1827" s="0" t="n">
        <v>44483</v>
      </c>
      <c r="AD1827" s="0" t="s">
        <v>148</v>
      </c>
      <c r="AE1827" s="0" t="s">
        <v>149</v>
      </c>
      <c r="AF1827" s="0" t="s">
        <v>150</v>
      </c>
      <c r="AH1827" s="0" t="n">
        <v>14</v>
      </c>
      <c r="AI1827" s="0" t="n">
        <v>11</v>
      </c>
      <c r="AN1827" s="0" t="s">
        <v>146</v>
      </c>
      <c r="AO1827" s="0" t="s">
        <v>151</v>
      </c>
      <c r="AP1827" s="0" t="s">
        <v>152</v>
      </c>
      <c r="AQ1827" s="0" t="n">
        <v>9</v>
      </c>
      <c r="AR1827" s="0" t="n">
        <v>64</v>
      </c>
      <c r="AS1827" s="0" t="n">
        <v>32</v>
      </c>
      <c r="AU1827" s="0" t="n">
        <f aca="false">COUNTA($BA$1907:$EH$1907)</f>
        <v>7</v>
      </c>
      <c r="AV1827" s="0" t="n">
        <f aca="false">COUNTIF($BA$1907:$EH$1907,"D")</f>
        <v>0</v>
      </c>
      <c r="AW1827" s="0" t="n">
        <f aca="false">COUNTIF($BA$1907:$EH$1907,"R")</f>
        <v>0</v>
      </c>
      <c r="AX1827" s="0" t="n">
        <f aca="false"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>0</v>
      </c>
      <c r="AY1827" s="0" t="n">
        <f aca="false">COUNTIF(DU1827:EH1827, "&lt;&gt;")</f>
        <v>0</v>
      </c>
      <c r="AZ1827" s="0" t="n">
        <f aca="false">IF(EH1827&lt;&gt;"",1,0)</f>
        <v>0</v>
      </c>
      <c r="BB1827" s="0" t="s">
        <v>153</v>
      </c>
      <c r="CY1827" s="0" t="s">
        <v>154</v>
      </c>
      <c r="DC1827" s="0" t="s">
        <v>154</v>
      </c>
    </row>
    <row r="1828" customFormat="false" ht="13.8" hidden="false" customHeight="false" outlineLevel="0" collapsed="false">
      <c r="A1828" s="0" t="s">
        <v>8213</v>
      </c>
      <c r="B1828" s="0" t="n">
        <v>78</v>
      </c>
      <c r="C1828" s="0" t="n">
        <v>160165</v>
      </c>
      <c r="D1828" s="0" t="s">
        <v>8214</v>
      </c>
      <c r="E1828" s="0" t="s">
        <v>2181</v>
      </c>
      <c r="F1828" s="0" t="str">
        <f aca="false">CONCATENATE(D1828," ",LEFT(H1828,4),"T=",AU1828,"D=",AV1828,"R=",AW1828,"M=",AX1828,"L=",AY1828,"B=",AZ1828)</f>
        <v>DECAPITO T=6D=0R=0M=3L=3B=0</v>
      </c>
      <c r="I1828" s="0" t="s">
        <v>8215</v>
      </c>
      <c r="J1828" s="0" t="s">
        <v>6053</v>
      </c>
      <c r="K1828" s="0" t="s">
        <v>175</v>
      </c>
      <c r="L1828" s="1" t="s">
        <v>155</v>
      </c>
      <c r="M1828" s="0" t="s">
        <v>8216</v>
      </c>
      <c r="N1828" s="0" t="str">
        <f aca="false">RIGHT(M1828,LEN(M1828)-FIND(" ",M1828))</f>
        <v>MAYFLOWER ST NW</v>
      </c>
      <c r="P1828" s="0" t="s">
        <v>146</v>
      </c>
      <c r="Q1828" s="0" t="s">
        <v>147</v>
      </c>
      <c r="R1828" s="0" t="n">
        <v>44483</v>
      </c>
      <c r="AD1828" s="0" t="s">
        <v>148</v>
      </c>
      <c r="AE1828" s="0" t="s">
        <v>149</v>
      </c>
      <c r="AF1828" s="0" t="s">
        <v>150</v>
      </c>
      <c r="AH1828" s="0" t="n">
        <v>14</v>
      </c>
      <c r="AI1828" s="0" t="n">
        <v>11</v>
      </c>
      <c r="AN1828" s="0" t="s">
        <v>146</v>
      </c>
      <c r="AO1828" s="0" t="s">
        <v>151</v>
      </c>
      <c r="AP1828" s="0" t="s">
        <v>152</v>
      </c>
      <c r="AQ1828" s="0" t="n">
        <v>9</v>
      </c>
      <c r="AR1828" s="0" t="n">
        <v>64</v>
      </c>
      <c r="AS1828" s="0" t="n">
        <v>32</v>
      </c>
      <c r="AU1828" s="0" t="n">
        <f aca="false">COUNTA($BA$1687:$EH$1687)</f>
        <v>6</v>
      </c>
      <c r="AV1828" s="0" t="n">
        <f aca="false">COUNTIF($BA$1687:$EH$1687,"D")</f>
        <v>0</v>
      </c>
      <c r="AW1828" s="0" t="n">
        <f aca="false">COUNTIF($BA$1687:$EH$1687,"R")</f>
        <v>0</v>
      </c>
      <c r="AX1828" s="0" t="n">
        <f aca="false"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>3</v>
      </c>
      <c r="AY1828" s="0" t="n">
        <f aca="false">COUNTIF(DU1828:EH1828, "&lt;&gt;")</f>
        <v>3</v>
      </c>
      <c r="AZ1828" s="0" t="n">
        <f aca="false">IF(EH1828&lt;&gt;"",1,0)</f>
        <v>0</v>
      </c>
      <c r="BB1828" s="0" t="s">
        <v>153</v>
      </c>
      <c r="BF1828" s="0" t="s">
        <v>154</v>
      </c>
      <c r="BG1828" s="0" t="s">
        <v>154</v>
      </c>
      <c r="BH1828" s="0" t="s">
        <v>154</v>
      </c>
      <c r="BI1828" s="0" t="s">
        <v>154</v>
      </c>
      <c r="BJ1828" s="0" t="s">
        <v>154</v>
      </c>
      <c r="BL1828" s="0" t="s">
        <v>154</v>
      </c>
      <c r="BP1828" s="0" t="s">
        <v>154</v>
      </c>
      <c r="BR1828" s="0" t="s">
        <v>154</v>
      </c>
      <c r="BS1828" s="0" t="s">
        <v>154</v>
      </c>
      <c r="CG1828" s="0" t="s">
        <v>154</v>
      </c>
      <c r="CH1828" s="0" t="s">
        <v>155</v>
      </c>
      <c r="CK1828" s="0" t="s">
        <v>154</v>
      </c>
      <c r="CL1828" s="0" t="s">
        <v>155</v>
      </c>
      <c r="CN1828" s="0" t="s">
        <v>154</v>
      </c>
      <c r="CO1828" s="0" t="s">
        <v>155</v>
      </c>
      <c r="CP1828" s="0" t="s">
        <v>154</v>
      </c>
      <c r="CY1828" s="0" t="s">
        <v>154</v>
      </c>
      <c r="CZ1828" s="0" t="s">
        <v>155</v>
      </c>
      <c r="DC1828" s="0" t="s">
        <v>154</v>
      </c>
      <c r="DD1828" s="0" t="s">
        <v>155</v>
      </c>
      <c r="DG1828" s="0" t="s">
        <v>155</v>
      </c>
      <c r="DI1828" s="0" t="s">
        <v>154</v>
      </c>
      <c r="DL1828" s="0" t="s">
        <v>154</v>
      </c>
      <c r="DM1828" s="0" t="s">
        <v>155</v>
      </c>
      <c r="DN1828" s="0" t="s">
        <v>154</v>
      </c>
      <c r="DU1828" s="0" t="s">
        <v>154</v>
      </c>
      <c r="DW1828" s="0" t="s">
        <v>155</v>
      </c>
      <c r="EF1828" s="0" t="s">
        <v>154</v>
      </c>
    </row>
    <row r="1829" customFormat="false" ht="13.8" hidden="true" customHeight="false" outlineLevel="0" collapsed="false">
      <c r="A1829" s="0" t="s">
        <v>8217</v>
      </c>
      <c r="B1829" s="0" t="n">
        <v>78</v>
      </c>
      <c r="C1829" s="0" t="n">
        <v>5993</v>
      </c>
      <c r="D1829" s="0" t="s">
        <v>8218</v>
      </c>
      <c r="E1829" s="0" t="s">
        <v>429</v>
      </c>
      <c r="F1829" s="0" t="str">
        <f aca="false">CONCATENATE(D1829," ",LEFT(H1829,4),"T=",AU1829,"D=",AV1829,"R=",AW1829,"M=",AX1829,"L=",AY1829,"B=",AZ1829)</f>
        <v>SHAMROCK T=5D=1R=0M=2L=1B=0</v>
      </c>
      <c r="G1829" s="0" t="s">
        <v>166</v>
      </c>
      <c r="I1829" s="0" t="s">
        <v>8219</v>
      </c>
      <c r="J1829" s="0" t="s">
        <v>8220</v>
      </c>
      <c r="K1829" s="0" t="s">
        <v>175</v>
      </c>
      <c r="L1829" s="0" t="s">
        <v>155</v>
      </c>
      <c r="M1829" s="0" t="s">
        <v>8221</v>
      </c>
      <c r="N1829" s="0" t="str">
        <f aca="false">RIGHT(M1829,LEN(M1829)-FIND(" ",M1829))</f>
        <v>MAYFLOWER ST NW</v>
      </c>
      <c r="P1829" s="0" t="s">
        <v>146</v>
      </c>
      <c r="Q1829" s="0" t="s">
        <v>147</v>
      </c>
      <c r="R1829" s="0" t="n">
        <v>44483</v>
      </c>
      <c r="V1829" s="0" t="s">
        <v>8222</v>
      </c>
      <c r="X1829" s="0" t="s">
        <v>8223</v>
      </c>
      <c r="Y1829" s="0" t="s">
        <v>147</v>
      </c>
      <c r="Z1829" s="0" t="n">
        <v>44077</v>
      </c>
      <c r="AD1829" s="0" t="s">
        <v>148</v>
      </c>
      <c r="AE1829" s="0" t="s">
        <v>149</v>
      </c>
      <c r="AF1829" s="0" t="s">
        <v>150</v>
      </c>
      <c r="AH1829" s="0" t="n">
        <v>14</v>
      </c>
      <c r="AI1829" s="0" t="n">
        <v>11</v>
      </c>
      <c r="AN1829" s="0" t="s">
        <v>146</v>
      </c>
      <c r="AO1829" s="0" t="s">
        <v>151</v>
      </c>
      <c r="AP1829" s="0" t="s">
        <v>152</v>
      </c>
      <c r="AQ1829" s="0" t="n">
        <v>9</v>
      </c>
      <c r="AR1829" s="0" t="n">
        <v>64</v>
      </c>
      <c r="AS1829" s="0" t="n">
        <v>32</v>
      </c>
      <c r="AU1829" s="0" t="n">
        <f aca="false">COUNTA($BA$1688:$EH$1688)</f>
        <v>5</v>
      </c>
      <c r="AV1829" s="0" t="n">
        <f aca="false">COUNTIF($BA$1688:$EH$1688,"D")</f>
        <v>1</v>
      </c>
      <c r="AW1829" s="0" t="n">
        <f aca="false">COUNTIF($BA$1688:$EH$1688,"R")</f>
        <v>0</v>
      </c>
      <c r="AX1829" s="0" t="n">
        <f aca="false"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>2</v>
      </c>
      <c r="AY1829" s="0" t="n">
        <f aca="false">COUNTIF(DU1829:EH1829, "&lt;&gt;")</f>
        <v>1</v>
      </c>
      <c r="AZ1829" s="0" t="n">
        <f aca="false">IF(EH1829&lt;&gt;"",1,0)</f>
        <v>0</v>
      </c>
      <c r="BB1829" s="0" t="s">
        <v>153</v>
      </c>
      <c r="BC1829" s="0" t="s">
        <v>154</v>
      </c>
      <c r="BD1829" s="0" t="s">
        <v>154</v>
      </c>
      <c r="BE1829" s="0" t="s">
        <v>154</v>
      </c>
      <c r="BF1829" s="0" t="s">
        <v>154</v>
      </c>
      <c r="BG1829" s="0" t="s">
        <v>154</v>
      </c>
      <c r="BH1829" s="0" t="s">
        <v>154</v>
      </c>
      <c r="BI1829" s="0" t="s">
        <v>154</v>
      </c>
      <c r="BJ1829" s="0" t="s">
        <v>154</v>
      </c>
      <c r="BK1829" s="0" t="s">
        <v>154</v>
      </c>
      <c r="BL1829" s="0" t="s">
        <v>154</v>
      </c>
      <c r="BP1829" s="0" t="s">
        <v>154</v>
      </c>
      <c r="BR1829" s="0" t="s">
        <v>154</v>
      </c>
      <c r="BY1829" s="0" t="s">
        <v>155</v>
      </c>
      <c r="CA1829" s="0" t="s">
        <v>154</v>
      </c>
      <c r="CC1829" s="0" t="s">
        <v>155</v>
      </c>
      <c r="CG1829" s="0" t="s">
        <v>154</v>
      </c>
      <c r="CL1829" s="0" t="s">
        <v>155</v>
      </c>
      <c r="CP1829" s="0" t="s">
        <v>154</v>
      </c>
      <c r="DN1829" s="0" t="s">
        <v>154</v>
      </c>
      <c r="ED1829" s="0" t="s">
        <v>155</v>
      </c>
    </row>
    <row r="1830" customFormat="false" ht="13.8" hidden="false" customHeight="false" outlineLevel="0" collapsed="false">
      <c r="A1830" s="0" t="s">
        <v>8224</v>
      </c>
      <c r="B1830" s="0" t="n">
        <v>78</v>
      </c>
      <c r="C1830" s="0" t="n">
        <v>422900</v>
      </c>
      <c r="D1830" s="0" t="s">
        <v>8206</v>
      </c>
      <c r="E1830" s="0" t="s">
        <v>8225</v>
      </c>
      <c r="F1830" s="0" t="str">
        <f aca="false">CONCATENATE(D1830," ",LEFT(H1830,4),"T=",AU1830,"D=",AV1830,"R=",AW1830,"M=",AX1830,"L=",AY1830,"B=",AZ1830)</f>
        <v>NAHM T=33D=7R=2M=0L=2B=0</v>
      </c>
      <c r="G1830" s="0" t="s">
        <v>664</v>
      </c>
      <c r="I1830" s="0" t="s">
        <v>8226</v>
      </c>
      <c r="J1830" s="0" t="s">
        <v>5403</v>
      </c>
      <c r="K1830" s="0" t="s">
        <v>175</v>
      </c>
      <c r="M1830" s="0" t="s">
        <v>8227</v>
      </c>
      <c r="N1830" s="0" t="str">
        <f aca="false">RIGHT(M1830,LEN(M1830)-FIND(" ",M1830))</f>
        <v>MAYFLOWER ST NW</v>
      </c>
      <c r="P1830" s="0" t="s">
        <v>146</v>
      </c>
      <c r="Q1830" s="0" t="s">
        <v>147</v>
      </c>
      <c r="R1830" s="0" t="n">
        <v>44483</v>
      </c>
      <c r="AD1830" s="0" t="s">
        <v>148</v>
      </c>
      <c r="AE1830" s="0" t="s">
        <v>149</v>
      </c>
      <c r="AF1830" s="0" t="s">
        <v>150</v>
      </c>
      <c r="AH1830" s="0" t="n">
        <v>14</v>
      </c>
      <c r="AI1830" s="0" t="n">
        <v>11</v>
      </c>
      <c r="AN1830" s="0" t="s">
        <v>146</v>
      </c>
      <c r="AO1830" s="0" t="s">
        <v>151</v>
      </c>
      <c r="AP1830" s="0" t="s">
        <v>152</v>
      </c>
      <c r="AQ1830" s="0" t="n">
        <v>9</v>
      </c>
      <c r="AR1830" s="0" t="n">
        <v>64</v>
      </c>
      <c r="AS1830" s="0" t="n">
        <v>32</v>
      </c>
      <c r="AU1830" s="0" t="n">
        <f aca="false">COUNTA($BA$1674:$EH$1674)</f>
        <v>33</v>
      </c>
      <c r="AV1830" s="0" t="n">
        <f aca="false">COUNTIF($BA$1674:$EH$1674,"D")</f>
        <v>7</v>
      </c>
      <c r="AW1830" s="0" t="n">
        <f aca="false">COUNTIF($BA$1674:$EH$1674,"R")</f>
        <v>2</v>
      </c>
      <c r="AX1830" s="0" t="n">
        <f aca="false"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>0</v>
      </c>
      <c r="AY1830" s="0" t="n">
        <f aca="false">COUNTIF(DU1830:EH1830, "&lt;&gt;")</f>
        <v>2</v>
      </c>
      <c r="AZ1830" s="0" t="n">
        <f aca="false">IF(EH1830&lt;&gt;"",1,0)</f>
        <v>0</v>
      </c>
      <c r="BB1830" s="0" t="s">
        <v>153</v>
      </c>
      <c r="BD1830" s="0" t="s">
        <v>154</v>
      </c>
      <c r="BE1830" s="0" t="s">
        <v>154</v>
      </c>
      <c r="BH1830" s="0" t="s">
        <v>154</v>
      </c>
      <c r="BL1830" s="0" t="s">
        <v>154</v>
      </c>
      <c r="BY1830" s="0" t="s">
        <v>155</v>
      </c>
      <c r="CA1830" s="0" t="s">
        <v>154</v>
      </c>
      <c r="DC1830" s="0" t="s">
        <v>154</v>
      </c>
      <c r="DN1830" s="0" t="s">
        <v>154</v>
      </c>
      <c r="DU1830" s="0" t="s">
        <v>154</v>
      </c>
      <c r="EF1830" s="0" t="s">
        <v>154</v>
      </c>
    </row>
    <row r="1831" customFormat="false" ht="13.8" hidden="false" customHeight="false" outlineLevel="0" collapsed="false">
      <c r="A1831" s="0" t="s">
        <v>8228</v>
      </c>
      <c r="B1831" s="0" t="n">
        <v>78</v>
      </c>
      <c r="C1831" s="0" t="n">
        <v>194236</v>
      </c>
      <c r="D1831" s="0" t="s">
        <v>8206</v>
      </c>
      <c r="E1831" s="0" t="s">
        <v>2595</v>
      </c>
      <c r="F1831" s="0" t="str">
        <f aca="false">CONCATENATE(D1831," ",LEFT(H1831,4),"T=",AU1831,"D=",AV1831,"R=",AW1831,"M=",AX1831,"L=",AY1831,"B=",AZ1831)</f>
        <v>NAHM T=4D=1R=0M=1L=3B=0</v>
      </c>
      <c r="G1831" s="0" t="s">
        <v>202</v>
      </c>
      <c r="I1831" s="0" t="s">
        <v>8229</v>
      </c>
      <c r="J1831" s="0" t="s">
        <v>8230</v>
      </c>
      <c r="K1831" s="0" t="s">
        <v>175</v>
      </c>
      <c r="L1831" s="1" t="s">
        <v>155</v>
      </c>
      <c r="M1831" s="0" t="s">
        <v>8227</v>
      </c>
      <c r="N1831" s="0" t="str">
        <f aca="false">RIGHT(M1831,LEN(M1831)-FIND(" ",M1831))</f>
        <v>MAYFLOWER ST NW</v>
      </c>
      <c r="P1831" s="0" t="s">
        <v>146</v>
      </c>
      <c r="Q1831" s="0" t="s">
        <v>147</v>
      </c>
      <c r="R1831" s="0" t="n">
        <v>44483</v>
      </c>
      <c r="AD1831" s="0" t="s">
        <v>148</v>
      </c>
      <c r="AE1831" s="0" t="s">
        <v>149</v>
      </c>
      <c r="AF1831" s="0" t="s">
        <v>150</v>
      </c>
      <c r="AH1831" s="0" t="n">
        <v>14</v>
      </c>
      <c r="AI1831" s="0" t="n">
        <v>11</v>
      </c>
      <c r="AN1831" s="0" t="s">
        <v>146</v>
      </c>
      <c r="AO1831" s="0" t="s">
        <v>151</v>
      </c>
      <c r="AP1831" s="0" t="s">
        <v>152</v>
      </c>
      <c r="AQ1831" s="0" t="n">
        <v>9</v>
      </c>
      <c r="AR1831" s="0" t="n">
        <v>64</v>
      </c>
      <c r="AS1831" s="0" t="n">
        <v>32</v>
      </c>
      <c r="AU1831" s="0" t="n">
        <f aca="false">COUNTA($BA$1889:$EH$1889)</f>
        <v>4</v>
      </c>
      <c r="AV1831" s="0" t="n">
        <f aca="false">COUNTIF($BA$1889:$EH$1889,"D")</f>
        <v>1</v>
      </c>
      <c r="AW1831" s="0" t="n">
        <f aca="false">COUNTIF($BA$1889:$EH$1889,"R")</f>
        <v>0</v>
      </c>
      <c r="AX1831" s="0" t="n">
        <f aca="false"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>1</v>
      </c>
      <c r="AY1831" s="0" t="n">
        <f aca="false">COUNTIF(DU1831:EH1831, "&lt;&gt;")</f>
        <v>3</v>
      </c>
      <c r="AZ1831" s="0" t="n">
        <f aca="false">IF(EH1831&lt;&gt;"",1,0)</f>
        <v>0</v>
      </c>
      <c r="BB1831" s="0" t="s">
        <v>153</v>
      </c>
      <c r="BD1831" s="0" t="s">
        <v>154</v>
      </c>
      <c r="BE1831" s="0" t="s">
        <v>154</v>
      </c>
      <c r="BH1831" s="0" t="s">
        <v>154</v>
      </c>
      <c r="BL1831" s="0" t="s">
        <v>154</v>
      </c>
      <c r="BS1831" s="0" t="s">
        <v>154</v>
      </c>
      <c r="BY1831" s="0" t="s">
        <v>155</v>
      </c>
      <c r="CA1831" s="0" t="s">
        <v>154</v>
      </c>
      <c r="CN1831" s="0" t="s">
        <v>154</v>
      </c>
      <c r="CP1831" s="0" t="s">
        <v>154</v>
      </c>
      <c r="CY1831" s="0" t="s">
        <v>154</v>
      </c>
      <c r="DC1831" s="0" t="s">
        <v>154</v>
      </c>
      <c r="DN1831" s="0" t="s">
        <v>154</v>
      </c>
      <c r="DU1831" s="0" t="s">
        <v>154</v>
      </c>
      <c r="DW1831" s="0" t="s">
        <v>155</v>
      </c>
      <c r="EF1831" s="0" t="s">
        <v>154</v>
      </c>
    </row>
    <row r="1832" customFormat="false" ht="13.8" hidden="true" customHeight="false" outlineLevel="0" collapsed="false">
      <c r="A1832" s="0" t="s">
        <v>8231</v>
      </c>
      <c r="B1832" s="0" t="n">
        <v>78</v>
      </c>
      <c r="C1832" s="0" t="n">
        <v>491230</v>
      </c>
      <c r="D1832" s="0" t="s">
        <v>8232</v>
      </c>
      <c r="E1832" s="0" t="s">
        <v>139</v>
      </c>
      <c r="F1832" s="0" t="str">
        <f aca="false">CONCATENATE(D1832," ",LEFT(H1832,4),"T=",AU1832,"D=",AV1832,"R=",AW1832,"M=",AX1832,"L=",AY1832,"B=",AZ1832)</f>
        <v>SHUSTER T=1D=0R=0M=0L=1B=0</v>
      </c>
      <c r="G1832" s="0" t="s">
        <v>297</v>
      </c>
      <c r="I1832" s="0" t="s">
        <v>8233</v>
      </c>
      <c r="J1832" s="0" t="s">
        <v>1908</v>
      </c>
      <c r="K1832" s="0" t="s">
        <v>175</v>
      </c>
      <c r="L1832" s="0"/>
      <c r="M1832" s="0" t="s">
        <v>8234</v>
      </c>
      <c r="N1832" s="0" t="str">
        <f aca="false">RIGHT(M1832,LEN(M1832)-FIND(" ",M1832))</f>
        <v>MAYFLOWER ST NW</v>
      </c>
      <c r="P1832" s="0" t="s">
        <v>146</v>
      </c>
      <c r="Q1832" s="0" t="s">
        <v>147</v>
      </c>
      <c r="R1832" s="0" t="n">
        <v>44483</v>
      </c>
      <c r="AD1832" s="0" t="s">
        <v>148</v>
      </c>
      <c r="AE1832" s="0" t="s">
        <v>149</v>
      </c>
      <c r="AF1832" s="0" t="s">
        <v>150</v>
      </c>
      <c r="AH1832" s="0" t="n">
        <v>14</v>
      </c>
      <c r="AI1832" s="0" t="n">
        <v>11</v>
      </c>
      <c r="AN1832" s="0" t="s">
        <v>146</v>
      </c>
      <c r="AO1832" s="0" t="s">
        <v>151</v>
      </c>
      <c r="AP1832" s="0" t="s">
        <v>152</v>
      </c>
      <c r="AQ1832" s="0" t="n">
        <v>9</v>
      </c>
      <c r="AR1832" s="0" t="n">
        <v>64</v>
      </c>
      <c r="AS1832" s="0" t="n">
        <v>32</v>
      </c>
      <c r="AU1832" s="0" t="n">
        <f aca="false">COUNTA($BA$1307:$EH$1307)</f>
        <v>1</v>
      </c>
      <c r="AV1832" s="0" t="n">
        <f aca="false">COUNTIF($BA$1307:$EH$1307,"D")</f>
        <v>0</v>
      </c>
      <c r="AW1832" s="0" t="n">
        <f aca="false">COUNTIF($BA$1307:$EH$1307,"R")</f>
        <v>0</v>
      </c>
      <c r="AX1832" s="0" t="n">
        <f aca="false"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>0</v>
      </c>
      <c r="AY1832" s="0" t="n">
        <f aca="false">COUNTIF(DU1832:EH1832, "&lt;&gt;")</f>
        <v>1</v>
      </c>
      <c r="AZ1832" s="0" t="n">
        <f aca="false">IF(EH1832&lt;&gt;"",1,0)</f>
        <v>0</v>
      </c>
      <c r="BB1832" s="0" t="s">
        <v>153</v>
      </c>
      <c r="EF1832" s="0" t="s">
        <v>154</v>
      </c>
    </row>
    <row r="1833" customFormat="false" ht="13.8" hidden="true" customHeight="false" outlineLevel="0" collapsed="false">
      <c r="A1833" s="0" t="s">
        <v>8235</v>
      </c>
      <c r="B1833" s="0" t="n">
        <v>78</v>
      </c>
      <c r="C1833" s="0" t="n">
        <v>414636</v>
      </c>
      <c r="D1833" s="0" t="s">
        <v>8236</v>
      </c>
      <c r="E1833" s="0" t="s">
        <v>8237</v>
      </c>
      <c r="F1833" s="0" t="str">
        <f aca="false">CONCATENATE(D1833," ",LEFT(H1833,4),"T=",AU1833,"D=",AV1833,"R=",AW1833,"M=",AX1833,"L=",AY1833,"B=",AZ1833)</f>
        <v>UHL T=1D=0R=0M=0L=0B=0</v>
      </c>
      <c r="G1833" s="0" t="s">
        <v>172</v>
      </c>
      <c r="I1833" s="0" t="s">
        <v>8238</v>
      </c>
      <c r="J1833" s="0" t="s">
        <v>8239</v>
      </c>
      <c r="K1833" s="0" t="s">
        <v>144</v>
      </c>
      <c r="L1833" s="0"/>
      <c r="M1833" s="0" t="s">
        <v>8234</v>
      </c>
      <c r="N1833" s="0" t="str">
        <f aca="false">RIGHT(M1833,LEN(M1833)-FIND(" ",M1833))</f>
        <v>MAYFLOWER ST NW</v>
      </c>
      <c r="P1833" s="0" t="s">
        <v>146</v>
      </c>
      <c r="Q1833" s="0" t="s">
        <v>147</v>
      </c>
      <c r="R1833" s="0" t="n">
        <v>44483</v>
      </c>
      <c r="AD1833" s="0" t="s">
        <v>148</v>
      </c>
      <c r="AE1833" s="0" t="s">
        <v>149</v>
      </c>
      <c r="AF1833" s="0" t="s">
        <v>150</v>
      </c>
      <c r="AH1833" s="0" t="n">
        <v>14</v>
      </c>
      <c r="AI1833" s="0" t="n">
        <v>11</v>
      </c>
      <c r="AN1833" s="0" t="s">
        <v>146</v>
      </c>
      <c r="AO1833" s="0" t="s">
        <v>151</v>
      </c>
      <c r="AP1833" s="0" t="s">
        <v>152</v>
      </c>
      <c r="AQ1833" s="0" t="n">
        <v>9</v>
      </c>
      <c r="AR1833" s="0" t="n">
        <v>64</v>
      </c>
      <c r="AS1833" s="0" t="n">
        <v>32</v>
      </c>
      <c r="AU1833" s="0" t="n">
        <f aca="false">COUNTA($BA$1929:$EH$1929)</f>
        <v>1</v>
      </c>
      <c r="AV1833" s="0" t="n">
        <f aca="false">COUNTIF($BA$1929:$EH$1929,"D")</f>
        <v>0</v>
      </c>
      <c r="AW1833" s="0" t="n">
        <f aca="false">COUNTIF($BA$1929:$EH$1929,"R")</f>
        <v>0</v>
      </c>
      <c r="AX1833" s="0" t="n">
        <f aca="false"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>0</v>
      </c>
      <c r="AY1833" s="0" t="n">
        <f aca="false">COUNTIF(DU1833:EH1833, "&lt;&gt;")</f>
        <v>0</v>
      </c>
      <c r="AZ1833" s="0" t="n">
        <f aca="false">IF(EH1833&lt;&gt;"",1,0)</f>
        <v>0</v>
      </c>
      <c r="BB1833" s="0" t="s">
        <v>153</v>
      </c>
    </row>
    <row r="1834" customFormat="false" ht="13.8" hidden="true" customHeight="false" outlineLevel="0" collapsed="false">
      <c r="A1834" s="0" t="s">
        <v>8240</v>
      </c>
      <c r="B1834" s="0" t="n">
        <v>78</v>
      </c>
      <c r="C1834" s="0" t="n">
        <v>365762</v>
      </c>
      <c r="D1834" s="0" t="s">
        <v>8232</v>
      </c>
      <c r="E1834" s="0" t="s">
        <v>981</v>
      </c>
      <c r="F1834" s="0" t="str">
        <f aca="false">CONCATENATE(D1834," ",LEFT(H1834,4),"T=",AU1834,"D=",AV1834,"R=",AW1834,"M=",AX1834,"L=",AY1834,"B=",AZ1834)</f>
        <v>SHUSTER T=2D=0R=0M=0L=0B=0</v>
      </c>
      <c r="G1834" s="0" t="s">
        <v>241</v>
      </c>
      <c r="I1834" s="0" t="s">
        <v>8241</v>
      </c>
      <c r="J1834" s="0" t="s">
        <v>6420</v>
      </c>
      <c r="K1834" s="0" t="s">
        <v>175</v>
      </c>
      <c r="L1834" s="0"/>
      <c r="M1834" s="0" t="s">
        <v>8234</v>
      </c>
      <c r="N1834" s="0" t="str">
        <f aca="false">RIGHT(M1834,LEN(M1834)-FIND(" ",M1834))</f>
        <v>MAYFLOWER ST NW</v>
      </c>
      <c r="P1834" s="0" t="s">
        <v>146</v>
      </c>
      <c r="Q1834" s="0" t="s">
        <v>147</v>
      </c>
      <c r="R1834" s="0" t="n">
        <v>44483</v>
      </c>
      <c r="AD1834" s="0" t="s">
        <v>148</v>
      </c>
      <c r="AE1834" s="0" t="s">
        <v>149</v>
      </c>
      <c r="AF1834" s="0" t="s">
        <v>150</v>
      </c>
      <c r="AH1834" s="0" t="n">
        <v>14</v>
      </c>
      <c r="AI1834" s="0" t="n">
        <v>11</v>
      </c>
      <c r="AN1834" s="0" t="s">
        <v>146</v>
      </c>
      <c r="AO1834" s="0" t="s">
        <v>151</v>
      </c>
      <c r="AP1834" s="0" t="s">
        <v>152</v>
      </c>
      <c r="AQ1834" s="0" t="n">
        <v>9</v>
      </c>
      <c r="AR1834" s="0" t="n">
        <v>64</v>
      </c>
      <c r="AS1834" s="0" t="n">
        <v>32</v>
      </c>
      <c r="AU1834" s="0" t="n">
        <f aca="false">COUNTA($BA$2046:$EH$2046)</f>
        <v>2</v>
      </c>
      <c r="AV1834" s="0" t="n">
        <f aca="false">COUNTIF($BA$2046:$EH$2046,"D")</f>
        <v>0</v>
      </c>
      <c r="AW1834" s="0" t="n">
        <f aca="false">COUNTIF($BA$2046:$EH$2046,"R")</f>
        <v>0</v>
      </c>
      <c r="AX1834" s="0" t="n">
        <f aca="false"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>0</v>
      </c>
      <c r="AY1834" s="0" t="n">
        <f aca="false">COUNTIF(DU1834:EH1834, "&lt;&gt;")</f>
        <v>0</v>
      </c>
      <c r="AZ1834" s="0" t="n">
        <f aca="false">IF(EH1834&lt;&gt;"",1,0)</f>
        <v>0</v>
      </c>
      <c r="BB1834" s="0" t="s">
        <v>153</v>
      </c>
      <c r="CA1834" s="0" t="s">
        <v>154</v>
      </c>
    </row>
    <row r="1835" customFormat="false" ht="13.8" hidden="true" customHeight="false" outlineLevel="0" collapsed="false">
      <c r="A1835" s="0" t="s">
        <v>8242</v>
      </c>
      <c r="B1835" s="0" t="n">
        <v>78</v>
      </c>
      <c r="C1835" s="0" t="n">
        <v>172796</v>
      </c>
      <c r="D1835" s="0" t="s">
        <v>8243</v>
      </c>
      <c r="E1835" s="0" t="s">
        <v>771</v>
      </c>
      <c r="F1835" s="0" t="str">
        <f aca="false">CONCATENATE(D1835," ",LEFT(H1835,4),"T=",AU1835,"D=",AV1835,"R=",AW1835,"M=",AX1835,"L=",AY1835,"B=",AZ1835)</f>
        <v>DULOVICH T=15D=1R=1M=0L=0B=0</v>
      </c>
      <c r="G1835" s="0" t="s">
        <v>297</v>
      </c>
      <c r="I1835" s="0" t="s">
        <v>8244</v>
      </c>
      <c r="J1835" s="0" t="s">
        <v>8245</v>
      </c>
      <c r="K1835" s="0" t="s">
        <v>144</v>
      </c>
      <c r="L1835" s="0"/>
      <c r="M1835" s="0" t="s">
        <v>8246</v>
      </c>
      <c r="N1835" s="0" t="str">
        <f aca="false">RIGHT(M1835,LEN(M1835)-FIND(" ",M1835))</f>
        <v>MAYFLOWER ST NW</v>
      </c>
      <c r="P1835" s="0" t="s">
        <v>146</v>
      </c>
      <c r="Q1835" s="0" t="s">
        <v>147</v>
      </c>
      <c r="R1835" s="0" t="n">
        <v>44483</v>
      </c>
      <c r="AD1835" s="0" t="s">
        <v>148</v>
      </c>
      <c r="AE1835" s="0" t="s">
        <v>149</v>
      </c>
      <c r="AF1835" s="0" t="s">
        <v>150</v>
      </c>
      <c r="AH1835" s="0" t="n">
        <v>14</v>
      </c>
      <c r="AI1835" s="0" t="n">
        <v>11</v>
      </c>
      <c r="AN1835" s="0" t="s">
        <v>146</v>
      </c>
      <c r="AO1835" s="0" t="s">
        <v>151</v>
      </c>
      <c r="AP1835" s="0" t="s">
        <v>152</v>
      </c>
      <c r="AQ1835" s="0" t="n">
        <v>9</v>
      </c>
      <c r="AR1835" s="0" t="n">
        <v>64</v>
      </c>
      <c r="AS1835" s="0" t="n">
        <v>32</v>
      </c>
      <c r="AU1835" s="0" t="n">
        <f aca="false">COUNTA($BA$1784:$EH$1784)</f>
        <v>15</v>
      </c>
      <c r="AV1835" s="0" t="n">
        <f aca="false">COUNTIF($BA$1784:$EH$1784,"D")</f>
        <v>1</v>
      </c>
      <c r="AW1835" s="0" t="n">
        <f aca="false">COUNTIF($BA$1784:$EH$1784,"R")</f>
        <v>1</v>
      </c>
      <c r="AX1835" s="0" t="n">
        <f aca="false"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>0</v>
      </c>
      <c r="AY1835" s="0" t="n">
        <f aca="false">COUNTIF(DU1835:EH1835, "&lt;&gt;")</f>
        <v>0</v>
      </c>
      <c r="AZ1835" s="0" t="n">
        <f aca="false">IF(EH1835&lt;&gt;"",1,0)</f>
        <v>0</v>
      </c>
      <c r="BB1835" s="0" t="s">
        <v>153</v>
      </c>
      <c r="BC1835" s="0" t="s">
        <v>154</v>
      </c>
      <c r="BD1835" s="0" t="s">
        <v>154</v>
      </c>
      <c r="BE1835" s="0" t="s">
        <v>154</v>
      </c>
      <c r="BF1835" s="0" t="s">
        <v>154</v>
      </c>
      <c r="BG1835" s="0" t="s">
        <v>154</v>
      </c>
      <c r="BI1835" s="0" t="s">
        <v>154</v>
      </c>
      <c r="BJ1835" s="0" t="s">
        <v>154</v>
      </c>
      <c r="CA1835" s="0" t="s">
        <v>154</v>
      </c>
      <c r="CG1835" s="0" t="s">
        <v>154</v>
      </c>
      <c r="DC1835" s="0" t="s">
        <v>154</v>
      </c>
    </row>
    <row r="1836" customFormat="false" ht="13.8" hidden="true" customHeight="false" outlineLevel="0" collapsed="false">
      <c r="A1836" s="0" t="s">
        <v>8247</v>
      </c>
      <c r="B1836" s="0" t="n">
        <v>78</v>
      </c>
      <c r="C1836" s="0" t="n">
        <v>489298</v>
      </c>
      <c r="D1836" s="0" t="s">
        <v>8248</v>
      </c>
      <c r="E1836" s="0" t="s">
        <v>863</v>
      </c>
      <c r="F1836" s="0" t="str">
        <f aca="false">CONCATENATE(D1836," ",LEFT(H1836,4),"T=",AU1836,"D=",AV1836,"R=",AW1836,"M=",AX1836,"L=",AY1836,"B=",AZ1836)</f>
        <v>HENNING T=6D=1R=0M=0L=1B=0</v>
      </c>
      <c r="G1836" s="0" t="s">
        <v>181</v>
      </c>
      <c r="I1836" s="0" t="s">
        <v>1685</v>
      </c>
      <c r="J1836" s="0" t="s">
        <v>1309</v>
      </c>
      <c r="K1836" s="0" t="s">
        <v>175</v>
      </c>
      <c r="L1836" s="0"/>
      <c r="M1836" s="0" t="s">
        <v>8249</v>
      </c>
      <c r="N1836" s="0" t="str">
        <f aca="false">RIGHT(M1836,LEN(M1836)-FIND(" ",M1836))</f>
        <v>MAZDA AVE NE</v>
      </c>
      <c r="P1836" s="0" t="s">
        <v>146</v>
      </c>
      <c r="Q1836" s="0" t="s">
        <v>147</v>
      </c>
      <c r="R1836" s="0" t="n">
        <v>44483</v>
      </c>
      <c r="AD1836" s="0" t="s">
        <v>148</v>
      </c>
      <c r="AE1836" s="0" t="s">
        <v>149</v>
      </c>
      <c r="AF1836" s="0" t="s">
        <v>150</v>
      </c>
      <c r="AH1836" s="0" t="n">
        <v>14</v>
      </c>
      <c r="AI1836" s="0" t="n">
        <v>11</v>
      </c>
      <c r="AN1836" s="0" t="s">
        <v>146</v>
      </c>
      <c r="AO1836" s="0" t="s">
        <v>236</v>
      </c>
      <c r="AP1836" s="0" t="s">
        <v>237</v>
      </c>
      <c r="AQ1836" s="0" t="n">
        <v>9</v>
      </c>
      <c r="AR1836" s="0" t="n">
        <v>64</v>
      </c>
      <c r="AS1836" s="0" t="n">
        <v>32</v>
      </c>
      <c r="AU1836" s="0" t="n">
        <f aca="false">COUNTA($BA$51:$EH$51)</f>
        <v>6</v>
      </c>
      <c r="AV1836" s="0" t="n">
        <f aca="false">COUNTIF($BA$51:$EH$51,"D")</f>
        <v>1</v>
      </c>
      <c r="AW1836" s="0" t="n">
        <f aca="false">COUNTIF($BA$51:$EH$51,"R")</f>
        <v>0</v>
      </c>
      <c r="AX1836" s="0" t="n">
        <f aca="false"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>0</v>
      </c>
      <c r="AY1836" s="0" t="n">
        <f aca="false">COUNTIF(DU1836:EH1836, "&lt;&gt;")</f>
        <v>1</v>
      </c>
      <c r="AZ1836" s="0" t="n">
        <f aca="false">IF(EH1836&lt;&gt;"",1,0)</f>
        <v>0</v>
      </c>
      <c r="BB1836" s="0" t="s">
        <v>153</v>
      </c>
      <c r="EF1836" s="0" t="s">
        <v>154</v>
      </c>
    </row>
    <row r="1837" customFormat="false" ht="13.8" hidden="true" customHeight="false" outlineLevel="0" collapsed="false">
      <c r="A1837" s="0" t="s">
        <v>8250</v>
      </c>
      <c r="B1837" s="0" t="n">
        <v>78</v>
      </c>
      <c r="C1837" s="0" t="n">
        <v>489297</v>
      </c>
      <c r="D1837" s="0" t="s">
        <v>8248</v>
      </c>
      <c r="E1837" s="0" t="s">
        <v>1619</v>
      </c>
      <c r="F1837" s="0" t="str">
        <f aca="false">CONCATENATE(D1837," ",LEFT(H1837,4),"T=",AU1837,"D=",AV1837,"R=",AW1837,"M=",AX1837,"L=",AY1837,"B=",AZ1837)</f>
        <v>HENNING T=1D=0R=0M=0L=1B=0</v>
      </c>
      <c r="G1837" s="0" t="s">
        <v>155</v>
      </c>
      <c r="I1837" s="0" t="s">
        <v>8251</v>
      </c>
      <c r="J1837" s="0" t="s">
        <v>1309</v>
      </c>
      <c r="K1837" s="0" t="s">
        <v>175</v>
      </c>
      <c r="L1837" s="0"/>
      <c r="M1837" s="0" t="s">
        <v>8249</v>
      </c>
      <c r="N1837" s="0" t="str">
        <f aca="false">RIGHT(M1837,LEN(M1837)-FIND(" ",M1837))</f>
        <v>MAZDA AVE NE</v>
      </c>
      <c r="P1837" s="0" t="s">
        <v>146</v>
      </c>
      <c r="Q1837" s="0" t="s">
        <v>147</v>
      </c>
      <c r="R1837" s="0" t="n">
        <v>44483</v>
      </c>
      <c r="AD1837" s="0" t="s">
        <v>148</v>
      </c>
      <c r="AE1837" s="0" t="s">
        <v>149</v>
      </c>
      <c r="AF1837" s="0" t="s">
        <v>150</v>
      </c>
      <c r="AH1837" s="0" t="n">
        <v>14</v>
      </c>
      <c r="AI1837" s="0" t="n">
        <v>11</v>
      </c>
      <c r="AN1837" s="0" t="s">
        <v>146</v>
      </c>
      <c r="AO1837" s="0" t="s">
        <v>236</v>
      </c>
      <c r="AP1837" s="0" t="s">
        <v>237</v>
      </c>
      <c r="AQ1837" s="0" t="n">
        <v>9</v>
      </c>
      <c r="AR1837" s="0" t="n">
        <v>64</v>
      </c>
      <c r="AS1837" s="0" t="n">
        <v>32</v>
      </c>
      <c r="AU1837" s="0" t="n">
        <f aca="false">COUNTA($BA$56:$EH$56)</f>
        <v>1</v>
      </c>
      <c r="AV1837" s="0" t="n">
        <f aca="false">COUNTIF($BA$56:$EH$56,"D")</f>
        <v>0</v>
      </c>
      <c r="AW1837" s="0" t="n">
        <f aca="false">COUNTIF($BA$56:$EH$56,"R")</f>
        <v>0</v>
      </c>
      <c r="AX1837" s="0" t="n">
        <f aca="false"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>0</v>
      </c>
      <c r="AY1837" s="0" t="n">
        <f aca="false">COUNTIF(DU1837:EH1837, "&lt;&gt;")</f>
        <v>1</v>
      </c>
      <c r="AZ1837" s="0" t="n">
        <f aca="false">IF(EH1837&lt;&gt;"",1,0)</f>
        <v>0</v>
      </c>
      <c r="BB1837" s="0" t="s">
        <v>153</v>
      </c>
      <c r="EF1837" s="0" t="s">
        <v>154</v>
      </c>
    </row>
    <row r="1838" customFormat="false" ht="13.8" hidden="true" customHeight="false" outlineLevel="0" collapsed="false">
      <c r="A1838" s="0" t="s">
        <v>8252</v>
      </c>
      <c r="B1838" s="0" t="n">
        <v>78</v>
      </c>
      <c r="C1838" s="0" t="n">
        <v>455115</v>
      </c>
      <c r="D1838" s="0" t="s">
        <v>8253</v>
      </c>
      <c r="E1838" s="0" t="s">
        <v>2420</v>
      </c>
      <c r="F1838" s="0" t="str">
        <f aca="false">CONCATENATE(D1838," ",LEFT(H1838,4),"T=",AU1838,"D=",AV1838,"R=",AW1838,"M=",AX1838,"L=",AY1838,"B=",AZ1838)</f>
        <v>DORSEY T=5D=0R=0M=0L=1B=0</v>
      </c>
      <c r="G1838" s="0" t="s">
        <v>188</v>
      </c>
      <c r="I1838" s="0" t="s">
        <v>8254</v>
      </c>
      <c r="J1838" s="0" t="s">
        <v>8255</v>
      </c>
      <c r="K1838" s="0" t="s">
        <v>175</v>
      </c>
      <c r="L1838" s="0"/>
      <c r="M1838" s="0" t="s">
        <v>8256</v>
      </c>
      <c r="N1838" s="0" t="str">
        <f aca="false">RIGHT(M1838,LEN(M1838)-FIND(" ",M1838))</f>
        <v>MAZDA AVE NE</v>
      </c>
      <c r="O1838" s="0" t="s">
        <v>420</v>
      </c>
      <c r="P1838" s="0" t="s">
        <v>146</v>
      </c>
      <c r="Q1838" s="0" t="s">
        <v>147</v>
      </c>
      <c r="R1838" s="0" t="n">
        <v>44483</v>
      </c>
      <c r="AD1838" s="0" t="s">
        <v>148</v>
      </c>
      <c r="AE1838" s="0" t="s">
        <v>149</v>
      </c>
      <c r="AF1838" s="0" t="s">
        <v>150</v>
      </c>
      <c r="AH1838" s="0" t="n">
        <v>14</v>
      </c>
      <c r="AI1838" s="0" t="n">
        <v>11</v>
      </c>
      <c r="AN1838" s="0" t="s">
        <v>146</v>
      </c>
      <c r="AO1838" s="0" t="s">
        <v>236</v>
      </c>
      <c r="AP1838" s="0" t="s">
        <v>237</v>
      </c>
      <c r="AQ1838" s="0" t="n">
        <v>9</v>
      </c>
      <c r="AR1838" s="0" t="n">
        <v>64</v>
      </c>
      <c r="AS1838" s="0" t="n">
        <v>32</v>
      </c>
      <c r="AU1838" s="0" t="n">
        <f aca="false">COUNTA($BA$102:$EH$102)</f>
        <v>5</v>
      </c>
      <c r="AV1838" s="0" t="n">
        <f aca="false">COUNTIF($BA$102:$EH$102,"D")</f>
        <v>0</v>
      </c>
      <c r="AW1838" s="0" t="n">
        <f aca="false">COUNTIF($BA$102:$EH$102,"R")</f>
        <v>0</v>
      </c>
      <c r="AX1838" s="0" t="n">
        <f aca="false"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>0</v>
      </c>
      <c r="AY1838" s="0" t="n">
        <f aca="false">COUNTIF(DU1838:EH1838, "&lt;&gt;")</f>
        <v>1</v>
      </c>
      <c r="AZ1838" s="0" t="n">
        <f aca="false">IF(EH1838&lt;&gt;"",1,0)</f>
        <v>0</v>
      </c>
      <c r="BB1838" s="0" t="s">
        <v>153</v>
      </c>
      <c r="CA1838" s="0" t="s">
        <v>154</v>
      </c>
      <c r="CP1838" s="0" t="s">
        <v>154</v>
      </c>
      <c r="DN1838" s="0" t="s">
        <v>154</v>
      </c>
      <c r="EF1838" s="0" t="s">
        <v>154</v>
      </c>
    </row>
    <row r="1839" customFormat="false" ht="13.8" hidden="true" customHeight="false" outlineLevel="0" collapsed="false">
      <c r="A1839" s="0" t="s">
        <v>8257</v>
      </c>
      <c r="B1839" s="0" t="n">
        <v>78</v>
      </c>
      <c r="C1839" s="0" t="n">
        <v>384542</v>
      </c>
      <c r="D1839" s="0" t="s">
        <v>5225</v>
      </c>
      <c r="E1839" s="0" t="s">
        <v>8258</v>
      </c>
      <c r="F1839" s="0" t="str">
        <f aca="false">CONCATENATE(D1839," ",LEFT(H1839,4),"T=",AU1839,"D=",AV1839,"R=",AW1839,"M=",AX1839,"L=",AY1839,"B=",AZ1839)</f>
        <v>MAGEE T=1D=0R=0M=0L=0B=0</v>
      </c>
      <c r="G1839" s="0" t="s">
        <v>159</v>
      </c>
      <c r="I1839" s="0" t="s">
        <v>8259</v>
      </c>
      <c r="J1839" s="0" t="s">
        <v>928</v>
      </c>
      <c r="K1839" s="0" t="s">
        <v>175</v>
      </c>
      <c r="L1839" s="0"/>
      <c r="M1839" s="0" t="s">
        <v>8260</v>
      </c>
      <c r="N1839" s="0" t="str">
        <f aca="false">RIGHT(M1839,LEN(M1839)-FIND(" ",M1839))</f>
        <v>MAZDA AVE NE</v>
      </c>
      <c r="P1839" s="0" t="s">
        <v>146</v>
      </c>
      <c r="Q1839" s="0" t="s">
        <v>147</v>
      </c>
      <c r="R1839" s="0" t="n">
        <v>44483</v>
      </c>
      <c r="AD1839" s="0" t="s">
        <v>148</v>
      </c>
      <c r="AE1839" s="0" t="s">
        <v>149</v>
      </c>
      <c r="AF1839" s="0" t="s">
        <v>150</v>
      </c>
      <c r="AH1839" s="0" t="n">
        <v>14</v>
      </c>
      <c r="AI1839" s="0" t="n">
        <v>11</v>
      </c>
      <c r="AN1839" s="0" t="s">
        <v>146</v>
      </c>
      <c r="AO1839" s="0" t="s">
        <v>236</v>
      </c>
      <c r="AP1839" s="0" t="s">
        <v>237</v>
      </c>
      <c r="AQ1839" s="0" t="n">
        <v>9</v>
      </c>
      <c r="AR1839" s="0" t="n">
        <v>64</v>
      </c>
      <c r="AS1839" s="0" t="n">
        <v>32</v>
      </c>
      <c r="AU1839" s="0" t="n">
        <f aca="false">COUNTA($BA$770:$EH$770)</f>
        <v>1</v>
      </c>
      <c r="AV1839" s="0" t="n">
        <f aca="false">COUNTIF($BA$770:$EH$770,"D")</f>
        <v>0</v>
      </c>
      <c r="AW1839" s="0" t="n">
        <f aca="false">COUNTIF($BA$770:$EH$770,"R")</f>
        <v>0</v>
      </c>
      <c r="AX1839" s="0" t="n">
        <f aca="false"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>0</v>
      </c>
      <c r="AY1839" s="0" t="n">
        <f aca="false">COUNTIF(DU1839:EH1839, "&lt;&gt;")</f>
        <v>0</v>
      </c>
      <c r="AZ1839" s="0" t="n">
        <f aca="false">IF(EH1839&lt;&gt;"",1,0)</f>
        <v>0</v>
      </c>
      <c r="BB1839" s="0" t="s">
        <v>153</v>
      </c>
      <c r="DN1839" s="0" t="s">
        <v>154</v>
      </c>
    </row>
    <row r="1840" customFormat="false" ht="13.8" hidden="true" customHeight="false" outlineLevel="0" collapsed="false">
      <c r="A1840" s="0" t="s">
        <v>8261</v>
      </c>
      <c r="B1840" s="0" t="n">
        <v>78</v>
      </c>
      <c r="C1840" s="0" t="n">
        <v>351106</v>
      </c>
      <c r="D1840" s="0" t="s">
        <v>5225</v>
      </c>
      <c r="E1840" s="0" t="s">
        <v>8262</v>
      </c>
      <c r="F1840" s="0" t="str">
        <f aca="false">CONCATENATE(D1840," ",LEFT(H1840,4),"T=",AU1840,"D=",AV1840,"R=",AW1840,"M=",AX1840,"L=",AY1840,"B=",AZ1840)</f>
        <v>MAGEE T=13D=1R=0M=0L=0B=0</v>
      </c>
      <c r="G1840" s="0" t="s">
        <v>365</v>
      </c>
      <c r="I1840" s="0" t="s">
        <v>8263</v>
      </c>
      <c r="J1840" s="0" t="s">
        <v>8264</v>
      </c>
      <c r="K1840" s="0" t="s">
        <v>144</v>
      </c>
      <c r="L1840" s="0"/>
      <c r="M1840" s="0" t="s">
        <v>8260</v>
      </c>
      <c r="N1840" s="0" t="str">
        <f aca="false">RIGHT(M1840,LEN(M1840)-FIND(" ",M1840))</f>
        <v>MAZDA AVE NE</v>
      </c>
      <c r="P1840" s="0" t="s">
        <v>146</v>
      </c>
      <c r="Q1840" s="0" t="s">
        <v>147</v>
      </c>
      <c r="R1840" s="0" t="n">
        <v>44483</v>
      </c>
      <c r="AD1840" s="0" t="s">
        <v>148</v>
      </c>
      <c r="AE1840" s="0" t="s">
        <v>149</v>
      </c>
      <c r="AF1840" s="0" t="s">
        <v>150</v>
      </c>
      <c r="AH1840" s="0" t="n">
        <v>14</v>
      </c>
      <c r="AI1840" s="0" t="n">
        <v>11</v>
      </c>
      <c r="AN1840" s="0" t="s">
        <v>146</v>
      </c>
      <c r="AO1840" s="0" t="s">
        <v>236</v>
      </c>
      <c r="AP1840" s="0" t="s">
        <v>237</v>
      </c>
      <c r="AQ1840" s="0" t="n">
        <v>9</v>
      </c>
      <c r="AR1840" s="0" t="n">
        <v>64</v>
      </c>
      <c r="AS1840" s="0" t="n">
        <v>32</v>
      </c>
      <c r="AU1840" s="0" t="n">
        <f aca="false">COUNTA($BA$1071:$EH$1071)</f>
        <v>13</v>
      </c>
      <c r="AV1840" s="0" t="n">
        <f aca="false">COUNTIF($BA$1071:$EH$1071,"D")</f>
        <v>1</v>
      </c>
      <c r="AW1840" s="0" t="n">
        <f aca="false">COUNTIF($BA$1071:$EH$1071,"R")</f>
        <v>0</v>
      </c>
      <c r="AX1840" s="0" t="n">
        <f aca="false"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>0</v>
      </c>
      <c r="AY1840" s="0" t="n">
        <f aca="false">COUNTIF(DU1840:EH1840, "&lt;&gt;")</f>
        <v>0</v>
      </c>
      <c r="AZ1840" s="0" t="n">
        <f aca="false">IF(EH1840&lt;&gt;"",1,0)</f>
        <v>0</v>
      </c>
      <c r="BB1840" s="0" t="s">
        <v>153</v>
      </c>
      <c r="DN1840" s="0" t="s">
        <v>154</v>
      </c>
    </row>
    <row r="1841" customFormat="false" ht="13.8" hidden="true" customHeight="false" outlineLevel="0" collapsed="false">
      <c r="A1841" s="0" t="s">
        <v>8265</v>
      </c>
      <c r="B1841" s="0" t="n">
        <v>78</v>
      </c>
      <c r="C1841" s="0" t="n">
        <v>415640</v>
      </c>
      <c r="D1841" s="0" t="s">
        <v>8266</v>
      </c>
      <c r="E1841" s="0" t="s">
        <v>1374</v>
      </c>
      <c r="F1841" s="0" t="str">
        <f aca="false">CONCATENATE(D1841," ",LEFT(H1841,4),"T=",AU1841,"D=",AV1841,"R=",AW1841,"M=",AX1841,"L=",AY1841,"B=",AZ1841)</f>
        <v>HOYSACK T=4D=0R=0M=0L=1B=0</v>
      </c>
      <c r="G1841" s="0" t="s">
        <v>172</v>
      </c>
      <c r="I1841" s="0" t="s">
        <v>8267</v>
      </c>
      <c r="J1841" s="0" t="s">
        <v>8268</v>
      </c>
      <c r="K1841" s="0" t="s">
        <v>175</v>
      </c>
      <c r="L1841" s="0"/>
      <c r="M1841" s="0" t="s">
        <v>8269</v>
      </c>
      <c r="N1841" s="0" t="str">
        <f aca="false">RIGHT(M1841,LEN(M1841)-FIND(" ",M1841))</f>
        <v>MAZDA AVE NE</v>
      </c>
      <c r="P1841" s="0" t="s">
        <v>146</v>
      </c>
      <c r="Q1841" s="0" t="s">
        <v>147</v>
      </c>
      <c r="R1841" s="0" t="n">
        <v>44483</v>
      </c>
      <c r="AD1841" s="0" t="s">
        <v>148</v>
      </c>
      <c r="AE1841" s="0" t="s">
        <v>149</v>
      </c>
      <c r="AF1841" s="0" t="s">
        <v>150</v>
      </c>
      <c r="AH1841" s="0" t="n">
        <v>14</v>
      </c>
      <c r="AI1841" s="0" t="n">
        <v>11</v>
      </c>
      <c r="AN1841" s="0" t="s">
        <v>146</v>
      </c>
      <c r="AO1841" s="0" t="s">
        <v>236</v>
      </c>
      <c r="AP1841" s="0" t="s">
        <v>237</v>
      </c>
      <c r="AQ1841" s="0" t="n">
        <v>9</v>
      </c>
      <c r="AR1841" s="0" t="n">
        <v>64</v>
      </c>
      <c r="AS1841" s="0" t="n">
        <v>32</v>
      </c>
      <c r="AU1841" s="0" t="n">
        <f aca="false">COUNTA($BA$481:$EH$481)</f>
        <v>4</v>
      </c>
      <c r="AV1841" s="0" t="n">
        <f aca="false">COUNTIF($BA$481:$EH$481,"D")</f>
        <v>0</v>
      </c>
      <c r="AW1841" s="0" t="n">
        <f aca="false">COUNTIF($BA$481:$EH$481,"R")</f>
        <v>0</v>
      </c>
      <c r="AX1841" s="0" t="n">
        <f aca="false"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>0</v>
      </c>
      <c r="AY1841" s="0" t="n">
        <f aca="false">COUNTIF(DU1841:EH1841, "&lt;&gt;")</f>
        <v>1</v>
      </c>
      <c r="AZ1841" s="0" t="n">
        <f aca="false">IF(EH1841&lt;&gt;"",1,0)</f>
        <v>0</v>
      </c>
      <c r="BB1841" s="0" t="s">
        <v>153</v>
      </c>
      <c r="CA1841" s="0" t="s">
        <v>154</v>
      </c>
      <c r="DN1841" s="0" t="s">
        <v>154</v>
      </c>
      <c r="EF1841" s="0" t="s">
        <v>154</v>
      </c>
    </row>
    <row r="1842" customFormat="false" ht="13.8" hidden="false" customHeight="false" outlineLevel="0" collapsed="false">
      <c r="A1842" s="0" t="s">
        <v>8270</v>
      </c>
      <c r="B1842" s="0" t="n">
        <v>78</v>
      </c>
      <c r="C1842" s="0" t="n">
        <v>4805</v>
      </c>
      <c r="D1842" s="0" t="s">
        <v>6883</v>
      </c>
      <c r="E1842" s="0" t="s">
        <v>8271</v>
      </c>
      <c r="F1842" s="0" t="str">
        <f aca="false">CONCATENATE(D1842," ",LEFT(H1842,4),"T=",AU1842,"D=",AV1842,"R=",AW1842,"M=",AX1842,"L=",AY1842,"B=",AZ1842)</f>
        <v>LUOMA T=45D=14R=0M=0L=5B=0</v>
      </c>
      <c r="G1842" s="0" t="s">
        <v>172</v>
      </c>
      <c r="I1842" s="0" t="s">
        <v>8272</v>
      </c>
      <c r="J1842" s="0" t="s">
        <v>8273</v>
      </c>
      <c r="K1842" s="0" t="s">
        <v>175</v>
      </c>
      <c r="L1842" s="1" t="s">
        <v>176</v>
      </c>
      <c r="M1842" s="0" t="s">
        <v>8274</v>
      </c>
      <c r="N1842" s="0" t="str">
        <f aca="false">RIGHT(M1842,LEN(M1842)-FIND(" ",M1842))</f>
        <v>MAZDA AVE NE</v>
      </c>
      <c r="P1842" s="0" t="s">
        <v>146</v>
      </c>
      <c r="Q1842" s="0" t="s">
        <v>147</v>
      </c>
      <c r="R1842" s="0" t="n">
        <v>44483</v>
      </c>
      <c r="AD1842" s="0" t="s">
        <v>148</v>
      </c>
      <c r="AE1842" s="0" t="s">
        <v>149</v>
      </c>
      <c r="AF1842" s="0" t="s">
        <v>150</v>
      </c>
      <c r="AH1842" s="0" t="n">
        <v>14</v>
      </c>
      <c r="AI1842" s="0" t="n">
        <v>11</v>
      </c>
      <c r="AN1842" s="0" t="s">
        <v>146</v>
      </c>
      <c r="AO1842" s="0" t="s">
        <v>236</v>
      </c>
      <c r="AP1842" s="0" t="s">
        <v>237</v>
      </c>
      <c r="AQ1842" s="0" t="n">
        <v>9</v>
      </c>
      <c r="AR1842" s="0" t="n">
        <v>64</v>
      </c>
      <c r="AS1842" s="0" t="n">
        <v>32</v>
      </c>
      <c r="AU1842" s="0" t="n">
        <f aca="false">COUNTA($BA$533:$EH$533)</f>
        <v>45</v>
      </c>
      <c r="AV1842" s="0" t="n">
        <f aca="false">COUNTIF($BA$533:$EH$533,"D")</f>
        <v>14</v>
      </c>
      <c r="AW1842" s="0" t="n">
        <f aca="false">COUNTIF($BA$533:$EH$533,"R")</f>
        <v>0</v>
      </c>
      <c r="AX1842" s="0" t="n">
        <f aca="false"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>0</v>
      </c>
      <c r="AY1842" s="0" t="n">
        <f aca="false">COUNTIF(DU1842:EH1842, "&lt;&gt;")</f>
        <v>5</v>
      </c>
      <c r="AZ1842" s="0" t="n">
        <f aca="false">IF(EH1842&lt;&gt;"",1,0)</f>
        <v>0</v>
      </c>
      <c r="BB1842" s="0" t="s">
        <v>153</v>
      </c>
      <c r="BC1842" s="0" t="s">
        <v>154</v>
      </c>
      <c r="BD1842" s="0" t="s">
        <v>154</v>
      </c>
      <c r="BE1842" s="0" t="s">
        <v>154</v>
      </c>
      <c r="BF1842" s="0" t="s">
        <v>154</v>
      </c>
      <c r="BG1842" s="0" t="s">
        <v>154</v>
      </c>
      <c r="BH1842" s="0" t="s">
        <v>154</v>
      </c>
      <c r="BJ1842" s="0" t="s">
        <v>154</v>
      </c>
      <c r="BK1842" s="0" t="s">
        <v>154</v>
      </c>
      <c r="BL1842" s="0" t="s">
        <v>154</v>
      </c>
      <c r="BS1842" s="0" t="s">
        <v>154</v>
      </c>
      <c r="BV1842" s="0" t="s">
        <v>154</v>
      </c>
      <c r="BY1842" s="0" t="s">
        <v>176</v>
      </c>
      <c r="CA1842" s="0" t="s">
        <v>154</v>
      </c>
      <c r="CG1842" s="0" t="s">
        <v>154</v>
      </c>
      <c r="CH1842" s="0" t="s">
        <v>176</v>
      </c>
      <c r="CK1842" s="0" t="s">
        <v>154</v>
      </c>
      <c r="CN1842" s="0" t="s">
        <v>154</v>
      </c>
      <c r="CO1842" s="0" t="s">
        <v>176</v>
      </c>
      <c r="CP1842" s="0" t="s">
        <v>154</v>
      </c>
      <c r="CT1842" s="0" t="s">
        <v>154</v>
      </c>
      <c r="CU1842" s="0" t="s">
        <v>176</v>
      </c>
      <c r="CV1842" s="0" t="s">
        <v>154</v>
      </c>
      <c r="CY1842" s="0" t="s">
        <v>154</v>
      </c>
      <c r="CZ1842" s="0" t="s">
        <v>176</v>
      </c>
      <c r="DC1842" s="0" t="s">
        <v>154</v>
      </c>
      <c r="DF1842" s="0" t="s">
        <v>154</v>
      </c>
      <c r="DG1842" s="0" t="s">
        <v>176</v>
      </c>
      <c r="DI1842" s="0" t="s">
        <v>154</v>
      </c>
      <c r="DL1842" s="0" t="s">
        <v>154</v>
      </c>
      <c r="DM1842" s="0" t="s">
        <v>176</v>
      </c>
      <c r="DN1842" s="0" t="s">
        <v>154</v>
      </c>
      <c r="DR1842" s="0" t="s">
        <v>154</v>
      </c>
      <c r="DS1842" s="0" t="s">
        <v>176</v>
      </c>
      <c r="DT1842" s="0" t="s">
        <v>176</v>
      </c>
      <c r="DU1842" s="0" t="s">
        <v>154</v>
      </c>
      <c r="DX1842" s="0" t="s">
        <v>154</v>
      </c>
      <c r="EA1842" s="0" t="s">
        <v>154</v>
      </c>
      <c r="ED1842" s="0" t="s">
        <v>176</v>
      </c>
      <c r="EF1842" s="0" t="s">
        <v>154</v>
      </c>
    </row>
    <row r="1843" customFormat="false" ht="13.8" hidden="true" customHeight="false" outlineLevel="0" collapsed="false">
      <c r="A1843" s="0" t="s">
        <v>8275</v>
      </c>
      <c r="B1843" s="0" t="n">
        <v>78</v>
      </c>
      <c r="C1843" s="0" t="n">
        <v>429961</v>
      </c>
      <c r="D1843" s="0" t="s">
        <v>8266</v>
      </c>
      <c r="E1843" s="0" t="s">
        <v>1744</v>
      </c>
      <c r="F1843" s="0" t="str">
        <f aca="false">CONCATENATE(D1843," ",LEFT(H1843,4),"T=",AU1843,"D=",AV1843,"R=",AW1843,"M=",AX1843,"L=",AY1843,"B=",AZ1843)</f>
        <v>HOYSACK T=1D=0R=0M=0L=1B=0</v>
      </c>
      <c r="G1843" s="0" t="s">
        <v>1131</v>
      </c>
      <c r="I1843" s="0" t="s">
        <v>8276</v>
      </c>
      <c r="J1843" s="0" t="s">
        <v>611</v>
      </c>
      <c r="K1843" s="0" t="s">
        <v>175</v>
      </c>
      <c r="L1843" s="0"/>
      <c r="M1843" s="0" t="s">
        <v>8277</v>
      </c>
      <c r="N1843" s="0" t="str">
        <f aca="false">RIGHT(M1843,LEN(M1843)-FIND(" ",M1843))</f>
        <v>MAZDA AVE NE</v>
      </c>
      <c r="P1843" s="0" t="s">
        <v>146</v>
      </c>
      <c r="Q1843" s="0" t="s">
        <v>147</v>
      </c>
      <c r="R1843" s="0" t="n">
        <v>44483</v>
      </c>
      <c r="AD1843" s="0" t="s">
        <v>148</v>
      </c>
      <c r="AE1843" s="0" t="s">
        <v>149</v>
      </c>
      <c r="AF1843" s="0" t="s">
        <v>150</v>
      </c>
      <c r="AH1843" s="0" t="n">
        <v>14</v>
      </c>
      <c r="AI1843" s="0" t="n">
        <v>11</v>
      </c>
      <c r="AN1843" s="0" t="s">
        <v>146</v>
      </c>
      <c r="AO1843" s="0" t="s">
        <v>236</v>
      </c>
      <c r="AP1843" s="0" t="s">
        <v>237</v>
      </c>
      <c r="AQ1843" s="0" t="n">
        <v>9</v>
      </c>
      <c r="AR1843" s="0" t="n">
        <v>64</v>
      </c>
      <c r="AS1843" s="0" t="n">
        <v>32</v>
      </c>
      <c r="AU1843" s="0" t="n">
        <f aca="false">COUNTA($BA$276:$EH$276)</f>
        <v>1</v>
      </c>
      <c r="AV1843" s="0" t="n">
        <f aca="false">COUNTIF($BA$276:$EH$276,"D")</f>
        <v>0</v>
      </c>
      <c r="AW1843" s="0" t="n">
        <f aca="false">COUNTIF($BA$276:$EH$276,"R")</f>
        <v>0</v>
      </c>
      <c r="AX1843" s="0" t="n">
        <f aca="false"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>0</v>
      </c>
      <c r="AY1843" s="0" t="n">
        <f aca="false">COUNTIF(DU1843:EH1843, "&lt;&gt;")</f>
        <v>1</v>
      </c>
      <c r="AZ1843" s="0" t="n">
        <f aca="false">IF(EH1843&lt;&gt;"",1,0)</f>
        <v>0</v>
      </c>
      <c r="BB1843" s="0" t="s">
        <v>153</v>
      </c>
      <c r="DN1843" s="0" t="s">
        <v>154</v>
      </c>
      <c r="EF1843" s="0" t="s">
        <v>154</v>
      </c>
    </row>
    <row r="1844" customFormat="false" ht="13.8" hidden="true" customHeight="false" outlineLevel="0" collapsed="false">
      <c r="A1844" s="0" t="s">
        <v>8278</v>
      </c>
      <c r="B1844" s="0" t="n">
        <v>78</v>
      </c>
      <c r="C1844" s="0" t="n">
        <v>441822</v>
      </c>
      <c r="D1844" s="0" t="s">
        <v>8279</v>
      </c>
      <c r="E1844" s="0" t="s">
        <v>8280</v>
      </c>
      <c r="F1844" s="0" t="str">
        <f aca="false">CONCATENATE(D1844," ",LEFT(H1844,4),"T=",AU1844,"D=",AV1844,"R=",AW1844,"M=",AX1844,"L=",AY1844,"B=",AZ1844)</f>
        <v>ARICCHI T=4D=2R=0M=0L=0B=0</v>
      </c>
      <c r="G1844" s="0" t="s">
        <v>981</v>
      </c>
      <c r="I1844" s="0" t="s">
        <v>8281</v>
      </c>
      <c r="J1844" s="0" t="s">
        <v>757</v>
      </c>
      <c r="K1844" s="0" t="s">
        <v>175</v>
      </c>
      <c r="L1844" s="0"/>
      <c r="M1844" s="0" t="s">
        <v>8277</v>
      </c>
      <c r="N1844" s="0" t="str">
        <f aca="false">RIGHT(M1844,LEN(M1844)-FIND(" ",M1844))</f>
        <v>MAZDA AVE NE</v>
      </c>
      <c r="P1844" s="0" t="s">
        <v>146</v>
      </c>
      <c r="Q1844" s="0" t="s">
        <v>147</v>
      </c>
      <c r="R1844" s="0" t="n">
        <v>44483</v>
      </c>
      <c r="AD1844" s="0" t="s">
        <v>148</v>
      </c>
      <c r="AE1844" s="0" t="s">
        <v>149</v>
      </c>
      <c r="AF1844" s="0" t="s">
        <v>150</v>
      </c>
      <c r="AH1844" s="0" t="n">
        <v>14</v>
      </c>
      <c r="AI1844" s="0" t="n">
        <v>11</v>
      </c>
      <c r="AN1844" s="0" t="s">
        <v>146</v>
      </c>
      <c r="AO1844" s="0" t="s">
        <v>236</v>
      </c>
      <c r="AP1844" s="0" t="s">
        <v>237</v>
      </c>
      <c r="AQ1844" s="0" t="n">
        <v>9</v>
      </c>
      <c r="AR1844" s="0" t="n">
        <v>64</v>
      </c>
      <c r="AS1844" s="0" t="n">
        <v>32</v>
      </c>
      <c r="AU1844" s="0" t="n">
        <f aca="false">COUNTA($BA$1083:$EH$1083)</f>
        <v>4</v>
      </c>
      <c r="AV1844" s="0" t="n">
        <f aca="false">COUNTIF($BA$1083:$EH$1083,"D")</f>
        <v>2</v>
      </c>
      <c r="AW1844" s="0" t="n">
        <f aca="false">COUNTIF($BA$1083:$EH$1083,"R")</f>
        <v>0</v>
      </c>
      <c r="AX1844" s="0" t="n">
        <f aca="false"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>0</v>
      </c>
      <c r="AY1844" s="0" t="n">
        <f aca="false">COUNTIF(DU1844:EH1844, "&lt;&gt;")</f>
        <v>0</v>
      </c>
      <c r="AZ1844" s="0" t="n">
        <f aca="false">IF(EH1844&lt;&gt;"",1,0)</f>
        <v>0</v>
      </c>
      <c r="BB1844" s="0" t="s">
        <v>153</v>
      </c>
      <c r="DN1844" s="0" t="s">
        <v>154</v>
      </c>
    </row>
    <row r="1845" customFormat="false" ht="13.8" hidden="true" customHeight="false" outlineLevel="0" collapsed="false">
      <c r="A1845" s="0" t="s">
        <v>8282</v>
      </c>
      <c r="B1845" s="0" t="n">
        <v>78</v>
      </c>
      <c r="C1845" s="0" t="n">
        <v>490052</v>
      </c>
      <c r="D1845" s="0" t="s">
        <v>1027</v>
      </c>
      <c r="E1845" s="0" t="s">
        <v>2163</v>
      </c>
      <c r="F1845" s="0" t="str">
        <f aca="false">CONCATENATE(D1845," ",LEFT(H1845,4),"T=",AU1845,"D=",AV1845,"R=",AW1845,"M=",AX1845,"L=",AY1845,"B=",AZ1845)</f>
        <v>MARTIN T=11D=2R=0M=0L=1B=0</v>
      </c>
      <c r="G1845" s="0" t="s">
        <v>202</v>
      </c>
      <c r="I1845" s="0" t="s">
        <v>8283</v>
      </c>
      <c r="J1845" s="0" t="s">
        <v>2344</v>
      </c>
      <c r="K1845" s="0" t="s">
        <v>175</v>
      </c>
      <c r="L1845" s="0"/>
      <c r="M1845" s="0" t="s">
        <v>8284</v>
      </c>
      <c r="N1845" s="0" t="str">
        <f aca="false">RIGHT(M1845,LEN(M1845)-FIND(" ",M1845))</f>
        <v>MAZDA AVE NE</v>
      </c>
      <c r="P1845" s="0" t="s">
        <v>146</v>
      </c>
      <c r="Q1845" s="0" t="s">
        <v>147</v>
      </c>
      <c r="R1845" s="0" t="n">
        <v>44483</v>
      </c>
      <c r="AD1845" s="0" t="s">
        <v>148</v>
      </c>
      <c r="AE1845" s="0" t="s">
        <v>149</v>
      </c>
      <c r="AF1845" s="0" t="s">
        <v>150</v>
      </c>
      <c r="AH1845" s="0" t="n">
        <v>14</v>
      </c>
      <c r="AI1845" s="0" t="n">
        <v>11</v>
      </c>
      <c r="AN1845" s="0" t="s">
        <v>146</v>
      </c>
      <c r="AO1845" s="0" t="s">
        <v>236</v>
      </c>
      <c r="AP1845" s="0" t="s">
        <v>237</v>
      </c>
      <c r="AQ1845" s="0" t="n">
        <v>9</v>
      </c>
      <c r="AR1845" s="0" t="n">
        <v>64</v>
      </c>
      <c r="AS1845" s="0" t="n">
        <v>32</v>
      </c>
      <c r="AU1845" s="0" t="n">
        <f aca="false">COUNTA($BA$595:$EH$595)</f>
        <v>11</v>
      </c>
      <c r="AV1845" s="0" t="n">
        <f aca="false">COUNTIF($BA$595:$EH$595,"D")</f>
        <v>2</v>
      </c>
      <c r="AW1845" s="0" t="n">
        <f aca="false">COUNTIF($BA$595:$EH$595,"R")</f>
        <v>0</v>
      </c>
      <c r="AX1845" s="0" t="n">
        <f aca="false"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>0</v>
      </c>
      <c r="AY1845" s="0" t="n">
        <f aca="false">COUNTIF(DU1845:EH1845, "&lt;&gt;")</f>
        <v>1</v>
      </c>
      <c r="AZ1845" s="0" t="n">
        <f aca="false">IF(EH1845&lt;&gt;"",1,0)</f>
        <v>0</v>
      </c>
      <c r="BB1845" s="0" t="s">
        <v>153</v>
      </c>
      <c r="CA1845" s="0" t="s">
        <v>154</v>
      </c>
      <c r="DN1845" s="0" t="s">
        <v>154</v>
      </c>
      <c r="EF1845" s="0" t="s">
        <v>154</v>
      </c>
    </row>
    <row r="1846" customFormat="false" ht="13.8" hidden="true" customHeight="false" outlineLevel="0" collapsed="false">
      <c r="A1846" s="0" t="s">
        <v>8285</v>
      </c>
      <c r="B1846" s="0" t="n">
        <v>78</v>
      </c>
      <c r="C1846" s="0" t="n">
        <v>396422</v>
      </c>
      <c r="D1846" s="0" t="s">
        <v>8286</v>
      </c>
      <c r="E1846" s="0" t="s">
        <v>8287</v>
      </c>
      <c r="F1846" s="0" t="str">
        <f aca="false">CONCATENATE(D1846," ",LEFT(H1846,4),"T=",AU1846,"D=",AV1846,"R=",AW1846,"M=",AX1846,"L=",AY1846,"B=",AZ1846)</f>
        <v>TORRES T=3D=0R=0M=0L=0B=0</v>
      </c>
      <c r="G1846" s="0" t="s">
        <v>172</v>
      </c>
      <c r="I1846" s="0" t="s">
        <v>8288</v>
      </c>
      <c r="J1846" s="0" t="s">
        <v>8289</v>
      </c>
      <c r="K1846" s="0" t="s">
        <v>144</v>
      </c>
      <c r="L1846" s="0"/>
      <c r="M1846" s="0" t="s">
        <v>8290</v>
      </c>
      <c r="N1846" s="0" t="str">
        <f aca="false">RIGHT(M1846,LEN(M1846)-FIND(" ",M1846))</f>
        <v>MAZDA AVE NE</v>
      </c>
      <c r="P1846" s="0" t="s">
        <v>146</v>
      </c>
      <c r="Q1846" s="0" t="s">
        <v>147</v>
      </c>
      <c r="R1846" s="0" t="n">
        <v>44483</v>
      </c>
      <c r="AD1846" s="0" t="s">
        <v>148</v>
      </c>
      <c r="AE1846" s="0" t="s">
        <v>149</v>
      </c>
      <c r="AF1846" s="0" t="s">
        <v>150</v>
      </c>
      <c r="AH1846" s="0" t="n">
        <v>14</v>
      </c>
      <c r="AI1846" s="0" t="n">
        <v>11</v>
      </c>
      <c r="AN1846" s="0" t="s">
        <v>146</v>
      </c>
      <c r="AO1846" s="0" t="s">
        <v>236</v>
      </c>
      <c r="AP1846" s="0" t="s">
        <v>237</v>
      </c>
      <c r="AQ1846" s="0" t="n">
        <v>9</v>
      </c>
      <c r="AR1846" s="0" t="n">
        <v>64</v>
      </c>
      <c r="AS1846" s="0" t="n">
        <v>32</v>
      </c>
      <c r="AU1846" s="0" t="n">
        <f aca="false">COUNTA($BA$862:$EH$862)</f>
        <v>3</v>
      </c>
      <c r="AV1846" s="0" t="n">
        <f aca="false">COUNTIF($BA$862:$EH$862,"D")</f>
        <v>0</v>
      </c>
      <c r="AW1846" s="0" t="n">
        <f aca="false">COUNTIF($BA$862:$EH$862,"R")</f>
        <v>0</v>
      </c>
      <c r="AX1846" s="0" t="n">
        <f aca="false"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>0</v>
      </c>
      <c r="AY1846" s="0" t="n">
        <f aca="false">COUNTIF(DU1846:EH1846, "&lt;&gt;")</f>
        <v>0</v>
      </c>
      <c r="AZ1846" s="0" t="n">
        <f aca="false">IF(EH1846&lt;&gt;"",1,0)</f>
        <v>0</v>
      </c>
      <c r="BB1846" s="0" t="s">
        <v>153</v>
      </c>
      <c r="DC1846" s="0" t="s">
        <v>154</v>
      </c>
    </row>
    <row r="1847" customFormat="false" ht="13.8" hidden="false" customHeight="false" outlineLevel="0" collapsed="false">
      <c r="A1847" s="0" t="s">
        <v>8291</v>
      </c>
      <c r="B1847" s="0" t="n">
        <v>78</v>
      </c>
      <c r="C1847" s="0" t="n">
        <v>461859</v>
      </c>
      <c r="D1847" s="0" t="s">
        <v>165</v>
      </c>
      <c r="E1847" s="0" t="s">
        <v>3873</v>
      </c>
      <c r="F1847" s="0" t="str">
        <f aca="false">CONCATENATE(D1847," ",LEFT(H1847,4),"T=",AU1847,"D=",AV1847,"R=",AW1847,"M=",AX1847,"L=",AY1847,"B=",AZ1847)</f>
        <v>THOMAS T=1D=0R=0M=0L=4B=0</v>
      </c>
      <c r="G1847" s="0" t="s">
        <v>155</v>
      </c>
      <c r="I1847" s="0" t="s">
        <v>8292</v>
      </c>
      <c r="J1847" s="0" t="s">
        <v>5824</v>
      </c>
      <c r="K1847" s="0" t="s">
        <v>175</v>
      </c>
      <c r="M1847" s="0" t="s">
        <v>8293</v>
      </c>
      <c r="N1847" s="0" t="str">
        <f aca="false">RIGHT(M1847,LEN(M1847)-FIND(" ",M1847))</f>
        <v>MAZDA AVE NE</v>
      </c>
      <c r="P1847" s="0" t="s">
        <v>146</v>
      </c>
      <c r="Q1847" s="0" t="s">
        <v>147</v>
      </c>
      <c r="R1847" s="0" t="n">
        <v>44483</v>
      </c>
      <c r="AD1847" s="0" t="s">
        <v>148</v>
      </c>
      <c r="AE1847" s="0" t="s">
        <v>149</v>
      </c>
      <c r="AF1847" s="0" t="s">
        <v>150</v>
      </c>
      <c r="AH1847" s="0" t="n">
        <v>14</v>
      </c>
      <c r="AI1847" s="0" t="n">
        <v>11</v>
      </c>
      <c r="AN1847" s="0" t="s">
        <v>146</v>
      </c>
      <c r="AO1847" s="0" t="s">
        <v>236</v>
      </c>
      <c r="AP1847" s="0" t="s">
        <v>237</v>
      </c>
      <c r="AQ1847" s="0" t="n">
        <v>9</v>
      </c>
      <c r="AR1847" s="0" t="n">
        <v>64</v>
      </c>
      <c r="AS1847" s="0" t="n">
        <v>32</v>
      </c>
      <c r="AU1847" s="0" t="n">
        <f aca="false">COUNTA($BA$396:$EH$396)</f>
        <v>1</v>
      </c>
      <c r="AV1847" s="0" t="n">
        <f aca="false">COUNTIF($BA$396:$EH$396,"D")</f>
        <v>0</v>
      </c>
      <c r="AW1847" s="0" t="n">
        <f aca="false">COUNTIF($BA$396:$EH$396,"R")</f>
        <v>0</v>
      </c>
      <c r="AX1847" s="0" t="n">
        <f aca="false"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>0</v>
      </c>
      <c r="AY1847" s="0" t="n">
        <f aca="false">COUNTIF(DU1847:EH1847, "&lt;&gt;")</f>
        <v>4</v>
      </c>
      <c r="AZ1847" s="0" t="n">
        <f aca="false">IF(EH1847&lt;&gt;"",1,0)</f>
        <v>0</v>
      </c>
      <c r="BB1847" s="0" t="s">
        <v>153</v>
      </c>
      <c r="BK1847" s="0" t="s">
        <v>155</v>
      </c>
      <c r="BL1847" s="0" t="s">
        <v>154</v>
      </c>
      <c r="BP1847" s="0" t="s">
        <v>154</v>
      </c>
      <c r="BR1847" s="0" t="s">
        <v>155</v>
      </c>
      <c r="BS1847" s="0" t="s">
        <v>154</v>
      </c>
      <c r="BY1847" s="0" t="s">
        <v>155</v>
      </c>
      <c r="CA1847" s="0" t="s">
        <v>154</v>
      </c>
      <c r="CK1847" s="0" t="s">
        <v>154</v>
      </c>
      <c r="CN1847" s="0" t="s">
        <v>154</v>
      </c>
      <c r="CP1847" s="0" t="s">
        <v>154</v>
      </c>
      <c r="CV1847" s="0" t="s">
        <v>154</v>
      </c>
      <c r="CY1847" s="0" t="s">
        <v>154</v>
      </c>
      <c r="DC1847" s="0" t="s">
        <v>154</v>
      </c>
      <c r="DI1847" s="0" t="s">
        <v>154</v>
      </c>
      <c r="DN1847" s="0" t="s">
        <v>154</v>
      </c>
      <c r="DU1847" s="0" t="s">
        <v>154</v>
      </c>
      <c r="DX1847" s="0" t="s">
        <v>154</v>
      </c>
      <c r="EA1847" s="0" t="s">
        <v>154</v>
      </c>
      <c r="EF1847" s="0" t="s">
        <v>154</v>
      </c>
    </row>
    <row r="1848" customFormat="false" ht="13.8" hidden="true" customHeight="false" outlineLevel="0" collapsed="false">
      <c r="A1848" s="0" t="s">
        <v>8294</v>
      </c>
      <c r="B1848" s="0" t="n">
        <v>78</v>
      </c>
      <c r="C1848" s="0" t="n">
        <v>464831</v>
      </c>
      <c r="D1848" s="0" t="s">
        <v>8295</v>
      </c>
      <c r="E1848" s="0" t="s">
        <v>6895</v>
      </c>
      <c r="F1848" s="0" t="str">
        <f aca="false">CONCATENATE(D1848," ",LEFT(H1848,4),"T=",AU1848,"D=",AV1848,"R=",AW1848,"M=",AX1848,"L=",AY1848,"B=",AZ1848)</f>
        <v>SEDMAK T=38D=8R=0M=0L=0B=0</v>
      </c>
      <c r="G1848" s="0" t="s">
        <v>690</v>
      </c>
      <c r="I1848" s="0" t="s">
        <v>6837</v>
      </c>
      <c r="J1848" s="0" t="s">
        <v>8296</v>
      </c>
      <c r="K1848" s="0" t="s">
        <v>175</v>
      </c>
      <c r="L1848" s="0"/>
      <c r="M1848" s="0" t="s">
        <v>8297</v>
      </c>
      <c r="N1848" s="0" t="str">
        <f aca="false">RIGHT(M1848,LEN(M1848)-FIND(" ",M1848))</f>
        <v>MAZDA AVE NE</v>
      </c>
      <c r="P1848" s="0" t="s">
        <v>146</v>
      </c>
      <c r="Q1848" s="0" t="s">
        <v>147</v>
      </c>
      <c r="R1848" s="0" t="n">
        <v>44483</v>
      </c>
      <c r="AD1848" s="0" t="s">
        <v>148</v>
      </c>
      <c r="AE1848" s="0" t="s">
        <v>149</v>
      </c>
      <c r="AF1848" s="0" t="s">
        <v>150</v>
      </c>
      <c r="AH1848" s="0" t="n">
        <v>14</v>
      </c>
      <c r="AI1848" s="0" t="n">
        <v>11</v>
      </c>
      <c r="AN1848" s="0" t="s">
        <v>146</v>
      </c>
      <c r="AO1848" s="0" t="s">
        <v>236</v>
      </c>
      <c r="AP1848" s="0" t="s">
        <v>237</v>
      </c>
      <c r="AQ1848" s="0" t="n">
        <v>9</v>
      </c>
      <c r="AR1848" s="0" t="n">
        <v>64</v>
      </c>
      <c r="AS1848" s="0" t="n">
        <v>32</v>
      </c>
      <c r="AU1848" s="0" t="n">
        <f aca="false">COUNTA($BA$429:$EH$429)</f>
        <v>38</v>
      </c>
      <c r="AV1848" s="0" t="n">
        <f aca="false">COUNTIF($BA$429:$EH$429,"D")</f>
        <v>8</v>
      </c>
      <c r="AW1848" s="0" t="n">
        <f aca="false">COUNTIF($BA$429:$EH$429,"R")</f>
        <v>0</v>
      </c>
      <c r="AX1848" s="0" t="n">
        <f aca="false"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>0</v>
      </c>
      <c r="AY1848" s="0" t="n">
        <f aca="false">COUNTIF(DU1848:EH1848, "&lt;&gt;")</f>
        <v>0</v>
      </c>
      <c r="AZ1848" s="0" t="n">
        <f aca="false">IF(EH1848&lt;&gt;"",1,0)</f>
        <v>0</v>
      </c>
      <c r="BB1848" s="0" t="s">
        <v>153</v>
      </c>
      <c r="BL1848" s="0" t="s">
        <v>154</v>
      </c>
      <c r="BN1848" s="0" t="s">
        <v>154</v>
      </c>
      <c r="CA1848" s="0" t="s">
        <v>154</v>
      </c>
      <c r="CG1848" s="0" t="s">
        <v>154</v>
      </c>
      <c r="CK1848" s="0" t="s">
        <v>154</v>
      </c>
      <c r="CN1848" s="0" t="s">
        <v>154</v>
      </c>
      <c r="CO1848" s="0" t="s">
        <v>176</v>
      </c>
      <c r="CP1848" s="0" t="s">
        <v>154</v>
      </c>
      <c r="CQ1848" s="0" t="s">
        <v>154</v>
      </c>
      <c r="CV1848" s="0" t="s">
        <v>154</v>
      </c>
      <c r="CY1848" s="0" t="s">
        <v>154</v>
      </c>
      <c r="CZ1848" s="0" t="s">
        <v>176</v>
      </c>
      <c r="DC1848" s="0" t="s">
        <v>154</v>
      </c>
      <c r="DF1848" s="0" t="s">
        <v>154</v>
      </c>
      <c r="DI1848" s="0" t="s">
        <v>154</v>
      </c>
      <c r="DL1848" s="0" t="s">
        <v>154</v>
      </c>
    </row>
    <row r="1849" customFormat="false" ht="13.8" hidden="true" customHeight="false" outlineLevel="0" collapsed="false">
      <c r="A1849" s="0" t="s">
        <v>8298</v>
      </c>
      <c r="B1849" s="0" t="n">
        <v>78</v>
      </c>
      <c r="C1849" s="0" t="n">
        <v>476422</v>
      </c>
      <c r="D1849" s="0" t="s">
        <v>1366</v>
      </c>
      <c r="E1849" s="0" t="s">
        <v>8299</v>
      </c>
      <c r="F1849" s="0" t="str">
        <f aca="false">CONCATENATE(D1849," ",LEFT(H1849,4),"T=",AU1849,"D=",AV1849,"R=",AW1849,"M=",AX1849,"L=",AY1849,"B=",AZ1849)</f>
        <v>STEVENS T=1D=0R=0M=0L=0B=0</v>
      </c>
      <c r="G1849" s="0" t="s">
        <v>188</v>
      </c>
      <c r="I1849" s="0" t="s">
        <v>8300</v>
      </c>
      <c r="J1849" s="0" t="s">
        <v>2913</v>
      </c>
      <c r="K1849" s="0" t="s">
        <v>175</v>
      </c>
      <c r="L1849" s="0"/>
      <c r="M1849" s="0" t="s">
        <v>8301</v>
      </c>
      <c r="N1849" s="0" t="str">
        <f aca="false">RIGHT(M1849,LEN(M1849)-FIND(" ",M1849))</f>
        <v>MAZDA AVE NE</v>
      </c>
      <c r="P1849" s="0" t="s">
        <v>146</v>
      </c>
      <c r="Q1849" s="0" t="s">
        <v>147</v>
      </c>
      <c r="R1849" s="0" t="n">
        <v>44483</v>
      </c>
      <c r="AD1849" s="0" t="s">
        <v>148</v>
      </c>
      <c r="AE1849" s="0" t="s">
        <v>149</v>
      </c>
      <c r="AF1849" s="0" t="s">
        <v>150</v>
      </c>
      <c r="AH1849" s="0" t="n">
        <v>14</v>
      </c>
      <c r="AI1849" s="0" t="n">
        <v>11</v>
      </c>
      <c r="AN1849" s="0" t="s">
        <v>146</v>
      </c>
      <c r="AO1849" s="0" t="s">
        <v>236</v>
      </c>
      <c r="AP1849" s="0" t="s">
        <v>237</v>
      </c>
      <c r="AQ1849" s="0" t="n">
        <v>9</v>
      </c>
      <c r="AR1849" s="0" t="n">
        <v>64</v>
      </c>
      <c r="AS1849" s="0" t="n">
        <v>32</v>
      </c>
      <c r="AU1849" s="0" t="n">
        <f aca="false">COUNTA($BA$49:$EH$49)</f>
        <v>1</v>
      </c>
      <c r="AV1849" s="0" t="n">
        <f aca="false">COUNTIF($BA$49:$EH$49,"D")</f>
        <v>0</v>
      </c>
      <c r="AW1849" s="0" t="n">
        <f aca="false">COUNTIF($BA$49:$EH$49,"R")</f>
        <v>0</v>
      </c>
      <c r="AX1849" s="0" t="n">
        <f aca="false"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>0</v>
      </c>
      <c r="AY1849" s="0" t="n">
        <f aca="false">COUNTIF(DU1849:EH1849, "&lt;&gt;")</f>
        <v>0</v>
      </c>
      <c r="AZ1849" s="0" t="n">
        <f aca="false">IF(EH1849&lt;&gt;"",1,0)</f>
        <v>0</v>
      </c>
      <c r="BB1849" s="0" t="s">
        <v>153</v>
      </c>
    </row>
    <row r="1850" customFormat="false" ht="13.8" hidden="true" customHeight="false" outlineLevel="0" collapsed="false">
      <c r="A1850" s="0" t="s">
        <v>8302</v>
      </c>
      <c r="B1850" s="0" t="n">
        <v>78</v>
      </c>
      <c r="C1850" s="0" t="n">
        <v>475883</v>
      </c>
      <c r="D1850" s="0" t="s">
        <v>165</v>
      </c>
      <c r="E1850" s="0" t="s">
        <v>8303</v>
      </c>
      <c r="F1850" s="0" t="str">
        <f aca="false">CONCATENATE(D1850," ",LEFT(H1850,4),"T=",AU1850,"D=",AV1850,"R=",AW1850,"M=",AX1850,"L=",AY1850,"B=",AZ1850)</f>
        <v>THOMAS SRT=52D=19R=0M=0L=0B=0</v>
      </c>
      <c r="G1850" s="0" t="s">
        <v>241</v>
      </c>
      <c r="H1850" s="0" t="s">
        <v>311</v>
      </c>
      <c r="I1850" s="0" t="s">
        <v>5308</v>
      </c>
      <c r="J1850" s="0" t="s">
        <v>8116</v>
      </c>
      <c r="K1850" s="0" t="s">
        <v>175</v>
      </c>
      <c r="L1850" s="0"/>
      <c r="M1850" s="0" t="s">
        <v>8301</v>
      </c>
      <c r="N1850" s="0" t="str">
        <f aca="false">RIGHT(M1850,LEN(M1850)-FIND(" ",M1850))</f>
        <v>MAZDA AVE NE</v>
      </c>
      <c r="P1850" s="0" t="s">
        <v>146</v>
      </c>
      <c r="Q1850" s="0" t="s">
        <v>147</v>
      </c>
      <c r="R1850" s="0" t="n">
        <v>44483</v>
      </c>
      <c r="AD1850" s="0" t="s">
        <v>148</v>
      </c>
      <c r="AE1850" s="0" t="s">
        <v>149</v>
      </c>
      <c r="AF1850" s="0" t="s">
        <v>150</v>
      </c>
      <c r="AH1850" s="0" t="n">
        <v>14</v>
      </c>
      <c r="AI1850" s="0" t="n">
        <v>11</v>
      </c>
      <c r="AN1850" s="0" t="s">
        <v>146</v>
      </c>
      <c r="AO1850" s="0" t="s">
        <v>236</v>
      </c>
      <c r="AP1850" s="0" t="s">
        <v>237</v>
      </c>
      <c r="AQ1850" s="0" t="n">
        <v>9</v>
      </c>
      <c r="AR1850" s="0" t="n">
        <v>64</v>
      </c>
      <c r="AS1850" s="0" t="n">
        <v>32</v>
      </c>
      <c r="AU1850" s="0" t="n">
        <f aca="false">COUNTA($BA$687:$EH$687)</f>
        <v>52</v>
      </c>
      <c r="AV1850" s="0" t="n">
        <f aca="false">COUNTIF($BA$687:$EH$687,"D")</f>
        <v>19</v>
      </c>
      <c r="AW1850" s="0" t="n">
        <f aca="false">COUNTIF($BA$687:$EH$687,"R")</f>
        <v>0</v>
      </c>
      <c r="AX1850" s="0" t="n">
        <f aca="false"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>0</v>
      </c>
      <c r="AY1850" s="0" t="n">
        <f aca="false">COUNTIF(DU1850:EH1850, "&lt;&gt;")</f>
        <v>0</v>
      </c>
      <c r="AZ1850" s="0" t="n">
        <f aca="false">IF(EH1850&lt;&gt;"",1,0)</f>
        <v>0</v>
      </c>
      <c r="BB1850" s="0" t="s">
        <v>153</v>
      </c>
      <c r="BL1850" s="0" t="s">
        <v>154</v>
      </c>
    </row>
    <row r="1851" customFormat="false" ht="13.8" hidden="true" customHeight="false" outlineLevel="0" collapsed="false">
      <c r="A1851" s="0" t="s">
        <v>8304</v>
      </c>
      <c r="B1851" s="0" t="n">
        <v>78</v>
      </c>
      <c r="C1851" s="0" t="n">
        <v>308051</v>
      </c>
      <c r="D1851" s="0" t="s">
        <v>1366</v>
      </c>
      <c r="E1851" s="0" t="s">
        <v>8305</v>
      </c>
      <c r="F1851" s="0" t="str">
        <f aca="false">CONCATENATE(D1851," ",LEFT(H1851,4),"T=",AU1851,"D=",AV1851,"R=",AW1851,"M=",AX1851,"L=",AY1851,"B=",AZ1851)</f>
        <v>STEVENS T=1D=0R=0M=1L=0B=0</v>
      </c>
      <c r="G1851" s="0" t="s">
        <v>8306</v>
      </c>
      <c r="I1851" s="0" t="s">
        <v>8307</v>
      </c>
      <c r="J1851" s="0" t="s">
        <v>8308</v>
      </c>
      <c r="K1851" s="0" t="s">
        <v>175</v>
      </c>
      <c r="L1851" s="0"/>
      <c r="M1851" s="0" t="s">
        <v>8301</v>
      </c>
      <c r="N1851" s="0" t="str">
        <f aca="false">RIGHT(M1851,LEN(M1851)-FIND(" ",M1851))</f>
        <v>MAZDA AVE NE</v>
      </c>
      <c r="P1851" s="0" t="s">
        <v>146</v>
      </c>
      <c r="Q1851" s="0" t="s">
        <v>147</v>
      </c>
      <c r="R1851" s="0" t="n">
        <v>44483</v>
      </c>
      <c r="AD1851" s="0" t="s">
        <v>148</v>
      </c>
      <c r="AE1851" s="0" t="s">
        <v>149</v>
      </c>
      <c r="AF1851" s="0" t="s">
        <v>150</v>
      </c>
      <c r="AH1851" s="0" t="n">
        <v>14</v>
      </c>
      <c r="AI1851" s="0" t="n">
        <v>11</v>
      </c>
      <c r="AN1851" s="0" t="s">
        <v>146</v>
      </c>
      <c r="AO1851" s="0" t="s">
        <v>236</v>
      </c>
      <c r="AP1851" s="0" t="s">
        <v>237</v>
      </c>
      <c r="AQ1851" s="0" t="n">
        <v>9</v>
      </c>
      <c r="AR1851" s="0" t="n">
        <v>64</v>
      </c>
      <c r="AS1851" s="0" t="n">
        <v>32</v>
      </c>
      <c r="AU1851" s="0" t="n">
        <f aca="false">COUNTA($BA$777:$EH$777)</f>
        <v>1</v>
      </c>
      <c r="AV1851" s="0" t="n">
        <f aca="false">COUNTIF($BA$777:$EH$777,"D")</f>
        <v>0</v>
      </c>
      <c r="AW1851" s="0" t="n">
        <f aca="false">COUNTIF($BA$777:$EH$777,"R")</f>
        <v>0</v>
      </c>
      <c r="AX1851" s="0" t="n">
        <f aca="false"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>1</v>
      </c>
      <c r="AY1851" s="0" t="n">
        <f aca="false">COUNTIF(DU1851:EH1851, "&lt;&gt;")</f>
        <v>0</v>
      </c>
      <c r="AZ1851" s="0" t="n">
        <f aca="false">IF(EH1851&lt;&gt;"",1,0)</f>
        <v>0</v>
      </c>
      <c r="BB1851" s="0" t="s">
        <v>153</v>
      </c>
      <c r="BH1851" s="0" t="s">
        <v>154</v>
      </c>
      <c r="BI1851" s="0" t="s">
        <v>154</v>
      </c>
      <c r="BL1851" s="0" t="s">
        <v>154</v>
      </c>
      <c r="BS1851" s="0" t="s">
        <v>154</v>
      </c>
      <c r="BY1851" s="0" t="s">
        <v>155</v>
      </c>
      <c r="CA1851" s="0" t="s">
        <v>154</v>
      </c>
      <c r="CK1851" s="0" t="s">
        <v>154</v>
      </c>
      <c r="CL1851" s="0" t="s">
        <v>155</v>
      </c>
      <c r="CP1851" s="0" t="s">
        <v>154</v>
      </c>
    </row>
    <row r="1852" customFormat="false" ht="13.8" hidden="false" customHeight="false" outlineLevel="0" collapsed="false">
      <c r="A1852" s="0" t="s">
        <v>8309</v>
      </c>
      <c r="B1852" s="0" t="n">
        <v>78</v>
      </c>
      <c r="C1852" s="0" t="n">
        <v>149739</v>
      </c>
      <c r="D1852" s="0" t="s">
        <v>8310</v>
      </c>
      <c r="E1852" s="0" t="s">
        <v>1347</v>
      </c>
      <c r="F1852" s="0" t="str">
        <f aca="false">CONCATENATE(D1852," ",LEFT(H1852,4),"T=",AU1852,"D=",AV1852,"R=",AW1852,"M=",AX1852,"L=",AY1852,"B=",AZ1852)</f>
        <v>ZURCHER T=4D=0R=0M=2L=3B=0</v>
      </c>
      <c r="G1852" s="0" t="s">
        <v>241</v>
      </c>
      <c r="I1852" s="0" t="s">
        <v>8311</v>
      </c>
      <c r="J1852" s="0" t="s">
        <v>3013</v>
      </c>
      <c r="K1852" s="0" t="s">
        <v>175</v>
      </c>
      <c r="M1852" s="0" t="s">
        <v>8312</v>
      </c>
      <c r="N1852" s="0" t="str">
        <f aca="false">RIGHT(M1852,LEN(M1852)-FIND(" ",M1852))</f>
        <v>MAZDA AVE NE</v>
      </c>
      <c r="P1852" s="0" t="s">
        <v>146</v>
      </c>
      <c r="Q1852" s="0" t="s">
        <v>147</v>
      </c>
      <c r="R1852" s="0" t="n">
        <v>44483</v>
      </c>
      <c r="AD1852" s="0" t="s">
        <v>148</v>
      </c>
      <c r="AE1852" s="0" t="s">
        <v>149</v>
      </c>
      <c r="AF1852" s="0" t="s">
        <v>150</v>
      </c>
      <c r="AH1852" s="0" t="n">
        <v>14</v>
      </c>
      <c r="AI1852" s="0" t="n">
        <v>11</v>
      </c>
      <c r="AN1852" s="0" t="s">
        <v>146</v>
      </c>
      <c r="AO1852" s="0" t="s">
        <v>236</v>
      </c>
      <c r="AP1852" s="0" t="s">
        <v>237</v>
      </c>
      <c r="AQ1852" s="0" t="n">
        <v>9</v>
      </c>
      <c r="AR1852" s="0" t="n">
        <v>64</v>
      </c>
      <c r="AS1852" s="0" t="n">
        <v>32</v>
      </c>
      <c r="AU1852" s="0" t="n">
        <f aca="false">COUNTA($BA$550:$EH$550)</f>
        <v>4</v>
      </c>
      <c r="AV1852" s="0" t="n">
        <f aca="false">COUNTIF($BA$550:$EH$550,"D")</f>
        <v>0</v>
      </c>
      <c r="AW1852" s="0" t="n">
        <f aca="false">COUNTIF($BA$550:$EH$550,"R")</f>
        <v>0</v>
      </c>
      <c r="AX1852" s="0" t="n">
        <f aca="false"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>2</v>
      </c>
      <c r="AY1852" s="0" t="n">
        <f aca="false">COUNTIF(DU1852:EH1852, "&lt;&gt;")</f>
        <v>3</v>
      </c>
      <c r="AZ1852" s="0" t="n">
        <f aca="false">IF(EH1852&lt;&gt;"",1,0)</f>
        <v>0</v>
      </c>
      <c r="BB1852" s="0" t="s">
        <v>153</v>
      </c>
      <c r="BC1852" s="0" t="s">
        <v>154</v>
      </c>
      <c r="BD1852" s="0" t="s">
        <v>154</v>
      </c>
      <c r="BH1852" s="0" t="s">
        <v>154</v>
      </c>
      <c r="BJ1852" s="0" t="s">
        <v>154</v>
      </c>
      <c r="BK1852" s="0" t="s">
        <v>154</v>
      </c>
      <c r="BL1852" s="0" t="s">
        <v>154</v>
      </c>
      <c r="BP1852" s="0" t="s">
        <v>154</v>
      </c>
      <c r="BS1852" s="0" t="s">
        <v>154</v>
      </c>
      <c r="BV1852" s="0" t="s">
        <v>154</v>
      </c>
      <c r="BY1852" s="0" t="s">
        <v>155</v>
      </c>
      <c r="CA1852" s="0" t="s">
        <v>154</v>
      </c>
      <c r="CG1852" s="0" t="s">
        <v>154</v>
      </c>
      <c r="CK1852" s="0" t="s">
        <v>154</v>
      </c>
      <c r="CN1852" s="0" t="s">
        <v>154</v>
      </c>
      <c r="CP1852" s="0" t="s">
        <v>154</v>
      </c>
      <c r="CV1852" s="0" t="s">
        <v>154</v>
      </c>
      <c r="CW1852" s="0" t="s">
        <v>155</v>
      </c>
      <c r="CY1852" s="0" t="s">
        <v>154</v>
      </c>
      <c r="CZ1852" s="0" t="s">
        <v>155</v>
      </c>
      <c r="DC1852" s="0" t="s">
        <v>154</v>
      </c>
      <c r="DF1852" s="0" t="s">
        <v>154</v>
      </c>
      <c r="DG1852" s="0" t="s">
        <v>155</v>
      </c>
      <c r="DI1852" s="0" t="s">
        <v>154</v>
      </c>
      <c r="DJ1852" s="0" t="s">
        <v>155</v>
      </c>
      <c r="DL1852" s="0" t="s">
        <v>154</v>
      </c>
      <c r="DN1852" s="0" t="s">
        <v>154</v>
      </c>
      <c r="DU1852" s="0" t="s">
        <v>154</v>
      </c>
      <c r="DX1852" s="0" t="s">
        <v>154</v>
      </c>
      <c r="EF1852" s="0" t="s">
        <v>154</v>
      </c>
    </row>
    <row r="1853" customFormat="false" ht="13.8" hidden="true" customHeight="false" outlineLevel="0" collapsed="false">
      <c r="A1853" s="0" t="s">
        <v>8313</v>
      </c>
      <c r="B1853" s="0" t="n">
        <v>78</v>
      </c>
      <c r="C1853" s="0" t="n">
        <v>226500</v>
      </c>
      <c r="D1853" s="0" t="s">
        <v>8310</v>
      </c>
      <c r="E1853" s="0" t="s">
        <v>5317</v>
      </c>
      <c r="F1853" s="0" t="str">
        <f aca="false">CONCATENATE(D1853," ",LEFT(H1853,4),"T=",AU1853,"D=",AV1853,"R=",AW1853,"M=",AX1853,"L=",AY1853,"B=",AZ1853)</f>
        <v>ZURCHER T=1D=0R=0M=0L=0B=0</v>
      </c>
      <c r="I1853" s="0" t="s">
        <v>8314</v>
      </c>
      <c r="J1853" s="0" t="s">
        <v>2465</v>
      </c>
      <c r="K1853" s="0" t="s">
        <v>144</v>
      </c>
      <c r="L1853" s="0"/>
      <c r="M1853" s="0" t="s">
        <v>8312</v>
      </c>
      <c r="N1853" s="0" t="str">
        <f aca="false">RIGHT(M1853,LEN(M1853)-FIND(" ",M1853))</f>
        <v>MAZDA AVE NE</v>
      </c>
      <c r="P1853" s="0" t="s">
        <v>146</v>
      </c>
      <c r="Q1853" s="0" t="s">
        <v>147</v>
      </c>
      <c r="R1853" s="0" t="n">
        <v>44483</v>
      </c>
      <c r="AD1853" s="0" t="s">
        <v>148</v>
      </c>
      <c r="AE1853" s="0" t="s">
        <v>149</v>
      </c>
      <c r="AF1853" s="0" t="s">
        <v>150</v>
      </c>
      <c r="AH1853" s="0" t="n">
        <v>14</v>
      </c>
      <c r="AI1853" s="0" t="n">
        <v>11</v>
      </c>
      <c r="AN1853" s="0" t="s">
        <v>146</v>
      </c>
      <c r="AO1853" s="0" t="s">
        <v>236</v>
      </c>
      <c r="AP1853" s="0" t="s">
        <v>237</v>
      </c>
      <c r="AQ1853" s="0" t="n">
        <v>9</v>
      </c>
      <c r="AR1853" s="0" t="n">
        <v>64</v>
      </c>
      <c r="AS1853" s="0" t="n">
        <v>32</v>
      </c>
      <c r="AU1853" s="0" t="n">
        <f aca="false">COUNTA($BA$1082:$EH$1082)</f>
        <v>1</v>
      </c>
      <c r="AV1853" s="0" t="n">
        <f aca="false">COUNTIF($BA$1082:$EH$1082,"D")</f>
        <v>0</v>
      </c>
      <c r="AW1853" s="0" t="n">
        <f aca="false">COUNTIF($BA$1082:$EH$1082,"R")</f>
        <v>0</v>
      </c>
      <c r="AX1853" s="0" t="n">
        <f aca="false"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>0</v>
      </c>
      <c r="AY1853" s="0" t="n">
        <f aca="false">COUNTIF(DU1853:EH1853, "&lt;&gt;")</f>
        <v>0</v>
      </c>
      <c r="AZ1853" s="0" t="n">
        <f aca="false">IF(EH1853&lt;&gt;"",1,0)</f>
        <v>0</v>
      </c>
      <c r="BB1853" s="0" t="s">
        <v>153</v>
      </c>
      <c r="BL1853" s="0" t="s">
        <v>154</v>
      </c>
      <c r="BS1853" s="0" t="s">
        <v>154</v>
      </c>
      <c r="BY1853" s="0" t="s">
        <v>155</v>
      </c>
      <c r="CA1853" s="0" t="s">
        <v>154</v>
      </c>
      <c r="CN1853" s="0" t="s">
        <v>154</v>
      </c>
      <c r="CP1853" s="0" t="s">
        <v>154</v>
      </c>
      <c r="DN1853" s="0" t="s">
        <v>154</v>
      </c>
    </row>
    <row r="1854" customFormat="false" ht="13.8" hidden="true" customHeight="false" outlineLevel="0" collapsed="false">
      <c r="A1854" s="0" t="s">
        <v>8315</v>
      </c>
      <c r="B1854" s="0" t="n">
        <v>78</v>
      </c>
      <c r="C1854" s="0" t="n">
        <v>476733</v>
      </c>
      <c r="D1854" s="0" t="s">
        <v>2507</v>
      </c>
      <c r="E1854" s="0" t="s">
        <v>8316</v>
      </c>
      <c r="F1854" s="0" t="str">
        <f aca="false">CONCATENATE(D1854," ",LEFT(H1854,4),"T=",AU1854,"D=",AV1854,"R=",AW1854,"M=",AX1854,"L=",AY1854,"B=",AZ1854)</f>
        <v>WATSON T=3D=0R=0M=0L=0B=0</v>
      </c>
      <c r="G1854" s="0" t="s">
        <v>181</v>
      </c>
      <c r="I1854" s="0" t="s">
        <v>8317</v>
      </c>
      <c r="J1854" s="0" t="s">
        <v>2913</v>
      </c>
      <c r="K1854" s="0" t="s">
        <v>175</v>
      </c>
      <c r="L1854" s="0"/>
      <c r="M1854" s="0" t="s">
        <v>8318</v>
      </c>
      <c r="N1854" s="0" t="str">
        <f aca="false">RIGHT(M1854,LEN(M1854)-FIND(" ",M1854))</f>
        <v>MERCER AVE NE</v>
      </c>
      <c r="P1854" s="0" t="s">
        <v>146</v>
      </c>
      <c r="Q1854" s="0" t="s">
        <v>147</v>
      </c>
      <c r="R1854" s="0" t="n">
        <v>44483</v>
      </c>
      <c r="AD1854" s="0" t="s">
        <v>148</v>
      </c>
      <c r="AE1854" s="0" t="s">
        <v>149</v>
      </c>
      <c r="AF1854" s="0" t="s">
        <v>150</v>
      </c>
      <c r="AH1854" s="0" t="n">
        <v>14</v>
      </c>
      <c r="AI1854" s="0" t="n">
        <v>11</v>
      </c>
      <c r="AN1854" s="0" t="s">
        <v>146</v>
      </c>
      <c r="AO1854" s="0" t="s">
        <v>236</v>
      </c>
      <c r="AP1854" s="0" t="s">
        <v>237</v>
      </c>
      <c r="AQ1854" s="0" t="n">
        <v>9</v>
      </c>
      <c r="AR1854" s="0" t="n">
        <v>64</v>
      </c>
      <c r="AS1854" s="0" t="n">
        <v>32</v>
      </c>
      <c r="AU1854" s="0" t="n">
        <f aca="false">COUNTA($BA$44:$EH$44)</f>
        <v>3</v>
      </c>
      <c r="AV1854" s="0" t="n">
        <f aca="false">COUNTIF($BA$44:$EH$44,"D")</f>
        <v>0</v>
      </c>
      <c r="AW1854" s="0" t="n">
        <f aca="false">COUNTIF($BA$44:$EH$44,"R")</f>
        <v>0</v>
      </c>
      <c r="AX1854" s="0" t="n">
        <f aca="false"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>0</v>
      </c>
      <c r="AY1854" s="0" t="n">
        <f aca="false">COUNTIF(DU1854:EH1854, "&lt;&gt;")</f>
        <v>0</v>
      </c>
      <c r="AZ1854" s="0" t="n">
        <f aca="false">IF(EH1854&lt;&gt;"",1,0)</f>
        <v>0</v>
      </c>
      <c r="BB1854" s="0" t="s">
        <v>153</v>
      </c>
    </row>
    <row r="1855" customFormat="false" ht="13.8" hidden="false" customHeight="false" outlineLevel="0" collapsed="false">
      <c r="A1855" s="0" t="s">
        <v>8319</v>
      </c>
      <c r="B1855" s="0" t="n">
        <v>78</v>
      </c>
      <c r="C1855" s="0" t="n">
        <v>299678</v>
      </c>
      <c r="D1855" s="0" t="s">
        <v>645</v>
      </c>
      <c r="E1855" s="0" t="s">
        <v>962</v>
      </c>
      <c r="F1855" s="0" t="str">
        <f aca="false">CONCATENATE(D1855," ",LEFT(H1855,4),"T=",AU1855,"D=",AV1855,"R=",AW1855,"M=",AX1855,"L=",AY1855,"B=",AZ1855)</f>
        <v>WILLIAMS T=2D=0R=0M=2L=3B=0</v>
      </c>
      <c r="G1855" s="0" t="s">
        <v>188</v>
      </c>
      <c r="I1855" s="0" t="s">
        <v>8320</v>
      </c>
      <c r="J1855" s="0" t="s">
        <v>8321</v>
      </c>
      <c r="K1855" s="0" t="s">
        <v>175</v>
      </c>
      <c r="M1855" s="0" t="s">
        <v>8318</v>
      </c>
      <c r="N1855" s="0" t="str">
        <f aca="false">RIGHT(M1855,LEN(M1855)-FIND(" ",M1855))</f>
        <v>MERCER AVE NE</v>
      </c>
      <c r="P1855" s="0" t="s">
        <v>146</v>
      </c>
      <c r="Q1855" s="0" t="s">
        <v>147</v>
      </c>
      <c r="R1855" s="0" t="n">
        <v>44483</v>
      </c>
      <c r="AD1855" s="0" t="s">
        <v>148</v>
      </c>
      <c r="AE1855" s="0" t="s">
        <v>149</v>
      </c>
      <c r="AF1855" s="0" t="s">
        <v>150</v>
      </c>
      <c r="AH1855" s="0" t="n">
        <v>14</v>
      </c>
      <c r="AI1855" s="0" t="n">
        <v>11</v>
      </c>
      <c r="AN1855" s="0" t="s">
        <v>146</v>
      </c>
      <c r="AO1855" s="0" t="s">
        <v>236</v>
      </c>
      <c r="AP1855" s="0" t="s">
        <v>237</v>
      </c>
      <c r="AQ1855" s="0" t="n">
        <v>9</v>
      </c>
      <c r="AR1855" s="0" t="n">
        <v>64</v>
      </c>
      <c r="AS1855" s="0" t="n">
        <v>32</v>
      </c>
      <c r="AU1855" s="0" t="n">
        <f aca="false">COUNTA($BA$162:$EH$162)</f>
        <v>2</v>
      </c>
      <c r="AV1855" s="0" t="n">
        <f aca="false">COUNTIF($BA$162:$EH$162,"D")</f>
        <v>0</v>
      </c>
      <c r="AW1855" s="0" t="n">
        <f aca="false">COUNTIF($BA$162:$EH$162,"R")</f>
        <v>0</v>
      </c>
      <c r="AX1855" s="0" t="n">
        <f aca="false"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>2</v>
      </c>
      <c r="AY1855" s="0" t="n">
        <f aca="false">COUNTIF(DU1855:EH1855, "&lt;&gt;")</f>
        <v>3</v>
      </c>
      <c r="AZ1855" s="0" t="n">
        <f aca="false">IF(EH1855&lt;&gt;"",1,0)</f>
        <v>0</v>
      </c>
      <c r="BB1855" s="0" t="s">
        <v>153</v>
      </c>
      <c r="BD1855" s="0" t="s">
        <v>154</v>
      </c>
      <c r="BH1855" s="0" t="s">
        <v>154</v>
      </c>
      <c r="CA1855" s="0" t="s">
        <v>154</v>
      </c>
      <c r="CP1855" s="0" t="s">
        <v>154</v>
      </c>
      <c r="CQ1855" s="0" t="s">
        <v>155</v>
      </c>
      <c r="DC1855" s="0" t="s">
        <v>154</v>
      </c>
      <c r="DN1855" s="0" t="s">
        <v>154</v>
      </c>
      <c r="DO1855" s="0" t="s">
        <v>155</v>
      </c>
      <c r="DU1855" s="0" t="s">
        <v>154</v>
      </c>
      <c r="EA1855" s="0" t="s">
        <v>154</v>
      </c>
      <c r="EF1855" s="0" t="s">
        <v>154</v>
      </c>
    </row>
    <row r="1856" customFormat="false" ht="13.8" hidden="false" customHeight="false" outlineLevel="0" collapsed="false">
      <c r="A1856" s="0" t="s">
        <v>8322</v>
      </c>
      <c r="B1856" s="0" t="n">
        <v>78</v>
      </c>
      <c r="C1856" s="0" t="n">
        <v>226592</v>
      </c>
      <c r="D1856" s="0" t="s">
        <v>645</v>
      </c>
      <c r="E1856" s="0" t="s">
        <v>4866</v>
      </c>
      <c r="F1856" s="0" t="str">
        <f aca="false">CONCATENATE(D1856," ",LEFT(H1856,4),"T=",AU1856,"D=",AV1856,"R=",AW1856,"M=",AX1856,"L=",AY1856,"B=",AZ1856)</f>
        <v>WILLIAMS T=1D=0R=0M=0L=2B=0</v>
      </c>
      <c r="G1856" s="0" t="s">
        <v>188</v>
      </c>
      <c r="I1856" s="0" t="s">
        <v>8323</v>
      </c>
      <c r="J1856" s="0" t="s">
        <v>8324</v>
      </c>
      <c r="K1856" s="0" t="s">
        <v>175</v>
      </c>
      <c r="M1856" s="0" t="s">
        <v>8318</v>
      </c>
      <c r="N1856" s="0" t="str">
        <f aca="false">RIGHT(M1856,LEN(M1856)-FIND(" ",M1856))</f>
        <v>MERCER AVE NE</v>
      </c>
      <c r="P1856" s="0" t="s">
        <v>146</v>
      </c>
      <c r="Q1856" s="0" t="s">
        <v>147</v>
      </c>
      <c r="R1856" s="0" t="n">
        <v>44483</v>
      </c>
      <c r="AD1856" s="0" t="s">
        <v>148</v>
      </c>
      <c r="AE1856" s="0" t="s">
        <v>149</v>
      </c>
      <c r="AF1856" s="0" t="s">
        <v>150</v>
      </c>
      <c r="AH1856" s="0" t="n">
        <v>14</v>
      </c>
      <c r="AI1856" s="0" t="n">
        <v>11</v>
      </c>
      <c r="AN1856" s="0" t="s">
        <v>146</v>
      </c>
      <c r="AO1856" s="0" t="s">
        <v>236</v>
      </c>
      <c r="AP1856" s="0" t="s">
        <v>237</v>
      </c>
      <c r="AQ1856" s="0" t="n">
        <v>9</v>
      </c>
      <c r="AR1856" s="0" t="n">
        <v>64</v>
      </c>
      <c r="AS1856" s="0" t="n">
        <v>32</v>
      </c>
      <c r="AU1856" s="0" t="n">
        <f aca="false">COUNTA($BA$409:$EH$409)</f>
        <v>1</v>
      </c>
      <c r="AV1856" s="0" t="n">
        <f aca="false">COUNTIF($BA$409:$EH$409,"D")</f>
        <v>0</v>
      </c>
      <c r="AW1856" s="0" t="n">
        <f aca="false">COUNTIF($BA$409:$EH$409,"R")</f>
        <v>0</v>
      </c>
      <c r="AX1856" s="0" t="n">
        <f aca="false"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>0</v>
      </c>
      <c r="AY1856" s="0" t="n">
        <f aca="false">COUNTIF(DU1856:EH1856, "&lt;&gt;")</f>
        <v>2</v>
      </c>
      <c r="AZ1856" s="0" t="n">
        <f aca="false">IF(EH1856&lt;&gt;"",1,0)</f>
        <v>0</v>
      </c>
      <c r="BB1856" s="0" t="s">
        <v>153</v>
      </c>
      <c r="BD1856" s="0" t="s">
        <v>154</v>
      </c>
      <c r="BH1856" s="0" t="s">
        <v>154</v>
      </c>
      <c r="BL1856" s="0" t="s">
        <v>154</v>
      </c>
      <c r="BS1856" s="0" t="s">
        <v>154</v>
      </c>
      <c r="CA1856" s="0" t="s">
        <v>154</v>
      </c>
      <c r="CP1856" s="0" t="s">
        <v>154</v>
      </c>
      <c r="DC1856" s="0" t="s">
        <v>154</v>
      </c>
      <c r="DN1856" s="0" t="s">
        <v>154</v>
      </c>
      <c r="DU1856" s="0" t="s">
        <v>154</v>
      </c>
      <c r="EF1856" s="0" t="s">
        <v>154</v>
      </c>
    </row>
    <row r="1857" customFormat="false" ht="13.8" hidden="true" customHeight="false" outlineLevel="0" collapsed="false">
      <c r="A1857" s="0" t="s">
        <v>8325</v>
      </c>
      <c r="B1857" s="0" t="n">
        <v>78</v>
      </c>
      <c r="C1857" s="0" t="n">
        <v>451144</v>
      </c>
      <c r="D1857" s="0" t="s">
        <v>2507</v>
      </c>
      <c r="E1857" s="0" t="s">
        <v>4883</v>
      </c>
      <c r="F1857" s="0" t="str">
        <f aca="false">CONCATENATE(D1857," ",LEFT(H1857,4),"T=",AU1857,"D=",AV1857,"R=",AW1857,"M=",AX1857,"L=",AY1857,"B=",AZ1857)</f>
        <v>WATSON T=1D=0R=0M=0L=0B=0</v>
      </c>
      <c r="G1857" s="0" t="s">
        <v>8326</v>
      </c>
      <c r="I1857" s="0" t="s">
        <v>8327</v>
      </c>
      <c r="J1857" s="0" t="s">
        <v>8328</v>
      </c>
      <c r="K1857" s="0" t="s">
        <v>144</v>
      </c>
      <c r="L1857" s="0"/>
      <c r="M1857" s="0" t="s">
        <v>8318</v>
      </c>
      <c r="N1857" s="0" t="str">
        <f aca="false">RIGHT(M1857,LEN(M1857)-FIND(" ",M1857))</f>
        <v>MERCER AVE NE</v>
      </c>
      <c r="P1857" s="0" t="s">
        <v>146</v>
      </c>
      <c r="Q1857" s="0" t="s">
        <v>147</v>
      </c>
      <c r="R1857" s="0" t="n">
        <v>44483</v>
      </c>
      <c r="AD1857" s="0" t="s">
        <v>148</v>
      </c>
      <c r="AE1857" s="0" t="s">
        <v>149</v>
      </c>
      <c r="AF1857" s="0" t="s">
        <v>150</v>
      </c>
      <c r="AH1857" s="0" t="n">
        <v>14</v>
      </c>
      <c r="AI1857" s="0" t="n">
        <v>11</v>
      </c>
      <c r="AN1857" s="0" t="s">
        <v>146</v>
      </c>
      <c r="AO1857" s="0" t="s">
        <v>236</v>
      </c>
      <c r="AP1857" s="0" t="s">
        <v>237</v>
      </c>
      <c r="AQ1857" s="0" t="n">
        <v>9</v>
      </c>
      <c r="AR1857" s="0" t="n">
        <v>64</v>
      </c>
      <c r="AS1857" s="0" t="n">
        <v>32</v>
      </c>
      <c r="AU1857" s="0" t="n">
        <f aca="false">COUNTA($BA$915:$EH$915)</f>
        <v>1</v>
      </c>
      <c r="AV1857" s="0" t="n">
        <f aca="false">COUNTIF($BA$915:$EH$915,"D")</f>
        <v>0</v>
      </c>
      <c r="AW1857" s="0" t="n">
        <f aca="false">COUNTIF($BA$915:$EH$915,"R")</f>
        <v>0</v>
      </c>
      <c r="AX1857" s="0" t="n">
        <f aca="false"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>0</v>
      </c>
      <c r="AY1857" s="0" t="n">
        <f aca="false">COUNTIF(DU1857:EH1857, "&lt;&gt;")</f>
        <v>0</v>
      </c>
      <c r="AZ1857" s="0" t="n">
        <f aca="false">IF(EH1857&lt;&gt;"",1,0)</f>
        <v>0</v>
      </c>
      <c r="BB1857" s="0" t="s">
        <v>153</v>
      </c>
      <c r="DN1857" s="0" t="s">
        <v>154</v>
      </c>
    </row>
    <row r="1858" customFormat="false" ht="13.8" hidden="false" customHeight="false" outlineLevel="0" collapsed="false">
      <c r="A1858" s="0" t="s">
        <v>8329</v>
      </c>
      <c r="B1858" s="0" t="n">
        <v>78</v>
      </c>
      <c r="C1858" s="0" t="n">
        <v>446592</v>
      </c>
      <c r="D1858" s="0" t="s">
        <v>8330</v>
      </c>
      <c r="E1858" s="0" t="s">
        <v>8331</v>
      </c>
      <c r="F1858" s="0" t="str">
        <f aca="false">CONCATENATE(D1858," ",LEFT(H1858,4),"T=",AU1858,"D=",AV1858,"R=",AW1858,"M=",AX1858,"L=",AY1858,"B=",AZ1858)</f>
        <v>MACDUFF T=1D=0R=0M=2L=3B=0</v>
      </c>
      <c r="G1858" s="0" t="s">
        <v>2764</v>
      </c>
      <c r="I1858" s="0" t="s">
        <v>8332</v>
      </c>
      <c r="J1858" s="0" t="s">
        <v>8333</v>
      </c>
      <c r="K1858" s="0" t="s">
        <v>175</v>
      </c>
      <c r="L1858" s="1" t="s">
        <v>155</v>
      </c>
      <c r="M1858" s="0" t="s">
        <v>8334</v>
      </c>
      <c r="N1858" s="0" t="str">
        <f aca="false">RIGHT(M1858,LEN(M1858)-FIND(" ",M1858))</f>
        <v>MERCER AVE NE</v>
      </c>
      <c r="P1858" s="0" t="s">
        <v>146</v>
      </c>
      <c r="Q1858" s="0" t="s">
        <v>147</v>
      </c>
      <c r="R1858" s="0" t="n">
        <v>44483</v>
      </c>
      <c r="S1858" s="0" t="n">
        <v>4908</v>
      </c>
      <c r="AD1858" s="0" t="s">
        <v>148</v>
      </c>
      <c r="AE1858" s="0" t="s">
        <v>149</v>
      </c>
      <c r="AF1858" s="0" t="s">
        <v>150</v>
      </c>
      <c r="AH1858" s="0" t="n">
        <v>14</v>
      </c>
      <c r="AI1858" s="0" t="n">
        <v>11</v>
      </c>
      <c r="AN1858" s="0" t="s">
        <v>146</v>
      </c>
      <c r="AO1858" s="0" t="s">
        <v>236</v>
      </c>
      <c r="AP1858" s="0" t="s">
        <v>237</v>
      </c>
      <c r="AQ1858" s="0" t="n">
        <v>9</v>
      </c>
      <c r="AR1858" s="0" t="n">
        <v>64</v>
      </c>
      <c r="AS1858" s="0" t="n">
        <v>32</v>
      </c>
      <c r="AU1858" s="0" t="n">
        <f aca="false">COUNTA($BA$81:$EH$81)</f>
        <v>1</v>
      </c>
      <c r="AV1858" s="0" t="n">
        <f aca="false">COUNTIF($BA$81:$EH$81,"D")</f>
        <v>0</v>
      </c>
      <c r="AW1858" s="0" t="n">
        <f aca="false">COUNTIF($BA$81:$EH$81,"R")</f>
        <v>0</v>
      </c>
      <c r="AX1858" s="0" t="n">
        <f aca="false"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>2</v>
      </c>
      <c r="AY1858" s="0" t="n">
        <f aca="false">COUNTIF(DU1858:EH1858, "&lt;&gt;")</f>
        <v>3</v>
      </c>
      <c r="AZ1858" s="0" t="n">
        <f aca="false">IF(EH1858&lt;&gt;"",1,0)</f>
        <v>0</v>
      </c>
      <c r="BB1858" s="0" t="s">
        <v>153</v>
      </c>
      <c r="CK1858" s="0" t="s">
        <v>154</v>
      </c>
      <c r="CO1858" s="0" t="s">
        <v>176</v>
      </c>
      <c r="CP1858" s="0" t="s">
        <v>154</v>
      </c>
      <c r="DN1858" s="0" t="s">
        <v>154</v>
      </c>
      <c r="DO1858" s="0" t="s">
        <v>155</v>
      </c>
      <c r="DR1858" s="0" t="s">
        <v>154</v>
      </c>
      <c r="DU1858" s="0" t="s">
        <v>154</v>
      </c>
      <c r="DW1858" s="0" t="s">
        <v>155</v>
      </c>
      <c r="EF1858" s="0" t="s">
        <v>154</v>
      </c>
    </row>
    <row r="1859" customFormat="false" ht="13.8" hidden="true" customHeight="false" outlineLevel="0" collapsed="false">
      <c r="A1859" s="0" t="s">
        <v>8335</v>
      </c>
      <c r="B1859" s="0" t="n">
        <v>78</v>
      </c>
      <c r="C1859" s="0" t="n">
        <v>487638</v>
      </c>
      <c r="D1859" s="0" t="s">
        <v>877</v>
      </c>
      <c r="E1859" s="0" t="s">
        <v>8336</v>
      </c>
      <c r="F1859" s="0" t="str">
        <f aca="false">CONCATENATE(D1859," ",LEFT(H1859,4),"T=",AU1859,"D=",AV1859,"R=",AW1859,"M=",AX1859,"L=",AY1859,"B=",AZ1859)</f>
        <v>PAYNE T=1D=0R=0M=0L=0B=0</v>
      </c>
      <c r="G1859" s="0" t="s">
        <v>365</v>
      </c>
      <c r="I1859" s="0" t="s">
        <v>8337</v>
      </c>
      <c r="J1859" s="0" t="s">
        <v>2917</v>
      </c>
      <c r="K1859" s="0" t="s">
        <v>175</v>
      </c>
      <c r="L1859" s="0"/>
      <c r="M1859" s="0" t="s">
        <v>8338</v>
      </c>
      <c r="N1859" s="0" t="str">
        <f aca="false">RIGHT(M1859,LEN(M1859)-FIND(" ",M1859))</f>
        <v>MERCER AVE NE</v>
      </c>
      <c r="O1859" s="0" t="s">
        <v>184</v>
      </c>
      <c r="P1859" s="0" t="s">
        <v>146</v>
      </c>
      <c r="Q1859" s="0" t="s">
        <v>147</v>
      </c>
      <c r="R1859" s="0" t="n">
        <v>44483</v>
      </c>
      <c r="AD1859" s="0" t="s">
        <v>148</v>
      </c>
      <c r="AE1859" s="0" t="s">
        <v>149</v>
      </c>
      <c r="AF1859" s="0" t="s">
        <v>150</v>
      </c>
      <c r="AH1859" s="0" t="n">
        <v>14</v>
      </c>
      <c r="AI1859" s="0" t="n">
        <v>11</v>
      </c>
      <c r="AN1859" s="0" t="s">
        <v>146</v>
      </c>
      <c r="AO1859" s="0" t="s">
        <v>236</v>
      </c>
      <c r="AP1859" s="0" t="s">
        <v>237</v>
      </c>
      <c r="AQ1859" s="0" t="n">
        <v>9</v>
      </c>
      <c r="AR1859" s="0" t="n">
        <v>64</v>
      </c>
      <c r="AS1859" s="0" t="n">
        <v>32</v>
      </c>
      <c r="AU1859" s="0" t="n">
        <f aca="false">COUNTA($BA$496:$EH$496)</f>
        <v>1</v>
      </c>
      <c r="AV1859" s="0" t="n">
        <f aca="false">COUNTIF($BA$496:$EH$496,"D")</f>
        <v>0</v>
      </c>
      <c r="AW1859" s="0" t="n">
        <f aca="false">COUNTIF($BA$496:$EH$496,"R")</f>
        <v>0</v>
      </c>
      <c r="AX1859" s="0" t="n">
        <f aca="false"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>0</v>
      </c>
      <c r="AY1859" s="0" t="n">
        <f aca="false">COUNTIF(DU1859:EH1859, "&lt;&gt;")</f>
        <v>0</v>
      </c>
      <c r="AZ1859" s="0" t="n">
        <f aca="false">IF(EH1859&lt;&gt;"",1,0)</f>
        <v>0</v>
      </c>
      <c r="BB1859" s="0" t="s">
        <v>153</v>
      </c>
    </row>
    <row r="1860" customFormat="false" ht="13.8" hidden="true" customHeight="false" outlineLevel="0" collapsed="false">
      <c r="A1860" s="0" t="s">
        <v>8339</v>
      </c>
      <c r="B1860" s="0" t="n">
        <v>78</v>
      </c>
      <c r="C1860" s="0" t="n">
        <v>495255</v>
      </c>
      <c r="D1860" s="0" t="s">
        <v>3668</v>
      </c>
      <c r="E1860" s="0" t="s">
        <v>858</v>
      </c>
      <c r="F1860" s="0" t="str">
        <f aca="false">CONCATENATE(D1860," ",LEFT(H1860,4),"T=",AU1860,"D=",AV1860,"R=",AW1860,"M=",AX1860,"L=",AY1860,"B=",AZ1860)</f>
        <v>REED T=5D=0R=0M=0L=0B=0</v>
      </c>
      <c r="G1860" s="0" t="s">
        <v>8340</v>
      </c>
      <c r="I1860" s="0" t="s">
        <v>8341</v>
      </c>
      <c r="J1860" s="0" t="s">
        <v>1691</v>
      </c>
      <c r="K1860" s="0" t="s">
        <v>175</v>
      </c>
      <c r="L1860" s="0"/>
      <c r="M1860" s="0" t="s">
        <v>8342</v>
      </c>
      <c r="N1860" s="0" t="str">
        <f aca="false">RIGHT(M1860,LEN(M1860)-FIND(" ",M1860))</f>
        <v>MERCER AVE NE</v>
      </c>
      <c r="P1860" s="0" t="s">
        <v>146</v>
      </c>
      <c r="Q1860" s="0" t="s">
        <v>147</v>
      </c>
      <c r="R1860" s="0" t="n">
        <v>44483</v>
      </c>
      <c r="AD1860" s="0" t="s">
        <v>148</v>
      </c>
      <c r="AE1860" s="0" t="s">
        <v>149</v>
      </c>
      <c r="AF1860" s="0" t="s">
        <v>150</v>
      </c>
      <c r="AH1860" s="0" t="n">
        <v>14</v>
      </c>
      <c r="AI1860" s="0" t="n">
        <v>11</v>
      </c>
      <c r="AN1860" s="0" t="s">
        <v>146</v>
      </c>
      <c r="AO1860" s="0" t="s">
        <v>236</v>
      </c>
      <c r="AP1860" s="0" t="s">
        <v>237</v>
      </c>
      <c r="AQ1860" s="0" t="n">
        <v>9</v>
      </c>
      <c r="AR1860" s="0" t="n">
        <v>64</v>
      </c>
      <c r="AS1860" s="0" t="n">
        <v>32</v>
      </c>
      <c r="AU1860" s="0" t="n">
        <f aca="false">COUNTA($BA$640:$EH$640)</f>
        <v>5</v>
      </c>
      <c r="AV1860" s="0" t="n">
        <f aca="false">COUNTIF($BA$640:$EH$640,"D")</f>
        <v>0</v>
      </c>
      <c r="AW1860" s="0" t="n">
        <f aca="false">COUNTIF($BA$640:$EH$640,"R")</f>
        <v>0</v>
      </c>
      <c r="AX1860" s="0" t="n">
        <f aca="false"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>0</v>
      </c>
      <c r="AY1860" s="0" t="n">
        <f aca="false">COUNTIF(DU1860:EH1860, "&lt;&gt;")</f>
        <v>0</v>
      </c>
      <c r="AZ1860" s="0" t="n">
        <f aca="false">IF(EH1860&lt;&gt;"",1,0)</f>
        <v>0</v>
      </c>
      <c r="BB1860" s="0" t="s">
        <v>153</v>
      </c>
    </row>
    <row r="1861" customFormat="false" ht="13.8" hidden="true" customHeight="false" outlineLevel="0" collapsed="false">
      <c r="A1861" s="0" t="s">
        <v>8343</v>
      </c>
      <c r="B1861" s="0" t="n">
        <v>78</v>
      </c>
      <c r="C1861" s="0" t="n">
        <v>431494</v>
      </c>
      <c r="D1861" s="0" t="s">
        <v>7902</v>
      </c>
      <c r="E1861" s="0" t="s">
        <v>652</v>
      </c>
      <c r="F1861" s="0" t="str">
        <f aca="false">CONCATENATE(D1861," ",LEFT(H1861,4),"T=",AU1861,"D=",AV1861,"R=",AW1861,"M=",AX1861,"L=",AY1861,"B=",AZ1861)</f>
        <v>SIMMONS T=5D=0R=0M=0L=0B=0</v>
      </c>
      <c r="I1861" s="0" t="s">
        <v>8344</v>
      </c>
      <c r="J1861" s="0" t="s">
        <v>8345</v>
      </c>
      <c r="K1861" s="0" t="s">
        <v>144</v>
      </c>
      <c r="L1861" s="0"/>
      <c r="M1861" s="0" t="s">
        <v>8342</v>
      </c>
      <c r="N1861" s="0" t="str">
        <f aca="false">RIGHT(M1861,LEN(M1861)-FIND(" ",M1861))</f>
        <v>MERCER AVE NE</v>
      </c>
      <c r="O1861" s="0" t="s">
        <v>192</v>
      </c>
      <c r="P1861" s="0" t="s">
        <v>146</v>
      </c>
      <c r="Q1861" s="0" t="s">
        <v>147</v>
      </c>
      <c r="R1861" s="0" t="n">
        <v>44483</v>
      </c>
      <c r="AD1861" s="0" t="s">
        <v>148</v>
      </c>
      <c r="AE1861" s="0" t="s">
        <v>149</v>
      </c>
      <c r="AF1861" s="0" t="s">
        <v>150</v>
      </c>
      <c r="AH1861" s="0" t="n">
        <v>14</v>
      </c>
      <c r="AI1861" s="0" t="n">
        <v>11</v>
      </c>
      <c r="AN1861" s="0" t="s">
        <v>146</v>
      </c>
      <c r="AO1861" s="0" t="s">
        <v>236</v>
      </c>
      <c r="AP1861" s="0" t="s">
        <v>237</v>
      </c>
      <c r="AQ1861" s="0" t="n">
        <v>9</v>
      </c>
      <c r="AR1861" s="0" t="n">
        <v>64</v>
      </c>
      <c r="AS1861" s="0" t="n">
        <v>32</v>
      </c>
      <c r="AU1861" s="0" t="n">
        <f aca="false">COUNTA($BA$716:$EH$716)</f>
        <v>5</v>
      </c>
      <c r="AV1861" s="0" t="n">
        <f aca="false">COUNTIF($BA$716:$EH$716,"D")</f>
        <v>0</v>
      </c>
      <c r="AW1861" s="0" t="n">
        <f aca="false">COUNTIF($BA$716:$EH$716,"R")</f>
        <v>0</v>
      </c>
      <c r="AX1861" s="0" t="n">
        <f aca="false"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>0</v>
      </c>
      <c r="AY1861" s="0" t="n">
        <f aca="false">COUNTIF(DU1861:EH1861, "&lt;&gt;")</f>
        <v>0</v>
      </c>
      <c r="AZ1861" s="0" t="n">
        <f aca="false">IF(EH1861&lt;&gt;"",1,0)</f>
        <v>0</v>
      </c>
      <c r="BB1861" s="0" t="s">
        <v>153</v>
      </c>
    </row>
    <row r="1862" customFormat="false" ht="13.8" hidden="true" customHeight="false" outlineLevel="0" collapsed="false">
      <c r="A1862" s="0" t="s">
        <v>8346</v>
      </c>
      <c r="B1862" s="0" t="n">
        <v>78</v>
      </c>
      <c r="C1862" s="0" t="n">
        <v>380677</v>
      </c>
      <c r="D1862" s="0" t="s">
        <v>8347</v>
      </c>
      <c r="E1862" s="0" t="s">
        <v>335</v>
      </c>
      <c r="F1862" s="0" t="str">
        <f aca="false">CONCATENATE(D1862," ",LEFT(H1862,4),"T=",AU1862,"D=",AV1862,"R=",AW1862,"M=",AX1862,"L=",AY1862,"B=",AZ1862)</f>
        <v>MCDONALD T=1D=0R=0M=0L=0B=0</v>
      </c>
      <c r="G1862" s="0" t="s">
        <v>195</v>
      </c>
      <c r="I1862" s="0" t="s">
        <v>8348</v>
      </c>
      <c r="J1862" s="0" t="s">
        <v>395</v>
      </c>
      <c r="K1862" s="0" t="s">
        <v>144</v>
      </c>
      <c r="L1862" s="0"/>
      <c r="M1862" s="0" t="s">
        <v>8349</v>
      </c>
      <c r="N1862" s="0" t="str">
        <f aca="false">RIGHT(M1862,LEN(M1862)-FIND(" ",M1862))</f>
        <v>MERCER AVE NE</v>
      </c>
      <c r="P1862" s="0" t="s">
        <v>146</v>
      </c>
      <c r="Q1862" s="0" t="s">
        <v>147</v>
      </c>
      <c r="R1862" s="0" t="n">
        <v>44483</v>
      </c>
      <c r="AD1862" s="0" t="s">
        <v>148</v>
      </c>
      <c r="AE1862" s="0" t="s">
        <v>149</v>
      </c>
      <c r="AF1862" s="0" t="s">
        <v>150</v>
      </c>
      <c r="AH1862" s="0" t="n">
        <v>14</v>
      </c>
      <c r="AI1862" s="0" t="n">
        <v>11</v>
      </c>
      <c r="AN1862" s="0" t="s">
        <v>146</v>
      </c>
      <c r="AO1862" s="0" t="s">
        <v>236</v>
      </c>
      <c r="AP1862" s="0" t="s">
        <v>237</v>
      </c>
      <c r="AQ1862" s="0" t="n">
        <v>9</v>
      </c>
      <c r="AR1862" s="0" t="n">
        <v>64</v>
      </c>
      <c r="AS1862" s="0" t="n">
        <v>32</v>
      </c>
      <c r="AU1862" s="0" t="n">
        <f aca="false">COUNTA($BA$911:$EH$911)</f>
        <v>1</v>
      </c>
      <c r="AV1862" s="0" t="n">
        <f aca="false">COUNTIF($BA$911:$EH$911,"D")</f>
        <v>0</v>
      </c>
      <c r="AW1862" s="0" t="n">
        <f aca="false">COUNTIF($BA$911:$EH$911,"R")</f>
        <v>0</v>
      </c>
      <c r="AX1862" s="0" t="n">
        <f aca="false"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>0</v>
      </c>
      <c r="AY1862" s="0" t="n">
        <f aca="false">COUNTIF(DU1862:EH1862, "&lt;&gt;")</f>
        <v>0</v>
      </c>
      <c r="AZ1862" s="0" t="n">
        <f aca="false">IF(EH1862&lt;&gt;"",1,0)</f>
        <v>0</v>
      </c>
      <c r="BB1862" s="0" t="s">
        <v>153</v>
      </c>
      <c r="DC1862" s="0" t="s">
        <v>154</v>
      </c>
    </row>
    <row r="1863" customFormat="false" ht="13.8" hidden="true" customHeight="false" outlineLevel="0" collapsed="false">
      <c r="A1863" s="0" t="s">
        <v>8350</v>
      </c>
      <c r="B1863" s="0" t="n">
        <v>78</v>
      </c>
      <c r="C1863" s="0" t="n">
        <v>458737</v>
      </c>
      <c r="D1863" s="0" t="s">
        <v>8351</v>
      </c>
      <c r="E1863" s="0" t="s">
        <v>430</v>
      </c>
      <c r="F1863" s="0" t="str">
        <f aca="false">CONCATENATE(D1863," ",LEFT(H1863,4),"T=",AU1863,"D=",AV1863,"R=",AW1863,"M=",AX1863,"L=",AY1863,"B=",AZ1863)</f>
        <v>OZANICH T=3D=0R=0M=0L=1B=0</v>
      </c>
      <c r="G1863" s="0" t="s">
        <v>241</v>
      </c>
      <c r="I1863" s="0" t="s">
        <v>8320</v>
      </c>
      <c r="J1863" s="0" t="s">
        <v>672</v>
      </c>
      <c r="K1863" s="0" t="s">
        <v>175</v>
      </c>
      <c r="L1863" s="0"/>
      <c r="M1863" s="0" t="s">
        <v>8352</v>
      </c>
      <c r="N1863" s="0" t="str">
        <f aca="false">RIGHT(M1863,LEN(M1863)-FIND(" ",M1863))</f>
        <v>MERCER AVE NE</v>
      </c>
      <c r="P1863" s="0" t="s">
        <v>146</v>
      </c>
      <c r="Q1863" s="0" t="s">
        <v>147</v>
      </c>
      <c r="R1863" s="0" t="n">
        <v>44483</v>
      </c>
      <c r="AD1863" s="0" t="s">
        <v>148</v>
      </c>
      <c r="AE1863" s="0" t="s">
        <v>149</v>
      </c>
      <c r="AF1863" s="0" t="s">
        <v>150</v>
      </c>
      <c r="AH1863" s="0" t="n">
        <v>14</v>
      </c>
      <c r="AI1863" s="0" t="n">
        <v>11</v>
      </c>
      <c r="AN1863" s="0" t="s">
        <v>146</v>
      </c>
      <c r="AO1863" s="0" t="s">
        <v>236</v>
      </c>
      <c r="AP1863" s="0" t="s">
        <v>237</v>
      </c>
      <c r="AQ1863" s="0" t="n">
        <v>9</v>
      </c>
      <c r="AR1863" s="0" t="n">
        <v>64</v>
      </c>
      <c r="AS1863" s="0" t="n">
        <v>32</v>
      </c>
      <c r="AU1863" s="0" t="n">
        <f aca="false">COUNTA($BA$293:$EH$293)</f>
        <v>3</v>
      </c>
      <c r="AV1863" s="0" t="n">
        <f aca="false">COUNTIF($BA$293:$EH$293,"D")</f>
        <v>0</v>
      </c>
      <c r="AW1863" s="0" t="n">
        <f aca="false">COUNTIF($BA$293:$EH$293,"R")</f>
        <v>0</v>
      </c>
      <c r="AX1863" s="0" t="n">
        <f aca="false"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>0</v>
      </c>
      <c r="AY1863" s="0" t="n">
        <f aca="false">COUNTIF(DU1863:EH1863, "&lt;&gt;")</f>
        <v>1</v>
      </c>
      <c r="AZ1863" s="0" t="n">
        <f aca="false">IF(EH1863&lt;&gt;"",1,0)</f>
        <v>0</v>
      </c>
      <c r="BB1863" s="0" t="s">
        <v>153</v>
      </c>
      <c r="EF1863" s="0" t="s">
        <v>154</v>
      </c>
    </row>
    <row r="1864" customFormat="false" ht="13.8" hidden="true" customHeight="false" outlineLevel="0" collapsed="false">
      <c r="A1864" s="0" t="s">
        <v>8353</v>
      </c>
      <c r="B1864" s="0" t="n">
        <v>78</v>
      </c>
      <c r="C1864" s="0" t="n">
        <v>408736</v>
      </c>
      <c r="D1864" s="0" t="s">
        <v>8351</v>
      </c>
      <c r="E1864" s="0" t="s">
        <v>1122</v>
      </c>
      <c r="F1864" s="0" t="str">
        <f aca="false">CONCATENATE(D1864," ",LEFT(H1864,4),"T=",AU1864,"D=",AV1864,"R=",AW1864,"M=",AX1864,"L=",AY1864,"B=",AZ1864)</f>
        <v>OZANICH T=7D=1R=0M=0L=0B=0</v>
      </c>
      <c r="G1864" s="0" t="s">
        <v>652</v>
      </c>
      <c r="I1864" s="0" t="s">
        <v>8354</v>
      </c>
      <c r="J1864" s="0" t="s">
        <v>757</v>
      </c>
      <c r="K1864" s="0" t="s">
        <v>175</v>
      </c>
      <c r="L1864" s="0"/>
      <c r="M1864" s="0" t="s">
        <v>8352</v>
      </c>
      <c r="N1864" s="0" t="str">
        <f aca="false">RIGHT(M1864,LEN(M1864)-FIND(" ",M1864))</f>
        <v>MERCER AVE NE</v>
      </c>
      <c r="P1864" s="0" t="s">
        <v>146</v>
      </c>
      <c r="Q1864" s="0" t="s">
        <v>147</v>
      </c>
      <c r="R1864" s="0" t="n">
        <v>44483</v>
      </c>
      <c r="AD1864" s="0" t="s">
        <v>148</v>
      </c>
      <c r="AE1864" s="0" t="s">
        <v>149</v>
      </c>
      <c r="AF1864" s="0" t="s">
        <v>150</v>
      </c>
      <c r="AH1864" s="0" t="n">
        <v>14</v>
      </c>
      <c r="AI1864" s="0" t="n">
        <v>11</v>
      </c>
      <c r="AN1864" s="0" t="s">
        <v>146</v>
      </c>
      <c r="AO1864" s="0" t="s">
        <v>236</v>
      </c>
      <c r="AP1864" s="0" t="s">
        <v>237</v>
      </c>
      <c r="AQ1864" s="0" t="n">
        <v>9</v>
      </c>
      <c r="AR1864" s="0" t="n">
        <v>64</v>
      </c>
      <c r="AS1864" s="0" t="n">
        <v>32</v>
      </c>
      <c r="AU1864" s="0" t="n">
        <f aca="false">COUNTA($BA$372:$EH$372)</f>
        <v>7</v>
      </c>
      <c r="AV1864" s="0" t="n">
        <f aca="false">COUNTIF($BA$372:$EH$372,"D")</f>
        <v>1</v>
      </c>
      <c r="AW1864" s="0" t="n">
        <f aca="false">COUNTIF($BA$372:$EH$372,"R")</f>
        <v>0</v>
      </c>
      <c r="AX1864" s="0" t="n">
        <f aca="false"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>0</v>
      </c>
      <c r="AY1864" s="0" t="n">
        <f aca="false">COUNTIF(DU1864:EH1864, "&lt;&gt;")</f>
        <v>0</v>
      </c>
      <c r="AZ1864" s="0" t="n">
        <f aca="false">IF(EH1864&lt;&gt;"",1,0)</f>
        <v>0</v>
      </c>
      <c r="BB1864" s="0" t="s">
        <v>153</v>
      </c>
    </row>
    <row r="1865" customFormat="false" ht="13.8" hidden="true" customHeight="false" outlineLevel="0" collapsed="false">
      <c r="A1865" s="0" t="s">
        <v>8355</v>
      </c>
      <c r="B1865" s="0" t="n">
        <v>78</v>
      </c>
      <c r="C1865" s="0" t="n">
        <v>245668</v>
      </c>
      <c r="D1865" s="0" t="s">
        <v>8356</v>
      </c>
      <c r="E1865" s="0" t="s">
        <v>6090</v>
      </c>
      <c r="F1865" s="0" t="str">
        <f aca="false">CONCATENATE(D1865," ",LEFT(H1865,4),"T=",AU1865,"D=",AV1865,"R=",AW1865,"M=",AX1865,"L=",AY1865,"B=",AZ1865)</f>
        <v>GETZ T=23D=4R=2M=0L=1B=0</v>
      </c>
      <c r="G1865" s="0" t="s">
        <v>241</v>
      </c>
      <c r="I1865" s="0" t="s">
        <v>8357</v>
      </c>
      <c r="J1865" s="0" t="s">
        <v>8358</v>
      </c>
      <c r="K1865" s="0" t="s">
        <v>175</v>
      </c>
      <c r="L1865" s="0"/>
      <c r="M1865" s="0" t="s">
        <v>8352</v>
      </c>
      <c r="N1865" s="0" t="str">
        <f aca="false">RIGHT(M1865,LEN(M1865)-FIND(" ",M1865))</f>
        <v>MERCER AVE NE</v>
      </c>
      <c r="P1865" s="0" t="s">
        <v>146</v>
      </c>
      <c r="Q1865" s="0" t="s">
        <v>147</v>
      </c>
      <c r="R1865" s="0" t="n">
        <v>44483</v>
      </c>
      <c r="AD1865" s="0" t="s">
        <v>148</v>
      </c>
      <c r="AE1865" s="0" t="s">
        <v>149</v>
      </c>
      <c r="AF1865" s="0" t="s">
        <v>150</v>
      </c>
      <c r="AH1865" s="0" t="n">
        <v>14</v>
      </c>
      <c r="AI1865" s="0" t="n">
        <v>11</v>
      </c>
      <c r="AN1865" s="0" t="s">
        <v>146</v>
      </c>
      <c r="AO1865" s="0" t="s">
        <v>236</v>
      </c>
      <c r="AP1865" s="0" t="s">
        <v>237</v>
      </c>
      <c r="AQ1865" s="0" t="n">
        <v>9</v>
      </c>
      <c r="AR1865" s="0" t="n">
        <v>64</v>
      </c>
      <c r="AS1865" s="0" t="n">
        <v>32</v>
      </c>
      <c r="AU1865" s="0" t="n">
        <f aca="false">COUNTA($BA$512:$EH$512)</f>
        <v>23</v>
      </c>
      <c r="AV1865" s="0" t="n">
        <f aca="false">COUNTIF($BA$512:$EH$512,"D")</f>
        <v>4</v>
      </c>
      <c r="AW1865" s="0" t="n">
        <f aca="false">COUNTIF($BA$512:$EH$512,"R")</f>
        <v>2</v>
      </c>
      <c r="AX1865" s="0" t="n">
        <f aca="false"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>0</v>
      </c>
      <c r="AY1865" s="0" t="n">
        <f aca="false">COUNTIF(DU1865:EH1865, "&lt;&gt;")</f>
        <v>1</v>
      </c>
      <c r="AZ1865" s="0" t="n">
        <f aca="false">IF(EH1865&lt;&gt;"",1,0)</f>
        <v>0</v>
      </c>
      <c r="BB1865" s="0" t="s">
        <v>153</v>
      </c>
      <c r="BD1865" s="0" t="s">
        <v>154</v>
      </c>
      <c r="BE1865" s="0" t="s">
        <v>154</v>
      </c>
      <c r="BF1865" s="0" t="s">
        <v>154</v>
      </c>
      <c r="BG1865" s="0" t="s">
        <v>154</v>
      </c>
      <c r="BH1865" s="0" t="s">
        <v>154</v>
      </c>
      <c r="BJ1865" s="0" t="s">
        <v>154</v>
      </c>
      <c r="BK1865" s="0" t="s">
        <v>154</v>
      </c>
      <c r="BL1865" s="0" t="s">
        <v>154</v>
      </c>
      <c r="BP1865" s="0" t="s">
        <v>154</v>
      </c>
      <c r="BS1865" s="0" t="s">
        <v>154</v>
      </c>
      <c r="BY1865" s="0" t="s">
        <v>155</v>
      </c>
      <c r="CA1865" s="0" t="s">
        <v>154</v>
      </c>
      <c r="CG1865" s="0" t="s">
        <v>154</v>
      </c>
      <c r="CK1865" s="0" t="s">
        <v>154</v>
      </c>
      <c r="CN1865" s="0" t="s">
        <v>154</v>
      </c>
      <c r="CP1865" s="0" t="s">
        <v>154</v>
      </c>
      <c r="CV1865" s="0" t="s">
        <v>154</v>
      </c>
      <c r="CY1865" s="0" t="s">
        <v>154</v>
      </c>
      <c r="DC1865" s="0" t="s">
        <v>154</v>
      </c>
      <c r="DM1865" s="0" t="s">
        <v>155</v>
      </c>
      <c r="DN1865" s="0" t="s">
        <v>154</v>
      </c>
      <c r="EF1865" s="0" t="s">
        <v>154</v>
      </c>
    </row>
    <row r="1866" customFormat="false" ht="13.8" hidden="true" customHeight="false" outlineLevel="0" collapsed="false">
      <c r="A1866" s="0" t="s">
        <v>8359</v>
      </c>
      <c r="B1866" s="0" t="n">
        <v>78</v>
      </c>
      <c r="C1866" s="0" t="n">
        <v>308809</v>
      </c>
      <c r="D1866" s="0" t="s">
        <v>5735</v>
      </c>
      <c r="E1866" s="0" t="s">
        <v>1232</v>
      </c>
      <c r="F1866" s="0" t="str">
        <f aca="false">CONCATENATE(D1866," ",LEFT(H1866,4),"T=",AU1866,"D=",AV1866,"R=",AW1866,"M=",AX1866,"L=",AY1866,"B=",AZ1866)</f>
        <v>SIMPSON T=2D=0R=0M=1L=0B=0</v>
      </c>
      <c r="I1866" s="0" t="s">
        <v>8360</v>
      </c>
      <c r="J1866" s="0" t="s">
        <v>5319</v>
      </c>
      <c r="K1866" s="0" t="s">
        <v>175</v>
      </c>
      <c r="L1866" s="0"/>
      <c r="M1866" s="0" t="s">
        <v>8352</v>
      </c>
      <c r="N1866" s="0" t="str">
        <f aca="false">RIGHT(M1866,LEN(M1866)-FIND(" ",M1866))</f>
        <v>MERCER AVE NE</v>
      </c>
      <c r="P1866" s="0" t="s">
        <v>146</v>
      </c>
      <c r="Q1866" s="0" t="s">
        <v>147</v>
      </c>
      <c r="R1866" s="0" t="n">
        <v>44483</v>
      </c>
      <c r="AD1866" s="0" t="s">
        <v>148</v>
      </c>
      <c r="AE1866" s="0" t="s">
        <v>149</v>
      </c>
      <c r="AF1866" s="0" t="s">
        <v>150</v>
      </c>
      <c r="AH1866" s="0" t="n">
        <v>14</v>
      </c>
      <c r="AI1866" s="0" t="n">
        <v>11</v>
      </c>
      <c r="AN1866" s="0" t="s">
        <v>146</v>
      </c>
      <c r="AO1866" s="0" t="s">
        <v>236</v>
      </c>
      <c r="AP1866" s="0" t="s">
        <v>237</v>
      </c>
      <c r="AQ1866" s="0" t="n">
        <v>9</v>
      </c>
      <c r="AR1866" s="0" t="n">
        <v>64</v>
      </c>
      <c r="AS1866" s="0" t="n">
        <v>32</v>
      </c>
      <c r="AU1866" s="0" t="n">
        <f aca="false">COUNTA($BA$592:$EH$592)</f>
        <v>2</v>
      </c>
      <c r="AV1866" s="0" t="n">
        <f aca="false">COUNTIF($BA$592:$EH$592,"D")</f>
        <v>0</v>
      </c>
      <c r="AW1866" s="0" t="n">
        <f aca="false">COUNTIF($BA$592:$EH$592,"R")</f>
        <v>0</v>
      </c>
      <c r="AX1866" s="0" t="n">
        <f aca="false"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>1</v>
      </c>
      <c r="AY1866" s="0" t="n">
        <f aca="false">COUNTIF(DU1866:EH1866, "&lt;&gt;")</f>
        <v>0</v>
      </c>
      <c r="AZ1866" s="0" t="n">
        <f aca="false">IF(EH1866&lt;&gt;"",1,0)</f>
        <v>0</v>
      </c>
      <c r="BB1866" s="0" t="s">
        <v>153</v>
      </c>
      <c r="BL1866" s="0" t="s">
        <v>154</v>
      </c>
      <c r="CA1866" s="0" t="s">
        <v>154</v>
      </c>
      <c r="CL1866" s="0" t="s">
        <v>155</v>
      </c>
      <c r="CP1866" s="0" t="s">
        <v>154</v>
      </c>
      <c r="CY1866" s="0" t="s">
        <v>154</v>
      </c>
    </row>
    <row r="1867" customFormat="false" ht="13.8" hidden="true" customHeight="false" outlineLevel="0" collapsed="false">
      <c r="A1867" s="0" t="s">
        <v>8361</v>
      </c>
      <c r="B1867" s="0" t="n">
        <v>78</v>
      </c>
      <c r="C1867" s="0" t="n">
        <v>352955</v>
      </c>
      <c r="D1867" s="0" t="s">
        <v>8362</v>
      </c>
      <c r="E1867" s="0" t="s">
        <v>502</v>
      </c>
      <c r="F1867" s="0" t="str">
        <f aca="false">CONCATENATE(D1867," ",LEFT(H1867,4),"T=",AU1867,"D=",AV1867,"R=",AW1867,"M=",AX1867,"L=",AY1867,"B=",AZ1867)</f>
        <v>CREAK T=8D=1R=0M=0L=1B=0</v>
      </c>
      <c r="G1867" s="0" t="s">
        <v>172</v>
      </c>
      <c r="I1867" s="0" t="s">
        <v>8363</v>
      </c>
      <c r="J1867" s="0" t="s">
        <v>4352</v>
      </c>
      <c r="K1867" s="0" t="s">
        <v>175</v>
      </c>
      <c r="L1867" s="0"/>
      <c r="M1867" s="0" t="s">
        <v>8364</v>
      </c>
      <c r="N1867" s="0" t="str">
        <f aca="false">RIGHT(M1867,LEN(M1867)-FIND(" ",M1867))</f>
        <v>MERCER AVE NE</v>
      </c>
      <c r="P1867" s="0" t="s">
        <v>146</v>
      </c>
      <c r="Q1867" s="0" t="s">
        <v>147</v>
      </c>
      <c r="R1867" s="0" t="n">
        <v>44483</v>
      </c>
      <c r="AD1867" s="0" t="s">
        <v>148</v>
      </c>
      <c r="AE1867" s="0" t="s">
        <v>149</v>
      </c>
      <c r="AF1867" s="0" t="s">
        <v>150</v>
      </c>
      <c r="AH1867" s="0" t="n">
        <v>14</v>
      </c>
      <c r="AI1867" s="0" t="n">
        <v>11</v>
      </c>
      <c r="AN1867" s="0" t="s">
        <v>146</v>
      </c>
      <c r="AO1867" s="0" t="s">
        <v>236</v>
      </c>
      <c r="AP1867" s="0" t="s">
        <v>237</v>
      </c>
      <c r="AQ1867" s="0" t="n">
        <v>9</v>
      </c>
      <c r="AR1867" s="0" t="n">
        <v>64</v>
      </c>
      <c r="AS1867" s="0" t="n">
        <v>32</v>
      </c>
      <c r="AU1867" s="0" t="n">
        <f aca="false">COUNTA($BA$286:$EH$286)</f>
        <v>8</v>
      </c>
      <c r="AV1867" s="0" t="n">
        <f aca="false">COUNTIF($BA$286:$EH$286,"D")</f>
        <v>1</v>
      </c>
      <c r="AW1867" s="0" t="n">
        <f aca="false">COUNTIF($BA$286:$EH$286,"R")</f>
        <v>0</v>
      </c>
      <c r="AX1867" s="0" t="n">
        <f aca="false"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>0</v>
      </c>
      <c r="AY1867" s="0" t="n">
        <f aca="false">COUNTIF(DU1867:EH1867, "&lt;&gt;")</f>
        <v>1</v>
      </c>
      <c r="AZ1867" s="0" t="n">
        <f aca="false">IF(EH1867&lt;&gt;"",1,0)</f>
        <v>0</v>
      </c>
      <c r="BB1867" s="0" t="s">
        <v>153</v>
      </c>
      <c r="CA1867" s="0" t="s">
        <v>154</v>
      </c>
      <c r="CY1867" s="0" t="s">
        <v>154</v>
      </c>
      <c r="DC1867" s="0" t="s">
        <v>154</v>
      </c>
      <c r="DI1867" s="0" t="s">
        <v>154</v>
      </c>
      <c r="DN1867" s="0" t="s">
        <v>154</v>
      </c>
      <c r="EF1867" s="0" t="s">
        <v>154</v>
      </c>
    </row>
    <row r="1868" customFormat="false" ht="13.8" hidden="true" customHeight="false" outlineLevel="0" collapsed="false">
      <c r="A1868" s="0" t="s">
        <v>8365</v>
      </c>
      <c r="B1868" s="0" t="n">
        <v>78</v>
      </c>
      <c r="C1868" s="0" t="n">
        <v>375037</v>
      </c>
      <c r="D1868" s="0" t="s">
        <v>8366</v>
      </c>
      <c r="E1868" s="0" t="s">
        <v>689</v>
      </c>
      <c r="F1868" s="0" t="str">
        <f aca="false">CONCATENATE(D1868," ",LEFT(H1868,4),"T=",AU1868,"D=",AV1868,"R=",AW1868,"M=",AX1868,"L=",AY1868,"B=",AZ1868)</f>
        <v>STAMBOLIA CREAK T=11D=1R=0M=0L=0B=0</v>
      </c>
      <c r="G1868" s="0" t="s">
        <v>188</v>
      </c>
      <c r="I1868" s="0" t="s">
        <v>2416</v>
      </c>
      <c r="J1868" s="0" t="s">
        <v>1966</v>
      </c>
      <c r="K1868" s="0" t="s">
        <v>144</v>
      </c>
      <c r="L1868" s="0"/>
      <c r="M1868" s="0" t="s">
        <v>8364</v>
      </c>
      <c r="N1868" s="0" t="str">
        <f aca="false">RIGHT(M1868,LEN(M1868)-FIND(" ",M1868))</f>
        <v>MERCER AVE NE</v>
      </c>
      <c r="P1868" s="0" t="s">
        <v>146</v>
      </c>
      <c r="Q1868" s="0" t="s">
        <v>147</v>
      </c>
      <c r="R1868" s="0" t="n">
        <v>44483</v>
      </c>
      <c r="AD1868" s="0" t="s">
        <v>148</v>
      </c>
      <c r="AE1868" s="0" t="s">
        <v>149</v>
      </c>
      <c r="AF1868" s="0" t="s">
        <v>150</v>
      </c>
      <c r="AH1868" s="0" t="n">
        <v>14</v>
      </c>
      <c r="AI1868" s="0" t="n">
        <v>11</v>
      </c>
      <c r="AN1868" s="0" t="s">
        <v>146</v>
      </c>
      <c r="AO1868" s="0" t="s">
        <v>236</v>
      </c>
      <c r="AP1868" s="0" t="s">
        <v>237</v>
      </c>
      <c r="AQ1868" s="0" t="n">
        <v>9</v>
      </c>
      <c r="AR1868" s="0" t="n">
        <v>64</v>
      </c>
      <c r="AS1868" s="0" t="n">
        <v>32</v>
      </c>
      <c r="AU1868" s="0" t="n">
        <f aca="false">COUNTA($BA$1043:$EH$1043)</f>
        <v>11</v>
      </c>
      <c r="AV1868" s="0" t="n">
        <f aca="false">COUNTIF($BA$1043:$EH$1043,"D")</f>
        <v>1</v>
      </c>
      <c r="AW1868" s="0" t="n">
        <f aca="false">COUNTIF($BA$1043:$EH$1043,"R")</f>
        <v>0</v>
      </c>
      <c r="AX1868" s="0" t="n">
        <f aca="false"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>0</v>
      </c>
      <c r="AY1868" s="0" t="n">
        <f aca="false">COUNTIF(DU1868:EH1868, "&lt;&gt;")</f>
        <v>0</v>
      </c>
      <c r="AZ1868" s="0" t="n">
        <f aca="false">IF(EH1868&lt;&gt;"",1,0)</f>
        <v>0</v>
      </c>
      <c r="BB1868" s="0" t="s">
        <v>153</v>
      </c>
      <c r="DC1868" s="0" t="s">
        <v>154</v>
      </c>
    </row>
    <row r="1869" customFormat="false" ht="13.8" hidden="false" customHeight="false" outlineLevel="0" collapsed="false">
      <c r="A1869" s="0" t="s">
        <v>8367</v>
      </c>
      <c r="B1869" s="0" t="n">
        <v>78</v>
      </c>
      <c r="C1869" s="0" t="n">
        <v>427668</v>
      </c>
      <c r="D1869" s="0" t="s">
        <v>8368</v>
      </c>
      <c r="E1869" s="0" t="s">
        <v>4888</v>
      </c>
      <c r="F1869" s="0" t="str">
        <f aca="false">CONCATENATE(D1869," ",LEFT(H1869,4),"T=",AU1869,"D=",AV1869,"R=",AW1869,"M=",AX1869,"L=",AY1869,"B=",AZ1869)</f>
        <v>YANNUCCI T=27D=8R=0M=4L=7B=1</v>
      </c>
      <c r="G1869" s="0" t="s">
        <v>241</v>
      </c>
      <c r="I1869" s="0" t="s">
        <v>8369</v>
      </c>
      <c r="J1869" s="0" t="s">
        <v>3959</v>
      </c>
      <c r="K1869" s="0" t="s">
        <v>175</v>
      </c>
      <c r="L1869" s="1" t="s">
        <v>155</v>
      </c>
      <c r="M1869" s="0" t="s">
        <v>8370</v>
      </c>
      <c r="N1869" s="0" t="str">
        <f aca="false">RIGHT(M1869,LEN(M1869)-FIND(" ",M1869))</f>
        <v>MERCER PL NE</v>
      </c>
      <c r="P1869" s="0" t="s">
        <v>146</v>
      </c>
      <c r="Q1869" s="0" t="s">
        <v>147</v>
      </c>
      <c r="R1869" s="0" t="n">
        <v>44483</v>
      </c>
      <c r="AD1869" s="0" t="s">
        <v>148</v>
      </c>
      <c r="AE1869" s="0" t="s">
        <v>149</v>
      </c>
      <c r="AF1869" s="0" t="s">
        <v>150</v>
      </c>
      <c r="AH1869" s="0" t="n">
        <v>14</v>
      </c>
      <c r="AI1869" s="0" t="n">
        <v>11</v>
      </c>
      <c r="AN1869" s="0" t="s">
        <v>146</v>
      </c>
      <c r="AO1869" s="0" t="s">
        <v>236</v>
      </c>
      <c r="AP1869" s="0" t="s">
        <v>237</v>
      </c>
      <c r="AQ1869" s="0" t="n">
        <v>9</v>
      </c>
      <c r="AR1869" s="0" t="n">
        <v>64</v>
      </c>
      <c r="AS1869" s="0" t="n">
        <v>32</v>
      </c>
      <c r="AU1869" s="0" t="n">
        <f aca="false">COUNTA($BA$1028:$EH$1028)</f>
        <v>27</v>
      </c>
      <c r="AV1869" s="0" t="n">
        <f aca="false">COUNTIF($BA$1028:$EH$1028,"D")</f>
        <v>8</v>
      </c>
      <c r="AW1869" s="0" t="n">
        <f aca="false">COUNTIF($BA$1028:$EH$1028,"R")</f>
        <v>0</v>
      </c>
      <c r="AX1869" s="0" t="n">
        <f aca="false"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>4</v>
      </c>
      <c r="AY1869" s="0" t="n">
        <f aca="false">COUNTIF(DU1869:EH1869, "&lt;&gt;")</f>
        <v>7</v>
      </c>
      <c r="AZ1869" s="0" t="n">
        <f aca="false">IF(EH1869&lt;&gt;"",1,0)</f>
        <v>1</v>
      </c>
      <c r="BB1869" s="0" t="s">
        <v>153</v>
      </c>
      <c r="DF1869" s="0" t="s">
        <v>154</v>
      </c>
      <c r="DG1869" s="0" t="s">
        <v>155</v>
      </c>
      <c r="DI1869" s="0" t="s">
        <v>154</v>
      </c>
      <c r="DJ1869" s="0" t="s">
        <v>155</v>
      </c>
      <c r="DL1869" s="0" t="s">
        <v>154</v>
      </c>
      <c r="DM1869" s="0" t="s">
        <v>155</v>
      </c>
      <c r="DN1869" s="0" t="s">
        <v>154</v>
      </c>
      <c r="DO1869" s="0" t="s">
        <v>155</v>
      </c>
      <c r="DR1869" s="0" t="s">
        <v>154</v>
      </c>
      <c r="DS1869" s="0" t="s">
        <v>155</v>
      </c>
      <c r="DT1869" s="0" t="s">
        <v>155</v>
      </c>
      <c r="DU1869" s="0" t="s">
        <v>154</v>
      </c>
      <c r="DW1869" s="0" t="s">
        <v>155</v>
      </c>
      <c r="DX1869" s="0" t="s">
        <v>154</v>
      </c>
      <c r="EA1869" s="0" t="s">
        <v>154</v>
      </c>
      <c r="ED1869" s="0" t="s">
        <v>155</v>
      </c>
      <c r="EF1869" s="0" t="s">
        <v>154</v>
      </c>
      <c r="EH1869" s="0" t="s">
        <v>155</v>
      </c>
    </row>
    <row r="1870" customFormat="false" ht="13.8" hidden="false" customHeight="false" outlineLevel="0" collapsed="false">
      <c r="A1870" s="0" t="s">
        <v>8371</v>
      </c>
      <c r="B1870" s="0" t="n">
        <v>78</v>
      </c>
      <c r="C1870" s="0" t="n">
        <v>427669</v>
      </c>
      <c r="D1870" s="0" t="s">
        <v>8368</v>
      </c>
      <c r="E1870" s="0" t="s">
        <v>1263</v>
      </c>
      <c r="F1870" s="0" t="str">
        <f aca="false">CONCATENATE(D1870," ",LEFT(H1870,4),"T=",AU1870,"D=",AV1870,"R=",AW1870,"M=",AX1870,"L=",AY1870,"B=",AZ1870)</f>
        <v>YANNUCCI T=1D=0R=0M=4L=7B=1</v>
      </c>
      <c r="G1870" s="0" t="s">
        <v>172</v>
      </c>
      <c r="I1870" s="0" t="s">
        <v>8372</v>
      </c>
      <c r="J1870" s="0" t="s">
        <v>3959</v>
      </c>
      <c r="K1870" s="0" t="s">
        <v>175</v>
      </c>
      <c r="L1870" s="1" t="s">
        <v>155</v>
      </c>
      <c r="M1870" s="0" t="s">
        <v>8370</v>
      </c>
      <c r="N1870" s="0" t="str">
        <f aca="false">RIGHT(M1870,LEN(M1870)-FIND(" ",M1870))</f>
        <v>MERCER PL NE</v>
      </c>
      <c r="P1870" s="0" t="s">
        <v>146</v>
      </c>
      <c r="Q1870" s="0" t="s">
        <v>147</v>
      </c>
      <c r="R1870" s="0" t="n">
        <v>44483</v>
      </c>
      <c r="AD1870" s="0" t="s">
        <v>148</v>
      </c>
      <c r="AE1870" s="0" t="s">
        <v>149</v>
      </c>
      <c r="AF1870" s="0" t="s">
        <v>150</v>
      </c>
      <c r="AH1870" s="0" t="n">
        <v>14</v>
      </c>
      <c r="AI1870" s="0" t="n">
        <v>11</v>
      </c>
      <c r="AN1870" s="0" t="s">
        <v>146</v>
      </c>
      <c r="AO1870" s="0" t="s">
        <v>236</v>
      </c>
      <c r="AP1870" s="0" t="s">
        <v>237</v>
      </c>
      <c r="AQ1870" s="0" t="n">
        <v>9</v>
      </c>
      <c r="AR1870" s="0" t="n">
        <v>64</v>
      </c>
      <c r="AS1870" s="0" t="n">
        <v>32</v>
      </c>
      <c r="AU1870" s="0" t="n">
        <f aca="false">COUNTA($BA$1032:$EH$1032)</f>
        <v>1</v>
      </c>
      <c r="AV1870" s="0" t="n">
        <f aca="false">COUNTIF($BA$1032:$EH$1032,"D")</f>
        <v>0</v>
      </c>
      <c r="AW1870" s="0" t="n">
        <f aca="false">COUNTIF($BA$1032:$EH$1032,"R")</f>
        <v>0</v>
      </c>
      <c r="AX1870" s="0" t="n">
        <f aca="false"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>4</v>
      </c>
      <c r="AY1870" s="0" t="n">
        <f aca="false">COUNTIF(DU1870:EH1870, "&lt;&gt;")</f>
        <v>7</v>
      </c>
      <c r="AZ1870" s="0" t="n">
        <f aca="false">IF(EH1870&lt;&gt;"",1,0)</f>
        <v>1</v>
      </c>
      <c r="BB1870" s="0" t="s">
        <v>153</v>
      </c>
      <c r="DF1870" s="0" t="s">
        <v>154</v>
      </c>
      <c r="DG1870" s="0" t="s">
        <v>155</v>
      </c>
      <c r="DI1870" s="0" t="s">
        <v>154</v>
      </c>
      <c r="DJ1870" s="0" t="s">
        <v>155</v>
      </c>
      <c r="DL1870" s="0" t="s">
        <v>154</v>
      </c>
      <c r="DM1870" s="0" t="s">
        <v>155</v>
      </c>
      <c r="DN1870" s="0" t="s">
        <v>154</v>
      </c>
      <c r="DO1870" s="0" t="s">
        <v>155</v>
      </c>
      <c r="DR1870" s="0" t="s">
        <v>154</v>
      </c>
      <c r="DS1870" s="0" t="s">
        <v>155</v>
      </c>
      <c r="DT1870" s="0" t="s">
        <v>155</v>
      </c>
      <c r="DU1870" s="0" t="s">
        <v>154</v>
      </c>
      <c r="DW1870" s="0" t="s">
        <v>155</v>
      </c>
      <c r="DX1870" s="0" t="s">
        <v>154</v>
      </c>
      <c r="EA1870" s="0" t="s">
        <v>154</v>
      </c>
      <c r="ED1870" s="0" t="s">
        <v>155</v>
      </c>
      <c r="EF1870" s="0" t="s">
        <v>154</v>
      </c>
      <c r="EH1870" s="0" t="s">
        <v>155</v>
      </c>
    </row>
    <row r="1871" customFormat="false" ht="13.8" hidden="false" customHeight="false" outlineLevel="0" collapsed="false">
      <c r="A1871" s="0" t="s">
        <v>8373</v>
      </c>
      <c r="B1871" s="0" t="n">
        <v>78</v>
      </c>
      <c r="C1871" s="0" t="n">
        <v>374998</v>
      </c>
      <c r="D1871" s="0" t="s">
        <v>8374</v>
      </c>
      <c r="E1871" s="0" t="s">
        <v>4374</v>
      </c>
      <c r="F1871" s="0" t="str">
        <f aca="false">CONCATENATE(D1871," ",LEFT(H1871,4),"T=",AU1871,"D=",AV1871,"R=",AW1871,"M=",AX1871,"L=",AY1871,"B=",AZ1871)</f>
        <v>BARNHART T=7D=0R=0M=4L=6B=0</v>
      </c>
      <c r="G1871" s="0" t="s">
        <v>750</v>
      </c>
      <c r="I1871" s="0" t="s">
        <v>8375</v>
      </c>
      <c r="J1871" s="0" t="s">
        <v>8376</v>
      </c>
      <c r="K1871" s="0" t="s">
        <v>175</v>
      </c>
      <c r="L1871" s="1" t="s">
        <v>155</v>
      </c>
      <c r="M1871" s="0" t="s">
        <v>8377</v>
      </c>
      <c r="N1871" s="0" t="str">
        <f aca="false">RIGHT(M1871,LEN(M1871)-FIND(" ",M1871))</f>
        <v>N PARK AVE</v>
      </c>
      <c r="P1871" s="0" t="s">
        <v>146</v>
      </c>
      <c r="Q1871" s="0" t="s">
        <v>147</v>
      </c>
      <c r="R1871" s="0" t="n">
        <v>44483</v>
      </c>
      <c r="AD1871" s="0" t="s">
        <v>148</v>
      </c>
      <c r="AE1871" s="0" t="s">
        <v>149</v>
      </c>
      <c r="AF1871" s="0" t="s">
        <v>150</v>
      </c>
      <c r="AH1871" s="0" t="n">
        <v>14</v>
      </c>
      <c r="AI1871" s="0" t="n">
        <v>11</v>
      </c>
      <c r="AN1871" s="0" t="s">
        <v>146</v>
      </c>
      <c r="AO1871" s="0" t="s">
        <v>151</v>
      </c>
      <c r="AP1871" s="0" t="s">
        <v>152</v>
      </c>
      <c r="AQ1871" s="0" t="n">
        <v>9</v>
      </c>
      <c r="AR1871" s="0" t="n">
        <v>64</v>
      </c>
      <c r="AS1871" s="0" t="n">
        <v>32</v>
      </c>
      <c r="AU1871" s="0" t="n">
        <f aca="false">COUNTA($BA$1137:$EH$1137)</f>
        <v>7</v>
      </c>
      <c r="AV1871" s="0" t="n">
        <f aca="false">COUNTIF($BA$1137:$EH$1137,"D")</f>
        <v>0</v>
      </c>
      <c r="AW1871" s="0" t="n">
        <f aca="false">COUNTIF($BA$1137:$EH$1137,"R")</f>
        <v>0</v>
      </c>
      <c r="AX1871" s="0" t="n">
        <f aca="false"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>4</v>
      </c>
      <c r="AY1871" s="0" t="n">
        <f aca="false">COUNTIF(DU1871:EH1871, "&lt;&gt;")</f>
        <v>6</v>
      </c>
      <c r="AZ1871" s="0" t="n">
        <f aca="false">IF(EH1871&lt;&gt;"",1,0)</f>
        <v>0</v>
      </c>
      <c r="BB1871" s="0" t="s">
        <v>153</v>
      </c>
      <c r="CK1871" s="0" t="s">
        <v>154</v>
      </c>
      <c r="CL1871" s="0" t="s">
        <v>155</v>
      </c>
      <c r="CN1871" s="0" t="s">
        <v>154</v>
      </c>
      <c r="CO1871" s="0" t="s">
        <v>176</v>
      </c>
      <c r="CP1871" s="0" t="s">
        <v>154</v>
      </c>
      <c r="CQ1871" s="0" t="s">
        <v>155</v>
      </c>
      <c r="CT1871" s="0" t="s">
        <v>154</v>
      </c>
      <c r="CU1871" s="0" t="s">
        <v>155</v>
      </c>
      <c r="CV1871" s="0" t="s">
        <v>154</v>
      </c>
      <c r="CY1871" s="0" t="s">
        <v>154</v>
      </c>
      <c r="CZ1871" s="0" t="s">
        <v>155</v>
      </c>
      <c r="DC1871" s="0" t="s">
        <v>154</v>
      </c>
      <c r="DD1871" s="0" t="s">
        <v>155</v>
      </c>
      <c r="DF1871" s="0" t="s">
        <v>154</v>
      </c>
      <c r="DG1871" s="0" t="s">
        <v>155</v>
      </c>
      <c r="DI1871" s="0" t="s">
        <v>154</v>
      </c>
      <c r="DL1871" s="0" t="s">
        <v>154</v>
      </c>
      <c r="DM1871" s="0" t="s">
        <v>155</v>
      </c>
      <c r="DN1871" s="0" t="s">
        <v>154</v>
      </c>
      <c r="DR1871" s="0" t="s">
        <v>154</v>
      </c>
      <c r="DS1871" s="0" t="s">
        <v>155</v>
      </c>
      <c r="DU1871" s="0" t="s">
        <v>154</v>
      </c>
      <c r="DW1871" s="0" t="s">
        <v>155</v>
      </c>
      <c r="DX1871" s="0" t="s">
        <v>154</v>
      </c>
      <c r="EA1871" s="0" t="s">
        <v>154</v>
      </c>
      <c r="ED1871" s="0" t="s">
        <v>155</v>
      </c>
      <c r="EF1871" s="0" t="s">
        <v>154</v>
      </c>
    </row>
    <row r="1872" customFormat="false" ht="13.8" hidden="false" customHeight="false" outlineLevel="0" collapsed="false">
      <c r="A1872" s="0" t="s">
        <v>8378</v>
      </c>
      <c r="B1872" s="0" t="n">
        <v>78</v>
      </c>
      <c r="C1872" s="0" t="n">
        <v>299832</v>
      </c>
      <c r="D1872" s="0" t="s">
        <v>8374</v>
      </c>
      <c r="E1872" s="0" t="s">
        <v>261</v>
      </c>
      <c r="F1872" s="0" t="str">
        <f aca="false">CONCATENATE(D1872," ",LEFT(H1872,4),"T=",AU1872,"D=",AV1872,"R=",AW1872,"M=",AX1872,"L=",AY1872,"B=",AZ1872)</f>
        <v>BARNHART T=4D=0R=0M=8L=7B=1</v>
      </c>
      <c r="G1872" s="0" t="s">
        <v>365</v>
      </c>
      <c r="I1872" s="0" t="s">
        <v>8379</v>
      </c>
      <c r="J1872" s="0" t="s">
        <v>8380</v>
      </c>
      <c r="K1872" s="0" t="s">
        <v>175</v>
      </c>
      <c r="L1872" s="1" t="s">
        <v>155</v>
      </c>
      <c r="M1872" s="0" t="s">
        <v>8377</v>
      </c>
      <c r="N1872" s="0" t="str">
        <f aca="false">RIGHT(M1872,LEN(M1872)-FIND(" ",M1872))</f>
        <v>N PARK AVE</v>
      </c>
      <c r="P1872" s="0" t="s">
        <v>146</v>
      </c>
      <c r="Q1872" s="0" t="s">
        <v>147</v>
      </c>
      <c r="R1872" s="0" t="n">
        <v>44483</v>
      </c>
      <c r="AD1872" s="0" t="s">
        <v>148</v>
      </c>
      <c r="AE1872" s="0" t="s">
        <v>149</v>
      </c>
      <c r="AF1872" s="0" t="s">
        <v>150</v>
      </c>
      <c r="AH1872" s="0" t="n">
        <v>14</v>
      </c>
      <c r="AI1872" s="0" t="n">
        <v>11</v>
      </c>
      <c r="AN1872" s="0" t="s">
        <v>146</v>
      </c>
      <c r="AO1872" s="0" t="s">
        <v>151</v>
      </c>
      <c r="AP1872" s="0" t="s">
        <v>152</v>
      </c>
      <c r="AQ1872" s="0" t="n">
        <v>9</v>
      </c>
      <c r="AR1872" s="0" t="n">
        <v>64</v>
      </c>
      <c r="AS1872" s="0" t="n">
        <v>32</v>
      </c>
      <c r="AU1872" s="0" t="n">
        <f aca="false">COUNTA($BA$1176:$EH$1176)</f>
        <v>4</v>
      </c>
      <c r="AV1872" s="0" t="n">
        <f aca="false">COUNTIF($BA$1176:$EH$1176,"D")</f>
        <v>0</v>
      </c>
      <c r="AW1872" s="0" t="n">
        <f aca="false">COUNTIF($BA$1176:$EH$1176,"R")</f>
        <v>0</v>
      </c>
      <c r="AX1872" s="0" t="n">
        <f aca="false"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>8</v>
      </c>
      <c r="AY1872" s="0" t="n">
        <f aca="false">COUNTIF(DU1872:EH1872, "&lt;&gt;")</f>
        <v>7</v>
      </c>
      <c r="AZ1872" s="0" t="n">
        <f aca="false">IF(EH1872&lt;&gt;"",1,0)</f>
        <v>1</v>
      </c>
      <c r="BB1872" s="0" t="s">
        <v>153</v>
      </c>
      <c r="BD1872" s="0" t="s">
        <v>154</v>
      </c>
      <c r="BF1872" s="0" t="s">
        <v>154</v>
      </c>
      <c r="BG1872" s="0" t="s">
        <v>154</v>
      </c>
      <c r="BH1872" s="0" t="s">
        <v>154</v>
      </c>
      <c r="BI1872" s="0" t="s">
        <v>154</v>
      </c>
      <c r="BL1872" s="0" t="s">
        <v>154</v>
      </c>
      <c r="BP1872" s="0" t="s">
        <v>154</v>
      </c>
      <c r="BR1872" s="0" t="s">
        <v>154</v>
      </c>
      <c r="BS1872" s="0" t="s">
        <v>154</v>
      </c>
      <c r="BV1872" s="0" t="s">
        <v>154</v>
      </c>
      <c r="BY1872" s="0" t="s">
        <v>155</v>
      </c>
      <c r="CA1872" s="0" t="s">
        <v>154</v>
      </c>
      <c r="CC1872" s="0" t="s">
        <v>155</v>
      </c>
      <c r="CG1872" s="0" t="s">
        <v>154</v>
      </c>
      <c r="CH1872" s="0" t="s">
        <v>155</v>
      </c>
      <c r="CK1872" s="0" t="s">
        <v>154</v>
      </c>
      <c r="CL1872" s="0" t="s">
        <v>155</v>
      </c>
      <c r="CN1872" s="0" t="s">
        <v>154</v>
      </c>
      <c r="CO1872" s="0" t="s">
        <v>155</v>
      </c>
      <c r="CP1872" s="0" t="s">
        <v>154</v>
      </c>
      <c r="CQ1872" s="0" t="s">
        <v>155</v>
      </c>
      <c r="CT1872" s="0" t="s">
        <v>154</v>
      </c>
      <c r="CU1872" s="0" t="s">
        <v>155</v>
      </c>
      <c r="CV1872" s="0" t="s">
        <v>154</v>
      </c>
      <c r="CW1872" s="0" t="s">
        <v>155</v>
      </c>
      <c r="CY1872" s="0" t="s">
        <v>154</v>
      </c>
      <c r="CZ1872" s="0" t="s">
        <v>176</v>
      </c>
      <c r="DC1872" s="0" t="s">
        <v>154</v>
      </c>
      <c r="DD1872" s="0" t="s">
        <v>155</v>
      </c>
      <c r="DF1872" s="0" t="s">
        <v>154</v>
      </c>
      <c r="DG1872" s="0" t="s">
        <v>155</v>
      </c>
      <c r="DI1872" s="0" t="s">
        <v>154</v>
      </c>
      <c r="DL1872" s="0" t="s">
        <v>154</v>
      </c>
      <c r="DM1872" s="0" t="s">
        <v>155</v>
      </c>
      <c r="DN1872" s="0" t="s">
        <v>154</v>
      </c>
      <c r="DO1872" s="0" t="s">
        <v>155</v>
      </c>
      <c r="DR1872" s="0" t="s">
        <v>154</v>
      </c>
      <c r="DS1872" s="0" t="s">
        <v>155</v>
      </c>
      <c r="DU1872" s="0" t="s">
        <v>154</v>
      </c>
      <c r="DW1872" s="0" t="s">
        <v>155</v>
      </c>
      <c r="DX1872" s="0" t="s">
        <v>154</v>
      </c>
      <c r="EA1872" s="0" t="s">
        <v>154</v>
      </c>
      <c r="ED1872" s="0" t="s">
        <v>176</v>
      </c>
      <c r="EF1872" s="0" t="s">
        <v>154</v>
      </c>
      <c r="EH1872" s="0" t="s">
        <v>155</v>
      </c>
    </row>
    <row r="1873" customFormat="false" ht="13.8" hidden="false" customHeight="false" outlineLevel="0" collapsed="false">
      <c r="A1873" s="0" t="s">
        <v>8381</v>
      </c>
      <c r="B1873" s="0" t="n">
        <v>78</v>
      </c>
      <c r="C1873" s="0" t="n">
        <v>289646</v>
      </c>
      <c r="D1873" s="0" t="s">
        <v>8374</v>
      </c>
      <c r="E1873" s="0" t="s">
        <v>5226</v>
      </c>
      <c r="F1873" s="0" t="str">
        <f aca="false">CONCATENATE(D1873," ",LEFT(H1873,4),"T=",AU1873,"D=",AV1873,"R=",AW1873,"M=",AX1873,"L=",AY1873,"B=",AZ1873)</f>
        <v>BARNHART T=1D=0R=0M=5L=6B=1</v>
      </c>
      <c r="G1873" s="0" t="s">
        <v>241</v>
      </c>
      <c r="I1873" s="0" t="s">
        <v>8382</v>
      </c>
      <c r="J1873" s="0" t="s">
        <v>8380</v>
      </c>
      <c r="K1873" s="0" t="s">
        <v>175</v>
      </c>
      <c r="L1873" s="1" t="s">
        <v>155</v>
      </c>
      <c r="M1873" s="0" t="s">
        <v>8377</v>
      </c>
      <c r="N1873" s="0" t="str">
        <f aca="false">RIGHT(M1873,LEN(M1873)-FIND(" ",M1873))</f>
        <v>N PARK AVE</v>
      </c>
      <c r="P1873" s="0" t="s">
        <v>146</v>
      </c>
      <c r="Q1873" s="0" t="s">
        <v>147</v>
      </c>
      <c r="R1873" s="0" t="n">
        <v>44483</v>
      </c>
      <c r="AD1873" s="0" t="s">
        <v>148</v>
      </c>
      <c r="AE1873" s="0" t="s">
        <v>149</v>
      </c>
      <c r="AF1873" s="0" t="s">
        <v>150</v>
      </c>
      <c r="AH1873" s="0" t="n">
        <v>14</v>
      </c>
      <c r="AI1873" s="0" t="n">
        <v>11</v>
      </c>
      <c r="AN1873" s="0" t="s">
        <v>146</v>
      </c>
      <c r="AO1873" s="0" t="s">
        <v>151</v>
      </c>
      <c r="AP1873" s="0" t="s">
        <v>152</v>
      </c>
      <c r="AQ1873" s="0" t="n">
        <v>9</v>
      </c>
      <c r="AR1873" s="0" t="n">
        <v>64</v>
      </c>
      <c r="AS1873" s="0" t="n">
        <v>32</v>
      </c>
      <c r="AU1873" s="0" t="n">
        <f aca="false">COUNTA($BA$1184:$EH$1184)</f>
        <v>1</v>
      </c>
      <c r="AV1873" s="0" t="n">
        <f aca="false">COUNTIF($BA$1184:$EH$1184,"D")</f>
        <v>0</v>
      </c>
      <c r="AW1873" s="0" t="n">
        <f aca="false">COUNTIF($BA$1184:$EH$1184,"R")</f>
        <v>0</v>
      </c>
      <c r="AX1873" s="0" t="n">
        <f aca="false"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>5</v>
      </c>
      <c r="AY1873" s="0" t="n">
        <f aca="false">COUNTIF(DU1873:EH1873, "&lt;&gt;")</f>
        <v>6</v>
      </c>
      <c r="AZ1873" s="0" t="n">
        <f aca="false">IF(EH1873&lt;&gt;"",1,0)</f>
        <v>1</v>
      </c>
      <c r="BB1873" s="0" t="s">
        <v>153</v>
      </c>
      <c r="BD1873" s="0" t="s">
        <v>154</v>
      </c>
      <c r="BF1873" s="0" t="s">
        <v>154</v>
      </c>
      <c r="BG1873" s="0" t="s">
        <v>154</v>
      </c>
      <c r="BH1873" s="0" t="s">
        <v>154</v>
      </c>
      <c r="BI1873" s="0" t="s">
        <v>154</v>
      </c>
      <c r="BL1873" s="0" t="s">
        <v>154</v>
      </c>
      <c r="BP1873" s="0" t="s">
        <v>154</v>
      </c>
      <c r="BR1873" s="0" t="s">
        <v>154</v>
      </c>
      <c r="BS1873" s="0" t="s">
        <v>154</v>
      </c>
      <c r="BV1873" s="0" t="s">
        <v>154</v>
      </c>
      <c r="BY1873" s="0" t="s">
        <v>155</v>
      </c>
      <c r="CA1873" s="0" t="s">
        <v>154</v>
      </c>
      <c r="CC1873" s="0" t="s">
        <v>155</v>
      </c>
      <c r="CG1873" s="0" t="s">
        <v>154</v>
      </c>
      <c r="CH1873" s="0" t="s">
        <v>155</v>
      </c>
      <c r="CK1873" s="0" t="s">
        <v>154</v>
      </c>
      <c r="CL1873" s="0" t="s">
        <v>155</v>
      </c>
      <c r="CN1873" s="0" t="s">
        <v>154</v>
      </c>
      <c r="CO1873" s="0" t="s">
        <v>155</v>
      </c>
      <c r="CP1873" s="0" t="s">
        <v>154</v>
      </c>
      <c r="CQ1873" s="0" t="s">
        <v>155</v>
      </c>
      <c r="CT1873" s="0" t="s">
        <v>154</v>
      </c>
      <c r="CU1873" s="0" t="s">
        <v>155</v>
      </c>
      <c r="CV1873" s="0" t="s">
        <v>154</v>
      </c>
      <c r="CY1873" s="0" t="s">
        <v>154</v>
      </c>
      <c r="CZ1873" s="0" t="s">
        <v>176</v>
      </c>
      <c r="DC1873" s="0" t="s">
        <v>154</v>
      </c>
      <c r="DF1873" s="0" t="s">
        <v>154</v>
      </c>
      <c r="DI1873" s="0" t="s">
        <v>154</v>
      </c>
      <c r="DL1873" s="0" t="s">
        <v>154</v>
      </c>
      <c r="DM1873" s="0" t="s">
        <v>155</v>
      </c>
      <c r="DN1873" s="0" t="s">
        <v>154</v>
      </c>
      <c r="DO1873" s="0" t="s">
        <v>155</v>
      </c>
      <c r="DR1873" s="0" t="s">
        <v>154</v>
      </c>
      <c r="DS1873" s="0" t="s">
        <v>155</v>
      </c>
      <c r="DU1873" s="0" t="s">
        <v>154</v>
      </c>
      <c r="DX1873" s="0" t="s">
        <v>154</v>
      </c>
      <c r="EA1873" s="0" t="s">
        <v>154</v>
      </c>
      <c r="ED1873" s="0" t="s">
        <v>176</v>
      </c>
      <c r="EF1873" s="0" t="s">
        <v>154</v>
      </c>
      <c r="EH1873" s="0" t="s">
        <v>155</v>
      </c>
    </row>
    <row r="1874" customFormat="false" ht="13.8" hidden="true" customHeight="false" outlineLevel="0" collapsed="false">
      <c r="A1874" s="0" t="s">
        <v>8383</v>
      </c>
      <c r="B1874" s="0" t="n">
        <v>78</v>
      </c>
      <c r="C1874" s="0" t="n">
        <v>357709</v>
      </c>
      <c r="D1874" s="0" t="s">
        <v>8374</v>
      </c>
      <c r="E1874" s="0" t="s">
        <v>8384</v>
      </c>
      <c r="F1874" s="0" t="str">
        <f aca="false">CONCATENATE(D1874," ",LEFT(H1874,4),"T=",AU1874,"D=",AV1874,"R=",AW1874,"M=",AX1874,"L=",AY1874,"B=",AZ1874)</f>
        <v>BARNHART T=2D=1R=0M=2L=0B=0</v>
      </c>
      <c r="G1874" s="0" t="s">
        <v>241</v>
      </c>
      <c r="I1874" s="0" t="s">
        <v>8385</v>
      </c>
      <c r="J1874" s="0" t="s">
        <v>2761</v>
      </c>
      <c r="K1874" s="0" t="s">
        <v>175</v>
      </c>
      <c r="L1874" s="0"/>
      <c r="M1874" s="0" t="s">
        <v>8377</v>
      </c>
      <c r="N1874" s="0" t="str">
        <f aca="false">RIGHT(M1874,LEN(M1874)-FIND(" ",M1874))</f>
        <v>N PARK AVE</v>
      </c>
      <c r="P1874" s="0" t="s">
        <v>146</v>
      </c>
      <c r="Q1874" s="0" t="s">
        <v>147</v>
      </c>
      <c r="R1874" s="0" t="n">
        <v>44483</v>
      </c>
      <c r="AD1874" s="0" t="s">
        <v>148</v>
      </c>
      <c r="AE1874" s="0" t="s">
        <v>149</v>
      </c>
      <c r="AF1874" s="0" t="s">
        <v>150</v>
      </c>
      <c r="AH1874" s="0" t="n">
        <v>14</v>
      </c>
      <c r="AI1874" s="0" t="n">
        <v>11</v>
      </c>
      <c r="AN1874" s="0" t="s">
        <v>146</v>
      </c>
      <c r="AO1874" s="0" t="s">
        <v>151</v>
      </c>
      <c r="AP1874" s="0" t="s">
        <v>152</v>
      </c>
      <c r="AQ1874" s="0" t="n">
        <v>9</v>
      </c>
      <c r="AR1874" s="0" t="n">
        <v>64</v>
      </c>
      <c r="AS1874" s="0" t="n">
        <v>32</v>
      </c>
      <c r="AU1874" s="0" t="n">
        <f aca="false">COUNTA($BA$1903:$EH$1903)</f>
        <v>2</v>
      </c>
      <c r="AV1874" s="0" t="n">
        <f aca="false">COUNTIF($BA$1903:$EH$1903,"D")</f>
        <v>1</v>
      </c>
      <c r="AW1874" s="0" t="n">
        <f aca="false">COUNTIF($BA$1903:$EH$1903,"R")</f>
        <v>0</v>
      </c>
      <c r="AX1874" s="0" t="n">
        <f aca="false"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>2</v>
      </c>
      <c r="AY1874" s="0" t="n">
        <f aca="false">COUNTIF(DU1874:EH1874, "&lt;&gt;")</f>
        <v>0</v>
      </c>
      <c r="AZ1874" s="0" t="n">
        <f aca="false">IF(EH1874&lt;&gt;"",1,0)</f>
        <v>0</v>
      </c>
      <c r="BB1874" s="0" t="s">
        <v>153</v>
      </c>
      <c r="CA1874" s="0" t="s">
        <v>154</v>
      </c>
      <c r="CC1874" s="0" t="s">
        <v>155</v>
      </c>
      <c r="CG1874" s="0" t="s">
        <v>154</v>
      </c>
      <c r="CH1874" s="0" t="s">
        <v>155</v>
      </c>
      <c r="CK1874" s="0" t="s">
        <v>154</v>
      </c>
      <c r="CN1874" s="0" t="s">
        <v>154</v>
      </c>
      <c r="CO1874" s="0" t="s">
        <v>155</v>
      </c>
      <c r="CP1874" s="0" t="s">
        <v>154</v>
      </c>
      <c r="CQ1874" s="0" t="s">
        <v>155</v>
      </c>
      <c r="CT1874" s="0" t="s">
        <v>154</v>
      </c>
      <c r="CU1874" s="0" t="s">
        <v>155</v>
      </c>
      <c r="CV1874" s="0" t="s">
        <v>154</v>
      </c>
      <c r="CY1874" s="0" t="s">
        <v>154</v>
      </c>
      <c r="CZ1874" s="0" t="s">
        <v>176</v>
      </c>
      <c r="DC1874" s="0" t="s">
        <v>154</v>
      </c>
      <c r="DL1874" s="0" t="s">
        <v>154</v>
      </c>
      <c r="DM1874" s="0" t="s">
        <v>155</v>
      </c>
      <c r="DN1874" s="0" t="s">
        <v>154</v>
      </c>
    </row>
    <row r="1875" customFormat="false" ht="13.8" hidden="false" customHeight="false" outlineLevel="0" collapsed="false">
      <c r="A1875" s="0" t="s">
        <v>8386</v>
      </c>
      <c r="B1875" s="0" t="n">
        <v>78</v>
      </c>
      <c r="C1875" s="0" t="n">
        <v>276949</v>
      </c>
      <c r="D1875" s="0" t="s">
        <v>8387</v>
      </c>
      <c r="E1875" s="0" t="s">
        <v>8388</v>
      </c>
      <c r="F1875" s="0" t="str">
        <f aca="false">CONCATENATE(D1875," ",LEFT(H1875,4),"T=",AU1875,"D=",AV1875,"R=",AW1875,"M=",AX1875,"L=",AY1875,"B=",AZ1875)</f>
        <v>GRAMMATAS T=1D=0R=0M=2L=5B=0</v>
      </c>
      <c r="G1875" s="0" t="s">
        <v>8389</v>
      </c>
      <c r="I1875" s="0" t="s">
        <v>8390</v>
      </c>
      <c r="J1875" s="0" t="s">
        <v>8391</v>
      </c>
      <c r="K1875" s="0" t="s">
        <v>175</v>
      </c>
      <c r="L1875" s="1" t="s">
        <v>155</v>
      </c>
      <c r="M1875" s="0" t="s">
        <v>8392</v>
      </c>
      <c r="N1875" s="0" t="str">
        <f aca="false">RIGHT(M1875,LEN(M1875)-FIND(" ",M1875))</f>
        <v>N PARK AVE</v>
      </c>
      <c r="P1875" s="0" t="s">
        <v>146</v>
      </c>
      <c r="Q1875" s="0" t="s">
        <v>147</v>
      </c>
      <c r="R1875" s="0" t="n">
        <v>44483</v>
      </c>
      <c r="AD1875" s="0" t="s">
        <v>148</v>
      </c>
      <c r="AE1875" s="0" t="s">
        <v>149</v>
      </c>
      <c r="AF1875" s="0" t="s">
        <v>150</v>
      </c>
      <c r="AH1875" s="0" t="n">
        <v>14</v>
      </c>
      <c r="AI1875" s="0" t="n">
        <v>11</v>
      </c>
      <c r="AN1875" s="0" t="s">
        <v>146</v>
      </c>
      <c r="AO1875" s="0" t="s">
        <v>151</v>
      </c>
      <c r="AP1875" s="0" t="s">
        <v>152</v>
      </c>
      <c r="AQ1875" s="0" t="n">
        <v>9</v>
      </c>
      <c r="AR1875" s="0" t="n">
        <v>64</v>
      </c>
      <c r="AS1875" s="0" t="n">
        <v>32</v>
      </c>
      <c r="AU1875" s="0" t="n">
        <f aca="false">COUNTA($BA$1192:$EH$1192)</f>
        <v>1</v>
      </c>
      <c r="AV1875" s="0" t="n">
        <f aca="false">COUNTIF($BA$1192:$EH$1192,"D")</f>
        <v>0</v>
      </c>
      <c r="AW1875" s="0" t="n">
        <f aca="false">COUNTIF($BA$1192:$EH$1192,"R")</f>
        <v>0</v>
      </c>
      <c r="AX1875" s="0" t="n">
        <f aca="false"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>2</v>
      </c>
      <c r="AY1875" s="0" t="n">
        <f aca="false">COUNTIF(DU1875:EH1875, "&lt;&gt;")</f>
        <v>5</v>
      </c>
      <c r="AZ1875" s="0" t="n">
        <f aca="false">IF(EH1875&lt;&gt;"",1,0)</f>
        <v>0</v>
      </c>
      <c r="BB1875" s="0" t="s">
        <v>153</v>
      </c>
      <c r="BC1875" s="0" t="s">
        <v>154</v>
      </c>
      <c r="BD1875" s="0" t="s">
        <v>154</v>
      </c>
      <c r="BE1875" s="0" t="s">
        <v>154</v>
      </c>
      <c r="BG1875" s="0" t="s">
        <v>154</v>
      </c>
      <c r="BH1875" s="0" t="s">
        <v>154</v>
      </c>
      <c r="BI1875" s="0" t="s">
        <v>154</v>
      </c>
      <c r="BJ1875" s="0" t="s">
        <v>154</v>
      </c>
      <c r="BK1875" s="0" t="s">
        <v>154</v>
      </c>
      <c r="BL1875" s="0" t="s">
        <v>154</v>
      </c>
      <c r="BP1875" s="0" t="s">
        <v>154</v>
      </c>
      <c r="BS1875" s="0" t="s">
        <v>154</v>
      </c>
      <c r="BY1875" s="0" t="s">
        <v>155</v>
      </c>
      <c r="CA1875" s="0" t="s">
        <v>154</v>
      </c>
      <c r="CG1875" s="0" t="s">
        <v>154</v>
      </c>
      <c r="CK1875" s="0" t="s">
        <v>154</v>
      </c>
      <c r="CN1875" s="0" t="s">
        <v>154</v>
      </c>
      <c r="CO1875" s="0" t="s">
        <v>155</v>
      </c>
      <c r="CP1875" s="0" t="s">
        <v>154</v>
      </c>
      <c r="CT1875" s="0" t="s">
        <v>154</v>
      </c>
      <c r="CV1875" s="0" t="s">
        <v>154</v>
      </c>
      <c r="CY1875" s="0" t="s">
        <v>154</v>
      </c>
      <c r="CZ1875" s="0" t="s">
        <v>155</v>
      </c>
      <c r="DC1875" s="0" t="s">
        <v>154</v>
      </c>
      <c r="DD1875" s="0" t="s">
        <v>155</v>
      </c>
      <c r="DF1875" s="0" t="s">
        <v>154</v>
      </c>
      <c r="DL1875" s="0" t="s">
        <v>154</v>
      </c>
      <c r="DM1875" s="0" t="s">
        <v>155</v>
      </c>
      <c r="DN1875" s="0" t="s">
        <v>154</v>
      </c>
      <c r="DR1875" s="0" t="s">
        <v>154</v>
      </c>
      <c r="DS1875" s="0" t="s">
        <v>155</v>
      </c>
      <c r="DU1875" s="0" t="s">
        <v>154</v>
      </c>
      <c r="DW1875" s="0" t="s">
        <v>155</v>
      </c>
      <c r="EA1875" s="0" t="s">
        <v>154</v>
      </c>
      <c r="ED1875" s="0" t="s">
        <v>155</v>
      </c>
      <c r="EF1875" s="0" t="s">
        <v>154</v>
      </c>
    </row>
    <row r="1876" customFormat="false" ht="13.8" hidden="true" customHeight="false" outlineLevel="0" collapsed="false">
      <c r="A1876" s="0" t="s">
        <v>8393</v>
      </c>
      <c r="B1876" s="0" t="n">
        <v>78</v>
      </c>
      <c r="C1876" s="0" t="n">
        <v>360625</v>
      </c>
      <c r="D1876" s="0" t="s">
        <v>8394</v>
      </c>
      <c r="E1876" s="0" t="s">
        <v>8395</v>
      </c>
      <c r="F1876" s="0" t="str">
        <f aca="false">CONCATENATE(D1876," ",LEFT(H1876,4),"T=",AU1876,"D=",AV1876,"R=",AW1876,"M=",AX1876,"L=",AY1876,"B=",AZ1876)</f>
        <v>CARRANZA T=13D=0R=0M=0L=0B=0</v>
      </c>
      <c r="G1876" s="0" t="s">
        <v>1027</v>
      </c>
      <c r="I1876" s="0" t="s">
        <v>8396</v>
      </c>
      <c r="J1876" s="0" t="s">
        <v>8397</v>
      </c>
      <c r="K1876" s="0" t="s">
        <v>175</v>
      </c>
      <c r="L1876" s="0"/>
      <c r="M1876" s="0" t="s">
        <v>8398</v>
      </c>
      <c r="N1876" s="0" t="str">
        <f aca="false">RIGHT(M1876,LEN(M1876)-FIND(" ",M1876))</f>
        <v>N PARK AVE</v>
      </c>
      <c r="P1876" s="0" t="s">
        <v>146</v>
      </c>
      <c r="Q1876" s="0" t="s">
        <v>147</v>
      </c>
      <c r="R1876" s="0" t="n">
        <v>44483</v>
      </c>
      <c r="AD1876" s="0" t="s">
        <v>148</v>
      </c>
      <c r="AE1876" s="0" t="s">
        <v>149</v>
      </c>
      <c r="AF1876" s="0" t="s">
        <v>150</v>
      </c>
      <c r="AH1876" s="0" t="n">
        <v>14</v>
      </c>
      <c r="AI1876" s="0" t="n">
        <v>11</v>
      </c>
      <c r="AN1876" s="0" t="s">
        <v>146</v>
      </c>
      <c r="AO1876" s="0" t="s">
        <v>151</v>
      </c>
      <c r="AP1876" s="0" t="s">
        <v>152</v>
      </c>
      <c r="AQ1876" s="0" t="n">
        <v>9</v>
      </c>
      <c r="AR1876" s="0" t="n">
        <v>64</v>
      </c>
      <c r="AS1876" s="0" t="n">
        <v>32</v>
      </c>
      <c r="AU1876" s="0" t="n">
        <f aca="false">COUNTA($BA$1381:$EH$1381)</f>
        <v>13</v>
      </c>
      <c r="AV1876" s="0" t="n">
        <f aca="false">COUNTIF($BA$1381:$EH$1381,"D")</f>
        <v>0</v>
      </c>
      <c r="AW1876" s="0" t="n">
        <f aca="false">COUNTIF($BA$1381:$EH$1381,"R")</f>
        <v>0</v>
      </c>
      <c r="AX1876" s="0" t="n">
        <f aca="false"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>0</v>
      </c>
      <c r="AY1876" s="0" t="n">
        <f aca="false">COUNTIF(DU1876:EH1876, "&lt;&gt;")</f>
        <v>0</v>
      </c>
      <c r="AZ1876" s="0" t="n">
        <f aca="false">IF(EH1876&lt;&gt;"",1,0)</f>
        <v>0</v>
      </c>
      <c r="BB1876" s="0" t="s">
        <v>153</v>
      </c>
      <c r="CA1876" s="0" t="s">
        <v>154</v>
      </c>
      <c r="CP1876" s="0" t="s">
        <v>154</v>
      </c>
      <c r="CY1876" s="0" t="s">
        <v>154</v>
      </c>
      <c r="CZ1876" s="0" t="s">
        <v>176</v>
      </c>
      <c r="DC1876" s="0" t="s">
        <v>154</v>
      </c>
      <c r="DI1876" s="0" t="s">
        <v>154</v>
      </c>
      <c r="DN1876" s="0" t="s">
        <v>154</v>
      </c>
    </row>
    <row r="1877" customFormat="false" ht="13.8" hidden="false" customHeight="false" outlineLevel="0" collapsed="false">
      <c r="A1877" s="0" t="s">
        <v>8399</v>
      </c>
      <c r="B1877" s="0" t="n">
        <v>78</v>
      </c>
      <c r="C1877" s="0" t="n">
        <v>405869</v>
      </c>
      <c r="D1877" s="0" t="s">
        <v>290</v>
      </c>
      <c r="E1877" s="0" t="s">
        <v>8400</v>
      </c>
      <c r="F1877" s="0" t="str">
        <f aca="false">CONCATENATE(D1877," ",LEFT(H1877,4),"T=",AU1877,"D=",AV1877,"R=",AW1877,"M=",AX1877,"L=",AY1877,"B=",AZ1877)</f>
        <v>THOMPSON T=2D=0R=0M=0L=5B=0</v>
      </c>
      <c r="G1877" s="0" t="s">
        <v>241</v>
      </c>
      <c r="I1877" s="0" t="s">
        <v>8401</v>
      </c>
      <c r="J1877" s="0" t="s">
        <v>1666</v>
      </c>
      <c r="K1877" s="0" t="s">
        <v>175</v>
      </c>
      <c r="L1877" s="1" t="s">
        <v>176</v>
      </c>
      <c r="M1877" s="0" t="s">
        <v>8402</v>
      </c>
      <c r="N1877" s="0" t="str">
        <f aca="false">RIGHT(M1877,LEN(M1877)-FIND(" ",M1877))</f>
        <v>N PARK AVE</v>
      </c>
      <c r="P1877" s="0" t="s">
        <v>146</v>
      </c>
      <c r="Q1877" s="0" t="s">
        <v>147</v>
      </c>
      <c r="R1877" s="0" t="n">
        <v>44483</v>
      </c>
      <c r="AD1877" s="0" t="s">
        <v>148</v>
      </c>
      <c r="AE1877" s="0" t="s">
        <v>149</v>
      </c>
      <c r="AF1877" s="0" t="s">
        <v>150</v>
      </c>
      <c r="AH1877" s="0" t="n">
        <v>14</v>
      </c>
      <c r="AI1877" s="0" t="n">
        <v>11</v>
      </c>
      <c r="AN1877" s="0" t="s">
        <v>146</v>
      </c>
      <c r="AO1877" s="0" t="s">
        <v>236</v>
      </c>
      <c r="AP1877" s="0" t="s">
        <v>237</v>
      </c>
      <c r="AQ1877" s="0" t="n">
        <v>9</v>
      </c>
      <c r="AR1877" s="0" t="n">
        <v>64</v>
      </c>
      <c r="AS1877" s="0" t="n">
        <v>32</v>
      </c>
      <c r="AU1877" s="0" t="n">
        <f aca="false">COUNTA($BA$294:$EH$294)</f>
        <v>2</v>
      </c>
      <c r="AV1877" s="0" t="n">
        <f aca="false">COUNTIF($BA$294:$EH$294,"D")</f>
        <v>0</v>
      </c>
      <c r="AW1877" s="0" t="n">
        <f aca="false">COUNTIF($BA$294:$EH$294,"R")</f>
        <v>0</v>
      </c>
      <c r="AX1877" s="0" t="n">
        <f aca="false"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>0</v>
      </c>
      <c r="AY1877" s="0" t="n">
        <f aca="false">COUNTIF(DU1877:EH1877, "&lt;&gt;")</f>
        <v>5</v>
      </c>
      <c r="AZ1877" s="0" t="n">
        <f aca="false">IF(EH1877&lt;&gt;"",1,0)</f>
        <v>0</v>
      </c>
      <c r="BB1877" s="0" t="s">
        <v>153</v>
      </c>
      <c r="BC1877" s="0" t="s">
        <v>154</v>
      </c>
      <c r="BD1877" s="0" t="s">
        <v>154</v>
      </c>
      <c r="BH1877" s="0" t="s">
        <v>154</v>
      </c>
      <c r="BJ1877" s="0" t="s">
        <v>154</v>
      </c>
      <c r="BK1877" s="0" t="s">
        <v>154</v>
      </c>
      <c r="BL1877" s="0" t="s">
        <v>154</v>
      </c>
      <c r="BP1877" s="0" t="s">
        <v>154</v>
      </c>
      <c r="BR1877" s="0" t="s">
        <v>154</v>
      </c>
      <c r="BS1877" s="0" t="s">
        <v>154</v>
      </c>
      <c r="BV1877" s="0" t="s">
        <v>154</v>
      </c>
      <c r="BY1877" s="0" t="s">
        <v>176</v>
      </c>
      <c r="CA1877" s="0" t="s">
        <v>154</v>
      </c>
      <c r="CG1877" s="0" t="s">
        <v>154</v>
      </c>
      <c r="CK1877" s="0" t="s">
        <v>154</v>
      </c>
      <c r="CN1877" s="0" t="s">
        <v>154</v>
      </c>
      <c r="CO1877" s="0" t="s">
        <v>176</v>
      </c>
      <c r="CP1877" s="0" t="s">
        <v>154</v>
      </c>
      <c r="CT1877" s="0" t="s">
        <v>154</v>
      </c>
      <c r="CV1877" s="0" t="s">
        <v>154</v>
      </c>
      <c r="CY1877" s="0" t="s">
        <v>154</v>
      </c>
      <c r="CZ1877" s="0" t="s">
        <v>176</v>
      </c>
      <c r="DC1877" s="0" t="s">
        <v>154</v>
      </c>
      <c r="DF1877" s="0" t="s">
        <v>154</v>
      </c>
      <c r="DG1877" s="0" t="s">
        <v>176</v>
      </c>
      <c r="DI1877" s="0" t="s">
        <v>154</v>
      </c>
      <c r="DL1877" s="0" t="s">
        <v>154</v>
      </c>
      <c r="DM1877" s="0" t="s">
        <v>176</v>
      </c>
      <c r="DN1877" s="0" t="s">
        <v>154</v>
      </c>
      <c r="DS1877" s="0" t="s">
        <v>176</v>
      </c>
      <c r="DU1877" s="0" t="s">
        <v>154</v>
      </c>
      <c r="DX1877" s="0" t="s">
        <v>154</v>
      </c>
      <c r="EA1877" s="0" t="s">
        <v>154</v>
      </c>
      <c r="ED1877" s="0" t="s">
        <v>176</v>
      </c>
      <c r="EF1877" s="0" t="s">
        <v>154</v>
      </c>
    </row>
    <row r="1878" customFormat="false" ht="13.8" hidden="false" customHeight="false" outlineLevel="0" collapsed="false">
      <c r="A1878" s="0" t="s">
        <v>8403</v>
      </c>
      <c r="B1878" s="0" t="n">
        <v>78</v>
      </c>
      <c r="C1878" s="0" t="n">
        <v>405868</v>
      </c>
      <c r="D1878" s="0" t="s">
        <v>290</v>
      </c>
      <c r="E1878" s="0" t="s">
        <v>328</v>
      </c>
      <c r="F1878" s="0" t="str">
        <f aca="false">CONCATENATE(D1878," ",LEFT(H1878,4),"T=",AU1878,"D=",AV1878,"R=",AW1878,"M=",AX1878,"L=",AY1878,"B=",AZ1878)</f>
        <v>THOMPSON T=5D=0R=0M=0L=5B=0</v>
      </c>
      <c r="G1878" s="0" t="s">
        <v>277</v>
      </c>
      <c r="I1878" s="0" t="s">
        <v>8404</v>
      </c>
      <c r="J1878" s="0" t="s">
        <v>8405</v>
      </c>
      <c r="K1878" s="0" t="s">
        <v>175</v>
      </c>
      <c r="L1878" s="1" t="s">
        <v>176</v>
      </c>
      <c r="M1878" s="0" t="s">
        <v>8402</v>
      </c>
      <c r="N1878" s="0" t="str">
        <f aca="false">RIGHT(M1878,LEN(M1878)-FIND(" ",M1878))</f>
        <v>N PARK AVE</v>
      </c>
      <c r="P1878" s="0" t="s">
        <v>146</v>
      </c>
      <c r="Q1878" s="0" t="s">
        <v>147</v>
      </c>
      <c r="R1878" s="0" t="n">
        <v>44483</v>
      </c>
      <c r="AD1878" s="0" t="s">
        <v>148</v>
      </c>
      <c r="AE1878" s="0" t="s">
        <v>149</v>
      </c>
      <c r="AF1878" s="0" t="s">
        <v>150</v>
      </c>
      <c r="AH1878" s="0" t="n">
        <v>14</v>
      </c>
      <c r="AI1878" s="0" t="n">
        <v>11</v>
      </c>
      <c r="AN1878" s="0" t="s">
        <v>146</v>
      </c>
      <c r="AO1878" s="0" t="s">
        <v>236</v>
      </c>
      <c r="AP1878" s="0" t="s">
        <v>237</v>
      </c>
      <c r="AQ1878" s="0" t="n">
        <v>9</v>
      </c>
      <c r="AR1878" s="0" t="n">
        <v>64</v>
      </c>
      <c r="AS1878" s="0" t="n">
        <v>32</v>
      </c>
      <c r="AU1878" s="0" t="n">
        <f aca="false">COUNTA($BA$306:$EH$306)</f>
        <v>5</v>
      </c>
      <c r="AV1878" s="0" t="n">
        <f aca="false">COUNTIF($BA$306:$EH$306,"D")</f>
        <v>0</v>
      </c>
      <c r="AW1878" s="0" t="n">
        <f aca="false">COUNTIF($BA$306:$EH$306,"R")</f>
        <v>0</v>
      </c>
      <c r="AX1878" s="0" t="n">
        <f aca="false"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>0</v>
      </c>
      <c r="AY1878" s="0" t="n">
        <f aca="false">COUNTIF(DU1878:EH1878, "&lt;&gt;")</f>
        <v>5</v>
      </c>
      <c r="AZ1878" s="0" t="n">
        <f aca="false">IF(EH1878&lt;&gt;"",1,0)</f>
        <v>0</v>
      </c>
      <c r="BB1878" s="0" t="s">
        <v>153</v>
      </c>
      <c r="BC1878" s="0" t="s">
        <v>154</v>
      </c>
      <c r="BD1878" s="0" t="s">
        <v>154</v>
      </c>
      <c r="BH1878" s="0" t="s">
        <v>154</v>
      </c>
      <c r="BJ1878" s="0" t="s">
        <v>154</v>
      </c>
      <c r="BK1878" s="0" t="s">
        <v>154</v>
      </c>
      <c r="BL1878" s="0" t="s">
        <v>154</v>
      </c>
      <c r="BP1878" s="0" t="s">
        <v>154</v>
      </c>
      <c r="BR1878" s="0" t="s">
        <v>154</v>
      </c>
      <c r="BS1878" s="0" t="s">
        <v>154</v>
      </c>
      <c r="BV1878" s="0" t="s">
        <v>154</v>
      </c>
      <c r="BY1878" s="0" t="s">
        <v>176</v>
      </c>
      <c r="CA1878" s="0" t="s">
        <v>154</v>
      </c>
      <c r="CG1878" s="0" t="s">
        <v>154</v>
      </c>
      <c r="CK1878" s="0" t="s">
        <v>154</v>
      </c>
      <c r="CN1878" s="0" t="s">
        <v>154</v>
      </c>
      <c r="CO1878" s="0" t="s">
        <v>176</v>
      </c>
      <c r="CP1878" s="0" t="s">
        <v>154</v>
      </c>
      <c r="CT1878" s="0" t="s">
        <v>154</v>
      </c>
      <c r="CV1878" s="0" t="s">
        <v>154</v>
      </c>
      <c r="CY1878" s="0" t="s">
        <v>154</v>
      </c>
      <c r="CZ1878" s="0" t="s">
        <v>176</v>
      </c>
      <c r="DC1878" s="0" t="s">
        <v>154</v>
      </c>
      <c r="DF1878" s="0" t="s">
        <v>154</v>
      </c>
      <c r="DG1878" s="0" t="s">
        <v>176</v>
      </c>
      <c r="DI1878" s="0" t="s">
        <v>154</v>
      </c>
      <c r="DL1878" s="0" t="s">
        <v>154</v>
      </c>
      <c r="DM1878" s="0" t="s">
        <v>176</v>
      </c>
      <c r="DN1878" s="0" t="s">
        <v>154</v>
      </c>
      <c r="DS1878" s="0" t="s">
        <v>176</v>
      </c>
      <c r="DU1878" s="0" t="s">
        <v>154</v>
      </c>
      <c r="DX1878" s="0" t="s">
        <v>154</v>
      </c>
      <c r="EA1878" s="0" t="s">
        <v>154</v>
      </c>
      <c r="ED1878" s="0" t="s">
        <v>176</v>
      </c>
      <c r="EF1878" s="0" t="s">
        <v>154</v>
      </c>
    </row>
    <row r="1879" customFormat="false" ht="13.8" hidden="true" customHeight="false" outlineLevel="0" collapsed="false">
      <c r="A1879" s="0" t="s">
        <v>8406</v>
      </c>
      <c r="B1879" s="0" t="n">
        <v>78</v>
      </c>
      <c r="C1879" s="0" t="n">
        <v>439624</v>
      </c>
      <c r="D1879" s="0" t="s">
        <v>8407</v>
      </c>
      <c r="E1879" s="0" t="s">
        <v>3982</v>
      </c>
      <c r="F1879" s="0" t="str">
        <f aca="false">CONCATENATE(D1879," ",LEFT(H1879,4),"T=",AU1879,"D=",AV1879,"R=",AW1879,"M=",AX1879,"L=",AY1879,"B=",AZ1879)</f>
        <v>BORGES BORRERO T=5D=0R=0M=0L=0B=0</v>
      </c>
      <c r="G1879" s="0" t="s">
        <v>8408</v>
      </c>
      <c r="I1879" s="0" t="s">
        <v>8409</v>
      </c>
      <c r="J1879" s="0" t="s">
        <v>2852</v>
      </c>
      <c r="K1879" s="0" t="s">
        <v>144</v>
      </c>
      <c r="L1879" s="0"/>
      <c r="M1879" s="0" t="s">
        <v>8410</v>
      </c>
      <c r="N1879" s="0" t="str">
        <f aca="false">RIGHT(M1879,LEN(M1879)-FIND(" ",M1879))</f>
        <v>N PARK AVE</v>
      </c>
      <c r="P1879" s="0" t="s">
        <v>146</v>
      </c>
      <c r="Q1879" s="0" t="s">
        <v>147</v>
      </c>
      <c r="R1879" s="0" t="n">
        <v>44483</v>
      </c>
      <c r="AD1879" s="0" t="s">
        <v>148</v>
      </c>
      <c r="AE1879" s="0" t="s">
        <v>149</v>
      </c>
      <c r="AF1879" s="0" t="s">
        <v>150</v>
      </c>
      <c r="AH1879" s="0" t="n">
        <v>14</v>
      </c>
      <c r="AI1879" s="0" t="n">
        <v>11</v>
      </c>
      <c r="AN1879" s="0" t="s">
        <v>146</v>
      </c>
      <c r="AO1879" s="0" t="s">
        <v>151</v>
      </c>
      <c r="AP1879" s="0" t="s">
        <v>152</v>
      </c>
      <c r="AQ1879" s="0" t="n">
        <v>9</v>
      </c>
      <c r="AR1879" s="0" t="n">
        <v>64</v>
      </c>
      <c r="AS1879" s="0" t="n">
        <v>32</v>
      </c>
      <c r="AU1879" s="0" t="n">
        <f aca="false">COUNTA($BA$1788:$EH$1788)</f>
        <v>5</v>
      </c>
      <c r="AV1879" s="0" t="n">
        <f aca="false">COUNTIF($BA$1788:$EH$1788,"D")</f>
        <v>0</v>
      </c>
      <c r="AW1879" s="0" t="n">
        <f aca="false">COUNTIF($BA$1788:$EH$1788,"R")</f>
        <v>0</v>
      </c>
      <c r="AX1879" s="0" t="n">
        <f aca="false"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>0</v>
      </c>
      <c r="AY1879" s="0" t="n">
        <f aca="false">COUNTIF(DU1879:EH1879, "&lt;&gt;")</f>
        <v>0</v>
      </c>
      <c r="AZ1879" s="0" t="n">
        <f aca="false">IF(EH1879&lt;&gt;"",1,0)</f>
        <v>0</v>
      </c>
      <c r="BB1879" s="0" t="s">
        <v>153</v>
      </c>
    </row>
    <row r="1880" customFormat="false" ht="13.8" hidden="true" customHeight="false" outlineLevel="0" collapsed="false">
      <c r="A1880" s="0" t="s">
        <v>8411</v>
      </c>
      <c r="B1880" s="0" t="n">
        <v>78</v>
      </c>
      <c r="C1880" s="0" t="n">
        <v>427228</v>
      </c>
      <c r="D1880" s="0" t="s">
        <v>8412</v>
      </c>
      <c r="E1880" s="0" t="s">
        <v>266</v>
      </c>
      <c r="F1880" s="0" t="str">
        <f aca="false">CONCATENATE(D1880," ",LEFT(H1880,4),"T=",AU1880,"D=",AV1880,"R=",AW1880,"M=",AX1880,"L=",AY1880,"B=",AZ1880)</f>
        <v>BAGBY T=1D=0R=0M=0L=0B=0</v>
      </c>
      <c r="G1880" s="0" t="s">
        <v>1263</v>
      </c>
      <c r="I1880" s="0" t="s">
        <v>8413</v>
      </c>
      <c r="J1880" s="0" t="s">
        <v>8414</v>
      </c>
      <c r="K1880" s="0" t="s">
        <v>144</v>
      </c>
      <c r="L1880" s="0"/>
      <c r="M1880" s="0" t="s">
        <v>8410</v>
      </c>
      <c r="N1880" s="0" t="str">
        <f aca="false">RIGHT(M1880,LEN(M1880)-FIND(" ",M1880))</f>
        <v>N PARK AVE</v>
      </c>
      <c r="P1880" s="0" t="s">
        <v>146</v>
      </c>
      <c r="Q1880" s="0" t="s">
        <v>147</v>
      </c>
      <c r="R1880" s="0" t="n">
        <v>44483</v>
      </c>
      <c r="AD1880" s="0" t="s">
        <v>148</v>
      </c>
      <c r="AE1880" s="0" t="s">
        <v>149</v>
      </c>
      <c r="AF1880" s="0" t="s">
        <v>150</v>
      </c>
      <c r="AH1880" s="0" t="n">
        <v>14</v>
      </c>
      <c r="AI1880" s="0" t="n">
        <v>11</v>
      </c>
      <c r="AN1880" s="0" t="s">
        <v>146</v>
      </c>
      <c r="AO1880" s="0" t="s">
        <v>151</v>
      </c>
      <c r="AP1880" s="0" t="s">
        <v>152</v>
      </c>
      <c r="AQ1880" s="0" t="n">
        <v>9</v>
      </c>
      <c r="AR1880" s="0" t="n">
        <v>64</v>
      </c>
      <c r="AS1880" s="0" t="n">
        <v>32</v>
      </c>
      <c r="AU1880" s="0" t="n">
        <f aca="false">COUNTA($BA$1879:$EH$1879)</f>
        <v>1</v>
      </c>
      <c r="AV1880" s="0" t="n">
        <f aca="false">COUNTIF($BA$1879:$EH$1879,"D")</f>
        <v>0</v>
      </c>
      <c r="AW1880" s="0" t="n">
        <f aca="false">COUNTIF($BA$1879:$EH$1879,"R")</f>
        <v>0</v>
      </c>
      <c r="AX1880" s="0" t="n">
        <f aca="false"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>0</v>
      </c>
      <c r="AY1880" s="0" t="n">
        <f aca="false">COUNTIF(DU1880:EH1880, "&lt;&gt;")</f>
        <v>0</v>
      </c>
      <c r="AZ1880" s="0" t="n">
        <f aca="false">IF(EH1880&lt;&gt;"",1,0)</f>
        <v>0</v>
      </c>
      <c r="BB1880" s="0" t="s">
        <v>153</v>
      </c>
    </row>
    <row r="1881" customFormat="false" ht="13.8" hidden="true" customHeight="false" outlineLevel="0" collapsed="false">
      <c r="A1881" s="0" t="s">
        <v>8415</v>
      </c>
      <c r="B1881" s="0" t="n">
        <v>78</v>
      </c>
      <c r="C1881" s="0" t="n">
        <v>404896</v>
      </c>
      <c r="D1881" s="0" t="s">
        <v>8416</v>
      </c>
      <c r="E1881" s="0" t="s">
        <v>1272</v>
      </c>
      <c r="F1881" s="0" t="str">
        <f aca="false">CONCATENATE(D1881," ",LEFT(H1881,4),"T=",AU1881,"D=",AV1881,"R=",AW1881,"M=",AX1881,"L=",AY1881,"B=",AZ1881)</f>
        <v>MCLAUGHLIN T=1D=0R=0M=0L=0B=0</v>
      </c>
      <c r="G1881" s="0" t="s">
        <v>159</v>
      </c>
      <c r="I1881" s="0" t="s">
        <v>8417</v>
      </c>
      <c r="J1881" s="0" t="s">
        <v>2913</v>
      </c>
      <c r="K1881" s="0" t="s">
        <v>175</v>
      </c>
      <c r="L1881" s="0"/>
      <c r="M1881" s="0" t="s">
        <v>8418</v>
      </c>
      <c r="N1881" s="0" t="str">
        <f aca="false">RIGHT(M1881,LEN(M1881)-FIND(" ",M1881))</f>
        <v>N PARK AVE</v>
      </c>
      <c r="P1881" s="0" t="s">
        <v>146</v>
      </c>
      <c r="Q1881" s="0" t="s">
        <v>147</v>
      </c>
      <c r="R1881" s="0" t="n">
        <v>44483</v>
      </c>
      <c r="AD1881" s="0" t="s">
        <v>148</v>
      </c>
      <c r="AE1881" s="0" t="s">
        <v>149</v>
      </c>
      <c r="AF1881" s="0" t="s">
        <v>150</v>
      </c>
      <c r="AH1881" s="0" t="n">
        <v>14</v>
      </c>
      <c r="AI1881" s="0" t="n">
        <v>11</v>
      </c>
      <c r="AN1881" s="0" t="s">
        <v>146</v>
      </c>
      <c r="AO1881" s="0" t="s">
        <v>250</v>
      </c>
      <c r="AP1881" s="0" t="s">
        <v>251</v>
      </c>
      <c r="AQ1881" s="0" t="n">
        <v>9</v>
      </c>
      <c r="AR1881" s="0" t="n">
        <v>64</v>
      </c>
      <c r="AS1881" s="0" t="n">
        <v>32</v>
      </c>
      <c r="AU1881" s="0" t="n">
        <f aca="false">COUNTA($BA$2396:$EH$2396)</f>
        <v>1</v>
      </c>
      <c r="AV1881" s="0" t="n">
        <f aca="false">COUNTIF($BA$2396:$EH$2396,"D")</f>
        <v>0</v>
      </c>
      <c r="AW1881" s="0" t="n">
        <f aca="false">COUNTIF($BA$2396:$EH$2396,"R")</f>
        <v>0</v>
      </c>
      <c r="AX1881" s="0" t="n">
        <f aca="false"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>0</v>
      </c>
      <c r="AY1881" s="0" t="n">
        <f aca="false">COUNTIF(DU1881:EH1881, "&lt;&gt;")</f>
        <v>0</v>
      </c>
      <c r="AZ1881" s="0" t="n">
        <f aca="false">IF(EH1881&lt;&gt;"",1,0)</f>
        <v>0</v>
      </c>
      <c r="BB1881" s="0" t="s">
        <v>153</v>
      </c>
      <c r="BH1881" s="0" t="s">
        <v>154</v>
      </c>
      <c r="BP1881" s="0" t="s">
        <v>154</v>
      </c>
      <c r="CA1881" s="0" t="s">
        <v>154</v>
      </c>
      <c r="DC1881" s="0" t="s">
        <v>154</v>
      </c>
    </row>
    <row r="1882" customFormat="false" ht="13.8" hidden="false" customHeight="false" outlineLevel="0" collapsed="false">
      <c r="A1882" s="0" t="s">
        <v>8419</v>
      </c>
      <c r="B1882" s="0" t="n">
        <v>78</v>
      </c>
      <c r="C1882" s="0" t="n">
        <v>399477</v>
      </c>
      <c r="D1882" s="0" t="s">
        <v>8420</v>
      </c>
      <c r="E1882" s="0" t="s">
        <v>8421</v>
      </c>
      <c r="F1882" s="0" t="str">
        <f aca="false">CONCATENATE(D1882," ",LEFT(H1882,4),"T=",AU1882,"D=",AV1882,"R=",AW1882,"M=",AX1882,"L=",AY1882,"B=",AZ1882)</f>
        <v>JETHROE T=6D=0R=0M=0L=3B=0</v>
      </c>
      <c r="G1882" s="0" t="s">
        <v>365</v>
      </c>
      <c r="I1882" s="0" t="s">
        <v>8422</v>
      </c>
      <c r="J1882" s="0" t="s">
        <v>8423</v>
      </c>
      <c r="K1882" s="0" t="s">
        <v>175</v>
      </c>
      <c r="M1882" s="0" t="s">
        <v>8418</v>
      </c>
      <c r="N1882" s="0" t="str">
        <f aca="false">RIGHT(M1882,LEN(M1882)-FIND(" ",M1882))</f>
        <v>N PARK AVE</v>
      </c>
      <c r="P1882" s="0" t="s">
        <v>146</v>
      </c>
      <c r="Q1882" s="0" t="s">
        <v>147</v>
      </c>
      <c r="R1882" s="0" t="n">
        <v>44483</v>
      </c>
      <c r="AD1882" s="0" t="s">
        <v>148</v>
      </c>
      <c r="AE1882" s="0" t="s">
        <v>149</v>
      </c>
      <c r="AF1882" s="0" t="s">
        <v>150</v>
      </c>
      <c r="AH1882" s="0" t="n">
        <v>14</v>
      </c>
      <c r="AI1882" s="0" t="n">
        <v>11</v>
      </c>
      <c r="AN1882" s="0" t="s">
        <v>146</v>
      </c>
      <c r="AO1882" s="0" t="s">
        <v>250</v>
      </c>
      <c r="AP1882" s="0" t="s">
        <v>251</v>
      </c>
      <c r="AQ1882" s="0" t="n">
        <v>9</v>
      </c>
      <c r="AR1882" s="0" t="n">
        <v>64</v>
      </c>
      <c r="AS1882" s="0" t="n">
        <v>32</v>
      </c>
      <c r="AU1882" s="0" t="n">
        <f aca="false">COUNTA($BA$2669:$EH$2669)</f>
        <v>6</v>
      </c>
      <c r="AV1882" s="0" t="n">
        <f aca="false">COUNTIF($BA$2669:$EH$2669,"D")</f>
        <v>0</v>
      </c>
      <c r="AW1882" s="0" t="n">
        <f aca="false">COUNTIF($BA$2669:$EH$2669,"R")</f>
        <v>0</v>
      </c>
      <c r="AX1882" s="0" t="n">
        <f aca="false"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>0</v>
      </c>
      <c r="AY1882" s="0" t="n">
        <f aca="false">COUNTIF(DU1882:EH1882, "&lt;&gt;")</f>
        <v>3</v>
      </c>
      <c r="AZ1882" s="0" t="n">
        <f aca="false">IF(EH1882&lt;&gt;"",1,0)</f>
        <v>0</v>
      </c>
      <c r="BB1882" s="0" t="s">
        <v>153</v>
      </c>
      <c r="BD1882" s="0" t="s">
        <v>154</v>
      </c>
      <c r="BH1882" s="0" t="s">
        <v>154</v>
      </c>
      <c r="BL1882" s="0" t="s">
        <v>154</v>
      </c>
      <c r="BS1882" s="0" t="s">
        <v>154</v>
      </c>
      <c r="BY1882" s="0" t="s">
        <v>155</v>
      </c>
      <c r="CA1882" s="0" t="s">
        <v>154</v>
      </c>
      <c r="CK1882" s="0" t="s">
        <v>154</v>
      </c>
      <c r="CN1882" s="0" t="s">
        <v>154</v>
      </c>
      <c r="CP1882" s="0" t="s">
        <v>154</v>
      </c>
      <c r="CV1882" s="0" t="s">
        <v>154</v>
      </c>
      <c r="DC1882" s="0" t="s">
        <v>154</v>
      </c>
      <c r="DN1882" s="0" t="s">
        <v>154</v>
      </c>
      <c r="DR1882" s="0" t="s">
        <v>154</v>
      </c>
      <c r="DU1882" s="0" t="s">
        <v>154</v>
      </c>
      <c r="DX1882" s="0" t="s">
        <v>154</v>
      </c>
      <c r="EA1882" s="0" t="s">
        <v>154</v>
      </c>
    </row>
    <row r="1883" customFormat="false" ht="13.8" hidden="true" customHeight="false" outlineLevel="0" collapsed="false">
      <c r="A1883" s="0" t="s">
        <v>8424</v>
      </c>
      <c r="B1883" s="0" t="n">
        <v>78</v>
      </c>
      <c r="C1883" s="0" t="n">
        <v>423193</v>
      </c>
      <c r="D1883" s="0" t="s">
        <v>2410</v>
      </c>
      <c r="E1883" s="0" t="s">
        <v>867</v>
      </c>
      <c r="F1883" s="0" t="str">
        <f aca="false">CONCATENATE(D1883," ",LEFT(H1883,4),"T=",AU1883,"D=",AV1883,"R=",AW1883,"M=",AX1883,"L=",AY1883,"B=",AZ1883)</f>
        <v>BARNES T=39D=16R=0M=0L=0B=0</v>
      </c>
      <c r="G1883" s="0" t="s">
        <v>241</v>
      </c>
      <c r="I1883" s="0" t="s">
        <v>8425</v>
      </c>
      <c r="J1883" s="0" t="s">
        <v>845</v>
      </c>
      <c r="K1883" s="0" t="s">
        <v>175</v>
      </c>
      <c r="L1883" s="0"/>
      <c r="M1883" s="0" t="s">
        <v>8426</v>
      </c>
      <c r="N1883" s="0" t="str">
        <f aca="false">RIGHT(M1883,LEN(M1883)-FIND(" ",M1883))</f>
        <v>N PARK AVE</v>
      </c>
      <c r="P1883" s="0" t="s">
        <v>146</v>
      </c>
      <c r="Q1883" s="0" t="s">
        <v>147</v>
      </c>
      <c r="R1883" s="0" t="n">
        <v>44483</v>
      </c>
      <c r="AD1883" s="0" t="s">
        <v>148</v>
      </c>
      <c r="AE1883" s="0" t="s">
        <v>149</v>
      </c>
      <c r="AF1883" s="0" t="s">
        <v>150</v>
      </c>
      <c r="AH1883" s="0" t="n">
        <v>14</v>
      </c>
      <c r="AI1883" s="0" t="n">
        <v>11</v>
      </c>
      <c r="AN1883" s="0" t="s">
        <v>146</v>
      </c>
      <c r="AO1883" s="0" t="s">
        <v>236</v>
      </c>
      <c r="AP1883" s="0" t="s">
        <v>237</v>
      </c>
      <c r="AQ1883" s="0" t="n">
        <v>9</v>
      </c>
      <c r="AR1883" s="0" t="n">
        <v>64</v>
      </c>
      <c r="AS1883" s="0" t="n">
        <v>32</v>
      </c>
      <c r="AU1883" s="0" t="n">
        <f aca="false">COUNTA($BA$844:$EH$844)</f>
        <v>39</v>
      </c>
      <c r="AV1883" s="0" t="n">
        <f aca="false">COUNTIF($BA$844:$EH$844,"D")</f>
        <v>16</v>
      </c>
      <c r="AW1883" s="0" t="n">
        <f aca="false">COUNTIF($BA$844:$EH$844,"R")</f>
        <v>0</v>
      </c>
      <c r="AX1883" s="0" t="n">
        <f aca="false"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>0</v>
      </c>
      <c r="AY1883" s="0" t="n">
        <f aca="false">COUNTIF(DU1883:EH1883, "&lt;&gt;")</f>
        <v>0</v>
      </c>
      <c r="AZ1883" s="0" t="n">
        <f aca="false">IF(EH1883&lt;&gt;"",1,0)</f>
        <v>0</v>
      </c>
      <c r="BB1883" s="0" t="s">
        <v>153</v>
      </c>
    </row>
    <row r="1884" customFormat="false" ht="13.8" hidden="true" customHeight="false" outlineLevel="0" collapsed="false">
      <c r="A1884" s="0" t="s">
        <v>8427</v>
      </c>
      <c r="B1884" s="0" t="n">
        <v>78</v>
      </c>
      <c r="C1884" s="0" t="n">
        <v>390326</v>
      </c>
      <c r="D1884" s="0" t="s">
        <v>8428</v>
      </c>
      <c r="E1884" s="0" t="s">
        <v>4707</v>
      </c>
      <c r="F1884" s="0" t="str">
        <f aca="false">CONCATENATE(D1884," ",LEFT(H1884,4),"T=",AU1884,"D=",AV1884,"R=",AW1884,"M=",AX1884,"L=",AY1884,"B=",AZ1884)</f>
        <v>MAHAN T=5D=0R=0M=0L=0B=0</v>
      </c>
      <c r="G1884" s="0" t="s">
        <v>297</v>
      </c>
      <c r="I1884" s="0" t="s">
        <v>7356</v>
      </c>
      <c r="J1884" s="0" t="s">
        <v>8429</v>
      </c>
      <c r="K1884" s="0" t="s">
        <v>144</v>
      </c>
      <c r="L1884" s="0"/>
      <c r="M1884" s="0" t="s">
        <v>8430</v>
      </c>
      <c r="N1884" s="0" t="str">
        <f aca="false">RIGHT(M1884,LEN(M1884)-FIND(" ",M1884))</f>
        <v>N PARK AVE</v>
      </c>
      <c r="P1884" s="0" t="s">
        <v>146</v>
      </c>
      <c r="Q1884" s="0" t="s">
        <v>147</v>
      </c>
      <c r="R1884" s="0" t="n">
        <v>44483</v>
      </c>
      <c r="AD1884" s="0" t="s">
        <v>148</v>
      </c>
      <c r="AE1884" s="0" t="s">
        <v>149</v>
      </c>
      <c r="AF1884" s="0" t="s">
        <v>150</v>
      </c>
      <c r="AH1884" s="0" t="n">
        <v>14</v>
      </c>
      <c r="AI1884" s="0" t="n">
        <v>11</v>
      </c>
      <c r="AN1884" s="0" t="s">
        <v>146</v>
      </c>
      <c r="AO1884" s="0" t="s">
        <v>250</v>
      </c>
      <c r="AP1884" s="0" t="s">
        <v>251</v>
      </c>
      <c r="AQ1884" s="0" t="n">
        <v>9</v>
      </c>
      <c r="AR1884" s="0" t="n">
        <v>64</v>
      </c>
      <c r="AS1884" s="0" t="n">
        <v>32</v>
      </c>
      <c r="AU1884" s="0" t="n">
        <f aca="false">COUNTA($BA$2797:$EH$2797)</f>
        <v>5</v>
      </c>
      <c r="AV1884" s="0" t="n">
        <f aca="false">COUNTIF($BA$2797:$EH$2797,"D")</f>
        <v>0</v>
      </c>
      <c r="AW1884" s="0" t="n">
        <f aca="false">COUNTIF($BA$2797:$EH$2797,"R")</f>
        <v>0</v>
      </c>
      <c r="AX1884" s="0" t="n">
        <f aca="false"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>0</v>
      </c>
      <c r="AY1884" s="0" t="n">
        <f aca="false">COUNTIF(DU1884:EH1884, "&lt;&gt;")</f>
        <v>0</v>
      </c>
      <c r="AZ1884" s="0" t="n">
        <f aca="false">IF(EH1884&lt;&gt;"",1,0)</f>
        <v>0</v>
      </c>
      <c r="BB1884" s="0" t="s">
        <v>153</v>
      </c>
    </row>
    <row r="1885" customFormat="false" ht="13.8" hidden="true" customHeight="false" outlineLevel="0" collapsed="false">
      <c r="A1885" s="0" t="s">
        <v>8431</v>
      </c>
      <c r="B1885" s="0" t="n">
        <v>78</v>
      </c>
      <c r="C1885" s="0" t="n">
        <v>398871</v>
      </c>
      <c r="D1885" s="0" t="s">
        <v>8432</v>
      </c>
      <c r="E1885" s="0" t="s">
        <v>277</v>
      </c>
      <c r="F1885" s="0" t="str">
        <f aca="false">CONCATENATE(D1885," ",LEFT(H1885,4),"T=",AU1885,"D=",AV1885,"R=",AW1885,"M=",AX1885,"L=",AY1885,"B=",AZ1885)</f>
        <v>HOWES T=44D=15R=0M=0L=0B=0</v>
      </c>
      <c r="G1885" s="0" t="s">
        <v>241</v>
      </c>
      <c r="I1885" s="0" t="s">
        <v>8433</v>
      </c>
      <c r="J1885" s="0" t="s">
        <v>8434</v>
      </c>
      <c r="K1885" s="0" t="s">
        <v>144</v>
      </c>
      <c r="L1885" s="0"/>
      <c r="M1885" s="0" t="s">
        <v>8435</v>
      </c>
      <c r="N1885" s="0" t="str">
        <f aca="false">RIGHT(M1885,LEN(M1885)-FIND(" ",M1885))</f>
        <v>N PARK AVE</v>
      </c>
      <c r="P1885" s="0" t="s">
        <v>146</v>
      </c>
      <c r="Q1885" s="0" t="s">
        <v>147</v>
      </c>
      <c r="R1885" s="0" t="n">
        <v>44483</v>
      </c>
      <c r="AD1885" s="0" t="s">
        <v>148</v>
      </c>
      <c r="AE1885" s="0" t="s">
        <v>149</v>
      </c>
      <c r="AF1885" s="0" t="s">
        <v>150</v>
      </c>
      <c r="AH1885" s="0" t="n">
        <v>14</v>
      </c>
      <c r="AI1885" s="0" t="n">
        <v>11</v>
      </c>
      <c r="AN1885" s="0" t="s">
        <v>146</v>
      </c>
      <c r="AO1885" s="0" t="s">
        <v>236</v>
      </c>
      <c r="AP1885" s="0" t="s">
        <v>237</v>
      </c>
      <c r="AQ1885" s="0" t="n">
        <v>9</v>
      </c>
      <c r="AR1885" s="0" t="n">
        <v>64</v>
      </c>
      <c r="AS1885" s="0" t="n">
        <v>32</v>
      </c>
      <c r="AU1885" s="0" t="n">
        <f aca="false">COUNTA($BA$581:$EH$581)</f>
        <v>44</v>
      </c>
      <c r="AV1885" s="0" t="n">
        <f aca="false">COUNTIF($BA$581:$EH$581,"D")</f>
        <v>15</v>
      </c>
      <c r="AW1885" s="0" t="n">
        <f aca="false">COUNTIF($BA$581:$EH$581,"R")</f>
        <v>0</v>
      </c>
      <c r="AX1885" s="0" t="n">
        <f aca="false"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>0</v>
      </c>
      <c r="AY1885" s="0" t="n">
        <f aca="false">COUNTIF(DU1885:EH1885, "&lt;&gt;")</f>
        <v>0</v>
      </c>
      <c r="AZ1885" s="0" t="n">
        <f aca="false">IF(EH1885&lt;&gt;"",1,0)</f>
        <v>0</v>
      </c>
      <c r="BB1885" s="0" t="s">
        <v>153</v>
      </c>
    </row>
    <row r="1886" customFormat="false" ht="13.8" hidden="true" customHeight="false" outlineLevel="0" collapsed="false">
      <c r="A1886" s="0" t="s">
        <v>8436</v>
      </c>
      <c r="B1886" s="0" t="n">
        <v>78</v>
      </c>
      <c r="C1886" s="0" t="n">
        <v>382074</v>
      </c>
      <c r="D1886" s="0" t="s">
        <v>8437</v>
      </c>
      <c r="E1886" s="0" t="s">
        <v>8438</v>
      </c>
      <c r="F1886" s="0" t="str">
        <f aca="false">CONCATENATE(D1886," ",LEFT(H1886,4),"T=",AU1886,"D=",AV1886,"R=",AW1886,"M=",AX1886,"L=",AY1886,"B=",AZ1886)</f>
        <v>MONTENERI T=1D=0R=0M=0L=0B=0</v>
      </c>
      <c r="G1886" s="0" t="s">
        <v>297</v>
      </c>
      <c r="I1886" s="0" t="s">
        <v>8439</v>
      </c>
      <c r="J1886" s="0" t="s">
        <v>8440</v>
      </c>
      <c r="K1886" s="0" t="s">
        <v>175</v>
      </c>
      <c r="L1886" s="0" t="s">
        <v>176</v>
      </c>
      <c r="M1886" s="0" t="s">
        <v>8435</v>
      </c>
      <c r="N1886" s="0" t="str">
        <f aca="false">RIGHT(M1886,LEN(M1886)-FIND(" ",M1886))</f>
        <v>N PARK AVE</v>
      </c>
      <c r="P1886" s="0" t="s">
        <v>146</v>
      </c>
      <c r="Q1886" s="0" t="s">
        <v>147</v>
      </c>
      <c r="R1886" s="0" t="n">
        <v>44483</v>
      </c>
      <c r="AD1886" s="0" t="s">
        <v>148</v>
      </c>
      <c r="AE1886" s="0" t="s">
        <v>149</v>
      </c>
      <c r="AF1886" s="0" t="s">
        <v>150</v>
      </c>
      <c r="AH1886" s="0" t="n">
        <v>14</v>
      </c>
      <c r="AI1886" s="0" t="n">
        <v>11</v>
      </c>
      <c r="AN1886" s="0" t="s">
        <v>146</v>
      </c>
      <c r="AO1886" s="0" t="s">
        <v>236</v>
      </c>
      <c r="AP1886" s="0" t="s">
        <v>237</v>
      </c>
      <c r="AQ1886" s="0" t="n">
        <v>9</v>
      </c>
      <c r="AR1886" s="0" t="n">
        <v>64</v>
      </c>
      <c r="AS1886" s="0" t="n">
        <v>32</v>
      </c>
      <c r="AU1886" s="0" t="n">
        <f aca="false">COUNTA($BA$1014:$EH$1014)</f>
        <v>1</v>
      </c>
      <c r="AV1886" s="0" t="n">
        <f aca="false">COUNTIF($BA$1014:$EH$1014,"D")</f>
        <v>0</v>
      </c>
      <c r="AW1886" s="0" t="n">
        <f aca="false">COUNTIF($BA$1014:$EH$1014,"R")</f>
        <v>0</v>
      </c>
      <c r="AX1886" s="0" t="n">
        <f aca="false"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>0</v>
      </c>
      <c r="AY1886" s="0" t="n">
        <f aca="false">COUNTIF(DU1886:EH1886, "&lt;&gt;")</f>
        <v>0</v>
      </c>
      <c r="AZ1886" s="0" t="n">
        <f aca="false">IF(EH1886&lt;&gt;"",1,0)</f>
        <v>0</v>
      </c>
      <c r="BB1886" s="0" t="s">
        <v>153</v>
      </c>
      <c r="CP1886" s="0" t="s">
        <v>154</v>
      </c>
      <c r="CV1886" s="0" t="s">
        <v>154</v>
      </c>
      <c r="DC1886" s="0" t="s">
        <v>154</v>
      </c>
      <c r="DI1886" s="0" t="s">
        <v>154</v>
      </c>
      <c r="DN1886" s="0" t="s">
        <v>154</v>
      </c>
      <c r="DS1886" s="0" t="s">
        <v>176</v>
      </c>
    </row>
    <row r="1887" customFormat="false" ht="13.8" hidden="false" customHeight="false" outlineLevel="0" collapsed="false">
      <c r="A1887" s="0" t="s">
        <v>8441</v>
      </c>
      <c r="B1887" s="0" t="n">
        <v>78</v>
      </c>
      <c r="C1887" s="0" t="n">
        <v>426732</v>
      </c>
      <c r="D1887" s="0" t="s">
        <v>8442</v>
      </c>
      <c r="E1887" s="0" t="s">
        <v>557</v>
      </c>
      <c r="F1887" s="0" t="str">
        <f aca="false">CONCATENATE(D1887," ",LEFT(H1887,4),"T=",AU1887,"D=",AV1887,"R=",AW1887,"M=",AX1887,"L=",AY1887,"B=",AZ1887)</f>
        <v>PROC T=2D=0R=0M=0L=2B=0</v>
      </c>
      <c r="G1887" s="0" t="s">
        <v>8443</v>
      </c>
      <c r="I1887" s="0" t="s">
        <v>8444</v>
      </c>
      <c r="J1887" s="0" t="s">
        <v>8445</v>
      </c>
      <c r="K1887" s="0" t="s">
        <v>175</v>
      </c>
      <c r="M1887" s="0" t="s">
        <v>8446</v>
      </c>
      <c r="N1887" s="0" t="str">
        <f aca="false">RIGHT(M1887,LEN(M1887)-FIND(" ",M1887))</f>
        <v>N PARK AVE</v>
      </c>
      <c r="P1887" s="0" t="s">
        <v>146</v>
      </c>
      <c r="Q1887" s="0" t="s">
        <v>147</v>
      </c>
      <c r="R1887" s="0" t="n">
        <v>44483</v>
      </c>
      <c r="AD1887" s="0" t="s">
        <v>148</v>
      </c>
      <c r="AE1887" s="0" t="s">
        <v>149</v>
      </c>
      <c r="AF1887" s="0" t="s">
        <v>150</v>
      </c>
      <c r="AH1887" s="0" t="n">
        <v>14</v>
      </c>
      <c r="AI1887" s="0" t="n">
        <v>11</v>
      </c>
      <c r="AN1887" s="0" t="s">
        <v>146</v>
      </c>
      <c r="AO1887" s="0" t="s">
        <v>250</v>
      </c>
      <c r="AP1887" s="0" t="s">
        <v>251</v>
      </c>
      <c r="AQ1887" s="0" t="n">
        <v>9</v>
      </c>
      <c r="AR1887" s="0" t="n">
        <v>64</v>
      </c>
      <c r="AS1887" s="0" t="n">
        <v>32</v>
      </c>
      <c r="AU1887" s="0" t="n">
        <f aca="false">COUNTA($BA$2443:$EH$2443)</f>
        <v>2</v>
      </c>
      <c r="AV1887" s="0" t="n">
        <f aca="false">COUNTIF($BA$2443:$EH$2443,"D")</f>
        <v>0</v>
      </c>
      <c r="AW1887" s="0" t="n">
        <f aca="false">COUNTIF($BA$2443:$EH$2443,"R")</f>
        <v>0</v>
      </c>
      <c r="AX1887" s="0" t="n">
        <f aca="false"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>0</v>
      </c>
      <c r="AY1887" s="0" t="n">
        <f aca="false">COUNTIF(DU1887:EH1887, "&lt;&gt;")</f>
        <v>2</v>
      </c>
      <c r="AZ1887" s="0" t="n">
        <f aca="false">IF(EH1887&lt;&gt;"",1,0)</f>
        <v>0</v>
      </c>
      <c r="BB1887" s="0" t="s">
        <v>153</v>
      </c>
      <c r="DI1887" s="0" t="s">
        <v>154</v>
      </c>
      <c r="DN1887" s="0" t="s">
        <v>154</v>
      </c>
      <c r="DU1887" s="0" t="s">
        <v>154</v>
      </c>
      <c r="EF1887" s="0" t="s">
        <v>154</v>
      </c>
    </row>
    <row r="1888" customFormat="false" ht="13.8" hidden="false" customHeight="false" outlineLevel="0" collapsed="false">
      <c r="A1888" s="0" t="s">
        <v>8447</v>
      </c>
      <c r="B1888" s="0" t="n">
        <v>78</v>
      </c>
      <c r="C1888" s="0" t="n">
        <v>424029</v>
      </c>
      <c r="D1888" s="0" t="s">
        <v>8448</v>
      </c>
      <c r="E1888" s="0" t="s">
        <v>5648</v>
      </c>
      <c r="F1888" s="0" t="str">
        <f aca="false">CONCATENATE(D1888," ",LEFT(H1888,4),"T=",AU1888,"D=",AV1888,"R=",AW1888,"M=",AX1888,"L=",AY1888,"B=",AZ1888)</f>
        <v>HODZIEWICH T=1D=0R=0M=0L=4B=0</v>
      </c>
      <c r="G1888" s="0" t="s">
        <v>155</v>
      </c>
      <c r="I1888" s="0" t="s">
        <v>8449</v>
      </c>
      <c r="J1888" s="0" t="s">
        <v>1004</v>
      </c>
      <c r="K1888" s="0" t="s">
        <v>175</v>
      </c>
      <c r="L1888" s="1" t="s">
        <v>155</v>
      </c>
      <c r="M1888" s="0" t="s">
        <v>8446</v>
      </c>
      <c r="N1888" s="0" t="str">
        <f aca="false">RIGHT(M1888,LEN(M1888)-FIND(" ",M1888))</f>
        <v>N PARK AVE</v>
      </c>
      <c r="P1888" s="0" t="s">
        <v>146</v>
      </c>
      <c r="Q1888" s="0" t="s">
        <v>147</v>
      </c>
      <c r="R1888" s="0" t="n">
        <v>44483</v>
      </c>
      <c r="AD1888" s="0" t="s">
        <v>148</v>
      </c>
      <c r="AE1888" s="0" t="s">
        <v>149</v>
      </c>
      <c r="AF1888" s="0" t="s">
        <v>150</v>
      </c>
      <c r="AH1888" s="0" t="n">
        <v>14</v>
      </c>
      <c r="AI1888" s="0" t="n">
        <v>11</v>
      </c>
      <c r="AN1888" s="0" t="s">
        <v>146</v>
      </c>
      <c r="AO1888" s="0" t="s">
        <v>250</v>
      </c>
      <c r="AP1888" s="0" t="s">
        <v>251</v>
      </c>
      <c r="AQ1888" s="0" t="n">
        <v>9</v>
      </c>
      <c r="AR1888" s="0" t="n">
        <v>64</v>
      </c>
      <c r="AS1888" s="0" t="n">
        <v>32</v>
      </c>
      <c r="AU1888" s="0" t="n">
        <f aca="false">COUNTA($BA$2740:$EH$2740)</f>
        <v>1</v>
      </c>
      <c r="AV1888" s="0" t="n">
        <f aca="false">COUNTIF($BA$2740:$EH$2740,"D")</f>
        <v>0</v>
      </c>
      <c r="AW1888" s="0" t="n">
        <f aca="false">COUNTIF($BA$2740:$EH$2740,"R")</f>
        <v>0</v>
      </c>
      <c r="AX1888" s="0" t="n">
        <f aca="false"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>0</v>
      </c>
      <c r="AY1888" s="0" t="n">
        <f aca="false">COUNTIF(DU1888:EH1888, "&lt;&gt;")</f>
        <v>4</v>
      </c>
      <c r="AZ1888" s="0" t="n">
        <f aca="false">IF(EH1888&lt;&gt;"",1,0)</f>
        <v>0</v>
      </c>
      <c r="BB1888" s="0" t="s">
        <v>153</v>
      </c>
      <c r="DI1888" s="0" t="s">
        <v>154</v>
      </c>
      <c r="DN1888" s="0" t="s">
        <v>154</v>
      </c>
      <c r="DS1888" s="0" t="s">
        <v>155</v>
      </c>
      <c r="DU1888" s="0" t="s">
        <v>154</v>
      </c>
      <c r="DX1888" s="0" t="s">
        <v>154</v>
      </c>
      <c r="EA1888" s="0" t="s">
        <v>154</v>
      </c>
      <c r="EF1888" s="0" t="s">
        <v>154</v>
      </c>
    </row>
    <row r="1889" customFormat="false" ht="13.8" hidden="true" customHeight="false" outlineLevel="0" collapsed="false">
      <c r="A1889" s="0" t="s">
        <v>8450</v>
      </c>
      <c r="B1889" s="0" t="n">
        <v>78</v>
      </c>
      <c r="C1889" s="0" t="n">
        <v>286961</v>
      </c>
      <c r="D1889" s="0" t="s">
        <v>8179</v>
      </c>
      <c r="E1889" s="0" t="s">
        <v>1131</v>
      </c>
      <c r="F1889" s="0" t="str">
        <f aca="false">CONCATENATE(D1889," ",LEFT(H1889,4),"T=",AU1889,"D=",AV1889,"R=",AW1889,"M=",AX1889,"L=",AY1889,"B=",AZ1889)</f>
        <v>MINOR T=2D=0R=0M=0L=0B=0</v>
      </c>
      <c r="G1889" s="0" t="s">
        <v>216</v>
      </c>
      <c r="I1889" s="0" t="s">
        <v>8451</v>
      </c>
      <c r="J1889" s="0" t="s">
        <v>3875</v>
      </c>
      <c r="K1889" s="0" t="s">
        <v>175</v>
      </c>
      <c r="L1889" s="0"/>
      <c r="M1889" s="0" t="s">
        <v>8452</v>
      </c>
      <c r="N1889" s="0" t="str">
        <f aca="false">RIGHT(M1889,LEN(M1889)-FIND(" ",M1889))</f>
        <v>N PARK AVE</v>
      </c>
      <c r="P1889" s="0" t="s">
        <v>146</v>
      </c>
      <c r="Q1889" s="0" t="s">
        <v>147</v>
      </c>
      <c r="R1889" s="0" t="n">
        <v>44483</v>
      </c>
      <c r="AD1889" s="0" t="s">
        <v>148</v>
      </c>
      <c r="AE1889" s="0" t="s">
        <v>149</v>
      </c>
      <c r="AF1889" s="0" t="s">
        <v>150</v>
      </c>
      <c r="AH1889" s="0" t="n">
        <v>14</v>
      </c>
      <c r="AI1889" s="0" t="n">
        <v>11</v>
      </c>
      <c r="AN1889" s="0" t="s">
        <v>146</v>
      </c>
      <c r="AO1889" s="0" t="s">
        <v>236</v>
      </c>
      <c r="AP1889" s="0" t="s">
        <v>237</v>
      </c>
      <c r="AQ1889" s="0" t="n">
        <v>9</v>
      </c>
      <c r="AR1889" s="0" t="n">
        <v>64</v>
      </c>
      <c r="AS1889" s="0" t="n">
        <v>32</v>
      </c>
      <c r="AU1889" s="0" t="n">
        <f aca="false">COUNTA($BA$746:$EH$746)</f>
        <v>2</v>
      </c>
      <c r="AV1889" s="0" t="n">
        <f aca="false">COUNTIF($BA$746:$EH$746,"D")</f>
        <v>0</v>
      </c>
      <c r="AW1889" s="0" t="n">
        <f aca="false">COUNTIF($BA$746:$EH$746,"R")</f>
        <v>0</v>
      </c>
      <c r="AX1889" s="0" t="n">
        <f aca="false"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>0</v>
      </c>
      <c r="AY1889" s="0" t="n">
        <f aca="false">COUNTIF(DU1889:EH1889, "&lt;&gt;")</f>
        <v>0</v>
      </c>
      <c r="AZ1889" s="0" t="n">
        <f aca="false">IF(EH1889&lt;&gt;"",1,0)</f>
        <v>0</v>
      </c>
      <c r="BB1889" s="0" t="s">
        <v>153</v>
      </c>
      <c r="BY1889" s="0" t="s">
        <v>155</v>
      </c>
      <c r="CA1889" s="0" t="s">
        <v>154</v>
      </c>
      <c r="DC1889" s="0" t="s">
        <v>154</v>
      </c>
    </row>
    <row r="1890" customFormat="false" ht="13.8" hidden="true" customHeight="false" outlineLevel="0" collapsed="false">
      <c r="A1890" s="0" t="s">
        <v>8453</v>
      </c>
      <c r="B1890" s="0" t="n">
        <v>78</v>
      </c>
      <c r="C1890" s="0" t="n">
        <v>438345</v>
      </c>
      <c r="D1890" s="0" t="s">
        <v>8454</v>
      </c>
      <c r="E1890" s="0" t="s">
        <v>502</v>
      </c>
      <c r="F1890" s="0" t="str">
        <f aca="false">CONCATENATE(D1890," ",LEFT(H1890,4),"T=",AU1890,"D=",AV1890,"R=",AW1890,"M=",AX1890,"L=",AY1890,"B=",AZ1890)</f>
        <v>SHONCE T=15D=0R=0M=0L=0B=0</v>
      </c>
      <c r="G1890" s="0" t="s">
        <v>166</v>
      </c>
      <c r="I1890" s="0" t="s">
        <v>8455</v>
      </c>
      <c r="J1890" s="0" t="s">
        <v>8456</v>
      </c>
      <c r="K1890" s="0" t="s">
        <v>144</v>
      </c>
      <c r="L1890" s="0"/>
      <c r="M1890" s="0" t="s">
        <v>8457</v>
      </c>
      <c r="N1890" s="0" t="str">
        <f aca="false">RIGHT(M1890,LEN(M1890)-FIND(" ",M1890))</f>
        <v>N PARK AVE</v>
      </c>
      <c r="P1890" s="0" t="s">
        <v>146</v>
      </c>
      <c r="Q1890" s="0" t="s">
        <v>147</v>
      </c>
      <c r="R1890" s="0" t="n">
        <v>44483</v>
      </c>
      <c r="AD1890" s="0" t="s">
        <v>148</v>
      </c>
      <c r="AE1890" s="0" t="s">
        <v>149</v>
      </c>
      <c r="AF1890" s="0" t="s">
        <v>150</v>
      </c>
      <c r="AH1890" s="0" t="n">
        <v>14</v>
      </c>
      <c r="AI1890" s="0" t="n">
        <v>11</v>
      </c>
      <c r="AN1890" s="0" t="s">
        <v>146</v>
      </c>
      <c r="AO1890" s="0" t="s">
        <v>250</v>
      </c>
      <c r="AP1890" s="0" t="s">
        <v>251</v>
      </c>
      <c r="AQ1890" s="0" t="n">
        <v>9</v>
      </c>
      <c r="AR1890" s="0" t="n">
        <v>64</v>
      </c>
      <c r="AS1890" s="0" t="n">
        <v>32</v>
      </c>
      <c r="AU1890" s="0" t="n">
        <f aca="false">COUNTA($BA$2562:$EH$2562)</f>
        <v>15</v>
      </c>
      <c r="AV1890" s="0" t="n">
        <f aca="false">COUNTIF($BA$2562:$EH$2562,"D")</f>
        <v>0</v>
      </c>
      <c r="AW1890" s="0" t="n">
        <f aca="false">COUNTIF($BA$2562:$EH$2562,"R")</f>
        <v>0</v>
      </c>
      <c r="AX1890" s="0" t="n">
        <f aca="false"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>0</v>
      </c>
      <c r="AY1890" s="0" t="n">
        <f aca="false">COUNTIF(DU1890:EH1890, "&lt;&gt;")</f>
        <v>0</v>
      </c>
      <c r="AZ1890" s="0" t="n">
        <f aca="false">IF(EH1890&lt;&gt;"",1,0)</f>
        <v>0</v>
      </c>
      <c r="BB1890" s="0" t="s">
        <v>153</v>
      </c>
    </row>
    <row r="1891" customFormat="false" ht="13.8" hidden="true" customHeight="false" outlineLevel="0" collapsed="false">
      <c r="A1891" s="0" t="s">
        <v>8458</v>
      </c>
      <c r="B1891" s="0" t="n">
        <v>78</v>
      </c>
      <c r="C1891" s="0" t="n">
        <v>464511</v>
      </c>
      <c r="D1891" s="0" t="s">
        <v>974</v>
      </c>
      <c r="E1891" s="0" t="s">
        <v>7932</v>
      </c>
      <c r="F1891" s="0" t="str">
        <f aca="false">CONCATENATE(D1891," ",LEFT(H1891,4),"T=",AU1891,"D=",AV1891,"R=",AW1891,"M=",AX1891,"L=",AY1891,"B=",AZ1891)</f>
        <v>BLAIR T=24D=4R=0M=0L=0B=0</v>
      </c>
      <c r="G1891" s="0" t="s">
        <v>172</v>
      </c>
      <c r="I1891" s="0" t="s">
        <v>8459</v>
      </c>
      <c r="J1891" s="0" t="s">
        <v>7272</v>
      </c>
      <c r="K1891" s="0" t="s">
        <v>175</v>
      </c>
      <c r="L1891" s="0"/>
      <c r="M1891" s="0" t="s">
        <v>8460</v>
      </c>
      <c r="N1891" s="0" t="str">
        <f aca="false">RIGHT(M1891,LEN(M1891)-FIND(" ",M1891))</f>
        <v>N PARK AVE</v>
      </c>
      <c r="P1891" s="0" t="s">
        <v>146</v>
      </c>
      <c r="Q1891" s="0" t="s">
        <v>147</v>
      </c>
      <c r="R1891" s="0" t="n">
        <v>44483</v>
      </c>
      <c r="AD1891" s="0" t="s">
        <v>148</v>
      </c>
      <c r="AE1891" s="0" t="s">
        <v>149</v>
      </c>
      <c r="AF1891" s="0" t="s">
        <v>150</v>
      </c>
      <c r="AH1891" s="0" t="n">
        <v>14</v>
      </c>
      <c r="AI1891" s="0" t="n">
        <v>11</v>
      </c>
      <c r="AN1891" s="0" t="s">
        <v>146</v>
      </c>
      <c r="AO1891" s="0" t="s">
        <v>250</v>
      </c>
      <c r="AP1891" s="0" t="s">
        <v>251</v>
      </c>
      <c r="AQ1891" s="0" t="n">
        <v>9</v>
      </c>
      <c r="AR1891" s="0" t="n">
        <v>64</v>
      </c>
      <c r="AS1891" s="0" t="n">
        <v>32</v>
      </c>
      <c r="AU1891" s="0" t="n">
        <f aca="false">COUNTA($BA$2727:$EH$2727)</f>
        <v>24</v>
      </c>
      <c r="AV1891" s="0" t="n">
        <f aca="false">COUNTIF($BA$2727:$EH$2727,"D")</f>
        <v>4</v>
      </c>
      <c r="AW1891" s="0" t="n">
        <f aca="false">COUNTIF($BA$2727:$EH$2727,"R")</f>
        <v>0</v>
      </c>
      <c r="AX1891" s="0" t="n">
        <f aca="false"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>0</v>
      </c>
      <c r="AY1891" s="0" t="n">
        <f aca="false">COUNTIF(DU1891:EH1891, "&lt;&gt;")</f>
        <v>0</v>
      </c>
      <c r="AZ1891" s="0" t="n">
        <f aca="false">IF(EH1891&lt;&gt;"",1,0)</f>
        <v>0</v>
      </c>
      <c r="BB1891" s="0" t="s">
        <v>153</v>
      </c>
    </row>
    <row r="1892" customFormat="false" ht="13.8" hidden="false" customHeight="false" outlineLevel="0" collapsed="false">
      <c r="A1892" s="0" t="s">
        <v>8461</v>
      </c>
      <c r="B1892" s="0" t="n">
        <v>78</v>
      </c>
      <c r="C1892" s="0" t="n">
        <v>6226</v>
      </c>
      <c r="D1892" s="0" t="s">
        <v>8462</v>
      </c>
      <c r="E1892" s="0" t="s">
        <v>694</v>
      </c>
      <c r="F1892" s="0" t="str">
        <f aca="false">CONCATENATE(D1892," ",LEFT(H1892,4),"T=",AU1892,"D=",AV1892,"R=",AW1892,"M=",AX1892,"L=",AY1892,"B=",AZ1892)</f>
        <v>KREMPASKY T=17D=6R=0M=8L=7B=1</v>
      </c>
      <c r="G1892" s="0" t="s">
        <v>202</v>
      </c>
      <c r="I1892" s="0" t="s">
        <v>8463</v>
      </c>
      <c r="J1892" s="0" t="s">
        <v>3811</v>
      </c>
      <c r="K1892" s="0" t="s">
        <v>175</v>
      </c>
      <c r="L1892" s="1" t="s">
        <v>176</v>
      </c>
      <c r="M1892" s="0" t="s">
        <v>8464</v>
      </c>
      <c r="N1892" s="0" t="str">
        <f aca="false">RIGHT(M1892,LEN(M1892)-FIND(" ",M1892))</f>
        <v>N PARK AVE</v>
      </c>
      <c r="P1892" s="0" t="s">
        <v>146</v>
      </c>
      <c r="Q1892" s="0" t="s">
        <v>147</v>
      </c>
      <c r="R1892" s="0" t="n">
        <v>44483</v>
      </c>
      <c r="AD1892" s="0" t="s">
        <v>148</v>
      </c>
      <c r="AE1892" s="0" t="s">
        <v>149</v>
      </c>
      <c r="AF1892" s="0" t="s">
        <v>150</v>
      </c>
      <c r="AH1892" s="0" t="n">
        <v>14</v>
      </c>
      <c r="AI1892" s="0" t="n">
        <v>11</v>
      </c>
      <c r="AN1892" s="0" t="s">
        <v>146</v>
      </c>
      <c r="AO1892" s="0" t="s">
        <v>250</v>
      </c>
      <c r="AP1892" s="0" t="s">
        <v>251</v>
      </c>
      <c r="AQ1892" s="0" t="n">
        <v>9</v>
      </c>
      <c r="AR1892" s="0" t="n">
        <v>64</v>
      </c>
      <c r="AS1892" s="0" t="n">
        <v>32</v>
      </c>
      <c r="AU1892" s="0" t="n">
        <f aca="false">COUNTA($BA$2595:$EH$2595)</f>
        <v>17</v>
      </c>
      <c r="AV1892" s="0" t="n">
        <f aca="false">COUNTIF($BA$2595:$EH$2595,"D")</f>
        <v>6</v>
      </c>
      <c r="AW1892" s="0" t="n">
        <f aca="false">COUNTIF($BA$2595:$EH$2595,"R")</f>
        <v>0</v>
      </c>
      <c r="AX1892" s="0" t="n">
        <f aca="false"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>8</v>
      </c>
      <c r="AY1892" s="0" t="n">
        <f aca="false">COUNTIF(DU1892:EH1892, "&lt;&gt;")</f>
        <v>7</v>
      </c>
      <c r="AZ1892" s="0" t="n">
        <f aca="false">IF(EH1892&lt;&gt;"",1,0)</f>
        <v>1</v>
      </c>
      <c r="BB1892" s="0" t="s">
        <v>153</v>
      </c>
      <c r="BC1892" s="0" t="s">
        <v>154</v>
      </c>
      <c r="BD1892" s="0" t="s">
        <v>154</v>
      </c>
      <c r="BE1892" s="0" t="s">
        <v>154</v>
      </c>
      <c r="BF1892" s="0" t="s">
        <v>154</v>
      </c>
      <c r="BG1892" s="0" t="s">
        <v>154</v>
      </c>
      <c r="BH1892" s="0" t="s">
        <v>154</v>
      </c>
      <c r="BI1892" s="0" t="s">
        <v>154</v>
      </c>
      <c r="BJ1892" s="0" t="s">
        <v>154</v>
      </c>
      <c r="BK1892" s="0" t="s">
        <v>154</v>
      </c>
      <c r="BL1892" s="0" t="s">
        <v>154</v>
      </c>
      <c r="BP1892" s="0" t="s">
        <v>154</v>
      </c>
      <c r="BR1892" s="0" t="s">
        <v>154</v>
      </c>
      <c r="BS1892" s="0" t="s">
        <v>154</v>
      </c>
      <c r="BV1892" s="0" t="s">
        <v>154</v>
      </c>
      <c r="BY1892" s="0" t="s">
        <v>155</v>
      </c>
      <c r="CA1892" s="0" t="s">
        <v>154</v>
      </c>
      <c r="CC1892" s="0" t="s">
        <v>155</v>
      </c>
      <c r="CG1892" s="0" t="s">
        <v>154</v>
      </c>
      <c r="CH1892" s="0" t="s">
        <v>155</v>
      </c>
      <c r="CK1892" s="0" t="s">
        <v>154</v>
      </c>
      <c r="CL1892" s="0" t="s">
        <v>155</v>
      </c>
      <c r="CN1892" s="0" t="s">
        <v>154</v>
      </c>
      <c r="CP1892" s="0" t="s">
        <v>154</v>
      </c>
      <c r="CQ1892" s="0" t="s">
        <v>155</v>
      </c>
      <c r="CT1892" s="0" t="s">
        <v>154</v>
      </c>
      <c r="CU1892" s="0" t="s">
        <v>155</v>
      </c>
      <c r="CV1892" s="0" t="s">
        <v>154</v>
      </c>
      <c r="CW1892" s="0" t="s">
        <v>155</v>
      </c>
      <c r="CY1892" s="0" t="s">
        <v>154</v>
      </c>
      <c r="CZ1892" s="0" t="s">
        <v>155</v>
      </c>
      <c r="DC1892" s="0" t="s">
        <v>154</v>
      </c>
      <c r="DD1892" s="0" t="s">
        <v>155</v>
      </c>
      <c r="DF1892" s="0" t="s">
        <v>154</v>
      </c>
      <c r="DG1892" s="0" t="s">
        <v>155</v>
      </c>
      <c r="DI1892" s="0" t="s">
        <v>154</v>
      </c>
      <c r="DJ1892" s="0" t="s">
        <v>155</v>
      </c>
      <c r="DL1892" s="0" t="s">
        <v>154</v>
      </c>
      <c r="DM1892" s="0" t="s">
        <v>155</v>
      </c>
      <c r="DN1892" s="0" t="s">
        <v>154</v>
      </c>
      <c r="DO1892" s="0" t="s">
        <v>155</v>
      </c>
      <c r="DR1892" s="0" t="s">
        <v>154</v>
      </c>
      <c r="DS1892" s="0" t="s">
        <v>176</v>
      </c>
      <c r="DU1892" s="0" t="s">
        <v>154</v>
      </c>
      <c r="DW1892" s="0" t="s">
        <v>155</v>
      </c>
      <c r="DX1892" s="0" t="s">
        <v>154</v>
      </c>
      <c r="EA1892" s="0" t="s">
        <v>154</v>
      </c>
      <c r="ED1892" s="0" t="s">
        <v>176</v>
      </c>
      <c r="EF1892" s="0" t="s">
        <v>154</v>
      </c>
      <c r="EH1892" s="0" t="s">
        <v>154</v>
      </c>
    </row>
    <row r="1893" customFormat="false" ht="13.8" hidden="true" customHeight="false" outlineLevel="0" collapsed="false">
      <c r="A1893" s="0" t="s">
        <v>8465</v>
      </c>
      <c r="B1893" s="0" t="n">
        <v>78</v>
      </c>
      <c r="C1893" s="0" t="n">
        <v>445340</v>
      </c>
      <c r="D1893" s="0" t="s">
        <v>949</v>
      </c>
      <c r="E1893" s="0" t="s">
        <v>8466</v>
      </c>
      <c r="F1893" s="0" t="str">
        <f aca="false">CONCATENATE(D1893," ",LEFT(H1893,4),"T=",AU1893,"D=",AV1893,"R=",AW1893,"M=",AX1893,"L=",AY1893,"B=",AZ1893)</f>
        <v>RODGERS T=6D=0R=0M=0L=0B=0</v>
      </c>
      <c r="G1893" s="0" t="s">
        <v>176</v>
      </c>
      <c r="I1893" s="0" t="s">
        <v>8467</v>
      </c>
      <c r="J1893" s="0" t="s">
        <v>8468</v>
      </c>
      <c r="K1893" s="0" t="s">
        <v>144</v>
      </c>
      <c r="L1893" s="0"/>
      <c r="M1893" s="0" t="s">
        <v>8469</v>
      </c>
      <c r="N1893" s="0" t="str">
        <f aca="false">RIGHT(M1893,LEN(M1893)-FIND(" ",M1893))</f>
        <v>N PARK AVE</v>
      </c>
      <c r="P1893" s="0" t="s">
        <v>146</v>
      </c>
      <c r="Q1893" s="0" t="s">
        <v>147</v>
      </c>
      <c r="R1893" s="0" t="n">
        <v>44483</v>
      </c>
      <c r="AD1893" s="0" t="s">
        <v>148</v>
      </c>
      <c r="AE1893" s="0" t="s">
        <v>149</v>
      </c>
      <c r="AF1893" s="0" t="s">
        <v>150</v>
      </c>
      <c r="AH1893" s="0" t="n">
        <v>14</v>
      </c>
      <c r="AI1893" s="0" t="n">
        <v>11</v>
      </c>
      <c r="AN1893" s="0" t="s">
        <v>146</v>
      </c>
      <c r="AO1893" s="0" t="s">
        <v>250</v>
      </c>
      <c r="AP1893" s="0" t="s">
        <v>251</v>
      </c>
      <c r="AQ1893" s="0" t="n">
        <v>9</v>
      </c>
      <c r="AR1893" s="0" t="n">
        <v>64</v>
      </c>
      <c r="AS1893" s="0" t="n">
        <v>32</v>
      </c>
      <c r="AU1893" s="0" t="n">
        <f aca="false">COUNTA($BA$2104:$EH$2104)</f>
        <v>6</v>
      </c>
      <c r="AV1893" s="0" t="n">
        <f aca="false">COUNTIF($BA$2104:$EH$2104,"D")</f>
        <v>0</v>
      </c>
      <c r="AW1893" s="0" t="n">
        <f aca="false">COUNTIF($BA$2104:$EH$2104,"R")</f>
        <v>0</v>
      </c>
      <c r="AX1893" s="0" t="n">
        <f aca="false"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>0</v>
      </c>
      <c r="AY1893" s="0" t="n">
        <f aca="false">COUNTIF(DU1893:EH1893, "&lt;&gt;")</f>
        <v>0</v>
      </c>
      <c r="AZ1893" s="0" t="n">
        <f aca="false">IF(EH1893&lt;&gt;"",1,0)</f>
        <v>0</v>
      </c>
      <c r="BB1893" s="0" t="s">
        <v>153</v>
      </c>
      <c r="DN1893" s="0" t="s">
        <v>154</v>
      </c>
    </row>
    <row r="1894" customFormat="false" ht="13.8" hidden="true" customHeight="false" outlineLevel="0" collapsed="false">
      <c r="A1894" s="0" t="s">
        <v>8470</v>
      </c>
      <c r="B1894" s="0" t="n">
        <v>78</v>
      </c>
      <c r="C1894" s="0" t="n">
        <v>476005</v>
      </c>
      <c r="D1894" s="0" t="s">
        <v>949</v>
      </c>
      <c r="E1894" s="0" t="s">
        <v>8471</v>
      </c>
      <c r="F1894" s="0" t="str">
        <f aca="false">CONCATENATE(D1894," ",LEFT(H1894,4),"T=",AU1894,"D=",AV1894,"R=",AW1894,"M=",AX1894,"L=",AY1894,"B=",AZ1894)</f>
        <v>RODGERS T=7D=1R=0M=0L=1B=0</v>
      </c>
      <c r="G1894" s="0" t="s">
        <v>8472</v>
      </c>
      <c r="I1894" s="0" t="s">
        <v>2499</v>
      </c>
      <c r="J1894" s="0" t="s">
        <v>8268</v>
      </c>
      <c r="K1894" s="0" t="s">
        <v>175</v>
      </c>
      <c r="L1894" s="0"/>
      <c r="M1894" s="0" t="s">
        <v>8469</v>
      </c>
      <c r="N1894" s="0" t="str">
        <f aca="false">RIGHT(M1894,LEN(M1894)-FIND(" ",M1894))</f>
        <v>N PARK AVE</v>
      </c>
      <c r="P1894" s="0" t="s">
        <v>146</v>
      </c>
      <c r="Q1894" s="0" t="s">
        <v>147</v>
      </c>
      <c r="R1894" s="0" t="n">
        <v>44483</v>
      </c>
      <c r="AD1894" s="0" t="s">
        <v>148</v>
      </c>
      <c r="AE1894" s="0" t="s">
        <v>149</v>
      </c>
      <c r="AF1894" s="0" t="s">
        <v>150</v>
      </c>
      <c r="AH1894" s="0" t="n">
        <v>14</v>
      </c>
      <c r="AI1894" s="0" t="n">
        <v>11</v>
      </c>
      <c r="AN1894" s="0" t="s">
        <v>146</v>
      </c>
      <c r="AO1894" s="0" t="s">
        <v>250</v>
      </c>
      <c r="AP1894" s="0" t="s">
        <v>251</v>
      </c>
      <c r="AQ1894" s="0" t="n">
        <v>9</v>
      </c>
      <c r="AR1894" s="0" t="n">
        <v>64</v>
      </c>
      <c r="AS1894" s="0" t="n">
        <v>32</v>
      </c>
      <c r="AU1894" s="0" t="n">
        <f aca="false">COUNTA($BA$2200:$EH$2200)</f>
        <v>7</v>
      </c>
      <c r="AV1894" s="0" t="n">
        <f aca="false">COUNTIF($BA$2200:$EH$2200,"D")</f>
        <v>1</v>
      </c>
      <c r="AW1894" s="0" t="n">
        <f aca="false">COUNTIF($BA$2200:$EH$2200,"R")</f>
        <v>0</v>
      </c>
      <c r="AX1894" s="0" t="n">
        <f aca="false"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>0</v>
      </c>
      <c r="AY1894" s="0" t="n">
        <f aca="false">COUNTIF(DU1894:EH1894, "&lt;&gt;")</f>
        <v>1</v>
      </c>
      <c r="AZ1894" s="0" t="n">
        <f aca="false">IF(EH1894&lt;&gt;"",1,0)</f>
        <v>0</v>
      </c>
      <c r="BB1894" s="0" t="s">
        <v>153</v>
      </c>
      <c r="EF1894" s="0" t="s">
        <v>154</v>
      </c>
    </row>
    <row r="1895" customFormat="false" ht="13.8" hidden="false" customHeight="false" outlineLevel="0" collapsed="false">
      <c r="A1895" s="0" t="s">
        <v>8473</v>
      </c>
      <c r="B1895" s="0" t="n">
        <v>78</v>
      </c>
      <c r="C1895" s="0" t="n">
        <v>279812</v>
      </c>
      <c r="D1895" s="0" t="s">
        <v>4999</v>
      </c>
      <c r="E1895" s="0" t="s">
        <v>8474</v>
      </c>
      <c r="F1895" s="0" t="str">
        <f aca="false">CONCATENATE(D1895," ",LEFT(H1895,4),"T=",AU1895,"D=",AV1895,"R=",AW1895,"M=",AX1895,"L=",AY1895,"B=",AZ1895)</f>
        <v>STREETER T=7D=0R=1M=0L=2B=0</v>
      </c>
      <c r="G1895" s="0" t="s">
        <v>1482</v>
      </c>
      <c r="I1895" s="0" t="s">
        <v>4779</v>
      </c>
      <c r="J1895" s="0" t="s">
        <v>8475</v>
      </c>
      <c r="K1895" s="0" t="s">
        <v>175</v>
      </c>
      <c r="M1895" s="0" t="s">
        <v>8469</v>
      </c>
      <c r="N1895" s="0" t="str">
        <f aca="false">RIGHT(M1895,LEN(M1895)-FIND(" ",M1895))</f>
        <v>N PARK AVE</v>
      </c>
      <c r="P1895" s="0" t="s">
        <v>146</v>
      </c>
      <c r="Q1895" s="0" t="s">
        <v>147</v>
      </c>
      <c r="R1895" s="0" t="n">
        <v>44483</v>
      </c>
      <c r="AD1895" s="0" t="s">
        <v>148</v>
      </c>
      <c r="AE1895" s="0" t="s">
        <v>149</v>
      </c>
      <c r="AF1895" s="0" t="s">
        <v>150</v>
      </c>
      <c r="AH1895" s="0" t="n">
        <v>14</v>
      </c>
      <c r="AI1895" s="0" t="n">
        <v>11</v>
      </c>
      <c r="AN1895" s="0" t="s">
        <v>146</v>
      </c>
      <c r="AO1895" s="0" t="s">
        <v>250</v>
      </c>
      <c r="AP1895" s="0" t="s">
        <v>251</v>
      </c>
      <c r="AQ1895" s="0" t="n">
        <v>9</v>
      </c>
      <c r="AR1895" s="0" t="n">
        <v>64</v>
      </c>
      <c r="AS1895" s="0" t="n">
        <v>32</v>
      </c>
      <c r="AU1895" s="0" t="n">
        <f aca="false">COUNTA($BA$2467:$EH$2467)</f>
        <v>7</v>
      </c>
      <c r="AV1895" s="0" t="n">
        <f aca="false">COUNTIF($BA$2467:$EH$2467,"D")</f>
        <v>0</v>
      </c>
      <c r="AW1895" s="0" t="n">
        <f aca="false">COUNTIF($BA$2467:$EH$2467,"R")</f>
        <v>1</v>
      </c>
      <c r="AX1895" s="0" t="n">
        <f aca="false"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>0</v>
      </c>
      <c r="AY1895" s="0" t="n">
        <f aca="false">COUNTIF(DU1895:EH1895, "&lt;&gt;")</f>
        <v>2</v>
      </c>
      <c r="AZ1895" s="0" t="n">
        <f aca="false">IF(EH1895&lt;&gt;"",1,0)</f>
        <v>0</v>
      </c>
      <c r="BB1895" s="0" t="s">
        <v>153</v>
      </c>
      <c r="BY1895" s="0" t="s">
        <v>155</v>
      </c>
      <c r="CA1895" s="0" t="s">
        <v>154</v>
      </c>
      <c r="DC1895" s="0" t="s">
        <v>154</v>
      </c>
      <c r="DI1895" s="0" t="s">
        <v>154</v>
      </c>
      <c r="EA1895" s="0" t="s">
        <v>154</v>
      </c>
      <c r="EF1895" s="0" t="s">
        <v>154</v>
      </c>
    </row>
    <row r="1896" customFormat="false" ht="13.8" hidden="true" customHeight="false" outlineLevel="0" collapsed="false">
      <c r="A1896" s="0" t="s">
        <v>8476</v>
      </c>
      <c r="B1896" s="0" t="n">
        <v>78</v>
      </c>
      <c r="C1896" s="0" t="n">
        <v>390477</v>
      </c>
      <c r="D1896" s="0" t="s">
        <v>8477</v>
      </c>
      <c r="E1896" s="0" t="s">
        <v>2163</v>
      </c>
      <c r="F1896" s="0" t="str">
        <f aca="false">CONCATENATE(D1896," ",LEFT(H1896,4),"T=",AU1896,"D=",AV1896,"R=",AW1896,"M=",AX1896,"L=",AY1896,"B=",AZ1896)</f>
        <v>BRYNER T=31D=6R=0M=0L=0B=0</v>
      </c>
      <c r="G1896" s="0" t="s">
        <v>8478</v>
      </c>
      <c r="I1896" s="0" t="s">
        <v>8479</v>
      </c>
      <c r="J1896" s="0" t="s">
        <v>8480</v>
      </c>
      <c r="K1896" s="0" t="s">
        <v>175</v>
      </c>
      <c r="L1896" s="0"/>
      <c r="M1896" s="0" t="s">
        <v>8481</v>
      </c>
      <c r="N1896" s="0" t="str">
        <f aca="false">RIGHT(M1896,LEN(M1896)-FIND(" ",M1896))</f>
        <v>N PARK AVE</v>
      </c>
      <c r="P1896" s="0" t="s">
        <v>146</v>
      </c>
      <c r="Q1896" s="0" t="s">
        <v>147</v>
      </c>
      <c r="R1896" s="0" t="n">
        <v>44483</v>
      </c>
      <c r="AD1896" s="0" t="s">
        <v>148</v>
      </c>
      <c r="AE1896" s="0" t="s">
        <v>149</v>
      </c>
      <c r="AF1896" s="0" t="s">
        <v>150</v>
      </c>
      <c r="AH1896" s="0" t="n">
        <v>14</v>
      </c>
      <c r="AI1896" s="0" t="n">
        <v>11</v>
      </c>
      <c r="AN1896" s="0" t="s">
        <v>146</v>
      </c>
      <c r="AO1896" s="0" t="s">
        <v>250</v>
      </c>
      <c r="AP1896" s="0" t="s">
        <v>251</v>
      </c>
      <c r="AQ1896" s="0" t="n">
        <v>9</v>
      </c>
      <c r="AR1896" s="0" t="n">
        <v>64</v>
      </c>
      <c r="AS1896" s="0" t="n">
        <v>32</v>
      </c>
      <c r="AU1896" s="0" t="n">
        <f aca="false">COUNTA($BA$2353:$EH$2353)</f>
        <v>31</v>
      </c>
      <c r="AV1896" s="0" t="n">
        <f aca="false">COUNTIF($BA$2353:$EH$2353,"D")</f>
        <v>6</v>
      </c>
      <c r="AW1896" s="0" t="n">
        <f aca="false">COUNTIF($BA$2353:$EH$2353,"R")</f>
        <v>0</v>
      </c>
      <c r="AX1896" s="0" t="n">
        <f aca="false"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>0</v>
      </c>
      <c r="AY1896" s="0" t="n">
        <f aca="false">COUNTIF(DU1896:EH1896, "&lt;&gt;")</f>
        <v>0</v>
      </c>
      <c r="AZ1896" s="0" t="n">
        <f aca="false">IF(EH1896&lt;&gt;"",1,0)</f>
        <v>0</v>
      </c>
      <c r="BB1896" s="0" t="s">
        <v>153</v>
      </c>
      <c r="CP1896" s="0" t="s">
        <v>154</v>
      </c>
    </row>
    <row r="1897" customFormat="false" ht="13.8" hidden="false" customHeight="false" outlineLevel="0" collapsed="false">
      <c r="A1897" s="0" t="s">
        <v>8482</v>
      </c>
      <c r="B1897" s="0" t="n">
        <v>78</v>
      </c>
      <c r="C1897" s="0" t="n">
        <v>137414</v>
      </c>
      <c r="D1897" s="0" t="s">
        <v>8483</v>
      </c>
      <c r="E1897" s="0" t="s">
        <v>652</v>
      </c>
      <c r="F1897" s="0" t="str">
        <f aca="false">CONCATENATE(D1897," ",LEFT(H1897,4),"T=",AU1897,"D=",AV1897,"R=",AW1897,"M=",AX1897,"L=",AY1897,"B=",AZ1897)</f>
        <v>BLOOMER T=19D=2R=1M=0L=6B=0</v>
      </c>
      <c r="G1897" s="0" t="s">
        <v>317</v>
      </c>
      <c r="I1897" s="0" t="s">
        <v>8484</v>
      </c>
      <c r="J1897" s="0" t="s">
        <v>8485</v>
      </c>
      <c r="K1897" s="0" t="s">
        <v>175</v>
      </c>
      <c r="L1897" s="1" t="s">
        <v>176</v>
      </c>
      <c r="M1897" s="0" t="s">
        <v>8486</v>
      </c>
      <c r="N1897" s="0" t="str">
        <f aca="false">RIGHT(M1897,LEN(M1897)-FIND(" ",M1897))</f>
        <v>N PARK AVE</v>
      </c>
      <c r="P1897" s="0" t="s">
        <v>146</v>
      </c>
      <c r="Q1897" s="0" t="s">
        <v>147</v>
      </c>
      <c r="R1897" s="0" t="n">
        <v>44483</v>
      </c>
      <c r="AD1897" s="0" t="s">
        <v>148</v>
      </c>
      <c r="AE1897" s="0" t="s">
        <v>149</v>
      </c>
      <c r="AF1897" s="0" t="s">
        <v>150</v>
      </c>
      <c r="AH1897" s="0" t="n">
        <v>14</v>
      </c>
      <c r="AI1897" s="0" t="n">
        <v>11</v>
      </c>
      <c r="AN1897" s="0" t="s">
        <v>146</v>
      </c>
      <c r="AO1897" s="0" t="s">
        <v>250</v>
      </c>
      <c r="AP1897" s="0" t="s">
        <v>251</v>
      </c>
      <c r="AQ1897" s="0" t="n">
        <v>9</v>
      </c>
      <c r="AR1897" s="0" t="n">
        <v>64</v>
      </c>
      <c r="AS1897" s="0" t="n">
        <v>32</v>
      </c>
      <c r="AU1897" s="0" t="n">
        <f aca="false">COUNTA($BA$2636:$EH$2636)</f>
        <v>19</v>
      </c>
      <c r="AV1897" s="0" t="n">
        <f aca="false">COUNTIF($BA$2636:$EH$2636,"D")</f>
        <v>2</v>
      </c>
      <c r="AW1897" s="0" t="n">
        <f aca="false">COUNTIF($BA$2636:$EH$2636,"R")</f>
        <v>1</v>
      </c>
      <c r="AX1897" s="0" t="n">
        <f aca="false"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>0</v>
      </c>
      <c r="AY1897" s="0" t="n">
        <f aca="false">COUNTIF(DU1897:EH1897, "&lt;&gt;")</f>
        <v>6</v>
      </c>
      <c r="AZ1897" s="0" t="n">
        <f aca="false">IF(EH1897&lt;&gt;"",1,0)</f>
        <v>0</v>
      </c>
      <c r="BB1897" s="0" t="s">
        <v>153</v>
      </c>
      <c r="BC1897" s="0" t="s">
        <v>154</v>
      </c>
      <c r="BD1897" s="0" t="s">
        <v>154</v>
      </c>
      <c r="BG1897" s="0" t="s">
        <v>154</v>
      </c>
      <c r="BH1897" s="0" t="s">
        <v>154</v>
      </c>
      <c r="CZ1897" s="0" t="s">
        <v>176</v>
      </c>
      <c r="DC1897" s="0" t="s">
        <v>154</v>
      </c>
      <c r="DS1897" s="0" t="s">
        <v>176</v>
      </c>
      <c r="DT1897" s="0" t="s">
        <v>176</v>
      </c>
      <c r="DU1897" s="0" t="s">
        <v>154</v>
      </c>
      <c r="DW1897" s="0" t="s">
        <v>154</v>
      </c>
      <c r="DX1897" s="0" t="s">
        <v>154</v>
      </c>
      <c r="EA1897" s="0" t="s">
        <v>154</v>
      </c>
      <c r="ED1897" s="0" t="s">
        <v>176</v>
      </c>
      <c r="EF1897" s="0" t="s">
        <v>154</v>
      </c>
    </row>
    <row r="1898" customFormat="false" ht="13.8" hidden="false" customHeight="false" outlineLevel="0" collapsed="false">
      <c r="A1898" s="0" t="s">
        <v>8487</v>
      </c>
      <c r="B1898" s="0" t="n">
        <v>78</v>
      </c>
      <c r="C1898" s="0" t="n">
        <v>475571</v>
      </c>
      <c r="D1898" s="0" t="s">
        <v>4782</v>
      </c>
      <c r="E1898" s="0" t="s">
        <v>8488</v>
      </c>
      <c r="F1898" s="0" t="str">
        <f aca="false">CONCATENATE(D1898," ",LEFT(H1898,4),"T=",AU1898,"D=",AV1898,"R=",AW1898,"M=",AX1898,"L=",AY1898,"B=",AZ1898)</f>
        <v>SANFORD T=11D=0R=2M=0L=3B=0</v>
      </c>
      <c r="G1898" s="0" t="s">
        <v>1373</v>
      </c>
      <c r="I1898" s="0" t="s">
        <v>8489</v>
      </c>
      <c r="J1898" s="0" t="s">
        <v>2601</v>
      </c>
      <c r="K1898" s="0" t="s">
        <v>175</v>
      </c>
      <c r="L1898" s="1" t="s">
        <v>176</v>
      </c>
      <c r="M1898" s="0" t="s">
        <v>8490</v>
      </c>
      <c r="N1898" s="0" t="str">
        <f aca="false">RIGHT(M1898,LEN(M1898)-FIND(" ",M1898))</f>
        <v>N PARK AVE</v>
      </c>
      <c r="O1898" s="0" t="s">
        <v>414</v>
      </c>
      <c r="P1898" s="0" t="s">
        <v>146</v>
      </c>
      <c r="Q1898" s="0" t="s">
        <v>147</v>
      </c>
      <c r="R1898" s="0" t="n">
        <v>44483</v>
      </c>
      <c r="AD1898" s="0" t="s">
        <v>148</v>
      </c>
      <c r="AE1898" s="0" t="s">
        <v>149</v>
      </c>
      <c r="AF1898" s="0" t="s">
        <v>150</v>
      </c>
      <c r="AH1898" s="0" t="n">
        <v>14</v>
      </c>
      <c r="AI1898" s="0" t="n">
        <v>11</v>
      </c>
      <c r="AN1898" s="0" t="s">
        <v>146</v>
      </c>
      <c r="AO1898" s="0" t="s">
        <v>250</v>
      </c>
      <c r="AP1898" s="0" t="s">
        <v>251</v>
      </c>
      <c r="AQ1898" s="0" t="n">
        <v>9</v>
      </c>
      <c r="AR1898" s="0" t="n">
        <v>64</v>
      </c>
      <c r="AS1898" s="0" t="n">
        <v>32</v>
      </c>
      <c r="AU1898" s="0" t="n">
        <f aca="false">COUNTA($BA$2544:$EH$2544)</f>
        <v>11</v>
      </c>
      <c r="AV1898" s="0" t="n">
        <f aca="false">COUNTIF($BA$2544:$EH$2544,"D")</f>
        <v>0</v>
      </c>
      <c r="AW1898" s="0" t="n">
        <f aca="false">COUNTIF($BA$2544:$EH$2544,"R")</f>
        <v>2</v>
      </c>
      <c r="AX1898" s="0" t="n">
        <f aca="false"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>0</v>
      </c>
      <c r="AY1898" s="0" t="n">
        <f aca="false">COUNTIF(DU1898:EH1898, "&lt;&gt;")</f>
        <v>3</v>
      </c>
      <c r="AZ1898" s="0" t="n">
        <f aca="false">IF(EH1898&lt;&gt;"",1,0)</f>
        <v>0</v>
      </c>
      <c r="BB1898" s="0" t="s">
        <v>153</v>
      </c>
      <c r="EA1898" s="0" t="s">
        <v>154</v>
      </c>
      <c r="ED1898" s="0" t="s">
        <v>176</v>
      </c>
      <c r="EF1898" s="0" t="s">
        <v>154</v>
      </c>
    </row>
    <row r="1899" customFormat="false" ht="13.8" hidden="false" customHeight="false" outlineLevel="0" collapsed="false">
      <c r="A1899" s="0" t="s">
        <v>8491</v>
      </c>
      <c r="B1899" s="0" t="n">
        <v>78</v>
      </c>
      <c r="C1899" s="0" t="n">
        <v>332151</v>
      </c>
      <c r="D1899" s="0" t="s">
        <v>8492</v>
      </c>
      <c r="E1899" s="0" t="s">
        <v>619</v>
      </c>
      <c r="F1899" s="0" t="str">
        <f aca="false">CONCATENATE(D1899," ",LEFT(H1899,4),"T=",AU1899,"D=",AV1899,"R=",AW1899,"M=",AX1899,"L=",AY1899,"B=",AZ1899)</f>
        <v>GILBERT T=26D=0R=5M=0L=3B=0</v>
      </c>
      <c r="G1899" s="0" t="s">
        <v>8493</v>
      </c>
      <c r="I1899" s="0" t="s">
        <v>8494</v>
      </c>
      <c r="J1899" s="0" t="s">
        <v>8495</v>
      </c>
      <c r="K1899" s="0" t="s">
        <v>175</v>
      </c>
      <c r="M1899" s="0" t="s">
        <v>8490</v>
      </c>
      <c r="N1899" s="0" t="str">
        <f aca="false">RIGHT(M1899,LEN(M1899)-FIND(" ",M1899))</f>
        <v>N PARK AVE</v>
      </c>
      <c r="P1899" s="0" t="s">
        <v>146</v>
      </c>
      <c r="Q1899" s="0" t="s">
        <v>147</v>
      </c>
      <c r="R1899" s="0" t="n">
        <v>44483</v>
      </c>
      <c r="AD1899" s="0" t="s">
        <v>148</v>
      </c>
      <c r="AE1899" s="0" t="s">
        <v>149</v>
      </c>
      <c r="AF1899" s="0" t="s">
        <v>150</v>
      </c>
      <c r="AH1899" s="0" t="n">
        <v>14</v>
      </c>
      <c r="AI1899" s="0" t="n">
        <v>11</v>
      </c>
      <c r="AN1899" s="0" t="s">
        <v>146</v>
      </c>
      <c r="AO1899" s="0" t="s">
        <v>250</v>
      </c>
      <c r="AP1899" s="0" t="s">
        <v>251</v>
      </c>
      <c r="AQ1899" s="0" t="n">
        <v>9</v>
      </c>
      <c r="AR1899" s="0" t="n">
        <v>64</v>
      </c>
      <c r="AS1899" s="0" t="n">
        <v>32</v>
      </c>
      <c r="AU1899" s="0" t="n">
        <f aca="false">COUNTA($BA$2664:$EH$2664)</f>
        <v>26</v>
      </c>
      <c r="AV1899" s="0" t="n">
        <f aca="false">COUNTIF($BA$2664:$EH$2664,"D")</f>
        <v>0</v>
      </c>
      <c r="AW1899" s="0" t="n">
        <f aca="false">COUNTIF($BA$2664:$EH$2664,"R")</f>
        <v>5</v>
      </c>
      <c r="AX1899" s="0" t="n">
        <f aca="false"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>0</v>
      </c>
      <c r="AY1899" s="0" t="n">
        <f aca="false">COUNTIF(DU1899:EH1899, "&lt;&gt;")</f>
        <v>3</v>
      </c>
      <c r="AZ1899" s="0" t="n">
        <f aca="false">IF(EH1899&lt;&gt;"",1,0)</f>
        <v>0</v>
      </c>
      <c r="BB1899" s="0" t="s">
        <v>153</v>
      </c>
      <c r="BL1899" s="0" t="s">
        <v>154</v>
      </c>
      <c r="CY1899" s="0" t="s">
        <v>154</v>
      </c>
      <c r="CZ1899" s="0" t="s">
        <v>176</v>
      </c>
      <c r="DC1899" s="0" t="s">
        <v>154</v>
      </c>
      <c r="DI1899" s="0" t="s">
        <v>154</v>
      </c>
      <c r="DN1899" s="0" t="s">
        <v>154</v>
      </c>
      <c r="DU1899" s="0" t="s">
        <v>154</v>
      </c>
      <c r="EA1899" s="0" t="s">
        <v>154</v>
      </c>
      <c r="EF1899" s="0" t="s">
        <v>154</v>
      </c>
    </row>
    <row r="1900" customFormat="false" ht="13.8" hidden="false" customHeight="false" outlineLevel="0" collapsed="false">
      <c r="A1900" s="0" t="s">
        <v>8496</v>
      </c>
      <c r="B1900" s="0" t="n">
        <v>78</v>
      </c>
      <c r="C1900" s="0" t="n">
        <v>298915</v>
      </c>
      <c r="D1900" s="0" t="s">
        <v>8497</v>
      </c>
      <c r="E1900" s="0" t="s">
        <v>7029</v>
      </c>
      <c r="F1900" s="0" t="str">
        <f aca="false">CONCATENATE(D1900," ",LEFT(H1900,4),"T=",AU1900,"D=",AV1900,"R=",AW1900,"M=",AX1900,"L=",AY1900,"B=",AZ1900)</f>
        <v>ANSMAN JRT=3D=0R=0M=6L=6B=1</v>
      </c>
      <c r="G1900" s="0" t="s">
        <v>172</v>
      </c>
      <c r="H1900" s="0" t="s">
        <v>431</v>
      </c>
      <c r="I1900" s="0" t="s">
        <v>8498</v>
      </c>
      <c r="J1900" s="0" t="s">
        <v>8499</v>
      </c>
      <c r="K1900" s="0" t="s">
        <v>175</v>
      </c>
      <c r="L1900" s="1" t="s">
        <v>155</v>
      </c>
      <c r="M1900" s="0" t="s">
        <v>8500</v>
      </c>
      <c r="N1900" s="0" t="str">
        <f aca="false">RIGHT(M1900,LEN(M1900)-FIND(" ",M1900))</f>
        <v>N PARK AVE</v>
      </c>
      <c r="P1900" s="0" t="s">
        <v>146</v>
      </c>
      <c r="Q1900" s="0" t="s">
        <v>147</v>
      </c>
      <c r="R1900" s="0" t="n">
        <v>44483</v>
      </c>
      <c r="AD1900" s="0" t="s">
        <v>148</v>
      </c>
      <c r="AE1900" s="0" t="s">
        <v>149</v>
      </c>
      <c r="AF1900" s="0" t="s">
        <v>150</v>
      </c>
      <c r="AH1900" s="0" t="n">
        <v>14</v>
      </c>
      <c r="AI1900" s="0" t="n">
        <v>11</v>
      </c>
      <c r="AN1900" s="0" t="s">
        <v>146</v>
      </c>
      <c r="AO1900" s="0" t="s">
        <v>250</v>
      </c>
      <c r="AP1900" s="0" t="s">
        <v>251</v>
      </c>
      <c r="AQ1900" s="0" t="n">
        <v>9</v>
      </c>
      <c r="AR1900" s="0" t="n">
        <v>64</v>
      </c>
      <c r="AS1900" s="0" t="n">
        <v>32</v>
      </c>
      <c r="AU1900" s="0" t="n">
        <f aca="false">COUNTA($BA$2635:$EH$2635)</f>
        <v>3</v>
      </c>
      <c r="AV1900" s="0" t="n">
        <f aca="false">COUNTIF($BA$2635:$EH$2635,"D")</f>
        <v>0</v>
      </c>
      <c r="AW1900" s="0" t="n">
        <f aca="false">COUNTIF($BA$2635:$EH$2635,"R")</f>
        <v>0</v>
      </c>
      <c r="AX1900" s="0" t="n">
        <f aca="false"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>6</v>
      </c>
      <c r="AY1900" s="0" t="n">
        <f aca="false">COUNTIF(DU1900:EH1900, "&lt;&gt;")</f>
        <v>6</v>
      </c>
      <c r="AZ1900" s="0" t="n">
        <f aca="false">IF(EH1900&lt;&gt;"",1,0)</f>
        <v>1</v>
      </c>
      <c r="BB1900" s="0" t="s">
        <v>153</v>
      </c>
      <c r="BD1900" s="0" t="s">
        <v>154</v>
      </c>
      <c r="BF1900" s="0" t="s">
        <v>154</v>
      </c>
      <c r="BG1900" s="0" t="s">
        <v>154</v>
      </c>
      <c r="BH1900" s="0" t="s">
        <v>154</v>
      </c>
      <c r="BI1900" s="0" t="s">
        <v>154</v>
      </c>
      <c r="BJ1900" s="0" t="s">
        <v>154</v>
      </c>
      <c r="BK1900" s="0" t="s">
        <v>154</v>
      </c>
      <c r="BL1900" s="0" t="s">
        <v>154</v>
      </c>
      <c r="BP1900" s="0" t="s">
        <v>154</v>
      </c>
      <c r="BR1900" s="0" t="s">
        <v>154</v>
      </c>
      <c r="BS1900" s="0" t="s">
        <v>154</v>
      </c>
      <c r="BV1900" s="0" t="s">
        <v>154</v>
      </c>
      <c r="BY1900" s="0" t="s">
        <v>155</v>
      </c>
      <c r="CA1900" s="0" t="s">
        <v>154</v>
      </c>
      <c r="CC1900" s="0" t="s">
        <v>155</v>
      </c>
      <c r="CG1900" s="0" t="s">
        <v>154</v>
      </c>
      <c r="CH1900" s="0" t="s">
        <v>155</v>
      </c>
      <c r="CK1900" s="0" t="s">
        <v>154</v>
      </c>
      <c r="CL1900" s="0" t="s">
        <v>155</v>
      </c>
      <c r="CN1900" s="0" t="s">
        <v>154</v>
      </c>
      <c r="CO1900" s="0" t="s">
        <v>155</v>
      </c>
      <c r="CP1900" s="0" t="s">
        <v>154</v>
      </c>
      <c r="CQ1900" s="0" t="s">
        <v>155</v>
      </c>
      <c r="CT1900" s="0" t="s">
        <v>154</v>
      </c>
      <c r="CU1900" s="0" t="s">
        <v>155</v>
      </c>
      <c r="CV1900" s="0" t="s">
        <v>154</v>
      </c>
      <c r="CY1900" s="0" t="s">
        <v>154</v>
      </c>
      <c r="CZ1900" s="0" t="s">
        <v>155</v>
      </c>
      <c r="DC1900" s="0" t="s">
        <v>154</v>
      </c>
      <c r="DF1900" s="0" t="s">
        <v>154</v>
      </c>
      <c r="DG1900" s="0" t="s">
        <v>155</v>
      </c>
      <c r="DI1900" s="0" t="s">
        <v>154</v>
      </c>
      <c r="DL1900" s="0" t="s">
        <v>154</v>
      </c>
      <c r="DN1900" s="0" t="s">
        <v>154</v>
      </c>
      <c r="DO1900" s="0" t="s">
        <v>155</v>
      </c>
      <c r="DR1900" s="0" t="s">
        <v>154</v>
      </c>
      <c r="DS1900" s="0" t="s">
        <v>155</v>
      </c>
      <c r="DU1900" s="0" t="s">
        <v>154</v>
      </c>
      <c r="DW1900" s="0" t="s">
        <v>155</v>
      </c>
      <c r="DX1900" s="0" t="s">
        <v>154</v>
      </c>
      <c r="EA1900" s="0" t="s">
        <v>154</v>
      </c>
      <c r="EF1900" s="0" t="s">
        <v>154</v>
      </c>
      <c r="EH1900" s="0" t="s">
        <v>155</v>
      </c>
    </row>
    <row r="1901" customFormat="false" ht="13.8" hidden="true" customHeight="false" outlineLevel="0" collapsed="false">
      <c r="A1901" s="0" t="s">
        <v>8501</v>
      </c>
      <c r="B1901" s="0" t="n">
        <v>78</v>
      </c>
      <c r="C1901" s="0" t="n">
        <v>423085</v>
      </c>
      <c r="D1901" s="0" t="s">
        <v>8502</v>
      </c>
      <c r="E1901" s="0" t="s">
        <v>2033</v>
      </c>
      <c r="F1901" s="0" t="str">
        <f aca="false">CONCATENATE(D1901," ",LEFT(H1901,4),"T=",AU1901,"D=",AV1901,"R=",AW1901,"M=",AX1901,"L=",AY1901,"B=",AZ1901)</f>
        <v>SHORETTE T=4D=0R=0M=0L=0B=0</v>
      </c>
      <c r="G1901" s="0" t="s">
        <v>317</v>
      </c>
      <c r="I1901" s="0" t="s">
        <v>8503</v>
      </c>
      <c r="J1901" s="0" t="s">
        <v>6730</v>
      </c>
      <c r="K1901" s="0" t="s">
        <v>175</v>
      </c>
      <c r="L1901" s="0"/>
      <c r="M1901" s="0" t="s">
        <v>8504</v>
      </c>
      <c r="N1901" s="0" t="str">
        <f aca="false">RIGHT(M1901,LEN(M1901)-FIND(" ",M1901))</f>
        <v>N PARK AVE</v>
      </c>
      <c r="P1901" s="0" t="s">
        <v>146</v>
      </c>
      <c r="Q1901" s="0" t="s">
        <v>147</v>
      </c>
      <c r="R1901" s="0" t="n">
        <v>44483</v>
      </c>
      <c r="AD1901" s="0" t="s">
        <v>148</v>
      </c>
      <c r="AE1901" s="0" t="s">
        <v>149</v>
      </c>
      <c r="AF1901" s="0" t="s">
        <v>150</v>
      </c>
      <c r="AH1901" s="0" t="n">
        <v>14</v>
      </c>
      <c r="AI1901" s="0" t="n">
        <v>11</v>
      </c>
      <c r="AN1901" s="0" t="s">
        <v>146</v>
      </c>
      <c r="AO1901" s="0" t="s">
        <v>250</v>
      </c>
      <c r="AP1901" s="0" t="s">
        <v>251</v>
      </c>
      <c r="AQ1901" s="0" t="n">
        <v>9</v>
      </c>
      <c r="AR1901" s="0" t="n">
        <v>64</v>
      </c>
      <c r="AS1901" s="0" t="n">
        <v>32</v>
      </c>
      <c r="AU1901" s="0" t="n">
        <f aca="false">COUNTA($BA$2481:$EH$2481)</f>
        <v>4</v>
      </c>
      <c r="AV1901" s="0" t="n">
        <f aca="false">COUNTIF($BA$2481:$EH$2481,"D")</f>
        <v>0</v>
      </c>
      <c r="AW1901" s="0" t="n">
        <f aca="false">COUNTIF($BA$2481:$EH$2481,"R")</f>
        <v>0</v>
      </c>
      <c r="AX1901" s="0" t="n">
        <f aca="false"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>0</v>
      </c>
      <c r="AY1901" s="0" t="n">
        <f aca="false">COUNTIF(DU1901:EH1901, "&lt;&gt;")</f>
        <v>0</v>
      </c>
      <c r="AZ1901" s="0" t="n">
        <f aca="false">IF(EH1901&lt;&gt;"",1,0)</f>
        <v>0</v>
      </c>
      <c r="BB1901" s="0" t="s">
        <v>153</v>
      </c>
      <c r="DI1901" s="0" t="s">
        <v>154</v>
      </c>
      <c r="DM1901" s="0" t="s">
        <v>241</v>
      </c>
      <c r="DN1901" s="0" t="s">
        <v>154</v>
      </c>
    </row>
    <row r="1902" customFormat="false" ht="13.8" hidden="true" customHeight="false" outlineLevel="0" collapsed="false">
      <c r="A1902" s="0" t="s">
        <v>8505</v>
      </c>
      <c r="B1902" s="0" t="n">
        <v>78</v>
      </c>
      <c r="C1902" s="0" t="n">
        <v>476216</v>
      </c>
      <c r="D1902" s="0" t="s">
        <v>8506</v>
      </c>
      <c r="E1902" s="0" t="s">
        <v>3440</v>
      </c>
      <c r="F1902" s="0" t="str">
        <f aca="false">CONCATENATE(D1902," ",LEFT(H1902,4),"T=",AU1902,"D=",AV1902,"R=",AW1902,"M=",AX1902,"L=",AY1902,"B=",AZ1902)</f>
        <v>DOBBINS T=38D=8R=0M=0L=0B=0</v>
      </c>
      <c r="G1902" s="0" t="s">
        <v>619</v>
      </c>
      <c r="I1902" s="0" t="s">
        <v>695</v>
      </c>
      <c r="J1902" s="0" t="s">
        <v>8507</v>
      </c>
      <c r="K1902" s="0" t="s">
        <v>175</v>
      </c>
      <c r="L1902" s="0"/>
      <c r="M1902" s="0" t="s">
        <v>8508</v>
      </c>
      <c r="N1902" s="0" t="str">
        <f aca="false">RIGHT(M1902,LEN(M1902)-FIND(" ",M1902))</f>
        <v>N PARK AVE</v>
      </c>
      <c r="P1902" s="0" t="s">
        <v>146</v>
      </c>
      <c r="Q1902" s="0" t="s">
        <v>147</v>
      </c>
      <c r="R1902" s="0" t="n">
        <v>44483</v>
      </c>
      <c r="AD1902" s="0" t="s">
        <v>148</v>
      </c>
      <c r="AE1902" s="0" t="s">
        <v>149</v>
      </c>
      <c r="AF1902" s="0" t="s">
        <v>150</v>
      </c>
      <c r="AH1902" s="0" t="n">
        <v>14</v>
      </c>
      <c r="AI1902" s="0" t="n">
        <v>11</v>
      </c>
      <c r="AN1902" s="0" t="s">
        <v>146</v>
      </c>
      <c r="AO1902" s="0" t="s">
        <v>250</v>
      </c>
      <c r="AP1902" s="0" t="s">
        <v>251</v>
      </c>
      <c r="AQ1902" s="0" t="n">
        <v>9</v>
      </c>
      <c r="AR1902" s="0" t="n">
        <v>64</v>
      </c>
      <c r="AS1902" s="0" t="n">
        <v>32</v>
      </c>
      <c r="AU1902" s="0" t="n">
        <f aca="false">COUNTA($BA$2131:$EH$2131)</f>
        <v>38</v>
      </c>
      <c r="AV1902" s="0" t="n">
        <f aca="false">COUNTIF($BA$2131:$EH$2131,"D")</f>
        <v>8</v>
      </c>
      <c r="AW1902" s="0" t="n">
        <f aca="false">COUNTIF($BA$2131:$EH$2131,"R")</f>
        <v>0</v>
      </c>
      <c r="AX1902" s="0" t="n">
        <f aca="false"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>0</v>
      </c>
      <c r="AY1902" s="0" t="n">
        <f aca="false">COUNTIF(DU1902:EH1902, "&lt;&gt;")</f>
        <v>0</v>
      </c>
      <c r="AZ1902" s="0" t="n">
        <f aca="false">IF(EH1902&lt;&gt;"",1,0)</f>
        <v>0</v>
      </c>
      <c r="BB1902" s="0" t="s">
        <v>153</v>
      </c>
    </row>
    <row r="1903" customFormat="false" ht="13.8" hidden="true" customHeight="false" outlineLevel="0" collapsed="false">
      <c r="A1903" s="0" t="s">
        <v>8509</v>
      </c>
      <c r="B1903" s="0" t="n">
        <v>78</v>
      </c>
      <c r="C1903" s="0" t="n">
        <v>407487</v>
      </c>
      <c r="D1903" s="0" t="s">
        <v>8510</v>
      </c>
      <c r="E1903" s="0" t="s">
        <v>2720</v>
      </c>
      <c r="F1903" s="0" t="str">
        <f aca="false">CONCATENATE(D1903," ",LEFT(H1903,4),"T=",AU1903,"D=",AV1903,"R=",AW1903,"M=",AX1903,"L=",AY1903,"B=",AZ1903)</f>
        <v>MANNINGHAM T=1D=0R=0M=0L=0B=0</v>
      </c>
      <c r="G1903" s="0" t="s">
        <v>2262</v>
      </c>
      <c r="I1903" s="0" t="s">
        <v>8511</v>
      </c>
      <c r="J1903" s="0" t="s">
        <v>5394</v>
      </c>
      <c r="K1903" s="0" t="s">
        <v>144</v>
      </c>
      <c r="L1903" s="0"/>
      <c r="M1903" s="0" t="s">
        <v>8508</v>
      </c>
      <c r="N1903" s="0" t="str">
        <f aca="false">RIGHT(M1903,LEN(M1903)-FIND(" ",M1903))</f>
        <v>N PARK AVE</v>
      </c>
      <c r="P1903" s="0" t="s">
        <v>146</v>
      </c>
      <c r="Q1903" s="0" t="s">
        <v>147</v>
      </c>
      <c r="R1903" s="0" t="n">
        <v>44483</v>
      </c>
      <c r="AD1903" s="0" t="s">
        <v>148</v>
      </c>
      <c r="AE1903" s="0" t="s">
        <v>149</v>
      </c>
      <c r="AF1903" s="0" t="s">
        <v>150</v>
      </c>
      <c r="AH1903" s="0" t="n">
        <v>14</v>
      </c>
      <c r="AI1903" s="0" t="n">
        <v>11</v>
      </c>
      <c r="AN1903" s="0" t="s">
        <v>146</v>
      </c>
      <c r="AO1903" s="0" t="s">
        <v>250</v>
      </c>
      <c r="AP1903" s="0" t="s">
        <v>251</v>
      </c>
      <c r="AQ1903" s="0" t="n">
        <v>9</v>
      </c>
      <c r="AR1903" s="0" t="n">
        <v>64</v>
      </c>
      <c r="AS1903" s="0" t="n">
        <v>32</v>
      </c>
      <c r="AU1903" s="0" t="n">
        <f aca="false">COUNTA($BA$2265:$EH$2265)</f>
        <v>1</v>
      </c>
      <c r="AV1903" s="0" t="n">
        <f aca="false">COUNTIF($BA$2265:$EH$2265,"D")</f>
        <v>0</v>
      </c>
      <c r="AW1903" s="0" t="n">
        <f aca="false">COUNTIF($BA$2265:$EH$2265,"R")</f>
        <v>0</v>
      </c>
      <c r="AX1903" s="0" t="n">
        <f aca="false"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>0</v>
      </c>
      <c r="AY1903" s="0" t="n">
        <f aca="false">COUNTIF(DU1903:EH1903, "&lt;&gt;")</f>
        <v>0</v>
      </c>
      <c r="AZ1903" s="0" t="n">
        <f aca="false">IF(EH1903&lt;&gt;"",1,0)</f>
        <v>0</v>
      </c>
      <c r="BB1903" s="0" t="s">
        <v>153</v>
      </c>
      <c r="CZ1903" s="0" t="s">
        <v>155</v>
      </c>
    </row>
    <row r="1904" customFormat="false" ht="13.8" hidden="true" customHeight="false" outlineLevel="0" collapsed="false">
      <c r="A1904" s="0" t="s">
        <v>8512</v>
      </c>
      <c r="B1904" s="0" t="n">
        <v>78</v>
      </c>
      <c r="C1904" s="0" t="n">
        <v>436863</v>
      </c>
      <c r="D1904" s="0" t="s">
        <v>5841</v>
      </c>
      <c r="E1904" s="0" t="s">
        <v>5065</v>
      </c>
      <c r="F1904" s="0" t="str">
        <f aca="false">CONCATENATE(D1904," ",LEFT(H1904,4),"T=",AU1904,"D=",AV1904,"R=",AW1904,"M=",AX1904,"L=",AY1904,"B=",AZ1904)</f>
        <v>GREEN T=2D=0R=0M=0L=0B=0</v>
      </c>
      <c r="G1904" s="0" t="s">
        <v>690</v>
      </c>
      <c r="I1904" s="0" t="s">
        <v>8513</v>
      </c>
      <c r="J1904" s="0" t="s">
        <v>1595</v>
      </c>
      <c r="K1904" s="0" t="s">
        <v>175</v>
      </c>
      <c r="L1904" s="0"/>
      <c r="M1904" s="0" t="s">
        <v>8508</v>
      </c>
      <c r="N1904" s="0" t="str">
        <f aca="false">RIGHT(M1904,LEN(M1904)-FIND(" ",M1904))</f>
        <v>N PARK AVE</v>
      </c>
      <c r="P1904" s="0" t="s">
        <v>146</v>
      </c>
      <c r="Q1904" s="0" t="s">
        <v>147</v>
      </c>
      <c r="R1904" s="0" t="n">
        <v>44483</v>
      </c>
      <c r="AD1904" s="0" t="s">
        <v>148</v>
      </c>
      <c r="AE1904" s="0" t="s">
        <v>149</v>
      </c>
      <c r="AF1904" s="0" t="s">
        <v>150</v>
      </c>
      <c r="AH1904" s="0" t="n">
        <v>14</v>
      </c>
      <c r="AI1904" s="0" t="n">
        <v>11</v>
      </c>
      <c r="AN1904" s="0" t="s">
        <v>146</v>
      </c>
      <c r="AO1904" s="0" t="s">
        <v>250</v>
      </c>
      <c r="AP1904" s="0" t="s">
        <v>251</v>
      </c>
      <c r="AQ1904" s="0" t="n">
        <v>9</v>
      </c>
      <c r="AR1904" s="0" t="n">
        <v>64</v>
      </c>
      <c r="AS1904" s="0" t="n">
        <v>32</v>
      </c>
      <c r="AU1904" s="0" t="n">
        <f aca="false">COUNTA($BA$2688:$EH$2688)</f>
        <v>2</v>
      </c>
      <c r="AV1904" s="0" t="n">
        <f aca="false">COUNTIF($BA$2688:$EH$2688,"D")</f>
        <v>0</v>
      </c>
      <c r="AW1904" s="0" t="n">
        <f aca="false">COUNTIF($BA$2688:$EH$2688,"R")</f>
        <v>0</v>
      </c>
      <c r="AX1904" s="0" t="n">
        <f aca="false"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>0</v>
      </c>
      <c r="AY1904" s="0" t="n">
        <f aca="false">COUNTIF(DU1904:EH1904, "&lt;&gt;")</f>
        <v>0</v>
      </c>
      <c r="AZ1904" s="0" t="n">
        <f aca="false">IF(EH1904&lt;&gt;"",1,0)</f>
        <v>0</v>
      </c>
      <c r="BB1904" s="0" t="s">
        <v>153</v>
      </c>
      <c r="BD1904" s="0" t="s">
        <v>154</v>
      </c>
      <c r="BF1904" s="0" t="s">
        <v>154</v>
      </c>
      <c r="BL1904" s="0" t="s">
        <v>154</v>
      </c>
      <c r="BP1904" s="0" t="s">
        <v>154</v>
      </c>
      <c r="BS1904" s="0" t="s">
        <v>154</v>
      </c>
      <c r="BY1904" s="0" t="s">
        <v>155</v>
      </c>
      <c r="CA1904" s="0" t="s">
        <v>154</v>
      </c>
      <c r="CN1904" s="0" t="s">
        <v>154</v>
      </c>
      <c r="CO1904" s="0" t="s">
        <v>155</v>
      </c>
      <c r="CP1904" s="0" t="s">
        <v>154</v>
      </c>
      <c r="CY1904" s="0" t="s">
        <v>154</v>
      </c>
      <c r="CZ1904" s="0" t="s">
        <v>155</v>
      </c>
    </row>
    <row r="1905" customFormat="false" ht="13.8" hidden="true" customHeight="false" outlineLevel="0" collapsed="false">
      <c r="A1905" s="0" t="s">
        <v>8514</v>
      </c>
      <c r="B1905" s="0" t="n">
        <v>78</v>
      </c>
      <c r="C1905" s="0" t="n">
        <v>475236</v>
      </c>
      <c r="D1905" s="0" t="s">
        <v>8506</v>
      </c>
      <c r="E1905" s="0" t="s">
        <v>8515</v>
      </c>
      <c r="F1905" s="0" t="str">
        <f aca="false">CONCATENATE(D1905," ",LEFT(H1905,4),"T=",AU1905,"D=",AV1905,"R=",AW1905,"M=",AX1905,"L=",AY1905,"B=",AZ1905)</f>
        <v>DOBBINS T=30D=10R=1M=0L=0B=0</v>
      </c>
      <c r="G1905" s="0" t="s">
        <v>141</v>
      </c>
      <c r="I1905" s="0" t="s">
        <v>8516</v>
      </c>
      <c r="J1905" s="0" t="s">
        <v>6440</v>
      </c>
      <c r="K1905" s="0" t="s">
        <v>175</v>
      </c>
      <c r="L1905" s="0"/>
      <c r="M1905" s="0" t="s">
        <v>8508</v>
      </c>
      <c r="N1905" s="0" t="str">
        <f aca="false">RIGHT(M1905,LEN(M1905)-FIND(" ",M1905))</f>
        <v>N PARK AVE</v>
      </c>
      <c r="P1905" s="0" t="s">
        <v>146</v>
      </c>
      <c r="Q1905" s="0" t="s">
        <v>147</v>
      </c>
      <c r="R1905" s="0" t="n">
        <v>44483</v>
      </c>
      <c r="AD1905" s="0" t="s">
        <v>148</v>
      </c>
      <c r="AE1905" s="0" t="s">
        <v>149</v>
      </c>
      <c r="AF1905" s="0" t="s">
        <v>150</v>
      </c>
      <c r="AH1905" s="0" t="n">
        <v>14</v>
      </c>
      <c r="AI1905" s="0" t="n">
        <v>11</v>
      </c>
      <c r="AN1905" s="0" t="s">
        <v>146</v>
      </c>
      <c r="AO1905" s="0" t="s">
        <v>250</v>
      </c>
      <c r="AP1905" s="0" t="s">
        <v>251</v>
      </c>
      <c r="AQ1905" s="0" t="n">
        <v>9</v>
      </c>
      <c r="AR1905" s="0" t="n">
        <v>64</v>
      </c>
      <c r="AS1905" s="0" t="n">
        <v>32</v>
      </c>
      <c r="AU1905" s="0" t="n">
        <f aca="false">COUNTA($BA$2705:$EH$2705)</f>
        <v>30</v>
      </c>
      <c r="AV1905" s="0" t="n">
        <f aca="false">COUNTIF($BA$2705:$EH$2705,"D")</f>
        <v>10</v>
      </c>
      <c r="AW1905" s="0" t="n">
        <f aca="false">COUNTIF($BA$2705:$EH$2705,"R")</f>
        <v>1</v>
      </c>
      <c r="AX1905" s="0" t="n">
        <f aca="false"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>0</v>
      </c>
      <c r="AY1905" s="0" t="n">
        <f aca="false">COUNTIF(DU1905:EH1905, "&lt;&gt;")</f>
        <v>0</v>
      </c>
      <c r="AZ1905" s="0" t="n">
        <f aca="false">IF(EH1905&lt;&gt;"",1,0)</f>
        <v>0</v>
      </c>
      <c r="BB1905" s="0" t="s">
        <v>153</v>
      </c>
    </row>
    <row r="1906" customFormat="false" ht="13.8" hidden="true" customHeight="false" outlineLevel="0" collapsed="false">
      <c r="A1906" s="0" t="s">
        <v>8517</v>
      </c>
      <c r="B1906" s="0" t="n">
        <v>78</v>
      </c>
      <c r="C1906" s="0" t="n">
        <v>443167</v>
      </c>
      <c r="D1906" s="0" t="s">
        <v>8518</v>
      </c>
      <c r="E1906" s="0" t="s">
        <v>8519</v>
      </c>
      <c r="F1906" s="0" t="str">
        <f aca="false">CONCATENATE(D1906," ",LEFT(H1906,4),"T=",AU1906,"D=",AV1906,"R=",AW1906,"M=",AX1906,"L=",AY1906,"B=",AZ1906)</f>
        <v>STEIDER T=3D=0R=1M=0L=0B=0</v>
      </c>
      <c r="G1906" s="0" t="s">
        <v>455</v>
      </c>
      <c r="I1906" s="0" t="s">
        <v>8520</v>
      </c>
      <c r="J1906" s="0" t="s">
        <v>8521</v>
      </c>
      <c r="K1906" s="0" t="s">
        <v>144</v>
      </c>
      <c r="L1906" s="0"/>
      <c r="M1906" s="0" t="s">
        <v>8522</v>
      </c>
      <c r="N1906" s="0" t="str">
        <f aca="false">RIGHT(M1906,LEN(M1906)-FIND(" ",M1906))</f>
        <v>N PARK AVE</v>
      </c>
      <c r="P1906" s="0" t="s">
        <v>146</v>
      </c>
      <c r="Q1906" s="0" t="s">
        <v>147</v>
      </c>
      <c r="R1906" s="0" t="n">
        <v>44483</v>
      </c>
      <c r="AD1906" s="0" t="s">
        <v>148</v>
      </c>
      <c r="AE1906" s="0" t="s">
        <v>149</v>
      </c>
      <c r="AF1906" s="0" t="s">
        <v>150</v>
      </c>
      <c r="AH1906" s="0" t="n">
        <v>14</v>
      </c>
      <c r="AI1906" s="0" t="n">
        <v>11</v>
      </c>
      <c r="AN1906" s="0" t="s">
        <v>146</v>
      </c>
      <c r="AO1906" s="0" t="s">
        <v>250</v>
      </c>
      <c r="AP1906" s="0" t="s">
        <v>251</v>
      </c>
      <c r="AQ1906" s="0" t="n">
        <v>9</v>
      </c>
      <c r="AR1906" s="0" t="n">
        <v>64</v>
      </c>
      <c r="AS1906" s="0" t="n">
        <v>32</v>
      </c>
      <c r="AU1906" s="0" t="n">
        <f aca="false">COUNTA($BA$2164:$EH$2164)</f>
        <v>3</v>
      </c>
      <c r="AV1906" s="0" t="n">
        <f aca="false">COUNTIF($BA$2164:$EH$2164,"D")</f>
        <v>0</v>
      </c>
      <c r="AW1906" s="0" t="n">
        <f aca="false">COUNTIF($BA$2164:$EH$2164,"R")</f>
        <v>1</v>
      </c>
      <c r="AX1906" s="0" t="n">
        <f aca="false"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>0</v>
      </c>
      <c r="AY1906" s="0" t="n">
        <f aca="false">COUNTIF(DU1906:EH1906, "&lt;&gt;")</f>
        <v>0</v>
      </c>
      <c r="AZ1906" s="0" t="n">
        <f aca="false">IF(EH1906&lt;&gt;"",1,0)</f>
        <v>0</v>
      </c>
      <c r="BB1906" s="0" t="s">
        <v>153</v>
      </c>
    </row>
    <row r="1907" customFormat="false" ht="13.8" hidden="true" customHeight="false" outlineLevel="0" collapsed="false">
      <c r="A1907" s="0" t="s">
        <v>8523</v>
      </c>
      <c r="B1907" s="0" t="n">
        <v>78</v>
      </c>
      <c r="C1907" s="0" t="n">
        <v>277125</v>
      </c>
      <c r="D1907" s="0" t="s">
        <v>8518</v>
      </c>
      <c r="E1907" s="0" t="s">
        <v>5501</v>
      </c>
      <c r="F1907" s="0" t="str">
        <f aca="false">CONCATENATE(D1907," ",LEFT(H1907,4),"T=",AU1907,"D=",AV1907,"R=",AW1907,"M=",AX1907,"L=",AY1907,"B=",AZ1907)</f>
        <v>STEIDER T=10D=4R=0M=0L=1B=0</v>
      </c>
      <c r="G1907" s="0" t="s">
        <v>2293</v>
      </c>
      <c r="I1907" s="0" t="s">
        <v>8524</v>
      </c>
      <c r="J1907" s="0" t="s">
        <v>6992</v>
      </c>
      <c r="K1907" s="0" t="s">
        <v>175</v>
      </c>
      <c r="L1907" s="0"/>
      <c r="M1907" s="0" t="s">
        <v>8522</v>
      </c>
      <c r="N1907" s="0" t="str">
        <f aca="false">RIGHT(M1907,LEN(M1907)-FIND(" ",M1907))</f>
        <v>N PARK AVE</v>
      </c>
      <c r="P1907" s="0" t="s">
        <v>146</v>
      </c>
      <c r="Q1907" s="0" t="s">
        <v>147</v>
      </c>
      <c r="R1907" s="0" t="n">
        <v>44483</v>
      </c>
      <c r="AD1907" s="0" t="s">
        <v>148</v>
      </c>
      <c r="AE1907" s="0" t="s">
        <v>149</v>
      </c>
      <c r="AF1907" s="0" t="s">
        <v>150</v>
      </c>
      <c r="AH1907" s="0" t="n">
        <v>14</v>
      </c>
      <c r="AI1907" s="0" t="n">
        <v>11</v>
      </c>
      <c r="AN1907" s="0" t="s">
        <v>146</v>
      </c>
      <c r="AO1907" s="0" t="s">
        <v>250</v>
      </c>
      <c r="AP1907" s="0" t="s">
        <v>251</v>
      </c>
      <c r="AQ1907" s="0" t="n">
        <v>9</v>
      </c>
      <c r="AR1907" s="0" t="n">
        <v>64</v>
      </c>
      <c r="AS1907" s="0" t="n">
        <v>32</v>
      </c>
      <c r="AU1907" s="0" t="n">
        <f aca="false">COUNTA($BA$2569:$EH$2569)</f>
        <v>10</v>
      </c>
      <c r="AV1907" s="0" t="n">
        <f aca="false">COUNTIF($BA$2569:$EH$2569,"D")</f>
        <v>4</v>
      </c>
      <c r="AW1907" s="0" t="n">
        <f aca="false">COUNTIF($BA$2569:$EH$2569,"R")</f>
        <v>0</v>
      </c>
      <c r="AX1907" s="0" t="n">
        <f aca="false"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>0</v>
      </c>
      <c r="AY1907" s="0" t="n">
        <f aca="false">COUNTIF(DU1907:EH1907, "&lt;&gt;")</f>
        <v>1</v>
      </c>
      <c r="AZ1907" s="0" t="n">
        <f aca="false">IF(EH1907&lt;&gt;"",1,0)</f>
        <v>0</v>
      </c>
      <c r="BB1907" s="0" t="s">
        <v>153</v>
      </c>
      <c r="BL1907" s="0" t="s">
        <v>154</v>
      </c>
      <c r="CA1907" s="0" t="s">
        <v>154</v>
      </c>
      <c r="CP1907" s="0" t="s">
        <v>154</v>
      </c>
      <c r="DC1907" s="0" t="s">
        <v>154</v>
      </c>
      <c r="DN1907" s="0" t="s">
        <v>154</v>
      </c>
      <c r="EF1907" s="0" t="s">
        <v>154</v>
      </c>
    </row>
    <row r="1908" customFormat="false" ht="13.8" hidden="true" customHeight="false" outlineLevel="0" collapsed="false">
      <c r="A1908" s="0" t="s">
        <v>8525</v>
      </c>
      <c r="B1908" s="0" t="n">
        <v>78</v>
      </c>
      <c r="C1908" s="0" t="n">
        <v>487513</v>
      </c>
      <c r="D1908" s="0" t="s">
        <v>309</v>
      </c>
      <c r="E1908" s="0" t="s">
        <v>3039</v>
      </c>
      <c r="F1908" s="0" t="str">
        <f aca="false">CONCATENATE(D1908," ",LEFT(H1908,4),"T=",AU1908,"D=",AV1908,"R=",AW1908,"M=",AX1908,"L=",AY1908,"B=",AZ1908)</f>
        <v>BROWN T=1D=0R=0M=0L=0B=0</v>
      </c>
      <c r="I1908" s="0" t="s">
        <v>8526</v>
      </c>
      <c r="J1908" s="0" t="s">
        <v>4411</v>
      </c>
      <c r="K1908" s="0" t="s">
        <v>175</v>
      </c>
      <c r="L1908" s="0"/>
      <c r="M1908" s="0" t="s">
        <v>8527</v>
      </c>
      <c r="N1908" s="0" t="str">
        <f aca="false">RIGHT(M1908,LEN(M1908)-FIND(" ",M1908))</f>
        <v>N PARK AVE</v>
      </c>
      <c r="P1908" s="0" t="s">
        <v>146</v>
      </c>
      <c r="Q1908" s="0" t="s">
        <v>147</v>
      </c>
      <c r="R1908" s="0" t="n">
        <v>44483</v>
      </c>
      <c r="AD1908" s="0" t="s">
        <v>148</v>
      </c>
      <c r="AE1908" s="0" t="s">
        <v>149</v>
      </c>
      <c r="AF1908" s="0" t="s">
        <v>150</v>
      </c>
      <c r="AH1908" s="0" t="n">
        <v>14</v>
      </c>
      <c r="AI1908" s="0" t="n">
        <v>11</v>
      </c>
      <c r="AN1908" s="0" t="s">
        <v>146</v>
      </c>
      <c r="AO1908" s="0" t="s">
        <v>250</v>
      </c>
      <c r="AP1908" s="0" t="s">
        <v>251</v>
      </c>
      <c r="AQ1908" s="0" t="n">
        <v>9</v>
      </c>
      <c r="AR1908" s="0" t="n">
        <v>64</v>
      </c>
      <c r="AS1908" s="0" t="n">
        <v>32</v>
      </c>
      <c r="AU1908" s="0" t="n">
        <f aca="false">COUNTA($BA$2354:$EH$2354)</f>
        <v>1</v>
      </c>
      <c r="AV1908" s="0" t="n">
        <f aca="false">COUNTIF($BA$2354:$EH$2354,"D")</f>
        <v>0</v>
      </c>
      <c r="AW1908" s="0" t="n">
        <f aca="false">COUNTIF($BA$2354:$EH$2354,"R")</f>
        <v>0</v>
      </c>
      <c r="AX1908" s="0" t="n">
        <f aca="false"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>0</v>
      </c>
      <c r="AY1908" s="0" t="n">
        <f aca="false">COUNTIF(DU1908:EH1908, "&lt;&gt;")</f>
        <v>0</v>
      </c>
      <c r="AZ1908" s="0" t="n">
        <f aca="false">IF(EH1908&lt;&gt;"",1,0)</f>
        <v>0</v>
      </c>
      <c r="BB1908" s="0" t="s">
        <v>153</v>
      </c>
      <c r="CA1908" s="0" t="s">
        <v>154</v>
      </c>
      <c r="CP1908" s="0" t="s">
        <v>154</v>
      </c>
    </row>
    <row r="1909" customFormat="false" ht="13.8" hidden="true" customHeight="false" outlineLevel="0" collapsed="false">
      <c r="A1909" s="0" t="s">
        <v>8528</v>
      </c>
      <c r="B1909" s="0" t="n">
        <v>78</v>
      </c>
      <c r="C1909" s="0" t="n">
        <v>360638</v>
      </c>
      <c r="D1909" s="0" t="s">
        <v>5546</v>
      </c>
      <c r="E1909" s="0" t="s">
        <v>8529</v>
      </c>
      <c r="F1909" s="0" t="str">
        <f aca="false">CONCATENATE(D1909," ",LEFT(H1909,4),"T=",AU1909,"D=",AV1909,"R=",AW1909,"M=",AX1909,"L=",AY1909,"B=",AZ1909)</f>
        <v>LOWERY T=2D=0R=0M=0L=0B=0</v>
      </c>
      <c r="I1909" s="0" t="s">
        <v>8530</v>
      </c>
      <c r="J1909" s="0" t="s">
        <v>5975</v>
      </c>
      <c r="K1909" s="0" t="s">
        <v>144</v>
      </c>
      <c r="L1909" s="0"/>
      <c r="M1909" s="0" t="s">
        <v>8527</v>
      </c>
      <c r="N1909" s="0" t="str">
        <f aca="false">RIGHT(M1909,LEN(M1909)-FIND(" ",M1909))</f>
        <v>N PARK AVE</v>
      </c>
      <c r="P1909" s="0" t="s">
        <v>146</v>
      </c>
      <c r="Q1909" s="0" t="s">
        <v>147</v>
      </c>
      <c r="R1909" s="0" t="n">
        <v>44483</v>
      </c>
      <c r="AD1909" s="0" t="s">
        <v>148</v>
      </c>
      <c r="AE1909" s="0" t="s">
        <v>149</v>
      </c>
      <c r="AF1909" s="0" t="s">
        <v>150</v>
      </c>
      <c r="AH1909" s="0" t="n">
        <v>14</v>
      </c>
      <c r="AI1909" s="0" t="n">
        <v>11</v>
      </c>
      <c r="AN1909" s="0" t="s">
        <v>146</v>
      </c>
      <c r="AO1909" s="0" t="s">
        <v>250</v>
      </c>
      <c r="AP1909" s="0" t="s">
        <v>251</v>
      </c>
      <c r="AQ1909" s="0" t="n">
        <v>9</v>
      </c>
      <c r="AR1909" s="0" t="n">
        <v>64</v>
      </c>
      <c r="AS1909" s="0" t="n">
        <v>32</v>
      </c>
      <c r="AU1909" s="0" t="n">
        <f aca="false">COUNTA($BA$2631:$EH$2631)</f>
        <v>2</v>
      </c>
      <c r="AV1909" s="0" t="n">
        <f aca="false">COUNTIF($BA$2631:$EH$2631,"D")</f>
        <v>0</v>
      </c>
      <c r="AW1909" s="0" t="n">
        <f aca="false">COUNTIF($BA$2631:$EH$2631,"R")</f>
        <v>0</v>
      </c>
      <c r="AX1909" s="0" t="n">
        <f aca="false"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>0</v>
      </c>
      <c r="AY1909" s="0" t="n">
        <f aca="false">COUNTIF(DU1909:EH1909, "&lt;&gt;")</f>
        <v>0</v>
      </c>
      <c r="AZ1909" s="0" t="n">
        <f aca="false">IF(EH1909&lt;&gt;"",1,0)</f>
        <v>0</v>
      </c>
      <c r="BB1909" s="0" t="s">
        <v>153</v>
      </c>
      <c r="CA1909" s="0" t="s">
        <v>154</v>
      </c>
      <c r="CP1909" s="0" t="s">
        <v>154</v>
      </c>
      <c r="DC1909" s="0" t="s">
        <v>154</v>
      </c>
    </row>
    <row r="1910" customFormat="false" ht="13.8" hidden="true" customHeight="false" outlineLevel="0" collapsed="false">
      <c r="A1910" s="0" t="s">
        <v>8531</v>
      </c>
      <c r="B1910" s="0" t="n">
        <v>78</v>
      </c>
      <c r="C1910" s="0" t="n">
        <v>318547</v>
      </c>
      <c r="D1910" s="0" t="s">
        <v>1083</v>
      </c>
      <c r="E1910" s="0" t="s">
        <v>429</v>
      </c>
      <c r="F1910" s="0" t="str">
        <f aca="false">CONCATENATE(D1910," ",LEFT(H1910,4),"T=",AU1910,"D=",AV1910,"R=",AW1910,"M=",AX1910,"L=",AY1910,"B=",AZ1910)</f>
        <v>MATLOCK T=9D=1R=0M=0L=0B=0</v>
      </c>
      <c r="G1910" s="0" t="s">
        <v>8532</v>
      </c>
      <c r="I1910" s="0" t="s">
        <v>8533</v>
      </c>
      <c r="J1910" s="0" t="s">
        <v>4664</v>
      </c>
      <c r="K1910" s="0" t="s">
        <v>175</v>
      </c>
      <c r="L1910" s="0"/>
      <c r="M1910" s="0" t="s">
        <v>8534</v>
      </c>
      <c r="N1910" s="0" t="str">
        <f aca="false">RIGHT(M1910,LEN(M1910)-FIND(" ",M1910))</f>
        <v>N PARK AVE</v>
      </c>
      <c r="P1910" s="0" t="s">
        <v>146</v>
      </c>
      <c r="Q1910" s="0" t="s">
        <v>147</v>
      </c>
      <c r="R1910" s="0" t="n">
        <v>44483</v>
      </c>
      <c r="AD1910" s="0" t="s">
        <v>148</v>
      </c>
      <c r="AE1910" s="0" t="s">
        <v>149</v>
      </c>
      <c r="AF1910" s="0" t="s">
        <v>150</v>
      </c>
      <c r="AH1910" s="0" t="n">
        <v>14</v>
      </c>
      <c r="AI1910" s="0" t="n">
        <v>11</v>
      </c>
      <c r="AN1910" s="0" t="s">
        <v>146</v>
      </c>
      <c r="AO1910" s="0" t="s">
        <v>250</v>
      </c>
      <c r="AP1910" s="0" t="s">
        <v>251</v>
      </c>
      <c r="AQ1910" s="0" t="n">
        <v>9</v>
      </c>
      <c r="AR1910" s="0" t="n">
        <v>64</v>
      </c>
      <c r="AS1910" s="0" t="n">
        <v>32</v>
      </c>
      <c r="AU1910" s="0" t="n">
        <f aca="false">COUNTA($BA$2088:$EH$2088)</f>
        <v>9</v>
      </c>
      <c r="AV1910" s="0" t="n">
        <f aca="false">COUNTIF($BA$2088:$EH$2088,"D")</f>
        <v>1</v>
      </c>
      <c r="AW1910" s="0" t="n">
        <f aca="false">COUNTIF($BA$2088:$EH$2088,"R")</f>
        <v>0</v>
      </c>
      <c r="AX1910" s="0" t="n">
        <f aca="false"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>0</v>
      </c>
      <c r="AY1910" s="0" t="n">
        <f aca="false">COUNTIF(DU1910:EH1910, "&lt;&gt;")</f>
        <v>0</v>
      </c>
      <c r="AZ1910" s="0" t="n">
        <f aca="false">IF(EH1910&lt;&gt;"",1,0)</f>
        <v>0</v>
      </c>
      <c r="BB1910" s="0" t="s">
        <v>153</v>
      </c>
      <c r="BK1910" s="0" t="s">
        <v>154</v>
      </c>
      <c r="BL1910" s="0" t="s">
        <v>154</v>
      </c>
      <c r="BV1910" s="0" t="s">
        <v>154</v>
      </c>
      <c r="BY1910" s="0" t="s">
        <v>155</v>
      </c>
      <c r="CA1910" s="0" t="s">
        <v>154</v>
      </c>
      <c r="CG1910" s="0" t="s">
        <v>154</v>
      </c>
      <c r="CK1910" s="0" t="s">
        <v>154</v>
      </c>
      <c r="CN1910" s="0" t="s">
        <v>154</v>
      </c>
      <c r="CT1910" s="0" t="s">
        <v>154</v>
      </c>
      <c r="CY1910" s="0" t="s">
        <v>154</v>
      </c>
      <c r="CZ1910" s="0" t="s">
        <v>155</v>
      </c>
      <c r="DC1910" s="0" t="s">
        <v>154</v>
      </c>
      <c r="DI1910" s="0" t="s">
        <v>154</v>
      </c>
      <c r="DM1910" s="0" t="s">
        <v>155</v>
      </c>
      <c r="DN1910" s="0" t="s">
        <v>154</v>
      </c>
    </row>
    <row r="1911" customFormat="false" ht="13.8" hidden="true" customHeight="false" outlineLevel="0" collapsed="false">
      <c r="A1911" s="0" t="s">
        <v>8535</v>
      </c>
      <c r="B1911" s="0" t="n">
        <v>78</v>
      </c>
      <c r="C1911" s="0" t="n">
        <v>436547</v>
      </c>
      <c r="D1911" s="0" t="s">
        <v>6534</v>
      </c>
      <c r="E1911" s="0" t="s">
        <v>2005</v>
      </c>
      <c r="F1911" s="0" t="str">
        <f aca="false">CONCATENATE(D1911," ",LEFT(H1911,4),"T=",AU1911,"D=",AV1911,"R=",AW1911,"M=",AX1911,"L=",AY1911,"B=",AZ1911)</f>
        <v>PARKER T=22D=4R=0M=0L=0B=0</v>
      </c>
      <c r="G1911" s="0" t="s">
        <v>5528</v>
      </c>
      <c r="I1911" s="0" t="s">
        <v>8536</v>
      </c>
      <c r="J1911" s="0" t="s">
        <v>8537</v>
      </c>
      <c r="K1911" s="0" t="s">
        <v>144</v>
      </c>
      <c r="L1911" s="0"/>
      <c r="M1911" s="0" t="s">
        <v>8534</v>
      </c>
      <c r="N1911" s="0" t="str">
        <f aca="false">RIGHT(M1911,LEN(M1911)-FIND(" ",M1911))</f>
        <v>N PARK AVE</v>
      </c>
      <c r="P1911" s="0" t="s">
        <v>146</v>
      </c>
      <c r="Q1911" s="0" t="s">
        <v>147</v>
      </c>
      <c r="R1911" s="0" t="n">
        <v>44483</v>
      </c>
      <c r="AD1911" s="0" t="s">
        <v>148</v>
      </c>
      <c r="AE1911" s="0" t="s">
        <v>149</v>
      </c>
      <c r="AF1911" s="0" t="s">
        <v>150</v>
      </c>
      <c r="AH1911" s="0" t="n">
        <v>14</v>
      </c>
      <c r="AI1911" s="0" t="n">
        <v>11</v>
      </c>
      <c r="AN1911" s="0" t="s">
        <v>146</v>
      </c>
      <c r="AO1911" s="0" t="s">
        <v>250</v>
      </c>
      <c r="AP1911" s="0" t="s">
        <v>251</v>
      </c>
      <c r="AQ1911" s="0" t="n">
        <v>9</v>
      </c>
      <c r="AR1911" s="0" t="n">
        <v>64</v>
      </c>
      <c r="AS1911" s="0" t="n">
        <v>32</v>
      </c>
      <c r="AU1911" s="0" t="n">
        <f aca="false">COUNTA($BA$2093:$EH$2093)</f>
        <v>22</v>
      </c>
      <c r="AV1911" s="0" t="n">
        <f aca="false">COUNTIF($BA$2093:$EH$2093,"D")</f>
        <v>4</v>
      </c>
      <c r="AW1911" s="0" t="n">
        <f aca="false">COUNTIF($BA$2093:$EH$2093,"R")</f>
        <v>0</v>
      </c>
      <c r="AX1911" s="0" t="n">
        <f aca="false"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>0</v>
      </c>
      <c r="AY1911" s="0" t="n">
        <f aca="false">COUNTIF(DU1911:EH1911, "&lt;&gt;")</f>
        <v>0</v>
      </c>
      <c r="AZ1911" s="0" t="n">
        <f aca="false">IF(EH1911&lt;&gt;"",1,0)</f>
        <v>0</v>
      </c>
      <c r="BB1911" s="0" t="s">
        <v>153</v>
      </c>
      <c r="BD1911" s="0" t="s">
        <v>154</v>
      </c>
      <c r="BH1911" s="0" t="s">
        <v>154</v>
      </c>
      <c r="BJ1911" s="0" t="s">
        <v>154</v>
      </c>
      <c r="BK1911" s="0" t="s">
        <v>154</v>
      </c>
      <c r="BL1911" s="0" t="s">
        <v>154</v>
      </c>
      <c r="CA1911" s="0" t="s">
        <v>154</v>
      </c>
      <c r="DI1911" s="0" t="s">
        <v>154</v>
      </c>
    </row>
    <row r="1912" customFormat="false" ht="13.8" hidden="false" customHeight="false" outlineLevel="0" collapsed="false">
      <c r="A1912" s="0" t="s">
        <v>8538</v>
      </c>
      <c r="B1912" s="0" t="n">
        <v>78</v>
      </c>
      <c r="C1912" s="0" t="n">
        <v>18603</v>
      </c>
      <c r="D1912" s="0" t="s">
        <v>1083</v>
      </c>
      <c r="E1912" s="0" t="s">
        <v>429</v>
      </c>
      <c r="F1912" s="0" t="str">
        <f aca="false">CONCATENATE(D1912," ",LEFT(H1912,4),"T=",AU1912,"D=",AV1912,"R=",AW1912,"M=",AX1912,"L=",AY1912,"B=",AZ1912)</f>
        <v>MATLOCK T=2D=0R=0M=8L=7B=1</v>
      </c>
      <c r="I1912" s="0" t="s">
        <v>8539</v>
      </c>
      <c r="J1912" s="0" t="s">
        <v>8540</v>
      </c>
      <c r="K1912" s="0" t="s">
        <v>175</v>
      </c>
      <c r="L1912" s="1" t="s">
        <v>155</v>
      </c>
      <c r="M1912" s="0" t="s">
        <v>8534</v>
      </c>
      <c r="N1912" s="0" t="str">
        <f aca="false">RIGHT(M1912,LEN(M1912)-FIND(" ",M1912))</f>
        <v>N PARK AVE</v>
      </c>
      <c r="P1912" s="0" t="s">
        <v>146</v>
      </c>
      <c r="Q1912" s="0" t="s">
        <v>147</v>
      </c>
      <c r="R1912" s="0" t="n">
        <v>44483</v>
      </c>
      <c r="AD1912" s="0" t="s">
        <v>148</v>
      </c>
      <c r="AE1912" s="0" t="s">
        <v>149</v>
      </c>
      <c r="AF1912" s="0" t="s">
        <v>150</v>
      </c>
      <c r="AH1912" s="0" t="n">
        <v>14</v>
      </c>
      <c r="AI1912" s="0" t="n">
        <v>11</v>
      </c>
      <c r="AN1912" s="0" t="s">
        <v>146</v>
      </c>
      <c r="AO1912" s="0" t="s">
        <v>250</v>
      </c>
      <c r="AP1912" s="0" t="s">
        <v>251</v>
      </c>
      <c r="AQ1912" s="0" t="n">
        <v>9</v>
      </c>
      <c r="AR1912" s="0" t="n">
        <v>64</v>
      </c>
      <c r="AS1912" s="0" t="n">
        <v>32</v>
      </c>
      <c r="AU1912" s="0" t="n">
        <f aca="false">COUNTA($BA$2140:$EH$2140)</f>
        <v>2</v>
      </c>
      <c r="AV1912" s="0" t="n">
        <f aca="false">COUNTIF($BA$2140:$EH$2140,"D")</f>
        <v>0</v>
      </c>
      <c r="AW1912" s="0" t="n">
        <f aca="false">COUNTIF($BA$2140:$EH$2140,"R")</f>
        <v>0</v>
      </c>
      <c r="AX1912" s="0" t="n">
        <f aca="false"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>8</v>
      </c>
      <c r="AY1912" s="0" t="n">
        <f aca="false">COUNTIF(DU1912:EH1912, "&lt;&gt;")</f>
        <v>7</v>
      </c>
      <c r="AZ1912" s="0" t="n">
        <f aca="false">IF(EH1912&lt;&gt;"",1,0)</f>
        <v>1</v>
      </c>
      <c r="BB1912" s="0" t="s">
        <v>153</v>
      </c>
      <c r="BC1912" s="0" t="s">
        <v>154</v>
      </c>
      <c r="BD1912" s="0" t="s">
        <v>154</v>
      </c>
      <c r="BE1912" s="0" t="s">
        <v>154</v>
      </c>
      <c r="BF1912" s="0" t="s">
        <v>154</v>
      </c>
      <c r="BH1912" s="0" t="s">
        <v>154</v>
      </c>
      <c r="BI1912" s="0" t="s">
        <v>154</v>
      </c>
      <c r="BJ1912" s="0" t="s">
        <v>154</v>
      </c>
      <c r="BK1912" s="0" t="s">
        <v>154</v>
      </c>
      <c r="BL1912" s="0" t="s">
        <v>154</v>
      </c>
      <c r="BP1912" s="0" t="s">
        <v>154</v>
      </c>
      <c r="BR1912" s="0" t="s">
        <v>154</v>
      </c>
      <c r="BS1912" s="0" t="s">
        <v>154</v>
      </c>
      <c r="BY1912" s="0" t="s">
        <v>155</v>
      </c>
      <c r="CA1912" s="0" t="s">
        <v>154</v>
      </c>
      <c r="CG1912" s="0" t="s">
        <v>154</v>
      </c>
      <c r="CH1912" s="0" t="s">
        <v>155</v>
      </c>
      <c r="CK1912" s="0" t="s">
        <v>154</v>
      </c>
      <c r="CL1912" s="0" t="s">
        <v>155</v>
      </c>
      <c r="CN1912" s="0" t="s">
        <v>154</v>
      </c>
      <c r="CO1912" s="0" t="s">
        <v>155</v>
      </c>
      <c r="CP1912" s="0" t="s">
        <v>154</v>
      </c>
      <c r="CQ1912" s="0" t="s">
        <v>155</v>
      </c>
      <c r="CT1912" s="0" t="s">
        <v>154</v>
      </c>
      <c r="CU1912" s="0" t="s">
        <v>155</v>
      </c>
      <c r="CV1912" s="0" t="s">
        <v>154</v>
      </c>
      <c r="CW1912" s="0" t="s">
        <v>155</v>
      </c>
      <c r="CY1912" s="0" t="s">
        <v>154</v>
      </c>
      <c r="CZ1912" s="0" t="s">
        <v>155</v>
      </c>
      <c r="DC1912" s="0" t="s">
        <v>154</v>
      </c>
      <c r="DD1912" s="0" t="s">
        <v>155</v>
      </c>
      <c r="DF1912" s="0" t="s">
        <v>154</v>
      </c>
      <c r="DG1912" s="0" t="s">
        <v>155</v>
      </c>
      <c r="DI1912" s="0" t="s">
        <v>154</v>
      </c>
      <c r="DJ1912" s="0" t="s">
        <v>155</v>
      </c>
      <c r="DL1912" s="0" t="s">
        <v>154</v>
      </c>
      <c r="DM1912" s="0" t="s">
        <v>155</v>
      </c>
      <c r="DN1912" s="0" t="s">
        <v>154</v>
      </c>
      <c r="DO1912" s="0" t="s">
        <v>155</v>
      </c>
      <c r="DR1912" s="0" t="s">
        <v>154</v>
      </c>
      <c r="DS1912" s="0" t="s">
        <v>155</v>
      </c>
      <c r="DT1912" s="0" t="s">
        <v>155</v>
      </c>
      <c r="DU1912" s="0" t="s">
        <v>154</v>
      </c>
      <c r="DW1912" s="0" t="s">
        <v>155</v>
      </c>
      <c r="DX1912" s="0" t="s">
        <v>154</v>
      </c>
      <c r="EA1912" s="0" t="s">
        <v>154</v>
      </c>
      <c r="ED1912" s="0" t="s">
        <v>155</v>
      </c>
      <c r="EF1912" s="0" t="s">
        <v>154</v>
      </c>
      <c r="EH1912" s="0" t="s">
        <v>155</v>
      </c>
    </row>
    <row r="1913" customFormat="false" ht="13.8" hidden="false" customHeight="false" outlineLevel="0" collapsed="false">
      <c r="A1913" s="0" t="s">
        <v>8541</v>
      </c>
      <c r="B1913" s="0" t="n">
        <v>78</v>
      </c>
      <c r="C1913" s="0" t="n">
        <v>22458</v>
      </c>
      <c r="D1913" s="0" t="s">
        <v>1083</v>
      </c>
      <c r="E1913" s="0" t="s">
        <v>6319</v>
      </c>
      <c r="F1913" s="0" t="str">
        <f aca="false">CONCATENATE(D1913," ",LEFT(H1913,4),"T=",AU1913,"D=",AV1913,"R=",AW1913,"M=",AX1913,"L=",AY1913,"B=",AZ1913)</f>
        <v>MATLOCK T=1D=0R=0M=6L=6B=0</v>
      </c>
      <c r="G1913" s="0" t="s">
        <v>172</v>
      </c>
      <c r="I1913" s="0" t="s">
        <v>8542</v>
      </c>
      <c r="J1913" s="0" t="s">
        <v>8543</v>
      </c>
      <c r="K1913" s="0" t="s">
        <v>175</v>
      </c>
      <c r="L1913" s="1" t="s">
        <v>155</v>
      </c>
      <c r="M1913" s="0" t="s">
        <v>8534</v>
      </c>
      <c r="N1913" s="0" t="str">
        <f aca="false">RIGHT(M1913,LEN(M1913)-FIND(" ",M1913))</f>
        <v>N PARK AVE</v>
      </c>
      <c r="P1913" s="0" t="s">
        <v>146</v>
      </c>
      <c r="Q1913" s="0" t="s">
        <v>147</v>
      </c>
      <c r="R1913" s="0" t="n">
        <v>44483</v>
      </c>
      <c r="AD1913" s="0" t="s">
        <v>148</v>
      </c>
      <c r="AE1913" s="0" t="s">
        <v>149</v>
      </c>
      <c r="AF1913" s="0" t="s">
        <v>150</v>
      </c>
      <c r="AH1913" s="0" t="n">
        <v>14</v>
      </c>
      <c r="AI1913" s="0" t="n">
        <v>11</v>
      </c>
      <c r="AN1913" s="0" t="s">
        <v>146</v>
      </c>
      <c r="AO1913" s="0" t="s">
        <v>250</v>
      </c>
      <c r="AP1913" s="0" t="s">
        <v>251</v>
      </c>
      <c r="AQ1913" s="0" t="n">
        <v>9</v>
      </c>
      <c r="AR1913" s="0" t="n">
        <v>64</v>
      </c>
      <c r="AS1913" s="0" t="n">
        <v>32</v>
      </c>
      <c r="AU1913" s="0" t="n">
        <f aca="false">COUNTA($BA$2141:$EH$2141)</f>
        <v>1</v>
      </c>
      <c r="AV1913" s="0" t="n">
        <f aca="false">COUNTIF($BA$2141:$EH$2141,"D")</f>
        <v>0</v>
      </c>
      <c r="AW1913" s="0" t="n">
        <f aca="false">COUNTIF($BA$2141:$EH$2141,"R")</f>
        <v>0</v>
      </c>
      <c r="AX1913" s="0" t="n">
        <f aca="false"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>6</v>
      </c>
      <c r="AY1913" s="0" t="n">
        <f aca="false">COUNTIF(DU1913:EH1913, "&lt;&gt;")</f>
        <v>6</v>
      </c>
      <c r="AZ1913" s="0" t="n">
        <f aca="false">IF(EH1913&lt;&gt;"",1,0)</f>
        <v>0</v>
      </c>
      <c r="BB1913" s="0" t="s">
        <v>153</v>
      </c>
      <c r="BC1913" s="0" t="s">
        <v>154</v>
      </c>
      <c r="BD1913" s="0" t="s">
        <v>154</v>
      </c>
      <c r="BE1913" s="0" t="s">
        <v>154</v>
      </c>
      <c r="BF1913" s="0" t="s">
        <v>154</v>
      </c>
      <c r="BG1913" s="0" t="s">
        <v>154</v>
      </c>
      <c r="BH1913" s="0" t="s">
        <v>154</v>
      </c>
      <c r="BI1913" s="0" t="s">
        <v>154</v>
      </c>
      <c r="BJ1913" s="0" t="s">
        <v>154</v>
      </c>
      <c r="BK1913" s="0" t="s">
        <v>154</v>
      </c>
      <c r="BL1913" s="0" t="s">
        <v>154</v>
      </c>
      <c r="BP1913" s="0" t="s">
        <v>154</v>
      </c>
      <c r="BR1913" s="0" t="s">
        <v>154</v>
      </c>
      <c r="BS1913" s="0" t="s">
        <v>154</v>
      </c>
      <c r="BV1913" s="0" t="s">
        <v>154</v>
      </c>
      <c r="BY1913" s="0" t="s">
        <v>155</v>
      </c>
      <c r="CA1913" s="0" t="s">
        <v>154</v>
      </c>
      <c r="CG1913" s="0" t="s">
        <v>154</v>
      </c>
      <c r="CH1913" s="0" t="s">
        <v>155</v>
      </c>
      <c r="CK1913" s="0" t="s">
        <v>154</v>
      </c>
      <c r="CL1913" s="0" t="s">
        <v>155</v>
      </c>
      <c r="CN1913" s="0" t="s">
        <v>154</v>
      </c>
      <c r="CO1913" s="0" t="s">
        <v>155</v>
      </c>
      <c r="CP1913" s="0" t="s">
        <v>154</v>
      </c>
      <c r="CQ1913" s="0" t="s">
        <v>155</v>
      </c>
      <c r="CT1913" s="0" t="s">
        <v>154</v>
      </c>
      <c r="CU1913" s="0" t="s">
        <v>155</v>
      </c>
      <c r="CV1913" s="0" t="s">
        <v>154</v>
      </c>
      <c r="CW1913" s="0" t="s">
        <v>155</v>
      </c>
      <c r="CY1913" s="0" t="s">
        <v>154</v>
      </c>
      <c r="CZ1913" s="0" t="s">
        <v>155</v>
      </c>
      <c r="DC1913" s="0" t="s">
        <v>154</v>
      </c>
      <c r="DD1913" s="0" t="s">
        <v>155</v>
      </c>
      <c r="DF1913" s="0" t="s">
        <v>154</v>
      </c>
      <c r="DG1913" s="0" t="s">
        <v>155</v>
      </c>
      <c r="DI1913" s="0" t="s">
        <v>154</v>
      </c>
      <c r="DJ1913" s="0" t="s">
        <v>155</v>
      </c>
      <c r="DL1913" s="0" t="s">
        <v>154</v>
      </c>
      <c r="DM1913" s="0" t="s">
        <v>155</v>
      </c>
      <c r="DN1913" s="0" t="s">
        <v>154</v>
      </c>
      <c r="DR1913" s="0" t="s">
        <v>154</v>
      </c>
      <c r="DS1913" s="0" t="s">
        <v>155</v>
      </c>
      <c r="DU1913" s="0" t="s">
        <v>154</v>
      </c>
      <c r="DW1913" s="0" t="s">
        <v>155</v>
      </c>
      <c r="DX1913" s="0" t="s">
        <v>154</v>
      </c>
      <c r="EA1913" s="0" t="s">
        <v>154</v>
      </c>
      <c r="ED1913" s="0" t="s">
        <v>155</v>
      </c>
      <c r="EF1913" s="0" t="s">
        <v>154</v>
      </c>
    </row>
    <row r="1914" customFormat="false" ht="13.8" hidden="true" customHeight="false" outlineLevel="0" collapsed="false">
      <c r="A1914" s="0" t="s">
        <v>8544</v>
      </c>
      <c r="B1914" s="0" t="n">
        <v>78</v>
      </c>
      <c r="C1914" s="0" t="n">
        <v>490173</v>
      </c>
      <c r="D1914" s="0" t="s">
        <v>8545</v>
      </c>
      <c r="E1914" s="0" t="s">
        <v>2181</v>
      </c>
      <c r="F1914" s="0" t="str">
        <f aca="false">CONCATENATE(D1914," ",LEFT(H1914,4),"T=",AU1914,"D=",AV1914,"R=",AW1914,"M=",AX1914,"L=",AY1914,"B=",AZ1914)</f>
        <v>WEIMER T=1D=0R=0M=0L=0B=0</v>
      </c>
      <c r="G1914" s="0" t="s">
        <v>188</v>
      </c>
      <c r="I1914" s="0" t="s">
        <v>8546</v>
      </c>
      <c r="J1914" s="0" t="s">
        <v>6983</v>
      </c>
      <c r="K1914" s="0" t="s">
        <v>175</v>
      </c>
      <c r="L1914" s="0"/>
      <c r="M1914" s="0" t="s">
        <v>8547</v>
      </c>
      <c r="N1914" s="0" t="str">
        <f aca="false">RIGHT(M1914,LEN(M1914)-FIND(" ",M1914))</f>
        <v>N PARK AVE</v>
      </c>
      <c r="P1914" s="0" t="s">
        <v>146</v>
      </c>
      <c r="Q1914" s="0" t="s">
        <v>147</v>
      </c>
      <c r="R1914" s="0" t="n">
        <v>44483</v>
      </c>
      <c r="AD1914" s="0" t="s">
        <v>148</v>
      </c>
      <c r="AE1914" s="0" t="s">
        <v>149</v>
      </c>
      <c r="AF1914" s="0" t="s">
        <v>150</v>
      </c>
      <c r="AH1914" s="0" t="n">
        <v>14</v>
      </c>
      <c r="AI1914" s="0" t="n">
        <v>11</v>
      </c>
      <c r="AN1914" s="0" t="s">
        <v>146</v>
      </c>
      <c r="AO1914" s="0" t="s">
        <v>250</v>
      </c>
      <c r="AP1914" s="0" t="s">
        <v>251</v>
      </c>
      <c r="AQ1914" s="0" t="n">
        <v>9</v>
      </c>
      <c r="AR1914" s="0" t="n">
        <v>64</v>
      </c>
      <c r="AS1914" s="0" t="n">
        <v>32</v>
      </c>
      <c r="AU1914" s="0" t="n">
        <f aca="false">COUNTA($BA$2607:$EH$2607)</f>
        <v>1</v>
      </c>
      <c r="AV1914" s="0" t="n">
        <f aca="false">COUNTIF($BA$2607:$EH$2607,"D")</f>
        <v>0</v>
      </c>
      <c r="AW1914" s="0" t="n">
        <f aca="false">COUNTIF($BA$2607:$EH$2607,"R")</f>
        <v>0</v>
      </c>
      <c r="AX1914" s="0" t="n">
        <f aca="false"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>0</v>
      </c>
      <c r="AY1914" s="0" t="n">
        <f aca="false">COUNTIF(DU1914:EH1914, "&lt;&gt;")</f>
        <v>0</v>
      </c>
      <c r="AZ1914" s="0" t="n">
        <f aca="false">IF(EH1914&lt;&gt;"",1,0)</f>
        <v>0</v>
      </c>
      <c r="BB1914" s="0" t="s">
        <v>153</v>
      </c>
    </row>
    <row r="1915" customFormat="false" ht="13.8" hidden="true" customHeight="false" outlineLevel="0" collapsed="false">
      <c r="A1915" s="0" t="s">
        <v>8548</v>
      </c>
      <c r="B1915" s="0" t="n">
        <v>78</v>
      </c>
      <c r="C1915" s="0" t="n">
        <v>444254</v>
      </c>
      <c r="D1915" s="0" t="s">
        <v>8549</v>
      </c>
      <c r="E1915" s="0" t="s">
        <v>1232</v>
      </c>
      <c r="F1915" s="0" t="str">
        <f aca="false">CONCATENATE(D1915," ",LEFT(H1915,4),"T=",AU1915,"D=",AV1915,"R=",AW1915,"M=",AX1915,"L=",AY1915,"B=",AZ1915)</f>
        <v>PELLIZZERI T=47D=13R=3M=0L=0B=0</v>
      </c>
      <c r="G1915" s="0" t="s">
        <v>508</v>
      </c>
      <c r="I1915" s="0" t="s">
        <v>8550</v>
      </c>
      <c r="J1915" s="0" t="s">
        <v>4007</v>
      </c>
      <c r="K1915" s="0" t="s">
        <v>175</v>
      </c>
      <c r="L1915" s="0"/>
      <c r="M1915" s="0" t="s">
        <v>8547</v>
      </c>
      <c r="N1915" s="0" t="str">
        <f aca="false">RIGHT(M1915,LEN(M1915)-FIND(" ",M1915))</f>
        <v>N PARK AVE</v>
      </c>
      <c r="P1915" s="0" t="s">
        <v>146</v>
      </c>
      <c r="Q1915" s="0" t="s">
        <v>147</v>
      </c>
      <c r="R1915" s="0" t="n">
        <v>44483</v>
      </c>
      <c r="AD1915" s="0" t="s">
        <v>148</v>
      </c>
      <c r="AE1915" s="0" t="s">
        <v>149</v>
      </c>
      <c r="AF1915" s="0" t="s">
        <v>150</v>
      </c>
      <c r="AH1915" s="0" t="n">
        <v>14</v>
      </c>
      <c r="AI1915" s="0" t="n">
        <v>11</v>
      </c>
      <c r="AN1915" s="0" t="s">
        <v>146</v>
      </c>
      <c r="AO1915" s="0" t="s">
        <v>250</v>
      </c>
      <c r="AP1915" s="0" t="s">
        <v>251</v>
      </c>
      <c r="AQ1915" s="0" t="n">
        <v>9</v>
      </c>
      <c r="AR1915" s="0" t="n">
        <v>64</v>
      </c>
      <c r="AS1915" s="0" t="n">
        <v>32</v>
      </c>
      <c r="AU1915" s="0" t="n">
        <f aca="false">COUNTA($BA$2659:$EH$2659)</f>
        <v>47</v>
      </c>
      <c r="AV1915" s="0" t="n">
        <f aca="false">COUNTIF($BA$2659:$EH$2659,"D")</f>
        <v>13</v>
      </c>
      <c r="AW1915" s="0" t="n">
        <f aca="false">COUNTIF($BA$2659:$EH$2659,"R")</f>
        <v>3</v>
      </c>
      <c r="AX1915" s="0" t="n">
        <f aca="false"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>0</v>
      </c>
      <c r="AY1915" s="0" t="n">
        <f aca="false">COUNTIF(DU1915:EH1915, "&lt;&gt;")</f>
        <v>0</v>
      </c>
      <c r="AZ1915" s="0" t="n">
        <f aca="false">IF(EH1915&lt;&gt;"",1,0)</f>
        <v>0</v>
      </c>
      <c r="BB1915" s="0" t="s">
        <v>153</v>
      </c>
    </row>
    <row r="1916" customFormat="false" ht="13.8" hidden="true" customHeight="false" outlineLevel="0" collapsed="false">
      <c r="A1916" s="0" t="s">
        <v>8551</v>
      </c>
      <c r="B1916" s="0" t="n">
        <v>78</v>
      </c>
      <c r="C1916" s="0" t="n">
        <v>357694</v>
      </c>
      <c r="D1916" s="0" t="s">
        <v>8552</v>
      </c>
      <c r="E1916" s="0" t="s">
        <v>5602</v>
      </c>
      <c r="F1916" s="0" t="str">
        <f aca="false">CONCATENATE(D1916," ",LEFT(H1916,4),"T=",AU1916,"D=",AV1916,"R=",AW1916,"M=",AX1916,"L=",AY1916,"B=",AZ1916)</f>
        <v>ROYSTER T=11D=1R=0M=0L=0B=0</v>
      </c>
      <c r="G1916" s="0" t="s">
        <v>297</v>
      </c>
      <c r="I1916" s="0" t="s">
        <v>8553</v>
      </c>
      <c r="J1916" s="0" t="s">
        <v>8554</v>
      </c>
      <c r="K1916" s="0" t="s">
        <v>144</v>
      </c>
      <c r="L1916" s="0"/>
      <c r="M1916" s="0" t="s">
        <v>8555</v>
      </c>
      <c r="N1916" s="0" t="str">
        <f aca="false">RIGHT(M1916,LEN(M1916)-FIND(" ",M1916))</f>
        <v>N PARK AVE</v>
      </c>
      <c r="P1916" s="0" t="s">
        <v>146</v>
      </c>
      <c r="Q1916" s="0" t="s">
        <v>147</v>
      </c>
      <c r="R1916" s="0" t="n">
        <v>44483</v>
      </c>
      <c r="AD1916" s="0" t="s">
        <v>148</v>
      </c>
      <c r="AE1916" s="0" t="s">
        <v>149</v>
      </c>
      <c r="AF1916" s="0" t="s">
        <v>150</v>
      </c>
      <c r="AH1916" s="0" t="n">
        <v>14</v>
      </c>
      <c r="AI1916" s="0" t="n">
        <v>11</v>
      </c>
      <c r="AN1916" s="0" t="s">
        <v>146</v>
      </c>
      <c r="AO1916" s="0" t="s">
        <v>250</v>
      </c>
      <c r="AP1916" s="0" t="s">
        <v>251</v>
      </c>
      <c r="AQ1916" s="0" t="n">
        <v>9</v>
      </c>
      <c r="AR1916" s="0" t="n">
        <v>64</v>
      </c>
      <c r="AS1916" s="0" t="n">
        <v>32</v>
      </c>
      <c r="AU1916" s="0" t="n">
        <f aca="false">COUNTA($BA$2114:$EH$2114)</f>
        <v>11</v>
      </c>
      <c r="AV1916" s="0" t="n">
        <f aca="false">COUNTIF($BA$2114:$EH$2114,"D")</f>
        <v>1</v>
      </c>
      <c r="AW1916" s="0" t="n">
        <f aca="false">COUNTIF($BA$2114:$EH$2114,"R")</f>
        <v>0</v>
      </c>
      <c r="AX1916" s="0" t="n">
        <f aca="false"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>0</v>
      </c>
      <c r="AY1916" s="0" t="n">
        <f aca="false">COUNTIF(DU1916:EH1916, "&lt;&gt;")</f>
        <v>0</v>
      </c>
      <c r="AZ1916" s="0" t="n">
        <f aca="false">IF(EH1916&lt;&gt;"",1,0)</f>
        <v>0</v>
      </c>
      <c r="BB1916" s="0" t="s">
        <v>153</v>
      </c>
      <c r="CA1916" s="0" t="s">
        <v>154</v>
      </c>
      <c r="CP1916" s="0" t="s">
        <v>154</v>
      </c>
      <c r="DC1916" s="0" t="s">
        <v>154</v>
      </c>
    </row>
    <row r="1917" customFormat="false" ht="13.8" hidden="true" customHeight="false" outlineLevel="0" collapsed="false">
      <c r="A1917" s="0" t="s">
        <v>8556</v>
      </c>
      <c r="B1917" s="0" t="n">
        <v>78</v>
      </c>
      <c r="C1917" s="0" t="n">
        <v>474483</v>
      </c>
      <c r="D1917" s="0" t="s">
        <v>8557</v>
      </c>
      <c r="E1917" s="0" t="s">
        <v>5759</v>
      </c>
      <c r="F1917" s="0" t="str">
        <f aca="false">CONCATENATE(D1917," ",LEFT(H1917,4),"T=",AU1917,"D=",AV1917,"R=",AW1917,"M=",AX1917,"L=",AY1917,"B=",AZ1917)</f>
        <v>CHAPPELLE T=8D=1R=1M=0L=0B=0</v>
      </c>
      <c r="G1917" s="0" t="s">
        <v>241</v>
      </c>
      <c r="I1917" s="0" t="s">
        <v>8558</v>
      </c>
      <c r="J1917" s="0" t="s">
        <v>7291</v>
      </c>
      <c r="K1917" s="0" t="s">
        <v>175</v>
      </c>
      <c r="L1917" s="0"/>
      <c r="M1917" s="0" t="s">
        <v>8555</v>
      </c>
      <c r="N1917" s="0" t="str">
        <f aca="false">RIGHT(M1917,LEN(M1917)-FIND(" ",M1917))</f>
        <v>N PARK AVE</v>
      </c>
      <c r="P1917" s="0" t="s">
        <v>146</v>
      </c>
      <c r="Q1917" s="0" t="s">
        <v>147</v>
      </c>
      <c r="R1917" s="0" t="n">
        <v>44483</v>
      </c>
      <c r="AD1917" s="0" t="s">
        <v>148</v>
      </c>
      <c r="AE1917" s="0" t="s">
        <v>149</v>
      </c>
      <c r="AF1917" s="0" t="s">
        <v>150</v>
      </c>
      <c r="AH1917" s="0" t="n">
        <v>14</v>
      </c>
      <c r="AI1917" s="0" t="n">
        <v>11</v>
      </c>
      <c r="AN1917" s="0" t="s">
        <v>146</v>
      </c>
      <c r="AO1917" s="0" t="s">
        <v>250</v>
      </c>
      <c r="AP1917" s="0" t="s">
        <v>251</v>
      </c>
      <c r="AQ1917" s="0" t="n">
        <v>9</v>
      </c>
      <c r="AR1917" s="0" t="n">
        <v>64</v>
      </c>
      <c r="AS1917" s="0" t="n">
        <v>32</v>
      </c>
      <c r="AU1917" s="0" t="n">
        <f aca="false">COUNTA($BA$2563:$EH$2563)</f>
        <v>8</v>
      </c>
      <c r="AV1917" s="0" t="n">
        <f aca="false">COUNTIF($BA$2563:$EH$2563,"D")</f>
        <v>1</v>
      </c>
      <c r="AW1917" s="0" t="n">
        <f aca="false">COUNTIF($BA$2563:$EH$2563,"R")</f>
        <v>1</v>
      </c>
      <c r="AX1917" s="0" t="n">
        <f aca="false"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>0</v>
      </c>
      <c r="AY1917" s="0" t="n">
        <f aca="false">COUNTIF(DU1917:EH1917, "&lt;&gt;")</f>
        <v>0</v>
      </c>
      <c r="AZ1917" s="0" t="n">
        <f aca="false">IF(EH1917&lt;&gt;"",1,0)</f>
        <v>0</v>
      </c>
      <c r="BB1917" s="0" t="s">
        <v>153</v>
      </c>
    </row>
    <row r="1918" customFormat="false" ht="13.8" hidden="true" customHeight="false" outlineLevel="0" collapsed="false">
      <c r="A1918" s="0" t="s">
        <v>8559</v>
      </c>
      <c r="B1918" s="0" t="n">
        <v>78</v>
      </c>
      <c r="C1918" s="0" t="n">
        <v>460124</v>
      </c>
      <c r="D1918" s="0" t="s">
        <v>8560</v>
      </c>
      <c r="E1918" s="0" t="s">
        <v>8561</v>
      </c>
      <c r="F1918" s="0" t="str">
        <f aca="false">CONCATENATE(D1918," ",LEFT(H1918,4),"T=",AU1918,"D=",AV1918,"R=",AW1918,"M=",AX1918,"L=",AY1918,"B=",AZ1918)</f>
        <v>LORENZANA T=5D=2R=0M=0L=0B=0</v>
      </c>
      <c r="G1918" s="0" t="s">
        <v>8562</v>
      </c>
      <c r="I1918" s="0" t="s">
        <v>8563</v>
      </c>
      <c r="J1918" s="0" t="s">
        <v>1508</v>
      </c>
      <c r="K1918" s="0" t="s">
        <v>144</v>
      </c>
      <c r="L1918" s="0"/>
      <c r="M1918" s="0" t="s">
        <v>8555</v>
      </c>
      <c r="N1918" s="0" t="str">
        <f aca="false">RIGHT(M1918,LEN(M1918)-FIND(" ",M1918))</f>
        <v>N PARK AVE</v>
      </c>
      <c r="P1918" s="0" t="s">
        <v>146</v>
      </c>
      <c r="Q1918" s="0" t="s">
        <v>147</v>
      </c>
      <c r="R1918" s="0" t="n">
        <v>44483</v>
      </c>
      <c r="AD1918" s="0" t="s">
        <v>148</v>
      </c>
      <c r="AE1918" s="0" t="s">
        <v>149</v>
      </c>
      <c r="AF1918" s="0" t="s">
        <v>150</v>
      </c>
      <c r="AH1918" s="0" t="n">
        <v>14</v>
      </c>
      <c r="AI1918" s="0" t="n">
        <v>11</v>
      </c>
      <c r="AN1918" s="0" t="s">
        <v>146</v>
      </c>
      <c r="AO1918" s="0" t="s">
        <v>250</v>
      </c>
      <c r="AP1918" s="0" t="s">
        <v>251</v>
      </c>
      <c r="AQ1918" s="0" t="n">
        <v>9</v>
      </c>
      <c r="AR1918" s="0" t="n">
        <v>64</v>
      </c>
      <c r="AS1918" s="0" t="n">
        <v>32</v>
      </c>
      <c r="AU1918" s="0" t="n">
        <f aca="false">COUNTA($BA$2778:$EH$2778)</f>
        <v>5</v>
      </c>
      <c r="AV1918" s="0" t="n">
        <f aca="false">COUNTIF($BA$2778:$EH$2778,"D")</f>
        <v>2</v>
      </c>
      <c r="AW1918" s="0" t="n">
        <f aca="false">COUNTIF($BA$2778:$EH$2778,"R")</f>
        <v>0</v>
      </c>
      <c r="AX1918" s="0" t="n">
        <f aca="false"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>0</v>
      </c>
      <c r="AY1918" s="0" t="n">
        <f aca="false">COUNTIF(DU1918:EH1918, "&lt;&gt;")</f>
        <v>0</v>
      </c>
      <c r="AZ1918" s="0" t="n">
        <f aca="false">IF(EH1918&lt;&gt;"",1,0)</f>
        <v>0</v>
      </c>
      <c r="BB1918" s="0" t="s">
        <v>153</v>
      </c>
    </row>
    <row r="1919" customFormat="false" ht="13.8" hidden="false" customHeight="false" outlineLevel="0" collapsed="false">
      <c r="A1919" s="0" t="s">
        <v>8564</v>
      </c>
      <c r="B1919" s="0" t="n">
        <v>78</v>
      </c>
      <c r="C1919" s="0" t="n">
        <v>346067</v>
      </c>
      <c r="D1919" s="0" t="s">
        <v>8565</v>
      </c>
      <c r="E1919" s="0" t="s">
        <v>4031</v>
      </c>
      <c r="F1919" s="0" t="str">
        <f aca="false">CONCATENATE(D1919," ",LEFT(H1919,4),"T=",AU1919,"D=",AV1919,"R=",AW1919,"M=",AX1919,"L=",AY1919,"B=",AZ1919)</f>
        <v>UREY T=7D=0R=0M=0L=3B=0</v>
      </c>
      <c r="I1919" s="0" t="s">
        <v>8566</v>
      </c>
      <c r="J1919" s="0" t="s">
        <v>8567</v>
      </c>
      <c r="K1919" s="0" t="s">
        <v>175</v>
      </c>
      <c r="M1919" s="0" t="s">
        <v>8568</v>
      </c>
      <c r="N1919" s="0" t="str">
        <f aca="false">RIGHT(M1919,LEN(M1919)-FIND(" ",M1919))</f>
        <v>N PARK AVE</v>
      </c>
      <c r="P1919" s="0" t="s">
        <v>146</v>
      </c>
      <c r="Q1919" s="0" t="s">
        <v>147</v>
      </c>
      <c r="R1919" s="0" t="n">
        <v>44483</v>
      </c>
      <c r="AD1919" s="0" t="s">
        <v>148</v>
      </c>
      <c r="AE1919" s="0" t="s">
        <v>149</v>
      </c>
      <c r="AF1919" s="0" t="s">
        <v>150</v>
      </c>
      <c r="AH1919" s="0" t="n">
        <v>14</v>
      </c>
      <c r="AI1919" s="0" t="n">
        <v>11</v>
      </c>
      <c r="AN1919" s="0" t="s">
        <v>146</v>
      </c>
      <c r="AO1919" s="0" t="s">
        <v>250</v>
      </c>
      <c r="AP1919" s="0" t="s">
        <v>251</v>
      </c>
      <c r="AQ1919" s="0" t="n">
        <v>9</v>
      </c>
      <c r="AR1919" s="0" t="n">
        <v>64</v>
      </c>
      <c r="AS1919" s="0" t="n">
        <v>32</v>
      </c>
      <c r="AU1919" s="0" t="n">
        <f aca="false">COUNTA($BA$2448:$EH$2448)</f>
        <v>7</v>
      </c>
      <c r="AV1919" s="0" t="n">
        <f aca="false">COUNTIF($BA$2448:$EH$2448,"D")</f>
        <v>0</v>
      </c>
      <c r="AW1919" s="0" t="n">
        <f aca="false">COUNTIF($BA$2448:$EH$2448,"R")</f>
        <v>0</v>
      </c>
      <c r="AX1919" s="0" t="n">
        <f aca="false"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>0</v>
      </c>
      <c r="AY1919" s="0" t="n">
        <f aca="false">COUNTIF(DU1919:EH1919, "&lt;&gt;")</f>
        <v>3</v>
      </c>
      <c r="AZ1919" s="0" t="n">
        <f aca="false">IF(EH1919&lt;&gt;"",1,0)</f>
        <v>0</v>
      </c>
      <c r="BB1919" s="0" t="s">
        <v>153</v>
      </c>
      <c r="CZ1919" s="0" t="s">
        <v>155</v>
      </c>
      <c r="DC1919" s="0" t="s">
        <v>154</v>
      </c>
      <c r="DI1919" s="0" t="s">
        <v>154</v>
      </c>
      <c r="DN1919" s="0" t="s">
        <v>154</v>
      </c>
      <c r="DU1919" s="0" t="s">
        <v>154</v>
      </c>
      <c r="EA1919" s="0" t="s">
        <v>154</v>
      </c>
      <c r="EF1919" s="0" t="s">
        <v>154</v>
      </c>
    </row>
    <row r="1920" customFormat="false" ht="13.8" hidden="false" customHeight="false" outlineLevel="0" collapsed="false">
      <c r="A1920" s="0" t="s">
        <v>8569</v>
      </c>
      <c r="B1920" s="0" t="n">
        <v>78</v>
      </c>
      <c r="C1920" s="0" t="n">
        <v>295922</v>
      </c>
      <c r="D1920" s="0" t="s">
        <v>8570</v>
      </c>
      <c r="E1920" s="0" t="s">
        <v>634</v>
      </c>
      <c r="F1920" s="0" t="str">
        <f aca="false">CONCATENATE(D1920," ",LEFT(H1920,4),"T=",AU1920,"D=",AV1920,"R=",AW1920,"M=",AX1920,"L=",AY1920,"B=",AZ1920)</f>
        <v>BYARD T=36D=11R=0M=0L=2B=0</v>
      </c>
      <c r="G1920" s="0" t="s">
        <v>172</v>
      </c>
      <c r="I1920" s="0" t="s">
        <v>8571</v>
      </c>
      <c r="J1920" s="0" t="s">
        <v>8572</v>
      </c>
      <c r="K1920" s="0" t="s">
        <v>175</v>
      </c>
      <c r="M1920" s="0" t="s">
        <v>8573</v>
      </c>
      <c r="N1920" s="0" t="str">
        <f aca="false">RIGHT(M1920,LEN(M1920)-FIND(" ",M1920))</f>
        <v>N PARK AVE</v>
      </c>
      <c r="P1920" s="0" t="s">
        <v>146</v>
      </c>
      <c r="Q1920" s="0" t="s">
        <v>147</v>
      </c>
      <c r="R1920" s="0" t="n">
        <v>44483</v>
      </c>
      <c r="AD1920" s="0" t="s">
        <v>148</v>
      </c>
      <c r="AE1920" s="0" t="s">
        <v>149</v>
      </c>
      <c r="AF1920" s="0" t="s">
        <v>150</v>
      </c>
      <c r="AH1920" s="0" t="n">
        <v>14</v>
      </c>
      <c r="AI1920" s="0" t="n">
        <v>11</v>
      </c>
      <c r="AN1920" s="0" t="s">
        <v>146</v>
      </c>
      <c r="AO1920" s="0" t="s">
        <v>250</v>
      </c>
      <c r="AP1920" s="0" t="s">
        <v>251</v>
      </c>
      <c r="AQ1920" s="0" t="n">
        <v>9</v>
      </c>
      <c r="AR1920" s="0" t="n">
        <v>64</v>
      </c>
      <c r="AS1920" s="0" t="n">
        <v>32</v>
      </c>
      <c r="AU1920" s="0" t="n">
        <f aca="false">COUNTA($BA$2622:$EH$2622)</f>
        <v>36</v>
      </c>
      <c r="AV1920" s="0" t="n">
        <f aca="false">COUNTIF($BA$2622:$EH$2622,"D")</f>
        <v>11</v>
      </c>
      <c r="AW1920" s="0" t="n">
        <f aca="false">COUNTIF($BA$2622:$EH$2622,"R")</f>
        <v>0</v>
      </c>
      <c r="AX1920" s="0" t="n">
        <f aca="false"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>0</v>
      </c>
      <c r="AY1920" s="0" t="n">
        <f aca="false">COUNTIF(DU1920:EH1920, "&lt;&gt;")</f>
        <v>2</v>
      </c>
      <c r="AZ1920" s="0" t="n">
        <f aca="false">IF(EH1920&lt;&gt;"",1,0)</f>
        <v>0</v>
      </c>
      <c r="BB1920" s="0" t="s">
        <v>153</v>
      </c>
      <c r="BD1920" s="0" t="s">
        <v>154</v>
      </c>
      <c r="BE1920" s="0" t="s">
        <v>154</v>
      </c>
      <c r="BF1920" s="0" t="s">
        <v>154</v>
      </c>
      <c r="BS1920" s="0" t="s">
        <v>154</v>
      </c>
      <c r="CN1920" s="0" t="s">
        <v>154</v>
      </c>
      <c r="CY1920" s="0" t="s">
        <v>154</v>
      </c>
      <c r="CZ1920" s="0" t="s">
        <v>176</v>
      </c>
      <c r="DC1920" s="0" t="s">
        <v>154</v>
      </c>
      <c r="DL1920" s="0" t="s">
        <v>154</v>
      </c>
      <c r="DN1920" s="0" t="s">
        <v>154</v>
      </c>
      <c r="DU1920" s="0" t="s">
        <v>154</v>
      </c>
      <c r="EF1920" s="0" t="s">
        <v>154</v>
      </c>
    </row>
    <row r="1921" customFormat="false" ht="13.8" hidden="true" customHeight="false" outlineLevel="0" collapsed="false">
      <c r="A1921" s="0" t="s">
        <v>8574</v>
      </c>
      <c r="B1921" s="0" t="n">
        <v>78</v>
      </c>
      <c r="C1921" s="0" t="n">
        <v>404968</v>
      </c>
      <c r="D1921" s="0" t="s">
        <v>1634</v>
      </c>
      <c r="E1921" s="0" t="s">
        <v>5907</v>
      </c>
      <c r="F1921" s="0" t="str">
        <f aca="false">CONCATENATE(D1921," ",LEFT(H1921,4),"T=",AU1921,"D=",AV1921,"R=",AW1921,"M=",AX1921,"L=",AY1921,"B=",AZ1921)</f>
        <v>BENSON T=24D=5R=0M=0L=0B=0</v>
      </c>
      <c r="G1921" s="0" t="s">
        <v>8575</v>
      </c>
      <c r="I1921" s="0" t="s">
        <v>8576</v>
      </c>
      <c r="J1921" s="0" t="s">
        <v>2999</v>
      </c>
      <c r="K1921" s="0" t="s">
        <v>144</v>
      </c>
      <c r="L1921" s="0"/>
      <c r="M1921" s="0" t="s">
        <v>8577</v>
      </c>
      <c r="N1921" s="0" t="str">
        <f aca="false">RIGHT(M1921,LEN(M1921)-FIND(" ",M1921))</f>
        <v>N PARK AVE</v>
      </c>
      <c r="P1921" s="0" t="s">
        <v>146</v>
      </c>
      <c r="Q1921" s="0" t="s">
        <v>147</v>
      </c>
      <c r="R1921" s="0" t="n">
        <v>44483</v>
      </c>
      <c r="AD1921" s="0" t="s">
        <v>148</v>
      </c>
      <c r="AE1921" s="0" t="s">
        <v>149</v>
      </c>
      <c r="AF1921" s="0" t="s">
        <v>150</v>
      </c>
      <c r="AH1921" s="0" t="n">
        <v>14</v>
      </c>
      <c r="AI1921" s="0" t="n">
        <v>11</v>
      </c>
      <c r="AN1921" s="0" t="s">
        <v>146</v>
      </c>
      <c r="AO1921" s="0" t="s">
        <v>250</v>
      </c>
      <c r="AP1921" s="0" t="s">
        <v>251</v>
      </c>
      <c r="AQ1921" s="0" t="n">
        <v>9</v>
      </c>
      <c r="AR1921" s="0" t="n">
        <v>64</v>
      </c>
      <c r="AS1921" s="0" t="n">
        <v>32</v>
      </c>
      <c r="AU1921" s="0" t="n">
        <f aca="false">COUNTA($BA$2445:$EH$2445)</f>
        <v>24</v>
      </c>
      <c r="AV1921" s="0" t="n">
        <f aca="false">COUNTIF($BA$2445:$EH$2445,"D")</f>
        <v>5</v>
      </c>
      <c r="AW1921" s="0" t="n">
        <f aca="false">COUNTIF($BA$2445:$EH$2445,"R")</f>
        <v>0</v>
      </c>
      <c r="AX1921" s="0" t="n">
        <f aca="false"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>0</v>
      </c>
      <c r="AY1921" s="0" t="n">
        <f aca="false">COUNTIF(DU1921:EH1921, "&lt;&gt;")</f>
        <v>0</v>
      </c>
      <c r="AZ1921" s="0" t="n">
        <f aca="false">IF(EH1921&lt;&gt;"",1,0)</f>
        <v>0</v>
      </c>
      <c r="BB1921" s="0" t="s">
        <v>153</v>
      </c>
    </row>
    <row r="1922" customFormat="false" ht="13.8" hidden="true" customHeight="false" outlineLevel="0" collapsed="false">
      <c r="A1922" s="0" t="s">
        <v>8578</v>
      </c>
      <c r="B1922" s="0" t="n">
        <v>78</v>
      </c>
      <c r="C1922" s="0" t="n">
        <v>364595</v>
      </c>
      <c r="D1922" s="0" t="s">
        <v>1083</v>
      </c>
      <c r="E1922" s="0" t="s">
        <v>277</v>
      </c>
      <c r="F1922" s="0" t="str">
        <f aca="false">CONCATENATE(D1922," ",LEFT(H1922,4),"T=",AU1922,"D=",AV1922,"R=",AW1922,"M=",AX1922,"L=",AY1922,"B=",AZ1922)</f>
        <v>MATLOCK SRT=8D=1R=0M=0L=0B=0</v>
      </c>
      <c r="G1922" s="0" t="s">
        <v>155</v>
      </c>
      <c r="H1922" s="0" t="s">
        <v>311</v>
      </c>
      <c r="I1922" s="0" t="s">
        <v>8579</v>
      </c>
      <c r="J1922" s="0" t="s">
        <v>8580</v>
      </c>
      <c r="K1922" s="0" t="s">
        <v>175</v>
      </c>
      <c r="L1922" s="0"/>
      <c r="M1922" s="0" t="s">
        <v>8581</v>
      </c>
      <c r="N1922" s="0" t="str">
        <f aca="false">RIGHT(M1922,LEN(M1922)-FIND(" ",M1922))</f>
        <v>N PARK AVE</v>
      </c>
      <c r="P1922" s="0" t="s">
        <v>146</v>
      </c>
      <c r="Q1922" s="0" t="s">
        <v>147</v>
      </c>
      <c r="R1922" s="0" t="n">
        <v>44483</v>
      </c>
      <c r="AD1922" s="0" t="s">
        <v>148</v>
      </c>
      <c r="AE1922" s="0" t="s">
        <v>149</v>
      </c>
      <c r="AF1922" s="0" t="s">
        <v>150</v>
      </c>
      <c r="AH1922" s="0" t="n">
        <v>14</v>
      </c>
      <c r="AI1922" s="0" t="n">
        <v>11</v>
      </c>
      <c r="AN1922" s="0" t="s">
        <v>146</v>
      </c>
      <c r="AO1922" s="0" t="s">
        <v>250</v>
      </c>
      <c r="AP1922" s="0" t="s">
        <v>251</v>
      </c>
      <c r="AQ1922" s="0" t="n">
        <v>9</v>
      </c>
      <c r="AR1922" s="0" t="n">
        <v>64</v>
      </c>
      <c r="AS1922" s="0" t="n">
        <v>32</v>
      </c>
      <c r="AU1922" s="0" t="n">
        <f aca="false">COUNTA($BA$2270:$EH$2270)</f>
        <v>8</v>
      </c>
      <c r="AV1922" s="0" t="n">
        <f aca="false">COUNTIF($BA$2270:$EH$2270,"D")</f>
        <v>1</v>
      </c>
      <c r="AW1922" s="0" t="n">
        <f aca="false">COUNTIF($BA$2270:$EH$2270,"R")</f>
        <v>0</v>
      </c>
      <c r="AX1922" s="0" t="n">
        <f aca="false"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>0</v>
      </c>
      <c r="AY1922" s="0" t="n">
        <f aca="false">COUNTIF(DU1922:EH1922, "&lt;&gt;")</f>
        <v>0</v>
      </c>
      <c r="AZ1922" s="0" t="n">
        <f aca="false">IF(EH1922&lt;&gt;"",1,0)</f>
        <v>0</v>
      </c>
      <c r="BB1922" s="0" t="s">
        <v>153</v>
      </c>
      <c r="DC1922" s="0" t="s">
        <v>154</v>
      </c>
      <c r="DN1922" s="0" t="s">
        <v>154</v>
      </c>
    </row>
    <row r="1923" customFormat="false" ht="13.8" hidden="true" customHeight="false" outlineLevel="0" collapsed="false">
      <c r="A1923" s="0" t="s">
        <v>8582</v>
      </c>
      <c r="B1923" s="0" t="n">
        <v>78</v>
      </c>
      <c r="C1923" s="0" t="n">
        <v>435645</v>
      </c>
      <c r="D1923" s="0" t="s">
        <v>8583</v>
      </c>
      <c r="E1923" s="0" t="s">
        <v>194</v>
      </c>
      <c r="F1923" s="0" t="str">
        <f aca="false">CONCATENATE(D1923," ",LEFT(H1923,4),"T=",AU1923,"D=",AV1923,"R=",AW1923,"M=",AX1923,"L=",AY1923,"B=",AZ1923)</f>
        <v>MCELHINNY T=2D=0R=0M=0L=0B=0</v>
      </c>
      <c r="G1923" s="0" t="s">
        <v>802</v>
      </c>
      <c r="I1923" s="0" t="s">
        <v>8584</v>
      </c>
      <c r="J1923" s="0" t="s">
        <v>757</v>
      </c>
      <c r="K1923" s="0" t="s">
        <v>144</v>
      </c>
      <c r="L1923" s="0"/>
      <c r="M1923" s="0" t="s">
        <v>8581</v>
      </c>
      <c r="N1923" s="0" t="str">
        <f aca="false">RIGHT(M1923,LEN(M1923)-FIND(" ",M1923))</f>
        <v>N PARK AVE</v>
      </c>
      <c r="P1923" s="0" t="s">
        <v>146</v>
      </c>
      <c r="Q1923" s="0" t="s">
        <v>147</v>
      </c>
      <c r="R1923" s="0" t="n">
        <v>44483</v>
      </c>
      <c r="AD1923" s="0" t="s">
        <v>148</v>
      </c>
      <c r="AE1923" s="0" t="s">
        <v>149</v>
      </c>
      <c r="AF1923" s="0" t="s">
        <v>150</v>
      </c>
      <c r="AH1923" s="0" t="n">
        <v>14</v>
      </c>
      <c r="AI1923" s="0" t="n">
        <v>11</v>
      </c>
      <c r="AN1923" s="0" t="s">
        <v>146</v>
      </c>
      <c r="AO1923" s="0" t="s">
        <v>250</v>
      </c>
      <c r="AP1923" s="0" t="s">
        <v>251</v>
      </c>
      <c r="AQ1923" s="0" t="n">
        <v>9</v>
      </c>
      <c r="AR1923" s="0" t="n">
        <v>64</v>
      </c>
      <c r="AS1923" s="0" t="n">
        <v>32</v>
      </c>
      <c r="AU1923" s="0" t="n">
        <f aca="false">COUNTA($BA$2410:$EH$2410)</f>
        <v>2</v>
      </c>
      <c r="AV1923" s="0" t="n">
        <f aca="false">COUNTIF($BA$2410:$EH$2410,"D")</f>
        <v>0</v>
      </c>
      <c r="AW1923" s="0" t="n">
        <f aca="false">COUNTIF($BA$2410:$EH$2410,"R")</f>
        <v>0</v>
      </c>
      <c r="AX1923" s="0" t="n">
        <f aca="false"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>0</v>
      </c>
      <c r="AY1923" s="0" t="n">
        <f aca="false">COUNTIF(DU1923:EH1923, "&lt;&gt;")</f>
        <v>0</v>
      </c>
      <c r="AZ1923" s="0" t="n">
        <f aca="false">IF(EH1923&lt;&gt;"",1,0)</f>
        <v>0</v>
      </c>
      <c r="BB1923" s="0" t="s">
        <v>153</v>
      </c>
    </row>
    <row r="1924" customFormat="false" ht="13.8" hidden="true" customHeight="false" outlineLevel="0" collapsed="false">
      <c r="A1924" s="0" t="s">
        <v>8585</v>
      </c>
      <c r="B1924" s="0" t="n">
        <v>78</v>
      </c>
      <c r="C1924" s="0" t="n">
        <v>390012</v>
      </c>
      <c r="D1924" s="0" t="s">
        <v>4898</v>
      </c>
      <c r="E1924" s="0" t="s">
        <v>640</v>
      </c>
      <c r="F1924" s="0" t="str">
        <f aca="false">CONCATENATE(D1924," ",LEFT(H1924,4),"T=",AU1924,"D=",AV1924,"R=",AW1924,"M=",AX1924,"L=",AY1924,"B=",AZ1924)</f>
        <v>ELLIS T=2D=0R=0M=0L=0B=0</v>
      </c>
      <c r="G1924" s="0" t="s">
        <v>241</v>
      </c>
      <c r="I1924" s="0" t="s">
        <v>8586</v>
      </c>
      <c r="J1924" s="0" t="s">
        <v>3608</v>
      </c>
      <c r="K1924" s="0" t="s">
        <v>144</v>
      </c>
      <c r="L1924" s="0"/>
      <c r="M1924" s="0" t="s">
        <v>8587</v>
      </c>
      <c r="N1924" s="0" t="str">
        <f aca="false">RIGHT(M1924,LEN(M1924)-FIND(" ",M1924))</f>
        <v>N PARK AVE</v>
      </c>
      <c r="P1924" s="0" t="s">
        <v>146</v>
      </c>
      <c r="Q1924" s="0" t="s">
        <v>147</v>
      </c>
      <c r="R1924" s="0" t="n">
        <v>44483</v>
      </c>
      <c r="AD1924" s="0" t="s">
        <v>148</v>
      </c>
      <c r="AE1924" s="0" t="s">
        <v>149</v>
      </c>
      <c r="AF1924" s="0" t="s">
        <v>150</v>
      </c>
      <c r="AH1924" s="0" t="n">
        <v>14</v>
      </c>
      <c r="AI1924" s="0" t="n">
        <v>11</v>
      </c>
      <c r="AN1924" s="0" t="s">
        <v>146</v>
      </c>
      <c r="AO1924" s="0" t="s">
        <v>250</v>
      </c>
      <c r="AP1924" s="0" t="s">
        <v>251</v>
      </c>
      <c r="AQ1924" s="0" t="n">
        <v>9</v>
      </c>
      <c r="AR1924" s="0" t="n">
        <v>64</v>
      </c>
      <c r="AS1924" s="0" t="n">
        <v>32</v>
      </c>
      <c r="AU1924" s="0" t="n">
        <f aca="false">COUNTA($BA$2425:$EH$2425)</f>
        <v>2</v>
      </c>
      <c r="AV1924" s="0" t="n">
        <f aca="false">COUNTIF($BA$2425:$EH$2425,"D")</f>
        <v>0</v>
      </c>
      <c r="AW1924" s="0" t="n">
        <f aca="false">COUNTIF($BA$2425:$EH$2425,"R")</f>
        <v>0</v>
      </c>
      <c r="AX1924" s="0" t="n">
        <f aca="false"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>0</v>
      </c>
      <c r="AY1924" s="0" t="n">
        <f aca="false">COUNTIF(DU1924:EH1924, "&lt;&gt;")</f>
        <v>0</v>
      </c>
      <c r="AZ1924" s="0" t="n">
        <f aca="false">IF(EH1924&lt;&gt;"",1,0)</f>
        <v>0</v>
      </c>
      <c r="BB1924" s="0" t="s">
        <v>153</v>
      </c>
      <c r="BL1924" s="0" t="s">
        <v>154</v>
      </c>
      <c r="BS1924" s="0" t="s">
        <v>154</v>
      </c>
      <c r="BY1924" s="0" t="s">
        <v>155</v>
      </c>
      <c r="CA1924" s="0" t="s">
        <v>154</v>
      </c>
      <c r="CP1924" s="0" t="s">
        <v>154</v>
      </c>
      <c r="DC1924" s="0" t="s">
        <v>154</v>
      </c>
      <c r="DN1924" s="0" t="s">
        <v>154</v>
      </c>
    </row>
    <row r="1925" customFormat="false" ht="13.8" hidden="true" customHeight="false" outlineLevel="0" collapsed="false">
      <c r="A1925" s="0" t="s">
        <v>8588</v>
      </c>
      <c r="B1925" s="0" t="n">
        <v>78</v>
      </c>
      <c r="C1925" s="0" t="n">
        <v>446246</v>
      </c>
      <c r="D1925" s="0" t="s">
        <v>8589</v>
      </c>
      <c r="E1925" s="0" t="s">
        <v>5879</v>
      </c>
      <c r="F1925" s="0" t="str">
        <f aca="false">CONCATENATE(D1925," ",LEFT(H1925,4),"T=",AU1925,"D=",AV1925,"R=",AW1925,"M=",AX1925,"L=",AY1925,"B=",AZ1925)</f>
        <v>GODFREY T=2D=0R=0M=0L=1B=0</v>
      </c>
      <c r="G1925" s="0" t="s">
        <v>3172</v>
      </c>
      <c r="I1925" s="0" t="s">
        <v>8590</v>
      </c>
      <c r="J1925" s="0" t="s">
        <v>712</v>
      </c>
      <c r="K1925" s="0" t="s">
        <v>175</v>
      </c>
      <c r="L1925" s="0"/>
      <c r="M1925" s="0" t="s">
        <v>8591</v>
      </c>
      <c r="N1925" s="0" t="str">
        <f aca="false">RIGHT(M1925,LEN(M1925)-FIND(" ",M1925))</f>
        <v>N PARK AVE</v>
      </c>
      <c r="P1925" s="0" t="s">
        <v>146</v>
      </c>
      <c r="Q1925" s="0" t="s">
        <v>147</v>
      </c>
      <c r="R1925" s="0" t="n">
        <v>44483</v>
      </c>
      <c r="AD1925" s="0" t="s">
        <v>148</v>
      </c>
      <c r="AE1925" s="0" t="s">
        <v>149</v>
      </c>
      <c r="AF1925" s="0" t="s">
        <v>150</v>
      </c>
      <c r="AH1925" s="0" t="n">
        <v>14</v>
      </c>
      <c r="AI1925" s="0" t="n">
        <v>11</v>
      </c>
      <c r="AN1925" s="0" t="s">
        <v>146</v>
      </c>
      <c r="AO1925" s="0" t="s">
        <v>250</v>
      </c>
      <c r="AP1925" s="0" t="s">
        <v>251</v>
      </c>
      <c r="AQ1925" s="0" t="n">
        <v>9</v>
      </c>
      <c r="AR1925" s="0" t="n">
        <v>64</v>
      </c>
      <c r="AS1925" s="0" t="n">
        <v>32</v>
      </c>
      <c r="AU1925" s="0" t="n">
        <f aca="false">COUNTA($BA$2665:$EH$2665)</f>
        <v>2</v>
      </c>
      <c r="AV1925" s="0" t="n">
        <f aca="false">COUNTIF($BA$2665:$EH$2665,"D")</f>
        <v>0</v>
      </c>
      <c r="AW1925" s="0" t="n">
        <f aca="false">COUNTIF($BA$2665:$EH$2665,"R")</f>
        <v>0</v>
      </c>
      <c r="AX1925" s="0" t="n">
        <f aca="false"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>0</v>
      </c>
      <c r="AY1925" s="0" t="n">
        <f aca="false">COUNTIF(DU1925:EH1925, "&lt;&gt;")</f>
        <v>1</v>
      </c>
      <c r="AZ1925" s="0" t="n">
        <f aca="false">IF(EH1925&lt;&gt;"",1,0)</f>
        <v>0</v>
      </c>
      <c r="BB1925" s="0" t="s">
        <v>153</v>
      </c>
      <c r="DN1925" s="0" t="s">
        <v>154</v>
      </c>
      <c r="EF1925" s="0" t="s">
        <v>154</v>
      </c>
    </row>
    <row r="1926" customFormat="false" ht="13.8" hidden="true" customHeight="false" outlineLevel="0" collapsed="false">
      <c r="A1926" s="0" t="s">
        <v>8592</v>
      </c>
      <c r="B1926" s="0" t="n">
        <v>78</v>
      </c>
      <c r="C1926" s="0" t="n">
        <v>449811</v>
      </c>
      <c r="D1926" s="0" t="s">
        <v>2275</v>
      </c>
      <c r="E1926" s="0" t="s">
        <v>3904</v>
      </c>
      <c r="F1926" s="0" t="str">
        <f aca="false">CONCATENATE(D1926," ",LEFT(H1926,4),"T=",AU1926,"D=",AV1926,"R=",AW1926,"M=",AX1926,"L=",AY1926,"B=",AZ1926)</f>
        <v>BENDER T=31D=5R=0M=0L=0B=0</v>
      </c>
      <c r="G1926" s="0" t="s">
        <v>8593</v>
      </c>
      <c r="I1926" s="0" t="s">
        <v>8594</v>
      </c>
      <c r="J1926" s="0" t="s">
        <v>367</v>
      </c>
      <c r="K1926" s="0" t="s">
        <v>175</v>
      </c>
      <c r="L1926" s="0"/>
      <c r="M1926" s="0" t="s">
        <v>8595</v>
      </c>
      <c r="N1926" s="0" t="str">
        <f aca="false">RIGHT(M1926,LEN(M1926)-FIND(" ",M1926))</f>
        <v>N PARK AVE</v>
      </c>
      <c r="P1926" s="0" t="s">
        <v>146</v>
      </c>
      <c r="Q1926" s="0" t="s">
        <v>147</v>
      </c>
      <c r="R1926" s="0" t="n">
        <v>44483</v>
      </c>
      <c r="AD1926" s="0" t="s">
        <v>148</v>
      </c>
      <c r="AE1926" s="0" t="s">
        <v>149</v>
      </c>
      <c r="AF1926" s="0" t="s">
        <v>150</v>
      </c>
      <c r="AH1926" s="0" t="n">
        <v>14</v>
      </c>
      <c r="AI1926" s="0" t="n">
        <v>11</v>
      </c>
      <c r="AN1926" s="0" t="s">
        <v>146</v>
      </c>
      <c r="AO1926" s="0" t="s">
        <v>250</v>
      </c>
      <c r="AP1926" s="0" t="s">
        <v>251</v>
      </c>
      <c r="AQ1926" s="0" t="n">
        <v>9</v>
      </c>
      <c r="AR1926" s="0" t="n">
        <v>64</v>
      </c>
      <c r="AS1926" s="0" t="n">
        <v>32</v>
      </c>
      <c r="AU1926" s="0" t="n">
        <f aca="false">COUNTA($BA$2314:$EH$2314)</f>
        <v>31</v>
      </c>
      <c r="AV1926" s="0" t="n">
        <f aca="false">COUNTIF($BA$2314:$EH$2314,"D")</f>
        <v>5</v>
      </c>
      <c r="AW1926" s="0" t="n">
        <f aca="false">COUNTIF($BA$2314:$EH$2314,"R")</f>
        <v>0</v>
      </c>
      <c r="AX1926" s="0" t="n">
        <f aca="false"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>0</v>
      </c>
      <c r="AY1926" s="0" t="n">
        <f aca="false">COUNTIF(DU1926:EH1926, "&lt;&gt;")</f>
        <v>0</v>
      </c>
      <c r="AZ1926" s="0" t="n">
        <f aca="false">IF(EH1926&lt;&gt;"",1,0)</f>
        <v>0</v>
      </c>
      <c r="BB1926" s="0" t="s">
        <v>153</v>
      </c>
    </row>
    <row r="1927" customFormat="false" ht="13.8" hidden="true" customHeight="false" outlineLevel="0" collapsed="false">
      <c r="A1927" s="0" t="s">
        <v>8596</v>
      </c>
      <c r="B1927" s="0" t="n">
        <v>78</v>
      </c>
      <c r="C1927" s="0" t="n">
        <v>296542</v>
      </c>
      <c r="D1927" s="0" t="s">
        <v>645</v>
      </c>
      <c r="E1927" s="0" t="s">
        <v>1289</v>
      </c>
      <c r="F1927" s="0" t="str">
        <f aca="false">CONCATENATE(D1927," ",LEFT(H1927,4),"T=",AU1927,"D=",AV1927,"R=",AW1927,"M=",AX1927,"L=",AY1927,"B=",AZ1927)</f>
        <v>WILLIAMS T=2D=0R=0M=0L=1B=0</v>
      </c>
      <c r="G1927" s="0" t="s">
        <v>297</v>
      </c>
      <c r="I1927" s="0" t="s">
        <v>8597</v>
      </c>
      <c r="J1927" s="0" t="s">
        <v>8598</v>
      </c>
      <c r="K1927" s="0" t="s">
        <v>175</v>
      </c>
      <c r="L1927" s="0"/>
      <c r="M1927" s="0" t="s">
        <v>8595</v>
      </c>
      <c r="N1927" s="0" t="str">
        <f aca="false">RIGHT(M1927,LEN(M1927)-FIND(" ",M1927))</f>
        <v>N PARK AVE</v>
      </c>
      <c r="P1927" s="0" t="s">
        <v>146</v>
      </c>
      <c r="Q1927" s="0" t="s">
        <v>147</v>
      </c>
      <c r="R1927" s="0" t="n">
        <v>44483</v>
      </c>
      <c r="AD1927" s="0" t="s">
        <v>148</v>
      </c>
      <c r="AE1927" s="0" t="s">
        <v>149</v>
      </c>
      <c r="AF1927" s="0" t="s">
        <v>150</v>
      </c>
      <c r="AH1927" s="0" t="n">
        <v>14</v>
      </c>
      <c r="AI1927" s="0" t="n">
        <v>11</v>
      </c>
      <c r="AN1927" s="0" t="s">
        <v>146</v>
      </c>
      <c r="AO1927" s="0" t="s">
        <v>250</v>
      </c>
      <c r="AP1927" s="0" t="s">
        <v>251</v>
      </c>
      <c r="AQ1927" s="0" t="n">
        <v>9</v>
      </c>
      <c r="AR1927" s="0" t="n">
        <v>64</v>
      </c>
      <c r="AS1927" s="0" t="n">
        <v>32</v>
      </c>
      <c r="AU1927" s="0" t="n">
        <f aca="false">COUNTA($BA$2597:$EH$2597)</f>
        <v>2</v>
      </c>
      <c r="AV1927" s="0" t="n">
        <f aca="false">COUNTIF($BA$2597:$EH$2597,"D")</f>
        <v>0</v>
      </c>
      <c r="AW1927" s="0" t="n">
        <f aca="false">COUNTIF($BA$2597:$EH$2597,"R")</f>
        <v>0</v>
      </c>
      <c r="AX1927" s="0" t="n">
        <f aca="false"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>0</v>
      </c>
      <c r="AY1927" s="0" t="n">
        <f aca="false">COUNTIF(DU1927:EH1927, "&lt;&gt;")</f>
        <v>1</v>
      </c>
      <c r="AZ1927" s="0" t="n">
        <f aca="false">IF(EH1927&lt;&gt;"",1,0)</f>
        <v>0</v>
      </c>
      <c r="BB1927" s="0" t="s">
        <v>153</v>
      </c>
      <c r="BD1927" s="0" t="s">
        <v>154</v>
      </c>
      <c r="BJ1927" s="0" t="s">
        <v>154</v>
      </c>
      <c r="BL1927" s="0" t="s">
        <v>154</v>
      </c>
      <c r="CP1927" s="0" t="s">
        <v>154</v>
      </c>
      <c r="CV1927" s="0" t="s">
        <v>154</v>
      </c>
      <c r="CZ1927" s="0" t="s">
        <v>155</v>
      </c>
      <c r="DC1927" s="0" t="s">
        <v>154</v>
      </c>
      <c r="DN1927" s="0" t="s">
        <v>154</v>
      </c>
      <c r="EF1927" s="0" t="s">
        <v>154</v>
      </c>
    </row>
    <row r="1928" customFormat="false" ht="13.8" hidden="true" customHeight="false" outlineLevel="0" collapsed="false">
      <c r="A1928" s="0" t="s">
        <v>8599</v>
      </c>
      <c r="B1928" s="0" t="n">
        <v>78</v>
      </c>
      <c r="C1928" s="0" t="n">
        <v>324466</v>
      </c>
      <c r="D1928" s="0" t="s">
        <v>2356</v>
      </c>
      <c r="E1928" s="0" t="s">
        <v>3061</v>
      </c>
      <c r="F1928" s="0" t="str">
        <f aca="false">CONCATENATE(D1928," ",LEFT(H1928,4),"T=",AU1928,"D=",AV1928,"R=",AW1928,"M=",AX1928,"L=",AY1928,"B=",AZ1928)</f>
        <v>ARMSTRONG T=4D=0R=0M=0L=0B=0</v>
      </c>
      <c r="I1928" s="0" t="s">
        <v>8600</v>
      </c>
      <c r="J1928" s="0" t="s">
        <v>1783</v>
      </c>
      <c r="K1928" s="0" t="s">
        <v>175</v>
      </c>
      <c r="L1928" s="0" t="s">
        <v>155</v>
      </c>
      <c r="M1928" s="0" t="s">
        <v>8601</v>
      </c>
      <c r="N1928" s="0" t="str">
        <f aca="false">RIGHT(M1928,LEN(M1928)-FIND(" ",M1928))</f>
        <v>N PARK AVE</v>
      </c>
      <c r="P1928" s="0" t="s">
        <v>146</v>
      </c>
      <c r="Q1928" s="0" t="s">
        <v>147</v>
      </c>
      <c r="R1928" s="0" t="n">
        <v>44483</v>
      </c>
      <c r="AD1928" s="0" t="s">
        <v>148</v>
      </c>
      <c r="AE1928" s="0" t="s">
        <v>149</v>
      </c>
      <c r="AF1928" s="0" t="s">
        <v>150</v>
      </c>
      <c r="AH1928" s="0" t="n">
        <v>14</v>
      </c>
      <c r="AI1928" s="0" t="n">
        <v>11</v>
      </c>
      <c r="AN1928" s="0" t="s">
        <v>146</v>
      </c>
      <c r="AO1928" s="0" t="s">
        <v>250</v>
      </c>
      <c r="AP1928" s="0" t="s">
        <v>251</v>
      </c>
      <c r="AQ1928" s="0" t="n">
        <v>9</v>
      </c>
      <c r="AR1928" s="0" t="n">
        <v>64</v>
      </c>
      <c r="AS1928" s="0" t="n">
        <v>32</v>
      </c>
      <c r="AU1928" s="0" t="n">
        <f aca="false">COUNTA($BA$2779:$EH$2779)</f>
        <v>4</v>
      </c>
      <c r="AV1928" s="0" t="n">
        <f aca="false">COUNTIF($BA$2779:$EH$2779,"D")</f>
        <v>0</v>
      </c>
      <c r="AW1928" s="0" t="n">
        <f aca="false">COUNTIF($BA$2779:$EH$2779,"R")</f>
        <v>0</v>
      </c>
      <c r="AX1928" s="0" t="n">
        <f aca="false"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>0</v>
      </c>
      <c r="AY1928" s="0" t="n">
        <f aca="false">COUNTIF(DU1928:EH1928, "&lt;&gt;")</f>
        <v>0</v>
      </c>
      <c r="AZ1928" s="0" t="n">
        <f aca="false">IF(EH1928&lt;&gt;"",1,0)</f>
        <v>0</v>
      </c>
      <c r="BB1928" s="0" t="s">
        <v>153</v>
      </c>
      <c r="BL1928" s="0" t="s">
        <v>154</v>
      </c>
      <c r="BS1928" s="0" t="s">
        <v>154</v>
      </c>
      <c r="BY1928" s="0" t="s">
        <v>155</v>
      </c>
      <c r="CA1928" s="0" t="s">
        <v>154</v>
      </c>
      <c r="CP1928" s="0" t="s">
        <v>154</v>
      </c>
      <c r="CY1928" s="0" t="s">
        <v>154</v>
      </c>
      <c r="DN1928" s="0" t="s">
        <v>154</v>
      </c>
      <c r="DT1928" s="0" t="s">
        <v>155</v>
      </c>
    </row>
    <row r="1929" customFormat="false" ht="13.8" hidden="true" customHeight="false" outlineLevel="0" collapsed="false">
      <c r="A1929" s="0" t="s">
        <v>8602</v>
      </c>
      <c r="B1929" s="0" t="n">
        <v>78</v>
      </c>
      <c r="C1929" s="0" t="n">
        <v>417745</v>
      </c>
      <c r="D1929" s="0" t="s">
        <v>8603</v>
      </c>
      <c r="E1929" s="0" t="s">
        <v>283</v>
      </c>
      <c r="F1929" s="0" t="str">
        <f aca="false">CONCATENATE(D1929," ",LEFT(H1929,4),"T=",AU1929,"D=",AV1929,"R=",AW1929,"M=",AX1929,"L=",AY1929,"B=",AZ1929)</f>
        <v>PROCOPIO T=1D=0R=0M=0L=0B=0</v>
      </c>
      <c r="G1929" s="0" t="s">
        <v>619</v>
      </c>
      <c r="I1929" s="0" t="s">
        <v>3987</v>
      </c>
      <c r="J1929" s="0" t="s">
        <v>2344</v>
      </c>
      <c r="K1929" s="0" t="s">
        <v>175</v>
      </c>
      <c r="L1929" s="0"/>
      <c r="M1929" s="0" t="s">
        <v>8604</v>
      </c>
      <c r="N1929" s="0" t="str">
        <f aca="false">RIGHT(M1929,LEN(M1929)-FIND(" ",M1929))</f>
        <v>N PARK AVE</v>
      </c>
      <c r="P1929" s="0" t="s">
        <v>146</v>
      </c>
      <c r="Q1929" s="0" t="s">
        <v>147</v>
      </c>
      <c r="R1929" s="0" t="n">
        <v>44483</v>
      </c>
      <c r="AD1929" s="0" t="s">
        <v>148</v>
      </c>
      <c r="AE1929" s="0" t="s">
        <v>149</v>
      </c>
      <c r="AF1929" s="0" t="s">
        <v>150</v>
      </c>
      <c r="AH1929" s="0" t="n">
        <v>14</v>
      </c>
      <c r="AI1929" s="0" t="n">
        <v>11</v>
      </c>
      <c r="AN1929" s="0" t="s">
        <v>146</v>
      </c>
      <c r="AO1929" s="0" t="s">
        <v>250</v>
      </c>
      <c r="AP1929" s="0" t="s">
        <v>251</v>
      </c>
      <c r="AQ1929" s="0" t="n">
        <v>9</v>
      </c>
      <c r="AR1929" s="0" t="n">
        <v>64</v>
      </c>
      <c r="AS1929" s="0" t="n">
        <v>32</v>
      </c>
      <c r="AU1929" s="0" t="n">
        <f aca="false">COUNTA($BA$2601:$EH$2601)</f>
        <v>1</v>
      </c>
      <c r="AV1929" s="0" t="n">
        <f aca="false">COUNTIF($BA$2601:$EH$2601,"D")</f>
        <v>0</v>
      </c>
      <c r="AW1929" s="0" t="n">
        <f aca="false">COUNTIF($BA$2601:$EH$2601,"R")</f>
        <v>0</v>
      </c>
      <c r="AX1929" s="0" t="n">
        <f aca="false"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>0</v>
      </c>
      <c r="AY1929" s="0" t="n">
        <f aca="false">COUNTIF(DU1929:EH1929, "&lt;&gt;")</f>
        <v>0</v>
      </c>
      <c r="AZ1929" s="0" t="n">
        <f aca="false">IF(EH1929&lt;&gt;"",1,0)</f>
        <v>0</v>
      </c>
      <c r="BB1929" s="0" t="s">
        <v>153</v>
      </c>
    </row>
    <row r="1930" customFormat="false" ht="13.8" hidden="true" customHeight="false" outlineLevel="0" collapsed="false">
      <c r="A1930" s="0" t="s">
        <v>8605</v>
      </c>
      <c r="B1930" s="0" t="n">
        <v>78</v>
      </c>
      <c r="C1930" s="0" t="n">
        <v>427429</v>
      </c>
      <c r="D1930" s="0" t="s">
        <v>8606</v>
      </c>
      <c r="E1930" s="0" t="s">
        <v>619</v>
      </c>
      <c r="F1930" s="0" t="str">
        <f aca="false">CONCATENATE(D1930," ",LEFT(H1930,4),"T=",AU1930,"D=",AV1930,"R=",AW1930,"M=",AX1930,"L=",AY1930,"B=",AZ1930)</f>
        <v>POST IIIT=49D=6R=9M=0L=1B=0</v>
      </c>
      <c r="G1930" s="0" t="s">
        <v>5759</v>
      </c>
      <c r="H1930" s="0" t="s">
        <v>1175</v>
      </c>
      <c r="I1930" s="0" t="s">
        <v>8607</v>
      </c>
      <c r="J1930" s="0" t="s">
        <v>7310</v>
      </c>
      <c r="K1930" s="0" t="s">
        <v>175</v>
      </c>
      <c r="L1930" s="0"/>
      <c r="M1930" s="0" t="s">
        <v>8604</v>
      </c>
      <c r="N1930" s="0" t="str">
        <f aca="false">RIGHT(M1930,LEN(M1930)-FIND(" ",M1930))</f>
        <v>N PARK AVE</v>
      </c>
      <c r="P1930" s="0" t="s">
        <v>146</v>
      </c>
      <c r="Q1930" s="0" t="s">
        <v>147</v>
      </c>
      <c r="R1930" s="0" t="n">
        <v>44483</v>
      </c>
      <c r="AD1930" s="0" t="s">
        <v>148</v>
      </c>
      <c r="AE1930" s="0" t="s">
        <v>149</v>
      </c>
      <c r="AF1930" s="0" t="s">
        <v>150</v>
      </c>
      <c r="AH1930" s="0" t="n">
        <v>14</v>
      </c>
      <c r="AI1930" s="0" t="n">
        <v>11</v>
      </c>
      <c r="AN1930" s="0" t="s">
        <v>146</v>
      </c>
      <c r="AO1930" s="0" t="s">
        <v>250</v>
      </c>
      <c r="AP1930" s="0" t="s">
        <v>251</v>
      </c>
      <c r="AQ1930" s="0" t="n">
        <v>9</v>
      </c>
      <c r="AR1930" s="0" t="n">
        <v>64</v>
      </c>
      <c r="AS1930" s="0" t="n">
        <v>32</v>
      </c>
      <c r="AU1930" s="0" t="n">
        <f aca="false">COUNTA($BA$2645:$EH$2645)</f>
        <v>49</v>
      </c>
      <c r="AV1930" s="0" t="n">
        <f aca="false">COUNTIF($BA$2645:$EH$2645,"D")</f>
        <v>6</v>
      </c>
      <c r="AW1930" s="0" t="n">
        <f aca="false">COUNTIF($BA$2645:$EH$2645,"R")</f>
        <v>9</v>
      </c>
      <c r="AX1930" s="0" t="n">
        <f aca="false"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>0</v>
      </c>
      <c r="AY1930" s="0" t="n">
        <f aca="false">COUNTIF(DU1930:EH1930, "&lt;&gt;")</f>
        <v>1</v>
      </c>
      <c r="AZ1930" s="0" t="n">
        <f aca="false">IF(EH1930&lt;&gt;"",1,0)</f>
        <v>0</v>
      </c>
      <c r="BB1930" s="0" t="s">
        <v>153</v>
      </c>
      <c r="EF1930" s="0" t="s">
        <v>154</v>
      </c>
    </row>
    <row r="1931" customFormat="false" ht="13.8" hidden="true" customHeight="false" outlineLevel="0" collapsed="false">
      <c r="A1931" s="0" t="s">
        <v>8608</v>
      </c>
      <c r="B1931" s="0" t="n">
        <v>78</v>
      </c>
      <c r="C1931" s="0" t="n">
        <v>432420</v>
      </c>
      <c r="D1931" s="0" t="s">
        <v>8609</v>
      </c>
      <c r="E1931" s="0" t="s">
        <v>8610</v>
      </c>
      <c r="F1931" s="0" t="str">
        <f aca="false">CONCATENATE(D1931," ",LEFT(H1931,4),"T=",AU1931,"D=",AV1931,"R=",AW1931,"M=",AX1931,"L=",AY1931,"B=",AZ1931)</f>
        <v>TYREE T=32D=2R=6M=0L=0B=0</v>
      </c>
      <c r="G1931" s="0" t="s">
        <v>8611</v>
      </c>
      <c r="I1931" s="0" t="s">
        <v>8612</v>
      </c>
      <c r="J1931" s="0" t="s">
        <v>1866</v>
      </c>
      <c r="K1931" s="0" t="s">
        <v>144</v>
      </c>
      <c r="L1931" s="0"/>
      <c r="M1931" s="0" t="s">
        <v>8613</v>
      </c>
      <c r="N1931" s="0" t="str">
        <f aca="false">RIGHT(M1931,LEN(M1931)-FIND(" ",M1931))</f>
        <v>N PARK AVE</v>
      </c>
      <c r="P1931" s="0" t="s">
        <v>146</v>
      </c>
      <c r="Q1931" s="0" t="s">
        <v>147</v>
      </c>
      <c r="R1931" s="0" t="n">
        <v>44483</v>
      </c>
      <c r="V1931" s="0" t="s">
        <v>8614</v>
      </c>
      <c r="X1931" s="0" t="s">
        <v>146</v>
      </c>
      <c r="Y1931" s="0" t="s">
        <v>147</v>
      </c>
      <c r="Z1931" s="0" t="n">
        <v>44482</v>
      </c>
      <c r="AD1931" s="0" t="s">
        <v>148</v>
      </c>
      <c r="AE1931" s="0" t="s">
        <v>149</v>
      </c>
      <c r="AF1931" s="0" t="s">
        <v>150</v>
      </c>
      <c r="AH1931" s="0" t="n">
        <v>14</v>
      </c>
      <c r="AI1931" s="0" t="n">
        <v>11</v>
      </c>
      <c r="AN1931" s="0" t="s">
        <v>146</v>
      </c>
      <c r="AO1931" s="0" t="s">
        <v>250</v>
      </c>
      <c r="AP1931" s="0" t="s">
        <v>251</v>
      </c>
      <c r="AQ1931" s="0" t="n">
        <v>9</v>
      </c>
      <c r="AR1931" s="0" t="n">
        <v>64</v>
      </c>
      <c r="AS1931" s="0" t="n">
        <v>32</v>
      </c>
      <c r="AU1931" s="0" t="n">
        <f aca="false">COUNTA($BA$2108:$EH$2108)</f>
        <v>32</v>
      </c>
      <c r="AV1931" s="0" t="n">
        <f aca="false">COUNTIF($BA$2108:$EH$2108,"D")</f>
        <v>2</v>
      </c>
      <c r="AW1931" s="0" t="n">
        <f aca="false">COUNTIF($BA$2108:$EH$2108,"R")</f>
        <v>6</v>
      </c>
      <c r="AX1931" s="0" t="n">
        <f aca="false"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>0</v>
      </c>
      <c r="AY1931" s="0" t="n">
        <f aca="false">COUNTIF(DU1931:EH1931, "&lt;&gt;")</f>
        <v>0</v>
      </c>
      <c r="AZ1931" s="0" t="n">
        <f aca="false">IF(EH1931&lt;&gt;"",1,0)</f>
        <v>0</v>
      </c>
      <c r="BB1931" s="0" t="s">
        <v>153</v>
      </c>
      <c r="DI1931" s="0" t="s">
        <v>154</v>
      </c>
    </row>
    <row r="1932" customFormat="false" ht="13.8" hidden="true" customHeight="false" outlineLevel="0" collapsed="false">
      <c r="A1932" s="0" t="s">
        <v>8615</v>
      </c>
      <c r="B1932" s="0" t="n">
        <v>78</v>
      </c>
      <c r="C1932" s="0" t="n">
        <v>432424</v>
      </c>
      <c r="D1932" s="0" t="s">
        <v>8616</v>
      </c>
      <c r="E1932" s="0" t="s">
        <v>8617</v>
      </c>
      <c r="F1932" s="0" t="str">
        <f aca="false">CONCATENATE(D1932," ",LEFT(H1932,4),"T=",AU1932,"D=",AV1932,"R=",AW1932,"M=",AX1932,"L=",AY1932,"B=",AZ1932)</f>
        <v>LOMAX T=1D=0R=0M=0L=0B=0</v>
      </c>
      <c r="G1932" s="0" t="s">
        <v>2293</v>
      </c>
      <c r="I1932" s="0" t="s">
        <v>8618</v>
      </c>
      <c r="J1932" s="0" t="s">
        <v>3782</v>
      </c>
      <c r="K1932" s="0" t="s">
        <v>144</v>
      </c>
      <c r="L1932" s="0"/>
      <c r="M1932" s="0" t="s">
        <v>8613</v>
      </c>
      <c r="N1932" s="0" t="str">
        <f aca="false">RIGHT(M1932,LEN(M1932)-FIND(" ",M1932))</f>
        <v>N PARK AVE</v>
      </c>
      <c r="P1932" s="0" t="s">
        <v>146</v>
      </c>
      <c r="Q1932" s="0" t="s">
        <v>147</v>
      </c>
      <c r="R1932" s="0" t="n">
        <v>44483</v>
      </c>
      <c r="AD1932" s="0" t="s">
        <v>148</v>
      </c>
      <c r="AE1932" s="0" t="s">
        <v>149</v>
      </c>
      <c r="AF1932" s="0" t="s">
        <v>150</v>
      </c>
      <c r="AH1932" s="0" t="n">
        <v>14</v>
      </c>
      <c r="AI1932" s="0" t="n">
        <v>11</v>
      </c>
      <c r="AN1932" s="0" t="s">
        <v>146</v>
      </c>
      <c r="AO1932" s="0" t="s">
        <v>250</v>
      </c>
      <c r="AP1932" s="0" t="s">
        <v>251</v>
      </c>
      <c r="AQ1932" s="0" t="n">
        <v>9</v>
      </c>
      <c r="AR1932" s="0" t="n">
        <v>64</v>
      </c>
      <c r="AS1932" s="0" t="n">
        <v>32</v>
      </c>
      <c r="AU1932" s="0" t="n">
        <f aca="false">COUNTA($BA$2143:$EH$2143)</f>
        <v>1</v>
      </c>
      <c r="AV1932" s="0" t="n">
        <f aca="false">COUNTIF($BA$2143:$EH$2143,"D")</f>
        <v>0</v>
      </c>
      <c r="AW1932" s="0" t="n">
        <f aca="false">COUNTIF($BA$2143:$EH$2143,"R")</f>
        <v>0</v>
      </c>
      <c r="AX1932" s="0" t="n">
        <f aca="false"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>0</v>
      </c>
      <c r="AY1932" s="0" t="n">
        <f aca="false">COUNTIF(DU1932:EH1932, "&lt;&gt;")</f>
        <v>0</v>
      </c>
      <c r="AZ1932" s="0" t="n">
        <f aca="false">IF(EH1932&lt;&gt;"",1,0)</f>
        <v>0</v>
      </c>
      <c r="BB1932" s="0" t="s">
        <v>153</v>
      </c>
    </row>
    <row r="1933" customFormat="false" ht="13.8" hidden="true" customHeight="false" outlineLevel="0" collapsed="false">
      <c r="A1933" s="0" t="s">
        <v>8619</v>
      </c>
      <c r="B1933" s="0" t="n">
        <v>78</v>
      </c>
      <c r="C1933" s="0" t="n">
        <v>432421</v>
      </c>
      <c r="D1933" s="0" t="s">
        <v>8620</v>
      </c>
      <c r="E1933" s="0" t="s">
        <v>376</v>
      </c>
      <c r="F1933" s="0" t="str">
        <f aca="false">CONCATENATE(D1933," ",LEFT(H1933,4),"T=",AU1933,"D=",AV1933,"R=",AW1933,"M=",AX1933,"L=",AY1933,"B=",AZ1933)</f>
        <v>HOLLEY T=2D=0R=0M=0L=0B=0</v>
      </c>
      <c r="G1933" s="0" t="s">
        <v>8621</v>
      </c>
      <c r="I1933" s="0" t="s">
        <v>2974</v>
      </c>
      <c r="J1933" s="0" t="s">
        <v>6681</v>
      </c>
      <c r="K1933" s="0" t="s">
        <v>144</v>
      </c>
      <c r="L1933" s="0"/>
      <c r="M1933" s="0" t="s">
        <v>8613</v>
      </c>
      <c r="N1933" s="0" t="str">
        <f aca="false">RIGHT(M1933,LEN(M1933)-FIND(" ",M1933))</f>
        <v>N PARK AVE</v>
      </c>
      <c r="P1933" s="0" t="s">
        <v>146</v>
      </c>
      <c r="Q1933" s="0" t="s">
        <v>147</v>
      </c>
      <c r="R1933" s="0" t="n">
        <v>44483</v>
      </c>
      <c r="V1933" s="0" t="s">
        <v>8622</v>
      </c>
      <c r="X1933" s="0" t="s">
        <v>146</v>
      </c>
      <c r="Y1933" s="0" t="s">
        <v>147</v>
      </c>
      <c r="Z1933" s="0" t="n">
        <v>44482</v>
      </c>
      <c r="AD1933" s="0" t="s">
        <v>148</v>
      </c>
      <c r="AE1933" s="0" t="s">
        <v>149</v>
      </c>
      <c r="AF1933" s="0" t="s">
        <v>150</v>
      </c>
      <c r="AH1933" s="0" t="n">
        <v>14</v>
      </c>
      <c r="AI1933" s="0" t="n">
        <v>11</v>
      </c>
      <c r="AN1933" s="0" t="s">
        <v>146</v>
      </c>
      <c r="AO1933" s="0" t="s">
        <v>250</v>
      </c>
      <c r="AP1933" s="0" t="s">
        <v>251</v>
      </c>
      <c r="AQ1933" s="0" t="n">
        <v>9</v>
      </c>
      <c r="AR1933" s="0" t="n">
        <v>64</v>
      </c>
      <c r="AS1933" s="0" t="n">
        <v>32</v>
      </c>
      <c r="AU1933" s="0" t="n">
        <f aca="false">COUNTA($BA$2145:$EH$2145)</f>
        <v>2</v>
      </c>
      <c r="AV1933" s="0" t="n">
        <f aca="false">COUNTIF($BA$2145:$EH$2145,"D")</f>
        <v>0</v>
      </c>
      <c r="AW1933" s="0" t="n">
        <f aca="false">COUNTIF($BA$2145:$EH$2145,"R")</f>
        <v>0</v>
      </c>
      <c r="AX1933" s="0" t="n">
        <f aca="false"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>0</v>
      </c>
      <c r="AY1933" s="0" t="n">
        <f aca="false">COUNTIF(DU1933:EH1933, "&lt;&gt;")</f>
        <v>0</v>
      </c>
      <c r="AZ1933" s="0" t="n">
        <f aca="false">IF(EH1933&lt;&gt;"",1,0)</f>
        <v>0</v>
      </c>
      <c r="BB1933" s="0" t="s">
        <v>153</v>
      </c>
    </row>
    <row r="1934" customFormat="false" ht="13.8" hidden="true" customHeight="false" outlineLevel="0" collapsed="false">
      <c r="A1934" s="0" t="s">
        <v>8623</v>
      </c>
      <c r="B1934" s="0" t="n">
        <v>78</v>
      </c>
      <c r="C1934" s="0" t="n">
        <v>446215</v>
      </c>
      <c r="D1934" s="0" t="s">
        <v>8624</v>
      </c>
      <c r="E1934" s="0" t="s">
        <v>5837</v>
      </c>
      <c r="F1934" s="0" t="str">
        <f aca="false">CONCATENATE(D1934," ",LEFT(H1934,4),"T=",AU1934,"D=",AV1934,"R=",AW1934,"M=",AX1934,"L=",AY1934,"B=",AZ1934)</f>
        <v>DOYLE T=24D=5R=1M=0L=1B=0</v>
      </c>
      <c r="G1934" s="0" t="s">
        <v>317</v>
      </c>
      <c r="I1934" s="0" t="s">
        <v>8625</v>
      </c>
      <c r="J1934" s="0" t="s">
        <v>8626</v>
      </c>
      <c r="K1934" s="0" t="s">
        <v>175</v>
      </c>
      <c r="L1934" s="0"/>
      <c r="M1934" s="0" t="s">
        <v>8627</v>
      </c>
      <c r="N1934" s="0" t="str">
        <f aca="false">RIGHT(M1934,LEN(M1934)-FIND(" ",M1934))</f>
        <v>N PARK AVE</v>
      </c>
      <c r="P1934" s="0" t="s">
        <v>146</v>
      </c>
      <c r="Q1934" s="0" t="s">
        <v>147</v>
      </c>
      <c r="R1934" s="0" t="n">
        <v>44483</v>
      </c>
      <c r="AD1934" s="0" t="s">
        <v>148</v>
      </c>
      <c r="AE1934" s="0" t="s">
        <v>149</v>
      </c>
      <c r="AF1934" s="0" t="s">
        <v>150</v>
      </c>
      <c r="AH1934" s="0" t="n">
        <v>14</v>
      </c>
      <c r="AI1934" s="0" t="n">
        <v>11</v>
      </c>
      <c r="AN1934" s="0" t="s">
        <v>146</v>
      </c>
      <c r="AO1934" s="0" t="s">
        <v>250</v>
      </c>
      <c r="AP1934" s="0" t="s">
        <v>251</v>
      </c>
      <c r="AQ1934" s="0" t="n">
        <v>9</v>
      </c>
      <c r="AR1934" s="0" t="n">
        <v>64</v>
      </c>
      <c r="AS1934" s="0" t="n">
        <v>32</v>
      </c>
      <c r="AU1934" s="0" t="n">
        <f aca="false">COUNTA($BA$2232:$EH$2232)</f>
        <v>24</v>
      </c>
      <c r="AV1934" s="0" t="n">
        <f aca="false">COUNTIF($BA$2232:$EH$2232,"D")</f>
        <v>5</v>
      </c>
      <c r="AW1934" s="0" t="n">
        <f aca="false">COUNTIF($BA$2232:$EH$2232,"R")</f>
        <v>1</v>
      </c>
      <c r="AX1934" s="0" t="n">
        <f aca="false"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>0</v>
      </c>
      <c r="AY1934" s="0" t="n">
        <f aca="false">COUNTIF(DU1934:EH1934, "&lt;&gt;")</f>
        <v>1</v>
      </c>
      <c r="AZ1934" s="0" t="n">
        <f aca="false">IF(EH1934&lt;&gt;"",1,0)</f>
        <v>0</v>
      </c>
      <c r="BB1934" s="0" t="s">
        <v>153</v>
      </c>
      <c r="EF1934" s="0" t="s">
        <v>154</v>
      </c>
    </row>
    <row r="1935" customFormat="false" ht="13.8" hidden="true" customHeight="false" outlineLevel="0" collapsed="false">
      <c r="A1935" s="0" t="s">
        <v>8628</v>
      </c>
      <c r="B1935" s="0" t="n">
        <v>78</v>
      </c>
      <c r="C1935" s="0" t="n">
        <v>491587</v>
      </c>
      <c r="D1935" s="0" t="s">
        <v>1588</v>
      </c>
      <c r="E1935" s="0" t="s">
        <v>1117</v>
      </c>
      <c r="F1935" s="0" t="str">
        <f aca="false">CONCATENATE(D1935," ",LEFT(H1935,4),"T=",AU1935,"D=",AV1935,"R=",AW1935,"M=",AX1935,"L=",AY1935,"B=",AZ1935)</f>
        <v>HALL T=7D=1R=0M=0L=1B=0</v>
      </c>
      <c r="I1935" s="0" t="s">
        <v>8629</v>
      </c>
      <c r="J1935" s="0" t="s">
        <v>2344</v>
      </c>
      <c r="K1935" s="0" t="s">
        <v>175</v>
      </c>
      <c r="L1935" s="0"/>
      <c r="M1935" s="0" t="s">
        <v>8627</v>
      </c>
      <c r="N1935" s="0" t="str">
        <f aca="false">RIGHT(M1935,LEN(M1935)-FIND(" ",M1935))</f>
        <v>N PARK AVE</v>
      </c>
      <c r="P1935" s="0" t="s">
        <v>146</v>
      </c>
      <c r="Q1935" s="0" t="s">
        <v>147</v>
      </c>
      <c r="R1935" s="0" t="n">
        <v>44483</v>
      </c>
      <c r="AD1935" s="0" t="s">
        <v>148</v>
      </c>
      <c r="AE1935" s="0" t="s">
        <v>149</v>
      </c>
      <c r="AF1935" s="0" t="s">
        <v>150</v>
      </c>
      <c r="AH1935" s="0" t="n">
        <v>14</v>
      </c>
      <c r="AI1935" s="0" t="n">
        <v>11</v>
      </c>
      <c r="AN1935" s="0" t="s">
        <v>146</v>
      </c>
      <c r="AO1935" s="0" t="s">
        <v>250</v>
      </c>
      <c r="AP1935" s="0" t="s">
        <v>251</v>
      </c>
      <c r="AQ1935" s="0" t="n">
        <v>9</v>
      </c>
      <c r="AR1935" s="0" t="n">
        <v>64</v>
      </c>
      <c r="AS1935" s="0" t="n">
        <v>32</v>
      </c>
      <c r="AU1935" s="0" t="n">
        <f aca="false">COUNTA($BA$2338:$EH$2338)</f>
        <v>7</v>
      </c>
      <c r="AV1935" s="0" t="n">
        <f aca="false">COUNTIF($BA$2338:$EH$2338,"D")</f>
        <v>1</v>
      </c>
      <c r="AW1935" s="0" t="n">
        <f aca="false">COUNTIF($BA$2338:$EH$2338,"R")</f>
        <v>0</v>
      </c>
      <c r="AX1935" s="0" t="n">
        <f aca="false"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>0</v>
      </c>
      <c r="AY1935" s="0" t="n">
        <f aca="false">COUNTIF(DU1935:EH1935, "&lt;&gt;")</f>
        <v>1</v>
      </c>
      <c r="AZ1935" s="0" t="n">
        <f aca="false">IF(EH1935&lt;&gt;"",1,0)</f>
        <v>0</v>
      </c>
      <c r="BB1935" s="0" t="s">
        <v>153</v>
      </c>
      <c r="EF1935" s="0" t="s">
        <v>154</v>
      </c>
    </row>
    <row r="1936" customFormat="false" ht="13.8" hidden="true" customHeight="false" outlineLevel="0" collapsed="false">
      <c r="A1936" s="0" t="s">
        <v>8630</v>
      </c>
      <c r="B1936" s="0" t="n">
        <v>78</v>
      </c>
      <c r="C1936" s="0" t="n">
        <v>337490</v>
      </c>
      <c r="D1936" s="0" t="s">
        <v>4829</v>
      </c>
      <c r="E1936" s="0" t="s">
        <v>8631</v>
      </c>
      <c r="F1936" s="0" t="str">
        <f aca="false">CONCATENATE(D1936," ",LEFT(H1936,4),"T=",AU1936,"D=",AV1936,"R=",AW1936,"M=",AX1936,"L=",AY1936,"B=",AZ1936)</f>
        <v>BAUGH T=13D=2R=0M=0L=0B=0</v>
      </c>
      <c r="G1936" s="0" t="s">
        <v>8632</v>
      </c>
      <c r="I1936" s="0" t="s">
        <v>8633</v>
      </c>
      <c r="J1936" s="0" t="s">
        <v>1251</v>
      </c>
      <c r="K1936" s="0" t="s">
        <v>144</v>
      </c>
      <c r="L1936" s="0"/>
      <c r="M1936" s="0" t="s">
        <v>8634</v>
      </c>
      <c r="N1936" s="0" t="str">
        <f aca="false">RIGHT(M1936,LEN(M1936)-FIND(" ",M1936))</f>
        <v>N PARK AVE</v>
      </c>
      <c r="P1936" s="0" t="s">
        <v>146</v>
      </c>
      <c r="Q1936" s="0" t="s">
        <v>147</v>
      </c>
      <c r="R1936" s="0" t="n">
        <v>44483</v>
      </c>
      <c r="AD1936" s="0" t="s">
        <v>148</v>
      </c>
      <c r="AE1936" s="0" t="s">
        <v>149</v>
      </c>
      <c r="AF1936" s="0" t="s">
        <v>150</v>
      </c>
      <c r="AH1936" s="0" t="n">
        <v>14</v>
      </c>
      <c r="AI1936" s="0" t="n">
        <v>11</v>
      </c>
      <c r="AN1936" s="0" t="s">
        <v>146</v>
      </c>
      <c r="AO1936" s="0" t="s">
        <v>250</v>
      </c>
      <c r="AP1936" s="0" t="s">
        <v>251</v>
      </c>
      <c r="AQ1936" s="0" t="n">
        <v>9</v>
      </c>
      <c r="AR1936" s="0" t="n">
        <v>64</v>
      </c>
      <c r="AS1936" s="0" t="n">
        <v>32</v>
      </c>
      <c r="AU1936" s="0" t="n">
        <f aca="false">COUNTA($BA$2451:$EH$2451)</f>
        <v>13</v>
      </c>
      <c r="AV1936" s="0" t="n">
        <f aca="false">COUNTIF($BA$2451:$EH$2451,"D")</f>
        <v>2</v>
      </c>
      <c r="AW1936" s="0" t="n">
        <f aca="false">COUNTIF($BA$2451:$EH$2451,"R")</f>
        <v>0</v>
      </c>
      <c r="AX1936" s="0" t="n">
        <f aca="false"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>0</v>
      </c>
      <c r="AY1936" s="0" t="n">
        <f aca="false">COUNTIF(DU1936:EH1936, "&lt;&gt;")</f>
        <v>0</v>
      </c>
      <c r="AZ1936" s="0" t="n">
        <f aca="false">IF(EH1936&lt;&gt;"",1,0)</f>
        <v>0</v>
      </c>
      <c r="BB1936" s="0" t="s">
        <v>153</v>
      </c>
      <c r="CP1936" s="0" t="s">
        <v>154</v>
      </c>
    </row>
    <row r="1937" customFormat="false" ht="13.8" hidden="true" customHeight="false" outlineLevel="0" collapsed="false">
      <c r="A1937" s="0" t="s">
        <v>8635</v>
      </c>
      <c r="B1937" s="0" t="n">
        <v>78</v>
      </c>
      <c r="C1937" s="0" t="n">
        <v>463776</v>
      </c>
      <c r="D1937" s="0" t="s">
        <v>230</v>
      </c>
      <c r="E1937" s="0" t="s">
        <v>863</v>
      </c>
      <c r="F1937" s="0" t="str">
        <f aca="false">CONCATENATE(D1937," ",LEFT(H1937,4),"T=",AU1937,"D=",AV1937,"R=",AW1937,"M=",AX1937,"L=",AY1937,"B=",AZ1937)</f>
        <v>CONWAY T=1D=0R=0M=0L=0B=0</v>
      </c>
      <c r="G1937" s="0" t="s">
        <v>297</v>
      </c>
      <c r="I1937" s="0" t="s">
        <v>8636</v>
      </c>
      <c r="J1937" s="0" t="s">
        <v>8637</v>
      </c>
      <c r="K1937" s="0" t="s">
        <v>175</v>
      </c>
      <c r="L1937" s="0"/>
      <c r="M1937" s="0" t="s">
        <v>8638</v>
      </c>
      <c r="N1937" s="0" t="str">
        <f aca="false">RIGHT(M1937,LEN(M1937)-FIND(" ",M1937))</f>
        <v>N PARK AVE</v>
      </c>
      <c r="P1937" s="0" t="s">
        <v>146</v>
      </c>
      <c r="Q1937" s="0" t="s">
        <v>147</v>
      </c>
      <c r="R1937" s="0" t="n">
        <v>44483</v>
      </c>
      <c r="AD1937" s="0" t="s">
        <v>148</v>
      </c>
      <c r="AE1937" s="0" t="s">
        <v>149</v>
      </c>
      <c r="AF1937" s="0" t="s">
        <v>150</v>
      </c>
      <c r="AH1937" s="0" t="n">
        <v>14</v>
      </c>
      <c r="AI1937" s="0" t="n">
        <v>11</v>
      </c>
      <c r="AN1937" s="0" t="s">
        <v>146</v>
      </c>
      <c r="AO1937" s="0" t="s">
        <v>250</v>
      </c>
      <c r="AP1937" s="0" t="s">
        <v>251</v>
      </c>
      <c r="AQ1937" s="0" t="n">
        <v>9</v>
      </c>
      <c r="AR1937" s="0" t="n">
        <v>64</v>
      </c>
      <c r="AS1937" s="0" t="n">
        <v>32</v>
      </c>
      <c r="AU1937" s="0" t="n">
        <f aca="false">COUNTA($BA$2305:$EH$2305)</f>
        <v>1</v>
      </c>
      <c r="AV1937" s="0" t="n">
        <f aca="false">COUNTIF($BA$2305:$EH$2305,"D")</f>
        <v>0</v>
      </c>
      <c r="AW1937" s="0" t="n">
        <f aca="false">COUNTIF($BA$2305:$EH$2305,"R")</f>
        <v>0</v>
      </c>
      <c r="AX1937" s="0" t="n">
        <f aca="false"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>0</v>
      </c>
      <c r="AY1937" s="0" t="n">
        <f aca="false">COUNTIF(DU1937:EH1937, "&lt;&gt;")</f>
        <v>0</v>
      </c>
      <c r="AZ1937" s="0" t="n">
        <f aca="false">IF(EH1937&lt;&gt;"",1,0)</f>
        <v>0</v>
      </c>
      <c r="BB1937" s="0" t="s">
        <v>153</v>
      </c>
    </row>
    <row r="1938" customFormat="false" ht="13.8" hidden="true" customHeight="false" outlineLevel="0" collapsed="false">
      <c r="A1938" s="0" t="s">
        <v>8639</v>
      </c>
      <c r="B1938" s="0" t="n">
        <v>78</v>
      </c>
      <c r="C1938" s="0" t="n">
        <v>457653</v>
      </c>
      <c r="D1938" s="0" t="s">
        <v>8640</v>
      </c>
      <c r="E1938" s="0" t="s">
        <v>744</v>
      </c>
      <c r="F1938" s="0" t="str">
        <f aca="false">CONCATENATE(D1938," ",LEFT(H1938,4),"T=",AU1938,"D=",AV1938,"R=",AW1938,"M=",AX1938,"L=",AY1938,"B=",AZ1938)</f>
        <v>STILL T=10D=1R=1M=0L=0B=0</v>
      </c>
      <c r="G1938" s="0" t="s">
        <v>8641</v>
      </c>
      <c r="I1938" s="0" t="s">
        <v>8642</v>
      </c>
      <c r="J1938" s="0" t="s">
        <v>8643</v>
      </c>
      <c r="K1938" s="0" t="s">
        <v>144</v>
      </c>
      <c r="L1938" s="0"/>
      <c r="M1938" s="0" t="s">
        <v>8644</v>
      </c>
      <c r="N1938" s="0" t="str">
        <f aca="false">RIGHT(M1938,LEN(M1938)-FIND(" ",M1938))</f>
        <v>N PARK AVE</v>
      </c>
      <c r="P1938" s="0" t="s">
        <v>146</v>
      </c>
      <c r="Q1938" s="0" t="s">
        <v>147</v>
      </c>
      <c r="R1938" s="0" t="n">
        <v>44483</v>
      </c>
      <c r="AD1938" s="0" t="s">
        <v>148</v>
      </c>
      <c r="AE1938" s="0" t="s">
        <v>149</v>
      </c>
      <c r="AF1938" s="0" t="s">
        <v>150</v>
      </c>
      <c r="AH1938" s="0" t="n">
        <v>14</v>
      </c>
      <c r="AI1938" s="0" t="n">
        <v>11</v>
      </c>
      <c r="AN1938" s="0" t="s">
        <v>146</v>
      </c>
      <c r="AO1938" s="0" t="s">
        <v>250</v>
      </c>
      <c r="AP1938" s="0" t="s">
        <v>251</v>
      </c>
      <c r="AQ1938" s="0" t="n">
        <v>9</v>
      </c>
      <c r="AR1938" s="0" t="n">
        <v>64</v>
      </c>
      <c r="AS1938" s="0" t="n">
        <v>32</v>
      </c>
      <c r="AU1938" s="0" t="n">
        <f aca="false">COUNTA($BA$2823:$EH$2823)</f>
        <v>10</v>
      </c>
      <c r="AV1938" s="0" t="n">
        <f aca="false">COUNTIF($BA$2823:$EH$2823,"D")</f>
        <v>1</v>
      </c>
      <c r="AW1938" s="0" t="n">
        <f aca="false">COUNTIF($BA$2823:$EH$2823,"R")</f>
        <v>1</v>
      </c>
      <c r="AX1938" s="0" t="n">
        <f aca="false"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>0</v>
      </c>
      <c r="AY1938" s="0" t="n">
        <f aca="false">COUNTIF(DU1938:EH1938, "&lt;&gt;")</f>
        <v>0</v>
      </c>
      <c r="AZ1938" s="0" t="n">
        <f aca="false">IF(EH1938&lt;&gt;"",1,0)</f>
        <v>0</v>
      </c>
      <c r="BB1938" s="0" t="s">
        <v>153</v>
      </c>
    </row>
    <row r="1939" customFormat="false" ht="13.8" hidden="false" customHeight="false" outlineLevel="0" collapsed="false">
      <c r="A1939" s="0" t="s">
        <v>8645</v>
      </c>
      <c r="B1939" s="0" t="n">
        <v>78</v>
      </c>
      <c r="C1939" s="0" t="n">
        <v>341738</v>
      </c>
      <c r="D1939" s="0" t="s">
        <v>7813</v>
      </c>
      <c r="E1939" s="0" t="s">
        <v>2258</v>
      </c>
      <c r="F1939" s="0" t="str">
        <f aca="false">CONCATENATE(D1939," ",LEFT(H1939,4),"T=",AU1939,"D=",AV1939,"R=",AW1939,"M=",AX1939,"L=",AY1939,"B=",AZ1939)</f>
        <v>BLESSING T=20D=0R=1M=0L=3B=0</v>
      </c>
      <c r="G1939" s="0" t="s">
        <v>241</v>
      </c>
      <c r="I1939" s="0" t="s">
        <v>8646</v>
      </c>
      <c r="J1939" s="0" t="s">
        <v>575</v>
      </c>
      <c r="K1939" s="0" t="s">
        <v>175</v>
      </c>
      <c r="M1939" s="0" t="s">
        <v>8647</v>
      </c>
      <c r="N1939" s="0" t="str">
        <f aca="false">RIGHT(M1939,LEN(M1939)-FIND(" ",M1939))</f>
        <v>N PARK AVE</v>
      </c>
      <c r="O1939" s="0" t="s">
        <v>1681</v>
      </c>
      <c r="P1939" s="0" t="s">
        <v>146</v>
      </c>
      <c r="Q1939" s="0" t="s">
        <v>147</v>
      </c>
      <c r="R1939" s="0" t="n">
        <v>44483</v>
      </c>
      <c r="AD1939" s="0" t="s">
        <v>148</v>
      </c>
      <c r="AE1939" s="0" t="s">
        <v>149</v>
      </c>
      <c r="AF1939" s="0" t="s">
        <v>150</v>
      </c>
      <c r="AH1939" s="0" t="n">
        <v>14</v>
      </c>
      <c r="AI1939" s="0" t="n">
        <v>11</v>
      </c>
      <c r="AN1939" s="0" t="s">
        <v>146</v>
      </c>
      <c r="AO1939" s="0" t="s">
        <v>236</v>
      </c>
      <c r="AP1939" s="0" t="s">
        <v>237</v>
      </c>
      <c r="AQ1939" s="0" t="n">
        <v>9</v>
      </c>
      <c r="AR1939" s="0" t="n">
        <v>64</v>
      </c>
      <c r="AS1939" s="0" t="n">
        <v>32</v>
      </c>
      <c r="AU1939" s="0" t="n">
        <f aca="false">COUNTA($BA$671:$EH$671)</f>
        <v>20</v>
      </c>
      <c r="AV1939" s="0" t="n">
        <f aca="false">COUNTIF($BA$671:$EH$671,"D")</f>
        <v>0</v>
      </c>
      <c r="AW1939" s="0" t="n">
        <f aca="false">COUNTIF($BA$671:$EH$671,"R")</f>
        <v>1</v>
      </c>
      <c r="AX1939" s="0" t="n">
        <f aca="false"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>0</v>
      </c>
      <c r="AY1939" s="0" t="n">
        <f aca="false">COUNTIF(DU1939:EH1939, "&lt;&gt;")</f>
        <v>3</v>
      </c>
      <c r="AZ1939" s="0" t="n">
        <f aca="false">IF(EH1939&lt;&gt;"",1,0)</f>
        <v>0</v>
      </c>
      <c r="BB1939" s="0" t="s">
        <v>153</v>
      </c>
      <c r="CA1939" s="0" t="s">
        <v>154</v>
      </c>
      <c r="CP1939" s="0" t="s">
        <v>154</v>
      </c>
      <c r="DC1939" s="0" t="s">
        <v>154</v>
      </c>
      <c r="DN1939" s="0" t="s">
        <v>154</v>
      </c>
      <c r="DU1939" s="0" t="s">
        <v>154</v>
      </c>
      <c r="EA1939" s="0" t="s">
        <v>154</v>
      </c>
      <c r="EF1939" s="0" t="s">
        <v>154</v>
      </c>
    </row>
    <row r="1940" customFormat="false" ht="13.8" hidden="true" customHeight="false" outlineLevel="0" collapsed="false">
      <c r="A1940" s="0" t="s">
        <v>8648</v>
      </c>
      <c r="B1940" s="0" t="n">
        <v>78</v>
      </c>
      <c r="C1940" s="0" t="n">
        <v>415814</v>
      </c>
      <c r="D1940" s="0" t="s">
        <v>8649</v>
      </c>
      <c r="E1940" s="0" t="s">
        <v>1244</v>
      </c>
      <c r="F1940" s="0" t="str">
        <f aca="false">CONCATENATE(D1940," ",LEFT(H1940,4),"T=",AU1940,"D=",AV1940,"R=",AW1940,"M=",AX1940,"L=",AY1940,"B=",AZ1940)</f>
        <v>BROOK T=2D=0R=0M=0L=0B=0</v>
      </c>
      <c r="G1940" s="0" t="s">
        <v>188</v>
      </c>
      <c r="I1940" s="0" t="s">
        <v>8650</v>
      </c>
      <c r="J1940" s="0" t="s">
        <v>8651</v>
      </c>
      <c r="K1940" s="0" t="s">
        <v>144</v>
      </c>
      <c r="L1940" s="0"/>
      <c r="M1940" s="0" t="s">
        <v>8652</v>
      </c>
      <c r="N1940" s="0" t="str">
        <f aca="false">RIGHT(M1940,LEN(M1940)-FIND(" ",M1940))</f>
        <v>N PARK AVE</v>
      </c>
      <c r="P1940" s="0" t="s">
        <v>146</v>
      </c>
      <c r="Q1940" s="0" t="s">
        <v>147</v>
      </c>
      <c r="R1940" s="0" t="n">
        <v>44483</v>
      </c>
      <c r="AD1940" s="0" t="s">
        <v>148</v>
      </c>
      <c r="AE1940" s="0" t="s">
        <v>149</v>
      </c>
      <c r="AF1940" s="0" t="s">
        <v>150</v>
      </c>
      <c r="AH1940" s="0" t="n">
        <v>14</v>
      </c>
      <c r="AI1940" s="0" t="n">
        <v>11</v>
      </c>
      <c r="AN1940" s="0" t="s">
        <v>146</v>
      </c>
      <c r="AO1940" s="0" t="s">
        <v>151</v>
      </c>
      <c r="AP1940" s="0" t="s">
        <v>152</v>
      </c>
      <c r="AQ1940" s="0" t="n">
        <v>9</v>
      </c>
      <c r="AR1940" s="0" t="n">
        <v>64</v>
      </c>
      <c r="AS1940" s="0" t="n">
        <v>32</v>
      </c>
      <c r="AU1940" s="0" t="n">
        <f aca="false">COUNTA($BA$1105:$EH$1105)</f>
        <v>2</v>
      </c>
      <c r="AV1940" s="0" t="n">
        <f aca="false">COUNTIF($BA$1105:$EH$1105,"D")</f>
        <v>0</v>
      </c>
      <c r="AW1940" s="0" t="n">
        <f aca="false">COUNTIF($BA$1105:$EH$1105,"R")</f>
        <v>0</v>
      </c>
      <c r="AX1940" s="0" t="n">
        <f aca="false"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>0</v>
      </c>
      <c r="AY1940" s="0" t="n">
        <f aca="false">COUNTIF(DU1940:EH1940, "&lt;&gt;")</f>
        <v>0</v>
      </c>
      <c r="AZ1940" s="0" t="n">
        <f aca="false">IF(EH1940&lt;&gt;"",1,0)</f>
        <v>0</v>
      </c>
      <c r="BB1940" s="0" t="s">
        <v>153</v>
      </c>
    </row>
    <row r="1941" customFormat="false" ht="13.8" hidden="true" customHeight="false" outlineLevel="0" collapsed="false">
      <c r="A1941" s="0" t="s">
        <v>8653</v>
      </c>
      <c r="B1941" s="0" t="n">
        <v>78</v>
      </c>
      <c r="C1941" s="0" t="n">
        <v>477268</v>
      </c>
      <c r="D1941" s="0" t="s">
        <v>8654</v>
      </c>
      <c r="E1941" s="0" t="s">
        <v>8655</v>
      </c>
      <c r="F1941" s="0" t="str">
        <f aca="false">CONCATENATE(D1941," ",LEFT(H1941,4),"T=",AU1941,"D=",AV1941,"R=",AW1941,"M=",AX1941,"L=",AY1941,"B=",AZ1941)</f>
        <v>DANNEMILLER T=7D=0R=0M=0L=1B=0</v>
      </c>
      <c r="G1941" s="0" t="s">
        <v>694</v>
      </c>
      <c r="I1941" s="0" t="s">
        <v>8656</v>
      </c>
      <c r="J1941" s="0" t="s">
        <v>4495</v>
      </c>
      <c r="K1941" s="0" t="s">
        <v>175</v>
      </c>
      <c r="L1941" s="0"/>
      <c r="M1941" s="0" t="s">
        <v>8652</v>
      </c>
      <c r="N1941" s="0" t="str">
        <f aca="false">RIGHT(M1941,LEN(M1941)-FIND(" ",M1941))</f>
        <v>N PARK AVE</v>
      </c>
      <c r="P1941" s="0" t="s">
        <v>146</v>
      </c>
      <c r="Q1941" s="0" t="s">
        <v>147</v>
      </c>
      <c r="R1941" s="0" t="n">
        <v>44483</v>
      </c>
      <c r="AD1941" s="0" t="s">
        <v>148</v>
      </c>
      <c r="AE1941" s="0" t="s">
        <v>149</v>
      </c>
      <c r="AF1941" s="0" t="s">
        <v>150</v>
      </c>
      <c r="AH1941" s="0" t="n">
        <v>14</v>
      </c>
      <c r="AI1941" s="0" t="n">
        <v>11</v>
      </c>
      <c r="AN1941" s="0" t="s">
        <v>146</v>
      </c>
      <c r="AO1941" s="0" t="s">
        <v>151</v>
      </c>
      <c r="AP1941" s="0" t="s">
        <v>152</v>
      </c>
      <c r="AQ1941" s="0" t="n">
        <v>9</v>
      </c>
      <c r="AR1941" s="0" t="n">
        <v>64</v>
      </c>
      <c r="AS1941" s="0" t="n">
        <v>32</v>
      </c>
      <c r="AU1941" s="0" t="n">
        <f aca="false">COUNTA($BA$1213:$EH$1213)</f>
        <v>7</v>
      </c>
      <c r="AV1941" s="0" t="n">
        <f aca="false">COUNTIF($BA$1213:$EH$1213,"D")</f>
        <v>0</v>
      </c>
      <c r="AW1941" s="0" t="n">
        <f aca="false">COUNTIF($BA$1213:$EH$1213,"R")</f>
        <v>0</v>
      </c>
      <c r="AX1941" s="0" t="n">
        <f aca="false"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>0</v>
      </c>
      <c r="AY1941" s="0" t="n">
        <f aca="false">COUNTIF(DU1941:EH1941, "&lt;&gt;")</f>
        <v>1</v>
      </c>
      <c r="AZ1941" s="0" t="n">
        <f aca="false">IF(EH1941&lt;&gt;"",1,0)</f>
        <v>0</v>
      </c>
      <c r="BB1941" s="0" t="s">
        <v>153</v>
      </c>
      <c r="BK1941" s="0" t="s">
        <v>155</v>
      </c>
      <c r="BL1941" s="0" t="s">
        <v>154</v>
      </c>
      <c r="BP1941" s="0" t="s">
        <v>154</v>
      </c>
      <c r="BS1941" s="0" t="s">
        <v>154</v>
      </c>
      <c r="BY1941" s="0" t="s">
        <v>155</v>
      </c>
      <c r="CA1941" s="0" t="s">
        <v>154</v>
      </c>
      <c r="CP1941" s="0" t="s">
        <v>154</v>
      </c>
      <c r="CV1941" s="0" t="s">
        <v>154</v>
      </c>
      <c r="CY1941" s="0" t="s">
        <v>154</v>
      </c>
      <c r="DC1941" s="0" t="s">
        <v>154</v>
      </c>
      <c r="EF1941" s="0" t="s">
        <v>154</v>
      </c>
    </row>
    <row r="1942" customFormat="false" ht="13.8" hidden="true" customHeight="false" outlineLevel="0" collapsed="false">
      <c r="A1942" s="0" t="s">
        <v>8657</v>
      </c>
      <c r="B1942" s="0" t="n">
        <v>78</v>
      </c>
      <c r="C1942" s="0" t="n">
        <v>491960</v>
      </c>
      <c r="D1942" s="0" t="s">
        <v>8658</v>
      </c>
      <c r="E1942" s="0" t="s">
        <v>4566</v>
      </c>
      <c r="F1942" s="0" t="str">
        <f aca="false">CONCATENATE(D1942," ",LEFT(H1942,4),"T=",AU1942,"D=",AV1942,"R=",AW1942,"M=",AX1942,"L=",AY1942,"B=",AZ1942)</f>
        <v>SANCHEZ SANTOS T=1D=0R=0M=0L=0B=0</v>
      </c>
      <c r="I1942" s="0" t="s">
        <v>8659</v>
      </c>
      <c r="J1942" s="0" t="s">
        <v>2761</v>
      </c>
      <c r="K1942" s="0" t="s">
        <v>175</v>
      </c>
      <c r="L1942" s="0"/>
      <c r="M1942" s="0" t="s">
        <v>8652</v>
      </c>
      <c r="N1942" s="0" t="str">
        <f aca="false">RIGHT(M1942,LEN(M1942)-FIND(" ",M1942))</f>
        <v>N PARK AVE</v>
      </c>
      <c r="P1942" s="0" t="s">
        <v>146</v>
      </c>
      <c r="Q1942" s="0" t="s">
        <v>147</v>
      </c>
      <c r="R1942" s="0" t="n">
        <v>44483</v>
      </c>
      <c r="AD1942" s="0" t="s">
        <v>148</v>
      </c>
      <c r="AE1942" s="0" t="s">
        <v>149</v>
      </c>
      <c r="AF1942" s="0" t="s">
        <v>150</v>
      </c>
      <c r="AH1942" s="0" t="n">
        <v>14</v>
      </c>
      <c r="AI1942" s="0" t="n">
        <v>11</v>
      </c>
      <c r="AN1942" s="0" t="s">
        <v>146</v>
      </c>
      <c r="AO1942" s="0" t="s">
        <v>151</v>
      </c>
      <c r="AP1942" s="0" t="s">
        <v>152</v>
      </c>
      <c r="AQ1942" s="0" t="n">
        <v>9</v>
      </c>
      <c r="AR1942" s="0" t="n">
        <v>64</v>
      </c>
      <c r="AS1942" s="0" t="n">
        <v>32</v>
      </c>
      <c r="AU1942" s="0" t="n">
        <f aca="false">COUNTA($BA$1230:$EH$1230)</f>
        <v>1</v>
      </c>
      <c r="AV1942" s="0" t="n">
        <f aca="false">COUNTIF($BA$1230:$EH$1230,"D")</f>
        <v>0</v>
      </c>
      <c r="AW1942" s="0" t="n">
        <f aca="false">COUNTIF($BA$1230:$EH$1230,"R")</f>
        <v>0</v>
      </c>
      <c r="AX1942" s="0" t="n">
        <f aca="false"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>0</v>
      </c>
      <c r="AY1942" s="0" t="n">
        <f aca="false">COUNTIF(DU1942:EH1942, "&lt;&gt;")</f>
        <v>0</v>
      </c>
      <c r="AZ1942" s="0" t="n">
        <f aca="false">IF(EH1942&lt;&gt;"",1,0)</f>
        <v>0</v>
      </c>
      <c r="BB1942" s="0" t="s">
        <v>153</v>
      </c>
    </row>
    <row r="1943" customFormat="false" ht="13.8" hidden="true" customHeight="false" outlineLevel="0" collapsed="false">
      <c r="A1943" s="0" t="s">
        <v>8660</v>
      </c>
      <c r="B1943" s="0" t="n">
        <v>78</v>
      </c>
      <c r="C1943" s="0" t="n">
        <v>456908</v>
      </c>
      <c r="D1943" s="0" t="s">
        <v>8661</v>
      </c>
      <c r="E1943" s="0" t="s">
        <v>429</v>
      </c>
      <c r="F1943" s="0" t="str">
        <f aca="false">CONCATENATE(D1943," ",LEFT(H1943,4),"T=",AU1943,"D=",AV1943,"R=",AW1943,"M=",AX1943,"L=",AY1943,"B=",AZ1943)</f>
        <v>PAUKOVICH T=1D=0R=0M=0L=0B=0</v>
      </c>
      <c r="G1943" s="0" t="s">
        <v>524</v>
      </c>
      <c r="I1943" s="0" t="s">
        <v>8662</v>
      </c>
      <c r="J1943" s="0" t="s">
        <v>757</v>
      </c>
      <c r="K1943" s="0" t="s">
        <v>175</v>
      </c>
      <c r="L1943" s="0"/>
      <c r="M1943" s="0" t="s">
        <v>8652</v>
      </c>
      <c r="N1943" s="0" t="str">
        <f aca="false">RIGHT(M1943,LEN(M1943)-FIND(" ",M1943))</f>
        <v>N PARK AVE</v>
      </c>
      <c r="P1943" s="0" t="s">
        <v>146</v>
      </c>
      <c r="Q1943" s="0" t="s">
        <v>147</v>
      </c>
      <c r="R1943" s="0" t="n">
        <v>44483</v>
      </c>
      <c r="AD1943" s="0" t="s">
        <v>148</v>
      </c>
      <c r="AE1943" s="0" t="s">
        <v>149</v>
      </c>
      <c r="AF1943" s="0" t="s">
        <v>150</v>
      </c>
      <c r="AH1943" s="0" t="n">
        <v>14</v>
      </c>
      <c r="AI1943" s="0" t="n">
        <v>11</v>
      </c>
      <c r="AN1943" s="0" t="s">
        <v>146</v>
      </c>
      <c r="AO1943" s="0" t="s">
        <v>151</v>
      </c>
      <c r="AP1943" s="0" t="s">
        <v>152</v>
      </c>
      <c r="AQ1943" s="0" t="n">
        <v>9</v>
      </c>
      <c r="AR1943" s="0" t="n">
        <v>64</v>
      </c>
      <c r="AS1943" s="0" t="n">
        <v>32</v>
      </c>
      <c r="AU1943" s="0" t="n">
        <f aca="false">COUNTA($BA$1313:$EH$1313)</f>
        <v>1</v>
      </c>
      <c r="AV1943" s="0" t="n">
        <f aca="false">COUNTIF($BA$1313:$EH$1313,"D")</f>
        <v>0</v>
      </c>
      <c r="AW1943" s="0" t="n">
        <f aca="false">COUNTIF($BA$1313:$EH$1313,"R")</f>
        <v>0</v>
      </c>
      <c r="AX1943" s="0" t="n">
        <f aca="false"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>0</v>
      </c>
      <c r="AY1943" s="0" t="n">
        <f aca="false">COUNTIF(DU1943:EH1943, "&lt;&gt;")</f>
        <v>0</v>
      </c>
      <c r="AZ1943" s="0" t="n">
        <f aca="false">IF(EH1943&lt;&gt;"",1,0)</f>
        <v>0</v>
      </c>
      <c r="BB1943" s="0" t="s">
        <v>153</v>
      </c>
    </row>
    <row r="1944" customFormat="false" ht="13.8" hidden="true" customHeight="false" outlineLevel="0" collapsed="false">
      <c r="A1944" s="0" t="s">
        <v>8663</v>
      </c>
      <c r="B1944" s="0" t="n">
        <v>78</v>
      </c>
      <c r="C1944" s="0" t="n">
        <v>423853</v>
      </c>
      <c r="D1944" s="0" t="s">
        <v>8664</v>
      </c>
      <c r="E1944" s="0" t="s">
        <v>8438</v>
      </c>
      <c r="F1944" s="0" t="str">
        <f aca="false">CONCATENATE(D1944," ",LEFT(H1944,4),"T=",AU1944,"D=",AV1944,"R=",AW1944,"M=",AX1944,"L=",AY1944,"B=",AZ1944)</f>
        <v>MARSTELLAR T=22D=4R=0M=0L=0B=0</v>
      </c>
      <c r="G1944" s="0" t="s">
        <v>297</v>
      </c>
      <c r="I1944" s="0" t="s">
        <v>8665</v>
      </c>
      <c r="J1944" s="0" t="s">
        <v>8666</v>
      </c>
      <c r="K1944" s="0" t="s">
        <v>144</v>
      </c>
      <c r="L1944" s="0"/>
      <c r="M1944" s="0" t="s">
        <v>8652</v>
      </c>
      <c r="N1944" s="0" t="str">
        <f aca="false">RIGHT(M1944,LEN(M1944)-FIND(" ",M1944))</f>
        <v>N PARK AVE</v>
      </c>
      <c r="P1944" s="0" t="s">
        <v>146</v>
      </c>
      <c r="Q1944" s="0" t="s">
        <v>147</v>
      </c>
      <c r="R1944" s="0" t="n">
        <v>44483</v>
      </c>
      <c r="AD1944" s="0" t="s">
        <v>148</v>
      </c>
      <c r="AE1944" s="0" t="s">
        <v>149</v>
      </c>
      <c r="AF1944" s="0" t="s">
        <v>150</v>
      </c>
      <c r="AH1944" s="0" t="n">
        <v>14</v>
      </c>
      <c r="AI1944" s="0" t="n">
        <v>11</v>
      </c>
      <c r="AN1944" s="0" t="s">
        <v>146</v>
      </c>
      <c r="AO1944" s="0" t="s">
        <v>151</v>
      </c>
      <c r="AP1944" s="0" t="s">
        <v>152</v>
      </c>
      <c r="AQ1944" s="0" t="n">
        <v>9</v>
      </c>
      <c r="AR1944" s="0" t="n">
        <v>64</v>
      </c>
      <c r="AS1944" s="0" t="n">
        <v>32</v>
      </c>
      <c r="AU1944" s="0" t="n">
        <f aca="false">COUNTA($BA$1343:$EH$1343)</f>
        <v>22</v>
      </c>
      <c r="AV1944" s="0" t="n">
        <f aca="false">COUNTIF($BA$1343:$EH$1343,"D")</f>
        <v>4</v>
      </c>
      <c r="AW1944" s="0" t="n">
        <f aca="false">COUNTIF($BA$1343:$EH$1343,"R")</f>
        <v>0</v>
      </c>
      <c r="AX1944" s="0" t="n">
        <f aca="false"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>0</v>
      </c>
      <c r="AY1944" s="0" t="n">
        <f aca="false">COUNTIF(DU1944:EH1944, "&lt;&gt;")</f>
        <v>0</v>
      </c>
      <c r="AZ1944" s="0" t="n">
        <f aca="false">IF(EH1944&lt;&gt;"",1,0)</f>
        <v>0</v>
      </c>
      <c r="BB1944" s="0" t="s">
        <v>153</v>
      </c>
      <c r="CA1944" s="0" t="s">
        <v>154</v>
      </c>
    </row>
    <row r="1945" customFormat="false" ht="13.8" hidden="true" customHeight="false" outlineLevel="0" collapsed="false">
      <c r="A1945" s="0" t="s">
        <v>8667</v>
      </c>
      <c r="B1945" s="0" t="n">
        <v>78</v>
      </c>
      <c r="C1945" s="0" t="n">
        <v>453725</v>
      </c>
      <c r="D1945" s="0" t="s">
        <v>309</v>
      </c>
      <c r="E1945" s="0" t="s">
        <v>5328</v>
      </c>
      <c r="F1945" s="0" t="str">
        <f aca="false">CONCATENATE(D1945," ",LEFT(H1945,4),"T=",AU1945,"D=",AV1945,"R=",AW1945,"M=",AX1945,"L=",AY1945,"B=",AZ1945)</f>
        <v>BROWN JRT=1D=0R=0M=0L=0B=0</v>
      </c>
      <c r="G1945" s="0" t="s">
        <v>514</v>
      </c>
      <c r="H1945" s="0" t="s">
        <v>431</v>
      </c>
      <c r="I1945" s="0" t="s">
        <v>8668</v>
      </c>
      <c r="J1945" s="0" t="s">
        <v>8669</v>
      </c>
      <c r="K1945" s="0" t="s">
        <v>175</v>
      </c>
      <c r="L1945" s="0"/>
      <c r="M1945" s="0" t="s">
        <v>8652</v>
      </c>
      <c r="N1945" s="0" t="str">
        <f aca="false">RIGHT(M1945,LEN(M1945)-FIND(" ",M1945))</f>
        <v>N PARK AVE</v>
      </c>
      <c r="P1945" s="0" t="s">
        <v>146</v>
      </c>
      <c r="Q1945" s="0" t="s">
        <v>147</v>
      </c>
      <c r="R1945" s="0" t="n">
        <v>44483</v>
      </c>
      <c r="AD1945" s="0" t="s">
        <v>148</v>
      </c>
      <c r="AE1945" s="0" t="s">
        <v>149</v>
      </c>
      <c r="AF1945" s="0" t="s">
        <v>150</v>
      </c>
      <c r="AH1945" s="0" t="n">
        <v>14</v>
      </c>
      <c r="AI1945" s="0" t="n">
        <v>11</v>
      </c>
      <c r="AN1945" s="0" t="s">
        <v>146</v>
      </c>
      <c r="AO1945" s="0" t="s">
        <v>151</v>
      </c>
      <c r="AP1945" s="0" t="s">
        <v>152</v>
      </c>
      <c r="AQ1945" s="0" t="n">
        <v>9</v>
      </c>
      <c r="AR1945" s="0" t="n">
        <v>64</v>
      </c>
      <c r="AS1945" s="0" t="n">
        <v>32</v>
      </c>
      <c r="AU1945" s="0" t="n">
        <f aca="false">COUNTA($BA$1452:$EH$1452)</f>
        <v>1</v>
      </c>
      <c r="AV1945" s="0" t="n">
        <f aca="false">COUNTIF($BA$1452:$EH$1452,"D")</f>
        <v>0</v>
      </c>
      <c r="AW1945" s="0" t="n">
        <f aca="false">COUNTIF($BA$1452:$EH$1452,"R")</f>
        <v>0</v>
      </c>
      <c r="AX1945" s="0" t="n">
        <f aca="false"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>0</v>
      </c>
      <c r="AY1945" s="0" t="n">
        <f aca="false">COUNTIF(DU1945:EH1945, "&lt;&gt;")</f>
        <v>0</v>
      </c>
      <c r="AZ1945" s="0" t="n">
        <f aca="false">IF(EH1945&lt;&gt;"",1,0)</f>
        <v>0</v>
      </c>
      <c r="BB1945" s="0" t="s">
        <v>153</v>
      </c>
    </row>
    <row r="1946" customFormat="false" ht="13.8" hidden="true" customHeight="false" outlineLevel="0" collapsed="false">
      <c r="A1946" s="0" t="s">
        <v>8670</v>
      </c>
      <c r="B1946" s="0" t="n">
        <v>78</v>
      </c>
      <c r="C1946" s="0" t="n">
        <v>463240</v>
      </c>
      <c r="D1946" s="0" t="s">
        <v>4023</v>
      </c>
      <c r="E1946" s="0" t="s">
        <v>8671</v>
      </c>
      <c r="F1946" s="0" t="str">
        <f aca="false">CONCATENATE(D1946," ",LEFT(H1946,4),"T=",AU1946,"D=",AV1946,"R=",AW1946,"M=",AX1946,"L=",AY1946,"B=",AZ1946)</f>
        <v>HENDERSON T=3D=0R=0M=0L=0B=0</v>
      </c>
      <c r="G1946" s="0" t="s">
        <v>297</v>
      </c>
      <c r="I1946" s="0" t="s">
        <v>8672</v>
      </c>
      <c r="J1946" s="0" t="s">
        <v>8637</v>
      </c>
      <c r="K1946" s="0" t="s">
        <v>175</v>
      </c>
      <c r="L1946" s="0"/>
      <c r="M1946" s="0" t="s">
        <v>8652</v>
      </c>
      <c r="N1946" s="0" t="str">
        <f aca="false">RIGHT(M1946,LEN(M1946)-FIND(" ",M1946))</f>
        <v>N PARK AVE</v>
      </c>
      <c r="P1946" s="0" t="s">
        <v>146</v>
      </c>
      <c r="Q1946" s="0" t="s">
        <v>147</v>
      </c>
      <c r="R1946" s="0" t="n">
        <v>44483</v>
      </c>
      <c r="AD1946" s="0" t="s">
        <v>148</v>
      </c>
      <c r="AE1946" s="0" t="s">
        <v>149</v>
      </c>
      <c r="AF1946" s="0" t="s">
        <v>150</v>
      </c>
      <c r="AH1946" s="0" t="n">
        <v>14</v>
      </c>
      <c r="AI1946" s="0" t="n">
        <v>11</v>
      </c>
      <c r="AN1946" s="0" t="s">
        <v>146</v>
      </c>
      <c r="AO1946" s="0" t="s">
        <v>151</v>
      </c>
      <c r="AP1946" s="0" t="s">
        <v>152</v>
      </c>
      <c r="AQ1946" s="0" t="n">
        <v>9</v>
      </c>
      <c r="AR1946" s="0" t="n">
        <v>64</v>
      </c>
      <c r="AS1946" s="0" t="n">
        <v>32</v>
      </c>
      <c r="AU1946" s="0" t="n">
        <f aca="false">COUNTA($BA$1632:$EH$1632)</f>
        <v>3</v>
      </c>
      <c r="AV1946" s="0" t="n">
        <f aca="false">COUNTIF($BA$1632:$EH$1632,"D")</f>
        <v>0</v>
      </c>
      <c r="AW1946" s="0" t="n">
        <f aca="false">COUNTIF($BA$1632:$EH$1632,"R")</f>
        <v>0</v>
      </c>
      <c r="AX1946" s="0" t="n">
        <f aca="false"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>0</v>
      </c>
      <c r="AY1946" s="0" t="n">
        <f aca="false">COUNTIF(DU1946:EH1946, "&lt;&gt;")</f>
        <v>0</v>
      </c>
      <c r="AZ1946" s="0" t="n">
        <f aca="false">IF(EH1946&lt;&gt;"",1,0)</f>
        <v>0</v>
      </c>
      <c r="BB1946" s="0" t="s">
        <v>153</v>
      </c>
    </row>
    <row r="1947" customFormat="false" ht="13.8" hidden="true" customHeight="false" outlineLevel="0" collapsed="false">
      <c r="A1947" s="0" t="s">
        <v>8673</v>
      </c>
      <c r="B1947" s="0" t="n">
        <v>78</v>
      </c>
      <c r="C1947" s="0" t="n">
        <v>458029</v>
      </c>
      <c r="D1947" s="0" t="s">
        <v>6723</v>
      </c>
      <c r="E1947" s="0" t="s">
        <v>266</v>
      </c>
      <c r="F1947" s="0" t="str">
        <f aca="false">CONCATENATE(D1947," ",LEFT(H1947,4),"T=",AU1947,"D=",AV1947,"R=",AW1947,"M=",AX1947,"L=",AY1947,"B=",AZ1947)</f>
        <v>LAMBERT T=1D=0R=0M=0L=1B=0</v>
      </c>
      <c r="G1947" s="0" t="s">
        <v>429</v>
      </c>
      <c r="I1947" s="0" t="s">
        <v>8674</v>
      </c>
      <c r="J1947" s="0" t="s">
        <v>7891</v>
      </c>
      <c r="K1947" s="0" t="s">
        <v>175</v>
      </c>
      <c r="L1947" s="0"/>
      <c r="M1947" s="0" t="s">
        <v>8652</v>
      </c>
      <c r="N1947" s="0" t="str">
        <f aca="false">RIGHT(M1947,LEN(M1947)-FIND(" ",M1947))</f>
        <v>N PARK AVE</v>
      </c>
      <c r="P1947" s="0" t="s">
        <v>146</v>
      </c>
      <c r="Q1947" s="0" t="s">
        <v>147</v>
      </c>
      <c r="R1947" s="0" t="n">
        <v>44483</v>
      </c>
      <c r="AD1947" s="0" t="s">
        <v>148</v>
      </c>
      <c r="AE1947" s="0" t="s">
        <v>149</v>
      </c>
      <c r="AF1947" s="0" t="s">
        <v>150</v>
      </c>
      <c r="AH1947" s="0" t="n">
        <v>14</v>
      </c>
      <c r="AI1947" s="0" t="n">
        <v>11</v>
      </c>
      <c r="AN1947" s="0" t="s">
        <v>146</v>
      </c>
      <c r="AO1947" s="0" t="s">
        <v>151</v>
      </c>
      <c r="AP1947" s="0" t="s">
        <v>152</v>
      </c>
      <c r="AQ1947" s="0" t="n">
        <v>9</v>
      </c>
      <c r="AR1947" s="0" t="n">
        <v>64</v>
      </c>
      <c r="AS1947" s="0" t="n">
        <v>32</v>
      </c>
      <c r="AU1947" s="0" t="n">
        <f aca="false">COUNTA($BA$1692:$EH$1692)</f>
        <v>1</v>
      </c>
      <c r="AV1947" s="0" t="n">
        <f aca="false">COUNTIF($BA$1692:$EH$1692,"D")</f>
        <v>0</v>
      </c>
      <c r="AW1947" s="0" t="n">
        <f aca="false">COUNTIF($BA$1692:$EH$1692,"R")</f>
        <v>0</v>
      </c>
      <c r="AX1947" s="0" t="n">
        <f aca="false"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>0</v>
      </c>
      <c r="AY1947" s="0" t="n">
        <f aca="false">COUNTIF(DU1947:EH1947, "&lt;&gt;")</f>
        <v>1</v>
      </c>
      <c r="AZ1947" s="0" t="n">
        <f aca="false">IF(EH1947&lt;&gt;"",1,0)</f>
        <v>0</v>
      </c>
      <c r="BB1947" s="0" t="s">
        <v>153</v>
      </c>
      <c r="BH1947" s="0" t="s">
        <v>154</v>
      </c>
      <c r="BS1947" s="0" t="s">
        <v>154</v>
      </c>
      <c r="BY1947" s="0" t="s">
        <v>155</v>
      </c>
      <c r="CA1947" s="0" t="s">
        <v>154</v>
      </c>
      <c r="CU1947" s="0" t="s">
        <v>155</v>
      </c>
      <c r="CY1947" s="0" t="s">
        <v>154</v>
      </c>
      <c r="CZ1947" s="0" t="s">
        <v>176</v>
      </c>
      <c r="DC1947" s="0" t="s">
        <v>154</v>
      </c>
      <c r="EF1947" s="0" t="s">
        <v>154</v>
      </c>
    </row>
    <row r="1948" customFormat="false" ht="13.8" hidden="true" customHeight="false" outlineLevel="0" collapsed="false">
      <c r="A1948" s="0" t="s">
        <v>8675</v>
      </c>
      <c r="B1948" s="0" t="n">
        <v>78</v>
      </c>
      <c r="C1948" s="0" t="n">
        <v>446478</v>
      </c>
      <c r="D1948" s="0" t="s">
        <v>4128</v>
      </c>
      <c r="E1948" s="0" t="s">
        <v>8676</v>
      </c>
      <c r="F1948" s="0" t="str">
        <f aca="false">CONCATENATE(D1948," ",LEFT(H1948,4),"T=",AU1948,"D=",AV1948,"R=",AW1948,"M=",AX1948,"L=",AY1948,"B=",AZ1948)</f>
        <v>CARTER T=2D=0R=0M=0L=1B=0</v>
      </c>
      <c r="G1948" s="0" t="s">
        <v>202</v>
      </c>
      <c r="I1948" s="0" t="s">
        <v>8677</v>
      </c>
      <c r="J1948" s="0" t="s">
        <v>8678</v>
      </c>
      <c r="K1948" s="0" t="s">
        <v>175</v>
      </c>
      <c r="L1948" s="0"/>
      <c r="M1948" s="0" t="s">
        <v>8652</v>
      </c>
      <c r="N1948" s="0" t="str">
        <f aca="false">RIGHT(M1948,LEN(M1948)-FIND(" ",M1948))</f>
        <v>N PARK AVE</v>
      </c>
      <c r="P1948" s="0" t="s">
        <v>146</v>
      </c>
      <c r="Q1948" s="0" t="s">
        <v>147</v>
      </c>
      <c r="R1948" s="0" t="n">
        <v>44483</v>
      </c>
      <c r="AD1948" s="0" t="s">
        <v>148</v>
      </c>
      <c r="AE1948" s="0" t="s">
        <v>149</v>
      </c>
      <c r="AF1948" s="0" t="s">
        <v>150</v>
      </c>
      <c r="AH1948" s="0" t="n">
        <v>14</v>
      </c>
      <c r="AI1948" s="0" t="n">
        <v>11</v>
      </c>
      <c r="AN1948" s="0" t="s">
        <v>146</v>
      </c>
      <c r="AO1948" s="0" t="s">
        <v>151</v>
      </c>
      <c r="AP1948" s="0" t="s">
        <v>152</v>
      </c>
      <c r="AQ1948" s="0" t="n">
        <v>9</v>
      </c>
      <c r="AR1948" s="0" t="n">
        <v>64</v>
      </c>
      <c r="AS1948" s="0" t="n">
        <v>32</v>
      </c>
      <c r="AU1948" s="0" t="n">
        <f aca="false">COUNTA($BA$1746:$EH$1746)</f>
        <v>2</v>
      </c>
      <c r="AV1948" s="0" t="n">
        <f aca="false">COUNTIF($BA$1746:$EH$1746,"D")</f>
        <v>0</v>
      </c>
      <c r="AW1948" s="0" t="n">
        <f aca="false">COUNTIF($BA$1746:$EH$1746,"R")</f>
        <v>0</v>
      </c>
      <c r="AX1948" s="0" t="n">
        <f aca="false"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>0</v>
      </c>
      <c r="AY1948" s="0" t="n">
        <f aca="false">COUNTIF(DU1948:EH1948, "&lt;&gt;")</f>
        <v>1</v>
      </c>
      <c r="AZ1948" s="0" t="n">
        <f aca="false">IF(EH1948&lt;&gt;"",1,0)</f>
        <v>0</v>
      </c>
      <c r="BB1948" s="0" t="s">
        <v>153</v>
      </c>
      <c r="DN1948" s="0" t="s">
        <v>154</v>
      </c>
      <c r="EF1948" s="0" t="s">
        <v>154</v>
      </c>
    </row>
    <row r="1949" customFormat="false" ht="13.8" hidden="true" customHeight="false" outlineLevel="0" collapsed="false">
      <c r="A1949" s="0" t="s">
        <v>8679</v>
      </c>
      <c r="B1949" s="0" t="n">
        <v>78</v>
      </c>
      <c r="C1949" s="0" t="n">
        <v>478410</v>
      </c>
      <c r="D1949" s="0" t="s">
        <v>8680</v>
      </c>
      <c r="E1949" s="0" t="s">
        <v>1263</v>
      </c>
      <c r="F1949" s="0" t="str">
        <f aca="false">CONCATENATE(D1949," ",LEFT(H1949,4),"T=",AU1949,"D=",AV1949,"R=",AW1949,"M=",AX1949,"L=",AY1949,"B=",AZ1949)</f>
        <v>COSTANTINI IIT=1D=0R=0M=0L=0B=0</v>
      </c>
      <c r="G1949" s="0" t="s">
        <v>172</v>
      </c>
      <c r="H1949" s="0" t="s">
        <v>598</v>
      </c>
      <c r="I1949" s="0" t="s">
        <v>8681</v>
      </c>
      <c r="J1949" s="0" t="s">
        <v>426</v>
      </c>
      <c r="K1949" s="0" t="s">
        <v>175</v>
      </c>
      <c r="L1949" s="0"/>
      <c r="M1949" s="0" t="s">
        <v>8652</v>
      </c>
      <c r="N1949" s="0" t="str">
        <f aca="false">RIGHT(M1949,LEN(M1949)-FIND(" ",M1949))</f>
        <v>N PARK AVE</v>
      </c>
      <c r="P1949" s="0" t="s">
        <v>146</v>
      </c>
      <c r="Q1949" s="0" t="s">
        <v>147</v>
      </c>
      <c r="R1949" s="0" t="n">
        <v>44483</v>
      </c>
      <c r="AD1949" s="0" t="s">
        <v>148</v>
      </c>
      <c r="AE1949" s="0" t="s">
        <v>149</v>
      </c>
      <c r="AF1949" s="0" t="s">
        <v>150</v>
      </c>
      <c r="AH1949" s="0" t="n">
        <v>14</v>
      </c>
      <c r="AI1949" s="0" t="n">
        <v>11</v>
      </c>
      <c r="AN1949" s="0" t="s">
        <v>146</v>
      </c>
      <c r="AO1949" s="0" t="s">
        <v>151</v>
      </c>
      <c r="AP1949" s="0" t="s">
        <v>152</v>
      </c>
      <c r="AQ1949" s="0" t="n">
        <v>9</v>
      </c>
      <c r="AR1949" s="0" t="n">
        <v>64</v>
      </c>
      <c r="AS1949" s="0" t="n">
        <v>32</v>
      </c>
      <c r="AU1949" s="0" t="n">
        <f aca="false">COUNTA($BA$1781:$EH$1781)</f>
        <v>1</v>
      </c>
      <c r="AV1949" s="0" t="n">
        <f aca="false">COUNTIF($BA$1781:$EH$1781,"D")</f>
        <v>0</v>
      </c>
      <c r="AW1949" s="0" t="n">
        <f aca="false">COUNTIF($BA$1781:$EH$1781,"R")</f>
        <v>0</v>
      </c>
      <c r="AX1949" s="0" t="n">
        <f aca="false"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>0</v>
      </c>
      <c r="AY1949" s="0" t="n">
        <f aca="false">COUNTIF(DU1949:EH1949, "&lt;&gt;")</f>
        <v>0</v>
      </c>
      <c r="AZ1949" s="0" t="n">
        <f aca="false">IF(EH1949&lt;&gt;"",1,0)</f>
        <v>0</v>
      </c>
      <c r="BB1949" s="0" t="s">
        <v>153</v>
      </c>
    </row>
    <row r="1950" customFormat="false" ht="13.8" hidden="true" customHeight="false" outlineLevel="0" collapsed="false">
      <c r="A1950" s="0" t="s">
        <v>8682</v>
      </c>
      <c r="B1950" s="0" t="n">
        <v>78</v>
      </c>
      <c r="C1950" s="0" t="n">
        <v>452488</v>
      </c>
      <c r="D1950" s="0" t="s">
        <v>1901</v>
      </c>
      <c r="E1950" s="0" t="s">
        <v>278</v>
      </c>
      <c r="F1950" s="0" t="str">
        <f aca="false">CONCATENATE(D1950," ",LEFT(H1950,4),"T=",AU1950,"D=",AV1950,"R=",AW1950,"M=",AX1950,"L=",AY1950,"B=",AZ1950)</f>
        <v>SNYDER SRT=2D=0R=0M=0L=1B=0</v>
      </c>
      <c r="G1950" s="0" t="s">
        <v>664</v>
      </c>
      <c r="H1950" s="0" t="s">
        <v>311</v>
      </c>
      <c r="I1950" s="0" t="s">
        <v>8683</v>
      </c>
      <c r="J1950" s="0" t="s">
        <v>8684</v>
      </c>
      <c r="K1950" s="0" t="s">
        <v>175</v>
      </c>
      <c r="L1950" s="0"/>
      <c r="M1950" s="0" t="s">
        <v>8652</v>
      </c>
      <c r="N1950" s="0" t="str">
        <f aca="false">RIGHT(M1950,LEN(M1950)-FIND(" ",M1950))</f>
        <v>N PARK AVE</v>
      </c>
      <c r="P1950" s="0" t="s">
        <v>146</v>
      </c>
      <c r="Q1950" s="0" t="s">
        <v>147</v>
      </c>
      <c r="R1950" s="0" t="n">
        <v>44483</v>
      </c>
      <c r="AD1950" s="0" t="s">
        <v>148</v>
      </c>
      <c r="AE1950" s="0" t="s">
        <v>149</v>
      </c>
      <c r="AF1950" s="0" t="s">
        <v>150</v>
      </c>
      <c r="AH1950" s="0" t="n">
        <v>14</v>
      </c>
      <c r="AI1950" s="0" t="n">
        <v>11</v>
      </c>
      <c r="AN1950" s="0" t="s">
        <v>146</v>
      </c>
      <c r="AO1950" s="0" t="s">
        <v>151</v>
      </c>
      <c r="AP1950" s="0" t="s">
        <v>152</v>
      </c>
      <c r="AQ1950" s="0" t="n">
        <v>9</v>
      </c>
      <c r="AR1950" s="0" t="n">
        <v>64</v>
      </c>
      <c r="AS1950" s="0" t="n">
        <v>32</v>
      </c>
      <c r="AU1950" s="0" t="n">
        <f aca="false">COUNTA($BA$1836:$EH$1836)</f>
        <v>2</v>
      </c>
      <c r="AV1950" s="0" t="n">
        <f aca="false">COUNTIF($BA$1836:$EH$1836,"D")</f>
        <v>0</v>
      </c>
      <c r="AW1950" s="0" t="n">
        <f aca="false">COUNTIF($BA$1836:$EH$1836,"R")</f>
        <v>0</v>
      </c>
      <c r="AX1950" s="0" t="n">
        <f aca="false"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>0</v>
      </c>
      <c r="AY1950" s="0" t="n">
        <f aca="false">COUNTIF(DU1950:EH1950, "&lt;&gt;")</f>
        <v>1</v>
      </c>
      <c r="AZ1950" s="0" t="n">
        <f aca="false">IF(EH1950&lt;&gt;"",1,0)</f>
        <v>0</v>
      </c>
      <c r="BB1950" s="0" t="s">
        <v>153</v>
      </c>
      <c r="EF1950" s="0" t="s">
        <v>154</v>
      </c>
    </row>
    <row r="1951" customFormat="false" ht="13.8" hidden="true" customHeight="false" outlineLevel="0" collapsed="false">
      <c r="A1951" s="0" t="s">
        <v>8685</v>
      </c>
      <c r="B1951" s="0" t="n">
        <v>78</v>
      </c>
      <c r="C1951" s="0" t="n">
        <v>417579</v>
      </c>
      <c r="D1951" s="0" t="s">
        <v>2926</v>
      </c>
      <c r="E1951" s="0" t="s">
        <v>1263</v>
      </c>
      <c r="F1951" s="0" t="str">
        <f aca="false">CONCATENATE(D1951," ",LEFT(H1951,4),"T=",AU1951,"D=",AV1951,"R=",AW1951,"M=",AX1951,"L=",AY1951,"B=",AZ1951)</f>
        <v>CAMPBELL T=5D=0R=0M=0L=0B=0</v>
      </c>
      <c r="G1951" s="0" t="s">
        <v>6206</v>
      </c>
      <c r="I1951" s="0" t="s">
        <v>8686</v>
      </c>
      <c r="J1951" s="0" t="s">
        <v>8687</v>
      </c>
      <c r="K1951" s="0" t="s">
        <v>144</v>
      </c>
      <c r="L1951" s="0"/>
      <c r="M1951" s="0" t="s">
        <v>8652</v>
      </c>
      <c r="N1951" s="0" t="str">
        <f aca="false">RIGHT(M1951,LEN(M1951)-FIND(" ",M1951))</f>
        <v>N PARK AVE</v>
      </c>
      <c r="P1951" s="0" t="s">
        <v>146</v>
      </c>
      <c r="Q1951" s="0" t="s">
        <v>147</v>
      </c>
      <c r="R1951" s="0" t="n">
        <v>44483</v>
      </c>
      <c r="AD1951" s="0" t="s">
        <v>148</v>
      </c>
      <c r="AE1951" s="0" t="s">
        <v>149</v>
      </c>
      <c r="AF1951" s="0" t="s">
        <v>150</v>
      </c>
      <c r="AH1951" s="0" t="n">
        <v>14</v>
      </c>
      <c r="AI1951" s="0" t="n">
        <v>11</v>
      </c>
      <c r="AN1951" s="0" t="s">
        <v>146</v>
      </c>
      <c r="AO1951" s="0" t="s">
        <v>151</v>
      </c>
      <c r="AP1951" s="0" t="s">
        <v>152</v>
      </c>
      <c r="AQ1951" s="0" t="n">
        <v>9</v>
      </c>
      <c r="AR1951" s="0" t="n">
        <v>64</v>
      </c>
      <c r="AS1951" s="0" t="n">
        <v>32</v>
      </c>
      <c r="AU1951" s="0" t="n">
        <f aca="false">COUNTA($BA$1881:$EH$1881)</f>
        <v>5</v>
      </c>
      <c r="AV1951" s="0" t="n">
        <f aca="false">COUNTIF($BA$1881:$EH$1881,"D")</f>
        <v>0</v>
      </c>
      <c r="AW1951" s="0" t="n">
        <f aca="false">COUNTIF($BA$1881:$EH$1881,"R")</f>
        <v>0</v>
      </c>
      <c r="AX1951" s="0" t="n">
        <f aca="false"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>0</v>
      </c>
      <c r="AY1951" s="0" t="n">
        <f aca="false">COUNTIF(DU1951:EH1951, "&lt;&gt;")</f>
        <v>0</v>
      </c>
      <c r="AZ1951" s="0" t="n">
        <f aca="false">IF(EH1951&lt;&gt;"",1,0)</f>
        <v>0</v>
      </c>
      <c r="BB1951" s="0" t="s">
        <v>153</v>
      </c>
    </row>
    <row r="1952" customFormat="false" ht="13.8" hidden="true" customHeight="false" outlineLevel="0" collapsed="false">
      <c r="A1952" s="0" t="s">
        <v>8688</v>
      </c>
      <c r="B1952" s="0" t="n">
        <v>78</v>
      </c>
      <c r="C1952" s="0" t="n">
        <v>351580</v>
      </c>
      <c r="D1952" s="0" t="s">
        <v>1582</v>
      </c>
      <c r="E1952" s="0" t="s">
        <v>2836</v>
      </c>
      <c r="F1952" s="0" t="str">
        <f aca="false">CONCATENATE(D1952," ",LEFT(H1952,4),"T=",AU1952,"D=",AV1952,"R=",AW1952,"M=",AX1952,"L=",AY1952,"B=",AZ1952)</f>
        <v>SMITH T=1D=0R=0M=0L=0B=0</v>
      </c>
      <c r="G1952" s="0" t="s">
        <v>241</v>
      </c>
      <c r="I1952" s="0" t="s">
        <v>8689</v>
      </c>
      <c r="J1952" s="0" t="s">
        <v>8690</v>
      </c>
      <c r="K1952" s="0" t="s">
        <v>144</v>
      </c>
      <c r="L1952" s="0"/>
      <c r="M1952" s="0" t="s">
        <v>8652</v>
      </c>
      <c r="N1952" s="0" t="str">
        <f aca="false">RIGHT(M1952,LEN(M1952)-FIND(" ",M1952))</f>
        <v>N PARK AVE</v>
      </c>
      <c r="P1952" s="0" t="s">
        <v>146</v>
      </c>
      <c r="Q1952" s="0" t="s">
        <v>147</v>
      </c>
      <c r="R1952" s="0" t="n">
        <v>44483</v>
      </c>
      <c r="AD1952" s="0" t="s">
        <v>148</v>
      </c>
      <c r="AE1952" s="0" t="s">
        <v>149</v>
      </c>
      <c r="AF1952" s="0" t="s">
        <v>150</v>
      </c>
      <c r="AH1952" s="0" t="n">
        <v>14</v>
      </c>
      <c r="AI1952" s="0" t="n">
        <v>11</v>
      </c>
      <c r="AN1952" s="0" t="s">
        <v>146</v>
      </c>
      <c r="AO1952" s="0" t="s">
        <v>151</v>
      </c>
      <c r="AP1952" s="0" t="s">
        <v>152</v>
      </c>
      <c r="AQ1952" s="0" t="n">
        <v>9</v>
      </c>
      <c r="AR1952" s="0" t="n">
        <v>64</v>
      </c>
      <c r="AS1952" s="0" t="n">
        <v>32</v>
      </c>
      <c r="AU1952" s="0" t="n">
        <f aca="false">COUNTA($BA$1949:$EH$1949)</f>
        <v>1</v>
      </c>
      <c r="AV1952" s="0" t="n">
        <f aca="false">COUNTIF($BA$1949:$EH$1949,"D")</f>
        <v>0</v>
      </c>
      <c r="AW1952" s="0" t="n">
        <f aca="false">COUNTIF($BA$1949:$EH$1949,"R")</f>
        <v>0</v>
      </c>
      <c r="AX1952" s="0" t="n">
        <f aca="false"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>0</v>
      </c>
      <c r="AY1952" s="0" t="n">
        <f aca="false">COUNTIF(DU1952:EH1952, "&lt;&gt;")</f>
        <v>0</v>
      </c>
      <c r="AZ1952" s="0" t="n">
        <f aca="false">IF(EH1952&lt;&gt;"",1,0)</f>
        <v>0</v>
      </c>
      <c r="BB1952" s="0" t="s">
        <v>153</v>
      </c>
      <c r="BY1952" s="0" t="s">
        <v>155</v>
      </c>
      <c r="CA1952" s="0" t="s">
        <v>154</v>
      </c>
      <c r="CG1952" s="0" t="s">
        <v>154</v>
      </c>
      <c r="CP1952" s="0" t="s">
        <v>154</v>
      </c>
      <c r="CY1952" s="0" t="s">
        <v>154</v>
      </c>
      <c r="DC1952" s="0" t="s">
        <v>154</v>
      </c>
    </row>
    <row r="1953" customFormat="false" ht="13.8" hidden="true" customHeight="false" outlineLevel="0" collapsed="false">
      <c r="A1953" s="0" t="s">
        <v>8691</v>
      </c>
      <c r="B1953" s="0" t="n">
        <v>78</v>
      </c>
      <c r="C1953" s="0" t="n">
        <v>408757</v>
      </c>
      <c r="D1953" s="0" t="s">
        <v>2410</v>
      </c>
      <c r="E1953" s="0" t="s">
        <v>694</v>
      </c>
      <c r="F1953" s="0" t="str">
        <f aca="false">CONCATENATE(D1953," ",LEFT(H1953,4),"T=",AU1953,"D=",AV1953,"R=",AW1953,"M=",AX1953,"L=",AY1953,"B=",AZ1953)</f>
        <v>BARNES T=1D=0R=0M=0L=0B=0</v>
      </c>
      <c r="G1953" s="0" t="s">
        <v>1920</v>
      </c>
      <c r="I1953" s="0" t="s">
        <v>8642</v>
      </c>
      <c r="J1953" s="0" t="s">
        <v>342</v>
      </c>
      <c r="K1953" s="0" t="s">
        <v>144</v>
      </c>
      <c r="L1953" s="0"/>
      <c r="M1953" s="0" t="s">
        <v>8652</v>
      </c>
      <c r="N1953" s="0" t="str">
        <f aca="false">RIGHT(M1953,LEN(M1953)-FIND(" ",M1953))</f>
        <v>N PARK AVE</v>
      </c>
      <c r="P1953" s="0" t="s">
        <v>146</v>
      </c>
      <c r="Q1953" s="0" t="s">
        <v>147</v>
      </c>
      <c r="R1953" s="0" t="n">
        <v>44483</v>
      </c>
      <c r="AD1953" s="0" t="s">
        <v>148</v>
      </c>
      <c r="AE1953" s="0" t="s">
        <v>149</v>
      </c>
      <c r="AF1953" s="0" t="s">
        <v>150</v>
      </c>
      <c r="AH1953" s="0" t="n">
        <v>14</v>
      </c>
      <c r="AI1953" s="0" t="n">
        <v>11</v>
      </c>
      <c r="AN1953" s="0" t="s">
        <v>146</v>
      </c>
      <c r="AO1953" s="0" t="s">
        <v>151</v>
      </c>
      <c r="AP1953" s="0" t="s">
        <v>152</v>
      </c>
      <c r="AQ1953" s="0" t="n">
        <v>9</v>
      </c>
      <c r="AR1953" s="0" t="n">
        <v>64</v>
      </c>
      <c r="AS1953" s="0" t="n">
        <v>32</v>
      </c>
      <c r="AU1953" s="0" t="n">
        <f aca="false">COUNTA($BA$1977:$EH$1977)</f>
        <v>1</v>
      </c>
      <c r="AV1953" s="0" t="n">
        <f aca="false">COUNTIF($BA$1977:$EH$1977,"D")</f>
        <v>0</v>
      </c>
      <c r="AW1953" s="0" t="n">
        <f aca="false">COUNTIF($BA$1977:$EH$1977,"R")</f>
        <v>0</v>
      </c>
      <c r="AX1953" s="0" t="n">
        <f aca="false"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>0</v>
      </c>
      <c r="AY1953" s="0" t="n">
        <f aca="false">COUNTIF(DU1953:EH1953, "&lt;&gt;")</f>
        <v>0</v>
      </c>
      <c r="AZ1953" s="0" t="n">
        <f aca="false">IF(EH1953&lt;&gt;"",1,0)</f>
        <v>0</v>
      </c>
      <c r="BB1953" s="0" t="s">
        <v>153</v>
      </c>
    </row>
    <row r="1954" customFormat="false" ht="13.8" hidden="false" customHeight="false" outlineLevel="0" collapsed="false">
      <c r="A1954" s="0" t="s">
        <v>8692</v>
      </c>
      <c r="B1954" s="0" t="n">
        <v>78</v>
      </c>
      <c r="C1954" s="0" t="n">
        <v>151975</v>
      </c>
      <c r="D1954" s="0" t="s">
        <v>8693</v>
      </c>
      <c r="E1954" s="0" t="s">
        <v>328</v>
      </c>
      <c r="F1954" s="0" t="str">
        <f aca="false">CONCATENATE(D1954," ",LEFT(H1954,4),"T=",AU1954,"D=",AV1954,"R=",AW1954,"M=",AX1954,"L=",AY1954,"B=",AZ1954)</f>
        <v>KAFANTARIS T=1D=0R=0M=4L=7B=1</v>
      </c>
      <c r="G1954" s="0" t="s">
        <v>216</v>
      </c>
      <c r="I1954" s="0" t="s">
        <v>8694</v>
      </c>
      <c r="J1954" s="0" t="s">
        <v>7361</v>
      </c>
      <c r="K1954" s="0" t="s">
        <v>175</v>
      </c>
      <c r="L1954" s="1" t="s">
        <v>155</v>
      </c>
      <c r="M1954" s="0" t="s">
        <v>8695</v>
      </c>
      <c r="N1954" s="0" t="str">
        <f aca="false">RIGHT(M1954,LEN(M1954)-FIND(" ",M1954))</f>
        <v>N PARK AVE</v>
      </c>
      <c r="P1954" s="0" t="s">
        <v>146</v>
      </c>
      <c r="Q1954" s="0" t="s">
        <v>147</v>
      </c>
      <c r="R1954" s="0" t="n">
        <v>44483</v>
      </c>
      <c r="AD1954" s="0" t="s">
        <v>148</v>
      </c>
      <c r="AE1954" s="0" t="s">
        <v>149</v>
      </c>
      <c r="AF1954" s="0" t="s">
        <v>150</v>
      </c>
      <c r="AH1954" s="0" t="n">
        <v>14</v>
      </c>
      <c r="AI1954" s="0" t="n">
        <v>11</v>
      </c>
      <c r="AN1954" s="0" t="s">
        <v>146</v>
      </c>
      <c r="AO1954" s="0" t="s">
        <v>236</v>
      </c>
      <c r="AP1954" s="0" t="s">
        <v>237</v>
      </c>
      <c r="AQ1954" s="0" t="n">
        <v>9</v>
      </c>
      <c r="AR1954" s="0" t="n">
        <v>64</v>
      </c>
      <c r="AS1954" s="0" t="n">
        <v>32</v>
      </c>
      <c r="AU1954" s="0" t="n">
        <f aca="false">COUNTA($BA$1062:$EH$1062)</f>
        <v>1</v>
      </c>
      <c r="AV1954" s="0" t="n">
        <f aca="false">COUNTIF($BA$1062:$EH$1062,"D")</f>
        <v>0</v>
      </c>
      <c r="AW1954" s="0" t="n">
        <f aca="false">COUNTIF($BA$1062:$EH$1062,"R")</f>
        <v>0</v>
      </c>
      <c r="AX1954" s="0" t="n">
        <f aca="false"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>4</v>
      </c>
      <c r="AY1954" s="0" t="n">
        <f aca="false">COUNTIF(DU1954:EH1954, "&lt;&gt;")</f>
        <v>7</v>
      </c>
      <c r="AZ1954" s="0" t="n">
        <f aca="false">IF(EH1954&lt;&gt;"",1,0)</f>
        <v>1</v>
      </c>
      <c r="BB1954" s="0" t="s">
        <v>153</v>
      </c>
      <c r="BC1954" s="0" t="s">
        <v>154</v>
      </c>
      <c r="BD1954" s="0" t="s">
        <v>154</v>
      </c>
      <c r="BE1954" s="0" t="s">
        <v>154</v>
      </c>
      <c r="BG1954" s="0" t="s">
        <v>154</v>
      </c>
      <c r="BH1954" s="0" t="s">
        <v>154</v>
      </c>
      <c r="BI1954" s="0" t="s">
        <v>154</v>
      </c>
      <c r="BJ1954" s="0" t="s">
        <v>154</v>
      </c>
      <c r="BK1954" s="0" t="s">
        <v>154</v>
      </c>
      <c r="BL1954" s="0" t="s">
        <v>154</v>
      </c>
      <c r="BP1954" s="0" t="s">
        <v>154</v>
      </c>
      <c r="BR1954" s="0" t="s">
        <v>154</v>
      </c>
      <c r="BS1954" s="0" t="s">
        <v>154</v>
      </c>
      <c r="BY1954" s="0" t="s">
        <v>155</v>
      </c>
      <c r="CA1954" s="0" t="s">
        <v>154</v>
      </c>
      <c r="CG1954" s="0" t="s">
        <v>154</v>
      </c>
      <c r="CH1954" s="0" t="s">
        <v>155</v>
      </c>
      <c r="CK1954" s="0" t="s">
        <v>154</v>
      </c>
      <c r="CL1954" s="0" t="s">
        <v>155</v>
      </c>
      <c r="CO1954" s="0" t="s">
        <v>155</v>
      </c>
      <c r="CP1954" s="0" t="s">
        <v>154</v>
      </c>
      <c r="CT1954" s="0" t="s">
        <v>154</v>
      </c>
      <c r="CU1954" s="0" t="s">
        <v>155</v>
      </c>
      <c r="CV1954" s="0" t="s">
        <v>154</v>
      </c>
      <c r="CY1954" s="0" t="s">
        <v>154</v>
      </c>
      <c r="CZ1954" s="0" t="s">
        <v>176</v>
      </c>
      <c r="DC1954" s="0" t="s">
        <v>154</v>
      </c>
      <c r="DD1954" s="0" t="s">
        <v>155</v>
      </c>
      <c r="DF1954" s="0" t="s">
        <v>154</v>
      </c>
      <c r="DG1954" s="0" t="s">
        <v>155</v>
      </c>
      <c r="DI1954" s="0" t="s">
        <v>154</v>
      </c>
      <c r="DL1954" s="0" t="s">
        <v>154</v>
      </c>
      <c r="DN1954" s="0" t="s">
        <v>154</v>
      </c>
      <c r="DR1954" s="0" t="s">
        <v>154</v>
      </c>
      <c r="DU1954" s="0" t="s">
        <v>154</v>
      </c>
      <c r="DW1954" s="0" t="s">
        <v>155</v>
      </c>
      <c r="DX1954" s="0" t="s">
        <v>154</v>
      </c>
      <c r="EA1954" s="0" t="s">
        <v>154</v>
      </c>
      <c r="ED1954" s="0" t="s">
        <v>155</v>
      </c>
      <c r="EF1954" s="0" t="s">
        <v>154</v>
      </c>
      <c r="EH1954" s="0" t="s">
        <v>155</v>
      </c>
    </row>
    <row r="1955" customFormat="false" ht="13.8" hidden="true" customHeight="false" outlineLevel="0" collapsed="false">
      <c r="A1955" s="0" t="s">
        <v>8696</v>
      </c>
      <c r="B1955" s="0" t="n">
        <v>78</v>
      </c>
      <c r="C1955" s="0" t="n">
        <v>449820</v>
      </c>
      <c r="D1955" s="0" t="s">
        <v>2356</v>
      </c>
      <c r="E1955" s="0" t="s">
        <v>1040</v>
      </c>
      <c r="F1955" s="0" t="str">
        <f aca="false">CONCATENATE(D1955," ",LEFT(H1955,4),"T=",AU1955,"D=",AV1955,"R=",AW1955,"M=",AX1955,"L=",AY1955,"B=",AZ1955)</f>
        <v>ARMSTRONG JRT=2D=0R=0M=0L=1B=0</v>
      </c>
      <c r="G1955" s="0" t="s">
        <v>7723</v>
      </c>
      <c r="H1955" s="0" t="s">
        <v>431</v>
      </c>
      <c r="I1955" s="0" t="s">
        <v>8697</v>
      </c>
      <c r="J1955" s="0" t="s">
        <v>8698</v>
      </c>
      <c r="K1955" s="0" t="s">
        <v>175</v>
      </c>
      <c r="L1955" s="0"/>
      <c r="M1955" s="0" t="s">
        <v>8699</v>
      </c>
      <c r="N1955" s="0" t="str">
        <f aca="false">RIGHT(M1955,LEN(M1955)-FIND(" ",M1955))</f>
        <v>N PARK AVE</v>
      </c>
      <c r="P1955" s="0" t="s">
        <v>146</v>
      </c>
      <c r="Q1955" s="0" t="s">
        <v>147</v>
      </c>
      <c r="R1955" s="0" t="n">
        <v>44483</v>
      </c>
      <c r="AD1955" s="0" t="s">
        <v>148</v>
      </c>
      <c r="AE1955" s="0" t="s">
        <v>149</v>
      </c>
      <c r="AF1955" s="0" t="s">
        <v>150</v>
      </c>
      <c r="AH1955" s="0" t="n">
        <v>14</v>
      </c>
      <c r="AI1955" s="0" t="n">
        <v>11</v>
      </c>
      <c r="AN1955" s="0" t="s">
        <v>146</v>
      </c>
      <c r="AO1955" s="0" t="s">
        <v>236</v>
      </c>
      <c r="AP1955" s="0" t="s">
        <v>237</v>
      </c>
      <c r="AQ1955" s="0" t="n">
        <v>9</v>
      </c>
      <c r="AR1955" s="0" t="n">
        <v>64</v>
      </c>
      <c r="AS1955" s="0" t="n">
        <v>32</v>
      </c>
      <c r="AU1955" s="0" t="n">
        <f aca="false">COUNTA($BA$216:$EH$216)</f>
        <v>2</v>
      </c>
      <c r="AV1955" s="0" t="n">
        <f aca="false">COUNTIF($BA$216:$EH$216,"D")</f>
        <v>0</v>
      </c>
      <c r="AW1955" s="0" t="n">
        <f aca="false">COUNTIF($BA$216:$EH$216,"R")</f>
        <v>0</v>
      </c>
      <c r="AX1955" s="0" t="n">
        <f aca="false"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>0</v>
      </c>
      <c r="AY1955" s="0" t="n">
        <f aca="false">COUNTIF(DU1955:EH1955, "&lt;&gt;")</f>
        <v>1</v>
      </c>
      <c r="AZ1955" s="0" t="n">
        <f aca="false">IF(EH1955&lt;&gt;"",1,0)</f>
        <v>0</v>
      </c>
      <c r="BB1955" s="0" t="s">
        <v>153</v>
      </c>
      <c r="BC1955" s="0" t="s">
        <v>176</v>
      </c>
      <c r="BD1955" s="0" t="s">
        <v>154</v>
      </c>
      <c r="BG1955" s="0" t="s">
        <v>176</v>
      </c>
      <c r="BH1955" s="0" t="s">
        <v>154</v>
      </c>
      <c r="BI1955" s="0" t="s">
        <v>154</v>
      </c>
      <c r="BK1955" s="0" t="s">
        <v>176</v>
      </c>
      <c r="BL1955" s="0" t="s">
        <v>154</v>
      </c>
      <c r="BN1955" s="0" t="s">
        <v>154</v>
      </c>
      <c r="BP1955" s="0" t="s">
        <v>154</v>
      </c>
      <c r="BS1955" s="0" t="s">
        <v>154</v>
      </c>
      <c r="CA1955" s="0" t="s">
        <v>154</v>
      </c>
      <c r="CG1955" s="0" t="s">
        <v>154</v>
      </c>
      <c r="CK1955" s="0" t="s">
        <v>154</v>
      </c>
      <c r="CN1955" s="0" t="s">
        <v>154</v>
      </c>
      <c r="CP1955" s="0" t="s">
        <v>154</v>
      </c>
      <c r="CT1955" s="0" t="s">
        <v>154</v>
      </c>
      <c r="CU1955" s="0" t="s">
        <v>176</v>
      </c>
      <c r="CV1955" s="0" t="s">
        <v>154</v>
      </c>
      <c r="CY1955" s="0" t="s">
        <v>154</v>
      </c>
      <c r="CZ1955" s="0" t="s">
        <v>176</v>
      </c>
      <c r="DC1955" s="0" t="s">
        <v>154</v>
      </c>
      <c r="DG1955" s="0" t="s">
        <v>176</v>
      </c>
      <c r="DI1955" s="0" t="s">
        <v>154</v>
      </c>
      <c r="DM1955" s="0" t="s">
        <v>176</v>
      </c>
      <c r="DN1955" s="0" t="s">
        <v>154</v>
      </c>
      <c r="EF1955" s="0" t="s">
        <v>154</v>
      </c>
    </row>
    <row r="1956" customFormat="false" ht="13.8" hidden="true" customHeight="false" outlineLevel="0" collapsed="false">
      <c r="A1956" s="0" t="s">
        <v>8700</v>
      </c>
      <c r="B1956" s="0" t="n">
        <v>78</v>
      </c>
      <c r="C1956" s="0" t="n">
        <v>453176</v>
      </c>
      <c r="D1956" s="0" t="s">
        <v>2356</v>
      </c>
      <c r="E1956" s="0" t="s">
        <v>405</v>
      </c>
      <c r="F1956" s="0" t="str">
        <f aca="false">CONCATENATE(D1956," ",LEFT(H1956,4),"T=",AU1956,"D=",AV1956,"R=",AW1956,"M=",AX1956,"L=",AY1956,"B=",AZ1956)</f>
        <v>ARMSTRONG T=2D=0R=0M=0L=1B=0</v>
      </c>
      <c r="G1956" s="0" t="s">
        <v>7388</v>
      </c>
      <c r="I1956" s="0" t="s">
        <v>8701</v>
      </c>
      <c r="J1956" s="0" t="s">
        <v>854</v>
      </c>
      <c r="K1956" s="0" t="s">
        <v>175</v>
      </c>
      <c r="L1956" s="0"/>
      <c r="M1956" s="0" t="s">
        <v>8699</v>
      </c>
      <c r="N1956" s="0" t="str">
        <f aca="false">RIGHT(M1956,LEN(M1956)-FIND(" ",M1956))</f>
        <v>N PARK AVE</v>
      </c>
      <c r="P1956" s="0" t="s">
        <v>146</v>
      </c>
      <c r="Q1956" s="0" t="s">
        <v>147</v>
      </c>
      <c r="R1956" s="0" t="n">
        <v>44483</v>
      </c>
      <c r="AD1956" s="0" t="s">
        <v>148</v>
      </c>
      <c r="AE1956" s="0" t="s">
        <v>149</v>
      </c>
      <c r="AF1956" s="0" t="s">
        <v>150</v>
      </c>
      <c r="AH1956" s="0" t="n">
        <v>14</v>
      </c>
      <c r="AI1956" s="0" t="n">
        <v>11</v>
      </c>
      <c r="AN1956" s="0" t="s">
        <v>146</v>
      </c>
      <c r="AO1956" s="0" t="s">
        <v>236</v>
      </c>
      <c r="AP1956" s="0" t="s">
        <v>237</v>
      </c>
      <c r="AQ1956" s="0" t="n">
        <v>9</v>
      </c>
      <c r="AR1956" s="0" t="n">
        <v>64</v>
      </c>
      <c r="AS1956" s="0" t="n">
        <v>32</v>
      </c>
      <c r="AU1956" s="0" t="n">
        <f aca="false">COUNTA($BA$484:$EH$484)</f>
        <v>2</v>
      </c>
      <c r="AV1956" s="0" t="n">
        <f aca="false">COUNTIF($BA$484:$EH$484,"D")</f>
        <v>0</v>
      </c>
      <c r="AW1956" s="0" t="n">
        <f aca="false">COUNTIF($BA$484:$EH$484,"R")</f>
        <v>0</v>
      </c>
      <c r="AX1956" s="0" t="n">
        <f aca="false"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>0</v>
      </c>
      <c r="AY1956" s="0" t="n">
        <f aca="false">COUNTIF(DU1956:EH1956, "&lt;&gt;")</f>
        <v>1</v>
      </c>
      <c r="AZ1956" s="0" t="n">
        <f aca="false">IF(EH1956&lt;&gt;"",1,0)</f>
        <v>0</v>
      </c>
      <c r="BB1956" s="0" t="s">
        <v>153</v>
      </c>
      <c r="BC1956" s="0" t="s">
        <v>176</v>
      </c>
      <c r="BD1956" s="0" t="s">
        <v>154</v>
      </c>
      <c r="BH1956" s="0" t="s">
        <v>154</v>
      </c>
      <c r="BK1956" s="0" t="s">
        <v>176</v>
      </c>
      <c r="BL1956" s="0" t="s">
        <v>154</v>
      </c>
      <c r="BS1956" s="0" t="s">
        <v>154</v>
      </c>
      <c r="CA1956" s="0" t="s">
        <v>154</v>
      </c>
      <c r="CG1956" s="0" t="s">
        <v>154</v>
      </c>
      <c r="CK1956" s="0" t="s">
        <v>154</v>
      </c>
      <c r="CP1956" s="0" t="s">
        <v>154</v>
      </c>
      <c r="CT1956" s="0" t="s">
        <v>154</v>
      </c>
      <c r="CZ1956" s="0" t="s">
        <v>176</v>
      </c>
      <c r="DC1956" s="0" t="s">
        <v>154</v>
      </c>
      <c r="DI1956" s="0" t="s">
        <v>154</v>
      </c>
      <c r="DM1956" s="0" t="s">
        <v>176</v>
      </c>
      <c r="DN1956" s="0" t="s">
        <v>154</v>
      </c>
      <c r="EF1956" s="0" t="s">
        <v>154</v>
      </c>
    </row>
    <row r="1957" customFormat="false" ht="13.8" hidden="false" customHeight="false" outlineLevel="0" collapsed="false">
      <c r="A1957" s="0" t="s">
        <v>8702</v>
      </c>
      <c r="B1957" s="0" t="n">
        <v>78</v>
      </c>
      <c r="C1957" s="0" t="n">
        <v>496244</v>
      </c>
      <c r="D1957" s="0" t="s">
        <v>8703</v>
      </c>
      <c r="E1957" s="0" t="s">
        <v>8704</v>
      </c>
      <c r="F1957" s="0" t="str">
        <f aca="false">CONCATENATE(D1957," ",LEFT(H1957,4),"T=",AU1957,"D=",AV1957,"R=",AW1957,"M=",AX1957,"L=",AY1957,"B=",AZ1957)</f>
        <v>HOGUE T=26D=5R=2M=0L=4B=0</v>
      </c>
      <c r="G1957" s="0" t="s">
        <v>445</v>
      </c>
      <c r="I1957" s="0" t="s">
        <v>8705</v>
      </c>
      <c r="J1957" s="0" t="s">
        <v>1391</v>
      </c>
      <c r="K1957" s="0" t="s">
        <v>175</v>
      </c>
      <c r="M1957" s="0" t="s">
        <v>8706</v>
      </c>
      <c r="N1957" s="0" t="str">
        <f aca="false">RIGHT(M1957,LEN(M1957)-FIND(" ",M1957))</f>
        <v>N PARK AVE</v>
      </c>
      <c r="P1957" s="0" t="s">
        <v>146</v>
      </c>
      <c r="Q1957" s="0" t="s">
        <v>147</v>
      </c>
      <c r="R1957" s="0" t="n">
        <v>44483</v>
      </c>
      <c r="AD1957" s="0" t="s">
        <v>148</v>
      </c>
      <c r="AE1957" s="0" t="s">
        <v>149</v>
      </c>
      <c r="AF1957" s="0" t="s">
        <v>150</v>
      </c>
      <c r="AH1957" s="0" t="n">
        <v>14</v>
      </c>
      <c r="AI1957" s="0" t="n">
        <v>11</v>
      </c>
      <c r="AN1957" s="0" t="s">
        <v>146</v>
      </c>
      <c r="AO1957" s="0" t="s">
        <v>236</v>
      </c>
      <c r="AP1957" s="0" t="s">
        <v>237</v>
      </c>
      <c r="AQ1957" s="0" t="n">
        <v>9</v>
      </c>
      <c r="AR1957" s="0" t="n">
        <v>64</v>
      </c>
      <c r="AS1957" s="0" t="n">
        <v>32</v>
      </c>
      <c r="AU1957" s="0" t="n">
        <f aca="false">COUNTA($BA$934:$EH$934)</f>
        <v>26</v>
      </c>
      <c r="AV1957" s="0" t="n">
        <f aca="false">COUNTIF($BA$934:$EH$934,"D")</f>
        <v>5</v>
      </c>
      <c r="AW1957" s="0" t="n">
        <f aca="false">COUNTIF($BA$934:$EH$934,"R")</f>
        <v>2</v>
      </c>
      <c r="AX1957" s="0" t="n">
        <f aca="false"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>0</v>
      </c>
      <c r="AY1957" s="0" t="n">
        <f aca="false">COUNTIF(DU1957:EH1957, "&lt;&gt;")</f>
        <v>4</v>
      </c>
      <c r="AZ1957" s="0" t="n">
        <f aca="false">IF(EH1957&lt;&gt;"",1,0)</f>
        <v>0</v>
      </c>
      <c r="BB1957" s="0" t="s">
        <v>153</v>
      </c>
      <c r="DN1957" s="0" t="s">
        <v>154</v>
      </c>
      <c r="DU1957" s="0" t="s">
        <v>154</v>
      </c>
      <c r="DX1957" s="0" t="s">
        <v>154</v>
      </c>
      <c r="EA1957" s="0" t="s">
        <v>154</v>
      </c>
      <c r="EF1957" s="0" t="s">
        <v>154</v>
      </c>
    </row>
    <row r="1958" customFormat="false" ht="13.8" hidden="true" customHeight="false" outlineLevel="0" collapsed="false">
      <c r="A1958" s="0" t="s">
        <v>8707</v>
      </c>
      <c r="B1958" s="0" t="n">
        <v>78</v>
      </c>
      <c r="C1958" s="0" t="n">
        <v>454155</v>
      </c>
      <c r="D1958" s="0" t="s">
        <v>8708</v>
      </c>
      <c r="E1958" s="0" t="s">
        <v>8709</v>
      </c>
      <c r="F1958" s="0" t="str">
        <f aca="false">CONCATENATE(D1958," ",LEFT(H1958,4),"T=",AU1958,"D=",AV1958,"R=",AW1958,"M=",AX1958,"L=",AY1958,"B=",AZ1958)</f>
        <v>COPELAND T=5D=0R=0M=0L=0B=0</v>
      </c>
      <c r="G1958" s="0" t="s">
        <v>159</v>
      </c>
      <c r="I1958" s="0" t="s">
        <v>8710</v>
      </c>
      <c r="J1958" s="0" t="s">
        <v>1764</v>
      </c>
      <c r="K1958" s="0" t="s">
        <v>144</v>
      </c>
      <c r="L1958" s="0"/>
      <c r="M1958" s="0" t="s">
        <v>8706</v>
      </c>
      <c r="N1958" s="0" t="str">
        <f aca="false">RIGHT(M1958,LEN(M1958)-FIND(" ",M1958))</f>
        <v>N PARK AVE</v>
      </c>
      <c r="P1958" s="0" t="s">
        <v>146</v>
      </c>
      <c r="Q1958" s="0" t="s">
        <v>147</v>
      </c>
      <c r="R1958" s="0" t="n">
        <v>44483</v>
      </c>
      <c r="AD1958" s="0" t="s">
        <v>148</v>
      </c>
      <c r="AE1958" s="0" t="s">
        <v>149</v>
      </c>
      <c r="AF1958" s="0" t="s">
        <v>150</v>
      </c>
      <c r="AH1958" s="0" t="n">
        <v>14</v>
      </c>
      <c r="AI1958" s="0" t="n">
        <v>11</v>
      </c>
      <c r="AN1958" s="0" t="s">
        <v>146</v>
      </c>
      <c r="AO1958" s="0" t="s">
        <v>236</v>
      </c>
      <c r="AP1958" s="0" t="s">
        <v>237</v>
      </c>
      <c r="AQ1958" s="0" t="n">
        <v>9</v>
      </c>
      <c r="AR1958" s="0" t="n">
        <v>64</v>
      </c>
      <c r="AS1958" s="0" t="n">
        <v>32</v>
      </c>
      <c r="AU1958" s="0" t="n">
        <f aca="false">COUNTA($BA$953:$EH$953)</f>
        <v>5</v>
      </c>
      <c r="AV1958" s="0" t="n">
        <f aca="false">COUNTIF($BA$953:$EH$953,"D")</f>
        <v>0</v>
      </c>
      <c r="AW1958" s="0" t="n">
        <f aca="false">COUNTIF($BA$953:$EH$953,"R")</f>
        <v>0</v>
      </c>
      <c r="AX1958" s="0" t="n">
        <f aca="false"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>0</v>
      </c>
      <c r="AY1958" s="0" t="n">
        <f aca="false">COUNTIF(DU1958:EH1958, "&lt;&gt;")</f>
        <v>0</v>
      </c>
      <c r="AZ1958" s="0" t="n">
        <f aca="false">IF(EH1958&lt;&gt;"",1,0)</f>
        <v>0</v>
      </c>
      <c r="BB1958" s="0" t="s">
        <v>153</v>
      </c>
    </row>
    <row r="1959" customFormat="false" ht="13.8" hidden="false" customHeight="false" outlineLevel="0" collapsed="false">
      <c r="A1959" s="0" t="s">
        <v>8711</v>
      </c>
      <c r="B1959" s="0" t="n">
        <v>78</v>
      </c>
      <c r="C1959" s="0" t="n">
        <v>378049</v>
      </c>
      <c r="D1959" s="0" t="s">
        <v>2410</v>
      </c>
      <c r="E1959" s="0" t="s">
        <v>1295</v>
      </c>
      <c r="F1959" s="0" t="str">
        <f aca="false">CONCATENATE(D1959," ",LEFT(H1959,4),"T=",AU1959,"D=",AV1959,"R=",AW1959,"M=",AX1959,"L=",AY1959,"B=",AZ1959)</f>
        <v>BARNES SRT=17D=0R=1M=4L=7B=1</v>
      </c>
      <c r="G1959" s="0" t="s">
        <v>202</v>
      </c>
      <c r="H1959" s="0" t="s">
        <v>311</v>
      </c>
      <c r="I1959" s="0" t="s">
        <v>8712</v>
      </c>
      <c r="J1959" s="0" t="s">
        <v>2573</v>
      </c>
      <c r="K1959" s="0" t="s">
        <v>175</v>
      </c>
      <c r="L1959" s="1" t="s">
        <v>155</v>
      </c>
      <c r="M1959" s="0" t="s">
        <v>8713</v>
      </c>
      <c r="N1959" s="0" t="str">
        <f aca="false">RIGHT(M1959,LEN(M1959)-FIND(" ",M1959))</f>
        <v>N PARK AVE</v>
      </c>
      <c r="O1959" s="0" t="s">
        <v>184</v>
      </c>
      <c r="P1959" s="0" t="s">
        <v>146</v>
      </c>
      <c r="Q1959" s="0" t="s">
        <v>147</v>
      </c>
      <c r="R1959" s="0" t="n">
        <v>44483</v>
      </c>
      <c r="AD1959" s="0" t="s">
        <v>148</v>
      </c>
      <c r="AE1959" s="0" t="s">
        <v>149</v>
      </c>
      <c r="AF1959" s="0" t="s">
        <v>150</v>
      </c>
      <c r="AH1959" s="0" t="n">
        <v>14</v>
      </c>
      <c r="AI1959" s="0" t="n">
        <v>11</v>
      </c>
      <c r="AN1959" s="0" t="s">
        <v>146</v>
      </c>
      <c r="AO1959" s="0" t="s">
        <v>236</v>
      </c>
      <c r="AP1959" s="0" t="s">
        <v>237</v>
      </c>
      <c r="AQ1959" s="0" t="n">
        <v>9</v>
      </c>
      <c r="AR1959" s="0" t="n">
        <v>64</v>
      </c>
      <c r="AS1959" s="0" t="n">
        <v>32</v>
      </c>
      <c r="AU1959" s="0" t="n">
        <f aca="false">COUNTA($BA$64:$EH$64)</f>
        <v>17</v>
      </c>
      <c r="AV1959" s="0" t="n">
        <f aca="false">COUNTIF($BA$64:$EH$64,"D")</f>
        <v>0</v>
      </c>
      <c r="AW1959" s="0" t="n">
        <f aca="false">COUNTIF($BA$64:$EH$64,"R")</f>
        <v>1</v>
      </c>
      <c r="AX1959" s="0" t="n">
        <f aca="false"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>4</v>
      </c>
      <c r="AY1959" s="0" t="n">
        <f aca="false">COUNTIF(DU1959:EH1959, "&lt;&gt;")</f>
        <v>7</v>
      </c>
      <c r="AZ1959" s="0" t="n">
        <f aca="false">IF(EH1959&lt;&gt;"",1,0)</f>
        <v>1</v>
      </c>
      <c r="BB1959" s="0" t="s">
        <v>153</v>
      </c>
      <c r="CP1959" s="0" t="s">
        <v>154</v>
      </c>
      <c r="CT1959" s="0" t="s">
        <v>154</v>
      </c>
      <c r="CU1959" s="0" t="s">
        <v>155</v>
      </c>
      <c r="CV1959" s="0" t="s">
        <v>154</v>
      </c>
      <c r="CY1959" s="0" t="s">
        <v>154</v>
      </c>
      <c r="CZ1959" s="0" t="s">
        <v>155</v>
      </c>
      <c r="DC1959" s="0" t="s">
        <v>154</v>
      </c>
      <c r="DF1959" s="0" t="s">
        <v>154</v>
      </c>
      <c r="DI1959" s="0" t="s">
        <v>154</v>
      </c>
      <c r="DJ1959" s="0" t="s">
        <v>155</v>
      </c>
      <c r="DL1959" s="0" t="s">
        <v>154</v>
      </c>
      <c r="DM1959" s="0" t="s">
        <v>155</v>
      </c>
      <c r="DN1959" s="0" t="s">
        <v>154</v>
      </c>
      <c r="DO1959" s="0" t="s">
        <v>155</v>
      </c>
      <c r="DR1959" s="0" t="s">
        <v>154</v>
      </c>
      <c r="DS1959" s="0" t="s">
        <v>155</v>
      </c>
      <c r="DT1959" s="0" t="s">
        <v>155</v>
      </c>
      <c r="DU1959" s="0" t="s">
        <v>154</v>
      </c>
      <c r="DW1959" s="0" t="s">
        <v>155</v>
      </c>
      <c r="DX1959" s="0" t="s">
        <v>154</v>
      </c>
      <c r="EA1959" s="0" t="s">
        <v>154</v>
      </c>
      <c r="ED1959" s="0" t="s">
        <v>155</v>
      </c>
      <c r="EF1959" s="0" t="s">
        <v>154</v>
      </c>
      <c r="EH1959" s="0" t="s">
        <v>155</v>
      </c>
    </row>
    <row r="1960" customFormat="false" ht="13.8" hidden="true" customHeight="false" outlineLevel="0" collapsed="false">
      <c r="A1960" s="0" t="s">
        <v>8714</v>
      </c>
      <c r="B1960" s="0" t="n">
        <v>78</v>
      </c>
      <c r="C1960" s="0" t="n">
        <v>367442</v>
      </c>
      <c r="D1960" s="0" t="s">
        <v>8715</v>
      </c>
      <c r="E1960" s="0" t="s">
        <v>8716</v>
      </c>
      <c r="F1960" s="0" t="str">
        <f aca="false">CONCATENATE(D1960," ",LEFT(H1960,4),"T=",AU1960,"D=",AV1960,"R=",AW1960,"M=",AX1960,"L=",AY1960,"B=",AZ1960)</f>
        <v>ROEBUCK T=1D=0R=0M=0L=0B=0</v>
      </c>
      <c r="G1960" s="0" t="s">
        <v>216</v>
      </c>
      <c r="I1960" s="0" t="s">
        <v>3466</v>
      </c>
      <c r="J1960" s="0" t="s">
        <v>8717</v>
      </c>
      <c r="K1960" s="0" t="s">
        <v>144</v>
      </c>
      <c r="L1960" s="0"/>
      <c r="M1960" s="0" t="s">
        <v>8713</v>
      </c>
      <c r="N1960" s="0" t="str">
        <f aca="false">RIGHT(M1960,LEN(M1960)-FIND(" ",M1960))</f>
        <v>N PARK AVE</v>
      </c>
      <c r="P1960" s="0" t="s">
        <v>146</v>
      </c>
      <c r="Q1960" s="0" t="s">
        <v>147</v>
      </c>
      <c r="R1960" s="0" t="n">
        <v>44483</v>
      </c>
      <c r="AD1960" s="0" t="s">
        <v>148</v>
      </c>
      <c r="AE1960" s="0" t="s">
        <v>149</v>
      </c>
      <c r="AF1960" s="0" t="s">
        <v>150</v>
      </c>
      <c r="AH1960" s="0" t="n">
        <v>14</v>
      </c>
      <c r="AI1960" s="0" t="n">
        <v>11</v>
      </c>
      <c r="AN1960" s="0" t="s">
        <v>146</v>
      </c>
      <c r="AO1960" s="0" t="s">
        <v>236</v>
      </c>
      <c r="AP1960" s="0" t="s">
        <v>237</v>
      </c>
      <c r="AQ1960" s="0" t="n">
        <v>9</v>
      </c>
      <c r="AR1960" s="0" t="n">
        <v>64</v>
      </c>
      <c r="AS1960" s="0" t="n">
        <v>32</v>
      </c>
      <c r="AU1960" s="0" t="n">
        <f aca="false">COUNTA($BA$90:$EH$90)</f>
        <v>1</v>
      </c>
      <c r="AV1960" s="0" t="n">
        <f aca="false">COUNTIF($BA$90:$EH$90,"D")</f>
        <v>0</v>
      </c>
      <c r="AW1960" s="0" t="n">
        <f aca="false">COUNTIF($BA$90:$EH$90,"R")</f>
        <v>0</v>
      </c>
      <c r="AX1960" s="0" t="n">
        <f aca="false"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>0</v>
      </c>
      <c r="AY1960" s="0" t="n">
        <f aca="false">COUNTIF(DU1960:EH1960, "&lt;&gt;")</f>
        <v>0</v>
      </c>
      <c r="AZ1960" s="0" t="n">
        <f aca="false">IF(EH1960&lt;&gt;"",1,0)</f>
        <v>0</v>
      </c>
      <c r="BB1960" s="0" t="s">
        <v>153</v>
      </c>
    </row>
    <row r="1961" customFormat="false" ht="13.8" hidden="true" customHeight="false" outlineLevel="0" collapsed="false">
      <c r="A1961" s="0" t="s">
        <v>8718</v>
      </c>
      <c r="B1961" s="0" t="n">
        <v>78</v>
      </c>
      <c r="C1961" s="0" t="n">
        <v>436348</v>
      </c>
      <c r="D1961" s="0" t="s">
        <v>3697</v>
      </c>
      <c r="E1961" s="0" t="s">
        <v>506</v>
      </c>
      <c r="F1961" s="0" t="str">
        <f aca="false">CONCATENATE(D1961," ",LEFT(H1961,4),"T=",AU1961,"D=",AV1961,"R=",AW1961,"M=",AX1961,"L=",AY1961,"B=",AZ1961)</f>
        <v>POWELL T=2D=0R=0M=0L=0B=0</v>
      </c>
      <c r="G1961" s="0" t="s">
        <v>159</v>
      </c>
      <c r="I1961" s="0" t="s">
        <v>8719</v>
      </c>
      <c r="J1961" s="0" t="s">
        <v>8720</v>
      </c>
      <c r="K1961" s="0" t="s">
        <v>175</v>
      </c>
      <c r="L1961" s="0"/>
      <c r="M1961" s="0" t="s">
        <v>8713</v>
      </c>
      <c r="N1961" s="0" t="str">
        <f aca="false">RIGHT(M1961,LEN(M1961)-FIND(" ",M1961))</f>
        <v>N PARK AVE</v>
      </c>
      <c r="P1961" s="0" t="s">
        <v>146</v>
      </c>
      <c r="Q1961" s="0" t="s">
        <v>147</v>
      </c>
      <c r="R1961" s="0" t="n">
        <v>44483</v>
      </c>
      <c r="AD1961" s="0" t="s">
        <v>148</v>
      </c>
      <c r="AE1961" s="0" t="s">
        <v>149</v>
      </c>
      <c r="AF1961" s="0" t="s">
        <v>150</v>
      </c>
      <c r="AH1961" s="0" t="n">
        <v>14</v>
      </c>
      <c r="AI1961" s="0" t="n">
        <v>11</v>
      </c>
      <c r="AN1961" s="0" t="s">
        <v>146</v>
      </c>
      <c r="AO1961" s="0" t="s">
        <v>236</v>
      </c>
      <c r="AP1961" s="0" t="s">
        <v>237</v>
      </c>
      <c r="AQ1961" s="0" t="n">
        <v>9</v>
      </c>
      <c r="AR1961" s="0" t="n">
        <v>64</v>
      </c>
      <c r="AS1961" s="0" t="n">
        <v>32</v>
      </c>
      <c r="AU1961" s="0" t="n">
        <f aca="false">COUNTA($BA$529:$EH$529)</f>
        <v>2</v>
      </c>
      <c r="AV1961" s="0" t="n">
        <f aca="false">COUNTIF($BA$529:$EH$529,"D")</f>
        <v>0</v>
      </c>
      <c r="AW1961" s="0" t="n">
        <f aca="false">COUNTIF($BA$529:$EH$529,"R")</f>
        <v>0</v>
      </c>
      <c r="AX1961" s="0" t="n">
        <f aca="false"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>0</v>
      </c>
      <c r="AY1961" s="0" t="n">
        <f aca="false">COUNTIF(DU1961:EH1961, "&lt;&gt;")</f>
        <v>0</v>
      </c>
      <c r="AZ1961" s="0" t="n">
        <f aca="false">IF(EH1961&lt;&gt;"",1,0)</f>
        <v>0</v>
      </c>
      <c r="BB1961" s="0" t="s">
        <v>153</v>
      </c>
    </row>
    <row r="1962" customFormat="false" ht="13.8" hidden="true" customHeight="false" outlineLevel="0" collapsed="false">
      <c r="A1962" s="0" t="s">
        <v>8721</v>
      </c>
      <c r="B1962" s="0" t="n">
        <v>78</v>
      </c>
      <c r="C1962" s="0" t="n">
        <v>494500</v>
      </c>
      <c r="D1962" s="0" t="s">
        <v>8722</v>
      </c>
      <c r="E1962" s="0" t="s">
        <v>8723</v>
      </c>
      <c r="F1962" s="0" t="str">
        <f aca="false">CONCATENATE(D1962," ",LEFT(H1962,4),"T=",AU1962,"D=",AV1962,"R=",AW1962,"M=",AX1962,"L=",AY1962,"B=",AZ1962)</f>
        <v>KOSTINA T=1D=0R=0M=0L=0B=0</v>
      </c>
      <c r="G1962" s="0" t="s">
        <v>8724</v>
      </c>
      <c r="I1962" s="0" t="s">
        <v>8725</v>
      </c>
      <c r="J1962" s="0" t="s">
        <v>2980</v>
      </c>
      <c r="K1962" s="0" t="s">
        <v>175</v>
      </c>
      <c r="L1962" s="0"/>
      <c r="M1962" s="0" t="s">
        <v>8726</v>
      </c>
      <c r="N1962" s="0" t="str">
        <f aca="false">RIGHT(M1962,LEN(M1962)-FIND(" ",M1962))</f>
        <v>NORTH ST NW</v>
      </c>
      <c r="P1962" s="0" t="s">
        <v>146</v>
      </c>
      <c r="Q1962" s="0" t="s">
        <v>147</v>
      </c>
      <c r="R1962" s="0" t="n">
        <v>44483</v>
      </c>
      <c r="AD1962" s="0" t="s">
        <v>148</v>
      </c>
      <c r="AE1962" s="0" t="s">
        <v>149</v>
      </c>
      <c r="AF1962" s="0" t="s">
        <v>150</v>
      </c>
      <c r="AH1962" s="0" t="n">
        <v>14</v>
      </c>
      <c r="AI1962" s="0" t="n">
        <v>11</v>
      </c>
      <c r="AN1962" s="0" t="s">
        <v>146</v>
      </c>
      <c r="AO1962" s="0" t="s">
        <v>151</v>
      </c>
      <c r="AP1962" s="0" t="s">
        <v>152</v>
      </c>
      <c r="AQ1962" s="0" t="n">
        <v>9</v>
      </c>
      <c r="AR1962" s="0" t="n">
        <v>64</v>
      </c>
      <c r="AS1962" s="0" t="n">
        <v>32</v>
      </c>
      <c r="AU1962" s="0" t="n">
        <f aca="false">COUNTA($BA$1112:$EH$1112)</f>
        <v>1</v>
      </c>
      <c r="AV1962" s="0" t="n">
        <f aca="false">COUNTIF($BA$1112:$EH$1112,"D")</f>
        <v>0</v>
      </c>
      <c r="AW1962" s="0" t="n">
        <f aca="false">COUNTIF($BA$1112:$EH$1112,"R")</f>
        <v>0</v>
      </c>
      <c r="AX1962" s="0" t="n">
        <f aca="false"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>0</v>
      </c>
      <c r="AY1962" s="0" t="n">
        <f aca="false">COUNTIF(DU1962:EH1962, "&lt;&gt;")</f>
        <v>0</v>
      </c>
      <c r="AZ1962" s="0" t="n">
        <f aca="false">IF(EH1962&lt;&gt;"",1,0)</f>
        <v>0</v>
      </c>
      <c r="BB1962" s="0" t="s">
        <v>153</v>
      </c>
    </row>
    <row r="1963" customFormat="false" ht="13.8" hidden="false" customHeight="false" outlineLevel="0" collapsed="false">
      <c r="A1963" s="0" t="s">
        <v>8727</v>
      </c>
      <c r="B1963" s="0" t="n">
        <v>78</v>
      </c>
      <c r="C1963" s="0" t="n">
        <v>446944</v>
      </c>
      <c r="D1963" s="0" t="s">
        <v>8728</v>
      </c>
      <c r="E1963" s="0" t="s">
        <v>2181</v>
      </c>
      <c r="F1963" s="0" t="str">
        <f aca="false">CONCATENATE(D1963," ",LEFT(H1963,4),"T=",AU1963,"D=",AV1963,"R=",AW1963,"M=",AX1963,"L=",AY1963,"B=",AZ1963)</f>
        <v>TANERI T=11D=0R=1M=0L=5B=0</v>
      </c>
      <c r="I1963" s="0" t="s">
        <v>8729</v>
      </c>
      <c r="J1963" s="0" t="s">
        <v>8730</v>
      </c>
      <c r="K1963" s="0" t="s">
        <v>175</v>
      </c>
      <c r="L1963" s="1" t="s">
        <v>176</v>
      </c>
      <c r="M1963" s="0" t="s">
        <v>8726</v>
      </c>
      <c r="N1963" s="0" t="str">
        <f aca="false">RIGHT(M1963,LEN(M1963)-FIND(" ",M1963))</f>
        <v>NORTH ST NW</v>
      </c>
      <c r="P1963" s="0" t="s">
        <v>146</v>
      </c>
      <c r="Q1963" s="0" t="s">
        <v>147</v>
      </c>
      <c r="R1963" s="0" t="n">
        <v>44483</v>
      </c>
      <c r="AD1963" s="0" t="s">
        <v>148</v>
      </c>
      <c r="AE1963" s="0" t="s">
        <v>149</v>
      </c>
      <c r="AF1963" s="0" t="s">
        <v>150</v>
      </c>
      <c r="AH1963" s="0" t="n">
        <v>14</v>
      </c>
      <c r="AI1963" s="0" t="n">
        <v>11</v>
      </c>
      <c r="AN1963" s="0" t="s">
        <v>146</v>
      </c>
      <c r="AO1963" s="0" t="s">
        <v>151</v>
      </c>
      <c r="AP1963" s="0" t="s">
        <v>152</v>
      </c>
      <c r="AQ1963" s="0" t="n">
        <v>9</v>
      </c>
      <c r="AR1963" s="0" t="n">
        <v>64</v>
      </c>
      <c r="AS1963" s="0" t="n">
        <v>32</v>
      </c>
      <c r="AU1963" s="0" t="n">
        <f aca="false">COUNTA($BA$1499:$EH$1499)</f>
        <v>11</v>
      </c>
      <c r="AV1963" s="0" t="n">
        <f aca="false">COUNTIF($BA$1499:$EH$1499,"D")</f>
        <v>0</v>
      </c>
      <c r="AW1963" s="0" t="n">
        <f aca="false">COUNTIF($BA$1499:$EH$1499,"R")</f>
        <v>1</v>
      </c>
      <c r="AX1963" s="0" t="n">
        <f aca="false"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>0</v>
      </c>
      <c r="AY1963" s="0" t="n">
        <f aca="false">COUNTIF(DU1963:EH1963, "&lt;&gt;")</f>
        <v>5</v>
      </c>
      <c r="AZ1963" s="0" t="n">
        <f aca="false">IF(EH1963&lt;&gt;"",1,0)</f>
        <v>0</v>
      </c>
      <c r="BB1963" s="0" t="s">
        <v>153</v>
      </c>
      <c r="BC1963" s="0" t="s">
        <v>154</v>
      </c>
      <c r="BD1963" s="0" t="s">
        <v>154</v>
      </c>
      <c r="BY1963" s="0" t="s">
        <v>155</v>
      </c>
      <c r="CA1963" s="0" t="s">
        <v>154</v>
      </c>
      <c r="CP1963" s="0" t="s">
        <v>154</v>
      </c>
      <c r="DI1963" s="0" t="s">
        <v>154</v>
      </c>
      <c r="DN1963" s="0" t="s">
        <v>154</v>
      </c>
      <c r="DU1963" s="0" t="s">
        <v>154</v>
      </c>
      <c r="DX1963" s="0" t="s">
        <v>154</v>
      </c>
      <c r="EA1963" s="0" t="s">
        <v>154</v>
      </c>
      <c r="ED1963" s="0" t="s">
        <v>176</v>
      </c>
      <c r="EF1963" s="0" t="s">
        <v>154</v>
      </c>
    </row>
    <row r="1964" customFormat="false" ht="13.8" hidden="true" customHeight="false" outlineLevel="0" collapsed="false">
      <c r="A1964" s="0" t="s">
        <v>8731</v>
      </c>
      <c r="B1964" s="0" t="n">
        <v>78</v>
      </c>
      <c r="C1964" s="0" t="n">
        <v>476658</v>
      </c>
      <c r="D1964" s="0" t="s">
        <v>8732</v>
      </c>
      <c r="E1964" s="0" t="s">
        <v>3887</v>
      </c>
      <c r="F1964" s="0" t="str">
        <f aca="false">CONCATENATE(D1964," ",LEFT(H1964,4),"T=",AU1964,"D=",AV1964,"R=",AW1964,"M=",AX1964,"L=",AY1964,"B=",AZ1964)</f>
        <v>ESPOSITO T=2D=0R=0M=0L=0B=0</v>
      </c>
      <c r="I1964" s="0" t="s">
        <v>8733</v>
      </c>
      <c r="J1964" s="0" t="s">
        <v>7217</v>
      </c>
      <c r="K1964" s="0" t="s">
        <v>175</v>
      </c>
      <c r="L1964" s="0"/>
      <c r="M1964" s="0" t="s">
        <v>8734</v>
      </c>
      <c r="N1964" s="0" t="str">
        <f aca="false">RIGHT(M1964,LEN(M1964)-FIND(" ",M1964))</f>
        <v>NORTH ST NW</v>
      </c>
      <c r="P1964" s="0" t="s">
        <v>146</v>
      </c>
      <c r="Q1964" s="0" t="s">
        <v>147</v>
      </c>
      <c r="R1964" s="0" t="n">
        <v>44483</v>
      </c>
      <c r="AD1964" s="0" t="s">
        <v>148</v>
      </c>
      <c r="AE1964" s="0" t="s">
        <v>149</v>
      </c>
      <c r="AF1964" s="0" t="s">
        <v>150</v>
      </c>
      <c r="AH1964" s="0" t="n">
        <v>14</v>
      </c>
      <c r="AI1964" s="0" t="n">
        <v>11</v>
      </c>
      <c r="AN1964" s="0" t="s">
        <v>146</v>
      </c>
      <c r="AO1964" s="0" t="s">
        <v>151</v>
      </c>
      <c r="AP1964" s="0" t="s">
        <v>152</v>
      </c>
      <c r="AQ1964" s="0" t="n">
        <v>9</v>
      </c>
      <c r="AR1964" s="0" t="n">
        <v>64</v>
      </c>
      <c r="AS1964" s="0" t="n">
        <v>32</v>
      </c>
      <c r="AU1964" s="0" t="n">
        <f aca="false">COUNTA($BA$1603:$EH$1603)</f>
        <v>2</v>
      </c>
      <c r="AV1964" s="0" t="n">
        <f aca="false">COUNTIF($BA$1603:$EH$1603,"D")</f>
        <v>0</v>
      </c>
      <c r="AW1964" s="0" t="n">
        <f aca="false">COUNTIF($BA$1603:$EH$1603,"R")</f>
        <v>0</v>
      </c>
      <c r="AX1964" s="0" t="n">
        <f aca="false"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>0</v>
      </c>
      <c r="AY1964" s="0" t="n">
        <f aca="false">COUNTIF(DU1964:EH1964, "&lt;&gt;")</f>
        <v>0</v>
      </c>
      <c r="AZ1964" s="0" t="n">
        <f aca="false">IF(EH1964&lt;&gt;"",1,0)</f>
        <v>0</v>
      </c>
      <c r="BB1964" s="0" t="s">
        <v>153</v>
      </c>
    </row>
    <row r="1965" customFormat="false" ht="13.8" hidden="false" customHeight="false" outlineLevel="0" collapsed="false">
      <c r="A1965" s="0" t="s">
        <v>8735</v>
      </c>
      <c r="B1965" s="0" t="n">
        <v>78</v>
      </c>
      <c r="C1965" s="0" t="n">
        <v>209164</v>
      </c>
      <c r="D1965" s="0" t="s">
        <v>731</v>
      </c>
      <c r="E1965" s="0" t="s">
        <v>7718</v>
      </c>
      <c r="F1965" s="0" t="str">
        <f aca="false">CONCATENATE(D1965," ",LEFT(H1965,4),"T=",AU1965,"D=",AV1965,"R=",AW1965,"M=",AX1965,"L=",AY1965,"B=",AZ1965)</f>
        <v>CLAY T=1D=0R=0M=2L=6B=0</v>
      </c>
      <c r="G1965" s="0" t="s">
        <v>172</v>
      </c>
      <c r="I1965" s="0" t="s">
        <v>8736</v>
      </c>
      <c r="J1965" s="0" t="s">
        <v>7891</v>
      </c>
      <c r="K1965" s="0" t="s">
        <v>175</v>
      </c>
      <c r="L1965" s="1" t="s">
        <v>155</v>
      </c>
      <c r="M1965" s="0" t="s">
        <v>8737</v>
      </c>
      <c r="N1965" s="0" t="str">
        <f aca="false">RIGHT(M1965,LEN(M1965)-FIND(" ",M1965))</f>
        <v>NORTH ST NW</v>
      </c>
      <c r="P1965" s="0" t="s">
        <v>146</v>
      </c>
      <c r="Q1965" s="0" t="s">
        <v>147</v>
      </c>
      <c r="R1965" s="0" t="n">
        <v>44483</v>
      </c>
      <c r="AD1965" s="0" t="s">
        <v>148</v>
      </c>
      <c r="AE1965" s="0" t="s">
        <v>149</v>
      </c>
      <c r="AF1965" s="0" t="s">
        <v>150</v>
      </c>
      <c r="AH1965" s="0" t="n">
        <v>14</v>
      </c>
      <c r="AI1965" s="0" t="n">
        <v>11</v>
      </c>
      <c r="AN1965" s="0" t="s">
        <v>146</v>
      </c>
      <c r="AO1965" s="0" t="s">
        <v>151</v>
      </c>
      <c r="AP1965" s="0" t="s">
        <v>152</v>
      </c>
      <c r="AQ1965" s="0" t="n">
        <v>9</v>
      </c>
      <c r="AR1965" s="0" t="n">
        <v>64</v>
      </c>
      <c r="AS1965" s="0" t="n">
        <v>32</v>
      </c>
      <c r="AU1965" s="0" t="n">
        <f aca="false">COUNTA($BA$1926:$EH$1926)</f>
        <v>1</v>
      </c>
      <c r="AV1965" s="0" t="n">
        <f aca="false">COUNTIF($BA$1926:$EH$1926,"D")</f>
        <v>0</v>
      </c>
      <c r="AW1965" s="0" t="n">
        <f aca="false">COUNTIF($BA$1926:$EH$1926,"R")</f>
        <v>0</v>
      </c>
      <c r="AX1965" s="0" t="n">
        <f aca="false"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>2</v>
      </c>
      <c r="AY1965" s="0" t="n">
        <f aca="false">COUNTIF(DU1965:EH1965, "&lt;&gt;")</f>
        <v>6</v>
      </c>
      <c r="AZ1965" s="0" t="n">
        <f aca="false">IF(EH1965&lt;&gt;"",1,0)</f>
        <v>0</v>
      </c>
      <c r="BB1965" s="0" t="s">
        <v>153</v>
      </c>
      <c r="BD1965" s="0" t="s">
        <v>154</v>
      </c>
      <c r="BL1965" s="0" t="s">
        <v>154</v>
      </c>
      <c r="BS1965" s="0" t="s">
        <v>154</v>
      </c>
      <c r="BY1965" s="0" t="s">
        <v>155</v>
      </c>
      <c r="CA1965" s="0" t="s">
        <v>154</v>
      </c>
      <c r="CK1965" s="0" t="s">
        <v>154</v>
      </c>
      <c r="CN1965" s="0" t="s">
        <v>154</v>
      </c>
      <c r="CP1965" s="0" t="s">
        <v>154</v>
      </c>
      <c r="CV1965" s="0" t="s">
        <v>154</v>
      </c>
      <c r="CW1965" s="0" t="s">
        <v>155</v>
      </c>
      <c r="CY1965" s="0" t="s">
        <v>154</v>
      </c>
      <c r="CZ1965" s="0" t="s">
        <v>155</v>
      </c>
      <c r="DC1965" s="0" t="s">
        <v>154</v>
      </c>
      <c r="DI1965" s="0" t="s">
        <v>154</v>
      </c>
      <c r="DL1965" s="0" t="s">
        <v>154</v>
      </c>
      <c r="DM1965" s="0" t="s">
        <v>155</v>
      </c>
      <c r="DN1965" s="0" t="s">
        <v>154</v>
      </c>
      <c r="DR1965" s="0" t="s">
        <v>154</v>
      </c>
      <c r="DS1965" s="0" t="s">
        <v>155</v>
      </c>
      <c r="DT1965" s="0" t="s">
        <v>155</v>
      </c>
      <c r="DU1965" s="0" t="s">
        <v>154</v>
      </c>
      <c r="DW1965" s="0" t="s">
        <v>155</v>
      </c>
      <c r="DX1965" s="0" t="s">
        <v>154</v>
      </c>
      <c r="EA1965" s="0" t="s">
        <v>154</v>
      </c>
      <c r="ED1965" s="0" t="s">
        <v>155</v>
      </c>
      <c r="EF1965" s="0" t="s">
        <v>154</v>
      </c>
    </row>
    <row r="1966" customFormat="false" ht="13.8" hidden="true" customHeight="false" outlineLevel="0" collapsed="false">
      <c r="A1966" s="0" t="s">
        <v>8738</v>
      </c>
      <c r="B1966" s="0" t="n">
        <v>78</v>
      </c>
      <c r="C1966" s="0" t="n">
        <v>494551</v>
      </c>
      <c r="D1966" s="0" t="s">
        <v>8739</v>
      </c>
      <c r="E1966" s="0" t="s">
        <v>2759</v>
      </c>
      <c r="F1966" s="0" t="str">
        <f aca="false">CONCATENATE(D1966," ",LEFT(H1966,4),"T=",AU1966,"D=",AV1966,"R=",AW1966,"M=",AX1966,"L=",AY1966,"B=",AZ1966)</f>
        <v>COGLEY T=7D=0R=0M=0L=0B=0</v>
      </c>
      <c r="G1966" s="0" t="s">
        <v>429</v>
      </c>
      <c r="I1966" s="0" t="s">
        <v>8740</v>
      </c>
      <c r="J1966" s="0" t="s">
        <v>8741</v>
      </c>
      <c r="K1966" s="0" t="s">
        <v>175</v>
      </c>
      <c r="L1966" s="0"/>
      <c r="M1966" s="0" t="s">
        <v>8742</v>
      </c>
      <c r="N1966" s="0" t="str">
        <f aca="false">RIGHT(M1966,LEN(M1966)-FIND(" ",M1966))</f>
        <v>NORTH ST NW</v>
      </c>
      <c r="P1966" s="0" t="s">
        <v>146</v>
      </c>
      <c r="Q1966" s="0" t="s">
        <v>147</v>
      </c>
      <c r="R1966" s="0" t="n">
        <v>44483</v>
      </c>
      <c r="AD1966" s="0" t="s">
        <v>148</v>
      </c>
      <c r="AE1966" s="0" t="s">
        <v>149</v>
      </c>
      <c r="AF1966" s="0" t="s">
        <v>150</v>
      </c>
      <c r="AH1966" s="0" t="n">
        <v>14</v>
      </c>
      <c r="AI1966" s="0" t="n">
        <v>11</v>
      </c>
      <c r="AN1966" s="0" t="s">
        <v>146</v>
      </c>
      <c r="AO1966" s="0" t="s">
        <v>151</v>
      </c>
      <c r="AP1966" s="0" t="s">
        <v>152</v>
      </c>
      <c r="AQ1966" s="0" t="n">
        <v>9</v>
      </c>
      <c r="AR1966" s="0" t="n">
        <v>64</v>
      </c>
      <c r="AS1966" s="0" t="n">
        <v>32</v>
      </c>
      <c r="AU1966" s="0" t="n">
        <f aca="false">COUNTA($BA$1211:$EH$1211)</f>
        <v>7</v>
      </c>
      <c r="AV1966" s="0" t="n">
        <f aca="false">COUNTIF($BA$1211:$EH$1211,"D")</f>
        <v>0</v>
      </c>
      <c r="AW1966" s="0" t="n">
        <f aca="false">COUNTIF($BA$1211:$EH$1211,"R")</f>
        <v>0</v>
      </c>
      <c r="AX1966" s="0" t="n">
        <f aca="false"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>0</v>
      </c>
      <c r="AY1966" s="0" t="n">
        <f aca="false">COUNTIF(DU1966:EH1966, "&lt;&gt;")</f>
        <v>0</v>
      </c>
      <c r="AZ1966" s="0" t="n">
        <f aca="false">IF(EH1966&lt;&gt;"",1,0)</f>
        <v>0</v>
      </c>
      <c r="BB1966" s="0" t="s">
        <v>153</v>
      </c>
    </row>
    <row r="1967" customFormat="false" ht="13.8" hidden="true" customHeight="false" outlineLevel="0" collapsed="false">
      <c r="A1967" s="0" t="s">
        <v>8743</v>
      </c>
      <c r="B1967" s="0" t="n">
        <v>78</v>
      </c>
      <c r="C1967" s="0" t="n">
        <v>487726</v>
      </c>
      <c r="D1967" s="0" t="s">
        <v>3372</v>
      </c>
      <c r="E1967" s="0" t="s">
        <v>2680</v>
      </c>
      <c r="F1967" s="0" t="str">
        <f aca="false">CONCATENATE(D1967," ",LEFT(H1967,4),"T=",AU1967,"D=",AV1967,"R=",AW1967,"M=",AX1967,"L=",AY1967,"B=",AZ1967)</f>
        <v>LOUGH T=13D=2R=0M=0L=0B=0</v>
      </c>
      <c r="G1967" s="0" t="s">
        <v>297</v>
      </c>
      <c r="I1967" s="0" t="s">
        <v>8744</v>
      </c>
      <c r="J1967" s="0" t="s">
        <v>845</v>
      </c>
      <c r="K1967" s="0" t="s">
        <v>175</v>
      </c>
      <c r="L1967" s="0"/>
      <c r="M1967" s="0" t="s">
        <v>8742</v>
      </c>
      <c r="N1967" s="0" t="str">
        <f aca="false">RIGHT(M1967,LEN(M1967)-FIND(" ",M1967))</f>
        <v>NORTH ST NW</v>
      </c>
      <c r="P1967" s="0" t="s">
        <v>146</v>
      </c>
      <c r="Q1967" s="0" t="s">
        <v>147</v>
      </c>
      <c r="R1967" s="0" t="n">
        <v>44483</v>
      </c>
      <c r="AD1967" s="0" t="s">
        <v>148</v>
      </c>
      <c r="AE1967" s="0" t="s">
        <v>149</v>
      </c>
      <c r="AF1967" s="0" t="s">
        <v>150</v>
      </c>
      <c r="AH1967" s="0" t="n">
        <v>14</v>
      </c>
      <c r="AI1967" s="0" t="n">
        <v>11</v>
      </c>
      <c r="AN1967" s="0" t="s">
        <v>146</v>
      </c>
      <c r="AO1967" s="0" t="s">
        <v>151</v>
      </c>
      <c r="AP1967" s="0" t="s">
        <v>152</v>
      </c>
      <c r="AQ1967" s="0" t="n">
        <v>9</v>
      </c>
      <c r="AR1967" s="0" t="n">
        <v>64</v>
      </c>
      <c r="AS1967" s="0" t="n">
        <v>32</v>
      </c>
      <c r="AU1967" s="0" t="n">
        <f aca="false">COUNTA($BA$1501:$EH$1501)</f>
        <v>13</v>
      </c>
      <c r="AV1967" s="0" t="n">
        <f aca="false">COUNTIF($BA$1501:$EH$1501,"D")</f>
        <v>2</v>
      </c>
      <c r="AW1967" s="0" t="n">
        <f aca="false">COUNTIF($BA$1501:$EH$1501,"R")</f>
        <v>0</v>
      </c>
      <c r="AX1967" s="0" t="n">
        <f aca="false"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>0</v>
      </c>
      <c r="AY1967" s="0" t="n">
        <f aca="false">COUNTIF(DU1967:EH1967, "&lt;&gt;")</f>
        <v>0</v>
      </c>
      <c r="AZ1967" s="0" t="n">
        <f aca="false">IF(EH1967&lt;&gt;"",1,0)</f>
        <v>0</v>
      </c>
      <c r="BB1967" s="0" t="s">
        <v>153</v>
      </c>
    </row>
    <row r="1968" customFormat="false" ht="13.8" hidden="true" customHeight="false" outlineLevel="0" collapsed="false">
      <c r="A1968" s="0" t="s">
        <v>8745</v>
      </c>
      <c r="B1968" s="0" t="n">
        <v>78</v>
      </c>
      <c r="C1968" s="0" t="n">
        <v>495928</v>
      </c>
      <c r="D1968" s="0" t="s">
        <v>8746</v>
      </c>
      <c r="E1968" s="0" t="s">
        <v>750</v>
      </c>
      <c r="F1968" s="0" t="str">
        <f aca="false">CONCATENATE(D1968," ",LEFT(H1968,4),"T=",AU1968,"D=",AV1968,"R=",AW1968,"M=",AX1968,"L=",AY1968,"B=",AZ1968)</f>
        <v>COMAN T=40D=0R=9M=0L=0B=0</v>
      </c>
      <c r="G1968" s="0" t="s">
        <v>172</v>
      </c>
      <c r="I1968" s="0" t="s">
        <v>8747</v>
      </c>
      <c r="J1968" s="0" t="s">
        <v>8748</v>
      </c>
      <c r="K1968" s="0" t="s">
        <v>175</v>
      </c>
      <c r="L1968" s="0"/>
      <c r="M1968" s="0" t="s">
        <v>8742</v>
      </c>
      <c r="N1968" s="0" t="str">
        <f aca="false">RIGHT(M1968,LEN(M1968)-FIND(" ",M1968))</f>
        <v>NORTH ST NW</v>
      </c>
      <c r="P1968" s="0" t="s">
        <v>146</v>
      </c>
      <c r="Q1968" s="0" t="s">
        <v>147</v>
      </c>
      <c r="R1968" s="0" t="n">
        <v>44483</v>
      </c>
      <c r="AD1968" s="0" t="s">
        <v>148</v>
      </c>
      <c r="AE1968" s="0" t="s">
        <v>149</v>
      </c>
      <c r="AF1968" s="0" t="s">
        <v>150</v>
      </c>
      <c r="AH1968" s="0" t="n">
        <v>14</v>
      </c>
      <c r="AI1968" s="0" t="n">
        <v>11</v>
      </c>
      <c r="AN1968" s="0" t="s">
        <v>146</v>
      </c>
      <c r="AO1968" s="0" t="s">
        <v>151</v>
      </c>
      <c r="AP1968" s="0" t="s">
        <v>152</v>
      </c>
      <c r="AQ1968" s="0" t="n">
        <v>9</v>
      </c>
      <c r="AR1968" s="0" t="n">
        <v>64</v>
      </c>
      <c r="AS1968" s="0" t="n">
        <v>32</v>
      </c>
      <c r="AU1968" s="0" t="n">
        <f aca="false">COUNTA($BA$1519:$EH$1519)</f>
        <v>40</v>
      </c>
      <c r="AV1968" s="0" t="n">
        <f aca="false">COUNTIF($BA$1519:$EH$1519,"D")</f>
        <v>0</v>
      </c>
      <c r="AW1968" s="0" t="n">
        <f aca="false">COUNTIF($BA$1519:$EH$1519,"R")</f>
        <v>9</v>
      </c>
      <c r="AX1968" s="0" t="n">
        <f aca="false"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>0</v>
      </c>
      <c r="AY1968" s="0" t="n">
        <f aca="false">COUNTIF(DU1968:EH1968, "&lt;&gt;")</f>
        <v>0</v>
      </c>
      <c r="AZ1968" s="0" t="n">
        <f aca="false">IF(EH1968&lt;&gt;"",1,0)</f>
        <v>0</v>
      </c>
      <c r="BB1968" s="0" t="s">
        <v>153</v>
      </c>
      <c r="BY1968" s="0" t="s">
        <v>155</v>
      </c>
      <c r="CA1968" s="0" t="s">
        <v>154</v>
      </c>
      <c r="CY1968" s="0" t="s">
        <v>154</v>
      </c>
    </row>
    <row r="1969" customFormat="false" ht="13.8" hidden="false" customHeight="false" outlineLevel="0" collapsed="false">
      <c r="A1969" s="0" t="s">
        <v>8749</v>
      </c>
      <c r="B1969" s="0" t="n">
        <v>78</v>
      </c>
      <c r="C1969" s="0" t="n">
        <v>184169</v>
      </c>
      <c r="D1969" s="0" t="s">
        <v>8750</v>
      </c>
      <c r="E1969" s="0" t="s">
        <v>2016</v>
      </c>
      <c r="F1969" s="0" t="str">
        <f aca="false">CONCATENATE(D1969," ",LEFT(H1969,4),"T=",AU1969,"D=",AV1969,"R=",AW1969,"M=",AX1969,"L=",AY1969,"B=",AZ1969)</f>
        <v>GRIFFING T=2D=0R=0M=1L=6B=0</v>
      </c>
      <c r="G1969" s="0" t="s">
        <v>241</v>
      </c>
      <c r="I1969" s="0" t="s">
        <v>8751</v>
      </c>
      <c r="J1969" s="0" t="s">
        <v>8752</v>
      </c>
      <c r="K1969" s="0" t="s">
        <v>175</v>
      </c>
      <c r="L1969" s="1" t="s">
        <v>155</v>
      </c>
      <c r="M1969" s="0" t="s">
        <v>8753</v>
      </c>
      <c r="N1969" s="0" t="str">
        <f aca="false">RIGHT(M1969,LEN(M1969)-FIND(" ",M1969))</f>
        <v>NORTH ST NW</v>
      </c>
      <c r="P1969" s="0" t="s">
        <v>146</v>
      </c>
      <c r="Q1969" s="0" t="s">
        <v>147</v>
      </c>
      <c r="R1969" s="0" t="n">
        <v>44483</v>
      </c>
      <c r="AD1969" s="0" t="s">
        <v>148</v>
      </c>
      <c r="AE1969" s="0" t="s">
        <v>149</v>
      </c>
      <c r="AF1969" s="0" t="s">
        <v>150</v>
      </c>
      <c r="AH1969" s="0" t="n">
        <v>14</v>
      </c>
      <c r="AI1969" s="0" t="n">
        <v>11</v>
      </c>
      <c r="AN1969" s="0" t="s">
        <v>146</v>
      </c>
      <c r="AO1969" s="0" t="s">
        <v>151</v>
      </c>
      <c r="AP1969" s="0" t="s">
        <v>152</v>
      </c>
      <c r="AQ1969" s="0" t="n">
        <v>9</v>
      </c>
      <c r="AR1969" s="0" t="n">
        <v>64</v>
      </c>
      <c r="AS1969" s="0" t="n">
        <v>32</v>
      </c>
      <c r="AU1969" s="0" t="n">
        <f aca="false">COUNTA($BA$1840:$EH$1840)</f>
        <v>2</v>
      </c>
      <c r="AV1969" s="0" t="n">
        <f aca="false">COUNTIF($BA$1840:$EH$1840,"D")</f>
        <v>0</v>
      </c>
      <c r="AW1969" s="0" t="n">
        <f aca="false">COUNTIF($BA$1840:$EH$1840,"R")</f>
        <v>0</v>
      </c>
      <c r="AX1969" s="0" t="n">
        <f aca="false"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>1</v>
      </c>
      <c r="AY1969" s="0" t="n">
        <f aca="false">COUNTIF(DU1969:EH1969, "&lt;&gt;")</f>
        <v>6</v>
      </c>
      <c r="AZ1969" s="0" t="n">
        <f aca="false">IF(EH1969&lt;&gt;"",1,0)</f>
        <v>0</v>
      </c>
      <c r="BB1969" s="0" t="s">
        <v>153</v>
      </c>
      <c r="BC1969" s="0" t="s">
        <v>154</v>
      </c>
      <c r="BD1969" s="0" t="s">
        <v>154</v>
      </c>
      <c r="BH1969" s="0" t="s">
        <v>154</v>
      </c>
      <c r="BL1969" s="0" t="s">
        <v>154</v>
      </c>
      <c r="BR1969" s="0" t="s">
        <v>154</v>
      </c>
      <c r="BS1969" s="0" t="s">
        <v>154</v>
      </c>
      <c r="CA1969" s="0" t="s">
        <v>154</v>
      </c>
      <c r="CG1969" s="0" t="s">
        <v>154</v>
      </c>
      <c r="CN1969" s="0" t="s">
        <v>154</v>
      </c>
      <c r="CY1969" s="0" t="s">
        <v>154</v>
      </c>
      <c r="CZ1969" s="0" t="s">
        <v>155</v>
      </c>
      <c r="DC1969" s="0" t="s">
        <v>154</v>
      </c>
      <c r="DI1969" s="0" t="s">
        <v>154</v>
      </c>
      <c r="DL1969" s="0" t="s">
        <v>154</v>
      </c>
      <c r="DN1969" s="0" t="s">
        <v>154</v>
      </c>
      <c r="DU1969" s="0" t="s">
        <v>154</v>
      </c>
      <c r="DW1969" s="0" t="s">
        <v>155</v>
      </c>
      <c r="DX1969" s="0" t="s">
        <v>154</v>
      </c>
      <c r="EA1969" s="0" t="s">
        <v>154</v>
      </c>
      <c r="ED1969" s="0" t="s">
        <v>155</v>
      </c>
      <c r="EF1969" s="0" t="s">
        <v>154</v>
      </c>
    </row>
    <row r="1970" customFormat="false" ht="13.8" hidden="true" customHeight="false" outlineLevel="0" collapsed="false">
      <c r="A1970" s="0" t="s">
        <v>8754</v>
      </c>
      <c r="B1970" s="0" t="n">
        <v>78</v>
      </c>
      <c r="C1970" s="0" t="n">
        <v>377309</v>
      </c>
      <c r="D1970" s="0" t="s">
        <v>8750</v>
      </c>
      <c r="E1970" s="0" t="s">
        <v>430</v>
      </c>
      <c r="F1970" s="0" t="str">
        <f aca="false">CONCATENATE(D1970," ",LEFT(H1970,4),"T=",AU1970,"D=",AV1970,"R=",AW1970,"M=",AX1970,"L=",AY1970,"B=",AZ1970)</f>
        <v>GRIFFING IIT=5D=0R=0M=0L=0B=0</v>
      </c>
      <c r="G1970" s="0" t="s">
        <v>222</v>
      </c>
      <c r="H1970" s="0" t="s">
        <v>598</v>
      </c>
      <c r="I1970" s="0" t="s">
        <v>8755</v>
      </c>
      <c r="J1970" s="0" t="s">
        <v>1319</v>
      </c>
      <c r="K1970" s="0" t="s">
        <v>144</v>
      </c>
      <c r="L1970" s="0"/>
      <c r="M1970" s="0" t="s">
        <v>8753</v>
      </c>
      <c r="N1970" s="0" t="str">
        <f aca="false">RIGHT(M1970,LEN(M1970)-FIND(" ",M1970))</f>
        <v>NORTH ST NW</v>
      </c>
      <c r="P1970" s="0" t="s">
        <v>146</v>
      </c>
      <c r="Q1970" s="0" t="s">
        <v>147</v>
      </c>
      <c r="R1970" s="0" t="n">
        <v>44483</v>
      </c>
      <c r="AD1970" s="0" t="s">
        <v>148</v>
      </c>
      <c r="AE1970" s="0" t="s">
        <v>149</v>
      </c>
      <c r="AF1970" s="0" t="s">
        <v>150</v>
      </c>
      <c r="AH1970" s="0" t="n">
        <v>14</v>
      </c>
      <c r="AI1970" s="0" t="n">
        <v>11</v>
      </c>
      <c r="AN1970" s="0" t="s">
        <v>146</v>
      </c>
      <c r="AO1970" s="0" t="s">
        <v>151</v>
      </c>
      <c r="AP1970" s="0" t="s">
        <v>152</v>
      </c>
      <c r="AQ1970" s="0" t="n">
        <v>9</v>
      </c>
      <c r="AR1970" s="0" t="n">
        <v>64</v>
      </c>
      <c r="AS1970" s="0" t="n">
        <v>32</v>
      </c>
      <c r="AU1970" s="0" t="n">
        <f aca="false">COUNTA($BA$1887:$EH$1887)</f>
        <v>5</v>
      </c>
      <c r="AV1970" s="0" t="n">
        <f aca="false">COUNTIF($BA$1887:$EH$1887,"D")</f>
        <v>0</v>
      </c>
      <c r="AW1970" s="0" t="n">
        <f aca="false">COUNTIF($BA$1887:$EH$1887,"R")</f>
        <v>0</v>
      </c>
      <c r="AX1970" s="0" t="n">
        <f aca="false"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>0</v>
      </c>
      <c r="AY1970" s="0" t="n">
        <f aca="false">COUNTIF(DU1970:EH1970, "&lt;&gt;")</f>
        <v>0</v>
      </c>
      <c r="AZ1970" s="0" t="n">
        <f aca="false">IF(EH1970&lt;&gt;"",1,0)</f>
        <v>0</v>
      </c>
      <c r="BB1970" s="0" t="s">
        <v>153</v>
      </c>
    </row>
    <row r="1971" customFormat="false" ht="13.8" hidden="true" customHeight="false" outlineLevel="0" collapsed="false">
      <c r="A1971" s="0" t="s">
        <v>8756</v>
      </c>
      <c r="B1971" s="0" t="n">
        <v>78</v>
      </c>
      <c r="C1971" s="0" t="n">
        <v>373386</v>
      </c>
      <c r="D1971" s="0" t="s">
        <v>7960</v>
      </c>
      <c r="E1971" s="0" t="s">
        <v>5501</v>
      </c>
      <c r="F1971" s="0" t="str">
        <f aca="false">CONCATENATE(D1971," ",LEFT(H1971,4),"T=",AU1971,"D=",AV1971,"R=",AW1971,"M=",AX1971,"L=",AY1971,"B=",AZ1971)</f>
        <v>HEBROCK T=46D=9R=4M=0L=0B=0</v>
      </c>
      <c r="G1971" s="0" t="s">
        <v>159</v>
      </c>
      <c r="I1971" s="0" t="s">
        <v>8757</v>
      </c>
      <c r="J1971" s="0" t="s">
        <v>5975</v>
      </c>
      <c r="K1971" s="0" t="s">
        <v>144</v>
      </c>
      <c r="L1971" s="0"/>
      <c r="M1971" s="0" t="s">
        <v>8758</v>
      </c>
      <c r="N1971" s="0" t="str">
        <f aca="false">RIGHT(M1971,LEN(M1971)-FIND(" ",M1971))</f>
        <v>NORTH ST NW</v>
      </c>
      <c r="P1971" s="0" t="s">
        <v>146</v>
      </c>
      <c r="Q1971" s="0" t="s">
        <v>147</v>
      </c>
      <c r="R1971" s="0" t="n">
        <v>44483</v>
      </c>
      <c r="AD1971" s="0" t="s">
        <v>148</v>
      </c>
      <c r="AE1971" s="0" t="s">
        <v>149</v>
      </c>
      <c r="AF1971" s="0" t="s">
        <v>150</v>
      </c>
      <c r="AH1971" s="0" t="n">
        <v>14</v>
      </c>
      <c r="AI1971" s="0" t="n">
        <v>11</v>
      </c>
      <c r="AN1971" s="0" t="s">
        <v>146</v>
      </c>
      <c r="AO1971" s="0" t="s">
        <v>151</v>
      </c>
      <c r="AP1971" s="0" t="s">
        <v>152</v>
      </c>
      <c r="AQ1971" s="0" t="n">
        <v>9</v>
      </c>
      <c r="AR1971" s="0" t="n">
        <v>64</v>
      </c>
      <c r="AS1971" s="0" t="n">
        <v>32</v>
      </c>
      <c r="AU1971" s="0" t="n">
        <f aca="false">COUNTA($BA$1703:$EH$1703)</f>
        <v>46</v>
      </c>
      <c r="AV1971" s="0" t="n">
        <f aca="false">COUNTIF($BA$1703:$EH$1703,"D")</f>
        <v>9</v>
      </c>
      <c r="AW1971" s="0" t="n">
        <f aca="false">COUNTIF($BA$1703:$EH$1703,"R")</f>
        <v>4</v>
      </c>
      <c r="AX1971" s="0" t="n">
        <f aca="false"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>0</v>
      </c>
      <c r="AY1971" s="0" t="n">
        <f aca="false">COUNTIF(DU1971:EH1971, "&lt;&gt;")</f>
        <v>0</v>
      </c>
      <c r="AZ1971" s="0" t="n">
        <f aca="false">IF(EH1971&lt;&gt;"",1,0)</f>
        <v>0</v>
      </c>
      <c r="BB1971" s="0" t="s">
        <v>153</v>
      </c>
    </row>
    <row r="1972" customFormat="false" ht="13.8" hidden="true" customHeight="false" outlineLevel="0" collapsed="false">
      <c r="A1972" s="0" t="s">
        <v>8759</v>
      </c>
      <c r="B1972" s="0" t="n">
        <v>78</v>
      </c>
      <c r="C1972" s="0" t="n">
        <v>410705</v>
      </c>
      <c r="D1972" s="0" t="s">
        <v>4999</v>
      </c>
      <c r="E1972" s="0" t="s">
        <v>502</v>
      </c>
      <c r="F1972" s="0" t="str">
        <f aca="false">CONCATENATE(D1972," ",LEFT(H1972,4),"T=",AU1972,"D=",AV1972,"R=",AW1972,"M=",AX1972,"L=",AY1972,"B=",AZ1972)</f>
        <v>STREETER T=3D=0R=0M=0L=0B=0</v>
      </c>
      <c r="G1972" s="0" t="s">
        <v>241</v>
      </c>
      <c r="I1972" s="0" t="s">
        <v>8760</v>
      </c>
      <c r="J1972" s="0" t="s">
        <v>3124</v>
      </c>
      <c r="K1972" s="0" t="s">
        <v>175</v>
      </c>
      <c r="L1972" s="0"/>
      <c r="M1972" s="0" t="s">
        <v>8761</v>
      </c>
      <c r="N1972" s="0" t="str">
        <f aca="false">RIGHT(M1972,LEN(M1972)-FIND(" ",M1972))</f>
        <v>NORTH ST NW</v>
      </c>
      <c r="O1972" s="0" t="s">
        <v>192</v>
      </c>
      <c r="P1972" s="0" t="s">
        <v>146</v>
      </c>
      <c r="Q1972" s="0" t="s">
        <v>147</v>
      </c>
      <c r="R1972" s="0" t="n">
        <v>44483</v>
      </c>
      <c r="AD1972" s="0" t="s">
        <v>148</v>
      </c>
      <c r="AE1972" s="0" t="s">
        <v>149</v>
      </c>
      <c r="AF1972" s="0" t="s">
        <v>150</v>
      </c>
      <c r="AH1972" s="0" t="n">
        <v>14</v>
      </c>
      <c r="AI1972" s="0" t="n">
        <v>11</v>
      </c>
      <c r="AN1972" s="0" t="s">
        <v>146</v>
      </c>
      <c r="AO1972" s="0" t="s">
        <v>151</v>
      </c>
      <c r="AP1972" s="0" t="s">
        <v>152</v>
      </c>
      <c r="AQ1972" s="0" t="n">
        <v>9</v>
      </c>
      <c r="AR1972" s="0" t="n">
        <v>64</v>
      </c>
      <c r="AS1972" s="0" t="n">
        <v>32</v>
      </c>
      <c r="AU1972" s="0" t="n">
        <f aca="false">COUNTA($BA$1098:$EH$1098)</f>
        <v>3</v>
      </c>
      <c r="AV1972" s="0" t="n">
        <f aca="false">COUNTIF($BA$1098:$EH$1098,"D")</f>
        <v>0</v>
      </c>
      <c r="AW1972" s="0" t="n">
        <f aca="false">COUNTIF($BA$1098:$EH$1098,"R")</f>
        <v>0</v>
      </c>
      <c r="AX1972" s="0" t="n">
        <f aca="false"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>0</v>
      </c>
      <c r="AY1972" s="0" t="n">
        <f aca="false">COUNTIF(DU1972:EH1972, "&lt;&gt;")</f>
        <v>0</v>
      </c>
      <c r="AZ1972" s="0" t="n">
        <f aca="false">IF(EH1972&lt;&gt;"",1,0)</f>
        <v>0</v>
      </c>
      <c r="BB1972" s="0" t="s">
        <v>153</v>
      </c>
    </row>
    <row r="1973" customFormat="false" ht="13.8" hidden="false" customHeight="false" outlineLevel="0" collapsed="false">
      <c r="A1973" s="0" t="s">
        <v>8762</v>
      </c>
      <c r="B1973" s="0" t="n">
        <v>78</v>
      </c>
      <c r="C1973" s="0" t="n">
        <v>391834</v>
      </c>
      <c r="D1973" s="0" t="s">
        <v>2311</v>
      </c>
      <c r="E1973" s="0" t="s">
        <v>8763</v>
      </c>
      <c r="F1973" s="0" t="str">
        <f aca="false">CONCATENATE(D1973," ",LEFT(H1973,4),"T=",AU1973,"D=",AV1973,"R=",AW1973,"M=",AX1973,"L=",AY1973,"B=",AZ1973)</f>
        <v>LEWIS T=5D=0R=0M=0L=2B=0</v>
      </c>
      <c r="G1973" s="0" t="s">
        <v>159</v>
      </c>
      <c r="I1973" s="0" t="s">
        <v>8764</v>
      </c>
      <c r="J1973" s="0" t="s">
        <v>8765</v>
      </c>
      <c r="K1973" s="0" t="s">
        <v>175</v>
      </c>
      <c r="M1973" s="0" t="s">
        <v>8761</v>
      </c>
      <c r="N1973" s="0" t="str">
        <f aca="false">RIGHT(M1973,LEN(M1973)-FIND(" ",M1973))</f>
        <v>NORTH ST NW</v>
      </c>
      <c r="O1973" s="0" t="s">
        <v>408</v>
      </c>
      <c r="P1973" s="0" t="s">
        <v>146</v>
      </c>
      <c r="Q1973" s="0" t="s">
        <v>147</v>
      </c>
      <c r="R1973" s="0" t="n">
        <v>44483</v>
      </c>
      <c r="AD1973" s="0" t="s">
        <v>148</v>
      </c>
      <c r="AE1973" s="0" t="s">
        <v>149</v>
      </c>
      <c r="AF1973" s="0" t="s">
        <v>150</v>
      </c>
      <c r="AH1973" s="0" t="n">
        <v>14</v>
      </c>
      <c r="AI1973" s="0" t="n">
        <v>11</v>
      </c>
      <c r="AN1973" s="0" t="s">
        <v>146</v>
      </c>
      <c r="AO1973" s="0" t="s">
        <v>151</v>
      </c>
      <c r="AP1973" s="0" t="s">
        <v>152</v>
      </c>
      <c r="AQ1973" s="0" t="n">
        <v>9</v>
      </c>
      <c r="AR1973" s="0" t="n">
        <v>64</v>
      </c>
      <c r="AS1973" s="0" t="n">
        <v>32</v>
      </c>
      <c r="AU1973" s="0" t="n">
        <f aca="false">COUNTA($BA$1264:$EH$1264)</f>
        <v>5</v>
      </c>
      <c r="AV1973" s="0" t="n">
        <f aca="false">COUNTIF($BA$1264:$EH$1264,"D")</f>
        <v>0</v>
      </c>
      <c r="AW1973" s="0" t="n">
        <f aca="false">COUNTIF($BA$1264:$EH$1264,"R")</f>
        <v>0</v>
      </c>
      <c r="AX1973" s="0" t="n">
        <f aca="false"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>0</v>
      </c>
      <c r="AY1973" s="0" t="n">
        <f aca="false">COUNTIF(DU1973:EH1973, "&lt;&gt;")</f>
        <v>2</v>
      </c>
      <c r="AZ1973" s="0" t="n">
        <f aca="false">IF(EH1973&lt;&gt;"",1,0)</f>
        <v>0</v>
      </c>
      <c r="BB1973" s="0" t="s">
        <v>153</v>
      </c>
      <c r="DN1973" s="0" t="s">
        <v>154</v>
      </c>
      <c r="EA1973" s="0" t="s">
        <v>154</v>
      </c>
      <c r="EF1973" s="0" t="s">
        <v>154</v>
      </c>
    </row>
    <row r="1974" customFormat="false" ht="13.8" hidden="false" customHeight="false" outlineLevel="0" collapsed="false">
      <c r="A1974" s="0" t="s">
        <v>8766</v>
      </c>
      <c r="B1974" s="0" t="n">
        <v>78</v>
      </c>
      <c r="C1974" s="0" t="n">
        <v>310705</v>
      </c>
      <c r="D1974" s="0" t="s">
        <v>8767</v>
      </c>
      <c r="E1974" s="0" t="s">
        <v>2236</v>
      </c>
      <c r="F1974" s="0" t="str">
        <f aca="false">CONCATENATE(D1974," ",LEFT(H1974,4),"T=",AU1974,"D=",AV1974,"R=",AW1974,"M=",AX1974,"L=",AY1974,"B=",AZ1974)</f>
        <v>BITTINGER T=2D=0R=0M=4L=5B=1</v>
      </c>
      <c r="G1974" s="0" t="s">
        <v>172</v>
      </c>
      <c r="I1974" s="0" t="s">
        <v>8768</v>
      </c>
      <c r="J1974" s="0" t="s">
        <v>8769</v>
      </c>
      <c r="K1974" s="0" t="s">
        <v>175</v>
      </c>
      <c r="L1974" s="1" t="s">
        <v>155</v>
      </c>
      <c r="M1974" s="0" t="s">
        <v>8761</v>
      </c>
      <c r="N1974" s="0" t="str">
        <f aca="false">RIGHT(M1974,LEN(M1974)-FIND(" ",M1974))</f>
        <v>NORTH ST NW</v>
      </c>
      <c r="O1974" s="0" t="s">
        <v>192</v>
      </c>
      <c r="P1974" s="0" t="s">
        <v>146</v>
      </c>
      <c r="Q1974" s="0" t="s">
        <v>147</v>
      </c>
      <c r="R1974" s="0" t="n">
        <v>44483</v>
      </c>
      <c r="AD1974" s="0" t="s">
        <v>148</v>
      </c>
      <c r="AE1974" s="0" t="s">
        <v>149</v>
      </c>
      <c r="AF1974" s="0" t="s">
        <v>150</v>
      </c>
      <c r="AH1974" s="0" t="n">
        <v>14</v>
      </c>
      <c r="AI1974" s="0" t="n">
        <v>11</v>
      </c>
      <c r="AN1974" s="0" t="s">
        <v>146</v>
      </c>
      <c r="AO1974" s="0" t="s">
        <v>151</v>
      </c>
      <c r="AP1974" s="0" t="s">
        <v>152</v>
      </c>
      <c r="AQ1974" s="0" t="n">
        <v>9</v>
      </c>
      <c r="AR1974" s="0" t="n">
        <v>64</v>
      </c>
      <c r="AS1974" s="0" t="n">
        <v>32</v>
      </c>
      <c r="AU1974" s="0" t="n">
        <f aca="false">COUNTA($BA$1464:$EH$1464)</f>
        <v>2</v>
      </c>
      <c r="AV1974" s="0" t="n">
        <f aca="false">COUNTIF($BA$1464:$EH$1464,"D")</f>
        <v>0</v>
      </c>
      <c r="AW1974" s="0" t="n">
        <f aca="false">COUNTIF($BA$1464:$EH$1464,"R")</f>
        <v>0</v>
      </c>
      <c r="AX1974" s="0" t="n">
        <f aca="false"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>4</v>
      </c>
      <c r="AY1974" s="0" t="n">
        <f aca="false">COUNTIF(DU1974:EH1974, "&lt;&gt;")</f>
        <v>5</v>
      </c>
      <c r="AZ1974" s="0" t="n">
        <f aca="false">IF(EH1974&lt;&gt;"",1,0)</f>
        <v>1</v>
      </c>
      <c r="BB1974" s="0" t="s">
        <v>153</v>
      </c>
      <c r="BL1974" s="0" t="s">
        <v>154</v>
      </c>
      <c r="CA1974" s="0" t="s">
        <v>154</v>
      </c>
      <c r="CC1974" s="0" t="s">
        <v>155</v>
      </c>
      <c r="CH1974" s="0" t="s">
        <v>155</v>
      </c>
      <c r="CK1974" s="0" t="s">
        <v>154</v>
      </c>
      <c r="CL1974" s="0" t="s">
        <v>155</v>
      </c>
      <c r="CN1974" s="0" t="s">
        <v>154</v>
      </c>
      <c r="CO1974" s="0" t="s">
        <v>155</v>
      </c>
      <c r="CY1974" s="0" t="s">
        <v>154</v>
      </c>
      <c r="CZ1974" s="0" t="s">
        <v>155</v>
      </c>
      <c r="DC1974" s="0" t="s">
        <v>154</v>
      </c>
      <c r="DI1974" s="0" t="s">
        <v>154</v>
      </c>
      <c r="DL1974" s="0" t="s">
        <v>154</v>
      </c>
      <c r="DN1974" s="0" t="s">
        <v>154</v>
      </c>
      <c r="DR1974" s="0" t="s">
        <v>154</v>
      </c>
      <c r="DU1974" s="0" t="s">
        <v>154</v>
      </c>
      <c r="DW1974" s="0" t="s">
        <v>155</v>
      </c>
      <c r="EA1974" s="0" t="s">
        <v>154</v>
      </c>
      <c r="EF1974" s="0" t="s">
        <v>154</v>
      </c>
      <c r="EH1974" s="0" t="s">
        <v>155</v>
      </c>
    </row>
    <row r="1975" customFormat="false" ht="13.8" hidden="true" customHeight="false" outlineLevel="0" collapsed="false">
      <c r="A1975" s="0" t="s">
        <v>8770</v>
      </c>
      <c r="B1975" s="0" t="n">
        <v>78</v>
      </c>
      <c r="C1975" s="0" t="n">
        <v>407949</v>
      </c>
      <c r="D1975" s="0" t="s">
        <v>8771</v>
      </c>
      <c r="E1975" s="0" t="s">
        <v>1295</v>
      </c>
      <c r="F1975" s="0" t="str">
        <f aca="false">CONCATENATE(D1975," ",LEFT(H1975,4),"T=",AU1975,"D=",AV1975,"R=",AW1975,"M=",AX1975,"L=",AY1975,"B=",AZ1975)</f>
        <v>BARSHNEY T=9D=0R=0M=0L=0B=0</v>
      </c>
      <c r="G1975" s="0" t="s">
        <v>1482</v>
      </c>
      <c r="I1975" s="0" t="s">
        <v>547</v>
      </c>
      <c r="J1975" s="0" t="s">
        <v>8772</v>
      </c>
      <c r="K1975" s="0" t="s">
        <v>175</v>
      </c>
      <c r="L1975" s="0"/>
      <c r="M1975" s="0" t="s">
        <v>8773</v>
      </c>
      <c r="N1975" s="0" t="str">
        <f aca="false">RIGHT(M1975,LEN(M1975)-FIND(" ",M1975))</f>
        <v>NORTH ST NW</v>
      </c>
      <c r="P1975" s="0" t="s">
        <v>146</v>
      </c>
      <c r="Q1975" s="0" t="s">
        <v>147</v>
      </c>
      <c r="R1975" s="0" t="n">
        <v>44483</v>
      </c>
      <c r="AD1975" s="0" t="s">
        <v>148</v>
      </c>
      <c r="AE1975" s="0" t="s">
        <v>149</v>
      </c>
      <c r="AF1975" s="0" t="s">
        <v>150</v>
      </c>
      <c r="AH1975" s="0" t="n">
        <v>14</v>
      </c>
      <c r="AI1975" s="0" t="n">
        <v>11</v>
      </c>
      <c r="AN1975" s="0" t="s">
        <v>146</v>
      </c>
      <c r="AO1975" s="0" t="s">
        <v>151</v>
      </c>
      <c r="AP1975" s="0" t="s">
        <v>152</v>
      </c>
      <c r="AQ1975" s="0" t="n">
        <v>9</v>
      </c>
      <c r="AR1975" s="0" t="n">
        <v>64</v>
      </c>
      <c r="AS1975" s="0" t="n">
        <v>32</v>
      </c>
      <c r="AU1975" s="0" t="n">
        <f aca="false">COUNTA($BA$1244:$EH$1244)</f>
        <v>9</v>
      </c>
      <c r="AV1975" s="0" t="n">
        <f aca="false">COUNTIF($BA$1244:$EH$1244,"D")</f>
        <v>0</v>
      </c>
      <c r="AW1975" s="0" t="n">
        <f aca="false">COUNTIF($BA$1244:$EH$1244,"R")</f>
        <v>0</v>
      </c>
      <c r="AX1975" s="0" t="n">
        <f aca="false"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>0</v>
      </c>
      <c r="AY1975" s="0" t="n">
        <f aca="false">COUNTIF(DU1975:EH1975, "&lt;&gt;")</f>
        <v>0</v>
      </c>
      <c r="AZ1975" s="0" t="n">
        <f aca="false">IF(EH1975&lt;&gt;"",1,0)</f>
        <v>0</v>
      </c>
      <c r="BB1975" s="0" t="s">
        <v>153</v>
      </c>
      <c r="CY1975" s="0" t="s">
        <v>154</v>
      </c>
    </row>
    <row r="1976" customFormat="false" ht="13.8" hidden="true" customHeight="false" outlineLevel="0" collapsed="false">
      <c r="A1976" s="0" t="s">
        <v>8774</v>
      </c>
      <c r="B1976" s="0" t="n">
        <v>78</v>
      </c>
      <c r="C1976" s="0" t="n">
        <v>409152</v>
      </c>
      <c r="D1976" s="0" t="s">
        <v>8775</v>
      </c>
      <c r="E1976" s="0" t="s">
        <v>1663</v>
      </c>
      <c r="F1976" s="0" t="str">
        <f aca="false">CONCATENATE(D1976," ",LEFT(H1976,4),"T=",AU1976,"D=",AV1976,"R=",AW1976,"M=",AX1976,"L=",AY1976,"B=",AZ1976)</f>
        <v>KONIOWSKY T=6D=0R=0M=0L=0B=0</v>
      </c>
      <c r="G1976" s="0" t="s">
        <v>155</v>
      </c>
      <c r="I1976" s="0" t="s">
        <v>8776</v>
      </c>
      <c r="J1976" s="0" t="s">
        <v>2847</v>
      </c>
      <c r="K1976" s="0" t="s">
        <v>175</v>
      </c>
      <c r="L1976" s="0"/>
      <c r="M1976" s="0" t="s">
        <v>8777</v>
      </c>
      <c r="N1976" s="0" t="str">
        <f aca="false">RIGHT(M1976,LEN(M1976)-FIND(" ",M1976))</f>
        <v>NORTH ST NW</v>
      </c>
      <c r="O1976" s="0" t="s">
        <v>192</v>
      </c>
      <c r="P1976" s="0" t="s">
        <v>146</v>
      </c>
      <c r="Q1976" s="0" t="s">
        <v>147</v>
      </c>
      <c r="R1976" s="0" t="n">
        <v>44483</v>
      </c>
      <c r="AD1976" s="0" t="s">
        <v>148</v>
      </c>
      <c r="AE1976" s="0" t="s">
        <v>149</v>
      </c>
      <c r="AF1976" s="0" t="s">
        <v>150</v>
      </c>
      <c r="AH1976" s="0" t="n">
        <v>14</v>
      </c>
      <c r="AI1976" s="0" t="n">
        <v>11</v>
      </c>
      <c r="AN1976" s="0" t="s">
        <v>146</v>
      </c>
      <c r="AO1976" s="0" t="s">
        <v>151</v>
      </c>
      <c r="AP1976" s="0" t="s">
        <v>152</v>
      </c>
      <c r="AQ1976" s="0" t="n">
        <v>9</v>
      </c>
      <c r="AR1976" s="0" t="n">
        <v>64</v>
      </c>
      <c r="AS1976" s="0" t="n">
        <v>32</v>
      </c>
      <c r="AU1976" s="0" t="n">
        <f aca="false">COUNTA($BA$1179:$EH$1179)</f>
        <v>6</v>
      </c>
      <c r="AV1976" s="0" t="n">
        <f aca="false">COUNTIF($BA$1179:$EH$1179,"D")</f>
        <v>0</v>
      </c>
      <c r="AW1976" s="0" t="n">
        <f aca="false">COUNTIF($BA$1179:$EH$1179,"R")</f>
        <v>0</v>
      </c>
      <c r="AX1976" s="0" t="n">
        <f aca="false"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>0</v>
      </c>
      <c r="AY1976" s="0" t="n">
        <f aca="false">COUNTIF(DU1976:EH1976, "&lt;&gt;")</f>
        <v>0</v>
      </c>
      <c r="AZ1976" s="0" t="n">
        <f aca="false">IF(EH1976&lt;&gt;"",1,0)</f>
        <v>0</v>
      </c>
      <c r="BB1976" s="0" t="s">
        <v>153</v>
      </c>
      <c r="DC1976" s="0" t="s">
        <v>154</v>
      </c>
    </row>
    <row r="1977" customFormat="false" ht="13.8" hidden="true" customHeight="false" outlineLevel="0" collapsed="false">
      <c r="A1977" s="0" t="s">
        <v>8778</v>
      </c>
      <c r="B1977" s="0" t="n">
        <v>78</v>
      </c>
      <c r="C1977" s="0" t="n">
        <v>415467</v>
      </c>
      <c r="D1977" s="0" t="s">
        <v>8779</v>
      </c>
      <c r="E1977" s="0" t="s">
        <v>1373</v>
      </c>
      <c r="F1977" s="0" t="str">
        <f aca="false">CONCATENATE(D1977," ",LEFT(H1977,4),"T=",AU1977,"D=",AV1977,"R=",AW1977,"M=",AX1977,"L=",AY1977,"B=",AZ1977)</f>
        <v>COLLETT SRT=1D=0R=0M=0L=0B=0</v>
      </c>
      <c r="G1977" s="0" t="s">
        <v>496</v>
      </c>
      <c r="H1977" s="0" t="s">
        <v>311</v>
      </c>
      <c r="I1977" s="0" t="s">
        <v>8780</v>
      </c>
      <c r="J1977" s="0" t="s">
        <v>8781</v>
      </c>
      <c r="K1977" s="0" t="s">
        <v>175</v>
      </c>
      <c r="L1977" s="0"/>
      <c r="M1977" s="0" t="s">
        <v>8777</v>
      </c>
      <c r="N1977" s="0" t="str">
        <f aca="false">RIGHT(M1977,LEN(M1977)-FIND(" ",M1977))</f>
        <v>NORTH ST NW</v>
      </c>
      <c r="O1977" s="0" t="s">
        <v>184</v>
      </c>
      <c r="P1977" s="0" t="s">
        <v>146</v>
      </c>
      <c r="Q1977" s="0" t="s">
        <v>147</v>
      </c>
      <c r="R1977" s="0" t="n">
        <v>44483</v>
      </c>
      <c r="AD1977" s="0" t="s">
        <v>148</v>
      </c>
      <c r="AE1977" s="0" t="s">
        <v>149</v>
      </c>
      <c r="AF1977" s="0" t="s">
        <v>150</v>
      </c>
      <c r="AH1977" s="0" t="n">
        <v>14</v>
      </c>
      <c r="AI1977" s="0" t="n">
        <v>11</v>
      </c>
      <c r="AN1977" s="0" t="s">
        <v>146</v>
      </c>
      <c r="AO1977" s="0" t="s">
        <v>151</v>
      </c>
      <c r="AP1977" s="0" t="s">
        <v>152</v>
      </c>
      <c r="AQ1977" s="0" t="n">
        <v>9</v>
      </c>
      <c r="AR1977" s="0" t="n">
        <v>64</v>
      </c>
      <c r="AS1977" s="0" t="n">
        <v>32</v>
      </c>
      <c r="AU1977" s="0" t="n">
        <f aca="false">COUNTA($BA$1364:$EH$1364)</f>
        <v>1</v>
      </c>
      <c r="AV1977" s="0" t="n">
        <f aca="false">COUNTIF($BA$1364:$EH$1364,"D")</f>
        <v>0</v>
      </c>
      <c r="AW1977" s="0" t="n">
        <f aca="false">COUNTIF($BA$1364:$EH$1364,"R")</f>
        <v>0</v>
      </c>
      <c r="AX1977" s="0" t="n">
        <f aca="false"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>0</v>
      </c>
      <c r="AY1977" s="0" t="n">
        <f aca="false">COUNTIF(DU1977:EH1977, "&lt;&gt;")</f>
        <v>0</v>
      </c>
      <c r="AZ1977" s="0" t="n">
        <f aca="false">IF(EH1977&lt;&gt;"",1,0)</f>
        <v>0</v>
      </c>
      <c r="BB1977" s="0" t="s">
        <v>153</v>
      </c>
    </row>
    <row r="1978" customFormat="false" ht="13.8" hidden="true" customHeight="false" outlineLevel="0" collapsed="false">
      <c r="A1978" s="0" t="s">
        <v>8782</v>
      </c>
      <c r="B1978" s="0" t="n">
        <v>78</v>
      </c>
      <c r="C1978" s="0" t="n">
        <v>415805</v>
      </c>
      <c r="D1978" s="0" t="s">
        <v>8783</v>
      </c>
      <c r="E1978" s="0" t="s">
        <v>8784</v>
      </c>
      <c r="F1978" s="0" t="str">
        <f aca="false">CONCATENATE(D1978," ",LEFT(H1978,4),"T=",AU1978,"D=",AV1978,"R=",AW1978,"M=",AX1978,"L=",AY1978,"B=",AZ1978)</f>
        <v>GALLEGOS T=1D=0R=0M=0L=0B=0</v>
      </c>
      <c r="G1978" s="0" t="s">
        <v>209</v>
      </c>
      <c r="I1978" s="0" t="s">
        <v>8785</v>
      </c>
      <c r="J1978" s="0" t="s">
        <v>8781</v>
      </c>
      <c r="K1978" s="0" t="s">
        <v>175</v>
      </c>
      <c r="L1978" s="0"/>
      <c r="M1978" s="0" t="s">
        <v>8777</v>
      </c>
      <c r="N1978" s="0" t="str">
        <f aca="false">RIGHT(M1978,LEN(M1978)-FIND(" ",M1978))</f>
        <v>NORTH ST NW</v>
      </c>
      <c r="O1978" s="0" t="s">
        <v>184</v>
      </c>
      <c r="P1978" s="0" t="s">
        <v>146</v>
      </c>
      <c r="Q1978" s="0" t="s">
        <v>147</v>
      </c>
      <c r="R1978" s="0" t="n">
        <v>44483</v>
      </c>
      <c r="AD1978" s="0" t="s">
        <v>148</v>
      </c>
      <c r="AE1978" s="0" t="s">
        <v>149</v>
      </c>
      <c r="AF1978" s="0" t="s">
        <v>150</v>
      </c>
      <c r="AH1978" s="0" t="n">
        <v>14</v>
      </c>
      <c r="AI1978" s="0" t="n">
        <v>11</v>
      </c>
      <c r="AN1978" s="0" t="s">
        <v>146</v>
      </c>
      <c r="AO1978" s="0" t="s">
        <v>151</v>
      </c>
      <c r="AP1978" s="0" t="s">
        <v>152</v>
      </c>
      <c r="AQ1978" s="0" t="n">
        <v>9</v>
      </c>
      <c r="AR1978" s="0" t="n">
        <v>64</v>
      </c>
      <c r="AS1978" s="0" t="n">
        <v>32</v>
      </c>
      <c r="AU1978" s="0" t="n">
        <f aca="false">COUNTA($BA$1734:$EH$1734)</f>
        <v>1</v>
      </c>
      <c r="AV1978" s="0" t="n">
        <f aca="false">COUNTIF($BA$1734:$EH$1734,"D")</f>
        <v>0</v>
      </c>
      <c r="AW1978" s="0" t="n">
        <f aca="false">COUNTIF($BA$1734:$EH$1734,"R")</f>
        <v>0</v>
      </c>
      <c r="AX1978" s="0" t="n">
        <f aca="false"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>0</v>
      </c>
      <c r="AY1978" s="0" t="n">
        <f aca="false">COUNTIF(DU1978:EH1978, "&lt;&gt;")</f>
        <v>0</v>
      </c>
      <c r="AZ1978" s="0" t="n">
        <f aca="false">IF(EH1978&lt;&gt;"",1,0)</f>
        <v>0</v>
      </c>
      <c r="BB1978" s="0" t="s">
        <v>153</v>
      </c>
    </row>
    <row r="1979" customFormat="false" ht="13.8" hidden="true" customHeight="false" outlineLevel="0" collapsed="false">
      <c r="A1979" s="0" t="s">
        <v>8786</v>
      </c>
      <c r="B1979" s="0" t="n">
        <v>78</v>
      </c>
      <c r="C1979" s="0" t="n">
        <v>409752</v>
      </c>
      <c r="D1979" s="0" t="s">
        <v>8787</v>
      </c>
      <c r="E1979" s="0" t="s">
        <v>1893</v>
      </c>
      <c r="F1979" s="0" t="str">
        <f aca="false">CONCATENATE(D1979," ",LEFT(H1979,4),"T=",AU1979,"D=",AV1979,"R=",AW1979,"M=",AX1979,"L=",AY1979,"B=",AZ1979)</f>
        <v>CHAMBORA T=33D=9R=0M=0L=0B=0</v>
      </c>
      <c r="G1979" s="0" t="s">
        <v>297</v>
      </c>
      <c r="I1979" s="0" t="s">
        <v>8788</v>
      </c>
      <c r="J1979" s="0" t="s">
        <v>8789</v>
      </c>
      <c r="K1979" s="0" t="s">
        <v>175</v>
      </c>
      <c r="L1979" s="0"/>
      <c r="M1979" s="0" t="s">
        <v>8777</v>
      </c>
      <c r="N1979" s="0" t="str">
        <f aca="false">RIGHT(M1979,LEN(M1979)-FIND(" ",M1979))</f>
        <v>NORTH ST NW</v>
      </c>
      <c r="O1979" s="0" t="s">
        <v>1681</v>
      </c>
      <c r="P1979" s="0" t="s">
        <v>146</v>
      </c>
      <c r="Q1979" s="0" t="s">
        <v>147</v>
      </c>
      <c r="R1979" s="0" t="n">
        <v>44483</v>
      </c>
      <c r="AD1979" s="0" t="s">
        <v>148</v>
      </c>
      <c r="AE1979" s="0" t="s">
        <v>149</v>
      </c>
      <c r="AF1979" s="0" t="s">
        <v>150</v>
      </c>
      <c r="AH1979" s="0" t="n">
        <v>14</v>
      </c>
      <c r="AI1979" s="0" t="n">
        <v>11</v>
      </c>
      <c r="AN1979" s="0" t="s">
        <v>146</v>
      </c>
      <c r="AO1979" s="0" t="s">
        <v>151</v>
      </c>
      <c r="AP1979" s="0" t="s">
        <v>152</v>
      </c>
      <c r="AQ1979" s="0" t="n">
        <v>9</v>
      </c>
      <c r="AR1979" s="0" t="n">
        <v>64</v>
      </c>
      <c r="AS1979" s="0" t="n">
        <v>32</v>
      </c>
      <c r="AU1979" s="0" t="n">
        <f aca="false">COUNTA($BA$1756:$EH$1756)</f>
        <v>33</v>
      </c>
      <c r="AV1979" s="0" t="n">
        <f aca="false">COUNTIF($BA$1756:$EH$1756,"D")</f>
        <v>9</v>
      </c>
      <c r="AW1979" s="0" t="n">
        <f aca="false">COUNTIF($BA$1756:$EH$1756,"R")</f>
        <v>0</v>
      </c>
      <c r="AX1979" s="0" t="n">
        <f aca="false"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>0</v>
      </c>
      <c r="AY1979" s="0" t="n">
        <f aca="false">COUNTIF(DU1979:EH1979, "&lt;&gt;")</f>
        <v>0</v>
      </c>
      <c r="AZ1979" s="0" t="n">
        <f aca="false">IF(EH1979&lt;&gt;"",1,0)</f>
        <v>0</v>
      </c>
      <c r="BB1979" s="0" t="s">
        <v>153</v>
      </c>
      <c r="CY1979" s="0" t="s">
        <v>154</v>
      </c>
    </row>
    <row r="1980" customFormat="false" ht="13.8" hidden="true" customHeight="false" outlineLevel="0" collapsed="false">
      <c r="A1980" s="0" t="s">
        <v>8790</v>
      </c>
      <c r="B1980" s="0" t="n">
        <v>78</v>
      </c>
      <c r="C1980" s="0" t="n">
        <v>457753</v>
      </c>
      <c r="D1980" s="0" t="s">
        <v>8791</v>
      </c>
      <c r="E1980" s="0" t="s">
        <v>8792</v>
      </c>
      <c r="F1980" s="0" t="str">
        <f aca="false">CONCATENATE(D1980," ",LEFT(H1980,4),"T=",AU1980,"D=",AV1980,"R=",AW1980,"M=",AX1980,"L=",AY1980,"B=",AZ1980)</f>
        <v>KANDEL T=2D=0R=0M=0L=0B=0</v>
      </c>
      <c r="G1980" s="0" t="s">
        <v>8793</v>
      </c>
      <c r="I1980" s="0" t="s">
        <v>8794</v>
      </c>
      <c r="J1980" s="0" t="s">
        <v>8795</v>
      </c>
      <c r="K1980" s="0" t="s">
        <v>175</v>
      </c>
      <c r="L1980" s="0"/>
      <c r="M1980" s="0" t="s">
        <v>8796</v>
      </c>
      <c r="N1980" s="0" t="str">
        <f aca="false">RIGHT(M1980,LEN(M1980)-FIND(" ",M1980))</f>
        <v>NORTH ST NW</v>
      </c>
      <c r="P1980" s="0" t="s">
        <v>146</v>
      </c>
      <c r="Q1980" s="0" t="s">
        <v>147</v>
      </c>
      <c r="R1980" s="0" t="n">
        <v>44483</v>
      </c>
      <c r="AD1980" s="0" t="s">
        <v>148</v>
      </c>
      <c r="AE1980" s="0" t="s">
        <v>149</v>
      </c>
      <c r="AF1980" s="0" t="s">
        <v>150</v>
      </c>
      <c r="AH1980" s="0" t="n">
        <v>14</v>
      </c>
      <c r="AI1980" s="0" t="n">
        <v>11</v>
      </c>
      <c r="AN1980" s="0" t="s">
        <v>146</v>
      </c>
      <c r="AO1980" s="0" t="s">
        <v>151</v>
      </c>
      <c r="AP1980" s="0" t="s">
        <v>152</v>
      </c>
      <c r="AQ1980" s="0" t="n">
        <v>9</v>
      </c>
      <c r="AR1980" s="0" t="n">
        <v>64</v>
      </c>
      <c r="AS1980" s="0" t="n">
        <v>32</v>
      </c>
      <c r="AU1980" s="0" t="n">
        <f aca="false">COUNTA($BA$1287:$EH$1287)</f>
        <v>2</v>
      </c>
      <c r="AV1980" s="0" t="n">
        <f aca="false">COUNTIF($BA$1287:$EH$1287,"D")</f>
        <v>0</v>
      </c>
      <c r="AW1980" s="0" t="n">
        <f aca="false">COUNTIF($BA$1287:$EH$1287,"R")</f>
        <v>0</v>
      </c>
      <c r="AX1980" s="0" t="n">
        <f aca="false"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>0</v>
      </c>
      <c r="AY1980" s="0" t="n">
        <f aca="false">COUNTIF(DU1980:EH1980, "&lt;&gt;")</f>
        <v>0</v>
      </c>
      <c r="AZ1980" s="0" t="n">
        <f aca="false">IF(EH1980&lt;&gt;"",1,0)</f>
        <v>0</v>
      </c>
      <c r="BB1980" s="0" t="s">
        <v>153</v>
      </c>
    </row>
    <row r="1981" customFormat="false" ht="13.8" hidden="false" customHeight="false" outlineLevel="0" collapsed="false">
      <c r="A1981" s="0" t="s">
        <v>8797</v>
      </c>
      <c r="B1981" s="0" t="n">
        <v>78</v>
      </c>
      <c r="C1981" s="0" t="n">
        <v>320856</v>
      </c>
      <c r="D1981" s="0" t="s">
        <v>8798</v>
      </c>
      <c r="E1981" s="0" t="s">
        <v>283</v>
      </c>
      <c r="F1981" s="0" t="str">
        <f aca="false">CONCATENATE(D1981," ",LEFT(H1981,4),"T=",AU1981,"D=",AV1981,"R=",AW1981,"M=",AX1981,"L=",AY1981,"B=",AZ1981)</f>
        <v>TACHOVAKA T=3D=0R=0M=0L=5B=0</v>
      </c>
      <c r="G1981" s="0" t="s">
        <v>297</v>
      </c>
      <c r="I1981" s="0" t="s">
        <v>8799</v>
      </c>
      <c r="J1981" s="0" t="s">
        <v>8800</v>
      </c>
      <c r="K1981" s="0" t="s">
        <v>175</v>
      </c>
      <c r="L1981" s="1" t="s">
        <v>155</v>
      </c>
      <c r="M1981" s="0" t="s">
        <v>8801</v>
      </c>
      <c r="N1981" s="0" t="str">
        <f aca="false">RIGHT(M1981,LEN(M1981)-FIND(" ",M1981))</f>
        <v>NORTH ST NW</v>
      </c>
      <c r="P1981" s="0" t="s">
        <v>146</v>
      </c>
      <c r="Q1981" s="0" t="s">
        <v>147</v>
      </c>
      <c r="R1981" s="0" t="n">
        <v>44483</v>
      </c>
      <c r="AD1981" s="0" t="s">
        <v>148</v>
      </c>
      <c r="AE1981" s="0" t="s">
        <v>149</v>
      </c>
      <c r="AF1981" s="0" t="s">
        <v>150</v>
      </c>
      <c r="AH1981" s="0" t="n">
        <v>14</v>
      </c>
      <c r="AI1981" s="0" t="n">
        <v>11</v>
      </c>
      <c r="AN1981" s="0" t="s">
        <v>146</v>
      </c>
      <c r="AO1981" s="0" t="s">
        <v>151</v>
      </c>
      <c r="AP1981" s="0" t="s">
        <v>152</v>
      </c>
      <c r="AQ1981" s="0" t="n">
        <v>9</v>
      </c>
      <c r="AR1981" s="0" t="n">
        <v>64</v>
      </c>
      <c r="AS1981" s="0" t="n">
        <v>32</v>
      </c>
      <c r="AU1981" s="0" t="n">
        <f aca="false">COUNTA($BA$1948:$EH$1948)</f>
        <v>3</v>
      </c>
      <c r="AV1981" s="0" t="n">
        <f aca="false">COUNTIF($BA$1948:$EH$1948,"D")</f>
        <v>0</v>
      </c>
      <c r="AW1981" s="0" t="n">
        <f aca="false">COUNTIF($BA$1948:$EH$1948,"R")</f>
        <v>0</v>
      </c>
      <c r="AX1981" s="0" t="n">
        <f aca="false"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>0</v>
      </c>
      <c r="AY1981" s="0" t="n">
        <f aca="false">COUNTIF(DU1981:EH1981, "&lt;&gt;")</f>
        <v>5</v>
      </c>
      <c r="AZ1981" s="0" t="n">
        <f aca="false">IF(EH1981&lt;&gt;"",1,0)</f>
        <v>0</v>
      </c>
      <c r="BB1981" s="0" t="s">
        <v>153</v>
      </c>
      <c r="BL1981" s="0" t="s">
        <v>154</v>
      </c>
      <c r="CK1981" s="0" t="s">
        <v>154</v>
      </c>
      <c r="CP1981" s="0" t="s">
        <v>154</v>
      </c>
      <c r="CV1981" s="0" t="s">
        <v>154</v>
      </c>
      <c r="CY1981" s="0" t="s">
        <v>154</v>
      </c>
      <c r="CZ1981" s="0" t="s">
        <v>155</v>
      </c>
      <c r="DC1981" s="0" t="s">
        <v>154</v>
      </c>
      <c r="DF1981" s="0" t="s">
        <v>154</v>
      </c>
      <c r="DI1981" s="0" t="s">
        <v>154</v>
      </c>
      <c r="DN1981" s="0" t="s">
        <v>154</v>
      </c>
      <c r="DS1981" s="0" t="s">
        <v>155</v>
      </c>
      <c r="DT1981" s="0" t="s">
        <v>155</v>
      </c>
      <c r="DU1981" s="0" t="s">
        <v>154</v>
      </c>
      <c r="DX1981" s="0" t="s">
        <v>154</v>
      </c>
      <c r="EA1981" s="0" t="s">
        <v>154</v>
      </c>
      <c r="ED1981" s="0" t="s">
        <v>155</v>
      </c>
      <c r="EF1981" s="0" t="s">
        <v>154</v>
      </c>
    </row>
    <row r="1982" customFormat="false" ht="13.8" hidden="false" customHeight="false" outlineLevel="0" collapsed="false">
      <c r="A1982" s="0" t="s">
        <v>8802</v>
      </c>
      <c r="B1982" s="0" t="n">
        <v>78</v>
      </c>
      <c r="C1982" s="0" t="n">
        <v>277366</v>
      </c>
      <c r="D1982" s="0" t="s">
        <v>8798</v>
      </c>
      <c r="E1982" s="0" t="s">
        <v>4570</v>
      </c>
      <c r="F1982" s="0" t="str">
        <f aca="false">CONCATENATE(D1982," ",LEFT(H1982,4),"T=",AU1982,"D=",AV1982,"R=",AW1982,"M=",AX1982,"L=",AY1982,"B=",AZ1982)</f>
        <v>TACHOVAKA T=23D=4R=0M=0L=5B=0</v>
      </c>
      <c r="I1982" s="0" t="s">
        <v>8803</v>
      </c>
      <c r="J1982" s="0" t="s">
        <v>8804</v>
      </c>
      <c r="K1982" s="0" t="s">
        <v>175</v>
      </c>
      <c r="L1982" s="1" t="s">
        <v>155</v>
      </c>
      <c r="M1982" s="0" t="s">
        <v>8801</v>
      </c>
      <c r="N1982" s="0" t="str">
        <f aca="false">RIGHT(M1982,LEN(M1982)-FIND(" ",M1982))</f>
        <v>NORTH ST NW</v>
      </c>
      <c r="P1982" s="0" t="s">
        <v>146</v>
      </c>
      <c r="Q1982" s="0" t="s">
        <v>147</v>
      </c>
      <c r="R1982" s="0" t="n">
        <v>44483</v>
      </c>
      <c r="AD1982" s="0" t="s">
        <v>148</v>
      </c>
      <c r="AE1982" s="0" t="s">
        <v>149</v>
      </c>
      <c r="AF1982" s="0" t="s">
        <v>150</v>
      </c>
      <c r="AH1982" s="0" t="n">
        <v>14</v>
      </c>
      <c r="AI1982" s="0" t="n">
        <v>11</v>
      </c>
      <c r="AN1982" s="0" t="s">
        <v>146</v>
      </c>
      <c r="AO1982" s="0" t="s">
        <v>151</v>
      </c>
      <c r="AP1982" s="0" t="s">
        <v>152</v>
      </c>
      <c r="AQ1982" s="0" t="n">
        <v>9</v>
      </c>
      <c r="AR1982" s="0" t="n">
        <v>64</v>
      </c>
      <c r="AS1982" s="0" t="n">
        <v>32</v>
      </c>
      <c r="AU1982" s="0" t="n">
        <f aca="false">COUNTA($BA$1989:$EH$1989)</f>
        <v>23</v>
      </c>
      <c r="AV1982" s="0" t="n">
        <f aca="false">COUNTIF($BA$1989:$EH$1989,"D")</f>
        <v>4</v>
      </c>
      <c r="AW1982" s="0" t="n">
        <f aca="false">COUNTIF($BA$1989:$EH$1989,"R")</f>
        <v>0</v>
      </c>
      <c r="AX1982" s="0" t="n">
        <f aca="false"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>0</v>
      </c>
      <c r="AY1982" s="0" t="n">
        <f aca="false">COUNTIF(DU1982:EH1982, "&lt;&gt;")</f>
        <v>5</v>
      </c>
      <c r="AZ1982" s="0" t="n">
        <f aca="false">IF(EH1982&lt;&gt;"",1,0)</f>
        <v>0</v>
      </c>
      <c r="BB1982" s="0" t="s">
        <v>153</v>
      </c>
      <c r="BJ1982" s="0" t="s">
        <v>154</v>
      </c>
      <c r="BK1982" s="0" t="s">
        <v>154</v>
      </c>
      <c r="BL1982" s="0" t="s">
        <v>154</v>
      </c>
      <c r="BS1982" s="0" t="s">
        <v>154</v>
      </c>
      <c r="BV1982" s="0" t="s">
        <v>154</v>
      </c>
      <c r="BY1982" s="0" t="s">
        <v>155</v>
      </c>
      <c r="CA1982" s="0" t="s">
        <v>154</v>
      </c>
      <c r="CK1982" s="0" t="s">
        <v>154</v>
      </c>
      <c r="CN1982" s="0" t="s">
        <v>154</v>
      </c>
      <c r="CP1982" s="0" t="s">
        <v>154</v>
      </c>
      <c r="CV1982" s="0" t="s">
        <v>154</v>
      </c>
      <c r="CY1982" s="0" t="s">
        <v>154</v>
      </c>
      <c r="CZ1982" s="0" t="s">
        <v>155</v>
      </c>
      <c r="DC1982" s="0" t="s">
        <v>154</v>
      </c>
      <c r="DF1982" s="0" t="s">
        <v>154</v>
      </c>
      <c r="DI1982" s="0" t="s">
        <v>154</v>
      </c>
      <c r="DN1982" s="0" t="s">
        <v>154</v>
      </c>
      <c r="DS1982" s="0" t="s">
        <v>155</v>
      </c>
      <c r="DT1982" s="0" t="s">
        <v>155</v>
      </c>
      <c r="DU1982" s="0" t="s">
        <v>154</v>
      </c>
      <c r="DX1982" s="0" t="s">
        <v>154</v>
      </c>
      <c r="EA1982" s="0" t="s">
        <v>154</v>
      </c>
      <c r="ED1982" s="0" t="s">
        <v>155</v>
      </c>
      <c r="EF1982" s="0" t="s">
        <v>154</v>
      </c>
    </row>
    <row r="1983" customFormat="false" ht="13.8" hidden="true" customHeight="false" outlineLevel="0" collapsed="false">
      <c r="A1983" s="0" t="s">
        <v>8805</v>
      </c>
      <c r="B1983" s="0" t="n">
        <v>78</v>
      </c>
      <c r="C1983" s="0" t="n">
        <v>426317</v>
      </c>
      <c r="D1983" s="0" t="s">
        <v>4569</v>
      </c>
      <c r="E1983" s="0" t="s">
        <v>195</v>
      </c>
      <c r="F1983" s="0" t="str">
        <f aca="false">CONCATENATE(D1983," ",LEFT(H1983,4),"T=",AU1983,"D=",AV1983,"R=",AW1983,"M=",AX1983,"L=",AY1983,"B=",AZ1983)</f>
        <v>CRUZ T=1D=0R=0M=0L=0B=0</v>
      </c>
      <c r="G1983" s="0" t="s">
        <v>297</v>
      </c>
      <c r="I1983" s="0" t="s">
        <v>8806</v>
      </c>
      <c r="J1983" s="0" t="s">
        <v>2484</v>
      </c>
      <c r="K1983" s="0" t="s">
        <v>175</v>
      </c>
      <c r="L1983" s="0"/>
      <c r="M1983" s="0" t="s">
        <v>8807</v>
      </c>
      <c r="N1983" s="0" t="str">
        <f aca="false">RIGHT(M1983,LEN(M1983)-FIND(" ",M1983))</f>
        <v>NORTH ST NW</v>
      </c>
      <c r="P1983" s="0" t="s">
        <v>146</v>
      </c>
      <c r="Q1983" s="0" t="s">
        <v>147</v>
      </c>
      <c r="R1983" s="0" t="n">
        <v>44483</v>
      </c>
      <c r="AD1983" s="0" t="s">
        <v>148</v>
      </c>
      <c r="AE1983" s="0" t="s">
        <v>149</v>
      </c>
      <c r="AF1983" s="0" t="s">
        <v>150</v>
      </c>
      <c r="AH1983" s="0" t="n">
        <v>14</v>
      </c>
      <c r="AI1983" s="0" t="n">
        <v>11</v>
      </c>
      <c r="AN1983" s="0" t="s">
        <v>146</v>
      </c>
      <c r="AO1983" s="0" t="s">
        <v>151</v>
      </c>
      <c r="AP1983" s="0" t="s">
        <v>152</v>
      </c>
      <c r="AQ1983" s="0" t="n">
        <v>9</v>
      </c>
      <c r="AR1983" s="0" t="n">
        <v>64</v>
      </c>
      <c r="AS1983" s="0" t="n">
        <v>32</v>
      </c>
      <c r="AU1983" s="0" t="n">
        <f aca="false">COUNTA($BA$1214:$EH$1214)</f>
        <v>1</v>
      </c>
      <c r="AV1983" s="0" t="n">
        <f aca="false">COUNTIF($BA$1214:$EH$1214,"D")</f>
        <v>0</v>
      </c>
      <c r="AW1983" s="0" t="n">
        <f aca="false">COUNTIF($BA$1214:$EH$1214,"R")</f>
        <v>0</v>
      </c>
      <c r="AX1983" s="0" t="n">
        <f aca="false"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>0</v>
      </c>
      <c r="AY1983" s="0" t="n">
        <f aca="false">COUNTIF(DU1983:EH1983, "&lt;&gt;")</f>
        <v>0</v>
      </c>
      <c r="AZ1983" s="0" t="n">
        <f aca="false">IF(EH1983&lt;&gt;"",1,0)</f>
        <v>0</v>
      </c>
      <c r="BB1983" s="0" t="s">
        <v>153</v>
      </c>
    </row>
    <row r="1984" customFormat="false" ht="13.8" hidden="true" customHeight="false" outlineLevel="0" collapsed="false">
      <c r="A1984" s="0" t="s">
        <v>8808</v>
      </c>
      <c r="B1984" s="0" t="n">
        <v>78</v>
      </c>
      <c r="C1984" s="0" t="n">
        <v>360099</v>
      </c>
      <c r="D1984" s="0" t="s">
        <v>8809</v>
      </c>
      <c r="E1984" s="0" t="s">
        <v>5180</v>
      </c>
      <c r="F1984" s="0" t="str">
        <f aca="false">CONCATENATE(D1984," ",LEFT(H1984,4),"T=",AU1984,"D=",AV1984,"R=",AW1984,"M=",AX1984,"L=",AY1984,"B=",AZ1984)</f>
        <v>BLEVINS T=8D=2R=0M=0L=0B=0</v>
      </c>
      <c r="G1984" s="0" t="s">
        <v>188</v>
      </c>
      <c r="I1984" s="0" t="s">
        <v>8810</v>
      </c>
      <c r="J1984" s="0" t="s">
        <v>8811</v>
      </c>
      <c r="K1984" s="0" t="s">
        <v>175</v>
      </c>
      <c r="L1984" s="0"/>
      <c r="M1984" s="0" t="s">
        <v>8807</v>
      </c>
      <c r="N1984" s="0" t="str">
        <f aca="false">RIGHT(M1984,LEN(M1984)-FIND(" ",M1984))</f>
        <v>NORTH ST NW</v>
      </c>
      <c r="P1984" s="0" t="s">
        <v>146</v>
      </c>
      <c r="Q1984" s="0" t="s">
        <v>147</v>
      </c>
      <c r="R1984" s="0" t="n">
        <v>44483</v>
      </c>
      <c r="AD1984" s="0" t="s">
        <v>148</v>
      </c>
      <c r="AE1984" s="0" t="s">
        <v>149</v>
      </c>
      <c r="AF1984" s="0" t="s">
        <v>150</v>
      </c>
      <c r="AH1984" s="0" t="n">
        <v>14</v>
      </c>
      <c r="AI1984" s="0" t="n">
        <v>11</v>
      </c>
      <c r="AN1984" s="0" t="s">
        <v>146</v>
      </c>
      <c r="AO1984" s="0" t="s">
        <v>151</v>
      </c>
      <c r="AP1984" s="0" t="s">
        <v>152</v>
      </c>
      <c r="AQ1984" s="0" t="n">
        <v>9</v>
      </c>
      <c r="AR1984" s="0" t="n">
        <v>64</v>
      </c>
      <c r="AS1984" s="0" t="n">
        <v>32</v>
      </c>
      <c r="AU1984" s="0" t="n">
        <f aca="false">COUNTA($BA$1339:$EH$1339)</f>
        <v>8</v>
      </c>
      <c r="AV1984" s="0" t="n">
        <f aca="false">COUNTIF($BA$1339:$EH$1339,"D")</f>
        <v>2</v>
      </c>
      <c r="AW1984" s="0" t="n">
        <f aca="false">COUNTIF($BA$1339:$EH$1339,"R")</f>
        <v>0</v>
      </c>
      <c r="AX1984" s="0" t="n">
        <f aca="false"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>0</v>
      </c>
      <c r="AY1984" s="0" t="n">
        <f aca="false">COUNTIF(DU1984:EH1984, "&lt;&gt;")</f>
        <v>0</v>
      </c>
      <c r="AZ1984" s="0" t="n">
        <f aca="false">IF(EH1984&lt;&gt;"",1,0)</f>
        <v>0</v>
      </c>
      <c r="BB1984" s="0" t="s">
        <v>153</v>
      </c>
      <c r="CA1984" s="0" t="s">
        <v>154</v>
      </c>
    </row>
    <row r="1985" customFormat="false" ht="13.8" hidden="true" customHeight="false" outlineLevel="0" collapsed="false">
      <c r="A1985" s="0" t="s">
        <v>8812</v>
      </c>
      <c r="B1985" s="0" t="n">
        <v>78</v>
      </c>
      <c r="C1985" s="0" t="n">
        <v>440400</v>
      </c>
      <c r="D1985" s="0" t="s">
        <v>8813</v>
      </c>
      <c r="E1985" s="0" t="s">
        <v>296</v>
      </c>
      <c r="F1985" s="0" t="str">
        <f aca="false">CONCATENATE(D1985," ",LEFT(H1985,4),"T=",AU1985,"D=",AV1985,"R=",AW1985,"M=",AX1985,"L=",AY1985,"B=",AZ1985)</f>
        <v>POTTS T=5D=0R=0M=0L=0B=0</v>
      </c>
      <c r="G1985" s="0" t="s">
        <v>694</v>
      </c>
      <c r="I1985" s="0" t="s">
        <v>3508</v>
      </c>
      <c r="J1985" s="0" t="s">
        <v>8814</v>
      </c>
      <c r="K1985" s="0" t="s">
        <v>144</v>
      </c>
      <c r="L1985" s="0"/>
      <c r="M1985" s="0" t="s">
        <v>8815</v>
      </c>
      <c r="N1985" s="0" t="str">
        <f aca="false">RIGHT(M1985,LEN(M1985)-FIND(" ",M1985))</f>
        <v>NORTH ST NW</v>
      </c>
      <c r="P1985" s="0" t="s">
        <v>146</v>
      </c>
      <c r="Q1985" s="0" t="s">
        <v>147</v>
      </c>
      <c r="R1985" s="0" t="n">
        <v>44483</v>
      </c>
      <c r="AD1985" s="0" t="s">
        <v>148</v>
      </c>
      <c r="AE1985" s="0" t="s">
        <v>149</v>
      </c>
      <c r="AF1985" s="0" t="s">
        <v>150</v>
      </c>
      <c r="AH1985" s="0" t="n">
        <v>14</v>
      </c>
      <c r="AI1985" s="0" t="n">
        <v>11</v>
      </c>
      <c r="AN1985" s="0" t="s">
        <v>146</v>
      </c>
      <c r="AO1985" s="0" t="s">
        <v>151</v>
      </c>
      <c r="AP1985" s="0" t="s">
        <v>152</v>
      </c>
      <c r="AQ1985" s="0" t="n">
        <v>9</v>
      </c>
      <c r="AR1985" s="0" t="n">
        <v>64</v>
      </c>
      <c r="AS1985" s="0" t="n">
        <v>32</v>
      </c>
      <c r="AU1985" s="0" t="n">
        <f aca="false">COUNTA($BA$1223:$EH$1223)</f>
        <v>5</v>
      </c>
      <c r="AV1985" s="0" t="n">
        <f aca="false">COUNTIF($BA$1223:$EH$1223,"D")</f>
        <v>0</v>
      </c>
      <c r="AW1985" s="0" t="n">
        <f aca="false">COUNTIF($BA$1223:$EH$1223,"R")</f>
        <v>0</v>
      </c>
      <c r="AX1985" s="0" t="n">
        <f aca="false"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>0</v>
      </c>
      <c r="AY1985" s="0" t="n">
        <f aca="false">COUNTIF(DU1985:EH1985, "&lt;&gt;")</f>
        <v>0</v>
      </c>
      <c r="AZ1985" s="0" t="n">
        <f aca="false">IF(EH1985&lt;&gt;"",1,0)</f>
        <v>0</v>
      </c>
      <c r="BB1985" s="0" t="s">
        <v>153</v>
      </c>
    </row>
    <row r="1986" customFormat="false" ht="13.8" hidden="true" customHeight="false" outlineLevel="0" collapsed="false">
      <c r="A1986" s="0" t="s">
        <v>8816</v>
      </c>
      <c r="B1986" s="0" t="n">
        <v>78</v>
      </c>
      <c r="C1986" s="0" t="n">
        <v>492086</v>
      </c>
      <c r="D1986" s="0" t="s">
        <v>8817</v>
      </c>
      <c r="E1986" s="0" t="s">
        <v>750</v>
      </c>
      <c r="F1986" s="0" t="str">
        <f aca="false">CONCATENATE(D1986," ",LEFT(H1986,4),"T=",AU1986,"D=",AV1986,"R=",AW1986,"M=",AX1986,"L=",AY1986,"B=",AZ1986)</f>
        <v>OVERTON T=28D=0R=7M=0L=0B=0</v>
      </c>
      <c r="G1986" s="0" t="s">
        <v>8818</v>
      </c>
      <c r="I1986" s="0" t="s">
        <v>8819</v>
      </c>
      <c r="J1986" s="0" t="s">
        <v>2761</v>
      </c>
      <c r="K1986" s="0" t="s">
        <v>175</v>
      </c>
      <c r="L1986" s="0"/>
      <c r="M1986" s="0" t="s">
        <v>8820</v>
      </c>
      <c r="N1986" s="0" t="str">
        <f aca="false">RIGHT(M1986,LEN(M1986)-FIND(" ",M1986))</f>
        <v>NORTH ST NW</v>
      </c>
      <c r="P1986" s="0" t="s">
        <v>146</v>
      </c>
      <c r="Q1986" s="0" t="s">
        <v>147</v>
      </c>
      <c r="R1986" s="0" t="n">
        <v>44483</v>
      </c>
      <c r="AD1986" s="0" t="s">
        <v>148</v>
      </c>
      <c r="AE1986" s="0" t="s">
        <v>149</v>
      </c>
      <c r="AF1986" s="0" t="s">
        <v>150</v>
      </c>
      <c r="AH1986" s="0" t="n">
        <v>14</v>
      </c>
      <c r="AI1986" s="0" t="n">
        <v>11</v>
      </c>
      <c r="AN1986" s="0" t="s">
        <v>146</v>
      </c>
      <c r="AO1986" s="0" t="s">
        <v>151</v>
      </c>
      <c r="AP1986" s="0" t="s">
        <v>152</v>
      </c>
      <c r="AQ1986" s="0" t="n">
        <v>9</v>
      </c>
      <c r="AR1986" s="0" t="n">
        <v>64</v>
      </c>
      <c r="AS1986" s="0" t="n">
        <v>32</v>
      </c>
      <c r="AU1986" s="0" t="n">
        <f aca="false">COUNTA($BA$1249:$EH$1249)</f>
        <v>28</v>
      </c>
      <c r="AV1986" s="0" t="n">
        <f aca="false">COUNTIF($BA$1249:$EH$1249,"D")</f>
        <v>0</v>
      </c>
      <c r="AW1986" s="0" t="n">
        <f aca="false">COUNTIF($BA$1249:$EH$1249,"R")</f>
        <v>7</v>
      </c>
      <c r="AX1986" s="0" t="n">
        <f aca="false"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>0</v>
      </c>
      <c r="AY1986" s="0" t="n">
        <f aca="false">COUNTIF(DU1986:EH1986, "&lt;&gt;")</f>
        <v>0</v>
      </c>
      <c r="AZ1986" s="0" t="n">
        <f aca="false">IF(EH1986&lt;&gt;"",1,0)</f>
        <v>0</v>
      </c>
      <c r="BB1986" s="0" t="s">
        <v>153</v>
      </c>
    </row>
    <row r="1987" customFormat="false" ht="13.8" hidden="true" customHeight="false" outlineLevel="0" collapsed="false">
      <c r="A1987" s="0" t="s">
        <v>8821</v>
      </c>
      <c r="B1987" s="0" t="n">
        <v>78</v>
      </c>
      <c r="C1987" s="0" t="n">
        <v>216466</v>
      </c>
      <c r="D1987" s="0" t="s">
        <v>8817</v>
      </c>
      <c r="E1987" s="0" t="s">
        <v>1481</v>
      </c>
      <c r="F1987" s="0" t="str">
        <f aca="false">CONCATENATE(D1987," ",LEFT(H1987,4),"T=",AU1987,"D=",AV1987,"R=",AW1987,"M=",AX1987,"L=",AY1987,"B=",AZ1987)</f>
        <v>OVERTON T=17D=2R=0M=0L=1B=0</v>
      </c>
      <c r="G1987" s="0" t="s">
        <v>172</v>
      </c>
      <c r="I1987" s="0" t="s">
        <v>8822</v>
      </c>
      <c r="J1987" s="0" t="s">
        <v>5671</v>
      </c>
      <c r="K1987" s="0" t="s">
        <v>175</v>
      </c>
      <c r="L1987" s="0"/>
      <c r="M1987" s="0" t="s">
        <v>8820</v>
      </c>
      <c r="N1987" s="0" t="str">
        <f aca="false">RIGHT(M1987,LEN(M1987)-FIND(" ",M1987))</f>
        <v>NORTH ST NW</v>
      </c>
      <c r="P1987" s="0" t="s">
        <v>146</v>
      </c>
      <c r="Q1987" s="0" t="s">
        <v>147</v>
      </c>
      <c r="R1987" s="0" t="n">
        <v>44483</v>
      </c>
      <c r="AD1987" s="0" t="s">
        <v>148</v>
      </c>
      <c r="AE1987" s="0" t="s">
        <v>149</v>
      </c>
      <c r="AF1987" s="0" t="s">
        <v>150</v>
      </c>
      <c r="AH1987" s="0" t="n">
        <v>14</v>
      </c>
      <c r="AI1987" s="0" t="n">
        <v>11</v>
      </c>
      <c r="AN1987" s="0" t="s">
        <v>146</v>
      </c>
      <c r="AO1987" s="0" t="s">
        <v>151</v>
      </c>
      <c r="AP1987" s="0" t="s">
        <v>152</v>
      </c>
      <c r="AQ1987" s="0" t="n">
        <v>9</v>
      </c>
      <c r="AR1987" s="0" t="n">
        <v>64</v>
      </c>
      <c r="AS1987" s="0" t="n">
        <v>32</v>
      </c>
      <c r="AU1987" s="0" t="n">
        <f aca="false">COUNTA($BA$1810:$EH$1810)</f>
        <v>17</v>
      </c>
      <c r="AV1987" s="0" t="n">
        <f aca="false">COUNTIF($BA$1810:$EH$1810,"D")</f>
        <v>2</v>
      </c>
      <c r="AW1987" s="0" t="n">
        <f aca="false">COUNTIF($BA$1810:$EH$1810,"R")</f>
        <v>0</v>
      </c>
      <c r="AX1987" s="0" t="n">
        <f aca="false"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>0</v>
      </c>
      <c r="AY1987" s="0" t="n">
        <f aca="false">COUNTIF(DU1987:EH1987, "&lt;&gt;")</f>
        <v>1</v>
      </c>
      <c r="AZ1987" s="0" t="n">
        <f aca="false">IF(EH1987&lt;&gt;"",1,0)</f>
        <v>0</v>
      </c>
      <c r="BB1987" s="0" t="s">
        <v>153</v>
      </c>
      <c r="BD1987" s="0" t="s">
        <v>154</v>
      </c>
      <c r="BE1987" s="0" t="s">
        <v>154</v>
      </c>
      <c r="BJ1987" s="0" t="s">
        <v>154</v>
      </c>
      <c r="BY1987" s="0" t="s">
        <v>176</v>
      </c>
      <c r="CA1987" s="0" t="s">
        <v>154</v>
      </c>
      <c r="CN1987" s="0" t="s">
        <v>154</v>
      </c>
      <c r="CO1987" s="0" t="s">
        <v>155</v>
      </c>
      <c r="CP1987" s="0" t="s">
        <v>154</v>
      </c>
      <c r="CV1987" s="0" t="s">
        <v>154</v>
      </c>
      <c r="CW1987" s="0" t="s">
        <v>154</v>
      </c>
      <c r="DC1987" s="0" t="s">
        <v>154</v>
      </c>
      <c r="DI1987" s="0" t="s">
        <v>154</v>
      </c>
      <c r="DL1987" s="0" t="s">
        <v>154</v>
      </c>
      <c r="DM1987" s="0" t="s">
        <v>176</v>
      </c>
      <c r="DN1987" s="0" t="s">
        <v>154</v>
      </c>
      <c r="EF1987" s="0" t="s">
        <v>154</v>
      </c>
    </row>
    <row r="1988" customFormat="false" ht="13.8" hidden="true" customHeight="false" outlineLevel="0" collapsed="false">
      <c r="A1988" s="0" t="s">
        <v>8823</v>
      </c>
      <c r="B1988" s="0" t="n">
        <v>78</v>
      </c>
      <c r="C1988" s="0" t="n">
        <v>372353</v>
      </c>
      <c r="D1988" s="0" t="s">
        <v>8824</v>
      </c>
      <c r="E1988" s="0" t="s">
        <v>2700</v>
      </c>
      <c r="F1988" s="0" t="str">
        <f aca="false">CONCATENATE(D1988," ",LEFT(H1988,4),"T=",AU1988,"D=",AV1988,"R=",AW1988,"M=",AX1988,"L=",AY1988,"B=",AZ1988)</f>
        <v>PARSLEY T=2D=0R=0M=0L=0B=0</v>
      </c>
      <c r="G1988" s="0" t="s">
        <v>172</v>
      </c>
      <c r="I1988" s="0" t="s">
        <v>8825</v>
      </c>
      <c r="J1988" s="0" t="s">
        <v>8826</v>
      </c>
      <c r="K1988" s="0" t="s">
        <v>144</v>
      </c>
      <c r="L1988" s="0"/>
      <c r="M1988" s="0" t="s">
        <v>8827</v>
      </c>
      <c r="N1988" s="0" t="str">
        <f aca="false">RIGHT(M1988,LEN(M1988)-FIND(" ",M1988))</f>
        <v>NORTH ST NW</v>
      </c>
      <c r="P1988" s="0" t="s">
        <v>146</v>
      </c>
      <c r="Q1988" s="0" t="s">
        <v>147</v>
      </c>
      <c r="R1988" s="0" t="n">
        <v>44483</v>
      </c>
      <c r="AD1988" s="0" t="s">
        <v>148</v>
      </c>
      <c r="AE1988" s="0" t="s">
        <v>149</v>
      </c>
      <c r="AF1988" s="0" t="s">
        <v>150</v>
      </c>
      <c r="AH1988" s="0" t="n">
        <v>14</v>
      </c>
      <c r="AI1988" s="0" t="n">
        <v>11</v>
      </c>
      <c r="AN1988" s="0" t="s">
        <v>146</v>
      </c>
      <c r="AO1988" s="0" t="s">
        <v>151</v>
      </c>
      <c r="AP1988" s="0" t="s">
        <v>152</v>
      </c>
      <c r="AQ1988" s="0" t="n">
        <v>9</v>
      </c>
      <c r="AR1988" s="0" t="n">
        <v>64</v>
      </c>
      <c r="AS1988" s="0" t="n">
        <v>32</v>
      </c>
      <c r="AU1988" s="0" t="n">
        <f aca="false">COUNTA($BA$1091:$EH$1091)</f>
        <v>2</v>
      </c>
      <c r="AV1988" s="0" t="n">
        <f aca="false">COUNTIF($BA$1091:$EH$1091,"D")</f>
        <v>0</v>
      </c>
      <c r="AW1988" s="0" t="n">
        <f aca="false">COUNTIF($BA$1091:$EH$1091,"R")</f>
        <v>0</v>
      </c>
      <c r="AX1988" s="0" t="n">
        <f aca="false"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>0</v>
      </c>
      <c r="AY1988" s="0" t="n">
        <f aca="false">COUNTIF(DU1988:EH1988, "&lt;&gt;")</f>
        <v>0</v>
      </c>
      <c r="AZ1988" s="0" t="n">
        <f aca="false">IF(EH1988&lt;&gt;"",1,0)</f>
        <v>0</v>
      </c>
      <c r="BB1988" s="0" t="s">
        <v>153</v>
      </c>
    </row>
    <row r="1989" customFormat="false" ht="13.8" hidden="false" customHeight="false" outlineLevel="0" collapsed="false">
      <c r="A1989" s="0" t="s">
        <v>8828</v>
      </c>
      <c r="B1989" s="0" t="n">
        <v>78</v>
      </c>
      <c r="C1989" s="0" t="n">
        <v>283380</v>
      </c>
      <c r="D1989" s="0" t="s">
        <v>1366</v>
      </c>
      <c r="E1989" s="0" t="s">
        <v>4189</v>
      </c>
      <c r="F1989" s="0" t="str">
        <f aca="false">CONCATENATE(D1989," ",LEFT(H1989,4),"T=",AU1989,"D=",AV1989,"R=",AW1989,"M=",AX1989,"L=",AY1989,"B=",AZ1989)</f>
        <v>STEVENS T=4D=0R=0M=2L=3B=0</v>
      </c>
      <c r="G1989" s="0" t="s">
        <v>241</v>
      </c>
      <c r="I1989" s="0" t="s">
        <v>8829</v>
      </c>
      <c r="J1989" s="0" t="s">
        <v>8830</v>
      </c>
      <c r="K1989" s="0" t="s">
        <v>175</v>
      </c>
      <c r="M1989" s="0" t="s">
        <v>8827</v>
      </c>
      <c r="N1989" s="0" t="str">
        <f aca="false">RIGHT(M1989,LEN(M1989)-FIND(" ",M1989))</f>
        <v>NORTH ST NW</v>
      </c>
      <c r="P1989" s="0" t="s">
        <v>146</v>
      </c>
      <c r="Q1989" s="0" t="s">
        <v>147</v>
      </c>
      <c r="R1989" s="0" t="n">
        <v>44483</v>
      </c>
      <c r="AD1989" s="0" t="s">
        <v>148</v>
      </c>
      <c r="AE1989" s="0" t="s">
        <v>149</v>
      </c>
      <c r="AF1989" s="0" t="s">
        <v>150</v>
      </c>
      <c r="AH1989" s="0" t="n">
        <v>14</v>
      </c>
      <c r="AI1989" s="0" t="n">
        <v>11</v>
      </c>
      <c r="AN1989" s="0" t="s">
        <v>146</v>
      </c>
      <c r="AO1989" s="0" t="s">
        <v>151</v>
      </c>
      <c r="AP1989" s="0" t="s">
        <v>152</v>
      </c>
      <c r="AQ1989" s="0" t="n">
        <v>9</v>
      </c>
      <c r="AR1989" s="0" t="n">
        <v>64</v>
      </c>
      <c r="AS1989" s="0" t="n">
        <v>32</v>
      </c>
      <c r="AU1989" s="0" t="n">
        <f aca="false">COUNTA($BA$1909:$EH$1909)</f>
        <v>4</v>
      </c>
      <c r="AV1989" s="0" t="n">
        <f aca="false">COUNTIF($BA$1909:$EH$1909,"D")</f>
        <v>0</v>
      </c>
      <c r="AW1989" s="0" t="n">
        <f aca="false">COUNTIF($BA$1909:$EH$1909,"R")</f>
        <v>0</v>
      </c>
      <c r="AX1989" s="0" t="n">
        <f aca="false"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>2</v>
      </c>
      <c r="AY1989" s="0" t="n">
        <f aca="false">COUNTIF(DU1989:EH1989, "&lt;&gt;")</f>
        <v>3</v>
      </c>
      <c r="AZ1989" s="0" t="n">
        <f aca="false">IF(EH1989&lt;&gt;"",1,0)</f>
        <v>0</v>
      </c>
      <c r="BB1989" s="0" t="s">
        <v>153</v>
      </c>
      <c r="BD1989" s="0" t="s">
        <v>154</v>
      </c>
      <c r="BJ1989" s="0" t="s">
        <v>154</v>
      </c>
      <c r="BL1989" s="0" t="s">
        <v>154</v>
      </c>
      <c r="BP1989" s="0" t="s">
        <v>154</v>
      </c>
      <c r="BS1989" s="0" t="s">
        <v>154</v>
      </c>
      <c r="BV1989" s="0" t="s">
        <v>154</v>
      </c>
      <c r="BY1989" s="0" t="s">
        <v>155</v>
      </c>
      <c r="CA1989" s="0" t="s">
        <v>154</v>
      </c>
      <c r="CG1989" s="0" t="s">
        <v>154</v>
      </c>
      <c r="CK1989" s="0" t="s">
        <v>154</v>
      </c>
      <c r="CL1989" s="0" t="s">
        <v>155</v>
      </c>
      <c r="CN1989" s="0" t="s">
        <v>154</v>
      </c>
      <c r="CP1989" s="0" t="s">
        <v>154</v>
      </c>
      <c r="CY1989" s="0" t="s">
        <v>154</v>
      </c>
      <c r="DC1989" s="0" t="s">
        <v>154</v>
      </c>
      <c r="DD1989" s="0" t="s">
        <v>155</v>
      </c>
      <c r="DI1989" s="0" t="s">
        <v>154</v>
      </c>
      <c r="DM1989" s="0" t="s">
        <v>155</v>
      </c>
      <c r="DN1989" s="0" t="s">
        <v>154</v>
      </c>
      <c r="DU1989" s="0" t="s">
        <v>154</v>
      </c>
      <c r="EA1989" s="0" t="s">
        <v>154</v>
      </c>
      <c r="EF1989" s="0" t="s">
        <v>154</v>
      </c>
    </row>
    <row r="1990" customFormat="false" ht="13.8" hidden="true" customHeight="false" outlineLevel="0" collapsed="false">
      <c r="A1990" s="0" t="s">
        <v>8831</v>
      </c>
      <c r="B1990" s="0" t="n">
        <v>78</v>
      </c>
      <c r="C1990" s="0" t="n">
        <v>380714</v>
      </c>
      <c r="D1990" s="0" t="s">
        <v>3061</v>
      </c>
      <c r="E1990" s="0" t="s">
        <v>1893</v>
      </c>
      <c r="F1990" s="0" t="str">
        <f aca="false">CONCATENATE(D1990," ",LEFT(H1990,4),"T=",AU1990,"D=",AV1990,"R=",AW1990,"M=",AX1990,"L=",AY1990,"B=",AZ1990)</f>
        <v>FRANK T=2D=0R=0M=0L=0B=0</v>
      </c>
      <c r="G1990" s="0" t="s">
        <v>365</v>
      </c>
      <c r="I1990" s="0" t="s">
        <v>8832</v>
      </c>
      <c r="J1990" s="0" t="s">
        <v>1494</v>
      </c>
      <c r="K1990" s="0" t="s">
        <v>144</v>
      </c>
      <c r="L1990" s="0"/>
      <c r="M1990" s="0" t="s">
        <v>8833</v>
      </c>
      <c r="N1990" s="0" t="str">
        <f aca="false">RIGHT(M1990,LEN(M1990)-FIND(" ",M1990))</f>
        <v>NORTH ST NW</v>
      </c>
      <c r="P1990" s="0" t="s">
        <v>146</v>
      </c>
      <c r="Q1990" s="0" t="s">
        <v>147</v>
      </c>
      <c r="R1990" s="0" t="n">
        <v>44483</v>
      </c>
      <c r="AD1990" s="0" t="s">
        <v>148</v>
      </c>
      <c r="AE1990" s="0" t="s">
        <v>149</v>
      </c>
      <c r="AF1990" s="0" t="s">
        <v>150</v>
      </c>
      <c r="AH1990" s="0" t="n">
        <v>14</v>
      </c>
      <c r="AI1990" s="0" t="n">
        <v>11</v>
      </c>
      <c r="AN1990" s="0" t="s">
        <v>146</v>
      </c>
      <c r="AO1990" s="0" t="s">
        <v>151</v>
      </c>
      <c r="AP1990" s="0" t="s">
        <v>152</v>
      </c>
      <c r="AQ1990" s="0" t="n">
        <v>9</v>
      </c>
      <c r="AR1990" s="0" t="n">
        <v>64</v>
      </c>
      <c r="AS1990" s="0" t="n">
        <v>32</v>
      </c>
      <c r="AU1990" s="0" t="n">
        <f aca="false">COUNTA($BA$1402:$EH$1402)</f>
        <v>2</v>
      </c>
      <c r="AV1990" s="0" t="n">
        <f aca="false">COUNTIF($BA$1402:$EH$1402,"D")</f>
        <v>0</v>
      </c>
      <c r="AW1990" s="0" t="n">
        <f aca="false">COUNTIF($BA$1402:$EH$1402,"R")</f>
        <v>0</v>
      </c>
      <c r="AX1990" s="0" t="n">
        <f aca="false"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>0</v>
      </c>
      <c r="AY1990" s="0" t="n">
        <f aca="false">COUNTIF(DU1990:EH1990, "&lt;&gt;")</f>
        <v>0</v>
      </c>
      <c r="AZ1990" s="0" t="n">
        <f aca="false">IF(EH1990&lt;&gt;"",1,0)</f>
        <v>0</v>
      </c>
      <c r="BB1990" s="0" t="s">
        <v>153</v>
      </c>
    </row>
    <row r="1991" customFormat="false" ht="13.8" hidden="true" customHeight="false" outlineLevel="0" collapsed="false">
      <c r="A1991" s="0" t="s">
        <v>8834</v>
      </c>
      <c r="B1991" s="0" t="n">
        <v>78</v>
      </c>
      <c r="C1991" s="0" t="n">
        <v>423998</v>
      </c>
      <c r="D1991" s="0" t="s">
        <v>8835</v>
      </c>
      <c r="E1991" s="0" t="s">
        <v>1481</v>
      </c>
      <c r="F1991" s="0" t="str">
        <f aca="false">CONCATENATE(D1991," ",LEFT(H1991,4),"T=",AU1991,"D=",AV1991,"R=",AW1991,"M=",AX1991,"L=",AY1991,"B=",AZ1991)</f>
        <v>SHROUT T=2D=0R=0M=0L=0B=0</v>
      </c>
      <c r="G1991" s="0" t="s">
        <v>176</v>
      </c>
      <c r="I1991" s="0" t="s">
        <v>8836</v>
      </c>
      <c r="J1991" s="0" t="s">
        <v>1004</v>
      </c>
      <c r="K1991" s="0" t="s">
        <v>144</v>
      </c>
      <c r="L1991" s="0"/>
      <c r="M1991" s="0" t="s">
        <v>8833</v>
      </c>
      <c r="N1991" s="0" t="str">
        <f aca="false">RIGHT(M1991,LEN(M1991)-FIND(" ",M1991))</f>
        <v>NORTH ST NW</v>
      </c>
      <c r="P1991" s="0" t="s">
        <v>146</v>
      </c>
      <c r="Q1991" s="0" t="s">
        <v>147</v>
      </c>
      <c r="R1991" s="0" t="n">
        <v>44483</v>
      </c>
      <c r="AD1991" s="0" t="s">
        <v>148</v>
      </c>
      <c r="AE1991" s="0" t="s">
        <v>149</v>
      </c>
      <c r="AF1991" s="0" t="s">
        <v>150</v>
      </c>
      <c r="AH1991" s="0" t="n">
        <v>14</v>
      </c>
      <c r="AI1991" s="0" t="n">
        <v>11</v>
      </c>
      <c r="AN1991" s="0" t="s">
        <v>146</v>
      </c>
      <c r="AO1991" s="0" t="s">
        <v>151</v>
      </c>
      <c r="AP1991" s="0" t="s">
        <v>152</v>
      </c>
      <c r="AQ1991" s="0" t="n">
        <v>9</v>
      </c>
      <c r="AR1991" s="0" t="n">
        <v>64</v>
      </c>
      <c r="AS1991" s="0" t="n">
        <v>32</v>
      </c>
      <c r="AU1991" s="0" t="n">
        <f aca="false">COUNTA($BA$1769:$EH$1769)</f>
        <v>2</v>
      </c>
      <c r="AV1991" s="0" t="n">
        <f aca="false">COUNTIF($BA$1769:$EH$1769,"D")</f>
        <v>0</v>
      </c>
      <c r="AW1991" s="0" t="n">
        <f aca="false">COUNTIF($BA$1769:$EH$1769,"R")</f>
        <v>0</v>
      </c>
      <c r="AX1991" s="0" t="n">
        <f aca="false"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>0</v>
      </c>
      <c r="AY1991" s="0" t="n">
        <f aca="false">COUNTIF(DU1991:EH1991, "&lt;&gt;")</f>
        <v>0</v>
      </c>
      <c r="AZ1991" s="0" t="n">
        <f aca="false">IF(EH1991&lt;&gt;"",1,0)</f>
        <v>0</v>
      </c>
      <c r="BB1991" s="0" t="s">
        <v>153</v>
      </c>
    </row>
    <row r="1992" customFormat="false" ht="13.8" hidden="true" customHeight="false" outlineLevel="0" collapsed="false">
      <c r="A1992" s="0" t="s">
        <v>8837</v>
      </c>
      <c r="B1992" s="0" t="n">
        <v>78</v>
      </c>
      <c r="C1992" s="0" t="n">
        <v>382455</v>
      </c>
      <c r="D1992" s="0" t="s">
        <v>8838</v>
      </c>
      <c r="E1992" s="0" t="s">
        <v>1341</v>
      </c>
      <c r="F1992" s="0" t="str">
        <f aca="false">CONCATENATE(D1992," ",LEFT(H1992,4),"T=",AU1992,"D=",AV1992,"R=",AW1992,"M=",AX1992,"L=",AY1992,"B=",AZ1992)</f>
        <v>PRIEST T=21D=1R=0M=0L=0B=0</v>
      </c>
      <c r="G1992" s="0" t="s">
        <v>241</v>
      </c>
      <c r="I1992" s="0" t="s">
        <v>8839</v>
      </c>
      <c r="J1992" s="0" t="s">
        <v>342</v>
      </c>
      <c r="K1992" s="0" t="s">
        <v>144</v>
      </c>
      <c r="L1992" s="0"/>
      <c r="M1992" s="0" t="s">
        <v>8833</v>
      </c>
      <c r="N1992" s="0" t="str">
        <f aca="false">RIGHT(M1992,LEN(M1992)-FIND(" ",M1992))</f>
        <v>NORTH ST NW</v>
      </c>
      <c r="P1992" s="0" t="s">
        <v>146</v>
      </c>
      <c r="Q1992" s="0" t="s">
        <v>147</v>
      </c>
      <c r="R1992" s="0" t="n">
        <v>44483</v>
      </c>
      <c r="AD1992" s="0" t="s">
        <v>148</v>
      </c>
      <c r="AE1992" s="0" t="s">
        <v>149</v>
      </c>
      <c r="AF1992" s="0" t="s">
        <v>150</v>
      </c>
      <c r="AH1992" s="0" t="n">
        <v>14</v>
      </c>
      <c r="AI1992" s="0" t="n">
        <v>11</v>
      </c>
      <c r="AN1992" s="0" t="s">
        <v>146</v>
      </c>
      <c r="AO1992" s="0" t="s">
        <v>151</v>
      </c>
      <c r="AP1992" s="0" t="s">
        <v>152</v>
      </c>
      <c r="AQ1992" s="0" t="n">
        <v>9</v>
      </c>
      <c r="AR1992" s="0" t="n">
        <v>64</v>
      </c>
      <c r="AS1992" s="0" t="n">
        <v>32</v>
      </c>
      <c r="AU1992" s="0" t="n">
        <f aca="false">COUNTA($BA$2039:$EH$2039)</f>
        <v>21</v>
      </c>
      <c r="AV1992" s="0" t="n">
        <f aca="false">COUNTIF($BA$2039:$EH$2039,"D")</f>
        <v>1</v>
      </c>
      <c r="AW1992" s="0" t="n">
        <f aca="false">COUNTIF($BA$2039:$EH$2039,"R")</f>
        <v>0</v>
      </c>
      <c r="AX1992" s="0" t="n">
        <f aca="false"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>0</v>
      </c>
      <c r="AY1992" s="0" t="n">
        <f aca="false">COUNTIF(DU1992:EH1992, "&lt;&gt;")</f>
        <v>0</v>
      </c>
      <c r="AZ1992" s="0" t="n">
        <f aca="false">IF(EH1992&lt;&gt;"",1,0)</f>
        <v>0</v>
      </c>
      <c r="BB1992" s="0" t="s">
        <v>153</v>
      </c>
    </row>
    <row r="1993" customFormat="false" ht="13.8" hidden="true" customHeight="false" outlineLevel="0" collapsed="false">
      <c r="A1993" s="0" t="s">
        <v>8840</v>
      </c>
      <c r="B1993" s="0" t="n">
        <v>78</v>
      </c>
      <c r="C1993" s="0" t="n">
        <v>409169</v>
      </c>
      <c r="D1993" s="0" t="s">
        <v>8841</v>
      </c>
      <c r="E1993" s="0" t="s">
        <v>698</v>
      </c>
      <c r="F1993" s="0" t="str">
        <f aca="false">CONCATENATE(D1993," ",LEFT(H1993,4),"T=",AU1993,"D=",AV1993,"R=",AW1993,"M=",AX1993,"L=",AY1993,"B=",AZ1993)</f>
        <v>DAMRON T=1D=0R=0M=0L=0B=0</v>
      </c>
      <c r="G1993" s="0" t="s">
        <v>2397</v>
      </c>
      <c r="I1993" s="0" t="s">
        <v>2792</v>
      </c>
      <c r="J1993" s="0" t="s">
        <v>1196</v>
      </c>
      <c r="K1993" s="0" t="s">
        <v>144</v>
      </c>
      <c r="L1993" s="0"/>
      <c r="M1993" s="0" t="s">
        <v>8842</v>
      </c>
      <c r="N1993" s="0" t="str">
        <f aca="false">RIGHT(M1993,LEN(M1993)-FIND(" ",M1993))</f>
        <v>NORTH ST NW</v>
      </c>
      <c r="P1993" s="0" t="s">
        <v>146</v>
      </c>
      <c r="Q1993" s="0" t="s">
        <v>147</v>
      </c>
      <c r="R1993" s="0" t="n">
        <v>44483</v>
      </c>
      <c r="AD1993" s="0" t="s">
        <v>148</v>
      </c>
      <c r="AE1993" s="0" t="s">
        <v>149</v>
      </c>
      <c r="AF1993" s="0" t="s">
        <v>150</v>
      </c>
      <c r="AH1993" s="0" t="n">
        <v>14</v>
      </c>
      <c r="AI1993" s="0" t="n">
        <v>11</v>
      </c>
      <c r="AN1993" s="0" t="s">
        <v>146</v>
      </c>
      <c r="AO1993" s="0" t="s">
        <v>151</v>
      </c>
      <c r="AP1993" s="0" t="s">
        <v>152</v>
      </c>
      <c r="AQ1993" s="0" t="n">
        <v>9</v>
      </c>
      <c r="AR1993" s="0" t="n">
        <v>64</v>
      </c>
      <c r="AS1993" s="0" t="n">
        <v>32</v>
      </c>
      <c r="AU1993" s="0" t="n">
        <f aca="false">COUNTA($BA$1972:$EH$1972)</f>
        <v>1</v>
      </c>
      <c r="AV1993" s="0" t="n">
        <f aca="false">COUNTIF($BA$1972:$EH$1972,"D")</f>
        <v>0</v>
      </c>
      <c r="AW1993" s="0" t="n">
        <f aca="false">COUNTIF($BA$1972:$EH$1972,"R")</f>
        <v>0</v>
      </c>
      <c r="AX1993" s="0" t="n">
        <f aca="false"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>0</v>
      </c>
      <c r="AY1993" s="0" t="n">
        <f aca="false">COUNTIF(DU1993:EH1993, "&lt;&gt;")</f>
        <v>0</v>
      </c>
      <c r="AZ1993" s="0" t="n">
        <f aca="false">IF(EH1993&lt;&gt;"",1,0)</f>
        <v>0</v>
      </c>
      <c r="BB1993" s="0" t="s">
        <v>153</v>
      </c>
      <c r="CY1993" s="0" t="s">
        <v>154</v>
      </c>
      <c r="DN1993" s="0" t="s">
        <v>154</v>
      </c>
    </row>
    <row r="1994" customFormat="false" ht="13.8" hidden="true" customHeight="false" outlineLevel="0" collapsed="false">
      <c r="A1994" s="0" t="s">
        <v>8843</v>
      </c>
      <c r="B1994" s="0" t="n">
        <v>78</v>
      </c>
      <c r="C1994" s="0" t="n">
        <v>351108</v>
      </c>
      <c r="D1994" s="0" t="s">
        <v>3326</v>
      </c>
      <c r="E1994" s="0" t="s">
        <v>1481</v>
      </c>
      <c r="F1994" s="0" t="str">
        <f aca="false">CONCATENATE(D1994," ",LEFT(H1994,4),"T=",AU1994,"D=",AV1994,"R=",AW1994,"M=",AX1994,"L=",AY1994,"B=",AZ1994)</f>
        <v>THIGPEN T=25D=2R=2M=0L=0B=0</v>
      </c>
      <c r="G1994" s="0" t="s">
        <v>172</v>
      </c>
      <c r="I1994" s="0" t="s">
        <v>6057</v>
      </c>
      <c r="J1994" s="0" t="s">
        <v>1686</v>
      </c>
      <c r="K1994" s="0" t="s">
        <v>175</v>
      </c>
      <c r="L1994" s="0"/>
      <c r="M1994" s="0" t="s">
        <v>8844</v>
      </c>
      <c r="N1994" s="0" t="str">
        <f aca="false">RIGHT(M1994,LEN(M1994)-FIND(" ",M1994))</f>
        <v>NORTH ST NW</v>
      </c>
      <c r="P1994" s="0" t="s">
        <v>146</v>
      </c>
      <c r="Q1994" s="0" t="s">
        <v>147</v>
      </c>
      <c r="R1994" s="0" t="n">
        <v>44483</v>
      </c>
      <c r="AD1994" s="0" t="s">
        <v>148</v>
      </c>
      <c r="AE1994" s="0" t="s">
        <v>149</v>
      </c>
      <c r="AF1994" s="0" t="s">
        <v>150</v>
      </c>
      <c r="AH1994" s="0" t="n">
        <v>14</v>
      </c>
      <c r="AI1994" s="0" t="n">
        <v>11</v>
      </c>
      <c r="AN1994" s="0" t="s">
        <v>146</v>
      </c>
      <c r="AO1994" s="0" t="s">
        <v>151</v>
      </c>
      <c r="AP1994" s="0" t="s">
        <v>152</v>
      </c>
      <c r="AQ1994" s="0" t="n">
        <v>9</v>
      </c>
      <c r="AR1994" s="0" t="n">
        <v>64</v>
      </c>
      <c r="AS1994" s="0" t="n">
        <v>32</v>
      </c>
      <c r="AU1994" s="0" t="n">
        <f aca="false">COUNTA($BA$1298:$EH$1298)</f>
        <v>25</v>
      </c>
      <c r="AV1994" s="0" t="n">
        <f aca="false">COUNTIF($BA$1298:$EH$1298,"D")</f>
        <v>2</v>
      </c>
      <c r="AW1994" s="0" t="n">
        <f aca="false">COUNTIF($BA$1298:$EH$1298,"R")</f>
        <v>2</v>
      </c>
      <c r="AX1994" s="0" t="n">
        <f aca="false"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>0</v>
      </c>
      <c r="AY1994" s="0" t="n">
        <f aca="false">COUNTIF(DU1994:EH1994, "&lt;&gt;")</f>
        <v>0</v>
      </c>
      <c r="AZ1994" s="0" t="n">
        <f aca="false">IF(EH1994&lt;&gt;"",1,0)</f>
        <v>0</v>
      </c>
      <c r="BB1994" s="0" t="s">
        <v>153</v>
      </c>
      <c r="BY1994" s="0" t="s">
        <v>155</v>
      </c>
      <c r="CA1994" s="0" t="s">
        <v>154</v>
      </c>
      <c r="CK1994" s="0" t="s">
        <v>154</v>
      </c>
      <c r="CN1994" s="0" t="s">
        <v>154</v>
      </c>
      <c r="CP1994" s="0" t="s">
        <v>154</v>
      </c>
      <c r="CV1994" s="0" t="s">
        <v>154</v>
      </c>
      <c r="DC1994" s="0" t="s">
        <v>154</v>
      </c>
      <c r="DN1994" s="0" t="s">
        <v>154</v>
      </c>
    </row>
    <row r="1995" customFormat="false" ht="13.8" hidden="true" customHeight="false" outlineLevel="0" collapsed="false">
      <c r="A1995" s="0" t="s">
        <v>8845</v>
      </c>
      <c r="B1995" s="0" t="n">
        <v>78</v>
      </c>
      <c r="C1995" s="0" t="n">
        <v>399862</v>
      </c>
      <c r="D1995" s="0" t="s">
        <v>7712</v>
      </c>
      <c r="E1995" s="0" t="s">
        <v>2258</v>
      </c>
      <c r="F1995" s="0" t="str">
        <f aca="false">CONCATENATE(D1995," ",LEFT(H1995,4),"T=",AU1995,"D=",AV1995,"R=",AW1995,"M=",AX1995,"L=",AY1995,"B=",AZ1995)</f>
        <v>FOSTER T=1D=0R=0M=0L=0B=0</v>
      </c>
      <c r="I1995" s="0" t="s">
        <v>8846</v>
      </c>
      <c r="J1995" s="0" t="s">
        <v>299</v>
      </c>
      <c r="K1995" s="0" t="s">
        <v>144</v>
      </c>
      <c r="L1995" s="0"/>
      <c r="M1995" s="0" t="s">
        <v>8847</v>
      </c>
      <c r="N1995" s="0" t="str">
        <f aca="false">RIGHT(M1995,LEN(M1995)-FIND(" ",M1995))</f>
        <v>NORTH ST NW</v>
      </c>
      <c r="P1995" s="0" t="s">
        <v>146</v>
      </c>
      <c r="Q1995" s="0" t="s">
        <v>147</v>
      </c>
      <c r="R1995" s="0" t="n">
        <v>44483</v>
      </c>
      <c r="AD1995" s="0" t="s">
        <v>148</v>
      </c>
      <c r="AE1995" s="0" t="s">
        <v>149</v>
      </c>
      <c r="AF1995" s="0" t="s">
        <v>150</v>
      </c>
      <c r="AH1995" s="0" t="n">
        <v>14</v>
      </c>
      <c r="AI1995" s="0" t="n">
        <v>11</v>
      </c>
      <c r="AN1995" s="0" t="s">
        <v>146</v>
      </c>
      <c r="AO1995" s="0" t="s">
        <v>151</v>
      </c>
      <c r="AP1995" s="0" t="s">
        <v>152</v>
      </c>
      <c r="AQ1995" s="0" t="n">
        <v>9</v>
      </c>
      <c r="AR1995" s="0" t="n">
        <v>64</v>
      </c>
      <c r="AS1995" s="0" t="n">
        <v>32</v>
      </c>
      <c r="AU1995" s="0" t="n">
        <f aca="false">COUNTA($BA$1918:$EH$1918)</f>
        <v>1</v>
      </c>
      <c r="AV1995" s="0" t="n">
        <f aca="false">COUNTIF($BA$1918:$EH$1918,"D")</f>
        <v>0</v>
      </c>
      <c r="AW1995" s="0" t="n">
        <f aca="false">COUNTIF($BA$1918:$EH$1918,"R")</f>
        <v>0</v>
      </c>
      <c r="AX1995" s="0" t="n">
        <f aca="false"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>0</v>
      </c>
      <c r="AY1995" s="0" t="n">
        <f aca="false">COUNTIF(DU1995:EH1995, "&lt;&gt;")</f>
        <v>0</v>
      </c>
      <c r="AZ1995" s="0" t="n">
        <f aca="false">IF(EH1995&lt;&gt;"",1,0)</f>
        <v>0</v>
      </c>
      <c r="BB1995" s="0" t="s">
        <v>153</v>
      </c>
      <c r="DC1995" s="0" t="s">
        <v>154</v>
      </c>
    </row>
    <row r="1996" customFormat="false" ht="13.8" hidden="false" customHeight="false" outlineLevel="0" collapsed="false">
      <c r="A1996" s="0" t="s">
        <v>8848</v>
      </c>
      <c r="B1996" s="0" t="n">
        <v>78</v>
      </c>
      <c r="C1996" s="0" t="n">
        <v>182932</v>
      </c>
      <c r="D1996" s="0" t="s">
        <v>8849</v>
      </c>
      <c r="E1996" s="0" t="s">
        <v>629</v>
      </c>
      <c r="F1996" s="0" t="str">
        <f aca="false">CONCATENATE(D1996," ",LEFT(H1996,4),"T=",AU1996,"D=",AV1996,"R=",AW1996,"M=",AX1996,"L=",AY1996,"B=",AZ1996)</f>
        <v>BOLEN T=21D=7R=0M=1L=5B=0</v>
      </c>
      <c r="G1996" s="0" t="s">
        <v>2577</v>
      </c>
      <c r="I1996" s="0" t="s">
        <v>8850</v>
      </c>
      <c r="J1996" s="0" t="s">
        <v>8851</v>
      </c>
      <c r="K1996" s="0" t="s">
        <v>175</v>
      </c>
      <c r="L1996" s="1" t="s">
        <v>176</v>
      </c>
      <c r="M1996" s="0" t="s">
        <v>8852</v>
      </c>
      <c r="N1996" s="0" t="str">
        <f aca="false">RIGHT(M1996,LEN(M1996)-FIND(" ",M1996))</f>
        <v>NORTH ST NW</v>
      </c>
      <c r="P1996" s="0" t="s">
        <v>146</v>
      </c>
      <c r="Q1996" s="0" t="s">
        <v>147</v>
      </c>
      <c r="R1996" s="0" t="n">
        <v>44483</v>
      </c>
      <c r="AD1996" s="0" t="s">
        <v>148</v>
      </c>
      <c r="AE1996" s="0" t="s">
        <v>149</v>
      </c>
      <c r="AF1996" s="0" t="s">
        <v>150</v>
      </c>
      <c r="AH1996" s="0" t="n">
        <v>14</v>
      </c>
      <c r="AI1996" s="0" t="n">
        <v>11</v>
      </c>
      <c r="AN1996" s="0" t="s">
        <v>146</v>
      </c>
      <c r="AO1996" s="0" t="s">
        <v>151</v>
      </c>
      <c r="AP1996" s="0" t="s">
        <v>152</v>
      </c>
      <c r="AQ1996" s="0" t="n">
        <v>9</v>
      </c>
      <c r="AR1996" s="0" t="n">
        <v>64</v>
      </c>
      <c r="AS1996" s="0" t="n">
        <v>32</v>
      </c>
      <c r="AU1996" s="0" t="n">
        <f aca="false">COUNTA($BA$1974:$EH$1974)</f>
        <v>21</v>
      </c>
      <c r="AV1996" s="0" t="n">
        <f aca="false">COUNTIF($BA$1974:$EH$1974,"D")</f>
        <v>7</v>
      </c>
      <c r="AW1996" s="0" t="n">
        <f aca="false">COUNTIF($BA$1974:$EH$1974,"R")</f>
        <v>0</v>
      </c>
      <c r="AX1996" s="0" t="n">
        <f aca="false"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>1</v>
      </c>
      <c r="AY1996" s="0" t="n">
        <f aca="false">COUNTIF(DU1996:EH1996, "&lt;&gt;")</f>
        <v>5</v>
      </c>
      <c r="AZ1996" s="0" t="n">
        <f aca="false">IF(EH1996&lt;&gt;"",1,0)</f>
        <v>0</v>
      </c>
      <c r="BB1996" s="0" t="s">
        <v>153</v>
      </c>
      <c r="BC1996" s="0" t="s">
        <v>154</v>
      </c>
      <c r="BD1996" s="0" t="s">
        <v>154</v>
      </c>
      <c r="BE1996" s="0" t="s">
        <v>154</v>
      </c>
      <c r="BH1996" s="0" t="s">
        <v>154</v>
      </c>
      <c r="BJ1996" s="0" t="s">
        <v>154</v>
      </c>
      <c r="BK1996" s="0" t="s">
        <v>154</v>
      </c>
      <c r="BL1996" s="0" t="s">
        <v>154</v>
      </c>
      <c r="BP1996" s="0" t="s">
        <v>154</v>
      </c>
      <c r="BS1996" s="0" t="s">
        <v>154</v>
      </c>
      <c r="BV1996" s="0" t="s">
        <v>154</v>
      </c>
      <c r="BY1996" s="0" t="s">
        <v>155</v>
      </c>
      <c r="CA1996" s="0" t="s">
        <v>154</v>
      </c>
      <c r="CG1996" s="0" t="s">
        <v>154</v>
      </c>
      <c r="CK1996" s="0" t="s">
        <v>154</v>
      </c>
      <c r="CN1996" s="0" t="s">
        <v>154</v>
      </c>
      <c r="CO1996" s="0" t="s">
        <v>155</v>
      </c>
      <c r="CP1996" s="0" t="s">
        <v>154</v>
      </c>
      <c r="CU1996" s="0" t="s">
        <v>155</v>
      </c>
      <c r="CV1996" s="0" t="s">
        <v>154</v>
      </c>
      <c r="CW1996" s="0" t="s">
        <v>155</v>
      </c>
      <c r="CY1996" s="0" t="s">
        <v>154</v>
      </c>
      <c r="CZ1996" s="0" t="s">
        <v>176</v>
      </c>
      <c r="DC1996" s="0" t="s">
        <v>154</v>
      </c>
      <c r="DI1996" s="0" t="s">
        <v>154</v>
      </c>
      <c r="DM1996" s="0" t="s">
        <v>176</v>
      </c>
      <c r="DN1996" s="0" t="s">
        <v>154</v>
      </c>
      <c r="DS1996" s="0" t="s">
        <v>176</v>
      </c>
      <c r="DU1996" s="0" t="s">
        <v>154</v>
      </c>
      <c r="DX1996" s="0" t="s">
        <v>154</v>
      </c>
      <c r="EA1996" s="0" t="s">
        <v>154</v>
      </c>
      <c r="ED1996" s="0" t="s">
        <v>176</v>
      </c>
      <c r="EF1996" s="0" t="s">
        <v>154</v>
      </c>
    </row>
    <row r="1997" customFormat="false" ht="13.8" hidden="false" customHeight="false" outlineLevel="0" collapsed="false">
      <c r="A1997" s="0" t="s">
        <v>8853</v>
      </c>
      <c r="B1997" s="0" t="n">
        <v>78</v>
      </c>
      <c r="C1997" s="0" t="n">
        <v>466883</v>
      </c>
      <c r="D1997" s="0" t="s">
        <v>8854</v>
      </c>
      <c r="E1997" s="0" t="s">
        <v>4031</v>
      </c>
      <c r="F1997" s="0" t="str">
        <f aca="false">CONCATENATE(D1997," ",LEFT(H1997,4),"T=",AU1997,"D=",AV1997,"R=",AW1997,"M=",AX1997,"L=",AY1997,"B=",AZ1997)</f>
        <v>VANAUGH T=10D=0R=0M=0L=3B=0</v>
      </c>
      <c r="G1997" s="0" t="s">
        <v>139</v>
      </c>
      <c r="I1997" s="0" t="s">
        <v>8314</v>
      </c>
      <c r="J1997" s="0" t="s">
        <v>8855</v>
      </c>
      <c r="K1997" s="0" t="s">
        <v>175</v>
      </c>
      <c r="L1997" s="1" t="s">
        <v>176</v>
      </c>
      <c r="M1997" s="0" t="s">
        <v>8856</v>
      </c>
      <c r="N1997" s="0" t="str">
        <f aca="false">RIGHT(M1997,LEN(M1997)-FIND(" ",M1997))</f>
        <v>NORTH ST NW</v>
      </c>
      <c r="P1997" s="0" t="s">
        <v>146</v>
      </c>
      <c r="Q1997" s="0" t="s">
        <v>147</v>
      </c>
      <c r="R1997" s="0" t="n">
        <v>44483</v>
      </c>
      <c r="AD1997" s="0" t="s">
        <v>148</v>
      </c>
      <c r="AE1997" s="0" t="s">
        <v>149</v>
      </c>
      <c r="AF1997" s="0" t="s">
        <v>150</v>
      </c>
      <c r="AH1997" s="0" t="n">
        <v>14</v>
      </c>
      <c r="AI1997" s="0" t="n">
        <v>11</v>
      </c>
      <c r="AN1997" s="0" t="s">
        <v>146</v>
      </c>
      <c r="AO1997" s="0" t="s">
        <v>151</v>
      </c>
      <c r="AP1997" s="0" t="s">
        <v>152</v>
      </c>
      <c r="AQ1997" s="0" t="n">
        <v>9</v>
      </c>
      <c r="AR1997" s="0" t="n">
        <v>64</v>
      </c>
      <c r="AS1997" s="0" t="n">
        <v>32</v>
      </c>
      <c r="AU1997" s="0" t="n">
        <f aca="false">COUNTA($BA$1303:$EH$1303)</f>
        <v>10</v>
      </c>
      <c r="AV1997" s="0" t="n">
        <f aca="false">COUNTIF($BA$1303:$EH$1303,"D")</f>
        <v>0</v>
      </c>
      <c r="AW1997" s="0" t="n">
        <f aca="false">COUNTIF($BA$1303:$EH$1303,"R")</f>
        <v>0</v>
      </c>
      <c r="AX1997" s="0" t="n">
        <f aca="false"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>0</v>
      </c>
      <c r="AY1997" s="0" t="n">
        <f aca="false">COUNTIF(DU1997:EH1997, "&lt;&gt;")</f>
        <v>3</v>
      </c>
      <c r="AZ1997" s="0" t="n">
        <f aca="false">IF(EH1997&lt;&gt;"",1,0)</f>
        <v>0</v>
      </c>
      <c r="BB1997" s="0" t="s">
        <v>153</v>
      </c>
      <c r="EA1997" s="0" t="s">
        <v>154</v>
      </c>
      <c r="ED1997" s="0" t="s">
        <v>176</v>
      </c>
      <c r="EF1997" s="0" t="s">
        <v>154</v>
      </c>
    </row>
    <row r="1998" customFormat="false" ht="13.8" hidden="false" customHeight="false" outlineLevel="0" collapsed="false">
      <c r="A1998" s="0" t="s">
        <v>8857</v>
      </c>
      <c r="B1998" s="0" t="n">
        <v>78</v>
      </c>
      <c r="C1998" s="0" t="n">
        <v>394409</v>
      </c>
      <c r="D1998" s="0" t="s">
        <v>8854</v>
      </c>
      <c r="E1998" s="0" t="s">
        <v>7321</v>
      </c>
      <c r="F1998" s="0" t="str">
        <f aca="false">CONCATENATE(D1998," ",LEFT(H1998,4),"T=",AU1998,"D=",AV1998,"R=",AW1998,"M=",AX1998,"L=",AY1998,"B=",AZ1998)</f>
        <v>VANAUGH T=3D=0R=0M=1L=4B=0</v>
      </c>
      <c r="G1998" s="0" t="s">
        <v>4117</v>
      </c>
      <c r="I1998" s="0" t="s">
        <v>2797</v>
      </c>
      <c r="J1998" s="0" t="s">
        <v>782</v>
      </c>
      <c r="K1998" s="0" t="s">
        <v>175</v>
      </c>
      <c r="L1998" s="1" t="s">
        <v>155</v>
      </c>
      <c r="M1998" s="0" t="s">
        <v>8856</v>
      </c>
      <c r="N1998" s="0" t="str">
        <f aca="false">RIGHT(M1998,LEN(M1998)-FIND(" ",M1998))</f>
        <v>NORTH ST NW</v>
      </c>
      <c r="P1998" s="0" t="s">
        <v>146</v>
      </c>
      <c r="Q1998" s="0" t="s">
        <v>147</v>
      </c>
      <c r="R1998" s="0" t="n">
        <v>44483</v>
      </c>
      <c r="AD1998" s="0" t="s">
        <v>148</v>
      </c>
      <c r="AE1998" s="0" t="s">
        <v>149</v>
      </c>
      <c r="AF1998" s="0" t="s">
        <v>150</v>
      </c>
      <c r="AH1998" s="0" t="n">
        <v>14</v>
      </c>
      <c r="AI1998" s="0" t="n">
        <v>11</v>
      </c>
      <c r="AN1998" s="0" t="s">
        <v>146</v>
      </c>
      <c r="AO1998" s="0" t="s">
        <v>151</v>
      </c>
      <c r="AP1998" s="0" t="s">
        <v>152</v>
      </c>
      <c r="AQ1998" s="0" t="n">
        <v>9</v>
      </c>
      <c r="AR1998" s="0" t="n">
        <v>64</v>
      </c>
      <c r="AS1998" s="0" t="n">
        <v>32</v>
      </c>
      <c r="AU1998" s="0" t="n">
        <f aca="false">COUNTA($BA$1531:$EH$1531)</f>
        <v>3</v>
      </c>
      <c r="AV1998" s="0" t="n">
        <f aca="false">COUNTIF($BA$1531:$EH$1531,"D")</f>
        <v>0</v>
      </c>
      <c r="AW1998" s="0" t="n">
        <f aca="false">COUNTIF($BA$1531:$EH$1531,"R")</f>
        <v>0</v>
      </c>
      <c r="AX1998" s="0" t="n">
        <f aca="false"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>1</v>
      </c>
      <c r="AY1998" s="0" t="n">
        <f aca="false">COUNTIF(DU1998:EH1998, "&lt;&gt;")</f>
        <v>4</v>
      </c>
      <c r="AZ1998" s="0" t="n">
        <f aca="false">IF(EH1998&lt;&gt;"",1,0)</f>
        <v>0</v>
      </c>
      <c r="BB1998" s="0" t="s">
        <v>153</v>
      </c>
      <c r="CV1998" s="0" t="s">
        <v>154</v>
      </c>
      <c r="CY1998" s="0" t="s">
        <v>154</v>
      </c>
      <c r="CZ1998" s="0" t="s">
        <v>155</v>
      </c>
      <c r="DC1998" s="0" t="s">
        <v>154</v>
      </c>
      <c r="DD1998" s="0" t="s">
        <v>155</v>
      </c>
      <c r="DG1998" s="0" t="s">
        <v>155</v>
      </c>
      <c r="DI1998" s="0" t="s">
        <v>154</v>
      </c>
      <c r="DM1998" s="0" t="s">
        <v>155</v>
      </c>
      <c r="DN1998" s="0" t="s">
        <v>154</v>
      </c>
      <c r="DU1998" s="0" t="s">
        <v>154</v>
      </c>
      <c r="EA1998" s="0" t="s">
        <v>154</v>
      </c>
      <c r="ED1998" s="0" t="s">
        <v>155</v>
      </c>
      <c r="EF1998" s="0" t="s">
        <v>154</v>
      </c>
    </row>
    <row r="1999" customFormat="false" ht="13.8" hidden="true" customHeight="false" outlineLevel="0" collapsed="false">
      <c r="A1999" s="0" t="s">
        <v>8858</v>
      </c>
      <c r="B1999" s="0" t="n">
        <v>78</v>
      </c>
      <c r="C1999" s="0" t="n">
        <v>427356</v>
      </c>
      <c r="D1999" s="0" t="s">
        <v>8859</v>
      </c>
      <c r="E1999" s="0" t="s">
        <v>8860</v>
      </c>
      <c r="F1999" s="0" t="str">
        <f aca="false">CONCATENATE(D1999," ",LEFT(H1999,4),"T=",AU1999,"D=",AV1999,"R=",AW1999,"M=",AX1999,"L=",AY1999,"B=",AZ1999)</f>
        <v>SLEDGE T=8D=1R=0M=0L=1B=0</v>
      </c>
      <c r="G1999" s="0" t="s">
        <v>8861</v>
      </c>
      <c r="I1999" s="0" t="s">
        <v>8862</v>
      </c>
      <c r="J1999" s="0" t="s">
        <v>712</v>
      </c>
      <c r="K1999" s="0" t="s">
        <v>175</v>
      </c>
      <c r="L1999" s="0"/>
      <c r="M1999" s="0" t="s">
        <v>8863</v>
      </c>
      <c r="N1999" s="0" t="str">
        <f aca="false">RIGHT(M1999,LEN(M1999)-FIND(" ",M1999))</f>
        <v>NORTH ST NW</v>
      </c>
      <c r="P1999" s="0" t="s">
        <v>146</v>
      </c>
      <c r="Q1999" s="0" t="s">
        <v>147</v>
      </c>
      <c r="R1999" s="0" t="n">
        <v>44483</v>
      </c>
      <c r="AD1999" s="0" t="s">
        <v>148</v>
      </c>
      <c r="AE1999" s="0" t="s">
        <v>149</v>
      </c>
      <c r="AF1999" s="0" t="s">
        <v>150</v>
      </c>
      <c r="AH1999" s="0" t="n">
        <v>14</v>
      </c>
      <c r="AI1999" s="0" t="n">
        <v>11</v>
      </c>
      <c r="AN1999" s="0" t="s">
        <v>146</v>
      </c>
      <c r="AO1999" s="0" t="s">
        <v>151</v>
      </c>
      <c r="AP1999" s="0" t="s">
        <v>152</v>
      </c>
      <c r="AQ1999" s="0" t="n">
        <v>9</v>
      </c>
      <c r="AR1999" s="0" t="n">
        <v>64</v>
      </c>
      <c r="AS1999" s="0" t="n">
        <v>32</v>
      </c>
      <c r="AU1999" s="0" t="n">
        <f aca="false">COUNTA($BA$1288:$EH$1288)</f>
        <v>8</v>
      </c>
      <c r="AV1999" s="0" t="n">
        <f aca="false">COUNTIF($BA$1288:$EH$1288,"D")</f>
        <v>1</v>
      </c>
      <c r="AW1999" s="0" t="n">
        <f aca="false">COUNTIF($BA$1288:$EH$1288,"R")</f>
        <v>0</v>
      </c>
      <c r="AX1999" s="0" t="n">
        <f aca="false"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>0</v>
      </c>
      <c r="AY1999" s="0" t="n">
        <f aca="false">COUNTIF(DU1999:EH1999, "&lt;&gt;")</f>
        <v>1</v>
      </c>
      <c r="AZ1999" s="0" t="n">
        <f aca="false">IF(EH1999&lt;&gt;"",1,0)</f>
        <v>0</v>
      </c>
      <c r="BB1999" s="0" t="s">
        <v>153</v>
      </c>
      <c r="DN1999" s="0" t="s">
        <v>154</v>
      </c>
      <c r="EF1999" s="0" t="s">
        <v>154</v>
      </c>
    </row>
    <row r="2000" customFormat="false" ht="13.8" hidden="false" customHeight="false" outlineLevel="0" collapsed="false">
      <c r="A2000" s="0" t="s">
        <v>8864</v>
      </c>
      <c r="B2000" s="0" t="n">
        <v>78</v>
      </c>
      <c r="C2000" s="0" t="n">
        <v>303330</v>
      </c>
      <c r="D2000" s="0" t="s">
        <v>8859</v>
      </c>
      <c r="E2000" s="0" t="s">
        <v>8865</v>
      </c>
      <c r="F2000" s="0" t="str">
        <f aca="false">CONCATENATE(D2000," ",LEFT(H2000,4),"T=",AU2000,"D=",AV2000,"R=",AW2000,"M=",AX2000,"L=",AY2000,"B=",AZ2000)</f>
        <v>SLEDGE T=14D=2R=0M=0L=2B=0</v>
      </c>
      <c r="G2000" s="0" t="s">
        <v>202</v>
      </c>
      <c r="I2000" s="0" t="s">
        <v>8866</v>
      </c>
      <c r="J2000" s="0" t="s">
        <v>712</v>
      </c>
      <c r="K2000" s="0" t="s">
        <v>175</v>
      </c>
      <c r="M2000" s="0" t="s">
        <v>8863</v>
      </c>
      <c r="N2000" s="0" t="str">
        <f aca="false">RIGHT(M2000,LEN(M2000)-FIND(" ",M2000))</f>
        <v>NORTH ST NW</v>
      </c>
      <c r="P2000" s="0" t="s">
        <v>146</v>
      </c>
      <c r="Q2000" s="0" t="s">
        <v>147</v>
      </c>
      <c r="R2000" s="0" t="n">
        <v>44483</v>
      </c>
      <c r="AD2000" s="0" t="s">
        <v>148</v>
      </c>
      <c r="AE2000" s="0" t="s">
        <v>149</v>
      </c>
      <c r="AF2000" s="0" t="s">
        <v>150</v>
      </c>
      <c r="AH2000" s="0" t="n">
        <v>14</v>
      </c>
      <c r="AI2000" s="0" t="n">
        <v>11</v>
      </c>
      <c r="AN2000" s="0" t="s">
        <v>146</v>
      </c>
      <c r="AO2000" s="0" t="s">
        <v>151</v>
      </c>
      <c r="AP2000" s="0" t="s">
        <v>152</v>
      </c>
      <c r="AQ2000" s="0" t="n">
        <v>9</v>
      </c>
      <c r="AR2000" s="0" t="n">
        <v>64</v>
      </c>
      <c r="AS2000" s="0" t="n">
        <v>32</v>
      </c>
      <c r="AU2000" s="0" t="n">
        <f aca="false">COUNTA($BA$1305:$EH$1305)</f>
        <v>14</v>
      </c>
      <c r="AV2000" s="0" t="n">
        <f aca="false">COUNTIF($BA$1305:$EH$1305,"D")</f>
        <v>2</v>
      </c>
      <c r="AW2000" s="0" t="n">
        <f aca="false">COUNTIF($BA$1305:$EH$1305,"R")</f>
        <v>0</v>
      </c>
      <c r="AX2000" s="0" t="n">
        <f aca="false"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>0</v>
      </c>
      <c r="AY2000" s="0" t="n">
        <f aca="false">COUNTIF(DU2000:EH2000, "&lt;&gt;")</f>
        <v>2</v>
      </c>
      <c r="AZ2000" s="0" t="n">
        <f aca="false">IF(EH2000&lt;&gt;"",1,0)</f>
        <v>0</v>
      </c>
      <c r="BB2000" s="0" t="s">
        <v>153</v>
      </c>
      <c r="BL2000" s="0" t="s">
        <v>154</v>
      </c>
      <c r="BY2000" s="0" t="s">
        <v>155</v>
      </c>
      <c r="CA2000" s="0" t="s">
        <v>154</v>
      </c>
      <c r="CN2000" s="0" t="s">
        <v>154</v>
      </c>
      <c r="CP2000" s="0" t="s">
        <v>154</v>
      </c>
      <c r="CY2000" s="0" t="s">
        <v>154</v>
      </c>
      <c r="CZ2000" s="0" t="s">
        <v>155</v>
      </c>
      <c r="DC2000" s="0" t="s">
        <v>154</v>
      </c>
      <c r="DN2000" s="0" t="s">
        <v>154</v>
      </c>
      <c r="EA2000" s="0" t="s">
        <v>154</v>
      </c>
      <c r="EF2000" s="0" t="s">
        <v>154</v>
      </c>
    </row>
    <row r="2001" customFormat="false" ht="13.8" hidden="true" customHeight="false" outlineLevel="0" collapsed="false">
      <c r="A2001" s="0" t="s">
        <v>8867</v>
      </c>
      <c r="B2001" s="0" t="n">
        <v>78</v>
      </c>
      <c r="C2001" s="0" t="n">
        <v>429867</v>
      </c>
      <c r="D2001" s="0" t="s">
        <v>8868</v>
      </c>
      <c r="E2001" s="0" t="s">
        <v>698</v>
      </c>
      <c r="F2001" s="0" t="str">
        <f aca="false">CONCATENATE(D2001," ",LEFT(H2001,4),"T=",AU2001,"D=",AV2001,"R=",AW2001,"M=",AX2001,"L=",AY2001,"B=",AZ2001)</f>
        <v>WAGEN T=6D=0R=0M=0L=0B=0</v>
      </c>
      <c r="G2001" s="0" t="s">
        <v>771</v>
      </c>
      <c r="I2001" s="0" t="s">
        <v>8869</v>
      </c>
      <c r="J2001" s="0" t="s">
        <v>8870</v>
      </c>
      <c r="K2001" s="0" t="s">
        <v>144</v>
      </c>
      <c r="L2001" s="0"/>
      <c r="M2001" s="0" t="s">
        <v>8863</v>
      </c>
      <c r="N2001" s="0" t="str">
        <f aca="false">RIGHT(M2001,LEN(M2001)-FIND(" ",M2001))</f>
        <v>NORTH ST NW</v>
      </c>
      <c r="P2001" s="0" t="s">
        <v>146</v>
      </c>
      <c r="Q2001" s="0" t="s">
        <v>147</v>
      </c>
      <c r="R2001" s="0" t="n">
        <v>44483</v>
      </c>
      <c r="AD2001" s="0" t="s">
        <v>148</v>
      </c>
      <c r="AE2001" s="0" t="s">
        <v>149</v>
      </c>
      <c r="AF2001" s="0" t="s">
        <v>150</v>
      </c>
      <c r="AH2001" s="0" t="n">
        <v>14</v>
      </c>
      <c r="AI2001" s="0" t="n">
        <v>11</v>
      </c>
      <c r="AN2001" s="0" t="s">
        <v>146</v>
      </c>
      <c r="AO2001" s="0" t="s">
        <v>151</v>
      </c>
      <c r="AP2001" s="0" t="s">
        <v>152</v>
      </c>
      <c r="AQ2001" s="0" t="n">
        <v>9</v>
      </c>
      <c r="AR2001" s="0" t="n">
        <v>64</v>
      </c>
      <c r="AS2001" s="0" t="n">
        <v>32</v>
      </c>
      <c r="AU2001" s="0" t="n">
        <f aca="false">COUNTA($BA$1556:$EH$1556)</f>
        <v>6</v>
      </c>
      <c r="AV2001" s="0" t="n">
        <f aca="false">COUNTIF($BA$1556:$EH$1556,"D")</f>
        <v>0</v>
      </c>
      <c r="AW2001" s="0" t="n">
        <f aca="false">COUNTIF($BA$1556:$EH$1556,"R")</f>
        <v>0</v>
      </c>
      <c r="AX2001" s="0" t="n">
        <f aca="false"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>0</v>
      </c>
      <c r="AY2001" s="0" t="n">
        <f aca="false">COUNTIF(DU2001:EH2001, "&lt;&gt;")</f>
        <v>0</v>
      </c>
      <c r="AZ2001" s="0" t="n">
        <f aca="false">IF(EH2001&lt;&gt;"",1,0)</f>
        <v>0</v>
      </c>
      <c r="BB2001" s="0" t="s">
        <v>153</v>
      </c>
    </row>
    <row r="2002" customFormat="false" ht="13.8" hidden="true" customHeight="false" outlineLevel="0" collapsed="false">
      <c r="A2002" s="0" t="s">
        <v>8871</v>
      </c>
      <c r="B2002" s="0" t="n">
        <v>78</v>
      </c>
      <c r="C2002" s="0" t="n">
        <v>452534</v>
      </c>
      <c r="D2002" s="0" t="s">
        <v>8872</v>
      </c>
      <c r="E2002" s="0" t="s">
        <v>5462</v>
      </c>
      <c r="F2002" s="0" t="str">
        <f aca="false">CONCATENATE(D2002," ",LEFT(H2002,4),"T=",AU2002,"D=",AV2002,"R=",AW2002,"M=",AX2002,"L=",AY2002,"B=",AZ2002)</f>
        <v>HICKS T=1D=0R=0M=0L=1B=0</v>
      </c>
      <c r="I2002" s="0" t="s">
        <v>8873</v>
      </c>
      <c r="J2002" s="0" t="s">
        <v>4876</v>
      </c>
      <c r="K2002" s="0" t="s">
        <v>175</v>
      </c>
      <c r="L2002" s="0"/>
      <c r="M2002" s="0" t="s">
        <v>8863</v>
      </c>
      <c r="N2002" s="0" t="str">
        <f aca="false">RIGHT(M2002,LEN(M2002)-FIND(" ",M2002))</f>
        <v>NORTH ST NW</v>
      </c>
      <c r="P2002" s="0" t="s">
        <v>146</v>
      </c>
      <c r="Q2002" s="0" t="s">
        <v>147</v>
      </c>
      <c r="R2002" s="0" t="n">
        <v>44483</v>
      </c>
      <c r="AD2002" s="0" t="s">
        <v>148</v>
      </c>
      <c r="AE2002" s="0" t="s">
        <v>149</v>
      </c>
      <c r="AF2002" s="0" t="s">
        <v>150</v>
      </c>
      <c r="AH2002" s="0" t="n">
        <v>14</v>
      </c>
      <c r="AI2002" s="0" t="n">
        <v>11</v>
      </c>
      <c r="AN2002" s="0" t="s">
        <v>146</v>
      </c>
      <c r="AO2002" s="0" t="s">
        <v>151</v>
      </c>
      <c r="AP2002" s="0" t="s">
        <v>152</v>
      </c>
      <c r="AQ2002" s="0" t="n">
        <v>9</v>
      </c>
      <c r="AR2002" s="0" t="n">
        <v>64</v>
      </c>
      <c r="AS2002" s="0" t="n">
        <v>32</v>
      </c>
      <c r="AU2002" s="0" t="n">
        <f aca="false">COUNTA($BA$1914:$EH$1914)</f>
        <v>1</v>
      </c>
      <c r="AV2002" s="0" t="n">
        <f aca="false">COUNTIF($BA$1914:$EH$1914,"D")</f>
        <v>0</v>
      </c>
      <c r="AW2002" s="0" t="n">
        <f aca="false">COUNTIF($BA$1914:$EH$1914,"R")</f>
        <v>0</v>
      </c>
      <c r="AX2002" s="0" t="n">
        <f aca="false"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>0</v>
      </c>
      <c r="AY2002" s="0" t="n">
        <f aca="false">COUNTIF(DU2002:EH2002, "&lt;&gt;")</f>
        <v>1</v>
      </c>
      <c r="AZ2002" s="0" t="n">
        <f aca="false">IF(EH2002&lt;&gt;"",1,0)</f>
        <v>0</v>
      </c>
      <c r="BB2002" s="0" t="s">
        <v>153</v>
      </c>
      <c r="BY2002" s="0" t="s">
        <v>154</v>
      </c>
      <c r="CA2002" s="0" t="s">
        <v>154</v>
      </c>
      <c r="DN2002" s="0" t="s">
        <v>154</v>
      </c>
      <c r="EF2002" s="0" t="s">
        <v>154</v>
      </c>
    </row>
    <row r="2003" customFormat="false" ht="13.8" hidden="true" customHeight="false" outlineLevel="0" collapsed="false">
      <c r="A2003" s="0" t="s">
        <v>8874</v>
      </c>
      <c r="B2003" s="0" t="n">
        <v>78</v>
      </c>
      <c r="C2003" s="0" t="n">
        <v>461156</v>
      </c>
      <c r="D2003" s="0" t="s">
        <v>1549</v>
      </c>
      <c r="E2003" s="0" t="s">
        <v>583</v>
      </c>
      <c r="F2003" s="0" t="str">
        <f aca="false">CONCATENATE(D2003," ",LEFT(H2003,4),"T=",AU2003,"D=",AV2003,"R=",AW2003,"M=",AX2003,"L=",AY2003,"B=",AZ2003)</f>
        <v>WILSON T=1D=0R=0M=0L=0B=0</v>
      </c>
      <c r="G2003" s="0" t="s">
        <v>750</v>
      </c>
      <c r="I2003" s="0" t="s">
        <v>8875</v>
      </c>
      <c r="J2003" s="0" t="s">
        <v>8876</v>
      </c>
      <c r="K2003" s="0" t="s">
        <v>144</v>
      </c>
      <c r="L2003" s="0"/>
      <c r="M2003" s="0" t="s">
        <v>8877</v>
      </c>
      <c r="N2003" s="0" t="str">
        <f aca="false">RIGHT(M2003,LEN(M2003)-FIND(" ",M2003))</f>
        <v>NORTH ST NW</v>
      </c>
      <c r="P2003" s="0" t="s">
        <v>146</v>
      </c>
      <c r="Q2003" s="0" t="s">
        <v>147</v>
      </c>
      <c r="R2003" s="0" t="n">
        <v>44483</v>
      </c>
      <c r="AD2003" s="0" t="s">
        <v>148</v>
      </c>
      <c r="AE2003" s="0" t="s">
        <v>149</v>
      </c>
      <c r="AF2003" s="0" t="s">
        <v>150</v>
      </c>
      <c r="AH2003" s="0" t="n">
        <v>14</v>
      </c>
      <c r="AI2003" s="0" t="n">
        <v>11</v>
      </c>
      <c r="AN2003" s="0" t="s">
        <v>146</v>
      </c>
      <c r="AO2003" s="0" t="s">
        <v>151</v>
      </c>
      <c r="AP2003" s="0" t="s">
        <v>152</v>
      </c>
      <c r="AQ2003" s="0" t="n">
        <v>9</v>
      </c>
      <c r="AR2003" s="0" t="n">
        <v>64</v>
      </c>
      <c r="AS2003" s="0" t="n">
        <v>32</v>
      </c>
      <c r="AU2003" s="0" t="n">
        <f aca="false">COUNTA($BA$1689:$EH$1689)</f>
        <v>1</v>
      </c>
      <c r="AV2003" s="0" t="n">
        <f aca="false">COUNTIF($BA$1689:$EH$1689,"D")</f>
        <v>0</v>
      </c>
      <c r="AW2003" s="0" t="n">
        <f aca="false">COUNTIF($BA$1689:$EH$1689,"R")</f>
        <v>0</v>
      </c>
      <c r="AX2003" s="0" t="n">
        <f aca="false"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>0</v>
      </c>
      <c r="AY2003" s="0" t="n">
        <f aca="false">COUNTIF(DU2003:EH2003, "&lt;&gt;")</f>
        <v>0</v>
      </c>
      <c r="AZ2003" s="0" t="n">
        <f aca="false">IF(EH2003&lt;&gt;"",1,0)</f>
        <v>0</v>
      </c>
      <c r="BB2003" s="0" t="s">
        <v>153</v>
      </c>
    </row>
    <row r="2004" customFormat="false" ht="13.8" hidden="true" customHeight="false" outlineLevel="0" collapsed="false">
      <c r="A2004" s="0" t="s">
        <v>8878</v>
      </c>
      <c r="B2004" s="0" t="n">
        <v>78</v>
      </c>
      <c r="C2004" s="0" t="n">
        <v>461666</v>
      </c>
      <c r="D2004" s="0" t="s">
        <v>1549</v>
      </c>
      <c r="E2004" s="0" t="s">
        <v>495</v>
      </c>
      <c r="F2004" s="0" t="str">
        <f aca="false">CONCATENATE(D2004," ",LEFT(H2004,4),"T=",AU2004,"D=",AV2004,"R=",AW2004,"M=",AX2004,"L=",AY2004,"B=",AZ2004)</f>
        <v>WILSON T=2D=0R=0M=0L=0B=0</v>
      </c>
      <c r="G2004" s="0" t="s">
        <v>761</v>
      </c>
      <c r="I2004" s="0" t="s">
        <v>7761</v>
      </c>
      <c r="J2004" s="0" t="s">
        <v>8879</v>
      </c>
      <c r="K2004" s="0" t="s">
        <v>144</v>
      </c>
      <c r="L2004" s="0"/>
      <c r="M2004" s="0" t="s">
        <v>8877</v>
      </c>
      <c r="N2004" s="0" t="str">
        <f aca="false">RIGHT(M2004,LEN(M2004)-FIND(" ",M2004))</f>
        <v>NORTH ST NW</v>
      </c>
      <c r="P2004" s="0" t="s">
        <v>146</v>
      </c>
      <c r="Q2004" s="0" t="s">
        <v>147</v>
      </c>
      <c r="R2004" s="0" t="n">
        <v>44483</v>
      </c>
      <c r="AD2004" s="0" t="s">
        <v>148</v>
      </c>
      <c r="AE2004" s="0" t="s">
        <v>149</v>
      </c>
      <c r="AF2004" s="0" t="s">
        <v>150</v>
      </c>
      <c r="AH2004" s="0" t="n">
        <v>14</v>
      </c>
      <c r="AI2004" s="0" t="n">
        <v>11</v>
      </c>
      <c r="AN2004" s="0" t="s">
        <v>146</v>
      </c>
      <c r="AO2004" s="0" t="s">
        <v>151</v>
      </c>
      <c r="AP2004" s="0" t="s">
        <v>152</v>
      </c>
      <c r="AQ2004" s="0" t="n">
        <v>9</v>
      </c>
      <c r="AR2004" s="0" t="n">
        <v>64</v>
      </c>
      <c r="AS2004" s="0" t="n">
        <v>32</v>
      </c>
      <c r="AU2004" s="0" t="n">
        <f aca="false">COUNTA($BA$1837:$EH$1837)</f>
        <v>2</v>
      </c>
      <c r="AV2004" s="0" t="n">
        <f aca="false">COUNTIF($BA$1837:$EH$1837,"D")</f>
        <v>0</v>
      </c>
      <c r="AW2004" s="0" t="n">
        <f aca="false">COUNTIF($BA$1837:$EH$1837,"R")</f>
        <v>0</v>
      </c>
      <c r="AX2004" s="0" t="n">
        <f aca="false"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>0</v>
      </c>
      <c r="AY2004" s="0" t="n">
        <f aca="false">COUNTIF(DU2004:EH2004, "&lt;&gt;")</f>
        <v>0</v>
      </c>
      <c r="AZ2004" s="0" t="n">
        <f aca="false">IF(EH2004&lt;&gt;"",1,0)</f>
        <v>0</v>
      </c>
      <c r="BB2004" s="0" t="s">
        <v>153</v>
      </c>
    </row>
    <row r="2005" customFormat="false" ht="13.8" hidden="true" customHeight="false" outlineLevel="0" collapsed="false">
      <c r="A2005" s="0" t="s">
        <v>8880</v>
      </c>
      <c r="B2005" s="0" t="n">
        <v>78</v>
      </c>
      <c r="C2005" s="0" t="n">
        <v>365233</v>
      </c>
      <c r="D2005" s="0" t="s">
        <v>762</v>
      </c>
      <c r="E2005" s="0" t="s">
        <v>8881</v>
      </c>
      <c r="F2005" s="0" t="str">
        <f aca="false">CONCATENATE(D2005," ",LEFT(H2005,4),"T=",AU2005,"D=",AV2005,"R=",AW2005,"M=",AX2005,"L=",AY2005,"B=",AZ2005)</f>
        <v>ISAAC T=3D=0R=0M=0L=0B=0</v>
      </c>
      <c r="G2005" s="0" t="s">
        <v>8882</v>
      </c>
      <c r="I2005" s="0" t="s">
        <v>8883</v>
      </c>
      <c r="J2005" s="0" t="s">
        <v>8884</v>
      </c>
      <c r="K2005" s="0" t="s">
        <v>175</v>
      </c>
      <c r="L2005" s="0"/>
      <c r="M2005" s="0" t="s">
        <v>8885</v>
      </c>
      <c r="N2005" s="0" t="str">
        <f aca="false">RIGHT(M2005,LEN(M2005)-FIND(" ",M2005))</f>
        <v>NORTH ST NW</v>
      </c>
      <c r="P2005" s="0" t="s">
        <v>146</v>
      </c>
      <c r="Q2005" s="0" t="s">
        <v>147</v>
      </c>
      <c r="R2005" s="0" t="n">
        <v>44483</v>
      </c>
      <c r="AD2005" s="0" t="s">
        <v>148</v>
      </c>
      <c r="AE2005" s="0" t="s">
        <v>149</v>
      </c>
      <c r="AF2005" s="0" t="s">
        <v>150</v>
      </c>
      <c r="AH2005" s="0" t="n">
        <v>14</v>
      </c>
      <c r="AI2005" s="0" t="n">
        <v>11</v>
      </c>
      <c r="AN2005" s="0" t="s">
        <v>146</v>
      </c>
      <c r="AO2005" s="0" t="s">
        <v>151</v>
      </c>
      <c r="AP2005" s="0" t="s">
        <v>152</v>
      </c>
      <c r="AQ2005" s="0" t="n">
        <v>9</v>
      </c>
      <c r="AR2005" s="0" t="n">
        <v>64</v>
      </c>
      <c r="AS2005" s="0" t="n">
        <v>32</v>
      </c>
      <c r="AU2005" s="0" t="n">
        <f aca="false">COUNTA($BA$1374:$EH$1374)</f>
        <v>3</v>
      </c>
      <c r="AV2005" s="0" t="n">
        <f aca="false">COUNTIF($BA$1374:$EH$1374,"D")</f>
        <v>0</v>
      </c>
      <c r="AW2005" s="0" t="n">
        <f aca="false">COUNTIF($BA$1374:$EH$1374,"R")</f>
        <v>0</v>
      </c>
      <c r="AX2005" s="0" t="n">
        <f aca="false"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>0</v>
      </c>
      <c r="AY2005" s="0" t="n">
        <f aca="false">COUNTIF(DU2005:EH2005, "&lt;&gt;")</f>
        <v>0</v>
      </c>
      <c r="AZ2005" s="0" t="n">
        <f aca="false">IF(EH2005&lt;&gt;"",1,0)</f>
        <v>0</v>
      </c>
      <c r="BB2005" s="0" t="s">
        <v>153</v>
      </c>
      <c r="CN2005" s="0" t="s">
        <v>154</v>
      </c>
    </row>
    <row r="2006" customFormat="false" ht="13.8" hidden="true" customHeight="false" outlineLevel="0" collapsed="false">
      <c r="A2006" s="0" t="s">
        <v>8886</v>
      </c>
      <c r="B2006" s="0" t="n">
        <v>78</v>
      </c>
      <c r="C2006" s="0" t="n">
        <v>485400</v>
      </c>
      <c r="D2006" s="0" t="s">
        <v>762</v>
      </c>
      <c r="E2006" s="0" t="s">
        <v>8887</v>
      </c>
      <c r="F2006" s="0" t="str">
        <f aca="false">CONCATENATE(D2006," ",LEFT(H2006,4),"T=",AU2006,"D=",AV2006,"R=",AW2006,"M=",AX2006,"L=",AY2006,"B=",AZ2006)</f>
        <v>ISAAC T=1D=0R=0M=0L=1B=0</v>
      </c>
      <c r="G2006" s="0" t="s">
        <v>690</v>
      </c>
      <c r="I2006" s="0" t="s">
        <v>1982</v>
      </c>
      <c r="J2006" s="0" t="s">
        <v>8888</v>
      </c>
      <c r="K2006" s="0" t="s">
        <v>175</v>
      </c>
      <c r="L2006" s="0"/>
      <c r="M2006" s="0" t="s">
        <v>8885</v>
      </c>
      <c r="N2006" s="0" t="str">
        <f aca="false">RIGHT(M2006,LEN(M2006)-FIND(" ",M2006))</f>
        <v>NORTH ST NW</v>
      </c>
      <c r="P2006" s="0" t="s">
        <v>146</v>
      </c>
      <c r="Q2006" s="0" t="s">
        <v>147</v>
      </c>
      <c r="R2006" s="0" t="n">
        <v>44483</v>
      </c>
      <c r="AD2006" s="0" t="s">
        <v>148</v>
      </c>
      <c r="AE2006" s="0" t="s">
        <v>149</v>
      </c>
      <c r="AF2006" s="0" t="s">
        <v>150</v>
      </c>
      <c r="AH2006" s="0" t="n">
        <v>14</v>
      </c>
      <c r="AI2006" s="0" t="n">
        <v>11</v>
      </c>
      <c r="AN2006" s="0" t="s">
        <v>146</v>
      </c>
      <c r="AO2006" s="0" t="s">
        <v>151</v>
      </c>
      <c r="AP2006" s="0" t="s">
        <v>152</v>
      </c>
      <c r="AQ2006" s="0" t="n">
        <v>9</v>
      </c>
      <c r="AR2006" s="0" t="n">
        <v>64</v>
      </c>
      <c r="AS2006" s="0" t="n">
        <v>32</v>
      </c>
      <c r="AU2006" s="0" t="n">
        <f aca="false">COUNTA($BA$2040:$EH$2040)</f>
        <v>1</v>
      </c>
      <c r="AV2006" s="0" t="n">
        <f aca="false">COUNTIF($BA$2040:$EH$2040,"D")</f>
        <v>0</v>
      </c>
      <c r="AW2006" s="0" t="n">
        <f aca="false">COUNTIF($BA$2040:$EH$2040,"R")</f>
        <v>0</v>
      </c>
      <c r="AX2006" s="0" t="n">
        <f aca="false"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>0</v>
      </c>
      <c r="AY2006" s="0" t="n">
        <f aca="false">COUNTIF(DU2006:EH2006, "&lt;&gt;")</f>
        <v>1</v>
      </c>
      <c r="AZ2006" s="0" t="n">
        <f aca="false">IF(EH2006&lt;&gt;"",1,0)</f>
        <v>0</v>
      </c>
      <c r="BB2006" s="0" t="s">
        <v>153</v>
      </c>
      <c r="EF2006" s="0" t="s">
        <v>154</v>
      </c>
    </row>
    <row r="2007" customFormat="false" ht="13.8" hidden="true" customHeight="false" outlineLevel="0" collapsed="false">
      <c r="A2007" s="0" t="s">
        <v>8889</v>
      </c>
      <c r="B2007" s="0" t="n">
        <v>78</v>
      </c>
      <c r="C2007" s="0" t="n">
        <v>442873</v>
      </c>
      <c r="D2007" s="0" t="s">
        <v>8890</v>
      </c>
      <c r="E2007" s="0" t="s">
        <v>5184</v>
      </c>
      <c r="F2007" s="0" t="str">
        <f aca="false">CONCATENATE(D2007," ",LEFT(H2007,4),"T=",AU2007,"D=",AV2007,"R=",AW2007,"M=",AX2007,"L=",AY2007,"B=",AZ2007)</f>
        <v>REDMOND T=49D=17R=0M=0L=0B=0</v>
      </c>
      <c r="G2007" s="0" t="s">
        <v>176</v>
      </c>
      <c r="I2007" s="0" t="s">
        <v>8891</v>
      </c>
      <c r="J2007" s="0" t="s">
        <v>8892</v>
      </c>
      <c r="K2007" s="0" t="s">
        <v>175</v>
      </c>
      <c r="L2007" s="0"/>
      <c r="M2007" s="0" t="s">
        <v>8893</v>
      </c>
      <c r="N2007" s="0" t="str">
        <f aca="false">RIGHT(M2007,LEN(M2007)-FIND(" ",M2007))</f>
        <v>NORTH ST NW</v>
      </c>
      <c r="P2007" s="0" t="s">
        <v>146</v>
      </c>
      <c r="Q2007" s="0" t="s">
        <v>147</v>
      </c>
      <c r="R2007" s="0" t="n">
        <v>44483</v>
      </c>
      <c r="AD2007" s="0" t="s">
        <v>148</v>
      </c>
      <c r="AE2007" s="0" t="s">
        <v>149</v>
      </c>
      <c r="AF2007" s="0" t="s">
        <v>150</v>
      </c>
      <c r="AH2007" s="0" t="n">
        <v>14</v>
      </c>
      <c r="AI2007" s="0" t="n">
        <v>11</v>
      </c>
      <c r="AN2007" s="0" t="s">
        <v>146</v>
      </c>
      <c r="AO2007" s="0" t="s">
        <v>151</v>
      </c>
      <c r="AP2007" s="0" t="s">
        <v>152</v>
      </c>
      <c r="AQ2007" s="0" t="n">
        <v>9</v>
      </c>
      <c r="AR2007" s="0" t="n">
        <v>64</v>
      </c>
      <c r="AS2007" s="0" t="n">
        <v>32</v>
      </c>
      <c r="AU2007" s="0" t="n">
        <f aca="false">COUNTA($BA$1740:$EH$1740)</f>
        <v>49</v>
      </c>
      <c r="AV2007" s="0" t="n">
        <f aca="false">COUNTIF($BA$1740:$EH$1740,"D")</f>
        <v>17</v>
      </c>
      <c r="AW2007" s="0" t="n">
        <f aca="false">COUNTIF($BA$1740:$EH$1740,"R")</f>
        <v>0</v>
      </c>
      <c r="AX2007" s="0" t="n">
        <f aca="false"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>0</v>
      </c>
      <c r="AY2007" s="0" t="n">
        <f aca="false">COUNTIF(DU2007:EH2007, "&lt;&gt;")</f>
        <v>0</v>
      </c>
      <c r="AZ2007" s="0" t="n">
        <f aca="false">IF(EH2007&lt;&gt;"",1,0)</f>
        <v>0</v>
      </c>
      <c r="BB2007" s="0" t="s">
        <v>153</v>
      </c>
    </row>
    <row r="2008" customFormat="false" ht="13.8" hidden="true" customHeight="false" outlineLevel="0" collapsed="false">
      <c r="A2008" s="0" t="s">
        <v>8894</v>
      </c>
      <c r="B2008" s="0" t="n">
        <v>78</v>
      </c>
      <c r="C2008" s="0" t="n">
        <v>401127</v>
      </c>
      <c r="D2008" s="0" t="s">
        <v>8895</v>
      </c>
      <c r="E2008" s="0" t="s">
        <v>842</v>
      </c>
      <c r="F2008" s="0" t="str">
        <f aca="false">CONCATENATE(D2008," ",LEFT(H2008,4),"T=",AU2008,"D=",AV2008,"R=",AW2008,"M=",AX2008,"L=",AY2008,"B=",AZ2008)</f>
        <v>STILSON T=48D=15R=1M=0L=0B=0</v>
      </c>
      <c r="G2008" s="0" t="s">
        <v>166</v>
      </c>
      <c r="I2008" s="0" t="s">
        <v>8896</v>
      </c>
      <c r="J2008" s="0" t="s">
        <v>8897</v>
      </c>
      <c r="K2008" s="0" t="s">
        <v>144</v>
      </c>
      <c r="L2008" s="0"/>
      <c r="M2008" s="0" t="s">
        <v>8898</v>
      </c>
      <c r="N2008" s="0" t="str">
        <f aca="false">RIGHT(M2008,LEN(M2008)-FIND(" ",M2008))</f>
        <v>NORTH ST NW</v>
      </c>
      <c r="O2008" s="0" t="s">
        <v>441</v>
      </c>
      <c r="P2008" s="0" t="s">
        <v>146</v>
      </c>
      <c r="Q2008" s="0" t="s">
        <v>147</v>
      </c>
      <c r="R2008" s="0" t="n">
        <v>44483</v>
      </c>
      <c r="AD2008" s="0" t="s">
        <v>148</v>
      </c>
      <c r="AE2008" s="0" t="s">
        <v>149</v>
      </c>
      <c r="AF2008" s="0" t="s">
        <v>150</v>
      </c>
      <c r="AH2008" s="0" t="n">
        <v>14</v>
      </c>
      <c r="AI2008" s="0" t="n">
        <v>11</v>
      </c>
      <c r="AN2008" s="0" t="s">
        <v>146</v>
      </c>
      <c r="AO2008" s="0" t="s">
        <v>151</v>
      </c>
      <c r="AP2008" s="0" t="s">
        <v>152</v>
      </c>
      <c r="AQ2008" s="0" t="n">
        <v>9</v>
      </c>
      <c r="AR2008" s="0" t="n">
        <v>64</v>
      </c>
      <c r="AS2008" s="0" t="n">
        <v>32</v>
      </c>
      <c r="AU2008" s="0" t="n">
        <f aca="false">COUNTA($BA$1437:$EH$1437)</f>
        <v>48</v>
      </c>
      <c r="AV2008" s="0" t="n">
        <f aca="false">COUNTIF($BA$1437:$EH$1437,"D")</f>
        <v>15</v>
      </c>
      <c r="AW2008" s="0" t="n">
        <f aca="false">COUNTIF($BA$1437:$EH$1437,"R")</f>
        <v>1</v>
      </c>
      <c r="AX2008" s="0" t="n">
        <f aca="false"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>0</v>
      </c>
      <c r="AY2008" s="0" t="n">
        <f aca="false">COUNTIF(DU2008:EH2008, "&lt;&gt;")</f>
        <v>0</v>
      </c>
      <c r="AZ2008" s="0" t="n">
        <f aca="false">IF(EH2008&lt;&gt;"",1,0)</f>
        <v>0</v>
      </c>
      <c r="BB2008" s="0" t="s">
        <v>153</v>
      </c>
    </row>
    <row r="2009" customFormat="false" ht="13.8" hidden="true" customHeight="false" outlineLevel="0" collapsed="false">
      <c r="A2009" s="0" t="s">
        <v>8899</v>
      </c>
      <c r="B2009" s="0" t="n">
        <v>78</v>
      </c>
      <c r="C2009" s="0" t="n">
        <v>423776</v>
      </c>
      <c r="D2009" s="0" t="s">
        <v>8890</v>
      </c>
      <c r="E2009" s="0" t="s">
        <v>1374</v>
      </c>
      <c r="F2009" s="0" t="str">
        <f aca="false">CONCATENATE(D2009," ",LEFT(H2009,4),"T=",AU2009,"D=",AV2009,"R=",AW2009,"M=",AX2009,"L=",AY2009,"B=",AZ2009)</f>
        <v>REDMOND JRT=7D=1R=0M=0L=0B=0</v>
      </c>
      <c r="G2009" s="0" t="s">
        <v>278</v>
      </c>
      <c r="H2009" s="0" t="s">
        <v>431</v>
      </c>
      <c r="I2009" s="0" t="s">
        <v>5087</v>
      </c>
      <c r="J2009" s="0" t="s">
        <v>6436</v>
      </c>
      <c r="K2009" s="0" t="s">
        <v>144</v>
      </c>
      <c r="L2009" s="0"/>
      <c r="M2009" s="0" t="s">
        <v>8898</v>
      </c>
      <c r="N2009" s="0" t="str">
        <f aca="false">RIGHT(M2009,LEN(M2009)-FIND(" ",M2009))</f>
        <v>NORTH ST NW</v>
      </c>
      <c r="P2009" s="0" t="s">
        <v>146</v>
      </c>
      <c r="Q2009" s="0" t="s">
        <v>147</v>
      </c>
      <c r="R2009" s="0" t="n">
        <v>44483</v>
      </c>
      <c r="AD2009" s="0" t="s">
        <v>148</v>
      </c>
      <c r="AE2009" s="0" t="s">
        <v>149</v>
      </c>
      <c r="AF2009" s="0" t="s">
        <v>150</v>
      </c>
      <c r="AH2009" s="0" t="n">
        <v>14</v>
      </c>
      <c r="AI2009" s="0" t="n">
        <v>11</v>
      </c>
      <c r="AN2009" s="0" t="s">
        <v>146</v>
      </c>
      <c r="AO2009" s="0" t="s">
        <v>151</v>
      </c>
      <c r="AP2009" s="0" t="s">
        <v>152</v>
      </c>
      <c r="AQ2009" s="0" t="n">
        <v>9</v>
      </c>
      <c r="AR2009" s="0" t="n">
        <v>64</v>
      </c>
      <c r="AS2009" s="0" t="n">
        <v>32</v>
      </c>
      <c r="AU2009" s="0" t="n">
        <f aca="false">COUNTA($BA$1547:$EH$1547)</f>
        <v>7</v>
      </c>
      <c r="AV2009" s="0" t="n">
        <f aca="false">COUNTIF($BA$1547:$EH$1547,"D")</f>
        <v>1</v>
      </c>
      <c r="AW2009" s="0" t="n">
        <f aca="false">COUNTIF($BA$1547:$EH$1547,"R")</f>
        <v>0</v>
      </c>
      <c r="AX2009" s="0" t="n">
        <f aca="false"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>0</v>
      </c>
      <c r="AY2009" s="0" t="n">
        <f aca="false">COUNTIF(DU2009:EH2009, "&lt;&gt;")</f>
        <v>0</v>
      </c>
      <c r="AZ2009" s="0" t="n">
        <f aca="false">IF(EH2009&lt;&gt;"",1,0)</f>
        <v>0</v>
      </c>
      <c r="BB2009" s="0" t="s">
        <v>153</v>
      </c>
    </row>
    <row r="2010" customFormat="false" ht="13.8" hidden="true" customHeight="false" outlineLevel="0" collapsed="false">
      <c r="A2010" s="0" t="s">
        <v>8900</v>
      </c>
      <c r="B2010" s="0" t="n">
        <v>78</v>
      </c>
      <c r="C2010" s="0" t="n">
        <v>429923</v>
      </c>
      <c r="D2010" s="0" t="s">
        <v>8901</v>
      </c>
      <c r="E2010" s="0" t="s">
        <v>4154</v>
      </c>
      <c r="F2010" s="0" t="str">
        <f aca="false">CONCATENATE(D2010," ",LEFT(H2010,4),"T=",AU2010,"D=",AV2010,"R=",AW2010,"M=",AX2010,"L=",AY2010,"B=",AZ2010)</f>
        <v>DANIELS T=2D=0R=0M=0L=0B=0</v>
      </c>
      <c r="G2010" s="0" t="s">
        <v>159</v>
      </c>
      <c r="I2010" s="0" t="s">
        <v>8902</v>
      </c>
      <c r="J2010" s="0" t="s">
        <v>559</v>
      </c>
      <c r="K2010" s="0" t="s">
        <v>175</v>
      </c>
      <c r="L2010" s="0"/>
      <c r="M2010" s="0" t="s">
        <v>8898</v>
      </c>
      <c r="N2010" s="0" t="str">
        <f aca="false">RIGHT(M2010,LEN(M2010)-FIND(" ",M2010))</f>
        <v>NORTH ST NW</v>
      </c>
      <c r="P2010" s="0" t="s">
        <v>146</v>
      </c>
      <c r="Q2010" s="0" t="s">
        <v>147</v>
      </c>
      <c r="R2010" s="0" t="n">
        <v>44483</v>
      </c>
      <c r="AD2010" s="0" t="s">
        <v>148</v>
      </c>
      <c r="AE2010" s="0" t="s">
        <v>149</v>
      </c>
      <c r="AF2010" s="0" t="s">
        <v>150</v>
      </c>
      <c r="AH2010" s="0" t="n">
        <v>14</v>
      </c>
      <c r="AI2010" s="0" t="n">
        <v>11</v>
      </c>
      <c r="AN2010" s="0" t="s">
        <v>146</v>
      </c>
      <c r="AO2010" s="0" t="s">
        <v>151</v>
      </c>
      <c r="AP2010" s="0" t="s">
        <v>152</v>
      </c>
      <c r="AQ2010" s="0" t="n">
        <v>9</v>
      </c>
      <c r="AR2010" s="0" t="n">
        <v>64</v>
      </c>
      <c r="AS2010" s="0" t="n">
        <v>32</v>
      </c>
      <c r="AU2010" s="0" t="n">
        <f aca="false">COUNTA($BA$1931:$EH$1931)</f>
        <v>2</v>
      </c>
      <c r="AV2010" s="0" t="n">
        <f aca="false">COUNTIF($BA$1931:$EH$1931,"D")</f>
        <v>0</v>
      </c>
      <c r="AW2010" s="0" t="n">
        <f aca="false">COUNTIF($BA$1931:$EH$1931,"R")</f>
        <v>0</v>
      </c>
      <c r="AX2010" s="0" t="n">
        <f aca="false"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>0</v>
      </c>
      <c r="AY2010" s="0" t="n">
        <f aca="false">COUNTIF(DU2010:EH2010, "&lt;&gt;")</f>
        <v>0</v>
      </c>
      <c r="AZ2010" s="0" t="n">
        <f aca="false">IF(EH2010&lt;&gt;"",1,0)</f>
        <v>0</v>
      </c>
      <c r="BB2010" s="0" t="s">
        <v>153</v>
      </c>
    </row>
    <row r="2011" customFormat="false" ht="13.8" hidden="true" customHeight="false" outlineLevel="0" collapsed="false">
      <c r="A2011" s="0" t="s">
        <v>8903</v>
      </c>
      <c r="B2011" s="0" t="n">
        <v>78</v>
      </c>
      <c r="C2011" s="0" t="n">
        <v>484256</v>
      </c>
      <c r="D2011" s="0" t="s">
        <v>8904</v>
      </c>
      <c r="E2011" s="0" t="s">
        <v>430</v>
      </c>
      <c r="F2011" s="0" t="str">
        <f aca="false">CONCATENATE(D2011," ",LEFT(H2011,4),"T=",AU2011,"D=",AV2011,"R=",AW2011,"M=",AX2011,"L=",AY2011,"B=",AZ2011)</f>
        <v>SIMKINS T=9D=2R=1M=0L=0B=0</v>
      </c>
      <c r="G2011" s="0" t="s">
        <v>1421</v>
      </c>
      <c r="I2011" s="0" t="s">
        <v>8905</v>
      </c>
      <c r="J2011" s="0" t="s">
        <v>8906</v>
      </c>
      <c r="K2011" s="0" t="s">
        <v>175</v>
      </c>
      <c r="L2011" s="0"/>
      <c r="M2011" s="0" t="s">
        <v>8907</v>
      </c>
      <c r="N2011" s="0" t="str">
        <f aca="false">RIGHT(M2011,LEN(M2011)-FIND(" ",M2011))</f>
        <v>NORTH ST NW</v>
      </c>
      <c r="P2011" s="0" t="s">
        <v>146</v>
      </c>
      <c r="Q2011" s="0" t="s">
        <v>147</v>
      </c>
      <c r="R2011" s="0" t="n">
        <v>44483</v>
      </c>
      <c r="AD2011" s="0" t="s">
        <v>148</v>
      </c>
      <c r="AE2011" s="0" t="s">
        <v>149</v>
      </c>
      <c r="AF2011" s="0" t="s">
        <v>150</v>
      </c>
      <c r="AH2011" s="0" t="n">
        <v>14</v>
      </c>
      <c r="AI2011" s="0" t="n">
        <v>11</v>
      </c>
      <c r="AN2011" s="0" t="s">
        <v>146</v>
      </c>
      <c r="AO2011" s="0" t="s">
        <v>151</v>
      </c>
      <c r="AP2011" s="0" t="s">
        <v>152</v>
      </c>
      <c r="AQ2011" s="0" t="n">
        <v>9</v>
      </c>
      <c r="AR2011" s="0" t="n">
        <v>64</v>
      </c>
      <c r="AS2011" s="0" t="n">
        <v>32</v>
      </c>
      <c r="AU2011" s="0" t="n">
        <f aca="false">COUNTA($BA$1165:$EH$1165)</f>
        <v>9</v>
      </c>
      <c r="AV2011" s="0" t="n">
        <f aca="false">COUNTIF($BA$1165:$EH$1165,"D")</f>
        <v>2</v>
      </c>
      <c r="AW2011" s="0" t="n">
        <f aca="false">COUNTIF($BA$1165:$EH$1165,"R")</f>
        <v>1</v>
      </c>
      <c r="AX2011" s="0" t="n">
        <f aca="false"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>0</v>
      </c>
      <c r="AY2011" s="0" t="n">
        <f aca="false">COUNTIF(DU2011:EH2011, "&lt;&gt;")</f>
        <v>0</v>
      </c>
      <c r="AZ2011" s="0" t="n">
        <f aca="false">IF(EH2011&lt;&gt;"",1,0)</f>
        <v>0</v>
      </c>
      <c r="BB2011" s="0" t="s">
        <v>153</v>
      </c>
    </row>
    <row r="2012" customFormat="false" ht="13.8" hidden="true" customHeight="false" outlineLevel="0" collapsed="false">
      <c r="A2012" s="0" t="s">
        <v>8908</v>
      </c>
      <c r="B2012" s="0" t="n">
        <v>78</v>
      </c>
      <c r="C2012" s="0" t="n">
        <v>439299</v>
      </c>
      <c r="D2012" s="0" t="s">
        <v>8909</v>
      </c>
      <c r="E2012" s="0" t="s">
        <v>8395</v>
      </c>
      <c r="F2012" s="0" t="str">
        <f aca="false">CONCATENATE(D2012," ",LEFT(H2012,4),"T=",AU2012,"D=",AV2012,"R=",AW2012,"M=",AX2012,"L=",AY2012,"B=",AZ2012)</f>
        <v>RODHE T=5D=0R=0M=0L=0B=0</v>
      </c>
      <c r="G2012" s="0" t="s">
        <v>155</v>
      </c>
      <c r="I2012" s="0" t="s">
        <v>8910</v>
      </c>
      <c r="J2012" s="0" t="s">
        <v>8911</v>
      </c>
      <c r="K2012" s="0" t="s">
        <v>144</v>
      </c>
      <c r="L2012" s="0"/>
      <c r="M2012" s="0" t="s">
        <v>8907</v>
      </c>
      <c r="N2012" s="0" t="str">
        <f aca="false">RIGHT(M2012,LEN(M2012)-FIND(" ",M2012))</f>
        <v>NORTH ST NW</v>
      </c>
      <c r="P2012" s="0" t="s">
        <v>146</v>
      </c>
      <c r="Q2012" s="0" t="s">
        <v>147</v>
      </c>
      <c r="R2012" s="0" t="n">
        <v>44483</v>
      </c>
      <c r="AD2012" s="0" t="s">
        <v>148</v>
      </c>
      <c r="AE2012" s="0" t="s">
        <v>149</v>
      </c>
      <c r="AF2012" s="0" t="s">
        <v>150</v>
      </c>
      <c r="AH2012" s="0" t="n">
        <v>14</v>
      </c>
      <c r="AI2012" s="0" t="n">
        <v>11</v>
      </c>
      <c r="AN2012" s="0" t="s">
        <v>146</v>
      </c>
      <c r="AO2012" s="0" t="s">
        <v>151</v>
      </c>
      <c r="AP2012" s="0" t="s">
        <v>152</v>
      </c>
      <c r="AQ2012" s="0" t="n">
        <v>9</v>
      </c>
      <c r="AR2012" s="0" t="n">
        <v>64</v>
      </c>
      <c r="AS2012" s="0" t="n">
        <v>32</v>
      </c>
      <c r="AU2012" s="0" t="n">
        <f aca="false">COUNTA($BA$2033:$EH$2033)</f>
        <v>5</v>
      </c>
      <c r="AV2012" s="0" t="n">
        <f aca="false">COUNTIF($BA$2033:$EH$2033,"D")</f>
        <v>0</v>
      </c>
      <c r="AW2012" s="0" t="n">
        <f aca="false">COUNTIF($BA$2033:$EH$2033,"R")</f>
        <v>0</v>
      </c>
      <c r="AX2012" s="0" t="n">
        <f aca="false"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>0</v>
      </c>
      <c r="AY2012" s="0" t="n">
        <f aca="false">COUNTIF(DU2012:EH2012, "&lt;&gt;")</f>
        <v>0</v>
      </c>
      <c r="AZ2012" s="0" t="n">
        <f aca="false">IF(EH2012&lt;&gt;"",1,0)</f>
        <v>0</v>
      </c>
      <c r="BB2012" s="0" t="s">
        <v>153</v>
      </c>
      <c r="BD2012" s="0" t="s">
        <v>154</v>
      </c>
      <c r="BS2012" s="0" t="s">
        <v>154</v>
      </c>
      <c r="CY2012" s="0" t="s">
        <v>154</v>
      </c>
      <c r="CZ2012" s="0" t="s">
        <v>155</v>
      </c>
      <c r="DC2012" s="0" t="s">
        <v>154</v>
      </c>
      <c r="DN2012" s="0" t="s">
        <v>154</v>
      </c>
    </row>
    <row r="2013" customFormat="false" ht="13.8" hidden="true" customHeight="false" outlineLevel="0" collapsed="false">
      <c r="A2013" s="0" t="s">
        <v>8912</v>
      </c>
      <c r="B2013" s="0" t="n">
        <v>78</v>
      </c>
      <c r="C2013" s="0" t="n">
        <v>369604</v>
      </c>
      <c r="D2013" s="0" t="s">
        <v>8913</v>
      </c>
      <c r="E2013" s="0" t="s">
        <v>8914</v>
      </c>
      <c r="F2013" s="0" t="str">
        <f aca="false">CONCATENATE(D2013," ",LEFT(H2013,4),"T=",AU2013,"D=",AV2013,"R=",AW2013,"M=",AX2013,"L=",AY2013,"B=",AZ2013)</f>
        <v>FITTS T=6D=0R=2M=0L=0B=0</v>
      </c>
      <c r="G2013" s="0" t="s">
        <v>241</v>
      </c>
      <c r="I2013" s="0" t="s">
        <v>8915</v>
      </c>
      <c r="J2013" s="0" t="s">
        <v>395</v>
      </c>
      <c r="K2013" s="0" t="s">
        <v>144</v>
      </c>
      <c r="L2013" s="0"/>
      <c r="M2013" s="0" t="s">
        <v>8916</v>
      </c>
      <c r="N2013" s="0" t="str">
        <f aca="false">RIGHT(M2013,LEN(M2013)-FIND(" ",M2013))</f>
        <v>OGDEN AVE NW</v>
      </c>
      <c r="P2013" s="0" t="s">
        <v>146</v>
      </c>
      <c r="Q2013" s="0" t="s">
        <v>147</v>
      </c>
      <c r="R2013" s="0" t="n">
        <v>44483</v>
      </c>
      <c r="AD2013" s="0" t="s">
        <v>148</v>
      </c>
      <c r="AE2013" s="0" t="s">
        <v>149</v>
      </c>
      <c r="AF2013" s="0" t="s">
        <v>150</v>
      </c>
      <c r="AH2013" s="0" t="n">
        <v>14</v>
      </c>
      <c r="AI2013" s="0" t="n">
        <v>11</v>
      </c>
      <c r="AN2013" s="0" t="s">
        <v>146</v>
      </c>
      <c r="AO2013" s="0" t="s">
        <v>250</v>
      </c>
      <c r="AP2013" s="0" t="s">
        <v>251</v>
      </c>
      <c r="AQ2013" s="0" t="n">
        <v>9</v>
      </c>
      <c r="AR2013" s="0" t="n">
        <v>64</v>
      </c>
      <c r="AS2013" s="0" t="n">
        <v>32</v>
      </c>
      <c r="AU2013" s="0" t="n">
        <f aca="false">COUNTA($BA$2118:$EH$2118)</f>
        <v>6</v>
      </c>
      <c r="AV2013" s="0" t="n">
        <f aca="false">COUNTIF($BA$2118:$EH$2118,"D")</f>
        <v>0</v>
      </c>
      <c r="AW2013" s="0" t="n">
        <f aca="false">COUNTIF($BA$2118:$EH$2118,"R")</f>
        <v>2</v>
      </c>
      <c r="AX2013" s="0" t="n">
        <f aca="false"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>0</v>
      </c>
      <c r="AY2013" s="0" t="n">
        <f aca="false">COUNTIF(DU2013:EH2013, "&lt;&gt;")</f>
        <v>0</v>
      </c>
      <c r="AZ2013" s="0" t="n">
        <f aca="false">IF(EH2013&lt;&gt;"",1,0)</f>
        <v>0</v>
      </c>
      <c r="BB2013" s="0" t="s">
        <v>153</v>
      </c>
      <c r="DC2013" s="0" t="s">
        <v>154</v>
      </c>
    </row>
    <row r="2014" customFormat="false" ht="13.8" hidden="true" customHeight="false" outlineLevel="0" collapsed="false">
      <c r="A2014" s="0" t="s">
        <v>8917</v>
      </c>
      <c r="B2014" s="0" t="n">
        <v>78</v>
      </c>
      <c r="C2014" s="0" t="n">
        <v>353886</v>
      </c>
      <c r="D2014" s="0" t="s">
        <v>8918</v>
      </c>
      <c r="E2014" s="0" t="s">
        <v>8919</v>
      </c>
      <c r="F2014" s="0" t="str">
        <f aca="false">CONCATENATE(D2014," ",LEFT(H2014,4),"T=",AU2014,"D=",AV2014,"R=",AW2014,"M=",AX2014,"L=",AY2014,"B=",AZ2014)</f>
        <v>COOPERWOOD T=36D=10R=0M=0L=0B=0</v>
      </c>
      <c r="G2014" s="0" t="s">
        <v>241</v>
      </c>
      <c r="I2014" s="0" t="s">
        <v>8920</v>
      </c>
      <c r="J2014" s="0" t="s">
        <v>8921</v>
      </c>
      <c r="K2014" s="0" t="s">
        <v>144</v>
      </c>
      <c r="L2014" s="0"/>
      <c r="M2014" s="0" t="s">
        <v>8916</v>
      </c>
      <c r="N2014" s="0" t="str">
        <f aca="false">RIGHT(M2014,LEN(M2014)-FIND(" ",M2014))</f>
        <v>OGDEN AVE NW</v>
      </c>
      <c r="P2014" s="0" t="s">
        <v>146</v>
      </c>
      <c r="Q2014" s="0" t="s">
        <v>147</v>
      </c>
      <c r="R2014" s="0" t="n">
        <v>44483</v>
      </c>
      <c r="AD2014" s="0" t="s">
        <v>148</v>
      </c>
      <c r="AE2014" s="0" t="s">
        <v>149</v>
      </c>
      <c r="AF2014" s="0" t="s">
        <v>150</v>
      </c>
      <c r="AH2014" s="0" t="n">
        <v>14</v>
      </c>
      <c r="AI2014" s="0" t="n">
        <v>11</v>
      </c>
      <c r="AN2014" s="0" t="s">
        <v>146</v>
      </c>
      <c r="AO2014" s="0" t="s">
        <v>250</v>
      </c>
      <c r="AP2014" s="0" t="s">
        <v>251</v>
      </c>
      <c r="AQ2014" s="0" t="n">
        <v>9</v>
      </c>
      <c r="AR2014" s="0" t="n">
        <v>64</v>
      </c>
      <c r="AS2014" s="0" t="n">
        <v>32</v>
      </c>
      <c r="AU2014" s="0" t="n">
        <f aca="false">COUNTA($BA$2580:$EH$2580)</f>
        <v>36</v>
      </c>
      <c r="AV2014" s="0" t="n">
        <f aca="false">COUNTIF($BA$2580:$EH$2580,"D")</f>
        <v>10</v>
      </c>
      <c r="AW2014" s="0" t="n">
        <f aca="false">COUNTIF($BA$2580:$EH$2580,"R")</f>
        <v>0</v>
      </c>
      <c r="AX2014" s="0" t="n">
        <f aca="false"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>0</v>
      </c>
      <c r="AY2014" s="0" t="n">
        <f aca="false">COUNTIF(DU2014:EH2014, "&lt;&gt;")</f>
        <v>0</v>
      </c>
      <c r="AZ2014" s="0" t="n">
        <f aca="false">IF(EH2014&lt;&gt;"",1,0)</f>
        <v>0</v>
      </c>
      <c r="BB2014" s="0" t="s">
        <v>153</v>
      </c>
      <c r="CP2014" s="0" t="s">
        <v>154</v>
      </c>
    </row>
    <row r="2015" customFormat="false" ht="13.8" hidden="true" customHeight="false" outlineLevel="0" collapsed="false">
      <c r="A2015" s="0" t="s">
        <v>8922</v>
      </c>
      <c r="B2015" s="0" t="n">
        <v>78</v>
      </c>
      <c r="C2015" s="0" t="n">
        <v>472029</v>
      </c>
      <c r="D2015" s="0" t="s">
        <v>3540</v>
      </c>
      <c r="E2015" s="0" t="s">
        <v>8923</v>
      </c>
      <c r="F2015" s="0" t="str">
        <f aca="false">CONCATENATE(D2015," ",LEFT(H2015,4),"T=",AU2015,"D=",AV2015,"R=",AW2015,"M=",AX2015,"L=",AY2015,"B=",AZ2015)</f>
        <v>ROBINSON T=21D=4R=0M=0L=0B=0</v>
      </c>
      <c r="G2015" s="0" t="s">
        <v>159</v>
      </c>
      <c r="I2015" s="0" t="s">
        <v>8924</v>
      </c>
      <c r="J2015" s="0" t="s">
        <v>5829</v>
      </c>
      <c r="K2015" s="0" t="s">
        <v>175</v>
      </c>
      <c r="L2015" s="0"/>
      <c r="M2015" s="0" t="s">
        <v>8925</v>
      </c>
      <c r="N2015" s="0" t="str">
        <f aca="false">RIGHT(M2015,LEN(M2015)-FIND(" ",M2015))</f>
        <v>OGDEN AVE NW</v>
      </c>
      <c r="P2015" s="0" t="s">
        <v>146</v>
      </c>
      <c r="Q2015" s="0" t="s">
        <v>147</v>
      </c>
      <c r="R2015" s="0" t="n">
        <v>44483</v>
      </c>
      <c r="AD2015" s="0" t="s">
        <v>148</v>
      </c>
      <c r="AE2015" s="0" t="s">
        <v>149</v>
      </c>
      <c r="AF2015" s="0" t="s">
        <v>150</v>
      </c>
      <c r="AH2015" s="0" t="n">
        <v>14</v>
      </c>
      <c r="AI2015" s="0" t="n">
        <v>11</v>
      </c>
      <c r="AN2015" s="0" t="s">
        <v>146</v>
      </c>
      <c r="AO2015" s="0" t="s">
        <v>250</v>
      </c>
      <c r="AP2015" s="0" t="s">
        <v>251</v>
      </c>
      <c r="AQ2015" s="0" t="n">
        <v>9</v>
      </c>
      <c r="AR2015" s="0" t="n">
        <v>64</v>
      </c>
      <c r="AS2015" s="0" t="n">
        <v>32</v>
      </c>
      <c r="AU2015" s="0" t="n">
        <f aca="false">COUNTA($BA$2334:$EH$2334)</f>
        <v>21</v>
      </c>
      <c r="AV2015" s="0" t="n">
        <f aca="false">COUNTIF($BA$2334:$EH$2334,"D")</f>
        <v>4</v>
      </c>
      <c r="AW2015" s="0" t="n">
        <f aca="false">COUNTIF($BA$2334:$EH$2334,"R")</f>
        <v>0</v>
      </c>
      <c r="AX2015" s="0" t="n">
        <f aca="false"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>0</v>
      </c>
      <c r="AY2015" s="0" t="n">
        <f aca="false">COUNTIF(DU2015:EH2015, "&lt;&gt;")</f>
        <v>0</v>
      </c>
      <c r="AZ2015" s="0" t="n">
        <f aca="false">IF(EH2015&lt;&gt;"",1,0)</f>
        <v>0</v>
      </c>
      <c r="BB2015" s="0" t="s">
        <v>153</v>
      </c>
    </row>
    <row r="2016" customFormat="false" ht="13.8" hidden="false" customHeight="false" outlineLevel="0" collapsed="false">
      <c r="A2016" s="0" t="s">
        <v>8926</v>
      </c>
      <c r="B2016" s="0" t="n">
        <v>78</v>
      </c>
      <c r="C2016" s="0" t="n">
        <v>429122</v>
      </c>
      <c r="D2016" s="0" t="s">
        <v>8927</v>
      </c>
      <c r="E2016" s="0" t="s">
        <v>8928</v>
      </c>
      <c r="F2016" s="0" t="str">
        <f aca="false">CONCATENATE(D2016," ",LEFT(H2016,4),"T=",AU2016,"D=",AV2016,"R=",AW2016,"M=",AX2016,"L=",AY2016,"B=",AZ2016)</f>
        <v>KOVAR T=18D=2R=0M=0L=2B=0</v>
      </c>
      <c r="G2016" s="0" t="s">
        <v>297</v>
      </c>
      <c r="I2016" s="0" t="s">
        <v>8929</v>
      </c>
      <c r="J2016" s="0" t="s">
        <v>8930</v>
      </c>
      <c r="K2016" s="0" t="s">
        <v>175</v>
      </c>
      <c r="M2016" s="0" t="s">
        <v>8931</v>
      </c>
      <c r="N2016" s="0" t="str">
        <f aca="false">RIGHT(M2016,LEN(M2016)-FIND(" ",M2016))</f>
        <v>OGDEN AVE NW</v>
      </c>
      <c r="P2016" s="0" t="s">
        <v>146</v>
      </c>
      <c r="Q2016" s="0" t="s">
        <v>147</v>
      </c>
      <c r="R2016" s="0" t="n">
        <v>44483</v>
      </c>
      <c r="AD2016" s="0" t="s">
        <v>148</v>
      </c>
      <c r="AE2016" s="0" t="s">
        <v>149</v>
      </c>
      <c r="AF2016" s="0" t="s">
        <v>150</v>
      </c>
      <c r="AH2016" s="0" t="n">
        <v>14</v>
      </c>
      <c r="AI2016" s="0" t="n">
        <v>11</v>
      </c>
      <c r="AN2016" s="0" t="s">
        <v>146</v>
      </c>
      <c r="AO2016" s="0" t="s">
        <v>250</v>
      </c>
      <c r="AP2016" s="0" t="s">
        <v>251</v>
      </c>
      <c r="AQ2016" s="0" t="n">
        <v>9</v>
      </c>
      <c r="AR2016" s="0" t="n">
        <v>64</v>
      </c>
      <c r="AS2016" s="0" t="n">
        <v>32</v>
      </c>
      <c r="AU2016" s="0" t="n">
        <f aca="false">COUNTA($BA$2259:$EH$2259)</f>
        <v>18</v>
      </c>
      <c r="AV2016" s="0" t="n">
        <f aca="false">COUNTIF($BA$2259:$EH$2259,"D")</f>
        <v>2</v>
      </c>
      <c r="AW2016" s="0" t="n">
        <f aca="false">COUNTIF($BA$2259:$EH$2259,"R")</f>
        <v>0</v>
      </c>
      <c r="AX2016" s="0" t="n">
        <f aca="false"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>0</v>
      </c>
      <c r="AY2016" s="0" t="n">
        <f aca="false">COUNTIF(DU2016:EH2016, "&lt;&gt;")</f>
        <v>2</v>
      </c>
      <c r="AZ2016" s="0" t="n">
        <f aca="false">IF(EH2016&lt;&gt;"",1,0)</f>
        <v>0</v>
      </c>
      <c r="BB2016" s="0" t="s">
        <v>153</v>
      </c>
      <c r="BY2016" s="0" t="s">
        <v>155</v>
      </c>
      <c r="CA2016" s="0" t="s">
        <v>154</v>
      </c>
      <c r="CY2016" s="0" t="s">
        <v>154</v>
      </c>
      <c r="DC2016" s="0" t="s">
        <v>154</v>
      </c>
      <c r="DN2016" s="0" t="s">
        <v>154</v>
      </c>
      <c r="EA2016" s="0" t="s">
        <v>154</v>
      </c>
      <c r="EF2016" s="0" t="s">
        <v>154</v>
      </c>
    </row>
    <row r="2017" customFormat="false" ht="13.8" hidden="true" customHeight="false" outlineLevel="0" collapsed="false">
      <c r="A2017" s="0" t="s">
        <v>8932</v>
      </c>
      <c r="B2017" s="0" t="n">
        <v>78</v>
      </c>
      <c r="C2017" s="0" t="n">
        <v>429958</v>
      </c>
      <c r="D2017" s="0" t="s">
        <v>5411</v>
      </c>
      <c r="E2017" s="0" t="s">
        <v>8933</v>
      </c>
      <c r="F2017" s="0" t="str">
        <f aca="false">CONCATENATE(D2017," ",LEFT(H2017,4),"T=",AU2017,"D=",AV2017,"R=",AW2017,"M=",AX2017,"L=",AY2017,"B=",AZ2017)</f>
        <v>RIVERA T=12D=2R=0M=0L=0B=0</v>
      </c>
      <c r="G2017" s="0" t="s">
        <v>8934</v>
      </c>
      <c r="I2017" s="0" t="s">
        <v>8935</v>
      </c>
      <c r="J2017" s="0" t="s">
        <v>8936</v>
      </c>
      <c r="K2017" s="0" t="s">
        <v>144</v>
      </c>
      <c r="L2017" s="0"/>
      <c r="M2017" s="0" t="s">
        <v>8937</v>
      </c>
      <c r="N2017" s="0" t="str">
        <f aca="false">RIGHT(M2017,LEN(M2017)-FIND(" ",M2017))</f>
        <v>OGDEN AVE NW</v>
      </c>
      <c r="P2017" s="0" t="s">
        <v>146</v>
      </c>
      <c r="Q2017" s="0" t="s">
        <v>147</v>
      </c>
      <c r="R2017" s="0" t="n">
        <v>44483</v>
      </c>
      <c r="AD2017" s="0" t="s">
        <v>148</v>
      </c>
      <c r="AE2017" s="0" t="s">
        <v>149</v>
      </c>
      <c r="AF2017" s="0" t="s">
        <v>150</v>
      </c>
      <c r="AH2017" s="0" t="n">
        <v>14</v>
      </c>
      <c r="AI2017" s="0" t="n">
        <v>11</v>
      </c>
      <c r="AN2017" s="0" t="s">
        <v>146</v>
      </c>
      <c r="AO2017" s="0" t="s">
        <v>250</v>
      </c>
      <c r="AP2017" s="0" t="s">
        <v>251</v>
      </c>
      <c r="AQ2017" s="0" t="n">
        <v>9</v>
      </c>
      <c r="AR2017" s="0" t="n">
        <v>64</v>
      </c>
      <c r="AS2017" s="0" t="n">
        <v>32</v>
      </c>
      <c r="AU2017" s="0" t="n">
        <f aca="false">COUNTA($BA$2480:$EH$2480)</f>
        <v>12</v>
      </c>
      <c r="AV2017" s="0" t="n">
        <f aca="false">COUNTIF($BA$2480:$EH$2480,"D")</f>
        <v>2</v>
      </c>
      <c r="AW2017" s="0" t="n">
        <f aca="false">COUNTIF($BA$2480:$EH$2480,"R")</f>
        <v>0</v>
      </c>
      <c r="AX2017" s="0" t="n">
        <f aca="false"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>0</v>
      </c>
      <c r="AY2017" s="0" t="n">
        <f aca="false">COUNTIF(DU2017:EH2017, "&lt;&gt;")</f>
        <v>0</v>
      </c>
      <c r="AZ2017" s="0" t="n">
        <f aca="false">IF(EH2017&lt;&gt;"",1,0)</f>
        <v>0</v>
      </c>
      <c r="BB2017" s="0" t="s">
        <v>153</v>
      </c>
    </row>
    <row r="2018" customFormat="false" ht="13.8" hidden="false" customHeight="false" outlineLevel="0" collapsed="false">
      <c r="A2018" s="0" t="s">
        <v>8938</v>
      </c>
      <c r="B2018" s="0" t="n">
        <v>78</v>
      </c>
      <c r="C2018" s="0" t="n">
        <v>459940</v>
      </c>
      <c r="D2018" s="0" t="s">
        <v>1540</v>
      </c>
      <c r="E2018" s="0" t="s">
        <v>8939</v>
      </c>
      <c r="F2018" s="0" t="str">
        <f aca="false">CONCATENATE(D2018," ",LEFT(H2018,4),"T=",AU2018,"D=",AV2018,"R=",AW2018,"M=",AX2018,"L=",AY2018,"B=",AZ2018)</f>
        <v>HOPKINS T=7D=1R=0M=0L=3B=0</v>
      </c>
      <c r="G2018" s="0" t="s">
        <v>8940</v>
      </c>
      <c r="I2018" s="0" t="s">
        <v>8941</v>
      </c>
      <c r="J2018" s="0" t="s">
        <v>8942</v>
      </c>
      <c r="K2018" s="0" t="s">
        <v>175</v>
      </c>
      <c r="M2018" s="0" t="s">
        <v>8937</v>
      </c>
      <c r="N2018" s="0" t="str">
        <f aca="false">RIGHT(M2018,LEN(M2018)-FIND(" ",M2018))</f>
        <v>OGDEN AVE NW</v>
      </c>
      <c r="P2018" s="0" t="s">
        <v>146</v>
      </c>
      <c r="Q2018" s="0" t="s">
        <v>147</v>
      </c>
      <c r="R2018" s="0" t="n">
        <v>44483</v>
      </c>
      <c r="AD2018" s="0" t="s">
        <v>148</v>
      </c>
      <c r="AE2018" s="0" t="s">
        <v>149</v>
      </c>
      <c r="AF2018" s="0" t="s">
        <v>150</v>
      </c>
      <c r="AH2018" s="0" t="n">
        <v>14</v>
      </c>
      <c r="AI2018" s="0" t="n">
        <v>11</v>
      </c>
      <c r="AN2018" s="0" t="s">
        <v>146</v>
      </c>
      <c r="AO2018" s="0" t="s">
        <v>250</v>
      </c>
      <c r="AP2018" s="0" t="s">
        <v>251</v>
      </c>
      <c r="AQ2018" s="0" t="n">
        <v>9</v>
      </c>
      <c r="AR2018" s="0" t="n">
        <v>64</v>
      </c>
      <c r="AS2018" s="0" t="n">
        <v>32</v>
      </c>
      <c r="AU2018" s="0" t="n">
        <f aca="false">COUNTA($BA$2603:$EH$2603)</f>
        <v>7</v>
      </c>
      <c r="AV2018" s="0" t="n">
        <f aca="false">COUNTIF($BA$2603:$EH$2603,"D")</f>
        <v>1</v>
      </c>
      <c r="AW2018" s="0" t="n">
        <f aca="false">COUNTIF($BA$2603:$EH$2603,"R")</f>
        <v>0</v>
      </c>
      <c r="AX2018" s="0" t="n">
        <f aca="false"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>0</v>
      </c>
      <c r="AY2018" s="0" t="n">
        <f aca="false">COUNTIF(DU2018:EH2018, "&lt;&gt;")</f>
        <v>3</v>
      </c>
      <c r="AZ2018" s="0" t="n">
        <f aca="false">IF(EH2018&lt;&gt;"",1,0)</f>
        <v>0</v>
      </c>
      <c r="BB2018" s="0" t="s">
        <v>153</v>
      </c>
      <c r="DU2018" s="0" t="s">
        <v>154</v>
      </c>
      <c r="EA2018" s="0" t="s">
        <v>154</v>
      </c>
      <c r="EF2018" s="0" t="s">
        <v>154</v>
      </c>
    </row>
    <row r="2019" customFormat="false" ht="13.8" hidden="true" customHeight="false" outlineLevel="0" collapsed="false">
      <c r="A2019" s="0" t="s">
        <v>8943</v>
      </c>
      <c r="B2019" s="0" t="n">
        <v>78</v>
      </c>
      <c r="C2019" s="0" t="n">
        <v>427732</v>
      </c>
      <c r="D2019" s="0" t="s">
        <v>4932</v>
      </c>
      <c r="E2019" s="0" t="s">
        <v>1920</v>
      </c>
      <c r="F2019" s="0" t="str">
        <f aca="false">CONCATENATE(D2019," ",LEFT(H2019,4),"T=",AU2019,"D=",AV2019,"R=",AW2019,"M=",AX2019,"L=",AY2019,"B=",AZ2019)</f>
        <v>BROOKS T=3D=0R=0M=0L=0B=0</v>
      </c>
      <c r="G2019" s="0" t="s">
        <v>155</v>
      </c>
      <c r="I2019" s="0" t="s">
        <v>8944</v>
      </c>
      <c r="J2019" s="0" t="s">
        <v>8945</v>
      </c>
      <c r="K2019" s="0" t="s">
        <v>144</v>
      </c>
      <c r="L2019" s="0"/>
      <c r="M2019" s="0" t="s">
        <v>8937</v>
      </c>
      <c r="N2019" s="0" t="str">
        <f aca="false">RIGHT(M2019,LEN(M2019)-FIND(" ",M2019))</f>
        <v>OGDEN AVE NW</v>
      </c>
      <c r="P2019" s="0" t="s">
        <v>146</v>
      </c>
      <c r="Q2019" s="0" t="s">
        <v>147</v>
      </c>
      <c r="R2019" s="0" t="n">
        <v>44483</v>
      </c>
      <c r="AD2019" s="0" t="s">
        <v>148</v>
      </c>
      <c r="AE2019" s="0" t="s">
        <v>149</v>
      </c>
      <c r="AF2019" s="0" t="s">
        <v>150</v>
      </c>
      <c r="AH2019" s="0" t="n">
        <v>14</v>
      </c>
      <c r="AI2019" s="0" t="n">
        <v>11</v>
      </c>
      <c r="AN2019" s="0" t="s">
        <v>146</v>
      </c>
      <c r="AO2019" s="0" t="s">
        <v>250</v>
      </c>
      <c r="AP2019" s="0" t="s">
        <v>251</v>
      </c>
      <c r="AQ2019" s="0" t="n">
        <v>9</v>
      </c>
      <c r="AR2019" s="0" t="n">
        <v>64</v>
      </c>
      <c r="AS2019" s="0" t="n">
        <v>32</v>
      </c>
      <c r="AU2019" s="0" t="n">
        <f aca="false">COUNTA($BA$2821:$EH$2821)</f>
        <v>3</v>
      </c>
      <c r="AV2019" s="0" t="n">
        <f aca="false">COUNTIF($BA$2821:$EH$2821,"D")</f>
        <v>0</v>
      </c>
      <c r="AW2019" s="0" t="n">
        <f aca="false">COUNTIF($BA$2821:$EH$2821,"R")</f>
        <v>0</v>
      </c>
      <c r="AX2019" s="0" t="n">
        <f aca="false"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>0</v>
      </c>
      <c r="AY2019" s="0" t="n">
        <f aca="false">COUNTIF(DU2019:EH2019, "&lt;&gt;")</f>
        <v>0</v>
      </c>
      <c r="AZ2019" s="0" t="n">
        <f aca="false">IF(EH2019&lt;&gt;"",1,0)</f>
        <v>0</v>
      </c>
      <c r="BB2019" s="0" t="s">
        <v>153</v>
      </c>
    </row>
    <row r="2020" customFormat="false" ht="13.8" hidden="false" customHeight="false" outlineLevel="0" collapsed="false">
      <c r="A2020" s="0" t="s">
        <v>8946</v>
      </c>
      <c r="B2020" s="0" t="n">
        <v>78</v>
      </c>
      <c r="C2020" s="0" t="n">
        <v>7070</v>
      </c>
      <c r="D2020" s="0" t="s">
        <v>3197</v>
      </c>
      <c r="E2020" s="0" t="s">
        <v>4769</v>
      </c>
      <c r="F2020" s="0" t="str">
        <f aca="false">CONCATENATE(D2020," ",LEFT(H2020,4),"T=",AU2020,"D=",AV2020,"R=",AW2020,"M=",AX2020,"L=",AY2020,"B=",AZ2020)</f>
        <v>WELLS T=3D=0R=0M=8L=7B=1</v>
      </c>
      <c r="G2020" s="0" t="s">
        <v>202</v>
      </c>
      <c r="I2020" s="0" t="s">
        <v>8947</v>
      </c>
      <c r="J2020" s="0" t="s">
        <v>8948</v>
      </c>
      <c r="K2020" s="0" t="s">
        <v>175</v>
      </c>
      <c r="L2020" s="1" t="s">
        <v>155</v>
      </c>
      <c r="M2020" s="0" t="s">
        <v>8949</v>
      </c>
      <c r="N2020" s="0" t="str">
        <f aca="false">RIGHT(M2020,LEN(M2020)-FIND(" ",M2020))</f>
        <v>OGDEN AVE NW</v>
      </c>
      <c r="P2020" s="0" t="s">
        <v>146</v>
      </c>
      <c r="Q2020" s="0" t="s">
        <v>147</v>
      </c>
      <c r="R2020" s="0" t="n">
        <v>44483</v>
      </c>
      <c r="AD2020" s="0" t="s">
        <v>148</v>
      </c>
      <c r="AE2020" s="0" t="s">
        <v>149</v>
      </c>
      <c r="AF2020" s="0" t="s">
        <v>150</v>
      </c>
      <c r="AH2020" s="0" t="n">
        <v>14</v>
      </c>
      <c r="AI2020" s="0" t="n">
        <v>11</v>
      </c>
      <c r="AN2020" s="0" t="s">
        <v>146</v>
      </c>
      <c r="AO2020" s="0" t="s">
        <v>250</v>
      </c>
      <c r="AP2020" s="0" t="s">
        <v>251</v>
      </c>
      <c r="AQ2020" s="0" t="n">
        <v>9</v>
      </c>
      <c r="AR2020" s="0" t="n">
        <v>64</v>
      </c>
      <c r="AS2020" s="0" t="n">
        <v>32</v>
      </c>
      <c r="AU2020" s="0" t="n">
        <f aca="false">COUNTA($BA$2123:$EH$2123)</f>
        <v>3</v>
      </c>
      <c r="AV2020" s="0" t="n">
        <f aca="false">COUNTIF($BA$2123:$EH$2123,"D")</f>
        <v>0</v>
      </c>
      <c r="AW2020" s="0" t="n">
        <f aca="false">COUNTIF($BA$2123:$EH$2123,"R")</f>
        <v>0</v>
      </c>
      <c r="AX2020" s="0" t="n">
        <f aca="false"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>8</v>
      </c>
      <c r="AY2020" s="0" t="n">
        <f aca="false">COUNTIF(DU2020:EH2020, "&lt;&gt;")</f>
        <v>7</v>
      </c>
      <c r="AZ2020" s="0" t="n">
        <f aca="false">IF(EH2020&lt;&gt;"",1,0)</f>
        <v>1</v>
      </c>
      <c r="BB2020" s="0" t="s">
        <v>153</v>
      </c>
      <c r="BC2020" s="0" t="s">
        <v>154</v>
      </c>
      <c r="BD2020" s="0" t="s">
        <v>154</v>
      </c>
      <c r="BE2020" s="0" t="s">
        <v>154</v>
      </c>
      <c r="BF2020" s="0" t="s">
        <v>154</v>
      </c>
      <c r="BG2020" s="0" t="s">
        <v>154</v>
      </c>
      <c r="BH2020" s="0" t="s">
        <v>154</v>
      </c>
      <c r="BI2020" s="0" t="s">
        <v>154</v>
      </c>
      <c r="BJ2020" s="0" t="s">
        <v>154</v>
      </c>
      <c r="BK2020" s="0" t="s">
        <v>154</v>
      </c>
      <c r="BL2020" s="0" t="s">
        <v>154</v>
      </c>
      <c r="BP2020" s="0" t="s">
        <v>154</v>
      </c>
      <c r="BR2020" s="0" t="s">
        <v>154</v>
      </c>
      <c r="BS2020" s="0" t="s">
        <v>154</v>
      </c>
      <c r="BV2020" s="0" t="s">
        <v>154</v>
      </c>
      <c r="BY2020" s="0" t="s">
        <v>155</v>
      </c>
      <c r="CA2020" s="0" t="s">
        <v>154</v>
      </c>
      <c r="CG2020" s="0" t="s">
        <v>154</v>
      </c>
      <c r="CH2020" s="0" t="s">
        <v>155</v>
      </c>
      <c r="CK2020" s="0" t="s">
        <v>154</v>
      </c>
      <c r="CL2020" s="0" t="s">
        <v>155</v>
      </c>
      <c r="CN2020" s="0" t="s">
        <v>154</v>
      </c>
      <c r="CO2020" s="0" t="s">
        <v>155</v>
      </c>
      <c r="CP2020" s="0" t="s">
        <v>154</v>
      </c>
      <c r="CQ2020" s="0" t="s">
        <v>155</v>
      </c>
      <c r="CT2020" s="0" t="s">
        <v>154</v>
      </c>
      <c r="CU2020" s="0" t="s">
        <v>155</v>
      </c>
      <c r="CV2020" s="0" t="s">
        <v>154</v>
      </c>
      <c r="CW2020" s="0" t="s">
        <v>155</v>
      </c>
      <c r="CY2020" s="0" t="s">
        <v>154</v>
      </c>
      <c r="CZ2020" s="0" t="s">
        <v>155</v>
      </c>
      <c r="DC2020" s="0" t="s">
        <v>154</v>
      </c>
      <c r="DD2020" s="0" t="s">
        <v>155</v>
      </c>
      <c r="DF2020" s="0" t="s">
        <v>154</v>
      </c>
      <c r="DG2020" s="0" t="s">
        <v>155</v>
      </c>
      <c r="DI2020" s="0" t="s">
        <v>154</v>
      </c>
      <c r="DJ2020" s="0" t="s">
        <v>155</v>
      </c>
      <c r="DL2020" s="0" t="s">
        <v>154</v>
      </c>
      <c r="DM2020" s="0" t="s">
        <v>155</v>
      </c>
      <c r="DN2020" s="0" t="s">
        <v>154</v>
      </c>
      <c r="DO2020" s="0" t="s">
        <v>155</v>
      </c>
      <c r="DR2020" s="0" t="s">
        <v>154</v>
      </c>
      <c r="DS2020" s="0" t="s">
        <v>155</v>
      </c>
      <c r="DU2020" s="0" t="s">
        <v>154</v>
      </c>
      <c r="DW2020" s="0" t="s">
        <v>155</v>
      </c>
      <c r="DX2020" s="0" t="s">
        <v>154</v>
      </c>
      <c r="EA2020" s="0" t="s">
        <v>154</v>
      </c>
      <c r="ED2020" s="0" t="s">
        <v>155</v>
      </c>
      <c r="EF2020" s="0" t="s">
        <v>154</v>
      </c>
      <c r="EH2020" s="0" t="s">
        <v>155</v>
      </c>
    </row>
    <row r="2021" customFormat="false" ht="13.8" hidden="false" customHeight="false" outlineLevel="0" collapsed="false">
      <c r="A2021" s="0" t="s">
        <v>8950</v>
      </c>
      <c r="B2021" s="0" t="n">
        <v>78</v>
      </c>
      <c r="C2021" s="0" t="n">
        <v>463988</v>
      </c>
      <c r="D2021" s="0" t="s">
        <v>8951</v>
      </c>
      <c r="E2021" s="0" t="s">
        <v>8952</v>
      </c>
      <c r="F2021" s="0" t="str">
        <f aca="false">CONCATENATE(D2021," ",LEFT(H2021,4),"T=",AU2021,"D=",AV2021,"R=",AW2021,"M=",AX2021,"L=",AY2021,"B=",AZ2021)</f>
        <v>ROACH T=47D=19R=0M=0L=4B=0</v>
      </c>
      <c r="G2021" s="0" t="s">
        <v>8953</v>
      </c>
      <c r="I2021" s="0" t="s">
        <v>8954</v>
      </c>
      <c r="J2021" s="0" t="s">
        <v>580</v>
      </c>
      <c r="K2021" s="0" t="s">
        <v>175</v>
      </c>
      <c r="L2021" s="1" t="s">
        <v>155</v>
      </c>
      <c r="M2021" s="0" t="s">
        <v>8955</v>
      </c>
      <c r="N2021" s="0" t="str">
        <f aca="false">RIGHT(M2021,LEN(M2021)-FIND(" ",M2021))</f>
        <v>OGDEN AVE NW</v>
      </c>
      <c r="P2021" s="0" t="s">
        <v>146</v>
      </c>
      <c r="Q2021" s="0" t="s">
        <v>147</v>
      </c>
      <c r="R2021" s="0" t="n">
        <v>44483</v>
      </c>
      <c r="AD2021" s="0" t="s">
        <v>148</v>
      </c>
      <c r="AE2021" s="0" t="s">
        <v>149</v>
      </c>
      <c r="AF2021" s="0" t="s">
        <v>150</v>
      </c>
      <c r="AH2021" s="0" t="n">
        <v>14</v>
      </c>
      <c r="AI2021" s="0" t="n">
        <v>11</v>
      </c>
      <c r="AN2021" s="0" t="s">
        <v>146</v>
      </c>
      <c r="AO2021" s="0" t="s">
        <v>250</v>
      </c>
      <c r="AP2021" s="0" t="s">
        <v>251</v>
      </c>
      <c r="AQ2021" s="0" t="n">
        <v>9</v>
      </c>
      <c r="AR2021" s="0" t="n">
        <v>64</v>
      </c>
      <c r="AS2021" s="0" t="n">
        <v>32</v>
      </c>
      <c r="AU2021" s="0" t="n">
        <f aca="false">COUNTA($BA$2393:$EH$2393)</f>
        <v>47</v>
      </c>
      <c r="AV2021" s="0" t="n">
        <f aca="false">COUNTIF($BA$2393:$EH$2393,"D")</f>
        <v>19</v>
      </c>
      <c r="AW2021" s="0" t="n">
        <f aca="false">COUNTIF($BA$2393:$EH$2393,"R")</f>
        <v>0</v>
      </c>
      <c r="AX2021" s="0" t="n">
        <f aca="false"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>0</v>
      </c>
      <c r="AY2021" s="0" t="n">
        <f aca="false">COUNTIF(DU2021:EH2021, "&lt;&gt;")</f>
        <v>4</v>
      </c>
      <c r="AZ2021" s="0" t="n">
        <f aca="false">IF(EH2021&lt;&gt;"",1,0)</f>
        <v>0</v>
      </c>
      <c r="BB2021" s="0" t="s">
        <v>153</v>
      </c>
      <c r="DT2021" s="0" t="s">
        <v>155</v>
      </c>
      <c r="DU2021" s="0" t="s">
        <v>154</v>
      </c>
      <c r="DX2021" s="0" t="s">
        <v>154</v>
      </c>
      <c r="EA2021" s="0" t="s">
        <v>154</v>
      </c>
      <c r="EF2021" s="0" t="s">
        <v>154</v>
      </c>
    </row>
    <row r="2022" customFormat="false" ht="13.8" hidden="true" customHeight="false" outlineLevel="0" collapsed="false">
      <c r="A2022" s="0" t="s">
        <v>8956</v>
      </c>
      <c r="B2022" s="0" t="n">
        <v>78</v>
      </c>
      <c r="C2022" s="0" t="n">
        <v>492547</v>
      </c>
      <c r="D2022" s="0" t="s">
        <v>7025</v>
      </c>
      <c r="E2022" s="0" t="s">
        <v>317</v>
      </c>
      <c r="F2022" s="0" t="str">
        <f aca="false">CONCATENATE(D2022," ",LEFT(H2022,4),"T=",AU2022,"D=",AV2022,"R=",AW2022,"M=",AX2022,"L=",AY2022,"B=",AZ2022)</f>
        <v>TURNER JRT=30D=9R=0M=0L=0B=0</v>
      </c>
      <c r="G2022" s="0" t="s">
        <v>139</v>
      </c>
      <c r="H2022" s="0" t="s">
        <v>431</v>
      </c>
      <c r="I2022" s="0" t="s">
        <v>8957</v>
      </c>
      <c r="J2022" s="0" t="s">
        <v>8958</v>
      </c>
      <c r="K2022" s="0" t="s">
        <v>175</v>
      </c>
      <c r="L2022" s="0"/>
      <c r="M2022" s="0" t="s">
        <v>8959</v>
      </c>
      <c r="N2022" s="0" t="str">
        <f aca="false">RIGHT(M2022,LEN(M2022)-FIND(" ",M2022))</f>
        <v>OGDEN AVE NW</v>
      </c>
      <c r="P2022" s="0" t="s">
        <v>146</v>
      </c>
      <c r="Q2022" s="0" t="s">
        <v>147</v>
      </c>
      <c r="R2022" s="0" t="n">
        <v>44483</v>
      </c>
      <c r="AD2022" s="0" t="s">
        <v>148</v>
      </c>
      <c r="AE2022" s="0" t="s">
        <v>149</v>
      </c>
      <c r="AF2022" s="0" t="s">
        <v>150</v>
      </c>
      <c r="AH2022" s="0" t="n">
        <v>14</v>
      </c>
      <c r="AI2022" s="0" t="n">
        <v>11</v>
      </c>
      <c r="AN2022" s="0" t="s">
        <v>146</v>
      </c>
      <c r="AO2022" s="0" t="s">
        <v>250</v>
      </c>
      <c r="AP2022" s="0" t="s">
        <v>251</v>
      </c>
      <c r="AQ2022" s="0" t="n">
        <v>9</v>
      </c>
      <c r="AR2022" s="0" t="n">
        <v>64</v>
      </c>
      <c r="AS2022" s="0" t="n">
        <v>32</v>
      </c>
      <c r="AU2022" s="0" t="n">
        <f aca="false">COUNTA($BA$2475:$EH$2475)</f>
        <v>30</v>
      </c>
      <c r="AV2022" s="0" t="n">
        <f aca="false">COUNTIF($BA$2475:$EH$2475,"D")</f>
        <v>9</v>
      </c>
      <c r="AW2022" s="0" t="n">
        <f aca="false">COUNTIF($BA$2475:$EH$2475,"R")</f>
        <v>0</v>
      </c>
      <c r="AX2022" s="0" t="n">
        <f aca="false"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>0</v>
      </c>
      <c r="AY2022" s="0" t="n">
        <f aca="false">COUNTIF(DU2022:EH2022, "&lt;&gt;")</f>
        <v>0</v>
      </c>
      <c r="AZ2022" s="0" t="n">
        <f aca="false">IF(EH2022&lt;&gt;"",1,0)</f>
        <v>0</v>
      </c>
      <c r="BB2022" s="0" t="s">
        <v>153</v>
      </c>
    </row>
    <row r="2023" customFormat="false" ht="13.8" hidden="true" customHeight="false" outlineLevel="0" collapsed="false">
      <c r="A2023" s="0" t="s">
        <v>8960</v>
      </c>
      <c r="B2023" s="0" t="n">
        <v>78</v>
      </c>
      <c r="C2023" s="0" t="n">
        <v>329337</v>
      </c>
      <c r="D2023" s="0" t="s">
        <v>3149</v>
      </c>
      <c r="E2023" s="0" t="s">
        <v>4899</v>
      </c>
      <c r="F2023" s="0" t="str">
        <f aca="false">CONCATENATE(D2023," ",LEFT(H2023,4),"T=",AU2023,"D=",AV2023,"R=",AW2023,"M=",AX2023,"L=",AY2023,"B=",AZ2023)</f>
        <v>CALHOUN T=8D=2R=0M=0L=0B=0</v>
      </c>
      <c r="G2023" s="0" t="s">
        <v>155</v>
      </c>
      <c r="I2023" s="0" t="s">
        <v>8961</v>
      </c>
      <c r="J2023" s="0" t="s">
        <v>8962</v>
      </c>
      <c r="K2023" s="0" t="s">
        <v>175</v>
      </c>
      <c r="L2023" s="0"/>
      <c r="M2023" s="0" t="s">
        <v>8963</v>
      </c>
      <c r="N2023" s="0" t="str">
        <f aca="false">RIGHT(M2023,LEN(M2023)-FIND(" ",M2023))</f>
        <v>OGDEN AVE NW</v>
      </c>
      <c r="P2023" s="0" t="s">
        <v>146</v>
      </c>
      <c r="Q2023" s="0" t="s">
        <v>147</v>
      </c>
      <c r="R2023" s="0" t="n">
        <v>44483</v>
      </c>
      <c r="AD2023" s="0" t="s">
        <v>148</v>
      </c>
      <c r="AE2023" s="0" t="s">
        <v>149</v>
      </c>
      <c r="AF2023" s="0" t="s">
        <v>150</v>
      </c>
      <c r="AH2023" s="0" t="n">
        <v>14</v>
      </c>
      <c r="AI2023" s="0" t="n">
        <v>11</v>
      </c>
      <c r="AN2023" s="0" t="s">
        <v>146</v>
      </c>
      <c r="AO2023" s="0" t="s">
        <v>250</v>
      </c>
      <c r="AP2023" s="0" t="s">
        <v>251</v>
      </c>
      <c r="AQ2023" s="0" t="n">
        <v>9</v>
      </c>
      <c r="AR2023" s="0" t="n">
        <v>64</v>
      </c>
      <c r="AS2023" s="0" t="n">
        <v>32</v>
      </c>
      <c r="AU2023" s="0" t="n">
        <f aca="false">COUNTA($BA$2154:$EH$2154)</f>
        <v>8</v>
      </c>
      <c r="AV2023" s="0" t="n">
        <f aca="false">COUNTIF($BA$2154:$EH$2154,"D")</f>
        <v>2</v>
      </c>
      <c r="AW2023" s="0" t="n">
        <f aca="false">COUNTIF($BA$2154:$EH$2154,"R")</f>
        <v>0</v>
      </c>
      <c r="AX2023" s="0" t="n">
        <f aca="false"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>0</v>
      </c>
      <c r="AY2023" s="0" t="n">
        <f aca="false">COUNTIF(DU2023:EH2023, "&lt;&gt;")</f>
        <v>0</v>
      </c>
      <c r="AZ2023" s="0" t="n">
        <f aca="false">IF(EH2023&lt;&gt;"",1,0)</f>
        <v>0</v>
      </c>
      <c r="BB2023" s="0" t="s">
        <v>153</v>
      </c>
      <c r="BL2023" s="0" t="s">
        <v>154</v>
      </c>
      <c r="BY2023" s="0" t="s">
        <v>155</v>
      </c>
      <c r="CA2023" s="0" t="s">
        <v>154</v>
      </c>
      <c r="CP2023" s="0" t="s">
        <v>154</v>
      </c>
      <c r="DC2023" s="0" t="s">
        <v>154</v>
      </c>
      <c r="DN2023" s="0" t="s">
        <v>154</v>
      </c>
    </row>
    <row r="2024" customFormat="false" ht="13.8" hidden="true" customHeight="false" outlineLevel="0" collapsed="false">
      <c r="A2024" s="0" t="s">
        <v>8964</v>
      </c>
      <c r="B2024" s="0" t="n">
        <v>78</v>
      </c>
      <c r="C2024" s="0" t="n">
        <v>495207</v>
      </c>
      <c r="D2024" s="0" t="s">
        <v>8965</v>
      </c>
      <c r="E2024" s="0" t="s">
        <v>8966</v>
      </c>
      <c r="F2024" s="0" t="str">
        <f aca="false">CONCATENATE(D2024," ",LEFT(H2024,4),"T=",AU2024,"D=",AV2024,"R=",AW2024,"M=",AX2024,"L=",AY2024,"B=",AZ2024)</f>
        <v>STUBBS T=6D=0R=0M=0L=0B=0</v>
      </c>
      <c r="G2024" s="0" t="s">
        <v>8967</v>
      </c>
      <c r="I2024" s="0" t="s">
        <v>8166</v>
      </c>
      <c r="J2024" s="0" t="s">
        <v>4644</v>
      </c>
      <c r="K2024" s="0" t="s">
        <v>175</v>
      </c>
      <c r="L2024" s="0"/>
      <c r="M2024" s="0" t="s">
        <v>8963</v>
      </c>
      <c r="N2024" s="0" t="str">
        <f aca="false">RIGHT(M2024,LEN(M2024)-FIND(" ",M2024))</f>
        <v>OGDEN AVE NW</v>
      </c>
      <c r="P2024" s="0" t="s">
        <v>146</v>
      </c>
      <c r="Q2024" s="0" t="s">
        <v>147</v>
      </c>
      <c r="R2024" s="0" t="n">
        <v>44483</v>
      </c>
      <c r="AD2024" s="0" t="s">
        <v>148</v>
      </c>
      <c r="AE2024" s="0" t="s">
        <v>149</v>
      </c>
      <c r="AF2024" s="0" t="s">
        <v>150</v>
      </c>
      <c r="AH2024" s="0" t="n">
        <v>14</v>
      </c>
      <c r="AI2024" s="0" t="n">
        <v>11</v>
      </c>
      <c r="AN2024" s="0" t="s">
        <v>146</v>
      </c>
      <c r="AO2024" s="0" t="s">
        <v>250</v>
      </c>
      <c r="AP2024" s="0" t="s">
        <v>251</v>
      </c>
      <c r="AQ2024" s="0" t="n">
        <v>9</v>
      </c>
      <c r="AR2024" s="0" t="n">
        <v>64</v>
      </c>
      <c r="AS2024" s="0" t="n">
        <v>32</v>
      </c>
      <c r="AU2024" s="0" t="n">
        <f aca="false">COUNTA($BA$2680:$EH$2680)</f>
        <v>6</v>
      </c>
      <c r="AV2024" s="0" t="n">
        <f aca="false">COUNTIF($BA$2680:$EH$2680,"D")</f>
        <v>0</v>
      </c>
      <c r="AW2024" s="0" t="n">
        <f aca="false">COUNTIF($BA$2680:$EH$2680,"R")</f>
        <v>0</v>
      </c>
      <c r="AX2024" s="0" t="n">
        <f aca="false"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>0</v>
      </c>
      <c r="AY2024" s="0" t="n">
        <f aca="false">COUNTIF(DU2024:EH2024, "&lt;&gt;")</f>
        <v>0</v>
      </c>
      <c r="AZ2024" s="0" t="n">
        <f aca="false">IF(EH2024&lt;&gt;"",1,0)</f>
        <v>0</v>
      </c>
      <c r="BB2024" s="0" t="s">
        <v>153</v>
      </c>
    </row>
    <row r="2025" customFormat="false" ht="13.8" hidden="true" customHeight="false" outlineLevel="0" collapsed="false">
      <c r="A2025" s="0" t="s">
        <v>8968</v>
      </c>
      <c r="B2025" s="0" t="n">
        <v>78</v>
      </c>
      <c r="C2025" s="0" t="n">
        <v>408680</v>
      </c>
      <c r="D2025" s="0" t="s">
        <v>1582</v>
      </c>
      <c r="E2025" s="0" t="s">
        <v>8969</v>
      </c>
      <c r="F2025" s="0" t="str">
        <f aca="false">CONCATENATE(D2025," ",LEFT(H2025,4),"T=",AU2025,"D=",AV2025,"R=",AW2025,"M=",AX2025,"L=",AY2025,"B=",AZ2025)</f>
        <v>SMITH T=1D=0R=0M=0L=0B=0</v>
      </c>
      <c r="G2025" s="0" t="s">
        <v>241</v>
      </c>
      <c r="I2025" s="0" t="s">
        <v>8970</v>
      </c>
      <c r="J2025" s="0" t="s">
        <v>342</v>
      </c>
      <c r="K2025" s="0" t="s">
        <v>175</v>
      </c>
      <c r="L2025" s="0"/>
      <c r="M2025" s="0" t="s">
        <v>8971</v>
      </c>
      <c r="N2025" s="0" t="str">
        <f aca="false">RIGHT(M2025,LEN(M2025)-FIND(" ",M2025))</f>
        <v>OGDEN AVE NW</v>
      </c>
      <c r="P2025" s="0" t="s">
        <v>146</v>
      </c>
      <c r="Q2025" s="0" t="s">
        <v>147</v>
      </c>
      <c r="R2025" s="0" t="n">
        <v>44483</v>
      </c>
      <c r="AD2025" s="0" t="s">
        <v>148</v>
      </c>
      <c r="AE2025" s="0" t="s">
        <v>149</v>
      </c>
      <c r="AF2025" s="0" t="s">
        <v>150</v>
      </c>
      <c r="AH2025" s="0" t="n">
        <v>14</v>
      </c>
      <c r="AI2025" s="0" t="n">
        <v>11</v>
      </c>
      <c r="AN2025" s="0" t="s">
        <v>146</v>
      </c>
      <c r="AO2025" s="0" t="s">
        <v>250</v>
      </c>
      <c r="AP2025" s="0" t="s">
        <v>251</v>
      </c>
      <c r="AQ2025" s="0" t="n">
        <v>9</v>
      </c>
      <c r="AR2025" s="0" t="n">
        <v>64</v>
      </c>
      <c r="AS2025" s="0" t="n">
        <v>32</v>
      </c>
      <c r="AU2025" s="0" t="n">
        <f aca="false">COUNTA($BA$2144:$EH$2144)</f>
        <v>1</v>
      </c>
      <c r="AV2025" s="0" t="n">
        <f aca="false">COUNTIF($BA$2144:$EH$2144,"D")</f>
        <v>0</v>
      </c>
      <c r="AW2025" s="0" t="n">
        <f aca="false">COUNTIF($BA$2144:$EH$2144,"R")</f>
        <v>0</v>
      </c>
      <c r="AX2025" s="0" t="n">
        <f aca="false"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>0</v>
      </c>
      <c r="AY2025" s="0" t="n">
        <f aca="false">COUNTIF(DU2025:EH2025, "&lt;&gt;")</f>
        <v>0</v>
      </c>
      <c r="AZ2025" s="0" t="n">
        <f aca="false">IF(EH2025&lt;&gt;"",1,0)</f>
        <v>0</v>
      </c>
      <c r="BB2025" s="0" t="s">
        <v>153</v>
      </c>
    </row>
    <row r="2026" customFormat="false" ht="13.8" hidden="true" customHeight="false" outlineLevel="0" collapsed="false">
      <c r="A2026" s="0" t="s">
        <v>8972</v>
      </c>
      <c r="B2026" s="0" t="n">
        <v>78</v>
      </c>
      <c r="C2026" s="0" t="n">
        <v>415491</v>
      </c>
      <c r="D2026" s="0" t="s">
        <v>8973</v>
      </c>
      <c r="E2026" s="0" t="s">
        <v>1244</v>
      </c>
      <c r="F2026" s="0" t="str">
        <f aca="false">CONCATENATE(D2026," ",LEFT(H2026,4),"T=",AU2026,"D=",AV2026,"R=",AW2026,"M=",AX2026,"L=",AY2026,"B=",AZ2026)</f>
        <v>SULCER T=1D=0R=0M=0L=0B=0</v>
      </c>
      <c r="G2026" s="0" t="s">
        <v>155</v>
      </c>
      <c r="I2026" s="0" t="s">
        <v>8974</v>
      </c>
      <c r="J2026" s="0" t="s">
        <v>1838</v>
      </c>
      <c r="K2026" s="0" t="s">
        <v>175</v>
      </c>
      <c r="L2026" s="0"/>
      <c r="M2026" s="0" t="s">
        <v>8971</v>
      </c>
      <c r="N2026" s="0" t="str">
        <f aca="false">RIGHT(M2026,LEN(M2026)-FIND(" ",M2026))</f>
        <v>OGDEN AVE NW</v>
      </c>
      <c r="P2026" s="0" t="s">
        <v>146</v>
      </c>
      <c r="Q2026" s="0" t="s">
        <v>147</v>
      </c>
      <c r="R2026" s="0" t="n">
        <v>44483</v>
      </c>
      <c r="AD2026" s="0" t="s">
        <v>148</v>
      </c>
      <c r="AE2026" s="0" t="s">
        <v>149</v>
      </c>
      <c r="AF2026" s="0" t="s">
        <v>150</v>
      </c>
      <c r="AH2026" s="0" t="n">
        <v>14</v>
      </c>
      <c r="AI2026" s="0" t="n">
        <v>11</v>
      </c>
      <c r="AN2026" s="0" t="s">
        <v>146</v>
      </c>
      <c r="AO2026" s="0" t="s">
        <v>250</v>
      </c>
      <c r="AP2026" s="0" t="s">
        <v>251</v>
      </c>
      <c r="AQ2026" s="0" t="n">
        <v>9</v>
      </c>
      <c r="AR2026" s="0" t="n">
        <v>64</v>
      </c>
      <c r="AS2026" s="0" t="n">
        <v>32</v>
      </c>
      <c r="AU2026" s="0" t="n">
        <f aca="false">COUNTA($BA$2624:$EH$2624)</f>
        <v>1</v>
      </c>
      <c r="AV2026" s="0" t="n">
        <f aca="false">COUNTIF($BA$2624:$EH$2624,"D")</f>
        <v>0</v>
      </c>
      <c r="AW2026" s="0" t="n">
        <f aca="false">COUNTIF($BA$2624:$EH$2624,"R")</f>
        <v>0</v>
      </c>
      <c r="AX2026" s="0" t="n">
        <f aca="false"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>0</v>
      </c>
      <c r="AY2026" s="0" t="n">
        <f aca="false">COUNTIF(DU2026:EH2026, "&lt;&gt;")</f>
        <v>0</v>
      </c>
      <c r="AZ2026" s="0" t="n">
        <f aca="false">IF(EH2026&lt;&gt;"",1,0)</f>
        <v>0</v>
      </c>
      <c r="BB2026" s="0" t="s">
        <v>153</v>
      </c>
    </row>
    <row r="2027" customFormat="false" ht="13.8" hidden="true" customHeight="false" outlineLevel="0" collapsed="false">
      <c r="A2027" s="0" t="s">
        <v>8975</v>
      </c>
      <c r="B2027" s="0" t="n">
        <v>78</v>
      </c>
      <c r="C2027" s="0" t="n">
        <v>443829</v>
      </c>
      <c r="D2027" s="0" t="s">
        <v>8976</v>
      </c>
      <c r="E2027" s="0" t="s">
        <v>8977</v>
      </c>
      <c r="F2027" s="0" t="str">
        <f aca="false">CONCATENATE(D2027," ",LEFT(H2027,4),"T=",AU2027,"D=",AV2027,"R=",AW2027,"M=",AX2027,"L=",AY2027,"B=",AZ2027)</f>
        <v>COLE T=2D=0R=0M=0L=0B=0</v>
      </c>
      <c r="G2027" s="0" t="s">
        <v>222</v>
      </c>
      <c r="I2027" s="0" t="s">
        <v>8978</v>
      </c>
      <c r="J2027" s="0" t="s">
        <v>8979</v>
      </c>
      <c r="K2027" s="0" t="s">
        <v>175</v>
      </c>
      <c r="L2027" s="0"/>
      <c r="M2027" s="0" t="s">
        <v>8971</v>
      </c>
      <c r="N2027" s="0" t="str">
        <f aca="false">RIGHT(M2027,LEN(M2027)-FIND(" ",M2027))</f>
        <v>OGDEN AVE NW</v>
      </c>
      <c r="P2027" s="0" t="s">
        <v>146</v>
      </c>
      <c r="Q2027" s="0" t="s">
        <v>147</v>
      </c>
      <c r="R2027" s="0" t="n">
        <v>44483</v>
      </c>
      <c r="AD2027" s="0" t="s">
        <v>148</v>
      </c>
      <c r="AE2027" s="0" t="s">
        <v>149</v>
      </c>
      <c r="AF2027" s="0" t="s">
        <v>150</v>
      </c>
      <c r="AH2027" s="0" t="n">
        <v>14</v>
      </c>
      <c r="AI2027" s="0" t="n">
        <v>11</v>
      </c>
      <c r="AN2027" s="0" t="s">
        <v>146</v>
      </c>
      <c r="AO2027" s="0" t="s">
        <v>250</v>
      </c>
      <c r="AP2027" s="0" t="s">
        <v>251</v>
      </c>
      <c r="AQ2027" s="0" t="n">
        <v>9</v>
      </c>
      <c r="AR2027" s="0" t="n">
        <v>64</v>
      </c>
      <c r="AS2027" s="0" t="n">
        <v>32</v>
      </c>
      <c r="AU2027" s="0" t="n">
        <f aca="false">COUNTA($BA$2743:$EH$2743)</f>
        <v>2</v>
      </c>
      <c r="AV2027" s="0" t="n">
        <f aca="false">COUNTIF($BA$2743:$EH$2743,"D")</f>
        <v>0</v>
      </c>
      <c r="AW2027" s="0" t="n">
        <f aca="false">COUNTIF($BA$2743:$EH$2743,"R")</f>
        <v>0</v>
      </c>
      <c r="AX2027" s="0" t="n">
        <f aca="false"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>0</v>
      </c>
      <c r="AY2027" s="0" t="n">
        <f aca="false">COUNTIF(DU2027:EH2027, "&lt;&gt;")</f>
        <v>0</v>
      </c>
      <c r="AZ2027" s="0" t="n">
        <f aca="false">IF(EH2027&lt;&gt;"",1,0)</f>
        <v>0</v>
      </c>
      <c r="BB2027" s="0" t="s">
        <v>153</v>
      </c>
    </row>
    <row r="2028" customFormat="false" ht="13.8" hidden="true" customHeight="false" outlineLevel="0" collapsed="false">
      <c r="A2028" s="0" t="s">
        <v>8980</v>
      </c>
      <c r="B2028" s="0" t="n">
        <v>78</v>
      </c>
      <c r="C2028" s="0" t="n">
        <v>426749</v>
      </c>
      <c r="D2028" s="0" t="s">
        <v>4023</v>
      </c>
      <c r="E2028" s="0" t="s">
        <v>1550</v>
      </c>
      <c r="F2028" s="0" t="str">
        <f aca="false">CONCATENATE(D2028," ",LEFT(H2028,4),"T=",AU2028,"D=",AV2028,"R=",AW2028,"M=",AX2028,"L=",AY2028,"B=",AZ2028)</f>
        <v>HENDERSON T=4D=1R=0M=0L=1B=0</v>
      </c>
      <c r="G2028" s="0" t="s">
        <v>8395</v>
      </c>
      <c r="I2028" s="0" t="s">
        <v>4637</v>
      </c>
      <c r="J2028" s="0" t="s">
        <v>8981</v>
      </c>
      <c r="K2028" s="0" t="s">
        <v>175</v>
      </c>
      <c r="L2028" s="0"/>
      <c r="M2028" s="0" t="s">
        <v>8971</v>
      </c>
      <c r="N2028" s="0" t="str">
        <f aca="false">RIGHT(M2028,LEN(M2028)-FIND(" ",M2028))</f>
        <v>OGDEN AVE NW</v>
      </c>
      <c r="P2028" s="0" t="s">
        <v>146</v>
      </c>
      <c r="Q2028" s="0" t="s">
        <v>147</v>
      </c>
      <c r="R2028" s="0" t="n">
        <v>44483</v>
      </c>
      <c r="AD2028" s="0" t="s">
        <v>148</v>
      </c>
      <c r="AE2028" s="0" t="s">
        <v>149</v>
      </c>
      <c r="AF2028" s="0" t="s">
        <v>150</v>
      </c>
      <c r="AH2028" s="0" t="n">
        <v>14</v>
      </c>
      <c r="AI2028" s="0" t="n">
        <v>11</v>
      </c>
      <c r="AN2028" s="0" t="s">
        <v>146</v>
      </c>
      <c r="AO2028" s="0" t="s">
        <v>250</v>
      </c>
      <c r="AP2028" s="0" t="s">
        <v>251</v>
      </c>
      <c r="AQ2028" s="0" t="n">
        <v>9</v>
      </c>
      <c r="AR2028" s="0" t="n">
        <v>64</v>
      </c>
      <c r="AS2028" s="0" t="n">
        <v>32</v>
      </c>
      <c r="AU2028" s="0" t="n">
        <f aca="false">COUNTA($BA$2751:$EH$2751)</f>
        <v>4</v>
      </c>
      <c r="AV2028" s="0" t="n">
        <f aca="false">COUNTIF($BA$2751:$EH$2751,"D")</f>
        <v>1</v>
      </c>
      <c r="AW2028" s="0" t="n">
        <f aca="false">COUNTIF($BA$2751:$EH$2751,"R")</f>
        <v>0</v>
      </c>
      <c r="AX2028" s="0" t="n">
        <f aca="false"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>0</v>
      </c>
      <c r="AY2028" s="0" t="n">
        <f aca="false">COUNTIF(DU2028:EH2028, "&lt;&gt;")</f>
        <v>1</v>
      </c>
      <c r="AZ2028" s="0" t="n">
        <f aca="false">IF(EH2028&lt;&gt;"",1,0)</f>
        <v>0</v>
      </c>
      <c r="BB2028" s="0" t="s">
        <v>153</v>
      </c>
      <c r="EF2028" s="0" t="s">
        <v>154</v>
      </c>
    </row>
    <row r="2029" customFormat="false" ht="13.8" hidden="true" customHeight="false" outlineLevel="0" collapsed="false">
      <c r="A2029" s="0" t="s">
        <v>8982</v>
      </c>
      <c r="B2029" s="0" t="n">
        <v>78</v>
      </c>
      <c r="C2029" s="0" t="n">
        <v>487369</v>
      </c>
      <c r="D2029" s="0" t="s">
        <v>3118</v>
      </c>
      <c r="E2029" s="0" t="s">
        <v>8983</v>
      </c>
      <c r="F2029" s="0" t="str">
        <f aca="false">CONCATENATE(D2029," ",LEFT(H2029,4),"T=",AU2029,"D=",AV2029,"R=",AW2029,"M=",AX2029,"L=",AY2029,"B=",AZ2029)</f>
        <v>WALTERS T=14D=0R=3M=0L=0B=0</v>
      </c>
      <c r="G2029" s="0" t="s">
        <v>155</v>
      </c>
      <c r="I2029" s="0" t="s">
        <v>8984</v>
      </c>
      <c r="J2029" s="0" t="s">
        <v>504</v>
      </c>
      <c r="K2029" s="0" t="s">
        <v>175</v>
      </c>
      <c r="L2029" s="0"/>
      <c r="M2029" s="0" t="s">
        <v>8985</v>
      </c>
      <c r="N2029" s="0" t="str">
        <f aca="false">RIGHT(M2029,LEN(M2029)-FIND(" ",M2029))</f>
        <v>OGDEN AVE NW</v>
      </c>
      <c r="P2029" s="0" t="s">
        <v>146</v>
      </c>
      <c r="Q2029" s="0" t="s">
        <v>147</v>
      </c>
      <c r="R2029" s="0" t="n">
        <v>44483</v>
      </c>
      <c r="AD2029" s="0" t="s">
        <v>148</v>
      </c>
      <c r="AE2029" s="0" t="s">
        <v>149</v>
      </c>
      <c r="AF2029" s="0" t="s">
        <v>150</v>
      </c>
      <c r="AH2029" s="0" t="n">
        <v>14</v>
      </c>
      <c r="AI2029" s="0" t="n">
        <v>11</v>
      </c>
      <c r="AN2029" s="0" t="s">
        <v>146</v>
      </c>
      <c r="AO2029" s="0" t="s">
        <v>250</v>
      </c>
      <c r="AP2029" s="0" t="s">
        <v>251</v>
      </c>
      <c r="AQ2029" s="0" t="n">
        <v>9</v>
      </c>
      <c r="AR2029" s="0" t="n">
        <v>64</v>
      </c>
      <c r="AS2029" s="0" t="n">
        <v>32</v>
      </c>
      <c r="AU2029" s="0" t="n">
        <f aca="false">COUNTA($BA$2550:$EH$2550)</f>
        <v>14</v>
      </c>
      <c r="AV2029" s="0" t="n">
        <f aca="false">COUNTIF($BA$2550:$EH$2550,"D")</f>
        <v>0</v>
      </c>
      <c r="AW2029" s="0" t="n">
        <f aca="false">COUNTIF($BA$2550:$EH$2550,"R")</f>
        <v>3</v>
      </c>
      <c r="AX2029" s="0" t="n">
        <f aca="false"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>0</v>
      </c>
      <c r="AY2029" s="0" t="n">
        <f aca="false">COUNTIF(DU2029:EH2029, "&lt;&gt;")</f>
        <v>0</v>
      </c>
      <c r="AZ2029" s="0" t="n">
        <f aca="false">IF(EH2029&lt;&gt;"",1,0)</f>
        <v>0</v>
      </c>
      <c r="BB2029" s="0" t="s">
        <v>153</v>
      </c>
    </row>
    <row r="2030" customFormat="false" ht="13.8" hidden="true" customHeight="false" outlineLevel="0" collapsed="false">
      <c r="A2030" s="0" t="s">
        <v>8986</v>
      </c>
      <c r="B2030" s="0" t="n">
        <v>78</v>
      </c>
      <c r="C2030" s="0" t="n">
        <v>470882</v>
      </c>
      <c r="D2030" s="0" t="s">
        <v>8976</v>
      </c>
      <c r="E2030" s="0" t="s">
        <v>8987</v>
      </c>
      <c r="F2030" s="0" t="str">
        <f aca="false">CONCATENATE(D2030," ",LEFT(H2030,4),"T=",AU2030,"D=",AV2030,"R=",AW2030,"M=",AX2030,"L=",AY2030,"B=",AZ2030)</f>
        <v>COLE T=8D=1R=0M=0L=0B=0</v>
      </c>
      <c r="G2030" s="0" t="s">
        <v>188</v>
      </c>
      <c r="I2030" s="0" t="s">
        <v>8988</v>
      </c>
      <c r="J2030" s="0" t="s">
        <v>910</v>
      </c>
      <c r="K2030" s="0" t="s">
        <v>175</v>
      </c>
      <c r="L2030" s="0"/>
      <c r="M2030" s="0" t="s">
        <v>8989</v>
      </c>
      <c r="N2030" s="0" t="str">
        <f aca="false">RIGHT(M2030,LEN(M2030)-FIND(" ",M2030))</f>
        <v>OGDEN AVE NW</v>
      </c>
      <c r="P2030" s="0" t="s">
        <v>146</v>
      </c>
      <c r="Q2030" s="0" t="s">
        <v>147</v>
      </c>
      <c r="R2030" s="0" t="n">
        <v>44483</v>
      </c>
      <c r="AD2030" s="0" t="s">
        <v>148</v>
      </c>
      <c r="AE2030" s="0" t="s">
        <v>149</v>
      </c>
      <c r="AF2030" s="0" t="s">
        <v>150</v>
      </c>
      <c r="AH2030" s="0" t="n">
        <v>14</v>
      </c>
      <c r="AI2030" s="0" t="n">
        <v>11</v>
      </c>
      <c r="AN2030" s="0" t="s">
        <v>146</v>
      </c>
      <c r="AO2030" s="0" t="s">
        <v>250</v>
      </c>
      <c r="AP2030" s="0" t="s">
        <v>251</v>
      </c>
      <c r="AQ2030" s="0" t="n">
        <v>9</v>
      </c>
      <c r="AR2030" s="0" t="n">
        <v>64</v>
      </c>
      <c r="AS2030" s="0" t="n">
        <v>32</v>
      </c>
      <c r="AU2030" s="0" t="n">
        <f aca="false">COUNTA($BA$2156:$EH$2156)</f>
        <v>8</v>
      </c>
      <c r="AV2030" s="0" t="n">
        <f aca="false">COUNTIF($BA$2156:$EH$2156,"D")</f>
        <v>1</v>
      </c>
      <c r="AW2030" s="0" t="n">
        <f aca="false">COUNTIF($BA$2156:$EH$2156,"R")</f>
        <v>0</v>
      </c>
      <c r="AX2030" s="0" t="n">
        <f aca="false"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>0</v>
      </c>
      <c r="AY2030" s="0" t="n">
        <f aca="false">COUNTIF(DU2030:EH2030, "&lt;&gt;")</f>
        <v>0</v>
      </c>
      <c r="AZ2030" s="0" t="n">
        <f aca="false">IF(EH2030&lt;&gt;"",1,0)</f>
        <v>0</v>
      </c>
      <c r="BB2030" s="0" t="s">
        <v>153</v>
      </c>
    </row>
    <row r="2031" customFormat="false" ht="13.8" hidden="true" customHeight="false" outlineLevel="0" collapsed="false">
      <c r="A2031" s="0" t="s">
        <v>8990</v>
      </c>
      <c r="B2031" s="0" t="n">
        <v>78</v>
      </c>
      <c r="C2031" s="0" t="n">
        <v>301599</v>
      </c>
      <c r="D2031" s="0" t="s">
        <v>8991</v>
      </c>
      <c r="E2031" s="0" t="s">
        <v>744</v>
      </c>
      <c r="F2031" s="0" t="str">
        <f aca="false">CONCATENATE(D2031," ",LEFT(H2031,4),"T=",AU2031,"D=",AV2031,"R=",AW2031,"M=",AX2031,"L=",AY2031,"B=",AZ2031)</f>
        <v>VINTILA T=3D=0R=0M=0L=0B=0</v>
      </c>
      <c r="G2031" s="0" t="s">
        <v>241</v>
      </c>
      <c r="I2031" s="0" t="s">
        <v>8992</v>
      </c>
      <c r="J2031" s="0" t="s">
        <v>8993</v>
      </c>
      <c r="K2031" s="0" t="s">
        <v>144</v>
      </c>
      <c r="L2031" s="0"/>
      <c r="M2031" s="0" t="s">
        <v>8989</v>
      </c>
      <c r="N2031" s="0" t="str">
        <f aca="false">RIGHT(M2031,LEN(M2031)-FIND(" ",M2031))</f>
        <v>OGDEN AVE NW</v>
      </c>
      <c r="P2031" s="0" t="s">
        <v>146</v>
      </c>
      <c r="Q2031" s="0" t="s">
        <v>147</v>
      </c>
      <c r="R2031" s="0" t="n">
        <v>44483</v>
      </c>
      <c r="AD2031" s="0" t="s">
        <v>148</v>
      </c>
      <c r="AE2031" s="0" t="s">
        <v>149</v>
      </c>
      <c r="AF2031" s="0" t="s">
        <v>150</v>
      </c>
      <c r="AH2031" s="0" t="n">
        <v>14</v>
      </c>
      <c r="AI2031" s="0" t="n">
        <v>11</v>
      </c>
      <c r="AN2031" s="0" t="s">
        <v>146</v>
      </c>
      <c r="AO2031" s="0" t="s">
        <v>250</v>
      </c>
      <c r="AP2031" s="0" t="s">
        <v>251</v>
      </c>
      <c r="AQ2031" s="0" t="n">
        <v>9</v>
      </c>
      <c r="AR2031" s="0" t="n">
        <v>64</v>
      </c>
      <c r="AS2031" s="0" t="n">
        <v>32</v>
      </c>
      <c r="AU2031" s="0" t="n">
        <f aca="false">COUNTA($BA$2590:$EH$2590)</f>
        <v>3</v>
      </c>
      <c r="AV2031" s="0" t="n">
        <f aca="false">COUNTIF($BA$2590:$EH$2590,"D")</f>
        <v>0</v>
      </c>
      <c r="AW2031" s="0" t="n">
        <f aca="false">COUNTIF($BA$2590:$EH$2590,"R")</f>
        <v>0</v>
      </c>
      <c r="AX2031" s="0" t="n">
        <f aca="false"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>0</v>
      </c>
      <c r="AY2031" s="0" t="n">
        <f aca="false">COUNTIF(DU2031:EH2031, "&lt;&gt;")</f>
        <v>0</v>
      </c>
      <c r="AZ2031" s="0" t="n">
        <f aca="false">IF(EH2031&lt;&gt;"",1,0)</f>
        <v>0</v>
      </c>
      <c r="BB2031" s="0" t="s">
        <v>153</v>
      </c>
      <c r="BL2031" s="0" t="s">
        <v>154</v>
      </c>
    </row>
    <row r="2032" customFormat="false" ht="13.8" hidden="false" customHeight="false" outlineLevel="0" collapsed="false">
      <c r="A2032" s="0" t="s">
        <v>8994</v>
      </c>
      <c r="B2032" s="0" t="n">
        <v>78</v>
      </c>
      <c r="C2032" s="0" t="n">
        <v>422577</v>
      </c>
      <c r="D2032" s="0" t="s">
        <v>5354</v>
      </c>
      <c r="E2032" s="0" t="s">
        <v>2303</v>
      </c>
      <c r="F2032" s="0" t="str">
        <f aca="false">CONCATENATE(D2032," ",LEFT(H2032,4),"T=",AU2032,"D=",AV2032,"R=",AW2032,"M=",AX2032,"L=",AY2032,"B=",AZ2032)</f>
        <v>STOKES T=2D=0R=0M=0L=2B=0</v>
      </c>
      <c r="G2032" s="0" t="s">
        <v>1221</v>
      </c>
      <c r="I2032" s="0" t="s">
        <v>8995</v>
      </c>
      <c r="J2032" s="0" t="s">
        <v>5403</v>
      </c>
      <c r="K2032" s="0" t="s">
        <v>175</v>
      </c>
      <c r="M2032" s="0" t="s">
        <v>8996</v>
      </c>
      <c r="N2032" s="0" t="str">
        <f aca="false">RIGHT(M2032,LEN(M2032)-FIND(" ",M2032))</f>
        <v>OGDEN AVE NW</v>
      </c>
      <c r="P2032" s="0" t="s">
        <v>146</v>
      </c>
      <c r="Q2032" s="0" t="s">
        <v>147</v>
      </c>
      <c r="R2032" s="0" t="n">
        <v>44483</v>
      </c>
      <c r="AD2032" s="0" t="s">
        <v>148</v>
      </c>
      <c r="AE2032" s="0" t="s">
        <v>149</v>
      </c>
      <c r="AF2032" s="0" t="s">
        <v>150</v>
      </c>
      <c r="AH2032" s="0" t="n">
        <v>14</v>
      </c>
      <c r="AI2032" s="0" t="n">
        <v>11</v>
      </c>
      <c r="AN2032" s="0" t="s">
        <v>146</v>
      </c>
      <c r="AO2032" s="0" t="s">
        <v>250</v>
      </c>
      <c r="AP2032" s="0" t="s">
        <v>251</v>
      </c>
      <c r="AQ2032" s="0" t="n">
        <v>9</v>
      </c>
      <c r="AR2032" s="0" t="n">
        <v>64</v>
      </c>
      <c r="AS2032" s="0" t="n">
        <v>32</v>
      </c>
      <c r="AU2032" s="0" t="n">
        <f aca="false">COUNTA($BA$2320:$EH$2320)</f>
        <v>2</v>
      </c>
      <c r="AV2032" s="0" t="n">
        <f aca="false">COUNTIF($BA$2320:$EH$2320,"D")</f>
        <v>0</v>
      </c>
      <c r="AW2032" s="0" t="n">
        <f aca="false">COUNTIF($BA$2320:$EH$2320,"R")</f>
        <v>0</v>
      </c>
      <c r="AX2032" s="0" t="n">
        <f aca="false"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>0</v>
      </c>
      <c r="AY2032" s="0" t="n">
        <f aca="false">COUNTIF(DU2032:EH2032, "&lt;&gt;")</f>
        <v>2</v>
      </c>
      <c r="AZ2032" s="0" t="n">
        <f aca="false">IF(EH2032&lt;&gt;"",1,0)</f>
        <v>0</v>
      </c>
      <c r="BB2032" s="0" t="s">
        <v>153</v>
      </c>
      <c r="BY2032" s="0" t="s">
        <v>155</v>
      </c>
      <c r="CA2032" s="0" t="s">
        <v>154</v>
      </c>
      <c r="DC2032" s="0" t="s">
        <v>154</v>
      </c>
      <c r="DN2032" s="0" t="s">
        <v>154</v>
      </c>
      <c r="DU2032" s="0" t="s">
        <v>154</v>
      </c>
      <c r="EF2032" s="0" t="s">
        <v>154</v>
      </c>
    </row>
    <row r="2033" customFormat="false" ht="13.8" hidden="true" customHeight="false" outlineLevel="0" collapsed="false">
      <c r="A2033" s="0" t="s">
        <v>8997</v>
      </c>
      <c r="B2033" s="0" t="n">
        <v>78</v>
      </c>
      <c r="C2033" s="0" t="n">
        <v>384063</v>
      </c>
      <c r="D2033" s="0" t="s">
        <v>5354</v>
      </c>
      <c r="E2033" s="0" t="s">
        <v>181</v>
      </c>
      <c r="F2033" s="0" t="str">
        <f aca="false">CONCATENATE(D2033," ",LEFT(H2033,4),"T=",AU2033,"D=",AV2033,"R=",AW2033,"M=",AX2033,"L=",AY2033,"B=",AZ2033)</f>
        <v>STOKES T=1D=0R=0M=0L=0B=0</v>
      </c>
      <c r="G2033" s="0" t="s">
        <v>297</v>
      </c>
      <c r="I2033" s="0" t="s">
        <v>8998</v>
      </c>
      <c r="J2033" s="0" t="s">
        <v>6862</v>
      </c>
      <c r="K2033" s="0" t="s">
        <v>144</v>
      </c>
      <c r="L2033" s="0"/>
      <c r="M2033" s="0" t="s">
        <v>8996</v>
      </c>
      <c r="N2033" s="0" t="str">
        <f aca="false">RIGHT(M2033,LEN(M2033)-FIND(" ",M2033))</f>
        <v>OGDEN AVE NW</v>
      </c>
      <c r="P2033" s="0" t="s">
        <v>146</v>
      </c>
      <c r="Q2033" s="0" t="s">
        <v>147</v>
      </c>
      <c r="R2033" s="0" t="n">
        <v>44483</v>
      </c>
      <c r="AD2033" s="0" t="s">
        <v>148</v>
      </c>
      <c r="AE2033" s="0" t="s">
        <v>149</v>
      </c>
      <c r="AF2033" s="0" t="s">
        <v>150</v>
      </c>
      <c r="AH2033" s="0" t="n">
        <v>14</v>
      </c>
      <c r="AI2033" s="0" t="n">
        <v>11</v>
      </c>
      <c r="AN2033" s="0" t="s">
        <v>146</v>
      </c>
      <c r="AO2033" s="0" t="s">
        <v>250</v>
      </c>
      <c r="AP2033" s="0" t="s">
        <v>251</v>
      </c>
      <c r="AQ2033" s="0" t="n">
        <v>9</v>
      </c>
      <c r="AR2033" s="0" t="n">
        <v>64</v>
      </c>
      <c r="AS2033" s="0" t="n">
        <v>32</v>
      </c>
      <c r="AU2033" s="0" t="n">
        <f aca="false">COUNTA($BA$2720:$EH$2720)</f>
        <v>1</v>
      </c>
      <c r="AV2033" s="0" t="n">
        <f aca="false">COUNTIF($BA$2720:$EH$2720,"D")</f>
        <v>0</v>
      </c>
      <c r="AW2033" s="0" t="n">
        <f aca="false">COUNTIF($BA$2720:$EH$2720,"R")</f>
        <v>0</v>
      </c>
      <c r="AX2033" s="0" t="n">
        <f aca="false"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>0</v>
      </c>
      <c r="AY2033" s="0" t="n">
        <f aca="false">COUNTIF(DU2033:EH2033, "&lt;&gt;")</f>
        <v>0</v>
      </c>
      <c r="AZ2033" s="0" t="n">
        <f aca="false">IF(EH2033&lt;&gt;"",1,0)</f>
        <v>0</v>
      </c>
      <c r="BB2033" s="0" t="s">
        <v>153</v>
      </c>
      <c r="BD2033" s="0" t="s">
        <v>154</v>
      </c>
      <c r="CP2033" s="0" t="s">
        <v>154</v>
      </c>
      <c r="DC2033" s="0" t="s">
        <v>154</v>
      </c>
      <c r="DN2033" s="0" t="s">
        <v>154</v>
      </c>
    </row>
    <row r="2034" customFormat="false" ht="13.8" hidden="true" customHeight="false" outlineLevel="0" collapsed="false">
      <c r="A2034" s="0" t="s">
        <v>8999</v>
      </c>
      <c r="B2034" s="0" t="n">
        <v>78</v>
      </c>
      <c r="C2034" s="0" t="n">
        <v>423555</v>
      </c>
      <c r="D2034" s="0" t="s">
        <v>9000</v>
      </c>
      <c r="E2034" s="0" t="s">
        <v>9001</v>
      </c>
      <c r="F2034" s="0" t="str">
        <f aca="false">CONCATENATE(D2034," ",LEFT(H2034,4),"T=",AU2034,"D=",AV2034,"R=",AW2034,"M=",AX2034,"L=",AY2034,"B=",AZ2034)</f>
        <v>JEFFORDS T=10D=3R=0M=0L=0B=0</v>
      </c>
      <c r="G2034" s="0" t="s">
        <v>176</v>
      </c>
      <c r="I2034" s="0" t="s">
        <v>9002</v>
      </c>
      <c r="J2034" s="0" t="s">
        <v>7555</v>
      </c>
      <c r="K2034" s="0" t="s">
        <v>144</v>
      </c>
      <c r="L2034" s="0"/>
      <c r="M2034" s="0" t="s">
        <v>9003</v>
      </c>
      <c r="N2034" s="0" t="str">
        <f aca="false">RIGHT(M2034,LEN(M2034)-FIND(" ",M2034))</f>
        <v>OGDEN AVE NW</v>
      </c>
      <c r="P2034" s="0" t="s">
        <v>146</v>
      </c>
      <c r="Q2034" s="0" t="s">
        <v>147</v>
      </c>
      <c r="R2034" s="0" t="n">
        <v>44483</v>
      </c>
      <c r="AD2034" s="0" t="s">
        <v>148</v>
      </c>
      <c r="AE2034" s="0" t="s">
        <v>149</v>
      </c>
      <c r="AF2034" s="0" t="s">
        <v>150</v>
      </c>
      <c r="AH2034" s="0" t="n">
        <v>14</v>
      </c>
      <c r="AI2034" s="0" t="n">
        <v>11</v>
      </c>
      <c r="AN2034" s="0" t="s">
        <v>146</v>
      </c>
      <c r="AO2034" s="0" t="s">
        <v>250</v>
      </c>
      <c r="AP2034" s="0" t="s">
        <v>251</v>
      </c>
      <c r="AQ2034" s="0" t="n">
        <v>9</v>
      </c>
      <c r="AR2034" s="0" t="n">
        <v>64</v>
      </c>
      <c r="AS2034" s="0" t="n">
        <v>32</v>
      </c>
      <c r="AU2034" s="0" t="n">
        <f aca="false">COUNTA($BA$2769:$EH$2769)</f>
        <v>10</v>
      </c>
      <c r="AV2034" s="0" t="n">
        <f aca="false">COUNTIF($BA$2769:$EH$2769,"D")</f>
        <v>3</v>
      </c>
      <c r="AW2034" s="0" t="n">
        <f aca="false">COUNTIF($BA$2769:$EH$2769,"R")</f>
        <v>0</v>
      </c>
      <c r="AX2034" s="0" t="n">
        <f aca="false"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>0</v>
      </c>
      <c r="AY2034" s="0" t="n">
        <f aca="false">COUNTIF(DU2034:EH2034, "&lt;&gt;")</f>
        <v>0</v>
      </c>
      <c r="AZ2034" s="0" t="n">
        <f aca="false">IF(EH2034&lt;&gt;"",1,0)</f>
        <v>0</v>
      </c>
      <c r="BB2034" s="0" t="s">
        <v>153</v>
      </c>
    </row>
    <row r="2035" customFormat="false" ht="13.8" hidden="true" customHeight="false" outlineLevel="0" collapsed="false">
      <c r="A2035" s="0" t="s">
        <v>9004</v>
      </c>
      <c r="B2035" s="0" t="n">
        <v>78</v>
      </c>
      <c r="C2035" s="0" t="n">
        <v>423600</v>
      </c>
      <c r="D2035" s="0" t="s">
        <v>5411</v>
      </c>
      <c r="E2035" s="0" t="s">
        <v>1712</v>
      </c>
      <c r="F2035" s="0" t="str">
        <f aca="false">CONCATENATE(D2035," ",LEFT(H2035,4),"T=",AU2035,"D=",AV2035,"R=",AW2035,"M=",AX2035,"L=",AY2035,"B=",AZ2035)</f>
        <v>RIVERA T=5D=0R=0M=0L=0B=0</v>
      </c>
      <c r="G2035" s="0" t="s">
        <v>1122</v>
      </c>
      <c r="I2035" s="0" t="s">
        <v>9005</v>
      </c>
      <c r="J2035" s="0" t="s">
        <v>9006</v>
      </c>
      <c r="K2035" s="0" t="s">
        <v>144</v>
      </c>
      <c r="L2035" s="0"/>
      <c r="M2035" s="0" t="s">
        <v>9007</v>
      </c>
      <c r="N2035" s="0" t="str">
        <f aca="false">RIGHT(M2035,LEN(M2035)-FIND(" ",M2035))</f>
        <v>OGDEN AVE NW</v>
      </c>
      <c r="P2035" s="0" t="s">
        <v>146</v>
      </c>
      <c r="Q2035" s="0" t="s">
        <v>147</v>
      </c>
      <c r="R2035" s="0" t="n">
        <v>44483</v>
      </c>
      <c r="AD2035" s="0" t="s">
        <v>148</v>
      </c>
      <c r="AE2035" s="0" t="s">
        <v>149</v>
      </c>
      <c r="AF2035" s="0" t="s">
        <v>150</v>
      </c>
      <c r="AH2035" s="0" t="n">
        <v>14</v>
      </c>
      <c r="AI2035" s="0" t="n">
        <v>11</v>
      </c>
      <c r="AN2035" s="0" t="s">
        <v>146</v>
      </c>
      <c r="AO2035" s="0" t="s">
        <v>250</v>
      </c>
      <c r="AP2035" s="0" t="s">
        <v>251</v>
      </c>
      <c r="AQ2035" s="0" t="n">
        <v>9</v>
      </c>
      <c r="AR2035" s="0" t="n">
        <v>64</v>
      </c>
      <c r="AS2035" s="0" t="n">
        <v>32</v>
      </c>
      <c r="AU2035" s="0" t="n">
        <f aca="false">COUNTA($BA$2288:$EH$2288)</f>
        <v>5</v>
      </c>
      <c r="AV2035" s="0" t="n">
        <f aca="false">COUNTIF($BA$2288:$EH$2288,"D")</f>
        <v>0</v>
      </c>
      <c r="AW2035" s="0" t="n">
        <f aca="false">COUNTIF($BA$2288:$EH$2288,"R")</f>
        <v>0</v>
      </c>
      <c r="AX2035" s="0" t="n">
        <f aca="false"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>0</v>
      </c>
      <c r="AY2035" s="0" t="n">
        <f aca="false">COUNTIF(DU2035:EH2035, "&lt;&gt;")</f>
        <v>0</v>
      </c>
      <c r="AZ2035" s="0" t="n">
        <f aca="false">IF(EH2035&lt;&gt;"",1,0)</f>
        <v>0</v>
      </c>
      <c r="BB2035" s="0" t="s">
        <v>153</v>
      </c>
    </row>
    <row r="2036" customFormat="false" ht="13.8" hidden="true" customHeight="false" outlineLevel="0" collapsed="false">
      <c r="A2036" s="0" t="s">
        <v>9008</v>
      </c>
      <c r="B2036" s="0" t="n">
        <v>78</v>
      </c>
      <c r="C2036" s="0" t="n">
        <v>409229</v>
      </c>
      <c r="D2036" s="0" t="s">
        <v>9009</v>
      </c>
      <c r="E2036" s="0" t="s">
        <v>1210</v>
      </c>
      <c r="F2036" s="0" t="str">
        <f aca="false">CONCATENATE(D2036," ",LEFT(H2036,4),"T=",AU2036,"D=",AV2036,"R=",AW2036,"M=",AX2036,"L=",AY2036,"B=",AZ2036)</f>
        <v>MECHLY T=1D=0R=0M=0L=0B=0</v>
      </c>
      <c r="I2036" s="0" t="s">
        <v>9010</v>
      </c>
      <c r="J2036" s="0" t="s">
        <v>9011</v>
      </c>
      <c r="K2036" s="0" t="s">
        <v>144</v>
      </c>
      <c r="L2036" s="0"/>
      <c r="M2036" s="0" t="s">
        <v>9012</v>
      </c>
      <c r="N2036" s="0" t="str">
        <f aca="false">RIGHT(M2036,LEN(M2036)-FIND(" ",M2036))</f>
        <v>OGDEN AVE NW</v>
      </c>
      <c r="P2036" s="0" t="s">
        <v>146</v>
      </c>
      <c r="Q2036" s="0" t="s">
        <v>147</v>
      </c>
      <c r="R2036" s="0" t="n">
        <v>44483</v>
      </c>
      <c r="AD2036" s="0" t="s">
        <v>148</v>
      </c>
      <c r="AE2036" s="0" t="s">
        <v>149</v>
      </c>
      <c r="AF2036" s="0" t="s">
        <v>150</v>
      </c>
      <c r="AH2036" s="0" t="n">
        <v>14</v>
      </c>
      <c r="AI2036" s="0" t="n">
        <v>11</v>
      </c>
      <c r="AN2036" s="0" t="s">
        <v>146</v>
      </c>
      <c r="AO2036" s="0" t="s">
        <v>250</v>
      </c>
      <c r="AP2036" s="0" t="s">
        <v>251</v>
      </c>
      <c r="AQ2036" s="0" t="n">
        <v>9</v>
      </c>
      <c r="AR2036" s="0" t="n">
        <v>64</v>
      </c>
      <c r="AS2036" s="0" t="n">
        <v>32</v>
      </c>
      <c r="AU2036" s="0" t="n">
        <f aca="false">COUNTA($BA$2199:$EH$2199)</f>
        <v>1</v>
      </c>
      <c r="AV2036" s="0" t="n">
        <f aca="false">COUNTIF($BA$2199:$EH$2199,"D")</f>
        <v>0</v>
      </c>
      <c r="AW2036" s="0" t="n">
        <f aca="false">COUNTIF($BA$2199:$EH$2199,"R")</f>
        <v>0</v>
      </c>
      <c r="AX2036" s="0" t="n">
        <f aca="false"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>0</v>
      </c>
      <c r="AY2036" s="0" t="n">
        <f aca="false">COUNTIF(DU2036:EH2036, "&lt;&gt;")</f>
        <v>0</v>
      </c>
      <c r="AZ2036" s="0" t="n">
        <f aca="false">IF(EH2036&lt;&gt;"",1,0)</f>
        <v>0</v>
      </c>
      <c r="BB2036" s="0" t="s">
        <v>153</v>
      </c>
    </row>
    <row r="2037" customFormat="false" ht="13.8" hidden="true" customHeight="false" outlineLevel="0" collapsed="false">
      <c r="A2037" s="0" t="s">
        <v>9013</v>
      </c>
      <c r="B2037" s="0" t="n">
        <v>78</v>
      </c>
      <c r="C2037" s="0" t="n">
        <v>366076</v>
      </c>
      <c r="D2037" s="0" t="s">
        <v>4789</v>
      </c>
      <c r="E2037" s="0" t="s">
        <v>619</v>
      </c>
      <c r="F2037" s="0" t="str">
        <f aca="false">CONCATENATE(D2037," ",LEFT(H2037,4),"T=",AU2037,"D=",AV2037,"R=",AW2037,"M=",AX2037,"L=",AY2037,"B=",AZ2037)</f>
        <v>MAIDEN SRT=1D=0R=0M=0L=0B=0</v>
      </c>
      <c r="G2037" s="0" t="s">
        <v>202</v>
      </c>
      <c r="H2037" s="0" t="s">
        <v>311</v>
      </c>
      <c r="I2037" s="0" t="s">
        <v>9014</v>
      </c>
      <c r="J2037" s="0" t="s">
        <v>9015</v>
      </c>
      <c r="K2037" s="0" t="s">
        <v>144</v>
      </c>
      <c r="L2037" s="0"/>
      <c r="M2037" s="0" t="s">
        <v>9012</v>
      </c>
      <c r="N2037" s="0" t="str">
        <f aca="false">RIGHT(M2037,LEN(M2037)-FIND(" ",M2037))</f>
        <v>OGDEN AVE NW</v>
      </c>
      <c r="P2037" s="0" t="s">
        <v>146</v>
      </c>
      <c r="Q2037" s="0" t="s">
        <v>147</v>
      </c>
      <c r="R2037" s="0" t="n">
        <v>44483</v>
      </c>
      <c r="AD2037" s="0" t="s">
        <v>148</v>
      </c>
      <c r="AE2037" s="0" t="s">
        <v>149</v>
      </c>
      <c r="AF2037" s="0" t="s">
        <v>150</v>
      </c>
      <c r="AH2037" s="0" t="n">
        <v>14</v>
      </c>
      <c r="AI2037" s="0" t="n">
        <v>11</v>
      </c>
      <c r="AN2037" s="0" t="s">
        <v>146</v>
      </c>
      <c r="AO2037" s="0" t="s">
        <v>250</v>
      </c>
      <c r="AP2037" s="0" t="s">
        <v>251</v>
      </c>
      <c r="AQ2037" s="0" t="n">
        <v>9</v>
      </c>
      <c r="AR2037" s="0" t="n">
        <v>64</v>
      </c>
      <c r="AS2037" s="0" t="n">
        <v>32</v>
      </c>
      <c r="AU2037" s="0" t="n">
        <f aca="false">COUNTA($BA$2280:$EH$2280)</f>
        <v>1</v>
      </c>
      <c r="AV2037" s="0" t="n">
        <f aca="false">COUNTIF($BA$2280:$EH$2280,"D")</f>
        <v>0</v>
      </c>
      <c r="AW2037" s="0" t="n">
        <f aca="false">COUNTIF($BA$2280:$EH$2280,"R")</f>
        <v>0</v>
      </c>
      <c r="AX2037" s="0" t="n">
        <f aca="false"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>0</v>
      </c>
      <c r="AY2037" s="0" t="n">
        <f aca="false">COUNTIF(DU2037:EH2037, "&lt;&gt;")</f>
        <v>0</v>
      </c>
      <c r="AZ2037" s="0" t="n">
        <f aca="false">IF(EH2037&lt;&gt;"",1,0)</f>
        <v>0</v>
      </c>
      <c r="BB2037" s="0" t="s">
        <v>153</v>
      </c>
      <c r="DC2037" s="0" t="s">
        <v>154</v>
      </c>
    </row>
    <row r="2038" customFormat="false" ht="13.8" hidden="false" customHeight="false" outlineLevel="0" collapsed="false">
      <c r="A2038" s="0" t="s">
        <v>9016</v>
      </c>
      <c r="B2038" s="0" t="n">
        <v>78</v>
      </c>
      <c r="C2038" s="0" t="n">
        <v>206438</v>
      </c>
      <c r="D2038" s="0" t="s">
        <v>9017</v>
      </c>
      <c r="E2038" s="0" t="s">
        <v>2044</v>
      </c>
      <c r="F2038" s="0" t="str">
        <f aca="false">CONCATENATE(D2038," ",LEFT(H2038,4),"T=",AU2038,"D=",AV2038,"R=",AW2038,"M=",AX2038,"L=",AY2038,"B=",AZ2038)</f>
        <v>SQUEGLIA T=19D=1R=0M=3L=4B=0</v>
      </c>
      <c r="G2038" s="0" t="s">
        <v>297</v>
      </c>
      <c r="I2038" s="0" t="s">
        <v>9018</v>
      </c>
      <c r="J2038" s="0" t="s">
        <v>9019</v>
      </c>
      <c r="K2038" s="0" t="s">
        <v>175</v>
      </c>
      <c r="L2038" s="1" t="s">
        <v>155</v>
      </c>
      <c r="M2038" s="0" t="s">
        <v>9020</v>
      </c>
      <c r="N2038" s="0" t="str">
        <f aca="false">RIGHT(M2038,LEN(M2038)-FIND(" ",M2038))</f>
        <v>OGDEN AVE NW</v>
      </c>
      <c r="P2038" s="0" t="s">
        <v>146</v>
      </c>
      <c r="Q2038" s="0" t="s">
        <v>147</v>
      </c>
      <c r="R2038" s="0" t="n">
        <v>44483</v>
      </c>
      <c r="AD2038" s="0" t="s">
        <v>148</v>
      </c>
      <c r="AE2038" s="0" t="s">
        <v>149</v>
      </c>
      <c r="AF2038" s="0" t="s">
        <v>150</v>
      </c>
      <c r="AH2038" s="0" t="n">
        <v>14</v>
      </c>
      <c r="AI2038" s="0" t="n">
        <v>11</v>
      </c>
      <c r="AN2038" s="0" t="s">
        <v>146</v>
      </c>
      <c r="AO2038" s="0" t="s">
        <v>250</v>
      </c>
      <c r="AP2038" s="0" t="s">
        <v>251</v>
      </c>
      <c r="AQ2038" s="0" t="n">
        <v>9</v>
      </c>
      <c r="AR2038" s="0" t="n">
        <v>64</v>
      </c>
      <c r="AS2038" s="0" t="n">
        <v>32</v>
      </c>
      <c r="AU2038" s="0" t="n">
        <f aca="false">COUNTA($BA$2134:$EH$2134)</f>
        <v>19</v>
      </c>
      <c r="AV2038" s="0" t="n">
        <f aca="false">COUNTIF($BA$2134:$EH$2134,"D")</f>
        <v>1</v>
      </c>
      <c r="AW2038" s="0" t="n">
        <f aca="false">COUNTIF($BA$2134:$EH$2134,"R")</f>
        <v>0</v>
      </c>
      <c r="AX2038" s="0" t="n">
        <f aca="false"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>3</v>
      </c>
      <c r="AY2038" s="0" t="n">
        <f aca="false">COUNTIF(DU2038:EH2038, "&lt;&gt;")</f>
        <v>4</v>
      </c>
      <c r="AZ2038" s="0" t="n">
        <f aca="false">IF(EH2038&lt;&gt;"",1,0)</f>
        <v>0</v>
      </c>
      <c r="BB2038" s="0" t="s">
        <v>153</v>
      </c>
      <c r="BC2038" s="0" t="s">
        <v>154</v>
      </c>
      <c r="BD2038" s="0" t="s">
        <v>154</v>
      </c>
      <c r="BE2038" s="0" t="s">
        <v>154</v>
      </c>
      <c r="BF2038" s="0" t="s">
        <v>154</v>
      </c>
      <c r="BG2038" s="0" t="s">
        <v>154</v>
      </c>
      <c r="BH2038" s="0" t="s">
        <v>154</v>
      </c>
      <c r="BI2038" s="0" t="s">
        <v>154</v>
      </c>
      <c r="BJ2038" s="0" t="s">
        <v>154</v>
      </c>
      <c r="BK2038" s="0" t="s">
        <v>154</v>
      </c>
      <c r="BL2038" s="0" t="s">
        <v>154</v>
      </c>
      <c r="BP2038" s="0" t="s">
        <v>154</v>
      </c>
      <c r="BS2038" s="0" t="s">
        <v>154</v>
      </c>
      <c r="BV2038" s="0" t="s">
        <v>154</v>
      </c>
      <c r="BY2038" s="0" t="s">
        <v>155</v>
      </c>
      <c r="CA2038" s="0" t="s">
        <v>154</v>
      </c>
      <c r="CG2038" s="0" t="s">
        <v>154</v>
      </c>
      <c r="CK2038" s="0" t="s">
        <v>154</v>
      </c>
      <c r="CL2038" s="0" t="s">
        <v>155</v>
      </c>
      <c r="CN2038" s="0" t="s">
        <v>154</v>
      </c>
      <c r="CP2038" s="0" t="s">
        <v>154</v>
      </c>
      <c r="CQ2038" s="0" t="s">
        <v>155</v>
      </c>
      <c r="CT2038" s="0" t="s">
        <v>154</v>
      </c>
      <c r="CY2038" s="0" t="s">
        <v>154</v>
      </c>
      <c r="DC2038" s="0" t="s">
        <v>154</v>
      </c>
      <c r="DI2038" s="0" t="s">
        <v>154</v>
      </c>
      <c r="DN2038" s="0" t="s">
        <v>154</v>
      </c>
      <c r="DU2038" s="0" t="s">
        <v>154</v>
      </c>
      <c r="DW2038" s="0" t="s">
        <v>155</v>
      </c>
      <c r="EA2038" s="0" t="s">
        <v>154</v>
      </c>
      <c r="EF2038" s="0" t="s">
        <v>154</v>
      </c>
    </row>
    <row r="2039" customFormat="false" ht="13.8" hidden="false" customHeight="false" outlineLevel="0" collapsed="false">
      <c r="A2039" s="0" t="s">
        <v>9021</v>
      </c>
      <c r="B2039" s="0" t="n">
        <v>78</v>
      </c>
      <c r="C2039" s="0" t="n">
        <v>849</v>
      </c>
      <c r="D2039" s="0" t="s">
        <v>9022</v>
      </c>
      <c r="E2039" s="0" t="s">
        <v>557</v>
      </c>
      <c r="F2039" s="0" t="str">
        <f aca="false">CONCATENATE(D2039," ",LEFT(H2039,4),"T=",AU2039,"D=",AV2039,"R=",AW2039,"M=",AX2039,"L=",AY2039,"B=",AZ2039)</f>
        <v>SPADO TSITLAKIDES T=27D=10R=0M=0L=2B=0</v>
      </c>
      <c r="G2039" s="0" t="s">
        <v>155</v>
      </c>
      <c r="I2039" s="0" t="s">
        <v>9023</v>
      </c>
      <c r="J2039" s="0" t="s">
        <v>2913</v>
      </c>
      <c r="K2039" s="0" t="s">
        <v>175</v>
      </c>
      <c r="M2039" s="0" t="s">
        <v>9020</v>
      </c>
      <c r="N2039" s="0" t="str">
        <f aca="false">RIGHT(M2039,LEN(M2039)-FIND(" ",M2039))</f>
        <v>OGDEN AVE NW</v>
      </c>
      <c r="P2039" s="0" t="s">
        <v>146</v>
      </c>
      <c r="Q2039" s="0" t="s">
        <v>147</v>
      </c>
      <c r="R2039" s="0" t="n">
        <v>44483</v>
      </c>
      <c r="AD2039" s="0" t="s">
        <v>148</v>
      </c>
      <c r="AE2039" s="0" t="s">
        <v>149</v>
      </c>
      <c r="AF2039" s="0" t="s">
        <v>150</v>
      </c>
      <c r="AH2039" s="0" t="n">
        <v>14</v>
      </c>
      <c r="AI2039" s="0" t="n">
        <v>11</v>
      </c>
      <c r="AN2039" s="0" t="s">
        <v>146</v>
      </c>
      <c r="AO2039" s="0" t="s">
        <v>250</v>
      </c>
      <c r="AP2039" s="0" t="s">
        <v>251</v>
      </c>
      <c r="AQ2039" s="0" t="n">
        <v>9</v>
      </c>
      <c r="AR2039" s="0" t="n">
        <v>64</v>
      </c>
      <c r="AS2039" s="0" t="n">
        <v>32</v>
      </c>
      <c r="AU2039" s="0" t="n">
        <f aca="false">COUNTA($BA$2614:$EH$2614)</f>
        <v>27</v>
      </c>
      <c r="AV2039" s="0" t="n">
        <f aca="false">COUNTIF($BA$2614:$EH$2614,"D")</f>
        <v>10</v>
      </c>
      <c r="AW2039" s="0" t="n">
        <f aca="false">COUNTIF($BA$2614:$EH$2614,"R")</f>
        <v>0</v>
      </c>
      <c r="AX2039" s="0" t="n">
        <f aca="false"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>0</v>
      </c>
      <c r="AY2039" s="0" t="n">
        <f aca="false">COUNTIF(DU2039:EH2039, "&lt;&gt;")</f>
        <v>2</v>
      </c>
      <c r="AZ2039" s="0" t="n">
        <f aca="false">IF(EH2039&lt;&gt;"",1,0)</f>
        <v>0</v>
      </c>
      <c r="BB2039" s="0" t="s">
        <v>153</v>
      </c>
      <c r="BC2039" s="0" t="s">
        <v>154</v>
      </c>
      <c r="BD2039" s="0" t="s">
        <v>154</v>
      </c>
      <c r="BE2039" s="0" t="s">
        <v>154</v>
      </c>
      <c r="BH2039" s="0" t="s">
        <v>154</v>
      </c>
      <c r="BI2039" s="0" t="s">
        <v>154</v>
      </c>
      <c r="BJ2039" s="0" t="s">
        <v>154</v>
      </c>
      <c r="BK2039" s="0" t="s">
        <v>154</v>
      </c>
      <c r="BL2039" s="0" t="s">
        <v>154</v>
      </c>
      <c r="BP2039" s="0" t="s">
        <v>154</v>
      </c>
      <c r="BS2039" s="0" t="s">
        <v>154</v>
      </c>
      <c r="BY2039" s="0" t="s">
        <v>155</v>
      </c>
      <c r="CA2039" s="0" t="s">
        <v>154</v>
      </c>
      <c r="CG2039" s="0" t="s">
        <v>154</v>
      </c>
      <c r="CK2039" s="0" t="s">
        <v>154</v>
      </c>
      <c r="CP2039" s="0" t="s">
        <v>154</v>
      </c>
      <c r="CY2039" s="0" t="s">
        <v>154</v>
      </c>
      <c r="DC2039" s="0" t="s">
        <v>154</v>
      </c>
      <c r="DN2039" s="0" t="s">
        <v>154</v>
      </c>
      <c r="EA2039" s="0" t="s">
        <v>154</v>
      </c>
      <c r="EF2039" s="0" t="s">
        <v>154</v>
      </c>
    </row>
    <row r="2040" customFormat="false" ht="13.8" hidden="true" customHeight="false" outlineLevel="0" collapsed="false">
      <c r="A2040" s="0" t="s">
        <v>9024</v>
      </c>
      <c r="B2040" s="0" t="n">
        <v>78</v>
      </c>
      <c r="C2040" s="0" t="n">
        <v>434551</v>
      </c>
      <c r="D2040" s="0" t="s">
        <v>7902</v>
      </c>
      <c r="E2040" s="0" t="s">
        <v>430</v>
      </c>
      <c r="F2040" s="0" t="str">
        <f aca="false">CONCATENATE(D2040," ",LEFT(H2040,4),"T=",AU2040,"D=",AV2040,"R=",AW2040,"M=",AX2040,"L=",AY2040,"B=",AZ2040)</f>
        <v>SIMMONS T=1D=0R=0M=0L=0B=0</v>
      </c>
      <c r="G2040" s="0" t="s">
        <v>241</v>
      </c>
      <c r="I2040" s="0" t="s">
        <v>8788</v>
      </c>
      <c r="J2040" s="0" t="s">
        <v>9025</v>
      </c>
      <c r="K2040" s="0" t="s">
        <v>175</v>
      </c>
      <c r="L2040" s="0"/>
      <c r="M2040" s="0" t="s">
        <v>9026</v>
      </c>
      <c r="N2040" s="0" t="str">
        <f aca="false">RIGHT(M2040,LEN(M2040)-FIND(" ",M2040))</f>
        <v>OGDEN AVE NW</v>
      </c>
      <c r="P2040" s="0" t="s">
        <v>146</v>
      </c>
      <c r="Q2040" s="0" t="s">
        <v>147</v>
      </c>
      <c r="R2040" s="0" t="n">
        <v>44483</v>
      </c>
      <c r="AD2040" s="0" t="s">
        <v>148</v>
      </c>
      <c r="AE2040" s="0" t="s">
        <v>149</v>
      </c>
      <c r="AF2040" s="0" t="s">
        <v>150</v>
      </c>
      <c r="AH2040" s="0" t="n">
        <v>14</v>
      </c>
      <c r="AI2040" s="0" t="n">
        <v>11</v>
      </c>
      <c r="AN2040" s="0" t="s">
        <v>146</v>
      </c>
      <c r="AO2040" s="0" t="s">
        <v>250</v>
      </c>
      <c r="AP2040" s="0" t="s">
        <v>251</v>
      </c>
      <c r="AQ2040" s="0" t="n">
        <v>9</v>
      </c>
      <c r="AR2040" s="0" t="n">
        <v>64</v>
      </c>
      <c r="AS2040" s="0" t="n">
        <v>32</v>
      </c>
      <c r="AU2040" s="0" t="n">
        <f aca="false">COUNTA($BA$2212:$EH$2212)</f>
        <v>1</v>
      </c>
      <c r="AV2040" s="0" t="n">
        <f aca="false">COUNTIF($BA$2212:$EH$2212,"D")</f>
        <v>0</v>
      </c>
      <c r="AW2040" s="0" t="n">
        <f aca="false">COUNTIF($BA$2212:$EH$2212,"R")</f>
        <v>0</v>
      </c>
      <c r="AX2040" s="0" t="n">
        <f aca="false"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>0</v>
      </c>
      <c r="AY2040" s="0" t="n">
        <f aca="false">COUNTIF(DU2040:EH2040, "&lt;&gt;")</f>
        <v>0</v>
      </c>
      <c r="AZ2040" s="0" t="n">
        <f aca="false">IF(EH2040&lt;&gt;"",1,0)</f>
        <v>0</v>
      </c>
      <c r="BB2040" s="0" t="s">
        <v>153</v>
      </c>
    </row>
    <row r="2041" customFormat="false" ht="13.8" hidden="true" customHeight="false" outlineLevel="0" collapsed="false">
      <c r="A2041" s="0" t="s">
        <v>9027</v>
      </c>
      <c r="B2041" s="0" t="n">
        <v>78</v>
      </c>
      <c r="C2041" s="0" t="n">
        <v>286882</v>
      </c>
      <c r="D2041" s="0" t="s">
        <v>645</v>
      </c>
      <c r="E2041" s="0" t="s">
        <v>9028</v>
      </c>
      <c r="F2041" s="0" t="str">
        <f aca="false">CONCATENATE(D2041," ",LEFT(H2041,4),"T=",AU2041,"D=",AV2041,"R=",AW2041,"M=",AX2041,"L=",AY2041,"B=",AZ2041)</f>
        <v>WILLIAMS T=3D=0R=0M=0L=0B=0</v>
      </c>
      <c r="G2041" s="0" t="s">
        <v>297</v>
      </c>
      <c r="I2041" s="0" t="s">
        <v>9029</v>
      </c>
      <c r="J2041" s="0" t="s">
        <v>9030</v>
      </c>
      <c r="K2041" s="0" t="s">
        <v>175</v>
      </c>
      <c r="L2041" s="0"/>
      <c r="M2041" s="0" t="s">
        <v>9026</v>
      </c>
      <c r="N2041" s="0" t="str">
        <f aca="false">RIGHT(M2041,LEN(M2041)-FIND(" ",M2041))</f>
        <v>OGDEN AVE NW</v>
      </c>
      <c r="P2041" s="0" t="s">
        <v>146</v>
      </c>
      <c r="Q2041" s="0" t="s">
        <v>147</v>
      </c>
      <c r="R2041" s="0" t="n">
        <v>44483</v>
      </c>
      <c r="AD2041" s="0" t="s">
        <v>148</v>
      </c>
      <c r="AE2041" s="0" t="s">
        <v>149</v>
      </c>
      <c r="AF2041" s="0" t="s">
        <v>150</v>
      </c>
      <c r="AH2041" s="0" t="n">
        <v>14</v>
      </c>
      <c r="AI2041" s="0" t="n">
        <v>11</v>
      </c>
      <c r="AN2041" s="0" t="s">
        <v>146</v>
      </c>
      <c r="AO2041" s="0" t="s">
        <v>250</v>
      </c>
      <c r="AP2041" s="0" t="s">
        <v>251</v>
      </c>
      <c r="AQ2041" s="0" t="n">
        <v>9</v>
      </c>
      <c r="AR2041" s="0" t="n">
        <v>64</v>
      </c>
      <c r="AS2041" s="0" t="n">
        <v>32</v>
      </c>
      <c r="AU2041" s="0" t="n">
        <f aca="false">COUNTA($BA$2255:$EH$2255)</f>
        <v>3</v>
      </c>
      <c r="AV2041" s="0" t="n">
        <f aca="false">COUNTIF($BA$2255:$EH$2255,"D")</f>
        <v>0</v>
      </c>
      <c r="AW2041" s="0" t="n">
        <f aca="false">COUNTIF($BA$2255:$EH$2255,"R")</f>
        <v>0</v>
      </c>
      <c r="AX2041" s="0" t="n">
        <f aca="false"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>0</v>
      </c>
      <c r="AY2041" s="0" t="n">
        <f aca="false">COUNTIF(DU2041:EH2041, "&lt;&gt;")</f>
        <v>0</v>
      </c>
      <c r="AZ2041" s="0" t="n">
        <f aca="false">IF(EH2041&lt;&gt;"",1,0)</f>
        <v>0</v>
      </c>
      <c r="BB2041" s="0" t="s">
        <v>153</v>
      </c>
      <c r="CP2041" s="0" t="s">
        <v>154</v>
      </c>
      <c r="CZ2041" s="0" t="s">
        <v>155</v>
      </c>
      <c r="DC2041" s="0" t="s">
        <v>154</v>
      </c>
    </row>
    <row r="2042" customFormat="false" ht="13.8" hidden="true" customHeight="false" outlineLevel="0" collapsed="false">
      <c r="A2042" s="0" t="s">
        <v>9031</v>
      </c>
      <c r="B2042" s="0" t="n">
        <v>78</v>
      </c>
      <c r="C2042" s="0" t="n">
        <v>361839</v>
      </c>
      <c r="D2042" s="0" t="s">
        <v>4875</v>
      </c>
      <c r="E2042" s="0" t="s">
        <v>698</v>
      </c>
      <c r="F2042" s="0" t="str">
        <f aca="false">CONCATENATE(D2042," ",LEFT(H2042,4),"T=",AU2042,"D=",AV2042,"R=",AW2042,"M=",AX2042,"L=",AY2042,"B=",AZ2042)</f>
        <v>FRANCIS T=35D=2R=5M=0L=0B=0</v>
      </c>
      <c r="G2042" s="0" t="s">
        <v>155</v>
      </c>
      <c r="I2042" s="0" t="s">
        <v>9032</v>
      </c>
      <c r="J2042" s="0" t="s">
        <v>6237</v>
      </c>
      <c r="K2042" s="0" t="s">
        <v>175</v>
      </c>
      <c r="L2042" s="0"/>
      <c r="M2042" s="0" t="s">
        <v>9033</v>
      </c>
      <c r="N2042" s="0" t="str">
        <f aca="false">RIGHT(M2042,LEN(M2042)-FIND(" ",M2042))</f>
        <v>OGDEN AVE NW</v>
      </c>
      <c r="P2042" s="0" t="s">
        <v>146</v>
      </c>
      <c r="Q2042" s="0" t="s">
        <v>147</v>
      </c>
      <c r="R2042" s="0" t="n">
        <v>44483</v>
      </c>
      <c r="AD2042" s="0" t="s">
        <v>148</v>
      </c>
      <c r="AE2042" s="0" t="s">
        <v>149</v>
      </c>
      <c r="AF2042" s="0" t="s">
        <v>150</v>
      </c>
      <c r="AH2042" s="0" t="n">
        <v>14</v>
      </c>
      <c r="AI2042" s="0" t="n">
        <v>11</v>
      </c>
      <c r="AN2042" s="0" t="s">
        <v>146</v>
      </c>
      <c r="AO2042" s="0" t="s">
        <v>250</v>
      </c>
      <c r="AP2042" s="0" t="s">
        <v>251</v>
      </c>
      <c r="AQ2042" s="0" t="n">
        <v>9</v>
      </c>
      <c r="AR2042" s="0" t="n">
        <v>64</v>
      </c>
      <c r="AS2042" s="0" t="n">
        <v>32</v>
      </c>
      <c r="AU2042" s="0" t="n">
        <f aca="false">COUNTA($BA$2511:$EH$2511)</f>
        <v>35</v>
      </c>
      <c r="AV2042" s="0" t="n">
        <f aca="false">COUNTIF($BA$2511:$EH$2511,"D")</f>
        <v>2</v>
      </c>
      <c r="AW2042" s="0" t="n">
        <f aca="false">COUNTIF($BA$2511:$EH$2511,"R")</f>
        <v>5</v>
      </c>
      <c r="AX2042" s="0" t="n">
        <f aca="false"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>0</v>
      </c>
      <c r="AY2042" s="0" t="n">
        <f aca="false">COUNTIF(DU2042:EH2042, "&lt;&gt;")</f>
        <v>0</v>
      </c>
      <c r="AZ2042" s="0" t="n">
        <f aca="false">IF(EH2042&lt;&gt;"",1,0)</f>
        <v>0</v>
      </c>
      <c r="BB2042" s="0" t="s">
        <v>153</v>
      </c>
    </row>
    <row r="2043" customFormat="false" ht="13.8" hidden="true" customHeight="false" outlineLevel="0" collapsed="false">
      <c r="A2043" s="0" t="s">
        <v>9034</v>
      </c>
      <c r="B2043" s="0" t="n">
        <v>78</v>
      </c>
      <c r="C2043" s="0" t="n">
        <v>253477</v>
      </c>
      <c r="D2043" s="0" t="s">
        <v>5396</v>
      </c>
      <c r="E2043" s="0" t="s">
        <v>335</v>
      </c>
      <c r="F2043" s="0" t="str">
        <f aca="false">CONCATENATE(D2043," ",LEFT(H2043,4),"T=",AU2043,"D=",AV2043,"R=",AW2043,"M=",AX2043,"L=",AY2043,"B=",AZ2043)</f>
        <v>TANNER T=4D=0R=0M=0L=1B=0</v>
      </c>
      <c r="G2043" s="0" t="s">
        <v>939</v>
      </c>
      <c r="I2043" s="0" t="s">
        <v>9035</v>
      </c>
      <c r="J2043" s="0" t="s">
        <v>9036</v>
      </c>
      <c r="K2043" s="0" t="s">
        <v>175</v>
      </c>
      <c r="L2043" s="0"/>
      <c r="M2043" s="0" t="s">
        <v>9037</v>
      </c>
      <c r="N2043" s="0" t="str">
        <f aca="false">RIGHT(M2043,LEN(M2043)-FIND(" ",M2043))</f>
        <v>OGDEN AVE NW</v>
      </c>
      <c r="P2043" s="0" t="s">
        <v>146</v>
      </c>
      <c r="Q2043" s="0" t="s">
        <v>147</v>
      </c>
      <c r="R2043" s="0" t="n">
        <v>44483</v>
      </c>
      <c r="AD2043" s="0" t="s">
        <v>148</v>
      </c>
      <c r="AE2043" s="0" t="s">
        <v>149</v>
      </c>
      <c r="AF2043" s="0" t="s">
        <v>150</v>
      </c>
      <c r="AH2043" s="0" t="n">
        <v>14</v>
      </c>
      <c r="AI2043" s="0" t="n">
        <v>11</v>
      </c>
      <c r="AN2043" s="0" t="s">
        <v>146</v>
      </c>
      <c r="AO2043" s="0" t="s">
        <v>250</v>
      </c>
      <c r="AP2043" s="0" t="s">
        <v>251</v>
      </c>
      <c r="AQ2043" s="0" t="n">
        <v>9</v>
      </c>
      <c r="AR2043" s="0" t="n">
        <v>64</v>
      </c>
      <c r="AS2043" s="0" t="n">
        <v>32</v>
      </c>
      <c r="AU2043" s="0" t="n">
        <f aca="false">COUNTA($BA$2068:$EH$2068)</f>
        <v>4</v>
      </c>
      <c r="AV2043" s="0" t="n">
        <f aca="false">COUNTIF($BA$2068:$EH$2068,"D")</f>
        <v>0</v>
      </c>
      <c r="AW2043" s="0" t="n">
        <f aca="false">COUNTIF($BA$2068:$EH$2068,"R")</f>
        <v>0</v>
      </c>
      <c r="AX2043" s="0" t="n">
        <f aca="false"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>0</v>
      </c>
      <c r="AY2043" s="0" t="n">
        <f aca="false">COUNTIF(DU2043:EH2043, "&lt;&gt;")</f>
        <v>1</v>
      </c>
      <c r="AZ2043" s="0" t="n">
        <f aca="false">IF(EH2043&lt;&gt;"",1,0)</f>
        <v>0</v>
      </c>
      <c r="BB2043" s="0" t="s">
        <v>153</v>
      </c>
      <c r="BD2043" s="0" t="s">
        <v>154</v>
      </c>
      <c r="BE2043" s="0" t="s">
        <v>154</v>
      </c>
      <c r="BF2043" s="0" t="s">
        <v>154</v>
      </c>
      <c r="BH2043" s="0" t="s">
        <v>154</v>
      </c>
      <c r="BL2043" s="0" t="s">
        <v>154</v>
      </c>
      <c r="BS2043" s="0" t="s">
        <v>154</v>
      </c>
      <c r="CA2043" s="0" t="s">
        <v>154</v>
      </c>
      <c r="CK2043" s="0" t="s">
        <v>154</v>
      </c>
      <c r="CP2043" s="0" t="s">
        <v>154</v>
      </c>
      <c r="DI2043" s="0" t="s">
        <v>154</v>
      </c>
      <c r="DM2043" s="0" t="s">
        <v>155</v>
      </c>
      <c r="DN2043" s="0" t="s">
        <v>154</v>
      </c>
      <c r="DU2043" s="0" t="s">
        <v>154</v>
      </c>
    </row>
    <row r="2044" customFormat="false" ht="13.8" hidden="true" customHeight="false" outlineLevel="0" collapsed="false">
      <c r="A2044" s="0" t="s">
        <v>9038</v>
      </c>
      <c r="B2044" s="0" t="n">
        <v>78</v>
      </c>
      <c r="C2044" s="0" t="n">
        <v>236280</v>
      </c>
      <c r="D2044" s="0" t="s">
        <v>5396</v>
      </c>
      <c r="E2044" s="0" t="s">
        <v>1263</v>
      </c>
      <c r="F2044" s="0" t="str">
        <f aca="false">CONCATENATE(D2044," ",LEFT(H2044,4),"T=",AU2044,"D=",AV2044,"R=",AW2044,"M=",AX2044,"L=",AY2044,"B=",AZ2044)</f>
        <v>TANNER T=22D=5R=0M=0L=0B=0</v>
      </c>
      <c r="G2044" s="0" t="s">
        <v>365</v>
      </c>
      <c r="I2044" s="0" t="s">
        <v>9039</v>
      </c>
      <c r="J2044" s="0" t="s">
        <v>9040</v>
      </c>
      <c r="K2044" s="0" t="s">
        <v>144</v>
      </c>
      <c r="L2044" s="0"/>
      <c r="M2044" s="0" t="s">
        <v>9037</v>
      </c>
      <c r="N2044" s="0" t="str">
        <f aca="false">RIGHT(M2044,LEN(M2044)-FIND(" ",M2044))</f>
        <v>OGDEN AVE NW</v>
      </c>
      <c r="P2044" s="0" t="s">
        <v>146</v>
      </c>
      <c r="Q2044" s="0" t="s">
        <v>147</v>
      </c>
      <c r="R2044" s="0" t="n">
        <v>44483</v>
      </c>
      <c r="AD2044" s="0" t="s">
        <v>148</v>
      </c>
      <c r="AE2044" s="0" t="s">
        <v>149</v>
      </c>
      <c r="AF2044" s="0" t="s">
        <v>150</v>
      </c>
      <c r="AH2044" s="0" t="n">
        <v>14</v>
      </c>
      <c r="AI2044" s="0" t="n">
        <v>11</v>
      </c>
      <c r="AN2044" s="0" t="s">
        <v>146</v>
      </c>
      <c r="AO2044" s="0" t="s">
        <v>250</v>
      </c>
      <c r="AP2044" s="0" t="s">
        <v>251</v>
      </c>
      <c r="AQ2044" s="0" t="n">
        <v>9</v>
      </c>
      <c r="AR2044" s="0" t="n">
        <v>64</v>
      </c>
      <c r="AS2044" s="0" t="n">
        <v>32</v>
      </c>
      <c r="AU2044" s="0" t="n">
        <f aca="false">COUNTA($BA$2602:$EH$2602)</f>
        <v>22</v>
      </c>
      <c r="AV2044" s="0" t="n">
        <f aca="false">COUNTIF($BA$2602:$EH$2602,"D")</f>
        <v>5</v>
      </c>
      <c r="AW2044" s="0" t="n">
        <f aca="false">COUNTIF($BA$2602:$EH$2602,"R")</f>
        <v>0</v>
      </c>
      <c r="AX2044" s="0" t="n">
        <f aca="false"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>0</v>
      </c>
      <c r="AY2044" s="0" t="n">
        <f aca="false">COUNTIF(DU2044:EH2044, "&lt;&gt;")</f>
        <v>0</v>
      </c>
      <c r="AZ2044" s="0" t="n">
        <f aca="false">IF(EH2044&lt;&gt;"",1,0)</f>
        <v>0</v>
      </c>
      <c r="BB2044" s="0" t="s">
        <v>153</v>
      </c>
      <c r="BC2044" s="0" t="s">
        <v>154</v>
      </c>
      <c r="BD2044" s="0" t="s">
        <v>154</v>
      </c>
      <c r="BH2044" s="0" t="s">
        <v>154</v>
      </c>
      <c r="BL2044" s="0" t="s">
        <v>154</v>
      </c>
      <c r="BS2044" s="0" t="s">
        <v>154</v>
      </c>
      <c r="CA2044" s="0" t="s">
        <v>154</v>
      </c>
      <c r="CG2044" s="0" t="s">
        <v>154</v>
      </c>
      <c r="CK2044" s="0" t="s">
        <v>154</v>
      </c>
      <c r="CN2044" s="0" t="s">
        <v>154</v>
      </c>
      <c r="CP2044" s="0" t="s">
        <v>154</v>
      </c>
      <c r="CV2044" s="0" t="s">
        <v>154</v>
      </c>
      <c r="CY2044" s="0" t="s">
        <v>154</v>
      </c>
      <c r="CZ2044" s="0" t="s">
        <v>155</v>
      </c>
      <c r="DC2044" s="0" t="s">
        <v>154</v>
      </c>
      <c r="DI2044" s="0" t="s">
        <v>154</v>
      </c>
    </row>
    <row r="2045" customFormat="false" ht="13.8" hidden="true" customHeight="false" outlineLevel="0" collapsed="false">
      <c r="A2045" s="0" t="s">
        <v>9041</v>
      </c>
      <c r="B2045" s="0" t="n">
        <v>78</v>
      </c>
      <c r="C2045" s="0" t="n">
        <v>368250</v>
      </c>
      <c r="D2045" s="0" t="s">
        <v>5411</v>
      </c>
      <c r="E2045" s="0" t="s">
        <v>750</v>
      </c>
      <c r="F2045" s="0" t="str">
        <f aca="false">CONCATENATE(D2045," ",LEFT(H2045,4),"T=",AU2045,"D=",AV2045,"R=",AW2045,"M=",AX2045,"L=",AY2045,"B=",AZ2045)</f>
        <v>RIVERA T=14D=3R=0M=0L=0B=0</v>
      </c>
      <c r="G2045" s="0" t="s">
        <v>2303</v>
      </c>
      <c r="I2045" s="0" t="s">
        <v>9042</v>
      </c>
      <c r="J2045" s="0" t="s">
        <v>7576</v>
      </c>
      <c r="K2045" s="0" t="s">
        <v>144</v>
      </c>
      <c r="L2045" s="0"/>
      <c r="M2045" s="0" t="s">
        <v>9043</v>
      </c>
      <c r="N2045" s="0" t="str">
        <f aca="false">RIGHT(M2045,LEN(M2045)-FIND(" ",M2045))</f>
        <v>OGDEN AVE NW</v>
      </c>
      <c r="P2045" s="0" t="s">
        <v>146</v>
      </c>
      <c r="Q2045" s="0" t="s">
        <v>147</v>
      </c>
      <c r="R2045" s="0" t="n">
        <v>44483</v>
      </c>
      <c r="AD2045" s="0" t="s">
        <v>148</v>
      </c>
      <c r="AE2045" s="0" t="s">
        <v>149</v>
      </c>
      <c r="AF2045" s="0" t="s">
        <v>150</v>
      </c>
      <c r="AH2045" s="0" t="n">
        <v>14</v>
      </c>
      <c r="AI2045" s="0" t="n">
        <v>11</v>
      </c>
      <c r="AN2045" s="0" t="s">
        <v>146</v>
      </c>
      <c r="AO2045" s="0" t="s">
        <v>250</v>
      </c>
      <c r="AP2045" s="0" t="s">
        <v>251</v>
      </c>
      <c r="AQ2045" s="0" t="n">
        <v>9</v>
      </c>
      <c r="AR2045" s="0" t="n">
        <v>64</v>
      </c>
      <c r="AS2045" s="0" t="n">
        <v>32</v>
      </c>
      <c r="AU2045" s="0" t="n">
        <f aca="false">COUNTA($BA$2524:$EH$2524)</f>
        <v>14</v>
      </c>
      <c r="AV2045" s="0" t="n">
        <f aca="false">COUNTIF($BA$2524:$EH$2524,"D")</f>
        <v>3</v>
      </c>
      <c r="AW2045" s="0" t="n">
        <f aca="false">COUNTIF($BA$2524:$EH$2524,"R")</f>
        <v>0</v>
      </c>
      <c r="AX2045" s="0" t="n">
        <f aca="false"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>0</v>
      </c>
      <c r="AY2045" s="0" t="n">
        <f aca="false">COUNTIF(DU2045:EH2045, "&lt;&gt;")</f>
        <v>0</v>
      </c>
      <c r="AZ2045" s="0" t="n">
        <f aca="false">IF(EH2045&lt;&gt;"",1,0)</f>
        <v>0</v>
      </c>
      <c r="BB2045" s="0" t="s">
        <v>153</v>
      </c>
    </row>
    <row r="2046" customFormat="false" ht="13.8" hidden="true" customHeight="false" outlineLevel="0" collapsed="false">
      <c r="A2046" s="0" t="s">
        <v>9044</v>
      </c>
      <c r="B2046" s="0" t="n">
        <v>78</v>
      </c>
      <c r="C2046" s="0" t="n">
        <v>409505</v>
      </c>
      <c r="D2046" s="0" t="s">
        <v>9045</v>
      </c>
      <c r="E2046" s="0" t="s">
        <v>5602</v>
      </c>
      <c r="F2046" s="0" t="str">
        <f aca="false">CONCATENATE(D2046," ",LEFT(H2046,4),"T=",AU2046,"D=",AV2046,"R=",AW2046,"M=",AX2046,"L=",AY2046,"B=",AZ2046)</f>
        <v>INGRAM T=1D=0R=0M=0L=0B=0</v>
      </c>
      <c r="G2046" s="0" t="s">
        <v>9046</v>
      </c>
      <c r="I2046" s="0" t="s">
        <v>9047</v>
      </c>
      <c r="J2046" s="0" t="s">
        <v>9048</v>
      </c>
      <c r="K2046" s="0" t="s">
        <v>175</v>
      </c>
      <c r="L2046" s="0"/>
      <c r="M2046" s="0" t="s">
        <v>9049</v>
      </c>
      <c r="N2046" s="0" t="str">
        <f aca="false">RIGHT(M2046,LEN(M2046)-FIND(" ",M2046))</f>
        <v>OGDEN AVE NW</v>
      </c>
      <c r="P2046" s="0" t="s">
        <v>146</v>
      </c>
      <c r="Q2046" s="0" t="s">
        <v>147</v>
      </c>
      <c r="R2046" s="0" t="n">
        <v>44483</v>
      </c>
      <c r="AD2046" s="0" t="s">
        <v>148</v>
      </c>
      <c r="AE2046" s="0" t="s">
        <v>149</v>
      </c>
      <c r="AF2046" s="0" t="s">
        <v>150</v>
      </c>
      <c r="AH2046" s="0" t="n">
        <v>14</v>
      </c>
      <c r="AI2046" s="0" t="n">
        <v>11</v>
      </c>
      <c r="AN2046" s="0" t="s">
        <v>146</v>
      </c>
      <c r="AO2046" s="0" t="s">
        <v>250</v>
      </c>
      <c r="AP2046" s="0" t="s">
        <v>251</v>
      </c>
      <c r="AQ2046" s="0" t="n">
        <v>9</v>
      </c>
      <c r="AR2046" s="0" t="n">
        <v>64</v>
      </c>
      <c r="AS2046" s="0" t="n">
        <v>32</v>
      </c>
      <c r="AU2046" s="0" t="n">
        <f aca="false">COUNTA($BA$2708:$EH$2708)</f>
        <v>1</v>
      </c>
      <c r="AV2046" s="0" t="n">
        <f aca="false">COUNTIF($BA$2708:$EH$2708,"D")</f>
        <v>0</v>
      </c>
      <c r="AW2046" s="0" t="n">
        <f aca="false">COUNTIF($BA$2708:$EH$2708,"R")</f>
        <v>0</v>
      </c>
      <c r="AX2046" s="0" t="n">
        <f aca="false"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>0</v>
      </c>
      <c r="AY2046" s="0" t="n">
        <f aca="false">COUNTIF(DU2046:EH2046, "&lt;&gt;")</f>
        <v>0</v>
      </c>
      <c r="AZ2046" s="0" t="n">
        <f aca="false">IF(EH2046&lt;&gt;"",1,0)</f>
        <v>0</v>
      </c>
      <c r="BB2046" s="0" t="s">
        <v>153</v>
      </c>
      <c r="DC2046" s="0" t="s">
        <v>154</v>
      </c>
    </row>
    <row r="2047" customFormat="false" ht="13.8" hidden="true" customHeight="false" outlineLevel="0" collapsed="false">
      <c r="A2047" s="0" t="s">
        <v>9050</v>
      </c>
      <c r="B2047" s="0" t="n">
        <v>78</v>
      </c>
      <c r="C2047" s="0" t="n">
        <v>437853</v>
      </c>
      <c r="D2047" s="0" t="s">
        <v>1288</v>
      </c>
      <c r="E2047" s="0" t="s">
        <v>1684</v>
      </c>
      <c r="F2047" s="0" t="str">
        <f aca="false">CONCATENATE(D2047," ",LEFT(H2047,4),"T=",AU2047,"D=",AV2047,"R=",AW2047,"M=",AX2047,"L=",AY2047,"B=",AZ2047)</f>
        <v>BENNETT T=1D=0R=0M=0L=0B=0</v>
      </c>
      <c r="G2047" s="0" t="s">
        <v>9051</v>
      </c>
      <c r="I2047" s="0" t="s">
        <v>9052</v>
      </c>
      <c r="J2047" s="0" t="s">
        <v>9053</v>
      </c>
      <c r="K2047" s="0" t="s">
        <v>175</v>
      </c>
      <c r="L2047" s="0"/>
      <c r="M2047" s="0" t="s">
        <v>9054</v>
      </c>
      <c r="N2047" s="0" t="str">
        <f aca="false">RIGHT(M2047,LEN(M2047)-FIND(" ",M2047))</f>
        <v>OGDEN AVE NW</v>
      </c>
      <c r="P2047" s="0" t="s">
        <v>146</v>
      </c>
      <c r="Q2047" s="0" t="s">
        <v>147</v>
      </c>
      <c r="R2047" s="0" t="n">
        <v>44483</v>
      </c>
      <c r="AD2047" s="0" t="s">
        <v>148</v>
      </c>
      <c r="AE2047" s="0" t="s">
        <v>149</v>
      </c>
      <c r="AF2047" s="0" t="s">
        <v>150</v>
      </c>
      <c r="AH2047" s="0" t="n">
        <v>14</v>
      </c>
      <c r="AI2047" s="0" t="n">
        <v>11</v>
      </c>
      <c r="AN2047" s="0" t="s">
        <v>146</v>
      </c>
      <c r="AO2047" s="0" t="s">
        <v>250</v>
      </c>
      <c r="AP2047" s="0" t="s">
        <v>251</v>
      </c>
      <c r="AQ2047" s="0" t="n">
        <v>9</v>
      </c>
      <c r="AR2047" s="0" t="n">
        <v>64</v>
      </c>
      <c r="AS2047" s="0" t="n">
        <v>32</v>
      </c>
      <c r="AU2047" s="0" t="n">
        <f aca="false">COUNTA($BA$2243:$EH$2243)</f>
        <v>1</v>
      </c>
      <c r="AV2047" s="0" t="n">
        <f aca="false">COUNTIF($BA$2243:$EH$2243,"D")</f>
        <v>0</v>
      </c>
      <c r="AW2047" s="0" t="n">
        <f aca="false">COUNTIF($BA$2243:$EH$2243,"R")</f>
        <v>0</v>
      </c>
      <c r="AX2047" s="0" t="n">
        <f aca="false"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>0</v>
      </c>
      <c r="AY2047" s="0" t="n">
        <f aca="false">COUNTIF(DU2047:EH2047, "&lt;&gt;")</f>
        <v>0</v>
      </c>
      <c r="AZ2047" s="0" t="n">
        <f aca="false">IF(EH2047&lt;&gt;"",1,0)</f>
        <v>0</v>
      </c>
      <c r="BB2047" s="0" t="s">
        <v>153</v>
      </c>
    </row>
    <row r="2048" customFormat="false" ht="13.8" hidden="true" customHeight="false" outlineLevel="0" collapsed="false">
      <c r="A2048" s="0" t="s">
        <v>9055</v>
      </c>
      <c r="B2048" s="0" t="n">
        <v>78</v>
      </c>
      <c r="C2048" s="0" t="n">
        <v>361618</v>
      </c>
      <c r="D2048" s="0" t="s">
        <v>5102</v>
      </c>
      <c r="E2048" s="0" t="s">
        <v>9056</v>
      </c>
      <c r="F2048" s="0" t="str">
        <f aca="false">CONCATENATE(D2048," ",LEFT(H2048,4),"T=",AU2048,"D=",AV2048,"R=",AW2048,"M=",AX2048,"L=",AY2048,"B=",AZ2048)</f>
        <v>BEASLEY T=6D=0R=0M=0L=1B=0</v>
      </c>
      <c r="G2048" s="0" t="s">
        <v>297</v>
      </c>
      <c r="I2048" s="0" t="s">
        <v>9057</v>
      </c>
      <c r="J2048" s="0" t="s">
        <v>9058</v>
      </c>
      <c r="K2048" s="0" t="s">
        <v>175</v>
      </c>
      <c r="L2048" s="0"/>
      <c r="M2048" s="0" t="s">
        <v>9054</v>
      </c>
      <c r="N2048" s="0" t="str">
        <f aca="false">RIGHT(M2048,LEN(M2048)-FIND(" ",M2048))</f>
        <v>OGDEN AVE NW</v>
      </c>
      <c r="P2048" s="0" t="s">
        <v>146</v>
      </c>
      <c r="Q2048" s="0" t="s">
        <v>147</v>
      </c>
      <c r="R2048" s="0" t="n">
        <v>44483</v>
      </c>
      <c r="AD2048" s="0" t="s">
        <v>148</v>
      </c>
      <c r="AE2048" s="0" t="s">
        <v>149</v>
      </c>
      <c r="AF2048" s="0" t="s">
        <v>150</v>
      </c>
      <c r="AH2048" s="0" t="n">
        <v>14</v>
      </c>
      <c r="AI2048" s="0" t="n">
        <v>11</v>
      </c>
      <c r="AN2048" s="0" t="s">
        <v>146</v>
      </c>
      <c r="AO2048" s="0" t="s">
        <v>250</v>
      </c>
      <c r="AP2048" s="0" t="s">
        <v>251</v>
      </c>
      <c r="AQ2048" s="0" t="n">
        <v>9</v>
      </c>
      <c r="AR2048" s="0" t="n">
        <v>64</v>
      </c>
      <c r="AS2048" s="0" t="n">
        <v>32</v>
      </c>
      <c r="AU2048" s="0" t="n">
        <f aca="false">COUNTA($BA$2577:$EH$2577)</f>
        <v>6</v>
      </c>
      <c r="AV2048" s="0" t="n">
        <f aca="false">COUNTIF($BA$2577:$EH$2577,"D")</f>
        <v>0</v>
      </c>
      <c r="AW2048" s="0" t="n">
        <f aca="false">COUNTIF($BA$2577:$EH$2577,"R")</f>
        <v>0</v>
      </c>
      <c r="AX2048" s="0" t="n">
        <f aca="false"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>0</v>
      </c>
      <c r="AY2048" s="0" t="n">
        <f aca="false">COUNTIF(DU2048:EH2048, "&lt;&gt;")</f>
        <v>1</v>
      </c>
      <c r="AZ2048" s="0" t="n">
        <f aca="false">IF(EH2048&lt;&gt;"",1,0)</f>
        <v>0</v>
      </c>
      <c r="BB2048" s="0" t="s">
        <v>153</v>
      </c>
      <c r="EF2048" s="0" t="s">
        <v>154</v>
      </c>
    </row>
    <row r="2049" customFormat="false" ht="13.8" hidden="true" customHeight="false" outlineLevel="0" collapsed="false">
      <c r="A2049" s="0" t="s">
        <v>9059</v>
      </c>
      <c r="B2049" s="0" t="n">
        <v>78</v>
      </c>
      <c r="C2049" s="0" t="n">
        <v>302480</v>
      </c>
      <c r="D2049" s="0" t="s">
        <v>614</v>
      </c>
      <c r="E2049" s="0" t="s">
        <v>863</v>
      </c>
      <c r="F2049" s="0" t="str">
        <f aca="false">CONCATENATE(D2049," ",LEFT(H2049,4),"T=",AU2049,"D=",AV2049,"R=",AW2049,"M=",AX2049,"L=",AY2049,"B=",AZ2049)</f>
        <v>LOWE T=1D=0R=0M=0L=0B=0</v>
      </c>
      <c r="G2049" s="0" t="s">
        <v>241</v>
      </c>
      <c r="I2049" s="0" t="s">
        <v>5083</v>
      </c>
      <c r="J2049" s="0" t="s">
        <v>1976</v>
      </c>
      <c r="K2049" s="0" t="s">
        <v>175</v>
      </c>
      <c r="L2049" s="0"/>
      <c r="M2049" s="0" t="s">
        <v>9060</v>
      </c>
      <c r="N2049" s="0" t="str">
        <f aca="false">RIGHT(M2049,LEN(M2049)-FIND(" ",M2049))</f>
        <v>OGDEN AVE NW</v>
      </c>
      <c r="P2049" s="0" t="s">
        <v>146</v>
      </c>
      <c r="Q2049" s="0" t="s">
        <v>147</v>
      </c>
      <c r="R2049" s="0" t="n">
        <v>44483</v>
      </c>
      <c r="AD2049" s="0" t="s">
        <v>148</v>
      </c>
      <c r="AE2049" s="0" t="s">
        <v>149</v>
      </c>
      <c r="AF2049" s="0" t="s">
        <v>150</v>
      </c>
      <c r="AH2049" s="0" t="n">
        <v>14</v>
      </c>
      <c r="AI2049" s="0" t="n">
        <v>11</v>
      </c>
      <c r="AN2049" s="0" t="s">
        <v>146</v>
      </c>
      <c r="AO2049" s="0" t="s">
        <v>250</v>
      </c>
      <c r="AP2049" s="0" t="s">
        <v>251</v>
      </c>
      <c r="AQ2049" s="0" t="n">
        <v>9</v>
      </c>
      <c r="AR2049" s="0" t="n">
        <v>64</v>
      </c>
      <c r="AS2049" s="0" t="n">
        <v>32</v>
      </c>
      <c r="AU2049" s="0" t="n">
        <f aca="false">COUNTA($BA$2129:$EH$2129)</f>
        <v>1</v>
      </c>
      <c r="AV2049" s="0" t="n">
        <f aca="false">COUNTIF($BA$2129:$EH$2129,"D")</f>
        <v>0</v>
      </c>
      <c r="AW2049" s="0" t="n">
        <f aca="false">COUNTIF($BA$2129:$EH$2129,"R")</f>
        <v>0</v>
      </c>
      <c r="AX2049" s="0" t="n">
        <f aca="false"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>0</v>
      </c>
      <c r="AY2049" s="0" t="n">
        <f aca="false">COUNTIF(DU2049:EH2049, "&lt;&gt;")</f>
        <v>0</v>
      </c>
      <c r="AZ2049" s="0" t="n">
        <f aca="false">IF(EH2049&lt;&gt;"",1,0)</f>
        <v>0</v>
      </c>
      <c r="BB2049" s="0" t="s">
        <v>153</v>
      </c>
      <c r="BI2049" s="0" t="s">
        <v>154</v>
      </c>
      <c r="BJ2049" s="0" t="s">
        <v>154</v>
      </c>
      <c r="BL2049" s="0" t="s">
        <v>154</v>
      </c>
      <c r="BS2049" s="0" t="s">
        <v>154</v>
      </c>
      <c r="CA2049" s="0" t="s">
        <v>154</v>
      </c>
      <c r="CH2049" s="0" t="s">
        <v>155</v>
      </c>
      <c r="CP2049" s="0" t="s">
        <v>154</v>
      </c>
      <c r="DN2049" s="0" t="s">
        <v>154</v>
      </c>
    </row>
    <row r="2050" customFormat="false" ht="13.8" hidden="true" customHeight="false" outlineLevel="0" collapsed="false">
      <c r="A2050" s="0" t="s">
        <v>9061</v>
      </c>
      <c r="B2050" s="0" t="n">
        <v>78</v>
      </c>
      <c r="C2050" s="0" t="n">
        <v>380605</v>
      </c>
      <c r="D2050" s="0" t="s">
        <v>856</v>
      </c>
      <c r="E2050" s="0" t="s">
        <v>9062</v>
      </c>
      <c r="F2050" s="0" t="str">
        <f aca="false">CONCATENATE(D2050," ",LEFT(H2050,4),"T=",AU2050,"D=",AV2050,"R=",AW2050,"M=",AX2050,"L=",AY2050,"B=",AZ2050)</f>
        <v>JONES T=3D=0R=0M=0L=0B=0</v>
      </c>
      <c r="G2050" s="0" t="s">
        <v>1131</v>
      </c>
      <c r="I2050" s="0" t="s">
        <v>9063</v>
      </c>
      <c r="J2050" s="0" t="s">
        <v>9064</v>
      </c>
      <c r="K2050" s="0" t="s">
        <v>175</v>
      </c>
      <c r="L2050" s="0"/>
      <c r="M2050" s="0" t="s">
        <v>9065</v>
      </c>
      <c r="N2050" s="0" t="str">
        <f aca="false">RIGHT(M2050,LEN(M2050)-FIND(" ",M2050))</f>
        <v>OGDEN AVE NW</v>
      </c>
      <c r="P2050" s="0" t="s">
        <v>146</v>
      </c>
      <c r="Q2050" s="0" t="s">
        <v>147</v>
      </c>
      <c r="R2050" s="0" t="n">
        <v>44483</v>
      </c>
      <c r="AD2050" s="0" t="s">
        <v>148</v>
      </c>
      <c r="AE2050" s="0" t="s">
        <v>149</v>
      </c>
      <c r="AF2050" s="0" t="s">
        <v>150</v>
      </c>
      <c r="AH2050" s="0" t="n">
        <v>14</v>
      </c>
      <c r="AI2050" s="0" t="n">
        <v>11</v>
      </c>
      <c r="AN2050" s="0" t="s">
        <v>146</v>
      </c>
      <c r="AO2050" s="0" t="s">
        <v>250</v>
      </c>
      <c r="AP2050" s="0" t="s">
        <v>251</v>
      </c>
      <c r="AQ2050" s="0" t="n">
        <v>9</v>
      </c>
      <c r="AR2050" s="0" t="n">
        <v>64</v>
      </c>
      <c r="AS2050" s="0" t="n">
        <v>32</v>
      </c>
      <c r="AU2050" s="0" t="n">
        <f aca="false">COUNTA($BA$2099:$EH$2099)</f>
        <v>3</v>
      </c>
      <c r="AV2050" s="0" t="n">
        <f aca="false">COUNTIF($BA$2099:$EH$2099,"D")</f>
        <v>0</v>
      </c>
      <c r="AW2050" s="0" t="n">
        <f aca="false">COUNTIF($BA$2099:$EH$2099,"R")</f>
        <v>0</v>
      </c>
      <c r="AX2050" s="0" t="n">
        <f aca="false"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>0</v>
      </c>
      <c r="AY2050" s="0" t="n">
        <f aca="false">COUNTIF(DU2050:EH2050, "&lt;&gt;")</f>
        <v>0</v>
      </c>
      <c r="AZ2050" s="0" t="n">
        <f aca="false">IF(EH2050&lt;&gt;"",1,0)</f>
        <v>0</v>
      </c>
      <c r="BB2050" s="0" t="s">
        <v>153</v>
      </c>
      <c r="BL2050" s="0" t="s">
        <v>154</v>
      </c>
      <c r="CA2050" s="0" t="s">
        <v>154</v>
      </c>
    </row>
    <row r="2051" customFormat="false" ht="13.8" hidden="true" customHeight="false" outlineLevel="0" collapsed="false">
      <c r="A2051" s="0" t="s">
        <v>9066</v>
      </c>
      <c r="B2051" s="0" t="n">
        <v>78</v>
      </c>
      <c r="C2051" s="0" t="n">
        <v>446850</v>
      </c>
      <c r="D2051" s="0" t="s">
        <v>9067</v>
      </c>
      <c r="E2051" s="0" t="s">
        <v>609</v>
      </c>
      <c r="F2051" s="0" t="str">
        <f aca="false">CONCATENATE(D2051," ",LEFT(H2051,4),"T=",AU2051,"D=",AV2051,"R=",AW2051,"M=",AX2051,"L=",AY2051,"B=",AZ2051)</f>
        <v>BERRIOS T=3D=0R=0M=0L=0B=0</v>
      </c>
      <c r="G2051" s="0" t="s">
        <v>690</v>
      </c>
      <c r="I2051" s="0" t="s">
        <v>9068</v>
      </c>
      <c r="J2051" s="0" t="s">
        <v>9069</v>
      </c>
      <c r="K2051" s="0" t="s">
        <v>144</v>
      </c>
      <c r="L2051" s="0"/>
      <c r="M2051" s="0" t="s">
        <v>9065</v>
      </c>
      <c r="N2051" s="0" t="str">
        <f aca="false">RIGHT(M2051,LEN(M2051)-FIND(" ",M2051))</f>
        <v>OGDEN AVE NW</v>
      </c>
      <c r="P2051" s="0" t="s">
        <v>146</v>
      </c>
      <c r="Q2051" s="0" t="s">
        <v>147</v>
      </c>
      <c r="R2051" s="0" t="n">
        <v>44483</v>
      </c>
      <c r="AD2051" s="0" t="s">
        <v>148</v>
      </c>
      <c r="AE2051" s="0" t="s">
        <v>149</v>
      </c>
      <c r="AF2051" s="0" t="s">
        <v>150</v>
      </c>
      <c r="AH2051" s="0" t="n">
        <v>14</v>
      </c>
      <c r="AI2051" s="0" t="n">
        <v>11</v>
      </c>
      <c r="AN2051" s="0" t="s">
        <v>146</v>
      </c>
      <c r="AO2051" s="0" t="s">
        <v>250</v>
      </c>
      <c r="AP2051" s="0" t="s">
        <v>251</v>
      </c>
      <c r="AQ2051" s="0" t="n">
        <v>9</v>
      </c>
      <c r="AR2051" s="0" t="n">
        <v>64</v>
      </c>
      <c r="AS2051" s="0" t="n">
        <v>32</v>
      </c>
      <c r="AU2051" s="0" t="n">
        <f aca="false">COUNTA($BA$2534:$EH$2534)</f>
        <v>3</v>
      </c>
      <c r="AV2051" s="0" t="n">
        <f aca="false">COUNTIF($BA$2534:$EH$2534,"D")</f>
        <v>0</v>
      </c>
      <c r="AW2051" s="0" t="n">
        <f aca="false">COUNTIF($BA$2534:$EH$2534,"R")</f>
        <v>0</v>
      </c>
      <c r="AX2051" s="0" t="n">
        <f aca="false"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>0</v>
      </c>
      <c r="AY2051" s="0" t="n">
        <f aca="false">COUNTIF(DU2051:EH2051, "&lt;&gt;")</f>
        <v>0</v>
      </c>
      <c r="AZ2051" s="0" t="n">
        <f aca="false">IF(EH2051&lt;&gt;"",1,0)</f>
        <v>0</v>
      </c>
      <c r="BB2051" s="0" t="s">
        <v>153</v>
      </c>
    </row>
    <row r="2052" customFormat="false" ht="13.8" hidden="true" customHeight="false" outlineLevel="0" collapsed="false">
      <c r="A2052" s="0" t="s">
        <v>9070</v>
      </c>
      <c r="B2052" s="0" t="n">
        <v>78</v>
      </c>
      <c r="C2052" s="0" t="n">
        <v>389633</v>
      </c>
      <c r="D2052" s="0" t="s">
        <v>1657</v>
      </c>
      <c r="E2052" s="0" t="s">
        <v>9071</v>
      </c>
      <c r="F2052" s="0" t="str">
        <f aca="false">CONCATENATE(D2052," ",LEFT(H2052,4),"T=",AU2052,"D=",AV2052,"R=",AW2052,"M=",AX2052,"L=",AY2052,"B=",AZ2052)</f>
        <v>MILLER T=6D=0R=0M=0L=0B=0</v>
      </c>
      <c r="G2052" s="0" t="s">
        <v>176</v>
      </c>
      <c r="I2052" s="0" t="s">
        <v>9072</v>
      </c>
      <c r="J2052" s="0" t="s">
        <v>9073</v>
      </c>
      <c r="K2052" s="0" t="s">
        <v>144</v>
      </c>
      <c r="L2052" s="0"/>
      <c r="M2052" s="0" t="s">
        <v>9074</v>
      </c>
      <c r="N2052" s="0" t="str">
        <f aca="false">RIGHT(M2052,LEN(M2052)-FIND(" ",M2052))</f>
        <v>OGDEN AVE NW</v>
      </c>
      <c r="P2052" s="0" t="s">
        <v>146</v>
      </c>
      <c r="Q2052" s="0" t="s">
        <v>147</v>
      </c>
      <c r="R2052" s="0" t="n">
        <v>44483</v>
      </c>
      <c r="AD2052" s="0" t="s">
        <v>148</v>
      </c>
      <c r="AE2052" s="0" t="s">
        <v>149</v>
      </c>
      <c r="AF2052" s="0" t="s">
        <v>150</v>
      </c>
      <c r="AH2052" s="0" t="n">
        <v>14</v>
      </c>
      <c r="AI2052" s="0" t="n">
        <v>11</v>
      </c>
      <c r="AN2052" s="0" t="s">
        <v>146</v>
      </c>
      <c r="AO2052" s="0" t="s">
        <v>250</v>
      </c>
      <c r="AP2052" s="0" t="s">
        <v>251</v>
      </c>
      <c r="AQ2052" s="0" t="n">
        <v>9</v>
      </c>
      <c r="AR2052" s="0" t="n">
        <v>64</v>
      </c>
      <c r="AS2052" s="0" t="n">
        <v>32</v>
      </c>
      <c r="AU2052" s="0" t="n">
        <f aca="false">COUNTA($BA$2311:$EH$2311)</f>
        <v>6</v>
      </c>
      <c r="AV2052" s="0" t="n">
        <f aca="false">COUNTIF($BA$2311:$EH$2311,"D")</f>
        <v>0</v>
      </c>
      <c r="AW2052" s="0" t="n">
        <f aca="false">COUNTIF($BA$2311:$EH$2311,"R")</f>
        <v>0</v>
      </c>
      <c r="AX2052" s="0" t="n">
        <f aca="false"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>0</v>
      </c>
      <c r="AY2052" s="0" t="n">
        <f aca="false">COUNTIF(DU2052:EH2052, "&lt;&gt;")</f>
        <v>0</v>
      </c>
      <c r="AZ2052" s="0" t="n">
        <f aca="false">IF(EH2052&lt;&gt;"",1,0)</f>
        <v>0</v>
      </c>
      <c r="BB2052" s="0" t="s">
        <v>153</v>
      </c>
      <c r="CP2052" s="0" t="s">
        <v>154</v>
      </c>
      <c r="DC2052" s="0" t="s">
        <v>154</v>
      </c>
    </row>
    <row r="2053" customFormat="false" ht="13.8" hidden="true" customHeight="false" outlineLevel="0" collapsed="false">
      <c r="A2053" s="0" t="s">
        <v>9075</v>
      </c>
      <c r="B2053" s="0" t="n">
        <v>78</v>
      </c>
      <c r="C2053" s="0" t="n">
        <v>483322</v>
      </c>
      <c r="D2053" s="0" t="s">
        <v>9076</v>
      </c>
      <c r="E2053" s="0" t="s">
        <v>9077</v>
      </c>
      <c r="F2053" s="0" t="str">
        <f aca="false">CONCATENATE(D2053," ",LEFT(H2053,4),"T=",AU2053,"D=",AV2053,"R=",AW2053,"M=",AX2053,"L=",AY2053,"B=",AZ2053)</f>
        <v>GILL T=7D=0R=0M=0L=0B=0</v>
      </c>
      <c r="I2053" s="0" t="s">
        <v>9078</v>
      </c>
      <c r="J2053" s="0" t="s">
        <v>9079</v>
      </c>
      <c r="K2053" s="0" t="s">
        <v>175</v>
      </c>
      <c r="L2053" s="0"/>
      <c r="M2053" s="0" t="s">
        <v>9074</v>
      </c>
      <c r="N2053" s="0" t="str">
        <f aca="false">RIGHT(M2053,LEN(M2053)-FIND(" ",M2053))</f>
        <v>OGDEN AVE NW</v>
      </c>
      <c r="P2053" s="0" t="s">
        <v>146</v>
      </c>
      <c r="Q2053" s="0" t="s">
        <v>147</v>
      </c>
      <c r="R2053" s="0" t="n">
        <v>44483</v>
      </c>
      <c r="AD2053" s="0" t="s">
        <v>148</v>
      </c>
      <c r="AE2053" s="0" t="s">
        <v>149</v>
      </c>
      <c r="AF2053" s="0" t="s">
        <v>150</v>
      </c>
      <c r="AH2053" s="0" t="n">
        <v>14</v>
      </c>
      <c r="AI2053" s="0" t="n">
        <v>11</v>
      </c>
      <c r="AN2053" s="0" t="s">
        <v>146</v>
      </c>
      <c r="AO2053" s="0" t="s">
        <v>250</v>
      </c>
      <c r="AP2053" s="0" t="s">
        <v>251</v>
      </c>
      <c r="AQ2053" s="0" t="n">
        <v>9</v>
      </c>
      <c r="AR2053" s="0" t="n">
        <v>64</v>
      </c>
      <c r="AS2053" s="0" t="n">
        <v>32</v>
      </c>
      <c r="AU2053" s="0" t="n">
        <f aca="false">COUNTA($BA$2312:$EH$2312)</f>
        <v>7</v>
      </c>
      <c r="AV2053" s="0" t="n">
        <f aca="false">COUNTIF($BA$2312:$EH$2312,"D")</f>
        <v>0</v>
      </c>
      <c r="AW2053" s="0" t="n">
        <f aca="false">COUNTIF($BA$2312:$EH$2312,"R")</f>
        <v>0</v>
      </c>
      <c r="AX2053" s="0" t="n">
        <f aca="false"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>0</v>
      </c>
      <c r="AY2053" s="0" t="n">
        <f aca="false">COUNTIF(DU2053:EH2053, "&lt;&gt;")</f>
        <v>0</v>
      </c>
      <c r="AZ2053" s="0" t="n">
        <f aca="false">IF(EH2053&lt;&gt;"",1,0)</f>
        <v>0</v>
      </c>
      <c r="BB2053" s="0" t="s">
        <v>153</v>
      </c>
    </row>
    <row r="2054" customFormat="false" ht="13.8" hidden="false" customHeight="false" outlineLevel="0" collapsed="false">
      <c r="A2054" s="0" t="s">
        <v>9080</v>
      </c>
      <c r="B2054" s="0" t="n">
        <v>78</v>
      </c>
      <c r="C2054" s="0" t="n">
        <v>120808</v>
      </c>
      <c r="D2054" s="0" t="s">
        <v>1657</v>
      </c>
      <c r="E2054" s="0" t="s">
        <v>867</v>
      </c>
      <c r="F2054" s="0" t="str">
        <f aca="false">CONCATENATE(D2054," ",LEFT(H2054,4),"T=",AU2054,"D=",AV2054,"R=",AW2054,"M=",AX2054,"L=",AY2054,"B=",AZ2054)</f>
        <v>MILLER T=4D=0R=0M=1L=4B=0</v>
      </c>
      <c r="G2054" s="0" t="s">
        <v>159</v>
      </c>
      <c r="I2054" s="0" t="s">
        <v>9081</v>
      </c>
      <c r="J2054" s="0" t="s">
        <v>6815</v>
      </c>
      <c r="K2054" s="0" t="s">
        <v>175</v>
      </c>
      <c r="L2054" s="1" t="s">
        <v>155</v>
      </c>
      <c r="M2054" s="0" t="s">
        <v>9082</v>
      </c>
      <c r="N2054" s="0" t="str">
        <f aca="false">RIGHT(M2054,LEN(M2054)-FIND(" ",M2054))</f>
        <v>OGDEN AVE NW</v>
      </c>
      <c r="P2054" s="0" t="s">
        <v>146</v>
      </c>
      <c r="Q2054" s="0" t="s">
        <v>147</v>
      </c>
      <c r="R2054" s="0" t="n">
        <v>44483</v>
      </c>
      <c r="AD2054" s="0" t="s">
        <v>148</v>
      </c>
      <c r="AE2054" s="0" t="s">
        <v>149</v>
      </c>
      <c r="AF2054" s="0" t="s">
        <v>150</v>
      </c>
      <c r="AH2054" s="0" t="n">
        <v>14</v>
      </c>
      <c r="AI2054" s="0" t="n">
        <v>11</v>
      </c>
      <c r="AN2054" s="0" t="s">
        <v>146</v>
      </c>
      <c r="AO2054" s="0" t="s">
        <v>250</v>
      </c>
      <c r="AP2054" s="0" t="s">
        <v>251</v>
      </c>
      <c r="AQ2054" s="0" t="n">
        <v>9</v>
      </c>
      <c r="AR2054" s="0" t="n">
        <v>64</v>
      </c>
      <c r="AS2054" s="0" t="n">
        <v>32</v>
      </c>
      <c r="AU2054" s="0" t="n">
        <f aca="false">COUNTA($BA$2677:$EH$2677)</f>
        <v>4</v>
      </c>
      <c r="AV2054" s="0" t="n">
        <f aca="false">COUNTIF($BA$2677:$EH$2677,"D")</f>
        <v>0</v>
      </c>
      <c r="AW2054" s="0" t="n">
        <f aca="false">COUNTIF($BA$2677:$EH$2677,"R")</f>
        <v>0</v>
      </c>
      <c r="AX2054" s="0" t="n">
        <f aca="false"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>1</v>
      </c>
      <c r="AY2054" s="0" t="n">
        <f aca="false">COUNTIF(DU2054:EH2054, "&lt;&gt;")</f>
        <v>4</v>
      </c>
      <c r="AZ2054" s="0" t="n">
        <f aca="false">IF(EH2054&lt;&gt;"",1,0)</f>
        <v>0</v>
      </c>
      <c r="BB2054" s="0" t="s">
        <v>153</v>
      </c>
      <c r="BD2054" s="0" t="s">
        <v>154</v>
      </c>
      <c r="BH2054" s="0" t="s">
        <v>154</v>
      </c>
      <c r="BI2054" s="0" t="s">
        <v>154</v>
      </c>
      <c r="BJ2054" s="0" t="s">
        <v>154</v>
      </c>
      <c r="BY2054" s="0" t="s">
        <v>155</v>
      </c>
      <c r="CA2054" s="0" t="s">
        <v>154</v>
      </c>
      <c r="CG2054" s="0" t="s">
        <v>154</v>
      </c>
      <c r="CK2054" s="0" t="s">
        <v>154</v>
      </c>
      <c r="CP2054" s="0" t="s">
        <v>154</v>
      </c>
      <c r="CY2054" s="0" t="s">
        <v>154</v>
      </c>
      <c r="DC2054" s="0" t="s">
        <v>154</v>
      </c>
      <c r="DI2054" s="0" t="s">
        <v>154</v>
      </c>
      <c r="DM2054" s="0" t="s">
        <v>155</v>
      </c>
      <c r="DN2054" s="0" t="s">
        <v>154</v>
      </c>
      <c r="DU2054" s="0" t="s">
        <v>154</v>
      </c>
      <c r="DW2054" s="0" t="s">
        <v>155</v>
      </c>
      <c r="DX2054" s="0" t="s">
        <v>154</v>
      </c>
      <c r="EF2054" s="0" t="s">
        <v>154</v>
      </c>
    </row>
    <row r="2055" customFormat="false" ht="13.8" hidden="true" customHeight="false" outlineLevel="0" collapsed="false">
      <c r="A2055" s="0" t="s">
        <v>9083</v>
      </c>
      <c r="B2055" s="0" t="n">
        <v>78</v>
      </c>
      <c r="C2055" s="0" t="n">
        <v>407694</v>
      </c>
      <c r="D2055" s="0" t="s">
        <v>9084</v>
      </c>
      <c r="E2055" s="0" t="s">
        <v>9085</v>
      </c>
      <c r="F2055" s="0" t="str">
        <f aca="false">CONCATENATE(D2055," ",LEFT(H2055,4),"T=",AU2055,"D=",AV2055,"R=",AW2055,"M=",AX2055,"L=",AY2055,"B=",AZ2055)</f>
        <v>PATITUCCI T=2D=0R=0M=0L=1B=0</v>
      </c>
      <c r="G2055" s="0" t="s">
        <v>4794</v>
      </c>
      <c r="I2055" s="0" t="s">
        <v>9086</v>
      </c>
      <c r="J2055" s="0" t="s">
        <v>9087</v>
      </c>
      <c r="K2055" s="0" t="s">
        <v>175</v>
      </c>
      <c r="L2055" s="0"/>
      <c r="M2055" s="0" t="s">
        <v>9088</v>
      </c>
      <c r="N2055" s="0" t="str">
        <f aca="false">RIGHT(M2055,LEN(M2055)-FIND(" ",M2055))</f>
        <v>OLIVE AVE NE</v>
      </c>
      <c r="P2055" s="0" t="s">
        <v>146</v>
      </c>
      <c r="Q2055" s="0" t="s">
        <v>147</v>
      </c>
      <c r="R2055" s="0" t="n">
        <v>44483</v>
      </c>
      <c r="AD2055" s="0" t="s">
        <v>148</v>
      </c>
      <c r="AE2055" s="0" t="s">
        <v>149</v>
      </c>
      <c r="AF2055" s="0" t="s">
        <v>150</v>
      </c>
      <c r="AH2055" s="0" t="n">
        <v>14</v>
      </c>
      <c r="AI2055" s="0" t="n">
        <v>11</v>
      </c>
      <c r="AN2055" s="0" t="s">
        <v>146</v>
      </c>
      <c r="AO2055" s="0" t="s">
        <v>236</v>
      </c>
      <c r="AP2055" s="0" t="s">
        <v>237</v>
      </c>
      <c r="AQ2055" s="0" t="n">
        <v>9</v>
      </c>
      <c r="AR2055" s="0" t="n">
        <v>64</v>
      </c>
      <c r="AS2055" s="0" t="n">
        <v>32</v>
      </c>
      <c r="AU2055" s="0" t="n">
        <f aca="false">COUNTA($BA$13:$EH$13)</f>
        <v>2</v>
      </c>
      <c r="AV2055" s="0" t="n">
        <f aca="false">COUNTIF($BA$13:$EH$13,"D")</f>
        <v>0</v>
      </c>
      <c r="AW2055" s="0" t="n">
        <f aca="false">COUNTIF($BA$13:$EH$13,"R")</f>
        <v>0</v>
      </c>
      <c r="AX2055" s="0" t="n">
        <f aca="false"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>0</v>
      </c>
      <c r="AY2055" s="0" t="n">
        <f aca="false">COUNTIF(DU2055:EH2055, "&lt;&gt;")</f>
        <v>1</v>
      </c>
      <c r="AZ2055" s="0" t="n">
        <f aca="false">IF(EH2055&lt;&gt;"",1,0)</f>
        <v>0</v>
      </c>
      <c r="BB2055" s="0" t="s">
        <v>153</v>
      </c>
      <c r="CY2055" s="0" t="s">
        <v>154</v>
      </c>
      <c r="CZ2055" s="0" t="s">
        <v>155</v>
      </c>
      <c r="DC2055" s="0" t="s">
        <v>154</v>
      </c>
      <c r="DN2055" s="0" t="s">
        <v>154</v>
      </c>
      <c r="EA2055" s="0" t="s">
        <v>154</v>
      </c>
    </row>
    <row r="2056" customFormat="false" ht="13.8" hidden="true" customHeight="false" outlineLevel="0" collapsed="false">
      <c r="A2056" s="0" t="s">
        <v>9089</v>
      </c>
      <c r="B2056" s="0" t="n">
        <v>78</v>
      </c>
      <c r="C2056" s="0" t="n">
        <v>399880</v>
      </c>
      <c r="D2056" s="0" t="s">
        <v>9090</v>
      </c>
      <c r="E2056" s="0" t="s">
        <v>370</v>
      </c>
      <c r="F2056" s="0" t="str">
        <f aca="false">CONCATENATE(D2056," ",LEFT(H2056,4),"T=",AU2056,"D=",AV2056,"R=",AW2056,"M=",AX2056,"L=",AY2056,"B=",AZ2056)</f>
        <v>CURRENCE T=2D=0R=0M=0L=0B=0</v>
      </c>
      <c r="G2056" s="0" t="s">
        <v>376</v>
      </c>
      <c r="I2056" s="0" t="s">
        <v>9091</v>
      </c>
      <c r="J2056" s="0" t="s">
        <v>2238</v>
      </c>
      <c r="K2056" s="0" t="s">
        <v>144</v>
      </c>
      <c r="L2056" s="0"/>
      <c r="M2056" s="0" t="s">
        <v>9088</v>
      </c>
      <c r="N2056" s="0" t="str">
        <f aca="false">RIGHT(M2056,LEN(M2056)-FIND(" ",M2056))</f>
        <v>OLIVE AVE NE</v>
      </c>
      <c r="P2056" s="0" t="s">
        <v>146</v>
      </c>
      <c r="Q2056" s="0" t="s">
        <v>147</v>
      </c>
      <c r="R2056" s="0" t="n">
        <v>44483</v>
      </c>
      <c r="AD2056" s="0" t="s">
        <v>148</v>
      </c>
      <c r="AE2056" s="0" t="s">
        <v>149</v>
      </c>
      <c r="AF2056" s="0" t="s">
        <v>150</v>
      </c>
      <c r="AH2056" s="0" t="n">
        <v>14</v>
      </c>
      <c r="AI2056" s="0" t="n">
        <v>11</v>
      </c>
      <c r="AN2056" s="0" t="s">
        <v>146</v>
      </c>
      <c r="AO2056" s="0" t="s">
        <v>236</v>
      </c>
      <c r="AP2056" s="0" t="s">
        <v>237</v>
      </c>
      <c r="AQ2056" s="0" t="n">
        <v>9</v>
      </c>
      <c r="AR2056" s="0" t="n">
        <v>64</v>
      </c>
      <c r="AS2056" s="0" t="n">
        <v>32</v>
      </c>
      <c r="AU2056" s="0" t="n">
        <f aca="false">COUNTA($BA$946:$EH$946)</f>
        <v>2</v>
      </c>
      <c r="AV2056" s="0" t="n">
        <f aca="false">COUNTIF($BA$946:$EH$946,"D")</f>
        <v>0</v>
      </c>
      <c r="AW2056" s="0" t="n">
        <f aca="false">COUNTIF($BA$946:$EH$946,"R")</f>
        <v>0</v>
      </c>
      <c r="AX2056" s="0" t="n">
        <f aca="false"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>0</v>
      </c>
      <c r="AY2056" s="0" t="n">
        <f aca="false">COUNTIF(DU2056:EH2056, "&lt;&gt;")</f>
        <v>0</v>
      </c>
      <c r="AZ2056" s="0" t="n">
        <f aca="false">IF(EH2056&lt;&gt;"",1,0)</f>
        <v>0</v>
      </c>
      <c r="BB2056" s="0" t="s">
        <v>153</v>
      </c>
    </row>
    <row r="2057" customFormat="false" ht="13.8" hidden="true" customHeight="false" outlineLevel="0" collapsed="false">
      <c r="A2057" s="0" t="s">
        <v>9092</v>
      </c>
      <c r="B2057" s="0" t="n">
        <v>78</v>
      </c>
      <c r="C2057" s="0" t="n">
        <v>417789</v>
      </c>
      <c r="D2057" s="0" t="s">
        <v>9093</v>
      </c>
      <c r="E2057" s="0" t="s">
        <v>9094</v>
      </c>
      <c r="F2057" s="0" t="str">
        <f aca="false">CONCATENATE(D2057," ",LEFT(H2057,4),"T=",AU2057,"D=",AV2057,"R=",AW2057,"M=",AX2057,"L=",AY2057,"B=",AZ2057)</f>
        <v>MINCEY T=12D=2R=0M=0L=0B=0</v>
      </c>
      <c r="G2057" s="0" t="s">
        <v>195</v>
      </c>
      <c r="I2057" s="0" t="s">
        <v>9095</v>
      </c>
      <c r="J2057" s="0" t="s">
        <v>9096</v>
      </c>
      <c r="K2057" s="0" t="s">
        <v>144</v>
      </c>
      <c r="L2057" s="0"/>
      <c r="M2057" s="0" t="s">
        <v>9097</v>
      </c>
      <c r="N2057" s="0" t="str">
        <f aca="false">RIGHT(M2057,LEN(M2057)-FIND(" ",M2057))</f>
        <v>OLIVE AVE NE</v>
      </c>
      <c r="O2057" s="0" t="s">
        <v>414</v>
      </c>
      <c r="P2057" s="0" t="s">
        <v>146</v>
      </c>
      <c r="Q2057" s="0" t="s">
        <v>147</v>
      </c>
      <c r="R2057" s="0" t="n">
        <v>44483</v>
      </c>
      <c r="AD2057" s="0" t="s">
        <v>148</v>
      </c>
      <c r="AE2057" s="0" t="s">
        <v>149</v>
      </c>
      <c r="AF2057" s="0" t="s">
        <v>150</v>
      </c>
      <c r="AH2057" s="0" t="n">
        <v>14</v>
      </c>
      <c r="AI2057" s="0" t="n">
        <v>11</v>
      </c>
      <c r="AN2057" s="0" t="s">
        <v>146</v>
      </c>
      <c r="AO2057" s="0" t="s">
        <v>236</v>
      </c>
      <c r="AP2057" s="0" t="s">
        <v>237</v>
      </c>
      <c r="AQ2057" s="0" t="n">
        <v>9</v>
      </c>
      <c r="AR2057" s="0" t="n">
        <v>64</v>
      </c>
      <c r="AS2057" s="0" t="n">
        <v>32</v>
      </c>
      <c r="AU2057" s="0" t="n">
        <f aca="false">COUNTA($BA$48:$EH$48)</f>
        <v>12</v>
      </c>
      <c r="AV2057" s="0" t="n">
        <f aca="false">COUNTIF($BA$48:$EH$48,"D")</f>
        <v>2</v>
      </c>
      <c r="AW2057" s="0" t="n">
        <f aca="false">COUNTIF($BA$48:$EH$48,"R")</f>
        <v>0</v>
      </c>
      <c r="AX2057" s="0" t="n">
        <f aca="false"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>0</v>
      </c>
      <c r="AY2057" s="0" t="n">
        <f aca="false">COUNTIF(DU2057:EH2057, "&lt;&gt;")</f>
        <v>0</v>
      </c>
      <c r="AZ2057" s="0" t="n">
        <f aca="false">IF(EH2057&lt;&gt;"",1,0)</f>
        <v>0</v>
      </c>
      <c r="BB2057" s="0" t="s">
        <v>153</v>
      </c>
    </row>
    <row r="2058" customFormat="false" ht="13.8" hidden="true" customHeight="false" outlineLevel="0" collapsed="false">
      <c r="A2058" s="0" t="s">
        <v>9098</v>
      </c>
      <c r="B2058" s="0" t="n">
        <v>78</v>
      </c>
      <c r="C2058" s="0" t="n">
        <v>301829</v>
      </c>
      <c r="D2058" s="0" t="s">
        <v>1050</v>
      </c>
      <c r="E2058" s="0" t="s">
        <v>1997</v>
      </c>
      <c r="F2058" s="0" t="str">
        <f aca="false">CONCATENATE(D2058," ",LEFT(H2058,4),"T=",AU2058,"D=",AV2058,"R=",AW2058,"M=",AX2058,"L=",AY2058,"B=",AZ2058)</f>
        <v>JOHNSON T=1D=0R=0M=0L=0B=0</v>
      </c>
      <c r="G2058" s="0" t="s">
        <v>365</v>
      </c>
      <c r="I2058" s="0" t="s">
        <v>9099</v>
      </c>
      <c r="J2058" s="0" t="s">
        <v>2512</v>
      </c>
      <c r="K2058" s="0" t="s">
        <v>144</v>
      </c>
      <c r="L2058" s="0"/>
      <c r="M2058" s="0" t="s">
        <v>9100</v>
      </c>
      <c r="N2058" s="0" t="str">
        <f aca="false">RIGHT(M2058,LEN(M2058)-FIND(" ",M2058))</f>
        <v>OLIVE AVE NE</v>
      </c>
      <c r="P2058" s="0" t="s">
        <v>146</v>
      </c>
      <c r="Q2058" s="0" t="s">
        <v>147</v>
      </c>
      <c r="R2058" s="0" t="n">
        <v>44483</v>
      </c>
      <c r="AD2058" s="0" t="s">
        <v>148</v>
      </c>
      <c r="AE2058" s="0" t="s">
        <v>149</v>
      </c>
      <c r="AF2058" s="0" t="s">
        <v>150</v>
      </c>
      <c r="AH2058" s="0" t="n">
        <v>14</v>
      </c>
      <c r="AI2058" s="0" t="n">
        <v>11</v>
      </c>
      <c r="AN2058" s="0" t="s">
        <v>146</v>
      </c>
      <c r="AO2058" s="0" t="s">
        <v>236</v>
      </c>
      <c r="AP2058" s="0" t="s">
        <v>237</v>
      </c>
      <c r="AQ2058" s="0" t="n">
        <v>9</v>
      </c>
      <c r="AR2058" s="0" t="n">
        <v>64</v>
      </c>
      <c r="AS2058" s="0" t="n">
        <v>32</v>
      </c>
      <c r="AU2058" s="0" t="n">
        <f aca="false">COUNTA($BA$483:$EH$483)</f>
        <v>1</v>
      </c>
      <c r="AV2058" s="0" t="n">
        <f aca="false">COUNTIF($BA$483:$EH$483,"D")</f>
        <v>0</v>
      </c>
      <c r="AW2058" s="0" t="n">
        <f aca="false">COUNTIF($BA$483:$EH$483,"R")</f>
        <v>0</v>
      </c>
      <c r="AX2058" s="0" t="n">
        <f aca="false"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>0</v>
      </c>
      <c r="AY2058" s="0" t="n">
        <f aca="false">COUNTIF(DU2058:EH2058, "&lt;&gt;")</f>
        <v>0</v>
      </c>
      <c r="AZ2058" s="0" t="n">
        <f aca="false">IF(EH2058&lt;&gt;"",1,0)</f>
        <v>0</v>
      </c>
      <c r="BB2058" s="0" t="s">
        <v>153</v>
      </c>
      <c r="BL2058" s="0" t="s">
        <v>154</v>
      </c>
      <c r="BY2058" s="0" t="s">
        <v>155</v>
      </c>
      <c r="CA2058" s="0" t="s">
        <v>154</v>
      </c>
      <c r="CK2058" s="0" t="s">
        <v>154</v>
      </c>
      <c r="CP2058" s="0" t="s">
        <v>154</v>
      </c>
      <c r="DN2058" s="0" t="s">
        <v>154</v>
      </c>
    </row>
    <row r="2059" customFormat="false" ht="13.8" hidden="false" customHeight="false" outlineLevel="0" collapsed="false">
      <c r="A2059" s="0" t="s">
        <v>9101</v>
      </c>
      <c r="B2059" s="0" t="n">
        <v>78</v>
      </c>
      <c r="C2059" s="0" t="n">
        <v>254107</v>
      </c>
      <c r="D2059" s="0" t="s">
        <v>9102</v>
      </c>
      <c r="E2059" s="0" t="s">
        <v>867</v>
      </c>
      <c r="F2059" s="0" t="str">
        <f aca="false">CONCATENATE(D2059," ",LEFT(H2059,4),"T=",AU2059,"D=",AV2059,"R=",AW2059,"M=",AX2059,"L=",AY2059,"B=",AZ2059)</f>
        <v>SCHAUB T=24D=5R=0M=0L=5B=0</v>
      </c>
      <c r="G2059" s="0" t="s">
        <v>365</v>
      </c>
      <c r="I2059" s="0" t="s">
        <v>9103</v>
      </c>
      <c r="J2059" s="0" t="s">
        <v>9104</v>
      </c>
      <c r="K2059" s="0" t="s">
        <v>175</v>
      </c>
      <c r="L2059" s="1" t="s">
        <v>176</v>
      </c>
      <c r="M2059" s="0" t="s">
        <v>9105</v>
      </c>
      <c r="N2059" s="0" t="str">
        <f aca="false">RIGHT(M2059,LEN(M2059)-FIND(" ",M2059))</f>
        <v>OLIVE AVE NE</v>
      </c>
      <c r="P2059" s="0" t="s">
        <v>146</v>
      </c>
      <c r="Q2059" s="0" t="s">
        <v>147</v>
      </c>
      <c r="R2059" s="0" t="n">
        <v>44483</v>
      </c>
      <c r="AD2059" s="0" t="s">
        <v>148</v>
      </c>
      <c r="AE2059" s="0" t="s">
        <v>149</v>
      </c>
      <c r="AF2059" s="0" t="s">
        <v>150</v>
      </c>
      <c r="AH2059" s="0" t="n">
        <v>14</v>
      </c>
      <c r="AI2059" s="0" t="n">
        <v>11</v>
      </c>
      <c r="AN2059" s="0" t="s">
        <v>146</v>
      </c>
      <c r="AO2059" s="0" t="s">
        <v>236</v>
      </c>
      <c r="AP2059" s="0" t="s">
        <v>237</v>
      </c>
      <c r="AQ2059" s="0" t="n">
        <v>9</v>
      </c>
      <c r="AR2059" s="0" t="n">
        <v>64</v>
      </c>
      <c r="AS2059" s="0" t="n">
        <v>32</v>
      </c>
      <c r="AU2059" s="0" t="n">
        <f aca="false">COUNTA($BA$1027:$EH$1027)</f>
        <v>24</v>
      </c>
      <c r="AV2059" s="0" t="n">
        <f aca="false">COUNTIF($BA$1027:$EH$1027,"D")</f>
        <v>5</v>
      </c>
      <c r="AW2059" s="0" t="n">
        <f aca="false">COUNTIF($BA$1027:$EH$1027,"R")</f>
        <v>0</v>
      </c>
      <c r="AX2059" s="0" t="n">
        <f aca="false"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>0</v>
      </c>
      <c r="AY2059" s="0" t="n">
        <f aca="false">COUNTIF(DU2059:EH2059, "&lt;&gt;")</f>
        <v>5</v>
      </c>
      <c r="AZ2059" s="0" t="n">
        <f aca="false">IF(EH2059&lt;&gt;"",1,0)</f>
        <v>0</v>
      </c>
      <c r="BB2059" s="0" t="s">
        <v>153</v>
      </c>
      <c r="BC2059" s="0" t="s">
        <v>154</v>
      </c>
      <c r="BD2059" s="0" t="s">
        <v>154</v>
      </c>
      <c r="BE2059" s="0" t="s">
        <v>154</v>
      </c>
      <c r="BF2059" s="0" t="s">
        <v>154</v>
      </c>
      <c r="BG2059" s="0" t="s">
        <v>154</v>
      </c>
      <c r="BH2059" s="0" t="s">
        <v>154</v>
      </c>
      <c r="BI2059" s="0" t="s">
        <v>154</v>
      </c>
      <c r="BJ2059" s="0" t="s">
        <v>154</v>
      </c>
      <c r="BK2059" s="0" t="s">
        <v>154</v>
      </c>
      <c r="BL2059" s="0" t="s">
        <v>154</v>
      </c>
      <c r="BP2059" s="0" t="s">
        <v>154</v>
      </c>
      <c r="BR2059" s="0" t="s">
        <v>154</v>
      </c>
      <c r="BS2059" s="0" t="s">
        <v>154</v>
      </c>
      <c r="BY2059" s="0" t="s">
        <v>176</v>
      </c>
      <c r="CA2059" s="0" t="s">
        <v>154</v>
      </c>
      <c r="CG2059" s="0" t="s">
        <v>154</v>
      </c>
      <c r="CH2059" s="0" t="s">
        <v>176</v>
      </c>
      <c r="CK2059" s="0" t="s">
        <v>154</v>
      </c>
      <c r="CN2059" s="0" t="s">
        <v>154</v>
      </c>
      <c r="CO2059" s="0" t="s">
        <v>176</v>
      </c>
      <c r="CP2059" s="0" t="s">
        <v>154</v>
      </c>
      <c r="CU2059" s="0" t="s">
        <v>176</v>
      </c>
      <c r="CV2059" s="0" t="s">
        <v>154</v>
      </c>
      <c r="CY2059" s="0" t="s">
        <v>154</v>
      </c>
      <c r="CZ2059" s="0" t="s">
        <v>176</v>
      </c>
      <c r="DC2059" s="0" t="s">
        <v>154</v>
      </c>
      <c r="DF2059" s="0" t="s">
        <v>154</v>
      </c>
      <c r="DG2059" s="0" t="s">
        <v>176</v>
      </c>
      <c r="DI2059" s="0" t="s">
        <v>154</v>
      </c>
      <c r="DL2059" s="0" t="s">
        <v>154</v>
      </c>
      <c r="DM2059" s="0" t="s">
        <v>176</v>
      </c>
      <c r="DN2059" s="0" t="s">
        <v>154</v>
      </c>
      <c r="DS2059" s="0" t="s">
        <v>176</v>
      </c>
      <c r="DU2059" s="0" t="s">
        <v>154</v>
      </c>
      <c r="DX2059" s="0" t="s">
        <v>154</v>
      </c>
      <c r="EA2059" s="0" t="s">
        <v>154</v>
      </c>
      <c r="ED2059" s="0" t="s">
        <v>176</v>
      </c>
      <c r="EF2059" s="0" t="s">
        <v>154</v>
      </c>
    </row>
    <row r="2060" customFormat="false" ht="13.8" hidden="false" customHeight="false" outlineLevel="0" collapsed="false">
      <c r="A2060" s="0" t="s">
        <v>9106</v>
      </c>
      <c r="B2060" s="0" t="n">
        <v>78</v>
      </c>
      <c r="C2060" s="0" t="n">
        <v>254108</v>
      </c>
      <c r="D2060" s="0" t="s">
        <v>9102</v>
      </c>
      <c r="E2060" s="0" t="s">
        <v>9107</v>
      </c>
      <c r="F2060" s="0" t="str">
        <f aca="false">CONCATENATE(D2060," ",LEFT(H2060,4),"T=",AU2060,"D=",AV2060,"R=",AW2060,"M=",AX2060,"L=",AY2060,"B=",AZ2060)</f>
        <v>SCHAUB T=7D=1R=0M=0L=5B=0</v>
      </c>
      <c r="G2060" s="0" t="s">
        <v>297</v>
      </c>
      <c r="I2060" s="0" t="s">
        <v>9108</v>
      </c>
      <c r="J2060" s="0" t="s">
        <v>9104</v>
      </c>
      <c r="K2060" s="0" t="s">
        <v>175</v>
      </c>
      <c r="L2060" s="1" t="s">
        <v>176</v>
      </c>
      <c r="M2060" s="0" t="s">
        <v>9105</v>
      </c>
      <c r="N2060" s="0" t="str">
        <f aca="false">RIGHT(M2060,LEN(M2060)-FIND(" ",M2060))</f>
        <v>OLIVE AVE NE</v>
      </c>
      <c r="P2060" s="0" t="s">
        <v>146</v>
      </c>
      <c r="Q2060" s="0" t="s">
        <v>147</v>
      </c>
      <c r="R2060" s="0" t="n">
        <v>44483</v>
      </c>
      <c r="AD2060" s="0" t="s">
        <v>148</v>
      </c>
      <c r="AE2060" s="0" t="s">
        <v>149</v>
      </c>
      <c r="AF2060" s="0" t="s">
        <v>150</v>
      </c>
      <c r="AH2060" s="0" t="n">
        <v>14</v>
      </c>
      <c r="AI2060" s="0" t="n">
        <v>11</v>
      </c>
      <c r="AN2060" s="0" t="s">
        <v>146</v>
      </c>
      <c r="AO2060" s="0" t="s">
        <v>236</v>
      </c>
      <c r="AP2060" s="0" t="s">
        <v>237</v>
      </c>
      <c r="AQ2060" s="0" t="n">
        <v>9</v>
      </c>
      <c r="AR2060" s="0" t="n">
        <v>64</v>
      </c>
      <c r="AS2060" s="0" t="n">
        <v>32</v>
      </c>
      <c r="AU2060" s="0" t="n">
        <f aca="false">COUNTA($BA$1048:$EH$1048)</f>
        <v>7</v>
      </c>
      <c r="AV2060" s="0" t="n">
        <f aca="false">COUNTIF($BA$1048:$EH$1048,"D")</f>
        <v>1</v>
      </c>
      <c r="AW2060" s="0" t="n">
        <f aca="false">COUNTIF($BA$1048:$EH$1048,"R")</f>
        <v>0</v>
      </c>
      <c r="AX2060" s="0" t="n">
        <f aca="false"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>0</v>
      </c>
      <c r="AY2060" s="0" t="n">
        <f aca="false">COUNTIF(DU2060:EH2060, "&lt;&gt;")</f>
        <v>5</v>
      </c>
      <c r="AZ2060" s="0" t="n">
        <f aca="false">IF(EH2060&lt;&gt;"",1,0)</f>
        <v>0</v>
      </c>
      <c r="BB2060" s="0" t="s">
        <v>153</v>
      </c>
      <c r="BC2060" s="0" t="s">
        <v>154</v>
      </c>
      <c r="BD2060" s="0" t="s">
        <v>154</v>
      </c>
      <c r="BE2060" s="0" t="s">
        <v>154</v>
      </c>
      <c r="BF2060" s="0" t="s">
        <v>154</v>
      </c>
      <c r="BG2060" s="0" t="s">
        <v>154</v>
      </c>
      <c r="BH2060" s="0" t="s">
        <v>154</v>
      </c>
      <c r="BI2060" s="0" t="s">
        <v>154</v>
      </c>
      <c r="BJ2060" s="0" t="s">
        <v>154</v>
      </c>
      <c r="BK2060" s="0" t="s">
        <v>154</v>
      </c>
      <c r="BL2060" s="0" t="s">
        <v>154</v>
      </c>
      <c r="BP2060" s="0" t="s">
        <v>154</v>
      </c>
      <c r="BR2060" s="0" t="s">
        <v>154</v>
      </c>
      <c r="BS2060" s="0" t="s">
        <v>154</v>
      </c>
      <c r="BV2060" s="0" t="s">
        <v>154</v>
      </c>
      <c r="BY2060" s="0" t="s">
        <v>176</v>
      </c>
      <c r="CA2060" s="0" t="s">
        <v>154</v>
      </c>
      <c r="CG2060" s="0" t="s">
        <v>154</v>
      </c>
      <c r="CH2060" s="0" t="s">
        <v>176</v>
      </c>
      <c r="CK2060" s="0" t="s">
        <v>154</v>
      </c>
      <c r="CN2060" s="0" t="s">
        <v>154</v>
      </c>
      <c r="CO2060" s="0" t="s">
        <v>176</v>
      </c>
      <c r="CP2060" s="0" t="s">
        <v>154</v>
      </c>
      <c r="CU2060" s="0" t="s">
        <v>176</v>
      </c>
      <c r="CV2060" s="0" t="s">
        <v>154</v>
      </c>
      <c r="CY2060" s="0" t="s">
        <v>154</v>
      </c>
      <c r="CZ2060" s="0" t="s">
        <v>176</v>
      </c>
      <c r="DC2060" s="0" t="s">
        <v>154</v>
      </c>
      <c r="DF2060" s="0" t="s">
        <v>154</v>
      </c>
      <c r="DG2060" s="0" t="s">
        <v>176</v>
      </c>
      <c r="DI2060" s="0" t="s">
        <v>154</v>
      </c>
      <c r="DL2060" s="0" t="s">
        <v>154</v>
      </c>
      <c r="DM2060" s="0" t="s">
        <v>176</v>
      </c>
      <c r="DN2060" s="0" t="s">
        <v>154</v>
      </c>
      <c r="DS2060" s="0" t="s">
        <v>176</v>
      </c>
      <c r="DU2060" s="0" t="s">
        <v>154</v>
      </c>
      <c r="DX2060" s="0" t="s">
        <v>154</v>
      </c>
      <c r="EA2060" s="0" t="s">
        <v>154</v>
      </c>
      <c r="ED2060" s="0" t="s">
        <v>176</v>
      </c>
      <c r="EF2060" s="0" t="s">
        <v>154</v>
      </c>
    </row>
    <row r="2061" customFormat="false" ht="13.8" hidden="false" customHeight="false" outlineLevel="0" collapsed="false">
      <c r="A2061" s="0" t="s">
        <v>9109</v>
      </c>
      <c r="B2061" s="0" t="n">
        <v>78</v>
      </c>
      <c r="C2061" s="0" t="n">
        <v>439981</v>
      </c>
      <c r="D2061" s="0" t="s">
        <v>9110</v>
      </c>
      <c r="E2061" s="0" t="s">
        <v>589</v>
      </c>
      <c r="F2061" s="0" t="str">
        <f aca="false">CONCATENATE(D2061," ",LEFT(H2061,4),"T=",AU2061,"D=",AV2061,"R=",AW2061,"M=",AX2061,"L=",AY2061,"B=",AZ2061)</f>
        <v>ROBERTS T=16D=1R=0M=1L=2B=0</v>
      </c>
      <c r="G2061" s="0" t="s">
        <v>176</v>
      </c>
      <c r="I2061" s="0" t="s">
        <v>9111</v>
      </c>
      <c r="J2061" s="0" t="s">
        <v>7319</v>
      </c>
      <c r="K2061" s="0" t="s">
        <v>175</v>
      </c>
      <c r="L2061" s="1" t="s">
        <v>155</v>
      </c>
      <c r="M2061" s="0" t="s">
        <v>9112</v>
      </c>
      <c r="N2061" s="0" t="str">
        <f aca="false">RIGHT(M2061,LEN(M2061)-FIND(" ",M2061))</f>
        <v>PACIFIC PL NW</v>
      </c>
      <c r="P2061" s="0" t="s">
        <v>146</v>
      </c>
      <c r="Q2061" s="0" t="s">
        <v>147</v>
      </c>
      <c r="R2061" s="0" t="n">
        <v>44483</v>
      </c>
      <c r="AD2061" s="0" t="s">
        <v>148</v>
      </c>
      <c r="AE2061" s="0" t="s">
        <v>149</v>
      </c>
      <c r="AF2061" s="0" t="s">
        <v>150</v>
      </c>
      <c r="AH2061" s="0" t="n">
        <v>14</v>
      </c>
      <c r="AI2061" s="0" t="n">
        <v>11</v>
      </c>
      <c r="AN2061" s="0" t="s">
        <v>146</v>
      </c>
      <c r="AO2061" s="0" t="s">
        <v>151</v>
      </c>
      <c r="AP2061" s="0" t="s">
        <v>152</v>
      </c>
      <c r="AQ2061" s="0" t="n">
        <v>9</v>
      </c>
      <c r="AR2061" s="0" t="n">
        <v>64</v>
      </c>
      <c r="AS2061" s="0" t="n">
        <v>32</v>
      </c>
      <c r="AU2061" s="0" t="n">
        <f aca="false">COUNTA($BA$1268:$EH$1268)</f>
        <v>16</v>
      </c>
      <c r="AV2061" s="0" t="n">
        <f aca="false">COUNTIF($BA$1268:$EH$1268,"D")</f>
        <v>1</v>
      </c>
      <c r="AW2061" s="0" t="n">
        <f aca="false">COUNTIF($BA$1268:$EH$1268,"R")</f>
        <v>0</v>
      </c>
      <c r="AX2061" s="0" t="n">
        <f aca="false"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>1</v>
      </c>
      <c r="AY2061" s="0" t="n">
        <f aca="false">COUNTIF(DU2061:EH2061, "&lt;&gt;")</f>
        <v>2</v>
      </c>
      <c r="AZ2061" s="0" t="n">
        <f aca="false">IF(EH2061&lt;&gt;"",1,0)</f>
        <v>0</v>
      </c>
      <c r="BB2061" s="0" t="s">
        <v>153</v>
      </c>
      <c r="BY2061" s="0" t="s">
        <v>155</v>
      </c>
      <c r="DN2061" s="0" t="s">
        <v>154</v>
      </c>
      <c r="DS2061" s="0" t="s">
        <v>155</v>
      </c>
      <c r="DW2061" s="0" t="s">
        <v>155</v>
      </c>
      <c r="EF2061" s="0" t="s">
        <v>154</v>
      </c>
    </row>
    <row r="2062" customFormat="false" ht="13.8" hidden="true" customHeight="false" outlineLevel="0" collapsed="false">
      <c r="A2062" s="0" t="s">
        <v>9113</v>
      </c>
      <c r="B2062" s="0" t="n">
        <v>78</v>
      </c>
      <c r="C2062" s="0" t="n">
        <v>325562</v>
      </c>
      <c r="D2062" s="0" t="s">
        <v>3540</v>
      </c>
      <c r="E2062" s="0" t="s">
        <v>9114</v>
      </c>
      <c r="F2062" s="0" t="str">
        <f aca="false">CONCATENATE(D2062," ",LEFT(H2062,4),"T=",AU2062,"D=",AV2062,"R=",AW2062,"M=",AX2062,"L=",AY2062,"B=",AZ2062)</f>
        <v>ROBINSON T=7D=1R=0M=0L=0B=0</v>
      </c>
      <c r="G2062" s="0" t="s">
        <v>222</v>
      </c>
      <c r="I2062" s="0" t="s">
        <v>9115</v>
      </c>
      <c r="J2062" s="0" t="s">
        <v>1196</v>
      </c>
      <c r="K2062" s="0" t="s">
        <v>144</v>
      </c>
      <c r="L2062" s="0"/>
      <c r="M2062" s="0" t="s">
        <v>9112</v>
      </c>
      <c r="N2062" s="0" t="str">
        <f aca="false">RIGHT(M2062,LEN(M2062)-FIND(" ",M2062))</f>
        <v>PACIFIC PL NW</v>
      </c>
      <c r="P2062" s="0" t="s">
        <v>146</v>
      </c>
      <c r="Q2062" s="0" t="s">
        <v>147</v>
      </c>
      <c r="R2062" s="0" t="n">
        <v>44483</v>
      </c>
      <c r="AD2062" s="0" t="s">
        <v>148</v>
      </c>
      <c r="AE2062" s="0" t="s">
        <v>149</v>
      </c>
      <c r="AF2062" s="0" t="s">
        <v>150</v>
      </c>
      <c r="AH2062" s="0" t="n">
        <v>14</v>
      </c>
      <c r="AI2062" s="0" t="n">
        <v>11</v>
      </c>
      <c r="AN2062" s="0" t="s">
        <v>146</v>
      </c>
      <c r="AO2062" s="0" t="s">
        <v>151</v>
      </c>
      <c r="AP2062" s="0" t="s">
        <v>152</v>
      </c>
      <c r="AQ2062" s="0" t="n">
        <v>9</v>
      </c>
      <c r="AR2062" s="0" t="n">
        <v>64</v>
      </c>
      <c r="AS2062" s="0" t="n">
        <v>32</v>
      </c>
      <c r="AU2062" s="0" t="n">
        <f aca="false">COUNTA($BA$2032:$EH$2032)</f>
        <v>7</v>
      </c>
      <c r="AV2062" s="0" t="n">
        <f aca="false">COUNTIF($BA$2032:$EH$2032,"D")</f>
        <v>1</v>
      </c>
      <c r="AW2062" s="0" t="n">
        <f aca="false">COUNTIF($BA$2032:$EH$2032,"R")</f>
        <v>0</v>
      </c>
      <c r="AX2062" s="0" t="n">
        <f aca="false"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>0</v>
      </c>
      <c r="AY2062" s="0" t="n">
        <f aca="false">COUNTIF(DU2062:EH2062, "&lt;&gt;")</f>
        <v>0</v>
      </c>
      <c r="AZ2062" s="0" t="n">
        <f aca="false">IF(EH2062&lt;&gt;"",1,0)</f>
        <v>0</v>
      </c>
      <c r="BB2062" s="0" t="s">
        <v>153</v>
      </c>
      <c r="BL2062" s="0" t="s">
        <v>154</v>
      </c>
    </row>
    <row r="2063" customFormat="false" ht="13.8" hidden="true" customHeight="false" outlineLevel="0" collapsed="false">
      <c r="A2063" s="0" t="s">
        <v>9116</v>
      </c>
      <c r="B2063" s="0" t="n">
        <v>78</v>
      </c>
      <c r="C2063" s="0" t="n">
        <v>419600</v>
      </c>
      <c r="D2063" s="0" t="s">
        <v>9117</v>
      </c>
      <c r="E2063" s="0" t="s">
        <v>9118</v>
      </c>
      <c r="F2063" s="0" t="str">
        <f aca="false">CONCATENATE(D2063," ",LEFT(H2063,4),"T=",AU2063,"D=",AV2063,"R=",AW2063,"M=",AX2063,"L=",AY2063,"B=",AZ2063)</f>
        <v>WALL T=1D=0R=0M=0L=0B=0</v>
      </c>
      <c r="G2063" s="0" t="s">
        <v>939</v>
      </c>
      <c r="I2063" s="0" t="s">
        <v>9119</v>
      </c>
      <c r="J2063" s="0" t="s">
        <v>1724</v>
      </c>
      <c r="K2063" s="0" t="s">
        <v>144</v>
      </c>
      <c r="L2063" s="0"/>
      <c r="M2063" s="0" t="s">
        <v>9120</v>
      </c>
      <c r="N2063" s="0" t="str">
        <f aca="false">RIGHT(M2063,LEN(M2063)-FIND(" ",M2063))</f>
        <v>PACIFIC PL NW</v>
      </c>
      <c r="P2063" s="0" t="s">
        <v>146</v>
      </c>
      <c r="Q2063" s="0" t="s">
        <v>147</v>
      </c>
      <c r="R2063" s="0" t="n">
        <v>44483</v>
      </c>
      <c r="AD2063" s="0" t="s">
        <v>148</v>
      </c>
      <c r="AE2063" s="0" t="s">
        <v>149</v>
      </c>
      <c r="AF2063" s="0" t="s">
        <v>150</v>
      </c>
      <c r="AH2063" s="0" t="n">
        <v>14</v>
      </c>
      <c r="AI2063" s="0" t="n">
        <v>11</v>
      </c>
      <c r="AN2063" s="0" t="s">
        <v>146</v>
      </c>
      <c r="AO2063" s="0" t="s">
        <v>151</v>
      </c>
      <c r="AP2063" s="0" t="s">
        <v>152</v>
      </c>
      <c r="AQ2063" s="0" t="n">
        <v>9</v>
      </c>
      <c r="AR2063" s="0" t="n">
        <v>64</v>
      </c>
      <c r="AS2063" s="0" t="n">
        <v>32</v>
      </c>
      <c r="AU2063" s="0" t="n">
        <f aca="false">COUNTA($BA$1906:$EH$1906)</f>
        <v>1</v>
      </c>
      <c r="AV2063" s="0" t="n">
        <f aca="false">COUNTIF($BA$1906:$EH$1906,"D")</f>
        <v>0</v>
      </c>
      <c r="AW2063" s="0" t="n">
        <f aca="false">COUNTIF($BA$1906:$EH$1906,"R")</f>
        <v>0</v>
      </c>
      <c r="AX2063" s="0" t="n">
        <f aca="false"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>0</v>
      </c>
      <c r="AY2063" s="0" t="n">
        <f aca="false">COUNTIF(DU2063:EH2063, "&lt;&gt;")</f>
        <v>0</v>
      </c>
      <c r="AZ2063" s="0" t="n">
        <f aca="false">IF(EH2063&lt;&gt;"",1,0)</f>
        <v>0</v>
      </c>
      <c r="BB2063" s="0" t="s">
        <v>153</v>
      </c>
    </row>
    <row r="2064" customFormat="false" ht="13.8" hidden="true" customHeight="false" outlineLevel="0" collapsed="false">
      <c r="A2064" s="0" t="s">
        <v>9121</v>
      </c>
      <c r="B2064" s="0" t="n">
        <v>78</v>
      </c>
      <c r="C2064" s="0" t="n">
        <v>446225</v>
      </c>
      <c r="D2064" s="0" t="s">
        <v>9122</v>
      </c>
      <c r="E2064" s="0" t="s">
        <v>471</v>
      </c>
      <c r="F2064" s="0" t="str">
        <f aca="false">CONCATENATE(D2064," ",LEFT(H2064,4),"T=",AU2064,"D=",AV2064,"R=",AW2064,"M=",AX2064,"L=",AY2064,"B=",AZ2064)</f>
        <v>WHITEHAIR T=17D=1R=2M=0L=0B=0</v>
      </c>
      <c r="G2064" s="0" t="s">
        <v>664</v>
      </c>
      <c r="I2064" s="0" t="s">
        <v>9123</v>
      </c>
      <c r="J2064" s="0" t="s">
        <v>7206</v>
      </c>
      <c r="K2064" s="0" t="s">
        <v>175</v>
      </c>
      <c r="L2064" s="0"/>
      <c r="M2064" s="0" t="s">
        <v>9120</v>
      </c>
      <c r="N2064" s="0" t="str">
        <f aca="false">RIGHT(M2064,LEN(M2064)-FIND(" ",M2064))</f>
        <v>PACIFIC PL NW</v>
      </c>
      <c r="P2064" s="0" t="s">
        <v>146</v>
      </c>
      <c r="Q2064" s="0" t="s">
        <v>147</v>
      </c>
      <c r="R2064" s="0" t="n">
        <v>44483</v>
      </c>
      <c r="AD2064" s="0" t="s">
        <v>148</v>
      </c>
      <c r="AE2064" s="0" t="s">
        <v>149</v>
      </c>
      <c r="AF2064" s="0" t="s">
        <v>150</v>
      </c>
      <c r="AH2064" s="0" t="n">
        <v>14</v>
      </c>
      <c r="AI2064" s="0" t="n">
        <v>11</v>
      </c>
      <c r="AN2064" s="0" t="s">
        <v>146</v>
      </c>
      <c r="AO2064" s="0" t="s">
        <v>151</v>
      </c>
      <c r="AP2064" s="0" t="s">
        <v>152</v>
      </c>
      <c r="AQ2064" s="0" t="n">
        <v>9</v>
      </c>
      <c r="AR2064" s="0" t="n">
        <v>64</v>
      </c>
      <c r="AS2064" s="0" t="n">
        <v>32</v>
      </c>
      <c r="AU2064" s="0" t="n">
        <f aca="false">COUNTA($BA$1987:$EH$1987)</f>
        <v>17</v>
      </c>
      <c r="AV2064" s="0" t="n">
        <f aca="false">COUNTIF($BA$1987:$EH$1987,"D")</f>
        <v>1</v>
      </c>
      <c r="AW2064" s="0" t="n">
        <f aca="false">COUNTIF($BA$1987:$EH$1987,"R")</f>
        <v>2</v>
      </c>
      <c r="AX2064" s="0" t="n">
        <f aca="false"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>0</v>
      </c>
      <c r="AY2064" s="0" t="n">
        <f aca="false">COUNTIF(DU2064:EH2064, "&lt;&gt;")</f>
        <v>0</v>
      </c>
      <c r="AZ2064" s="0" t="n">
        <f aca="false">IF(EH2064&lt;&gt;"",1,0)</f>
        <v>0</v>
      </c>
      <c r="BB2064" s="0" t="s">
        <v>153</v>
      </c>
    </row>
    <row r="2065" customFormat="false" ht="13.8" hidden="true" customHeight="false" outlineLevel="0" collapsed="false">
      <c r="A2065" s="0" t="s">
        <v>9124</v>
      </c>
      <c r="B2065" s="0" t="n">
        <v>78</v>
      </c>
      <c r="C2065" s="0" t="n">
        <v>386412</v>
      </c>
      <c r="D2065" s="0" t="s">
        <v>9125</v>
      </c>
      <c r="E2065" s="0" t="s">
        <v>652</v>
      </c>
      <c r="F2065" s="0" t="str">
        <f aca="false">CONCATENATE(D2065," ",LEFT(H2065,4),"T=",AU2065,"D=",AV2065,"R=",AW2065,"M=",AX2065,"L=",AY2065,"B=",AZ2065)</f>
        <v>SCHMUCKER T=27D=3R=0M=0L=0B=0</v>
      </c>
      <c r="I2065" s="0" t="s">
        <v>9126</v>
      </c>
      <c r="J2065" s="0" t="s">
        <v>757</v>
      </c>
      <c r="K2065" s="0" t="s">
        <v>175</v>
      </c>
      <c r="L2065" s="0"/>
      <c r="M2065" s="0" t="s">
        <v>9127</v>
      </c>
      <c r="N2065" s="0" t="str">
        <f aca="false">RIGHT(M2065,LEN(M2065)-FIND(" ",M2065))</f>
        <v>PACIFIC PL NW</v>
      </c>
      <c r="P2065" s="0" t="s">
        <v>146</v>
      </c>
      <c r="Q2065" s="0" t="s">
        <v>147</v>
      </c>
      <c r="R2065" s="0" t="n">
        <v>44483</v>
      </c>
      <c r="AD2065" s="0" t="s">
        <v>148</v>
      </c>
      <c r="AE2065" s="0" t="s">
        <v>149</v>
      </c>
      <c r="AF2065" s="0" t="s">
        <v>150</v>
      </c>
      <c r="AH2065" s="0" t="n">
        <v>14</v>
      </c>
      <c r="AI2065" s="0" t="n">
        <v>11</v>
      </c>
      <c r="AN2065" s="0" t="s">
        <v>146</v>
      </c>
      <c r="AO2065" s="0" t="s">
        <v>151</v>
      </c>
      <c r="AP2065" s="0" t="s">
        <v>152</v>
      </c>
      <c r="AQ2065" s="0" t="n">
        <v>9</v>
      </c>
      <c r="AR2065" s="0" t="n">
        <v>64</v>
      </c>
      <c r="AS2065" s="0" t="n">
        <v>32</v>
      </c>
      <c r="AU2065" s="0" t="n">
        <f aca="false">COUNTA($BA$1122:$EH$1122)</f>
        <v>27</v>
      </c>
      <c r="AV2065" s="0" t="n">
        <f aca="false">COUNTIF($BA$1122:$EH$1122,"D")</f>
        <v>3</v>
      </c>
      <c r="AW2065" s="0" t="n">
        <f aca="false">COUNTIF($BA$1122:$EH$1122,"R")</f>
        <v>0</v>
      </c>
      <c r="AX2065" s="0" t="n">
        <f aca="false"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>0</v>
      </c>
      <c r="AY2065" s="0" t="n">
        <f aca="false">COUNTIF(DU2065:EH2065, "&lt;&gt;")</f>
        <v>0</v>
      </c>
      <c r="AZ2065" s="0" t="n">
        <f aca="false">IF(EH2065&lt;&gt;"",1,0)</f>
        <v>0</v>
      </c>
      <c r="BB2065" s="0" t="s">
        <v>153</v>
      </c>
      <c r="CP2065" s="0" t="s">
        <v>154</v>
      </c>
    </row>
    <row r="2066" customFormat="false" ht="13.8" hidden="true" customHeight="false" outlineLevel="0" collapsed="false">
      <c r="A2066" s="0" t="s">
        <v>9128</v>
      </c>
      <c r="B2066" s="0" t="n">
        <v>78</v>
      </c>
      <c r="C2066" s="0" t="n">
        <v>355466</v>
      </c>
      <c r="D2066" s="0" t="s">
        <v>6931</v>
      </c>
      <c r="E2066" s="0" t="s">
        <v>2374</v>
      </c>
      <c r="F2066" s="0" t="str">
        <f aca="false">CONCATENATE(D2066," ",LEFT(H2066,4),"T=",AU2066,"D=",AV2066,"R=",AW2066,"M=",AX2066,"L=",AY2066,"B=",AZ2066)</f>
        <v>COOK T=28D=1R=3M=0L=0B=0</v>
      </c>
      <c r="G2066" s="0" t="s">
        <v>9129</v>
      </c>
      <c r="I2066" s="0" t="s">
        <v>9130</v>
      </c>
      <c r="J2066" s="0" t="s">
        <v>342</v>
      </c>
      <c r="K2066" s="0" t="s">
        <v>144</v>
      </c>
      <c r="L2066" s="0"/>
      <c r="M2066" s="0" t="s">
        <v>9127</v>
      </c>
      <c r="N2066" s="0" t="str">
        <f aca="false">RIGHT(M2066,LEN(M2066)-FIND(" ",M2066))</f>
        <v>PACIFIC PL NW</v>
      </c>
      <c r="P2066" s="0" t="s">
        <v>146</v>
      </c>
      <c r="Q2066" s="0" t="s">
        <v>147</v>
      </c>
      <c r="R2066" s="0" t="n">
        <v>44483</v>
      </c>
      <c r="AD2066" s="0" t="s">
        <v>148</v>
      </c>
      <c r="AE2066" s="0" t="s">
        <v>149</v>
      </c>
      <c r="AF2066" s="0" t="s">
        <v>150</v>
      </c>
      <c r="AH2066" s="0" t="n">
        <v>14</v>
      </c>
      <c r="AI2066" s="0" t="n">
        <v>11</v>
      </c>
      <c r="AN2066" s="0" t="s">
        <v>146</v>
      </c>
      <c r="AO2066" s="0" t="s">
        <v>151</v>
      </c>
      <c r="AP2066" s="0" t="s">
        <v>152</v>
      </c>
      <c r="AQ2066" s="0" t="n">
        <v>9</v>
      </c>
      <c r="AR2066" s="0" t="n">
        <v>64</v>
      </c>
      <c r="AS2066" s="0" t="n">
        <v>32</v>
      </c>
      <c r="AU2066" s="0" t="n">
        <f aca="false">COUNTA($BA$1320:$EH$1320)</f>
        <v>28</v>
      </c>
      <c r="AV2066" s="0" t="n">
        <f aca="false">COUNTIF($BA$1320:$EH$1320,"D")</f>
        <v>1</v>
      </c>
      <c r="AW2066" s="0" t="n">
        <f aca="false">COUNTIF($BA$1320:$EH$1320,"R")</f>
        <v>3</v>
      </c>
      <c r="AX2066" s="0" t="n">
        <f aca="false"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>0</v>
      </c>
      <c r="AY2066" s="0" t="n">
        <f aca="false">COUNTIF(DU2066:EH2066, "&lt;&gt;")</f>
        <v>0</v>
      </c>
      <c r="AZ2066" s="0" t="n">
        <f aca="false">IF(EH2066&lt;&gt;"",1,0)</f>
        <v>0</v>
      </c>
      <c r="BB2066" s="0" t="s">
        <v>153</v>
      </c>
      <c r="CA2066" s="0" t="s">
        <v>154</v>
      </c>
      <c r="CG2066" s="0" t="s">
        <v>154</v>
      </c>
      <c r="CH2066" s="0" t="s">
        <v>155</v>
      </c>
      <c r="CN2066" s="0" t="s">
        <v>154</v>
      </c>
      <c r="CO2066" s="0" t="s">
        <v>155</v>
      </c>
      <c r="CP2066" s="0" t="s">
        <v>154</v>
      </c>
      <c r="CU2066" s="0" t="s">
        <v>155</v>
      </c>
      <c r="CW2066" s="0" t="s">
        <v>154</v>
      </c>
      <c r="CY2066" s="0" t="s">
        <v>154</v>
      </c>
      <c r="DG2066" s="0" t="s">
        <v>155</v>
      </c>
    </row>
    <row r="2067" customFormat="false" ht="13.8" hidden="true" customHeight="false" outlineLevel="0" collapsed="false">
      <c r="A2067" s="0" t="s">
        <v>9131</v>
      </c>
      <c r="B2067" s="0" t="n">
        <v>78</v>
      </c>
      <c r="C2067" s="0" t="n">
        <v>450690</v>
      </c>
      <c r="D2067" s="0" t="s">
        <v>9125</v>
      </c>
      <c r="E2067" s="0" t="s">
        <v>9132</v>
      </c>
      <c r="F2067" s="0" t="str">
        <f aca="false">CONCATENATE(D2067," ",LEFT(H2067,4),"T=",AU2067,"D=",AV2067,"R=",AW2067,"M=",AX2067,"L=",AY2067,"B=",AZ2067)</f>
        <v>SCHMUCKER T=3D=0R=0M=0L=1B=0</v>
      </c>
      <c r="G2067" s="0" t="s">
        <v>590</v>
      </c>
      <c r="I2067" s="0" t="s">
        <v>6332</v>
      </c>
      <c r="J2067" s="0" t="s">
        <v>757</v>
      </c>
      <c r="K2067" s="0" t="s">
        <v>175</v>
      </c>
      <c r="L2067" s="0"/>
      <c r="M2067" s="0" t="s">
        <v>9127</v>
      </c>
      <c r="N2067" s="0" t="str">
        <f aca="false">RIGHT(M2067,LEN(M2067)-FIND(" ",M2067))</f>
        <v>PACIFIC PL NW</v>
      </c>
      <c r="P2067" s="0" t="s">
        <v>146</v>
      </c>
      <c r="Q2067" s="0" t="s">
        <v>147</v>
      </c>
      <c r="R2067" s="0" t="n">
        <v>44483</v>
      </c>
      <c r="AD2067" s="0" t="s">
        <v>148</v>
      </c>
      <c r="AE2067" s="0" t="s">
        <v>149</v>
      </c>
      <c r="AF2067" s="0" t="s">
        <v>150</v>
      </c>
      <c r="AH2067" s="0" t="n">
        <v>14</v>
      </c>
      <c r="AI2067" s="0" t="n">
        <v>11</v>
      </c>
      <c r="AN2067" s="0" t="s">
        <v>146</v>
      </c>
      <c r="AO2067" s="0" t="s">
        <v>151</v>
      </c>
      <c r="AP2067" s="0" t="s">
        <v>152</v>
      </c>
      <c r="AQ2067" s="0" t="n">
        <v>9</v>
      </c>
      <c r="AR2067" s="0" t="n">
        <v>64</v>
      </c>
      <c r="AS2067" s="0" t="n">
        <v>32</v>
      </c>
      <c r="AU2067" s="0" t="n">
        <f aca="false">COUNTA($BA$1481:$EH$1481)</f>
        <v>3</v>
      </c>
      <c r="AV2067" s="0" t="n">
        <f aca="false">COUNTIF($BA$1481:$EH$1481,"D")</f>
        <v>0</v>
      </c>
      <c r="AW2067" s="0" t="n">
        <f aca="false">COUNTIF($BA$1481:$EH$1481,"R")</f>
        <v>0</v>
      </c>
      <c r="AX2067" s="0" t="n">
        <f aca="false"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>0</v>
      </c>
      <c r="AY2067" s="0" t="n">
        <f aca="false">COUNTIF(DU2067:EH2067, "&lt;&gt;")</f>
        <v>1</v>
      </c>
      <c r="AZ2067" s="0" t="n">
        <f aca="false">IF(EH2067&lt;&gt;"",1,0)</f>
        <v>0</v>
      </c>
      <c r="BB2067" s="0" t="s">
        <v>153</v>
      </c>
      <c r="DN2067" s="0" t="s">
        <v>154</v>
      </c>
      <c r="EF2067" s="0" t="s">
        <v>154</v>
      </c>
    </row>
    <row r="2068" customFormat="false" ht="13.8" hidden="true" customHeight="false" outlineLevel="0" collapsed="false">
      <c r="A2068" s="0" t="s">
        <v>9133</v>
      </c>
      <c r="B2068" s="0" t="n">
        <v>78</v>
      </c>
      <c r="C2068" s="0" t="n">
        <v>350767</v>
      </c>
      <c r="D2068" s="0" t="s">
        <v>9125</v>
      </c>
      <c r="E2068" s="0" t="s">
        <v>744</v>
      </c>
      <c r="F2068" s="0" t="str">
        <f aca="false">CONCATENATE(D2068," ",LEFT(H2068,4),"T=",AU2068,"D=",AV2068,"R=",AW2068,"M=",AX2068,"L=",AY2068,"B=",AZ2068)</f>
        <v>SCHMUCKER T=38D=12R=0M=0L=1B=0</v>
      </c>
      <c r="G2068" s="0" t="s">
        <v>241</v>
      </c>
      <c r="I2068" s="0" t="s">
        <v>9134</v>
      </c>
      <c r="J2068" s="0" t="s">
        <v>757</v>
      </c>
      <c r="K2068" s="0" t="s">
        <v>175</v>
      </c>
      <c r="L2068" s="0"/>
      <c r="M2068" s="0" t="s">
        <v>9127</v>
      </c>
      <c r="N2068" s="0" t="str">
        <f aca="false">RIGHT(M2068,LEN(M2068)-FIND(" ",M2068))</f>
        <v>PACIFIC PL NW</v>
      </c>
      <c r="P2068" s="0" t="s">
        <v>146</v>
      </c>
      <c r="Q2068" s="0" t="s">
        <v>147</v>
      </c>
      <c r="R2068" s="0" t="n">
        <v>44483</v>
      </c>
      <c r="AD2068" s="0" t="s">
        <v>148</v>
      </c>
      <c r="AE2068" s="0" t="s">
        <v>149</v>
      </c>
      <c r="AF2068" s="0" t="s">
        <v>150</v>
      </c>
      <c r="AH2068" s="0" t="n">
        <v>14</v>
      </c>
      <c r="AI2068" s="0" t="n">
        <v>11</v>
      </c>
      <c r="AN2068" s="0" t="s">
        <v>146</v>
      </c>
      <c r="AO2068" s="0" t="s">
        <v>151</v>
      </c>
      <c r="AP2068" s="0" t="s">
        <v>152</v>
      </c>
      <c r="AQ2068" s="0" t="n">
        <v>9</v>
      </c>
      <c r="AR2068" s="0" t="n">
        <v>64</v>
      </c>
      <c r="AS2068" s="0" t="n">
        <v>32</v>
      </c>
      <c r="AU2068" s="0" t="n">
        <f aca="false">COUNTA($BA$1490:$EH$1490)</f>
        <v>38</v>
      </c>
      <c r="AV2068" s="0" t="n">
        <f aca="false">COUNTIF($BA$1490:$EH$1490,"D")</f>
        <v>12</v>
      </c>
      <c r="AW2068" s="0" t="n">
        <f aca="false">COUNTIF($BA$1490:$EH$1490,"R")</f>
        <v>0</v>
      </c>
      <c r="AX2068" s="0" t="n">
        <f aca="false"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>0</v>
      </c>
      <c r="AY2068" s="0" t="n">
        <f aca="false">COUNTIF(DU2068:EH2068, "&lt;&gt;")</f>
        <v>1</v>
      </c>
      <c r="AZ2068" s="0" t="n">
        <f aca="false">IF(EH2068&lt;&gt;"",1,0)</f>
        <v>0</v>
      </c>
      <c r="BB2068" s="0" t="s">
        <v>153</v>
      </c>
      <c r="CA2068" s="0" t="s">
        <v>154</v>
      </c>
      <c r="CP2068" s="0" t="s">
        <v>154</v>
      </c>
      <c r="EF2068" s="0" t="s">
        <v>154</v>
      </c>
    </row>
    <row r="2069" customFormat="false" ht="13.8" hidden="true" customHeight="false" outlineLevel="0" collapsed="false">
      <c r="A2069" s="0" t="s">
        <v>9135</v>
      </c>
      <c r="B2069" s="0" t="n">
        <v>78</v>
      </c>
      <c r="C2069" s="0" t="n">
        <v>416545</v>
      </c>
      <c r="D2069" s="0" t="s">
        <v>9136</v>
      </c>
      <c r="E2069" s="0" t="s">
        <v>903</v>
      </c>
      <c r="F2069" s="0" t="str">
        <f aca="false">CONCATENATE(D2069," ",LEFT(H2069,4),"T=",AU2069,"D=",AV2069,"R=",AW2069,"M=",AX2069,"L=",AY2069,"B=",AZ2069)</f>
        <v>MILETTA T=1D=0R=0M=0L=0B=0</v>
      </c>
      <c r="G2069" s="0" t="s">
        <v>188</v>
      </c>
      <c r="I2069" s="0" t="s">
        <v>6154</v>
      </c>
      <c r="J2069" s="0" t="s">
        <v>9137</v>
      </c>
      <c r="K2069" s="0" t="s">
        <v>144</v>
      </c>
      <c r="L2069" s="0"/>
      <c r="M2069" s="0" t="s">
        <v>9127</v>
      </c>
      <c r="N2069" s="0" t="str">
        <f aca="false">RIGHT(M2069,LEN(M2069)-FIND(" ",M2069))</f>
        <v>PACIFIC PL NW</v>
      </c>
      <c r="P2069" s="0" t="s">
        <v>146</v>
      </c>
      <c r="Q2069" s="0" t="s">
        <v>147</v>
      </c>
      <c r="R2069" s="0" t="n">
        <v>44483</v>
      </c>
      <c r="AD2069" s="0" t="s">
        <v>148</v>
      </c>
      <c r="AE2069" s="0" t="s">
        <v>149</v>
      </c>
      <c r="AF2069" s="0" t="s">
        <v>150</v>
      </c>
      <c r="AH2069" s="0" t="n">
        <v>14</v>
      </c>
      <c r="AI2069" s="0" t="n">
        <v>11</v>
      </c>
      <c r="AN2069" s="0" t="s">
        <v>146</v>
      </c>
      <c r="AO2069" s="0" t="s">
        <v>151</v>
      </c>
      <c r="AP2069" s="0" t="s">
        <v>152</v>
      </c>
      <c r="AQ2069" s="0" t="n">
        <v>9</v>
      </c>
      <c r="AR2069" s="0" t="n">
        <v>64</v>
      </c>
      <c r="AS2069" s="0" t="n">
        <v>32</v>
      </c>
      <c r="AU2069" s="0" t="n">
        <f aca="false">COUNTA($BA$1880:$EH$1880)</f>
        <v>1</v>
      </c>
      <c r="AV2069" s="0" t="n">
        <f aca="false">COUNTIF($BA$1880:$EH$1880,"D")</f>
        <v>0</v>
      </c>
      <c r="AW2069" s="0" t="n">
        <f aca="false">COUNTIF($BA$1880:$EH$1880,"R")</f>
        <v>0</v>
      </c>
      <c r="AX2069" s="0" t="n">
        <f aca="false"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>0</v>
      </c>
      <c r="AY2069" s="0" t="n">
        <f aca="false">COUNTIF(DU2069:EH2069, "&lt;&gt;")</f>
        <v>0</v>
      </c>
      <c r="AZ2069" s="0" t="n">
        <f aca="false">IF(EH2069&lt;&gt;"",1,0)</f>
        <v>0</v>
      </c>
      <c r="BB2069" s="0" t="s">
        <v>153</v>
      </c>
    </row>
    <row r="2070" customFormat="false" ht="13.8" hidden="false" customHeight="false" outlineLevel="0" collapsed="false">
      <c r="A2070" s="0" t="s">
        <v>9138</v>
      </c>
      <c r="B2070" s="0" t="n">
        <v>78</v>
      </c>
      <c r="C2070" s="0" t="n">
        <v>443545</v>
      </c>
      <c r="D2070" s="0" t="s">
        <v>9139</v>
      </c>
      <c r="E2070" s="0" t="s">
        <v>9140</v>
      </c>
      <c r="F2070" s="0" t="str">
        <f aca="false">CONCATENATE(D2070," ",LEFT(H2070,4),"T=",AU2070,"D=",AV2070,"R=",AW2070,"M=",AX2070,"L=",AY2070,"B=",AZ2070)</f>
        <v>BENCHIA T=5D=0R=0M=0L=4B=0</v>
      </c>
      <c r="G2070" s="0" t="s">
        <v>867</v>
      </c>
      <c r="I2070" s="0" t="s">
        <v>9141</v>
      </c>
      <c r="J2070" s="0" t="s">
        <v>9142</v>
      </c>
      <c r="K2070" s="0" t="s">
        <v>175</v>
      </c>
      <c r="M2070" s="0" t="s">
        <v>9143</v>
      </c>
      <c r="N2070" s="0" t="str">
        <f aca="false">RIGHT(M2070,LEN(M2070)-FIND(" ",M2070))</f>
        <v>PACIFIC PL NW</v>
      </c>
      <c r="P2070" s="0" t="s">
        <v>146</v>
      </c>
      <c r="Q2070" s="0" t="s">
        <v>147</v>
      </c>
      <c r="R2070" s="0" t="n">
        <v>44483</v>
      </c>
      <c r="AD2070" s="0" t="s">
        <v>148</v>
      </c>
      <c r="AE2070" s="0" t="s">
        <v>149</v>
      </c>
      <c r="AF2070" s="0" t="s">
        <v>150</v>
      </c>
      <c r="AH2070" s="0" t="n">
        <v>14</v>
      </c>
      <c r="AI2070" s="0" t="n">
        <v>11</v>
      </c>
      <c r="AN2070" s="0" t="s">
        <v>146</v>
      </c>
      <c r="AO2070" s="0" t="s">
        <v>151</v>
      </c>
      <c r="AP2070" s="0" t="s">
        <v>152</v>
      </c>
      <c r="AQ2070" s="0" t="n">
        <v>9</v>
      </c>
      <c r="AR2070" s="0" t="n">
        <v>64</v>
      </c>
      <c r="AS2070" s="0" t="n">
        <v>32</v>
      </c>
      <c r="AU2070" s="0" t="n">
        <f aca="false">COUNTA($BA$1147:$EH$1147)</f>
        <v>5</v>
      </c>
      <c r="AV2070" s="0" t="n">
        <f aca="false">COUNTIF($BA$1147:$EH$1147,"D")</f>
        <v>0</v>
      </c>
      <c r="AW2070" s="0" t="n">
        <f aca="false">COUNTIF($BA$1147:$EH$1147,"R")</f>
        <v>0</v>
      </c>
      <c r="AX2070" s="0" t="n">
        <f aca="false"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>0</v>
      </c>
      <c r="AY2070" s="0" t="n">
        <f aca="false">COUNTIF(DU2070:EH2070, "&lt;&gt;")</f>
        <v>4</v>
      </c>
      <c r="AZ2070" s="0" t="n">
        <f aca="false">IF(EH2070&lt;&gt;"",1,0)</f>
        <v>0</v>
      </c>
      <c r="BB2070" s="0" t="s">
        <v>153</v>
      </c>
      <c r="BD2070" s="0" t="s">
        <v>154</v>
      </c>
      <c r="BL2070" s="0" t="s">
        <v>154</v>
      </c>
      <c r="BN2070" s="0" t="s">
        <v>154</v>
      </c>
      <c r="BS2070" s="0" t="s">
        <v>154</v>
      </c>
      <c r="BV2070" s="0" t="s">
        <v>154</v>
      </c>
      <c r="BY2070" s="0" t="s">
        <v>155</v>
      </c>
      <c r="CA2070" s="0" t="s">
        <v>154</v>
      </c>
      <c r="CK2070" s="0" t="s">
        <v>154</v>
      </c>
      <c r="CN2070" s="0" t="s">
        <v>154</v>
      </c>
      <c r="CP2070" s="0" t="s">
        <v>154</v>
      </c>
      <c r="CV2070" s="0" t="s">
        <v>154</v>
      </c>
      <c r="CY2070" s="0" t="s">
        <v>154</v>
      </c>
      <c r="CZ2070" s="0" t="s">
        <v>155</v>
      </c>
      <c r="DC2070" s="0" t="s">
        <v>154</v>
      </c>
      <c r="DF2070" s="0" t="s">
        <v>154</v>
      </c>
      <c r="DI2070" s="0" t="s">
        <v>154</v>
      </c>
      <c r="DM2070" s="0" t="s">
        <v>155</v>
      </c>
      <c r="DN2070" s="0" t="s">
        <v>154</v>
      </c>
      <c r="DU2070" s="0" t="s">
        <v>154</v>
      </c>
      <c r="DX2070" s="0" t="s">
        <v>154</v>
      </c>
      <c r="EA2070" s="0" t="s">
        <v>154</v>
      </c>
      <c r="EF2070" s="0" t="s">
        <v>154</v>
      </c>
    </row>
    <row r="2071" customFormat="false" ht="13.8" hidden="true" customHeight="false" outlineLevel="0" collapsed="false">
      <c r="A2071" s="0" t="s">
        <v>9144</v>
      </c>
      <c r="B2071" s="0" t="n">
        <v>78</v>
      </c>
      <c r="C2071" s="0" t="n">
        <v>426785</v>
      </c>
      <c r="D2071" s="0" t="s">
        <v>9145</v>
      </c>
      <c r="E2071" s="0" t="s">
        <v>1916</v>
      </c>
      <c r="F2071" s="0" t="str">
        <f aca="false">CONCATENATE(D2071," ",LEFT(H2071,4),"T=",AU2071,"D=",AV2071,"R=",AW2071,"M=",AX2071,"L=",AY2071,"B=",AZ2071)</f>
        <v>PAUGH T=4D=0R=0M=0L=0B=0</v>
      </c>
      <c r="G2071" s="0" t="s">
        <v>514</v>
      </c>
      <c r="I2071" s="0" t="s">
        <v>9146</v>
      </c>
      <c r="J2071" s="0" t="s">
        <v>9147</v>
      </c>
      <c r="K2071" s="0" t="s">
        <v>175</v>
      </c>
      <c r="L2071" s="0"/>
      <c r="M2071" s="0" t="s">
        <v>9143</v>
      </c>
      <c r="N2071" s="0" t="str">
        <f aca="false">RIGHT(M2071,LEN(M2071)-FIND(" ",M2071))</f>
        <v>PACIFIC PL NW</v>
      </c>
      <c r="P2071" s="0" t="s">
        <v>146</v>
      </c>
      <c r="Q2071" s="0" t="s">
        <v>147</v>
      </c>
      <c r="R2071" s="0" t="n">
        <v>44483</v>
      </c>
      <c r="AD2071" s="0" t="s">
        <v>148</v>
      </c>
      <c r="AE2071" s="0" t="s">
        <v>149</v>
      </c>
      <c r="AF2071" s="0" t="s">
        <v>150</v>
      </c>
      <c r="AH2071" s="0" t="n">
        <v>14</v>
      </c>
      <c r="AI2071" s="0" t="n">
        <v>11</v>
      </c>
      <c r="AN2071" s="0" t="s">
        <v>146</v>
      </c>
      <c r="AO2071" s="0" t="s">
        <v>151</v>
      </c>
      <c r="AP2071" s="0" t="s">
        <v>152</v>
      </c>
      <c r="AQ2071" s="0" t="n">
        <v>9</v>
      </c>
      <c r="AR2071" s="0" t="n">
        <v>64</v>
      </c>
      <c r="AS2071" s="0" t="n">
        <v>32</v>
      </c>
      <c r="AU2071" s="0" t="n">
        <f aca="false">COUNTA($BA$1664:$EH$1664)</f>
        <v>4</v>
      </c>
      <c r="AV2071" s="0" t="n">
        <f aca="false">COUNTIF($BA$1664:$EH$1664,"D")</f>
        <v>0</v>
      </c>
      <c r="AW2071" s="0" t="n">
        <f aca="false">COUNTIF($BA$1664:$EH$1664,"R")</f>
        <v>0</v>
      </c>
      <c r="AX2071" s="0" t="n">
        <f aca="false"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>0</v>
      </c>
      <c r="AY2071" s="0" t="n">
        <f aca="false">COUNTIF(DU2071:EH2071, "&lt;&gt;")</f>
        <v>0</v>
      </c>
      <c r="AZ2071" s="0" t="n">
        <f aca="false">IF(EH2071&lt;&gt;"",1,0)</f>
        <v>0</v>
      </c>
      <c r="BB2071" s="0" t="s">
        <v>153</v>
      </c>
    </row>
    <row r="2072" customFormat="false" ht="13.8" hidden="true" customHeight="false" outlineLevel="0" collapsed="false">
      <c r="A2072" s="0" t="s">
        <v>9148</v>
      </c>
      <c r="B2072" s="0" t="n">
        <v>78</v>
      </c>
      <c r="C2072" s="0" t="n">
        <v>416688</v>
      </c>
      <c r="D2072" s="0" t="s">
        <v>9149</v>
      </c>
      <c r="E2072" s="0" t="s">
        <v>9150</v>
      </c>
      <c r="F2072" s="0" t="str">
        <f aca="false">CONCATENATE(D2072," ",LEFT(H2072,4),"T=",AU2072,"D=",AV2072,"R=",AW2072,"M=",AX2072,"L=",AY2072,"B=",AZ2072)</f>
        <v>ISER T=3D=0R=0M=0L=0B=0</v>
      </c>
      <c r="G2072" s="0" t="s">
        <v>176</v>
      </c>
      <c r="I2072" s="0" t="s">
        <v>9151</v>
      </c>
      <c r="J2072" s="0" t="s">
        <v>8717</v>
      </c>
      <c r="K2072" s="0" t="s">
        <v>175</v>
      </c>
      <c r="L2072" s="0"/>
      <c r="M2072" s="0" t="s">
        <v>9143</v>
      </c>
      <c r="N2072" s="0" t="str">
        <f aca="false">RIGHT(M2072,LEN(M2072)-FIND(" ",M2072))</f>
        <v>PACIFIC PL NW</v>
      </c>
      <c r="P2072" s="0" t="s">
        <v>146</v>
      </c>
      <c r="Q2072" s="0" t="s">
        <v>147</v>
      </c>
      <c r="R2072" s="0" t="n">
        <v>44483</v>
      </c>
      <c r="AD2072" s="0" t="s">
        <v>148</v>
      </c>
      <c r="AE2072" s="0" t="s">
        <v>149</v>
      </c>
      <c r="AF2072" s="0" t="s">
        <v>150</v>
      </c>
      <c r="AH2072" s="0" t="n">
        <v>14</v>
      </c>
      <c r="AI2072" s="0" t="n">
        <v>11</v>
      </c>
      <c r="AN2072" s="0" t="s">
        <v>146</v>
      </c>
      <c r="AO2072" s="0" t="s">
        <v>151</v>
      </c>
      <c r="AP2072" s="0" t="s">
        <v>152</v>
      </c>
      <c r="AQ2072" s="0" t="n">
        <v>9</v>
      </c>
      <c r="AR2072" s="0" t="n">
        <v>64</v>
      </c>
      <c r="AS2072" s="0" t="n">
        <v>32</v>
      </c>
      <c r="AU2072" s="0" t="n">
        <f aca="false">COUNTA($BA$1925:$EH$1925)</f>
        <v>3</v>
      </c>
      <c r="AV2072" s="0" t="n">
        <f aca="false">COUNTIF($BA$1925:$EH$1925,"D")</f>
        <v>0</v>
      </c>
      <c r="AW2072" s="0" t="n">
        <f aca="false">COUNTIF($BA$1925:$EH$1925,"R")</f>
        <v>0</v>
      </c>
      <c r="AX2072" s="0" t="n">
        <f aca="false"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>0</v>
      </c>
      <c r="AY2072" s="0" t="n">
        <f aca="false">COUNTIF(DU2072:EH2072, "&lt;&gt;")</f>
        <v>0</v>
      </c>
      <c r="AZ2072" s="0" t="n">
        <f aca="false">IF(EH2072&lt;&gt;"",1,0)</f>
        <v>0</v>
      </c>
      <c r="BB2072" s="0" t="s">
        <v>153</v>
      </c>
    </row>
    <row r="2073" customFormat="false" ht="13.8" hidden="false" customHeight="false" outlineLevel="0" collapsed="false">
      <c r="A2073" s="0" t="s">
        <v>9152</v>
      </c>
      <c r="B2073" s="0" t="n">
        <v>78</v>
      </c>
      <c r="C2073" s="0" t="n">
        <v>357058</v>
      </c>
      <c r="D2073" s="0" t="s">
        <v>9153</v>
      </c>
      <c r="E2073" s="0" t="s">
        <v>981</v>
      </c>
      <c r="F2073" s="0" t="str">
        <f aca="false">CONCATENATE(D2073," ",LEFT(H2073,4),"T=",AU2073,"D=",AV2073,"R=",AW2073,"M=",AX2073,"L=",AY2073,"B=",AZ2073)</f>
        <v>BURNS T=16D=1R=0M=0L=2B=0</v>
      </c>
      <c r="G2073" s="0" t="s">
        <v>771</v>
      </c>
      <c r="I2073" s="0" t="s">
        <v>9154</v>
      </c>
      <c r="J2073" s="0" t="s">
        <v>9155</v>
      </c>
      <c r="K2073" s="0" t="s">
        <v>175</v>
      </c>
      <c r="M2073" s="0" t="s">
        <v>9156</v>
      </c>
      <c r="N2073" s="0" t="str">
        <f aca="false">RIGHT(M2073,LEN(M2073)-FIND(" ",M2073))</f>
        <v>PACKARD ST NW</v>
      </c>
      <c r="P2073" s="0" t="s">
        <v>146</v>
      </c>
      <c r="Q2073" s="0" t="s">
        <v>147</v>
      </c>
      <c r="R2073" s="0" t="n">
        <v>44483</v>
      </c>
      <c r="AD2073" s="0" t="s">
        <v>148</v>
      </c>
      <c r="AE2073" s="0" t="s">
        <v>149</v>
      </c>
      <c r="AF2073" s="0" t="s">
        <v>150</v>
      </c>
      <c r="AH2073" s="0" t="n">
        <v>14</v>
      </c>
      <c r="AI2073" s="0" t="n">
        <v>11</v>
      </c>
      <c r="AN2073" s="0" t="s">
        <v>146</v>
      </c>
      <c r="AO2073" s="0" t="s">
        <v>151</v>
      </c>
      <c r="AP2073" s="0" t="s">
        <v>152</v>
      </c>
      <c r="AQ2073" s="0" t="n">
        <v>9</v>
      </c>
      <c r="AR2073" s="0" t="n">
        <v>64</v>
      </c>
      <c r="AS2073" s="0" t="n">
        <v>32</v>
      </c>
      <c r="AU2073" s="0" t="n">
        <f aca="false">COUNTA($BA$2044:$EH$2044)</f>
        <v>16</v>
      </c>
      <c r="AV2073" s="0" t="n">
        <f aca="false">COUNTIF($BA$2044:$EH$2044,"D")</f>
        <v>1</v>
      </c>
      <c r="AW2073" s="0" t="n">
        <f aca="false">COUNTIF($BA$2044:$EH$2044,"R")</f>
        <v>0</v>
      </c>
      <c r="AX2073" s="0" t="n">
        <f aca="false"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>0</v>
      </c>
      <c r="AY2073" s="0" t="n">
        <f aca="false">COUNTIF(DU2073:EH2073, "&lt;&gt;")</f>
        <v>2</v>
      </c>
      <c r="AZ2073" s="0" t="n">
        <f aca="false">IF(EH2073&lt;&gt;"",1,0)</f>
        <v>0</v>
      </c>
      <c r="BB2073" s="0" t="s">
        <v>153</v>
      </c>
      <c r="CP2073" s="0" t="s">
        <v>154</v>
      </c>
      <c r="DN2073" s="0" t="s">
        <v>154</v>
      </c>
      <c r="EA2073" s="0" t="s">
        <v>154</v>
      </c>
      <c r="EF2073" s="0" t="s">
        <v>154</v>
      </c>
    </row>
    <row r="2074" customFormat="false" ht="13.8" hidden="false" customHeight="false" outlineLevel="0" collapsed="false">
      <c r="A2074" s="0" t="s">
        <v>9157</v>
      </c>
      <c r="B2074" s="0" t="n">
        <v>78</v>
      </c>
      <c r="C2074" s="0" t="n">
        <v>460672</v>
      </c>
      <c r="D2074" s="0" t="s">
        <v>9158</v>
      </c>
      <c r="E2074" s="0" t="s">
        <v>429</v>
      </c>
      <c r="F2074" s="0" t="str">
        <f aca="false">CONCATENATE(D2074," ",LEFT(H2074,4),"T=",AU2074,"D=",AV2074,"R=",AW2074,"M=",AX2074,"L=",AY2074,"B=",AZ2074)</f>
        <v>BONNETTE T=6D=0R=0M=1L=6B=1</v>
      </c>
      <c r="G2074" s="0" t="s">
        <v>195</v>
      </c>
      <c r="I2074" s="0" t="s">
        <v>9159</v>
      </c>
      <c r="J2074" s="0" t="s">
        <v>9160</v>
      </c>
      <c r="K2074" s="0" t="s">
        <v>175</v>
      </c>
      <c r="L2074" s="1" t="s">
        <v>176</v>
      </c>
      <c r="M2074" s="0" t="s">
        <v>9161</v>
      </c>
      <c r="N2074" s="0" t="str">
        <f aca="false">RIGHT(M2074,LEN(M2074)-FIND(" ",M2074))</f>
        <v>PACKARD ST NW</v>
      </c>
      <c r="P2074" s="0" t="s">
        <v>146</v>
      </c>
      <c r="Q2074" s="0" t="s">
        <v>147</v>
      </c>
      <c r="R2074" s="0" t="n">
        <v>44483</v>
      </c>
      <c r="AD2074" s="0" t="s">
        <v>148</v>
      </c>
      <c r="AE2074" s="0" t="s">
        <v>149</v>
      </c>
      <c r="AF2074" s="0" t="s">
        <v>150</v>
      </c>
      <c r="AH2074" s="0" t="n">
        <v>14</v>
      </c>
      <c r="AI2074" s="0" t="n">
        <v>11</v>
      </c>
      <c r="AN2074" s="0" t="s">
        <v>146</v>
      </c>
      <c r="AO2074" s="0" t="s">
        <v>151</v>
      </c>
      <c r="AP2074" s="0" t="s">
        <v>152</v>
      </c>
      <c r="AQ2074" s="0" t="n">
        <v>9</v>
      </c>
      <c r="AR2074" s="0" t="n">
        <v>64</v>
      </c>
      <c r="AS2074" s="0" t="n">
        <v>32</v>
      </c>
      <c r="AU2074" s="0" t="n">
        <f aca="false">COUNTA($BA$1107:$EH$1107)</f>
        <v>6</v>
      </c>
      <c r="AV2074" s="0" t="n">
        <f aca="false">COUNTIF($BA$1107:$EH$1107,"D")</f>
        <v>0</v>
      </c>
      <c r="AW2074" s="0" t="n">
        <f aca="false">COUNTIF($BA$1107:$EH$1107,"R")</f>
        <v>0</v>
      </c>
      <c r="AX2074" s="0" t="n">
        <f aca="false"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>1</v>
      </c>
      <c r="AY2074" s="0" t="n">
        <f aca="false">COUNTIF(DU2074:EH2074, "&lt;&gt;")</f>
        <v>6</v>
      </c>
      <c r="AZ2074" s="0" t="n">
        <f aca="false">IF(EH2074&lt;&gt;"",1,0)</f>
        <v>1</v>
      </c>
      <c r="BB2074" s="0" t="s">
        <v>153</v>
      </c>
      <c r="DN2074" s="0" t="s">
        <v>154</v>
      </c>
      <c r="DT2074" s="0" t="s">
        <v>176</v>
      </c>
      <c r="DU2074" s="0" t="s">
        <v>154</v>
      </c>
      <c r="DW2074" s="0" t="s">
        <v>155</v>
      </c>
      <c r="DX2074" s="0" t="s">
        <v>154</v>
      </c>
      <c r="ED2074" s="0" t="s">
        <v>176</v>
      </c>
      <c r="EF2074" s="0" t="s">
        <v>154</v>
      </c>
      <c r="EH2074" s="0" t="s">
        <v>154</v>
      </c>
    </row>
    <row r="2075" customFormat="false" ht="13.8" hidden="false" customHeight="false" outlineLevel="0" collapsed="false">
      <c r="A2075" s="0" t="s">
        <v>9162</v>
      </c>
      <c r="B2075" s="0" t="n">
        <v>78</v>
      </c>
      <c r="C2075" s="0" t="n">
        <v>284883</v>
      </c>
      <c r="D2075" s="0" t="s">
        <v>9163</v>
      </c>
      <c r="E2075" s="0" t="s">
        <v>405</v>
      </c>
      <c r="F2075" s="0" t="str">
        <f aca="false">CONCATENATE(D2075," ",LEFT(H2075,4),"T=",AU2075,"D=",AV2075,"R=",AW2075,"M=",AX2075,"L=",AY2075,"B=",AZ2075)</f>
        <v>STULGIS T=27D=3R=3M=1L=5B=1</v>
      </c>
      <c r="G2075" s="0" t="s">
        <v>297</v>
      </c>
      <c r="I2075" s="0" t="s">
        <v>9164</v>
      </c>
      <c r="J2075" s="0" t="s">
        <v>3677</v>
      </c>
      <c r="K2075" s="0" t="s">
        <v>175</v>
      </c>
      <c r="L2075" s="1" t="s">
        <v>155</v>
      </c>
      <c r="M2075" s="0" t="s">
        <v>9165</v>
      </c>
      <c r="N2075" s="0" t="str">
        <f aca="false">RIGHT(M2075,LEN(M2075)-FIND(" ",M2075))</f>
        <v>PACKARD ST NW</v>
      </c>
      <c r="P2075" s="0" t="s">
        <v>146</v>
      </c>
      <c r="Q2075" s="0" t="s">
        <v>147</v>
      </c>
      <c r="R2075" s="0" t="n">
        <v>44483</v>
      </c>
      <c r="AD2075" s="0" t="s">
        <v>148</v>
      </c>
      <c r="AE2075" s="0" t="s">
        <v>149</v>
      </c>
      <c r="AF2075" s="0" t="s">
        <v>150</v>
      </c>
      <c r="AH2075" s="0" t="n">
        <v>14</v>
      </c>
      <c r="AI2075" s="0" t="n">
        <v>11</v>
      </c>
      <c r="AN2075" s="0" t="s">
        <v>146</v>
      </c>
      <c r="AO2075" s="0" t="s">
        <v>151</v>
      </c>
      <c r="AP2075" s="0" t="s">
        <v>152</v>
      </c>
      <c r="AQ2075" s="0" t="n">
        <v>9</v>
      </c>
      <c r="AR2075" s="0" t="n">
        <v>64</v>
      </c>
      <c r="AS2075" s="0" t="n">
        <v>32</v>
      </c>
      <c r="AU2075" s="0" t="n">
        <f aca="false">COUNTA($BA$1593:$EH$1593)</f>
        <v>27</v>
      </c>
      <c r="AV2075" s="0" t="n">
        <f aca="false">COUNTIF($BA$1593:$EH$1593,"D")</f>
        <v>3</v>
      </c>
      <c r="AW2075" s="0" t="n">
        <f aca="false">COUNTIF($BA$1593:$EH$1593,"R")</f>
        <v>3</v>
      </c>
      <c r="AX2075" s="0" t="n">
        <f aca="false"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>1</v>
      </c>
      <c r="AY2075" s="0" t="n">
        <f aca="false">COUNTIF(DU2075:EH2075, "&lt;&gt;")</f>
        <v>5</v>
      </c>
      <c r="AZ2075" s="0" t="n">
        <f aca="false">IF(EH2075&lt;&gt;"",1,0)</f>
        <v>1</v>
      </c>
      <c r="BB2075" s="0" t="s">
        <v>153</v>
      </c>
      <c r="BL2075" s="0" t="s">
        <v>154</v>
      </c>
      <c r="BS2075" s="0" t="s">
        <v>154</v>
      </c>
      <c r="BV2075" s="0" t="s">
        <v>154</v>
      </c>
      <c r="BY2075" s="0" t="s">
        <v>155</v>
      </c>
      <c r="CA2075" s="0" t="s">
        <v>154</v>
      </c>
      <c r="CK2075" s="0" t="s">
        <v>154</v>
      </c>
      <c r="CN2075" s="0" t="s">
        <v>154</v>
      </c>
      <c r="CP2075" s="0" t="s">
        <v>154</v>
      </c>
      <c r="CV2075" s="0" t="s">
        <v>154</v>
      </c>
      <c r="CY2075" s="0" t="s">
        <v>154</v>
      </c>
      <c r="CZ2075" s="0" t="s">
        <v>155</v>
      </c>
      <c r="DC2075" s="0" t="s">
        <v>154</v>
      </c>
      <c r="DI2075" s="0" t="s">
        <v>154</v>
      </c>
      <c r="DN2075" s="0" t="s">
        <v>154</v>
      </c>
      <c r="DU2075" s="0" t="s">
        <v>154</v>
      </c>
      <c r="EA2075" s="0" t="s">
        <v>154</v>
      </c>
      <c r="ED2075" s="0" t="s">
        <v>155</v>
      </c>
      <c r="EF2075" s="0" t="s">
        <v>154</v>
      </c>
      <c r="EH2075" s="0" t="s">
        <v>155</v>
      </c>
    </row>
    <row r="2076" customFormat="false" ht="13.8" hidden="true" customHeight="false" outlineLevel="0" collapsed="false">
      <c r="A2076" s="0" t="s">
        <v>9166</v>
      </c>
      <c r="B2076" s="0" t="n">
        <v>78</v>
      </c>
      <c r="C2076" s="0" t="n">
        <v>450914</v>
      </c>
      <c r="D2076" s="0" t="s">
        <v>9163</v>
      </c>
      <c r="E2076" s="0" t="s">
        <v>9167</v>
      </c>
      <c r="F2076" s="0" t="str">
        <f aca="false">CONCATENATE(D2076," ",LEFT(H2076,4),"T=",AU2076,"D=",AV2076,"R=",AW2076,"M=",AX2076,"L=",AY2076,"B=",AZ2076)</f>
        <v>STULGIS T=2D=0R=0M=0L=1B=0</v>
      </c>
      <c r="G2076" s="0" t="s">
        <v>690</v>
      </c>
      <c r="I2076" s="0" t="s">
        <v>9168</v>
      </c>
      <c r="J2076" s="0" t="s">
        <v>9169</v>
      </c>
      <c r="K2076" s="0" t="s">
        <v>175</v>
      </c>
      <c r="L2076" s="0"/>
      <c r="M2076" s="0" t="s">
        <v>9165</v>
      </c>
      <c r="N2076" s="0" t="str">
        <f aca="false">RIGHT(M2076,LEN(M2076)-FIND(" ",M2076))</f>
        <v>PACKARD ST NW</v>
      </c>
      <c r="P2076" s="0" t="s">
        <v>146</v>
      </c>
      <c r="Q2076" s="0" t="s">
        <v>147</v>
      </c>
      <c r="R2076" s="0" t="n">
        <v>44483</v>
      </c>
      <c r="AD2076" s="0" t="s">
        <v>148</v>
      </c>
      <c r="AE2076" s="0" t="s">
        <v>149</v>
      </c>
      <c r="AF2076" s="0" t="s">
        <v>150</v>
      </c>
      <c r="AH2076" s="0" t="n">
        <v>14</v>
      </c>
      <c r="AI2076" s="0" t="n">
        <v>11</v>
      </c>
      <c r="AN2076" s="0" t="s">
        <v>146</v>
      </c>
      <c r="AO2076" s="0" t="s">
        <v>151</v>
      </c>
      <c r="AP2076" s="0" t="s">
        <v>152</v>
      </c>
      <c r="AQ2076" s="0" t="n">
        <v>9</v>
      </c>
      <c r="AR2076" s="0" t="n">
        <v>64</v>
      </c>
      <c r="AS2076" s="0" t="n">
        <v>32</v>
      </c>
      <c r="AU2076" s="0" t="n">
        <f aca="false">COUNTA($BA$1811:$EH$1811)</f>
        <v>2</v>
      </c>
      <c r="AV2076" s="0" t="n">
        <f aca="false">COUNTIF($BA$1811:$EH$1811,"D")</f>
        <v>0</v>
      </c>
      <c r="AW2076" s="0" t="n">
        <f aca="false">COUNTIF($BA$1811:$EH$1811,"R")</f>
        <v>0</v>
      </c>
      <c r="AX2076" s="0" t="n">
        <f aca="false"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>0</v>
      </c>
      <c r="AY2076" s="0" t="n">
        <f aca="false">COUNTIF(DU2076:EH2076, "&lt;&gt;")</f>
        <v>1</v>
      </c>
      <c r="AZ2076" s="0" t="n">
        <f aca="false">IF(EH2076&lt;&gt;"",1,0)</f>
        <v>0</v>
      </c>
      <c r="BB2076" s="0" t="s">
        <v>153</v>
      </c>
      <c r="EF2076" s="0" t="s">
        <v>154</v>
      </c>
    </row>
    <row r="2077" customFormat="false" ht="13.8" hidden="false" customHeight="false" outlineLevel="0" collapsed="false">
      <c r="A2077" s="0" t="s">
        <v>9170</v>
      </c>
      <c r="B2077" s="0" t="n">
        <v>78</v>
      </c>
      <c r="C2077" s="0" t="n">
        <v>285163</v>
      </c>
      <c r="D2077" s="0" t="s">
        <v>9076</v>
      </c>
      <c r="E2077" s="0" t="s">
        <v>9171</v>
      </c>
      <c r="F2077" s="0" t="str">
        <f aca="false">CONCATENATE(D2077," ",LEFT(H2077,4),"T=",AU2077,"D=",AV2077,"R=",AW2077,"M=",AX2077,"L=",AY2077,"B=",AZ2077)</f>
        <v>GILL T=9D=1R=0M=0L=3B=0</v>
      </c>
      <c r="G2077" s="0" t="s">
        <v>365</v>
      </c>
      <c r="I2077" s="0" t="s">
        <v>9172</v>
      </c>
      <c r="J2077" s="0" t="s">
        <v>9173</v>
      </c>
      <c r="K2077" s="0" t="s">
        <v>175</v>
      </c>
      <c r="M2077" s="0" t="s">
        <v>9174</v>
      </c>
      <c r="N2077" s="0" t="str">
        <f aca="false">RIGHT(M2077,LEN(M2077)-FIND(" ",M2077))</f>
        <v>PACKARD ST NW</v>
      </c>
      <c r="P2077" s="0" t="s">
        <v>146</v>
      </c>
      <c r="Q2077" s="0" t="s">
        <v>147</v>
      </c>
      <c r="R2077" s="0" t="n">
        <v>44483</v>
      </c>
      <c r="AD2077" s="0" t="s">
        <v>148</v>
      </c>
      <c r="AE2077" s="0" t="s">
        <v>149</v>
      </c>
      <c r="AF2077" s="0" t="s">
        <v>150</v>
      </c>
      <c r="AH2077" s="0" t="n">
        <v>14</v>
      </c>
      <c r="AI2077" s="0" t="n">
        <v>11</v>
      </c>
      <c r="AN2077" s="0" t="s">
        <v>146</v>
      </c>
      <c r="AO2077" s="0" t="s">
        <v>151</v>
      </c>
      <c r="AP2077" s="0" t="s">
        <v>152</v>
      </c>
      <c r="AQ2077" s="0" t="n">
        <v>9</v>
      </c>
      <c r="AR2077" s="0" t="n">
        <v>64</v>
      </c>
      <c r="AS2077" s="0" t="n">
        <v>32</v>
      </c>
      <c r="AU2077" s="0" t="n">
        <f aca="false">COUNTA($BA$1994:$EH$1994)</f>
        <v>9</v>
      </c>
      <c r="AV2077" s="0" t="n">
        <f aca="false">COUNTIF($BA$1994:$EH$1994,"D")</f>
        <v>1</v>
      </c>
      <c r="AW2077" s="0" t="n">
        <f aca="false">COUNTIF($BA$1994:$EH$1994,"R")</f>
        <v>0</v>
      </c>
      <c r="AX2077" s="0" t="n">
        <f aca="false"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>0</v>
      </c>
      <c r="AY2077" s="0" t="n">
        <f aca="false">COUNTIF(DU2077:EH2077, "&lt;&gt;")</f>
        <v>3</v>
      </c>
      <c r="AZ2077" s="0" t="n">
        <f aca="false">IF(EH2077&lt;&gt;"",1,0)</f>
        <v>0</v>
      </c>
      <c r="BB2077" s="0" t="s">
        <v>153</v>
      </c>
      <c r="BD2077" s="0" t="s">
        <v>154</v>
      </c>
      <c r="BK2077" s="0" t="s">
        <v>154</v>
      </c>
      <c r="BL2077" s="0" t="s">
        <v>154</v>
      </c>
      <c r="BY2077" s="0" t="s">
        <v>155</v>
      </c>
      <c r="DC2077" s="0" t="s">
        <v>154</v>
      </c>
      <c r="DN2077" s="0" t="s">
        <v>154</v>
      </c>
      <c r="DU2077" s="0" t="s">
        <v>154</v>
      </c>
      <c r="EA2077" s="0" t="s">
        <v>154</v>
      </c>
      <c r="EF2077" s="0" t="s">
        <v>154</v>
      </c>
    </row>
    <row r="2078" customFormat="false" ht="13.8" hidden="false" customHeight="false" outlineLevel="0" collapsed="false">
      <c r="A2078" s="0" t="s">
        <v>9175</v>
      </c>
      <c r="B2078" s="0" t="n">
        <v>78</v>
      </c>
      <c r="C2078" s="0" t="n">
        <v>414697</v>
      </c>
      <c r="D2078" s="0" t="s">
        <v>9176</v>
      </c>
      <c r="E2078" s="0" t="s">
        <v>429</v>
      </c>
      <c r="F2078" s="0" t="str">
        <f aca="false">CONCATENATE(D2078," ",LEFT(H2078,4),"T=",AU2078,"D=",AV2078,"R=",AW2078,"M=",AX2078,"L=",AY2078,"B=",AZ2078)</f>
        <v>TUCKER T=16D=4R=0M=0L=5B=0</v>
      </c>
      <c r="G2078" s="0" t="s">
        <v>277</v>
      </c>
      <c r="I2078" s="0" t="s">
        <v>9177</v>
      </c>
      <c r="J2078" s="0" t="s">
        <v>9178</v>
      </c>
      <c r="K2078" s="0" t="s">
        <v>175</v>
      </c>
      <c r="L2078" s="1" t="s">
        <v>176</v>
      </c>
      <c r="M2078" s="0" t="s">
        <v>9179</v>
      </c>
      <c r="N2078" s="0" t="str">
        <f aca="false">RIGHT(M2078,LEN(M2078)-FIND(" ",M2078))</f>
        <v>PACKARD ST NW</v>
      </c>
      <c r="P2078" s="0" t="s">
        <v>146</v>
      </c>
      <c r="Q2078" s="0" t="s">
        <v>147</v>
      </c>
      <c r="R2078" s="0" t="n">
        <v>44483</v>
      </c>
      <c r="AD2078" s="0" t="s">
        <v>148</v>
      </c>
      <c r="AE2078" s="0" t="s">
        <v>149</v>
      </c>
      <c r="AF2078" s="0" t="s">
        <v>150</v>
      </c>
      <c r="AH2078" s="0" t="n">
        <v>14</v>
      </c>
      <c r="AI2078" s="0" t="n">
        <v>11</v>
      </c>
      <c r="AN2078" s="0" t="s">
        <v>146</v>
      </c>
      <c r="AO2078" s="0" t="s">
        <v>151</v>
      </c>
      <c r="AP2078" s="0" t="s">
        <v>152</v>
      </c>
      <c r="AQ2078" s="0" t="n">
        <v>9</v>
      </c>
      <c r="AR2078" s="0" t="n">
        <v>64</v>
      </c>
      <c r="AS2078" s="0" t="n">
        <v>32</v>
      </c>
      <c r="AU2078" s="0" t="n">
        <f aca="false">COUNTA($BA$1142:$EH$1142)</f>
        <v>16</v>
      </c>
      <c r="AV2078" s="0" t="n">
        <f aca="false">COUNTIF($BA$1142:$EH$1142,"D")</f>
        <v>4</v>
      </c>
      <c r="AW2078" s="0" t="n">
        <f aca="false">COUNTIF($BA$1142:$EH$1142,"R")</f>
        <v>0</v>
      </c>
      <c r="AX2078" s="0" t="n">
        <f aca="false"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>0</v>
      </c>
      <c r="AY2078" s="0" t="n">
        <f aca="false">COUNTIF(DU2078:EH2078, "&lt;&gt;")</f>
        <v>5</v>
      </c>
      <c r="AZ2078" s="0" t="n">
        <f aca="false">IF(EH2078&lt;&gt;"",1,0)</f>
        <v>0</v>
      </c>
      <c r="BB2078" s="0" t="s">
        <v>153</v>
      </c>
      <c r="BD2078" s="0" t="s">
        <v>154</v>
      </c>
      <c r="CZ2078" s="0" t="s">
        <v>176</v>
      </c>
      <c r="DC2078" s="0" t="s">
        <v>154</v>
      </c>
      <c r="DI2078" s="0" t="s">
        <v>154</v>
      </c>
      <c r="DL2078" s="0" t="s">
        <v>154</v>
      </c>
      <c r="DM2078" s="0" t="s">
        <v>176</v>
      </c>
      <c r="DN2078" s="0" t="s">
        <v>154</v>
      </c>
      <c r="DS2078" s="0" t="s">
        <v>176</v>
      </c>
      <c r="DU2078" s="0" t="s">
        <v>154</v>
      </c>
      <c r="DX2078" s="0" t="s">
        <v>154</v>
      </c>
      <c r="EA2078" s="0" t="s">
        <v>154</v>
      </c>
      <c r="ED2078" s="0" t="s">
        <v>176</v>
      </c>
      <c r="EF2078" s="0" t="s">
        <v>154</v>
      </c>
    </row>
    <row r="2079" customFormat="false" ht="13.8" hidden="true" customHeight="false" outlineLevel="0" collapsed="false">
      <c r="A2079" s="0" t="s">
        <v>9180</v>
      </c>
      <c r="B2079" s="0" t="n">
        <v>78</v>
      </c>
      <c r="C2079" s="0" t="n">
        <v>339012</v>
      </c>
      <c r="D2079" s="0" t="s">
        <v>1050</v>
      </c>
      <c r="E2079" s="0" t="s">
        <v>1830</v>
      </c>
      <c r="F2079" s="0" t="str">
        <f aca="false">CONCATENATE(D2079," ",LEFT(H2079,4),"T=",AU2079,"D=",AV2079,"R=",AW2079,"M=",AX2079,"L=",AY2079,"B=",AZ2079)</f>
        <v>JOHNSON T=8D=0R=0M=0L=0B=0</v>
      </c>
      <c r="G2079" s="0" t="s">
        <v>188</v>
      </c>
      <c r="I2079" s="0" t="s">
        <v>7488</v>
      </c>
      <c r="J2079" s="0" t="s">
        <v>342</v>
      </c>
      <c r="K2079" s="0" t="s">
        <v>144</v>
      </c>
      <c r="L2079" s="0"/>
      <c r="M2079" s="0" t="s">
        <v>9179</v>
      </c>
      <c r="N2079" s="0" t="str">
        <f aca="false">RIGHT(M2079,LEN(M2079)-FIND(" ",M2079))</f>
        <v>PACKARD ST NW</v>
      </c>
      <c r="P2079" s="0" t="s">
        <v>146</v>
      </c>
      <c r="Q2079" s="0" t="s">
        <v>147</v>
      </c>
      <c r="R2079" s="0" t="n">
        <v>44483</v>
      </c>
      <c r="AD2079" s="0" t="s">
        <v>148</v>
      </c>
      <c r="AE2079" s="0" t="s">
        <v>149</v>
      </c>
      <c r="AF2079" s="0" t="s">
        <v>150</v>
      </c>
      <c r="AH2079" s="0" t="n">
        <v>14</v>
      </c>
      <c r="AI2079" s="0" t="n">
        <v>11</v>
      </c>
      <c r="AN2079" s="0" t="s">
        <v>146</v>
      </c>
      <c r="AO2079" s="0" t="s">
        <v>151</v>
      </c>
      <c r="AP2079" s="0" t="s">
        <v>152</v>
      </c>
      <c r="AQ2079" s="0" t="n">
        <v>9</v>
      </c>
      <c r="AR2079" s="0" t="n">
        <v>64</v>
      </c>
      <c r="AS2079" s="0" t="n">
        <v>32</v>
      </c>
      <c r="AU2079" s="0" t="n">
        <f aca="false">COUNTA($BA$1820:$EH$1820)</f>
        <v>8</v>
      </c>
      <c r="AV2079" s="0" t="n">
        <f aca="false">COUNTIF($BA$1820:$EH$1820,"D")</f>
        <v>0</v>
      </c>
      <c r="AW2079" s="0" t="n">
        <f aca="false">COUNTIF($BA$1820:$EH$1820,"R")</f>
        <v>0</v>
      </c>
      <c r="AX2079" s="0" t="n">
        <f aca="false"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>0</v>
      </c>
      <c r="AY2079" s="0" t="n">
        <f aca="false">COUNTIF(DU2079:EH2079, "&lt;&gt;")</f>
        <v>0</v>
      </c>
      <c r="AZ2079" s="0" t="n">
        <f aca="false">IF(EH2079&lt;&gt;"",1,0)</f>
        <v>0</v>
      </c>
      <c r="BB2079" s="0" t="s">
        <v>153</v>
      </c>
      <c r="BS2079" s="0" t="s">
        <v>154</v>
      </c>
      <c r="CA2079" s="0" t="s">
        <v>154</v>
      </c>
      <c r="CN2079" s="0" t="s">
        <v>154</v>
      </c>
      <c r="CP2079" s="0" t="s">
        <v>154</v>
      </c>
    </row>
    <row r="2080" customFormat="false" ht="13.8" hidden="false" customHeight="false" outlineLevel="0" collapsed="false">
      <c r="A2080" s="0" t="s">
        <v>9181</v>
      </c>
      <c r="B2080" s="0" t="n">
        <v>78</v>
      </c>
      <c r="C2080" s="0" t="n">
        <v>440109</v>
      </c>
      <c r="D2080" s="0" t="s">
        <v>9182</v>
      </c>
      <c r="E2080" s="0" t="s">
        <v>1022</v>
      </c>
      <c r="F2080" s="0" t="str">
        <f aca="false">CONCATENATE(D2080," ",LEFT(H2080,4),"T=",AU2080,"D=",AV2080,"R=",AW2080,"M=",AX2080,"L=",AY2080,"B=",AZ2080)</f>
        <v>CRAGER T=23D=2R=0M=0L=2B=0</v>
      </c>
      <c r="G2080" s="0" t="s">
        <v>297</v>
      </c>
      <c r="I2080" s="0" t="s">
        <v>9183</v>
      </c>
      <c r="J2080" s="0" t="s">
        <v>8698</v>
      </c>
      <c r="K2080" s="0" t="s">
        <v>175</v>
      </c>
      <c r="M2080" s="0" t="s">
        <v>9179</v>
      </c>
      <c r="N2080" s="0" t="str">
        <f aca="false">RIGHT(M2080,LEN(M2080)-FIND(" ",M2080))</f>
        <v>PACKARD ST NW</v>
      </c>
      <c r="P2080" s="0" t="s">
        <v>146</v>
      </c>
      <c r="Q2080" s="0" t="s">
        <v>147</v>
      </c>
      <c r="R2080" s="0" t="n">
        <v>44483</v>
      </c>
      <c r="AD2080" s="0" t="s">
        <v>148</v>
      </c>
      <c r="AE2080" s="0" t="s">
        <v>149</v>
      </c>
      <c r="AF2080" s="0" t="s">
        <v>150</v>
      </c>
      <c r="AH2080" s="0" t="n">
        <v>14</v>
      </c>
      <c r="AI2080" s="0" t="n">
        <v>11</v>
      </c>
      <c r="AN2080" s="0" t="s">
        <v>146</v>
      </c>
      <c r="AO2080" s="0" t="s">
        <v>151</v>
      </c>
      <c r="AP2080" s="0" t="s">
        <v>152</v>
      </c>
      <c r="AQ2080" s="0" t="n">
        <v>9</v>
      </c>
      <c r="AR2080" s="0" t="n">
        <v>64</v>
      </c>
      <c r="AS2080" s="0" t="n">
        <v>32</v>
      </c>
      <c r="AU2080" s="0" t="n">
        <f aca="false">COUNTA($BA$1865:$EH$1865)</f>
        <v>23</v>
      </c>
      <c r="AV2080" s="0" t="n">
        <f aca="false">COUNTIF($BA$1865:$EH$1865,"D")</f>
        <v>2</v>
      </c>
      <c r="AW2080" s="0" t="n">
        <f aca="false">COUNTIF($BA$1865:$EH$1865,"R")</f>
        <v>0</v>
      </c>
      <c r="AX2080" s="0" t="n">
        <f aca="false"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>0</v>
      </c>
      <c r="AY2080" s="0" t="n">
        <f aca="false">COUNTIF(DU2080:EH2080, "&lt;&gt;")</f>
        <v>2</v>
      </c>
      <c r="AZ2080" s="0" t="n">
        <f aca="false">IF(EH2080&lt;&gt;"",1,0)</f>
        <v>0</v>
      </c>
      <c r="BB2080" s="0" t="s">
        <v>153</v>
      </c>
      <c r="BC2080" s="0" t="s">
        <v>155</v>
      </c>
      <c r="BD2080" s="0" t="s">
        <v>154</v>
      </c>
      <c r="BK2080" s="0" t="s">
        <v>155</v>
      </c>
      <c r="BL2080" s="0" t="s">
        <v>154</v>
      </c>
      <c r="BS2080" s="0" t="s">
        <v>154</v>
      </c>
      <c r="BY2080" s="0" t="s">
        <v>155</v>
      </c>
      <c r="CA2080" s="0" t="s">
        <v>154</v>
      </c>
      <c r="CK2080" s="0" t="s">
        <v>154</v>
      </c>
      <c r="CP2080" s="0" t="s">
        <v>154</v>
      </c>
      <c r="DC2080" s="0" t="s">
        <v>154</v>
      </c>
      <c r="DN2080" s="0" t="s">
        <v>154</v>
      </c>
      <c r="DX2080" s="0" t="s">
        <v>154</v>
      </c>
      <c r="EF2080" s="0" t="s">
        <v>154</v>
      </c>
    </row>
    <row r="2081" customFormat="false" ht="13.8" hidden="false" customHeight="false" outlineLevel="0" collapsed="false">
      <c r="A2081" s="0" t="s">
        <v>9184</v>
      </c>
      <c r="B2081" s="0" t="n">
        <v>78</v>
      </c>
      <c r="C2081" s="0" t="n">
        <v>403360</v>
      </c>
      <c r="D2081" s="0" t="s">
        <v>1050</v>
      </c>
      <c r="E2081" s="0" t="s">
        <v>771</v>
      </c>
      <c r="F2081" s="0" t="str">
        <f aca="false">CONCATENATE(D2081," ",LEFT(H2081,4),"T=",AU2081,"D=",AV2081,"R=",AW2081,"M=",AX2081,"L=",AY2081,"B=",AZ2081)</f>
        <v>JOHNSON T=44D=13R=0M=0L=5B=0</v>
      </c>
      <c r="G2081" s="0" t="s">
        <v>508</v>
      </c>
      <c r="I2081" s="0" t="s">
        <v>9185</v>
      </c>
      <c r="J2081" s="0" t="s">
        <v>9186</v>
      </c>
      <c r="K2081" s="0" t="s">
        <v>175</v>
      </c>
      <c r="L2081" s="1" t="s">
        <v>176</v>
      </c>
      <c r="M2081" s="0" t="s">
        <v>9179</v>
      </c>
      <c r="N2081" s="0" t="str">
        <f aca="false">RIGHT(M2081,LEN(M2081)-FIND(" ",M2081))</f>
        <v>PACKARD ST NW</v>
      </c>
      <c r="P2081" s="0" t="s">
        <v>146</v>
      </c>
      <c r="Q2081" s="0" t="s">
        <v>147</v>
      </c>
      <c r="R2081" s="0" t="n">
        <v>44483</v>
      </c>
      <c r="AD2081" s="0" t="s">
        <v>148</v>
      </c>
      <c r="AE2081" s="0" t="s">
        <v>149</v>
      </c>
      <c r="AF2081" s="0" t="s">
        <v>150</v>
      </c>
      <c r="AH2081" s="0" t="n">
        <v>14</v>
      </c>
      <c r="AI2081" s="0" t="n">
        <v>11</v>
      </c>
      <c r="AN2081" s="0" t="s">
        <v>146</v>
      </c>
      <c r="AO2081" s="0" t="s">
        <v>151</v>
      </c>
      <c r="AP2081" s="0" t="s">
        <v>152</v>
      </c>
      <c r="AQ2081" s="0" t="n">
        <v>9</v>
      </c>
      <c r="AR2081" s="0" t="n">
        <v>64</v>
      </c>
      <c r="AS2081" s="0" t="n">
        <v>32</v>
      </c>
      <c r="AU2081" s="0" t="n">
        <f aca="false">COUNTA($BA$1900:$EH$1900)</f>
        <v>44</v>
      </c>
      <c r="AV2081" s="0" t="n">
        <f aca="false">COUNTIF($BA$1900:$EH$1900,"D")</f>
        <v>13</v>
      </c>
      <c r="AW2081" s="0" t="n">
        <f aca="false">COUNTIF($BA$1900:$EH$1900,"R")</f>
        <v>0</v>
      </c>
      <c r="AX2081" s="0" t="n">
        <f aca="false"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>0</v>
      </c>
      <c r="AY2081" s="0" t="n">
        <f aca="false">COUNTIF(DU2081:EH2081, "&lt;&gt;")</f>
        <v>5</v>
      </c>
      <c r="AZ2081" s="0" t="n">
        <f aca="false">IF(EH2081&lt;&gt;"",1,0)</f>
        <v>0</v>
      </c>
      <c r="BB2081" s="0" t="s">
        <v>153</v>
      </c>
      <c r="BD2081" s="0" t="s">
        <v>154</v>
      </c>
      <c r="CZ2081" s="0" t="s">
        <v>176</v>
      </c>
      <c r="DC2081" s="0" t="s">
        <v>154</v>
      </c>
      <c r="DI2081" s="0" t="s">
        <v>154</v>
      </c>
      <c r="DL2081" s="0" t="s">
        <v>154</v>
      </c>
      <c r="DM2081" s="0" t="s">
        <v>176</v>
      </c>
      <c r="DN2081" s="0" t="s">
        <v>154</v>
      </c>
      <c r="DS2081" s="0" t="s">
        <v>176</v>
      </c>
      <c r="DU2081" s="0" t="s">
        <v>154</v>
      </c>
      <c r="DX2081" s="0" t="s">
        <v>154</v>
      </c>
      <c r="EA2081" s="0" t="s">
        <v>154</v>
      </c>
      <c r="ED2081" s="0" t="s">
        <v>176</v>
      </c>
      <c r="EF2081" s="0" t="s">
        <v>154</v>
      </c>
    </row>
    <row r="2082" customFormat="false" ht="13.8" hidden="true" customHeight="false" outlineLevel="0" collapsed="false">
      <c r="A2082" s="0" t="s">
        <v>9187</v>
      </c>
      <c r="B2082" s="0" t="n">
        <v>78</v>
      </c>
      <c r="C2082" s="0" t="n">
        <v>319417</v>
      </c>
      <c r="D2082" s="0" t="s">
        <v>5916</v>
      </c>
      <c r="E2082" s="0" t="s">
        <v>771</v>
      </c>
      <c r="F2082" s="0" t="str">
        <f aca="false">CONCATENATE(D2082," ",LEFT(H2082,4),"T=",AU2082,"D=",AV2082,"R=",AW2082,"M=",AX2082,"L=",AY2082,"B=",AZ2082)</f>
        <v>ALLISON T=5D=0R=0M=0L=0B=0</v>
      </c>
      <c r="G2082" s="0" t="s">
        <v>172</v>
      </c>
      <c r="I2082" s="0" t="s">
        <v>9188</v>
      </c>
      <c r="J2082" s="0" t="s">
        <v>342</v>
      </c>
      <c r="K2082" s="0" t="s">
        <v>144</v>
      </c>
      <c r="L2082" s="0"/>
      <c r="M2082" s="0" t="s">
        <v>9179</v>
      </c>
      <c r="N2082" s="0" t="str">
        <f aca="false">RIGHT(M2082,LEN(M2082)-FIND(" ",M2082))</f>
        <v>PACKARD ST NW</v>
      </c>
      <c r="P2082" s="0" t="s">
        <v>146</v>
      </c>
      <c r="Q2082" s="0" t="s">
        <v>147</v>
      </c>
      <c r="R2082" s="0" t="n">
        <v>44483</v>
      </c>
      <c r="AD2082" s="0" t="s">
        <v>148</v>
      </c>
      <c r="AE2082" s="0" t="s">
        <v>149</v>
      </c>
      <c r="AF2082" s="0" t="s">
        <v>150</v>
      </c>
      <c r="AH2082" s="0" t="n">
        <v>14</v>
      </c>
      <c r="AI2082" s="0" t="n">
        <v>11</v>
      </c>
      <c r="AN2082" s="0" t="s">
        <v>146</v>
      </c>
      <c r="AO2082" s="0" t="s">
        <v>151</v>
      </c>
      <c r="AP2082" s="0" t="s">
        <v>152</v>
      </c>
      <c r="AQ2082" s="0" t="n">
        <v>9</v>
      </c>
      <c r="AR2082" s="0" t="n">
        <v>64</v>
      </c>
      <c r="AS2082" s="0" t="n">
        <v>32</v>
      </c>
      <c r="AU2082" s="0" t="n">
        <f aca="false">COUNTA($BA$2002:$EH$2002)</f>
        <v>5</v>
      </c>
      <c r="AV2082" s="0" t="n">
        <f aca="false">COUNTIF($BA$2002:$EH$2002,"D")</f>
        <v>0</v>
      </c>
      <c r="AW2082" s="0" t="n">
        <f aca="false">COUNTIF($BA$2002:$EH$2002,"R")</f>
        <v>0</v>
      </c>
      <c r="AX2082" s="0" t="n">
        <f aca="false"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>0</v>
      </c>
      <c r="AY2082" s="0" t="n">
        <f aca="false">COUNTIF(DU2082:EH2082, "&lt;&gt;")</f>
        <v>0</v>
      </c>
      <c r="AZ2082" s="0" t="n">
        <f aca="false">IF(EH2082&lt;&gt;"",1,0)</f>
        <v>0</v>
      </c>
      <c r="BB2082" s="0" t="s">
        <v>153</v>
      </c>
      <c r="BL2082" s="0" t="s">
        <v>154</v>
      </c>
      <c r="BP2082" s="0" t="s">
        <v>154</v>
      </c>
      <c r="BS2082" s="0" t="s">
        <v>154</v>
      </c>
      <c r="BY2082" s="0" t="s">
        <v>155</v>
      </c>
      <c r="CA2082" s="0" t="s">
        <v>154</v>
      </c>
      <c r="CK2082" s="0" t="s">
        <v>154</v>
      </c>
    </row>
    <row r="2083" customFormat="false" ht="13.8" hidden="true" customHeight="false" outlineLevel="0" collapsed="false">
      <c r="A2083" s="0" t="s">
        <v>9189</v>
      </c>
      <c r="B2083" s="0" t="n">
        <v>78</v>
      </c>
      <c r="C2083" s="0" t="n">
        <v>494531</v>
      </c>
      <c r="D2083" s="0" t="s">
        <v>1894</v>
      </c>
      <c r="E2083" s="0" t="s">
        <v>1619</v>
      </c>
      <c r="F2083" s="0" t="str">
        <f aca="false">CONCATENATE(D2083," ",LEFT(H2083,4),"T=",AU2083,"D=",AV2083,"R=",AW2083,"M=",AX2083,"L=",AY2083,"B=",AZ2083)</f>
        <v>EMERY T=2D=0R=0M=0L=0B=0</v>
      </c>
      <c r="G2083" s="0" t="s">
        <v>3942</v>
      </c>
      <c r="I2083" s="0" t="s">
        <v>9190</v>
      </c>
      <c r="J2083" s="0" t="s">
        <v>712</v>
      </c>
      <c r="K2083" s="0" t="s">
        <v>175</v>
      </c>
      <c r="L2083" s="0"/>
      <c r="M2083" s="0" t="s">
        <v>9191</v>
      </c>
      <c r="N2083" s="0" t="str">
        <f aca="false">RIGHT(M2083,LEN(M2083)-FIND(" ",M2083))</f>
        <v>PACKARD ST NW</v>
      </c>
      <c r="P2083" s="0" t="s">
        <v>146</v>
      </c>
      <c r="Q2083" s="0" t="s">
        <v>147</v>
      </c>
      <c r="R2083" s="0" t="n">
        <v>44483</v>
      </c>
      <c r="AD2083" s="0" t="s">
        <v>148</v>
      </c>
      <c r="AE2083" s="0" t="s">
        <v>149</v>
      </c>
      <c r="AF2083" s="0" t="s">
        <v>150</v>
      </c>
      <c r="AH2083" s="0" t="n">
        <v>14</v>
      </c>
      <c r="AI2083" s="0" t="n">
        <v>11</v>
      </c>
      <c r="AN2083" s="0" t="s">
        <v>146</v>
      </c>
      <c r="AO2083" s="0" t="s">
        <v>151</v>
      </c>
      <c r="AP2083" s="0" t="s">
        <v>152</v>
      </c>
      <c r="AQ2083" s="0" t="n">
        <v>9</v>
      </c>
      <c r="AR2083" s="0" t="n">
        <v>64</v>
      </c>
      <c r="AS2083" s="0" t="n">
        <v>32</v>
      </c>
      <c r="AU2083" s="0" t="n">
        <f aca="false">COUNTA($BA$1399:$EH$1399)</f>
        <v>2</v>
      </c>
      <c r="AV2083" s="0" t="n">
        <f aca="false">COUNTIF($BA$1399:$EH$1399,"D")</f>
        <v>0</v>
      </c>
      <c r="AW2083" s="0" t="n">
        <f aca="false">COUNTIF($BA$1399:$EH$1399,"R")</f>
        <v>0</v>
      </c>
      <c r="AX2083" s="0" t="n">
        <f aca="false"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>0</v>
      </c>
      <c r="AY2083" s="0" t="n">
        <f aca="false">COUNTIF(DU2083:EH2083, "&lt;&gt;")</f>
        <v>0</v>
      </c>
      <c r="AZ2083" s="0" t="n">
        <f aca="false">IF(EH2083&lt;&gt;"",1,0)</f>
        <v>0</v>
      </c>
      <c r="BB2083" s="0" t="s">
        <v>153</v>
      </c>
    </row>
    <row r="2084" customFormat="false" ht="13.8" hidden="true" customHeight="false" outlineLevel="0" collapsed="false">
      <c r="A2084" s="0" t="s">
        <v>9192</v>
      </c>
      <c r="B2084" s="0" t="n">
        <v>78</v>
      </c>
      <c r="C2084" s="0" t="n">
        <v>494164</v>
      </c>
      <c r="D2084" s="0" t="s">
        <v>9193</v>
      </c>
      <c r="E2084" s="0" t="s">
        <v>9194</v>
      </c>
      <c r="F2084" s="0" t="str">
        <f aca="false">CONCATENATE(D2084," ",LEFT(H2084,4),"T=",AU2084,"D=",AV2084,"R=",AW2084,"M=",AX2084,"L=",AY2084,"B=",AZ2084)</f>
        <v>BURKHOLDER T=4D=0R=0M=0L=0B=0</v>
      </c>
      <c r="G2084" s="0" t="s">
        <v>181</v>
      </c>
      <c r="I2084" s="0" t="s">
        <v>4708</v>
      </c>
      <c r="J2084" s="0" t="s">
        <v>3187</v>
      </c>
      <c r="K2084" s="0" t="s">
        <v>175</v>
      </c>
      <c r="L2084" s="0"/>
      <c r="M2084" s="0" t="s">
        <v>9191</v>
      </c>
      <c r="N2084" s="0" t="str">
        <f aca="false">RIGHT(M2084,LEN(M2084)-FIND(" ",M2084))</f>
        <v>PACKARD ST NW</v>
      </c>
      <c r="P2084" s="0" t="s">
        <v>146</v>
      </c>
      <c r="Q2084" s="0" t="s">
        <v>147</v>
      </c>
      <c r="R2084" s="0" t="n">
        <v>44483</v>
      </c>
      <c r="AD2084" s="0" t="s">
        <v>148</v>
      </c>
      <c r="AE2084" s="0" t="s">
        <v>149</v>
      </c>
      <c r="AF2084" s="0" t="s">
        <v>150</v>
      </c>
      <c r="AH2084" s="0" t="n">
        <v>14</v>
      </c>
      <c r="AI2084" s="0" t="n">
        <v>11</v>
      </c>
      <c r="AN2084" s="0" t="s">
        <v>146</v>
      </c>
      <c r="AO2084" s="0" t="s">
        <v>151</v>
      </c>
      <c r="AP2084" s="0" t="s">
        <v>152</v>
      </c>
      <c r="AQ2084" s="0" t="n">
        <v>9</v>
      </c>
      <c r="AR2084" s="0" t="n">
        <v>64</v>
      </c>
      <c r="AS2084" s="0" t="n">
        <v>32</v>
      </c>
      <c r="AU2084" s="0" t="n">
        <f aca="false">COUNTA($BA$1665:$EH$1665)</f>
        <v>4</v>
      </c>
      <c r="AV2084" s="0" t="n">
        <f aca="false">COUNTIF($BA$1665:$EH$1665,"D")</f>
        <v>0</v>
      </c>
      <c r="AW2084" s="0" t="n">
        <f aca="false">COUNTIF($BA$1665:$EH$1665,"R")</f>
        <v>0</v>
      </c>
      <c r="AX2084" s="0" t="n">
        <f aca="false"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>0</v>
      </c>
      <c r="AY2084" s="0" t="n">
        <f aca="false">COUNTIF(DU2084:EH2084, "&lt;&gt;")</f>
        <v>0</v>
      </c>
      <c r="AZ2084" s="0" t="n">
        <f aca="false">IF(EH2084&lt;&gt;"",1,0)</f>
        <v>0</v>
      </c>
      <c r="BB2084" s="0" t="s">
        <v>153</v>
      </c>
    </row>
    <row r="2085" customFormat="false" ht="13.8" hidden="true" customHeight="false" outlineLevel="0" collapsed="false">
      <c r="A2085" s="0" t="s">
        <v>9195</v>
      </c>
      <c r="B2085" s="0" t="n">
        <v>78</v>
      </c>
      <c r="C2085" s="0" t="n">
        <v>417966</v>
      </c>
      <c r="D2085" s="0" t="s">
        <v>9196</v>
      </c>
      <c r="E2085" s="0" t="s">
        <v>9197</v>
      </c>
      <c r="F2085" s="0" t="str">
        <f aca="false">CONCATENATE(D2085," ",LEFT(H2085,4),"T=",AU2085,"D=",AV2085,"R=",AW2085,"M=",AX2085,"L=",AY2085,"B=",AZ2085)</f>
        <v>MORA T=11D=0R=3M=0L=0B=0</v>
      </c>
      <c r="G2085" s="0" t="s">
        <v>9198</v>
      </c>
      <c r="I2085" s="0" t="s">
        <v>9199</v>
      </c>
      <c r="J2085" s="0" t="s">
        <v>9200</v>
      </c>
      <c r="K2085" s="0" t="s">
        <v>144</v>
      </c>
      <c r="L2085" s="0"/>
      <c r="M2085" s="0" t="s">
        <v>9191</v>
      </c>
      <c r="N2085" s="0" t="str">
        <f aca="false">RIGHT(M2085,LEN(M2085)-FIND(" ",M2085))</f>
        <v>PACKARD ST NW</v>
      </c>
      <c r="P2085" s="0" t="s">
        <v>146</v>
      </c>
      <c r="Q2085" s="0" t="s">
        <v>147</v>
      </c>
      <c r="R2085" s="0" t="n">
        <v>44483</v>
      </c>
      <c r="AD2085" s="0" t="s">
        <v>148</v>
      </c>
      <c r="AE2085" s="0" t="s">
        <v>149</v>
      </c>
      <c r="AF2085" s="0" t="s">
        <v>150</v>
      </c>
      <c r="AH2085" s="0" t="n">
        <v>14</v>
      </c>
      <c r="AI2085" s="0" t="n">
        <v>11</v>
      </c>
      <c r="AN2085" s="0" t="s">
        <v>146</v>
      </c>
      <c r="AO2085" s="0" t="s">
        <v>151</v>
      </c>
      <c r="AP2085" s="0" t="s">
        <v>152</v>
      </c>
      <c r="AQ2085" s="0" t="n">
        <v>9</v>
      </c>
      <c r="AR2085" s="0" t="n">
        <v>64</v>
      </c>
      <c r="AS2085" s="0" t="n">
        <v>32</v>
      </c>
      <c r="AU2085" s="0" t="n">
        <f aca="false">COUNTA($BA$1725:$EH$1725)</f>
        <v>11</v>
      </c>
      <c r="AV2085" s="0" t="n">
        <f aca="false">COUNTIF($BA$1725:$EH$1725,"D")</f>
        <v>0</v>
      </c>
      <c r="AW2085" s="0" t="n">
        <f aca="false">COUNTIF($BA$1725:$EH$1725,"R")</f>
        <v>3</v>
      </c>
      <c r="AX2085" s="0" t="n">
        <f aca="false"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>0</v>
      </c>
      <c r="AY2085" s="0" t="n">
        <f aca="false">COUNTIF(DU2085:EH2085, "&lt;&gt;")</f>
        <v>0</v>
      </c>
      <c r="AZ2085" s="0" t="n">
        <f aca="false">IF(EH2085&lt;&gt;"",1,0)</f>
        <v>0</v>
      </c>
      <c r="BB2085" s="0" t="s">
        <v>153</v>
      </c>
      <c r="DC2085" s="0" t="s">
        <v>154</v>
      </c>
    </row>
    <row r="2086" customFormat="false" ht="13.8" hidden="true" customHeight="false" outlineLevel="0" collapsed="false">
      <c r="A2086" s="0" t="s">
        <v>9201</v>
      </c>
      <c r="B2086" s="0" t="n">
        <v>78</v>
      </c>
      <c r="C2086" s="0" t="n">
        <v>365623</v>
      </c>
      <c r="D2086" s="0" t="s">
        <v>1038</v>
      </c>
      <c r="E2086" s="0" t="s">
        <v>958</v>
      </c>
      <c r="F2086" s="0" t="str">
        <f aca="false">CONCATENATE(D2086," ",LEFT(H2086,4),"T=",AU2086,"D=",AV2086,"R=",AW2086,"M=",AX2086,"L=",AY2086,"B=",AZ2086)</f>
        <v>BUTCHER T=9D=2R=0M=0L=0B=0</v>
      </c>
      <c r="G2086" s="0" t="s">
        <v>155</v>
      </c>
      <c r="I2086" s="0" t="s">
        <v>9202</v>
      </c>
      <c r="J2086" s="0" t="s">
        <v>712</v>
      </c>
      <c r="K2086" s="0" t="s">
        <v>175</v>
      </c>
      <c r="L2086" s="0"/>
      <c r="M2086" s="0" t="s">
        <v>9203</v>
      </c>
      <c r="N2086" s="0" t="str">
        <f aca="false">RIGHT(M2086,LEN(M2086)-FIND(" ",M2086))</f>
        <v>PACKARD ST NW</v>
      </c>
      <c r="P2086" s="0" t="s">
        <v>146</v>
      </c>
      <c r="Q2086" s="0" t="s">
        <v>147</v>
      </c>
      <c r="R2086" s="0" t="n">
        <v>44483</v>
      </c>
      <c r="AD2086" s="0" t="s">
        <v>148</v>
      </c>
      <c r="AE2086" s="0" t="s">
        <v>149</v>
      </c>
      <c r="AF2086" s="0" t="s">
        <v>150</v>
      </c>
      <c r="AH2086" s="0" t="n">
        <v>14</v>
      </c>
      <c r="AI2086" s="0" t="n">
        <v>11</v>
      </c>
      <c r="AN2086" s="0" t="s">
        <v>146</v>
      </c>
      <c r="AO2086" s="0" t="s">
        <v>151</v>
      </c>
      <c r="AP2086" s="0" t="s">
        <v>152</v>
      </c>
      <c r="AQ2086" s="0" t="n">
        <v>9</v>
      </c>
      <c r="AR2086" s="0" t="n">
        <v>64</v>
      </c>
      <c r="AS2086" s="0" t="n">
        <v>32</v>
      </c>
      <c r="AU2086" s="0" t="n">
        <f aca="false">COUNTA($BA$1562:$EH$1562)</f>
        <v>9</v>
      </c>
      <c r="AV2086" s="0" t="n">
        <f aca="false">COUNTIF($BA$1562:$EH$1562,"D")</f>
        <v>2</v>
      </c>
      <c r="AW2086" s="0" t="n">
        <f aca="false">COUNTIF($BA$1562:$EH$1562,"R")</f>
        <v>0</v>
      </c>
      <c r="AX2086" s="0" t="n">
        <f aca="false"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>0</v>
      </c>
      <c r="AY2086" s="0" t="n">
        <f aca="false">COUNTIF(DU2086:EH2086, "&lt;&gt;")</f>
        <v>0</v>
      </c>
      <c r="AZ2086" s="0" t="n">
        <f aca="false">IF(EH2086&lt;&gt;"",1,0)</f>
        <v>0</v>
      </c>
      <c r="BB2086" s="0" t="s">
        <v>153</v>
      </c>
      <c r="CA2086" s="0" t="s">
        <v>154</v>
      </c>
      <c r="CP2086" s="0" t="s">
        <v>154</v>
      </c>
      <c r="DC2086" s="0" t="s">
        <v>154</v>
      </c>
      <c r="DN2086" s="0" t="s">
        <v>154</v>
      </c>
    </row>
    <row r="2087" customFormat="false" ht="13.8" hidden="true" customHeight="false" outlineLevel="0" collapsed="false">
      <c r="A2087" s="0" t="s">
        <v>9204</v>
      </c>
      <c r="B2087" s="0" t="n">
        <v>78</v>
      </c>
      <c r="C2087" s="0" t="n">
        <v>38777</v>
      </c>
      <c r="D2087" s="0" t="s">
        <v>9205</v>
      </c>
      <c r="E2087" s="0" t="s">
        <v>2819</v>
      </c>
      <c r="F2087" s="0" t="str">
        <f aca="false">CONCATENATE(D2087," ",LEFT(H2087,4),"T=",AU2087,"D=",AV2087,"R=",AW2087,"M=",AX2087,"L=",AY2087,"B=",AZ2087)</f>
        <v>MCALEER T=17D=5R=0M=0L=1B=0</v>
      </c>
      <c r="G2087" s="0" t="s">
        <v>241</v>
      </c>
      <c r="I2087" s="0" t="s">
        <v>9206</v>
      </c>
      <c r="J2087" s="0" t="s">
        <v>9207</v>
      </c>
      <c r="K2087" s="0" t="s">
        <v>175</v>
      </c>
      <c r="L2087" s="0"/>
      <c r="M2087" s="0" t="s">
        <v>9208</v>
      </c>
      <c r="N2087" s="0" t="str">
        <f aca="false">RIGHT(M2087,LEN(M2087)-FIND(" ",M2087))</f>
        <v>PACKARD ST NW</v>
      </c>
      <c r="P2087" s="0" t="s">
        <v>146</v>
      </c>
      <c r="Q2087" s="0" t="s">
        <v>147</v>
      </c>
      <c r="R2087" s="0" t="n">
        <v>44483</v>
      </c>
      <c r="AD2087" s="0" t="s">
        <v>148</v>
      </c>
      <c r="AE2087" s="0" t="s">
        <v>149</v>
      </c>
      <c r="AF2087" s="0" t="s">
        <v>150</v>
      </c>
      <c r="AH2087" s="0" t="n">
        <v>14</v>
      </c>
      <c r="AI2087" s="0" t="n">
        <v>11</v>
      </c>
      <c r="AN2087" s="0" t="s">
        <v>146</v>
      </c>
      <c r="AO2087" s="0" t="s">
        <v>151</v>
      </c>
      <c r="AP2087" s="0" t="s">
        <v>152</v>
      </c>
      <c r="AQ2087" s="0" t="n">
        <v>9</v>
      </c>
      <c r="AR2087" s="0" t="n">
        <v>64</v>
      </c>
      <c r="AS2087" s="0" t="n">
        <v>32</v>
      </c>
      <c r="AU2087" s="0" t="n">
        <f aca="false">COUNTA($BA$1594:$EH$1594)</f>
        <v>17</v>
      </c>
      <c r="AV2087" s="0" t="n">
        <f aca="false">COUNTIF($BA$1594:$EH$1594,"D")</f>
        <v>5</v>
      </c>
      <c r="AW2087" s="0" t="n">
        <f aca="false">COUNTIF($BA$1594:$EH$1594,"R")</f>
        <v>0</v>
      </c>
      <c r="AX2087" s="0" t="n">
        <f aca="false"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>0</v>
      </c>
      <c r="AY2087" s="0" t="n">
        <f aca="false">COUNTIF(DU2087:EH2087, "&lt;&gt;")</f>
        <v>1</v>
      </c>
      <c r="AZ2087" s="0" t="n">
        <f aca="false">IF(EH2087&lt;&gt;"",1,0)</f>
        <v>0</v>
      </c>
      <c r="BB2087" s="0" t="s">
        <v>153</v>
      </c>
      <c r="BD2087" s="0" t="s">
        <v>154</v>
      </c>
      <c r="BH2087" s="0" t="s">
        <v>154</v>
      </c>
      <c r="BL2087" s="0" t="s">
        <v>154</v>
      </c>
      <c r="BS2087" s="0" t="s">
        <v>154</v>
      </c>
      <c r="BY2087" s="0" t="s">
        <v>155</v>
      </c>
      <c r="CA2087" s="0" t="s">
        <v>154</v>
      </c>
      <c r="CP2087" s="0" t="s">
        <v>154</v>
      </c>
      <c r="CY2087" s="0" t="s">
        <v>154</v>
      </c>
      <c r="CZ2087" s="0" t="s">
        <v>155</v>
      </c>
      <c r="DC2087" s="0" t="s">
        <v>154</v>
      </c>
      <c r="DI2087" s="0" t="s">
        <v>154</v>
      </c>
      <c r="DN2087" s="0" t="s">
        <v>154</v>
      </c>
      <c r="EF2087" s="0" t="s">
        <v>154</v>
      </c>
    </row>
    <row r="2088" customFormat="false" ht="13.8" hidden="false" customHeight="false" outlineLevel="0" collapsed="false">
      <c r="A2088" s="0" t="s">
        <v>9209</v>
      </c>
      <c r="B2088" s="0" t="n">
        <v>78</v>
      </c>
      <c r="C2088" s="0" t="n">
        <v>446011</v>
      </c>
      <c r="D2088" s="0" t="s">
        <v>9210</v>
      </c>
      <c r="E2088" s="0" t="s">
        <v>1263</v>
      </c>
      <c r="F2088" s="0" t="str">
        <f aca="false">CONCATENATE(D2088," ",LEFT(H2088,4),"T=",AU2088,"D=",AV2088,"R=",AW2088,"M=",AX2088,"L=",AY2088,"B=",AZ2088)</f>
        <v>ROHRBAUGH IIIT=1D=0R=0M=1L=3B=0</v>
      </c>
      <c r="G2088" s="0" t="s">
        <v>619</v>
      </c>
      <c r="H2088" s="0" t="s">
        <v>1175</v>
      </c>
      <c r="I2088" s="0" t="s">
        <v>9211</v>
      </c>
      <c r="J2088" s="0" t="s">
        <v>4464</v>
      </c>
      <c r="K2088" s="0" t="s">
        <v>175</v>
      </c>
      <c r="L2088" s="1" t="s">
        <v>155</v>
      </c>
      <c r="M2088" s="0" t="s">
        <v>9208</v>
      </c>
      <c r="N2088" s="0" t="str">
        <f aca="false">RIGHT(M2088,LEN(M2088)-FIND(" ",M2088))</f>
        <v>PACKARD ST NW</v>
      </c>
      <c r="P2088" s="0" t="s">
        <v>146</v>
      </c>
      <c r="Q2088" s="0" t="s">
        <v>147</v>
      </c>
      <c r="R2088" s="0" t="n">
        <v>44483</v>
      </c>
      <c r="AD2088" s="0" t="s">
        <v>148</v>
      </c>
      <c r="AE2088" s="0" t="s">
        <v>149</v>
      </c>
      <c r="AF2088" s="0" t="s">
        <v>150</v>
      </c>
      <c r="AH2088" s="0" t="n">
        <v>14</v>
      </c>
      <c r="AI2088" s="0" t="n">
        <v>11</v>
      </c>
      <c r="AN2088" s="0" t="s">
        <v>146</v>
      </c>
      <c r="AO2088" s="0" t="s">
        <v>151</v>
      </c>
      <c r="AP2088" s="0" t="s">
        <v>152</v>
      </c>
      <c r="AQ2088" s="0" t="n">
        <v>9</v>
      </c>
      <c r="AR2088" s="0" t="n">
        <v>64</v>
      </c>
      <c r="AS2088" s="0" t="n">
        <v>32</v>
      </c>
      <c r="AU2088" s="0" t="n">
        <f aca="false">COUNTA($BA$1754:$EH$1754)</f>
        <v>1</v>
      </c>
      <c r="AV2088" s="0" t="n">
        <f aca="false">COUNTIF($BA$1754:$EH$1754,"D")</f>
        <v>0</v>
      </c>
      <c r="AW2088" s="0" t="n">
        <f aca="false">COUNTIF($BA$1754:$EH$1754,"R")</f>
        <v>0</v>
      </c>
      <c r="AX2088" s="0" t="n">
        <f aca="false"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>1</v>
      </c>
      <c r="AY2088" s="0" t="n">
        <f aca="false">COUNTIF(DU2088:EH2088, "&lt;&gt;")</f>
        <v>3</v>
      </c>
      <c r="AZ2088" s="0" t="n">
        <f aca="false">IF(EH2088&lt;&gt;"",1,0)</f>
        <v>0</v>
      </c>
      <c r="BB2088" s="0" t="s">
        <v>153</v>
      </c>
      <c r="BD2088" s="0" t="s">
        <v>154</v>
      </c>
      <c r="BL2088" s="0" t="s">
        <v>154</v>
      </c>
      <c r="DC2088" s="0" t="s">
        <v>154</v>
      </c>
      <c r="DF2088" s="0" t="s">
        <v>154</v>
      </c>
      <c r="DN2088" s="0" t="s">
        <v>154</v>
      </c>
      <c r="DW2088" s="0" t="s">
        <v>155</v>
      </c>
      <c r="EA2088" s="0" t="s">
        <v>154</v>
      </c>
      <c r="EF2088" s="0" t="s">
        <v>154</v>
      </c>
    </row>
    <row r="2089" customFormat="false" ht="13.8" hidden="true" customHeight="false" outlineLevel="0" collapsed="false">
      <c r="A2089" s="0" t="s">
        <v>9212</v>
      </c>
      <c r="B2089" s="0" t="n">
        <v>78</v>
      </c>
      <c r="C2089" s="0" t="n">
        <v>231724</v>
      </c>
      <c r="D2089" s="0" t="s">
        <v>9205</v>
      </c>
      <c r="E2089" s="0" t="s">
        <v>9213</v>
      </c>
      <c r="F2089" s="0" t="str">
        <f aca="false">CONCATENATE(D2089," ",LEFT(H2089,4),"T=",AU2089,"D=",AV2089,"R=",AW2089,"M=",AX2089,"L=",AY2089,"B=",AZ2089)</f>
        <v>MCALEER T=1D=0R=0M=2L=0B=0</v>
      </c>
      <c r="G2089" s="0" t="s">
        <v>241</v>
      </c>
      <c r="I2089" s="0" t="s">
        <v>9214</v>
      </c>
      <c r="J2089" s="0" t="s">
        <v>9215</v>
      </c>
      <c r="K2089" s="0" t="s">
        <v>144</v>
      </c>
      <c r="L2089" s="0"/>
      <c r="M2089" s="0" t="s">
        <v>9208</v>
      </c>
      <c r="N2089" s="0" t="str">
        <f aca="false">RIGHT(M2089,LEN(M2089)-FIND(" ",M2089))</f>
        <v>PACKARD ST NW</v>
      </c>
      <c r="P2089" s="0" t="s">
        <v>146</v>
      </c>
      <c r="Q2089" s="0" t="s">
        <v>147</v>
      </c>
      <c r="R2089" s="0" t="n">
        <v>44483</v>
      </c>
      <c r="AD2089" s="0" t="s">
        <v>148</v>
      </c>
      <c r="AE2089" s="0" t="s">
        <v>149</v>
      </c>
      <c r="AF2089" s="0" t="s">
        <v>150</v>
      </c>
      <c r="AH2089" s="0" t="n">
        <v>14</v>
      </c>
      <c r="AI2089" s="0" t="n">
        <v>11</v>
      </c>
      <c r="AN2089" s="0" t="s">
        <v>146</v>
      </c>
      <c r="AO2089" s="0" t="s">
        <v>151</v>
      </c>
      <c r="AP2089" s="0" t="s">
        <v>152</v>
      </c>
      <c r="AQ2089" s="0" t="n">
        <v>9</v>
      </c>
      <c r="AR2089" s="0" t="n">
        <v>64</v>
      </c>
      <c r="AS2089" s="0" t="n">
        <v>32</v>
      </c>
      <c r="AU2089" s="0" t="n">
        <f aca="false">COUNTA($BA$2010:$EH$2010)</f>
        <v>1</v>
      </c>
      <c r="AV2089" s="0" t="n">
        <f aca="false">COUNTIF($BA$2010:$EH$2010,"D")</f>
        <v>0</v>
      </c>
      <c r="AW2089" s="0" t="n">
        <f aca="false">COUNTIF($BA$2010:$EH$2010,"R")</f>
        <v>0</v>
      </c>
      <c r="AX2089" s="0" t="n">
        <f aca="false"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>2</v>
      </c>
      <c r="AY2089" s="0" t="n">
        <f aca="false">COUNTIF(DU2089:EH2089, "&lt;&gt;")</f>
        <v>0</v>
      </c>
      <c r="AZ2089" s="0" t="n">
        <f aca="false">IF(EH2089&lt;&gt;"",1,0)</f>
        <v>0</v>
      </c>
      <c r="BB2089" s="0" t="s">
        <v>153</v>
      </c>
      <c r="BC2089" s="0" t="s">
        <v>154</v>
      </c>
      <c r="BD2089" s="0" t="s">
        <v>154</v>
      </c>
      <c r="BG2089" s="0" t="s">
        <v>154</v>
      </c>
      <c r="BH2089" s="0" t="s">
        <v>154</v>
      </c>
      <c r="BI2089" s="0" t="s">
        <v>154</v>
      </c>
      <c r="BJ2089" s="0" t="s">
        <v>154</v>
      </c>
      <c r="BL2089" s="0" t="s">
        <v>154</v>
      </c>
      <c r="BP2089" s="0" t="s">
        <v>154</v>
      </c>
      <c r="BS2089" s="0" t="s">
        <v>154</v>
      </c>
      <c r="BV2089" s="0" t="s">
        <v>154</v>
      </c>
      <c r="BY2089" s="0" t="s">
        <v>155</v>
      </c>
      <c r="CA2089" s="0" t="s">
        <v>154</v>
      </c>
      <c r="CH2089" s="0" t="s">
        <v>155</v>
      </c>
      <c r="CK2089" s="0" t="s">
        <v>154</v>
      </c>
      <c r="CL2089" s="0" t="s">
        <v>155</v>
      </c>
      <c r="CN2089" s="0" t="s">
        <v>154</v>
      </c>
      <c r="CP2089" s="0" t="s">
        <v>154</v>
      </c>
      <c r="CQ2089" s="0" t="s">
        <v>155</v>
      </c>
      <c r="CT2089" s="0" t="s">
        <v>154</v>
      </c>
      <c r="CV2089" s="0" t="s">
        <v>154</v>
      </c>
      <c r="CY2089" s="0" t="s">
        <v>154</v>
      </c>
      <c r="CZ2089" s="0" t="s">
        <v>155</v>
      </c>
      <c r="DC2089" s="0" t="s">
        <v>154</v>
      </c>
      <c r="DF2089" s="0" t="s">
        <v>154</v>
      </c>
      <c r="DI2089" s="0" t="s">
        <v>154</v>
      </c>
      <c r="DL2089" s="0" t="s">
        <v>154</v>
      </c>
      <c r="DN2089" s="0" t="s">
        <v>154</v>
      </c>
    </row>
    <row r="2090" customFormat="false" ht="13.8" hidden="true" customHeight="false" outlineLevel="0" collapsed="false">
      <c r="A2090" s="0" t="s">
        <v>9216</v>
      </c>
      <c r="B2090" s="0" t="n">
        <v>78</v>
      </c>
      <c r="C2090" s="0" t="n">
        <v>353252</v>
      </c>
      <c r="D2090" s="0" t="s">
        <v>9217</v>
      </c>
      <c r="E2090" s="0" t="s">
        <v>9218</v>
      </c>
      <c r="F2090" s="0" t="str">
        <f aca="false">CONCATENATE(D2090," ",LEFT(H2090,4),"T=",AU2090,"D=",AV2090,"R=",AW2090,"M=",AX2090,"L=",AY2090,"B=",AZ2090)</f>
        <v>NELMAN T=18D=2R=0M=1L=1B=0</v>
      </c>
      <c r="G2090" s="0" t="s">
        <v>241</v>
      </c>
      <c r="I2090" s="0" t="s">
        <v>9219</v>
      </c>
      <c r="J2090" s="0" t="s">
        <v>9220</v>
      </c>
      <c r="K2090" s="0" t="s">
        <v>175</v>
      </c>
      <c r="L2090" s="0"/>
      <c r="M2090" s="0" t="s">
        <v>9221</v>
      </c>
      <c r="N2090" s="0" t="str">
        <f aca="false">RIGHT(M2090,LEN(M2090)-FIND(" ",M2090))</f>
        <v>PACKARD ST NW</v>
      </c>
      <c r="P2090" s="0" t="s">
        <v>146</v>
      </c>
      <c r="Q2090" s="0" t="s">
        <v>147</v>
      </c>
      <c r="R2090" s="0" t="n">
        <v>44483</v>
      </c>
      <c r="AD2090" s="0" t="s">
        <v>148</v>
      </c>
      <c r="AE2090" s="0" t="s">
        <v>149</v>
      </c>
      <c r="AF2090" s="0" t="s">
        <v>150</v>
      </c>
      <c r="AH2090" s="0" t="n">
        <v>14</v>
      </c>
      <c r="AI2090" s="0" t="n">
        <v>11</v>
      </c>
      <c r="AN2090" s="0" t="s">
        <v>146</v>
      </c>
      <c r="AO2090" s="0" t="s">
        <v>151</v>
      </c>
      <c r="AP2090" s="0" t="s">
        <v>152</v>
      </c>
      <c r="AQ2090" s="0" t="n">
        <v>9</v>
      </c>
      <c r="AR2090" s="0" t="n">
        <v>64</v>
      </c>
      <c r="AS2090" s="0" t="n">
        <v>32</v>
      </c>
      <c r="AU2090" s="0" t="n">
        <f aca="false">COUNTA($BA$1424:$EH$1424)</f>
        <v>18</v>
      </c>
      <c r="AV2090" s="0" t="n">
        <f aca="false">COUNTIF($BA$1424:$EH$1424,"D")</f>
        <v>2</v>
      </c>
      <c r="AW2090" s="0" t="n">
        <f aca="false">COUNTIF($BA$1424:$EH$1424,"R")</f>
        <v>0</v>
      </c>
      <c r="AX2090" s="0" t="n">
        <f aca="false"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>1</v>
      </c>
      <c r="AY2090" s="0" t="n">
        <f aca="false">COUNTIF(DU2090:EH2090, "&lt;&gt;")</f>
        <v>1</v>
      </c>
      <c r="AZ2090" s="0" t="n">
        <f aca="false">IF(EH2090&lt;&gt;"",1,0)</f>
        <v>0</v>
      </c>
      <c r="BB2090" s="0" t="s">
        <v>153</v>
      </c>
      <c r="BY2090" s="0" t="s">
        <v>155</v>
      </c>
      <c r="CA2090" s="0" t="s">
        <v>154</v>
      </c>
      <c r="CP2090" s="0" t="s">
        <v>154</v>
      </c>
      <c r="CQ2090" s="0" t="s">
        <v>155</v>
      </c>
      <c r="CV2090" s="0" t="s">
        <v>154</v>
      </c>
      <c r="CZ2090" s="0" t="s">
        <v>155</v>
      </c>
      <c r="DC2090" s="0" t="s">
        <v>154</v>
      </c>
      <c r="DN2090" s="0" t="s">
        <v>154</v>
      </c>
      <c r="EF2090" s="0" t="s">
        <v>154</v>
      </c>
    </row>
    <row r="2091" customFormat="false" ht="13.8" hidden="true" customHeight="false" outlineLevel="0" collapsed="false">
      <c r="A2091" s="0" t="s">
        <v>9222</v>
      </c>
      <c r="B2091" s="0" t="n">
        <v>78</v>
      </c>
      <c r="C2091" s="0" t="n">
        <v>382814</v>
      </c>
      <c r="D2091" s="0" t="s">
        <v>1677</v>
      </c>
      <c r="E2091" s="0" t="s">
        <v>1288</v>
      </c>
      <c r="F2091" s="0" t="str">
        <f aca="false">CONCATENATE(D2091," ",LEFT(H2091,4),"T=",AU2091,"D=",AV2091,"R=",AW2091,"M=",AX2091,"L=",AY2091,"B=",AZ2091)</f>
        <v>HUDSON T=7D=2R=0M=1L=0B=0</v>
      </c>
      <c r="G2091" s="0" t="s">
        <v>3153</v>
      </c>
      <c r="I2091" s="0" t="s">
        <v>7475</v>
      </c>
      <c r="J2091" s="0" t="s">
        <v>395</v>
      </c>
      <c r="K2091" s="0" t="s">
        <v>144</v>
      </c>
      <c r="L2091" s="0"/>
      <c r="M2091" s="0" t="s">
        <v>9221</v>
      </c>
      <c r="N2091" s="0" t="str">
        <f aca="false">RIGHT(M2091,LEN(M2091)-FIND(" ",M2091))</f>
        <v>PACKARD ST NW</v>
      </c>
      <c r="P2091" s="0" t="s">
        <v>146</v>
      </c>
      <c r="Q2091" s="0" t="s">
        <v>147</v>
      </c>
      <c r="R2091" s="0" t="n">
        <v>44483</v>
      </c>
      <c r="AD2091" s="0" t="s">
        <v>148</v>
      </c>
      <c r="AE2091" s="0" t="s">
        <v>149</v>
      </c>
      <c r="AF2091" s="0" t="s">
        <v>150</v>
      </c>
      <c r="AH2091" s="0" t="n">
        <v>14</v>
      </c>
      <c r="AI2091" s="0" t="n">
        <v>11</v>
      </c>
      <c r="AN2091" s="0" t="s">
        <v>146</v>
      </c>
      <c r="AO2091" s="0" t="s">
        <v>151</v>
      </c>
      <c r="AP2091" s="0" t="s">
        <v>152</v>
      </c>
      <c r="AQ2091" s="0" t="n">
        <v>9</v>
      </c>
      <c r="AR2091" s="0" t="n">
        <v>64</v>
      </c>
      <c r="AS2091" s="0" t="n">
        <v>32</v>
      </c>
      <c r="AU2091" s="0" t="n">
        <f aca="false">COUNTA($BA$1676:$EH$1676)</f>
        <v>7</v>
      </c>
      <c r="AV2091" s="0" t="n">
        <f aca="false">COUNTIF($BA$1676:$EH$1676,"D")</f>
        <v>2</v>
      </c>
      <c r="AW2091" s="0" t="n">
        <f aca="false">COUNTIF($BA$1676:$EH$1676,"R")</f>
        <v>0</v>
      </c>
      <c r="AX2091" s="0" t="n">
        <f aca="false"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>1</v>
      </c>
      <c r="AY2091" s="0" t="n">
        <f aca="false">COUNTIF(DU2091:EH2091, "&lt;&gt;")</f>
        <v>0</v>
      </c>
      <c r="AZ2091" s="0" t="n">
        <f aca="false">IF(EH2091&lt;&gt;"",1,0)</f>
        <v>0</v>
      </c>
      <c r="BB2091" s="0" t="s">
        <v>153</v>
      </c>
      <c r="CA2091" s="0" t="s">
        <v>154</v>
      </c>
      <c r="CN2091" s="0" t="s">
        <v>154</v>
      </c>
      <c r="CP2091" s="0" t="s">
        <v>154</v>
      </c>
      <c r="CQ2091" s="0" t="s">
        <v>155</v>
      </c>
      <c r="DC2091" s="0" t="s">
        <v>154</v>
      </c>
      <c r="DN2091" s="0" t="s">
        <v>154</v>
      </c>
    </row>
    <row r="2092" customFormat="false" ht="13.8" hidden="true" customHeight="false" outlineLevel="0" collapsed="false">
      <c r="A2092" s="0" t="s">
        <v>9223</v>
      </c>
      <c r="B2092" s="0" t="n">
        <v>78</v>
      </c>
      <c r="C2092" s="0" t="n">
        <v>457409</v>
      </c>
      <c r="D2092" s="0" t="s">
        <v>9224</v>
      </c>
      <c r="E2092" s="0" t="s">
        <v>9225</v>
      </c>
      <c r="F2092" s="0" t="str">
        <f aca="false">CONCATENATE(D2092," ",LEFT(H2092,4),"T=",AU2092,"D=",AV2092,"R=",AW2092,"M=",AX2092,"L=",AY2092,"B=",AZ2092)</f>
        <v>CHARLTON T=3D=0R=0M=0L=0B=0</v>
      </c>
      <c r="G2092" s="0" t="s">
        <v>3309</v>
      </c>
      <c r="I2092" s="0" t="s">
        <v>9226</v>
      </c>
      <c r="J2092" s="0" t="s">
        <v>9227</v>
      </c>
      <c r="K2092" s="0" t="s">
        <v>144</v>
      </c>
      <c r="L2092" s="0"/>
      <c r="M2092" s="0" t="s">
        <v>9228</v>
      </c>
      <c r="N2092" s="0" t="str">
        <f aca="false">RIGHT(M2092,LEN(M2092)-FIND(" ",M2092))</f>
        <v>PACKARD ST NW</v>
      </c>
      <c r="P2092" s="0" t="s">
        <v>146</v>
      </c>
      <c r="Q2092" s="0" t="s">
        <v>147</v>
      </c>
      <c r="R2092" s="0" t="n">
        <v>44483</v>
      </c>
      <c r="AD2092" s="0" t="s">
        <v>148</v>
      </c>
      <c r="AE2092" s="0" t="s">
        <v>149</v>
      </c>
      <c r="AF2092" s="0" t="s">
        <v>150</v>
      </c>
      <c r="AH2092" s="0" t="n">
        <v>14</v>
      </c>
      <c r="AI2092" s="0" t="n">
        <v>11</v>
      </c>
      <c r="AN2092" s="0" t="s">
        <v>146</v>
      </c>
      <c r="AO2092" s="0" t="s">
        <v>151</v>
      </c>
      <c r="AP2092" s="0" t="s">
        <v>152</v>
      </c>
      <c r="AQ2092" s="0" t="n">
        <v>9</v>
      </c>
      <c r="AR2092" s="0" t="n">
        <v>64</v>
      </c>
      <c r="AS2092" s="0" t="n">
        <v>32</v>
      </c>
      <c r="AU2092" s="0" t="n">
        <f aca="false">COUNTA($BA$1129:$EH$1129)</f>
        <v>3</v>
      </c>
      <c r="AV2092" s="0" t="n">
        <f aca="false">COUNTIF($BA$1129:$EH$1129,"D")</f>
        <v>0</v>
      </c>
      <c r="AW2092" s="0" t="n">
        <f aca="false">COUNTIF($BA$1129:$EH$1129,"R")</f>
        <v>0</v>
      </c>
      <c r="AX2092" s="0" t="n">
        <f aca="false"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>0</v>
      </c>
      <c r="AY2092" s="0" t="n">
        <f aca="false">COUNTIF(DU2092:EH2092, "&lt;&gt;")</f>
        <v>0</v>
      </c>
      <c r="AZ2092" s="0" t="n">
        <f aca="false">IF(EH2092&lt;&gt;"",1,0)</f>
        <v>0</v>
      </c>
      <c r="BB2092" s="0" t="s">
        <v>153</v>
      </c>
    </row>
    <row r="2093" customFormat="false" ht="13.8" hidden="false" customHeight="false" outlineLevel="0" collapsed="false">
      <c r="A2093" s="0" t="s">
        <v>9229</v>
      </c>
      <c r="B2093" s="0" t="n">
        <v>78</v>
      </c>
      <c r="C2093" s="0" t="n">
        <v>258394</v>
      </c>
      <c r="D2093" s="0" t="s">
        <v>6277</v>
      </c>
      <c r="E2093" s="0" t="s">
        <v>9230</v>
      </c>
      <c r="F2093" s="0" t="str">
        <f aca="false">CONCATENATE(D2093," ",LEFT(H2093,4),"T=",AU2093,"D=",AV2093,"R=",AW2093,"M=",AX2093,"L=",AY2093,"B=",AZ2093)</f>
        <v>CUNNINGHAM T=4D=0R=0M=2L=4B=1</v>
      </c>
      <c r="I2093" s="0" t="s">
        <v>9231</v>
      </c>
      <c r="J2093" s="0" t="s">
        <v>9232</v>
      </c>
      <c r="K2093" s="0" t="s">
        <v>175</v>
      </c>
      <c r="L2093" s="1" t="s">
        <v>155</v>
      </c>
      <c r="M2093" s="0" t="s">
        <v>9233</v>
      </c>
      <c r="N2093" s="0" t="str">
        <f aca="false">RIGHT(M2093,LEN(M2093)-FIND(" ",M2093))</f>
        <v>PACKARD ST NW</v>
      </c>
      <c r="P2093" s="0" t="s">
        <v>146</v>
      </c>
      <c r="Q2093" s="0" t="s">
        <v>147</v>
      </c>
      <c r="R2093" s="0" t="n">
        <v>44483</v>
      </c>
      <c r="AD2093" s="0" t="s">
        <v>148</v>
      </c>
      <c r="AE2093" s="0" t="s">
        <v>149</v>
      </c>
      <c r="AF2093" s="0" t="s">
        <v>150</v>
      </c>
      <c r="AH2093" s="0" t="n">
        <v>14</v>
      </c>
      <c r="AI2093" s="0" t="n">
        <v>11</v>
      </c>
      <c r="AN2093" s="0" t="s">
        <v>146</v>
      </c>
      <c r="AO2093" s="0" t="s">
        <v>151</v>
      </c>
      <c r="AP2093" s="0" t="s">
        <v>152</v>
      </c>
      <c r="AQ2093" s="0" t="n">
        <v>9</v>
      </c>
      <c r="AR2093" s="0" t="n">
        <v>64</v>
      </c>
      <c r="AS2093" s="0" t="n">
        <v>32</v>
      </c>
      <c r="AU2093" s="0" t="n">
        <f aca="false">COUNTA($BA$1796:$EH$1796)</f>
        <v>4</v>
      </c>
      <c r="AV2093" s="0" t="n">
        <f aca="false">COUNTIF($BA$1796:$EH$1796,"D")</f>
        <v>0</v>
      </c>
      <c r="AW2093" s="0" t="n">
        <f aca="false">COUNTIF($BA$1796:$EH$1796,"R")</f>
        <v>0</v>
      </c>
      <c r="AX2093" s="0" t="n">
        <f aca="false"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>2</v>
      </c>
      <c r="AY2093" s="0" t="n">
        <f aca="false">COUNTIF(DU2093:EH2093, "&lt;&gt;")</f>
        <v>4</v>
      </c>
      <c r="AZ2093" s="0" t="n">
        <f aca="false">IF(EH2093&lt;&gt;"",1,0)</f>
        <v>1</v>
      </c>
      <c r="BB2093" s="0" t="s">
        <v>153</v>
      </c>
      <c r="BD2093" s="0" t="s">
        <v>154</v>
      </c>
      <c r="BF2093" s="0" t="s">
        <v>154</v>
      </c>
      <c r="BH2093" s="0" t="s">
        <v>154</v>
      </c>
      <c r="BJ2093" s="0" t="s">
        <v>154</v>
      </c>
      <c r="BL2093" s="0" t="s">
        <v>154</v>
      </c>
      <c r="BS2093" s="0" t="s">
        <v>154</v>
      </c>
      <c r="CA2093" s="0" t="s">
        <v>154</v>
      </c>
      <c r="CL2093" s="0" t="s">
        <v>155</v>
      </c>
      <c r="CO2093" s="0" t="s">
        <v>155</v>
      </c>
      <c r="CP2093" s="0" t="s">
        <v>154</v>
      </c>
      <c r="CV2093" s="0" t="s">
        <v>154</v>
      </c>
      <c r="CY2093" s="0" t="s">
        <v>154</v>
      </c>
      <c r="CZ2093" s="0" t="s">
        <v>155</v>
      </c>
      <c r="DC2093" s="0" t="s">
        <v>154</v>
      </c>
      <c r="DI2093" s="0" t="s">
        <v>154</v>
      </c>
      <c r="DL2093" s="0" t="s">
        <v>154</v>
      </c>
      <c r="DN2093" s="0" t="s">
        <v>154</v>
      </c>
      <c r="DU2093" s="0" t="s">
        <v>154</v>
      </c>
      <c r="EA2093" s="0" t="s">
        <v>154</v>
      </c>
      <c r="EF2093" s="0" t="s">
        <v>154</v>
      </c>
      <c r="EH2093" s="0" t="s">
        <v>155</v>
      </c>
    </row>
    <row r="2094" customFormat="false" ht="13.8" hidden="true" customHeight="false" outlineLevel="0" collapsed="false">
      <c r="A2094" s="0" t="s">
        <v>9234</v>
      </c>
      <c r="B2094" s="0" t="n">
        <v>78</v>
      </c>
      <c r="C2094" s="0" t="n">
        <v>399326</v>
      </c>
      <c r="D2094" s="0" t="s">
        <v>1038</v>
      </c>
      <c r="E2094" s="0" t="s">
        <v>9235</v>
      </c>
      <c r="F2094" s="0" t="str">
        <f aca="false">CONCATENATE(D2094," ",LEFT(H2094,4),"T=",AU2094,"D=",AV2094,"R=",AW2094,"M=",AX2094,"L=",AY2094,"B=",AZ2094)</f>
        <v>BUTCHER T=2D=0R=0M=0L=0B=0</v>
      </c>
      <c r="G2094" s="0" t="s">
        <v>690</v>
      </c>
      <c r="I2094" s="0" t="s">
        <v>9236</v>
      </c>
      <c r="J2094" s="0" t="s">
        <v>2174</v>
      </c>
      <c r="K2094" s="0" t="s">
        <v>175</v>
      </c>
      <c r="L2094" s="0"/>
      <c r="M2094" s="0" t="s">
        <v>9237</v>
      </c>
      <c r="N2094" s="0" t="str">
        <f aca="false">RIGHT(M2094,LEN(M2094)-FIND(" ",M2094))</f>
        <v>PACKARD ST NW</v>
      </c>
      <c r="P2094" s="0" t="s">
        <v>146</v>
      </c>
      <c r="Q2094" s="0" t="s">
        <v>147</v>
      </c>
      <c r="R2094" s="0" t="n">
        <v>44483</v>
      </c>
      <c r="AD2094" s="0" t="s">
        <v>148</v>
      </c>
      <c r="AE2094" s="0" t="s">
        <v>149</v>
      </c>
      <c r="AF2094" s="0" t="s">
        <v>150</v>
      </c>
      <c r="AH2094" s="0" t="n">
        <v>14</v>
      </c>
      <c r="AI2094" s="0" t="n">
        <v>11</v>
      </c>
      <c r="AN2094" s="0" t="s">
        <v>146</v>
      </c>
      <c r="AO2094" s="0" t="s">
        <v>151</v>
      </c>
      <c r="AP2094" s="0" t="s">
        <v>152</v>
      </c>
      <c r="AQ2094" s="0" t="n">
        <v>9</v>
      </c>
      <c r="AR2094" s="0" t="n">
        <v>64</v>
      </c>
      <c r="AS2094" s="0" t="n">
        <v>32</v>
      </c>
      <c r="AU2094" s="0" t="n">
        <f aca="false">COUNTA($BA$1521:$EH$1521)</f>
        <v>2</v>
      </c>
      <c r="AV2094" s="0" t="n">
        <f aca="false">COUNTIF($BA$1521:$EH$1521,"D")</f>
        <v>0</v>
      </c>
      <c r="AW2094" s="0" t="n">
        <f aca="false">COUNTIF($BA$1521:$EH$1521,"R")</f>
        <v>0</v>
      </c>
      <c r="AX2094" s="0" t="n">
        <f aca="false"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>0</v>
      </c>
      <c r="AY2094" s="0" t="n">
        <f aca="false">COUNTIF(DU2094:EH2094, "&lt;&gt;")</f>
        <v>0</v>
      </c>
      <c r="AZ2094" s="0" t="n">
        <f aca="false">IF(EH2094&lt;&gt;"",1,0)</f>
        <v>0</v>
      </c>
      <c r="BB2094" s="0" t="s">
        <v>153</v>
      </c>
      <c r="BL2094" s="0" t="s">
        <v>154</v>
      </c>
    </row>
    <row r="2095" customFormat="false" ht="13.8" hidden="true" customHeight="false" outlineLevel="0" collapsed="false">
      <c r="A2095" s="0" t="s">
        <v>9238</v>
      </c>
      <c r="B2095" s="0" t="n">
        <v>78</v>
      </c>
      <c r="C2095" s="0" t="n">
        <v>412131</v>
      </c>
      <c r="D2095" s="0" t="s">
        <v>4932</v>
      </c>
      <c r="E2095" s="0" t="s">
        <v>9239</v>
      </c>
      <c r="F2095" s="0" t="str">
        <f aca="false">CONCATENATE(D2095," ",LEFT(H2095,4),"T=",AU2095,"D=",AV2095,"R=",AW2095,"M=",AX2095,"L=",AY2095,"B=",AZ2095)</f>
        <v>BROOKS T=4D=0R=0M=0L=0B=0</v>
      </c>
      <c r="G2095" s="0" t="s">
        <v>159</v>
      </c>
      <c r="I2095" s="0" t="s">
        <v>4314</v>
      </c>
      <c r="J2095" s="0" t="s">
        <v>757</v>
      </c>
      <c r="K2095" s="0" t="s">
        <v>144</v>
      </c>
      <c r="L2095" s="0"/>
      <c r="M2095" s="0" t="s">
        <v>9240</v>
      </c>
      <c r="N2095" s="0" t="str">
        <f aca="false">RIGHT(M2095,LEN(M2095)-FIND(" ",M2095))</f>
        <v>PACKARD ST NW</v>
      </c>
      <c r="P2095" s="0" t="s">
        <v>146</v>
      </c>
      <c r="Q2095" s="0" t="s">
        <v>147</v>
      </c>
      <c r="R2095" s="0" t="n">
        <v>44483</v>
      </c>
      <c r="AD2095" s="0" t="s">
        <v>148</v>
      </c>
      <c r="AE2095" s="0" t="s">
        <v>149</v>
      </c>
      <c r="AF2095" s="0" t="s">
        <v>150</v>
      </c>
      <c r="AH2095" s="0" t="n">
        <v>14</v>
      </c>
      <c r="AI2095" s="0" t="n">
        <v>11</v>
      </c>
      <c r="AN2095" s="0" t="s">
        <v>146</v>
      </c>
      <c r="AO2095" s="0" t="s">
        <v>151</v>
      </c>
      <c r="AP2095" s="0" t="s">
        <v>152</v>
      </c>
      <c r="AQ2095" s="0" t="n">
        <v>9</v>
      </c>
      <c r="AR2095" s="0" t="n">
        <v>64</v>
      </c>
      <c r="AS2095" s="0" t="n">
        <v>32</v>
      </c>
      <c r="AU2095" s="0" t="n">
        <f aca="false">COUNTA($BA$1589:$EH$1589)</f>
        <v>4</v>
      </c>
      <c r="AV2095" s="0" t="n">
        <f aca="false">COUNTIF($BA$1589:$EH$1589,"D")</f>
        <v>0</v>
      </c>
      <c r="AW2095" s="0" t="n">
        <f aca="false">COUNTIF($BA$1589:$EH$1589,"R")</f>
        <v>0</v>
      </c>
      <c r="AX2095" s="0" t="n">
        <f aca="false"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>0</v>
      </c>
      <c r="AY2095" s="0" t="n">
        <f aca="false">COUNTIF(DU2095:EH2095, "&lt;&gt;")</f>
        <v>0</v>
      </c>
      <c r="AZ2095" s="0" t="n">
        <f aca="false">IF(EH2095&lt;&gt;"",1,0)</f>
        <v>0</v>
      </c>
      <c r="BB2095" s="0" t="s">
        <v>153</v>
      </c>
      <c r="BY2095" s="0" t="s">
        <v>155</v>
      </c>
      <c r="CA2095" s="0" t="s">
        <v>154</v>
      </c>
      <c r="CP2095" s="0" t="s">
        <v>154</v>
      </c>
      <c r="CZ2095" s="0" t="s">
        <v>155</v>
      </c>
      <c r="DI2095" s="0" t="s">
        <v>154</v>
      </c>
    </row>
    <row r="2096" customFormat="false" ht="13.8" hidden="true" customHeight="false" outlineLevel="0" collapsed="false">
      <c r="A2096" s="0" t="s">
        <v>9241</v>
      </c>
      <c r="B2096" s="0" t="n">
        <v>78</v>
      </c>
      <c r="C2096" s="0" t="n">
        <v>283659</v>
      </c>
      <c r="D2096" s="0" t="s">
        <v>9242</v>
      </c>
      <c r="E2096" s="0" t="s">
        <v>9243</v>
      </c>
      <c r="F2096" s="0" t="str">
        <f aca="false">CONCATENATE(D2096," ",LEFT(H2096,4),"T=",AU2096,"D=",AV2096,"R=",AW2096,"M=",AX2096,"L=",AY2096,"B=",AZ2096)</f>
        <v>LOVETT T=11D=0R=0M=0L=1B=0</v>
      </c>
      <c r="G2096" s="0" t="s">
        <v>188</v>
      </c>
      <c r="I2096" s="0" t="s">
        <v>9244</v>
      </c>
      <c r="J2096" s="0" t="s">
        <v>712</v>
      </c>
      <c r="K2096" s="0" t="s">
        <v>175</v>
      </c>
      <c r="L2096" s="0"/>
      <c r="M2096" s="0" t="s">
        <v>9245</v>
      </c>
      <c r="N2096" s="0" t="str">
        <f aca="false">RIGHT(M2096,LEN(M2096)-FIND(" ",M2096))</f>
        <v>PACKARD ST NW</v>
      </c>
      <c r="P2096" s="0" t="s">
        <v>146</v>
      </c>
      <c r="Q2096" s="0" t="s">
        <v>147</v>
      </c>
      <c r="R2096" s="0" t="n">
        <v>44483</v>
      </c>
      <c r="AD2096" s="0" t="s">
        <v>148</v>
      </c>
      <c r="AE2096" s="0" t="s">
        <v>149</v>
      </c>
      <c r="AF2096" s="0" t="s">
        <v>150</v>
      </c>
      <c r="AH2096" s="0" t="n">
        <v>14</v>
      </c>
      <c r="AI2096" s="0" t="n">
        <v>11</v>
      </c>
      <c r="AN2096" s="0" t="s">
        <v>146</v>
      </c>
      <c r="AO2096" s="0" t="s">
        <v>151</v>
      </c>
      <c r="AP2096" s="0" t="s">
        <v>152</v>
      </c>
      <c r="AQ2096" s="0" t="n">
        <v>9</v>
      </c>
      <c r="AR2096" s="0" t="n">
        <v>64</v>
      </c>
      <c r="AS2096" s="0" t="n">
        <v>32</v>
      </c>
      <c r="AU2096" s="0" t="n">
        <f aca="false">COUNTA($BA$1591:$EH$1591)</f>
        <v>11</v>
      </c>
      <c r="AV2096" s="0" t="n">
        <f aca="false">COUNTIF($BA$1591:$EH$1591,"D")</f>
        <v>0</v>
      </c>
      <c r="AW2096" s="0" t="n">
        <f aca="false">COUNTIF($BA$1591:$EH$1591,"R")</f>
        <v>0</v>
      </c>
      <c r="AX2096" s="0" t="n">
        <f aca="false"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>0</v>
      </c>
      <c r="AY2096" s="0" t="n">
        <f aca="false">COUNTIF(DU2096:EH2096, "&lt;&gt;")</f>
        <v>1</v>
      </c>
      <c r="AZ2096" s="0" t="n">
        <f aca="false">IF(EH2096&lt;&gt;"",1,0)</f>
        <v>0</v>
      </c>
      <c r="BB2096" s="0" t="s">
        <v>153</v>
      </c>
      <c r="BP2096" s="0" t="s">
        <v>154</v>
      </c>
      <c r="BS2096" s="0" t="s">
        <v>154</v>
      </c>
      <c r="BY2096" s="0" t="s">
        <v>155</v>
      </c>
      <c r="CA2096" s="0" t="s">
        <v>154</v>
      </c>
      <c r="CK2096" s="0" t="s">
        <v>154</v>
      </c>
      <c r="CN2096" s="0" t="s">
        <v>154</v>
      </c>
      <c r="CP2096" s="0" t="s">
        <v>154</v>
      </c>
      <c r="DI2096" s="0" t="s">
        <v>154</v>
      </c>
      <c r="DM2096" s="0" t="s">
        <v>176</v>
      </c>
      <c r="DN2096" s="0" t="s">
        <v>154</v>
      </c>
      <c r="EF2096" s="0" t="s">
        <v>154</v>
      </c>
    </row>
    <row r="2097" customFormat="false" ht="13.8" hidden="true" customHeight="false" outlineLevel="0" collapsed="false">
      <c r="A2097" s="0" t="s">
        <v>9246</v>
      </c>
      <c r="B2097" s="0" t="n">
        <v>78</v>
      </c>
      <c r="C2097" s="0" t="n">
        <v>454144</v>
      </c>
      <c r="D2097" s="0" t="s">
        <v>2625</v>
      </c>
      <c r="E2097" s="0" t="s">
        <v>694</v>
      </c>
      <c r="F2097" s="0" t="str">
        <f aca="false">CONCATENATE(D2097," ",LEFT(H2097,4),"T=",AU2097,"D=",AV2097,"R=",AW2097,"M=",AX2097,"L=",AY2097,"B=",AZ2097)</f>
        <v>SHIAMONE T=2D=0R=0M=0L=0B=0</v>
      </c>
      <c r="G2097" s="0" t="s">
        <v>172</v>
      </c>
      <c r="I2097" s="0" t="s">
        <v>9247</v>
      </c>
      <c r="J2097" s="0" t="s">
        <v>1764</v>
      </c>
      <c r="K2097" s="0" t="s">
        <v>175</v>
      </c>
      <c r="L2097" s="0"/>
      <c r="M2097" s="0" t="s">
        <v>9248</v>
      </c>
      <c r="N2097" s="0" t="str">
        <f aca="false">RIGHT(M2097,LEN(M2097)-FIND(" ",M2097))</f>
        <v>PACKARD ST NW</v>
      </c>
      <c r="P2097" s="0" t="s">
        <v>146</v>
      </c>
      <c r="Q2097" s="0" t="s">
        <v>147</v>
      </c>
      <c r="R2097" s="0" t="n">
        <v>44483</v>
      </c>
      <c r="AD2097" s="0" t="s">
        <v>148</v>
      </c>
      <c r="AE2097" s="0" t="s">
        <v>149</v>
      </c>
      <c r="AF2097" s="0" t="s">
        <v>150</v>
      </c>
      <c r="AH2097" s="0" t="n">
        <v>14</v>
      </c>
      <c r="AI2097" s="0" t="n">
        <v>11</v>
      </c>
      <c r="AN2097" s="0" t="s">
        <v>146</v>
      </c>
      <c r="AO2097" s="0" t="s">
        <v>151</v>
      </c>
      <c r="AP2097" s="0" t="s">
        <v>152</v>
      </c>
      <c r="AQ2097" s="0" t="n">
        <v>9</v>
      </c>
      <c r="AR2097" s="0" t="n">
        <v>64</v>
      </c>
      <c r="AS2097" s="0" t="n">
        <v>32</v>
      </c>
      <c r="AU2097" s="0" t="n">
        <f aca="false">COUNTA($BA$1526:$EH$1526)</f>
        <v>2</v>
      </c>
      <c r="AV2097" s="0" t="n">
        <f aca="false">COUNTIF($BA$1526:$EH$1526,"D")</f>
        <v>0</v>
      </c>
      <c r="AW2097" s="0" t="n">
        <f aca="false">COUNTIF($BA$1526:$EH$1526,"R")</f>
        <v>0</v>
      </c>
      <c r="AX2097" s="0" t="n">
        <f aca="false"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>0</v>
      </c>
      <c r="AY2097" s="0" t="n">
        <f aca="false">COUNTIF(DU2097:EH2097, "&lt;&gt;")</f>
        <v>0</v>
      </c>
      <c r="AZ2097" s="0" t="n">
        <f aca="false">IF(EH2097&lt;&gt;"",1,0)</f>
        <v>0</v>
      </c>
      <c r="BB2097" s="0" t="s">
        <v>153</v>
      </c>
      <c r="DN2097" s="0" t="s">
        <v>154</v>
      </c>
    </row>
    <row r="2098" customFormat="false" ht="13.8" hidden="true" customHeight="false" outlineLevel="0" collapsed="false">
      <c r="A2098" s="0" t="s">
        <v>9249</v>
      </c>
      <c r="B2098" s="0" t="n">
        <v>78</v>
      </c>
      <c r="C2098" s="0" t="n">
        <v>318064</v>
      </c>
      <c r="D2098" s="0" t="s">
        <v>2625</v>
      </c>
      <c r="E2098" s="0" t="s">
        <v>4449</v>
      </c>
      <c r="F2098" s="0" t="str">
        <f aca="false">CONCATENATE(D2098," ",LEFT(H2098,4),"T=",AU2098,"D=",AV2098,"R=",AW2098,"M=",AX2098,"L=",AY2098,"B=",AZ2098)</f>
        <v>SHIAMONE T=3D=1R=0M=0L=1B=0</v>
      </c>
      <c r="G2098" s="0" t="s">
        <v>241</v>
      </c>
      <c r="I2098" s="0" t="s">
        <v>9250</v>
      </c>
      <c r="J2098" s="0" t="s">
        <v>4529</v>
      </c>
      <c r="K2098" s="0" t="s">
        <v>175</v>
      </c>
      <c r="L2098" s="0"/>
      <c r="M2098" s="0" t="s">
        <v>9248</v>
      </c>
      <c r="N2098" s="0" t="str">
        <f aca="false">RIGHT(M2098,LEN(M2098)-FIND(" ",M2098))</f>
        <v>PACKARD ST NW</v>
      </c>
      <c r="P2098" s="0" t="s">
        <v>146</v>
      </c>
      <c r="Q2098" s="0" t="s">
        <v>147</v>
      </c>
      <c r="R2098" s="0" t="n">
        <v>44483</v>
      </c>
      <c r="AD2098" s="0" t="s">
        <v>148</v>
      </c>
      <c r="AE2098" s="0" t="s">
        <v>149</v>
      </c>
      <c r="AF2098" s="0" t="s">
        <v>150</v>
      </c>
      <c r="AH2098" s="0" t="n">
        <v>14</v>
      </c>
      <c r="AI2098" s="0" t="n">
        <v>11</v>
      </c>
      <c r="AN2098" s="0" t="s">
        <v>146</v>
      </c>
      <c r="AO2098" s="0" t="s">
        <v>151</v>
      </c>
      <c r="AP2098" s="0" t="s">
        <v>152</v>
      </c>
      <c r="AQ2098" s="0" t="n">
        <v>9</v>
      </c>
      <c r="AR2098" s="0" t="n">
        <v>64</v>
      </c>
      <c r="AS2098" s="0" t="n">
        <v>32</v>
      </c>
      <c r="AU2098" s="0" t="n">
        <f aca="false">COUNTA($BA$1588:$EH$1588)</f>
        <v>3</v>
      </c>
      <c r="AV2098" s="0" t="n">
        <f aca="false">COUNTIF($BA$1588:$EH$1588,"D")</f>
        <v>1</v>
      </c>
      <c r="AW2098" s="0" t="n">
        <f aca="false">COUNTIF($BA$1588:$EH$1588,"R")</f>
        <v>0</v>
      </c>
      <c r="AX2098" s="0" t="n">
        <f aca="false"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>0</v>
      </c>
      <c r="AY2098" s="0" t="n">
        <f aca="false">COUNTIF(DU2098:EH2098, "&lt;&gt;")</f>
        <v>1</v>
      </c>
      <c r="AZ2098" s="0" t="n">
        <f aca="false">IF(EH2098&lt;&gt;"",1,0)</f>
        <v>0</v>
      </c>
      <c r="BB2098" s="0" t="s">
        <v>153</v>
      </c>
      <c r="BL2098" s="0" t="s">
        <v>154</v>
      </c>
      <c r="BP2098" s="0" t="s">
        <v>154</v>
      </c>
      <c r="BS2098" s="0" t="s">
        <v>154</v>
      </c>
      <c r="BY2098" s="0" t="s">
        <v>155</v>
      </c>
      <c r="CA2098" s="0" t="s">
        <v>154</v>
      </c>
      <c r="CK2098" s="0" t="s">
        <v>154</v>
      </c>
      <c r="CN2098" s="0" t="s">
        <v>154</v>
      </c>
      <c r="CP2098" s="0" t="s">
        <v>154</v>
      </c>
      <c r="CU2098" s="0" t="s">
        <v>154</v>
      </c>
      <c r="CV2098" s="0" t="s">
        <v>154</v>
      </c>
      <c r="CZ2098" s="0" t="s">
        <v>155</v>
      </c>
      <c r="DC2098" s="0" t="s">
        <v>154</v>
      </c>
      <c r="DN2098" s="0" t="s">
        <v>154</v>
      </c>
      <c r="EF2098" s="0" t="s">
        <v>154</v>
      </c>
    </row>
    <row r="2099" customFormat="false" ht="13.8" hidden="true" customHeight="false" outlineLevel="0" collapsed="false">
      <c r="A2099" s="0" t="s">
        <v>9251</v>
      </c>
      <c r="B2099" s="0" t="n">
        <v>78</v>
      </c>
      <c r="C2099" s="0" t="n">
        <v>445744</v>
      </c>
      <c r="D2099" s="0" t="s">
        <v>2625</v>
      </c>
      <c r="E2099" s="0" t="s">
        <v>9252</v>
      </c>
      <c r="F2099" s="0" t="str">
        <f aca="false">CONCATENATE(D2099," ",LEFT(H2099,4),"T=",AU2099,"D=",AV2099,"R=",AW2099,"M=",AX2099,"L=",AY2099,"B=",AZ2099)</f>
        <v>SHIAMONE T=10D=1R=0M=0L=1B=0</v>
      </c>
      <c r="G2099" s="0" t="s">
        <v>181</v>
      </c>
      <c r="I2099" s="0" t="s">
        <v>9253</v>
      </c>
      <c r="J2099" s="0" t="s">
        <v>6279</v>
      </c>
      <c r="K2099" s="0" t="s">
        <v>175</v>
      </c>
      <c r="L2099" s="0"/>
      <c r="M2099" s="0" t="s">
        <v>9248</v>
      </c>
      <c r="N2099" s="0" t="str">
        <f aca="false">RIGHT(M2099,LEN(M2099)-FIND(" ",M2099))</f>
        <v>PACKARD ST NW</v>
      </c>
      <c r="P2099" s="0" t="s">
        <v>146</v>
      </c>
      <c r="Q2099" s="0" t="s">
        <v>147</v>
      </c>
      <c r="R2099" s="0" t="n">
        <v>44483</v>
      </c>
      <c r="AD2099" s="0" t="s">
        <v>148</v>
      </c>
      <c r="AE2099" s="0" t="s">
        <v>149</v>
      </c>
      <c r="AF2099" s="0" t="s">
        <v>150</v>
      </c>
      <c r="AH2099" s="0" t="n">
        <v>14</v>
      </c>
      <c r="AI2099" s="0" t="n">
        <v>11</v>
      </c>
      <c r="AN2099" s="0" t="s">
        <v>146</v>
      </c>
      <c r="AO2099" s="0" t="s">
        <v>151</v>
      </c>
      <c r="AP2099" s="0" t="s">
        <v>152</v>
      </c>
      <c r="AQ2099" s="0" t="n">
        <v>9</v>
      </c>
      <c r="AR2099" s="0" t="n">
        <v>64</v>
      </c>
      <c r="AS2099" s="0" t="n">
        <v>32</v>
      </c>
      <c r="AU2099" s="0" t="n">
        <f aca="false">COUNTA($BA$1727:$EH$1727)</f>
        <v>10</v>
      </c>
      <c r="AV2099" s="0" t="n">
        <f aca="false">COUNTIF($BA$1727:$EH$1727,"D")</f>
        <v>1</v>
      </c>
      <c r="AW2099" s="0" t="n">
        <f aca="false">COUNTIF($BA$1727:$EH$1727,"R")</f>
        <v>0</v>
      </c>
      <c r="AX2099" s="0" t="n">
        <f aca="false"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>0</v>
      </c>
      <c r="AY2099" s="0" t="n">
        <f aca="false">COUNTIF(DU2099:EH2099, "&lt;&gt;")</f>
        <v>1</v>
      </c>
      <c r="AZ2099" s="0" t="n">
        <f aca="false">IF(EH2099&lt;&gt;"",1,0)</f>
        <v>0</v>
      </c>
      <c r="BB2099" s="0" t="s">
        <v>153</v>
      </c>
      <c r="DN2099" s="0" t="s">
        <v>154</v>
      </c>
      <c r="EF2099" s="0" t="s">
        <v>154</v>
      </c>
    </row>
    <row r="2100" customFormat="false" ht="13.8" hidden="false" customHeight="false" outlineLevel="0" collapsed="false">
      <c r="A2100" s="0" t="s">
        <v>9254</v>
      </c>
      <c r="B2100" s="0" t="n">
        <v>78</v>
      </c>
      <c r="C2100" s="0" t="n">
        <v>316410</v>
      </c>
      <c r="D2100" s="0" t="s">
        <v>9255</v>
      </c>
      <c r="E2100" s="0" t="s">
        <v>1117</v>
      </c>
      <c r="F2100" s="0" t="str">
        <f aca="false">CONCATENATE(D2100," ",LEFT(H2100,4),"T=",AU2100,"D=",AV2100,"R=",AW2100,"M=",AX2100,"L=",AY2100,"B=",AZ2100)</f>
        <v>MORTON T=4D=0R=0M=0L=5B=0</v>
      </c>
      <c r="G2100" s="0" t="s">
        <v>317</v>
      </c>
      <c r="I2100" s="0" t="s">
        <v>9256</v>
      </c>
      <c r="J2100" s="0" t="s">
        <v>273</v>
      </c>
      <c r="K2100" s="0" t="s">
        <v>175</v>
      </c>
      <c r="L2100" s="1" t="s">
        <v>176</v>
      </c>
      <c r="M2100" s="0" t="s">
        <v>9257</v>
      </c>
      <c r="N2100" s="0" t="str">
        <f aca="false">RIGHT(M2100,LEN(M2100)-FIND(" ",M2100))</f>
        <v>PACKARD ST NW</v>
      </c>
      <c r="P2100" s="0" t="s">
        <v>146</v>
      </c>
      <c r="Q2100" s="0" t="s">
        <v>147</v>
      </c>
      <c r="R2100" s="0" t="n">
        <v>44483</v>
      </c>
      <c r="AD2100" s="0" t="s">
        <v>148</v>
      </c>
      <c r="AE2100" s="0" t="s">
        <v>149</v>
      </c>
      <c r="AF2100" s="0" t="s">
        <v>150</v>
      </c>
      <c r="AH2100" s="0" t="n">
        <v>14</v>
      </c>
      <c r="AI2100" s="0" t="n">
        <v>11</v>
      </c>
      <c r="AN2100" s="0" t="s">
        <v>146</v>
      </c>
      <c r="AO2100" s="0" t="s">
        <v>151</v>
      </c>
      <c r="AP2100" s="0" t="s">
        <v>152</v>
      </c>
      <c r="AQ2100" s="0" t="n">
        <v>9</v>
      </c>
      <c r="AR2100" s="0" t="n">
        <v>64</v>
      </c>
      <c r="AS2100" s="0" t="n">
        <v>32</v>
      </c>
      <c r="AU2100" s="0" t="n">
        <f aca="false">COUNTA($BA$1590:$EH$1590)</f>
        <v>4</v>
      </c>
      <c r="AV2100" s="0" t="n">
        <f aca="false">COUNTIF($BA$1590:$EH$1590,"D")</f>
        <v>0</v>
      </c>
      <c r="AW2100" s="0" t="n">
        <f aca="false">COUNTIF($BA$1590:$EH$1590,"R")</f>
        <v>0</v>
      </c>
      <c r="AX2100" s="0" t="n">
        <f aca="false"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>0</v>
      </c>
      <c r="AY2100" s="0" t="n">
        <f aca="false">COUNTIF(DU2100:EH2100, "&lt;&gt;")</f>
        <v>5</v>
      </c>
      <c r="AZ2100" s="0" t="n">
        <f aca="false">IF(EH2100&lt;&gt;"",1,0)</f>
        <v>0</v>
      </c>
      <c r="BB2100" s="0" t="s">
        <v>153</v>
      </c>
      <c r="BL2100" s="0" t="s">
        <v>154</v>
      </c>
      <c r="CP2100" s="0" t="s">
        <v>154</v>
      </c>
      <c r="CZ2100" s="0" t="s">
        <v>176</v>
      </c>
      <c r="DC2100" s="0" t="s">
        <v>154</v>
      </c>
      <c r="DI2100" s="0" t="s">
        <v>154</v>
      </c>
      <c r="DL2100" s="0" t="s">
        <v>154</v>
      </c>
      <c r="DM2100" s="0" t="s">
        <v>176</v>
      </c>
      <c r="DN2100" s="0" t="s">
        <v>154</v>
      </c>
      <c r="DS2100" s="0" t="s">
        <v>176</v>
      </c>
      <c r="DU2100" s="0" t="s">
        <v>154</v>
      </c>
      <c r="DX2100" s="0" t="s">
        <v>154</v>
      </c>
      <c r="EA2100" s="0" t="s">
        <v>154</v>
      </c>
      <c r="ED2100" s="0" t="s">
        <v>176</v>
      </c>
      <c r="EF2100" s="0" t="s">
        <v>154</v>
      </c>
    </row>
    <row r="2101" customFormat="false" ht="13.8" hidden="true" customHeight="false" outlineLevel="0" collapsed="false">
      <c r="A2101" s="0" t="s">
        <v>9258</v>
      </c>
      <c r="B2101" s="0" t="n">
        <v>78</v>
      </c>
      <c r="C2101" s="0" t="n">
        <v>24052</v>
      </c>
      <c r="D2101" s="0" t="s">
        <v>9259</v>
      </c>
      <c r="E2101" s="0" t="s">
        <v>652</v>
      </c>
      <c r="F2101" s="0" t="str">
        <f aca="false">CONCATENATE(D2101," ",LEFT(H2101,4),"T=",AU2101,"D=",AV2101,"R=",AW2101,"M=",AX2101,"L=",AY2101,"B=",AZ2101)</f>
        <v>DEVLIN SRT=13D=3R=0M=1L=0B=0</v>
      </c>
      <c r="G2101" s="0" t="s">
        <v>166</v>
      </c>
      <c r="H2101" s="0" t="s">
        <v>311</v>
      </c>
      <c r="I2101" s="0" t="s">
        <v>9260</v>
      </c>
      <c r="J2101" s="0" t="s">
        <v>5195</v>
      </c>
      <c r="K2101" s="0" t="s">
        <v>175</v>
      </c>
      <c r="L2101" s="0"/>
      <c r="M2101" s="0" t="s">
        <v>9261</v>
      </c>
      <c r="N2101" s="0" t="str">
        <f aca="false">RIGHT(M2101,LEN(M2101)-FIND(" ",M2101))</f>
        <v>PACKARD ST NW</v>
      </c>
      <c r="P2101" s="0" t="s">
        <v>146</v>
      </c>
      <c r="Q2101" s="0" t="s">
        <v>147</v>
      </c>
      <c r="R2101" s="0" t="n">
        <v>44483</v>
      </c>
      <c r="AD2101" s="0" t="s">
        <v>148</v>
      </c>
      <c r="AE2101" s="0" t="s">
        <v>149</v>
      </c>
      <c r="AF2101" s="0" t="s">
        <v>150</v>
      </c>
      <c r="AH2101" s="0" t="n">
        <v>14</v>
      </c>
      <c r="AI2101" s="0" t="n">
        <v>11</v>
      </c>
      <c r="AN2101" s="0" t="s">
        <v>146</v>
      </c>
      <c r="AO2101" s="0" t="s">
        <v>151</v>
      </c>
      <c r="AP2101" s="0" t="s">
        <v>152</v>
      </c>
      <c r="AQ2101" s="0" t="n">
        <v>9</v>
      </c>
      <c r="AR2101" s="0" t="n">
        <v>64</v>
      </c>
      <c r="AS2101" s="0" t="n">
        <v>32</v>
      </c>
      <c r="AU2101" s="0" t="n">
        <f aca="false">COUNTA($BA$1143:$EH$1143)</f>
        <v>13</v>
      </c>
      <c r="AV2101" s="0" t="n">
        <f aca="false">COUNTIF($BA$1143:$EH$1143,"D")</f>
        <v>3</v>
      </c>
      <c r="AW2101" s="0" t="n">
        <f aca="false">COUNTIF($BA$1143:$EH$1143,"R")</f>
        <v>0</v>
      </c>
      <c r="AX2101" s="0" t="n">
        <f aca="false"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>1</v>
      </c>
      <c r="AY2101" s="0" t="n">
        <f aca="false">COUNTIF(DU2101:EH2101, "&lt;&gt;")</f>
        <v>0</v>
      </c>
      <c r="AZ2101" s="0" t="n">
        <f aca="false">IF(EH2101&lt;&gt;"",1,0)</f>
        <v>0</v>
      </c>
      <c r="BB2101" s="0" t="s">
        <v>153</v>
      </c>
      <c r="BC2101" s="0" t="s">
        <v>154</v>
      </c>
      <c r="BD2101" s="0" t="s">
        <v>154</v>
      </c>
      <c r="BF2101" s="0" t="s">
        <v>154</v>
      </c>
      <c r="BG2101" s="0" t="s">
        <v>154</v>
      </c>
      <c r="BH2101" s="0" t="s">
        <v>154</v>
      </c>
      <c r="BJ2101" s="0" t="s">
        <v>154</v>
      </c>
      <c r="BK2101" s="0" t="s">
        <v>154</v>
      </c>
      <c r="BL2101" s="0" t="s">
        <v>154</v>
      </c>
      <c r="CA2101" s="0" t="s">
        <v>154</v>
      </c>
      <c r="CL2101" s="0" t="s">
        <v>155</v>
      </c>
      <c r="CN2101" s="0" t="s">
        <v>154</v>
      </c>
      <c r="CP2101" s="0" t="s">
        <v>154</v>
      </c>
    </row>
    <row r="2102" customFormat="false" ht="13.8" hidden="true" customHeight="false" outlineLevel="0" collapsed="false">
      <c r="A2102" s="0" t="s">
        <v>9262</v>
      </c>
      <c r="B2102" s="0" t="n">
        <v>78</v>
      </c>
      <c r="C2102" s="0" t="n">
        <v>147181</v>
      </c>
      <c r="D2102" s="0" t="s">
        <v>9259</v>
      </c>
      <c r="E2102" s="0" t="s">
        <v>1823</v>
      </c>
      <c r="F2102" s="0" t="str">
        <f aca="false">CONCATENATE(D2102," ",LEFT(H2102,4),"T=",AU2102,"D=",AV2102,"R=",AW2102,"M=",AX2102,"L=",AY2102,"B=",AZ2102)</f>
        <v>DEVLIN T=10D=1R=0M=1L=0B=0</v>
      </c>
      <c r="I2102" s="0" t="s">
        <v>5107</v>
      </c>
      <c r="J2102" s="0" t="s">
        <v>9263</v>
      </c>
      <c r="K2102" s="0" t="s">
        <v>175</v>
      </c>
      <c r="L2102" s="0"/>
      <c r="M2102" s="0" t="s">
        <v>9261</v>
      </c>
      <c r="N2102" s="0" t="str">
        <f aca="false">RIGHT(M2102,LEN(M2102)-FIND(" ",M2102))</f>
        <v>PACKARD ST NW</v>
      </c>
      <c r="P2102" s="0" t="s">
        <v>146</v>
      </c>
      <c r="Q2102" s="0" t="s">
        <v>147</v>
      </c>
      <c r="R2102" s="0" t="n">
        <v>44483</v>
      </c>
      <c r="AD2102" s="0" t="s">
        <v>148</v>
      </c>
      <c r="AE2102" s="0" t="s">
        <v>149</v>
      </c>
      <c r="AF2102" s="0" t="s">
        <v>150</v>
      </c>
      <c r="AH2102" s="0" t="n">
        <v>14</v>
      </c>
      <c r="AI2102" s="0" t="n">
        <v>11</v>
      </c>
      <c r="AN2102" s="0" t="s">
        <v>146</v>
      </c>
      <c r="AO2102" s="0" t="s">
        <v>151</v>
      </c>
      <c r="AP2102" s="0" t="s">
        <v>152</v>
      </c>
      <c r="AQ2102" s="0" t="n">
        <v>9</v>
      </c>
      <c r="AR2102" s="0" t="n">
        <v>64</v>
      </c>
      <c r="AS2102" s="0" t="n">
        <v>32</v>
      </c>
      <c r="AU2102" s="0" t="n">
        <f aca="false">COUNTA($BA$1599:$EH$1599)</f>
        <v>10</v>
      </c>
      <c r="AV2102" s="0" t="n">
        <f aca="false">COUNTIF($BA$1599:$EH$1599,"D")</f>
        <v>1</v>
      </c>
      <c r="AW2102" s="0" t="n">
        <f aca="false">COUNTIF($BA$1599:$EH$1599,"R")</f>
        <v>0</v>
      </c>
      <c r="AX2102" s="0" t="n">
        <f aca="false"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>1</v>
      </c>
      <c r="AY2102" s="0" t="n">
        <f aca="false">COUNTIF(DU2102:EH2102, "&lt;&gt;")</f>
        <v>0</v>
      </c>
      <c r="AZ2102" s="0" t="n">
        <f aca="false">IF(EH2102&lt;&gt;"",1,0)</f>
        <v>0</v>
      </c>
      <c r="BB2102" s="0" t="s">
        <v>153</v>
      </c>
      <c r="BC2102" s="0" t="s">
        <v>154</v>
      </c>
      <c r="BD2102" s="0" t="s">
        <v>154</v>
      </c>
      <c r="BF2102" s="0" t="s">
        <v>154</v>
      </c>
      <c r="BG2102" s="0" t="s">
        <v>154</v>
      </c>
      <c r="BH2102" s="0" t="s">
        <v>154</v>
      </c>
      <c r="BJ2102" s="0" t="s">
        <v>154</v>
      </c>
      <c r="BL2102" s="0" t="s">
        <v>154</v>
      </c>
      <c r="CA2102" s="0" t="s">
        <v>154</v>
      </c>
      <c r="CL2102" s="0" t="s">
        <v>155</v>
      </c>
      <c r="CN2102" s="0" t="s">
        <v>154</v>
      </c>
      <c r="CP2102" s="0" t="s">
        <v>154</v>
      </c>
    </row>
    <row r="2103" customFormat="false" ht="13.8" hidden="true" customHeight="false" outlineLevel="0" collapsed="false">
      <c r="A2103" s="0" t="s">
        <v>9264</v>
      </c>
      <c r="B2103" s="0" t="n">
        <v>78</v>
      </c>
      <c r="C2103" s="0" t="n">
        <v>208685</v>
      </c>
      <c r="D2103" s="0" t="s">
        <v>9265</v>
      </c>
      <c r="E2103" s="0" t="s">
        <v>9266</v>
      </c>
      <c r="F2103" s="0" t="str">
        <f aca="false">CONCATENATE(D2103," ",LEFT(H2103,4),"T=",AU2103,"D=",AV2103,"R=",AW2103,"M=",AX2103,"L=",AY2103,"B=",AZ2103)</f>
        <v>PLANT T=2D=0R=0M=4L=1B=0</v>
      </c>
      <c r="G2103" s="0" t="s">
        <v>3640</v>
      </c>
      <c r="I2103" s="0" t="s">
        <v>9267</v>
      </c>
      <c r="J2103" s="0" t="s">
        <v>7338</v>
      </c>
      <c r="K2103" s="0" t="s">
        <v>175</v>
      </c>
      <c r="L2103" s="0"/>
      <c r="M2103" s="0" t="s">
        <v>9268</v>
      </c>
      <c r="N2103" s="0" t="str">
        <f aca="false">RIGHT(M2103,LEN(M2103)-FIND(" ",M2103))</f>
        <v>PACKARD ST NW</v>
      </c>
      <c r="P2103" s="0" t="s">
        <v>146</v>
      </c>
      <c r="Q2103" s="0" t="s">
        <v>147</v>
      </c>
      <c r="R2103" s="0" t="n">
        <v>44483</v>
      </c>
      <c r="AD2103" s="0" t="s">
        <v>148</v>
      </c>
      <c r="AE2103" s="0" t="s">
        <v>149</v>
      </c>
      <c r="AF2103" s="0" t="s">
        <v>150</v>
      </c>
      <c r="AH2103" s="0" t="n">
        <v>14</v>
      </c>
      <c r="AI2103" s="0" t="n">
        <v>11</v>
      </c>
      <c r="AN2103" s="0" t="s">
        <v>146</v>
      </c>
      <c r="AO2103" s="0" t="s">
        <v>151</v>
      </c>
      <c r="AP2103" s="0" t="s">
        <v>152</v>
      </c>
      <c r="AQ2103" s="0" t="n">
        <v>9</v>
      </c>
      <c r="AR2103" s="0" t="n">
        <v>64</v>
      </c>
      <c r="AS2103" s="0" t="n">
        <v>32</v>
      </c>
      <c r="AU2103" s="0" t="n">
        <f aca="false">COUNTA($BA$1893:$EH$1893)</f>
        <v>2</v>
      </c>
      <c r="AV2103" s="0" t="n">
        <f aca="false">COUNTIF($BA$1893:$EH$1893,"D")</f>
        <v>0</v>
      </c>
      <c r="AW2103" s="0" t="n">
        <f aca="false">COUNTIF($BA$1893:$EH$1893,"R")</f>
        <v>0</v>
      </c>
      <c r="AX2103" s="0" t="n">
        <f aca="false"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>4</v>
      </c>
      <c r="AY2103" s="0" t="n">
        <f aca="false">COUNTIF(DU2103:EH2103, "&lt;&gt;")</f>
        <v>1</v>
      </c>
      <c r="AZ2103" s="0" t="n">
        <f aca="false">IF(EH2103&lt;&gt;"",1,0)</f>
        <v>0</v>
      </c>
      <c r="BB2103" s="0" t="s">
        <v>153</v>
      </c>
      <c r="BC2103" s="0" t="s">
        <v>154</v>
      </c>
      <c r="BD2103" s="0" t="s">
        <v>154</v>
      </c>
      <c r="BF2103" s="0" t="s">
        <v>154</v>
      </c>
      <c r="BH2103" s="0" t="s">
        <v>154</v>
      </c>
      <c r="BK2103" s="0" t="s">
        <v>154</v>
      </c>
      <c r="BL2103" s="0" t="s">
        <v>154</v>
      </c>
      <c r="BS2103" s="0" t="s">
        <v>154</v>
      </c>
      <c r="BY2103" s="0" t="s">
        <v>155</v>
      </c>
      <c r="CA2103" s="0" t="s">
        <v>154</v>
      </c>
      <c r="CG2103" s="0" t="s">
        <v>154</v>
      </c>
      <c r="CH2103" s="0" t="s">
        <v>155</v>
      </c>
      <c r="CK2103" s="0" t="s">
        <v>154</v>
      </c>
      <c r="CL2103" s="0" t="s">
        <v>155</v>
      </c>
      <c r="CN2103" s="0" t="s">
        <v>154</v>
      </c>
      <c r="CO2103" s="0" t="s">
        <v>155</v>
      </c>
      <c r="CP2103" s="0" t="s">
        <v>154</v>
      </c>
      <c r="CT2103" s="0" t="s">
        <v>154</v>
      </c>
      <c r="CU2103" s="0" t="s">
        <v>155</v>
      </c>
      <c r="CV2103" s="0" t="s">
        <v>154</v>
      </c>
      <c r="CW2103" s="0" t="s">
        <v>155</v>
      </c>
      <c r="CY2103" s="0" t="s">
        <v>154</v>
      </c>
      <c r="CZ2103" s="0" t="s">
        <v>155</v>
      </c>
      <c r="DC2103" s="0" t="s">
        <v>154</v>
      </c>
      <c r="DD2103" s="0" t="s">
        <v>155</v>
      </c>
      <c r="DF2103" s="0" t="s">
        <v>154</v>
      </c>
      <c r="DG2103" s="0" t="s">
        <v>155</v>
      </c>
      <c r="DI2103" s="0" t="s">
        <v>154</v>
      </c>
      <c r="DJ2103" s="0" t="s">
        <v>155</v>
      </c>
      <c r="DL2103" s="0" t="s">
        <v>154</v>
      </c>
      <c r="DM2103" s="0" t="s">
        <v>155</v>
      </c>
      <c r="DN2103" s="0" t="s">
        <v>154</v>
      </c>
      <c r="EF2103" s="0" t="s">
        <v>154</v>
      </c>
    </row>
    <row r="2104" customFormat="false" ht="13.8" hidden="false" customHeight="false" outlineLevel="0" collapsed="false">
      <c r="A2104" s="0" t="s">
        <v>9269</v>
      </c>
      <c r="B2104" s="0" t="n">
        <v>78</v>
      </c>
      <c r="C2104" s="0" t="n">
        <v>451322</v>
      </c>
      <c r="D2104" s="0" t="s">
        <v>9270</v>
      </c>
      <c r="E2104" s="0" t="s">
        <v>9271</v>
      </c>
      <c r="F2104" s="0" t="str">
        <f aca="false">CONCATENATE(D2104," ",LEFT(H2104,4),"T=",AU2104,"D=",AV2104,"R=",AW2104,"M=",AX2104,"L=",AY2104,"B=",AZ2104)</f>
        <v>MAYNARD T=21D=2R=0M=0L=4B=0</v>
      </c>
      <c r="G2104" s="0" t="s">
        <v>181</v>
      </c>
      <c r="I2104" s="0" t="s">
        <v>9272</v>
      </c>
      <c r="J2104" s="0" t="s">
        <v>9273</v>
      </c>
      <c r="K2104" s="0" t="s">
        <v>175</v>
      </c>
      <c r="M2104" s="0" t="s">
        <v>9274</v>
      </c>
      <c r="N2104" s="0" t="str">
        <f aca="false">RIGHT(M2104,LEN(M2104)-FIND(" ",M2104))</f>
        <v>PACKARD ST NW</v>
      </c>
      <c r="P2104" s="0" t="s">
        <v>146</v>
      </c>
      <c r="Q2104" s="0" t="s">
        <v>147</v>
      </c>
      <c r="R2104" s="0" t="n">
        <v>44483</v>
      </c>
      <c r="AD2104" s="0" t="s">
        <v>148</v>
      </c>
      <c r="AE2104" s="0" t="s">
        <v>149</v>
      </c>
      <c r="AF2104" s="0" t="s">
        <v>150</v>
      </c>
      <c r="AH2104" s="0" t="n">
        <v>14</v>
      </c>
      <c r="AI2104" s="0" t="n">
        <v>11</v>
      </c>
      <c r="AN2104" s="0" t="s">
        <v>146</v>
      </c>
      <c r="AO2104" s="0" t="s">
        <v>151</v>
      </c>
      <c r="AP2104" s="0" t="s">
        <v>152</v>
      </c>
      <c r="AQ2104" s="0" t="n">
        <v>9</v>
      </c>
      <c r="AR2104" s="0" t="n">
        <v>64</v>
      </c>
      <c r="AS2104" s="0" t="n">
        <v>32</v>
      </c>
      <c r="AU2104" s="0" t="n">
        <f aca="false">COUNTA($BA$1793:$EH$1793)</f>
        <v>21</v>
      </c>
      <c r="AV2104" s="0" t="n">
        <f aca="false">COUNTIF($BA$1793:$EH$1793,"D")</f>
        <v>2</v>
      </c>
      <c r="AW2104" s="0" t="n">
        <f aca="false">COUNTIF($BA$1793:$EH$1793,"R")</f>
        <v>0</v>
      </c>
      <c r="AX2104" s="0" t="n">
        <f aca="false"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>0</v>
      </c>
      <c r="AY2104" s="0" t="n">
        <f aca="false">COUNTIF(DU2104:EH2104, "&lt;&gt;")</f>
        <v>4</v>
      </c>
      <c r="AZ2104" s="0" t="n">
        <f aca="false">IF(EH2104&lt;&gt;"",1,0)</f>
        <v>0</v>
      </c>
      <c r="BB2104" s="0" t="s">
        <v>153</v>
      </c>
      <c r="DN2104" s="0" t="s">
        <v>154</v>
      </c>
      <c r="DU2104" s="0" t="s">
        <v>154</v>
      </c>
      <c r="DX2104" s="0" t="s">
        <v>154</v>
      </c>
      <c r="EA2104" s="0" t="s">
        <v>154</v>
      </c>
      <c r="EF2104" s="0" t="s">
        <v>154</v>
      </c>
    </row>
    <row r="2105" customFormat="false" ht="13.8" hidden="false" customHeight="false" outlineLevel="0" collapsed="false">
      <c r="A2105" s="0" t="s">
        <v>9275</v>
      </c>
      <c r="B2105" s="0" t="n">
        <v>78</v>
      </c>
      <c r="C2105" s="0" t="n">
        <v>451323</v>
      </c>
      <c r="D2105" s="0" t="s">
        <v>9270</v>
      </c>
      <c r="E2105" s="0" t="s">
        <v>4214</v>
      </c>
      <c r="F2105" s="0" t="str">
        <f aca="false">CONCATENATE(D2105," ",LEFT(H2105,4),"T=",AU2105,"D=",AV2105,"R=",AW2105,"M=",AX2105,"L=",AY2105,"B=",AZ2105)</f>
        <v>MAYNARD T=39D=11R=0M=0L=3B=0</v>
      </c>
      <c r="G2105" s="0" t="s">
        <v>329</v>
      </c>
      <c r="I2105" s="0" t="s">
        <v>9276</v>
      </c>
      <c r="J2105" s="0" t="s">
        <v>9273</v>
      </c>
      <c r="K2105" s="0" t="s">
        <v>175</v>
      </c>
      <c r="M2105" s="0" t="s">
        <v>9274</v>
      </c>
      <c r="N2105" s="0" t="str">
        <f aca="false">RIGHT(M2105,LEN(M2105)-FIND(" ",M2105))</f>
        <v>PACKARD ST NW</v>
      </c>
      <c r="P2105" s="0" t="s">
        <v>146</v>
      </c>
      <c r="Q2105" s="0" t="s">
        <v>147</v>
      </c>
      <c r="R2105" s="0" t="n">
        <v>44483</v>
      </c>
      <c r="AD2105" s="0" t="s">
        <v>148</v>
      </c>
      <c r="AE2105" s="0" t="s">
        <v>149</v>
      </c>
      <c r="AF2105" s="0" t="s">
        <v>150</v>
      </c>
      <c r="AH2105" s="0" t="n">
        <v>14</v>
      </c>
      <c r="AI2105" s="0" t="n">
        <v>11</v>
      </c>
      <c r="AN2105" s="0" t="s">
        <v>146</v>
      </c>
      <c r="AO2105" s="0" t="s">
        <v>151</v>
      </c>
      <c r="AP2105" s="0" t="s">
        <v>152</v>
      </c>
      <c r="AQ2105" s="0" t="n">
        <v>9</v>
      </c>
      <c r="AR2105" s="0" t="n">
        <v>64</v>
      </c>
      <c r="AS2105" s="0" t="n">
        <v>32</v>
      </c>
      <c r="AU2105" s="0" t="n">
        <f aca="false">COUNTA($BA$1794:$EH$1794)</f>
        <v>39</v>
      </c>
      <c r="AV2105" s="0" t="n">
        <f aca="false">COUNTIF($BA$1794:$EH$1794,"D")</f>
        <v>11</v>
      </c>
      <c r="AW2105" s="0" t="n">
        <f aca="false">COUNTIF($BA$1794:$EH$1794,"R")</f>
        <v>0</v>
      </c>
      <c r="AX2105" s="0" t="n">
        <f aca="false"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>0</v>
      </c>
      <c r="AY2105" s="0" t="n">
        <f aca="false">COUNTIF(DU2105:EH2105, "&lt;&gt;")</f>
        <v>3</v>
      </c>
      <c r="AZ2105" s="0" t="n">
        <f aca="false">IF(EH2105&lt;&gt;"",1,0)</f>
        <v>0</v>
      </c>
      <c r="BB2105" s="0" t="s">
        <v>153</v>
      </c>
      <c r="DN2105" s="0" t="s">
        <v>154</v>
      </c>
      <c r="DU2105" s="0" t="s">
        <v>154</v>
      </c>
      <c r="DX2105" s="0" t="s">
        <v>154</v>
      </c>
      <c r="EF2105" s="0" t="s">
        <v>154</v>
      </c>
    </row>
    <row r="2106" customFormat="false" ht="13.8" hidden="true" customHeight="false" outlineLevel="0" collapsed="false">
      <c r="A2106" s="0" t="s">
        <v>9277</v>
      </c>
      <c r="B2106" s="0" t="n">
        <v>78</v>
      </c>
      <c r="C2106" s="0" t="n">
        <v>310209</v>
      </c>
      <c r="D2106" s="0" t="s">
        <v>9278</v>
      </c>
      <c r="E2106" s="0" t="s">
        <v>344</v>
      </c>
      <c r="F2106" s="0" t="str">
        <f aca="false">CONCATENATE(D2106," ",LEFT(H2106,4),"T=",AU2106,"D=",AV2106,"R=",AW2106,"M=",AX2106,"L=",AY2106,"B=",AZ2106)</f>
        <v>WALDRON T=1D=0R=0M=0L=0B=0</v>
      </c>
      <c r="G2106" s="0" t="s">
        <v>188</v>
      </c>
      <c r="I2106" s="0" t="s">
        <v>9279</v>
      </c>
      <c r="J2106" s="0" t="s">
        <v>9280</v>
      </c>
      <c r="K2106" s="0" t="s">
        <v>175</v>
      </c>
      <c r="L2106" s="0"/>
      <c r="M2106" s="0" t="s">
        <v>9281</v>
      </c>
      <c r="N2106" s="0" t="str">
        <f aca="false">RIGHT(M2106,LEN(M2106)-FIND(" ",M2106))</f>
        <v>PACKARD ST NW</v>
      </c>
      <c r="P2106" s="0" t="s">
        <v>146</v>
      </c>
      <c r="Q2106" s="0" t="s">
        <v>147</v>
      </c>
      <c r="R2106" s="0" t="n">
        <v>44483</v>
      </c>
      <c r="AD2106" s="0" t="s">
        <v>148</v>
      </c>
      <c r="AE2106" s="0" t="s">
        <v>149</v>
      </c>
      <c r="AF2106" s="0" t="s">
        <v>150</v>
      </c>
      <c r="AH2106" s="0" t="n">
        <v>14</v>
      </c>
      <c r="AI2106" s="0" t="n">
        <v>11</v>
      </c>
      <c r="AN2106" s="0" t="s">
        <v>146</v>
      </c>
      <c r="AO2106" s="0" t="s">
        <v>151</v>
      </c>
      <c r="AP2106" s="0" t="s">
        <v>152</v>
      </c>
      <c r="AQ2106" s="0" t="n">
        <v>9</v>
      </c>
      <c r="AR2106" s="0" t="n">
        <v>64</v>
      </c>
      <c r="AS2106" s="0" t="n">
        <v>32</v>
      </c>
      <c r="AU2106" s="0" t="n">
        <f aca="false">COUNTA($BA$1923:$EH$1923)</f>
        <v>1</v>
      </c>
      <c r="AV2106" s="0" t="n">
        <f aca="false">COUNTIF($BA$1923:$EH$1923,"D")</f>
        <v>0</v>
      </c>
      <c r="AW2106" s="0" t="n">
        <f aca="false">COUNTIF($BA$1923:$EH$1923,"R")</f>
        <v>0</v>
      </c>
      <c r="AX2106" s="0" t="n">
        <f aca="false"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>0</v>
      </c>
      <c r="AY2106" s="0" t="n">
        <f aca="false">COUNTIF(DU2106:EH2106, "&lt;&gt;")</f>
        <v>0</v>
      </c>
      <c r="AZ2106" s="0" t="n">
        <f aca="false">IF(EH2106&lt;&gt;"",1,0)</f>
        <v>0</v>
      </c>
      <c r="BB2106" s="0" t="s">
        <v>153</v>
      </c>
      <c r="CA2106" s="0" t="s">
        <v>154</v>
      </c>
      <c r="CY2106" s="0" t="s">
        <v>154</v>
      </c>
      <c r="DC2106" s="0" t="s">
        <v>154</v>
      </c>
    </row>
    <row r="2107" customFormat="false" ht="13.8" hidden="true" customHeight="false" outlineLevel="0" collapsed="false">
      <c r="A2107" s="0" t="s">
        <v>9282</v>
      </c>
      <c r="B2107" s="0" t="n">
        <v>78</v>
      </c>
      <c r="C2107" s="0" t="n">
        <v>414463</v>
      </c>
      <c r="D2107" s="0" t="s">
        <v>9283</v>
      </c>
      <c r="E2107" s="0" t="s">
        <v>9284</v>
      </c>
      <c r="F2107" s="0" t="str">
        <f aca="false">CONCATENATE(D2107," ",LEFT(H2107,4),"T=",AU2107,"D=",AV2107,"R=",AW2107,"M=",AX2107,"L=",AY2107,"B=",AZ2107)</f>
        <v>WHEELER T=1D=0R=0M=0L=0B=0</v>
      </c>
      <c r="G2107" s="0" t="s">
        <v>202</v>
      </c>
      <c r="I2107" s="0" t="s">
        <v>9285</v>
      </c>
      <c r="J2107" s="0" t="s">
        <v>9286</v>
      </c>
      <c r="K2107" s="0" t="s">
        <v>144</v>
      </c>
      <c r="L2107" s="0"/>
      <c r="M2107" s="0" t="s">
        <v>9287</v>
      </c>
      <c r="N2107" s="0" t="str">
        <f aca="false">RIGHT(M2107,LEN(M2107)-FIND(" ",M2107))</f>
        <v>PACKARD ST NW</v>
      </c>
      <c r="P2107" s="0" t="s">
        <v>146</v>
      </c>
      <c r="Q2107" s="0" t="s">
        <v>147</v>
      </c>
      <c r="R2107" s="0" t="n">
        <v>44483</v>
      </c>
      <c r="AD2107" s="0" t="s">
        <v>148</v>
      </c>
      <c r="AE2107" s="0" t="s">
        <v>149</v>
      </c>
      <c r="AF2107" s="0" t="s">
        <v>150</v>
      </c>
      <c r="AH2107" s="0" t="n">
        <v>14</v>
      </c>
      <c r="AI2107" s="0" t="n">
        <v>11</v>
      </c>
      <c r="AN2107" s="0" t="s">
        <v>146</v>
      </c>
      <c r="AO2107" s="0" t="s">
        <v>151</v>
      </c>
      <c r="AP2107" s="0" t="s">
        <v>152</v>
      </c>
      <c r="AQ2107" s="0" t="n">
        <v>9</v>
      </c>
      <c r="AR2107" s="0" t="n">
        <v>64</v>
      </c>
      <c r="AS2107" s="0" t="n">
        <v>32</v>
      </c>
      <c r="AU2107" s="0" t="n">
        <f aca="false">COUNTA($BA$1890:$EH$1890)</f>
        <v>1</v>
      </c>
      <c r="AV2107" s="0" t="n">
        <f aca="false">COUNTIF($BA$1890:$EH$1890,"D")</f>
        <v>0</v>
      </c>
      <c r="AW2107" s="0" t="n">
        <f aca="false">COUNTIF($BA$1890:$EH$1890,"R")</f>
        <v>0</v>
      </c>
      <c r="AX2107" s="0" t="n">
        <f aca="false"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>0</v>
      </c>
      <c r="AY2107" s="0" t="n">
        <f aca="false">COUNTIF(DU2107:EH2107, "&lt;&gt;")</f>
        <v>0</v>
      </c>
      <c r="AZ2107" s="0" t="n">
        <f aca="false">IF(EH2107&lt;&gt;"",1,0)</f>
        <v>0</v>
      </c>
      <c r="BB2107" s="0" t="s">
        <v>153</v>
      </c>
      <c r="DC2107" s="0" t="s">
        <v>154</v>
      </c>
    </row>
    <row r="2108" customFormat="false" ht="13.8" hidden="false" customHeight="false" outlineLevel="0" collapsed="false">
      <c r="A2108" s="0" t="s">
        <v>9288</v>
      </c>
      <c r="B2108" s="0" t="n">
        <v>78</v>
      </c>
      <c r="C2108" s="0" t="n">
        <v>277431</v>
      </c>
      <c r="D2108" s="0" t="s">
        <v>9289</v>
      </c>
      <c r="E2108" s="0" t="s">
        <v>4154</v>
      </c>
      <c r="F2108" s="0" t="str">
        <f aca="false">CONCATENATE(D2108," ",LEFT(H2108,4),"T=",AU2108,"D=",AV2108,"R=",AW2108,"M=",AX2108,"L=",AY2108,"B=",AZ2108)</f>
        <v>COSTILOW T=1D=0R=0M=1L=5B=0</v>
      </c>
      <c r="G2108" s="0" t="s">
        <v>188</v>
      </c>
      <c r="I2108" s="0" t="s">
        <v>9290</v>
      </c>
      <c r="J2108" s="0" t="s">
        <v>9291</v>
      </c>
      <c r="K2108" s="0" t="s">
        <v>175</v>
      </c>
      <c r="L2108" s="1" t="s">
        <v>176</v>
      </c>
      <c r="M2108" s="0" t="s">
        <v>9292</v>
      </c>
      <c r="N2108" s="0" t="str">
        <f aca="false">RIGHT(M2108,LEN(M2108)-FIND(" ",M2108))</f>
        <v>PAIGE AVE NE</v>
      </c>
      <c r="P2108" s="0" t="s">
        <v>146</v>
      </c>
      <c r="Q2108" s="0" t="s">
        <v>147</v>
      </c>
      <c r="R2108" s="0" t="n">
        <v>44483</v>
      </c>
      <c r="AD2108" s="0" t="s">
        <v>148</v>
      </c>
      <c r="AE2108" s="0" t="s">
        <v>149</v>
      </c>
      <c r="AF2108" s="0" t="s">
        <v>150</v>
      </c>
      <c r="AH2108" s="0" t="n">
        <v>14</v>
      </c>
      <c r="AI2108" s="0" t="n">
        <v>11</v>
      </c>
      <c r="AN2108" s="0" t="s">
        <v>146</v>
      </c>
      <c r="AO2108" s="0" t="s">
        <v>236</v>
      </c>
      <c r="AP2108" s="0" t="s">
        <v>237</v>
      </c>
      <c r="AQ2108" s="0" t="n">
        <v>9</v>
      </c>
      <c r="AR2108" s="0" t="n">
        <v>64</v>
      </c>
      <c r="AS2108" s="0" t="n">
        <v>32</v>
      </c>
      <c r="AU2108" s="0" t="n">
        <f aca="false">COUNTA($BA$782:$EH$782)</f>
        <v>1</v>
      </c>
      <c r="AV2108" s="0" t="n">
        <f aca="false">COUNTIF($BA$782:$EH$782,"D")</f>
        <v>0</v>
      </c>
      <c r="AW2108" s="0" t="n">
        <f aca="false">COUNTIF($BA$782:$EH$782,"R")</f>
        <v>0</v>
      </c>
      <c r="AX2108" s="0" t="n">
        <f aca="false"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>1</v>
      </c>
      <c r="AY2108" s="0" t="n">
        <f aca="false">COUNTIF(DU2108:EH2108, "&lt;&gt;")</f>
        <v>5</v>
      </c>
      <c r="AZ2108" s="0" t="n">
        <f aca="false">IF(EH2108&lt;&gt;"",1,0)</f>
        <v>0</v>
      </c>
      <c r="BB2108" s="0" t="s">
        <v>153</v>
      </c>
      <c r="BC2108" s="0" t="s">
        <v>154</v>
      </c>
      <c r="BD2108" s="0" t="s">
        <v>154</v>
      </c>
      <c r="BH2108" s="0" t="s">
        <v>154</v>
      </c>
      <c r="BL2108" s="0" t="s">
        <v>154</v>
      </c>
      <c r="BP2108" s="0" t="s">
        <v>154</v>
      </c>
      <c r="BS2108" s="0" t="s">
        <v>154</v>
      </c>
      <c r="BY2108" s="0" t="s">
        <v>155</v>
      </c>
      <c r="CA2108" s="0" t="s">
        <v>154</v>
      </c>
      <c r="CG2108" s="0" t="s">
        <v>154</v>
      </c>
      <c r="CK2108" s="0" t="s">
        <v>154</v>
      </c>
      <c r="CL2108" s="0" t="s">
        <v>155</v>
      </c>
      <c r="CN2108" s="0" t="s">
        <v>154</v>
      </c>
      <c r="CO2108" s="0" t="s">
        <v>176</v>
      </c>
      <c r="CP2108" s="0" t="s">
        <v>154</v>
      </c>
      <c r="CV2108" s="0" t="s">
        <v>154</v>
      </c>
      <c r="CY2108" s="0" t="s">
        <v>154</v>
      </c>
      <c r="CZ2108" s="0" t="s">
        <v>176</v>
      </c>
      <c r="DC2108" s="0" t="s">
        <v>154</v>
      </c>
      <c r="DF2108" s="0" t="s">
        <v>154</v>
      </c>
      <c r="DG2108" s="0" t="s">
        <v>176</v>
      </c>
      <c r="DI2108" s="0" t="s">
        <v>154</v>
      </c>
      <c r="DL2108" s="0" t="s">
        <v>154</v>
      </c>
      <c r="DM2108" s="0" t="s">
        <v>176</v>
      </c>
      <c r="DN2108" s="0" t="s">
        <v>154</v>
      </c>
      <c r="DR2108" s="0" t="s">
        <v>154</v>
      </c>
      <c r="DS2108" s="0" t="s">
        <v>176</v>
      </c>
      <c r="DU2108" s="0" t="s">
        <v>154</v>
      </c>
      <c r="DX2108" s="0" t="s">
        <v>154</v>
      </c>
      <c r="EA2108" s="0" t="s">
        <v>154</v>
      </c>
      <c r="ED2108" s="0" t="s">
        <v>176</v>
      </c>
      <c r="EF2108" s="0" t="s">
        <v>154</v>
      </c>
    </row>
    <row r="2109" customFormat="false" ht="13.8" hidden="true" customHeight="false" outlineLevel="0" collapsed="false">
      <c r="A2109" s="0" t="s">
        <v>9293</v>
      </c>
      <c r="B2109" s="0" t="n">
        <v>78</v>
      </c>
      <c r="C2109" s="0" t="n">
        <v>225770</v>
      </c>
      <c r="D2109" s="0" t="s">
        <v>9294</v>
      </c>
      <c r="E2109" s="0" t="s">
        <v>629</v>
      </c>
      <c r="F2109" s="0" t="str">
        <f aca="false">CONCATENATE(D2109," ",LEFT(H2109,4),"T=",AU2109,"D=",AV2109,"R=",AW2109,"M=",AX2109,"L=",AY2109,"B=",AZ2109)</f>
        <v>MROFCHAK T=1D=0R=0M=0L=1B=0</v>
      </c>
      <c r="G2109" s="0" t="s">
        <v>297</v>
      </c>
      <c r="I2109" s="0" t="s">
        <v>9295</v>
      </c>
      <c r="J2109" s="0" t="s">
        <v>161</v>
      </c>
      <c r="K2109" s="0" t="s">
        <v>175</v>
      </c>
      <c r="L2109" s="0"/>
      <c r="M2109" s="0" t="s">
        <v>9296</v>
      </c>
      <c r="N2109" s="0" t="str">
        <f aca="false">RIGHT(M2109,LEN(M2109)-FIND(" ",M2109))</f>
        <v>PAIGE AVE NE</v>
      </c>
      <c r="P2109" s="0" t="s">
        <v>146</v>
      </c>
      <c r="Q2109" s="0" t="s">
        <v>147</v>
      </c>
      <c r="R2109" s="0" t="n">
        <v>44483</v>
      </c>
      <c r="AD2109" s="0" t="s">
        <v>148</v>
      </c>
      <c r="AE2109" s="0" t="s">
        <v>149</v>
      </c>
      <c r="AF2109" s="0" t="s">
        <v>150</v>
      </c>
      <c r="AH2109" s="0" t="n">
        <v>14</v>
      </c>
      <c r="AI2109" s="0" t="n">
        <v>11</v>
      </c>
      <c r="AN2109" s="0" t="s">
        <v>146</v>
      </c>
      <c r="AO2109" s="0" t="s">
        <v>236</v>
      </c>
      <c r="AP2109" s="0" t="s">
        <v>237</v>
      </c>
      <c r="AQ2109" s="0" t="n">
        <v>9</v>
      </c>
      <c r="AR2109" s="0" t="n">
        <v>64</v>
      </c>
      <c r="AS2109" s="0" t="n">
        <v>32</v>
      </c>
      <c r="AU2109" s="0" t="n">
        <f aca="false">COUNTA($BA$791:$EH$791)</f>
        <v>1</v>
      </c>
      <c r="AV2109" s="0" t="n">
        <f aca="false">COUNTIF($BA$791:$EH$791,"D")</f>
        <v>0</v>
      </c>
      <c r="AW2109" s="0" t="n">
        <f aca="false">COUNTIF($BA$791:$EH$791,"R")</f>
        <v>0</v>
      </c>
      <c r="AX2109" s="0" t="n">
        <f aca="false"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>0</v>
      </c>
      <c r="AY2109" s="0" t="n">
        <f aca="false">COUNTIF(DU2109:EH2109, "&lt;&gt;")</f>
        <v>1</v>
      </c>
      <c r="AZ2109" s="0" t="n">
        <f aca="false">IF(EH2109&lt;&gt;"",1,0)</f>
        <v>0</v>
      </c>
      <c r="BB2109" s="0" t="s">
        <v>153</v>
      </c>
      <c r="BC2109" s="0" t="s">
        <v>154</v>
      </c>
      <c r="BD2109" s="0" t="s">
        <v>154</v>
      </c>
      <c r="BH2109" s="0" t="s">
        <v>154</v>
      </c>
      <c r="BI2109" s="0" t="s">
        <v>154</v>
      </c>
      <c r="BJ2109" s="0" t="s">
        <v>154</v>
      </c>
      <c r="BL2109" s="0" t="s">
        <v>154</v>
      </c>
      <c r="BV2109" s="0" t="s">
        <v>154</v>
      </c>
      <c r="BY2109" s="0" t="s">
        <v>155</v>
      </c>
      <c r="CA2109" s="0" t="s">
        <v>154</v>
      </c>
      <c r="CG2109" s="0" t="s">
        <v>154</v>
      </c>
      <c r="CP2109" s="0" t="s">
        <v>154</v>
      </c>
      <c r="DC2109" s="0" t="s">
        <v>154</v>
      </c>
      <c r="EF2109" s="0" t="s">
        <v>154</v>
      </c>
    </row>
    <row r="2110" customFormat="false" ht="13.8" hidden="true" customHeight="false" outlineLevel="0" collapsed="false">
      <c r="A2110" s="0" t="s">
        <v>9297</v>
      </c>
      <c r="B2110" s="0" t="n">
        <v>78</v>
      </c>
      <c r="C2110" s="0" t="n">
        <v>413333</v>
      </c>
      <c r="D2110" s="0" t="s">
        <v>3276</v>
      </c>
      <c r="E2110" s="0" t="s">
        <v>9298</v>
      </c>
      <c r="F2110" s="0" t="str">
        <f aca="false">CONCATENATE(D2110," ",LEFT(H2110,4),"T=",AU2110,"D=",AV2110,"R=",AW2110,"M=",AX2110,"L=",AY2110,"B=",AZ2110)</f>
        <v>MOORE T=9D=1R=0M=1L=0B=0</v>
      </c>
      <c r="G2110" s="0" t="s">
        <v>652</v>
      </c>
      <c r="I2110" s="0" t="s">
        <v>9299</v>
      </c>
      <c r="J2110" s="0" t="s">
        <v>7235</v>
      </c>
      <c r="K2110" s="0" t="s">
        <v>144</v>
      </c>
      <c r="L2110" s="0"/>
      <c r="M2110" s="0" t="s">
        <v>9300</v>
      </c>
      <c r="N2110" s="0" t="str">
        <f aca="false">RIGHT(M2110,LEN(M2110)-FIND(" ",M2110))</f>
        <v>PAIGE AVE NE</v>
      </c>
      <c r="P2110" s="0" t="s">
        <v>146</v>
      </c>
      <c r="Q2110" s="0" t="s">
        <v>147</v>
      </c>
      <c r="R2110" s="0" t="n">
        <v>44483</v>
      </c>
      <c r="AD2110" s="0" t="s">
        <v>148</v>
      </c>
      <c r="AE2110" s="0" t="s">
        <v>149</v>
      </c>
      <c r="AF2110" s="0" t="s">
        <v>150</v>
      </c>
      <c r="AH2110" s="0" t="n">
        <v>14</v>
      </c>
      <c r="AI2110" s="0" t="n">
        <v>11</v>
      </c>
      <c r="AN2110" s="0" t="s">
        <v>146</v>
      </c>
      <c r="AO2110" s="0" t="s">
        <v>236</v>
      </c>
      <c r="AP2110" s="0" t="s">
        <v>237</v>
      </c>
      <c r="AQ2110" s="0" t="n">
        <v>9</v>
      </c>
      <c r="AR2110" s="0" t="n">
        <v>64</v>
      </c>
      <c r="AS2110" s="0" t="n">
        <v>32</v>
      </c>
      <c r="AU2110" s="0" t="n">
        <f aca="false">COUNTA($BA$620:$EH$620)</f>
        <v>9</v>
      </c>
      <c r="AV2110" s="0" t="n">
        <f aca="false">COUNTIF($BA$620:$EH$620,"D")</f>
        <v>1</v>
      </c>
      <c r="AW2110" s="0" t="n">
        <f aca="false">COUNTIF($BA$620:$EH$620,"R")</f>
        <v>0</v>
      </c>
      <c r="AX2110" s="0" t="n">
        <f aca="false"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>1</v>
      </c>
      <c r="AY2110" s="0" t="n">
        <f aca="false">COUNTIF(DU2110:EH2110, "&lt;&gt;")</f>
        <v>0</v>
      </c>
      <c r="AZ2110" s="0" t="n">
        <f aca="false">IF(EH2110&lt;&gt;"",1,0)</f>
        <v>0</v>
      </c>
      <c r="BB2110" s="0" t="s">
        <v>153</v>
      </c>
      <c r="CZ2110" s="0" t="s">
        <v>154</v>
      </c>
      <c r="DC2110" s="0" t="s">
        <v>154</v>
      </c>
      <c r="DI2110" s="0" t="s">
        <v>154</v>
      </c>
      <c r="DO2110" s="0" t="s">
        <v>155</v>
      </c>
    </row>
    <row r="2111" customFormat="false" ht="13.8" hidden="false" customHeight="false" outlineLevel="0" collapsed="false">
      <c r="A2111" s="0" t="s">
        <v>9301</v>
      </c>
      <c r="B2111" s="0" t="n">
        <v>78</v>
      </c>
      <c r="C2111" s="0" t="n">
        <v>147725</v>
      </c>
      <c r="D2111" s="0" t="s">
        <v>9302</v>
      </c>
      <c r="E2111" s="0" t="s">
        <v>867</v>
      </c>
      <c r="F2111" s="0" t="str">
        <f aca="false">CONCATENATE(D2111," ",LEFT(H2111,4),"T=",AU2111,"D=",AV2111,"R=",AW2111,"M=",AX2111,"L=",AY2111,"B=",AZ2111)</f>
        <v>NEAL MOORE T=4D=0R=0M=8L=7B=1</v>
      </c>
      <c r="G2111" s="0" t="s">
        <v>202</v>
      </c>
      <c r="I2111" s="0" t="s">
        <v>9303</v>
      </c>
      <c r="J2111" s="0" t="s">
        <v>9304</v>
      </c>
      <c r="K2111" s="0" t="s">
        <v>175</v>
      </c>
      <c r="L2111" s="1" t="s">
        <v>155</v>
      </c>
      <c r="M2111" s="0" t="s">
        <v>9300</v>
      </c>
      <c r="N2111" s="0" t="str">
        <f aca="false">RIGHT(M2111,LEN(M2111)-FIND(" ",M2111))</f>
        <v>PAIGE AVE NE</v>
      </c>
      <c r="P2111" s="0" t="s">
        <v>146</v>
      </c>
      <c r="Q2111" s="0" t="s">
        <v>147</v>
      </c>
      <c r="R2111" s="0" t="n">
        <v>44483</v>
      </c>
      <c r="S2111" s="0" t="n">
        <v>3835</v>
      </c>
      <c r="AD2111" s="0" t="s">
        <v>148</v>
      </c>
      <c r="AE2111" s="0" t="s">
        <v>149</v>
      </c>
      <c r="AF2111" s="0" t="s">
        <v>150</v>
      </c>
      <c r="AH2111" s="0" t="n">
        <v>14</v>
      </c>
      <c r="AI2111" s="0" t="n">
        <v>11</v>
      </c>
      <c r="AN2111" s="0" t="s">
        <v>146</v>
      </c>
      <c r="AO2111" s="0" t="s">
        <v>236</v>
      </c>
      <c r="AP2111" s="0" t="s">
        <v>237</v>
      </c>
      <c r="AQ2111" s="0" t="n">
        <v>9</v>
      </c>
      <c r="AR2111" s="0" t="n">
        <v>64</v>
      </c>
      <c r="AS2111" s="0" t="n">
        <v>32</v>
      </c>
      <c r="AU2111" s="0" t="n">
        <f aca="false">COUNTA($BA$758:$EH$758)</f>
        <v>4</v>
      </c>
      <c r="AV2111" s="0" t="n">
        <f aca="false">COUNTIF($BA$758:$EH$758,"D")</f>
        <v>0</v>
      </c>
      <c r="AW2111" s="0" t="n">
        <f aca="false">COUNTIF($BA$758:$EH$758,"R")</f>
        <v>0</v>
      </c>
      <c r="AX2111" s="0" t="n">
        <f aca="false"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>8</v>
      </c>
      <c r="AY2111" s="0" t="n">
        <f aca="false">COUNTIF(DU2111:EH2111, "&lt;&gt;")</f>
        <v>7</v>
      </c>
      <c r="AZ2111" s="0" t="n">
        <f aca="false">IF(EH2111&lt;&gt;"",1,0)</f>
        <v>1</v>
      </c>
      <c r="BB2111" s="0" t="s">
        <v>153</v>
      </c>
      <c r="BC2111" s="0" t="s">
        <v>154</v>
      </c>
      <c r="BH2111" s="0" t="s">
        <v>154</v>
      </c>
      <c r="BI2111" s="0" t="s">
        <v>154</v>
      </c>
      <c r="BJ2111" s="0" t="s">
        <v>154</v>
      </c>
      <c r="BK2111" s="0" t="s">
        <v>154</v>
      </c>
      <c r="BL2111" s="0" t="s">
        <v>154</v>
      </c>
      <c r="BP2111" s="0" t="s">
        <v>154</v>
      </c>
      <c r="BR2111" s="0" t="s">
        <v>154</v>
      </c>
      <c r="BS2111" s="0" t="s">
        <v>154</v>
      </c>
      <c r="BY2111" s="0" t="s">
        <v>155</v>
      </c>
      <c r="CA2111" s="0" t="s">
        <v>154</v>
      </c>
      <c r="CG2111" s="0" t="s">
        <v>154</v>
      </c>
      <c r="CH2111" s="0" t="s">
        <v>155</v>
      </c>
      <c r="CK2111" s="0" t="s">
        <v>154</v>
      </c>
      <c r="CL2111" s="0" t="s">
        <v>155</v>
      </c>
      <c r="CN2111" s="0" t="s">
        <v>154</v>
      </c>
      <c r="CP2111" s="0" t="s">
        <v>154</v>
      </c>
      <c r="CQ2111" s="0" t="s">
        <v>155</v>
      </c>
      <c r="CT2111" s="0" t="s">
        <v>154</v>
      </c>
      <c r="CU2111" s="0" t="s">
        <v>155</v>
      </c>
      <c r="CV2111" s="0" t="s">
        <v>154</v>
      </c>
      <c r="CW2111" s="0" t="s">
        <v>155</v>
      </c>
      <c r="CY2111" s="0" t="s">
        <v>154</v>
      </c>
      <c r="CZ2111" s="0" t="s">
        <v>155</v>
      </c>
      <c r="DC2111" s="0" t="s">
        <v>154</v>
      </c>
      <c r="DD2111" s="0" t="s">
        <v>155</v>
      </c>
      <c r="DG2111" s="0" t="s">
        <v>155</v>
      </c>
      <c r="DI2111" s="0" t="s">
        <v>154</v>
      </c>
      <c r="DJ2111" s="0" t="s">
        <v>155</v>
      </c>
      <c r="DL2111" s="0" t="s">
        <v>154</v>
      </c>
      <c r="DM2111" s="0" t="s">
        <v>155</v>
      </c>
      <c r="DN2111" s="0" t="s">
        <v>154</v>
      </c>
      <c r="DO2111" s="0" t="s">
        <v>155</v>
      </c>
      <c r="DR2111" s="0" t="s">
        <v>154</v>
      </c>
      <c r="DS2111" s="0" t="s">
        <v>155</v>
      </c>
      <c r="DT2111" s="0" t="s">
        <v>155</v>
      </c>
      <c r="DU2111" s="0" t="s">
        <v>154</v>
      </c>
      <c r="DW2111" s="0" t="s">
        <v>155</v>
      </c>
      <c r="DX2111" s="0" t="s">
        <v>154</v>
      </c>
      <c r="EA2111" s="0" t="s">
        <v>154</v>
      </c>
      <c r="ED2111" s="0" t="s">
        <v>155</v>
      </c>
      <c r="EF2111" s="0" t="s">
        <v>154</v>
      </c>
      <c r="EH2111" s="0" t="s">
        <v>155</v>
      </c>
    </row>
    <row r="2112" customFormat="false" ht="13.8" hidden="false" customHeight="false" outlineLevel="0" collapsed="false">
      <c r="A2112" s="0" t="s">
        <v>9305</v>
      </c>
      <c r="B2112" s="0" t="n">
        <v>78</v>
      </c>
      <c r="C2112" s="0" t="n">
        <v>147328</v>
      </c>
      <c r="D2112" s="0" t="s">
        <v>3276</v>
      </c>
      <c r="E2112" s="0" t="s">
        <v>9306</v>
      </c>
      <c r="F2112" s="0" t="str">
        <f aca="false">CONCATENATE(D2112," ",LEFT(H2112,4),"T=",AU2112,"D=",AV2112,"R=",AW2112,"M=",AX2112,"L=",AY2112,"B=",AZ2112)</f>
        <v>MOORE JRT=3D=0R=0M=8L=7B=1</v>
      </c>
      <c r="G2112" s="0" t="s">
        <v>365</v>
      </c>
      <c r="H2112" s="0" t="s">
        <v>431</v>
      </c>
      <c r="I2112" s="0" t="s">
        <v>2182</v>
      </c>
      <c r="J2112" s="0" t="s">
        <v>3688</v>
      </c>
      <c r="K2112" s="0" t="s">
        <v>175</v>
      </c>
      <c r="L2112" s="1" t="s">
        <v>155</v>
      </c>
      <c r="M2112" s="0" t="s">
        <v>9300</v>
      </c>
      <c r="N2112" s="0" t="str">
        <f aca="false">RIGHT(M2112,LEN(M2112)-FIND(" ",M2112))</f>
        <v>PAIGE AVE NE</v>
      </c>
      <c r="P2112" s="0" t="s">
        <v>146</v>
      </c>
      <c r="Q2112" s="0" t="s">
        <v>147</v>
      </c>
      <c r="R2112" s="0" t="n">
        <v>44483</v>
      </c>
      <c r="AD2112" s="0" t="s">
        <v>148</v>
      </c>
      <c r="AE2112" s="0" t="s">
        <v>149</v>
      </c>
      <c r="AF2112" s="0" t="s">
        <v>150</v>
      </c>
      <c r="AH2112" s="0" t="n">
        <v>14</v>
      </c>
      <c r="AI2112" s="0" t="n">
        <v>11</v>
      </c>
      <c r="AN2112" s="0" t="s">
        <v>146</v>
      </c>
      <c r="AO2112" s="0" t="s">
        <v>236</v>
      </c>
      <c r="AP2112" s="0" t="s">
        <v>237</v>
      </c>
      <c r="AQ2112" s="0" t="n">
        <v>9</v>
      </c>
      <c r="AR2112" s="0" t="n">
        <v>64</v>
      </c>
      <c r="AS2112" s="0" t="n">
        <v>32</v>
      </c>
      <c r="AU2112" s="0" t="n">
        <f aca="false">COUNTA($BA$784:$EH$784)</f>
        <v>3</v>
      </c>
      <c r="AV2112" s="0" t="n">
        <f aca="false">COUNTIF($BA$784:$EH$784,"D")</f>
        <v>0</v>
      </c>
      <c r="AW2112" s="0" t="n">
        <f aca="false">COUNTIF($BA$784:$EH$784,"R")</f>
        <v>0</v>
      </c>
      <c r="AX2112" s="0" t="n">
        <f aca="false"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>8</v>
      </c>
      <c r="AY2112" s="0" t="n">
        <f aca="false">COUNTIF(DU2112:EH2112, "&lt;&gt;")</f>
        <v>7</v>
      </c>
      <c r="AZ2112" s="0" t="n">
        <f aca="false">IF(EH2112&lt;&gt;"",1,0)</f>
        <v>1</v>
      </c>
      <c r="BB2112" s="0" t="s">
        <v>153</v>
      </c>
      <c r="BC2112" s="0" t="s">
        <v>154</v>
      </c>
      <c r="BD2112" s="0" t="s">
        <v>154</v>
      </c>
      <c r="BE2112" s="0" t="s">
        <v>154</v>
      </c>
      <c r="BG2112" s="0" t="s">
        <v>154</v>
      </c>
      <c r="BH2112" s="0" t="s">
        <v>154</v>
      </c>
      <c r="BI2112" s="0" t="s">
        <v>154</v>
      </c>
      <c r="BJ2112" s="0" t="s">
        <v>154</v>
      </c>
      <c r="BK2112" s="0" t="s">
        <v>154</v>
      </c>
      <c r="BL2112" s="0" t="s">
        <v>154</v>
      </c>
      <c r="BP2112" s="0" t="s">
        <v>154</v>
      </c>
      <c r="BR2112" s="0" t="s">
        <v>154</v>
      </c>
      <c r="BS2112" s="0" t="s">
        <v>154</v>
      </c>
      <c r="BY2112" s="0" t="s">
        <v>155</v>
      </c>
      <c r="CA2112" s="0" t="s">
        <v>154</v>
      </c>
      <c r="CC2112" s="0" t="s">
        <v>155</v>
      </c>
      <c r="CG2112" s="0" t="s">
        <v>154</v>
      </c>
      <c r="CH2112" s="0" t="s">
        <v>155</v>
      </c>
      <c r="CK2112" s="0" t="s">
        <v>154</v>
      </c>
      <c r="CL2112" s="0" t="s">
        <v>155</v>
      </c>
      <c r="CN2112" s="0" t="s">
        <v>154</v>
      </c>
      <c r="CO2112" s="0" t="s">
        <v>155</v>
      </c>
      <c r="CP2112" s="0" t="s">
        <v>154</v>
      </c>
      <c r="CT2112" s="0" t="s">
        <v>154</v>
      </c>
      <c r="CU2112" s="0" t="s">
        <v>155</v>
      </c>
      <c r="CV2112" s="0" t="s">
        <v>154</v>
      </c>
      <c r="CW2112" s="0" t="s">
        <v>155</v>
      </c>
      <c r="CY2112" s="0" t="s">
        <v>154</v>
      </c>
      <c r="CZ2112" s="0" t="s">
        <v>155</v>
      </c>
      <c r="DC2112" s="0" t="s">
        <v>154</v>
      </c>
      <c r="DD2112" s="0" t="s">
        <v>155</v>
      </c>
      <c r="DF2112" s="0" t="s">
        <v>154</v>
      </c>
      <c r="DG2112" s="0" t="s">
        <v>155</v>
      </c>
      <c r="DI2112" s="0" t="s">
        <v>154</v>
      </c>
      <c r="DJ2112" s="0" t="s">
        <v>155</v>
      </c>
      <c r="DL2112" s="0" t="s">
        <v>154</v>
      </c>
      <c r="DM2112" s="0" t="s">
        <v>155</v>
      </c>
      <c r="DN2112" s="0" t="s">
        <v>154</v>
      </c>
      <c r="DO2112" s="0" t="s">
        <v>155</v>
      </c>
      <c r="DR2112" s="0" t="s">
        <v>154</v>
      </c>
      <c r="DS2112" s="0" t="s">
        <v>155</v>
      </c>
      <c r="DT2112" s="0" t="s">
        <v>155</v>
      </c>
      <c r="DU2112" s="0" t="s">
        <v>154</v>
      </c>
      <c r="DW2112" s="0" t="s">
        <v>155</v>
      </c>
      <c r="DX2112" s="0" t="s">
        <v>154</v>
      </c>
      <c r="EA2112" s="0" t="s">
        <v>154</v>
      </c>
      <c r="ED2112" s="0" t="s">
        <v>155</v>
      </c>
      <c r="EF2112" s="0" t="s">
        <v>154</v>
      </c>
      <c r="EH2112" s="0" t="s">
        <v>155</v>
      </c>
    </row>
    <row r="2113" customFormat="false" ht="13.8" hidden="false" customHeight="false" outlineLevel="0" collapsed="false">
      <c r="A2113" s="0" t="s">
        <v>9307</v>
      </c>
      <c r="B2113" s="0" t="n">
        <v>78</v>
      </c>
      <c r="C2113" s="0" t="n">
        <v>350495</v>
      </c>
      <c r="D2113" s="0" t="s">
        <v>931</v>
      </c>
      <c r="E2113" s="0" t="s">
        <v>9308</v>
      </c>
      <c r="F2113" s="0" t="str">
        <f aca="false">CONCATENATE(D2113," ",LEFT(H2113,4),"T=",AU2113,"D=",AV2113,"R=",AW2113,"M=",AX2113,"L=",AY2113,"B=",AZ2113)</f>
        <v>BAKER T=1D=0R=0M=0L=3B=0</v>
      </c>
      <c r="G2113" s="0" t="s">
        <v>241</v>
      </c>
      <c r="I2113" s="0" t="s">
        <v>9309</v>
      </c>
      <c r="J2113" s="0" t="s">
        <v>9310</v>
      </c>
      <c r="K2113" s="0" t="s">
        <v>175</v>
      </c>
      <c r="L2113" s="1" t="s">
        <v>176</v>
      </c>
      <c r="M2113" s="0" t="s">
        <v>9311</v>
      </c>
      <c r="N2113" s="0" t="str">
        <f aca="false">RIGHT(M2113,LEN(M2113)-FIND(" ",M2113))</f>
        <v>PAIGE AVE NE</v>
      </c>
      <c r="P2113" s="0" t="s">
        <v>146</v>
      </c>
      <c r="Q2113" s="0" t="s">
        <v>147</v>
      </c>
      <c r="R2113" s="0" t="n">
        <v>44483</v>
      </c>
      <c r="AD2113" s="0" t="s">
        <v>148</v>
      </c>
      <c r="AE2113" s="0" t="s">
        <v>149</v>
      </c>
      <c r="AF2113" s="0" t="s">
        <v>150</v>
      </c>
      <c r="AH2113" s="0" t="n">
        <v>14</v>
      </c>
      <c r="AI2113" s="0" t="n">
        <v>11</v>
      </c>
      <c r="AN2113" s="0" t="s">
        <v>146</v>
      </c>
      <c r="AO2113" s="0" t="s">
        <v>236</v>
      </c>
      <c r="AP2113" s="0" t="s">
        <v>237</v>
      </c>
      <c r="AQ2113" s="0" t="n">
        <v>9</v>
      </c>
      <c r="AR2113" s="0" t="n">
        <v>64</v>
      </c>
      <c r="AS2113" s="0" t="n">
        <v>32</v>
      </c>
      <c r="AU2113" s="0" t="n">
        <f aca="false">COUNTA($BA$783:$EH$783)</f>
        <v>1</v>
      </c>
      <c r="AV2113" s="0" t="n">
        <f aca="false">COUNTIF($BA$783:$EH$783,"D")</f>
        <v>0</v>
      </c>
      <c r="AW2113" s="0" t="n">
        <f aca="false">COUNTIF($BA$783:$EH$783,"R")</f>
        <v>0</v>
      </c>
      <c r="AX2113" s="0" t="n">
        <f aca="false"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>0</v>
      </c>
      <c r="AY2113" s="0" t="n">
        <f aca="false">COUNTIF(DU2113:EH2113, "&lt;&gt;")</f>
        <v>3</v>
      </c>
      <c r="AZ2113" s="0" t="n">
        <f aca="false">IF(EH2113&lt;&gt;"",1,0)</f>
        <v>0</v>
      </c>
      <c r="BB2113" s="0" t="s">
        <v>153</v>
      </c>
      <c r="CA2113" s="0" t="s">
        <v>154</v>
      </c>
      <c r="CO2113" s="0" t="s">
        <v>155</v>
      </c>
      <c r="CP2113" s="0" t="s">
        <v>154</v>
      </c>
      <c r="CZ2113" s="0" t="s">
        <v>176</v>
      </c>
      <c r="DC2113" s="0" t="s">
        <v>154</v>
      </c>
      <c r="DN2113" s="0" t="s">
        <v>154</v>
      </c>
      <c r="DT2113" s="0" t="s">
        <v>176</v>
      </c>
      <c r="DU2113" s="0" t="s">
        <v>154</v>
      </c>
      <c r="EA2113" s="0" t="s">
        <v>154</v>
      </c>
      <c r="EF2113" s="0" t="s">
        <v>154</v>
      </c>
    </row>
    <row r="2114" customFormat="false" ht="13.8" hidden="false" customHeight="false" outlineLevel="0" collapsed="false">
      <c r="A2114" s="0" t="s">
        <v>9312</v>
      </c>
      <c r="B2114" s="0" t="n">
        <v>78</v>
      </c>
      <c r="C2114" s="0" t="n">
        <v>238721</v>
      </c>
      <c r="D2114" s="0" t="s">
        <v>9313</v>
      </c>
      <c r="E2114" s="0" t="s">
        <v>6851</v>
      </c>
      <c r="F2114" s="0" t="str">
        <f aca="false">CONCATENATE(D2114," ",LEFT(H2114,4),"T=",AU2114,"D=",AV2114,"R=",AW2114,"M=",AX2114,"L=",AY2114,"B=",AZ2114)</f>
        <v>FLASK T=1D=0R=0M=0L=2B=0</v>
      </c>
      <c r="G2114" s="0" t="s">
        <v>455</v>
      </c>
      <c r="I2114" s="0" t="s">
        <v>6006</v>
      </c>
      <c r="J2114" s="0" t="s">
        <v>1494</v>
      </c>
      <c r="K2114" s="0" t="s">
        <v>175</v>
      </c>
      <c r="M2114" s="0" t="s">
        <v>9311</v>
      </c>
      <c r="N2114" s="0" t="str">
        <f aca="false">RIGHT(M2114,LEN(M2114)-FIND(" ",M2114))</f>
        <v>PAIGE AVE NE</v>
      </c>
      <c r="P2114" s="0" t="s">
        <v>146</v>
      </c>
      <c r="Q2114" s="0" t="s">
        <v>147</v>
      </c>
      <c r="R2114" s="0" t="n">
        <v>44483</v>
      </c>
      <c r="AD2114" s="0" t="s">
        <v>148</v>
      </c>
      <c r="AE2114" s="0" t="s">
        <v>149</v>
      </c>
      <c r="AF2114" s="0" t="s">
        <v>150</v>
      </c>
      <c r="AH2114" s="0" t="n">
        <v>14</v>
      </c>
      <c r="AI2114" s="0" t="n">
        <v>11</v>
      </c>
      <c r="AN2114" s="0" t="s">
        <v>146</v>
      </c>
      <c r="AO2114" s="0" t="s">
        <v>236</v>
      </c>
      <c r="AP2114" s="0" t="s">
        <v>237</v>
      </c>
      <c r="AQ2114" s="0" t="n">
        <v>9</v>
      </c>
      <c r="AR2114" s="0" t="n">
        <v>64</v>
      </c>
      <c r="AS2114" s="0" t="n">
        <v>32</v>
      </c>
      <c r="AU2114" s="0" t="n">
        <f aca="false">COUNTA($BA$790:$EH$790)</f>
        <v>1</v>
      </c>
      <c r="AV2114" s="0" t="n">
        <f aca="false">COUNTIF($BA$790:$EH$790,"D")</f>
        <v>0</v>
      </c>
      <c r="AW2114" s="0" t="n">
        <f aca="false">COUNTIF($BA$790:$EH$790,"R")</f>
        <v>0</v>
      </c>
      <c r="AX2114" s="0" t="n">
        <f aca="false"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>0</v>
      </c>
      <c r="AY2114" s="0" t="n">
        <f aca="false">COUNTIF(DU2114:EH2114, "&lt;&gt;")</f>
        <v>2</v>
      </c>
      <c r="AZ2114" s="0" t="n">
        <f aca="false">IF(EH2114&lt;&gt;"",1,0)</f>
        <v>0</v>
      </c>
      <c r="BB2114" s="0" t="s">
        <v>153</v>
      </c>
      <c r="BD2114" s="0" t="s">
        <v>154</v>
      </c>
      <c r="BE2114" s="0" t="s">
        <v>154</v>
      </c>
      <c r="BL2114" s="0" t="s">
        <v>154</v>
      </c>
      <c r="BY2114" s="0" t="s">
        <v>155</v>
      </c>
      <c r="CA2114" s="0" t="s">
        <v>154</v>
      </c>
      <c r="CP2114" s="0" t="s">
        <v>154</v>
      </c>
      <c r="DC2114" s="0" t="s">
        <v>154</v>
      </c>
      <c r="DN2114" s="0" t="s">
        <v>154</v>
      </c>
      <c r="EA2114" s="0" t="s">
        <v>154</v>
      </c>
      <c r="EF2114" s="0" t="s">
        <v>154</v>
      </c>
    </row>
    <row r="2115" customFormat="false" ht="13.8" hidden="true" customHeight="false" outlineLevel="0" collapsed="false">
      <c r="A2115" s="0" t="s">
        <v>9314</v>
      </c>
      <c r="B2115" s="0" t="n">
        <v>78</v>
      </c>
      <c r="C2115" s="0" t="n">
        <v>369680</v>
      </c>
      <c r="D2115" s="0" t="s">
        <v>931</v>
      </c>
      <c r="E2115" s="0" t="s">
        <v>619</v>
      </c>
      <c r="F2115" s="0" t="str">
        <f aca="false">CONCATENATE(D2115," ",LEFT(H2115,4),"T=",AU2115,"D=",AV2115,"R=",AW2115,"M=",AX2115,"L=",AY2115,"B=",AZ2115)</f>
        <v>BAKER T=7D=1R=0M=0L=1B=0</v>
      </c>
      <c r="G2115" s="0" t="s">
        <v>241</v>
      </c>
      <c r="I2115" s="0" t="s">
        <v>9315</v>
      </c>
      <c r="J2115" s="0" t="s">
        <v>9316</v>
      </c>
      <c r="K2115" s="0" t="s">
        <v>175</v>
      </c>
      <c r="L2115" s="0"/>
      <c r="M2115" s="0" t="s">
        <v>9311</v>
      </c>
      <c r="N2115" s="0" t="str">
        <f aca="false">RIGHT(M2115,LEN(M2115)-FIND(" ",M2115))</f>
        <v>PAIGE AVE NE</v>
      </c>
      <c r="P2115" s="0" t="s">
        <v>146</v>
      </c>
      <c r="Q2115" s="0" t="s">
        <v>147</v>
      </c>
      <c r="R2115" s="0" t="n">
        <v>44483</v>
      </c>
      <c r="AD2115" s="0" t="s">
        <v>148</v>
      </c>
      <c r="AE2115" s="0" t="s">
        <v>149</v>
      </c>
      <c r="AF2115" s="0" t="s">
        <v>150</v>
      </c>
      <c r="AH2115" s="0" t="n">
        <v>14</v>
      </c>
      <c r="AI2115" s="0" t="n">
        <v>11</v>
      </c>
      <c r="AN2115" s="0" t="s">
        <v>146</v>
      </c>
      <c r="AO2115" s="0" t="s">
        <v>236</v>
      </c>
      <c r="AP2115" s="0" t="s">
        <v>237</v>
      </c>
      <c r="AQ2115" s="0" t="n">
        <v>9</v>
      </c>
      <c r="AR2115" s="0" t="n">
        <v>64</v>
      </c>
      <c r="AS2115" s="0" t="n">
        <v>32</v>
      </c>
      <c r="AU2115" s="0" t="n">
        <f aca="false">COUNTA($BA$795:$EH$795)</f>
        <v>7</v>
      </c>
      <c r="AV2115" s="0" t="n">
        <f aca="false">COUNTIF($BA$795:$EH$795,"D")</f>
        <v>1</v>
      </c>
      <c r="AW2115" s="0" t="n">
        <f aca="false">COUNTIF($BA$795:$EH$795,"R")</f>
        <v>0</v>
      </c>
      <c r="AX2115" s="0" t="n">
        <f aca="false"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>0</v>
      </c>
      <c r="AY2115" s="0" t="n">
        <f aca="false">COUNTIF(DU2115:EH2115, "&lt;&gt;")</f>
        <v>1</v>
      </c>
      <c r="AZ2115" s="0" t="n">
        <f aca="false">IF(EH2115&lt;&gt;"",1,0)</f>
        <v>0</v>
      </c>
      <c r="BB2115" s="0" t="s">
        <v>153</v>
      </c>
      <c r="DC2115" s="0" t="s">
        <v>154</v>
      </c>
      <c r="EF2115" s="0" t="s">
        <v>154</v>
      </c>
    </row>
    <row r="2116" customFormat="false" ht="13.8" hidden="false" customHeight="false" outlineLevel="0" collapsed="false">
      <c r="A2116" s="0" t="s">
        <v>9317</v>
      </c>
      <c r="B2116" s="0" t="n">
        <v>78</v>
      </c>
      <c r="C2116" s="0" t="n">
        <v>362863</v>
      </c>
      <c r="D2116" s="0" t="s">
        <v>931</v>
      </c>
      <c r="E2116" s="0" t="s">
        <v>429</v>
      </c>
      <c r="F2116" s="0" t="str">
        <f aca="false">CONCATENATE(D2116," ",LEFT(H2116,4),"T=",AU2116,"D=",AV2116,"R=",AW2116,"M=",AX2116,"L=",AY2116,"B=",AZ2116)</f>
        <v>BAKER T=3D=0R=0M=0L=2B=0</v>
      </c>
      <c r="G2116" s="0" t="s">
        <v>155</v>
      </c>
      <c r="I2116" s="0" t="s">
        <v>9318</v>
      </c>
      <c r="J2116" s="0" t="s">
        <v>521</v>
      </c>
      <c r="K2116" s="0" t="s">
        <v>175</v>
      </c>
      <c r="M2116" s="0" t="s">
        <v>9311</v>
      </c>
      <c r="N2116" s="0" t="str">
        <f aca="false">RIGHT(M2116,LEN(M2116)-FIND(" ",M2116))</f>
        <v>PAIGE AVE NE</v>
      </c>
      <c r="P2116" s="0" t="s">
        <v>146</v>
      </c>
      <c r="Q2116" s="0" t="s">
        <v>147</v>
      </c>
      <c r="R2116" s="0" t="n">
        <v>44483</v>
      </c>
      <c r="AD2116" s="0" t="s">
        <v>148</v>
      </c>
      <c r="AE2116" s="0" t="s">
        <v>149</v>
      </c>
      <c r="AF2116" s="0" t="s">
        <v>150</v>
      </c>
      <c r="AH2116" s="0" t="n">
        <v>14</v>
      </c>
      <c r="AI2116" s="0" t="n">
        <v>11</v>
      </c>
      <c r="AN2116" s="0" t="s">
        <v>146</v>
      </c>
      <c r="AO2116" s="0" t="s">
        <v>236</v>
      </c>
      <c r="AP2116" s="0" t="s">
        <v>237</v>
      </c>
      <c r="AQ2116" s="0" t="n">
        <v>9</v>
      </c>
      <c r="AR2116" s="0" t="n">
        <v>64</v>
      </c>
      <c r="AS2116" s="0" t="n">
        <v>32</v>
      </c>
      <c r="AU2116" s="0" t="n">
        <f aca="false">COUNTA($BA$799:$EH$799)</f>
        <v>3</v>
      </c>
      <c r="AV2116" s="0" t="n">
        <f aca="false">COUNTIF($BA$799:$EH$799,"D")</f>
        <v>0</v>
      </c>
      <c r="AW2116" s="0" t="n">
        <f aca="false">COUNTIF($BA$799:$EH$799,"R")</f>
        <v>0</v>
      </c>
      <c r="AX2116" s="0" t="n">
        <f aca="false"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>0</v>
      </c>
      <c r="AY2116" s="0" t="n">
        <f aca="false">COUNTIF(DU2116:EH2116, "&lt;&gt;")</f>
        <v>2</v>
      </c>
      <c r="AZ2116" s="0" t="n">
        <f aca="false">IF(EH2116&lt;&gt;"",1,0)</f>
        <v>0</v>
      </c>
      <c r="BB2116" s="0" t="s">
        <v>153</v>
      </c>
      <c r="CA2116" s="0" t="s">
        <v>154</v>
      </c>
      <c r="CP2116" s="0" t="s">
        <v>154</v>
      </c>
      <c r="DC2116" s="0" t="s">
        <v>154</v>
      </c>
      <c r="DN2116" s="0" t="s">
        <v>154</v>
      </c>
      <c r="EA2116" s="0" t="s">
        <v>154</v>
      </c>
      <c r="EF2116" s="0" t="s">
        <v>154</v>
      </c>
    </row>
    <row r="2117" customFormat="false" ht="13.8" hidden="true" customHeight="false" outlineLevel="0" collapsed="false">
      <c r="A2117" s="0" t="s">
        <v>9319</v>
      </c>
      <c r="B2117" s="0" t="n">
        <v>78</v>
      </c>
      <c r="C2117" s="0" t="n">
        <v>405169</v>
      </c>
      <c r="D2117" s="0" t="s">
        <v>9320</v>
      </c>
      <c r="E2117" s="0" t="s">
        <v>9321</v>
      </c>
      <c r="F2117" s="0" t="str">
        <f aca="false">CONCATENATE(D2117," ",LEFT(H2117,4),"T=",AU2117,"D=",AV2117,"R=",AW2117,"M=",AX2117,"L=",AY2117,"B=",AZ2117)</f>
        <v>MALAILUA T=5D=0R=0M=0L=0B=0</v>
      </c>
      <c r="G2117" s="0" t="s">
        <v>172</v>
      </c>
      <c r="I2117" s="0" t="s">
        <v>9322</v>
      </c>
      <c r="J2117" s="0" t="s">
        <v>183</v>
      </c>
      <c r="K2117" s="0" t="s">
        <v>144</v>
      </c>
      <c r="L2117" s="0"/>
      <c r="M2117" s="0" t="s">
        <v>9323</v>
      </c>
      <c r="N2117" s="0" t="str">
        <f aca="false">RIGHT(M2117,LEN(M2117)-FIND(" ",M2117))</f>
        <v>PAIGE AVE NE</v>
      </c>
      <c r="P2117" s="0" t="s">
        <v>146</v>
      </c>
      <c r="Q2117" s="0" t="s">
        <v>147</v>
      </c>
      <c r="R2117" s="0" t="n">
        <v>44483</v>
      </c>
      <c r="AD2117" s="0" t="s">
        <v>148</v>
      </c>
      <c r="AE2117" s="0" t="s">
        <v>149</v>
      </c>
      <c r="AF2117" s="0" t="s">
        <v>150</v>
      </c>
      <c r="AH2117" s="0" t="n">
        <v>14</v>
      </c>
      <c r="AI2117" s="0" t="n">
        <v>11</v>
      </c>
      <c r="AN2117" s="0" t="s">
        <v>146</v>
      </c>
      <c r="AO2117" s="0" t="s">
        <v>236</v>
      </c>
      <c r="AP2117" s="0" t="s">
        <v>237</v>
      </c>
      <c r="AQ2117" s="0" t="n">
        <v>9</v>
      </c>
      <c r="AR2117" s="0" t="n">
        <v>64</v>
      </c>
      <c r="AS2117" s="0" t="n">
        <v>32</v>
      </c>
      <c r="AU2117" s="0" t="n">
        <f aca="false">COUNTA($BA$436:$EH$436)</f>
        <v>5</v>
      </c>
      <c r="AV2117" s="0" t="n">
        <f aca="false">COUNTIF($BA$436:$EH$436,"D")</f>
        <v>0</v>
      </c>
      <c r="AW2117" s="0" t="n">
        <f aca="false">COUNTIF($BA$436:$EH$436,"R")</f>
        <v>0</v>
      </c>
      <c r="AX2117" s="0" t="n">
        <f aca="false"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>0</v>
      </c>
      <c r="AY2117" s="0" t="n">
        <f aca="false">COUNTIF(DU2117:EH2117, "&lt;&gt;")</f>
        <v>0</v>
      </c>
      <c r="AZ2117" s="0" t="n">
        <f aca="false">IF(EH2117&lt;&gt;"",1,0)</f>
        <v>0</v>
      </c>
      <c r="BB2117" s="0" t="s">
        <v>153</v>
      </c>
      <c r="DC2117" s="0" t="s">
        <v>154</v>
      </c>
    </row>
    <row r="2118" customFormat="false" ht="13.8" hidden="false" customHeight="false" outlineLevel="0" collapsed="false">
      <c r="A2118" s="0" t="s">
        <v>9324</v>
      </c>
      <c r="B2118" s="0" t="n">
        <v>78</v>
      </c>
      <c r="C2118" s="0" t="n">
        <v>429325</v>
      </c>
      <c r="D2118" s="0" t="s">
        <v>9320</v>
      </c>
      <c r="E2118" s="0" t="s">
        <v>266</v>
      </c>
      <c r="F2118" s="0" t="str">
        <f aca="false">CONCATENATE(D2118," ",LEFT(H2118,4),"T=",AU2118,"D=",AV2118,"R=",AW2118,"M=",AX2118,"L=",AY2118,"B=",AZ2118)</f>
        <v>MALAILUA T=1D=0R=0M=0L=3B=0</v>
      </c>
      <c r="G2118" s="0" t="s">
        <v>1545</v>
      </c>
      <c r="I2118" s="0" t="s">
        <v>9325</v>
      </c>
      <c r="J2118" s="0" t="s">
        <v>6461</v>
      </c>
      <c r="K2118" s="0" t="s">
        <v>175</v>
      </c>
      <c r="L2118" s="1" t="s">
        <v>176</v>
      </c>
      <c r="M2118" s="0" t="s">
        <v>9323</v>
      </c>
      <c r="N2118" s="0" t="str">
        <f aca="false">RIGHT(M2118,LEN(M2118)-FIND(" ",M2118))</f>
        <v>PAIGE AVE NE</v>
      </c>
      <c r="P2118" s="0" t="s">
        <v>146</v>
      </c>
      <c r="Q2118" s="0" t="s">
        <v>147</v>
      </c>
      <c r="R2118" s="0" t="n">
        <v>44483</v>
      </c>
      <c r="AD2118" s="0" t="s">
        <v>148</v>
      </c>
      <c r="AE2118" s="0" t="s">
        <v>149</v>
      </c>
      <c r="AF2118" s="0" t="s">
        <v>150</v>
      </c>
      <c r="AH2118" s="0" t="n">
        <v>14</v>
      </c>
      <c r="AI2118" s="0" t="n">
        <v>11</v>
      </c>
      <c r="AN2118" s="0" t="s">
        <v>146</v>
      </c>
      <c r="AO2118" s="0" t="s">
        <v>236</v>
      </c>
      <c r="AP2118" s="0" t="s">
        <v>237</v>
      </c>
      <c r="AQ2118" s="0" t="n">
        <v>9</v>
      </c>
      <c r="AR2118" s="0" t="n">
        <v>64</v>
      </c>
      <c r="AS2118" s="0" t="n">
        <v>32</v>
      </c>
      <c r="AU2118" s="0" t="n">
        <f aca="false">COUNTA($BA$470:$EH$470)</f>
        <v>1</v>
      </c>
      <c r="AV2118" s="0" t="n">
        <f aca="false">COUNTIF($BA$470:$EH$470,"D")</f>
        <v>0</v>
      </c>
      <c r="AW2118" s="0" t="n">
        <f aca="false">COUNTIF($BA$470:$EH$470,"R")</f>
        <v>0</v>
      </c>
      <c r="AX2118" s="0" t="n">
        <f aca="false"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>0</v>
      </c>
      <c r="AY2118" s="0" t="n">
        <f aca="false">COUNTIF(DU2118:EH2118, "&lt;&gt;")</f>
        <v>3</v>
      </c>
      <c r="AZ2118" s="0" t="n">
        <f aca="false">IF(EH2118&lt;&gt;"",1,0)</f>
        <v>0</v>
      </c>
      <c r="BB2118" s="0" t="s">
        <v>153</v>
      </c>
      <c r="DN2118" s="0" t="s">
        <v>154</v>
      </c>
      <c r="DS2118" s="0" t="s">
        <v>176</v>
      </c>
      <c r="EA2118" s="0" t="s">
        <v>154</v>
      </c>
      <c r="ED2118" s="0" t="s">
        <v>176</v>
      </c>
      <c r="EF2118" s="0" t="s">
        <v>154</v>
      </c>
    </row>
    <row r="2119" customFormat="false" ht="13.8" hidden="false" customHeight="false" outlineLevel="0" collapsed="false">
      <c r="A2119" s="0" t="s">
        <v>9326</v>
      </c>
      <c r="B2119" s="0" t="n">
        <v>78</v>
      </c>
      <c r="C2119" s="0" t="n">
        <v>364532</v>
      </c>
      <c r="D2119" s="0" t="s">
        <v>9320</v>
      </c>
      <c r="E2119" s="0" t="s">
        <v>5456</v>
      </c>
      <c r="F2119" s="0" t="str">
        <f aca="false">CONCATENATE(D2119," ",LEFT(H2119,4),"T=",AU2119,"D=",AV2119,"R=",AW2119,"M=",AX2119,"L=",AY2119,"B=",AZ2119)</f>
        <v>MALAILUA T=4D=0R=0M=0L=5B=0</v>
      </c>
      <c r="G2119" s="0" t="s">
        <v>2370</v>
      </c>
      <c r="I2119" s="0" t="s">
        <v>9327</v>
      </c>
      <c r="J2119" s="0" t="s">
        <v>9328</v>
      </c>
      <c r="K2119" s="0" t="s">
        <v>175</v>
      </c>
      <c r="L2119" s="1" t="s">
        <v>176</v>
      </c>
      <c r="M2119" s="0" t="s">
        <v>9323</v>
      </c>
      <c r="N2119" s="0" t="str">
        <f aca="false">RIGHT(M2119,LEN(M2119)-FIND(" ",M2119))</f>
        <v>PAIGE AVE NE</v>
      </c>
      <c r="P2119" s="0" t="s">
        <v>146</v>
      </c>
      <c r="Q2119" s="0" t="s">
        <v>147</v>
      </c>
      <c r="R2119" s="0" t="n">
        <v>44483</v>
      </c>
      <c r="AD2119" s="0" t="s">
        <v>148</v>
      </c>
      <c r="AE2119" s="0" t="s">
        <v>149</v>
      </c>
      <c r="AF2119" s="0" t="s">
        <v>150</v>
      </c>
      <c r="AH2119" s="0" t="n">
        <v>14</v>
      </c>
      <c r="AI2119" s="0" t="n">
        <v>11</v>
      </c>
      <c r="AN2119" s="0" t="s">
        <v>146</v>
      </c>
      <c r="AO2119" s="0" t="s">
        <v>236</v>
      </c>
      <c r="AP2119" s="0" t="s">
        <v>237</v>
      </c>
      <c r="AQ2119" s="0" t="n">
        <v>9</v>
      </c>
      <c r="AR2119" s="0" t="n">
        <v>64</v>
      </c>
      <c r="AS2119" s="0" t="n">
        <v>32</v>
      </c>
      <c r="AU2119" s="0" t="n">
        <f aca="false">COUNTA($BA$793:$EH$793)</f>
        <v>4</v>
      </c>
      <c r="AV2119" s="0" t="n">
        <f aca="false">COUNTIF($BA$793:$EH$793,"D")</f>
        <v>0</v>
      </c>
      <c r="AW2119" s="0" t="n">
        <f aca="false">COUNTIF($BA$793:$EH$793,"R")</f>
        <v>0</v>
      </c>
      <c r="AX2119" s="0" t="n">
        <f aca="false"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>0</v>
      </c>
      <c r="AY2119" s="0" t="n">
        <f aca="false">COUNTIF(DU2119:EH2119, "&lt;&gt;")</f>
        <v>5</v>
      </c>
      <c r="AZ2119" s="0" t="n">
        <f aca="false">IF(EH2119&lt;&gt;"",1,0)</f>
        <v>0</v>
      </c>
      <c r="BB2119" s="0" t="s">
        <v>153</v>
      </c>
      <c r="CA2119" s="0" t="s">
        <v>154</v>
      </c>
      <c r="CK2119" s="0" t="s">
        <v>154</v>
      </c>
      <c r="CN2119" s="0" t="s">
        <v>154</v>
      </c>
      <c r="CO2119" s="0" t="s">
        <v>176</v>
      </c>
      <c r="CP2119" s="0" t="s">
        <v>154</v>
      </c>
      <c r="CY2119" s="0" t="s">
        <v>154</v>
      </c>
      <c r="DC2119" s="0" t="s">
        <v>154</v>
      </c>
      <c r="DI2119" s="0" t="s">
        <v>154</v>
      </c>
      <c r="DN2119" s="0" t="s">
        <v>154</v>
      </c>
      <c r="DR2119" s="0" t="s">
        <v>154</v>
      </c>
      <c r="DS2119" s="0" t="s">
        <v>176</v>
      </c>
      <c r="DU2119" s="0" t="s">
        <v>154</v>
      </c>
      <c r="DX2119" s="0" t="s">
        <v>154</v>
      </c>
      <c r="EA2119" s="0" t="s">
        <v>154</v>
      </c>
      <c r="ED2119" s="0" t="s">
        <v>176</v>
      </c>
      <c r="EF2119" s="0" t="s">
        <v>154</v>
      </c>
    </row>
    <row r="2120" customFormat="false" ht="13.8" hidden="false" customHeight="false" outlineLevel="0" collapsed="false">
      <c r="A2120" s="0" t="s">
        <v>9329</v>
      </c>
      <c r="B2120" s="0" t="n">
        <v>78</v>
      </c>
      <c r="C2120" s="0" t="n">
        <v>364528</v>
      </c>
      <c r="D2120" s="0" t="s">
        <v>9320</v>
      </c>
      <c r="E2120" s="0" t="s">
        <v>165</v>
      </c>
      <c r="F2120" s="0" t="str">
        <f aca="false">CONCATENATE(D2120," ",LEFT(H2120,4),"T=",AU2120,"D=",AV2120,"R=",AW2120,"M=",AX2120,"L=",AY2120,"B=",AZ2120)</f>
        <v>MALAILUA SRT=1D=0R=0M=0L=5B=0</v>
      </c>
      <c r="G2120" s="0" t="s">
        <v>188</v>
      </c>
      <c r="H2120" s="0" t="s">
        <v>311</v>
      </c>
      <c r="I2120" s="0" t="s">
        <v>9330</v>
      </c>
      <c r="J2120" s="0" t="s">
        <v>9328</v>
      </c>
      <c r="K2120" s="0" t="s">
        <v>175</v>
      </c>
      <c r="L2120" s="1" t="s">
        <v>176</v>
      </c>
      <c r="M2120" s="0" t="s">
        <v>9323</v>
      </c>
      <c r="N2120" s="0" t="str">
        <f aca="false">RIGHT(M2120,LEN(M2120)-FIND(" ",M2120))</f>
        <v>PAIGE AVE NE</v>
      </c>
      <c r="P2120" s="0" t="s">
        <v>146</v>
      </c>
      <c r="Q2120" s="0" t="s">
        <v>147</v>
      </c>
      <c r="R2120" s="0" t="n">
        <v>44483</v>
      </c>
      <c r="AD2120" s="0" t="s">
        <v>148</v>
      </c>
      <c r="AE2120" s="0" t="s">
        <v>149</v>
      </c>
      <c r="AF2120" s="0" t="s">
        <v>150</v>
      </c>
      <c r="AH2120" s="0" t="n">
        <v>14</v>
      </c>
      <c r="AI2120" s="0" t="n">
        <v>11</v>
      </c>
      <c r="AN2120" s="0" t="s">
        <v>146</v>
      </c>
      <c r="AO2120" s="0" t="s">
        <v>236</v>
      </c>
      <c r="AP2120" s="0" t="s">
        <v>237</v>
      </c>
      <c r="AQ2120" s="0" t="n">
        <v>9</v>
      </c>
      <c r="AR2120" s="0" t="n">
        <v>64</v>
      </c>
      <c r="AS2120" s="0" t="n">
        <v>32</v>
      </c>
      <c r="AU2120" s="0" t="n">
        <f aca="false">COUNTA($BA$794:$EH$794)</f>
        <v>1</v>
      </c>
      <c r="AV2120" s="0" t="n">
        <f aca="false">COUNTIF($BA$794:$EH$794,"D")</f>
        <v>0</v>
      </c>
      <c r="AW2120" s="0" t="n">
        <f aca="false">COUNTIF($BA$794:$EH$794,"R")</f>
        <v>0</v>
      </c>
      <c r="AX2120" s="0" t="n">
        <f aca="false"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>0</v>
      </c>
      <c r="AY2120" s="0" t="n">
        <f aca="false">COUNTIF(DU2120:EH2120, "&lt;&gt;")</f>
        <v>5</v>
      </c>
      <c r="AZ2120" s="0" t="n">
        <f aca="false">IF(EH2120&lt;&gt;"",1,0)</f>
        <v>0</v>
      </c>
      <c r="BB2120" s="0" t="s">
        <v>153</v>
      </c>
      <c r="CA2120" s="0" t="s">
        <v>154</v>
      </c>
      <c r="CH2120" s="0" t="s">
        <v>176</v>
      </c>
      <c r="CK2120" s="0" t="s">
        <v>154</v>
      </c>
      <c r="CN2120" s="0" t="s">
        <v>154</v>
      </c>
      <c r="CO2120" s="0" t="s">
        <v>176</v>
      </c>
      <c r="CP2120" s="0" t="s">
        <v>154</v>
      </c>
      <c r="CT2120" s="0" t="s">
        <v>154</v>
      </c>
      <c r="CV2120" s="0" t="s">
        <v>154</v>
      </c>
      <c r="DC2120" s="0" t="s">
        <v>154</v>
      </c>
      <c r="DI2120" s="0" t="s">
        <v>154</v>
      </c>
      <c r="DN2120" s="0" t="s">
        <v>154</v>
      </c>
      <c r="DR2120" s="0" t="s">
        <v>154</v>
      </c>
      <c r="DS2120" s="0" t="s">
        <v>176</v>
      </c>
      <c r="DT2120" s="0" t="s">
        <v>176</v>
      </c>
      <c r="DU2120" s="0" t="s">
        <v>154</v>
      </c>
      <c r="DX2120" s="0" t="s">
        <v>154</v>
      </c>
      <c r="EA2120" s="0" t="s">
        <v>154</v>
      </c>
      <c r="ED2120" s="0" t="s">
        <v>176</v>
      </c>
      <c r="EF2120" s="0" t="s">
        <v>154</v>
      </c>
    </row>
    <row r="2121" customFormat="false" ht="13.8" hidden="false" customHeight="false" outlineLevel="0" collapsed="false">
      <c r="A2121" s="0" t="s">
        <v>9331</v>
      </c>
      <c r="B2121" s="0" t="n">
        <v>78</v>
      </c>
      <c r="C2121" s="0" t="n">
        <v>230800</v>
      </c>
      <c r="D2121" s="0" t="s">
        <v>9332</v>
      </c>
      <c r="E2121" s="0" t="s">
        <v>9333</v>
      </c>
      <c r="F2121" s="0" t="str">
        <f aca="false">CONCATENATE(D2121," ",LEFT(H2121,4),"T=",AU2121,"D=",AV2121,"R=",AW2121,"M=",AX2121,"L=",AY2121,"B=",AZ2121)</f>
        <v>LAMPLEY T=18D=5R=0M=2L=7B=1</v>
      </c>
      <c r="G2121" s="0" t="s">
        <v>188</v>
      </c>
      <c r="I2121" s="0" t="s">
        <v>9334</v>
      </c>
      <c r="J2121" s="0" t="s">
        <v>9335</v>
      </c>
      <c r="K2121" s="0" t="s">
        <v>175</v>
      </c>
      <c r="L2121" s="1" t="s">
        <v>155</v>
      </c>
      <c r="M2121" s="0" t="s">
        <v>9336</v>
      </c>
      <c r="N2121" s="0" t="str">
        <f aca="false">RIGHT(M2121,LEN(M2121)-FIND(" ",M2121))</f>
        <v>PAIGE AVE NE</v>
      </c>
      <c r="P2121" s="0" t="s">
        <v>146</v>
      </c>
      <c r="Q2121" s="0" t="s">
        <v>147</v>
      </c>
      <c r="R2121" s="0" t="n">
        <v>44483</v>
      </c>
      <c r="AD2121" s="0" t="s">
        <v>148</v>
      </c>
      <c r="AE2121" s="0" t="s">
        <v>149</v>
      </c>
      <c r="AF2121" s="0" t="s">
        <v>150</v>
      </c>
      <c r="AH2121" s="0" t="n">
        <v>14</v>
      </c>
      <c r="AI2121" s="0" t="n">
        <v>11</v>
      </c>
      <c r="AN2121" s="0" t="s">
        <v>146</v>
      </c>
      <c r="AO2121" s="0" t="s">
        <v>236</v>
      </c>
      <c r="AP2121" s="0" t="s">
        <v>237</v>
      </c>
      <c r="AQ2121" s="0" t="n">
        <v>9</v>
      </c>
      <c r="AR2121" s="0" t="n">
        <v>64</v>
      </c>
      <c r="AS2121" s="0" t="n">
        <v>32</v>
      </c>
      <c r="AU2121" s="0" t="n">
        <f aca="false">COUNTA($BA$788:$EH$788)</f>
        <v>18</v>
      </c>
      <c r="AV2121" s="0" t="n">
        <f aca="false">COUNTIF($BA$788:$EH$788,"D")</f>
        <v>5</v>
      </c>
      <c r="AW2121" s="0" t="n">
        <f aca="false">COUNTIF($BA$788:$EH$788,"R")</f>
        <v>0</v>
      </c>
      <c r="AX2121" s="0" t="n">
        <f aca="false"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>2</v>
      </c>
      <c r="AY2121" s="0" t="n">
        <f aca="false">COUNTIF(DU2121:EH2121, "&lt;&gt;")</f>
        <v>7</v>
      </c>
      <c r="AZ2121" s="0" t="n">
        <f aca="false">IF(EH2121&lt;&gt;"",1,0)</f>
        <v>1</v>
      </c>
      <c r="BB2121" s="0" t="s">
        <v>153</v>
      </c>
      <c r="BL2121" s="0" t="s">
        <v>154</v>
      </c>
      <c r="BY2121" s="0" t="s">
        <v>155</v>
      </c>
      <c r="CA2121" s="0" t="s">
        <v>154</v>
      </c>
      <c r="CK2121" s="0" t="s">
        <v>154</v>
      </c>
      <c r="CP2121" s="0" t="s">
        <v>154</v>
      </c>
      <c r="CV2121" s="0" t="s">
        <v>154</v>
      </c>
      <c r="CY2121" s="0" t="s">
        <v>154</v>
      </c>
      <c r="DC2121" s="0" t="s">
        <v>154</v>
      </c>
      <c r="DI2121" s="0" t="s">
        <v>154</v>
      </c>
      <c r="DL2121" s="0" t="s">
        <v>154</v>
      </c>
      <c r="DN2121" s="0" t="s">
        <v>154</v>
      </c>
      <c r="DR2121" s="0" t="s">
        <v>154</v>
      </c>
      <c r="DS2121" s="0" t="s">
        <v>155</v>
      </c>
      <c r="DU2121" s="0" t="s">
        <v>154</v>
      </c>
      <c r="DW2121" s="0" t="s">
        <v>155</v>
      </c>
      <c r="DX2121" s="0" t="s">
        <v>154</v>
      </c>
      <c r="EA2121" s="0" t="s">
        <v>154</v>
      </c>
      <c r="ED2121" s="0" t="s">
        <v>155</v>
      </c>
      <c r="EF2121" s="0" t="s">
        <v>154</v>
      </c>
      <c r="EH2121" s="0" t="s">
        <v>155</v>
      </c>
    </row>
    <row r="2122" customFormat="false" ht="13.8" hidden="false" customHeight="false" outlineLevel="0" collapsed="false">
      <c r="A2122" s="0" t="s">
        <v>9337</v>
      </c>
      <c r="B2122" s="0" t="n">
        <v>78</v>
      </c>
      <c r="C2122" s="0" t="n">
        <v>354959</v>
      </c>
      <c r="D2122" s="0" t="s">
        <v>9332</v>
      </c>
      <c r="E2122" s="0" t="s">
        <v>9338</v>
      </c>
      <c r="F2122" s="0" t="str">
        <f aca="false">CONCATENATE(D2122," ",LEFT(H2122,4),"T=",AU2122,"D=",AV2122,"R=",AW2122,"M=",AX2122,"L=",AY2122,"B=",AZ2122)</f>
        <v>LAMPLEY T=1D=0R=0M=2L=6B=1</v>
      </c>
      <c r="G2122" s="0" t="s">
        <v>155</v>
      </c>
      <c r="I2122" s="0" t="s">
        <v>9339</v>
      </c>
      <c r="J2122" s="0" t="s">
        <v>9335</v>
      </c>
      <c r="K2122" s="0" t="s">
        <v>175</v>
      </c>
      <c r="L2122" s="1" t="s">
        <v>155</v>
      </c>
      <c r="M2122" s="0" t="s">
        <v>9336</v>
      </c>
      <c r="N2122" s="0" t="str">
        <f aca="false">RIGHT(M2122,LEN(M2122)-FIND(" ",M2122))</f>
        <v>PAIGE AVE NE</v>
      </c>
      <c r="P2122" s="0" t="s">
        <v>146</v>
      </c>
      <c r="Q2122" s="0" t="s">
        <v>147</v>
      </c>
      <c r="R2122" s="0" t="n">
        <v>44483</v>
      </c>
      <c r="AD2122" s="0" t="s">
        <v>148</v>
      </c>
      <c r="AE2122" s="0" t="s">
        <v>149</v>
      </c>
      <c r="AF2122" s="0" t="s">
        <v>150</v>
      </c>
      <c r="AH2122" s="0" t="n">
        <v>14</v>
      </c>
      <c r="AI2122" s="0" t="n">
        <v>11</v>
      </c>
      <c r="AN2122" s="0" t="s">
        <v>146</v>
      </c>
      <c r="AO2122" s="0" t="s">
        <v>236</v>
      </c>
      <c r="AP2122" s="0" t="s">
        <v>237</v>
      </c>
      <c r="AQ2122" s="0" t="n">
        <v>9</v>
      </c>
      <c r="AR2122" s="0" t="n">
        <v>64</v>
      </c>
      <c r="AS2122" s="0" t="n">
        <v>32</v>
      </c>
      <c r="AU2122" s="0" t="n">
        <f aca="false">COUNTA($BA$796:$EH$796)</f>
        <v>1</v>
      </c>
      <c r="AV2122" s="0" t="n">
        <f aca="false">COUNTIF($BA$796:$EH$796,"D")</f>
        <v>0</v>
      </c>
      <c r="AW2122" s="0" t="n">
        <f aca="false">COUNTIF($BA$796:$EH$796,"R")</f>
        <v>0</v>
      </c>
      <c r="AX2122" s="0" t="n">
        <f aca="false"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>2</v>
      </c>
      <c r="AY2122" s="0" t="n">
        <f aca="false">COUNTIF(DU2122:EH2122, "&lt;&gt;")</f>
        <v>6</v>
      </c>
      <c r="AZ2122" s="0" t="n">
        <f aca="false">IF(EH2122&lt;&gt;"",1,0)</f>
        <v>1</v>
      </c>
      <c r="BB2122" s="0" t="s">
        <v>153</v>
      </c>
      <c r="CA2122" s="0" t="s">
        <v>154</v>
      </c>
      <c r="CP2122" s="0" t="s">
        <v>154</v>
      </c>
      <c r="CV2122" s="0" t="s">
        <v>154</v>
      </c>
      <c r="CY2122" s="0" t="s">
        <v>154</v>
      </c>
      <c r="DC2122" s="0" t="s">
        <v>154</v>
      </c>
      <c r="DF2122" s="0" t="s">
        <v>154</v>
      </c>
      <c r="DG2122" s="0" t="s">
        <v>155</v>
      </c>
      <c r="DI2122" s="0" t="s">
        <v>154</v>
      </c>
      <c r="DJ2122" s="0" t="s">
        <v>155</v>
      </c>
      <c r="DL2122" s="0" t="s">
        <v>154</v>
      </c>
      <c r="DN2122" s="0" t="s">
        <v>154</v>
      </c>
      <c r="DR2122" s="0" t="s">
        <v>154</v>
      </c>
      <c r="DS2122" s="0" t="s">
        <v>155</v>
      </c>
      <c r="DU2122" s="0" t="s">
        <v>154</v>
      </c>
      <c r="DX2122" s="0" t="s">
        <v>154</v>
      </c>
      <c r="EA2122" s="0" t="s">
        <v>154</v>
      </c>
      <c r="ED2122" s="0" t="s">
        <v>155</v>
      </c>
      <c r="EF2122" s="0" t="s">
        <v>154</v>
      </c>
      <c r="EH2122" s="0" t="s">
        <v>155</v>
      </c>
    </row>
    <row r="2123" customFormat="false" ht="13.8" hidden="true" customHeight="false" outlineLevel="0" collapsed="false">
      <c r="A2123" s="0" t="s">
        <v>9340</v>
      </c>
      <c r="B2123" s="0" t="n">
        <v>78</v>
      </c>
      <c r="C2123" s="0" t="n">
        <v>434994</v>
      </c>
      <c r="D2123" s="0" t="s">
        <v>1027</v>
      </c>
      <c r="E2123" s="0" t="s">
        <v>261</v>
      </c>
      <c r="F2123" s="0" t="str">
        <f aca="false">CONCATENATE(D2123," ",LEFT(H2123,4),"T=",AU2123,"D=",AV2123,"R=",AW2123,"M=",AX2123,"L=",AY2123,"B=",AZ2123)</f>
        <v>MARTIN T=5D=0R=0M=0L=1B=0</v>
      </c>
      <c r="G2123" s="0" t="s">
        <v>188</v>
      </c>
      <c r="I2123" s="0" t="s">
        <v>9341</v>
      </c>
      <c r="J2123" s="0" t="s">
        <v>1191</v>
      </c>
      <c r="K2123" s="0" t="s">
        <v>175</v>
      </c>
      <c r="L2123" s="0"/>
      <c r="M2123" s="0" t="s">
        <v>9342</v>
      </c>
      <c r="N2123" s="0" t="str">
        <f aca="false">RIGHT(M2123,LEN(M2123)-FIND(" ",M2123))</f>
        <v>PAIGE AVE NE</v>
      </c>
      <c r="P2123" s="0" t="s">
        <v>146</v>
      </c>
      <c r="Q2123" s="0" t="s">
        <v>147</v>
      </c>
      <c r="R2123" s="0" t="n">
        <v>44483</v>
      </c>
      <c r="AD2123" s="0" t="s">
        <v>148</v>
      </c>
      <c r="AE2123" s="0" t="s">
        <v>149</v>
      </c>
      <c r="AF2123" s="0" t="s">
        <v>150</v>
      </c>
      <c r="AH2123" s="0" t="n">
        <v>14</v>
      </c>
      <c r="AI2123" s="0" t="n">
        <v>11</v>
      </c>
      <c r="AN2123" s="0" t="s">
        <v>146</v>
      </c>
      <c r="AO2123" s="0" t="s">
        <v>236</v>
      </c>
      <c r="AP2123" s="0" t="s">
        <v>237</v>
      </c>
      <c r="AQ2123" s="0" t="n">
        <v>9</v>
      </c>
      <c r="AR2123" s="0" t="n">
        <v>64</v>
      </c>
      <c r="AS2123" s="0" t="n">
        <v>32</v>
      </c>
      <c r="AU2123" s="0" t="n">
        <f aca="false">COUNTA($BA$271:$EH$271)</f>
        <v>5</v>
      </c>
      <c r="AV2123" s="0" t="n">
        <f aca="false">COUNTIF($BA$271:$EH$271,"D")</f>
        <v>0</v>
      </c>
      <c r="AW2123" s="0" t="n">
        <f aca="false">COUNTIF($BA$271:$EH$271,"R")</f>
        <v>0</v>
      </c>
      <c r="AX2123" s="0" t="n">
        <f aca="false"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>0</v>
      </c>
      <c r="AY2123" s="0" t="n">
        <f aca="false">COUNTIF(DU2123:EH2123, "&lt;&gt;")</f>
        <v>1</v>
      </c>
      <c r="AZ2123" s="0" t="n">
        <f aca="false">IF(EH2123&lt;&gt;"",1,0)</f>
        <v>0</v>
      </c>
      <c r="BB2123" s="0" t="s">
        <v>153</v>
      </c>
      <c r="DN2123" s="0" t="s">
        <v>154</v>
      </c>
      <c r="EF2123" s="0" t="s">
        <v>154</v>
      </c>
    </row>
    <row r="2124" customFormat="false" ht="13.8" hidden="false" customHeight="false" outlineLevel="0" collapsed="false">
      <c r="A2124" s="0" t="s">
        <v>9343</v>
      </c>
      <c r="B2124" s="0" t="n">
        <v>78</v>
      </c>
      <c r="C2124" s="0" t="n">
        <v>435545</v>
      </c>
      <c r="D2124" s="0" t="s">
        <v>1027</v>
      </c>
      <c r="E2124" s="0" t="s">
        <v>6319</v>
      </c>
      <c r="F2124" s="0" t="str">
        <f aca="false">CONCATENATE(D2124," ",LEFT(H2124,4),"T=",AU2124,"D=",AV2124,"R=",AW2124,"M=",AX2124,"L=",AY2124,"B=",AZ2124)</f>
        <v>MARTIN T=34D=0R=11M=0L=3B=0</v>
      </c>
      <c r="G2124" s="0" t="s">
        <v>241</v>
      </c>
      <c r="I2124" s="0" t="s">
        <v>9344</v>
      </c>
      <c r="J2124" s="0" t="s">
        <v>7576</v>
      </c>
      <c r="K2124" s="0" t="s">
        <v>175</v>
      </c>
      <c r="M2124" s="0" t="s">
        <v>9342</v>
      </c>
      <c r="N2124" s="0" t="str">
        <f aca="false">RIGHT(M2124,LEN(M2124)-FIND(" ",M2124))</f>
        <v>PAIGE AVE NE</v>
      </c>
      <c r="P2124" s="0" t="s">
        <v>146</v>
      </c>
      <c r="Q2124" s="0" t="s">
        <v>147</v>
      </c>
      <c r="R2124" s="0" t="n">
        <v>44483</v>
      </c>
      <c r="AD2124" s="0" t="s">
        <v>148</v>
      </c>
      <c r="AE2124" s="0" t="s">
        <v>149</v>
      </c>
      <c r="AF2124" s="0" t="s">
        <v>150</v>
      </c>
      <c r="AH2124" s="0" t="n">
        <v>14</v>
      </c>
      <c r="AI2124" s="0" t="n">
        <v>11</v>
      </c>
      <c r="AN2124" s="0" t="s">
        <v>146</v>
      </c>
      <c r="AO2124" s="0" t="s">
        <v>236</v>
      </c>
      <c r="AP2124" s="0" t="s">
        <v>237</v>
      </c>
      <c r="AQ2124" s="0" t="n">
        <v>9</v>
      </c>
      <c r="AR2124" s="0" t="n">
        <v>64</v>
      </c>
      <c r="AS2124" s="0" t="n">
        <v>32</v>
      </c>
      <c r="AU2124" s="0" t="n">
        <f aca="false">COUNTA($BA$327:$EH$327)</f>
        <v>34</v>
      </c>
      <c r="AV2124" s="0" t="n">
        <f aca="false">COUNTIF($BA$327:$EH$327,"D")</f>
        <v>0</v>
      </c>
      <c r="AW2124" s="0" t="n">
        <f aca="false">COUNTIF($BA$327:$EH$327,"R")</f>
        <v>11</v>
      </c>
      <c r="AX2124" s="0" t="n">
        <f aca="false"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>0</v>
      </c>
      <c r="AY2124" s="0" t="n">
        <f aca="false">COUNTIF(DU2124:EH2124, "&lt;&gt;")</f>
        <v>3</v>
      </c>
      <c r="AZ2124" s="0" t="n">
        <f aca="false">IF(EH2124&lt;&gt;"",1,0)</f>
        <v>0</v>
      </c>
      <c r="BB2124" s="0" t="s">
        <v>153</v>
      </c>
      <c r="DI2124" s="0" t="s">
        <v>154</v>
      </c>
      <c r="DN2124" s="0" t="s">
        <v>154</v>
      </c>
      <c r="DU2124" s="0" t="s">
        <v>154</v>
      </c>
      <c r="EA2124" s="0" t="s">
        <v>154</v>
      </c>
      <c r="EF2124" s="0" t="s">
        <v>154</v>
      </c>
    </row>
    <row r="2125" customFormat="false" ht="13.8" hidden="false" customHeight="false" outlineLevel="0" collapsed="false">
      <c r="A2125" s="0" t="s">
        <v>9345</v>
      </c>
      <c r="B2125" s="0" t="n">
        <v>78</v>
      </c>
      <c r="C2125" s="0" t="n">
        <v>171582</v>
      </c>
      <c r="D2125" s="0" t="s">
        <v>290</v>
      </c>
      <c r="E2125" s="0" t="s">
        <v>2044</v>
      </c>
      <c r="F2125" s="0" t="str">
        <f aca="false">CONCATENATE(D2125," ",LEFT(H2125,4),"T=",AU2125,"D=",AV2125,"R=",AW2125,"M=",AX2125,"L=",AY2125,"B=",AZ2125)</f>
        <v>THOMPSON T=1D=0R=0M=6L=7B=1</v>
      </c>
      <c r="G2125" s="0" t="s">
        <v>438</v>
      </c>
      <c r="I2125" s="0" t="s">
        <v>9346</v>
      </c>
      <c r="J2125" s="0" t="s">
        <v>9347</v>
      </c>
      <c r="K2125" s="0" t="s">
        <v>175</v>
      </c>
      <c r="L2125" s="1" t="s">
        <v>155</v>
      </c>
      <c r="M2125" s="0" t="s">
        <v>9348</v>
      </c>
      <c r="N2125" s="0" t="str">
        <f aca="false">RIGHT(M2125,LEN(M2125)-FIND(" ",M2125))</f>
        <v>PAIGE AVE NE</v>
      </c>
      <c r="P2125" s="0" t="s">
        <v>146</v>
      </c>
      <c r="Q2125" s="0" t="s">
        <v>147</v>
      </c>
      <c r="R2125" s="0" t="n">
        <v>44483</v>
      </c>
      <c r="AD2125" s="0" t="s">
        <v>148</v>
      </c>
      <c r="AE2125" s="0" t="s">
        <v>149</v>
      </c>
      <c r="AF2125" s="0" t="s">
        <v>150</v>
      </c>
      <c r="AH2125" s="0" t="n">
        <v>14</v>
      </c>
      <c r="AI2125" s="0" t="n">
        <v>11</v>
      </c>
      <c r="AN2125" s="0" t="s">
        <v>146</v>
      </c>
      <c r="AO2125" s="0" t="s">
        <v>236</v>
      </c>
      <c r="AP2125" s="0" t="s">
        <v>237</v>
      </c>
      <c r="AQ2125" s="0" t="n">
        <v>9</v>
      </c>
      <c r="AR2125" s="0" t="n">
        <v>64</v>
      </c>
      <c r="AS2125" s="0" t="n">
        <v>32</v>
      </c>
      <c r="AU2125" s="0" t="n">
        <f aca="false">COUNTA($BA$787:$EH$787)</f>
        <v>1</v>
      </c>
      <c r="AV2125" s="0" t="n">
        <f aca="false">COUNTIF($BA$787:$EH$787,"D")</f>
        <v>0</v>
      </c>
      <c r="AW2125" s="0" t="n">
        <f aca="false">COUNTIF($BA$787:$EH$787,"R")</f>
        <v>0</v>
      </c>
      <c r="AX2125" s="0" t="n">
        <f aca="false"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>6</v>
      </c>
      <c r="AY2125" s="0" t="n">
        <f aca="false">COUNTIF(DU2125:EH2125, "&lt;&gt;")</f>
        <v>7</v>
      </c>
      <c r="AZ2125" s="0" t="n">
        <f aca="false">IF(EH2125&lt;&gt;"",1,0)</f>
        <v>1</v>
      </c>
      <c r="BB2125" s="0" t="s">
        <v>153</v>
      </c>
      <c r="BC2125" s="0" t="s">
        <v>154</v>
      </c>
      <c r="BD2125" s="0" t="s">
        <v>154</v>
      </c>
      <c r="BE2125" s="0" t="s">
        <v>154</v>
      </c>
      <c r="BF2125" s="0" t="s">
        <v>154</v>
      </c>
      <c r="BG2125" s="0" t="s">
        <v>154</v>
      </c>
      <c r="BH2125" s="0" t="s">
        <v>154</v>
      </c>
      <c r="BJ2125" s="0" t="s">
        <v>154</v>
      </c>
      <c r="BK2125" s="0" t="s">
        <v>154</v>
      </c>
      <c r="BL2125" s="0" t="s">
        <v>154</v>
      </c>
      <c r="BP2125" s="0" t="s">
        <v>154</v>
      </c>
      <c r="BR2125" s="0" t="s">
        <v>154</v>
      </c>
      <c r="BS2125" s="0" t="s">
        <v>154</v>
      </c>
      <c r="BV2125" s="0" t="s">
        <v>154</v>
      </c>
      <c r="BY2125" s="0" t="s">
        <v>155</v>
      </c>
      <c r="CA2125" s="0" t="s">
        <v>154</v>
      </c>
      <c r="CG2125" s="0" t="s">
        <v>154</v>
      </c>
      <c r="CH2125" s="0" t="s">
        <v>155</v>
      </c>
      <c r="CK2125" s="0" t="s">
        <v>154</v>
      </c>
      <c r="CL2125" s="0" t="s">
        <v>155</v>
      </c>
      <c r="CN2125" s="0" t="s">
        <v>154</v>
      </c>
      <c r="CO2125" s="0" t="s">
        <v>155</v>
      </c>
      <c r="CP2125" s="0" t="s">
        <v>154</v>
      </c>
      <c r="CT2125" s="0" t="s">
        <v>154</v>
      </c>
      <c r="CU2125" s="0" t="s">
        <v>155</v>
      </c>
      <c r="CV2125" s="0" t="s">
        <v>154</v>
      </c>
      <c r="CY2125" s="0" t="s">
        <v>154</v>
      </c>
      <c r="CZ2125" s="0" t="s">
        <v>155</v>
      </c>
      <c r="DC2125" s="0" t="s">
        <v>154</v>
      </c>
      <c r="DD2125" s="0" t="s">
        <v>155</v>
      </c>
      <c r="DF2125" s="0" t="s">
        <v>154</v>
      </c>
      <c r="DG2125" s="0" t="s">
        <v>155</v>
      </c>
      <c r="DI2125" s="0" t="s">
        <v>154</v>
      </c>
      <c r="DJ2125" s="0" t="s">
        <v>155</v>
      </c>
      <c r="DL2125" s="0" t="s">
        <v>154</v>
      </c>
      <c r="DM2125" s="0" t="s">
        <v>155</v>
      </c>
      <c r="DN2125" s="0" t="s">
        <v>154</v>
      </c>
      <c r="DO2125" s="0" t="s">
        <v>155</v>
      </c>
      <c r="DR2125" s="0" t="s">
        <v>154</v>
      </c>
      <c r="DS2125" s="0" t="s">
        <v>155</v>
      </c>
      <c r="DT2125" s="0" t="s">
        <v>155</v>
      </c>
      <c r="DU2125" s="0" t="s">
        <v>154</v>
      </c>
      <c r="DW2125" s="0" t="s">
        <v>155</v>
      </c>
      <c r="DX2125" s="0" t="s">
        <v>154</v>
      </c>
      <c r="EA2125" s="0" t="s">
        <v>154</v>
      </c>
      <c r="ED2125" s="0" t="s">
        <v>155</v>
      </c>
      <c r="EF2125" s="0" t="s">
        <v>154</v>
      </c>
      <c r="EH2125" s="0" t="s">
        <v>155</v>
      </c>
    </row>
    <row r="2126" customFormat="false" ht="13.8" hidden="false" customHeight="false" outlineLevel="0" collapsed="false">
      <c r="A2126" s="0" t="s">
        <v>9349</v>
      </c>
      <c r="B2126" s="0" t="n">
        <v>78</v>
      </c>
      <c r="C2126" s="0" t="n">
        <v>25321</v>
      </c>
      <c r="D2126" s="0" t="s">
        <v>290</v>
      </c>
      <c r="E2126" s="0" t="s">
        <v>328</v>
      </c>
      <c r="F2126" s="0" t="str">
        <f aca="false">CONCATENATE(D2126," ",LEFT(H2126,4),"T=",AU2126,"D=",AV2126,"R=",AW2126,"M=",AX2126,"L=",AY2126,"B=",AZ2126)</f>
        <v>THOMPSON T=3D=0R=0M=6L=7B=1</v>
      </c>
      <c r="G2126" s="0" t="s">
        <v>365</v>
      </c>
      <c r="I2126" s="0" t="s">
        <v>6606</v>
      </c>
      <c r="J2126" s="0" t="s">
        <v>5416</v>
      </c>
      <c r="K2126" s="0" t="s">
        <v>175</v>
      </c>
      <c r="L2126" s="1" t="s">
        <v>155</v>
      </c>
      <c r="M2126" s="0" t="s">
        <v>9348</v>
      </c>
      <c r="N2126" s="0" t="str">
        <f aca="false">RIGHT(M2126,LEN(M2126)-FIND(" ",M2126))</f>
        <v>PAIGE AVE NE</v>
      </c>
      <c r="P2126" s="0" t="s">
        <v>146</v>
      </c>
      <c r="Q2126" s="0" t="s">
        <v>147</v>
      </c>
      <c r="R2126" s="0" t="n">
        <v>44483</v>
      </c>
      <c r="AD2126" s="0" t="s">
        <v>148</v>
      </c>
      <c r="AE2126" s="0" t="s">
        <v>149</v>
      </c>
      <c r="AF2126" s="0" t="s">
        <v>150</v>
      </c>
      <c r="AH2126" s="0" t="n">
        <v>14</v>
      </c>
      <c r="AI2126" s="0" t="n">
        <v>11</v>
      </c>
      <c r="AN2126" s="0" t="s">
        <v>146</v>
      </c>
      <c r="AO2126" s="0" t="s">
        <v>236</v>
      </c>
      <c r="AP2126" s="0" t="s">
        <v>237</v>
      </c>
      <c r="AQ2126" s="0" t="n">
        <v>9</v>
      </c>
      <c r="AR2126" s="0" t="n">
        <v>64</v>
      </c>
      <c r="AS2126" s="0" t="n">
        <v>32</v>
      </c>
      <c r="AU2126" s="0" t="n">
        <f aca="false">COUNTA($BA$832:$EH$832)</f>
        <v>3</v>
      </c>
      <c r="AV2126" s="0" t="n">
        <f aca="false">COUNTIF($BA$832:$EH$832,"D")</f>
        <v>0</v>
      </c>
      <c r="AW2126" s="0" t="n">
        <f aca="false">COUNTIF($BA$832:$EH$832,"R")</f>
        <v>0</v>
      </c>
      <c r="AX2126" s="0" t="n">
        <f aca="false"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>6</v>
      </c>
      <c r="AY2126" s="0" t="n">
        <f aca="false">COUNTIF(DU2126:EH2126, "&lt;&gt;")</f>
        <v>7</v>
      </c>
      <c r="AZ2126" s="0" t="n">
        <f aca="false">IF(EH2126&lt;&gt;"",1,0)</f>
        <v>1</v>
      </c>
      <c r="BB2126" s="0" t="s">
        <v>153</v>
      </c>
      <c r="BC2126" s="0" t="s">
        <v>154</v>
      </c>
      <c r="BD2126" s="0" t="s">
        <v>154</v>
      </c>
      <c r="BE2126" s="0" t="s">
        <v>154</v>
      </c>
      <c r="BF2126" s="0" t="s">
        <v>154</v>
      </c>
      <c r="BG2126" s="0" t="s">
        <v>154</v>
      </c>
      <c r="BH2126" s="0" t="s">
        <v>154</v>
      </c>
      <c r="BI2126" s="0" t="s">
        <v>154</v>
      </c>
      <c r="BJ2126" s="0" t="s">
        <v>154</v>
      </c>
      <c r="BK2126" s="0" t="s">
        <v>154</v>
      </c>
      <c r="BL2126" s="0" t="s">
        <v>154</v>
      </c>
      <c r="BP2126" s="0" t="s">
        <v>154</v>
      </c>
      <c r="BR2126" s="0" t="s">
        <v>154</v>
      </c>
      <c r="BS2126" s="0" t="s">
        <v>154</v>
      </c>
      <c r="BV2126" s="0" t="s">
        <v>154</v>
      </c>
      <c r="BY2126" s="0" t="s">
        <v>155</v>
      </c>
      <c r="CA2126" s="0" t="s">
        <v>154</v>
      </c>
      <c r="CG2126" s="0" t="s">
        <v>154</v>
      </c>
      <c r="CH2126" s="0" t="s">
        <v>155</v>
      </c>
      <c r="CK2126" s="0" t="s">
        <v>154</v>
      </c>
      <c r="CL2126" s="0" t="s">
        <v>155</v>
      </c>
      <c r="CN2126" s="0" t="s">
        <v>154</v>
      </c>
      <c r="CO2126" s="0" t="s">
        <v>155</v>
      </c>
      <c r="CP2126" s="0" t="s">
        <v>154</v>
      </c>
      <c r="CU2126" s="0" t="s">
        <v>155</v>
      </c>
      <c r="CV2126" s="0" t="s">
        <v>154</v>
      </c>
      <c r="CY2126" s="0" t="s">
        <v>154</v>
      </c>
      <c r="CZ2126" s="0" t="s">
        <v>155</v>
      </c>
      <c r="DC2126" s="0" t="s">
        <v>154</v>
      </c>
      <c r="DD2126" s="0" t="s">
        <v>155</v>
      </c>
      <c r="DF2126" s="0" t="s">
        <v>154</v>
      </c>
      <c r="DG2126" s="0" t="s">
        <v>155</v>
      </c>
      <c r="DI2126" s="0" t="s">
        <v>154</v>
      </c>
      <c r="DJ2126" s="0" t="s">
        <v>155</v>
      </c>
      <c r="DL2126" s="0" t="s">
        <v>154</v>
      </c>
      <c r="DM2126" s="0" t="s">
        <v>155</v>
      </c>
      <c r="DN2126" s="0" t="s">
        <v>154</v>
      </c>
      <c r="DO2126" s="0" t="s">
        <v>155</v>
      </c>
      <c r="DR2126" s="0" t="s">
        <v>154</v>
      </c>
      <c r="DS2126" s="0" t="s">
        <v>155</v>
      </c>
      <c r="DT2126" s="0" t="s">
        <v>155</v>
      </c>
      <c r="DU2126" s="0" t="s">
        <v>154</v>
      </c>
      <c r="DW2126" s="0" t="s">
        <v>155</v>
      </c>
      <c r="DX2126" s="0" t="s">
        <v>154</v>
      </c>
      <c r="EA2126" s="0" t="s">
        <v>154</v>
      </c>
      <c r="ED2126" s="0" t="s">
        <v>155</v>
      </c>
      <c r="EF2126" s="0" t="s">
        <v>154</v>
      </c>
      <c r="EH2126" s="0" t="s">
        <v>155</v>
      </c>
    </row>
    <row r="2127" customFormat="false" ht="13.8" hidden="false" customHeight="false" outlineLevel="0" collapsed="false">
      <c r="A2127" s="0" t="s">
        <v>9350</v>
      </c>
      <c r="B2127" s="0" t="n">
        <v>78</v>
      </c>
      <c r="C2127" s="0" t="n">
        <v>5061</v>
      </c>
      <c r="D2127" s="0" t="s">
        <v>9351</v>
      </c>
      <c r="E2127" s="0" t="s">
        <v>1022</v>
      </c>
      <c r="F2127" s="0" t="str">
        <f aca="false">CONCATENATE(D2127," ",LEFT(H2127,4),"T=",AU2127,"D=",AV2127,"R=",AW2127,"M=",AX2127,"L=",AY2127,"B=",AZ2127)</f>
        <v>MANOFSKY T=1D=0R=0M=9L=7B=1</v>
      </c>
      <c r="G2127" s="0" t="s">
        <v>297</v>
      </c>
      <c r="I2127" s="0" t="s">
        <v>9352</v>
      </c>
      <c r="J2127" s="0" t="s">
        <v>9353</v>
      </c>
      <c r="K2127" s="0" t="s">
        <v>175</v>
      </c>
      <c r="L2127" s="1" t="s">
        <v>155</v>
      </c>
      <c r="M2127" s="0" t="s">
        <v>9354</v>
      </c>
      <c r="N2127" s="0" t="str">
        <f aca="false">RIGHT(M2127,LEN(M2127)-FIND(" ",M2127))</f>
        <v>PAIGE AVE NE</v>
      </c>
      <c r="P2127" s="0" t="s">
        <v>146</v>
      </c>
      <c r="Q2127" s="0" t="s">
        <v>147</v>
      </c>
      <c r="R2127" s="0" t="n">
        <v>44483</v>
      </c>
      <c r="AD2127" s="0" t="s">
        <v>148</v>
      </c>
      <c r="AE2127" s="0" t="s">
        <v>149</v>
      </c>
      <c r="AF2127" s="0" t="s">
        <v>150</v>
      </c>
      <c r="AH2127" s="0" t="n">
        <v>14</v>
      </c>
      <c r="AI2127" s="0" t="n">
        <v>11</v>
      </c>
      <c r="AN2127" s="0" t="s">
        <v>146</v>
      </c>
      <c r="AO2127" s="0" t="s">
        <v>236</v>
      </c>
      <c r="AP2127" s="0" t="s">
        <v>237</v>
      </c>
      <c r="AQ2127" s="0" t="n">
        <v>9</v>
      </c>
      <c r="AR2127" s="0" t="n">
        <v>64</v>
      </c>
      <c r="AS2127" s="0" t="n">
        <v>32</v>
      </c>
      <c r="AU2127" s="0" t="n">
        <f aca="false">COUNTA($BA$756:$EH$756)</f>
        <v>1</v>
      </c>
      <c r="AV2127" s="0" t="n">
        <f aca="false">COUNTIF($BA$756:$EH$756,"D")</f>
        <v>0</v>
      </c>
      <c r="AW2127" s="0" t="n">
        <f aca="false">COUNTIF($BA$756:$EH$756,"R")</f>
        <v>0</v>
      </c>
      <c r="AX2127" s="0" t="n">
        <f aca="false"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>9</v>
      </c>
      <c r="AY2127" s="0" t="n">
        <f aca="false">COUNTIF(DU2127:EH2127, "&lt;&gt;")</f>
        <v>7</v>
      </c>
      <c r="AZ2127" s="0" t="n">
        <f aca="false">IF(EH2127&lt;&gt;"",1,0)</f>
        <v>1</v>
      </c>
      <c r="BB2127" s="0" t="s">
        <v>153</v>
      </c>
      <c r="BC2127" s="0" t="s">
        <v>154</v>
      </c>
      <c r="BD2127" s="0" t="s">
        <v>154</v>
      </c>
      <c r="BE2127" s="0" t="s">
        <v>154</v>
      </c>
      <c r="BG2127" s="0" t="s">
        <v>154</v>
      </c>
      <c r="BH2127" s="0" t="s">
        <v>154</v>
      </c>
      <c r="BI2127" s="0" t="s">
        <v>154</v>
      </c>
      <c r="BJ2127" s="0" t="s">
        <v>154</v>
      </c>
      <c r="BK2127" s="0" t="s">
        <v>154</v>
      </c>
      <c r="BL2127" s="0" t="s">
        <v>154</v>
      </c>
      <c r="BP2127" s="0" t="s">
        <v>154</v>
      </c>
      <c r="BR2127" s="0" t="s">
        <v>154</v>
      </c>
      <c r="BS2127" s="0" t="s">
        <v>154</v>
      </c>
      <c r="BV2127" s="0" t="s">
        <v>154</v>
      </c>
      <c r="BY2127" s="0" t="s">
        <v>155</v>
      </c>
      <c r="CA2127" s="0" t="s">
        <v>154</v>
      </c>
      <c r="CC2127" s="0" t="s">
        <v>155</v>
      </c>
      <c r="CG2127" s="0" t="s">
        <v>154</v>
      </c>
      <c r="CH2127" s="0" t="s">
        <v>155</v>
      </c>
      <c r="CK2127" s="0" t="s">
        <v>154</v>
      </c>
      <c r="CL2127" s="0" t="s">
        <v>155</v>
      </c>
      <c r="CN2127" s="0" t="s">
        <v>154</v>
      </c>
      <c r="CO2127" s="0" t="s">
        <v>155</v>
      </c>
      <c r="CP2127" s="0" t="s">
        <v>154</v>
      </c>
      <c r="CQ2127" s="0" t="s">
        <v>155</v>
      </c>
      <c r="CT2127" s="0" t="s">
        <v>154</v>
      </c>
      <c r="CU2127" s="0" t="s">
        <v>155</v>
      </c>
      <c r="CV2127" s="0" t="s">
        <v>154</v>
      </c>
      <c r="CW2127" s="0" t="s">
        <v>155</v>
      </c>
      <c r="CY2127" s="0" t="s">
        <v>154</v>
      </c>
      <c r="CZ2127" s="0" t="s">
        <v>155</v>
      </c>
      <c r="DC2127" s="0" t="s">
        <v>154</v>
      </c>
      <c r="DD2127" s="0" t="s">
        <v>155</v>
      </c>
      <c r="DF2127" s="0" t="s">
        <v>154</v>
      </c>
      <c r="DG2127" s="0" t="s">
        <v>155</v>
      </c>
      <c r="DI2127" s="0" t="s">
        <v>154</v>
      </c>
      <c r="DJ2127" s="0" t="s">
        <v>155</v>
      </c>
      <c r="DL2127" s="0" t="s">
        <v>154</v>
      </c>
      <c r="DM2127" s="0" t="s">
        <v>155</v>
      </c>
      <c r="DN2127" s="0" t="s">
        <v>154</v>
      </c>
      <c r="DO2127" s="0" t="s">
        <v>155</v>
      </c>
      <c r="DR2127" s="0" t="s">
        <v>154</v>
      </c>
      <c r="DS2127" s="0" t="s">
        <v>155</v>
      </c>
      <c r="DT2127" s="0" t="s">
        <v>155</v>
      </c>
      <c r="DU2127" s="0" t="s">
        <v>154</v>
      </c>
      <c r="DW2127" s="0" t="s">
        <v>155</v>
      </c>
      <c r="DX2127" s="0" t="s">
        <v>154</v>
      </c>
      <c r="EA2127" s="0" t="s">
        <v>154</v>
      </c>
      <c r="ED2127" s="0" t="s">
        <v>155</v>
      </c>
      <c r="EF2127" s="0" t="s">
        <v>154</v>
      </c>
      <c r="EH2127" s="0" t="s">
        <v>155</v>
      </c>
    </row>
    <row r="2128" customFormat="false" ht="13.8" hidden="false" customHeight="false" outlineLevel="0" collapsed="false">
      <c r="A2128" s="0" t="s">
        <v>9355</v>
      </c>
      <c r="B2128" s="0" t="n">
        <v>78</v>
      </c>
      <c r="C2128" s="0" t="n">
        <v>5062</v>
      </c>
      <c r="D2128" s="0" t="s">
        <v>9351</v>
      </c>
      <c r="E2128" s="0" t="s">
        <v>842</v>
      </c>
      <c r="F2128" s="0" t="str">
        <f aca="false">CONCATENATE(D2128," ",LEFT(H2128,4),"T=",AU2128,"D=",AV2128,"R=",AW2128,"M=",AX2128,"L=",AY2128,"B=",AZ2128)</f>
        <v>MANOFSKY T=11D=1R=0M=9L=7B=1</v>
      </c>
      <c r="G2128" s="0" t="s">
        <v>202</v>
      </c>
      <c r="I2128" s="0" t="s">
        <v>9356</v>
      </c>
      <c r="J2128" s="0" t="s">
        <v>9357</v>
      </c>
      <c r="K2128" s="0" t="s">
        <v>175</v>
      </c>
      <c r="L2128" s="1" t="s">
        <v>155</v>
      </c>
      <c r="M2128" s="0" t="s">
        <v>9354</v>
      </c>
      <c r="N2128" s="0" t="str">
        <f aca="false">RIGHT(M2128,LEN(M2128)-FIND(" ",M2128))</f>
        <v>PAIGE AVE NE</v>
      </c>
      <c r="P2128" s="0" t="s">
        <v>146</v>
      </c>
      <c r="Q2128" s="0" t="s">
        <v>147</v>
      </c>
      <c r="R2128" s="0" t="n">
        <v>44483</v>
      </c>
      <c r="AD2128" s="0" t="s">
        <v>148</v>
      </c>
      <c r="AE2128" s="0" t="s">
        <v>149</v>
      </c>
      <c r="AF2128" s="0" t="s">
        <v>150</v>
      </c>
      <c r="AH2128" s="0" t="n">
        <v>14</v>
      </c>
      <c r="AI2128" s="0" t="n">
        <v>11</v>
      </c>
      <c r="AN2128" s="0" t="s">
        <v>146</v>
      </c>
      <c r="AO2128" s="0" t="s">
        <v>236</v>
      </c>
      <c r="AP2128" s="0" t="s">
        <v>237</v>
      </c>
      <c r="AQ2128" s="0" t="n">
        <v>9</v>
      </c>
      <c r="AR2128" s="0" t="n">
        <v>64</v>
      </c>
      <c r="AS2128" s="0" t="n">
        <v>32</v>
      </c>
      <c r="AU2128" s="0" t="n">
        <f aca="false">COUNTA($BA$789:$EH$789)</f>
        <v>11</v>
      </c>
      <c r="AV2128" s="0" t="n">
        <f aca="false">COUNTIF($BA$789:$EH$789,"D")</f>
        <v>1</v>
      </c>
      <c r="AW2128" s="0" t="n">
        <f aca="false">COUNTIF($BA$789:$EH$789,"R")</f>
        <v>0</v>
      </c>
      <c r="AX2128" s="0" t="n">
        <f aca="false"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>9</v>
      </c>
      <c r="AY2128" s="0" t="n">
        <f aca="false">COUNTIF(DU2128:EH2128, "&lt;&gt;")</f>
        <v>7</v>
      </c>
      <c r="AZ2128" s="0" t="n">
        <f aca="false">IF(EH2128&lt;&gt;"",1,0)</f>
        <v>1</v>
      </c>
      <c r="BB2128" s="0" t="s">
        <v>153</v>
      </c>
      <c r="BC2128" s="0" t="s">
        <v>154</v>
      </c>
      <c r="BD2128" s="0" t="s">
        <v>154</v>
      </c>
      <c r="BE2128" s="0" t="s">
        <v>154</v>
      </c>
      <c r="BG2128" s="0" t="s">
        <v>154</v>
      </c>
      <c r="BH2128" s="0" t="s">
        <v>154</v>
      </c>
      <c r="BI2128" s="0" t="s">
        <v>154</v>
      </c>
      <c r="BJ2128" s="0" t="s">
        <v>154</v>
      </c>
      <c r="BK2128" s="0" t="s">
        <v>154</v>
      </c>
      <c r="BL2128" s="0" t="s">
        <v>154</v>
      </c>
      <c r="BP2128" s="0" t="s">
        <v>154</v>
      </c>
      <c r="BR2128" s="0" t="s">
        <v>154</v>
      </c>
      <c r="BS2128" s="0" t="s">
        <v>154</v>
      </c>
      <c r="BV2128" s="0" t="s">
        <v>154</v>
      </c>
      <c r="BY2128" s="0" t="s">
        <v>155</v>
      </c>
      <c r="CA2128" s="0" t="s">
        <v>154</v>
      </c>
      <c r="CC2128" s="0" t="s">
        <v>155</v>
      </c>
      <c r="CG2128" s="0" t="s">
        <v>154</v>
      </c>
      <c r="CH2128" s="0" t="s">
        <v>155</v>
      </c>
      <c r="CK2128" s="0" t="s">
        <v>154</v>
      </c>
      <c r="CL2128" s="0" t="s">
        <v>155</v>
      </c>
      <c r="CN2128" s="0" t="s">
        <v>154</v>
      </c>
      <c r="CO2128" s="0" t="s">
        <v>155</v>
      </c>
      <c r="CP2128" s="0" t="s">
        <v>154</v>
      </c>
      <c r="CQ2128" s="0" t="s">
        <v>155</v>
      </c>
      <c r="CT2128" s="0" t="s">
        <v>154</v>
      </c>
      <c r="CU2128" s="0" t="s">
        <v>155</v>
      </c>
      <c r="CV2128" s="0" t="s">
        <v>154</v>
      </c>
      <c r="CW2128" s="0" t="s">
        <v>155</v>
      </c>
      <c r="CY2128" s="0" t="s">
        <v>154</v>
      </c>
      <c r="CZ2128" s="0" t="s">
        <v>155</v>
      </c>
      <c r="DC2128" s="0" t="s">
        <v>154</v>
      </c>
      <c r="DD2128" s="0" t="s">
        <v>155</v>
      </c>
      <c r="DF2128" s="0" t="s">
        <v>154</v>
      </c>
      <c r="DG2128" s="0" t="s">
        <v>155</v>
      </c>
      <c r="DI2128" s="0" t="s">
        <v>154</v>
      </c>
      <c r="DJ2128" s="0" t="s">
        <v>155</v>
      </c>
      <c r="DL2128" s="0" t="s">
        <v>154</v>
      </c>
      <c r="DM2128" s="0" t="s">
        <v>155</v>
      </c>
      <c r="DN2128" s="0" t="s">
        <v>154</v>
      </c>
      <c r="DO2128" s="0" t="s">
        <v>155</v>
      </c>
      <c r="DR2128" s="0" t="s">
        <v>154</v>
      </c>
      <c r="DS2128" s="0" t="s">
        <v>155</v>
      </c>
      <c r="DT2128" s="0" t="s">
        <v>155</v>
      </c>
      <c r="DU2128" s="0" t="s">
        <v>154</v>
      </c>
      <c r="DW2128" s="0" t="s">
        <v>155</v>
      </c>
      <c r="DX2128" s="0" t="s">
        <v>154</v>
      </c>
      <c r="EA2128" s="0" t="s">
        <v>154</v>
      </c>
      <c r="ED2128" s="0" t="s">
        <v>155</v>
      </c>
      <c r="EF2128" s="0" t="s">
        <v>154</v>
      </c>
      <c r="EH2128" s="0" t="s">
        <v>155</v>
      </c>
    </row>
    <row r="2129" customFormat="false" ht="13.8" hidden="true" customHeight="false" outlineLevel="0" collapsed="false">
      <c r="A2129" s="0" t="s">
        <v>9358</v>
      </c>
      <c r="B2129" s="0" t="n">
        <v>78</v>
      </c>
      <c r="C2129" s="0" t="n">
        <v>476861</v>
      </c>
      <c r="D2129" s="0" t="s">
        <v>9359</v>
      </c>
      <c r="E2129" s="0" t="s">
        <v>2121</v>
      </c>
      <c r="F2129" s="0" t="str">
        <f aca="false">CONCATENATE(D2129," ",LEFT(H2129,4),"T=",AU2129,"D=",AV2129,"R=",AW2129,"M=",AX2129,"L=",AY2129,"B=",AZ2129)</f>
        <v>ALLSHOUSE T=2D=0R=0M=0L=0B=0</v>
      </c>
      <c r="G2129" s="0" t="s">
        <v>750</v>
      </c>
      <c r="I2129" s="0" t="s">
        <v>9360</v>
      </c>
      <c r="J2129" s="0" t="s">
        <v>5660</v>
      </c>
      <c r="K2129" s="0" t="s">
        <v>175</v>
      </c>
      <c r="L2129" s="0"/>
      <c r="M2129" s="0" t="s">
        <v>9361</v>
      </c>
      <c r="N2129" s="0" t="str">
        <f aca="false">RIGHT(M2129,LEN(M2129)-FIND(" ",M2129))</f>
        <v>PAIGE AVE NE</v>
      </c>
      <c r="P2129" s="0" t="s">
        <v>146</v>
      </c>
      <c r="Q2129" s="0" t="s">
        <v>147</v>
      </c>
      <c r="R2129" s="0" t="n">
        <v>44483</v>
      </c>
      <c r="AD2129" s="0" t="s">
        <v>148</v>
      </c>
      <c r="AE2129" s="0" t="s">
        <v>149</v>
      </c>
      <c r="AF2129" s="0" t="s">
        <v>150</v>
      </c>
      <c r="AH2129" s="0" t="n">
        <v>14</v>
      </c>
      <c r="AI2129" s="0" t="n">
        <v>11</v>
      </c>
      <c r="AN2129" s="0" t="s">
        <v>146</v>
      </c>
      <c r="AO2129" s="0" t="s">
        <v>250</v>
      </c>
      <c r="AP2129" s="0" t="s">
        <v>251</v>
      </c>
      <c r="AQ2129" s="0" t="n">
        <v>9</v>
      </c>
      <c r="AR2129" s="0" t="n">
        <v>64</v>
      </c>
      <c r="AS2129" s="0" t="n">
        <v>32</v>
      </c>
      <c r="AU2129" s="0" t="n">
        <f aca="false">COUNTA($BA$2209:$EH$2209)</f>
        <v>2</v>
      </c>
      <c r="AV2129" s="0" t="n">
        <f aca="false">COUNTIF($BA$2209:$EH$2209,"D")</f>
        <v>0</v>
      </c>
      <c r="AW2129" s="0" t="n">
        <f aca="false">COUNTIF($BA$2209:$EH$2209,"R")</f>
        <v>0</v>
      </c>
      <c r="AX2129" s="0" t="n">
        <f aca="false"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>0</v>
      </c>
      <c r="AY2129" s="0" t="n">
        <f aca="false">COUNTIF(DU2129:EH2129, "&lt;&gt;")</f>
        <v>0</v>
      </c>
      <c r="AZ2129" s="0" t="n">
        <f aca="false">IF(EH2129&lt;&gt;"",1,0)</f>
        <v>0</v>
      </c>
      <c r="BB2129" s="0" t="s">
        <v>153</v>
      </c>
    </row>
    <row r="2130" customFormat="false" ht="13.8" hidden="true" customHeight="false" outlineLevel="0" collapsed="false">
      <c r="A2130" s="0" t="s">
        <v>9362</v>
      </c>
      <c r="B2130" s="0" t="n">
        <v>78</v>
      </c>
      <c r="C2130" s="0" t="n">
        <v>408232</v>
      </c>
      <c r="D2130" s="0" t="s">
        <v>453</v>
      </c>
      <c r="E2130" s="0" t="s">
        <v>9363</v>
      </c>
      <c r="F2130" s="0" t="str">
        <f aca="false">CONCATENATE(D2130," ",LEFT(H2130,4),"T=",AU2130,"D=",AV2130,"R=",AW2130,"M=",AX2130,"L=",AY2130,"B=",AZ2130)</f>
        <v>YOUNG T=11D=0R=1M=0L=0B=0</v>
      </c>
      <c r="G2130" s="0" t="s">
        <v>172</v>
      </c>
      <c r="I2130" s="0" t="s">
        <v>1433</v>
      </c>
      <c r="J2130" s="0" t="s">
        <v>9364</v>
      </c>
      <c r="K2130" s="0" t="s">
        <v>144</v>
      </c>
      <c r="L2130" s="0"/>
      <c r="M2130" s="0" t="s">
        <v>9365</v>
      </c>
      <c r="N2130" s="0" t="str">
        <f aca="false">RIGHT(M2130,LEN(M2130)-FIND(" ",M2130))</f>
        <v>PAIGE AVE NE</v>
      </c>
      <c r="P2130" s="0" t="s">
        <v>146</v>
      </c>
      <c r="Q2130" s="0" t="s">
        <v>147</v>
      </c>
      <c r="R2130" s="0" t="n">
        <v>44483</v>
      </c>
      <c r="AD2130" s="0" t="s">
        <v>148</v>
      </c>
      <c r="AE2130" s="0" t="s">
        <v>149</v>
      </c>
      <c r="AF2130" s="0" t="s">
        <v>150</v>
      </c>
      <c r="AH2130" s="0" t="n">
        <v>14</v>
      </c>
      <c r="AI2130" s="0" t="n">
        <v>11</v>
      </c>
      <c r="AN2130" s="0" t="s">
        <v>146</v>
      </c>
      <c r="AO2130" s="0" t="s">
        <v>236</v>
      </c>
      <c r="AP2130" s="0" t="s">
        <v>237</v>
      </c>
      <c r="AQ2130" s="0" t="n">
        <v>9</v>
      </c>
      <c r="AR2130" s="0" t="n">
        <v>64</v>
      </c>
      <c r="AS2130" s="0" t="n">
        <v>32</v>
      </c>
      <c r="AU2130" s="0" t="n">
        <f aca="false">COUNTA($BA$111:$EH$111)</f>
        <v>11</v>
      </c>
      <c r="AV2130" s="0" t="n">
        <f aca="false">COUNTIF($BA$111:$EH$111,"D")</f>
        <v>0</v>
      </c>
      <c r="AW2130" s="0" t="n">
        <f aca="false">COUNTIF($BA$111:$EH$111,"R")</f>
        <v>1</v>
      </c>
      <c r="AX2130" s="0" t="n">
        <f aca="false"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>0</v>
      </c>
      <c r="AY2130" s="0" t="n">
        <f aca="false">COUNTIF(DU2130:EH2130, "&lt;&gt;")</f>
        <v>0</v>
      </c>
      <c r="AZ2130" s="0" t="n">
        <f aca="false">IF(EH2130&lt;&gt;"",1,0)</f>
        <v>0</v>
      </c>
      <c r="BB2130" s="0" t="s">
        <v>153</v>
      </c>
    </row>
    <row r="2131" customFormat="false" ht="13.8" hidden="false" customHeight="false" outlineLevel="0" collapsed="false">
      <c r="A2131" s="0" t="s">
        <v>9366</v>
      </c>
      <c r="B2131" s="0" t="n">
        <v>78</v>
      </c>
      <c r="C2131" s="0" t="n">
        <v>69978</v>
      </c>
      <c r="D2131" s="0" t="s">
        <v>422</v>
      </c>
      <c r="E2131" s="0" t="s">
        <v>1374</v>
      </c>
      <c r="F2131" s="0" t="str">
        <f aca="false">CONCATENATE(D2131," ",LEFT(H2131,4),"T=",AU2131,"D=",AV2131,"R=",AW2131,"M=",AX2131,"L=",AY2131,"B=",AZ2131)</f>
        <v>GORDON T=2D=0R=0M=2L=5B=0</v>
      </c>
      <c r="G2131" s="0" t="s">
        <v>166</v>
      </c>
      <c r="I2131" s="0" t="s">
        <v>9367</v>
      </c>
      <c r="J2131" s="0" t="s">
        <v>9368</v>
      </c>
      <c r="K2131" s="0" t="s">
        <v>175</v>
      </c>
      <c r="L2131" s="1" t="s">
        <v>155</v>
      </c>
      <c r="M2131" s="0" t="s">
        <v>9369</v>
      </c>
      <c r="N2131" s="0" t="str">
        <f aca="false">RIGHT(M2131,LEN(M2131)-FIND(" ",M2131))</f>
        <v>PAIGE AVE NE</v>
      </c>
      <c r="P2131" s="0" t="s">
        <v>146</v>
      </c>
      <c r="Q2131" s="0" t="s">
        <v>147</v>
      </c>
      <c r="R2131" s="0" t="n">
        <v>44483</v>
      </c>
      <c r="AD2131" s="0" t="s">
        <v>148</v>
      </c>
      <c r="AE2131" s="0" t="s">
        <v>149</v>
      </c>
      <c r="AF2131" s="0" t="s">
        <v>150</v>
      </c>
      <c r="AH2131" s="0" t="n">
        <v>14</v>
      </c>
      <c r="AI2131" s="0" t="n">
        <v>11</v>
      </c>
      <c r="AN2131" s="0" t="s">
        <v>146</v>
      </c>
      <c r="AO2131" s="0" t="s">
        <v>236</v>
      </c>
      <c r="AP2131" s="0" t="s">
        <v>237</v>
      </c>
      <c r="AQ2131" s="0" t="n">
        <v>9</v>
      </c>
      <c r="AR2131" s="0" t="n">
        <v>64</v>
      </c>
      <c r="AS2131" s="0" t="n">
        <v>32</v>
      </c>
      <c r="AU2131" s="0" t="n">
        <f aca="false">COUNTA($BA$711:$EH$711)</f>
        <v>2</v>
      </c>
      <c r="AV2131" s="0" t="n">
        <f aca="false">COUNTIF($BA$711:$EH$711,"D")</f>
        <v>0</v>
      </c>
      <c r="AW2131" s="0" t="n">
        <f aca="false">COUNTIF($BA$711:$EH$711,"R")</f>
        <v>0</v>
      </c>
      <c r="AX2131" s="0" t="n">
        <f aca="false"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>2</v>
      </c>
      <c r="AY2131" s="0" t="n">
        <f aca="false">COUNTIF(DU2131:EH2131, "&lt;&gt;")</f>
        <v>5</v>
      </c>
      <c r="AZ2131" s="0" t="n">
        <f aca="false">IF(EH2131&lt;&gt;"",1,0)</f>
        <v>0</v>
      </c>
      <c r="BB2131" s="0" t="s">
        <v>153</v>
      </c>
      <c r="BC2131" s="0" t="s">
        <v>154</v>
      </c>
      <c r="BD2131" s="0" t="s">
        <v>154</v>
      </c>
      <c r="BE2131" s="0" t="s">
        <v>154</v>
      </c>
      <c r="BF2131" s="0" t="s">
        <v>154</v>
      </c>
      <c r="BG2131" s="0" t="s">
        <v>154</v>
      </c>
      <c r="BH2131" s="0" t="s">
        <v>154</v>
      </c>
      <c r="BI2131" s="0" t="s">
        <v>154</v>
      </c>
      <c r="BJ2131" s="0" t="s">
        <v>154</v>
      </c>
      <c r="BK2131" s="0" t="s">
        <v>154</v>
      </c>
      <c r="BL2131" s="0" t="s">
        <v>154</v>
      </c>
      <c r="BP2131" s="0" t="s">
        <v>154</v>
      </c>
      <c r="BR2131" s="0" t="s">
        <v>154</v>
      </c>
      <c r="BS2131" s="0" t="s">
        <v>154</v>
      </c>
      <c r="BY2131" s="0" t="s">
        <v>155</v>
      </c>
      <c r="CA2131" s="0" t="s">
        <v>154</v>
      </c>
      <c r="CG2131" s="0" t="s">
        <v>154</v>
      </c>
      <c r="CK2131" s="0" t="s">
        <v>154</v>
      </c>
      <c r="CL2131" s="0" t="s">
        <v>155</v>
      </c>
      <c r="CN2131" s="0" t="s">
        <v>154</v>
      </c>
      <c r="CP2131" s="0" t="s">
        <v>154</v>
      </c>
      <c r="CU2131" s="0" t="s">
        <v>155</v>
      </c>
      <c r="CV2131" s="0" t="s">
        <v>154</v>
      </c>
      <c r="CY2131" s="0" t="s">
        <v>154</v>
      </c>
      <c r="CZ2131" s="0" t="s">
        <v>155</v>
      </c>
      <c r="DC2131" s="0" t="s">
        <v>154</v>
      </c>
      <c r="DD2131" s="0" t="s">
        <v>155</v>
      </c>
      <c r="DF2131" s="0" t="s">
        <v>154</v>
      </c>
      <c r="DG2131" s="0" t="s">
        <v>155</v>
      </c>
      <c r="DI2131" s="0" t="s">
        <v>154</v>
      </c>
      <c r="DL2131" s="0" t="s">
        <v>154</v>
      </c>
      <c r="DN2131" s="0" t="s">
        <v>154</v>
      </c>
      <c r="DT2131" s="0" t="s">
        <v>155</v>
      </c>
      <c r="DU2131" s="0" t="s">
        <v>154</v>
      </c>
      <c r="DX2131" s="0" t="s">
        <v>154</v>
      </c>
      <c r="EA2131" s="0" t="s">
        <v>154</v>
      </c>
      <c r="ED2131" s="0" t="s">
        <v>155</v>
      </c>
      <c r="EF2131" s="0" t="s">
        <v>154</v>
      </c>
    </row>
    <row r="2132" customFormat="false" ht="13.8" hidden="false" customHeight="false" outlineLevel="0" collapsed="false">
      <c r="A2132" s="0" t="s">
        <v>9370</v>
      </c>
      <c r="B2132" s="0" t="n">
        <v>78</v>
      </c>
      <c r="C2132" s="0" t="n">
        <v>248154</v>
      </c>
      <c r="D2132" s="0" t="s">
        <v>9371</v>
      </c>
      <c r="E2132" s="0" t="s">
        <v>277</v>
      </c>
      <c r="F2132" s="0" t="str">
        <f aca="false">CONCATENATE(D2132," ",LEFT(H2132,4),"T=",AU2132,"D=",AV2132,"R=",AW2132,"M=",AX2132,"L=",AY2132,"B=",AZ2132)</f>
        <v>FOOS T=2D=0R=0M=1L=2B=0</v>
      </c>
      <c r="G2132" s="0" t="s">
        <v>297</v>
      </c>
      <c r="I2132" s="0" t="s">
        <v>9372</v>
      </c>
      <c r="J2132" s="0" t="s">
        <v>9373</v>
      </c>
      <c r="K2132" s="0" t="s">
        <v>175</v>
      </c>
      <c r="M2132" s="0" t="s">
        <v>9369</v>
      </c>
      <c r="N2132" s="0" t="str">
        <f aca="false">RIGHT(M2132,LEN(M2132)-FIND(" ",M2132))</f>
        <v>PAIGE AVE NE</v>
      </c>
      <c r="P2132" s="0" t="s">
        <v>146</v>
      </c>
      <c r="Q2132" s="0" t="s">
        <v>147</v>
      </c>
      <c r="R2132" s="0" t="n">
        <v>44483</v>
      </c>
      <c r="AD2132" s="0" t="s">
        <v>148</v>
      </c>
      <c r="AE2132" s="0" t="s">
        <v>149</v>
      </c>
      <c r="AF2132" s="0" t="s">
        <v>150</v>
      </c>
      <c r="AH2132" s="0" t="n">
        <v>14</v>
      </c>
      <c r="AI2132" s="0" t="n">
        <v>11</v>
      </c>
      <c r="AN2132" s="0" t="s">
        <v>146</v>
      </c>
      <c r="AO2132" s="0" t="s">
        <v>236</v>
      </c>
      <c r="AP2132" s="0" t="s">
        <v>237</v>
      </c>
      <c r="AQ2132" s="0" t="n">
        <v>9</v>
      </c>
      <c r="AR2132" s="0" t="n">
        <v>64</v>
      </c>
      <c r="AS2132" s="0" t="n">
        <v>32</v>
      </c>
      <c r="AU2132" s="0" t="n">
        <f aca="false">COUNTA($BA$828:$EH$828)</f>
        <v>2</v>
      </c>
      <c r="AV2132" s="0" t="n">
        <f aca="false">COUNTIF($BA$828:$EH$828,"D")</f>
        <v>0</v>
      </c>
      <c r="AW2132" s="0" t="n">
        <f aca="false">COUNTIF($BA$828:$EH$828,"R")</f>
        <v>0</v>
      </c>
      <c r="AX2132" s="0" t="n">
        <f aca="false"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>1</v>
      </c>
      <c r="AY2132" s="0" t="n">
        <f aca="false">COUNTIF(DU2132:EH2132, "&lt;&gt;")</f>
        <v>2</v>
      </c>
      <c r="AZ2132" s="0" t="n">
        <f aca="false">IF(EH2132&lt;&gt;"",1,0)</f>
        <v>0</v>
      </c>
      <c r="BB2132" s="0" t="s">
        <v>153</v>
      </c>
      <c r="BC2132" s="0" t="s">
        <v>154</v>
      </c>
      <c r="BD2132" s="0" t="s">
        <v>154</v>
      </c>
      <c r="BE2132" s="0" t="s">
        <v>154</v>
      </c>
      <c r="BF2132" s="0" t="s">
        <v>154</v>
      </c>
      <c r="BG2132" s="0" t="s">
        <v>154</v>
      </c>
      <c r="BH2132" s="0" t="s">
        <v>154</v>
      </c>
      <c r="BI2132" s="0" t="s">
        <v>154</v>
      </c>
      <c r="BJ2132" s="0" t="s">
        <v>154</v>
      </c>
      <c r="BK2132" s="0" t="s">
        <v>154</v>
      </c>
      <c r="BL2132" s="0" t="s">
        <v>154</v>
      </c>
      <c r="BP2132" s="0" t="s">
        <v>154</v>
      </c>
      <c r="BR2132" s="0" t="s">
        <v>154</v>
      </c>
      <c r="BS2132" s="0" t="s">
        <v>154</v>
      </c>
      <c r="BY2132" s="0" t="s">
        <v>155</v>
      </c>
      <c r="CA2132" s="0" t="s">
        <v>154</v>
      </c>
      <c r="CG2132" s="0" t="s">
        <v>154</v>
      </c>
      <c r="CK2132" s="0" t="s">
        <v>154</v>
      </c>
      <c r="CN2132" s="0" t="s">
        <v>154</v>
      </c>
      <c r="CP2132" s="0" t="s">
        <v>154</v>
      </c>
      <c r="CU2132" s="0" t="s">
        <v>155</v>
      </c>
      <c r="CV2132" s="0" t="s">
        <v>154</v>
      </c>
      <c r="CY2132" s="0" t="s">
        <v>154</v>
      </c>
      <c r="CZ2132" s="0" t="s">
        <v>155</v>
      </c>
      <c r="DC2132" s="0" t="s">
        <v>154</v>
      </c>
      <c r="DD2132" s="0" t="s">
        <v>155</v>
      </c>
      <c r="DF2132" s="0" t="s">
        <v>154</v>
      </c>
      <c r="DG2132" s="0" t="s">
        <v>155</v>
      </c>
      <c r="DI2132" s="0" t="s">
        <v>154</v>
      </c>
      <c r="DL2132" s="0" t="s">
        <v>154</v>
      </c>
      <c r="DN2132" s="0" t="s">
        <v>154</v>
      </c>
      <c r="DU2132" s="0" t="s">
        <v>154</v>
      </c>
      <c r="EF2132" s="0" t="s">
        <v>154</v>
      </c>
    </row>
    <row r="2133" customFormat="false" ht="13.8" hidden="false" customHeight="false" outlineLevel="0" collapsed="false">
      <c r="A2133" s="0" t="s">
        <v>9374</v>
      </c>
      <c r="B2133" s="0" t="n">
        <v>78</v>
      </c>
      <c r="C2133" s="0" t="n">
        <v>5137</v>
      </c>
      <c r="D2133" s="0" t="s">
        <v>9375</v>
      </c>
      <c r="E2133" s="0" t="s">
        <v>1040</v>
      </c>
      <c r="F2133" s="0" t="str">
        <f aca="false">CONCATENATE(D2133," ",LEFT(H2133,4),"T=",AU2133,"D=",AV2133,"R=",AW2133,"M=",AX2133,"L=",AY2133,"B=",AZ2133)</f>
        <v>STEEN T=3D=0R=0M=0L=2B=0</v>
      </c>
      <c r="G2133" s="0" t="s">
        <v>176</v>
      </c>
      <c r="I2133" s="0" t="s">
        <v>9376</v>
      </c>
      <c r="J2133" s="0" t="s">
        <v>9377</v>
      </c>
      <c r="K2133" s="0" t="s">
        <v>175</v>
      </c>
      <c r="M2133" s="0" t="s">
        <v>9378</v>
      </c>
      <c r="N2133" s="0" t="str">
        <f aca="false">RIGHT(M2133,LEN(M2133)-FIND(" ",M2133))</f>
        <v>PAIGE AVE NE</v>
      </c>
      <c r="P2133" s="0" t="s">
        <v>146</v>
      </c>
      <c r="Q2133" s="0" t="s">
        <v>147</v>
      </c>
      <c r="R2133" s="0" t="n">
        <v>44483</v>
      </c>
      <c r="AD2133" s="0" t="s">
        <v>148</v>
      </c>
      <c r="AE2133" s="0" t="s">
        <v>149</v>
      </c>
      <c r="AF2133" s="0" t="s">
        <v>150</v>
      </c>
      <c r="AH2133" s="0" t="n">
        <v>14</v>
      </c>
      <c r="AI2133" s="0" t="n">
        <v>11</v>
      </c>
      <c r="AN2133" s="0" t="s">
        <v>146</v>
      </c>
      <c r="AO2133" s="0" t="s">
        <v>236</v>
      </c>
      <c r="AP2133" s="0" t="s">
        <v>237</v>
      </c>
      <c r="AQ2133" s="0" t="n">
        <v>9</v>
      </c>
      <c r="AR2133" s="0" t="n">
        <v>64</v>
      </c>
      <c r="AS2133" s="0" t="n">
        <v>32</v>
      </c>
      <c r="AU2133" s="0" t="n">
        <f aca="false">COUNTA($BA$829:$EH$829)</f>
        <v>3</v>
      </c>
      <c r="AV2133" s="0" t="n">
        <f aca="false">COUNTIF($BA$829:$EH$829,"D")</f>
        <v>0</v>
      </c>
      <c r="AW2133" s="0" t="n">
        <f aca="false">COUNTIF($BA$829:$EH$829,"R")</f>
        <v>0</v>
      </c>
      <c r="AX2133" s="0" t="n">
        <f aca="false"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>0</v>
      </c>
      <c r="AY2133" s="0" t="n">
        <f aca="false">COUNTIF(DU2133:EH2133, "&lt;&gt;")</f>
        <v>2</v>
      </c>
      <c r="AZ2133" s="0" t="n">
        <f aca="false">IF(EH2133&lt;&gt;"",1,0)</f>
        <v>0</v>
      </c>
      <c r="BB2133" s="0" t="s">
        <v>153</v>
      </c>
      <c r="BC2133" s="0" t="s">
        <v>154</v>
      </c>
      <c r="BD2133" s="0" t="s">
        <v>154</v>
      </c>
      <c r="BE2133" s="0" t="s">
        <v>154</v>
      </c>
      <c r="BH2133" s="0" t="s">
        <v>154</v>
      </c>
      <c r="BI2133" s="0" t="s">
        <v>154</v>
      </c>
      <c r="BJ2133" s="0" t="s">
        <v>154</v>
      </c>
      <c r="BK2133" s="0" t="s">
        <v>154</v>
      </c>
      <c r="BL2133" s="0" t="s">
        <v>154</v>
      </c>
      <c r="BS2133" s="0" t="s">
        <v>154</v>
      </c>
      <c r="CA2133" s="0" t="s">
        <v>154</v>
      </c>
      <c r="CK2133" s="0" t="s">
        <v>154</v>
      </c>
      <c r="CN2133" s="0" t="s">
        <v>154</v>
      </c>
      <c r="CP2133" s="0" t="s">
        <v>154</v>
      </c>
      <c r="CV2133" s="0" t="s">
        <v>154</v>
      </c>
      <c r="CY2133" s="0" t="s">
        <v>154</v>
      </c>
      <c r="CZ2133" s="0" t="s">
        <v>176</v>
      </c>
      <c r="DC2133" s="0" t="s">
        <v>154</v>
      </c>
      <c r="DI2133" s="0" t="s">
        <v>154</v>
      </c>
      <c r="DL2133" s="0" t="s">
        <v>154</v>
      </c>
      <c r="DN2133" s="0" t="s">
        <v>154</v>
      </c>
      <c r="DU2133" s="0" t="s">
        <v>154</v>
      </c>
      <c r="EF2133" s="0" t="s">
        <v>154</v>
      </c>
    </row>
    <row r="2134" customFormat="false" ht="13.8" hidden="true" customHeight="false" outlineLevel="0" collapsed="false">
      <c r="A2134" s="0" t="s">
        <v>9379</v>
      </c>
      <c r="B2134" s="0" t="n">
        <v>78</v>
      </c>
      <c r="C2134" s="0" t="n">
        <v>127287</v>
      </c>
      <c r="D2134" s="0" t="s">
        <v>9375</v>
      </c>
      <c r="E2134" s="0" t="s">
        <v>2001</v>
      </c>
      <c r="F2134" s="0" t="str">
        <f aca="false">CONCATENATE(D2134," ",LEFT(H2134,4),"T=",AU2134,"D=",AV2134,"R=",AW2134,"M=",AX2134,"L=",AY2134,"B=",AZ2134)</f>
        <v>STEEN T=1D=0R=0M=0L=0B=0</v>
      </c>
      <c r="G2134" s="0" t="s">
        <v>159</v>
      </c>
      <c r="I2134" s="0" t="s">
        <v>9380</v>
      </c>
      <c r="J2134" s="0" t="s">
        <v>1745</v>
      </c>
      <c r="K2134" s="0" t="s">
        <v>175</v>
      </c>
      <c r="L2134" s="0"/>
      <c r="M2134" s="0" t="s">
        <v>9378</v>
      </c>
      <c r="N2134" s="0" t="str">
        <f aca="false">RIGHT(M2134,LEN(M2134)-FIND(" ",M2134))</f>
        <v>PAIGE AVE NE</v>
      </c>
      <c r="P2134" s="0" t="s">
        <v>146</v>
      </c>
      <c r="Q2134" s="0" t="s">
        <v>147</v>
      </c>
      <c r="R2134" s="0" t="n">
        <v>44483</v>
      </c>
      <c r="AD2134" s="0" t="s">
        <v>148</v>
      </c>
      <c r="AE2134" s="0" t="s">
        <v>149</v>
      </c>
      <c r="AF2134" s="0" t="s">
        <v>150</v>
      </c>
      <c r="AH2134" s="0" t="n">
        <v>14</v>
      </c>
      <c r="AI2134" s="0" t="n">
        <v>11</v>
      </c>
      <c r="AN2134" s="0" t="s">
        <v>146</v>
      </c>
      <c r="AO2134" s="0" t="s">
        <v>236</v>
      </c>
      <c r="AP2134" s="0" t="s">
        <v>237</v>
      </c>
      <c r="AQ2134" s="0" t="n">
        <v>9</v>
      </c>
      <c r="AR2134" s="0" t="n">
        <v>64</v>
      </c>
      <c r="AS2134" s="0" t="n">
        <v>32</v>
      </c>
      <c r="AU2134" s="0" t="n">
        <f aca="false">COUNTA($BA$831:$EH$831)</f>
        <v>1</v>
      </c>
      <c r="AV2134" s="0" t="n">
        <f aca="false">COUNTIF($BA$831:$EH$831,"D")</f>
        <v>0</v>
      </c>
      <c r="AW2134" s="0" t="n">
        <f aca="false">COUNTIF($BA$831:$EH$831,"R")</f>
        <v>0</v>
      </c>
      <c r="AX2134" s="0" t="n">
        <f aca="false"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>0</v>
      </c>
      <c r="AY2134" s="0" t="n">
        <f aca="false">COUNTIF(DU2134:EH2134, "&lt;&gt;")</f>
        <v>0</v>
      </c>
      <c r="AZ2134" s="0" t="n">
        <f aca="false">IF(EH2134&lt;&gt;"",1,0)</f>
        <v>0</v>
      </c>
      <c r="BB2134" s="0" t="s">
        <v>153</v>
      </c>
      <c r="BC2134" s="0" t="s">
        <v>154</v>
      </c>
      <c r="BD2134" s="0" t="s">
        <v>154</v>
      </c>
      <c r="BH2134" s="0" t="s">
        <v>154</v>
      </c>
      <c r="BI2134" s="0" t="s">
        <v>154</v>
      </c>
      <c r="BJ2134" s="0" t="s">
        <v>154</v>
      </c>
      <c r="BK2134" s="0" t="s">
        <v>154</v>
      </c>
      <c r="BL2134" s="0" t="s">
        <v>154</v>
      </c>
      <c r="BS2134" s="0" t="s">
        <v>154</v>
      </c>
      <c r="BY2134" s="0" t="s">
        <v>155</v>
      </c>
      <c r="CA2134" s="0" t="s">
        <v>154</v>
      </c>
      <c r="CK2134" s="0" t="s">
        <v>154</v>
      </c>
      <c r="CN2134" s="0" t="s">
        <v>154</v>
      </c>
      <c r="CP2134" s="0" t="s">
        <v>154</v>
      </c>
      <c r="CV2134" s="0" t="s">
        <v>154</v>
      </c>
      <c r="CY2134" s="0" t="s">
        <v>154</v>
      </c>
      <c r="DC2134" s="0" t="s">
        <v>154</v>
      </c>
      <c r="DI2134" s="0" t="s">
        <v>154</v>
      </c>
      <c r="DN2134" s="0" t="s">
        <v>154</v>
      </c>
    </row>
    <row r="2135" customFormat="false" ht="13.8" hidden="true" customHeight="false" outlineLevel="0" collapsed="false">
      <c r="A2135" s="0" t="s">
        <v>9381</v>
      </c>
      <c r="B2135" s="0" t="n">
        <v>78</v>
      </c>
      <c r="C2135" s="0" t="n">
        <v>437833</v>
      </c>
      <c r="D2135" s="0" t="s">
        <v>9382</v>
      </c>
      <c r="E2135" s="0" t="s">
        <v>1817</v>
      </c>
      <c r="F2135" s="0" t="str">
        <f aca="false">CONCATENATE(D2135," ",LEFT(H2135,4),"T=",AU2135,"D=",AV2135,"R=",AW2135,"M=",AX2135,"L=",AY2135,"B=",AZ2135)</f>
        <v>NORRIS SRT=43D=4R=8M=0L=1B=0</v>
      </c>
      <c r="G2135" s="0" t="s">
        <v>317</v>
      </c>
      <c r="H2135" s="0" t="s">
        <v>311</v>
      </c>
      <c r="I2135" s="0" t="s">
        <v>9383</v>
      </c>
      <c r="J2135" s="0" t="s">
        <v>712</v>
      </c>
      <c r="K2135" s="0" t="s">
        <v>175</v>
      </c>
      <c r="L2135" s="0"/>
      <c r="M2135" s="0" t="s">
        <v>9384</v>
      </c>
      <c r="N2135" s="0" t="str">
        <f aca="false">RIGHT(M2135,LEN(M2135)-FIND(" ",M2135))</f>
        <v>PALM AVE NW</v>
      </c>
      <c r="P2135" s="0" t="s">
        <v>146</v>
      </c>
      <c r="Q2135" s="0" t="s">
        <v>147</v>
      </c>
      <c r="R2135" s="0" t="n">
        <v>44483</v>
      </c>
      <c r="AD2135" s="0" t="s">
        <v>148</v>
      </c>
      <c r="AE2135" s="0" t="s">
        <v>149</v>
      </c>
      <c r="AF2135" s="0" t="s">
        <v>150</v>
      </c>
      <c r="AH2135" s="0" t="n">
        <v>14</v>
      </c>
      <c r="AI2135" s="0" t="n">
        <v>11</v>
      </c>
      <c r="AN2135" s="0" t="s">
        <v>146</v>
      </c>
      <c r="AO2135" s="0" t="s">
        <v>151</v>
      </c>
      <c r="AP2135" s="0" t="s">
        <v>152</v>
      </c>
      <c r="AQ2135" s="0" t="n">
        <v>9</v>
      </c>
      <c r="AR2135" s="0" t="n">
        <v>64</v>
      </c>
      <c r="AS2135" s="0" t="n">
        <v>32</v>
      </c>
      <c r="AU2135" s="0" t="n">
        <f aca="false">COUNTA($BA$1253:$EH$1253)</f>
        <v>43</v>
      </c>
      <c r="AV2135" s="0" t="n">
        <f aca="false">COUNTIF($BA$1253:$EH$1253,"D")</f>
        <v>4</v>
      </c>
      <c r="AW2135" s="0" t="n">
        <f aca="false">COUNTIF($BA$1253:$EH$1253,"R")</f>
        <v>8</v>
      </c>
      <c r="AX2135" s="0" t="n">
        <f aca="false"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>0</v>
      </c>
      <c r="AY2135" s="0" t="n">
        <f aca="false">COUNTIF(DU2135:EH2135, "&lt;&gt;")</f>
        <v>1</v>
      </c>
      <c r="AZ2135" s="0" t="n">
        <f aca="false">IF(EH2135&lt;&gt;"",1,0)</f>
        <v>0</v>
      </c>
      <c r="BB2135" s="0" t="s">
        <v>153</v>
      </c>
      <c r="DN2135" s="0" t="s">
        <v>154</v>
      </c>
      <c r="DR2135" s="0" t="s">
        <v>154</v>
      </c>
      <c r="EF2135" s="0" t="s">
        <v>154</v>
      </c>
    </row>
    <row r="2136" customFormat="false" ht="13.8" hidden="true" customHeight="false" outlineLevel="0" collapsed="false">
      <c r="A2136" s="0" t="s">
        <v>9385</v>
      </c>
      <c r="B2136" s="0" t="n">
        <v>78</v>
      </c>
      <c r="C2136" s="0" t="n">
        <v>485714</v>
      </c>
      <c r="D2136" s="0" t="s">
        <v>9382</v>
      </c>
      <c r="E2136" s="0" t="s">
        <v>9386</v>
      </c>
      <c r="F2136" s="0" t="str">
        <f aca="false">CONCATENATE(D2136," ",LEFT(H2136,4),"T=",AU2136,"D=",AV2136,"R=",AW2136,"M=",AX2136,"L=",AY2136,"B=",AZ2136)</f>
        <v>NORRIS T=9D=4R=0M=0L=1B=0</v>
      </c>
      <c r="G2136" s="0" t="s">
        <v>9387</v>
      </c>
      <c r="I2136" s="0" t="s">
        <v>9388</v>
      </c>
      <c r="J2136" s="0" t="s">
        <v>9389</v>
      </c>
      <c r="K2136" s="0" t="s">
        <v>175</v>
      </c>
      <c r="L2136" s="0"/>
      <c r="M2136" s="0" t="s">
        <v>9384</v>
      </c>
      <c r="N2136" s="0" t="str">
        <f aca="false">RIGHT(M2136,LEN(M2136)-FIND(" ",M2136))</f>
        <v>PALM AVE NW</v>
      </c>
      <c r="P2136" s="0" t="s">
        <v>146</v>
      </c>
      <c r="Q2136" s="0" t="s">
        <v>147</v>
      </c>
      <c r="R2136" s="0" t="n">
        <v>44483</v>
      </c>
      <c r="AD2136" s="0" t="s">
        <v>148</v>
      </c>
      <c r="AE2136" s="0" t="s">
        <v>149</v>
      </c>
      <c r="AF2136" s="0" t="s">
        <v>150</v>
      </c>
      <c r="AH2136" s="0" t="n">
        <v>14</v>
      </c>
      <c r="AI2136" s="0" t="n">
        <v>11</v>
      </c>
      <c r="AN2136" s="0" t="s">
        <v>146</v>
      </c>
      <c r="AO2136" s="0" t="s">
        <v>151</v>
      </c>
      <c r="AP2136" s="0" t="s">
        <v>152</v>
      </c>
      <c r="AQ2136" s="0" t="n">
        <v>9</v>
      </c>
      <c r="AR2136" s="0" t="n">
        <v>64</v>
      </c>
      <c r="AS2136" s="0" t="n">
        <v>32</v>
      </c>
      <c r="AU2136" s="0" t="n">
        <f aca="false">COUNTA($BA$1488:$EH$1488)</f>
        <v>9</v>
      </c>
      <c r="AV2136" s="0" t="n">
        <f aca="false">COUNTIF($BA$1488:$EH$1488,"D")</f>
        <v>4</v>
      </c>
      <c r="AW2136" s="0" t="n">
        <f aca="false">COUNTIF($BA$1488:$EH$1488,"R")</f>
        <v>0</v>
      </c>
      <c r="AX2136" s="0" t="n">
        <f aca="false"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>0</v>
      </c>
      <c r="AY2136" s="0" t="n">
        <f aca="false">COUNTIF(DU2136:EH2136, "&lt;&gt;")</f>
        <v>1</v>
      </c>
      <c r="AZ2136" s="0" t="n">
        <f aca="false">IF(EH2136&lt;&gt;"",1,0)</f>
        <v>0</v>
      </c>
      <c r="BB2136" s="0" t="s">
        <v>153</v>
      </c>
      <c r="EF2136" s="0" t="s">
        <v>154</v>
      </c>
    </row>
    <row r="2137" customFormat="false" ht="13.8" hidden="true" customHeight="false" outlineLevel="0" collapsed="false">
      <c r="A2137" s="0" t="s">
        <v>9390</v>
      </c>
      <c r="B2137" s="0" t="n">
        <v>78</v>
      </c>
      <c r="C2137" s="0" t="n">
        <v>372852</v>
      </c>
      <c r="D2137" s="0" t="s">
        <v>2961</v>
      </c>
      <c r="E2137" s="0" t="s">
        <v>9391</v>
      </c>
      <c r="F2137" s="0" t="str">
        <f aca="false">CONCATENATE(D2137," ",LEFT(H2137,4),"T=",AU2137,"D=",AV2137,"R=",AW2137,"M=",AX2137,"L=",AY2137,"B=",AZ2137)</f>
        <v>BUTLER T=11D=1R=0M=0L=0B=0</v>
      </c>
      <c r="G2137" s="0" t="s">
        <v>297</v>
      </c>
      <c r="I2137" s="0" t="s">
        <v>9392</v>
      </c>
      <c r="J2137" s="0" t="s">
        <v>9393</v>
      </c>
      <c r="K2137" s="0" t="s">
        <v>144</v>
      </c>
      <c r="L2137" s="0"/>
      <c r="M2137" s="0" t="s">
        <v>9384</v>
      </c>
      <c r="N2137" s="0" t="str">
        <f aca="false">RIGHT(M2137,LEN(M2137)-FIND(" ",M2137))</f>
        <v>PALM AVE NW</v>
      </c>
      <c r="P2137" s="0" t="s">
        <v>146</v>
      </c>
      <c r="Q2137" s="0" t="s">
        <v>147</v>
      </c>
      <c r="R2137" s="0" t="n">
        <v>44483</v>
      </c>
      <c r="AD2137" s="0" t="s">
        <v>148</v>
      </c>
      <c r="AE2137" s="0" t="s">
        <v>149</v>
      </c>
      <c r="AF2137" s="0" t="s">
        <v>150</v>
      </c>
      <c r="AH2137" s="0" t="n">
        <v>14</v>
      </c>
      <c r="AI2137" s="0" t="n">
        <v>11</v>
      </c>
      <c r="AN2137" s="0" t="s">
        <v>146</v>
      </c>
      <c r="AO2137" s="0" t="s">
        <v>151</v>
      </c>
      <c r="AP2137" s="0" t="s">
        <v>152</v>
      </c>
      <c r="AQ2137" s="0" t="n">
        <v>9</v>
      </c>
      <c r="AR2137" s="0" t="n">
        <v>64</v>
      </c>
      <c r="AS2137" s="0" t="n">
        <v>32</v>
      </c>
      <c r="AU2137" s="0" t="n">
        <f aca="false">COUNTA($BA$1830:$EH$1830)</f>
        <v>11</v>
      </c>
      <c r="AV2137" s="0" t="n">
        <f aca="false">COUNTIF($BA$1830:$EH$1830,"D")</f>
        <v>1</v>
      </c>
      <c r="AW2137" s="0" t="n">
        <f aca="false">COUNTIF($BA$1830:$EH$1830,"R")</f>
        <v>0</v>
      </c>
      <c r="AX2137" s="0" t="n">
        <f aca="false"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>0</v>
      </c>
      <c r="AY2137" s="0" t="n">
        <f aca="false">COUNTIF(DU2137:EH2137, "&lt;&gt;")</f>
        <v>0</v>
      </c>
      <c r="AZ2137" s="0" t="n">
        <f aca="false">IF(EH2137&lt;&gt;"",1,0)</f>
        <v>0</v>
      </c>
      <c r="BB2137" s="0" t="s">
        <v>153</v>
      </c>
      <c r="CP2137" s="0" t="s">
        <v>154</v>
      </c>
      <c r="DI2137" s="0" t="s">
        <v>154</v>
      </c>
      <c r="DN2137" s="0" t="s">
        <v>154</v>
      </c>
    </row>
    <row r="2138" customFormat="false" ht="13.8" hidden="false" customHeight="false" outlineLevel="0" collapsed="false">
      <c r="A2138" s="0" t="s">
        <v>9394</v>
      </c>
      <c r="B2138" s="0" t="n">
        <v>78</v>
      </c>
      <c r="C2138" s="0" t="n">
        <v>284952</v>
      </c>
      <c r="D2138" s="0" t="s">
        <v>9395</v>
      </c>
      <c r="E2138" s="0" t="s">
        <v>158</v>
      </c>
      <c r="F2138" s="0" t="str">
        <f aca="false">CONCATENATE(D2138," ",LEFT(H2138,4),"T=",AU2138,"D=",AV2138,"R=",AW2138,"M=",AX2138,"L=",AY2138,"B=",AZ2138)</f>
        <v>GARITO T=1D=0R=0M=2L=4B=0</v>
      </c>
      <c r="G2138" s="0" t="s">
        <v>176</v>
      </c>
      <c r="I2138" s="0" t="s">
        <v>6435</v>
      </c>
      <c r="J2138" s="0" t="s">
        <v>9396</v>
      </c>
      <c r="K2138" s="0" t="s">
        <v>175</v>
      </c>
      <c r="L2138" s="1" t="s">
        <v>155</v>
      </c>
      <c r="M2138" s="0" t="s">
        <v>9397</v>
      </c>
      <c r="N2138" s="0" t="str">
        <f aca="false">RIGHT(M2138,LEN(M2138)-FIND(" ",M2138))</f>
        <v>PALM AVE NW</v>
      </c>
      <c r="P2138" s="0" t="s">
        <v>146</v>
      </c>
      <c r="Q2138" s="0" t="s">
        <v>147</v>
      </c>
      <c r="R2138" s="0" t="n">
        <v>44483</v>
      </c>
      <c r="AD2138" s="0" t="s">
        <v>148</v>
      </c>
      <c r="AE2138" s="0" t="s">
        <v>149</v>
      </c>
      <c r="AF2138" s="0" t="s">
        <v>150</v>
      </c>
      <c r="AH2138" s="0" t="n">
        <v>14</v>
      </c>
      <c r="AI2138" s="0" t="n">
        <v>11</v>
      </c>
      <c r="AN2138" s="0" t="s">
        <v>146</v>
      </c>
      <c r="AO2138" s="0" t="s">
        <v>151</v>
      </c>
      <c r="AP2138" s="0" t="s">
        <v>152</v>
      </c>
      <c r="AQ2138" s="0" t="n">
        <v>9</v>
      </c>
      <c r="AR2138" s="0" t="n">
        <v>64</v>
      </c>
      <c r="AS2138" s="0" t="n">
        <v>32</v>
      </c>
      <c r="AU2138" s="0" t="n">
        <f aca="false">COUNTA($BA$2042:$EH$2042)</f>
        <v>1</v>
      </c>
      <c r="AV2138" s="0" t="n">
        <f aca="false">COUNTIF($BA$2042:$EH$2042,"D")</f>
        <v>0</v>
      </c>
      <c r="AW2138" s="0" t="n">
        <f aca="false">COUNTIF($BA$2042:$EH$2042,"R")</f>
        <v>0</v>
      </c>
      <c r="AX2138" s="0" t="n">
        <f aca="false"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>2</v>
      </c>
      <c r="AY2138" s="0" t="n">
        <f aca="false">COUNTIF(DU2138:EH2138, "&lt;&gt;")</f>
        <v>4</v>
      </c>
      <c r="AZ2138" s="0" t="n">
        <f aca="false">IF(EH2138&lt;&gt;"",1,0)</f>
        <v>0</v>
      </c>
      <c r="BB2138" s="0" t="s">
        <v>153</v>
      </c>
      <c r="BC2138" s="0" t="s">
        <v>154</v>
      </c>
      <c r="BD2138" s="0" t="s">
        <v>154</v>
      </c>
      <c r="BE2138" s="0" t="s">
        <v>154</v>
      </c>
      <c r="BF2138" s="0" t="s">
        <v>154</v>
      </c>
      <c r="BH2138" s="0" t="s">
        <v>154</v>
      </c>
      <c r="BI2138" s="0" t="s">
        <v>154</v>
      </c>
      <c r="BJ2138" s="0" t="s">
        <v>154</v>
      </c>
      <c r="BK2138" s="0" t="s">
        <v>154</v>
      </c>
      <c r="BL2138" s="0" t="s">
        <v>154</v>
      </c>
      <c r="BP2138" s="0" t="s">
        <v>154</v>
      </c>
      <c r="BS2138" s="0" t="s">
        <v>154</v>
      </c>
      <c r="BV2138" s="0" t="s">
        <v>154</v>
      </c>
      <c r="BY2138" s="0" t="s">
        <v>155</v>
      </c>
      <c r="CA2138" s="0" t="s">
        <v>154</v>
      </c>
      <c r="CG2138" s="0" t="s">
        <v>154</v>
      </c>
      <c r="CK2138" s="0" t="s">
        <v>154</v>
      </c>
      <c r="CO2138" s="0" t="s">
        <v>155</v>
      </c>
      <c r="CP2138" s="0" t="s">
        <v>154</v>
      </c>
      <c r="CV2138" s="0" t="s">
        <v>154</v>
      </c>
      <c r="CY2138" s="0" t="s">
        <v>154</v>
      </c>
      <c r="CZ2138" s="0" t="s">
        <v>155</v>
      </c>
      <c r="DC2138" s="0" t="s">
        <v>154</v>
      </c>
      <c r="DG2138" s="0" t="s">
        <v>155</v>
      </c>
      <c r="DJ2138" s="0" t="s">
        <v>155</v>
      </c>
      <c r="DM2138" s="0" t="s">
        <v>155</v>
      </c>
      <c r="DN2138" s="0" t="s">
        <v>154</v>
      </c>
      <c r="DS2138" s="0" t="s">
        <v>155</v>
      </c>
      <c r="DU2138" s="0" t="s">
        <v>154</v>
      </c>
      <c r="DW2138" s="0" t="s">
        <v>155</v>
      </c>
      <c r="ED2138" s="0" t="s">
        <v>155</v>
      </c>
      <c r="EF2138" s="0" t="s">
        <v>154</v>
      </c>
    </row>
    <row r="2139" customFormat="false" ht="13.8" hidden="true" customHeight="false" outlineLevel="0" collapsed="false">
      <c r="A2139" s="0" t="s">
        <v>9398</v>
      </c>
      <c r="B2139" s="0" t="n">
        <v>78</v>
      </c>
      <c r="C2139" s="0" t="n">
        <v>465102</v>
      </c>
      <c r="D2139" s="0" t="s">
        <v>194</v>
      </c>
      <c r="E2139" s="0" t="s">
        <v>2218</v>
      </c>
      <c r="F2139" s="0" t="str">
        <f aca="false">CONCATENATE(D2139," ",LEFT(H2139,4),"T=",AU2139,"D=",AV2139,"R=",AW2139,"M=",AX2139,"L=",AY2139,"B=",AZ2139)</f>
        <v>JORDAN T=3D=0R=0M=0L=1B=0</v>
      </c>
      <c r="G2139" s="0" t="s">
        <v>455</v>
      </c>
      <c r="I2139" s="0" t="s">
        <v>9399</v>
      </c>
      <c r="J2139" s="0" t="s">
        <v>606</v>
      </c>
      <c r="K2139" s="0" t="s">
        <v>175</v>
      </c>
      <c r="L2139" s="0"/>
      <c r="M2139" s="0" t="s">
        <v>9400</v>
      </c>
      <c r="N2139" s="0" t="str">
        <f aca="false">RIGHT(M2139,LEN(M2139)-FIND(" ",M2139))</f>
        <v>PALM AVE NW</v>
      </c>
      <c r="P2139" s="0" t="s">
        <v>146</v>
      </c>
      <c r="Q2139" s="0" t="s">
        <v>147</v>
      </c>
      <c r="R2139" s="0" t="n">
        <v>44483</v>
      </c>
      <c r="AD2139" s="0" t="s">
        <v>148</v>
      </c>
      <c r="AE2139" s="0" t="s">
        <v>149</v>
      </c>
      <c r="AF2139" s="0" t="s">
        <v>150</v>
      </c>
      <c r="AH2139" s="0" t="n">
        <v>14</v>
      </c>
      <c r="AI2139" s="0" t="n">
        <v>11</v>
      </c>
      <c r="AN2139" s="0" t="s">
        <v>146</v>
      </c>
      <c r="AO2139" s="0" t="s">
        <v>151</v>
      </c>
      <c r="AP2139" s="0" t="s">
        <v>152</v>
      </c>
      <c r="AQ2139" s="0" t="n">
        <v>9</v>
      </c>
      <c r="AR2139" s="0" t="n">
        <v>64</v>
      </c>
      <c r="AS2139" s="0" t="n">
        <v>32</v>
      </c>
      <c r="AU2139" s="0" t="n">
        <f aca="false">COUNTA($BA$2050:$EH$2050)</f>
        <v>3</v>
      </c>
      <c r="AV2139" s="0" t="n">
        <f aca="false">COUNTIF($BA$2050:$EH$2050,"D")</f>
        <v>0</v>
      </c>
      <c r="AW2139" s="0" t="n">
        <f aca="false">COUNTIF($BA$2050:$EH$2050,"R")</f>
        <v>0</v>
      </c>
      <c r="AX2139" s="0" t="n">
        <f aca="false"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>0</v>
      </c>
      <c r="AY2139" s="0" t="n">
        <f aca="false">COUNTIF(DU2139:EH2139, "&lt;&gt;")</f>
        <v>1</v>
      </c>
      <c r="AZ2139" s="0" t="n">
        <f aca="false">IF(EH2139&lt;&gt;"",1,0)</f>
        <v>0</v>
      </c>
      <c r="BB2139" s="0" t="s">
        <v>153</v>
      </c>
      <c r="BC2139" s="0" t="s">
        <v>155</v>
      </c>
      <c r="BF2139" s="0" t="s">
        <v>154</v>
      </c>
      <c r="BL2139" s="0" t="s">
        <v>154</v>
      </c>
      <c r="BP2139" s="0" t="s">
        <v>154</v>
      </c>
      <c r="BY2139" s="0" t="s">
        <v>155</v>
      </c>
      <c r="CA2139" s="0" t="s">
        <v>154</v>
      </c>
      <c r="CP2139" s="0" t="s">
        <v>154</v>
      </c>
      <c r="DC2139" s="0" t="s">
        <v>154</v>
      </c>
      <c r="DI2139" s="0" t="s">
        <v>154</v>
      </c>
      <c r="DN2139" s="0" t="s">
        <v>154</v>
      </c>
      <c r="EF2139" s="0" t="s">
        <v>154</v>
      </c>
    </row>
    <row r="2140" customFormat="false" ht="13.8" hidden="true" customHeight="false" outlineLevel="0" collapsed="false">
      <c r="A2140" s="0" t="s">
        <v>9401</v>
      </c>
      <c r="B2140" s="0" t="n">
        <v>78</v>
      </c>
      <c r="C2140" s="0" t="n">
        <v>384678</v>
      </c>
      <c r="D2140" s="0" t="s">
        <v>9402</v>
      </c>
      <c r="E2140" s="0" t="s">
        <v>9403</v>
      </c>
      <c r="F2140" s="0" t="str">
        <f aca="false">CONCATENATE(D2140," ",LEFT(H2140,4),"T=",AU2140,"D=",AV2140,"R=",AW2140,"M=",AX2140,"L=",AY2140,"B=",AZ2140)</f>
        <v>MASON T=28D=5R=0M=0L=0B=0</v>
      </c>
      <c r="G2140" s="0" t="s">
        <v>188</v>
      </c>
      <c r="I2140" s="0" t="s">
        <v>9404</v>
      </c>
      <c r="J2140" s="0" t="s">
        <v>9405</v>
      </c>
      <c r="K2140" s="0" t="s">
        <v>175</v>
      </c>
      <c r="L2140" s="0"/>
      <c r="M2140" s="0" t="s">
        <v>9406</v>
      </c>
      <c r="N2140" s="0" t="str">
        <f aca="false">RIGHT(M2140,LEN(M2140)-FIND(" ",M2140))</f>
        <v>PEACE AVE NW</v>
      </c>
      <c r="P2140" s="0" t="s">
        <v>146</v>
      </c>
      <c r="Q2140" s="0" t="s">
        <v>147</v>
      </c>
      <c r="R2140" s="0" t="n">
        <v>44483</v>
      </c>
      <c r="AD2140" s="0" t="s">
        <v>148</v>
      </c>
      <c r="AE2140" s="0" t="s">
        <v>149</v>
      </c>
      <c r="AF2140" s="0" t="s">
        <v>150</v>
      </c>
      <c r="AH2140" s="0" t="n">
        <v>14</v>
      </c>
      <c r="AI2140" s="0" t="n">
        <v>11</v>
      </c>
      <c r="AN2140" s="0" t="s">
        <v>146</v>
      </c>
      <c r="AO2140" s="0" t="s">
        <v>250</v>
      </c>
      <c r="AP2140" s="0" t="s">
        <v>251</v>
      </c>
      <c r="AQ2140" s="0" t="n">
        <v>9</v>
      </c>
      <c r="AR2140" s="0" t="n">
        <v>64</v>
      </c>
      <c r="AS2140" s="0" t="n">
        <v>32</v>
      </c>
      <c r="AU2140" s="0" t="n">
        <f aca="false">COUNTA($BA$2373:$EH$2373)</f>
        <v>28</v>
      </c>
      <c r="AV2140" s="0" t="n">
        <f aca="false">COUNTIF($BA$2373:$EH$2373,"D")</f>
        <v>5</v>
      </c>
      <c r="AW2140" s="0" t="n">
        <f aca="false">COUNTIF($BA$2373:$EH$2373,"R")</f>
        <v>0</v>
      </c>
      <c r="AX2140" s="0" t="n">
        <f aca="false"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>0</v>
      </c>
      <c r="AY2140" s="0" t="n">
        <f aca="false">COUNTIF(DU2140:EH2140, "&lt;&gt;")</f>
        <v>0</v>
      </c>
      <c r="AZ2140" s="0" t="n">
        <f aca="false">IF(EH2140&lt;&gt;"",1,0)</f>
        <v>0</v>
      </c>
      <c r="BB2140" s="0" t="s">
        <v>153</v>
      </c>
      <c r="DC2140" s="0" t="s">
        <v>154</v>
      </c>
    </row>
    <row r="2141" customFormat="false" ht="13.8" hidden="true" customHeight="false" outlineLevel="0" collapsed="false">
      <c r="A2141" s="0" t="s">
        <v>9407</v>
      </c>
      <c r="B2141" s="0" t="n">
        <v>78</v>
      </c>
      <c r="C2141" s="0" t="n">
        <v>411000</v>
      </c>
      <c r="D2141" s="0" t="s">
        <v>2275</v>
      </c>
      <c r="E2141" s="0" t="s">
        <v>3645</v>
      </c>
      <c r="F2141" s="0" t="str">
        <f aca="false">CONCATENATE(D2141," ",LEFT(H2141,4),"T=",AU2141,"D=",AV2141,"R=",AW2141,"M=",AX2141,"L=",AY2141,"B=",AZ2141)</f>
        <v>BENDER T=1D=0R=0M=0L=0B=0</v>
      </c>
      <c r="G2141" s="0" t="s">
        <v>563</v>
      </c>
      <c r="I2141" s="0" t="s">
        <v>9408</v>
      </c>
      <c r="J2141" s="0" t="s">
        <v>9409</v>
      </c>
      <c r="K2141" s="0" t="s">
        <v>144</v>
      </c>
      <c r="L2141" s="0"/>
      <c r="M2141" s="0" t="s">
        <v>9410</v>
      </c>
      <c r="N2141" s="0" t="str">
        <f aca="false">RIGHT(M2141,LEN(M2141)-FIND(" ",M2141))</f>
        <v>PEACE AVE NW</v>
      </c>
      <c r="P2141" s="0" t="s">
        <v>146</v>
      </c>
      <c r="Q2141" s="0" t="s">
        <v>147</v>
      </c>
      <c r="R2141" s="0" t="n">
        <v>44483</v>
      </c>
      <c r="AD2141" s="0" t="s">
        <v>148</v>
      </c>
      <c r="AE2141" s="0" t="s">
        <v>149</v>
      </c>
      <c r="AF2141" s="0" t="s">
        <v>150</v>
      </c>
      <c r="AH2141" s="0" t="n">
        <v>14</v>
      </c>
      <c r="AI2141" s="0" t="n">
        <v>11</v>
      </c>
      <c r="AN2141" s="0" t="s">
        <v>146</v>
      </c>
      <c r="AO2141" s="0" t="s">
        <v>250</v>
      </c>
      <c r="AP2141" s="0" t="s">
        <v>251</v>
      </c>
      <c r="AQ2141" s="0" t="n">
        <v>9</v>
      </c>
      <c r="AR2141" s="0" t="n">
        <v>64</v>
      </c>
      <c r="AS2141" s="0" t="n">
        <v>32</v>
      </c>
      <c r="AU2141" s="0" t="n">
        <f aca="false">COUNTA($BA$2273:$EH$2273)</f>
        <v>1</v>
      </c>
      <c r="AV2141" s="0" t="n">
        <f aca="false">COUNTIF($BA$2273:$EH$2273,"D")</f>
        <v>0</v>
      </c>
      <c r="AW2141" s="0" t="n">
        <f aca="false">COUNTIF($BA$2273:$EH$2273,"R")</f>
        <v>0</v>
      </c>
      <c r="AX2141" s="0" t="n">
        <f aca="false"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>0</v>
      </c>
      <c r="AY2141" s="0" t="n">
        <f aca="false">COUNTIF(DU2141:EH2141, "&lt;&gt;")</f>
        <v>0</v>
      </c>
      <c r="AZ2141" s="0" t="n">
        <f aca="false">IF(EH2141&lt;&gt;"",1,0)</f>
        <v>0</v>
      </c>
      <c r="BB2141" s="0" t="s">
        <v>153</v>
      </c>
    </row>
    <row r="2142" customFormat="false" ht="13.8" hidden="true" customHeight="false" outlineLevel="0" collapsed="false">
      <c r="A2142" s="0" t="s">
        <v>9411</v>
      </c>
      <c r="B2142" s="0" t="n">
        <v>78</v>
      </c>
      <c r="C2142" s="0" t="n">
        <v>486443</v>
      </c>
      <c r="D2142" s="0" t="s">
        <v>1582</v>
      </c>
      <c r="E2142" s="0" t="s">
        <v>9412</v>
      </c>
      <c r="F2142" s="0" t="str">
        <f aca="false">CONCATENATE(D2142," ",LEFT(H2142,4),"T=",AU2142,"D=",AV2142,"R=",AW2142,"M=",AX2142,"L=",AY2142,"B=",AZ2142)</f>
        <v>SMITH T=9D=0R=0M=0L=0B=0</v>
      </c>
      <c r="G2142" s="0" t="s">
        <v>172</v>
      </c>
      <c r="I2142" s="0" t="s">
        <v>9413</v>
      </c>
      <c r="J2142" s="0" t="s">
        <v>1755</v>
      </c>
      <c r="K2142" s="0" t="s">
        <v>175</v>
      </c>
      <c r="L2142" s="0"/>
      <c r="M2142" s="0" t="s">
        <v>9414</v>
      </c>
      <c r="N2142" s="0" t="str">
        <f aca="false">RIGHT(M2142,LEN(M2142)-FIND(" ",M2142))</f>
        <v>PEACE AVE NW</v>
      </c>
      <c r="P2142" s="0" t="s">
        <v>146</v>
      </c>
      <c r="Q2142" s="0" t="s">
        <v>147</v>
      </c>
      <c r="R2142" s="0" t="n">
        <v>44483</v>
      </c>
      <c r="AD2142" s="0" t="s">
        <v>148</v>
      </c>
      <c r="AE2142" s="0" t="s">
        <v>149</v>
      </c>
      <c r="AF2142" s="0" t="s">
        <v>150</v>
      </c>
      <c r="AH2142" s="0" t="n">
        <v>14</v>
      </c>
      <c r="AI2142" s="0" t="n">
        <v>11</v>
      </c>
      <c r="AN2142" s="0" t="s">
        <v>146</v>
      </c>
      <c r="AO2142" s="0" t="s">
        <v>250</v>
      </c>
      <c r="AP2142" s="0" t="s">
        <v>251</v>
      </c>
      <c r="AQ2142" s="0" t="n">
        <v>9</v>
      </c>
      <c r="AR2142" s="0" t="n">
        <v>64</v>
      </c>
      <c r="AS2142" s="0" t="n">
        <v>32</v>
      </c>
      <c r="AU2142" s="0" t="n">
        <f aca="false">COUNTA($BA$2462:$EH$2462)</f>
        <v>9</v>
      </c>
      <c r="AV2142" s="0" t="n">
        <f aca="false">COUNTIF($BA$2462:$EH$2462,"D")</f>
        <v>0</v>
      </c>
      <c r="AW2142" s="0" t="n">
        <f aca="false">COUNTIF($BA$2462:$EH$2462,"R")</f>
        <v>0</v>
      </c>
      <c r="AX2142" s="0" t="n">
        <f aca="false"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>0</v>
      </c>
      <c r="AY2142" s="0" t="n">
        <f aca="false">COUNTIF(DU2142:EH2142, "&lt;&gt;")</f>
        <v>0</v>
      </c>
      <c r="AZ2142" s="0" t="n">
        <f aca="false">IF(EH2142&lt;&gt;"",1,0)</f>
        <v>0</v>
      </c>
      <c r="BB2142" s="0" t="s">
        <v>153</v>
      </c>
    </row>
    <row r="2143" customFormat="false" ht="13.8" hidden="true" customHeight="false" outlineLevel="0" collapsed="false">
      <c r="A2143" s="0" t="s">
        <v>9415</v>
      </c>
      <c r="B2143" s="0" t="n">
        <v>78</v>
      </c>
      <c r="C2143" s="0" t="n">
        <v>461936</v>
      </c>
      <c r="D2143" s="0" t="s">
        <v>1582</v>
      </c>
      <c r="E2143" s="0" t="s">
        <v>194</v>
      </c>
      <c r="F2143" s="0" t="str">
        <f aca="false">CONCATENATE(D2143," ",LEFT(H2143,4),"T=",AU2143,"D=",AV2143,"R=",AW2143,"M=",AX2143,"L=",AY2143,"B=",AZ2143)</f>
        <v>SMITH T=9D=1R=0M=0L=0B=0</v>
      </c>
      <c r="G2143" s="0" t="s">
        <v>9416</v>
      </c>
      <c r="I2143" s="0" t="s">
        <v>9417</v>
      </c>
      <c r="J2143" s="0" t="s">
        <v>9418</v>
      </c>
      <c r="K2143" s="0" t="s">
        <v>144</v>
      </c>
      <c r="L2143" s="0"/>
      <c r="M2143" s="0" t="s">
        <v>9414</v>
      </c>
      <c r="N2143" s="0" t="str">
        <f aca="false">RIGHT(M2143,LEN(M2143)-FIND(" ",M2143))</f>
        <v>PEACE AVE NW</v>
      </c>
      <c r="P2143" s="0" t="s">
        <v>146</v>
      </c>
      <c r="Q2143" s="0" t="s">
        <v>147</v>
      </c>
      <c r="R2143" s="0" t="n">
        <v>44483</v>
      </c>
      <c r="AD2143" s="0" t="s">
        <v>148</v>
      </c>
      <c r="AE2143" s="0" t="s">
        <v>149</v>
      </c>
      <c r="AF2143" s="0" t="s">
        <v>150</v>
      </c>
      <c r="AH2143" s="0" t="n">
        <v>14</v>
      </c>
      <c r="AI2143" s="0" t="n">
        <v>11</v>
      </c>
      <c r="AN2143" s="0" t="s">
        <v>146</v>
      </c>
      <c r="AO2143" s="0" t="s">
        <v>250</v>
      </c>
      <c r="AP2143" s="0" t="s">
        <v>251</v>
      </c>
      <c r="AQ2143" s="0" t="n">
        <v>9</v>
      </c>
      <c r="AR2143" s="0" t="n">
        <v>64</v>
      </c>
      <c r="AS2143" s="0" t="n">
        <v>32</v>
      </c>
      <c r="AU2143" s="0" t="n">
        <f aca="false">COUNTA($BA$2574:$EH$2574)</f>
        <v>9</v>
      </c>
      <c r="AV2143" s="0" t="n">
        <f aca="false">COUNTIF($BA$2574:$EH$2574,"D")</f>
        <v>1</v>
      </c>
      <c r="AW2143" s="0" t="n">
        <f aca="false">COUNTIF($BA$2574:$EH$2574,"R")</f>
        <v>0</v>
      </c>
      <c r="AX2143" s="0" t="n">
        <f aca="false"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>0</v>
      </c>
      <c r="AY2143" s="0" t="n">
        <f aca="false">COUNTIF(DU2143:EH2143, "&lt;&gt;")</f>
        <v>0</v>
      </c>
      <c r="AZ2143" s="0" t="n">
        <f aca="false">IF(EH2143&lt;&gt;"",1,0)</f>
        <v>0</v>
      </c>
      <c r="BB2143" s="0" t="s">
        <v>153</v>
      </c>
    </row>
    <row r="2144" customFormat="false" ht="13.8" hidden="true" customHeight="false" outlineLevel="0" collapsed="false">
      <c r="A2144" s="0" t="s">
        <v>9419</v>
      </c>
      <c r="B2144" s="0" t="n">
        <v>78</v>
      </c>
      <c r="C2144" s="0" t="n">
        <v>457756</v>
      </c>
      <c r="D2144" s="0" t="s">
        <v>1582</v>
      </c>
      <c r="E2144" s="0" t="s">
        <v>9420</v>
      </c>
      <c r="F2144" s="0" t="str">
        <f aca="false">CONCATENATE(D2144," ",LEFT(H2144,4),"T=",AU2144,"D=",AV2144,"R=",AW2144,"M=",AX2144,"L=",AY2144,"B=",AZ2144)</f>
        <v>SMITH T=28D=5R=0M=0L=0B=0</v>
      </c>
      <c r="G2144" s="0" t="s">
        <v>690</v>
      </c>
      <c r="I2144" s="0" t="s">
        <v>9421</v>
      </c>
      <c r="J2144" s="0" t="s">
        <v>9422</v>
      </c>
      <c r="K2144" s="0" t="s">
        <v>175</v>
      </c>
      <c r="L2144" s="0"/>
      <c r="M2144" s="0" t="s">
        <v>9414</v>
      </c>
      <c r="N2144" s="0" t="str">
        <f aca="false">RIGHT(M2144,LEN(M2144)-FIND(" ",M2144))</f>
        <v>PEACE AVE NW</v>
      </c>
      <c r="P2144" s="0" t="s">
        <v>146</v>
      </c>
      <c r="Q2144" s="0" t="s">
        <v>147</v>
      </c>
      <c r="R2144" s="0" t="n">
        <v>44483</v>
      </c>
      <c r="AD2144" s="0" t="s">
        <v>148</v>
      </c>
      <c r="AE2144" s="0" t="s">
        <v>149</v>
      </c>
      <c r="AF2144" s="0" t="s">
        <v>150</v>
      </c>
      <c r="AH2144" s="0" t="n">
        <v>14</v>
      </c>
      <c r="AI2144" s="0" t="n">
        <v>11</v>
      </c>
      <c r="AN2144" s="0" t="s">
        <v>146</v>
      </c>
      <c r="AO2144" s="0" t="s">
        <v>250</v>
      </c>
      <c r="AP2144" s="0" t="s">
        <v>251</v>
      </c>
      <c r="AQ2144" s="0" t="n">
        <v>9</v>
      </c>
      <c r="AR2144" s="0" t="n">
        <v>64</v>
      </c>
      <c r="AS2144" s="0" t="n">
        <v>32</v>
      </c>
      <c r="AU2144" s="0" t="n">
        <f aca="false">COUNTA($BA$2618:$EH$2618)</f>
        <v>28</v>
      </c>
      <c r="AV2144" s="0" t="n">
        <f aca="false">COUNTIF($BA$2618:$EH$2618,"D")</f>
        <v>5</v>
      </c>
      <c r="AW2144" s="0" t="n">
        <f aca="false">COUNTIF($BA$2618:$EH$2618,"R")</f>
        <v>0</v>
      </c>
      <c r="AX2144" s="0" t="n">
        <f aca="false"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>0</v>
      </c>
      <c r="AY2144" s="0" t="n">
        <f aca="false">COUNTIF(DU2144:EH2144, "&lt;&gt;")</f>
        <v>0</v>
      </c>
      <c r="AZ2144" s="0" t="n">
        <f aca="false">IF(EH2144&lt;&gt;"",1,0)</f>
        <v>0</v>
      </c>
      <c r="BB2144" s="0" t="s">
        <v>153</v>
      </c>
    </row>
    <row r="2145" customFormat="false" ht="13.8" hidden="true" customHeight="false" outlineLevel="0" collapsed="false">
      <c r="A2145" s="0" t="s">
        <v>9423</v>
      </c>
      <c r="B2145" s="0" t="n">
        <v>78</v>
      </c>
      <c r="C2145" s="0" t="n">
        <v>402089</v>
      </c>
      <c r="D2145" s="0" t="s">
        <v>9424</v>
      </c>
      <c r="E2145" s="0" t="s">
        <v>1840</v>
      </c>
      <c r="F2145" s="0" t="str">
        <f aca="false">CONCATENATE(D2145," ",LEFT(H2145,4),"T=",AU2145,"D=",AV2145,"R=",AW2145,"M=",AX2145,"L=",AY2145,"B=",AZ2145)</f>
        <v>TURNER ROBINSON T=1D=0R=0M=0L=0B=0</v>
      </c>
      <c r="G2145" s="0" t="s">
        <v>690</v>
      </c>
      <c r="I2145" s="0" t="s">
        <v>9425</v>
      </c>
      <c r="J2145" s="0" t="s">
        <v>1595</v>
      </c>
      <c r="K2145" s="0" t="s">
        <v>175</v>
      </c>
      <c r="L2145" s="0"/>
      <c r="M2145" s="0" t="s">
        <v>9426</v>
      </c>
      <c r="N2145" s="0" t="str">
        <f aca="false">RIGHT(M2145,LEN(M2145)-FIND(" ",M2145))</f>
        <v>PEACE AVE NW</v>
      </c>
      <c r="P2145" s="0" t="s">
        <v>146</v>
      </c>
      <c r="Q2145" s="0" t="s">
        <v>147</v>
      </c>
      <c r="R2145" s="0" t="n">
        <v>44483</v>
      </c>
      <c r="AD2145" s="0" t="s">
        <v>148</v>
      </c>
      <c r="AE2145" s="0" t="s">
        <v>149</v>
      </c>
      <c r="AF2145" s="0" t="s">
        <v>150</v>
      </c>
      <c r="AH2145" s="0" t="n">
        <v>14</v>
      </c>
      <c r="AI2145" s="0" t="n">
        <v>11</v>
      </c>
      <c r="AN2145" s="0" t="s">
        <v>146</v>
      </c>
      <c r="AO2145" s="0" t="s">
        <v>250</v>
      </c>
      <c r="AP2145" s="0" t="s">
        <v>251</v>
      </c>
      <c r="AQ2145" s="0" t="n">
        <v>9</v>
      </c>
      <c r="AR2145" s="0" t="n">
        <v>64</v>
      </c>
      <c r="AS2145" s="0" t="n">
        <v>32</v>
      </c>
      <c r="AU2145" s="0" t="n">
        <f aca="false">COUNTA($BA$2264:$EH$2264)</f>
        <v>1</v>
      </c>
      <c r="AV2145" s="0" t="n">
        <f aca="false">COUNTIF($BA$2264:$EH$2264,"D")</f>
        <v>0</v>
      </c>
      <c r="AW2145" s="0" t="n">
        <f aca="false">COUNTIF($BA$2264:$EH$2264,"R")</f>
        <v>0</v>
      </c>
      <c r="AX2145" s="0" t="n">
        <f aca="false"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>0</v>
      </c>
      <c r="AY2145" s="0" t="n">
        <f aca="false">COUNTIF(DU2145:EH2145, "&lt;&gt;")</f>
        <v>0</v>
      </c>
      <c r="AZ2145" s="0" t="n">
        <f aca="false">IF(EH2145&lt;&gt;"",1,0)</f>
        <v>0</v>
      </c>
      <c r="BB2145" s="0" t="s">
        <v>153</v>
      </c>
      <c r="CA2145" s="0" t="s">
        <v>154</v>
      </c>
    </row>
    <row r="2146" customFormat="false" ht="13.8" hidden="true" customHeight="false" outlineLevel="0" collapsed="false">
      <c r="A2146" s="0" t="s">
        <v>9427</v>
      </c>
      <c r="B2146" s="0" t="n">
        <v>78</v>
      </c>
      <c r="C2146" s="0" t="n">
        <v>384133</v>
      </c>
      <c r="D2146" s="0" t="s">
        <v>8253</v>
      </c>
      <c r="E2146" s="0" t="s">
        <v>2463</v>
      </c>
      <c r="F2146" s="0" t="str">
        <f aca="false">CONCATENATE(D2146," ",LEFT(H2146,4),"T=",AU2146,"D=",AV2146,"R=",AW2146,"M=",AX2146,"L=",AY2146,"B=",AZ2146)</f>
        <v>DORSEY T=7D=0R=0M=0L=0B=0</v>
      </c>
      <c r="G2146" s="0" t="s">
        <v>9428</v>
      </c>
      <c r="I2146" s="0" t="s">
        <v>9429</v>
      </c>
      <c r="J2146" s="0" t="s">
        <v>9430</v>
      </c>
      <c r="K2146" s="0" t="s">
        <v>144</v>
      </c>
      <c r="L2146" s="0"/>
      <c r="M2146" s="0" t="s">
        <v>9431</v>
      </c>
      <c r="N2146" s="0" t="str">
        <f aca="false">RIGHT(M2146,LEN(M2146)-FIND(" ",M2146))</f>
        <v>PEACE AVE NW</v>
      </c>
      <c r="P2146" s="0" t="s">
        <v>146</v>
      </c>
      <c r="Q2146" s="0" t="s">
        <v>147</v>
      </c>
      <c r="R2146" s="0" t="n">
        <v>44483</v>
      </c>
      <c r="AD2146" s="0" t="s">
        <v>148</v>
      </c>
      <c r="AE2146" s="0" t="s">
        <v>149</v>
      </c>
      <c r="AF2146" s="0" t="s">
        <v>150</v>
      </c>
      <c r="AH2146" s="0" t="n">
        <v>14</v>
      </c>
      <c r="AI2146" s="0" t="n">
        <v>11</v>
      </c>
      <c r="AN2146" s="0" t="s">
        <v>146</v>
      </c>
      <c r="AO2146" s="0" t="s">
        <v>250</v>
      </c>
      <c r="AP2146" s="0" t="s">
        <v>251</v>
      </c>
      <c r="AQ2146" s="0" t="n">
        <v>9</v>
      </c>
      <c r="AR2146" s="0" t="n">
        <v>64</v>
      </c>
      <c r="AS2146" s="0" t="n">
        <v>32</v>
      </c>
      <c r="AU2146" s="0" t="n">
        <f aca="false">COUNTA($BA$2291:$EH$2291)</f>
        <v>7</v>
      </c>
      <c r="AV2146" s="0" t="n">
        <f aca="false">COUNTIF($BA$2291:$EH$2291,"D")</f>
        <v>0</v>
      </c>
      <c r="AW2146" s="0" t="n">
        <f aca="false">COUNTIF($BA$2291:$EH$2291,"R")</f>
        <v>0</v>
      </c>
      <c r="AX2146" s="0" t="n">
        <f aca="false"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>0</v>
      </c>
      <c r="AY2146" s="0" t="n">
        <f aca="false">COUNTIF(DU2146:EH2146, "&lt;&gt;")</f>
        <v>0</v>
      </c>
      <c r="AZ2146" s="0" t="n">
        <f aca="false">IF(EH2146&lt;&gt;"",1,0)</f>
        <v>0</v>
      </c>
      <c r="BB2146" s="0" t="s">
        <v>153</v>
      </c>
      <c r="DC2146" s="0" t="s">
        <v>154</v>
      </c>
    </row>
    <row r="2147" customFormat="false" ht="13.8" hidden="true" customHeight="false" outlineLevel="0" collapsed="false">
      <c r="A2147" s="0" t="s">
        <v>9432</v>
      </c>
      <c r="B2147" s="0" t="n">
        <v>78</v>
      </c>
      <c r="C2147" s="0" t="n">
        <v>363347</v>
      </c>
      <c r="D2147" s="0" t="s">
        <v>603</v>
      </c>
      <c r="E2147" s="0" t="s">
        <v>9433</v>
      </c>
      <c r="F2147" s="0" t="str">
        <f aca="false">CONCATENATE(D2147," ",LEFT(H2147,4),"T=",AU2147,"D=",AV2147,"R=",AW2147,"M=",AX2147,"L=",AY2147,"B=",AZ2147)</f>
        <v>MCCORKLE T=2D=1R=0M=0L=0B=0</v>
      </c>
      <c r="G2147" s="0" t="s">
        <v>9434</v>
      </c>
      <c r="I2147" s="0" t="s">
        <v>9435</v>
      </c>
      <c r="J2147" s="0" t="s">
        <v>395</v>
      </c>
      <c r="K2147" s="0" t="s">
        <v>175</v>
      </c>
      <c r="L2147" s="0"/>
      <c r="M2147" s="0" t="s">
        <v>9436</v>
      </c>
      <c r="N2147" s="0" t="str">
        <f aca="false">RIGHT(M2147,LEN(M2147)-FIND(" ",M2147))</f>
        <v>PEACE AVE NW</v>
      </c>
      <c r="P2147" s="0" t="s">
        <v>146</v>
      </c>
      <c r="Q2147" s="0" t="s">
        <v>147</v>
      </c>
      <c r="R2147" s="0" t="n">
        <v>44483</v>
      </c>
      <c r="AD2147" s="0" t="s">
        <v>148</v>
      </c>
      <c r="AE2147" s="0" t="s">
        <v>149</v>
      </c>
      <c r="AF2147" s="0" t="s">
        <v>150</v>
      </c>
      <c r="AH2147" s="0" t="n">
        <v>14</v>
      </c>
      <c r="AI2147" s="0" t="n">
        <v>11</v>
      </c>
      <c r="AN2147" s="0" t="s">
        <v>146</v>
      </c>
      <c r="AO2147" s="0" t="s">
        <v>250</v>
      </c>
      <c r="AP2147" s="0" t="s">
        <v>251</v>
      </c>
      <c r="AQ2147" s="0" t="n">
        <v>9</v>
      </c>
      <c r="AR2147" s="0" t="n">
        <v>64</v>
      </c>
      <c r="AS2147" s="0" t="n">
        <v>32</v>
      </c>
      <c r="AU2147" s="0" t="n">
        <f aca="false">COUNTA($BA$2397:$EH$2397)</f>
        <v>2</v>
      </c>
      <c r="AV2147" s="0" t="n">
        <f aca="false">COUNTIF($BA$2397:$EH$2397,"D")</f>
        <v>1</v>
      </c>
      <c r="AW2147" s="0" t="n">
        <f aca="false">COUNTIF($BA$2397:$EH$2397,"R")</f>
        <v>0</v>
      </c>
      <c r="AX2147" s="0" t="n">
        <f aca="false"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>0</v>
      </c>
      <c r="AY2147" s="0" t="n">
        <f aca="false">COUNTIF(DU2147:EH2147, "&lt;&gt;")</f>
        <v>0</v>
      </c>
      <c r="AZ2147" s="0" t="n">
        <f aca="false">IF(EH2147&lt;&gt;"",1,0)</f>
        <v>0</v>
      </c>
      <c r="BB2147" s="0" t="s">
        <v>153</v>
      </c>
      <c r="CA2147" s="0" t="s">
        <v>154</v>
      </c>
      <c r="CK2147" s="0" t="s">
        <v>154</v>
      </c>
      <c r="CP2147" s="0" t="s">
        <v>154</v>
      </c>
      <c r="DC2147" s="0" t="s">
        <v>154</v>
      </c>
    </row>
    <row r="2148" customFormat="false" ht="13.8" hidden="true" customHeight="false" outlineLevel="0" collapsed="false">
      <c r="A2148" s="0" t="s">
        <v>9437</v>
      </c>
      <c r="B2148" s="0" t="n">
        <v>78</v>
      </c>
      <c r="C2148" s="0" t="n">
        <v>396789</v>
      </c>
      <c r="D2148" s="0" t="s">
        <v>856</v>
      </c>
      <c r="E2148" s="0" t="s">
        <v>9438</v>
      </c>
      <c r="F2148" s="0" t="str">
        <f aca="false">CONCATENATE(D2148," ",LEFT(H2148,4),"T=",AU2148,"D=",AV2148,"R=",AW2148,"M=",AX2148,"L=",AY2148,"B=",AZ2148)</f>
        <v>JONES T=22D=4R=0M=0L=0B=0</v>
      </c>
      <c r="G2148" s="0" t="s">
        <v>154</v>
      </c>
      <c r="I2148" s="0" t="s">
        <v>9439</v>
      </c>
      <c r="J2148" s="0" t="s">
        <v>9440</v>
      </c>
      <c r="K2148" s="0" t="s">
        <v>175</v>
      </c>
      <c r="L2148" s="0"/>
      <c r="M2148" s="0" t="s">
        <v>9441</v>
      </c>
      <c r="N2148" s="0" t="str">
        <f aca="false">RIGHT(M2148,LEN(M2148)-FIND(" ",M2148))</f>
        <v>PEACE AVE NW</v>
      </c>
      <c r="P2148" s="0" t="s">
        <v>146</v>
      </c>
      <c r="Q2148" s="0" t="s">
        <v>147</v>
      </c>
      <c r="R2148" s="0" t="n">
        <v>44483</v>
      </c>
      <c r="AD2148" s="0" t="s">
        <v>148</v>
      </c>
      <c r="AE2148" s="0" t="s">
        <v>149</v>
      </c>
      <c r="AF2148" s="0" t="s">
        <v>150</v>
      </c>
      <c r="AH2148" s="0" t="n">
        <v>14</v>
      </c>
      <c r="AI2148" s="0" t="n">
        <v>11</v>
      </c>
      <c r="AN2148" s="0" t="s">
        <v>146</v>
      </c>
      <c r="AO2148" s="0" t="s">
        <v>250</v>
      </c>
      <c r="AP2148" s="0" t="s">
        <v>251</v>
      </c>
      <c r="AQ2148" s="0" t="n">
        <v>9</v>
      </c>
      <c r="AR2148" s="0" t="n">
        <v>64</v>
      </c>
      <c r="AS2148" s="0" t="n">
        <v>32</v>
      </c>
      <c r="AU2148" s="0" t="n">
        <f aca="false">COUNTA($BA$2725:$EH$2725)</f>
        <v>22</v>
      </c>
      <c r="AV2148" s="0" t="n">
        <f aca="false">COUNTIF($BA$2725:$EH$2725,"D")</f>
        <v>4</v>
      </c>
      <c r="AW2148" s="0" t="n">
        <f aca="false">COUNTIF($BA$2725:$EH$2725,"R")</f>
        <v>0</v>
      </c>
      <c r="AX2148" s="0" t="n">
        <f aca="false"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>0</v>
      </c>
      <c r="AY2148" s="0" t="n">
        <f aca="false">COUNTIF(DU2148:EH2148, "&lt;&gt;")</f>
        <v>0</v>
      </c>
      <c r="AZ2148" s="0" t="n">
        <f aca="false">IF(EH2148&lt;&gt;"",1,0)</f>
        <v>0</v>
      </c>
      <c r="BB2148" s="0" t="s">
        <v>153</v>
      </c>
      <c r="DC2148" s="0" t="s">
        <v>154</v>
      </c>
    </row>
    <row r="2149" customFormat="false" ht="13.8" hidden="true" customHeight="false" outlineLevel="0" collapsed="false">
      <c r="A2149" s="0" t="s">
        <v>9442</v>
      </c>
      <c r="B2149" s="0" t="n">
        <v>78</v>
      </c>
      <c r="C2149" s="0" t="n">
        <v>460082</v>
      </c>
      <c r="D2149" s="0" t="s">
        <v>1244</v>
      </c>
      <c r="E2149" s="0" t="s">
        <v>8051</v>
      </c>
      <c r="F2149" s="0" t="str">
        <f aca="false">CONCATENATE(D2149," ",LEFT(H2149,4),"T=",AU2149,"D=",AV2149,"R=",AW2149,"M=",AX2149,"L=",AY2149,"B=",AZ2149)</f>
        <v>TAYLOR T=19D=4R=0M=0L=0B=0</v>
      </c>
      <c r="G2149" s="0" t="s">
        <v>9443</v>
      </c>
      <c r="I2149" s="0" t="s">
        <v>9444</v>
      </c>
      <c r="J2149" s="0" t="s">
        <v>9445</v>
      </c>
      <c r="K2149" s="0" t="s">
        <v>175</v>
      </c>
      <c r="L2149" s="0"/>
      <c r="M2149" s="0" t="s">
        <v>9446</v>
      </c>
      <c r="N2149" s="0" t="str">
        <f aca="false">RIGHT(M2149,LEN(M2149)-FIND(" ",M2149))</f>
        <v>PEACE AVE NW</v>
      </c>
      <c r="P2149" s="0" t="s">
        <v>146</v>
      </c>
      <c r="Q2149" s="0" t="s">
        <v>147</v>
      </c>
      <c r="R2149" s="0" t="n">
        <v>44483</v>
      </c>
      <c r="AD2149" s="0" t="s">
        <v>148</v>
      </c>
      <c r="AE2149" s="0" t="s">
        <v>149</v>
      </c>
      <c r="AF2149" s="0" t="s">
        <v>150</v>
      </c>
      <c r="AH2149" s="0" t="n">
        <v>14</v>
      </c>
      <c r="AI2149" s="0" t="n">
        <v>11</v>
      </c>
      <c r="AN2149" s="0" t="s">
        <v>146</v>
      </c>
      <c r="AO2149" s="0" t="s">
        <v>250</v>
      </c>
      <c r="AP2149" s="0" t="s">
        <v>251</v>
      </c>
      <c r="AQ2149" s="0" t="n">
        <v>9</v>
      </c>
      <c r="AR2149" s="0" t="n">
        <v>64</v>
      </c>
      <c r="AS2149" s="0" t="n">
        <v>32</v>
      </c>
      <c r="AU2149" s="0" t="n">
        <f aca="false">COUNTA($BA$2718:$EH$2718)</f>
        <v>19</v>
      </c>
      <c r="AV2149" s="0" t="n">
        <f aca="false">COUNTIF($BA$2718:$EH$2718,"D")</f>
        <v>4</v>
      </c>
      <c r="AW2149" s="0" t="n">
        <f aca="false">COUNTIF($BA$2718:$EH$2718,"R")</f>
        <v>0</v>
      </c>
      <c r="AX2149" s="0" t="n">
        <f aca="false"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>0</v>
      </c>
      <c r="AY2149" s="0" t="n">
        <f aca="false">COUNTIF(DU2149:EH2149, "&lt;&gt;")</f>
        <v>0</v>
      </c>
      <c r="AZ2149" s="0" t="n">
        <f aca="false">IF(EH2149&lt;&gt;"",1,0)</f>
        <v>0</v>
      </c>
      <c r="BB2149" s="0" t="s">
        <v>153</v>
      </c>
    </row>
    <row r="2150" customFormat="false" ht="13.8" hidden="true" customHeight="false" outlineLevel="0" collapsed="false">
      <c r="A2150" s="0" t="s">
        <v>9447</v>
      </c>
      <c r="B2150" s="0" t="n">
        <v>78</v>
      </c>
      <c r="C2150" s="0" t="n">
        <v>405038</v>
      </c>
      <c r="D2150" s="0" t="s">
        <v>1184</v>
      </c>
      <c r="E2150" s="0" t="s">
        <v>9448</v>
      </c>
      <c r="F2150" s="0" t="str">
        <f aca="false">CONCATENATE(D2150," ",LEFT(H2150,4),"T=",AU2150,"D=",AV2150,"R=",AW2150,"M=",AX2150,"L=",AY2150,"B=",AZ2150)</f>
        <v>PATTERSON T=23D=12R=0M=0L=0B=0</v>
      </c>
      <c r="G2150" s="0" t="s">
        <v>9449</v>
      </c>
      <c r="I2150" s="0" t="s">
        <v>9450</v>
      </c>
      <c r="J2150" s="0" t="s">
        <v>9451</v>
      </c>
      <c r="K2150" s="0" t="s">
        <v>144</v>
      </c>
      <c r="L2150" s="0"/>
      <c r="M2150" s="0" t="s">
        <v>9452</v>
      </c>
      <c r="N2150" s="0" t="str">
        <f aca="false">RIGHT(M2150,LEN(M2150)-FIND(" ",M2150))</f>
        <v>PEACE AVE NW</v>
      </c>
      <c r="P2150" s="0" t="s">
        <v>146</v>
      </c>
      <c r="Q2150" s="0" t="s">
        <v>147</v>
      </c>
      <c r="R2150" s="0" t="n">
        <v>44483</v>
      </c>
      <c r="AD2150" s="0" t="s">
        <v>148</v>
      </c>
      <c r="AE2150" s="0" t="s">
        <v>149</v>
      </c>
      <c r="AF2150" s="0" t="s">
        <v>150</v>
      </c>
      <c r="AH2150" s="0" t="n">
        <v>14</v>
      </c>
      <c r="AI2150" s="0" t="n">
        <v>11</v>
      </c>
      <c r="AN2150" s="0" t="s">
        <v>146</v>
      </c>
      <c r="AO2150" s="0" t="s">
        <v>250</v>
      </c>
      <c r="AP2150" s="0" t="s">
        <v>251</v>
      </c>
      <c r="AQ2150" s="0" t="n">
        <v>9</v>
      </c>
      <c r="AR2150" s="0" t="n">
        <v>64</v>
      </c>
      <c r="AS2150" s="0" t="n">
        <v>32</v>
      </c>
      <c r="AU2150" s="0" t="n">
        <f aca="false">COUNTA($BA$2227:$EH$2227)</f>
        <v>23</v>
      </c>
      <c r="AV2150" s="0" t="n">
        <f aca="false">COUNTIF($BA$2227:$EH$2227,"D")</f>
        <v>12</v>
      </c>
      <c r="AW2150" s="0" t="n">
        <f aca="false">COUNTIF($BA$2227:$EH$2227,"R")</f>
        <v>0</v>
      </c>
      <c r="AX2150" s="0" t="n">
        <f aca="false"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>0</v>
      </c>
      <c r="AY2150" s="0" t="n">
        <f aca="false">COUNTIF(DU2150:EH2150, "&lt;&gt;")</f>
        <v>0</v>
      </c>
      <c r="AZ2150" s="0" t="n">
        <f aca="false">IF(EH2150&lt;&gt;"",1,0)</f>
        <v>0</v>
      </c>
      <c r="BB2150" s="0" t="s">
        <v>153</v>
      </c>
    </row>
    <row r="2151" customFormat="false" ht="13.8" hidden="true" customHeight="false" outlineLevel="0" collapsed="false">
      <c r="A2151" s="0" t="s">
        <v>9453</v>
      </c>
      <c r="B2151" s="0" t="n">
        <v>78</v>
      </c>
      <c r="C2151" s="0" t="n">
        <v>404128</v>
      </c>
      <c r="D2151" s="0" t="s">
        <v>9454</v>
      </c>
      <c r="E2151" s="0" t="s">
        <v>7070</v>
      </c>
      <c r="F2151" s="0" t="str">
        <f aca="false">CONCATENATE(D2151," ",LEFT(H2151,4),"T=",AU2151,"D=",AV2151,"R=",AW2151,"M=",AX2151,"L=",AY2151,"B=",AZ2151)</f>
        <v>AYERS T=6D=1R=0M=0L=0B=0</v>
      </c>
      <c r="G2151" s="0" t="s">
        <v>155</v>
      </c>
      <c r="I2151" s="0" t="s">
        <v>9455</v>
      </c>
      <c r="J2151" s="0" t="s">
        <v>1777</v>
      </c>
      <c r="K2151" s="0" t="s">
        <v>175</v>
      </c>
      <c r="L2151" s="0"/>
      <c r="M2151" s="0" t="s">
        <v>9452</v>
      </c>
      <c r="N2151" s="0" t="str">
        <f aca="false">RIGHT(M2151,LEN(M2151)-FIND(" ",M2151))</f>
        <v>PEACE AVE NW</v>
      </c>
      <c r="P2151" s="0" t="s">
        <v>146</v>
      </c>
      <c r="Q2151" s="0" t="s">
        <v>147</v>
      </c>
      <c r="R2151" s="0" t="n">
        <v>44483</v>
      </c>
      <c r="AD2151" s="0" t="s">
        <v>148</v>
      </c>
      <c r="AE2151" s="0" t="s">
        <v>149</v>
      </c>
      <c r="AF2151" s="0" t="s">
        <v>150</v>
      </c>
      <c r="AH2151" s="0" t="n">
        <v>14</v>
      </c>
      <c r="AI2151" s="0" t="n">
        <v>11</v>
      </c>
      <c r="AN2151" s="0" t="s">
        <v>146</v>
      </c>
      <c r="AO2151" s="0" t="s">
        <v>250</v>
      </c>
      <c r="AP2151" s="0" t="s">
        <v>251</v>
      </c>
      <c r="AQ2151" s="0" t="n">
        <v>9</v>
      </c>
      <c r="AR2151" s="0" t="n">
        <v>64</v>
      </c>
      <c r="AS2151" s="0" t="n">
        <v>32</v>
      </c>
      <c r="AU2151" s="0" t="n">
        <f aca="false">COUNTA($BA$2464:$EH$2464)</f>
        <v>6</v>
      </c>
      <c r="AV2151" s="0" t="n">
        <f aca="false">COUNTIF($BA$2464:$EH$2464,"D")</f>
        <v>1</v>
      </c>
      <c r="AW2151" s="0" t="n">
        <f aca="false">COUNTIF($BA$2464:$EH$2464,"R")</f>
        <v>0</v>
      </c>
      <c r="AX2151" s="0" t="n">
        <f aca="false"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>0</v>
      </c>
      <c r="AY2151" s="0" t="n">
        <f aca="false">COUNTIF(DU2151:EH2151, "&lt;&gt;")</f>
        <v>0</v>
      </c>
      <c r="AZ2151" s="0" t="n">
        <f aca="false">IF(EH2151&lt;&gt;"",1,0)</f>
        <v>0</v>
      </c>
      <c r="BB2151" s="0" t="s">
        <v>153</v>
      </c>
      <c r="DC2151" s="0" t="s">
        <v>154</v>
      </c>
    </row>
    <row r="2152" customFormat="false" ht="13.8" hidden="true" customHeight="false" outlineLevel="0" collapsed="false">
      <c r="A2152" s="0" t="s">
        <v>9456</v>
      </c>
      <c r="B2152" s="0" t="n">
        <v>78</v>
      </c>
      <c r="C2152" s="0" t="n">
        <v>461894</v>
      </c>
      <c r="D2152" s="0" t="s">
        <v>568</v>
      </c>
      <c r="E2152" s="0" t="s">
        <v>1684</v>
      </c>
      <c r="F2152" s="0" t="str">
        <f aca="false">CONCATENATE(D2152," ",LEFT(H2152,4),"T=",AU2152,"D=",AV2152,"R=",AW2152,"M=",AX2152,"L=",AY2152,"B=",AZ2152)</f>
        <v>EICHLER T=7D=2R=0M=0L=1B=0</v>
      </c>
      <c r="G2152" s="0" t="s">
        <v>176</v>
      </c>
      <c r="I2152" s="0" t="s">
        <v>9457</v>
      </c>
      <c r="J2152" s="0" t="s">
        <v>4411</v>
      </c>
      <c r="K2152" s="0" t="s">
        <v>175</v>
      </c>
      <c r="L2152" s="0"/>
      <c r="M2152" s="0" t="s">
        <v>9458</v>
      </c>
      <c r="N2152" s="0" t="str">
        <f aca="false">RIGHT(M2152,LEN(M2152)-FIND(" ",M2152))</f>
        <v>PEACE AVE NW</v>
      </c>
      <c r="P2152" s="0" t="s">
        <v>146</v>
      </c>
      <c r="Q2152" s="0" t="s">
        <v>147</v>
      </c>
      <c r="R2152" s="0" t="n">
        <v>44483</v>
      </c>
      <c r="AD2152" s="0" t="s">
        <v>148</v>
      </c>
      <c r="AE2152" s="0" t="s">
        <v>149</v>
      </c>
      <c r="AF2152" s="0" t="s">
        <v>150</v>
      </c>
      <c r="AH2152" s="0" t="n">
        <v>14</v>
      </c>
      <c r="AI2152" s="0" t="n">
        <v>11</v>
      </c>
      <c r="AN2152" s="0" t="s">
        <v>146</v>
      </c>
      <c r="AO2152" s="0" t="s">
        <v>250</v>
      </c>
      <c r="AP2152" s="0" t="s">
        <v>251</v>
      </c>
      <c r="AQ2152" s="0" t="n">
        <v>9</v>
      </c>
      <c r="AR2152" s="0" t="n">
        <v>64</v>
      </c>
      <c r="AS2152" s="0" t="n">
        <v>32</v>
      </c>
      <c r="AU2152" s="0" t="n">
        <f aca="false">COUNTA($BA$2442:$EH$2442)</f>
        <v>7</v>
      </c>
      <c r="AV2152" s="0" t="n">
        <f aca="false">COUNTIF($BA$2442:$EH$2442,"D")</f>
        <v>2</v>
      </c>
      <c r="AW2152" s="0" t="n">
        <f aca="false">COUNTIF($BA$2442:$EH$2442,"R")</f>
        <v>0</v>
      </c>
      <c r="AX2152" s="0" t="n">
        <f aca="false"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>0</v>
      </c>
      <c r="AY2152" s="0" t="n">
        <f aca="false">COUNTIF(DU2152:EH2152, "&lt;&gt;")</f>
        <v>1</v>
      </c>
      <c r="AZ2152" s="0" t="n">
        <f aca="false">IF(EH2152&lt;&gt;"",1,0)</f>
        <v>0</v>
      </c>
      <c r="BB2152" s="0" t="s">
        <v>153</v>
      </c>
      <c r="EF2152" s="0" t="s">
        <v>154</v>
      </c>
    </row>
    <row r="2153" customFormat="false" ht="13.8" hidden="true" customHeight="false" outlineLevel="0" collapsed="false">
      <c r="A2153" s="0" t="s">
        <v>9459</v>
      </c>
      <c r="B2153" s="0" t="n">
        <v>78</v>
      </c>
      <c r="C2153" s="0" t="n">
        <v>429911</v>
      </c>
      <c r="D2153" s="0" t="s">
        <v>9460</v>
      </c>
      <c r="E2153" s="0" t="s">
        <v>664</v>
      </c>
      <c r="F2153" s="0" t="str">
        <f aca="false">CONCATENATE(D2153," ",LEFT(H2153,4),"T=",AU2153,"D=",AV2153,"R=",AW2153,"M=",AX2153,"L=",AY2153,"B=",AZ2153)</f>
        <v>DUKATS T=13D=1R=0M=0L=0B=0</v>
      </c>
      <c r="G2153" s="0" t="s">
        <v>365</v>
      </c>
      <c r="I2153" s="0" t="s">
        <v>9461</v>
      </c>
      <c r="J2153" s="0" t="s">
        <v>9418</v>
      </c>
      <c r="K2153" s="0" t="s">
        <v>175</v>
      </c>
      <c r="L2153" s="0"/>
      <c r="M2153" s="0" t="s">
        <v>9458</v>
      </c>
      <c r="N2153" s="0" t="str">
        <f aca="false">RIGHT(M2153,LEN(M2153)-FIND(" ",M2153))</f>
        <v>PEACE AVE NW</v>
      </c>
      <c r="P2153" s="0" t="s">
        <v>146</v>
      </c>
      <c r="Q2153" s="0" t="s">
        <v>147</v>
      </c>
      <c r="R2153" s="0" t="n">
        <v>44483</v>
      </c>
      <c r="AD2153" s="0" t="s">
        <v>148</v>
      </c>
      <c r="AE2153" s="0" t="s">
        <v>149</v>
      </c>
      <c r="AF2153" s="0" t="s">
        <v>150</v>
      </c>
      <c r="AH2153" s="0" t="n">
        <v>14</v>
      </c>
      <c r="AI2153" s="0" t="n">
        <v>11</v>
      </c>
      <c r="AN2153" s="0" t="s">
        <v>146</v>
      </c>
      <c r="AO2153" s="0" t="s">
        <v>250</v>
      </c>
      <c r="AP2153" s="0" t="s">
        <v>251</v>
      </c>
      <c r="AQ2153" s="0" t="n">
        <v>9</v>
      </c>
      <c r="AR2153" s="0" t="n">
        <v>64</v>
      </c>
      <c r="AS2153" s="0" t="n">
        <v>32</v>
      </c>
      <c r="AU2153" s="0" t="n">
        <f aca="false">COUNTA($BA$2674:$EH$2674)</f>
        <v>13</v>
      </c>
      <c r="AV2153" s="0" t="n">
        <f aca="false">COUNTIF($BA$2674:$EH$2674,"D")</f>
        <v>1</v>
      </c>
      <c r="AW2153" s="0" t="n">
        <f aca="false">COUNTIF($BA$2674:$EH$2674,"R")</f>
        <v>0</v>
      </c>
      <c r="AX2153" s="0" t="n">
        <f aca="false"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>0</v>
      </c>
      <c r="AY2153" s="0" t="n">
        <f aca="false">COUNTIF(DU2153:EH2153, "&lt;&gt;")</f>
        <v>0</v>
      </c>
      <c r="AZ2153" s="0" t="n">
        <f aca="false">IF(EH2153&lt;&gt;"",1,0)</f>
        <v>0</v>
      </c>
      <c r="BB2153" s="0" t="s">
        <v>153</v>
      </c>
      <c r="BD2153" s="0" t="s">
        <v>154</v>
      </c>
      <c r="BS2153" s="0" t="s">
        <v>154</v>
      </c>
      <c r="BY2153" s="0" t="s">
        <v>155</v>
      </c>
      <c r="CA2153" s="0" t="s">
        <v>154</v>
      </c>
      <c r="CG2153" s="0" t="s">
        <v>154</v>
      </c>
      <c r="CN2153" s="0" t="s">
        <v>154</v>
      </c>
      <c r="CP2153" s="0" t="s">
        <v>154</v>
      </c>
      <c r="DC2153" s="0" t="s">
        <v>154</v>
      </c>
    </row>
    <row r="2154" customFormat="false" ht="13.8" hidden="true" customHeight="false" outlineLevel="0" collapsed="false">
      <c r="A2154" s="0" t="s">
        <v>9462</v>
      </c>
      <c r="B2154" s="0" t="n">
        <v>78</v>
      </c>
      <c r="C2154" s="0" t="n">
        <v>299273</v>
      </c>
      <c r="D2154" s="0" t="s">
        <v>801</v>
      </c>
      <c r="E2154" s="0" t="s">
        <v>9463</v>
      </c>
      <c r="F2154" s="0" t="str">
        <f aca="false">CONCATENATE(D2154," ",LEFT(H2154,4),"T=",AU2154,"D=",AV2154,"R=",AW2154,"M=",AX2154,"L=",AY2154,"B=",AZ2154)</f>
        <v>BELL T=1D=0R=0M=1L=1B=0</v>
      </c>
      <c r="G2154" s="0" t="s">
        <v>216</v>
      </c>
      <c r="I2154" s="0" t="s">
        <v>7087</v>
      </c>
      <c r="J2154" s="0" t="s">
        <v>899</v>
      </c>
      <c r="K2154" s="0" t="s">
        <v>175</v>
      </c>
      <c r="L2154" s="0"/>
      <c r="M2154" s="0" t="s">
        <v>9458</v>
      </c>
      <c r="N2154" s="0" t="str">
        <f aca="false">RIGHT(M2154,LEN(M2154)-FIND(" ",M2154))</f>
        <v>PEACE AVE NW</v>
      </c>
      <c r="P2154" s="0" t="s">
        <v>146</v>
      </c>
      <c r="Q2154" s="0" t="s">
        <v>147</v>
      </c>
      <c r="R2154" s="0" t="n">
        <v>44483</v>
      </c>
      <c r="AD2154" s="0" t="s">
        <v>148</v>
      </c>
      <c r="AE2154" s="0" t="s">
        <v>149</v>
      </c>
      <c r="AF2154" s="0" t="s">
        <v>150</v>
      </c>
      <c r="AH2154" s="0" t="n">
        <v>14</v>
      </c>
      <c r="AI2154" s="0" t="n">
        <v>11</v>
      </c>
      <c r="AN2154" s="0" t="s">
        <v>146</v>
      </c>
      <c r="AO2154" s="0" t="s">
        <v>250</v>
      </c>
      <c r="AP2154" s="0" t="s">
        <v>251</v>
      </c>
      <c r="AQ2154" s="0" t="n">
        <v>9</v>
      </c>
      <c r="AR2154" s="0" t="n">
        <v>64</v>
      </c>
      <c r="AS2154" s="0" t="n">
        <v>32</v>
      </c>
      <c r="AU2154" s="0" t="n">
        <f aca="false">COUNTA($BA$2694:$EH$2694)</f>
        <v>1</v>
      </c>
      <c r="AV2154" s="0" t="n">
        <f aca="false">COUNTIF($BA$2694:$EH$2694,"D")</f>
        <v>0</v>
      </c>
      <c r="AW2154" s="0" t="n">
        <f aca="false">COUNTIF($BA$2694:$EH$2694,"R")</f>
        <v>0</v>
      </c>
      <c r="AX2154" s="0" t="n">
        <f aca="false"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>1</v>
      </c>
      <c r="AY2154" s="0" t="n">
        <f aca="false">COUNTIF(DU2154:EH2154, "&lt;&gt;")</f>
        <v>1</v>
      </c>
      <c r="AZ2154" s="0" t="n">
        <f aca="false">IF(EH2154&lt;&gt;"",1,0)</f>
        <v>0</v>
      </c>
      <c r="BB2154" s="0" t="s">
        <v>153</v>
      </c>
      <c r="CL2154" s="0" t="s">
        <v>155</v>
      </c>
      <c r="CN2154" s="0" t="s">
        <v>154</v>
      </c>
      <c r="CP2154" s="0" t="s">
        <v>154</v>
      </c>
      <c r="CZ2154" s="0" t="s">
        <v>155</v>
      </c>
      <c r="DC2154" s="0" t="s">
        <v>154</v>
      </c>
      <c r="DN2154" s="0" t="s">
        <v>154</v>
      </c>
      <c r="EA2154" s="0" t="s">
        <v>154</v>
      </c>
    </row>
    <row r="2155" customFormat="false" ht="13.8" hidden="true" customHeight="false" outlineLevel="0" collapsed="false">
      <c r="A2155" s="0" t="s">
        <v>9464</v>
      </c>
      <c r="B2155" s="0" t="n">
        <v>78</v>
      </c>
      <c r="C2155" s="0" t="n">
        <v>389857</v>
      </c>
      <c r="D2155" s="0" t="s">
        <v>1050</v>
      </c>
      <c r="E2155" s="0" t="s">
        <v>9465</v>
      </c>
      <c r="F2155" s="0" t="str">
        <f aca="false">CONCATENATE(D2155," ",LEFT(H2155,4),"T=",AU2155,"D=",AV2155,"R=",AW2155,"M=",AX2155,"L=",AY2155,"B=",AZ2155)</f>
        <v>JOHNSON T=7D=0R=0M=0L=0B=0</v>
      </c>
      <c r="G2155" s="0" t="s">
        <v>329</v>
      </c>
      <c r="I2155" s="0" t="s">
        <v>9010</v>
      </c>
      <c r="J2155" s="0" t="s">
        <v>3501</v>
      </c>
      <c r="K2155" s="0" t="s">
        <v>175</v>
      </c>
      <c r="L2155" s="0"/>
      <c r="M2155" s="0" t="s">
        <v>9466</v>
      </c>
      <c r="N2155" s="0" t="str">
        <f aca="false">RIGHT(M2155,LEN(M2155)-FIND(" ",M2155))</f>
        <v>PEACE AVE NW</v>
      </c>
      <c r="P2155" s="0" t="s">
        <v>146</v>
      </c>
      <c r="Q2155" s="0" t="s">
        <v>147</v>
      </c>
      <c r="R2155" s="0" t="n">
        <v>44483</v>
      </c>
      <c r="AD2155" s="0" t="s">
        <v>148</v>
      </c>
      <c r="AE2155" s="0" t="s">
        <v>149</v>
      </c>
      <c r="AF2155" s="0" t="s">
        <v>150</v>
      </c>
      <c r="AH2155" s="0" t="n">
        <v>14</v>
      </c>
      <c r="AI2155" s="0" t="n">
        <v>11</v>
      </c>
      <c r="AN2155" s="0" t="s">
        <v>146</v>
      </c>
      <c r="AO2155" s="0" t="s">
        <v>250</v>
      </c>
      <c r="AP2155" s="0" t="s">
        <v>251</v>
      </c>
      <c r="AQ2155" s="0" t="n">
        <v>9</v>
      </c>
      <c r="AR2155" s="0" t="n">
        <v>64</v>
      </c>
      <c r="AS2155" s="0" t="n">
        <v>32</v>
      </c>
      <c r="AU2155" s="0" t="n">
        <f aca="false">COUNTA($BA$2423:$EH$2423)</f>
        <v>7</v>
      </c>
      <c r="AV2155" s="0" t="n">
        <f aca="false">COUNTIF($BA$2423:$EH$2423,"D")</f>
        <v>0</v>
      </c>
      <c r="AW2155" s="0" t="n">
        <f aca="false">COUNTIF($BA$2423:$EH$2423,"R")</f>
        <v>0</v>
      </c>
      <c r="AX2155" s="0" t="n">
        <f aca="false"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>0</v>
      </c>
      <c r="AY2155" s="0" t="n">
        <f aca="false">COUNTIF(DU2155:EH2155, "&lt;&gt;")</f>
        <v>0</v>
      </c>
      <c r="AZ2155" s="0" t="n">
        <f aca="false">IF(EH2155&lt;&gt;"",1,0)</f>
        <v>0</v>
      </c>
      <c r="BB2155" s="0" t="s">
        <v>153</v>
      </c>
    </row>
    <row r="2156" customFormat="false" ht="13.8" hidden="true" customHeight="false" outlineLevel="0" collapsed="false">
      <c r="A2156" s="0" t="s">
        <v>9467</v>
      </c>
      <c r="B2156" s="0" t="n">
        <v>78</v>
      </c>
      <c r="C2156" s="0" t="n">
        <v>492424</v>
      </c>
      <c r="D2156" s="0" t="s">
        <v>3469</v>
      </c>
      <c r="E2156" s="0" t="s">
        <v>9468</v>
      </c>
      <c r="F2156" s="0" t="str">
        <f aca="false">CONCATENATE(D2156," ",LEFT(H2156,4),"T=",AU2156,"D=",AV2156,"R=",AW2156,"M=",AX2156,"L=",AY2156,"B=",AZ2156)</f>
        <v>REDD T=27D=6R=1M=0L=0B=0</v>
      </c>
      <c r="G2156" s="0" t="s">
        <v>297</v>
      </c>
      <c r="I2156" s="0" t="s">
        <v>9469</v>
      </c>
      <c r="J2156" s="0" t="s">
        <v>7045</v>
      </c>
      <c r="K2156" s="0" t="s">
        <v>175</v>
      </c>
      <c r="L2156" s="0"/>
      <c r="M2156" s="0" t="s">
        <v>9466</v>
      </c>
      <c r="N2156" s="0" t="str">
        <f aca="false">RIGHT(M2156,LEN(M2156)-FIND(" ",M2156))</f>
        <v>PEACE AVE NW</v>
      </c>
      <c r="P2156" s="0" t="s">
        <v>146</v>
      </c>
      <c r="Q2156" s="0" t="s">
        <v>147</v>
      </c>
      <c r="R2156" s="0" t="n">
        <v>44483</v>
      </c>
      <c r="AD2156" s="0" t="s">
        <v>148</v>
      </c>
      <c r="AE2156" s="0" t="s">
        <v>149</v>
      </c>
      <c r="AF2156" s="0" t="s">
        <v>150</v>
      </c>
      <c r="AH2156" s="0" t="n">
        <v>14</v>
      </c>
      <c r="AI2156" s="0" t="n">
        <v>11</v>
      </c>
      <c r="AN2156" s="0" t="s">
        <v>146</v>
      </c>
      <c r="AO2156" s="0" t="s">
        <v>250</v>
      </c>
      <c r="AP2156" s="0" t="s">
        <v>251</v>
      </c>
      <c r="AQ2156" s="0" t="n">
        <v>9</v>
      </c>
      <c r="AR2156" s="0" t="n">
        <v>64</v>
      </c>
      <c r="AS2156" s="0" t="n">
        <v>32</v>
      </c>
      <c r="AU2156" s="0" t="n">
        <f aca="false">COUNTA($BA$2547:$EH$2547)</f>
        <v>27</v>
      </c>
      <c r="AV2156" s="0" t="n">
        <f aca="false">COUNTIF($BA$2547:$EH$2547,"D")</f>
        <v>6</v>
      </c>
      <c r="AW2156" s="0" t="n">
        <f aca="false">COUNTIF($BA$2547:$EH$2547,"R")</f>
        <v>1</v>
      </c>
      <c r="AX2156" s="0" t="n">
        <f aca="false"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>0</v>
      </c>
      <c r="AY2156" s="0" t="n">
        <f aca="false">COUNTIF(DU2156:EH2156, "&lt;&gt;")</f>
        <v>0</v>
      </c>
      <c r="AZ2156" s="0" t="n">
        <f aca="false">IF(EH2156&lt;&gt;"",1,0)</f>
        <v>0</v>
      </c>
      <c r="BB2156" s="0" t="s">
        <v>153</v>
      </c>
      <c r="BL2156" s="0" t="s">
        <v>154</v>
      </c>
      <c r="BY2156" s="0" t="s">
        <v>155</v>
      </c>
      <c r="CA2156" s="0" t="s">
        <v>154</v>
      </c>
      <c r="CP2156" s="0" t="s">
        <v>154</v>
      </c>
      <c r="CY2156" s="0" t="s">
        <v>154</v>
      </c>
      <c r="DC2156" s="0" t="s">
        <v>154</v>
      </c>
      <c r="DN2156" s="0" t="s">
        <v>154</v>
      </c>
    </row>
    <row r="2157" customFormat="false" ht="13.8" hidden="false" customHeight="false" outlineLevel="0" collapsed="false">
      <c r="A2157" s="0" t="s">
        <v>9470</v>
      </c>
      <c r="B2157" s="0" t="n">
        <v>78</v>
      </c>
      <c r="C2157" s="0" t="n">
        <v>217834</v>
      </c>
      <c r="D2157" s="0" t="s">
        <v>9471</v>
      </c>
      <c r="E2157" s="0" t="s">
        <v>9472</v>
      </c>
      <c r="F2157" s="0" t="str">
        <f aca="false">CONCATENATE(D2157," ",LEFT(H2157,4),"T=",AU2157,"D=",AV2157,"R=",AW2157,"M=",AX2157,"L=",AY2157,"B=",AZ2157)</f>
        <v>STROTHER T=1D=0R=0M=3L=5B=0</v>
      </c>
      <c r="G2157" s="0" t="s">
        <v>329</v>
      </c>
      <c r="I2157" s="0" t="s">
        <v>6854</v>
      </c>
      <c r="J2157" s="0" t="s">
        <v>6815</v>
      </c>
      <c r="K2157" s="0" t="s">
        <v>175</v>
      </c>
      <c r="L2157" s="1" t="s">
        <v>155</v>
      </c>
      <c r="M2157" s="0" t="s">
        <v>9473</v>
      </c>
      <c r="N2157" s="0" t="str">
        <f aca="false">RIGHT(M2157,LEN(M2157)-FIND(" ",M2157))</f>
        <v>PEACE AVE NW</v>
      </c>
      <c r="P2157" s="0" t="s">
        <v>146</v>
      </c>
      <c r="Q2157" s="0" t="s">
        <v>147</v>
      </c>
      <c r="R2157" s="0" t="n">
        <v>44483</v>
      </c>
      <c r="AD2157" s="0" t="s">
        <v>148</v>
      </c>
      <c r="AE2157" s="0" t="s">
        <v>149</v>
      </c>
      <c r="AF2157" s="0" t="s">
        <v>150</v>
      </c>
      <c r="AH2157" s="0" t="n">
        <v>14</v>
      </c>
      <c r="AI2157" s="0" t="n">
        <v>11</v>
      </c>
      <c r="AN2157" s="0" t="s">
        <v>146</v>
      </c>
      <c r="AO2157" s="0" t="s">
        <v>250</v>
      </c>
      <c r="AP2157" s="0" t="s">
        <v>251</v>
      </c>
      <c r="AQ2157" s="0" t="n">
        <v>9</v>
      </c>
      <c r="AR2157" s="0" t="n">
        <v>64</v>
      </c>
      <c r="AS2157" s="0" t="n">
        <v>32</v>
      </c>
      <c r="AU2157" s="0" t="n">
        <f aca="false">COUNTA($BA$2679:$EH$2679)</f>
        <v>1</v>
      </c>
      <c r="AV2157" s="0" t="n">
        <f aca="false">COUNTIF($BA$2679:$EH$2679,"D")</f>
        <v>0</v>
      </c>
      <c r="AW2157" s="0" t="n">
        <f aca="false">COUNTIF($BA$2679:$EH$2679,"R")</f>
        <v>0</v>
      </c>
      <c r="AX2157" s="0" t="n">
        <f aca="false"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>3</v>
      </c>
      <c r="AY2157" s="0" t="n">
        <f aca="false">COUNTIF(DU2157:EH2157, "&lt;&gt;")</f>
        <v>5</v>
      </c>
      <c r="AZ2157" s="0" t="n">
        <f aca="false">IF(EH2157&lt;&gt;"",1,0)</f>
        <v>0</v>
      </c>
      <c r="BB2157" s="0" t="s">
        <v>153</v>
      </c>
      <c r="BC2157" s="0" t="s">
        <v>154</v>
      </c>
      <c r="BD2157" s="0" t="s">
        <v>154</v>
      </c>
      <c r="BF2157" s="0" t="s">
        <v>154</v>
      </c>
      <c r="BG2157" s="0" t="s">
        <v>154</v>
      </c>
      <c r="BH2157" s="0" t="s">
        <v>154</v>
      </c>
      <c r="BI2157" s="0" t="s">
        <v>154</v>
      </c>
      <c r="BJ2157" s="0" t="s">
        <v>154</v>
      </c>
      <c r="BK2157" s="0" t="s">
        <v>154</v>
      </c>
      <c r="BL2157" s="0" t="s">
        <v>154</v>
      </c>
      <c r="BS2157" s="0" t="s">
        <v>154</v>
      </c>
      <c r="BY2157" s="0" t="s">
        <v>155</v>
      </c>
      <c r="CA2157" s="0" t="s">
        <v>154</v>
      </c>
      <c r="CH2157" s="0" t="s">
        <v>155</v>
      </c>
      <c r="CK2157" s="0" t="s">
        <v>154</v>
      </c>
      <c r="CL2157" s="0" t="s">
        <v>155</v>
      </c>
      <c r="CO2157" s="0" t="s">
        <v>155</v>
      </c>
      <c r="CP2157" s="0" t="s">
        <v>154</v>
      </c>
      <c r="CQ2157" s="0" t="s">
        <v>155</v>
      </c>
      <c r="CV2157" s="0" t="s">
        <v>154</v>
      </c>
      <c r="CW2157" s="0" t="s">
        <v>155</v>
      </c>
      <c r="CY2157" s="0" t="s">
        <v>154</v>
      </c>
      <c r="CZ2157" s="0" t="s">
        <v>155</v>
      </c>
      <c r="DC2157" s="0" t="s">
        <v>154</v>
      </c>
      <c r="DG2157" s="0" t="s">
        <v>155</v>
      </c>
      <c r="DI2157" s="0" t="s">
        <v>154</v>
      </c>
      <c r="DN2157" s="0" t="s">
        <v>154</v>
      </c>
      <c r="DS2157" s="0" t="s">
        <v>155</v>
      </c>
      <c r="DU2157" s="0" t="s">
        <v>154</v>
      </c>
      <c r="DX2157" s="0" t="s">
        <v>154</v>
      </c>
      <c r="EA2157" s="0" t="s">
        <v>154</v>
      </c>
      <c r="ED2157" s="0" t="s">
        <v>155</v>
      </c>
      <c r="EF2157" s="0" t="s">
        <v>154</v>
      </c>
    </row>
    <row r="2158" customFormat="false" ht="13.8" hidden="true" customHeight="false" outlineLevel="0" collapsed="false">
      <c r="A2158" s="0" t="s">
        <v>9474</v>
      </c>
      <c r="B2158" s="0" t="n">
        <v>78</v>
      </c>
      <c r="C2158" s="0" t="n">
        <v>408062</v>
      </c>
      <c r="D2158" s="0" t="s">
        <v>2695</v>
      </c>
      <c r="E2158" s="0" t="s">
        <v>9475</v>
      </c>
      <c r="F2158" s="0" t="str">
        <f aca="false">CONCATENATE(D2158," ",LEFT(H2158,4),"T=",AU2158,"D=",AV2158,"R=",AW2158,"M=",AX2158,"L=",AY2158,"B=",AZ2158)</f>
        <v>HARRIS T=1D=0R=0M=0L=0B=0</v>
      </c>
      <c r="G2158" s="0" t="s">
        <v>297</v>
      </c>
      <c r="I2158" s="0" t="s">
        <v>9476</v>
      </c>
      <c r="J2158" s="0" t="s">
        <v>9477</v>
      </c>
      <c r="K2158" s="0" t="s">
        <v>144</v>
      </c>
      <c r="L2158" s="0"/>
      <c r="M2158" s="0" t="s">
        <v>9473</v>
      </c>
      <c r="N2158" s="0" t="str">
        <f aca="false">RIGHT(M2158,LEN(M2158)-FIND(" ",M2158))</f>
        <v>PEACE AVE NW</v>
      </c>
      <c r="P2158" s="0" t="s">
        <v>146</v>
      </c>
      <c r="Q2158" s="0" t="s">
        <v>147</v>
      </c>
      <c r="R2158" s="0" t="n">
        <v>44483</v>
      </c>
      <c r="AD2158" s="0" t="s">
        <v>148</v>
      </c>
      <c r="AE2158" s="0" t="s">
        <v>149</v>
      </c>
      <c r="AF2158" s="0" t="s">
        <v>150</v>
      </c>
      <c r="AH2158" s="0" t="n">
        <v>14</v>
      </c>
      <c r="AI2158" s="0" t="n">
        <v>11</v>
      </c>
      <c r="AN2158" s="0" t="s">
        <v>146</v>
      </c>
      <c r="AO2158" s="0" t="s">
        <v>250</v>
      </c>
      <c r="AP2158" s="0" t="s">
        <v>251</v>
      </c>
      <c r="AQ2158" s="0" t="n">
        <v>9</v>
      </c>
      <c r="AR2158" s="0" t="n">
        <v>64</v>
      </c>
      <c r="AS2158" s="0" t="n">
        <v>32</v>
      </c>
      <c r="AU2158" s="0" t="n">
        <f aca="false">COUNTA($BA$2813:$EH$2813)</f>
        <v>1</v>
      </c>
      <c r="AV2158" s="0" t="n">
        <f aca="false">COUNTIF($BA$2813:$EH$2813,"D")</f>
        <v>0</v>
      </c>
      <c r="AW2158" s="0" t="n">
        <f aca="false">COUNTIF($BA$2813:$EH$2813,"R")</f>
        <v>0</v>
      </c>
      <c r="AX2158" s="0" t="n">
        <f aca="false"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>0</v>
      </c>
      <c r="AY2158" s="0" t="n">
        <f aca="false">COUNTIF(DU2158:EH2158, "&lt;&gt;")</f>
        <v>0</v>
      </c>
      <c r="AZ2158" s="0" t="n">
        <f aca="false">IF(EH2158&lt;&gt;"",1,0)</f>
        <v>0</v>
      </c>
      <c r="BB2158" s="0" t="s">
        <v>153</v>
      </c>
    </row>
    <row r="2159" customFormat="false" ht="13.8" hidden="true" customHeight="false" outlineLevel="0" collapsed="false">
      <c r="A2159" s="0" t="s">
        <v>9478</v>
      </c>
      <c r="B2159" s="0" t="n">
        <v>78</v>
      </c>
      <c r="C2159" s="0" t="n">
        <v>460348</v>
      </c>
      <c r="D2159" s="0" t="s">
        <v>9479</v>
      </c>
      <c r="E2159" s="0" t="s">
        <v>2163</v>
      </c>
      <c r="F2159" s="0" t="str">
        <f aca="false">CONCATENATE(D2159," ",LEFT(H2159,4),"T=",AU2159,"D=",AV2159,"R=",AW2159,"M=",AX2159,"L=",AY2159,"B=",AZ2159)</f>
        <v>BOYKIN T=2D=0R=0M=0L=0B=0</v>
      </c>
      <c r="G2159" s="0" t="s">
        <v>188</v>
      </c>
      <c r="I2159" s="0" t="s">
        <v>9480</v>
      </c>
      <c r="J2159" s="0" t="s">
        <v>9481</v>
      </c>
      <c r="K2159" s="0" t="s">
        <v>144</v>
      </c>
      <c r="L2159" s="0"/>
      <c r="M2159" s="0" t="s">
        <v>9482</v>
      </c>
      <c r="N2159" s="0" t="str">
        <f aca="false">RIGHT(M2159,LEN(M2159)-FIND(" ",M2159))</f>
        <v>PEACE AVE NW</v>
      </c>
      <c r="P2159" s="0" t="s">
        <v>146</v>
      </c>
      <c r="Q2159" s="0" t="s">
        <v>147</v>
      </c>
      <c r="R2159" s="0" t="n">
        <v>44483</v>
      </c>
      <c r="AD2159" s="0" t="s">
        <v>148</v>
      </c>
      <c r="AE2159" s="0" t="s">
        <v>149</v>
      </c>
      <c r="AF2159" s="0" t="s">
        <v>150</v>
      </c>
      <c r="AH2159" s="0" t="n">
        <v>14</v>
      </c>
      <c r="AI2159" s="0" t="n">
        <v>11</v>
      </c>
      <c r="AN2159" s="0" t="s">
        <v>146</v>
      </c>
      <c r="AO2159" s="0" t="s">
        <v>250</v>
      </c>
      <c r="AP2159" s="0" t="s">
        <v>251</v>
      </c>
      <c r="AQ2159" s="0" t="n">
        <v>9</v>
      </c>
      <c r="AR2159" s="0" t="n">
        <v>64</v>
      </c>
      <c r="AS2159" s="0" t="n">
        <v>32</v>
      </c>
      <c r="AU2159" s="0" t="n">
        <f aca="false">COUNTA($BA$2414:$EH$2414)</f>
        <v>2</v>
      </c>
      <c r="AV2159" s="0" t="n">
        <f aca="false">COUNTIF($BA$2414:$EH$2414,"D")</f>
        <v>0</v>
      </c>
      <c r="AW2159" s="0" t="n">
        <f aca="false">COUNTIF($BA$2414:$EH$2414,"R")</f>
        <v>0</v>
      </c>
      <c r="AX2159" s="0" t="n">
        <f aca="false"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>0</v>
      </c>
      <c r="AY2159" s="0" t="n">
        <f aca="false">COUNTIF(DU2159:EH2159, "&lt;&gt;")</f>
        <v>0</v>
      </c>
      <c r="AZ2159" s="0" t="n">
        <f aca="false">IF(EH2159&lt;&gt;"",1,0)</f>
        <v>0</v>
      </c>
      <c r="BB2159" s="0" t="s">
        <v>153</v>
      </c>
    </row>
    <row r="2160" customFormat="false" ht="13.8" hidden="true" customHeight="false" outlineLevel="0" collapsed="false">
      <c r="A2160" s="0" t="s">
        <v>9483</v>
      </c>
      <c r="B2160" s="0" t="n">
        <v>78</v>
      </c>
      <c r="C2160" s="0" t="n">
        <v>410473</v>
      </c>
      <c r="D2160" s="0" t="s">
        <v>1697</v>
      </c>
      <c r="E2160" s="0" t="s">
        <v>9484</v>
      </c>
      <c r="F2160" s="0" t="str">
        <f aca="false">CONCATENATE(D2160," ",LEFT(H2160,4),"T=",AU2160,"D=",AV2160,"R=",AW2160,"M=",AX2160,"L=",AY2160,"B=",AZ2160)</f>
        <v>MATHEWS T=11D=1R=0M=0L=0B=0</v>
      </c>
      <c r="G2160" s="0" t="s">
        <v>166</v>
      </c>
      <c r="I2160" s="0" t="s">
        <v>9485</v>
      </c>
      <c r="J2160" s="0" t="s">
        <v>1453</v>
      </c>
      <c r="K2160" s="0" t="s">
        <v>175</v>
      </c>
      <c r="L2160" s="0"/>
      <c r="M2160" s="0" t="s">
        <v>9482</v>
      </c>
      <c r="N2160" s="0" t="str">
        <f aca="false">RIGHT(M2160,LEN(M2160)-FIND(" ",M2160))</f>
        <v>PEACE AVE NW</v>
      </c>
      <c r="P2160" s="0" t="s">
        <v>146</v>
      </c>
      <c r="Q2160" s="0" t="s">
        <v>147</v>
      </c>
      <c r="R2160" s="0" t="n">
        <v>44483</v>
      </c>
      <c r="AD2160" s="0" t="s">
        <v>148</v>
      </c>
      <c r="AE2160" s="0" t="s">
        <v>149</v>
      </c>
      <c r="AF2160" s="0" t="s">
        <v>150</v>
      </c>
      <c r="AH2160" s="0" t="n">
        <v>14</v>
      </c>
      <c r="AI2160" s="0" t="n">
        <v>11</v>
      </c>
      <c r="AN2160" s="0" t="s">
        <v>146</v>
      </c>
      <c r="AO2160" s="0" t="s">
        <v>250</v>
      </c>
      <c r="AP2160" s="0" t="s">
        <v>251</v>
      </c>
      <c r="AQ2160" s="0" t="n">
        <v>9</v>
      </c>
      <c r="AR2160" s="0" t="n">
        <v>64</v>
      </c>
      <c r="AS2160" s="0" t="n">
        <v>32</v>
      </c>
      <c r="AU2160" s="0" t="n">
        <f aca="false">COUNTA($BA$2473:$EH$2473)</f>
        <v>11</v>
      </c>
      <c r="AV2160" s="0" t="n">
        <f aca="false">COUNTIF($BA$2473:$EH$2473,"D")</f>
        <v>1</v>
      </c>
      <c r="AW2160" s="0" t="n">
        <f aca="false">COUNTIF($BA$2473:$EH$2473,"R")</f>
        <v>0</v>
      </c>
      <c r="AX2160" s="0" t="n">
        <f aca="false"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>0</v>
      </c>
      <c r="AY2160" s="0" t="n">
        <f aca="false">COUNTIF(DU2160:EH2160, "&lt;&gt;")</f>
        <v>0</v>
      </c>
      <c r="AZ2160" s="0" t="n">
        <f aca="false">IF(EH2160&lt;&gt;"",1,0)</f>
        <v>0</v>
      </c>
      <c r="BB2160" s="0" t="s">
        <v>153</v>
      </c>
      <c r="DC2160" s="0" t="s">
        <v>154</v>
      </c>
    </row>
    <row r="2161" customFormat="false" ht="13.8" hidden="true" customHeight="false" outlineLevel="0" collapsed="false">
      <c r="A2161" s="0" t="s">
        <v>9486</v>
      </c>
      <c r="B2161" s="0" t="n">
        <v>78</v>
      </c>
      <c r="C2161" s="0" t="n">
        <v>375005</v>
      </c>
      <c r="D2161" s="0" t="s">
        <v>9487</v>
      </c>
      <c r="E2161" s="0" t="s">
        <v>9488</v>
      </c>
      <c r="F2161" s="0" t="str">
        <f aca="false">CONCATENATE(D2161," ",LEFT(H2161,4),"T=",AU2161,"D=",AV2161,"R=",AW2161,"M=",AX2161,"L=",AY2161,"B=",AZ2161)</f>
        <v>BURKS T=3D=1R=0M=0L=1B=0</v>
      </c>
      <c r="G2161" s="0" t="s">
        <v>9489</v>
      </c>
      <c r="I2161" s="0" t="s">
        <v>9490</v>
      </c>
      <c r="J2161" s="0" t="s">
        <v>9491</v>
      </c>
      <c r="K2161" s="0" t="s">
        <v>175</v>
      </c>
      <c r="L2161" s="0"/>
      <c r="M2161" s="0" t="s">
        <v>9492</v>
      </c>
      <c r="N2161" s="0" t="str">
        <f aca="false">RIGHT(M2161,LEN(M2161)-FIND(" ",M2161))</f>
        <v>PEACE AVE NW</v>
      </c>
      <c r="P2161" s="0" t="s">
        <v>146</v>
      </c>
      <c r="Q2161" s="0" t="s">
        <v>147</v>
      </c>
      <c r="R2161" s="0" t="n">
        <v>44483</v>
      </c>
      <c r="AD2161" s="0" t="s">
        <v>148</v>
      </c>
      <c r="AE2161" s="0" t="s">
        <v>149</v>
      </c>
      <c r="AF2161" s="0" t="s">
        <v>150</v>
      </c>
      <c r="AH2161" s="0" t="n">
        <v>14</v>
      </c>
      <c r="AI2161" s="0" t="n">
        <v>11</v>
      </c>
      <c r="AN2161" s="0" t="s">
        <v>146</v>
      </c>
      <c r="AO2161" s="0" t="s">
        <v>250</v>
      </c>
      <c r="AP2161" s="0" t="s">
        <v>251</v>
      </c>
      <c r="AQ2161" s="0" t="n">
        <v>9</v>
      </c>
      <c r="AR2161" s="0" t="n">
        <v>64</v>
      </c>
      <c r="AS2161" s="0" t="n">
        <v>32</v>
      </c>
      <c r="AU2161" s="0" t="n">
        <f aca="false">COUNTA($BA$2364:$EH$2364)</f>
        <v>3</v>
      </c>
      <c r="AV2161" s="0" t="n">
        <f aca="false">COUNTIF($BA$2364:$EH$2364,"D")</f>
        <v>1</v>
      </c>
      <c r="AW2161" s="0" t="n">
        <f aca="false">COUNTIF($BA$2364:$EH$2364,"R")</f>
        <v>0</v>
      </c>
      <c r="AX2161" s="0" t="n">
        <f aca="false"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>0</v>
      </c>
      <c r="AY2161" s="0" t="n">
        <f aca="false">COUNTIF(DU2161:EH2161, "&lt;&gt;")</f>
        <v>1</v>
      </c>
      <c r="AZ2161" s="0" t="n">
        <f aca="false">IF(EH2161&lt;&gt;"",1,0)</f>
        <v>0</v>
      </c>
      <c r="BB2161" s="0" t="s">
        <v>153</v>
      </c>
      <c r="DC2161" s="0" t="s">
        <v>154</v>
      </c>
      <c r="DI2161" s="0" t="s">
        <v>154</v>
      </c>
      <c r="DN2161" s="0" t="s">
        <v>154</v>
      </c>
      <c r="EF2161" s="0" t="s">
        <v>154</v>
      </c>
    </row>
    <row r="2162" customFormat="false" ht="13.8" hidden="true" customHeight="false" outlineLevel="0" collapsed="false">
      <c r="A2162" s="0" t="s">
        <v>9493</v>
      </c>
      <c r="B2162" s="0" t="n">
        <v>78</v>
      </c>
      <c r="C2162" s="0" t="n">
        <v>448557</v>
      </c>
      <c r="D2162" s="0" t="s">
        <v>9494</v>
      </c>
      <c r="E2162" s="0" t="s">
        <v>9495</v>
      </c>
      <c r="F2162" s="0" t="str">
        <f aca="false">CONCATENATE(D2162," ",LEFT(H2162,4),"T=",AU2162,"D=",AV2162,"R=",AW2162,"M=",AX2162,"L=",AY2162,"B=",AZ2162)</f>
        <v>ROZIER T=49D=18R=0M=0L=0B=0</v>
      </c>
      <c r="G2162" s="0" t="s">
        <v>5028</v>
      </c>
      <c r="I2162" s="0" t="s">
        <v>9496</v>
      </c>
      <c r="J2162" s="0" t="s">
        <v>3128</v>
      </c>
      <c r="K2162" s="0" t="s">
        <v>175</v>
      </c>
      <c r="L2162" s="0"/>
      <c r="M2162" s="0" t="s">
        <v>9497</v>
      </c>
      <c r="N2162" s="0" t="str">
        <f aca="false">RIGHT(M2162,LEN(M2162)-FIND(" ",M2162))</f>
        <v>PEACE AVE NW</v>
      </c>
      <c r="P2162" s="0" t="s">
        <v>146</v>
      </c>
      <c r="Q2162" s="0" t="s">
        <v>147</v>
      </c>
      <c r="R2162" s="0" t="n">
        <v>44483</v>
      </c>
      <c r="AD2162" s="0" t="s">
        <v>148</v>
      </c>
      <c r="AE2162" s="0" t="s">
        <v>149</v>
      </c>
      <c r="AF2162" s="0" t="s">
        <v>150</v>
      </c>
      <c r="AH2162" s="0" t="n">
        <v>14</v>
      </c>
      <c r="AI2162" s="0" t="n">
        <v>11</v>
      </c>
      <c r="AN2162" s="0" t="s">
        <v>146</v>
      </c>
      <c r="AO2162" s="0" t="s">
        <v>250</v>
      </c>
      <c r="AP2162" s="0" t="s">
        <v>251</v>
      </c>
      <c r="AQ2162" s="0" t="n">
        <v>9</v>
      </c>
      <c r="AR2162" s="0" t="n">
        <v>64</v>
      </c>
      <c r="AS2162" s="0" t="n">
        <v>32</v>
      </c>
      <c r="AU2162" s="0" t="n">
        <f aca="false">COUNTA($BA$2112:$EH$2112)</f>
        <v>49</v>
      </c>
      <c r="AV2162" s="0" t="n">
        <f aca="false">COUNTIF($BA$2112:$EH$2112,"D")</f>
        <v>18</v>
      </c>
      <c r="AW2162" s="0" t="n">
        <f aca="false">COUNTIF($BA$2112:$EH$2112,"R")</f>
        <v>0</v>
      </c>
      <c r="AX2162" s="0" t="n">
        <f aca="false"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>0</v>
      </c>
      <c r="AY2162" s="0" t="n">
        <f aca="false">COUNTIF(DU2162:EH2162, "&lt;&gt;")</f>
        <v>0</v>
      </c>
      <c r="AZ2162" s="0" t="n">
        <f aca="false">IF(EH2162&lt;&gt;"",1,0)</f>
        <v>0</v>
      </c>
      <c r="BB2162" s="0" t="s">
        <v>153</v>
      </c>
    </row>
    <row r="2163" customFormat="false" ht="13.8" hidden="true" customHeight="false" outlineLevel="0" collapsed="false">
      <c r="A2163" s="0" t="s">
        <v>9498</v>
      </c>
      <c r="B2163" s="0" t="n">
        <v>78</v>
      </c>
      <c r="C2163" s="0" t="n">
        <v>489288</v>
      </c>
      <c r="D2163" s="0" t="s">
        <v>9499</v>
      </c>
      <c r="E2163" s="0" t="s">
        <v>9500</v>
      </c>
      <c r="F2163" s="0" t="str">
        <f aca="false">CONCATENATE(D2163," ",LEFT(H2163,4),"T=",AU2163,"D=",AV2163,"R=",AW2163,"M=",AX2163,"L=",AY2163,"B=",AZ2163)</f>
        <v>MCGARY T=1D=0R=0M=0L=0B=0</v>
      </c>
      <c r="G2163" s="0" t="s">
        <v>9501</v>
      </c>
      <c r="I2163" s="0" t="s">
        <v>9502</v>
      </c>
      <c r="J2163" s="0" t="s">
        <v>7357</v>
      </c>
      <c r="K2163" s="0" t="s">
        <v>175</v>
      </c>
      <c r="L2163" s="0"/>
      <c r="M2163" s="0" t="s">
        <v>9497</v>
      </c>
      <c r="N2163" s="0" t="str">
        <f aca="false">RIGHT(M2163,LEN(M2163)-FIND(" ",M2163))</f>
        <v>PEACE AVE NW</v>
      </c>
      <c r="P2163" s="0" t="s">
        <v>146</v>
      </c>
      <c r="Q2163" s="0" t="s">
        <v>147</v>
      </c>
      <c r="R2163" s="0" t="n">
        <v>44483</v>
      </c>
      <c r="AD2163" s="0" t="s">
        <v>148</v>
      </c>
      <c r="AE2163" s="0" t="s">
        <v>149</v>
      </c>
      <c r="AF2163" s="0" t="s">
        <v>150</v>
      </c>
      <c r="AH2163" s="0" t="n">
        <v>14</v>
      </c>
      <c r="AI2163" s="0" t="n">
        <v>11</v>
      </c>
      <c r="AN2163" s="0" t="s">
        <v>146</v>
      </c>
      <c r="AO2163" s="0" t="s">
        <v>250</v>
      </c>
      <c r="AP2163" s="0" t="s">
        <v>251</v>
      </c>
      <c r="AQ2163" s="0" t="n">
        <v>9</v>
      </c>
      <c r="AR2163" s="0" t="n">
        <v>64</v>
      </c>
      <c r="AS2163" s="0" t="n">
        <v>32</v>
      </c>
      <c r="AU2163" s="0" t="n">
        <f aca="false">COUNTA($BA$2421:$EH$2421)</f>
        <v>1</v>
      </c>
      <c r="AV2163" s="0" t="n">
        <f aca="false">COUNTIF($BA$2421:$EH$2421,"D")</f>
        <v>0</v>
      </c>
      <c r="AW2163" s="0" t="n">
        <f aca="false">COUNTIF($BA$2421:$EH$2421,"R")</f>
        <v>0</v>
      </c>
      <c r="AX2163" s="0" t="n">
        <f aca="false"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>0</v>
      </c>
      <c r="AY2163" s="0" t="n">
        <f aca="false">COUNTIF(DU2163:EH2163, "&lt;&gt;")</f>
        <v>0</v>
      </c>
      <c r="AZ2163" s="0" t="n">
        <f aca="false">IF(EH2163&lt;&gt;"",1,0)</f>
        <v>0</v>
      </c>
      <c r="BB2163" s="0" t="s">
        <v>153</v>
      </c>
    </row>
    <row r="2164" customFormat="false" ht="13.8" hidden="true" customHeight="false" outlineLevel="0" collapsed="false">
      <c r="A2164" s="0" t="s">
        <v>9503</v>
      </c>
      <c r="B2164" s="0" t="n">
        <v>78</v>
      </c>
      <c r="C2164" s="0" t="n">
        <v>342059</v>
      </c>
      <c r="D2164" s="0" t="s">
        <v>9504</v>
      </c>
      <c r="E2164" s="0" t="s">
        <v>3032</v>
      </c>
      <c r="F2164" s="0" t="str">
        <f aca="false">CONCATENATE(D2164," ",LEFT(H2164,4),"T=",AU2164,"D=",AV2164,"R=",AW2164,"M=",AX2164,"L=",AY2164,"B=",AZ2164)</f>
        <v>HUTCHINSON T=4D=0R=0M=0L=0B=0</v>
      </c>
      <c r="G2164" s="0" t="s">
        <v>165</v>
      </c>
      <c r="I2164" s="0" t="s">
        <v>9505</v>
      </c>
      <c r="J2164" s="0" t="s">
        <v>9263</v>
      </c>
      <c r="K2164" s="0" t="s">
        <v>175</v>
      </c>
      <c r="L2164" s="0"/>
      <c r="M2164" s="0" t="s">
        <v>9497</v>
      </c>
      <c r="N2164" s="0" t="str">
        <f aca="false">RIGHT(M2164,LEN(M2164)-FIND(" ",M2164))</f>
        <v>PEACE AVE NW</v>
      </c>
      <c r="P2164" s="0" t="s">
        <v>146</v>
      </c>
      <c r="Q2164" s="0" t="s">
        <v>147</v>
      </c>
      <c r="R2164" s="0" t="n">
        <v>44483</v>
      </c>
      <c r="AD2164" s="0" t="s">
        <v>148</v>
      </c>
      <c r="AE2164" s="0" t="s">
        <v>149</v>
      </c>
      <c r="AF2164" s="0" t="s">
        <v>150</v>
      </c>
      <c r="AH2164" s="0" t="n">
        <v>14</v>
      </c>
      <c r="AI2164" s="0" t="n">
        <v>11</v>
      </c>
      <c r="AN2164" s="0" t="s">
        <v>146</v>
      </c>
      <c r="AO2164" s="0" t="s">
        <v>250</v>
      </c>
      <c r="AP2164" s="0" t="s">
        <v>251</v>
      </c>
      <c r="AQ2164" s="0" t="n">
        <v>9</v>
      </c>
      <c r="AR2164" s="0" t="n">
        <v>64</v>
      </c>
      <c r="AS2164" s="0" t="n">
        <v>32</v>
      </c>
      <c r="AU2164" s="0" t="n">
        <f aca="false">COUNTA($BA$2594:$EH$2594)</f>
        <v>4</v>
      </c>
      <c r="AV2164" s="0" t="n">
        <f aca="false">COUNTIF($BA$2594:$EH$2594,"D")</f>
        <v>0</v>
      </c>
      <c r="AW2164" s="0" t="n">
        <f aca="false">COUNTIF($BA$2594:$EH$2594,"R")</f>
        <v>0</v>
      </c>
      <c r="AX2164" s="0" t="n">
        <f aca="false"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>0</v>
      </c>
      <c r="AY2164" s="0" t="n">
        <f aca="false">COUNTIF(DU2164:EH2164, "&lt;&gt;")</f>
        <v>0</v>
      </c>
      <c r="AZ2164" s="0" t="n">
        <f aca="false">IF(EH2164&lt;&gt;"",1,0)</f>
        <v>0</v>
      </c>
      <c r="BB2164" s="0" t="s">
        <v>153</v>
      </c>
      <c r="CZ2164" s="0" t="s">
        <v>176</v>
      </c>
      <c r="DC2164" s="0" t="s">
        <v>154</v>
      </c>
    </row>
    <row r="2165" customFormat="false" ht="13.8" hidden="false" customHeight="false" outlineLevel="0" collapsed="false">
      <c r="A2165" s="0" t="s">
        <v>9506</v>
      </c>
      <c r="B2165" s="0" t="n">
        <v>78</v>
      </c>
      <c r="C2165" s="0" t="n">
        <v>451679</v>
      </c>
      <c r="D2165" s="0" t="s">
        <v>9507</v>
      </c>
      <c r="E2165" s="0" t="s">
        <v>863</v>
      </c>
      <c r="F2165" s="0" t="str">
        <f aca="false">CONCATENATE(D2165," ",LEFT(H2165,4),"T=",AU2165,"D=",AV2165,"R=",AW2165,"M=",AX2165,"L=",AY2165,"B=",AZ2165)</f>
        <v>DEGROFF T=6D=2R=0M=0L=2B=0</v>
      </c>
      <c r="G2165" s="0" t="s">
        <v>455</v>
      </c>
      <c r="I2165" s="0" t="s">
        <v>9508</v>
      </c>
      <c r="J2165" s="0" t="s">
        <v>712</v>
      </c>
      <c r="K2165" s="0" t="s">
        <v>175</v>
      </c>
      <c r="M2165" s="0" t="s">
        <v>9509</v>
      </c>
      <c r="N2165" s="0" t="str">
        <f aca="false">RIGHT(M2165,LEN(M2165)-FIND(" ",M2165))</f>
        <v>PEACE AVE NW</v>
      </c>
      <c r="P2165" s="0" t="s">
        <v>146</v>
      </c>
      <c r="Q2165" s="0" t="s">
        <v>147</v>
      </c>
      <c r="R2165" s="0" t="n">
        <v>44483</v>
      </c>
      <c r="AD2165" s="0" t="s">
        <v>148</v>
      </c>
      <c r="AE2165" s="0" t="s">
        <v>149</v>
      </c>
      <c r="AF2165" s="0" t="s">
        <v>150</v>
      </c>
      <c r="AH2165" s="0" t="n">
        <v>14</v>
      </c>
      <c r="AI2165" s="0" t="n">
        <v>11</v>
      </c>
      <c r="AN2165" s="0" t="s">
        <v>146</v>
      </c>
      <c r="AO2165" s="0" t="s">
        <v>250</v>
      </c>
      <c r="AP2165" s="0" t="s">
        <v>251</v>
      </c>
      <c r="AQ2165" s="0" t="n">
        <v>9</v>
      </c>
      <c r="AR2165" s="0" t="n">
        <v>64</v>
      </c>
      <c r="AS2165" s="0" t="n">
        <v>32</v>
      </c>
      <c r="AU2165" s="0" t="n">
        <f aca="false">COUNTA($BA$2640:$EH$2640)</f>
        <v>6</v>
      </c>
      <c r="AV2165" s="0" t="n">
        <f aca="false">COUNTIF($BA$2640:$EH$2640,"D")</f>
        <v>2</v>
      </c>
      <c r="AW2165" s="0" t="n">
        <f aca="false">COUNTIF($BA$2640:$EH$2640,"R")</f>
        <v>0</v>
      </c>
      <c r="AX2165" s="0" t="n">
        <f aca="false"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>0</v>
      </c>
      <c r="AY2165" s="0" t="n">
        <f aca="false">COUNTIF(DU2165:EH2165, "&lt;&gt;")</f>
        <v>2</v>
      </c>
      <c r="AZ2165" s="0" t="n">
        <f aca="false">IF(EH2165&lt;&gt;"",1,0)</f>
        <v>0</v>
      </c>
      <c r="BB2165" s="0" t="s">
        <v>153</v>
      </c>
      <c r="BL2165" s="0" t="s">
        <v>154</v>
      </c>
      <c r="BP2165" s="0" t="s">
        <v>154</v>
      </c>
      <c r="BS2165" s="0" t="s">
        <v>154</v>
      </c>
      <c r="BY2165" s="0" t="s">
        <v>155</v>
      </c>
      <c r="CA2165" s="0" t="s">
        <v>154</v>
      </c>
      <c r="CP2165" s="0" t="s">
        <v>154</v>
      </c>
      <c r="CY2165" s="0" t="s">
        <v>154</v>
      </c>
      <c r="CZ2165" s="0" t="s">
        <v>155</v>
      </c>
      <c r="DC2165" s="0" t="s">
        <v>154</v>
      </c>
      <c r="DD2165" s="0" t="s">
        <v>154</v>
      </c>
      <c r="DI2165" s="0" t="s">
        <v>154</v>
      </c>
      <c r="DN2165" s="0" t="s">
        <v>154</v>
      </c>
      <c r="DU2165" s="0" t="s">
        <v>154</v>
      </c>
      <c r="EF2165" s="0" t="s">
        <v>154</v>
      </c>
    </row>
    <row r="2166" customFormat="false" ht="13.8" hidden="true" customHeight="false" outlineLevel="0" collapsed="false">
      <c r="A2166" s="0" t="s">
        <v>9510</v>
      </c>
      <c r="B2166" s="0" t="n">
        <v>78</v>
      </c>
      <c r="C2166" s="0" t="n">
        <v>419478</v>
      </c>
      <c r="D2166" s="0" t="s">
        <v>1173</v>
      </c>
      <c r="E2166" s="0" t="s">
        <v>9511</v>
      </c>
      <c r="F2166" s="0" t="str">
        <f aca="false">CONCATENATE(D2166," ",LEFT(H2166,4),"T=",AU2166,"D=",AV2166,"R=",AW2166,"M=",AX2166,"L=",AY2166,"B=",AZ2166)</f>
        <v>JACKSON T=23D=0R=3M=0L=0B=0</v>
      </c>
      <c r="G2166" s="0" t="s">
        <v>176</v>
      </c>
      <c r="I2166" s="0" t="s">
        <v>9512</v>
      </c>
      <c r="J2166" s="0" t="s">
        <v>3653</v>
      </c>
      <c r="K2166" s="0" t="s">
        <v>144</v>
      </c>
      <c r="L2166" s="0"/>
      <c r="M2166" s="0" t="s">
        <v>9513</v>
      </c>
      <c r="N2166" s="0" t="str">
        <f aca="false">RIGHT(M2166,LEN(M2166)-FIND(" ",M2166))</f>
        <v>PEACE AVE NW</v>
      </c>
      <c r="P2166" s="0" t="s">
        <v>146</v>
      </c>
      <c r="Q2166" s="0" t="s">
        <v>147</v>
      </c>
      <c r="R2166" s="0" t="n">
        <v>44483</v>
      </c>
      <c r="AD2166" s="0" t="s">
        <v>148</v>
      </c>
      <c r="AE2166" s="0" t="s">
        <v>149</v>
      </c>
      <c r="AF2166" s="0" t="s">
        <v>150</v>
      </c>
      <c r="AH2166" s="0" t="n">
        <v>14</v>
      </c>
      <c r="AI2166" s="0" t="n">
        <v>11</v>
      </c>
      <c r="AN2166" s="0" t="s">
        <v>146</v>
      </c>
      <c r="AO2166" s="0" t="s">
        <v>250</v>
      </c>
      <c r="AP2166" s="0" t="s">
        <v>251</v>
      </c>
      <c r="AQ2166" s="0" t="n">
        <v>9</v>
      </c>
      <c r="AR2166" s="0" t="n">
        <v>64</v>
      </c>
      <c r="AS2166" s="0" t="n">
        <v>32</v>
      </c>
      <c r="AU2166" s="0" t="n">
        <f aca="false">COUNTA($BA$2663:$EH$2663)</f>
        <v>23</v>
      </c>
      <c r="AV2166" s="0" t="n">
        <f aca="false">COUNTIF($BA$2663:$EH$2663,"D")</f>
        <v>0</v>
      </c>
      <c r="AW2166" s="0" t="n">
        <f aca="false">COUNTIF($BA$2663:$EH$2663,"R")</f>
        <v>3</v>
      </c>
      <c r="AX2166" s="0" t="n">
        <f aca="false"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>0</v>
      </c>
      <c r="AY2166" s="0" t="n">
        <f aca="false">COUNTIF(DU2166:EH2166, "&lt;&gt;")</f>
        <v>0</v>
      </c>
      <c r="AZ2166" s="0" t="n">
        <f aca="false">IF(EH2166&lt;&gt;"",1,0)</f>
        <v>0</v>
      </c>
      <c r="BB2166" s="0" t="s">
        <v>153</v>
      </c>
    </row>
    <row r="2167" customFormat="false" ht="13.8" hidden="false" customHeight="false" outlineLevel="0" collapsed="false">
      <c r="A2167" s="0" t="s">
        <v>9514</v>
      </c>
      <c r="B2167" s="0" t="n">
        <v>78</v>
      </c>
      <c r="C2167" s="0" t="n">
        <v>252779</v>
      </c>
      <c r="D2167" s="0" t="s">
        <v>9515</v>
      </c>
      <c r="E2167" s="0" t="s">
        <v>2213</v>
      </c>
      <c r="F2167" s="0" t="str">
        <f aca="false">CONCATENATE(D2167," ",LEFT(H2167,4),"T=",AU2167,"D=",AV2167,"R=",AW2167,"M=",AX2167,"L=",AY2167,"B=",AZ2167)</f>
        <v>MCKINZIE T=41D=13R=1M=4L=6B=1</v>
      </c>
      <c r="I2167" s="0" t="s">
        <v>9516</v>
      </c>
      <c r="J2167" s="0" t="s">
        <v>4400</v>
      </c>
      <c r="K2167" s="0" t="s">
        <v>175</v>
      </c>
      <c r="L2167" s="1" t="s">
        <v>155</v>
      </c>
      <c r="M2167" s="0" t="s">
        <v>9513</v>
      </c>
      <c r="N2167" s="0" t="str">
        <f aca="false">RIGHT(M2167,LEN(M2167)-FIND(" ",M2167))</f>
        <v>PEACE AVE NW</v>
      </c>
      <c r="P2167" s="0" t="s">
        <v>146</v>
      </c>
      <c r="Q2167" s="0" t="s">
        <v>147</v>
      </c>
      <c r="R2167" s="0" t="n">
        <v>44483</v>
      </c>
      <c r="AD2167" s="0" t="s">
        <v>148</v>
      </c>
      <c r="AE2167" s="0" t="s">
        <v>149</v>
      </c>
      <c r="AF2167" s="0" t="s">
        <v>150</v>
      </c>
      <c r="AH2167" s="0" t="n">
        <v>14</v>
      </c>
      <c r="AI2167" s="0" t="n">
        <v>11</v>
      </c>
      <c r="AN2167" s="0" t="s">
        <v>146</v>
      </c>
      <c r="AO2167" s="0" t="s">
        <v>250</v>
      </c>
      <c r="AP2167" s="0" t="s">
        <v>251</v>
      </c>
      <c r="AQ2167" s="0" t="n">
        <v>9</v>
      </c>
      <c r="AR2167" s="0" t="n">
        <v>64</v>
      </c>
      <c r="AS2167" s="0" t="n">
        <v>32</v>
      </c>
      <c r="AU2167" s="0" t="n">
        <f aca="false">COUNTA($BA$2790:$EH$2790)</f>
        <v>41</v>
      </c>
      <c r="AV2167" s="0" t="n">
        <f aca="false">COUNTIF($BA$2790:$EH$2790,"D")</f>
        <v>13</v>
      </c>
      <c r="AW2167" s="0" t="n">
        <f aca="false">COUNTIF($BA$2790:$EH$2790,"R")</f>
        <v>1</v>
      </c>
      <c r="AX2167" s="0" t="n">
        <f aca="false"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>4</v>
      </c>
      <c r="AY2167" s="0" t="n">
        <f aca="false">COUNTIF(DU2167:EH2167, "&lt;&gt;")</f>
        <v>6</v>
      </c>
      <c r="AZ2167" s="0" t="n">
        <f aca="false">IF(EH2167&lt;&gt;"",1,0)</f>
        <v>1</v>
      </c>
      <c r="BB2167" s="0" t="s">
        <v>153</v>
      </c>
      <c r="BC2167" s="0" t="s">
        <v>154</v>
      </c>
      <c r="BD2167" s="0" t="s">
        <v>154</v>
      </c>
      <c r="BG2167" s="0" t="s">
        <v>154</v>
      </c>
      <c r="BH2167" s="0" t="s">
        <v>154</v>
      </c>
      <c r="BI2167" s="0" t="s">
        <v>154</v>
      </c>
      <c r="BJ2167" s="0" t="s">
        <v>154</v>
      </c>
      <c r="BK2167" s="0" t="s">
        <v>154</v>
      </c>
      <c r="BL2167" s="0" t="s">
        <v>154</v>
      </c>
      <c r="BP2167" s="0" t="s">
        <v>154</v>
      </c>
      <c r="BR2167" s="0" t="s">
        <v>154</v>
      </c>
      <c r="BS2167" s="0" t="s">
        <v>154</v>
      </c>
      <c r="BY2167" s="0" t="s">
        <v>155</v>
      </c>
      <c r="CA2167" s="0" t="s">
        <v>154</v>
      </c>
      <c r="CG2167" s="0" t="s">
        <v>154</v>
      </c>
      <c r="CH2167" s="0" t="s">
        <v>155</v>
      </c>
      <c r="CK2167" s="0" t="s">
        <v>154</v>
      </c>
      <c r="CL2167" s="0" t="s">
        <v>155</v>
      </c>
      <c r="CN2167" s="0" t="s">
        <v>154</v>
      </c>
      <c r="CO2167" s="0" t="s">
        <v>155</v>
      </c>
      <c r="CP2167" s="0" t="s">
        <v>154</v>
      </c>
      <c r="CT2167" s="0" t="s">
        <v>154</v>
      </c>
      <c r="CU2167" s="0" t="s">
        <v>155</v>
      </c>
      <c r="CV2167" s="0" t="s">
        <v>154</v>
      </c>
      <c r="CY2167" s="0" t="s">
        <v>154</v>
      </c>
      <c r="CZ2167" s="0" t="s">
        <v>155</v>
      </c>
      <c r="DC2167" s="0" t="s">
        <v>154</v>
      </c>
      <c r="DI2167" s="0" t="s">
        <v>154</v>
      </c>
      <c r="DJ2167" s="0" t="s">
        <v>155</v>
      </c>
      <c r="DL2167" s="0" t="s">
        <v>154</v>
      </c>
      <c r="DM2167" s="0" t="s">
        <v>155</v>
      </c>
      <c r="DN2167" s="0" t="s">
        <v>154</v>
      </c>
      <c r="DR2167" s="0" t="s">
        <v>154</v>
      </c>
      <c r="DS2167" s="0" t="s">
        <v>155</v>
      </c>
      <c r="DT2167" s="0" t="s">
        <v>155</v>
      </c>
      <c r="DU2167" s="0" t="s">
        <v>154</v>
      </c>
      <c r="DW2167" s="0" t="s">
        <v>155</v>
      </c>
      <c r="DX2167" s="0" t="s">
        <v>154</v>
      </c>
      <c r="EA2167" s="0" t="s">
        <v>154</v>
      </c>
      <c r="EF2167" s="0" t="s">
        <v>154</v>
      </c>
      <c r="EH2167" s="0" t="s">
        <v>155</v>
      </c>
    </row>
    <row r="2168" customFormat="false" ht="13.8" hidden="true" customHeight="false" outlineLevel="0" collapsed="false">
      <c r="A2168" s="0" t="s">
        <v>9517</v>
      </c>
      <c r="B2168" s="0" t="n">
        <v>78</v>
      </c>
      <c r="C2168" s="0" t="n">
        <v>481132</v>
      </c>
      <c r="D2168" s="0" t="s">
        <v>9518</v>
      </c>
      <c r="E2168" s="0" t="s">
        <v>9519</v>
      </c>
      <c r="F2168" s="0" t="str">
        <f aca="false">CONCATENATE(D2168," ",LEFT(H2168,4),"T=",AU2168,"D=",AV2168,"R=",AW2168,"M=",AX2168,"L=",AY2168,"B=",AZ2168)</f>
        <v>DUMAS T=5D=0R=1M=0L=0B=0</v>
      </c>
      <c r="G2168" s="0" t="s">
        <v>188</v>
      </c>
      <c r="I2168" s="0" t="s">
        <v>2870</v>
      </c>
      <c r="J2168" s="0" t="s">
        <v>9520</v>
      </c>
      <c r="K2168" s="0" t="s">
        <v>144</v>
      </c>
      <c r="L2168" s="0"/>
      <c r="M2168" s="0" t="s">
        <v>9521</v>
      </c>
      <c r="N2168" s="0" t="str">
        <f aca="false">RIGHT(M2168,LEN(M2168)-FIND(" ",M2168))</f>
        <v>PEACE AVE NW</v>
      </c>
      <c r="P2168" s="0" t="s">
        <v>146</v>
      </c>
      <c r="Q2168" s="0" t="s">
        <v>147</v>
      </c>
      <c r="R2168" s="0" t="n">
        <v>44483</v>
      </c>
      <c r="AD2168" s="0" t="s">
        <v>148</v>
      </c>
      <c r="AE2168" s="0" t="s">
        <v>149</v>
      </c>
      <c r="AF2168" s="0" t="s">
        <v>150</v>
      </c>
      <c r="AH2168" s="0" t="n">
        <v>14</v>
      </c>
      <c r="AI2168" s="0" t="n">
        <v>11</v>
      </c>
      <c r="AN2168" s="0" t="s">
        <v>146</v>
      </c>
      <c r="AO2168" s="0" t="s">
        <v>250</v>
      </c>
      <c r="AP2168" s="0" t="s">
        <v>251</v>
      </c>
      <c r="AQ2168" s="0" t="n">
        <v>9</v>
      </c>
      <c r="AR2168" s="0" t="n">
        <v>64</v>
      </c>
      <c r="AS2168" s="0" t="n">
        <v>32</v>
      </c>
      <c r="AU2168" s="0" t="n">
        <f aca="false">COUNTA($BA$2737:$EH$2737)</f>
        <v>5</v>
      </c>
      <c r="AV2168" s="0" t="n">
        <f aca="false">COUNTIF($BA$2737:$EH$2737,"D")</f>
        <v>0</v>
      </c>
      <c r="AW2168" s="0" t="n">
        <f aca="false">COUNTIF($BA$2737:$EH$2737,"R")</f>
        <v>1</v>
      </c>
      <c r="AX2168" s="0" t="n">
        <f aca="false"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>0</v>
      </c>
      <c r="AY2168" s="0" t="n">
        <f aca="false">COUNTIF(DU2168:EH2168, "&lt;&gt;")</f>
        <v>0</v>
      </c>
      <c r="AZ2168" s="0" t="n">
        <f aca="false">IF(EH2168&lt;&gt;"",1,0)</f>
        <v>0</v>
      </c>
      <c r="BB2168" s="0" t="s">
        <v>153</v>
      </c>
    </row>
    <row r="2169" customFormat="false" ht="13.8" hidden="true" customHeight="false" outlineLevel="0" collapsed="false">
      <c r="A2169" s="0" t="s">
        <v>9522</v>
      </c>
      <c r="B2169" s="0" t="n">
        <v>78</v>
      </c>
      <c r="C2169" s="0" t="n">
        <v>495403</v>
      </c>
      <c r="D2169" s="0" t="s">
        <v>2695</v>
      </c>
      <c r="E2169" s="0" t="s">
        <v>9523</v>
      </c>
      <c r="F2169" s="0" t="str">
        <f aca="false">CONCATENATE(D2169," ",LEFT(H2169,4),"T=",AU2169,"D=",AV2169,"R=",AW2169,"M=",AX2169,"L=",AY2169,"B=",AZ2169)</f>
        <v>HARRIS T=22D=6R=0M=0L=0B=0</v>
      </c>
      <c r="G2169" s="0" t="s">
        <v>181</v>
      </c>
      <c r="I2169" s="0" t="s">
        <v>9524</v>
      </c>
      <c r="J2169" s="0" t="s">
        <v>9525</v>
      </c>
      <c r="K2169" s="0" t="s">
        <v>175</v>
      </c>
      <c r="L2169" s="0"/>
      <c r="M2169" s="0" t="s">
        <v>9526</v>
      </c>
      <c r="N2169" s="0" t="str">
        <f aca="false">RIGHT(M2169,LEN(M2169)-FIND(" ",M2169))</f>
        <v>PEACE AVE NW</v>
      </c>
      <c r="P2169" s="0" t="s">
        <v>146</v>
      </c>
      <c r="Q2169" s="0" t="s">
        <v>147</v>
      </c>
      <c r="R2169" s="0" t="n">
        <v>44483</v>
      </c>
      <c r="AD2169" s="0" t="s">
        <v>148</v>
      </c>
      <c r="AE2169" s="0" t="s">
        <v>149</v>
      </c>
      <c r="AF2169" s="0" t="s">
        <v>150</v>
      </c>
      <c r="AH2169" s="0" t="n">
        <v>14</v>
      </c>
      <c r="AI2169" s="0" t="n">
        <v>11</v>
      </c>
      <c r="AN2169" s="0" t="s">
        <v>146</v>
      </c>
      <c r="AO2169" s="0" t="s">
        <v>250</v>
      </c>
      <c r="AP2169" s="0" t="s">
        <v>251</v>
      </c>
      <c r="AQ2169" s="0" t="n">
        <v>9</v>
      </c>
      <c r="AR2169" s="0" t="n">
        <v>64</v>
      </c>
      <c r="AS2169" s="0" t="n">
        <v>32</v>
      </c>
      <c r="AU2169" s="0" t="n">
        <f aca="false">COUNTA($BA$2758:$EH$2758)</f>
        <v>22</v>
      </c>
      <c r="AV2169" s="0" t="n">
        <f aca="false">COUNTIF($BA$2758:$EH$2758,"D")</f>
        <v>6</v>
      </c>
      <c r="AW2169" s="0" t="n">
        <f aca="false">COUNTIF($BA$2758:$EH$2758,"R")</f>
        <v>0</v>
      </c>
      <c r="AX2169" s="0" t="n">
        <f aca="false"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>0</v>
      </c>
      <c r="AY2169" s="0" t="n">
        <f aca="false">COUNTIF(DU2169:EH2169, "&lt;&gt;")</f>
        <v>0</v>
      </c>
      <c r="AZ2169" s="0" t="n">
        <f aca="false">IF(EH2169&lt;&gt;"",1,0)</f>
        <v>0</v>
      </c>
      <c r="BB2169" s="0" t="s">
        <v>153</v>
      </c>
    </row>
    <row r="2170" customFormat="false" ht="13.8" hidden="true" customHeight="false" outlineLevel="0" collapsed="false">
      <c r="A2170" s="0" t="s">
        <v>9527</v>
      </c>
      <c r="B2170" s="0" t="n">
        <v>78</v>
      </c>
      <c r="C2170" s="0" t="n">
        <v>369899</v>
      </c>
      <c r="D2170" s="0" t="s">
        <v>4128</v>
      </c>
      <c r="E2170" s="0" t="s">
        <v>9528</v>
      </c>
      <c r="F2170" s="0" t="str">
        <f aca="false">CONCATENATE(D2170," ",LEFT(H2170,4),"T=",AU2170,"D=",AV2170,"R=",AW2170,"M=",AX2170,"L=",AY2170,"B=",AZ2170)</f>
        <v>CARTER T=2D=0R=0M=0L=0B=0</v>
      </c>
      <c r="G2170" s="0" t="s">
        <v>365</v>
      </c>
      <c r="I2170" s="0" t="s">
        <v>9529</v>
      </c>
      <c r="J2170" s="0" t="s">
        <v>9530</v>
      </c>
      <c r="K2170" s="0" t="s">
        <v>144</v>
      </c>
      <c r="L2170" s="0"/>
      <c r="M2170" s="0" t="s">
        <v>9531</v>
      </c>
      <c r="N2170" s="0" t="str">
        <f aca="false">RIGHT(M2170,LEN(M2170)-FIND(" ",M2170))</f>
        <v>PEACE AVE NW</v>
      </c>
      <c r="P2170" s="0" t="s">
        <v>146</v>
      </c>
      <c r="Q2170" s="0" t="s">
        <v>147</v>
      </c>
      <c r="R2170" s="0" t="n">
        <v>44483</v>
      </c>
      <c r="AD2170" s="0" t="s">
        <v>148</v>
      </c>
      <c r="AE2170" s="0" t="s">
        <v>149</v>
      </c>
      <c r="AF2170" s="0" t="s">
        <v>150</v>
      </c>
      <c r="AH2170" s="0" t="n">
        <v>14</v>
      </c>
      <c r="AI2170" s="0" t="n">
        <v>11</v>
      </c>
      <c r="AN2170" s="0" t="s">
        <v>146</v>
      </c>
      <c r="AO2170" s="0" t="s">
        <v>250</v>
      </c>
      <c r="AP2170" s="0" t="s">
        <v>251</v>
      </c>
      <c r="AQ2170" s="0" t="n">
        <v>9</v>
      </c>
      <c r="AR2170" s="0" t="n">
        <v>64</v>
      </c>
      <c r="AS2170" s="0" t="n">
        <v>32</v>
      </c>
      <c r="AU2170" s="0" t="n">
        <f aca="false">COUNTA($BA$2584:$EH$2584)</f>
        <v>2</v>
      </c>
      <c r="AV2170" s="0" t="n">
        <f aca="false">COUNTIF($BA$2584:$EH$2584,"D")</f>
        <v>0</v>
      </c>
      <c r="AW2170" s="0" t="n">
        <f aca="false">COUNTIF($BA$2584:$EH$2584,"R")</f>
        <v>0</v>
      </c>
      <c r="AX2170" s="0" t="n">
        <f aca="false"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>0</v>
      </c>
      <c r="AY2170" s="0" t="n">
        <f aca="false">COUNTIF(DU2170:EH2170, "&lt;&gt;")</f>
        <v>0</v>
      </c>
      <c r="AZ2170" s="0" t="n">
        <f aca="false">IF(EH2170&lt;&gt;"",1,0)</f>
        <v>0</v>
      </c>
      <c r="BB2170" s="0" t="s">
        <v>153</v>
      </c>
      <c r="BL2170" s="0" t="s">
        <v>154</v>
      </c>
      <c r="BP2170" s="0" t="s">
        <v>154</v>
      </c>
      <c r="CA2170" s="0" t="s">
        <v>154</v>
      </c>
      <c r="CP2170" s="0" t="s">
        <v>154</v>
      </c>
    </row>
    <row r="2171" customFormat="false" ht="13.8" hidden="true" customHeight="false" outlineLevel="0" collapsed="false">
      <c r="A2171" s="0" t="s">
        <v>9532</v>
      </c>
      <c r="B2171" s="0" t="n">
        <v>78</v>
      </c>
      <c r="C2171" s="0" t="n">
        <v>410122</v>
      </c>
      <c r="D2171" s="0" t="s">
        <v>9533</v>
      </c>
      <c r="E2171" s="0" t="s">
        <v>7492</v>
      </c>
      <c r="F2171" s="0" t="str">
        <f aca="false">CONCATENATE(D2171," ",LEFT(H2171,4),"T=",AU2171,"D=",AV2171,"R=",AW2171,"M=",AX2171,"L=",AY2171,"B=",AZ2171)</f>
        <v>DICKERSON T=1D=0R=0M=0L=0B=0</v>
      </c>
      <c r="I2171" s="0" t="s">
        <v>9534</v>
      </c>
      <c r="J2171" s="0" t="s">
        <v>9535</v>
      </c>
      <c r="K2171" s="0" t="s">
        <v>144</v>
      </c>
      <c r="L2171" s="0"/>
      <c r="M2171" s="0" t="s">
        <v>9536</v>
      </c>
      <c r="N2171" s="0" t="str">
        <f aca="false">RIGHT(M2171,LEN(M2171)-FIND(" ",M2171))</f>
        <v>PEACE AVE NW</v>
      </c>
      <c r="P2171" s="0" t="s">
        <v>146</v>
      </c>
      <c r="Q2171" s="0" t="s">
        <v>147</v>
      </c>
      <c r="R2171" s="0" t="n">
        <v>44483</v>
      </c>
      <c r="AD2171" s="0" t="s">
        <v>148</v>
      </c>
      <c r="AE2171" s="0" t="s">
        <v>149</v>
      </c>
      <c r="AF2171" s="0" t="s">
        <v>150</v>
      </c>
      <c r="AH2171" s="0" t="n">
        <v>14</v>
      </c>
      <c r="AI2171" s="0" t="n">
        <v>11</v>
      </c>
      <c r="AN2171" s="0" t="s">
        <v>146</v>
      </c>
      <c r="AO2171" s="0" t="s">
        <v>250</v>
      </c>
      <c r="AP2171" s="0" t="s">
        <v>251</v>
      </c>
      <c r="AQ2171" s="0" t="n">
        <v>9</v>
      </c>
      <c r="AR2171" s="0" t="n">
        <v>64</v>
      </c>
      <c r="AS2171" s="0" t="n">
        <v>32</v>
      </c>
      <c r="AU2171" s="0" t="n">
        <f aca="false">COUNTA($BA$2215:$EH$2215)</f>
        <v>1</v>
      </c>
      <c r="AV2171" s="0" t="n">
        <f aca="false">COUNTIF($BA$2215:$EH$2215,"D")</f>
        <v>0</v>
      </c>
      <c r="AW2171" s="0" t="n">
        <f aca="false">COUNTIF($BA$2215:$EH$2215,"R")</f>
        <v>0</v>
      </c>
      <c r="AX2171" s="0" t="n">
        <f aca="false"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>0</v>
      </c>
      <c r="AY2171" s="0" t="n">
        <f aca="false">COUNTIF(DU2171:EH2171, "&lt;&gt;")</f>
        <v>0</v>
      </c>
      <c r="AZ2171" s="0" t="n">
        <f aca="false">IF(EH2171&lt;&gt;"",1,0)</f>
        <v>0</v>
      </c>
      <c r="BB2171" s="0" t="s">
        <v>153</v>
      </c>
    </row>
    <row r="2172" customFormat="false" ht="13.8" hidden="true" customHeight="false" outlineLevel="0" collapsed="false">
      <c r="A2172" s="0" t="s">
        <v>9537</v>
      </c>
      <c r="B2172" s="0" t="n">
        <v>78</v>
      </c>
      <c r="C2172" s="0" t="n">
        <v>488652</v>
      </c>
      <c r="D2172" s="0" t="s">
        <v>53</v>
      </c>
      <c r="E2172" s="0" t="s">
        <v>9167</v>
      </c>
      <c r="F2172" s="0" t="str">
        <f aca="false">CONCATENATE(D2172," ",LEFT(H2172,4),"T=",AU2172,"D=",AV2172,"R=",AW2172,"M=",AX2172,"L=",AY2172,"B=",AZ2172)</f>
        <v>WARD T=1D=0R=0M=0L=0B=0</v>
      </c>
      <c r="G2172" s="0" t="s">
        <v>9538</v>
      </c>
      <c r="I2172" s="0" t="s">
        <v>9539</v>
      </c>
      <c r="J2172" s="0" t="s">
        <v>2917</v>
      </c>
      <c r="K2172" s="0" t="s">
        <v>175</v>
      </c>
      <c r="L2172" s="0"/>
      <c r="M2172" s="0" t="s">
        <v>9536</v>
      </c>
      <c r="N2172" s="0" t="str">
        <f aca="false">RIGHT(M2172,LEN(M2172)-FIND(" ",M2172))</f>
        <v>PEACE AVE NW</v>
      </c>
      <c r="P2172" s="0" t="s">
        <v>146</v>
      </c>
      <c r="Q2172" s="0" t="s">
        <v>147</v>
      </c>
      <c r="R2172" s="0" t="n">
        <v>44483</v>
      </c>
      <c r="AD2172" s="0" t="s">
        <v>148</v>
      </c>
      <c r="AE2172" s="0" t="s">
        <v>149</v>
      </c>
      <c r="AF2172" s="0" t="s">
        <v>150</v>
      </c>
      <c r="AH2172" s="0" t="n">
        <v>14</v>
      </c>
      <c r="AI2172" s="0" t="n">
        <v>11</v>
      </c>
      <c r="AN2172" s="0" t="s">
        <v>146</v>
      </c>
      <c r="AO2172" s="0" t="s">
        <v>250</v>
      </c>
      <c r="AP2172" s="0" t="s">
        <v>251</v>
      </c>
      <c r="AQ2172" s="0" t="n">
        <v>9</v>
      </c>
      <c r="AR2172" s="0" t="n">
        <v>64</v>
      </c>
      <c r="AS2172" s="0" t="n">
        <v>32</v>
      </c>
      <c r="AU2172" s="0" t="n">
        <f aca="false">COUNTA($BA$2576:$EH$2576)</f>
        <v>1</v>
      </c>
      <c r="AV2172" s="0" t="n">
        <f aca="false">COUNTIF($BA$2576:$EH$2576,"D")</f>
        <v>0</v>
      </c>
      <c r="AW2172" s="0" t="n">
        <f aca="false">COUNTIF($BA$2576:$EH$2576,"R")</f>
        <v>0</v>
      </c>
      <c r="AX2172" s="0" t="n">
        <f aca="false"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>0</v>
      </c>
      <c r="AY2172" s="0" t="n">
        <f aca="false">COUNTIF(DU2172:EH2172, "&lt;&gt;")</f>
        <v>0</v>
      </c>
      <c r="AZ2172" s="0" t="n">
        <f aca="false">IF(EH2172&lt;&gt;"",1,0)</f>
        <v>0</v>
      </c>
      <c r="BB2172" s="0" t="s">
        <v>153</v>
      </c>
    </row>
    <row r="2173" customFormat="false" ht="13.8" hidden="true" customHeight="false" outlineLevel="0" collapsed="false">
      <c r="A2173" s="0" t="s">
        <v>9540</v>
      </c>
      <c r="B2173" s="0" t="n">
        <v>78</v>
      </c>
      <c r="C2173" s="0" t="n">
        <v>474069</v>
      </c>
      <c r="D2173" s="0" t="s">
        <v>9541</v>
      </c>
      <c r="E2173" s="0" t="s">
        <v>9542</v>
      </c>
      <c r="F2173" s="0" t="str">
        <f aca="false">CONCATENATE(D2173," ",LEFT(H2173,4),"T=",AU2173,"D=",AV2173,"R=",AW2173,"M=",AX2173,"L=",AY2173,"B=",AZ2173)</f>
        <v>SCHOTSCH T=51D=19R=0M=0L=0B=0</v>
      </c>
      <c r="G2173" s="0" t="s">
        <v>155</v>
      </c>
      <c r="I2173" s="0" t="s">
        <v>9543</v>
      </c>
      <c r="J2173" s="0" t="s">
        <v>5904</v>
      </c>
      <c r="K2173" s="0" t="s">
        <v>175</v>
      </c>
      <c r="L2173" s="0"/>
      <c r="M2173" s="0" t="s">
        <v>9544</v>
      </c>
      <c r="N2173" s="0" t="str">
        <f aca="false">RIGHT(M2173,LEN(M2173)-FIND(" ",M2173))</f>
        <v>PEACE AVE NW</v>
      </c>
      <c r="P2173" s="0" t="s">
        <v>146</v>
      </c>
      <c r="Q2173" s="0" t="s">
        <v>147</v>
      </c>
      <c r="R2173" s="0" t="n">
        <v>44483</v>
      </c>
      <c r="AD2173" s="0" t="s">
        <v>148</v>
      </c>
      <c r="AE2173" s="0" t="s">
        <v>149</v>
      </c>
      <c r="AF2173" s="0" t="s">
        <v>150</v>
      </c>
      <c r="AH2173" s="0" t="n">
        <v>14</v>
      </c>
      <c r="AI2173" s="0" t="n">
        <v>11</v>
      </c>
      <c r="AN2173" s="0" t="s">
        <v>146</v>
      </c>
      <c r="AO2173" s="0" t="s">
        <v>250</v>
      </c>
      <c r="AP2173" s="0" t="s">
        <v>251</v>
      </c>
      <c r="AQ2173" s="0" t="n">
        <v>9</v>
      </c>
      <c r="AR2173" s="0" t="n">
        <v>64</v>
      </c>
      <c r="AS2173" s="0" t="n">
        <v>32</v>
      </c>
      <c r="AU2173" s="0" t="n">
        <f aca="false">COUNTA($BA$2127:$EH$2127)</f>
        <v>51</v>
      </c>
      <c r="AV2173" s="0" t="n">
        <f aca="false">COUNTIF($BA$2127:$EH$2127,"D")</f>
        <v>19</v>
      </c>
      <c r="AW2173" s="0" t="n">
        <f aca="false">COUNTIF($BA$2127:$EH$2127,"R")</f>
        <v>0</v>
      </c>
      <c r="AX2173" s="0" t="n">
        <f aca="false"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>0</v>
      </c>
      <c r="AY2173" s="0" t="n">
        <f aca="false">COUNTIF(DU2173:EH2173, "&lt;&gt;")</f>
        <v>0</v>
      </c>
      <c r="AZ2173" s="0" t="n">
        <f aca="false">IF(EH2173&lt;&gt;"",1,0)</f>
        <v>0</v>
      </c>
      <c r="BB2173" s="0" t="s">
        <v>153</v>
      </c>
      <c r="BL2173" s="0" t="s">
        <v>154</v>
      </c>
      <c r="BY2173" s="0" t="s">
        <v>155</v>
      </c>
    </row>
    <row r="2174" customFormat="false" ht="13.8" hidden="true" customHeight="false" outlineLevel="0" collapsed="false">
      <c r="A2174" s="0" t="s">
        <v>9545</v>
      </c>
      <c r="B2174" s="0" t="n">
        <v>78</v>
      </c>
      <c r="C2174" s="0" t="n">
        <v>361950</v>
      </c>
      <c r="D2174" s="0" t="s">
        <v>9546</v>
      </c>
      <c r="E2174" s="0" t="s">
        <v>9547</v>
      </c>
      <c r="F2174" s="0" t="str">
        <f aca="false">CONCATENATE(D2174," ",LEFT(H2174,4),"T=",AU2174,"D=",AV2174,"R=",AW2174,"M=",AX2174,"L=",AY2174,"B=",AZ2174)</f>
        <v>DUNKLIN T=1D=0R=0M=0L=0B=0</v>
      </c>
      <c r="G2174" s="0" t="s">
        <v>365</v>
      </c>
      <c r="I2174" s="0" t="s">
        <v>9548</v>
      </c>
      <c r="J2174" s="0" t="s">
        <v>342</v>
      </c>
      <c r="K2174" s="0" t="s">
        <v>144</v>
      </c>
      <c r="L2174" s="0"/>
      <c r="M2174" s="0" t="s">
        <v>9544</v>
      </c>
      <c r="N2174" s="0" t="str">
        <f aca="false">RIGHT(M2174,LEN(M2174)-FIND(" ",M2174))</f>
        <v>PEACE AVE NW</v>
      </c>
      <c r="P2174" s="0" t="s">
        <v>146</v>
      </c>
      <c r="Q2174" s="0" t="s">
        <v>147</v>
      </c>
      <c r="R2174" s="0" t="n">
        <v>44483</v>
      </c>
      <c r="AD2174" s="0" t="s">
        <v>148</v>
      </c>
      <c r="AE2174" s="0" t="s">
        <v>149</v>
      </c>
      <c r="AF2174" s="0" t="s">
        <v>150</v>
      </c>
      <c r="AH2174" s="0" t="n">
        <v>14</v>
      </c>
      <c r="AI2174" s="0" t="n">
        <v>11</v>
      </c>
      <c r="AN2174" s="0" t="s">
        <v>146</v>
      </c>
      <c r="AO2174" s="0" t="s">
        <v>250</v>
      </c>
      <c r="AP2174" s="0" t="s">
        <v>251</v>
      </c>
      <c r="AQ2174" s="0" t="n">
        <v>9</v>
      </c>
      <c r="AR2174" s="0" t="n">
        <v>64</v>
      </c>
      <c r="AS2174" s="0" t="n">
        <v>32</v>
      </c>
      <c r="AU2174" s="0" t="n">
        <f aca="false">COUNTA($BA$2366:$EH$2366)</f>
        <v>1</v>
      </c>
      <c r="AV2174" s="0" t="n">
        <f aca="false">COUNTIF($BA$2366:$EH$2366,"D")</f>
        <v>0</v>
      </c>
      <c r="AW2174" s="0" t="n">
        <f aca="false">COUNTIF($BA$2366:$EH$2366,"R")</f>
        <v>0</v>
      </c>
      <c r="AX2174" s="0" t="n">
        <f aca="false"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>0</v>
      </c>
      <c r="AY2174" s="0" t="n">
        <f aca="false">COUNTIF(DU2174:EH2174, "&lt;&gt;")</f>
        <v>0</v>
      </c>
      <c r="AZ2174" s="0" t="n">
        <f aca="false">IF(EH2174&lt;&gt;"",1,0)</f>
        <v>0</v>
      </c>
      <c r="BB2174" s="0" t="s">
        <v>153</v>
      </c>
      <c r="CA2174" s="0" t="s">
        <v>154</v>
      </c>
      <c r="DC2174" s="0" t="s">
        <v>154</v>
      </c>
      <c r="DI2174" s="0" t="s">
        <v>154</v>
      </c>
    </row>
    <row r="2175" customFormat="false" ht="13.8" hidden="true" customHeight="false" outlineLevel="0" collapsed="false">
      <c r="A2175" s="0" t="s">
        <v>9549</v>
      </c>
      <c r="B2175" s="0" t="n">
        <v>78</v>
      </c>
      <c r="C2175" s="0" t="n">
        <v>490508</v>
      </c>
      <c r="D2175" s="0" t="s">
        <v>9550</v>
      </c>
      <c r="E2175" s="0" t="s">
        <v>9551</v>
      </c>
      <c r="F2175" s="0" t="str">
        <f aca="false">CONCATENATE(D2175," ",LEFT(H2175,4),"T=",AU2175,"D=",AV2175,"R=",AW2175,"M=",AX2175,"L=",AY2175,"B=",AZ2175)</f>
        <v>SIMER T=8D=2R=1M=0L=0B=0</v>
      </c>
      <c r="G2175" s="0" t="s">
        <v>2181</v>
      </c>
      <c r="I2175" s="0" t="s">
        <v>9552</v>
      </c>
      <c r="J2175" s="0" t="s">
        <v>6983</v>
      </c>
      <c r="K2175" s="0" t="s">
        <v>175</v>
      </c>
      <c r="L2175" s="0"/>
      <c r="M2175" s="0" t="s">
        <v>9544</v>
      </c>
      <c r="N2175" s="0" t="str">
        <f aca="false">RIGHT(M2175,LEN(M2175)-FIND(" ",M2175))</f>
        <v>PEACE AVE NW</v>
      </c>
      <c r="P2175" s="0" t="s">
        <v>146</v>
      </c>
      <c r="Q2175" s="0" t="s">
        <v>147</v>
      </c>
      <c r="R2175" s="0" t="n">
        <v>44483</v>
      </c>
      <c r="AD2175" s="0" t="s">
        <v>148</v>
      </c>
      <c r="AE2175" s="0" t="s">
        <v>149</v>
      </c>
      <c r="AF2175" s="0" t="s">
        <v>150</v>
      </c>
      <c r="AH2175" s="0" t="n">
        <v>14</v>
      </c>
      <c r="AI2175" s="0" t="n">
        <v>11</v>
      </c>
      <c r="AN2175" s="0" t="s">
        <v>146</v>
      </c>
      <c r="AO2175" s="0" t="s">
        <v>250</v>
      </c>
      <c r="AP2175" s="0" t="s">
        <v>251</v>
      </c>
      <c r="AQ2175" s="0" t="n">
        <v>9</v>
      </c>
      <c r="AR2175" s="0" t="n">
        <v>64</v>
      </c>
      <c r="AS2175" s="0" t="n">
        <v>32</v>
      </c>
      <c r="AU2175" s="0" t="n">
        <f aca="false">COUNTA($BA$2789:$EH$2789)</f>
        <v>8</v>
      </c>
      <c r="AV2175" s="0" t="n">
        <f aca="false">COUNTIF($BA$2789:$EH$2789,"D")</f>
        <v>2</v>
      </c>
      <c r="AW2175" s="0" t="n">
        <f aca="false">COUNTIF($BA$2789:$EH$2789,"R")</f>
        <v>1</v>
      </c>
      <c r="AX2175" s="0" t="n">
        <f aca="false"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>0</v>
      </c>
      <c r="AY2175" s="0" t="n">
        <f aca="false">COUNTIF(DU2175:EH2175, "&lt;&gt;")</f>
        <v>0</v>
      </c>
      <c r="AZ2175" s="0" t="n">
        <f aca="false">IF(EH2175&lt;&gt;"",1,0)</f>
        <v>0</v>
      </c>
      <c r="BB2175" s="0" t="s">
        <v>153</v>
      </c>
    </row>
    <row r="2176" customFormat="false" ht="13.8" hidden="true" customHeight="false" outlineLevel="0" collapsed="false">
      <c r="A2176" s="0" t="s">
        <v>9553</v>
      </c>
      <c r="B2176" s="0" t="n">
        <v>78</v>
      </c>
      <c r="C2176" s="0" t="n">
        <v>402519</v>
      </c>
      <c r="D2176" s="0" t="s">
        <v>3474</v>
      </c>
      <c r="E2176" s="0" t="s">
        <v>4403</v>
      </c>
      <c r="F2176" s="0" t="str">
        <f aca="false">CONCATENATE(D2176," ",LEFT(H2176,4),"T=",AU2176,"D=",AV2176,"R=",AW2176,"M=",AX2176,"L=",AY2176,"B=",AZ2176)</f>
        <v>GUNTHER T=2D=0R=0M=0L=1B=0</v>
      </c>
      <c r="G2176" s="0" t="s">
        <v>297</v>
      </c>
      <c r="I2176" s="0" t="s">
        <v>9554</v>
      </c>
      <c r="J2176" s="0" t="s">
        <v>419</v>
      </c>
      <c r="K2176" s="0" t="s">
        <v>175</v>
      </c>
      <c r="L2176" s="0"/>
      <c r="M2176" s="0" t="s">
        <v>9555</v>
      </c>
      <c r="N2176" s="0" t="str">
        <f aca="false">RIGHT(M2176,LEN(M2176)-FIND(" ",M2176))</f>
        <v>PEACE AVE NW</v>
      </c>
      <c r="P2176" s="0" t="s">
        <v>146</v>
      </c>
      <c r="Q2176" s="0" t="s">
        <v>147</v>
      </c>
      <c r="R2176" s="0" t="n">
        <v>44483</v>
      </c>
      <c r="AD2176" s="0" t="s">
        <v>148</v>
      </c>
      <c r="AE2176" s="0" t="s">
        <v>149</v>
      </c>
      <c r="AF2176" s="0" t="s">
        <v>150</v>
      </c>
      <c r="AH2176" s="0" t="n">
        <v>14</v>
      </c>
      <c r="AI2176" s="0" t="n">
        <v>11</v>
      </c>
      <c r="AN2176" s="0" t="s">
        <v>146</v>
      </c>
      <c r="AO2176" s="0" t="s">
        <v>250</v>
      </c>
      <c r="AP2176" s="0" t="s">
        <v>251</v>
      </c>
      <c r="AQ2176" s="0" t="n">
        <v>9</v>
      </c>
      <c r="AR2176" s="0" t="n">
        <v>64</v>
      </c>
      <c r="AS2176" s="0" t="n">
        <v>32</v>
      </c>
      <c r="AU2176" s="0" t="n">
        <f aca="false">COUNTA($BA$2431:$EH$2431)</f>
        <v>2</v>
      </c>
      <c r="AV2176" s="0" t="n">
        <f aca="false">COUNTIF($BA$2431:$EH$2431,"D")</f>
        <v>0</v>
      </c>
      <c r="AW2176" s="0" t="n">
        <f aca="false">COUNTIF($BA$2431:$EH$2431,"R")</f>
        <v>0</v>
      </c>
      <c r="AX2176" s="0" t="n">
        <f aca="false"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>0</v>
      </c>
      <c r="AY2176" s="0" t="n">
        <f aca="false">COUNTIF(DU2176:EH2176, "&lt;&gt;")</f>
        <v>1</v>
      </c>
      <c r="AZ2176" s="0" t="n">
        <f aca="false">IF(EH2176&lt;&gt;"",1,0)</f>
        <v>0</v>
      </c>
      <c r="BB2176" s="0" t="s">
        <v>153</v>
      </c>
      <c r="EF2176" s="0" t="s">
        <v>154</v>
      </c>
    </row>
    <row r="2177" customFormat="false" ht="13.8" hidden="true" customHeight="false" outlineLevel="0" collapsed="false">
      <c r="A2177" s="0" t="s">
        <v>9556</v>
      </c>
      <c r="B2177" s="0" t="n">
        <v>78</v>
      </c>
      <c r="C2177" s="0" t="n">
        <v>378924</v>
      </c>
      <c r="D2177" s="0" t="s">
        <v>7025</v>
      </c>
      <c r="E2177" s="0" t="s">
        <v>430</v>
      </c>
      <c r="F2177" s="0" t="str">
        <f aca="false">CONCATENATE(D2177," ",LEFT(H2177,4),"T=",AU2177,"D=",AV2177,"R=",AW2177,"M=",AX2177,"L=",AY2177,"B=",AZ2177)</f>
        <v>TURNER IIT=46D=10R=4M=0L=0B=0</v>
      </c>
      <c r="G2177" s="0" t="s">
        <v>172</v>
      </c>
      <c r="H2177" s="0" t="s">
        <v>598</v>
      </c>
      <c r="I2177" s="0" t="s">
        <v>9557</v>
      </c>
      <c r="J2177" s="0" t="s">
        <v>9558</v>
      </c>
      <c r="K2177" s="0" t="s">
        <v>144</v>
      </c>
      <c r="L2177" s="0"/>
      <c r="M2177" s="0" t="s">
        <v>9559</v>
      </c>
      <c r="N2177" s="0" t="str">
        <f aca="false">RIGHT(M2177,LEN(M2177)-FIND(" ",M2177))</f>
        <v>PEACE AVE NW</v>
      </c>
      <c r="P2177" s="0" t="s">
        <v>146</v>
      </c>
      <c r="Q2177" s="0" t="s">
        <v>147</v>
      </c>
      <c r="R2177" s="0" t="n">
        <v>44483</v>
      </c>
      <c r="AD2177" s="0" t="s">
        <v>148</v>
      </c>
      <c r="AE2177" s="0" t="s">
        <v>149</v>
      </c>
      <c r="AF2177" s="0" t="s">
        <v>150</v>
      </c>
      <c r="AH2177" s="0" t="n">
        <v>14</v>
      </c>
      <c r="AI2177" s="0" t="n">
        <v>11</v>
      </c>
      <c r="AN2177" s="0" t="s">
        <v>146</v>
      </c>
      <c r="AO2177" s="0" t="s">
        <v>250</v>
      </c>
      <c r="AP2177" s="0" t="s">
        <v>251</v>
      </c>
      <c r="AQ2177" s="0" t="n">
        <v>9</v>
      </c>
      <c r="AR2177" s="0" t="n">
        <v>64</v>
      </c>
      <c r="AS2177" s="0" t="n">
        <v>32</v>
      </c>
      <c r="AU2177" s="0" t="n">
        <f aca="false">COUNTA($BA$2355:$EH$2355)</f>
        <v>46</v>
      </c>
      <c r="AV2177" s="0" t="n">
        <f aca="false">COUNTIF($BA$2355:$EH$2355,"D")</f>
        <v>10</v>
      </c>
      <c r="AW2177" s="0" t="n">
        <f aca="false">COUNTIF($BA$2355:$EH$2355,"R")</f>
        <v>4</v>
      </c>
      <c r="AX2177" s="0" t="n">
        <f aca="false"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>0</v>
      </c>
      <c r="AY2177" s="0" t="n">
        <f aca="false">COUNTIF(DU2177:EH2177, "&lt;&gt;")</f>
        <v>0</v>
      </c>
      <c r="AZ2177" s="0" t="n">
        <f aca="false">IF(EH2177&lt;&gt;"",1,0)</f>
        <v>0</v>
      </c>
      <c r="BB2177" s="0" t="s">
        <v>153</v>
      </c>
      <c r="CP2177" s="0" t="s">
        <v>154</v>
      </c>
      <c r="CY2177" s="0" t="s">
        <v>154</v>
      </c>
    </row>
    <row r="2178" customFormat="false" ht="13.8" hidden="true" customHeight="false" outlineLevel="0" collapsed="false">
      <c r="A2178" s="0" t="s">
        <v>9560</v>
      </c>
      <c r="B2178" s="0" t="n">
        <v>78</v>
      </c>
      <c r="C2178" s="0" t="n">
        <v>437673</v>
      </c>
      <c r="D2178" s="0" t="s">
        <v>1173</v>
      </c>
      <c r="E2178" s="0" t="s">
        <v>9561</v>
      </c>
      <c r="F2178" s="0" t="str">
        <f aca="false">CONCATENATE(D2178," ",LEFT(H2178,4),"T=",AU2178,"D=",AV2178,"R=",AW2178,"M=",AX2178,"L=",AY2178,"B=",AZ2178)</f>
        <v>JACKSON T=9D=3R=0M=0L=0B=0</v>
      </c>
      <c r="G2178" s="0" t="s">
        <v>365</v>
      </c>
      <c r="I2178" s="0" t="s">
        <v>9562</v>
      </c>
      <c r="J2178" s="0" t="s">
        <v>9563</v>
      </c>
      <c r="K2178" s="0" t="s">
        <v>144</v>
      </c>
      <c r="L2178" s="0"/>
      <c r="M2178" s="0" t="s">
        <v>9559</v>
      </c>
      <c r="N2178" s="0" t="str">
        <f aca="false">RIGHT(M2178,LEN(M2178)-FIND(" ",M2178))</f>
        <v>PEACE AVE NW</v>
      </c>
      <c r="P2178" s="0" t="s">
        <v>146</v>
      </c>
      <c r="Q2178" s="0" t="s">
        <v>147</v>
      </c>
      <c r="R2178" s="0" t="n">
        <v>44483</v>
      </c>
      <c r="AD2178" s="0" t="s">
        <v>148</v>
      </c>
      <c r="AE2178" s="0" t="s">
        <v>149</v>
      </c>
      <c r="AF2178" s="0" t="s">
        <v>150</v>
      </c>
      <c r="AH2178" s="0" t="n">
        <v>14</v>
      </c>
      <c r="AI2178" s="0" t="n">
        <v>11</v>
      </c>
      <c r="AN2178" s="0" t="s">
        <v>146</v>
      </c>
      <c r="AO2178" s="0" t="s">
        <v>250</v>
      </c>
      <c r="AP2178" s="0" t="s">
        <v>251</v>
      </c>
      <c r="AQ2178" s="0" t="n">
        <v>9</v>
      </c>
      <c r="AR2178" s="0" t="n">
        <v>64</v>
      </c>
      <c r="AS2178" s="0" t="n">
        <v>32</v>
      </c>
      <c r="AU2178" s="0" t="n">
        <f aca="false">COUNTA($BA$2371:$EH$2371)</f>
        <v>9</v>
      </c>
      <c r="AV2178" s="0" t="n">
        <f aca="false">COUNTIF($BA$2371:$EH$2371,"D")</f>
        <v>3</v>
      </c>
      <c r="AW2178" s="0" t="n">
        <f aca="false">COUNTIF($BA$2371:$EH$2371,"R")</f>
        <v>0</v>
      </c>
      <c r="AX2178" s="0" t="n">
        <f aca="false"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>0</v>
      </c>
      <c r="AY2178" s="0" t="n">
        <f aca="false">COUNTIF(DU2178:EH2178, "&lt;&gt;")</f>
        <v>0</v>
      </c>
      <c r="AZ2178" s="0" t="n">
        <f aca="false">IF(EH2178&lt;&gt;"",1,0)</f>
        <v>0</v>
      </c>
      <c r="BB2178" s="0" t="s">
        <v>153</v>
      </c>
    </row>
    <row r="2179" customFormat="false" ht="13.8" hidden="true" customHeight="false" outlineLevel="0" collapsed="false">
      <c r="A2179" s="0" t="s">
        <v>9564</v>
      </c>
      <c r="B2179" s="0" t="n">
        <v>78</v>
      </c>
      <c r="C2179" s="0" t="n">
        <v>309372</v>
      </c>
      <c r="D2179" s="0" t="s">
        <v>9565</v>
      </c>
      <c r="E2179" s="0" t="s">
        <v>1840</v>
      </c>
      <c r="F2179" s="0" t="str">
        <f aca="false">CONCATENATE(D2179," ",LEFT(H2179,4),"T=",AU2179,"D=",AV2179,"R=",AW2179,"M=",AX2179,"L=",AY2179,"B=",AZ2179)</f>
        <v>GIBSON T=31D=10R=0M=0L=0B=0</v>
      </c>
      <c r="G2179" s="0" t="s">
        <v>241</v>
      </c>
      <c r="I2179" s="0" t="s">
        <v>4742</v>
      </c>
      <c r="J2179" s="0" t="s">
        <v>6363</v>
      </c>
      <c r="K2179" s="0" t="s">
        <v>175</v>
      </c>
      <c r="L2179" s="0"/>
      <c r="M2179" s="0" t="s">
        <v>9566</v>
      </c>
      <c r="N2179" s="0" t="str">
        <f aca="false">RIGHT(M2179,LEN(M2179)-FIND(" ",M2179))</f>
        <v>PEACE AVE NW</v>
      </c>
      <c r="P2179" s="0" t="s">
        <v>146</v>
      </c>
      <c r="Q2179" s="0" t="s">
        <v>147</v>
      </c>
      <c r="R2179" s="0" t="n">
        <v>44483</v>
      </c>
      <c r="AD2179" s="0" t="s">
        <v>148</v>
      </c>
      <c r="AE2179" s="0" t="s">
        <v>149</v>
      </c>
      <c r="AF2179" s="0" t="s">
        <v>150</v>
      </c>
      <c r="AH2179" s="0" t="n">
        <v>14</v>
      </c>
      <c r="AI2179" s="0" t="n">
        <v>11</v>
      </c>
      <c r="AN2179" s="0" t="s">
        <v>146</v>
      </c>
      <c r="AO2179" s="0" t="s">
        <v>250</v>
      </c>
      <c r="AP2179" s="0" t="s">
        <v>251</v>
      </c>
      <c r="AQ2179" s="0" t="n">
        <v>9</v>
      </c>
      <c r="AR2179" s="0" t="n">
        <v>64</v>
      </c>
      <c r="AS2179" s="0" t="n">
        <v>32</v>
      </c>
      <c r="AU2179" s="0" t="n">
        <f aca="false">COUNTA($BA$2471:$EH$2471)</f>
        <v>31</v>
      </c>
      <c r="AV2179" s="0" t="n">
        <f aca="false">COUNTIF($BA$2471:$EH$2471,"D")</f>
        <v>10</v>
      </c>
      <c r="AW2179" s="0" t="n">
        <f aca="false">COUNTIF($BA$2471:$EH$2471,"R")</f>
        <v>0</v>
      </c>
      <c r="AX2179" s="0" t="n">
        <f aca="false"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>0</v>
      </c>
      <c r="AY2179" s="0" t="n">
        <f aca="false">COUNTIF(DU2179:EH2179, "&lt;&gt;")</f>
        <v>0</v>
      </c>
      <c r="AZ2179" s="0" t="n">
        <f aca="false">IF(EH2179&lt;&gt;"",1,0)</f>
        <v>0</v>
      </c>
      <c r="BB2179" s="0" t="s">
        <v>153</v>
      </c>
      <c r="CG2179" s="0" t="s">
        <v>154</v>
      </c>
      <c r="CP2179" s="0" t="s">
        <v>154</v>
      </c>
      <c r="CV2179" s="0" t="s">
        <v>154</v>
      </c>
      <c r="DC2179" s="0" t="s">
        <v>154</v>
      </c>
    </row>
    <row r="2180" customFormat="false" ht="13.8" hidden="false" customHeight="false" outlineLevel="0" collapsed="false">
      <c r="A2180" s="0" t="s">
        <v>9567</v>
      </c>
      <c r="B2180" s="0" t="n">
        <v>78</v>
      </c>
      <c r="C2180" s="0" t="n">
        <v>234958</v>
      </c>
      <c r="D2180" s="0" t="s">
        <v>9568</v>
      </c>
      <c r="E2180" s="0" t="s">
        <v>7321</v>
      </c>
      <c r="F2180" s="0" t="str">
        <f aca="false">CONCATENATE(D2180," ",LEFT(H2180,4),"T=",AU2180,"D=",AV2180,"R=",AW2180,"M=",AX2180,"L=",AY2180,"B=",AZ2180)</f>
        <v>STIGGERS T=40D=18R=0M=2L=5B=0</v>
      </c>
      <c r="G2180" s="0" t="s">
        <v>241</v>
      </c>
      <c r="I2180" s="0" t="s">
        <v>9569</v>
      </c>
      <c r="J2180" s="0" t="s">
        <v>9570</v>
      </c>
      <c r="K2180" s="0" t="s">
        <v>175</v>
      </c>
      <c r="L2180" s="1" t="s">
        <v>155</v>
      </c>
      <c r="M2180" s="0" t="s">
        <v>9571</v>
      </c>
      <c r="N2180" s="0" t="str">
        <f aca="false">RIGHT(M2180,LEN(M2180)-FIND(" ",M2180))</f>
        <v>PEACE AVE NW</v>
      </c>
      <c r="P2180" s="0" t="s">
        <v>146</v>
      </c>
      <c r="Q2180" s="0" t="s">
        <v>147</v>
      </c>
      <c r="R2180" s="0" t="n">
        <v>44483</v>
      </c>
      <c r="AD2180" s="0" t="s">
        <v>148</v>
      </c>
      <c r="AE2180" s="0" t="s">
        <v>149</v>
      </c>
      <c r="AF2180" s="0" t="s">
        <v>150</v>
      </c>
      <c r="AH2180" s="0" t="n">
        <v>14</v>
      </c>
      <c r="AI2180" s="0" t="n">
        <v>11</v>
      </c>
      <c r="AN2180" s="0" t="s">
        <v>146</v>
      </c>
      <c r="AO2180" s="0" t="s">
        <v>250</v>
      </c>
      <c r="AP2180" s="0" t="s">
        <v>251</v>
      </c>
      <c r="AQ2180" s="0" t="n">
        <v>9</v>
      </c>
      <c r="AR2180" s="0" t="n">
        <v>64</v>
      </c>
      <c r="AS2180" s="0" t="n">
        <v>32</v>
      </c>
      <c r="AU2180" s="0" t="n">
        <f aca="false">COUNTA($BA$2726:$EH$2726)</f>
        <v>40</v>
      </c>
      <c r="AV2180" s="0" t="n">
        <f aca="false">COUNTIF($BA$2726:$EH$2726,"D")</f>
        <v>18</v>
      </c>
      <c r="AW2180" s="0" t="n">
        <f aca="false">COUNTIF($BA$2726:$EH$2726,"R")</f>
        <v>0</v>
      </c>
      <c r="AX2180" s="0" t="n">
        <f aca="false"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>2</v>
      </c>
      <c r="AY2180" s="0" t="n">
        <f aca="false">COUNTIF(DU2180:EH2180, "&lt;&gt;")</f>
        <v>5</v>
      </c>
      <c r="AZ2180" s="0" t="n">
        <f aca="false">IF(EH2180&lt;&gt;"",1,0)</f>
        <v>0</v>
      </c>
      <c r="BB2180" s="0" t="s">
        <v>153</v>
      </c>
      <c r="BD2180" s="0" t="s">
        <v>154</v>
      </c>
      <c r="BL2180" s="0" t="s">
        <v>154</v>
      </c>
      <c r="BR2180" s="0" t="s">
        <v>154</v>
      </c>
      <c r="BS2180" s="0" t="s">
        <v>154</v>
      </c>
      <c r="BV2180" s="0" t="s">
        <v>154</v>
      </c>
      <c r="BY2180" s="0" t="s">
        <v>155</v>
      </c>
      <c r="CA2180" s="0" t="s">
        <v>154</v>
      </c>
      <c r="CK2180" s="0" t="s">
        <v>154</v>
      </c>
      <c r="CL2180" s="0" t="s">
        <v>155</v>
      </c>
      <c r="CN2180" s="0" t="s">
        <v>154</v>
      </c>
      <c r="CP2180" s="0" t="s">
        <v>154</v>
      </c>
      <c r="CV2180" s="0" t="s">
        <v>154</v>
      </c>
      <c r="CY2180" s="0" t="s">
        <v>154</v>
      </c>
      <c r="CZ2180" s="0" t="s">
        <v>155</v>
      </c>
      <c r="DC2180" s="0" t="s">
        <v>154</v>
      </c>
      <c r="DG2180" s="0" t="s">
        <v>155</v>
      </c>
      <c r="DI2180" s="0" t="s">
        <v>154</v>
      </c>
      <c r="DM2180" s="0" t="s">
        <v>155</v>
      </c>
      <c r="DN2180" s="0" t="s">
        <v>154</v>
      </c>
      <c r="DU2180" s="0" t="s">
        <v>154</v>
      </c>
      <c r="DW2180" s="0" t="s">
        <v>155</v>
      </c>
      <c r="DX2180" s="0" t="s">
        <v>154</v>
      </c>
      <c r="EA2180" s="0" t="s">
        <v>154</v>
      </c>
      <c r="EF2180" s="0" t="s">
        <v>154</v>
      </c>
    </row>
    <row r="2181" customFormat="false" ht="13.8" hidden="true" customHeight="false" outlineLevel="0" collapsed="false">
      <c r="A2181" s="0" t="s">
        <v>9572</v>
      </c>
      <c r="B2181" s="0" t="n">
        <v>78</v>
      </c>
      <c r="C2181" s="0" t="n">
        <v>406124</v>
      </c>
      <c r="D2181" s="0" t="s">
        <v>2181</v>
      </c>
      <c r="E2181" s="0" t="s">
        <v>9573</v>
      </c>
      <c r="F2181" s="0" t="str">
        <f aca="false">CONCATENATE(D2181," ",LEFT(H2181,4),"T=",AU2181,"D=",AV2181,"R=",AW2181,"M=",AX2181,"L=",AY2181,"B=",AZ2181)</f>
        <v>GARY T=44D=17R=0M=0L=0B=0</v>
      </c>
      <c r="G2181" s="0" t="s">
        <v>9574</v>
      </c>
      <c r="I2181" s="0" t="s">
        <v>9575</v>
      </c>
      <c r="J2181" s="0" t="s">
        <v>9576</v>
      </c>
      <c r="K2181" s="0" t="s">
        <v>144</v>
      </c>
      <c r="L2181" s="0"/>
      <c r="M2181" s="0" t="s">
        <v>9577</v>
      </c>
      <c r="N2181" s="0" t="str">
        <f aca="false">RIGHT(M2181,LEN(M2181)-FIND(" ",M2181))</f>
        <v>PEACE AVE NW</v>
      </c>
      <c r="P2181" s="0" t="s">
        <v>146</v>
      </c>
      <c r="Q2181" s="0" t="s">
        <v>147</v>
      </c>
      <c r="R2181" s="0" t="n">
        <v>44483</v>
      </c>
      <c r="AD2181" s="0" t="s">
        <v>148</v>
      </c>
      <c r="AE2181" s="0" t="s">
        <v>149</v>
      </c>
      <c r="AF2181" s="0" t="s">
        <v>150</v>
      </c>
      <c r="AH2181" s="0" t="n">
        <v>14</v>
      </c>
      <c r="AI2181" s="0" t="n">
        <v>11</v>
      </c>
      <c r="AN2181" s="0" t="s">
        <v>146</v>
      </c>
      <c r="AO2181" s="0" t="s">
        <v>250</v>
      </c>
      <c r="AP2181" s="0" t="s">
        <v>251</v>
      </c>
      <c r="AQ2181" s="0" t="n">
        <v>9</v>
      </c>
      <c r="AR2181" s="0" t="n">
        <v>64</v>
      </c>
      <c r="AS2181" s="0" t="n">
        <v>32</v>
      </c>
      <c r="AU2181" s="0" t="n">
        <f aca="false">COUNTA($BA$2111:$EH$2111)</f>
        <v>44</v>
      </c>
      <c r="AV2181" s="0" t="n">
        <f aca="false">COUNTIF($BA$2111:$EH$2111,"D")</f>
        <v>17</v>
      </c>
      <c r="AW2181" s="0" t="n">
        <f aca="false">COUNTIF($BA$2111:$EH$2111,"R")</f>
        <v>0</v>
      </c>
      <c r="AX2181" s="0" t="n">
        <f aca="false"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>0</v>
      </c>
      <c r="AY2181" s="0" t="n">
        <f aca="false">COUNTIF(DU2181:EH2181, "&lt;&gt;")</f>
        <v>0</v>
      </c>
      <c r="AZ2181" s="0" t="n">
        <f aca="false">IF(EH2181&lt;&gt;"",1,0)</f>
        <v>0</v>
      </c>
      <c r="BB2181" s="0" t="s">
        <v>153</v>
      </c>
    </row>
    <row r="2182" customFormat="false" ht="13.8" hidden="true" customHeight="false" outlineLevel="0" collapsed="false">
      <c r="A2182" s="0" t="s">
        <v>9578</v>
      </c>
      <c r="B2182" s="0" t="n">
        <v>78</v>
      </c>
      <c r="C2182" s="0" t="n">
        <v>406787</v>
      </c>
      <c r="D2182" s="0" t="s">
        <v>5546</v>
      </c>
      <c r="E2182" s="0" t="s">
        <v>1094</v>
      </c>
      <c r="F2182" s="0" t="str">
        <f aca="false">CONCATENATE(D2182," ",LEFT(H2182,4),"T=",AU2182,"D=",AV2182,"R=",AW2182,"M=",AX2182,"L=",AY2182,"B=",AZ2182)</f>
        <v>LOWERY T=1D=0R=0M=0L=0B=0</v>
      </c>
      <c r="G2182" s="0" t="s">
        <v>202</v>
      </c>
      <c r="I2182" s="0" t="s">
        <v>9579</v>
      </c>
      <c r="J2182" s="0" t="s">
        <v>9580</v>
      </c>
      <c r="K2182" s="0" t="s">
        <v>144</v>
      </c>
      <c r="L2182" s="0"/>
      <c r="M2182" s="0" t="s">
        <v>9581</v>
      </c>
      <c r="N2182" s="0" t="str">
        <f aca="false">RIGHT(M2182,LEN(M2182)-FIND(" ",M2182))</f>
        <v>PEACE AVE NW</v>
      </c>
      <c r="P2182" s="0" t="s">
        <v>146</v>
      </c>
      <c r="Q2182" s="0" t="s">
        <v>147</v>
      </c>
      <c r="R2182" s="0" t="n">
        <v>44483</v>
      </c>
      <c r="AD2182" s="0" t="s">
        <v>148</v>
      </c>
      <c r="AE2182" s="0" t="s">
        <v>149</v>
      </c>
      <c r="AF2182" s="0" t="s">
        <v>150</v>
      </c>
      <c r="AH2182" s="0" t="n">
        <v>14</v>
      </c>
      <c r="AI2182" s="0" t="n">
        <v>11</v>
      </c>
      <c r="AN2182" s="0" t="s">
        <v>146</v>
      </c>
      <c r="AO2182" s="0" t="s">
        <v>250</v>
      </c>
      <c r="AP2182" s="0" t="s">
        <v>251</v>
      </c>
      <c r="AQ2182" s="0" t="n">
        <v>9</v>
      </c>
      <c r="AR2182" s="0" t="n">
        <v>64</v>
      </c>
      <c r="AS2182" s="0" t="n">
        <v>32</v>
      </c>
      <c r="AU2182" s="0" t="n">
        <f aca="false">COUNTA($BA$2818:$EH$2818)</f>
        <v>1</v>
      </c>
      <c r="AV2182" s="0" t="n">
        <f aca="false">COUNTIF($BA$2818:$EH$2818,"D")</f>
        <v>0</v>
      </c>
      <c r="AW2182" s="0" t="n">
        <f aca="false">COUNTIF($BA$2818:$EH$2818,"R")</f>
        <v>0</v>
      </c>
      <c r="AX2182" s="0" t="n">
        <f aca="false"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>0</v>
      </c>
      <c r="AY2182" s="0" t="n">
        <f aca="false">COUNTIF(DU2182:EH2182, "&lt;&gt;")</f>
        <v>0</v>
      </c>
      <c r="AZ2182" s="0" t="n">
        <f aca="false">IF(EH2182&lt;&gt;"",1,0)</f>
        <v>0</v>
      </c>
      <c r="BB2182" s="0" t="s">
        <v>153</v>
      </c>
      <c r="DC2182" s="0" t="s">
        <v>154</v>
      </c>
    </row>
    <row r="2183" customFormat="false" ht="13.8" hidden="true" customHeight="false" outlineLevel="0" collapsed="false">
      <c r="A2183" s="0" t="s">
        <v>9582</v>
      </c>
      <c r="B2183" s="0" t="n">
        <v>78</v>
      </c>
      <c r="C2183" s="0" t="n">
        <v>487874</v>
      </c>
      <c r="D2183" s="0" t="s">
        <v>9583</v>
      </c>
      <c r="E2183" s="0" t="s">
        <v>194</v>
      </c>
      <c r="F2183" s="0" t="str">
        <f aca="false">CONCATENATE(D2183," ",LEFT(H2183,4),"T=",AU2183,"D=",AV2183,"R=",AW2183,"M=",AX2183,"L=",AY2183,"B=",AZ2183)</f>
        <v>BEATTIE T=1D=0R=0M=0L=0B=0</v>
      </c>
      <c r="G2183" s="0" t="s">
        <v>176</v>
      </c>
      <c r="I2183" s="0" t="s">
        <v>9584</v>
      </c>
      <c r="J2183" s="0" t="s">
        <v>845</v>
      </c>
      <c r="K2183" s="0" t="s">
        <v>175</v>
      </c>
      <c r="L2183" s="0"/>
      <c r="M2183" s="0" t="s">
        <v>9585</v>
      </c>
      <c r="N2183" s="0" t="str">
        <f aca="false">RIGHT(M2183,LEN(M2183)-FIND(" ",M2183))</f>
        <v>PEACE AVE NW</v>
      </c>
      <c r="P2183" s="0" t="s">
        <v>146</v>
      </c>
      <c r="Q2183" s="0" t="s">
        <v>147</v>
      </c>
      <c r="R2183" s="0" t="n">
        <v>44483</v>
      </c>
      <c r="AD2183" s="0" t="s">
        <v>148</v>
      </c>
      <c r="AE2183" s="0" t="s">
        <v>149</v>
      </c>
      <c r="AF2183" s="0" t="s">
        <v>150</v>
      </c>
      <c r="AH2183" s="0" t="n">
        <v>14</v>
      </c>
      <c r="AI2183" s="0" t="n">
        <v>11</v>
      </c>
      <c r="AN2183" s="0" t="s">
        <v>146</v>
      </c>
      <c r="AO2183" s="0" t="s">
        <v>250</v>
      </c>
      <c r="AP2183" s="0" t="s">
        <v>251</v>
      </c>
      <c r="AQ2183" s="0" t="n">
        <v>9</v>
      </c>
      <c r="AR2183" s="0" t="n">
        <v>64</v>
      </c>
      <c r="AS2183" s="0" t="n">
        <v>32</v>
      </c>
      <c r="AU2183" s="0" t="n">
        <f aca="false">COUNTA($BA$2318:$EH$2318)</f>
        <v>1</v>
      </c>
      <c r="AV2183" s="0" t="n">
        <f aca="false">COUNTIF($BA$2318:$EH$2318,"D")</f>
        <v>0</v>
      </c>
      <c r="AW2183" s="0" t="n">
        <f aca="false">COUNTIF($BA$2318:$EH$2318,"R")</f>
        <v>0</v>
      </c>
      <c r="AX2183" s="0" t="n">
        <f aca="false"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>0</v>
      </c>
      <c r="AY2183" s="0" t="n">
        <f aca="false">COUNTIF(DU2183:EH2183, "&lt;&gt;")</f>
        <v>0</v>
      </c>
      <c r="AZ2183" s="0" t="n">
        <f aca="false">IF(EH2183&lt;&gt;"",1,0)</f>
        <v>0</v>
      </c>
      <c r="BB2183" s="0" t="s">
        <v>153</v>
      </c>
    </row>
    <row r="2184" customFormat="false" ht="13.8" hidden="true" customHeight="false" outlineLevel="0" collapsed="false">
      <c r="A2184" s="0" t="s">
        <v>9586</v>
      </c>
      <c r="B2184" s="0" t="n">
        <v>78</v>
      </c>
      <c r="C2184" s="0" t="n">
        <v>378156</v>
      </c>
      <c r="D2184" s="0" t="s">
        <v>4999</v>
      </c>
      <c r="E2184" s="0" t="s">
        <v>9587</v>
      </c>
      <c r="F2184" s="0" t="str">
        <f aca="false">CONCATENATE(D2184," ",LEFT(H2184,4),"T=",AU2184,"D=",AV2184,"R=",AW2184,"M=",AX2184,"L=",AY2184,"B=",AZ2184)</f>
        <v>STREETER T=7D=0R=1M=1L=0B=0</v>
      </c>
      <c r="G2184" s="0" t="s">
        <v>241</v>
      </c>
      <c r="I2184" s="0" t="s">
        <v>8755</v>
      </c>
      <c r="J2184" s="0" t="s">
        <v>2856</v>
      </c>
      <c r="K2184" s="0" t="s">
        <v>175</v>
      </c>
      <c r="L2184" s="0"/>
      <c r="M2184" s="0" t="s">
        <v>9588</v>
      </c>
      <c r="N2184" s="0" t="str">
        <f aca="false">RIGHT(M2184,LEN(M2184)-FIND(" ",M2184))</f>
        <v>PEACE AVE NW</v>
      </c>
      <c r="P2184" s="0" t="s">
        <v>146</v>
      </c>
      <c r="Q2184" s="0" t="s">
        <v>147</v>
      </c>
      <c r="R2184" s="0" t="n">
        <v>44483</v>
      </c>
      <c r="AD2184" s="0" t="s">
        <v>148</v>
      </c>
      <c r="AE2184" s="0" t="s">
        <v>149</v>
      </c>
      <c r="AF2184" s="0" t="s">
        <v>150</v>
      </c>
      <c r="AH2184" s="0" t="n">
        <v>14</v>
      </c>
      <c r="AI2184" s="0" t="n">
        <v>11</v>
      </c>
      <c r="AN2184" s="0" t="s">
        <v>146</v>
      </c>
      <c r="AO2184" s="0" t="s">
        <v>250</v>
      </c>
      <c r="AP2184" s="0" t="s">
        <v>251</v>
      </c>
      <c r="AQ2184" s="0" t="n">
        <v>9</v>
      </c>
      <c r="AR2184" s="0" t="n">
        <v>64</v>
      </c>
      <c r="AS2184" s="0" t="n">
        <v>32</v>
      </c>
      <c r="AU2184" s="0" t="n">
        <f aca="false">COUNTA($BA$2626:$EH$2626)</f>
        <v>7</v>
      </c>
      <c r="AV2184" s="0" t="n">
        <f aca="false">COUNTIF($BA$2626:$EH$2626,"D")</f>
        <v>0</v>
      </c>
      <c r="AW2184" s="0" t="n">
        <f aca="false">COUNTIF($BA$2626:$EH$2626,"R")</f>
        <v>1</v>
      </c>
      <c r="AX2184" s="0" t="n">
        <f aca="false"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>1</v>
      </c>
      <c r="AY2184" s="0" t="n">
        <f aca="false">COUNTIF(DU2184:EH2184, "&lt;&gt;")</f>
        <v>0</v>
      </c>
      <c r="AZ2184" s="0" t="n">
        <f aca="false">IF(EH2184&lt;&gt;"",1,0)</f>
        <v>0</v>
      </c>
      <c r="BB2184" s="0" t="s">
        <v>153</v>
      </c>
      <c r="CL2184" s="0" t="s">
        <v>155</v>
      </c>
      <c r="CP2184" s="0" t="s">
        <v>154</v>
      </c>
      <c r="CV2184" s="0" t="s">
        <v>154</v>
      </c>
      <c r="CY2184" s="0" t="s">
        <v>154</v>
      </c>
      <c r="DN2184" s="0" t="s">
        <v>154</v>
      </c>
    </row>
    <row r="2185" customFormat="false" ht="13.8" hidden="true" customHeight="false" outlineLevel="0" collapsed="false">
      <c r="A2185" s="0" t="s">
        <v>9589</v>
      </c>
      <c r="B2185" s="0" t="n">
        <v>78</v>
      </c>
      <c r="C2185" s="0" t="n">
        <v>434070</v>
      </c>
      <c r="D2185" s="0" t="s">
        <v>2961</v>
      </c>
      <c r="E2185" s="0" t="s">
        <v>750</v>
      </c>
      <c r="F2185" s="0" t="str">
        <f aca="false">CONCATENATE(D2185," ",LEFT(H2185,4),"T=",AU2185,"D=",AV2185,"R=",AW2185,"M=",AX2185,"L=",AY2185,"B=",AZ2185)</f>
        <v>BUTLER T=20D=3R=0M=0L=0B=0</v>
      </c>
      <c r="G2185" s="0" t="s">
        <v>9590</v>
      </c>
      <c r="I2185" s="0" t="s">
        <v>9591</v>
      </c>
      <c r="J2185" s="0" t="s">
        <v>9592</v>
      </c>
      <c r="K2185" s="0" t="s">
        <v>144</v>
      </c>
      <c r="L2185" s="0"/>
      <c r="M2185" s="0" t="s">
        <v>9593</v>
      </c>
      <c r="N2185" s="0" t="str">
        <f aca="false">RIGHT(M2185,LEN(M2185)-FIND(" ",M2185))</f>
        <v>PEACE AVE NW</v>
      </c>
      <c r="P2185" s="0" t="s">
        <v>146</v>
      </c>
      <c r="Q2185" s="0" t="s">
        <v>147</v>
      </c>
      <c r="R2185" s="0" t="n">
        <v>44483</v>
      </c>
      <c r="AD2185" s="0" t="s">
        <v>148</v>
      </c>
      <c r="AE2185" s="0" t="s">
        <v>149</v>
      </c>
      <c r="AF2185" s="0" t="s">
        <v>150</v>
      </c>
      <c r="AH2185" s="0" t="n">
        <v>14</v>
      </c>
      <c r="AI2185" s="0" t="n">
        <v>11</v>
      </c>
      <c r="AN2185" s="0" t="s">
        <v>146</v>
      </c>
      <c r="AO2185" s="0" t="s">
        <v>250</v>
      </c>
      <c r="AP2185" s="0" t="s">
        <v>251</v>
      </c>
      <c r="AQ2185" s="0" t="n">
        <v>9</v>
      </c>
      <c r="AR2185" s="0" t="n">
        <v>64</v>
      </c>
      <c r="AS2185" s="0" t="n">
        <v>32</v>
      </c>
      <c r="AU2185" s="0" t="n">
        <f aca="false">COUNTA($BA$2295:$EH$2295)</f>
        <v>20</v>
      </c>
      <c r="AV2185" s="0" t="n">
        <f aca="false">COUNTIF($BA$2295:$EH$2295,"D")</f>
        <v>3</v>
      </c>
      <c r="AW2185" s="0" t="n">
        <f aca="false">COUNTIF($BA$2295:$EH$2295,"R")</f>
        <v>0</v>
      </c>
      <c r="AX2185" s="0" t="n">
        <f aca="false"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>0</v>
      </c>
      <c r="AY2185" s="0" t="n">
        <f aca="false">COUNTIF(DU2185:EH2185, "&lt;&gt;")</f>
        <v>0</v>
      </c>
      <c r="AZ2185" s="0" t="n">
        <f aca="false">IF(EH2185&lt;&gt;"",1,0)</f>
        <v>0</v>
      </c>
      <c r="BB2185" s="0" t="s">
        <v>153</v>
      </c>
    </row>
    <row r="2186" customFormat="false" ht="13.8" hidden="true" customHeight="false" outlineLevel="0" collapsed="false">
      <c r="A2186" s="0" t="s">
        <v>9594</v>
      </c>
      <c r="B2186" s="0" t="n">
        <v>78</v>
      </c>
      <c r="C2186" s="0" t="n">
        <v>439626</v>
      </c>
      <c r="D2186" s="0" t="s">
        <v>9595</v>
      </c>
      <c r="E2186" s="0" t="s">
        <v>9596</v>
      </c>
      <c r="F2186" s="0" t="str">
        <f aca="false">CONCATENATE(D2186," ",LEFT(H2186,4),"T=",AU2186,"D=",AV2186,"R=",AW2186,"M=",AX2186,"L=",AY2186,"B=",AZ2186)</f>
        <v>CUMMINGS T=22D=8R=0M=0L=0B=0</v>
      </c>
      <c r="G2186" s="0" t="s">
        <v>2664</v>
      </c>
      <c r="I2186" s="0" t="s">
        <v>9322</v>
      </c>
      <c r="J2186" s="0" t="s">
        <v>9597</v>
      </c>
      <c r="K2186" s="0" t="s">
        <v>175</v>
      </c>
      <c r="L2186" s="0"/>
      <c r="M2186" s="0" t="s">
        <v>9593</v>
      </c>
      <c r="N2186" s="0" t="str">
        <f aca="false">RIGHT(M2186,LEN(M2186)-FIND(" ",M2186))</f>
        <v>PEACE AVE NW</v>
      </c>
      <c r="P2186" s="0" t="s">
        <v>146</v>
      </c>
      <c r="Q2186" s="0" t="s">
        <v>147</v>
      </c>
      <c r="R2186" s="0" t="n">
        <v>44483</v>
      </c>
      <c r="AD2186" s="0" t="s">
        <v>148</v>
      </c>
      <c r="AE2186" s="0" t="s">
        <v>149</v>
      </c>
      <c r="AF2186" s="0" t="s">
        <v>150</v>
      </c>
      <c r="AH2186" s="0" t="n">
        <v>14</v>
      </c>
      <c r="AI2186" s="0" t="n">
        <v>11</v>
      </c>
      <c r="AN2186" s="0" t="s">
        <v>146</v>
      </c>
      <c r="AO2186" s="0" t="s">
        <v>250</v>
      </c>
      <c r="AP2186" s="0" t="s">
        <v>251</v>
      </c>
      <c r="AQ2186" s="0" t="n">
        <v>9</v>
      </c>
      <c r="AR2186" s="0" t="n">
        <v>64</v>
      </c>
      <c r="AS2186" s="0" t="n">
        <v>32</v>
      </c>
      <c r="AU2186" s="0" t="n">
        <f aca="false">COUNTA($BA$2552:$EH$2552)</f>
        <v>22</v>
      </c>
      <c r="AV2186" s="0" t="n">
        <f aca="false">COUNTIF($BA$2552:$EH$2552,"D")</f>
        <v>8</v>
      </c>
      <c r="AW2186" s="0" t="n">
        <f aca="false">COUNTIF($BA$2552:$EH$2552,"R")</f>
        <v>0</v>
      </c>
      <c r="AX2186" s="0" t="n">
        <f aca="false"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>0</v>
      </c>
      <c r="AY2186" s="0" t="n">
        <f aca="false">COUNTIF(DU2186:EH2186, "&lt;&gt;")</f>
        <v>0</v>
      </c>
      <c r="AZ2186" s="0" t="n">
        <f aca="false">IF(EH2186&lt;&gt;"",1,0)</f>
        <v>0</v>
      </c>
      <c r="BB2186" s="0" t="s">
        <v>153</v>
      </c>
    </row>
    <row r="2187" customFormat="false" ht="13.8" hidden="true" customHeight="false" outlineLevel="0" collapsed="false">
      <c r="A2187" s="0" t="s">
        <v>9598</v>
      </c>
      <c r="B2187" s="0" t="n">
        <v>78</v>
      </c>
      <c r="C2187" s="0" t="n">
        <v>329488</v>
      </c>
      <c r="D2187" s="0" t="s">
        <v>3844</v>
      </c>
      <c r="E2187" s="0" t="s">
        <v>9599</v>
      </c>
      <c r="F2187" s="0" t="str">
        <f aca="false">CONCATENATE(D2187," ",LEFT(H2187,4),"T=",AU2187,"D=",AV2187,"R=",AW2187,"M=",AX2187,"L=",AY2187,"B=",AZ2187)</f>
        <v>BALL T=18D=1R=0M=1L=0B=0</v>
      </c>
      <c r="G2187" s="0" t="s">
        <v>159</v>
      </c>
      <c r="I2187" s="0" t="s">
        <v>9600</v>
      </c>
      <c r="J2187" s="0" t="s">
        <v>9601</v>
      </c>
      <c r="K2187" s="0" t="s">
        <v>144</v>
      </c>
      <c r="L2187" s="0"/>
      <c r="M2187" s="0" t="s">
        <v>9602</v>
      </c>
      <c r="N2187" s="0" t="str">
        <f aca="false">RIGHT(M2187,LEN(M2187)-FIND(" ",M2187))</f>
        <v>PEACE AVE NW</v>
      </c>
      <c r="P2187" s="0" t="s">
        <v>146</v>
      </c>
      <c r="Q2187" s="0" t="s">
        <v>147</v>
      </c>
      <c r="R2187" s="0" t="n">
        <v>44483</v>
      </c>
      <c r="AD2187" s="0" t="s">
        <v>148</v>
      </c>
      <c r="AE2187" s="0" t="s">
        <v>149</v>
      </c>
      <c r="AF2187" s="0" t="s">
        <v>150</v>
      </c>
      <c r="AH2187" s="0" t="n">
        <v>14</v>
      </c>
      <c r="AI2187" s="0" t="n">
        <v>11</v>
      </c>
      <c r="AN2187" s="0" t="s">
        <v>146</v>
      </c>
      <c r="AO2187" s="0" t="s">
        <v>250</v>
      </c>
      <c r="AP2187" s="0" t="s">
        <v>251</v>
      </c>
      <c r="AQ2187" s="0" t="n">
        <v>9</v>
      </c>
      <c r="AR2187" s="0" t="n">
        <v>64</v>
      </c>
      <c r="AS2187" s="0" t="n">
        <v>32</v>
      </c>
      <c r="AU2187" s="0" t="n">
        <f aca="false">COUNTA($BA$2508:$EH$2508)</f>
        <v>18</v>
      </c>
      <c r="AV2187" s="0" t="n">
        <f aca="false">COUNTIF($BA$2508:$EH$2508,"D")</f>
        <v>1</v>
      </c>
      <c r="AW2187" s="0" t="n">
        <f aca="false">COUNTIF($BA$2508:$EH$2508,"R")</f>
        <v>0</v>
      </c>
      <c r="AX2187" s="0" t="n">
        <f aca="false"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>1</v>
      </c>
      <c r="AY2187" s="0" t="n">
        <f aca="false">COUNTIF(DU2187:EH2187, "&lt;&gt;")</f>
        <v>0</v>
      </c>
      <c r="AZ2187" s="0" t="n">
        <f aca="false">IF(EH2187&lt;&gt;"",1,0)</f>
        <v>0</v>
      </c>
      <c r="BB2187" s="0" t="s">
        <v>153</v>
      </c>
      <c r="BL2187" s="0" t="s">
        <v>154</v>
      </c>
      <c r="BS2187" s="0" t="s">
        <v>154</v>
      </c>
      <c r="BV2187" s="0" t="s">
        <v>154</v>
      </c>
      <c r="BY2187" s="0" t="s">
        <v>155</v>
      </c>
      <c r="CA2187" s="0" t="s">
        <v>154</v>
      </c>
      <c r="CG2187" s="0" t="s">
        <v>154</v>
      </c>
      <c r="CK2187" s="0" t="s">
        <v>154</v>
      </c>
      <c r="CL2187" s="0" t="s">
        <v>155</v>
      </c>
      <c r="CN2187" s="0" t="s">
        <v>154</v>
      </c>
      <c r="CP2187" s="0" t="s">
        <v>154</v>
      </c>
    </row>
    <row r="2188" customFormat="false" ht="13.8" hidden="true" customHeight="false" outlineLevel="0" collapsed="false">
      <c r="A2188" s="0" t="s">
        <v>9603</v>
      </c>
      <c r="B2188" s="0" t="n">
        <v>78</v>
      </c>
      <c r="C2188" s="0" t="n">
        <v>416624</v>
      </c>
      <c r="D2188" s="0" t="s">
        <v>9604</v>
      </c>
      <c r="E2188" s="0" t="s">
        <v>981</v>
      </c>
      <c r="F2188" s="0" t="str">
        <f aca="false">CONCATENATE(D2188," ",LEFT(H2188,4),"T=",AU2188,"D=",AV2188,"R=",AW2188,"M=",AX2188,"L=",AY2188,"B=",AZ2188)</f>
        <v>MCCAFFERTY T=6D=0R=0M=0L=0B=0</v>
      </c>
      <c r="G2188" s="0" t="s">
        <v>802</v>
      </c>
      <c r="I2188" s="0" t="s">
        <v>9605</v>
      </c>
      <c r="J2188" s="0" t="s">
        <v>636</v>
      </c>
      <c r="K2188" s="0" t="s">
        <v>175</v>
      </c>
      <c r="L2188" s="0"/>
      <c r="M2188" s="0" t="s">
        <v>9606</v>
      </c>
      <c r="N2188" s="0" t="str">
        <f aca="false">RIGHT(M2188,LEN(M2188)-FIND(" ",M2188))</f>
        <v>PEACE AVE NW</v>
      </c>
      <c r="P2188" s="0" t="s">
        <v>146</v>
      </c>
      <c r="Q2188" s="0" t="s">
        <v>147</v>
      </c>
      <c r="R2188" s="0" t="n">
        <v>44483</v>
      </c>
      <c r="AD2188" s="0" t="s">
        <v>148</v>
      </c>
      <c r="AE2188" s="0" t="s">
        <v>149</v>
      </c>
      <c r="AF2188" s="0" t="s">
        <v>150</v>
      </c>
      <c r="AH2188" s="0" t="n">
        <v>14</v>
      </c>
      <c r="AI2188" s="0" t="n">
        <v>11</v>
      </c>
      <c r="AN2188" s="0" t="s">
        <v>146</v>
      </c>
      <c r="AO2188" s="0" t="s">
        <v>250</v>
      </c>
      <c r="AP2188" s="0" t="s">
        <v>251</v>
      </c>
      <c r="AQ2188" s="0" t="n">
        <v>9</v>
      </c>
      <c r="AR2188" s="0" t="n">
        <v>64</v>
      </c>
      <c r="AS2188" s="0" t="n">
        <v>32</v>
      </c>
      <c r="AU2188" s="0" t="n">
        <f aca="false">COUNTA($BA$2689:$EH$2689)</f>
        <v>6</v>
      </c>
      <c r="AV2188" s="0" t="n">
        <f aca="false">COUNTIF($BA$2689:$EH$2689,"D")</f>
        <v>0</v>
      </c>
      <c r="AW2188" s="0" t="n">
        <f aca="false">COUNTIF($BA$2689:$EH$2689,"R")</f>
        <v>0</v>
      </c>
      <c r="AX2188" s="0" t="n">
        <f aca="false"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>0</v>
      </c>
      <c r="AY2188" s="0" t="n">
        <f aca="false">COUNTIF(DU2188:EH2188, "&lt;&gt;")</f>
        <v>0</v>
      </c>
      <c r="AZ2188" s="0" t="n">
        <f aca="false">IF(EH2188&lt;&gt;"",1,0)</f>
        <v>0</v>
      </c>
      <c r="BB2188" s="0" t="s">
        <v>153</v>
      </c>
    </row>
    <row r="2189" customFormat="false" ht="13.8" hidden="true" customHeight="false" outlineLevel="0" collapsed="false">
      <c r="A2189" s="0" t="s">
        <v>9607</v>
      </c>
      <c r="B2189" s="0" t="n">
        <v>78</v>
      </c>
      <c r="C2189" s="0" t="n">
        <v>382568</v>
      </c>
      <c r="D2189" s="0" t="s">
        <v>8901</v>
      </c>
      <c r="E2189" s="0" t="s">
        <v>1653</v>
      </c>
      <c r="F2189" s="0" t="str">
        <f aca="false">CONCATENATE(D2189," ",LEFT(H2189,4),"T=",AU2189,"D=",AV2189,"R=",AW2189,"M=",AX2189,"L=",AY2189,"B=",AZ2189)</f>
        <v>DANIELS T=1D=0R=0M=0L=0B=0</v>
      </c>
      <c r="G2189" s="0" t="s">
        <v>514</v>
      </c>
      <c r="I2189" s="0" t="s">
        <v>9608</v>
      </c>
      <c r="J2189" s="0" t="s">
        <v>2583</v>
      </c>
      <c r="K2189" s="0" t="s">
        <v>144</v>
      </c>
      <c r="L2189" s="0"/>
      <c r="M2189" s="0" t="s">
        <v>9609</v>
      </c>
      <c r="N2189" s="0" t="str">
        <f aca="false">RIGHT(M2189,LEN(M2189)-FIND(" ",M2189))</f>
        <v>PEACE AVE NW</v>
      </c>
      <c r="P2189" s="0" t="s">
        <v>146</v>
      </c>
      <c r="Q2189" s="0" t="s">
        <v>147</v>
      </c>
      <c r="R2189" s="0" t="n">
        <v>44483</v>
      </c>
      <c r="AD2189" s="0" t="s">
        <v>148</v>
      </c>
      <c r="AE2189" s="0" t="s">
        <v>149</v>
      </c>
      <c r="AF2189" s="0" t="s">
        <v>150</v>
      </c>
      <c r="AH2189" s="0" t="n">
        <v>14</v>
      </c>
      <c r="AI2189" s="0" t="n">
        <v>11</v>
      </c>
      <c r="AN2189" s="0" t="s">
        <v>146</v>
      </c>
      <c r="AO2189" s="0" t="s">
        <v>250</v>
      </c>
      <c r="AP2189" s="0" t="s">
        <v>251</v>
      </c>
      <c r="AQ2189" s="0" t="n">
        <v>9</v>
      </c>
      <c r="AR2189" s="0" t="n">
        <v>64</v>
      </c>
      <c r="AS2189" s="0" t="n">
        <v>32</v>
      </c>
      <c r="AU2189" s="0" t="n">
        <f aca="false">COUNTA($BA$2193:$EH$2193)</f>
        <v>1</v>
      </c>
      <c r="AV2189" s="0" t="n">
        <f aca="false">COUNTIF($BA$2193:$EH$2193,"D")</f>
        <v>0</v>
      </c>
      <c r="AW2189" s="0" t="n">
        <f aca="false">COUNTIF($BA$2193:$EH$2193,"R")</f>
        <v>0</v>
      </c>
      <c r="AX2189" s="0" t="n">
        <f aca="false"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>0</v>
      </c>
      <c r="AY2189" s="0" t="n">
        <f aca="false">COUNTIF(DU2189:EH2189, "&lt;&gt;")</f>
        <v>0</v>
      </c>
      <c r="AZ2189" s="0" t="n">
        <f aca="false">IF(EH2189&lt;&gt;"",1,0)</f>
        <v>0</v>
      </c>
      <c r="BB2189" s="0" t="s">
        <v>153</v>
      </c>
      <c r="CZ2189" s="0" t="s">
        <v>155</v>
      </c>
      <c r="DI2189" s="0" t="s">
        <v>154</v>
      </c>
    </row>
    <row r="2190" customFormat="false" ht="13.8" hidden="true" customHeight="false" outlineLevel="0" collapsed="false">
      <c r="A2190" s="0" t="s">
        <v>9610</v>
      </c>
      <c r="B2190" s="0" t="n">
        <v>78</v>
      </c>
      <c r="C2190" s="0" t="n">
        <v>388349</v>
      </c>
      <c r="D2190" s="0" t="s">
        <v>4972</v>
      </c>
      <c r="E2190" s="0" t="s">
        <v>1395</v>
      </c>
      <c r="F2190" s="0" t="str">
        <f aca="false">CONCATENATE(D2190," ",LEFT(H2190,4),"T=",AU2190,"D=",AV2190,"R=",AW2190,"M=",AX2190,"L=",AY2190,"B=",AZ2190)</f>
        <v>COMANESCU T=11D=0R=0M=0L=0B=0</v>
      </c>
      <c r="G2190" s="0" t="s">
        <v>172</v>
      </c>
      <c r="I2190" s="0" t="s">
        <v>9611</v>
      </c>
      <c r="J2190" s="0" t="s">
        <v>4562</v>
      </c>
      <c r="K2190" s="0" t="s">
        <v>144</v>
      </c>
      <c r="L2190" s="0"/>
      <c r="M2190" s="0" t="s">
        <v>9609</v>
      </c>
      <c r="N2190" s="0" t="str">
        <f aca="false">RIGHT(M2190,LEN(M2190)-FIND(" ",M2190))</f>
        <v>PEACE AVE NW</v>
      </c>
      <c r="P2190" s="0" t="s">
        <v>146</v>
      </c>
      <c r="Q2190" s="0" t="s">
        <v>147</v>
      </c>
      <c r="R2190" s="0" t="n">
        <v>44483</v>
      </c>
      <c r="AD2190" s="0" t="s">
        <v>148</v>
      </c>
      <c r="AE2190" s="0" t="s">
        <v>149</v>
      </c>
      <c r="AF2190" s="0" t="s">
        <v>150</v>
      </c>
      <c r="AH2190" s="0" t="n">
        <v>14</v>
      </c>
      <c r="AI2190" s="0" t="n">
        <v>11</v>
      </c>
      <c r="AN2190" s="0" t="s">
        <v>146</v>
      </c>
      <c r="AO2190" s="0" t="s">
        <v>250</v>
      </c>
      <c r="AP2190" s="0" t="s">
        <v>251</v>
      </c>
      <c r="AQ2190" s="0" t="n">
        <v>9</v>
      </c>
      <c r="AR2190" s="0" t="n">
        <v>64</v>
      </c>
      <c r="AS2190" s="0" t="n">
        <v>32</v>
      </c>
      <c r="AU2190" s="0" t="n">
        <f aca="false">COUNTA($BA$2509:$EH$2509)</f>
        <v>11</v>
      </c>
      <c r="AV2190" s="0" t="n">
        <f aca="false">COUNTIF($BA$2509:$EH$2509,"D")</f>
        <v>0</v>
      </c>
      <c r="AW2190" s="0" t="n">
        <f aca="false">COUNTIF($BA$2509:$EH$2509,"R")</f>
        <v>0</v>
      </c>
      <c r="AX2190" s="0" t="n">
        <f aca="false"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>0</v>
      </c>
      <c r="AY2190" s="0" t="n">
        <f aca="false">COUNTIF(DU2190:EH2190, "&lt;&gt;")</f>
        <v>0</v>
      </c>
      <c r="AZ2190" s="0" t="n">
        <f aca="false">IF(EH2190&lt;&gt;"",1,0)</f>
        <v>0</v>
      </c>
      <c r="BB2190" s="0" t="s">
        <v>153</v>
      </c>
      <c r="CZ2190" s="0" t="s">
        <v>155</v>
      </c>
      <c r="DC2190" s="0" t="s">
        <v>154</v>
      </c>
      <c r="DI2190" s="0" t="s">
        <v>154</v>
      </c>
      <c r="DN2190" s="0" t="s">
        <v>154</v>
      </c>
    </row>
    <row r="2191" customFormat="false" ht="13.8" hidden="true" customHeight="false" outlineLevel="0" collapsed="false">
      <c r="A2191" s="0" t="s">
        <v>9612</v>
      </c>
      <c r="B2191" s="0" t="n">
        <v>78</v>
      </c>
      <c r="C2191" s="0" t="n">
        <v>483850</v>
      </c>
      <c r="D2191" s="0" t="s">
        <v>309</v>
      </c>
      <c r="E2191" s="0" t="s">
        <v>9613</v>
      </c>
      <c r="F2191" s="0" t="str">
        <f aca="false">CONCATENATE(D2191," ",LEFT(H2191,4),"T=",AU2191,"D=",AV2191,"R=",AW2191,"M=",AX2191,"L=",AY2191,"B=",AZ2191)</f>
        <v>BROWN T=1D=0R=0M=0L=0B=0</v>
      </c>
      <c r="G2191" s="0" t="s">
        <v>431</v>
      </c>
      <c r="I2191" s="0" t="s">
        <v>9614</v>
      </c>
      <c r="J2191" s="0" t="s">
        <v>9615</v>
      </c>
      <c r="K2191" s="0" t="s">
        <v>175</v>
      </c>
      <c r="L2191" s="0"/>
      <c r="M2191" s="0" t="s">
        <v>9616</v>
      </c>
      <c r="N2191" s="0" t="str">
        <f aca="false">RIGHT(M2191,LEN(M2191)-FIND(" ",M2191))</f>
        <v>PEACE AVE NW</v>
      </c>
      <c r="P2191" s="0" t="s">
        <v>146</v>
      </c>
      <c r="Q2191" s="0" t="s">
        <v>147</v>
      </c>
      <c r="R2191" s="0" t="n">
        <v>44483</v>
      </c>
      <c r="AD2191" s="0" t="s">
        <v>148</v>
      </c>
      <c r="AE2191" s="0" t="s">
        <v>149</v>
      </c>
      <c r="AF2191" s="0" t="s">
        <v>150</v>
      </c>
      <c r="AH2191" s="0" t="n">
        <v>14</v>
      </c>
      <c r="AI2191" s="0" t="n">
        <v>11</v>
      </c>
      <c r="AN2191" s="0" t="s">
        <v>146</v>
      </c>
      <c r="AO2191" s="0" t="s">
        <v>250</v>
      </c>
      <c r="AP2191" s="0" t="s">
        <v>251</v>
      </c>
      <c r="AQ2191" s="0" t="n">
        <v>9</v>
      </c>
      <c r="AR2191" s="0" t="n">
        <v>64</v>
      </c>
      <c r="AS2191" s="0" t="n">
        <v>32</v>
      </c>
      <c r="AU2191" s="0" t="n">
        <f aca="false">COUNTA($BA$2482:$EH$2482)</f>
        <v>1</v>
      </c>
      <c r="AV2191" s="0" t="n">
        <f aca="false">COUNTIF($BA$2482:$EH$2482,"D")</f>
        <v>0</v>
      </c>
      <c r="AW2191" s="0" t="n">
        <f aca="false">COUNTIF($BA$2482:$EH$2482,"R")</f>
        <v>0</v>
      </c>
      <c r="AX2191" s="0" t="n">
        <f aca="false"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>0</v>
      </c>
      <c r="AY2191" s="0" t="n">
        <f aca="false">COUNTIF(DU2191:EH2191, "&lt;&gt;")</f>
        <v>0</v>
      </c>
      <c r="AZ2191" s="0" t="n">
        <f aca="false">IF(EH2191&lt;&gt;"",1,0)</f>
        <v>0</v>
      </c>
      <c r="BB2191" s="0" t="s">
        <v>153</v>
      </c>
      <c r="CP2191" s="0" t="s">
        <v>154</v>
      </c>
      <c r="DC2191" s="0" t="s">
        <v>154</v>
      </c>
    </row>
    <row r="2192" customFormat="false" ht="13.8" hidden="true" customHeight="false" outlineLevel="0" collapsed="false">
      <c r="A2192" s="0" t="s">
        <v>9617</v>
      </c>
      <c r="B2192" s="0" t="n">
        <v>78</v>
      </c>
      <c r="C2192" s="0" t="n">
        <v>353328</v>
      </c>
      <c r="D2192" s="0" t="s">
        <v>1277</v>
      </c>
      <c r="E2192" s="0" t="s">
        <v>1744</v>
      </c>
      <c r="F2192" s="0" t="str">
        <f aca="false">CONCATENATE(D2192," ",LEFT(H2192,4),"T=",AU2192,"D=",AV2192,"R=",AW2192,"M=",AX2192,"L=",AY2192,"B=",AZ2192)</f>
        <v>MONTGOMERY T=1D=0R=0M=0L=0B=0</v>
      </c>
      <c r="G2192" s="0" t="s">
        <v>771</v>
      </c>
      <c r="I2192" s="0" t="s">
        <v>9618</v>
      </c>
      <c r="J2192" s="0" t="s">
        <v>1570</v>
      </c>
      <c r="K2192" s="0" t="s">
        <v>144</v>
      </c>
      <c r="L2192" s="0"/>
      <c r="M2192" s="0" t="s">
        <v>9619</v>
      </c>
      <c r="N2192" s="0" t="str">
        <f aca="false">RIGHT(M2192,LEN(M2192)-FIND(" ",M2192))</f>
        <v>PEACE AVE NW</v>
      </c>
      <c r="P2192" s="0" t="s">
        <v>146</v>
      </c>
      <c r="Q2192" s="0" t="s">
        <v>147</v>
      </c>
      <c r="R2192" s="0" t="n">
        <v>44483</v>
      </c>
      <c r="AD2192" s="0" t="s">
        <v>148</v>
      </c>
      <c r="AE2192" s="0" t="s">
        <v>149</v>
      </c>
      <c r="AF2192" s="0" t="s">
        <v>150</v>
      </c>
      <c r="AH2192" s="0" t="n">
        <v>14</v>
      </c>
      <c r="AI2192" s="0" t="n">
        <v>11</v>
      </c>
      <c r="AN2192" s="0" t="s">
        <v>146</v>
      </c>
      <c r="AO2192" s="0" t="s">
        <v>250</v>
      </c>
      <c r="AP2192" s="0" t="s">
        <v>251</v>
      </c>
      <c r="AQ2192" s="0" t="n">
        <v>9</v>
      </c>
      <c r="AR2192" s="0" t="n">
        <v>64</v>
      </c>
      <c r="AS2192" s="0" t="n">
        <v>32</v>
      </c>
      <c r="AU2192" s="0" t="n">
        <f aca="false">COUNTA($BA$2185:$EH$2185)</f>
        <v>1</v>
      </c>
      <c r="AV2192" s="0" t="n">
        <f aca="false">COUNTIF($BA$2185:$EH$2185,"D")</f>
        <v>0</v>
      </c>
      <c r="AW2192" s="0" t="n">
        <f aca="false">COUNTIF($BA$2185:$EH$2185,"R")</f>
        <v>0</v>
      </c>
      <c r="AX2192" s="0" t="n">
        <f aca="false"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>0</v>
      </c>
      <c r="AY2192" s="0" t="n">
        <f aca="false">COUNTIF(DU2192:EH2192, "&lt;&gt;")</f>
        <v>0</v>
      </c>
      <c r="AZ2192" s="0" t="n">
        <f aca="false">IF(EH2192&lt;&gt;"",1,0)</f>
        <v>0</v>
      </c>
      <c r="BB2192" s="0" t="s">
        <v>153</v>
      </c>
    </row>
    <row r="2193" customFormat="false" ht="13.8" hidden="true" customHeight="false" outlineLevel="0" collapsed="false">
      <c r="A2193" s="0" t="s">
        <v>9620</v>
      </c>
      <c r="B2193" s="0" t="n">
        <v>78</v>
      </c>
      <c r="C2193" s="0" t="n">
        <v>418407</v>
      </c>
      <c r="D2193" s="0" t="s">
        <v>9621</v>
      </c>
      <c r="E2193" s="0" t="s">
        <v>9622</v>
      </c>
      <c r="F2193" s="0" t="str">
        <f aca="false">CONCATENATE(D2193," ",LEFT(H2193,4),"T=",AU2193,"D=",AV2193,"R=",AW2193,"M=",AX2193,"L=",AY2193,"B=",AZ2193)</f>
        <v>WESTBROOK T=16D=6R=0M=0L=0B=0</v>
      </c>
      <c r="G2193" s="0" t="s">
        <v>176</v>
      </c>
      <c r="I2193" s="0" t="s">
        <v>9623</v>
      </c>
      <c r="J2193" s="0" t="s">
        <v>8056</v>
      </c>
      <c r="K2193" s="0" t="s">
        <v>144</v>
      </c>
      <c r="L2193" s="0"/>
      <c r="M2193" s="0" t="s">
        <v>9619</v>
      </c>
      <c r="N2193" s="0" t="str">
        <f aca="false">RIGHT(M2193,LEN(M2193)-FIND(" ",M2193))</f>
        <v>PEACE AVE NW</v>
      </c>
      <c r="P2193" s="0" t="s">
        <v>146</v>
      </c>
      <c r="Q2193" s="0" t="s">
        <v>147</v>
      </c>
      <c r="R2193" s="0" t="n">
        <v>44483</v>
      </c>
      <c r="AD2193" s="0" t="s">
        <v>148</v>
      </c>
      <c r="AE2193" s="0" t="s">
        <v>149</v>
      </c>
      <c r="AF2193" s="0" t="s">
        <v>150</v>
      </c>
      <c r="AH2193" s="0" t="n">
        <v>14</v>
      </c>
      <c r="AI2193" s="0" t="n">
        <v>11</v>
      </c>
      <c r="AN2193" s="0" t="s">
        <v>146</v>
      </c>
      <c r="AO2193" s="0" t="s">
        <v>250</v>
      </c>
      <c r="AP2193" s="0" t="s">
        <v>251</v>
      </c>
      <c r="AQ2193" s="0" t="n">
        <v>9</v>
      </c>
      <c r="AR2193" s="0" t="n">
        <v>64</v>
      </c>
      <c r="AS2193" s="0" t="n">
        <v>32</v>
      </c>
      <c r="AU2193" s="0" t="n">
        <f aca="false">COUNTA($BA$2386:$EH$2386)</f>
        <v>16</v>
      </c>
      <c r="AV2193" s="0" t="n">
        <f aca="false">COUNTIF($BA$2386:$EH$2386,"D")</f>
        <v>6</v>
      </c>
      <c r="AW2193" s="0" t="n">
        <f aca="false">COUNTIF($BA$2386:$EH$2386,"R")</f>
        <v>0</v>
      </c>
      <c r="AX2193" s="0" t="n">
        <f aca="false"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>0</v>
      </c>
      <c r="AY2193" s="0" t="n">
        <f aca="false">COUNTIF(DU2193:EH2193, "&lt;&gt;")</f>
        <v>0</v>
      </c>
      <c r="AZ2193" s="0" t="n">
        <f aca="false">IF(EH2193&lt;&gt;"",1,0)</f>
        <v>0</v>
      </c>
      <c r="BB2193" s="0" t="s">
        <v>153</v>
      </c>
    </row>
    <row r="2194" customFormat="false" ht="13.8" hidden="true" customHeight="false" outlineLevel="0" collapsed="false">
      <c r="A2194" s="0" t="s">
        <v>9624</v>
      </c>
      <c r="B2194" s="0" t="n">
        <v>78</v>
      </c>
      <c r="C2194" s="0" t="n">
        <v>382379</v>
      </c>
      <c r="D2194" s="0" t="s">
        <v>474</v>
      </c>
      <c r="E2194" s="0" t="s">
        <v>3848</v>
      </c>
      <c r="F2194" s="0" t="str">
        <f aca="false">CONCATENATE(D2194," ",LEFT(H2194,4),"T=",AU2194,"D=",AV2194,"R=",AW2194,"M=",AX2194,"L=",AY2194,"B=",AZ2194)</f>
        <v>SCOTT T=4D=0R=0M=0L=0B=0</v>
      </c>
      <c r="G2194" s="0" t="s">
        <v>297</v>
      </c>
      <c r="I2194" s="0" t="s">
        <v>9625</v>
      </c>
      <c r="J2194" s="0" t="s">
        <v>6349</v>
      </c>
      <c r="K2194" s="0" t="s">
        <v>144</v>
      </c>
      <c r="L2194" s="0"/>
      <c r="M2194" s="0" t="s">
        <v>9619</v>
      </c>
      <c r="N2194" s="0" t="str">
        <f aca="false">RIGHT(M2194,LEN(M2194)-FIND(" ",M2194))</f>
        <v>PEACE AVE NW</v>
      </c>
      <c r="P2194" s="0" t="s">
        <v>146</v>
      </c>
      <c r="Q2194" s="0" t="s">
        <v>147</v>
      </c>
      <c r="R2194" s="0" t="n">
        <v>44483</v>
      </c>
      <c r="AD2194" s="0" t="s">
        <v>148</v>
      </c>
      <c r="AE2194" s="0" t="s">
        <v>149</v>
      </c>
      <c r="AF2194" s="0" t="s">
        <v>150</v>
      </c>
      <c r="AH2194" s="0" t="n">
        <v>14</v>
      </c>
      <c r="AI2194" s="0" t="n">
        <v>11</v>
      </c>
      <c r="AN2194" s="0" t="s">
        <v>146</v>
      </c>
      <c r="AO2194" s="0" t="s">
        <v>250</v>
      </c>
      <c r="AP2194" s="0" t="s">
        <v>251</v>
      </c>
      <c r="AQ2194" s="0" t="n">
        <v>9</v>
      </c>
      <c r="AR2194" s="0" t="n">
        <v>64</v>
      </c>
      <c r="AS2194" s="0" t="n">
        <v>32</v>
      </c>
      <c r="AU2194" s="0" t="n">
        <f aca="false">COUNTA($BA$2466:$EH$2466)</f>
        <v>4</v>
      </c>
      <c r="AV2194" s="0" t="n">
        <f aca="false">COUNTIF($BA$2466:$EH$2466,"D")</f>
        <v>0</v>
      </c>
      <c r="AW2194" s="0" t="n">
        <f aca="false">COUNTIF($BA$2466:$EH$2466,"R")</f>
        <v>0</v>
      </c>
      <c r="AX2194" s="0" t="n">
        <f aca="false"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>0</v>
      </c>
      <c r="AY2194" s="0" t="n">
        <f aca="false">COUNTIF(DU2194:EH2194, "&lt;&gt;")</f>
        <v>0</v>
      </c>
      <c r="AZ2194" s="0" t="n">
        <f aca="false">IF(EH2194&lt;&gt;"",1,0)</f>
        <v>0</v>
      </c>
      <c r="BB2194" s="0" t="s">
        <v>153</v>
      </c>
      <c r="CA2194" s="0" t="s">
        <v>154</v>
      </c>
    </row>
    <row r="2195" customFormat="false" ht="13.8" hidden="true" customHeight="false" outlineLevel="0" collapsed="false">
      <c r="A2195" s="0" t="s">
        <v>9626</v>
      </c>
      <c r="B2195" s="0" t="n">
        <v>78</v>
      </c>
      <c r="C2195" s="0" t="n">
        <v>473961</v>
      </c>
      <c r="D2195" s="0" t="s">
        <v>645</v>
      </c>
      <c r="E2195" s="0" t="s">
        <v>1684</v>
      </c>
      <c r="F2195" s="0" t="str">
        <f aca="false">CONCATENATE(D2195," ",LEFT(H2195,4),"T=",AU2195,"D=",AV2195,"R=",AW2195,"M=",AX2195,"L=",AY2195,"B=",AZ2195)</f>
        <v>WILLIAMS T=4D=0R=0M=0L=0B=0</v>
      </c>
      <c r="G2195" s="0" t="s">
        <v>188</v>
      </c>
      <c r="I2195" s="0" t="s">
        <v>9627</v>
      </c>
      <c r="J2195" s="0" t="s">
        <v>9628</v>
      </c>
      <c r="K2195" s="0" t="s">
        <v>175</v>
      </c>
      <c r="L2195" s="0"/>
      <c r="M2195" s="0" t="s">
        <v>9619</v>
      </c>
      <c r="N2195" s="0" t="str">
        <f aca="false">RIGHT(M2195,LEN(M2195)-FIND(" ",M2195))</f>
        <v>PEACE AVE NW</v>
      </c>
      <c r="P2195" s="0" t="s">
        <v>146</v>
      </c>
      <c r="Q2195" s="0" t="s">
        <v>147</v>
      </c>
      <c r="R2195" s="0" t="n">
        <v>44483</v>
      </c>
      <c r="AD2195" s="0" t="s">
        <v>148</v>
      </c>
      <c r="AE2195" s="0" t="s">
        <v>149</v>
      </c>
      <c r="AF2195" s="0" t="s">
        <v>150</v>
      </c>
      <c r="AH2195" s="0" t="n">
        <v>14</v>
      </c>
      <c r="AI2195" s="0" t="n">
        <v>11</v>
      </c>
      <c r="AN2195" s="0" t="s">
        <v>146</v>
      </c>
      <c r="AO2195" s="0" t="s">
        <v>250</v>
      </c>
      <c r="AP2195" s="0" t="s">
        <v>251</v>
      </c>
      <c r="AQ2195" s="0" t="n">
        <v>9</v>
      </c>
      <c r="AR2195" s="0" t="n">
        <v>64</v>
      </c>
      <c r="AS2195" s="0" t="n">
        <v>32</v>
      </c>
      <c r="AU2195" s="0" t="n">
        <f aca="false">COUNTA($BA$2592:$EH$2592)</f>
        <v>4</v>
      </c>
      <c r="AV2195" s="0" t="n">
        <f aca="false">COUNTIF($BA$2592:$EH$2592,"D")</f>
        <v>0</v>
      </c>
      <c r="AW2195" s="0" t="n">
        <f aca="false">COUNTIF($BA$2592:$EH$2592,"R")</f>
        <v>0</v>
      </c>
      <c r="AX2195" s="0" t="n">
        <f aca="false"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>0</v>
      </c>
      <c r="AY2195" s="0" t="n">
        <f aca="false">COUNTIF(DU2195:EH2195, "&lt;&gt;")</f>
        <v>0</v>
      </c>
      <c r="AZ2195" s="0" t="n">
        <f aca="false">IF(EH2195&lt;&gt;"",1,0)</f>
        <v>0</v>
      </c>
      <c r="BB2195" s="0" t="s">
        <v>153</v>
      </c>
    </row>
    <row r="2196" customFormat="false" ht="13.8" hidden="true" customHeight="false" outlineLevel="0" collapsed="false">
      <c r="A2196" s="0" t="s">
        <v>9629</v>
      </c>
      <c r="B2196" s="0" t="n">
        <v>78</v>
      </c>
      <c r="C2196" s="0" t="n">
        <v>408811</v>
      </c>
      <c r="D2196" s="0" t="s">
        <v>9546</v>
      </c>
      <c r="E2196" s="0" t="s">
        <v>9630</v>
      </c>
      <c r="F2196" s="0" t="str">
        <f aca="false">CONCATENATE(D2196," ",LEFT(H2196,4),"T=",AU2196,"D=",AV2196,"R=",AW2196,"M=",AX2196,"L=",AY2196,"B=",AZ2196)</f>
        <v>DUNKLIN T=2D=0R=0M=0L=0B=0</v>
      </c>
      <c r="G2196" s="0" t="s">
        <v>376</v>
      </c>
      <c r="I2196" s="0" t="s">
        <v>9631</v>
      </c>
      <c r="J2196" s="0" t="s">
        <v>1854</v>
      </c>
      <c r="K2196" s="0" t="s">
        <v>144</v>
      </c>
      <c r="L2196" s="0"/>
      <c r="M2196" s="0" t="s">
        <v>9632</v>
      </c>
      <c r="N2196" s="0" t="str">
        <f aca="false">RIGHT(M2196,LEN(M2196)-FIND(" ",M2196))</f>
        <v>PEACE AVE NW</v>
      </c>
      <c r="P2196" s="0" t="s">
        <v>146</v>
      </c>
      <c r="Q2196" s="0" t="s">
        <v>147</v>
      </c>
      <c r="R2196" s="0" t="n">
        <v>44483</v>
      </c>
      <c r="AD2196" s="0" t="s">
        <v>148</v>
      </c>
      <c r="AE2196" s="0" t="s">
        <v>149</v>
      </c>
      <c r="AF2196" s="0" t="s">
        <v>150</v>
      </c>
      <c r="AH2196" s="0" t="n">
        <v>14</v>
      </c>
      <c r="AI2196" s="0" t="n">
        <v>11</v>
      </c>
      <c r="AN2196" s="0" t="s">
        <v>146</v>
      </c>
      <c r="AO2196" s="0" t="s">
        <v>250</v>
      </c>
      <c r="AP2196" s="0" t="s">
        <v>251</v>
      </c>
      <c r="AQ2196" s="0" t="n">
        <v>9</v>
      </c>
      <c r="AR2196" s="0" t="n">
        <v>64</v>
      </c>
      <c r="AS2196" s="0" t="n">
        <v>32</v>
      </c>
      <c r="AU2196" s="0" t="n">
        <f aca="false">COUNTA($BA$2065:$EH$2065)</f>
        <v>2</v>
      </c>
      <c r="AV2196" s="0" t="n">
        <f aca="false">COUNTIF($BA$2065:$EH$2065,"D")</f>
        <v>0</v>
      </c>
      <c r="AW2196" s="0" t="n">
        <f aca="false">COUNTIF($BA$2065:$EH$2065,"R")</f>
        <v>0</v>
      </c>
      <c r="AX2196" s="0" t="n">
        <f aca="false"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>0</v>
      </c>
      <c r="AY2196" s="0" t="n">
        <f aca="false">COUNTIF(DU2196:EH2196, "&lt;&gt;")</f>
        <v>0</v>
      </c>
      <c r="AZ2196" s="0" t="n">
        <f aca="false">IF(EH2196&lt;&gt;"",1,0)</f>
        <v>0</v>
      </c>
      <c r="BB2196" s="0" t="s">
        <v>153</v>
      </c>
    </row>
    <row r="2197" customFormat="false" ht="13.8" hidden="true" customHeight="false" outlineLevel="0" collapsed="false">
      <c r="A2197" s="0" t="s">
        <v>9633</v>
      </c>
      <c r="B2197" s="0" t="n">
        <v>78</v>
      </c>
      <c r="C2197" s="0" t="n">
        <v>436345</v>
      </c>
      <c r="D2197" s="0" t="s">
        <v>761</v>
      </c>
      <c r="E2197" s="0" t="s">
        <v>9634</v>
      </c>
      <c r="F2197" s="0" t="str">
        <f aca="false">CONCATENATE(D2197," ",LEFT(H2197,4),"T=",AU2197,"D=",AV2197,"R=",AW2197,"M=",AX2197,"L=",AY2197,"B=",AZ2197)</f>
        <v>ALEXANDER T=13D=1R=0M=0L=0B=0</v>
      </c>
      <c r="G2197" s="0" t="s">
        <v>9635</v>
      </c>
      <c r="I2197" s="0" t="s">
        <v>9636</v>
      </c>
      <c r="J2197" s="0" t="s">
        <v>1854</v>
      </c>
      <c r="K2197" s="0" t="s">
        <v>144</v>
      </c>
      <c r="L2197" s="0"/>
      <c r="M2197" s="0" t="s">
        <v>9632</v>
      </c>
      <c r="N2197" s="0" t="str">
        <f aca="false">RIGHT(M2197,LEN(M2197)-FIND(" ",M2197))</f>
        <v>PEACE AVE NW</v>
      </c>
      <c r="O2197" s="0" t="s">
        <v>184</v>
      </c>
      <c r="P2197" s="0" t="s">
        <v>146</v>
      </c>
      <c r="Q2197" s="0" t="s">
        <v>147</v>
      </c>
      <c r="R2197" s="0" t="n">
        <v>44483</v>
      </c>
      <c r="AD2197" s="0" t="s">
        <v>148</v>
      </c>
      <c r="AE2197" s="0" t="s">
        <v>149</v>
      </c>
      <c r="AF2197" s="0" t="s">
        <v>150</v>
      </c>
      <c r="AH2197" s="0" t="n">
        <v>14</v>
      </c>
      <c r="AI2197" s="0" t="n">
        <v>11</v>
      </c>
      <c r="AN2197" s="0" t="s">
        <v>146</v>
      </c>
      <c r="AO2197" s="0" t="s">
        <v>250</v>
      </c>
      <c r="AP2197" s="0" t="s">
        <v>251</v>
      </c>
      <c r="AQ2197" s="0" t="n">
        <v>9</v>
      </c>
      <c r="AR2197" s="0" t="n">
        <v>64</v>
      </c>
      <c r="AS2197" s="0" t="n">
        <v>32</v>
      </c>
      <c r="AU2197" s="0" t="n">
        <f aca="false">COUNTA($BA$2101:$EH$2101)</f>
        <v>13</v>
      </c>
      <c r="AV2197" s="0" t="n">
        <f aca="false">COUNTIF($BA$2101:$EH$2101,"D")</f>
        <v>1</v>
      </c>
      <c r="AW2197" s="0" t="n">
        <f aca="false">COUNTIF($BA$2101:$EH$2101,"R")</f>
        <v>0</v>
      </c>
      <c r="AX2197" s="0" t="n">
        <f aca="false"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>0</v>
      </c>
      <c r="AY2197" s="0" t="n">
        <f aca="false">COUNTIF(DU2197:EH2197, "&lt;&gt;")</f>
        <v>0</v>
      </c>
      <c r="AZ2197" s="0" t="n">
        <f aca="false">IF(EH2197&lt;&gt;"",1,0)</f>
        <v>0</v>
      </c>
      <c r="BB2197" s="0" t="s">
        <v>153</v>
      </c>
    </row>
    <row r="2198" customFormat="false" ht="13.8" hidden="true" customHeight="false" outlineLevel="0" collapsed="false">
      <c r="A2198" s="0" t="s">
        <v>9637</v>
      </c>
      <c r="B2198" s="0" t="n">
        <v>78</v>
      </c>
      <c r="C2198" s="0" t="n">
        <v>438510</v>
      </c>
      <c r="D2198" s="0" t="s">
        <v>8965</v>
      </c>
      <c r="E2198" s="0" t="s">
        <v>9638</v>
      </c>
      <c r="F2198" s="0" t="str">
        <f aca="false">CONCATENATE(D2198," ",LEFT(H2198,4),"T=",AU2198,"D=",AV2198,"R=",AW2198,"M=",AX2198,"L=",AY2198,"B=",AZ2198)</f>
        <v>STUBBS T=13D=0R=0M=0L=0B=0</v>
      </c>
      <c r="G2198" s="0" t="s">
        <v>155</v>
      </c>
      <c r="I2198" s="0" t="s">
        <v>9639</v>
      </c>
      <c r="J2198" s="0" t="s">
        <v>9640</v>
      </c>
      <c r="K2198" s="0" t="s">
        <v>175</v>
      </c>
      <c r="L2198" s="0"/>
      <c r="M2198" s="0" t="s">
        <v>9641</v>
      </c>
      <c r="N2198" s="0" t="str">
        <f aca="false">RIGHT(M2198,LEN(M2198)-FIND(" ",M2198))</f>
        <v>PEACE AVE NW</v>
      </c>
      <c r="P2198" s="0" t="s">
        <v>146</v>
      </c>
      <c r="Q2198" s="0" t="s">
        <v>147</v>
      </c>
      <c r="R2198" s="0" t="n">
        <v>44483</v>
      </c>
      <c r="AD2198" s="0" t="s">
        <v>148</v>
      </c>
      <c r="AE2198" s="0" t="s">
        <v>149</v>
      </c>
      <c r="AF2198" s="0" t="s">
        <v>150</v>
      </c>
      <c r="AH2198" s="0" t="n">
        <v>14</v>
      </c>
      <c r="AI2198" s="0" t="n">
        <v>11</v>
      </c>
      <c r="AN2198" s="0" t="s">
        <v>146</v>
      </c>
      <c r="AO2198" s="0" t="s">
        <v>250</v>
      </c>
      <c r="AP2198" s="0" t="s">
        <v>251</v>
      </c>
      <c r="AQ2198" s="0" t="n">
        <v>9</v>
      </c>
      <c r="AR2198" s="0" t="n">
        <v>64</v>
      </c>
      <c r="AS2198" s="0" t="n">
        <v>32</v>
      </c>
      <c r="AU2198" s="0" t="n">
        <f aca="false">COUNTA($BA$2548:$EH$2548)</f>
        <v>13</v>
      </c>
      <c r="AV2198" s="0" t="n">
        <f aca="false">COUNTIF($BA$2548:$EH$2548,"D")</f>
        <v>0</v>
      </c>
      <c r="AW2198" s="0" t="n">
        <f aca="false">COUNTIF($BA$2548:$EH$2548,"R")</f>
        <v>0</v>
      </c>
      <c r="AX2198" s="0" t="n">
        <f aca="false"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>0</v>
      </c>
      <c r="AY2198" s="0" t="n">
        <f aca="false">COUNTIF(DU2198:EH2198, "&lt;&gt;")</f>
        <v>0</v>
      </c>
      <c r="AZ2198" s="0" t="n">
        <f aca="false">IF(EH2198&lt;&gt;"",1,0)</f>
        <v>0</v>
      </c>
      <c r="BB2198" s="0" t="s">
        <v>153</v>
      </c>
      <c r="DN2198" s="0" t="s">
        <v>154</v>
      </c>
    </row>
    <row r="2199" customFormat="false" ht="13.8" hidden="true" customHeight="false" outlineLevel="0" collapsed="false">
      <c r="A2199" s="0" t="s">
        <v>9642</v>
      </c>
      <c r="B2199" s="0" t="n">
        <v>78</v>
      </c>
      <c r="C2199" s="0" t="n">
        <v>489481</v>
      </c>
      <c r="D2199" s="0" t="s">
        <v>9643</v>
      </c>
      <c r="E2199" s="0" t="s">
        <v>1614</v>
      </c>
      <c r="F2199" s="0" t="str">
        <f aca="false">CONCATENATE(D2199," ",LEFT(H2199,4),"T=",AU2199,"D=",AV2199,"R=",AW2199,"M=",AX2199,"L=",AY2199,"B=",AZ2199)</f>
        <v>SOMBATI T=29D=0R=5M=0L=0B=0</v>
      </c>
      <c r="G2199" s="0" t="s">
        <v>181</v>
      </c>
      <c r="I2199" s="0" t="s">
        <v>9644</v>
      </c>
      <c r="J2199" s="0" t="s">
        <v>600</v>
      </c>
      <c r="K2199" s="0" t="s">
        <v>175</v>
      </c>
      <c r="L2199" s="0"/>
      <c r="M2199" s="0" t="s">
        <v>9645</v>
      </c>
      <c r="N2199" s="0" t="str">
        <f aca="false">RIGHT(M2199,LEN(M2199)-FIND(" ",M2199))</f>
        <v>PEACE AVE NW</v>
      </c>
      <c r="P2199" s="0" t="s">
        <v>146</v>
      </c>
      <c r="Q2199" s="0" t="s">
        <v>147</v>
      </c>
      <c r="R2199" s="0" t="n">
        <v>44483</v>
      </c>
      <c r="AD2199" s="0" t="s">
        <v>148</v>
      </c>
      <c r="AE2199" s="0" t="s">
        <v>149</v>
      </c>
      <c r="AF2199" s="0" t="s">
        <v>150</v>
      </c>
      <c r="AH2199" s="0" t="n">
        <v>14</v>
      </c>
      <c r="AI2199" s="0" t="n">
        <v>11</v>
      </c>
      <c r="AN2199" s="0" t="s">
        <v>146</v>
      </c>
      <c r="AO2199" s="0" t="s">
        <v>250</v>
      </c>
      <c r="AP2199" s="0" t="s">
        <v>251</v>
      </c>
      <c r="AQ2199" s="0" t="n">
        <v>9</v>
      </c>
      <c r="AR2199" s="0" t="n">
        <v>64</v>
      </c>
      <c r="AS2199" s="0" t="n">
        <v>32</v>
      </c>
      <c r="AU2199" s="0" t="n">
        <f aca="false">COUNTA($BA$2490:$EH$2490)</f>
        <v>29</v>
      </c>
      <c r="AV2199" s="0" t="n">
        <f aca="false">COUNTIF($BA$2490:$EH$2490,"D")</f>
        <v>0</v>
      </c>
      <c r="AW2199" s="0" t="n">
        <f aca="false">COUNTIF($BA$2490:$EH$2490,"R")</f>
        <v>5</v>
      </c>
      <c r="AX2199" s="0" t="n">
        <f aca="false"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>0</v>
      </c>
      <c r="AY2199" s="0" t="n">
        <f aca="false">COUNTIF(DU2199:EH2199, "&lt;&gt;")</f>
        <v>0</v>
      </c>
      <c r="AZ2199" s="0" t="n">
        <f aca="false">IF(EH2199&lt;&gt;"",1,0)</f>
        <v>0</v>
      </c>
      <c r="BB2199" s="0" t="s">
        <v>153</v>
      </c>
    </row>
    <row r="2200" customFormat="false" ht="13.8" hidden="true" customHeight="false" outlineLevel="0" collapsed="false">
      <c r="A2200" s="0" t="s">
        <v>9646</v>
      </c>
      <c r="B2200" s="0" t="n">
        <v>78</v>
      </c>
      <c r="C2200" s="0" t="n">
        <v>491795</v>
      </c>
      <c r="D2200" s="0" t="s">
        <v>926</v>
      </c>
      <c r="E2200" s="0" t="s">
        <v>920</v>
      </c>
      <c r="F2200" s="0" t="str">
        <f aca="false">CONCATENATE(D2200," ",LEFT(H2200,4),"T=",AU2200,"D=",AV2200,"R=",AW2200,"M=",AX2200,"L=",AY2200,"B=",AZ2200)</f>
        <v>ROSS T=2D=0R=0M=0L=1B=0</v>
      </c>
      <c r="G2200" s="0" t="s">
        <v>690</v>
      </c>
      <c r="I2200" s="0" t="s">
        <v>9647</v>
      </c>
      <c r="J2200" s="0" t="s">
        <v>712</v>
      </c>
      <c r="K2200" s="0" t="s">
        <v>175</v>
      </c>
      <c r="L2200" s="0"/>
      <c r="M2200" s="0" t="s">
        <v>9648</v>
      </c>
      <c r="N2200" s="0" t="str">
        <f aca="false">RIGHT(M2200,LEN(M2200)-FIND(" ",M2200))</f>
        <v>PERKINS DR NW</v>
      </c>
      <c r="P2200" s="0" t="s">
        <v>146</v>
      </c>
      <c r="Q2200" s="0" t="s">
        <v>147</v>
      </c>
      <c r="R2200" s="0" t="n">
        <v>44483</v>
      </c>
      <c r="AD2200" s="0" t="s">
        <v>148</v>
      </c>
      <c r="AE2200" s="0" t="s">
        <v>149</v>
      </c>
      <c r="AF2200" s="0" t="s">
        <v>150</v>
      </c>
      <c r="AH2200" s="0" t="n">
        <v>14</v>
      </c>
      <c r="AI2200" s="0" t="n">
        <v>11</v>
      </c>
      <c r="AN2200" s="0" t="s">
        <v>146</v>
      </c>
      <c r="AO2200" s="0" t="s">
        <v>151</v>
      </c>
      <c r="AP2200" s="0" t="s">
        <v>152</v>
      </c>
      <c r="AQ2200" s="0" t="n">
        <v>9</v>
      </c>
      <c r="AR2200" s="0" t="n">
        <v>64</v>
      </c>
      <c r="AS2200" s="0" t="n">
        <v>32</v>
      </c>
      <c r="AU2200" s="0" t="n">
        <f aca="false">COUNTA($BA$1341:$EH$1341)</f>
        <v>2</v>
      </c>
      <c r="AV2200" s="0" t="n">
        <f aca="false">COUNTIF($BA$1341:$EH$1341,"D")</f>
        <v>0</v>
      </c>
      <c r="AW2200" s="0" t="n">
        <f aca="false">COUNTIF($BA$1341:$EH$1341,"R")</f>
        <v>0</v>
      </c>
      <c r="AX2200" s="0" t="n">
        <f aca="false"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>0</v>
      </c>
      <c r="AY2200" s="0" t="n">
        <f aca="false">COUNTIF(DU2200:EH2200, "&lt;&gt;")</f>
        <v>1</v>
      </c>
      <c r="AZ2200" s="0" t="n">
        <f aca="false">IF(EH2200&lt;&gt;"",1,0)</f>
        <v>0</v>
      </c>
      <c r="BB2200" s="0" t="s">
        <v>153</v>
      </c>
      <c r="BL2200" s="0" t="s">
        <v>154</v>
      </c>
      <c r="CP2200" s="0" t="s">
        <v>154</v>
      </c>
      <c r="CZ2200" s="0" t="s">
        <v>155</v>
      </c>
      <c r="DF2200" s="0" t="s">
        <v>154</v>
      </c>
      <c r="DN2200" s="0" t="s">
        <v>154</v>
      </c>
      <c r="EF2200" s="0" t="s">
        <v>154</v>
      </c>
    </row>
    <row r="2201" customFormat="false" ht="13.8" hidden="true" customHeight="false" outlineLevel="0" collapsed="false">
      <c r="A2201" s="0" t="s">
        <v>9649</v>
      </c>
      <c r="B2201" s="0" t="n">
        <v>78</v>
      </c>
      <c r="C2201" s="0" t="n">
        <v>395936</v>
      </c>
      <c r="D2201" s="0" t="s">
        <v>8156</v>
      </c>
      <c r="E2201" s="0" t="s">
        <v>335</v>
      </c>
      <c r="F2201" s="0" t="str">
        <f aca="false">CONCATENATE(D2201," ",LEFT(H2201,4),"T=",AU2201,"D=",AV2201,"R=",AW2201,"M=",AX2201,"L=",AY2201,"B=",AZ2201)</f>
        <v>BECK T=22D=2R=0M=0L=1B=0</v>
      </c>
      <c r="G2201" s="0" t="s">
        <v>694</v>
      </c>
      <c r="I2201" s="0" t="s">
        <v>9650</v>
      </c>
      <c r="J2201" s="0" t="s">
        <v>712</v>
      </c>
      <c r="K2201" s="0" t="s">
        <v>175</v>
      </c>
      <c r="L2201" s="0"/>
      <c r="M2201" s="0" t="s">
        <v>9651</v>
      </c>
      <c r="N2201" s="0" t="str">
        <f aca="false">RIGHT(M2201,LEN(M2201)-FIND(" ",M2201))</f>
        <v>PERKINS DR NW</v>
      </c>
      <c r="O2201" s="0" t="s">
        <v>9652</v>
      </c>
      <c r="P2201" s="0" t="s">
        <v>146</v>
      </c>
      <c r="Q2201" s="0" t="s">
        <v>147</v>
      </c>
      <c r="R2201" s="0" t="n">
        <v>44483</v>
      </c>
      <c r="AD2201" s="0" t="s">
        <v>148</v>
      </c>
      <c r="AE2201" s="0" t="s">
        <v>149</v>
      </c>
      <c r="AF2201" s="0" t="s">
        <v>150</v>
      </c>
      <c r="AH2201" s="0" t="n">
        <v>14</v>
      </c>
      <c r="AI2201" s="0" t="n">
        <v>11</v>
      </c>
      <c r="AN2201" s="0" t="s">
        <v>146</v>
      </c>
      <c r="AO2201" s="0" t="s">
        <v>151</v>
      </c>
      <c r="AP2201" s="0" t="s">
        <v>152</v>
      </c>
      <c r="AQ2201" s="0" t="n">
        <v>9</v>
      </c>
      <c r="AR2201" s="0" t="n">
        <v>64</v>
      </c>
      <c r="AS2201" s="0" t="n">
        <v>32</v>
      </c>
      <c r="AU2201" s="0" t="n">
        <f aca="false">COUNTA($BA$1400:$EH$1400)</f>
        <v>22</v>
      </c>
      <c r="AV2201" s="0" t="n">
        <f aca="false">COUNTIF($BA$1400:$EH$1400,"D")</f>
        <v>2</v>
      </c>
      <c r="AW2201" s="0" t="n">
        <f aca="false">COUNTIF($BA$1400:$EH$1400,"R")</f>
        <v>0</v>
      </c>
      <c r="AX2201" s="0" t="n">
        <f aca="false"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>0</v>
      </c>
      <c r="AY2201" s="0" t="n">
        <f aca="false">COUNTIF(DU2201:EH2201, "&lt;&gt;")</f>
        <v>1</v>
      </c>
      <c r="AZ2201" s="0" t="n">
        <f aca="false">IF(EH2201&lt;&gt;"",1,0)</f>
        <v>0</v>
      </c>
      <c r="BB2201" s="0" t="s">
        <v>153</v>
      </c>
      <c r="BL2201" s="0" t="s">
        <v>154</v>
      </c>
      <c r="BS2201" s="0" t="s">
        <v>154</v>
      </c>
      <c r="BY2201" s="0" t="s">
        <v>155</v>
      </c>
      <c r="CA2201" s="0" t="s">
        <v>154</v>
      </c>
      <c r="CY2201" s="0" t="s">
        <v>154</v>
      </c>
      <c r="DC2201" s="0" t="s">
        <v>154</v>
      </c>
      <c r="DN2201" s="0" t="s">
        <v>154</v>
      </c>
      <c r="EF2201" s="0" t="s">
        <v>154</v>
      </c>
    </row>
    <row r="2202" customFormat="false" ht="13.8" hidden="false" customHeight="false" outlineLevel="0" collapsed="false">
      <c r="A2202" s="0" t="s">
        <v>9653</v>
      </c>
      <c r="B2202" s="0" t="n">
        <v>78</v>
      </c>
      <c r="C2202" s="0" t="n">
        <v>462041</v>
      </c>
      <c r="D2202" s="0" t="s">
        <v>664</v>
      </c>
      <c r="E2202" s="0" t="s">
        <v>750</v>
      </c>
      <c r="F2202" s="0" t="str">
        <f aca="false">CONCATENATE(D2202," ",LEFT(H2202,4),"T=",AU2202,"D=",AV2202,"R=",AW2202,"M=",AX2202,"L=",AY2202,"B=",AZ2202)</f>
        <v>RAY T=1D=0R=0M=0L=3B=0</v>
      </c>
      <c r="G2202" s="0" t="s">
        <v>195</v>
      </c>
      <c r="I2202" s="0" t="s">
        <v>9654</v>
      </c>
      <c r="J2202" s="0" t="s">
        <v>9655</v>
      </c>
      <c r="K2202" s="0" t="s">
        <v>175</v>
      </c>
      <c r="M2202" s="0" t="s">
        <v>9656</v>
      </c>
      <c r="N2202" s="0" t="str">
        <f aca="false">RIGHT(M2202,LEN(M2202)-FIND(" ",M2202))</f>
        <v>PERKINS DR NW</v>
      </c>
      <c r="P2202" s="0" t="s">
        <v>146</v>
      </c>
      <c r="Q2202" s="0" t="s">
        <v>147</v>
      </c>
      <c r="R2202" s="0" t="n">
        <v>44483</v>
      </c>
      <c r="AD2202" s="0" t="s">
        <v>148</v>
      </c>
      <c r="AE2202" s="0" t="s">
        <v>149</v>
      </c>
      <c r="AF2202" s="0" t="s">
        <v>150</v>
      </c>
      <c r="AH2202" s="0" t="n">
        <v>14</v>
      </c>
      <c r="AI2202" s="0" t="n">
        <v>11</v>
      </c>
      <c r="AN2202" s="0" t="s">
        <v>146</v>
      </c>
      <c r="AO2202" s="0" t="s">
        <v>151</v>
      </c>
      <c r="AP2202" s="0" t="s">
        <v>152</v>
      </c>
      <c r="AQ2202" s="0" t="n">
        <v>9</v>
      </c>
      <c r="AR2202" s="0" t="n">
        <v>64</v>
      </c>
      <c r="AS2202" s="0" t="n">
        <v>32</v>
      </c>
      <c r="AU2202" s="0" t="n">
        <f aca="false">COUNTA($BA$1774:$EH$1774)</f>
        <v>1</v>
      </c>
      <c r="AV2202" s="0" t="n">
        <f aca="false">COUNTIF($BA$1774:$EH$1774,"D")</f>
        <v>0</v>
      </c>
      <c r="AW2202" s="0" t="n">
        <f aca="false">COUNTIF($BA$1774:$EH$1774,"R")</f>
        <v>0</v>
      </c>
      <c r="AX2202" s="0" t="n">
        <f aca="false"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>0</v>
      </c>
      <c r="AY2202" s="0" t="n">
        <f aca="false">COUNTIF(DU2202:EH2202, "&lt;&gt;")</f>
        <v>3</v>
      </c>
      <c r="AZ2202" s="0" t="n">
        <f aca="false">IF(EH2202&lt;&gt;"",1,0)</f>
        <v>0</v>
      </c>
      <c r="BB2202" s="0" t="s">
        <v>153</v>
      </c>
      <c r="CN2202" s="0" t="s">
        <v>154</v>
      </c>
      <c r="DU2202" s="0" t="s">
        <v>154</v>
      </c>
      <c r="EA2202" s="0" t="s">
        <v>154</v>
      </c>
      <c r="EF2202" s="0" t="s">
        <v>154</v>
      </c>
    </row>
    <row r="2203" customFormat="false" ht="13.8" hidden="false" customHeight="false" outlineLevel="0" collapsed="false">
      <c r="A2203" s="0" t="s">
        <v>9657</v>
      </c>
      <c r="B2203" s="0" t="n">
        <v>78</v>
      </c>
      <c r="C2203" s="0" t="n">
        <v>336678</v>
      </c>
      <c r="D2203" s="0" t="s">
        <v>6312</v>
      </c>
      <c r="E2203" s="0" t="s">
        <v>2900</v>
      </c>
      <c r="F2203" s="0" t="str">
        <f aca="false">CONCATENATE(D2203," ",LEFT(H2203,4),"T=",AU2203,"D=",AV2203,"R=",AW2203,"M=",AX2203,"L=",AY2203,"B=",AZ2203)</f>
        <v>FUMEROLA SRT=2D=0R=0M=1L=6B=0</v>
      </c>
      <c r="G2203" s="0" t="s">
        <v>652</v>
      </c>
      <c r="H2203" s="0" t="s">
        <v>311</v>
      </c>
      <c r="I2203" s="0" t="s">
        <v>9658</v>
      </c>
      <c r="J2203" s="0" t="s">
        <v>1268</v>
      </c>
      <c r="K2203" s="0" t="s">
        <v>175</v>
      </c>
      <c r="L2203" s="1" t="s">
        <v>176</v>
      </c>
      <c r="M2203" s="0" t="s">
        <v>9656</v>
      </c>
      <c r="N2203" s="0" t="str">
        <f aca="false">RIGHT(M2203,LEN(M2203)-FIND(" ",M2203))</f>
        <v>PERKINS DR NW</v>
      </c>
      <c r="P2203" s="0" t="s">
        <v>146</v>
      </c>
      <c r="Q2203" s="0" t="s">
        <v>147</v>
      </c>
      <c r="R2203" s="0" t="n">
        <v>44483</v>
      </c>
      <c r="AD2203" s="0" t="s">
        <v>148</v>
      </c>
      <c r="AE2203" s="0" t="s">
        <v>149</v>
      </c>
      <c r="AF2203" s="0" t="s">
        <v>150</v>
      </c>
      <c r="AH2203" s="0" t="n">
        <v>14</v>
      </c>
      <c r="AI2203" s="0" t="n">
        <v>11</v>
      </c>
      <c r="AN2203" s="0" t="s">
        <v>146</v>
      </c>
      <c r="AO2203" s="0" t="s">
        <v>151</v>
      </c>
      <c r="AP2203" s="0" t="s">
        <v>152</v>
      </c>
      <c r="AQ2203" s="0" t="n">
        <v>9</v>
      </c>
      <c r="AR2203" s="0" t="n">
        <v>64</v>
      </c>
      <c r="AS2203" s="0" t="n">
        <v>32</v>
      </c>
      <c r="AU2203" s="0" t="n">
        <f aca="false">COUNTA($BA$1975:$EH$1975)</f>
        <v>2</v>
      </c>
      <c r="AV2203" s="0" t="n">
        <f aca="false">COUNTIF($BA$1975:$EH$1975,"D")</f>
        <v>0</v>
      </c>
      <c r="AW2203" s="0" t="n">
        <f aca="false">COUNTIF($BA$1975:$EH$1975,"R")</f>
        <v>0</v>
      </c>
      <c r="AX2203" s="0" t="n">
        <f aca="false"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>1</v>
      </c>
      <c r="AY2203" s="0" t="n">
        <f aca="false">COUNTIF(DU2203:EH2203, "&lt;&gt;")</f>
        <v>6</v>
      </c>
      <c r="AZ2203" s="0" t="n">
        <f aca="false">IF(EH2203&lt;&gt;"",1,0)</f>
        <v>0</v>
      </c>
      <c r="BB2203" s="0" t="s">
        <v>153</v>
      </c>
      <c r="BS2203" s="0" t="s">
        <v>154</v>
      </c>
      <c r="BV2203" s="0" t="s">
        <v>154</v>
      </c>
      <c r="BY2203" s="0" t="s">
        <v>155</v>
      </c>
      <c r="CA2203" s="0" t="s">
        <v>154</v>
      </c>
      <c r="CP2203" s="0" t="s">
        <v>154</v>
      </c>
      <c r="CY2203" s="0" t="s">
        <v>154</v>
      </c>
      <c r="DN2203" s="0" t="s">
        <v>154</v>
      </c>
      <c r="DU2203" s="0" t="s">
        <v>154</v>
      </c>
      <c r="DW2203" s="0" t="s">
        <v>155</v>
      </c>
      <c r="DX2203" s="0" t="s">
        <v>154</v>
      </c>
      <c r="EA2203" s="0" t="s">
        <v>154</v>
      </c>
      <c r="ED2203" s="0" t="s">
        <v>176</v>
      </c>
      <c r="EF2203" s="0" t="s">
        <v>154</v>
      </c>
    </row>
    <row r="2204" customFormat="false" ht="13.8" hidden="true" customHeight="false" outlineLevel="0" collapsed="false">
      <c r="A2204" s="0" t="s">
        <v>9659</v>
      </c>
      <c r="B2204" s="0" t="n">
        <v>78</v>
      </c>
      <c r="C2204" s="0" t="n">
        <v>292075</v>
      </c>
      <c r="D2204" s="0" t="s">
        <v>7267</v>
      </c>
      <c r="E2204" s="0" t="s">
        <v>1693</v>
      </c>
      <c r="F2204" s="0" t="str">
        <f aca="false">CONCATENATE(D2204," ",LEFT(H2204,4),"T=",AU2204,"D=",AV2204,"R=",AW2204,"M=",AX2204,"L=",AY2204,"B=",AZ2204)</f>
        <v>HUFF T=19D=6R=0M=0L=0B=0</v>
      </c>
      <c r="G2204" s="0" t="s">
        <v>241</v>
      </c>
      <c r="I2204" s="0" t="s">
        <v>9660</v>
      </c>
      <c r="J2204" s="0" t="s">
        <v>9661</v>
      </c>
      <c r="K2204" s="0" t="s">
        <v>144</v>
      </c>
      <c r="L2204" s="0"/>
      <c r="M2204" s="0" t="s">
        <v>9662</v>
      </c>
      <c r="N2204" s="0" t="str">
        <f aca="false">RIGHT(M2204,LEN(M2204)-FIND(" ",M2204))</f>
        <v>PERKINS DR NW</v>
      </c>
      <c r="P2204" s="0" t="s">
        <v>146</v>
      </c>
      <c r="Q2204" s="0" t="s">
        <v>147</v>
      </c>
      <c r="R2204" s="0" t="n">
        <v>44483</v>
      </c>
      <c r="AD2204" s="0" t="s">
        <v>148</v>
      </c>
      <c r="AE2204" s="0" t="s">
        <v>149</v>
      </c>
      <c r="AF2204" s="0" t="s">
        <v>150</v>
      </c>
      <c r="AH2204" s="0" t="n">
        <v>14</v>
      </c>
      <c r="AI2204" s="0" t="n">
        <v>11</v>
      </c>
      <c r="AN2204" s="0" t="s">
        <v>146</v>
      </c>
      <c r="AO2204" s="0" t="s">
        <v>151</v>
      </c>
      <c r="AP2204" s="0" t="s">
        <v>152</v>
      </c>
      <c r="AQ2204" s="0" t="n">
        <v>9</v>
      </c>
      <c r="AR2204" s="0" t="n">
        <v>64</v>
      </c>
      <c r="AS2204" s="0" t="n">
        <v>32</v>
      </c>
      <c r="AU2204" s="0" t="n">
        <f aca="false">COUNTA($BA$1675:$EH$1675)</f>
        <v>19</v>
      </c>
      <c r="AV2204" s="0" t="n">
        <f aca="false">COUNTIF($BA$1675:$EH$1675,"D")</f>
        <v>6</v>
      </c>
      <c r="AW2204" s="0" t="n">
        <f aca="false">COUNTIF($BA$1675:$EH$1675,"R")</f>
        <v>0</v>
      </c>
      <c r="AX2204" s="0" t="n">
        <f aca="false"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>0</v>
      </c>
      <c r="AY2204" s="0" t="n">
        <f aca="false">COUNTIF(DU2204:EH2204, "&lt;&gt;")</f>
        <v>0</v>
      </c>
      <c r="AZ2204" s="0" t="n">
        <f aca="false">IF(EH2204&lt;&gt;"",1,0)</f>
        <v>0</v>
      </c>
      <c r="BB2204" s="0" t="s">
        <v>153</v>
      </c>
      <c r="BD2204" s="0" t="s">
        <v>154</v>
      </c>
    </row>
    <row r="2205" customFormat="false" ht="13.8" hidden="false" customHeight="false" outlineLevel="0" collapsed="false">
      <c r="A2205" s="0" t="s">
        <v>9663</v>
      </c>
      <c r="B2205" s="0" t="n">
        <v>78</v>
      </c>
      <c r="C2205" s="0" t="n">
        <v>80868</v>
      </c>
      <c r="D2205" s="0" t="s">
        <v>8214</v>
      </c>
      <c r="E2205" s="0" t="s">
        <v>4374</v>
      </c>
      <c r="F2205" s="0" t="str">
        <f aca="false">CONCATENATE(D2205," ",LEFT(H2205,4),"T=",AU2205,"D=",AV2205,"R=",AW2205,"M=",AX2205,"L=",AY2205,"B=",AZ2205)</f>
        <v>DECAPITO T=10D=1R=0M=0L=5B=0</v>
      </c>
      <c r="G2205" s="0" t="s">
        <v>2939</v>
      </c>
      <c r="I2205" s="0" t="s">
        <v>9664</v>
      </c>
      <c r="J2205" s="0" t="s">
        <v>9665</v>
      </c>
      <c r="K2205" s="0" t="s">
        <v>175</v>
      </c>
      <c r="L2205" s="1" t="s">
        <v>176</v>
      </c>
      <c r="M2205" s="0" t="s">
        <v>9662</v>
      </c>
      <c r="N2205" s="0" t="str">
        <f aca="false">RIGHT(M2205,LEN(M2205)-FIND(" ",M2205))</f>
        <v>PERKINS DR NW</v>
      </c>
      <c r="P2205" s="0" t="s">
        <v>146</v>
      </c>
      <c r="Q2205" s="0" t="s">
        <v>147</v>
      </c>
      <c r="R2205" s="0" t="n">
        <v>44483</v>
      </c>
      <c r="AD2205" s="0" t="s">
        <v>148</v>
      </c>
      <c r="AE2205" s="0" t="s">
        <v>149</v>
      </c>
      <c r="AF2205" s="0" t="s">
        <v>150</v>
      </c>
      <c r="AH2205" s="0" t="n">
        <v>14</v>
      </c>
      <c r="AI2205" s="0" t="n">
        <v>11</v>
      </c>
      <c r="AN2205" s="0" t="s">
        <v>146</v>
      </c>
      <c r="AO2205" s="0" t="s">
        <v>151</v>
      </c>
      <c r="AP2205" s="0" t="s">
        <v>152</v>
      </c>
      <c r="AQ2205" s="0" t="n">
        <v>9</v>
      </c>
      <c r="AR2205" s="0" t="n">
        <v>64</v>
      </c>
      <c r="AS2205" s="0" t="n">
        <v>32</v>
      </c>
      <c r="AU2205" s="0" t="n">
        <f aca="false">COUNTA($BA$1927:$EH$1927)</f>
        <v>10</v>
      </c>
      <c r="AV2205" s="0" t="n">
        <f aca="false">COUNTIF($BA$1927:$EH$1927,"D")</f>
        <v>1</v>
      </c>
      <c r="AW2205" s="0" t="n">
        <f aca="false">COUNTIF($BA$1927:$EH$1927,"R")</f>
        <v>0</v>
      </c>
      <c r="AX2205" s="0" t="n">
        <f aca="false"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>0</v>
      </c>
      <c r="AY2205" s="0" t="n">
        <f aca="false">COUNTIF(DU2205:EH2205, "&lt;&gt;")</f>
        <v>5</v>
      </c>
      <c r="AZ2205" s="0" t="n">
        <f aca="false">IF(EH2205&lt;&gt;"",1,0)</f>
        <v>0</v>
      </c>
      <c r="BB2205" s="0" t="s">
        <v>153</v>
      </c>
      <c r="BC2205" s="0" t="s">
        <v>154</v>
      </c>
      <c r="BD2205" s="0" t="s">
        <v>154</v>
      </c>
      <c r="BF2205" s="0" t="s">
        <v>154</v>
      </c>
      <c r="BG2205" s="0" t="s">
        <v>154</v>
      </c>
      <c r="BH2205" s="0" t="s">
        <v>154</v>
      </c>
      <c r="BJ2205" s="0" t="s">
        <v>154</v>
      </c>
      <c r="BK2205" s="0" t="s">
        <v>154</v>
      </c>
      <c r="BL2205" s="0" t="s">
        <v>154</v>
      </c>
      <c r="BP2205" s="0" t="s">
        <v>154</v>
      </c>
      <c r="BS2205" s="0" t="s">
        <v>154</v>
      </c>
      <c r="BY2205" s="0" t="s">
        <v>176</v>
      </c>
      <c r="CA2205" s="0" t="s">
        <v>154</v>
      </c>
      <c r="CG2205" s="0" t="s">
        <v>154</v>
      </c>
      <c r="CH2205" s="0" t="s">
        <v>176</v>
      </c>
      <c r="CK2205" s="0" t="s">
        <v>154</v>
      </c>
      <c r="CN2205" s="0" t="s">
        <v>154</v>
      </c>
      <c r="CO2205" s="0" t="s">
        <v>176</v>
      </c>
      <c r="CP2205" s="0" t="s">
        <v>154</v>
      </c>
      <c r="CQ2205" s="0" t="s">
        <v>154</v>
      </c>
      <c r="CT2205" s="0" t="s">
        <v>154</v>
      </c>
      <c r="CU2205" s="0" t="s">
        <v>176</v>
      </c>
      <c r="CV2205" s="0" t="s">
        <v>154</v>
      </c>
      <c r="CY2205" s="0" t="s">
        <v>154</v>
      </c>
      <c r="CZ2205" s="0" t="s">
        <v>176</v>
      </c>
      <c r="DC2205" s="0" t="s">
        <v>154</v>
      </c>
      <c r="DG2205" s="0" t="s">
        <v>176</v>
      </c>
      <c r="DI2205" s="0" t="s">
        <v>154</v>
      </c>
      <c r="DL2205" s="0" t="s">
        <v>154</v>
      </c>
      <c r="DM2205" s="0" t="s">
        <v>176</v>
      </c>
      <c r="DN2205" s="0" t="s">
        <v>154</v>
      </c>
      <c r="DS2205" s="0" t="s">
        <v>176</v>
      </c>
      <c r="DT2205" s="0" t="s">
        <v>176</v>
      </c>
      <c r="DU2205" s="0" t="s">
        <v>154</v>
      </c>
      <c r="DX2205" s="0" t="s">
        <v>154</v>
      </c>
      <c r="EA2205" s="0" t="s">
        <v>154</v>
      </c>
      <c r="ED2205" s="0" t="s">
        <v>176</v>
      </c>
      <c r="EF2205" s="0" t="s">
        <v>154</v>
      </c>
    </row>
    <row r="2206" customFormat="false" ht="13.8" hidden="false" customHeight="false" outlineLevel="0" collapsed="false">
      <c r="A2206" s="0" t="s">
        <v>9666</v>
      </c>
      <c r="B2206" s="0" t="n">
        <v>78</v>
      </c>
      <c r="C2206" s="0" t="n">
        <v>417824</v>
      </c>
      <c r="D2206" s="0" t="s">
        <v>9667</v>
      </c>
      <c r="E2206" s="0" t="s">
        <v>1180</v>
      </c>
      <c r="F2206" s="0" t="str">
        <f aca="false">CONCATENATE(D2206," ",LEFT(H2206,4),"T=",AU2206,"D=",AV2206,"R=",AW2206,"M=",AX2206,"L=",AY2206,"B=",AZ2206)</f>
        <v>KLIPPEL T=17D=0R=1M=1L=3B=0</v>
      </c>
      <c r="G2206" s="0" t="s">
        <v>202</v>
      </c>
      <c r="I2206" s="0" t="s">
        <v>9668</v>
      </c>
      <c r="J2206" s="0" t="s">
        <v>9669</v>
      </c>
      <c r="K2206" s="0" t="s">
        <v>175</v>
      </c>
      <c r="L2206" s="1" t="s">
        <v>155</v>
      </c>
      <c r="M2206" s="0" t="s">
        <v>9670</v>
      </c>
      <c r="N2206" s="0" t="str">
        <f aca="false">RIGHT(M2206,LEN(M2206)-FIND(" ",M2206))</f>
        <v>PERKINS DR NW</v>
      </c>
      <c r="P2206" s="0" t="s">
        <v>146</v>
      </c>
      <c r="Q2206" s="0" t="s">
        <v>147</v>
      </c>
      <c r="R2206" s="0" t="n">
        <v>44483</v>
      </c>
      <c r="AD2206" s="0" t="s">
        <v>148</v>
      </c>
      <c r="AE2206" s="0" t="s">
        <v>149</v>
      </c>
      <c r="AF2206" s="0" t="s">
        <v>150</v>
      </c>
      <c r="AH2206" s="0" t="n">
        <v>14</v>
      </c>
      <c r="AI2206" s="0" t="n">
        <v>11</v>
      </c>
      <c r="AN2206" s="0" t="s">
        <v>146</v>
      </c>
      <c r="AO2206" s="0" t="s">
        <v>151</v>
      </c>
      <c r="AP2206" s="0" t="s">
        <v>152</v>
      </c>
      <c r="AQ2206" s="0" t="n">
        <v>9</v>
      </c>
      <c r="AR2206" s="0" t="n">
        <v>64</v>
      </c>
      <c r="AS2206" s="0" t="n">
        <v>32</v>
      </c>
      <c r="AU2206" s="0" t="n">
        <f aca="false">COUNTA($BA$1668:$EH$1668)</f>
        <v>17</v>
      </c>
      <c r="AV2206" s="0" t="n">
        <f aca="false">COUNTIF($BA$1668:$EH$1668,"D")</f>
        <v>0</v>
      </c>
      <c r="AW2206" s="0" t="n">
        <f aca="false">COUNTIF($BA$1668:$EH$1668,"R")</f>
        <v>1</v>
      </c>
      <c r="AX2206" s="0" t="n">
        <f aca="false"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>1</v>
      </c>
      <c r="AY2206" s="0" t="n">
        <f aca="false">COUNTIF(DU2206:EH2206, "&lt;&gt;")</f>
        <v>3</v>
      </c>
      <c r="AZ2206" s="0" t="n">
        <f aca="false">IF(EH2206&lt;&gt;"",1,0)</f>
        <v>0</v>
      </c>
      <c r="BB2206" s="0" t="s">
        <v>153</v>
      </c>
      <c r="DC2206" s="0" t="s">
        <v>154</v>
      </c>
      <c r="DN2206" s="0" t="s">
        <v>154</v>
      </c>
      <c r="DU2206" s="0" t="s">
        <v>154</v>
      </c>
      <c r="DW2206" s="0" t="s">
        <v>155</v>
      </c>
      <c r="EF2206" s="0" t="s">
        <v>154</v>
      </c>
    </row>
    <row r="2207" customFormat="false" ht="13.8" hidden="false" customHeight="false" outlineLevel="0" collapsed="false">
      <c r="A2207" s="0" t="s">
        <v>9671</v>
      </c>
      <c r="B2207" s="0" t="n">
        <v>78</v>
      </c>
      <c r="C2207" s="0" t="n">
        <v>224528</v>
      </c>
      <c r="D2207" s="0" t="s">
        <v>645</v>
      </c>
      <c r="E2207" s="0" t="s">
        <v>7744</v>
      </c>
      <c r="F2207" s="0" t="str">
        <f aca="false">CONCATENATE(D2207," ",LEFT(H2207,4),"T=",AU2207,"D=",AV2207,"R=",AW2207,"M=",AX2207,"L=",AY2207,"B=",AZ2207)</f>
        <v>WILLIAMS T=2D=0R=0M=2L=6B=0</v>
      </c>
      <c r="G2207" s="0" t="s">
        <v>1788</v>
      </c>
      <c r="I2207" s="0" t="s">
        <v>9672</v>
      </c>
      <c r="J2207" s="0" t="s">
        <v>9673</v>
      </c>
      <c r="K2207" s="0" t="s">
        <v>175</v>
      </c>
      <c r="L2207" s="1" t="s">
        <v>155</v>
      </c>
      <c r="M2207" s="0" t="s">
        <v>9674</v>
      </c>
      <c r="N2207" s="0" t="str">
        <f aca="false">RIGHT(M2207,LEN(M2207)-FIND(" ",M2207))</f>
        <v>PERKINS DR NW</v>
      </c>
      <c r="P2207" s="0" t="s">
        <v>146</v>
      </c>
      <c r="Q2207" s="0" t="s">
        <v>147</v>
      </c>
      <c r="R2207" s="0" t="n">
        <v>44483</v>
      </c>
      <c r="AD2207" s="0" t="s">
        <v>148</v>
      </c>
      <c r="AE2207" s="0" t="s">
        <v>149</v>
      </c>
      <c r="AF2207" s="0" t="s">
        <v>150</v>
      </c>
      <c r="AH2207" s="0" t="n">
        <v>14</v>
      </c>
      <c r="AI2207" s="0" t="n">
        <v>11</v>
      </c>
      <c r="AN2207" s="0" t="s">
        <v>146</v>
      </c>
      <c r="AO2207" s="0" t="s">
        <v>151</v>
      </c>
      <c r="AP2207" s="0" t="s">
        <v>152</v>
      </c>
      <c r="AQ2207" s="0" t="n">
        <v>9</v>
      </c>
      <c r="AR2207" s="0" t="n">
        <v>64</v>
      </c>
      <c r="AS2207" s="0" t="n">
        <v>32</v>
      </c>
      <c r="AU2207" s="0" t="n">
        <f aca="false">COUNTA($BA$1834:$EH$1834)</f>
        <v>2</v>
      </c>
      <c r="AV2207" s="0" t="n">
        <f aca="false">COUNTIF($BA$1834:$EH$1834,"D")</f>
        <v>0</v>
      </c>
      <c r="AW2207" s="0" t="n">
        <f aca="false">COUNTIF($BA$1834:$EH$1834,"R")</f>
        <v>0</v>
      </c>
      <c r="AX2207" s="0" t="n">
        <f aca="false"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>2</v>
      </c>
      <c r="AY2207" s="0" t="n">
        <f aca="false">COUNTIF(DU2207:EH2207, "&lt;&gt;")</f>
        <v>6</v>
      </c>
      <c r="AZ2207" s="0" t="n">
        <f aca="false">IF(EH2207&lt;&gt;"",1,0)</f>
        <v>0</v>
      </c>
      <c r="BB2207" s="0" t="s">
        <v>153</v>
      </c>
      <c r="BD2207" s="0" t="s">
        <v>154</v>
      </c>
      <c r="BG2207" s="0" t="s">
        <v>154</v>
      </c>
      <c r="BH2207" s="0" t="s">
        <v>154</v>
      </c>
      <c r="BJ2207" s="0" t="s">
        <v>154</v>
      </c>
      <c r="BL2207" s="0" t="s">
        <v>154</v>
      </c>
      <c r="BP2207" s="0" t="s">
        <v>154</v>
      </c>
      <c r="BS2207" s="0" t="s">
        <v>154</v>
      </c>
      <c r="BV2207" s="0" t="s">
        <v>154</v>
      </c>
      <c r="BY2207" s="0" t="s">
        <v>155</v>
      </c>
      <c r="CA2207" s="0" t="s">
        <v>154</v>
      </c>
      <c r="CL2207" s="0" t="s">
        <v>155</v>
      </c>
      <c r="CN2207" s="0" t="s">
        <v>154</v>
      </c>
      <c r="CP2207" s="0" t="s">
        <v>154</v>
      </c>
      <c r="CV2207" s="0" t="s">
        <v>154</v>
      </c>
      <c r="DC2207" s="0" t="s">
        <v>154</v>
      </c>
      <c r="DF2207" s="0" t="s">
        <v>154</v>
      </c>
      <c r="DI2207" s="0" t="s">
        <v>154</v>
      </c>
      <c r="DL2207" s="0" t="s">
        <v>154</v>
      </c>
      <c r="DM2207" s="0" t="s">
        <v>155</v>
      </c>
      <c r="DN2207" s="0" t="s">
        <v>154</v>
      </c>
      <c r="DU2207" s="0" t="s">
        <v>154</v>
      </c>
      <c r="DW2207" s="0" t="s">
        <v>155</v>
      </c>
      <c r="DX2207" s="0" t="s">
        <v>154</v>
      </c>
      <c r="EA2207" s="0" t="s">
        <v>154</v>
      </c>
      <c r="ED2207" s="0" t="s">
        <v>155</v>
      </c>
      <c r="EF2207" s="0" t="s">
        <v>154</v>
      </c>
    </row>
    <row r="2208" customFormat="false" ht="13.8" hidden="true" customHeight="false" outlineLevel="0" collapsed="false">
      <c r="A2208" s="0" t="s">
        <v>9675</v>
      </c>
      <c r="B2208" s="0" t="n">
        <v>78</v>
      </c>
      <c r="C2208" s="0" t="n">
        <v>361279</v>
      </c>
      <c r="D2208" s="0" t="s">
        <v>5841</v>
      </c>
      <c r="E2208" s="0" t="s">
        <v>9676</v>
      </c>
      <c r="F2208" s="0" t="str">
        <f aca="false">CONCATENATE(D2208," ",LEFT(H2208,4),"T=",AU2208,"D=",AV2208,"R=",AW2208,"M=",AX2208,"L=",AY2208,"B=",AZ2208)</f>
        <v>GREEN T=14D=2R=0M=0L=1B=0</v>
      </c>
      <c r="G2208" s="0" t="s">
        <v>188</v>
      </c>
      <c r="I2208" s="0" t="s">
        <v>9677</v>
      </c>
      <c r="J2208" s="0" t="s">
        <v>9678</v>
      </c>
      <c r="K2208" s="0" t="s">
        <v>175</v>
      </c>
      <c r="L2208" s="0"/>
      <c r="M2208" s="0" t="s">
        <v>9679</v>
      </c>
      <c r="N2208" s="0" t="str">
        <f aca="false">RIGHT(M2208,LEN(M2208)-FIND(" ",M2208))</f>
        <v>PERKINS DR NW</v>
      </c>
      <c r="P2208" s="0" t="s">
        <v>146</v>
      </c>
      <c r="Q2208" s="0" t="s">
        <v>147</v>
      </c>
      <c r="R2208" s="0" t="n">
        <v>44483</v>
      </c>
      <c r="AD2208" s="0" t="s">
        <v>148</v>
      </c>
      <c r="AE2208" s="0" t="s">
        <v>149</v>
      </c>
      <c r="AF2208" s="0" t="s">
        <v>150</v>
      </c>
      <c r="AH2208" s="0" t="n">
        <v>14</v>
      </c>
      <c r="AI2208" s="0" t="n">
        <v>11</v>
      </c>
      <c r="AN2208" s="0" t="s">
        <v>146</v>
      </c>
      <c r="AO2208" s="0" t="s">
        <v>151</v>
      </c>
      <c r="AP2208" s="0" t="s">
        <v>152</v>
      </c>
      <c r="AQ2208" s="0" t="n">
        <v>9</v>
      </c>
      <c r="AR2208" s="0" t="n">
        <v>64</v>
      </c>
      <c r="AS2208" s="0" t="n">
        <v>32</v>
      </c>
      <c r="AU2208" s="0" t="n">
        <f aca="false">COUNTA($BA$1792:$EH$1792)</f>
        <v>14</v>
      </c>
      <c r="AV2208" s="0" t="n">
        <f aca="false">COUNTIF($BA$1792:$EH$1792,"D")</f>
        <v>2</v>
      </c>
      <c r="AW2208" s="0" t="n">
        <f aca="false">COUNTIF($BA$1792:$EH$1792,"R")</f>
        <v>0</v>
      </c>
      <c r="AX2208" s="0" t="n">
        <f aca="false"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>0</v>
      </c>
      <c r="AY2208" s="0" t="n">
        <f aca="false">COUNTIF(DU2208:EH2208, "&lt;&gt;")</f>
        <v>1</v>
      </c>
      <c r="AZ2208" s="0" t="n">
        <f aca="false">IF(EH2208&lt;&gt;"",1,0)</f>
        <v>0</v>
      </c>
      <c r="BB2208" s="0" t="s">
        <v>153</v>
      </c>
      <c r="CK2208" s="0" t="s">
        <v>154</v>
      </c>
      <c r="CN2208" s="0" t="s">
        <v>154</v>
      </c>
      <c r="CP2208" s="0" t="s">
        <v>154</v>
      </c>
      <c r="CY2208" s="0" t="s">
        <v>154</v>
      </c>
      <c r="DC2208" s="0" t="s">
        <v>154</v>
      </c>
      <c r="DI2208" s="0" t="s">
        <v>154</v>
      </c>
      <c r="DN2208" s="0" t="s">
        <v>154</v>
      </c>
      <c r="EA2208" s="0" t="s">
        <v>154</v>
      </c>
    </row>
    <row r="2209" customFormat="false" ht="13.8" hidden="true" customHeight="false" outlineLevel="0" collapsed="false">
      <c r="A2209" s="0" t="s">
        <v>9680</v>
      </c>
      <c r="B2209" s="0" t="n">
        <v>78</v>
      </c>
      <c r="C2209" s="0" t="n">
        <v>328239</v>
      </c>
      <c r="D2209" s="0" t="s">
        <v>2859</v>
      </c>
      <c r="E2209" s="0" t="s">
        <v>9681</v>
      </c>
      <c r="F2209" s="0" t="str">
        <f aca="false">CONCATENATE(D2209," ",LEFT(H2209,4),"T=",AU2209,"D=",AV2209,"R=",AW2209,"M=",AX2209,"L=",AY2209,"B=",AZ2209)</f>
        <v>OLIVER T=19D=2R=5M=0L=0B=0</v>
      </c>
      <c r="G2209" s="0" t="s">
        <v>297</v>
      </c>
      <c r="I2209" s="0" t="s">
        <v>5431</v>
      </c>
      <c r="J2209" s="0" t="s">
        <v>342</v>
      </c>
      <c r="K2209" s="0" t="s">
        <v>144</v>
      </c>
      <c r="L2209" s="0"/>
      <c r="M2209" s="0" t="s">
        <v>9682</v>
      </c>
      <c r="N2209" s="0" t="str">
        <f aca="false">RIGHT(M2209,LEN(M2209)-FIND(" ",M2209))</f>
        <v>PERKINS DR NW</v>
      </c>
      <c r="P2209" s="0" t="s">
        <v>146</v>
      </c>
      <c r="Q2209" s="0" t="s">
        <v>147</v>
      </c>
      <c r="R2209" s="0" t="n">
        <v>44483</v>
      </c>
      <c r="AD2209" s="0" t="s">
        <v>148</v>
      </c>
      <c r="AE2209" s="0" t="s">
        <v>149</v>
      </c>
      <c r="AF2209" s="0" t="s">
        <v>150</v>
      </c>
      <c r="AH2209" s="0" t="n">
        <v>14</v>
      </c>
      <c r="AI2209" s="0" t="n">
        <v>11</v>
      </c>
      <c r="AN2209" s="0" t="s">
        <v>146</v>
      </c>
      <c r="AO2209" s="0" t="s">
        <v>151</v>
      </c>
      <c r="AP2209" s="0" t="s">
        <v>152</v>
      </c>
      <c r="AQ2209" s="0" t="n">
        <v>9</v>
      </c>
      <c r="AR2209" s="0" t="n">
        <v>64</v>
      </c>
      <c r="AS2209" s="0" t="n">
        <v>32</v>
      </c>
      <c r="AU2209" s="0" t="n">
        <f aca="false">COUNTA($BA$1482:$EH$1482)</f>
        <v>19</v>
      </c>
      <c r="AV2209" s="0" t="n">
        <f aca="false">COUNTIF($BA$1482:$EH$1482,"D")</f>
        <v>2</v>
      </c>
      <c r="AW2209" s="0" t="n">
        <f aca="false">COUNTIF($BA$1482:$EH$1482,"R")</f>
        <v>5</v>
      </c>
      <c r="AX2209" s="0" t="n">
        <f aca="false"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>0</v>
      </c>
      <c r="AY2209" s="0" t="n">
        <f aca="false">COUNTIF(DU2209:EH2209, "&lt;&gt;")</f>
        <v>0</v>
      </c>
      <c r="AZ2209" s="0" t="n">
        <f aca="false">IF(EH2209&lt;&gt;"",1,0)</f>
        <v>0</v>
      </c>
      <c r="BB2209" s="0" t="s">
        <v>153</v>
      </c>
      <c r="BL2209" s="0" t="s">
        <v>154</v>
      </c>
    </row>
    <row r="2210" customFormat="false" ht="13.8" hidden="false" customHeight="false" outlineLevel="0" collapsed="false">
      <c r="A2210" s="0" t="s">
        <v>9683</v>
      </c>
      <c r="B2210" s="0" t="n">
        <v>78</v>
      </c>
      <c r="C2210" s="0" t="n">
        <v>396895</v>
      </c>
      <c r="D2210" s="0" t="s">
        <v>2859</v>
      </c>
      <c r="E2210" s="0" t="s">
        <v>9684</v>
      </c>
      <c r="F2210" s="0" t="str">
        <f aca="false">CONCATENATE(D2210," ",LEFT(H2210,4),"T=",AU2210,"D=",AV2210,"R=",AW2210,"M=",AX2210,"L=",AY2210,"B=",AZ2210)</f>
        <v>OLIVER T=31D=5R=1M=0L=2B=0</v>
      </c>
      <c r="G2210" s="0" t="s">
        <v>202</v>
      </c>
      <c r="I2210" s="0" t="s">
        <v>9685</v>
      </c>
      <c r="J2210" s="0" t="s">
        <v>2583</v>
      </c>
      <c r="K2210" s="0" t="s">
        <v>175</v>
      </c>
      <c r="L2210" s="1" t="s">
        <v>155</v>
      </c>
      <c r="M2210" s="0" t="s">
        <v>9682</v>
      </c>
      <c r="N2210" s="0" t="str">
        <f aca="false">RIGHT(M2210,LEN(M2210)-FIND(" ",M2210))</f>
        <v>PERKINS DR NW</v>
      </c>
      <c r="P2210" s="0" t="s">
        <v>146</v>
      </c>
      <c r="Q2210" s="0" t="s">
        <v>147</v>
      </c>
      <c r="R2210" s="0" t="n">
        <v>44483</v>
      </c>
      <c r="AD2210" s="0" t="s">
        <v>148</v>
      </c>
      <c r="AE2210" s="0" t="s">
        <v>149</v>
      </c>
      <c r="AF2210" s="0" t="s">
        <v>150</v>
      </c>
      <c r="AH2210" s="0" t="n">
        <v>14</v>
      </c>
      <c r="AI2210" s="0" t="n">
        <v>11</v>
      </c>
      <c r="AN2210" s="0" t="s">
        <v>146</v>
      </c>
      <c r="AO2210" s="0" t="s">
        <v>151</v>
      </c>
      <c r="AP2210" s="0" t="s">
        <v>152</v>
      </c>
      <c r="AQ2210" s="0" t="n">
        <v>9</v>
      </c>
      <c r="AR2210" s="0" t="n">
        <v>64</v>
      </c>
      <c r="AS2210" s="0" t="n">
        <v>32</v>
      </c>
      <c r="AU2210" s="0" t="n">
        <f aca="false">COUNTA($BA$1660:$EH$1660)</f>
        <v>31</v>
      </c>
      <c r="AV2210" s="0" t="n">
        <f aca="false">COUNTIF($BA$1660:$EH$1660,"D")</f>
        <v>5</v>
      </c>
      <c r="AW2210" s="0" t="n">
        <f aca="false">COUNTIF($BA$1660:$EH$1660,"R")</f>
        <v>1</v>
      </c>
      <c r="AX2210" s="0" t="n">
        <f aca="false"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>0</v>
      </c>
      <c r="AY2210" s="0" t="n">
        <f aca="false">COUNTIF(DU2210:EH2210, "&lt;&gt;")</f>
        <v>2</v>
      </c>
      <c r="AZ2210" s="0" t="n">
        <f aca="false">IF(EH2210&lt;&gt;"",1,0)</f>
        <v>0</v>
      </c>
      <c r="BB2210" s="0" t="s">
        <v>153</v>
      </c>
      <c r="BS2210" s="0" t="s">
        <v>154</v>
      </c>
      <c r="CA2210" s="0" t="s">
        <v>154</v>
      </c>
      <c r="CK2210" s="0" t="s">
        <v>154</v>
      </c>
      <c r="CP2210" s="0" t="s">
        <v>154</v>
      </c>
      <c r="CZ2210" s="0" t="s">
        <v>155</v>
      </c>
      <c r="DC2210" s="0" t="s">
        <v>154</v>
      </c>
      <c r="DI2210" s="0" t="s">
        <v>154</v>
      </c>
      <c r="DN2210" s="0" t="s">
        <v>154</v>
      </c>
      <c r="DT2210" s="0" t="s">
        <v>155</v>
      </c>
      <c r="DU2210" s="0" t="s">
        <v>154</v>
      </c>
      <c r="EF2210" s="0" t="s">
        <v>154</v>
      </c>
    </row>
    <row r="2211" customFormat="false" ht="13.8" hidden="true" customHeight="false" outlineLevel="0" collapsed="false">
      <c r="A2211" s="0" t="s">
        <v>9686</v>
      </c>
      <c r="B2211" s="0" t="n">
        <v>78</v>
      </c>
      <c r="C2211" s="0" t="n">
        <v>486683</v>
      </c>
      <c r="D2211" s="0" t="s">
        <v>9687</v>
      </c>
      <c r="E2211" s="0" t="s">
        <v>9688</v>
      </c>
      <c r="F2211" s="0" t="str">
        <f aca="false">CONCATENATE(D2211," ",LEFT(H2211,4),"T=",AU2211,"D=",AV2211,"R=",AW2211,"M=",AX2211,"L=",AY2211,"B=",AZ2211)</f>
        <v>CASPARY T=4D=0R=0M=0L=1B=0</v>
      </c>
      <c r="G2211" s="0" t="s">
        <v>241</v>
      </c>
      <c r="I2211" s="0" t="s">
        <v>9689</v>
      </c>
      <c r="J2211" s="0" t="s">
        <v>9690</v>
      </c>
      <c r="K2211" s="0" t="s">
        <v>175</v>
      </c>
      <c r="L2211" s="0"/>
      <c r="M2211" s="0" t="s">
        <v>9691</v>
      </c>
      <c r="N2211" s="0" t="str">
        <f aca="false">RIGHT(M2211,LEN(M2211)-FIND(" ",M2211))</f>
        <v>PERKINS DR NW</v>
      </c>
      <c r="P2211" s="0" t="s">
        <v>146</v>
      </c>
      <c r="Q2211" s="0" t="s">
        <v>147</v>
      </c>
      <c r="R2211" s="0" t="n">
        <v>44483</v>
      </c>
      <c r="AD2211" s="0" t="s">
        <v>148</v>
      </c>
      <c r="AE2211" s="0" t="s">
        <v>149</v>
      </c>
      <c r="AF2211" s="0" t="s">
        <v>150</v>
      </c>
      <c r="AH2211" s="0" t="n">
        <v>14</v>
      </c>
      <c r="AI2211" s="0" t="n">
        <v>11</v>
      </c>
      <c r="AN2211" s="0" t="s">
        <v>146</v>
      </c>
      <c r="AO2211" s="0" t="s">
        <v>151</v>
      </c>
      <c r="AP2211" s="0" t="s">
        <v>152</v>
      </c>
      <c r="AQ2211" s="0" t="n">
        <v>9</v>
      </c>
      <c r="AR2211" s="0" t="n">
        <v>64</v>
      </c>
      <c r="AS2211" s="0" t="n">
        <v>32</v>
      </c>
      <c r="AU2211" s="0" t="n">
        <f aca="false">COUNTA($BA$1171:$EH$1171)</f>
        <v>4</v>
      </c>
      <c r="AV2211" s="0" t="n">
        <f aca="false">COUNTIF($BA$1171:$EH$1171,"D")</f>
        <v>0</v>
      </c>
      <c r="AW2211" s="0" t="n">
        <f aca="false">COUNTIF($BA$1171:$EH$1171,"R")</f>
        <v>0</v>
      </c>
      <c r="AX2211" s="0" t="n">
        <f aca="false"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>0</v>
      </c>
      <c r="AY2211" s="0" t="n">
        <f aca="false">COUNTIF(DU2211:EH2211, "&lt;&gt;")</f>
        <v>1</v>
      </c>
      <c r="AZ2211" s="0" t="n">
        <f aca="false">IF(EH2211&lt;&gt;"",1,0)</f>
        <v>0</v>
      </c>
      <c r="BB2211" s="0" t="s">
        <v>153</v>
      </c>
      <c r="CA2211" s="0" t="s">
        <v>154</v>
      </c>
      <c r="CP2211" s="0" t="s">
        <v>154</v>
      </c>
      <c r="EF2211" s="0" t="s">
        <v>154</v>
      </c>
    </row>
    <row r="2212" customFormat="false" ht="13.8" hidden="true" customHeight="false" outlineLevel="0" collapsed="false">
      <c r="A2212" s="0" t="s">
        <v>9692</v>
      </c>
      <c r="B2212" s="0" t="n">
        <v>78</v>
      </c>
      <c r="C2212" s="0" t="n">
        <v>261534</v>
      </c>
      <c r="D2212" s="0" t="s">
        <v>2575</v>
      </c>
      <c r="E2212" s="0" t="s">
        <v>5111</v>
      </c>
      <c r="F2212" s="0" t="str">
        <f aca="false">CONCATENATE(D2212," ",LEFT(H2212,4),"T=",AU2212,"D=",AV2212,"R=",AW2212,"M=",AX2212,"L=",AY2212,"B=",AZ2212)</f>
        <v>FLOWERS T=2D=0R=0M=0L=0B=0</v>
      </c>
      <c r="G2212" s="0" t="s">
        <v>297</v>
      </c>
      <c r="I2212" s="0" t="s">
        <v>9693</v>
      </c>
      <c r="J2212" s="0" t="s">
        <v>9694</v>
      </c>
      <c r="K2212" s="0" t="s">
        <v>175</v>
      </c>
      <c r="L2212" s="0"/>
      <c r="M2212" s="0" t="s">
        <v>9695</v>
      </c>
      <c r="N2212" s="0" t="str">
        <f aca="false">RIGHT(M2212,LEN(M2212)-FIND(" ",M2212))</f>
        <v>PERKINS DR NW</v>
      </c>
      <c r="P2212" s="0" t="s">
        <v>146</v>
      </c>
      <c r="Q2212" s="0" t="s">
        <v>147</v>
      </c>
      <c r="R2212" s="0" t="n">
        <v>44483</v>
      </c>
      <c r="AD2212" s="0" t="s">
        <v>148</v>
      </c>
      <c r="AE2212" s="0" t="s">
        <v>149</v>
      </c>
      <c r="AF2212" s="0" t="s">
        <v>150</v>
      </c>
      <c r="AH2212" s="0" t="n">
        <v>14</v>
      </c>
      <c r="AI2212" s="0" t="n">
        <v>11</v>
      </c>
      <c r="AN2212" s="0" t="s">
        <v>146</v>
      </c>
      <c r="AO2212" s="0" t="s">
        <v>151</v>
      </c>
      <c r="AP2212" s="0" t="s">
        <v>152</v>
      </c>
      <c r="AQ2212" s="0" t="n">
        <v>9</v>
      </c>
      <c r="AR2212" s="0" t="n">
        <v>64</v>
      </c>
      <c r="AS2212" s="0" t="n">
        <v>32</v>
      </c>
      <c r="AU2212" s="0" t="n">
        <f aca="false">COUNTA($BA$1229:$EH$1229)</f>
        <v>2</v>
      </c>
      <c r="AV2212" s="0" t="n">
        <f aca="false">COUNTIF($BA$1229:$EH$1229,"D")</f>
        <v>0</v>
      </c>
      <c r="AW2212" s="0" t="n">
        <f aca="false">COUNTIF($BA$1229:$EH$1229,"R")</f>
        <v>0</v>
      </c>
      <c r="AX2212" s="0" t="n">
        <f aca="false"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>0</v>
      </c>
      <c r="AY2212" s="0" t="n">
        <f aca="false">COUNTIF(DU2212:EH2212, "&lt;&gt;")</f>
        <v>0</v>
      </c>
      <c r="AZ2212" s="0" t="n">
        <f aca="false">IF(EH2212&lt;&gt;"",1,0)</f>
        <v>0</v>
      </c>
      <c r="BB2212" s="0" t="s">
        <v>153</v>
      </c>
    </row>
    <row r="2213" customFormat="false" ht="13.8" hidden="false" customHeight="false" outlineLevel="0" collapsed="false">
      <c r="A2213" s="0" t="s">
        <v>9696</v>
      </c>
      <c r="B2213" s="0" t="n">
        <v>78</v>
      </c>
      <c r="C2213" s="0" t="n">
        <v>428367</v>
      </c>
      <c r="D2213" s="0" t="s">
        <v>9697</v>
      </c>
      <c r="E2213" s="0" t="s">
        <v>429</v>
      </c>
      <c r="F2213" s="0" t="str">
        <f aca="false">CONCATENATE(D2213," ",LEFT(H2213,4),"T=",AU2213,"D=",AV2213,"R=",AW2213,"M=",AX2213,"L=",AY2213,"B=",AZ2213)</f>
        <v>MUIR T=1D=0R=0M=3L=6B=1</v>
      </c>
      <c r="G2213" s="0" t="s">
        <v>513</v>
      </c>
      <c r="I2213" s="0" t="s">
        <v>9698</v>
      </c>
      <c r="J2213" s="0" t="s">
        <v>9699</v>
      </c>
      <c r="K2213" s="0" t="s">
        <v>175</v>
      </c>
      <c r="L2213" s="1" t="s">
        <v>155</v>
      </c>
      <c r="M2213" s="0" t="s">
        <v>9700</v>
      </c>
      <c r="N2213" s="0" t="str">
        <f aca="false">RIGHT(M2213,LEN(M2213)-FIND(" ",M2213))</f>
        <v>PERKINS DR NW</v>
      </c>
      <c r="O2213" s="0" t="s">
        <v>7938</v>
      </c>
      <c r="P2213" s="0" t="s">
        <v>146</v>
      </c>
      <c r="Q2213" s="0" t="s">
        <v>147</v>
      </c>
      <c r="R2213" s="0" t="n">
        <v>44483</v>
      </c>
      <c r="AD2213" s="0" t="s">
        <v>148</v>
      </c>
      <c r="AE2213" s="0" t="s">
        <v>149</v>
      </c>
      <c r="AF2213" s="0" t="s">
        <v>150</v>
      </c>
      <c r="AH2213" s="0" t="n">
        <v>14</v>
      </c>
      <c r="AI2213" s="0" t="n">
        <v>11</v>
      </c>
      <c r="AN2213" s="0" t="s">
        <v>146</v>
      </c>
      <c r="AO2213" s="0" t="s">
        <v>151</v>
      </c>
      <c r="AP2213" s="0" t="s">
        <v>152</v>
      </c>
      <c r="AQ2213" s="0" t="n">
        <v>9</v>
      </c>
      <c r="AR2213" s="0" t="n">
        <v>64</v>
      </c>
      <c r="AS2213" s="0" t="n">
        <v>32</v>
      </c>
      <c r="AU2213" s="0" t="n">
        <f aca="false">COUNTA($BA$1971:$EH$1971)</f>
        <v>1</v>
      </c>
      <c r="AV2213" s="0" t="n">
        <f aca="false">COUNTIF($BA$1971:$EH$1971,"D")</f>
        <v>0</v>
      </c>
      <c r="AW2213" s="0" t="n">
        <f aca="false">COUNTIF($BA$1971:$EH$1971,"R")</f>
        <v>0</v>
      </c>
      <c r="AX2213" s="0" t="n">
        <f aca="false"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>3</v>
      </c>
      <c r="AY2213" s="0" t="n">
        <f aca="false">COUNTIF(DU2213:EH2213, "&lt;&gt;")</f>
        <v>6</v>
      </c>
      <c r="AZ2213" s="0" t="n">
        <f aca="false">IF(EH2213&lt;&gt;"",1,0)</f>
        <v>1</v>
      </c>
      <c r="BB2213" s="0" t="s">
        <v>153</v>
      </c>
      <c r="BD2213" s="0" t="s">
        <v>154</v>
      </c>
      <c r="BF2213" s="0" t="s">
        <v>154</v>
      </c>
      <c r="BH2213" s="0" t="s">
        <v>154</v>
      </c>
      <c r="BK2213" s="0" t="s">
        <v>155</v>
      </c>
      <c r="BL2213" s="0" t="s">
        <v>154</v>
      </c>
      <c r="BP2213" s="0" t="s">
        <v>154</v>
      </c>
      <c r="BR2213" s="0" t="s">
        <v>155</v>
      </c>
      <c r="BS2213" s="0" t="s">
        <v>154</v>
      </c>
      <c r="BV2213" s="0" t="s">
        <v>154</v>
      </c>
      <c r="BY2213" s="0" t="s">
        <v>155</v>
      </c>
      <c r="CA2213" s="0" t="s">
        <v>154</v>
      </c>
      <c r="CK2213" s="0" t="s">
        <v>154</v>
      </c>
      <c r="CN2213" s="0" t="s">
        <v>154</v>
      </c>
      <c r="CP2213" s="0" t="s">
        <v>154</v>
      </c>
      <c r="CV2213" s="0" t="s">
        <v>154</v>
      </c>
      <c r="DG2213" s="0" t="s">
        <v>155</v>
      </c>
      <c r="DI2213" s="0" t="s">
        <v>154</v>
      </c>
      <c r="DJ2213" s="0" t="s">
        <v>155</v>
      </c>
      <c r="DL2213" s="0" t="s">
        <v>154</v>
      </c>
      <c r="DM2213" s="0" t="s">
        <v>155</v>
      </c>
      <c r="DN2213" s="0" t="s">
        <v>154</v>
      </c>
      <c r="DR2213" s="0" t="s">
        <v>154</v>
      </c>
      <c r="DS2213" s="0" t="s">
        <v>155</v>
      </c>
      <c r="DU2213" s="0" t="s">
        <v>154</v>
      </c>
      <c r="DW2213" s="0" t="s">
        <v>155</v>
      </c>
      <c r="DX2213" s="0" t="s">
        <v>154</v>
      </c>
      <c r="EA2213" s="0" t="s">
        <v>154</v>
      </c>
      <c r="EF2213" s="0" t="s">
        <v>154</v>
      </c>
      <c r="EH2213" s="0" t="s">
        <v>155</v>
      </c>
    </row>
    <row r="2214" customFormat="false" ht="13.8" hidden="false" customHeight="false" outlineLevel="0" collapsed="false">
      <c r="A2214" s="0" t="s">
        <v>9701</v>
      </c>
      <c r="B2214" s="0" t="n">
        <v>78</v>
      </c>
      <c r="C2214" s="0" t="n">
        <v>365066</v>
      </c>
      <c r="D2214" s="0" t="s">
        <v>9702</v>
      </c>
      <c r="E2214" s="0" t="s">
        <v>652</v>
      </c>
      <c r="F2214" s="0" t="str">
        <f aca="false">CONCATENATE(D2214," ",LEFT(H2214,4),"T=",AU2214,"D=",AV2214,"R=",AW2214,"M=",AX2214,"L=",AY2214,"B=",AZ2214)</f>
        <v>MONTAGNA T=2D=0R=0M=3L=4B=1</v>
      </c>
      <c r="G2214" s="0" t="s">
        <v>241</v>
      </c>
      <c r="I2214" s="0" t="s">
        <v>9703</v>
      </c>
      <c r="J2214" s="0" t="s">
        <v>516</v>
      </c>
      <c r="K2214" s="0" t="s">
        <v>175</v>
      </c>
      <c r="L2214" s="1" t="s">
        <v>155</v>
      </c>
      <c r="M2214" s="0" t="s">
        <v>9704</v>
      </c>
      <c r="N2214" s="0" t="str">
        <f aca="false">RIGHT(M2214,LEN(M2214)-FIND(" ",M2214))</f>
        <v>PERKINS DR NW</v>
      </c>
      <c r="P2214" s="0" t="s">
        <v>146</v>
      </c>
      <c r="Q2214" s="0" t="s">
        <v>147</v>
      </c>
      <c r="R2214" s="0" t="n">
        <v>44483</v>
      </c>
      <c r="AD2214" s="0" t="s">
        <v>148</v>
      </c>
      <c r="AE2214" s="0" t="s">
        <v>149</v>
      </c>
      <c r="AF2214" s="0" t="s">
        <v>150</v>
      </c>
      <c r="AH2214" s="0" t="n">
        <v>14</v>
      </c>
      <c r="AI2214" s="0" t="n">
        <v>11</v>
      </c>
      <c r="AN2214" s="0" t="s">
        <v>146</v>
      </c>
      <c r="AO2214" s="0" t="s">
        <v>151</v>
      </c>
      <c r="AP2214" s="0" t="s">
        <v>152</v>
      </c>
      <c r="AQ2214" s="0" t="n">
        <v>9</v>
      </c>
      <c r="AR2214" s="0" t="n">
        <v>64</v>
      </c>
      <c r="AS2214" s="0" t="n">
        <v>32</v>
      </c>
      <c r="AU2214" s="0" t="n">
        <f aca="false">COUNTA($BA$2037:$EH$2037)</f>
        <v>2</v>
      </c>
      <c r="AV2214" s="0" t="n">
        <f aca="false">COUNTIF($BA$2037:$EH$2037,"D")</f>
        <v>0</v>
      </c>
      <c r="AW2214" s="0" t="n">
        <f aca="false">COUNTIF($BA$2037:$EH$2037,"R")</f>
        <v>0</v>
      </c>
      <c r="AX2214" s="0" t="n">
        <f aca="false"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>3</v>
      </c>
      <c r="AY2214" s="0" t="n">
        <f aca="false">COUNTIF(DU2214:EH2214, "&lt;&gt;")</f>
        <v>4</v>
      </c>
      <c r="AZ2214" s="0" t="n">
        <f aca="false">IF(EH2214&lt;&gt;"",1,0)</f>
        <v>1</v>
      </c>
      <c r="BB2214" s="0" t="s">
        <v>153</v>
      </c>
      <c r="CA2214" s="0" t="s">
        <v>154</v>
      </c>
      <c r="CL2214" s="0" t="s">
        <v>155</v>
      </c>
      <c r="CO2214" s="0" t="s">
        <v>155</v>
      </c>
      <c r="CP2214" s="0" t="s">
        <v>154</v>
      </c>
      <c r="CT2214" s="0" t="s">
        <v>154</v>
      </c>
      <c r="CV2214" s="0" t="s">
        <v>154</v>
      </c>
      <c r="CY2214" s="0" t="s">
        <v>154</v>
      </c>
      <c r="DC2214" s="0" t="s">
        <v>154</v>
      </c>
      <c r="DL2214" s="0" t="s">
        <v>154</v>
      </c>
      <c r="DN2214" s="0" t="s">
        <v>154</v>
      </c>
      <c r="DO2214" s="0" t="s">
        <v>155</v>
      </c>
      <c r="DU2214" s="0" t="s">
        <v>154</v>
      </c>
      <c r="DW2214" s="0" t="s">
        <v>155</v>
      </c>
      <c r="EF2214" s="0" t="s">
        <v>154</v>
      </c>
      <c r="EH2214" s="0" t="s">
        <v>154</v>
      </c>
    </row>
    <row r="2215" customFormat="false" ht="13.8" hidden="true" customHeight="false" outlineLevel="0" collapsed="false">
      <c r="A2215" s="0" t="s">
        <v>9705</v>
      </c>
      <c r="B2215" s="0" t="n">
        <v>78</v>
      </c>
      <c r="C2215" s="0" t="n">
        <v>496471</v>
      </c>
      <c r="D2215" s="0" t="s">
        <v>7870</v>
      </c>
      <c r="E2215" s="0" t="s">
        <v>9706</v>
      </c>
      <c r="F2215" s="0" t="str">
        <f aca="false">CONCATENATE(D2215," ",LEFT(H2215,4),"T=",AU2215,"D=",AV2215,"R=",AW2215,"M=",AX2215,"L=",AY2215,"B=",AZ2215)</f>
        <v>DIXON T=1D=0R=0M=0L=0B=0</v>
      </c>
      <c r="G2215" s="0" t="s">
        <v>155</v>
      </c>
      <c r="I2215" s="0" t="s">
        <v>9707</v>
      </c>
      <c r="J2215" s="0" t="s">
        <v>9708</v>
      </c>
      <c r="K2215" s="0" t="s">
        <v>175</v>
      </c>
      <c r="L2215" s="0"/>
      <c r="M2215" s="0" t="s">
        <v>9709</v>
      </c>
      <c r="N2215" s="0" t="str">
        <f aca="false">RIGHT(M2215,LEN(M2215)-FIND(" ",M2215))</f>
        <v>PERKINS DR NW</v>
      </c>
      <c r="O2215" s="0" t="s">
        <v>9710</v>
      </c>
      <c r="P2215" s="0" t="s">
        <v>146</v>
      </c>
      <c r="Q2215" s="0" t="s">
        <v>147</v>
      </c>
      <c r="R2215" s="0" t="n">
        <v>44483</v>
      </c>
      <c r="AD2215" s="0" t="s">
        <v>148</v>
      </c>
      <c r="AE2215" s="0" t="s">
        <v>149</v>
      </c>
      <c r="AF2215" s="0" t="s">
        <v>150</v>
      </c>
      <c r="AH2215" s="0" t="n">
        <v>14</v>
      </c>
      <c r="AI2215" s="0" t="n">
        <v>11</v>
      </c>
      <c r="AN2215" s="0" t="s">
        <v>146</v>
      </c>
      <c r="AO2215" s="0" t="s">
        <v>151</v>
      </c>
      <c r="AP2215" s="0" t="s">
        <v>152</v>
      </c>
      <c r="AQ2215" s="0" t="n">
        <v>9</v>
      </c>
      <c r="AR2215" s="0" t="n">
        <v>64</v>
      </c>
      <c r="AS2215" s="0" t="n">
        <v>32</v>
      </c>
      <c r="AU2215" s="0" t="n">
        <f aca="false">COUNTA($BA$1412:$EH$1412)</f>
        <v>1</v>
      </c>
      <c r="AV2215" s="0" t="n">
        <f aca="false">COUNTIF($BA$1412:$EH$1412,"D")</f>
        <v>0</v>
      </c>
      <c r="AW2215" s="0" t="n">
        <f aca="false">COUNTIF($BA$1412:$EH$1412,"R")</f>
        <v>0</v>
      </c>
      <c r="AX2215" s="0" t="n">
        <f aca="false"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>0</v>
      </c>
      <c r="AY2215" s="0" t="n">
        <f aca="false">COUNTIF(DU2215:EH2215, "&lt;&gt;")</f>
        <v>0</v>
      </c>
      <c r="AZ2215" s="0" t="n">
        <f aca="false">IF(EH2215&lt;&gt;"",1,0)</f>
        <v>0</v>
      </c>
      <c r="BB2215" s="0" t="s">
        <v>153</v>
      </c>
    </row>
    <row r="2216" customFormat="false" ht="13.8" hidden="true" customHeight="false" outlineLevel="0" collapsed="false">
      <c r="A2216" s="0" t="s">
        <v>9711</v>
      </c>
      <c r="B2216" s="0" t="n">
        <v>78</v>
      </c>
      <c r="C2216" s="0" t="n">
        <v>475337</v>
      </c>
      <c r="D2216" s="0" t="s">
        <v>9712</v>
      </c>
      <c r="E2216" s="0" t="s">
        <v>1555</v>
      </c>
      <c r="F2216" s="0" t="str">
        <f aca="false">CONCATENATE(D2216," ",LEFT(H2216,4),"T=",AU2216,"D=",AV2216,"R=",AW2216,"M=",AX2216,"L=",AY2216,"B=",AZ2216)</f>
        <v>MOSS T=14D=2R=0M=0L=0B=0</v>
      </c>
      <c r="G2216" s="0" t="s">
        <v>216</v>
      </c>
      <c r="I2216" s="0" t="s">
        <v>9713</v>
      </c>
      <c r="J2216" s="0" t="s">
        <v>9714</v>
      </c>
      <c r="K2216" s="0" t="s">
        <v>175</v>
      </c>
      <c r="L2216" s="0"/>
      <c r="M2216" s="0" t="s">
        <v>9709</v>
      </c>
      <c r="N2216" s="0" t="str">
        <f aca="false">RIGHT(M2216,LEN(M2216)-FIND(" ",M2216))</f>
        <v>PERKINS DR NW</v>
      </c>
      <c r="O2216" s="0" t="s">
        <v>184</v>
      </c>
      <c r="P2216" s="0" t="s">
        <v>146</v>
      </c>
      <c r="Q2216" s="0" t="s">
        <v>147</v>
      </c>
      <c r="R2216" s="0" t="n">
        <v>44483</v>
      </c>
      <c r="AD2216" s="0" t="s">
        <v>148</v>
      </c>
      <c r="AE2216" s="0" t="s">
        <v>149</v>
      </c>
      <c r="AF2216" s="0" t="s">
        <v>150</v>
      </c>
      <c r="AH2216" s="0" t="n">
        <v>14</v>
      </c>
      <c r="AI2216" s="0" t="n">
        <v>11</v>
      </c>
      <c r="AN2216" s="0" t="s">
        <v>146</v>
      </c>
      <c r="AO2216" s="0" t="s">
        <v>151</v>
      </c>
      <c r="AP2216" s="0" t="s">
        <v>152</v>
      </c>
      <c r="AQ2216" s="0" t="n">
        <v>9</v>
      </c>
      <c r="AR2216" s="0" t="n">
        <v>64</v>
      </c>
      <c r="AS2216" s="0" t="n">
        <v>32</v>
      </c>
      <c r="AU2216" s="0" t="n">
        <f aca="false">COUNTA($BA$1624:$EH$1624)</f>
        <v>14</v>
      </c>
      <c r="AV2216" s="0" t="n">
        <f aca="false">COUNTIF($BA$1624:$EH$1624,"D")</f>
        <v>2</v>
      </c>
      <c r="AW2216" s="0" t="n">
        <f aca="false">COUNTIF($BA$1624:$EH$1624,"R")</f>
        <v>0</v>
      </c>
      <c r="AX2216" s="0" t="n">
        <f aca="false"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>0</v>
      </c>
      <c r="AY2216" s="0" t="n">
        <f aca="false">COUNTIF(DU2216:EH2216, "&lt;&gt;")</f>
        <v>0</v>
      </c>
      <c r="AZ2216" s="0" t="n">
        <f aca="false">IF(EH2216&lt;&gt;"",1,0)</f>
        <v>0</v>
      </c>
      <c r="BB2216" s="0" t="s">
        <v>153</v>
      </c>
      <c r="DN2216" s="0" t="s">
        <v>154</v>
      </c>
    </row>
    <row r="2217" customFormat="false" ht="13.8" hidden="true" customHeight="false" outlineLevel="0" collapsed="false">
      <c r="A2217" s="0" t="s">
        <v>9715</v>
      </c>
      <c r="B2217" s="0" t="n">
        <v>78</v>
      </c>
      <c r="C2217" s="0" t="n">
        <v>356340</v>
      </c>
      <c r="D2217" s="0" t="s">
        <v>1062</v>
      </c>
      <c r="E2217" s="0" t="s">
        <v>1405</v>
      </c>
      <c r="F2217" s="0" t="str">
        <f aca="false">CONCATENATE(D2217," ",LEFT(H2217,4),"T=",AU2217,"D=",AV2217,"R=",AW2217,"M=",AX2217,"L=",AY2217,"B=",AZ2217)</f>
        <v>BROWNING T=4D=0R=0M=0L=0B=0</v>
      </c>
      <c r="G2217" s="0" t="s">
        <v>216</v>
      </c>
      <c r="I2217" s="0" t="s">
        <v>9716</v>
      </c>
      <c r="J2217" s="0" t="s">
        <v>9717</v>
      </c>
      <c r="K2217" s="0" t="s">
        <v>144</v>
      </c>
      <c r="L2217" s="0"/>
      <c r="M2217" s="0" t="s">
        <v>9709</v>
      </c>
      <c r="N2217" s="0" t="str">
        <f aca="false">RIGHT(M2217,LEN(M2217)-FIND(" ",M2217))</f>
        <v>PERKINS DR NW</v>
      </c>
      <c r="O2217" s="0" t="s">
        <v>184</v>
      </c>
      <c r="P2217" s="0" t="s">
        <v>146</v>
      </c>
      <c r="Q2217" s="0" t="s">
        <v>147</v>
      </c>
      <c r="R2217" s="0" t="n">
        <v>44483</v>
      </c>
      <c r="AD2217" s="0" t="s">
        <v>148</v>
      </c>
      <c r="AE2217" s="0" t="s">
        <v>149</v>
      </c>
      <c r="AF2217" s="0" t="s">
        <v>150</v>
      </c>
      <c r="AH2217" s="0" t="n">
        <v>14</v>
      </c>
      <c r="AI2217" s="0" t="n">
        <v>11</v>
      </c>
      <c r="AN2217" s="0" t="s">
        <v>146</v>
      </c>
      <c r="AO2217" s="0" t="s">
        <v>151</v>
      </c>
      <c r="AP2217" s="0" t="s">
        <v>152</v>
      </c>
      <c r="AQ2217" s="0" t="n">
        <v>9</v>
      </c>
      <c r="AR2217" s="0" t="n">
        <v>64</v>
      </c>
      <c r="AS2217" s="0" t="n">
        <v>32</v>
      </c>
      <c r="AU2217" s="0" t="n">
        <f aca="false">COUNTA($BA$1809:$EH$1809)</f>
        <v>4</v>
      </c>
      <c r="AV2217" s="0" t="n">
        <f aca="false">COUNTIF($BA$1809:$EH$1809,"D")</f>
        <v>0</v>
      </c>
      <c r="AW2217" s="0" t="n">
        <f aca="false">COUNTIF($BA$1809:$EH$1809,"R")</f>
        <v>0</v>
      </c>
      <c r="AX2217" s="0" t="n">
        <f aca="false"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>0</v>
      </c>
      <c r="AY2217" s="0" t="n">
        <f aca="false">COUNTIF(DU2217:EH2217, "&lt;&gt;")</f>
        <v>0</v>
      </c>
      <c r="AZ2217" s="0" t="n">
        <f aca="false">IF(EH2217&lt;&gt;"",1,0)</f>
        <v>0</v>
      </c>
      <c r="BB2217" s="0" t="s">
        <v>153</v>
      </c>
      <c r="DC2217" s="0" t="s">
        <v>154</v>
      </c>
    </row>
    <row r="2218" customFormat="false" ht="13.8" hidden="false" customHeight="false" outlineLevel="0" collapsed="false">
      <c r="A2218" s="0" t="s">
        <v>9718</v>
      </c>
      <c r="B2218" s="0" t="n">
        <v>78</v>
      </c>
      <c r="C2218" s="0" t="n">
        <v>391466</v>
      </c>
      <c r="D2218" s="0" t="s">
        <v>9719</v>
      </c>
      <c r="E2218" s="0" t="s">
        <v>2060</v>
      </c>
      <c r="F2218" s="0" t="str">
        <f aca="false">CONCATENATE(D2218," ",LEFT(H2218,4),"T=",AU2218,"D=",AV2218,"R=",AW2218,"M=",AX2218,"L=",AY2218,"B=",AZ2218)</f>
        <v>PHILLIPS T=1D=0R=0M=4L=7B=1</v>
      </c>
      <c r="G2218" s="0" t="s">
        <v>181</v>
      </c>
      <c r="I2218" s="0" t="s">
        <v>9720</v>
      </c>
      <c r="J2218" s="0" t="s">
        <v>6607</v>
      </c>
      <c r="K2218" s="0" t="s">
        <v>175</v>
      </c>
      <c r="L2218" s="1" t="s">
        <v>155</v>
      </c>
      <c r="M2218" s="0" t="s">
        <v>9721</v>
      </c>
      <c r="N2218" s="0" t="str">
        <f aca="false">RIGHT(M2218,LEN(M2218)-FIND(" ",M2218))</f>
        <v>PERKINS DR NW</v>
      </c>
      <c r="P2218" s="0" t="s">
        <v>146</v>
      </c>
      <c r="Q2218" s="0" t="s">
        <v>147</v>
      </c>
      <c r="R2218" s="0" t="n">
        <v>44483</v>
      </c>
      <c r="AD2218" s="0" t="s">
        <v>148</v>
      </c>
      <c r="AE2218" s="0" t="s">
        <v>149</v>
      </c>
      <c r="AF2218" s="0" t="s">
        <v>150</v>
      </c>
      <c r="AH2218" s="0" t="n">
        <v>14</v>
      </c>
      <c r="AI2218" s="0" t="n">
        <v>11</v>
      </c>
      <c r="AN2218" s="0" t="s">
        <v>146</v>
      </c>
      <c r="AO2218" s="0" t="s">
        <v>151</v>
      </c>
      <c r="AP2218" s="0" t="s">
        <v>152</v>
      </c>
      <c r="AQ2218" s="0" t="n">
        <v>9</v>
      </c>
      <c r="AR2218" s="0" t="n">
        <v>64</v>
      </c>
      <c r="AS2218" s="0" t="n">
        <v>32</v>
      </c>
      <c r="AU2218" s="0" t="n">
        <f aca="false">COUNTA($BA$1686:$EH$1686)</f>
        <v>1</v>
      </c>
      <c r="AV2218" s="0" t="n">
        <f aca="false">COUNTIF($BA$1686:$EH$1686,"D")</f>
        <v>0</v>
      </c>
      <c r="AW2218" s="0" t="n">
        <f aca="false">COUNTIF($BA$1686:$EH$1686,"R")</f>
        <v>0</v>
      </c>
      <c r="AX2218" s="0" t="n">
        <f aca="false"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>4</v>
      </c>
      <c r="AY2218" s="0" t="n">
        <f aca="false">COUNTIF(DU2218:EH2218, "&lt;&gt;")</f>
        <v>7</v>
      </c>
      <c r="AZ2218" s="0" t="n">
        <f aca="false">IF(EH2218&lt;&gt;"",1,0)</f>
        <v>1</v>
      </c>
      <c r="BB2218" s="0" t="s">
        <v>153</v>
      </c>
      <c r="BL2218" s="0" t="s">
        <v>154</v>
      </c>
      <c r="CA2218" s="0" t="s">
        <v>154</v>
      </c>
      <c r="CK2218" s="0" t="s">
        <v>154</v>
      </c>
      <c r="CP2218" s="0" t="s">
        <v>154</v>
      </c>
      <c r="CV2218" s="0" t="s">
        <v>154</v>
      </c>
      <c r="CY2218" s="0" t="s">
        <v>154</v>
      </c>
      <c r="CZ2218" s="0" t="s">
        <v>155</v>
      </c>
      <c r="DC2218" s="0" t="s">
        <v>154</v>
      </c>
      <c r="DF2218" s="0" t="s">
        <v>154</v>
      </c>
      <c r="DG2218" s="0" t="s">
        <v>155</v>
      </c>
      <c r="DI2218" s="0" t="s">
        <v>154</v>
      </c>
      <c r="DJ2218" s="0" t="s">
        <v>155</v>
      </c>
      <c r="DL2218" s="0" t="s">
        <v>154</v>
      </c>
      <c r="DN2218" s="0" t="s">
        <v>154</v>
      </c>
      <c r="DO2218" s="0" t="s">
        <v>155</v>
      </c>
      <c r="DR2218" s="0" t="s">
        <v>154</v>
      </c>
      <c r="DT2218" s="0" t="s">
        <v>155</v>
      </c>
      <c r="DU2218" s="0" t="s">
        <v>154</v>
      </c>
      <c r="DW2218" s="0" t="s">
        <v>155</v>
      </c>
      <c r="DX2218" s="0" t="s">
        <v>154</v>
      </c>
      <c r="EA2218" s="0" t="s">
        <v>154</v>
      </c>
      <c r="ED2218" s="0" t="s">
        <v>155</v>
      </c>
      <c r="EF2218" s="0" t="s">
        <v>154</v>
      </c>
      <c r="EH2218" s="0" t="s">
        <v>155</v>
      </c>
    </row>
    <row r="2219" customFormat="false" ht="13.8" hidden="false" customHeight="false" outlineLevel="0" collapsed="false">
      <c r="A2219" s="0" t="s">
        <v>9722</v>
      </c>
      <c r="B2219" s="0" t="n">
        <v>78</v>
      </c>
      <c r="C2219" s="0" t="n">
        <v>323926</v>
      </c>
      <c r="D2219" s="0" t="s">
        <v>9719</v>
      </c>
      <c r="E2219" s="0" t="s">
        <v>1122</v>
      </c>
      <c r="F2219" s="0" t="str">
        <f aca="false">CONCATENATE(D2219," ",LEFT(H2219,4),"T=",AU2219,"D=",AV2219,"R=",AW2219,"M=",AX2219,"L=",AY2219,"B=",AZ2219)</f>
        <v>PHILLIPS T=15D=2R=2M=2L=6B=0</v>
      </c>
      <c r="G2219" s="0" t="s">
        <v>9723</v>
      </c>
      <c r="I2219" s="0" t="s">
        <v>6157</v>
      </c>
      <c r="J2219" s="0" t="s">
        <v>9724</v>
      </c>
      <c r="K2219" s="0" t="s">
        <v>175</v>
      </c>
      <c r="L2219" s="1" t="s">
        <v>155</v>
      </c>
      <c r="M2219" s="0" t="s">
        <v>9721</v>
      </c>
      <c r="N2219" s="0" t="str">
        <f aca="false">RIGHT(M2219,LEN(M2219)-FIND(" ",M2219))</f>
        <v>PERKINS DR NW</v>
      </c>
      <c r="P2219" s="0" t="s">
        <v>146</v>
      </c>
      <c r="Q2219" s="0" t="s">
        <v>147</v>
      </c>
      <c r="R2219" s="0" t="n">
        <v>44483</v>
      </c>
      <c r="AD2219" s="0" t="s">
        <v>148</v>
      </c>
      <c r="AE2219" s="0" t="s">
        <v>149</v>
      </c>
      <c r="AF2219" s="0" t="s">
        <v>150</v>
      </c>
      <c r="AH2219" s="0" t="n">
        <v>14</v>
      </c>
      <c r="AI2219" s="0" t="n">
        <v>11</v>
      </c>
      <c r="AN2219" s="0" t="s">
        <v>146</v>
      </c>
      <c r="AO2219" s="0" t="s">
        <v>151</v>
      </c>
      <c r="AP2219" s="0" t="s">
        <v>152</v>
      </c>
      <c r="AQ2219" s="0" t="n">
        <v>9</v>
      </c>
      <c r="AR2219" s="0" t="n">
        <v>64</v>
      </c>
      <c r="AS2219" s="0" t="n">
        <v>32</v>
      </c>
      <c r="AU2219" s="0" t="n">
        <f aca="false">COUNTA($BA$1722:$EH$1722)</f>
        <v>15</v>
      </c>
      <c r="AV2219" s="0" t="n">
        <f aca="false">COUNTIF($BA$1722:$EH$1722,"D")</f>
        <v>2</v>
      </c>
      <c r="AW2219" s="0" t="n">
        <f aca="false">COUNTIF($BA$1722:$EH$1722,"R")</f>
        <v>2</v>
      </c>
      <c r="AX2219" s="0" t="n">
        <f aca="false"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>2</v>
      </c>
      <c r="AY2219" s="0" t="n">
        <f aca="false">COUNTIF(DU2219:EH2219, "&lt;&gt;")</f>
        <v>6</v>
      </c>
      <c r="AZ2219" s="0" t="n">
        <f aca="false">IF(EH2219&lt;&gt;"",1,0)</f>
        <v>0</v>
      </c>
      <c r="BB2219" s="0" t="s">
        <v>153</v>
      </c>
      <c r="BL2219" s="0" t="s">
        <v>154</v>
      </c>
      <c r="BS2219" s="0" t="s">
        <v>154</v>
      </c>
      <c r="CA2219" s="0" t="s">
        <v>154</v>
      </c>
      <c r="CN2219" s="0" t="s">
        <v>154</v>
      </c>
      <c r="CO2219" s="0" t="s">
        <v>176</v>
      </c>
      <c r="CP2219" s="0" t="s">
        <v>154</v>
      </c>
      <c r="CV2219" s="0" t="s">
        <v>154</v>
      </c>
      <c r="CY2219" s="0" t="s">
        <v>154</v>
      </c>
      <c r="CZ2219" s="0" t="s">
        <v>176</v>
      </c>
      <c r="DC2219" s="0" t="s">
        <v>154</v>
      </c>
      <c r="DF2219" s="0" t="s">
        <v>154</v>
      </c>
      <c r="DI2219" s="0" t="s">
        <v>154</v>
      </c>
      <c r="DL2219" s="0" t="s">
        <v>154</v>
      </c>
      <c r="DN2219" s="0" t="s">
        <v>154</v>
      </c>
      <c r="DO2219" s="0" t="s">
        <v>155</v>
      </c>
      <c r="DR2219" s="0" t="s">
        <v>154</v>
      </c>
      <c r="DS2219" s="0" t="s">
        <v>176</v>
      </c>
      <c r="DT2219" s="0" t="s">
        <v>155</v>
      </c>
      <c r="DU2219" s="0" t="s">
        <v>154</v>
      </c>
      <c r="DW2219" s="0" t="s">
        <v>155</v>
      </c>
      <c r="DX2219" s="0" t="s">
        <v>154</v>
      </c>
      <c r="EA2219" s="0" t="s">
        <v>154</v>
      </c>
      <c r="ED2219" s="0" t="s">
        <v>155</v>
      </c>
      <c r="EF2219" s="0" t="s">
        <v>154</v>
      </c>
    </row>
    <row r="2220" customFormat="false" ht="13.8" hidden="false" customHeight="false" outlineLevel="0" collapsed="false">
      <c r="A2220" s="0" t="s">
        <v>9725</v>
      </c>
      <c r="B2220" s="0" t="n">
        <v>78</v>
      </c>
      <c r="C2220" s="0" t="n">
        <v>1069</v>
      </c>
      <c r="D2220" s="0" t="s">
        <v>790</v>
      </c>
      <c r="E2220" s="0" t="s">
        <v>1421</v>
      </c>
      <c r="F2220" s="0" t="str">
        <f aca="false">CONCATENATE(D2220," ",LEFT(H2220,4),"T=",AU2220,"D=",AV2220,"R=",AW2220,"M=",AX2220,"L=",AY2220,"B=",AZ2220)</f>
        <v>KING T=1D=0R=0M=3L=7B=1</v>
      </c>
      <c r="G2220" s="0" t="s">
        <v>514</v>
      </c>
      <c r="I2220" s="0" t="s">
        <v>9726</v>
      </c>
      <c r="J2220" s="0" t="s">
        <v>9727</v>
      </c>
      <c r="K2220" s="0" t="s">
        <v>175</v>
      </c>
      <c r="L2220" s="1" t="s">
        <v>155</v>
      </c>
      <c r="M2220" s="0" t="s">
        <v>9728</v>
      </c>
      <c r="N2220" s="0" t="str">
        <f aca="false">RIGHT(M2220,LEN(M2220)-FIND(" ",M2220))</f>
        <v>PERKINS DR NW</v>
      </c>
      <c r="P2220" s="0" t="s">
        <v>146</v>
      </c>
      <c r="Q2220" s="0" t="s">
        <v>147</v>
      </c>
      <c r="R2220" s="0" t="n">
        <v>44483</v>
      </c>
      <c r="AD2220" s="0" t="s">
        <v>148</v>
      </c>
      <c r="AE2220" s="0" t="s">
        <v>149</v>
      </c>
      <c r="AF2220" s="0" t="s">
        <v>150</v>
      </c>
      <c r="AH2220" s="0" t="n">
        <v>14</v>
      </c>
      <c r="AI2220" s="0" t="n">
        <v>11</v>
      </c>
      <c r="AN2220" s="0" t="s">
        <v>146</v>
      </c>
      <c r="AO2220" s="0" t="s">
        <v>151</v>
      </c>
      <c r="AP2220" s="0" t="s">
        <v>152</v>
      </c>
      <c r="AQ2220" s="0" t="n">
        <v>9</v>
      </c>
      <c r="AR2220" s="0" t="n">
        <v>64</v>
      </c>
      <c r="AS2220" s="0" t="n">
        <v>32</v>
      </c>
      <c r="AU2220" s="0" t="n">
        <f aca="false">COUNTA($BA$1787:$EH$1787)</f>
        <v>1</v>
      </c>
      <c r="AV2220" s="0" t="n">
        <f aca="false">COUNTIF($BA$1787:$EH$1787,"D")</f>
        <v>0</v>
      </c>
      <c r="AW2220" s="0" t="n">
        <f aca="false">COUNTIF($BA$1787:$EH$1787,"R")</f>
        <v>0</v>
      </c>
      <c r="AX2220" s="0" t="n">
        <f aca="false"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>3</v>
      </c>
      <c r="AY2220" s="0" t="n">
        <f aca="false">COUNTIF(DU2220:EH2220, "&lt;&gt;")</f>
        <v>7</v>
      </c>
      <c r="AZ2220" s="0" t="n">
        <f aca="false">IF(EH2220&lt;&gt;"",1,0)</f>
        <v>1</v>
      </c>
      <c r="BB2220" s="0" t="s">
        <v>153</v>
      </c>
      <c r="BC2220" s="0" t="s">
        <v>154</v>
      </c>
      <c r="BD2220" s="0" t="s">
        <v>154</v>
      </c>
      <c r="BE2220" s="0" t="s">
        <v>154</v>
      </c>
      <c r="BF2220" s="0" t="s">
        <v>154</v>
      </c>
      <c r="BG2220" s="0" t="s">
        <v>154</v>
      </c>
      <c r="BH2220" s="0" t="s">
        <v>154</v>
      </c>
      <c r="BI2220" s="0" t="s">
        <v>154</v>
      </c>
      <c r="BJ2220" s="0" t="s">
        <v>154</v>
      </c>
      <c r="BK2220" s="0" t="s">
        <v>154</v>
      </c>
      <c r="BL2220" s="0" t="s">
        <v>154</v>
      </c>
      <c r="BP2220" s="0" t="s">
        <v>154</v>
      </c>
      <c r="BR2220" s="0" t="s">
        <v>154</v>
      </c>
      <c r="BS2220" s="0" t="s">
        <v>154</v>
      </c>
      <c r="BY2220" s="0" t="s">
        <v>176</v>
      </c>
      <c r="CA2220" s="0" t="s">
        <v>154</v>
      </c>
      <c r="CG2220" s="0" t="s">
        <v>154</v>
      </c>
      <c r="CH2220" s="0" t="s">
        <v>176</v>
      </c>
      <c r="CK2220" s="0" t="s">
        <v>154</v>
      </c>
      <c r="CN2220" s="0" t="s">
        <v>154</v>
      </c>
      <c r="CP2220" s="0" t="s">
        <v>154</v>
      </c>
      <c r="CT2220" s="0" t="s">
        <v>154</v>
      </c>
      <c r="CU2220" s="0" t="s">
        <v>176</v>
      </c>
      <c r="CV2220" s="0" t="s">
        <v>154</v>
      </c>
      <c r="CY2220" s="0" t="s">
        <v>154</v>
      </c>
      <c r="CZ2220" s="0" t="s">
        <v>176</v>
      </c>
      <c r="DC2220" s="0" t="s">
        <v>154</v>
      </c>
      <c r="DF2220" s="0" t="s">
        <v>154</v>
      </c>
      <c r="DG2220" s="0" t="s">
        <v>176</v>
      </c>
      <c r="DI2220" s="0" t="s">
        <v>154</v>
      </c>
      <c r="DL2220" s="0" t="s">
        <v>154</v>
      </c>
      <c r="DM2220" s="0" t="s">
        <v>176</v>
      </c>
      <c r="DN2220" s="0" t="s">
        <v>154</v>
      </c>
      <c r="DO2220" s="0" t="s">
        <v>155</v>
      </c>
      <c r="DR2220" s="0" t="s">
        <v>154</v>
      </c>
      <c r="DS2220" s="0" t="s">
        <v>176</v>
      </c>
      <c r="DT2220" s="0" t="s">
        <v>176</v>
      </c>
      <c r="DU2220" s="0" t="s">
        <v>154</v>
      </c>
      <c r="DW2220" s="0" t="s">
        <v>155</v>
      </c>
      <c r="DX2220" s="0" t="s">
        <v>154</v>
      </c>
      <c r="EA2220" s="0" t="s">
        <v>154</v>
      </c>
      <c r="ED2220" s="0" t="s">
        <v>155</v>
      </c>
      <c r="EF2220" s="0" t="s">
        <v>154</v>
      </c>
      <c r="EH2220" s="0" t="s">
        <v>155</v>
      </c>
    </row>
    <row r="2221" customFormat="false" ht="13.8" hidden="false" customHeight="false" outlineLevel="0" collapsed="false">
      <c r="A2221" s="0" t="s">
        <v>9729</v>
      </c>
      <c r="B2221" s="0" t="n">
        <v>78</v>
      </c>
      <c r="C2221" s="0" t="n">
        <v>223016</v>
      </c>
      <c r="D2221" s="0" t="s">
        <v>9730</v>
      </c>
      <c r="E2221" s="0" t="s">
        <v>9731</v>
      </c>
      <c r="F2221" s="0" t="str">
        <f aca="false">CONCATENATE(D2221," ",LEFT(H2221,4),"T=",AU2221,"D=",AV2221,"R=",AW2221,"M=",AX2221,"L=",AY2221,"B=",AZ2221)</f>
        <v>RIMAR T=1D=0R=0M=6L=7B=1</v>
      </c>
      <c r="G2221" s="0" t="s">
        <v>172</v>
      </c>
      <c r="I2221" s="0" t="s">
        <v>9732</v>
      </c>
      <c r="J2221" s="0" t="s">
        <v>9733</v>
      </c>
      <c r="K2221" s="0" t="s">
        <v>175</v>
      </c>
      <c r="L2221" s="1" t="s">
        <v>155</v>
      </c>
      <c r="M2221" s="0" t="s">
        <v>9734</v>
      </c>
      <c r="N2221" s="0" t="str">
        <f aca="false">RIGHT(M2221,LEN(M2221)-FIND(" ",M2221))</f>
        <v>PERKINS DR NW</v>
      </c>
      <c r="P2221" s="0" t="s">
        <v>146</v>
      </c>
      <c r="Q2221" s="0" t="s">
        <v>147</v>
      </c>
      <c r="R2221" s="0" t="n">
        <v>44483</v>
      </c>
      <c r="AD2221" s="0" t="s">
        <v>148</v>
      </c>
      <c r="AE2221" s="0" t="s">
        <v>149</v>
      </c>
      <c r="AF2221" s="0" t="s">
        <v>150</v>
      </c>
      <c r="AH2221" s="0" t="n">
        <v>14</v>
      </c>
      <c r="AI2221" s="0" t="n">
        <v>11</v>
      </c>
      <c r="AN2221" s="0" t="s">
        <v>146</v>
      </c>
      <c r="AO2221" s="0" t="s">
        <v>151</v>
      </c>
      <c r="AP2221" s="0" t="s">
        <v>152</v>
      </c>
      <c r="AQ2221" s="0" t="n">
        <v>9</v>
      </c>
      <c r="AR2221" s="0" t="n">
        <v>64</v>
      </c>
      <c r="AS2221" s="0" t="n">
        <v>32</v>
      </c>
      <c r="AU2221" s="0" t="n">
        <f aca="false">COUNTA($BA$1961:$EH$1961)</f>
        <v>1</v>
      </c>
      <c r="AV2221" s="0" t="n">
        <f aca="false">COUNTIF($BA$1961:$EH$1961,"D")</f>
        <v>0</v>
      </c>
      <c r="AW2221" s="0" t="n">
        <f aca="false">COUNTIF($BA$1961:$EH$1961,"R")</f>
        <v>0</v>
      </c>
      <c r="AX2221" s="0" t="n">
        <f aca="false"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>6</v>
      </c>
      <c r="AY2221" s="0" t="n">
        <f aca="false">COUNTIF(DU2221:EH2221, "&lt;&gt;")</f>
        <v>7</v>
      </c>
      <c r="AZ2221" s="0" t="n">
        <f aca="false">IF(EH2221&lt;&gt;"",1,0)</f>
        <v>1</v>
      </c>
      <c r="BB2221" s="0" t="s">
        <v>153</v>
      </c>
      <c r="BC2221" s="0" t="s">
        <v>154</v>
      </c>
      <c r="BD2221" s="0" t="s">
        <v>154</v>
      </c>
      <c r="BG2221" s="0" t="s">
        <v>154</v>
      </c>
      <c r="BH2221" s="0" t="s">
        <v>154</v>
      </c>
      <c r="BI2221" s="0" t="s">
        <v>154</v>
      </c>
      <c r="BJ2221" s="0" t="s">
        <v>154</v>
      </c>
      <c r="BK2221" s="0" t="s">
        <v>154</v>
      </c>
      <c r="BL2221" s="0" t="s">
        <v>154</v>
      </c>
      <c r="BR2221" s="0" t="s">
        <v>154</v>
      </c>
      <c r="BS2221" s="0" t="s">
        <v>154</v>
      </c>
      <c r="BY2221" s="0" t="s">
        <v>155</v>
      </c>
      <c r="CA2221" s="0" t="s">
        <v>154</v>
      </c>
      <c r="CG2221" s="0" t="s">
        <v>154</v>
      </c>
      <c r="CL2221" s="0" t="s">
        <v>155</v>
      </c>
      <c r="CN2221" s="0" t="s">
        <v>154</v>
      </c>
      <c r="CO2221" s="0" t="s">
        <v>155</v>
      </c>
      <c r="CP2221" s="0" t="s">
        <v>154</v>
      </c>
      <c r="CT2221" s="0" t="s">
        <v>154</v>
      </c>
      <c r="CU2221" s="0" t="s">
        <v>155</v>
      </c>
      <c r="CW2221" s="0" t="s">
        <v>155</v>
      </c>
      <c r="CZ2221" s="0" t="s">
        <v>155</v>
      </c>
      <c r="DC2221" s="0" t="s">
        <v>154</v>
      </c>
      <c r="DI2221" s="0" t="s">
        <v>154</v>
      </c>
      <c r="DJ2221" s="0" t="s">
        <v>155</v>
      </c>
      <c r="DM2221" s="0" t="s">
        <v>155</v>
      </c>
      <c r="DN2221" s="0" t="s">
        <v>154</v>
      </c>
      <c r="DO2221" s="0" t="s">
        <v>155</v>
      </c>
      <c r="DS2221" s="0" t="s">
        <v>155</v>
      </c>
      <c r="DT2221" s="0" t="s">
        <v>155</v>
      </c>
      <c r="DU2221" s="0" t="s">
        <v>154</v>
      </c>
      <c r="DW2221" s="0" t="s">
        <v>155</v>
      </c>
      <c r="DX2221" s="0" t="s">
        <v>154</v>
      </c>
      <c r="EA2221" s="0" t="s">
        <v>154</v>
      </c>
      <c r="ED2221" s="0" t="s">
        <v>155</v>
      </c>
      <c r="EF2221" s="0" t="s">
        <v>154</v>
      </c>
      <c r="EH2221" s="0" t="s">
        <v>155</v>
      </c>
    </row>
    <row r="2222" customFormat="false" ht="13.8" hidden="false" customHeight="false" outlineLevel="0" collapsed="false">
      <c r="A2222" s="0" t="s">
        <v>9735</v>
      </c>
      <c r="B2222" s="0" t="n">
        <v>78</v>
      </c>
      <c r="C2222" s="0" t="n">
        <v>139988</v>
      </c>
      <c r="D2222" s="0" t="s">
        <v>9730</v>
      </c>
      <c r="E2222" s="0" t="s">
        <v>9736</v>
      </c>
      <c r="F2222" s="0" t="str">
        <f aca="false">CONCATENATE(D2222," ",LEFT(H2222,4),"T=",AU2222,"D=",AV2222,"R=",AW2222,"M=",AX2222,"L=",AY2222,"B=",AZ2222)</f>
        <v>RIMAR T=4D=0R=0M=7L=6B=1</v>
      </c>
      <c r="I2222" s="0" t="s">
        <v>9737</v>
      </c>
      <c r="J2222" s="0" t="s">
        <v>7528</v>
      </c>
      <c r="K2222" s="0" t="s">
        <v>175</v>
      </c>
      <c r="L2222" s="1" t="s">
        <v>155</v>
      </c>
      <c r="M2222" s="0" t="s">
        <v>9738</v>
      </c>
      <c r="N2222" s="0" t="str">
        <f aca="false">RIGHT(M2222,LEN(M2222)-FIND(" ",M2222))</f>
        <v>PERKINS DR NW</v>
      </c>
      <c r="P2222" s="0" t="s">
        <v>146</v>
      </c>
      <c r="Q2222" s="0" t="s">
        <v>147</v>
      </c>
      <c r="R2222" s="0" t="n">
        <v>44483</v>
      </c>
      <c r="S2222" s="0" t="n">
        <v>4618</v>
      </c>
      <c r="AD2222" s="0" t="s">
        <v>148</v>
      </c>
      <c r="AE2222" s="0" t="s">
        <v>149</v>
      </c>
      <c r="AF2222" s="0" t="s">
        <v>150</v>
      </c>
      <c r="AH2222" s="0" t="n">
        <v>14</v>
      </c>
      <c r="AI2222" s="0" t="n">
        <v>11</v>
      </c>
      <c r="AN2222" s="0" t="s">
        <v>146</v>
      </c>
      <c r="AO2222" s="0" t="s">
        <v>151</v>
      </c>
      <c r="AP2222" s="0" t="s">
        <v>152</v>
      </c>
      <c r="AQ2222" s="0" t="n">
        <v>9</v>
      </c>
      <c r="AR2222" s="0" t="n">
        <v>64</v>
      </c>
      <c r="AS2222" s="0" t="n">
        <v>32</v>
      </c>
      <c r="AU2222" s="0" t="n">
        <f aca="false">COUNTA($BA$2018:$EH$2018)</f>
        <v>4</v>
      </c>
      <c r="AV2222" s="0" t="n">
        <f aca="false">COUNTIF($BA$2018:$EH$2018,"D")</f>
        <v>0</v>
      </c>
      <c r="AW2222" s="0" t="n">
        <f aca="false">COUNTIF($BA$2018:$EH$2018,"R")</f>
        <v>0</v>
      </c>
      <c r="AX2222" s="0" t="n">
        <f aca="false"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>7</v>
      </c>
      <c r="AY2222" s="0" t="n">
        <f aca="false">COUNTIF(DU2222:EH2222, "&lt;&gt;")</f>
        <v>6</v>
      </c>
      <c r="AZ2222" s="0" t="n">
        <f aca="false">IF(EH2222&lt;&gt;"",1,0)</f>
        <v>1</v>
      </c>
      <c r="BB2222" s="0" t="s">
        <v>153</v>
      </c>
      <c r="BC2222" s="0" t="s">
        <v>154</v>
      </c>
      <c r="BD2222" s="0" t="s">
        <v>154</v>
      </c>
      <c r="BE2222" s="0" t="s">
        <v>154</v>
      </c>
      <c r="BH2222" s="0" t="s">
        <v>154</v>
      </c>
      <c r="BI2222" s="0" t="s">
        <v>154</v>
      </c>
      <c r="BJ2222" s="0" t="s">
        <v>154</v>
      </c>
      <c r="BK2222" s="0" t="s">
        <v>154</v>
      </c>
      <c r="BL2222" s="0" t="s">
        <v>154</v>
      </c>
      <c r="BP2222" s="0" t="s">
        <v>154</v>
      </c>
      <c r="BR2222" s="0" t="s">
        <v>154</v>
      </c>
      <c r="BS2222" s="0" t="s">
        <v>154</v>
      </c>
      <c r="BV2222" s="0" t="s">
        <v>154</v>
      </c>
      <c r="BY2222" s="0" t="s">
        <v>155</v>
      </c>
      <c r="CA2222" s="0" t="s">
        <v>154</v>
      </c>
      <c r="CG2222" s="0" t="s">
        <v>154</v>
      </c>
      <c r="CK2222" s="0" t="s">
        <v>154</v>
      </c>
      <c r="CL2222" s="0" t="s">
        <v>155</v>
      </c>
      <c r="CN2222" s="0" t="s">
        <v>154</v>
      </c>
      <c r="CO2222" s="0" t="s">
        <v>155</v>
      </c>
      <c r="CP2222" s="0" t="s">
        <v>154</v>
      </c>
      <c r="CQ2222" s="0" t="s">
        <v>155</v>
      </c>
      <c r="CU2222" s="0" t="s">
        <v>155</v>
      </c>
      <c r="CW2222" s="0" t="s">
        <v>155</v>
      </c>
      <c r="CY2222" s="0" t="s">
        <v>154</v>
      </c>
      <c r="CZ2222" s="0" t="s">
        <v>176</v>
      </c>
      <c r="DC2222" s="0" t="s">
        <v>154</v>
      </c>
      <c r="DF2222" s="0" t="s">
        <v>154</v>
      </c>
      <c r="DI2222" s="0" t="s">
        <v>154</v>
      </c>
      <c r="DJ2222" s="0" t="s">
        <v>155</v>
      </c>
      <c r="DN2222" s="0" t="s">
        <v>154</v>
      </c>
      <c r="DO2222" s="0" t="s">
        <v>155</v>
      </c>
      <c r="DS2222" s="0" t="s">
        <v>155</v>
      </c>
      <c r="DU2222" s="0" t="s">
        <v>154</v>
      </c>
      <c r="DW2222" s="0" t="s">
        <v>155</v>
      </c>
      <c r="DX2222" s="0" t="s">
        <v>154</v>
      </c>
      <c r="EA2222" s="0" t="s">
        <v>154</v>
      </c>
      <c r="EF2222" s="0" t="s">
        <v>154</v>
      </c>
      <c r="EH2222" s="0" t="s">
        <v>155</v>
      </c>
    </row>
    <row r="2223" customFormat="false" ht="13.8" hidden="true" customHeight="false" outlineLevel="0" collapsed="false">
      <c r="A2223" s="0" t="s">
        <v>9739</v>
      </c>
      <c r="B2223" s="0" t="n">
        <v>78</v>
      </c>
      <c r="C2223" s="0" t="n">
        <v>437966</v>
      </c>
      <c r="D2223" s="0" t="s">
        <v>9740</v>
      </c>
      <c r="E2223" s="0" t="s">
        <v>698</v>
      </c>
      <c r="F2223" s="0" t="str">
        <f aca="false">CONCATENATE(D2223," ",LEFT(H2223,4),"T=",AU2223,"D=",AV2223,"R=",AW2223,"M=",AX2223,"L=",AY2223,"B=",AZ2223)</f>
        <v>HOST T=8D=2R=0M=0L=1B=0</v>
      </c>
      <c r="G2223" s="0" t="s">
        <v>445</v>
      </c>
      <c r="I2223" s="0" t="s">
        <v>9741</v>
      </c>
      <c r="J2223" s="0" t="s">
        <v>7448</v>
      </c>
      <c r="K2223" s="0" t="s">
        <v>175</v>
      </c>
      <c r="L2223" s="0"/>
      <c r="M2223" s="0" t="s">
        <v>9742</v>
      </c>
      <c r="N2223" s="0" t="str">
        <f aca="false">RIGHT(M2223,LEN(M2223)-FIND(" ",M2223))</f>
        <v>PERKINS DR NW</v>
      </c>
      <c r="P2223" s="0" t="s">
        <v>146</v>
      </c>
      <c r="Q2223" s="0" t="s">
        <v>147</v>
      </c>
      <c r="R2223" s="0" t="n">
        <v>44483</v>
      </c>
      <c r="AD2223" s="0" t="s">
        <v>148</v>
      </c>
      <c r="AE2223" s="0" t="s">
        <v>149</v>
      </c>
      <c r="AF2223" s="0" t="s">
        <v>150</v>
      </c>
      <c r="AH2223" s="0" t="n">
        <v>14</v>
      </c>
      <c r="AI2223" s="0" t="n">
        <v>11</v>
      </c>
      <c r="AN2223" s="0" t="s">
        <v>146</v>
      </c>
      <c r="AO2223" s="0" t="s">
        <v>151</v>
      </c>
      <c r="AP2223" s="0" t="s">
        <v>152</v>
      </c>
      <c r="AQ2223" s="0" t="n">
        <v>9</v>
      </c>
      <c r="AR2223" s="0" t="n">
        <v>64</v>
      </c>
      <c r="AS2223" s="0" t="n">
        <v>32</v>
      </c>
      <c r="AU2223" s="0" t="n">
        <f aca="false">COUNTA($BA$1623:$EH$1623)</f>
        <v>8</v>
      </c>
      <c r="AV2223" s="0" t="n">
        <f aca="false">COUNTIF($BA$1623:$EH$1623,"D")</f>
        <v>2</v>
      </c>
      <c r="AW2223" s="0" t="n">
        <f aca="false">COUNTIF($BA$1623:$EH$1623,"R")</f>
        <v>0</v>
      </c>
      <c r="AX2223" s="0" t="n">
        <f aca="false"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>0</v>
      </c>
      <c r="AY2223" s="0" t="n">
        <f aca="false">COUNTIF(DU2223:EH2223, "&lt;&gt;")</f>
        <v>1</v>
      </c>
      <c r="AZ2223" s="0" t="n">
        <f aca="false">IF(EH2223&lt;&gt;"",1,0)</f>
        <v>0</v>
      </c>
      <c r="BB2223" s="0" t="s">
        <v>153</v>
      </c>
      <c r="DN2223" s="0" t="s">
        <v>154</v>
      </c>
      <c r="EF2223" s="0" t="s">
        <v>154</v>
      </c>
    </row>
    <row r="2224" customFormat="false" ht="13.8" hidden="true" customHeight="false" outlineLevel="0" collapsed="false">
      <c r="A2224" s="0" t="s">
        <v>9743</v>
      </c>
      <c r="B2224" s="0" t="n">
        <v>78</v>
      </c>
      <c r="C2224" s="0" t="n">
        <v>455901</v>
      </c>
      <c r="D2224" s="0" t="s">
        <v>9744</v>
      </c>
      <c r="E2224" s="0" t="s">
        <v>1980</v>
      </c>
      <c r="F2224" s="0" t="str">
        <f aca="false">CONCATENATE(D2224," ",LEFT(H2224,4),"T=",AU2224,"D=",AV2224,"R=",AW2224,"M=",AX2224,"L=",AY2224,"B=",AZ2224)</f>
        <v>GATES T=22D=3R=0M=0L=1B=0</v>
      </c>
      <c r="G2224" s="0" t="s">
        <v>176</v>
      </c>
      <c r="I2224" s="0" t="s">
        <v>9745</v>
      </c>
      <c r="J2224" s="0" t="s">
        <v>8480</v>
      </c>
      <c r="K2224" s="0" t="s">
        <v>175</v>
      </c>
      <c r="L2224" s="0"/>
      <c r="M2224" s="0" t="s">
        <v>9742</v>
      </c>
      <c r="N2224" s="0" t="str">
        <f aca="false">RIGHT(M2224,LEN(M2224)-FIND(" ",M2224))</f>
        <v>PERKINS DR NW</v>
      </c>
      <c r="P2224" s="0" t="s">
        <v>146</v>
      </c>
      <c r="Q2224" s="0" t="s">
        <v>147</v>
      </c>
      <c r="R2224" s="0" t="n">
        <v>44483</v>
      </c>
      <c r="AD2224" s="0" t="s">
        <v>148</v>
      </c>
      <c r="AE2224" s="0" t="s">
        <v>149</v>
      </c>
      <c r="AF2224" s="0" t="s">
        <v>150</v>
      </c>
      <c r="AH2224" s="0" t="n">
        <v>14</v>
      </c>
      <c r="AI2224" s="0" t="n">
        <v>11</v>
      </c>
      <c r="AN2224" s="0" t="s">
        <v>146</v>
      </c>
      <c r="AO2224" s="0" t="s">
        <v>151</v>
      </c>
      <c r="AP2224" s="0" t="s">
        <v>152</v>
      </c>
      <c r="AQ2224" s="0" t="n">
        <v>9</v>
      </c>
      <c r="AR2224" s="0" t="n">
        <v>64</v>
      </c>
      <c r="AS2224" s="0" t="n">
        <v>32</v>
      </c>
      <c r="AU2224" s="0" t="n">
        <f aca="false">COUNTA($BA$1748:$EH$1748)</f>
        <v>22</v>
      </c>
      <c r="AV2224" s="0" t="n">
        <f aca="false">COUNTIF($BA$1748:$EH$1748,"D")</f>
        <v>3</v>
      </c>
      <c r="AW2224" s="0" t="n">
        <f aca="false">COUNTIF($BA$1748:$EH$1748,"R")</f>
        <v>0</v>
      </c>
      <c r="AX2224" s="0" t="n">
        <f aca="false"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>0</v>
      </c>
      <c r="AY2224" s="0" t="n">
        <f aca="false">COUNTIF(DU2224:EH2224, "&lt;&gt;")</f>
        <v>1</v>
      </c>
      <c r="AZ2224" s="0" t="n">
        <f aca="false">IF(EH2224&lt;&gt;"",1,0)</f>
        <v>0</v>
      </c>
      <c r="BB2224" s="0" t="s">
        <v>153</v>
      </c>
      <c r="BL2224" s="0" t="s">
        <v>154</v>
      </c>
      <c r="CA2224" s="0" t="s">
        <v>154</v>
      </c>
      <c r="EF2224" s="0" t="s">
        <v>154</v>
      </c>
    </row>
    <row r="2225" customFormat="false" ht="13.8" hidden="true" customHeight="false" outlineLevel="0" collapsed="false">
      <c r="A2225" s="0" t="s">
        <v>9746</v>
      </c>
      <c r="B2225" s="0" t="n">
        <v>78</v>
      </c>
      <c r="C2225" s="0" t="n">
        <v>484154</v>
      </c>
      <c r="D2225" s="0" t="s">
        <v>1780</v>
      </c>
      <c r="E2225" s="0" t="s">
        <v>9747</v>
      </c>
      <c r="F2225" s="0" t="str">
        <f aca="false">CONCATENATE(D2225," ",LEFT(H2225,4),"T=",AU2225,"D=",AV2225,"R=",AW2225,"M=",AX2225,"L=",AY2225,"B=",AZ2225)</f>
        <v>CARVIN T=28D=2R=0M=0L=1B=0</v>
      </c>
      <c r="G2225" s="0" t="s">
        <v>297</v>
      </c>
      <c r="I2225" s="0" t="s">
        <v>9748</v>
      </c>
      <c r="J2225" s="0" t="s">
        <v>586</v>
      </c>
      <c r="K2225" s="0" t="s">
        <v>175</v>
      </c>
      <c r="L2225" s="0"/>
      <c r="M2225" s="0" t="s">
        <v>9749</v>
      </c>
      <c r="N2225" s="0" t="str">
        <f aca="false">RIGHT(M2225,LEN(M2225)-FIND(" ",M2225))</f>
        <v>PERKINS DR NW</v>
      </c>
      <c r="P2225" s="0" t="s">
        <v>146</v>
      </c>
      <c r="Q2225" s="0" t="s">
        <v>147</v>
      </c>
      <c r="R2225" s="0" t="n">
        <v>44483</v>
      </c>
      <c r="AD2225" s="0" t="s">
        <v>148</v>
      </c>
      <c r="AE2225" s="0" t="s">
        <v>149</v>
      </c>
      <c r="AF2225" s="0" t="s">
        <v>150</v>
      </c>
      <c r="AH2225" s="0" t="n">
        <v>14</v>
      </c>
      <c r="AI2225" s="0" t="n">
        <v>11</v>
      </c>
      <c r="AN2225" s="0" t="s">
        <v>146</v>
      </c>
      <c r="AO2225" s="0" t="s">
        <v>151</v>
      </c>
      <c r="AP2225" s="0" t="s">
        <v>152</v>
      </c>
      <c r="AQ2225" s="0" t="n">
        <v>9</v>
      </c>
      <c r="AR2225" s="0" t="n">
        <v>64</v>
      </c>
      <c r="AS2225" s="0" t="n">
        <v>32</v>
      </c>
      <c r="AU2225" s="0" t="n">
        <f aca="false">COUNTA($BA$1295:$EH$1295)</f>
        <v>28</v>
      </c>
      <c r="AV2225" s="0" t="n">
        <f aca="false">COUNTIF($BA$1295:$EH$1295,"D")</f>
        <v>2</v>
      </c>
      <c r="AW2225" s="0" t="n">
        <f aca="false">COUNTIF($BA$1295:$EH$1295,"R")</f>
        <v>0</v>
      </c>
      <c r="AX2225" s="0" t="n">
        <f aca="false"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>0</v>
      </c>
      <c r="AY2225" s="0" t="n">
        <f aca="false">COUNTIF(DU2225:EH2225, "&lt;&gt;")</f>
        <v>1</v>
      </c>
      <c r="AZ2225" s="0" t="n">
        <f aca="false">IF(EH2225&lt;&gt;"",1,0)</f>
        <v>0</v>
      </c>
      <c r="BB2225" s="0" t="s">
        <v>153</v>
      </c>
      <c r="EF2225" s="0" t="s">
        <v>154</v>
      </c>
    </row>
    <row r="2226" customFormat="false" ht="13.8" hidden="false" customHeight="false" outlineLevel="0" collapsed="false">
      <c r="A2226" s="0" t="s">
        <v>9750</v>
      </c>
      <c r="B2226" s="0" t="n">
        <v>78</v>
      </c>
      <c r="C2226" s="0" t="n">
        <v>423174</v>
      </c>
      <c r="D2226" s="0" t="s">
        <v>3668</v>
      </c>
      <c r="E2226" s="0" t="s">
        <v>9751</v>
      </c>
      <c r="F2226" s="0" t="str">
        <f aca="false">CONCATENATE(D2226," ",LEFT(H2226,4),"T=",AU2226,"D=",AV2226,"R=",AW2226,"M=",AX2226,"L=",AY2226,"B=",AZ2226)</f>
        <v>REED T=16D=0R=2M=3L=7B=1</v>
      </c>
      <c r="G2226" s="0" t="s">
        <v>771</v>
      </c>
      <c r="I2226" s="0" t="s">
        <v>9752</v>
      </c>
      <c r="J2226" s="0" t="s">
        <v>983</v>
      </c>
      <c r="K2226" s="0" t="s">
        <v>175</v>
      </c>
      <c r="L2226" s="1" t="s">
        <v>155</v>
      </c>
      <c r="M2226" s="0" t="s">
        <v>9749</v>
      </c>
      <c r="N2226" s="0" t="str">
        <f aca="false">RIGHT(M2226,LEN(M2226)-FIND(" ",M2226))</f>
        <v>PERKINS DR NW</v>
      </c>
      <c r="P2226" s="0" t="s">
        <v>146</v>
      </c>
      <c r="Q2226" s="0" t="s">
        <v>147</v>
      </c>
      <c r="R2226" s="0" t="n">
        <v>44483</v>
      </c>
      <c r="AD2226" s="0" t="s">
        <v>148</v>
      </c>
      <c r="AE2226" s="0" t="s">
        <v>149</v>
      </c>
      <c r="AF2226" s="0" t="s">
        <v>150</v>
      </c>
      <c r="AH2226" s="0" t="n">
        <v>14</v>
      </c>
      <c r="AI2226" s="0" t="n">
        <v>11</v>
      </c>
      <c r="AN2226" s="0" t="s">
        <v>146</v>
      </c>
      <c r="AO2226" s="0" t="s">
        <v>151</v>
      </c>
      <c r="AP2226" s="0" t="s">
        <v>152</v>
      </c>
      <c r="AQ2226" s="0" t="n">
        <v>9</v>
      </c>
      <c r="AR2226" s="0" t="n">
        <v>64</v>
      </c>
      <c r="AS2226" s="0" t="n">
        <v>32</v>
      </c>
      <c r="AU2226" s="0" t="n">
        <f aca="false">COUNTA($BA$1494:$EH$1494)</f>
        <v>16</v>
      </c>
      <c r="AV2226" s="0" t="n">
        <f aca="false">COUNTIF($BA$1494:$EH$1494,"D")</f>
        <v>0</v>
      </c>
      <c r="AW2226" s="0" t="n">
        <f aca="false">COUNTIF($BA$1494:$EH$1494,"R")</f>
        <v>2</v>
      </c>
      <c r="AX2226" s="0" t="n">
        <f aca="false"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>3</v>
      </c>
      <c r="AY2226" s="0" t="n">
        <f aca="false">COUNTIF(DU2226:EH2226, "&lt;&gt;")</f>
        <v>7</v>
      </c>
      <c r="AZ2226" s="0" t="n">
        <f aca="false">IF(EH2226&lt;&gt;"",1,0)</f>
        <v>1</v>
      </c>
      <c r="BB2226" s="0" t="s">
        <v>153</v>
      </c>
      <c r="DI2226" s="0" t="s">
        <v>154</v>
      </c>
      <c r="DL2226" s="0" t="s">
        <v>154</v>
      </c>
      <c r="DM2226" s="0" t="s">
        <v>155</v>
      </c>
      <c r="DN2226" s="0" t="s">
        <v>154</v>
      </c>
      <c r="DO2226" s="0" t="s">
        <v>155</v>
      </c>
      <c r="DR2226" s="0" t="s">
        <v>154</v>
      </c>
      <c r="DS2226" s="0" t="s">
        <v>155</v>
      </c>
      <c r="DT2226" s="0" t="s">
        <v>155</v>
      </c>
      <c r="DU2226" s="0" t="s">
        <v>154</v>
      </c>
      <c r="DW2226" s="0" t="s">
        <v>155</v>
      </c>
      <c r="DX2226" s="0" t="s">
        <v>154</v>
      </c>
      <c r="EA2226" s="0" t="s">
        <v>154</v>
      </c>
      <c r="ED2226" s="0" t="s">
        <v>155</v>
      </c>
      <c r="EF2226" s="0" t="s">
        <v>154</v>
      </c>
      <c r="EH2226" s="0" t="s">
        <v>155</v>
      </c>
    </row>
    <row r="2227" customFormat="false" ht="13.8" hidden="false" customHeight="false" outlineLevel="0" collapsed="false">
      <c r="A2227" s="0" t="s">
        <v>9753</v>
      </c>
      <c r="B2227" s="0" t="n">
        <v>78</v>
      </c>
      <c r="C2227" s="0" t="n">
        <v>405871</v>
      </c>
      <c r="D2227" s="0" t="s">
        <v>1780</v>
      </c>
      <c r="E2227" s="0" t="s">
        <v>583</v>
      </c>
      <c r="F2227" s="0" t="str">
        <f aca="false">CONCATENATE(D2227," ",LEFT(H2227,4),"T=",AU2227,"D=",AV2227,"R=",AW2227,"M=",AX2227,"L=",AY2227,"B=",AZ2227)</f>
        <v>CARVIN T=7D=0R=1M=6L=7B=1</v>
      </c>
      <c r="G2227" s="0" t="s">
        <v>202</v>
      </c>
      <c r="I2227" s="0" t="s">
        <v>9754</v>
      </c>
      <c r="J2227" s="0" t="s">
        <v>983</v>
      </c>
      <c r="K2227" s="0" t="s">
        <v>175</v>
      </c>
      <c r="L2227" s="1" t="s">
        <v>155</v>
      </c>
      <c r="M2227" s="0" t="s">
        <v>9749</v>
      </c>
      <c r="N2227" s="0" t="str">
        <f aca="false">RIGHT(M2227,LEN(M2227)-FIND(" ",M2227))</f>
        <v>PERKINS DR NW</v>
      </c>
      <c r="P2227" s="0" t="s">
        <v>146</v>
      </c>
      <c r="Q2227" s="0" t="s">
        <v>147</v>
      </c>
      <c r="R2227" s="0" t="n">
        <v>44483</v>
      </c>
      <c r="AD2227" s="0" t="s">
        <v>148</v>
      </c>
      <c r="AE2227" s="0" t="s">
        <v>149</v>
      </c>
      <c r="AF2227" s="0" t="s">
        <v>150</v>
      </c>
      <c r="AH2227" s="0" t="n">
        <v>14</v>
      </c>
      <c r="AI2227" s="0" t="n">
        <v>11</v>
      </c>
      <c r="AN2227" s="0" t="s">
        <v>146</v>
      </c>
      <c r="AO2227" s="0" t="s">
        <v>151</v>
      </c>
      <c r="AP2227" s="0" t="s">
        <v>152</v>
      </c>
      <c r="AQ2227" s="0" t="n">
        <v>9</v>
      </c>
      <c r="AR2227" s="0" t="n">
        <v>64</v>
      </c>
      <c r="AS2227" s="0" t="n">
        <v>32</v>
      </c>
      <c r="AU2227" s="0" t="n">
        <f aca="false">COUNTA($BA$1495:$EH$1495)</f>
        <v>7</v>
      </c>
      <c r="AV2227" s="0" t="n">
        <f aca="false">COUNTIF($BA$1495:$EH$1495,"D")</f>
        <v>0</v>
      </c>
      <c r="AW2227" s="0" t="n">
        <f aca="false">COUNTIF($BA$1495:$EH$1495,"R")</f>
        <v>1</v>
      </c>
      <c r="AX2227" s="0" t="n">
        <f aca="false"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>6</v>
      </c>
      <c r="AY2227" s="0" t="n">
        <f aca="false">COUNTIF(DU2227:EH2227, "&lt;&gt;")</f>
        <v>7</v>
      </c>
      <c r="AZ2227" s="0" t="n">
        <f aca="false">IF(EH2227&lt;&gt;"",1,0)</f>
        <v>1</v>
      </c>
      <c r="BB2227" s="0" t="s">
        <v>153</v>
      </c>
      <c r="CW2227" s="0" t="s">
        <v>155</v>
      </c>
      <c r="CY2227" s="0" t="s">
        <v>154</v>
      </c>
      <c r="CZ2227" s="0" t="s">
        <v>155</v>
      </c>
      <c r="DC2227" s="0" t="s">
        <v>154</v>
      </c>
      <c r="DD2227" s="0" t="s">
        <v>155</v>
      </c>
      <c r="DG2227" s="0" t="s">
        <v>155</v>
      </c>
      <c r="DI2227" s="0" t="s">
        <v>154</v>
      </c>
      <c r="DJ2227" s="0" t="s">
        <v>155</v>
      </c>
      <c r="DL2227" s="0" t="s">
        <v>154</v>
      </c>
      <c r="DM2227" s="0" t="s">
        <v>155</v>
      </c>
      <c r="DN2227" s="0" t="s">
        <v>154</v>
      </c>
      <c r="DO2227" s="0" t="s">
        <v>155</v>
      </c>
      <c r="DR2227" s="0" t="s">
        <v>154</v>
      </c>
      <c r="DS2227" s="0" t="s">
        <v>155</v>
      </c>
      <c r="DT2227" s="0" t="s">
        <v>155</v>
      </c>
      <c r="DU2227" s="0" t="s">
        <v>154</v>
      </c>
      <c r="DW2227" s="0" t="s">
        <v>155</v>
      </c>
      <c r="DX2227" s="0" t="s">
        <v>154</v>
      </c>
      <c r="EA2227" s="0" t="s">
        <v>154</v>
      </c>
      <c r="ED2227" s="0" t="s">
        <v>155</v>
      </c>
      <c r="EF2227" s="0" t="s">
        <v>154</v>
      </c>
      <c r="EH2227" s="0" t="s">
        <v>155</v>
      </c>
    </row>
    <row r="2228" customFormat="false" ht="13.8" hidden="true" customHeight="false" outlineLevel="0" collapsed="false">
      <c r="A2228" s="0" t="s">
        <v>9755</v>
      </c>
      <c r="B2228" s="0" t="n">
        <v>78</v>
      </c>
      <c r="C2228" s="0" t="n">
        <v>997</v>
      </c>
      <c r="D2228" s="0" t="s">
        <v>7209</v>
      </c>
      <c r="E2228" s="0" t="s">
        <v>1068</v>
      </c>
      <c r="F2228" s="0" t="str">
        <f aca="false">CONCATENATE(D2228," ",LEFT(H2228,4),"T=",AU2228,"D=",AV2228,"R=",AW2228,"M=",AX2228,"L=",AY2228,"B=",AZ2228)</f>
        <v>FISHER T=32D=6R=0M=1L=0B=0</v>
      </c>
      <c r="G2228" s="0" t="s">
        <v>241</v>
      </c>
      <c r="I2228" s="0" t="s">
        <v>9756</v>
      </c>
      <c r="J2228" s="0" t="s">
        <v>9757</v>
      </c>
      <c r="K2228" s="0" t="s">
        <v>144</v>
      </c>
      <c r="L2228" s="0"/>
      <c r="M2228" s="0" t="s">
        <v>9749</v>
      </c>
      <c r="N2228" s="0" t="str">
        <f aca="false">RIGHT(M2228,LEN(M2228)-FIND(" ",M2228))</f>
        <v>PERKINS DR NW</v>
      </c>
      <c r="P2228" s="0" t="s">
        <v>146</v>
      </c>
      <c r="Q2228" s="0" t="s">
        <v>147</v>
      </c>
      <c r="R2228" s="0" t="n">
        <v>44483</v>
      </c>
      <c r="AD2228" s="0" t="s">
        <v>148</v>
      </c>
      <c r="AE2228" s="0" t="s">
        <v>149</v>
      </c>
      <c r="AF2228" s="0" t="s">
        <v>150</v>
      </c>
      <c r="AH2228" s="0" t="n">
        <v>14</v>
      </c>
      <c r="AI2228" s="0" t="n">
        <v>11</v>
      </c>
      <c r="AN2228" s="0" t="s">
        <v>146</v>
      </c>
      <c r="AO2228" s="0" t="s">
        <v>151</v>
      </c>
      <c r="AP2228" s="0" t="s">
        <v>152</v>
      </c>
      <c r="AQ2228" s="0" t="n">
        <v>9</v>
      </c>
      <c r="AR2228" s="0" t="n">
        <v>64</v>
      </c>
      <c r="AS2228" s="0" t="n">
        <v>32</v>
      </c>
      <c r="AU2228" s="0" t="n">
        <f aca="false">COUNTA($BA$1558:$EH$1558)</f>
        <v>32</v>
      </c>
      <c r="AV2228" s="0" t="n">
        <f aca="false">COUNTIF($BA$1558:$EH$1558,"D")</f>
        <v>6</v>
      </c>
      <c r="AW2228" s="0" t="n">
        <f aca="false">COUNTIF($BA$1558:$EH$1558,"R")</f>
        <v>0</v>
      </c>
      <c r="AX2228" s="0" t="n">
        <f aca="false"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>1</v>
      </c>
      <c r="AY2228" s="0" t="n">
        <f aca="false">COUNTIF(DU2228:EH2228, "&lt;&gt;")</f>
        <v>0</v>
      </c>
      <c r="AZ2228" s="0" t="n">
        <f aca="false">IF(EH2228&lt;&gt;"",1,0)</f>
        <v>0</v>
      </c>
      <c r="BB2228" s="0" t="s">
        <v>153</v>
      </c>
      <c r="BC2228" s="0" t="s">
        <v>154</v>
      </c>
      <c r="BD2228" s="0" t="s">
        <v>154</v>
      </c>
      <c r="BE2228" s="0" t="s">
        <v>154</v>
      </c>
      <c r="BF2228" s="0" t="s">
        <v>154</v>
      </c>
      <c r="BG2228" s="0" t="s">
        <v>154</v>
      </c>
      <c r="BH2228" s="0" t="s">
        <v>154</v>
      </c>
      <c r="BI2228" s="0" t="s">
        <v>154</v>
      </c>
      <c r="BJ2228" s="0" t="s">
        <v>154</v>
      </c>
      <c r="BK2228" s="0" t="s">
        <v>154</v>
      </c>
      <c r="BL2228" s="0" t="s">
        <v>154</v>
      </c>
      <c r="BP2228" s="0" t="s">
        <v>154</v>
      </c>
      <c r="BR2228" s="0" t="s">
        <v>154</v>
      </c>
      <c r="BS2228" s="0" t="s">
        <v>154</v>
      </c>
      <c r="BV2228" s="0" t="s">
        <v>154</v>
      </c>
      <c r="BY2228" s="0" t="s">
        <v>155</v>
      </c>
      <c r="CA2228" s="0" t="s">
        <v>154</v>
      </c>
      <c r="CG2228" s="0" t="s">
        <v>154</v>
      </c>
      <c r="CH2228" s="0" t="s">
        <v>176</v>
      </c>
      <c r="CK2228" s="0" t="s">
        <v>154</v>
      </c>
      <c r="CL2228" s="0" t="s">
        <v>155</v>
      </c>
      <c r="CN2228" s="0" t="s">
        <v>154</v>
      </c>
      <c r="CO2228" s="0" t="s">
        <v>176</v>
      </c>
      <c r="CP2228" s="0" t="s">
        <v>154</v>
      </c>
      <c r="CT2228" s="0" t="s">
        <v>154</v>
      </c>
      <c r="CV2228" s="0" t="s">
        <v>154</v>
      </c>
      <c r="CY2228" s="0" t="s">
        <v>154</v>
      </c>
      <c r="CZ2228" s="0" t="s">
        <v>176</v>
      </c>
      <c r="DC2228" s="0" t="s">
        <v>154</v>
      </c>
      <c r="DG2228" s="0" t="s">
        <v>176</v>
      </c>
      <c r="DI2228" s="0" t="s">
        <v>154</v>
      </c>
    </row>
    <row r="2229" customFormat="false" ht="13.8" hidden="false" customHeight="false" outlineLevel="0" collapsed="false">
      <c r="A2229" s="0" t="s">
        <v>9758</v>
      </c>
      <c r="B2229" s="0" t="n">
        <v>78</v>
      </c>
      <c r="C2229" s="0" t="n">
        <v>1052</v>
      </c>
      <c r="D2229" s="0" t="s">
        <v>9759</v>
      </c>
      <c r="E2229" s="0" t="s">
        <v>5462</v>
      </c>
      <c r="F2229" s="0" t="str">
        <f aca="false">CONCATENATE(D2229," ",LEFT(H2229,4),"T=",AU2229,"D=",AV2229,"R=",AW2229,"M=",AX2229,"L=",AY2229,"B=",AZ2229)</f>
        <v>LEPRO T=1D=0R=0M=8L=6B=1</v>
      </c>
      <c r="G2229" s="0" t="s">
        <v>297</v>
      </c>
      <c r="I2229" s="0" t="s">
        <v>9760</v>
      </c>
      <c r="J2229" s="0" t="s">
        <v>9761</v>
      </c>
      <c r="K2229" s="0" t="s">
        <v>175</v>
      </c>
      <c r="L2229" s="1" t="s">
        <v>155</v>
      </c>
      <c r="M2229" s="0" t="s">
        <v>9762</v>
      </c>
      <c r="N2229" s="0" t="str">
        <f aca="false">RIGHT(M2229,LEN(M2229)-FIND(" ",M2229))</f>
        <v>PERKINS DR NW</v>
      </c>
      <c r="P2229" s="0" t="s">
        <v>146</v>
      </c>
      <c r="Q2229" s="0" t="s">
        <v>147</v>
      </c>
      <c r="R2229" s="0" t="n">
        <v>44483</v>
      </c>
      <c r="AD2229" s="0" t="s">
        <v>148</v>
      </c>
      <c r="AE2229" s="0" t="s">
        <v>149</v>
      </c>
      <c r="AF2229" s="0" t="s">
        <v>150</v>
      </c>
      <c r="AH2229" s="0" t="n">
        <v>14</v>
      </c>
      <c r="AI2229" s="0" t="n">
        <v>11</v>
      </c>
      <c r="AN2229" s="0" t="s">
        <v>146</v>
      </c>
      <c r="AO2229" s="0" t="s">
        <v>151</v>
      </c>
      <c r="AP2229" s="0" t="s">
        <v>152</v>
      </c>
      <c r="AQ2229" s="0" t="n">
        <v>9</v>
      </c>
      <c r="AR2229" s="0" t="n">
        <v>64</v>
      </c>
      <c r="AS2229" s="0" t="n">
        <v>32</v>
      </c>
      <c r="AU2229" s="0" t="n">
        <f aca="false">COUNTA($BA$1785:$EH$1785)</f>
        <v>1</v>
      </c>
      <c r="AV2229" s="0" t="n">
        <f aca="false">COUNTIF($BA$1785:$EH$1785,"D")</f>
        <v>0</v>
      </c>
      <c r="AW2229" s="0" t="n">
        <f aca="false">COUNTIF($BA$1785:$EH$1785,"R")</f>
        <v>0</v>
      </c>
      <c r="AX2229" s="0" t="n">
        <f aca="false"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>8</v>
      </c>
      <c r="AY2229" s="0" t="n">
        <f aca="false">COUNTIF(DU2229:EH2229, "&lt;&gt;")</f>
        <v>6</v>
      </c>
      <c r="AZ2229" s="0" t="n">
        <f aca="false">IF(EH2229&lt;&gt;"",1,0)</f>
        <v>1</v>
      </c>
      <c r="BB2229" s="0" t="s">
        <v>153</v>
      </c>
      <c r="BC2229" s="0" t="s">
        <v>154</v>
      </c>
      <c r="BD2229" s="0" t="s">
        <v>154</v>
      </c>
      <c r="BE2229" s="0" t="s">
        <v>154</v>
      </c>
      <c r="BF2229" s="0" t="s">
        <v>154</v>
      </c>
      <c r="BH2229" s="0" t="s">
        <v>154</v>
      </c>
      <c r="BI2229" s="0" t="s">
        <v>154</v>
      </c>
      <c r="BJ2229" s="0" t="s">
        <v>154</v>
      </c>
      <c r="BK2229" s="0" t="s">
        <v>154</v>
      </c>
      <c r="BL2229" s="0" t="s">
        <v>154</v>
      </c>
      <c r="BP2229" s="0" t="s">
        <v>154</v>
      </c>
      <c r="BR2229" s="0" t="s">
        <v>154</v>
      </c>
      <c r="BS2229" s="0" t="s">
        <v>154</v>
      </c>
      <c r="BV2229" s="0" t="s">
        <v>154</v>
      </c>
      <c r="BY2229" s="0" t="s">
        <v>155</v>
      </c>
      <c r="CA2229" s="0" t="s">
        <v>154</v>
      </c>
      <c r="CG2229" s="0" t="s">
        <v>154</v>
      </c>
      <c r="CH2229" s="0" t="s">
        <v>155</v>
      </c>
      <c r="CK2229" s="0" t="s">
        <v>154</v>
      </c>
      <c r="CL2229" s="0" t="s">
        <v>155</v>
      </c>
      <c r="CN2229" s="0" t="s">
        <v>154</v>
      </c>
      <c r="CO2229" s="0" t="s">
        <v>155</v>
      </c>
      <c r="CP2229" s="0" t="s">
        <v>154</v>
      </c>
      <c r="CQ2229" s="0" t="s">
        <v>155</v>
      </c>
      <c r="CV2229" s="0" t="s">
        <v>154</v>
      </c>
      <c r="CW2229" s="0" t="s">
        <v>155</v>
      </c>
      <c r="CY2229" s="0" t="s">
        <v>154</v>
      </c>
      <c r="CZ2229" s="0" t="s">
        <v>155</v>
      </c>
      <c r="DC2229" s="0" t="s">
        <v>154</v>
      </c>
      <c r="DD2229" s="0" t="s">
        <v>155</v>
      </c>
      <c r="DG2229" s="0" t="s">
        <v>155</v>
      </c>
      <c r="DI2229" s="0" t="s">
        <v>154</v>
      </c>
      <c r="DJ2229" s="0" t="s">
        <v>155</v>
      </c>
      <c r="DL2229" s="0" t="s">
        <v>154</v>
      </c>
      <c r="DN2229" s="0" t="s">
        <v>154</v>
      </c>
      <c r="DO2229" s="0" t="s">
        <v>155</v>
      </c>
      <c r="DR2229" s="0" t="s">
        <v>154</v>
      </c>
      <c r="DS2229" s="0" t="s">
        <v>155</v>
      </c>
      <c r="DU2229" s="0" t="s">
        <v>154</v>
      </c>
      <c r="DW2229" s="0" t="s">
        <v>155</v>
      </c>
      <c r="DX2229" s="0" t="s">
        <v>154</v>
      </c>
      <c r="EA2229" s="0" t="s">
        <v>154</v>
      </c>
      <c r="EF2229" s="0" t="s">
        <v>154</v>
      </c>
      <c r="EH2229" s="0" t="s">
        <v>155</v>
      </c>
    </row>
    <row r="2230" customFormat="false" ht="13.8" hidden="false" customHeight="false" outlineLevel="0" collapsed="false">
      <c r="A2230" s="0" t="s">
        <v>9763</v>
      </c>
      <c r="B2230" s="0" t="n">
        <v>78</v>
      </c>
      <c r="C2230" s="0" t="n">
        <v>1051</v>
      </c>
      <c r="D2230" s="0" t="s">
        <v>9759</v>
      </c>
      <c r="E2230" s="0" t="s">
        <v>629</v>
      </c>
      <c r="F2230" s="0" t="str">
        <f aca="false">CONCATENATE(D2230," ",LEFT(H2230,4),"T=",AU2230,"D=",AV2230,"R=",AW2230,"M=",AX2230,"L=",AY2230,"B=",AZ2230)</f>
        <v>LEPRO T=1D=0R=0M=5L=6B=1</v>
      </c>
      <c r="G2230" s="0" t="s">
        <v>172</v>
      </c>
      <c r="I2230" s="0" t="s">
        <v>9764</v>
      </c>
      <c r="J2230" s="0" t="s">
        <v>9765</v>
      </c>
      <c r="K2230" s="0" t="s">
        <v>175</v>
      </c>
      <c r="L2230" s="1" t="s">
        <v>155</v>
      </c>
      <c r="M2230" s="0" t="s">
        <v>9762</v>
      </c>
      <c r="N2230" s="0" t="str">
        <f aca="false">RIGHT(M2230,LEN(M2230)-FIND(" ",M2230))</f>
        <v>PERKINS DR NW</v>
      </c>
      <c r="P2230" s="0" t="s">
        <v>146</v>
      </c>
      <c r="Q2230" s="0" t="s">
        <v>147</v>
      </c>
      <c r="R2230" s="0" t="n">
        <v>44483</v>
      </c>
      <c r="AD2230" s="0" t="s">
        <v>148</v>
      </c>
      <c r="AE2230" s="0" t="s">
        <v>149</v>
      </c>
      <c r="AF2230" s="0" t="s">
        <v>150</v>
      </c>
      <c r="AH2230" s="0" t="n">
        <v>14</v>
      </c>
      <c r="AI2230" s="0" t="n">
        <v>11</v>
      </c>
      <c r="AN2230" s="0" t="s">
        <v>146</v>
      </c>
      <c r="AO2230" s="0" t="s">
        <v>151</v>
      </c>
      <c r="AP2230" s="0" t="s">
        <v>152</v>
      </c>
      <c r="AQ2230" s="0" t="n">
        <v>9</v>
      </c>
      <c r="AR2230" s="0" t="n">
        <v>64</v>
      </c>
      <c r="AS2230" s="0" t="n">
        <v>32</v>
      </c>
      <c r="AU2230" s="0" t="n">
        <f aca="false">COUNTA($BA$1789:$EH$1789)</f>
        <v>1</v>
      </c>
      <c r="AV2230" s="0" t="n">
        <f aca="false">COUNTIF($BA$1789:$EH$1789,"D")</f>
        <v>0</v>
      </c>
      <c r="AW2230" s="0" t="n">
        <f aca="false">COUNTIF($BA$1789:$EH$1789,"R")</f>
        <v>0</v>
      </c>
      <c r="AX2230" s="0" t="n">
        <f aca="false"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>5</v>
      </c>
      <c r="AY2230" s="0" t="n">
        <f aca="false">COUNTIF(DU2230:EH2230, "&lt;&gt;")</f>
        <v>6</v>
      </c>
      <c r="AZ2230" s="0" t="n">
        <f aca="false">IF(EH2230&lt;&gt;"",1,0)</f>
        <v>1</v>
      </c>
      <c r="BB2230" s="0" t="s">
        <v>153</v>
      </c>
      <c r="BC2230" s="0" t="s">
        <v>154</v>
      </c>
      <c r="BD2230" s="0" t="s">
        <v>154</v>
      </c>
      <c r="BE2230" s="0" t="s">
        <v>154</v>
      </c>
      <c r="BF2230" s="0" t="s">
        <v>154</v>
      </c>
      <c r="BH2230" s="0" t="s">
        <v>154</v>
      </c>
      <c r="BI2230" s="0" t="s">
        <v>154</v>
      </c>
      <c r="BJ2230" s="0" t="s">
        <v>154</v>
      </c>
      <c r="BK2230" s="0" t="s">
        <v>154</v>
      </c>
      <c r="BL2230" s="0" t="s">
        <v>154</v>
      </c>
      <c r="BR2230" s="0" t="s">
        <v>154</v>
      </c>
      <c r="BS2230" s="0" t="s">
        <v>154</v>
      </c>
      <c r="BY2230" s="0" t="s">
        <v>155</v>
      </c>
      <c r="CA2230" s="0" t="s">
        <v>154</v>
      </c>
      <c r="CG2230" s="0" t="s">
        <v>154</v>
      </c>
      <c r="CH2230" s="0" t="s">
        <v>155</v>
      </c>
      <c r="CK2230" s="0" t="s">
        <v>154</v>
      </c>
      <c r="CL2230" s="0" t="s">
        <v>155</v>
      </c>
      <c r="CN2230" s="0" t="s">
        <v>154</v>
      </c>
      <c r="CO2230" s="0" t="s">
        <v>155</v>
      </c>
      <c r="CP2230" s="0" t="s">
        <v>154</v>
      </c>
      <c r="CU2230" s="0" t="s">
        <v>155</v>
      </c>
      <c r="CV2230" s="0" t="s">
        <v>154</v>
      </c>
      <c r="CW2230" s="0" t="s">
        <v>155</v>
      </c>
      <c r="CY2230" s="0" t="s">
        <v>154</v>
      </c>
      <c r="CZ2230" s="0" t="s">
        <v>155</v>
      </c>
      <c r="DC2230" s="0" t="s">
        <v>154</v>
      </c>
      <c r="DD2230" s="0" t="s">
        <v>155</v>
      </c>
      <c r="DG2230" s="0" t="s">
        <v>155</v>
      </c>
      <c r="DI2230" s="0" t="s">
        <v>154</v>
      </c>
      <c r="DL2230" s="0" t="s">
        <v>154</v>
      </c>
      <c r="DN2230" s="0" t="s">
        <v>154</v>
      </c>
      <c r="DU2230" s="0" t="s">
        <v>154</v>
      </c>
      <c r="DW2230" s="0" t="s">
        <v>155</v>
      </c>
      <c r="DX2230" s="0" t="s">
        <v>154</v>
      </c>
      <c r="EA2230" s="0" t="s">
        <v>154</v>
      </c>
      <c r="EF2230" s="0" t="s">
        <v>154</v>
      </c>
      <c r="EH2230" s="0" t="s">
        <v>155</v>
      </c>
    </row>
    <row r="2231" customFormat="false" ht="13.8" hidden="false" customHeight="false" outlineLevel="0" collapsed="false">
      <c r="A2231" s="0" t="s">
        <v>9766</v>
      </c>
      <c r="B2231" s="0" t="n">
        <v>78</v>
      </c>
      <c r="C2231" s="0" t="n">
        <v>332024</v>
      </c>
      <c r="D2231" s="0" t="s">
        <v>9767</v>
      </c>
      <c r="E2231" s="0" t="s">
        <v>1027</v>
      </c>
      <c r="F2231" s="0" t="str">
        <f aca="false">CONCATENATE(D2231," ",LEFT(H2231,4),"T=",AU2231,"D=",AV2231,"R=",AW2231,"M=",AX2231,"L=",AY2231,"B=",AZ2231)</f>
        <v>HIGHAM T=8D=1R=0M=1L=6B=0</v>
      </c>
      <c r="G2231" s="0" t="s">
        <v>155</v>
      </c>
      <c r="I2231" s="0" t="s">
        <v>9768</v>
      </c>
      <c r="J2231" s="0" t="s">
        <v>8187</v>
      </c>
      <c r="K2231" s="0" t="s">
        <v>175</v>
      </c>
      <c r="L2231" s="1" t="s">
        <v>176</v>
      </c>
      <c r="M2231" s="0" t="s">
        <v>9769</v>
      </c>
      <c r="N2231" s="0" t="str">
        <f aca="false">RIGHT(M2231,LEN(M2231)-FIND(" ",M2231))</f>
        <v>PERKINS DR NW</v>
      </c>
      <c r="P2231" s="0" t="s">
        <v>146</v>
      </c>
      <c r="Q2231" s="0" t="s">
        <v>147</v>
      </c>
      <c r="R2231" s="0" t="n">
        <v>44483</v>
      </c>
      <c r="AD2231" s="0" t="s">
        <v>148</v>
      </c>
      <c r="AE2231" s="0" t="s">
        <v>149</v>
      </c>
      <c r="AF2231" s="0" t="s">
        <v>150</v>
      </c>
      <c r="AH2231" s="0" t="n">
        <v>14</v>
      </c>
      <c r="AI2231" s="0" t="n">
        <v>11</v>
      </c>
      <c r="AN2231" s="0" t="s">
        <v>146</v>
      </c>
      <c r="AO2231" s="0" t="s">
        <v>151</v>
      </c>
      <c r="AP2231" s="0" t="s">
        <v>152</v>
      </c>
      <c r="AQ2231" s="0" t="n">
        <v>9</v>
      </c>
      <c r="AR2231" s="0" t="n">
        <v>64</v>
      </c>
      <c r="AS2231" s="0" t="n">
        <v>32</v>
      </c>
      <c r="AU2231" s="0" t="n">
        <f aca="false">COUNTA($BA$1888:$EH$1888)</f>
        <v>8</v>
      </c>
      <c r="AV2231" s="0" t="n">
        <f aca="false">COUNTIF($BA$1888:$EH$1888,"D")</f>
        <v>1</v>
      </c>
      <c r="AW2231" s="0" t="n">
        <f aca="false">COUNTIF($BA$1888:$EH$1888,"R")</f>
        <v>0</v>
      </c>
      <c r="AX2231" s="0" t="n">
        <f aca="false"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>1</v>
      </c>
      <c r="AY2231" s="0" t="n">
        <f aca="false">COUNTIF(DU2231:EH2231, "&lt;&gt;")</f>
        <v>6</v>
      </c>
      <c r="AZ2231" s="0" t="n">
        <f aca="false">IF(EH2231&lt;&gt;"",1,0)</f>
        <v>0</v>
      </c>
      <c r="BB2231" s="0" t="s">
        <v>153</v>
      </c>
      <c r="BH2231" s="0" t="s">
        <v>154</v>
      </c>
      <c r="BL2231" s="0" t="s">
        <v>154</v>
      </c>
      <c r="BS2231" s="0" t="s">
        <v>154</v>
      </c>
      <c r="BY2231" s="0" t="s">
        <v>155</v>
      </c>
      <c r="CA2231" s="0" t="s">
        <v>154</v>
      </c>
      <c r="CK2231" s="0" t="s">
        <v>154</v>
      </c>
      <c r="CP2231" s="0" t="s">
        <v>154</v>
      </c>
      <c r="CV2231" s="0" t="s">
        <v>154</v>
      </c>
      <c r="CY2231" s="0" t="s">
        <v>154</v>
      </c>
      <c r="CZ2231" s="0" t="s">
        <v>155</v>
      </c>
      <c r="DC2231" s="0" t="s">
        <v>154</v>
      </c>
      <c r="DI2231" s="0" t="s">
        <v>154</v>
      </c>
      <c r="DM2231" s="0" t="s">
        <v>155</v>
      </c>
      <c r="DN2231" s="0" t="s">
        <v>154</v>
      </c>
      <c r="DS2231" s="0" t="s">
        <v>155</v>
      </c>
      <c r="DU2231" s="0" t="s">
        <v>154</v>
      </c>
      <c r="DW2231" s="0" t="s">
        <v>155</v>
      </c>
      <c r="DX2231" s="0" t="s">
        <v>154</v>
      </c>
      <c r="EA2231" s="0" t="s">
        <v>154</v>
      </c>
      <c r="ED2231" s="0" t="s">
        <v>176</v>
      </c>
      <c r="EF2231" s="0" t="s">
        <v>154</v>
      </c>
    </row>
    <row r="2232" customFormat="false" ht="13.8" hidden="false" customHeight="false" outlineLevel="0" collapsed="false">
      <c r="A2232" s="0" t="s">
        <v>9770</v>
      </c>
      <c r="B2232" s="0" t="n">
        <v>78</v>
      </c>
      <c r="C2232" s="0" t="n">
        <v>211880</v>
      </c>
      <c r="D2232" s="0" t="s">
        <v>9767</v>
      </c>
      <c r="E2232" s="0" t="s">
        <v>507</v>
      </c>
      <c r="F2232" s="0" t="str">
        <f aca="false">CONCATENATE(D2232," ",LEFT(H2232,4),"T=",AU2232,"D=",AV2232,"R=",AW2232,"M=",AX2232,"L=",AY2232,"B=",AZ2232)</f>
        <v>HIGHAM T=1D=0R=0M=1L=6B=0</v>
      </c>
      <c r="G2232" s="0" t="s">
        <v>297</v>
      </c>
      <c r="I2232" s="0" t="s">
        <v>9771</v>
      </c>
      <c r="J2232" s="0" t="s">
        <v>8187</v>
      </c>
      <c r="K2232" s="0" t="s">
        <v>175</v>
      </c>
      <c r="L2232" s="1" t="s">
        <v>176</v>
      </c>
      <c r="M2232" s="0" t="s">
        <v>9769</v>
      </c>
      <c r="N2232" s="0" t="str">
        <f aca="false">RIGHT(M2232,LEN(M2232)-FIND(" ",M2232))</f>
        <v>PERKINS DR NW</v>
      </c>
      <c r="P2232" s="0" t="s">
        <v>146</v>
      </c>
      <c r="Q2232" s="0" t="s">
        <v>147</v>
      </c>
      <c r="R2232" s="0" t="n">
        <v>44483</v>
      </c>
      <c r="AD2232" s="0" t="s">
        <v>148</v>
      </c>
      <c r="AE2232" s="0" t="s">
        <v>149</v>
      </c>
      <c r="AF2232" s="0" t="s">
        <v>150</v>
      </c>
      <c r="AH2232" s="0" t="n">
        <v>14</v>
      </c>
      <c r="AI2232" s="0" t="n">
        <v>11</v>
      </c>
      <c r="AN2232" s="0" t="s">
        <v>146</v>
      </c>
      <c r="AO2232" s="0" t="s">
        <v>151</v>
      </c>
      <c r="AP2232" s="0" t="s">
        <v>152</v>
      </c>
      <c r="AQ2232" s="0" t="n">
        <v>9</v>
      </c>
      <c r="AR2232" s="0" t="n">
        <v>64</v>
      </c>
      <c r="AS2232" s="0" t="n">
        <v>32</v>
      </c>
      <c r="AU2232" s="0" t="n">
        <f aca="false">COUNTA($BA$2015:$EH$2015)</f>
        <v>1</v>
      </c>
      <c r="AV2232" s="0" t="n">
        <f aca="false">COUNTIF($BA$2015:$EH$2015,"D")</f>
        <v>0</v>
      </c>
      <c r="AW2232" s="0" t="n">
        <f aca="false">COUNTIF($BA$2015:$EH$2015,"R")</f>
        <v>0</v>
      </c>
      <c r="AX2232" s="0" t="n">
        <f aca="false"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>1</v>
      </c>
      <c r="AY2232" s="0" t="n">
        <f aca="false">COUNTIF(DU2232:EH2232, "&lt;&gt;")</f>
        <v>6</v>
      </c>
      <c r="AZ2232" s="0" t="n">
        <f aca="false">IF(EH2232&lt;&gt;"",1,0)</f>
        <v>0</v>
      </c>
      <c r="BB2232" s="0" t="s">
        <v>153</v>
      </c>
      <c r="BD2232" s="0" t="s">
        <v>154</v>
      </c>
      <c r="BI2232" s="0" t="s">
        <v>154</v>
      </c>
      <c r="BJ2232" s="0" t="s">
        <v>154</v>
      </c>
      <c r="BL2232" s="0" t="s">
        <v>154</v>
      </c>
      <c r="BS2232" s="0" t="s">
        <v>154</v>
      </c>
      <c r="BY2232" s="0" t="s">
        <v>155</v>
      </c>
      <c r="CA2232" s="0" t="s">
        <v>154</v>
      </c>
      <c r="CK2232" s="0" t="s">
        <v>154</v>
      </c>
      <c r="CP2232" s="0" t="s">
        <v>154</v>
      </c>
      <c r="CV2232" s="0" t="s">
        <v>154</v>
      </c>
      <c r="CY2232" s="0" t="s">
        <v>154</v>
      </c>
      <c r="CZ2232" s="0" t="s">
        <v>155</v>
      </c>
      <c r="DC2232" s="0" t="s">
        <v>154</v>
      </c>
      <c r="DI2232" s="0" t="s">
        <v>154</v>
      </c>
      <c r="DM2232" s="0" t="s">
        <v>155</v>
      </c>
      <c r="DN2232" s="0" t="s">
        <v>154</v>
      </c>
      <c r="DS2232" s="0" t="s">
        <v>155</v>
      </c>
      <c r="DU2232" s="0" t="s">
        <v>154</v>
      </c>
      <c r="DW2232" s="0" t="s">
        <v>155</v>
      </c>
      <c r="DX2232" s="0" t="s">
        <v>154</v>
      </c>
      <c r="EA2232" s="0" t="s">
        <v>154</v>
      </c>
      <c r="ED2232" s="0" t="s">
        <v>176</v>
      </c>
      <c r="EF2232" s="0" t="s">
        <v>154</v>
      </c>
    </row>
    <row r="2233" customFormat="false" ht="13.8" hidden="false" customHeight="false" outlineLevel="0" collapsed="false">
      <c r="A2233" s="0" t="s">
        <v>9772</v>
      </c>
      <c r="B2233" s="0" t="n">
        <v>78</v>
      </c>
      <c r="C2233" s="0" t="n">
        <v>388632</v>
      </c>
      <c r="D2233" s="0" t="s">
        <v>9773</v>
      </c>
      <c r="E2233" s="0" t="s">
        <v>689</v>
      </c>
      <c r="F2233" s="0" t="str">
        <f aca="false">CONCATENATE(D2233," ",LEFT(H2233,4),"T=",AU2233,"D=",AV2233,"R=",AW2233,"M=",AX2233,"L=",AY2233,"B=",AZ2233)</f>
        <v>CHAMBERS T=2D=0R=0M=0L=2B=0</v>
      </c>
      <c r="G2233" s="0" t="s">
        <v>802</v>
      </c>
      <c r="I2233" s="0" t="s">
        <v>9774</v>
      </c>
      <c r="J2233" s="0" t="s">
        <v>9775</v>
      </c>
      <c r="K2233" s="0" t="s">
        <v>175</v>
      </c>
      <c r="M2233" s="0" t="s">
        <v>9776</v>
      </c>
      <c r="N2233" s="0" t="str">
        <f aca="false">RIGHT(M2233,LEN(M2233)-FIND(" ",M2233))</f>
        <v>PERKINS DR NW</v>
      </c>
      <c r="P2233" s="0" t="s">
        <v>146</v>
      </c>
      <c r="Q2233" s="0" t="s">
        <v>147</v>
      </c>
      <c r="R2233" s="0" t="n">
        <v>44483</v>
      </c>
      <c r="AD2233" s="0" t="s">
        <v>148</v>
      </c>
      <c r="AE2233" s="0" t="s">
        <v>149</v>
      </c>
      <c r="AF2233" s="0" t="s">
        <v>150</v>
      </c>
      <c r="AH2233" s="0" t="n">
        <v>14</v>
      </c>
      <c r="AI2233" s="0" t="n">
        <v>11</v>
      </c>
      <c r="AN2233" s="0" t="s">
        <v>146</v>
      </c>
      <c r="AO2233" s="0" t="s">
        <v>151</v>
      </c>
      <c r="AP2233" s="0" t="s">
        <v>152</v>
      </c>
      <c r="AQ2233" s="0" t="n">
        <v>9</v>
      </c>
      <c r="AR2233" s="0" t="n">
        <v>64</v>
      </c>
      <c r="AS2233" s="0" t="n">
        <v>32</v>
      </c>
      <c r="AU2233" s="0" t="n">
        <f aca="false">COUNTA($BA$1415:$EH$1415)</f>
        <v>2</v>
      </c>
      <c r="AV2233" s="0" t="n">
        <f aca="false">COUNTIF($BA$1415:$EH$1415,"D")</f>
        <v>0</v>
      </c>
      <c r="AW2233" s="0" t="n">
        <f aca="false">COUNTIF($BA$1415:$EH$1415,"R")</f>
        <v>0</v>
      </c>
      <c r="AX2233" s="0" t="n">
        <f aca="false"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>0</v>
      </c>
      <c r="AY2233" s="0" t="n">
        <f aca="false">COUNTIF(DU2233:EH2233, "&lt;&gt;")</f>
        <v>2</v>
      </c>
      <c r="AZ2233" s="0" t="n">
        <f aca="false">IF(EH2233&lt;&gt;"",1,0)</f>
        <v>0</v>
      </c>
      <c r="BB2233" s="0" t="s">
        <v>153</v>
      </c>
      <c r="CP2233" s="0" t="s">
        <v>154</v>
      </c>
      <c r="CY2233" s="0" t="s">
        <v>154</v>
      </c>
      <c r="DC2233" s="0" t="s">
        <v>154</v>
      </c>
      <c r="DM2233" s="0" t="s">
        <v>155</v>
      </c>
      <c r="DN2233" s="0" t="s">
        <v>154</v>
      </c>
      <c r="EA2233" s="0" t="s">
        <v>154</v>
      </c>
      <c r="EF2233" s="0" t="s">
        <v>154</v>
      </c>
    </row>
    <row r="2234" customFormat="false" ht="13.8" hidden="false" customHeight="false" outlineLevel="0" collapsed="false">
      <c r="A2234" s="0" t="s">
        <v>9777</v>
      </c>
      <c r="B2234" s="0" t="n">
        <v>78</v>
      </c>
      <c r="C2234" s="0" t="n">
        <v>446149</v>
      </c>
      <c r="D2234" s="0" t="s">
        <v>9778</v>
      </c>
      <c r="E2234" s="0" t="s">
        <v>4959</v>
      </c>
      <c r="F2234" s="0" t="str">
        <f aca="false">CONCATENATE(D2234," ",LEFT(H2234,4),"T=",AU2234,"D=",AV2234,"R=",AW2234,"M=",AX2234,"L=",AY2234,"B=",AZ2234)</f>
        <v>STORIE T=2D=0R=0M=0L=2B=0</v>
      </c>
      <c r="G2234" s="0" t="s">
        <v>172</v>
      </c>
      <c r="I2234" s="0" t="s">
        <v>9779</v>
      </c>
      <c r="J2234" s="0" t="s">
        <v>9780</v>
      </c>
      <c r="K2234" s="0" t="s">
        <v>175</v>
      </c>
      <c r="M2234" s="0" t="s">
        <v>9776</v>
      </c>
      <c r="N2234" s="0" t="str">
        <f aca="false">RIGHT(M2234,LEN(M2234)-FIND(" ",M2234))</f>
        <v>PERKINS DR NW</v>
      </c>
      <c r="P2234" s="0" t="s">
        <v>146</v>
      </c>
      <c r="Q2234" s="0" t="s">
        <v>147</v>
      </c>
      <c r="R2234" s="0" t="n">
        <v>44483</v>
      </c>
      <c r="AD2234" s="0" t="s">
        <v>148</v>
      </c>
      <c r="AE2234" s="0" t="s">
        <v>149</v>
      </c>
      <c r="AF2234" s="0" t="s">
        <v>150</v>
      </c>
      <c r="AH2234" s="0" t="n">
        <v>14</v>
      </c>
      <c r="AI2234" s="0" t="n">
        <v>11</v>
      </c>
      <c r="AN2234" s="0" t="s">
        <v>146</v>
      </c>
      <c r="AO2234" s="0" t="s">
        <v>151</v>
      </c>
      <c r="AP2234" s="0" t="s">
        <v>152</v>
      </c>
      <c r="AQ2234" s="0" t="n">
        <v>9</v>
      </c>
      <c r="AR2234" s="0" t="n">
        <v>64</v>
      </c>
      <c r="AS2234" s="0" t="n">
        <v>32</v>
      </c>
      <c r="AU2234" s="0" t="n">
        <f aca="false">COUNTA($BA$1764:$EH$1764)</f>
        <v>2</v>
      </c>
      <c r="AV2234" s="0" t="n">
        <f aca="false">COUNTIF($BA$1764:$EH$1764,"D")</f>
        <v>0</v>
      </c>
      <c r="AW2234" s="0" t="n">
        <f aca="false">COUNTIF($BA$1764:$EH$1764,"R")</f>
        <v>0</v>
      </c>
      <c r="AX2234" s="0" t="n">
        <f aca="false"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>0</v>
      </c>
      <c r="AY2234" s="0" t="n">
        <f aca="false">COUNTIF(DU2234:EH2234, "&lt;&gt;")</f>
        <v>2</v>
      </c>
      <c r="AZ2234" s="0" t="n">
        <f aca="false">IF(EH2234&lt;&gt;"",1,0)</f>
        <v>0</v>
      </c>
      <c r="BB2234" s="0" t="s">
        <v>153</v>
      </c>
      <c r="CZ2234" s="0" t="s">
        <v>176</v>
      </c>
      <c r="DC2234" s="0" t="s">
        <v>154</v>
      </c>
      <c r="DN2234" s="0" t="s">
        <v>154</v>
      </c>
      <c r="EA2234" s="0" t="s">
        <v>154</v>
      </c>
      <c r="EF2234" s="0" t="s">
        <v>154</v>
      </c>
    </row>
    <row r="2235" customFormat="false" ht="13.8" hidden="true" customHeight="false" outlineLevel="0" collapsed="false">
      <c r="A2235" s="0" t="s">
        <v>9781</v>
      </c>
      <c r="B2235" s="0" t="n">
        <v>78</v>
      </c>
      <c r="C2235" s="0" t="n">
        <v>328044</v>
      </c>
      <c r="D2235" s="0" t="s">
        <v>9782</v>
      </c>
      <c r="E2235" s="0" t="s">
        <v>619</v>
      </c>
      <c r="F2235" s="0" t="str">
        <f aca="false">CONCATENATE(D2235," ",LEFT(H2235,4),"T=",AU2235,"D=",AV2235,"R=",AW2235,"M=",AX2235,"L=",AY2235,"B=",AZ2235)</f>
        <v>KATZENBERGER T=1D=0R=0M=0L=0B=0</v>
      </c>
      <c r="G2235" s="0" t="s">
        <v>496</v>
      </c>
      <c r="I2235" s="0" t="s">
        <v>9783</v>
      </c>
      <c r="J2235" s="0" t="s">
        <v>9784</v>
      </c>
      <c r="K2235" s="0" t="s">
        <v>175</v>
      </c>
      <c r="L2235" s="0"/>
      <c r="M2235" s="0" t="s">
        <v>9785</v>
      </c>
      <c r="N2235" s="0" t="str">
        <f aca="false">RIGHT(M2235,LEN(M2235)-FIND(" ",M2235))</f>
        <v>PERKINS DR NW</v>
      </c>
      <c r="P2235" s="0" t="s">
        <v>146</v>
      </c>
      <c r="Q2235" s="0" t="s">
        <v>147</v>
      </c>
      <c r="R2235" s="0" t="n">
        <v>44483</v>
      </c>
      <c r="AD2235" s="0" t="s">
        <v>148</v>
      </c>
      <c r="AE2235" s="0" t="s">
        <v>149</v>
      </c>
      <c r="AF2235" s="0" t="s">
        <v>150</v>
      </c>
      <c r="AH2235" s="0" t="n">
        <v>14</v>
      </c>
      <c r="AI2235" s="0" t="n">
        <v>11</v>
      </c>
      <c r="AN2235" s="0" t="s">
        <v>146</v>
      </c>
      <c r="AO2235" s="0" t="s">
        <v>151</v>
      </c>
      <c r="AP2235" s="0" t="s">
        <v>152</v>
      </c>
      <c r="AQ2235" s="0" t="n">
        <v>9</v>
      </c>
      <c r="AR2235" s="0" t="n">
        <v>64</v>
      </c>
      <c r="AS2235" s="0" t="n">
        <v>32</v>
      </c>
      <c r="AU2235" s="0" t="n">
        <f aca="false">COUNTA($BA$1235:$EH$1235)</f>
        <v>1</v>
      </c>
      <c r="AV2235" s="0" t="n">
        <f aca="false">COUNTIF($BA$1235:$EH$1235,"D")</f>
        <v>0</v>
      </c>
      <c r="AW2235" s="0" t="n">
        <f aca="false">COUNTIF($BA$1235:$EH$1235,"R")</f>
        <v>0</v>
      </c>
      <c r="AX2235" s="0" t="n">
        <f aca="false"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>0</v>
      </c>
      <c r="AY2235" s="0" t="n">
        <f aca="false">COUNTIF(DU2235:EH2235, "&lt;&gt;")</f>
        <v>0</v>
      </c>
      <c r="AZ2235" s="0" t="n">
        <f aca="false">IF(EH2235&lt;&gt;"",1,0)</f>
        <v>0</v>
      </c>
      <c r="BB2235" s="0" t="s">
        <v>153</v>
      </c>
      <c r="BL2235" s="0" t="s">
        <v>154</v>
      </c>
      <c r="BS2235" s="0" t="s">
        <v>154</v>
      </c>
      <c r="BV2235" s="0" t="s">
        <v>154</v>
      </c>
      <c r="BY2235" s="0" t="s">
        <v>155</v>
      </c>
      <c r="CA2235" s="0" t="s">
        <v>154</v>
      </c>
      <c r="CG2235" s="0" t="s">
        <v>154</v>
      </c>
      <c r="CK2235" s="0" t="s">
        <v>154</v>
      </c>
      <c r="CN2235" s="0" t="s">
        <v>154</v>
      </c>
      <c r="CO2235" s="0" t="s">
        <v>176</v>
      </c>
      <c r="CP2235" s="0" t="s">
        <v>154</v>
      </c>
      <c r="CT2235" s="0" t="s">
        <v>154</v>
      </c>
      <c r="CV2235" s="0" t="s">
        <v>154</v>
      </c>
      <c r="CY2235" s="0" t="s">
        <v>154</v>
      </c>
      <c r="CZ2235" s="0" t="s">
        <v>176</v>
      </c>
      <c r="DC2235" s="0" t="s">
        <v>154</v>
      </c>
      <c r="DD2235" s="0" t="s">
        <v>154</v>
      </c>
      <c r="DF2235" s="0" t="s">
        <v>154</v>
      </c>
      <c r="DG2235" s="0" t="s">
        <v>176</v>
      </c>
      <c r="DI2235" s="0" t="s">
        <v>154</v>
      </c>
      <c r="DJ2235" s="0" t="s">
        <v>154</v>
      </c>
      <c r="DL2235" s="0" t="s">
        <v>154</v>
      </c>
      <c r="DN2235" s="0" t="s">
        <v>154</v>
      </c>
    </row>
    <row r="2236" customFormat="false" ht="13.8" hidden="false" customHeight="false" outlineLevel="0" collapsed="false">
      <c r="A2236" s="0" t="s">
        <v>9786</v>
      </c>
      <c r="B2236" s="0" t="n">
        <v>78</v>
      </c>
      <c r="C2236" s="0" t="n">
        <v>143222</v>
      </c>
      <c r="D2236" s="0" t="s">
        <v>9782</v>
      </c>
      <c r="E2236" s="0" t="s">
        <v>2357</v>
      </c>
      <c r="F2236" s="0" t="str">
        <f aca="false">CONCATENATE(D2236," ",LEFT(H2236,4),"T=",AU2236,"D=",AV2236,"R=",AW2236,"M=",AX2236,"L=",AY2236,"B=",AZ2236)</f>
        <v>KATZENBERGER T=2D=0R=0M=9L=7B=1</v>
      </c>
      <c r="I2236" s="0" t="s">
        <v>9787</v>
      </c>
      <c r="J2236" s="0" t="s">
        <v>9788</v>
      </c>
      <c r="K2236" s="0" t="s">
        <v>175</v>
      </c>
      <c r="L2236" s="1" t="s">
        <v>155</v>
      </c>
      <c r="M2236" s="0" t="s">
        <v>9785</v>
      </c>
      <c r="N2236" s="0" t="str">
        <f aca="false">RIGHT(M2236,LEN(M2236)-FIND(" ",M2236))</f>
        <v>PERKINS DR NW</v>
      </c>
      <c r="P2236" s="0" t="s">
        <v>146</v>
      </c>
      <c r="Q2236" s="0" t="s">
        <v>147</v>
      </c>
      <c r="R2236" s="0" t="n">
        <v>44483</v>
      </c>
      <c r="AD2236" s="0" t="s">
        <v>148</v>
      </c>
      <c r="AE2236" s="0" t="s">
        <v>149</v>
      </c>
      <c r="AF2236" s="0" t="s">
        <v>150</v>
      </c>
      <c r="AH2236" s="0" t="n">
        <v>14</v>
      </c>
      <c r="AI2236" s="0" t="n">
        <v>11</v>
      </c>
      <c r="AN2236" s="0" t="s">
        <v>146</v>
      </c>
      <c r="AO2236" s="0" t="s">
        <v>151</v>
      </c>
      <c r="AP2236" s="0" t="s">
        <v>152</v>
      </c>
      <c r="AQ2236" s="0" t="n">
        <v>9</v>
      </c>
      <c r="AR2236" s="0" t="n">
        <v>64</v>
      </c>
      <c r="AS2236" s="0" t="n">
        <v>32</v>
      </c>
      <c r="AU2236" s="0" t="n">
        <f aca="false">COUNTA($BA$1318:$EH$1318)</f>
        <v>2</v>
      </c>
      <c r="AV2236" s="0" t="n">
        <f aca="false">COUNTIF($BA$1318:$EH$1318,"D")</f>
        <v>0</v>
      </c>
      <c r="AW2236" s="0" t="n">
        <f aca="false">COUNTIF($BA$1318:$EH$1318,"R")</f>
        <v>0</v>
      </c>
      <c r="AX2236" s="0" t="n">
        <f aca="false"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>9</v>
      </c>
      <c r="AY2236" s="0" t="n">
        <f aca="false">COUNTIF(DU2236:EH2236, "&lt;&gt;")</f>
        <v>7</v>
      </c>
      <c r="AZ2236" s="0" t="n">
        <f aca="false">IF(EH2236&lt;&gt;"",1,0)</f>
        <v>1</v>
      </c>
      <c r="BB2236" s="0" t="s">
        <v>153</v>
      </c>
      <c r="BC2236" s="0" t="s">
        <v>154</v>
      </c>
      <c r="BD2236" s="0" t="s">
        <v>154</v>
      </c>
      <c r="BE2236" s="0" t="s">
        <v>154</v>
      </c>
      <c r="BF2236" s="0" t="s">
        <v>154</v>
      </c>
      <c r="BG2236" s="0" t="s">
        <v>154</v>
      </c>
      <c r="BH2236" s="0" t="s">
        <v>154</v>
      </c>
      <c r="BI2236" s="0" t="s">
        <v>154</v>
      </c>
      <c r="BJ2236" s="0" t="s">
        <v>154</v>
      </c>
      <c r="BK2236" s="0" t="s">
        <v>154</v>
      </c>
      <c r="BL2236" s="0" t="s">
        <v>154</v>
      </c>
      <c r="BP2236" s="0" t="s">
        <v>154</v>
      </c>
      <c r="BR2236" s="0" t="s">
        <v>154</v>
      </c>
      <c r="BS2236" s="0" t="s">
        <v>154</v>
      </c>
      <c r="BT2236" s="0" t="s">
        <v>154</v>
      </c>
      <c r="BV2236" s="0" t="s">
        <v>154</v>
      </c>
      <c r="BY2236" s="0" t="s">
        <v>155</v>
      </c>
      <c r="CA2236" s="0" t="s">
        <v>154</v>
      </c>
      <c r="CC2236" s="0" t="s">
        <v>155</v>
      </c>
      <c r="CG2236" s="0" t="s">
        <v>154</v>
      </c>
      <c r="CH2236" s="0" t="s">
        <v>155</v>
      </c>
      <c r="CK2236" s="0" t="s">
        <v>154</v>
      </c>
      <c r="CL2236" s="0" t="s">
        <v>155</v>
      </c>
      <c r="CN2236" s="0" t="s">
        <v>154</v>
      </c>
      <c r="CO2236" s="0" t="s">
        <v>155</v>
      </c>
      <c r="CP2236" s="0" t="s">
        <v>154</v>
      </c>
      <c r="CQ2236" s="0" t="s">
        <v>155</v>
      </c>
      <c r="CT2236" s="0" t="s">
        <v>154</v>
      </c>
      <c r="CU2236" s="0" t="s">
        <v>155</v>
      </c>
      <c r="CV2236" s="0" t="s">
        <v>154</v>
      </c>
      <c r="CW2236" s="0" t="s">
        <v>155</v>
      </c>
      <c r="CY2236" s="0" t="s">
        <v>154</v>
      </c>
      <c r="CZ2236" s="0" t="s">
        <v>155</v>
      </c>
      <c r="DC2236" s="0" t="s">
        <v>154</v>
      </c>
      <c r="DD2236" s="0" t="s">
        <v>155</v>
      </c>
      <c r="DF2236" s="0" t="s">
        <v>154</v>
      </c>
      <c r="DG2236" s="0" t="s">
        <v>155</v>
      </c>
      <c r="DI2236" s="0" t="s">
        <v>154</v>
      </c>
      <c r="DJ2236" s="0" t="s">
        <v>155</v>
      </c>
      <c r="DL2236" s="0" t="s">
        <v>154</v>
      </c>
      <c r="DM2236" s="0" t="s">
        <v>155</v>
      </c>
      <c r="DN2236" s="0" t="s">
        <v>154</v>
      </c>
      <c r="DO2236" s="0" t="s">
        <v>155</v>
      </c>
      <c r="DR2236" s="0" t="s">
        <v>154</v>
      </c>
      <c r="DS2236" s="0" t="s">
        <v>155</v>
      </c>
      <c r="DT2236" s="0" t="s">
        <v>155</v>
      </c>
      <c r="DU2236" s="0" t="s">
        <v>154</v>
      </c>
      <c r="DW2236" s="0" t="s">
        <v>155</v>
      </c>
      <c r="DX2236" s="0" t="s">
        <v>154</v>
      </c>
      <c r="EA2236" s="0" t="s">
        <v>154</v>
      </c>
      <c r="ED2236" s="0" t="s">
        <v>155</v>
      </c>
      <c r="EF2236" s="0" t="s">
        <v>154</v>
      </c>
      <c r="EH2236" s="0" t="s">
        <v>155</v>
      </c>
    </row>
    <row r="2237" customFormat="false" ht="13.8" hidden="false" customHeight="false" outlineLevel="0" collapsed="false">
      <c r="A2237" s="0" t="s">
        <v>9789</v>
      </c>
      <c r="B2237" s="0" t="n">
        <v>78</v>
      </c>
      <c r="C2237" s="0" t="n">
        <v>143221</v>
      </c>
      <c r="D2237" s="0" t="s">
        <v>9782</v>
      </c>
      <c r="E2237" s="0" t="s">
        <v>2236</v>
      </c>
      <c r="F2237" s="0" t="str">
        <f aca="false">CONCATENATE(D2237," ",LEFT(H2237,4),"T=",AU2237,"D=",AV2237,"R=",AW2237,"M=",AX2237,"L=",AY2237,"B=",AZ2237)</f>
        <v>KATZENBERGER T=1D=0R=0M=9L=7B=1</v>
      </c>
      <c r="G2237" s="0" t="s">
        <v>172</v>
      </c>
      <c r="I2237" s="0" t="s">
        <v>9790</v>
      </c>
      <c r="J2237" s="0" t="s">
        <v>9791</v>
      </c>
      <c r="K2237" s="0" t="s">
        <v>175</v>
      </c>
      <c r="L2237" s="1" t="s">
        <v>155</v>
      </c>
      <c r="M2237" s="0" t="s">
        <v>9785</v>
      </c>
      <c r="N2237" s="0" t="str">
        <f aca="false">RIGHT(M2237,LEN(M2237)-FIND(" ",M2237))</f>
        <v>PERKINS DR NW</v>
      </c>
      <c r="P2237" s="0" t="s">
        <v>146</v>
      </c>
      <c r="Q2237" s="0" t="s">
        <v>147</v>
      </c>
      <c r="R2237" s="0" t="n">
        <v>44483</v>
      </c>
      <c r="AD2237" s="0" t="s">
        <v>148</v>
      </c>
      <c r="AE2237" s="0" t="s">
        <v>149</v>
      </c>
      <c r="AF2237" s="0" t="s">
        <v>150</v>
      </c>
      <c r="AH2237" s="0" t="n">
        <v>14</v>
      </c>
      <c r="AI2237" s="0" t="n">
        <v>11</v>
      </c>
      <c r="AN2237" s="0" t="s">
        <v>146</v>
      </c>
      <c r="AO2237" s="0" t="s">
        <v>151</v>
      </c>
      <c r="AP2237" s="0" t="s">
        <v>152</v>
      </c>
      <c r="AQ2237" s="0" t="n">
        <v>9</v>
      </c>
      <c r="AR2237" s="0" t="n">
        <v>64</v>
      </c>
      <c r="AS2237" s="0" t="n">
        <v>32</v>
      </c>
      <c r="AU2237" s="0" t="n">
        <f aca="false">COUNTA($BA$1964:$EH$1964)</f>
        <v>1</v>
      </c>
      <c r="AV2237" s="0" t="n">
        <f aca="false">COUNTIF($BA$1964:$EH$1964,"D")</f>
        <v>0</v>
      </c>
      <c r="AW2237" s="0" t="n">
        <f aca="false">COUNTIF($BA$1964:$EH$1964,"R")</f>
        <v>0</v>
      </c>
      <c r="AX2237" s="0" t="n">
        <f aca="false"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>9</v>
      </c>
      <c r="AY2237" s="0" t="n">
        <f aca="false">COUNTIF(DU2237:EH2237, "&lt;&gt;")</f>
        <v>7</v>
      </c>
      <c r="AZ2237" s="0" t="n">
        <f aca="false">IF(EH2237&lt;&gt;"",1,0)</f>
        <v>1</v>
      </c>
      <c r="BB2237" s="0" t="s">
        <v>153</v>
      </c>
      <c r="BC2237" s="0" t="s">
        <v>154</v>
      </c>
      <c r="BD2237" s="0" t="s">
        <v>154</v>
      </c>
      <c r="BE2237" s="0" t="s">
        <v>154</v>
      </c>
      <c r="BF2237" s="0" t="s">
        <v>154</v>
      </c>
      <c r="BG2237" s="0" t="s">
        <v>154</v>
      </c>
      <c r="BH2237" s="0" t="s">
        <v>154</v>
      </c>
      <c r="BI2237" s="0" t="s">
        <v>154</v>
      </c>
      <c r="BJ2237" s="0" t="s">
        <v>154</v>
      </c>
      <c r="BK2237" s="0" t="s">
        <v>154</v>
      </c>
      <c r="BL2237" s="0" t="s">
        <v>154</v>
      </c>
      <c r="BP2237" s="0" t="s">
        <v>154</v>
      </c>
      <c r="BR2237" s="0" t="s">
        <v>154</v>
      </c>
      <c r="BS2237" s="0" t="s">
        <v>154</v>
      </c>
      <c r="BT2237" s="0" t="s">
        <v>154</v>
      </c>
      <c r="BV2237" s="0" t="s">
        <v>154</v>
      </c>
      <c r="BY2237" s="0" t="s">
        <v>155</v>
      </c>
      <c r="CA2237" s="0" t="s">
        <v>154</v>
      </c>
      <c r="CC2237" s="0" t="s">
        <v>155</v>
      </c>
      <c r="CG2237" s="0" t="s">
        <v>154</v>
      </c>
      <c r="CH2237" s="0" t="s">
        <v>155</v>
      </c>
      <c r="CK2237" s="0" t="s">
        <v>154</v>
      </c>
      <c r="CL2237" s="0" t="s">
        <v>155</v>
      </c>
      <c r="CN2237" s="0" t="s">
        <v>154</v>
      </c>
      <c r="CO2237" s="0" t="s">
        <v>155</v>
      </c>
      <c r="CP2237" s="0" t="s">
        <v>154</v>
      </c>
      <c r="CQ2237" s="0" t="s">
        <v>155</v>
      </c>
      <c r="CT2237" s="0" t="s">
        <v>154</v>
      </c>
      <c r="CU2237" s="0" t="s">
        <v>155</v>
      </c>
      <c r="CV2237" s="0" t="s">
        <v>154</v>
      </c>
      <c r="CW2237" s="0" t="s">
        <v>155</v>
      </c>
      <c r="CY2237" s="0" t="s">
        <v>154</v>
      </c>
      <c r="CZ2237" s="0" t="s">
        <v>155</v>
      </c>
      <c r="DC2237" s="0" t="s">
        <v>154</v>
      </c>
      <c r="DD2237" s="0" t="s">
        <v>155</v>
      </c>
      <c r="DF2237" s="0" t="s">
        <v>154</v>
      </c>
      <c r="DG2237" s="0" t="s">
        <v>155</v>
      </c>
      <c r="DI2237" s="0" t="s">
        <v>154</v>
      </c>
      <c r="DJ2237" s="0" t="s">
        <v>155</v>
      </c>
      <c r="DL2237" s="0" t="s">
        <v>154</v>
      </c>
      <c r="DM2237" s="0" t="s">
        <v>155</v>
      </c>
      <c r="DN2237" s="0" t="s">
        <v>154</v>
      </c>
      <c r="DO2237" s="0" t="s">
        <v>155</v>
      </c>
      <c r="DR2237" s="0" t="s">
        <v>154</v>
      </c>
      <c r="DS2237" s="0" t="s">
        <v>155</v>
      </c>
      <c r="DT2237" s="0" t="s">
        <v>155</v>
      </c>
      <c r="DU2237" s="0" t="s">
        <v>154</v>
      </c>
      <c r="DW2237" s="0" t="s">
        <v>155</v>
      </c>
      <c r="DX2237" s="0" t="s">
        <v>154</v>
      </c>
      <c r="EA2237" s="0" t="s">
        <v>154</v>
      </c>
      <c r="ED2237" s="0" t="s">
        <v>155</v>
      </c>
      <c r="EF2237" s="0" t="s">
        <v>154</v>
      </c>
      <c r="EH2237" s="0" t="s">
        <v>155</v>
      </c>
    </row>
    <row r="2238" customFormat="false" ht="13.8" hidden="false" customHeight="false" outlineLevel="0" collapsed="false">
      <c r="A2238" s="0" t="s">
        <v>9792</v>
      </c>
      <c r="B2238" s="0" t="n">
        <v>78</v>
      </c>
      <c r="C2238" s="0" t="n">
        <v>154453</v>
      </c>
      <c r="D2238" s="0" t="s">
        <v>9793</v>
      </c>
      <c r="E2238" s="0" t="s">
        <v>9794</v>
      </c>
      <c r="F2238" s="0" t="str">
        <f aca="false">CONCATENATE(D2238," ",LEFT(H2238,4),"T=",AU2238,"D=",AV2238,"R=",AW2238,"M=",AX2238,"L=",AY2238,"B=",AZ2238)</f>
        <v>KILPATRICK MATTHEWS T=1D=0R=0M=4L=6B=1</v>
      </c>
      <c r="G2238" s="0" t="s">
        <v>317</v>
      </c>
      <c r="I2238" s="0" t="s">
        <v>9795</v>
      </c>
      <c r="J2238" s="0" t="s">
        <v>9796</v>
      </c>
      <c r="K2238" s="0" t="s">
        <v>175</v>
      </c>
      <c r="L2238" s="1" t="s">
        <v>155</v>
      </c>
      <c r="M2238" s="0" t="s">
        <v>9797</v>
      </c>
      <c r="N2238" s="0" t="str">
        <f aca="false">RIGHT(M2238,LEN(M2238)-FIND(" ",M2238))</f>
        <v>PERKINS DR NW</v>
      </c>
      <c r="P2238" s="0" t="s">
        <v>146</v>
      </c>
      <c r="Q2238" s="0" t="s">
        <v>147</v>
      </c>
      <c r="R2238" s="0" t="n">
        <v>44483</v>
      </c>
      <c r="AD2238" s="0" t="s">
        <v>148</v>
      </c>
      <c r="AE2238" s="0" t="s">
        <v>149</v>
      </c>
      <c r="AF2238" s="0" t="s">
        <v>150</v>
      </c>
      <c r="AH2238" s="0" t="n">
        <v>14</v>
      </c>
      <c r="AI2238" s="0" t="n">
        <v>11</v>
      </c>
      <c r="AN2238" s="0" t="s">
        <v>146</v>
      </c>
      <c r="AO2238" s="0" t="s">
        <v>151</v>
      </c>
      <c r="AP2238" s="0" t="s">
        <v>152</v>
      </c>
      <c r="AQ2238" s="0" t="n">
        <v>9</v>
      </c>
      <c r="AR2238" s="0" t="n">
        <v>64</v>
      </c>
      <c r="AS2238" s="0" t="n">
        <v>32</v>
      </c>
      <c r="AU2238" s="0" t="n">
        <f aca="false">COUNTA($BA$1208:$EH$1208)</f>
        <v>1</v>
      </c>
      <c r="AV2238" s="0" t="n">
        <f aca="false">COUNTIF($BA$1208:$EH$1208,"D")</f>
        <v>0</v>
      </c>
      <c r="AW2238" s="0" t="n">
        <f aca="false">COUNTIF($BA$1208:$EH$1208,"R")</f>
        <v>0</v>
      </c>
      <c r="AX2238" s="0" t="n">
        <f aca="false"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>4</v>
      </c>
      <c r="AY2238" s="0" t="n">
        <f aca="false">COUNTIF(DU2238:EH2238, "&lt;&gt;")</f>
        <v>6</v>
      </c>
      <c r="AZ2238" s="0" t="n">
        <f aca="false">IF(EH2238&lt;&gt;"",1,0)</f>
        <v>1</v>
      </c>
      <c r="BB2238" s="0" t="s">
        <v>153</v>
      </c>
      <c r="BC2238" s="0" t="s">
        <v>154</v>
      </c>
      <c r="BD2238" s="0" t="s">
        <v>154</v>
      </c>
      <c r="BE2238" s="0" t="s">
        <v>154</v>
      </c>
      <c r="BH2238" s="0" t="s">
        <v>154</v>
      </c>
      <c r="BI2238" s="0" t="s">
        <v>154</v>
      </c>
      <c r="BJ2238" s="0" t="s">
        <v>154</v>
      </c>
      <c r="BK2238" s="0" t="s">
        <v>154</v>
      </c>
      <c r="BL2238" s="0" t="s">
        <v>154</v>
      </c>
      <c r="BP2238" s="0" t="s">
        <v>154</v>
      </c>
      <c r="BR2238" s="0" t="s">
        <v>154</v>
      </c>
      <c r="BS2238" s="0" t="s">
        <v>154</v>
      </c>
      <c r="BV2238" s="0" t="s">
        <v>154</v>
      </c>
      <c r="BY2238" s="0" t="s">
        <v>155</v>
      </c>
      <c r="CA2238" s="0" t="s">
        <v>154</v>
      </c>
      <c r="CG2238" s="0" t="s">
        <v>154</v>
      </c>
      <c r="CK2238" s="0" t="s">
        <v>154</v>
      </c>
      <c r="CL2238" s="0" t="s">
        <v>155</v>
      </c>
      <c r="CN2238" s="0" t="s">
        <v>154</v>
      </c>
      <c r="CP2238" s="0" t="s">
        <v>154</v>
      </c>
      <c r="CW2238" s="0" t="s">
        <v>155</v>
      </c>
      <c r="CY2238" s="0" t="s">
        <v>154</v>
      </c>
      <c r="CZ2238" s="0" t="s">
        <v>155</v>
      </c>
      <c r="DC2238" s="0" t="s">
        <v>154</v>
      </c>
      <c r="DG2238" s="0" t="s">
        <v>155</v>
      </c>
      <c r="DI2238" s="0" t="s">
        <v>154</v>
      </c>
      <c r="DL2238" s="0" t="s">
        <v>154</v>
      </c>
      <c r="DM2238" s="0" t="s">
        <v>155</v>
      </c>
      <c r="DN2238" s="0" t="s">
        <v>154</v>
      </c>
      <c r="DO2238" s="0" t="s">
        <v>155</v>
      </c>
      <c r="DR2238" s="0" t="s">
        <v>154</v>
      </c>
      <c r="DS2238" s="0" t="s">
        <v>155</v>
      </c>
      <c r="DT2238" s="0" t="s">
        <v>155</v>
      </c>
      <c r="DU2238" s="0" t="s">
        <v>154</v>
      </c>
      <c r="DX2238" s="0" t="s">
        <v>154</v>
      </c>
      <c r="EA2238" s="0" t="s">
        <v>154</v>
      </c>
      <c r="ED2238" s="0" t="s">
        <v>155</v>
      </c>
      <c r="EF2238" s="0" t="s">
        <v>154</v>
      </c>
      <c r="EH2238" s="0" t="s">
        <v>155</v>
      </c>
    </row>
    <row r="2239" customFormat="false" ht="13.8" hidden="false" customHeight="false" outlineLevel="0" collapsed="false">
      <c r="A2239" s="0" t="s">
        <v>9798</v>
      </c>
      <c r="B2239" s="0" t="n">
        <v>78</v>
      </c>
      <c r="C2239" s="0" t="n">
        <v>68111</v>
      </c>
      <c r="D2239" s="0" t="s">
        <v>2149</v>
      </c>
      <c r="E2239" s="0" t="s">
        <v>4888</v>
      </c>
      <c r="F2239" s="0" t="str">
        <f aca="false">CONCATENATE(D2239," ",LEFT(H2239,4),"T=",AU2239,"D=",AV2239,"R=",AW2239,"M=",AX2239,"L=",AY2239,"B=",AZ2239)</f>
        <v>MORAN T=1D=0R=0M=3L=5B=0</v>
      </c>
      <c r="G2239" s="0" t="s">
        <v>196</v>
      </c>
      <c r="I2239" s="0" t="s">
        <v>9799</v>
      </c>
      <c r="J2239" s="0" t="s">
        <v>9800</v>
      </c>
      <c r="K2239" s="0" t="s">
        <v>175</v>
      </c>
      <c r="L2239" s="1" t="s">
        <v>155</v>
      </c>
      <c r="M2239" s="0" t="s">
        <v>9801</v>
      </c>
      <c r="N2239" s="0" t="str">
        <f aca="false">RIGHT(M2239,LEN(M2239)-FIND(" ",M2239))</f>
        <v>PERKINS DR NW</v>
      </c>
      <c r="P2239" s="0" t="s">
        <v>146</v>
      </c>
      <c r="Q2239" s="0" t="s">
        <v>147</v>
      </c>
      <c r="R2239" s="0" t="n">
        <v>44483</v>
      </c>
      <c r="AD2239" s="0" t="s">
        <v>148</v>
      </c>
      <c r="AE2239" s="0" t="s">
        <v>149</v>
      </c>
      <c r="AF2239" s="0" t="s">
        <v>150</v>
      </c>
      <c r="AH2239" s="0" t="n">
        <v>14</v>
      </c>
      <c r="AI2239" s="0" t="n">
        <v>11</v>
      </c>
      <c r="AN2239" s="0" t="s">
        <v>146</v>
      </c>
      <c r="AO2239" s="0" t="s">
        <v>151</v>
      </c>
      <c r="AP2239" s="0" t="s">
        <v>152</v>
      </c>
      <c r="AQ2239" s="0" t="n">
        <v>9</v>
      </c>
      <c r="AR2239" s="0" t="n">
        <v>64</v>
      </c>
      <c r="AS2239" s="0" t="n">
        <v>32</v>
      </c>
      <c r="AU2239" s="0" t="n">
        <f aca="false">COUNTA($BA$2024:$EH$2024)</f>
        <v>1</v>
      </c>
      <c r="AV2239" s="0" t="n">
        <f aca="false">COUNTIF($BA$2024:$EH$2024,"D")</f>
        <v>0</v>
      </c>
      <c r="AW2239" s="0" t="n">
        <f aca="false">COUNTIF($BA$2024:$EH$2024,"R")</f>
        <v>0</v>
      </c>
      <c r="AX2239" s="0" t="n">
        <f aca="false"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>3</v>
      </c>
      <c r="AY2239" s="0" t="n">
        <f aca="false">COUNTIF(DU2239:EH2239, "&lt;&gt;")</f>
        <v>5</v>
      </c>
      <c r="AZ2239" s="0" t="n">
        <f aca="false">IF(EH2239&lt;&gt;"",1,0)</f>
        <v>0</v>
      </c>
      <c r="BB2239" s="0" t="s">
        <v>153</v>
      </c>
      <c r="BC2239" s="0" t="s">
        <v>154</v>
      </c>
      <c r="BD2239" s="0" t="s">
        <v>154</v>
      </c>
      <c r="BG2239" s="0" t="s">
        <v>154</v>
      </c>
      <c r="BH2239" s="0" t="s">
        <v>154</v>
      </c>
      <c r="BI2239" s="0" t="s">
        <v>154</v>
      </c>
      <c r="BJ2239" s="0" t="s">
        <v>154</v>
      </c>
      <c r="BK2239" s="0" t="s">
        <v>154</v>
      </c>
      <c r="BL2239" s="0" t="s">
        <v>154</v>
      </c>
      <c r="BP2239" s="0" t="s">
        <v>154</v>
      </c>
      <c r="BR2239" s="0" t="s">
        <v>154</v>
      </c>
      <c r="BS2239" s="0" t="s">
        <v>154</v>
      </c>
      <c r="BV2239" s="0" t="s">
        <v>154</v>
      </c>
      <c r="BY2239" s="0" t="s">
        <v>155</v>
      </c>
      <c r="CA2239" s="0" t="s">
        <v>154</v>
      </c>
      <c r="CG2239" s="0" t="s">
        <v>154</v>
      </c>
      <c r="CK2239" s="0" t="s">
        <v>154</v>
      </c>
      <c r="CL2239" s="0" t="s">
        <v>155</v>
      </c>
      <c r="CN2239" s="0" t="s">
        <v>154</v>
      </c>
      <c r="CP2239" s="0" t="s">
        <v>154</v>
      </c>
      <c r="CT2239" s="0" t="s">
        <v>154</v>
      </c>
      <c r="CU2239" s="0" t="s">
        <v>155</v>
      </c>
      <c r="DC2239" s="0" t="s">
        <v>154</v>
      </c>
      <c r="DF2239" s="0" t="s">
        <v>154</v>
      </c>
      <c r="DG2239" s="0" t="s">
        <v>155</v>
      </c>
      <c r="DI2239" s="0" t="s">
        <v>154</v>
      </c>
      <c r="DJ2239" s="0" t="s">
        <v>155</v>
      </c>
      <c r="DL2239" s="0" t="s">
        <v>154</v>
      </c>
      <c r="DM2239" s="0" t="s">
        <v>155</v>
      </c>
      <c r="DN2239" s="0" t="s">
        <v>154</v>
      </c>
      <c r="DO2239" s="0" t="s">
        <v>155</v>
      </c>
      <c r="DS2239" s="0" t="s">
        <v>155</v>
      </c>
      <c r="DT2239" s="0" t="s">
        <v>155</v>
      </c>
      <c r="DU2239" s="0" t="s">
        <v>154</v>
      </c>
      <c r="DX2239" s="0" t="s">
        <v>154</v>
      </c>
      <c r="EA2239" s="0" t="s">
        <v>154</v>
      </c>
      <c r="ED2239" s="0" t="s">
        <v>155</v>
      </c>
      <c r="EF2239" s="0" t="s">
        <v>154</v>
      </c>
    </row>
    <row r="2240" customFormat="false" ht="13.8" hidden="true" customHeight="false" outlineLevel="0" collapsed="false">
      <c r="A2240" s="0" t="s">
        <v>9802</v>
      </c>
      <c r="B2240" s="0" t="n">
        <v>78</v>
      </c>
      <c r="C2240" s="0" t="n">
        <v>457144</v>
      </c>
      <c r="D2240" s="0" t="s">
        <v>9803</v>
      </c>
      <c r="E2240" s="0" t="s">
        <v>9804</v>
      </c>
      <c r="F2240" s="0" t="str">
        <f aca="false">CONCATENATE(D2240," ",LEFT(H2240,4),"T=",AU2240,"D=",AV2240,"R=",AW2240,"M=",AX2240,"L=",AY2240,"B=",AZ2240)</f>
        <v>BROADHURST T=2D=0R=0M=0L=0B=0</v>
      </c>
      <c r="G2240" s="0" t="s">
        <v>445</v>
      </c>
      <c r="I2240" s="0" t="s">
        <v>9805</v>
      </c>
      <c r="J2240" s="0" t="s">
        <v>9806</v>
      </c>
      <c r="K2240" s="0" t="s">
        <v>175</v>
      </c>
      <c r="L2240" s="0"/>
      <c r="M2240" s="0" t="s">
        <v>9807</v>
      </c>
      <c r="N2240" s="0" t="str">
        <f aca="false">RIGHT(M2240,LEN(M2240)-FIND(" ",M2240))</f>
        <v>PERKINS DR NW</v>
      </c>
      <c r="P2240" s="0" t="s">
        <v>146</v>
      </c>
      <c r="Q2240" s="0" t="s">
        <v>147</v>
      </c>
      <c r="R2240" s="0" t="n">
        <v>44483</v>
      </c>
      <c r="AD2240" s="0" t="s">
        <v>148</v>
      </c>
      <c r="AE2240" s="0" t="s">
        <v>149</v>
      </c>
      <c r="AF2240" s="0" t="s">
        <v>150</v>
      </c>
      <c r="AH2240" s="0" t="n">
        <v>14</v>
      </c>
      <c r="AI2240" s="0" t="n">
        <v>11</v>
      </c>
      <c r="AN2240" s="0" t="s">
        <v>146</v>
      </c>
      <c r="AO2240" s="0" t="s">
        <v>151</v>
      </c>
      <c r="AP2240" s="0" t="s">
        <v>152</v>
      </c>
      <c r="AQ2240" s="0" t="n">
        <v>9</v>
      </c>
      <c r="AR2240" s="0" t="n">
        <v>64</v>
      </c>
      <c r="AS2240" s="0" t="n">
        <v>32</v>
      </c>
      <c r="AU2240" s="0" t="n">
        <f aca="false">COUNTA($BA$1405:$EH$1405)</f>
        <v>2</v>
      </c>
      <c r="AV2240" s="0" t="n">
        <f aca="false">COUNTIF($BA$1405:$EH$1405,"D")</f>
        <v>0</v>
      </c>
      <c r="AW2240" s="0" t="n">
        <f aca="false">COUNTIF($BA$1405:$EH$1405,"R")</f>
        <v>0</v>
      </c>
      <c r="AX2240" s="0" t="n">
        <f aca="false"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>0</v>
      </c>
      <c r="AY2240" s="0" t="n">
        <f aca="false">COUNTIF(DU2240:EH2240, "&lt;&gt;")</f>
        <v>0</v>
      </c>
      <c r="AZ2240" s="0" t="n">
        <f aca="false">IF(EH2240&lt;&gt;"",1,0)</f>
        <v>0</v>
      </c>
      <c r="BB2240" s="0" t="s">
        <v>153</v>
      </c>
    </row>
    <row r="2241" customFormat="false" ht="13.8" hidden="true" customHeight="false" outlineLevel="0" collapsed="false">
      <c r="A2241" s="0" t="s">
        <v>9808</v>
      </c>
      <c r="B2241" s="0" t="n">
        <v>78</v>
      </c>
      <c r="C2241" s="0" t="n">
        <v>387228</v>
      </c>
      <c r="D2241" s="0" t="s">
        <v>9809</v>
      </c>
      <c r="E2241" s="0" t="s">
        <v>2163</v>
      </c>
      <c r="F2241" s="0" t="str">
        <f aca="false">CONCATENATE(D2241," ",LEFT(H2241,4),"T=",AU2241,"D=",AV2241,"R=",AW2241,"M=",AX2241,"L=",AY2241,"B=",AZ2241)</f>
        <v>MCNULTY T=2D=0R=0M=0L=1B=0</v>
      </c>
      <c r="G2241" s="0" t="s">
        <v>196</v>
      </c>
      <c r="I2241" s="0" t="s">
        <v>9810</v>
      </c>
      <c r="J2241" s="0" t="s">
        <v>1704</v>
      </c>
      <c r="K2241" s="0" t="s">
        <v>175</v>
      </c>
      <c r="L2241" s="0"/>
      <c r="M2241" s="0" t="s">
        <v>9811</v>
      </c>
      <c r="N2241" s="0" t="str">
        <f aca="false">RIGHT(M2241,LEN(M2241)-FIND(" ",M2241))</f>
        <v>PERKINS DR NW</v>
      </c>
      <c r="P2241" s="0" t="s">
        <v>146</v>
      </c>
      <c r="Q2241" s="0" t="s">
        <v>147</v>
      </c>
      <c r="R2241" s="0" t="n">
        <v>44483</v>
      </c>
      <c r="AD2241" s="0" t="s">
        <v>148</v>
      </c>
      <c r="AE2241" s="0" t="s">
        <v>149</v>
      </c>
      <c r="AF2241" s="0" t="s">
        <v>150</v>
      </c>
      <c r="AH2241" s="0" t="n">
        <v>14</v>
      </c>
      <c r="AI2241" s="0" t="n">
        <v>11</v>
      </c>
      <c r="AN2241" s="0" t="s">
        <v>146</v>
      </c>
      <c r="AO2241" s="0" t="s">
        <v>151</v>
      </c>
      <c r="AP2241" s="0" t="s">
        <v>152</v>
      </c>
      <c r="AQ2241" s="0" t="n">
        <v>9</v>
      </c>
      <c r="AR2241" s="0" t="n">
        <v>64</v>
      </c>
      <c r="AS2241" s="0" t="n">
        <v>32</v>
      </c>
      <c r="AU2241" s="0" t="n">
        <f aca="false">COUNTA($BA$1979:$EH$1979)</f>
        <v>2</v>
      </c>
      <c r="AV2241" s="0" t="n">
        <f aca="false">COUNTIF($BA$1979:$EH$1979,"D")</f>
        <v>0</v>
      </c>
      <c r="AW2241" s="0" t="n">
        <f aca="false">COUNTIF($BA$1979:$EH$1979,"R")</f>
        <v>0</v>
      </c>
      <c r="AX2241" s="0" t="n">
        <f aca="false"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>0</v>
      </c>
      <c r="AY2241" s="0" t="n">
        <f aca="false">COUNTIF(DU2241:EH2241, "&lt;&gt;")</f>
        <v>1</v>
      </c>
      <c r="AZ2241" s="0" t="n">
        <f aca="false">IF(EH2241&lt;&gt;"",1,0)</f>
        <v>0</v>
      </c>
      <c r="BB2241" s="0" t="s">
        <v>153</v>
      </c>
      <c r="DC2241" s="0" t="s">
        <v>154</v>
      </c>
      <c r="DN2241" s="0" t="s">
        <v>154</v>
      </c>
      <c r="EF2241" s="0" t="s">
        <v>154</v>
      </c>
    </row>
    <row r="2242" customFormat="false" ht="13.8" hidden="true" customHeight="false" outlineLevel="0" collapsed="false">
      <c r="A2242" s="0" t="s">
        <v>9812</v>
      </c>
      <c r="B2242" s="0" t="n">
        <v>78</v>
      </c>
      <c r="C2242" s="0" t="n">
        <v>476829</v>
      </c>
      <c r="D2242" s="0" t="s">
        <v>9813</v>
      </c>
      <c r="E2242" s="0" t="s">
        <v>9630</v>
      </c>
      <c r="F2242" s="0" t="str">
        <f aca="false">CONCATENATE(D2242," ",LEFT(H2242,4),"T=",AU2242,"D=",AV2242,"R=",AW2242,"M=",AX2242,"L=",AY2242,"B=",AZ2242)</f>
        <v>BETTS T=29D=7R=0M=0L=0B=0</v>
      </c>
      <c r="G2242" s="0" t="s">
        <v>9814</v>
      </c>
      <c r="I2242" s="0" t="s">
        <v>9815</v>
      </c>
      <c r="J2242" s="0" t="s">
        <v>9816</v>
      </c>
      <c r="K2242" s="0" t="s">
        <v>175</v>
      </c>
      <c r="L2242" s="0"/>
      <c r="M2242" s="0" t="s">
        <v>9817</v>
      </c>
      <c r="N2242" s="0" t="str">
        <f aca="false">RIGHT(M2242,LEN(M2242)-FIND(" ",M2242))</f>
        <v>PERKINS DR NW</v>
      </c>
      <c r="P2242" s="0" t="s">
        <v>146</v>
      </c>
      <c r="Q2242" s="0" t="s">
        <v>147</v>
      </c>
      <c r="R2242" s="0" t="n">
        <v>44483</v>
      </c>
      <c r="AD2242" s="0" t="s">
        <v>148</v>
      </c>
      <c r="AE2242" s="0" t="s">
        <v>149</v>
      </c>
      <c r="AF2242" s="0" t="s">
        <v>150</v>
      </c>
      <c r="AH2242" s="0" t="n">
        <v>14</v>
      </c>
      <c r="AI2242" s="0" t="n">
        <v>11</v>
      </c>
      <c r="AN2242" s="0" t="s">
        <v>146</v>
      </c>
      <c r="AO2242" s="0" t="s">
        <v>151</v>
      </c>
      <c r="AP2242" s="0" t="s">
        <v>152</v>
      </c>
      <c r="AQ2242" s="0" t="n">
        <v>9</v>
      </c>
      <c r="AR2242" s="0" t="n">
        <v>64</v>
      </c>
      <c r="AS2242" s="0" t="n">
        <v>32</v>
      </c>
      <c r="AU2242" s="0" t="n">
        <f aca="false">COUNTA($BA$1219:$EH$1219)</f>
        <v>29</v>
      </c>
      <c r="AV2242" s="0" t="n">
        <f aca="false">COUNTIF($BA$1219:$EH$1219,"D")</f>
        <v>7</v>
      </c>
      <c r="AW2242" s="0" t="n">
        <f aca="false">COUNTIF($BA$1219:$EH$1219,"R")</f>
        <v>0</v>
      </c>
      <c r="AX2242" s="0" t="n">
        <f aca="false"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>0</v>
      </c>
      <c r="AY2242" s="0" t="n">
        <f aca="false">COUNTIF(DU2242:EH2242, "&lt;&gt;")</f>
        <v>0</v>
      </c>
      <c r="AZ2242" s="0" t="n">
        <f aca="false">IF(EH2242&lt;&gt;"",1,0)</f>
        <v>0</v>
      </c>
      <c r="BB2242" s="0" t="s">
        <v>153</v>
      </c>
    </row>
    <row r="2243" customFormat="false" ht="13.8" hidden="true" customHeight="false" outlineLevel="0" collapsed="false">
      <c r="A2243" s="0" t="s">
        <v>9818</v>
      </c>
      <c r="B2243" s="0" t="n">
        <v>78</v>
      </c>
      <c r="C2243" s="0" t="n">
        <v>369885</v>
      </c>
      <c r="D2243" s="0" t="s">
        <v>7902</v>
      </c>
      <c r="E2243" s="0" t="s">
        <v>2749</v>
      </c>
      <c r="F2243" s="0" t="str">
        <f aca="false">CONCATENATE(D2243," ",LEFT(H2243,4),"T=",AU2243,"D=",AV2243,"R=",AW2243,"M=",AX2243,"L=",AY2243,"B=",AZ2243)</f>
        <v>SIMMONS T=6D=3R=0M=0L=0B=0</v>
      </c>
      <c r="G2243" s="0" t="s">
        <v>297</v>
      </c>
      <c r="I2243" s="0" t="s">
        <v>9819</v>
      </c>
      <c r="J2243" s="0" t="s">
        <v>9820</v>
      </c>
      <c r="K2243" s="0" t="s">
        <v>175</v>
      </c>
      <c r="L2243" s="0"/>
      <c r="M2243" s="0" t="s">
        <v>9817</v>
      </c>
      <c r="N2243" s="0" t="str">
        <f aca="false">RIGHT(M2243,LEN(M2243)-FIND(" ",M2243))</f>
        <v>PERKINS DR NW</v>
      </c>
      <c r="P2243" s="0" t="s">
        <v>146</v>
      </c>
      <c r="Q2243" s="0" t="s">
        <v>147</v>
      </c>
      <c r="R2243" s="0" t="n">
        <v>44483</v>
      </c>
      <c r="AD2243" s="0" t="s">
        <v>148</v>
      </c>
      <c r="AE2243" s="0" t="s">
        <v>149</v>
      </c>
      <c r="AF2243" s="0" t="s">
        <v>150</v>
      </c>
      <c r="AH2243" s="0" t="n">
        <v>14</v>
      </c>
      <c r="AI2243" s="0" t="n">
        <v>11</v>
      </c>
      <c r="AN2243" s="0" t="s">
        <v>146</v>
      </c>
      <c r="AO2243" s="0" t="s">
        <v>151</v>
      </c>
      <c r="AP2243" s="0" t="s">
        <v>152</v>
      </c>
      <c r="AQ2243" s="0" t="n">
        <v>9</v>
      </c>
      <c r="AR2243" s="0" t="n">
        <v>64</v>
      </c>
      <c r="AS2243" s="0" t="n">
        <v>32</v>
      </c>
      <c r="AU2243" s="0" t="n">
        <f aca="false">COUNTA($BA$1678:$EH$1678)</f>
        <v>6</v>
      </c>
      <c r="AV2243" s="0" t="n">
        <f aca="false">COUNTIF($BA$1678:$EH$1678,"D")</f>
        <v>3</v>
      </c>
      <c r="AW2243" s="0" t="n">
        <f aca="false">COUNTIF($BA$1678:$EH$1678,"R")</f>
        <v>0</v>
      </c>
      <c r="AX2243" s="0" t="n">
        <f aca="false"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>0</v>
      </c>
      <c r="AY2243" s="0" t="n">
        <f aca="false">COUNTIF(DU2243:EH2243, "&lt;&gt;")</f>
        <v>0</v>
      </c>
      <c r="AZ2243" s="0" t="n">
        <f aca="false">IF(EH2243&lt;&gt;"",1,0)</f>
        <v>0</v>
      </c>
      <c r="BB2243" s="0" t="s">
        <v>153</v>
      </c>
    </row>
    <row r="2244" customFormat="false" ht="13.8" hidden="false" customHeight="false" outlineLevel="0" collapsed="false">
      <c r="A2244" s="0" t="s">
        <v>9821</v>
      </c>
      <c r="B2244" s="0" t="n">
        <v>78</v>
      </c>
      <c r="C2244" s="0" t="n">
        <v>29734</v>
      </c>
      <c r="D2244" s="0" t="s">
        <v>8872</v>
      </c>
      <c r="E2244" s="0" t="s">
        <v>4183</v>
      </c>
      <c r="F2244" s="0" t="str">
        <f aca="false">CONCATENATE(D2244," ",LEFT(H2244,4),"T=",AU2244,"D=",AV2244,"R=",AW2244,"M=",AX2244,"L=",AY2244,"B=",AZ2244)</f>
        <v>HICKS T=1D=0R=0M=9L=7B=1</v>
      </c>
      <c r="G2244" s="0" t="s">
        <v>563</v>
      </c>
      <c r="I2244" s="0" t="s">
        <v>9822</v>
      </c>
      <c r="J2244" s="0" t="s">
        <v>4576</v>
      </c>
      <c r="K2244" s="0" t="s">
        <v>175</v>
      </c>
      <c r="L2244" s="1" t="s">
        <v>155</v>
      </c>
      <c r="M2244" s="0" t="s">
        <v>9823</v>
      </c>
      <c r="N2244" s="0" t="str">
        <f aca="false">RIGHT(M2244,LEN(M2244)-FIND(" ",M2244))</f>
        <v>PERKINS DR NW</v>
      </c>
      <c r="P2244" s="0" t="s">
        <v>146</v>
      </c>
      <c r="Q2244" s="0" t="s">
        <v>147</v>
      </c>
      <c r="R2244" s="0" t="n">
        <v>44483</v>
      </c>
      <c r="AD2244" s="0" t="s">
        <v>148</v>
      </c>
      <c r="AE2244" s="0" t="s">
        <v>149</v>
      </c>
      <c r="AF2244" s="0" t="s">
        <v>150</v>
      </c>
      <c r="AH2244" s="0" t="n">
        <v>14</v>
      </c>
      <c r="AI2244" s="0" t="n">
        <v>11</v>
      </c>
      <c r="AN2244" s="0" t="s">
        <v>146</v>
      </c>
      <c r="AO2244" s="0" t="s">
        <v>151</v>
      </c>
      <c r="AP2244" s="0" t="s">
        <v>152</v>
      </c>
      <c r="AQ2244" s="0" t="n">
        <v>9</v>
      </c>
      <c r="AR2244" s="0" t="n">
        <v>64</v>
      </c>
      <c r="AS2244" s="0" t="n">
        <v>32</v>
      </c>
      <c r="AU2244" s="0" t="n">
        <f aca="false">COUNTA($BA$1315:$EH$1315)</f>
        <v>1</v>
      </c>
      <c r="AV2244" s="0" t="n">
        <f aca="false">COUNTIF($BA$1315:$EH$1315,"D")</f>
        <v>0</v>
      </c>
      <c r="AW2244" s="0" t="n">
        <f aca="false">COUNTIF($BA$1315:$EH$1315,"R")</f>
        <v>0</v>
      </c>
      <c r="AX2244" s="0" t="n">
        <f aca="false"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>9</v>
      </c>
      <c r="AY2244" s="0" t="n">
        <f aca="false">COUNTIF(DU2244:EH2244, "&lt;&gt;")</f>
        <v>7</v>
      </c>
      <c r="AZ2244" s="0" t="n">
        <f aca="false">IF(EH2244&lt;&gt;"",1,0)</f>
        <v>1</v>
      </c>
      <c r="BB2244" s="0" t="s">
        <v>153</v>
      </c>
      <c r="BC2244" s="0" t="s">
        <v>154</v>
      </c>
      <c r="BD2244" s="0" t="s">
        <v>154</v>
      </c>
      <c r="BE2244" s="0" t="s">
        <v>154</v>
      </c>
      <c r="BF2244" s="0" t="s">
        <v>154</v>
      </c>
      <c r="BG2244" s="0" t="s">
        <v>154</v>
      </c>
      <c r="BH2244" s="0" t="s">
        <v>154</v>
      </c>
      <c r="BI2244" s="0" t="s">
        <v>154</v>
      </c>
      <c r="BJ2244" s="0" t="s">
        <v>154</v>
      </c>
      <c r="BK2244" s="0" t="s">
        <v>154</v>
      </c>
      <c r="BL2244" s="0" t="s">
        <v>154</v>
      </c>
      <c r="BP2244" s="0" t="s">
        <v>154</v>
      </c>
      <c r="BR2244" s="0" t="s">
        <v>154</v>
      </c>
      <c r="BS2244" s="0" t="s">
        <v>154</v>
      </c>
      <c r="BV2244" s="0" t="s">
        <v>154</v>
      </c>
      <c r="BY2244" s="0" t="s">
        <v>155</v>
      </c>
      <c r="CA2244" s="0" t="s">
        <v>154</v>
      </c>
      <c r="CC2244" s="0" t="s">
        <v>155</v>
      </c>
      <c r="CG2244" s="0" t="s">
        <v>154</v>
      </c>
      <c r="CH2244" s="0" t="s">
        <v>155</v>
      </c>
      <c r="CK2244" s="0" t="s">
        <v>154</v>
      </c>
      <c r="CL2244" s="0" t="s">
        <v>155</v>
      </c>
      <c r="CN2244" s="0" t="s">
        <v>154</v>
      </c>
      <c r="CO2244" s="0" t="s">
        <v>155</v>
      </c>
      <c r="CP2244" s="0" t="s">
        <v>154</v>
      </c>
      <c r="CQ2244" s="0" t="s">
        <v>155</v>
      </c>
      <c r="CT2244" s="0" t="s">
        <v>154</v>
      </c>
      <c r="CU2244" s="0" t="s">
        <v>155</v>
      </c>
      <c r="CV2244" s="0" t="s">
        <v>154</v>
      </c>
      <c r="CW2244" s="0" t="s">
        <v>155</v>
      </c>
      <c r="CY2244" s="0" t="s">
        <v>154</v>
      </c>
      <c r="CZ2244" s="0" t="s">
        <v>155</v>
      </c>
      <c r="DC2244" s="0" t="s">
        <v>154</v>
      </c>
      <c r="DD2244" s="0" t="s">
        <v>155</v>
      </c>
      <c r="DF2244" s="0" t="s">
        <v>154</v>
      </c>
      <c r="DG2244" s="0" t="s">
        <v>155</v>
      </c>
      <c r="DI2244" s="0" t="s">
        <v>154</v>
      </c>
      <c r="DJ2244" s="0" t="s">
        <v>155</v>
      </c>
      <c r="DL2244" s="0" t="s">
        <v>154</v>
      </c>
      <c r="DM2244" s="0" t="s">
        <v>155</v>
      </c>
      <c r="DN2244" s="0" t="s">
        <v>154</v>
      </c>
      <c r="DO2244" s="0" t="s">
        <v>155</v>
      </c>
      <c r="DR2244" s="0" t="s">
        <v>154</v>
      </c>
      <c r="DU2244" s="0" t="s">
        <v>154</v>
      </c>
      <c r="DW2244" s="0" t="s">
        <v>155</v>
      </c>
      <c r="DX2244" s="0" t="s">
        <v>154</v>
      </c>
      <c r="EA2244" s="0" t="s">
        <v>154</v>
      </c>
      <c r="ED2244" s="0" t="s">
        <v>155</v>
      </c>
      <c r="EF2244" s="0" t="s">
        <v>154</v>
      </c>
      <c r="EH2244" s="0" t="s">
        <v>155</v>
      </c>
    </row>
    <row r="2245" customFormat="false" ht="13.8" hidden="true" customHeight="false" outlineLevel="0" collapsed="false">
      <c r="A2245" s="0" t="s">
        <v>9824</v>
      </c>
      <c r="B2245" s="0" t="n">
        <v>78</v>
      </c>
      <c r="C2245" s="0" t="n">
        <v>275552</v>
      </c>
      <c r="D2245" s="0" t="s">
        <v>9825</v>
      </c>
      <c r="E2245" s="0" t="s">
        <v>430</v>
      </c>
      <c r="F2245" s="0" t="str">
        <f aca="false">CONCATENATE(D2245," ",LEFT(H2245,4),"T=",AU2245,"D=",AV2245,"R=",AW2245,"M=",AX2245,"L=",AY2245,"B=",AZ2245)</f>
        <v>LATIMER JRT=1D=0R=0M=1L=0B=0</v>
      </c>
      <c r="G2245" s="0" t="s">
        <v>166</v>
      </c>
      <c r="H2245" s="0" t="s">
        <v>431</v>
      </c>
      <c r="I2245" s="0" t="s">
        <v>9826</v>
      </c>
      <c r="J2245" s="0" t="s">
        <v>4664</v>
      </c>
      <c r="K2245" s="0" t="s">
        <v>175</v>
      </c>
      <c r="L2245" s="0"/>
      <c r="M2245" s="0" t="s">
        <v>9827</v>
      </c>
      <c r="N2245" s="0" t="str">
        <f aca="false">RIGHT(M2245,LEN(M2245)-FIND(" ",M2245))</f>
        <v>PERKINS DR NW</v>
      </c>
      <c r="P2245" s="0" t="s">
        <v>146</v>
      </c>
      <c r="Q2245" s="0" t="s">
        <v>147</v>
      </c>
      <c r="R2245" s="0" t="n">
        <v>44483</v>
      </c>
      <c r="AD2245" s="0" t="s">
        <v>148</v>
      </c>
      <c r="AE2245" s="0" t="s">
        <v>149</v>
      </c>
      <c r="AF2245" s="0" t="s">
        <v>150</v>
      </c>
      <c r="AH2245" s="0" t="n">
        <v>14</v>
      </c>
      <c r="AI2245" s="0" t="n">
        <v>11</v>
      </c>
      <c r="AN2245" s="0" t="s">
        <v>146</v>
      </c>
      <c r="AO2245" s="0" t="s">
        <v>151</v>
      </c>
      <c r="AP2245" s="0" t="s">
        <v>152</v>
      </c>
      <c r="AQ2245" s="0" t="n">
        <v>9</v>
      </c>
      <c r="AR2245" s="0" t="n">
        <v>64</v>
      </c>
      <c r="AS2245" s="0" t="n">
        <v>32</v>
      </c>
      <c r="AU2245" s="0" t="n">
        <f aca="false">COUNTA($BA$2030:$EH$2030)</f>
        <v>1</v>
      </c>
      <c r="AV2245" s="0" t="n">
        <f aca="false">COUNTIF($BA$2030:$EH$2030,"D")</f>
        <v>0</v>
      </c>
      <c r="AW2245" s="0" t="n">
        <f aca="false">COUNTIF($BA$2030:$EH$2030,"R")</f>
        <v>0</v>
      </c>
      <c r="AX2245" s="0" t="n">
        <f aca="false"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>1</v>
      </c>
      <c r="AY2245" s="0" t="n">
        <f aca="false">COUNTIF(DU2245:EH2245, "&lt;&gt;")</f>
        <v>0</v>
      </c>
      <c r="AZ2245" s="0" t="n">
        <f aca="false">IF(EH2245&lt;&gt;"",1,0)</f>
        <v>0</v>
      </c>
      <c r="BB2245" s="0" t="s">
        <v>153</v>
      </c>
      <c r="BD2245" s="0" t="s">
        <v>154</v>
      </c>
      <c r="BE2245" s="0" t="s">
        <v>154</v>
      </c>
      <c r="BG2245" s="0" t="s">
        <v>154</v>
      </c>
      <c r="BH2245" s="0" t="s">
        <v>154</v>
      </c>
      <c r="BI2245" s="0" t="s">
        <v>154</v>
      </c>
      <c r="BJ2245" s="0" t="s">
        <v>154</v>
      </c>
      <c r="BK2245" s="0" t="s">
        <v>154</v>
      </c>
      <c r="BL2245" s="0" t="s">
        <v>154</v>
      </c>
      <c r="BP2245" s="0" t="s">
        <v>154</v>
      </c>
      <c r="BR2245" s="0" t="s">
        <v>154</v>
      </c>
      <c r="BS2245" s="0" t="s">
        <v>154</v>
      </c>
      <c r="BT2245" s="0" t="s">
        <v>154</v>
      </c>
      <c r="BY2245" s="0" t="s">
        <v>155</v>
      </c>
      <c r="CA2245" s="0" t="s">
        <v>154</v>
      </c>
      <c r="CN2245" s="0" t="s">
        <v>154</v>
      </c>
      <c r="CP2245" s="0" t="s">
        <v>154</v>
      </c>
      <c r="CW2245" s="0" t="s">
        <v>155</v>
      </c>
      <c r="CY2245" s="0" t="s">
        <v>154</v>
      </c>
      <c r="DC2245" s="0" t="s">
        <v>154</v>
      </c>
      <c r="DI2245" s="0" t="s">
        <v>154</v>
      </c>
      <c r="DN2245" s="0" t="s">
        <v>154</v>
      </c>
    </row>
    <row r="2246" customFormat="false" ht="13.8" hidden="false" customHeight="false" outlineLevel="0" collapsed="false">
      <c r="A2246" s="0" t="s">
        <v>9828</v>
      </c>
      <c r="B2246" s="0" t="n">
        <v>78</v>
      </c>
      <c r="C2246" s="0" t="n">
        <v>328813</v>
      </c>
      <c r="D2246" s="0" t="s">
        <v>9829</v>
      </c>
      <c r="E2246" s="0" t="s">
        <v>863</v>
      </c>
      <c r="F2246" s="0" t="str">
        <f aca="false">CONCATENATE(D2246," ",LEFT(H2246,4),"T=",AU2246,"D=",AV2246,"R=",AW2246,"M=",AX2246,"L=",AY2246,"B=",AZ2246)</f>
        <v>RUSHIN T=1D=0R=0M=0L=2B=0</v>
      </c>
      <c r="G2246" s="0" t="s">
        <v>181</v>
      </c>
      <c r="I2246" s="0" t="s">
        <v>9830</v>
      </c>
      <c r="J2246" s="0" t="s">
        <v>9831</v>
      </c>
      <c r="K2246" s="0" t="s">
        <v>175</v>
      </c>
      <c r="M2246" s="0" t="s">
        <v>9832</v>
      </c>
      <c r="N2246" s="0" t="str">
        <f aca="false">RIGHT(M2246,LEN(M2246)-FIND(" ",M2246))</f>
        <v>PERKINS DR NW</v>
      </c>
      <c r="P2246" s="0" t="s">
        <v>146</v>
      </c>
      <c r="Q2246" s="0" t="s">
        <v>147</v>
      </c>
      <c r="R2246" s="0" t="n">
        <v>44483</v>
      </c>
      <c r="AD2246" s="0" t="s">
        <v>148</v>
      </c>
      <c r="AE2246" s="0" t="s">
        <v>149</v>
      </c>
      <c r="AF2246" s="0" t="s">
        <v>150</v>
      </c>
      <c r="AH2246" s="0" t="n">
        <v>14</v>
      </c>
      <c r="AI2246" s="0" t="n">
        <v>11</v>
      </c>
      <c r="AN2246" s="0" t="s">
        <v>146</v>
      </c>
      <c r="AO2246" s="0" t="s">
        <v>151</v>
      </c>
      <c r="AP2246" s="0" t="s">
        <v>152</v>
      </c>
      <c r="AQ2246" s="0" t="n">
        <v>9</v>
      </c>
      <c r="AR2246" s="0" t="n">
        <v>64</v>
      </c>
      <c r="AS2246" s="0" t="n">
        <v>32</v>
      </c>
      <c r="AU2246" s="0" t="n">
        <f aca="false">COUNTA($BA$1985:$EH$1985)</f>
        <v>1</v>
      </c>
      <c r="AV2246" s="0" t="n">
        <f aca="false">COUNTIF($BA$1985:$EH$1985,"D")</f>
        <v>0</v>
      </c>
      <c r="AW2246" s="0" t="n">
        <f aca="false">COUNTIF($BA$1985:$EH$1985,"R")</f>
        <v>0</v>
      </c>
      <c r="AX2246" s="0" t="n">
        <f aca="false"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>0</v>
      </c>
      <c r="AY2246" s="0" t="n">
        <f aca="false">COUNTIF(DU2246:EH2246, "&lt;&gt;")</f>
        <v>2</v>
      </c>
      <c r="AZ2246" s="0" t="n">
        <f aca="false">IF(EH2246&lt;&gt;"",1,0)</f>
        <v>0</v>
      </c>
      <c r="BB2246" s="0" t="s">
        <v>153</v>
      </c>
      <c r="BL2246" s="0" t="s">
        <v>154</v>
      </c>
      <c r="BY2246" s="0" t="s">
        <v>155</v>
      </c>
      <c r="CA2246" s="0" t="s">
        <v>154</v>
      </c>
      <c r="CP2246" s="0" t="s">
        <v>154</v>
      </c>
      <c r="CZ2246" s="0" t="s">
        <v>155</v>
      </c>
      <c r="DC2246" s="0" t="s">
        <v>154</v>
      </c>
      <c r="DG2246" s="0" t="s">
        <v>155</v>
      </c>
      <c r="DI2246" s="0" t="s">
        <v>154</v>
      </c>
      <c r="DN2246" s="0" t="s">
        <v>154</v>
      </c>
      <c r="DU2246" s="0" t="s">
        <v>154</v>
      </c>
      <c r="DX2246" s="0" t="s">
        <v>154</v>
      </c>
    </row>
    <row r="2247" customFormat="false" ht="13.8" hidden="true" customHeight="false" outlineLevel="0" collapsed="false">
      <c r="A2247" s="0" t="s">
        <v>9833</v>
      </c>
      <c r="B2247" s="0" t="n">
        <v>78</v>
      </c>
      <c r="C2247" s="0" t="n">
        <v>433520</v>
      </c>
      <c r="D2247" s="0" t="s">
        <v>2629</v>
      </c>
      <c r="E2247" s="0" t="s">
        <v>277</v>
      </c>
      <c r="F2247" s="0" t="str">
        <f aca="false">CONCATENATE(D2247," ",LEFT(H2247,4),"T=",AU2247,"D=",AV2247,"R=",AW2247,"M=",AX2247,"L=",AY2247,"B=",AZ2247)</f>
        <v>CLINE T=31D=4R=3M=0L=0B=0</v>
      </c>
      <c r="G2247" s="0" t="s">
        <v>155</v>
      </c>
      <c r="I2247" s="0" t="s">
        <v>9834</v>
      </c>
      <c r="J2247" s="0" t="s">
        <v>3097</v>
      </c>
      <c r="K2247" s="0" t="s">
        <v>144</v>
      </c>
      <c r="L2247" s="0"/>
      <c r="M2247" s="0" t="s">
        <v>9835</v>
      </c>
      <c r="N2247" s="0" t="str">
        <f aca="false">RIGHT(M2247,LEN(M2247)-FIND(" ",M2247))</f>
        <v>PRIER PL NE</v>
      </c>
      <c r="P2247" s="0" t="s">
        <v>146</v>
      </c>
      <c r="Q2247" s="0" t="s">
        <v>147</v>
      </c>
      <c r="R2247" s="0" t="n">
        <v>44483</v>
      </c>
      <c r="AD2247" s="0" t="s">
        <v>148</v>
      </c>
      <c r="AE2247" s="0" t="s">
        <v>149</v>
      </c>
      <c r="AF2247" s="0" t="s">
        <v>150</v>
      </c>
      <c r="AH2247" s="0" t="n">
        <v>14</v>
      </c>
      <c r="AI2247" s="0" t="n">
        <v>11</v>
      </c>
      <c r="AN2247" s="0" t="s">
        <v>146</v>
      </c>
      <c r="AO2247" s="0" t="s">
        <v>236</v>
      </c>
      <c r="AP2247" s="0" t="s">
        <v>237</v>
      </c>
      <c r="AQ2247" s="0" t="n">
        <v>9</v>
      </c>
      <c r="AR2247" s="0" t="n">
        <v>64</v>
      </c>
      <c r="AS2247" s="0" t="n">
        <v>32</v>
      </c>
      <c r="AU2247" s="0" t="n">
        <f aca="false">COUNTA($BA$40:$EH$40)</f>
        <v>31</v>
      </c>
      <c r="AV2247" s="0" t="n">
        <f aca="false">COUNTIF($BA$40:$EH$40,"D")</f>
        <v>4</v>
      </c>
      <c r="AW2247" s="0" t="n">
        <f aca="false">COUNTIF($BA$40:$EH$40,"R")</f>
        <v>3</v>
      </c>
      <c r="AX2247" s="0" t="n">
        <f aca="false"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>0</v>
      </c>
      <c r="AY2247" s="0" t="n">
        <f aca="false">COUNTIF(DU2247:EH2247, "&lt;&gt;")</f>
        <v>0</v>
      </c>
      <c r="AZ2247" s="0" t="n">
        <f aca="false">IF(EH2247&lt;&gt;"",1,0)</f>
        <v>0</v>
      </c>
      <c r="BB2247" s="0" t="s">
        <v>153</v>
      </c>
    </row>
    <row r="2248" customFormat="false" ht="13.8" hidden="true" customHeight="false" outlineLevel="0" collapsed="false">
      <c r="A2248" s="0" t="s">
        <v>9836</v>
      </c>
      <c r="B2248" s="0" t="n">
        <v>78</v>
      </c>
      <c r="C2248" s="0" t="n">
        <v>440401</v>
      </c>
      <c r="D2248" s="0" t="s">
        <v>9837</v>
      </c>
      <c r="E2248" s="0" t="s">
        <v>9838</v>
      </c>
      <c r="F2248" s="0" t="str">
        <f aca="false">CONCATENATE(D2248," ",LEFT(H2248,4),"T=",AU2248,"D=",AV2248,"R=",AW2248,"M=",AX2248,"L=",AY2248,"B=",AZ2248)</f>
        <v>STARKEY T=1D=0R=0M=0L=0B=0</v>
      </c>
      <c r="G2248" s="0" t="s">
        <v>172</v>
      </c>
      <c r="I2248" s="0" t="s">
        <v>9839</v>
      </c>
      <c r="J2248" s="0" t="s">
        <v>9840</v>
      </c>
      <c r="K2248" s="0" t="s">
        <v>175</v>
      </c>
      <c r="L2248" s="0"/>
      <c r="M2248" s="0" t="s">
        <v>9841</v>
      </c>
      <c r="N2248" s="0" t="str">
        <f aca="false">RIGHT(M2248,LEN(M2248)-FIND(" ",M2248))</f>
        <v>PRIER PL NE</v>
      </c>
      <c r="P2248" s="0" t="s">
        <v>146</v>
      </c>
      <c r="Q2248" s="0" t="s">
        <v>147</v>
      </c>
      <c r="R2248" s="0" t="n">
        <v>44483</v>
      </c>
      <c r="AD2248" s="0" t="s">
        <v>148</v>
      </c>
      <c r="AE2248" s="0" t="s">
        <v>149</v>
      </c>
      <c r="AF2248" s="0" t="s">
        <v>150</v>
      </c>
      <c r="AH2248" s="0" t="n">
        <v>14</v>
      </c>
      <c r="AI2248" s="0" t="n">
        <v>11</v>
      </c>
      <c r="AN2248" s="0" t="s">
        <v>146</v>
      </c>
      <c r="AO2248" s="0" t="s">
        <v>236</v>
      </c>
      <c r="AP2248" s="0" t="s">
        <v>237</v>
      </c>
      <c r="AQ2248" s="0" t="n">
        <v>9</v>
      </c>
      <c r="AR2248" s="0" t="n">
        <v>64</v>
      </c>
      <c r="AS2248" s="0" t="n">
        <v>32</v>
      </c>
      <c r="AU2248" s="0" t="n">
        <f aca="false">COUNTA($BA$94:$EH$94)</f>
        <v>1</v>
      </c>
      <c r="AV2248" s="0" t="n">
        <f aca="false">COUNTIF($BA$94:$EH$94,"D")</f>
        <v>0</v>
      </c>
      <c r="AW2248" s="0" t="n">
        <f aca="false">COUNTIF($BA$94:$EH$94,"R")</f>
        <v>0</v>
      </c>
      <c r="AX2248" s="0" t="n">
        <f aca="false"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>0</v>
      </c>
      <c r="AY2248" s="0" t="n">
        <f aca="false">COUNTIF(DU2248:EH2248, "&lt;&gt;")</f>
        <v>0</v>
      </c>
      <c r="AZ2248" s="0" t="n">
        <f aca="false">IF(EH2248&lt;&gt;"",1,0)</f>
        <v>0</v>
      </c>
      <c r="BB2248" s="0" t="s">
        <v>153</v>
      </c>
    </row>
    <row r="2249" customFormat="false" ht="13.8" hidden="true" customHeight="false" outlineLevel="0" collapsed="false">
      <c r="A2249" s="0" t="s">
        <v>9842</v>
      </c>
      <c r="B2249" s="0" t="n">
        <v>78</v>
      </c>
      <c r="C2249" s="0" t="n">
        <v>464005</v>
      </c>
      <c r="D2249" s="0" t="s">
        <v>1582</v>
      </c>
      <c r="E2249" s="0" t="s">
        <v>9843</v>
      </c>
      <c r="F2249" s="0" t="str">
        <f aca="false">CONCATENATE(D2249," ",LEFT(H2249,4),"T=",AU2249,"D=",AV2249,"R=",AW2249,"M=",AX2249,"L=",AY2249,"B=",AZ2249)</f>
        <v>SMITH T=2D=0R=0M=0L=0B=0</v>
      </c>
      <c r="G2249" s="0" t="s">
        <v>297</v>
      </c>
      <c r="I2249" s="0" t="s">
        <v>6313</v>
      </c>
      <c r="J2249" s="0" t="s">
        <v>9844</v>
      </c>
      <c r="K2249" s="0" t="s">
        <v>175</v>
      </c>
      <c r="L2249" s="0"/>
      <c r="M2249" s="0" t="s">
        <v>9841</v>
      </c>
      <c r="N2249" s="0" t="str">
        <f aca="false">RIGHT(M2249,LEN(M2249)-FIND(" ",M2249))</f>
        <v>PRIER PL NE</v>
      </c>
      <c r="P2249" s="0" t="s">
        <v>146</v>
      </c>
      <c r="Q2249" s="0" t="s">
        <v>147</v>
      </c>
      <c r="R2249" s="0" t="n">
        <v>44483</v>
      </c>
      <c r="AD2249" s="0" t="s">
        <v>148</v>
      </c>
      <c r="AE2249" s="0" t="s">
        <v>149</v>
      </c>
      <c r="AF2249" s="0" t="s">
        <v>150</v>
      </c>
      <c r="AH2249" s="0" t="n">
        <v>14</v>
      </c>
      <c r="AI2249" s="0" t="n">
        <v>11</v>
      </c>
      <c r="AN2249" s="0" t="s">
        <v>146</v>
      </c>
      <c r="AO2249" s="0" t="s">
        <v>236</v>
      </c>
      <c r="AP2249" s="0" t="s">
        <v>237</v>
      </c>
      <c r="AQ2249" s="0" t="n">
        <v>9</v>
      </c>
      <c r="AR2249" s="0" t="n">
        <v>64</v>
      </c>
      <c r="AS2249" s="0" t="n">
        <v>32</v>
      </c>
      <c r="AU2249" s="0" t="n">
        <f aca="false">COUNTA($BA$119:$EH$119)</f>
        <v>2</v>
      </c>
      <c r="AV2249" s="0" t="n">
        <f aca="false">COUNTIF($BA$119:$EH$119,"D")</f>
        <v>0</v>
      </c>
      <c r="AW2249" s="0" t="n">
        <f aca="false">COUNTIF($BA$119:$EH$119,"R")</f>
        <v>0</v>
      </c>
      <c r="AX2249" s="0" t="n">
        <f aca="false"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>0</v>
      </c>
      <c r="AY2249" s="0" t="n">
        <f aca="false">COUNTIF(DU2249:EH2249, "&lt;&gt;")</f>
        <v>0</v>
      </c>
      <c r="AZ2249" s="0" t="n">
        <f aca="false">IF(EH2249&lt;&gt;"",1,0)</f>
        <v>0</v>
      </c>
      <c r="BB2249" s="0" t="s">
        <v>153</v>
      </c>
    </row>
    <row r="2250" customFormat="false" ht="13.8" hidden="true" customHeight="false" outlineLevel="0" collapsed="false">
      <c r="A2250" s="0" t="s">
        <v>9845</v>
      </c>
      <c r="B2250" s="0" t="n">
        <v>78</v>
      </c>
      <c r="C2250" s="0" t="n">
        <v>477030</v>
      </c>
      <c r="D2250" s="0" t="s">
        <v>1582</v>
      </c>
      <c r="E2250" s="0" t="s">
        <v>139</v>
      </c>
      <c r="F2250" s="0" t="str">
        <f aca="false">CONCATENATE(D2250," ",LEFT(H2250,4),"T=",AU2250,"D=",AV2250,"R=",AW2250,"M=",AX2250,"L=",AY2250,"B=",AZ2250)</f>
        <v>SMITH T=1D=0R=0M=0L=0B=0</v>
      </c>
      <c r="G2250" s="0" t="s">
        <v>297</v>
      </c>
      <c r="I2250" s="0" t="s">
        <v>9846</v>
      </c>
      <c r="J2250" s="0" t="s">
        <v>5660</v>
      </c>
      <c r="K2250" s="0" t="s">
        <v>175</v>
      </c>
      <c r="L2250" s="0"/>
      <c r="M2250" s="0" t="s">
        <v>9841</v>
      </c>
      <c r="N2250" s="0" t="str">
        <f aca="false">RIGHT(M2250,LEN(M2250)-FIND(" ",M2250))</f>
        <v>PRIER PL NE</v>
      </c>
      <c r="P2250" s="0" t="s">
        <v>146</v>
      </c>
      <c r="Q2250" s="0" t="s">
        <v>147</v>
      </c>
      <c r="R2250" s="0" t="n">
        <v>44483</v>
      </c>
      <c r="AD2250" s="0" t="s">
        <v>148</v>
      </c>
      <c r="AE2250" s="0" t="s">
        <v>149</v>
      </c>
      <c r="AF2250" s="0" t="s">
        <v>150</v>
      </c>
      <c r="AH2250" s="0" t="n">
        <v>14</v>
      </c>
      <c r="AI2250" s="0" t="n">
        <v>11</v>
      </c>
      <c r="AN2250" s="0" t="s">
        <v>146</v>
      </c>
      <c r="AO2250" s="0" t="s">
        <v>236</v>
      </c>
      <c r="AP2250" s="0" t="s">
        <v>237</v>
      </c>
      <c r="AQ2250" s="0" t="n">
        <v>9</v>
      </c>
      <c r="AR2250" s="0" t="n">
        <v>64</v>
      </c>
      <c r="AS2250" s="0" t="n">
        <v>32</v>
      </c>
      <c r="AU2250" s="0" t="n">
        <f aca="false">COUNTA($BA$585:$EH$585)</f>
        <v>1</v>
      </c>
      <c r="AV2250" s="0" t="n">
        <f aca="false">COUNTIF($BA$585:$EH$585,"D")</f>
        <v>0</v>
      </c>
      <c r="AW2250" s="0" t="n">
        <f aca="false">COUNTIF($BA$585:$EH$585,"R")</f>
        <v>0</v>
      </c>
      <c r="AX2250" s="0" t="n">
        <f aca="false"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>0</v>
      </c>
      <c r="AY2250" s="0" t="n">
        <f aca="false">COUNTIF(DU2250:EH2250, "&lt;&gt;")</f>
        <v>0</v>
      </c>
      <c r="AZ2250" s="0" t="n">
        <f aca="false">IF(EH2250&lt;&gt;"",1,0)</f>
        <v>0</v>
      </c>
      <c r="BB2250" s="0" t="s">
        <v>153</v>
      </c>
    </row>
    <row r="2251" customFormat="false" ht="13.8" hidden="true" customHeight="false" outlineLevel="0" collapsed="false">
      <c r="A2251" s="0" t="s">
        <v>9847</v>
      </c>
      <c r="B2251" s="0" t="n">
        <v>78</v>
      </c>
      <c r="C2251" s="0" t="n">
        <v>487005</v>
      </c>
      <c r="D2251" s="0" t="s">
        <v>9848</v>
      </c>
      <c r="E2251" s="0" t="s">
        <v>194</v>
      </c>
      <c r="F2251" s="0" t="str">
        <f aca="false">CONCATENATE(D2251," ",LEFT(H2251,4),"T=",AU2251,"D=",AV2251,"R=",AW2251,"M=",AX2251,"L=",AY2251,"B=",AZ2251)</f>
        <v>RAMOS T=34D=4R=7M=0L=0B=0</v>
      </c>
      <c r="G2251" s="0" t="s">
        <v>172</v>
      </c>
      <c r="I2251" s="0" t="s">
        <v>9849</v>
      </c>
      <c r="J2251" s="0" t="s">
        <v>3343</v>
      </c>
      <c r="K2251" s="0" t="s">
        <v>175</v>
      </c>
      <c r="L2251" s="0"/>
      <c r="M2251" s="0" t="s">
        <v>9850</v>
      </c>
      <c r="N2251" s="0" t="str">
        <f aca="false">RIGHT(M2251,LEN(M2251)-FIND(" ",M2251))</f>
        <v>PROSPECT AVE NW</v>
      </c>
      <c r="P2251" s="0" t="s">
        <v>146</v>
      </c>
      <c r="Q2251" s="0" t="s">
        <v>147</v>
      </c>
      <c r="R2251" s="0" t="n">
        <v>44483</v>
      </c>
      <c r="AD2251" s="0" t="s">
        <v>148</v>
      </c>
      <c r="AE2251" s="0" t="s">
        <v>149</v>
      </c>
      <c r="AF2251" s="0" t="s">
        <v>150</v>
      </c>
      <c r="AH2251" s="0" t="n">
        <v>14</v>
      </c>
      <c r="AI2251" s="0" t="n">
        <v>11</v>
      </c>
      <c r="AN2251" s="0" t="s">
        <v>146</v>
      </c>
      <c r="AO2251" s="0" t="s">
        <v>151</v>
      </c>
      <c r="AP2251" s="0" t="s">
        <v>152</v>
      </c>
      <c r="AQ2251" s="0" t="n">
        <v>9</v>
      </c>
      <c r="AR2251" s="0" t="n">
        <v>64</v>
      </c>
      <c r="AS2251" s="0" t="n">
        <v>32</v>
      </c>
      <c r="AU2251" s="0" t="n">
        <f aca="false">COUNTA($BA$1252:$EH$1252)</f>
        <v>34</v>
      </c>
      <c r="AV2251" s="0" t="n">
        <f aca="false">COUNTIF($BA$1252:$EH$1252,"D")</f>
        <v>4</v>
      </c>
      <c r="AW2251" s="0" t="n">
        <f aca="false">COUNTIF($BA$1252:$EH$1252,"R")</f>
        <v>7</v>
      </c>
      <c r="AX2251" s="0" t="n">
        <f aca="false"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>0</v>
      </c>
      <c r="AY2251" s="0" t="n">
        <f aca="false">COUNTIF(DU2251:EH2251, "&lt;&gt;")</f>
        <v>0</v>
      </c>
      <c r="AZ2251" s="0" t="n">
        <f aca="false">IF(EH2251&lt;&gt;"",1,0)</f>
        <v>0</v>
      </c>
      <c r="BB2251" s="0" t="s">
        <v>153</v>
      </c>
    </row>
    <row r="2252" customFormat="false" ht="13.8" hidden="true" customHeight="false" outlineLevel="0" collapsed="false">
      <c r="A2252" s="0" t="s">
        <v>9851</v>
      </c>
      <c r="B2252" s="0" t="n">
        <v>78</v>
      </c>
      <c r="C2252" s="0" t="n">
        <v>415590</v>
      </c>
      <c r="D2252" s="0" t="s">
        <v>9852</v>
      </c>
      <c r="E2252" s="0" t="s">
        <v>9853</v>
      </c>
      <c r="F2252" s="0" t="str">
        <f aca="false">CONCATENATE(D2252," ",LEFT(H2252,4),"T=",AU2252,"D=",AV2252,"R=",AW2252,"M=",AX2252,"L=",AY2252,"B=",AZ2252)</f>
        <v>BLACKSHEAR T=2D=0R=0M=0L=0B=0</v>
      </c>
      <c r="G2252" s="0" t="s">
        <v>365</v>
      </c>
      <c r="I2252" s="0" t="s">
        <v>4868</v>
      </c>
      <c r="J2252" s="0" t="s">
        <v>9854</v>
      </c>
      <c r="K2252" s="0" t="s">
        <v>175</v>
      </c>
      <c r="L2252" s="0"/>
      <c r="M2252" s="0" t="s">
        <v>9850</v>
      </c>
      <c r="N2252" s="0" t="str">
        <f aca="false">RIGHT(M2252,LEN(M2252)-FIND(" ",M2252))</f>
        <v>PROSPECT AVE NW</v>
      </c>
      <c r="P2252" s="0" t="s">
        <v>146</v>
      </c>
      <c r="Q2252" s="0" t="s">
        <v>147</v>
      </c>
      <c r="R2252" s="0" t="n">
        <v>44483</v>
      </c>
      <c r="AD2252" s="0" t="s">
        <v>148</v>
      </c>
      <c r="AE2252" s="0" t="s">
        <v>149</v>
      </c>
      <c r="AF2252" s="0" t="s">
        <v>150</v>
      </c>
      <c r="AH2252" s="0" t="n">
        <v>14</v>
      </c>
      <c r="AI2252" s="0" t="n">
        <v>11</v>
      </c>
      <c r="AN2252" s="0" t="s">
        <v>146</v>
      </c>
      <c r="AO2252" s="0" t="s">
        <v>151</v>
      </c>
      <c r="AP2252" s="0" t="s">
        <v>152</v>
      </c>
      <c r="AQ2252" s="0" t="n">
        <v>9</v>
      </c>
      <c r="AR2252" s="0" t="n">
        <v>64</v>
      </c>
      <c r="AS2252" s="0" t="n">
        <v>32</v>
      </c>
      <c r="AU2252" s="0" t="n">
        <f aca="false">COUNTA($BA$1323:$EH$1323)</f>
        <v>2</v>
      </c>
      <c r="AV2252" s="0" t="n">
        <f aca="false">COUNTIF($BA$1323:$EH$1323,"D")</f>
        <v>0</v>
      </c>
      <c r="AW2252" s="0" t="n">
        <f aca="false">COUNTIF($BA$1323:$EH$1323,"R")</f>
        <v>0</v>
      </c>
      <c r="AX2252" s="0" t="n">
        <f aca="false"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>0</v>
      </c>
      <c r="AY2252" s="0" t="n">
        <f aca="false">COUNTIF(DU2252:EH2252, "&lt;&gt;")</f>
        <v>0</v>
      </c>
      <c r="AZ2252" s="0" t="n">
        <f aca="false">IF(EH2252&lt;&gt;"",1,0)</f>
        <v>0</v>
      </c>
      <c r="BB2252" s="0" t="s">
        <v>153</v>
      </c>
    </row>
    <row r="2253" customFormat="false" ht="13.8" hidden="true" customHeight="false" outlineLevel="0" collapsed="false">
      <c r="A2253" s="0" t="s">
        <v>9855</v>
      </c>
      <c r="B2253" s="0" t="n">
        <v>78</v>
      </c>
      <c r="C2253" s="0" t="n">
        <v>337265</v>
      </c>
      <c r="D2253" s="0" t="s">
        <v>2876</v>
      </c>
      <c r="E2253" s="0" t="s">
        <v>9001</v>
      </c>
      <c r="F2253" s="0" t="str">
        <f aca="false">CONCATENATE(D2253," ",LEFT(H2253,4),"T=",AU2253,"D=",AV2253,"R=",AW2253,"M=",AX2253,"L=",AY2253,"B=",AZ2253)</f>
        <v>DUKES T=6D=1R=0M=0L=0B=0</v>
      </c>
      <c r="G2253" s="0" t="s">
        <v>241</v>
      </c>
      <c r="I2253" s="0" t="s">
        <v>9856</v>
      </c>
      <c r="J2253" s="0" t="s">
        <v>9857</v>
      </c>
      <c r="K2253" s="0" t="s">
        <v>175</v>
      </c>
      <c r="L2253" s="0"/>
      <c r="M2253" s="0" t="s">
        <v>9850</v>
      </c>
      <c r="N2253" s="0" t="str">
        <f aca="false">RIGHT(M2253,LEN(M2253)-FIND(" ",M2253))</f>
        <v>PROSPECT AVE NW</v>
      </c>
      <c r="P2253" s="0" t="s">
        <v>146</v>
      </c>
      <c r="Q2253" s="0" t="s">
        <v>147</v>
      </c>
      <c r="R2253" s="0" t="n">
        <v>44483</v>
      </c>
      <c r="AD2253" s="0" t="s">
        <v>148</v>
      </c>
      <c r="AE2253" s="0" t="s">
        <v>149</v>
      </c>
      <c r="AF2253" s="0" t="s">
        <v>150</v>
      </c>
      <c r="AH2253" s="0" t="n">
        <v>14</v>
      </c>
      <c r="AI2253" s="0" t="n">
        <v>11</v>
      </c>
      <c r="AN2253" s="0" t="s">
        <v>146</v>
      </c>
      <c r="AO2253" s="0" t="s">
        <v>151</v>
      </c>
      <c r="AP2253" s="0" t="s">
        <v>152</v>
      </c>
      <c r="AQ2253" s="0" t="n">
        <v>9</v>
      </c>
      <c r="AR2253" s="0" t="n">
        <v>64</v>
      </c>
      <c r="AS2253" s="0" t="n">
        <v>32</v>
      </c>
      <c r="AU2253" s="0" t="n">
        <f aca="false">COUNTA($BA$1606:$EH$1606)</f>
        <v>6</v>
      </c>
      <c r="AV2253" s="0" t="n">
        <f aca="false">COUNTIF($BA$1606:$EH$1606,"D")</f>
        <v>1</v>
      </c>
      <c r="AW2253" s="0" t="n">
        <f aca="false">COUNTIF($BA$1606:$EH$1606,"R")</f>
        <v>0</v>
      </c>
      <c r="AX2253" s="0" t="n">
        <f aca="false"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>0</v>
      </c>
      <c r="AY2253" s="0" t="n">
        <f aca="false">COUNTIF(DU2253:EH2253, "&lt;&gt;")</f>
        <v>0</v>
      </c>
      <c r="AZ2253" s="0" t="n">
        <f aca="false">IF(EH2253&lt;&gt;"",1,0)</f>
        <v>0</v>
      </c>
      <c r="BB2253" s="0" t="s">
        <v>153</v>
      </c>
      <c r="CP2253" s="0" t="s">
        <v>154</v>
      </c>
    </row>
    <row r="2254" customFormat="false" ht="13.8" hidden="true" customHeight="false" outlineLevel="0" collapsed="false">
      <c r="A2254" s="0" t="s">
        <v>9858</v>
      </c>
      <c r="B2254" s="0" t="n">
        <v>78</v>
      </c>
      <c r="C2254" s="0" t="n">
        <v>212632</v>
      </c>
      <c r="D2254" s="0" t="s">
        <v>8589</v>
      </c>
      <c r="E2254" s="0" t="s">
        <v>1383</v>
      </c>
      <c r="F2254" s="0" t="str">
        <f aca="false">CONCATENATE(D2254," ",LEFT(H2254,4),"T=",AU2254,"D=",AV2254,"R=",AW2254,"M=",AX2254,"L=",AY2254,"B=",AZ2254)</f>
        <v>GODFREY T=2D=0R=0M=0L=1B=0</v>
      </c>
      <c r="G2254" s="0" t="s">
        <v>939</v>
      </c>
      <c r="I2254" s="0" t="s">
        <v>695</v>
      </c>
      <c r="J2254" s="0" t="s">
        <v>9859</v>
      </c>
      <c r="K2254" s="0" t="s">
        <v>175</v>
      </c>
      <c r="L2254" s="0"/>
      <c r="M2254" s="0" t="s">
        <v>9860</v>
      </c>
      <c r="N2254" s="0" t="str">
        <f aca="false">RIGHT(M2254,LEN(M2254)-FIND(" ",M2254))</f>
        <v>PROSPECT AVE NW</v>
      </c>
      <c r="O2254" s="0" t="s">
        <v>414</v>
      </c>
      <c r="P2254" s="0" t="s">
        <v>146</v>
      </c>
      <c r="Q2254" s="0" t="s">
        <v>147</v>
      </c>
      <c r="R2254" s="0" t="n">
        <v>44483</v>
      </c>
      <c r="AD2254" s="0" t="s">
        <v>148</v>
      </c>
      <c r="AE2254" s="0" t="s">
        <v>149</v>
      </c>
      <c r="AF2254" s="0" t="s">
        <v>150</v>
      </c>
      <c r="AH2254" s="0" t="n">
        <v>14</v>
      </c>
      <c r="AI2254" s="0" t="n">
        <v>11</v>
      </c>
      <c r="AN2254" s="0" t="s">
        <v>146</v>
      </c>
      <c r="AO2254" s="0" t="s">
        <v>151</v>
      </c>
      <c r="AP2254" s="0" t="s">
        <v>152</v>
      </c>
      <c r="AQ2254" s="0" t="n">
        <v>9</v>
      </c>
      <c r="AR2254" s="0" t="n">
        <v>64</v>
      </c>
      <c r="AS2254" s="0" t="n">
        <v>32</v>
      </c>
      <c r="AU2254" s="0" t="n">
        <f aca="false">COUNTA($BA$1159:$EH$1159)</f>
        <v>2</v>
      </c>
      <c r="AV2254" s="0" t="n">
        <f aca="false">COUNTIF($BA$1159:$EH$1159,"D")</f>
        <v>0</v>
      </c>
      <c r="AW2254" s="0" t="n">
        <f aca="false">COUNTIF($BA$1159:$EH$1159,"R")</f>
        <v>0</v>
      </c>
      <c r="AX2254" s="0" t="n">
        <f aca="false"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>0</v>
      </c>
      <c r="AY2254" s="0" t="n">
        <f aca="false">COUNTIF(DU2254:EH2254, "&lt;&gt;")</f>
        <v>1</v>
      </c>
      <c r="AZ2254" s="0" t="n">
        <f aca="false">IF(EH2254&lt;&gt;"",1,0)</f>
        <v>0</v>
      </c>
      <c r="BB2254" s="0" t="s">
        <v>153</v>
      </c>
      <c r="BD2254" s="0" t="s">
        <v>154</v>
      </c>
      <c r="BH2254" s="0" t="s">
        <v>154</v>
      </c>
      <c r="BL2254" s="0" t="s">
        <v>154</v>
      </c>
      <c r="BP2254" s="0" t="s">
        <v>154</v>
      </c>
      <c r="BR2254" s="0" t="s">
        <v>154</v>
      </c>
      <c r="BY2254" s="0" t="s">
        <v>155</v>
      </c>
      <c r="CK2254" s="0" t="s">
        <v>154</v>
      </c>
      <c r="CP2254" s="0" t="s">
        <v>154</v>
      </c>
      <c r="CY2254" s="0" t="s">
        <v>154</v>
      </c>
      <c r="DC2254" s="0" t="s">
        <v>154</v>
      </c>
      <c r="DI2254" s="0" t="s">
        <v>154</v>
      </c>
      <c r="EF2254" s="0" t="s">
        <v>154</v>
      </c>
    </row>
    <row r="2255" customFormat="false" ht="13.8" hidden="true" customHeight="false" outlineLevel="0" collapsed="false">
      <c r="A2255" s="0" t="s">
        <v>9861</v>
      </c>
      <c r="B2255" s="0" t="n">
        <v>78</v>
      </c>
      <c r="C2255" s="0" t="n">
        <v>380780</v>
      </c>
      <c r="D2255" s="0" t="s">
        <v>428</v>
      </c>
      <c r="E2255" s="0" t="s">
        <v>1531</v>
      </c>
      <c r="F2255" s="0" t="str">
        <f aca="false">CONCATENATE(D2255," ",LEFT(H2255,4),"T=",AU2255,"D=",AV2255,"R=",AW2255,"M=",AX2255,"L=",AY2255,"B=",AZ2255)</f>
        <v>CRAWFORD T=47D=17R=0M=0L=0B=0</v>
      </c>
      <c r="G2255" s="0" t="s">
        <v>166</v>
      </c>
      <c r="I2255" s="0" t="s">
        <v>9862</v>
      </c>
      <c r="J2255" s="0" t="s">
        <v>9863</v>
      </c>
      <c r="K2255" s="0" t="s">
        <v>144</v>
      </c>
      <c r="L2255" s="0"/>
      <c r="M2255" s="0" t="s">
        <v>9860</v>
      </c>
      <c r="N2255" s="0" t="str">
        <f aca="false">RIGHT(M2255,LEN(M2255)-FIND(" ",M2255))</f>
        <v>PROSPECT AVE NW</v>
      </c>
      <c r="P2255" s="0" t="s">
        <v>146</v>
      </c>
      <c r="Q2255" s="0" t="s">
        <v>147</v>
      </c>
      <c r="R2255" s="0" t="n">
        <v>44483</v>
      </c>
      <c r="AD2255" s="0" t="s">
        <v>148</v>
      </c>
      <c r="AE2255" s="0" t="s">
        <v>149</v>
      </c>
      <c r="AF2255" s="0" t="s">
        <v>150</v>
      </c>
      <c r="AH2255" s="0" t="n">
        <v>14</v>
      </c>
      <c r="AI2255" s="0" t="n">
        <v>11</v>
      </c>
      <c r="AN2255" s="0" t="s">
        <v>146</v>
      </c>
      <c r="AO2255" s="0" t="s">
        <v>151</v>
      </c>
      <c r="AP2255" s="0" t="s">
        <v>152</v>
      </c>
      <c r="AQ2255" s="0" t="n">
        <v>9</v>
      </c>
      <c r="AR2255" s="0" t="n">
        <v>64</v>
      </c>
      <c r="AS2255" s="0" t="n">
        <v>32</v>
      </c>
      <c r="AU2255" s="0" t="n">
        <f aca="false">COUNTA($BA$1653:$EH$1653)</f>
        <v>47</v>
      </c>
      <c r="AV2255" s="0" t="n">
        <f aca="false">COUNTIF($BA$1653:$EH$1653,"D")</f>
        <v>17</v>
      </c>
      <c r="AW2255" s="0" t="n">
        <f aca="false">COUNTIF($BA$1653:$EH$1653,"R")</f>
        <v>0</v>
      </c>
      <c r="AX2255" s="0" t="n">
        <f aca="false"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>0</v>
      </c>
      <c r="AY2255" s="0" t="n">
        <f aca="false">COUNTIF(DU2255:EH2255, "&lt;&gt;")</f>
        <v>0</v>
      </c>
      <c r="AZ2255" s="0" t="n">
        <f aca="false">IF(EH2255&lt;&gt;"",1,0)</f>
        <v>0</v>
      </c>
      <c r="BB2255" s="0" t="s">
        <v>153</v>
      </c>
      <c r="CP2255" s="0" t="s">
        <v>154</v>
      </c>
      <c r="DC2255" s="0" t="s">
        <v>154</v>
      </c>
    </row>
    <row r="2256" customFormat="false" ht="13.8" hidden="true" customHeight="false" outlineLevel="0" collapsed="false">
      <c r="A2256" s="0" t="s">
        <v>9864</v>
      </c>
      <c r="B2256" s="0" t="n">
        <v>78</v>
      </c>
      <c r="C2256" s="0" t="n">
        <v>308554</v>
      </c>
      <c r="D2256" s="0" t="s">
        <v>8589</v>
      </c>
      <c r="E2256" s="0" t="s">
        <v>619</v>
      </c>
      <c r="F2256" s="0" t="str">
        <f aca="false">CONCATENATE(D2256," ",LEFT(H2256,4),"T=",AU2256,"D=",AV2256,"R=",AW2256,"M=",AX2256,"L=",AY2256,"B=",AZ2256)</f>
        <v>GODFREY JRT=13D=2R=0M=0L=0B=0</v>
      </c>
      <c r="G2256" s="0" t="s">
        <v>514</v>
      </c>
      <c r="H2256" s="0" t="s">
        <v>431</v>
      </c>
      <c r="I2256" s="0" t="s">
        <v>9865</v>
      </c>
      <c r="J2256" s="0" t="s">
        <v>9859</v>
      </c>
      <c r="K2256" s="0" t="s">
        <v>144</v>
      </c>
      <c r="L2256" s="0"/>
      <c r="M2256" s="0" t="s">
        <v>9860</v>
      </c>
      <c r="N2256" s="0" t="str">
        <f aca="false">RIGHT(M2256,LEN(M2256)-FIND(" ",M2256))</f>
        <v>PROSPECT AVE NW</v>
      </c>
      <c r="O2256" s="0" t="s">
        <v>414</v>
      </c>
      <c r="P2256" s="0" t="s">
        <v>146</v>
      </c>
      <c r="Q2256" s="0" t="s">
        <v>147</v>
      </c>
      <c r="R2256" s="0" t="n">
        <v>44483</v>
      </c>
      <c r="AD2256" s="0" t="s">
        <v>148</v>
      </c>
      <c r="AE2256" s="0" t="s">
        <v>149</v>
      </c>
      <c r="AF2256" s="0" t="s">
        <v>150</v>
      </c>
      <c r="AH2256" s="0" t="n">
        <v>14</v>
      </c>
      <c r="AI2256" s="0" t="n">
        <v>11</v>
      </c>
      <c r="AN2256" s="0" t="s">
        <v>146</v>
      </c>
      <c r="AO2256" s="0" t="s">
        <v>151</v>
      </c>
      <c r="AP2256" s="0" t="s">
        <v>152</v>
      </c>
      <c r="AQ2256" s="0" t="n">
        <v>9</v>
      </c>
      <c r="AR2256" s="0" t="n">
        <v>64</v>
      </c>
      <c r="AS2256" s="0" t="n">
        <v>32</v>
      </c>
      <c r="AU2256" s="0" t="n">
        <f aca="false">COUNTA($BA$1795:$EH$1795)</f>
        <v>13</v>
      </c>
      <c r="AV2256" s="0" t="n">
        <f aca="false">COUNTIF($BA$1795:$EH$1795,"D")</f>
        <v>2</v>
      </c>
      <c r="AW2256" s="0" t="n">
        <f aca="false">COUNTIF($BA$1795:$EH$1795,"R")</f>
        <v>0</v>
      </c>
      <c r="AX2256" s="0" t="n">
        <f aca="false"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>0</v>
      </c>
      <c r="AY2256" s="0" t="n">
        <f aca="false">COUNTIF(DU2256:EH2256, "&lt;&gt;")</f>
        <v>0</v>
      </c>
      <c r="AZ2256" s="0" t="n">
        <f aca="false">IF(EH2256&lt;&gt;"",1,0)</f>
        <v>0</v>
      </c>
      <c r="BB2256" s="0" t="s">
        <v>153</v>
      </c>
      <c r="BL2256" s="0" t="s">
        <v>154</v>
      </c>
      <c r="BY2256" s="0" t="s">
        <v>155</v>
      </c>
      <c r="CK2256" s="0" t="s">
        <v>154</v>
      </c>
      <c r="CP2256" s="0" t="s">
        <v>154</v>
      </c>
      <c r="CY2256" s="0" t="s">
        <v>154</v>
      </c>
      <c r="DC2256" s="0" t="s">
        <v>154</v>
      </c>
      <c r="DI2256" s="0" t="s">
        <v>154</v>
      </c>
      <c r="DN2256" s="0" t="s">
        <v>154</v>
      </c>
    </row>
    <row r="2257" customFormat="false" ht="13.8" hidden="true" customHeight="false" outlineLevel="0" collapsed="false">
      <c r="A2257" s="0" t="s">
        <v>9866</v>
      </c>
      <c r="B2257" s="0" t="n">
        <v>78</v>
      </c>
      <c r="C2257" s="0" t="n">
        <v>369862</v>
      </c>
      <c r="D2257" s="0" t="s">
        <v>5221</v>
      </c>
      <c r="E2257" s="0" t="s">
        <v>2163</v>
      </c>
      <c r="F2257" s="0" t="str">
        <f aca="false">CONCATENATE(D2257," ",LEFT(H2257,4),"T=",AU2257,"D=",AV2257,"R=",AW2257,"M=",AX2257,"L=",AY2257,"B=",AZ2257)</f>
        <v>WISEMAN T=14D=2R=0M=0L=0B=0</v>
      </c>
      <c r="G2257" s="0" t="s">
        <v>365</v>
      </c>
      <c r="I2257" s="0" t="s">
        <v>2164</v>
      </c>
      <c r="J2257" s="0" t="s">
        <v>9867</v>
      </c>
      <c r="K2257" s="0" t="s">
        <v>175</v>
      </c>
      <c r="L2257" s="0"/>
      <c r="M2257" s="0" t="s">
        <v>9868</v>
      </c>
      <c r="N2257" s="0" t="str">
        <f aca="false">RIGHT(M2257,LEN(M2257)-FIND(" ",M2257))</f>
        <v>PROSPECT AVE NW</v>
      </c>
      <c r="P2257" s="0" t="s">
        <v>146</v>
      </c>
      <c r="Q2257" s="0" t="s">
        <v>147</v>
      </c>
      <c r="R2257" s="0" t="n">
        <v>44483</v>
      </c>
      <c r="AD2257" s="0" t="s">
        <v>148</v>
      </c>
      <c r="AE2257" s="0" t="s">
        <v>149</v>
      </c>
      <c r="AF2257" s="0" t="s">
        <v>150</v>
      </c>
      <c r="AH2257" s="0" t="n">
        <v>14</v>
      </c>
      <c r="AI2257" s="0" t="n">
        <v>11</v>
      </c>
      <c r="AN2257" s="0" t="s">
        <v>146</v>
      </c>
      <c r="AO2257" s="0" t="s">
        <v>151</v>
      </c>
      <c r="AP2257" s="0" t="s">
        <v>152</v>
      </c>
      <c r="AQ2257" s="0" t="n">
        <v>9</v>
      </c>
      <c r="AR2257" s="0" t="n">
        <v>64</v>
      </c>
      <c r="AS2257" s="0" t="n">
        <v>32</v>
      </c>
      <c r="AU2257" s="0" t="n">
        <f aca="false">COUNTA($BA$1702:$EH$1702)</f>
        <v>14</v>
      </c>
      <c r="AV2257" s="0" t="n">
        <f aca="false">COUNTIF($BA$1702:$EH$1702,"D")</f>
        <v>2</v>
      </c>
      <c r="AW2257" s="0" t="n">
        <f aca="false">COUNTIF($BA$1702:$EH$1702,"R")</f>
        <v>0</v>
      </c>
      <c r="AX2257" s="0" t="n">
        <f aca="false"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>0</v>
      </c>
      <c r="AY2257" s="0" t="n">
        <f aca="false">COUNTIF(DU2257:EH2257, "&lt;&gt;")</f>
        <v>0</v>
      </c>
      <c r="AZ2257" s="0" t="n">
        <f aca="false">IF(EH2257&lt;&gt;"",1,0)</f>
        <v>0</v>
      </c>
      <c r="BB2257" s="0" t="s">
        <v>153</v>
      </c>
    </row>
    <row r="2258" customFormat="false" ht="13.8" hidden="true" customHeight="false" outlineLevel="0" collapsed="false">
      <c r="A2258" s="0" t="s">
        <v>9869</v>
      </c>
      <c r="B2258" s="0" t="n">
        <v>78</v>
      </c>
      <c r="C2258" s="0" t="n">
        <v>476217</v>
      </c>
      <c r="D2258" s="0" t="s">
        <v>3385</v>
      </c>
      <c r="E2258" s="0" t="s">
        <v>3669</v>
      </c>
      <c r="F2258" s="0" t="str">
        <f aca="false">CONCATENATE(D2258," ",LEFT(H2258,4),"T=",AU2258,"D=",AV2258,"R=",AW2258,"M=",AX2258,"L=",AY2258,"B=",AZ2258)</f>
        <v>RHINE T=42D=13R=0M=0L=0B=0</v>
      </c>
      <c r="G2258" s="0" t="s">
        <v>9870</v>
      </c>
      <c r="I2258" s="0" t="s">
        <v>9871</v>
      </c>
      <c r="J2258" s="0" t="s">
        <v>9872</v>
      </c>
      <c r="K2258" s="0" t="s">
        <v>175</v>
      </c>
      <c r="L2258" s="0"/>
      <c r="M2258" s="0" t="s">
        <v>9873</v>
      </c>
      <c r="N2258" s="0" t="str">
        <f aca="false">RIGHT(M2258,LEN(M2258)-FIND(" ",M2258))</f>
        <v>PROSPECT AVE NW</v>
      </c>
      <c r="P2258" s="0" t="s">
        <v>146</v>
      </c>
      <c r="Q2258" s="0" t="s">
        <v>147</v>
      </c>
      <c r="R2258" s="0" t="n">
        <v>44483</v>
      </c>
      <c r="AD2258" s="0" t="s">
        <v>148</v>
      </c>
      <c r="AE2258" s="0" t="s">
        <v>149</v>
      </c>
      <c r="AF2258" s="0" t="s">
        <v>150</v>
      </c>
      <c r="AH2258" s="0" t="n">
        <v>14</v>
      </c>
      <c r="AI2258" s="0" t="n">
        <v>11</v>
      </c>
      <c r="AN2258" s="0" t="s">
        <v>146</v>
      </c>
      <c r="AO2258" s="0" t="s">
        <v>151</v>
      </c>
      <c r="AP2258" s="0" t="s">
        <v>152</v>
      </c>
      <c r="AQ2258" s="0" t="n">
        <v>9</v>
      </c>
      <c r="AR2258" s="0" t="n">
        <v>64</v>
      </c>
      <c r="AS2258" s="0" t="n">
        <v>32</v>
      </c>
      <c r="AU2258" s="0" t="n">
        <f aca="false">COUNTA($BA$1396:$EH$1396)</f>
        <v>42</v>
      </c>
      <c r="AV2258" s="0" t="n">
        <f aca="false">COUNTIF($BA$1396:$EH$1396,"D")</f>
        <v>13</v>
      </c>
      <c r="AW2258" s="0" t="n">
        <f aca="false">COUNTIF($BA$1396:$EH$1396,"R")</f>
        <v>0</v>
      </c>
      <c r="AX2258" s="0" t="n">
        <f aca="false"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>0</v>
      </c>
      <c r="AY2258" s="0" t="n">
        <f aca="false">COUNTIF(DU2258:EH2258, "&lt;&gt;")</f>
        <v>0</v>
      </c>
      <c r="AZ2258" s="0" t="n">
        <f aca="false">IF(EH2258&lt;&gt;"",1,0)</f>
        <v>0</v>
      </c>
      <c r="BB2258" s="0" t="s">
        <v>153</v>
      </c>
    </row>
    <row r="2259" customFormat="false" ht="13.8" hidden="true" customHeight="false" outlineLevel="0" collapsed="false">
      <c r="A2259" s="0" t="s">
        <v>9874</v>
      </c>
      <c r="B2259" s="0" t="n">
        <v>78</v>
      </c>
      <c r="C2259" s="0" t="n">
        <v>290702</v>
      </c>
      <c r="D2259" s="0" t="s">
        <v>9875</v>
      </c>
      <c r="E2259" s="0" t="s">
        <v>652</v>
      </c>
      <c r="F2259" s="0" t="str">
        <f aca="false">CONCATENATE(D2259," ",LEFT(H2259,4),"T=",AU2259,"D=",AV2259,"R=",AW2259,"M=",AX2259,"L=",AY2259,"B=",AZ2259)</f>
        <v>AIKINS JRT=14D=4R=0M=1L=1B=0</v>
      </c>
      <c r="G2259" s="0" t="s">
        <v>365</v>
      </c>
      <c r="H2259" s="0" t="s">
        <v>431</v>
      </c>
      <c r="I2259" s="0" t="s">
        <v>9876</v>
      </c>
      <c r="J2259" s="0" t="s">
        <v>4352</v>
      </c>
      <c r="K2259" s="0" t="s">
        <v>175</v>
      </c>
      <c r="L2259" s="0" t="s">
        <v>155</v>
      </c>
      <c r="M2259" s="0" t="s">
        <v>9877</v>
      </c>
      <c r="N2259" s="0" t="str">
        <f aca="false">RIGHT(M2259,LEN(M2259)-FIND(" ",M2259))</f>
        <v>PROSPECT AVE NW</v>
      </c>
      <c r="P2259" s="0" t="s">
        <v>146</v>
      </c>
      <c r="Q2259" s="0" t="s">
        <v>147</v>
      </c>
      <c r="R2259" s="0" t="n">
        <v>44483</v>
      </c>
      <c r="AD2259" s="0" t="s">
        <v>148</v>
      </c>
      <c r="AE2259" s="0" t="s">
        <v>149</v>
      </c>
      <c r="AF2259" s="0" t="s">
        <v>150</v>
      </c>
      <c r="AH2259" s="0" t="n">
        <v>14</v>
      </c>
      <c r="AI2259" s="0" t="n">
        <v>11</v>
      </c>
      <c r="AN2259" s="0" t="s">
        <v>146</v>
      </c>
      <c r="AO2259" s="0" t="s">
        <v>151</v>
      </c>
      <c r="AP2259" s="0" t="s">
        <v>152</v>
      </c>
      <c r="AQ2259" s="0" t="n">
        <v>9</v>
      </c>
      <c r="AR2259" s="0" t="n">
        <v>64</v>
      </c>
      <c r="AS2259" s="0" t="n">
        <v>32</v>
      </c>
      <c r="AU2259" s="0" t="n">
        <f aca="false">COUNTA($BA$1435:$EH$1435)</f>
        <v>14</v>
      </c>
      <c r="AV2259" s="0" t="n">
        <f aca="false">COUNTIF($BA$1435:$EH$1435,"D")</f>
        <v>4</v>
      </c>
      <c r="AW2259" s="0" t="n">
        <f aca="false">COUNTIF($BA$1435:$EH$1435,"R")</f>
        <v>0</v>
      </c>
      <c r="AX2259" s="0" t="n">
        <f aca="false"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>1</v>
      </c>
      <c r="AY2259" s="0" t="n">
        <f aca="false">COUNTIF(DU2259:EH2259, "&lt;&gt;")</f>
        <v>1</v>
      </c>
      <c r="AZ2259" s="0" t="n">
        <f aca="false">IF(EH2259&lt;&gt;"",1,0)</f>
        <v>0</v>
      </c>
      <c r="BB2259" s="0" t="s">
        <v>153</v>
      </c>
      <c r="BC2259" s="0" t="s">
        <v>154</v>
      </c>
      <c r="BD2259" s="0" t="s">
        <v>154</v>
      </c>
      <c r="BE2259" s="0" t="s">
        <v>154</v>
      </c>
      <c r="BF2259" s="0" t="s">
        <v>154</v>
      </c>
      <c r="BG2259" s="0" t="s">
        <v>154</v>
      </c>
      <c r="BH2259" s="0" t="s">
        <v>154</v>
      </c>
      <c r="BL2259" s="0" t="s">
        <v>154</v>
      </c>
      <c r="CA2259" s="0" t="s">
        <v>154</v>
      </c>
      <c r="CN2259" s="0" t="s">
        <v>154</v>
      </c>
      <c r="CP2259" s="0" t="s">
        <v>154</v>
      </c>
      <c r="CV2259" s="0" t="s">
        <v>154</v>
      </c>
      <c r="CY2259" s="0" t="s">
        <v>154</v>
      </c>
      <c r="CZ2259" s="0" t="s">
        <v>155</v>
      </c>
      <c r="DC2259" s="0" t="s">
        <v>154</v>
      </c>
      <c r="DI2259" s="0" t="s">
        <v>154</v>
      </c>
      <c r="DN2259" s="0" t="s">
        <v>154</v>
      </c>
      <c r="DW2259" s="0" t="s">
        <v>155</v>
      </c>
    </row>
    <row r="2260" customFormat="false" ht="13.8" hidden="true" customHeight="false" outlineLevel="0" collapsed="false">
      <c r="A2260" s="0" t="s">
        <v>9878</v>
      </c>
      <c r="B2260" s="0" t="n">
        <v>78</v>
      </c>
      <c r="C2260" s="0" t="n">
        <v>292910</v>
      </c>
      <c r="D2260" s="0" t="s">
        <v>4736</v>
      </c>
      <c r="E2260" s="0" t="s">
        <v>232</v>
      </c>
      <c r="F2260" s="0" t="str">
        <f aca="false">CONCATENATE(D2260," ",LEFT(H2260,4),"T=",AU2260,"D=",AV2260,"R=",AW2260,"M=",AX2260,"L=",AY2260,"B=",AZ2260)</f>
        <v>LICCARDI T=2D=0R=0M=0L=0B=0</v>
      </c>
      <c r="G2260" s="0" t="s">
        <v>297</v>
      </c>
      <c r="I2260" s="0" t="s">
        <v>9879</v>
      </c>
      <c r="J2260" s="0" t="s">
        <v>9880</v>
      </c>
      <c r="K2260" s="0" t="s">
        <v>175</v>
      </c>
      <c r="L2260" s="0"/>
      <c r="M2260" s="0" t="s">
        <v>9877</v>
      </c>
      <c r="N2260" s="0" t="str">
        <f aca="false">RIGHT(M2260,LEN(M2260)-FIND(" ",M2260))</f>
        <v>PROSPECT AVE NW</v>
      </c>
      <c r="O2260" s="0" t="s">
        <v>420</v>
      </c>
      <c r="P2260" s="0" t="s">
        <v>146</v>
      </c>
      <c r="Q2260" s="0" t="s">
        <v>147</v>
      </c>
      <c r="R2260" s="0" t="n">
        <v>44483</v>
      </c>
      <c r="AD2260" s="0" t="s">
        <v>148</v>
      </c>
      <c r="AE2260" s="0" t="s">
        <v>149</v>
      </c>
      <c r="AF2260" s="0" t="s">
        <v>150</v>
      </c>
      <c r="AH2260" s="0" t="n">
        <v>14</v>
      </c>
      <c r="AI2260" s="0" t="n">
        <v>11</v>
      </c>
      <c r="AN2260" s="0" t="s">
        <v>146</v>
      </c>
      <c r="AO2260" s="0" t="s">
        <v>151</v>
      </c>
      <c r="AP2260" s="0" t="s">
        <v>152</v>
      </c>
      <c r="AQ2260" s="0" t="n">
        <v>9</v>
      </c>
      <c r="AR2260" s="0" t="n">
        <v>64</v>
      </c>
      <c r="AS2260" s="0" t="n">
        <v>32</v>
      </c>
      <c r="AU2260" s="0" t="n">
        <f aca="false">COUNTA($BA$1944:$EH$1944)</f>
        <v>2</v>
      </c>
      <c r="AV2260" s="0" t="n">
        <f aca="false">COUNTIF($BA$1944:$EH$1944,"D")</f>
        <v>0</v>
      </c>
      <c r="AW2260" s="0" t="n">
        <f aca="false">COUNTIF($BA$1944:$EH$1944,"R")</f>
        <v>0</v>
      </c>
      <c r="AX2260" s="0" t="n">
        <f aca="false"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>0</v>
      </c>
      <c r="AY2260" s="0" t="n">
        <f aca="false">COUNTIF(DU2260:EH2260, "&lt;&gt;")</f>
        <v>0</v>
      </c>
      <c r="AZ2260" s="0" t="n">
        <f aca="false">IF(EH2260&lt;&gt;"",1,0)</f>
        <v>0</v>
      </c>
      <c r="BB2260" s="0" t="s">
        <v>153</v>
      </c>
      <c r="BD2260" s="0" t="s">
        <v>154</v>
      </c>
      <c r="BL2260" s="0" t="s">
        <v>154</v>
      </c>
      <c r="BS2260" s="0" t="s">
        <v>154</v>
      </c>
      <c r="BV2260" s="0" t="s">
        <v>154</v>
      </c>
      <c r="CA2260" s="0" t="s">
        <v>154</v>
      </c>
      <c r="CP2260" s="0" t="s">
        <v>154</v>
      </c>
      <c r="CV2260" s="0" t="s">
        <v>154</v>
      </c>
      <c r="CY2260" s="0" t="s">
        <v>154</v>
      </c>
      <c r="CZ2260" s="0" t="s">
        <v>155</v>
      </c>
      <c r="DC2260" s="0" t="s">
        <v>154</v>
      </c>
      <c r="DI2260" s="0" t="s">
        <v>154</v>
      </c>
      <c r="DN2260" s="0" t="s">
        <v>154</v>
      </c>
    </row>
    <row r="2261" customFormat="false" ht="13.8" hidden="true" customHeight="false" outlineLevel="0" collapsed="false">
      <c r="A2261" s="0" t="s">
        <v>9881</v>
      </c>
      <c r="B2261" s="0" t="n">
        <v>78</v>
      </c>
      <c r="C2261" s="0" t="n">
        <v>398946</v>
      </c>
      <c r="D2261" s="0" t="s">
        <v>1099</v>
      </c>
      <c r="E2261" s="0" t="s">
        <v>858</v>
      </c>
      <c r="F2261" s="0" t="str">
        <f aca="false">CONCATENATE(D2261," ",LEFT(H2261,4),"T=",AU2261,"D=",AV2261,"R=",AW2261,"M=",AX2261,"L=",AY2261,"B=",AZ2261)</f>
        <v>WRIGHT T=31D=6R=0M=0L=0B=0</v>
      </c>
      <c r="G2261" s="0" t="s">
        <v>241</v>
      </c>
      <c r="I2261" s="0" t="s">
        <v>9882</v>
      </c>
      <c r="J2261" s="0" t="s">
        <v>1030</v>
      </c>
      <c r="K2261" s="0" t="s">
        <v>175</v>
      </c>
      <c r="L2261" s="0"/>
      <c r="M2261" s="0" t="s">
        <v>9883</v>
      </c>
      <c r="N2261" s="0" t="str">
        <f aca="false">RIGHT(M2261,LEN(M2261)-FIND(" ",M2261))</f>
        <v>PROSPECT AVE NW</v>
      </c>
      <c r="O2261" s="0" t="s">
        <v>420</v>
      </c>
      <c r="P2261" s="0" t="s">
        <v>146</v>
      </c>
      <c r="Q2261" s="0" t="s">
        <v>147</v>
      </c>
      <c r="R2261" s="0" t="n">
        <v>44483</v>
      </c>
      <c r="AD2261" s="0" t="s">
        <v>148</v>
      </c>
      <c r="AE2261" s="0" t="s">
        <v>149</v>
      </c>
      <c r="AF2261" s="0" t="s">
        <v>150</v>
      </c>
      <c r="AH2261" s="0" t="n">
        <v>14</v>
      </c>
      <c r="AI2261" s="0" t="n">
        <v>11</v>
      </c>
      <c r="AN2261" s="0" t="s">
        <v>146</v>
      </c>
      <c r="AO2261" s="0" t="s">
        <v>151</v>
      </c>
      <c r="AP2261" s="0" t="s">
        <v>152</v>
      </c>
      <c r="AQ2261" s="0" t="n">
        <v>9</v>
      </c>
      <c r="AR2261" s="0" t="n">
        <v>64</v>
      </c>
      <c r="AS2261" s="0" t="n">
        <v>32</v>
      </c>
      <c r="AU2261" s="0" t="n">
        <f aca="false">COUNTA($BA$1286:$EH$1286)</f>
        <v>31</v>
      </c>
      <c r="AV2261" s="0" t="n">
        <f aca="false">COUNTIF($BA$1286:$EH$1286,"D")</f>
        <v>6</v>
      </c>
      <c r="AW2261" s="0" t="n">
        <f aca="false">COUNTIF($BA$1286:$EH$1286,"R")</f>
        <v>0</v>
      </c>
      <c r="AX2261" s="0" t="n">
        <f aca="false"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>0</v>
      </c>
      <c r="AY2261" s="0" t="n">
        <f aca="false">COUNTIF(DU2261:EH2261, "&lt;&gt;")</f>
        <v>0</v>
      </c>
      <c r="AZ2261" s="0" t="n">
        <f aca="false">IF(EH2261&lt;&gt;"",1,0)</f>
        <v>0</v>
      </c>
      <c r="BB2261" s="0" t="s">
        <v>153</v>
      </c>
    </row>
    <row r="2262" customFormat="false" ht="13.8" hidden="true" customHeight="false" outlineLevel="0" collapsed="false">
      <c r="A2262" s="0" t="s">
        <v>9884</v>
      </c>
      <c r="B2262" s="0" t="n">
        <v>78</v>
      </c>
      <c r="C2262" s="0" t="n">
        <v>488559</v>
      </c>
      <c r="D2262" s="0" t="s">
        <v>9885</v>
      </c>
      <c r="E2262" s="0" t="s">
        <v>2293</v>
      </c>
      <c r="F2262" s="0" t="str">
        <f aca="false">CONCATENATE(D2262," ",LEFT(H2262,4),"T=",AU2262,"D=",AV2262,"R=",AW2262,"M=",AX2262,"L=",AY2262,"B=",AZ2262)</f>
        <v>MCROBERTS T=24D=5R=0M=0L=0B=0</v>
      </c>
      <c r="G2262" s="0" t="s">
        <v>155</v>
      </c>
      <c r="I2262" s="0" t="s">
        <v>9886</v>
      </c>
      <c r="J2262" s="0" t="s">
        <v>228</v>
      </c>
      <c r="K2262" s="0" t="s">
        <v>175</v>
      </c>
      <c r="L2262" s="0"/>
      <c r="M2262" s="0" t="s">
        <v>9883</v>
      </c>
      <c r="N2262" s="0" t="str">
        <f aca="false">RIGHT(M2262,LEN(M2262)-FIND(" ",M2262))</f>
        <v>PROSPECT AVE NW</v>
      </c>
      <c r="O2262" s="0" t="s">
        <v>414</v>
      </c>
      <c r="P2262" s="0" t="s">
        <v>146</v>
      </c>
      <c r="Q2262" s="0" t="s">
        <v>147</v>
      </c>
      <c r="R2262" s="0" t="n">
        <v>44483</v>
      </c>
      <c r="AD2262" s="0" t="s">
        <v>148</v>
      </c>
      <c r="AE2262" s="0" t="s">
        <v>149</v>
      </c>
      <c r="AF2262" s="0" t="s">
        <v>150</v>
      </c>
      <c r="AH2262" s="0" t="n">
        <v>14</v>
      </c>
      <c r="AI2262" s="0" t="n">
        <v>11</v>
      </c>
      <c r="AN2262" s="0" t="s">
        <v>146</v>
      </c>
      <c r="AO2262" s="0" t="s">
        <v>151</v>
      </c>
      <c r="AP2262" s="0" t="s">
        <v>152</v>
      </c>
      <c r="AQ2262" s="0" t="n">
        <v>9</v>
      </c>
      <c r="AR2262" s="0" t="n">
        <v>64</v>
      </c>
      <c r="AS2262" s="0" t="n">
        <v>32</v>
      </c>
      <c r="AU2262" s="0" t="n">
        <f aca="false">COUNTA($BA$1443:$EH$1443)</f>
        <v>24</v>
      </c>
      <c r="AV2262" s="0" t="n">
        <f aca="false">COUNTIF($BA$1443:$EH$1443,"D")</f>
        <v>5</v>
      </c>
      <c r="AW2262" s="0" t="n">
        <f aca="false">COUNTIF($BA$1443:$EH$1443,"R")</f>
        <v>0</v>
      </c>
      <c r="AX2262" s="0" t="n">
        <f aca="false"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>0</v>
      </c>
      <c r="AY2262" s="0" t="n">
        <f aca="false">COUNTIF(DU2262:EH2262, "&lt;&gt;")</f>
        <v>0</v>
      </c>
      <c r="AZ2262" s="0" t="n">
        <f aca="false">IF(EH2262&lt;&gt;"",1,0)</f>
        <v>0</v>
      </c>
      <c r="BB2262" s="0" t="s">
        <v>153</v>
      </c>
      <c r="BL2262" s="0" t="s">
        <v>154</v>
      </c>
    </row>
    <row r="2263" customFormat="false" ht="13.8" hidden="false" customHeight="false" outlineLevel="0" collapsed="false">
      <c r="A2263" s="0" t="s">
        <v>9887</v>
      </c>
      <c r="B2263" s="0" t="n">
        <v>78</v>
      </c>
      <c r="C2263" s="0" t="n">
        <v>304358</v>
      </c>
      <c r="D2263" s="0" t="s">
        <v>9888</v>
      </c>
      <c r="E2263" s="0" t="s">
        <v>826</v>
      </c>
      <c r="F2263" s="0" t="str">
        <f aca="false">CONCATENATE(D2263," ",LEFT(H2263,4),"T=",AU2263,"D=",AV2263,"R=",AW2263,"M=",AX2263,"L=",AY2263,"B=",AZ2263)</f>
        <v>CADLE T=1D=0R=0M=0L=2B=0</v>
      </c>
      <c r="G2263" s="0" t="s">
        <v>690</v>
      </c>
      <c r="I2263" s="0" t="s">
        <v>9889</v>
      </c>
      <c r="J2263" s="0" t="s">
        <v>2856</v>
      </c>
      <c r="K2263" s="0" t="s">
        <v>175</v>
      </c>
      <c r="M2263" s="0" t="s">
        <v>9883</v>
      </c>
      <c r="N2263" s="0" t="str">
        <f aca="false">RIGHT(M2263,LEN(M2263)-FIND(" ",M2263))</f>
        <v>PROSPECT AVE NW</v>
      </c>
      <c r="O2263" s="0" t="s">
        <v>414</v>
      </c>
      <c r="P2263" s="0" t="s">
        <v>146</v>
      </c>
      <c r="Q2263" s="0" t="s">
        <v>147</v>
      </c>
      <c r="R2263" s="0" t="n">
        <v>44483</v>
      </c>
      <c r="AD2263" s="0" t="s">
        <v>148</v>
      </c>
      <c r="AE2263" s="0" t="s">
        <v>149</v>
      </c>
      <c r="AF2263" s="0" t="s">
        <v>150</v>
      </c>
      <c r="AH2263" s="0" t="n">
        <v>14</v>
      </c>
      <c r="AI2263" s="0" t="n">
        <v>11</v>
      </c>
      <c r="AN2263" s="0" t="s">
        <v>146</v>
      </c>
      <c r="AO2263" s="0" t="s">
        <v>151</v>
      </c>
      <c r="AP2263" s="0" t="s">
        <v>152</v>
      </c>
      <c r="AQ2263" s="0" t="n">
        <v>9</v>
      </c>
      <c r="AR2263" s="0" t="n">
        <v>64</v>
      </c>
      <c r="AS2263" s="0" t="n">
        <v>32</v>
      </c>
      <c r="AU2263" s="0" t="n">
        <f aca="false">COUNTA($BA$1459:$EH$1459)</f>
        <v>1</v>
      </c>
      <c r="AV2263" s="0" t="n">
        <f aca="false">COUNTIF($BA$1459:$EH$1459,"D")</f>
        <v>0</v>
      </c>
      <c r="AW2263" s="0" t="n">
        <f aca="false">COUNTIF($BA$1459:$EH$1459,"R")</f>
        <v>0</v>
      </c>
      <c r="AX2263" s="0" t="n">
        <f aca="false"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>0</v>
      </c>
      <c r="AY2263" s="0" t="n">
        <f aca="false">COUNTIF(DU2263:EH2263, "&lt;&gt;")</f>
        <v>2</v>
      </c>
      <c r="AZ2263" s="0" t="n">
        <f aca="false">IF(EH2263&lt;&gt;"",1,0)</f>
        <v>0</v>
      </c>
      <c r="BB2263" s="0" t="s">
        <v>153</v>
      </c>
      <c r="BF2263" s="0" t="s">
        <v>154</v>
      </c>
      <c r="BH2263" s="0" t="s">
        <v>154</v>
      </c>
      <c r="BJ2263" s="0" t="s">
        <v>154</v>
      </c>
      <c r="BK2263" s="0" t="s">
        <v>154</v>
      </c>
      <c r="BL2263" s="0" t="s">
        <v>154</v>
      </c>
      <c r="BP2263" s="0" t="s">
        <v>154</v>
      </c>
      <c r="BV2263" s="0" t="s">
        <v>154</v>
      </c>
      <c r="CP2263" s="0" t="s">
        <v>154</v>
      </c>
      <c r="CY2263" s="0" t="s">
        <v>154</v>
      </c>
      <c r="DI2263" s="0" t="s">
        <v>154</v>
      </c>
      <c r="DN2263" s="0" t="s">
        <v>154</v>
      </c>
      <c r="DU2263" s="0" t="s">
        <v>154</v>
      </c>
      <c r="EF2263" s="0" t="s">
        <v>154</v>
      </c>
    </row>
    <row r="2264" customFormat="false" ht="13.8" hidden="true" customHeight="false" outlineLevel="0" collapsed="false">
      <c r="A2264" s="0" t="s">
        <v>9890</v>
      </c>
      <c r="B2264" s="0" t="n">
        <v>78</v>
      </c>
      <c r="C2264" s="0" t="n">
        <v>488944</v>
      </c>
      <c r="D2264" s="0" t="s">
        <v>856</v>
      </c>
      <c r="E2264" s="0" t="s">
        <v>9891</v>
      </c>
      <c r="F2264" s="0" t="str">
        <f aca="false">CONCATENATE(D2264," ",LEFT(H2264,4),"T=",AU2264,"D=",AV2264,"R=",AW2264,"M=",AX2264,"L=",AY2264,"B=",AZ2264)</f>
        <v>JONES T=38D=11R=0M=0L=0B=0</v>
      </c>
      <c r="G2264" s="0" t="s">
        <v>216</v>
      </c>
      <c r="I2264" s="0" t="s">
        <v>9892</v>
      </c>
      <c r="J2264" s="0" t="s">
        <v>3124</v>
      </c>
      <c r="K2264" s="0" t="s">
        <v>175</v>
      </c>
      <c r="L2264" s="0"/>
      <c r="M2264" s="0" t="s">
        <v>9893</v>
      </c>
      <c r="N2264" s="0" t="str">
        <f aca="false">RIGHT(M2264,LEN(M2264)-FIND(" ",M2264))</f>
        <v>PROSPECT AVE NW</v>
      </c>
      <c r="P2264" s="0" t="s">
        <v>146</v>
      </c>
      <c r="Q2264" s="0" t="s">
        <v>147</v>
      </c>
      <c r="R2264" s="0" t="n">
        <v>44483</v>
      </c>
      <c r="AD2264" s="0" t="s">
        <v>148</v>
      </c>
      <c r="AE2264" s="0" t="s">
        <v>149</v>
      </c>
      <c r="AF2264" s="0" t="s">
        <v>150</v>
      </c>
      <c r="AH2264" s="0" t="n">
        <v>14</v>
      </c>
      <c r="AI2264" s="0" t="n">
        <v>11</v>
      </c>
      <c r="AN2264" s="0" t="s">
        <v>146</v>
      </c>
      <c r="AO2264" s="0" t="s">
        <v>151</v>
      </c>
      <c r="AP2264" s="0" t="s">
        <v>152</v>
      </c>
      <c r="AQ2264" s="0" t="n">
        <v>9</v>
      </c>
      <c r="AR2264" s="0" t="n">
        <v>64</v>
      </c>
      <c r="AS2264" s="0" t="n">
        <v>32</v>
      </c>
      <c r="AU2264" s="0" t="n">
        <f aca="false">COUNTA($BA$1423:$EH$1423)</f>
        <v>38</v>
      </c>
      <c r="AV2264" s="0" t="n">
        <f aca="false">COUNTIF($BA$1423:$EH$1423,"D")</f>
        <v>11</v>
      </c>
      <c r="AW2264" s="0" t="n">
        <f aca="false">COUNTIF($BA$1423:$EH$1423,"R")</f>
        <v>0</v>
      </c>
      <c r="AX2264" s="0" t="n">
        <f aca="false"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>0</v>
      </c>
      <c r="AY2264" s="0" t="n">
        <f aca="false">COUNTIF(DU2264:EH2264, "&lt;&gt;")</f>
        <v>0</v>
      </c>
      <c r="AZ2264" s="0" t="n">
        <f aca="false">IF(EH2264&lt;&gt;"",1,0)</f>
        <v>0</v>
      </c>
      <c r="BB2264" s="0" t="s">
        <v>153</v>
      </c>
    </row>
    <row r="2265" customFormat="false" ht="13.8" hidden="true" customHeight="false" outlineLevel="0" collapsed="false">
      <c r="A2265" s="0" t="s">
        <v>9894</v>
      </c>
      <c r="B2265" s="0" t="n">
        <v>78</v>
      </c>
      <c r="C2265" s="0" t="n">
        <v>442023</v>
      </c>
      <c r="D2265" s="0" t="s">
        <v>9895</v>
      </c>
      <c r="E2265" s="0" t="s">
        <v>9896</v>
      </c>
      <c r="F2265" s="0" t="str">
        <f aca="false">CONCATENATE(D2265," ",LEFT(H2265,4),"T=",AU2265,"D=",AV2265,"R=",AW2265,"M=",AX2265,"L=",AY2265,"B=",AZ2265)</f>
        <v>BONIFACIO T=38D=16R=0M=0L=0B=0</v>
      </c>
      <c r="G2265" s="0" t="s">
        <v>9897</v>
      </c>
      <c r="I2265" s="0" t="s">
        <v>8579</v>
      </c>
      <c r="J2265" s="0" t="s">
        <v>9898</v>
      </c>
      <c r="K2265" s="0" t="s">
        <v>144</v>
      </c>
      <c r="L2265" s="0"/>
      <c r="M2265" s="0" t="s">
        <v>9899</v>
      </c>
      <c r="N2265" s="0" t="str">
        <f aca="false">RIGHT(M2265,LEN(M2265)-FIND(" ",M2265))</f>
        <v>PROSPECT AVE NW</v>
      </c>
      <c r="P2265" s="0" t="s">
        <v>146</v>
      </c>
      <c r="Q2265" s="0" t="s">
        <v>147</v>
      </c>
      <c r="R2265" s="0" t="n">
        <v>44483</v>
      </c>
      <c r="AD2265" s="0" t="s">
        <v>148</v>
      </c>
      <c r="AE2265" s="0" t="s">
        <v>149</v>
      </c>
      <c r="AF2265" s="0" t="s">
        <v>150</v>
      </c>
      <c r="AH2265" s="0" t="n">
        <v>14</v>
      </c>
      <c r="AI2265" s="0" t="n">
        <v>11</v>
      </c>
      <c r="AN2265" s="0" t="s">
        <v>146</v>
      </c>
      <c r="AO2265" s="0" t="s">
        <v>151</v>
      </c>
      <c r="AP2265" s="0" t="s">
        <v>152</v>
      </c>
      <c r="AQ2265" s="0" t="n">
        <v>9</v>
      </c>
      <c r="AR2265" s="0" t="n">
        <v>64</v>
      </c>
      <c r="AS2265" s="0" t="n">
        <v>32</v>
      </c>
      <c r="AU2265" s="0" t="n">
        <f aca="false">COUNTA($BA$1598:$EH$1598)</f>
        <v>38</v>
      </c>
      <c r="AV2265" s="0" t="n">
        <f aca="false">COUNTIF($BA$1598:$EH$1598,"D")</f>
        <v>16</v>
      </c>
      <c r="AW2265" s="0" t="n">
        <f aca="false">COUNTIF($BA$1598:$EH$1598,"R")</f>
        <v>0</v>
      </c>
      <c r="AX2265" s="0" t="n">
        <f aca="false"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>0</v>
      </c>
      <c r="AY2265" s="0" t="n">
        <f aca="false">COUNTIF(DU2265:EH2265, "&lt;&gt;")</f>
        <v>0</v>
      </c>
      <c r="AZ2265" s="0" t="n">
        <f aca="false">IF(EH2265&lt;&gt;"",1,0)</f>
        <v>0</v>
      </c>
      <c r="BB2265" s="0" t="s">
        <v>153</v>
      </c>
    </row>
    <row r="2266" customFormat="false" ht="13.8" hidden="true" customHeight="false" outlineLevel="0" collapsed="false">
      <c r="A2266" s="0" t="s">
        <v>9900</v>
      </c>
      <c r="B2266" s="0" t="n">
        <v>78</v>
      </c>
      <c r="C2266" s="0" t="n">
        <v>333179</v>
      </c>
      <c r="D2266" s="0" t="s">
        <v>9901</v>
      </c>
      <c r="E2266" s="0" t="s">
        <v>9902</v>
      </c>
      <c r="F2266" s="0" t="str">
        <f aca="false">CONCATENATE(D2266," ",LEFT(H2266,4),"T=",AU2266,"D=",AV2266,"R=",AW2266,"M=",AX2266,"L=",AY2266,"B=",AZ2266)</f>
        <v>POPE JRT=6D=1R=0M=0L=0B=0</v>
      </c>
      <c r="H2266" s="0" t="s">
        <v>431</v>
      </c>
      <c r="I2266" s="0" t="s">
        <v>9903</v>
      </c>
      <c r="J2266" s="0" t="s">
        <v>9904</v>
      </c>
      <c r="K2266" s="0" t="s">
        <v>175</v>
      </c>
      <c r="L2266" s="0"/>
      <c r="M2266" s="0" t="s">
        <v>9899</v>
      </c>
      <c r="N2266" s="0" t="str">
        <f aca="false">RIGHT(M2266,LEN(M2266)-FIND(" ",M2266))</f>
        <v>PROSPECT AVE NW</v>
      </c>
      <c r="P2266" s="0" t="s">
        <v>146</v>
      </c>
      <c r="Q2266" s="0" t="s">
        <v>147</v>
      </c>
      <c r="R2266" s="0" t="n">
        <v>44483</v>
      </c>
      <c r="AD2266" s="0" t="s">
        <v>148</v>
      </c>
      <c r="AE2266" s="0" t="s">
        <v>149</v>
      </c>
      <c r="AF2266" s="0" t="s">
        <v>150</v>
      </c>
      <c r="AH2266" s="0" t="n">
        <v>14</v>
      </c>
      <c r="AI2266" s="0" t="n">
        <v>11</v>
      </c>
      <c r="AN2266" s="0" t="s">
        <v>146</v>
      </c>
      <c r="AO2266" s="0" t="s">
        <v>151</v>
      </c>
      <c r="AP2266" s="0" t="s">
        <v>152</v>
      </c>
      <c r="AQ2266" s="0" t="n">
        <v>9</v>
      </c>
      <c r="AR2266" s="0" t="n">
        <v>64</v>
      </c>
      <c r="AS2266" s="0" t="n">
        <v>32</v>
      </c>
      <c r="AU2266" s="0" t="n">
        <f aca="false">COUNTA($BA$2055:$EH$2055)</f>
        <v>6</v>
      </c>
      <c r="AV2266" s="0" t="n">
        <f aca="false">COUNTIF($BA$2055:$EH$2055,"D")</f>
        <v>1</v>
      </c>
      <c r="AW2266" s="0" t="n">
        <f aca="false">COUNTIF($BA$2055:$EH$2055,"R")</f>
        <v>0</v>
      </c>
      <c r="AX2266" s="0" t="n">
        <f aca="false"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>0</v>
      </c>
      <c r="AY2266" s="0" t="n">
        <f aca="false">COUNTIF(DU2266:EH2266, "&lt;&gt;")</f>
        <v>0</v>
      </c>
      <c r="AZ2266" s="0" t="n">
        <f aca="false">IF(EH2266&lt;&gt;"",1,0)</f>
        <v>0</v>
      </c>
      <c r="BB2266" s="0" t="s">
        <v>153</v>
      </c>
      <c r="BL2266" s="0" t="s">
        <v>154</v>
      </c>
      <c r="BY2266" s="0" t="s">
        <v>176</v>
      </c>
      <c r="CA2266" s="0" t="s">
        <v>154</v>
      </c>
      <c r="CP2266" s="0" t="s">
        <v>154</v>
      </c>
      <c r="DN2266" s="0" t="s">
        <v>154</v>
      </c>
    </row>
    <row r="2267" customFormat="false" ht="13.8" hidden="true" customHeight="false" outlineLevel="0" collapsed="false">
      <c r="A2267" s="0" t="s">
        <v>9905</v>
      </c>
      <c r="B2267" s="0" t="n">
        <v>78</v>
      </c>
      <c r="C2267" s="0" t="n">
        <v>445350</v>
      </c>
      <c r="D2267" s="0" t="s">
        <v>9906</v>
      </c>
      <c r="E2267" s="0" t="s">
        <v>9907</v>
      </c>
      <c r="F2267" s="0" t="str">
        <f aca="false">CONCATENATE(D2267," ",LEFT(H2267,4),"T=",AU2267,"D=",AV2267,"R=",AW2267,"M=",AX2267,"L=",AY2267,"B=",AZ2267)</f>
        <v>SERNULKA T=10D=2R=0M=0L=0B=0</v>
      </c>
      <c r="G2267" s="0" t="s">
        <v>1964</v>
      </c>
      <c r="I2267" s="0" t="s">
        <v>9908</v>
      </c>
      <c r="J2267" s="0" t="s">
        <v>3374</v>
      </c>
      <c r="K2267" s="0" t="s">
        <v>175</v>
      </c>
      <c r="L2267" s="0"/>
      <c r="M2267" s="0" t="s">
        <v>9909</v>
      </c>
      <c r="N2267" s="0" t="str">
        <f aca="false">RIGHT(M2267,LEN(M2267)-FIND(" ",M2267))</f>
        <v>PROSPECT AVE NW</v>
      </c>
      <c r="P2267" s="0" t="s">
        <v>146</v>
      </c>
      <c r="Q2267" s="0" t="s">
        <v>147</v>
      </c>
      <c r="R2267" s="0" t="n">
        <v>44483</v>
      </c>
      <c r="AD2267" s="0" t="s">
        <v>148</v>
      </c>
      <c r="AE2267" s="0" t="s">
        <v>149</v>
      </c>
      <c r="AF2267" s="0" t="s">
        <v>150</v>
      </c>
      <c r="AH2267" s="0" t="n">
        <v>14</v>
      </c>
      <c r="AI2267" s="0" t="n">
        <v>11</v>
      </c>
      <c r="AN2267" s="0" t="s">
        <v>146</v>
      </c>
      <c r="AO2267" s="0" t="s">
        <v>151</v>
      </c>
      <c r="AP2267" s="0" t="s">
        <v>152</v>
      </c>
      <c r="AQ2267" s="0" t="n">
        <v>9</v>
      </c>
      <c r="AR2267" s="0" t="n">
        <v>64</v>
      </c>
      <c r="AS2267" s="0" t="n">
        <v>32</v>
      </c>
      <c r="AU2267" s="0" t="n">
        <f aca="false">COUNTA($BA$1851:$EH$1851)</f>
        <v>10</v>
      </c>
      <c r="AV2267" s="0" t="n">
        <f aca="false">COUNTIF($BA$1851:$EH$1851,"D")</f>
        <v>2</v>
      </c>
      <c r="AW2267" s="0" t="n">
        <f aca="false">COUNTIF($BA$1851:$EH$1851,"R")</f>
        <v>0</v>
      </c>
      <c r="AX2267" s="0" t="n">
        <f aca="false"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>0</v>
      </c>
      <c r="AY2267" s="0" t="n">
        <f aca="false">COUNTIF(DU2267:EH2267, "&lt;&gt;")</f>
        <v>0</v>
      </c>
      <c r="AZ2267" s="0" t="n">
        <f aca="false">IF(EH2267&lt;&gt;"",1,0)</f>
        <v>0</v>
      </c>
      <c r="BB2267" s="0" t="s">
        <v>153</v>
      </c>
    </row>
    <row r="2268" customFormat="false" ht="13.8" hidden="true" customHeight="false" outlineLevel="0" collapsed="false">
      <c r="A2268" s="0" t="s">
        <v>9910</v>
      </c>
      <c r="B2268" s="0" t="n">
        <v>78</v>
      </c>
      <c r="C2268" s="0" t="n">
        <v>293639</v>
      </c>
      <c r="D2268" s="0" t="s">
        <v>9911</v>
      </c>
      <c r="E2268" s="0" t="s">
        <v>1916</v>
      </c>
      <c r="F2268" s="0" t="str">
        <f aca="false">CONCATENATE(D2268," ",LEFT(H2268,4),"T=",AU2268,"D=",AV2268,"R=",AW2268,"M=",AX2268,"L=",AY2268,"B=",AZ2268)</f>
        <v>GRAHAM T=11D=0R=0M=0L=0B=0</v>
      </c>
      <c r="G2268" s="0" t="s">
        <v>172</v>
      </c>
      <c r="I2268" s="0" t="s">
        <v>9912</v>
      </c>
      <c r="J2268" s="0" t="s">
        <v>342</v>
      </c>
      <c r="K2268" s="0" t="s">
        <v>175</v>
      </c>
      <c r="L2268" s="0"/>
      <c r="M2268" s="0" t="s">
        <v>9909</v>
      </c>
      <c r="N2268" s="0" t="str">
        <f aca="false">RIGHT(M2268,LEN(M2268)-FIND(" ",M2268))</f>
        <v>PROSPECT AVE NW</v>
      </c>
      <c r="P2268" s="0" t="s">
        <v>146</v>
      </c>
      <c r="Q2268" s="0" t="s">
        <v>147</v>
      </c>
      <c r="R2268" s="0" t="n">
        <v>44483</v>
      </c>
      <c r="AD2268" s="0" t="s">
        <v>148</v>
      </c>
      <c r="AE2268" s="0" t="s">
        <v>149</v>
      </c>
      <c r="AF2268" s="0" t="s">
        <v>150</v>
      </c>
      <c r="AH2268" s="0" t="n">
        <v>14</v>
      </c>
      <c r="AI2268" s="0" t="n">
        <v>11</v>
      </c>
      <c r="AN2268" s="0" t="s">
        <v>146</v>
      </c>
      <c r="AO2268" s="0" t="s">
        <v>151</v>
      </c>
      <c r="AP2268" s="0" t="s">
        <v>152</v>
      </c>
      <c r="AQ2268" s="0" t="n">
        <v>9</v>
      </c>
      <c r="AR2268" s="0" t="n">
        <v>64</v>
      </c>
      <c r="AS2268" s="0" t="n">
        <v>32</v>
      </c>
      <c r="AU2268" s="0" t="n">
        <f aca="false">COUNTA($BA$1856:$EH$1856)</f>
        <v>11</v>
      </c>
      <c r="AV2268" s="0" t="n">
        <f aca="false">COUNTIF($BA$1856:$EH$1856,"D")</f>
        <v>0</v>
      </c>
      <c r="AW2268" s="0" t="n">
        <f aca="false">COUNTIF($BA$1856:$EH$1856,"R")</f>
        <v>0</v>
      </c>
      <c r="AX2268" s="0" t="n">
        <f aca="false"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>0</v>
      </c>
      <c r="AY2268" s="0" t="n">
        <f aca="false">COUNTIF(DU2268:EH2268, "&lt;&gt;")</f>
        <v>0</v>
      </c>
      <c r="AZ2268" s="0" t="n">
        <f aca="false">IF(EH2268&lt;&gt;"",1,0)</f>
        <v>0</v>
      </c>
      <c r="BB2268" s="0" t="s">
        <v>153</v>
      </c>
      <c r="BD2268" s="0" t="s">
        <v>154</v>
      </c>
      <c r="BF2268" s="0" t="s">
        <v>154</v>
      </c>
      <c r="BP2268" s="0" t="s">
        <v>154</v>
      </c>
      <c r="BS2268" s="0" t="s">
        <v>154</v>
      </c>
      <c r="BV2268" s="0" t="s">
        <v>154</v>
      </c>
      <c r="BY2268" s="0" t="s">
        <v>155</v>
      </c>
      <c r="CA2268" s="0" t="s">
        <v>154</v>
      </c>
    </row>
    <row r="2269" customFormat="false" ht="13.8" hidden="true" customHeight="false" outlineLevel="0" collapsed="false">
      <c r="A2269" s="0" t="s">
        <v>9913</v>
      </c>
      <c r="B2269" s="0" t="n">
        <v>78</v>
      </c>
      <c r="C2269" s="0" t="n">
        <v>385496</v>
      </c>
      <c r="D2269" s="0" t="s">
        <v>1677</v>
      </c>
      <c r="E2269" s="0" t="s">
        <v>9914</v>
      </c>
      <c r="F2269" s="0" t="str">
        <f aca="false">CONCATENATE(D2269," ",LEFT(H2269,4),"T=",AU2269,"D=",AV2269,"R=",AW2269,"M=",AX2269,"L=",AY2269,"B=",AZ2269)</f>
        <v>HUDSON T=36D=8R=0M=0L=0B=0</v>
      </c>
      <c r="G2269" s="0" t="s">
        <v>241</v>
      </c>
      <c r="I2269" s="0" t="s">
        <v>9915</v>
      </c>
      <c r="J2269" s="0" t="s">
        <v>9916</v>
      </c>
      <c r="K2269" s="0" t="s">
        <v>144</v>
      </c>
      <c r="L2269" s="0"/>
      <c r="M2269" s="0" t="s">
        <v>9909</v>
      </c>
      <c r="N2269" s="0" t="str">
        <f aca="false">RIGHT(M2269,LEN(M2269)-FIND(" ",M2269))</f>
        <v>PROSPECT AVE NW</v>
      </c>
      <c r="P2269" s="0" t="s">
        <v>146</v>
      </c>
      <c r="Q2269" s="0" t="s">
        <v>147</v>
      </c>
      <c r="R2269" s="0" t="n">
        <v>44483</v>
      </c>
      <c r="AD2269" s="0" t="s">
        <v>148</v>
      </c>
      <c r="AE2269" s="0" t="s">
        <v>149</v>
      </c>
      <c r="AF2269" s="0" t="s">
        <v>150</v>
      </c>
      <c r="AH2269" s="0" t="n">
        <v>14</v>
      </c>
      <c r="AI2269" s="0" t="n">
        <v>11</v>
      </c>
      <c r="AN2269" s="0" t="s">
        <v>146</v>
      </c>
      <c r="AO2269" s="0" t="s">
        <v>151</v>
      </c>
      <c r="AP2269" s="0" t="s">
        <v>152</v>
      </c>
      <c r="AQ2269" s="0" t="n">
        <v>9</v>
      </c>
      <c r="AR2269" s="0" t="n">
        <v>64</v>
      </c>
      <c r="AS2269" s="0" t="n">
        <v>32</v>
      </c>
      <c r="AU2269" s="0" t="n">
        <f aca="false">COUNTA($BA$1875:$EH$1875)</f>
        <v>36</v>
      </c>
      <c r="AV2269" s="0" t="n">
        <f aca="false">COUNTIF($BA$1875:$EH$1875,"D")</f>
        <v>8</v>
      </c>
      <c r="AW2269" s="0" t="n">
        <f aca="false">COUNTIF($BA$1875:$EH$1875,"R")</f>
        <v>0</v>
      </c>
      <c r="AX2269" s="0" t="n">
        <f aca="false"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>0</v>
      </c>
      <c r="AY2269" s="0" t="n">
        <f aca="false">COUNTIF(DU2269:EH2269, "&lt;&gt;")</f>
        <v>0</v>
      </c>
      <c r="AZ2269" s="0" t="n">
        <f aca="false">IF(EH2269&lt;&gt;"",1,0)</f>
        <v>0</v>
      </c>
      <c r="BB2269" s="0" t="s">
        <v>153</v>
      </c>
    </row>
    <row r="2270" customFormat="false" ht="13.8" hidden="true" customHeight="false" outlineLevel="0" collapsed="false">
      <c r="A2270" s="0" t="s">
        <v>9917</v>
      </c>
      <c r="B2270" s="0" t="n">
        <v>78</v>
      </c>
      <c r="C2270" s="0" t="n">
        <v>331707</v>
      </c>
      <c r="D2270" s="0" t="s">
        <v>9911</v>
      </c>
      <c r="E2270" s="0" t="s">
        <v>5065</v>
      </c>
      <c r="F2270" s="0" t="str">
        <f aca="false">CONCATENATE(D2270," ",LEFT(H2270,4),"T=",AU2270,"D=",AV2270,"R=",AW2270,"M=",AX2270,"L=",AY2270,"B=",AZ2270)</f>
        <v>GRAHAM T=8D=0R=1M=0L=0B=0</v>
      </c>
      <c r="G2270" s="0" t="s">
        <v>172</v>
      </c>
      <c r="I2270" s="0" t="s">
        <v>7394</v>
      </c>
      <c r="J2270" s="0" t="s">
        <v>9918</v>
      </c>
      <c r="K2270" s="0" t="s">
        <v>175</v>
      </c>
      <c r="L2270" s="0"/>
      <c r="M2270" s="0" t="s">
        <v>9909</v>
      </c>
      <c r="N2270" s="0" t="str">
        <f aca="false">RIGHT(M2270,LEN(M2270)-FIND(" ",M2270))</f>
        <v>PROSPECT AVE NW</v>
      </c>
      <c r="P2270" s="0" t="s">
        <v>146</v>
      </c>
      <c r="Q2270" s="0" t="s">
        <v>147</v>
      </c>
      <c r="R2270" s="0" t="n">
        <v>44483</v>
      </c>
      <c r="AD2270" s="0" t="s">
        <v>148</v>
      </c>
      <c r="AE2270" s="0" t="s">
        <v>149</v>
      </c>
      <c r="AF2270" s="0" t="s">
        <v>150</v>
      </c>
      <c r="AH2270" s="0" t="n">
        <v>14</v>
      </c>
      <c r="AI2270" s="0" t="n">
        <v>11</v>
      </c>
      <c r="AN2270" s="0" t="s">
        <v>146</v>
      </c>
      <c r="AO2270" s="0" t="s">
        <v>151</v>
      </c>
      <c r="AP2270" s="0" t="s">
        <v>152</v>
      </c>
      <c r="AQ2270" s="0" t="n">
        <v>9</v>
      </c>
      <c r="AR2270" s="0" t="n">
        <v>64</v>
      </c>
      <c r="AS2270" s="0" t="n">
        <v>32</v>
      </c>
      <c r="AU2270" s="0" t="n">
        <f aca="false">COUNTA($BA$1876:$EH$1876)</f>
        <v>8</v>
      </c>
      <c r="AV2270" s="0" t="n">
        <f aca="false">COUNTIF($BA$1876:$EH$1876,"D")</f>
        <v>0</v>
      </c>
      <c r="AW2270" s="0" t="n">
        <f aca="false">COUNTIF($BA$1876:$EH$1876,"R")</f>
        <v>1</v>
      </c>
      <c r="AX2270" s="0" t="n">
        <f aca="false"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>0</v>
      </c>
      <c r="AY2270" s="0" t="n">
        <f aca="false">COUNTIF(DU2270:EH2270, "&lt;&gt;")</f>
        <v>0</v>
      </c>
      <c r="AZ2270" s="0" t="n">
        <f aca="false">IF(EH2270&lt;&gt;"",1,0)</f>
        <v>0</v>
      </c>
      <c r="BB2270" s="0" t="s">
        <v>153</v>
      </c>
      <c r="BL2270" s="0" t="s">
        <v>154</v>
      </c>
      <c r="BP2270" s="0" t="s">
        <v>154</v>
      </c>
      <c r="BS2270" s="0" t="s">
        <v>154</v>
      </c>
      <c r="BV2270" s="0" t="s">
        <v>154</v>
      </c>
      <c r="BY2270" s="0" t="s">
        <v>155</v>
      </c>
      <c r="CA2270" s="0" t="s">
        <v>154</v>
      </c>
      <c r="CG2270" s="0" t="s">
        <v>154</v>
      </c>
    </row>
    <row r="2271" customFormat="false" ht="13.8" hidden="false" customHeight="false" outlineLevel="0" collapsed="false">
      <c r="A2271" s="0" t="s">
        <v>9919</v>
      </c>
      <c r="B2271" s="0" t="n">
        <v>78</v>
      </c>
      <c r="C2271" s="0" t="n">
        <v>283451</v>
      </c>
      <c r="D2271" s="0" t="s">
        <v>3962</v>
      </c>
      <c r="E2271" s="0" t="s">
        <v>9920</v>
      </c>
      <c r="F2271" s="0" t="str">
        <f aca="false">CONCATENATE(D2271," ",LEFT(H2271,4),"T=",AU2271,"D=",AV2271,"R=",AW2271,"M=",AX2271,"L=",AY2271,"B=",AZ2271)</f>
        <v>HILL T=9D=2R=0M=5L=7B=1</v>
      </c>
      <c r="G2271" s="0" t="s">
        <v>241</v>
      </c>
      <c r="I2271" s="0" t="s">
        <v>9921</v>
      </c>
      <c r="J2271" s="0" t="s">
        <v>9922</v>
      </c>
      <c r="K2271" s="0" t="s">
        <v>175</v>
      </c>
      <c r="L2271" s="1" t="s">
        <v>155</v>
      </c>
      <c r="M2271" s="0" t="s">
        <v>9923</v>
      </c>
      <c r="N2271" s="0" t="str">
        <f aca="false">RIGHT(M2271,LEN(M2271)-FIND(" ",M2271))</f>
        <v>PROSPECT AVE NW</v>
      </c>
      <c r="P2271" s="0" t="s">
        <v>146</v>
      </c>
      <c r="Q2271" s="0" t="s">
        <v>147</v>
      </c>
      <c r="R2271" s="0" t="n">
        <v>44483</v>
      </c>
      <c r="AD2271" s="0" t="s">
        <v>148</v>
      </c>
      <c r="AE2271" s="0" t="s">
        <v>149</v>
      </c>
      <c r="AF2271" s="0" t="s">
        <v>150</v>
      </c>
      <c r="AH2271" s="0" t="n">
        <v>14</v>
      </c>
      <c r="AI2271" s="0" t="n">
        <v>11</v>
      </c>
      <c r="AN2271" s="0" t="s">
        <v>146</v>
      </c>
      <c r="AO2271" s="0" t="s">
        <v>151</v>
      </c>
      <c r="AP2271" s="0" t="s">
        <v>152</v>
      </c>
      <c r="AQ2271" s="0" t="n">
        <v>9</v>
      </c>
      <c r="AR2271" s="0" t="n">
        <v>64</v>
      </c>
      <c r="AS2271" s="0" t="n">
        <v>32</v>
      </c>
      <c r="AU2271" s="0" t="n">
        <f aca="false">COUNTA($BA$1928:$EH$1928)</f>
        <v>9</v>
      </c>
      <c r="AV2271" s="0" t="n">
        <f aca="false">COUNTIF($BA$1928:$EH$1928,"D")</f>
        <v>2</v>
      </c>
      <c r="AW2271" s="0" t="n">
        <f aca="false">COUNTIF($BA$1928:$EH$1928,"R")</f>
        <v>0</v>
      </c>
      <c r="AX2271" s="0" t="n">
        <f aca="false"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>5</v>
      </c>
      <c r="AY2271" s="0" t="n">
        <f aca="false">COUNTIF(DU2271:EH2271, "&lt;&gt;")</f>
        <v>7</v>
      </c>
      <c r="AZ2271" s="0" t="n">
        <f aca="false">IF(EH2271&lt;&gt;"",1,0)</f>
        <v>1</v>
      </c>
      <c r="BB2271" s="0" t="s">
        <v>153</v>
      </c>
      <c r="BC2271" s="0" t="s">
        <v>154</v>
      </c>
      <c r="BD2271" s="0" t="s">
        <v>154</v>
      </c>
      <c r="BE2271" s="0" t="s">
        <v>154</v>
      </c>
      <c r="BF2271" s="0" t="s">
        <v>154</v>
      </c>
      <c r="BH2271" s="0" t="s">
        <v>154</v>
      </c>
      <c r="BK2271" s="0" t="s">
        <v>154</v>
      </c>
      <c r="BL2271" s="0" t="s">
        <v>154</v>
      </c>
      <c r="BP2271" s="0" t="s">
        <v>154</v>
      </c>
      <c r="BS2271" s="0" t="s">
        <v>154</v>
      </c>
      <c r="BY2271" s="0" t="s">
        <v>155</v>
      </c>
      <c r="CA2271" s="0" t="s">
        <v>154</v>
      </c>
      <c r="CG2271" s="0" t="s">
        <v>154</v>
      </c>
      <c r="CK2271" s="0" t="s">
        <v>154</v>
      </c>
      <c r="CL2271" s="0" t="s">
        <v>155</v>
      </c>
      <c r="CN2271" s="0" t="s">
        <v>154</v>
      </c>
      <c r="CP2271" s="0" t="s">
        <v>154</v>
      </c>
      <c r="CT2271" s="0" t="s">
        <v>154</v>
      </c>
      <c r="CV2271" s="0" t="s">
        <v>154</v>
      </c>
      <c r="CW2271" s="0" t="s">
        <v>155</v>
      </c>
      <c r="CY2271" s="0" t="s">
        <v>154</v>
      </c>
      <c r="CZ2271" s="0" t="s">
        <v>155</v>
      </c>
      <c r="DC2271" s="0" t="s">
        <v>154</v>
      </c>
      <c r="DF2271" s="0" t="s">
        <v>154</v>
      </c>
      <c r="DI2271" s="0" t="s">
        <v>154</v>
      </c>
      <c r="DN2271" s="0" t="s">
        <v>154</v>
      </c>
      <c r="DO2271" s="0" t="s">
        <v>155</v>
      </c>
      <c r="DR2271" s="0" t="s">
        <v>154</v>
      </c>
      <c r="DS2271" s="0" t="s">
        <v>155</v>
      </c>
      <c r="DT2271" s="0" t="s">
        <v>155</v>
      </c>
      <c r="DU2271" s="0" t="s">
        <v>154</v>
      </c>
      <c r="DW2271" s="0" t="s">
        <v>155</v>
      </c>
      <c r="DX2271" s="0" t="s">
        <v>154</v>
      </c>
      <c r="EA2271" s="0" t="s">
        <v>154</v>
      </c>
      <c r="ED2271" s="0" t="s">
        <v>155</v>
      </c>
      <c r="EF2271" s="0" t="s">
        <v>154</v>
      </c>
      <c r="EH2271" s="0" t="s">
        <v>155</v>
      </c>
    </row>
    <row r="2272" customFormat="false" ht="13.8" hidden="true" customHeight="false" outlineLevel="0" collapsed="false">
      <c r="A2272" s="0" t="s">
        <v>9924</v>
      </c>
      <c r="B2272" s="0" t="n">
        <v>78</v>
      </c>
      <c r="C2272" s="0" t="n">
        <v>409769</v>
      </c>
      <c r="D2272" s="0" t="s">
        <v>6486</v>
      </c>
      <c r="E2272" s="0" t="s">
        <v>9925</v>
      </c>
      <c r="F2272" s="0" t="str">
        <f aca="false">CONCATENATE(D2272," ",LEFT(H2272,4),"T=",AU2272,"D=",AV2272,"R=",AW2272,"M=",AX2272,"L=",AY2272,"B=",AZ2272)</f>
        <v>BAILEY T=46D=11R=5M=0L=0B=0</v>
      </c>
      <c r="G2272" s="0" t="s">
        <v>2791</v>
      </c>
      <c r="I2272" s="0" t="s">
        <v>9926</v>
      </c>
      <c r="J2272" s="0" t="s">
        <v>2489</v>
      </c>
      <c r="K2272" s="0" t="s">
        <v>144</v>
      </c>
      <c r="L2272" s="0"/>
      <c r="M2272" s="0" t="s">
        <v>9927</v>
      </c>
      <c r="N2272" s="0" t="str">
        <f aca="false">RIGHT(M2272,LEN(M2272)-FIND(" ",M2272))</f>
        <v>REO CT NW</v>
      </c>
      <c r="O2272" s="0" t="s">
        <v>9928</v>
      </c>
      <c r="P2272" s="0" t="s">
        <v>146</v>
      </c>
      <c r="Q2272" s="0" t="s">
        <v>147</v>
      </c>
      <c r="R2272" s="0" t="n">
        <v>44483</v>
      </c>
      <c r="AD2272" s="0" t="s">
        <v>148</v>
      </c>
      <c r="AE2272" s="0" t="s">
        <v>149</v>
      </c>
      <c r="AH2272" s="0" t="n">
        <v>14</v>
      </c>
      <c r="AI2272" s="0" t="n">
        <v>11</v>
      </c>
      <c r="AJ2272" s="0" t="s">
        <v>7459</v>
      </c>
      <c r="AM2272" s="0" t="s">
        <v>9929</v>
      </c>
      <c r="AN2272" s="0" t="s">
        <v>146</v>
      </c>
      <c r="AO2272" s="0" t="s">
        <v>250</v>
      </c>
      <c r="AP2272" s="0" t="s">
        <v>251</v>
      </c>
      <c r="AQ2272" s="0" t="n">
        <v>9</v>
      </c>
      <c r="AR2272" s="0" t="n">
        <v>64</v>
      </c>
      <c r="AS2272" s="0" t="n">
        <v>32</v>
      </c>
      <c r="AU2272" s="0" t="n">
        <f aca="false">COUNTA($BA$2753:$EH$2753)</f>
        <v>46</v>
      </c>
      <c r="AV2272" s="0" t="n">
        <f aca="false">COUNTIF($BA$2753:$EH$2753,"D")</f>
        <v>11</v>
      </c>
      <c r="AW2272" s="0" t="n">
        <f aca="false">COUNTIF($BA$2753:$EH$2753,"R")</f>
        <v>5</v>
      </c>
      <c r="AX2272" s="0" t="n">
        <f aca="false"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>0</v>
      </c>
      <c r="AY2272" s="0" t="n">
        <f aca="false">COUNTIF(DU2272:EH2272, "&lt;&gt;")</f>
        <v>0</v>
      </c>
      <c r="AZ2272" s="0" t="n">
        <f aca="false">IF(EH2272&lt;&gt;"",1,0)</f>
        <v>0</v>
      </c>
      <c r="BB2272" s="0" t="s">
        <v>153</v>
      </c>
    </row>
    <row r="2273" customFormat="false" ht="13.8" hidden="true" customHeight="false" outlineLevel="0" collapsed="false">
      <c r="A2273" s="0" t="s">
        <v>9930</v>
      </c>
      <c r="B2273" s="0" t="n">
        <v>78</v>
      </c>
      <c r="C2273" s="0" t="n">
        <v>422553</v>
      </c>
      <c r="D2273" s="0" t="s">
        <v>9931</v>
      </c>
      <c r="E2273" s="0" t="s">
        <v>9932</v>
      </c>
      <c r="F2273" s="0" t="str">
        <f aca="false">CONCATENATE(D2273," ",LEFT(H2273,4),"T=",AU2273,"D=",AV2273,"R=",AW2273,"M=",AX2273,"L=",AY2273,"B=",AZ2273)</f>
        <v>HAMILTON T=22D=1R=4M=0L=0B=0</v>
      </c>
      <c r="G2273" s="0" t="s">
        <v>222</v>
      </c>
      <c r="I2273" s="0" t="s">
        <v>9933</v>
      </c>
      <c r="J2273" s="0" t="s">
        <v>9934</v>
      </c>
      <c r="K2273" s="0" t="s">
        <v>175</v>
      </c>
      <c r="L2273" s="0"/>
      <c r="M2273" s="0" t="s">
        <v>9935</v>
      </c>
      <c r="N2273" s="0" t="str">
        <f aca="false">RIGHT(M2273,LEN(M2273)-FIND(" ",M2273))</f>
        <v>REO CT NW</v>
      </c>
      <c r="P2273" s="0" t="s">
        <v>146</v>
      </c>
      <c r="Q2273" s="0" t="s">
        <v>147</v>
      </c>
      <c r="R2273" s="0" t="n">
        <v>44483</v>
      </c>
      <c r="AD2273" s="0" t="s">
        <v>148</v>
      </c>
      <c r="AE2273" s="0" t="s">
        <v>149</v>
      </c>
      <c r="AH2273" s="0" t="n">
        <v>14</v>
      </c>
      <c r="AI2273" s="0" t="n">
        <v>11</v>
      </c>
      <c r="AJ2273" s="0" t="s">
        <v>7459</v>
      </c>
      <c r="AM2273" s="0" t="s">
        <v>9929</v>
      </c>
      <c r="AN2273" s="0" t="s">
        <v>146</v>
      </c>
      <c r="AO2273" s="0" t="s">
        <v>250</v>
      </c>
      <c r="AP2273" s="0" t="s">
        <v>251</v>
      </c>
      <c r="AQ2273" s="0" t="n">
        <v>9</v>
      </c>
      <c r="AR2273" s="0" t="n">
        <v>64</v>
      </c>
      <c r="AS2273" s="0" t="n">
        <v>32</v>
      </c>
      <c r="AU2273" s="0" t="n">
        <f aca="false">COUNTA($BA$2712:$EH$2712)</f>
        <v>22</v>
      </c>
      <c r="AV2273" s="0" t="n">
        <f aca="false">COUNTIF($BA$2712:$EH$2712,"D")</f>
        <v>1</v>
      </c>
      <c r="AW2273" s="0" t="n">
        <f aca="false">COUNTIF($BA$2712:$EH$2712,"R")</f>
        <v>4</v>
      </c>
      <c r="AX2273" s="0" t="n">
        <f aca="false"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>0</v>
      </c>
      <c r="AY2273" s="0" t="n">
        <f aca="false">COUNTIF(DU2273:EH2273, "&lt;&gt;")</f>
        <v>0</v>
      </c>
      <c r="AZ2273" s="0" t="n">
        <f aca="false">IF(EH2273&lt;&gt;"",1,0)</f>
        <v>0</v>
      </c>
      <c r="BB2273" s="0" t="s">
        <v>153</v>
      </c>
    </row>
    <row r="2274" customFormat="false" ht="13.8" hidden="true" customHeight="false" outlineLevel="0" collapsed="false">
      <c r="A2274" s="0" t="s">
        <v>9936</v>
      </c>
      <c r="B2274" s="0" t="n">
        <v>78</v>
      </c>
      <c r="C2274" s="0" t="n">
        <v>387486</v>
      </c>
      <c r="D2274" s="0" t="s">
        <v>595</v>
      </c>
      <c r="E2274" s="0" t="s">
        <v>9937</v>
      </c>
      <c r="F2274" s="0" t="str">
        <f aca="false">CONCATENATE(D2274," ",LEFT(H2274,4),"T=",AU2274,"D=",AV2274,"R=",AW2274,"M=",AX2274,"L=",AY2274,"B=",AZ2274)</f>
        <v>TALLEY T=1D=0R=0M=0L=0B=0</v>
      </c>
      <c r="G2274" s="0" t="s">
        <v>297</v>
      </c>
      <c r="I2274" s="0" t="s">
        <v>9938</v>
      </c>
      <c r="J2274" s="0" t="s">
        <v>4562</v>
      </c>
      <c r="K2274" s="0" t="s">
        <v>144</v>
      </c>
      <c r="L2274" s="0"/>
      <c r="M2274" s="0" t="s">
        <v>9939</v>
      </c>
      <c r="N2274" s="0" t="str">
        <f aca="false">RIGHT(M2274,LEN(M2274)-FIND(" ",M2274))</f>
        <v>REO CT NW</v>
      </c>
      <c r="P2274" s="0" t="s">
        <v>146</v>
      </c>
      <c r="Q2274" s="0" t="s">
        <v>147</v>
      </c>
      <c r="R2274" s="0" t="n">
        <v>44483</v>
      </c>
      <c r="AD2274" s="0" t="s">
        <v>148</v>
      </c>
      <c r="AE2274" s="0" t="s">
        <v>149</v>
      </c>
      <c r="AH2274" s="0" t="n">
        <v>14</v>
      </c>
      <c r="AI2274" s="0" t="n">
        <v>11</v>
      </c>
      <c r="AJ2274" s="0" t="s">
        <v>7459</v>
      </c>
      <c r="AM2274" s="0" t="s">
        <v>9929</v>
      </c>
      <c r="AN2274" s="0" t="s">
        <v>146</v>
      </c>
      <c r="AO2274" s="0" t="s">
        <v>250</v>
      </c>
      <c r="AP2274" s="0" t="s">
        <v>251</v>
      </c>
      <c r="AQ2274" s="0" t="n">
        <v>9</v>
      </c>
      <c r="AR2274" s="0" t="n">
        <v>64</v>
      </c>
      <c r="AS2274" s="0" t="n">
        <v>32</v>
      </c>
      <c r="AU2274" s="0" t="n">
        <f aca="false">COUNTA($BA$2420:$EH$2420)</f>
        <v>1</v>
      </c>
      <c r="AV2274" s="0" t="n">
        <f aca="false">COUNTIF($BA$2420:$EH$2420,"D")</f>
        <v>0</v>
      </c>
      <c r="AW2274" s="0" t="n">
        <f aca="false">COUNTIF($BA$2420:$EH$2420,"R")</f>
        <v>0</v>
      </c>
      <c r="AX2274" s="0" t="n">
        <f aca="false"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>0</v>
      </c>
      <c r="AY2274" s="0" t="n">
        <f aca="false">COUNTIF(DU2274:EH2274, "&lt;&gt;")</f>
        <v>0</v>
      </c>
      <c r="AZ2274" s="0" t="n">
        <f aca="false">IF(EH2274&lt;&gt;"",1,0)</f>
        <v>0</v>
      </c>
      <c r="BB2274" s="0" t="s">
        <v>153</v>
      </c>
      <c r="CP2274" s="0" t="s">
        <v>154</v>
      </c>
      <c r="CZ2274" s="0" t="s">
        <v>155</v>
      </c>
      <c r="DC2274" s="0" t="s">
        <v>154</v>
      </c>
    </row>
    <row r="2275" customFormat="false" ht="13.8" hidden="false" customHeight="false" outlineLevel="0" collapsed="false">
      <c r="A2275" s="0" t="s">
        <v>9940</v>
      </c>
      <c r="B2275" s="0" t="n">
        <v>78</v>
      </c>
      <c r="C2275" s="0" t="n">
        <v>416677</v>
      </c>
      <c r="D2275" s="0" t="s">
        <v>9941</v>
      </c>
      <c r="E2275" s="0" t="s">
        <v>3390</v>
      </c>
      <c r="F2275" s="0" t="str">
        <f aca="false">CONCATENATE(D2275," ",LEFT(H2275,4),"T=",AU2275,"D=",AV2275,"R=",AW2275,"M=",AX2275,"L=",AY2275,"B=",AZ2275)</f>
        <v>SANTAGATA T=3D=0R=0M=0L=3B=0</v>
      </c>
      <c r="G2275" s="0" t="s">
        <v>172</v>
      </c>
      <c r="I2275" s="0" t="s">
        <v>9942</v>
      </c>
      <c r="J2275" s="0" t="s">
        <v>8717</v>
      </c>
      <c r="K2275" s="0" t="s">
        <v>175</v>
      </c>
      <c r="L2275" s="1" t="s">
        <v>176</v>
      </c>
      <c r="M2275" s="0" t="s">
        <v>9943</v>
      </c>
      <c r="N2275" s="0" t="str">
        <f aca="false">RIGHT(M2275,LEN(M2275)-FIND(" ",M2275))</f>
        <v>REO CT NW</v>
      </c>
      <c r="P2275" s="0" t="s">
        <v>146</v>
      </c>
      <c r="Q2275" s="0" t="s">
        <v>147</v>
      </c>
      <c r="R2275" s="0" t="n">
        <v>44483</v>
      </c>
      <c r="AD2275" s="0" t="s">
        <v>148</v>
      </c>
      <c r="AE2275" s="0" t="s">
        <v>149</v>
      </c>
      <c r="AH2275" s="0" t="n">
        <v>14</v>
      </c>
      <c r="AI2275" s="0" t="n">
        <v>11</v>
      </c>
      <c r="AJ2275" s="0" t="s">
        <v>7459</v>
      </c>
      <c r="AM2275" s="0" t="s">
        <v>9929</v>
      </c>
      <c r="AN2275" s="0" t="s">
        <v>146</v>
      </c>
      <c r="AO2275" s="0" t="s">
        <v>250</v>
      </c>
      <c r="AP2275" s="0" t="s">
        <v>251</v>
      </c>
      <c r="AQ2275" s="0" t="n">
        <v>9</v>
      </c>
      <c r="AR2275" s="0" t="n">
        <v>64</v>
      </c>
      <c r="AS2275" s="0" t="n">
        <v>32</v>
      </c>
      <c r="AU2275" s="0" t="n">
        <f aca="false">COUNTA($BA$2810:$EH$2810)</f>
        <v>3</v>
      </c>
      <c r="AV2275" s="0" t="n">
        <f aca="false">COUNTIF($BA$2810:$EH$2810,"D")</f>
        <v>0</v>
      </c>
      <c r="AW2275" s="0" t="n">
        <f aca="false">COUNTIF($BA$2810:$EH$2810,"R")</f>
        <v>0</v>
      </c>
      <c r="AX2275" s="0" t="n">
        <f aca="false"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>0</v>
      </c>
      <c r="AY2275" s="0" t="n">
        <f aca="false">COUNTIF(DU2275:EH2275, "&lt;&gt;")</f>
        <v>3</v>
      </c>
      <c r="AZ2275" s="0" t="n">
        <f aca="false">IF(EH2275&lt;&gt;"",1,0)</f>
        <v>0</v>
      </c>
      <c r="BB2275" s="0" t="s">
        <v>153</v>
      </c>
      <c r="BD2275" s="0" t="s">
        <v>154</v>
      </c>
      <c r="DC2275" s="0" t="s">
        <v>154</v>
      </c>
      <c r="DI2275" s="0" t="s">
        <v>154</v>
      </c>
      <c r="DN2275" s="0" t="s">
        <v>154</v>
      </c>
      <c r="DU2275" s="0" t="s">
        <v>154</v>
      </c>
      <c r="ED2275" s="0" t="s">
        <v>176</v>
      </c>
      <c r="EF2275" s="0" t="s">
        <v>154</v>
      </c>
    </row>
    <row r="2276" customFormat="false" ht="13.8" hidden="true" customHeight="false" outlineLevel="0" collapsed="false">
      <c r="A2276" s="0" t="s">
        <v>9944</v>
      </c>
      <c r="B2276" s="0" t="n">
        <v>78</v>
      </c>
      <c r="C2276" s="0" t="n">
        <v>373871</v>
      </c>
      <c r="D2276" s="0" t="s">
        <v>1288</v>
      </c>
      <c r="E2276" s="0" t="s">
        <v>9945</v>
      </c>
      <c r="F2276" s="0" t="str">
        <f aca="false">CONCATENATE(D2276," ",LEFT(H2276,4),"T=",AU2276,"D=",AV2276,"R=",AW2276,"M=",AX2276,"L=",AY2276,"B=",AZ2276)</f>
        <v>BENNETT T=31D=0R=7M=0L=1B=0</v>
      </c>
      <c r="G2276" s="0" t="s">
        <v>222</v>
      </c>
      <c r="I2276" s="0" t="s">
        <v>9946</v>
      </c>
      <c r="J2276" s="0" t="s">
        <v>9947</v>
      </c>
      <c r="K2276" s="0" t="s">
        <v>175</v>
      </c>
      <c r="L2276" s="0"/>
      <c r="M2276" s="0" t="s">
        <v>9948</v>
      </c>
      <c r="N2276" s="0" t="str">
        <f aca="false">RIGHT(M2276,LEN(M2276)-FIND(" ",M2276))</f>
        <v>REO CT NW</v>
      </c>
      <c r="P2276" s="0" t="s">
        <v>146</v>
      </c>
      <c r="Q2276" s="0" t="s">
        <v>147</v>
      </c>
      <c r="R2276" s="0" t="n">
        <v>44483</v>
      </c>
      <c r="AD2276" s="0" t="s">
        <v>148</v>
      </c>
      <c r="AE2276" s="0" t="s">
        <v>149</v>
      </c>
      <c r="AH2276" s="0" t="n">
        <v>14</v>
      </c>
      <c r="AI2276" s="0" t="n">
        <v>11</v>
      </c>
      <c r="AJ2276" s="0" t="s">
        <v>7459</v>
      </c>
      <c r="AM2276" s="0" t="s">
        <v>9929</v>
      </c>
      <c r="AN2276" s="0" t="s">
        <v>146</v>
      </c>
      <c r="AO2276" s="0" t="s">
        <v>250</v>
      </c>
      <c r="AP2276" s="0" t="s">
        <v>251</v>
      </c>
      <c r="AQ2276" s="0" t="n">
        <v>9</v>
      </c>
      <c r="AR2276" s="0" t="n">
        <v>64</v>
      </c>
      <c r="AS2276" s="0" t="n">
        <v>32</v>
      </c>
      <c r="AU2276" s="0" t="n">
        <f aca="false">COUNTA($BA$2322:$EH$2322)</f>
        <v>31</v>
      </c>
      <c r="AV2276" s="0" t="n">
        <f aca="false">COUNTIF($BA$2322:$EH$2322,"D")</f>
        <v>0</v>
      </c>
      <c r="AW2276" s="0" t="n">
        <f aca="false">COUNTIF($BA$2322:$EH$2322,"R")</f>
        <v>7</v>
      </c>
      <c r="AX2276" s="0" t="n">
        <f aca="false"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>0</v>
      </c>
      <c r="AY2276" s="0" t="n">
        <f aca="false">COUNTIF(DU2276:EH2276, "&lt;&gt;")</f>
        <v>1</v>
      </c>
      <c r="AZ2276" s="0" t="n">
        <f aca="false">IF(EH2276&lt;&gt;"",1,0)</f>
        <v>0</v>
      </c>
      <c r="BB2276" s="0" t="s">
        <v>153</v>
      </c>
      <c r="CP2276" s="0" t="s">
        <v>154</v>
      </c>
      <c r="CY2276" s="0" t="s">
        <v>154</v>
      </c>
      <c r="CZ2276" s="0" t="s">
        <v>155</v>
      </c>
      <c r="DC2276" s="0" t="s">
        <v>154</v>
      </c>
      <c r="DI2276" s="0" t="s">
        <v>154</v>
      </c>
      <c r="DN2276" s="0" t="s">
        <v>154</v>
      </c>
      <c r="EA2276" s="0" t="s">
        <v>154</v>
      </c>
    </row>
    <row r="2277" customFormat="false" ht="13.8" hidden="false" customHeight="false" outlineLevel="0" collapsed="false">
      <c r="A2277" s="0" t="s">
        <v>9949</v>
      </c>
      <c r="B2277" s="0" t="n">
        <v>78</v>
      </c>
      <c r="C2277" s="0" t="n">
        <v>361399</v>
      </c>
      <c r="D2277" s="0" t="s">
        <v>9950</v>
      </c>
      <c r="E2277" s="0" t="s">
        <v>652</v>
      </c>
      <c r="F2277" s="0" t="str">
        <f aca="false">CONCATENATE(D2277," ",LEFT(H2277,4),"T=",AU2277,"D=",AV2277,"R=",AW2277,"M=",AX2277,"L=",AY2277,"B=",AZ2277)</f>
        <v>PRINGLE T=2D=0R=0M=0L=2B=0</v>
      </c>
      <c r="G2277" s="0" t="s">
        <v>172</v>
      </c>
      <c r="I2277" s="0" t="s">
        <v>9951</v>
      </c>
      <c r="J2277" s="0" t="s">
        <v>712</v>
      </c>
      <c r="K2277" s="0" t="s">
        <v>175</v>
      </c>
      <c r="M2277" s="0" t="s">
        <v>9948</v>
      </c>
      <c r="N2277" s="0" t="str">
        <f aca="false">RIGHT(M2277,LEN(M2277)-FIND(" ",M2277))</f>
        <v>REO CT NW</v>
      </c>
      <c r="P2277" s="0" t="s">
        <v>146</v>
      </c>
      <c r="Q2277" s="0" t="s">
        <v>147</v>
      </c>
      <c r="R2277" s="0" t="n">
        <v>44483</v>
      </c>
      <c r="AD2277" s="0" t="s">
        <v>148</v>
      </c>
      <c r="AE2277" s="0" t="s">
        <v>149</v>
      </c>
      <c r="AH2277" s="0" t="n">
        <v>14</v>
      </c>
      <c r="AI2277" s="0" t="n">
        <v>11</v>
      </c>
      <c r="AJ2277" s="0" t="s">
        <v>7459</v>
      </c>
      <c r="AM2277" s="0" t="s">
        <v>9929</v>
      </c>
      <c r="AN2277" s="0" t="s">
        <v>146</v>
      </c>
      <c r="AO2277" s="0" t="s">
        <v>250</v>
      </c>
      <c r="AP2277" s="0" t="s">
        <v>251</v>
      </c>
      <c r="AQ2277" s="0" t="n">
        <v>9</v>
      </c>
      <c r="AR2277" s="0" t="n">
        <v>64</v>
      </c>
      <c r="AS2277" s="0" t="n">
        <v>32</v>
      </c>
      <c r="AU2277" s="0" t="n">
        <f aca="false">COUNTA($BA$2666:$EH$2666)</f>
        <v>2</v>
      </c>
      <c r="AV2277" s="0" t="n">
        <f aca="false">COUNTIF($BA$2666:$EH$2666,"D")</f>
        <v>0</v>
      </c>
      <c r="AW2277" s="0" t="n">
        <f aca="false">COUNTIF($BA$2666:$EH$2666,"R")</f>
        <v>0</v>
      </c>
      <c r="AX2277" s="0" t="n">
        <f aca="false"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>0</v>
      </c>
      <c r="AY2277" s="0" t="n">
        <f aca="false">COUNTIF(DU2277:EH2277, "&lt;&gt;")</f>
        <v>2</v>
      </c>
      <c r="AZ2277" s="0" t="n">
        <f aca="false">IF(EH2277&lt;&gt;"",1,0)</f>
        <v>0</v>
      </c>
      <c r="BB2277" s="0" t="s">
        <v>153</v>
      </c>
      <c r="CA2277" s="0" t="s">
        <v>154</v>
      </c>
      <c r="CP2277" s="0" t="s">
        <v>154</v>
      </c>
      <c r="CY2277" s="0" t="s">
        <v>154</v>
      </c>
      <c r="CZ2277" s="0" t="s">
        <v>155</v>
      </c>
      <c r="DC2277" s="0" t="s">
        <v>154</v>
      </c>
      <c r="DI2277" s="0" t="s">
        <v>154</v>
      </c>
      <c r="DN2277" s="0" t="s">
        <v>154</v>
      </c>
      <c r="EA2277" s="0" t="s">
        <v>154</v>
      </c>
      <c r="EF2277" s="0" t="s">
        <v>154</v>
      </c>
    </row>
    <row r="2278" customFormat="false" ht="13.8" hidden="true" customHeight="false" outlineLevel="0" collapsed="false">
      <c r="A2278" s="0" t="s">
        <v>9952</v>
      </c>
      <c r="B2278" s="0" t="n">
        <v>78</v>
      </c>
      <c r="C2278" s="0" t="n">
        <v>439666</v>
      </c>
      <c r="D2278" s="0" t="s">
        <v>645</v>
      </c>
      <c r="E2278" s="0" t="s">
        <v>9953</v>
      </c>
      <c r="F2278" s="0" t="str">
        <f aca="false">CONCATENATE(D2278," ",LEFT(H2278,4),"T=",AU2278,"D=",AV2278,"R=",AW2278,"M=",AX2278,"L=",AY2278,"B=",AZ2278)</f>
        <v>WILLIAMS T=5D=0R=0M=0L=0B=0</v>
      </c>
      <c r="G2278" s="0" t="s">
        <v>216</v>
      </c>
      <c r="I2278" s="0" t="s">
        <v>1541</v>
      </c>
      <c r="J2278" s="0" t="s">
        <v>9954</v>
      </c>
      <c r="K2278" s="0" t="s">
        <v>144</v>
      </c>
      <c r="L2278" s="0"/>
      <c r="M2278" s="0" t="s">
        <v>9948</v>
      </c>
      <c r="N2278" s="0" t="str">
        <f aca="false">RIGHT(M2278,LEN(M2278)-FIND(" ",M2278))</f>
        <v>REO CT NW</v>
      </c>
      <c r="P2278" s="0" t="s">
        <v>146</v>
      </c>
      <c r="Q2278" s="0" t="s">
        <v>147</v>
      </c>
      <c r="R2278" s="0" t="n">
        <v>44483</v>
      </c>
      <c r="AD2278" s="0" t="s">
        <v>148</v>
      </c>
      <c r="AE2278" s="0" t="s">
        <v>149</v>
      </c>
      <c r="AH2278" s="0" t="n">
        <v>14</v>
      </c>
      <c r="AI2278" s="0" t="n">
        <v>11</v>
      </c>
      <c r="AJ2278" s="0" t="s">
        <v>7459</v>
      </c>
      <c r="AM2278" s="0" t="s">
        <v>9929</v>
      </c>
      <c r="AN2278" s="0" t="s">
        <v>146</v>
      </c>
      <c r="AO2278" s="0" t="s">
        <v>250</v>
      </c>
      <c r="AP2278" s="0" t="s">
        <v>251</v>
      </c>
      <c r="AQ2278" s="0" t="n">
        <v>9</v>
      </c>
      <c r="AR2278" s="0" t="n">
        <v>64</v>
      </c>
      <c r="AS2278" s="0" t="n">
        <v>32</v>
      </c>
      <c r="AU2278" s="0" t="n">
        <f aca="false">COUNTA($BA$2793:$EH$2793)</f>
        <v>5</v>
      </c>
      <c r="AV2278" s="0" t="n">
        <f aca="false">COUNTIF($BA$2793:$EH$2793,"D")</f>
        <v>0</v>
      </c>
      <c r="AW2278" s="0" t="n">
        <f aca="false">COUNTIF($BA$2793:$EH$2793,"R")</f>
        <v>0</v>
      </c>
      <c r="AX2278" s="0" t="n">
        <f aca="false"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>0</v>
      </c>
      <c r="AY2278" s="0" t="n">
        <f aca="false">COUNTIF(DU2278:EH2278, "&lt;&gt;")</f>
        <v>0</v>
      </c>
      <c r="AZ2278" s="0" t="n">
        <f aca="false">IF(EH2278&lt;&gt;"",1,0)</f>
        <v>0</v>
      </c>
      <c r="BB2278" s="0" t="s">
        <v>153</v>
      </c>
    </row>
    <row r="2279" customFormat="false" ht="13.8" hidden="false" customHeight="false" outlineLevel="0" collapsed="false">
      <c r="A2279" s="0" t="s">
        <v>9955</v>
      </c>
      <c r="B2279" s="0" t="n">
        <v>78</v>
      </c>
      <c r="C2279" s="0" t="n">
        <v>306600</v>
      </c>
      <c r="D2279" s="0" t="s">
        <v>974</v>
      </c>
      <c r="E2279" s="0" t="s">
        <v>9956</v>
      </c>
      <c r="F2279" s="0" t="str">
        <f aca="false">CONCATENATE(D2279," ",LEFT(H2279,4),"T=",AU2279,"D=",AV2279,"R=",AW2279,"M=",AX2279,"L=",AY2279,"B=",AZ2279)</f>
        <v>BLAIR T=6D=0R=0M=4L=5B=0</v>
      </c>
      <c r="G2279" s="0" t="s">
        <v>241</v>
      </c>
      <c r="I2279" s="0" t="s">
        <v>9957</v>
      </c>
      <c r="J2279" s="0" t="s">
        <v>4094</v>
      </c>
      <c r="K2279" s="0" t="s">
        <v>175</v>
      </c>
      <c r="L2279" s="1" t="s">
        <v>155</v>
      </c>
      <c r="M2279" s="0" t="s">
        <v>9958</v>
      </c>
      <c r="N2279" s="0" t="str">
        <f aca="false">RIGHT(M2279,LEN(M2279)-FIND(" ",M2279))</f>
        <v>REO CT NW</v>
      </c>
      <c r="P2279" s="0" t="s">
        <v>146</v>
      </c>
      <c r="Q2279" s="0" t="s">
        <v>147</v>
      </c>
      <c r="R2279" s="0" t="n">
        <v>44483</v>
      </c>
      <c r="AD2279" s="0" t="s">
        <v>148</v>
      </c>
      <c r="AE2279" s="0" t="s">
        <v>149</v>
      </c>
      <c r="AH2279" s="0" t="n">
        <v>14</v>
      </c>
      <c r="AI2279" s="0" t="n">
        <v>11</v>
      </c>
      <c r="AJ2279" s="0" t="s">
        <v>7459</v>
      </c>
      <c r="AM2279" s="0" t="s">
        <v>9929</v>
      </c>
      <c r="AN2279" s="0" t="s">
        <v>146</v>
      </c>
      <c r="AO2279" s="0" t="s">
        <v>250</v>
      </c>
      <c r="AP2279" s="0" t="s">
        <v>251</v>
      </c>
      <c r="AQ2279" s="0" t="n">
        <v>9</v>
      </c>
      <c r="AR2279" s="0" t="n">
        <v>64</v>
      </c>
      <c r="AS2279" s="0" t="n">
        <v>32</v>
      </c>
      <c r="AU2279" s="0" t="n">
        <f aca="false">COUNTA($BA$2771:$EH$2771)</f>
        <v>6</v>
      </c>
      <c r="AV2279" s="0" t="n">
        <f aca="false">COUNTIF($BA$2771:$EH$2771,"D")</f>
        <v>0</v>
      </c>
      <c r="AW2279" s="0" t="n">
        <f aca="false">COUNTIF($BA$2771:$EH$2771,"R")</f>
        <v>0</v>
      </c>
      <c r="AX2279" s="0" t="n">
        <f aca="false"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>4</v>
      </c>
      <c r="AY2279" s="0" t="n">
        <f aca="false">COUNTIF(DU2279:EH2279, "&lt;&gt;")</f>
        <v>5</v>
      </c>
      <c r="AZ2279" s="0" t="n">
        <f aca="false">IF(EH2279&lt;&gt;"",1,0)</f>
        <v>0</v>
      </c>
      <c r="BB2279" s="0" t="s">
        <v>153</v>
      </c>
      <c r="BH2279" s="0" t="s">
        <v>154</v>
      </c>
      <c r="BL2279" s="0" t="s">
        <v>154</v>
      </c>
      <c r="BP2279" s="0" t="s">
        <v>154</v>
      </c>
      <c r="BR2279" s="0" t="s">
        <v>154</v>
      </c>
      <c r="BS2279" s="0" t="s">
        <v>154</v>
      </c>
      <c r="BV2279" s="0" t="s">
        <v>154</v>
      </c>
      <c r="BY2279" s="0" t="s">
        <v>155</v>
      </c>
      <c r="CA2279" s="0" t="s">
        <v>154</v>
      </c>
      <c r="CG2279" s="0" t="s">
        <v>154</v>
      </c>
      <c r="CH2279" s="0" t="s">
        <v>155</v>
      </c>
      <c r="CK2279" s="0" t="s">
        <v>154</v>
      </c>
      <c r="CL2279" s="0" t="s">
        <v>155</v>
      </c>
      <c r="CP2279" s="0" t="s">
        <v>154</v>
      </c>
      <c r="CQ2279" s="0" t="s">
        <v>155</v>
      </c>
      <c r="CT2279" s="0" t="s">
        <v>154</v>
      </c>
      <c r="CU2279" s="0" t="s">
        <v>155</v>
      </c>
      <c r="CV2279" s="0" t="s">
        <v>154</v>
      </c>
      <c r="CW2279" s="0" t="s">
        <v>155</v>
      </c>
      <c r="CY2279" s="0" t="s">
        <v>154</v>
      </c>
      <c r="CZ2279" s="0" t="s">
        <v>155</v>
      </c>
      <c r="DC2279" s="0" t="s">
        <v>154</v>
      </c>
      <c r="DF2279" s="0" t="s">
        <v>154</v>
      </c>
      <c r="DI2279" s="0" t="s">
        <v>154</v>
      </c>
      <c r="DN2279" s="0" t="s">
        <v>154</v>
      </c>
      <c r="DR2279" s="0" t="s">
        <v>154</v>
      </c>
      <c r="DU2279" s="0" t="s">
        <v>154</v>
      </c>
      <c r="DW2279" s="0" t="s">
        <v>155</v>
      </c>
      <c r="DX2279" s="0" t="s">
        <v>154</v>
      </c>
      <c r="EA2279" s="0" t="s">
        <v>154</v>
      </c>
      <c r="EF2279" s="0" t="s">
        <v>154</v>
      </c>
    </row>
    <row r="2280" customFormat="false" ht="13.8" hidden="true" customHeight="false" outlineLevel="0" collapsed="false">
      <c r="A2280" s="0" t="s">
        <v>9959</v>
      </c>
      <c r="B2280" s="0" t="n">
        <v>78</v>
      </c>
      <c r="C2280" s="0" t="n">
        <v>438182</v>
      </c>
      <c r="D2280" s="0" t="s">
        <v>1628</v>
      </c>
      <c r="E2280" s="0" t="s">
        <v>9960</v>
      </c>
      <c r="F2280" s="0" t="str">
        <f aca="false">CONCATENATE(D2280," ",LEFT(H2280,4),"T=",AU2280,"D=",AV2280,"R=",AW2280,"M=",AX2280,"L=",AY2280,"B=",AZ2280)</f>
        <v>REYNOLDS T=4D=2R=0M=0L=0B=0</v>
      </c>
      <c r="G2280" s="0" t="s">
        <v>629</v>
      </c>
      <c r="I2280" s="0" t="s">
        <v>9961</v>
      </c>
      <c r="J2280" s="0" t="s">
        <v>1042</v>
      </c>
      <c r="K2280" s="0" t="s">
        <v>175</v>
      </c>
      <c r="L2280" s="0"/>
      <c r="M2280" s="0" t="s">
        <v>9962</v>
      </c>
      <c r="N2280" s="0" t="str">
        <f aca="false">RIGHT(M2280,LEN(M2280)-FIND(" ",M2280))</f>
        <v>REO CT NW</v>
      </c>
      <c r="P2280" s="0" t="s">
        <v>146</v>
      </c>
      <c r="Q2280" s="0" t="s">
        <v>147</v>
      </c>
      <c r="R2280" s="0" t="n">
        <v>44483</v>
      </c>
      <c r="AD2280" s="0" t="s">
        <v>148</v>
      </c>
      <c r="AE2280" s="0" t="s">
        <v>149</v>
      </c>
      <c r="AH2280" s="0" t="n">
        <v>14</v>
      </c>
      <c r="AI2280" s="0" t="n">
        <v>11</v>
      </c>
      <c r="AJ2280" s="0" t="s">
        <v>7459</v>
      </c>
      <c r="AM2280" s="0" t="s">
        <v>9929</v>
      </c>
      <c r="AN2280" s="0" t="s">
        <v>146</v>
      </c>
      <c r="AO2280" s="0" t="s">
        <v>250</v>
      </c>
      <c r="AP2280" s="0" t="s">
        <v>251</v>
      </c>
      <c r="AQ2280" s="0" t="n">
        <v>9</v>
      </c>
      <c r="AR2280" s="0" t="n">
        <v>64</v>
      </c>
      <c r="AS2280" s="0" t="n">
        <v>32</v>
      </c>
      <c r="AU2280" s="0" t="n">
        <f aca="false">COUNTA($BA$2802:$EH$2802)</f>
        <v>4</v>
      </c>
      <c r="AV2280" s="0" t="n">
        <f aca="false">COUNTIF($BA$2802:$EH$2802,"D")</f>
        <v>2</v>
      </c>
      <c r="AW2280" s="0" t="n">
        <f aca="false">COUNTIF($BA$2802:$EH$2802,"R")</f>
        <v>0</v>
      </c>
      <c r="AX2280" s="0" t="n">
        <f aca="false"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>0</v>
      </c>
      <c r="AY2280" s="0" t="n">
        <f aca="false">COUNTIF(DU2280:EH2280, "&lt;&gt;")</f>
        <v>0</v>
      </c>
      <c r="AZ2280" s="0" t="n">
        <f aca="false">IF(EH2280&lt;&gt;"",1,0)</f>
        <v>0</v>
      </c>
      <c r="BB2280" s="0" t="s">
        <v>153</v>
      </c>
    </row>
    <row r="2281" customFormat="false" ht="13.8" hidden="true" customHeight="false" outlineLevel="0" collapsed="false">
      <c r="A2281" s="0" t="s">
        <v>9963</v>
      </c>
      <c r="B2281" s="0" t="n">
        <v>78</v>
      </c>
      <c r="C2281" s="0" t="n">
        <v>375490</v>
      </c>
      <c r="D2281" s="0" t="s">
        <v>410</v>
      </c>
      <c r="E2281" s="0" t="s">
        <v>9964</v>
      </c>
      <c r="F2281" s="0" t="str">
        <f aca="false">CONCATENATE(D2281," ",LEFT(H2281,4),"T=",AU2281,"D=",AV2281,"R=",AW2281,"M=",AX2281,"L=",AY2281,"B=",AZ2281)</f>
        <v>PRICE T=10D=1R=0M=0L=0B=0</v>
      </c>
      <c r="G2281" s="0" t="s">
        <v>202</v>
      </c>
      <c r="I2281" s="0" t="s">
        <v>9965</v>
      </c>
      <c r="J2281" s="0" t="s">
        <v>9966</v>
      </c>
      <c r="K2281" s="0" t="s">
        <v>144</v>
      </c>
      <c r="L2281" s="0"/>
      <c r="M2281" s="0" t="s">
        <v>9967</v>
      </c>
      <c r="N2281" s="0" t="str">
        <f aca="false">RIGHT(M2281,LEN(M2281)-FIND(" ",M2281))</f>
        <v>REO CT NW</v>
      </c>
      <c r="P2281" s="0" t="s">
        <v>146</v>
      </c>
      <c r="Q2281" s="0" t="s">
        <v>147</v>
      </c>
      <c r="R2281" s="0" t="n">
        <v>44483</v>
      </c>
      <c r="AD2281" s="0" t="s">
        <v>148</v>
      </c>
      <c r="AE2281" s="0" t="s">
        <v>149</v>
      </c>
      <c r="AH2281" s="0" t="n">
        <v>14</v>
      </c>
      <c r="AI2281" s="0" t="n">
        <v>11</v>
      </c>
      <c r="AJ2281" s="0" t="s">
        <v>7459</v>
      </c>
      <c r="AM2281" s="0" t="s">
        <v>9929</v>
      </c>
      <c r="AN2281" s="0" t="s">
        <v>146</v>
      </c>
      <c r="AO2281" s="0" t="s">
        <v>250</v>
      </c>
      <c r="AP2281" s="0" t="s">
        <v>251</v>
      </c>
      <c r="AQ2281" s="0" t="n">
        <v>9</v>
      </c>
      <c r="AR2281" s="0" t="n">
        <v>64</v>
      </c>
      <c r="AS2281" s="0" t="n">
        <v>32</v>
      </c>
      <c r="AU2281" s="0" t="n">
        <f aca="false">COUNTA($BA$2286:$EH$2286)</f>
        <v>10</v>
      </c>
      <c r="AV2281" s="0" t="n">
        <f aca="false">COUNTIF($BA$2286:$EH$2286,"D")</f>
        <v>1</v>
      </c>
      <c r="AW2281" s="0" t="n">
        <f aca="false">COUNTIF($BA$2286:$EH$2286,"R")</f>
        <v>0</v>
      </c>
      <c r="AX2281" s="0" t="n">
        <f aca="false"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>0</v>
      </c>
      <c r="AY2281" s="0" t="n">
        <f aca="false">COUNTIF(DU2281:EH2281, "&lt;&gt;")</f>
        <v>0</v>
      </c>
      <c r="AZ2281" s="0" t="n">
        <f aca="false">IF(EH2281&lt;&gt;"",1,0)</f>
        <v>0</v>
      </c>
      <c r="BB2281" s="0" t="s">
        <v>153</v>
      </c>
      <c r="DC2281" s="0" t="s">
        <v>154</v>
      </c>
    </row>
    <row r="2282" customFormat="false" ht="13.8" hidden="true" customHeight="false" outlineLevel="0" collapsed="false">
      <c r="A2282" s="0" t="s">
        <v>9968</v>
      </c>
      <c r="B2282" s="0" t="n">
        <v>78</v>
      </c>
      <c r="C2282" s="0" t="n">
        <v>361162</v>
      </c>
      <c r="D2282" s="0" t="s">
        <v>291</v>
      </c>
      <c r="E2282" s="0" t="s">
        <v>1283</v>
      </c>
      <c r="F2282" s="0" t="str">
        <f aca="false">CONCATENATE(D2282," ",LEFT(H2282,4),"T=",AU2282,"D=",AV2282,"R=",AW2282,"M=",AX2282,"L=",AY2282,"B=",AZ2282)</f>
        <v>HARVEY T=5D=0R=0M=0L=0B=0</v>
      </c>
      <c r="G2282" s="0" t="s">
        <v>176</v>
      </c>
      <c r="I2282" s="0" t="s">
        <v>9969</v>
      </c>
      <c r="J2282" s="0" t="s">
        <v>1854</v>
      </c>
      <c r="K2282" s="0" t="s">
        <v>144</v>
      </c>
      <c r="L2282" s="0"/>
      <c r="M2282" s="0" t="s">
        <v>9970</v>
      </c>
      <c r="N2282" s="0" t="str">
        <f aca="false">RIGHT(M2282,LEN(M2282)-FIND(" ",M2282))</f>
        <v>REO CT NW</v>
      </c>
      <c r="P2282" s="0" t="s">
        <v>146</v>
      </c>
      <c r="Q2282" s="0" t="s">
        <v>147</v>
      </c>
      <c r="R2282" s="0" t="n">
        <v>44483</v>
      </c>
      <c r="AD2282" s="0" t="s">
        <v>148</v>
      </c>
      <c r="AE2282" s="0" t="s">
        <v>149</v>
      </c>
      <c r="AH2282" s="0" t="n">
        <v>14</v>
      </c>
      <c r="AI2282" s="0" t="n">
        <v>11</v>
      </c>
      <c r="AJ2282" s="0" t="s">
        <v>7459</v>
      </c>
      <c r="AM2282" s="0" t="s">
        <v>9929</v>
      </c>
      <c r="AN2282" s="0" t="s">
        <v>146</v>
      </c>
      <c r="AO2282" s="0" t="s">
        <v>250</v>
      </c>
      <c r="AP2282" s="0" t="s">
        <v>251</v>
      </c>
      <c r="AQ2282" s="0" t="n">
        <v>9</v>
      </c>
      <c r="AR2282" s="0" t="n">
        <v>64</v>
      </c>
      <c r="AS2282" s="0" t="n">
        <v>32</v>
      </c>
      <c r="AU2282" s="0" t="n">
        <f aca="false">COUNTA($BA$2105:$EH$2105)</f>
        <v>5</v>
      </c>
      <c r="AV2282" s="0" t="n">
        <f aca="false">COUNTIF($BA$2105:$EH$2105,"D")</f>
        <v>0</v>
      </c>
      <c r="AW2282" s="0" t="n">
        <f aca="false">COUNTIF($BA$2105:$EH$2105,"R")</f>
        <v>0</v>
      </c>
      <c r="AX2282" s="0" t="n">
        <f aca="false"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>0</v>
      </c>
      <c r="AY2282" s="0" t="n">
        <f aca="false">COUNTIF(DU2282:EH2282, "&lt;&gt;")</f>
        <v>0</v>
      </c>
      <c r="AZ2282" s="0" t="n">
        <f aca="false">IF(EH2282&lt;&gt;"",1,0)</f>
        <v>0</v>
      </c>
      <c r="BB2282" s="0" t="s">
        <v>153</v>
      </c>
    </row>
    <row r="2283" customFormat="false" ht="13.8" hidden="true" customHeight="false" outlineLevel="0" collapsed="false">
      <c r="A2283" s="0" t="s">
        <v>9971</v>
      </c>
      <c r="B2283" s="0" t="n">
        <v>78</v>
      </c>
      <c r="C2283" s="0" t="n">
        <v>446634</v>
      </c>
      <c r="D2283" s="0" t="s">
        <v>1836</v>
      </c>
      <c r="E2283" s="0" t="s">
        <v>9972</v>
      </c>
      <c r="F2283" s="0" t="str">
        <f aca="false">CONCATENATE(D2283," ",LEFT(H2283,4),"T=",AU2283,"D=",AV2283,"R=",AW2283,"M=",AX2283,"L=",AY2283,"B=",AZ2283)</f>
        <v>EDWARDS T=2D=0R=0M=0L=0B=0</v>
      </c>
      <c r="G2283" s="0" t="s">
        <v>155</v>
      </c>
      <c r="I2283" s="0" t="s">
        <v>9973</v>
      </c>
      <c r="J2283" s="0" t="s">
        <v>4771</v>
      </c>
      <c r="K2283" s="0" t="s">
        <v>144</v>
      </c>
      <c r="L2283" s="0"/>
      <c r="M2283" s="0" t="s">
        <v>9974</v>
      </c>
      <c r="N2283" s="0" t="str">
        <f aca="false">RIGHT(M2283,LEN(M2283)-FIND(" ",M2283))</f>
        <v>REO CT NW</v>
      </c>
      <c r="P2283" s="0" t="s">
        <v>146</v>
      </c>
      <c r="Q2283" s="0" t="s">
        <v>147</v>
      </c>
      <c r="R2283" s="0" t="n">
        <v>44483</v>
      </c>
      <c r="AD2283" s="0" t="s">
        <v>148</v>
      </c>
      <c r="AE2283" s="0" t="s">
        <v>149</v>
      </c>
      <c r="AH2283" s="0" t="n">
        <v>14</v>
      </c>
      <c r="AI2283" s="0" t="n">
        <v>11</v>
      </c>
      <c r="AJ2283" s="0" t="s">
        <v>7459</v>
      </c>
      <c r="AM2283" s="0" t="s">
        <v>9929</v>
      </c>
      <c r="AN2283" s="0" t="s">
        <v>146</v>
      </c>
      <c r="AO2283" s="0" t="s">
        <v>250</v>
      </c>
      <c r="AP2283" s="0" t="s">
        <v>251</v>
      </c>
      <c r="AQ2283" s="0" t="n">
        <v>9</v>
      </c>
      <c r="AR2283" s="0" t="n">
        <v>64</v>
      </c>
      <c r="AS2283" s="0" t="n">
        <v>32</v>
      </c>
      <c r="AU2283" s="0" t="n">
        <f aca="false">COUNTA($BA$2160:$EH$2160)</f>
        <v>2</v>
      </c>
      <c r="AV2283" s="0" t="n">
        <f aca="false">COUNTIF($BA$2160:$EH$2160,"D")</f>
        <v>0</v>
      </c>
      <c r="AW2283" s="0" t="n">
        <f aca="false">COUNTIF($BA$2160:$EH$2160,"R")</f>
        <v>0</v>
      </c>
      <c r="AX2283" s="0" t="n">
        <f aca="false"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>0</v>
      </c>
      <c r="AY2283" s="0" t="n">
        <f aca="false">COUNTIF(DU2283:EH2283, "&lt;&gt;")</f>
        <v>0</v>
      </c>
      <c r="AZ2283" s="0" t="n">
        <f aca="false">IF(EH2283&lt;&gt;"",1,0)</f>
        <v>0</v>
      </c>
      <c r="BB2283" s="0" t="s">
        <v>153</v>
      </c>
    </row>
    <row r="2284" customFormat="false" ht="13.8" hidden="true" customHeight="false" outlineLevel="0" collapsed="false">
      <c r="A2284" s="0" t="s">
        <v>9975</v>
      </c>
      <c r="B2284" s="0" t="n">
        <v>78</v>
      </c>
      <c r="C2284" s="0" t="n">
        <v>437758</v>
      </c>
      <c r="D2284" s="0" t="s">
        <v>9976</v>
      </c>
      <c r="E2284" s="0" t="s">
        <v>9977</v>
      </c>
      <c r="F2284" s="0" t="str">
        <f aca="false">CONCATENATE(D2284," ",LEFT(H2284,4),"T=",AU2284,"D=",AV2284,"R=",AW2284,"M=",AX2284,"L=",AY2284,"B=",AZ2284)</f>
        <v>CORE EDWARDS T=1D=0R=0M=0L=0B=0</v>
      </c>
      <c r="G2284" s="0" t="s">
        <v>1536</v>
      </c>
      <c r="I2284" s="0" t="s">
        <v>9973</v>
      </c>
      <c r="J2284" s="0" t="s">
        <v>9563</v>
      </c>
      <c r="K2284" s="0" t="s">
        <v>144</v>
      </c>
      <c r="L2284" s="0"/>
      <c r="M2284" s="0" t="s">
        <v>9974</v>
      </c>
      <c r="N2284" s="0" t="str">
        <f aca="false">RIGHT(M2284,LEN(M2284)-FIND(" ",M2284))</f>
        <v>REO CT NW</v>
      </c>
      <c r="P2284" s="0" t="s">
        <v>146</v>
      </c>
      <c r="Q2284" s="0" t="s">
        <v>147</v>
      </c>
      <c r="R2284" s="0" t="n">
        <v>44483</v>
      </c>
      <c r="AD2284" s="0" t="s">
        <v>148</v>
      </c>
      <c r="AE2284" s="0" t="s">
        <v>149</v>
      </c>
      <c r="AH2284" s="0" t="n">
        <v>14</v>
      </c>
      <c r="AI2284" s="0" t="n">
        <v>11</v>
      </c>
      <c r="AJ2284" s="0" t="s">
        <v>7459</v>
      </c>
      <c r="AM2284" s="0" t="s">
        <v>9929</v>
      </c>
      <c r="AN2284" s="0" t="s">
        <v>146</v>
      </c>
      <c r="AO2284" s="0" t="s">
        <v>250</v>
      </c>
      <c r="AP2284" s="0" t="s">
        <v>251</v>
      </c>
      <c r="AQ2284" s="0" t="n">
        <v>9</v>
      </c>
      <c r="AR2284" s="0" t="n">
        <v>64</v>
      </c>
      <c r="AS2284" s="0" t="n">
        <v>32</v>
      </c>
      <c r="AU2284" s="0" t="n">
        <f aca="false">COUNTA($BA$2325:$EH$2325)</f>
        <v>1</v>
      </c>
      <c r="AV2284" s="0" t="n">
        <f aca="false">COUNTIF($BA$2325:$EH$2325,"D")</f>
        <v>0</v>
      </c>
      <c r="AW2284" s="0" t="n">
        <f aca="false">COUNTIF($BA$2325:$EH$2325,"R")</f>
        <v>0</v>
      </c>
      <c r="AX2284" s="0" t="n">
        <f aca="false"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>0</v>
      </c>
      <c r="AY2284" s="0" t="n">
        <f aca="false">COUNTIF(DU2284:EH2284, "&lt;&gt;")</f>
        <v>0</v>
      </c>
      <c r="AZ2284" s="0" t="n">
        <f aca="false">IF(EH2284&lt;&gt;"",1,0)</f>
        <v>0</v>
      </c>
      <c r="BB2284" s="0" t="s">
        <v>153</v>
      </c>
    </row>
    <row r="2285" customFormat="false" ht="13.8" hidden="true" customHeight="false" outlineLevel="0" collapsed="false">
      <c r="A2285" s="0" t="s">
        <v>9978</v>
      </c>
      <c r="B2285" s="0" t="n">
        <v>78</v>
      </c>
      <c r="C2285" s="0" t="n">
        <v>396444</v>
      </c>
      <c r="D2285" s="0" t="s">
        <v>9979</v>
      </c>
      <c r="E2285" s="0" t="s">
        <v>417</v>
      </c>
      <c r="F2285" s="0" t="str">
        <f aca="false">CONCATENATE(D2285," ",LEFT(H2285,4),"T=",AU2285,"D=",AV2285,"R=",AW2285,"M=",AX2285,"L=",AY2285,"B=",AZ2285)</f>
        <v>ROUNDS T=23D=5R=1M=0L=0B=0</v>
      </c>
      <c r="G2285" s="0" t="s">
        <v>181</v>
      </c>
      <c r="I2285" s="0" t="s">
        <v>9980</v>
      </c>
      <c r="J2285" s="0" t="s">
        <v>9981</v>
      </c>
      <c r="K2285" s="0" t="s">
        <v>175</v>
      </c>
      <c r="L2285" s="0"/>
      <c r="M2285" s="0" t="s">
        <v>9974</v>
      </c>
      <c r="N2285" s="0" t="str">
        <f aca="false">RIGHT(M2285,LEN(M2285)-FIND(" ",M2285))</f>
        <v>REO CT NW</v>
      </c>
      <c r="P2285" s="0" t="s">
        <v>146</v>
      </c>
      <c r="Q2285" s="0" t="s">
        <v>147</v>
      </c>
      <c r="R2285" s="0" t="n">
        <v>44483</v>
      </c>
      <c r="AD2285" s="0" t="s">
        <v>148</v>
      </c>
      <c r="AE2285" s="0" t="s">
        <v>149</v>
      </c>
      <c r="AH2285" s="0" t="n">
        <v>14</v>
      </c>
      <c r="AI2285" s="0" t="n">
        <v>11</v>
      </c>
      <c r="AJ2285" s="0" t="s">
        <v>7459</v>
      </c>
      <c r="AM2285" s="0" t="s">
        <v>9929</v>
      </c>
      <c r="AN2285" s="0" t="s">
        <v>146</v>
      </c>
      <c r="AO2285" s="0" t="s">
        <v>250</v>
      </c>
      <c r="AP2285" s="0" t="s">
        <v>251</v>
      </c>
      <c r="AQ2285" s="0" t="n">
        <v>9</v>
      </c>
      <c r="AR2285" s="0" t="n">
        <v>64</v>
      </c>
      <c r="AS2285" s="0" t="n">
        <v>32</v>
      </c>
      <c r="AU2285" s="0" t="n">
        <f aca="false">COUNTA($BA$2755:$EH$2755)</f>
        <v>23</v>
      </c>
      <c r="AV2285" s="0" t="n">
        <f aca="false">COUNTIF($BA$2755:$EH$2755,"D")</f>
        <v>5</v>
      </c>
      <c r="AW2285" s="0" t="n">
        <f aca="false">COUNTIF($BA$2755:$EH$2755,"R")</f>
        <v>1</v>
      </c>
      <c r="AX2285" s="0" t="n">
        <f aca="false"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>0</v>
      </c>
      <c r="AY2285" s="0" t="n">
        <f aca="false">COUNTIF(DU2285:EH2285, "&lt;&gt;")</f>
        <v>0</v>
      </c>
      <c r="AZ2285" s="0" t="n">
        <f aca="false">IF(EH2285&lt;&gt;"",1,0)</f>
        <v>0</v>
      </c>
      <c r="BB2285" s="0" t="s">
        <v>153</v>
      </c>
      <c r="DC2285" s="0" t="s">
        <v>154</v>
      </c>
      <c r="DN2285" s="0" t="s">
        <v>154</v>
      </c>
    </row>
    <row r="2286" customFormat="false" ht="13.8" hidden="false" customHeight="false" outlineLevel="0" collapsed="false">
      <c r="A2286" s="0" t="s">
        <v>9982</v>
      </c>
      <c r="B2286" s="0" t="n">
        <v>78</v>
      </c>
      <c r="C2286" s="0" t="n">
        <v>359686</v>
      </c>
      <c r="D2286" s="0" t="s">
        <v>8901</v>
      </c>
      <c r="E2286" s="0" t="s">
        <v>9983</v>
      </c>
      <c r="F2286" s="0" t="str">
        <f aca="false">CONCATENATE(D2286," ",LEFT(H2286,4),"T=",AU2286,"D=",AV2286,"R=",AW2286,"M=",AX2286,"L=",AY2286,"B=",AZ2286)</f>
        <v>DANIELS T=3D=0R=0M=1L=2B=0</v>
      </c>
      <c r="G2286" s="0" t="s">
        <v>9984</v>
      </c>
      <c r="I2286" s="0" t="s">
        <v>9985</v>
      </c>
      <c r="J2286" s="0" t="s">
        <v>886</v>
      </c>
      <c r="K2286" s="0" t="s">
        <v>175</v>
      </c>
      <c r="M2286" s="0" t="s">
        <v>9986</v>
      </c>
      <c r="N2286" s="0" t="str">
        <f aca="false">RIGHT(M2286,LEN(M2286)-FIND(" ",M2286))</f>
        <v>REO CT NW</v>
      </c>
      <c r="P2286" s="0" t="s">
        <v>146</v>
      </c>
      <c r="Q2286" s="0" t="s">
        <v>147</v>
      </c>
      <c r="R2286" s="0" t="n">
        <v>44483</v>
      </c>
      <c r="AD2286" s="0" t="s">
        <v>148</v>
      </c>
      <c r="AE2286" s="0" t="s">
        <v>149</v>
      </c>
      <c r="AH2286" s="0" t="n">
        <v>14</v>
      </c>
      <c r="AI2286" s="0" t="n">
        <v>11</v>
      </c>
      <c r="AJ2286" s="0" t="s">
        <v>7459</v>
      </c>
      <c r="AM2286" s="0" t="s">
        <v>9929</v>
      </c>
      <c r="AN2286" s="0" t="s">
        <v>146</v>
      </c>
      <c r="AO2286" s="0" t="s">
        <v>250</v>
      </c>
      <c r="AP2286" s="0" t="s">
        <v>251</v>
      </c>
      <c r="AQ2286" s="0" t="n">
        <v>9</v>
      </c>
      <c r="AR2286" s="0" t="n">
        <v>64</v>
      </c>
      <c r="AS2286" s="0" t="n">
        <v>32</v>
      </c>
      <c r="AU2286" s="0" t="n">
        <f aca="false">COUNTA($BA$2285:$EH$2285)</f>
        <v>3</v>
      </c>
      <c r="AV2286" s="0" t="n">
        <f aca="false">COUNTIF($BA$2285:$EH$2285,"D")</f>
        <v>0</v>
      </c>
      <c r="AW2286" s="0" t="n">
        <f aca="false">COUNTIF($BA$2285:$EH$2285,"R")</f>
        <v>0</v>
      </c>
      <c r="AX2286" s="0" t="n">
        <f aca="false"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>1</v>
      </c>
      <c r="AY2286" s="0" t="n">
        <f aca="false">COUNTIF(DU2286:EH2286, "&lt;&gt;")</f>
        <v>2</v>
      </c>
      <c r="AZ2286" s="0" t="n">
        <f aca="false">IF(EH2286&lt;&gt;"",1,0)</f>
        <v>0</v>
      </c>
      <c r="BB2286" s="0" t="s">
        <v>153</v>
      </c>
      <c r="CA2286" s="0" t="s">
        <v>154</v>
      </c>
      <c r="CP2286" s="0" t="s">
        <v>154</v>
      </c>
      <c r="CW2286" s="0" t="s">
        <v>155</v>
      </c>
      <c r="CY2286" s="0" t="s">
        <v>154</v>
      </c>
      <c r="DC2286" s="0" t="s">
        <v>154</v>
      </c>
      <c r="DI2286" s="0" t="s">
        <v>154</v>
      </c>
      <c r="DN2286" s="0" t="s">
        <v>154</v>
      </c>
      <c r="EA2286" s="0" t="s">
        <v>154</v>
      </c>
      <c r="EF2286" s="0" t="s">
        <v>154</v>
      </c>
    </row>
    <row r="2287" customFormat="false" ht="13.8" hidden="true" customHeight="false" outlineLevel="0" collapsed="false">
      <c r="A2287" s="0" t="s">
        <v>9987</v>
      </c>
      <c r="B2287" s="0" t="n">
        <v>78</v>
      </c>
      <c r="C2287" s="0" t="n">
        <v>390253</v>
      </c>
      <c r="D2287" s="0" t="s">
        <v>9988</v>
      </c>
      <c r="E2287" s="0" t="s">
        <v>2031</v>
      </c>
      <c r="F2287" s="0" t="str">
        <f aca="false">CONCATENATE(D2287," ",LEFT(H2287,4),"T=",AU2287,"D=",AV2287,"R=",AW2287,"M=",AX2287,"L=",AY2287,"B=",AZ2287)</f>
        <v>HOWARD DANIELS T=1D=0R=0M=0L=1B=0</v>
      </c>
      <c r="G2287" s="0" t="s">
        <v>297</v>
      </c>
      <c r="I2287" s="0" t="s">
        <v>9989</v>
      </c>
      <c r="J2287" s="0" t="s">
        <v>9990</v>
      </c>
      <c r="K2287" s="0" t="s">
        <v>175</v>
      </c>
      <c r="L2287" s="0"/>
      <c r="M2287" s="0" t="s">
        <v>9986</v>
      </c>
      <c r="N2287" s="0" t="str">
        <f aca="false">RIGHT(M2287,LEN(M2287)-FIND(" ",M2287))</f>
        <v>REO CT NW</v>
      </c>
      <c r="P2287" s="0" t="s">
        <v>146</v>
      </c>
      <c r="Q2287" s="0" t="s">
        <v>147</v>
      </c>
      <c r="R2287" s="0" t="n">
        <v>44483</v>
      </c>
      <c r="AD2287" s="0" t="s">
        <v>148</v>
      </c>
      <c r="AE2287" s="0" t="s">
        <v>149</v>
      </c>
      <c r="AH2287" s="0" t="n">
        <v>14</v>
      </c>
      <c r="AI2287" s="0" t="n">
        <v>11</v>
      </c>
      <c r="AJ2287" s="0" t="s">
        <v>7459</v>
      </c>
      <c r="AM2287" s="0" t="s">
        <v>9929</v>
      </c>
      <c r="AN2287" s="0" t="s">
        <v>146</v>
      </c>
      <c r="AO2287" s="0" t="s">
        <v>250</v>
      </c>
      <c r="AP2287" s="0" t="s">
        <v>251</v>
      </c>
      <c r="AQ2287" s="0" t="n">
        <v>9</v>
      </c>
      <c r="AR2287" s="0" t="n">
        <v>64</v>
      </c>
      <c r="AS2287" s="0" t="n">
        <v>32</v>
      </c>
      <c r="AU2287" s="0" t="n">
        <f aca="false">COUNTA($BA$2390:$EH$2390)</f>
        <v>1</v>
      </c>
      <c r="AV2287" s="0" t="n">
        <f aca="false">COUNTIF($BA$2390:$EH$2390,"D")</f>
        <v>0</v>
      </c>
      <c r="AW2287" s="0" t="n">
        <f aca="false">COUNTIF($BA$2390:$EH$2390,"R")</f>
        <v>0</v>
      </c>
      <c r="AX2287" s="0" t="n">
        <f aca="false"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>0</v>
      </c>
      <c r="AY2287" s="0" t="n">
        <f aca="false">COUNTIF(DU2287:EH2287, "&lt;&gt;")</f>
        <v>1</v>
      </c>
      <c r="AZ2287" s="0" t="n">
        <f aca="false">IF(EH2287&lt;&gt;"",1,0)</f>
        <v>0</v>
      </c>
      <c r="BB2287" s="0" t="s">
        <v>153</v>
      </c>
      <c r="CP2287" s="0" t="s">
        <v>154</v>
      </c>
      <c r="DC2287" s="0" t="s">
        <v>154</v>
      </c>
      <c r="DI2287" s="0" t="s">
        <v>154</v>
      </c>
      <c r="DN2287" s="0" t="s">
        <v>154</v>
      </c>
      <c r="EF2287" s="0" t="s">
        <v>154</v>
      </c>
    </row>
    <row r="2288" customFormat="false" ht="13.8" hidden="true" customHeight="false" outlineLevel="0" collapsed="false">
      <c r="A2288" s="0" t="s">
        <v>9991</v>
      </c>
      <c r="B2288" s="0" t="n">
        <v>78</v>
      </c>
      <c r="C2288" s="0" t="n">
        <v>382126</v>
      </c>
      <c r="D2288" s="0" t="s">
        <v>9992</v>
      </c>
      <c r="E2288" s="0" t="s">
        <v>1788</v>
      </c>
      <c r="F2288" s="0" t="str">
        <f aca="false">CONCATENATE(D2288," ",LEFT(H2288,4),"T=",AU2288,"D=",AV2288,"R=",AW2288,"M=",AX2288,"L=",AY2288,"B=",AZ2288)</f>
        <v>COLEMAN T=1D=0R=0M=0L=1B=0</v>
      </c>
      <c r="G2288" s="0" t="s">
        <v>297</v>
      </c>
      <c r="I2288" s="0" t="s">
        <v>9993</v>
      </c>
      <c r="J2288" s="0" t="s">
        <v>2994</v>
      </c>
      <c r="K2288" s="0" t="s">
        <v>175</v>
      </c>
      <c r="L2288" s="0"/>
      <c r="M2288" s="0" t="s">
        <v>9994</v>
      </c>
      <c r="N2288" s="0" t="str">
        <f aca="false">RIGHT(M2288,LEN(M2288)-FIND(" ",M2288))</f>
        <v>REX BLVD NW</v>
      </c>
      <c r="P2288" s="0" t="s">
        <v>146</v>
      </c>
      <c r="Q2288" s="0" t="s">
        <v>147</v>
      </c>
      <c r="R2288" s="0" t="n">
        <v>44483</v>
      </c>
      <c r="AD2288" s="0" t="s">
        <v>148</v>
      </c>
      <c r="AE2288" s="0" t="s">
        <v>149</v>
      </c>
      <c r="AF2288" s="0" t="s">
        <v>150</v>
      </c>
      <c r="AH2288" s="0" t="n">
        <v>14</v>
      </c>
      <c r="AI2288" s="0" t="n">
        <v>11</v>
      </c>
      <c r="AN2288" s="0" t="s">
        <v>146</v>
      </c>
      <c r="AO2288" s="0" t="s">
        <v>151</v>
      </c>
      <c r="AP2288" s="0" t="s">
        <v>152</v>
      </c>
      <c r="AQ2288" s="0" t="n">
        <v>9</v>
      </c>
      <c r="AR2288" s="0" t="n">
        <v>64</v>
      </c>
      <c r="AS2288" s="0" t="n">
        <v>32</v>
      </c>
      <c r="AU2288" s="0" t="n">
        <f aca="false">COUNTA($BA$1759:$EH$1759)</f>
        <v>1</v>
      </c>
      <c r="AV2288" s="0" t="n">
        <f aca="false">COUNTIF($BA$1759:$EH$1759,"D")</f>
        <v>0</v>
      </c>
      <c r="AW2288" s="0" t="n">
        <f aca="false">COUNTIF($BA$1759:$EH$1759,"R")</f>
        <v>0</v>
      </c>
      <c r="AX2288" s="0" t="n">
        <f aca="false"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>0</v>
      </c>
      <c r="AY2288" s="0" t="n">
        <f aca="false">COUNTIF(DU2288:EH2288, "&lt;&gt;")</f>
        <v>1</v>
      </c>
      <c r="AZ2288" s="0" t="n">
        <f aca="false">IF(EH2288&lt;&gt;"",1,0)</f>
        <v>0</v>
      </c>
      <c r="BB2288" s="0" t="s">
        <v>153</v>
      </c>
      <c r="CP2288" s="0" t="s">
        <v>154</v>
      </c>
      <c r="DC2288" s="0" t="s">
        <v>154</v>
      </c>
      <c r="DN2288" s="0" t="s">
        <v>154</v>
      </c>
      <c r="EF2288" s="0" t="s">
        <v>154</v>
      </c>
    </row>
    <row r="2289" customFormat="false" ht="13.8" hidden="true" customHeight="false" outlineLevel="0" collapsed="false">
      <c r="A2289" s="0" t="s">
        <v>9995</v>
      </c>
      <c r="B2289" s="0" t="n">
        <v>78</v>
      </c>
      <c r="C2289" s="0" t="n">
        <v>373398</v>
      </c>
      <c r="D2289" s="0" t="s">
        <v>9992</v>
      </c>
      <c r="E2289" s="0" t="s">
        <v>9996</v>
      </c>
      <c r="F2289" s="0" t="str">
        <f aca="false">CONCATENATE(D2289," ",LEFT(H2289,4),"T=",AU2289,"D=",AV2289,"R=",AW2289,"M=",AX2289,"L=",AY2289,"B=",AZ2289)</f>
        <v>COLEMAN T=1D=0R=0M=1L=1B=0</v>
      </c>
      <c r="G2289" s="0" t="s">
        <v>241</v>
      </c>
      <c r="I2289" s="0" t="s">
        <v>620</v>
      </c>
      <c r="J2289" s="0" t="s">
        <v>8730</v>
      </c>
      <c r="K2289" s="0" t="s">
        <v>175</v>
      </c>
      <c r="L2289" s="0"/>
      <c r="M2289" s="0" t="s">
        <v>9994</v>
      </c>
      <c r="N2289" s="0" t="str">
        <f aca="false">RIGHT(M2289,LEN(M2289)-FIND(" ",M2289))</f>
        <v>REX BLVD NW</v>
      </c>
      <c r="P2289" s="0" t="s">
        <v>146</v>
      </c>
      <c r="Q2289" s="0" t="s">
        <v>147</v>
      </c>
      <c r="R2289" s="0" t="n">
        <v>44483</v>
      </c>
      <c r="AD2289" s="0" t="s">
        <v>148</v>
      </c>
      <c r="AE2289" s="0" t="s">
        <v>149</v>
      </c>
      <c r="AF2289" s="0" t="s">
        <v>150</v>
      </c>
      <c r="AH2289" s="0" t="n">
        <v>14</v>
      </c>
      <c r="AI2289" s="0" t="n">
        <v>11</v>
      </c>
      <c r="AN2289" s="0" t="s">
        <v>146</v>
      </c>
      <c r="AO2289" s="0" t="s">
        <v>151</v>
      </c>
      <c r="AP2289" s="0" t="s">
        <v>152</v>
      </c>
      <c r="AQ2289" s="0" t="n">
        <v>9</v>
      </c>
      <c r="AR2289" s="0" t="n">
        <v>64</v>
      </c>
      <c r="AS2289" s="0" t="n">
        <v>32</v>
      </c>
      <c r="AU2289" s="0" t="n">
        <f aca="false">COUNTA($BA$1760:$EH$1760)</f>
        <v>1</v>
      </c>
      <c r="AV2289" s="0" t="n">
        <f aca="false">COUNTIF($BA$1760:$EH$1760,"D")</f>
        <v>0</v>
      </c>
      <c r="AW2289" s="0" t="n">
        <f aca="false">COUNTIF($BA$1760:$EH$1760,"R")</f>
        <v>0</v>
      </c>
      <c r="AX2289" s="0" t="n">
        <f aca="false"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>1</v>
      </c>
      <c r="AY2289" s="0" t="n">
        <f aca="false">COUNTIF(DU2289:EH2289, "&lt;&gt;")</f>
        <v>1</v>
      </c>
      <c r="AZ2289" s="0" t="n">
        <f aca="false">IF(EH2289&lt;&gt;"",1,0)</f>
        <v>0</v>
      </c>
      <c r="BB2289" s="0" t="s">
        <v>153</v>
      </c>
      <c r="CL2289" s="0" t="s">
        <v>155</v>
      </c>
      <c r="DC2289" s="0" t="s">
        <v>154</v>
      </c>
      <c r="DN2289" s="0" t="s">
        <v>154</v>
      </c>
      <c r="EF2289" s="0" t="s">
        <v>154</v>
      </c>
    </row>
    <row r="2290" customFormat="false" ht="13.8" hidden="false" customHeight="false" outlineLevel="0" collapsed="false">
      <c r="A2290" s="0" t="s">
        <v>9997</v>
      </c>
      <c r="B2290" s="0" t="n">
        <v>78</v>
      </c>
      <c r="C2290" s="0" t="n">
        <v>326165</v>
      </c>
      <c r="D2290" s="0" t="s">
        <v>9998</v>
      </c>
      <c r="E2290" s="0" t="s">
        <v>1456</v>
      </c>
      <c r="F2290" s="0" t="str">
        <f aca="false">CONCATENATE(D2290," ",LEFT(H2290,4),"T=",AU2290,"D=",AV2290,"R=",AW2290,"M=",AX2290,"L=",AY2290,"B=",AZ2290)</f>
        <v>TAYLOR FARLEY T=7D=1R=0M=0L=3B=0</v>
      </c>
      <c r="G2290" s="0" t="s">
        <v>4794</v>
      </c>
      <c r="I2290" s="0" t="s">
        <v>9999</v>
      </c>
      <c r="J2290" s="0" t="s">
        <v>5859</v>
      </c>
      <c r="K2290" s="0" t="s">
        <v>175</v>
      </c>
      <c r="M2290" s="0" t="s">
        <v>10000</v>
      </c>
      <c r="N2290" s="0" t="str">
        <f aca="false">RIGHT(M2290,LEN(M2290)-FIND(" ",M2290))</f>
        <v>REX BLVD NW</v>
      </c>
      <c r="P2290" s="0" t="s">
        <v>146</v>
      </c>
      <c r="Q2290" s="0" t="s">
        <v>147</v>
      </c>
      <c r="R2290" s="0" t="n">
        <v>44483</v>
      </c>
      <c r="AD2290" s="0" t="s">
        <v>148</v>
      </c>
      <c r="AE2290" s="0" t="s">
        <v>149</v>
      </c>
      <c r="AF2290" s="0" t="s">
        <v>150</v>
      </c>
      <c r="AH2290" s="0" t="n">
        <v>14</v>
      </c>
      <c r="AI2290" s="0" t="n">
        <v>11</v>
      </c>
      <c r="AN2290" s="0" t="s">
        <v>146</v>
      </c>
      <c r="AO2290" s="0" t="s">
        <v>151</v>
      </c>
      <c r="AP2290" s="0" t="s">
        <v>152</v>
      </c>
      <c r="AQ2290" s="0" t="n">
        <v>9</v>
      </c>
      <c r="AR2290" s="0" t="n">
        <v>64</v>
      </c>
      <c r="AS2290" s="0" t="n">
        <v>32</v>
      </c>
      <c r="AU2290" s="0" t="n">
        <f aca="false">COUNTA($BA$1620:$EH$1620)</f>
        <v>7</v>
      </c>
      <c r="AV2290" s="0" t="n">
        <f aca="false">COUNTIF($BA$1620:$EH$1620,"D")</f>
        <v>1</v>
      </c>
      <c r="AW2290" s="0" t="n">
        <f aca="false">COUNTIF($BA$1620:$EH$1620,"R")</f>
        <v>0</v>
      </c>
      <c r="AX2290" s="0" t="n">
        <f aca="false"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>0</v>
      </c>
      <c r="AY2290" s="0" t="n">
        <f aca="false">COUNTIF(DU2290:EH2290, "&lt;&gt;")</f>
        <v>3</v>
      </c>
      <c r="AZ2290" s="0" t="n">
        <f aca="false">IF(EH2290&lt;&gt;"",1,0)</f>
        <v>0</v>
      </c>
      <c r="BB2290" s="0" t="s">
        <v>153</v>
      </c>
      <c r="CA2290" s="0" t="s">
        <v>154</v>
      </c>
      <c r="CK2290" s="0" t="s">
        <v>154</v>
      </c>
      <c r="CN2290" s="0" t="s">
        <v>154</v>
      </c>
      <c r="CO2290" s="0" t="s">
        <v>176</v>
      </c>
      <c r="DC2290" s="0" t="s">
        <v>154</v>
      </c>
      <c r="DF2290" s="0" t="s">
        <v>154</v>
      </c>
      <c r="DI2290" s="0" t="s">
        <v>154</v>
      </c>
      <c r="DN2290" s="0" t="s">
        <v>154</v>
      </c>
      <c r="DX2290" s="0" t="s">
        <v>154</v>
      </c>
      <c r="EA2290" s="0" t="s">
        <v>154</v>
      </c>
      <c r="EF2290" s="0" t="s">
        <v>154</v>
      </c>
    </row>
    <row r="2291" customFormat="false" ht="13.8" hidden="true" customHeight="false" outlineLevel="0" collapsed="false">
      <c r="A2291" s="0" t="s">
        <v>10001</v>
      </c>
      <c r="B2291" s="0" t="n">
        <v>78</v>
      </c>
      <c r="C2291" s="0" t="n">
        <v>424683</v>
      </c>
      <c r="D2291" s="0" t="s">
        <v>10002</v>
      </c>
      <c r="E2291" s="0" t="s">
        <v>278</v>
      </c>
      <c r="F2291" s="0" t="str">
        <f aca="false">CONCATENATE(D2291," ",LEFT(H2291,4),"T=",AU2291,"D=",AV2291,"R=",AW2291,"M=",AX2291,"L=",AY2291,"B=",AZ2291)</f>
        <v>CHAMBERLIN T=2D=0R=0M=0L=0B=0</v>
      </c>
      <c r="G2291" s="0" t="s">
        <v>188</v>
      </c>
      <c r="I2291" s="0" t="s">
        <v>10003</v>
      </c>
      <c r="J2291" s="0" t="s">
        <v>10004</v>
      </c>
      <c r="K2291" s="0" t="s">
        <v>144</v>
      </c>
      <c r="L2291" s="0"/>
      <c r="M2291" s="0" t="s">
        <v>10000</v>
      </c>
      <c r="N2291" s="0" t="str">
        <f aca="false">RIGHT(M2291,LEN(M2291)-FIND(" ",M2291))</f>
        <v>REX BLVD NW</v>
      </c>
      <c r="P2291" s="0" t="s">
        <v>146</v>
      </c>
      <c r="Q2291" s="0" t="s">
        <v>147</v>
      </c>
      <c r="R2291" s="0" t="n">
        <v>44483</v>
      </c>
      <c r="AD2291" s="0" t="s">
        <v>148</v>
      </c>
      <c r="AE2291" s="0" t="s">
        <v>149</v>
      </c>
      <c r="AF2291" s="0" t="s">
        <v>150</v>
      </c>
      <c r="AH2291" s="0" t="n">
        <v>14</v>
      </c>
      <c r="AI2291" s="0" t="n">
        <v>11</v>
      </c>
      <c r="AN2291" s="0" t="s">
        <v>146</v>
      </c>
      <c r="AO2291" s="0" t="s">
        <v>151</v>
      </c>
      <c r="AP2291" s="0" t="s">
        <v>152</v>
      </c>
      <c r="AQ2291" s="0" t="n">
        <v>9</v>
      </c>
      <c r="AR2291" s="0" t="n">
        <v>64</v>
      </c>
      <c r="AS2291" s="0" t="n">
        <v>32</v>
      </c>
      <c r="AU2291" s="0" t="n">
        <f aca="false">COUNTA($BA$1771:$EH$1771)</f>
        <v>2</v>
      </c>
      <c r="AV2291" s="0" t="n">
        <f aca="false">COUNTIF($BA$1771:$EH$1771,"D")</f>
        <v>0</v>
      </c>
      <c r="AW2291" s="0" t="n">
        <f aca="false">COUNTIF($BA$1771:$EH$1771,"R")</f>
        <v>0</v>
      </c>
      <c r="AX2291" s="0" t="n">
        <f aca="false"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>0</v>
      </c>
      <c r="AY2291" s="0" t="n">
        <f aca="false">COUNTIF(DU2291:EH2291, "&lt;&gt;")</f>
        <v>0</v>
      </c>
      <c r="AZ2291" s="0" t="n">
        <f aca="false">IF(EH2291&lt;&gt;"",1,0)</f>
        <v>0</v>
      </c>
      <c r="BB2291" s="0" t="s">
        <v>153</v>
      </c>
      <c r="CA2291" s="0" t="s">
        <v>154</v>
      </c>
      <c r="CK2291" s="0" t="s">
        <v>154</v>
      </c>
      <c r="CN2291" s="0" t="s">
        <v>154</v>
      </c>
      <c r="DC2291" s="0" t="s">
        <v>154</v>
      </c>
      <c r="DI2291" s="0" t="s">
        <v>154</v>
      </c>
      <c r="DN2291" s="0" t="s">
        <v>154</v>
      </c>
    </row>
    <row r="2292" customFormat="false" ht="13.8" hidden="false" customHeight="false" outlineLevel="0" collapsed="false">
      <c r="A2292" s="0" t="s">
        <v>10005</v>
      </c>
      <c r="B2292" s="0" t="n">
        <v>78</v>
      </c>
      <c r="C2292" s="0" t="n">
        <v>311828</v>
      </c>
      <c r="D2292" s="0" t="s">
        <v>856</v>
      </c>
      <c r="E2292" s="0" t="s">
        <v>375</v>
      </c>
      <c r="F2292" s="0" t="str">
        <f aca="false">CONCATENATE(D2292," ",LEFT(H2292,4),"T=",AU2292,"D=",AV2292,"R=",AW2292,"M=",AX2292,"L=",AY2292,"B=",AZ2292)</f>
        <v>JONES T=26D=8R=0M=1L=2B=0</v>
      </c>
      <c r="G2292" s="0" t="s">
        <v>181</v>
      </c>
      <c r="I2292" s="0" t="s">
        <v>10006</v>
      </c>
      <c r="J2292" s="0" t="s">
        <v>977</v>
      </c>
      <c r="K2292" s="0" t="s">
        <v>175</v>
      </c>
      <c r="M2292" s="0" t="s">
        <v>10007</v>
      </c>
      <c r="N2292" s="0" t="str">
        <f aca="false">RIGHT(M2292,LEN(M2292)-FIND(" ",M2292))</f>
        <v>REX BLVD NW</v>
      </c>
      <c r="P2292" s="0" t="s">
        <v>146</v>
      </c>
      <c r="Q2292" s="0" t="s">
        <v>147</v>
      </c>
      <c r="R2292" s="0" t="n">
        <v>44483</v>
      </c>
      <c r="AD2292" s="0" t="s">
        <v>148</v>
      </c>
      <c r="AE2292" s="0" t="s">
        <v>149</v>
      </c>
      <c r="AF2292" s="0" t="s">
        <v>150</v>
      </c>
      <c r="AH2292" s="0" t="n">
        <v>14</v>
      </c>
      <c r="AI2292" s="0" t="n">
        <v>11</v>
      </c>
      <c r="AN2292" s="0" t="s">
        <v>146</v>
      </c>
      <c r="AO2292" s="0" t="s">
        <v>151</v>
      </c>
      <c r="AP2292" s="0" t="s">
        <v>152</v>
      </c>
      <c r="AQ2292" s="0" t="n">
        <v>9</v>
      </c>
      <c r="AR2292" s="0" t="n">
        <v>64</v>
      </c>
      <c r="AS2292" s="0" t="n">
        <v>32</v>
      </c>
      <c r="AU2292" s="0" t="n">
        <f aca="false">COUNTA($BA$1261:$EH$1261)</f>
        <v>26</v>
      </c>
      <c r="AV2292" s="0" t="n">
        <f aca="false">COUNTIF($BA$1261:$EH$1261,"D")</f>
        <v>8</v>
      </c>
      <c r="AW2292" s="0" t="n">
        <f aca="false">COUNTIF($BA$1261:$EH$1261,"R")</f>
        <v>0</v>
      </c>
      <c r="AX2292" s="0" t="n">
        <f aca="false"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>1</v>
      </c>
      <c r="AY2292" s="0" t="n">
        <f aca="false">COUNTIF(DU2292:EH2292, "&lt;&gt;")</f>
        <v>2</v>
      </c>
      <c r="AZ2292" s="0" t="n">
        <f aca="false">IF(EH2292&lt;&gt;"",1,0)</f>
        <v>0</v>
      </c>
      <c r="BB2292" s="0" t="s">
        <v>153</v>
      </c>
      <c r="BJ2292" s="0" t="s">
        <v>154</v>
      </c>
      <c r="BL2292" s="0" t="s">
        <v>154</v>
      </c>
      <c r="BP2292" s="0" t="s">
        <v>154</v>
      </c>
      <c r="BS2292" s="0" t="s">
        <v>154</v>
      </c>
      <c r="BY2292" s="0" t="s">
        <v>155</v>
      </c>
      <c r="CA2292" s="0" t="s">
        <v>154</v>
      </c>
      <c r="CC2292" s="0" t="s">
        <v>155</v>
      </c>
      <c r="CK2292" s="0" t="s">
        <v>154</v>
      </c>
      <c r="CP2292" s="0" t="s">
        <v>154</v>
      </c>
      <c r="CT2292" s="0" t="s">
        <v>154</v>
      </c>
      <c r="CY2292" s="0" t="s">
        <v>154</v>
      </c>
      <c r="DC2292" s="0" t="s">
        <v>154</v>
      </c>
      <c r="DI2292" s="0" t="s">
        <v>154</v>
      </c>
      <c r="DN2292" s="0" t="s">
        <v>154</v>
      </c>
      <c r="DU2292" s="0" t="s">
        <v>154</v>
      </c>
      <c r="EF2292" s="0" t="s">
        <v>154</v>
      </c>
    </row>
    <row r="2293" customFormat="false" ht="13.8" hidden="true" customHeight="false" outlineLevel="0" collapsed="false">
      <c r="A2293" s="0" t="s">
        <v>10008</v>
      </c>
      <c r="B2293" s="0" t="n">
        <v>78</v>
      </c>
      <c r="C2293" s="0" t="n">
        <v>478509</v>
      </c>
      <c r="D2293" s="0" t="s">
        <v>10009</v>
      </c>
      <c r="E2293" s="0" t="s">
        <v>1405</v>
      </c>
      <c r="F2293" s="0" t="str">
        <f aca="false">CONCATENATE(D2293," ",LEFT(H2293,4),"T=",AU2293,"D=",AV2293,"R=",AW2293,"M=",AX2293,"L=",AY2293,"B=",AZ2293)</f>
        <v>STONE T=2D=0R=0M=0L=1B=0</v>
      </c>
      <c r="G2293" s="0" t="s">
        <v>141</v>
      </c>
      <c r="I2293" s="0" t="s">
        <v>10010</v>
      </c>
      <c r="J2293" s="0" t="s">
        <v>2140</v>
      </c>
      <c r="K2293" s="0" t="s">
        <v>175</v>
      </c>
      <c r="L2293" s="0"/>
      <c r="M2293" s="0" t="s">
        <v>10011</v>
      </c>
      <c r="N2293" s="0" t="str">
        <f aca="false">RIGHT(M2293,LEN(M2293)-FIND(" ",M2293))</f>
        <v>REX BLVD NW</v>
      </c>
      <c r="P2293" s="0" t="s">
        <v>146</v>
      </c>
      <c r="Q2293" s="0" t="s">
        <v>147</v>
      </c>
      <c r="R2293" s="0" t="n">
        <v>44483</v>
      </c>
      <c r="AD2293" s="0" t="s">
        <v>148</v>
      </c>
      <c r="AE2293" s="0" t="s">
        <v>149</v>
      </c>
      <c r="AF2293" s="0" t="s">
        <v>150</v>
      </c>
      <c r="AH2293" s="0" t="n">
        <v>14</v>
      </c>
      <c r="AI2293" s="0" t="n">
        <v>11</v>
      </c>
      <c r="AN2293" s="0" t="s">
        <v>146</v>
      </c>
      <c r="AO2293" s="0" t="s">
        <v>151</v>
      </c>
      <c r="AP2293" s="0" t="s">
        <v>152</v>
      </c>
      <c r="AQ2293" s="0" t="n">
        <v>9</v>
      </c>
      <c r="AR2293" s="0" t="n">
        <v>64</v>
      </c>
      <c r="AS2293" s="0" t="n">
        <v>32</v>
      </c>
      <c r="AU2293" s="0" t="n">
        <f aca="false">COUNTA($BA$1110:$EH$1110)</f>
        <v>2</v>
      </c>
      <c r="AV2293" s="0" t="n">
        <f aca="false">COUNTIF($BA$1110:$EH$1110,"D")</f>
        <v>0</v>
      </c>
      <c r="AW2293" s="0" t="n">
        <f aca="false">COUNTIF($BA$1110:$EH$1110,"R")</f>
        <v>0</v>
      </c>
      <c r="AX2293" s="0" t="n">
        <f aca="false"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>0</v>
      </c>
      <c r="AY2293" s="0" t="n">
        <f aca="false">COUNTIF(DU2293:EH2293, "&lt;&gt;")</f>
        <v>1</v>
      </c>
      <c r="AZ2293" s="0" t="n">
        <f aca="false">IF(EH2293&lt;&gt;"",1,0)</f>
        <v>0</v>
      </c>
      <c r="BB2293" s="0" t="s">
        <v>153</v>
      </c>
      <c r="EF2293" s="0" t="s">
        <v>154</v>
      </c>
    </row>
    <row r="2294" customFormat="false" ht="13.8" hidden="true" customHeight="false" outlineLevel="0" collapsed="false">
      <c r="A2294" s="0" t="s">
        <v>10012</v>
      </c>
      <c r="B2294" s="0" t="n">
        <v>78</v>
      </c>
      <c r="C2294" s="0" t="n">
        <v>322408</v>
      </c>
      <c r="D2294" s="0" t="s">
        <v>10013</v>
      </c>
      <c r="E2294" s="0" t="s">
        <v>10014</v>
      </c>
      <c r="F2294" s="0" t="str">
        <f aca="false">CONCATENATE(D2294," ",LEFT(H2294,4),"T=",AU2294,"D=",AV2294,"R=",AW2294,"M=",AX2294,"L=",AY2294,"B=",AZ2294)</f>
        <v>CALLAHAN T=1D=0R=0M=0L=1B=0</v>
      </c>
      <c r="G2294" s="0" t="s">
        <v>176</v>
      </c>
      <c r="I2294" s="0" t="s">
        <v>10015</v>
      </c>
      <c r="J2294" s="0" t="s">
        <v>10016</v>
      </c>
      <c r="K2294" s="0" t="s">
        <v>175</v>
      </c>
      <c r="L2294" s="0"/>
      <c r="M2294" s="0" t="s">
        <v>10017</v>
      </c>
      <c r="N2294" s="0" t="str">
        <f aca="false">RIGHT(M2294,LEN(M2294)-FIND(" ",M2294))</f>
        <v>REX BLVD NW</v>
      </c>
      <c r="P2294" s="0" t="s">
        <v>146</v>
      </c>
      <c r="Q2294" s="0" t="s">
        <v>147</v>
      </c>
      <c r="R2294" s="0" t="n">
        <v>44483</v>
      </c>
      <c r="AD2294" s="0" t="s">
        <v>148</v>
      </c>
      <c r="AE2294" s="0" t="s">
        <v>149</v>
      </c>
      <c r="AF2294" s="0" t="s">
        <v>150</v>
      </c>
      <c r="AH2294" s="0" t="n">
        <v>14</v>
      </c>
      <c r="AI2294" s="0" t="n">
        <v>11</v>
      </c>
      <c r="AN2294" s="0" t="s">
        <v>146</v>
      </c>
      <c r="AO2294" s="0" t="s">
        <v>151</v>
      </c>
      <c r="AP2294" s="0" t="s">
        <v>152</v>
      </c>
      <c r="AQ2294" s="0" t="n">
        <v>9</v>
      </c>
      <c r="AR2294" s="0" t="n">
        <v>64</v>
      </c>
      <c r="AS2294" s="0" t="n">
        <v>32</v>
      </c>
      <c r="AU2294" s="0" t="n">
        <f aca="false">COUNTA($BA$1622:$EH$1622)</f>
        <v>1</v>
      </c>
      <c r="AV2294" s="0" t="n">
        <f aca="false">COUNTIF($BA$1622:$EH$1622,"D")</f>
        <v>0</v>
      </c>
      <c r="AW2294" s="0" t="n">
        <f aca="false">COUNTIF($BA$1622:$EH$1622,"R")</f>
        <v>0</v>
      </c>
      <c r="AX2294" s="0" t="n">
        <f aca="false"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>0</v>
      </c>
      <c r="AY2294" s="0" t="n">
        <f aca="false">COUNTIF(DU2294:EH2294, "&lt;&gt;")</f>
        <v>1</v>
      </c>
      <c r="AZ2294" s="0" t="n">
        <f aca="false">IF(EH2294&lt;&gt;"",1,0)</f>
        <v>0</v>
      </c>
      <c r="BB2294" s="0" t="s">
        <v>153</v>
      </c>
      <c r="BL2294" s="0" t="s">
        <v>154</v>
      </c>
      <c r="BS2294" s="0" t="s">
        <v>154</v>
      </c>
      <c r="BY2294" s="0" t="s">
        <v>155</v>
      </c>
      <c r="CA2294" s="0" t="s">
        <v>154</v>
      </c>
      <c r="CG2294" s="0" t="s">
        <v>154</v>
      </c>
      <c r="CN2294" s="0" t="s">
        <v>154</v>
      </c>
      <c r="CP2294" s="0" t="s">
        <v>154</v>
      </c>
      <c r="CY2294" s="0" t="s">
        <v>154</v>
      </c>
      <c r="DC2294" s="0" t="s">
        <v>154</v>
      </c>
      <c r="DI2294" s="0" t="s">
        <v>154</v>
      </c>
      <c r="DM2294" s="0" t="s">
        <v>155</v>
      </c>
      <c r="DN2294" s="0" t="s">
        <v>154</v>
      </c>
      <c r="EF2294" s="0" t="s">
        <v>154</v>
      </c>
    </row>
    <row r="2295" customFormat="false" ht="13.8" hidden="true" customHeight="false" outlineLevel="0" collapsed="false">
      <c r="A2295" s="0" t="s">
        <v>10018</v>
      </c>
      <c r="B2295" s="0" t="n">
        <v>78</v>
      </c>
      <c r="C2295" s="0" t="n">
        <v>224078</v>
      </c>
      <c r="D2295" s="0" t="s">
        <v>10013</v>
      </c>
      <c r="E2295" s="0" t="s">
        <v>2218</v>
      </c>
      <c r="F2295" s="0" t="str">
        <f aca="false">CONCATENATE(D2295," ",LEFT(H2295,4),"T=",AU2295,"D=",AV2295,"R=",AW2295,"M=",AX2295,"L=",AY2295,"B=",AZ2295)</f>
        <v>CALLAHAN T=1D=0R=0M=0L=1B=0</v>
      </c>
      <c r="G2295" s="0" t="s">
        <v>1964</v>
      </c>
      <c r="I2295" s="0" t="s">
        <v>10019</v>
      </c>
      <c r="J2295" s="0" t="s">
        <v>10020</v>
      </c>
      <c r="K2295" s="0" t="s">
        <v>175</v>
      </c>
      <c r="L2295" s="0"/>
      <c r="M2295" s="0" t="s">
        <v>10017</v>
      </c>
      <c r="N2295" s="0" t="str">
        <f aca="false">RIGHT(M2295,LEN(M2295)-FIND(" ",M2295))</f>
        <v>REX BLVD NW</v>
      </c>
      <c r="P2295" s="0" t="s">
        <v>146</v>
      </c>
      <c r="Q2295" s="0" t="s">
        <v>147</v>
      </c>
      <c r="R2295" s="0" t="n">
        <v>44483</v>
      </c>
      <c r="AD2295" s="0" t="s">
        <v>148</v>
      </c>
      <c r="AE2295" s="0" t="s">
        <v>149</v>
      </c>
      <c r="AF2295" s="0" t="s">
        <v>150</v>
      </c>
      <c r="AH2295" s="0" t="n">
        <v>14</v>
      </c>
      <c r="AI2295" s="0" t="n">
        <v>11</v>
      </c>
      <c r="AN2295" s="0" t="s">
        <v>146</v>
      </c>
      <c r="AO2295" s="0" t="s">
        <v>151</v>
      </c>
      <c r="AP2295" s="0" t="s">
        <v>152</v>
      </c>
      <c r="AQ2295" s="0" t="n">
        <v>9</v>
      </c>
      <c r="AR2295" s="0" t="n">
        <v>64</v>
      </c>
      <c r="AS2295" s="0" t="n">
        <v>32</v>
      </c>
      <c r="AU2295" s="0" t="n">
        <f aca="false">COUNTA($BA$1626:$EH$1626)</f>
        <v>1</v>
      </c>
      <c r="AV2295" s="0" t="n">
        <f aca="false">COUNTIF($BA$1626:$EH$1626,"D")</f>
        <v>0</v>
      </c>
      <c r="AW2295" s="0" t="n">
        <f aca="false">COUNTIF($BA$1626:$EH$1626,"R")</f>
        <v>0</v>
      </c>
      <c r="AX2295" s="0" t="n">
        <f aca="false"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>0</v>
      </c>
      <c r="AY2295" s="0" t="n">
        <f aca="false">COUNTIF(DU2295:EH2295, "&lt;&gt;")</f>
        <v>1</v>
      </c>
      <c r="AZ2295" s="0" t="n">
        <f aca="false">IF(EH2295&lt;&gt;"",1,0)</f>
        <v>0</v>
      </c>
      <c r="BB2295" s="0" t="s">
        <v>153</v>
      </c>
      <c r="BC2295" s="0" t="s">
        <v>154</v>
      </c>
      <c r="BD2295" s="0" t="s">
        <v>154</v>
      </c>
      <c r="BF2295" s="0" t="s">
        <v>154</v>
      </c>
      <c r="BK2295" s="0" t="s">
        <v>154</v>
      </c>
      <c r="BL2295" s="0" t="s">
        <v>154</v>
      </c>
      <c r="BS2295" s="0" t="s">
        <v>154</v>
      </c>
      <c r="BY2295" s="0" t="s">
        <v>155</v>
      </c>
      <c r="CA2295" s="0" t="s">
        <v>154</v>
      </c>
      <c r="CG2295" s="0" t="s">
        <v>154</v>
      </c>
      <c r="CN2295" s="0" t="s">
        <v>154</v>
      </c>
      <c r="CP2295" s="0" t="s">
        <v>154</v>
      </c>
      <c r="CV2295" s="0" t="s">
        <v>154</v>
      </c>
      <c r="CY2295" s="0" t="s">
        <v>154</v>
      </c>
      <c r="CZ2295" s="0" t="s">
        <v>155</v>
      </c>
      <c r="DC2295" s="0" t="s">
        <v>154</v>
      </c>
      <c r="DI2295" s="0" t="s">
        <v>154</v>
      </c>
      <c r="DM2295" s="0" t="s">
        <v>155</v>
      </c>
      <c r="DN2295" s="0" t="s">
        <v>154</v>
      </c>
      <c r="EF2295" s="0" t="s">
        <v>154</v>
      </c>
    </row>
    <row r="2296" customFormat="false" ht="13.8" hidden="true" customHeight="false" outlineLevel="0" collapsed="false">
      <c r="A2296" s="0" t="s">
        <v>10021</v>
      </c>
      <c r="B2296" s="0" t="n">
        <v>78</v>
      </c>
      <c r="C2296" s="0" t="n">
        <v>413624</v>
      </c>
      <c r="D2296" s="0" t="s">
        <v>703</v>
      </c>
      <c r="E2296" s="0" t="s">
        <v>10022</v>
      </c>
      <c r="F2296" s="0" t="str">
        <f aca="false">CONCATENATE(D2296," ",LEFT(H2296,4),"T=",AU2296,"D=",AV2296,"R=",AW2296,"M=",AX2296,"L=",AY2296,"B=",AZ2296)</f>
        <v>WADE T=1D=0R=0M=0L=0B=0</v>
      </c>
      <c r="G2296" s="0" t="s">
        <v>159</v>
      </c>
      <c r="I2296" s="0" t="s">
        <v>10023</v>
      </c>
      <c r="J2296" s="0" t="s">
        <v>10024</v>
      </c>
      <c r="K2296" s="0" t="s">
        <v>144</v>
      </c>
      <c r="L2296" s="0"/>
      <c r="M2296" s="0" t="s">
        <v>10025</v>
      </c>
      <c r="N2296" s="0" t="str">
        <f aca="false">RIGHT(M2296,LEN(M2296)-FIND(" ",M2296))</f>
        <v>REX BLVD NW</v>
      </c>
      <c r="P2296" s="0" t="s">
        <v>146</v>
      </c>
      <c r="Q2296" s="0" t="s">
        <v>147</v>
      </c>
      <c r="R2296" s="0" t="n">
        <v>44483</v>
      </c>
      <c r="AD2296" s="0" t="s">
        <v>148</v>
      </c>
      <c r="AE2296" s="0" t="s">
        <v>149</v>
      </c>
      <c r="AF2296" s="0" t="s">
        <v>150</v>
      </c>
      <c r="AH2296" s="0" t="n">
        <v>14</v>
      </c>
      <c r="AI2296" s="0" t="n">
        <v>11</v>
      </c>
      <c r="AN2296" s="0" t="s">
        <v>146</v>
      </c>
      <c r="AO2296" s="0" t="s">
        <v>151</v>
      </c>
      <c r="AP2296" s="0" t="s">
        <v>152</v>
      </c>
      <c r="AQ2296" s="0" t="n">
        <v>9</v>
      </c>
      <c r="AR2296" s="0" t="n">
        <v>64</v>
      </c>
      <c r="AS2296" s="0" t="n">
        <v>32</v>
      </c>
      <c r="AU2296" s="0" t="n">
        <f aca="false">COUNTA($BA$1161:$EH$1161)</f>
        <v>1</v>
      </c>
      <c r="AV2296" s="0" t="n">
        <f aca="false">COUNTIF($BA$1161:$EH$1161,"D")</f>
        <v>0</v>
      </c>
      <c r="AW2296" s="0" t="n">
        <f aca="false">COUNTIF($BA$1161:$EH$1161,"R")</f>
        <v>0</v>
      </c>
      <c r="AX2296" s="0" t="n">
        <f aca="false"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>0</v>
      </c>
      <c r="AY2296" s="0" t="n">
        <f aca="false">COUNTIF(DU2296:EH2296, "&lt;&gt;")</f>
        <v>0</v>
      </c>
      <c r="AZ2296" s="0" t="n">
        <f aca="false">IF(EH2296&lt;&gt;"",1,0)</f>
        <v>0</v>
      </c>
      <c r="BB2296" s="0" t="s">
        <v>153</v>
      </c>
      <c r="DC2296" s="0" t="s">
        <v>154</v>
      </c>
      <c r="DN2296" s="0" t="s">
        <v>154</v>
      </c>
    </row>
    <row r="2297" customFormat="false" ht="13.8" hidden="false" customHeight="false" outlineLevel="0" collapsed="false">
      <c r="A2297" s="0" t="s">
        <v>10026</v>
      </c>
      <c r="B2297" s="0" t="n">
        <v>78</v>
      </c>
      <c r="C2297" s="0" t="n">
        <v>300292</v>
      </c>
      <c r="D2297" s="0" t="s">
        <v>703</v>
      </c>
      <c r="E2297" s="0" t="s">
        <v>5008</v>
      </c>
      <c r="F2297" s="0" t="str">
        <f aca="false">CONCATENATE(D2297," ",LEFT(H2297,4),"T=",AU2297,"D=",AV2297,"R=",AW2297,"M=",AX2297,"L=",AY2297,"B=",AZ2297)</f>
        <v>WADE T=1D=0R=0M=3L=5B=0</v>
      </c>
      <c r="I2297" s="0" t="s">
        <v>10027</v>
      </c>
      <c r="J2297" s="0" t="s">
        <v>10028</v>
      </c>
      <c r="K2297" s="0" t="s">
        <v>175</v>
      </c>
      <c r="L2297" s="1" t="s">
        <v>155</v>
      </c>
      <c r="M2297" s="0" t="s">
        <v>10025</v>
      </c>
      <c r="N2297" s="0" t="str">
        <f aca="false">RIGHT(M2297,LEN(M2297)-FIND(" ",M2297))</f>
        <v>REX BLVD NW</v>
      </c>
      <c r="P2297" s="0" t="s">
        <v>146</v>
      </c>
      <c r="Q2297" s="0" t="s">
        <v>147</v>
      </c>
      <c r="R2297" s="0" t="n">
        <v>44483</v>
      </c>
      <c r="AD2297" s="0" t="s">
        <v>148</v>
      </c>
      <c r="AE2297" s="0" t="s">
        <v>149</v>
      </c>
      <c r="AF2297" s="0" t="s">
        <v>150</v>
      </c>
      <c r="AH2297" s="0" t="n">
        <v>14</v>
      </c>
      <c r="AI2297" s="0" t="n">
        <v>11</v>
      </c>
      <c r="AN2297" s="0" t="s">
        <v>146</v>
      </c>
      <c r="AO2297" s="0" t="s">
        <v>151</v>
      </c>
      <c r="AP2297" s="0" t="s">
        <v>152</v>
      </c>
      <c r="AQ2297" s="0" t="n">
        <v>9</v>
      </c>
      <c r="AR2297" s="0" t="n">
        <v>64</v>
      </c>
      <c r="AS2297" s="0" t="n">
        <v>32</v>
      </c>
      <c r="AU2297" s="0" t="n">
        <f aca="false">COUNTA($BA$1607:$EH$1607)</f>
        <v>1</v>
      </c>
      <c r="AV2297" s="0" t="n">
        <f aca="false">COUNTIF($BA$1607:$EH$1607,"D")</f>
        <v>0</v>
      </c>
      <c r="AW2297" s="0" t="n">
        <f aca="false">COUNTIF($BA$1607:$EH$1607,"R")</f>
        <v>0</v>
      </c>
      <c r="AX2297" s="0" t="n">
        <f aca="false"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>3</v>
      </c>
      <c r="AY2297" s="0" t="n">
        <f aca="false">COUNTIF(DU2297:EH2297, "&lt;&gt;")</f>
        <v>5</v>
      </c>
      <c r="AZ2297" s="0" t="n">
        <f aca="false">IF(EH2297&lt;&gt;"",1,0)</f>
        <v>0</v>
      </c>
      <c r="BB2297" s="0" t="s">
        <v>153</v>
      </c>
      <c r="BL2297" s="0" t="s">
        <v>154</v>
      </c>
      <c r="CA2297" s="0" t="s">
        <v>154</v>
      </c>
      <c r="CG2297" s="0" t="s">
        <v>154</v>
      </c>
      <c r="CK2297" s="0" t="s">
        <v>154</v>
      </c>
      <c r="CL2297" s="0" t="s">
        <v>155</v>
      </c>
      <c r="CN2297" s="0" t="s">
        <v>154</v>
      </c>
      <c r="CP2297" s="0" t="s">
        <v>154</v>
      </c>
      <c r="CQ2297" s="0" t="s">
        <v>155</v>
      </c>
      <c r="CT2297" s="0" t="s">
        <v>154</v>
      </c>
      <c r="CY2297" s="0" t="s">
        <v>154</v>
      </c>
      <c r="DC2297" s="0" t="s">
        <v>154</v>
      </c>
      <c r="DI2297" s="0" t="s">
        <v>154</v>
      </c>
      <c r="DL2297" s="0" t="s">
        <v>154</v>
      </c>
      <c r="DN2297" s="0" t="s">
        <v>154</v>
      </c>
      <c r="DU2297" s="0" t="s">
        <v>154</v>
      </c>
      <c r="DW2297" s="0" t="s">
        <v>155</v>
      </c>
      <c r="DX2297" s="0" t="s">
        <v>154</v>
      </c>
      <c r="EA2297" s="0" t="s">
        <v>154</v>
      </c>
      <c r="EF2297" s="0" t="s">
        <v>154</v>
      </c>
    </row>
    <row r="2298" customFormat="false" ht="13.8" hidden="false" customHeight="false" outlineLevel="0" collapsed="false">
      <c r="A2298" s="0" t="s">
        <v>10029</v>
      </c>
      <c r="B2298" s="0" t="n">
        <v>78</v>
      </c>
      <c r="C2298" s="0" t="n">
        <v>314961</v>
      </c>
      <c r="D2298" s="0" t="s">
        <v>703</v>
      </c>
      <c r="E2298" s="0" t="s">
        <v>10030</v>
      </c>
      <c r="F2298" s="0" t="str">
        <f aca="false">CONCATENATE(D2298," ",LEFT(H2298,4),"T=",AU2298,"D=",AV2298,"R=",AW2298,"M=",AX2298,"L=",AY2298,"B=",AZ2298)</f>
        <v>WADE T=1D=0R=0M=3L=6B=0</v>
      </c>
      <c r="G2298" s="0" t="s">
        <v>4590</v>
      </c>
      <c r="I2298" s="0" t="s">
        <v>10031</v>
      </c>
      <c r="J2298" s="0" t="s">
        <v>10028</v>
      </c>
      <c r="K2298" s="0" t="s">
        <v>175</v>
      </c>
      <c r="L2298" s="1" t="s">
        <v>155</v>
      </c>
      <c r="M2298" s="0" t="s">
        <v>10025</v>
      </c>
      <c r="N2298" s="0" t="str">
        <f aca="false">RIGHT(M2298,LEN(M2298)-FIND(" ",M2298))</f>
        <v>REX BLVD NW</v>
      </c>
      <c r="P2298" s="0" t="s">
        <v>146</v>
      </c>
      <c r="Q2298" s="0" t="s">
        <v>147</v>
      </c>
      <c r="R2298" s="0" t="n">
        <v>44483</v>
      </c>
      <c r="AD2298" s="0" t="s">
        <v>148</v>
      </c>
      <c r="AE2298" s="0" t="s">
        <v>149</v>
      </c>
      <c r="AF2298" s="0" t="s">
        <v>150</v>
      </c>
      <c r="AH2298" s="0" t="n">
        <v>14</v>
      </c>
      <c r="AI2298" s="0" t="n">
        <v>11</v>
      </c>
      <c r="AN2298" s="0" t="s">
        <v>146</v>
      </c>
      <c r="AO2298" s="0" t="s">
        <v>151</v>
      </c>
      <c r="AP2298" s="0" t="s">
        <v>152</v>
      </c>
      <c r="AQ2298" s="0" t="n">
        <v>9</v>
      </c>
      <c r="AR2298" s="0" t="n">
        <v>64</v>
      </c>
      <c r="AS2298" s="0" t="n">
        <v>32</v>
      </c>
      <c r="AU2298" s="0" t="n">
        <f aca="false">COUNTA($BA$1625:$EH$1625)</f>
        <v>1</v>
      </c>
      <c r="AV2298" s="0" t="n">
        <f aca="false">COUNTIF($BA$1625:$EH$1625,"D")</f>
        <v>0</v>
      </c>
      <c r="AW2298" s="0" t="n">
        <f aca="false">COUNTIF($BA$1625:$EH$1625,"R")</f>
        <v>0</v>
      </c>
      <c r="AX2298" s="0" t="n">
        <f aca="false"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>3</v>
      </c>
      <c r="AY2298" s="0" t="n">
        <f aca="false">COUNTIF(DU2298:EH2298, "&lt;&gt;")</f>
        <v>6</v>
      </c>
      <c r="AZ2298" s="0" t="n">
        <f aca="false">IF(EH2298&lt;&gt;"",1,0)</f>
        <v>0</v>
      </c>
      <c r="BB2298" s="0" t="s">
        <v>153</v>
      </c>
      <c r="BL2298" s="0" t="s">
        <v>154</v>
      </c>
      <c r="CA2298" s="0" t="s">
        <v>154</v>
      </c>
      <c r="CK2298" s="0" t="s">
        <v>154</v>
      </c>
      <c r="CL2298" s="0" t="s">
        <v>155</v>
      </c>
      <c r="CP2298" s="0" t="s">
        <v>154</v>
      </c>
      <c r="CQ2298" s="0" t="s">
        <v>155</v>
      </c>
      <c r="CT2298" s="0" t="s">
        <v>154</v>
      </c>
      <c r="CY2298" s="0" t="s">
        <v>154</v>
      </c>
      <c r="DC2298" s="0" t="s">
        <v>154</v>
      </c>
      <c r="DI2298" s="0" t="s">
        <v>154</v>
      </c>
      <c r="DL2298" s="0" t="s">
        <v>154</v>
      </c>
      <c r="DN2298" s="0" t="s">
        <v>154</v>
      </c>
      <c r="DU2298" s="0" t="s">
        <v>154</v>
      </c>
      <c r="DW2298" s="0" t="s">
        <v>155</v>
      </c>
      <c r="DX2298" s="0" t="s">
        <v>154</v>
      </c>
      <c r="EA2298" s="0" t="s">
        <v>154</v>
      </c>
      <c r="ED2298" s="0" t="s">
        <v>155</v>
      </c>
      <c r="EF2298" s="0" t="s">
        <v>154</v>
      </c>
    </row>
    <row r="2299" customFormat="false" ht="13.8" hidden="false" customHeight="false" outlineLevel="0" collapsed="false">
      <c r="A2299" s="0" t="s">
        <v>10032</v>
      </c>
      <c r="B2299" s="0" t="n">
        <v>78</v>
      </c>
      <c r="C2299" s="0" t="n">
        <v>307138</v>
      </c>
      <c r="D2299" s="0" t="s">
        <v>10033</v>
      </c>
      <c r="E2299" s="0" t="s">
        <v>8027</v>
      </c>
      <c r="F2299" s="0" t="str">
        <f aca="false">CONCATENATE(D2299," ",LEFT(H2299,4),"T=",AU2299,"D=",AV2299,"R=",AW2299,"M=",AX2299,"L=",AY2299,"B=",AZ2299)</f>
        <v>CHAPIN T=1D=0R=0M=0L=2B=0</v>
      </c>
      <c r="G2299" s="0" t="s">
        <v>188</v>
      </c>
      <c r="I2299" s="0" t="s">
        <v>10034</v>
      </c>
      <c r="J2299" s="0" t="s">
        <v>809</v>
      </c>
      <c r="K2299" s="0" t="s">
        <v>175</v>
      </c>
      <c r="L2299" s="1" t="s">
        <v>176</v>
      </c>
      <c r="M2299" s="0" t="s">
        <v>10035</v>
      </c>
      <c r="N2299" s="0" t="str">
        <f aca="false">RIGHT(M2299,LEN(M2299)-FIND(" ",M2299))</f>
        <v>REX BLVD NW</v>
      </c>
      <c r="P2299" s="0" t="s">
        <v>146</v>
      </c>
      <c r="Q2299" s="0" t="s">
        <v>147</v>
      </c>
      <c r="R2299" s="0" t="n">
        <v>44483</v>
      </c>
      <c r="AD2299" s="0" t="s">
        <v>148</v>
      </c>
      <c r="AE2299" s="0" t="s">
        <v>149</v>
      </c>
      <c r="AF2299" s="0" t="s">
        <v>150</v>
      </c>
      <c r="AH2299" s="0" t="n">
        <v>14</v>
      </c>
      <c r="AI2299" s="0" t="n">
        <v>11</v>
      </c>
      <c r="AN2299" s="0" t="s">
        <v>146</v>
      </c>
      <c r="AO2299" s="0" t="s">
        <v>151</v>
      </c>
      <c r="AP2299" s="0" t="s">
        <v>152</v>
      </c>
      <c r="AQ2299" s="0" t="n">
        <v>9</v>
      </c>
      <c r="AR2299" s="0" t="n">
        <v>64</v>
      </c>
      <c r="AS2299" s="0" t="n">
        <v>32</v>
      </c>
      <c r="AU2299" s="0" t="n">
        <f aca="false">COUNTA($BA$1958:$EH$1958)</f>
        <v>1</v>
      </c>
      <c r="AV2299" s="0" t="n">
        <f aca="false">COUNTIF($BA$1958:$EH$1958,"D")</f>
        <v>0</v>
      </c>
      <c r="AW2299" s="0" t="n">
        <f aca="false">COUNTIF($BA$1958:$EH$1958,"R")</f>
        <v>0</v>
      </c>
      <c r="AX2299" s="0" t="n">
        <f aca="false"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>0</v>
      </c>
      <c r="AY2299" s="0" t="n">
        <f aca="false">COUNTIF(DU2299:EH2299, "&lt;&gt;")</f>
        <v>2</v>
      </c>
      <c r="AZ2299" s="0" t="n">
        <f aca="false">IF(EH2299&lt;&gt;"",1,0)</f>
        <v>0</v>
      </c>
      <c r="BB2299" s="0" t="s">
        <v>153</v>
      </c>
      <c r="BH2299" s="0" t="s">
        <v>154</v>
      </c>
      <c r="BI2299" s="0" t="s">
        <v>154</v>
      </c>
      <c r="BJ2299" s="0" t="s">
        <v>154</v>
      </c>
      <c r="BK2299" s="0" t="s">
        <v>154</v>
      </c>
      <c r="BL2299" s="0" t="s">
        <v>154</v>
      </c>
      <c r="BP2299" s="0" t="s">
        <v>154</v>
      </c>
      <c r="BR2299" s="0" t="s">
        <v>154</v>
      </c>
      <c r="BS2299" s="0" t="s">
        <v>154</v>
      </c>
      <c r="CA2299" s="0" t="s">
        <v>154</v>
      </c>
      <c r="CK2299" s="0" t="s">
        <v>154</v>
      </c>
      <c r="CN2299" s="0" t="s">
        <v>154</v>
      </c>
      <c r="CO2299" s="0" t="s">
        <v>176</v>
      </c>
      <c r="CP2299" s="0" t="s">
        <v>154</v>
      </c>
      <c r="CV2299" s="0" t="s">
        <v>154</v>
      </c>
      <c r="CY2299" s="0" t="s">
        <v>154</v>
      </c>
      <c r="CZ2299" s="0" t="s">
        <v>155</v>
      </c>
      <c r="DC2299" s="0" t="s">
        <v>154</v>
      </c>
      <c r="DI2299" s="0" t="s">
        <v>154</v>
      </c>
      <c r="DN2299" s="0" t="s">
        <v>154</v>
      </c>
      <c r="DS2299" s="0" t="s">
        <v>176</v>
      </c>
      <c r="DU2299" s="0" t="s">
        <v>154</v>
      </c>
      <c r="EF2299" s="0" t="s">
        <v>154</v>
      </c>
    </row>
    <row r="2300" customFormat="false" ht="13.8" hidden="false" customHeight="false" outlineLevel="0" collapsed="false">
      <c r="A2300" s="0" t="s">
        <v>10036</v>
      </c>
      <c r="B2300" s="0" t="n">
        <v>78</v>
      </c>
      <c r="C2300" s="0" t="n">
        <v>325372</v>
      </c>
      <c r="D2300" s="0" t="s">
        <v>10037</v>
      </c>
      <c r="E2300" s="0" t="s">
        <v>1131</v>
      </c>
      <c r="F2300" s="0" t="str">
        <f aca="false">CONCATENATE(D2300," ",LEFT(H2300,4),"T=",AU2300,"D=",AV2300,"R=",AW2300,"M=",AX2300,"L=",AY2300,"B=",AZ2300)</f>
        <v>MAZZOCHI T=5D=1R=0M=0L=2B=0</v>
      </c>
      <c r="G2300" s="0" t="s">
        <v>365</v>
      </c>
      <c r="I2300" s="0" t="s">
        <v>4028</v>
      </c>
      <c r="J2300" s="0" t="s">
        <v>161</v>
      </c>
      <c r="K2300" s="0" t="s">
        <v>175</v>
      </c>
      <c r="M2300" s="0" t="s">
        <v>10038</v>
      </c>
      <c r="N2300" s="0" t="str">
        <f aca="false">RIGHT(M2300,LEN(M2300)-FIND(" ",M2300))</f>
        <v>REX BLVD NW</v>
      </c>
      <c r="P2300" s="0" t="s">
        <v>146</v>
      </c>
      <c r="Q2300" s="0" t="s">
        <v>147</v>
      </c>
      <c r="R2300" s="0" t="n">
        <v>44483</v>
      </c>
      <c r="AD2300" s="0" t="s">
        <v>148</v>
      </c>
      <c r="AE2300" s="0" t="s">
        <v>149</v>
      </c>
      <c r="AF2300" s="0" t="s">
        <v>150</v>
      </c>
      <c r="AH2300" s="0" t="n">
        <v>14</v>
      </c>
      <c r="AI2300" s="0" t="n">
        <v>11</v>
      </c>
      <c r="AN2300" s="0" t="s">
        <v>146</v>
      </c>
      <c r="AO2300" s="0" t="s">
        <v>151</v>
      </c>
      <c r="AP2300" s="0" t="s">
        <v>152</v>
      </c>
      <c r="AQ2300" s="0" t="n">
        <v>9</v>
      </c>
      <c r="AR2300" s="0" t="n">
        <v>64</v>
      </c>
      <c r="AS2300" s="0" t="n">
        <v>32</v>
      </c>
      <c r="AU2300" s="0" t="n">
        <f aca="false">COUNTA($BA$1608:$EH$1608)</f>
        <v>5</v>
      </c>
      <c r="AV2300" s="0" t="n">
        <f aca="false">COUNTIF($BA$1608:$EH$1608,"D")</f>
        <v>1</v>
      </c>
      <c r="AW2300" s="0" t="n">
        <f aca="false">COUNTIF($BA$1608:$EH$1608,"R")</f>
        <v>0</v>
      </c>
      <c r="AX2300" s="0" t="n">
        <f aca="false"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>0</v>
      </c>
      <c r="AY2300" s="0" t="n">
        <f aca="false">COUNTIF(DU2300:EH2300, "&lt;&gt;")</f>
        <v>2</v>
      </c>
      <c r="AZ2300" s="0" t="n">
        <f aca="false">IF(EH2300&lt;&gt;"",1,0)</f>
        <v>0</v>
      </c>
      <c r="BB2300" s="0" t="s">
        <v>153</v>
      </c>
      <c r="BL2300" s="0" t="s">
        <v>154</v>
      </c>
      <c r="CP2300" s="0" t="s">
        <v>154</v>
      </c>
      <c r="CZ2300" s="0" t="s">
        <v>155</v>
      </c>
      <c r="DC2300" s="0" t="s">
        <v>154</v>
      </c>
      <c r="DG2300" s="0" t="s">
        <v>155</v>
      </c>
      <c r="DI2300" s="0" t="s">
        <v>154</v>
      </c>
      <c r="DM2300" s="0" t="s">
        <v>155</v>
      </c>
      <c r="DN2300" s="0" t="s">
        <v>154</v>
      </c>
      <c r="DU2300" s="0" t="s">
        <v>154</v>
      </c>
      <c r="DX2300" s="0" t="s">
        <v>154</v>
      </c>
    </row>
    <row r="2301" customFormat="false" ht="13.8" hidden="false" customHeight="false" outlineLevel="0" collapsed="false">
      <c r="A2301" s="0" t="s">
        <v>10039</v>
      </c>
      <c r="B2301" s="0" t="n">
        <v>78</v>
      </c>
      <c r="C2301" s="0" t="n">
        <v>194135</v>
      </c>
      <c r="D2301" s="0" t="s">
        <v>10040</v>
      </c>
      <c r="E2301" s="0" t="s">
        <v>10041</v>
      </c>
      <c r="F2301" s="0" t="str">
        <f aca="false">CONCATENATE(D2301," ",LEFT(H2301,4),"T=",AU2301,"D=",AV2301,"R=",AW2301,"M=",AX2301,"L=",AY2301,"B=",AZ2301)</f>
        <v>STOSHAK T=8D=1R=0M=1L=2B=0</v>
      </c>
      <c r="G2301" s="0" t="s">
        <v>188</v>
      </c>
      <c r="I2301" s="0" t="s">
        <v>10042</v>
      </c>
      <c r="J2301" s="0" t="s">
        <v>10043</v>
      </c>
      <c r="K2301" s="0" t="s">
        <v>175</v>
      </c>
      <c r="L2301" s="1" t="s">
        <v>155</v>
      </c>
      <c r="M2301" s="0" t="s">
        <v>10044</v>
      </c>
      <c r="N2301" s="0" t="str">
        <f aca="false">RIGHT(M2301,LEN(M2301)-FIND(" ",M2301))</f>
        <v>REX BLVD NW</v>
      </c>
      <c r="P2301" s="0" t="s">
        <v>146</v>
      </c>
      <c r="Q2301" s="0" t="s">
        <v>147</v>
      </c>
      <c r="R2301" s="0" t="n">
        <v>44483</v>
      </c>
      <c r="AD2301" s="0" t="s">
        <v>148</v>
      </c>
      <c r="AE2301" s="0" t="s">
        <v>149</v>
      </c>
      <c r="AF2301" s="0" t="s">
        <v>150</v>
      </c>
      <c r="AH2301" s="0" t="n">
        <v>14</v>
      </c>
      <c r="AI2301" s="0" t="n">
        <v>11</v>
      </c>
      <c r="AN2301" s="0" t="s">
        <v>146</v>
      </c>
      <c r="AO2301" s="0" t="s">
        <v>151</v>
      </c>
      <c r="AP2301" s="0" t="s">
        <v>152</v>
      </c>
      <c r="AQ2301" s="0" t="n">
        <v>9</v>
      </c>
      <c r="AR2301" s="0" t="n">
        <v>64</v>
      </c>
      <c r="AS2301" s="0" t="n">
        <v>32</v>
      </c>
      <c r="AU2301" s="0" t="n">
        <f aca="false">COUNTA($BA$1616:$EH$1616)</f>
        <v>8</v>
      </c>
      <c r="AV2301" s="0" t="n">
        <f aca="false">COUNTIF($BA$1616:$EH$1616,"D")</f>
        <v>1</v>
      </c>
      <c r="AW2301" s="0" t="n">
        <f aca="false">COUNTIF($BA$1616:$EH$1616,"R")</f>
        <v>0</v>
      </c>
      <c r="AX2301" s="0" t="n">
        <f aca="false"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>1</v>
      </c>
      <c r="AY2301" s="0" t="n">
        <f aca="false">COUNTIF(DU2301:EH2301, "&lt;&gt;")</f>
        <v>2</v>
      </c>
      <c r="AZ2301" s="0" t="n">
        <f aca="false">IF(EH2301&lt;&gt;"",1,0)</f>
        <v>0</v>
      </c>
      <c r="BB2301" s="0" t="s">
        <v>153</v>
      </c>
      <c r="BC2301" s="0" t="s">
        <v>154</v>
      </c>
      <c r="BD2301" s="0" t="s">
        <v>154</v>
      </c>
      <c r="BE2301" s="0" t="s">
        <v>154</v>
      </c>
      <c r="BF2301" s="0" t="s">
        <v>154</v>
      </c>
      <c r="BH2301" s="0" t="s">
        <v>154</v>
      </c>
      <c r="BI2301" s="0" t="s">
        <v>154</v>
      </c>
      <c r="BJ2301" s="0" t="s">
        <v>154</v>
      </c>
      <c r="BK2301" s="0" t="s">
        <v>154</v>
      </c>
      <c r="BL2301" s="0" t="s">
        <v>154</v>
      </c>
      <c r="BS2301" s="0" t="s">
        <v>154</v>
      </c>
      <c r="BV2301" s="0" t="s">
        <v>154</v>
      </c>
      <c r="BY2301" s="0" t="s">
        <v>155</v>
      </c>
      <c r="CA2301" s="0" t="s">
        <v>154</v>
      </c>
      <c r="CP2301" s="0" t="s">
        <v>154</v>
      </c>
      <c r="CY2301" s="0" t="s">
        <v>154</v>
      </c>
      <c r="DC2301" s="0" t="s">
        <v>154</v>
      </c>
      <c r="DN2301" s="0" t="s">
        <v>154</v>
      </c>
      <c r="DW2301" s="0" t="s">
        <v>155</v>
      </c>
      <c r="EF2301" s="0" t="s">
        <v>154</v>
      </c>
    </row>
    <row r="2302" customFormat="false" ht="13.8" hidden="true" customHeight="false" outlineLevel="0" collapsed="false">
      <c r="A2302" s="0" t="s">
        <v>10045</v>
      </c>
      <c r="B2302" s="0" t="n">
        <v>78</v>
      </c>
      <c r="C2302" s="0" t="n">
        <v>387755</v>
      </c>
      <c r="D2302" s="0" t="s">
        <v>10046</v>
      </c>
      <c r="E2302" s="0" t="s">
        <v>417</v>
      </c>
      <c r="F2302" s="0" t="str">
        <f aca="false">CONCATENATE(D2302," ",LEFT(H2302,4),"T=",AU2302,"D=",AV2302,"R=",AW2302,"M=",AX2302,"L=",AY2302,"B=",AZ2302)</f>
        <v>GARGAS T=1D=0R=0M=0L=0B=0</v>
      </c>
      <c r="G2302" s="0" t="s">
        <v>1131</v>
      </c>
      <c r="I2302" s="0" t="s">
        <v>10047</v>
      </c>
      <c r="J2302" s="0" t="s">
        <v>1327</v>
      </c>
      <c r="K2302" s="0" t="s">
        <v>175</v>
      </c>
      <c r="L2302" s="0"/>
      <c r="M2302" s="0" t="s">
        <v>10048</v>
      </c>
      <c r="N2302" s="0" t="str">
        <f aca="false">RIGHT(M2302,LEN(M2302)-FIND(" ",M2302))</f>
        <v>REX BLVD NW</v>
      </c>
      <c r="P2302" s="0" t="s">
        <v>146</v>
      </c>
      <c r="Q2302" s="0" t="s">
        <v>147</v>
      </c>
      <c r="R2302" s="0" t="n">
        <v>44483</v>
      </c>
      <c r="AD2302" s="0" t="s">
        <v>148</v>
      </c>
      <c r="AE2302" s="0" t="s">
        <v>149</v>
      </c>
      <c r="AF2302" s="0" t="s">
        <v>150</v>
      </c>
      <c r="AH2302" s="0" t="n">
        <v>14</v>
      </c>
      <c r="AI2302" s="0" t="n">
        <v>11</v>
      </c>
      <c r="AN2302" s="0" t="s">
        <v>146</v>
      </c>
      <c r="AO2302" s="0" t="s">
        <v>151</v>
      </c>
      <c r="AP2302" s="0" t="s">
        <v>152</v>
      </c>
      <c r="AQ2302" s="0" t="n">
        <v>9</v>
      </c>
      <c r="AR2302" s="0" t="n">
        <v>64</v>
      </c>
      <c r="AS2302" s="0" t="n">
        <v>32</v>
      </c>
      <c r="AU2302" s="0" t="n">
        <f aca="false">COUNTA($BA$2064:$EH$2064)</f>
        <v>1</v>
      </c>
      <c r="AV2302" s="0" t="n">
        <f aca="false">COUNTIF($BA$2064:$EH$2064,"D")</f>
        <v>0</v>
      </c>
      <c r="AW2302" s="0" t="n">
        <f aca="false">COUNTIF($BA$2064:$EH$2064,"R")</f>
        <v>0</v>
      </c>
      <c r="AX2302" s="0" t="n">
        <f aca="false"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>0</v>
      </c>
      <c r="AY2302" s="0" t="n">
        <f aca="false">COUNTIF(DU2302:EH2302, "&lt;&gt;")</f>
        <v>0</v>
      </c>
      <c r="AZ2302" s="0" t="n">
        <f aca="false">IF(EH2302&lt;&gt;"",1,0)</f>
        <v>0</v>
      </c>
      <c r="BB2302" s="0" t="s">
        <v>153</v>
      </c>
      <c r="CY2302" s="0" t="s">
        <v>154</v>
      </c>
      <c r="CZ2302" s="0" t="s">
        <v>155</v>
      </c>
      <c r="DC2302" s="0" t="s">
        <v>154</v>
      </c>
      <c r="DL2302" s="0" t="s">
        <v>154</v>
      </c>
    </row>
    <row r="2303" customFormat="false" ht="13.8" hidden="false" customHeight="false" outlineLevel="0" collapsed="false">
      <c r="A2303" s="0" t="s">
        <v>10049</v>
      </c>
      <c r="B2303" s="0" t="n">
        <v>78</v>
      </c>
      <c r="C2303" s="0" t="n">
        <v>197658</v>
      </c>
      <c r="D2303" s="0" t="s">
        <v>2551</v>
      </c>
      <c r="E2303" s="0" t="s">
        <v>1022</v>
      </c>
      <c r="F2303" s="0" t="str">
        <f aca="false">CONCATENATE(D2303," ",LEFT(H2303,4),"T=",AU2303,"D=",AV2303,"R=",AW2303,"M=",AX2303,"L=",AY2303,"B=",AZ2303)</f>
        <v>FRANKLIN T=30D=6R=0M=7L=7B=1</v>
      </c>
      <c r="G2303" s="0" t="s">
        <v>155</v>
      </c>
      <c r="I2303" s="0" t="s">
        <v>10050</v>
      </c>
      <c r="J2303" s="0" t="s">
        <v>10051</v>
      </c>
      <c r="K2303" s="0" t="s">
        <v>175</v>
      </c>
      <c r="L2303" s="1" t="s">
        <v>155</v>
      </c>
      <c r="M2303" s="0" t="s">
        <v>10052</v>
      </c>
      <c r="N2303" s="0" t="str">
        <f aca="false">RIGHT(M2303,LEN(M2303)-FIND(" ",M2303))</f>
        <v>REX BLVD NW</v>
      </c>
      <c r="P2303" s="0" t="s">
        <v>146</v>
      </c>
      <c r="Q2303" s="0" t="s">
        <v>147</v>
      </c>
      <c r="R2303" s="0" t="n">
        <v>44483</v>
      </c>
      <c r="S2303" s="0" t="n">
        <v>3132</v>
      </c>
      <c r="AD2303" s="0" t="s">
        <v>148</v>
      </c>
      <c r="AE2303" s="0" t="s">
        <v>149</v>
      </c>
      <c r="AF2303" s="0" t="s">
        <v>150</v>
      </c>
      <c r="AH2303" s="0" t="n">
        <v>14</v>
      </c>
      <c r="AI2303" s="0" t="n">
        <v>11</v>
      </c>
      <c r="AN2303" s="0" t="s">
        <v>146</v>
      </c>
      <c r="AO2303" s="0" t="s">
        <v>151</v>
      </c>
      <c r="AP2303" s="0" t="s">
        <v>152</v>
      </c>
      <c r="AQ2303" s="0" t="n">
        <v>9</v>
      </c>
      <c r="AR2303" s="0" t="n">
        <v>64</v>
      </c>
      <c r="AS2303" s="0" t="n">
        <v>32</v>
      </c>
      <c r="AU2303" s="0" t="n">
        <f aca="false">COUNTA($BA$1679:$EH$1679)</f>
        <v>30</v>
      </c>
      <c r="AV2303" s="0" t="n">
        <f aca="false">COUNTIF($BA$1679:$EH$1679,"D")</f>
        <v>6</v>
      </c>
      <c r="AW2303" s="0" t="n">
        <f aca="false">COUNTIF($BA$1679:$EH$1679,"R")</f>
        <v>0</v>
      </c>
      <c r="AX2303" s="0" t="n">
        <f aca="false"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>7</v>
      </c>
      <c r="AY2303" s="0" t="n">
        <f aca="false">COUNTIF(DU2303:EH2303, "&lt;&gt;")</f>
        <v>7</v>
      </c>
      <c r="AZ2303" s="0" t="n">
        <f aca="false">IF(EH2303&lt;&gt;"",1,0)</f>
        <v>1</v>
      </c>
      <c r="BB2303" s="0" t="s">
        <v>153</v>
      </c>
      <c r="BC2303" s="0" t="s">
        <v>154</v>
      </c>
      <c r="BD2303" s="0" t="s">
        <v>154</v>
      </c>
      <c r="BE2303" s="0" t="s">
        <v>154</v>
      </c>
      <c r="BF2303" s="0" t="s">
        <v>154</v>
      </c>
      <c r="BH2303" s="0" t="s">
        <v>154</v>
      </c>
      <c r="BJ2303" s="0" t="s">
        <v>154</v>
      </c>
      <c r="BK2303" s="0" t="s">
        <v>154</v>
      </c>
      <c r="BL2303" s="0" t="s">
        <v>154</v>
      </c>
      <c r="BP2303" s="0" t="s">
        <v>154</v>
      </c>
      <c r="BR2303" s="0" t="s">
        <v>154</v>
      </c>
      <c r="BS2303" s="0" t="s">
        <v>154</v>
      </c>
      <c r="BV2303" s="0" t="s">
        <v>154</v>
      </c>
      <c r="BY2303" s="0" t="s">
        <v>155</v>
      </c>
      <c r="CA2303" s="0" t="s">
        <v>154</v>
      </c>
      <c r="CG2303" s="0" t="s">
        <v>154</v>
      </c>
      <c r="CH2303" s="0" t="s">
        <v>155</v>
      </c>
      <c r="CK2303" s="0" t="s">
        <v>154</v>
      </c>
      <c r="CL2303" s="0" t="s">
        <v>155</v>
      </c>
      <c r="CN2303" s="0" t="s">
        <v>154</v>
      </c>
      <c r="CO2303" s="0" t="s">
        <v>155</v>
      </c>
      <c r="CP2303" s="0" t="s">
        <v>154</v>
      </c>
      <c r="CT2303" s="0" t="s">
        <v>154</v>
      </c>
      <c r="CV2303" s="0" t="s">
        <v>154</v>
      </c>
      <c r="CW2303" s="0" t="s">
        <v>155</v>
      </c>
      <c r="CY2303" s="0" t="s">
        <v>154</v>
      </c>
      <c r="CZ2303" s="0" t="s">
        <v>155</v>
      </c>
      <c r="DC2303" s="0" t="s">
        <v>154</v>
      </c>
      <c r="DD2303" s="0" t="s">
        <v>155</v>
      </c>
      <c r="DF2303" s="0" t="s">
        <v>154</v>
      </c>
      <c r="DG2303" s="0" t="s">
        <v>155</v>
      </c>
      <c r="DI2303" s="0" t="s">
        <v>154</v>
      </c>
      <c r="DJ2303" s="0" t="s">
        <v>155</v>
      </c>
      <c r="DL2303" s="0" t="s">
        <v>154</v>
      </c>
      <c r="DM2303" s="0" t="s">
        <v>155</v>
      </c>
      <c r="DN2303" s="0" t="s">
        <v>154</v>
      </c>
      <c r="DO2303" s="0" t="s">
        <v>155</v>
      </c>
      <c r="DR2303" s="0" t="s">
        <v>154</v>
      </c>
      <c r="DS2303" s="0" t="s">
        <v>155</v>
      </c>
      <c r="DT2303" s="0" t="s">
        <v>155</v>
      </c>
      <c r="DU2303" s="0" t="s">
        <v>154</v>
      </c>
      <c r="DW2303" s="0" t="s">
        <v>155</v>
      </c>
      <c r="DX2303" s="0" t="s">
        <v>154</v>
      </c>
      <c r="EA2303" s="0" t="s">
        <v>154</v>
      </c>
      <c r="ED2303" s="0" t="s">
        <v>155</v>
      </c>
      <c r="EF2303" s="0" t="s">
        <v>154</v>
      </c>
      <c r="EH2303" s="0" t="s">
        <v>155</v>
      </c>
    </row>
    <row r="2304" customFormat="false" ht="13.8" hidden="false" customHeight="false" outlineLevel="0" collapsed="false">
      <c r="A2304" s="0" t="s">
        <v>10053</v>
      </c>
      <c r="B2304" s="0" t="n">
        <v>78</v>
      </c>
      <c r="C2304" s="0" t="n">
        <v>25511</v>
      </c>
      <c r="D2304" s="0" t="s">
        <v>2551</v>
      </c>
      <c r="E2304" s="0" t="s">
        <v>652</v>
      </c>
      <c r="F2304" s="0" t="str">
        <f aca="false">CONCATENATE(D2304," ",LEFT(H2304,4),"T=",AU2304,"D=",AV2304,"R=",AW2304,"M=",AX2304,"L=",AY2304,"B=",AZ2304)</f>
        <v>FRANKLIN T=4D=1R=0M=7L=7B=1</v>
      </c>
      <c r="G2304" s="0" t="s">
        <v>241</v>
      </c>
      <c r="I2304" s="0" t="s">
        <v>10054</v>
      </c>
      <c r="J2304" s="0" t="s">
        <v>10055</v>
      </c>
      <c r="K2304" s="0" t="s">
        <v>175</v>
      </c>
      <c r="L2304" s="1" t="s">
        <v>155</v>
      </c>
      <c r="M2304" s="0" t="s">
        <v>10052</v>
      </c>
      <c r="N2304" s="0" t="str">
        <f aca="false">RIGHT(M2304,LEN(M2304)-FIND(" ",M2304))</f>
        <v>REX BLVD NW</v>
      </c>
      <c r="P2304" s="0" t="s">
        <v>146</v>
      </c>
      <c r="Q2304" s="0" t="s">
        <v>147</v>
      </c>
      <c r="R2304" s="0" t="n">
        <v>44483</v>
      </c>
      <c r="AD2304" s="0" t="s">
        <v>148</v>
      </c>
      <c r="AE2304" s="0" t="s">
        <v>149</v>
      </c>
      <c r="AF2304" s="0" t="s">
        <v>150</v>
      </c>
      <c r="AH2304" s="0" t="n">
        <v>14</v>
      </c>
      <c r="AI2304" s="0" t="n">
        <v>11</v>
      </c>
      <c r="AN2304" s="0" t="s">
        <v>146</v>
      </c>
      <c r="AO2304" s="0" t="s">
        <v>151</v>
      </c>
      <c r="AP2304" s="0" t="s">
        <v>152</v>
      </c>
      <c r="AQ2304" s="0" t="n">
        <v>9</v>
      </c>
      <c r="AR2304" s="0" t="n">
        <v>64</v>
      </c>
      <c r="AS2304" s="0" t="n">
        <v>32</v>
      </c>
      <c r="AU2304" s="0" t="n">
        <f aca="false">COUNTA($BA$1680:$EH$1680)</f>
        <v>4</v>
      </c>
      <c r="AV2304" s="0" t="n">
        <f aca="false">COUNTIF($BA$1680:$EH$1680,"D")</f>
        <v>1</v>
      </c>
      <c r="AW2304" s="0" t="n">
        <f aca="false">COUNTIF($BA$1680:$EH$1680,"R")</f>
        <v>0</v>
      </c>
      <c r="AX2304" s="0" t="n">
        <f aca="false"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>7</v>
      </c>
      <c r="AY2304" s="0" t="n">
        <f aca="false">COUNTIF(DU2304:EH2304, "&lt;&gt;")</f>
        <v>7</v>
      </c>
      <c r="AZ2304" s="0" t="n">
        <f aca="false">IF(EH2304&lt;&gt;"",1,0)</f>
        <v>1</v>
      </c>
      <c r="BB2304" s="0" t="s">
        <v>153</v>
      </c>
      <c r="BC2304" s="0" t="s">
        <v>154</v>
      </c>
      <c r="BD2304" s="0" t="s">
        <v>154</v>
      </c>
      <c r="BE2304" s="0" t="s">
        <v>154</v>
      </c>
      <c r="BF2304" s="0" t="s">
        <v>154</v>
      </c>
      <c r="BG2304" s="0" t="s">
        <v>154</v>
      </c>
      <c r="BH2304" s="0" t="s">
        <v>154</v>
      </c>
      <c r="BI2304" s="0" t="s">
        <v>154</v>
      </c>
      <c r="BJ2304" s="0" t="s">
        <v>154</v>
      </c>
      <c r="BK2304" s="0" t="s">
        <v>154</v>
      </c>
      <c r="BL2304" s="0" t="s">
        <v>154</v>
      </c>
      <c r="BP2304" s="0" t="s">
        <v>154</v>
      </c>
      <c r="BR2304" s="0" t="s">
        <v>154</v>
      </c>
      <c r="BS2304" s="0" t="s">
        <v>154</v>
      </c>
      <c r="BV2304" s="0" t="s">
        <v>154</v>
      </c>
      <c r="BY2304" s="0" t="s">
        <v>155</v>
      </c>
      <c r="CG2304" s="0" t="s">
        <v>154</v>
      </c>
      <c r="CK2304" s="0" t="s">
        <v>154</v>
      </c>
      <c r="CL2304" s="0" t="s">
        <v>155</v>
      </c>
      <c r="CN2304" s="0" t="s">
        <v>154</v>
      </c>
      <c r="CP2304" s="0" t="s">
        <v>154</v>
      </c>
      <c r="CT2304" s="0" t="s">
        <v>154</v>
      </c>
      <c r="CU2304" s="0" t="s">
        <v>155</v>
      </c>
      <c r="CV2304" s="0" t="s">
        <v>154</v>
      </c>
      <c r="CW2304" s="0" t="s">
        <v>155</v>
      </c>
      <c r="CY2304" s="0" t="s">
        <v>154</v>
      </c>
      <c r="CZ2304" s="0" t="s">
        <v>155</v>
      </c>
      <c r="DC2304" s="0" t="s">
        <v>154</v>
      </c>
      <c r="DD2304" s="0" t="s">
        <v>155</v>
      </c>
      <c r="DI2304" s="0" t="s">
        <v>154</v>
      </c>
      <c r="DJ2304" s="0" t="s">
        <v>155</v>
      </c>
      <c r="DL2304" s="0" t="s">
        <v>154</v>
      </c>
      <c r="DM2304" s="0" t="s">
        <v>155</v>
      </c>
      <c r="DN2304" s="0" t="s">
        <v>154</v>
      </c>
      <c r="DO2304" s="0" t="s">
        <v>155</v>
      </c>
      <c r="DR2304" s="0" t="s">
        <v>154</v>
      </c>
      <c r="DS2304" s="0" t="s">
        <v>155</v>
      </c>
      <c r="DU2304" s="0" t="s">
        <v>154</v>
      </c>
      <c r="DW2304" s="0" t="s">
        <v>155</v>
      </c>
      <c r="DX2304" s="0" t="s">
        <v>154</v>
      </c>
      <c r="EA2304" s="0" t="s">
        <v>154</v>
      </c>
      <c r="ED2304" s="0" t="s">
        <v>155</v>
      </c>
      <c r="EF2304" s="0" t="s">
        <v>154</v>
      </c>
      <c r="EH2304" s="0" t="s">
        <v>155</v>
      </c>
    </row>
    <row r="2305" customFormat="false" ht="13.8" hidden="true" customHeight="false" outlineLevel="0" collapsed="false">
      <c r="A2305" s="0" t="s">
        <v>10056</v>
      </c>
      <c r="B2305" s="0" t="n">
        <v>78</v>
      </c>
      <c r="C2305" s="0" t="n">
        <v>487592</v>
      </c>
      <c r="D2305" s="0" t="s">
        <v>1050</v>
      </c>
      <c r="E2305" s="0" t="s">
        <v>10057</v>
      </c>
      <c r="F2305" s="0" t="str">
        <f aca="false">CONCATENATE(D2305," ",LEFT(H2305,4),"T=",AU2305,"D=",AV2305,"R=",AW2305,"M=",AX2305,"L=",AY2305,"B=",AZ2305)</f>
        <v>JOHNSON T=1D=0R=0M=0L=0B=0</v>
      </c>
      <c r="G2305" s="0" t="s">
        <v>2939</v>
      </c>
      <c r="I2305" s="0" t="s">
        <v>10058</v>
      </c>
      <c r="J2305" s="0" t="s">
        <v>3343</v>
      </c>
      <c r="K2305" s="0" t="s">
        <v>175</v>
      </c>
      <c r="L2305" s="0"/>
      <c r="M2305" s="0" t="s">
        <v>10059</v>
      </c>
      <c r="N2305" s="0" t="str">
        <f aca="false">RIGHT(M2305,LEN(M2305)-FIND(" ",M2305))</f>
        <v>REX BLVD NW</v>
      </c>
      <c r="P2305" s="0" t="s">
        <v>146</v>
      </c>
      <c r="Q2305" s="0" t="s">
        <v>147</v>
      </c>
      <c r="R2305" s="0" t="n">
        <v>44483</v>
      </c>
      <c r="AD2305" s="0" t="s">
        <v>148</v>
      </c>
      <c r="AE2305" s="0" t="s">
        <v>149</v>
      </c>
      <c r="AF2305" s="0" t="s">
        <v>150</v>
      </c>
      <c r="AH2305" s="0" t="n">
        <v>14</v>
      </c>
      <c r="AI2305" s="0" t="n">
        <v>11</v>
      </c>
      <c r="AN2305" s="0" t="s">
        <v>146</v>
      </c>
      <c r="AO2305" s="0" t="s">
        <v>151</v>
      </c>
      <c r="AP2305" s="0" t="s">
        <v>152</v>
      </c>
      <c r="AQ2305" s="0" t="n">
        <v>9</v>
      </c>
      <c r="AR2305" s="0" t="n">
        <v>64</v>
      </c>
      <c r="AS2305" s="0" t="n">
        <v>32</v>
      </c>
      <c r="AU2305" s="0" t="n">
        <f aca="false">COUNTA($BA$1100:$EH$1100)</f>
        <v>1</v>
      </c>
      <c r="AV2305" s="0" t="n">
        <f aca="false">COUNTIF($BA$1100:$EH$1100,"D")</f>
        <v>0</v>
      </c>
      <c r="AW2305" s="0" t="n">
        <f aca="false">COUNTIF($BA$1100:$EH$1100,"R")</f>
        <v>0</v>
      </c>
      <c r="AX2305" s="0" t="n">
        <f aca="false"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>0</v>
      </c>
      <c r="AY2305" s="0" t="n">
        <f aca="false">COUNTIF(DU2305:EH2305, "&lt;&gt;")</f>
        <v>0</v>
      </c>
      <c r="AZ2305" s="0" t="n">
        <f aca="false">IF(EH2305&lt;&gt;"",1,0)</f>
        <v>0</v>
      </c>
      <c r="BB2305" s="0" t="s">
        <v>153</v>
      </c>
    </row>
    <row r="2306" customFormat="false" ht="13.8" hidden="true" customHeight="false" outlineLevel="0" collapsed="false">
      <c r="A2306" s="0" t="s">
        <v>10060</v>
      </c>
      <c r="B2306" s="0" t="n">
        <v>78</v>
      </c>
      <c r="C2306" s="0" t="n">
        <v>403425</v>
      </c>
      <c r="D2306" s="0" t="s">
        <v>1011</v>
      </c>
      <c r="E2306" s="0" t="s">
        <v>4035</v>
      </c>
      <c r="F2306" s="0" t="str">
        <f aca="false">CONCATENATE(D2306," ",LEFT(H2306,4),"T=",AU2306,"D=",AV2306,"R=",AW2306,"M=",AX2306,"L=",AY2306,"B=",AZ2306)</f>
        <v>DAVIS T=21D=4R=0M=0L=0B=0</v>
      </c>
      <c r="G2306" s="0" t="s">
        <v>802</v>
      </c>
      <c r="I2306" s="0" t="s">
        <v>3150</v>
      </c>
      <c r="J2306" s="0" t="s">
        <v>575</v>
      </c>
      <c r="K2306" s="0" t="s">
        <v>144</v>
      </c>
      <c r="L2306" s="0"/>
      <c r="M2306" s="0" t="s">
        <v>10059</v>
      </c>
      <c r="N2306" s="0" t="str">
        <f aca="false">RIGHT(M2306,LEN(M2306)-FIND(" ",M2306))</f>
        <v>REX BLVD NW</v>
      </c>
      <c r="P2306" s="0" t="s">
        <v>146</v>
      </c>
      <c r="Q2306" s="0" t="s">
        <v>147</v>
      </c>
      <c r="R2306" s="0" t="n">
        <v>44483</v>
      </c>
      <c r="AD2306" s="0" t="s">
        <v>148</v>
      </c>
      <c r="AE2306" s="0" t="s">
        <v>149</v>
      </c>
      <c r="AF2306" s="0" t="s">
        <v>150</v>
      </c>
      <c r="AH2306" s="0" t="n">
        <v>14</v>
      </c>
      <c r="AI2306" s="0" t="n">
        <v>11</v>
      </c>
      <c r="AN2306" s="0" t="s">
        <v>146</v>
      </c>
      <c r="AO2306" s="0" t="s">
        <v>151</v>
      </c>
      <c r="AP2306" s="0" t="s">
        <v>152</v>
      </c>
      <c r="AQ2306" s="0" t="n">
        <v>9</v>
      </c>
      <c r="AR2306" s="0" t="n">
        <v>64</v>
      </c>
      <c r="AS2306" s="0" t="n">
        <v>32</v>
      </c>
      <c r="AU2306" s="0" t="n">
        <f aca="false">COUNTA($BA$1829:$EH$1829)</f>
        <v>21</v>
      </c>
      <c r="AV2306" s="0" t="n">
        <f aca="false">COUNTIF($BA$1829:$EH$1829,"D")</f>
        <v>4</v>
      </c>
      <c r="AW2306" s="0" t="n">
        <f aca="false">COUNTIF($BA$1829:$EH$1829,"R")</f>
        <v>0</v>
      </c>
      <c r="AX2306" s="0" t="n">
        <f aca="false"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>0</v>
      </c>
      <c r="AY2306" s="0" t="n">
        <f aca="false">COUNTIF(DU2306:EH2306, "&lt;&gt;")</f>
        <v>0</v>
      </c>
      <c r="AZ2306" s="0" t="n">
        <f aca="false">IF(EH2306&lt;&gt;"",1,0)</f>
        <v>0</v>
      </c>
      <c r="BB2306" s="0" t="s">
        <v>153</v>
      </c>
      <c r="CY2306" s="0" t="s">
        <v>154</v>
      </c>
      <c r="DN2306" s="0" t="s">
        <v>154</v>
      </c>
    </row>
    <row r="2307" customFormat="false" ht="13.8" hidden="true" customHeight="false" outlineLevel="0" collapsed="false">
      <c r="A2307" s="0" t="s">
        <v>10061</v>
      </c>
      <c r="B2307" s="0" t="n">
        <v>78</v>
      </c>
      <c r="C2307" s="0" t="n">
        <v>294555</v>
      </c>
      <c r="D2307" s="0" t="s">
        <v>931</v>
      </c>
      <c r="E2307" s="0" t="s">
        <v>1531</v>
      </c>
      <c r="F2307" s="0" t="str">
        <f aca="false">CONCATENATE(D2307," ",LEFT(H2307,4),"T=",AU2307,"D=",AV2307,"R=",AW2307,"M=",AX2307,"L=",AY2307,"B=",AZ2307)</f>
        <v>BAKER T=9D=1R=0M=0L=0B=0</v>
      </c>
      <c r="G2307" s="0" t="s">
        <v>2033</v>
      </c>
      <c r="I2307" s="0" t="s">
        <v>10062</v>
      </c>
      <c r="J2307" s="0" t="s">
        <v>6926</v>
      </c>
      <c r="K2307" s="0" t="s">
        <v>175</v>
      </c>
      <c r="L2307" s="0"/>
      <c r="M2307" s="0" t="s">
        <v>10059</v>
      </c>
      <c r="N2307" s="0" t="str">
        <f aca="false">RIGHT(M2307,LEN(M2307)-FIND(" ",M2307))</f>
        <v>REX BLVD NW</v>
      </c>
      <c r="P2307" s="0" t="s">
        <v>146</v>
      </c>
      <c r="Q2307" s="0" t="s">
        <v>147</v>
      </c>
      <c r="R2307" s="0" t="n">
        <v>44483</v>
      </c>
      <c r="AD2307" s="0" t="s">
        <v>148</v>
      </c>
      <c r="AE2307" s="0" t="s">
        <v>149</v>
      </c>
      <c r="AF2307" s="0" t="s">
        <v>150</v>
      </c>
      <c r="AH2307" s="0" t="n">
        <v>14</v>
      </c>
      <c r="AI2307" s="0" t="n">
        <v>11</v>
      </c>
      <c r="AN2307" s="0" t="s">
        <v>146</v>
      </c>
      <c r="AO2307" s="0" t="s">
        <v>151</v>
      </c>
      <c r="AP2307" s="0" t="s">
        <v>152</v>
      </c>
      <c r="AQ2307" s="0" t="n">
        <v>9</v>
      </c>
      <c r="AR2307" s="0" t="n">
        <v>64</v>
      </c>
      <c r="AS2307" s="0" t="n">
        <v>32</v>
      </c>
      <c r="AU2307" s="0" t="n">
        <f aca="false">COUNTA($BA$2049:$EH$2049)</f>
        <v>9</v>
      </c>
      <c r="AV2307" s="0" t="n">
        <f aca="false">COUNTIF($BA$2049:$EH$2049,"D")</f>
        <v>1</v>
      </c>
      <c r="AW2307" s="0" t="n">
        <f aca="false">COUNTIF($BA$2049:$EH$2049,"R")</f>
        <v>0</v>
      </c>
      <c r="AX2307" s="0" t="n">
        <f aca="false"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>0</v>
      </c>
      <c r="AY2307" s="0" t="n">
        <f aca="false">COUNTIF(DU2307:EH2307, "&lt;&gt;")</f>
        <v>0</v>
      </c>
      <c r="AZ2307" s="0" t="n">
        <f aca="false">IF(EH2307&lt;&gt;"",1,0)</f>
        <v>0</v>
      </c>
      <c r="BB2307" s="0" t="s">
        <v>153</v>
      </c>
      <c r="BD2307" s="0" t="s">
        <v>154</v>
      </c>
      <c r="BF2307" s="0" t="s">
        <v>154</v>
      </c>
      <c r="BL2307" s="0" t="s">
        <v>154</v>
      </c>
      <c r="BP2307" s="0" t="s">
        <v>154</v>
      </c>
      <c r="BS2307" s="0" t="s">
        <v>154</v>
      </c>
      <c r="BY2307" s="0" t="s">
        <v>155</v>
      </c>
      <c r="CA2307" s="0" t="s">
        <v>154</v>
      </c>
      <c r="CG2307" s="0" t="s">
        <v>154</v>
      </c>
      <c r="CP2307" s="0" t="s">
        <v>154</v>
      </c>
      <c r="CV2307" s="0" t="s">
        <v>154</v>
      </c>
      <c r="CY2307" s="0" t="s">
        <v>154</v>
      </c>
      <c r="CZ2307" s="0" t="s">
        <v>155</v>
      </c>
      <c r="DC2307" s="0" t="s">
        <v>154</v>
      </c>
      <c r="DI2307" s="0" t="s">
        <v>154</v>
      </c>
    </row>
    <row r="2308" customFormat="false" ht="13.8" hidden="false" customHeight="false" outlineLevel="0" collapsed="false">
      <c r="A2308" s="0" t="s">
        <v>10063</v>
      </c>
      <c r="B2308" s="0" t="n">
        <v>78</v>
      </c>
      <c r="C2308" s="0" t="n">
        <v>317138</v>
      </c>
      <c r="D2308" s="0" t="s">
        <v>4194</v>
      </c>
      <c r="E2308" s="0" t="s">
        <v>1232</v>
      </c>
      <c r="F2308" s="0" t="str">
        <f aca="false">CONCATENATE(D2308," ",LEFT(H2308,4),"T=",AU2308,"D=",AV2308,"R=",AW2308,"M=",AX2308,"L=",AY2308,"B=",AZ2308)</f>
        <v>HUGHES T=14D=0R=3M=5L=5B=0</v>
      </c>
      <c r="G2308" s="0" t="s">
        <v>241</v>
      </c>
      <c r="I2308" s="0" t="s">
        <v>10064</v>
      </c>
      <c r="J2308" s="0" t="s">
        <v>4804</v>
      </c>
      <c r="K2308" s="0" t="s">
        <v>175</v>
      </c>
      <c r="L2308" s="1" t="s">
        <v>155</v>
      </c>
      <c r="M2308" s="0" t="s">
        <v>10065</v>
      </c>
      <c r="N2308" s="0" t="str">
        <f aca="false">RIGHT(M2308,LEN(M2308)-FIND(" ",M2308))</f>
        <v>REX BLVD NW</v>
      </c>
      <c r="P2308" s="0" t="s">
        <v>146</v>
      </c>
      <c r="Q2308" s="0" t="s">
        <v>147</v>
      </c>
      <c r="R2308" s="0" t="n">
        <v>44483</v>
      </c>
      <c r="AD2308" s="0" t="s">
        <v>148</v>
      </c>
      <c r="AE2308" s="0" t="s">
        <v>149</v>
      </c>
      <c r="AF2308" s="0" t="s">
        <v>150</v>
      </c>
      <c r="AH2308" s="0" t="n">
        <v>14</v>
      </c>
      <c r="AI2308" s="0" t="n">
        <v>11</v>
      </c>
      <c r="AN2308" s="0" t="s">
        <v>146</v>
      </c>
      <c r="AO2308" s="0" t="s">
        <v>151</v>
      </c>
      <c r="AP2308" s="0" t="s">
        <v>152</v>
      </c>
      <c r="AQ2308" s="0" t="n">
        <v>9</v>
      </c>
      <c r="AR2308" s="0" t="n">
        <v>64</v>
      </c>
      <c r="AS2308" s="0" t="n">
        <v>32</v>
      </c>
      <c r="AU2308" s="0" t="n">
        <f aca="false">COUNTA($BA$1610:$EH$1610)</f>
        <v>14</v>
      </c>
      <c r="AV2308" s="0" t="n">
        <f aca="false">COUNTIF($BA$1610:$EH$1610,"D")</f>
        <v>0</v>
      </c>
      <c r="AW2308" s="0" t="n">
        <f aca="false">COUNTIF($BA$1610:$EH$1610,"R")</f>
        <v>3</v>
      </c>
      <c r="AX2308" s="0" t="n">
        <f aca="false"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>5</v>
      </c>
      <c r="AY2308" s="0" t="n">
        <f aca="false">COUNTIF(DU2308:EH2308, "&lt;&gt;")</f>
        <v>5</v>
      </c>
      <c r="AZ2308" s="0" t="n">
        <f aca="false">IF(EH2308&lt;&gt;"",1,0)</f>
        <v>0</v>
      </c>
      <c r="BB2308" s="0" t="s">
        <v>153</v>
      </c>
      <c r="BJ2308" s="0" t="s">
        <v>154</v>
      </c>
      <c r="BL2308" s="0" t="s">
        <v>154</v>
      </c>
      <c r="BP2308" s="0" t="s">
        <v>154</v>
      </c>
      <c r="BS2308" s="0" t="s">
        <v>154</v>
      </c>
      <c r="BV2308" s="0" t="s">
        <v>154</v>
      </c>
      <c r="BY2308" s="0" t="s">
        <v>155</v>
      </c>
      <c r="CA2308" s="0" t="s">
        <v>154</v>
      </c>
      <c r="CK2308" s="0" t="s">
        <v>154</v>
      </c>
      <c r="CL2308" s="0" t="s">
        <v>155</v>
      </c>
      <c r="CP2308" s="0" t="s">
        <v>154</v>
      </c>
      <c r="CV2308" s="0" t="s">
        <v>154</v>
      </c>
      <c r="CY2308" s="0" t="s">
        <v>154</v>
      </c>
      <c r="CZ2308" s="0" t="s">
        <v>176</v>
      </c>
      <c r="DC2308" s="0" t="s">
        <v>154</v>
      </c>
      <c r="DD2308" s="0" t="s">
        <v>155</v>
      </c>
      <c r="DF2308" s="0" t="s">
        <v>154</v>
      </c>
      <c r="DI2308" s="0" t="s">
        <v>154</v>
      </c>
      <c r="DJ2308" s="0" t="s">
        <v>155</v>
      </c>
      <c r="DL2308" s="0" t="s">
        <v>154</v>
      </c>
      <c r="DM2308" s="0" t="s">
        <v>155</v>
      </c>
      <c r="DN2308" s="0" t="s">
        <v>154</v>
      </c>
      <c r="DO2308" s="0" t="s">
        <v>155</v>
      </c>
      <c r="DR2308" s="0" t="s">
        <v>154</v>
      </c>
      <c r="DS2308" s="0" t="s">
        <v>155</v>
      </c>
      <c r="DT2308" s="0" t="s">
        <v>155</v>
      </c>
      <c r="DU2308" s="0" t="s">
        <v>154</v>
      </c>
      <c r="DW2308" s="0" t="s">
        <v>155</v>
      </c>
      <c r="DX2308" s="0" t="s">
        <v>154</v>
      </c>
      <c r="EA2308" s="0" t="s">
        <v>154</v>
      </c>
      <c r="EF2308" s="0" t="s">
        <v>154</v>
      </c>
    </row>
    <row r="2309" customFormat="false" ht="13.8" hidden="true" customHeight="false" outlineLevel="0" collapsed="false">
      <c r="A2309" s="0" t="s">
        <v>10066</v>
      </c>
      <c r="B2309" s="0" t="n">
        <v>78</v>
      </c>
      <c r="C2309" s="0" t="n">
        <v>307041</v>
      </c>
      <c r="D2309" s="0" t="s">
        <v>10067</v>
      </c>
      <c r="E2309" s="0" t="s">
        <v>5258</v>
      </c>
      <c r="F2309" s="0" t="str">
        <f aca="false">CONCATENATE(D2309," ",LEFT(H2309,4),"T=",AU2309,"D=",AV2309,"R=",AW2309,"M=",AX2309,"L=",AY2309,"B=",AZ2309)</f>
        <v>SECHLER JRT=42D=13R=0M=0L=0B=0</v>
      </c>
      <c r="G2309" s="0" t="s">
        <v>317</v>
      </c>
      <c r="H2309" s="0" t="s">
        <v>431</v>
      </c>
      <c r="I2309" s="0" t="s">
        <v>10068</v>
      </c>
      <c r="J2309" s="0" t="s">
        <v>1611</v>
      </c>
      <c r="K2309" s="0" t="s">
        <v>144</v>
      </c>
      <c r="L2309" s="0"/>
      <c r="M2309" s="0" t="s">
        <v>10069</v>
      </c>
      <c r="N2309" s="0" t="str">
        <f aca="false">RIGHT(M2309,LEN(M2309)-FIND(" ",M2309))</f>
        <v>REX BLVD NW</v>
      </c>
      <c r="P2309" s="0" t="s">
        <v>146</v>
      </c>
      <c r="Q2309" s="0" t="s">
        <v>147</v>
      </c>
      <c r="R2309" s="0" t="n">
        <v>44483</v>
      </c>
      <c r="AD2309" s="0" t="s">
        <v>148</v>
      </c>
      <c r="AE2309" s="0" t="s">
        <v>149</v>
      </c>
      <c r="AF2309" s="0" t="s">
        <v>150</v>
      </c>
      <c r="AH2309" s="0" t="n">
        <v>14</v>
      </c>
      <c r="AI2309" s="0" t="n">
        <v>11</v>
      </c>
      <c r="AN2309" s="0" t="s">
        <v>146</v>
      </c>
      <c r="AO2309" s="0" t="s">
        <v>151</v>
      </c>
      <c r="AP2309" s="0" t="s">
        <v>152</v>
      </c>
      <c r="AQ2309" s="0" t="n">
        <v>9</v>
      </c>
      <c r="AR2309" s="0" t="n">
        <v>64</v>
      </c>
      <c r="AS2309" s="0" t="n">
        <v>32</v>
      </c>
      <c r="AU2309" s="0" t="n">
        <f aca="false">COUNTA($BA$1568:$EH$1568)</f>
        <v>42</v>
      </c>
      <c r="AV2309" s="0" t="n">
        <f aca="false">COUNTIF($BA$1568:$EH$1568,"D")</f>
        <v>13</v>
      </c>
      <c r="AW2309" s="0" t="n">
        <f aca="false">COUNTIF($BA$1568:$EH$1568,"R")</f>
        <v>0</v>
      </c>
      <c r="AX2309" s="0" t="n">
        <f aca="false"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>0</v>
      </c>
      <c r="AY2309" s="0" t="n">
        <f aca="false">COUNTIF(DU2309:EH2309, "&lt;&gt;")</f>
        <v>0</v>
      </c>
      <c r="AZ2309" s="0" t="n">
        <f aca="false">IF(EH2309&lt;&gt;"",1,0)</f>
        <v>0</v>
      </c>
      <c r="BB2309" s="0" t="s">
        <v>153</v>
      </c>
    </row>
    <row r="2310" customFormat="false" ht="13.8" hidden="true" customHeight="false" outlineLevel="0" collapsed="false">
      <c r="A2310" s="0" t="s">
        <v>10070</v>
      </c>
      <c r="B2310" s="0" t="n">
        <v>78</v>
      </c>
      <c r="C2310" s="0" t="n">
        <v>465616</v>
      </c>
      <c r="D2310" s="0" t="s">
        <v>10067</v>
      </c>
      <c r="E2310" s="0" t="s">
        <v>8649</v>
      </c>
      <c r="F2310" s="0" t="str">
        <f aca="false">CONCATENATE(D2310," ",LEFT(H2310,4),"T=",AU2310,"D=",AV2310,"R=",AW2310,"M=",AX2310,"L=",AY2310,"B=",AZ2310)</f>
        <v>SECHLER T=2D=0R=0M=0L=1B=0</v>
      </c>
      <c r="G2310" s="0" t="s">
        <v>181</v>
      </c>
      <c r="I2310" s="0" t="s">
        <v>10071</v>
      </c>
      <c r="J2310" s="0" t="s">
        <v>5864</v>
      </c>
      <c r="K2310" s="0" t="s">
        <v>175</v>
      </c>
      <c r="L2310" s="0"/>
      <c r="M2310" s="0" t="s">
        <v>10069</v>
      </c>
      <c r="N2310" s="0" t="str">
        <f aca="false">RIGHT(M2310,LEN(M2310)-FIND(" ",M2310))</f>
        <v>REX BLVD NW</v>
      </c>
      <c r="P2310" s="0" t="s">
        <v>146</v>
      </c>
      <c r="Q2310" s="0" t="s">
        <v>147</v>
      </c>
      <c r="R2310" s="0" t="n">
        <v>44483</v>
      </c>
      <c r="AD2310" s="0" t="s">
        <v>148</v>
      </c>
      <c r="AE2310" s="0" t="s">
        <v>149</v>
      </c>
      <c r="AF2310" s="0" t="s">
        <v>150</v>
      </c>
      <c r="AH2310" s="0" t="n">
        <v>14</v>
      </c>
      <c r="AI2310" s="0" t="n">
        <v>11</v>
      </c>
      <c r="AN2310" s="0" t="s">
        <v>146</v>
      </c>
      <c r="AO2310" s="0" t="s">
        <v>151</v>
      </c>
      <c r="AP2310" s="0" t="s">
        <v>152</v>
      </c>
      <c r="AQ2310" s="0" t="n">
        <v>9</v>
      </c>
      <c r="AR2310" s="0" t="n">
        <v>64</v>
      </c>
      <c r="AS2310" s="0" t="n">
        <v>32</v>
      </c>
      <c r="AU2310" s="0" t="n">
        <f aca="false">COUNTA($BA$1995:$EH$1995)</f>
        <v>2</v>
      </c>
      <c r="AV2310" s="0" t="n">
        <f aca="false">COUNTIF($BA$1995:$EH$1995,"D")</f>
        <v>0</v>
      </c>
      <c r="AW2310" s="0" t="n">
        <f aca="false">COUNTIF($BA$1995:$EH$1995,"R")</f>
        <v>0</v>
      </c>
      <c r="AX2310" s="0" t="n">
        <f aca="false"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>0</v>
      </c>
      <c r="AY2310" s="0" t="n">
        <f aca="false">COUNTIF(DU2310:EH2310, "&lt;&gt;")</f>
        <v>1</v>
      </c>
      <c r="AZ2310" s="0" t="n">
        <f aca="false">IF(EH2310&lt;&gt;"",1,0)</f>
        <v>0</v>
      </c>
      <c r="BB2310" s="0" t="s">
        <v>153</v>
      </c>
      <c r="EF2310" s="0" t="s">
        <v>154</v>
      </c>
    </row>
    <row r="2311" customFormat="false" ht="13.8" hidden="false" customHeight="false" outlineLevel="0" collapsed="false">
      <c r="A2311" s="0" t="s">
        <v>10072</v>
      </c>
      <c r="B2311" s="0" t="n">
        <v>78</v>
      </c>
      <c r="C2311" s="0" t="n">
        <v>453172</v>
      </c>
      <c r="D2311" s="0" t="s">
        <v>9773</v>
      </c>
      <c r="E2311" s="0" t="s">
        <v>1232</v>
      </c>
      <c r="F2311" s="0" t="str">
        <f aca="false">CONCATENATE(D2311," ",LEFT(H2311,4),"T=",AU2311,"D=",AV2311,"R=",AW2311,"M=",AX2311,"L=",AY2311,"B=",AZ2311)</f>
        <v>CHAMBERS T=48D=15R=0M=0L=4B=0</v>
      </c>
      <c r="G2311" s="0" t="s">
        <v>241</v>
      </c>
      <c r="I2311" s="0" t="s">
        <v>10073</v>
      </c>
      <c r="J2311" s="0" t="s">
        <v>5394</v>
      </c>
      <c r="K2311" s="0" t="s">
        <v>175</v>
      </c>
      <c r="M2311" s="0" t="s">
        <v>10074</v>
      </c>
      <c r="N2311" s="0" t="str">
        <f aca="false">RIGHT(M2311,LEN(M2311)-FIND(" ",M2311))</f>
        <v>REX BLVD NW</v>
      </c>
      <c r="P2311" s="0" t="s">
        <v>146</v>
      </c>
      <c r="Q2311" s="0" t="s">
        <v>147</v>
      </c>
      <c r="R2311" s="0" t="n">
        <v>44483</v>
      </c>
      <c r="AD2311" s="0" t="s">
        <v>148</v>
      </c>
      <c r="AE2311" s="0" t="s">
        <v>149</v>
      </c>
      <c r="AF2311" s="0" t="s">
        <v>150</v>
      </c>
      <c r="AH2311" s="0" t="n">
        <v>14</v>
      </c>
      <c r="AI2311" s="0" t="n">
        <v>11</v>
      </c>
      <c r="AN2311" s="0" t="s">
        <v>146</v>
      </c>
      <c r="AO2311" s="0" t="s">
        <v>151</v>
      </c>
      <c r="AP2311" s="0" t="s">
        <v>152</v>
      </c>
      <c r="AQ2311" s="0" t="n">
        <v>9</v>
      </c>
      <c r="AR2311" s="0" t="n">
        <v>64</v>
      </c>
      <c r="AS2311" s="0" t="n">
        <v>32</v>
      </c>
      <c r="AU2311" s="0" t="n">
        <f aca="false">COUNTA($BA$1913:$EH$1913)</f>
        <v>48</v>
      </c>
      <c r="AV2311" s="0" t="n">
        <f aca="false">COUNTIF($BA$1913:$EH$1913,"D")</f>
        <v>15</v>
      </c>
      <c r="AW2311" s="0" t="n">
        <f aca="false">COUNTIF($BA$1913:$EH$1913,"R")</f>
        <v>0</v>
      </c>
      <c r="AX2311" s="0" t="n">
        <f aca="false"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>0</v>
      </c>
      <c r="AY2311" s="0" t="n">
        <f aca="false">COUNTIF(DU2311:EH2311, "&lt;&gt;")</f>
        <v>4</v>
      </c>
      <c r="AZ2311" s="0" t="n">
        <f aca="false">IF(EH2311&lt;&gt;"",1,0)</f>
        <v>0</v>
      </c>
      <c r="BB2311" s="0" t="s">
        <v>153</v>
      </c>
      <c r="DN2311" s="0" t="s">
        <v>154</v>
      </c>
      <c r="DU2311" s="0" t="s">
        <v>154</v>
      </c>
      <c r="DX2311" s="0" t="s">
        <v>154</v>
      </c>
      <c r="EA2311" s="0" t="s">
        <v>154</v>
      </c>
      <c r="EF2311" s="0" t="s">
        <v>154</v>
      </c>
    </row>
    <row r="2312" customFormat="false" ht="13.8" hidden="true" customHeight="false" outlineLevel="0" collapsed="false">
      <c r="A2312" s="0" t="s">
        <v>10075</v>
      </c>
      <c r="B2312" s="0" t="n">
        <v>78</v>
      </c>
      <c r="C2312" s="0" t="n">
        <v>299487</v>
      </c>
      <c r="D2312" s="0" t="s">
        <v>10076</v>
      </c>
      <c r="E2312" s="0" t="s">
        <v>10077</v>
      </c>
      <c r="F2312" s="0" t="str">
        <f aca="false">CONCATENATE(D2312," ",LEFT(H2312,4),"T=",AU2312,"D=",AV2312,"R=",AW2312,"M=",AX2312,"L=",AY2312,"B=",AZ2312)</f>
        <v>KOVALOSKI T=2D=0R=0M=0L=1B=0</v>
      </c>
      <c r="I2312" s="0" t="s">
        <v>10078</v>
      </c>
      <c r="J2312" s="0" t="s">
        <v>4529</v>
      </c>
      <c r="K2312" s="0" t="s">
        <v>175</v>
      </c>
      <c r="L2312" s="0"/>
      <c r="M2312" s="0" t="s">
        <v>10074</v>
      </c>
      <c r="N2312" s="0" t="str">
        <f aca="false">RIGHT(M2312,LEN(M2312)-FIND(" ",M2312))</f>
        <v>REX BLVD NW</v>
      </c>
      <c r="P2312" s="0" t="s">
        <v>146</v>
      </c>
      <c r="Q2312" s="0" t="s">
        <v>147</v>
      </c>
      <c r="R2312" s="0" t="n">
        <v>44483</v>
      </c>
      <c r="AD2312" s="0" t="s">
        <v>148</v>
      </c>
      <c r="AE2312" s="0" t="s">
        <v>149</v>
      </c>
      <c r="AF2312" s="0" t="s">
        <v>150</v>
      </c>
      <c r="AH2312" s="0" t="n">
        <v>14</v>
      </c>
      <c r="AI2312" s="0" t="n">
        <v>11</v>
      </c>
      <c r="AN2312" s="0" t="s">
        <v>146</v>
      </c>
      <c r="AO2312" s="0" t="s">
        <v>151</v>
      </c>
      <c r="AP2312" s="0" t="s">
        <v>152</v>
      </c>
      <c r="AQ2312" s="0" t="n">
        <v>9</v>
      </c>
      <c r="AR2312" s="0" t="n">
        <v>64</v>
      </c>
      <c r="AS2312" s="0" t="n">
        <v>32</v>
      </c>
      <c r="AU2312" s="0" t="n">
        <f aca="false">COUNTA($BA$2062:$EH$2062)</f>
        <v>2</v>
      </c>
      <c r="AV2312" s="0" t="n">
        <f aca="false">COUNTIF($BA$2062:$EH$2062,"D")</f>
        <v>0</v>
      </c>
      <c r="AW2312" s="0" t="n">
        <f aca="false">COUNTIF($BA$2062:$EH$2062,"R")</f>
        <v>0</v>
      </c>
      <c r="AX2312" s="0" t="n">
        <f aca="false"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>0</v>
      </c>
      <c r="AY2312" s="0" t="n">
        <f aca="false">COUNTIF(DU2312:EH2312, "&lt;&gt;")</f>
        <v>1</v>
      </c>
      <c r="AZ2312" s="0" t="n">
        <f aca="false">IF(EH2312&lt;&gt;"",1,0)</f>
        <v>0</v>
      </c>
      <c r="BB2312" s="0" t="s">
        <v>153</v>
      </c>
      <c r="BD2312" s="0" t="s">
        <v>154</v>
      </c>
      <c r="BH2312" s="0" t="s">
        <v>154</v>
      </c>
      <c r="DI2312" s="0" t="s">
        <v>154</v>
      </c>
      <c r="DL2312" s="0" t="s">
        <v>154</v>
      </c>
      <c r="DN2312" s="0" t="s">
        <v>154</v>
      </c>
      <c r="EF2312" s="0" t="s">
        <v>154</v>
      </c>
    </row>
    <row r="2313" customFormat="false" ht="13.8" hidden="false" customHeight="false" outlineLevel="0" collapsed="false">
      <c r="A2313" s="0" t="s">
        <v>10079</v>
      </c>
      <c r="B2313" s="0" t="n">
        <v>78</v>
      </c>
      <c r="C2313" s="0" t="n">
        <v>350632</v>
      </c>
      <c r="D2313" s="0" t="s">
        <v>8437</v>
      </c>
      <c r="E2313" s="0" t="s">
        <v>335</v>
      </c>
      <c r="F2313" s="0" t="str">
        <f aca="false">CONCATENATE(D2313," ",LEFT(H2313,4),"T=",AU2313,"D=",AV2313,"R=",AW2313,"M=",AX2313,"L=",AY2313,"B=",AZ2313)</f>
        <v>MONTENERI T=1D=0R=0M=0L=2B=0</v>
      </c>
      <c r="G2313" s="0" t="s">
        <v>750</v>
      </c>
      <c r="I2313" s="0" t="s">
        <v>10080</v>
      </c>
      <c r="J2313" s="0" t="s">
        <v>9724</v>
      </c>
      <c r="K2313" s="0" t="s">
        <v>175</v>
      </c>
      <c r="M2313" s="0" t="s">
        <v>10081</v>
      </c>
      <c r="N2313" s="0" t="str">
        <f aca="false">RIGHT(M2313,LEN(M2313)-FIND(" ",M2313))</f>
        <v>REX BLVD NW</v>
      </c>
      <c r="P2313" s="0" t="s">
        <v>146</v>
      </c>
      <c r="Q2313" s="0" t="s">
        <v>147</v>
      </c>
      <c r="R2313" s="0" t="n">
        <v>44483</v>
      </c>
      <c r="AD2313" s="0" t="s">
        <v>148</v>
      </c>
      <c r="AE2313" s="0" t="s">
        <v>149</v>
      </c>
      <c r="AF2313" s="0" t="s">
        <v>150</v>
      </c>
      <c r="AH2313" s="0" t="n">
        <v>14</v>
      </c>
      <c r="AI2313" s="0" t="n">
        <v>11</v>
      </c>
      <c r="AN2313" s="0" t="s">
        <v>146</v>
      </c>
      <c r="AO2313" s="0" t="s">
        <v>151</v>
      </c>
      <c r="AP2313" s="0" t="s">
        <v>152</v>
      </c>
      <c r="AQ2313" s="0" t="n">
        <v>9</v>
      </c>
      <c r="AR2313" s="0" t="n">
        <v>64</v>
      </c>
      <c r="AS2313" s="0" t="n">
        <v>32</v>
      </c>
      <c r="AU2313" s="0" t="n">
        <f aca="false">COUNTA($BA$1109:$EH$1109)</f>
        <v>1</v>
      </c>
      <c r="AV2313" s="0" t="n">
        <f aca="false">COUNTIF($BA$1109:$EH$1109,"D")</f>
        <v>0</v>
      </c>
      <c r="AW2313" s="0" t="n">
        <f aca="false">COUNTIF($BA$1109:$EH$1109,"R")</f>
        <v>0</v>
      </c>
      <c r="AX2313" s="0" t="n">
        <f aca="false"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>0</v>
      </c>
      <c r="AY2313" s="0" t="n">
        <f aca="false">COUNTIF(DU2313:EH2313, "&lt;&gt;")</f>
        <v>2</v>
      </c>
      <c r="AZ2313" s="0" t="n">
        <f aca="false">IF(EH2313&lt;&gt;"",1,0)</f>
        <v>0</v>
      </c>
      <c r="BB2313" s="0" t="s">
        <v>153</v>
      </c>
      <c r="BV2313" s="0" t="s">
        <v>154</v>
      </c>
      <c r="CA2313" s="0" t="s">
        <v>154</v>
      </c>
      <c r="CK2313" s="0" t="s">
        <v>154</v>
      </c>
      <c r="CN2313" s="0" t="s">
        <v>154</v>
      </c>
      <c r="CP2313" s="0" t="s">
        <v>154</v>
      </c>
      <c r="CT2313" s="0" t="s">
        <v>154</v>
      </c>
      <c r="CY2313" s="0" t="s">
        <v>154</v>
      </c>
      <c r="DC2313" s="0" t="s">
        <v>154</v>
      </c>
      <c r="DF2313" s="0" t="s">
        <v>154</v>
      </c>
      <c r="DI2313" s="0" t="s">
        <v>154</v>
      </c>
      <c r="DL2313" s="0" t="s">
        <v>154</v>
      </c>
      <c r="DN2313" s="0" t="s">
        <v>154</v>
      </c>
      <c r="DR2313" s="0" t="s">
        <v>154</v>
      </c>
      <c r="DS2313" s="0" t="s">
        <v>154</v>
      </c>
      <c r="DU2313" s="0" t="s">
        <v>154</v>
      </c>
      <c r="EF2313" s="0" t="s">
        <v>154</v>
      </c>
    </row>
    <row r="2314" customFormat="false" ht="13.8" hidden="false" customHeight="false" outlineLevel="0" collapsed="false">
      <c r="A2314" s="0" t="s">
        <v>10082</v>
      </c>
      <c r="B2314" s="0" t="n">
        <v>78</v>
      </c>
      <c r="C2314" s="0" t="n">
        <v>269910</v>
      </c>
      <c r="D2314" s="0" t="s">
        <v>8437</v>
      </c>
      <c r="E2314" s="0" t="s">
        <v>10083</v>
      </c>
      <c r="F2314" s="0" t="str">
        <f aca="false">CONCATENATE(D2314," ",LEFT(H2314,4),"T=",AU2314,"D=",AV2314,"R=",AW2314,"M=",AX2314,"L=",AY2314,"B=",AZ2314)</f>
        <v>MONTENERI T=2D=0R=0M=2L=5B=0</v>
      </c>
      <c r="I2314" s="0" t="s">
        <v>10084</v>
      </c>
      <c r="J2314" s="0" t="s">
        <v>2471</v>
      </c>
      <c r="K2314" s="0" t="s">
        <v>175</v>
      </c>
      <c r="L2314" s="1" t="s">
        <v>155</v>
      </c>
      <c r="M2314" s="0" t="s">
        <v>10081</v>
      </c>
      <c r="N2314" s="0" t="str">
        <f aca="false">RIGHT(M2314,LEN(M2314)-FIND(" ",M2314))</f>
        <v>REX BLVD NW</v>
      </c>
      <c r="P2314" s="0" t="s">
        <v>146</v>
      </c>
      <c r="Q2314" s="0" t="s">
        <v>147</v>
      </c>
      <c r="R2314" s="0" t="n">
        <v>44483</v>
      </c>
      <c r="AD2314" s="0" t="s">
        <v>148</v>
      </c>
      <c r="AE2314" s="0" t="s">
        <v>149</v>
      </c>
      <c r="AF2314" s="0" t="s">
        <v>150</v>
      </c>
      <c r="AH2314" s="0" t="n">
        <v>14</v>
      </c>
      <c r="AI2314" s="0" t="n">
        <v>11</v>
      </c>
      <c r="AN2314" s="0" t="s">
        <v>146</v>
      </c>
      <c r="AO2314" s="0" t="s">
        <v>151</v>
      </c>
      <c r="AP2314" s="0" t="s">
        <v>152</v>
      </c>
      <c r="AQ2314" s="0" t="n">
        <v>9</v>
      </c>
      <c r="AR2314" s="0" t="n">
        <v>64</v>
      </c>
      <c r="AS2314" s="0" t="n">
        <v>32</v>
      </c>
      <c r="AU2314" s="0" t="n">
        <f aca="false">COUNTA($BA$1614:$EH$1614)</f>
        <v>2</v>
      </c>
      <c r="AV2314" s="0" t="n">
        <f aca="false">COUNTIF($BA$1614:$EH$1614,"D")</f>
        <v>0</v>
      </c>
      <c r="AW2314" s="0" t="n">
        <f aca="false">COUNTIF($BA$1614:$EH$1614,"R")</f>
        <v>0</v>
      </c>
      <c r="AX2314" s="0" t="n">
        <f aca="false"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>2</v>
      </c>
      <c r="AY2314" s="0" t="n">
        <f aca="false">COUNTIF(DU2314:EH2314, "&lt;&gt;")</f>
        <v>5</v>
      </c>
      <c r="AZ2314" s="0" t="n">
        <f aca="false">IF(EH2314&lt;&gt;"",1,0)</f>
        <v>0</v>
      </c>
      <c r="BB2314" s="0" t="s">
        <v>153</v>
      </c>
      <c r="BC2314" s="0" t="s">
        <v>154</v>
      </c>
      <c r="BD2314" s="0" t="s">
        <v>154</v>
      </c>
      <c r="BE2314" s="0" t="s">
        <v>154</v>
      </c>
      <c r="BF2314" s="0" t="s">
        <v>154</v>
      </c>
      <c r="BG2314" s="0" t="s">
        <v>154</v>
      </c>
      <c r="BI2314" s="0" t="s">
        <v>154</v>
      </c>
      <c r="BJ2314" s="0" t="s">
        <v>154</v>
      </c>
      <c r="BK2314" s="0" t="s">
        <v>154</v>
      </c>
      <c r="BL2314" s="0" t="s">
        <v>154</v>
      </c>
      <c r="BP2314" s="0" t="s">
        <v>154</v>
      </c>
      <c r="BS2314" s="0" t="s">
        <v>154</v>
      </c>
      <c r="BY2314" s="0" t="s">
        <v>155</v>
      </c>
      <c r="CA2314" s="0" t="s">
        <v>154</v>
      </c>
      <c r="CG2314" s="0" t="s">
        <v>154</v>
      </c>
      <c r="CK2314" s="0" t="s">
        <v>154</v>
      </c>
      <c r="CN2314" s="0" t="s">
        <v>154</v>
      </c>
      <c r="DC2314" s="0" t="s">
        <v>154</v>
      </c>
      <c r="DD2314" s="0" t="s">
        <v>155</v>
      </c>
      <c r="DF2314" s="0" t="s">
        <v>154</v>
      </c>
      <c r="DG2314" s="0" t="s">
        <v>155</v>
      </c>
      <c r="DI2314" s="0" t="s">
        <v>154</v>
      </c>
      <c r="DJ2314" s="0" t="s">
        <v>155</v>
      </c>
      <c r="DL2314" s="0" t="s">
        <v>154</v>
      </c>
      <c r="DN2314" s="0" t="s">
        <v>154</v>
      </c>
      <c r="DR2314" s="0" t="s">
        <v>154</v>
      </c>
      <c r="DU2314" s="0" t="s">
        <v>154</v>
      </c>
      <c r="DX2314" s="0" t="s">
        <v>154</v>
      </c>
      <c r="EA2314" s="0" t="s">
        <v>154</v>
      </c>
      <c r="ED2314" s="0" t="s">
        <v>155</v>
      </c>
      <c r="EF2314" s="0" t="s">
        <v>154</v>
      </c>
    </row>
    <row r="2315" customFormat="false" ht="13.8" hidden="false" customHeight="false" outlineLevel="0" collapsed="false">
      <c r="A2315" s="0" t="s">
        <v>10085</v>
      </c>
      <c r="B2315" s="0" t="n">
        <v>78</v>
      </c>
      <c r="C2315" s="0" t="n">
        <v>227687</v>
      </c>
      <c r="D2315" s="0" t="s">
        <v>8437</v>
      </c>
      <c r="E2315" s="0" t="s">
        <v>3061</v>
      </c>
      <c r="F2315" s="0" t="str">
        <f aca="false">CONCATENATE(D2315," ",LEFT(H2315,4),"T=",AU2315,"D=",AV2315,"R=",AW2315,"M=",AX2315,"L=",AY2315,"B=",AZ2315)</f>
        <v>MONTENERI SRT=1D=0R=0M=5L=7B=1</v>
      </c>
      <c r="G2315" s="0" t="s">
        <v>188</v>
      </c>
      <c r="H2315" s="0" t="s">
        <v>311</v>
      </c>
      <c r="I2315" s="0" t="s">
        <v>10086</v>
      </c>
      <c r="J2315" s="0" t="s">
        <v>10087</v>
      </c>
      <c r="K2315" s="0" t="s">
        <v>175</v>
      </c>
      <c r="L2315" s="1" t="s">
        <v>155</v>
      </c>
      <c r="M2315" s="0" t="s">
        <v>10081</v>
      </c>
      <c r="N2315" s="0" t="str">
        <f aca="false">RIGHT(M2315,LEN(M2315)-FIND(" ",M2315))</f>
        <v>REX BLVD NW</v>
      </c>
      <c r="P2315" s="0" t="s">
        <v>146</v>
      </c>
      <c r="Q2315" s="0" t="s">
        <v>147</v>
      </c>
      <c r="R2315" s="0" t="n">
        <v>44483</v>
      </c>
      <c r="AD2315" s="0" t="s">
        <v>148</v>
      </c>
      <c r="AE2315" s="0" t="s">
        <v>149</v>
      </c>
      <c r="AF2315" s="0" t="s">
        <v>150</v>
      </c>
      <c r="AH2315" s="0" t="n">
        <v>14</v>
      </c>
      <c r="AI2315" s="0" t="n">
        <v>11</v>
      </c>
      <c r="AN2315" s="0" t="s">
        <v>146</v>
      </c>
      <c r="AO2315" s="0" t="s">
        <v>151</v>
      </c>
      <c r="AP2315" s="0" t="s">
        <v>152</v>
      </c>
      <c r="AQ2315" s="0" t="n">
        <v>9</v>
      </c>
      <c r="AR2315" s="0" t="n">
        <v>64</v>
      </c>
      <c r="AS2315" s="0" t="n">
        <v>32</v>
      </c>
      <c r="AU2315" s="0" t="n">
        <f aca="false">COUNTA($BA$1685:$EH$1685)</f>
        <v>1</v>
      </c>
      <c r="AV2315" s="0" t="n">
        <f aca="false">COUNTIF($BA$1685:$EH$1685,"D")</f>
        <v>0</v>
      </c>
      <c r="AW2315" s="0" t="n">
        <f aca="false">COUNTIF($BA$1685:$EH$1685,"R")</f>
        <v>0</v>
      </c>
      <c r="AX2315" s="0" t="n">
        <f aca="false"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>5</v>
      </c>
      <c r="AY2315" s="0" t="n">
        <f aca="false">COUNTIF(DU2315:EH2315, "&lt;&gt;")</f>
        <v>7</v>
      </c>
      <c r="AZ2315" s="0" t="n">
        <f aca="false">IF(EH2315&lt;&gt;"",1,0)</f>
        <v>1</v>
      </c>
      <c r="BB2315" s="0" t="s">
        <v>153</v>
      </c>
      <c r="BC2315" s="0" t="s">
        <v>154</v>
      </c>
      <c r="BD2315" s="0" t="s">
        <v>154</v>
      </c>
      <c r="BF2315" s="0" t="s">
        <v>154</v>
      </c>
      <c r="BG2315" s="0" t="s">
        <v>154</v>
      </c>
      <c r="BH2315" s="0" t="s">
        <v>154</v>
      </c>
      <c r="BJ2315" s="0" t="s">
        <v>154</v>
      </c>
      <c r="BL2315" s="0" t="s">
        <v>154</v>
      </c>
      <c r="BP2315" s="0" t="s">
        <v>154</v>
      </c>
      <c r="BR2315" s="0" t="s">
        <v>154</v>
      </c>
      <c r="BS2315" s="0" t="s">
        <v>154</v>
      </c>
      <c r="BT2315" s="0" t="s">
        <v>154</v>
      </c>
      <c r="BV2315" s="0" t="s">
        <v>154</v>
      </c>
      <c r="BY2315" s="0" t="s">
        <v>155</v>
      </c>
      <c r="CA2315" s="0" t="s">
        <v>154</v>
      </c>
      <c r="CC2315" s="0" t="s">
        <v>154</v>
      </c>
      <c r="CG2315" s="0" t="s">
        <v>154</v>
      </c>
      <c r="CH2315" s="0" t="s">
        <v>155</v>
      </c>
      <c r="CK2315" s="0" t="s">
        <v>154</v>
      </c>
      <c r="CN2315" s="0" t="s">
        <v>154</v>
      </c>
      <c r="CP2315" s="0" t="s">
        <v>154</v>
      </c>
      <c r="CU2315" s="0" t="s">
        <v>155</v>
      </c>
      <c r="CV2315" s="0" t="s">
        <v>154</v>
      </c>
      <c r="CY2315" s="0" t="s">
        <v>154</v>
      </c>
      <c r="CZ2315" s="0" t="s">
        <v>155</v>
      </c>
      <c r="DC2315" s="0" t="s">
        <v>154</v>
      </c>
      <c r="DD2315" s="0" t="s">
        <v>155</v>
      </c>
      <c r="DF2315" s="0" t="s">
        <v>154</v>
      </c>
      <c r="DG2315" s="0" t="s">
        <v>155</v>
      </c>
      <c r="DI2315" s="0" t="s">
        <v>154</v>
      </c>
      <c r="DJ2315" s="0" t="s">
        <v>155</v>
      </c>
      <c r="DL2315" s="0" t="s">
        <v>154</v>
      </c>
      <c r="DN2315" s="0" t="s">
        <v>154</v>
      </c>
      <c r="DO2315" s="0" t="s">
        <v>155</v>
      </c>
      <c r="DR2315" s="0" t="s">
        <v>154</v>
      </c>
      <c r="DS2315" s="0" t="s">
        <v>155</v>
      </c>
      <c r="DU2315" s="0" t="s">
        <v>154</v>
      </c>
      <c r="DW2315" s="0" t="s">
        <v>155</v>
      </c>
      <c r="DX2315" s="0" t="s">
        <v>154</v>
      </c>
      <c r="EA2315" s="0" t="s">
        <v>154</v>
      </c>
      <c r="ED2315" s="0" t="s">
        <v>155</v>
      </c>
      <c r="EF2315" s="0" t="s">
        <v>154</v>
      </c>
      <c r="EH2315" s="0" t="s">
        <v>155</v>
      </c>
    </row>
    <row r="2316" customFormat="false" ht="13.8" hidden="true" customHeight="false" outlineLevel="0" collapsed="false">
      <c r="A2316" s="0" t="s">
        <v>10088</v>
      </c>
      <c r="B2316" s="0" t="n">
        <v>78</v>
      </c>
      <c r="C2316" s="0" t="n">
        <v>465014</v>
      </c>
      <c r="D2316" s="0" t="s">
        <v>1487</v>
      </c>
      <c r="E2316" s="0" t="s">
        <v>5099</v>
      </c>
      <c r="F2316" s="0" t="str">
        <f aca="false">CONCATENATE(D2316," ",LEFT(H2316,4),"T=",AU2316,"D=",AV2316,"R=",AW2316,"M=",AX2316,"L=",AY2316,"B=",AZ2316)</f>
        <v>COLLINS T=30D=1R=4M=0L=1B=0</v>
      </c>
      <c r="G2316" s="0" t="s">
        <v>172</v>
      </c>
      <c r="I2316" s="0" t="s">
        <v>10089</v>
      </c>
      <c r="J2316" s="0" t="s">
        <v>1960</v>
      </c>
      <c r="K2316" s="0" t="s">
        <v>175</v>
      </c>
      <c r="L2316" s="0"/>
      <c r="M2316" s="0" t="s">
        <v>10090</v>
      </c>
      <c r="N2316" s="0" t="str">
        <f aca="false">RIGHT(M2316,LEN(M2316)-FIND(" ",M2316))</f>
        <v>REX BLVD NW</v>
      </c>
      <c r="P2316" s="0" t="s">
        <v>146</v>
      </c>
      <c r="Q2316" s="0" t="s">
        <v>147</v>
      </c>
      <c r="R2316" s="0" t="n">
        <v>44483</v>
      </c>
      <c r="AD2316" s="0" t="s">
        <v>148</v>
      </c>
      <c r="AE2316" s="0" t="s">
        <v>149</v>
      </c>
      <c r="AF2316" s="0" t="s">
        <v>150</v>
      </c>
      <c r="AH2316" s="0" t="n">
        <v>14</v>
      </c>
      <c r="AI2316" s="0" t="n">
        <v>11</v>
      </c>
      <c r="AN2316" s="0" t="s">
        <v>146</v>
      </c>
      <c r="AO2316" s="0" t="s">
        <v>151</v>
      </c>
      <c r="AP2316" s="0" t="s">
        <v>152</v>
      </c>
      <c r="AQ2316" s="0" t="n">
        <v>9</v>
      </c>
      <c r="AR2316" s="0" t="n">
        <v>64</v>
      </c>
      <c r="AS2316" s="0" t="n">
        <v>32</v>
      </c>
      <c r="AU2316" s="0" t="n">
        <f aca="false">COUNTA($BA$1578:$EH$1578)</f>
        <v>30</v>
      </c>
      <c r="AV2316" s="0" t="n">
        <f aca="false">COUNTIF($BA$1578:$EH$1578,"D")</f>
        <v>1</v>
      </c>
      <c r="AW2316" s="0" t="n">
        <f aca="false">COUNTIF($BA$1578:$EH$1578,"R")</f>
        <v>4</v>
      </c>
      <c r="AX2316" s="0" t="n">
        <f aca="false"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>0</v>
      </c>
      <c r="AY2316" s="0" t="n">
        <f aca="false">COUNTIF(DU2316:EH2316, "&lt;&gt;")</f>
        <v>1</v>
      </c>
      <c r="AZ2316" s="0" t="n">
        <f aca="false">IF(EH2316&lt;&gt;"",1,0)</f>
        <v>0</v>
      </c>
      <c r="BB2316" s="0" t="s">
        <v>153</v>
      </c>
      <c r="DU2316" s="0" t="s">
        <v>154</v>
      </c>
    </row>
    <row r="2317" customFormat="false" ht="13.8" hidden="true" customHeight="false" outlineLevel="0" collapsed="false">
      <c r="A2317" s="0" t="s">
        <v>10091</v>
      </c>
      <c r="B2317" s="0" t="n">
        <v>78</v>
      </c>
      <c r="C2317" s="0" t="n">
        <v>374970</v>
      </c>
      <c r="D2317" s="0" t="s">
        <v>1487</v>
      </c>
      <c r="E2317" s="0" t="s">
        <v>771</v>
      </c>
      <c r="F2317" s="0" t="str">
        <f aca="false">CONCATENATE(D2317," ",LEFT(H2317,4),"T=",AU2317,"D=",AV2317,"R=",AW2317,"M=",AX2317,"L=",AY2317,"B=",AZ2317)</f>
        <v>COLLINS T=7D=1R=0M=0L=0B=0</v>
      </c>
      <c r="G2317" s="0" t="s">
        <v>172</v>
      </c>
      <c r="I2317" s="0" t="s">
        <v>10092</v>
      </c>
      <c r="J2317" s="0" t="s">
        <v>2168</v>
      </c>
      <c r="K2317" s="0" t="s">
        <v>144</v>
      </c>
      <c r="L2317" s="0"/>
      <c r="M2317" s="0" t="s">
        <v>10090</v>
      </c>
      <c r="N2317" s="0" t="str">
        <f aca="false">RIGHT(M2317,LEN(M2317)-FIND(" ",M2317))</f>
        <v>REX BLVD NW</v>
      </c>
      <c r="P2317" s="0" t="s">
        <v>146</v>
      </c>
      <c r="Q2317" s="0" t="s">
        <v>147</v>
      </c>
      <c r="R2317" s="0" t="n">
        <v>44483</v>
      </c>
      <c r="AD2317" s="0" t="s">
        <v>148</v>
      </c>
      <c r="AE2317" s="0" t="s">
        <v>149</v>
      </c>
      <c r="AF2317" s="0" t="s">
        <v>150</v>
      </c>
      <c r="AH2317" s="0" t="n">
        <v>14</v>
      </c>
      <c r="AI2317" s="0" t="n">
        <v>11</v>
      </c>
      <c r="AN2317" s="0" t="s">
        <v>146</v>
      </c>
      <c r="AO2317" s="0" t="s">
        <v>151</v>
      </c>
      <c r="AP2317" s="0" t="s">
        <v>152</v>
      </c>
      <c r="AQ2317" s="0" t="n">
        <v>9</v>
      </c>
      <c r="AR2317" s="0" t="n">
        <v>64</v>
      </c>
      <c r="AS2317" s="0" t="n">
        <v>32</v>
      </c>
      <c r="AU2317" s="0" t="n">
        <f aca="false">COUNTA($BA$2012:$EH$2012)</f>
        <v>7</v>
      </c>
      <c r="AV2317" s="0" t="n">
        <f aca="false">COUNTIF($BA$2012:$EH$2012,"D")</f>
        <v>1</v>
      </c>
      <c r="AW2317" s="0" t="n">
        <f aca="false">COUNTIF($BA$2012:$EH$2012,"R")</f>
        <v>0</v>
      </c>
      <c r="AX2317" s="0" t="n">
        <f aca="false"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>0</v>
      </c>
      <c r="AY2317" s="0" t="n">
        <f aca="false">COUNTIF(DU2317:EH2317, "&lt;&gt;")</f>
        <v>0</v>
      </c>
      <c r="AZ2317" s="0" t="n">
        <f aca="false">IF(EH2317&lt;&gt;"",1,0)</f>
        <v>0</v>
      </c>
      <c r="BB2317" s="0" t="s">
        <v>153</v>
      </c>
    </row>
    <row r="2318" customFormat="false" ht="13.8" hidden="true" customHeight="false" outlineLevel="0" collapsed="false">
      <c r="A2318" s="0" t="s">
        <v>10093</v>
      </c>
      <c r="B2318" s="0" t="n">
        <v>78</v>
      </c>
      <c r="C2318" s="0" t="n">
        <v>495288</v>
      </c>
      <c r="D2318" s="0" t="s">
        <v>10094</v>
      </c>
      <c r="E2318" s="0" t="s">
        <v>1916</v>
      </c>
      <c r="F2318" s="0" t="str">
        <f aca="false">CONCATENATE(D2318," ",LEFT(H2318,4),"T=",AU2318,"D=",AV2318,"R=",AW2318,"M=",AX2318,"L=",AY2318,"B=",AZ2318)</f>
        <v>MORTIMER JRT=6D=0R=3M=0L=0B=0</v>
      </c>
      <c r="G2318" s="0" t="s">
        <v>694</v>
      </c>
      <c r="H2318" s="0" t="s">
        <v>431</v>
      </c>
      <c r="I2318" s="0" t="s">
        <v>10095</v>
      </c>
      <c r="J2318" s="0" t="s">
        <v>5147</v>
      </c>
      <c r="K2318" s="0" t="s">
        <v>175</v>
      </c>
      <c r="L2318" s="0"/>
      <c r="M2318" s="0" t="s">
        <v>10096</v>
      </c>
      <c r="N2318" s="0" t="str">
        <f aca="false">RIGHT(M2318,LEN(M2318)-FIND(" ",M2318))</f>
        <v>REX BLVD NW</v>
      </c>
      <c r="P2318" s="0" t="s">
        <v>146</v>
      </c>
      <c r="Q2318" s="0" t="s">
        <v>147</v>
      </c>
      <c r="R2318" s="0" t="n">
        <v>44483</v>
      </c>
      <c r="AD2318" s="0" t="s">
        <v>148</v>
      </c>
      <c r="AE2318" s="0" t="s">
        <v>149</v>
      </c>
      <c r="AF2318" s="0" t="s">
        <v>150</v>
      </c>
      <c r="AH2318" s="0" t="n">
        <v>14</v>
      </c>
      <c r="AI2318" s="0" t="n">
        <v>11</v>
      </c>
      <c r="AN2318" s="0" t="s">
        <v>146</v>
      </c>
      <c r="AO2318" s="0" t="s">
        <v>151</v>
      </c>
      <c r="AP2318" s="0" t="s">
        <v>152</v>
      </c>
      <c r="AQ2318" s="0" t="n">
        <v>9</v>
      </c>
      <c r="AR2318" s="0" t="n">
        <v>64</v>
      </c>
      <c r="AS2318" s="0" t="n">
        <v>32</v>
      </c>
      <c r="AU2318" s="0" t="n">
        <f aca="false">COUNTA($BA$1492:$EH$1492)</f>
        <v>6</v>
      </c>
      <c r="AV2318" s="0" t="n">
        <f aca="false">COUNTIF($BA$1492:$EH$1492,"D")</f>
        <v>0</v>
      </c>
      <c r="AW2318" s="0" t="n">
        <f aca="false">COUNTIF($BA$1492:$EH$1492,"R")</f>
        <v>3</v>
      </c>
      <c r="AX2318" s="0" t="n">
        <f aca="false"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>0</v>
      </c>
      <c r="AY2318" s="0" t="n">
        <f aca="false">COUNTIF(DU2318:EH2318, "&lt;&gt;")</f>
        <v>0</v>
      </c>
      <c r="AZ2318" s="0" t="n">
        <f aca="false">IF(EH2318&lt;&gt;"",1,0)</f>
        <v>0</v>
      </c>
      <c r="BB2318" s="0" t="s">
        <v>153</v>
      </c>
    </row>
    <row r="2319" customFormat="false" ht="13.8" hidden="false" customHeight="false" outlineLevel="0" collapsed="false">
      <c r="A2319" s="0" t="s">
        <v>10097</v>
      </c>
      <c r="B2319" s="0" t="n">
        <v>78</v>
      </c>
      <c r="C2319" s="0" t="n">
        <v>435784</v>
      </c>
      <c r="D2319" s="0" t="s">
        <v>5990</v>
      </c>
      <c r="E2319" s="0" t="s">
        <v>2710</v>
      </c>
      <c r="F2319" s="0" t="str">
        <f aca="false">CONCATENATE(D2319," ",LEFT(H2319,4),"T=",AU2319,"D=",AV2319,"R=",AW2319,"M=",AX2319,"L=",AY2319,"B=",AZ2319)</f>
        <v>HURST T=5D=1R=0M=0L=2B=0</v>
      </c>
      <c r="G2319" s="0" t="s">
        <v>2530</v>
      </c>
      <c r="I2319" s="0" t="s">
        <v>5325</v>
      </c>
      <c r="J2319" s="0" t="s">
        <v>5047</v>
      </c>
      <c r="K2319" s="0" t="s">
        <v>175</v>
      </c>
      <c r="M2319" s="0" t="s">
        <v>10096</v>
      </c>
      <c r="N2319" s="0" t="str">
        <f aca="false">RIGHT(M2319,LEN(M2319)-FIND(" ",M2319))</f>
        <v>REX BLVD NW</v>
      </c>
      <c r="P2319" s="0" t="s">
        <v>146</v>
      </c>
      <c r="Q2319" s="0" t="s">
        <v>147</v>
      </c>
      <c r="R2319" s="0" t="n">
        <v>44483</v>
      </c>
      <c r="AD2319" s="0" t="s">
        <v>148</v>
      </c>
      <c r="AE2319" s="0" t="s">
        <v>149</v>
      </c>
      <c r="AF2319" s="0" t="s">
        <v>150</v>
      </c>
      <c r="AH2319" s="0" t="n">
        <v>14</v>
      </c>
      <c r="AI2319" s="0" t="n">
        <v>11</v>
      </c>
      <c r="AN2319" s="0" t="s">
        <v>146</v>
      </c>
      <c r="AO2319" s="0" t="s">
        <v>151</v>
      </c>
      <c r="AP2319" s="0" t="s">
        <v>152</v>
      </c>
      <c r="AQ2319" s="0" t="n">
        <v>9</v>
      </c>
      <c r="AR2319" s="0" t="n">
        <v>64</v>
      </c>
      <c r="AS2319" s="0" t="n">
        <v>32</v>
      </c>
      <c r="AU2319" s="0" t="n">
        <f aca="false">COUNTA($BA$1719:$EH$1719)</f>
        <v>5</v>
      </c>
      <c r="AV2319" s="0" t="n">
        <f aca="false">COUNTIF($BA$1719:$EH$1719,"D")</f>
        <v>1</v>
      </c>
      <c r="AW2319" s="0" t="n">
        <f aca="false">COUNTIF($BA$1719:$EH$1719,"R")</f>
        <v>0</v>
      </c>
      <c r="AX2319" s="0" t="n">
        <f aca="false"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>0</v>
      </c>
      <c r="AY2319" s="0" t="n">
        <f aca="false">COUNTIF(DU2319:EH2319, "&lt;&gt;")</f>
        <v>2</v>
      </c>
      <c r="AZ2319" s="0" t="n">
        <f aca="false">IF(EH2319&lt;&gt;"",1,0)</f>
        <v>0</v>
      </c>
      <c r="BB2319" s="0" t="s">
        <v>153</v>
      </c>
      <c r="EA2319" s="0" t="s">
        <v>154</v>
      </c>
      <c r="EF2319" s="0" t="s">
        <v>154</v>
      </c>
    </row>
    <row r="2320" customFormat="false" ht="13.8" hidden="true" customHeight="false" outlineLevel="0" collapsed="false">
      <c r="A2320" s="0" t="s">
        <v>10098</v>
      </c>
      <c r="B2320" s="0" t="n">
        <v>78</v>
      </c>
      <c r="C2320" s="0" t="n">
        <v>410621</v>
      </c>
      <c r="D2320" s="0" t="s">
        <v>10099</v>
      </c>
      <c r="E2320" s="0" t="s">
        <v>6022</v>
      </c>
      <c r="F2320" s="0" t="str">
        <f aca="false">CONCATENATE(D2320," ",LEFT(H2320,4),"T=",AU2320,"D=",AV2320,"R=",AW2320,"M=",AX2320,"L=",AY2320,"B=",AZ2320)</f>
        <v>MAYORAS T=1D=0R=0M=0L=0B=0</v>
      </c>
      <c r="G2320" s="0" t="s">
        <v>690</v>
      </c>
      <c r="I2320" s="0" t="s">
        <v>10100</v>
      </c>
      <c r="J2320" s="0" t="s">
        <v>10101</v>
      </c>
      <c r="K2320" s="0" t="s">
        <v>144</v>
      </c>
      <c r="L2320" s="0"/>
      <c r="M2320" s="0" t="s">
        <v>10096</v>
      </c>
      <c r="N2320" s="0" t="str">
        <f aca="false">RIGHT(M2320,LEN(M2320)-FIND(" ",M2320))</f>
        <v>REX BLVD NW</v>
      </c>
      <c r="P2320" s="0" t="s">
        <v>146</v>
      </c>
      <c r="Q2320" s="0" t="s">
        <v>147</v>
      </c>
      <c r="R2320" s="0" t="n">
        <v>44483</v>
      </c>
      <c r="AD2320" s="0" t="s">
        <v>148</v>
      </c>
      <c r="AE2320" s="0" t="s">
        <v>149</v>
      </c>
      <c r="AF2320" s="0" t="s">
        <v>150</v>
      </c>
      <c r="AH2320" s="0" t="n">
        <v>14</v>
      </c>
      <c r="AI2320" s="0" t="n">
        <v>11</v>
      </c>
      <c r="AN2320" s="0" t="s">
        <v>146</v>
      </c>
      <c r="AO2320" s="0" t="s">
        <v>151</v>
      </c>
      <c r="AP2320" s="0" t="s">
        <v>152</v>
      </c>
      <c r="AQ2320" s="0" t="n">
        <v>9</v>
      </c>
      <c r="AR2320" s="0" t="n">
        <v>64</v>
      </c>
      <c r="AS2320" s="0" t="n">
        <v>32</v>
      </c>
      <c r="AU2320" s="0" t="n">
        <f aca="false">COUNTA($BA$1960:$EH$1960)</f>
        <v>1</v>
      </c>
      <c r="AV2320" s="0" t="n">
        <f aca="false">COUNTIF($BA$1960:$EH$1960,"D")</f>
        <v>0</v>
      </c>
      <c r="AW2320" s="0" t="n">
        <f aca="false">COUNTIF($BA$1960:$EH$1960,"R")</f>
        <v>0</v>
      </c>
      <c r="AX2320" s="0" t="n">
        <f aca="false"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>0</v>
      </c>
      <c r="AY2320" s="0" t="n">
        <f aca="false">COUNTIF(DU2320:EH2320, "&lt;&gt;")</f>
        <v>0</v>
      </c>
      <c r="AZ2320" s="0" t="n">
        <f aca="false">IF(EH2320&lt;&gt;"",1,0)</f>
        <v>0</v>
      </c>
      <c r="BB2320" s="0" t="s">
        <v>153</v>
      </c>
      <c r="DC2320" s="0" t="s">
        <v>154</v>
      </c>
    </row>
    <row r="2321" customFormat="false" ht="13.8" hidden="false" customHeight="false" outlineLevel="0" collapsed="false">
      <c r="A2321" s="0" t="s">
        <v>10102</v>
      </c>
      <c r="B2321" s="0" t="n">
        <v>78</v>
      </c>
      <c r="C2321" s="0" t="n">
        <v>5823</v>
      </c>
      <c r="D2321" s="0" t="s">
        <v>10103</v>
      </c>
      <c r="E2321" s="0" t="s">
        <v>430</v>
      </c>
      <c r="F2321" s="0" t="str">
        <f aca="false">CONCATENATE(D2321," ",LEFT(H2321,4),"T=",AU2321,"D=",AV2321,"R=",AW2321,"M=",AX2321,"L=",AY2321,"B=",AZ2321)</f>
        <v>HOVANIC T=18D=2R=0M=0L=5B=0</v>
      </c>
      <c r="G2321" s="0" t="s">
        <v>159</v>
      </c>
      <c r="I2321" s="0" t="s">
        <v>10104</v>
      </c>
      <c r="J2321" s="0" t="s">
        <v>10105</v>
      </c>
      <c r="K2321" s="0" t="s">
        <v>175</v>
      </c>
      <c r="L2321" s="1" t="s">
        <v>176</v>
      </c>
      <c r="M2321" s="0" t="s">
        <v>10106</v>
      </c>
      <c r="N2321" s="0" t="str">
        <f aca="false">RIGHT(M2321,LEN(M2321)-FIND(" ",M2321))</f>
        <v>REX BLVD NW</v>
      </c>
      <c r="P2321" s="0" t="s">
        <v>146</v>
      </c>
      <c r="Q2321" s="0" t="s">
        <v>147</v>
      </c>
      <c r="R2321" s="0" t="n">
        <v>44483</v>
      </c>
      <c r="AD2321" s="0" t="s">
        <v>148</v>
      </c>
      <c r="AE2321" s="0" t="s">
        <v>149</v>
      </c>
      <c r="AF2321" s="0" t="s">
        <v>150</v>
      </c>
      <c r="AH2321" s="0" t="n">
        <v>14</v>
      </c>
      <c r="AI2321" s="0" t="n">
        <v>11</v>
      </c>
      <c r="AN2321" s="0" t="s">
        <v>146</v>
      </c>
      <c r="AO2321" s="0" t="s">
        <v>151</v>
      </c>
      <c r="AP2321" s="0" t="s">
        <v>152</v>
      </c>
      <c r="AQ2321" s="0" t="n">
        <v>9</v>
      </c>
      <c r="AR2321" s="0" t="n">
        <v>64</v>
      </c>
      <c r="AS2321" s="0" t="n">
        <v>32</v>
      </c>
      <c r="AU2321" s="0" t="n">
        <f aca="false">COUNTA($BA$1619:$EH$1619)</f>
        <v>18</v>
      </c>
      <c r="AV2321" s="0" t="n">
        <f aca="false">COUNTIF($BA$1619:$EH$1619,"D")</f>
        <v>2</v>
      </c>
      <c r="AW2321" s="0" t="n">
        <f aca="false">COUNTIF($BA$1619:$EH$1619,"R")</f>
        <v>0</v>
      </c>
      <c r="AX2321" s="0" t="n">
        <f aca="false"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>0</v>
      </c>
      <c r="AY2321" s="0" t="n">
        <f aca="false">COUNTIF(DU2321:EH2321, "&lt;&gt;")</f>
        <v>5</v>
      </c>
      <c r="AZ2321" s="0" t="n">
        <f aca="false">IF(EH2321&lt;&gt;"",1,0)</f>
        <v>0</v>
      </c>
      <c r="BB2321" s="0" t="s">
        <v>153</v>
      </c>
      <c r="BC2321" s="0" t="s">
        <v>154</v>
      </c>
      <c r="BD2321" s="0" t="s">
        <v>154</v>
      </c>
      <c r="BE2321" s="0" t="s">
        <v>154</v>
      </c>
      <c r="BF2321" s="0" t="s">
        <v>154</v>
      </c>
      <c r="BH2321" s="0" t="s">
        <v>154</v>
      </c>
      <c r="BJ2321" s="0" t="s">
        <v>154</v>
      </c>
      <c r="BL2321" s="0" t="s">
        <v>154</v>
      </c>
      <c r="BP2321" s="0" t="s">
        <v>154</v>
      </c>
      <c r="BR2321" s="0" t="s">
        <v>154</v>
      </c>
      <c r="BS2321" s="0" t="s">
        <v>154</v>
      </c>
      <c r="CA2321" s="0" t="s">
        <v>154</v>
      </c>
      <c r="CG2321" s="0" t="s">
        <v>154</v>
      </c>
      <c r="CK2321" s="0" t="s">
        <v>154</v>
      </c>
      <c r="CN2321" s="0" t="s">
        <v>154</v>
      </c>
      <c r="CO2321" s="0" t="s">
        <v>176</v>
      </c>
      <c r="CP2321" s="0" t="s">
        <v>154</v>
      </c>
      <c r="CV2321" s="0" t="s">
        <v>154</v>
      </c>
      <c r="CY2321" s="0" t="s">
        <v>154</v>
      </c>
      <c r="CZ2321" s="0" t="s">
        <v>176</v>
      </c>
      <c r="DC2321" s="0" t="s">
        <v>154</v>
      </c>
      <c r="DF2321" s="0" t="s">
        <v>154</v>
      </c>
      <c r="DG2321" s="0" t="s">
        <v>176</v>
      </c>
      <c r="DI2321" s="0" t="s">
        <v>154</v>
      </c>
      <c r="DL2321" s="0" t="s">
        <v>154</v>
      </c>
      <c r="DM2321" s="0" t="s">
        <v>176</v>
      </c>
      <c r="DN2321" s="0" t="s">
        <v>154</v>
      </c>
      <c r="DR2321" s="0" t="s">
        <v>154</v>
      </c>
      <c r="DS2321" s="0" t="s">
        <v>176</v>
      </c>
      <c r="DT2321" s="0" t="s">
        <v>176</v>
      </c>
      <c r="DU2321" s="0" t="s">
        <v>154</v>
      </c>
      <c r="DX2321" s="0" t="s">
        <v>154</v>
      </c>
      <c r="EA2321" s="0" t="s">
        <v>154</v>
      </c>
      <c r="ED2321" s="0" t="s">
        <v>176</v>
      </c>
      <c r="EF2321" s="0" t="s">
        <v>154</v>
      </c>
    </row>
    <row r="2322" customFormat="false" ht="13.8" hidden="false" customHeight="false" outlineLevel="0" collapsed="false">
      <c r="A2322" s="0" t="s">
        <v>10107</v>
      </c>
      <c r="B2322" s="0" t="n">
        <v>78</v>
      </c>
      <c r="C2322" s="0" t="n">
        <v>5822</v>
      </c>
      <c r="D2322" s="0" t="s">
        <v>10103</v>
      </c>
      <c r="E2322" s="0" t="s">
        <v>4000</v>
      </c>
      <c r="F2322" s="0" t="str">
        <f aca="false">CONCATENATE(D2322," ",LEFT(H2322,4),"T=",AU2322,"D=",AV2322,"R=",AW2322,"M=",AX2322,"L=",AY2322,"B=",AZ2322)</f>
        <v>HOVANIC T=1D=0R=0M=0L=5B=0</v>
      </c>
      <c r="G2322" s="0" t="s">
        <v>176</v>
      </c>
      <c r="I2322" s="0" t="s">
        <v>10108</v>
      </c>
      <c r="J2322" s="0" t="s">
        <v>10109</v>
      </c>
      <c r="K2322" s="0" t="s">
        <v>175</v>
      </c>
      <c r="L2322" s="1" t="s">
        <v>176</v>
      </c>
      <c r="M2322" s="0" t="s">
        <v>10106</v>
      </c>
      <c r="N2322" s="0" t="str">
        <f aca="false">RIGHT(M2322,LEN(M2322)-FIND(" ",M2322))</f>
        <v>REX BLVD NW</v>
      </c>
      <c r="P2322" s="0" t="s">
        <v>146</v>
      </c>
      <c r="Q2322" s="0" t="s">
        <v>147</v>
      </c>
      <c r="R2322" s="0" t="n">
        <v>44483</v>
      </c>
      <c r="AD2322" s="0" t="s">
        <v>148</v>
      </c>
      <c r="AE2322" s="0" t="s">
        <v>149</v>
      </c>
      <c r="AF2322" s="0" t="s">
        <v>150</v>
      </c>
      <c r="AH2322" s="0" t="n">
        <v>14</v>
      </c>
      <c r="AI2322" s="0" t="n">
        <v>11</v>
      </c>
      <c r="AN2322" s="0" t="s">
        <v>146</v>
      </c>
      <c r="AO2322" s="0" t="s">
        <v>151</v>
      </c>
      <c r="AP2322" s="0" t="s">
        <v>152</v>
      </c>
      <c r="AQ2322" s="0" t="n">
        <v>9</v>
      </c>
      <c r="AR2322" s="0" t="n">
        <v>64</v>
      </c>
      <c r="AS2322" s="0" t="n">
        <v>32</v>
      </c>
      <c r="AU2322" s="0" t="n">
        <f aca="false">COUNTA($BA$1627:$EH$1627)</f>
        <v>1</v>
      </c>
      <c r="AV2322" s="0" t="n">
        <f aca="false">COUNTIF($BA$1627:$EH$1627,"D")</f>
        <v>0</v>
      </c>
      <c r="AW2322" s="0" t="n">
        <f aca="false">COUNTIF($BA$1627:$EH$1627,"R")</f>
        <v>0</v>
      </c>
      <c r="AX2322" s="0" t="n">
        <f aca="false"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>0</v>
      </c>
      <c r="AY2322" s="0" t="n">
        <f aca="false">COUNTIF(DU2322:EH2322, "&lt;&gt;")</f>
        <v>5</v>
      </c>
      <c r="AZ2322" s="0" t="n">
        <f aca="false">IF(EH2322&lt;&gt;"",1,0)</f>
        <v>0</v>
      </c>
      <c r="BB2322" s="0" t="s">
        <v>153</v>
      </c>
      <c r="BC2322" s="0" t="s">
        <v>154</v>
      </c>
      <c r="BD2322" s="0" t="s">
        <v>154</v>
      </c>
      <c r="BE2322" s="0" t="s">
        <v>154</v>
      </c>
      <c r="BH2322" s="0" t="s">
        <v>154</v>
      </c>
      <c r="BL2322" s="0" t="s">
        <v>154</v>
      </c>
      <c r="BS2322" s="0" t="s">
        <v>154</v>
      </c>
      <c r="CA2322" s="0" t="s">
        <v>154</v>
      </c>
      <c r="CG2322" s="0" t="s">
        <v>154</v>
      </c>
      <c r="CK2322" s="0" t="s">
        <v>154</v>
      </c>
      <c r="CN2322" s="0" t="s">
        <v>154</v>
      </c>
      <c r="CO2322" s="0" t="s">
        <v>176</v>
      </c>
      <c r="CP2322" s="0" t="s">
        <v>154</v>
      </c>
      <c r="CU2322" s="0" t="s">
        <v>176</v>
      </c>
      <c r="CV2322" s="0" t="s">
        <v>154</v>
      </c>
      <c r="CY2322" s="0" t="s">
        <v>154</v>
      </c>
      <c r="CZ2322" s="0" t="s">
        <v>176</v>
      </c>
      <c r="DC2322" s="0" t="s">
        <v>154</v>
      </c>
      <c r="DF2322" s="0" t="s">
        <v>154</v>
      </c>
      <c r="DG2322" s="0" t="s">
        <v>176</v>
      </c>
      <c r="DI2322" s="0" t="s">
        <v>154</v>
      </c>
      <c r="DL2322" s="0" t="s">
        <v>154</v>
      </c>
      <c r="DM2322" s="0" t="s">
        <v>176</v>
      </c>
      <c r="DN2322" s="0" t="s">
        <v>154</v>
      </c>
      <c r="DR2322" s="0" t="s">
        <v>154</v>
      </c>
      <c r="DS2322" s="0" t="s">
        <v>176</v>
      </c>
      <c r="DU2322" s="0" t="s">
        <v>154</v>
      </c>
      <c r="DX2322" s="0" t="s">
        <v>154</v>
      </c>
      <c r="EA2322" s="0" t="s">
        <v>154</v>
      </c>
      <c r="ED2322" s="0" t="s">
        <v>176</v>
      </c>
      <c r="EF2322" s="0" t="s">
        <v>154</v>
      </c>
    </row>
    <row r="2323" customFormat="false" ht="13.8" hidden="false" customHeight="false" outlineLevel="0" collapsed="false">
      <c r="A2323" s="0" t="s">
        <v>10110</v>
      </c>
      <c r="B2323" s="0" t="n">
        <v>78</v>
      </c>
      <c r="C2323" s="0" t="n">
        <v>228544</v>
      </c>
      <c r="D2323" s="0" t="s">
        <v>10111</v>
      </c>
      <c r="E2323" s="0" t="s">
        <v>4062</v>
      </c>
      <c r="F2323" s="0" t="str">
        <f aca="false">CONCATENATE(D2323," ",LEFT(H2323,4),"T=",AU2323,"D=",AV2323,"R=",AW2323,"M=",AX2323,"L=",AY2323,"B=",AZ2323)</f>
        <v>BEARDSLEY T=25D=3R=0M=3L=5B=0</v>
      </c>
      <c r="I2323" s="0" t="s">
        <v>10112</v>
      </c>
      <c r="J2323" s="0" t="s">
        <v>3503</v>
      </c>
      <c r="K2323" s="0" t="s">
        <v>175</v>
      </c>
      <c r="L2323" s="1" t="s">
        <v>176</v>
      </c>
      <c r="M2323" s="0" t="s">
        <v>10113</v>
      </c>
      <c r="N2323" s="0" t="str">
        <f aca="false">RIGHT(M2323,LEN(M2323)-FIND(" ",M2323))</f>
        <v>REX BLVD NW</v>
      </c>
      <c r="P2323" s="0" t="s">
        <v>146</v>
      </c>
      <c r="Q2323" s="0" t="s">
        <v>147</v>
      </c>
      <c r="R2323" s="0" t="n">
        <v>44483</v>
      </c>
      <c r="AD2323" s="0" t="s">
        <v>148</v>
      </c>
      <c r="AE2323" s="0" t="s">
        <v>149</v>
      </c>
      <c r="AF2323" s="0" t="s">
        <v>150</v>
      </c>
      <c r="AH2323" s="0" t="n">
        <v>14</v>
      </c>
      <c r="AI2323" s="0" t="n">
        <v>11</v>
      </c>
      <c r="AN2323" s="0" t="s">
        <v>146</v>
      </c>
      <c r="AO2323" s="0" t="s">
        <v>151</v>
      </c>
      <c r="AP2323" s="0" t="s">
        <v>152</v>
      </c>
      <c r="AQ2323" s="0" t="n">
        <v>9</v>
      </c>
      <c r="AR2323" s="0" t="n">
        <v>64</v>
      </c>
      <c r="AS2323" s="0" t="n">
        <v>32</v>
      </c>
      <c r="AU2323" s="0" t="n">
        <f aca="false">COUNTA($BA$1800:$EH$1800)</f>
        <v>25</v>
      </c>
      <c r="AV2323" s="0" t="n">
        <f aca="false">COUNTIF($BA$1800:$EH$1800,"D")</f>
        <v>3</v>
      </c>
      <c r="AW2323" s="0" t="n">
        <f aca="false">COUNTIF($BA$1800:$EH$1800,"R")</f>
        <v>0</v>
      </c>
      <c r="AX2323" s="0" t="n">
        <f aca="false"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>3</v>
      </c>
      <c r="AY2323" s="0" t="n">
        <f aca="false">COUNTIF(DU2323:EH2323, "&lt;&gt;")</f>
        <v>5</v>
      </c>
      <c r="AZ2323" s="0" t="n">
        <f aca="false">IF(EH2323&lt;&gt;"",1,0)</f>
        <v>0</v>
      </c>
      <c r="BB2323" s="0" t="s">
        <v>153</v>
      </c>
      <c r="BC2323" s="0" t="s">
        <v>154</v>
      </c>
      <c r="BF2323" s="0" t="s">
        <v>154</v>
      </c>
      <c r="BG2323" s="0" t="s">
        <v>154</v>
      </c>
      <c r="BJ2323" s="0" t="s">
        <v>154</v>
      </c>
      <c r="BK2323" s="0" t="s">
        <v>154</v>
      </c>
      <c r="BL2323" s="0" t="s">
        <v>154</v>
      </c>
      <c r="CG2323" s="0" t="s">
        <v>154</v>
      </c>
      <c r="CK2323" s="0" t="s">
        <v>154</v>
      </c>
      <c r="CN2323" s="0" t="s">
        <v>154</v>
      </c>
      <c r="CT2323" s="0" t="s">
        <v>154</v>
      </c>
      <c r="DC2323" s="0" t="s">
        <v>154</v>
      </c>
      <c r="DI2323" s="0" t="s">
        <v>154</v>
      </c>
      <c r="DJ2323" s="0" t="s">
        <v>155</v>
      </c>
      <c r="DM2323" s="0" t="s">
        <v>176</v>
      </c>
      <c r="DN2323" s="0" t="s">
        <v>154</v>
      </c>
      <c r="DO2323" s="0" t="s">
        <v>155</v>
      </c>
      <c r="DU2323" s="0" t="s">
        <v>154</v>
      </c>
      <c r="DW2323" s="0" t="s">
        <v>155</v>
      </c>
      <c r="EA2323" s="0" t="s">
        <v>154</v>
      </c>
      <c r="ED2323" s="0" t="s">
        <v>176</v>
      </c>
      <c r="EF2323" s="0" t="s">
        <v>154</v>
      </c>
    </row>
    <row r="2324" customFormat="false" ht="13.8" hidden="false" customHeight="false" outlineLevel="0" collapsed="false">
      <c r="A2324" s="0" t="s">
        <v>10114</v>
      </c>
      <c r="B2324" s="0" t="n">
        <v>78</v>
      </c>
      <c r="C2324" s="0" t="n">
        <v>278481</v>
      </c>
      <c r="D2324" s="0" t="s">
        <v>10111</v>
      </c>
      <c r="E2324" s="0" t="s">
        <v>10115</v>
      </c>
      <c r="F2324" s="0" t="str">
        <f aca="false">CONCATENATE(D2324," ",LEFT(H2324,4),"T=",AU2324,"D=",AV2324,"R=",AW2324,"M=",AX2324,"L=",AY2324,"B=",AZ2324)</f>
        <v>BEARDSLEY IIIT=6D=1R=0M=3L=5B=0</v>
      </c>
      <c r="G2324" s="0" t="s">
        <v>172</v>
      </c>
      <c r="H2324" s="0" t="s">
        <v>1175</v>
      </c>
      <c r="I2324" s="0" t="s">
        <v>10116</v>
      </c>
      <c r="J2324" s="0" t="s">
        <v>10117</v>
      </c>
      <c r="K2324" s="0" t="s">
        <v>175</v>
      </c>
      <c r="L2324" s="1" t="s">
        <v>176</v>
      </c>
      <c r="M2324" s="0" t="s">
        <v>10113</v>
      </c>
      <c r="N2324" s="0" t="str">
        <f aca="false">RIGHT(M2324,LEN(M2324)-FIND(" ",M2324))</f>
        <v>REX BLVD NW</v>
      </c>
      <c r="P2324" s="0" t="s">
        <v>146</v>
      </c>
      <c r="Q2324" s="0" t="s">
        <v>147</v>
      </c>
      <c r="R2324" s="0" t="n">
        <v>44483</v>
      </c>
      <c r="AD2324" s="0" t="s">
        <v>148</v>
      </c>
      <c r="AE2324" s="0" t="s">
        <v>149</v>
      </c>
      <c r="AF2324" s="0" t="s">
        <v>150</v>
      </c>
      <c r="AH2324" s="0" t="n">
        <v>14</v>
      </c>
      <c r="AI2324" s="0" t="n">
        <v>11</v>
      </c>
      <c r="AN2324" s="0" t="s">
        <v>146</v>
      </c>
      <c r="AO2324" s="0" t="s">
        <v>151</v>
      </c>
      <c r="AP2324" s="0" t="s">
        <v>152</v>
      </c>
      <c r="AQ2324" s="0" t="n">
        <v>9</v>
      </c>
      <c r="AR2324" s="0" t="n">
        <v>64</v>
      </c>
      <c r="AS2324" s="0" t="n">
        <v>32</v>
      </c>
      <c r="AU2324" s="0" t="n">
        <f aca="false">COUNTA($BA$1866:$EH$1866)</f>
        <v>6</v>
      </c>
      <c r="AV2324" s="0" t="n">
        <f aca="false">COUNTIF($BA$1866:$EH$1866,"D")</f>
        <v>1</v>
      </c>
      <c r="AW2324" s="0" t="n">
        <f aca="false">COUNTIF($BA$1866:$EH$1866,"R")</f>
        <v>0</v>
      </c>
      <c r="AX2324" s="0" t="n">
        <f aca="false"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>3</v>
      </c>
      <c r="AY2324" s="0" t="n">
        <f aca="false">COUNTIF(DU2324:EH2324, "&lt;&gt;")</f>
        <v>5</v>
      </c>
      <c r="AZ2324" s="0" t="n">
        <f aca="false">IF(EH2324&lt;&gt;"",1,0)</f>
        <v>0</v>
      </c>
      <c r="BB2324" s="0" t="s">
        <v>153</v>
      </c>
      <c r="BF2324" s="0" t="s">
        <v>154</v>
      </c>
      <c r="BG2324" s="0" t="s">
        <v>154</v>
      </c>
      <c r="BJ2324" s="0" t="s">
        <v>154</v>
      </c>
      <c r="BK2324" s="0" t="s">
        <v>154</v>
      </c>
      <c r="BL2324" s="0" t="s">
        <v>154</v>
      </c>
      <c r="CG2324" s="0" t="s">
        <v>154</v>
      </c>
      <c r="CK2324" s="0" t="s">
        <v>154</v>
      </c>
      <c r="CN2324" s="0" t="s">
        <v>154</v>
      </c>
      <c r="CT2324" s="0" t="s">
        <v>154</v>
      </c>
      <c r="DJ2324" s="0" t="s">
        <v>155</v>
      </c>
      <c r="DM2324" s="0" t="s">
        <v>176</v>
      </c>
      <c r="DN2324" s="0" t="s">
        <v>154</v>
      </c>
      <c r="DO2324" s="0" t="s">
        <v>155</v>
      </c>
      <c r="DU2324" s="0" t="s">
        <v>154</v>
      </c>
      <c r="DW2324" s="0" t="s">
        <v>155</v>
      </c>
      <c r="EA2324" s="0" t="s">
        <v>154</v>
      </c>
      <c r="ED2324" s="0" t="s">
        <v>176</v>
      </c>
      <c r="EF2324" s="0" t="s">
        <v>154</v>
      </c>
    </row>
    <row r="2325" customFormat="false" ht="13.8" hidden="true" customHeight="false" outlineLevel="0" collapsed="false">
      <c r="A2325" s="0" t="s">
        <v>10118</v>
      </c>
      <c r="B2325" s="0" t="n">
        <v>78</v>
      </c>
      <c r="C2325" s="0" t="n">
        <v>370543</v>
      </c>
      <c r="D2325" s="0" t="s">
        <v>10111</v>
      </c>
      <c r="E2325" s="0" t="s">
        <v>10119</v>
      </c>
      <c r="F2325" s="0" t="str">
        <f aca="false">CONCATENATE(D2325," ",LEFT(H2325,4),"T=",AU2325,"D=",AV2325,"R=",AW2325,"M=",AX2325,"L=",AY2325,"B=",AZ2325)</f>
        <v>BEARDSLEY T=3D=0R=0M=0L=0B=0</v>
      </c>
      <c r="G2325" s="0" t="s">
        <v>241</v>
      </c>
      <c r="I2325" s="0" t="s">
        <v>10120</v>
      </c>
      <c r="J2325" s="0" t="s">
        <v>10121</v>
      </c>
      <c r="K2325" s="0" t="s">
        <v>144</v>
      </c>
      <c r="L2325" s="0"/>
      <c r="M2325" s="0" t="s">
        <v>10113</v>
      </c>
      <c r="N2325" s="0" t="str">
        <f aca="false">RIGHT(M2325,LEN(M2325)-FIND(" ",M2325))</f>
        <v>REX BLVD NW</v>
      </c>
      <c r="P2325" s="0" t="s">
        <v>146</v>
      </c>
      <c r="Q2325" s="0" t="s">
        <v>147</v>
      </c>
      <c r="R2325" s="0" t="n">
        <v>44483</v>
      </c>
      <c r="AD2325" s="0" t="s">
        <v>148</v>
      </c>
      <c r="AE2325" s="0" t="s">
        <v>149</v>
      </c>
      <c r="AF2325" s="0" t="s">
        <v>150</v>
      </c>
      <c r="AH2325" s="0" t="n">
        <v>14</v>
      </c>
      <c r="AI2325" s="0" t="n">
        <v>11</v>
      </c>
      <c r="AN2325" s="0" t="s">
        <v>146</v>
      </c>
      <c r="AO2325" s="0" t="s">
        <v>151</v>
      </c>
      <c r="AP2325" s="0" t="s">
        <v>152</v>
      </c>
      <c r="AQ2325" s="0" t="n">
        <v>9</v>
      </c>
      <c r="AR2325" s="0" t="n">
        <v>64</v>
      </c>
      <c r="AS2325" s="0" t="n">
        <v>32</v>
      </c>
      <c r="AU2325" s="0" t="n">
        <f aca="false">COUNTA($BA$2052:$EH$2052)</f>
        <v>3</v>
      </c>
      <c r="AV2325" s="0" t="n">
        <f aca="false">COUNTIF($BA$2052:$EH$2052,"D")</f>
        <v>0</v>
      </c>
      <c r="AW2325" s="0" t="n">
        <f aca="false">COUNTIF($BA$2052:$EH$2052,"R")</f>
        <v>0</v>
      </c>
      <c r="AX2325" s="0" t="n">
        <f aca="false"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>0</v>
      </c>
      <c r="AY2325" s="0" t="n">
        <f aca="false">COUNTIF(DU2325:EH2325, "&lt;&gt;")</f>
        <v>0</v>
      </c>
      <c r="AZ2325" s="0" t="n">
        <f aca="false">IF(EH2325&lt;&gt;"",1,0)</f>
        <v>0</v>
      </c>
      <c r="BB2325" s="0" t="s">
        <v>153</v>
      </c>
    </row>
    <row r="2326" customFormat="false" ht="13.8" hidden="false" customHeight="false" outlineLevel="0" collapsed="false">
      <c r="A2326" s="0" t="s">
        <v>10122</v>
      </c>
      <c r="B2326" s="0" t="n">
        <v>78</v>
      </c>
      <c r="C2326" s="0" t="n">
        <v>196711</v>
      </c>
      <c r="D2326" s="0" t="s">
        <v>2956</v>
      </c>
      <c r="E2326" s="0" t="s">
        <v>10123</v>
      </c>
      <c r="F2326" s="0" t="str">
        <f aca="false">CONCATENATE(D2326," ",LEFT(H2326,4),"T=",AU2326,"D=",AV2326,"R=",AW2326,"M=",AX2326,"L=",AY2326,"B=",AZ2326)</f>
        <v>HARDMAN T=1D=0R=0M=7L=7B=1</v>
      </c>
      <c r="G2326" s="0" t="s">
        <v>202</v>
      </c>
      <c r="I2326" s="0" t="s">
        <v>10124</v>
      </c>
      <c r="J2326" s="0" t="s">
        <v>10125</v>
      </c>
      <c r="K2326" s="0" t="s">
        <v>175</v>
      </c>
      <c r="L2326" s="1" t="s">
        <v>155</v>
      </c>
      <c r="M2326" s="0" t="s">
        <v>10126</v>
      </c>
      <c r="N2326" s="0" t="str">
        <f aca="false">RIGHT(M2326,LEN(M2326)-FIND(" ",M2326))</f>
        <v>REX BLVD NW</v>
      </c>
      <c r="P2326" s="0" t="s">
        <v>146</v>
      </c>
      <c r="Q2326" s="0" t="s">
        <v>147</v>
      </c>
      <c r="R2326" s="0" t="n">
        <v>44483</v>
      </c>
      <c r="AD2326" s="0" t="s">
        <v>148</v>
      </c>
      <c r="AE2326" s="0" t="s">
        <v>149</v>
      </c>
      <c r="AF2326" s="0" t="s">
        <v>150</v>
      </c>
      <c r="AH2326" s="0" t="n">
        <v>14</v>
      </c>
      <c r="AI2326" s="0" t="n">
        <v>11</v>
      </c>
      <c r="AN2326" s="0" t="s">
        <v>146</v>
      </c>
      <c r="AO2326" s="0" t="s">
        <v>151</v>
      </c>
      <c r="AP2326" s="0" t="s">
        <v>152</v>
      </c>
      <c r="AQ2326" s="0" t="n">
        <v>9</v>
      </c>
      <c r="AR2326" s="0" t="n">
        <v>64</v>
      </c>
      <c r="AS2326" s="0" t="n">
        <v>32</v>
      </c>
      <c r="AU2326" s="0" t="n">
        <f aca="false">COUNTA($BA$1617:$EH$1617)</f>
        <v>1</v>
      </c>
      <c r="AV2326" s="0" t="n">
        <f aca="false">COUNTIF($BA$1617:$EH$1617,"D")</f>
        <v>0</v>
      </c>
      <c r="AW2326" s="0" t="n">
        <f aca="false">COUNTIF($BA$1617:$EH$1617,"R")</f>
        <v>0</v>
      </c>
      <c r="AX2326" s="0" t="n">
        <f aca="false"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>7</v>
      </c>
      <c r="AY2326" s="0" t="n">
        <f aca="false">COUNTIF(DU2326:EH2326, "&lt;&gt;")</f>
        <v>7</v>
      </c>
      <c r="AZ2326" s="0" t="n">
        <f aca="false">IF(EH2326&lt;&gt;"",1,0)</f>
        <v>1</v>
      </c>
      <c r="BB2326" s="0" t="s">
        <v>153</v>
      </c>
      <c r="BC2326" s="0" t="s">
        <v>154</v>
      </c>
      <c r="BD2326" s="0" t="s">
        <v>154</v>
      </c>
      <c r="BF2326" s="0" t="s">
        <v>154</v>
      </c>
      <c r="BG2326" s="0" t="s">
        <v>154</v>
      </c>
      <c r="BH2326" s="0" t="s">
        <v>154</v>
      </c>
      <c r="BJ2326" s="0" t="s">
        <v>154</v>
      </c>
      <c r="BK2326" s="0" t="s">
        <v>154</v>
      </c>
      <c r="BL2326" s="0" t="s">
        <v>154</v>
      </c>
      <c r="BP2326" s="0" t="s">
        <v>154</v>
      </c>
      <c r="BR2326" s="0" t="s">
        <v>154</v>
      </c>
      <c r="BS2326" s="0" t="s">
        <v>154</v>
      </c>
      <c r="BV2326" s="0" t="s">
        <v>154</v>
      </c>
      <c r="BY2326" s="0" t="s">
        <v>155</v>
      </c>
      <c r="CA2326" s="0" t="s">
        <v>154</v>
      </c>
      <c r="CG2326" s="0" t="s">
        <v>154</v>
      </c>
      <c r="CH2326" s="0" t="s">
        <v>155</v>
      </c>
      <c r="CK2326" s="0" t="s">
        <v>154</v>
      </c>
      <c r="CL2326" s="0" t="s">
        <v>155</v>
      </c>
      <c r="CN2326" s="0" t="s">
        <v>154</v>
      </c>
      <c r="CO2326" s="0" t="s">
        <v>155</v>
      </c>
      <c r="CP2326" s="0" t="s">
        <v>154</v>
      </c>
      <c r="CQ2326" s="0" t="s">
        <v>155</v>
      </c>
      <c r="CT2326" s="0" t="s">
        <v>154</v>
      </c>
      <c r="CU2326" s="0" t="s">
        <v>155</v>
      </c>
      <c r="CV2326" s="0" t="s">
        <v>154</v>
      </c>
      <c r="CW2326" s="0" t="s">
        <v>155</v>
      </c>
      <c r="CY2326" s="0" t="s">
        <v>154</v>
      </c>
      <c r="CZ2326" s="0" t="s">
        <v>155</v>
      </c>
      <c r="DC2326" s="0" t="s">
        <v>154</v>
      </c>
      <c r="DD2326" s="0" t="s">
        <v>155</v>
      </c>
      <c r="DF2326" s="0" t="s">
        <v>154</v>
      </c>
      <c r="DG2326" s="0" t="s">
        <v>155</v>
      </c>
      <c r="DI2326" s="0" t="s">
        <v>154</v>
      </c>
      <c r="DM2326" s="0" t="s">
        <v>155</v>
      </c>
      <c r="DN2326" s="0" t="s">
        <v>154</v>
      </c>
      <c r="DO2326" s="0" t="s">
        <v>155</v>
      </c>
      <c r="DS2326" s="0" t="s">
        <v>155</v>
      </c>
      <c r="DT2326" s="0" t="s">
        <v>155</v>
      </c>
      <c r="DU2326" s="0" t="s">
        <v>154</v>
      </c>
      <c r="DW2326" s="0" t="s">
        <v>155</v>
      </c>
      <c r="DX2326" s="0" t="s">
        <v>154</v>
      </c>
      <c r="EA2326" s="0" t="s">
        <v>154</v>
      </c>
      <c r="ED2326" s="0" t="s">
        <v>155</v>
      </c>
      <c r="EF2326" s="0" t="s">
        <v>154</v>
      </c>
      <c r="EH2326" s="0" t="s">
        <v>155</v>
      </c>
    </row>
    <row r="2327" customFormat="false" ht="13.8" hidden="true" customHeight="false" outlineLevel="0" collapsed="false">
      <c r="A2327" s="0" t="s">
        <v>10127</v>
      </c>
      <c r="B2327" s="0" t="n">
        <v>78</v>
      </c>
      <c r="C2327" s="0" t="n">
        <v>322909</v>
      </c>
      <c r="D2327" s="0" t="s">
        <v>10128</v>
      </c>
      <c r="E2327" s="0" t="s">
        <v>10129</v>
      </c>
      <c r="F2327" s="0" t="str">
        <f aca="false">CONCATENATE(D2327," ",LEFT(H2327,4),"T=",AU2327,"D=",AV2327,"R=",AW2327,"M=",AX2327,"L=",AY2327,"B=",AZ2327)</f>
        <v>CHRISTNER T=2D=0R=0M=0L=1B=0</v>
      </c>
      <c r="G2327" s="0" t="s">
        <v>155</v>
      </c>
      <c r="I2327" s="0" t="s">
        <v>10130</v>
      </c>
      <c r="J2327" s="0" t="s">
        <v>10131</v>
      </c>
      <c r="K2327" s="0" t="s">
        <v>175</v>
      </c>
      <c r="L2327" s="0"/>
      <c r="M2327" s="0" t="s">
        <v>10132</v>
      </c>
      <c r="N2327" s="0" t="str">
        <f aca="false">RIGHT(M2327,LEN(M2327)-FIND(" ",M2327))</f>
        <v>REX BLVD NW</v>
      </c>
      <c r="P2327" s="0" t="s">
        <v>146</v>
      </c>
      <c r="Q2327" s="0" t="s">
        <v>147</v>
      </c>
      <c r="R2327" s="0" t="n">
        <v>44483</v>
      </c>
      <c r="AD2327" s="0" t="s">
        <v>148</v>
      </c>
      <c r="AE2327" s="0" t="s">
        <v>149</v>
      </c>
      <c r="AF2327" s="0" t="s">
        <v>150</v>
      </c>
      <c r="AH2327" s="0" t="n">
        <v>14</v>
      </c>
      <c r="AI2327" s="0" t="n">
        <v>11</v>
      </c>
      <c r="AN2327" s="0" t="s">
        <v>146</v>
      </c>
      <c r="AO2327" s="0" t="s">
        <v>151</v>
      </c>
      <c r="AP2327" s="0" t="s">
        <v>152</v>
      </c>
      <c r="AQ2327" s="0" t="n">
        <v>9</v>
      </c>
      <c r="AR2327" s="0" t="n">
        <v>64</v>
      </c>
      <c r="AS2327" s="0" t="n">
        <v>32</v>
      </c>
      <c r="AU2327" s="0" t="n">
        <f aca="false">COUNTA($BA$1574:$EH$1574)</f>
        <v>2</v>
      </c>
      <c r="AV2327" s="0" t="n">
        <f aca="false">COUNTIF($BA$1574:$EH$1574,"D")</f>
        <v>0</v>
      </c>
      <c r="AW2327" s="0" t="n">
        <f aca="false">COUNTIF($BA$1574:$EH$1574,"R")</f>
        <v>0</v>
      </c>
      <c r="AX2327" s="0" t="n">
        <f aca="false"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>0</v>
      </c>
      <c r="AY2327" s="0" t="n">
        <f aca="false">COUNTIF(DU2327:EH2327, "&lt;&gt;")</f>
        <v>1</v>
      </c>
      <c r="AZ2327" s="0" t="n">
        <f aca="false">IF(EH2327&lt;&gt;"",1,0)</f>
        <v>0</v>
      </c>
      <c r="BB2327" s="0" t="s">
        <v>153</v>
      </c>
      <c r="BL2327" s="0" t="s">
        <v>154</v>
      </c>
      <c r="CA2327" s="0" t="s">
        <v>154</v>
      </c>
      <c r="CN2327" s="0" t="s">
        <v>154</v>
      </c>
      <c r="CP2327" s="0" t="s">
        <v>154</v>
      </c>
      <c r="CZ2327" s="0" t="s">
        <v>155</v>
      </c>
      <c r="DC2327" s="0" t="s">
        <v>154</v>
      </c>
      <c r="DI2327" s="0" t="s">
        <v>154</v>
      </c>
      <c r="DN2327" s="0" t="s">
        <v>154</v>
      </c>
      <c r="EF2327" s="0" t="s">
        <v>154</v>
      </c>
    </row>
    <row r="2328" customFormat="false" ht="13.8" hidden="true" customHeight="false" outlineLevel="0" collapsed="false">
      <c r="A2328" s="0" t="s">
        <v>10133</v>
      </c>
      <c r="B2328" s="0" t="n">
        <v>78</v>
      </c>
      <c r="C2328" s="0" t="n">
        <v>430356</v>
      </c>
      <c r="D2328" s="0" t="s">
        <v>9259</v>
      </c>
      <c r="E2328" s="0" t="s">
        <v>10134</v>
      </c>
      <c r="F2328" s="0" t="str">
        <f aca="false">CONCATENATE(D2328," ",LEFT(H2328,4),"T=",AU2328,"D=",AV2328,"R=",AW2328,"M=",AX2328,"L=",AY2328,"B=",AZ2328)</f>
        <v>DEVLIN T=40D=0R=10M=0L=0B=0</v>
      </c>
      <c r="G2328" s="0" t="s">
        <v>216</v>
      </c>
      <c r="I2328" s="0" t="s">
        <v>10135</v>
      </c>
      <c r="J2328" s="0" t="s">
        <v>10136</v>
      </c>
      <c r="K2328" s="0" t="s">
        <v>144</v>
      </c>
      <c r="L2328" s="0"/>
      <c r="M2328" s="0" t="s">
        <v>10137</v>
      </c>
      <c r="N2328" s="0" t="str">
        <f aca="false">RIGHT(M2328,LEN(M2328)-FIND(" ",M2328))</f>
        <v>REX BLVD NW</v>
      </c>
      <c r="P2328" s="0" t="s">
        <v>146</v>
      </c>
      <c r="Q2328" s="0" t="s">
        <v>147</v>
      </c>
      <c r="R2328" s="0" t="n">
        <v>44483</v>
      </c>
      <c r="AD2328" s="0" t="s">
        <v>148</v>
      </c>
      <c r="AE2328" s="0" t="s">
        <v>149</v>
      </c>
      <c r="AF2328" s="0" t="s">
        <v>150</v>
      </c>
      <c r="AH2328" s="0" t="n">
        <v>14</v>
      </c>
      <c r="AI2328" s="0" t="n">
        <v>11</v>
      </c>
      <c r="AN2328" s="0" t="s">
        <v>146</v>
      </c>
      <c r="AO2328" s="0" t="s">
        <v>151</v>
      </c>
      <c r="AP2328" s="0" t="s">
        <v>152</v>
      </c>
      <c r="AQ2328" s="0" t="n">
        <v>9</v>
      </c>
      <c r="AR2328" s="0" t="n">
        <v>64</v>
      </c>
      <c r="AS2328" s="0" t="n">
        <v>32</v>
      </c>
      <c r="AU2328" s="0" t="n">
        <f aca="false">COUNTA($BA$1842:$EH$1842)</f>
        <v>40</v>
      </c>
      <c r="AV2328" s="0" t="n">
        <f aca="false">COUNTIF($BA$1842:$EH$1842,"D")</f>
        <v>0</v>
      </c>
      <c r="AW2328" s="0" t="n">
        <f aca="false">COUNTIF($BA$1842:$EH$1842,"R")</f>
        <v>10</v>
      </c>
      <c r="AX2328" s="0" t="n">
        <f aca="false"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>0</v>
      </c>
      <c r="AY2328" s="0" t="n">
        <f aca="false">COUNTIF(DU2328:EH2328, "&lt;&gt;")</f>
        <v>0</v>
      </c>
      <c r="AZ2328" s="0" t="n">
        <f aca="false">IF(EH2328&lt;&gt;"",1,0)</f>
        <v>0</v>
      </c>
      <c r="BB2328" s="0" t="s">
        <v>153</v>
      </c>
    </row>
    <row r="2329" customFormat="false" ht="13.8" hidden="false" customHeight="false" outlineLevel="0" collapsed="false">
      <c r="A2329" s="0" t="s">
        <v>10138</v>
      </c>
      <c r="B2329" s="0" t="n">
        <v>78</v>
      </c>
      <c r="C2329" s="0" t="n">
        <v>5935</v>
      </c>
      <c r="D2329" s="0" t="s">
        <v>10139</v>
      </c>
      <c r="E2329" s="0" t="s">
        <v>1456</v>
      </c>
      <c r="F2329" s="0" t="str">
        <f aca="false">CONCATENATE(D2329," ",LEFT(H2329,4),"T=",AU2329,"D=",AV2329,"R=",AW2329,"M=",AX2329,"L=",AY2329,"B=",AZ2329)</f>
        <v>PYTLIK T=19D=1R=1M=1L=3B=0</v>
      </c>
      <c r="G2329" s="0" t="s">
        <v>563</v>
      </c>
      <c r="I2329" s="0" t="s">
        <v>10140</v>
      </c>
      <c r="J2329" s="0" t="s">
        <v>3538</v>
      </c>
      <c r="K2329" s="0" t="s">
        <v>175</v>
      </c>
      <c r="L2329" s="1" t="s">
        <v>155</v>
      </c>
      <c r="M2329" s="0" t="s">
        <v>10141</v>
      </c>
      <c r="N2329" s="0" t="str">
        <f aca="false">RIGHT(M2329,LEN(M2329)-FIND(" ",M2329))</f>
        <v>REX BLVD NW</v>
      </c>
      <c r="P2329" s="0" t="s">
        <v>146</v>
      </c>
      <c r="Q2329" s="0" t="s">
        <v>147</v>
      </c>
      <c r="R2329" s="0" t="n">
        <v>44483</v>
      </c>
      <c r="AD2329" s="0" t="s">
        <v>148</v>
      </c>
      <c r="AE2329" s="0" t="s">
        <v>149</v>
      </c>
      <c r="AF2329" s="0" t="s">
        <v>150</v>
      </c>
      <c r="AH2329" s="0" t="n">
        <v>14</v>
      </c>
      <c r="AI2329" s="0" t="n">
        <v>11</v>
      </c>
      <c r="AN2329" s="0" t="s">
        <v>146</v>
      </c>
      <c r="AO2329" s="0" t="s">
        <v>151</v>
      </c>
      <c r="AP2329" s="0" t="s">
        <v>152</v>
      </c>
      <c r="AQ2329" s="0" t="n">
        <v>9</v>
      </c>
      <c r="AR2329" s="0" t="n">
        <v>64</v>
      </c>
      <c r="AS2329" s="0" t="n">
        <v>32</v>
      </c>
      <c r="AU2329" s="0" t="n">
        <f aca="false">COUNTA($BA$1586:$EH$1586)</f>
        <v>19</v>
      </c>
      <c r="AV2329" s="0" t="n">
        <f aca="false">COUNTIF($BA$1586:$EH$1586,"D")</f>
        <v>1</v>
      </c>
      <c r="AW2329" s="0" t="n">
        <f aca="false">COUNTIF($BA$1586:$EH$1586,"R")</f>
        <v>1</v>
      </c>
      <c r="AX2329" s="0" t="n">
        <f aca="false"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>1</v>
      </c>
      <c r="AY2329" s="0" t="n">
        <f aca="false">COUNTIF(DU2329:EH2329, "&lt;&gt;")</f>
        <v>3</v>
      </c>
      <c r="AZ2329" s="0" t="n">
        <f aca="false">IF(EH2329&lt;&gt;"",1,0)</f>
        <v>0</v>
      </c>
      <c r="BB2329" s="0" t="s">
        <v>153</v>
      </c>
      <c r="BC2329" s="0" t="s">
        <v>154</v>
      </c>
      <c r="BD2329" s="0" t="s">
        <v>154</v>
      </c>
      <c r="BE2329" s="0" t="s">
        <v>154</v>
      </c>
      <c r="BF2329" s="0" t="s">
        <v>154</v>
      </c>
      <c r="BI2329" s="0" t="s">
        <v>154</v>
      </c>
      <c r="BJ2329" s="0" t="s">
        <v>154</v>
      </c>
      <c r="BK2329" s="0" t="s">
        <v>154</v>
      </c>
      <c r="BL2329" s="0" t="s">
        <v>154</v>
      </c>
      <c r="BP2329" s="0" t="s">
        <v>154</v>
      </c>
      <c r="BR2329" s="0" t="s">
        <v>154</v>
      </c>
      <c r="BS2329" s="0" t="s">
        <v>154</v>
      </c>
      <c r="BV2329" s="0" t="s">
        <v>154</v>
      </c>
      <c r="BY2329" s="0" t="s">
        <v>155</v>
      </c>
      <c r="CA2329" s="0" t="s">
        <v>154</v>
      </c>
      <c r="CG2329" s="0" t="s">
        <v>154</v>
      </c>
      <c r="CP2329" s="0" t="s">
        <v>154</v>
      </c>
      <c r="DC2329" s="0" t="s">
        <v>154</v>
      </c>
      <c r="DI2329" s="0" t="s">
        <v>154</v>
      </c>
      <c r="DN2329" s="0" t="s">
        <v>154</v>
      </c>
      <c r="DU2329" s="0" t="s">
        <v>154</v>
      </c>
      <c r="DW2329" s="0" t="s">
        <v>155</v>
      </c>
      <c r="EF2329" s="0" t="s">
        <v>154</v>
      </c>
    </row>
    <row r="2330" customFormat="false" ht="13.8" hidden="false" customHeight="false" outlineLevel="0" collapsed="false">
      <c r="A2330" s="0" t="s">
        <v>10142</v>
      </c>
      <c r="B2330" s="0" t="n">
        <v>78</v>
      </c>
      <c r="C2330" s="0" t="n">
        <v>5969</v>
      </c>
      <c r="D2330" s="0" t="s">
        <v>10143</v>
      </c>
      <c r="E2330" s="0" t="s">
        <v>10144</v>
      </c>
      <c r="F2330" s="0" t="str">
        <f aca="false">CONCATENATE(D2330," ",LEFT(H2330,4),"T=",AU2330,"D=",AV2330,"R=",AW2330,"M=",AX2330,"L=",AY2330,"B=",AZ2330)</f>
        <v>SALVATO T=3D=1R=0M=8L=6B=1</v>
      </c>
      <c r="G2330" s="0" t="s">
        <v>188</v>
      </c>
      <c r="I2330" s="0" t="s">
        <v>10145</v>
      </c>
      <c r="J2330" s="0" t="s">
        <v>10146</v>
      </c>
      <c r="K2330" s="0" t="s">
        <v>175</v>
      </c>
      <c r="L2330" s="1" t="s">
        <v>155</v>
      </c>
      <c r="M2330" s="0" t="s">
        <v>10147</v>
      </c>
      <c r="N2330" s="0" t="str">
        <f aca="false">RIGHT(M2330,LEN(M2330)-FIND(" ",M2330))</f>
        <v>REX BLVD NW</v>
      </c>
      <c r="P2330" s="0" t="s">
        <v>146</v>
      </c>
      <c r="Q2330" s="0" t="s">
        <v>147</v>
      </c>
      <c r="R2330" s="0" t="n">
        <v>44483</v>
      </c>
      <c r="AD2330" s="0" t="s">
        <v>148</v>
      </c>
      <c r="AE2330" s="0" t="s">
        <v>149</v>
      </c>
      <c r="AF2330" s="0" t="s">
        <v>150</v>
      </c>
      <c r="AH2330" s="0" t="n">
        <v>14</v>
      </c>
      <c r="AI2330" s="0" t="n">
        <v>11</v>
      </c>
      <c r="AN2330" s="0" t="s">
        <v>146</v>
      </c>
      <c r="AO2330" s="0" t="s">
        <v>151</v>
      </c>
      <c r="AP2330" s="0" t="s">
        <v>152</v>
      </c>
      <c r="AQ2330" s="0" t="n">
        <v>9</v>
      </c>
      <c r="AR2330" s="0" t="n">
        <v>64</v>
      </c>
      <c r="AS2330" s="0" t="n">
        <v>32</v>
      </c>
      <c r="AU2330" s="0" t="n">
        <f aca="false">COUNTA($BA$1611:$EH$1611)</f>
        <v>3</v>
      </c>
      <c r="AV2330" s="0" t="n">
        <f aca="false">COUNTIF($BA$1611:$EH$1611,"D")</f>
        <v>1</v>
      </c>
      <c r="AW2330" s="0" t="n">
        <f aca="false">COUNTIF($BA$1611:$EH$1611,"R")</f>
        <v>0</v>
      </c>
      <c r="AX2330" s="0" t="n">
        <f aca="false"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>8</v>
      </c>
      <c r="AY2330" s="0" t="n">
        <f aca="false">COUNTIF(DU2330:EH2330, "&lt;&gt;")</f>
        <v>6</v>
      </c>
      <c r="AZ2330" s="0" t="n">
        <f aca="false">IF(EH2330&lt;&gt;"",1,0)</f>
        <v>1</v>
      </c>
      <c r="BB2330" s="0" t="s">
        <v>153</v>
      </c>
      <c r="BC2330" s="0" t="s">
        <v>154</v>
      </c>
      <c r="BD2330" s="0" t="s">
        <v>154</v>
      </c>
      <c r="BE2330" s="0" t="s">
        <v>154</v>
      </c>
      <c r="BF2330" s="0" t="s">
        <v>154</v>
      </c>
      <c r="BG2330" s="0" t="s">
        <v>154</v>
      </c>
      <c r="BH2330" s="0" t="s">
        <v>154</v>
      </c>
      <c r="BI2330" s="0" t="s">
        <v>154</v>
      </c>
      <c r="BJ2330" s="0" t="s">
        <v>154</v>
      </c>
      <c r="BK2330" s="0" t="s">
        <v>154</v>
      </c>
      <c r="BL2330" s="0" t="s">
        <v>154</v>
      </c>
      <c r="BP2330" s="0" t="s">
        <v>154</v>
      </c>
      <c r="BR2330" s="0" t="s">
        <v>154</v>
      </c>
      <c r="BS2330" s="0" t="s">
        <v>154</v>
      </c>
      <c r="BV2330" s="0" t="s">
        <v>154</v>
      </c>
      <c r="BY2330" s="0" t="s">
        <v>155</v>
      </c>
      <c r="CA2330" s="0" t="s">
        <v>154</v>
      </c>
      <c r="CC2330" s="0" t="s">
        <v>155</v>
      </c>
      <c r="CG2330" s="0" t="s">
        <v>154</v>
      </c>
      <c r="CK2330" s="0" t="s">
        <v>154</v>
      </c>
      <c r="CL2330" s="0" t="s">
        <v>155</v>
      </c>
      <c r="CN2330" s="0" t="s">
        <v>154</v>
      </c>
      <c r="CP2330" s="0" t="s">
        <v>154</v>
      </c>
      <c r="CU2330" s="0" t="s">
        <v>155</v>
      </c>
      <c r="CV2330" s="0" t="s">
        <v>154</v>
      </c>
      <c r="CW2330" s="0" t="s">
        <v>155</v>
      </c>
      <c r="CY2330" s="0" t="s">
        <v>154</v>
      </c>
      <c r="DC2330" s="0" t="s">
        <v>154</v>
      </c>
      <c r="DD2330" s="0" t="s">
        <v>155</v>
      </c>
      <c r="DF2330" s="0" t="s">
        <v>154</v>
      </c>
      <c r="DI2330" s="0" t="s">
        <v>154</v>
      </c>
      <c r="DJ2330" s="0" t="s">
        <v>155</v>
      </c>
      <c r="DM2330" s="0" t="s">
        <v>155</v>
      </c>
      <c r="DN2330" s="0" t="s">
        <v>154</v>
      </c>
      <c r="DO2330" s="0" t="s">
        <v>155</v>
      </c>
      <c r="DR2330" s="0" t="s">
        <v>154</v>
      </c>
      <c r="DS2330" s="0" t="s">
        <v>155</v>
      </c>
      <c r="DU2330" s="0" t="s">
        <v>154</v>
      </c>
      <c r="DW2330" s="0" t="s">
        <v>155</v>
      </c>
      <c r="DX2330" s="0" t="s">
        <v>154</v>
      </c>
      <c r="EA2330" s="0" t="s">
        <v>154</v>
      </c>
      <c r="ED2330" s="0" t="s">
        <v>155</v>
      </c>
      <c r="EH2330" s="0" t="s">
        <v>155</v>
      </c>
    </row>
    <row r="2331" customFormat="false" ht="13.8" hidden="true" customHeight="false" outlineLevel="0" collapsed="false">
      <c r="A2331" s="0" t="s">
        <v>10148</v>
      </c>
      <c r="B2331" s="0" t="n">
        <v>78</v>
      </c>
      <c r="C2331" s="0" t="n">
        <v>315406</v>
      </c>
      <c r="D2331" s="0" t="s">
        <v>10149</v>
      </c>
      <c r="E2331" s="0" t="s">
        <v>4154</v>
      </c>
      <c r="F2331" s="0" t="str">
        <f aca="false">CONCATENATE(D2331," ",LEFT(H2331,4),"T=",AU2331,"D=",AV2331,"R=",AW2331,"M=",AX2331,"L=",AY2331,"B=",AZ2331)</f>
        <v>KNEPPER T=2D=0R=0M=0L=0B=0</v>
      </c>
      <c r="G2331" s="0" t="s">
        <v>159</v>
      </c>
      <c r="I2331" s="0" t="s">
        <v>10150</v>
      </c>
      <c r="J2331" s="0" t="s">
        <v>6162</v>
      </c>
      <c r="K2331" s="0" t="s">
        <v>175</v>
      </c>
      <c r="L2331" s="0"/>
      <c r="M2331" s="0" t="s">
        <v>10151</v>
      </c>
      <c r="N2331" s="0" t="str">
        <f aca="false">RIGHT(M2331,LEN(M2331)-FIND(" ",M2331))</f>
        <v>REX BLVD NW</v>
      </c>
      <c r="P2331" s="0" t="s">
        <v>146</v>
      </c>
      <c r="Q2331" s="0" t="s">
        <v>147</v>
      </c>
      <c r="R2331" s="0" t="n">
        <v>44483</v>
      </c>
      <c r="AD2331" s="0" t="s">
        <v>148</v>
      </c>
      <c r="AE2331" s="0" t="s">
        <v>149</v>
      </c>
      <c r="AF2331" s="0" t="s">
        <v>150</v>
      </c>
      <c r="AH2331" s="0" t="n">
        <v>14</v>
      </c>
      <c r="AI2331" s="0" t="n">
        <v>11</v>
      </c>
      <c r="AN2331" s="0" t="s">
        <v>146</v>
      </c>
      <c r="AO2331" s="0" t="s">
        <v>151</v>
      </c>
      <c r="AP2331" s="0" t="s">
        <v>152</v>
      </c>
      <c r="AQ2331" s="0" t="n">
        <v>9</v>
      </c>
      <c r="AR2331" s="0" t="n">
        <v>64</v>
      </c>
      <c r="AS2331" s="0" t="n">
        <v>32</v>
      </c>
      <c r="AU2331" s="0" t="n">
        <f aca="false">COUNTA($BA$1365:$EH$1365)</f>
        <v>2</v>
      </c>
      <c r="AV2331" s="0" t="n">
        <f aca="false">COUNTIF($BA$1365:$EH$1365,"D")</f>
        <v>0</v>
      </c>
      <c r="AW2331" s="0" t="n">
        <f aca="false">COUNTIF($BA$1365:$EH$1365,"R")</f>
        <v>0</v>
      </c>
      <c r="AX2331" s="0" t="n">
        <f aca="false"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>0</v>
      </c>
      <c r="AY2331" s="0" t="n">
        <f aca="false">COUNTIF(DU2331:EH2331, "&lt;&gt;")</f>
        <v>0</v>
      </c>
      <c r="AZ2331" s="0" t="n">
        <f aca="false">IF(EH2331&lt;&gt;"",1,0)</f>
        <v>0</v>
      </c>
      <c r="BB2331" s="0" t="s">
        <v>153</v>
      </c>
      <c r="BL2331" s="0" t="s">
        <v>154</v>
      </c>
    </row>
    <row r="2332" customFormat="false" ht="13.8" hidden="false" customHeight="false" outlineLevel="0" collapsed="false">
      <c r="A2332" s="0" t="s">
        <v>10152</v>
      </c>
      <c r="B2332" s="0" t="n">
        <v>78</v>
      </c>
      <c r="C2332" s="0" t="n">
        <v>181743</v>
      </c>
      <c r="D2332" s="0" t="s">
        <v>949</v>
      </c>
      <c r="E2332" s="0" t="s">
        <v>1410</v>
      </c>
      <c r="F2332" s="0" t="str">
        <f aca="false">CONCATENATE(D2332," ",LEFT(H2332,4),"T=",AU2332,"D=",AV2332,"R=",AW2332,"M=",AX2332,"L=",AY2332,"B=",AZ2332)</f>
        <v>RODGERS T=10D=1R=0M=1L=2B=0</v>
      </c>
      <c r="G2332" s="0" t="s">
        <v>10153</v>
      </c>
      <c r="I2332" s="0" t="s">
        <v>10154</v>
      </c>
      <c r="J2332" s="0" t="s">
        <v>2517</v>
      </c>
      <c r="K2332" s="0" t="s">
        <v>175</v>
      </c>
      <c r="L2332" s="1" t="s">
        <v>155</v>
      </c>
      <c r="M2332" s="0" t="s">
        <v>10155</v>
      </c>
      <c r="N2332" s="0" t="str">
        <f aca="false">RIGHT(M2332,LEN(M2332)-FIND(" ",M2332))</f>
        <v>ROOSEVELT ST NW</v>
      </c>
      <c r="P2332" s="0" t="s">
        <v>146</v>
      </c>
      <c r="Q2332" s="0" t="s">
        <v>147</v>
      </c>
      <c r="R2332" s="0" t="n">
        <v>44483</v>
      </c>
      <c r="AD2332" s="0" t="s">
        <v>148</v>
      </c>
      <c r="AE2332" s="0" t="s">
        <v>149</v>
      </c>
      <c r="AF2332" s="0" t="s">
        <v>150</v>
      </c>
      <c r="AH2332" s="0" t="n">
        <v>14</v>
      </c>
      <c r="AI2332" s="0" t="n">
        <v>11</v>
      </c>
      <c r="AN2332" s="0" t="s">
        <v>146</v>
      </c>
      <c r="AO2332" s="0" t="s">
        <v>250</v>
      </c>
      <c r="AP2332" s="0" t="s">
        <v>251</v>
      </c>
      <c r="AQ2332" s="0" t="n">
        <v>9</v>
      </c>
      <c r="AR2332" s="0" t="n">
        <v>64</v>
      </c>
      <c r="AS2332" s="0" t="n">
        <v>32</v>
      </c>
      <c r="AU2332" s="0" t="n">
        <f aca="false">COUNTA($BA$2570:$EH$2570)</f>
        <v>10</v>
      </c>
      <c r="AV2332" s="0" t="n">
        <f aca="false">COUNTIF($BA$2570:$EH$2570,"D")</f>
        <v>1</v>
      </c>
      <c r="AW2332" s="0" t="n">
        <f aca="false">COUNTIF($BA$2570:$EH$2570,"R")</f>
        <v>0</v>
      </c>
      <c r="AX2332" s="0" t="n">
        <f aca="false"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>1</v>
      </c>
      <c r="AY2332" s="0" t="n">
        <f aca="false">COUNTIF(DU2332:EH2332, "&lt;&gt;")</f>
        <v>2</v>
      </c>
      <c r="AZ2332" s="0" t="n">
        <f aca="false">IF(EH2332&lt;&gt;"",1,0)</f>
        <v>0</v>
      </c>
      <c r="BB2332" s="0" t="s">
        <v>153</v>
      </c>
      <c r="BC2332" s="0" t="s">
        <v>154</v>
      </c>
      <c r="BD2332" s="0" t="s">
        <v>154</v>
      </c>
      <c r="BE2332" s="0" t="s">
        <v>154</v>
      </c>
      <c r="BF2332" s="0" t="s">
        <v>154</v>
      </c>
      <c r="BH2332" s="0" t="s">
        <v>154</v>
      </c>
      <c r="BI2332" s="0" t="s">
        <v>154</v>
      </c>
      <c r="BJ2332" s="0" t="s">
        <v>154</v>
      </c>
      <c r="BK2332" s="0" t="s">
        <v>154</v>
      </c>
      <c r="BL2332" s="0" t="s">
        <v>154</v>
      </c>
      <c r="BP2332" s="0" t="s">
        <v>154</v>
      </c>
      <c r="BR2332" s="0" t="s">
        <v>154</v>
      </c>
      <c r="BS2332" s="0" t="s">
        <v>154</v>
      </c>
      <c r="BY2332" s="0" t="s">
        <v>155</v>
      </c>
      <c r="CA2332" s="0" t="s">
        <v>154</v>
      </c>
      <c r="CK2332" s="0" t="s">
        <v>154</v>
      </c>
      <c r="CN2332" s="0" t="s">
        <v>154</v>
      </c>
      <c r="CO2332" s="0" t="s">
        <v>155</v>
      </c>
      <c r="CP2332" s="0" t="s">
        <v>154</v>
      </c>
      <c r="CQ2332" s="0" t="s">
        <v>155</v>
      </c>
      <c r="CT2332" s="0" t="s">
        <v>154</v>
      </c>
      <c r="CU2332" s="0" t="s">
        <v>155</v>
      </c>
      <c r="CV2332" s="0" t="s">
        <v>154</v>
      </c>
      <c r="CY2332" s="0" t="s">
        <v>154</v>
      </c>
      <c r="CZ2332" s="0" t="s">
        <v>155</v>
      </c>
      <c r="DC2332" s="0" t="s">
        <v>154</v>
      </c>
      <c r="DI2332" s="0" t="s">
        <v>154</v>
      </c>
      <c r="DN2332" s="0" t="s">
        <v>154</v>
      </c>
      <c r="DS2332" s="0" t="s">
        <v>155</v>
      </c>
      <c r="DU2332" s="0" t="s">
        <v>154</v>
      </c>
      <c r="EF2332" s="0" t="s">
        <v>154</v>
      </c>
    </row>
    <row r="2333" customFormat="false" ht="13.8" hidden="true" customHeight="false" outlineLevel="0" collapsed="false">
      <c r="A2333" s="0" t="s">
        <v>10156</v>
      </c>
      <c r="B2333" s="0" t="n">
        <v>78</v>
      </c>
      <c r="C2333" s="0" t="n">
        <v>348629</v>
      </c>
      <c r="D2333" s="0" t="s">
        <v>949</v>
      </c>
      <c r="E2333" s="0" t="s">
        <v>10157</v>
      </c>
      <c r="F2333" s="0" t="str">
        <f aca="false">CONCATENATE(D2333," ",LEFT(H2333,4),"T=",AU2333,"D=",AV2333,"R=",AW2333,"M=",AX2333,"L=",AY2333,"B=",AZ2333)</f>
        <v>RODGERS T=28D=5R=0M=0L=0B=0</v>
      </c>
      <c r="I2333" s="0" t="s">
        <v>10158</v>
      </c>
      <c r="J2333" s="0" t="s">
        <v>757</v>
      </c>
      <c r="K2333" s="0" t="s">
        <v>175</v>
      </c>
      <c r="L2333" s="0"/>
      <c r="M2333" s="0" t="s">
        <v>10155</v>
      </c>
      <c r="N2333" s="0" t="str">
        <f aca="false">RIGHT(M2333,LEN(M2333)-FIND(" ",M2333))</f>
        <v>ROOSEVELT ST NW</v>
      </c>
      <c r="P2333" s="0" t="s">
        <v>146</v>
      </c>
      <c r="Q2333" s="0" t="s">
        <v>147</v>
      </c>
      <c r="R2333" s="0" t="n">
        <v>44483</v>
      </c>
      <c r="AD2333" s="0" t="s">
        <v>148</v>
      </c>
      <c r="AE2333" s="0" t="s">
        <v>149</v>
      </c>
      <c r="AF2333" s="0" t="s">
        <v>150</v>
      </c>
      <c r="AH2333" s="0" t="n">
        <v>14</v>
      </c>
      <c r="AI2333" s="0" t="n">
        <v>11</v>
      </c>
      <c r="AN2333" s="0" t="s">
        <v>146</v>
      </c>
      <c r="AO2333" s="0" t="s">
        <v>250</v>
      </c>
      <c r="AP2333" s="0" t="s">
        <v>251</v>
      </c>
      <c r="AQ2333" s="0" t="n">
        <v>9</v>
      </c>
      <c r="AR2333" s="0" t="n">
        <v>64</v>
      </c>
      <c r="AS2333" s="0" t="n">
        <v>32</v>
      </c>
      <c r="AU2333" s="0" t="n">
        <f aca="false">COUNTA($BA$2734:$EH$2734)</f>
        <v>28</v>
      </c>
      <c r="AV2333" s="0" t="n">
        <f aca="false">COUNTIF($BA$2734:$EH$2734,"D")</f>
        <v>5</v>
      </c>
      <c r="AW2333" s="0" t="n">
        <f aca="false">COUNTIF($BA$2734:$EH$2734,"R")</f>
        <v>0</v>
      </c>
      <c r="AX2333" s="0" t="n">
        <f aca="false"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>0</v>
      </c>
      <c r="AY2333" s="0" t="n">
        <f aca="false">COUNTIF(DU2333:EH2333, "&lt;&gt;")</f>
        <v>0</v>
      </c>
      <c r="AZ2333" s="0" t="n">
        <f aca="false">IF(EH2333&lt;&gt;"",1,0)</f>
        <v>0</v>
      </c>
      <c r="BB2333" s="0" t="s">
        <v>153</v>
      </c>
      <c r="BY2333" s="0" t="s">
        <v>155</v>
      </c>
      <c r="CA2333" s="0" t="s">
        <v>154</v>
      </c>
    </row>
    <row r="2334" customFormat="false" ht="13.8" hidden="true" customHeight="false" outlineLevel="0" collapsed="false">
      <c r="A2334" s="0" t="s">
        <v>10159</v>
      </c>
      <c r="B2334" s="0" t="n">
        <v>78</v>
      </c>
      <c r="C2334" s="0" t="n">
        <v>147825</v>
      </c>
      <c r="D2334" s="0" t="s">
        <v>1869</v>
      </c>
      <c r="E2334" s="0" t="s">
        <v>3095</v>
      </c>
      <c r="F2334" s="0" t="str">
        <f aca="false">CONCATENATE(D2334," ",LEFT(H2334,4),"T=",AU2334,"D=",AV2334,"R=",AW2334,"M=",AX2334,"L=",AY2334,"B=",AZ2334)</f>
        <v>PROVITT T=18D=8R=0M=2L=1B=0</v>
      </c>
      <c r="G2334" s="0" t="s">
        <v>172</v>
      </c>
      <c r="I2334" s="0" t="s">
        <v>7811</v>
      </c>
      <c r="J2334" s="0" t="s">
        <v>4352</v>
      </c>
      <c r="K2334" s="0" t="s">
        <v>175</v>
      </c>
      <c r="L2334" s="0"/>
      <c r="M2334" s="0" t="s">
        <v>10160</v>
      </c>
      <c r="N2334" s="0" t="str">
        <f aca="false">RIGHT(M2334,LEN(M2334)-FIND(" ",M2334))</f>
        <v>ROOSEVELT ST NW</v>
      </c>
      <c r="P2334" s="0" t="s">
        <v>146</v>
      </c>
      <c r="Q2334" s="0" t="s">
        <v>147</v>
      </c>
      <c r="R2334" s="0" t="n">
        <v>44483</v>
      </c>
      <c r="AD2334" s="0" t="s">
        <v>148</v>
      </c>
      <c r="AE2334" s="0" t="s">
        <v>149</v>
      </c>
      <c r="AF2334" s="0" t="s">
        <v>150</v>
      </c>
      <c r="AH2334" s="0" t="n">
        <v>14</v>
      </c>
      <c r="AI2334" s="0" t="n">
        <v>11</v>
      </c>
      <c r="AN2334" s="0" t="s">
        <v>146</v>
      </c>
      <c r="AO2334" s="0" t="s">
        <v>250</v>
      </c>
      <c r="AP2334" s="0" t="s">
        <v>251</v>
      </c>
      <c r="AQ2334" s="0" t="n">
        <v>9</v>
      </c>
      <c r="AR2334" s="0" t="n">
        <v>64</v>
      </c>
      <c r="AS2334" s="0" t="n">
        <v>32</v>
      </c>
      <c r="AU2334" s="0" t="n">
        <f aca="false">COUNTA($BA$2465:$EH$2465)</f>
        <v>18</v>
      </c>
      <c r="AV2334" s="0" t="n">
        <f aca="false">COUNTIF($BA$2465:$EH$2465,"D")</f>
        <v>8</v>
      </c>
      <c r="AW2334" s="0" t="n">
        <f aca="false">COUNTIF($BA$2465:$EH$2465,"R")</f>
        <v>0</v>
      </c>
      <c r="AX2334" s="0" t="n">
        <f aca="false"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>2</v>
      </c>
      <c r="AY2334" s="0" t="n">
        <f aca="false">COUNTIF(DU2334:EH2334, "&lt;&gt;")</f>
        <v>1</v>
      </c>
      <c r="AZ2334" s="0" t="n">
        <f aca="false">IF(EH2334&lt;&gt;"",1,0)</f>
        <v>0</v>
      </c>
      <c r="BB2334" s="0" t="s">
        <v>153</v>
      </c>
      <c r="BC2334" s="0" t="s">
        <v>154</v>
      </c>
      <c r="BD2334" s="0" t="s">
        <v>154</v>
      </c>
      <c r="BJ2334" s="0" t="s">
        <v>154</v>
      </c>
      <c r="BK2334" s="0" t="s">
        <v>154</v>
      </c>
      <c r="BL2334" s="0" t="s">
        <v>154</v>
      </c>
      <c r="BS2334" s="0" t="s">
        <v>154</v>
      </c>
      <c r="BY2334" s="0" t="s">
        <v>155</v>
      </c>
      <c r="CA2334" s="0" t="s">
        <v>154</v>
      </c>
      <c r="CK2334" s="0" t="s">
        <v>154</v>
      </c>
      <c r="CL2334" s="0" t="s">
        <v>155</v>
      </c>
      <c r="CN2334" s="0" t="s">
        <v>154</v>
      </c>
      <c r="CP2334" s="0" t="s">
        <v>154</v>
      </c>
      <c r="CV2334" s="0" t="s">
        <v>154</v>
      </c>
      <c r="CY2334" s="0" t="s">
        <v>154</v>
      </c>
      <c r="CZ2334" s="0" t="s">
        <v>155</v>
      </c>
      <c r="DC2334" s="0" t="s">
        <v>154</v>
      </c>
      <c r="DI2334" s="0" t="s">
        <v>154</v>
      </c>
      <c r="DL2334" s="0" t="s">
        <v>154</v>
      </c>
      <c r="DO2334" s="0" t="s">
        <v>155</v>
      </c>
      <c r="EF2334" s="0" t="s">
        <v>154</v>
      </c>
    </row>
    <row r="2335" customFormat="false" ht="13.8" hidden="false" customHeight="false" outlineLevel="0" collapsed="false">
      <c r="A2335" s="0" t="s">
        <v>10161</v>
      </c>
      <c r="B2335" s="0" t="n">
        <v>78</v>
      </c>
      <c r="C2335" s="0" t="n">
        <v>6287</v>
      </c>
      <c r="D2335" s="0" t="s">
        <v>1869</v>
      </c>
      <c r="E2335" s="0" t="s">
        <v>791</v>
      </c>
      <c r="F2335" s="0" t="str">
        <f aca="false">CONCATENATE(D2335," ",LEFT(H2335,4),"T=",AU2335,"D=",AV2335,"R=",AW2335,"M=",AX2335,"L=",AY2335,"B=",AZ2335)</f>
        <v>PROVITT T=2D=0R=0M=1L=2B=0</v>
      </c>
      <c r="G2335" s="0" t="s">
        <v>2397</v>
      </c>
      <c r="I2335" s="0" t="s">
        <v>10162</v>
      </c>
      <c r="J2335" s="0" t="s">
        <v>10163</v>
      </c>
      <c r="K2335" s="0" t="s">
        <v>175</v>
      </c>
      <c r="M2335" s="0" t="s">
        <v>10160</v>
      </c>
      <c r="N2335" s="0" t="str">
        <f aca="false">RIGHT(M2335,LEN(M2335)-FIND(" ",M2335))</f>
        <v>ROOSEVELT ST NW</v>
      </c>
      <c r="P2335" s="0" t="s">
        <v>146</v>
      </c>
      <c r="Q2335" s="0" t="s">
        <v>147</v>
      </c>
      <c r="R2335" s="0" t="n">
        <v>44483</v>
      </c>
      <c r="AD2335" s="0" t="s">
        <v>148</v>
      </c>
      <c r="AE2335" s="0" t="s">
        <v>149</v>
      </c>
      <c r="AF2335" s="0" t="s">
        <v>150</v>
      </c>
      <c r="AH2335" s="0" t="n">
        <v>14</v>
      </c>
      <c r="AI2335" s="0" t="n">
        <v>11</v>
      </c>
      <c r="AN2335" s="0" t="s">
        <v>146</v>
      </c>
      <c r="AO2335" s="0" t="s">
        <v>250</v>
      </c>
      <c r="AP2335" s="0" t="s">
        <v>251</v>
      </c>
      <c r="AQ2335" s="0" t="n">
        <v>9</v>
      </c>
      <c r="AR2335" s="0" t="n">
        <v>64</v>
      </c>
      <c r="AS2335" s="0" t="n">
        <v>32</v>
      </c>
      <c r="AU2335" s="0" t="n">
        <f aca="false">COUNTA($BA$2701:$EH$2701)</f>
        <v>2</v>
      </c>
      <c r="AV2335" s="0" t="n">
        <f aca="false">COUNTIF($BA$2701:$EH$2701,"D")</f>
        <v>0</v>
      </c>
      <c r="AW2335" s="0" t="n">
        <f aca="false">COUNTIF($BA$2701:$EH$2701,"R")</f>
        <v>0</v>
      </c>
      <c r="AX2335" s="0" t="n">
        <f aca="false"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>1</v>
      </c>
      <c r="AY2335" s="0" t="n">
        <f aca="false">COUNTIF(DU2335:EH2335, "&lt;&gt;")</f>
        <v>2</v>
      </c>
      <c r="AZ2335" s="0" t="n">
        <f aca="false">IF(EH2335&lt;&gt;"",1,0)</f>
        <v>0</v>
      </c>
      <c r="BB2335" s="0" t="s">
        <v>153</v>
      </c>
      <c r="BC2335" s="0" t="s">
        <v>154</v>
      </c>
      <c r="BD2335" s="0" t="s">
        <v>154</v>
      </c>
      <c r="BE2335" s="0" t="s">
        <v>154</v>
      </c>
      <c r="BH2335" s="0" t="s">
        <v>154</v>
      </c>
      <c r="BJ2335" s="0" t="s">
        <v>154</v>
      </c>
      <c r="BK2335" s="0" t="s">
        <v>154</v>
      </c>
      <c r="BL2335" s="0" t="s">
        <v>154</v>
      </c>
      <c r="BS2335" s="0" t="s">
        <v>154</v>
      </c>
      <c r="BY2335" s="0" t="s">
        <v>155</v>
      </c>
      <c r="CA2335" s="0" t="s">
        <v>154</v>
      </c>
      <c r="CK2335" s="0" t="s">
        <v>154</v>
      </c>
      <c r="CL2335" s="0" t="s">
        <v>155</v>
      </c>
      <c r="CN2335" s="0" t="s">
        <v>154</v>
      </c>
      <c r="CP2335" s="0" t="s">
        <v>154</v>
      </c>
      <c r="CV2335" s="0" t="s">
        <v>154</v>
      </c>
      <c r="CY2335" s="0" t="s">
        <v>154</v>
      </c>
      <c r="CZ2335" s="0" t="s">
        <v>155</v>
      </c>
      <c r="DC2335" s="0" t="s">
        <v>154</v>
      </c>
      <c r="DI2335" s="0" t="s">
        <v>154</v>
      </c>
      <c r="DN2335" s="0" t="s">
        <v>154</v>
      </c>
      <c r="DU2335" s="0" t="s">
        <v>154</v>
      </c>
      <c r="EF2335" s="0" t="s">
        <v>154</v>
      </c>
    </row>
    <row r="2336" customFormat="false" ht="13.8" hidden="true" customHeight="false" outlineLevel="0" collapsed="false">
      <c r="A2336" s="0" t="s">
        <v>10164</v>
      </c>
      <c r="B2336" s="0" t="n">
        <v>78</v>
      </c>
      <c r="C2336" s="0" t="n">
        <v>473807</v>
      </c>
      <c r="D2336" s="0" t="s">
        <v>1657</v>
      </c>
      <c r="E2336" s="0" t="s">
        <v>10165</v>
      </c>
      <c r="F2336" s="0" t="str">
        <f aca="false">CONCATENATE(D2336," ",LEFT(H2336,4),"T=",AU2336,"D=",AV2336,"R=",AW2336,"M=",AX2336,"L=",AY2336,"B=",AZ2336)</f>
        <v>MILLER T=20D=2R=0M=0L=0B=0</v>
      </c>
      <c r="G2336" s="0" t="s">
        <v>202</v>
      </c>
      <c r="I2336" s="0" t="s">
        <v>10166</v>
      </c>
      <c r="J2336" s="0" t="s">
        <v>10167</v>
      </c>
      <c r="K2336" s="0" t="s">
        <v>175</v>
      </c>
      <c r="L2336" s="0"/>
      <c r="M2336" s="0" t="s">
        <v>10168</v>
      </c>
      <c r="N2336" s="0" t="str">
        <f aca="false">RIGHT(M2336,LEN(M2336)-FIND(" ",M2336))</f>
        <v>ROOSEVELT ST NW</v>
      </c>
      <c r="P2336" s="0" t="s">
        <v>146</v>
      </c>
      <c r="Q2336" s="0" t="s">
        <v>147</v>
      </c>
      <c r="R2336" s="0" t="n">
        <v>44483</v>
      </c>
      <c r="AD2336" s="0" t="s">
        <v>148</v>
      </c>
      <c r="AE2336" s="0" t="s">
        <v>149</v>
      </c>
      <c r="AF2336" s="0" t="s">
        <v>150</v>
      </c>
      <c r="AH2336" s="0" t="n">
        <v>14</v>
      </c>
      <c r="AI2336" s="0" t="n">
        <v>11</v>
      </c>
      <c r="AN2336" s="0" t="s">
        <v>146</v>
      </c>
      <c r="AO2336" s="0" t="s">
        <v>250</v>
      </c>
      <c r="AP2336" s="0" t="s">
        <v>251</v>
      </c>
      <c r="AQ2336" s="0" t="n">
        <v>9</v>
      </c>
      <c r="AR2336" s="0" t="n">
        <v>64</v>
      </c>
      <c r="AS2336" s="0" t="n">
        <v>32</v>
      </c>
      <c r="AU2336" s="0" t="n">
        <f aca="false">COUNTA($BA$2301:$EH$2301)</f>
        <v>20</v>
      </c>
      <c r="AV2336" s="0" t="n">
        <f aca="false">COUNTIF($BA$2301:$EH$2301,"D")</f>
        <v>2</v>
      </c>
      <c r="AW2336" s="0" t="n">
        <f aca="false">COUNTIF($BA$2301:$EH$2301,"R")</f>
        <v>0</v>
      </c>
      <c r="AX2336" s="0" t="n">
        <f aca="false"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>0</v>
      </c>
      <c r="AY2336" s="0" t="n">
        <f aca="false">COUNTIF(DU2336:EH2336, "&lt;&gt;")</f>
        <v>0</v>
      </c>
      <c r="AZ2336" s="0" t="n">
        <f aca="false">IF(EH2336&lt;&gt;"",1,0)</f>
        <v>0</v>
      </c>
      <c r="BB2336" s="0" t="s">
        <v>153</v>
      </c>
      <c r="CP2336" s="0" t="s">
        <v>154</v>
      </c>
    </row>
    <row r="2337" customFormat="false" ht="13.8" hidden="true" customHeight="false" outlineLevel="0" collapsed="false">
      <c r="A2337" s="0" t="s">
        <v>10169</v>
      </c>
      <c r="B2337" s="0" t="n">
        <v>78</v>
      </c>
      <c r="C2337" s="0" t="n">
        <v>407008</v>
      </c>
      <c r="D2337" s="0" t="s">
        <v>1869</v>
      </c>
      <c r="E2337" s="0" t="s">
        <v>10170</v>
      </c>
      <c r="F2337" s="0" t="str">
        <f aca="false">CONCATENATE(D2337," ",LEFT(H2337,4),"T=",AU2337,"D=",AV2337,"R=",AW2337,"M=",AX2337,"L=",AY2337,"B=",AZ2337)</f>
        <v>PROVITT T=42D=12R=0M=0L=1B=0</v>
      </c>
      <c r="G2337" s="0" t="s">
        <v>176</v>
      </c>
      <c r="I2337" s="0" t="s">
        <v>10171</v>
      </c>
      <c r="J2337" s="0" t="s">
        <v>2847</v>
      </c>
      <c r="K2337" s="0" t="s">
        <v>175</v>
      </c>
      <c r="L2337" s="0"/>
      <c r="M2337" s="0" t="s">
        <v>10172</v>
      </c>
      <c r="N2337" s="0" t="str">
        <f aca="false">RIGHT(M2337,LEN(M2337)-FIND(" ",M2337))</f>
        <v>ROOSEVELT ST NW</v>
      </c>
      <c r="P2337" s="0" t="s">
        <v>146</v>
      </c>
      <c r="Q2337" s="0" t="s">
        <v>147</v>
      </c>
      <c r="R2337" s="0" t="n">
        <v>44483</v>
      </c>
      <c r="AD2337" s="0" t="s">
        <v>148</v>
      </c>
      <c r="AE2337" s="0" t="s">
        <v>149</v>
      </c>
      <c r="AF2337" s="0" t="s">
        <v>150</v>
      </c>
      <c r="AH2337" s="0" t="n">
        <v>14</v>
      </c>
      <c r="AI2337" s="0" t="n">
        <v>11</v>
      </c>
      <c r="AN2337" s="0" t="s">
        <v>146</v>
      </c>
      <c r="AO2337" s="0" t="s">
        <v>250</v>
      </c>
      <c r="AP2337" s="0" t="s">
        <v>251</v>
      </c>
      <c r="AQ2337" s="0" t="n">
        <v>9</v>
      </c>
      <c r="AR2337" s="0" t="n">
        <v>64</v>
      </c>
      <c r="AS2337" s="0" t="n">
        <v>32</v>
      </c>
      <c r="AU2337" s="0" t="n">
        <f aca="false">COUNTA($BA$2634:$EH$2634)</f>
        <v>42</v>
      </c>
      <c r="AV2337" s="0" t="n">
        <f aca="false">COUNTIF($BA$2634:$EH$2634,"D")</f>
        <v>12</v>
      </c>
      <c r="AW2337" s="0" t="n">
        <f aca="false">COUNTIF($BA$2634:$EH$2634,"R")</f>
        <v>0</v>
      </c>
      <c r="AX2337" s="0" t="n">
        <f aca="false"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>0</v>
      </c>
      <c r="AY2337" s="0" t="n">
        <f aca="false">COUNTIF(DU2337:EH2337, "&lt;&gt;")</f>
        <v>1</v>
      </c>
      <c r="AZ2337" s="0" t="n">
        <f aca="false">IF(EH2337&lt;&gt;"",1,0)</f>
        <v>0</v>
      </c>
      <c r="BB2337" s="0" t="s">
        <v>153</v>
      </c>
      <c r="DC2337" s="0" t="s">
        <v>154</v>
      </c>
      <c r="DN2337" s="0" t="s">
        <v>154</v>
      </c>
      <c r="EF2337" s="0" t="s">
        <v>154</v>
      </c>
    </row>
    <row r="2338" customFormat="false" ht="13.8" hidden="true" customHeight="false" outlineLevel="0" collapsed="false">
      <c r="A2338" s="0" t="s">
        <v>10173</v>
      </c>
      <c r="B2338" s="0" t="n">
        <v>78</v>
      </c>
      <c r="C2338" s="0" t="n">
        <v>362730</v>
      </c>
      <c r="D2338" s="0" t="s">
        <v>1702</v>
      </c>
      <c r="E2338" s="0" t="s">
        <v>4866</v>
      </c>
      <c r="F2338" s="0" t="str">
        <f aca="false">CONCATENATE(D2338," ",LEFT(H2338,4),"T=",AU2338,"D=",AV2338,"R=",AW2338,"M=",AX2338,"L=",AY2338,"B=",AZ2338)</f>
        <v>MORGAN T=2D=0R=0M=1L=1B=0</v>
      </c>
      <c r="G2338" s="0" t="s">
        <v>297</v>
      </c>
      <c r="I2338" s="0" t="s">
        <v>10174</v>
      </c>
      <c r="J2338" s="0" t="s">
        <v>10175</v>
      </c>
      <c r="K2338" s="0" t="s">
        <v>175</v>
      </c>
      <c r="L2338" s="0"/>
      <c r="M2338" s="0" t="s">
        <v>10172</v>
      </c>
      <c r="N2338" s="0" t="str">
        <f aca="false">RIGHT(M2338,LEN(M2338)-FIND(" ",M2338))</f>
        <v>ROOSEVELT ST NW</v>
      </c>
      <c r="P2338" s="0" t="s">
        <v>146</v>
      </c>
      <c r="Q2338" s="0" t="s">
        <v>147</v>
      </c>
      <c r="R2338" s="0" t="n">
        <v>44483</v>
      </c>
      <c r="AD2338" s="0" t="s">
        <v>148</v>
      </c>
      <c r="AE2338" s="0" t="s">
        <v>149</v>
      </c>
      <c r="AF2338" s="0" t="s">
        <v>150</v>
      </c>
      <c r="AH2338" s="0" t="n">
        <v>14</v>
      </c>
      <c r="AI2338" s="0" t="n">
        <v>11</v>
      </c>
      <c r="AN2338" s="0" t="s">
        <v>146</v>
      </c>
      <c r="AO2338" s="0" t="s">
        <v>250</v>
      </c>
      <c r="AP2338" s="0" t="s">
        <v>251</v>
      </c>
      <c r="AQ2338" s="0" t="n">
        <v>9</v>
      </c>
      <c r="AR2338" s="0" t="n">
        <v>64</v>
      </c>
      <c r="AS2338" s="0" t="n">
        <v>32</v>
      </c>
      <c r="AU2338" s="0" t="n">
        <f aca="false">COUNTA($BA$2703:$EH$2703)</f>
        <v>2</v>
      </c>
      <c r="AV2338" s="0" t="n">
        <f aca="false">COUNTIF($BA$2703:$EH$2703,"D")</f>
        <v>0</v>
      </c>
      <c r="AW2338" s="0" t="n">
        <f aca="false">COUNTIF($BA$2703:$EH$2703,"R")</f>
        <v>0</v>
      </c>
      <c r="AX2338" s="0" t="n">
        <f aca="false"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>1</v>
      </c>
      <c r="AY2338" s="0" t="n">
        <f aca="false">COUNTIF(DU2338:EH2338, "&lt;&gt;")</f>
        <v>1</v>
      </c>
      <c r="AZ2338" s="0" t="n">
        <f aca="false">IF(EH2338&lt;&gt;"",1,0)</f>
        <v>0</v>
      </c>
      <c r="BB2338" s="0" t="s">
        <v>153</v>
      </c>
      <c r="CA2338" s="0" t="s">
        <v>154</v>
      </c>
      <c r="CL2338" s="0" t="s">
        <v>155</v>
      </c>
      <c r="CP2338" s="0" t="s">
        <v>154</v>
      </c>
      <c r="DC2338" s="0" t="s">
        <v>154</v>
      </c>
      <c r="DN2338" s="0" t="s">
        <v>154</v>
      </c>
      <c r="EF2338" s="0" t="s">
        <v>154</v>
      </c>
    </row>
    <row r="2339" customFormat="false" ht="13.8" hidden="true" customHeight="false" outlineLevel="0" collapsed="false">
      <c r="A2339" s="0" t="s">
        <v>10176</v>
      </c>
      <c r="B2339" s="0" t="n">
        <v>78</v>
      </c>
      <c r="C2339" s="0" t="n">
        <v>345416</v>
      </c>
      <c r="D2339" s="0" t="s">
        <v>10177</v>
      </c>
      <c r="E2339" s="0" t="s">
        <v>1472</v>
      </c>
      <c r="F2339" s="0" t="str">
        <f aca="false">CONCATENATE(D2339," ",LEFT(H2339,4),"T=",AU2339,"D=",AV2339,"R=",AW2339,"M=",AX2339,"L=",AY2339,"B=",AZ2339)</f>
        <v>SHEELY T=6D=0R=0M=0L=1B=0</v>
      </c>
      <c r="G2339" s="0" t="s">
        <v>771</v>
      </c>
      <c r="I2339" s="0" t="s">
        <v>10178</v>
      </c>
      <c r="J2339" s="0" t="s">
        <v>10179</v>
      </c>
      <c r="K2339" s="0" t="s">
        <v>144</v>
      </c>
      <c r="L2339" s="0"/>
      <c r="M2339" s="0" t="s">
        <v>10180</v>
      </c>
      <c r="N2339" s="0" t="str">
        <f aca="false">RIGHT(M2339,LEN(M2339)-FIND(" ",M2339))</f>
        <v>ROOSEVELT ST NW</v>
      </c>
      <c r="P2339" s="0" t="s">
        <v>146</v>
      </c>
      <c r="Q2339" s="0" t="s">
        <v>147</v>
      </c>
      <c r="R2339" s="0" t="n">
        <v>44483</v>
      </c>
      <c r="AD2339" s="0" t="s">
        <v>148</v>
      </c>
      <c r="AE2339" s="0" t="s">
        <v>149</v>
      </c>
      <c r="AF2339" s="0" t="s">
        <v>150</v>
      </c>
      <c r="AH2339" s="0" t="n">
        <v>14</v>
      </c>
      <c r="AI2339" s="0" t="n">
        <v>11</v>
      </c>
      <c r="AN2339" s="0" t="s">
        <v>146</v>
      </c>
      <c r="AO2339" s="0" t="s">
        <v>250</v>
      </c>
      <c r="AP2339" s="0" t="s">
        <v>251</v>
      </c>
      <c r="AQ2339" s="0" t="n">
        <v>9</v>
      </c>
      <c r="AR2339" s="0" t="n">
        <v>64</v>
      </c>
      <c r="AS2339" s="0" t="n">
        <v>32</v>
      </c>
      <c r="AU2339" s="0" t="n">
        <f aca="false">COUNTA($BA$2449:$EH$2449)</f>
        <v>6</v>
      </c>
      <c r="AV2339" s="0" t="n">
        <f aca="false">COUNTIF($BA$2449:$EH$2449,"D")</f>
        <v>0</v>
      </c>
      <c r="AW2339" s="0" t="n">
        <f aca="false">COUNTIF($BA$2449:$EH$2449,"R")</f>
        <v>0</v>
      </c>
      <c r="AX2339" s="0" t="n">
        <f aca="false"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>0</v>
      </c>
      <c r="AY2339" s="0" t="n">
        <f aca="false">COUNTIF(DU2339:EH2339, "&lt;&gt;")</f>
        <v>1</v>
      </c>
      <c r="AZ2339" s="0" t="n">
        <f aca="false">IF(EH2339&lt;&gt;"",1,0)</f>
        <v>0</v>
      </c>
      <c r="BB2339" s="0" t="s">
        <v>153</v>
      </c>
      <c r="DN2339" s="0" t="s">
        <v>154</v>
      </c>
      <c r="DU2339" s="0" t="s">
        <v>154</v>
      </c>
    </row>
    <row r="2340" customFormat="false" ht="13.8" hidden="true" customHeight="false" outlineLevel="0" collapsed="false">
      <c r="A2340" s="0" t="s">
        <v>10181</v>
      </c>
      <c r="B2340" s="0" t="n">
        <v>78</v>
      </c>
      <c r="C2340" s="0" t="n">
        <v>370622</v>
      </c>
      <c r="D2340" s="0" t="s">
        <v>7808</v>
      </c>
      <c r="E2340" s="0" t="s">
        <v>3408</v>
      </c>
      <c r="F2340" s="0" t="str">
        <f aca="false">CONCATENATE(D2340," ",LEFT(H2340,4),"T=",AU2340,"D=",AV2340,"R=",AW2340,"M=",AX2340,"L=",AY2340,"B=",AZ2340)</f>
        <v>SHEETS JRT=1D=0R=0M=0L=1B=0</v>
      </c>
      <c r="G2340" s="0" t="s">
        <v>365</v>
      </c>
      <c r="H2340" s="0" t="s">
        <v>431</v>
      </c>
      <c r="I2340" s="0" t="s">
        <v>10182</v>
      </c>
      <c r="J2340" s="0" t="s">
        <v>10183</v>
      </c>
      <c r="K2340" s="0" t="s">
        <v>144</v>
      </c>
      <c r="L2340" s="0"/>
      <c r="M2340" s="0" t="s">
        <v>10180</v>
      </c>
      <c r="N2340" s="0" t="str">
        <f aca="false">RIGHT(M2340,LEN(M2340)-FIND(" ",M2340))</f>
        <v>ROOSEVELT ST NW</v>
      </c>
      <c r="P2340" s="0" t="s">
        <v>146</v>
      </c>
      <c r="Q2340" s="0" t="s">
        <v>147</v>
      </c>
      <c r="R2340" s="0" t="n">
        <v>44483</v>
      </c>
      <c r="AD2340" s="0" t="s">
        <v>148</v>
      </c>
      <c r="AE2340" s="0" t="s">
        <v>149</v>
      </c>
      <c r="AF2340" s="0" t="s">
        <v>150</v>
      </c>
      <c r="AH2340" s="0" t="n">
        <v>14</v>
      </c>
      <c r="AI2340" s="0" t="n">
        <v>11</v>
      </c>
      <c r="AN2340" s="0" t="s">
        <v>146</v>
      </c>
      <c r="AO2340" s="0" t="s">
        <v>250</v>
      </c>
      <c r="AP2340" s="0" t="s">
        <v>251</v>
      </c>
      <c r="AQ2340" s="0" t="n">
        <v>9</v>
      </c>
      <c r="AR2340" s="0" t="n">
        <v>64</v>
      </c>
      <c r="AS2340" s="0" t="n">
        <v>32</v>
      </c>
      <c r="AU2340" s="0" t="n">
        <f aca="false">COUNTA($BA$2775:$EH$2775)</f>
        <v>1</v>
      </c>
      <c r="AV2340" s="0" t="n">
        <f aca="false">COUNTIF($BA$2775:$EH$2775,"D")</f>
        <v>0</v>
      </c>
      <c r="AW2340" s="0" t="n">
        <f aca="false">COUNTIF($BA$2775:$EH$2775,"R")</f>
        <v>0</v>
      </c>
      <c r="AX2340" s="0" t="n">
        <f aca="false"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>0</v>
      </c>
      <c r="AY2340" s="0" t="n">
        <f aca="false">COUNTIF(DU2340:EH2340, "&lt;&gt;")</f>
        <v>1</v>
      </c>
      <c r="AZ2340" s="0" t="n">
        <f aca="false">IF(EH2340&lt;&gt;"",1,0)</f>
        <v>0</v>
      </c>
      <c r="BB2340" s="0" t="s">
        <v>153</v>
      </c>
      <c r="CP2340" s="0" t="s">
        <v>154</v>
      </c>
      <c r="CV2340" s="0" t="s">
        <v>154</v>
      </c>
      <c r="DN2340" s="0" t="s">
        <v>154</v>
      </c>
      <c r="DU2340" s="0" t="s">
        <v>154</v>
      </c>
    </row>
    <row r="2341" customFormat="false" ht="13.8" hidden="true" customHeight="false" outlineLevel="0" collapsed="false">
      <c r="A2341" s="0" t="s">
        <v>10184</v>
      </c>
      <c r="B2341" s="0" t="n">
        <v>78</v>
      </c>
      <c r="C2341" s="0" t="n">
        <v>410230</v>
      </c>
      <c r="D2341" s="0" t="s">
        <v>8976</v>
      </c>
      <c r="E2341" s="0" t="s">
        <v>10185</v>
      </c>
      <c r="F2341" s="0" t="str">
        <f aca="false">CONCATENATE(D2341," ",LEFT(H2341,4),"T=",AU2341,"D=",AV2341,"R=",AW2341,"M=",AX2341,"L=",AY2341,"B=",AZ2341)</f>
        <v>COLE T=4D=0R=0M=0L=0B=0</v>
      </c>
      <c r="G2341" s="0" t="s">
        <v>241</v>
      </c>
      <c r="I2341" s="0" t="s">
        <v>10186</v>
      </c>
      <c r="J2341" s="0" t="s">
        <v>10187</v>
      </c>
      <c r="K2341" s="0" t="s">
        <v>144</v>
      </c>
      <c r="L2341" s="0"/>
      <c r="M2341" s="0" t="s">
        <v>10188</v>
      </c>
      <c r="N2341" s="0" t="str">
        <f aca="false">RIGHT(M2341,LEN(M2341)-FIND(" ",M2341))</f>
        <v>ROOSEVELT ST NW</v>
      </c>
      <c r="P2341" s="0" t="s">
        <v>146</v>
      </c>
      <c r="Q2341" s="0" t="s">
        <v>147</v>
      </c>
      <c r="R2341" s="0" t="n">
        <v>44483</v>
      </c>
      <c r="AD2341" s="0" t="s">
        <v>148</v>
      </c>
      <c r="AE2341" s="0" t="s">
        <v>149</v>
      </c>
      <c r="AF2341" s="0" t="s">
        <v>150</v>
      </c>
      <c r="AH2341" s="0" t="n">
        <v>14</v>
      </c>
      <c r="AI2341" s="0" t="n">
        <v>11</v>
      </c>
      <c r="AN2341" s="0" t="s">
        <v>146</v>
      </c>
      <c r="AO2341" s="0" t="s">
        <v>250</v>
      </c>
      <c r="AP2341" s="0" t="s">
        <v>251</v>
      </c>
      <c r="AQ2341" s="0" t="n">
        <v>9</v>
      </c>
      <c r="AR2341" s="0" t="n">
        <v>64</v>
      </c>
      <c r="AS2341" s="0" t="n">
        <v>32</v>
      </c>
      <c r="AU2341" s="0" t="n">
        <f aca="false">COUNTA($BA$2224:$EH$2224)</f>
        <v>4</v>
      </c>
      <c r="AV2341" s="0" t="n">
        <f aca="false">COUNTIF($BA$2224:$EH$2224,"D")</f>
        <v>0</v>
      </c>
      <c r="AW2341" s="0" t="n">
        <f aca="false">COUNTIF($BA$2224:$EH$2224,"R")</f>
        <v>0</v>
      </c>
      <c r="AX2341" s="0" t="n">
        <f aca="false"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>0</v>
      </c>
      <c r="AY2341" s="0" t="n">
        <f aca="false">COUNTIF(DU2341:EH2341, "&lt;&gt;")</f>
        <v>0</v>
      </c>
      <c r="AZ2341" s="0" t="n">
        <f aca="false">IF(EH2341&lt;&gt;"",1,0)</f>
        <v>0</v>
      </c>
      <c r="BB2341" s="0" t="s">
        <v>153</v>
      </c>
      <c r="DC2341" s="0" t="s">
        <v>154</v>
      </c>
    </row>
    <row r="2342" customFormat="false" ht="13.8" hidden="false" customHeight="false" outlineLevel="0" collapsed="false">
      <c r="A2342" s="0" t="s">
        <v>10189</v>
      </c>
      <c r="B2342" s="0" t="n">
        <v>78</v>
      </c>
      <c r="C2342" s="0" t="n">
        <v>250704</v>
      </c>
      <c r="D2342" s="0" t="s">
        <v>3197</v>
      </c>
      <c r="E2342" s="0" t="s">
        <v>10190</v>
      </c>
      <c r="F2342" s="0" t="str">
        <f aca="false">CONCATENATE(D2342," ",LEFT(H2342,4),"T=",AU2342,"D=",AV2342,"R=",AW2342,"M=",AX2342,"L=",AY2342,"B=",AZ2342)</f>
        <v>WELLS T=1D=0R=0M=3L=6B=1</v>
      </c>
      <c r="G2342" s="0" t="s">
        <v>241</v>
      </c>
      <c r="I2342" s="0" t="s">
        <v>10191</v>
      </c>
      <c r="J2342" s="0" t="s">
        <v>357</v>
      </c>
      <c r="K2342" s="0" t="s">
        <v>175</v>
      </c>
      <c r="L2342" s="1" t="s">
        <v>155</v>
      </c>
      <c r="M2342" s="0" t="s">
        <v>10192</v>
      </c>
      <c r="N2342" s="0" t="str">
        <f aca="false">RIGHT(M2342,LEN(M2342)-FIND(" ",M2342))</f>
        <v>ROOSEVELT ST NW</v>
      </c>
      <c r="O2342" s="0" t="s">
        <v>414</v>
      </c>
      <c r="P2342" s="0" t="s">
        <v>146</v>
      </c>
      <c r="Q2342" s="0" t="s">
        <v>147</v>
      </c>
      <c r="R2342" s="0" t="n">
        <v>44483</v>
      </c>
      <c r="AD2342" s="0" t="s">
        <v>148</v>
      </c>
      <c r="AE2342" s="0" t="s">
        <v>149</v>
      </c>
      <c r="AF2342" s="0" t="s">
        <v>150</v>
      </c>
      <c r="AH2342" s="0" t="n">
        <v>14</v>
      </c>
      <c r="AI2342" s="0" t="n">
        <v>11</v>
      </c>
      <c r="AN2342" s="0" t="s">
        <v>146</v>
      </c>
      <c r="AO2342" s="0" t="s">
        <v>250</v>
      </c>
      <c r="AP2342" s="0" t="s">
        <v>251</v>
      </c>
      <c r="AQ2342" s="0" t="n">
        <v>9</v>
      </c>
      <c r="AR2342" s="0" t="n">
        <v>64</v>
      </c>
      <c r="AS2342" s="0" t="n">
        <v>32</v>
      </c>
      <c r="AU2342" s="0" t="n">
        <f aca="false">COUNTA($BA$2662:$EH$2662)</f>
        <v>1</v>
      </c>
      <c r="AV2342" s="0" t="n">
        <f aca="false">COUNTIF($BA$2662:$EH$2662,"D")</f>
        <v>0</v>
      </c>
      <c r="AW2342" s="0" t="n">
        <f aca="false">COUNTIF($BA$2662:$EH$2662,"R")</f>
        <v>0</v>
      </c>
      <c r="AX2342" s="0" t="n">
        <f aca="false"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>3</v>
      </c>
      <c r="AY2342" s="0" t="n">
        <f aca="false">COUNTIF(DU2342:EH2342, "&lt;&gt;")</f>
        <v>6</v>
      </c>
      <c r="AZ2342" s="0" t="n">
        <f aca="false">IF(EH2342&lt;&gt;"",1,0)</f>
        <v>1</v>
      </c>
      <c r="BB2342" s="0" t="s">
        <v>153</v>
      </c>
      <c r="BC2342" s="0" t="s">
        <v>154</v>
      </c>
      <c r="BD2342" s="0" t="s">
        <v>154</v>
      </c>
      <c r="BH2342" s="0" t="s">
        <v>154</v>
      </c>
      <c r="BI2342" s="0" t="s">
        <v>154</v>
      </c>
      <c r="BJ2342" s="0" t="s">
        <v>154</v>
      </c>
      <c r="BK2342" s="0" t="s">
        <v>154</v>
      </c>
      <c r="BL2342" s="0" t="s">
        <v>154</v>
      </c>
      <c r="BR2342" s="0" t="s">
        <v>154</v>
      </c>
      <c r="BS2342" s="0" t="s">
        <v>154</v>
      </c>
      <c r="BY2342" s="0" t="s">
        <v>155</v>
      </c>
      <c r="CA2342" s="0" t="s">
        <v>154</v>
      </c>
      <c r="CL2342" s="0" t="s">
        <v>155</v>
      </c>
      <c r="CN2342" s="0" t="s">
        <v>154</v>
      </c>
      <c r="CP2342" s="0" t="s">
        <v>154</v>
      </c>
      <c r="DC2342" s="0" t="s">
        <v>154</v>
      </c>
      <c r="DF2342" s="0" t="s">
        <v>154</v>
      </c>
      <c r="DI2342" s="0" t="s">
        <v>154</v>
      </c>
      <c r="DL2342" s="0" t="s">
        <v>154</v>
      </c>
      <c r="DN2342" s="0" t="s">
        <v>154</v>
      </c>
      <c r="DS2342" s="0" t="s">
        <v>155</v>
      </c>
      <c r="DT2342" s="0" t="s">
        <v>155</v>
      </c>
      <c r="DU2342" s="0" t="s">
        <v>154</v>
      </c>
      <c r="DW2342" s="0" t="s">
        <v>155</v>
      </c>
      <c r="DX2342" s="0" t="s">
        <v>154</v>
      </c>
      <c r="EA2342" s="0" t="s">
        <v>154</v>
      </c>
      <c r="EF2342" s="0" t="s">
        <v>154</v>
      </c>
      <c r="EH2342" s="0" t="s">
        <v>155</v>
      </c>
    </row>
    <row r="2343" customFormat="false" ht="13.8" hidden="false" customHeight="false" outlineLevel="0" collapsed="false">
      <c r="A2343" s="0" t="s">
        <v>10193</v>
      </c>
      <c r="B2343" s="0" t="n">
        <v>78</v>
      </c>
      <c r="C2343" s="0" t="n">
        <v>464882</v>
      </c>
      <c r="D2343" s="0" t="s">
        <v>3197</v>
      </c>
      <c r="E2343" s="0" t="s">
        <v>10194</v>
      </c>
      <c r="F2343" s="0" t="str">
        <f aca="false">CONCATENATE(D2343," ",LEFT(H2343,4),"T=",AU2343,"D=",AV2343,"R=",AW2343,"M=",AX2343,"L=",AY2343,"B=",AZ2343)</f>
        <v>WELLS T=45D=17R=0M=1L=6B=0</v>
      </c>
      <c r="G2343" s="0" t="s">
        <v>10195</v>
      </c>
      <c r="I2343" s="0" t="s">
        <v>10196</v>
      </c>
      <c r="J2343" s="0" t="s">
        <v>1960</v>
      </c>
      <c r="K2343" s="0" t="s">
        <v>175</v>
      </c>
      <c r="L2343" s="1" t="s">
        <v>155</v>
      </c>
      <c r="M2343" s="0" t="s">
        <v>10192</v>
      </c>
      <c r="N2343" s="0" t="str">
        <f aca="false">RIGHT(M2343,LEN(M2343)-FIND(" ",M2343))</f>
        <v>ROOSEVELT ST NW</v>
      </c>
      <c r="P2343" s="0" t="s">
        <v>146</v>
      </c>
      <c r="Q2343" s="0" t="s">
        <v>147</v>
      </c>
      <c r="R2343" s="0" t="n">
        <v>44483</v>
      </c>
      <c r="AD2343" s="0" t="s">
        <v>148</v>
      </c>
      <c r="AE2343" s="0" t="s">
        <v>149</v>
      </c>
      <c r="AF2343" s="0" t="s">
        <v>150</v>
      </c>
      <c r="AH2343" s="0" t="n">
        <v>14</v>
      </c>
      <c r="AI2343" s="0" t="n">
        <v>11</v>
      </c>
      <c r="AN2343" s="0" t="s">
        <v>146</v>
      </c>
      <c r="AO2343" s="0" t="s">
        <v>250</v>
      </c>
      <c r="AP2343" s="0" t="s">
        <v>251</v>
      </c>
      <c r="AQ2343" s="0" t="n">
        <v>9</v>
      </c>
      <c r="AR2343" s="0" t="n">
        <v>64</v>
      </c>
      <c r="AS2343" s="0" t="n">
        <v>32</v>
      </c>
      <c r="AU2343" s="0" t="n">
        <f aca="false">COUNTA($BA$2796:$EH$2796)</f>
        <v>45</v>
      </c>
      <c r="AV2343" s="0" t="n">
        <f aca="false">COUNTIF($BA$2796:$EH$2796,"D")</f>
        <v>17</v>
      </c>
      <c r="AW2343" s="0" t="n">
        <f aca="false">COUNTIF($BA$2796:$EH$2796,"R")</f>
        <v>0</v>
      </c>
      <c r="AX2343" s="0" t="n">
        <f aca="false"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>1</v>
      </c>
      <c r="AY2343" s="0" t="n">
        <f aca="false">COUNTIF(DU2343:EH2343, "&lt;&gt;")</f>
        <v>6</v>
      </c>
      <c r="AZ2343" s="0" t="n">
        <f aca="false">IF(EH2343&lt;&gt;"",1,0)</f>
        <v>0</v>
      </c>
      <c r="BB2343" s="0" t="s">
        <v>153</v>
      </c>
      <c r="CA2343" s="0" t="s">
        <v>154</v>
      </c>
      <c r="CP2343" s="0" t="s">
        <v>154</v>
      </c>
      <c r="DU2343" s="0" t="s">
        <v>154</v>
      </c>
      <c r="DW2343" s="0" t="s">
        <v>155</v>
      </c>
      <c r="DX2343" s="0" t="s">
        <v>154</v>
      </c>
      <c r="EA2343" s="0" t="s">
        <v>154</v>
      </c>
      <c r="ED2343" s="0" t="s">
        <v>155</v>
      </c>
      <c r="EF2343" s="0" t="s">
        <v>154</v>
      </c>
    </row>
    <row r="2344" customFormat="false" ht="13.8" hidden="false" customHeight="false" outlineLevel="0" collapsed="false">
      <c r="A2344" s="0" t="s">
        <v>10197</v>
      </c>
      <c r="B2344" s="0" t="n">
        <v>78</v>
      </c>
      <c r="C2344" s="0" t="n">
        <v>421954</v>
      </c>
      <c r="D2344" s="0" t="s">
        <v>10198</v>
      </c>
      <c r="E2344" s="0" t="s">
        <v>920</v>
      </c>
      <c r="F2344" s="0" t="str">
        <f aca="false">CONCATENATE(D2344," ",LEFT(H2344,4),"T=",AU2344,"D=",AV2344,"R=",AW2344,"M=",AX2344,"L=",AY2344,"B=",AZ2344)</f>
        <v>NEELY THOMPSON T=1D=0R=0M=0L=4B=0</v>
      </c>
      <c r="G2344" s="0" t="s">
        <v>690</v>
      </c>
      <c r="I2344" s="0" t="s">
        <v>10199</v>
      </c>
      <c r="J2344" s="0" t="s">
        <v>5134</v>
      </c>
      <c r="K2344" s="0" t="s">
        <v>175</v>
      </c>
      <c r="M2344" s="0" t="s">
        <v>10200</v>
      </c>
      <c r="N2344" s="0" t="str">
        <f aca="false">RIGHT(M2344,LEN(M2344)-FIND(" ",M2344))</f>
        <v>ROOSEVELT ST NW</v>
      </c>
      <c r="P2344" s="0" t="s">
        <v>146</v>
      </c>
      <c r="Q2344" s="0" t="s">
        <v>147</v>
      </c>
      <c r="R2344" s="0" t="n">
        <v>44483</v>
      </c>
      <c r="AD2344" s="0" t="s">
        <v>148</v>
      </c>
      <c r="AE2344" s="0" t="s">
        <v>149</v>
      </c>
      <c r="AF2344" s="0" t="s">
        <v>150</v>
      </c>
      <c r="AH2344" s="0" t="n">
        <v>14</v>
      </c>
      <c r="AI2344" s="0" t="n">
        <v>11</v>
      </c>
      <c r="AN2344" s="0" t="s">
        <v>146</v>
      </c>
      <c r="AO2344" s="0" t="s">
        <v>250</v>
      </c>
      <c r="AP2344" s="0" t="s">
        <v>251</v>
      </c>
      <c r="AQ2344" s="0" t="n">
        <v>9</v>
      </c>
      <c r="AR2344" s="0" t="n">
        <v>64</v>
      </c>
      <c r="AS2344" s="0" t="n">
        <v>32</v>
      </c>
      <c r="AU2344" s="0" t="n">
        <f aca="false">COUNTA($BA$2651:$EH$2651)</f>
        <v>1</v>
      </c>
      <c r="AV2344" s="0" t="n">
        <f aca="false">COUNTIF($BA$2651:$EH$2651,"D")</f>
        <v>0</v>
      </c>
      <c r="AW2344" s="0" t="n">
        <f aca="false">COUNTIF($BA$2651:$EH$2651,"R")</f>
        <v>0</v>
      </c>
      <c r="AX2344" s="0" t="n">
        <f aca="false"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>0</v>
      </c>
      <c r="AY2344" s="0" t="n">
        <f aca="false">COUNTIF(DU2344:EH2344, "&lt;&gt;")</f>
        <v>4</v>
      </c>
      <c r="AZ2344" s="0" t="n">
        <f aca="false">IF(EH2344&lt;&gt;"",1,0)</f>
        <v>0</v>
      </c>
      <c r="BB2344" s="0" t="s">
        <v>153</v>
      </c>
      <c r="DC2344" s="0" t="s">
        <v>154</v>
      </c>
      <c r="DG2344" s="0" t="s">
        <v>155</v>
      </c>
      <c r="DI2344" s="0" t="s">
        <v>154</v>
      </c>
      <c r="DM2344" s="0" t="s">
        <v>155</v>
      </c>
      <c r="DN2344" s="0" t="s">
        <v>154</v>
      </c>
      <c r="DU2344" s="0" t="s">
        <v>154</v>
      </c>
      <c r="DX2344" s="0" t="s">
        <v>154</v>
      </c>
      <c r="EA2344" s="0" t="s">
        <v>154</v>
      </c>
      <c r="EF2344" s="0" t="s">
        <v>154</v>
      </c>
    </row>
    <row r="2345" customFormat="false" ht="13.8" hidden="false" customHeight="false" outlineLevel="0" collapsed="false">
      <c r="A2345" s="0" t="s">
        <v>10201</v>
      </c>
      <c r="B2345" s="0" t="n">
        <v>78</v>
      </c>
      <c r="C2345" s="0" t="n">
        <v>376848</v>
      </c>
      <c r="D2345" s="0" t="s">
        <v>10202</v>
      </c>
      <c r="E2345" s="0" t="s">
        <v>10203</v>
      </c>
      <c r="F2345" s="0" t="str">
        <f aca="false">CONCATENATE(D2345," ",LEFT(H2345,4),"T=",AU2345,"D=",AV2345,"R=",AW2345,"M=",AX2345,"L=",AY2345,"B=",AZ2345)</f>
        <v>MILONE T=1D=0R=0M=0L=4B=0</v>
      </c>
      <c r="G2345" s="0" t="s">
        <v>172</v>
      </c>
      <c r="I2345" s="0" t="s">
        <v>10204</v>
      </c>
      <c r="J2345" s="0" t="s">
        <v>3241</v>
      </c>
      <c r="K2345" s="0" t="s">
        <v>175</v>
      </c>
      <c r="M2345" s="0" t="s">
        <v>10200</v>
      </c>
      <c r="N2345" s="0" t="str">
        <f aca="false">RIGHT(M2345,LEN(M2345)-FIND(" ",M2345))</f>
        <v>ROOSEVELT ST NW</v>
      </c>
      <c r="P2345" s="0" t="s">
        <v>146</v>
      </c>
      <c r="Q2345" s="0" t="s">
        <v>147</v>
      </c>
      <c r="R2345" s="0" t="n">
        <v>44483</v>
      </c>
      <c r="AD2345" s="0" t="s">
        <v>148</v>
      </c>
      <c r="AE2345" s="0" t="s">
        <v>149</v>
      </c>
      <c r="AF2345" s="0" t="s">
        <v>150</v>
      </c>
      <c r="AH2345" s="0" t="n">
        <v>14</v>
      </c>
      <c r="AI2345" s="0" t="n">
        <v>11</v>
      </c>
      <c r="AN2345" s="0" t="s">
        <v>146</v>
      </c>
      <c r="AO2345" s="0" t="s">
        <v>250</v>
      </c>
      <c r="AP2345" s="0" t="s">
        <v>251</v>
      </c>
      <c r="AQ2345" s="0" t="n">
        <v>9</v>
      </c>
      <c r="AR2345" s="0" t="n">
        <v>64</v>
      </c>
      <c r="AS2345" s="0" t="n">
        <v>32</v>
      </c>
      <c r="AU2345" s="0" t="n">
        <f aca="false">COUNTA($BA$2704:$EH$2704)</f>
        <v>1</v>
      </c>
      <c r="AV2345" s="0" t="n">
        <f aca="false">COUNTIF($BA$2704:$EH$2704,"D")</f>
        <v>0</v>
      </c>
      <c r="AW2345" s="0" t="n">
        <f aca="false">COUNTIF($BA$2704:$EH$2704,"R")</f>
        <v>0</v>
      </c>
      <c r="AX2345" s="0" t="n">
        <f aca="false"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>0</v>
      </c>
      <c r="AY2345" s="0" t="n">
        <f aca="false">COUNTIF(DU2345:EH2345, "&lt;&gt;")</f>
        <v>4</v>
      </c>
      <c r="AZ2345" s="0" t="n">
        <f aca="false">IF(EH2345&lt;&gt;"",1,0)</f>
        <v>0</v>
      </c>
      <c r="BB2345" s="0" t="s">
        <v>153</v>
      </c>
      <c r="CK2345" s="0" t="s">
        <v>154</v>
      </c>
      <c r="CN2345" s="0" t="s">
        <v>154</v>
      </c>
      <c r="CP2345" s="0" t="s">
        <v>154</v>
      </c>
      <c r="CV2345" s="0" t="s">
        <v>154</v>
      </c>
      <c r="CY2345" s="0" t="s">
        <v>154</v>
      </c>
      <c r="CZ2345" s="0" t="s">
        <v>155</v>
      </c>
      <c r="DC2345" s="0" t="s">
        <v>154</v>
      </c>
      <c r="DG2345" s="0" t="s">
        <v>176</v>
      </c>
      <c r="DI2345" s="0" t="s">
        <v>154</v>
      </c>
      <c r="DM2345" s="0" t="s">
        <v>155</v>
      </c>
      <c r="DN2345" s="0" t="s">
        <v>154</v>
      </c>
      <c r="DU2345" s="0" t="s">
        <v>154</v>
      </c>
      <c r="DX2345" s="0" t="s">
        <v>154</v>
      </c>
      <c r="EA2345" s="0" t="s">
        <v>154</v>
      </c>
      <c r="EF2345" s="0" t="s">
        <v>154</v>
      </c>
    </row>
    <row r="2346" customFormat="false" ht="13.8" hidden="false" customHeight="false" outlineLevel="0" collapsed="false">
      <c r="A2346" s="0" t="s">
        <v>10205</v>
      </c>
      <c r="B2346" s="0" t="n">
        <v>78</v>
      </c>
      <c r="C2346" s="0" t="n">
        <v>454331</v>
      </c>
      <c r="D2346" s="0" t="s">
        <v>5294</v>
      </c>
      <c r="E2346" s="0" t="s">
        <v>2044</v>
      </c>
      <c r="F2346" s="0" t="str">
        <f aca="false">CONCATENATE(D2346," ",LEFT(H2346,4),"T=",AU2346,"D=",AV2346,"R=",AW2346,"M=",AX2346,"L=",AY2346,"B=",AZ2346)</f>
        <v>HOVIS T=25D=9R=0M=0L=5B=0</v>
      </c>
      <c r="G2346" s="0" t="s">
        <v>2370</v>
      </c>
      <c r="I2346" s="0" t="s">
        <v>10206</v>
      </c>
      <c r="J2346" s="0" t="s">
        <v>1764</v>
      </c>
      <c r="K2346" s="0" t="s">
        <v>175</v>
      </c>
      <c r="L2346" s="1" t="s">
        <v>155</v>
      </c>
      <c r="M2346" s="0" t="s">
        <v>10207</v>
      </c>
      <c r="N2346" s="0" t="str">
        <f aca="false">RIGHT(M2346,LEN(M2346)-FIND(" ",M2346))</f>
        <v>ROOSEVELT ST NW</v>
      </c>
      <c r="P2346" s="0" t="s">
        <v>146</v>
      </c>
      <c r="Q2346" s="0" t="s">
        <v>147</v>
      </c>
      <c r="R2346" s="0" t="n">
        <v>44483</v>
      </c>
      <c r="AD2346" s="0" t="s">
        <v>148</v>
      </c>
      <c r="AE2346" s="0" t="s">
        <v>149</v>
      </c>
      <c r="AF2346" s="0" t="s">
        <v>150</v>
      </c>
      <c r="AH2346" s="0" t="n">
        <v>14</v>
      </c>
      <c r="AI2346" s="0" t="n">
        <v>11</v>
      </c>
      <c r="AN2346" s="0" t="s">
        <v>146</v>
      </c>
      <c r="AO2346" s="0" t="s">
        <v>250</v>
      </c>
      <c r="AP2346" s="0" t="s">
        <v>251</v>
      </c>
      <c r="AQ2346" s="0" t="n">
        <v>9</v>
      </c>
      <c r="AR2346" s="0" t="n">
        <v>64</v>
      </c>
      <c r="AS2346" s="0" t="n">
        <v>32</v>
      </c>
      <c r="AU2346" s="0" t="n">
        <f aca="false">COUNTA($BA$2627:$EH$2627)</f>
        <v>25</v>
      </c>
      <c r="AV2346" s="0" t="n">
        <f aca="false">COUNTIF($BA$2627:$EH$2627,"D")</f>
        <v>9</v>
      </c>
      <c r="AW2346" s="0" t="n">
        <f aca="false">COUNTIF($BA$2627:$EH$2627,"R")</f>
        <v>0</v>
      </c>
      <c r="AX2346" s="0" t="n">
        <f aca="false"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>0</v>
      </c>
      <c r="AY2346" s="0" t="n">
        <f aca="false">COUNTIF(DU2346:EH2346, "&lt;&gt;")</f>
        <v>5</v>
      </c>
      <c r="AZ2346" s="0" t="n">
        <f aca="false">IF(EH2346&lt;&gt;"",1,0)</f>
        <v>0</v>
      </c>
      <c r="BB2346" s="0" t="s">
        <v>153</v>
      </c>
      <c r="BD2346" s="0" t="s">
        <v>154</v>
      </c>
      <c r="BE2346" s="0" t="s">
        <v>154</v>
      </c>
      <c r="BH2346" s="0" t="s">
        <v>154</v>
      </c>
      <c r="BK2346" s="0" t="s">
        <v>154</v>
      </c>
      <c r="BL2346" s="0" t="s">
        <v>154</v>
      </c>
      <c r="BS2346" s="0" t="s">
        <v>154</v>
      </c>
      <c r="BY2346" s="0" t="s">
        <v>155</v>
      </c>
      <c r="CA2346" s="0" t="s">
        <v>154</v>
      </c>
      <c r="CP2346" s="0" t="s">
        <v>154</v>
      </c>
      <c r="DN2346" s="0" t="s">
        <v>154</v>
      </c>
      <c r="DU2346" s="0" t="s">
        <v>154</v>
      </c>
      <c r="DX2346" s="0" t="s">
        <v>154</v>
      </c>
      <c r="EA2346" s="0" t="s">
        <v>154</v>
      </c>
      <c r="ED2346" s="0" t="s">
        <v>155</v>
      </c>
      <c r="EF2346" s="0" t="s">
        <v>154</v>
      </c>
    </row>
    <row r="2347" customFormat="false" ht="13.8" hidden="false" customHeight="false" outlineLevel="0" collapsed="false">
      <c r="A2347" s="0" t="s">
        <v>10208</v>
      </c>
      <c r="B2347" s="0" t="n">
        <v>78</v>
      </c>
      <c r="C2347" s="0" t="n">
        <v>465249</v>
      </c>
      <c r="D2347" s="0" t="s">
        <v>10209</v>
      </c>
      <c r="E2347" s="0" t="s">
        <v>376</v>
      </c>
      <c r="F2347" s="0" t="str">
        <f aca="false">CONCATENATE(D2347," ",LEFT(H2347,4),"T=",AU2347,"D=",AV2347,"R=",AW2347,"M=",AX2347,"L=",AY2347,"B=",AZ2347)</f>
        <v>AIELLO T=39D=11R=0M=0L=2B=0</v>
      </c>
      <c r="G2347" s="0" t="s">
        <v>771</v>
      </c>
      <c r="I2347" s="0" t="s">
        <v>6809</v>
      </c>
      <c r="J2347" s="0" t="s">
        <v>3347</v>
      </c>
      <c r="K2347" s="0" t="s">
        <v>175</v>
      </c>
      <c r="M2347" s="0" t="s">
        <v>10210</v>
      </c>
      <c r="N2347" s="0" t="str">
        <f aca="false">RIGHT(M2347,LEN(M2347)-FIND(" ",M2347))</f>
        <v>ROOSEVELT ST NW</v>
      </c>
      <c r="P2347" s="0" t="s">
        <v>146</v>
      </c>
      <c r="Q2347" s="0" t="s">
        <v>147</v>
      </c>
      <c r="R2347" s="0" t="n">
        <v>44483</v>
      </c>
      <c r="AD2347" s="0" t="s">
        <v>148</v>
      </c>
      <c r="AE2347" s="0" t="s">
        <v>149</v>
      </c>
      <c r="AF2347" s="0" t="s">
        <v>150</v>
      </c>
      <c r="AH2347" s="0" t="n">
        <v>14</v>
      </c>
      <c r="AI2347" s="0" t="n">
        <v>11</v>
      </c>
      <c r="AN2347" s="0" t="s">
        <v>146</v>
      </c>
      <c r="AO2347" s="0" t="s">
        <v>250</v>
      </c>
      <c r="AP2347" s="0" t="s">
        <v>251</v>
      </c>
      <c r="AQ2347" s="0" t="n">
        <v>9</v>
      </c>
      <c r="AR2347" s="0" t="n">
        <v>64</v>
      </c>
      <c r="AS2347" s="0" t="n">
        <v>32</v>
      </c>
      <c r="AU2347" s="0" t="n">
        <f aca="false">COUNTA($BA$2238:$EH$2238)</f>
        <v>39</v>
      </c>
      <c r="AV2347" s="0" t="n">
        <f aca="false">COUNTIF($BA$2238:$EH$2238,"D")</f>
        <v>11</v>
      </c>
      <c r="AW2347" s="0" t="n">
        <f aca="false">COUNTIF($BA$2238:$EH$2238,"R")</f>
        <v>0</v>
      </c>
      <c r="AX2347" s="0" t="n">
        <f aca="false"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>0</v>
      </c>
      <c r="AY2347" s="0" t="n">
        <f aca="false">COUNTIF(DU2347:EH2347, "&lt;&gt;")</f>
        <v>2</v>
      </c>
      <c r="AZ2347" s="0" t="n">
        <f aca="false">IF(EH2347&lt;&gt;"",1,0)</f>
        <v>0</v>
      </c>
      <c r="BB2347" s="0" t="s">
        <v>153</v>
      </c>
      <c r="CZ2347" s="0" t="s">
        <v>176</v>
      </c>
      <c r="DN2347" s="0" t="s">
        <v>154</v>
      </c>
      <c r="DU2347" s="0" t="s">
        <v>154</v>
      </c>
      <c r="EF2347" s="0" t="s">
        <v>154</v>
      </c>
    </row>
    <row r="2348" customFormat="false" ht="13.8" hidden="true" customHeight="false" outlineLevel="0" collapsed="false">
      <c r="A2348" s="0" t="s">
        <v>10211</v>
      </c>
      <c r="B2348" s="0" t="n">
        <v>78</v>
      </c>
      <c r="C2348" s="0" t="n">
        <v>470867</v>
      </c>
      <c r="D2348" s="0" t="s">
        <v>5915</v>
      </c>
      <c r="E2348" s="0" t="s">
        <v>1942</v>
      </c>
      <c r="F2348" s="0" t="str">
        <f aca="false">CONCATENATE(D2348," ",LEFT(H2348,4),"T=",AU2348,"D=",AV2348,"R=",AW2348,"M=",AX2348,"L=",AY2348,"B=",AZ2348)</f>
        <v>BREESE IVT=15D=0R=0M=0L=0B=0</v>
      </c>
      <c r="G2348" s="0" t="s">
        <v>196</v>
      </c>
      <c r="H2348" s="0" t="s">
        <v>1227</v>
      </c>
      <c r="I2348" s="0" t="s">
        <v>10212</v>
      </c>
      <c r="J2348" s="0" t="s">
        <v>910</v>
      </c>
      <c r="K2348" s="0" t="s">
        <v>175</v>
      </c>
      <c r="L2348" s="0"/>
      <c r="M2348" s="0" t="s">
        <v>10210</v>
      </c>
      <c r="N2348" s="0" t="str">
        <f aca="false">RIGHT(M2348,LEN(M2348)-FIND(" ",M2348))</f>
        <v>ROOSEVELT ST NW</v>
      </c>
      <c r="P2348" s="0" t="s">
        <v>146</v>
      </c>
      <c r="Q2348" s="0" t="s">
        <v>147</v>
      </c>
      <c r="R2348" s="0" t="n">
        <v>44483</v>
      </c>
      <c r="AD2348" s="0" t="s">
        <v>148</v>
      </c>
      <c r="AE2348" s="0" t="s">
        <v>149</v>
      </c>
      <c r="AF2348" s="0" t="s">
        <v>150</v>
      </c>
      <c r="AH2348" s="0" t="n">
        <v>14</v>
      </c>
      <c r="AI2348" s="0" t="n">
        <v>11</v>
      </c>
      <c r="AN2348" s="0" t="s">
        <v>146</v>
      </c>
      <c r="AO2348" s="0" t="s">
        <v>250</v>
      </c>
      <c r="AP2348" s="0" t="s">
        <v>251</v>
      </c>
      <c r="AQ2348" s="0" t="n">
        <v>9</v>
      </c>
      <c r="AR2348" s="0" t="n">
        <v>64</v>
      </c>
      <c r="AS2348" s="0" t="n">
        <v>32</v>
      </c>
      <c r="AU2348" s="0" t="n">
        <f aca="false">COUNTA($BA$2557:$EH$2557)</f>
        <v>15</v>
      </c>
      <c r="AV2348" s="0" t="n">
        <f aca="false">COUNTIF($BA$2557:$EH$2557,"D")</f>
        <v>0</v>
      </c>
      <c r="AW2348" s="0" t="n">
        <f aca="false">COUNTIF($BA$2557:$EH$2557,"R")</f>
        <v>0</v>
      </c>
      <c r="AX2348" s="0" t="n">
        <f aca="false"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>0</v>
      </c>
      <c r="AY2348" s="0" t="n">
        <f aca="false">COUNTIF(DU2348:EH2348, "&lt;&gt;")</f>
        <v>0</v>
      </c>
      <c r="AZ2348" s="0" t="n">
        <f aca="false">IF(EH2348&lt;&gt;"",1,0)</f>
        <v>0</v>
      </c>
      <c r="BB2348" s="0" t="s">
        <v>153</v>
      </c>
      <c r="BL2348" s="0" t="s">
        <v>154</v>
      </c>
      <c r="CA2348" s="0" t="s">
        <v>154</v>
      </c>
      <c r="CP2348" s="0" t="s">
        <v>154</v>
      </c>
      <c r="DN2348" s="0" t="s">
        <v>154</v>
      </c>
    </row>
    <row r="2349" customFormat="false" ht="13.8" hidden="true" customHeight="false" outlineLevel="0" collapsed="false">
      <c r="A2349" s="0" t="s">
        <v>10213</v>
      </c>
      <c r="B2349" s="0" t="n">
        <v>78</v>
      </c>
      <c r="C2349" s="0" t="n">
        <v>488262</v>
      </c>
      <c r="D2349" s="0" t="s">
        <v>3872</v>
      </c>
      <c r="E2349" s="0" t="s">
        <v>1910</v>
      </c>
      <c r="F2349" s="0" t="str">
        <f aca="false">CONCATENATE(D2349," ",LEFT(H2349,4),"T=",AU2349,"D=",AV2349,"R=",AW2349,"M=",AX2349,"L=",AY2349,"B=",AZ2349)</f>
        <v>BUELL T=1D=0R=0M=0L=1B=0</v>
      </c>
      <c r="G2349" s="0" t="s">
        <v>172</v>
      </c>
      <c r="I2349" s="0" t="s">
        <v>2545</v>
      </c>
      <c r="J2349" s="0" t="s">
        <v>294</v>
      </c>
      <c r="K2349" s="0" t="s">
        <v>175</v>
      </c>
      <c r="L2349" s="0"/>
      <c r="M2349" s="0" t="s">
        <v>10214</v>
      </c>
      <c r="N2349" s="0" t="str">
        <f aca="false">RIGHT(M2349,LEN(M2349)-FIND(" ",M2349))</f>
        <v>ROOSEVELT ST NW</v>
      </c>
      <c r="P2349" s="0" t="s">
        <v>146</v>
      </c>
      <c r="Q2349" s="0" t="s">
        <v>147</v>
      </c>
      <c r="R2349" s="0" t="n">
        <v>44483</v>
      </c>
      <c r="AD2349" s="0" t="s">
        <v>148</v>
      </c>
      <c r="AE2349" s="0" t="s">
        <v>149</v>
      </c>
      <c r="AF2349" s="0" t="s">
        <v>150</v>
      </c>
      <c r="AH2349" s="0" t="n">
        <v>14</v>
      </c>
      <c r="AI2349" s="0" t="n">
        <v>11</v>
      </c>
      <c r="AN2349" s="0" t="s">
        <v>146</v>
      </c>
      <c r="AO2349" s="0" t="s">
        <v>250</v>
      </c>
      <c r="AP2349" s="0" t="s">
        <v>251</v>
      </c>
      <c r="AQ2349" s="0" t="n">
        <v>9</v>
      </c>
      <c r="AR2349" s="0" t="n">
        <v>64</v>
      </c>
      <c r="AS2349" s="0" t="n">
        <v>32</v>
      </c>
      <c r="AU2349" s="0" t="n">
        <f aca="false">COUNTA($BA$2495:$EH$2495)</f>
        <v>1</v>
      </c>
      <c r="AV2349" s="0" t="n">
        <f aca="false">COUNTIF($BA$2495:$EH$2495,"D")</f>
        <v>0</v>
      </c>
      <c r="AW2349" s="0" t="n">
        <f aca="false">COUNTIF($BA$2495:$EH$2495,"R")</f>
        <v>0</v>
      </c>
      <c r="AX2349" s="0" t="n">
        <f aca="false"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>0</v>
      </c>
      <c r="AY2349" s="0" t="n">
        <f aca="false">COUNTIF(DU2349:EH2349, "&lt;&gt;")</f>
        <v>1</v>
      </c>
      <c r="AZ2349" s="0" t="n">
        <f aca="false">IF(EH2349&lt;&gt;"",1,0)</f>
        <v>0</v>
      </c>
      <c r="BB2349" s="0" t="s">
        <v>153</v>
      </c>
      <c r="EF2349" s="0" t="s">
        <v>154</v>
      </c>
    </row>
    <row r="2350" customFormat="false" ht="13.8" hidden="true" customHeight="false" outlineLevel="0" collapsed="false">
      <c r="A2350" s="0" t="s">
        <v>10215</v>
      </c>
      <c r="B2350" s="0" t="n">
        <v>78</v>
      </c>
      <c r="C2350" s="0" t="n">
        <v>487596</v>
      </c>
      <c r="D2350" s="0" t="s">
        <v>10216</v>
      </c>
      <c r="E2350" s="0" t="s">
        <v>10217</v>
      </c>
      <c r="F2350" s="0" t="str">
        <f aca="false">CONCATENATE(D2350," ",LEFT(H2350,4),"T=",AU2350,"D=",AV2350,"R=",AW2350,"M=",AX2350,"L=",AY2350,"B=",AZ2350)</f>
        <v>SHEPHERD T=31D=9R=1M=0L=1B=0</v>
      </c>
      <c r="G2350" s="0" t="s">
        <v>10218</v>
      </c>
      <c r="I2350" s="0" t="s">
        <v>10219</v>
      </c>
      <c r="J2350" s="0" t="s">
        <v>3343</v>
      </c>
      <c r="K2350" s="0" t="s">
        <v>175</v>
      </c>
      <c r="L2350" s="0"/>
      <c r="M2350" s="0" t="s">
        <v>10220</v>
      </c>
      <c r="N2350" s="0" t="str">
        <f aca="false">RIGHT(M2350,LEN(M2350)-FIND(" ",M2350))</f>
        <v>ROOSEVELT ST NW</v>
      </c>
      <c r="P2350" s="0" t="s">
        <v>146</v>
      </c>
      <c r="Q2350" s="0" t="s">
        <v>147</v>
      </c>
      <c r="R2350" s="0" t="n">
        <v>44483</v>
      </c>
      <c r="AD2350" s="0" t="s">
        <v>148</v>
      </c>
      <c r="AE2350" s="0" t="s">
        <v>149</v>
      </c>
      <c r="AF2350" s="0" t="s">
        <v>150</v>
      </c>
      <c r="AH2350" s="0" t="n">
        <v>14</v>
      </c>
      <c r="AI2350" s="0" t="n">
        <v>11</v>
      </c>
      <c r="AN2350" s="0" t="s">
        <v>146</v>
      </c>
      <c r="AO2350" s="0" t="s">
        <v>250</v>
      </c>
      <c r="AP2350" s="0" t="s">
        <v>251</v>
      </c>
      <c r="AQ2350" s="0" t="n">
        <v>9</v>
      </c>
      <c r="AR2350" s="0" t="n">
        <v>64</v>
      </c>
      <c r="AS2350" s="0" t="n">
        <v>32</v>
      </c>
      <c r="AU2350" s="0" t="n">
        <f aca="false">COUNTA($BA$2308:$EH$2308)</f>
        <v>31</v>
      </c>
      <c r="AV2350" s="0" t="n">
        <f aca="false">COUNTIF($BA$2308:$EH$2308,"D")</f>
        <v>9</v>
      </c>
      <c r="AW2350" s="0" t="n">
        <f aca="false">COUNTIF($BA$2308:$EH$2308,"R")</f>
        <v>1</v>
      </c>
      <c r="AX2350" s="0" t="n">
        <f aca="false"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>0</v>
      </c>
      <c r="AY2350" s="0" t="n">
        <f aca="false">COUNTIF(DU2350:EH2350, "&lt;&gt;")</f>
        <v>1</v>
      </c>
      <c r="AZ2350" s="0" t="n">
        <f aca="false">IF(EH2350&lt;&gt;"",1,0)</f>
        <v>0</v>
      </c>
      <c r="BB2350" s="0" t="s">
        <v>153</v>
      </c>
      <c r="EF2350" s="0" t="s">
        <v>154</v>
      </c>
    </row>
    <row r="2351" customFormat="false" ht="13.8" hidden="true" customHeight="false" outlineLevel="0" collapsed="false">
      <c r="A2351" s="0" t="s">
        <v>10221</v>
      </c>
      <c r="B2351" s="0" t="n">
        <v>78</v>
      </c>
      <c r="C2351" s="0" t="n">
        <v>342418</v>
      </c>
      <c r="D2351" s="0" t="s">
        <v>139</v>
      </c>
      <c r="E2351" s="0" t="s">
        <v>10222</v>
      </c>
      <c r="F2351" s="0" t="str">
        <f aca="false">CONCATENATE(D2351," ",LEFT(H2351,4),"T=",AU2351,"D=",AV2351,"R=",AW2351,"M=",AX2351,"L=",AY2351,"B=",AZ2351)</f>
        <v>ALLEN T=25D=5R=6M=0L=1B=0</v>
      </c>
      <c r="G2351" s="0" t="s">
        <v>159</v>
      </c>
      <c r="I2351" s="0" t="s">
        <v>10223</v>
      </c>
      <c r="J2351" s="0" t="s">
        <v>1429</v>
      </c>
      <c r="K2351" s="0" t="s">
        <v>175</v>
      </c>
      <c r="L2351" s="0"/>
      <c r="M2351" s="0" t="s">
        <v>10220</v>
      </c>
      <c r="N2351" s="0" t="str">
        <f aca="false">RIGHT(M2351,LEN(M2351)-FIND(" ",M2351))</f>
        <v>ROOSEVELT ST NW</v>
      </c>
      <c r="P2351" s="0" t="s">
        <v>146</v>
      </c>
      <c r="Q2351" s="0" t="s">
        <v>147</v>
      </c>
      <c r="R2351" s="0" t="n">
        <v>44483</v>
      </c>
      <c r="AD2351" s="0" t="s">
        <v>148</v>
      </c>
      <c r="AE2351" s="0" t="s">
        <v>149</v>
      </c>
      <c r="AF2351" s="0" t="s">
        <v>150</v>
      </c>
      <c r="AH2351" s="0" t="n">
        <v>14</v>
      </c>
      <c r="AI2351" s="0" t="n">
        <v>11</v>
      </c>
      <c r="AN2351" s="0" t="s">
        <v>146</v>
      </c>
      <c r="AO2351" s="0" t="s">
        <v>250</v>
      </c>
      <c r="AP2351" s="0" t="s">
        <v>251</v>
      </c>
      <c r="AQ2351" s="0" t="n">
        <v>9</v>
      </c>
      <c r="AR2351" s="0" t="n">
        <v>64</v>
      </c>
      <c r="AS2351" s="0" t="n">
        <v>32</v>
      </c>
      <c r="AU2351" s="0" t="n">
        <f aca="false">COUNTA($BA$2644:$EH$2644)</f>
        <v>25</v>
      </c>
      <c r="AV2351" s="0" t="n">
        <f aca="false">COUNTIF($BA$2644:$EH$2644,"D")</f>
        <v>5</v>
      </c>
      <c r="AW2351" s="0" t="n">
        <f aca="false">COUNTIF($BA$2644:$EH$2644,"R")</f>
        <v>6</v>
      </c>
      <c r="AX2351" s="0" t="n">
        <f aca="false"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>0</v>
      </c>
      <c r="AY2351" s="0" t="n">
        <f aca="false">COUNTIF(DU2351:EH2351, "&lt;&gt;")</f>
        <v>1</v>
      </c>
      <c r="AZ2351" s="0" t="n">
        <f aca="false">IF(EH2351&lt;&gt;"",1,0)</f>
        <v>0</v>
      </c>
      <c r="BB2351" s="0" t="s">
        <v>153</v>
      </c>
      <c r="BS2351" s="0" t="s">
        <v>154</v>
      </c>
      <c r="CP2351" s="0" t="s">
        <v>154</v>
      </c>
      <c r="DC2351" s="0" t="s">
        <v>154</v>
      </c>
      <c r="DN2351" s="0" t="s">
        <v>154</v>
      </c>
      <c r="EF2351" s="0" t="s">
        <v>154</v>
      </c>
    </row>
    <row r="2352" customFormat="false" ht="13.8" hidden="true" customHeight="false" outlineLevel="0" collapsed="false">
      <c r="A2352" s="0" t="s">
        <v>10224</v>
      </c>
      <c r="B2352" s="0" t="n">
        <v>78</v>
      </c>
      <c r="C2352" s="0" t="n">
        <v>475872</v>
      </c>
      <c r="D2352" s="0" t="s">
        <v>633</v>
      </c>
      <c r="E2352" s="0" t="s">
        <v>2754</v>
      </c>
      <c r="F2352" s="0" t="str">
        <f aca="false">CONCATENATE(D2352," ",LEFT(H2352,4),"T=",AU2352,"D=",AV2352,"R=",AW2352,"M=",AX2352,"L=",AY2352,"B=",AZ2352)</f>
        <v>WALKER T=5D=0R=1M=0L=1B=0</v>
      </c>
      <c r="G2352" s="0" t="s">
        <v>1289</v>
      </c>
      <c r="I2352" s="0" t="s">
        <v>10225</v>
      </c>
      <c r="J2352" s="0" t="s">
        <v>10226</v>
      </c>
      <c r="K2352" s="0" t="s">
        <v>175</v>
      </c>
      <c r="L2352" s="0"/>
      <c r="M2352" s="0" t="s">
        <v>10227</v>
      </c>
      <c r="N2352" s="0" t="str">
        <f aca="false">RIGHT(M2352,LEN(M2352)-FIND(" ",M2352))</f>
        <v>ROOSEVELT ST NW</v>
      </c>
      <c r="P2352" s="0" t="s">
        <v>146</v>
      </c>
      <c r="Q2352" s="0" t="s">
        <v>147</v>
      </c>
      <c r="R2352" s="0" t="n">
        <v>44483</v>
      </c>
      <c r="AD2352" s="0" t="s">
        <v>148</v>
      </c>
      <c r="AE2352" s="0" t="s">
        <v>149</v>
      </c>
      <c r="AF2352" s="0" t="s">
        <v>150</v>
      </c>
      <c r="AH2352" s="0" t="n">
        <v>14</v>
      </c>
      <c r="AI2352" s="0" t="n">
        <v>11</v>
      </c>
      <c r="AN2352" s="0" t="s">
        <v>146</v>
      </c>
      <c r="AO2352" s="0" t="s">
        <v>250</v>
      </c>
      <c r="AP2352" s="0" t="s">
        <v>251</v>
      </c>
      <c r="AQ2352" s="0" t="n">
        <v>9</v>
      </c>
      <c r="AR2352" s="0" t="n">
        <v>64</v>
      </c>
      <c r="AS2352" s="0" t="n">
        <v>32</v>
      </c>
      <c r="AU2352" s="0" t="n">
        <f aca="false">COUNTA($BA$2347:$EH$2347)</f>
        <v>5</v>
      </c>
      <c r="AV2352" s="0" t="n">
        <f aca="false">COUNTIF($BA$2347:$EH$2347,"D")</f>
        <v>0</v>
      </c>
      <c r="AW2352" s="0" t="n">
        <f aca="false">COUNTIF($BA$2347:$EH$2347,"R")</f>
        <v>1</v>
      </c>
      <c r="AX2352" s="0" t="n">
        <f aca="false"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>0</v>
      </c>
      <c r="AY2352" s="0" t="n">
        <f aca="false">COUNTIF(DU2352:EH2352, "&lt;&gt;")</f>
        <v>1</v>
      </c>
      <c r="AZ2352" s="0" t="n">
        <f aca="false">IF(EH2352&lt;&gt;"",1,0)</f>
        <v>0</v>
      </c>
      <c r="BB2352" s="0" t="s">
        <v>153</v>
      </c>
      <c r="EA2352" s="0" t="s">
        <v>154</v>
      </c>
    </row>
    <row r="2353" customFormat="false" ht="13.8" hidden="false" customHeight="false" outlineLevel="0" collapsed="false">
      <c r="A2353" s="0" t="s">
        <v>10228</v>
      </c>
      <c r="B2353" s="0" t="n">
        <v>78</v>
      </c>
      <c r="C2353" s="0" t="n">
        <v>211896</v>
      </c>
      <c r="D2353" s="0" t="s">
        <v>1244</v>
      </c>
      <c r="E2353" s="0" t="s">
        <v>7932</v>
      </c>
      <c r="F2353" s="0" t="str">
        <f aca="false">CONCATENATE(D2353," ",LEFT(H2353,4),"T=",AU2353,"D=",AV2353,"R=",AW2353,"M=",AX2353,"L=",AY2353,"B=",AZ2353)</f>
        <v>TAYLOR T=2D=0R=0M=2L=6B=1</v>
      </c>
      <c r="I2353" s="0" t="s">
        <v>10229</v>
      </c>
      <c r="J2353" s="0" t="s">
        <v>10230</v>
      </c>
      <c r="K2353" s="0" t="s">
        <v>175</v>
      </c>
      <c r="L2353" s="1" t="s">
        <v>155</v>
      </c>
      <c r="M2353" s="0" t="s">
        <v>10231</v>
      </c>
      <c r="N2353" s="0" t="str">
        <f aca="false">RIGHT(M2353,LEN(M2353)-FIND(" ",M2353))</f>
        <v>ROOSEVELT ST NW</v>
      </c>
      <c r="P2353" s="0" t="s">
        <v>146</v>
      </c>
      <c r="Q2353" s="0" t="s">
        <v>147</v>
      </c>
      <c r="R2353" s="0" t="n">
        <v>44483</v>
      </c>
      <c r="AD2353" s="0" t="s">
        <v>148</v>
      </c>
      <c r="AE2353" s="0" t="s">
        <v>149</v>
      </c>
      <c r="AF2353" s="0" t="s">
        <v>150</v>
      </c>
      <c r="AH2353" s="0" t="n">
        <v>14</v>
      </c>
      <c r="AI2353" s="0" t="n">
        <v>11</v>
      </c>
      <c r="AN2353" s="0" t="s">
        <v>146</v>
      </c>
      <c r="AO2353" s="0" t="s">
        <v>250</v>
      </c>
      <c r="AP2353" s="0" t="s">
        <v>251</v>
      </c>
      <c r="AQ2353" s="0" t="n">
        <v>9</v>
      </c>
      <c r="AR2353" s="0" t="n">
        <v>64</v>
      </c>
      <c r="AS2353" s="0" t="n">
        <v>32</v>
      </c>
      <c r="AU2353" s="0" t="n">
        <f aca="false">COUNTA($BA$2695:$EH$2695)</f>
        <v>2</v>
      </c>
      <c r="AV2353" s="0" t="n">
        <f aca="false">COUNTIF($BA$2695:$EH$2695,"D")</f>
        <v>0</v>
      </c>
      <c r="AW2353" s="0" t="n">
        <f aca="false">COUNTIF($BA$2695:$EH$2695,"R")</f>
        <v>0</v>
      </c>
      <c r="AX2353" s="0" t="n">
        <f aca="false"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>2</v>
      </c>
      <c r="AY2353" s="0" t="n">
        <f aca="false">COUNTIF(DU2353:EH2353, "&lt;&gt;")</f>
        <v>6</v>
      </c>
      <c r="AZ2353" s="0" t="n">
        <f aca="false">IF(EH2353&lt;&gt;"",1,0)</f>
        <v>1</v>
      </c>
      <c r="BB2353" s="0" t="s">
        <v>153</v>
      </c>
      <c r="BC2353" s="0" t="s">
        <v>154</v>
      </c>
      <c r="BD2353" s="0" t="s">
        <v>154</v>
      </c>
      <c r="BF2353" s="0" t="s">
        <v>154</v>
      </c>
      <c r="BG2353" s="0" t="s">
        <v>154</v>
      </c>
      <c r="BH2353" s="0" t="s">
        <v>154</v>
      </c>
      <c r="BI2353" s="0" t="s">
        <v>154</v>
      </c>
      <c r="BJ2353" s="0" t="s">
        <v>154</v>
      </c>
      <c r="BL2353" s="0" t="s">
        <v>154</v>
      </c>
      <c r="BP2353" s="0" t="s">
        <v>154</v>
      </c>
      <c r="BR2353" s="0" t="s">
        <v>154</v>
      </c>
      <c r="BS2353" s="0" t="s">
        <v>154</v>
      </c>
      <c r="BY2353" s="0" t="s">
        <v>155</v>
      </c>
      <c r="CA2353" s="0" t="s">
        <v>154</v>
      </c>
      <c r="CG2353" s="0" t="s">
        <v>154</v>
      </c>
      <c r="CH2353" s="0" t="s">
        <v>155</v>
      </c>
      <c r="CK2353" s="0" t="s">
        <v>154</v>
      </c>
      <c r="CN2353" s="0" t="s">
        <v>154</v>
      </c>
      <c r="CO2353" s="0" t="s">
        <v>155</v>
      </c>
      <c r="CP2353" s="0" t="s">
        <v>154</v>
      </c>
      <c r="CV2353" s="0" t="s">
        <v>154</v>
      </c>
      <c r="CY2353" s="0" t="s">
        <v>154</v>
      </c>
      <c r="DC2353" s="0" t="s">
        <v>154</v>
      </c>
      <c r="DI2353" s="0" t="s">
        <v>154</v>
      </c>
      <c r="DN2353" s="0" t="s">
        <v>154</v>
      </c>
      <c r="DU2353" s="0" t="s">
        <v>154</v>
      </c>
      <c r="DW2353" s="0" t="s">
        <v>155</v>
      </c>
      <c r="EA2353" s="0" t="s">
        <v>154</v>
      </c>
      <c r="ED2353" s="0" t="s">
        <v>155</v>
      </c>
      <c r="EF2353" s="0" t="s">
        <v>154</v>
      </c>
      <c r="EH2353" s="0" t="s">
        <v>155</v>
      </c>
    </row>
    <row r="2354" customFormat="false" ht="13.8" hidden="true" customHeight="false" outlineLevel="0" collapsed="false">
      <c r="A2354" s="0" t="s">
        <v>10232</v>
      </c>
      <c r="B2354" s="0" t="n">
        <v>78</v>
      </c>
      <c r="C2354" s="0" t="n">
        <v>461546</v>
      </c>
      <c r="D2354" s="0" t="s">
        <v>10233</v>
      </c>
      <c r="E2354" s="0" t="s">
        <v>417</v>
      </c>
      <c r="F2354" s="0" t="str">
        <f aca="false">CONCATENATE(D2354," ",LEFT(H2354,4),"T=",AU2354,"D=",AV2354,"R=",AW2354,"M=",AX2354,"L=",AY2354,"B=",AZ2354)</f>
        <v>HIMES T=5D=0R=0M=0L=0B=0</v>
      </c>
      <c r="G2354" s="0" t="s">
        <v>317</v>
      </c>
      <c r="I2354" s="0" t="s">
        <v>10234</v>
      </c>
      <c r="J2354" s="0" t="s">
        <v>10235</v>
      </c>
      <c r="K2354" s="0" t="s">
        <v>144</v>
      </c>
      <c r="L2354" s="0"/>
      <c r="M2354" s="0" t="s">
        <v>10236</v>
      </c>
      <c r="N2354" s="0" t="str">
        <f aca="false">RIGHT(M2354,LEN(M2354)-FIND(" ",M2354))</f>
        <v>ROOSEVELT ST NW</v>
      </c>
      <c r="P2354" s="0" t="s">
        <v>146</v>
      </c>
      <c r="Q2354" s="0" t="s">
        <v>147</v>
      </c>
      <c r="R2354" s="0" t="n">
        <v>44483</v>
      </c>
      <c r="AD2354" s="0" t="s">
        <v>148</v>
      </c>
      <c r="AE2354" s="0" t="s">
        <v>149</v>
      </c>
      <c r="AF2354" s="0" t="s">
        <v>150</v>
      </c>
      <c r="AH2354" s="0" t="n">
        <v>14</v>
      </c>
      <c r="AI2354" s="0" t="n">
        <v>11</v>
      </c>
      <c r="AN2354" s="0" t="s">
        <v>146</v>
      </c>
      <c r="AO2354" s="0" t="s">
        <v>250</v>
      </c>
      <c r="AP2354" s="0" t="s">
        <v>251</v>
      </c>
      <c r="AQ2354" s="0" t="n">
        <v>9</v>
      </c>
      <c r="AR2354" s="0" t="n">
        <v>64</v>
      </c>
      <c r="AS2354" s="0" t="n">
        <v>32</v>
      </c>
      <c r="AU2354" s="0" t="n">
        <f aca="false">COUNTA($BA$2179:$EH$2179)</f>
        <v>5</v>
      </c>
      <c r="AV2354" s="0" t="n">
        <f aca="false">COUNTIF($BA$2179:$EH$2179,"D")</f>
        <v>0</v>
      </c>
      <c r="AW2354" s="0" t="n">
        <f aca="false">COUNTIF($BA$2179:$EH$2179,"R")</f>
        <v>0</v>
      </c>
      <c r="AX2354" s="0" t="n">
        <f aca="false"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>0</v>
      </c>
      <c r="AY2354" s="0" t="n">
        <f aca="false">COUNTIF(DU2354:EH2354, "&lt;&gt;")</f>
        <v>0</v>
      </c>
      <c r="AZ2354" s="0" t="n">
        <f aca="false">IF(EH2354&lt;&gt;"",1,0)</f>
        <v>0</v>
      </c>
      <c r="BB2354" s="0" t="s">
        <v>153</v>
      </c>
    </row>
    <row r="2355" customFormat="false" ht="13.8" hidden="false" customHeight="false" outlineLevel="0" collapsed="false">
      <c r="A2355" s="0" t="s">
        <v>10237</v>
      </c>
      <c r="B2355" s="0" t="n">
        <v>78</v>
      </c>
      <c r="C2355" s="0" t="n">
        <v>289314</v>
      </c>
      <c r="D2355" s="0" t="s">
        <v>9730</v>
      </c>
      <c r="E2355" s="0" t="s">
        <v>317</v>
      </c>
      <c r="F2355" s="0" t="str">
        <f aca="false">CONCATENATE(D2355," ",LEFT(H2355,4),"T=",AU2355,"D=",AV2355,"R=",AW2355,"M=",AX2355,"L=",AY2355,"B=",AZ2355)</f>
        <v>RIMAR T=41D=8R=2M=7L=7B=1</v>
      </c>
      <c r="G2355" s="0" t="s">
        <v>172</v>
      </c>
      <c r="I2355" s="0" t="s">
        <v>10238</v>
      </c>
      <c r="J2355" s="0" t="s">
        <v>10239</v>
      </c>
      <c r="K2355" s="0" t="s">
        <v>175</v>
      </c>
      <c r="L2355" s="1" t="s">
        <v>155</v>
      </c>
      <c r="M2355" s="0" t="s">
        <v>10240</v>
      </c>
      <c r="N2355" s="0" t="str">
        <f aca="false">RIGHT(M2355,LEN(M2355)-FIND(" ",M2355))</f>
        <v>ROOSEVELT ST NW</v>
      </c>
      <c r="P2355" s="0" t="s">
        <v>146</v>
      </c>
      <c r="Q2355" s="0" t="s">
        <v>147</v>
      </c>
      <c r="R2355" s="0" t="n">
        <v>44483</v>
      </c>
      <c r="AD2355" s="0" t="s">
        <v>148</v>
      </c>
      <c r="AE2355" s="0" t="s">
        <v>149</v>
      </c>
      <c r="AF2355" s="0" t="s">
        <v>150</v>
      </c>
      <c r="AH2355" s="0" t="n">
        <v>14</v>
      </c>
      <c r="AI2355" s="0" t="n">
        <v>11</v>
      </c>
      <c r="AN2355" s="0" t="s">
        <v>146</v>
      </c>
      <c r="AO2355" s="0" t="s">
        <v>151</v>
      </c>
      <c r="AP2355" s="0" t="s">
        <v>152</v>
      </c>
      <c r="AQ2355" s="0" t="n">
        <v>9</v>
      </c>
      <c r="AR2355" s="0" t="n">
        <v>64</v>
      </c>
      <c r="AS2355" s="0" t="n">
        <v>32</v>
      </c>
      <c r="AU2355" s="0" t="n">
        <f aca="false">COUNTA($BA$1272:$EH$1272)</f>
        <v>41</v>
      </c>
      <c r="AV2355" s="0" t="n">
        <f aca="false">COUNTIF($BA$1272:$EH$1272,"D")</f>
        <v>8</v>
      </c>
      <c r="AW2355" s="0" t="n">
        <f aca="false">COUNTIF($BA$1272:$EH$1272,"R")</f>
        <v>2</v>
      </c>
      <c r="AX2355" s="0" t="n">
        <f aca="false"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>7</v>
      </c>
      <c r="AY2355" s="0" t="n">
        <f aca="false">COUNTIF(DU2355:EH2355, "&lt;&gt;")</f>
        <v>7</v>
      </c>
      <c r="AZ2355" s="0" t="n">
        <f aca="false">IF(EH2355&lt;&gt;"",1,0)</f>
        <v>1</v>
      </c>
      <c r="BB2355" s="0" t="s">
        <v>153</v>
      </c>
      <c r="BC2355" s="0" t="s">
        <v>154</v>
      </c>
      <c r="BD2355" s="0" t="s">
        <v>154</v>
      </c>
      <c r="BE2355" s="0" t="s">
        <v>154</v>
      </c>
      <c r="BF2355" s="0" t="s">
        <v>154</v>
      </c>
      <c r="BG2355" s="0" t="s">
        <v>154</v>
      </c>
      <c r="BH2355" s="0" t="s">
        <v>154</v>
      </c>
      <c r="BI2355" s="0" t="s">
        <v>154</v>
      </c>
      <c r="BJ2355" s="0" t="s">
        <v>154</v>
      </c>
      <c r="BK2355" s="0" t="s">
        <v>154</v>
      </c>
      <c r="BL2355" s="0" t="s">
        <v>154</v>
      </c>
      <c r="BP2355" s="0" t="s">
        <v>154</v>
      </c>
      <c r="BR2355" s="0" t="s">
        <v>154</v>
      </c>
      <c r="BS2355" s="0" t="s">
        <v>154</v>
      </c>
      <c r="BY2355" s="0" t="s">
        <v>155</v>
      </c>
      <c r="CA2355" s="0" t="s">
        <v>154</v>
      </c>
      <c r="CC2355" s="0" t="s">
        <v>155</v>
      </c>
      <c r="CG2355" s="0" t="s">
        <v>154</v>
      </c>
      <c r="CH2355" s="0" t="s">
        <v>155</v>
      </c>
      <c r="CK2355" s="0" t="s">
        <v>154</v>
      </c>
      <c r="CL2355" s="0" t="s">
        <v>155</v>
      </c>
      <c r="CN2355" s="0" t="s">
        <v>154</v>
      </c>
      <c r="CO2355" s="0" t="s">
        <v>176</v>
      </c>
      <c r="CP2355" s="0" t="s">
        <v>154</v>
      </c>
      <c r="CQ2355" s="0" t="s">
        <v>155</v>
      </c>
      <c r="CT2355" s="0" t="s">
        <v>154</v>
      </c>
      <c r="CV2355" s="0" t="s">
        <v>154</v>
      </c>
      <c r="CY2355" s="0" t="s">
        <v>154</v>
      </c>
      <c r="CZ2355" s="0" t="s">
        <v>176</v>
      </c>
      <c r="DC2355" s="0" t="s">
        <v>154</v>
      </c>
      <c r="DF2355" s="0" t="s">
        <v>154</v>
      </c>
      <c r="DI2355" s="0" t="s">
        <v>154</v>
      </c>
      <c r="DJ2355" s="0" t="s">
        <v>155</v>
      </c>
      <c r="DL2355" s="0" t="s">
        <v>154</v>
      </c>
      <c r="DM2355" s="0" t="s">
        <v>176</v>
      </c>
      <c r="DN2355" s="0" t="s">
        <v>154</v>
      </c>
      <c r="DO2355" s="0" t="s">
        <v>155</v>
      </c>
      <c r="DR2355" s="0" t="s">
        <v>154</v>
      </c>
      <c r="DT2355" s="0" t="s">
        <v>155</v>
      </c>
      <c r="DU2355" s="0" t="s">
        <v>154</v>
      </c>
      <c r="DW2355" s="0" t="s">
        <v>155</v>
      </c>
      <c r="DX2355" s="0" t="s">
        <v>154</v>
      </c>
      <c r="EA2355" s="0" t="s">
        <v>154</v>
      </c>
      <c r="ED2355" s="0" t="s">
        <v>176</v>
      </c>
      <c r="EF2355" s="0" t="s">
        <v>154</v>
      </c>
      <c r="EH2355" s="0" t="s">
        <v>155</v>
      </c>
    </row>
    <row r="2356" customFormat="false" ht="13.8" hidden="false" customHeight="false" outlineLevel="0" collapsed="false">
      <c r="A2356" s="0" t="s">
        <v>10241</v>
      </c>
      <c r="B2356" s="0" t="n">
        <v>78</v>
      </c>
      <c r="C2356" s="0" t="n">
        <v>322295</v>
      </c>
      <c r="D2356" s="0" t="s">
        <v>10242</v>
      </c>
      <c r="E2356" s="0" t="s">
        <v>10243</v>
      </c>
      <c r="F2356" s="0" t="str">
        <f aca="false">CONCATENATE(D2356," ",LEFT(H2356,4),"T=",AU2356,"D=",AV2356,"R=",AW2356,"M=",AX2356,"L=",AY2356,"B=",AZ2356)</f>
        <v>VASBINDER T=17D=0R=1M=0L=4B=0</v>
      </c>
      <c r="I2356" s="0" t="s">
        <v>10244</v>
      </c>
      <c r="J2356" s="0" t="s">
        <v>9859</v>
      </c>
      <c r="K2356" s="0" t="s">
        <v>175</v>
      </c>
      <c r="M2356" s="0" t="s">
        <v>10245</v>
      </c>
      <c r="N2356" s="0" t="str">
        <f aca="false">RIGHT(M2356,LEN(M2356)-FIND(" ",M2356))</f>
        <v>ROOSEVELT ST NW</v>
      </c>
      <c r="P2356" s="0" t="s">
        <v>146</v>
      </c>
      <c r="Q2356" s="0" t="s">
        <v>147</v>
      </c>
      <c r="R2356" s="0" t="n">
        <v>44483</v>
      </c>
      <c r="AD2356" s="0" t="s">
        <v>148</v>
      </c>
      <c r="AE2356" s="0" t="s">
        <v>149</v>
      </c>
      <c r="AF2356" s="0" t="s">
        <v>150</v>
      </c>
      <c r="AH2356" s="0" t="n">
        <v>14</v>
      </c>
      <c r="AI2356" s="0" t="n">
        <v>11</v>
      </c>
      <c r="AN2356" s="0" t="s">
        <v>146</v>
      </c>
      <c r="AO2356" s="0" t="s">
        <v>151</v>
      </c>
      <c r="AP2356" s="0" t="s">
        <v>152</v>
      </c>
      <c r="AQ2356" s="0" t="n">
        <v>9</v>
      </c>
      <c r="AR2356" s="0" t="n">
        <v>64</v>
      </c>
      <c r="AS2356" s="0" t="n">
        <v>32</v>
      </c>
      <c r="AU2356" s="0" t="n">
        <f aca="false">COUNTA($BA$1368:$EH$1368)</f>
        <v>17</v>
      </c>
      <c r="AV2356" s="0" t="n">
        <f aca="false">COUNTIF($BA$1368:$EH$1368,"D")</f>
        <v>0</v>
      </c>
      <c r="AW2356" s="0" t="n">
        <f aca="false">COUNTIF($BA$1368:$EH$1368,"R")</f>
        <v>1</v>
      </c>
      <c r="AX2356" s="0" t="n">
        <f aca="false"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>0</v>
      </c>
      <c r="AY2356" s="0" t="n">
        <f aca="false">COUNTIF(DU2356:EH2356, "&lt;&gt;")</f>
        <v>4</v>
      </c>
      <c r="AZ2356" s="0" t="n">
        <f aca="false">IF(EH2356&lt;&gt;"",1,0)</f>
        <v>0</v>
      </c>
      <c r="BB2356" s="0" t="s">
        <v>153</v>
      </c>
      <c r="BL2356" s="0" t="s">
        <v>154</v>
      </c>
      <c r="BP2356" s="0" t="s">
        <v>154</v>
      </c>
      <c r="CA2356" s="0" t="s">
        <v>154</v>
      </c>
      <c r="CY2356" s="0" t="s">
        <v>154</v>
      </c>
      <c r="DC2356" s="0" t="s">
        <v>154</v>
      </c>
      <c r="DI2356" s="0" t="s">
        <v>154</v>
      </c>
      <c r="DN2356" s="0" t="s">
        <v>154</v>
      </c>
      <c r="DU2356" s="0" t="s">
        <v>154</v>
      </c>
      <c r="DX2356" s="0" t="s">
        <v>154</v>
      </c>
      <c r="EA2356" s="0" t="s">
        <v>154</v>
      </c>
      <c r="EF2356" s="0" t="s">
        <v>154</v>
      </c>
    </row>
    <row r="2357" customFormat="false" ht="13.8" hidden="true" customHeight="false" outlineLevel="0" collapsed="false">
      <c r="A2357" s="0" t="s">
        <v>10246</v>
      </c>
      <c r="B2357" s="0" t="n">
        <v>78</v>
      </c>
      <c r="C2357" s="0" t="n">
        <v>320697</v>
      </c>
      <c r="D2357" s="0" t="s">
        <v>2926</v>
      </c>
      <c r="E2357" s="0" t="s">
        <v>744</v>
      </c>
      <c r="F2357" s="0" t="str">
        <f aca="false">CONCATENATE(D2357," ",LEFT(H2357,4),"T=",AU2357,"D=",AV2357,"R=",AW2357,"M=",AX2357,"L=",AY2357,"B=",AZ2357)</f>
        <v>CAMPBELL T=9D=1R=0M=0L=1B=0</v>
      </c>
      <c r="G2357" s="0" t="s">
        <v>181</v>
      </c>
      <c r="I2357" s="0" t="s">
        <v>4073</v>
      </c>
      <c r="J2357" s="0" t="s">
        <v>10247</v>
      </c>
      <c r="K2357" s="0" t="s">
        <v>175</v>
      </c>
      <c r="L2357" s="0"/>
      <c r="M2357" s="0" t="s">
        <v>10248</v>
      </c>
      <c r="N2357" s="0" t="str">
        <f aca="false">RIGHT(M2357,LEN(M2357)-FIND(" ",M2357))</f>
        <v>ROOSEVELT ST NW</v>
      </c>
      <c r="P2357" s="0" t="s">
        <v>146</v>
      </c>
      <c r="Q2357" s="0" t="s">
        <v>147</v>
      </c>
      <c r="R2357" s="0" t="n">
        <v>44483</v>
      </c>
      <c r="AD2357" s="0" t="s">
        <v>148</v>
      </c>
      <c r="AE2357" s="0" t="s">
        <v>149</v>
      </c>
      <c r="AF2357" s="0" t="s">
        <v>150</v>
      </c>
      <c r="AH2357" s="0" t="n">
        <v>14</v>
      </c>
      <c r="AI2357" s="0" t="n">
        <v>11</v>
      </c>
      <c r="AN2357" s="0" t="s">
        <v>146</v>
      </c>
      <c r="AO2357" s="0" t="s">
        <v>151</v>
      </c>
      <c r="AP2357" s="0" t="s">
        <v>152</v>
      </c>
      <c r="AQ2357" s="0" t="n">
        <v>9</v>
      </c>
      <c r="AR2357" s="0" t="n">
        <v>64</v>
      </c>
      <c r="AS2357" s="0" t="n">
        <v>32</v>
      </c>
      <c r="AU2357" s="0" t="n">
        <f aca="false">COUNTA($BA$1557:$EH$1557)</f>
        <v>9</v>
      </c>
      <c r="AV2357" s="0" t="n">
        <f aca="false">COUNTIF($BA$1557:$EH$1557,"D")</f>
        <v>1</v>
      </c>
      <c r="AW2357" s="0" t="n">
        <f aca="false">COUNTIF($BA$1557:$EH$1557,"R")</f>
        <v>0</v>
      </c>
      <c r="AX2357" s="0" t="n">
        <f aca="false"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>0</v>
      </c>
      <c r="AY2357" s="0" t="n">
        <f aca="false">COUNTIF(DU2357:EH2357, "&lt;&gt;")</f>
        <v>1</v>
      </c>
      <c r="AZ2357" s="0" t="n">
        <f aca="false">IF(EH2357&lt;&gt;"",1,0)</f>
        <v>0</v>
      </c>
      <c r="BB2357" s="0" t="s">
        <v>153</v>
      </c>
      <c r="BL2357" s="0" t="s">
        <v>154</v>
      </c>
      <c r="BY2357" s="0" t="s">
        <v>155</v>
      </c>
      <c r="CA2357" s="0" t="s">
        <v>154</v>
      </c>
      <c r="CP2357" s="0" t="s">
        <v>154</v>
      </c>
      <c r="DN2357" s="0" t="s">
        <v>154</v>
      </c>
      <c r="EF2357" s="0" t="s">
        <v>154</v>
      </c>
    </row>
    <row r="2358" customFormat="false" ht="13.8" hidden="true" customHeight="false" outlineLevel="0" collapsed="false">
      <c r="A2358" s="0" t="s">
        <v>10249</v>
      </c>
      <c r="B2358" s="0" t="n">
        <v>78</v>
      </c>
      <c r="C2358" s="0" t="n">
        <v>250952</v>
      </c>
      <c r="D2358" s="0" t="s">
        <v>2926</v>
      </c>
      <c r="E2358" s="0" t="s">
        <v>1980</v>
      </c>
      <c r="F2358" s="0" t="str">
        <f aca="false">CONCATENATE(D2358," ",LEFT(H2358,4),"T=",AU2358,"D=",AV2358,"R=",AW2358,"M=",AX2358,"L=",AY2358,"B=",AZ2358)</f>
        <v>CAMPBELL T=7D=0R=1M=0L=1B=0</v>
      </c>
      <c r="G2358" s="0" t="s">
        <v>176</v>
      </c>
      <c r="I2358" s="0" t="s">
        <v>10250</v>
      </c>
      <c r="J2358" s="0" t="s">
        <v>1191</v>
      </c>
      <c r="K2358" s="0" t="s">
        <v>175</v>
      </c>
      <c r="L2358" s="0"/>
      <c r="M2358" s="0" t="s">
        <v>10251</v>
      </c>
      <c r="N2358" s="0" t="str">
        <f aca="false">RIGHT(M2358,LEN(M2358)-FIND(" ",M2358))</f>
        <v>ROOSEVELT ST NW</v>
      </c>
      <c r="P2358" s="0" t="s">
        <v>146</v>
      </c>
      <c r="Q2358" s="0" t="s">
        <v>147</v>
      </c>
      <c r="R2358" s="0" t="n">
        <v>44483</v>
      </c>
      <c r="AD2358" s="0" t="s">
        <v>148</v>
      </c>
      <c r="AE2358" s="0" t="s">
        <v>149</v>
      </c>
      <c r="AF2358" s="0" t="s">
        <v>150</v>
      </c>
      <c r="AH2358" s="0" t="n">
        <v>14</v>
      </c>
      <c r="AI2358" s="0" t="n">
        <v>11</v>
      </c>
      <c r="AN2358" s="0" t="s">
        <v>146</v>
      </c>
      <c r="AO2358" s="0" t="s">
        <v>151</v>
      </c>
      <c r="AP2358" s="0" t="s">
        <v>152</v>
      </c>
      <c r="AQ2358" s="0" t="n">
        <v>9</v>
      </c>
      <c r="AR2358" s="0" t="n">
        <v>64</v>
      </c>
      <c r="AS2358" s="0" t="n">
        <v>32</v>
      </c>
      <c r="AU2358" s="0" t="n">
        <f aca="false">COUNTA($BA$1370:$EH$1370)</f>
        <v>7</v>
      </c>
      <c r="AV2358" s="0" t="n">
        <f aca="false">COUNTIF($BA$1370:$EH$1370,"D")</f>
        <v>0</v>
      </c>
      <c r="AW2358" s="0" t="n">
        <f aca="false">COUNTIF($BA$1370:$EH$1370,"R")</f>
        <v>1</v>
      </c>
      <c r="AX2358" s="0" t="n">
        <f aca="false"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>0</v>
      </c>
      <c r="AY2358" s="0" t="n">
        <f aca="false">COUNTIF(DU2358:EH2358, "&lt;&gt;")</f>
        <v>1</v>
      </c>
      <c r="AZ2358" s="0" t="n">
        <f aca="false">IF(EH2358&lt;&gt;"",1,0)</f>
        <v>0</v>
      </c>
      <c r="BB2358" s="0" t="s">
        <v>153</v>
      </c>
      <c r="BD2358" s="0" t="s">
        <v>154</v>
      </c>
      <c r="BL2358" s="0" t="s">
        <v>154</v>
      </c>
      <c r="BY2358" s="0" t="s">
        <v>155</v>
      </c>
      <c r="CP2358" s="0" t="s">
        <v>154</v>
      </c>
      <c r="CV2358" s="0" t="s">
        <v>154</v>
      </c>
      <c r="CY2358" s="0" t="s">
        <v>154</v>
      </c>
      <c r="CZ2358" s="0" t="s">
        <v>176</v>
      </c>
      <c r="DC2358" s="0" t="s">
        <v>154</v>
      </c>
      <c r="DN2358" s="0" t="s">
        <v>154</v>
      </c>
      <c r="EF2358" s="0" t="s">
        <v>154</v>
      </c>
    </row>
    <row r="2359" customFormat="false" ht="13.8" hidden="true" customHeight="false" outlineLevel="0" collapsed="false">
      <c r="A2359" s="0" t="s">
        <v>10252</v>
      </c>
      <c r="B2359" s="0" t="n">
        <v>78</v>
      </c>
      <c r="C2359" s="0" t="n">
        <v>491593</v>
      </c>
      <c r="D2359" s="0" t="s">
        <v>2926</v>
      </c>
      <c r="E2359" s="0" t="s">
        <v>5226</v>
      </c>
      <c r="F2359" s="0" t="str">
        <f aca="false">CONCATENATE(D2359," ",LEFT(H2359,4),"T=",AU2359,"D=",AV2359,"R=",AW2359,"M=",AX2359,"L=",AY2359,"B=",AZ2359)</f>
        <v>CAMPBELL T=48D=16R=0M=0L=1B=0</v>
      </c>
      <c r="G2359" s="0" t="s">
        <v>155</v>
      </c>
      <c r="I2359" s="0" t="s">
        <v>10253</v>
      </c>
      <c r="J2359" s="0" t="s">
        <v>1908</v>
      </c>
      <c r="K2359" s="0" t="s">
        <v>175</v>
      </c>
      <c r="L2359" s="0"/>
      <c r="M2359" s="0" t="s">
        <v>10251</v>
      </c>
      <c r="N2359" s="0" t="str">
        <f aca="false">RIGHT(M2359,LEN(M2359)-FIND(" ",M2359))</f>
        <v>ROOSEVELT ST NW</v>
      </c>
      <c r="P2359" s="0" t="s">
        <v>146</v>
      </c>
      <c r="Q2359" s="0" t="s">
        <v>147</v>
      </c>
      <c r="R2359" s="0" t="n">
        <v>44483</v>
      </c>
      <c r="AD2359" s="0" t="s">
        <v>148</v>
      </c>
      <c r="AE2359" s="0" t="s">
        <v>149</v>
      </c>
      <c r="AF2359" s="0" t="s">
        <v>150</v>
      </c>
      <c r="AH2359" s="0" t="n">
        <v>14</v>
      </c>
      <c r="AI2359" s="0" t="n">
        <v>11</v>
      </c>
      <c r="AN2359" s="0" t="s">
        <v>146</v>
      </c>
      <c r="AO2359" s="0" t="s">
        <v>151</v>
      </c>
      <c r="AP2359" s="0" t="s">
        <v>152</v>
      </c>
      <c r="AQ2359" s="0" t="n">
        <v>9</v>
      </c>
      <c r="AR2359" s="0" t="n">
        <v>64</v>
      </c>
      <c r="AS2359" s="0" t="n">
        <v>32</v>
      </c>
      <c r="AU2359" s="0" t="n">
        <f aca="false">COUNTA($BA$1438:$EH$1438)</f>
        <v>48</v>
      </c>
      <c r="AV2359" s="0" t="n">
        <f aca="false">COUNTIF($BA$1438:$EH$1438,"D")</f>
        <v>16</v>
      </c>
      <c r="AW2359" s="0" t="n">
        <f aca="false">COUNTIF($BA$1438:$EH$1438,"R")</f>
        <v>0</v>
      </c>
      <c r="AX2359" s="0" t="n">
        <f aca="false"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>0</v>
      </c>
      <c r="AY2359" s="0" t="n">
        <f aca="false">COUNTIF(DU2359:EH2359, "&lt;&gt;")</f>
        <v>1</v>
      </c>
      <c r="AZ2359" s="0" t="n">
        <f aca="false">IF(EH2359&lt;&gt;"",1,0)</f>
        <v>0</v>
      </c>
      <c r="BB2359" s="0" t="s">
        <v>153</v>
      </c>
      <c r="EF2359" s="0" t="s">
        <v>154</v>
      </c>
    </row>
    <row r="2360" customFormat="false" ht="13.8" hidden="false" customHeight="false" outlineLevel="0" collapsed="false">
      <c r="A2360" s="0" t="s">
        <v>10254</v>
      </c>
      <c r="B2360" s="0" t="n">
        <v>78</v>
      </c>
      <c r="C2360" s="0" t="n">
        <v>386166</v>
      </c>
      <c r="D2360" s="0" t="s">
        <v>10255</v>
      </c>
      <c r="E2360" s="0" t="s">
        <v>335</v>
      </c>
      <c r="F2360" s="0" t="str">
        <f aca="false">CONCATENATE(D2360," ",LEFT(H2360,4),"T=",AU2360,"D=",AV2360,"R=",AW2360,"M=",AX2360,"L=",AY2360,"B=",AZ2360)</f>
        <v>BOYER T=2D=0R=0M=0L=3B=0</v>
      </c>
      <c r="G2360" s="0" t="s">
        <v>1482</v>
      </c>
      <c r="I2360" s="0" t="s">
        <v>10256</v>
      </c>
      <c r="J2360" s="0" t="s">
        <v>977</v>
      </c>
      <c r="K2360" s="0" t="s">
        <v>175</v>
      </c>
      <c r="M2360" s="0" t="s">
        <v>10257</v>
      </c>
      <c r="N2360" s="0" t="str">
        <f aca="false">RIGHT(M2360,LEN(M2360)-FIND(" ",M2360))</f>
        <v>ROOSEVELT ST NW</v>
      </c>
      <c r="P2360" s="0" t="s">
        <v>146</v>
      </c>
      <c r="Q2360" s="0" t="s">
        <v>147</v>
      </c>
      <c r="R2360" s="0" t="n">
        <v>44483</v>
      </c>
      <c r="AD2360" s="0" t="s">
        <v>148</v>
      </c>
      <c r="AE2360" s="0" t="s">
        <v>149</v>
      </c>
      <c r="AF2360" s="0" t="s">
        <v>150</v>
      </c>
      <c r="AH2360" s="0" t="n">
        <v>14</v>
      </c>
      <c r="AI2360" s="0" t="n">
        <v>11</v>
      </c>
      <c r="AN2360" s="0" t="s">
        <v>146</v>
      </c>
      <c r="AO2360" s="0" t="s">
        <v>151</v>
      </c>
      <c r="AP2360" s="0" t="s">
        <v>152</v>
      </c>
      <c r="AQ2360" s="0" t="n">
        <v>9</v>
      </c>
      <c r="AR2360" s="0" t="n">
        <v>64</v>
      </c>
      <c r="AS2360" s="0" t="n">
        <v>32</v>
      </c>
      <c r="AU2360" s="0" t="n">
        <f aca="false">COUNTA($BA$1340:$EH$1340)</f>
        <v>2</v>
      </c>
      <c r="AV2360" s="0" t="n">
        <f aca="false">COUNTIF($BA$1340:$EH$1340,"D")</f>
        <v>0</v>
      </c>
      <c r="AW2360" s="0" t="n">
        <f aca="false">COUNTIF($BA$1340:$EH$1340,"R")</f>
        <v>0</v>
      </c>
      <c r="AX2360" s="0" t="n">
        <f aca="false"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>0</v>
      </c>
      <c r="AY2360" s="0" t="n">
        <f aca="false">COUNTIF(DU2360:EH2360, "&lt;&gt;")</f>
        <v>3</v>
      </c>
      <c r="AZ2360" s="0" t="n">
        <f aca="false">IF(EH2360&lt;&gt;"",1,0)</f>
        <v>0</v>
      </c>
      <c r="BB2360" s="0" t="s">
        <v>153</v>
      </c>
      <c r="CP2360" s="0" t="s">
        <v>154</v>
      </c>
      <c r="CY2360" s="0" t="s">
        <v>154</v>
      </c>
      <c r="DU2360" s="0" t="s">
        <v>154</v>
      </c>
      <c r="EA2360" s="0" t="s">
        <v>154</v>
      </c>
      <c r="EF2360" s="0" t="s">
        <v>154</v>
      </c>
    </row>
    <row r="2361" customFormat="false" ht="13.8" hidden="false" customHeight="false" outlineLevel="0" collapsed="false">
      <c r="A2361" s="0" t="s">
        <v>10258</v>
      </c>
      <c r="B2361" s="0" t="n">
        <v>78</v>
      </c>
      <c r="C2361" s="0" t="n">
        <v>5346</v>
      </c>
      <c r="D2361" s="0" t="s">
        <v>3644</v>
      </c>
      <c r="E2361" s="0" t="s">
        <v>981</v>
      </c>
      <c r="F2361" s="0" t="str">
        <f aca="false">CONCATENATE(D2361," ",LEFT(H2361,4),"T=",AU2361,"D=",AV2361,"R=",AW2361,"M=",AX2361,"L=",AY2361,"B=",AZ2361)</f>
        <v>JENKINS T=29D=0R=4M=8L=7B=1</v>
      </c>
      <c r="G2361" s="0" t="s">
        <v>241</v>
      </c>
      <c r="I2361" s="0" t="s">
        <v>10259</v>
      </c>
      <c r="J2361" s="0" t="s">
        <v>10260</v>
      </c>
      <c r="K2361" s="0" t="s">
        <v>175</v>
      </c>
      <c r="L2361" s="1" t="s">
        <v>155</v>
      </c>
      <c r="M2361" s="0" t="s">
        <v>10257</v>
      </c>
      <c r="N2361" s="0" t="str">
        <f aca="false">RIGHT(M2361,LEN(M2361)-FIND(" ",M2361))</f>
        <v>ROOSEVELT ST NW</v>
      </c>
      <c r="P2361" s="0" t="s">
        <v>146</v>
      </c>
      <c r="Q2361" s="0" t="s">
        <v>147</v>
      </c>
      <c r="R2361" s="0" t="n">
        <v>44483</v>
      </c>
      <c r="AD2361" s="0" t="s">
        <v>148</v>
      </c>
      <c r="AE2361" s="0" t="s">
        <v>149</v>
      </c>
      <c r="AF2361" s="0" t="s">
        <v>150</v>
      </c>
      <c r="AH2361" s="0" t="n">
        <v>14</v>
      </c>
      <c r="AI2361" s="0" t="n">
        <v>11</v>
      </c>
      <c r="AN2361" s="0" t="s">
        <v>146</v>
      </c>
      <c r="AO2361" s="0" t="s">
        <v>151</v>
      </c>
      <c r="AP2361" s="0" t="s">
        <v>152</v>
      </c>
      <c r="AQ2361" s="0" t="n">
        <v>9</v>
      </c>
      <c r="AR2361" s="0" t="n">
        <v>64</v>
      </c>
      <c r="AS2361" s="0" t="n">
        <v>32</v>
      </c>
      <c r="AU2361" s="0" t="n">
        <f aca="false">COUNTA($BA$1363:$EH$1363)</f>
        <v>29</v>
      </c>
      <c r="AV2361" s="0" t="n">
        <f aca="false">COUNTIF($BA$1363:$EH$1363,"D")</f>
        <v>0</v>
      </c>
      <c r="AW2361" s="0" t="n">
        <f aca="false">COUNTIF($BA$1363:$EH$1363,"R")</f>
        <v>4</v>
      </c>
      <c r="AX2361" s="0" t="n">
        <f aca="false"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>8</v>
      </c>
      <c r="AY2361" s="0" t="n">
        <f aca="false">COUNTIF(DU2361:EH2361, "&lt;&gt;")</f>
        <v>7</v>
      </c>
      <c r="AZ2361" s="0" t="n">
        <f aca="false">IF(EH2361&lt;&gt;"",1,0)</f>
        <v>1</v>
      </c>
      <c r="BB2361" s="0" t="s">
        <v>153</v>
      </c>
      <c r="BC2361" s="0" t="s">
        <v>154</v>
      </c>
      <c r="BD2361" s="0" t="s">
        <v>154</v>
      </c>
      <c r="BE2361" s="0" t="s">
        <v>154</v>
      </c>
      <c r="BF2361" s="0" t="s">
        <v>154</v>
      </c>
      <c r="BG2361" s="0" t="s">
        <v>154</v>
      </c>
      <c r="BH2361" s="0" t="s">
        <v>154</v>
      </c>
      <c r="BI2361" s="0" t="s">
        <v>154</v>
      </c>
      <c r="BJ2361" s="0" t="s">
        <v>154</v>
      </c>
      <c r="BK2361" s="0" t="s">
        <v>154</v>
      </c>
      <c r="BL2361" s="0" t="s">
        <v>154</v>
      </c>
      <c r="BP2361" s="0" t="s">
        <v>154</v>
      </c>
      <c r="BR2361" s="0" t="s">
        <v>154</v>
      </c>
      <c r="BS2361" s="0" t="s">
        <v>154</v>
      </c>
      <c r="BV2361" s="0" t="s">
        <v>154</v>
      </c>
      <c r="BY2361" s="0" t="s">
        <v>155</v>
      </c>
      <c r="CA2361" s="0" t="s">
        <v>154</v>
      </c>
      <c r="CC2361" s="0" t="s">
        <v>155</v>
      </c>
      <c r="CG2361" s="0" t="s">
        <v>154</v>
      </c>
      <c r="CH2361" s="0" t="s">
        <v>155</v>
      </c>
      <c r="CK2361" s="0" t="s">
        <v>154</v>
      </c>
      <c r="CL2361" s="0" t="s">
        <v>155</v>
      </c>
      <c r="CN2361" s="0" t="s">
        <v>154</v>
      </c>
      <c r="CO2361" s="0" t="s">
        <v>176</v>
      </c>
      <c r="CP2361" s="0" t="s">
        <v>154</v>
      </c>
      <c r="CU2361" s="0" t="s">
        <v>155</v>
      </c>
      <c r="CV2361" s="0" t="s">
        <v>154</v>
      </c>
      <c r="CW2361" s="0" t="s">
        <v>155</v>
      </c>
      <c r="CY2361" s="0" t="s">
        <v>154</v>
      </c>
      <c r="CZ2361" s="0" t="s">
        <v>176</v>
      </c>
      <c r="DC2361" s="0" t="s">
        <v>154</v>
      </c>
      <c r="DD2361" s="0" t="s">
        <v>155</v>
      </c>
      <c r="DF2361" s="0" t="s">
        <v>154</v>
      </c>
      <c r="DG2361" s="0" t="s">
        <v>155</v>
      </c>
      <c r="DI2361" s="0" t="s">
        <v>154</v>
      </c>
      <c r="DJ2361" s="0" t="s">
        <v>155</v>
      </c>
      <c r="DL2361" s="0" t="s">
        <v>154</v>
      </c>
      <c r="DN2361" s="0" t="s">
        <v>154</v>
      </c>
      <c r="DO2361" s="0" t="s">
        <v>155</v>
      </c>
      <c r="DR2361" s="0" t="s">
        <v>154</v>
      </c>
      <c r="DS2361" s="0" t="s">
        <v>176</v>
      </c>
      <c r="DT2361" s="0" t="s">
        <v>176</v>
      </c>
      <c r="DU2361" s="0" t="s">
        <v>154</v>
      </c>
      <c r="DW2361" s="0" t="s">
        <v>155</v>
      </c>
      <c r="DX2361" s="0" t="s">
        <v>154</v>
      </c>
      <c r="EA2361" s="0" t="s">
        <v>154</v>
      </c>
      <c r="ED2361" s="0" t="s">
        <v>176</v>
      </c>
      <c r="EF2361" s="0" t="s">
        <v>154</v>
      </c>
      <c r="EH2361" s="0" t="s">
        <v>155</v>
      </c>
    </row>
    <row r="2362" customFormat="false" ht="13.8" hidden="false" customHeight="false" outlineLevel="0" collapsed="false">
      <c r="A2362" s="0" t="s">
        <v>10261</v>
      </c>
      <c r="B2362" s="0" t="n">
        <v>78</v>
      </c>
      <c r="C2362" s="0" t="n">
        <v>423082</v>
      </c>
      <c r="D2362" s="0" t="s">
        <v>10262</v>
      </c>
      <c r="E2362" s="0" t="s">
        <v>1717</v>
      </c>
      <c r="F2362" s="0" t="str">
        <f aca="false">CONCATENATE(D2362," ",LEFT(H2362,4),"T=",AU2362,"D=",AV2362,"R=",AW2362,"M=",AX2362,"L=",AY2362,"B=",AZ2362)</f>
        <v>HINZMAN T=1D=0R=0M=0L=2B=0</v>
      </c>
      <c r="G2362" s="0" t="s">
        <v>297</v>
      </c>
      <c r="I2362" s="0" t="s">
        <v>10263</v>
      </c>
      <c r="J2362" s="0" t="s">
        <v>10264</v>
      </c>
      <c r="K2362" s="0" t="s">
        <v>175</v>
      </c>
      <c r="M2362" s="0" t="s">
        <v>10265</v>
      </c>
      <c r="N2362" s="0" t="str">
        <f aca="false">RIGHT(M2362,LEN(M2362)-FIND(" ",M2362))</f>
        <v>ROOSEVELT ST NW</v>
      </c>
      <c r="O2362" s="0" t="s">
        <v>192</v>
      </c>
      <c r="P2362" s="0" t="s">
        <v>146</v>
      </c>
      <c r="Q2362" s="0" t="s">
        <v>147</v>
      </c>
      <c r="R2362" s="0" t="n">
        <v>44483</v>
      </c>
      <c r="AD2362" s="0" t="s">
        <v>148</v>
      </c>
      <c r="AE2362" s="0" t="s">
        <v>149</v>
      </c>
      <c r="AF2362" s="0" t="s">
        <v>150</v>
      </c>
      <c r="AH2362" s="0" t="n">
        <v>14</v>
      </c>
      <c r="AI2362" s="0" t="n">
        <v>11</v>
      </c>
      <c r="AN2362" s="0" t="s">
        <v>146</v>
      </c>
      <c r="AO2362" s="0" t="s">
        <v>151</v>
      </c>
      <c r="AP2362" s="0" t="s">
        <v>152</v>
      </c>
      <c r="AQ2362" s="0" t="n">
        <v>9</v>
      </c>
      <c r="AR2362" s="0" t="n">
        <v>64</v>
      </c>
      <c r="AS2362" s="0" t="n">
        <v>32</v>
      </c>
      <c r="AU2362" s="0" t="n">
        <f aca="false">COUNTA($BA$1232:$EH$1232)</f>
        <v>1</v>
      </c>
      <c r="AV2362" s="0" t="n">
        <f aca="false">COUNTIF($BA$1232:$EH$1232,"D")</f>
        <v>0</v>
      </c>
      <c r="AW2362" s="0" t="n">
        <f aca="false">COUNTIF($BA$1232:$EH$1232,"R")</f>
        <v>0</v>
      </c>
      <c r="AX2362" s="0" t="n">
        <f aca="false"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>0</v>
      </c>
      <c r="AY2362" s="0" t="n">
        <f aca="false">COUNTIF(DU2362:EH2362, "&lt;&gt;")</f>
        <v>2</v>
      </c>
      <c r="AZ2362" s="0" t="n">
        <f aca="false">IF(EH2362&lt;&gt;"",1,0)</f>
        <v>0</v>
      </c>
      <c r="BB2362" s="0" t="s">
        <v>153</v>
      </c>
      <c r="DN2362" s="0" t="s">
        <v>154</v>
      </c>
      <c r="DU2362" s="0" t="s">
        <v>154</v>
      </c>
      <c r="EF2362" s="0" t="s">
        <v>154</v>
      </c>
    </row>
    <row r="2363" customFormat="false" ht="13.8" hidden="true" customHeight="false" outlineLevel="0" collapsed="false">
      <c r="A2363" s="0" t="s">
        <v>10266</v>
      </c>
      <c r="B2363" s="0" t="n">
        <v>78</v>
      </c>
      <c r="C2363" s="0" t="n">
        <v>379616</v>
      </c>
      <c r="D2363" s="0" t="s">
        <v>645</v>
      </c>
      <c r="E2363" s="0" t="s">
        <v>2298</v>
      </c>
      <c r="F2363" s="0" t="str">
        <f aca="false">CONCATENATE(D2363," ",LEFT(H2363,4),"T=",AU2363,"D=",AV2363,"R=",AW2363,"M=",AX2363,"L=",AY2363,"B=",AZ2363)</f>
        <v>WILLIAMS T=8D=1R=0M=0L=1B=0</v>
      </c>
      <c r="G2363" s="0" t="s">
        <v>690</v>
      </c>
      <c r="I2363" s="0" t="s">
        <v>10267</v>
      </c>
      <c r="J2363" s="0" t="s">
        <v>757</v>
      </c>
      <c r="K2363" s="0" t="s">
        <v>175</v>
      </c>
      <c r="L2363" s="0"/>
      <c r="M2363" s="0" t="s">
        <v>10265</v>
      </c>
      <c r="N2363" s="0" t="str">
        <f aca="false">RIGHT(M2363,LEN(M2363)-FIND(" ",M2363))</f>
        <v>ROOSEVELT ST NW</v>
      </c>
      <c r="O2363" s="0" t="s">
        <v>420</v>
      </c>
      <c r="P2363" s="0" t="s">
        <v>146</v>
      </c>
      <c r="Q2363" s="0" t="s">
        <v>147</v>
      </c>
      <c r="R2363" s="0" t="n">
        <v>44483</v>
      </c>
      <c r="AD2363" s="0" t="s">
        <v>148</v>
      </c>
      <c r="AE2363" s="0" t="s">
        <v>149</v>
      </c>
      <c r="AF2363" s="0" t="s">
        <v>150</v>
      </c>
      <c r="AH2363" s="0" t="n">
        <v>14</v>
      </c>
      <c r="AI2363" s="0" t="n">
        <v>11</v>
      </c>
      <c r="AN2363" s="0" t="s">
        <v>146</v>
      </c>
      <c r="AO2363" s="0" t="s">
        <v>151</v>
      </c>
      <c r="AP2363" s="0" t="s">
        <v>152</v>
      </c>
      <c r="AQ2363" s="0" t="n">
        <v>9</v>
      </c>
      <c r="AR2363" s="0" t="n">
        <v>64</v>
      </c>
      <c r="AS2363" s="0" t="n">
        <v>32</v>
      </c>
      <c r="AU2363" s="0" t="n">
        <f aca="false">COUNTA($BA$1325:$EH$1325)</f>
        <v>8</v>
      </c>
      <c r="AV2363" s="0" t="n">
        <f aca="false">COUNTIF($BA$1325:$EH$1325,"D")</f>
        <v>1</v>
      </c>
      <c r="AW2363" s="0" t="n">
        <f aca="false">COUNTIF($BA$1325:$EH$1325,"R")</f>
        <v>0</v>
      </c>
      <c r="AX2363" s="0" t="n">
        <f aca="false"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>0</v>
      </c>
      <c r="AY2363" s="0" t="n">
        <f aca="false">COUNTIF(DU2363:EH2363, "&lt;&gt;")</f>
        <v>1</v>
      </c>
      <c r="AZ2363" s="0" t="n">
        <f aca="false">IF(EH2363&lt;&gt;"",1,0)</f>
        <v>0</v>
      </c>
      <c r="BB2363" s="0" t="s">
        <v>153</v>
      </c>
      <c r="DC2363" s="0" t="s">
        <v>154</v>
      </c>
      <c r="DI2363" s="0" t="s">
        <v>154</v>
      </c>
      <c r="EF2363" s="0" t="s">
        <v>154</v>
      </c>
    </row>
    <row r="2364" customFormat="false" ht="13.8" hidden="true" customHeight="false" outlineLevel="0" collapsed="false">
      <c r="A2364" s="0" t="s">
        <v>10268</v>
      </c>
      <c r="B2364" s="0" t="n">
        <v>78</v>
      </c>
      <c r="C2364" s="0" t="n">
        <v>397521</v>
      </c>
      <c r="D2364" s="0" t="s">
        <v>10269</v>
      </c>
      <c r="E2364" s="0" t="s">
        <v>376</v>
      </c>
      <c r="F2364" s="0" t="str">
        <f aca="false">CONCATENATE(D2364," ",LEFT(H2364,4),"T=",AU2364,"D=",AV2364,"R=",AW2364,"M=",AX2364,"L=",AY2364,"B=",AZ2364)</f>
        <v>JOHNSTON T=1D=0R=0M=0L=0B=0</v>
      </c>
      <c r="G2364" s="0" t="s">
        <v>690</v>
      </c>
      <c r="I2364" s="0" t="s">
        <v>10270</v>
      </c>
      <c r="J2364" s="0" t="s">
        <v>10271</v>
      </c>
      <c r="K2364" s="0" t="s">
        <v>175</v>
      </c>
      <c r="L2364" s="0"/>
      <c r="M2364" s="0" t="s">
        <v>10265</v>
      </c>
      <c r="N2364" s="0" t="str">
        <f aca="false">RIGHT(M2364,LEN(M2364)-FIND(" ",M2364))</f>
        <v>ROOSEVELT ST NW</v>
      </c>
      <c r="P2364" s="0" t="s">
        <v>146</v>
      </c>
      <c r="Q2364" s="0" t="s">
        <v>147</v>
      </c>
      <c r="R2364" s="0" t="n">
        <v>44483</v>
      </c>
      <c r="AD2364" s="0" t="s">
        <v>148</v>
      </c>
      <c r="AE2364" s="0" t="s">
        <v>149</v>
      </c>
      <c r="AF2364" s="0" t="s">
        <v>150</v>
      </c>
      <c r="AH2364" s="0" t="n">
        <v>14</v>
      </c>
      <c r="AI2364" s="0" t="n">
        <v>11</v>
      </c>
      <c r="AN2364" s="0" t="s">
        <v>146</v>
      </c>
      <c r="AO2364" s="0" t="s">
        <v>151</v>
      </c>
      <c r="AP2364" s="0" t="s">
        <v>152</v>
      </c>
      <c r="AQ2364" s="0" t="n">
        <v>9</v>
      </c>
      <c r="AR2364" s="0" t="n">
        <v>64</v>
      </c>
      <c r="AS2364" s="0" t="n">
        <v>32</v>
      </c>
      <c r="AU2364" s="0" t="n">
        <f aca="false">COUNTA($BA$1644:$EH$1644)</f>
        <v>1</v>
      </c>
      <c r="AV2364" s="0" t="n">
        <f aca="false">COUNTIF($BA$1644:$EH$1644,"D")</f>
        <v>0</v>
      </c>
      <c r="AW2364" s="0" t="n">
        <f aca="false">COUNTIF($BA$1644:$EH$1644,"R")</f>
        <v>0</v>
      </c>
      <c r="AX2364" s="0" t="n">
        <f aca="false"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>0</v>
      </c>
      <c r="AY2364" s="0" t="n">
        <f aca="false">COUNTIF(DU2364:EH2364, "&lt;&gt;")</f>
        <v>0</v>
      </c>
      <c r="AZ2364" s="0" t="n">
        <f aca="false">IF(EH2364&lt;&gt;"",1,0)</f>
        <v>0</v>
      </c>
      <c r="BB2364" s="0" t="s">
        <v>153</v>
      </c>
      <c r="CZ2364" s="0" t="s">
        <v>155</v>
      </c>
      <c r="DN2364" s="0" t="s">
        <v>154</v>
      </c>
    </row>
    <row r="2365" customFormat="false" ht="13.8" hidden="true" customHeight="false" outlineLevel="0" collapsed="false">
      <c r="A2365" s="0" t="s">
        <v>10272</v>
      </c>
      <c r="B2365" s="0" t="n">
        <v>78</v>
      </c>
      <c r="C2365" s="0" t="n">
        <v>446633</v>
      </c>
      <c r="D2365" s="0" t="s">
        <v>669</v>
      </c>
      <c r="E2365" s="0" t="s">
        <v>9167</v>
      </c>
      <c r="F2365" s="0" t="str">
        <f aca="false">CONCATENATE(D2365," ",LEFT(H2365,4),"T=",AU2365,"D=",AV2365,"R=",AW2365,"M=",AX2365,"L=",AY2365,"B=",AZ2365)</f>
        <v>SKINNER T=6D=0R=0M=0L=0B=0</v>
      </c>
      <c r="G2365" s="0" t="s">
        <v>10273</v>
      </c>
      <c r="I2365" s="0" t="s">
        <v>10274</v>
      </c>
      <c r="J2365" s="0" t="s">
        <v>10275</v>
      </c>
      <c r="K2365" s="0" t="s">
        <v>175</v>
      </c>
      <c r="L2365" s="0"/>
      <c r="M2365" s="0" t="s">
        <v>10265</v>
      </c>
      <c r="N2365" s="0" t="str">
        <f aca="false">RIGHT(M2365,LEN(M2365)-FIND(" ",M2365))</f>
        <v>ROOSEVELT ST NW</v>
      </c>
      <c r="O2365" s="0" t="s">
        <v>420</v>
      </c>
      <c r="P2365" s="0" t="s">
        <v>146</v>
      </c>
      <c r="Q2365" s="0" t="s">
        <v>147</v>
      </c>
      <c r="R2365" s="0" t="n">
        <v>44483</v>
      </c>
      <c r="AD2365" s="0" t="s">
        <v>148</v>
      </c>
      <c r="AE2365" s="0" t="s">
        <v>149</v>
      </c>
      <c r="AF2365" s="0" t="s">
        <v>150</v>
      </c>
      <c r="AH2365" s="0" t="n">
        <v>14</v>
      </c>
      <c r="AI2365" s="0" t="n">
        <v>11</v>
      </c>
      <c r="AN2365" s="0" t="s">
        <v>146</v>
      </c>
      <c r="AO2365" s="0" t="s">
        <v>151</v>
      </c>
      <c r="AP2365" s="0" t="s">
        <v>152</v>
      </c>
      <c r="AQ2365" s="0" t="n">
        <v>9</v>
      </c>
      <c r="AR2365" s="0" t="n">
        <v>64</v>
      </c>
      <c r="AS2365" s="0" t="n">
        <v>32</v>
      </c>
      <c r="AU2365" s="0" t="n">
        <f aca="false">COUNTA($BA$1655:$EH$1655)</f>
        <v>6</v>
      </c>
      <c r="AV2365" s="0" t="n">
        <f aca="false">COUNTIF($BA$1655:$EH$1655,"D")</f>
        <v>0</v>
      </c>
      <c r="AW2365" s="0" t="n">
        <f aca="false">COUNTIF($BA$1655:$EH$1655,"R")</f>
        <v>0</v>
      </c>
      <c r="AX2365" s="0" t="n">
        <f aca="false"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>0</v>
      </c>
      <c r="AY2365" s="0" t="n">
        <f aca="false">COUNTIF(DU2365:EH2365, "&lt;&gt;")</f>
        <v>0</v>
      </c>
      <c r="AZ2365" s="0" t="n">
        <f aca="false">IF(EH2365&lt;&gt;"",1,0)</f>
        <v>0</v>
      </c>
      <c r="BB2365" s="0" t="s">
        <v>153</v>
      </c>
    </row>
    <row r="2366" customFormat="false" ht="13.8" hidden="true" customHeight="false" outlineLevel="0" collapsed="false">
      <c r="A2366" s="0" t="s">
        <v>10276</v>
      </c>
      <c r="B2366" s="0" t="n">
        <v>78</v>
      </c>
      <c r="C2366" s="0" t="n">
        <v>380908</v>
      </c>
      <c r="D2366" s="0" t="s">
        <v>10277</v>
      </c>
      <c r="E2366" s="0" t="s">
        <v>429</v>
      </c>
      <c r="F2366" s="0" t="str">
        <f aca="false">CONCATENATE(D2366," ",LEFT(H2366,4),"T=",AU2366,"D=",AV2366,"R=",AW2366,"M=",AX2366,"L=",AY2366,"B=",AZ2366)</f>
        <v>SALMONS T=2D=0R=0M=0L=0B=0</v>
      </c>
      <c r="G2366" s="0" t="s">
        <v>195</v>
      </c>
      <c r="I2366" s="0" t="s">
        <v>10278</v>
      </c>
      <c r="J2366" s="0" t="s">
        <v>10279</v>
      </c>
      <c r="K2366" s="0" t="s">
        <v>144</v>
      </c>
      <c r="L2366" s="0"/>
      <c r="M2366" s="0" t="s">
        <v>10265</v>
      </c>
      <c r="N2366" s="0" t="str">
        <f aca="false">RIGHT(M2366,LEN(M2366)-FIND(" ",M2366))</f>
        <v>ROOSEVELT ST NW</v>
      </c>
      <c r="P2366" s="0" t="s">
        <v>146</v>
      </c>
      <c r="Q2366" s="0" t="s">
        <v>147</v>
      </c>
      <c r="R2366" s="0" t="n">
        <v>44483</v>
      </c>
      <c r="AD2366" s="0" t="s">
        <v>148</v>
      </c>
      <c r="AE2366" s="0" t="s">
        <v>149</v>
      </c>
      <c r="AF2366" s="0" t="s">
        <v>150</v>
      </c>
      <c r="AH2366" s="0" t="n">
        <v>14</v>
      </c>
      <c r="AI2366" s="0" t="n">
        <v>11</v>
      </c>
      <c r="AN2366" s="0" t="s">
        <v>146</v>
      </c>
      <c r="AO2366" s="0" t="s">
        <v>151</v>
      </c>
      <c r="AP2366" s="0" t="s">
        <v>152</v>
      </c>
      <c r="AQ2366" s="0" t="n">
        <v>9</v>
      </c>
      <c r="AR2366" s="0" t="n">
        <v>64</v>
      </c>
      <c r="AS2366" s="0" t="n">
        <v>32</v>
      </c>
      <c r="AU2366" s="0" t="n">
        <f aca="false">COUNTA($BA$2028:$EH$2028)</f>
        <v>2</v>
      </c>
      <c r="AV2366" s="0" t="n">
        <f aca="false">COUNTIF($BA$2028:$EH$2028,"D")</f>
        <v>0</v>
      </c>
      <c r="AW2366" s="0" t="n">
        <f aca="false">COUNTIF($BA$2028:$EH$2028,"R")</f>
        <v>0</v>
      </c>
      <c r="AX2366" s="0" t="n">
        <f aca="false"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>0</v>
      </c>
      <c r="AY2366" s="0" t="n">
        <f aca="false">COUNTIF(DU2366:EH2366, "&lt;&gt;")</f>
        <v>0</v>
      </c>
      <c r="AZ2366" s="0" t="n">
        <f aca="false">IF(EH2366&lt;&gt;"",1,0)</f>
        <v>0</v>
      </c>
      <c r="BB2366" s="0" t="s">
        <v>153</v>
      </c>
    </row>
    <row r="2367" customFormat="false" ht="13.8" hidden="true" customHeight="false" outlineLevel="0" collapsed="false">
      <c r="A2367" s="0" t="s">
        <v>10280</v>
      </c>
      <c r="B2367" s="0" t="n">
        <v>78</v>
      </c>
      <c r="C2367" s="0" t="n">
        <v>474003</v>
      </c>
      <c r="D2367" s="0" t="s">
        <v>1050</v>
      </c>
      <c r="E2367" s="0" t="s">
        <v>10281</v>
      </c>
      <c r="F2367" s="0" t="str">
        <f aca="false">CONCATENATE(D2367," ",LEFT(H2367,4),"T=",AU2367,"D=",AV2367,"R=",AW2367,"M=",AX2367,"L=",AY2367,"B=",AZ2367)</f>
        <v>JOHNSON T=1D=0R=0M=0L=1B=0</v>
      </c>
      <c r="G2367" s="0" t="s">
        <v>176</v>
      </c>
      <c r="I2367" s="0" t="s">
        <v>10282</v>
      </c>
      <c r="J2367" s="0" t="s">
        <v>757</v>
      </c>
      <c r="K2367" s="0" t="s">
        <v>175</v>
      </c>
      <c r="L2367" s="0"/>
      <c r="M2367" s="0" t="s">
        <v>10265</v>
      </c>
      <c r="N2367" s="0" t="str">
        <f aca="false">RIGHT(M2367,LEN(M2367)-FIND(" ",M2367))</f>
        <v>ROOSEVELT ST NW</v>
      </c>
      <c r="O2367" s="0" t="s">
        <v>420</v>
      </c>
      <c r="P2367" s="0" t="s">
        <v>146</v>
      </c>
      <c r="Q2367" s="0" t="s">
        <v>147</v>
      </c>
      <c r="R2367" s="0" t="n">
        <v>44483</v>
      </c>
      <c r="AD2367" s="0" t="s">
        <v>148</v>
      </c>
      <c r="AE2367" s="0" t="s">
        <v>149</v>
      </c>
      <c r="AF2367" s="0" t="s">
        <v>150</v>
      </c>
      <c r="AH2367" s="0" t="n">
        <v>14</v>
      </c>
      <c r="AI2367" s="0" t="n">
        <v>11</v>
      </c>
      <c r="AN2367" s="0" t="s">
        <v>146</v>
      </c>
      <c r="AO2367" s="0" t="s">
        <v>151</v>
      </c>
      <c r="AP2367" s="0" t="s">
        <v>152</v>
      </c>
      <c r="AQ2367" s="0" t="n">
        <v>9</v>
      </c>
      <c r="AR2367" s="0" t="n">
        <v>64</v>
      </c>
      <c r="AS2367" s="0" t="n">
        <v>32</v>
      </c>
      <c r="AU2367" s="0" t="n">
        <f aca="false">COUNTA($BA$2053:$EH$2053)</f>
        <v>1</v>
      </c>
      <c r="AV2367" s="0" t="n">
        <f aca="false">COUNTIF($BA$2053:$EH$2053,"D")</f>
        <v>0</v>
      </c>
      <c r="AW2367" s="0" t="n">
        <f aca="false">COUNTIF($BA$2053:$EH$2053,"R")</f>
        <v>0</v>
      </c>
      <c r="AX2367" s="0" t="n">
        <f aca="false"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>0</v>
      </c>
      <c r="AY2367" s="0" t="n">
        <f aca="false">COUNTIF(DU2367:EH2367, "&lt;&gt;")</f>
        <v>1</v>
      </c>
      <c r="AZ2367" s="0" t="n">
        <f aca="false">IF(EH2367&lt;&gt;"",1,0)</f>
        <v>0</v>
      </c>
      <c r="BB2367" s="0" t="s">
        <v>153</v>
      </c>
      <c r="EF2367" s="0" t="s">
        <v>154</v>
      </c>
    </row>
    <row r="2368" customFormat="false" ht="13.8" hidden="true" customHeight="false" outlineLevel="0" collapsed="false">
      <c r="A2368" s="0" t="s">
        <v>10283</v>
      </c>
      <c r="B2368" s="0" t="n">
        <v>78</v>
      </c>
      <c r="C2368" s="0" t="n">
        <v>452973</v>
      </c>
      <c r="D2368" s="0" t="s">
        <v>10284</v>
      </c>
      <c r="E2368" s="0" t="s">
        <v>1920</v>
      </c>
      <c r="F2368" s="0" t="str">
        <f aca="false">CONCATENATE(D2368," ",LEFT(H2368,4),"T=",AU2368,"D=",AV2368,"R=",AW2368,"M=",AX2368,"L=",AY2368,"B=",AZ2368)</f>
        <v>WROBEL ANGUS T=28D=7R=0M=0L=0B=0</v>
      </c>
      <c r="G2368" s="0" t="s">
        <v>1964</v>
      </c>
      <c r="I2368" s="0" t="s">
        <v>10285</v>
      </c>
      <c r="J2368" s="0" t="s">
        <v>4728</v>
      </c>
      <c r="K2368" s="0" t="s">
        <v>144</v>
      </c>
      <c r="L2368" s="0"/>
      <c r="M2368" s="0" t="s">
        <v>10286</v>
      </c>
      <c r="N2368" s="0" t="str">
        <f aca="false">RIGHT(M2368,LEN(M2368)-FIND(" ",M2368))</f>
        <v>ROOSEVELT ST NW</v>
      </c>
      <c r="P2368" s="0" t="s">
        <v>146</v>
      </c>
      <c r="Q2368" s="0" t="s">
        <v>147</v>
      </c>
      <c r="R2368" s="0" t="n">
        <v>44483</v>
      </c>
      <c r="AD2368" s="0" t="s">
        <v>148</v>
      </c>
      <c r="AE2368" s="0" t="s">
        <v>149</v>
      </c>
      <c r="AF2368" s="0" t="s">
        <v>150</v>
      </c>
      <c r="AH2368" s="0" t="n">
        <v>14</v>
      </c>
      <c r="AI2368" s="0" t="n">
        <v>11</v>
      </c>
      <c r="AN2368" s="0" t="s">
        <v>146</v>
      </c>
      <c r="AO2368" s="0" t="s">
        <v>250</v>
      </c>
      <c r="AP2368" s="0" t="s">
        <v>251</v>
      </c>
      <c r="AQ2368" s="0" t="n">
        <v>9</v>
      </c>
      <c r="AR2368" s="0" t="n">
        <v>64</v>
      </c>
      <c r="AS2368" s="0" t="n">
        <v>32</v>
      </c>
      <c r="AU2368" s="0" t="n">
        <f aca="false">COUNTA($BA$2579:$EH$2579)</f>
        <v>28</v>
      </c>
      <c r="AV2368" s="0" t="n">
        <f aca="false">COUNTIF($BA$2579:$EH$2579,"D")</f>
        <v>7</v>
      </c>
      <c r="AW2368" s="0" t="n">
        <f aca="false">COUNTIF($BA$2579:$EH$2579,"R")</f>
        <v>0</v>
      </c>
      <c r="AX2368" s="0" t="n">
        <f aca="false"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>0</v>
      </c>
      <c r="AY2368" s="0" t="n">
        <f aca="false">COUNTIF(DU2368:EH2368, "&lt;&gt;")</f>
        <v>0</v>
      </c>
      <c r="AZ2368" s="0" t="n">
        <f aca="false">IF(EH2368&lt;&gt;"",1,0)</f>
        <v>0</v>
      </c>
      <c r="BB2368" s="0" t="s">
        <v>153</v>
      </c>
      <c r="DN2368" s="0" t="s">
        <v>154</v>
      </c>
    </row>
    <row r="2369" customFormat="false" ht="13.8" hidden="true" customHeight="false" outlineLevel="0" collapsed="false">
      <c r="A2369" s="0" t="s">
        <v>10287</v>
      </c>
      <c r="B2369" s="0" t="n">
        <v>78</v>
      </c>
      <c r="C2369" s="0" t="n">
        <v>459442</v>
      </c>
      <c r="D2369" s="0" t="s">
        <v>10288</v>
      </c>
      <c r="E2369" s="0" t="s">
        <v>350</v>
      </c>
      <c r="F2369" s="0" t="str">
        <f aca="false">CONCATENATE(D2369," ",LEFT(H2369,4),"T=",AU2369,"D=",AV2369,"R=",AW2369,"M=",AX2369,"L=",AY2369,"B=",AZ2369)</f>
        <v>VOGEL T=12D=0R=0M=0L=0B=0</v>
      </c>
      <c r="G2369" s="0" t="s">
        <v>664</v>
      </c>
      <c r="I2369" s="0" t="s">
        <v>10289</v>
      </c>
      <c r="J2369" s="0" t="s">
        <v>10290</v>
      </c>
      <c r="K2369" s="0" t="s">
        <v>144</v>
      </c>
      <c r="L2369" s="0"/>
      <c r="M2369" s="0" t="s">
        <v>10291</v>
      </c>
      <c r="N2369" s="0" t="str">
        <f aca="false">RIGHT(M2369,LEN(M2369)-FIND(" ",M2369))</f>
        <v>ROOSEVELT ST NW</v>
      </c>
      <c r="P2369" s="0" t="s">
        <v>146</v>
      </c>
      <c r="Q2369" s="0" t="s">
        <v>147</v>
      </c>
      <c r="R2369" s="0" t="n">
        <v>44483</v>
      </c>
      <c r="AD2369" s="0" t="s">
        <v>148</v>
      </c>
      <c r="AE2369" s="0" t="s">
        <v>149</v>
      </c>
      <c r="AF2369" s="0" t="s">
        <v>150</v>
      </c>
      <c r="AH2369" s="0" t="n">
        <v>14</v>
      </c>
      <c r="AI2369" s="0" t="n">
        <v>11</v>
      </c>
      <c r="AN2369" s="0" t="s">
        <v>146</v>
      </c>
      <c r="AO2369" s="0" t="s">
        <v>151</v>
      </c>
      <c r="AP2369" s="0" t="s">
        <v>152</v>
      </c>
      <c r="AQ2369" s="0" t="n">
        <v>9</v>
      </c>
      <c r="AR2369" s="0" t="n">
        <v>64</v>
      </c>
      <c r="AS2369" s="0" t="n">
        <v>32</v>
      </c>
      <c r="AU2369" s="0" t="n">
        <f aca="false">COUNTA($BA$1243:$EH$1243)</f>
        <v>12</v>
      </c>
      <c r="AV2369" s="0" t="n">
        <f aca="false">COUNTIF($BA$1243:$EH$1243,"D")</f>
        <v>0</v>
      </c>
      <c r="AW2369" s="0" t="n">
        <f aca="false">COUNTIF($BA$1243:$EH$1243,"R")</f>
        <v>0</v>
      </c>
      <c r="AX2369" s="0" t="n">
        <f aca="false"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>0</v>
      </c>
      <c r="AY2369" s="0" t="n">
        <f aca="false">COUNTIF(DU2369:EH2369, "&lt;&gt;")</f>
        <v>0</v>
      </c>
      <c r="AZ2369" s="0" t="n">
        <f aca="false">IF(EH2369&lt;&gt;"",1,0)</f>
        <v>0</v>
      </c>
      <c r="BB2369" s="0" t="s">
        <v>153</v>
      </c>
    </row>
    <row r="2370" customFormat="false" ht="13.8" hidden="true" customHeight="false" outlineLevel="0" collapsed="false">
      <c r="A2370" s="0" t="s">
        <v>10292</v>
      </c>
      <c r="B2370" s="0" t="n">
        <v>78</v>
      </c>
      <c r="C2370" s="0" t="n">
        <v>456620</v>
      </c>
      <c r="D2370" s="0" t="s">
        <v>2025</v>
      </c>
      <c r="E2370" s="0" t="s">
        <v>1619</v>
      </c>
      <c r="F2370" s="0" t="str">
        <f aca="false">CONCATENATE(D2370," ",LEFT(H2370,4),"T=",AU2370,"D=",AV2370,"R=",AW2370,"M=",AX2370,"L=",AY2370,"B=",AZ2370)</f>
        <v>NOVAK T=1D=0R=0M=0L=0B=0</v>
      </c>
      <c r="G2370" s="0" t="s">
        <v>10293</v>
      </c>
      <c r="I2370" s="0" t="s">
        <v>10294</v>
      </c>
      <c r="J2370" s="0" t="s">
        <v>10295</v>
      </c>
      <c r="K2370" s="0" t="s">
        <v>175</v>
      </c>
      <c r="L2370" s="0"/>
      <c r="M2370" s="0" t="s">
        <v>10291</v>
      </c>
      <c r="N2370" s="0" t="str">
        <f aca="false">RIGHT(M2370,LEN(M2370)-FIND(" ",M2370))</f>
        <v>ROOSEVELT ST NW</v>
      </c>
      <c r="P2370" s="0" t="s">
        <v>146</v>
      </c>
      <c r="Q2370" s="0" t="s">
        <v>147</v>
      </c>
      <c r="R2370" s="0" t="n">
        <v>44483</v>
      </c>
      <c r="AD2370" s="0" t="s">
        <v>148</v>
      </c>
      <c r="AE2370" s="0" t="s">
        <v>149</v>
      </c>
      <c r="AF2370" s="0" t="s">
        <v>150</v>
      </c>
      <c r="AH2370" s="0" t="n">
        <v>14</v>
      </c>
      <c r="AI2370" s="0" t="n">
        <v>11</v>
      </c>
      <c r="AN2370" s="0" t="s">
        <v>146</v>
      </c>
      <c r="AO2370" s="0" t="s">
        <v>151</v>
      </c>
      <c r="AP2370" s="0" t="s">
        <v>152</v>
      </c>
      <c r="AQ2370" s="0" t="n">
        <v>9</v>
      </c>
      <c r="AR2370" s="0" t="n">
        <v>64</v>
      </c>
      <c r="AS2370" s="0" t="n">
        <v>32</v>
      </c>
      <c r="AU2370" s="0" t="n">
        <f aca="false">COUNTA($BA$1805:$EH$1805)</f>
        <v>1</v>
      </c>
      <c r="AV2370" s="0" t="n">
        <f aca="false">COUNTIF($BA$1805:$EH$1805,"D")</f>
        <v>0</v>
      </c>
      <c r="AW2370" s="0" t="n">
        <f aca="false">COUNTIF($BA$1805:$EH$1805,"R")</f>
        <v>0</v>
      </c>
      <c r="AX2370" s="0" t="n">
        <f aca="false"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>0</v>
      </c>
      <c r="AY2370" s="0" t="n">
        <f aca="false">COUNTIF(DU2370:EH2370, "&lt;&gt;")</f>
        <v>0</v>
      </c>
      <c r="AZ2370" s="0" t="n">
        <f aca="false">IF(EH2370&lt;&gt;"",1,0)</f>
        <v>0</v>
      </c>
      <c r="BB2370" s="0" t="s">
        <v>153</v>
      </c>
    </row>
    <row r="2371" customFormat="false" ht="13.8" hidden="true" customHeight="false" outlineLevel="0" collapsed="false">
      <c r="A2371" s="0" t="s">
        <v>10296</v>
      </c>
      <c r="B2371" s="0" t="n">
        <v>78</v>
      </c>
      <c r="C2371" s="0" t="n">
        <v>491541</v>
      </c>
      <c r="D2371" s="0" t="s">
        <v>10297</v>
      </c>
      <c r="E2371" s="0" t="s">
        <v>10298</v>
      </c>
      <c r="F2371" s="0" t="str">
        <f aca="false">CONCATENATE(D2371," ",LEFT(H2371,4),"T=",AU2371,"D=",AV2371,"R=",AW2371,"M=",AX2371,"L=",AY2371,"B=",AZ2371)</f>
        <v>ZIEGLER T=11D=1R=3M=1L=1B=0</v>
      </c>
      <c r="G2371" s="0" t="s">
        <v>939</v>
      </c>
      <c r="I2371" s="0" t="s">
        <v>7819</v>
      </c>
      <c r="J2371" s="0" t="s">
        <v>5156</v>
      </c>
      <c r="K2371" s="0" t="s">
        <v>175</v>
      </c>
      <c r="L2371" s="0"/>
      <c r="M2371" s="0" t="s">
        <v>10299</v>
      </c>
      <c r="N2371" s="0" t="str">
        <f aca="false">RIGHT(M2371,LEN(M2371)-FIND(" ",M2371))</f>
        <v>ROOSEVELT ST NW</v>
      </c>
      <c r="P2371" s="0" t="s">
        <v>146</v>
      </c>
      <c r="Q2371" s="0" t="s">
        <v>147</v>
      </c>
      <c r="R2371" s="0" t="n">
        <v>44483</v>
      </c>
      <c r="AD2371" s="0" t="s">
        <v>148</v>
      </c>
      <c r="AE2371" s="0" t="s">
        <v>149</v>
      </c>
      <c r="AF2371" s="0" t="s">
        <v>150</v>
      </c>
      <c r="AH2371" s="0" t="n">
        <v>14</v>
      </c>
      <c r="AI2371" s="0" t="n">
        <v>11</v>
      </c>
      <c r="AN2371" s="0" t="s">
        <v>146</v>
      </c>
      <c r="AO2371" s="0" t="s">
        <v>151</v>
      </c>
      <c r="AP2371" s="0" t="s">
        <v>152</v>
      </c>
      <c r="AQ2371" s="0" t="n">
        <v>9</v>
      </c>
      <c r="AR2371" s="0" t="n">
        <v>64</v>
      </c>
      <c r="AS2371" s="0" t="n">
        <v>32</v>
      </c>
      <c r="AU2371" s="0" t="n">
        <f aca="false">COUNTA($BA$1491:$EH$1491)</f>
        <v>11</v>
      </c>
      <c r="AV2371" s="0" t="n">
        <f aca="false">COUNTIF($BA$1491:$EH$1491,"D")</f>
        <v>1</v>
      </c>
      <c r="AW2371" s="0" t="n">
        <f aca="false">COUNTIF($BA$1491:$EH$1491,"R")</f>
        <v>3</v>
      </c>
      <c r="AX2371" s="0" t="n">
        <f aca="false"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>1</v>
      </c>
      <c r="AY2371" s="0" t="n">
        <f aca="false">COUNTIF(DU2371:EH2371, "&lt;&gt;")</f>
        <v>1</v>
      </c>
      <c r="AZ2371" s="0" t="n">
        <f aca="false">IF(EH2371&lt;&gt;"",1,0)</f>
        <v>0</v>
      </c>
      <c r="BB2371" s="0" t="s">
        <v>153</v>
      </c>
      <c r="BL2371" s="0" t="s">
        <v>154</v>
      </c>
      <c r="BY2371" s="0" t="s">
        <v>155</v>
      </c>
      <c r="CA2371" s="0" t="s">
        <v>154</v>
      </c>
      <c r="CL2371" s="0" t="s">
        <v>155</v>
      </c>
      <c r="CP2371" s="0" t="s">
        <v>154</v>
      </c>
      <c r="CZ2371" s="0" t="s">
        <v>155</v>
      </c>
      <c r="DN2371" s="0" t="s">
        <v>154</v>
      </c>
      <c r="EF2371" s="0" t="s">
        <v>154</v>
      </c>
    </row>
    <row r="2372" customFormat="false" ht="13.8" hidden="false" customHeight="false" outlineLevel="0" collapsed="false">
      <c r="A2372" s="0" t="s">
        <v>10300</v>
      </c>
      <c r="B2372" s="0" t="n">
        <v>78</v>
      </c>
      <c r="C2372" s="0" t="n">
        <v>380802</v>
      </c>
      <c r="D2372" s="0" t="s">
        <v>333</v>
      </c>
      <c r="E2372" s="0" t="s">
        <v>278</v>
      </c>
      <c r="F2372" s="0" t="str">
        <f aca="false">CONCATENATE(D2372," ",LEFT(H2372,4),"T=",AU2372,"D=",AV2372,"R=",AW2372,"M=",AX2372,"L=",AY2372,"B=",AZ2372)</f>
        <v>ADAMS T=2D=0R=0M=2L=3B=0</v>
      </c>
      <c r="G2372" s="0" t="s">
        <v>10301</v>
      </c>
      <c r="I2372" s="0" t="s">
        <v>10302</v>
      </c>
      <c r="J2372" s="0" t="s">
        <v>575</v>
      </c>
      <c r="K2372" s="0" t="s">
        <v>175</v>
      </c>
      <c r="M2372" s="0" t="s">
        <v>10299</v>
      </c>
      <c r="N2372" s="0" t="str">
        <f aca="false">RIGHT(M2372,LEN(M2372)-FIND(" ",M2372))</f>
        <v>ROOSEVELT ST NW</v>
      </c>
      <c r="P2372" s="0" t="s">
        <v>146</v>
      </c>
      <c r="Q2372" s="0" t="s">
        <v>147</v>
      </c>
      <c r="R2372" s="0" t="n">
        <v>44483</v>
      </c>
      <c r="AD2372" s="0" t="s">
        <v>148</v>
      </c>
      <c r="AE2372" s="0" t="s">
        <v>149</v>
      </c>
      <c r="AF2372" s="0" t="s">
        <v>150</v>
      </c>
      <c r="AH2372" s="0" t="n">
        <v>14</v>
      </c>
      <c r="AI2372" s="0" t="n">
        <v>11</v>
      </c>
      <c r="AN2372" s="0" t="s">
        <v>146</v>
      </c>
      <c r="AO2372" s="0" t="s">
        <v>151</v>
      </c>
      <c r="AP2372" s="0" t="s">
        <v>152</v>
      </c>
      <c r="AQ2372" s="0" t="n">
        <v>9</v>
      </c>
      <c r="AR2372" s="0" t="n">
        <v>64</v>
      </c>
      <c r="AS2372" s="0" t="n">
        <v>32</v>
      </c>
      <c r="AU2372" s="0" t="n">
        <f aca="false">COUNTA($BA$1548:$EH$1548)</f>
        <v>2</v>
      </c>
      <c r="AV2372" s="0" t="n">
        <f aca="false">COUNTIF($BA$1548:$EH$1548,"D")</f>
        <v>0</v>
      </c>
      <c r="AW2372" s="0" t="n">
        <f aca="false">COUNTIF($BA$1548:$EH$1548,"R")</f>
        <v>0</v>
      </c>
      <c r="AX2372" s="0" t="n">
        <f aca="false"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>2</v>
      </c>
      <c r="AY2372" s="0" t="n">
        <f aca="false">COUNTIF(DU2372:EH2372, "&lt;&gt;")</f>
        <v>3</v>
      </c>
      <c r="AZ2372" s="0" t="n">
        <f aca="false">IF(EH2372&lt;&gt;"",1,0)</f>
        <v>0</v>
      </c>
      <c r="BB2372" s="0" t="s">
        <v>153</v>
      </c>
      <c r="BC2372" s="0" t="s">
        <v>154</v>
      </c>
      <c r="BE2372" s="0" t="s">
        <v>154</v>
      </c>
      <c r="BI2372" s="0" t="s">
        <v>154</v>
      </c>
      <c r="BJ2372" s="0" t="s">
        <v>154</v>
      </c>
      <c r="BL2372" s="0" t="s">
        <v>154</v>
      </c>
      <c r="BP2372" s="0" t="s">
        <v>154</v>
      </c>
      <c r="CN2372" s="0" t="s">
        <v>154</v>
      </c>
      <c r="CP2372" s="0" t="s">
        <v>154</v>
      </c>
      <c r="CU2372" s="0" t="s">
        <v>155</v>
      </c>
      <c r="CV2372" s="0" t="s">
        <v>154</v>
      </c>
      <c r="CW2372" s="0" t="s">
        <v>155</v>
      </c>
      <c r="CY2372" s="0" t="s">
        <v>154</v>
      </c>
      <c r="CZ2372" s="0" t="s">
        <v>155</v>
      </c>
      <c r="DC2372" s="0" t="s">
        <v>154</v>
      </c>
      <c r="DD2372" s="0" t="s">
        <v>155</v>
      </c>
      <c r="DF2372" s="0" t="s">
        <v>154</v>
      </c>
      <c r="DI2372" s="0" t="s">
        <v>154</v>
      </c>
      <c r="DN2372" s="0" t="s">
        <v>154</v>
      </c>
      <c r="DX2372" s="0" t="s">
        <v>154</v>
      </c>
      <c r="EA2372" s="0" t="s">
        <v>154</v>
      </c>
      <c r="EF2372" s="0" t="s">
        <v>154</v>
      </c>
    </row>
    <row r="2373" customFormat="false" ht="13.8" hidden="false" customHeight="false" outlineLevel="0" collapsed="false">
      <c r="A2373" s="0" t="s">
        <v>10303</v>
      </c>
      <c r="B2373" s="0" t="n">
        <v>78</v>
      </c>
      <c r="C2373" s="0" t="n">
        <v>269007</v>
      </c>
      <c r="D2373" s="0" t="s">
        <v>333</v>
      </c>
      <c r="E2373" s="0" t="s">
        <v>10304</v>
      </c>
      <c r="F2373" s="0" t="str">
        <f aca="false">CONCATENATE(D2373," ",LEFT(H2373,4),"T=",AU2373,"D=",AV2373,"R=",AW2373,"M=",AX2373,"L=",AY2373,"B=",AZ2373)</f>
        <v>ADAMS T=1D=0R=0M=2L=5B=0</v>
      </c>
      <c r="G2373" s="0" t="s">
        <v>155</v>
      </c>
      <c r="I2373" s="0" t="s">
        <v>10305</v>
      </c>
      <c r="J2373" s="0" t="s">
        <v>1187</v>
      </c>
      <c r="K2373" s="0" t="s">
        <v>175</v>
      </c>
      <c r="L2373" s="1" t="s">
        <v>155</v>
      </c>
      <c r="M2373" s="0" t="s">
        <v>10299</v>
      </c>
      <c r="N2373" s="0" t="str">
        <f aca="false">RIGHT(M2373,LEN(M2373)-FIND(" ",M2373))</f>
        <v>ROOSEVELT ST NW</v>
      </c>
      <c r="P2373" s="0" t="s">
        <v>146</v>
      </c>
      <c r="Q2373" s="0" t="s">
        <v>147</v>
      </c>
      <c r="R2373" s="0" t="n">
        <v>44483</v>
      </c>
      <c r="AD2373" s="0" t="s">
        <v>148</v>
      </c>
      <c r="AE2373" s="0" t="s">
        <v>149</v>
      </c>
      <c r="AF2373" s="0" t="s">
        <v>150</v>
      </c>
      <c r="AH2373" s="0" t="n">
        <v>14</v>
      </c>
      <c r="AI2373" s="0" t="n">
        <v>11</v>
      </c>
      <c r="AN2373" s="0" t="s">
        <v>146</v>
      </c>
      <c r="AO2373" s="0" t="s">
        <v>151</v>
      </c>
      <c r="AP2373" s="0" t="s">
        <v>152</v>
      </c>
      <c r="AQ2373" s="0" t="n">
        <v>9</v>
      </c>
      <c r="AR2373" s="0" t="n">
        <v>64</v>
      </c>
      <c r="AS2373" s="0" t="n">
        <v>32</v>
      </c>
      <c r="AU2373" s="0" t="n">
        <f aca="false">COUNTA($BA$1559:$EH$1559)</f>
        <v>1</v>
      </c>
      <c r="AV2373" s="0" t="n">
        <f aca="false">COUNTIF($BA$1559:$EH$1559,"D")</f>
        <v>0</v>
      </c>
      <c r="AW2373" s="0" t="n">
        <f aca="false">COUNTIF($BA$1559:$EH$1559,"R")</f>
        <v>0</v>
      </c>
      <c r="AX2373" s="0" t="n">
        <f aca="false"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>2</v>
      </c>
      <c r="AY2373" s="0" t="n">
        <f aca="false">COUNTIF(DU2373:EH2373, "&lt;&gt;")</f>
        <v>5</v>
      </c>
      <c r="AZ2373" s="0" t="n">
        <f aca="false">IF(EH2373&lt;&gt;"",1,0)</f>
        <v>0</v>
      </c>
      <c r="BB2373" s="0" t="s">
        <v>153</v>
      </c>
      <c r="BD2373" s="0" t="s">
        <v>154</v>
      </c>
      <c r="BF2373" s="0" t="s">
        <v>154</v>
      </c>
      <c r="BJ2373" s="0" t="s">
        <v>154</v>
      </c>
      <c r="BL2373" s="0" t="s">
        <v>154</v>
      </c>
      <c r="BP2373" s="0" t="s">
        <v>154</v>
      </c>
      <c r="BS2373" s="0" t="s">
        <v>154</v>
      </c>
      <c r="BY2373" s="0" t="s">
        <v>155</v>
      </c>
      <c r="CA2373" s="0" t="s">
        <v>154</v>
      </c>
      <c r="CK2373" s="0" t="s">
        <v>154</v>
      </c>
      <c r="CL2373" s="0" t="s">
        <v>155</v>
      </c>
      <c r="CN2373" s="0" t="s">
        <v>154</v>
      </c>
      <c r="CP2373" s="0" t="s">
        <v>154</v>
      </c>
      <c r="CT2373" s="0" t="s">
        <v>154</v>
      </c>
      <c r="CV2373" s="0" t="s">
        <v>154</v>
      </c>
      <c r="CY2373" s="0" t="s">
        <v>154</v>
      </c>
      <c r="CZ2373" s="0" t="s">
        <v>155</v>
      </c>
      <c r="DC2373" s="0" t="s">
        <v>154</v>
      </c>
      <c r="DG2373" s="0" t="s">
        <v>155</v>
      </c>
      <c r="DI2373" s="0" t="s">
        <v>154</v>
      </c>
      <c r="DL2373" s="0" t="s">
        <v>154</v>
      </c>
      <c r="DN2373" s="0" t="s">
        <v>154</v>
      </c>
      <c r="DR2373" s="0" t="s">
        <v>154</v>
      </c>
      <c r="DU2373" s="0" t="s">
        <v>154</v>
      </c>
      <c r="DW2373" s="0" t="s">
        <v>155</v>
      </c>
      <c r="DX2373" s="0" t="s">
        <v>154</v>
      </c>
      <c r="EA2373" s="0" t="s">
        <v>154</v>
      </c>
      <c r="EF2373" s="0" t="s">
        <v>154</v>
      </c>
    </row>
    <row r="2374" customFormat="false" ht="13.8" hidden="false" customHeight="false" outlineLevel="0" collapsed="false">
      <c r="A2374" s="0" t="s">
        <v>10306</v>
      </c>
      <c r="B2374" s="0" t="n">
        <v>78</v>
      </c>
      <c r="C2374" s="0" t="n">
        <v>264568</v>
      </c>
      <c r="D2374" s="0" t="s">
        <v>10307</v>
      </c>
      <c r="E2374" s="0" t="s">
        <v>1022</v>
      </c>
      <c r="F2374" s="0" t="str">
        <f aca="false">CONCATENATE(D2374," ",LEFT(H2374,4),"T=",AU2374,"D=",AV2374,"R=",AW2374,"M=",AX2374,"L=",AY2374,"B=",AZ2374)</f>
        <v>FILKORN T=31D=5R=0M=3L=6B=1</v>
      </c>
      <c r="G2374" s="0" t="s">
        <v>176</v>
      </c>
      <c r="I2374" s="0" t="s">
        <v>10308</v>
      </c>
      <c r="J2374" s="0" t="s">
        <v>10309</v>
      </c>
      <c r="K2374" s="0" t="s">
        <v>175</v>
      </c>
      <c r="L2374" s="1" t="s">
        <v>155</v>
      </c>
      <c r="M2374" s="0" t="s">
        <v>10310</v>
      </c>
      <c r="N2374" s="0" t="str">
        <f aca="false">RIGHT(M2374,LEN(M2374)-FIND(" ",M2374))</f>
        <v>ROOSEVELT ST NW</v>
      </c>
      <c r="P2374" s="0" t="s">
        <v>146</v>
      </c>
      <c r="Q2374" s="0" t="s">
        <v>147</v>
      </c>
      <c r="R2374" s="0" t="n">
        <v>44483</v>
      </c>
      <c r="AD2374" s="0" t="s">
        <v>148</v>
      </c>
      <c r="AE2374" s="0" t="s">
        <v>149</v>
      </c>
      <c r="AF2374" s="0" t="s">
        <v>150</v>
      </c>
      <c r="AH2374" s="0" t="n">
        <v>14</v>
      </c>
      <c r="AI2374" s="0" t="n">
        <v>11</v>
      </c>
      <c r="AN2374" s="0" t="s">
        <v>146</v>
      </c>
      <c r="AO2374" s="0" t="s">
        <v>250</v>
      </c>
      <c r="AP2374" s="0" t="s">
        <v>251</v>
      </c>
      <c r="AQ2374" s="0" t="n">
        <v>9</v>
      </c>
      <c r="AR2374" s="0" t="n">
        <v>64</v>
      </c>
      <c r="AS2374" s="0" t="n">
        <v>32</v>
      </c>
      <c r="AU2374" s="0" t="n">
        <f aca="false">COUNTA($BA$2709:$EH$2709)</f>
        <v>31</v>
      </c>
      <c r="AV2374" s="0" t="n">
        <f aca="false">COUNTIF($BA$2709:$EH$2709,"D")</f>
        <v>5</v>
      </c>
      <c r="AW2374" s="0" t="n">
        <f aca="false">COUNTIF($BA$2709:$EH$2709,"R")</f>
        <v>0</v>
      </c>
      <c r="AX2374" s="0" t="n">
        <f aca="false"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>3</v>
      </c>
      <c r="AY2374" s="0" t="n">
        <f aca="false">COUNTIF(DU2374:EH2374, "&lt;&gt;")</f>
        <v>6</v>
      </c>
      <c r="AZ2374" s="0" t="n">
        <f aca="false">IF(EH2374&lt;&gt;"",1,0)</f>
        <v>1</v>
      </c>
      <c r="BB2374" s="0" t="s">
        <v>153</v>
      </c>
      <c r="BC2374" s="0" t="s">
        <v>154</v>
      </c>
      <c r="BD2374" s="0" t="s">
        <v>154</v>
      </c>
      <c r="BF2374" s="0" t="s">
        <v>154</v>
      </c>
      <c r="BG2374" s="0" t="s">
        <v>154</v>
      </c>
      <c r="BH2374" s="0" t="s">
        <v>154</v>
      </c>
      <c r="BP2374" s="0" t="s">
        <v>154</v>
      </c>
      <c r="BR2374" s="0" t="s">
        <v>154</v>
      </c>
      <c r="BS2374" s="0" t="s">
        <v>154</v>
      </c>
      <c r="CA2374" s="0" t="s">
        <v>154</v>
      </c>
      <c r="CG2374" s="0" t="s">
        <v>154</v>
      </c>
      <c r="CH2374" s="0" t="s">
        <v>155</v>
      </c>
      <c r="CK2374" s="0" t="s">
        <v>154</v>
      </c>
      <c r="CN2374" s="0" t="s">
        <v>154</v>
      </c>
      <c r="CP2374" s="0" t="s">
        <v>154</v>
      </c>
      <c r="CV2374" s="0" t="s">
        <v>154</v>
      </c>
      <c r="CY2374" s="0" t="s">
        <v>154</v>
      </c>
      <c r="DC2374" s="0" t="s">
        <v>154</v>
      </c>
      <c r="DF2374" s="0" t="s">
        <v>154</v>
      </c>
      <c r="DG2374" s="0" t="s">
        <v>155</v>
      </c>
      <c r="DI2374" s="0" t="s">
        <v>154</v>
      </c>
      <c r="DL2374" s="0" t="s">
        <v>154</v>
      </c>
      <c r="DN2374" s="0" t="s">
        <v>154</v>
      </c>
      <c r="DO2374" s="0" t="s">
        <v>155</v>
      </c>
      <c r="DR2374" s="0" t="s">
        <v>154</v>
      </c>
      <c r="DS2374" s="0" t="s">
        <v>155</v>
      </c>
      <c r="DU2374" s="0" t="s">
        <v>154</v>
      </c>
      <c r="DW2374" s="0" t="s">
        <v>155</v>
      </c>
      <c r="DX2374" s="0" t="s">
        <v>154</v>
      </c>
      <c r="EA2374" s="0" t="s">
        <v>154</v>
      </c>
      <c r="EF2374" s="0" t="s">
        <v>154</v>
      </c>
      <c r="EH2374" s="0" t="s">
        <v>155</v>
      </c>
    </row>
    <row r="2375" customFormat="false" ht="13.8" hidden="true" customHeight="false" outlineLevel="0" collapsed="false">
      <c r="A2375" s="0" t="s">
        <v>10311</v>
      </c>
      <c r="B2375" s="0" t="n">
        <v>78</v>
      </c>
      <c r="C2375" s="0" t="n">
        <v>485617</v>
      </c>
      <c r="D2375" s="0" t="s">
        <v>10312</v>
      </c>
      <c r="E2375" s="0" t="s">
        <v>2759</v>
      </c>
      <c r="F2375" s="0" t="str">
        <f aca="false">CONCATENATE(D2375," ",LEFT(H2375,4),"T=",AU2375,"D=",AV2375,"R=",AW2375,"M=",AX2375,"L=",AY2375,"B=",AZ2375)</f>
        <v>REGNERY T=4D=0R=0M=0L=1B=0</v>
      </c>
      <c r="G2375" s="0" t="s">
        <v>10313</v>
      </c>
      <c r="I2375" s="0" t="s">
        <v>10314</v>
      </c>
      <c r="J2375" s="0" t="s">
        <v>10315</v>
      </c>
      <c r="K2375" s="0" t="s">
        <v>175</v>
      </c>
      <c r="L2375" s="0"/>
      <c r="M2375" s="0" t="s">
        <v>10316</v>
      </c>
      <c r="N2375" s="0" t="str">
        <f aca="false">RIGHT(M2375,LEN(M2375)-FIND(" ",M2375))</f>
        <v>ROOSEVELT ST NW</v>
      </c>
      <c r="P2375" s="0" t="s">
        <v>146</v>
      </c>
      <c r="Q2375" s="0" t="s">
        <v>147</v>
      </c>
      <c r="R2375" s="0" t="n">
        <v>44483</v>
      </c>
      <c r="AD2375" s="0" t="s">
        <v>148</v>
      </c>
      <c r="AE2375" s="0" t="s">
        <v>149</v>
      </c>
      <c r="AF2375" s="0" t="s">
        <v>150</v>
      </c>
      <c r="AH2375" s="0" t="n">
        <v>14</v>
      </c>
      <c r="AI2375" s="0" t="n">
        <v>11</v>
      </c>
      <c r="AN2375" s="0" t="s">
        <v>146</v>
      </c>
      <c r="AO2375" s="0" t="s">
        <v>151</v>
      </c>
      <c r="AP2375" s="0" t="s">
        <v>152</v>
      </c>
      <c r="AQ2375" s="0" t="n">
        <v>9</v>
      </c>
      <c r="AR2375" s="0" t="n">
        <v>64</v>
      </c>
      <c r="AS2375" s="0" t="n">
        <v>32</v>
      </c>
      <c r="AU2375" s="0" t="n">
        <f aca="false">COUNTA($BA$1160:$EH$1160)</f>
        <v>4</v>
      </c>
      <c r="AV2375" s="0" t="n">
        <f aca="false">COUNTIF($BA$1160:$EH$1160,"D")</f>
        <v>0</v>
      </c>
      <c r="AW2375" s="0" t="n">
        <f aca="false">COUNTIF($BA$1160:$EH$1160,"R")</f>
        <v>0</v>
      </c>
      <c r="AX2375" s="0" t="n">
        <f aca="false"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>0</v>
      </c>
      <c r="AY2375" s="0" t="n">
        <f aca="false">COUNTIF(DU2375:EH2375, "&lt;&gt;")</f>
        <v>1</v>
      </c>
      <c r="AZ2375" s="0" t="n">
        <f aca="false">IF(EH2375&lt;&gt;"",1,0)</f>
        <v>0</v>
      </c>
      <c r="BB2375" s="0" t="s">
        <v>153</v>
      </c>
      <c r="EF2375" s="0" t="s">
        <v>154</v>
      </c>
    </row>
    <row r="2376" customFormat="false" ht="13.8" hidden="false" customHeight="false" outlineLevel="0" collapsed="false">
      <c r="A2376" s="0" t="s">
        <v>10317</v>
      </c>
      <c r="B2376" s="0" t="n">
        <v>78</v>
      </c>
      <c r="C2376" s="0" t="n">
        <v>452269</v>
      </c>
      <c r="D2376" s="0" t="s">
        <v>5831</v>
      </c>
      <c r="E2376" s="0" t="s">
        <v>1272</v>
      </c>
      <c r="F2376" s="0" t="str">
        <f aca="false">CONCATENATE(D2376," ",LEFT(H2376,4),"T=",AU2376,"D=",AV2376,"R=",AW2376,"M=",AX2376,"L=",AY2376,"B=",AZ2376)</f>
        <v>PRYCHODNIK T=2D=0R=0M=0L=4B=0</v>
      </c>
      <c r="G2376" s="0" t="s">
        <v>155</v>
      </c>
      <c r="I2376" s="0" t="s">
        <v>10318</v>
      </c>
      <c r="J2376" s="0" t="s">
        <v>273</v>
      </c>
      <c r="K2376" s="0" t="s">
        <v>175</v>
      </c>
      <c r="L2376" s="1" t="s">
        <v>176</v>
      </c>
      <c r="M2376" s="0" t="s">
        <v>10316</v>
      </c>
      <c r="N2376" s="0" t="str">
        <f aca="false">RIGHT(M2376,LEN(M2376)-FIND(" ",M2376))</f>
        <v>ROOSEVELT ST NW</v>
      </c>
      <c r="P2376" s="0" t="s">
        <v>146</v>
      </c>
      <c r="Q2376" s="0" t="s">
        <v>147</v>
      </c>
      <c r="R2376" s="0" t="n">
        <v>44483</v>
      </c>
      <c r="AD2376" s="0" t="s">
        <v>148</v>
      </c>
      <c r="AE2376" s="0" t="s">
        <v>149</v>
      </c>
      <c r="AF2376" s="0" t="s">
        <v>150</v>
      </c>
      <c r="AH2376" s="0" t="n">
        <v>14</v>
      </c>
      <c r="AI2376" s="0" t="n">
        <v>11</v>
      </c>
      <c r="AN2376" s="0" t="s">
        <v>146</v>
      </c>
      <c r="AO2376" s="0" t="s">
        <v>151</v>
      </c>
      <c r="AP2376" s="0" t="s">
        <v>152</v>
      </c>
      <c r="AQ2376" s="0" t="n">
        <v>9</v>
      </c>
      <c r="AR2376" s="0" t="n">
        <v>64</v>
      </c>
      <c r="AS2376" s="0" t="n">
        <v>32</v>
      </c>
      <c r="AU2376" s="0" t="n">
        <f aca="false">COUNTA($BA$1832:$EH$1832)</f>
        <v>2</v>
      </c>
      <c r="AV2376" s="0" t="n">
        <f aca="false">COUNTIF($BA$1832:$EH$1832,"D")</f>
        <v>0</v>
      </c>
      <c r="AW2376" s="0" t="n">
        <f aca="false">COUNTIF($BA$1832:$EH$1832,"R")</f>
        <v>0</v>
      </c>
      <c r="AX2376" s="0" t="n">
        <f aca="false"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>0</v>
      </c>
      <c r="AY2376" s="0" t="n">
        <f aca="false">COUNTIF(DU2376:EH2376, "&lt;&gt;")</f>
        <v>4</v>
      </c>
      <c r="AZ2376" s="0" t="n">
        <f aca="false">IF(EH2376&lt;&gt;"",1,0)</f>
        <v>0</v>
      </c>
      <c r="BB2376" s="0" t="s">
        <v>153</v>
      </c>
      <c r="BL2376" s="0" t="s">
        <v>154</v>
      </c>
      <c r="CA2376" s="0" t="s">
        <v>154</v>
      </c>
      <c r="DN2376" s="0" t="s">
        <v>154</v>
      </c>
      <c r="DU2376" s="0" t="s">
        <v>154</v>
      </c>
      <c r="EA2376" s="0" t="s">
        <v>154</v>
      </c>
      <c r="ED2376" s="0" t="s">
        <v>176</v>
      </c>
      <c r="EF2376" s="0" t="s">
        <v>154</v>
      </c>
    </row>
    <row r="2377" customFormat="false" ht="13.8" hidden="false" customHeight="false" outlineLevel="0" collapsed="false">
      <c r="A2377" s="0" t="s">
        <v>10319</v>
      </c>
      <c r="B2377" s="0" t="n">
        <v>78</v>
      </c>
      <c r="C2377" s="0" t="n">
        <v>421605</v>
      </c>
      <c r="D2377" s="0" t="s">
        <v>5831</v>
      </c>
      <c r="E2377" s="0" t="s">
        <v>2060</v>
      </c>
      <c r="F2377" s="0" t="str">
        <f aca="false">CONCATENATE(D2377," ",LEFT(H2377,4),"T=",AU2377,"D=",AV2377,"R=",AW2377,"M=",AX2377,"L=",AY2377,"B=",AZ2377)</f>
        <v>PRYCHODNIK T=13D=0R=1M=0L=2B=0</v>
      </c>
      <c r="G2377" s="0" t="s">
        <v>155</v>
      </c>
      <c r="I2377" s="0" t="s">
        <v>10320</v>
      </c>
      <c r="J2377" s="0" t="s">
        <v>357</v>
      </c>
      <c r="K2377" s="0" t="s">
        <v>175</v>
      </c>
      <c r="M2377" s="0" t="s">
        <v>10316</v>
      </c>
      <c r="N2377" s="0" t="str">
        <f aca="false">RIGHT(M2377,LEN(M2377)-FIND(" ",M2377))</f>
        <v>ROOSEVELT ST NW</v>
      </c>
      <c r="P2377" s="0" t="s">
        <v>146</v>
      </c>
      <c r="Q2377" s="0" t="s">
        <v>147</v>
      </c>
      <c r="R2377" s="0" t="n">
        <v>44483</v>
      </c>
      <c r="AD2377" s="0" t="s">
        <v>148</v>
      </c>
      <c r="AE2377" s="0" t="s">
        <v>149</v>
      </c>
      <c r="AF2377" s="0" t="s">
        <v>150</v>
      </c>
      <c r="AH2377" s="0" t="n">
        <v>14</v>
      </c>
      <c r="AI2377" s="0" t="n">
        <v>11</v>
      </c>
      <c r="AN2377" s="0" t="s">
        <v>146</v>
      </c>
      <c r="AO2377" s="0" t="s">
        <v>151</v>
      </c>
      <c r="AP2377" s="0" t="s">
        <v>152</v>
      </c>
      <c r="AQ2377" s="0" t="n">
        <v>9</v>
      </c>
      <c r="AR2377" s="0" t="n">
        <v>64</v>
      </c>
      <c r="AS2377" s="0" t="n">
        <v>32</v>
      </c>
      <c r="AU2377" s="0" t="n">
        <f aca="false">COUNTA($BA$1920:$EH$1920)</f>
        <v>13</v>
      </c>
      <c r="AV2377" s="0" t="n">
        <f aca="false">COUNTIF($BA$1920:$EH$1920,"D")</f>
        <v>0</v>
      </c>
      <c r="AW2377" s="0" t="n">
        <f aca="false">COUNTIF($BA$1920:$EH$1920,"R")</f>
        <v>1</v>
      </c>
      <c r="AX2377" s="0" t="n">
        <f aca="false"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>0</v>
      </c>
      <c r="AY2377" s="0" t="n">
        <f aca="false">COUNTIF(DU2377:EH2377, "&lt;&gt;")</f>
        <v>2</v>
      </c>
      <c r="AZ2377" s="0" t="n">
        <f aca="false">IF(EH2377&lt;&gt;"",1,0)</f>
        <v>0</v>
      </c>
      <c r="BB2377" s="0" t="s">
        <v>153</v>
      </c>
      <c r="DC2377" s="0" t="s">
        <v>154</v>
      </c>
      <c r="DN2377" s="0" t="s">
        <v>154</v>
      </c>
      <c r="DU2377" s="0" t="s">
        <v>154</v>
      </c>
      <c r="EF2377" s="0" t="s">
        <v>154</v>
      </c>
    </row>
    <row r="2378" customFormat="false" ht="13.8" hidden="true" customHeight="false" outlineLevel="0" collapsed="false">
      <c r="A2378" s="0" t="s">
        <v>10321</v>
      </c>
      <c r="B2378" s="0" t="n">
        <v>78</v>
      </c>
      <c r="C2378" s="0" t="n">
        <v>453522</v>
      </c>
      <c r="D2378" s="0" t="s">
        <v>10322</v>
      </c>
      <c r="E2378" s="0" t="s">
        <v>1122</v>
      </c>
      <c r="F2378" s="0" t="str">
        <f aca="false">CONCATENATE(D2378," ",LEFT(H2378,4),"T=",AU2378,"D=",AV2378,"R=",AW2378,"M=",AX2378,"L=",AY2378,"B=",AZ2378)</f>
        <v>FELLENGER T=2D=0R=0M=0L=0B=0</v>
      </c>
      <c r="G2378" s="0" t="s">
        <v>1916</v>
      </c>
      <c r="I2378" s="0" t="s">
        <v>10323</v>
      </c>
      <c r="J2378" s="0" t="s">
        <v>5394</v>
      </c>
      <c r="K2378" s="0" t="s">
        <v>144</v>
      </c>
      <c r="L2378" s="0"/>
      <c r="M2378" s="0" t="s">
        <v>10316</v>
      </c>
      <c r="N2378" s="0" t="str">
        <f aca="false">RIGHT(M2378,LEN(M2378)-FIND(" ",M2378))</f>
        <v>ROOSEVELT ST NW</v>
      </c>
      <c r="P2378" s="0" t="s">
        <v>146</v>
      </c>
      <c r="Q2378" s="0" t="s">
        <v>147</v>
      </c>
      <c r="R2378" s="0" t="n">
        <v>44483</v>
      </c>
      <c r="AD2378" s="0" t="s">
        <v>148</v>
      </c>
      <c r="AE2378" s="0" t="s">
        <v>149</v>
      </c>
      <c r="AF2378" s="0" t="s">
        <v>150</v>
      </c>
      <c r="AH2378" s="0" t="n">
        <v>14</v>
      </c>
      <c r="AI2378" s="0" t="n">
        <v>11</v>
      </c>
      <c r="AN2378" s="0" t="s">
        <v>146</v>
      </c>
      <c r="AO2378" s="0" t="s">
        <v>151</v>
      </c>
      <c r="AP2378" s="0" t="s">
        <v>152</v>
      </c>
      <c r="AQ2378" s="0" t="n">
        <v>9</v>
      </c>
      <c r="AR2378" s="0" t="n">
        <v>64</v>
      </c>
      <c r="AS2378" s="0" t="n">
        <v>32</v>
      </c>
      <c r="AU2378" s="0" t="n">
        <f aca="false">COUNTA($BA$1976:$EH$1976)</f>
        <v>2</v>
      </c>
      <c r="AV2378" s="0" t="n">
        <f aca="false">COUNTIF($BA$1976:$EH$1976,"D")</f>
        <v>0</v>
      </c>
      <c r="AW2378" s="0" t="n">
        <f aca="false">COUNTIF($BA$1976:$EH$1976,"R")</f>
        <v>0</v>
      </c>
      <c r="AX2378" s="0" t="n">
        <f aca="false"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>0</v>
      </c>
      <c r="AY2378" s="0" t="n">
        <f aca="false">COUNTIF(DU2378:EH2378, "&lt;&gt;")</f>
        <v>0</v>
      </c>
      <c r="AZ2378" s="0" t="n">
        <f aca="false">IF(EH2378&lt;&gt;"",1,0)</f>
        <v>0</v>
      </c>
      <c r="BB2378" s="0" t="s">
        <v>153</v>
      </c>
    </row>
    <row r="2379" customFormat="false" ht="13.8" hidden="true" customHeight="false" outlineLevel="0" collapsed="false">
      <c r="A2379" s="0" t="s">
        <v>10324</v>
      </c>
      <c r="B2379" s="0" t="n">
        <v>78</v>
      </c>
      <c r="C2379" s="0" t="n">
        <v>421607</v>
      </c>
      <c r="D2379" s="0" t="s">
        <v>10322</v>
      </c>
      <c r="E2379" s="0" t="s">
        <v>1439</v>
      </c>
      <c r="F2379" s="0" t="str">
        <f aca="false">CONCATENATE(D2379," ",LEFT(H2379,4),"T=",AU2379,"D=",AV2379,"R=",AW2379,"M=",AX2379,"L=",AY2379,"B=",AZ2379)</f>
        <v>FELLENGER T=7D=1R=0M=0L=0B=0</v>
      </c>
      <c r="G2379" s="0" t="s">
        <v>1482</v>
      </c>
      <c r="I2379" s="0" t="s">
        <v>10325</v>
      </c>
      <c r="J2379" s="0" t="s">
        <v>357</v>
      </c>
      <c r="K2379" s="0" t="s">
        <v>175</v>
      </c>
      <c r="L2379" s="0"/>
      <c r="M2379" s="0" t="s">
        <v>10316</v>
      </c>
      <c r="N2379" s="0" t="str">
        <f aca="false">RIGHT(M2379,LEN(M2379)-FIND(" ",M2379))</f>
        <v>ROOSEVELT ST NW</v>
      </c>
      <c r="P2379" s="0" t="s">
        <v>146</v>
      </c>
      <c r="Q2379" s="0" t="s">
        <v>147</v>
      </c>
      <c r="R2379" s="0" t="n">
        <v>44483</v>
      </c>
      <c r="AD2379" s="0" t="s">
        <v>148</v>
      </c>
      <c r="AE2379" s="0" t="s">
        <v>149</v>
      </c>
      <c r="AF2379" s="0" t="s">
        <v>150</v>
      </c>
      <c r="AH2379" s="0" t="n">
        <v>14</v>
      </c>
      <c r="AI2379" s="0" t="n">
        <v>11</v>
      </c>
      <c r="AN2379" s="0" t="s">
        <v>146</v>
      </c>
      <c r="AO2379" s="0" t="s">
        <v>151</v>
      </c>
      <c r="AP2379" s="0" t="s">
        <v>152</v>
      </c>
      <c r="AQ2379" s="0" t="n">
        <v>9</v>
      </c>
      <c r="AR2379" s="0" t="n">
        <v>64</v>
      </c>
      <c r="AS2379" s="0" t="n">
        <v>32</v>
      </c>
      <c r="AU2379" s="0" t="n">
        <f aca="false">COUNTA($BA$2058:$EH$2058)</f>
        <v>7</v>
      </c>
      <c r="AV2379" s="0" t="n">
        <f aca="false">COUNTIF($BA$2058:$EH$2058,"D")</f>
        <v>1</v>
      </c>
      <c r="AW2379" s="0" t="n">
        <f aca="false">COUNTIF($BA$2058:$EH$2058,"R")</f>
        <v>0</v>
      </c>
      <c r="AX2379" s="0" t="n">
        <f aca="false"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>0</v>
      </c>
      <c r="AY2379" s="0" t="n">
        <f aca="false">COUNTIF(DU2379:EH2379, "&lt;&gt;")</f>
        <v>0</v>
      </c>
      <c r="AZ2379" s="0" t="n">
        <f aca="false">IF(EH2379&lt;&gt;"",1,0)</f>
        <v>0</v>
      </c>
      <c r="BB2379" s="0" t="s">
        <v>153</v>
      </c>
      <c r="DC2379" s="0" t="s">
        <v>154</v>
      </c>
    </row>
    <row r="2380" customFormat="false" ht="13.8" hidden="true" customHeight="false" outlineLevel="0" collapsed="false">
      <c r="A2380" s="0" t="s">
        <v>10326</v>
      </c>
      <c r="B2380" s="0" t="n">
        <v>78</v>
      </c>
      <c r="C2380" s="0" t="n">
        <v>306547</v>
      </c>
      <c r="D2380" s="0" t="s">
        <v>10327</v>
      </c>
      <c r="E2380" s="0" t="s">
        <v>744</v>
      </c>
      <c r="F2380" s="0" t="str">
        <f aca="false">CONCATENATE(D2380," ",LEFT(H2380,4),"T=",AU2380,"D=",AV2380,"R=",AW2380,"M=",AX2380,"L=",AY2380,"B=",AZ2380)</f>
        <v>MOFFETT T=3D=0R=0M=0L=1B=0</v>
      </c>
      <c r="G2380" s="0" t="s">
        <v>159</v>
      </c>
      <c r="I2380" s="0" t="s">
        <v>6685</v>
      </c>
      <c r="J2380" s="0" t="s">
        <v>6201</v>
      </c>
      <c r="K2380" s="0" t="s">
        <v>175</v>
      </c>
      <c r="L2380" s="0"/>
      <c r="M2380" s="0" t="s">
        <v>10328</v>
      </c>
      <c r="N2380" s="0" t="str">
        <f aca="false">RIGHT(M2380,LEN(M2380)-FIND(" ",M2380))</f>
        <v>ROOSEVELT ST NW</v>
      </c>
      <c r="P2380" s="0" t="s">
        <v>146</v>
      </c>
      <c r="Q2380" s="0" t="s">
        <v>147</v>
      </c>
      <c r="R2380" s="0" t="n">
        <v>44483</v>
      </c>
      <c r="AD2380" s="0" t="s">
        <v>148</v>
      </c>
      <c r="AE2380" s="0" t="s">
        <v>149</v>
      </c>
      <c r="AF2380" s="0" t="s">
        <v>150</v>
      </c>
      <c r="AH2380" s="0" t="n">
        <v>14</v>
      </c>
      <c r="AI2380" s="0" t="n">
        <v>11</v>
      </c>
      <c r="AN2380" s="0" t="s">
        <v>146</v>
      </c>
      <c r="AO2380" s="0" t="s">
        <v>151</v>
      </c>
      <c r="AP2380" s="0" t="s">
        <v>152</v>
      </c>
      <c r="AQ2380" s="0" t="n">
        <v>9</v>
      </c>
      <c r="AR2380" s="0" t="n">
        <v>64</v>
      </c>
      <c r="AS2380" s="0" t="n">
        <v>32</v>
      </c>
      <c r="AU2380" s="0" t="n">
        <f aca="false">COUNTA($BA$1102:$EH$1102)</f>
        <v>3</v>
      </c>
      <c r="AV2380" s="0" t="n">
        <f aca="false">COUNTIF($BA$1102:$EH$1102,"D")</f>
        <v>0</v>
      </c>
      <c r="AW2380" s="0" t="n">
        <f aca="false">COUNTIF($BA$1102:$EH$1102,"R")</f>
        <v>0</v>
      </c>
      <c r="AX2380" s="0" t="n">
        <f aca="false"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>0</v>
      </c>
      <c r="AY2380" s="0" t="n">
        <f aca="false">COUNTIF(DU2380:EH2380, "&lt;&gt;")</f>
        <v>1</v>
      </c>
      <c r="AZ2380" s="0" t="n">
        <f aca="false">IF(EH2380&lt;&gt;"",1,0)</f>
        <v>0</v>
      </c>
      <c r="BB2380" s="0" t="s">
        <v>153</v>
      </c>
      <c r="BL2380" s="0" t="s">
        <v>154</v>
      </c>
      <c r="CP2380" s="0" t="s">
        <v>154</v>
      </c>
      <c r="CZ2380" s="0" t="s">
        <v>176</v>
      </c>
      <c r="EF2380" s="0" t="s">
        <v>154</v>
      </c>
    </row>
    <row r="2381" customFormat="false" ht="13.8" hidden="true" customHeight="false" outlineLevel="0" collapsed="false">
      <c r="A2381" s="0" t="s">
        <v>10329</v>
      </c>
      <c r="B2381" s="0" t="n">
        <v>78</v>
      </c>
      <c r="C2381" s="0" t="n">
        <v>449104</v>
      </c>
      <c r="D2381" s="0" t="s">
        <v>3276</v>
      </c>
      <c r="E2381" s="0" t="s">
        <v>335</v>
      </c>
      <c r="F2381" s="0" t="str">
        <f aca="false">CONCATENATE(D2381," ",LEFT(H2381,4),"T=",AU2381,"D=",AV2381,"R=",AW2381,"M=",AX2381,"L=",AY2381,"B=",AZ2381)</f>
        <v>MOORE T=13D=1R=0M=0L=1B=0</v>
      </c>
      <c r="G2381" s="0" t="s">
        <v>939</v>
      </c>
      <c r="I2381" s="0" t="s">
        <v>10330</v>
      </c>
      <c r="J2381" s="0" t="s">
        <v>1407</v>
      </c>
      <c r="K2381" s="0" t="s">
        <v>175</v>
      </c>
      <c r="L2381" s="0"/>
      <c r="M2381" s="0" t="s">
        <v>10328</v>
      </c>
      <c r="N2381" s="0" t="str">
        <f aca="false">RIGHT(M2381,LEN(M2381)-FIND(" ",M2381))</f>
        <v>ROOSEVELT ST NW</v>
      </c>
      <c r="P2381" s="0" t="s">
        <v>146</v>
      </c>
      <c r="Q2381" s="0" t="s">
        <v>147</v>
      </c>
      <c r="R2381" s="0" t="n">
        <v>44483</v>
      </c>
      <c r="AD2381" s="0" t="s">
        <v>148</v>
      </c>
      <c r="AE2381" s="0" t="s">
        <v>149</v>
      </c>
      <c r="AF2381" s="0" t="s">
        <v>150</v>
      </c>
      <c r="AH2381" s="0" t="n">
        <v>14</v>
      </c>
      <c r="AI2381" s="0" t="n">
        <v>11</v>
      </c>
      <c r="AN2381" s="0" t="s">
        <v>146</v>
      </c>
      <c r="AO2381" s="0" t="s">
        <v>151</v>
      </c>
      <c r="AP2381" s="0" t="s">
        <v>152</v>
      </c>
      <c r="AQ2381" s="0" t="n">
        <v>9</v>
      </c>
      <c r="AR2381" s="0" t="n">
        <v>64</v>
      </c>
      <c r="AS2381" s="0" t="n">
        <v>32</v>
      </c>
      <c r="AU2381" s="0" t="n">
        <f aca="false">COUNTA($BA$1163:$EH$1163)</f>
        <v>13</v>
      </c>
      <c r="AV2381" s="0" t="n">
        <f aca="false">COUNTIF($BA$1163:$EH$1163,"D")</f>
        <v>1</v>
      </c>
      <c r="AW2381" s="0" t="n">
        <f aca="false">COUNTIF($BA$1163:$EH$1163,"R")</f>
        <v>0</v>
      </c>
      <c r="AX2381" s="0" t="n">
        <f aca="false"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>0</v>
      </c>
      <c r="AY2381" s="0" t="n">
        <f aca="false">COUNTIF(DU2381:EH2381, "&lt;&gt;")</f>
        <v>1</v>
      </c>
      <c r="AZ2381" s="0" t="n">
        <f aca="false">IF(EH2381&lt;&gt;"",1,0)</f>
        <v>0</v>
      </c>
      <c r="BB2381" s="0" t="s">
        <v>153</v>
      </c>
      <c r="EF2381" s="0" t="s">
        <v>154</v>
      </c>
    </row>
    <row r="2382" customFormat="false" ht="13.8" hidden="true" customHeight="false" outlineLevel="0" collapsed="false">
      <c r="A2382" s="0" t="s">
        <v>10331</v>
      </c>
      <c r="B2382" s="0" t="n">
        <v>78</v>
      </c>
      <c r="C2382" s="0" t="n">
        <v>127323</v>
      </c>
      <c r="D2382" s="0" t="s">
        <v>3276</v>
      </c>
      <c r="E2382" s="0" t="s">
        <v>867</v>
      </c>
      <c r="F2382" s="0" t="str">
        <f aca="false">CONCATENATE(D2382," ",LEFT(H2382,4),"T=",AU2382,"D=",AV2382,"R=",AW2382,"M=",AX2382,"L=",AY2382,"B=",AZ2382)</f>
        <v>MOORE T=1D=0R=0M=1L=1B=0</v>
      </c>
      <c r="I2382" s="0" t="s">
        <v>10332</v>
      </c>
      <c r="J2382" s="0" t="s">
        <v>10333</v>
      </c>
      <c r="K2382" s="0" t="s">
        <v>175</v>
      </c>
      <c r="L2382" s="0"/>
      <c r="M2382" s="0" t="s">
        <v>10328</v>
      </c>
      <c r="N2382" s="0" t="str">
        <f aca="false">RIGHT(M2382,LEN(M2382)-FIND(" ",M2382))</f>
        <v>ROOSEVELT ST NW</v>
      </c>
      <c r="P2382" s="0" t="s">
        <v>146</v>
      </c>
      <c r="Q2382" s="0" t="s">
        <v>147</v>
      </c>
      <c r="R2382" s="0" t="n">
        <v>44483</v>
      </c>
      <c r="AD2382" s="0" t="s">
        <v>148</v>
      </c>
      <c r="AE2382" s="0" t="s">
        <v>149</v>
      </c>
      <c r="AF2382" s="0" t="s">
        <v>150</v>
      </c>
      <c r="AH2382" s="0" t="n">
        <v>14</v>
      </c>
      <c r="AI2382" s="0" t="n">
        <v>11</v>
      </c>
      <c r="AN2382" s="0" t="s">
        <v>146</v>
      </c>
      <c r="AO2382" s="0" t="s">
        <v>151</v>
      </c>
      <c r="AP2382" s="0" t="s">
        <v>152</v>
      </c>
      <c r="AQ2382" s="0" t="n">
        <v>9</v>
      </c>
      <c r="AR2382" s="0" t="n">
        <v>64</v>
      </c>
      <c r="AS2382" s="0" t="n">
        <v>32</v>
      </c>
      <c r="AU2382" s="0" t="n">
        <f aca="false">COUNTA($BA$1366:$EH$1366)</f>
        <v>1</v>
      </c>
      <c r="AV2382" s="0" t="n">
        <f aca="false">COUNTIF($BA$1366:$EH$1366,"D")</f>
        <v>0</v>
      </c>
      <c r="AW2382" s="0" t="n">
        <f aca="false">COUNTIF($BA$1366:$EH$1366,"R")</f>
        <v>0</v>
      </c>
      <c r="AX2382" s="0" t="n">
        <f aca="false"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>1</v>
      </c>
      <c r="AY2382" s="0" t="n">
        <f aca="false">COUNTIF(DU2382:EH2382, "&lt;&gt;")</f>
        <v>1</v>
      </c>
      <c r="AZ2382" s="0" t="n">
        <f aca="false">IF(EH2382&lt;&gt;"",1,0)</f>
        <v>0</v>
      </c>
      <c r="BB2382" s="0" t="s">
        <v>153</v>
      </c>
      <c r="BC2382" s="0" t="s">
        <v>154</v>
      </c>
      <c r="BD2382" s="0" t="s">
        <v>154</v>
      </c>
      <c r="BJ2382" s="0" t="s">
        <v>154</v>
      </c>
      <c r="BL2382" s="0" t="s">
        <v>154</v>
      </c>
      <c r="BS2382" s="0" t="s">
        <v>154</v>
      </c>
      <c r="BY2382" s="0" t="s">
        <v>155</v>
      </c>
      <c r="CA2382" s="0" t="s">
        <v>154</v>
      </c>
      <c r="CK2382" s="0" t="s">
        <v>154</v>
      </c>
      <c r="CN2382" s="0" t="s">
        <v>154</v>
      </c>
      <c r="CO2382" s="0" t="s">
        <v>176</v>
      </c>
      <c r="CP2382" s="0" t="s">
        <v>154</v>
      </c>
      <c r="CV2382" s="0" t="s">
        <v>154</v>
      </c>
      <c r="CY2382" s="0" t="s">
        <v>154</v>
      </c>
      <c r="CZ2382" s="0" t="s">
        <v>176</v>
      </c>
      <c r="DC2382" s="0" t="s">
        <v>154</v>
      </c>
      <c r="DD2382" s="0" t="s">
        <v>155</v>
      </c>
      <c r="DN2382" s="0" t="s">
        <v>154</v>
      </c>
      <c r="EF2382" s="0" t="s">
        <v>154</v>
      </c>
    </row>
    <row r="2383" customFormat="false" ht="13.8" hidden="true" customHeight="false" outlineLevel="0" collapsed="false">
      <c r="A2383" s="0" t="s">
        <v>10334</v>
      </c>
      <c r="B2383" s="0" t="n">
        <v>78</v>
      </c>
      <c r="C2383" s="0" t="n">
        <v>446724</v>
      </c>
      <c r="D2383" s="0" t="s">
        <v>3276</v>
      </c>
      <c r="E2383" s="0" t="s">
        <v>10022</v>
      </c>
      <c r="F2383" s="0" t="str">
        <f aca="false">CONCATENATE(D2383," ",LEFT(H2383,4),"T=",AU2383,"D=",AV2383,"R=",AW2383,"M=",AX2383,"L=",AY2383,"B=",AZ2383)</f>
        <v>MOORE T=3D=1R=0M=0L=0B=0</v>
      </c>
      <c r="G2383" s="0" t="s">
        <v>1653</v>
      </c>
      <c r="I2383" s="0" t="s">
        <v>10335</v>
      </c>
      <c r="J2383" s="0" t="s">
        <v>3952</v>
      </c>
      <c r="K2383" s="0" t="s">
        <v>175</v>
      </c>
      <c r="L2383" s="0"/>
      <c r="M2383" s="0" t="s">
        <v>10328</v>
      </c>
      <c r="N2383" s="0" t="str">
        <f aca="false">RIGHT(M2383,LEN(M2383)-FIND(" ",M2383))</f>
        <v>ROOSEVELT ST NW</v>
      </c>
      <c r="P2383" s="0" t="s">
        <v>146</v>
      </c>
      <c r="Q2383" s="0" t="s">
        <v>147</v>
      </c>
      <c r="R2383" s="0" t="n">
        <v>44483</v>
      </c>
      <c r="AD2383" s="0" t="s">
        <v>148</v>
      </c>
      <c r="AE2383" s="0" t="s">
        <v>149</v>
      </c>
      <c r="AF2383" s="0" t="s">
        <v>150</v>
      </c>
      <c r="AH2383" s="0" t="n">
        <v>14</v>
      </c>
      <c r="AI2383" s="0" t="n">
        <v>11</v>
      </c>
      <c r="AN2383" s="0" t="s">
        <v>146</v>
      </c>
      <c r="AO2383" s="0" t="s">
        <v>151</v>
      </c>
      <c r="AP2383" s="0" t="s">
        <v>152</v>
      </c>
      <c r="AQ2383" s="0" t="n">
        <v>9</v>
      </c>
      <c r="AR2383" s="0" t="n">
        <v>64</v>
      </c>
      <c r="AS2383" s="0" t="n">
        <v>32</v>
      </c>
      <c r="AU2383" s="0" t="n">
        <f aca="false">COUNTA($BA$1733:$EH$1733)</f>
        <v>3</v>
      </c>
      <c r="AV2383" s="0" t="n">
        <f aca="false">COUNTIF($BA$1733:$EH$1733,"D")</f>
        <v>1</v>
      </c>
      <c r="AW2383" s="0" t="n">
        <f aca="false">COUNTIF($BA$1733:$EH$1733,"R")</f>
        <v>0</v>
      </c>
      <c r="AX2383" s="0" t="n">
        <f aca="false"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>0</v>
      </c>
      <c r="AY2383" s="0" t="n">
        <f aca="false">COUNTIF(DU2383:EH2383, "&lt;&gt;")</f>
        <v>0</v>
      </c>
      <c r="AZ2383" s="0" t="n">
        <f aca="false">IF(EH2383&lt;&gt;"",1,0)</f>
        <v>0</v>
      </c>
      <c r="BB2383" s="0" t="s">
        <v>153</v>
      </c>
      <c r="DN2383" s="0" t="s">
        <v>154</v>
      </c>
    </row>
    <row r="2384" customFormat="false" ht="13.8" hidden="false" customHeight="false" outlineLevel="0" collapsed="false">
      <c r="A2384" s="0" t="s">
        <v>10336</v>
      </c>
      <c r="B2384" s="0" t="n">
        <v>78</v>
      </c>
      <c r="C2384" s="0" t="n">
        <v>236289</v>
      </c>
      <c r="D2384" s="0" t="s">
        <v>10337</v>
      </c>
      <c r="E2384" s="0" t="s">
        <v>10338</v>
      </c>
      <c r="F2384" s="0" t="str">
        <f aca="false">CONCATENATE(D2384," ",LEFT(H2384,4),"T=",AU2384,"D=",AV2384,"R=",AW2384,"M=",AX2384,"L=",AY2384,"B=",AZ2384)</f>
        <v>POLOMSKY T=2D=0R=0M=8L=7B=1</v>
      </c>
      <c r="G2384" s="0" t="s">
        <v>172</v>
      </c>
      <c r="I2384" s="0" t="s">
        <v>7051</v>
      </c>
      <c r="J2384" s="0" t="s">
        <v>9040</v>
      </c>
      <c r="K2384" s="0" t="s">
        <v>175</v>
      </c>
      <c r="L2384" s="1" t="s">
        <v>155</v>
      </c>
      <c r="M2384" s="0" t="s">
        <v>10339</v>
      </c>
      <c r="N2384" s="0" t="str">
        <f aca="false">RIGHT(M2384,LEN(M2384)-FIND(" ",M2384))</f>
        <v>ROOSEVELT ST NW</v>
      </c>
      <c r="P2384" s="0" t="s">
        <v>146</v>
      </c>
      <c r="Q2384" s="0" t="s">
        <v>147</v>
      </c>
      <c r="R2384" s="0" t="n">
        <v>44483</v>
      </c>
      <c r="AD2384" s="0" t="s">
        <v>148</v>
      </c>
      <c r="AE2384" s="0" t="s">
        <v>149</v>
      </c>
      <c r="AF2384" s="0" t="s">
        <v>150</v>
      </c>
      <c r="AH2384" s="0" t="n">
        <v>14</v>
      </c>
      <c r="AI2384" s="0" t="n">
        <v>11</v>
      </c>
      <c r="AN2384" s="0" t="s">
        <v>146</v>
      </c>
      <c r="AO2384" s="0" t="s">
        <v>250</v>
      </c>
      <c r="AP2384" s="0" t="s">
        <v>251</v>
      </c>
      <c r="AQ2384" s="0" t="n">
        <v>9</v>
      </c>
      <c r="AR2384" s="0" t="n">
        <v>64</v>
      </c>
      <c r="AS2384" s="0" t="n">
        <v>32</v>
      </c>
      <c r="AU2384" s="0" t="n">
        <f aca="false">COUNTA($BA$2706:$EH$2706)</f>
        <v>2</v>
      </c>
      <c r="AV2384" s="0" t="n">
        <f aca="false">COUNTIF($BA$2706:$EH$2706,"D")</f>
        <v>0</v>
      </c>
      <c r="AW2384" s="0" t="n">
        <f aca="false">COUNTIF($BA$2706:$EH$2706,"R")</f>
        <v>0</v>
      </c>
      <c r="AX2384" s="0" t="n">
        <f aca="false"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>8</v>
      </c>
      <c r="AY2384" s="0" t="n">
        <f aca="false">COUNTIF(DU2384:EH2384, "&lt;&gt;")</f>
        <v>7</v>
      </c>
      <c r="AZ2384" s="0" t="n">
        <f aca="false">IF(EH2384&lt;&gt;"",1,0)</f>
        <v>1</v>
      </c>
      <c r="BB2384" s="0" t="s">
        <v>153</v>
      </c>
      <c r="BC2384" s="0" t="s">
        <v>154</v>
      </c>
      <c r="BD2384" s="0" t="s">
        <v>154</v>
      </c>
      <c r="BE2384" s="0" t="s">
        <v>154</v>
      </c>
      <c r="BF2384" s="0" t="s">
        <v>154</v>
      </c>
      <c r="BG2384" s="0" t="s">
        <v>154</v>
      </c>
      <c r="BH2384" s="0" t="s">
        <v>154</v>
      </c>
      <c r="BK2384" s="0" t="s">
        <v>154</v>
      </c>
      <c r="BL2384" s="0" t="s">
        <v>154</v>
      </c>
      <c r="BR2384" s="0" t="s">
        <v>154</v>
      </c>
      <c r="BS2384" s="0" t="s">
        <v>154</v>
      </c>
      <c r="BV2384" s="0" t="s">
        <v>154</v>
      </c>
      <c r="BY2384" s="0" t="s">
        <v>155</v>
      </c>
      <c r="CA2384" s="0" t="s">
        <v>154</v>
      </c>
      <c r="CC2384" s="0" t="s">
        <v>155</v>
      </c>
      <c r="CG2384" s="0" t="s">
        <v>154</v>
      </c>
      <c r="CH2384" s="0" t="s">
        <v>155</v>
      </c>
      <c r="CK2384" s="0" t="s">
        <v>154</v>
      </c>
      <c r="CN2384" s="0" t="s">
        <v>154</v>
      </c>
      <c r="CO2384" s="0" t="s">
        <v>155</v>
      </c>
      <c r="CP2384" s="0" t="s">
        <v>154</v>
      </c>
      <c r="CQ2384" s="0" t="s">
        <v>155</v>
      </c>
      <c r="CU2384" s="0" t="s">
        <v>155</v>
      </c>
      <c r="CV2384" s="0" t="s">
        <v>154</v>
      </c>
      <c r="CW2384" s="0" t="s">
        <v>155</v>
      </c>
      <c r="CY2384" s="0" t="s">
        <v>154</v>
      </c>
      <c r="CZ2384" s="0" t="s">
        <v>155</v>
      </c>
      <c r="DC2384" s="0" t="s">
        <v>154</v>
      </c>
      <c r="DD2384" s="0" t="s">
        <v>155</v>
      </c>
      <c r="DG2384" s="0" t="s">
        <v>155</v>
      </c>
      <c r="DI2384" s="0" t="s">
        <v>154</v>
      </c>
      <c r="DJ2384" s="0" t="s">
        <v>155</v>
      </c>
      <c r="DL2384" s="0" t="s">
        <v>154</v>
      </c>
      <c r="DM2384" s="0" t="s">
        <v>155</v>
      </c>
      <c r="DN2384" s="0" t="s">
        <v>154</v>
      </c>
      <c r="DO2384" s="0" t="s">
        <v>155</v>
      </c>
      <c r="DR2384" s="0" t="s">
        <v>154</v>
      </c>
      <c r="DS2384" s="0" t="s">
        <v>155</v>
      </c>
      <c r="DU2384" s="0" t="s">
        <v>154</v>
      </c>
      <c r="DW2384" s="0" t="s">
        <v>155</v>
      </c>
      <c r="DX2384" s="0" t="s">
        <v>154</v>
      </c>
      <c r="EA2384" s="0" t="s">
        <v>154</v>
      </c>
      <c r="ED2384" s="0" t="s">
        <v>155</v>
      </c>
      <c r="EF2384" s="0" t="s">
        <v>154</v>
      </c>
      <c r="EH2384" s="0" t="s">
        <v>155</v>
      </c>
    </row>
    <row r="2385" customFormat="false" ht="13.8" hidden="false" customHeight="false" outlineLevel="0" collapsed="false">
      <c r="A2385" s="0" t="s">
        <v>10340</v>
      </c>
      <c r="B2385" s="0" t="n">
        <v>78</v>
      </c>
      <c r="C2385" s="0" t="n">
        <v>24776</v>
      </c>
      <c r="D2385" s="0" t="s">
        <v>10337</v>
      </c>
      <c r="E2385" s="0" t="s">
        <v>2374</v>
      </c>
      <c r="F2385" s="0" t="str">
        <f aca="false">CONCATENATE(D2385," ",LEFT(H2385,4),"T=",AU2385,"D=",AV2385,"R=",AW2385,"M=",AX2385,"L=",AY2385,"B=",AZ2385)</f>
        <v>POLOMSKY T=35D=13R=1M=9L=7B=1</v>
      </c>
      <c r="G2385" s="0" t="s">
        <v>297</v>
      </c>
      <c r="I2385" s="0" t="s">
        <v>10341</v>
      </c>
      <c r="J2385" s="0" t="s">
        <v>5943</v>
      </c>
      <c r="K2385" s="0" t="s">
        <v>175</v>
      </c>
      <c r="L2385" s="1" t="s">
        <v>155</v>
      </c>
      <c r="M2385" s="0" t="s">
        <v>10339</v>
      </c>
      <c r="N2385" s="0" t="str">
        <f aca="false">RIGHT(M2385,LEN(M2385)-FIND(" ",M2385))</f>
        <v>ROOSEVELT ST NW</v>
      </c>
      <c r="P2385" s="0" t="s">
        <v>146</v>
      </c>
      <c r="Q2385" s="0" t="s">
        <v>147</v>
      </c>
      <c r="R2385" s="0" t="n">
        <v>44483</v>
      </c>
      <c r="AD2385" s="0" t="s">
        <v>148</v>
      </c>
      <c r="AE2385" s="0" t="s">
        <v>149</v>
      </c>
      <c r="AF2385" s="0" t="s">
        <v>150</v>
      </c>
      <c r="AH2385" s="0" t="n">
        <v>14</v>
      </c>
      <c r="AI2385" s="0" t="n">
        <v>11</v>
      </c>
      <c r="AN2385" s="0" t="s">
        <v>146</v>
      </c>
      <c r="AO2385" s="0" t="s">
        <v>250</v>
      </c>
      <c r="AP2385" s="0" t="s">
        <v>251</v>
      </c>
      <c r="AQ2385" s="0" t="n">
        <v>9</v>
      </c>
      <c r="AR2385" s="0" t="n">
        <v>64</v>
      </c>
      <c r="AS2385" s="0" t="n">
        <v>32</v>
      </c>
      <c r="AU2385" s="0" t="n">
        <f aca="false">COUNTA($BA$2707:$EH$2707)</f>
        <v>35</v>
      </c>
      <c r="AV2385" s="0" t="n">
        <f aca="false">COUNTIF($BA$2707:$EH$2707,"D")</f>
        <v>13</v>
      </c>
      <c r="AW2385" s="0" t="n">
        <f aca="false">COUNTIF($BA$2707:$EH$2707,"R")</f>
        <v>1</v>
      </c>
      <c r="AX2385" s="0" t="n">
        <f aca="false"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>9</v>
      </c>
      <c r="AY2385" s="0" t="n">
        <f aca="false">COUNTIF(DU2385:EH2385, "&lt;&gt;")</f>
        <v>7</v>
      </c>
      <c r="AZ2385" s="0" t="n">
        <f aca="false">IF(EH2385&lt;&gt;"",1,0)</f>
        <v>1</v>
      </c>
      <c r="BB2385" s="0" t="s">
        <v>153</v>
      </c>
      <c r="BC2385" s="0" t="s">
        <v>154</v>
      </c>
      <c r="BD2385" s="0" t="s">
        <v>154</v>
      </c>
      <c r="BE2385" s="0" t="s">
        <v>154</v>
      </c>
      <c r="BF2385" s="0" t="s">
        <v>154</v>
      </c>
      <c r="BG2385" s="0" t="s">
        <v>154</v>
      </c>
      <c r="BH2385" s="0" t="s">
        <v>154</v>
      </c>
      <c r="BJ2385" s="0" t="s">
        <v>154</v>
      </c>
      <c r="BK2385" s="0" t="s">
        <v>154</v>
      </c>
      <c r="BL2385" s="0" t="s">
        <v>154</v>
      </c>
      <c r="BR2385" s="0" t="s">
        <v>154</v>
      </c>
      <c r="BS2385" s="0" t="s">
        <v>154</v>
      </c>
      <c r="BV2385" s="0" t="s">
        <v>154</v>
      </c>
      <c r="BY2385" s="0" t="s">
        <v>155</v>
      </c>
      <c r="CA2385" s="0" t="s">
        <v>154</v>
      </c>
      <c r="CC2385" s="0" t="s">
        <v>155</v>
      </c>
      <c r="CG2385" s="0" t="s">
        <v>154</v>
      </c>
      <c r="CH2385" s="0" t="s">
        <v>155</v>
      </c>
      <c r="CK2385" s="0" t="s">
        <v>154</v>
      </c>
      <c r="CL2385" s="0" t="s">
        <v>155</v>
      </c>
      <c r="CN2385" s="0" t="s">
        <v>154</v>
      </c>
      <c r="CO2385" s="0" t="s">
        <v>155</v>
      </c>
      <c r="CP2385" s="0" t="s">
        <v>154</v>
      </c>
      <c r="CQ2385" s="0" t="s">
        <v>155</v>
      </c>
      <c r="CT2385" s="0" t="s">
        <v>154</v>
      </c>
      <c r="CU2385" s="0" t="s">
        <v>155</v>
      </c>
      <c r="CV2385" s="0" t="s">
        <v>154</v>
      </c>
      <c r="CW2385" s="0" t="s">
        <v>155</v>
      </c>
      <c r="CY2385" s="0" t="s">
        <v>154</v>
      </c>
      <c r="CZ2385" s="0" t="s">
        <v>155</v>
      </c>
      <c r="DC2385" s="0" t="s">
        <v>154</v>
      </c>
      <c r="DD2385" s="0" t="s">
        <v>155</v>
      </c>
      <c r="DF2385" s="0" t="s">
        <v>154</v>
      </c>
      <c r="DG2385" s="0" t="s">
        <v>155</v>
      </c>
      <c r="DI2385" s="0" t="s">
        <v>154</v>
      </c>
      <c r="DJ2385" s="0" t="s">
        <v>155</v>
      </c>
      <c r="DL2385" s="0" t="s">
        <v>154</v>
      </c>
      <c r="DM2385" s="0" t="s">
        <v>155</v>
      </c>
      <c r="DN2385" s="0" t="s">
        <v>154</v>
      </c>
      <c r="DO2385" s="0" t="s">
        <v>155</v>
      </c>
      <c r="DR2385" s="0" t="s">
        <v>154</v>
      </c>
      <c r="DS2385" s="0" t="s">
        <v>155</v>
      </c>
      <c r="DT2385" s="0" t="s">
        <v>155</v>
      </c>
      <c r="DU2385" s="0" t="s">
        <v>154</v>
      </c>
      <c r="DW2385" s="0" t="s">
        <v>155</v>
      </c>
      <c r="DX2385" s="0" t="s">
        <v>154</v>
      </c>
      <c r="EA2385" s="0" t="s">
        <v>154</v>
      </c>
      <c r="ED2385" s="0" t="s">
        <v>155</v>
      </c>
      <c r="EF2385" s="0" t="s">
        <v>154</v>
      </c>
      <c r="EH2385" s="0" t="s">
        <v>155</v>
      </c>
    </row>
    <row r="2386" customFormat="false" ht="13.8" hidden="true" customHeight="false" outlineLevel="0" collapsed="false">
      <c r="A2386" s="0" t="s">
        <v>10342</v>
      </c>
      <c r="B2386" s="0" t="n">
        <v>78</v>
      </c>
      <c r="C2386" s="0" t="n">
        <v>343534</v>
      </c>
      <c r="D2386" s="0" t="s">
        <v>10337</v>
      </c>
      <c r="E2386" s="0" t="s">
        <v>698</v>
      </c>
      <c r="F2386" s="0" t="str">
        <f aca="false">CONCATENATE(D2386," ",LEFT(H2386,4),"T=",AU2386,"D=",AV2386,"R=",AW2386,"M=",AX2386,"L=",AY2386,"B=",AZ2386)</f>
        <v>POLOMSKY T=4D=0R=0M=1L=1B=0</v>
      </c>
      <c r="I2386" s="0" t="s">
        <v>10343</v>
      </c>
      <c r="J2386" s="0" t="s">
        <v>1096</v>
      </c>
      <c r="K2386" s="0" t="s">
        <v>175</v>
      </c>
      <c r="L2386" s="0"/>
      <c r="M2386" s="0" t="s">
        <v>10339</v>
      </c>
      <c r="N2386" s="0" t="str">
        <f aca="false">RIGHT(M2386,LEN(M2386)-FIND(" ",M2386))</f>
        <v>ROOSEVELT ST NW</v>
      </c>
      <c r="P2386" s="0" t="s">
        <v>146</v>
      </c>
      <c r="Q2386" s="0" t="s">
        <v>147</v>
      </c>
      <c r="R2386" s="0" t="n">
        <v>44483</v>
      </c>
      <c r="AD2386" s="0" t="s">
        <v>148</v>
      </c>
      <c r="AE2386" s="0" t="s">
        <v>149</v>
      </c>
      <c r="AF2386" s="0" t="s">
        <v>150</v>
      </c>
      <c r="AH2386" s="0" t="n">
        <v>14</v>
      </c>
      <c r="AI2386" s="0" t="n">
        <v>11</v>
      </c>
      <c r="AN2386" s="0" t="s">
        <v>146</v>
      </c>
      <c r="AO2386" s="0" t="s">
        <v>250</v>
      </c>
      <c r="AP2386" s="0" t="s">
        <v>251</v>
      </c>
      <c r="AQ2386" s="0" t="n">
        <v>9</v>
      </c>
      <c r="AR2386" s="0" t="n">
        <v>64</v>
      </c>
      <c r="AS2386" s="0" t="n">
        <v>32</v>
      </c>
      <c r="AU2386" s="0" t="n">
        <f aca="false">COUNTA($BA$2710:$EH$2710)</f>
        <v>4</v>
      </c>
      <c r="AV2386" s="0" t="n">
        <f aca="false">COUNTIF($BA$2710:$EH$2710,"D")</f>
        <v>0</v>
      </c>
      <c r="AW2386" s="0" t="n">
        <f aca="false">COUNTIF($BA$2710:$EH$2710,"R")</f>
        <v>0</v>
      </c>
      <c r="AX2386" s="0" t="n">
        <f aca="false"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>1</v>
      </c>
      <c r="AY2386" s="0" t="n">
        <f aca="false">COUNTIF(DU2386:EH2386, "&lt;&gt;")</f>
        <v>1</v>
      </c>
      <c r="AZ2386" s="0" t="n">
        <f aca="false">IF(EH2386&lt;&gt;"",1,0)</f>
        <v>0</v>
      </c>
      <c r="BB2386" s="0" t="s">
        <v>153</v>
      </c>
      <c r="BR2386" s="0" t="s">
        <v>154</v>
      </c>
      <c r="BY2386" s="0" t="s">
        <v>155</v>
      </c>
      <c r="CA2386" s="0" t="s">
        <v>154</v>
      </c>
      <c r="CC2386" s="0" t="s">
        <v>155</v>
      </c>
      <c r="CG2386" s="0" t="s">
        <v>154</v>
      </c>
      <c r="CH2386" s="0" t="s">
        <v>155</v>
      </c>
      <c r="CK2386" s="0" t="s">
        <v>154</v>
      </c>
      <c r="CN2386" s="0" t="s">
        <v>154</v>
      </c>
      <c r="CO2386" s="0" t="s">
        <v>155</v>
      </c>
      <c r="CP2386" s="0" t="s">
        <v>154</v>
      </c>
      <c r="CU2386" s="0" t="s">
        <v>155</v>
      </c>
      <c r="CZ2386" s="0" t="s">
        <v>155</v>
      </c>
      <c r="DC2386" s="0" t="s">
        <v>154</v>
      </c>
      <c r="DN2386" s="0" t="s">
        <v>154</v>
      </c>
      <c r="DX2386" s="0" t="s">
        <v>154</v>
      </c>
    </row>
    <row r="2387" customFormat="false" ht="13.8" hidden="true" customHeight="false" outlineLevel="0" collapsed="false">
      <c r="A2387" s="0" t="s">
        <v>10344</v>
      </c>
      <c r="B2387" s="0" t="n">
        <v>78</v>
      </c>
      <c r="C2387" s="0" t="n">
        <v>322619</v>
      </c>
      <c r="D2387" s="0" t="s">
        <v>309</v>
      </c>
      <c r="E2387" s="0" t="s">
        <v>2664</v>
      </c>
      <c r="F2387" s="0" t="str">
        <f aca="false">CONCATENATE(D2387," ",LEFT(H2387,4),"T=",AU2387,"D=",AV2387,"R=",AW2387,"M=",AX2387,"L=",AY2387,"B=",AZ2387)</f>
        <v>BROWN T=39D=10R=0M=0L=0B=0</v>
      </c>
      <c r="G2387" s="0" t="s">
        <v>172</v>
      </c>
      <c r="I2387" s="0" t="s">
        <v>4073</v>
      </c>
      <c r="J2387" s="0" t="s">
        <v>5323</v>
      </c>
      <c r="K2387" s="0" t="s">
        <v>175</v>
      </c>
      <c r="L2387" s="0"/>
      <c r="M2387" s="0" t="s">
        <v>10345</v>
      </c>
      <c r="N2387" s="0" t="str">
        <f aca="false">RIGHT(M2387,LEN(M2387)-FIND(" ",M2387))</f>
        <v>ROOSEVELT ST NW</v>
      </c>
      <c r="P2387" s="0" t="s">
        <v>146</v>
      </c>
      <c r="Q2387" s="0" t="s">
        <v>147</v>
      </c>
      <c r="R2387" s="0" t="n">
        <v>44483</v>
      </c>
      <c r="AD2387" s="0" t="s">
        <v>148</v>
      </c>
      <c r="AE2387" s="0" t="s">
        <v>149</v>
      </c>
      <c r="AF2387" s="0" t="s">
        <v>150</v>
      </c>
      <c r="AH2387" s="0" t="n">
        <v>14</v>
      </c>
      <c r="AI2387" s="0" t="n">
        <v>11</v>
      </c>
      <c r="AN2387" s="0" t="s">
        <v>146</v>
      </c>
      <c r="AO2387" s="0" t="s">
        <v>151</v>
      </c>
      <c r="AP2387" s="0" t="s">
        <v>152</v>
      </c>
      <c r="AQ2387" s="0" t="n">
        <v>9</v>
      </c>
      <c r="AR2387" s="0" t="n">
        <v>64</v>
      </c>
      <c r="AS2387" s="0" t="n">
        <v>32</v>
      </c>
      <c r="AU2387" s="0" t="n">
        <f aca="false">COUNTA($BA$1484:$EH$1484)</f>
        <v>39</v>
      </c>
      <c r="AV2387" s="0" t="n">
        <f aca="false">COUNTIF($BA$1484:$EH$1484,"D")</f>
        <v>10</v>
      </c>
      <c r="AW2387" s="0" t="n">
        <f aca="false">COUNTIF($BA$1484:$EH$1484,"R")</f>
        <v>0</v>
      </c>
      <c r="AX2387" s="0" t="n">
        <f aca="false"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>0</v>
      </c>
      <c r="AY2387" s="0" t="n">
        <f aca="false">COUNTIF(DU2387:EH2387, "&lt;&gt;")</f>
        <v>0</v>
      </c>
      <c r="AZ2387" s="0" t="n">
        <f aca="false">IF(EH2387&lt;&gt;"",1,0)</f>
        <v>0</v>
      </c>
      <c r="BB2387" s="0" t="s">
        <v>153</v>
      </c>
      <c r="BL2387" s="0" t="s">
        <v>154</v>
      </c>
      <c r="CA2387" s="0" t="s">
        <v>154</v>
      </c>
      <c r="CP2387" s="0" t="s">
        <v>154</v>
      </c>
    </row>
    <row r="2388" customFormat="false" ht="13.8" hidden="true" customHeight="false" outlineLevel="0" collapsed="false">
      <c r="A2388" s="0" t="s">
        <v>10346</v>
      </c>
      <c r="B2388" s="0" t="n">
        <v>78</v>
      </c>
      <c r="C2388" s="0" t="n">
        <v>322438</v>
      </c>
      <c r="D2388" s="0" t="s">
        <v>10347</v>
      </c>
      <c r="E2388" s="0" t="s">
        <v>1684</v>
      </c>
      <c r="F2388" s="0" t="str">
        <f aca="false">CONCATENATE(D2388," ",LEFT(H2388,4),"T=",AU2388,"D=",AV2388,"R=",AW2388,"M=",AX2388,"L=",AY2388,"B=",AZ2388)</f>
        <v>MERRITT T=3D=0R=0M=0L=0B=0</v>
      </c>
      <c r="G2388" s="0" t="s">
        <v>297</v>
      </c>
      <c r="I2388" s="0" t="s">
        <v>10348</v>
      </c>
      <c r="J2388" s="0" t="s">
        <v>10349</v>
      </c>
      <c r="K2388" s="0" t="s">
        <v>175</v>
      </c>
      <c r="L2388" s="0"/>
      <c r="M2388" s="0" t="s">
        <v>10345</v>
      </c>
      <c r="N2388" s="0" t="str">
        <f aca="false">RIGHT(M2388,LEN(M2388)-FIND(" ",M2388))</f>
        <v>ROOSEVELT ST NW</v>
      </c>
      <c r="P2388" s="0" t="s">
        <v>146</v>
      </c>
      <c r="Q2388" s="0" t="s">
        <v>147</v>
      </c>
      <c r="R2388" s="0" t="n">
        <v>44483</v>
      </c>
      <c r="AD2388" s="0" t="s">
        <v>148</v>
      </c>
      <c r="AE2388" s="0" t="s">
        <v>149</v>
      </c>
      <c r="AF2388" s="0" t="s">
        <v>150</v>
      </c>
      <c r="AH2388" s="0" t="n">
        <v>14</v>
      </c>
      <c r="AI2388" s="0" t="n">
        <v>11</v>
      </c>
      <c r="AN2388" s="0" t="s">
        <v>146</v>
      </c>
      <c r="AO2388" s="0" t="s">
        <v>151</v>
      </c>
      <c r="AP2388" s="0" t="s">
        <v>152</v>
      </c>
      <c r="AQ2388" s="0" t="n">
        <v>9</v>
      </c>
      <c r="AR2388" s="0" t="n">
        <v>64</v>
      </c>
      <c r="AS2388" s="0" t="n">
        <v>32</v>
      </c>
      <c r="AU2388" s="0" t="n">
        <f aca="false">COUNTA($BA$1525:$EH$1525)</f>
        <v>3</v>
      </c>
      <c r="AV2388" s="0" t="n">
        <f aca="false">COUNTIF($BA$1525:$EH$1525,"D")</f>
        <v>0</v>
      </c>
      <c r="AW2388" s="0" t="n">
        <f aca="false">COUNTIF($BA$1525:$EH$1525,"R")</f>
        <v>0</v>
      </c>
      <c r="AX2388" s="0" t="n">
        <f aca="false"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>0</v>
      </c>
      <c r="AY2388" s="0" t="n">
        <f aca="false">COUNTIF(DU2388:EH2388, "&lt;&gt;")</f>
        <v>0</v>
      </c>
      <c r="AZ2388" s="0" t="n">
        <f aca="false">IF(EH2388&lt;&gt;"",1,0)</f>
        <v>0</v>
      </c>
      <c r="BB2388" s="0" t="s">
        <v>153</v>
      </c>
      <c r="CA2388" s="0" t="s">
        <v>154</v>
      </c>
      <c r="CP2388" s="0" t="s">
        <v>154</v>
      </c>
    </row>
    <row r="2389" customFormat="false" ht="13.8" hidden="true" customHeight="false" outlineLevel="0" collapsed="false">
      <c r="A2389" s="0" t="s">
        <v>10350</v>
      </c>
      <c r="B2389" s="0" t="n">
        <v>78</v>
      </c>
      <c r="C2389" s="0" t="n">
        <v>476049</v>
      </c>
      <c r="D2389" s="0" t="s">
        <v>309</v>
      </c>
      <c r="E2389" s="0" t="s">
        <v>10351</v>
      </c>
      <c r="F2389" s="0" t="str">
        <f aca="false">CONCATENATE(D2389," ",LEFT(H2389,4),"T=",AU2389,"D=",AV2389,"R=",AW2389,"M=",AX2389,"L=",AY2389,"B=",AZ2389)</f>
        <v>BROWN T=1D=0R=0M=0L=0B=0</v>
      </c>
      <c r="G2389" s="0" t="s">
        <v>690</v>
      </c>
      <c r="I2389" s="0" t="s">
        <v>10352</v>
      </c>
      <c r="J2389" s="0" t="s">
        <v>1458</v>
      </c>
      <c r="K2389" s="0" t="s">
        <v>175</v>
      </c>
      <c r="L2389" s="0"/>
      <c r="M2389" s="0" t="s">
        <v>10345</v>
      </c>
      <c r="N2389" s="0" t="str">
        <f aca="false">RIGHT(M2389,LEN(M2389)-FIND(" ",M2389))</f>
        <v>ROOSEVELT ST NW</v>
      </c>
      <c r="P2389" s="0" t="s">
        <v>146</v>
      </c>
      <c r="Q2389" s="0" t="s">
        <v>147</v>
      </c>
      <c r="R2389" s="0" t="n">
        <v>44483</v>
      </c>
      <c r="AD2389" s="0" t="s">
        <v>148</v>
      </c>
      <c r="AE2389" s="0" t="s">
        <v>149</v>
      </c>
      <c r="AF2389" s="0" t="s">
        <v>150</v>
      </c>
      <c r="AH2389" s="0" t="n">
        <v>14</v>
      </c>
      <c r="AI2389" s="0" t="n">
        <v>11</v>
      </c>
      <c r="AN2389" s="0" t="s">
        <v>146</v>
      </c>
      <c r="AO2389" s="0" t="s">
        <v>151</v>
      </c>
      <c r="AP2389" s="0" t="s">
        <v>152</v>
      </c>
      <c r="AQ2389" s="0" t="n">
        <v>9</v>
      </c>
      <c r="AR2389" s="0" t="n">
        <v>64</v>
      </c>
      <c r="AS2389" s="0" t="n">
        <v>32</v>
      </c>
      <c r="AU2389" s="0" t="n">
        <f aca="false">COUNTA($BA$1601:$EH$1601)</f>
        <v>1</v>
      </c>
      <c r="AV2389" s="0" t="n">
        <f aca="false">COUNTIF($BA$1601:$EH$1601,"D")</f>
        <v>0</v>
      </c>
      <c r="AW2389" s="0" t="n">
        <f aca="false">COUNTIF($BA$1601:$EH$1601,"R")</f>
        <v>0</v>
      </c>
      <c r="AX2389" s="0" t="n">
        <f aca="false"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>0</v>
      </c>
      <c r="AY2389" s="0" t="n">
        <f aca="false">COUNTIF(DU2389:EH2389, "&lt;&gt;")</f>
        <v>0</v>
      </c>
      <c r="AZ2389" s="0" t="n">
        <f aca="false">IF(EH2389&lt;&gt;"",1,0)</f>
        <v>0</v>
      </c>
      <c r="BB2389" s="0" t="s">
        <v>153</v>
      </c>
    </row>
    <row r="2390" customFormat="false" ht="13.8" hidden="true" customHeight="false" outlineLevel="0" collapsed="false">
      <c r="A2390" s="0" t="s">
        <v>10353</v>
      </c>
      <c r="B2390" s="0" t="n">
        <v>78</v>
      </c>
      <c r="C2390" s="0" t="n">
        <v>487121</v>
      </c>
      <c r="D2390" s="0" t="s">
        <v>309</v>
      </c>
      <c r="E2390" s="0" t="s">
        <v>10354</v>
      </c>
      <c r="F2390" s="0" t="str">
        <f aca="false">CONCATENATE(D2390," ",LEFT(H2390,4),"T=",AU2390,"D=",AV2390,"R=",AW2390,"M=",AX2390,"L=",AY2390,"B=",AZ2390)</f>
        <v>BROWN T=2D=0R=0M=0L=0B=0</v>
      </c>
      <c r="G2390" s="0" t="s">
        <v>297</v>
      </c>
      <c r="I2390" s="0" t="s">
        <v>10355</v>
      </c>
      <c r="J2390" s="0" t="s">
        <v>488</v>
      </c>
      <c r="K2390" s="0" t="s">
        <v>175</v>
      </c>
      <c r="L2390" s="0"/>
      <c r="M2390" s="0" t="s">
        <v>10345</v>
      </c>
      <c r="N2390" s="0" t="str">
        <f aca="false">RIGHT(M2390,LEN(M2390)-FIND(" ",M2390))</f>
        <v>ROOSEVELT ST NW</v>
      </c>
      <c r="P2390" s="0" t="s">
        <v>146</v>
      </c>
      <c r="Q2390" s="0" t="s">
        <v>147</v>
      </c>
      <c r="R2390" s="0" t="n">
        <v>44483</v>
      </c>
      <c r="AD2390" s="0" t="s">
        <v>148</v>
      </c>
      <c r="AE2390" s="0" t="s">
        <v>149</v>
      </c>
      <c r="AF2390" s="0" t="s">
        <v>150</v>
      </c>
      <c r="AH2390" s="0" t="n">
        <v>14</v>
      </c>
      <c r="AI2390" s="0" t="n">
        <v>11</v>
      </c>
      <c r="AN2390" s="0" t="s">
        <v>146</v>
      </c>
      <c r="AO2390" s="0" t="s">
        <v>151</v>
      </c>
      <c r="AP2390" s="0" t="s">
        <v>152</v>
      </c>
      <c r="AQ2390" s="0" t="n">
        <v>9</v>
      </c>
      <c r="AR2390" s="0" t="n">
        <v>64</v>
      </c>
      <c r="AS2390" s="0" t="n">
        <v>32</v>
      </c>
      <c r="AU2390" s="0" t="n">
        <f aca="false">COUNTA($BA$1894:$EH$1894)</f>
        <v>2</v>
      </c>
      <c r="AV2390" s="0" t="n">
        <f aca="false">COUNTIF($BA$1894:$EH$1894,"D")</f>
        <v>0</v>
      </c>
      <c r="AW2390" s="0" t="n">
        <f aca="false">COUNTIF($BA$1894:$EH$1894,"R")</f>
        <v>0</v>
      </c>
      <c r="AX2390" s="0" t="n">
        <f aca="false"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>0</v>
      </c>
      <c r="AY2390" s="0" t="n">
        <f aca="false">COUNTIF(DU2390:EH2390, "&lt;&gt;")</f>
        <v>0</v>
      </c>
      <c r="AZ2390" s="0" t="n">
        <f aca="false">IF(EH2390&lt;&gt;"",1,0)</f>
        <v>0</v>
      </c>
      <c r="BB2390" s="0" t="s">
        <v>153</v>
      </c>
    </row>
    <row r="2391" customFormat="false" ht="13.8" hidden="false" customHeight="false" outlineLevel="0" collapsed="false">
      <c r="A2391" s="0" t="s">
        <v>10356</v>
      </c>
      <c r="B2391" s="0" t="n">
        <v>78</v>
      </c>
      <c r="C2391" s="0" t="n">
        <v>426896</v>
      </c>
      <c r="D2391" s="0" t="s">
        <v>6916</v>
      </c>
      <c r="E2391" s="0" t="s">
        <v>1374</v>
      </c>
      <c r="F2391" s="0" t="str">
        <f aca="false">CONCATENATE(D2391," ",LEFT(H2391,4),"T=",AU2391,"D=",AV2391,"R=",AW2391,"M=",AX2391,"L=",AY2391,"B=",AZ2391)</f>
        <v>BUSH JRT=10D=1R=0M=0L=3B=0</v>
      </c>
      <c r="G2391" s="0" t="s">
        <v>10357</v>
      </c>
      <c r="H2391" s="0" t="s">
        <v>431</v>
      </c>
      <c r="I2391" s="0" t="s">
        <v>10358</v>
      </c>
      <c r="J2391" s="0" t="s">
        <v>10359</v>
      </c>
      <c r="K2391" s="0" t="s">
        <v>175</v>
      </c>
      <c r="M2391" s="0" t="s">
        <v>10360</v>
      </c>
      <c r="N2391" s="0" t="str">
        <f aca="false">RIGHT(M2391,LEN(M2391)-FIND(" ",M2391))</f>
        <v>ROOSEVELT ST NW</v>
      </c>
      <c r="P2391" s="0" t="s">
        <v>146</v>
      </c>
      <c r="Q2391" s="0" t="s">
        <v>147</v>
      </c>
      <c r="R2391" s="0" t="n">
        <v>44483</v>
      </c>
      <c r="AD2391" s="0" t="s">
        <v>148</v>
      </c>
      <c r="AE2391" s="0" t="s">
        <v>149</v>
      </c>
      <c r="AF2391" s="0" t="s">
        <v>150</v>
      </c>
      <c r="AH2391" s="0" t="n">
        <v>14</v>
      </c>
      <c r="AI2391" s="0" t="n">
        <v>11</v>
      </c>
      <c r="AN2391" s="0" t="s">
        <v>146</v>
      </c>
      <c r="AO2391" s="0" t="s">
        <v>250</v>
      </c>
      <c r="AP2391" s="0" t="s">
        <v>251</v>
      </c>
      <c r="AQ2391" s="0" t="n">
        <v>9</v>
      </c>
      <c r="AR2391" s="0" t="n">
        <v>64</v>
      </c>
      <c r="AS2391" s="0" t="n">
        <v>32</v>
      </c>
      <c r="AU2391" s="0" t="n">
        <f aca="false">COUNTA($BA$2446:$EH$2446)</f>
        <v>10</v>
      </c>
      <c r="AV2391" s="0" t="n">
        <f aca="false">COUNTIF($BA$2446:$EH$2446,"D")</f>
        <v>1</v>
      </c>
      <c r="AW2391" s="0" t="n">
        <f aca="false">COUNTIF($BA$2446:$EH$2446,"R")</f>
        <v>0</v>
      </c>
      <c r="AX2391" s="0" t="n">
        <f aca="false"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>0</v>
      </c>
      <c r="AY2391" s="0" t="n">
        <f aca="false">COUNTIF(DU2391:EH2391, "&lt;&gt;")</f>
        <v>3</v>
      </c>
      <c r="AZ2391" s="0" t="n">
        <f aca="false">IF(EH2391&lt;&gt;"",1,0)</f>
        <v>0</v>
      </c>
      <c r="BB2391" s="0" t="s">
        <v>153</v>
      </c>
      <c r="DI2391" s="0" t="s">
        <v>154</v>
      </c>
      <c r="DN2391" s="0" t="s">
        <v>154</v>
      </c>
      <c r="DU2391" s="0" t="s">
        <v>154</v>
      </c>
      <c r="EA2391" s="0" t="s">
        <v>154</v>
      </c>
      <c r="EF2391" s="0" t="s">
        <v>154</v>
      </c>
    </row>
    <row r="2392" customFormat="false" ht="13.8" hidden="true" customHeight="false" outlineLevel="0" collapsed="false">
      <c r="A2392" s="0" t="s">
        <v>10361</v>
      </c>
      <c r="B2392" s="0" t="n">
        <v>78</v>
      </c>
      <c r="C2392" s="0" t="n">
        <v>466926</v>
      </c>
      <c r="D2392" s="0" t="s">
        <v>10362</v>
      </c>
      <c r="E2392" s="0" t="s">
        <v>10363</v>
      </c>
      <c r="F2392" s="0" t="str">
        <f aca="false">CONCATENATE(D2392," ",LEFT(H2392,4),"T=",AU2392,"D=",AV2392,"R=",AW2392,"M=",AX2392,"L=",AY2392,"B=",AZ2392)</f>
        <v>CALLOWAY T=3D=0R=0M=0L=0B=0</v>
      </c>
      <c r="G2392" s="0" t="s">
        <v>10364</v>
      </c>
      <c r="I2392" s="0" t="s">
        <v>10365</v>
      </c>
      <c r="J2392" s="0" t="s">
        <v>3464</v>
      </c>
      <c r="K2392" s="0" t="s">
        <v>175</v>
      </c>
      <c r="L2392" s="0"/>
      <c r="M2392" s="0" t="s">
        <v>10366</v>
      </c>
      <c r="N2392" s="0" t="str">
        <f aca="false">RIGHT(M2392,LEN(M2392)-FIND(" ",M2392))</f>
        <v>ROOSEVELT ST NW</v>
      </c>
      <c r="P2392" s="0" t="s">
        <v>146</v>
      </c>
      <c r="Q2392" s="0" t="s">
        <v>147</v>
      </c>
      <c r="R2392" s="0" t="n">
        <v>44483</v>
      </c>
      <c r="AD2392" s="0" t="s">
        <v>148</v>
      </c>
      <c r="AE2392" s="0" t="s">
        <v>149</v>
      </c>
      <c r="AF2392" s="0" t="s">
        <v>150</v>
      </c>
      <c r="AH2392" s="0" t="n">
        <v>14</v>
      </c>
      <c r="AI2392" s="0" t="n">
        <v>11</v>
      </c>
      <c r="AN2392" s="0" t="s">
        <v>146</v>
      </c>
      <c r="AO2392" s="0" t="s">
        <v>250</v>
      </c>
      <c r="AP2392" s="0" t="s">
        <v>251</v>
      </c>
      <c r="AQ2392" s="0" t="n">
        <v>9</v>
      </c>
      <c r="AR2392" s="0" t="n">
        <v>64</v>
      </c>
      <c r="AS2392" s="0" t="n">
        <v>32</v>
      </c>
      <c r="AU2392" s="0" t="n">
        <f aca="false">COUNTA($BA$2306:$EH$2306)</f>
        <v>3</v>
      </c>
      <c r="AV2392" s="0" t="n">
        <f aca="false">COUNTIF($BA$2306:$EH$2306,"D")</f>
        <v>0</v>
      </c>
      <c r="AW2392" s="0" t="n">
        <f aca="false">COUNTIF($BA$2306:$EH$2306,"R")</f>
        <v>0</v>
      </c>
      <c r="AX2392" s="0" t="n">
        <f aca="false"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>0</v>
      </c>
      <c r="AY2392" s="0" t="n">
        <f aca="false">COUNTIF(DU2392:EH2392, "&lt;&gt;")</f>
        <v>0</v>
      </c>
      <c r="AZ2392" s="0" t="n">
        <f aca="false">IF(EH2392&lt;&gt;"",1,0)</f>
        <v>0</v>
      </c>
      <c r="BB2392" s="0" t="s">
        <v>153</v>
      </c>
    </row>
    <row r="2393" customFormat="false" ht="13.8" hidden="false" customHeight="false" outlineLevel="0" collapsed="false">
      <c r="A2393" s="0" t="s">
        <v>10367</v>
      </c>
      <c r="B2393" s="0" t="n">
        <v>78</v>
      </c>
      <c r="C2393" s="0" t="n">
        <v>287301</v>
      </c>
      <c r="D2393" s="0" t="s">
        <v>10368</v>
      </c>
      <c r="E2393" s="0" t="s">
        <v>444</v>
      </c>
      <c r="F2393" s="0" t="str">
        <f aca="false">CONCATENATE(D2393," ",LEFT(H2393,4),"T=",AU2393,"D=",AV2393,"R=",AW2393,"M=",AX2393,"L=",AY2393,"B=",AZ2393)</f>
        <v>MILNER T=12D=1R=0M=9L=7B=1</v>
      </c>
      <c r="G2393" s="0" t="s">
        <v>159</v>
      </c>
      <c r="I2393" s="0" t="s">
        <v>6661</v>
      </c>
      <c r="J2393" s="0" t="s">
        <v>10369</v>
      </c>
      <c r="K2393" s="0" t="s">
        <v>175</v>
      </c>
      <c r="L2393" s="1" t="s">
        <v>155</v>
      </c>
      <c r="M2393" s="0" t="s">
        <v>10370</v>
      </c>
      <c r="N2393" s="0" t="str">
        <f aca="false">RIGHT(M2393,LEN(M2393)-FIND(" ",M2393))</f>
        <v>ROOSEVELT ST NW</v>
      </c>
      <c r="P2393" s="0" t="s">
        <v>146</v>
      </c>
      <c r="Q2393" s="0" t="s">
        <v>147</v>
      </c>
      <c r="R2393" s="0" t="n">
        <v>44483</v>
      </c>
      <c r="AD2393" s="0" t="s">
        <v>148</v>
      </c>
      <c r="AE2393" s="0" t="s">
        <v>149</v>
      </c>
      <c r="AF2393" s="0" t="s">
        <v>150</v>
      </c>
      <c r="AH2393" s="0" t="n">
        <v>14</v>
      </c>
      <c r="AI2393" s="0" t="n">
        <v>11</v>
      </c>
      <c r="AN2393" s="0" t="s">
        <v>146</v>
      </c>
      <c r="AO2393" s="0" t="s">
        <v>151</v>
      </c>
      <c r="AP2393" s="0" t="s">
        <v>152</v>
      </c>
      <c r="AQ2393" s="0" t="n">
        <v>9</v>
      </c>
      <c r="AR2393" s="0" t="n">
        <v>64</v>
      </c>
      <c r="AS2393" s="0" t="n">
        <v>32</v>
      </c>
      <c r="AU2393" s="0" t="n">
        <f aca="false">COUNTA($BA$1092:$EH$1092)</f>
        <v>12</v>
      </c>
      <c r="AV2393" s="0" t="n">
        <f aca="false">COUNTIF($BA$1092:$EH$1092,"D")</f>
        <v>1</v>
      </c>
      <c r="AW2393" s="0" t="n">
        <f aca="false">COUNTIF($BA$1092:$EH$1092,"R")</f>
        <v>0</v>
      </c>
      <c r="AX2393" s="0" t="n">
        <f aca="false"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>9</v>
      </c>
      <c r="AY2393" s="0" t="n">
        <f aca="false">COUNTIF(DU2393:EH2393, "&lt;&gt;")</f>
        <v>7</v>
      </c>
      <c r="AZ2393" s="0" t="n">
        <f aca="false">IF(EH2393&lt;&gt;"",1,0)</f>
        <v>1</v>
      </c>
      <c r="BB2393" s="0" t="s">
        <v>153</v>
      </c>
      <c r="BD2393" s="0" t="s">
        <v>154</v>
      </c>
      <c r="BF2393" s="0" t="s">
        <v>154</v>
      </c>
      <c r="BH2393" s="0" t="s">
        <v>154</v>
      </c>
      <c r="BJ2393" s="0" t="s">
        <v>154</v>
      </c>
      <c r="BL2393" s="0" t="s">
        <v>154</v>
      </c>
      <c r="BP2393" s="0" t="s">
        <v>154</v>
      </c>
      <c r="BR2393" s="0" t="s">
        <v>154</v>
      </c>
      <c r="BS2393" s="0" t="s">
        <v>154</v>
      </c>
      <c r="BV2393" s="0" t="s">
        <v>154</v>
      </c>
      <c r="BY2393" s="0" t="s">
        <v>155</v>
      </c>
      <c r="CA2393" s="0" t="s">
        <v>154</v>
      </c>
      <c r="CC2393" s="0" t="s">
        <v>155</v>
      </c>
      <c r="CG2393" s="0" t="s">
        <v>154</v>
      </c>
      <c r="CH2393" s="0" t="s">
        <v>155</v>
      </c>
      <c r="CK2393" s="0" t="s">
        <v>154</v>
      </c>
      <c r="CL2393" s="0" t="s">
        <v>155</v>
      </c>
      <c r="CN2393" s="0" t="s">
        <v>154</v>
      </c>
      <c r="CO2393" s="0" t="s">
        <v>155</v>
      </c>
      <c r="CP2393" s="0" t="s">
        <v>154</v>
      </c>
      <c r="CQ2393" s="0" t="s">
        <v>155</v>
      </c>
      <c r="CT2393" s="0" t="s">
        <v>154</v>
      </c>
      <c r="CU2393" s="0" t="s">
        <v>155</v>
      </c>
      <c r="CV2393" s="0" t="s">
        <v>154</v>
      </c>
      <c r="CW2393" s="0" t="s">
        <v>155</v>
      </c>
      <c r="CY2393" s="0" t="s">
        <v>154</v>
      </c>
      <c r="CZ2393" s="0" t="s">
        <v>155</v>
      </c>
      <c r="DC2393" s="0" t="s">
        <v>154</v>
      </c>
      <c r="DD2393" s="0" t="s">
        <v>155</v>
      </c>
      <c r="DF2393" s="0" t="s">
        <v>154</v>
      </c>
      <c r="DG2393" s="0" t="s">
        <v>155</v>
      </c>
      <c r="DI2393" s="0" t="s">
        <v>154</v>
      </c>
      <c r="DJ2393" s="0" t="s">
        <v>155</v>
      </c>
      <c r="DL2393" s="0" t="s">
        <v>154</v>
      </c>
      <c r="DM2393" s="0" t="s">
        <v>155</v>
      </c>
      <c r="DN2393" s="0" t="s">
        <v>154</v>
      </c>
      <c r="DO2393" s="0" t="s">
        <v>155</v>
      </c>
      <c r="DR2393" s="0" t="s">
        <v>154</v>
      </c>
      <c r="DS2393" s="0" t="s">
        <v>155</v>
      </c>
      <c r="DT2393" s="0" t="s">
        <v>155</v>
      </c>
      <c r="DU2393" s="0" t="s">
        <v>154</v>
      </c>
      <c r="DW2393" s="0" t="s">
        <v>155</v>
      </c>
      <c r="DX2393" s="0" t="s">
        <v>154</v>
      </c>
      <c r="EA2393" s="0" t="s">
        <v>154</v>
      </c>
      <c r="ED2393" s="0" t="s">
        <v>155</v>
      </c>
      <c r="EF2393" s="0" t="s">
        <v>154</v>
      </c>
      <c r="EH2393" s="0" t="s">
        <v>155</v>
      </c>
    </row>
    <row r="2394" customFormat="false" ht="13.8" hidden="true" customHeight="false" outlineLevel="0" collapsed="false">
      <c r="A2394" s="0" t="s">
        <v>10371</v>
      </c>
      <c r="B2394" s="0" t="n">
        <v>78</v>
      </c>
      <c r="C2394" s="0" t="n">
        <v>316582</v>
      </c>
      <c r="D2394" s="0" t="s">
        <v>10372</v>
      </c>
      <c r="E2394" s="0" t="s">
        <v>694</v>
      </c>
      <c r="F2394" s="0" t="str">
        <f aca="false">CONCATENATE(D2394," ",LEFT(H2394,4),"T=",AU2394,"D=",AV2394,"R=",AW2394,"M=",AX2394,"L=",AY2394,"B=",AZ2394)</f>
        <v>DISCERNI T=6D=2R=0M=0L=0B=0</v>
      </c>
      <c r="I2394" s="0" t="s">
        <v>6093</v>
      </c>
      <c r="J2394" s="0" t="s">
        <v>248</v>
      </c>
      <c r="K2394" s="0" t="s">
        <v>175</v>
      </c>
      <c r="L2394" s="0"/>
      <c r="M2394" s="0" t="s">
        <v>10373</v>
      </c>
      <c r="N2394" s="0" t="str">
        <f aca="false">RIGHT(M2394,LEN(M2394)-FIND(" ",M2394))</f>
        <v>ROOSEVELT ST NW</v>
      </c>
      <c r="P2394" s="0" t="s">
        <v>146</v>
      </c>
      <c r="Q2394" s="0" t="s">
        <v>147</v>
      </c>
      <c r="R2394" s="0" t="n">
        <v>44483</v>
      </c>
      <c r="AD2394" s="0" t="s">
        <v>148</v>
      </c>
      <c r="AE2394" s="0" t="s">
        <v>149</v>
      </c>
      <c r="AF2394" s="0" t="s">
        <v>150</v>
      </c>
      <c r="AH2394" s="0" t="n">
        <v>14</v>
      </c>
      <c r="AI2394" s="0" t="n">
        <v>11</v>
      </c>
      <c r="AN2394" s="0" t="s">
        <v>146</v>
      </c>
      <c r="AO2394" s="0" t="s">
        <v>250</v>
      </c>
      <c r="AP2394" s="0" t="s">
        <v>251</v>
      </c>
      <c r="AQ2394" s="0" t="n">
        <v>9</v>
      </c>
      <c r="AR2394" s="0" t="n">
        <v>64</v>
      </c>
      <c r="AS2394" s="0" t="n">
        <v>32</v>
      </c>
      <c r="AU2394" s="0" t="n">
        <f aca="false">COUNTA($BA$2095:$EH$2095)</f>
        <v>6</v>
      </c>
      <c r="AV2394" s="0" t="n">
        <f aca="false">COUNTIF($BA$2095:$EH$2095,"D")</f>
        <v>2</v>
      </c>
      <c r="AW2394" s="0" t="n">
        <f aca="false">COUNTIF($BA$2095:$EH$2095,"R")</f>
        <v>0</v>
      </c>
      <c r="AX2394" s="0" t="n">
        <f aca="false"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>0</v>
      </c>
      <c r="AY2394" s="0" t="n">
        <f aca="false">COUNTIF(DU2394:EH2394, "&lt;&gt;")</f>
        <v>0</v>
      </c>
      <c r="AZ2394" s="0" t="n">
        <f aca="false">IF(EH2394&lt;&gt;"",1,0)</f>
        <v>0</v>
      </c>
      <c r="BB2394" s="0" t="s">
        <v>153</v>
      </c>
      <c r="DN2394" s="0" t="s">
        <v>154</v>
      </c>
    </row>
    <row r="2395" customFormat="false" ht="13.8" hidden="false" customHeight="false" outlineLevel="0" collapsed="false">
      <c r="A2395" s="0" t="s">
        <v>10374</v>
      </c>
      <c r="B2395" s="0" t="n">
        <v>78</v>
      </c>
      <c r="C2395" s="0" t="n">
        <v>427996</v>
      </c>
      <c r="D2395" s="0" t="s">
        <v>10372</v>
      </c>
      <c r="E2395" s="0" t="s">
        <v>10375</v>
      </c>
      <c r="F2395" s="0" t="str">
        <f aca="false">CONCATENATE(D2395," ",LEFT(H2395,4),"T=",AU2395,"D=",AV2395,"R=",AW2395,"M=",AX2395,"L=",AY2395,"B=",AZ2395)</f>
        <v>DISCERNI T=1D=0R=0M=1L=5B=0</v>
      </c>
      <c r="G2395" s="0" t="s">
        <v>176</v>
      </c>
      <c r="I2395" s="0" t="s">
        <v>4450</v>
      </c>
      <c r="J2395" s="0" t="s">
        <v>248</v>
      </c>
      <c r="K2395" s="0" t="s">
        <v>175</v>
      </c>
      <c r="L2395" s="1" t="s">
        <v>155</v>
      </c>
      <c r="M2395" s="0" t="s">
        <v>10373</v>
      </c>
      <c r="N2395" s="0" t="str">
        <f aca="false">RIGHT(M2395,LEN(M2395)-FIND(" ",M2395))</f>
        <v>ROOSEVELT ST NW</v>
      </c>
      <c r="P2395" s="0" t="s">
        <v>146</v>
      </c>
      <c r="Q2395" s="0" t="s">
        <v>147</v>
      </c>
      <c r="R2395" s="0" t="n">
        <v>44483</v>
      </c>
      <c r="AD2395" s="0" t="s">
        <v>148</v>
      </c>
      <c r="AE2395" s="0" t="s">
        <v>149</v>
      </c>
      <c r="AF2395" s="0" t="s">
        <v>150</v>
      </c>
      <c r="AH2395" s="0" t="n">
        <v>14</v>
      </c>
      <c r="AI2395" s="0" t="n">
        <v>11</v>
      </c>
      <c r="AN2395" s="0" t="s">
        <v>146</v>
      </c>
      <c r="AO2395" s="0" t="s">
        <v>250</v>
      </c>
      <c r="AP2395" s="0" t="s">
        <v>251</v>
      </c>
      <c r="AQ2395" s="0" t="n">
        <v>9</v>
      </c>
      <c r="AR2395" s="0" t="n">
        <v>64</v>
      </c>
      <c r="AS2395" s="0" t="n">
        <v>32</v>
      </c>
      <c r="AU2395" s="0" t="n">
        <f aca="false">COUNTA($BA$2497:$EH$2497)</f>
        <v>1</v>
      </c>
      <c r="AV2395" s="0" t="n">
        <f aca="false">COUNTIF($BA$2497:$EH$2497,"D")</f>
        <v>0</v>
      </c>
      <c r="AW2395" s="0" t="n">
        <f aca="false">COUNTIF($BA$2497:$EH$2497,"R")</f>
        <v>0</v>
      </c>
      <c r="AX2395" s="0" t="n">
        <f aca="false"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>1</v>
      </c>
      <c r="AY2395" s="0" t="n">
        <f aca="false">COUNTIF(DU2395:EH2395, "&lt;&gt;")</f>
        <v>5</v>
      </c>
      <c r="AZ2395" s="0" t="n">
        <f aca="false">IF(EH2395&lt;&gt;"",1,0)</f>
        <v>0</v>
      </c>
      <c r="BB2395" s="0" t="s">
        <v>153</v>
      </c>
      <c r="BD2395" s="0" t="s">
        <v>154</v>
      </c>
      <c r="BL2395" s="0" t="s">
        <v>154</v>
      </c>
      <c r="BP2395" s="0" t="s">
        <v>154</v>
      </c>
      <c r="BS2395" s="0" t="s">
        <v>154</v>
      </c>
      <c r="DN2395" s="0" t="s">
        <v>154</v>
      </c>
      <c r="DU2395" s="0" t="s">
        <v>154</v>
      </c>
      <c r="DW2395" s="0" t="s">
        <v>155</v>
      </c>
      <c r="DX2395" s="0" t="s">
        <v>154</v>
      </c>
      <c r="EA2395" s="0" t="s">
        <v>154</v>
      </c>
      <c r="EF2395" s="0" t="s">
        <v>154</v>
      </c>
    </row>
    <row r="2396" customFormat="false" ht="13.8" hidden="true" customHeight="false" outlineLevel="0" collapsed="false">
      <c r="A2396" s="0" t="s">
        <v>10376</v>
      </c>
      <c r="B2396" s="0" t="n">
        <v>78</v>
      </c>
      <c r="C2396" s="0" t="n">
        <v>397095</v>
      </c>
      <c r="D2396" s="0" t="s">
        <v>10377</v>
      </c>
      <c r="E2396" s="0" t="s">
        <v>10378</v>
      </c>
      <c r="F2396" s="0" t="str">
        <f aca="false">CONCATENATE(D2396," ",LEFT(H2396,4),"T=",AU2396,"D=",AV2396,"R=",AW2396,"M=",AX2396,"L=",AY2396,"B=",AZ2396)</f>
        <v>DUSZ T=1D=0R=0M=0L=0B=0</v>
      </c>
      <c r="G2396" s="0" t="s">
        <v>8181</v>
      </c>
      <c r="I2396" s="0" t="s">
        <v>10379</v>
      </c>
      <c r="J2396" s="0" t="s">
        <v>10380</v>
      </c>
      <c r="K2396" s="0" t="s">
        <v>144</v>
      </c>
      <c r="L2396" s="0"/>
      <c r="M2396" s="0" t="s">
        <v>10381</v>
      </c>
      <c r="N2396" s="0" t="str">
        <f aca="false">RIGHT(M2396,LEN(M2396)-FIND(" ",M2396))</f>
        <v>ROOSEVELT ST NW</v>
      </c>
      <c r="P2396" s="0" t="s">
        <v>146</v>
      </c>
      <c r="Q2396" s="0" t="s">
        <v>147</v>
      </c>
      <c r="R2396" s="0" t="n">
        <v>44483</v>
      </c>
      <c r="AD2396" s="0" t="s">
        <v>148</v>
      </c>
      <c r="AE2396" s="0" t="s">
        <v>149</v>
      </c>
      <c r="AF2396" s="0" t="s">
        <v>150</v>
      </c>
      <c r="AH2396" s="0" t="n">
        <v>14</v>
      </c>
      <c r="AI2396" s="0" t="n">
        <v>11</v>
      </c>
      <c r="AN2396" s="0" t="s">
        <v>146</v>
      </c>
      <c r="AO2396" s="0" t="s">
        <v>250</v>
      </c>
      <c r="AP2396" s="0" t="s">
        <v>251</v>
      </c>
      <c r="AQ2396" s="0" t="n">
        <v>9</v>
      </c>
      <c r="AR2396" s="0" t="n">
        <v>64</v>
      </c>
      <c r="AS2396" s="0" t="n">
        <v>32</v>
      </c>
      <c r="AU2396" s="0" t="n">
        <f aca="false">COUNTA($BA$2283:$EH$2283)</f>
        <v>1</v>
      </c>
      <c r="AV2396" s="0" t="n">
        <f aca="false">COUNTIF($BA$2283:$EH$2283,"D")</f>
        <v>0</v>
      </c>
      <c r="AW2396" s="0" t="n">
        <f aca="false">COUNTIF($BA$2283:$EH$2283,"R")</f>
        <v>0</v>
      </c>
      <c r="AX2396" s="0" t="n">
        <f aca="false"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>0</v>
      </c>
      <c r="AY2396" s="0" t="n">
        <f aca="false">COUNTIF(DU2396:EH2396, "&lt;&gt;")</f>
        <v>0</v>
      </c>
      <c r="AZ2396" s="0" t="n">
        <f aca="false">IF(EH2396&lt;&gt;"",1,0)</f>
        <v>0</v>
      </c>
      <c r="BB2396" s="0" t="s">
        <v>153</v>
      </c>
    </row>
    <row r="2397" customFormat="false" ht="13.8" hidden="true" customHeight="false" outlineLevel="0" collapsed="false">
      <c r="A2397" s="0" t="s">
        <v>10382</v>
      </c>
      <c r="B2397" s="0" t="n">
        <v>78</v>
      </c>
      <c r="C2397" s="0" t="n">
        <v>309419</v>
      </c>
      <c r="D2397" s="0" t="s">
        <v>10383</v>
      </c>
      <c r="E2397" s="0" t="s">
        <v>1980</v>
      </c>
      <c r="F2397" s="0" t="str">
        <f aca="false">CONCATENATE(D2397," ",LEFT(H2397,4),"T=",AU2397,"D=",AV2397,"R=",AW2397,"M=",AX2397,"L=",AY2397,"B=",AZ2397)</f>
        <v>POUNTIOUS T=24D=7R=0M=0L=0B=0</v>
      </c>
      <c r="G2397" s="0" t="s">
        <v>172</v>
      </c>
      <c r="I2397" s="0" t="s">
        <v>10384</v>
      </c>
      <c r="J2397" s="0" t="s">
        <v>4042</v>
      </c>
      <c r="K2397" s="0" t="s">
        <v>144</v>
      </c>
      <c r="L2397" s="0"/>
      <c r="M2397" s="0" t="s">
        <v>10385</v>
      </c>
      <c r="N2397" s="0" t="str">
        <f aca="false">RIGHT(M2397,LEN(M2397)-FIND(" ",M2397))</f>
        <v>ROOSEVELT ST NW</v>
      </c>
      <c r="P2397" s="0" t="s">
        <v>146</v>
      </c>
      <c r="Q2397" s="0" t="s">
        <v>147</v>
      </c>
      <c r="R2397" s="0" t="n">
        <v>44483</v>
      </c>
      <c r="AD2397" s="0" t="s">
        <v>148</v>
      </c>
      <c r="AE2397" s="0" t="s">
        <v>149</v>
      </c>
      <c r="AF2397" s="0" t="s">
        <v>150</v>
      </c>
      <c r="AH2397" s="0" t="n">
        <v>14</v>
      </c>
      <c r="AI2397" s="0" t="n">
        <v>11</v>
      </c>
      <c r="AN2397" s="0" t="s">
        <v>146</v>
      </c>
      <c r="AO2397" s="0" t="s">
        <v>151</v>
      </c>
      <c r="AP2397" s="0" t="s">
        <v>152</v>
      </c>
      <c r="AQ2397" s="0" t="n">
        <v>9</v>
      </c>
      <c r="AR2397" s="0" t="n">
        <v>64</v>
      </c>
      <c r="AS2397" s="0" t="n">
        <v>32</v>
      </c>
      <c r="AU2397" s="0" t="n">
        <f aca="false">COUNTA($BA$1509:$EH$1509)</f>
        <v>24</v>
      </c>
      <c r="AV2397" s="0" t="n">
        <f aca="false">COUNTIF($BA$1509:$EH$1509,"D")</f>
        <v>7</v>
      </c>
      <c r="AW2397" s="0" t="n">
        <f aca="false">COUNTIF($BA$1509:$EH$1509,"R")</f>
        <v>0</v>
      </c>
      <c r="AX2397" s="0" t="n">
        <f aca="false"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>0</v>
      </c>
      <c r="AY2397" s="0" t="n">
        <f aca="false">COUNTIF(DU2397:EH2397, "&lt;&gt;")</f>
        <v>0</v>
      </c>
      <c r="AZ2397" s="0" t="n">
        <f aca="false">IF(EH2397&lt;&gt;"",1,0)</f>
        <v>0</v>
      </c>
      <c r="BB2397" s="0" t="s">
        <v>153</v>
      </c>
      <c r="BY2397" s="0" t="s">
        <v>155</v>
      </c>
    </row>
    <row r="2398" customFormat="false" ht="13.8" hidden="true" customHeight="false" outlineLevel="0" collapsed="false">
      <c r="A2398" s="0" t="s">
        <v>10386</v>
      </c>
      <c r="B2398" s="0" t="n">
        <v>78</v>
      </c>
      <c r="C2398" s="0" t="n">
        <v>287531</v>
      </c>
      <c r="D2398" s="0" t="s">
        <v>10387</v>
      </c>
      <c r="E2398" s="0" t="s">
        <v>3615</v>
      </c>
      <c r="F2398" s="0" t="str">
        <f aca="false">CONCATENATE(D2398," ",LEFT(H2398,4),"T=",AU2398,"D=",AV2398,"R=",AW2398,"M=",AX2398,"L=",AY2398,"B=",AZ2398)</f>
        <v>MCMAHAN T=1D=0R=0M=0L=1B=0</v>
      </c>
      <c r="G2398" s="0" t="s">
        <v>181</v>
      </c>
      <c r="I2398" s="0" t="s">
        <v>10388</v>
      </c>
      <c r="J2398" s="0" t="s">
        <v>1155</v>
      </c>
      <c r="K2398" s="0" t="s">
        <v>175</v>
      </c>
      <c r="L2398" s="0"/>
      <c r="M2398" s="0" t="s">
        <v>10385</v>
      </c>
      <c r="N2398" s="0" t="str">
        <f aca="false">RIGHT(M2398,LEN(M2398)-FIND(" ",M2398))</f>
        <v>ROOSEVELT ST NW</v>
      </c>
      <c r="P2398" s="0" t="s">
        <v>146</v>
      </c>
      <c r="Q2398" s="0" t="s">
        <v>147</v>
      </c>
      <c r="R2398" s="0" t="n">
        <v>44483</v>
      </c>
      <c r="AD2398" s="0" t="s">
        <v>148</v>
      </c>
      <c r="AE2398" s="0" t="s">
        <v>149</v>
      </c>
      <c r="AF2398" s="0" t="s">
        <v>150</v>
      </c>
      <c r="AH2398" s="0" t="n">
        <v>14</v>
      </c>
      <c r="AI2398" s="0" t="n">
        <v>11</v>
      </c>
      <c r="AN2398" s="0" t="s">
        <v>146</v>
      </c>
      <c r="AO2398" s="0" t="s">
        <v>151</v>
      </c>
      <c r="AP2398" s="0" t="s">
        <v>152</v>
      </c>
      <c r="AQ2398" s="0" t="n">
        <v>9</v>
      </c>
      <c r="AR2398" s="0" t="n">
        <v>64</v>
      </c>
      <c r="AS2398" s="0" t="n">
        <v>32</v>
      </c>
      <c r="AU2398" s="0" t="n">
        <f aca="false">COUNTA($BA$1966:$EH$1966)</f>
        <v>1</v>
      </c>
      <c r="AV2398" s="0" t="n">
        <f aca="false">COUNTIF($BA$1966:$EH$1966,"D")</f>
        <v>0</v>
      </c>
      <c r="AW2398" s="0" t="n">
        <f aca="false">COUNTIF($BA$1966:$EH$1966,"R")</f>
        <v>0</v>
      </c>
      <c r="AX2398" s="0" t="n">
        <f aca="false"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>0</v>
      </c>
      <c r="AY2398" s="0" t="n">
        <f aca="false">COUNTIF(DU2398:EH2398, "&lt;&gt;")</f>
        <v>1</v>
      </c>
      <c r="AZ2398" s="0" t="n">
        <f aca="false">IF(EH2398&lt;&gt;"",1,0)</f>
        <v>0</v>
      </c>
      <c r="BB2398" s="0" t="s">
        <v>153</v>
      </c>
      <c r="BD2398" s="0" t="s">
        <v>154</v>
      </c>
      <c r="BY2398" s="0" t="s">
        <v>155</v>
      </c>
      <c r="CA2398" s="0" t="s">
        <v>154</v>
      </c>
      <c r="CK2398" s="0" t="s">
        <v>154</v>
      </c>
      <c r="CN2398" s="0" t="s">
        <v>154</v>
      </c>
      <c r="CP2398" s="0" t="s">
        <v>154</v>
      </c>
      <c r="CY2398" s="0" t="s">
        <v>154</v>
      </c>
      <c r="DC2398" s="0" t="s">
        <v>154</v>
      </c>
      <c r="DN2398" s="0" t="s">
        <v>154</v>
      </c>
      <c r="EF2398" s="0" t="s">
        <v>154</v>
      </c>
    </row>
    <row r="2399" customFormat="false" ht="13.8" hidden="false" customHeight="false" outlineLevel="0" collapsed="false">
      <c r="A2399" s="0" t="s">
        <v>10389</v>
      </c>
      <c r="B2399" s="0" t="n">
        <v>78</v>
      </c>
      <c r="C2399" s="0" t="n">
        <v>475145</v>
      </c>
      <c r="D2399" s="0" t="s">
        <v>10390</v>
      </c>
      <c r="E2399" s="0" t="s">
        <v>344</v>
      </c>
      <c r="F2399" s="0" t="str">
        <f aca="false">CONCATENATE(D2399," ",LEFT(H2399,4),"T=",AU2399,"D=",AV2399,"R=",AW2399,"M=",AX2399,"L=",AY2399,"B=",AZ2399)</f>
        <v>FEUERWERKER T=1D=0R=0M=0L=2B=0</v>
      </c>
      <c r="G2399" s="0" t="s">
        <v>188</v>
      </c>
      <c r="I2399" s="0" t="s">
        <v>10391</v>
      </c>
      <c r="J2399" s="0" t="s">
        <v>3321</v>
      </c>
      <c r="K2399" s="0" t="s">
        <v>175</v>
      </c>
      <c r="L2399" s="1" t="s">
        <v>155</v>
      </c>
      <c r="M2399" s="0" t="s">
        <v>10385</v>
      </c>
      <c r="N2399" s="0" t="str">
        <f aca="false">RIGHT(M2399,LEN(M2399)-FIND(" ",M2399))</f>
        <v>ROOSEVELT ST NW</v>
      </c>
      <c r="P2399" s="0" t="s">
        <v>146</v>
      </c>
      <c r="Q2399" s="0" t="s">
        <v>147</v>
      </c>
      <c r="R2399" s="0" t="n">
        <v>44483</v>
      </c>
      <c r="AD2399" s="0" t="s">
        <v>148</v>
      </c>
      <c r="AE2399" s="0" t="s">
        <v>149</v>
      </c>
      <c r="AF2399" s="0" t="s">
        <v>150</v>
      </c>
      <c r="AH2399" s="0" t="n">
        <v>14</v>
      </c>
      <c r="AI2399" s="0" t="n">
        <v>11</v>
      </c>
      <c r="AN2399" s="0" t="s">
        <v>146</v>
      </c>
      <c r="AO2399" s="0" t="s">
        <v>151</v>
      </c>
      <c r="AP2399" s="0" t="s">
        <v>152</v>
      </c>
      <c r="AQ2399" s="0" t="n">
        <v>9</v>
      </c>
      <c r="AR2399" s="0" t="n">
        <v>64</v>
      </c>
      <c r="AS2399" s="0" t="n">
        <v>32</v>
      </c>
      <c r="AU2399" s="0" t="n">
        <f aca="false">COUNTA($BA$2063:$EH$2063)</f>
        <v>1</v>
      </c>
      <c r="AV2399" s="0" t="n">
        <f aca="false">COUNTIF($BA$2063:$EH$2063,"D")</f>
        <v>0</v>
      </c>
      <c r="AW2399" s="0" t="n">
        <f aca="false">COUNTIF($BA$2063:$EH$2063,"R")</f>
        <v>0</v>
      </c>
      <c r="AX2399" s="0" t="n">
        <f aca="false"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>0</v>
      </c>
      <c r="AY2399" s="0" t="n">
        <f aca="false">COUNTIF(DU2399:EH2399, "&lt;&gt;")</f>
        <v>2</v>
      </c>
      <c r="AZ2399" s="0" t="n">
        <f aca="false">IF(EH2399&lt;&gt;"",1,0)</f>
        <v>0</v>
      </c>
      <c r="BB2399" s="0" t="s">
        <v>153</v>
      </c>
      <c r="EA2399" s="0" t="s">
        <v>154</v>
      </c>
      <c r="ED2399" s="0" t="s">
        <v>155</v>
      </c>
    </row>
    <row r="2400" customFormat="false" ht="13.8" hidden="false" customHeight="false" outlineLevel="0" collapsed="false">
      <c r="A2400" s="0" t="s">
        <v>10392</v>
      </c>
      <c r="B2400" s="0" t="n">
        <v>78</v>
      </c>
      <c r="C2400" s="0" t="n">
        <v>312925</v>
      </c>
      <c r="D2400" s="0" t="s">
        <v>4239</v>
      </c>
      <c r="E2400" s="0" t="s">
        <v>10393</v>
      </c>
      <c r="F2400" s="0" t="str">
        <f aca="false">CONCATENATE(D2400," ",LEFT(H2400,4),"T=",AU2400,"D=",AV2400,"R=",AW2400,"M=",AX2400,"L=",AY2400,"B=",AZ2400)</f>
        <v>CRENSHAW T=2D=0R=0M=1L=3B=0</v>
      </c>
      <c r="I2400" s="0" t="s">
        <v>10394</v>
      </c>
      <c r="J2400" s="0" t="s">
        <v>10395</v>
      </c>
      <c r="K2400" s="0" t="s">
        <v>175</v>
      </c>
      <c r="L2400" s="1" t="s">
        <v>155</v>
      </c>
      <c r="M2400" s="0" t="s">
        <v>10396</v>
      </c>
      <c r="N2400" s="0" t="str">
        <f aca="false">RIGHT(M2400,LEN(M2400)-FIND(" ",M2400))</f>
        <v>ROOSEVELT ST NW</v>
      </c>
      <c r="O2400" s="0" t="s">
        <v>414</v>
      </c>
      <c r="P2400" s="0" t="s">
        <v>146</v>
      </c>
      <c r="Q2400" s="0" t="s">
        <v>147</v>
      </c>
      <c r="R2400" s="0" t="n">
        <v>44483</v>
      </c>
      <c r="AD2400" s="0" t="s">
        <v>148</v>
      </c>
      <c r="AE2400" s="0" t="s">
        <v>149</v>
      </c>
      <c r="AF2400" s="0" t="s">
        <v>150</v>
      </c>
      <c r="AH2400" s="0" t="n">
        <v>14</v>
      </c>
      <c r="AI2400" s="0" t="n">
        <v>11</v>
      </c>
      <c r="AN2400" s="0" t="s">
        <v>146</v>
      </c>
      <c r="AO2400" s="0" t="s">
        <v>151</v>
      </c>
      <c r="AP2400" s="0" t="s">
        <v>152</v>
      </c>
      <c r="AQ2400" s="0" t="n">
        <v>9</v>
      </c>
      <c r="AR2400" s="0" t="n">
        <v>64</v>
      </c>
      <c r="AS2400" s="0" t="n">
        <v>32</v>
      </c>
      <c r="AU2400" s="0" t="n">
        <f aca="false">COUNTA($BA$1935:$EH$1935)</f>
        <v>2</v>
      </c>
      <c r="AV2400" s="0" t="n">
        <f aca="false">COUNTIF($BA$1935:$EH$1935,"D")</f>
        <v>0</v>
      </c>
      <c r="AW2400" s="0" t="n">
        <f aca="false">COUNTIF($BA$1935:$EH$1935,"R")</f>
        <v>0</v>
      </c>
      <c r="AX2400" s="0" t="n">
        <f aca="false"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>1</v>
      </c>
      <c r="AY2400" s="0" t="n">
        <f aca="false">COUNTIF(DU2400:EH2400, "&lt;&gt;")</f>
        <v>3</v>
      </c>
      <c r="AZ2400" s="0" t="n">
        <f aca="false">IF(EH2400&lt;&gt;"",1,0)</f>
        <v>0</v>
      </c>
      <c r="BB2400" s="0" t="s">
        <v>153</v>
      </c>
      <c r="BL2400" s="0" t="s">
        <v>154</v>
      </c>
      <c r="DC2400" s="0" t="s">
        <v>154</v>
      </c>
      <c r="DI2400" s="0" t="s">
        <v>154</v>
      </c>
      <c r="DN2400" s="0" t="s">
        <v>154</v>
      </c>
      <c r="DU2400" s="0" t="s">
        <v>154</v>
      </c>
      <c r="DW2400" s="0" t="s">
        <v>155</v>
      </c>
      <c r="EF2400" s="0" t="s">
        <v>154</v>
      </c>
    </row>
    <row r="2401" customFormat="false" ht="13.8" hidden="true" customHeight="false" outlineLevel="0" collapsed="false">
      <c r="A2401" s="0" t="s">
        <v>10397</v>
      </c>
      <c r="B2401" s="0" t="n">
        <v>78</v>
      </c>
      <c r="C2401" s="0" t="n">
        <v>456449</v>
      </c>
      <c r="D2401" s="0" t="s">
        <v>10398</v>
      </c>
      <c r="E2401" s="0" t="s">
        <v>10399</v>
      </c>
      <c r="F2401" s="0" t="str">
        <f aca="false">CONCATENATE(D2401," ",LEFT(H2401,4),"T=",AU2401,"D=",AV2401,"R=",AW2401,"M=",AX2401,"L=",AY2401,"B=",AZ2401)</f>
        <v>HARTLE T=46D=17R=0M=0L=0B=0</v>
      </c>
      <c r="G2401" s="0" t="s">
        <v>10400</v>
      </c>
      <c r="I2401" s="0" t="s">
        <v>10401</v>
      </c>
      <c r="J2401" s="0" t="s">
        <v>4280</v>
      </c>
      <c r="K2401" s="0" t="s">
        <v>175</v>
      </c>
      <c r="L2401" s="0"/>
      <c r="M2401" s="0" t="s">
        <v>10402</v>
      </c>
      <c r="N2401" s="0" t="str">
        <f aca="false">RIGHT(M2401,LEN(M2401)-FIND(" ",M2401))</f>
        <v>ROOSEVELT ST NW</v>
      </c>
      <c r="P2401" s="0" t="s">
        <v>146</v>
      </c>
      <c r="Q2401" s="0" t="s">
        <v>147</v>
      </c>
      <c r="R2401" s="0" t="n">
        <v>44483</v>
      </c>
      <c r="AD2401" s="0" t="s">
        <v>148</v>
      </c>
      <c r="AE2401" s="0" t="s">
        <v>149</v>
      </c>
      <c r="AF2401" s="0" t="s">
        <v>150</v>
      </c>
      <c r="AH2401" s="0" t="n">
        <v>14</v>
      </c>
      <c r="AI2401" s="0" t="n">
        <v>11</v>
      </c>
      <c r="AN2401" s="0" t="s">
        <v>146</v>
      </c>
      <c r="AO2401" s="0" t="s">
        <v>250</v>
      </c>
      <c r="AP2401" s="0" t="s">
        <v>251</v>
      </c>
      <c r="AQ2401" s="0" t="n">
        <v>9</v>
      </c>
      <c r="AR2401" s="0" t="n">
        <v>64</v>
      </c>
      <c r="AS2401" s="0" t="n">
        <v>32</v>
      </c>
      <c r="AU2401" s="0" t="n">
        <f aca="false">COUNTA($BA$2326:$EH$2326)</f>
        <v>46</v>
      </c>
      <c r="AV2401" s="0" t="n">
        <f aca="false">COUNTIF($BA$2326:$EH$2326,"D")</f>
        <v>17</v>
      </c>
      <c r="AW2401" s="0" t="n">
        <f aca="false">COUNTIF($BA$2326:$EH$2326,"R")</f>
        <v>0</v>
      </c>
      <c r="AX2401" s="0" t="n">
        <f aca="false"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>0</v>
      </c>
      <c r="AY2401" s="0" t="n">
        <f aca="false">COUNTIF(DU2401:EH2401, "&lt;&gt;")</f>
        <v>0</v>
      </c>
      <c r="AZ2401" s="0" t="n">
        <f aca="false">IF(EH2401&lt;&gt;"",1,0)</f>
        <v>0</v>
      </c>
      <c r="BB2401" s="0" t="s">
        <v>153</v>
      </c>
    </row>
    <row r="2402" customFormat="false" ht="13.8" hidden="true" customHeight="false" outlineLevel="0" collapsed="false">
      <c r="A2402" s="0" t="s">
        <v>10403</v>
      </c>
      <c r="B2402" s="0" t="n">
        <v>78</v>
      </c>
      <c r="C2402" s="0" t="n">
        <v>458992</v>
      </c>
      <c r="D2402" s="0" t="s">
        <v>10398</v>
      </c>
      <c r="E2402" s="0" t="s">
        <v>962</v>
      </c>
      <c r="F2402" s="0" t="str">
        <f aca="false">CONCATENATE(D2402," ",LEFT(H2402,4),"T=",AU2402,"D=",AV2402,"R=",AW2402,"M=",AX2402,"L=",AY2402,"B=",AZ2402)</f>
        <v>HARTLE T=1D=0R=0M=0L=0B=0</v>
      </c>
      <c r="G2402" s="0" t="s">
        <v>376</v>
      </c>
      <c r="I2402" s="0" t="s">
        <v>10404</v>
      </c>
      <c r="J2402" s="0" t="s">
        <v>10405</v>
      </c>
      <c r="K2402" s="0" t="s">
        <v>175</v>
      </c>
      <c r="L2402" s="0"/>
      <c r="M2402" s="0" t="s">
        <v>10402</v>
      </c>
      <c r="N2402" s="0" t="str">
        <f aca="false">RIGHT(M2402,LEN(M2402)-FIND(" ",M2402))</f>
        <v>ROOSEVELT ST NW</v>
      </c>
      <c r="P2402" s="0" t="s">
        <v>146</v>
      </c>
      <c r="Q2402" s="0" t="s">
        <v>147</v>
      </c>
      <c r="R2402" s="0" t="n">
        <v>44483</v>
      </c>
      <c r="AD2402" s="0" t="s">
        <v>148</v>
      </c>
      <c r="AE2402" s="0" t="s">
        <v>149</v>
      </c>
      <c r="AF2402" s="0" t="s">
        <v>150</v>
      </c>
      <c r="AH2402" s="0" t="n">
        <v>14</v>
      </c>
      <c r="AI2402" s="0" t="n">
        <v>11</v>
      </c>
      <c r="AN2402" s="0" t="s">
        <v>146</v>
      </c>
      <c r="AO2402" s="0" t="s">
        <v>250</v>
      </c>
      <c r="AP2402" s="0" t="s">
        <v>251</v>
      </c>
      <c r="AQ2402" s="0" t="n">
        <v>9</v>
      </c>
      <c r="AR2402" s="0" t="n">
        <v>64</v>
      </c>
      <c r="AS2402" s="0" t="n">
        <v>32</v>
      </c>
      <c r="AU2402" s="0" t="n">
        <f aca="false">COUNTA($BA$2454:$EH$2454)</f>
        <v>1</v>
      </c>
      <c r="AV2402" s="0" t="n">
        <f aca="false">COUNTIF($BA$2454:$EH$2454,"D")</f>
        <v>0</v>
      </c>
      <c r="AW2402" s="0" t="n">
        <f aca="false">COUNTIF($BA$2454:$EH$2454,"R")</f>
        <v>0</v>
      </c>
      <c r="AX2402" s="0" t="n">
        <f aca="false"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>0</v>
      </c>
      <c r="AY2402" s="0" t="n">
        <f aca="false">COUNTIF(DU2402:EH2402, "&lt;&gt;")</f>
        <v>0</v>
      </c>
      <c r="AZ2402" s="0" t="n">
        <f aca="false">IF(EH2402&lt;&gt;"",1,0)</f>
        <v>0</v>
      </c>
      <c r="BB2402" s="0" t="s">
        <v>153</v>
      </c>
    </row>
    <row r="2403" customFormat="false" ht="13.8" hidden="true" customHeight="false" outlineLevel="0" collapsed="false">
      <c r="A2403" s="0" t="s">
        <v>10406</v>
      </c>
      <c r="B2403" s="0" t="n">
        <v>78</v>
      </c>
      <c r="C2403" s="0" t="n">
        <v>449797</v>
      </c>
      <c r="D2403" s="0" t="s">
        <v>10407</v>
      </c>
      <c r="E2403" s="0" t="s">
        <v>4183</v>
      </c>
      <c r="F2403" s="0" t="str">
        <f aca="false">CONCATENATE(D2403," ",LEFT(H2403,4),"T=",AU2403,"D=",AV2403,"R=",AW2403,"M=",AX2403,"L=",AY2403,"B=",AZ2403)</f>
        <v>SPELICH T=16D=2R=0M=0L=0B=0</v>
      </c>
      <c r="G2403" s="0" t="s">
        <v>514</v>
      </c>
      <c r="I2403" s="0" t="s">
        <v>10408</v>
      </c>
      <c r="J2403" s="0" t="s">
        <v>10409</v>
      </c>
      <c r="K2403" s="0" t="s">
        <v>144</v>
      </c>
      <c r="L2403" s="0"/>
      <c r="M2403" s="0" t="s">
        <v>10410</v>
      </c>
      <c r="N2403" s="0" t="str">
        <f aca="false">RIGHT(M2403,LEN(M2403)-FIND(" ",M2403))</f>
        <v>ROOSEVELT ST NW</v>
      </c>
      <c r="P2403" s="0" t="s">
        <v>146</v>
      </c>
      <c r="Q2403" s="0" t="s">
        <v>147</v>
      </c>
      <c r="R2403" s="0" t="n">
        <v>44483</v>
      </c>
      <c r="AD2403" s="0" t="s">
        <v>148</v>
      </c>
      <c r="AE2403" s="0" t="s">
        <v>149</v>
      </c>
      <c r="AF2403" s="0" t="s">
        <v>150</v>
      </c>
      <c r="AH2403" s="0" t="n">
        <v>14</v>
      </c>
      <c r="AI2403" s="0" t="n">
        <v>11</v>
      </c>
      <c r="AN2403" s="0" t="s">
        <v>146</v>
      </c>
      <c r="AO2403" s="0" t="s">
        <v>151</v>
      </c>
      <c r="AP2403" s="0" t="s">
        <v>152</v>
      </c>
      <c r="AQ2403" s="0" t="n">
        <v>9</v>
      </c>
      <c r="AR2403" s="0" t="n">
        <v>64</v>
      </c>
      <c r="AS2403" s="0" t="n">
        <v>32</v>
      </c>
      <c r="AU2403" s="0" t="n">
        <f aca="false">COUNTA($BA$1440:$EH$1440)</f>
        <v>16</v>
      </c>
      <c r="AV2403" s="0" t="n">
        <f aca="false">COUNTIF($BA$1440:$EH$1440,"D")</f>
        <v>2</v>
      </c>
      <c r="AW2403" s="0" t="n">
        <f aca="false">COUNTIF($BA$1440:$EH$1440,"R")</f>
        <v>0</v>
      </c>
      <c r="AX2403" s="0" t="n">
        <f aca="false"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>0</v>
      </c>
      <c r="AY2403" s="0" t="n">
        <f aca="false">COUNTIF(DU2403:EH2403, "&lt;&gt;")</f>
        <v>0</v>
      </c>
      <c r="AZ2403" s="0" t="n">
        <f aca="false">IF(EH2403&lt;&gt;"",1,0)</f>
        <v>0</v>
      </c>
      <c r="BB2403" s="0" t="s">
        <v>153</v>
      </c>
    </row>
    <row r="2404" customFormat="false" ht="13.8" hidden="false" customHeight="false" outlineLevel="0" collapsed="false">
      <c r="A2404" s="0" t="s">
        <v>10411</v>
      </c>
      <c r="B2404" s="0" t="n">
        <v>78</v>
      </c>
      <c r="C2404" s="0" t="n">
        <v>305329</v>
      </c>
      <c r="D2404" s="0" t="s">
        <v>10412</v>
      </c>
      <c r="E2404" s="0" t="s">
        <v>1910</v>
      </c>
      <c r="F2404" s="0" t="str">
        <f aca="false">CONCATENATE(D2404," ",LEFT(H2404,4),"T=",AU2404,"D=",AV2404,"R=",AW2404,"M=",AX2404,"L=",AY2404,"B=",AZ2404)</f>
        <v>PALMER T=13D=2R=0M=0L=4B=0</v>
      </c>
      <c r="G2404" s="0" t="s">
        <v>297</v>
      </c>
      <c r="I2404" s="0" t="s">
        <v>10413</v>
      </c>
      <c r="J2404" s="0" t="s">
        <v>10414</v>
      </c>
      <c r="K2404" s="0" t="s">
        <v>175</v>
      </c>
      <c r="L2404" s="1" t="s">
        <v>176</v>
      </c>
      <c r="M2404" s="0" t="s">
        <v>10410</v>
      </c>
      <c r="N2404" s="0" t="str">
        <f aca="false">RIGHT(M2404,LEN(M2404)-FIND(" ",M2404))</f>
        <v>ROOSEVELT ST NW</v>
      </c>
      <c r="P2404" s="0" t="s">
        <v>146</v>
      </c>
      <c r="Q2404" s="0" t="s">
        <v>147</v>
      </c>
      <c r="R2404" s="0" t="n">
        <v>44483</v>
      </c>
      <c r="AD2404" s="0" t="s">
        <v>148</v>
      </c>
      <c r="AE2404" s="0" t="s">
        <v>149</v>
      </c>
      <c r="AF2404" s="0" t="s">
        <v>150</v>
      </c>
      <c r="AH2404" s="0" t="n">
        <v>14</v>
      </c>
      <c r="AI2404" s="0" t="n">
        <v>11</v>
      </c>
      <c r="AN2404" s="0" t="s">
        <v>146</v>
      </c>
      <c r="AO2404" s="0" t="s">
        <v>151</v>
      </c>
      <c r="AP2404" s="0" t="s">
        <v>152</v>
      </c>
      <c r="AQ2404" s="0" t="n">
        <v>9</v>
      </c>
      <c r="AR2404" s="0" t="n">
        <v>64</v>
      </c>
      <c r="AS2404" s="0" t="n">
        <v>32</v>
      </c>
      <c r="AU2404" s="0" t="n">
        <f aca="false">COUNTA($BA$1441:$EH$1441)</f>
        <v>13</v>
      </c>
      <c r="AV2404" s="0" t="n">
        <f aca="false">COUNTIF($BA$1441:$EH$1441,"D")</f>
        <v>2</v>
      </c>
      <c r="AW2404" s="0" t="n">
        <f aca="false">COUNTIF($BA$1441:$EH$1441,"R")</f>
        <v>0</v>
      </c>
      <c r="AX2404" s="0" t="n">
        <f aca="false"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>0</v>
      </c>
      <c r="AY2404" s="0" t="n">
        <f aca="false">COUNTIF(DU2404:EH2404, "&lt;&gt;")</f>
        <v>4</v>
      </c>
      <c r="AZ2404" s="0" t="n">
        <f aca="false">IF(EH2404&lt;&gt;"",1,0)</f>
        <v>0</v>
      </c>
      <c r="BB2404" s="0" t="s">
        <v>153</v>
      </c>
      <c r="CP2404" s="0" t="s">
        <v>154</v>
      </c>
      <c r="CV2404" s="0" t="s">
        <v>154</v>
      </c>
      <c r="CY2404" s="0" t="s">
        <v>154</v>
      </c>
      <c r="CZ2404" s="0" t="s">
        <v>176</v>
      </c>
      <c r="DC2404" s="0" t="s">
        <v>154</v>
      </c>
      <c r="DI2404" s="0" t="s">
        <v>154</v>
      </c>
      <c r="DN2404" s="0" t="s">
        <v>154</v>
      </c>
      <c r="DU2404" s="0" t="s">
        <v>154</v>
      </c>
      <c r="DX2404" s="0" t="s">
        <v>154</v>
      </c>
      <c r="ED2404" s="0" t="s">
        <v>176</v>
      </c>
      <c r="EF2404" s="0" t="s">
        <v>154</v>
      </c>
    </row>
    <row r="2405" customFormat="false" ht="13.8" hidden="true" customHeight="false" outlineLevel="0" collapsed="false">
      <c r="A2405" s="0" t="s">
        <v>10415</v>
      </c>
      <c r="B2405" s="0" t="n">
        <v>78</v>
      </c>
      <c r="C2405" s="0" t="n">
        <v>488206</v>
      </c>
      <c r="D2405" s="0" t="s">
        <v>6572</v>
      </c>
      <c r="E2405" s="0" t="s">
        <v>6871</v>
      </c>
      <c r="F2405" s="0" t="str">
        <f aca="false">CONCATENATE(D2405," ",LEFT(H2405,4),"T=",AU2405,"D=",AV2405,"R=",AW2405,"M=",AX2405,"L=",AY2405,"B=",AZ2405)</f>
        <v>STARK T=1D=0R=0M=0L=0B=0</v>
      </c>
      <c r="I2405" s="0" t="s">
        <v>10416</v>
      </c>
      <c r="J2405" s="0" t="s">
        <v>757</v>
      </c>
      <c r="K2405" s="0" t="s">
        <v>175</v>
      </c>
      <c r="L2405" s="0"/>
      <c r="M2405" s="0" t="s">
        <v>10417</v>
      </c>
      <c r="N2405" s="0" t="str">
        <f aca="false">RIGHT(M2405,LEN(M2405)-FIND(" ",M2405))</f>
        <v>SCHOOL ST NW</v>
      </c>
      <c r="P2405" s="0" t="s">
        <v>146</v>
      </c>
      <c r="Q2405" s="0" t="s">
        <v>147</v>
      </c>
      <c r="R2405" s="0" t="n">
        <v>44483</v>
      </c>
      <c r="AD2405" s="0" t="s">
        <v>148</v>
      </c>
      <c r="AE2405" s="0" t="s">
        <v>149</v>
      </c>
      <c r="AF2405" s="0" t="s">
        <v>150</v>
      </c>
      <c r="AH2405" s="0" t="n">
        <v>14</v>
      </c>
      <c r="AI2405" s="0" t="n">
        <v>11</v>
      </c>
      <c r="AN2405" s="0" t="s">
        <v>146</v>
      </c>
      <c r="AO2405" s="0" t="s">
        <v>151</v>
      </c>
      <c r="AP2405" s="0" t="s">
        <v>152</v>
      </c>
      <c r="AQ2405" s="0" t="n">
        <v>9</v>
      </c>
      <c r="AR2405" s="0" t="n">
        <v>64</v>
      </c>
      <c r="AS2405" s="0" t="n">
        <v>32</v>
      </c>
      <c r="AU2405" s="0" t="n">
        <f aca="false">COUNTA($BA$1222:$EH$1222)</f>
        <v>1</v>
      </c>
      <c r="AV2405" s="0" t="n">
        <f aca="false">COUNTIF($BA$1222:$EH$1222,"D")</f>
        <v>0</v>
      </c>
      <c r="AW2405" s="0" t="n">
        <f aca="false">COUNTIF($BA$1222:$EH$1222,"R")</f>
        <v>0</v>
      </c>
      <c r="AX2405" s="0" t="n">
        <f aca="false"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>0</v>
      </c>
      <c r="AY2405" s="0" t="n">
        <f aca="false">COUNTIF(DU2405:EH2405, "&lt;&gt;")</f>
        <v>0</v>
      </c>
      <c r="AZ2405" s="0" t="n">
        <f aca="false">IF(EH2405&lt;&gt;"",1,0)</f>
        <v>0</v>
      </c>
      <c r="BB2405" s="0" t="s">
        <v>153</v>
      </c>
    </row>
    <row r="2406" customFormat="false" ht="13.8" hidden="true" customHeight="false" outlineLevel="0" collapsed="false">
      <c r="A2406" s="0" t="s">
        <v>10418</v>
      </c>
      <c r="B2406" s="0" t="n">
        <v>78</v>
      </c>
      <c r="C2406" s="0" t="n">
        <v>390792</v>
      </c>
      <c r="D2406" s="0" t="s">
        <v>10419</v>
      </c>
      <c r="E2406" s="0" t="s">
        <v>266</v>
      </c>
      <c r="F2406" s="0" t="str">
        <f aca="false">CONCATENATE(D2406," ",LEFT(H2406,4),"T=",AU2406,"D=",AV2406,"R=",AW2406,"M=",AX2406,"L=",AY2406,"B=",AZ2406)</f>
        <v>WITHEROW JRT=12D=1R=0M=0L=0B=0</v>
      </c>
      <c r="G2406" s="0" t="s">
        <v>365</v>
      </c>
      <c r="H2406" s="0" t="s">
        <v>431</v>
      </c>
      <c r="I2406" s="0" t="s">
        <v>8245</v>
      </c>
      <c r="J2406" s="0" t="s">
        <v>3204</v>
      </c>
      <c r="K2406" s="0" t="s">
        <v>144</v>
      </c>
      <c r="L2406" s="0"/>
      <c r="M2406" s="0" t="s">
        <v>10420</v>
      </c>
      <c r="N2406" s="0" t="str">
        <f aca="false">RIGHT(M2406,LEN(M2406)-FIND(" ",M2406))</f>
        <v>SCHOOL ST NW</v>
      </c>
      <c r="O2406" s="0" t="s">
        <v>192</v>
      </c>
      <c r="P2406" s="0" t="s">
        <v>146</v>
      </c>
      <c r="Q2406" s="0" t="s">
        <v>147</v>
      </c>
      <c r="R2406" s="0" t="n">
        <v>44483</v>
      </c>
      <c r="AD2406" s="0" t="s">
        <v>148</v>
      </c>
      <c r="AE2406" s="0" t="s">
        <v>149</v>
      </c>
      <c r="AF2406" s="0" t="s">
        <v>150</v>
      </c>
      <c r="AH2406" s="0" t="n">
        <v>14</v>
      </c>
      <c r="AI2406" s="0" t="n">
        <v>11</v>
      </c>
      <c r="AN2406" s="0" t="s">
        <v>146</v>
      </c>
      <c r="AO2406" s="0" t="s">
        <v>151</v>
      </c>
      <c r="AP2406" s="0" t="s">
        <v>152</v>
      </c>
      <c r="AQ2406" s="0" t="n">
        <v>9</v>
      </c>
      <c r="AR2406" s="0" t="n">
        <v>64</v>
      </c>
      <c r="AS2406" s="0" t="n">
        <v>32</v>
      </c>
      <c r="AU2406" s="0" t="n">
        <f aca="false">COUNTA($BA$1358:$EH$1358)</f>
        <v>12</v>
      </c>
      <c r="AV2406" s="0" t="n">
        <f aca="false">COUNTIF($BA$1358:$EH$1358,"D")</f>
        <v>1</v>
      </c>
      <c r="AW2406" s="0" t="n">
        <f aca="false">COUNTIF($BA$1358:$EH$1358,"R")</f>
        <v>0</v>
      </c>
      <c r="AX2406" s="0" t="n">
        <f aca="false"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>0</v>
      </c>
      <c r="AY2406" s="0" t="n">
        <f aca="false">COUNTIF(DU2406:EH2406, "&lt;&gt;")</f>
        <v>0</v>
      </c>
      <c r="AZ2406" s="0" t="n">
        <f aca="false">IF(EH2406&lt;&gt;"",1,0)</f>
        <v>0</v>
      </c>
      <c r="BB2406" s="0" t="s">
        <v>153</v>
      </c>
      <c r="CP2406" s="0" t="s">
        <v>154</v>
      </c>
      <c r="CT2406" s="0" t="s">
        <v>154</v>
      </c>
    </row>
    <row r="2407" customFormat="false" ht="13.8" hidden="true" customHeight="false" outlineLevel="0" collapsed="false">
      <c r="A2407" s="0" t="s">
        <v>10421</v>
      </c>
      <c r="B2407" s="0" t="n">
        <v>78</v>
      </c>
      <c r="C2407" s="0" t="n">
        <v>441815</v>
      </c>
      <c r="D2407" s="0" t="s">
        <v>5841</v>
      </c>
      <c r="E2407" s="0" t="s">
        <v>4099</v>
      </c>
      <c r="F2407" s="0" t="str">
        <f aca="false">CONCATENATE(D2407," ",LEFT(H2407,4),"T=",AU2407,"D=",AV2407,"R=",AW2407,"M=",AX2407,"L=",AY2407,"B=",AZ2407)</f>
        <v>GREEN T=1D=0R=0M=0L=1B=0</v>
      </c>
      <c r="G2407" s="0" t="s">
        <v>329</v>
      </c>
      <c r="I2407" s="0" t="s">
        <v>10422</v>
      </c>
      <c r="J2407" s="0" t="s">
        <v>10423</v>
      </c>
      <c r="K2407" s="0" t="s">
        <v>175</v>
      </c>
      <c r="L2407" s="0"/>
      <c r="M2407" s="0" t="s">
        <v>10424</v>
      </c>
      <c r="N2407" s="0" t="str">
        <f aca="false">RIGHT(M2407,LEN(M2407)-FIND(" ",M2407))</f>
        <v>SCHOOL ST NW</v>
      </c>
      <c r="P2407" s="0" t="s">
        <v>146</v>
      </c>
      <c r="Q2407" s="0" t="s">
        <v>147</v>
      </c>
      <c r="R2407" s="0" t="n">
        <v>44483</v>
      </c>
      <c r="AD2407" s="0" t="s">
        <v>148</v>
      </c>
      <c r="AE2407" s="0" t="s">
        <v>149</v>
      </c>
      <c r="AF2407" s="0" t="s">
        <v>150</v>
      </c>
      <c r="AH2407" s="0" t="n">
        <v>14</v>
      </c>
      <c r="AI2407" s="0" t="n">
        <v>11</v>
      </c>
      <c r="AN2407" s="0" t="s">
        <v>146</v>
      </c>
      <c r="AO2407" s="0" t="s">
        <v>151</v>
      </c>
      <c r="AP2407" s="0" t="s">
        <v>152</v>
      </c>
      <c r="AQ2407" s="0" t="n">
        <v>9</v>
      </c>
      <c r="AR2407" s="0" t="n">
        <v>64</v>
      </c>
      <c r="AS2407" s="0" t="n">
        <v>32</v>
      </c>
      <c r="AU2407" s="0" t="n">
        <f aca="false">COUNTA($BA$1194:$EH$1194)</f>
        <v>1</v>
      </c>
      <c r="AV2407" s="0" t="n">
        <f aca="false">COUNTIF($BA$1194:$EH$1194,"D")</f>
        <v>0</v>
      </c>
      <c r="AW2407" s="0" t="n">
        <f aca="false">COUNTIF($BA$1194:$EH$1194,"R")</f>
        <v>0</v>
      </c>
      <c r="AX2407" s="0" t="n">
        <f aca="false"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>0</v>
      </c>
      <c r="AY2407" s="0" t="n">
        <f aca="false">COUNTIF(DU2407:EH2407, "&lt;&gt;")</f>
        <v>1</v>
      </c>
      <c r="AZ2407" s="0" t="n">
        <f aca="false">IF(EH2407&lt;&gt;"",1,0)</f>
        <v>0</v>
      </c>
      <c r="BB2407" s="0" t="s">
        <v>153</v>
      </c>
      <c r="EF2407" s="0" t="s">
        <v>154</v>
      </c>
    </row>
    <row r="2408" customFormat="false" ht="13.8" hidden="true" customHeight="false" outlineLevel="0" collapsed="false">
      <c r="A2408" s="0" t="s">
        <v>10425</v>
      </c>
      <c r="B2408" s="0" t="n">
        <v>78</v>
      </c>
      <c r="C2408" s="0" t="n">
        <v>494628</v>
      </c>
      <c r="D2408" s="0" t="s">
        <v>5841</v>
      </c>
      <c r="E2408" s="0" t="s">
        <v>10426</v>
      </c>
      <c r="F2408" s="0" t="str">
        <f aca="false">CONCATENATE(D2408," ",LEFT(H2408,4),"T=",AU2408,"D=",AV2408,"R=",AW2408,"M=",AX2408,"L=",AY2408,"B=",AZ2408)</f>
        <v>GREEN T=25D=10R=0M=0L=0B=0</v>
      </c>
      <c r="G2408" s="0" t="s">
        <v>10427</v>
      </c>
      <c r="I2408" s="0" t="s">
        <v>10428</v>
      </c>
      <c r="J2408" s="0" t="s">
        <v>10429</v>
      </c>
      <c r="K2408" s="0" t="s">
        <v>175</v>
      </c>
      <c r="L2408" s="0"/>
      <c r="M2408" s="0" t="s">
        <v>10424</v>
      </c>
      <c r="N2408" s="0" t="str">
        <f aca="false">RIGHT(M2408,LEN(M2408)-FIND(" ",M2408))</f>
        <v>SCHOOL ST NW</v>
      </c>
      <c r="P2408" s="0" t="s">
        <v>146</v>
      </c>
      <c r="Q2408" s="0" t="s">
        <v>147</v>
      </c>
      <c r="R2408" s="0" t="n">
        <v>44483</v>
      </c>
      <c r="AD2408" s="0" t="s">
        <v>148</v>
      </c>
      <c r="AE2408" s="0" t="s">
        <v>149</v>
      </c>
      <c r="AF2408" s="0" t="s">
        <v>150</v>
      </c>
      <c r="AH2408" s="0" t="n">
        <v>14</v>
      </c>
      <c r="AI2408" s="0" t="n">
        <v>11</v>
      </c>
      <c r="AN2408" s="0" t="s">
        <v>146</v>
      </c>
      <c r="AO2408" s="0" t="s">
        <v>151</v>
      </c>
      <c r="AP2408" s="0" t="s">
        <v>152</v>
      </c>
      <c r="AQ2408" s="0" t="n">
        <v>9</v>
      </c>
      <c r="AR2408" s="0" t="n">
        <v>64</v>
      </c>
      <c r="AS2408" s="0" t="n">
        <v>32</v>
      </c>
      <c r="AU2408" s="0" t="n">
        <f aca="false">COUNTA($BA$1959:$EH$1959)</f>
        <v>25</v>
      </c>
      <c r="AV2408" s="0" t="n">
        <f aca="false">COUNTIF($BA$1959:$EH$1959,"D")</f>
        <v>10</v>
      </c>
      <c r="AW2408" s="0" t="n">
        <f aca="false">COUNTIF($BA$1959:$EH$1959,"R")</f>
        <v>0</v>
      </c>
      <c r="AX2408" s="0" t="n">
        <f aca="false"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>0</v>
      </c>
      <c r="AY2408" s="0" t="n">
        <f aca="false">COUNTIF(DU2408:EH2408, "&lt;&gt;")</f>
        <v>0</v>
      </c>
      <c r="AZ2408" s="0" t="n">
        <f aca="false">IF(EH2408&lt;&gt;"",1,0)</f>
        <v>0</v>
      </c>
      <c r="BB2408" s="0" t="s">
        <v>153</v>
      </c>
    </row>
    <row r="2409" customFormat="false" ht="13.8" hidden="true" customHeight="false" outlineLevel="0" collapsed="false">
      <c r="A2409" s="0" t="s">
        <v>10430</v>
      </c>
      <c r="B2409" s="0" t="n">
        <v>78</v>
      </c>
      <c r="C2409" s="0" t="n">
        <v>326462</v>
      </c>
      <c r="D2409" s="0" t="s">
        <v>10431</v>
      </c>
      <c r="E2409" s="0" t="s">
        <v>8611</v>
      </c>
      <c r="F2409" s="0" t="str">
        <f aca="false">CONCATENATE(D2409," ",LEFT(H2409,4),"T=",AU2409,"D=",AV2409,"R=",AW2409,"M=",AX2409,"L=",AY2409,"B=",AZ2409)</f>
        <v>PRUITT T=50D=17R=0M=0L=1B=0</v>
      </c>
      <c r="G2409" s="0" t="s">
        <v>176</v>
      </c>
      <c r="I2409" s="0" t="s">
        <v>10432</v>
      </c>
      <c r="J2409" s="0" t="s">
        <v>10433</v>
      </c>
      <c r="K2409" s="0" t="s">
        <v>175</v>
      </c>
      <c r="L2409" s="0"/>
      <c r="M2409" s="0" t="s">
        <v>10424</v>
      </c>
      <c r="N2409" s="0" t="str">
        <f aca="false">RIGHT(M2409,LEN(M2409)-FIND(" ",M2409))</f>
        <v>SCHOOL ST NW</v>
      </c>
      <c r="P2409" s="0" t="s">
        <v>146</v>
      </c>
      <c r="Q2409" s="0" t="s">
        <v>147</v>
      </c>
      <c r="R2409" s="0" t="n">
        <v>44483</v>
      </c>
      <c r="AD2409" s="0" t="s">
        <v>148</v>
      </c>
      <c r="AE2409" s="0" t="s">
        <v>149</v>
      </c>
      <c r="AF2409" s="0" t="s">
        <v>150</v>
      </c>
      <c r="AH2409" s="0" t="n">
        <v>14</v>
      </c>
      <c r="AI2409" s="0" t="n">
        <v>11</v>
      </c>
      <c r="AN2409" s="0" t="s">
        <v>146</v>
      </c>
      <c r="AO2409" s="0" t="s">
        <v>151</v>
      </c>
      <c r="AP2409" s="0" t="s">
        <v>152</v>
      </c>
      <c r="AQ2409" s="0" t="n">
        <v>9</v>
      </c>
      <c r="AR2409" s="0" t="n">
        <v>64</v>
      </c>
      <c r="AS2409" s="0" t="n">
        <v>32</v>
      </c>
      <c r="AU2409" s="0" t="n">
        <f aca="false">COUNTA($BA$2020:$EH$2020)</f>
        <v>50</v>
      </c>
      <c r="AV2409" s="0" t="n">
        <f aca="false">COUNTIF($BA$2020:$EH$2020,"D")</f>
        <v>17</v>
      </c>
      <c r="AW2409" s="0" t="n">
        <f aca="false">COUNTIF($BA$2020:$EH$2020,"R")</f>
        <v>0</v>
      </c>
      <c r="AX2409" s="0" t="n">
        <f aca="false"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>0</v>
      </c>
      <c r="AY2409" s="0" t="n">
        <f aca="false">COUNTIF(DU2409:EH2409, "&lt;&gt;")</f>
        <v>1</v>
      </c>
      <c r="AZ2409" s="0" t="n">
        <f aca="false">IF(EH2409&lt;&gt;"",1,0)</f>
        <v>0</v>
      </c>
      <c r="BB2409" s="0" t="s">
        <v>153</v>
      </c>
      <c r="BL2409" s="0" t="s">
        <v>154</v>
      </c>
      <c r="BS2409" s="0" t="s">
        <v>154</v>
      </c>
      <c r="BY2409" s="0" t="s">
        <v>155</v>
      </c>
      <c r="CA2409" s="0" t="s">
        <v>154</v>
      </c>
      <c r="CP2409" s="0" t="s">
        <v>154</v>
      </c>
      <c r="DC2409" s="0" t="s">
        <v>154</v>
      </c>
      <c r="DN2409" s="0" t="s">
        <v>154</v>
      </c>
      <c r="EF2409" s="0" t="s">
        <v>154</v>
      </c>
    </row>
    <row r="2410" customFormat="false" ht="13.8" hidden="true" customHeight="false" outlineLevel="0" collapsed="false">
      <c r="A2410" s="0" t="s">
        <v>10434</v>
      </c>
      <c r="B2410" s="0" t="n">
        <v>78</v>
      </c>
      <c r="C2410" s="0" t="n">
        <v>462116</v>
      </c>
      <c r="D2410" s="0" t="s">
        <v>10435</v>
      </c>
      <c r="E2410" s="0" t="s">
        <v>158</v>
      </c>
      <c r="F2410" s="0" t="str">
        <f aca="false">CONCATENATE(D2410," ",LEFT(H2410,4),"T=",AU2410,"D=",AV2410,"R=",AW2410,"M=",AX2410,"L=",AY2410,"B=",AZ2410)</f>
        <v>GRANT MALONEY T=1D=0R=0M=0L=1B=0</v>
      </c>
      <c r="G2410" s="0" t="s">
        <v>10436</v>
      </c>
      <c r="I2410" s="0" t="s">
        <v>10437</v>
      </c>
      <c r="J2410" s="0" t="s">
        <v>3875</v>
      </c>
      <c r="K2410" s="0" t="s">
        <v>175</v>
      </c>
      <c r="L2410" s="0"/>
      <c r="M2410" s="0" t="s">
        <v>10438</v>
      </c>
      <c r="N2410" s="0" t="str">
        <f aca="false">RIGHT(M2410,LEN(M2410)-FIND(" ",M2410))</f>
        <v>SCHOOL ST NW</v>
      </c>
      <c r="P2410" s="0" t="s">
        <v>146</v>
      </c>
      <c r="Q2410" s="0" t="s">
        <v>147</v>
      </c>
      <c r="R2410" s="0" t="n">
        <v>44483</v>
      </c>
      <c r="AD2410" s="0" t="s">
        <v>148</v>
      </c>
      <c r="AE2410" s="0" t="s">
        <v>149</v>
      </c>
      <c r="AF2410" s="0" t="s">
        <v>150</v>
      </c>
      <c r="AH2410" s="0" t="n">
        <v>14</v>
      </c>
      <c r="AI2410" s="0" t="n">
        <v>11</v>
      </c>
      <c r="AN2410" s="0" t="s">
        <v>146</v>
      </c>
      <c r="AO2410" s="0" t="s">
        <v>151</v>
      </c>
      <c r="AP2410" s="0" t="s">
        <v>152</v>
      </c>
      <c r="AQ2410" s="0" t="n">
        <v>9</v>
      </c>
      <c r="AR2410" s="0" t="n">
        <v>64</v>
      </c>
      <c r="AS2410" s="0" t="n">
        <v>32</v>
      </c>
      <c r="AU2410" s="0" t="n">
        <f aca="false">COUNTA($BA$1209:$EH$1209)</f>
        <v>1</v>
      </c>
      <c r="AV2410" s="0" t="n">
        <f aca="false">COUNTIF($BA$1209:$EH$1209,"D")</f>
        <v>0</v>
      </c>
      <c r="AW2410" s="0" t="n">
        <f aca="false">COUNTIF($BA$1209:$EH$1209,"R")</f>
        <v>0</v>
      </c>
      <c r="AX2410" s="0" t="n">
        <f aca="false"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>0</v>
      </c>
      <c r="AY2410" s="0" t="n">
        <f aca="false">COUNTIF(DU2410:EH2410, "&lt;&gt;")</f>
        <v>1</v>
      </c>
      <c r="AZ2410" s="0" t="n">
        <f aca="false">IF(EH2410&lt;&gt;"",1,0)</f>
        <v>0</v>
      </c>
      <c r="BB2410" s="0" t="s">
        <v>153</v>
      </c>
      <c r="EF2410" s="0" t="s">
        <v>154</v>
      </c>
    </row>
    <row r="2411" customFormat="false" ht="13.8" hidden="true" customHeight="false" outlineLevel="0" collapsed="false">
      <c r="A2411" s="0" t="s">
        <v>10439</v>
      </c>
      <c r="B2411" s="0" t="n">
        <v>78</v>
      </c>
      <c r="C2411" s="0" t="n">
        <v>486920</v>
      </c>
      <c r="D2411" s="0" t="s">
        <v>2248</v>
      </c>
      <c r="E2411" s="0" t="s">
        <v>283</v>
      </c>
      <c r="F2411" s="0" t="str">
        <f aca="false">CONCATENATE(D2411," ",LEFT(H2411,4),"T=",AU2411,"D=",AV2411,"R=",AW2411,"M=",AX2411,"L=",AY2411,"B=",AZ2411)</f>
        <v>COX T=2D=0R=0M=0L=0B=0</v>
      </c>
      <c r="G2411" s="0" t="s">
        <v>241</v>
      </c>
      <c r="I2411" s="0" t="s">
        <v>10440</v>
      </c>
      <c r="J2411" s="0" t="s">
        <v>9142</v>
      </c>
      <c r="K2411" s="0" t="s">
        <v>175</v>
      </c>
      <c r="L2411" s="0"/>
      <c r="M2411" s="0" t="s">
        <v>10438</v>
      </c>
      <c r="N2411" s="0" t="str">
        <f aca="false">RIGHT(M2411,LEN(M2411)-FIND(" ",M2411))</f>
        <v>SCHOOL ST NW</v>
      </c>
      <c r="P2411" s="0" t="s">
        <v>146</v>
      </c>
      <c r="Q2411" s="0" t="s">
        <v>147</v>
      </c>
      <c r="R2411" s="0" t="n">
        <v>44483</v>
      </c>
      <c r="AD2411" s="0" t="s">
        <v>148</v>
      </c>
      <c r="AE2411" s="0" t="s">
        <v>149</v>
      </c>
      <c r="AF2411" s="0" t="s">
        <v>150</v>
      </c>
      <c r="AH2411" s="0" t="n">
        <v>14</v>
      </c>
      <c r="AI2411" s="0" t="n">
        <v>11</v>
      </c>
      <c r="AN2411" s="0" t="s">
        <v>146</v>
      </c>
      <c r="AO2411" s="0" t="s">
        <v>151</v>
      </c>
      <c r="AP2411" s="0" t="s">
        <v>152</v>
      </c>
      <c r="AQ2411" s="0" t="n">
        <v>9</v>
      </c>
      <c r="AR2411" s="0" t="n">
        <v>64</v>
      </c>
      <c r="AS2411" s="0" t="n">
        <v>32</v>
      </c>
      <c r="AU2411" s="0" t="n">
        <f aca="false">COUNTA($BA$1304:$EH$1304)</f>
        <v>2</v>
      </c>
      <c r="AV2411" s="0" t="n">
        <f aca="false">COUNTIF($BA$1304:$EH$1304,"D")</f>
        <v>0</v>
      </c>
      <c r="AW2411" s="0" t="n">
        <f aca="false">COUNTIF($BA$1304:$EH$1304,"R")</f>
        <v>0</v>
      </c>
      <c r="AX2411" s="0" t="n">
        <f aca="false"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>0</v>
      </c>
      <c r="AY2411" s="0" t="n">
        <f aca="false">COUNTIF(DU2411:EH2411, "&lt;&gt;")</f>
        <v>0</v>
      </c>
      <c r="AZ2411" s="0" t="n">
        <f aca="false">IF(EH2411&lt;&gt;"",1,0)</f>
        <v>0</v>
      </c>
      <c r="BB2411" s="0" t="s">
        <v>153</v>
      </c>
    </row>
    <row r="2412" customFormat="false" ht="13.8" hidden="true" customHeight="false" outlineLevel="0" collapsed="false">
      <c r="A2412" s="0" t="s">
        <v>10441</v>
      </c>
      <c r="B2412" s="0" t="n">
        <v>78</v>
      </c>
      <c r="C2412" s="0" t="n">
        <v>478086</v>
      </c>
      <c r="D2412" s="0" t="s">
        <v>1549</v>
      </c>
      <c r="E2412" s="0" t="s">
        <v>1684</v>
      </c>
      <c r="F2412" s="0" t="str">
        <f aca="false">CONCATENATE(D2412," ",LEFT(H2412,4),"T=",AU2412,"D=",AV2412,"R=",AW2412,"M=",AX2412,"L=",AY2412,"B=",AZ2412)</f>
        <v>WILSON T=38D=9R=0M=0L=1B=0</v>
      </c>
      <c r="G2412" s="0" t="s">
        <v>445</v>
      </c>
      <c r="I2412" s="0" t="s">
        <v>10442</v>
      </c>
      <c r="J2412" s="0" t="s">
        <v>1217</v>
      </c>
      <c r="K2412" s="0" t="s">
        <v>175</v>
      </c>
      <c r="L2412" s="0"/>
      <c r="M2412" s="0" t="s">
        <v>10443</v>
      </c>
      <c r="N2412" s="0" t="str">
        <f aca="false">RIGHT(M2412,LEN(M2412)-FIND(" ",M2412))</f>
        <v>SCHOOL ST NW</v>
      </c>
      <c r="O2412" s="0" t="s">
        <v>1710</v>
      </c>
      <c r="P2412" s="0" t="s">
        <v>146</v>
      </c>
      <c r="Q2412" s="0" t="s">
        <v>147</v>
      </c>
      <c r="R2412" s="0" t="n">
        <v>44483</v>
      </c>
      <c r="AD2412" s="0" t="s">
        <v>148</v>
      </c>
      <c r="AE2412" s="0" t="s">
        <v>149</v>
      </c>
      <c r="AF2412" s="0" t="s">
        <v>150</v>
      </c>
      <c r="AH2412" s="0" t="n">
        <v>14</v>
      </c>
      <c r="AI2412" s="0" t="n">
        <v>11</v>
      </c>
      <c r="AN2412" s="0" t="s">
        <v>146</v>
      </c>
      <c r="AO2412" s="0" t="s">
        <v>151</v>
      </c>
      <c r="AP2412" s="0" t="s">
        <v>152</v>
      </c>
      <c r="AQ2412" s="0" t="n">
        <v>9</v>
      </c>
      <c r="AR2412" s="0" t="n">
        <v>64</v>
      </c>
      <c r="AS2412" s="0" t="n">
        <v>32</v>
      </c>
      <c r="AU2412" s="0" t="n">
        <f aca="false">COUNTA($BA$1234:$EH$1234)</f>
        <v>38</v>
      </c>
      <c r="AV2412" s="0" t="n">
        <f aca="false">COUNTIF($BA$1234:$EH$1234,"D")</f>
        <v>9</v>
      </c>
      <c r="AW2412" s="0" t="n">
        <f aca="false">COUNTIF($BA$1234:$EH$1234,"R")</f>
        <v>0</v>
      </c>
      <c r="AX2412" s="0" t="n">
        <f aca="false"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>0</v>
      </c>
      <c r="AY2412" s="0" t="n">
        <f aca="false">COUNTIF(DU2412:EH2412, "&lt;&gt;")</f>
        <v>1</v>
      </c>
      <c r="AZ2412" s="0" t="n">
        <f aca="false">IF(EH2412&lt;&gt;"",1,0)</f>
        <v>0</v>
      </c>
      <c r="BB2412" s="0" t="s">
        <v>153</v>
      </c>
      <c r="EF2412" s="0" t="s">
        <v>154</v>
      </c>
    </row>
    <row r="2413" customFormat="false" ht="13.8" hidden="false" customHeight="false" outlineLevel="0" collapsed="false">
      <c r="A2413" s="0" t="s">
        <v>10444</v>
      </c>
      <c r="B2413" s="0" t="n">
        <v>78</v>
      </c>
      <c r="C2413" s="0" t="n">
        <v>447909</v>
      </c>
      <c r="D2413" s="0" t="s">
        <v>10445</v>
      </c>
      <c r="E2413" s="0" t="s">
        <v>5793</v>
      </c>
      <c r="F2413" s="0" t="str">
        <f aca="false">CONCATENATE(D2413," ",LEFT(H2413,4),"T=",AU2413,"D=",AV2413,"R=",AW2413,"M=",AX2413,"L=",AY2413,"B=",AZ2413)</f>
        <v>FERRELL T=3D=0R=0M=0L=2B=0</v>
      </c>
      <c r="G2413" s="0" t="s">
        <v>10446</v>
      </c>
      <c r="I2413" s="0" t="s">
        <v>10447</v>
      </c>
      <c r="J2413" s="0" t="s">
        <v>10448</v>
      </c>
      <c r="K2413" s="0" t="s">
        <v>175</v>
      </c>
      <c r="M2413" s="0" t="s">
        <v>10443</v>
      </c>
      <c r="N2413" s="0" t="str">
        <f aca="false">RIGHT(M2413,LEN(M2413)-FIND(" ",M2413))</f>
        <v>SCHOOL ST NW</v>
      </c>
      <c r="O2413" s="0" t="s">
        <v>1681</v>
      </c>
      <c r="P2413" s="0" t="s">
        <v>146</v>
      </c>
      <c r="Q2413" s="0" t="s">
        <v>147</v>
      </c>
      <c r="R2413" s="0" t="n">
        <v>44483</v>
      </c>
      <c r="AD2413" s="0" t="s">
        <v>148</v>
      </c>
      <c r="AE2413" s="0" t="s">
        <v>149</v>
      </c>
      <c r="AF2413" s="0" t="s">
        <v>150</v>
      </c>
      <c r="AH2413" s="0" t="n">
        <v>14</v>
      </c>
      <c r="AI2413" s="0" t="n">
        <v>11</v>
      </c>
      <c r="AN2413" s="0" t="s">
        <v>146</v>
      </c>
      <c r="AO2413" s="0" t="s">
        <v>151</v>
      </c>
      <c r="AP2413" s="0" t="s">
        <v>152</v>
      </c>
      <c r="AQ2413" s="0" t="n">
        <v>9</v>
      </c>
      <c r="AR2413" s="0" t="n">
        <v>64</v>
      </c>
      <c r="AS2413" s="0" t="n">
        <v>32</v>
      </c>
      <c r="AU2413" s="0" t="n">
        <f aca="false">COUNTA($BA$1390:$EH$1390)</f>
        <v>3</v>
      </c>
      <c r="AV2413" s="0" t="n">
        <f aca="false">COUNTIF($BA$1390:$EH$1390,"D")</f>
        <v>0</v>
      </c>
      <c r="AW2413" s="0" t="n">
        <f aca="false">COUNTIF($BA$1390:$EH$1390,"R")</f>
        <v>0</v>
      </c>
      <c r="AX2413" s="0" t="n">
        <f aca="false"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>0</v>
      </c>
      <c r="AY2413" s="0" t="n">
        <f aca="false">COUNTIF(DU2413:EH2413, "&lt;&gt;")</f>
        <v>2</v>
      </c>
      <c r="AZ2413" s="0" t="n">
        <f aca="false">IF(EH2413&lt;&gt;"",1,0)</f>
        <v>0</v>
      </c>
      <c r="BB2413" s="0" t="s">
        <v>153</v>
      </c>
      <c r="EA2413" s="0" t="s">
        <v>154</v>
      </c>
      <c r="EF2413" s="0" t="s">
        <v>154</v>
      </c>
    </row>
    <row r="2414" customFormat="false" ht="13.8" hidden="true" customHeight="false" outlineLevel="0" collapsed="false">
      <c r="A2414" s="0" t="s">
        <v>10449</v>
      </c>
      <c r="B2414" s="0" t="n">
        <v>78</v>
      </c>
      <c r="C2414" s="0" t="n">
        <v>396779</v>
      </c>
      <c r="D2414" s="0" t="s">
        <v>10450</v>
      </c>
      <c r="E2414" s="0" t="s">
        <v>3032</v>
      </c>
      <c r="F2414" s="0" t="str">
        <f aca="false">CONCATENATE(D2414," ",LEFT(H2414,4),"T=",AU2414,"D=",AV2414,"R=",AW2414,"M=",AX2414,"L=",AY2414,"B=",AZ2414)</f>
        <v>SAUER JRT=5D=0R=0M=0L=0B=0</v>
      </c>
      <c r="G2414" s="0" t="s">
        <v>365</v>
      </c>
      <c r="H2414" s="0" t="s">
        <v>431</v>
      </c>
      <c r="I2414" s="0" t="s">
        <v>10451</v>
      </c>
      <c r="J2414" s="0" t="s">
        <v>10452</v>
      </c>
      <c r="K2414" s="0" t="s">
        <v>144</v>
      </c>
      <c r="L2414" s="0"/>
      <c r="M2414" s="0" t="s">
        <v>10443</v>
      </c>
      <c r="N2414" s="0" t="str">
        <f aca="false">RIGHT(M2414,LEN(M2414)-FIND(" ",M2414))</f>
        <v>SCHOOL ST NW</v>
      </c>
      <c r="O2414" s="0" t="s">
        <v>192</v>
      </c>
      <c r="P2414" s="0" t="s">
        <v>146</v>
      </c>
      <c r="Q2414" s="0" t="s">
        <v>147</v>
      </c>
      <c r="R2414" s="0" t="n">
        <v>44483</v>
      </c>
      <c r="AD2414" s="0" t="s">
        <v>148</v>
      </c>
      <c r="AE2414" s="0" t="s">
        <v>149</v>
      </c>
      <c r="AF2414" s="0" t="s">
        <v>150</v>
      </c>
      <c r="AH2414" s="0" t="n">
        <v>14</v>
      </c>
      <c r="AI2414" s="0" t="n">
        <v>11</v>
      </c>
      <c r="AN2414" s="0" t="s">
        <v>146</v>
      </c>
      <c r="AO2414" s="0" t="s">
        <v>151</v>
      </c>
      <c r="AP2414" s="0" t="s">
        <v>152</v>
      </c>
      <c r="AQ2414" s="0" t="n">
        <v>9</v>
      </c>
      <c r="AR2414" s="0" t="n">
        <v>64</v>
      </c>
      <c r="AS2414" s="0" t="n">
        <v>32</v>
      </c>
      <c r="AU2414" s="0" t="n">
        <f aca="false">COUNTA($BA$1634:$EH$1634)</f>
        <v>5</v>
      </c>
      <c r="AV2414" s="0" t="n">
        <f aca="false">COUNTIF($BA$1634:$EH$1634,"D")</f>
        <v>0</v>
      </c>
      <c r="AW2414" s="0" t="n">
        <f aca="false">COUNTIF($BA$1634:$EH$1634,"R")</f>
        <v>0</v>
      </c>
      <c r="AX2414" s="0" t="n">
        <f aca="false"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>0</v>
      </c>
      <c r="AY2414" s="0" t="n">
        <f aca="false">COUNTIF(DU2414:EH2414, "&lt;&gt;")</f>
        <v>0</v>
      </c>
      <c r="AZ2414" s="0" t="n">
        <f aca="false">IF(EH2414&lt;&gt;"",1,0)</f>
        <v>0</v>
      </c>
      <c r="BB2414" s="0" t="s">
        <v>153</v>
      </c>
      <c r="DC2414" s="0" t="s">
        <v>154</v>
      </c>
    </row>
    <row r="2415" customFormat="false" ht="13.8" hidden="true" customHeight="false" outlineLevel="0" collapsed="false">
      <c r="A2415" s="0" t="s">
        <v>10453</v>
      </c>
      <c r="B2415" s="0" t="n">
        <v>78</v>
      </c>
      <c r="C2415" s="0" t="n">
        <v>411357</v>
      </c>
      <c r="D2415" s="0" t="s">
        <v>10454</v>
      </c>
      <c r="E2415" s="0" t="s">
        <v>10455</v>
      </c>
      <c r="F2415" s="0" t="str">
        <f aca="false">CONCATENATE(D2415," ",LEFT(H2415,4),"T=",AU2415,"D=",AV2415,"R=",AW2415,"M=",AX2415,"L=",AY2415,"B=",AZ2415)</f>
        <v>NORTH T=33D=8R=0M=0L=0B=0</v>
      </c>
      <c r="G2415" s="0" t="s">
        <v>188</v>
      </c>
      <c r="I2415" s="0" t="s">
        <v>10456</v>
      </c>
      <c r="J2415" s="0" t="s">
        <v>10457</v>
      </c>
      <c r="K2415" s="0" t="s">
        <v>175</v>
      </c>
      <c r="L2415" s="0"/>
      <c r="M2415" s="0" t="s">
        <v>10458</v>
      </c>
      <c r="N2415" s="0" t="str">
        <f aca="false">RIGHT(M2415,LEN(M2415)-FIND(" ",M2415))</f>
        <v>SHALOM AVE NW</v>
      </c>
      <c r="P2415" s="0" t="s">
        <v>146</v>
      </c>
      <c r="Q2415" s="0" t="s">
        <v>147</v>
      </c>
      <c r="R2415" s="0" t="n">
        <v>44483</v>
      </c>
      <c r="AD2415" s="0" t="s">
        <v>148</v>
      </c>
      <c r="AE2415" s="0" t="s">
        <v>149</v>
      </c>
      <c r="AF2415" s="0" t="s">
        <v>150</v>
      </c>
      <c r="AH2415" s="0" t="n">
        <v>14</v>
      </c>
      <c r="AI2415" s="0" t="n">
        <v>11</v>
      </c>
      <c r="AN2415" s="0" t="s">
        <v>146</v>
      </c>
      <c r="AO2415" s="0" t="s">
        <v>250</v>
      </c>
      <c r="AP2415" s="0" t="s">
        <v>251</v>
      </c>
      <c r="AQ2415" s="0" t="n">
        <v>9</v>
      </c>
      <c r="AR2415" s="0" t="n">
        <v>64</v>
      </c>
      <c r="AS2415" s="0" t="n">
        <v>32</v>
      </c>
      <c r="AU2415" s="0" t="n">
        <f aca="false">COUNTA($BA$2540:$EH$2540)</f>
        <v>33</v>
      </c>
      <c r="AV2415" s="0" t="n">
        <f aca="false">COUNTIF($BA$2540:$EH$2540,"D")</f>
        <v>8</v>
      </c>
      <c r="AW2415" s="0" t="n">
        <f aca="false">COUNTIF($BA$2540:$EH$2540,"R")</f>
        <v>0</v>
      </c>
      <c r="AX2415" s="0" t="n">
        <f aca="false"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>0</v>
      </c>
      <c r="AY2415" s="0" t="n">
        <f aca="false">COUNTIF(DU2415:EH2415, "&lt;&gt;")</f>
        <v>0</v>
      </c>
      <c r="AZ2415" s="0" t="n">
        <f aca="false">IF(EH2415&lt;&gt;"",1,0)</f>
        <v>0</v>
      </c>
      <c r="BB2415" s="0" t="s">
        <v>153</v>
      </c>
    </row>
    <row r="2416" customFormat="false" ht="13.8" hidden="true" customHeight="false" outlineLevel="0" collapsed="false">
      <c r="A2416" s="0" t="s">
        <v>10459</v>
      </c>
      <c r="B2416" s="0" t="n">
        <v>78</v>
      </c>
      <c r="C2416" s="0" t="n">
        <v>454454</v>
      </c>
      <c r="D2416" s="0" t="s">
        <v>10460</v>
      </c>
      <c r="E2416" s="0" t="s">
        <v>10461</v>
      </c>
      <c r="F2416" s="0" t="str">
        <f aca="false">CONCATENATE(D2416," ",LEFT(H2416,4),"T=",AU2416,"D=",AV2416,"R=",AW2416,"M=",AX2416,"L=",AY2416,"B=",AZ2416)</f>
        <v>FLENOURY T=4D=0R=0M=0L=1B=0</v>
      </c>
      <c r="G2416" s="0" t="s">
        <v>10462</v>
      </c>
      <c r="I2416" s="0" t="s">
        <v>616</v>
      </c>
      <c r="J2416" s="0" t="s">
        <v>1764</v>
      </c>
      <c r="K2416" s="0" t="s">
        <v>175</v>
      </c>
      <c r="L2416" s="0"/>
      <c r="M2416" s="0" t="s">
        <v>10463</v>
      </c>
      <c r="N2416" s="0" t="str">
        <f aca="false">RIGHT(M2416,LEN(M2416)-FIND(" ",M2416))</f>
        <v>SHALOM AVE NW</v>
      </c>
      <c r="O2416" s="0" t="s">
        <v>3901</v>
      </c>
      <c r="P2416" s="0" t="s">
        <v>146</v>
      </c>
      <c r="Q2416" s="0" t="s">
        <v>147</v>
      </c>
      <c r="R2416" s="0" t="n">
        <v>44483</v>
      </c>
      <c r="AD2416" s="0" t="s">
        <v>148</v>
      </c>
      <c r="AE2416" s="0" t="s">
        <v>149</v>
      </c>
      <c r="AF2416" s="0" t="s">
        <v>150</v>
      </c>
      <c r="AH2416" s="0" t="n">
        <v>14</v>
      </c>
      <c r="AI2416" s="0" t="n">
        <v>11</v>
      </c>
      <c r="AN2416" s="0" t="s">
        <v>146</v>
      </c>
      <c r="AO2416" s="0" t="s">
        <v>250</v>
      </c>
      <c r="AP2416" s="0" t="s">
        <v>251</v>
      </c>
      <c r="AQ2416" s="0" t="n">
        <v>9</v>
      </c>
      <c r="AR2416" s="0" t="n">
        <v>64</v>
      </c>
      <c r="AS2416" s="0" t="n">
        <v>32</v>
      </c>
      <c r="AU2416" s="0" t="n">
        <f aca="false">COUNTA($BA$2211:$EH$2211)</f>
        <v>4</v>
      </c>
      <c r="AV2416" s="0" t="n">
        <f aca="false">COUNTIF($BA$2211:$EH$2211,"D")</f>
        <v>0</v>
      </c>
      <c r="AW2416" s="0" t="n">
        <f aca="false">COUNTIF($BA$2211:$EH$2211,"R")</f>
        <v>0</v>
      </c>
      <c r="AX2416" s="0" t="n">
        <f aca="false"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>0</v>
      </c>
      <c r="AY2416" s="0" t="n">
        <f aca="false">COUNTIF(DU2416:EH2416, "&lt;&gt;")</f>
        <v>1</v>
      </c>
      <c r="AZ2416" s="0" t="n">
        <f aca="false">IF(EH2416&lt;&gt;"",1,0)</f>
        <v>0</v>
      </c>
      <c r="BB2416" s="0" t="s">
        <v>153</v>
      </c>
      <c r="DN2416" s="0" t="s">
        <v>154</v>
      </c>
      <c r="EF2416" s="0" t="s">
        <v>154</v>
      </c>
    </row>
    <row r="2417" customFormat="false" ht="13.8" hidden="true" customHeight="false" outlineLevel="0" collapsed="false">
      <c r="A2417" s="0" t="s">
        <v>10464</v>
      </c>
      <c r="B2417" s="0" t="n">
        <v>78</v>
      </c>
      <c r="C2417" s="0" t="n">
        <v>449874</v>
      </c>
      <c r="D2417" s="0" t="s">
        <v>801</v>
      </c>
      <c r="E2417" s="0" t="s">
        <v>10465</v>
      </c>
      <c r="F2417" s="0" t="str">
        <f aca="false">CONCATENATE(D2417," ",LEFT(H2417,4),"T=",AU2417,"D=",AV2417,"R=",AW2417,"M=",AX2417,"L=",AY2417,"B=",AZ2417)</f>
        <v>BELL T=25D=4R=3M=0L=1B=0</v>
      </c>
      <c r="G2417" s="0" t="s">
        <v>172</v>
      </c>
      <c r="I2417" s="0" t="s">
        <v>1069</v>
      </c>
      <c r="J2417" s="0" t="s">
        <v>712</v>
      </c>
      <c r="K2417" s="0" t="s">
        <v>175</v>
      </c>
      <c r="L2417" s="0"/>
      <c r="M2417" s="0" t="s">
        <v>10463</v>
      </c>
      <c r="N2417" s="0" t="str">
        <f aca="false">RIGHT(M2417,LEN(M2417)-FIND(" ",M2417))</f>
        <v>SHALOM AVE NW</v>
      </c>
      <c r="O2417" s="0" t="s">
        <v>3896</v>
      </c>
      <c r="P2417" s="0" t="s">
        <v>146</v>
      </c>
      <c r="Q2417" s="0" t="s">
        <v>147</v>
      </c>
      <c r="R2417" s="0" t="n">
        <v>44483</v>
      </c>
      <c r="AD2417" s="0" t="s">
        <v>148</v>
      </c>
      <c r="AE2417" s="0" t="s">
        <v>149</v>
      </c>
      <c r="AF2417" s="0" t="s">
        <v>150</v>
      </c>
      <c r="AH2417" s="0" t="n">
        <v>14</v>
      </c>
      <c r="AI2417" s="0" t="n">
        <v>11</v>
      </c>
      <c r="AN2417" s="0" t="s">
        <v>146</v>
      </c>
      <c r="AO2417" s="0" t="s">
        <v>250</v>
      </c>
      <c r="AP2417" s="0" t="s">
        <v>251</v>
      </c>
      <c r="AQ2417" s="0" t="n">
        <v>9</v>
      </c>
      <c r="AR2417" s="0" t="n">
        <v>64</v>
      </c>
      <c r="AS2417" s="0" t="n">
        <v>32</v>
      </c>
      <c r="AU2417" s="0" t="n">
        <f aca="false">COUNTA($BA$2219:$EH$2219)</f>
        <v>25</v>
      </c>
      <c r="AV2417" s="0" t="n">
        <f aca="false">COUNTIF($BA$2219:$EH$2219,"D")</f>
        <v>4</v>
      </c>
      <c r="AW2417" s="0" t="n">
        <f aca="false">COUNTIF($BA$2219:$EH$2219,"R")</f>
        <v>3</v>
      </c>
      <c r="AX2417" s="0" t="n">
        <f aca="false"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>0</v>
      </c>
      <c r="AY2417" s="0" t="n">
        <f aca="false">COUNTIF(DU2417:EH2417, "&lt;&gt;")</f>
        <v>1</v>
      </c>
      <c r="AZ2417" s="0" t="n">
        <f aca="false">IF(EH2417&lt;&gt;"",1,0)</f>
        <v>0</v>
      </c>
      <c r="BB2417" s="0" t="s">
        <v>153</v>
      </c>
      <c r="DN2417" s="0" t="s">
        <v>154</v>
      </c>
      <c r="EF2417" s="0" t="s">
        <v>154</v>
      </c>
    </row>
    <row r="2418" customFormat="false" ht="13.8" hidden="true" customHeight="false" outlineLevel="0" collapsed="false">
      <c r="A2418" s="0" t="s">
        <v>10466</v>
      </c>
      <c r="B2418" s="0" t="n">
        <v>78</v>
      </c>
      <c r="C2418" s="0" t="n">
        <v>389852</v>
      </c>
      <c r="D2418" s="0" t="s">
        <v>7144</v>
      </c>
      <c r="E2418" s="0" t="s">
        <v>10467</v>
      </c>
      <c r="F2418" s="0" t="str">
        <f aca="false">CONCATENATE(D2418," ",LEFT(H2418,4),"T=",AU2418,"D=",AV2418,"R=",AW2418,"M=",AX2418,"L=",AY2418,"B=",AZ2418)</f>
        <v>ELLISON T=37D=14R=0M=0L=1B=0</v>
      </c>
      <c r="G2418" s="0" t="s">
        <v>241</v>
      </c>
      <c r="I2418" s="0" t="s">
        <v>3938</v>
      </c>
      <c r="J2418" s="0" t="s">
        <v>712</v>
      </c>
      <c r="K2418" s="0" t="s">
        <v>175</v>
      </c>
      <c r="L2418" s="0"/>
      <c r="M2418" s="0" t="s">
        <v>10463</v>
      </c>
      <c r="N2418" s="0" t="str">
        <f aca="false">RIGHT(M2418,LEN(M2418)-FIND(" ",M2418))</f>
        <v>SHALOM AVE NW</v>
      </c>
      <c r="O2418" s="0" t="s">
        <v>3885</v>
      </c>
      <c r="P2418" s="0" t="s">
        <v>146</v>
      </c>
      <c r="Q2418" s="0" t="s">
        <v>147</v>
      </c>
      <c r="R2418" s="0" t="n">
        <v>44483</v>
      </c>
      <c r="AD2418" s="0" t="s">
        <v>148</v>
      </c>
      <c r="AE2418" s="0" t="s">
        <v>149</v>
      </c>
      <c r="AF2418" s="0" t="s">
        <v>150</v>
      </c>
      <c r="AH2418" s="0" t="n">
        <v>14</v>
      </c>
      <c r="AI2418" s="0" t="n">
        <v>11</v>
      </c>
      <c r="AN2418" s="0" t="s">
        <v>146</v>
      </c>
      <c r="AO2418" s="0" t="s">
        <v>250</v>
      </c>
      <c r="AP2418" s="0" t="s">
        <v>251</v>
      </c>
      <c r="AQ2418" s="0" t="n">
        <v>9</v>
      </c>
      <c r="AR2418" s="0" t="n">
        <v>64</v>
      </c>
      <c r="AS2418" s="0" t="n">
        <v>32</v>
      </c>
      <c r="AU2418" s="0" t="n">
        <f aca="false">COUNTA($BA$2221:$EH$2221)</f>
        <v>37</v>
      </c>
      <c r="AV2418" s="0" t="n">
        <f aca="false">COUNTIF($BA$2221:$EH$2221,"D")</f>
        <v>14</v>
      </c>
      <c r="AW2418" s="0" t="n">
        <f aca="false">COUNTIF($BA$2221:$EH$2221,"R")</f>
        <v>0</v>
      </c>
      <c r="AX2418" s="0" t="n">
        <f aca="false"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>0</v>
      </c>
      <c r="AY2418" s="0" t="n">
        <f aca="false">COUNTIF(DU2418:EH2418, "&lt;&gt;")</f>
        <v>1</v>
      </c>
      <c r="AZ2418" s="0" t="n">
        <f aca="false">IF(EH2418&lt;&gt;"",1,0)</f>
        <v>0</v>
      </c>
      <c r="BB2418" s="0" t="s">
        <v>153</v>
      </c>
      <c r="CP2418" s="0" t="s">
        <v>154</v>
      </c>
      <c r="EF2418" s="0" t="s">
        <v>154</v>
      </c>
    </row>
    <row r="2419" customFormat="false" ht="13.8" hidden="true" customHeight="false" outlineLevel="0" collapsed="false">
      <c r="A2419" s="0" t="s">
        <v>10468</v>
      </c>
      <c r="B2419" s="0" t="n">
        <v>78</v>
      </c>
      <c r="C2419" s="0" t="n">
        <v>478193</v>
      </c>
      <c r="D2419" s="0" t="s">
        <v>949</v>
      </c>
      <c r="E2419" s="0" t="s">
        <v>10469</v>
      </c>
      <c r="F2419" s="0" t="str">
        <f aca="false">CONCATENATE(D2419," ",LEFT(H2419,4),"T=",AU2419,"D=",AV2419,"R=",AW2419,"M=",AX2419,"L=",AY2419,"B=",AZ2419)</f>
        <v>RODGERS T=1D=0R=0M=0L=0B=0</v>
      </c>
      <c r="G2419" s="0" t="s">
        <v>10470</v>
      </c>
      <c r="I2419" s="0" t="s">
        <v>10471</v>
      </c>
      <c r="J2419" s="0" t="s">
        <v>741</v>
      </c>
      <c r="K2419" s="0" t="s">
        <v>175</v>
      </c>
      <c r="L2419" s="0"/>
      <c r="M2419" s="0" t="s">
        <v>10463</v>
      </c>
      <c r="N2419" s="0" t="str">
        <f aca="false">RIGHT(M2419,LEN(M2419)-FIND(" ",M2419))</f>
        <v>SHALOM AVE NW</v>
      </c>
      <c r="O2419" s="0" t="s">
        <v>3890</v>
      </c>
      <c r="P2419" s="0" t="s">
        <v>146</v>
      </c>
      <c r="Q2419" s="0" t="s">
        <v>147</v>
      </c>
      <c r="R2419" s="0" t="n">
        <v>44483</v>
      </c>
      <c r="AD2419" s="0" t="s">
        <v>148</v>
      </c>
      <c r="AE2419" s="0" t="s">
        <v>149</v>
      </c>
      <c r="AF2419" s="0" t="s">
        <v>150</v>
      </c>
      <c r="AH2419" s="0" t="n">
        <v>14</v>
      </c>
      <c r="AI2419" s="0" t="n">
        <v>11</v>
      </c>
      <c r="AN2419" s="0" t="s">
        <v>146</v>
      </c>
      <c r="AO2419" s="0" t="s">
        <v>250</v>
      </c>
      <c r="AP2419" s="0" t="s">
        <v>251</v>
      </c>
      <c r="AQ2419" s="0" t="n">
        <v>9</v>
      </c>
      <c r="AR2419" s="0" t="n">
        <v>64</v>
      </c>
      <c r="AS2419" s="0" t="n">
        <v>32</v>
      </c>
      <c r="AU2419" s="0" t="n">
        <f aca="false">COUNTA($BA$2389:$EH$2389)</f>
        <v>1</v>
      </c>
      <c r="AV2419" s="0" t="n">
        <f aca="false">COUNTIF($BA$2389:$EH$2389,"D")</f>
        <v>0</v>
      </c>
      <c r="AW2419" s="0" t="n">
        <f aca="false">COUNTIF($BA$2389:$EH$2389,"R")</f>
        <v>0</v>
      </c>
      <c r="AX2419" s="0" t="n">
        <f aca="false"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>0</v>
      </c>
      <c r="AY2419" s="0" t="n">
        <f aca="false">COUNTIF(DU2419:EH2419, "&lt;&gt;")</f>
        <v>0</v>
      </c>
      <c r="AZ2419" s="0" t="n">
        <f aca="false">IF(EH2419&lt;&gt;"",1,0)</f>
        <v>0</v>
      </c>
      <c r="BB2419" s="0" t="s">
        <v>153</v>
      </c>
    </row>
    <row r="2420" customFormat="false" ht="13.8" hidden="true" customHeight="false" outlineLevel="0" collapsed="false">
      <c r="A2420" s="0" t="s">
        <v>10472</v>
      </c>
      <c r="B2420" s="0" t="n">
        <v>78</v>
      </c>
      <c r="C2420" s="0" t="n">
        <v>439449</v>
      </c>
      <c r="D2420" s="0" t="s">
        <v>10473</v>
      </c>
      <c r="E2420" s="0" t="s">
        <v>10474</v>
      </c>
      <c r="F2420" s="0" t="str">
        <f aca="false">CONCATENATE(D2420," ",LEFT(H2420,4),"T=",AU2420,"D=",AV2420,"R=",AW2420,"M=",AX2420,"L=",AY2420,"B=",AZ2420)</f>
        <v>EDMONDS T=3D=0R=0M=0L=0B=0</v>
      </c>
      <c r="G2420" s="0" t="s">
        <v>10475</v>
      </c>
      <c r="I2420" s="0" t="s">
        <v>10476</v>
      </c>
      <c r="J2420" s="0" t="s">
        <v>2852</v>
      </c>
      <c r="K2420" s="0" t="s">
        <v>144</v>
      </c>
      <c r="L2420" s="0"/>
      <c r="M2420" s="0" t="s">
        <v>10463</v>
      </c>
      <c r="N2420" s="0" t="str">
        <f aca="false">RIGHT(M2420,LEN(M2420)-FIND(" ",M2420))</f>
        <v>SHALOM AVE NW</v>
      </c>
      <c r="O2420" s="0" t="s">
        <v>3870</v>
      </c>
      <c r="P2420" s="0" t="s">
        <v>146</v>
      </c>
      <c r="Q2420" s="0" t="s">
        <v>147</v>
      </c>
      <c r="R2420" s="0" t="n">
        <v>44483</v>
      </c>
      <c r="AD2420" s="0" t="s">
        <v>148</v>
      </c>
      <c r="AE2420" s="0" t="s">
        <v>149</v>
      </c>
      <c r="AF2420" s="0" t="s">
        <v>150</v>
      </c>
      <c r="AH2420" s="0" t="n">
        <v>14</v>
      </c>
      <c r="AI2420" s="0" t="n">
        <v>11</v>
      </c>
      <c r="AN2420" s="0" t="s">
        <v>146</v>
      </c>
      <c r="AO2420" s="0" t="s">
        <v>250</v>
      </c>
      <c r="AP2420" s="0" t="s">
        <v>251</v>
      </c>
      <c r="AQ2420" s="0" t="n">
        <v>9</v>
      </c>
      <c r="AR2420" s="0" t="n">
        <v>64</v>
      </c>
      <c r="AS2420" s="0" t="n">
        <v>32</v>
      </c>
      <c r="AU2420" s="0" t="n">
        <f aca="false">COUNTA($BA$2413:$EH$2413)</f>
        <v>3</v>
      </c>
      <c r="AV2420" s="0" t="n">
        <f aca="false">COUNTIF($BA$2413:$EH$2413,"D")</f>
        <v>0</v>
      </c>
      <c r="AW2420" s="0" t="n">
        <f aca="false">COUNTIF($BA$2413:$EH$2413,"R")</f>
        <v>0</v>
      </c>
      <c r="AX2420" s="0" t="n">
        <f aca="false"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>0</v>
      </c>
      <c r="AY2420" s="0" t="n">
        <f aca="false">COUNTIF(DU2420:EH2420, "&lt;&gt;")</f>
        <v>0</v>
      </c>
      <c r="AZ2420" s="0" t="n">
        <f aca="false">IF(EH2420&lt;&gt;"",1,0)</f>
        <v>0</v>
      </c>
      <c r="BB2420" s="0" t="s">
        <v>153</v>
      </c>
    </row>
    <row r="2421" customFormat="false" ht="13.8" hidden="true" customHeight="false" outlineLevel="0" collapsed="false">
      <c r="A2421" s="0" t="s">
        <v>10477</v>
      </c>
      <c r="B2421" s="0" t="n">
        <v>78</v>
      </c>
      <c r="C2421" s="0" t="n">
        <v>427130</v>
      </c>
      <c r="D2421" s="0" t="s">
        <v>9265</v>
      </c>
      <c r="E2421" s="0" t="s">
        <v>10478</v>
      </c>
      <c r="F2421" s="0" t="str">
        <f aca="false">CONCATENATE(D2421," ",LEFT(H2421,4),"T=",AU2421,"D=",AV2421,"R=",AW2421,"M=",AX2421,"L=",AY2421,"B=",AZ2421)</f>
        <v>PLANT T=2D=0R=0M=0L=0B=0</v>
      </c>
      <c r="G2421" s="0" t="s">
        <v>188</v>
      </c>
      <c r="I2421" s="0" t="s">
        <v>10479</v>
      </c>
      <c r="J2421" s="0" t="s">
        <v>5245</v>
      </c>
      <c r="K2421" s="0" t="s">
        <v>144</v>
      </c>
      <c r="L2421" s="0"/>
      <c r="M2421" s="0" t="s">
        <v>10463</v>
      </c>
      <c r="N2421" s="0" t="str">
        <f aca="false">RIGHT(M2421,LEN(M2421)-FIND(" ",M2421))</f>
        <v>SHALOM AVE NW</v>
      </c>
      <c r="O2421" s="0" t="s">
        <v>3880</v>
      </c>
      <c r="P2421" s="0" t="s">
        <v>146</v>
      </c>
      <c r="Q2421" s="0" t="s">
        <v>147</v>
      </c>
      <c r="R2421" s="0" t="n">
        <v>44483</v>
      </c>
      <c r="AD2421" s="0" t="s">
        <v>148</v>
      </c>
      <c r="AE2421" s="0" t="s">
        <v>149</v>
      </c>
      <c r="AF2421" s="0" t="s">
        <v>150</v>
      </c>
      <c r="AH2421" s="0" t="n">
        <v>14</v>
      </c>
      <c r="AI2421" s="0" t="n">
        <v>11</v>
      </c>
      <c r="AN2421" s="0" t="s">
        <v>146</v>
      </c>
      <c r="AO2421" s="0" t="s">
        <v>250</v>
      </c>
      <c r="AP2421" s="0" t="s">
        <v>251</v>
      </c>
      <c r="AQ2421" s="0" t="n">
        <v>9</v>
      </c>
      <c r="AR2421" s="0" t="n">
        <v>64</v>
      </c>
      <c r="AS2421" s="0" t="n">
        <v>32</v>
      </c>
      <c r="AU2421" s="0" t="n">
        <f aca="false">COUNTA($BA$2461:$EH$2461)</f>
        <v>2</v>
      </c>
      <c r="AV2421" s="0" t="n">
        <f aca="false">COUNTIF($BA$2461:$EH$2461,"D")</f>
        <v>0</v>
      </c>
      <c r="AW2421" s="0" t="n">
        <f aca="false">COUNTIF($BA$2461:$EH$2461,"R")</f>
        <v>0</v>
      </c>
      <c r="AX2421" s="0" t="n">
        <f aca="false"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>0</v>
      </c>
      <c r="AY2421" s="0" t="n">
        <f aca="false">COUNTIF(DU2421:EH2421, "&lt;&gt;")</f>
        <v>0</v>
      </c>
      <c r="AZ2421" s="0" t="n">
        <f aca="false">IF(EH2421&lt;&gt;"",1,0)</f>
        <v>0</v>
      </c>
      <c r="BB2421" s="0" t="s">
        <v>153</v>
      </c>
    </row>
    <row r="2422" customFormat="false" ht="13.8" hidden="true" customHeight="false" outlineLevel="0" collapsed="false">
      <c r="A2422" s="0" t="s">
        <v>10480</v>
      </c>
      <c r="B2422" s="0" t="n">
        <v>78</v>
      </c>
      <c r="C2422" s="0" t="n">
        <v>360356</v>
      </c>
      <c r="D2422" s="0" t="s">
        <v>645</v>
      </c>
      <c r="E2422" s="0" t="s">
        <v>10481</v>
      </c>
      <c r="F2422" s="0" t="str">
        <f aca="false">CONCATENATE(D2422," ",LEFT(H2422,4),"T=",AU2422,"D=",AV2422,"R=",AW2422,"M=",AX2422,"L=",AY2422,"B=",AZ2422)</f>
        <v>WILLIAMS T=1D=0R=0M=0L=1B=0</v>
      </c>
      <c r="G2422" s="0" t="s">
        <v>10482</v>
      </c>
      <c r="I2422" s="0" t="s">
        <v>10483</v>
      </c>
      <c r="J2422" s="0" t="s">
        <v>10484</v>
      </c>
      <c r="K2422" s="0" t="s">
        <v>175</v>
      </c>
      <c r="L2422" s="0"/>
      <c r="M2422" s="0" t="s">
        <v>10463</v>
      </c>
      <c r="N2422" s="0" t="str">
        <f aca="false">RIGHT(M2422,LEN(M2422)-FIND(" ",M2422))</f>
        <v>SHALOM AVE NW</v>
      </c>
      <c r="O2422" s="0" t="s">
        <v>3901</v>
      </c>
      <c r="P2422" s="0" t="s">
        <v>146</v>
      </c>
      <c r="Q2422" s="0" t="s">
        <v>147</v>
      </c>
      <c r="R2422" s="0" t="n">
        <v>44483</v>
      </c>
      <c r="AD2422" s="0" t="s">
        <v>148</v>
      </c>
      <c r="AE2422" s="0" t="s">
        <v>149</v>
      </c>
      <c r="AF2422" s="0" t="s">
        <v>150</v>
      </c>
      <c r="AH2422" s="0" t="n">
        <v>14</v>
      </c>
      <c r="AI2422" s="0" t="n">
        <v>11</v>
      </c>
      <c r="AN2422" s="0" t="s">
        <v>146</v>
      </c>
      <c r="AO2422" s="0" t="s">
        <v>250</v>
      </c>
      <c r="AP2422" s="0" t="s">
        <v>251</v>
      </c>
      <c r="AQ2422" s="0" t="n">
        <v>9</v>
      </c>
      <c r="AR2422" s="0" t="n">
        <v>64</v>
      </c>
      <c r="AS2422" s="0" t="n">
        <v>32</v>
      </c>
      <c r="AU2422" s="0" t="n">
        <f aca="false">COUNTA($BA$2744:$EH$2744)</f>
        <v>1</v>
      </c>
      <c r="AV2422" s="0" t="n">
        <f aca="false">COUNTIF($BA$2744:$EH$2744,"D")</f>
        <v>0</v>
      </c>
      <c r="AW2422" s="0" t="n">
        <f aca="false">COUNTIF($BA$2744:$EH$2744,"R")</f>
        <v>0</v>
      </c>
      <c r="AX2422" s="0" t="n">
        <f aca="false"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>0</v>
      </c>
      <c r="AY2422" s="0" t="n">
        <f aca="false">COUNTIF(DU2422:EH2422, "&lt;&gt;")</f>
        <v>1</v>
      </c>
      <c r="AZ2422" s="0" t="n">
        <f aca="false">IF(EH2422&lt;&gt;"",1,0)</f>
        <v>0</v>
      </c>
      <c r="BB2422" s="0" t="s">
        <v>153</v>
      </c>
      <c r="CA2422" s="0" t="s">
        <v>154</v>
      </c>
      <c r="CN2422" s="0" t="s">
        <v>154</v>
      </c>
      <c r="CP2422" s="0" t="s">
        <v>154</v>
      </c>
      <c r="CZ2422" s="0" t="s">
        <v>155</v>
      </c>
      <c r="DC2422" s="0" t="s">
        <v>154</v>
      </c>
      <c r="DN2422" s="0" t="s">
        <v>154</v>
      </c>
      <c r="EF2422" s="0" t="s">
        <v>154</v>
      </c>
    </row>
    <row r="2423" customFormat="false" ht="13.8" hidden="true" customHeight="false" outlineLevel="0" collapsed="false">
      <c r="A2423" s="0" t="s">
        <v>10485</v>
      </c>
      <c r="B2423" s="0" t="n">
        <v>78</v>
      </c>
      <c r="C2423" s="0" t="n">
        <v>288074</v>
      </c>
      <c r="D2423" s="0" t="s">
        <v>10486</v>
      </c>
      <c r="E2423" s="0" t="s">
        <v>10487</v>
      </c>
      <c r="F2423" s="0" t="str">
        <f aca="false">CONCATENATE(D2423," ",LEFT(H2423,4),"T=",AU2423,"D=",AV2423,"R=",AW2423,"M=",AX2423,"L=",AY2423,"B=",AZ2423)</f>
        <v>LIGHTNING T=2D=0R=0M=0L=1B=0</v>
      </c>
      <c r="G2423" s="0" t="s">
        <v>10488</v>
      </c>
      <c r="I2423" s="0" t="s">
        <v>10489</v>
      </c>
      <c r="J2423" s="0" t="s">
        <v>10490</v>
      </c>
      <c r="K2423" s="0" t="s">
        <v>175</v>
      </c>
      <c r="L2423" s="0"/>
      <c r="M2423" s="0" t="s">
        <v>10491</v>
      </c>
      <c r="N2423" s="0" t="str">
        <f aca="false">RIGHT(M2423,LEN(M2423)-FIND(" ",M2423))</f>
        <v>SHALOM AVE NW</v>
      </c>
      <c r="P2423" s="0" t="s">
        <v>146</v>
      </c>
      <c r="Q2423" s="0" t="s">
        <v>147</v>
      </c>
      <c r="R2423" s="0" t="n">
        <v>44483</v>
      </c>
      <c r="AD2423" s="0" t="s">
        <v>148</v>
      </c>
      <c r="AE2423" s="0" t="s">
        <v>149</v>
      </c>
      <c r="AF2423" s="0" t="s">
        <v>150</v>
      </c>
      <c r="AH2423" s="0" t="n">
        <v>14</v>
      </c>
      <c r="AI2423" s="0" t="n">
        <v>11</v>
      </c>
      <c r="AN2423" s="0" t="s">
        <v>146</v>
      </c>
      <c r="AO2423" s="0" t="s">
        <v>250</v>
      </c>
      <c r="AP2423" s="0" t="s">
        <v>251</v>
      </c>
      <c r="AQ2423" s="0" t="n">
        <v>9</v>
      </c>
      <c r="AR2423" s="0" t="n">
        <v>64</v>
      </c>
      <c r="AS2423" s="0" t="n">
        <v>32</v>
      </c>
      <c r="AU2423" s="0" t="n">
        <f aca="false">COUNTA($BA$2182:$EH$2182)</f>
        <v>2</v>
      </c>
      <c r="AV2423" s="0" t="n">
        <f aca="false">COUNTIF($BA$2182:$EH$2182,"D")</f>
        <v>0</v>
      </c>
      <c r="AW2423" s="0" t="n">
        <f aca="false">COUNTIF($BA$2182:$EH$2182,"R")</f>
        <v>0</v>
      </c>
      <c r="AX2423" s="0" t="n">
        <f aca="false"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>0</v>
      </c>
      <c r="AY2423" s="0" t="n">
        <f aca="false">COUNTIF(DU2423:EH2423, "&lt;&gt;")</f>
        <v>1</v>
      </c>
      <c r="AZ2423" s="0" t="n">
        <f aca="false">IF(EH2423&lt;&gt;"",1,0)</f>
        <v>0</v>
      </c>
      <c r="BB2423" s="0" t="s">
        <v>153</v>
      </c>
      <c r="BL2423" s="0" t="s">
        <v>154</v>
      </c>
      <c r="CA2423" s="0" t="s">
        <v>154</v>
      </c>
      <c r="CP2423" s="0" t="s">
        <v>154</v>
      </c>
      <c r="DC2423" s="0" t="s">
        <v>154</v>
      </c>
      <c r="DN2423" s="0" t="s">
        <v>154</v>
      </c>
      <c r="EF2423" s="0" t="s">
        <v>154</v>
      </c>
    </row>
    <row r="2424" customFormat="false" ht="13.8" hidden="true" customHeight="false" outlineLevel="0" collapsed="false">
      <c r="A2424" s="0" t="s">
        <v>10492</v>
      </c>
      <c r="B2424" s="0" t="n">
        <v>78</v>
      </c>
      <c r="C2424" s="0" t="n">
        <v>487550</v>
      </c>
      <c r="D2424" s="0" t="s">
        <v>10493</v>
      </c>
      <c r="E2424" s="0" t="s">
        <v>10494</v>
      </c>
      <c r="F2424" s="0" t="str">
        <f aca="false">CONCATENATE(D2424," ",LEFT(H2424,4),"T=",AU2424,"D=",AV2424,"R=",AW2424,"M=",AX2424,"L=",AY2424,"B=",AZ2424)</f>
        <v>MCCRAY T=47D=16R=0M=0L=0B=0</v>
      </c>
      <c r="G2424" s="0" t="s">
        <v>10495</v>
      </c>
      <c r="I2424" s="0" t="s">
        <v>10496</v>
      </c>
      <c r="J2424" s="0" t="s">
        <v>4411</v>
      </c>
      <c r="K2424" s="0" t="s">
        <v>175</v>
      </c>
      <c r="L2424" s="0"/>
      <c r="M2424" s="0" t="s">
        <v>10491</v>
      </c>
      <c r="N2424" s="0" t="str">
        <f aca="false">RIGHT(M2424,LEN(M2424)-FIND(" ",M2424))</f>
        <v>SHALOM AVE NW</v>
      </c>
      <c r="P2424" s="0" t="s">
        <v>146</v>
      </c>
      <c r="Q2424" s="0" t="s">
        <v>147</v>
      </c>
      <c r="R2424" s="0" t="n">
        <v>44483</v>
      </c>
      <c r="AD2424" s="0" t="s">
        <v>148</v>
      </c>
      <c r="AE2424" s="0" t="s">
        <v>149</v>
      </c>
      <c r="AF2424" s="0" t="s">
        <v>150</v>
      </c>
      <c r="AH2424" s="0" t="n">
        <v>14</v>
      </c>
      <c r="AI2424" s="0" t="n">
        <v>11</v>
      </c>
      <c r="AN2424" s="0" t="s">
        <v>146</v>
      </c>
      <c r="AO2424" s="0" t="s">
        <v>250</v>
      </c>
      <c r="AP2424" s="0" t="s">
        <v>251</v>
      </c>
      <c r="AQ2424" s="0" t="n">
        <v>9</v>
      </c>
      <c r="AR2424" s="0" t="n">
        <v>64</v>
      </c>
      <c r="AS2424" s="0" t="n">
        <v>32</v>
      </c>
      <c r="AU2424" s="0" t="n">
        <f aca="false">COUNTA($BA$2303:$EH$2303)</f>
        <v>47</v>
      </c>
      <c r="AV2424" s="0" t="n">
        <f aca="false">COUNTIF($BA$2303:$EH$2303,"D")</f>
        <v>16</v>
      </c>
      <c r="AW2424" s="0" t="n">
        <f aca="false">COUNTIF($BA$2303:$EH$2303,"R")</f>
        <v>0</v>
      </c>
      <c r="AX2424" s="0" t="n">
        <f aca="false"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>0</v>
      </c>
      <c r="AY2424" s="0" t="n">
        <f aca="false">COUNTIF(DU2424:EH2424, "&lt;&gt;")</f>
        <v>0</v>
      </c>
      <c r="AZ2424" s="0" t="n">
        <f aca="false">IF(EH2424&lt;&gt;"",1,0)</f>
        <v>0</v>
      </c>
      <c r="BB2424" s="0" t="s">
        <v>153</v>
      </c>
    </row>
    <row r="2425" customFormat="false" ht="13.8" hidden="true" customHeight="false" outlineLevel="0" collapsed="false">
      <c r="A2425" s="0" t="s">
        <v>10497</v>
      </c>
      <c r="B2425" s="0" t="n">
        <v>78</v>
      </c>
      <c r="C2425" s="0" t="n">
        <v>449183</v>
      </c>
      <c r="D2425" s="0" t="s">
        <v>10498</v>
      </c>
      <c r="E2425" s="0" t="s">
        <v>967</v>
      </c>
      <c r="F2425" s="0" t="str">
        <f aca="false">CONCATENATE(D2425," ",LEFT(H2425,4),"T=",AU2425,"D=",AV2425,"R=",AW2425,"M=",AX2425,"L=",AY2425,"B=",AZ2425)</f>
        <v>KRAUSE T=25D=4R=0M=0L=0B=0</v>
      </c>
      <c r="G2425" s="0" t="s">
        <v>323</v>
      </c>
      <c r="I2425" s="0" t="s">
        <v>10499</v>
      </c>
      <c r="J2425" s="0" t="s">
        <v>10500</v>
      </c>
      <c r="K2425" s="0" t="s">
        <v>175</v>
      </c>
      <c r="L2425" s="0"/>
      <c r="M2425" s="0" t="s">
        <v>10501</v>
      </c>
      <c r="N2425" s="0" t="str">
        <f aca="false">RIGHT(M2425,LEN(M2425)-FIND(" ",M2425))</f>
        <v>SHALOM AVE NW</v>
      </c>
      <c r="P2425" s="0" t="s">
        <v>146</v>
      </c>
      <c r="Q2425" s="0" t="s">
        <v>147</v>
      </c>
      <c r="R2425" s="0" t="n">
        <v>44483</v>
      </c>
      <c r="AD2425" s="0" t="s">
        <v>148</v>
      </c>
      <c r="AE2425" s="0" t="s">
        <v>149</v>
      </c>
      <c r="AF2425" s="0" t="s">
        <v>150</v>
      </c>
      <c r="AH2425" s="0" t="n">
        <v>14</v>
      </c>
      <c r="AI2425" s="0" t="n">
        <v>11</v>
      </c>
      <c r="AN2425" s="0" t="s">
        <v>146</v>
      </c>
      <c r="AO2425" s="0" t="s">
        <v>250</v>
      </c>
      <c r="AP2425" s="0" t="s">
        <v>251</v>
      </c>
      <c r="AQ2425" s="0" t="n">
        <v>9</v>
      </c>
      <c r="AR2425" s="0" t="n">
        <v>64</v>
      </c>
      <c r="AS2425" s="0" t="n">
        <v>32</v>
      </c>
      <c r="AU2425" s="0" t="n">
        <f aca="false">COUNTA($BA$2684:$EH$2684)</f>
        <v>25</v>
      </c>
      <c r="AV2425" s="0" t="n">
        <f aca="false">COUNTIF($BA$2684:$EH$2684,"D")</f>
        <v>4</v>
      </c>
      <c r="AW2425" s="0" t="n">
        <f aca="false">COUNTIF($BA$2684:$EH$2684,"R")</f>
        <v>0</v>
      </c>
      <c r="AX2425" s="0" t="n">
        <f aca="false"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>0</v>
      </c>
      <c r="AY2425" s="0" t="n">
        <f aca="false">COUNTIF(DU2425:EH2425, "&lt;&gt;")</f>
        <v>0</v>
      </c>
      <c r="AZ2425" s="0" t="n">
        <f aca="false">IF(EH2425&lt;&gt;"",1,0)</f>
        <v>0</v>
      </c>
      <c r="BB2425" s="0" t="s">
        <v>153</v>
      </c>
      <c r="DN2425" s="0" t="s">
        <v>154</v>
      </c>
    </row>
    <row r="2426" customFormat="false" ht="13.8" hidden="true" customHeight="false" outlineLevel="0" collapsed="false">
      <c r="A2426" s="0" t="s">
        <v>10502</v>
      </c>
      <c r="B2426" s="0" t="n">
        <v>78</v>
      </c>
      <c r="C2426" s="0" t="n">
        <v>408078</v>
      </c>
      <c r="D2426" s="0" t="s">
        <v>4512</v>
      </c>
      <c r="E2426" s="0" t="s">
        <v>10503</v>
      </c>
      <c r="F2426" s="0" t="str">
        <f aca="false">CONCATENATE(D2426," ",LEFT(H2426,4),"T=",AU2426,"D=",AV2426,"R=",AW2426,"M=",AX2426,"L=",AY2426,"B=",AZ2426)</f>
        <v>BLACKWELL T=1D=0R=0M=0L=0B=0</v>
      </c>
      <c r="G2426" s="0" t="s">
        <v>2397</v>
      </c>
      <c r="I2426" s="0" t="s">
        <v>10504</v>
      </c>
      <c r="J2426" s="0" t="s">
        <v>1724</v>
      </c>
      <c r="K2426" s="0" t="s">
        <v>144</v>
      </c>
      <c r="L2426" s="0"/>
      <c r="M2426" s="0" t="s">
        <v>10505</v>
      </c>
      <c r="N2426" s="0" t="str">
        <f aca="false">RIGHT(M2426,LEN(M2426)-FIND(" ",M2426))</f>
        <v>SHALOM AVE NW</v>
      </c>
      <c r="P2426" s="0" t="s">
        <v>146</v>
      </c>
      <c r="Q2426" s="0" t="s">
        <v>147</v>
      </c>
      <c r="R2426" s="0" t="n">
        <v>44483</v>
      </c>
      <c r="AD2426" s="0" t="s">
        <v>148</v>
      </c>
      <c r="AE2426" s="0" t="s">
        <v>149</v>
      </c>
      <c r="AF2426" s="0" t="s">
        <v>150</v>
      </c>
      <c r="AH2426" s="0" t="n">
        <v>14</v>
      </c>
      <c r="AI2426" s="0" t="n">
        <v>11</v>
      </c>
      <c r="AN2426" s="0" t="s">
        <v>146</v>
      </c>
      <c r="AO2426" s="0" t="s">
        <v>250</v>
      </c>
      <c r="AP2426" s="0" t="s">
        <v>251</v>
      </c>
      <c r="AQ2426" s="0" t="n">
        <v>9</v>
      </c>
      <c r="AR2426" s="0" t="n">
        <v>64</v>
      </c>
      <c r="AS2426" s="0" t="n">
        <v>32</v>
      </c>
      <c r="AU2426" s="0" t="n">
        <f aca="false">COUNTA($BA$2282:$EH$2282)</f>
        <v>1</v>
      </c>
      <c r="AV2426" s="0" t="n">
        <f aca="false">COUNTIF($BA$2282:$EH$2282,"D")</f>
        <v>0</v>
      </c>
      <c r="AW2426" s="0" t="n">
        <f aca="false">COUNTIF($BA$2282:$EH$2282,"R")</f>
        <v>0</v>
      </c>
      <c r="AX2426" s="0" t="n">
        <f aca="false"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>0</v>
      </c>
      <c r="AY2426" s="0" t="n">
        <f aca="false">COUNTIF(DU2426:EH2426, "&lt;&gt;")</f>
        <v>0</v>
      </c>
      <c r="AZ2426" s="0" t="n">
        <f aca="false">IF(EH2426&lt;&gt;"",1,0)</f>
        <v>0</v>
      </c>
      <c r="BB2426" s="0" t="s">
        <v>153</v>
      </c>
      <c r="CY2426" s="0" t="s">
        <v>154</v>
      </c>
    </row>
    <row r="2427" customFormat="false" ht="13.8" hidden="true" customHeight="false" outlineLevel="0" collapsed="false">
      <c r="A2427" s="0" t="s">
        <v>10506</v>
      </c>
      <c r="B2427" s="0" t="n">
        <v>78</v>
      </c>
      <c r="C2427" s="0" t="n">
        <v>428509</v>
      </c>
      <c r="D2427" s="0" t="s">
        <v>10507</v>
      </c>
      <c r="E2427" s="0" t="s">
        <v>10508</v>
      </c>
      <c r="F2427" s="0" t="str">
        <f aca="false">CONCATENATE(D2427," ",LEFT(H2427,4),"T=",AU2427,"D=",AV2427,"R=",AW2427,"M=",AX2427,"L=",AY2427,"B=",AZ2427)</f>
        <v>DAY T=4D=0R=0M=0L=1B=0</v>
      </c>
      <c r="G2427" s="0" t="s">
        <v>297</v>
      </c>
      <c r="I2427" s="0" t="s">
        <v>10509</v>
      </c>
      <c r="J2427" s="0" t="s">
        <v>712</v>
      </c>
      <c r="K2427" s="0" t="s">
        <v>175</v>
      </c>
      <c r="L2427" s="0"/>
      <c r="M2427" s="0" t="s">
        <v>10510</v>
      </c>
      <c r="N2427" s="0" t="str">
        <f aca="false">RIGHT(M2427,LEN(M2427)-FIND(" ",M2427))</f>
        <v>SHALOM AVE NW</v>
      </c>
      <c r="P2427" s="0" t="s">
        <v>146</v>
      </c>
      <c r="Q2427" s="0" t="s">
        <v>147</v>
      </c>
      <c r="R2427" s="0" t="n">
        <v>44483</v>
      </c>
      <c r="AD2427" s="0" t="s">
        <v>148</v>
      </c>
      <c r="AE2427" s="0" t="s">
        <v>149</v>
      </c>
      <c r="AF2427" s="0" t="s">
        <v>150</v>
      </c>
      <c r="AH2427" s="0" t="n">
        <v>14</v>
      </c>
      <c r="AI2427" s="0" t="n">
        <v>11</v>
      </c>
      <c r="AN2427" s="0" t="s">
        <v>146</v>
      </c>
      <c r="AO2427" s="0" t="s">
        <v>250</v>
      </c>
      <c r="AP2427" s="0" t="s">
        <v>251</v>
      </c>
      <c r="AQ2427" s="0" t="n">
        <v>9</v>
      </c>
      <c r="AR2427" s="0" t="n">
        <v>64</v>
      </c>
      <c r="AS2427" s="0" t="n">
        <v>32</v>
      </c>
      <c r="AU2427" s="0" t="n">
        <f aca="false">COUNTA($BA$2685:$EH$2685)</f>
        <v>4</v>
      </c>
      <c r="AV2427" s="0" t="n">
        <f aca="false">COUNTIF($BA$2685:$EH$2685,"D")</f>
        <v>0</v>
      </c>
      <c r="AW2427" s="0" t="n">
        <f aca="false">COUNTIF($BA$2685:$EH$2685,"R")</f>
        <v>0</v>
      </c>
      <c r="AX2427" s="0" t="n">
        <f aca="false"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>0</v>
      </c>
      <c r="AY2427" s="0" t="n">
        <f aca="false">COUNTIF(DU2427:EH2427, "&lt;&gt;")</f>
        <v>1</v>
      </c>
      <c r="AZ2427" s="0" t="n">
        <f aca="false">IF(EH2427&lt;&gt;"",1,0)</f>
        <v>0</v>
      </c>
      <c r="BB2427" s="0" t="s">
        <v>153</v>
      </c>
      <c r="EF2427" s="0" t="s">
        <v>154</v>
      </c>
    </row>
    <row r="2428" customFormat="false" ht="13.8" hidden="true" customHeight="false" outlineLevel="0" collapsed="false">
      <c r="A2428" s="0" t="s">
        <v>10511</v>
      </c>
      <c r="B2428" s="0" t="n">
        <v>78</v>
      </c>
      <c r="C2428" s="0" t="n">
        <v>312227</v>
      </c>
      <c r="D2428" s="0" t="s">
        <v>10512</v>
      </c>
      <c r="E2428" s="0" t="s">
        <v>1347</v>
      </c>
      <c r="F2428" s="0" t="str">
        <f aca="false">CONCATENATE(D2428," ",LEFT(H2428,4),"T=",AU2428,"D=",AV2428,"R=",AW2428,"M=",AX2428,"L=",AY2428,"B=",AZ2428)</f>
        <v>LACEY T=5D=0R=0M=0L=0B=0</v>
      </c>
      <c r="G2428" s="0" t="s">
        <v>166</v>
      </c>
      <c r="I2428" s="0" t="s">
        <v>10513</v>
      </c>
      <c r="J2428" s="0" t="s">
        <v>757</v>
      </c>
      <c r="K2428" s="0" t="s">
        <v>175</v>
      </c>
      <c r="L2428" s="0"/>
      <c r="M2428" s="0" t="s">
        <v>10514</v>
      </c>
      <c r="N2428" s="0" t="str">
        <f aca="false">RIGHT(M2428,LEN(M2428)-FIND(" ",M2428))</f>
        <v>SHALOM AVE NW</v>
      </c>
      <c r="P2428" s="0" t="s">
        <v>146</v>
      </c>
      <c r="Q2428" s="0" t="s">
        <v>147</v>
      </c>
      <c r="R2428" s="0" t="n">
        <v>44483</v>
      </c>
      <c r="AD2428" s="0" t="s">
        <v>148</v>
      </c>
      <c r="AE2428" s="0" t="s">
        <v>149</v>
      </c>
      <c r="AF2428" s="0" t="s">
        <v>150</v>
      </c>
      <c r="AH2428" s="0" t="n">
        <v>14</v>
      </c>
      <c r="AI2428" s="0" t="n">
        <v>11</v>
      </c>
      <c r="AN2428" s="0" t="s">
        <v>146</v>
      </c>
      <c r="AO2428" s="0" t="s">
        <v>250</v>
      </c>
      <c r="AP2428" s="0" t="s">
        <v>251</v>
      </c>
      <c r="AQ2428" s="0" t="n">
        <v>9</v>
      </c>
      <c r="AR2428" s="0" t="n">
        <v>64</v>
      </c>
      <c r="AS2428" s="0" t="n">
        <v>32</v>
      </c>
      <c r="AU2428" s="0" t="n">
        <f aca="false">COUNTA($BA$2460:$EH$2460)</f>
        <v>5</v>
      </c>
      <c r="AV2428" s="0" t="n">
        <f aca="false">COUNTIF($BA$2460:$EH$2460,"D")</f>
        <v>0</v>
      </c>
      <c r="AW2428" s="0" t="n">
        <f aca="false">COUNTIF($BA$2460:$EH$2460,"R")</f>
        <v>0</v>
      </c>
      <c r="AX2428" s="0" t="n">
        <f aca="false"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>0</v>
      </c>
      <c r="AY2428" s="0" t="n">
        <f aca="false">COUNTIF(DU2428:EH2428, "&lt;&gt;")</f>
        <v>0</v>
      </c>
      <c r="AZ2428" s="0" t="n">
        <f aca="false">IF(EH2428&lt;&gt;"",1,0)</f>
        <v>0</v>
      </c>
      <c r="BB2428" s="0" t="s">
        <v>153</v>
      </c>
      <c r="BL2428" s="0" t="s">
        <v>154</v>
      </c>
      <c r="CA2428" s="0" t="s">
        <v>154</v>
      </c>
      <c r="CP2428" s="0" t="s">
        <v>154</v>
      </c>
    </row>
    <row r="2429" customFormat="false" ht="13.8" hidden="true" customHeight="false" outlineLevel="0" collapsed="false">
      <c r="A2429" s="0" t="s">
        <v>10515</v>
      </c>
      <c r="B2429" s="0" t="n">
        <v>78</v>
      </c>
      <c r="C2429" s="0" t="n">
        <v>423061</v>
      </c>
      <c r="D2429" s="0" t="s">
        <v>10516</v>
      </c>
      <c r="E2429" s="0" t="s">
        <v>2670</v>
      </c>
      <c r="F2429" s="0" t="str">
        <f aca="false">CONCATENATE(D2429," ",LEFT(H2429,4),"T=",AU2429,"D=",AV2429,"R=",AW2429,"M=",AX2429,"L=",AY2429,"B=",AZ2429)</f>
        <v>BRUNSWICK T=23D=5R=0M=0L=1B=0</v>
      </c>
      <c r="G2429" s="0" t="s">
        <v>202</v>
      </c>
      <c r="I2429" s="0" t="s">
        <v>10517</v>
      </c>
      <c r="J2429" s="0" t="s">
        <v>306</v>
      </c>
      <c r="K2429" s="0" t="s">
        <v>175</v>
      </c>
      <c r="L2429" s="0"/>
      <c r="M2429" s="0" t="s">
        <v>10518</v>
      </c>
      <c r="N2429" s="0" t="str">
        <f aca="false">RIGHT(M2429,LEN(M2429)-FIND(" ",M2429))</f>
        <v>SHERIDAN AVE NE</v>
      </c>
      <c r="O2429" s="0" t="s">
        <v>10519</v>
      </c>
      <c r="P2429" s="0" t="s">
        <v>146</v>
      </c>
      <c r="Q2429" s="0" t="s">
        <v>147</v>
      </c>
      <c r="R2429" s="0" t="n">
        <v>44483</v>
      </c>
      <c r="AD2429" s="0" t="s">
        <v>148</v>
      </c>
      <c r="AE2429" s="0" t="s">
        <v>149</v>
      </c>
      <c r="AF2429" s="0" t="s">
        <v>150</v>
      </c>
      <c r="AH2429" s="0" t="n">
        <v>14</v>
      </c>
      <c r="AI2429" s="0" t="n">
        <v>11</v>
      </c>
      <c r="AN2429" s="0" t="s">
        <v>146</v>
      </c>
      <c r="AO2429" s="0" t="s">
        <v>236</v>
      </c>
      <c r="AP2429" s="0" t="s">
        <v>237</v>
      </c>
      <c r="AQ2429" s="0" t="n">
        <v>9</v>
      </c>
      <c r="AR2429" s="0" t="n">
        <v>64</v>
      </c>
      <c r="AS2429" s="0" t="n">
        <v>32</v>
      </c>
      <c r="AU2429" s="0" t="n">
        <f aca="false">COUNTA($BA$316:$EH$316)</f>
        <v>23</v>
      </c>
      <c r="AV2429" s="0" t="n">
        <f aca="false">COUNTIF($BA$316:$EH$316,"D")</f>
        <v>5</v>
      </c>
      <c r="AW2429" s="0" t="n">
        <f aca="false">COUNTIF($BA$316:$EH$316,"R")</f>
        <v>0</v>
      </c>
      <c r="AX2429" s="0" t="n">
        <f aca="false"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>0</v>
      </c>
      <c r="AY2429" s="0" t="n">
        <f aca="false">COUNTIF(DU2429:EH2429, "&lt;&gt;")</f>
        <v>1</v>
      </c>
      <c r="AZ2429" s="0" t="n">
        <f aca="false">IF(EH2429&lt;&gt;"",1,0)</f>
        <v>0</v>
      </c>
      <c r="BB2429" s="0" t="s">
        <v>153</v>
      </c>
      <c r="EF2429" s="0" t="s">
        <v>154</v>
      </c>
    </row>
    <row r="2430" customFormat="false" ht="13.8" hidden="true" customHeight="false" outlineLevel="0" collapsed="false">
      <c r="A2430" s="0" t="s">
        <v>10520</v>
      </c>
      <c r="B2430" s="0" t="n">
        <v>78</v>
      </c>
      <c r="C2430" s="0" t="n">
        <v>488111</v>
      </c>
      <c r="D2430" s="0" t="s">
        <v>10521</v>
      </c>
      <c r="E2430" s="0" t="s">
        <v>857</v>
      </c>
      <c r="F2430" s="0" t="str">
        <f aca="false">CONCATENATE(D2430," ",LEFT(H2430,4),"T=",AU2430,"D=",AV2430,"R=",AW2430,"M=",AX2430,"L=",AY2430,"B=",AZ2430)</f>
        <v>DUNNE T=1D=0R=0M=0L=0B=0</v>
      </c>
      <c r="G2430" s="0" t="s">
        <v>455</v>
      </c>
      <c r="I2430" s="0" t="s">
        <v>10522</v>
      </c>
      <c r="J2430" s="0" t="s">
        <v>3939</v>
      </c>
      <c r="K2430" s="0" t="s">
        <v>175</v>
      </c>
      <c r="L2430" s="0"/>
      <c r="M2430" s="0" t="s">
        <v>10518</v>
      </c>
      <c r="N2430" s="0" t="str">
        <f aca="false">RIGHT(M2430,LEN(M2430)-FIND(" ",M2430))</f>
        <v>SHERIDAN AVE NE</v>
      </c>
      <c r="P2430" s="0" t="s">
        <v>146</v>
      </c>
      <c r="Q2430" s="0" t="s">
        <v>147</v>
      </c>
      <c r="R2430" s="0" t="n">
        <v>44483</v>
      </c>
      <c r="AD2430" s="0" t="s">
        <v>148</v>
      </c>
      <c r="AE2430" s="0" t="s">
        <v>149</v>
      </c>
      <c r="AF2430" s="0" t="s">
        <v>150</v>
      </c>
      <c r="AH2430" s="0" t="n">
        <v>14</v>
      </c>
      <c r="AI2430" s="0" t="n">
        <v>11</v>
      </c>
      <c r="AN2430" s="0" t="s">
        <v>146</v>
      </c>
      <c r="AO2430" s="0" t="s">
        <v>236</v>
      </c>
      <c r="AP2430" s="0" t="s">
        <v>237</v>
      </c>
      <c r="AQ2430" s="0" t="n">
        <v>9</v>
      </c>
      <c r="AR2430" s="0" t="n">
        <v>64</v>
      </c>
      <c r="AS2430" s="0" t="n">
        <v>32</v>
      </c>
      <c r="AU2430" s="0" t="n">
        <f aca="false">COUNTA($BA$730:$EH$730)</f>
        <v>1</v>
      </c>
      <c r="AV2430" s="0" t="n">
        <f aca="false">COUNTIF($BA$730:$EH$730,"D")</f>
        <v>0</v>
      </c>
      <c r="AW2430" s="0" t="n">
        <f aca="false">COUNTIF($BA$730:$EH$730,"R")</f>
        <v>0</v>
      </c>
      <c r="AX2430" s="0" t="n">
        <f aca="false"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>0</v>
      </c>
      <c r="AY2430" s="0" t="n">
        <f aca="false">COUNTIF(DU2430:EH2430, "&lt;&gt;")</f>
        <v>0</v>
      </c>
      <c r="AZ2430" s="0" t="n">
        <f aca="false">IF(EH2430&lt;&gt;"",1,0)</f>
        <v>0</v>
      </c>
      <c r="BB2430" s="0" t="s">
        <v>153</v>
      </c>
    </row>
    <row r="2431" customFormat="false" ht="13.8" hidden="true" customHeight="false" outlineLevel="0" collapsed="false">
      <c r="A2431" s="0" t="s">
        <v>10523</v>
      </c>
      <c r="B2431" s="0" t="n">
        <v>78</v>
      </c>
      <c r="C2431" s="0" t="n">
        <v>461159</v>
      </c>
      <c r="D2431" s="0" t="s">
        <v>10524</v>
      </c>
      <c r="E2431" s="0" t="s">
        <v>1916</v>
      </c>
      <c r="F2431" s="0" t="str">
        <f aca="false">CONCATENATE(D2431," ",LEFT(H2431,4),"T=",AU2431,"D=",AV2431,"R=",AW2431,"M=",AX2431,"L=",AY2431,"B=",AZ2431)</f>
        <v>MORROW T=10D=0R=0M=0L=1B=0</v>
      </c>
      <c r="G2431" s="0" t="s">
        <v>159</v>
      </c>
      <c r="I2431" s="0" t="s">
        <v>10525</v>
      </c>
      <c r="J2431" s="0" t="s">
        <v>3586</v>
      </c>
      <c r="K2431" s="0" t="s">
        <v>175</v>
      </c>
      <c r="L2431" s="0"/>
      <c r="M2431" s="0" t="s">
        <v>10526</v>
      </c>
      <c r="N2431" s="0" t="str">
        <f aca="false">RIGHT(M2431,LEN(M2431)-FIND(" ",M2431))</f>
        <v>SHERIDAN AVE NE</v>
      </c>
      <c r="P2431" s="0" t="s">
        <v>146</v>
      </c>
      <c r="Q2431" s="0" t="s">
        <v>147</v>
      </c>
      <c r="R2431" s="0" t="n">
        <v>44483</v>
      </c>
      <c r="AD2431" s="0" t="s">
        <v>148</v>
      </c>
      <c r="AE2431" s="0" t="s">
        <v>149</v>
      </c>
      <c r="AF2431" s="0" t="s">
        <v>150</v>
      </c>
      <c r="AH2431" s="0" t="n">
        <v>14</v>
      </c>
      <c r="AI2431" s="0" t="n">
        <v>11</v>
      </c>
      <c r="AN2431" s="0" t="s">
        <v>146</v>
      </c>
      <c r="AO2431" s="0" t="s">
        <v>236</v>
      </c>
      <c r="AP2431" s="0" t="s">
        <v>237</v>
      </c>
      <c r="AQ2431" s="0" t="n">
        <v>9</v>
      </c>
      <c r="AR2431" s="0" t="n">
        <v>64</v>
      </c>
      <c r="AS2431" s="0" t="n">
        <v>32</v>
      </c>
      <c r="AU2431" s="0" t="n">
        <f aca="false">COUNTA($BA$394:$EH$394)</f>
        <v>10</v>
      </c>
      <c r="AV2431" s="0" t="n">
        <f aca="false">COUNTIF($BA$394:$EH$394,"D")</f>
        <v>0</v>
      </c>
      <c r="AW2431" s="0" t="n">
        <f aca="false">COUNTIF($BA$394:$EH$394,"R")</f>
        <v>0</v>
      </c>
      <c r="AX2431" s="0" t="n">
        <f aca="false"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>0</v>
      </c>
      <c r="AY2431" s="0" t="n">
        <f aca="false">COUNTIF(DU2431:EH2431, "&lt;&gt;")</f>
        <v>1</v>
      </c>
      <c r="AZ2431" s="0" t="n">
        <f aca="false">IF(EH2431&lt;&gt;"",1,0)</f>
        <v>0</v>
      </c>
      <c r="BB2431" s="0" t="s">
        <v>153</v>
      </c>
      <c r="EF2431" s="0" t="s">
        <v>154</v>
      </c>
    </row>
    <row r="2432" customFormat="false" ht="13.8" hidden="false" customHeight="false" outlineLevel="0" collapsed="false">
      <c r="A2432" s="0" t="s">
        <v>10527</v>
      </c>
      <c r="B2432" s="0" t="n">
        <v>78</v>
      </c>
      <c r="C2432" s="0" t="n">
        <v>371725</v>
      </c>
      <c r="D2432" s="0" t="s">
        <v>10524</v>
      </c>
      <c r="E2432" s="0" t="s">
        <v>10528</v>
      </c>
      <c r="F2432" s="0" t="str">
        <f aca="false">CONCATENATE(D2432," ",LEFT(H2432,4),"T=",AU2432,"D=",AV2432,"R=",AW2432,"M=",AX2432,"L=",AY2432,"B=",AZ2432)</f>
        <v>MORROW T=10D=3R=0M=1L=6B=0</v>
      </c>
      <c r="G2432" s="0" t="s">
        <v>10529</v>
      </c>
      <c r="I2432" s="0" t="s">
        <v>10530</v>
      </c>
      <c r="J2432" s="0" t="s">
        <v>7618</v>
      </c>
      <c r="K2432" s="0" t="s">
        <v>175</v>
      </c>
      <c r="L2432" s="1" t="s">
        <v>155</v>
      </c>
      <c r="M2432" s="0" t="s">
        <v>10526</v>
      </c>
      <c r="N2432" s="0" t="str">
        <f aca="false">RIGHT(M2432,LEN(M2432)-FIND(" ",M2432))</f>
        <v>SHERIDAN AVE NE</v>
      </c>
      <c r="P2432" s="0" t="s">
        <v>146</v>
      </c>
      <c r="Q2432" s="0" t="s">
        <v>147</v>
      </c>
      <c r="R2432" s="0" t="n">
        <v>44483</v>
      </c>
      <c r="AD2432" s="0" t="s">
        <v>148</v>
      </c>
      <c r="AE2432" s="0" t="s">
        <v>149</v>
      </c>
      <c r="AF2432" s="0" t="s">
        <v>150</v>
      </c>
      <c r="AH2432" s="0" t="n">
        <v>14</v>
      </c>
      <c r="AI2432" s="0" t="n">
        <v>11</v>
      </c>
      <c r="AN2432" s="0" t="s">
        <v>146</v>
      </c>
      <c r="AO2432" s="0" t="s">
        <v>236</v>
      </c>
      <c r="AP2432" s="0" t="s">
        <v>237</v>
      </c>
      <c r="AQ2432" s="0" t="n">
        <v>9</v>
      </c>
      <c r="AR2432" s="0" t="n">
        <v>64</v>
      </c>
      <c r="AS2432" s="0" t="n">
        <v>32</v>
      </c>
      <c r="AU2432" s="0" t="n">
        <f aca="false">COUNTA($BA$538:$EH$538)</f>
        <v>10</v>
      </c>
      <c r="AV2432" s="0" t="n">
        <f aca="false">COUNTIF($BA$538:$EH$538,"D")</f>
        <v>3</v>
      </c>
      <c r="AW2432" s="0" t="n">
        <f aca="false">COUNTIF($BA$538:$EH$538,"R")</f>
        <v>0</v>
      </c>
      <c r="AX2432" s="0" t="n">
        <f aca="false"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>1</v>
      </c>
      <c r="AY2432" s="0" t="n">
        <f aca="false">COUNTIF(DU2432:EH2432, "&lt;&gt;")</f>
        <v>6</v>
      </c>
      <c r="AZ2432" s="0" t="n">
        <f aca="false">IF(EH2432&lt;&gt;"",1,0)</f>
        <v>0</v>
      </c>
      <c r="BB2432" s="0" t="s">
        <v>153</v>
      </c>
      <c r="BD2432" s="0" t="s">
        <v>154</v>
      </c>
      <c r="BL2432" s="0" t="s">
        <v>154</v>
      </c>
      <c r="BS2432" s="0" t="s">
        <v>154</v>
      </c>
      <c r="CA2432" s="0" t="s">
        <v>154</v>
      </c>
      <c r="CK2432" s="0" t="s">
        <v>154</v>
      </c>
      <c r="CN2432" s="0" t="s">
        <v>154</v>
      </c>
      <c r="CP2432" s="0" t="s">
        <v>154</v>
      </c>
      <c r="CV2432" s="0" t="s">
        <v>154</v>
      </c>
      <c r="CY2432" s="0" t="s">
        <v>154</v>
      </c>
      <c r="CZ2432" s="0" t="s">
        <v>155</v>
      </c>
      <c r="DC2432" s="0" t="s">
        <v>154</v>
      </c>
      <c r="DF2432" s="0" t="s">
        <v>154</v>
      </c>
      <c r="DI2432" s="0" t="s">
        <v>154</v>
      </c>
      <c r="DN2432" s="0" t="s">
        <v>154</v>
      </c>
      <c r="DR2432" s="0" t="s">
        <v>154</v>
      </c>
      <c r="DS2432" s="0" t="s">
        <v>155</v>
      </c>
      <c r="DU2432" s="0" t="s">
        <v>154</v>
      </c>
      <c r="DW2432" s="0" t="s">
        <v>155</v>
      </c>
      <c r="DX2432" s="0" t="s">
        <v>154</v>
      </c>
      <c r="EA2432" s="0" t="s">
        <v>154</v>
      </c>
      <c r="ED2432" s="0" t="s">
        <v>155</v>
      </c>
      <c r="EF2432" s="0" t="s">
        <v>154</v>
      </c>
    </row>
    <row r="2433" customFormat="false" ht="13.8" hidden="true" customHeight="false" outlineLevel="0" collapsed="false">
      <c r="A2433" s="0" t="s">
        <v>10531</v>
      </c>
      <c r="B2433" s="0" t="n">
        <v>78</v>
      </c>
      <c r="C2433" s="0" t="n">
        <v>468039</v>
      </c>
      <c r="D2433" s="0" t="s">
        <v>7025</v>
      </c>
      <c r="E2433" s="0" t="s">
        <v>6125</v>
      </c>
      <c r="F2433" s="0" t="str">
        <f aca="false">CONCATENATE(D2433," ",LEFT(H2433,4),"T=",AU2433,"D=",AV2433,"R=",AW2433,"M=",AX2433,"L=",AY2433,"B=",AZ2433)</f>
        <v>TURNER T=4D=0R=0M=0L=0B=0</v>
      </c>
      <c r="G2433" s="0" t="s">
        <v>10532</v>
      </c>
      <c r="I2433" s="0" t="s">
        <v>10533</v>
      </c>
      <c r="J2433" s="0" t="s">
        <v>10534</v>
      </c>
      <c r="K2433" s="0" t="s">
        <v>175</v>
      </c>
      <c r="L2433" s="0"/>
      <c r="M2433" s="0" t="s">
        <v>10535</v>
      </c>
      <c r="N2433" s="0" t="str">
        <f aca="false">RIGHT(M2433,LEN(M2433)-FIND(" ",M2433))</f>
        <v>SHERIDAN AVE NE</v>
      </c>
      <c r="P2433" s="0" t="s">
        <v>146</v>
      </c>
      <c r="Q2433" s="0" t="s">
        <v>147</v>
      </c>
      <c r="R2433" s="0" t="n">
        <v>44483</v>
      </c>
      <c r="AD2433" s="0" t="s">
        <v>148</v>
      </c>
      <c r="AE2433" s="0" t="s">
        <v>149</v>
      </c>
      <c r="AF2433" s="0" t="s">
        <v>150</v>
      </c>
      <c r="AH2433" s="0" t="n">
        <v>14</v>
      </c>
      <c r="AI2433" s="0" t="n">
        <v>11</v>
      </c>
      <c r="AN2433" s="0" t="s">
        <v>146</v>
      </c>
      <c r="AO2433" s="0" t="s">
        <v>236</v>
      </c>
      <c r="AP2433" s="0" t="s">
        <v>237</v>
      </c>
      <c r="AQ2433" s="0" t="n">
        <v>9</v>
      </c>
      <c r="AR2433" s="0" t="n">
        <v>64</v>
      </c>
      <c r="AS2433" s="0" t="n">
        <v>32</v>
      </c>
      <c r="AU2433" s="0" t="n">
        <f aca="false">COUNTA($BA$337:$EH$337)</f>
        <v>4</v>
      </c>
      <c r="AV2433" s="0" t="n">
        <f aca="false">COUNTIF($BA$337:$EH$337,"D")</f>
        <v>0</v>
      </c>
      <c r="AW2433" s="0" t="n">
        <f aca="false">COUNTIF($BA$337:$EH$337,"R")</f>
        <v>0</v>
      </c>
      <c r="AX2433" s="0" t="n">
        <f aca="false"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>0</v>
      </c>
      <c r="AY2433" s="0" t="n">
        <f aca="false">COUNTIF(DU2433:EH2433, "&lt;&gt;")</f>
        <v>0</v>
      </c>
      <c r="AZ2433" s="0" t="n">
        <f aca="false">IF(EH2433&lt;&gt;"",1,0)</f>
        <v>0</v>
      </c>
      <c r="BB2433" s="0" t="s">
        <v>153</v>
      </c>
    </row>
    <row r="2434" customFormat="false" ht="13.8" hidden="true" customHeight="false" outlineLevel="0" collapsed="false">
      <c r="A2434" s="0" t="s">
        <v>10536</v>
      </c>
      <c r="B2434" s="0" t="n">
        <v>78</v>
      </c>
      <c r="C2434" s="0" t="n">
        <v>454931</v>
      </c>
      <c r="D2434" s="0" t="s">
        <v>5546</v>
      </c>
      <c r="E2434" s="0" t="s">
        <v>10537</v>
      </c>
      <c r="F2434" s="0" t="str">
        <f aca="false">CONCATENATE(D2434," ",LEFT(H2434,4),"T=",AU2434,"D=",AV2434,"R=",AW2434,"M=",AX2434,"L=",AY2434,"B=",AZ2434)</f>
        <v>LOWERY T=1D=0R=0M=0L=0B=0</v>
      </c>
      <c r="G2434" s="0" t="s">
        <v>802</v>
      </c>
      <c r="I2434" s="0" t="s">
        <v>10538</v>
      </c>
      <c r="J2434" s="0" t="s">
        <v>2666</v>
      </c>
      <c r="K2434" s="0" t="s">
        <v>144</v>
      </c>
      <c r="L2434" s="0"/>
      <c r="M2434" s="0" t="s">
        <v>10535</v>
      </c>
      <c r="N2434" s="0" t="str">
        <f aca="false">RIGHT(M2434,LEN(M2434)-FIND(" ",M2434))</f>
        <v>SHERIDAN AVE NE</v>
      </c>
      <c r="P2434" s="0" t="s">
        <v>146</v>
      </c>
      <c r="Q2434" s="0" t="s">
        <v>147</v>
      </c>
      <c r="R2434" s="0" t="n">
        <v>44483</v>
      </c>
      <c r="AD2434" s="0" t="s">
        <v>148</v>
      </c>
      <c r="AE2434" s="0" t="s">
        <v>149</v>
      </c>
      <c r="AF2434" s="0" t="s">
        <v>150</v>
      </c>
      <c r="AH2434" s="0" t="n">
        <v>14</v>
      </c>
      <c r="AI2434" s="0" t="n">
        <v>11</v>
      </c>
      <c r="AN2434" s="0" t="s">
        <v>146</v>
      </c>
      <c r="AO2434" s="0" t="s">
        <v>236</v>
      </c>
      <c r="AP2434" s="0" t="s">
        <v>237</v>
      </c>
      <c r="AQ2434" s="0" t="n">
        <v>9</v>
      </c>
      <c r="AR2434" s="0" t="n">
        <v>64</v>
      </c>
      <c r="AS2434" s="0" t="n">
        <v>32</v>
      </c>
      <c r="AU2434" s="0" t="n">
        <f aca="false">COUNTA($BA$986:$EH$986)</f>
        <v>1</v>
      </c>
      <c r="AV2434" s="0" t="n">
        <f aca="false">COUNTIF($BA$986:$EH$986,"D")</f>
        <v>0</v>
      </c>
      <c r="AW2434" s="0" t="n">
        <f aca="false">COUNTIF($BA$986:$EH$986,"R")</f>
        <v>0</v>
      </c>
      <c r="AX2434" s="0" t="n">
        <f aca="false"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>0</v>
      </c>
      <c r="AY2434" s="0" t="n">
        <f aca="false">COUNTIF(DU2434:EH2434, "&lt;&gt;")</f>
        <v>0</v>
      </c>
      <c r="AZ2434" s="0" t="n">
        <f aca="false">IF(EH2434&lt;&gt;"",1,0)</f>
        <v>0</v>
      </c>
      <c r="BB2434" s="0" t="s">
        <v>153</v>
      </c>
      <c r="CA2434" s="0" t="s">
        <v>154</v>
      </c>
      <c r="CP2434" s="0" t="s">
        <v>154</v>
      </c>
      <c r="CT2434" s="0" t="s">
        <v>154</v>
      </c>
      <c r="CY2434" s="0" t="s">
        <v>154</v>
      </c>
      <c r="CZ2434" s="0" t="s">
        <v>155</v>
      </c>
      <c r="DC2434" s="0" t="s">
        <v>154</v>
      </c>
      <c r="DI2434" s="0" t="s">
        <v>154</v>
      </c>
      <c r="DN2434" s="0" t="s">
        <v>154</v>
      </c>
    </row>
    <row r="2435" customFormat="false" ht="13.8" hidden="true" customHeight="false" outlineLevel="0" collapsed="false">
      <c r="A2435" s="0" t="s">
        <v>10539</v>
      </c>
      <c r="B2435" s="0" t="n">
        <v>78</v>
      </c>
      <c r="C2435" s="0" t="n">
        <v>487402</v>
      </c>
      <c r="D2435" s="0" t="s">
        <v>10540</v>
      </c>
      <c r="E2435" s="0" t="s">
        <v>10541</v>
      </c>
      <c r="F2435" s="0" t="str">
        <f aca="false">CONCATENATE(D2435," ",LEFT(H2435,4),"T=",AU2435,"D=",AV2435,"R=",AW2435,"M=",AX2435,"L=",AY2435,"B=",AZ2435)</f>
        <v>MOSLEY T=13D=4R=0M=0L=0B=0</v>
      </c>
      <c r="G2435" s="0" t="s">
        <v>2374</v>
      </c>
      <c r="I2435" s="0" t="s">
        <v>10542</v>
      </c>
      <c r="J2435" s="0" t="s">
        <v>10543</v>
      </c>
      <c r="K2435" s="0" t="s">
        <v>175</v>
      </c>
      <c r="L2435" s="0"/>
      <c r="M2435" s="0" t="s">
        <v>10544</v>
      </c>
      <c r="N2435" s="0" t="str">
        <f aca="false">RIGHT(M2435,LEN(M2435)-FIND(" ",M2435))</f>
        <v>SHERIDAN AVE NE</v>
      </c>
      <c r="P2435" s="0" t="s">
        <v>146</v>
      </c>
      <c r="Q2435" s="0" t="s">
        <v>147</v>
      </c>
      <c r="R2435" s="0" t="n">
        <v>44483</v>
      </c>
      <c r="AD2435" s="0" t="s">
        <v>148</v>
      </c>
      <c r="AE2435" s="0" t="s">
        <v>149</v>
      </c>
      <c r="AF2435" s="0" t="s">
        <v>150</v>
      </c>
      <c r="AH2435" s="0" t="n">
        <v>14</v>
      </c>
      <c r="AI2435" s="0" t="n">
        <v>11</v>
      </c>
      <c r="AN2435" s="0" t="s">
        <v>146</v>
      </c>
      <c r="AO2435" s="0" t="s">
        <v>236</v>
      </c>
      <c r="AP2435" s="0" t="s">
        <v>237</v>
      </c>
      <c r="AQ2435" s="0" t="n">
        <v>9</v>
      </c>
      <c r="AR2435" s="0" t="n">
        <v>64</v>
      </c>
      <c r="AS2435" s="0" t="n">
        <v>32</v>
      </c>
      <c r="AU2435" s="0" t="n">
        <f aca="false">COUNTA($BA$498:$EH$498)</f>
        <v>13</v>
      </c>
      <c r="AV2435" s="0" t="n">
        <f aca="false">COUNTIF($BA$498:$EH$498,"D")</f>
        <v>4</v>
      </c>
      <c r="AW2435" s="0" t="n">
        <f aca="false">COUNTIF($BA$498:$EH$498,"R")</f>
        <v>0</v>
      </c>
      <c r="AX2435" s="0" t="n">
        <f aca="false"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>0</v>
      </c>
      <c r="AY2435" s="0" t="n">
        <f aca="false">COUNTIF(DU2435:EH2435, "&lt;&gt;")</f>
        <v>0</v>
      </c>
      <c r="AZ2435" s="0" t="n">
        <f aca="false">IF(EH2435&lt;&gt;"",1,0)</f>
        <v>0</v>
      </c>
      <c r="BB2435" s="0" t="s">
        <v>153</v>
      </c>
      <c r="BL2435" s="0" t="s">
        <v>154</v>
      </c>
      <c r="BP2435" s="0" t="s">
        <v>154</v>
      </c>
      <c r="BS2435" s="0" t="s">
        <v>154</v>
      </c>
      <c r="BY2435" s="0" t="s">
        <v>155</v>
      </c>
      <c r="CA2435" s="0" t="s">
        <v>154</v>
      </c>
      <c r="CP2435" s="0" t="s">
        <v>154</v>
      </c>
      <c r="CV2435" s="0" t="s">
        <v>154</v>
      </c>
      <c r="DC2435" s="0" t="s">
        <v>154</v>
      </c>
    </row>
    <row r="2436" customFormat="false" ht="13.8" hidden="false" customHeight="false" outlineLevel="0" collapsed="false">
      <c r="A2436" s="0" t="s">
        <v>10545</v>
      </c>
      <c r="B2436" s="0" t="n">
        <v>78</v>
      </c>
      <c r="C2436" s="0" t="n">
        <v>157223</v>
      </c>
      <c r="D2436" s="0" t="s">
        <v>10546</v>
      </c>
      <c r="E2436" s="0" t="s">
        <v>4965</v>
      </c>
      <c r="F2436" s="0" t="str">
        <f aca="false">CONCATENATE(D2436," ",LEFT(H2436,4),"T=",AU2436,"D=",AV2436,"R=",AW2436,"M=",AX2436,"L=",AY2436,"B=",AZ2436)</f>
        <v>MEEKER EMERSON T=5D=0R=0M=7L=7B=1</v>
      </c>
      <c r="G2436" s="0" t="s">
        <v>172</v>
      </c>
      <c r="I2436" s="0" t="s">
        <v>10547</v>
      </c>
      <c r="J2436" s="0" t="s">
        <v>10548</v>
      </c>
      <c r="K2436" s="0" t="s">
        <v>175</v>
      </c>
      <c r="L2436" s="1" t="s">
        <v>155</v>
      </c>
      <c r="M2436" s="0" t="s">
        <v>10549</v>
      </c>
      <c r="N2436" s="0" t="str">
        <f aca="false">RIGHT(M2436,LEN(M2436)-FIND(" ",M2436))</f>
        <v>SHERIDAN AVE NE</v>
      </c>
      <c r="P2436" s="0" t="s">
        <v>146</v>
      </c>
      <c r="Q2436" s="0" t="s">
        <v>147</v>
      </c>
      <c r="R2436" s="0" t="n">
        <v>44483</v>
      </c>
      <c r="AD2436" s="0" t="s">
        <v>148</v>
      </c>
      <c r="AE2436" s="0" t="s">
        <v>149</v>
      </c>
      <c r="AF2436" s="0" t="s">
        <v>150</v>
      </c>
      <c r="AH2436" s="0" t="n">
        <v>14</v>
      </c>
      <c r="AI2436" s="0" t="n">
        <v>11</v>
      </c>
      <c r="AN2436" s="0" t="s">
        <v>146</v>
      </c>
      <c r="AO2436" s="0" t="s">
        <v>236</v>
      </c>
      <c r="AP2436" s="0" t="s">
        <v>237</v>
      </c>
      <c r="AQ2436" s="0" t="n">
        <v>9</v>
      </c>
      <c r="AR2436" s="0" t="n">
        <v>64</v>
      </c>
      <c r="AS2436" s="0" t="n">
        <v>32</v>
      </c>
      <c r="AU2436" s="0" t="n">
        <f aca="false">COUNTA($BA$569:$EH$569)</f>
        <v>5</v>
      </c>
      <c r="AV2436" s="0" t="n">
        <f aca="false">COUNTIF($BA$569:$EH$569,"D")</f>
        <v>0</v>
      </c>
      <c r="AW2436" s="0" t="n">
        <f aca="false">COUNTIF($BA$569:$EH$569,"R")</f>
        <v>0</v>
      </c>
      <c r="AX2436" s="0" t="n">
        <f aca="false"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>7</v>
      </c>
      <c r="AY2436" s="0" t="n">
        <f aca="false">COUNTIF(DU2436:EH2436, "&lt;&gt;")</f>
        <v>7</v>
      </c>
      <c r="AZ2436" s="0" t="n">
        <f aca="false">IF(EH2436&lt;&gt;"",1,0)</f>
        <v>1</v>
      </c>
      <c r="BB2436" s="0" t="s">
        <v>153</v>
      </c>
      <c r="BC2436" s="0" t="s">
        <v>154</v>
      </c>
      <c r="BD2436" s="0" t="s">
        <v>154</v>
      </c>
      <c r="BE2436" s="0" t="s">
        <v>154</v>
      </c>
      <c r="BF2436" s="0" t="s">
        <v>154</v>
      </c>
      <c r="BG2436" s="0" t="s">
        <v>154</v>
      </c>
      <c r="BH2436" s="0" t="s">
        <v>154</v>
      </c>
      <c r="BI2436" s="0" t="s">
        <v>154</v>
      </c>
      <c r="BJ2436" s="0" t="s">
        <v>154</v>
      </c>
      <c r="BL2436" s="0" t="s">
        <v>154</v>
      </c>
      <c r="BP2436" s="0" t="s">
        <v>154</v>
      </c>
      <c r="BR2436" s="0" t="s">
        <v>154</v>
      </c>
      <c r="BS2436" s="0" t="s">
        <v>154</v>
      </c>
      <c r="BV2436" s="0" t="s">
        <v>154</v>
      </c>
      <c r="BY2436" s="0" t="s">
        <v>155</v>
      </c>
      <c r="CA2436" s="0" t="s">
        <v>154</v>
      </c>
      <c r="CC2436" s="0" t="s">
        <v>155</v>
      </c>
      <c r="CG2436" s="0" t="s">
        <v>154</v>
      </c>
      <c r="CH2436" s="0" t="s">
        <v>155</v>
      </c>
      <c r="CK2436" s="0" t="s">
        <v>154</v>
      </c>
      <c r="CL2436" s="0" t="s">
        <v>155</v>
      </c>
      <c r="CN2436" s="0" t="s">
        <v>154</v>
      </c>
      <c r="CO2436" s="0" t="s">
        <v>155</v>
      </c>
      <c r="CP2436" s="0" t="s">
        <v>154</v>
      </c>
      <c r="CQ2436" s="0" t="s">
        <v>155</v>
      </c>
      <c r="CT2436" s="0" t="s">
        <v>154</v>
      </c>
      <c r="CU2436" s="0" t="s">
        <v>176</v>
      </c>
      <c r="CV2436" s="0" t="s">
        <v>154</v>
      </c>
      <c r="CY2436" s="0" t="s">
        <v>154</v>
      </c>
      <c r="CZ2436" s="0" t="s">
        <v>176</v>
      </c>
      <c r="DC2436" s="0" t="s">
        <v>154</v>
      </c>
      <c r="DD2436" s="0" t="s">
        <v>155</v>
      </c>
      <c r="DF2436" s="0" t="s">
        <v>154</v>
      </c>
      <c r="DG2436" s="0" t="s">
        <v>155</v>
      </c>
      <c r="DI2436" s="0" t="s">
        <v>154</v>
      </c>
      <c r="DJ2436" s="0" t="s">
        <v>155</v>
      </c>
      <c r="DL2436" s="0" t="s">
        <v>154</v>
      </c>
      <c r="DN2436" s="0" t="s">
        <v>154</v>
      </c>
      <c r="DS2436" s="0" t="s">
        <v>155</v>
      </c>
      <c r="DT2436" s="0" t="s">
        <v>176</v>
      </c>
      <c r="DU2436" s="0" t="s">
        <v>154</v>
      </c>
      <c r="DW2436" s="0" t="s">
        <v>155</v>
      </c>
      <c r="DX2436" s="0" t="s">
        <v>154</v>
      </c>
      <c r="EA2436" s="0" t="s">
        <v>154</v>
      </c>
      <c r="ED2436" s="0" t="s">
        <v>155</v>
      </c>
      <c r="EF2436" s="0" t="s">
        <v>154</v>
      </c>
      <c r="EH2436" s="0" t="s">
        <v>155</v>
      </c>
    </row>
    <row r="2437" customFormat="false" ht="13.8" hidden="true" customHeight="false" outlineLevel="0" collapsed="false">
      <c r="A2437" s="0" t="s">
        <v>10550</v>
      </c>
      <c r="B2437" s="0" t="n">
        <v>78</v>
      </c>
      <c r="C2437" s="0" t="n">
        <v>458606</v>
      </c>
      <c r="D2437" s="0" t="s">
        <v>53</v>
      </c>
      <c r="E2437" s="0" t="s">
        <v>10551</v>
      </c>
      <c r="F2437" s="0" t="str">
        <f aca="false">CONCATENATE(D2437," ",LEFT(H2437,4),"T=",AU2437,"D=",AV2437,"R=",AW2437,"M=",AX2437,"L=",AY2437,"B=",AZ2437)</f>
        <v>WARD T=7D=0R=0M=0L=0B=0</v>
      </c>
      <c r="G2437" s="0" t="s">
        <v>176</v>
      </c>
      <c r="I2437" s="0" t="s">
        <v>10552</v>
      </c>
      <c r="J2437" s="0" t="s">
        <v>757</v>
      </c>
      <c r="K2437" s="0" t="s">
        <v>175</v>
      </c>
      <c r="L2437" s="0"/>
      <c r="M2437" s="0" t="s">
        <v>10553</v>
      </c>
      <c r="N2437" s="0" t="str">
        <f aca="false">RIGHT(M2437,LEN(M2437)-FIND(" ",M2437))</f>
        <v>SHERIDAN AVE NE</v>
      </c>
      <c r="P2437" s="0" t="s">
        <v>146</v>
      </c>
      <c r="Q2437" s="0" t="s">
        <v>147</v>
      </c>
      <c r="R2437" s="0" t="n">
        <v>44483</v>
      </c>
      <c r="AD2437" s="0" t="s">
        <v>148</v>
      </c>
      <c r="AE2437" s="0" t="s">
        <v>149</v>
      </c>
      <c r="AF2437" s="0" t="s">
        <v>150</v>
      </c>
      <c r="AH2437" s="0" t="n">
        <v>14</v>
      </c>
      <c r="AI2437" s="0" t="n">
        <v>11</v>
      </c>
      <c r="AN2437" s="0" t="s">
        <v>146</v>
      </c>
      <c r="AO2437" s="0" t="s">
        <v>236</v>
      </c>
      <c r="AP2437" s="0" t="s">
        <v>237</v>
      </c>
      <c r="AQ2437" s="0" t="n">
        <v>9</v>
      </c>
      <c r="AR2437" s="0" t="n">
        <v>64</v>
      </c>
      <c r="AS2437" s="0" t="n">
        <v>32</v>
      </c>
      <c r="AU2437" s="0" t="n">
        <f aca="false">COUNTA($BA$224:$EH$224)</f>
        <v>7</v>
      </c>
      <c r="AV2437" s="0" t="n">
        <f aca="false">COUNTIF($BA$224:$EH$224,"D")</f>
        <v>0</v>
      </c>
      <c r="AW2437" s="0" t="n">
        <f aca="false">COUNTIF($BA$224:$EH$224,"R")</f>
        <v>0</v>
      </c>
      <c r="AX2437" s="0" t="n">
        <f aca="false"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>0</v>
      </c>
      <c r="AY2437" s="0" t="n">
        <f aca="false">COUNTIF(DU2437:EH2437, "&lt;&gt;")</f>
        <v>0</v>
      </c>
      <c r="AZ2437" s="0" t="n">
        <f aca="false">IF(EH2437&lt;&gt;"",1,0)</f>
        <v>0</v>
      </c>
      <c r="BB2437" s="0" t="s">
        <v>153</v>
      </c>
    </row>
    <row r="2438" customFormat="false" ht="13.8" hidden="true" customHeight="false" outlineLevel="0" collapsed="false">
      <c r="A2438" s="0" t="s">
        <v>10554</v>
      </c>
      <c r="B2438" s="0" t="n">
        <v>78</v>
      </c>
      <c r="C2438" s="0" t="n">
        <v>416662</v>
      </c>
      <c r="D2438" s="0" t="s">
        <v>2591</v>
      </c>
      <c r="E2438" s="0" t="s">
        <v>1744</v>
      </c>
      <c r="F2438" s="0" t="str">
        <f aca="false">CONCATENATE(D2438," ",LEFT(H2438,4),"T=",AU2438,"D=",AV2438,"R=",AW2438,"M=",AX2438,"L=",AY2438,"B=",AZ2438)</f>
        <v>GARRETT T=2D=0R=0M=0L=0B=0</v>
      </c>
      <c r="G2438" s="0" t="s">
        <v>297</v>
      </c>
      <c r="I2438" s="0" t="s">
        <v>10555</v>
      </c>
      <c r="J2438" s="0" t="s">
        <v>10556</v>
      </c>
      <c r="K2438" s="0" t="s">
        <v>144</v>
      </c>
      <c r="L2438" s="0"/>
      <c r="M2438" s="0" t="s">
        <v>10557</v>
      </c>
      <c r="N2438" s="0" t="str">
        <f aca="false">RIGHT(M2438,LEN(M2438)-FIND(" ",M2438))</f>
        <v>SHERIDAN AVE NE</v>
      </c>
      <c r="P2438" s="0" t="s">
        <v>146</v>
      </c>
      <c r="Q2438" s="0" t="s">
        <v>147</v>
      </c>
      <c r="R2438" s="0" t="n">
        <v>44483</v>
      </c>
      <c r="AD2438" s="0" t="s">
        <v>148</v>
      </c>
      <c r="AE2438" s="0" t="s">
        <v>149</v>
      </c>
      <c r="AF2438" s="0" t="s">
        <v>150</v>
      </c>
      <c r="AH2438" s="0" t="n">
        <v>14</v>
      </c>
      <c r="AI2438" s="0" t="n">
        <v>11</v>
      </c>
      <c r="AN2438" s="0" t="s">
        <v>146</v>
      </c>
      <c r="AO2438" s="0" t="s">
        <v>236</v>
      </c>
      <c r="AP2438" s="0" t="s">
        <v>237</v>
      </c>
      <c r="AQ2438" s="0" t="n">
        <v>9</v>
      </c>
      <c r="AR2438" s="0" t="n">
        <v>64</v>
      </c>
      <c r="AS2438" s="0" t="n">
        <v>32</v>
      </c>
      <c r="AU2438" s="0" t="n">
        <f aca="false">COUNTA($BA$249:$EH$249)</f>
        <v>2</v>
      </c>
      <c r="AV2438" s="0" t="n">
        <f aca="false">COUNTIF($BA$249:$EH$249,"D")</f>
        <v>0</v>
      </c>
      <c r="AW2438" s="0" t="n">
        <f aca="false">COUNTIF($BA$249:$EH$249,"R")</f>
        <v>0</v>
      </c>
      <c r="AX2438" s="0" t="n">
        <f aca="false"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>0</v>
      </c>
      <c r="AY2438" s="0" t="n">
        <f aca="false">COUNTIF(DU2438:EH2438, "&lt;&gt;")</f>
        <v>0</v>
      </c>
      <c r="AZ2438" s="0" t="n">
        <f aca="false">IF(EH2438&lt;&gt;"",1,0)</f>
        <v>0</v>
      </c>
      <c r="BB2438" s="0" t="s">
        <v>153</v>
      </c>
    </row>
    <row r="2439" customFormat="false" ht="13.8" hidden="true" customHeight="false" outlineLevel="0" collapsed="false">
      <c r="A2439" s="0" t="s">
        <v>10558</v>
      </c>
      <c r="B2439" s="0" t="n">
        <v>78</v>
      </c>
      <c r="C2439" s="0" t="n">
        <v>422983</v>
      </c>
      <c r="D2439" s="0" t="s">
        <v>1946</v>
      </c>
      <c r="E2439" s="0" t="s">
        <v>10559</v>
      </c>
      <c r="F2439" s="0" t="str">
        <f aca="false">CONCATENATE(D2439," ",LEFT(H2439,4),"T=",AU2439,"D=",AV2439,"R=",AW2439,"M=",AX2439,"L=",AY2439,"B=",AZ2439)</f>
        <v>KOTSATOS T=2D=0R=0M=0L=0B=0</v>
      </c>
      <c r="G2439" s="0" t="s">
        <v>10560</v>
      </c>
      <c r="I2439" s="0" t="s">
        <v>10561</v>
      </c>
      <c r="J2439" s="0" t="s">
        <v>3132</v>
      </c>
      <c r="K2439" s="0" t="s">
        <v>144</v>
      </c>
      <c r="L2439" s="0"/>
      <c r="M2439" s="0" t="s">
        <v>10562</v>
      </c>
      <c r="N2439" s="0" t="str">
        <f aca="false">RIGHT(M2439,LEN(M2439)-FIND(" ",M2439))</f>
        <v>SHERIDAN AVE NE</v>
      </c>
      <c r="P2439" s="0" t="s">
        <v>146</v>
      </c>
      <c r="Q2439" s="0" t="s">
        <v>147</v>
      </c>
      <c r="R2439" s="0" t="n">
        <v>44483</v>
      </c>
      <c r="AD2439" s="0" t="s">
        <v>148</v>
      </c>
      <c r="AE2439" s="0" t="s">
        <v>149</v>
      </c>
      <c r="AF2439" s="0" t="s">
        <v>150</v>
      </c>
      <c r="AH2439" s="0" t="n">
        <v>14</v>
      </c>
      <c r="AI2439" s="0" t="n">
        <v>11</v>
      </c>
      <c r="AN2439" s="0" t="s">
        <v>146</v>
      </c>
      <c r="AO2439" s="0" t="s">
        <v>236</v>
      </c>
      <c r="AP2439" s="0" t="s">
        <v>237</v>
      </c>
      <c r="AQ2439" s="0" t="n">
        <v>9</v>
      </c>
      <c r="AR2439" s="0" t="n">
        <v>64</v>
      </c>
      <c r="AS2439" s="0" t="n">
        <v>32</v>
      </c>
      <c r="AU2439" s="0" t="n">
        <f aca="false">COUNTA($BA$74:$EH$74)</f>
        <v>2</v>
      </c>
      <c r="AV2439" s="0" t="n">
        <f aca="false">COUNTIF($BA$74:$EH$74,"D")</f>
        <v>0</v>
      </c>
      <c r="AW2439" s="0" t="n">
        <f aca="false">COUNTIF($BA$74:$EH$74,"R")</f>
        <v>0</v>
      </c>
      <c r="AX2439" s="0" t="n">
        <f aca="false"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>0</v>
      </c>
      <c r="AY2439" s="0" t="n">
        <f aca="false">COUNTIF(DU2439:EH2439, "&lt;&gt;")</f>
        <v>0</v>
      </c>
      <c r="AZ2439" s="0" t="n">
        <f aca="false">IF(EH2439&lt;&gt;"",1,0)</f>
        <v>0</v>
      </c>
      <c r="BB2439" s="0" t="s">
        <v>153</v>
      </c>
      <c r="BI2439" s="0" t="s">
        <v>154</v>
      </c>
      <c r="BJ2439" s="0" t="s">
        <v>154</v>
      </c>
      <c r="BK2439" s="0" t="s">
        <v>176</v>
      </c>
      <c r="CP2439" s="0" t="s">
        <v>154</v>
      </c>
    </row>
    <row r="2440" customFormat="false" ht="13.8" hidden="false" customHeight="false" outlineLevel="0" collapsed="false">
      <c r="A2440" s="0" t="s">
        <v>10563</v>
      </c>
      <c r="B2440" s="0" t="n">
        <v>78</v>
      </c>
      <c r="C2440" s="0" t="n">
        <v>171820</v>
      </c>
      <c r="D2440" s="0" t="s">
        <v>10564</v>
      </c>
      <c r="E2440" s="0" t="s">
        <v>3639</v>
      </c>
      <c r="F2440" s="0" t="str">
        <f aca="false">CONCATENATE(D2440," ",LEFT(H2440,4),"T=",AU2440,"D=",AV2440,"R=",AW2440,"M=",AX2440,"L=",AY2440,"B=",AZ2440)</f>
        <v>KAYE T=2D=0R=0M=0L=2B=0</v>
      </c>
      <c r="G2440" s="0" t="s">
        <v>241</v>
      </c>
      <c r="I2440" s="0" t="s">
        <v>10565</v>
      </c>
      <c r="J2440" s="0" t="s">
        <v>6777</v>
      </c>
      <c r="K2440" s="0" t="s">
        <v>175</v>
      </c>
      <c r="M2440" s="0" t="s">
        <v>10566</v>
      </c>
      <c r="N2440" s="0" t="str">
        <f aca="false">RIGHT(M2440,LEN(M2440)-FIND(" ",M2440))</f>
        <v>SHERIDAN AVE NE</v>
      </c>
      <c r="P2440" s="0" t="s">
        <v>146</v>
      </c>
      <c r="Q2440" s="0" t="s">
        <v>147</v>
      </c>
      <c r="R2440" s="0" t="n">
        <v>44483</v>
      </c>
      <c r="AD2440" s="0" t="s">
        <v>148</v>
      </c>
      <c r="AE2440" s="0" t="s">
        <v>149</v>
      </c>
      <c r="AF2440" s="0" t="s">
        <v>150</v>
      </c>
      <c r="AH2440" s="0" t="n">
        <v>14</v>
      </c>
      <c r="AI2440" s="0" t="n">
        <v>11</v>
      </c>
      <c r="AN2440" s="0" t="s">
        <v>146</v>
      </c>
      <c r="AO2440" s="0" t="s">
        <v>236</v>
      </c>
      <c r="AP2440" s="0" t="s">
        <v>237</v>
      </c>
      <c r="AQ2440" s="0" t="n">
        <v>9</v>
      </c>
      <c r="AR2440" s="0" t="n">
        <v>64</v>
      </c>
      <c r="AS2440" s="0" t="n">
        <v>32</v>
      </c>
      <c r="AU2440" s="0" t="n">
        <f aca="false">COUNTA($BA$804:$EH$804)</f>
        <v>2</v>
      </c>
      <c r="AV2440" s="0" t="n">
        <f aca="false">COUNTIF($BA$804:$EH$804,"D")</f>
        <v>0</v>
      </c>
      <c r="AW2440" s="0" t="n">
        <f aca="false">COUNTIF($BA$804:$EH$804,"R")</f>
        <v>0</v>
      </c>
      <c r="AX2440" s="0" t="n">
        <f aca="false"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>0</v>
      </c>
      <c r="AY2440" s="0" t="n">
        <f aca="false">COUNTIF(DU2440:EH2440, "&lt;&gt;")</f>
        <v>2</v>
      </c>
      <c r="AZ2440" s="0" t="n">
        <f aca="false">IF(EH2440&lt;&gt;"",1,0)</f>
        <v>0</v>
      </c>
      <c r="BB2440" s="0" t="s">
        <v>153</v>
      </c>
      <c r="BD2440" s="0" t="s">
        <v>154</v>
      </c>
      <c r="BJ2440" s="0" t="s">
        <v>154</v>
      </c>
      <c r="CA2440" s="0" t="s">
        <v>154</v>
      </c>
      <c r="DC2440" s="0" t="s">
        <v>154</v>
      </c>
      <c r="DI2440" s="0" t="s">
        <v>154</v>
      </c>
      <c r="DN2440" s="0" t="s">
        <v>154</v>
      </c>
      <c r="DU2440" s="0" t="s">
        <v>154</v>
      </c>
      <c r="EF2440" s="0" t="s">
        <v>154</v>
      </c>
    </row>
    <row r="2441" customFormat="false" ht="13.8" hidden="true" customHeight="false" outlineLevel="0" collapsed="false">
      <c r="A2441" s="0" t="s">
        <v>10567</v>
      </c>
      <c r="B2441" s="0" t="n">
        <v>78</v>
      </c>
      <c r="C2441" s="0" t="n">
        <v>409078</v>
      </c>
      <c r="D2441" s="0" t="s">
        <v>10564</v>
      </c>
      <c r="E2441" s="0" t="s">
        <v>2172</v>
      </c>
      <c r="F2441" s="0" t="str">
        <f aca="false">CONCATENATE(D2441," ",LEFT(H2441,4),"T=",AU2441,"D=",AV2441,"R=",AW2441,"M=",AX2441,"L=",AY2441,"B=",AZ2441)</f>
        <v>KAYE T=2D=0R=0M=0L=0B=0</v>
      </c>
      <c r="G2441" s="0" t="s">
        <v>802</v>
      </c>
      <c r="I2441" s="0" t="s">
        <v>10568</v>
      </c>
      <c r="J2441" s="0" t="s">
        <v>10569</v>
      </c>
      <c r="K2441" s="0" t="s">
        <v>144</v>
      </c>
      <c r="L2441" s="0"/>
      <c r="M2441" s="0" t="s">
        <v>10566</v>
      </c>
      <c r="N2441" s="0" t="str">
        <f aca="false">RIGHT(M2441,LEN(M2441)-FIND(" ",M2441))</f>
        <v>SHERIDAN AVE NE</v>
      </c>
      <c r="P2441" s="0" t="s">
        <v>146</v>
      </c>
      <c r="Q2441" s="0" t="s">
        <v>147</v>
      </c>
      <c r="R2441" s="0" t="n">
        <v>44483</v>
      </c>
      <c r="AD2441" s="0" t="s">
        <v>148</v>
      </c>
      <c r="AE2441" s="0" t="s">
        <v>149</v>
      </c>
      <c r="AF2441" s="0" t="s">
        <v>150</v>
      </c>
      <c r="AH2441" s="0" t="n">
        <v>14</v>
      </c>
      <c r="AI2441" s="0" t="n">
        <v>11</v>
      </c>
      <c r="AN2441" s="0" t="s">
        <v>146</v>
      </c>
      <c r="AO2441" s="0" t="s">
        <v>236</v>
      </c>
      <c r="AP2441" s="0" t="s">
        <v>237</v>
      </c>
      <c r="AQ2441" s="0" t="n">
        <v>9</v>
      </c>
      <c r="AR2441" s="0" t="n">
        <v>64</v>
      </c>
      <c r="AS2441" s="0" t="n">
        <v>32</v>
      </c>
      <c r="AU2441" s="0" t="n">
        <f aca="false">COUNTA($BA$987:$EH$987)</f>
        <v>2</v>
      </c>
      <c r="AV2441" s="0" t="n">
        <f aca="false">COUNTIF($BA$987:$EH$987,"D")</f>
        <v>0</v>
      </c>
      <c r="AW2441" s="0" t="n">
        <f aca="false">COUNTIF($BA$987:$EH$987,"R")</f>
        <v>0</v>
      </c>
      <c r="AX2441" s="0" t="n">
        <f aca="false"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>0</v>
      </c>
      <c r="AY2441" s="0" t="n">
        <f aca="false">COUNTIF(DU2441:EH2441, "&lt;&gt;")</f>
        <v>0</v>
      </c>
      <c r="AZ2441" s="0" t="n">
        <f aca="false">IF(EH2441&lt;&gt;"",1,0)</f>
        <v>0</v>
      </c>
      <c r="BB2441" s="0" t="s">
        <v>153</v>
      </c>
      <c r="CZ2441" s="0" t="s">
        <v>155</v>
      </c>
      <c r="DC2441" s="0" t="s">
        <v>154</v>
      </c>
    </row>
    <row r="2442" customFormat="false" ht="13.8" hidden="false" customHeight="false" outlineLevel="0" collapsed="false">
      <c r="A2442" s="0" t="s">
        <v>10570</v>
      </c>
      <c r="B2442" s="0" t="n">
        <v>78</v>
      </c>
      <c r="C2442" s="0" t="n">
        <v>400785</v>
      </c>
      <c r="D2442" s="0" t="s">
        <v>7274</v>
      </c>
      <c r="E2442" s="0" t="s">
        <v>10571</v>
      </c>
      <c r="F2442" s="0" t="str">
        <f aca="false">CONCATENATE(D2442," ",LEFT(H2442,4),"T=",AU2442,"D=",AV2442,"R=",AW2442,"M=",AX2442,"L=",AY2442,"B=",AZ2442)</f>
        <v>BALDRIDGE T=1D=0R=0M=1L=2B=0</v>
      </c>
      <c r="G2442" s="0" t="s">
        <v>188</v>
      </c>
      <c r="I2442" s="0" t="s">
        <v>10572</v>
      </c>
      <c r="J2442" s="0" t="s">
        <v>2776</v>
      </c>
      <c r="K2442" s="0" t="s">
        <v>144</v>
      </c>
      <c r="L2442" s="1" t="s">
        <v>155</v>
      </c>
      <c r="M2442" s="0" t="s">
        <v>10573</v>
      </c>
      <c r="N2442" s="0" t="str">
        <f aca="false">RIGHT(M2442,LEN(M2442)-FIND(" ",M2442))</f>
        <v>SHERIDAN AVE NE</v>
      </c>
      <c r="P2442" s="0" t="s">
        <v>146</v>
      </c>
      <c r="Q2442" s="0" t="s">
        <v>147</v>
      </c>
      <c r="R2442" s="0" t="n">
        <v>44483</v>
      </c>
      <c r="AD2442" s="0" t="s">
        <v>148</v>
      </c>
      <c r="AE2442" s="0" t="s">
        <v>149</v>
      </c>
      <c r="AF2442" s="0" t="s">
        <v>150</v>
      </c>
      <c r="AH2442" s="0" t="n">
        <v>14</v>
      </c>
      <c r="AI2442" s="0" t="n">
        <v>11</v>
      </c>
      <c r="AN2442" s="0" t="s">
        <v>146</v>
      </c>
      <c r="AO2442" s="0" t="s">
        <v>236</v>
      </c>
      <c r="AP2442" s="0" t="s">
        <v>237</v>
      </c>
      <c r="AQ2442" s="0" t="n">
        <v>9</v>
      </c>
      <c r="AR2442" s="0" t="n">
        <v>64</v>
      </c>
      <c r="AS2442" s="0" t="n">
        <v>32</v>
      </c>
      <c r="AU2442" s="0" t="n">
        <f aca="false">COUNTA($BA$68:$EH$68)</f>
        <v>1</v>
      </c>
      <c r="AV2442" s="0" t="n">
        <f aca="false">COUNTIF($BA$68:$EH$68,"D")</f>
        <v>0</v>
      </c>
      <c r="AW2442" s="0" t="n">
        <f aca="false">COUNTIF($BA$68:$EH$68,"R")</f>
        <v>0</v>
      </c>
      <c r="AX2442" s="0" t="n">
        <f aca="false"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>1</v>
      </c>
      <c r="AY2442" s="0" t="n">
        <f aca="false">COUNTIF(DU2442:EH2442, "&lt;&gt;")</f>
        <v>2</v>
      </c>
      <c r="AZ2442" s="0" t="n">
        <f aca="false">IF(EH2442&lt;&gt;"",1,0)</f>
        <v>0</v>
      </c>
      <c r="BB2442" s="0" t="s">
        <v>153</v>
      </c>
      <c r="DC2442" s="0" t="s">
        <v>154</v>
      </c>
      <c r="DI2442" s="0" t="s">
        <v>154</v>
      </c>
      <c r="DN2442" s="0" t="s">
        <v>154</v>
      </c>
      <c r="DT2442" s="0" t="s">
        <v>155</v>
      </c>
      <c r="DW2442" s="0" t="s">
        <v>155</v>
      </c>
      <c r="DX2442" s="0" t="s">
        <v>154</v>
      </c>
    </row>
    <row r="2443" customFormat="false" ht="13.8" hidden="true" customHeight="false" outlineLevel="0" collapsed="false">
      <c r="A2443" s="0" t="s">
        <v>10574</v>
      </c>
      <c r="B2443" s="0" t="n">
        <v>78</v>
      </c>
      <c r="C2443" s="0" t="n">
        <v>489487</v>
      </c>
      <c r="D2443" s="0" t="s">
        <v>10575</v>
      </c>
      <c r="E2443" s="0" t="s">
        <v>10576</v>
      </c>
      <c r="F2443" s="0" t="str">
        <f aca="false">CONCATENATE(D2443," ",LEFT(H2443,4),"T=",AU2443,"D=",AV2443,"R=",AW2443,"M=",AX2443,"L=",AY2443,"B=",AZ2443)</f>
        <v>DAWES T=2D=0R=0M=0L=1B=0</v>
      </c>
      <c r="G2443" s="0" t="s">
        <v>10577</v>
      </c>
      <c r="I2443" s="0" t="s">
        <v>10578</v>
      </c>
      <c r="J2443" s="0" t="s">
        <v>1877</v>
      </c>
      <c r="K2443" s="0" t="s">
        <v>175</v>
      </c>
      <c r="L2443" s="0"/>
      <c r="M2443" s="0" t="s">
        <v>10573</v>
      </c>
      <c r="N2443" s="0" t="str">
        <f aca="false">RIGHT(M2443,LEN(M2443)-FIND(" ",M2443))</f>
        <v>SHERIDAN AVE NE</v>
      </c>
      <c r="P2443" s="0" t="s">
        <v>146</v>
      </c>
      <c r="Q2443" s="0" t="s">
        <v>147</v>
      </c>
      <c r="R2443" s="0" t="n">
        <v>44483</v>
      </c>
      <c r="AD2443" s="0" t="s">
        <v>148</v>
      </c>
      <c r="AE2443" s="0" t="s">
        <v>149</v>
      </c>
      <c r="AF2443" s="0" t="s">
        <v>150</v>
      </c>
      <c r="AH2443" s="0" t="n">
        <v>14</v>
      </c>
      <c r="AI2443" s="0" t="n">
        <v>11</v>
      </c>
      <c r="AN2443" s="0" t="s">
        <v>146</v>
      </c>
      <c r="AO2443" s="0" t="s">
        <v>236</v>
      </c>
      <c r="AP2443" s="0" t="s">
        <v>237</v>
      </c>
      <c r="AQ2443" s="0" t="n">
        <v>9</v>
      </c>
      <c r="AR2443" s="0" t="n">
        <v>64</v>
      </c>
      <c r="AS2443" s="0" t="n">
        <v>32</v>
      </c>
      <c r="AU2443" s="0" t="n">
        <f aca="false">COUNTA($BA$839:$EH$839)</f>
        <v>2</v>
      </c>
      <c r="AV2443" s="0" t="n">
        <f aca="false">COUNTIF($BA$839:$EH$839,"D")</f>
        <v>0</v>
      </c>
      <c r="AW2443" s="0" t="n">
        <f aca="false">COUNTIF($BA$839:$EH$839,"R")</f>
        <v>0</v>
      </c>
      <c r="AX2443" s="0" t="n">
        <f aca="false"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>0</v>
      </c>
      <c r="AY2443" s="0" t="n">
        <f aca="false">COUNTIF(DU2443:EH2443, "&lt;&gt;")</f>
        <v>1</v>
      </c>
      <c r="AZ2443" s="0" t="n">
        <f aca="false">IF(EH2443&lt;&gt;"",1,0)</f>
        <v>0</v>
      </c>
      <c r="BB2443" s="0" t="s">
        <v>153</v>
      </c>
      <c r="EF2443" s="0" t="s">
        <v>154</v>
      </c>
    </row>
    <row r="2444" customFormat="false" ht="13.8" hidden="false" customHeight="false" outlineLevel="0" collapsed="false">
      <c r="A2444" s="0" t="s">
        <v>10579</v>
      </c>
      <c r="B2444" s="0" t="n">
        <v>78</v>
      </c>
      <c r="C2444" s="0" t="n">
        <v>434817</v>
      </c>
      <c r="D2444" s="0" t="s">
        <v>10580</v>
      </c>
      <c r="E2444" s="0" t="s">
        <v>3172</v>
      </c>
      <c r="F2444" s="0" t="str">
        <f aca="false">CONCATENATE(D2444," ",LEFT(H2444,4),"T=",AU2444,"D=",AV2444,"R=",AW2444,"M=",AX2444,"L=",AY2444,"B=",AZ2444)</f>
        <v>GLASPELL JRT=1D=0R=0M=1L=4B=0</v>
      </c>
      <c r="G2444" s="0" t="s">
        <v>176</v>
      </c>
      <c r="H2444" s="0" t="s">
        <v>431</v>
      </c>
      <c r="I2444" s="0" t="s">
        <v>10581</v>
      </c>
      <c r="J2444" s="0" t="s">
        <v>10582</v>
      </c>
      <c r="K2444" s="0" t="s">
        <v>175</v>
      </c>
      <c r="L2444" s="1" t="s">
        <v>155</v>
      </c>
      <c r="M2444" s="0" t="s">
        <v>10583</v>
      </c>
      <c r="N2444" s="0" t="str">
        <f aca="false">RIGHT(M2444,LEN(M2444)-FIND(" ",M2444))</f>
        <v>SHERIDAN AVE NE</v>
      </c>
      <c r="P2444" s="0" t="s">
        <v>146</v>
      </c>
      <c r="Q2444" s="0" t="s">
        <v>147</v>
      </c>
      <c r="R2444" s="0" t="n">
        <v>44483</v>
      </c>
      <c r="AD2444" s="0" t="s">
        <v>148</v>
      </c>
      <c r="AE2444" s="0" t="s">
        <v>149</v>
      </c>
      <c r="AF2444" s="0" t="s">
        <v>150</v>
      </c>
      <c r="AH2444" s="0" t="n">
        <v>14</v>
      </c>
      <c r="AI2444" s="0" t="n">
        <v>11</v>
      </c>
      <c r="AN2444" s="0" t="s">
        <v>146</v>
      </c>
      <c r="AO2444" s="0" t="s">
        <v>236</v>
      </c>
      <c r="AP2444" s="0" t="s">
        <v>237</v>
      </c>
      <c r="AQ2444" s="0" t="n">
        <v>9</v>
      </c>
      <c r="AR2444" s="0" t="n">
        <v>64</v>
      </c>
      <c r="AS2444" s="0" t="n">
        <v>32</v>
      </c>
      <c r="AU2444" s="0" t="n">
        <f aca="false">COUNTA($BA$247:$EH$247)</f>
        <v>1</v>
      </c>
      <c r="AV2444" s="0" t="n">
        <f aca="false">COUNTIF($BA$247:$EH$247,"D")</f>
        <v>0</v>
      </c>
      <c r="AW2444" s="0" t="n">
        <f aca="false">COUNTIF($BA$247:$EH$247,"R")</f>
        <v>0</v>
      </c>
      <c r="AX2444" s="0" t="n">
        <f aca="false"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>1</v>
      </c>
      <c r="AY2444" s="0" t="n">
        <f aca="false">COUNTIF(DU2444:EH2444, "&lt;&gt;")</f>
        <v>4</v>
      </c>
      <c r="AZ2444" s="0" t="n">
        <f aca="false">IF(EH2444&lt;&gt;"",1,0)</f>
        <v>0</v>
      </c>
      <c r="BB2444" s="0" t="s">
        <v>153</v>
      </c>
      <c r="BH2444" s="0" t="s">
        <v>154</v>
      </c>
      <c r="BJ2444" s="0" t="s">
        <v>154</v>
      </c>
      <c r="BK2444" s="0" t="s">
        <v>154</v>
      </c>
      <c r="BL2444" s="0" t="s">
        <v>154</v>
      </c>
      <c r="BS2444" s="0" t="s">
        <v>154</v>
      </c>
      <c r="BY2444" s="0" t="s">
        <v>155</v>
      </c>
      <c r="CA2444" s="0" t="s">
        <v>154</v>
      </c>
      <c r="CK2444" s="0" t="s">
        <v>154</v>
      </c>
      <c r="CN2444" s="0" t="s">
        <v>154</v>
      </c>
      <c r="CP2444" s="0" t="s">
        <v>154</v>
      </c>
      <c r="DI2444" s="0" t="s">
        <v>154</v>
      </c>
      <c r="DM2444" s="0" t="s">
        <v>155</v>
      </c>
      <c r="DU2444" s="0" t="s">
        <v>154</v>
      </c>
      <c r="DW2444" s="0" t="s">
        <v>155</v>
      </c>
      <c r="EA2444" s="0" t="s">
        <v>154</v>
      </c>
      <c r="EF2444" s="0" t="s">
        <v>154</v>
      </c>
    </row>
    <row r="2445" customFormat="false" ht="13.8" hidden="false" customHeight="false" outlineLevel="0" collapsed="false">
      <c r="A2445" s="0" t="s">
        <v>10584</v>
      </c>
      <c r="B2445" s="0" t="n">
        <v>78</v>
      </c>
      <c r="C2445" s="0" t="n">
        <v>162661</v>
      </c>
      <c r="D2445" s="0" t="s">
        <v>10580</v>
      </c>
      <c r="E2445" s="0" t="s">
        <v>4570</v>
      </c>
      <c r="F2445" s="0" t="str">
        <f aca="false">CONCATENATE(D2445," ",LEFT(H2445,4),"T=",AU2445,"D=",AV2445,"R=",AW2445,"M=",AX2445,"L=",AY2445,"B=",AZ2445)</f>
        <v>GLASPELL T=15D=3R=0M=1L=5B=0</v>
      </c>
      <c r="G2445" s="0" t="s">
        <v>188</v>
      </c>
      <c r="I2445" s="0" t="s">
        <v>10585</v>
      </c>
      <c r="J2445" s="0" t="s">
        <v>10586</v>
      </c>
      <c r="K2445" s="0" t="s">
        <v>175</v>
      </c>
      <c r="L2445" s="1" t="s">
        <v>155</v>
      </c>
      <c r="M2445" s="0" t="s">
        <v>10583</v>
      </c>
      <c r="N2445" s="0" t="str">
        <f aca="false">RIGHT(M2445,LEN(M2445)-FIND(" ",M2445))</f>
        <v>SHERIDAN AVE NE</v>
      </c>
      <c r="P2445" s="0" t="s">
        <v>146</v>
      </c>
      <c r="Q2445" s="0" t="s">
        <v>147</v>
      </c>
      <c r="R2445" s="0" t="n">
        <v>44483</v>
      </c>
      <c r="AD2445" s="0" t="s">
        <v>148</v>
      </c>
      <c r="AE2445" s="0" t="s">
        <v>149</v>
      </c>
      <c r="AF2445" s="0" t="s">
        <v>150</v>
      </c>
      <c r="AH2445" s="0" t="n">
        <v>14</v>
      </c>
      <c r="AI2445" s="0" t="n">
        <v>11</v>
      </c>
      <c r="AN2445" s="0" t="s">
        <v>146</v>
      </c>
      <c r="AO2445" s="0" t="s">
        <v>236</v>
      </c>
      <c r="AP2445" s="0" t="s">
        <v>237</v>
      </c>
      <c r="AQ2445" s="0" t="n">
        <v>9</v>
      </c>
      <c r="AR2445" s="0" t="n">
        <v>64</v>
      </c>
      <c r="AS2445" s="0" t="n">
        <v>32</v>
      </c>
      <c r="AU2445" s="0" t="n">
        <f aca="false">COUNTA($BA$556:$EH$556)</f>
        <v>15</v>
      </c>
      <c r="AV2445" s="0" t="n">
        <f aca="false">COUNTIF($BA$556:$EH$556,"D")</f>
        <v>3</v>
      </c>
      <c r="AW2445" s="0" t="n">
        <f aca="false">COUNTIF($BA$556:$EH$556,"R")</f>
        <v>0</v>
      </c>
      <c r="AX2445" s="0" t="n">
        <f aca="false"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>1</v>
      </c>
      <c r="AY2445" s="0" t="n">
        <f aca="false">COUNTIF(DU2445:EH2445, "&lt;&gt;")</f>
        <v>5</v>
      </c>
      <c r="AZ2445" s="0" t="n">
        <f aca="false">IF(EH2445&lt;&gt;"",1,0)</f>
        <v>0</v>
      </c>
      <c r="BB2445" s="0" t="s">
        <v>153</v>
      </c>
      <c r="BD2445" s="0" t="s">
        <v>154</v>
      </c>
      <c r="BE2445" s="0" t="s">
        <v>154</v>
      </c>
      <c r="BH2445" s="0" t="s">
        <v>154</v>
      </c>
      <c r="BJ2445" s="0" t="s">
        <v>154</v>
      </c>
      <c r="BK2445" s="0" t="s">
        <v>154</v>
      </c>
      <c r="BL2445" s="0" t="s">
        <v>154</v>
      </c>
      <c r="BS2445" s="0" t="s">
        <v>154</v>
      </c>
      <c r="BY2445" s="0" t="s">
        <v>155</v>
      </c>
      <c r="CA2445" s="0" t="s">
        <v>154</v>
      </c>
      <c r="CK2445" s="0" t="s">
        <v>154</v>
      </c>
      <c r="CN2445" s="0" t="s">
        <v>154</v>
      </c>
      <c r="CP2445" s="0" t="s">
        <v>154</v>
      </c>
      <c r="CZ2445" s="0" t="s">
        <v>155</v>
      </c>
      <c r="DC2445" s="0" t="s">
        <v>154</v>
      </c>
      <c r="DI2445" s="0" t="s">
        <v>154</v>
      </c>
      <c r="DM2445" s="0" t="s">
        <v>155</v>
      </c>
      <c r="DN2445" s="0" t="s">
        <v>154</v>
      </c>
      <c r="DS2445" s="0" t="s">
        <v>155</v>
      </c>
      <c r="DU2445" s="0" t="s">
        <v>154</v>
      </c>
      <c r="DW2445" s="0" t="s">
        <v>155</v>
      </c>
      <c r="DX2445" s="0" t="s">
        <v>154</v>
      </c>
      <c r="EA2445" s="0" t="s">
        <v>154</v>
      </c>
      <c r="EF2445" s="0" t="s">
        <v>154</v>
      </c>
    </row>
    <row r="2446" customFormat="false" ht="13.8" hidden="true" customHeight="false" outlineLevel="0" collapsed="false">
      <c r="A2446" s="0" t="s">
        <v>10587</v>
      </c>
      <c r="B2446" s="0" t="n">
        <v>78</v>
      </c>
      <c r="C2446" s="0" t="n">
        <v>273933</v>
      </c>
      <c r="D2446" s="0" t="s">
        <v>7209</v>
      </c>
      <c r="E2446" s="0" t="s">
        <v>283</v>
      </c>
      <c r="F2446" s="0" t="str">
        <f aca="false">CONCATENATE(D2446," ",LEFT(H2446,4),"T=",AU2446,"D=",AV2446,"R=",AW2446,"M=",AX2446,"L=",AY2446,"B=",AZ2446)</f>
        <v>FISHER T=44D=11R=0M=0L=0B=0</v>
      </c>
      <c r="G2446" s="0" t="s">
        <v>188</v>
      </c>
      <c r="I2446" s="0" t="s">
        <v>10588</v>
      </c>
      <c r="J2446" s="0" t="s">
        <v>2894</v>
      </c>
      <c r="K2446" s="0" t="s">
        <v>144</v>
      </c>
      <c r="L2446" s="0"/>
      <c r="M2446" s="0" t="s">
        <v>10583</v>
      </c>
      <c r="N2446" s="0" t="str">
        <f aca="false">RIGHT(M2446,LEN(M2446)-FIND(" ",M2446))</f>
        <v>SHERIDAN AVE NE</v>
      </c>
      <c r="P2446" s="0" t="s">
        <v>146</v>
      </c>
      <c r="Q2446" s="0" t="s">
        <v>147</v>
      </c>
      <c r="R2446" s="0" t="n">
        <v>44483</v>
      </c>
      <c r="AD2446" s="0" t="s">
        <v>148</v>
      </c>
      <c r="AE2446" s="0" t="s">
        <v>149</v>
      </c>
      <c r="AF2446" s="0" t="s">
        <v>150</v>
      </c>
      <c r="AH2446" s="0" t="n">
        <v>14</v>
      </c>
      <c r="AI2446" s="0" t="n">
        <v>11</v>
      </c>
      <c r="AN2446" s="0" t="s">
        <v>146</v>
      </c>
      <c r="AO2446" s="0" t="s">
        <v>236</v>
      </c>
      <c r="AP2446" s="0" t="s">
        <v>237</v>
      </c>
      <c r="AQ2446" s="0" t="n">
        <v>9</v>
      </c>
      <c r="AR2446" s="0" t="n">
        <v>64</v>
      </c>
      <c r="AS2446" s="0" t="n">
        <v>32</v>
      </c>
      <c r="AU2446" s="0" t="n">
        <f aca="false">COUNTA($BA$727:$EH$727)</f>
        <v>44</v>
      </c>
      <c r="AV2446" s="0" t="n">
        <f aca="false">COUNTIF($BA$727:$EH$727,"D")</f>
        <v>11</v>
      </c>
      <c r="AW2446" s="0" t="n">
        <f aca="false">COUNTIF($BA$727:$EH$727,"R")</f>
        <v>0</v>
      </c>
      <c r="AX2446" s="0" t="n">
        <f aca="false"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>0</v>
      </c>
      <c r="AY2446" s="0" t="n">
        <f aca="false">COUNTIF(DU2446:EH2446, "&lt;&gt;")</f>
        <v>0</v>
      </c>
      <c r="AZ2446" s="0" t="n">
        <f aca="false">IF(EH2446&lt;&gt;"",1,0)</f>
        <v>0</v>
      </c>
      <c r="BB2446" s="0" t="s">
        <v>153</v>
      </c>
      <c r="BD2446" s="0" t="s">
        <v>154</v>
      </c>
      <c r="BH2446" s="0" t="s">
        <v>154</v>
      </c>
      <c r="BJ2446" s="0" t="s">
        <v>154</v>
      </c>
      <c r="BK2446" s="0" t="s">
        <v>154</v>
      </c>
      <c r="BL2446" s="0" t="s">
        <v>154</v>
      </c>
      <c r="BP2446" s="0" t="s">
        <v>154</v>
      </c>
      <c r="BS2446" s="0" t="s">
        <v>154</v>
      </c>
      <c r="BY2446" s="0" t="s">
        <v>155</v>
      </c>
      <c r="CK2446" s="0" t="s">
        <v>154</v>
      </c>
    </row>
    <row r="2447" customFormat="false" ht="13.8" hidden="false" customHeight="false" outlineLevel="0" collapsed="false">
      <c r="A2447" s="0" t="s">
        <v>10589</v>
      </c>
      <c r="B2447" s="0" t="n">
        <v>78</v>
      </c>
      <c r="C2447" s="0" t="n">
        <v>216105</v>
      </c>
      <c r="D2447" s="0" t="s">
        <v>10590</v>
      </c>
      <c r="E2447" s="0" t="s">
        <v>266</v>
      </c>
      <c r="F2447" s="0" t="str">
        <f aca="false">CONCATENATE(D2447," ",LEFT(H2447,4),"T=",AU2447,"D=",AV2447,"R=",AW2447,"M=",AX2447,"L=",AY2447,"B=",AZ2447)</f>
        <v>BLACKSHERE T=1D=0R=0M=0L=2B=0</v>
      </c>
      <c r="G2447" s="0" t="s">
        <v>188</v>
      </c>
      <c r="I2447" s="0" t="s">
        <v>10591</v>
      </c>
      <c r="J2447" s="0" t="s">
        <v>10592</v>
      </c>
      <c r="K2447" s="0" t="s">
        <v>175</v>
      </c>
      <c r="M2447" s="0" t="s">
        <v>10593</v>
      </c>
      <c r="N2447" s="0" t="str">
        <f aca="false">RIGHT(M2447,LEN(M2447)-FIND(" ",M2447))</f>
        <v>SHERIDAN AVE NE</v>
      </c>
      <c r="P2447" s="0" t="s">
        <v>146</v>
      </c>
      <c r="Q2447" s="0" t="s">
        <v>147</v>
      </c>
      <c r="R2447" s="0" t="n">
        <v>44483</v>
      </c>
      <c r="AD2447" s="0" t="s">
        <v>148</v>
      </c>
      <c r="AE2447" s="0" t="s">
        <v>149</v>
      </c>
      <c r="AF2447" s="0" t="s">
        <v>150</v>
      </c>
      <c r="AH2447" s="0" t="n">
        <v>14</v>
      </c>
      <c r="AI2447" s="0" t="n">
        <v>11</v>
      </c>
      <c r="AN2447" s="0" t="s">
        <v>146</v>
      </c>
      <c r="AO2447" s="0" t="s">
        <v>236</v>
      </c>
      <c r="AP2447" s="0" t="s">
        <v>237</v>
      </c>
      <c r="AQ2447" s="0" t="n">
        <v>9</v>
      </c>
      <c r="AR2447" s="0" t="n">
        <v>64</v>
      </c>
      <c r="AS2447" s="0" t="n">
        <v>32</v>
      </c>
      <c r="AU2447" s="0" t="n">
        <f aca="false">COUNTA($BA$567:$EH$567)</f>
        <v>1</v>
      </c>
      <c r="AV2447" s="0" t="n">
        <f aca="false">COUNTIF($BA$567:$EH$567,"D")</f>
        <v>0</v>
      </c>
      <c r="AW2447" s="0" t="n">
        <f aca="false">COUNTIF($BA$567:$EH$567,"R")</f>
        <v>0</v>
      </c>
      <c r="AX2447" s="0" t="n">
        <f aca="false"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>0</v>
      </c>
      <c r="AY2447" s="0" t="n">
        <f aca="false">COUNTIF(DU2447:EH2447, "&lt;&gt;")</f>
        <v>2</v>
      </c>
      <c r="AZ2447" s="0" t="n">
        <f aca="false">IF(EH2447&lt;&gt;"",1,0)</f>
        <v>0</v>
      </c>
      <c r="BB2447" s="0" t="s">
        <v>153</v>
      </c>
      <c r="BL2447" s="0" t="s">
        <v>154</v>
      </c>
      <c r="BS2447" s="0" t="s">
        <v>154</v>
      </c>
      <c r="CA2447" s="0" t="s">
        <v>154</v>
      </c>
      <c r="CP2447" s="0" t="s">
        <v>154</v>
      </c>
      <c r="DC2447" s="0" t="s">
        <v>154</v>
      </c>
      <c r="DN2447" s="0" t="s">
        <v>154</v>
      </c>
      <c r="EA2447" s="0" t="s">
        <v>154</v>
      </c>
      <c r="EF2447" s="0" t="s">
        <v>154</v>
      </c>
    </row>
    <row r="2448" customFormat="false" ht="13.8" hidden="true" customHeight="false" outlineLevel="0" collapsed="false">
      <c r="A2448" s="0" t="s">
        <v>10594</v>
      </c>
      <c r="B2448" s="0" t="n">
        <v>78</v>
      </c>
      <c r="C2448" s="0" t="n">
        <v>365276</v>
      </c>
      <c r="D2448" s="0" t="s">
        <v>10595</v>
      </c>
      <c r="E2448" s="0" t="s">
        <v>1169</v>
      </c>
      <c r="F2448" s="0" t="str">
        <f aca="false">CONCATENATE(D2448," ",LEFT(H2448,4),"T=",AU2448,"D=",AV2448,"R=",AW2448,"M=",AX2448,"L=",AY2448,"B=",AZ2448)</f>
        <v>GILPIN T=22D=7R=1M=0L=1B=0</v>
      </c>
      <c r="G2448" s="0" t="s">
        <v>1482</v>
      </c>
      <c r="I2448" s="0" t="s">
        <v>4366</v>
      </c>
      <c r="J2448" s="0" t="s">
        <v>4529</v>
      </c>
      <c r="K2448" s="0" t="s">
        <v>175</v>
      </c>
      <c r="L2448" s="0"/>
      <c r="M2448" s="0" t="s">
        <v>10596</v>
      </c>
      <c r="N2448" s="0" t="str">
        <f aca="false">RIGHT(M2448,LEN(M2448)-FIND(" ",M2448))</f>
        <v>SHERIDAN AVE NE</v>
      </c>
      <c r="P2448" s="0" t="s">
        <v>146</v>
      </c>
      <c r="Q2448" s="0" t="s">
        <v>147</v>
      </c>
      <c r="R2448" s="0" t="n">
        <v>44483</v>
      </c>
      <c r="AD2448" s="0" t="s">
        <v>148</v>
      </c>
      <c r="AE2448" s="0" t="s">
        <v>149</v>
      </c>
      <c r="AF2448" s="0" t="s">
        <v>150</v>
      </c>
      <c r="AH2448" s="0" t="n">
        <v>14</v>
      </c>
      <c r="AI2448" s="0" t="n">
        <v>11</v>
      </c>
      <c r="AN2448" s="0" t="s">
        <v>146</v>
      </c>
      <c r="AO2448" s="0" t="s">
        <v>236</v>
      </c>
      <c r="AP2448" s="0" t="s">
        <v>237</v>
      </c>
      <c r="AQ2448" s="0" t="n">
        <v>9</v>
      </c>
      <c r="AR2448" s="0" t="n">
        <v>64</v>
      </c>
      <c r="AS2448" s="0" t="n">
        <v>32</v>
      </c>
      <c r="AU2448" s="0" t="n">
        <f aca="false">COUNTA($BA$1016:$EH$1016)</f>
        <v>22</v>
      </c>
      <c r="AV2448" s="0" t="n">
        <f aca="false">COUNTIF($BA$1016:$EH$1016,"D")</f>
        <v>7</v>
      </c>
      <c r="AW2448" s="0" t="n">
        <f aca="false">COUNTIF($BA$1016:$EH$1016,"R")</f>
        <v>1</v>
      </c>
      <c r="AX2448" s="0" t="n">
        <f aca="false"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>0</v>
      </c>
      <c r="AY2448" s="0" t="n">
        <f aca="false">COUNTIF(DU2448:EH2448, "&lt;&gt;")</f>
        <v>1</v>
      </c>
      <c r="AZ2448" s="0" t="n">
        <f aca="false">IF(EH2448&lt;&gt;"",1,0)</f>
        <v>0</v>
      </c>
      <c r="BB2448" s="0" t="s">
        <v>153</v>
      </c>
      <c r="CA2448" s="0" t="s">
        <v>154</v>
      </c>
      <c r="CG2448" s="0" t="s">
        <v>154</v>
      </c>
      <c r="CK2448" s="0" t="s">
        <v>154</v>
      </c>
      <c r="DI2448" s="0" t="s">
        <v>154</v>
      </c>
      <c r="DN2448" s="0" t="s">
        <v>154</v>
      </c>
      <c r="EF2448" s="0" t="s">
        <v>154</v>
      </c>
    </row>
    <row r="2449" customFormat="false" ht="13.8" hidden="true" customHeight="false" outlineLevel="0" collapsed="false">
      <c r="A2449" s="0" t="s">
        <v>10597</v>
      </c>
      <c r="B2449" s="0" t="n">
        <v>78</v>
      </c>
      <c r="C2449" s="0" t="n">
        <v>322700</v>
      </c>
      <c r="D2449" s="0" t="s">
        <v>10595</v>
      </c>
      <c r="E2449" s="0" t="s">
        <v>5013</v>
      </c>
      <c r="F2449" s="0" t="str">
        <f aca="false">CONCATENATE(D2449," ",LEFT(H2449,4),"T=",AU2449,"D=",AV2449,"R=",AW2449,"M=",AX2449,"L=",AY2449,"B=",AZ2449)</f>
        <v>GILPIN T=6D=1R=0M=0L=1B=0</v>
      </c>
      <c r="G2449" s="0" t="s">
        <v>241</v>
      </c>
      <c r="I2449" s="0" t="s">
        <v>10598</v>
      </c>
      <c r="J2449" s="0" t="s">
        <v>4529</v>
      </c>
      <c r="K2449" s="0" t="s">
        <v>175</v>
      </c>
      <c r="L2449" s="0"/>
      <c r="M2449" s="0" t="s">
        <v>10596</v>
      </c>
      <c r="N2449" s="0" t="str">
        <f aca="false">RIGHT(M2449,LEN(M2449)-FIND(" ",M2449))</f>
        <v>SHERIDAN AVE NE</v>
      </c>
      <c r="P2449" s="0" t="s">
        <v>146</v>
      </c>
      <c r="Q2449" s="0" t="s">
        <v>147</v>
      </c>
      <c r="R2449" s="0" t="n">
        <v>44483</v>
      </c>
      <c r="AD2449" s="0" t="s">
        <v>148</v>
      </c>
      <c r="AE2449" s="0" t="s">
        <v>149</v>
      </c>
      <c r="AF2449" s="0" t="s">
        <v>150</v>
      </c>
      <c r="AH2449" s="0" t="n">
        <v>14</v>
      </c>
      <c r="AI2449" s="0" t="n">
        <v>11</v>
      </c>
      <c r="AN2449" s="0" t="s">
        <v>146</v>
      </c>
      <c r="AO2449" s="0" t="s">
        <v>236</v>
      </c>
      <c r="AP2449" s="0" t="s">
        <v>237</v>
      </c>
      <c r="AQ2449" s="0" t="n">
        <v>9</v>
      </c>
      <c r="AR2449" s="0" t="n">
        <v>64</v>
      </c>
      <c r="AS2449" s="0" t="n">
        <v>32</v>
      </c>
      <c r="AU2449" s="0" t="n">
        <f aca="false">COUNTA($BA$1017:$EH$1017)</f>
        <v>6</v>
      </c>
      <c r="AV2449" s="0" t="n">
        <f aca="false">COUNTIF($BA$1017:$EH$1017,"D")</f>
        <v>1</v>
      </c>
      <c r="AW2449" s="0" t="n">
        <f aca="false">COUNTIF($BA$1017:$EH$1017,"R")</f>
        <v>0</v>
      </c>
      <c r="AX2449" s="0" t="n">
        <f aca="false"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>0</v>
      </c>
      <c r="AY2449" s="0" t="n">
        <f aca="false">COUNTIF(DU2449:EH2449, "&lt;&gt;")</f>
        <v>1</v>
      </c>
      <c r="AZ2449" s="0" t="n">
        <f aca="false">IF(EH2449&lt;&gt;"",1,0)</f>
        <v>0</v>
      </c>
      <c r="BB2449" s="0" t="s">
        <v>153</v>
      </c>
      <c r="CA2449" s="0" t="s">
        <v>154</v>
      </c>
      <c r="CG2449" s="0" t="s">
        <v>154</v>
      </c>
      <c r="DI2449" s="0" t="s">
        <v>154</v>
      </c>
      <c r="DN2449" s="0" t="s">
        <v>154</v>
      </c>
      <c r="EF2449" s="0" t="s">
        <v>154</v>
      </c>
    </row>
    <row r="2450" customFormat="false" ht="13.8" hidden="false" customHeight="false" outlineLevel="0" collapsed="false">
      <c r="A2450" s="0" t="s">
        <v>10599</v>
      </c>
      <c r="B2450" s="0" t="n">
        <v>78</v>
      </c>
      <c r="C2450" s="0" t="n">
        <v>432401</v>
      </c>
      <c r="D2450" s="0" t="s">
        <v>1901</v>
      </c>
      <c r="E2450" s="0" t="s">
        <v>1232</v>
      </c>
      <c r="F2450" s="0" t="str">
        <f aca="false">CONCATENATE(D2450," ",LEFT(H2450,4),"T=",AU2450,"D=",AV2450,"R=",AW2450,"M=",AX2450,"L=",AY2450,"B=",AZ2450)</f>
        <v>SNYDER T=1D=0R=0M=0L=5B=0</v>
      </c>
      <c r="G2450" s="0" t="s">
        <v>4794</v>
      </c>
      <c r="I2450" s="0" t="s">
        <v>10600</v>
      </c>
      <c r="J2450" s="0" t="s">
        <v>977</v>
      </c>
      <c r="K2450" s="0" t="s">
        <v>175</v>
      </c>
      <c r="L2450" s="1" t="s">
        <v>155</v>
      </c>
      <c r="M2450" s="0" t="s">
        <v>10601</v>
      </c>
      <c r="N2450" s="0" t="str">
        <f aca="false">RIGHT(M2450,LEN(M2450)-FIND(" ",M2450))</f>
        <v>SHERIDAN AVE NE</v>
      </c>
      <c r="P2450" s="0" t="s">
        <v>146</v>
      </c>
      <c r="Q2450" s="0" t="s">
        <v>147</v>
      </c>
      <c r="R2450" s="0" t="n">
        <v>44483</v>
      </c>
      <c r="AD2450" s="0" t="s">
        <v>148</v>
      </c>
      <c r="AE2450" s="0" t="s">
        <v>149</v>
      </c>
      <c r="AF2450" s="0" t="s">
        <v>150</v>
      </c>
      <c r="AH2450" s="0" t="n">
        <v>14</v>
      </c>
      <c r="AI2450" s="0" t="n">
        <v>11</v>
      </c>
      <c r="AN2450" s="0" t="s">
        <v>146</v>
      </c>
      <c r="AO2450" s="0" t="s">
        <v>236</v>
      </c>
      <c r="AP2450" s="0" t="s">
        <v>237</v>
      </c>
      <c r="AQ2450" s="0" t="n">
        <v>9</v>
      </c>
      <c r="AR2450" s="0" t="n">
        <v>64</v>
      </c>
      <c r="AS2450" s="0" t="n">
        <v>32</v>
      </c>
      <c r="AU2450" s="0" t="n">
        <f aca="false">COUNTA($BA$516:$EH$516)</f>
        <v>1</v>
      </c>
      <c r="AV2450" s="0" t="n">
        <f aca="false">COUNTIF($BA$516:$EH$516,"D")</f>
        <v>0</v>
      </c>
      <c r="AW2450" s="0" t="n">
        <f aca="false">COUNTIF($BA$516:$EH$516,"R")</f>
        <v>0</v>
      </c>
      <c r="AX2450" s="0" t="n">
        <f aca="false"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>0</v>
      </c>
      <c r="AY2450" s="0" t="n">
        <f aca="false">COUNTIF(DU2450:EH2450, "&lt;&gt;")</f>
        <v>5</v>
      </c>
      <c r="AZ2450" s="0" t="n">
        <f aca="false">IF(EH2450&lt;&gt;"",1,0)</f>
        <v>0</v>
      </c>
      <c r="BB2450" s="0" t="s">
        <v>153</v>
      </c>
      <c r="CP2450" s="0" t="s">
        <v>154</v>
      </c>
      <c r="CV2450" s="0" t="s">
        <v>154</v>
      </c>
      <c r="CY2450" s="0" t="s">
        <v>154</v>
      </c>
      <c r="DN2450" s="0" t="s">
        <v>154</v>
      </c>
      <c r="DS2450" s="0" t="s">
        <v>155</v>
      </c>
      <c r="DU2450" s="0" t="s">
        <v>154</v>
      </c>
      <c r="DX2450" s="0" t="s">
        <v>154</v>
      </c>
      <c r="EA2450" s="0" t="s">
        <v>154</v>
      </c>
      <c r="ED2450" s="0" t="s">
        <v>155</v>
      </c>
      <c r="EF2450" s="0" t="s">
        <v>154</v>
      </c>
    </row>
    <row r="2451" customFormat="false" ht="13.8" hidden="false" customHeight="false" outlineLevel="0" collapsed="false">
      <c r="A2451" s="0" t="s">
        <v>10602</v>
      </c>
      <c r="B2451" s="0" t="n">
        <v>78</v>
      </c>
      <c r="C2451" s="0" t="n">
        <v>445960</v>
      </c>
      <c r="D2451" s="0" t="s">
        <v>1901</v>
      </c>
      <c r="E2451" s="0" t="s">
        <v>1916</v>
      </c>
      <c r="F2451" s="0" t="str">
        <f aca="false">CONCATENATE(D2451," ",LEFT(H2451,4),"T=",AU2451,"D=",AV2451,"R=",AW2451,"M=",AX2451,"L=",AY2451,"B=",AZ2451)</f>
        <v>SNYDER T=3D=0R=0M=0L=5B=0</v>
      </c>
      <c r="G2451" s="0" t="s">
        <v>3942</v>
      </c>
      <c r="I2451" s="0" t="s">
        <v>987</v>
      </c>
      <c r="J2451" s="0" t="s">
        <v>2917</v>
      </c>
      <c r="K2451" s="0" t="s">
        <v>175</v>
      </c>
      <c r="L2451" s="1" t="s">
        <v>155</v>
      </c>
      <c r="M2451" s="0" t="s">
        <v>10601</v>
      </c>
      <c r="N2451" s="0" t="str">
        <f aca="false">RIGHT(M2451,LEN(M2451)-FIND(" ",M2451))</f>
        <v>SHERIDAN AVE NE</v>
      </c>
      <c r="P2451" s="0" t="s">
        <v>146</v>
      </c>
      <c r="Q2451" s="0" t="s">
        <v>147</v>
      </c>
      <c r="R2451" s="0" t="n">
        <v>44483</v>
      </c>
      <c r="AD2451" s="0" t="s">
        <v>148</v>
      </c>
      <c r="AE2451" s="0" t="s">
        <v>149</v>
      </c>
      <c r="AF2451" s="0" t="s">
        <v>150</v>
      </c>
      <c r="AH2451" s="0" t="n">
        <v>14</v>
      </c>
      <c r="AI2451" s="0" t="n">
        <v>11</v>
      </c>
      <c r="AN2451" s="0" t="s">
        <v>146</v>
      </c>
      <c r="AO2451" s="0" t="s">
        <v>236</v>
      </c>
      <c r="AP2451" s="0" t="s">
        <v>237</v>
      </c>
      <c r="AQ2451" s="0" t="n">
        <v>9</v>
      </c>
      <c r="AR2451" s="0" t="n">
        <v>64</v>
      </c>
      <c r="AS2451" s="0" t="n">
        <v>32</v>
      </c>
      <c r="AU2451" s="0" t="n">
        <f aca="false">COUNTA($BA$1051:$EH$1051)</f>
        <v>3</v>
      </c>
      <c r="AV2451" s="0" t="n">
        <f aca="false">COUNTIF($BA$1051:$EH$1051,"D")</f>
        <v>0</v>
      </c>
      <c r="AW2451" s="0" t="n">
        <f aca="false">COUNTIF($BA$1051:$EH$1051,"R")</f>
        <v>0</v>
      </c>
      <c r="AX2451" s="0" t="n">
        <f aca="false"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>0</v>
      </c>
      <c r="AY2451" s="0" t="n">
        <f aca="false">COUNTIF(DU2451:EH2451, "&lt;&gt;")</f>
        <v>5</v>
      </c>
      <c r="AZ2451" s="0" t="n">
        <f aca="false">IF(EH2451&lt;&gt;"",1,0)</f>
        <v>0</v>
      </c>
      <c r="BB2451" s="0" t="s">
        <v>153</v>
      </c>
      <c r="BL2451" s="0" t="s">
        <v>154</v>
      </c>
      <c r="BN2451" s="0" t="s">
        <v>154</v>
      </c>
      <c r="BP2451" s="0" t="s">
        <v>154</v>
      </c>
      <c r="CA2451" s="0" t="s">
        <v>154</v>
      </c>
      <c r="CY2451" s="0" t="s">
        <v>154</v>
      </c>
      <c r="DN2451" s="0" t="s">
        <v>154</v>
      </c>
      <c r="DS2451" s="0" t="s">
        <v>155</v>
      </c>
      <c r="DU2451" s="0" t="s">
        <v>154</v>
      </c>
      <c r="DX2451" s="0" t="s">
        <v>154</v>
      </c>
      <c r="EA2451" s="0" t="s">
        <v>154</v>
      </c>
      <c r="ED2451" s="0" t="s">
        <v>155</v>
      </c>
      <c r="EF2451" s="0" t="s">
        <v>154</v>
      </c>
    </row>
    <row r="2452" customFormat="false" ht="13.8" hidden="false" customHeight="false" outlineLevel="0" collapsed="false">
      <c r="A2452" s="0" t="s">
        <v>10603</v>
      </c>
      <c r="B2452" s="0" t="n">
        <v>78</v>
      </c>
      <c r="C2452" s="0" t="n">
        <v>4494</v>
      </c>
      <c r="D2452" s="0" t="s">
        <v>10604</v>
      </c>
      <c r="E2452" s="0" t="s">
        <v>10605</v>
      </c>
      <c r="F2452" s="0" t="str">
        <f aca="false">CONCATENATE(D2452," ",LEFT(H2452,4),"T=",AU2452,"D=",AV2452,"R=",AW2452,"M=",AX2452,"L=",AY2452,"B=",AZ2452)</f>
        <v>GAVITT T=11D=1R=0M=0L=4B=0</v>
      </c>
      <c r="G2452" s="0" t="s">
        <v>202</v>
      </c>
      <c r="I2452" s="0" t="s">
        <v>10606</v>
      </c>
      <c r="J2452" s="0" t="s">
        <v>10607</v>
      </c>
      <c r="K2452" s="0" t="s">
        <v>175</v>
      </c>
      <c r="L2452" s="1" t="s">
        <v>176</v>
      </c>
      <c r="M2452" s="0" t="s">
        <v>10608</v>
      </c>
      <c r="N2452" s="0" t="str">
        <f aca="false">RIGHT(M2452,LEN(M2452)-FIND(" ",M2452))</f>
        <v>SHERIDAN AVE NE</v>
      </c>
      <c r="P2452" s="0" t="s">
        <v>146</v>
      </c>
      <c r="Q2452" s="0" t="s">
        <v>147</v>
      </c>
      <c r="R2452" s="0" t="n">
        <v>44483</v>
      </c>
      <c r="AD2452" s="0" t="s">
        <v>148</v>
      </c>
      <c r="AE2452" s="0" t="s">
        <v>149</v>
      </c>
      <c r="AF2452" s="0" t="s">
        <v>150</v>
      </c>
      <c r="AH2452" s="0" t="n">
        <v>14</v>
      </c>
      <c r="AI2452" s="0" t="n">
        <v>11</v>
      </c>
      <c r="AN2452" s="0" t="s">
        <v>146</v>
      </c>
      <c r="AO2452" s="0" t="s">
        <v>236</v>
      </c>
      <c r="AP2452" s="0" t="s">
        <v>237</v>
      </c>
      <c r="AQ2452" s="0" t="n">
        <v>9</v>
      </c>
      <c r="AR2452" s="0" t="n">
        <v>64</v>
      </c>
      <c r="AS2452" s="0" t="n">
        <v>32</v>
      </c>
      <c r="AU2452" s="0" t="n">
        <f aca="false">COUNTA($BA$563:$EH$563)</f>
        <v>11</v>
      </c>
      <c r="AV2452" s="0" t="n">
        <f aca="false">COUNTIF($BA$563:$EH$563,"D")</f>
        <v>1</v>
      </c>
      <c r="AW2452" s="0" t="n">
        <f aca="false">COUNTIF($BA$563:$EH$563,"R")</f>
        <v>0</v>
      </c>
      <c r="AX2452" s="0" t="n">
        <f aca="false"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>0</v>
      </c>
      <c r="AY2452" s="0" t="n">
        <f aca="false">COUNTIF(DU2452:EH2452, "&lt;&gt;")</f>
        <v>4</v>
      </c>
      <c r="AZ2452" s="0" t="n">
        <f aca="false">IF(EH2452&lt;&gt;"",1,0)</f>
        <v>0</v>
      </c>
      <c r="BB2452" s="0" t="s">
        <v>153</v>
      </c>
      <c r="BC2452" s="0" t="s">
        <v>154</v>
      </c>
      <c r="BD2452" s="0" t="s">
        <v>154</v>
      </c>
      <c r="BF2452" s="0" t="s">
        <v>154</v>
      </c>
      <c r="BH2452" s="0" t="s">
        <v>154</v>
      </c>
      <c r="BJ2452" s="0" t="s">
        <v>154</v>
      </c>
      <c r="BK2452" s="0" t="s">
        <v>154</v>
      </c>
      <c r="BL2452" s="0" t="s">
        <v>154</v>
      </c>
      <c r="BP2452" s="0" t="s">
        <v>154</v>
      </c>
      <c r="BS2452" s="0" t="s">
        <v>154</v>
      </c>
      <c r="BV2452" s="0" t="s">
        <v>154</v>
      </c>
      <c r="BY2452" s="0" t="s">
        <v>176</v>
      </c>
      <c r="CA2452" s="0" t="s">
        <v>154</v>
      </c>
      <c r="CG2452" s="0" t="s">
        <v>154</v>
      </c>
      <c r="CH2452" s="0" t="s">
        <v>176</v>
      </c>
      <c r="CK2452" s="0" t="s">
        <v>154</v>
      </c>
      <c r="CN2452" s="0" t="s">
        <v>154</v>
      </c>
      <c r="CO2452" s="0" t="s">
        <v>176</v>
      </c>
      <c r="CP2452" s="0" t="s">
        <v>154</v>
      </c>
      <c r="CT2452" s="0" t="s">
        <v>154</v>
      </c>
      <c r="CU2452" s="0" t="s">
        <v>176</v>
      </c>
      <c r="CV2452" s="0" t="s">
        <v>154</v>
      </c>
      <c r="CY2452" s="0" t="s">
        <v>154</v>
      </c>
      <c r="CZ2452" s="0" t="s">
        <v>176</v>
      </c>
      <c r="DC2452" s="0" t="s">
        <v>154</v>
      </c>
      <c r="DF2452" s="0" t="s">
        <v>154</v>
      </c>
      <c r="DG2452" s="0" t="s">
        <v>176</v>
      </c>
      <c r="DI2452" s="0" t="s">
        <v>154</v>
      </c>
      <c r="DL2452" s="0" t="s">
        <v>154</v>
      </c>
      <c r="DM2452" s="0" t="s">
        <v>176</v>
      </c>
      <c r="DN2452" s="0" t="s">
        <v>154</v>
      </c>
      <c r="DR2452" s="0" t="s">
        <v>154</v>
      </c>
      <c r="DS2452" s="0" t="s">
        <v>176</v>
      </c>
      <c r="DU2452" s="0" t="s">
        <v>154</v>
      </c>
      <c r="DX2452" s="0" t="s">
        <v>154</v>
      </c>
      <c r="EA2452" s="0" t="s">
        <v>154</v>
      </c>
      <c r="EF2452" s="0" t="s">
        <v>154</v>
      </c>
    </row>
    <row r="2453" customFormat="false" ht="13.8" hidden="false" customHeight="false" outlineLevel="0" collapsed="false">
      <c r="A2453" s="0" t="s">
        <v>10609</v>
      </c>
      <c r="B2453" s="0" t="n">
        <v>78</v>
      </c>
      <c r="C2453" s="0" t="n">
        <v>4493</v>
      </c>
      <c r="D2453" s="0" t="s">
        <v>10604</v>
      </c>
      <c r="E2453" s="0" t="s">
        <v>2187</v>
      </c>
      <c r="F2453" s="0" t="str">
        <f aca="false">CONCATENATE(D2453," ",LEFT(H2453,4),"T=",AU2453,"D=",AV2453,"R=",AW2453,"M=",AX2453,"L=",AY2453,"B=",AZ2453)</f>
        <v>GAVITT T=36D=4R=3M=0L=4B=0</v>
      </c>
      <c r="G2453" s="0" t="s">
        <v>241</v>
      </c>
      <c r="I2453" s="0" t="s">
        <v>10610</v>
      </c>
      <c r="J2453" s="0" t="s">
        <v>10611</v>
      </c>
      <c r="K2453" s="0" t="s">
        <v>175</v>
      </c>
      <c r="L2453" s="1" t="s">
        <v>176</v>
      </c>
      <c r="M2453" s="0" t="s">
        <v>10608</v>
      </c>
      <c r="N2453" s="0" t="str">
        <f aca="false">RIGHT(M2453,LEN(M2453)-FIND(" ",M2453))</f>
        <v>SHERIDAN AVE NE</v>
      </c>
      <c r="P2453" s="0" t="s">
        <v>146</v>
      </c>
      <c r="Q2453" s="0" t="s">
        <v>147</v>
      </c>
      <c r="R2453" s="0" t="n">
        <v>44483</v>
      </c>
      <c r="AD2453" s="0" t="s">
        <v>148</v>
      </c>
      <c r="AE2453" s="0" t="s">
        <v>149</v>
      </c>
      <c r="AF2453" s="0" t="s">
        <v>150</v>
      </c>
      <c r="AH2453" s="0" t="n">
        <v>14</v>
      </c>
      <c r="AI2453" s="0" t="n">
        <v>11</v>
      </c>
      <c r="AN2453" s="0" t="s">
        <v>146</v>
      </c>
      <c r="AO2453" s="0" t="s">
        <v>236</v>
      </c>
      <c r="AP2453" s="0" t="s">
        <v>237</v>
      </c>
      <c r="AQ2453" s="0" t="n">
        <v>9</v>
      </c>
      <c r="AR2453" s="0" t="n">
        <v>64</v>
      </c>
      <c r="AS2453" s="0" t="n">
        <v>32</v>
      </c>
      <c r="AU2453" s="0" t="n">
        <f aca="false">COUNTA($BA$688:$EH$688)</f>
        <v>36</v>
      </c>
      <c r="AV2453" s="0" t="n">
        <f aca="false">COUNTIF($BA$688:$EH$688,"D")</f>
        <v>4</v>
      </c>
      <c r="AW2453" s="0" t="n">
        <f aca="false">COUNTIF($BA$688:$EH$688,"R")</f>
        <v>3</v>
      </c>
      <c r="AX2453" s="0" t="n">
        <f aca="false"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>0</v>
      </c>
      <c r="AY2453" s="0" t="n">
        <f aca="false">COUNTIF(DU2453:EH2453, "&lt;&gt;")</f>
        <v>4</v>
      </c>
      <c r="AZ2453" s="0" t="n">
        <f aca="false">IF(EH2453&lt;&gt;"",1,0)</f>
        <v>0</v>
      </c>
      <c r="BB2453" s="0" t="s">
        <v>153</v>
      </c>
      <c r="BC2453" s="0" t="s">
        <v>154</v>
      </c>
      <c r="BD2453" s="0" t="s">
        <v>154</v>
      </c>
      <c r="BF2453" s="0" t="s">
        <v>154</v>
      </c>
      <c r="BH2453" s="0" t="s">
        <v>154</v>
      </c>
      <c r="BJ2453" s="0" t="s">
        <v>154</v>
      </c>
      <c r="BK2453" s="0" t="s">
        <v>154</v>
      </c>
      <c r="BL2453" s="0" t="s">
        <v>154</v>
      </c>
      <c r="BP2453" s="0" t="s">
        <v>154</v>
      </c>
      <c r="BS2453" s="0" t="s">
        <v>154</v>
      </c>
      <c r="BV2453" s="0" t="s">
        <v>154</v>
      </c>
      <c r="BY2453" s="0" t="s">
        <v>176</v>
      </c>
      <c r="CA2453" s="0" t="s">
        <v>154</v>
      </c>
      <c r="CG2453" s="0" t="s">
        <v>154</v>
      </c>
      <c r="CH2453" s="0" t="s">
        <v>176</v>
      </c>
      <c r="CK2453" s="0" t="s">
        <v>154</v>
      </c>
      <c r="CN2453" s="0" t="s">
        <v>154</v>
      </c>
      <c r="CO2453" s="0" t="s">
        <v>176</v>
      </c>
      <c r="CP2453" s="0" t="s">
        <v>154</v>
      </c>
      <c r="CT2453" s="0" t="s">
        <v>154</v>
      </c>
      <c r="CU2453" s="0" t="s">
        <v>176</v>
      </c>
      <c r="CV2453" s="0" t="s">
        <v>154</v>
      </c>
      <c r="CY2453" s="0" t="s">
        <v>154</v>
      </c>
      <c r="CZ2453" s="0" t="s">
        <v>176</v>
      </c>
      <c r="DC2453" s="0" t="s">
        <v>154</v>
      </c>
      <c r="DF2453" s="0" t="s">
        <v>154</v>
      </c>
      <c r="DG2453" s="0" t="s">
        <v>176</v>
      </c>
      <c r="DI2453" s="0" t="s">
        <v>154</v>
      </c>
      <c r="DL2453" s="0" t="s">
        <v>154</v>
      </c>
      <c r="DM2453" s="0" t="s">
        <v>176</v>
      </c>
      <c r="DN2453" s="0" t="s">
        <v>154</v>
      </c>
      <c r="DR2453" s="0" t="s">
        <v>154</v>
      </c>
      <c r="DS2453" s="0" t="s">
        <v>176</v>
      </c>
      <c r="DU2453" s="0" t="s">
        <v>154</v>
      </c>
      <c r="DX2453" s="0" t="s">
        <v>154</v>
      </c>
      <c r="EA2453" s="0" t="s">
        <v>154</v>
      </c>
      <c r="EF2453" s="0" t="s">
        <v>154</v>
      </c>
    </row>
    <row r="2454" customFormat="false" ht="13.8" hidden="true" customHeight="false" outlineLevel="0" collapsed="false">
      <c r="A2454" s="0" t="s">
        <v>10612</v>
      </c>
      <c r="B2454" s="0" t="n">
        <v>78</v>
      </c>
      <c r="C2454" s="0" t="n">
        <v>408678</v>
      </c>
      <c r="D2454" s="0" t="s">
        <v>10613</v>
      </c>
      <c r="E2454" s="0" t="s">
        <v>10614</v>
      </c>
      <c r="F2454" s="0" t="str">
        <f aca="false">CONCATENATE(D2454," ",LEFT(H2454,4),"T=",AU2454,"D=",AV2454,"R=",AW2454,"M=",AX2454,"L=",AY2454,"B=",AZ2454)</f>
        <v>FERTIG T=1D=0R=0M=0L=0B=0</v>
      </c>
      <c r="I2454" s="0" t="s">
        <v>1606</v>
      </c>
      <c r="J2454" s="0" t="s">
        <v>10615</v>
      </c>
      <c r="K2454" s="0" t="s">
        <v>144</v>
      </c>
      <c r="L2454" s="0"/>
      <c r="M2454" s="0" t="s">
        <v>10616</v>
      </c>
      <c r="N2454" s="0" t="str">
        <f aca="false">RIGHT(M2454,LEN(M2454)-FIND(" ",M2454))</f>
        <v>SHERIDAN AVE NE</v>
      </c>
      <c r="P2454" s="0" t="s">
        <v>146</v>
      </c>
      <c r="Q2454" s="0" t="s">
        <v>147</v>
      </c>
      <c r="R2454" s="0" t="n">
        <v>44483</v>
      </c>
      <c r="AD2454" s="0" t="s">
        <v>148</v>
      </c>
      <c r="AE2454" s="0" t="s">
        <v>149</v>
      </c>
      <c r="AF2454" s="0" t="s">
        <v>150</v>
      </c>
      <c r="AH2454" s="0" t="n">
        <v>14</v>
      </c>
      <c r="AI2454" s="0" t="n">
        <v>11</v>
      </c>
      <c r="AN2454" s="0" t="s">
        <v>146</v>
      </c>
      <c r="AO2454" s="0" t="s">
        <v>236</v>
      </c>
      <c r="AP2454" s="0" t="s">
        <v>237</v>
      </c>
      <c r="AQ2454" s="0" t="n">
        <v>9</v>
      </c>
      <c r="AR2454" s="0" t="n">
        <v>64</v>
      </c>
      <c r="AS2454" s="0" t="n">
        <v>32</v>
      </c>
      <c r="AU2454" s="0" t="n">
        <f aca="false">COUNTA($BA$442:$EH$442)</f>
        <v>1</v>
      </c>
      <c r="AV2454" s="0" t="n">
        <f aca="false">COUNTIF($BA$442:$EH$442,"D")</f>
        <v>0</v>
      </c>
      <c r="AW2454" s="0" t="n">
        <f aca="false">COUNTIF($BA$442:$EH$442,"R")</f>
        <v>0</v>
      </c>
      <c r="AX2454" s="0" t="n">
        <f aca="false"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>0</v>
      </c>
      <c r="AY2454" s="0" t="n">
        <f aca="false">COUNTIF(DU2454:EH2454, "&lt;&gt;")</f>
        <v>0</v>
      </c>
      <c r="AZ2454" s="0" t="n">
        <f aca="false">IF(EH2454&lt;&gt;"",1,0)</f>
        <v>0</v>
      </c>
      <c r="BB2454" s="0" t="s">
        <v>153</v>
      </c>
    </row>
    <row r="2455" customFormat="false" ht="13.8" hidden="true" customHeight="false" outlineLevel="0" collapsed="false">
      <c r="A2455" s="0" t="s">
        <v>10617</v>
      </c>
      <c r="B2455" s="0" t="n">
        <v>78</v>
      </c>
      <c r="C2455" s="0" t="n">
        <v>359015</v>
      </c>
      <c r="D2455" s="0" t="s">
        <v>10618</v>
      </c>
      <c r="E2455" s="0" t="s">
        <v>4933</v>
      </c>
      <c r="F2455" s="0" t="str">
        <f aca="false">CONCATENATE(D2455," ",LEFT(H2455,4),"T=",AU2455,"D=",AV2455,"R=",AW2455,"M=",AX2455,"L=",AY2455,"B=",AZ2455)</f>
        <v>EDMISTON FERTIG T=1D=0R=0M=0L=0B=0</v>
      </c>
      <c r="I2455" s="0" t="s">
        <v>10619</v>
      </c>
      <c r="J2455" s="0" t="s">
        <v>10620</v>
      </c>
      <c r="K2455" s="0" t="s">
        <v>144</v>
      </c>
      <c r="L2455" s="0"/>
      <c r="M2455" s="0" t="s">
        <v>10616</v>
      </c>
      <c r="N2455" s="0" t="str">
        <f aca="false">RIGHT(M2455,LEN(M2455)-FIND(" ",M2455))</f>
        <v>SHERIDAN AVE NE</v>
      </c>
      <c r="P2455" s="0" t="s">
        <v>146</v>
      </c>
      <c r="Q2455" s="0" t="s">
        <v>147</v>
      </c>
      <c r="R2455" s="0" t="n">
        <v>44483</v>
      </c>
      <c r="AD2455" s="0" t="s">
        <v>148</v>
      </c>
      <c r="AE2455" s="0" t="s">
        <v>149</v>
      </c>
      <c r="AF2455" s="0" t="s">
        <v>150</v>
      </c>
      <c r="AH2455" s="0" t="n">
        <v>14</v>
      </c>
      <c r="AI2455" s="0" t="n">
        <v>11</v>
      </c>
      <c r="AN2455" s="0" t="s">
        <v>146</v>
      </c>
      <c r="AO2455" s="0" t="s">
        <v>236</v>
      </c>
      <c r="AP2455" s="0" t="s">
        <v>237</v>
      </c>
      <c r="AQ2455" s="0" t="n">
        <v>9</v>
      </c>
      <c r="AR2455" s="0" t="n">
        <v>64</v>
      </c>
      <c r="AS2455" s="0" t="n">
        <v>32</v>
      </c>
      <c r="AU2455" s="0" t="n">
        <f aca="false">COUNTA($BA$1079:$EH$1079)</f>
        <v>1</v>
      </c>
      <c r="AV2455" s="0" t="n">
        <f aca="false">COUNTIF($BA$1079:$EH$1079,"D")</f>
        <v>0</v>
      </c>
      <c r="AW2455" s="0" t="n">
        <f aca="false">COUNTIF($BA$1079:$EH$1079,"R")</f>
        <v>0</v>
      </c>
      <c r="AX2455" s="0" t="n">
        <f aca="false"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>0</v>
      </c>
      <c r="AY2455" s="0" t="n">
        <f aca="false">COUNTIF(DU2455:EH2455, "&lt;&gt;")</f>
        <v>0</v>
      </c>
      <c r="AZ2455" s="0" t="n">
        <f aca="false">IF(EH2455&lt;&gt;"",1,0)</f>
        <v>0</v>
      </c>
      <c r="BB2455" s="0" t="s">
        <v>153</v>
      </c>
    </row>
    <row r="2456" customFormat="false" ht="13.8" hidden="false" customHeight="false" outlineLevel="0" collapsed="false">
      <c r="A2456" s="0" t="s">
        <v>10621</v>
      </c>
      <c r="B2456" s="0" t="n">
        <v>78</v>
      </c>
      <c r="C2456" s="0" t="n">
        <v>298994</v>
      </c>
      <c r="D2456" s="0" t="s">
        <v>10622</v>
      </c>
      <c r="E2456" s="0" t="s">
        <v>495</v>
      </c>
      <c r="F2456" s="0" t="str">
        <f aca="false">CONCATENATE(D2456," ",LEFT(H2456,4),"T=",AU2456,"D=",AV2456,"R=",AW2456,"M=",AX2456,"L=",AY2456,"B=",AZ2456)</f>
        <v>RUCKMAN SRT=9D=0R=0M=0L=4B=0</v>
      </c>
      <c r="G2456" s="0" t="s">
        <v>172</v>
      </c>
      <c r="H2456" s="0" t="s">
        <v>311</v>
      </c>
      <c r="I2456" s="0" t="s">
        <v>10623</v>
      </c>
      <c r="J2456" s="0" t="s">
        <v>1750</v>
      </c>
      <c r="K2456" s="0" t="s">
        <v>175</v>
      </c>
      <c r="L2456" s="1" t="s">
        <v>176</v>
      </c>
      <c r="M2456" s="0" t="s">
        <v>10624</v>
      </c>
      <c r="N2456" s="0" t="str">
        <f aca="false">RIGHT(M2456,LEN(M2456)-FIND(" ",M2456))</f>
        <v>SHERIDAN AVE NE</v>
      </c>
      <c r="P2456" s="0" t="s">
        <v>146</v>
      </c>
      <c r="Q2456" s="0" t="s">
        <v>147</v>
      </c>
      <c r="R2456" s="0" t="n">
        <v>44483</v>
      </c>
      <c r="AD2456" s="0" t="s">
        <v>148</v>
      </c>
      <c r="AE2456" s="0" t="s">
        <v>149</v>
      </c>
      <c r="AF2456" s="0" t="s">
        <v>150</v>
      </c>
      <c r="AH2456" s="0" t="n">
        <v>14</v>
      </c>
      <c r="AI2456" s="0" t="n">
        <v>11</v>
      </c>
      <c r="AN2456" s="0" t="s">
        <v>146</v>
      </c>
      <c r="AO2456" s="0" t="s">
        <v>236</v>
      </c>
      <c r="AP2456" s="0" t="s">
        <v>237</v>
      </c>
      <c r="AQ2456" s="0" t="n">
        <v>9</v>
      </c>
      <c r="AR2456" s="0" t="n">
        <v>64</v>
      </c>
      <c r="AS2456" s="0" t="n">
        <v>32</v>
      </c>
      <c r="AU2456" s="0" t="n">
        <f aca="false">COUNTA($BA$187:$EH$187)</f>
        <v>9</v>
      </c>
      <c r="AV2456" s="0" t="n">
        <f aca="false">COUNTIF($BA$187:$EH$187,"D")</f>
        <v>0</v>
      </c>
      <c r="AW2456" s="0" t="n">
        <f aca="false">COUNTIF($BA$187:$EH$187,"R")</f>
        <v>0</v>
      </c>
      <c r="AX2456" s="0" t="n">
        <f aca="false"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>0</v>
      </c>
      <c r="AY2456" s="0" t="n">
        <f aca="false">COUNTIF(DU2456:EH2456, "&lt;&gt;")</f>
        <v>4</v>
      </c>
      <c r="AZ2456" s="0" t="n">
        <f aca="false">IF(EH2456&lt;&gt;"",1,0)</f>
        <v>0</v>
      </c>
      <c r="BB2456" s="0" t="s">
        <v>153</v>
      </c>
      <c r="BD2456" s="0" t="s">
        <v>154</v>
      </c>
      <c r="BY2456" s="0" t="s">
        <v>155</v>
      </c>
      <c r="CA2456" s="0" t="s">
        <v>154</v>
      </c>
      <c r="CK2456" s="0" t="s">
        <v>154</v>
      </c>
      <c r="CN2456" s="0" t="s">
        <v>154</v>
      </c>
      <c r="CP2456" s="0" t="s">
        <v>154</v>
      </c>
      <c r="CV2456" s="0" t="s">
        <v>154</v>
      </c>
      <c r="CY2456" s="0" t="s">
        <v>154</v>
      </c>
      <c r="CZ2456" s="0" t="s">
        <v>176</v>
      </c>
      <c r="DC2456" s="0" t="s">
        <v>154</v>
      </c>
      <c r="DI2456" s="0" t="s">
        <v>154</v>
      </c>
      <c r="DN2456" s="0" t="s">
        <v>154</v>
      </c>
      <c r="DS2456" s="0" t="s">
        <v>176</v>
      </c>
      <c r="DU2456" s="0" t="s">
        <v>154</v>
      </c>
      <c r="DX2456" s="0" t="s">
        <v>154</v>
      </c>
      <c r="ED2456" s="0" t="s">
        <v>176</v>
      </c>
      <c r="EF2456" s="0" t="s">
        <v>154</v>
      </c>
    </row>
    <row r="2457" customFormat="false" ht="13.8" hidden="false" customHeight="false" outlineLevel="0" collapsed="false">
      <c r="A2457" s="0" t="s">
        <v>10625</v>
      </c>
      <c r="B2457" s="0" t="n">
        <v>78</v>
      </c>
      <c r="C2457" s="0" t="n">
        <v>211948</v>
      </c>
      <c r="D2457" s="0" t="s">
        <v>10622</v>
      </c>
      <c r="E2457" s="0" t="s">
        <v>867</v>
      </c>
      <c r="F2457" s="0" t="str">
        <f aca="false">CONCATENATE(D2457," ",LEFT(H2457,4),"T=",AU2457,"D=",AV2457,"R=",AW2457,"M=",AX2457,"L=",AY2457,"B=",AZ2457)</f>
        <v>RUCKMAN T=1D=0R=0M=0L=2B=0</v>
      </c>
      <c r="G2457" s="0" t="s">
        <v>155</v>
      </c>
      <c r="I2457" s="0" t="s">
        <v>10626</v>
      </c>
      <c r="J2457" s="0" t="s">
        <v>10433</v>
      </c>
      <c r="K2457" s="0" t="s">
        <v>175</v>
      </c>
      <c r="M2457" s="0" t="s">
        <v>10624</v>
      </c>
      <c r="N2457" s="0" t="str">
        <f aca="false">RIGHT(M2457,LEN(M2457)-FIND(" ",M2457))</f>
        <v>SHERIDAN AVE NE</v>
      </c>
      <c r="P2457" s="0" t="s">
        <v>146</v>
      </c>
      <c r="Q2457" s="0" t="s">
        <v>147</v>
      </c>
      <c r="R2457" s="0" t="n">
        <v>44483</v>
      </c>
      <c r="AD2457" s="0" t="s">
        <v>148</v>
      </c>
      <c r="AE2457" s="0" t="s">
        <v>149</v>
      </c>
      <c r="AF2457" s="0" t="s">
        <v>150</v>
      </c>
      <c r="AH2457" s="0" t="n">
        <v>14</v>
      </c>
      <c r="AI2457" s="0" t="n">
        <v>11</v>
      </c>
      <c r="AN2457" s="0" t="s">
        <v>146</v>
      </c>
      <c r="AO2457" s="0" t="s">
        <v>236</v>
      </c>
      <c r="AP2457" s="0" t="s">
        <v>237</v>
      </c>
      <c r="AQ2457" s="0" t="n">
        <v>9</v>
      </c>
      <c r="AR2457" s="0" t="n">
        <v>64</v>
      </c>
      <c r="AS2457" s="0" t="n">
        <v>32</v>
      </c>
      <c r="AU2457" s="0" t="n">
        <f aca="false">COUNTA($BA$363:$EH$363)</f>
        <v>1</v>
      </c>
      <c r="AV2457" s="0" t="n">
        <f aca="false">COUNTIF($BA$363:$EH$363,"D")</f>
        <v>0</v>
      </c>
      <c r="AW2457" s="0" t="n">
        <f aca="false">COUNTIF($BA$363:$EH$363,"R")</f>
        <v>0</v>
      </c>
      <c r="AX2457" s="0" t="n">
        <f aca="false"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>0</v>
      </c>
      <c r="AY2457" s="0" t="n">
        <f aca="false">COUNTIF(DU2457:EH2457, "&lt;&gt;")</f>
        <v>2</v>
      </c>
      <c r="AZ2457" s="0" t="n">
        <f aca="false">IF(EH2457&lt;&gt;"",1,0)</f>
        <v>0</v>
      </c>
      <c r="BB2457" s="0" t="s">
        <v>153</v>
      </c>
      <c r="BD2457" s="0" t="s">
        <v>154</v>
      </c>
      <c r="BL2457" s="0" t="s">
        <v>154</v>
      </c>
      <c r="BY2457" s="0" t="s">
        <v>155</v>
      </c>
      <c r="CA2457" s="0" t="s">
        <v>154</v>
      </c>
      <c r="CK2457" s="0" t="s">
        <v>154</v>
      </c>
      <c r="CN2457" s="0" t="s">
        <v>154</v>
      </c>
      <c r="CP2457" s="0" t="s">
        <v>154</v>
      </c>
      <c r="DC2457" s="0" t="s">
        <v>154</v>
      </c>
      <c r="DU2457" s="0" t="s">
        <v>154</v>
      </c>
      <c r="EF2457" s="0" t="s">
        <v>154</v>
      </c>
    </row>
    <row r="2458" customFormat="false" ht="13.8" hidden="true" customHeight="false" outlineLevel="0" collapsed="false">
      <c r="A2458" s="0" t="s">
        <v>10627</v>
      </c>
      <c r="B2458" s="0" t="n">
        <v>78</v>
      </c>
      <c r="C2458" s="0" t="n">
        <v>376058</v>
      </c>
      <c r="D2458" s="0" t="s">
        <v>10622</v>
      </c>
      <c r="E2458" s="0" t="s">
        <v>328</v>
      </c>
      <c r="F2458" s="0" t="str">
        <f aca="false">CONCATENATE(D2458," ",LEFT(H2458,4),"T=",AU2458,"D=",AV2458,"R=",AW2458,"M=",AX2458,"L=",AY2458,"B=",AZ2458)</f>
        <v>RUCKMAN T=25D=2R=3M=0L=1B=0</v>
      </c>
      <c r="G2458" s="0" t="s">
        <v>365</v>
      </c>
      <c r="I2458" s="0" t="s">
        <v>10628</v>
      </c>
      <c r="J2458" s="0" t="s">
        <v>10629</v>
      </c>
      <c r="K2458" s="0" t="s">
        <v>175</v>
      </c>
      <c r="L2458" s="0"/>
      <c r="M2458" s="0" t="s">
        <v>10624</v>
      </c>
      <c r="N2458" s="0" t="str">
        <f aca="false">RIGHT(M2458,LEN(M2458)-FIND(" ",M2458))</f>
        <v>SHERIDAN AVE NE</v>
      </c>
      <c r="P2458" s="0" t="s">
        <v>146</v>
      </c>
      <c r="Q2458" s="0" t="s">
        <v>147</v>
      </c>
      <c r="R2458" s="0" t="n">
        <v>44483</v>
      </c>
      <c r="AD2458" s="0" t="s">
        <v>148</v>
      </c>
      <c r="AE2458" s="0" t="s">
        <v>149</v>
      </c>
      <c r="AF2458" s="0" t="s">
        <v>150</v>
      </c>
      <c r="AH2458" s="0" t="n">
        <v>14</v>
      </c>
      <c r="AI2458" s="0" t="n">
        <v>11</v>
      </c>
      <c r="AN2458" s="0" t="s">
        <v>146</v>
      </c>
      <c r="AO2458" s="0" t="s">
        <v>236</v>
      </c>
      <c r="AP2458" s="0" t="s">
        <v>237</v>
      </c>
      <c r="AQ2458" s="0" t="n">
        <v>9</v>
      </c>
      <c r="AR2458" s="0" t="n">
        <v>64</v>
      </c>
      <c r="AS2458" s="0" t="n">
        <v>32</v>
      </c>
      <c r="AU2458" s="0" t="n">
        <f aca="false">COUNTA($BA$546:$EH$546)</f>
        <v>25</v>
      </c>
      <c r="AV2458" s="0" t="n">
        <f aca="false">COUNTIF($BA$546:$EH$546,"D")</f>
        <v>2</v>
      </c>
      <c r="AW2458" s="0" t="n">
        <f aca="false">COUNTIF($BA$546:$EH$546,"R")</f>
        <v>3</v>
      </c>
      <c r="AX2458" s="0" t="n">
        <f aca="false"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>0</v>
      </c>
      <c r="AY2458" s="0" t="n">
        <f aca="false">COUNTIF(DU2458:EH2458, "&lt;&gt;")</f>
        <v>1</v>
      </c>
      <c r="AZ2458" s="0" t="n">
        <f aca="false">IF(EH2458&lt;&gt;"",1,0)</f>
        <v>0</v>
      </c>
      <c r="BB2458" s="0" t="s">
        <v>153</v>
      </c>
      <c r="BL2458" s="0" t="s">
        <v>154</v>
      </c>
      <c r="BR2458" s="0" t="s">
        <v>154</v>
      </c>
      <c r="BS2458" s="0" t="s">
        <v>154</v>
      </c>
      <c r="BY2458" s="0" t="s">
        <v>155</v>
      </c>
      <c r="CA2458" s="0" t="s">
        <v>154</v>
      </c>
      <c r="CP2458" s="0" t="s">
        <v>154</v>
      </c>
      <c r="CY2458" s="0" t="s">
        <v>154</v>
      </c>
      <c r="CZ2458" s="0" t="s">
        <v>155</v>
      </c>
      <c r="DC2458" s="0" t="s">
        <v>154</v>
      </c>
      <c r="EF2458" s="0" t="s">
        <v>154</v>
      </c>
    </row>
    <row r="2459" customFormat="false" ht="13.8" hidden="true" customHeight="false" outlineLevel="0" collapsed="false">
      <c r="A2459" s="0" t="s">
        <v>10630</v>
      </c>
      <c r="B2459" s="0" t="n">
        <v>78</v>
      </c>
      <c r="C2459" s="0" t="n">
        <v>447568</v>
      </c>
      <c r="D2459" s="0" t="s">
        <v>10631</v>
      </c>
      <c r="E2459" s="0" t="s">
        <v>3061</v>
      </c>
      <c r="F2459" s="0" t="str">
        <f aca="false">CONCATENATE(D2459," ",LEFT(H2459,4),"T=",AU2459,"D=",AV2459,"R=",AW2459,"M=",AX2459,"L=",AY2459,"B=",AZ2459)</f>
        <v>CERNY IVT=27D=6R=0M=0L=0B=0</v>
      </c>
      <c r="G2459" s="0" t="s">
        <v>188</v>
      </c>
      <c r="H2459" s="0" t="s">
        <v>1227</v>
      </c>
      <c r="I2459" s="0" t="s">
        <v>10632</v>
      </c>
      <c r="J2459" s="0" t="s">
        <v>10633</v>
      </c>
      <c r="K2459" s="0" t="s">
        <v>144</v>
      </c>
      <c r="L2459" s="0"/>
      <c r="M2459" s="0" t="s">
        <v>10634</v>
      </c>
      <c r="N2459" s="0" t="str">
        <f aca="false">RIGHT(M2459,LEN(M2459)-FIND(" ",M2459))</f>
        <v>SHERIDAN AVE NE</v>
      </c>
      <c r="P2459" s="0" t="s">
        <v>146</v>
      </c>
      <c r="Q2459" s="0" t="s">
        <v>147</v>
      </c>
      <c r="R2459" s="0" t="n">
        <v>44483</v>
      </c>
      <c r="AD2459" s="0" t="s">
        <v>148</v>
      </c>
      <c r="AE2459" s="0" t="s">
        <v>149</v>
      </c>
      <c r="AF2459" s="0" t="s">
        <v>150</v>
      </c>
      <c r="AH2459" s="0" t="n">
        <v>14</v>
      </c>
      <c r="AI2459" s="0" t="n">
        <v>11</v>
      </c>
      <c r="AN2459" s="0" t="s">
        <v>146</v>
      </c>
      <c r="AO2459" s="0" t="s">
        <v>236</v>
      </c>
      <c r="AP2459" s="0" t="s">
        <v>237</v>
      </c>
      <c r="AQ2459" s="0" t="n">
        <v>9</v>
      </c>
      <c r="AR2459" s="0" t="n">
        <v>64</v>
      </c>
      <c r="AS2459" s="0" t="n">
        <v>32</v>
      </c>
      <c r="AU2459" s="0" t="n">
        <f aca="false">COUNTA($BA$492:$EH$492)</f>
        <v>27</v>
      </c>
      <c r="AV2459" s="0" t="n">
        <f aca="false">COUNTIF($BA$492:$EH$492,"D")</f>
        <v>6</v>
      </c>
      <c r="AW2459" s="0" t="n">
        <f aca="false">COUNTIF($BA$492:$EH$492,"R")</f>
        <v>0</v>
      </c>
      <c r="AX2459" s="0" t="n">
        <f aca="false"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>0</v>
      </c>
      <c r="AY2459" s="0" t="n">
        <f aca="false">COUNTIF(DU2459:EH2459, "&lt;&gt;")</f>
        <v>0</v>
      </c>
      <c r="AZ2459" s="0" t="n">
        <f aca="false">IF(EH2459&lt;&gt;"",1,0)</f>
        <v>0</v>
      </c>
      <c r="BB2459" s="0" t="s">
        <v>153</v>
      </c>
    </row>
    <row r="2460" customFormat="false" ht="13.8" hidden="true" customHeight="false" outlineLevel="0" collapsed="false">
      <c r="A2460" s="0" t="s">
        <v>10635</v>
      </c>
      <c r="B2460" s="0" t="n">
        <v>78</v>
      </c>
      <c r="C2460" s="0" t="n">
        <v>312784</v>
      </c>
      <c r="D2460" s="0" t="s">
        <v>10636</v>
      </c>
      <c r="E2460" s="0" t="s">
        <v>405</v>
      </c>
      <c r="F2460" s="0" t="str">
        <f aca="false">CONCATENATE(D2460," ",LEFT(H2460,4),"T=",AU2460,"D=",AV2460,"R=",AW2460,"M=",AX2460,"L=",AY2460,"B=",AZ2460)</f>
        <v>MACHINGO SWANK T=3D=0R=0M=0L=1B=0</v>
      </c>
      <c r="G2460" s="0" t="s">
        <v>297</v>
      </c>
      <c r="I2460" s="0" t="s">
        <v>10637</v>
      </c>
      <c r="J2460" s="0" t="s">
        <v>10638</v>
      </c>
      <c r="K2460" s="0" t="s">
        <v>175</v>
      </c>
      <c r="L2460" s="0"/>
      <c r="M2460" s="0" t="s">
        <v>10639</v>
      </c>
      <c r="N2460" s="0" t="str">
        <f aca="false">RIGHT(M2460,LEN(M2460)-FIND(" ",M2460))</f>
        <v>SHERIDAN AVE NE</v>
      </c>
      <c r="P2460" s="0" t="s">
        <v>146</v>
      </c>
      <c r="Q2460" s="0" t="s">
        <v>147</v>
      </c>
      <c r="R2460" s="0" t="n">
        <v>44483</v>
      </c>
      <c r="AD2460" s="0" t="s">
        <v>148</v>
      </c>
      <c r="AE2460" s="0" t="s">
        <v>149</v>
      </c>
      <c r="AF2460" s="0" t="s">
        <v>150</v>
      </c>
      <c r="AH2460" s="0" t="n">
        <v>14</v>
      </c>
      <c r="AI2460" s="0" t="n">
        <v>11</v>
      </c>
      <c r="AN2460" s="0" t="s">
        <v>146</v>
      </c>
      <c r="AO2460" s="0" t="s">
        <v>236</v>
      </c>
      <c r="AP2460" s="0" t="s">
        <v>237</v>
      </c>
      <c r="AQ2460" s="0" t="n">
        <v>9</v>
      </c>
      <c r="AR2460" s="0" t="n">
        <v>64</v>
      </c>
      <c r="AS2460" s="0" t="n">
        <v>32</v>
      </c>
      <c r="AU2460" s="0" t="n">
        <f aca="false">COUNTA($BA$932:$EH$932)</f>
        <v>3</v>
      </c>
      <c r="AV2460" s="0" t="n">
        <f aca="false">COUNTIF($BA$932:$EH$932,"D")</f>
        <v>0</v>
      </c>
      <c r="AW2460" s="0" t="n">
        <f aca="false">COUNTIF($BA$932:$EH$932,"R")</f>
        <v>0</v>
      </c>
      <c r="AX2460" s="0" t="n">
        <f aca="false"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>0</v>
      </c>
      <c r="AY2460" s="0" t="n">
        <f aca="false">COUNTIF(DU2460:EH2460, "&lt;&gt;")</f>
        <v>1</v>
      </c>
      <c r="AZ2460" s="0" t="n">
        <f aca="false">IF(EH2460&lt;&gt;"",1,0)</f>
        <v>0</v>
      </c>
      <c r="BB2460" s="0" t="s">
        <v>153</v>
      </c>
      <c r="BL2460" s="0" t="s">
        <v>154</v>
      </c>
      <c r="CA2460" s="0" t="s">
        <v>154</v>
      </c>
      <c r="DC2460" s="0" t="s">
        <v>154</v>
      </c>
      <c r="EF2460" s="0" t="s">
        <v>154</v>
      </c>
    </row>
    <row r="2461" customFormat="false" ht="13.8" hidden="true" customHeight="false" outlineLevel="0" collapsed="false">
      <c r="A2461" s="0" t="s">
        <v>10640</v>
      </c>
      <c r="B2461" s="0" t="n">
        <v>78</v>
      </c>
      <c r="C2461" s="0" t="n">
        <v>419086</v>
      </c>
      <c r="D2461" s="0" t="s">
        <v>10641</v>
      </c>
      <c r="E2461" s="0" t="s">
        <v>1684</v>
      </c>
      <c r="F2461" s="0" t="str">
        <f aca="false">CONCATENATE(D2461," ",LEFT(H2461,4),"T=",AU2461,"D=",AV2461,"R=",AW2461,"M=",AX2461,"L=",AY2461,"B=",AZ2461)</f>
        <v>TOBOZ T=1D=0R=0M=0L=0B=0</v>
      </c>
      <c r="G2461" s="0" t="s">
        <v>181</v>
      </c>
      <c r="I2461" s="0" t="s">
        <v>10642</v>
      </c>
      <c r="J2461" s="0" t="s">
        <v>757</v>
      </c>
      <c r="K2461" s="0" t="s">
        <v>175</v>
      </c>
      <c r="L2461" s="0"/>
      <c r="M2461" s="0" t="s">
        <v>10643</v>
      </c>
      <c r="N2461" s="0" t="str">
        <f aca="false">RIGHT(M2461,LEN(M2461)-FIND(" ",M2461))</f>
        <v>SHERIDAN AVE NE</v>
      </c>
      <c r="P2461" s="0" t="s">
        <v>146</v>
      </c>
      <c r="Q2461" s="0" t="s">
        <v>147</v>
      </c>
      <c r="R2461" s="0" t="n">
        <v>44483</v>
      </c>
      <c r="AD2461" s="0" t="s">
        <v>148</v>
      </c>
      <c r="AE2461" s="0" t="s">
        <v>149</v>
      </c>
      <c r="AF2461" s="0" t="s">
        <v>150</v>
      </c>
      <c r="AH2461" s="0" t="n">
        <v>14</v>
      </c>
      <c r="AI2461" s="0" t="n">
        <v>11</v>
      </c>
      <c r="AN2461" s="0" t="s">
        <v>146</v>
      </c>
      <c r="AO2461" s="0" t="s">
        <v>236</v>
      </c>
      <c r="AP2461" s="0" t="s">
        <v>237</v>
      </c>
      <c r="AQ2461" s="0" t="n">
        <v>9</v>
      </c>
      <c r="AR2461" s="0" t="n">
        <v>64</v>
      </c>
      <c r="AS2461" s="0" t="n">
        <v>32</v>
      </c>
      <c r="AU2461" s="0" t="n">
        <f aca="false">COUNTA($BA$181:$EH$181)</f>
        <v>1</v>
      </c>
      <c r="AV2461" s="0" t="n">
        <f aca="false">COUNTIF($BA$181:$EH$181,"D")</f>
        <v>0</v>
      </c>
      <c r="AW2461" s="0" t="n">
        <f aca="false">COUNTIF($BA$181:$EH$181,"R")</f>
        <v>0</v>
      </c>
      <c r="AX2461" s="0" t="n">
        <f aca="false"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>0</v>
      </c>
      <c r="AY2461" s="0" t="n">
        <f aca="false">COUNTIF(DU2461:EH2461, "&lt;&gt;")</f>
        <v>0</v>
      </c>
      <c r="AZ2461" s="0" t="n">
        <f aca="false">IF(EH2461&lt;&gt;"",1,0)</f>
        <v>0</v>
      </c>
      <c r="BB2461" s="0" t="s">
        <v>153</v>
      </c>
      <c r="DL2461" s="0" t="s">
        <v>154</v>
      </c>
    </row>
    <row r="2462" customFormat="false" ht="13.8" hidden="true" customHeight="false" outlineLevel="0" collapsed="false">
      <c r="A2462" s="0" t="s">
        <v>10644</v>
      </c>
      <c r="B2462" s="0" t="n">
        <v>78</v>
      </c>
      <c r="C2462" s="0" t="n">
        <v>252578</v>
      </c>
      <c r="D2462" s="0" t="s">
        <v>10645</v>
      </c>
      <c r="E2462" s="0" t="s">
        <v>1063</v>
      </c>
      <c r="F2462" s="0" t="str">
        <f aca="false">CONCATENATE(D2462," ",LEFT(H2462,4),"T=",AU2462,"D=",AV2462,"R=",AW2462,"M=",AX2462,"L=",AY2462,"B=",AZ2462)</f>
        <v>BARRETT T=2D=0R=0M=0L=0B=0</v>
      </c>
      <c r="G2462" s="0" t="s">
        <v>188</v>
      </c>
      <c r="I2462" s="0" t="s">
        <v>10646</v>
      </c>
      <c r="J2462" s="0" t="s">
        <v>395</v>
      </c>
      <c r="K2462" s="0" t="s">
        <v>144</v>
      </c>
      <c r="L2462" s="0"/>
      <c r="M2462" s="0" t="s">
        <v>10643</v>
      </c>
      <c r="N2462" s="0" t="str">
        <f aca="false">RIGHT(M2462,LEN(M2462)-FIND(" ",M2462))</f>
        <v>SHERIDAN AVE NE</v>
      </c>
      <c r="P2462" s="0" t="s">
        <v>146</v>
      </c>
      <c r="Q2462" s="0" t="s">
        <v>147</v>
      </c>
      <c r="R2462" s="0" t="n">
        <v>44483</v>
      </c>
      <c r="AD2462" s="0" t="s">
        <v>148</v>
      </c>
      <c r="AE2462" s="0" t="s">
        <v>149</v>
      </c>
      <c r="AF2462" s="0" t="s">
        <v>150</v>
      </c>
      <c r="AH2462" s="0" t="n">
        <v>14</v>
      </c>
      <c r="AI2462" s="0" t="n">
        <v>11</v>
      </c>
      <c r="AN2462" s="0" t="s">
        <v>146</v>
      </c>
      <c r="AO2462" s="0" t="s">
        <v>236</v>
      </c>
      <c r="AP2462" s="0" t="s">
        <v>237</v>
      </c>
      <c r="AQ2462" s="0" t="n">
        <v>9</v>
      </c>
      <c r="AR2462" s="0" t="n">
        <v>64</v>
      </c>
      <c r="AS2462" s="0" t="n">
        <v>32</v>
      </c>
      <c r="AU2462" s="0" t="n">
        <f aca="false">COUNTA($BA$584:$EH$584)</f>
        <v>2</v>
      </c>
      <c r="AV2462" s="0" t="n">
        <f aca="false">COUNTIF($BA$584:$EH$584,"D")</f>
        <v>0</v>
      </c>
      <c r="AW2462" s="0" t="n">
        <f aca="false">COUNTIF($BA$584:$EH$584,"R")</f>
        <v>0</v>
      </c>
      <c r="AX2462" s="0" t="n">
        <f aca="false"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>0</v>
      </c>
      <c r="AY2462" s="0" t="n">
        <f aca="false">COUNTIF(DU2462:EH2462, "&lt;&gt;")</f>
        <v>0</v>
      </c>
      <c r="AZ2462" s="0" t="n">
        <f aca="false">IF(EH2462&lt;&gt;"",1,0)</f>
        <v>0</v>
      </c>
      <c r="BB2462" s="0" t="s">
        <v>153</v>
      </c>
      <c r="BC2462" s="0" t="s">
        <v>154</v>
      </c>
      <c r="BD2462" s="0" t="s">
        <v>154</v>
      </c>
      <c r="BG2462" s="0" t="s">
        <v>154</v>
      </c>
      <c r="BJ2462" s="0" t="s">
        <v>154</v>
      </c>
      <c r="BL2462" s="0" t="s">
        <v>154</v>
      </c>
      <c r="CA2462" s="0" t="s">
        <v>154</v>
      </c>
      <c r="CP2462" s="0" t="s">
        <v>154</v>
      </c>
      <c r="DC2462" s="0" t="s">
        <v>154</v>
      </c>
    </row>
    <row r="2463" customFormat="false" ht="13.8" hidden="false" customHeight="false" outlineLevel="0" collapsed="false">
      <c r="A2463" s="0" t="s">
        <v>10647</v>
      </c>
      <c r="B2463" s="0" t="n">
        <v>78</v>
      </c>
      <c r="C2463" s="0" t="n">
        <v>445939</v>
      </c>
      <c r="D2463" s="0" t="s">
        <v>10648</v>
      </c>
      <c r="E2463" s="0" t="s">
        <v>429</v>
      </c>
      <c r="F2463" s="0" t="str">
        <f aca="false">CONCATENATE(D2463," ",LEFT(H2463,4),"T=",AU2463,"D=",AV2463,"R=",AW2463,"M=",AX2463,"L=",AY2463,"B=",AZ2463)</f>
        <v>WALLACE T=12D=1R=0M=0L=4B=0</v>
      </c>
      <c r="G2463" s="0" t="s">
        <v>172</v>
      </c>
      <c r="I2463" s="0" t="s">
        <v>5078</v>
      </c>
      <c r="J2463" s="0" t="s">
        <v>10649</v>
      </c>
      <c r="K2463" s="0" t="s">
        <v>175</v>
      </c>
      <c r="L2463" s="1" t="s">
        <v>176</v>
      </c>
      <c r="M2463" s="0" t="s">
        <v>10650</v>
      </c>
      <c r="N2463" s="0" t="str">
        <f aca="false">RIGHT(M2463,LEN(M2463)-FIND(" ",M2463))</f>
        <v>SHERIDAN AVE NE</v>
      </c>
      <c r="P2463" s="0" t="s">
        <v>146</v>
      </c>
      <c r="Q2463" s="0" t="s">
        <v>147</v>
      </c>
      <c r="R2463" s="0" t="n">
        <v>44483</v>
      </c>
      <c r="AD2463" s="0" t="s">
        <v>148</v>
      </c>
      <c r="AE2463" s="0" t="s">
        <v>149</v>
      </c>
      <c r="AF2463" s="0" t="s">
        <v>150</v>
      </c>
      <c r="AH2463" s="0" t="n">
        <v>14</v>
      </c>
      <c r="AI2463" s="0" t="n">
        <v>11</v>
      </c>
      <c r="AN2463" s="0" t="s">
        <v>146</v>
      </c>
      <c r="AO2463" s="0" t="s">
        <v>236</v>
      </c>
      <c r="AP2463" s="0" t="s">
        <v>237</v>
      </c>
      <c r="AQ2463" s="0" t="n">
        <v>9</v>
      </c>
      <c r="AR2463" s="0" t="n">
        <v>64</v>
      </c>
      <c r="AS2463" s="0" t="n">
        <v>32</v>
      </c>
      <c r="AU2463" s="0" t="n">
        <f aca="false">COUNTA($BA$259:$EH$259)</f>
        <v>12</v>
      </c>
      <c r="AV2463" s="0" t="n">
        <f aca="false">COUNTIF($BA$259:$EH$259,"D")</f>
        <v>1</v>
      </c>
      <c r="AW2463" s="0" t="n">
        <f aca="false">COUNTIF($BA$259:$EH$259,"R")</f>
        <v>0</v>
      </c>
      <c r="AX2463" s="0" t="n">
        <f aca="false"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>0</v>
      </c>
      <c r="AY2463" s="0" t="n">
        <f aca="false">COUNTIF(DU2463:EH2463, "&lt;&gt;")</f>
        <v>4</v>
      </c>
      <c r="AZ2463" s="0" t="n">
        <f aca="false">IF(EH2463&lt;&gt;"",1,0)</f>
        <v>0</v>
      </c>
      <c r="BB2463" s="0" t="s">
        <v>153</v>
      </c>
      <c r="BD2463" s="0" t="s">
        <v>154</v>
      </c>
      <c r="BH2463" s="0" t="s">
        <v>154</v>
      </c>
      <c r="BJ2463" s="0" t="s">
        <v>154</v>
      </c>
      <c r="BK2463" s="0" t="s">
        <v>154</v>
      </c>
      <c r="BL2463" s="0" t="s">
        <v>154</v>
      </c>
      <c r="BS2463" s="0" t="s">
        <v>154</v>
      </c>
      <c r="DN2463" s="0" t="s">
        <v>154</v>
      </c>
      <c r="DS2463" s="0" t="s">
        <v>176</v>
      </c>
      <c r="DU2463" s="0" t="s">
        <v>154</v>
      </c>
      <c r="DX2463" s="0" t="s">
        <v>154</v>
      </c>
      <c r="EA2463" s="0" t="s">
        <v>154</v>
      </c>
      <c r="EF2463" s="0" t="s">
        <v>154</v>
      </c>
    </row>
    <row r="2464" customFormat="false" ht="13.8" hidden="true" customHeight="false" outlineLevel="0" collapsed="false">
      <c r="A2464" s="0" t="s">
        <v>10651</v>
      </c>
      <c r="B2464" s="0" t="n">
        <v>78</v>
      </c>
      <c r="C2464" s="0" t="n">
        <v>423344</v>
      </c>
      <c r="D2464" s="0" t="s">
        <v>10652</v>
      </c>
      <c r="E2464" s="0" t="s">
        <v>376</v>
      </c>
      <c r="F2464" s="0" t="str">
        <f aca="false">CONCATENATE(D2464," ",LEFT(H2464,4),"T=",AU2464,"D=",AV2464,"R=",AW2464,"M=",AX2464,"L=",AY2464,"B=",AZ2464)</f>
        <v>GARNET T=2D=0R=0M=0L=0B=0</v>
      </c>
      <c r="G2464" s="0" t="s">
        <v>241</v>
      </c>
      <c r="I2464" s="0" t="s">
        <v>10653</v>
      </c>
      <c r="J2464" s="0" t="s">
        <v>2902</v>
      </c>
      <c r="K2464" s="0" t="s">
        <v>175</v>
      </c>
      <c r="L2464" s="0"/>
      <c r="M2464" s="0" t="s">
        <v>10654</v>
      </c>
      <c r="N2464" s="0" t="str">
        <f aca="false">RIGHT(M2464,LEN(M2464)-FIND(" ",M2464))</f>
        <v>SHERIDAN AVE NE</v>
      </c>
      <c r="P2464" s="0" t="s">
        <v>146</v>
      </c>
      <c r="Q2464" s="0" t="s">
        <v>147</v>
      </c>
      <c r="R2464" s="0" t="n">
        <v>44483</v>
      </c>
      <c r="AD2464" s="0" t="s">
        <v>148</v>
      </c>
      <c r="AE2464" s="0" t="s">
        <v>149</v>
      </c>
      <c r="AF2464" s="0" t="s">
        <v>150</v>
      </c>
      <c r="AH2464" s="0" t="n">
        <v>14</v>
      </c>
      <c r="AI2464" s="0" t="n">
        <v>11</v>
      </c>
      <c r="AN2464" s="0" t="s">
        <v>146</v>
      </c>
      <c r="AO2464" s="0" t="s">
        <v>236</v>
      </c>
      <c r="AP2464" s="0" t="s">
        <v>237</v>
      </c>
      <c r="AQ2464" s="0" t="n">
        <v>9</v>
      </c>
      <c r="AR2464" s="0" t="n">
        <v>64</v>
      </c>
      <c r="AS2464" s="0" t="n">
        <v>32</v>
      </c>
      <c r="AU2464" s="0" t="n">
        <f aca="false">COUNTA($BA$178:$EH$178)</f>
        <v>2</v>
      </c>
      <c r="AV2464" s="0" t="n">
        <f aca="false">COUNTIF($BA$178:$EH$178,"D")</f>
        <v>0</v>
      </c>
      <c r="AW2464" s="0" t="n">
        <f aca="false">COUNTIF($BA$178:$EH$178,"R")</f>
        <v>0</v>
      </c>
      <c r="AX2464" s="0" t="n">
        <f aca="false"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>0</v>
      </c>
      <c r="AY2464" s="0" t="n">
        <f aca="false">COUNTIF(DU2464:EH2464, "&lt;&gt;")</f>
        <v>0</v>
      </c>
      <c r="AZ2464" s="0" t="n">
        <f aca="false">IF(EH2464&lt;&gt;"",1,0)</f>
        <v>0</v>
      </c>
      <c r="BB2464" s="0" t="s">
        <v>153</v>
      </c>
      <c r="BL2464" s="0" t="s">
        <v>154</v>
      </c>
      <c r="BR2464" s="0" t="s">
        <v>154</v>
      </c>
      <c r="BS2464" s="0" t="s">
        <v>154</v>
      </c>
      <c r="BY2464" s="0" t="s">
        <v>155</v>
      </c>
      <c r="CP2464" s="0" t="s">
        <v>154</v>
      </c>
    </row>
    <row r="2465" customFormat="false" ht="13.8" hidden="false" customHeight="false" outlineLevel="0" collapsed="false">
      <c r="A2465" s="0" t="s">
        <v>10655</v>
      </c>
      <c r="B2465" s="0" t="n">
        <v>78</v>
      </c>
      <c r="C2465" s="0" t="n">
        <v>426217</v>
      </c>
      <c r="D2465" s="0" t="s">
        <v>10656</v>
      </c>
      <c r="E2465" s="0" t="s">
        <v>7321</v>
      </c>
      <c r="F2465" s="0" t="str">
        <f aca="false">CONCATENATE(D2465," ",LEFT(H2465,4),"T=",AU2465,"D=",AV2465,"R=",AW2465,"M=",AX2465,"L=",AY2465,"B=",AZ2465)</f>
        <v>RUBICZ T=1D=0R=0M=3L=7B=1</v>
      </c>
      <c r="G2465" s="0" t="s">
        <v>159</v>
      </c>
      <c r="I2465" s="0" t="s">
        <v>10657</v>
      </c>
      <c r="J2465" s="0" t="s">
        <v>7497</v>
      </c>
      <c r="K2465" s="0" t="s">
        <v>175</v>
      </c>
      <c r="L2465" s="1" t="s">
        <v>155</v>
      </c>
      <c r="M2465" s="0" t="s">
        <v>10658</v>
      </c>
      <c r="N2465" s="0" t="str">
        <f aca="false">RIGHT(M2465,LEN(M2465)-FIND(" ",M2465))</f>
        <v>SHERIDAN AVE NE</v>
      </c>
      <c r="P2465" s="0" t="s">
        <v>146</v>
      </c>
      <c r="Q2465" s="0" t="s">
        <v>147</v>
      </c>
      <c r="R2465" s="0" t="n">
        <v>44483</v>
      </c>
      <c r="AD2465" s="0" t="s">
        <v>148</v>
      </c>
      <c r="AE2465" s="0" t="s">
        <v>149</v>
      </c>
      <c r="AF2465" s="0" t="s">
        <v>150</v>
      </c>
      <c r="AH2465" s="0" t="n">
        <v>14</v>
      </c>
      <c r="AI2465" s="0" t="n">
        <v>11</v>
      </c>
      <c r="AN2465" s="0" t="s">
        <v>146</v>
      </c>
      <c r="AO2465" s="0" t="s">
        <v>236</v>
      </c>
      <c r="AP2465" s="0" t="s">
        <v>237</v>
      </c>
      <c r="AQ2465" s="0" t="n">
        <v>9</v>
      </c>
      <c r="AR2465" s="0" t="n">
        <v>64</v>
      </c>
      <c r="AS2465" s="0" t="n">
        <v>32</v>
      </c>
      <c r="AU2465" s="0" t="n">
        <f aca="false">COUNTA($BA$415:$EH$415)</f>
        <v>1</v>
      </c>
      <c r="AV2465" s="0" t="n">
        <f aca="false">COUNTIF($BA$415:$EH$415,"D")</f>
        <v>0</v>
      </c>
      <c r="AW2465" s="0" t="n">
        <f aca="false">COUNTIF($BA$415:$EH$415,"R")</f>
        <v>0</v>
      </c>
      <c r="AX2465" s="0" t="n">
        <f aca="false"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>3</v>
      </c>
      <c r="AY2465" s="0" t="n">
        <f aca="false">COUNTIF(DU2465:EH2465, "&lt;&gt;")</f>
        <v>7</v>
      </c>
      <c r="AZ2465" s="0" t="n">
        <f aca="false">IF(EH2465&lt;&gt;"",1,0)</f>
        <v>1</v>
      </c>
      <c r="BB2465" s="0" t="s">
        <v>153</v>
      </c>
      <c r="DF2465" s="0" t="s">
        <v>154</v>
      </c>
      <c r="DG2465" s="0" t="s">
        <v>155</v>
      </c>
      <c r="DI2465" s="0" t="s">
        <v>154</v>
      </c>
      <c r="DL2465" s="0" t="s">
        <v>154</v>
      </c>
      <c r="DM2465" s="0" t="s">
        <v>155</v>
      </c>
      <c r="DN2465" s="0" t="s">
        <v>154</v>
      </c>
      <c r="DO2465" s="0" t="s">
        <v>155</v>
      </c>
      <c r="DR2465" s="0" t="s">
        <v>154</v>
      </c>
      <c r="DS2465" s="0" t="s">
        <v>155</v>
      </c>
      <c r="DT2465" s="0" t="s">
        <v>155</v>
      </c>
      <c r="DU2465" s="0" t="s">
        <v>154</v>
      </c>
      <c r="DW2465" s="0" t="s">
        <v>155</v>
      </c>
      <c r="DX2465" s="0" t="s">
        <v>154</v>
      </c>
      <c r="EA2465" s="0" t="s">
        <v>154</v>
      </c>
      <c r="ED2465" s="0" t="s">
        <v>155</v>
      </c>
      <c r="EF2465" s="0" t="s">
        <v>154</v>
      </c>
      <c r="EH2465" s="0" t="s">
        <v>155</v>
      </c>
    </row>
    <row r="2466" customFormat="false" ht="13.8" hidden="true" customHeight="false" outlineLevel="0" collapsed="false">
      <c r="A2466" s="0" t="s">
        <v>10659</v>
      </c>
      <c r="B2466" s="0" t="n">
        <v>78</v>
      </c>
      <c r="C2466" s="0" t="n">
        <v>478485</v>
      </c>
      <c r="D2466" s="0" t="s">
        <v>10660</v>
      </c>
      <c r="E2466" s="0" t="s">
        <v>7435</v>
      </c>
      <c r="F2466" s="0" t="str">
        <f aca="false">CONCATENATE(D2466," ",LEFT(H2466,4),"T=",AU2466,"D=",AV2466,"R=",AW2466,"M=",AX2466,"L=",AY2466,"B=",AZ2466)</f>
        <v>CENNAME T=11D=1R=0M=0L=1B=0</v>
      </c>
      <c r="G2466" s="0" t="s">
        <v>1531</v>
      </c>
      <c r="I2466" s="0" t="s">
        <v>10661</v>
      </c>
      <c r="J2466" s="0" t="s">
        <v>2178</v>
      </c>
      <c r="K2466" s="0" t="s">
        <v>175</v>
      </c>
      <c r="L2466" s="0"/>
      <c r="M2466" s="0" t="s">
        <v>10662</v>
      </c>
      <c r="N2466" s="0" t="str">
        <f aca="false">RIGHT(M2466,LEN(M2466)-FIND(" ",M2466))</f>
        <v>SHERIDAN AVE NE</v>
      </c>
      <c r="P2466" s="0" t="s">
        <v>146</v>
      </c>
      <c r="Q2466" s="0" t="s">
        <v>147</v>
      </c>
      <c r="R2466" s="0" t="n">
        <v>44483</v>
      </c>
      <c r="AD2466" s="0" t="s">
        <v>148</v>
      </c>
      <c r="AE2466" s="0" t="s">
        <v>149</v>
      </c>
      <c r="AF2466" s="0" t="s">
        <v>150</v>
      </c>
      <c r="AH2466" s="0" t="n">
        <v>14</v>
      </c>
      <c r="AI2466" s="0" t="n">
        <v>11</v>
      </c>
      <c r="AN2466" s="0" t="s">
        <v>146</v>
      </c>
      <c r="AO2466" s="0" t="s">
        <v>236</v>
      </c>
      <c r="AP2466" s="0" t="s">
        <v>237</v>
      </c>
      <c r="AQ2466" s="0" t="n">
        <v>9</v>
      </c>
      <c r="AR2466" s="0" t="n">
        <v>64</v>
      </c>
      <c r="AS2466" s="0" t="n">
        <v>32</v>
      </c>
      <c r="AU2466" s="0" t="n">
        <f aca="false">COUNTA($BA$92:$EH$92)</f>
        <v>11</v>
      </c>
      <c r="AV2466" s="0" t="n">
        <f aca="false">COUNTIF($BA$92:$EH$92,"D")</f>
        <v>1</v>
      </c>
      <c r="AW2466" s="0" t="n">
        <f aca="false">COUNTIF($BA$92:$EH$92,"R")</f>
        <v>0</v>
      </c>
      <c r="AX2466" s="0" t="n">
        <f aca="false"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>0</v>
      </c>
      <c r="AY2466" s="0" t="n">
        <f aca="false">COUNTIF(DU2466:EH2466, "&lt;&gt;")</f>
        <v>1</v>
      </c>
      <c r="AZ2466" s="0" t="n">
        <f aca="false">IF(EH2466&lt;&gt;"",1,0)</f>
        <v>0</v>
      </c>
      <c r="BB2466" s="0" t="s">
        <v>153</v>
      </c>
      <c r="DC2466" s="0" t="s">
        <v>154</v>
      </c>
      <c r="DN2466" s="0" t="s">
        <v>154</v>
      </c>
      <c r="EF2466" s="0" t="s">
        <v>154</v>
      </c>
    </row>
    <row r="2467" customFormat="false" ht="13.8" hidden="false" customHeight="false" outlineLevel="0" collapsed="false">
      <c r="A2467" s="0" t="s">
        <v>10663</v>
      </c>
      <c r="B2467" s="0" t="n">
        <v>78</v>
      </c>
      <c r="C2467" s="0" t="n">
        <v>399404</v>
      </c>
      <c r="D2467" s="0" t="s">
        <v>7183</v>
      </c>
      <c r="E2467" s="0" t="s">
        <v>1244</v>
      </c>
      <c r="F2467" s="0" t="str">
        <f aca="false">CONCATENATE(D2467," ",LEFT(H2467,4),"T=",AU2467,"D=",AV2467,"R=",AW2467,"M=",AX2467,"L=",AY2467,"B=",AZ2467)</f>
        <v>MARTINEZ T=1D=0R=0M=0L=2B=0</v>
      </c>
      <c r="G2467" s="0" t="s">
        <v>216</v>
      </c>
      <c r="I2467" s="0" t="s">
        <v>10664</v>
      </c>
      <c r="J2467" s="0" t="s">
        <v>8669</v>
      </c>
      <c r="K2467" s="0" t="s">
        <v>175</v>
      </c>
      <c r="M2467" s="0" t="s">
        <v>10662</v>
      </c>
      <c r="N2467" s="0" t="str">
        <f aca="false">RIGHT(M2467,LEN(M2467)-FIND(" ",M2467))</f>
        <v>SHERIDAN AVE NE</v>
      </c>
      <c r="P2467" s="0" t="s">
        <v>146</v>
      </c>
      <c r="Q2467" s="0" t="s">
        <v>147</v>
      </c>
      <c r="R2467" s="0" t="n">
        <v>44483</v>
      </c>
      <c r="AD2467" s="0" t="s">
        <v>148</v>
      </c>
      <c r="AE2467" s="0" t="s">
        <v>149</v>
      </c>
      <c r="AF2467" s="0" t="s">
        <v>150</v>
      </c>
      <c r="AH2467" s="0" t="n">
        <v>14</v>
      </c>
      <c r="AI2467" s="0" t="n">
        <v>11</v>
      </c>
      <c r="AN2467" s="0" t="s">
        <v>146</v>
      </c>
      <c r="AO2467" s="0" t="s">
        <v>236</v>
      </c>
      <c r="AP2467" s="0" t="s">
        <v>237</v>
      </c>
      <c r="AQ2467" s="0" t="n">
        <v>9</v>
      </c>
      <c r="AR2467" s="0" t="n">
        <v>64</v>
      </c>
      <c r="AS2467" s="0" t="n">
        <v>32</v>
      </c>
      <c r="AU2467" s="0" t="n">
        <f aca="false">COUNTA($BA$1075:$EH$1075)</f>
        <v>1</v>
      </c>
      <c r="AV2467" s="0" t="n">
        <f aca="false">COUNTIF($BA$1075:$EH$1075,"D")</f>
        <v>0</v>
      </c>
      <c r="AW2467" s="0" t="n">
        <f aca="false">COUNTIF($BA$1075:$EH$1075,"R")</f>
        <v>0</v>
      </c>
      <c r="AX2467" s="0" t="n">
        <f aca="false"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>0</v>
      </c>
      <c r="AY2467" s="0" t="n">
        <f aca="false">COUNTIF(DU2467:EH2467, "&lt;&gt;")</f>
        <v>2</v>
      </c>
      <c r="AZ2467" s="0" t="n">
        <f aca="false">IF(EH2467&lt;&gt;"",1,0)</f>
        <v>0</v>
      </c>
      <c r="BB2467" s="0" t="s">
        <v>153</v>
      </c>
      <c r="CY2467" s="0" t="s">
        <v>154</v>
      </c>
      <c r="CZ2467" s="0" t="s">
        <v>176</v>
      </c>
      <c r="DC2467" s="0" t="s">
        <v>154</v>
      </c>
      <c r="DN2467" s="0" t="s">
        <v>154</v>
      </c>
      <c r="EA2467" s="0" t="s">
        <v>154</v>
      </c>
      <c r="EF2467" s="0" t="s">
        <v>154</v>
      </c>
    </row>
    <row r="2468" customFormat="false" ht="13.8" hidden="false" customHeight="false" outlineLevel="0" collapsed="false">
      <c r="A2468" s="0" t="s">
        <v>10665</v>
      </c>
      <c r="B2468" s="0" t="n">
        <v>78</v>
      </c>
      <c r="C2468" s="0" t="n">
        <v>157404</v>
      </c>
      <c r="D2468" s="0" t="s">
        <v>10666</v>
      </c>
      <c r="E2468" s="0" t="s">
        <v>867</v>
      </c>
      <c r="F2468" s="0" t="str">
        <f aca="false">CONCATENATE(D2468," ",LEFT(H2468,4),"T=",AU2468,"D=",AV2468,"R=",AW2468,"M=",AX2468,"L=",AY2468,"B=",AZ2468)</f>
        <v>SEAGRAVES T=1D=0R=0M=1L=6B=1</v>
      </c>
      <c r="I2468" s="0" t="s">
        <v>10667</v>
      </c>
      <c r="J2468" s="0" t="s">
        <v>10668</v>
      </c>
      <c r="K2468" s="0" t="s">
        <v>175</v>
      </c>
      <c r="L2468" s="1" t="s">
        <v>155</v>
      </c>
      <c r="M2468" s="0" t="s">
        <v>10669</v>
      </c>
      <c r="N2468" s="0" t="str">
        <f aca="false">RIGHT(M2468,LEN(M2468)-FIND(" ",M2468))</f>
        <v>SHERIDAN AVE NE</v>
      </c>
      <c r="P2468" s="0" t="s">
        <v>146</v>
      </c>
      <c r="Q2468" s="0" t="s">
        <v>147</v>
      </c>
      <c r="R2468" s="0" t="n">
        <v>44483</v>
      </c>
      <c r="AD2468" s="0" t="s">
        <v>148</v>
      </c>
      <c r="AE2468" s="0" t="s">
        <v>149</v>
      </c>
      <c r="AF2468" s="0" t="s">
        <v>150</v>
      </c>
      <c r="AH2468" s="0" t="n">
        <v>14</v>
      </c>
      <c r="AI2468" s="0" t="n">
        <v>11</v>
      </c>
      <c r="AN2468" s="0" t="s">
        <v>146</v>
      </c>
      <c r="AO2468" s="0" t="s">
        <v>236</v>
      </c>
      <c r="AP2468" s="0" t="s">
        <v>237</v>
      </c>
      <c r="AQ2468" s="0" t="n">
        <v>9</v>
      </c>
      <c r="AR2468" s="0" t="n">
        <v>64</v>
      </c>
      <c r="AS2468" s="0" t="n">
        <v>32</v>
      </c>
      <c r="AU2468" s="0" t="n">
        <f aca="false">COUNTA($BA$622:$EH$622)</f>
        <v>1</v>
      </c>
      <c r="AV2468" s="0" t="n">
        <f aca="false">COUNTIF($BA$622:$EH$622,"D")</f>
        <v>0</v>
      </c>
      <c r="AW2468" s="0" t="n">
        <f aca="false">COUNTIF($BA$622:$EH$622,"R")</f>
        <v>0</v>
      </c>
      <c r="AX2468" s="0" t="n">
        <f aca="false"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>1</v>
      </c>
      <c r="AY2468" s="0" t="n">
        <f aca="false">COUNTIF(DU2468:EH2468, "&lt;&gt;")</f>
        <v>6</v>
      </c>
      <c r="AZ2468" s="0" t="n">
        <f aca="false">IF(EH2468&lt;&gt;"",1,0)</f>
        <v>1</v>
      </c>
      <c r="BB2468" s="0" t="s">
        <v>153</v>
      </c>
      <c r="BC2468" s="0" t="s">
        <v>154</v>
      </c>
      <c r="BD2468" s="0" t="s">
        <v>154</v>
      </c>
      <c r="BE2468" s="0" t="s">
        <v>154</v>
      </c>
      <c r="BF2468" s="0" t="s">
        <v>154</v>
      </c>
      <c r="BH2468" s="0" t="s">
        <v>154</v>
      </c>
      <c r="BI2468" s="0" t="s">
        <v>154</v>
      </c>
      <c r="BJ2468" s="0" t="s">
        <v>154</v>
      </c>
      <c r="BK2468" s="0" t="s">
        <v>154</v>
      </c>
      <c r="BL2468" s="0" t="s">
        <v>154</v>
      </c>
      <c r="BP2468" s="0" t="s">
        <v>154</v>
      </c>
      <c r="BS2468" s="0" t="s">
        <v>154</v>
      </c>
      <c r="BY2468" s="0" t="s">
        <v>155</v>
      </c>
      <c r="CA2468" s="0" t="s">
        <v>154</v>
      </c>
      <c r="CG2468" s="0" t="s">
        <v>154</v>
      </c>
      <c r="CK2468" s="0" t="s">
        <v>154</v>
      </c>
      <c r="CN2468" s="0" t="s">
        <v>154</v>
      </c>
      <c r="CP2468" s="0" t="s">
        <v>154</v>
      </c>
      <c r="CV2468" s="0" t="s">
        <v>154</v>
      </c>
      <c r="CY2468" s="0" t="s">
        <v>154</v>
      </c>
      <c r="CZ2468" s="0" t="s">
        <v>176</v>
      </c>
      <c r="DC2468" s="0" t="s">
        <v>154</v>
      </c>
      <c r="DI2468" s="0" t="s">
        <v>154</v>
      </c>
      <c r="DL2468" s="0" t="s">
        <v>154</v>
      </c>
      <c r="DM2468" s="0" t="s">
        <v>155</v>
      </c>
      <c r="DN2468" s="0" t="s">
        <v>154</v>
      </c>
      <c r="DU2468" s="0" t="s">
        <v>154</v>
      </c>
      <c r="DX2468" s="0" t="s">
        <v>154</v>
      </c>
      <c r="EA2468" s="0" t="s">
        <v>154</v>
      </c>
      <c r="ED2468" s="0" t="s">
        <v>155</v>
      </c>
      <c r="EF2468" s="0" t="s">
        <v>154</v>
      </c>
      <c r="EH2468" s="0" t="s">
        <v>155</v>
      </c>
    </row>
    <row r="2469" customFormat="false" ht="13.8" hidden="false" customHeight="false" outlineLevel="0" collapsed="false">
      <c r="A2469" s="0" t="s">
        <v>10670</v>
      </c>
      <c r="B2469" s="0" t="n">
        <v>78</v>
      </c>
      <c r="C2469" s="0" t="n">
        <v>376289</v>
      </c>
      <c r="D2469" s="0" t="s">
        <v>10666</v>
      </c>
      <c r="E2469" s="0" t="s">
        <v>652</v>
      </c>
      <c r="F2469" s="0" t="str">
        <f aca="false">CONCATENATE(D2469," ",LEFT(H2469,4),"T=",AU2469,"D=",AV2469,"R=",AW2469,"M=",AX2469,"L=",AY2469,"B=",AZ2469)</f>
        <v>SEAGRAVES T=1D=0R=0M=0L=5B=0</v>
      </c>
      <c r="G2469" s="0" t="s">
        <v>297</v>
      </c>
      <c r="I2469" s="0" t="s">
        <v>10064</v>
      </c>
      <c r="J2469" s="0" t="s">
        <v>2465</v>
      </c>
      <c r="K2469" s="0" t="s">
        <v>175</v>
      </c>
      <c r="L2469" s="1" t="s">
        <v>176</v>
      </c>
      <c r="M2469" s="0" t="s">
        <v>10669</v>
      </c>
      <c r="N2469" s="0" t="str">
        <f aca="false">RIGHT(M2469,LEN(M2469)-FIND(" ",M2469))</f>
        <v>SHERIDAN AVE NE</v>
      </c>
      <c r="P2469" s="0" t="s">
        <v>146</v>
      </c>
      <c r="Q2469" s="0" t="s">
        <v>147</v>
      </c>
      <c r="R2469" s="0" t="n">
        <v>44483</v>
      </c>
      <c r="AD2469" s="0" t="s">
        <v>148</v>
      </c>
      <c r="AE2469" s="0" t="s">
        <v>149</v>
      </c>
      <c r="AF2469" s="0" t="s">
        <v>150</v>
      </c>
      <c r="AH2469" s="0" t="n">
        <v>14</v>
      </c>
      <c r="AI2469" s="0" t="n">
        <v>11</v>
      </c>
      <c r="AN2469" s="0" t="s">
        <v>146</v>
      </c>
      <c r="AO2469" s="0" t="s">
        <v>236</v>
      </c>
      <c r="AP2469" s="0" t="s">
        <v>237</v>
      </c>
      <c r="AQ2469" s="0" t="n">
        <v>9</v>
      </c>
      <c r="AR2469" s="0" t="n">
        <v>64</v>
      </c>
      <c r="AS2469" s="0" t="n">
        <v>32</v>
      </c>
      <c r="AU2469" s="0" t="n">
        <f aca="false">COUNTA($BA$773:$EH$773)</f>
        <v>1</v>
      </c>
      <c r="AV2469" s="0" t="n">
        <f aca="false">COUNTIF($BA$773:$EH$773,"D")</f>
        <v>0</v>
      </c>
      <c r="AW2469" s="0" t="n">
        <f aca="false">COUNTIF($BA$773:$EH$773,"R")</f>
        <v>0</v>
      </c>
      <c r="AX2469" s="0" t="n">
        <f aca="false"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>0</v>
      </c>
      <c r="AY2469" s="0" t="n">
        <f aca="false">COUNTIF(DU2469:EH2469, "&lt;&gt;")</f>
        <v>5</v>
      </c>
      <c r="AZ2469" s="0" t="n">
        <f aca="false">IF(EH2469&lt;&gt;"",1,0)</f>
        <v>0</v>
      </c>
      <c r="BB2469" s="0" t="s">
        <v>153</v>
      </c>
      <c r="CK2469" s="0" t="s">
        <v>154</v>
      </c>
      <c r="CP2469" s="0" t="s">
        <v>154</v>
      </c>
      <c r="CY2469" s="0" t="s">
        <v>154</v>
      </c>
      <c r="CZ2469" s="0" t="s">
        <v>176</v>
      </c>
      <c r="DC2469" s="0" t="s">
        <v>154</v>
      </c>
      <c r="DI2469" s="0" t="s">
        <v>154</v>
      </c>
      <c r="DL2469" s="0" t="s">
        <v>154</v>
      </c>
      <c r="DM2469" s="0" t="s">
        <v>155</v>
      </c>
      <c r="DN2469" s="0" t="s">
        <v>154</v>
      </c>
      <c r="DU2469" s="0" t="s">
        <v>154</v>
      </c>
      <c r="DX2469" s="0" t="s">
        <v>154</v>
      </c>
      <c r="EA2469" s="0" t="s">
        <v>154</v>
      </c>
      <c r="ED2469" s="0" t="s">
        <v>176</v>
      </c>
      <c r="EF2469" s="0" t="s">
        <v>154</v>
      </c>
    </row>
    <row r="2470" customFormat="false" ht="13.8" hidden="false" customHeight="false" outlineLevel="0" collapsed="false">
      <c r="A2470" s="0" t="s">
        <v>10671</v>
      </c>
      <c r="B2470" s="0" t="n">
        <v>78</v>
      </c>
      <c r="C2470" s="0" t="n">
        <v>249182</v>
      </c>
      <c r="D2470" s="0" t="s">
        <v>10672</v>
      </c>
      <c r="E2470" s="0" t="s">
        <v>10673</v>
      </c>
      <c r="F2470" s="0" t="str">
        <f aca="false">CONCATENATE(D2470," ",LEFT(H2470,4),"T=",AU2470,"D=",AV2470,"R=",AW2470,"M=",AX2470,"L=",AY2470,"B=",AZ2470)</f>
        <v>LECLOUX T=7D=1R=0M=2L=6B=1</v>
      </c>
      <c r="G2470" s="0" t="s">
        <v>241</v>
      </c>
      <c r="I2470" s="0" t="s">
        <v>10674</v>
      </c>
      <c r="J2470" s="0" t="s">
        <v>10675</v>
      </c>
      <c r="K2470" s="0" t="s">
        <v>175</v>
      </c>
      <c r="L2470" s="1" t="s">
        <v>155</v>
      </c>
      <c r="M2470" s="0" t="s">
        <v>10676</v>
      </c>
      <c r="N2470" s="0" t="str">
        <f aca="false">RIGHT(M2470,LEN(M2470)-FIND(" ",M2470))</f>
        <v>SHERIDAN AVE NE</v>
      </c>
      <c r="P2470" s="0" t="s">
        <v>146</v>
      </c>
      <c r="Q2470" s="0" t="s">
        <v>147</v>
      </c>
      <c r="R2470" s="0" t="n">
        <v>44483</v>
      </c>
      <c r="AD2470" s="0" t="s">
        <v>148</v>
      </c>
      <c r="AE2470" s="0" t="s">
        <v>149</v>
      </c>
      <c r="AF2470" s="0" t="s">
        <v>150</v>
      </c>
      <c r="AH2470" s="0" t="n">
        <v>14</v>
      </c>
      <c r="AI2470" s="0" t="n">
        <v>11</v>
      </c>
      <c r="AN2470" s="0" t="s">
        <v>146</v>
      </c>
      <c r="AO2470" s="0" t="s">
        <v>236</v>
      </c>
      <c r="AP2470" s="0" t="s">
        <v>237</v>
      </c>
      <c r="AQ2470" s="0" t="n">
        <v>9</v>
      </c>
      <c r="AR2470" s="0" t="n">
        <v>64</v>
      </c>
      <c r="AS2470" s="0" t="n">
        <v>32</v>
      </c>
      <c r="AU2470" s="0" t="n">
        <f aca="false">COUNTA($BA$2:$EH$2)</f>
        <v>7</v>
      </c>
      <c r="AV2470" s="0" t="n">
        <f aca="false">COUNTIF($BA$2:$EH$2,"D")</f>
        <v>1</v>
      </c>
      <c r="AW2470" s="0" t="n">
        <f aca="false">COUNTIF($BA$2:$EH$2,"R")</f>
        <v>0</v>
      </c>
      <c r="AX2470" s="0" t="n">
        <f aca="false"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>2</v>
      </c>
      <c r="AY2470" s="0" t="n">
        <f aca="false">COUNTIF(DU2470:EH2470, "&lt;&gt;")</f>
        <v>6</v>
      </c>
      <c r="AZ2470" s="0" t="n">
        <f aca="false">IF(EH2470&lt;&gt;"",1,0)</f>
        <v>1</v>
      </c>
      <c r="BB2470" s="0" t="s">
        <v>153</v>
      </c>
      <c r="BC2470" s="0" t="s">
        <v>154</v>
      </c>
      <c r="BD2470" s="0" t="s">
        <v>154</v>
      </c>
      <c r="BH2470" s="0" t="s">
        <v>154</v>
      </c>
      <c r="BI2470" s="0" t="s">
        <v>154</v>
      </c>
      <c r="BJ2470" s="0" t="s">
        <v>154</v>
      </c>
      <c r="BK2470" s="0" t="s">
        <v>154</v>
      </c>
      <c r="BL2470" s="0" t="s">
        <v>154</v>
      </c>
      <c r="BP2470" s="0" t="s">
        <v>154</v>
      </c>
      <c r="BR2470" s="0" t="s">
        <v>154</v>
      </c>
      <c r="BS2470" s="0" t="s">
        <v>154</v>
      </c>
      <c r="BY2470" s="0" t="s">
        <v>155</v>
      </c>
      <c r="CA2470" s="0" t="s">
        <v>154</v>
      </c>
      <c r="CH2470" s="0" t="s">
        <v>155</v>
      </c>
      <c r="CK2470" s="0" t="s">
        <v>154</v>
      </c>
      <c r="CN2470" s="0" t="s">
        <v>154</v>
      </c>
      <c r="CO2470" s="0" t="s">
        <v>155</v>
      </c>
      <c r="CP2470" s="0" t="s">
        <v>154</v>
      </c>
      <c r="CU2470" s="0" t="s">
        <v>155</v>
      </c>
      <c r="CV2470" s="0" t="s">
        <v>154</v>
      </c>
      <c r="CY2470" s="0" t="s">
        <v>154</v>
      </c>
      <c r="CZ2470" s="0" t="s">
        <v>155</v>
      </c>
      <c r="DC2470" s="0" t="s">
        <v>154</v>
      </c>
      <c r="DF2470" s="0" t="s">
        <v>154</v>
      </c>
      <c r="DG2470" s="0" t="s">
        <v>155</v>
      </c>
      <c r="DI2470" s="0" t="s">
        <v>154</v>
      </c>
      <c r="DJ2470" s="0" t="s">
        <v>155</v>
      </c>
      <c r="DL2470" s="0" t="s">
        <v>154</v>
      </c>
      <c r="DM2470" s="0" t="s">
        <v>155</v>
      </c>
      <c r="DN2470" s="0" t="s">
        <v>154</v>
      </c>
      <c r="DS2470" s="0" t="s">
        <v>155</v>
      </c>
      <c r="DU2470" s="0" t="s">
        <v>154</v>
      </c>
      <c r="DX2470" s="0" t="s">
        <v>154</v>
      </c>
      <c r="EA2470" s="0" t="s">
        <v>154</v>
      </c>
      <c r="ED2470" s="0" t="s">
        <v>155</v>
      </c>
      <c r="EF2470" s="0" t="s">
        <v>154</v>
      </c>
      <c r="EH2470" s="0" t="s">
        <v>155</v>
      </c>
    </row>
    <row r="2471" customFormat="false" ht="13.8" hidden="false" customHeight="false" outlineLevel="0" collapsed="false">
      <c r="A2471" s="0" t="s">
        <v>10677</v>
      </c>
      <c r="B2471" s="0" t="n">
        <v>78</v>
      </c>
      <c r="C2471" s="0" t="n">
        <v>279562</v>
      </c>
      <c r="D2471" s="0" t="s">
        <v>10672</v>
      </c>
      <c r="E2471" s="0" t="s">
        <v>589</v>
      </c>
      <c r="F2471" s="0" t="str">
        <f aca="false">CONCATENATE(D2471," ",LEFT(H2471,4),"T=",AU2471,"D=",AV2471,"R=",AW2471,"M=",AX2471,"L=",AY2471,"B=",AZ2471)</f>
        <v>LECLOUX T=2D=0R=0M=2L=6B=1</v>
      </c>
      <c r="G2471" s="0" t="s">
        <v>939</v>
      </c>
      <c r="I2471" s="0" t="s">
        <v>10678</v>
      </c>
      <c r="J2471" s="0" t="s">
        <v>10679</v>
      </c>
      <c r="K2471" s="0" t="s">
        <v>175</v>
      </c>
      <c r="L2471" s="1" t="s">
        <v>155</v>
      </c>
      <c r="M2471" s="0" t="s">
        <v>10676</v>
      </c>
      <c r="N2471" s="0" t="str">
        <f aca="false">RIGHT(M2471,LEN(M2471)-FIND(" ",M2471))</f>
        <v>SHERIDAN AVE NE</v>
      </c>
      <c r="P2471" s="0" t="s">
        <v>146</v>
      </c>
      <c r="Q2471" s="0" t="s">
        <v>147</v>
      </c>
      <c r="R2471" s="0" t="n">
        <v>44483</v>
      </c>
      <c r="AD2471" s="0" t="s">
        <v>148</v>
      </c>
      <c r="AE2471" s="0" t="s">
        <v>149</v>
      </c>
      <c r="AF2471" s="0" t="s">
        <v>150</v>
      </c>
      <c r="AH2471" s="0" t="n">
        <v>14</v>
      </c>
      <c r="AI2471" s="0" t="n">
        <v>11</v>
      </c>
      <c r="AN2471" s="0" t="s">
        <v>146</v>
      </c>
      <c r="AO2471" s="0" t="s">
        <v>236</v>
      </c>
      <c r="AP2471" s="0" t="s">
        <v>237</v>
      </c>
      <c r="AQ2471" s="0" t="n">
        <v>9</v>
      </c>
      <c r="AR2471" s="0" t="n">
        <v>64</v>
      </c>
      <c r="AS2471" s="0" t="n">
        <v>32</v>
      </c>
      <c r="AU2471" s="0" t="n">
        <f aca="false">COUNTA($BA$555:$EH$555)</f>
        <v>2</v>
      </c>
      <c r="AV2471" s="0" t="n">
        <f aca="false">COUNTIF($BA$555:$EH$555,"D")</f>
        <v>0</v>
      </c>
      <c r="AW2471" s="0" t="n">
        <f aca="false">COUNTIF($BA$555:$EH$555,"R")</f>
        <v>0</v>
      </c>
      <c r="AX2471" s="0" t="n">
        <f aca="false"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>2</v>
      </c>
      <c r="AY2471" s="0" t="n">
        <f aca="false">COUNTIF(DU2471:EH2471, "&lt;&gt;")</f>
        <v>6</v>
      </c>
      <c r="AZ2471" s="0" t="n">
        <f aca="false">IF(EH2471&lt;&gt;"",1,0)</f>
        <v>1</v>
      </c>
      <c r="BB2471" s="0" t="s">
        <v>153</v>
      </c>
      <c r="BD2471" s="0" t="s">
        <v>154</v>
      </c>
      <c r="BL2471" s="0" t="s">
        <v>154</v>
      </c>
      <c r="BP2471" s="0" t="s">
        <v>154</v>
      </c>
      <c r="BR2471" s="0" t="s">
        <v>154</v>
      </c>
      <c r="BS2471" s="0" t="s">
        <v>154</v>
      </c>
      <c r="CA2471" s="0" t="s">
        <v>154</v>
      </c>
      <c r="CH2471" s="0" t="s">
        <v>155</v>
      </c>
      <c r="CK2471" s="0" t="s">
        <v>154</v>
      </c>
      <c r="CN2471" s="0" t="s">
        <v>154</v>
      </c>
      <c r="CO2471" s="0" t="s">
        <v>155</v>
      </c>
      <c r="CP2471" s="0" t="s">
        <v>154</v>
      </c>
      <c r="CU2471" s="0" t="s">
        <v>155</v>
      </c>
      <c r="CV2471" s="0" t="s">
        <v>154</v>
      </c>
      <c r="CY2471" s="0" t="s">
        <v>154</v>
      </c>
      <c r="CZ2471" s="0" t="s">
        <v>155</v>
      </c>
      <c r="DC2471" s="0" t="s">
        <v>154</v>
      </c>
      <c r="DF2471" s="0" t="s">
        <v>154</v>
      </c>
      <c r="DG2471" s="0" t="s">
        <v>155</v>
      </c>
      <c r="DI2471" s="0" t="s">
        <v>154</v>
      </c>
      <c r="DJ2471" s="0" t="s">
        <v>155</v>
      </c>
      <c r="DL2471" s="0" t="s">
        <v>154</v>
      </c>
      <c r="DM2471" s="0" t="s">
        <v>155</v>
      </c>
      <c r="DN2471" s="0" t="s">
        <v>154</v>
      </c>
      <c r="DS2471" s="0" t="s">
        <v>155</v>
      </c>
      <c r="DU2471" s="0" t="s">
        <v>154</v>
      </c>
      <c r="DX2471" s="0" t="s">
        <v>154</v>
      </c>
      <c r="EA2471" s="0" t="s">
        <v>154</v>
      </c>
      <c r="ED2471" s="0" t="s">
        <v>155</v>
      </c>
      <c r="EF2471" s="0" t="s">
        <v>154</v>
      </c>
      <c r="EH2471" s="0" t="s">
        <v>155</v>
      </c>
    </row>
    <row r="2472" customFormat="false" ht="13.8" hidden="true" customHeight="false" outlineLevel="0" collapsed="false">
      <c r="A2472" s="0" t="s">
        <v>10680</v>
      </c>
      <c r="B2472" s="0" t="n">
        <v>78</v>
      </c>
      <c r="C2472" s="0" t="n">
        <v>240895</v>
      </c>
      <c r="D2472" s="0" t="s">
        <v>6289</v>
      </c>
      <c r="E2472" s="0" t="s">
        <v>750</v>
      </c>
      <c r="F2472" s="0" t="str">
        <f aca="false">CONCATENATE(D2472," ",LEFT(H2472,4),"T=",AU2472,"D=",AV2472,"R=",AW2472,"M=",AX2472,"L=",AY2472,"B=",AZ2472)</f>
        <v>CAMPANA T=1D=0R=0M=0L=0B=0</v>
      </c>
      <c r="G2472" s="0" t="s">
        <v>176</v>
      </c>
      <c r="I2472" s="0" t="s">
        <v>10681</v>
      </c>
      <c r="J2472" s="0" t="s">
        <v>2471</v>
      </c>
      <c r="K2472" s="0" t="s">
        <v>144</v>
      </c>
      <c r="L2472" s="0"/>
      <c r="M2472" s="0" t="s">
        <v>10682</v>
      </c>
      <c r="N2472" s="0" t="str">
        <f aca="false">RIGHT(M2472,LEN(M2472)-FIND(" ",M2472))</f>
        <v>SHERIDAN AVE NE</v>
      </c>
      <c r="P2472" s="0" t="s">
        <v>146</v>
      </c>
      <c r="Q2472" s="0" t="s">
        <v>147</v>
      </c>
      <c r="R2472" s="0" t="n">
        <v>44483</v>
      </c>
      <c r="AD2472" s="0" t="s">
        <v>148</v>
      </c>
      <c r="AE2472" s="0" t="s">
        <v>149</v>
      </c>
      <c r="AF2472" s="0" t="s">
        <v>150</v>
      </c>
      <c r="AH2472" s="0" t="n">
        <v>14</v>
      </c>
      <c r="AI2472" s="0" t="n">
        <v>11</v>
      </c>
      <c r="AN2472" s="0" t="s">
        <v>146</v>
      </c>
      <c r="AO2472" s="0" t="s">
        <v>236</v>
      </c>
      <c r="AP2472" s="0" t="s">
        <v>237</v>
      </c>
      <c r="AQ2472" s="0" t="n">
        <v>9</v>
      </c>
      <c r="AR2472" s="0" t="n">
        <v>64</v>
      </c>
      <c r="AS2472" s="0" t="n">
        <v>32</v>
      </c>
      <c r="AU2472" s="0" t="n">
        <f aca="false">COUNTA($BA$586:$EH$586)</f>
        <v>1</v>
      </c>
      <c r="AV2472" s="0" t="n">
        <f aca="false">COUNTIF($BA$586:$EH$586,"D")</f>
        <v>0</v>
      </c>
      <c r="AW2472" s="0" t="n">
        <f aca="false">COUNTIF($BA$586:$EH$586,"R")</f>
        <v>0</v>
      </c>
      <c r="AX2472" s="0" t="n">
        <f aca="false"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>0</v>
      </c>
      <c r="AY2472" s="0" t="n">
        <f aca="false">COUNTIF(DU2472:EH2472, "&lt;&gt;")</f>
        <v>0</v>
      </c>
      <c r="AZ2472" s="0" t="n">
        <f aca="false">IF(EH2472&lt;&gt;"",1,0)</f>
        <v>0</v>
      </c>
      <c r="BB2472" s="0" t="s">
        <v>153</v>
      </c>
      <c r="BD2472" s="0" t="s">
        <v>154</v>
      </c>
      <c r="BH2472" s="0" t="s">
        <v>154</v>
      </c>
      <c r="BL2472" s="0" t="s">
        <v>154</v>
      </c>
      <c r="CA2472" s="0" t="s">
        <v>154</v>
      </c>
      <c r="CP2472" s="0" t="s">
        <v>154</v>
      </c>
      <c r="CZ2472" s="0" t="s">
        <v>155</v>
      </c>
      <c r="DC2472" s="0" t="s">
        <v>154</v>
      </c>
      <c r="DN2472" s="0" t="s">
        <v>154</v>
      </c>
    </row>
    <row r="2473" customFormat="false" ht="13.8" hidden="false" customHeight="false" outlineLevel="0" collapsed="false">
      <c r="A2473" s="0" t="s">
        <v>10683</v>
      </c>
      <c r="B2473" s="0" t="n">
        <v>78</v>
      </c>
      <c r="C2473" s="0" t="n">
        <v>275393</v>
      </c>
      <c r="D2473" s="0" t="s">
        <v>1011</v>
      </c>
      <c r="E2473" s="0" t="s">
        <v>8438</v>
      </c>
      <c r="F2473" s="0" t="str">
        <f aca="false">CONCATENATE(D2473," ",LEFT(H2473,4),"T=",AU2473,"D=",AV2473,"R=",AW2473,"M=",AX2473,"L=",AY2473,"B=",AZ2473)</f>
        <v>DAVIS T=27D=8R=2M=0L=2B=0</v>
      </c>
      <c r="G2473" s="0" t="s">
        <v>1693</v>
      </c>
      <c r="I2473" s="0" t="s">
        <v>10684</v>
      </c>
      <c r="J2473" s="0" t="s">
        <v>419</v>
      </c>
      <c r="K2473" s="0" t="s">
        <v>175</v>
      </c>
      <c r="M2473" s="0" t="s">
        <v>10685</v>
      </c>
      <c r="N2473" s="0" t="str">
        <f aca="false">RIGHT(M2473,LEN(M2473)-FIND(" ",M2473))</f>
        <v>SHERIDAN AVE NE</v>
      </c>
      <c r="P2473" s="0" t="s">
        <v>146</v>
      </c>
      <c r="Q2473" s="0" t="s">
        <v>147</v>
      </c>
      <c r="R2473" s="0" t="n">
        <v>44483</v>
      </c>
      <c r="AD2473" s="0" t="s">
        <v>148</v>
      </c>
      <c r="AE2473" s="0" t="s">
        <v>149</v>
      </c>
      <c r="AF2473" s="0" t="s">
        <v>150</v>
      </c>
      <c r="AH2473" s="0" t="n">
        <v>14</v>
      </c>
      <c r="AI2473" s="0" t="n">
        <v>11</v>
      </c>
      <c r="AN2473" s="0" t="s">
        <v>146</v>
      </c>
      <c r="AO2473" s="0" t="s">
        <v>236</v>
      </c>
      <c r="AP2473" s="0" t="s">
        <v>237</v>
      </c>
      <c r="AQ2473" s="0" t="n">
        <v>9</v>
      </c>
      <c r="AR2473" s="0" t="n">
        <v>64</v>
      </c>
      <c r="AS2473" s="0" t="n">
        <v>32</v>
      </c>
      <c r="AU2473" s="0" t="n">
        <f aca="false">COUNTA($BA$683:$EH$683)</f>
        <v>27</v>
      </c>
      <c r="AV2473" s="0" t="n">
        <f aca="false">COUNTIF($BA$683:$EH$683,"D")</f>
        <v>8</v>
      </c>
      <c r="AW2473" s="0" t="n">
        <f aca="false">COUNTIF($BA$683:$EH$683,"R")</f>
        <v>2</v>
      </c>
      <c r="AX2473" s="0" t="n">
        <f aca="false"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>0</v>
      </c>
      <c r="AY2473" s="0" t="n">
        <f aca="false">COUNTIF(DU2473:EH2473, "&lt;&gt;")</f>
        <v>2</v>
      </c>
      <c r="AZ2473" s="0" t="n">
        <f aca="false">IF(EH2473&lt;&gt;"",1,0)</f>
        <v>0</v>
      </c>
      <c r="BB2473" s="0" t="s">
        <v>153</v>
      </c>
      <c r="BJ2473" s="0" t="s">
        <v>154</v>
      </c>
      <c r="BL2473" s="0" t="s">
        <v>154</v>
      </c>
      <c r="BY2473" s="0" t="s">
        <v>155</v>
      </c>
      <c r="CA2473" s="0" t="s">
        <v>154</v>
      </c>
      <c r="CK2473" s="0" t="s">
        <v>154</v>
      </c>
      <c r="DC2473" s="0" t="s">
        <v>154</v>
      </c>
      <c r="DI2473" s="0" t="s">
        <v>154</v>
      </c>
      <c r="DN2473" s="0" t="s">
        <v>154</v>
      </c>
      <c r="DU2473" s="0" t="s">
        <v>154</v>
      </c>
      <c r="EF2473" s="0" t="s">
        <v>154</v>
      </c>
    </row>
    <row r="2474" customFormat="false" ht="13.8" hidden="false" customHeight="false" outlineLevel="0" collapsed="false">
      <c r="A2474" s="0" t="s">
        <v>10686</v>
      </c>
      <c r="B2474" s="0" t="n">
        <v>78</v>
      </c>
      <c r="C2474" s="0" t="n">
        <v>443308</v>
      </c>
      <c r="D2474" s="0" t="s">
        <v>10656</v>
      </c>
      <c r="E2474" s="0" t="s">
        <v>750</v>
      </c>
      <c r="F2474" s="0" t="str">
        <f aca="false">CONCATENATE(D2474," ",LEFT(H2474,4),"T=",AU2474,"D=",AV2474,"R=",AW2474,"M=",AX2474,"L=",AY2474,"B=",AZ2474)</f>
        <v>RUBICZ T=3D=0R=1M=0L=5B=0</v>
      </c>
      <c r="G2474" s="0" t="s">
        <v>10687</v>
      </c>
      <c r="I2474" s="0" t="s">
        <v>10688</v>
      </c>
      <c r="J2474" s="0" t="s">
        <v>8981</v>
      </c>
      <c r="K2474" s="0" t="s">
        <v>175</v>
      </c>
      <c r="L2474" s="1" t="s">
        <v>155</v>
      </c>
      <c r="M2474" s="0" t="s">
        <v>10689</v>
      </c>
      <c r="N2474" s="0" t="str">
        <f aca="false">RIGHT(M2474,LEN(M2474)-FIND(" ",M2474))</f>
        <v>SHERIDAN AVE NE</v>
      </c>
      <c r="P2474" s="0" t="s">
        <v>146</v>
      </c>
      <c r="Q2474" s="0" t="s">
        <v>147</v>
      </c>
      <c r="R2474" s="0" t="n">
        <v>44483</v>
      </c>
      <c r="AD2474" s="0" t="s">
        <v>148</v>
      </c>
      <c r="AE2474" s="0" t="s">
        <v>149</v>
      </c>
      <c r="AF2474" s="0" t="s">
        <v>150</v>
      </c>
      <c r="AH2474" s="0" t="n">
        <v>14</v>
      </c>
      <c r="AI2474" s="0" t="n">
        <v>11</v>
      </c>
      <c r="AN2474" s="0" t="s">
        <v>146</v>
      </c>
      <c r="AO2474" s="0" t="s">
        <v>236</v>
      </c>
      <c r="AP2474" s="0" t="s">
        <v>237</v>
      </c>
      <c r="AQ2474" s="0" t="n">
        <v>9</v>
      </c>
      <c r="AR2474" s="0" t="n">
        <v>64</v>
      </c>
      <c r="AS2474" s="0" t="n">
        <v>32</v>
      </c>
      <c r="AU2474" s="0" t="n">
        <f aca="false">COUNTA($BA$423:$EH$423)</f>
        <v>3</v>
      </c>
      <c r="AV2474" s="0" t="n">
        <f aca="false">COUNTIF($BA$423:$EH$423,"D")</f>
        <v>0</v>
      </c>
      <c r="AW2474" s="0" t="n">
        <f aca="false">COUNTIF($BA$423:$EH$423,"R")</f>
        <v>1</v>
      </c>
      <c r="AX2474" s="0" t="n">
        <f aca="false"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>0</v>
      </c>
      <c r="AY2474" s="0" t="n">
        <f aca="false">COUNTIF(DU2474:EH2474, "&lt;&gt;")</f>
        <v>5</v>
      </c>
      <c r="AZ2474" s="0" t="n">
        <f aca="false">IF(EH2474&lt;&gt;"",1,0)</f>
        <v>0</v>
      </c>
      <c r="BB2474" s="0" t="s">
        <v>153</v>
      </c>
      <c r="BC2474" s="0" t="s">
        <v>154</v>
      </c>
      <c r="BD2474" s="0" t="s">
        <v>154</v>
      </c>
      <c r="BE2474" s="0" t="s">
        <v>154</v>
      </c>
      <c r="BF2474" s="0" t="s">
        <v>154</v>
      </c>
      <c r="BG2474" s="0" t="s">
        <v>154</v>
      </c>
      <c r="BH2474" s="0" t="s">
        <v>154</v>
      </c>
      <c r="BI2474" s="0" t="s">
        <v>154</v>
      </c>
      <c r="BJ2474" s="0" t="s">
        <v>154</v>
      </c>
      <c r="BK2474" s="0" t="s">
        <v>154</v>
      </c>
      <c r="BL2474" s="0" t="s">
        <v>154</v>
      </c>
      <c r="BP2474" s="0" t="s">
        <v>154</v>
      </c>
      <c r="BS2474" s="0" t="s">
        <v>154</v>
      </c>
      <c r="BY2474" s="0" t="s">
        <v>155</v>
      </c>
      <c r="CA2474" s="0" t="s">
        <v>154</v>
      </c>
      <c r="CG2474" s="0" t="s">
        <v>154</v>
      </c>
      <c r="CH2474" s="0" t="s">
        <v>155</v>
      </c>
      <c r="CJ2474" s="0" t="s">
        <v>155</v>
      </c>
      <c r="CK2474" s="0" t="s">
        <v>154</v>
      </c>
      <c r="CN2474" s="0" t="s">
        <v>154</v>
      </c>
      <c r="CO2474" s="0" t="s">
        <v>155</v>
      </c>
      <c r="CP2474" s="0" t="s">
        <v>154</v>
      </c>
      <c r="CT2474" s="0" t="s">
        <v>154</v>
      </c>
      <c r="CU2474" s="0" t="s">
        <v>155</v>
      </c>
      <c r="CV2474" s="0" t="s">
        <v>154</v>
      </c>
      <c r="CW2474" s="0" t="s">
        <v>154</v>
      </c>
      <c r="CY2474" s="0" t="s">
        <v>154</v>
      </c>
      <c r="CZ2474" s="0" t="s">
        <v>155</v>
      </c>
      <c r="DC2474" s="0" t="s">
        <v>154</v>
      </c>
      <c r="DG2474" s="0" t="s">
        <v>155</v>
      </c>
      <c r="DI2474" s="0" t="s">
        <v>154</v>
      </c>
      <c r="DN2474" s="0" t="s">
        <v>154</v>
      </c>
      <c r="DS2474" s="0" t="s">
        <v>155</v>
      </c>
      <c r="DU2474" s="0" t="s">
        <v>154</v>
      </c>
      <c r="DX2474" s="0" t="s">
        <v>154</v>
      </c>
      <c r="EA2474" s="0" t="s">
        <v>154</v>
      </c>
      <c r="ED2474" s="0" t="s">
        <v>155</v>
      </c>
      <c r="EF2474" s="0" t="s">
        <v>154</v>
      </c>
    </row>
    <row r="2475" customFormat="false" ht="13.8" hidden="false" customHeight="false" outlineLevel="0" collapsed="false">
      <c r="A2475" s="0" t="s">
        <v>10690</v>
      </c>
      <c r="B2475" s="0" t="n">
        <v>78</v>
      </c>
      <c r="C2475" s="0" t="n">
        <v>306760</v>
      </c>
      <c r="D2475" s="0" t="s">
        <v>10691</v>
      </c>
      <c r="E2475" s="0" t="s">
        <v>10692</v>
      </c>
      <c r="F2475" s="0" t="str">
        <f aca="false">CONCATENATE(D2475," ",LEFT(H2475,4),"T=",AU2475,"D=",AV2475,"R=",AW2475,"M=",AX2475,"L=",AY2475,"B=",AZ2475)</f>
        <v>PAXOS T=13D=3R=0M=3L=6B=0</v>
      </c>
      <c r="I2475" s="0" t="s">
        <v>10693</v>
      </c>
      <c r="J2475" s="0" t="s">
        <v>10694</v>
      </c>
      <c r="K2475" s="0" t="s">
        <v>175</v>
      </c>
      <c r="L2475" s="1" t="s">
        <v>155</v>
      </c>
      <c r="M2475" s="0" t="s">
        <v>10695</v>
      </c>
      <c r="N2475" s="0" t="str">
        <f aca="false">RIGHT(M2475,LEN(M2475)-FIND(" ",M2475))</f>
        <v>SHERIDAN AVE NE</v>
      </c>
      <c r="P2475" s="0" t="s">
        <v>146</v>
      </c>
      <c r="Q2475" s="0" t="s">
        <v>147</v>
      </c>
      <c r="R2475" s="0" t="n">
        <v>44483</v>
      </c>
      <c r="AD2475" s="0" t="s">
        <v>148</v>
      </c>
      <c r="AE2475" s="0" t="s">
        <v>149</v>
      </c>
      <c r="AF2475" s="0" t="s">
        <v>150</v>
      </c>
      <c r="AH2475" s="0" t="n">
        <v>14</v>
      </c>
      <c r="AI2475" s="0" t="n">
        <v>11</v>
      </c>
      <c r="AN2475" s="0" t="s">
        <v>146</v>
      </c>
      <c r="AO2475" s="0" t="s">
        <v>236</v>
      </c>
      <c r="AP2475" s="0" t="s">
        <v>237</v>
      </c>
      <c r="AQ2475" s="0" t="n">
        <v>9</v>
      </c>
      <c r="AR2475" s="0" t="n">
        <v>64</v>
      </c>
      <c r="AS2475" s="0" t="n">
        <v>32</v>
      </c>
      <c r="AU2475" s="0" t="n">
        <f aca="false">COUNTA($BA$719:$EH$719)</f>
        <v>13</v>
      </c>
      <c r="AV2475" s="0" t="n">
        <f aca="false">COUNTIF($BA$719:$EH$719,"D")</f>
        <v>3</v>
      </c>
      <c r="AW2475" s="0" t="n">
        <f aca="false">COUNTIF($BA$719:$EH$719,"R")</f>
        <v>0</v>
      </c>
      <c r="AX2475" s="0" t="n">
        <f aca="false"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>3</v>
      </c>
      <c r="AY2475" s="0" t="n">
        <f aca="false">COUNTIF(DU2475:EH2475, "&lt;&gt;")</f>
        <v>6</v>
      </c>
      <c r="AZ2475" s="0" t="n">
        <f aca="false">IF(EH2475&lt;&gt;"",1,0)</f>
        <v>0</v>
      </c>
      <c r="BB2475" s="0" t="s">
        <v>153</v>
      </c>
      <c r="BG2475" s="0" t="s">
        <v>154</v>
      </c>
      <c r="BH2475" s="0" t="s">
        <v>154</v>
      </c>
      <c r="BI2475" s="0" t="s">
        <v>154</v>
      </c>
      <c r="BJ2475" s="0" t="s">
        <v>154</v>
      </c>
      <c r="BK2475" s="0" t="s">
        <v>154</v>
      </c>
      <c r="BL2475" s="0" t="s">
        <v>154</v>
      </c>
      <c r="BR2475" s="0" t="s">
        <v>154</v>
      </c>
      <c r="BS2475" s="0" t="s">
        <v>154</v>
      </c>
      <c r="CP2475" s="0" t="s">
        <v>154</v>
      </c>
      <c r="CQ2475" s="0" t="s">
        <v>155</v>
      </c>
      <c r="CT2475" s="0" t="s">
        <v>154</v>
      </c>
      <c r="CU2475" s="0" t="s">
        <v>155</v>
      </c>
      <c r="CV2475" s="0" t="s">
        <v>154</v>
      </c>
      <c r="CY2475" s="0" t="s">
        <v>154</v>
      </c>
      <c r="CZ2475" s="0" t="s">
        <v>155</v>
      </c>
      <c r="DC2475" s="0" t="s">
        <v>154</v>
      </c>
      <c r="DF2475" s="0" t="s">
        <v>154</v>
      </c>
      <c r="DG2475" s="0" t="s">
        <v>155</v>
      </c>
      <c r="DJ2475" s="0" t="s">
        <v>155</v>
      </c>
      <c r="DN2475" s="0" t="s">
        <v>154</v>
      </c>
      <c r="DR2475" s="0" t="s">
        <v>154</v>
      </c>
      <c r="DS2475" s="0" t="s">
        <v>155</v>
      </c>
      <c r="DT2475" s="0" t="s">
        <v>155</v>
      </c>
      <c r="DU2475" s="0" t="s">
        <v>154</v>
      </c>
      <c r="DW2475" s="0" t="s">
        <v>155</v>
      </c>
      <c r="DX2475" s="0" t="s">
        <v>154</v>
      </c>
      <c r="EA2475" s="0" t="s">
        <v>154</v>
      </c>
      <c r="ED2475" s="0" t="s">
        <v>155</v>
      </c>
      <c r="EF2475" s="0" t="s">
        <v>154</v>
      </c>
    </row>
    <row r="2476" customFormat="false" ht="13.8" hidden="false" customHeight="false" outlineLevel="0" collapsed="false">
      <c r="A2476" s="0" t="s">
        <v>10696</v>
      </c>
      <c r="B2476" s="0" t="n">
        <v>78</v>
      </c>
      <c r="C2476" s="0" t="n">
        <v>391680</v>
      </c>
      <c r="D2476" s="0" t="s">
        <v>10697</v>
      </c>
      <c r="E2476" s="0" t="s">
        <v>10698</v>
      </c>
      <c r="F2476" s="0" t="str">
        <f aca="false">CONCATENATE(D2476," ",LEFT(H2476,4),"T=",AU2476,"D=",AV2476,"R=",AW2476,"M=",AX2476,"L=",AY2476,"B=",AZ2476)</f>
        <v>MCGHEE T=19D=1R=1M=1L=3B=0</v>
      </c>
      <c r="I2476" s="0" t="s">
        <v>10699</v>
      </c>
      <c r="J2476" s="0" t="s">
        <v>10694</v>
      </c>
      <c r="K2476" s="0" t="s">
        <v>175</v>
      </c>
      <c r="M2476" s="0" t="s">
        <v>10695</v>
      </c>
      <c r="N2476" s="0" t="str">
        <f aca="false">RIGHT(M2476,LEN(M2476)-FIND(" ",M2476))</f>
        <v>SHERIDAN AVE NE</v>
      </c>
      <c r="P2476" s="0" t="s">
        <v>146</v>
      </c>
      <c r="Q2476" s="0" t="s">
        <v>147</v>
      </c>
      <c r="R2476" s="0" t="n">
        <v>44483</v>
      </c>
      <c r="AD2476" s="0" t="s">
        <v>148</v>
      </c>
      <c r="AE2476" s="0" t="s">
        <v>149</v>
      </c>
      <c r="AF2476" s="0" t="s">
        <v>150</v>
      </c>
      <c r="AH2476" s="0" t="n">
        <v>14</v>
      </c>
      <c r="AI2476" s="0" t="n">
        <v>11</v>
      </c>
      <c r="AN2476" s="0" t="s">
        <v>146</v>
      </c>
      <c r="AO2476" s="0" t="s">
        <v>236</v>
      </c>
      <c r="AP2476" s="0" t="s">
        <v>237</v>
      </c>
      <c r="AQ2476" s="0" t="n">
        <v>9</v>
      </c>
      <c r="AR2476" s="0" t="n">
        <v>64</v>
      </c>
      <c r="AS2476" s="0" t="n">
        <v>32</v>
      </c>
      <c r="AU2476" s="0" t="n">
        <f aca="false">COUNTA($BA$720:$EH$720)</f>
        <v>19</v>
      </c>
      <c r="AV2476" s="0" t="n">
        <f aca="false">COUNTIF($BA$720:$EH$720,"D")</f>
        <v>1</v>
      </c>
      <c r="AW2476" s="0" t="n">
        <f aca="false">COUNTIF($BA$720:$EH$720,"R")</f>
        <v>1</v>
      </c>
      <c r="AX2476" s="0" t="n">
        <f aca="false"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>1</v>
      </c>
      <c r="AY2476" s="0" t="n">
        <f aca="false">COUNTIF(DU2476:EH2476, "&lt;&gt;")</f>
        <v>3</v>
      </c>
      <c r="AZ2476" s="0" t="n">
        <f aca="false">IF(EH2476&lt;&gt;"",1,0)</f>
        <v>0</v>
      </c>
      <c r="BB2476" s="0" t="s">
        <v>153</v>
      </c>
      <c r="CP2476" s="0" t="s">
        <v>154</v>
      </c>
      <c r="CQ2476" s="0" t="s">
        <v>155</v>
      </c>
      <c r="CT2476" s="0" t="s">
        <v>154</v>
      </c>
      <c r="CU2476" s="0" t="s">
        <v>155</v>
      </c>
      <c r="CV2476" s="0" t="s">
        <v>154</v>
      </c>
      <c r="CY2476" s="0" t="s">
        <v>154</v>
      </c>
      <c r="DC2476" s="0" t="s">
        <v>154</v>
      </c>
      <c r="DN2476" s="0" t="s">
        <v>154</v>
      </c>
      <c r="DX2476" s="0" t="s">
        <v>154</v>
      </c>
      <c r="EA2476" s="0" t="s">
        <v>154</v>
      </c>
      <c r="EF2476" s="0" t="s">
        <v>154</v>
      </c>
    </row>
    <row r="2477" customFormat="false" ht="13.8" hidden="true" customHeight="false" outlineLevel="0" collapsed="false">
      <c r="A2477" s="0" t="s">
        <v>10700</v>
      </c>
      <c r="B2477" s="0" t="n">
        <v>78</v>
      </c>
      <c r="C2477" s="0" t="n">
        <v>442208</v>
      </c>
      <c r="D2477" s="0" t="s">
        <v>10697</v>
      </c>
      <c r="E2477" s="0" t="s">
        <v>10203</v>
      </c>
      <c r="F2477" s="0" t="str">
        <f aca="false">CONCATENATE(D2477," ",LEFT(H2477,4),"T=",AU2477,"D=",AV2477,"R=",AW2477,"M=",AX2477,"L=",AY2477,"B=",AZ2477)</f>
        <v>MCGHEE T=16D=1R=1M=0L=0B=0</v>
      </c>
      <c r="G2477" s="0" t="s">
        <v>241</v>
      </c>
      <c r="I2477" s="0" t="s">
        <v>10701</v>
      </c>
      <c r="J2477" s="0" t="s">
        <v>2793</v>
      </c>
      <c r="K2477" s="0" t="s">
        <v>175</v>
      </c>
      <c r="L2477" s="0"/>
      <c r="M2477" s="0" t="s">
        <v>10695</v>
      </c>
      <c r="N2477" s="0" t="str">
        <f aca="false">RIGHT(M2477,LEN(M2477)-FIND(" ",M2477))</f>
        <v>SHERIDAN AVE NE</v>
      </c>
      <c r="P2477" s="0" t="s">
        <v>146</v>
      </c>
      <c r="Q2477" s="0" t="s">
        <v>147</v>
      </c>
      <c r="R2477" s="0" t="n">
        <v>44483</v>
      </c>
      <c r="AD2477" s="0" t="s">
        <v>148</v>
      </c>
      <c r="AE2477" s="0" t="s">
        <v>149</v>
      </c>
      <c r="AF2477" s="0" t="s">
        <v>150</v>
      </c>
      <c r="AH2477" s="0" t="n">
        <v>14</v>
      </c>
      <c r="AI2477" s="0" t="n">
        <v>11</v>
      </c>
      <c r="AN2477" s="0" t="s">
        <v>146</v>
      </c>
      <c r="AO2477" s="0" t="s">
        <v>236</v>
      </c>
      <c r="AP2477" s="0" t="s">
        <v>237</v>
      </c>
      <c r="AQ2477" s="0" t="n">
        <v>9</v>
      </c>
      <c r="AR2477" s="0" t="n">
        <v>64</v>
      </c>
      <c r="AS2477" s="0" t="n">
        <v>32</v>
      </c>
      <c r="AU2477" s="0" t="n">
        <f aca="false">COUNTA($BA$993:$EH$993)</f>
        <v>16</v>
      </c>
      <c r="AV2477" s="0" t="n">
        <f aca="false">COUNTIF($BA$993:$EH$993,"D")</f>
        <v>1</v>
      </c>
      <c r="AW2477" s="0" t="n">
        <f aca="false">COUNTIF($BA$993:$EH$993,"R")</f>
        <v>1</v>
      </c>
      <c r="AX2477" s="0" t="n">
        <f aca="false"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>0</v>
      </c>
      <c r="AY2477" s="0" t="n">
        <f aca="false">COUNTIF(DU2477:EH2477, "&lt;&gt;")</f>
        <v>0</v>
      </c>
      <c r="AZ2477" s="0" t="n">
        <f aca="false">IF(EH2477&lt;&gt;"",1,0)</f>
        <v>0</v>
      </c>
      <c r="BB2477" s="0" t="s">
        <v>153</v>
      </c>
      <c r="DN2477" s="0" t="s">
        <v>154</v>
      </c>
    </row>
    <row r="2478" customFormat="false" ht="13.8" hidden="true" customHeight="false" outlineLevel="0" collapsed="false">
      <c r="A2478" s="0" t="s">
        <v>10702</v>
      </c>
      <c r="B2478" s="0" t="n">
        <v>78</v>
      </c>
      <c r="C2478" s="0" t="n">
        <v>382104</v>
      </c>
      <c r="D2478" s="0" t="s">
        <v>4194</v>
      </c>
      <c r="E2478" s="0" t="s">
        <v>10703</v>
      </c>
      <c r="F2478" s="0" t="str">
        <f aca="false">CONCATENATE(D2478," ",LEFT(H2478,4),"T=",AU2478,"D=",AV2478,"R=",AW2478,"M=",AX2478,"L=",AY2478,"B=",AZ2478)</f>
        <v>HUGHES T=1D=0R=0M=0L=0B=0</v>
      </c>
      <c r="G2478" s="0" t="s">
        <v>690</v>
      </c>
      <c r="I2478" s="0" t="s">
        <v>10704</v>
      </c>
      <c r="J2478" s="0" t="s">
        <v>1256</v>
      </c>
      <c r="K2478" s="0" t="s">
        <v>144</v>
      </c>
      <c r="L2478" s="0"/>
      <c r="M2478" s="0" t="s">
        <v>10705</v>
      </c>
      <c r="N2478" s="0" t="str">
        <f aca="false">RIGHT(M2478,LEN(M2478)-FIND(" ",M2478))</f>
        <v>SHERIDAN AVE NE</v>
      </c>
      <c r="P2478" s="0" t="s">
        <v>146</v>
      </c>
      <c r="Q2478" s="0" t="s">
        <v>147</v>
      </c>
      <c r="R2478" s="0" t="n">
        <v>44483</v>
      </c>
      <c r="AD2478" s="0" t="s">
        <v>148</v>
      </c>
      <c r="AE2478" s="0" t="s">
        <v>149</v>
      </c>
      <c r="AF2478" s="0" t="s">
        <v>150</v>
      </c>
      <c r="AH2478" s="0" t="n">
        <v>14</v>
      </c>
      <c r="AI2478" s="0" t="n">
        <v>11</v>
      </c>
      <c r="AN2478" s="0" t="s">
        <v>146</v>
      </c>
      <c r="AO2478" s="0" t="s">
        <v>236</v>
      </c>
      <c r="AP2478" s="0" t="s">
        <v>237</v>
      </c>
      <c r="AQ2478" s="0" t="n">
        <v>9</v>
      </c>
      <c r="AR2478" s="0" t="n">
        <v>64</v>
      </c>
      <c r="AS2478" s="0" t="n">
        <v>32</v>
      </c>
      <c r="AU2478" s="0" t="n">
        <f aca="false">COUNTA($BA$185:$EH$185)</f>
        <v>1</v>
      </c>
      <c r="AV2478" s="0" t="n">
        <f aca="false">COUNTIF($BA$185:$EH$185,"D")</f>
        <v>0</v>
      </c>
      <c r="AW2478" s="0" t="n">
        <f aca="false">COUNTIF($BA$185:$EH$185,"R")</f>
        <v>0</v>
      </c>
      <c r="AX2478" s="0" t="n">
        <f aca="false"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>0</v>
      </c>
      <c r="AY2478" s="0" t="n">
        <f aca="false">COUNTIF(DU2478:EH2478, "&lt;&gt;")</f>
        <v>0</v>
      </c>
      <c r="AZ2478" s="0" t="n">
        <f aca="false">IF(EH2478&lt;&gt;"",1,0)</f>
        <v>0</v>
      </c>
      <c r="BB2478" s="0" t="s">
        <v>153</v>
      </c>
    </row>
    <row r="2479" customFormat="false" ht="13.8" hidden="true" customHeight="false" outlineLevel="0" collapsed="false">
      <c r="A2479" s="0" t="s">
        <v>10706</v>
      </c>
      <c r="B2479" s="0" t="n">
        <v>78</v>
      </c>
      <c r="C2479" s="0" t="n">
        <v>487731</v>
      </c>
      <c r="D2479" s="0" t="s">
        <v>1491</v>
      </c>
      <c r="E2479" s="0" t="s">
        <v>231</v>
      </c>
      <c r="F2479" s="0" t="str">
        <f aca="false">CONCATENATE(D2479," ",LEFT(H2479,4),"T=",AU2479,"D=",AV2479,"R=",AW2479,"M=",AX2479,"L=",AY2479,"B=",AZ2479)</f>
        <v>WILLIAMSON T=1D=0R=0M=0L=0B=0</v>
      </c>
      <c r="G2479" s="0" t="s">
        <v>172</v>
      </c>
      <c r="I2479" s="0" t="s">
        <v>10707</v>
      </c>
      <c r="J2479" s="0" t="s">
        <v>1030</v>
      </c>
      <c r="K2479" s="0" t="s">
        <v>175</v>
      </c>
      <c r="L2479" s="0"/>
      <c r="M2479" s="0" t="s">
        <v>10705</v>
      </c>
      <c r="N2479" s="0" t="str">
        <f aca="false">RIGHT(M2479,LEN(M2479)-FIND(" ",M2479))</f>
        <v>SHERIDAN AVE NE</v>
      </c>
      <c r="P2479" s="0" t="s">
        <v>146</v>
      </c>
      <c r="Q2479" s="0" t="s">
        <v>147</v>
      </c>
      <c r="R2479" s="0" t="n">
        <v>44483</v>
      </c>
      <c r="AD2479" s="0" t="s">
        <v>148</v>
      </c>
      <c r="AE2479" s="0" t="s">
        <v>149</v>
      </c>
      <c r="AF2479" s="0" t="s">
        <v>150</v>
      </c>
      <c r="AH2479" s="0" t="n">
        <v>14</v>
      </c>
      <c r="AI2479" s="0" t="n">
        <v>11</v>
      </c>
      <c r="AN2479" s="0" t="s">
        <v>146</v>
      </c>
      <c r="AO2479" s="0" t="s">
        <v>236</v>
      </c>
      <c r="AP2479" s="0" t="s">
        <v>237</v>
      </c>
      <c r="AQ2479" s="0" t="n">
        <v>9</v>
      </c>
      <c r="AR2479" s="0" t="n">
        <v>64</v>
      </c>
      <c r="AS2479" s="0" t="n">
        <v>32</v>
      </c>
      <c r="AU2479" s="0" t="n">
        <f aca="false">COUNTA($BA$244:$EH$244)</f>
        <v>1</v>
      </c>
      <c r="AV2479" s="0" t="n">
        <f aca="false">COUNTIF($BA$244:$EH$244,"D")</f>
        <v>0</v>
      </c>
      <c r="AW2479" s="0" t="n">
        <f aca="false">COUNTIF($BA$244:$EH$244,"R")</f>
        <v>0</v>
      </c>
      <c r="AX2479" s="0" t="n">
        <f aca="false"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>0</v>
      </c>
      <c r="AY2479" s="0" t="n">
        <f aca="false">COUNTIF(DU2479:EH2479, "&lt;&gt;")</f>
        <v>0</v>
      </c>
      <c r="AZ2479" s="0" t="n">
        <f aca="false">IF(EH2479&lt;&gt;"",1,0)</f>
        <v>0</v>
      </c>
      <c r="BB2479" s="0" t="s">
        <v>153</v>
      </c>
    </row>
    <row r="2480" customFormat="false" ht="13.8" hidden="true" customHeight="false" outlineLevel="0" collapsed="false">
      <c r="A2480" s="0" t="s">
        <v>10708</v>
      </c>
      <c r="B2480" s="0" t="n">
        <v>78</v>
      </c>
      <c r="C2480" s="0" t="n">
        <v>345954</v>
      </c>
      <c r="D2480" s="0" t="s">
        <v>3276</v>
      </c>
      <c r="E2480" s="0" t="s">
        <v>10709</v>
      </c>
      <c r="F2480" s="0" t="str">
        <f aca="false">CONCATENATE(D2480," ",LEFT(H2480,4),"T=",AU2480,"D=",AV2480,"R=",AW2480,"M=",AX2480,"L=",AY2480,"B=",AZ2480)</f>
        <v>MOORE T=13D=3R=0M=0L=1B=0</v>
      </c>
      <c r="G2480" s="0" t="s">
        <v>297</v>
      </c>
      <c r="I2480" s="0" t="s">
        <v>10710</v>
      </c>
      <c r="J2480" s="0" t="s">
        <v>504</v>
      </c>
      <c r="K2480" s="0" t="s">
        <v>175</v>
      </c>
      <c r="L2480" s="0"/>
      <c r="M2480" s="0" t="s">
        <v>10705</v>
      </c>
      <c r="N2480" s="0" t="str">
        <f aca="false">RIGHT(M2480,LEN(M2480)-FIND(" ",M2480))</f>
        <v>SHERIDAN AVE NE</v>
      </c>
      <c r="P2480" s="0" t="s">
        <v>146</v>
      </c>
      <c r="Q2480" s="0" t="s">
        <v>147</v>
      </c>
      <c r="R2480" s="0" t="n">
        <v>44483</v>
      </c>
      <c r="AD2480" s="0" t="s">
        <v>148</v>
      </c>
      <c r="AE2480" s="0" t="s">
        <v>149</v>
      </c>
      <c r="AF2480" s="0" t="s">
        <v>150</v>
      </c>
      <c r="AH2480" s="0" t="n">
        <v>14</v>
      </c>
      <c r="AI2480" s="0" t="n">
        <v>11</v>
      </c>
      <c r="AN2480" s="0" t="s">
        <v>146</v>
      </c>
      <c r="AO2480" s="0" t="s">
        <v>236</v>
      </c>
      <c r="AP2480" s="0" t="s">
        <v>237</v>
      </c>
      <c r="AQ2480" s="0" t="n">
        <v>9</v>
      </c>
      <c r="AR2480" s="0" t="n">
        <v>64</v>
      </c>
      <c r="AS2480" s="0" t="n">
        <v>32</v>
      </c>
      <c r="AU2480" s="0" t="n">
        <f aca="false">COUNTA($BA$500:$EH$500)</f>
        <v>13</v>
      </c>
      <c r="AV2480" s="0" t="n">
        <f aca="false">COUNTIF($BA$500:$EH$500,"D")</f>
        <v>3</v>
      </c>
      <c r="AW2480" s="0" t="n">
        <f aca="false">COUNTIF($BA$500:$EH$500,"R")</f>
        <v>0</v>
      </c>
      <c r="AX2480" s="0" t="n">
        <f aca="false"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>0</v>
      </c>
      <c r="AY2480" s="0" t="n">
        <f aca="false">COUNTIF(DU2480:EH2480, "&lt;&gt;")</f>
        <v>1</v>
      </c>
      <c r="AZ2480" s="0" t="n">
        <f aca="false">IF(EH2480&lt;&gt;"",1,0)</f>
        <v>0</v>
      </c>
      <c r="BB2480" s="0" t="s">
        <v>153</v>
      </c>
      <c r="BY2480" s="0" t="s">
        <v>155</v>
      </c>
      <c r="CA2480" s="0" t="s">
        <v>154</v>
      </c>
      <c r="CK2480" s="0" t="s">
        <v>154</v>
      </c>
      <c r="CN2480" s="0" t="s">
        <v>154</v>
      </c>
      <c r="CP2480" s="0" t="s">
        <v>154</v>
      </c>
      <c r="CV2480" s="0" t="s">
        <v>154</v>
      </c>
      <c r="CZ2480" s="0" t="s">
        <v>155</v>
      </c>
      <c r="DC2480" s="0" t="s">
        <v>154</v>
      </c>
      <c r="DI2480" s="0" t="s">
        <v>154</v>
      </c>
      <c r="DN2480" s="0" t="s">
        <v>154</v>
      </c>
      <c r="EF2480" s="0" t="s">
        <v>154</v>
      </c>
    </row>
    <row r="2481" customFormat="false" ht="13.8" hidden="true" customHeight="false" outlineLevel="0" collapsed="false">
      <c r="A2481" s="0" t="s">
        <v>10711</v>
      </c>
      <c r="B2481" s="0" t="n">
        <v>78</v>
      </c>
      <c r="C2481" s="0" t="n">
        <v>386098</v>
      </c>
      <c r="D2481" s="0" t="s">
        <v>10712</v>
      </c>
      <c r="E2481" s="0" t="s">
        <v>10713</v>
      </c>
      <c r="F2481" s="0" t="str">
        <f aca="false">CONCATENATE(D2481," ",LEFT(H2481,4),"T=",AU2481,"D=",AV2481,"R=",AW2481,"M=",AX2481,"L=",AY2481,"B=",AZ2481)</f>
        <v>KIRKLAND T=18D=5R=0M=0L=0B=0</v>
      </c>
      <c r="G2481" s="0" t="s">
        <v>10714</v>
      </c>
      <c r="I2481" s="0" t="s">
        <v>10715</v>
      </c>
      <c r="J2481" s="0" t="s">
        <v>10716</v>
      </c>
      <c r="K2481" s="0" t="s">
        <v>144</v>
      </c>
      <c r="L2481" s="0"/>
      <c r="M2481" s="0" t="s">
        <v>10717</v>
      </c>
      <c r="N2481" s="0" t="str">
        <f aca="false">RIGHT(M2481,LEN(M2481)-FIND(" ",M2481))</f>
        <v>SHERIDAN AVE NE</v>
      </c>
      <c r="P2481" s="0" t="s">
        <v>146</v>
      </c>
      <c r="Q2481" s="0" t="s">
        <v>147</v>
      </c>
      <c r="R2481" s="0" t="n">
        <v>44483</v>
      </c>
      <c r="AD2481" s="0" t="s">
        <v>148</v>
      </c>
      <c r="AE2481" s="0" t="s">
        <v>149</v>
      </c>
      <c r="AF2481" s="0" t="s">
        <v>150</v>
      </c>
      <c r="AH2481" s="0" t="n">
        <v>14</v>
      </c>
      <c r="AI2481" s="0" t="n">
        <v>11</v>
      </c>
      <c r="AN2481" s="0" t="s">
        <v>146</v>
      </c>
      <c r="AO2481" s="0" t="s">
        <v>236</v>
      </c>
      <c r="AP2481" s="0" t="s">
        <v>237</v>
      </c>
      <c r="AQ2481" s="0" t="n">
        <v>9</v>
      </c>
      <c r="AR2481" s="0" t="n">
        <v>64</v>
      </c>
      <c r="AS2481" s="0" t="n">
        <v>32</v>
      </c>
      <c r="AU2481" s="0" t="n">
        <f aca="false">COUNTA($BA$188:$EH$188)</f>
        <v>18</v>
      </c>
      <c r="AV2481" s="0" t="n">
        <f aca="false">COUNTIF($BA$188:$EH$188,"D")</f>
        <v>5</v>
      </c>
      <c r="AW2481" s="0" t="n">
        <f aca="false">COUNTIF($BA$188:$EH$188,"R")</f>
        <v>0</v>
      </c>
      <c r="AX2481" s="0" t="n">
        <f aca="false"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>0</v>
      </c>
      <c r="AY2481" s="0" t="n">
        <f aca="false">COUNTIF(DU2481:EH2481, "&lt;&gt;")</f>
        <v>0</v>
      </c>
      <c r="AZ2481" s="0" t="n">
        <f aca="false">IF(EH2481&lt;&gt;"",1,0)</f>
        <v>0</v>
      </c>
      <c r="BB2481" s="0" t="s">
        <v>153</v>
      </c>
      <c r="CP2481" s="0" t="s">
        <v>154</v>
      </c>
      <c r="DI2481" s="0" t="s">
        <v>154</v>
      </c>
      <c r="DN2481" s="0" t="s">
        <v>154</v>
      </c>
    </row>
    <row r="2482" customFormat="false" ht="13.8" hidden="true" customHeight="false" outlineLevel="0" collapsed="false">
      <c r="A2482" s="0" t="s">
        <v>10718</v>
      </c>
      <c r="B2482" s="0" t="n">
        <v>78</v>
      </c>
      <c r="C2482" s="0" t="n">
        <v>475879</v>
      </c>
      <c r="D2482" s="0" t="s">
        <v>1634</v>
      </c>
      <c r="E2482" s="0" t="s">
        <v>3161</v>
      </c>
      <c r="F2482" s="0" t="str">
        <f aca="false">CONCATENATE(D2482," ",LEFT(H2482,4),"T=",AU2482,"D=",AV2482,"R=",AW2482,"M=",AX2482,"L=",AY2482,"B=",AZ2482)</f>
        <v>BENSON T=6D=1R=0M=0L=0B=0</v>
      </c>
      <c r="G2482" s="0" t="s">
        <v>10719</v>
      </c>
      <c r="I2482" s="0" t="s">
        <v>10720</v>
      </c>
      <c r="J2482" s="0" t="s">
        <v>488</v>
      </c>
      <c r="K2482" s="0" t="s">
        <v>175</v>
      </c>
      <c r="L2482" s="0"/>
      <c r="M2482" s="0" t="s">
        <v>10717</v>
      </c>
      <c r="N2482" s="0" t="str">
        <f aca="false">RIGHT(M2482,LEN(M2482)-FIND(" ",M2482))</f>
        <v>SHERIDAN AVE NE</v>
      </c>
      <c r="P2482" s="0" t="s">
        <v>146</v>
      </c>
      <c r="Q2482" s="0" t="s">
        <v>147</v>
      </c>
      <c r="R2482" s="0" t="n">
        <v>44483</v>
      </c>
      <c r="AD2482" s="0" t="s">
        <v>148</v>
      </c>
      <c r="AE2482" s="0" t="s">
        <v>149</v>
      </c>
      <c r="AF2482" s="0" t="s">
        <v>150</v>
      </c>
      <c r="AH2482" s="0" t="n">
        <v>14</v>
      </c>
      <c r="AI2482" s="0" t="n">
        <v>11</v>
      </c>
      <c r="AN2482" s="0" t="s">
        <v>146</v>
      </c>
      <c r="AO2482" s="0" t="s">
        <v>236</v>
      </c>
      <c r="AP2482" s="0" t="s">
        <v>237</v>
      </c>
      <c r="AQ2482" s="0" t="n">
        <v>9</v>
      </c>
      <c r="AR2482" s="0" t="n">
        <v>64</v>
      </c>
      <c r="AS2482" s="0" t="n">
        <v>32</v>
      </c>
      <c r="AU2482" s="0" t="n">
        <f aca="false">COUNTA($BA$542:$EH$542)</f>
        <v>6</v>
      </c>
      <c r="AV2482" s="0" t="n">
        <f aca="false">COUNTIF($BA$542:$EH$542,"D")</f>
        <v>1</v>
      </c>
      <c r="AW2482" s="0" t="n">
        <f aca="false">COUNTIF($BA$542:$EH$542,"R")</f>
        <v>0</v>
      </c>
      <c r="AX2482" s="0" t="n">
        <f aca="false"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>0</v>
      </c>
      <c r="AY2482" s="0" t="n">
        <f aca="false">COUNTIF(DU2482:EH2482, "&lt;&gt;")</f>
        <v>0</v>
      </c>
      <c r="AZ2482" s="0" t="n">
        <f aca="false">IF(EH2482&lt;&gt;"",1,0)</f>
        <v>0</v>
      </c>
      <c r="BB2482" s="0" t="s">
        <v>153</v>
      </c>
    </row>
    <row r="2483" customFormat="false" ht="13.8" hidden="false" customHeight="false" outlineLevel="0" collapsed="false">
      <c r="A2483" s="0" t="s">
        <v>10721</v>
      </c>
      <c r="B2483" s="0" t="n">
        <v>78</v>
      </c>
      <c r="C2483" s="0" t="n">
        <v>3922</v>
      </c>
      <c r="D2483" s="0" t="s">
        <v>8976</v>
      </c>
      <c r="E2483" s="0" t="s">
        <v>6478</v>
      </c>
      <c r="F2483" s="0" t="str">
        <f aca="false">CONCATENATE(D2483," ",LEFT(H2483,4),"T=",AU2483,"D=",AV2483,"R=",AW2483,"M=",AX2483,"L=",AY2483,"B=",AZ2483)</f>
        <v>COLE T=13D=3R=0M=0L=3B=0</v>
      </c>
      <c r="I2483" s="0" t="s">
        <v>10722</v>
      </c>
      <c r="J2483" s="0" t="s">
        <v>5996</v>
      </c>
      <c r="K2483" s="0" t="s">
        <v>175</v>
      </c>
      <c r="M2483" s="0" t="s">
        <v>10723</v>
      </c>
      <c r="N2483" s="0" t="str">
        <f aca="false">RIGHT(M2483,LEN(M2483)-FIND(" ",M2483))</f>
        <v>SHERIDAN AVE NE</v>
      </c>
      <c r="P2483" s="0" t="s">
        <v>146</v>
      </c>
      <c r="Q2483" s="0" t="s">
        <v>147</v>
      </c>
      <c r="R2483" s="0" t="n">
        <v>44483</v>
      </c>
      <c r="AD2483" s="0" t="s">
        <v>148</v>
      </c>
      <c r="AE2483" s="0" t="s">
        <v>149</v>
      </c>
      <c r="AF2483" s="0" t="s">
        <v>150</v>
      </c>
      <c r="AH2483" s="0" t="n">
        <v>14</v>
      </c>
      <c r="AI2483" s="0" t="n">
        <v>11</v>
      </c>
      <c r="AN2483" s="0" t="s">
        <v>146</v>
      </c>
      <c r="AO2483" s="0" t="s">
        <v>236</v>
      </c>
      <c r="AP2483" s="0" t="s">
        <v>237</v>
      </c>
      <c r="AQ2483" s="0" t="n">
        <v>9</v>
      </c>
      <c r="AR2483" s="0" t="n">
        <v>64</v>
      </c>
      <c r="AS2483" s="0" t="n">
        <v>32</v>
      </c>
      <c r="AU2483" s="0" t="n">
        <f aca="false">COUNTA($BA$566:$EH$566)</f>
        <v>13</v>
      </c>
      <c r="AV2483" s="0" t="n">
        <f aca="false">COUNTIF($BA$566:$EH$566,"D")</f>
        <v>3</v>
      </c>
      <c r="AW2483" s="0" t="n">
        <f aca="false">COUNTIF($BA$566:$EH$566,"R")</f>
        <v>0</v>
      </c>
      <c r="AX2483" s="0" t="n">
        <f aca="false"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>0</v>
      </c>
      <c r="AY2483" s="0" t="n">
        <f aca="false">COUNTIF(DU2483:EH2483, "&lt;&gt;")</f>
        <v>3</v>
      </c>
      <c r="AZ2483" s="0" t="n">
        <f aca="false">IF(EH2483&lt;&gt;"",1,0)</f>
        <v>0</v>
      </c>
      <c r="BB2483" s="0" t="s">
        <v>153</v>
      </c>
      <c r="BC2483" s="0" t="s">
        <v>154</v>
      </c>
      <c r="BD2483" s="0" t="s">
        <v>154</v>
      </c>
      <c r="BE2483" s="0" t="s">
        <v>154</v>
      </c>
      <c r="BF2483" s="0" t="s">
        <v>154</v>
      </c>
      <c r="BG2483" s="0" t="s">
        <v>154</v>
      </c>
      <c r="BH2483" s="0" t="s">
        <v>154</v>
      </c>
      <c r="BI2483" s="0" t="s">
        <v>154</v>
      </c>
      <c r="BJ2483" s="0" t="s">
        <v>154</v>
      </c>
      <c r="BK2483" s="0" t="s">
        <v>154</v>
      </c>
      <c r="BL2483" s="0" t="s">
        <v>154</v>
      </c>
      <c r="BP2483" s="0" t="s">
        <v>154</v>
      </c>
      <c r="BR2483" s="0" t="s">
        <v>154</v>
      </c>
      <c r="BS2483" s="0" t="s">
        <v>154</v>
      </c>
      <c r="BV2483" s="0" t="s">
        <v>154</v>
      </c>
      <c r="BY2483" s="0" t="s">
        <v>155</v>
      </c>
      <c r="CA2483" s="0" t="s">
        <v>154</v>
      </c>
      <c r="CG2483" s="0" t="s">
        <v>154</v>
      </c>
      <c r="CH2483" s="0" t="s">
        <v>155</v>
      </c>
      <c r="CK2483" s="0" t="s">
        <v>154</v>
      </c>
      <c r="CN2483" s="0" t="s">
        <v>154</v>
      </c>
      <c r="CO2483" s="0" t="s">
        <v>176</v>
      </c>
      <c r="CP2483" s="0" t="s">
        <v>154</v>
      </c>
      <c r="CV2483" s="0" t="s">
        <v>154</v>
      </c>
      <c r="CY2483" s="0" t="s">
        <v>154</v>
      </c>
      <c r="CZ2483" s="0" t="s">
        <v>176</v>
      </c>
      <c r="DC2483" s="0" t="s">
        <v>154</v>
      </c>
      <c r="DI2483" s="0" t="s">
        <v>154</v>
      </c>
      <c r="DN2483" s="0" t="s">
        <v>154</v>
      </c>
      <c r="DU2483" s="0" t="s">
        <v>154</v>
      </c>
      <c r="DX2483" s="0" t="s">
        <v>154</v>
      </c>
      <c r="EF2483" s="0" t="s">
        <v>154</v>
      </c>
    </row>
    <row r="2484" customFormat="false" ht="13.8" hidden="true" customHeight="false" outlineLevel="0" collapsed="false">
      <c r="A2484" s="0" t="s">
        <v>10724</v>
      </c>
      <c r="B2484" s="0" t="n">
        <v>78</v>
      </c>
      <c r="C2484" s="0" t="n">
        <v>325638</v>
      </c>
      <c r="D2484" s="0" t="s">
        <v>8976</v>
      </c>
      <c r="E2484" s="0" t="s">
        <v>6247</v>
      </c>
      <c r="F2484" s="0" t="str">
        <f aca="false">CONCATENATE(D2484," ",LEFT(H2484,4),"T=",AU2484,"D=",AV2484,"R=",AW2484,"M=",AX2484,"L=",AY2484,"B=",AZ2484)</f>
        <v>COLE T=7D=2R=0M=0L=0B=0</v>
      </c>
      <c r="I2484" s="0" t="s">
        <v>10725</v>
      </c>
      <c r="J2484" s="0" t="s">
        <v>10726</v>
      </c>
      <c r="K2484" s="0" t="s">
        <v>144</v>
      </c>
      <c r="L2484" s="0"/>
      <c r="M2484" s="0" t="s">
        <v>10723</v>
      </c>
      <c r="N2484" s="0" t="str">
        <f aca="false">RIGHT(M2484,LEN(M2484)-FIND(" ",M2484))</f>
        <v>SHERIDAN AVE NE</v>
      </c>
      <c r="P2484" s="0" t="s">
        <v>146</v>
      </c>
      <c r="Q2484" s="0" t="s">
        <v>147</v>
      </c>
      <c r="R2484" s="0" t="n">
        <v>44483</v>
      </c>
      <c r="AD2484" s="0" t="s">
        <v>148</v>
      </c>
      <c r="AE2484" s="0" t="s">
        <v>149</v>
      </c>
      <c r="AF2484" s="0" t="s">
        <v>150</v>
      </c>
      <c r="AH2484" s="0" t="n">
        <v>14</v>
      </c>
      <c r="AI2484" s="0" t="n">
        <v>11</v>
      </c>
      <c r="AN2484" s="0" t="s">
        <v>146</v>
      </c>
      <c r="AO2484" s="0" t="s">
        <v>236</v>
      </c>
      <c r="AP2484" s="0" t="s">
        <v>237</v>
      </c>
      <c r="AQ2484" s="0" t="n">
        <v>9</v>
      </c>
      <c r="AR2484" s="0" t="n">
        <v>64</v>
      </c>
      <c r="AS2484" s="0" t="n">
        <v>32</v>
      </c>
      <c r="AU2484" s="0" t="n">
        <f aca="false">COUNTA($BA$580:$EH$580)</f>
        <v>7</v>
      </c>
      <c r="AV2484" s="0" t="n">
        <f aca="false">COUNTIF($BA$580:$EH$580,"D")</f>
        <v>2</v>
      </c>
      <c r="AW2484" s="0" t="n">
        <f aca="false">COUNTIF($BA$580:$EH$580,"R")</f>
        <v>0</v>
      </c>
      <c r="AX2484" s="0" t="n">
        <f aca="false"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>0</v>
      </c>
      <c r="AY2484" s="0" t="n">
        <f aca="false">COUNTIF(DU2484:EH2484, "&lt;&gt;")</f>
        <v>0</v>
      </c>
      <c r="AZ2484" s="0" t="n">
        <f aca="false">IF(EH2484&lt;&gt;"",1,0)</f>
        <v>0</v>
      </c>
      <c r="BB2484" s="0" t="s">
        <v>153</v>
      </c>
      <c r="BL2484" s="0" t="s">
        <v>154</v>
      </c>
    </row>
    <row r="2485" customFormat="false" ht="13.8" hidden="false" customHeight="false" outlineLevel="0" collapsed="false">
      <c r="A2485" s="0" t="s">
        <v>10727</v>
      </c>
      <c r="B2485" s="0" t="n">
        <v>78</v>
      </c>
      <c r="C2485" s="0" t="n">
        <v>434932</v>
      </c>
      <c r="D2485" s="0" t="s">
        <v>5327</v>
      </c>
      <c r="E2485" s="0" t="s">
        <v>10728</v>
      </c>
      <c r="F2485" s="0" t="str">
        <f aca="false">CONCATENATE(D2485," ",LEFT(H2485,4),"T=",AU2485,"D=",AV2485,"R=",AW2485,"M=",AX2485,"L=",AY2485,"B=",AZ2485)</f>
        <v>LONG T=1D=0R=0M=0L=4B=0</v>
      </c>
      <c r="I2485" s="0" t="s">
        <v>10729</v>
      </c>
      <c r="J2485" s="0" t="s">
        <v>7911</v>
      </c>
      <c r="K2485" s="0" t="s">
        <v>175</v>
      </c>
      <c r="M2485" s="0" t="s">
        <v>10730</v>
      </c>
      <c r="N2485" s="0" t="str">
        <f aca="false">RIGHT(M2485,LEN(M2485)-FIND(" ",M2485))</f>
        <v>SHERIDAN AVE NE</v>
      </c>
      <c r="P2485" s="0" t="s">
        <v>146</v>
      </c>
      <c r="Q2485" s="0" t="s">
        <v>147</v>
      </c>
      <c r="R2485" s="0" t="n">
        <v>44483</v>
      </c>
      <c r="AD2485" s="0" t="s">
        <v>148</v>
      </c>
      <c r="AE2485" s="0" t="s">
        <v>149</v>
      </c>
      <c r="AF2485" s="0" t="s">
        <v>150</v>
      </c>
      <c r="AH2485" s="0" t="n">
        <v>14</v>
      </c>
      <c r="AI2485" s="0" t="n">
        <v>11</v>
      </c>
      <c r="AN2485" s="0" t="s">
        <v>146</v>
      </c>
      <c r="AO2485" s="0" t="s">
        <v>236</v>
      </c>
      <c r="AP2485" s="0" t="s">
        <v>237</v>
      </c>
      <c r="AQ2485" s="0" t="n">
        <v>9</v>
      </c>
      <c r="AR2485" s="0" t="n">
        <v>64</v>
      </c>
      <c r="AS2485" s="0" t="n">
        <v>32</v>
      </c>
      <c r="AU2485" s="0" t="n">
        <f aca="false">COUNTA($BA$100:$EH$100)</f>
        <v>1</v>
      </c>
      <c r="AV2485" s="0" t="n">
        <f aca="false">COUNTIF($BA$100:$EH$100,"D")</f>
        <v>0</v>
      </c>
      <c r="AW2485" s="0" t="n">
        <f aca="false">COUNTIF($BA$100:$EH$100,"R")</f>
        <v>0</v>
      </c>
      <c r="AX2485" s="0" t="n">
        <f aca="false"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>0</v>
      </c>
      <c r="AY2485" s="0" t="n">
        <f aca="false">COUNTIF(DU2485:EH2485, "&lt;&gt;")</f>
        <v>4</v>
      </c>
      <c r="AZ2485" s="0" t="n">
        <f aca="false">IF(EH2485&lt;&gt;"",1,0)</f>
        <v>0</v>
      </c>
      <c r="BB2485" s="0" t="s">
        <v>153</v>
      </c>
      <c r="DI2485" s="0" t="s">
        <v>154</v>
      </c>
      <c r="DL2485" s="0" t="s">
        <v>154</v>
      </c>
      <c r="DN2485" s="0" t="s">
        <v>154</v>
      </c>
      <c r="DU2485" s="0" t="s">
        <v>154</v>
      </c>
      <c r="DX2485" s="0" t="s">
        <v>154</v>
      </c>
      <c r="EA2485" s="0" t="s">
        <v>154</v>
      </c>
      <c r="EF2485" s="0" t="s">
        <v>154</v>
      </c>
    </row>
    <row r="2486" customFormat="false" ht="13.8" hidden="false" customHeight="false" outlineLevel="0" collapsed="false">
      <c r="A2486" s="0" t="s">
        <v>10731</v>
      </c>
      <c r="B2486" s="0" t="n">
        <v>78</v>
      </c>
      <c r="C2486" s="0" t="n">
        <v>434908</v>
      </c>
      <c r="D2486" s="0" t="s">
        <v>5327</v>
      </c>
      <c r="E2486" s="0" t="s">
        <v>283</v>
      </c>
      <c r="F2486" s="0" t="str">
        <f aca="false">CONCATENATE(D2486," ",LEFT(H2486,4),"T=",AU2486,"D=",AV2486,"R=",AW2486,"M=",AX2486,"L=",AY2486,"B=",AZ2486)</f>
        <v>LONG T=1D=0R=0M=0L=4B=0</v>
      </c>
      <c r="G2486" s="0" t="s">
        <v>2187</v>
      </c>
      <c r="I2486" s="0" t="s">
        <v>10732</v>
      </c>
      <c r="J2486" s="0" t="s">
        <v>7911</v>
      </c>
      <c r="K2486" s="0" t="s">
        <v>175</v>
      </c>
      <c r="M2486" s="0" t="s">
        <v>10730</v>
      </c>
      <c r="N2486" s="0" t="str">
        <f aca="false">RIGHT(M2486,LEN(M2486)-FIND(" ",M2486))</f>
        <v>SHERIDAN AVE NE</v>
      </c>
      <c r="P2486" s="0" t="s">
        <v>146</v>
      </c>
      <c r="Q2486" s="0" t="s">
        <v>147</v>
      </c>
      <c r="R2486" s="0" t="n">
        <v>44483</v>
      </c>
      <c r="AD2486" s="0" t="s">
        <v>148</v>
      </c>
      <c r="AE2486" s="0" t="s">
        <v>149</v>
      </c>
      <c r="AF2486" s="0" t="s">
        <v>150</v>
      </c>
      <c r="AH2486" s="0" t="n">
        <v>14</v>
      </c>
      <c r="AI2486" s="0" t="n">
        <v>11</v>
      </c>
      <c r="AN2486" s="0" t="s">
        <v>146</v>
      </c>
      <c r="AO2486" s="0" t="s">
        <v>236</v>
      </c>
      <c r="AP2486" s="0" t="s">
        <v>237</v>
      </c>
      <c r="AQ2486" s="0" t="n">
        <v>9</v>
      </c>
      <c r="AR2486" s="0" t="n">
        <v>64</v>
      </c>
      <c r="AS2486" s="0" t="n">
        <v>32</v>
      </c>
      <c r="AU2486" s="0" t="n">
        <f aca="false">COUNTA($BA$109:$EH$109)</f>
        <v>1</v>
      </c>
      <c r="AV2486" s="0" t="n">
        <f aca="false">COUNTIF($BA$109:$EH$109,"D")</f>
        <v>0</v>
      </c>
      <c r="AW2486" s="0" t="n">
        <f aca="false">COUNTIF($BA$109:$EH$109,"R")</f>
        <v>0</v>
      </c>
      <c r="AX2486" s="0" t="n">
        <f aca="false"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>0</v>
      </c>
      <c r="AY2486" s="0" t="n">
        <f aca="false">COUNTIF(DU2486:EH2486, "&lt;&gt;")</f>
        <v>4</v>
      </c>
      <c r="AZ2486" s="0" t="n">
        <f aca="false">IF(EH2486&lt;&gt;"",1,0)</f>
        <v>0</v>
      </c>
      <c r="BB2486" s="0" t="s">
        <v>153</v>
      </c>
      <c r="DI2486" s="0" t="s">
        <v>154</v>
      </c>
      <c r="DL2486" s="0" t="s">
        <v>154</v>
      </c>
      <c r="DN2486" s="0" t="s">
        <v>154</v>
      </c>
      <c r="DU2486" s="0" t="s">
        <v>154</v>
      </c>
      <c r="DX2486" s="0" t="s">
        <v>154</v>
      </c>
      <c r="EA2486" s="0" t="s">
        <v>154</v>
      </c>
      <c r="EF2486" s="0" t="s">
        <v>154</v>
      </c>
    </row>
    <row r="2487" customFormat="false" ht="13.8" hidden="false" customHeight="false" outlineLevel="0" collapsed="false">
      <c r="A2487" s="0" t="s">
        <v>10733</v>
      </c>
      <c r="B2487" s="0" t="n">
        <v>78</v>
      </c>
      <c r="C2487" s="0" t="n">
        <v>180481</v>
      </c>
      <c r="D2487" s="0" t="s">
        <v>10734</v>
      </c>
      <c r="E2487" s="0" t="s">
        <v>750</v>
      </c>
      <c r="F2487" s="0" t="str">
        <f aca="false">CONCATENATE(D2487," ",LEFT(H2487,4),"T=",AU2487,"D=",AV2487,"R=",AW2487,"M=",AX2487,"L=",AY2487,"B=",AZ2487)</f>
        <v>MELEXENIS T=1D=0R=0M=4L=6B=1</v>
      </c>
      <c r="G2487" s="0" t="s">
        <v>514</v>
      </c>
      <c r="I2487" s="0" t="s">
        <v>10735</v>
      </c>
      <c r="J2487" s="0" t="s">
        <v>3010</v>
      </c>
      <c r="K2487" s="0" t="s">
        <v>175</v>
      </c>
      <c r="L2487" s="1" t="s">
        <v>155</v>
      </c>
      <c r="M2487" s="0" t="s">
        <v>10736</v>
      </c>
      <c r="N2487" s="0" t="str">
        <f aca="false">RIGHT(M2487,LEN(M2487)-FIND(" ",M2487))</f>
        <v>SHERIDAN AVE NE</v>
      </c>
      <c r="P2487" s="0" t="s">
        <v>146</v>
      </c>
      <c r="Q2487" s="0" t="s">
        <v>147</v>
      </c>
      <c r="R2487" s="0" t="n">
        <v>44483</v>
      </c>
      <c r="AD2487" s="0" t="s">
        <v>148</v>
      </c>
      <c r="AE2487" s="0" t="s">
        <v>149</v>
      </c>
      <c r="AF2487" s="0" t="s">
        <v>150</v>
      </c>
      <c r="AH2487" s="0" t="n">
        <v>14</v>
      </c>
      <c r="AI2487" s="0" t="n">
        <v>11</v>
      </c>
      <c r="AN2487" s="0" t="s">
        <v>146</v>
      </c>
      <c r="AO2487" s="0" t="s">
        <v>236</v>
      </c>
      <c r="AP2487" s="0" t="s">
        <v>237</v>
      </c>
      <c r="AQ2487" s="0" t="n">
        <v>9</v>
      </c>
      <c r="AR2487" s="0" t="n">
        <v>64</v>
      </c>
      <c r="AS2487" s="0" t="n">
        <v>32</v>
      </c>
      <c r="AU2487" s="0" t="n">
        <f aca="false">COUNTA($BA$553:$EH$553)</f>
        <v>1</v>
      </c>
      <c r="AV2487" s="0" t="n">
        <f aca="false">COUNTIF($BA$553:$EH$553,"D")</f>
        <v>0</v>
      </c>
      <c r="AW2487" s="0" t="n">
        <f aca="false">COUNTIF($BA$553:$EH$553,"R")</f>
        <v>0</v>
      </c>
      <c r="AX2487" s="0" t="n">
        <f aca="false"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>4</v>
      </c>
      <c r="AY2487" s="0" t="n">
        <f aca="false">COUNTIF(DU2487:EH2487, "&lt;&gt;")</f>
        <v>6</v>
      </c>
      <c r="AZ2487" s="0" t="n">
        <f aca="false">IF(EH2487&lt;&gt;"",1,0)</f>
        <v>1</v>
      </c>
      <c r="BB2487" s="0" t="s">
        <v>153</v>
      </c>
      <c r="BD2487" s="0" t="s">
        <v>154</v>
      </c>
      <c r="BI2487" s="0" t="s">
        <v>154</v>
      </c>
      <c r="BL2487" s="0" t="s">
        <v>154</v>
      </c>
      <c r="CK2487" s="0" t="s">
        <v>154</v>
      </c>
      <c r="CL2487" s="0" t="s">
        <v>155</v>
      </c>
      <c r="CP2487" s="0" t="s">
        <v>154</v>
      </c>
      <c r="CY2487" s="0" t="s">
        <v>154</v>
      </c>
      <c r="CZ2487" s="0" t="s">
        <v>155</v>
      </c>
      <c r="DC2487" s="0" t="s">
        <v>154</v>
      </c>
      <c r="DG2487" s="0" t="s">
        <v>155</v>
      </c>
      <c r="DI2487" s="0" t="s">
        <v>154</v>
      </c>
      <c r="DJ2487" s="0" t="s">
        <v>155</v>
      </c>
      <c r="DL2487" s="0" t="s">
        <v>154</v>
      </c>
      <c r="DU2487" s="0" t="s">
        <v>154</v>
      </c>
      <c r="DW2487" s="0" t="s">
        <v>155</v>
      </c>
      <c r="EA2487" s="0" t="s">
        <v>154</v>
      </c>
      <c r="ED2487" s="0" t="s">
        <v>155</v>
      </c>
      <c r="EF2487" s="0" t="s">
        <v>154</v>
      </c>
      <c r="EH2487" s="0" t="s">
        <v>155</v>
      </c>
    </row>
    <row r="2488" customFormat="false" ht="13.8" hidden="false" customHeight="false" outlineLevel="0" collapsed="false">
      <c r="A2488" s="0" t="s">
        <v>10737</v>
      </c>
      <c r="B2488" s="0" t="n">
        <v>78</v>
      </c>
      <c r="C2488" s="0" t="n">
        <v>327528</v>
      </c>
      <c r="D2488" s="0" t="s">
        <v>10738</v>
      </c>
      <c r="E2488" s="0" t="s">
        <v>2005</v>
      </c>
      <c r="F2488" s="0" t="str">
        <f aca="false">CONCATENATE(D2488," ",LEFT(H2488,4),"T=",AU2488,"D=",AV2488,"R=",AW2488,"M=",AX2488,"L=",AY2488,"B=",AZ2488)</f>
        <v>YAGER T=15D=0R=4M=0L=4B=0</v>
      </c>
      <c r="G2488" s="0" t="s">
        <v>10739</v>
      </c>
      <c r="I2488" s="0" t="s">
        <v>10740</v>
      </c>
      <c r="J2488" s="0" t="s">
        <v>10741</v>
      </c>
      <c r="K2488" s="0" t="s">
        <v>175</v>
      </c>
      <c r="M2488" s="0" t="s">
        <v>10742</v>
      </c>
      <c r="N2488" s="0" t="str">
        <f aca="false">RIGHT(M2488,LEN(M2488)-FIND(" ",M2488))</f>
        <v>SHERIDAN AVE NE</v>
      </c>
      <c r="P2488" s="0" t="s">
        <v>146</v>
      </c>
      <c r="Q2488" s="0" t="s">
        <v>147</v>
      </c>
      <c r="R2488" s="0" t="n">
        <v>44483</v>
      </c>
      <c r="AD2488" s="0" t="s">
        <v>148</v>
      </c>
      <c r="AE2488" s="0" t="s">
        <v>149</v>
      </c>
      <c r="AF2488" s="0" t="s">
        <v>150</v>
      </c>
      <c r="AH2488" s="0" t="n">
        <v>14</v>
      </c>
      <c r="AI2488" s="0" t="n">
        <v>11</v>
      </c>
      <c r="AN2488" s="0" t="s">
        <v>146</v>
      </c>
      <c r="AO2488" s="0" t="s">
        <v>236</v>
      </c>
      <c r="AP2488" s="0" t="s">
        <v>237</v>
      </c>
      <c r="AQ2488" s="0" t="n">
        <v>9</v>
      </c>
      <c r="AR2488" s="0" t="n">
        <v>64</v>
      </c>
      <c r="AS2488" s="0" t="n">
        <v>32</v>
      </c>
      <c r="AU2488" s="0" t="n">
        <f aca="false">COUNTA($BA$776:$EH$776)</f>
        <v>15</v>
      </c>
      <c r="AV2488" s="0" t="n">
        <f aca="false">COUNTIF($BA$776:$EH$776,"D")</f>
        <v>0</v>
      </c>
      <c r="AW2488" s="0" t="n">
        <f aca="false">COUNTIF($BA$776:$EH$776,"R")</f>
        <v>4</v>
      </c>
      <c r="AX2488" s="0" t="n">
        <f aca="false"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>0</v>
      </c>
      <c r="AY2488" s="0" t="n">
        <f aca="false">COUNTIF(DU2488:EH2488, "&lt;&gt;")</f>
        <v>4</v>
      </c>
      <c r="AZ2488" s="0" t="n">
        <f aca="false">IF(EH2488&lt;&gt;"",1,0)</f>
        <v>0</v>
      </c>
      <c r="BB2488" s="0" t="s">
        <v>153</v>
      </c>
      <c r="BL2488" s="0" t="s">
        <v>154</v>
      </c>
      <c r="CA2488" s="0" t="s">
        <v>154</v>
      </c>
      <c r="CN2488" s="0" t="s">
        <v>154</v>
      </c>
      <c r="CP2488" s="0" t="s">
        <v>154</v>
      </c>
      <c r="DC2488" s="0" t="s">
        <v>154</v>
      </c>
      <c r="DI2488" s="0" t="s">
        <v>154</v>
      </c>
      <c r="DN2488" s="0" t="s">
        <v>154</v>
      </c>
      <c r="DU2488" s="0" t="s">
        <v>154</v>
      </c>
      <c r="DX2488" s="0" t="s">
        <v>154</v>
      </c>
      <c r="EA2488" s="0" t="s">
        <v>154</v>
      </c>
      <c r="EF2488" s="0" t="s">
        <v>154</v>
      </c>
    </row>
    <row r="2489" customFormat="false" ht="13.8" hidden="true" customHeight="false" outlineLevel="0" collapsed="false">
      <c r="A2489" s="0" t="s">
        <v>10743</v>
      </c>
      <c r="B2489" s="0" t="n">
        <v>78</v>
      </c>
      <c r="C2489" s="0" t="n">
        <v>379935</v>
      </c>
      <c r="D2489" s="0" t="s">
        <v>10744</v>
      </c>
      <c r="E2489" s="0" t="s">
        <v>376</v>
      </c>
      <c r="F2489" s="0" t="str">
        <f aca="false">CONCATENATE(D2489," ",LEFT(H2489,4),"T=",AU2489,"D=",AV2489,"R=",AW2489,"M=",AX2489,"L=",AY2489,"B=",AZ2489)</f>
        <v>FLEEGER T=1D=0R=0M=0L=0B=0</v>
      </c>
      <c r="G2489" s="0" t="s">
        <v>208</v>
      </c>
      <c r="I2489" s="0" t="s">
        <v>10745</v>
      </c>
      <c r="J2489" s="0" t="s">
        <v>1494</v>
      </c>
      <c r="K2489" s="0" t="s">
        <v>175</v>
      </c>
      <c r="L2489" s="0"/>
      <c r="M2489" s="0" t="s">
        <v>10746</v>
      </c>
      <c r="N2489" s="0" t="str">
        <f aca="false">RIGHT(M2489,LEN(M2489)-FIND(" ",M2489))</f>
        <v>SHERIDAN AVE NE</v>
      </c>
      <c r="P2489" s="0" t="s">
        <v>146</v>
      </c>
      <c r="Q2489" s="0" t="s">
        <v>147</v>
      </c>
      <c r="R2489" s="0" t="n">
        <v>44483</v>
      </c>
      <c r="AD2489" s="0" t="s">
        <v>148</v>
      </c>
      <c r="AE2489" s="0" t="s">
        <v>149</v>
      </c>
      <c r="AF2489" s="0" t="s">
        <v>150</v>
      </c>
      <c r="AH2489" s="0" t="n">
        <v>14</v>
      </c>
      <c r="AI2489" s="0" t="n">
        <v>11</v>
      </c>
      <c r="AN2489" s="0" t="s">
        <v>146</v>
      </c>
      <c r="AO2489" s="0" t="s">
        <v>236</v>
      </c>
      <c r="AP2489" s="0" t="s">
        <v>237</v>
      </c>
      <c r="AQ2489" s="0" t="n">
        <v>9</v>
      </c>
      <c r="AR2489" s="0" t="n">
        <v>64</v>
      </c>
      <c r="AS2489" s="0" t="n">
        <v>32</v>
      </c>
      <c r="AU2489" s="0" t="n">
        <f aca="false">COUNTA($BA$528:$EH$528)</f>
        <v>1</v>
      </c>
      <c r="AV2489" s="0" t="n">
        <f aca="false">COUNTIF($BA$528:$EH$528,"D")</f>
        <v>0</v>
      </c>
      <c r="AW2489" s="0" t="n">
        <f aca="false">COUNTIF($BA$528:$EH$528,"R")</f>
        <v>0</v>
      </c>
      <c r="AX2489" s="0" t="n">
        <f aca="false"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>0</v>
      </c>
      <c r="AY2489" s="0" t="n">
        <f aca="false">COUNTIF(DU2489:EH2489, "&lt;&gt;")</f>
        <v>0</v>
      </c>
      <c r="AZ2489" s="0" t="n">
        <f aca="false">IF(EH2489&lt;&gt;"",1,0)</f>
        <v>0</v>
      </c>
      <c r="BB2489" s="0" t="s">
        <v>153</v>
      </c>
      <c r="CY2489" s="0" t="s">
        <v>154</v>
      </c>
    </row>
    <row r="2490" customFormat="false" ht="13.8" hidden="false" customHeight="false" outlineLevel="0" collapsed="false">
      <c r="A2490" s="0" t="s">
        <v>10747</v>
      </c>
      <c r="B2490" s="0" t="n">
        <v>78</v>
      </c>
      <c r="C2490" s="0" t="n">
        <v>165902</v>
      </c>
      <c r="D2490" s="0" t="s">
        <v>10748</v>
      </c>
      <c r="E2490" s="0" t="s">
        <v>1131</v>
      </c>
      <c r="F2490" s="0" t="str">
        <f aca="false">CONCATENATE(D2490," ",LEFT(H2490,4),"T=",AU2490,"D=",AV2490,"R=",AW2490,"M=",AX2490,"L=",AY2490,"B=",AZ2490)</f>
        <v>YOUNGBLOOD T=5D=0R=0M=0L=4B=0</v>
      </c>
      <c r="I2490" s="0" t="s">
        <v>10749</v>
      </c>
      <c r="J2490" s="0" t="s">
        <v>10750</v>
      </c>
      <c r="K2490" s="0" t="s">
        <v>175</v>
      </c>
      <c r="L2490" s="1" t="s">
        <v>176</v>
      </c>
      <c r="M2490" s="0" t="s">
        <v>10751</v>
      </c>
      <c r="N2490" s="0" t="str">
        <f aca="false">RIGHT(M2490,LEN(M2490)-FIND(" ",M2490))</f>
        <v>SHERIDAN AVE NE</v>
      </c>
      <c r="P2490" s="0" t="s">
        <v>146</v>
      </c>
      <c r="Q2490" s="0" t="s">
        <v>147</v>
      </c>
      <c r="R2490" s="0" t="n">
        <v>44483</v>
      </c>
      <c r="AD2490" s="0" t="s">
        <v>148</v>
      </c>
      <c r="AE2490" s="0" t="s">
        <v>149</v>
      </c>
      <c r="AF2490" s="0" t="s">
        <v>150</v>
      </c>
      <c r="AH2490" s="0" t="n">
        <v>14</v>
      </c>
      <c r="AI2490" s="0" t="n">
        <v>11</v>
      </c>
      <c r="AN2490" s="0" t="s">
        <v>146</v>
      </c>
      <c r="AO2490" s="0" t="s">
        <v>236</v>
      </c>
      <c r="AP2490" s="0" t="s">
        <v>237</v>
      </c>
      <c r="AQ2490" s="0" t="n">
        <v>9</v>
      </c>
      <c r="AR2490" s="0" t="n">
        <v>64</v>
      </c>
      <c r="AS2490" s="0" t="n">
        <v>32</v>
      </c>
      <c r="AU2490" s="0" t="n">
        <f aca="false">COUNTA($BA$236:$EH$236)</f>
        <v>5</v>
      </c>
      <c r="AV2490" s="0" t="n">
        <f aca="false">COUNTIF($BA$236:$EH$236,"D")</f>
        <v>0</v>
      </c>
      <c r="AW2490" s="0" t="n">
        <f aca="false">COUNTIF($BA$236:$EH$236,"R")</f>
        <v>0</v>
      </c>
      <c r="AX2490" s="0" t="n">
        <f aca="false"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>0</v>
      </c>
      <c r="AY2490" s="0" t="n">
        <f aca="false">COUNTIF(DU2490:EH2490, "&lt;&gt;")</f>
        <v>4</v>
      </c>
      <c r="AZ2490" s="0" t="n">
        <f aca="false">IF(EH2490&lt;&gt;"",1,0)</f>
        <v>0</v>
      </c>
      <c r="BB2490" s="0" t="s">
        <v>153</v>
      </c>
      <c r="BC2490" s="0" t="s">
        <v>154</v>
      </c>
      <c r="BD2490" s="0" t="s">
        <v>154</v>
      </c>
      <c r="BH2490" s="0" t="s">
        <v>154</v>
      </c>
      <c r="BL2490" s="0" t="s">
        <v>154</v>
      </c>
      <c r="BP2490" s="0" t="s">
        <v>154</v>
      </c>
      <c r="BR2490" s="0" t="s">
        <v>154</v>
      </c>
      <c r="BS2490" s="0" t="s">
        <v>154</v>
      </c>
      <c r="BV2490" s="0" t="s">
        <v>154</v>
      </c>
      <c r="BY2490" s="0" t="s">
        <v>176</v>
      </c>
      <c r="CA2490" s="0" t="s">
        <v>154</v>
      </c>
      <c r="CG2490" s="0" t="s">
        <v>154</v>
      </c>
      <c r="CK2490" s="0" t="s">
        <v>154</v>
      </c>
      <c r="CN2490" s="0" t="s">
        <v>154</v>
      </c>
      <c r="CP2490" s="0" t="s">
        <v>154</v>
      </c>
      <c r="CY2490" s="0" t="s">
        <v>154</v>
      </c>
      <c r="CZ2490" s="0" t="s">
        <v>176</v>
      </c>
      <c r="DC2490" s="0" t="s">
        <v>154</v>
      </c>
      <c r="DG2490" s="0" t="s">
        <v>176</v>
      </c>
      <c r="DI2490" s="0" t="s">
        <v>154</v>
      </c>
      <c r="DL2490" s="0" t="s">
        <v>154</v>
      </c>
      <c r="DN2490" s="0" t="s">
        <v>154</v>
      </c>
      <c r="DR2490" s="0" t="s">
        <v>154</v>
      </c>
      <c r="DS2490" s="0" t="s">
        <v>176</v>
      </c>
      <c r="DT2490" s="0" t="s">
        <v>176</v>
      </c>
      <c r="DU2490" s="0" t="s">
        <v>154</v>
      </c>
      <c r="DX2490" s="0" t="s">
        <v>154</v>
      </c>
      <c r="EA2490" s="0" t="s">
        <v>154</v>
      </c>
      <c r="EF2490" s="0" t="s">
        <v>154</v>
      </c>
    </row>
    <row r="2491" customFormat="false" ht="13.8" hidden="true" customHeight="false" outlineLevel="0" collapsed="false">
      <c r="A2491" s="0" t="s">
        <v>10752</v>
      </c>
      <c r="B2491" s="0" t="n">
        <v>78</v>
      </c>
      <c r="C2491" s="0" t="n">
        <v>421760</v>
      </c>
      <c r="D2491" s="0" t="s">
        <v>3479</v>
      </c>
      <c r="E2491" s="0" t="s">
        <v>10753</v>
      </c>
      <c r="F2491" s="0" t="str">
        <f aca="false">CONCATENATE(D2491," ",LEFT(H2491,4),"T=",AU2491,"D=",AV2491,"R=",AW2491,"M=",AX2491,"L=",AY2491,"B=",AZ2491)</f>
        <v>HAYES T=32D=6R=0M=0L=0B=0</v>
      </c>
      <c r="G2491" s="0" t="s">
        <v>3800</v>
      </c>
      <c r="I2491" s="0" t="s">
        <v>10754</v>
      </c>
      <c r="J2491" s="0" t="s">
        <v>10755</v>
      </c>
      <c r="K2491" s="0" t="s">
        <v>144</v>
      </c>
      <c r="L2491" s="0"/>
      <c r="M2491" s="0" t="s">
        <v>10751</v>
      </c>
      <c r="N2491" s="0" t="str">
        <f aca="false">RIGHT(M2491,LEN(M2491)-FIND(" ",M2491))</f>
        <v>SHERIDAN AVE NE</v>
      </c>
      <c r="P2491" s="0" t="s">
        <v>146</v>
      </c>
      <c r="Q2491" s="0" t="s">
        <v>147</v>
      </c>
      <c r="R2491" s="0" t="n">
        <v>44483</v>
      </c>
      <c r="AD2491" s="0" t="s">
        <v>148</v>
      </c>
      <c r="AE2491" s="0" t="s">
        <v>149</v>
      </c>
      <c r="AF2491" s="0" t="s">
        <v>150</v>
      </c>
      <c r="AH2491" s="0" t="n">
        <v>14</v>
      </c>
      <c r="AI2491" s="0" t="n">
        <v>11</v>
      </c>
      <c r="AN2491" s="0" t="s">
        <v>146</v>
      </c>
      <c r="AO2491" s="0" t="s">
        <v>236</v>
      </c>
      <c r="AP2491" s="0" t="s">
        <v>237</v>
      </c>
      <c r="AQ2491" s="0" t="n">
        <v>9</v>
      </c>
      <c r="AR2491" s="0" t="n">
        <v>64</v>
      </c>
      <c r="AS2491" s="0" t="n">
        <v>32</v>
      </c>
      <c r="AU2491" s="0" t="n">
        <f aca="false">COUNTA($BA$321:$EH$321)</f>
        <v>32</v>
      </c>
      <c r="AV2491" s="0" t="n">
        <f aca="false">COUNTIF($BA$321:$EH$321,"D")</f>
        <v>6</v>
      </c>
      <c r="AW2491" s="0" t="n">
        <f aca="false">COUNTIF($BA$321:$EH$321,"R")</f>
        <v>0</v>
      </c>
      <c r="AX2491" s="0" t="n">
        <f aca="false"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>0</v>
      </c>
      <c r="AY2491" s="0" t="n">
        <f aca="false">COUNTIF(DU2491:EH2491, "&lt;&gt;")</f>
        <v>0</v>
      </c>
      <c r="AZ2491" s="0" t="n">
        <f aca="false">IF(EH2491&lt;&gt;"",1,0)</f>
        <v>0</v>
      </c>
      <c r="BB2491" s="0" t="s">
        <v>153</v>
      </c>
    </row>
    <row r="2492" customFormat="false" ht="13.8" hidden="false" customHeight="false" outlineLevel="0" collapsed="false">
      <c r="A2492" s="0" t="s">
        <v>10756</v>
      </c>
      <c r="B2492" s="0" t="n">
        <v>78</v>
      </c>
      <c r="C2492" s="0" t="n">
        <v>333108</v>
      </c>
      <c r="D2492" s="0" t="s">
        <v>1099</v>
      </c>
      <c r="E2492" s="0" t="s">
        <v>2236</v>
      </c>
      <c r="F2492" s="0" t="str">
        <f aca="false">CONCATENATE(D2492," ",LEFT(H2492,4),"T=",AU2492,"D=",AV2492,"R=",AW2492,"M=",AX2492,"L=",AY2492,"B=",AZ2492)</f>
        <v>WRIGHT T=24D=3R=0M=4L=6B=0</v>
      </c>
      <c r="G2492" s="0" t="s">
        <v>172</v>
      </c>
      <c r="I2492" s="0" t="s">
        <v>10757</v>
      </c>
      <c r="J2492" s="0" t="s">
        <v>10758</v>
      </c>
      <c r="K2492" s="0" t="s">
        <v>175</v>
      </c>
      <c r="L2492" s="1" t="s">
        <v>155</v>
      </c>
      <c r="M2492" s="0" t="s">
        <v>10759</v>
      </c>
      <c r="N2492" s="0" t="str">
        <f aca="false">RIGHT(M2492,LEN(M2492)-FIND(" ",M2492))</f>
        <v>SHERIDAN AVE NE</v>
      </c>
      <c r="P2492" s="0" t="s">
        <v>146</v>
      </c>
      <c r="Q2492" s="0" t="s">
        <v>147</v>
      </c>
      <c r="R2492" s="0" t="n">
        <v>44483</v>
      </c>
      <c r="AD2492" s="0" t="s">
        <v>148</v>
      </c>
      <c r="AE2492" s="0" t="s">
        <v>149</v>
      </c>
      <c r="AF2492" s="0" t="s">
        <v>150</v>
      </c>
      <c r="AH2492" s="0" t="n">
        <v>14</v>
      </c>
      <c r="AI2492" s="0" t="n">
        <v>11</v>
      </c>
      <c r="AN2492" s="0" t="s">
        <v>146</v>
      </c>
      <c r="AO2492" s="0" t="s">
        <v>236</v>
      </c>
      <c r="AP2492" s="0" t="s">
        <v>237</v>
      </c>
      <c r="AQ2492" s="0" t="n">
        <v>9</v>
      </c>
      <c r="AR2492" s="0" t="n">
        <v>64</v>
      </c>
      <c r="AS2492" s="0" t="n">
        <v>32</v>
      </c>
      <c r="AU2492" s="0" t="n">
        <f aca="false">COUNTA($BA$54:$EH$54)</f>
        <v>24</v>
      </c>
      <c r="AV2492" s="0" t="n">
        <f aca="false">COUNTIF($BA$54:$EH$54,"D")</f>
        <v>3</v>
      </c>
      <c r="AW2492" s="0" t="n">
        <f aca="false">COUNTIF($BA$54:$EH$54,"R")</f>
        <v>0</v>
      </c>
      <c r="AX2492" s="0" t="n">
        <f aca="false"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>4</v>
      </c>
      <c r="AY2492" s="0" t="n">
        <f aca="false">COUNTIF(DU2492:EH2492, "&lt;&gt;")</f>
        <v>6</v>
      </c>
      <c r="AZ2492" s="0" t="n">
        <f aca="false">IF(EH2492&lt;&gt;"",1,0)</f>
        <v>0</v>
      </c>
      <c r="BB2492" s="0" t="s">
        <v>153</v>
      </c>
      <c r="BL2492" s="0" t="s">
        <v>154</v>
      </c>
      <c r="BY2492" s="0" t="s">
        <v>155</v>
      </c>
      <c r="CA2492" s="0" t="s">
        <v>154</v>
      </c>
      <c r="CL2492" s="0" t="s">
        <v>155</v>
      </c>
      <c r="CN2492" s="0" t="s">
        <v>154</v>
      </c>
      <c r="CO2492" s="0" t="s">
        <v>155</v>
      </c>
      <c r="CP2492" s="0" t="s">
        <v>154</v>
      </c>
      <c r="DC2492" s="0" t="s">
        <v>154</v>
      </c>
      <c r="DI2492" s="0" t="s">
        <v>154</v>
      </c>
      <c r="DJ2492" s="0" t="s">
        <v>155</v>
      </c>
      <c r="DL2492" s="0" t="s">
        <v>154</v>
      </c>
      <c r="DM2492" s="0" t="s">
        <v>155</v>
      </c>
      <c r="DN2492" s="0" t="s">
        <v>154</v>
      </c>
      <c r="DO2492" s="0" t="s">
        <v>155</v>
      </c>
      <c r="DR2492" s="0" t="s">
        <v>154</v>
      </c>
      <c r="DS2492" s="0" t="s">
        <v>155</v>
      </c>
      <c r="DT2492" s="0" t="s">
        <v>155</v>
      </c>
      <c r="DU2492" s="0" t="s">
        <v>154</v>
      </c>
      <c r="DW2492" s="0" t="s">
        <v>155</v>
      </c>
      <c r="DX2492" s="0" t="s">
        <v>154</v>
      </c>
      <c r="EA2492" s="0" t="s">
        <v>154</v>
      </c>
      <c r="ED2492" s="0" t="s">
        <v>155</v>
      </c>
      <c r="EF2492" s="0" t="s">
        <v>154</v>
      </c>
    </row>
    <row r="2493" customFormat="false" ht="13.8" hidden="true" customHeight="false" outlineLevel="0" collapsed="false">
      <c r="A2493" s="0" t="s">
        <v>10760</v>
      </c>
      <c r="B2493" s="0" t="n">
        <v>78</v>
      </c>
      <c r="C2493" s="0" t="n">
        <v>488323</v>
      </c>
      <c r="D2493" s="0" t="s">
        <v>2356</v>
      </c>
      <c r="E2493" s="0" t="s">
        <v>583</v>
      </c>
      <c r="F2493" s="0" t="str">
        <f aca="false">CONCATENATE(D2493," ",LEFT(H2493,4),"T=",AU2493,"D=",AV2493,"R=",AW2493,"M=",AX2493,"L=",AY2493,"B=",AZ2493)</f>
        <v>ARMSTRONG T=14D=2R=0M=0L=0B=0</v>
      </c>
      <c r="G2493" s="0" t="s">
        <v>241</v>
      </c>
      <c r="I2493" s="0" t="s">
        <v>10761</v>
      </c>
      <c r="J2493" s="0" t="s">
        <v>1030</v>
      </c>
      <c r="K2493" s="0" t="s">
        <v>175</v>
      </c>
      <c r="L2493" s="0"/>
      <c r="M2493" s="0" t="s">
        <v>10759</v>
      </c>
      <c r="N2493" s="0" t="str">
        <f aca="false">RIGHT(M2493,LEN(M2493)-FIND(" ",M2493))</f>
        <v>SHERIDAN AVE NE</v>
      </c>
      <c r="P2493" s="0" t="s">
        <v>146</v>
      </c>
      <c r="Q2493" s="0" t="s">
        <v>147</v>
      </c>
      <c r="R2493" s="0" t="n">
        <v>44483</v>
      </c>
      <c r="AD2493" s="0" t="s">
        <v>148</v>
      </c>
      <c r="AE2493" s="0" t="s">
        <v>149</v>
      </c>
      <c r="AF2493" s="0" t="s">
        <v>150</v>
      </c>
      <c r="AH2493" s="0" t="n">
        <v>14</v>
      </c>
      <c r="AI2493" s="0" t="n">
        <v>11</v>
      </c>
      <c r="AN2493" s="0" t="s">
        <v>146</v>
      </c>
      <c r="AO2493" s="0" t="s">
        <v>236</v>
      </c>
      <c r="AP2493" s="0" t="s">
        <v>237</v>
      </c>
      <c r="AQ2493" s="0" t="n">
        <v>9</v>
      </c>
      <c r="AR2493" s="0" t="n">
        <v>64</v>
      </c>
      <c r="AS2493" s="0" t="n">
        <v>32</v>
      </c>
      <c r="AU2493" s="0" t="n">
        <f aca="false">COUNTA($BA$248:$EH$248)</f>
        <v>14</v>
      </c>
      <c r="AV2493" s="0" t="n">
        <f aca="false">COUNTIF($BA$248:$EH$248,"D")</f>
        <v>2</v>
      </c>
      <c r="AW2493" s="0" t="n">
        <f aca="false">COUNTIF($BA$248:$EH$248,"R")</f>
        <v>0</v>
      </c>
      <c r="AX2493" s="0" t="n">
        <f aca="false"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>0</v>
      </c>
      <c r="AY2493" s="0" t="n">
        <f aca="false">COUNTIF(DU2493:EH2493, "&lt;&gt;")</f>
        <v>0</v>
      </c>
      <c r="AZ2493" s="0" t="n">
        <f aca="false">IF(EH2493&lt;&gt;"",1,0)</f>
        <v>0</v>
      </c>
      <c r="BB2493" s="0" t="s">
        <v>153</v>
      </c>
    </row>
    <row r="2494" customFormat="false" ht="13.8" hidden="true" customHeight="false" outlineLevel="0" collapsed="false">
      <c r="A2494" s="0" t="s">
        <v>10762</v>
      </c>
      <c r="B2494" s="0" t="n">
        <v>78</v>
      </c>
      <c r="C2494" s="0" t="n">
        <v>378420</v>
      </c>
      <c r="D2494" s="0" t="s">
        <v>2356</v>
      </c>
      <c r="E2494" s="0" t="s">
        <v>195</v>
      </c>
      <c r="F2494" s="0" t="str">
        <f aca="false">CONCATENATE(D2494," ",LEFT(H2494,4),"T=",AU2494,"D=",AV2494,"R=",AW2494,"M=",AX2494,"L=",AY2494,"B=",AZ2494)</f>
        <v>ARMSTRONG T=2D=0R=0M=0L=0B=0</v>
      </c>
      <c r="G2494" s="0" t="s">
        <v>188</v>
      </c>
      <c r="I2494" s="0" t="s">
        <v>10763</v>
      </c>
      <c r="J2494" s="0" t="s">
        <v>1570</v>
      </c>
      <c r="K2494" s="0" t="s">
        <v>144</v>
      </c>
      <c r="L2494" s="0"/>
      <c r="M2494" s="0" t="s">
        <v>10759</v>
      </c>
      <c r="N2494" s="0" t="str">
        <f aca="false">RIGHT(M2494,LEN(M2494)-FIND(" ",M2494))</f>
        <v>SHERIDAN AVE NE</v>
      </c>
      <c r="P2494" s="0" t="s">
        <v>146</v>
      </c>
      <c r="Q2494" s="0" t="s">
        <v>147</v>
      </c>
      <c r="R2494" s="0" t="n">
        <v>44483</v>
      </c>
      <c r="AD2494" s="0" t="s">
        <v>148</v>
      </c>
      <c r="AE2494" s="0" t="s">
        <v>149</v>
      </c>
      <c r="AF2494" s="0" t="s">
        <v>150</v>
      </c>
      <c r="AH2494" s="0" t="n">
        <v>14</v>
      </c>
      <c r="AI2494" s="0" t="n">
        <v>11</v>
      </c>
      <c r="AN2494" s="0" t="s">
        <v>146</v>
      </c>
      <c r="AO2494" s="0" t="s">
        <v>236</v>
      </c>
      <c r="AP2494" s="0" t="s">
        <v>237</v>
      </c>
      <c r="AQ2494" s="0" t="n">
        <v>9</v>
      </c>
      <c r="AR2494" s="0" t="n">
        <v>64</v>
      </c>
      <c r="AS2494" s="0" t="n">
        <v>32</v>
      </c>
      <c r="AU2494" s="0" t="n">
        <f aca="false">COUNTA($BA$393:$EH$393)</f>
        <v>2</v>
      </c>
      <c r="AV2494" s="0" t="n">
        <f aca="false">COUNTIF($BA$393:$EH$393,"D")</f>
        <v>0</v>
      </c>
      <c r="AW2494" s="0" t="n">
        <f aca="false">COUNTIF($BA$393:$EH$393,"R")</f>
        <v>0</v>
      </c>
      <c r="AX2494" s="0" t="n">
        <f aca="false"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>0</v>
      </c>
      <c r="AY2494" s="0" t="n">
        <f aca="false">COUNTIF(DU2494:EH2494, "&lt;&gt;")</f>
        <v>0</v>
      </c>
      <c r="AZ2494" s="0" t="n">
        <f aca="false">IF(EH2494&lt;&gt;"",1,0)</f>
        <v>0</v>
      </c>
      <c r="BB2494" s="0" t="s">
        <v>153</v>
      </c>
      <c r="CP2494" s="0" t="s">
        <v>154</v>
      </c>
    </row>
    <row r="2495" customFormat="false" ht="13.8" hidden="true" customHeight="false" outlineLevel="0" collapsed="false">
      <c r="A2495" s="0" t="s">
        <v>10764</v>
      </c>
      <c r="B2495" s="0" t="n">
        <v>78</v>
      </c>
      <c r="C2495" s="0" t="n">
        <v>478345</v>
      </c>
      <c r="D2495" s="0" t="s">
        <v>2356</v>
      </c>
      <c r="E2495" s="0" t="s">
        <v>1374</v>
      </c>
      <c r="F2495" s="0" t="str">
        <f aca="false">CONCATENATE(D2495," ",LEFT(H2495,4),"T=",AU2495,"D=",AV2495,"R=",AW2495,"M=",AX2495,"L=",AY2495,"B=",AZ2495)</f>
        <v>ARMSTRONG T=5D=0R=0M=0L=0B=0</v>
      </c>
      <c r="G2495" s="0" t="s">
        <v>241</v>
      </c>
      <c r="I2495" s="0" t="s">
        <v>10765</v>
      </c>
      <c r="J2495" s="0" t="s">
        <v>476</v>
      </c>
      <c r="K2495" s="0" t="s">
        <v>175</v>
      </c>
      <c r="L2495" s="0"/>
      <c r="M2495" s="0" t="s">
        <v>10759</v>
      </c>
      <c r="N2495" s="0" t="str">
        <f aca="false">RIGHT(M2495,LEN(M2495)-FIND(" ",M2495))</f>
        <v>SHERIDAN AVE NE</v>
      </c>
      <c r="P2495" s="0" t="s">
        <v>146</v>
      </c>
      <c r="Q2495" s="0" t="s">
        <v>147</v>
      </c>
      <c r="R2495" s="0" t="n">
        <v>44483</v>
      </c>
      <c r="AD2495" s="0" t="s">
        <v>148</v>
      </c>
      <c r="AE2495" s="0" t="s">
        <v>149</v>
      </c>
      <c r="AF2495" s="0" t="s">
        <v>150</v>
      </c>
      <c r="AH2495" s="0" t="n">
        <v>14</v>
      </c>
      <c r="AI2495" s="0" t="n">
        <v>11</v>
      </c>
      <c r="AN2495" s="0" t="s">
        <v>146</v>
      </c>
      <c r="AO2495" s="0" t="s">
        <v>236</v>
      </c>
      <c r="AP2495" s="0" t="s">
        <v>237</v>
      </c>
      <c r="AQ2495" s="0" t="n">
        <v>9</v>
      </c>
      <c r="AR2495" s="0" t="n">
        <v>64</v>
      </c>
      <c r="AS2495" s="0" t="n">
        <v>32</v>
      </c>
      <c r="AU2495" s="0" t="n">
        <f aca="false">COUNTA($BA$842:$EH$842)</f>
        <v>5</v>
      </c>
      <c r="AV2495" s="0" t="n">
        <f aca="false">COUNTIF($BA$842:$EH$842,"D")</f>
        <v>0</v>
      </c>
      <c r="AW2495" s="0" t="n">
        <f aca="false">COUNTIF($BA$842:$EH$842,"R")</f>
        <v>0</v>
      </c>
      <c r="AX2495" s="0" t="n">
        <f aca="false"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>0</v>
      </c>
      <c r="AY2495" s="0" t="n">
        <f aca="false">COUNTIF(DU2495:EH2495, "&lt;&gt;")</f>
        <v>0</v>
      </c>
      <c r="AZ2495" s="0" t="n">
        <f aca="false">IF(EH2495&lt;&gt;"",1,0)</f>
        <v>0</v>
      </c>
      <c r="BB2495" s="0" t="s">
        <v>153</v>
      </c>
    </row>
    <row r="2496" customFormat="false" ht="13.8" hidden="true" customHeight="false" outlineLevel="0" collapsed="false">
      <c r="A2496" s="0" t="s">
        <v>10766</v>
      </c>
      <c r="B2496" s="0" t="n">
        <v>78</v>
      </c>
      <c r="C2496" s="0" t="n">
        <v>274992</v>
      </c>
      <c r="D2496" s="0" t="s">
        <v>2410</v>
      </c>
      <c r="E2496" s="0" t="s">
        <v>10767</v>
      </c>
      <c r="F2496" s="0" t="str">
        <f aca="false">CONCATENATE(D2496," ",LEFT(H2496,4),"T=",AU2496,"D=",AV2496,"R=",AW2496,"M=",AX2496,"L=",AY2496,"B=",AZ2496)</f>
        <v>BARNES T=1D=0R=0M=0L=1B=0</v>
      </c>
      <c r="G2496" s="0" t="s">
        <v>155</v>
      </c>
      <c r="I2496" s="0" t="s">
        <v>10768</v>
      </c>
      <c r="J2496" s="0" t="s">
        <v>2688</v>
      </c>
      <c r="K2496" s="0" t="s">
        <v>175</v>
      </c>
      <c r="L2496" s="0"/>
      <c r="M2496" s="0" t="s">
        <v>10759</v>
      </c>
      <c r="N2496" s="0" t="str">
        <f aca="false">RIGHT(M2496,LEN(M2496)-FIND(" ",M2496))</f>
        <v>SHERIDAN AVE NE</v>
      </c>
      <c r="P2496" s="0" t="s">
        <v>146</v>
      </c>
      <c r="Q2496" s="0" t="s">
        <v>147</v>
      </c>
      <c r="R2496" s="0" t="n">
        <v>44483</v>
      </c>
      <c r="AD2496" s="0" t="s">
        <v>148</v>
      </c>
      <c r="AE2496" s="0" t="s">
        <v>149</v>
      </c>
      <c r="AF2496" s="0" t="s">
        <v>150</v>
      </c>
      <c r="AH2496" s="0" t="n">
        <v>14</v>
      </c>
      <c r="AI2496" s="0" t="n">
        <v>11</v>
      </c>
      <c r="AN2496" s="0" t="s">
        <v>146</v>
      </c>
      <c r="AO2496" s="0" t="s">
        <v>236</v>
      </c>
      <c r="AP2496" s="0" t="s">
        <v>237</v>
      </c>
      <c r="AQ2496" s="0" t="n">
        <v>9</v>
      </c>
      <c r="AR2496" s="0" t="n">
        <v>64</v>
      </c>
      <c r="AS2496" s="0" t="n">
        <v>32</v>
      </c>
      <c r="AU2496" s="0" t="n">
        <f aca="false">COUNTA($BA$906:$EH$906)</f>
        <v>1</v>
      </c>
      <c r="AV2496" s="0" t="n">
        <f aca="false">COUNTIF($BA$906:$EH$906,"D")</f>
        <v>0</v>
      </c>
      <c r="AW2496" s="0" t="n">
        <f aca="false">COUNTIF($BA$906:$EH$906,"R")</f>
        <v>0</v>
      </c>
      <c r="AX2496" s="0" t="n">
        <f aca="false"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>0</v>
      </c>
      <c r="AY2496" s="0" t="n">
        <f aca="false">COUNTIF(DU2496:EH2496, "&lt;&gt;")</f>
        <v>1</v>
      </c>
      <c r="AZ2496" s="0" t="n">
        <f aca="false">IF(EH2496&lt;&gt;"",1,0)</f>
        <v>0</v>
      </c>
      <c r="BB2496" s="0" t="s">
        <v>153</v>
      </c>
      <c r="BJ2496" s="0" t="s">
        <v>154</v>
      </c>
      <c r="BL2496" s="0" t="s">
        <v>154</v>
      </c>
      <c r="BY2496" s="0" t="s">
        <v>155</v>
      </c>
      <c r="CA2496" s="0" t="s">
        <v>154</v>
      </c>
      <c r="CK2496" s="0" t="s">
        <v>154</v>
      </c>
      <c r="CN2496" s="0" t="s">
        <v>154</v>
      </c>
      <c r="CP2496" s="0" t="s">
        <v>154</v>
      </c>
      <c r="CV2496" s="0" t="s">
        <v>154</v>
      </c>
      <c r="CY2496" s="0" t="s">
        <v>154</v>
      </c>
      <c r="CZ2496" s="0" t="s">
        <v>155</v>
      </c>
      <c r="DC2496" s="0" t="s">
        <v>154</v>
      </c>
      <c r="DI2496" s="0" t="s">
        <v>154</v>
      </c>
      <c r="DM2496" s="0" t="s">
        <v>155</v>
      </c>
      <c r="DN2496" s="0" t="s">
        <v>154</v>
      </c>
      <c r="EF2496" s="0" t="s">
        <v>154</v>
      </c>
    </row>
    <row r="2497" customFormat="false" ht="13.8" hidden="true" customHeight="false" outlineLevel="0" collapsed="false">
      <c r="A2497" s="0" t="s">
        <v>10769</v>
      </c>
      <c r="B2497" s="0" t="n">
        <v>78</v>
      </c>
      <c r="C2497" s="0" t="n">
        <v>423632</v>
      </c>
      <c r="D2497" s="0" t="s">
        <v>10770</v>
      </c>
      <c r="E2497" s="0" t="s">
        <v>429</v>
      </c>
      <c r="F2497" s="0" t="str">
        <f aca="false">CONCATENATE(D2497," ",LEFT(H2497,4),"T=",AU2497,"D=",AV2497,"R=",AW2497,"M=",AX2497,"L=",AY2497,"B=",AZ2497)</f>
        <v>SAYERS T=7D=2R=0M=0L=0B=0</v>
      </c>
      <c r="G2497" s="0" t="s">
        <v>297</v>
      </c>
      <c r="I2497" s="0" t="s">
        <v>6518</v>
      </c>
      <c r="J2497" s="0" t="s">
        <v>10771</v>
      </c>
      <c r="K2497" s="0" t="s">
        <v>144</v>
      </c>
      <c r="L2497" s="0"/>
      <c r="M2497" s="0" t="s">
        <v>10772</v>
      </c>
      <c r="N2497" s="0" t="str">
        <f aca="false">RIGHT(M2497,LEN(M2497)-FIND(" ",M2497))</f>
        <v>SHERIDAN AVE NE</v>
      </c>
      <c r="P2497" s="0" t="s">
        <v>146</v>
      </c>
      <c r="Q2497" s="0" t="s">
        <v>147</v>
      </c>
      <c r="R2497" s="0" t="n">
        <v>44483</v>
      </c>
      <c r="AD2497" s="0" t="s">
        <v>148</v>
      </c>
      <c r="AE2497" s="0" t="s">
        <v>149</v>
      </c>
      <c r="AF2497" s="0" t="s">
        <v>150</v>
      </c>
      <c r="AH2497" s="0" t="n">
        <v>14</v>
      </c>
      <c r="AI2497" s="0" t="n">
        <v>11</v>
      </c>
      <c r="AN2497" s="0" t="s">
        <v>146</v>
      </c>
      <c r="AO2497" s="0" t="s">
        <v>236</v>
      </c>
      <c r="AP2497" s="0" t="s">
        <v>237</v>
      </c>
      <c r="AQ2497" s="0" t="n">
        <v>9</v>
      </c>
      <c r="AR2497" s="0" t="n">
        <v>64</v>
      </c>
      <c r="AS2497" s="0" t="n">
        <v>32</v>
      </c>
      <c r="AU2497" s="0" t="n">
        <f aca="false">COUNTA($BA$920:$EH$920)</f>
        <v>7</v>
      </c>
      <c r="AV2497" s="0" t="n">
        <f aca="false">COUNTIF($BA$920:$EH$920,"D")</f>
        <v>2</v>
      </c>
      <c r="AW2497" s="0" t="n">
        <f aca="false">COUNTIF($BA$920:$EH$920,"R")</f>
        <v>0</v>
      </c>
      <c r="AX2497" s="0" t="n">
        <f aca="false"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>0</v>
      </c>
      <c r="AY2497" s="0" t="n">
        <f aca="false">COUNTIF(DU2497:EH2497, "&lt;&gt;")</f>
        <v>0</v>
      </c>
      <c r="AZ2497" s="0" t="n">
        <f aca="false">IF(EH2497&lt;&gt;"",1,0)</f>
        <v>0</v>
      </c>
      <c r="BB2497" s="0" t="s">
        <v>153</v>
      </c>
    </row>
    <row r="2498" customFormat="false" ht="13.8" hidden="false" customHeight="false" outlineLevel="0" collapsed="false">
      <c r="A2498" s="0" t="s">
        <v>10773</v>
      </c>
      <c r="B2498" s="0" t="n">
        <v>78</v>
      </c>
      <c r="C2498" s="0" t="n">
        <v>322815</v>
      </c>
      <c r="D2498" s="0" t="s">
        <v>2433</v>
      </c>
      <c r="E2498" s="0" t="s">
        <v>429</v>
      </c>
      <c r="F2498" s="0" t="str">
        <f aca="false">CONCATENATE(D2498," ",LEFT(H2498,4),"T=",AU2498,"D=",AV2498,"R=",AW2498,"M=",AX2498,"L=",AY2498,"B=",AZ2498)</f>
        <v>SHAFFER IIT=3D=0R=0M=0L=2B=0</v>
      </c>
      <c r="G2498" s="0" t="s">
        <v>188</v>
      </c>
      <c r="H2498" s="0" t="s">
        <v>598</v>
      </c>
      <c r="I2498" s="0" t="s">
        <v>10774</v>
      </c>
      <c r="J2498" s="0" t="s">
        <v>10775</v>
      </c>
      <c r="K2498" s="0" t="s">
        <v>175</v>
      </c>
      <c r="M2498" s="0" t="s">
        <v>10776</v>
      </c>
      <c r="N2498" s="0" t="str">
        <f aca="false">RIGHT(M2498,LEN(M2498)-FIND(" ",M2498))</f>
        <v>SHERIDAN AVE NE</v>
      </c>
      <c r="P2498" s="0" t="s">
        <v>146</v>
      </c>
      <c r="Q2498" s="0" t="s">
        <v>147</v>
      </c>
      <c r="R2498" s="0" t="n">
        <v>44483</v>
      </c>
      <c r="AD2498" s="0" t="s">
        <v>148</v>
      </c>
      <c r="AE2498" s="0" t="s">
        <v>149</v>
      </c>
      <c r="AF2498" s="0" t="s">
        <v>150</v>
      </c>
      <c r="AH2498" s="0" t="n">
        <v>14</v>
      </c>
      <c r="AI2498" s="0" t="n">
        <v>11</v>
      </c>
      <c r="AN2498" s="0" t="s">
        <v>146</v>
      </c>
      <c r="AO2498" s="0" t="s">
        <v>236</v>
      </c>
      <c r="AP2498" s="0" t="s">
        <v>237</v>
      </c>
      <c r="AQ2498" s="0" t="n">
        <v>9</v>
      </c>
      <c r="AR2498" s="0" t="n">
        <v>64</v>
      </c>
      <c r="AS2498" s="0" t="n">
        <v>32</v>
      </c>
      <c r="AU2498" s="0" t="n">
        <f aca="false">COUNTA($BA$684:$EH$684)</f>
        <v>3</v>
      </c>
      <c r="AV2498" s="0" t="n">
        <f aca="false">COUNTIF($BA$684:$EH$684,"D")</f>
        <v>0</v>
      </c>
      <c r="AW2498" s="0" t="n">
        <f aca="false">COUNTIF($BA$684:$EH$684,"R")</f>
        <v>0</v>
      </c>
      <c r="AX2498" s="0" t="n">
        <f aca="false"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>0</v>
      </c>
      <c r="AY2498" s="0" t="n">
        <f aca="false">COUNTIF(DU2498:EH2498, "&lt;&gt;")</f>
        <v>2</v>
      </c>
      <c r="AZ2498" s="0" t="n">
        <f aca="false">IF(EH2498&lt;&gt;"",1,0)</f>
        <v>0</v>
      </c>
      <c r="BB2498" s="0" t="s">
        <v>153</v>
      </c>
      <c r="BL2498" s="0" t="s">
        <v>154</v>
      </c>
      <c r="CA2498" s="0" t="s">
        <v>154</v>
      </c>
      <c r="CP2498" s="0" t="s">
        <v>154</v>
      </c>
      <c r="CZ2498" s="0" t="s">
        <v>176</v>
      </c>
      <c r="DC2498" s="0" t="s">
        <v>154</v>
      </c>
      <c r="DN2498" s="0" t="s">
        <v>154</v>
      </c>
      <c r="DU2498" s="0" t="s">
        <v>154</v>
      </c>
      <c r="EF2498" s="0" t="s">
        <v>154</v>
      </c>
    </row>
    <row r="2499" customFormat="false" ht="13.8" hidden="false" customHeight="false" outlineLevel="0" collapsed="false">
      <c r="A2499" s="0" t="s">
        <v>10777</v>
      </c>
      <c r="B2499" s="0" t="n">
        <v>78</v>
      </c>
      <c r="C2499" s="0" t="n">
        <v>267649</v>
      </c>
      <c r="D2499" s="0" t="s">
        <v>2433</v>
      </c>
      <c r="E2499" s="0" t="s">
        <v>10778</v>
      </c>
      <c r="F2499" s="0" t="str">
        <f aca="false">CONCATENATE(D2499," ",LEFT(H2499,4),"T=",AU2499,"D=",AV2499,"R=",AW2499,"M=",AX2499,"L=",AY2499,"B=",AZ2499)</f>
        <v>SHAFFER T=4D=0R=0M=1L=4B=0</v>
      </c>
      <c r="G2499" s="0" t="s">
        <v>176</v>
      </c>
      <c r="I2499" s="0" t="s">
        <v>10779</v>
      </c>
      <c r="J2499" s="0" t="s">
        <v>10775</v>
      </c>
      <c r="K2499" s="0" t="s">
        <v>175</v>
      </c>
      <c r="L2499" s="1" t="s">
        <v>155</v>
      </c>
      <c r="M2499" s="0" t="s">
        <v>10776</v>
      </c>
      <c r="N2499" s="0" t="str">
        <f aca="false">RIGHT(M2499,LEN(M2499)-FIND(" ",M2499))</f>
        <v>SHERIDAN AVE NE</v>
      </c>
      <c r="P2499" s="0" t="s">
        <v>146</v>
      </c>
      <c r="Q2499" s="0" t="s">
        <v>147</v>
      </c>
      <c r="R2499" s="0" t="n">
        <v>44483</v>
      </c>
      <c r="AD2499" s="0" t="s">
        <v>148</v>
      </c>
      <c r="AE2499" s="0" t="s">
        <v>149</v>
      </c>
      <c r="AF2499" s="0" t="s">
        <v>150</v>
      </c>
      <c r="AH2499" s="0" t="n">
        <v>14</v>
      </c>
      <c r="AI2499" s="0" t="n">
        <v>11</v>
      </c>
      <c r="AN2499" s="0" t="s">
        <v>146</v>
      </c>
      <c r="AO2499" s="0" t="s">
        <v>236</v>
      </c>
      <c r="AP2499" s="0" t="s">
        <v>237</v>
      </c>
      <c r="AQ2499" s="0" t="n">
        <v>9</v>
      </c>
      <c r="AR2499" s="0" t="n">
        <v>64</v>
      </c>
      <c r="AS2499" s="0" t="n">
        <v>32</v>
      </c>
      <c r="AU2499" s="0" t="n">
        <f aca="false">COUNTA($BA$686:$EH$686)</f>
        <v>4</v>
      </c>
      <c r="AV2499" s="0" t="n">
        <f aca="false">COUNTIF($BA$686:$EH$686,"D")</f>
        <v>0</v>
      </c>
      <c r="AW2499" s="0" t="n">
        <f aca="false">COUNTIF($BA$686:$EH$686,"R")</f>
        <v>0</v>
      </c>
      <c r="AX2499" s="0" t="n">
        <f aca="false"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>1</v>
      </c>
      <c r="AY2499" s="0" t="n">
        <f aca="false">COUNTIF(DU2499:EH2499, "&lt;&gt;")</f>
        <v>4</v>
      </c>
      <c r="AZ2499" s="0" t="n">
        <f aca="false">IF(EH2499&lt;&gt;"",1,0)</f>
        <v>0</v>
      </c>
      <c r="BB2499" s="0" t="s">
        <v>153</v>
      </c>
      <c r="BD2499" s="0" t="s">
        <v>154</v>
      </c>
      <c r="BL2499" s="0" t="s">
        <v>154</v>
      </c>
      <c r="BS2499" s="0" t="s">
        <v>154</v>
      </c>
      <c r="BV2499" s="0" t="s">
        <v>154</v>
      </c>
      <c r="CA2499" s="0" t="s">
        <v>154</v>
      </c>
      <c r="CG2499" s="0" t="s">
        <v>154</v>
      </c>
      <c r="CK2499" s="0" t="s">
        <v>154</v>
      </c>
      <c r="CN2499" s="0" t="s">
        <v>154</v>
      </c>
      <c r="CP2499" s="0" t="s">
        <v>154</v>
      </c>
      <c r="CT2499" s="0" t="s">
        <v>154</v>
      </c>
      <c r="CV2499" s="0" t="s">
        <v>154</v>
      </c>
      <c r="CY2499" s="0" t="s">
        <v>154</v>
      </c>
      <c r="CZ2499" s="0" t="s">
        <v>176</v>
      </c>
      <c r="DC2499" s="0" t="s">
        <v>154</v>
      </c>
      <c r="DG2499" s="0" t="s">
        <v>176</v>
      </c>
      <c r="DR2499" s="0" t="s">
        <v>154</v>
      </c>
      <c r="DW2499" s="0" t="s">
        <v>155</v>
      </c>
      <c r="EA2499" s="0" t="s">
        <v>154</v>
      </c>
      <c r="ED2499" s="0" t="s">
        <v>155</v>
      </c>
      <c r="EF2499" s="0" t="s">
        <v>154</v>
      </c>
    </row>
    <row r="2500" customFormat="false" ht="13.8" hidden="true" customHeight="false" outlineLevel="0" collapsed="false">
      <c r="A2500" s="0" t="s">
        <v>10780</v>
      </c>
      <c r="B2500" s="0" t="n">
        <v>78</v>
      </c>
      <c r="C2500" s="0" t="n">
        <v>418523</v>
      </c>
      <c r="D2500" s="0" t="s">
        <v>1050</v>
      </c>
      <c r="E2500" s="0" t="s">
        <v>429</v>
      </c>
      <c r="F2500" s="0" t="str">
        <f aca="false">CONCATENATE(D2500," ",LEFT(H2500,4),"T=",AU2500,"D=",AV2500,"R=",AW2500,"M=",AX2500,"L=",AY2500,"B=",AZ2500)</f>
        <v>JOHNSON T=22D=7R=0M=0L=0B=0</v>
      </c>
      <c r="G2500" s="0" t="s">
        <v>10781</v>
      </c>
      <c r="I2500" s="0" t="s">
        <v>10782</v>
      </c>
      <c r="J2500" s="0" t="s">
        <v>10783</v>
      </c>
      <c r="K2500" s="0" t="s">
        <v>144</v>
      </c>
      <c r="L2500" s="0"/>
      <c r="M2500" s="0" t="s">
        <v>10776</v>
      </c>
      <c r="N2500" s="0" t="str">
        <f aca="false">RIGHT(M2500,LEN(M2500)-FIND(" ",M2500))</f>
        <v>SHERIDAN AVE NE</v>
      </c>
      <c r="P2500" s="0" t="s">
        <v>146</v>
      </c>
      <c r="Q2500" s="0" t="s">
        <v>147</v>
      </c>
      <c r="R2500" s="0" t="n">
        <v>44483</v>
      </c>
      <c r="AD2500" s="0" t="s">
        <v>148</v>
      </c>
      <c r="AE2500" s="0" t="s">
        <v>149</v>
      </c>
      <c r="AF2500" s="0" t="s">
        <v>150</v>
      </c>
      <c r="AH2500" s="0" t="n">
        <v>14</v>
      </c>
      <c r="AI2500" s="0" t="n">
        <v>11</v>
      </c>
      <c r="AN2500" s="0" t="s">
        <v>146</v>
      </c>
      <c r="AO2500" s="0" t="s">
        <v>236</v>
      </c>
      <c r="AP2500" s="0" t="s">
        <v>237</v>
      </c>
      <c r="AQ2500" s="0" t="n">
        <v>9</v>
      </c>
      <c r="AR2500" s="0" t="n">
        <v>64</v>
      </c>
      <c r="AS2500" s="0" t="n">
        <v>32</v>
      </c>
      <c r="AU2500" s="0" t="n">
        <f aca="false">COUNTA($BA$867:$EH$867)</f>
        <v>22</v>
      </c>
      <c r="AV2500" s="0" t="n">
        <f aca="false">COUNTIF($BA$867:$EH$867,"D")</f>
        <v>7</v>
      </c>
      <c r="AW2500" s="0" t="n">
        <f aca="false">COUNTIF($BA$867:$EH$867,"R")</f>
        <v>0</v>
      </c>
      <c r="AX2500" s="0" t="n">
        <f aca="false"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>0</v>
      </c>
      <c r="AY2500" s="0" t="n">
        <f aca="false">COUNTIF(DU2500:EH2500, "&lt;&gt;")</f>
        <v>0</v>
      </c>
      <c r="AZ2500" s="0" t="n">
        <f aca="false">IF(EH2500&lt;&gt;"",1,0)</f>
        <v>0</v>
      </c>
      <c r="BB2500" s="0" t="s">
        <v>153</v>
      </c>
    </row>
    <row r="2501" customFormat="false" ht="13.8" hidden="true" customHeight="false" outlineLevel="0" collapsed="false">
      <c r="A2501" s="0" t="s">
        <v>10784</v>
      </c>
      <c r="B2501" s="0" t="n">
        <v>78</v>
      </c>
      <c r="C2501" s="0" t="n">
        <v>484791</v>
      </c>
      <c r="D2501" s="0" t="s">
        <v>10785</v>
      </c>
      <c r="E2501" s="0" t="s">
        <v>10786</v>
      </c>
      <c r="F2501" s="0" t="str">
        <f aca="false">CONCATENATE(D2501," ",LEFT(H2501,4),"T=",AU2501,"D=",AV2501,"R=",AW2501,"M=",AX2501,"L=",AY2501,"B=",AZ2501)</f>
        <v>ORTIZ T=27D=6R=0M=0L=0B=0</v>
      </c>
      <c r="G2501" s="0" t="s">
        <v>10787</v>
      </c>
      <c r="I2501" s="0" t="s">
        <v>10788</v>
      </c>
      <c r="J2501" s="0" t="s">
        <v>10789</v>
      </c>
      <c r="K2501" s="0" t="s">
        <v>175</v>
      </c>
      <c r="L2501" s="0"/>
      <c r="M2501" s="0" t="s">
        <v>10790</v>
      </c>
      <c r="N2501" s="0" t="str">
        <f aca="false">RIGHT(M2501,LEN(M2501)-FIND(" ",M2501))</f>
        <v>SHERIDAN AVE NE</v>
      </c>
      <c r="P2501" s="0" t="s">
        <v>146</v>
      </c>
      <c r="Q2501" s="0" t="s">
        <v>147</v>
      </c>
      <c r="R2501" s="0" t="n">
        <v>44483</v>
      </c>
      <c r="AD2501" s="0" t="s">
        <v>148</v>
      </c>
      <c r="AE2501" s="0" t="s">
        <v>149</v>
      </c>
      <c r="AF2501" s="0" t="s">
        <v>150</v>
      </c>
      <c r="AH2501" s="0" t="n">
        <v>14</v>
      </c>
      <c r="AI2501" s="0" t="n">
        <v>11</v>
      </c>
      <c r="AN2501" s="0" t="s">
        <v>146</v>
      </c>
      <c r="AO2501" s="0" t="s">
        <v>236</v>
      </c>
      <c r="AP2501" s="0" t="s">
        <v>237</v>
      </c>
      <c r="AQ2501" s="0" t="n">
        <v>9</v>
      </c>
      <c r="AR2501" s="0" t="n">
        <v>64</v>
      </c>
      <c r="AS2501" s="0" t="n">
        <v>32</v>
      </c>
      <c r="AU2501" s="0" t="n">
        <f aca="false">COUNTA($BA$468:$EH$468)</f>
        <v>27</v>
      </c>
      <c r="AV2501" s="0" t="n">
        <f aca="false">COUNTIF($BA$468:$EH$468,"D")</f>
        <v>6</v>
      </c>
      <c r="AW2501" s="0" t="n">
        <f aca="false">COUNTIF($BA$468:$EH$468,"R")</f>
        <v>0</v>
      </c>
      <c r="AX2501" s="0" t="n">
        <f aca="false"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>0</v>
      </c>
      <c r="AY2501" s="0" t="n">
        <f aca="false">COUNTIF(DU2501:EH2501, "&lt;&gt;")</f>
        <v>0</v>
      </c>
      <c r="AZ2501" s="0" t="n">
        <f aca="false">IF(EH2501&lt;&gt;"",1,0)</f>
        <v>0</v>
      </c>
      <c r="BB2501" s="0" t="s">
        <v>153</v>
      </c>
    </row>
    <row r="2502" customFormat="false" ht="13.8" hidden="true" customHeight="false" outlineLevel="0" collapsed="false">
      <c r="A2502" s="0" t="s">
        <v>10791</v>
      </c>
      <c r="B2502" s="0" t="n">
        <v>78</v>
      </c>
      <c r="C2502" s="0" t="n">
        <v>452183</v>
      </c>
      <c r="D2502" s="0" t="s">
        <v>1702</v>
      </c>
      <c r="E2502" s="0" t="s">
        <v>1744</v>
      </c>
      <c r="F2502" s="0" t="str">
        <f aca="false">CONCATENATE(D2502," ",LEFT(H2502,4),"T=",AU2502,"D=",AV2502,"R=",AW2502,"M=",AX2502,"L=",AY2502,"B=",AZ2502)</f>
        <v>MORGAN T=2D=0R=0M=0L=1B=0</v>
      </c>
      <c r="G2502" s="0" t="s">
        <v>10792</v>
      </c>
      <c r="I2502" s="0" t="s">
        <v>10793</v>
      </c>
      <c r="J2502" s="0" t="s">
        <v>1704</v>
      </c>
      <c r="K2502" s="0" t="s">
        <v>175</v>
      </c>
      <c r="L2502" s="0"/>
      <c r="M2502" s="0" t="s">
        <v>10790</v>
      </c>
      <c r="N2502" s="0" t="str">
        <f aca="false">RIGHT(M2502,LEN(M2502)-FIND(" ",M2502))</f>
        <v>SHERIDAN AVE NE</v>
      </c>
      <c r="P2502" s="0" t="s">
        <v>146</v>
      </c>
      <c r="Q2502" s="0" t="s">
        <v>147</v>
      </c>
      <c r="R2502" s="0" t="n">
        <v>44483</v>
      </c>
      <c r="AD2502" s="0" t="s">
        <v>148</v>
      </c>
      <c r="AE2502" s="0" t="s">
        <v>149</v>
      </c>
      <c r="AF2502" s="0" t="s">
        <v>150</v>
      </c>
      <c r="AH2502" s="0" t="n">
        <v>14</v>
      </c>
      <c r="AI2502" s="0" t="n">
        <v>11</v>
      </c>
      <c r="AN2502" s="0" t="s">
        <v>146</v>
      </c>
      <c r="AO2502" s="0" t="s">
        <v>236</v>
      </c>
      <c r="AP2502" s="0" t="s">
        <v>237</v>
      </c>
      <c r="AQ2502" s="0" t="n">
        <v>9</v>
      </c>
      <c r="AR2502" s="0" t="n">
        <v>64</v>
      </c>
      <c r="AS2502" s="0" t="n">
        <v>32</v>
      </c>
      <c r="AU2502" s="0" t="n">
        <f aca="false">COUNTA($BA$476:$EH$476)</f>
        <v>2</v>
      </c>
      <c r="AV2502" s="0" t="n">
        <f aca="false">COUNTIF($BA$476:$EH$476,"D")</f>
        <v>0</v>
      </c>
      <c r="AW2502" s="0" t="n">
        <f aca="false">COUNTIF($BA$476:$EH$476,"R")</f>
        <v>0</v>
      </c>
      <c r="AX2502" s="0" t="n">
        <f aca="false"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>0</v>
      </c>
      <c r="AY2502" s="0" t="n">
        <f aca="false">COUNTIF(DU2502:EH2502, "&lt;&gt;")</f>
        <v>1</v>
      </c>
      <c r="AZ2502" s="0" t="n">
        <f aca="false">IF(EH2502&lt;&gt;"",1,0)</f>
        <v>0</v>
      </c>
      <c r="BB2502" s="0" t="s">
        <v>153</v>
      </c>
      <c r="DN2502" s="0" t="s">
        <v>154</v>
      </c>
      <c r="DU2502" s="0" t="s">
        <v>154</v>
      </c>
    </row>
    <row r="2503" customFormat="false" ht="13.8" hidden="true" customHeight="false" outlineLevel="0" collapsed="false">
      <c r="A2503" s="0" t="s">
        <v>10794</v>
      </c>
      <c r="B2503" s="0" t="n">
        <v>78</v>
      </c>
      <c r="C2503" s="0" t="n">
        <v>495561</v>
      </c>
      <c r="D2503" s="0" t="s">
        <v>3309</v>
      </c>
      <c r="E2503" s="0" t="s">
        <v>5587</v>
      </c>
      <c r="F2503" s="0" t="str">
        <f aca="false">CONCATENATE(D2503," ",LEFT(H2503,4),"T=",AU2503,"D=",AV2503,"R=",AW2503,"M=",AX2503,"L=",AY2503,"B=",AZ2503)</f>
        <v>SPENCER T=16D=0R=1M=0L=0B=0</v>
      </c>
      <c r="G2503" s="0" t="s">
        <v>10795</v>
      </c>
      <c r="I2503" s="0" t="s">
        <v>10796</v>
      </c>
      <c r="J2503" s="0" t="s">
        <v>10797</v>
      </c>
      <c r="K2503" s="0" t="s">
        <v>175</v>
      </c>
      <c r="L2503" s="0"/>
      <c r="M2503" s="0" t="s">
        <v>10790</v>
      </c>
      <c r="N2503" s="0" t="str">
        <f aca="false">RIGHT(M2503,LEN(M2503)-FIND(" ",M2503))</f>
        <v>SHERIDAN AVE NE</v>
      </c>
      <c r="P2503" s="0" t="s">
        <v>146</v>
      </c>
      <c r="Q2503" s="0" t="s">
        <v>147</v>
      </c>
      <c r="R2503" s="0" t="n">
        <v>44483</v>
      </c>
      <c r="AD2503" s="0" t="s">
        <v>148</v>
      </c>
      <c r="AE2503" s="0" t="s">
        <v>149</v>
      </c>
      <c r="AF2503" s="0" t="s">
        <v>150</v>
      </c>
      <c r="AH2503" s="0" t="n">
        <v>14</v>
      </c>
      <c r="AI2503" s="0" t="n">
        <v>11</v>
      </c>
      <c r="AN2503" s="0" t="s">
        <v>146</v>
      </c>
      <c r="AO2503" s="0" t="s">
        <v>236</v>
      </c>
      <c r="AP2503" s="0" t="s">
        <v>237</v>
      </c>
      <c r="AQ2503" s="0" t="n">
        <v>9</v>
      </c>
      <c r="AR2503" s="0" t="n">
        <v>64</v>
      </c>
      <c r="AS2503" s="0" t="n">
        <v>32</v>
      </c>
      <c r="AU2503" s="0" t="n">
        <f aca="false">COUNTA($BA$1002:$EH$1002)</f>
        <v>16</v>
      </c>
      <c r="AV2503" s="0" t="n">
        <f aca="false">COUNTIF($BA$1002:$EH$1002,"D")</f>
        <v>0</v>
      </c>
      <c r="AW2503" s="0" t="n">
        <f aca="false">COUNTIF($BA$1002:$EH$1002,"R")</f>
        <v>1</v>
      </c>
      <c r="AX2503" s="0" t="n">
        <f aca="false"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>0</v>
      </c>
      <c r="AY2503" s="0" t="n">
        <f aca="false">COUNTIF(DU2503:EH2503, "&lt;&gt;")</f>
        <v>0</v>
      </c>
      <c r="AZ2503" s="0" t="n">
        <f aca="false">IF(EH2503&lt;&gt;"",1,0)</f>
        <v>0</v>
      </c>
      <c r="BB2503" s="0" t="s">
        <v>153</v>
      </c>
    </row>
    <row r="2504" customFormat="false" ht="13.8" hidden="true" customHeight="false" outlineLevel="0" collapsed="false">
      <c r="A2504" s="0" t="s">
        <v>10798</v>
      </c>
      <c r="B2504" s="0" t="n">
        <v>78</v>
      </c>
      <c r="C2504" s="0" t="n">
        <v>343636</v>
      </c>
      <c r="D2504" s="0" t="s">
        <v>1861</v>
      </c>
      <c r="E2504" s="0" t="s">
        <v>2710</v>
      </c>
      <c r="F2504" s="0" t="str">
        <f aca="false">CONCATENATE(D2504," ",LEFT(H2504,4),"T=",AU2504,"D=",AV2504,"R=",AW2504,"M=",AX2504,"L=",AY2504,"B=",AZ2504)</f>
        <v>WASHINGTON T=3D=0R=0M=0L=1B=0</v>
      </c>
      <c r="G2504" s="0" t="s">
        <v>10799</v>
      </c>
      <c r="I2504" s="0" t="s">
        <v>10800</v>
      </c>
      <c r="J2504" s="0" t="s">
        <v>2583</v>
      </c>
      <c r="K2504" s="0" t="s">
        <v>175</v>
      </c>
      <c r="L2504" s="0"/>
      <c r="M2504" s="0" t="s">
        <v>10801</v>
      </c>
      <c r="N2504" s="0" t="str">
        <f aca="false">RIGHT(M2504,LEN(M2504)-FIND(" ",M2504))</f>
        <v>SHERIDAN AVE NE</v>
      </c>
      <c r="P2504" s="0" t="s">
        <v>146</v>
      </c>
      <c r="Q2504" s="0" t="s">
        <v>147</v>
      </c>
      <c r="R2504" s="0" t="n">
        <v>44483</v>
      </c>
      <c r="AD2504" s="0" t="s">
        <v>148</v>
      </c>
      <c r="AE2504" s="0" t="s">
        <v>149</v>
      </c>
      <c r="AF2504" s="0" t="s">
        <v>150</v>
      </c>
      <c r="AH2504" s="0" t="n">
        <v>14</v>
      </c>
      <c r="AI2504" s="0" t="n">
        <v>11</v>
      </c>
      <c r="AN2504" s="0" t="s">
        <v>146</v>
      </c>
      <c r="AO2504" s="0" t="s">
        <v>236</v>
      </c>
      <c r="AP2504" s="0" t="s">
        <v>237</v>
      </c>
      <c r="AQ2504" s="0" t="n">
        <v>9</v>
      </c>
      <c r="AR2504" s="0" t="n">
        <v>64</v>
      </c>
      <c r="AS2504" s="0" t="n">
        <v>32</v>
      </c>
      <c r="AU2504" s="0" t="n">
        <f aca="false">COUNTA($BA$792:$EH$792)</f>
        <v>3</v>
      </c>
      <c r="AV2504" s="0" t="n">
        <f aca="false">COUNTIF($BA$792:$EH$792,"D")</f>
        <v>0</v>
      </c>
      <c r="AW2504" s="0" t="n">
        <f aca="false">COUNTIF($BA$792:$EH$792,"R")</f>
        <v>0</v>
      </c>
      <c r="AX2504" s="0" t="n">
        <f aca="false"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>0</v>
      </c>
      <c r="AY2504" s="0" t="n">
        <f aca="false">COUNTIF(DU2504:EH2504, "&lt;&gt;")</f>
        <v>1</v>
      </c>
      <c r="AZ2504" s="0" t="n">
        <f aca="false">IF(EH2504&lt;&gt;"",1,0)</f>
        <v>0</v>
      </c>
      <c r="BB2504" s="0" t="s">
        <v>153</v>
      </c>
      <c r="CA2504" s="0" t="s">
        <v>154</v>
      </c>
      <c r="CP2504" s="0" t="s">
        <v>154</v>
      </c>
      <c r="CZ2504" s="0" t="s">
        <v>155</v>
      </c>
      <c r="DN2504" s="0" t="s">
        <v>154</v>
      </c>
      <c r="EF2504" s="0" t="s">
        <v>154</v>
      </c>
    </row>
    <row r="2505" customFormat="false" ht="13.8" hidden="true" customHeight="false" outlineLevel="0" collapsed="false">
      <c r="A2505" s="0" t="s">
        <v>10802</v>
      </c>
      <c r="B2505" s="0" t="n">
        <v>78</v>
      </c>
      <c r="C2505" s="0" t="n">
        <v>461061</v>
      </c>
      <c r="D2505" s="0" t="s">
        <v>3369</v>
      </c>
      <c r="E2505" s="0" t="s">
        <v>750</v>
      </c>
      <c r="F2505" s="0" t="str">
        <f aca="false">CONCATENATE(D2505," ",LEFT(H2505,4),"T=",AU2505,"D=",AV2505,"R=",AW2505,"M=",AX2505,"L=",AY2505,"B=",AZ2505)</f>
        <v>FREDERICK T=8D=0R=0M=0L=0B=0</v>
      </c>
      <c r="G2505" s="0" t="s">
        <v>1374</v>
      </c>
      <c r="I2505" s="0" t="s">
        <v>10803</v>
      </c>
      <c r="J2505" s="0" t="s">
        <v>7887</v>
      </c>
      <c r="K2505" s="0" t="s">
        <v>144</v>
      </c>
      <c r="L2505" s="0"/>
      <c r="M2505" s="0" t="s">
        <v>10804</v>
      </c>
      <c r="N2505" s="0" t="str">
        <f aca="false">RIGHT(M2505,LEN(M2505)-FIND(" ",M2505))</f>
        <v>SHERIDAN AVE NE</v>
      </c>
      <c r="P2505" s="0" t="s">
        <v>146</v>
      </c>
      <c r="Q2505" s="0" t="s">
        <v>147</v>
      </c>
      <c r="R2505" s="0" t="n">
        <v>44483</v>
      </c>
      <c r="AD2505" s="0" t="s">
        <v>148</v>
      </c>
      <c r="AE2505" s="0" t="s">
        <v>149</v>
      </c>
      <c r="AF2505" s="0" t="s">
        <v>150</v>
      </c>
      <c r="AH2505" s="0" t="n">
        <v>14</v>
      </c>
      <c r="AI2505" s="0" t="n">
        <v>11</v>
      </c>
      <c r="AN2505" s="0" t="s">
        <v>146</v>
      </c>
      <c r="AO2505" s="0" t="s">
        <v>236</v>
      </c>
      <c r="AP2505" s="0" t="s">
        <v>237</v>
      </c>
      <c r="AQ2505" s="0" t="n">
        <v>9</v>
      </c>
      <c r="AR2505" s="0" t="n">
        <v>64</v>
      </c>
      <c r="AS2505" s="0" t="n">
        <v>32</v>
      </c>
      <c r="AU2505" s="0" t="n">
        <f aca="false">COUNTA($BA$112:$EH$112)</f>
        <v>8</v>
      </c>
      <c r="AV2505" s="0" t="n">
        <f aca="false">COUNTIF($BA$112:$EH$112,"D")</f>
        <v>0</v>
      </c>
      <c r="AW2505" s="0" t="n">
        <f aca="false">COUNTIF($BA$112:$EH$112,"R")</f>
        <v>0</v>
      </c>
      <c r="AX2505" s="0" t="n">
        <f aca="false"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>0</v>
      </c>
      <c r="AY2505" s="0" t="n">
        <f aca="false">COUNTIF(DU2505:EH2505, "&lt;&gt;")</f>
        <v>0</v>
      </c>
      <c r="AZ2505" s="0" t="n">
        <f aca="false">IF(EH2505&lt;&gt;"",1,0)</f>
        <v>0</v>
      </c>
      <c r="BB2505" s="0" t="s">
        <v>153</v>
      </c>
    </row>
    <row r="2506" customFormat="false" ht="13.8" hidden="true" customHeight="false" outlineLevel="0" collapsed="false">
      <c r="A2506" s="0" t="s">
        <v>10805</v>
      </c>
      <c r="B2506" s="0" t="n">
        <v>78</v>
      </c>
      <c r="C2506" s="0" t="n">
        <v>163346</v>
      </c>
      <c r="D2506" s="0" t="s">
        <v>1072</v>
      </c>
      <c r="E2506" s="0" t="s">
        <v>278</v>
      </c>
      <c r="F2506" s="0" t="str">
        <f aca="false">CONCATENATE(D2506," ",LEFT(H2506,4),"T=",AU2506,"D=",AV2506,"R=",AW2506,"M=",AX2506,"L=",AY2506,"B=",AZ2506)</f>
        <v>UNDERWOOD T=10D=3R=0M=0L=0B=0</v>
      </c>
      <c r="I2506" s="0" t="s">
        <v>10806</v>
      </c>
      <c r="J2506" s="0" t="s">
        <v>7684</v>
      </c>
      <c r="K2506" s="0" t="s">
        <v>144</v>
      </c>
      <c r="L2506" s="0"/>
      <c r="M2506" s="0" t="s">
        <v>10807</v>
      </c>
      <c r="N2506" s="0" t="str">
        <f aca="false">RIGHT(M2506,LEN(M2506)-FIND(" ",M2506))</f>
        <v>SHERIDAN AVE NE</v>
      </c>
      <c r="P2506" s="0" t="s">
        <v>146</v>
      </c>
      <c r="Q2506" s="0" t="s">
        <v>147</v>
      </c>
      <c r="R2506" s="0" t="n">
        <v>44483</v>
      </c>
      <c r="AD2506" s="0" t="s">
        <v>148</v>
      </c>
      <c r="AE2506" s="0" t="s">
        <v>149</v>
      </c>
      <c r="AF2506" s="0" t="s">
        <v>150</v>
      </c>
      <c r="AH2506" s="0" t="n">
        <v>14</v>
      </c>
      <c r="AI2506" s="0" t="n">
        <v>11</v>
      </c>
      <c r="AN2506" s="0" t="s">
        <v>146</v>
      </c>
      <c r="AO2506" s="0" t="s">
        <v>236</v>
      </c>
      <c r="AP2506" s="0" t="s">
        <v>237</v>
      </c>
      <c r="AQ2506" s="0" t="n">
        <v>9</v>
      </c>
      <c r="AR2506" s="0" t="n">
        <v>64</v>
      </c>
      <c r="AS2506" s="0" t="n">
        <v>32</v>
      </c>
      <c r="AU2506" s="0" t="n">
        <f aca="false">COUNTA($BA$583:$EH$583)</f>
        <v>10</v>
      </c>
      <c r="AV2506" s="0" t="n">
        <f aca="false">COUNTIF($BA$583:$EH$583,"D")</f>
        <v>3</v>
      </c>
      <c r="AW2506" s="0" t="n">
        <f aca="false">COUNTIF($BA$583:$EH$583,"R")</f>
        <v>0</v>
      </c>
      <c r="AX2506" s="0" t="n">
        <f aca="false"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>0</v>
      </c>
      <c r="AY2506" s="0" t="n">
        <f aca="false">COUNTIF(DU2506:EH2506, "&lt;&gt;")</f>
        <v>0</v>
      </c>
      <c r="AZ2506" s="0" t="n">
        <f aca="false">IF(EH2506&lt;&gt;"",1,0)</f>
        <v>0</v>
      </c>
      <c r="BB2506" s="0" t="s">
        <v>153</v>
      </c>
      <c r="BC2506" s="0" t="s">
        <v>154</v>
      </c>
      <c r="BD2506" s="0" t="s">
        <v>154</v>
      </c>
      <c r="BE2506" s="0" t="s">
        <v>154</v>
      </c>
      <c r="BH2506" s="0" t="s">
        <v>154</v>
      </c>
      <c r="BJ2506" s="0" t="s">
        <v>154</v>
      </c>
      <c r="BL2506" s="0" t="s">
        <v>154</v>
      </c>
      <c r="BY2506" s="0" t="s">
        <v>155</v>
      </c>
      <c r="CK2506" s="0" t="s">
        <v>154</v>
      </c>
      <c r="CP2506" s="0" t="s">
        <v>154</v>
      </c>
      <c r="CY2506" s="0" t="s">
        <v>154</v>
      </c>
      <c r="CZ2506" s="0" t="s">
        <v>176</v>
      </c>
      <c r="DC2506" s="0" t="s">
        <v>154</v>
      </c>
      <c r="DN2506" s="0" t="s">
        <v>154</v>
      </c>
    </row>
    <row r="2507" customFormat="false" ht="13.8" hidden="true" customHeight="false" outlineLevel="0" collapsed="false">
      <c r="A2507" s="0" t="s">
        <v>10808</v>
      </c>
      <c r="B2507" s="0" t="n">
        <v>78</v>
      </c>
      <c r="C2507" s="0" t="n">
        <v>377300</v>
      </c>
      <c r="D2507" s="0" t="s">
        <v>10809</v>
      </c>
      <c r="E2507" s="0" t="s">
        <v>920</v>
      </c>
      <c r="F2507" s="0" t="str">
        <f aca="false">CONCATENATE(D2507," ",LEFT(H2507,4),"T=",AU2507,"D=",AV2507,"R=",AW2507,"M=",AX2507,"L=",AY2507,"B=",AZ2507)</f>
        <v>PURDY T=2D=0R=0M=0L=1B=0</v>
      </c>
      <c r="G2507" s="0" t="s">
        <v>188</v>
      </c>
      <c r="I2507" s="0" t="s">
        <v>10810</v>
      </c>
      <c r="J2507" s="0" t="s">
        <v>10811</v>
      </c>
      <c r="K2507" s="0" t="s">
        <v>175</v>
      </c>
      <c r="L2507" s="0"/>
      <c r="M2507" s="0" t="s">
        <v>10812</v>
      </c>
      <c r="N2507" s="0" t="str">
        <f aca="false">RIGHT(M2507,LEN(M2507)-FIND(" ",M2507))</f>
        <v>SHERIDAN AVE NE</v>
      </c>
      <c r="P2507" s="0" t="s">
        <v>146</v>
      </c>
      <c r="Q2507" s="0" t="s">
        <v>147</v>
      </c>
      <c r="R2507" s="0" t="n">
        <v>44483</v>
      </c>
      <c r="AD2507" s="0" t="s">
        <v>148</v>
      </c>
      <c r="AE2507" s="0" t="s">
        <v>149</v>
      </c>
      <c r="AF2507" s="0" t="s">
        <v>150</v>
      </c>
      <c r="AH2507" s="0" t="n">
        <v>14</v>
      </c>
      <c r="AI2507" s="0" t="n">
        <v>11</v>
      </c>
      <c r="AN2507" s="0" t="s">
        <v>146</v>
      </c>
      <c r="AO2507" s="0" t="s">
        <v>236</v>
      </c>
      <c r="AP2507" s="0" t="s">
        <v>237</v>
      </c>
      <c r="AQ2507" s="0" t="n">
        <v>9</v>
      </c>
      <c r="AR2507" s="0" t="n">
        <v>64</v>
      </c>
      <c r="AS2507" s="0" t="n">
        <v>32</v>
      </c>
      <c r="AU2507" s="0" t="n">
        <f aca="false">COUNTA($BA$331:$EH$331)</f>
        <v>2</v>
      </c>
      <c r="AV2507" s="0" t="n">
        <f aca="false">COUNTIF($BA$331:$EH$331,"D")</f>
        <v>0</v>
      </c>
      <c r="AW2507" s="0" t="n">
        <f aca="false">COUNTIF($BA$331:$EH$331,"R")</f>
        <v>0</v>
      </c>
      <c r="AX2507" s="0" t="n">
        <f aca="false"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>0</v>
      </c>
      <c r="AY2507" s="0" t="n">
        <f aca="false">COUNTIF(DU2507:EH2507, "&lt;&gt;")</f>
        <v>1</v>
      </c>
      <c r="AZ2507" s="0" t="n">
        <f aca="false">IF(EH2507&lt;&gt;"",1,0)</f>
        <v>0</v>
      </c>
      <c r="BB2507" s="0" t="s">
        <v>153</v>
      </c>
      <c r="BD2507" s="0" t="s">
        <v>154</v>
      </c>
      <c r="BJ2507" s="0" t="s">
        <v>154</v>
      </c>
      <c r="BL2507" s="0" t="s">
        <v>154</v>
      </c>
      <c r="BP2507" s="0" t="s">
        <v>154</v>
      </c>
      <c r="BS2507" s="0" t="s">
        <v>154</v>
      </c>
      <c r="BV2507" s="0" t="s">
        <v>154</v>
      </c>
      <c r="CA2507" s="0" t="s">
        <v>154</v>
      </c>
      <c r="CG2507" s="0" t="s">
        <v>154</v>
      </c>
      <c r="CK2507" s="0" t="s">
        <v>154</v>
      </c>
      <c r="CP2507" s="0" t="s">
        <v>154</v>
      </c>
      <c r="DN2507" s="0" t="s">
        <v>154</v>
      </c>
      <c r="EF2507" s="0" t="s">
        <v>154</v>
      </c>
    </row>
    <row r="2508" customFormat="false" ht="13.8" hidden="true" customHeight="false" outlineLevel="0" collapsed="false">
      <c r="A2508" s="0" t="s">
        <v>10813</v>
      </c>
      <c r="B2508" s="0" t="n">
        <v>78</v>
      </c>
      <c r="C2508" s="0" t="n">
        <v>291734</v>
      </c>
      <c r="D2508" s="0" t="s">
        <v>10814</v>
      </c>
      <c r="E2508" s="0" t="s">
        <v>962</v>
      </c>
      <c r="F2508" s="0" t="str">
        <f aca="false">CONCATENATE(D2508," ",LEFT(H2508,4),"T=",AU2508,"D=",AV2508,"R=",AW2508,"M=",AX2508,"L=",AY2508,"B=",AZ2508)</f>
        <v>CREAN T=1D=0R=0M=0L=1B=0</v>
      </c>
      <c r="G2508" s="0" t="s">
        <v>222</v>
      </c>
      <c r="I2508" s="0" t="s">
        <v>10815</v>
      </c>
      <c r="J2508" s="0" t="s">
        <v>1191</v>
      </c>
      <c r="K2508" s="0" t="s">
        <v>175</v>
      </c>
      <c r="L2508" s="0"/>
      <c r="M2508" s="0" t="s">
        <v>10816</v>
      </c>
      <c r="N2508" s="0" t="str">
        <f aca="false">RIGHT(M2508,LEN(M2508)-FIND(" ",M2508))</f>
        <v>SHERIDAN AVE NE</v>
      </c>
      <c r="P2508" s="0" t="s">
        <v>146</v>
      </c>
      <c r="Q2508" s="0" t="s">
        <v>147</v>
      </c>
      <c r="R2508" s="0" t="n">
        <v>44483</v>
      </c>
      <c r="AD2508" s="0" t="s">
        <v>148</v>
      </c>
      <c r="AE2508" s="0" t="s">
        <v>149</v>
      </c>
      <c r="AF2508" s="0" t="s">
        <v>150</v>
      </c>
      <c r="AH2508" s="0" t="n">
        <v>14</v>
      </c>
      <c r="AI2508" s="0" t="n">
        <v>11</v>
      </c>
      <c r="AN2508" s="0" t="s">
        <v>146</v>
      </c>
      <c r="AO2508" s="0" t="s">
        <v>236</v>
      </c>
      <c r="AP2508" s="0" t="s">
        <v>237</v>
      </c>
      <c r="AQ2508" s="0" t="n">
        <v>9</v>
      </c>
      <c r="AR2508" s="0" t="n">
        <v>64</v>
      </c>
      <c r="AS2508" s="0" t="n">
        <v>32</v>
      </c>
      <c r="AU2508" s="0" t="n">
        <f aca="false">COUNTA($BA$678:$EH$678)</f>
        <v>1</v>
      </c>
      <c r="AV2508" s="0" t="n">
        <f aca="false">COUNTIF($BA$678:$EH$678,"D")</f>
        <v>0</v>
      </c>
      <c r="AW2508" s="0" t="n">
        <f aca="false">COUNTIF($BA$678:$EH$678,"R")</f>
        <v>0</v>
      </c>
      <c r="AX2508" s="0" t="n">
        <f aca="false"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>0</v>
      </c>
      <c r="AY2508" s="0" t="n">
        <f aca="false">COUNTIF(DU2508:EH2508, "&lt;&gt;")</f>
        <v>1</v>
      </c>
      <c r="AZ2508" s="0" t="n">
        <f aca="false">IF(EH2508&lt;&gt;"",1,0)</f>
        <v>0</v>
      </c>
      <c r="BB2508" s="0" t="s">
        <v>153</v>
      </c>
      <c r="BD2508" s="0" t="s">
        <v>154</v>
      </c>
      <c r="BE2508" s="0" t="s">
        <v>154</v>
      </c>
      <c r="BJ2508" s="0" t="s">
        <v>154</v>
      </c>
      <c r="BK2508" s="0" t="s">
        <v>154</v>
      </c>
      <c r="BL2508" s="0" t="s">
        <v>154</v>
      </c>
      <c r="BS2508" s="0" t="s">
        <v>154</v>
      </c>
      <c r="BV2508" s="0" t="s">
        <v>154</v>
      </c>
      <c r="BY2508" s="0" t="s">
        <v>155</v>
      </c>
      <c r="CA2508" s="0" t="s">
        <v>154</v>
      </c>
      <c r="CN2508" s="0" t="s">
        <v>154</v>
      </c>
      <c r="CP2508" s="0" t="s">
        <v>154</v>
      </c>
      <c r="CY2508" s="0" t="s">
        <v>154</v>
      </c>
      <c r="DC2508" s="0" t="s">
        <v>154</v>
      </c>
      <c r="DI2508" s="0" t="s">
        <v>154</v>
      </c>
      <c r="DL2508" s="0" t="s">
        <v>154</v>
      </c>
      <c r="DN2508" s="0" t="s">
        <v>154</v>
      </c>
      <c r="EF2508" s="0" t="s">
        <v>154</v>
      </c>
    </row>
    <row r="2509" customFormat="false" ht="13.8" hidden="false" customHeight="false" outlineLevel="0" collapsed="false">
      <c r="A2509" s="0" t="s">
        <v>10817</v>
      </c>
      <c r="B2509" s="0" t="n">
        <v>78</v>
      </c>
      <c r="C2509" s="0" t="n">
        <v>430284</v>
      </c>
      <c r="D2509" s="0" t="s">
        <v>10814</v>
      </c>
      <c r="E2509" s="0" t="s">
        <v>335</v>
      </c>
      <c r="F2509" s="0" t="str">
        <f aca="false">CONCATENATE(D2509," ",LEFT(H2509,4),"T=",AU2509,"D=",AV2509,"R=",AW2509,"M=",AX2509,"L=",AY2509,"B=",AZ2509)</f>
        <v>CREAN T=1D=0R=0M=0L=2B=0</v>
      </c>
      <c r="G2509" s="0" t="s">
        <v>222</v>
      </c>
      <c r="I2509" s="0" t="s">
        <v>10818</v>
      </c>
      <c r="J2509" s="0" t="s">
        <v>10819</v>
      </c>
      <c r="K2509" s="0" t="s">
        <v>175</v>
      </c>
      <c r="M2509" s="0" t="s">
        <v>10816</v>
      </c>
      <c r="N2509" s="0" t="str">
        <f aca="false">RIGHT(M2509,LEN(M2509)-FIND(" ",M2509))</f>
        <v>SHERIDAN AVE NE</v>
      </c>
      <c r="P2509" s="0" t="s">
        <v>146</v>
      </c>
      <c r="Q2509" s="0" t="s">
        <v>147</v>
      </c>
      <c r="R2509" s="0" t="n">
        <v>44483</v>
      </c>
      <c r="AD2509" s="0" t="s">
        <v>148</v>
      </c>
      <c r="AE2509" s="0" t="s">
        <v>149</v>
      </c>
      <c r="AF2509" s="0" t="s">
        <v>150</v>
      </c>
      <c r="AH2509" s="0" t="n">
        <v>14</v>
      </c>
      <c r="AI2509" s="0" t="n">
        <v>11</v>
      </c>
      <c r="AN2509" s="0" t="s">
        <v>146</v>
      </c>
      <c r="AO2509" s="0" t="s">
        <v>236</v>
      </c>
      <c r="AP2509" s="0" t="s">
        <v>237</v>
      </c>
      <c r="AQ2509" s="0" t="n">
        <v>9</v>
      </c>
      <c r="AR2509" s="0" t="n">
        <v>64</v>
      </c>
      <c r="AS2509" s="0" t="n">
        <v>32</v>
      </c>
      <c r="AU2509" s="0" t="n">
        <f aca="false">COUNTA($BA$954:$EH$954)</f>
        <v>1</v>
      </c>
      <c r="AV2509" s="0" t="n">
        <f aca="false">COUNTIF($BA$954:$EH$954,"D")</f>
        <v>0</v>
      </c>
      <c r="AW2509" s="0" t="n">
        <f aca="false">COUNTIF($BA$954:$EH$954,"R")</f>
        <v>0</v>
      </c>
      <c r="AX2509" s="0" t="n">
        <f aca="false"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>0</v>
      </c>
      <c r="AY2509" s="0" t="n">
        <f aca="false">COUNTIF(DU2509:EH2509, "&lt;&gt;")</f>
        <v>2</v>
      </c>
      <c r="AZ2509" s="0" t="n">
        <f aca="false">IF(EH2509&lt;&gt;"",1,0)</f>
        <v>0</v>
      </c>
      <c r="BB2509" s="0" t="s">
        <v>153</v>
      </c>
      <c r="BC2509" s="0" t="s">
        <v>154</v>
      </c>
      <c r="BD2509" s="0" t="s">
        <v>154</v>
      </c>
      <c r="BH2509" s="0" t="s">
        <v>154</v>
      </c>
      <c r="BJ2509" s="0" t="s">
        <v>154</v>
      </c>
      <c r="BL2509" s="0" t="s">
        <v>154</v>
      </c>
      <c r="DI2509" s="0" t="s">
        <v>154</v>
      </c>
      <c r="DN2509" s="0" t="s">
        <v>154</v>
      </c>
      <c r="DR2509" s="0" t="s">
        <v>154</v>
      </c>
      <c r="DU2509" s="0" t="s">
        <v>154</v>
      </c>
      <c r="EF2509" s="0" t="s">
        <v>154</v>
      </c>
    </row>
    <row r="2510" customFormat="false" ht="13.8" hidden="true" customHeight="false" outlineLevel="0" collapsed="false">
      <c r="A2510" s="0" t="s">
        <v>10820</v>
      </c>
      <c r="B2510" s="0" t="n">
        <v>78</v>
      </c>
      <c r="C2510" s="0" t="n">
        <v>401446</v>
      </c>
      <c r="D2510" s="0" t="s">
        <v>10821</v>
      </c>
      <c r="E2510" s="0" t="s">
        <v>1973</v>
      </c>
      <c r="F2510" s="0" t="str">
        <f aca="false">CONCATENATE(D2510," ",LEFT(H2510,4),"T=",AU2510,"D=",AV2510,"R=",AW2510,"M=",AX2510,"L=",AY2510,"B=",AZ2510)</f>
        <v>FERCANA T=12D=0R=1M=0L=1B=0</v>
      </c>
      <c r="G2510" s="0" t="s">
        <v>2230</v>
      </c>
      <c r="I2510" s="0" t="s">
        <v>10822</v>
      </c>
      <c r="J2510" s="0" t="s">
        <v>10823</v>
      </c>
      <c r="K2510" s="0" t="s">
        <v>175</v>
      </c>
      <c r="L2510" s="0"/>
      <c r="M2510" s="0" t="s">
        <v>10824</v>
      </c>
      <c r="N2510" s="0" t="str">
        <f aca="false">RIGHT(M2510,LEN(M2510)-FIND(" ",M2510))</f>
        <v>SHERIDAN AVE NE</v>
      </c>
      <c r="P2510" s="0" t="s">
        <v>146</v>
      </c>
      <c r="Q2510" s="0" t="s">
        <v>147</v>
      </c>
      <c r="R2510" s="0" t="n">
        <v>44483</v>
      </c>
      <c r="AD2510" s="0" t="s">
        <v>148</v>
      </c>
      <c r="AE2510" s="0" t="s">
        <v>149</v>
      </c>
      <c r="AF2510" s="0" t="s">
        <v>150</v>
      </c>
      <c r="AH2510" s="0" t="n">
        <v>14</v>
      </c>
      <c r="AI2510" s="0" t="n">
        <v>11</v>
      </c>
      <c r="AN2510" s="0" t="s">
        <v>146</v>
      </c>
      <c r="AO2510" s="0" t="s">
        <v>236</v>
      </c>
      <c r="AP2510" s="0" t="s">
        <v>237</v>
      </c>
      <c r="AQ2510" s="0" t="n">
        <v>9</v>
      </c>
      <c r="AR2510" s="0" t="n">
        <v>64</v>
      </c>
      <c r="AS2510" s="0" t="n">
        <v>32</v>
      </c>
      <c r="AU2510" s="0" t="n">
        <f aca="false">COUNTA($BA$1067:$EH$1067)</f>
        <v>12</v>
      </c>
      <c r="AV2510" s="0" t="n">
        <f aca="false">COUNTIF($BA$1067:$EH$1067,"D")</f>
        <v>0</v>
      </c>
      <c r="AW2510" s="0" t="n">
        <f aca="false">COUNTIF($BA$1067:$EH$1067,"R")</f>
        <v>1</v>
      </c>
      <c r="AX2510" s="0" t="n">
        <f aca="false"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>0</v>
      </c>
      <c r="AY2510" s="0" t="n">
        <f aca="false">COUNTIF(DU2510:EH2510, "&lt;&gt;")</f>
        <v>1</v>
      </c>
      <c r="AZ2510" s="0" t="n">
        <f aca="false">IF(EH2510&lt;&gt;"",1,0)</f>
        <v>0</v>
      </c>
      <c r="BB2510" s="0" t="s">
        <v>153</v>
      </c>
      <c r="EF2510" s="0" t="s">
        <v>154</v>
      </c>
    </row>
    <row r="2511" customFormat="false" ht="13.8" hidden="false" customHeight="false" outlineLevel="0" collapsed="false">
      <c r="A2511" s="0" t="s">
        <v>10825</v>
      </c>
      <c r="B2511" s="0" t="n">
        <v>78</v>
      </c>
      <c r="C2511" s="0" t="n">
        <v>85558</v>
      </c>
      <c r="D2511" s="0" t="s">
        <v>1657</v>
      </c>
      <c r="E2511" s="0" t="s">
        <v>7175</v>
      </c>
      <c r="F2511" s="0" t="str">
        <f aca="false">CONCATENATE(D2511," ",LEFT(H2511,4),"T=",AU2511,"D=",AV2511,"R=",AW2511,"M=",AX2511,"L=",AY2511,"B=",AZ2511)</f>
        <v>MILLER T=1D=0R=0M=0L=5B=0</v>
      </c>
      <c r="G2511" s="0" t="s">
        <v>241</v>
      </c>
      <c r="I2511" s="0" t="s">
        <v>10826</v>
      </c>
      <c r="J2511" s="0" t="s">
        <v>5943</v>
      </c>
      <c r="K2511" s="0" t="s">
        <v>175</v>
      </c>
      <c r="L2511" s="1" t="s">
        <v>176</v>
      </c>
      <c r="M2511" s="0" t="s">
        <v>10827</v>
      </c>
      <c r="N2511" s="0" t="str">
        <f aca="false">RIGHT(M2511,LEN(M2511)-FIND(" ",M2511))</f>
        <v>SHERIDAN AVE NE</v>
      </c>
      <c r="P2511" s="0" t="s">
        <v>146</v>
      </c>
      <c r="Q2511" s="0" t="s">
        <v>147</v>
      </c>
      <c r="R2511" s="0" t="n">
        <v>44483</v>
      </c>
      <c r="AD2511" s="0" t="s">
        <v>148</v>
      </c>
      <c r="AE2511" s="0" t="s">
        <v>149</v>
      </c>
      <c r="AF2511" s="0" t="s">
        <v>150</v>
      </c>
      <c r="AH2511" s="0" t="n">
        <v>14</v>
      </c>
      <c r="AI2511" s="0" t="n">
        <v>11</v>
      </c>
      <c r="AN2511" s="0" t="s">
        <v>146</v>
      </c>
      <c r="AO2511" s="0" t="s">
        <v>236</v>
      </c>
      <c r="AP2511" s="0" t="s">
        <v>237</v>
      </c>
      <c r="AQ2511" s="0" t="n">
        <v>9</v>
      </c>
      <c r="AR2511" s="0" t="n">
        <v>64</v>
      </c>
      <c r="AS2511" s="0" t="n">
        <v>32</v>
      </c>
      <c r="AU2511" s="0" t="n">
        <f aca="false">COUNTA($BA$772:$EH$772)</f>
        <v>1</v>
      </c>
      <c r="AV2511" s="0" t="n">
        <f aca="false">COUNTIF($BA$772:$EH$772,"D")</f>
        <v>0</v>
      </c>
      <c r="AW2511" s="0" t="n">
        <f aca="false">COUNTIF($BA$772:$EH$772,"R")</f>
        <v>0</v>
      </c>
      <c r="AX2511" s="0" t="n">
        <f aca="false"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>0</v>
      </c>
      <c r="AY2511" s="0" t="n">
        <f aca="false">COUNTIF(DU2511:EH2511, "&lt;&gt;")</f>
        <v>5</v>
      </c>
      <c r="AZ2511" s="0" t="n">
        <f aca="false">IF(EH2511&lt;&gt;"",1,0)</f>
        <v>0</v>
      </c>
      <c r="BB2511" s="0" t="s">
        <v>153</v>
      </c>
      <c r="BC2511" s="0" t="s">
        <v>154</v>
      </c>
      <c r="BD2511" s="0" t="s">
        <v>154</v>
      </c>
      <c r="BG2511" s="0" t="s">
        <v>154</v>
      </c>
      <c r="BH2511" s="0" t="s">
        <v>154</v>
      </c>
      <c r="BI2511" s="0" t="s">
        <v>154</v>
      </c>
      <c r="BJ2511" s="0" t="s">
        <v>154</v>
      </c>
      <c r="BK2511" s="0" t="s">
        <v>154</v>
      </c>
      <c r="BL2511" s="0" t="s">
        <v>154</v>
      </c>
      <c r="BP2511" s="0" t="s">
        <v>154</v>
      </c>
      <c r="BS2511" s="0" t="s">
        <v>154</v>
      </c>
      <c r="BV2511" s="0" t="s">
        <v>154</v>
      </c>
      <c r="BY2511" s="0" t="s">
        <v>155</v>
      </c>
      <c r="CA2511" s="0" t="s">
        <v>154</v>
      </c>
      <c r="CG2511" s="0" t="s">
        <v>154</v>
      </c>
      <c r="CK2511" s="0" t="s">
        <v>154</v>
      </c>
      <c r="CN2511" s="0" t="s">
        <v>154</v>
      </c>
      <c r="CO2511" s="0" t="s">
        <v>155</v>
      </c>
      <c r="CP2511" s="0" t="s">
        <v>154</v>
      </c>
      <c r="CV2511" s="0" t="s">
        <v>154</v>
      </c>
      <c r="CY2511" s="0" t="s">
        <v>154</v>
      </c>
      <c r="CZ2511" s="0" t="s">
        <v>176</v>
      </c>
      <c r="DC2511" s="0" t="s">
        <v>154</v>
      </c>
      <c r="DF2511" s="0" t="s">
        <v>154</v>
      </c>
      <c r="DI2511" s="0" t="s">
        <v>154</v>
      </c>
      <c r="DL2511" s="0" t="s">
        <v>154</v>
      </c>
      <c r="DM2511" s="0" t="s">
        <v>176</v>
      </c>
      <c r="DN2511" s="0" t="s">
        <v>154</v>
      </c>
      <c r="DS2511" s="0" t="s">
        <v>176</v>
      </c>
      <c r="DT2511" s="0" t="s">
        <v>176</v>
      </c>
      <c r="DU2511" s="0" t="s">
        <v>154</v>
      </c>
      <c r="DX2511" s="0" t="s">
        <v>154</v>
      </c>
      <c r="EA2511" s="0" t="s">
        <v>154</v>
      </c>
      <c r="ED2511" s="0" t="s">
        <v>176</v>
      </c>
      <c r="EF2511" s="0" t="s">
        <v>154</v>
      </c>
    </row>
    <row r="2512" customFormat="false" ht="13.8" hidden="true" customHeight="false" outlineLevel="0" collapsed="false">
      <c r="A2512" s="0" t="s">
        <v>10828</v>
      </c>
      <c r="B2512" s="0" t="n">
        <v>78</v>
      </c>
      <c r="C2512" s="0" t="n">
        <v>490673</v>
      </c>
      <c r="D2512" s="0" t="s">
        <v>10829</v>
      </c>
      <c r="E2512" s="0" t="s">
        <v>1210</v>
      </c>
      <c r="F2512" s="0" t="str">
        <f aca="false">CONCATENATE(D2512," ",LEFT(H2512,4),"T=",AU2512,"D=",AV2512,"R=",AW2512,"M=",AX2512,"L=",AY2512,"B=",AZ2512)</f>
        <v>GALLAGHER T=1D=0R=0M=0L=0B=0</v>
      </c>
      <c r="G2512" s="0" t="s">
        <v>750</v>
      </c>
      <c r="I2512" s="0" t="s">
        <v>10830</v>
      </c>
      <c r="J2512" s="0" t="s">
        <v>586</v>
      </c>
      <c r="K2512" s="0" t="s">
        <v>175</v>
      </c>
      <c r="L2512" s="0"/>
      <c r="M2512" s="0" t="s">
        <v>10831</v>
      </c>
      <c r="N2512" s="0" t="str">
        <f aca="false">RIGHT(M2512,LEN(M2512)-FIND(" ",M2512))</f>
        <v>SHERIDAN AVE NE</v>
      </c>
      <c r="P2512" s="0" t="s">
        <v>146</v>
      </c>
      <c r="Q2512" s="0" t="s">
        <v>147</v>
      </c>
      <c r="R2512" s="0" t="n">
        <v>44483</v>
      </c>
      <c r="AD2512" s="0" t="s">
        <v>148</v>
      </c>
      <c r="AE2512" s="0" t="s">
        <v>149</v>
      </c>
      <c r="AF2512" s="0" t="s">
        <v>150</v>
      </c>
      <c r="AH2512" s="0" t="n">
        <v>14</v>
      </c>
      <c r="AI2512" s="0" t="n">
        <v>11</v>
      </c>
      <c r="AN2512" s="0" t="s">
        <v>146</v>
      </c>
      <c r="AO2512" s="0" t="s">
        <v>236</v>
      </c>
      <c r="AP2512" s="0" t="s">
        <v>237</v>
      </c>
      <c r="AQ2512" s="0" t="n">
        <v>9</v>
      </c>
      <c r="AR2512" s="0" t="n">
        <v>64</v>
      </c>
      <c r="AS2512" s="0" t="n">
        <v>32</v>
      </c>
      <c r="AU2512" s="0" t="n">
        <f aca="false">COUNTA($BA$310:$EH$310)</f>
        <v>1</v>
      </c>
      <c r="AV2512" s="0" t="n">
        <f aca="false">COUNTIF($BA$310:$EH$310,"D")</f>
        <v>0</v>
      </c>
      <c r="AW2512" s="0" t="n">
        <f aca="false">COUNTIF($BA$310:$EH$310,"R")</f>
        <v>0</v>
      </c>
      <c r="AX2512" s="0" t="n">
        <f aca="false"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>0</v>
      </c>
      <c r="AY2512" s="0" t="n">
        <f aca="false">COUNTIF(DU2512:EH2512, "&lt;&gt;")</f>
        <v>0</v>
      </c>
      <c r="AZ2512" s="0" t="n">
        <f aca="false">IF(EH2512&lt;&gt;"",1,0)</f>
        <v>0</v>
      </c>
      <c r="BB2512" s="0" t="s">
        <v>153</v>
      </c>
      <c r="DN2512" s="0" t="s">
        <v>154</v>
      </c>
    </row>
    <row r="2513" customFormat="false" ht="13.8" hidden="true" customHeight="false" outlineLevel="0" collapsed="false">
      <c r="A2513" s="0" t="s">
        <v>10832</v>
      </c>
      <c r="B2513" s="0" t="n">
        <v>78</v>
      </c>
      <c r="C2513" s="0" t="n">
        <v>342514</v>
      </c>
      <c r="D2513" s="0" t="s">
        <v>10833</v>
      </c>
      <c r="E2513" s="0" t="s">
        <v>826</v>
      </c>
      <c r="F2513" s="0" t="str">
        <f aca="false">CONCATENATE(D2513," ",LEFT(H2513,4),"T=",AU2513,"D=",AV2513,"R=",AW2513,"M=",AX2513,"L=",AY2513,"B=",AZ2513)</f>
        <v>HESS T=2D=0R=0M=0L=0B=0</v>
      </c>
      <c r="G2513" s="0" t="s">
        <v>172</v>
      </c>
      <c r="I2513" s="0" t="s">
        <v>10834</v>
      </c>
      <c r="J2513" s="0" t="s">
        <v>10835</v>
      </c>
      <c r="K2513" s="0" t="s">
        <v>144</v>
      </c>
      <c r="L2513" s="0"/>
      <c r="M2513" s="0" t="s">
        <v>10831</v>
      </c>
      <c r="N2513" s="0" t="str">
        <f aca="false">RIGHT(M2513,LEN(M2513)-FIND(" ",M2513))</f>
        <v>SHERIDAN AVE NE</v>
      </c>
      <c r="P2513" s="0" t="s">
        <v>146</v>
      </c>
      <c r="Q2513" s="0" t="s">
        <v>147</v>
      </c>
      <c r="R2513" s="0" t="n">
        <v>44483</v>
      </c>
      <c r="AD2513" s="0" t="s">
        <v>148</v>
      </c>
      <c r="AE2513" s="0" t="s">
        <v>149</v>
      </c>
      <c r="AF2513" s="0" t="s">
        <v>150</v>
      </c>
      <c r="AH2513" s="0" t="n">
        <v>14</v>
      </c>
      <c r="AI2513" s="0" t="n">
        <v>11</v>
      </c>
      <c r="AN2513" s="0" t="s">
        <v>146</v>
      </c>
      <c r="AO2513" s="0" t="s">
        <v>236</v>
      </c>
      <c r="AP2513" s="0" t="s">
        <v>237</v>
      </c>
      <c r="AQ2513" s="0" t="n">
        <v>9</v>
      </c>
      <c r="AR2513" s="0" t="n">
        <v>64</v>
      </c>
      <c r="AS2513" s="0" t="n">
        <v>32</v>
      </c>
      <c r="AU2513" s="0" t="n">
        <f aca="false">COUNTA($BA$744:$EH$744)</f>
        <v>2</v>
      </c>
      <c r="AV2513" s="0" t="n">
        <f aca="false">COUNTIF($BA$744:$EH$744,"D")</f>
        <v>0</v>
      </c>
      <c r="AW2513" s="0" t="n">
        <f aca="false">COUNTIF($BA$744:$EH$744,"R")</f>
        <v>0</v>
      </c>
      <c r="AX2513" s="0" t="n">
        <f aca="false"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>0</v>
      </c>
      <c r="AY2513" s="0" t="n">
        <f aca="false">COUNTIF(DU2513:EH2513, "&lt;&gt;")</f>
        <v>0</v>
      </c>
      <c r="AZ2513" s="0" t="n">
        <f aca="false">IF(EH2513&lt;&gt;"",1,0)</f>
        <v>0</v>
      </c>
      <c r="BB2513" s="0" t="s">
        <v>153</v>
      </c>
      <c r="BR2513" s="0" t="s">
        <v>154</v>
      </c>
      <c r="BS2513" s="0" t="s">
        <v>154</v>
      </c>
      <c r="BV2513" s="0" t="s">
        <v>154</v>
      </c>
      <c r="BY2513" s="0" t="s">
        <v>155</v>
      </c>
      <c r="CA2513" s="0" t="s">
        <v>154</v>
      </c>
      <c r="CG2513" s="0" t="s">
        <v>154</v>
      </c>
      <c r="CP2513" s="0" t="s">
        <v>154</v>
      </c>
      <c r="DN2513" s="0" t="s">
        <v>154</v>
      </c>
    </row>
    <row r="2514" customFormat="false" ht="13.8" hidden="false" customHeight="false" outlineLevel="0" collapsed="false">
      <c r="A2514" s="0" t="s">
        <v>10836</v>
      </c>
      <c r="B2514" s="0" t="n">
        <v>78</v>
      </c>
      <c r="C2514" s="0" t="n">
        <v>452953</v>
      </c>
      <c r="D2514" s="0" t="s">
        <v>10837</v>
      </c>
      <c r="E2514" s="0" t="s">
        <v>8515</v>
      </c>
      <c r="F2514" s="0" t="str">
        <f aca="false">CONCATENATE(D2514," ",LEFT(H2514,4),"T=",AU2514,"D=",AV2514,"R=",AW2514,"M=",AX2514,"L=",AY2514,"B=",AZ2514)</f>
        <v>HARDING T=1D=0R=0M=0L=3B=0</v>
      </c>
      <c r="G2514" s="0" t="s">
        <v>241</v>
      </c>
      <c r="I2514" s="0" t="s">
        <v>10838</v>
      </c>
      <c r="J2514" s="0" t="s">
        <v>886</v>
      </c>
      <c r="K2514" s="0" t="s">
        <v>175</v>
      </c>
      <c r="L2514" s="1" t="s">
        <v>155</v>
      </c>
      <c r="M2514" s="0" t="s">
        <v>10839</v>
      </c>
      <c r="N2514" s="0" t="str">
        <f aca="false">RIGHT(M2514,LEN(M2514)-FIND(" ",M2514))</f>
        <v>SHERIDAN AVE NE</v>
      </c>
      <c r="P2514" s="0" t="s">
        <v>146</v>
      </c>
      <c r="Q2514" s="0" t="s">
        <v>147</v>
      </c>
      <c r="R2514" s="0" t="n">
        <v>44483</v>
      </c>
      <c r="AD2514" s="0" t="s">
        <v>148</v>
      </c>
      <c r="AE2514" s="0" t="s">
        <v>149</v>
      </c>
      <c r="AF2514" s="0" t="s">
        <v>150</v>
      </c>
      <c r="AH2514" s="0" t="n">
        <v>14</v>
      </c>
      <c r="AI2514" s="0" t="n">
        <v>11</v>
      </c>
      <c r="AN2514" s="0" t="s">
        <v>146</v>
      </c>
      <c r="AO2514" s="0" t="s">
        <v>236</v>
      </c>
      <c r="AP2514" s="0" t="s">
        <v>237</v>
      </c>
      <c r="AQ2514" s="0" t="n">
        <v>9</v>
      </c>
      <c r="AR2514" s="0" t="n">
        <v>64</v>
      </c>
      <c r="AS2514" s="0" t="n">
        <v>32</v>
      </c>
      <c r="AU2514" s="0" t="n">
        <f aca="false">COUNTA($BA$707:$EH$707)</f>
        <v>1</v>
      </c>
      <c r="AV2514" s="0" t="n">
        <f aca="false">COUNTIF($BA$707:$EH$707,"D")</f>
        <v>0</v>
      </c>
      <c r="AW2514" s="0" t="n">
        <f aca="false">COUNTIF($BA$707:$EH$707,"R")</f>
        <v>0</v>
      </c>
      <c r="AX2514" s="0" t="n">
        <f aca="false"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>0</v>
      </c>
      <c r="AY2514" s="0" t="n">
        <f aca="false">COUNTIF(DU2514:EH2514, "&lt;&gt;")</f>
        <v>3</v>
      </c>
      <c r="AZ2514" s="0" t="n">
        <f aca="false">IF(EH2514&lt;&gt;"",1,0)</f>
        <v>0</v>
      </c>
      <c r="BB2514" s="0" t="s">
        <v>153</v>
      </c>
      <c r="DN2514" s="0" t="s">
        <v>154</v>
      </c>
      <c r="DS2514" s="0" t="s">
        <v>155</v>
      </c>
      <c r="EA2514" s="0" t="s">
        <v>154</v>
      </c>
      <c r="ED2514" s="0" t="s">
        <v>155</v>
      </c>
      <c r="EF2514" s="0" t="s">
        <v>154</v>
      </c>
    </row>
    <row r="2515" customFormat="false" ht="13.8" hidden="true" customHeight="false" outlineLevel="0" collapsed="false">
      <c r="A2515" s="0" t="s">
        <v>10840</v>
      </c>
      <c r="B2515" s="0" t="n">
        <v>78</v>
      </c>
      <c r="C2515" s="0" t="n">
        <v>393218</v>
      </c>
      <c r="D2515" s="0" t="s">
        <v>10841</v>
      </c>
      <c r="E2515" s="0" t="s">
        <v>652</v>
      </c>
      <c r="F2515" s="0" t="str">
        <f aca="false">CONCATENATE(D2515," ",LEFT(H2515,4),"T=",AU2515,"D=",AV2515,"R=",AW2515,"M=",AX2515,"L=",AY2515,"B=",AZ2515)</f>
        <v>YALE JRT=2D=0R=0M=0L=0B=0</v>
      </c>
      <c r="G2515" s="0" t="s">
        <v>172</v>
      </c>
      <c r="H2515" s="0" t="s">
        <v>431</v>
      </c>
      <c r="I2515" s="0" t="s">
        <v>10842</v>
      </c>
      <c r="J2515" s="0" t="s">
        <v>10843</v>
      </c>
      <c r="K2515" s="0" t="s">
        <v>175</v>
      </c>
      <c r="L2515" s="0"/>
      <c r="M2515" s="0" t="s">
        <v>10844</v>
      </c>
      <c r="N2515" s="0" t="str">
        <f aca="false">RIGHT(M2515,LEN(M2515)-FIND(" ",M2515))</f>
        <v>SHERIDAN AVE NE</v>
      </c>
      <c r="P2515" s="0" t="s">
        <v>146</v>
      </c>
      <c r="Q2515" s="0" t="s">
        <v>147</v>
      </c>
      <c r="R2515" s="0" t="n">
        <v>44483</v>
      </c>
      <c r="AD2515" s="0" t="s">
        <v>148</v>
      </c>
      <c r="AE2515" s="0" t="s">
        <v>149</v>
      </c>
      <c r="AF2515" s="0" t="s">
        <v>150</v>
      </c>
      <c r="AH2515" s="0" t="n">
        <v>14</v>
      </c>
      <c r="AI2515" s="0" t="n">
        <v>11</v>
      </c>
      <c r="AN2515" s="0" t="s">
        <v>146</v>
      </c>
      <c r="AO2515" s="0" t="s">
        <v>236</v>
      </c>
      <c r="AP2515" s="0" t="s">
        <v>237</v>
      </c>
      <c r="AQ2515" s="0" t="n">
        <v>9</v>
      </c>
      <c r="AR2515" s="0" t="n">
        <v>64</v>
      </c>
      <c r="AS2515" s="0" t="n">
        <v>32</v>
      </c>
      <c r="AU2515" s="0" t="n">
        <f aca="false">COUNTA($BA$274:$EH$274)</f>
        <v>2</v>
      </c>
      <c r="AV2515" s="0" t="n">
        <f aca="false">COUNTIF($BA$274:$EH$274,"D")</f>
        <v>0</v>
      </c>
      <c r="AW2515" s="0" t="n">
        <f aca="false">COUNTIF($BA$274:$EH$274,"R")</f>
        <v>0</v>
      </c>
      <c r="AX2515" s="0" t="n">
        <f aca="false"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>0</v>
      </c>
      <c r="AY2515" s="0" t="n">
        <f aca="false">COUNTIF(DU2515:EH2515, "&lt;&gt;")</f>
        <v>0</v>
      </c>
      <c r="AZ2515" s="0" t="n">
        <f aca="false">IF(EH2515&lt;&gt;"",1,0)</f>
        <v>0</v>
      </c>
      <c r="BB2515" s="0" t="s">
        <v>153</v>
      </c>
    </row>
    <row r="2516" customFormat="false" ht="13.8" hidden="true" customHeight="false" outlineLevel="0" collapsed="false">
      <c r="A2516" s="0" t="s">
        <v>10845</v>
      </c>
      <c r="B2516" s="0" t="n">
        <v>78</v>
      </c>
      <c r="C2516" s="0" t="n">
        <v>455660</v>
      </c>
      <c r="D2516" s="0" t="s">
        <v>10841</v>
      </c>
      <c r="E2516" s="0" t="s">
        <v>652</v>
      </c>
      <c r="F2516" s="0" t="str">
        <f aca="false">CONCATENATE(D2516," ",LEFT(H2516,4),"T=",AU2516,"D=",AV2516,"R=",AW2516,"M=",AX2516,"L=",AY2516,"B=",AZ2516)</f>
        <v>YALE T=4D=1R=0M=0L=0B=0</v>
      </c>
      <c r="G2516" s="0" t="s">
        <v>172</v>
      </c>
      <c r="I2516" s="0" t="s">
        <v>2824</v>
      </c>
      <c r="J2516" s="0" t="s">
        <v>10846</v>
      </c>
      <c r="K2516" s="0" t="s">
        <v>175</v>
      </c>
      <c r="L2516" s="0"/>
      <c r="M2516" s="0" t="s">
        <v>10844</v>
      </c>
      <c r="N2516" s="0" t="str">
        <f aca="false">RIGHT(M2516,LEN(M2516)-FIND(" ",M2516))</f>
        <v>SHERIDAN AVE NE</v>
      </c>
      <c r="P2516" s="0" t="s">
        <v>146</v>
      </c>
      <c r="Q2516" s="0" t="s">
        <v>147</v>
      </c>
      <c r="R2516" s="0" t="n">
        <v>44483</v>
      </c>
      <c r="AD2516" s="0" t="s">
        <v>148</v>
      </c>
      <c r="AE2516" s="0" t="s">
        <v>149</v>
      </c>
      <c r="AF2516" s="0" t="s">
        <v>150</v>
      </c>
      <c r="AH2516" s="0" t="n">
        <v>14</v>
      </c>
      <c r="AI2516" s="0" t="n">
        <v>11</v>
      </c>
      <c r="AN2516" s="0" t="s">
        <v>146</v>
      </c>
      <c r="AO2516" s="0" t="s">
        <v>236</v>
      </c>
      <c r="AP2516" s="0" t="s">
        <v>237</v>
      </c>
      <c r="AQ2516" s="0" t="n">
        <v>9</v>
      </c>
      <c r="AR2516" s="0" t="n">
        <v>64</v>
      </c>
      <c r="AS2516" s="0" t="n">
        <v>32</v>
      </c>
      <c r="AU2516" s="0" t="n">
        <f aca="false">COUNTA($BA$767:$EH$767)</f>
        <v>4</v>
      </c>
      <c r="AV2516" s="0" t="n">
        <f aca="false">COUNTIF($BA$767:$EH$767,"D")</f>
        <v>1</v>
      </c>
      <c r="AW2516" s="0" t="n">
        <f aca="false">COUNTIF($BA$767:$EH$767,"R")</f>
        <v>0</v>
      </c>
      <c r="AX2516" s="0" t="n">
        <f aca="false"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>0</v>
      </c>
      <c r="AY2516" s="0" t="n">
        <f aca="false">COUNTIF(DU2516:EH2516, "&lt;&gt;")</f>
        <v>0</v>
      </c>
      <c r="AZ2516" s="0" t="n">
        <f aca="false">IF(EH2516&lt;&gt;"",1,0)</f>
        <v>0</v>
      </c>
      <c r="BB2516" s="0" t="s">
        <v>153</v>
      </c>
      <c r="CA2516" s="0" t="s">
        <v>154</v>
      </c>
    </row>
    <row r="2517" customFormat="false" ht="13.8" hidden="false" customHeight="false" outlineLevel="0" collapsed="false">
      <c r="A2517" s="0" t="s">
        <v>10847</v>
      </c>
      <c r="B2517" s="0" t="n">
        <v>78</v>
      </c>
      <c r="C2517" s="0" t="n">
        <v>261696</v>
      </c>
      <c r="D2517" s="0" t="s">
        <v>10848</v>
      </c>
      <c r="E2517" s="0" t="s">
        <v>187</v>
      </c>
      <c r="F2517" s="0" t="str">
        <f aca="false">CONCATENATE(D2517," ",LEFT(H2517,4),"T=",AU2517,"D=",AV2517,"R=",AW2517,"M=",AX2517,"L=",AY2517,"B=",AZ2517)</f>
        <v>BOGGS T=1D=0R=0M=2L=5B=0</v>
      </c>
      <c r="G2517" s="0" t="s">
        <v>172</v>
      </c>
      <c r="I2517" s="0" t="s">
        <v>2855</v>
      </c>
      <c r="J2517" s="0" t="s">
        <v>6461</v>
      </c>
      <c r="K2517" s="0" t="s">
        <v>175</v>
      </c>
      <c r="L2517" s="1" t="s">
        <v>176</v>
      </c>
      <c r="M2517" s="0" t="s">
        <v>10849</v>
      </c>
      <c r="N2517" s="0" t="str">
        <f aca="false">RIGHT(M2517,LEN(M2517)-FIND(" ",M2517))</f>
        <v>SHERIDAN AVE NE</v>
      </c>
      <c r="P2517" s="0" t="s">
        <v>146</v>
      </c>
      <c r="Q2517" s="0" t="s">
        <v>147</v>
      </c>
      <c r="R2517" s="0" t="n">
        <v>44483</v>
      </c>
      <c r="AD2517" s="0" t="s">
        <v>148</v>
      </c>
      <c r="AE2517" s="0" t="s">
        <v>149</v>
      </c>
      <c r="AF2517" s="0" t="s">
        <v>150</v>
      </c>
      <c r="AH2517" s="0" t="n">
        <v>14</v>
      </c>
      <c r="AI2517" s="0" t="n">
        <v>11</v>
      </c>
      <c r="AN2517" s="0" t="s">
        <v>146</v>
      </c>
      <c r="AO2517" s="0" t="s">
        <v>236</v>
      </c>
      <c r="AP2517" s="0" t="s">
        <v>237</v>
      </c>
      <c r="AQ2517" s="0" t="n">
        <v>9</v>
      </c>
      <c r="AR2517" s="0" t="n">
        <v>64</v>
      </c>
      <c r="AS2517" s="0" t="n">
        <v>32</v>
      </c>
      <c r="AU2517" s="0" t="n">
        <f aca="false">COUNTA($BA$4:$EH$4)</f>
        <v>1</v>
      </c>
      <c r="AV2517" s="0" t="n">
        <f aca="false">COUNTIF($BA$4:$EH$4,"D")</f>
        <v>0</v>
      </c>
      <c r="AW2517" s="0" t="n">
        <f aca="false">COUNTIF($BA$4:$EH$4,"R")</f>
        <v>0</v>
      </c>
      <c r="AX2517" s="0" t="n">
        <f aca="false"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>2</v>
      </c>
      <c r="AY2517" s="0" t="n">
        <f aca="false">COUNTIF(DU2517:EH2517, "&lt;&gt;")</f>
        <v>5</v>
      </c>
      <c r="AZ2517" s="0" t="n">
        <f aca="false">IF(EH2517&lt;&gt;"",1,0)</f>
        <v>0</v>
      </c>
      <c r="BB2517" s="0" t="s">
        <v>153</v>
      </c>
      <c r="BD2517" s="0" t="s">
        <v>154</v>
      </c>
      <c r="BF2517" s="0" t="s">
        <v>154</v>
      </c>
      <c r="BG2517" s="0" t="s">
        <v>154</v>
      </c>
      <c r="BH2517" s="0" t="s">
        <v>154</v>
      </c>
      <c r="BJ2517" s="0" t="s">
        <v>154</v>
      </c>
      <c r="BL2517" s="0" t="s">
        <v>154</v>
      </c>
      <c r="BP2517" s="0" t="s">
        <v>154</v>
      </c>
      <c r="BR2517" s="0" t="s">
        <v>154</v>
      </c>
      <c r="BS2517" s="0" t="s">
        <v>154</v>
      </c>
      <c r="BV2517" s="0" t="s">
        <v>154</v>
      </c>
      <c r="BY2517" s="0" t="s">
        <v>155</v>
      </c>
      <c r="CA2517" s="0" t="s">
        <v>154</v>
      </c>
      <c r="CG2517" s="0" t="s">
        <v>154</v>
      </c>
      <c r="CH2517" s="0" t="s">
        <v>155</v>
      </c>
      <c r="CK2517" s="0" t="s">
        <v>154</v>
      </c>
      <c r="CL2517" s="0" t="s">
        <v>155</v>
      </c>
      <c r="CN2517" s="0" t="s">
        <v>154</v>
      </c>
      <c r="CP2517" s="0" t="s">
        <v>154</v>
      </c>
      <c r="CT2517" s="0" t="s">
        <v>154</v>
      </c>
      <c r="CV2517" s="0" t="s">
        <v>154</v>
      </c>
      <c r="CW2517" s="0" t="s">
        <v>155</v>
      </c>
      <c r="CY2517" s="0" t="s">
        <v>154</v>
      </c>
      <c r="CZ2517" s="0" t="s">
        <v>155</v>
      </c>
      <c r="DC2517" s="0" t="s">
        <v>154</v>
      </c>
      <c r="DU2517" s="0" t="s">
        <v>154</v>
      </c>
      <c r="DX2517" s="0" t="s">
        <v>154</v>
      </c>
      <c r="EA2517" s="0" t="s">
        <v>154</v>
      </c>
      <c r="ED2517" s="0" t="s">
        <v>176</v>
      </c>
      <c r="EF2517" s="0" t="s">
        <v>154</v>
      </c>
    </row>
    <row r="2518" customFormat="false" ht="13.8" hidden="true" customHeight="false" outlineLevel="0" collapsed="false">
      <c r="A2518" s="0" t="s">
        <v>10850</v>
      </c>
      <c r="B2518" s="0" t="n">
        <v>78</v>
      </c>
      <c r="C2518" s="0" t="n">
        <v>415379</v>
      </c>
      <c r="D2518" s="0" t="s">
        <v>10848</v>
      </c>
      <c r="E2518" s="0" t="s">
        <v>750</v>
      </c>
      <c r="F2518" s="0" t="str">
        <f aca="false">CONCATENATE(D2518," ",LEFT(H2518,4),"T=",AU2518,"D=",AV2518,"R=",AW2518,"M=",AX2518,"L=",AY2518,"B=",AZ2518)</f>
        <v>BOGGS T=8D=0R=2M=0L=0B=0</v>
      </c>
      <c r="G2518" s="0" t="s">
        <v>664</v>
      </c>
      <c r="I2518" s="0" t="s">
        <v>10851</v>
      </c>
      <c r="J2518" s="0" t="s">
        <v>1601</v>
      </c>
      <c r="K2518" s="0" t="s">
        <v>175</v>
      </c>
      <c r="L2518" s="0"/>
      <c r="M2518" s="0" t="s">
        <v>10849</v>
      </c>
      <c r="N2518" s="0" t="str">
        <f aca="false">RIGHT(M2518,LEN(M2518)-FIND(" ",M2518))</f>
        <v>SHERIDAN AVE NE</v>
      </c>
      <c r="P2518" s="0" t="s">
        <v>146</v>
      </c>
      <c r="Q2518" s="0" t="s">
        <v>147</v>
      </c>
      <c r="R2518" s="0" t="n">
        <v>44483</v>
      </c>
      <c r="AD2518" s="0" t="s">
        <v>148</v>
      </c>
      <c r="AE2518" s="0" t="s">
        <v>149</v>
      </c>
      <c r="AF2518" s="0" t="s">
        <v>150</v>
      </c>
      <c r="AH2518" s="0" t="n">
        <v>14</v>
      </c>
      <c r="AI2518" s="0" t="n">
        <v>11</v>
      </c>
      <c r="AN2518" s="0" t="s">
        <v>146</v>
      </c>
      <c r="AO2518" s="0" t="s">
        <v>236</v>
      </c>
      <c r="AP2518" s="0" t="s">
        <v>237</v>
      </c>
      <c r="AQ2518" s="0" t="n">
        <v>9</v>
      </c>
      <c r="AR2518" s="0" t="n">
        <v>64</v>
      </c>
      <c r="AS2518" s="0" t="n">
        <v>32</v>
      </c>
      <c r="AU2518" s="0" t="n">
        <f aca="false">COUNTA($BA$25:$EH$25)</f>
        <v>8</v>
      </c>
      <c r="AV2518" s="0" t="n">
        <f aca="false">COUNTIF($BA$25:$EH$25,"D")</f>
        <v>0</v>
      </c>
      <c r="AW2518" s="0" t="n">
        <f aca="false">COUNTIF($BA$25:$EH$25,"R")</f>
        <v>2</v>
      </c>
      <c r="AX2518" s="0" t="n">
        <f aca="false"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>0</v>
      </c>
      <c r="AY2518" s="0" t="n">
        <f aca="false">COUNTIF(DU2518:EH2518, "&lt;&gt;")</f>
        <v>0</v>
      </c>
      <c r="AZ2518" s="0" t="n">
        <f aca="false">IF(EH2518&lt;&gt;"",1,0)</f>
        <v>0</v>
      </c>
      <c r="BB2518" s="0" t="s">
        <v>153</v>
      </c>
    </row>
    <row r="2519" customFormat="false" ht="13.8" hidden="false" customHeight="false" outlineLevel="0" collapsed="false">
      <c r="A2519" s="0" t="s">
        <v>10852</v>
      </c>
      <c r="B2519" s="0" t="n">
        <v>78</v>
      </c>
      <c r="C2519" s="0" t="n">
        <v>3934</v>
      </c>
      <c r="D2519" s="0" t="s">
        <v>10853</v>
      </c>
      <c r="E2519" s="0" t="s">
        <v>2298</v>
      </c>
      <c r="F2519" s="0" t="str">
        <f aca="false">CONCATENATE(D2519," ",LEFT(H2519,4),"T=",AU2519,"D=",AV2519,"R=",AW2519,"M=",AX2519,"L=",AY2519,"B=",AZ2519)</f>
        <v>DAILEY T=1D=0R=0M=7L=7B=1</v>
      </c>
      <c r="G2519" s="0" t="s">
        <v>1482</v>
      </c>
      <c r="I2519" s="0" t="s">
        <v>10854</v>
      </c>
      <c r="J2519" s="0" t="s">
        <v>10855</v>
      </c>
      <c r="K2519" s="0" t="s">
        <v>175</v>
      </c>
      <c r="L2519" s="1" t="s">
        <v>155</v>
      </c>
      <c r="M2519" s="0" t="s">
        <v>10856</v>
      </c>
      <c r="N2519" s="0" t="str">
        <f aca="false">RIGHT(M2519,LEN(M2519)-FIND(" ",M2519))</f>
        <v>SHERIDAN AVE NE</v>
      </c>
      <c r="P2519" s="0" t="s">
        <v>146</v>
      </c>
      <c r="Q2519" s="0" t="s">
        <v>147</v>
      </c>
      <c r="R2519" s="0" t="n">
        <v>44483</v>
      </c>
      <c r="AD2519" s="0" t="s">
        <v>148</v>
      </c>
      <c r="AE2519" s="0" t="s">
        <v>149</v>
      </c>
      <c r="AF2519" s="0" t="s">
        <v>150</v>
      </c>
      <c r="AH2519" s="0" t="n">
        <v>14</v>
      </c>
      <c r="AI2519" s="0" t="n">
        <v>11</v>
      </c>
      <c r="AN2519" s="0" t="s">
        <v>146</v>
      </c>
      <c r="AO2519" s="0" t="s">
        <v>236</v>
      </c>
      <c r="AP2519" s="0" t="s">
        <v>237</v>
      </c>
      <c r="AQ2519" s="0" t="n">
        <v>9</v>
      </c>
      <c r="AR2519" s="0" t="n">
        <v>64</v>
      </c>
      <c r="AS2519" s="0" t="n">
        <v>32</v>
      </c>
      <c r="AU2519" s="0" t="n">
        <f aca="false">COUNTA($BA$775:$EH$775)</f>
        <v>1</v>
      </c>
      <c r="AV2519" s="0" t="n">
        <f aca="false">COUNTIF($BA$775:$EH$775,"D")</f>
        <v>0</v>
      </c>
      <c r="AW2519" s="0" t="n">
        <f aca="false">COUNTIF($BA$775:$EH$775,"R")</f>
        <v>0</v>
      </c>
      <c r="AX2519" s="0" t="n">
        <f aca="false"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>7</v>
      </c>
      <c r="AY2519" s="0" t="n">
        <f aca="false">COUNTIF(DU2519:EH2519, "&lt;&gt;")</f>
        <v>7</v>
      </c>
      <c r="AZ2519" s="0" t="n">
        <f aca="false">IF(EH2519&lt;&gt;"",1,0)</f>
        <v>1</v>
      </c>
      <c r="BB2519" s="0" t="s">
        <v>153</v>
      </c>
      <c r="BC2519" s="0" t="s">
        <v>154</v>
      </c>
      <c r="BD2519" s="0" t="s">
        <v>154</v>
      </c>
      <c r="BE2519" s="0" t="s">
        <v>154</v>
      </c>
      <c r="BF2519" s="0" t="s">
        <v>154</v>
      </c>
      <c r="BG2519" s="0" t="s">
        <v>154</v>
      </c>
      <c r="BH2519" s="0" t="s">
        <v>154</v>
      </c>
      <c r="BI2519" s="0" t="s">
        <v>154</v>
      </c>
      <c r="BJ2519" s="0" t="s">
        <v>154</v>
      </c>
      <c r="BK2519" s="0" t="s">
        <v>154</v>
      </c>
      <c r="BL2519" s="0" t="s">
        <v>154</v>
      </c>
      <c r="BP2519" s="0" t="s">
        <v>154</v>
      </c>
      <c r="BR2519" s="0" t="s">
        <v>154</v>
      </c>
      <c r="BS2519" s="0" t="s">
        <v>154</v>
      </c>
      <c r="BV2519" s="0" t="s">
        <v>154</v>
      </c>
      <c r="BY2519" s="0" t="s">
        <v>155</v>
      </c>
      <c r="CA2519" s="0" t="s">
        <v>154</v>
      </c>
      <c r="CG2519" s="0" t="s">
        <v>154</v>
      </c>
      <c r="CH2519" s="0" t="s">
        <v>155</v>
      </c>
      <c r="CK2519" s="0" t="s">
        <v>154</v>
      </c>
      <c r="CL2519" s="0" t="s">
        <v>155</v>
      </c>
      <c r="CN2519" s="0" t="s">
        <v>154</v>
      </c>
      <c r="CO2519" s="0" t="s">
        <v>155</v>
      </c>
      <c r="CP2519" s="0" t="s">
        <v>154</v>
      </c>
      <c r="CT2519" s="0" t="s">
        <v>154</v>
      </c>
      <c r="CU2519" s="0" t="s">
        <v>155</v>
      </c>
      <c r="CV2519" s="0" t="s">
        <v>154</v>
      </c>
      <c r="CW2519" s="0" t="s">
        <v>155</v>
      </c>
      <c r="CY2519" s="0" t="s">
        <v>154</v>
      </c>
      <c r="CZ2519" s="0" t="s">
        <v>155</v>
      </c>
      <c r="DC2519" s="0" t="s">
        <v>154</v>
      </c>
      <c r="DD2519" s="0" t="s">
        <v>155</v>
      </c>
      <c r="DF2519" s="0" t="s">
        <v>154</v>
      </c>
      <c r="DG2519" s="0" t="s">
        <v>155</v>
      </c>
      <c r="DI2519" s="0" t="s">
        <v>154</v>
      </c>
      <c r="DJ2519" s="0" t="s">
        <v>155</v>
      </c>
      <c r="DL2519" s="0" t="s">
        <v>154</v>
      </c>
      <c r="DM2519" s="0" t="s">
        <v>155</v>
      </c>
      <c r="DN2519" s="0" t="s">
        <v>154</v>
      </c>
      <c r="DO2519" s="0" t="s">
        <v>155</v>
      </c>
      <c r="DR2519" s="0" t="s">
        <v>154</v>
      </c>
      <c r="DS2519" s="0" t="s">
        <v>155</v>
      </c>
      <c r="DT2519" s="0" t="s">
        <v>155</v>
      </c>
      <c r="DU2519" s="0" t="s">
        <v>154</v>
      </c>
      <c r="DW2519" s="0" t="s">
        <v>155</v>
      </c>
      <c r="DX2519" s="0" t="s">
        <v>154</v>
      </c>
      <c r="EA2519" s="0" t="s">
        <v>154</v>
      </c>
      <c r="ED2519" s="0" t="s">
        <v>155</v>
      </c>
      <c r="EF2519" s="0" t="s">
        <v>154</v>
      </c>
      <c r="EH2519" s="0" t="s">
        <v>155</v>
      </c>
    </row>
    <row r="2520" customFormat="false" ht="13.8" hidden="false" customHeight="false" outlineLevel="0" collapsed="false">
      <c r="A2520" s="0" t="s">
        <v>10857</v>
      </c>
      <c r="B2520" s="0" t="n">
        <v>78</v>
      </c>
      <c r="C2520" s="0" t="n">
        <v>334730</v>
      </c>
      <c r="D2520" s="0" t="s">
        <v>10858</v>
      </c>
      <c r="E2520" s="0" t="s">
        <v>171</v>
      </c>
      <c r="F2520" s="0" t="str">
        <f aca="false">CONCATENATE(D2520," ",LEFT(H2520,4),"T=",AU2520,"D=",AV2520,"R=",AW2520,"M=",AX2520,"L=",AY2520,"B=",AZ2520)</f>
        <v>THORPE T=1D=0R=0M=1L=6B=0</v>
      </c>
      <c r="G2520" s="0" t="s">
        <v>1840</v>
      </c>
      <c r="I2520" s="0" t="s">
        <v>10859</v>
      </c>
      <c r="J2520" s="0" t="s">
        <v>977</v>
      </c>
      <c r="K2520" s="0" t="s">
        <v>175</v>
      </c>
      <c r="L2520" s="1" t="s">
        <v>155</v>
      </c>
      <c r="M2520" s="0" t="s">
        <v>10860</v>
      </c>
      <c r="N2520" s="0" t="str">
        <f aca="false">RIGHT(M2520,LEN(M2520)-FIND(" ",M2520))</f>
        <v>SHERIDAN AVE NE</v>
      </c>
      <c r="P2520" s="0" t="s">
        <v>146</v>
      </c>
      <c r="Q2520" s="0" t="s">
        <v>147</v>
      </c>
      <c r="R2520" s="0" t="n">
        <v>44483</v>
      </c>
      <c r="AD2520" s="0" t="s">
        <v>148</v>
      </c>
      <c r="AE2520" s="0" t="s">
        <v>149</v>
      </c>
      <c r="AF2520" s="0" t="s">
        <v>150</v>
      </c>
      <c r="AH2520" s="0" t="n">
        <v>14</v>
      </c>
      <c r="AI2520" s="0" t="n">
        <v>11</v>
      </c>
      <c r="AN2520" s="0" t="s">
        <v>146</v>
      </c>
      <c r="AO2520" s="0" t="s">
        <v>236</v>
      </c>
      <c r="AP2520" s="0" t="s">
        <v>237</v>
      </c>
      <c r="AQ2520" s="0" t="n">
        <v>9</v>
      </c>
      <c r="AR2520" s="0" t="n">
        <v>64</v>
      </c>
      <c r="AS2520" s="0" t="n">
        <v>32</v>
      </c>
      <c r="AU2520" s="0" t="n">
        <f aca="false">COUNTA($BA$87:$EH$87)</f>
        <v>1</v>
      </c>
      <c r="AV2520" s="0" t="n">
        <f aca="false">COUNTIF($BA$87:$EH$87,"D")</f>
        <v>0</v>
      </c>
      <c r="AW2520" s="0" t="n">
        <f aca="false">COUNTIF($BA$87:$EH$87,"R")</f>
        <v>0</v>
      </c>
      <c r="AX2520" s="0" t="n">
        <f aca="false"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>1</v>
      </c>
      <c r="AY2520" s="0" t="n">
        <f aca="false">COUNTIF(DU2520:EH2520, "&lt;&gt;")</f>
        <v>6</v>
      </c>
      <c r="AZ2520" s="0" t="n">
        <f aca="false">IF(EH2520&lt;&gt;"",1,0)</f>
        <v>0</v>
      </c>
      <c r="BB2520" s="0" t="s">
        <v>153</v>
      </c>
      <c r="BL2520" s="0" t="s">
        <v>154</v>
      </c>
      <c r="CA2520" s="0" t="s">
        <v>154</v>
      </c>
      <c r="CH2520" s="0" t="s">
        <v>155</v>
      </c>
      <c r="CK2520" s="0" t="s">
        <v>154</v>
      </c>
      <c r="CN2520" s="0" t="s">
        <v>154</v>
      </c>
      <c r="CP2520" s="0" t="s">
        <v>154</v>
      </c>
      <c r="CV2520" s="0" t="s">
        <v>154</v>
      </c>
      <c r="DI2520" s="0" t="s">
        <v>154</v>
      </c>
      <c r="DM2520" s="0" t="s">
        <v>155</v>
      </c>
      <c r="DN2520" s="0" t="s">
        <v>154</v>
      </c>
      <c r="DT2520" s="0" t="s">
        <v>155</v>
      </c>
      <c r="DU2520" s="0" t="s">
        <v>154</v>
      </c>
      <c r="DW2520" s="0" t="s">
        <v>155</v>
      </c>
      <c r="DX2520" s="0" t="s">
        <v>154</v>
      </c>
      <c r="EA2520" s="0" t="s">
        <v>154</v>
      </c>
      <c r="ED2520" s="0" t="s">
        <v>155</v>
      </c>
      <c r="EF2520" s="0" t="s">
        <v>154</v>
      </c>
    </row>
    <row r="2521" customFormat="false" ht="13.8" hidden="false" customHeight="false" outlineLevel="0" collapsed="false">
      <c r="A2521" s="0" t="s">
        <v>10861</v>
      </c>
      <c r="B2521" s="0" t="n">
        <v>78</v>
      </c>
      <c r="C2521" s="0" t="n">
        <v>188747</v>
      </c>
      <c r="D2521" s="0" t="s">
        <v>8728</v>
      </c>
      <c r="E2521" s="0" t="s">
        <v>277</v>
      </c>
      <c r="F2521" s="0" t="str">
        <f aca="false">CONCATENATE(D2521," ",LEFT(H2521,4),"T=",AU2521,"D=",AV2521,"R=",AW2521,"M=",AX2521,"L=",AY2521,"B=",AZ2521)</f>
        <v>TANERI T=1D=0R=0M=4L=7B=1</v>
      </c>
      <c r="G2521" s="0" t="s">
        <v>188</v>
      </c>
      <c r="I2521" s="0" t="s">
        <v>10862</v>
      </c>
      <c r="J2521" s="0" t="s">
        <v>5009</v>
      </c>
      <c r="K2521" s="0" t="s">
        <v>175</v>
      </c>
      <c r="L2521" s="1" t="s">
        <v>155</v>
      </c>
      <c r="M2521" s="0" t="s">
        <v>10863</v>
      </c>
      <c r="N2521" s="0" t="str">
        <f aca="false">RIGHT(M2521,LEN(M2521)-FIND(" ",M2521))</f>
        <v>SHERIDAN AVE NE</v>
      </c>
      <c r="P2521" s="0" t="s">
        <v>146</v>
      </c>
      <c r="Q2521" s="0" t="s">
        <v>147</v>
      </c>
      <c r="R2521" s="0" t="n">
        <v>44483</v>
      </c>
      <c r="AD2521" s="0" t="s">
        <v>148</v>
      </c>
      <c r="AE2521" s="0" t="s">
        <v>149</v>
      </c>
      <c r="AF2521" s="0" t="s">
        <v>150</v>
      </c>
      <c r="AH2521" s="0" t="n">
        <v>14</v>
      </c>
      <c r="AI2521" s="0" t="n">
        <v>11</v>
      </c>
      <c r="AN2521" s="0" t="s">
        <v>146</v>
      </c>
      <c r="AO2521" s="0" t="s">
        <v>236</v>
      </c>
      <c r="AP2521" s="0" t="s">
        <v>237</v>
      </c>
      <c r="AQ2521" s="0" t="n">
        <v>9</v>
      </c>
      <c r="AR2521" s="0" t="n">
        <v>64</v>
      </c>
      <c r="AS2521" s="0" t="n">
        <v>32</v>
      </c>
      <c r="AU2521" s="0" t="n">
        <f aca="false">COUNTA($BA$800:$EH$800)</f>
        <v>1</v>
      </c>
      <c r="AV2521" s="0" t="n">
        <f aca="false">COUNTIF($BA$800:$EH$800,"D")</f>
        <v>0</v>
      </c>
      <c r="AW2521" s="0" t="n">
        <f aca="false">COUNTIF($BA$800:$EH$800,"R")</f>
        <v>0</v>
      </c>
      <c r="AX2521" s="0" t="n">
        <f aca="false"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>4</v>
      </c>
      <c r="AY2521" s="0" t="n">
        <f aca="false">COUNTIF(DU2521:EH2521, "&lt;&gt;")</f>
        <v>7</v>
      </c>
      <c r="AZ2521" s="0" t="n">
        <f aca="false">IF(EH2521&lt;&gt;"",1,0)</f>
        <v>1</v>
      </c>
      <c r="BB2521" s="0" t="s">
        <v>153</v>
      </c>
      <c r="BC2521" s="0" t="s">
        <v>154</v>
      </c>
      <c r="BD2521" s="0" t="s">
        <v>154</v>
      </c>
      <c r="BG2521" s="0" t="s">
        <v>154</v>
      </c>
      <c r="BH2521" s="0" t="s">
        <v>154</v>
      </c>
      <c r="BI2521" s="0" t="s">
        <v>154</v>
      </c>
      <c r="BJ2521" s="0" t="s">
        <v>154</v>
      </c>
      <c r="BK2521" s="0" t="s">
        <v>154</v>
      </c>
      <c r="BL2521" s="0" t="s">
        <v>154</v>
      </c>
      <c r="BP2521" s="0" t="s">
        <v>154</v>
      </c>
      <c r="BR2521" s="0" t="s">
        <v>154</v>
      </c>
      <c r="BS2521" s="0" t="s">
        <v>154</v>
      </c>
      <c r="BV2521" s="0" t="s">
        <v>154</v>
      </c>
      <c r="BY2521" s="0" t="s">
        <v>155</v>
      </c>
      <c r="CA2521" s="0" t="s">
        <v>154</v>
      </c>
      <c r="CG2521" s="0" t="s">
        <v>154</v>
      </c>
      <c r="CH2521" s="0" t="s">
        <v>155</v>
      </c>
      <c r="CK2521" s="0" t="s">
        <v>154</v>
      </c>
      <c r="CN2521" s="0" t="s">
        <v>154</v>
      </c>
      <c r="CP2521" s="0" t="s">
        <v>154</v>
      </c>
      <c r="CV2521" s="0" t="s">
        <v>154</v>
      </c>
      <c r="DC2521" s="0" t="s">
        <v>154</v>
      </c>
      <c r="DD2521" s="0" t="s">
        <v>155</v>
      </c>
      <c r="DF2521" s="0" t="s">
        <v>154</v>
      </c>
      <c r="DI2521" s="0" t="s">
        <v>154</v>
      </c>
      <c r="DJ2521" s="0" t="s">
        <v>155</v>
      </c>
      <c r="DL2521" s="0" t="s">
        <v>154</v>
      </c>
      <c r="DN2521" s="0" t="s">
        <v>154</v>
      </c>
      <c r="DS2521" s="0" t="s">
        <v>155</v>
      </c>
      <c r="DU2521" s="0" t="s">
        <v>154</v>
      </c>
      <c r="DW2521" s="0" t="s">
        <v>155</v>
      </c>
      <c r="DX2521" s="0" t="s">
        <v>154</v>
      </c>
      <c r="EA2521" s="0" t="s">
        <v>154</v>
      </c>
      <c r="ED2521" s="0" t="s">
        <v>155</v>
      </c>
      <c r="EF2521" s="0" t="s">
        <v>154</v>
      </c>
      <c r="EH2521" s="0" t="s">
        <v>155</v>
      </c>
    </row>
    <row r="2522" customFormat="false" ht="13.8" hidden="false" customHeight="false" outlineLevel="0" collapsed="false">
      <c r="A2522" s="0" t="s">
        <v>10864</v>
      </c>
      <c r="B2522" s="0" t="n">
        <v>78</v>
      </c>
      <c r="C2522" s="0" t="n">
        <v>427609</v>
      </c>
      <c r="D2522" s="0" t="s">
        <v>10865</v>
      </c>
      <c r="E2522" s="0" t="s">
        <v>2218</v>
      </c>
      <c r="F2522" s="0" t="str">
        <f aca="false">CONCATENATE(D2522," ",LEFT(H2522,4),"T=",AU2522,"D=",AV2522,"R=",AW2522,"M=",AX2522,"L=",AY2522,"B=",AZ2522)</f>
        <v>KNAPTON T=19D=2R=0M=0L=2B=0</v>
      </c>
      <c r="G2522" s="0" t="s">
        <v>4794</v>
      </c>
      <c r="I2522" s="0" t="s">
        <v>10866</v>
      </c>
      <c r="J2522" s="0" t="s">
        <v>10867</v>
      </c>
      <c r="K2522" s="0" t="s">
        <v>175</v>
      </c>
      <c r="M2522" s="0" t="s">
        <v>10868</v>
      </c>
      <c r="N2522" s="0" t="str">
        <f aca="false">RIGHT(M2522,LEN(M2522)-FIND(" ",M2522))</f>
        <v>SHERIDAN AVE NE</v>
      </c>
      <c r="P2522" s="0" t="s">
        <v>146</v>
      </c>
      <c r="Q2522" s="0" t="s">
        <v>147</v>
      </c>
      <c r="R2522" s="0" t="n">
        <v>44483</v>
      </c>
      <c r="AD2522" s="0" t="s">
        <v>148</v>
      </c>
      <c r="AE2522" s="0" t="s">
        <v>149</v>
      </c>
      <c r="AF2522" s="0" t="s">
        <v>150</v>
      </c>
      <c r="AH2522" s="0" t="n">
        <v>14</v>
      </c>
      <c r="AI2522" s="0" t="n">
        <v>11</v>
      </c>
      <c r="AN2522" s="0" t="s">
        <v>146</v>
      </c>
      <c r="AO2522" s="0" t="s">
        <v>236</v>
      </c>
      <c r="AP2522" s="0" t="s">
        <v>237</v>
      </c>
      <c r="AQ2522" s="0" t="n">
        <v>9</v>
      </c>
      <c r="AR2522" s="0" t="n">
        <v>64</v>
      </c>
      <c r="AS2522" s="0" t="n">
        <v>32</v>
      </c>
      <c r="AU2522" s="0" t="n">
        <f aca="false">COUNTA($BA$531:$EH$531)</f>
        <v>19</v>
      </c>
      <c r="AV2522" s="0" t="n">
        <f aca="false">COUNTIF($BA$531:$EH$531,"D")</f>
        <v>2</v>
      </c>
      <c r="AW2522" s="0" t="n">
        <f aca="false">COUNTIF($BA$531:$EH$531,"R")</f>
        <v>0</v>
      </c>
      <c r="AX2522" s="0" t="n">
        <f aca="false"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>0</v>
      </c>
      <c r="AY2522" s="0" t="n">
        <f aca="false">COUNTIF(DU2522:EH2522, "&lt;&gt;")</f>
        <v>2</v>
      </c>
      <c r="AZ2522" s="0" t="n">
        <f aca="false">IF(EH2522&lt;&gt;"",1,0)</f>
        <v>0</v>
      </c>
      <c r="BB2522" s="0" t="s">
        <v>153</v>
      </c>
      <c r="DF2522" s="0" t="s">
        <v>154</v>
      </c>
      <c r="DI2522" s="0" t="s">
        <v>154</v>
      </c>
      <c r="DN2522" s="0" t="s">
        <v>154</v>
      </c>
      <c r="DU2522" s="0" t="s">
        <v>154</v>
      </c>
      <c r="EF2522" s="0" t="s">
        <v>154</v>
      </c>
    </row>
    <row r="2523" customFormat="false" ht="13.8" hidden="false" customHeight="false" outlineLevel="0" collapsed="false">
      <c r="A2523" s="0" t="s">
        <v>10869</v>
      </c>
      <c r="B2523" s="0" t="n">
        <v>78</v>
      </c>
      <c r="C2523" s="0" t="n">
        <v>427610</v>
      </c>
      <c r="D2523" s="0" t="s">
        <v>10870</v>
      </c>
      <c r="E2523" s="0" t="s">
        <v>5857</v>
      </c>
      <c r="F2523" s="0" t="str">
        <f aca="false">CONCATENATE(D2523," ",LEFT(H2523,4),"T=",AU2523,"D=",AV2523,"R=",AW2523,"M=",AX2523,"L=",AY2523,"B=",AZ2523)</f>
        <v>STILES T=3D=0R=0M=0L=2B=0</v>
      </c>
      <c r="G2523" s="0" t="s">
        <v>10871</v>
      </c>
      <c r="I2523" s="0" t="s">
        <v>10872</v>
      </c>
      <c r="J2523" s="0" t="s">
        <v>1601</v>
      </c>
      <c r="K2523" s="0" t="s">
        <v>175</v>
      </c>
      <c r="M2523" s="0" t="s">
        <v>10868</v>
      </c>
      <c r="N2523" s="0" t="str">
        <f aca="false">RIGHT(M2523,LEN(M2523)-FIND(" ",M2523))</f>
        <v>SHERIDAN AVE NE</v>
      </c>
      <c r="P2523" s="0" t="s">
        <v>146</v>
      </c>
      <c r="Q2523" s="0" t="s">
        <v>147</v>
      </c>
      <c r="R2523" s="0" t="n">
        <v>44483</v>
      </c>
      <c r="AD2523" s="0" t="s">
        <v>148</v>
      </c>
      <c r="AE2523" s="0" t="s">
        <v>149</v>
      </c>
      <c r="AF2523" s="0" t="s">
        <v>150</v>
      </c>
      <c r="AH2523" s="0" t="n">
        <v>14</v>
      </c>
      <c r="AI2523" s="0" t="n">
        <v>11</v>
      </c>
      <c r="AN2523" s="0" t="s">
        <v>146</v>
      </c>
      <c r="AO2523" s="0" t="s">
        <v>236</v>
      </c>
      <c r="AP2523" s="0" t="s">
        <v>237</v>
      </c>
      <c r="AQ2523" s="0" t="n">
        <v>9</v>
      </c>
      <c r="AR2523" s="0" t="n">
        <v>64</v>
      </c>
      <c r="AS2523" s="0" t="n">
        <v>32</v>
      </c>
      <c r="AU2523" s="0" t="n">
        <f aca="false">COUNTA($BA$1050:$EH$1050)</f>
        <v>3</v>
      </c>
      <c r="AV2523" s="0" t="n">
        <f aca="false">COUNTIF($BA$1050:$EH$1050,"D")</f>
        <v>0</v>
      </c>
      <c r="AW2523" s="0" t="n">
        <f aca="false">COUNTIF($BA$1050:$EH$1050,"R")</f>
        <v>0</v>
      </c>
      <c r="AX2523" s="0" t="n">
        <f aca="false"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>0</v>
      </c>
      <c r="AY2523" s="0" t="n">
        <f aca="false">COUNTIF(DU2523:EH2523, "&lt;&gt;")</f>
        <v>2</v>
      </c>
      <c r="AZ2523" s="0" t="n">
        <f aca="false">IF(EH2523&lt;&gt;"",1,0)</f>
        <v>0</v>
      </c>
      <c r="BB2523" s="0" t="s">
        <v>153</v>
      </c>
      <c r="DF2523" s="0" t="s">
        <v>154</v>
      </c>
      <c r="DI2523" s="0" t="s">
        <v>154</v>
      </c>
      <c r="DN2523" s="0" t="s">
        <v>154</v>
      </c>
      <c r="DU2523" s="0" t="s">
        <v>154</v>
      </c>
      <c r="EF2523" s="0" t="s">
        <v>154</v>
      </c>
    </row>
    <row r="2524" customFormat="false" ht="13.8" hidden="false" customHeight="false" outlineLevel="0" collapsed="false">
      <c r="A2524" s="0" t="s">
        <v>10873</v>
      </c>
      <c r="B2524" s="0" t="n">
        <v>78</v>
      </c>
      <c r="C2524" s="0" t="n">
        <v>294213</v>
      </c>
      <c r="D2524" s="0" t="s">
        <v>10874</v>
      </c>
      <c r="E2524" s="0" t="s">
        <v>10875</v>
      </c>
      <c r="F2524" s="0" t="str">
        <f aca="false">CONCATENATE(D2524," ",LEFT(H2524,4),"T=",AU2524,"D=",AV2524,"R=",AW2524,"M=",AX2524,"L=",AY2524,"B=",AZ2524)</f>
        <v>HARSH T=2D=0R=0M=1L=5B=1</v>
      </c>
      <c r="I2524" s="0" t="s">
        <v>10876</v>
      </c>
      <c r="J2524" s="0" t="s">
        <v>4352</v>
      </c>
      <c r="K2524" s="0" t="s">
        <v>175</v>
      </c>
      <c r="L2524" s="1" t="s">
        <v>155</v>
      </c>
      <c r="M2524" s="0" t="s">
        <v>10877</v>
      </c>
      <c r="N2524" s="0" t="str">
        <f aca="false">RIGHT(M2524,LEN(M2524)-FIND(" ",M2524))</f>
        <v>SHERIDAN AVE NE</v>
      </c>
      <c r="P2524" s="0" t="s">
        <v>146</v>
      </c>
      <c r="Q2524" s="0" t="s">
        <v>147</v>
      </c>
      <c r="R2524" s="0" t="n">
        <v>44483</v>
      </c>
      <c r="AD2524" s="0" t="s">
        <v>148</v>
      </c>
      <c r="AE2524" s="0" t="s">
        <v>149</v>
      </c>
      <c r="AF2524" s="0" t="s">
        <v>150</v>
      </c>
      <c r="AH2524" s="0" t="n">
        <v>14</v>
      </c>
      <c r="AI2524" s="0" t="n">
        <v>11</v>
      </c>
      <c r="AN2524" s="0" t="s">
        <v>146</v>
      </c>
      <c r="AO2524" s="0" t="s">
        <v>236</v>
      </c>
      <c r="AP2524" s="0" t="s">
        <v>237</v>
      </c>
      <c r="AQ2524" s="0" t="n">
        <v>9</v>
      </c>
      <c r="AR2524" s="0" t="n">
        <v>64</v>
      </c>
      <c r="AS2524" s="0" t="n">
        <v>32</v>
      </c>
      <c r="AU2524" s="0" t="n">
        <f aca="false">COUNTA($BA$879:$EH$879)</f>
        <v>2</v>
      </c>
      <c r="AV2524" s="0" t="n">
        <f aca="false">COUNTIF($BA$879:$EH$879,"D")</f>
        <v>0</v>
      </c>
      <c r="AW2524" s="0" t="n">
        <f aca="false">COUNTIF($BA$879:$EH$879,"R")</f>
        <v>0</v>
      </c>
      <c r="AX2524" s="0" t="n">
        <f aca="false"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>1</v>
      </c>
      <c r="AY2524" s="0" t="n">
        <f aca="false">COUNTIF(DU2524:EH2524, "&lt;&gt;")</f>
        <v>5</v>
      </c>
      <c r="AZ2524" s="0" t="n">
        <f aca="false">IF(EH2524&lt;&gt;"",1,0)</f>
        <v>1</v>
      </c>
      <c r="BB2524" s="0" t="s">
        <v>153</v>
      </c>
      <c r="BL2524" s="0" t="s">
        <v>154</v>
      </c>
      <c r="BY2524" s="0" t="s">
        <v>155</v>
      </c>
      <c r="CA2524" s="0" t="s">
        <v>154</v>
      </c>
      <c r="CG2524" s="0" t="s">
        <v>154</v>
      </c>
      <c r="CP2524" s="0" t="s">
        <v>154</v>
      </c>
      <c r="DC2524" s="0" t="s">
        <v>154</v>
      </c>
      <c r="DI2524" s="0" t="s">
        <v>154</v>
      </c>
      <c r="DN2524" s="0" t="s">
        <v>154</v>
      </c>
      <c r="DU2524" s="0" t="s">
        <v>154</v>
      </c>
      <c r="EA2524" s="0" t="s">
        <v>154</v>
      </c>
      <c r="ED2524" s="0" t="s">
        <v>155</v>
      </c>
      <c r="EF2524" s="0" t="s">
        <v>154</v>
      </c>
      <c r="EH2524" s="0" t="s">
        <v>155</v>
      </c>
    </row>
    <row r="2525" customFormat="false" ht="13.8" hidden="false" customHeight="false" outlineLevel="0" collapsed="false">
      <c r="A2525" s="0" t="s">
        <v>10878</v>
      </c>
      <c r="B2525" s="0" t="n">
        <v>78</v>
      </c>
      <c r="C2525" s="0" t="n">
        <v>433940</v>
      </c>
      <c r="D2525" s="0" t="s">
        <v>1829</v>
      </c>
      <c r="E2525" s="0" t="s">
        <v>335</v>
      </c>
      <c r="F2525" s="0" t="str">
        <f aca="false">CONCATENATE(D2525," ",LEFT(H2525,4),"T=",AU2525,"D=",AV2525,"R=",AW2525,"M=",AX2525,"L=",AY2525,"B=",AZ2525)</f>
        <v>WOLFE T=7D=0R=0M=0L=5B=0</v>
      </c>
      <c r="G2525" s="0" t="s">
        <v>176</v>
      </c>
      <c r="I2525" s="0" t="s">
        <v>10879</v>
      </c>
      <c r="J2525" s="0" t="s">
        <v>10880</v>
      </c>
      <c r="K2525" s="0" t="s">
        <v>175</v>
      </c>
      <c r="L2525" s="1" t="s">
        <v>155</v>
      </c>
      <c r="M2525" s="0" t="s">
        <v>10881</v>
      </c>
      <c r="N2525" s="0" t="str">
        <f aca="false">RIGHT(M2525,LEN(M2525)-FIND(" ",M2525))</f>
        <v>SHERIDAN AVE NE</v>
      </c>
      <c r="P2525" s="0" t="s">
        <v>146</v>
      </c>
      <c r="Q2525" s="0" t="s">
        <v>147</v>
      </c>
      <c r="R2525" s="0" t="n">
        <v>44483</v>
      </c>
      <c r="AD2525" s="0" t="s">
        <v>148</v>
      </c>
      <c r="AE2525" s="0" t="s">
        <v>149</v>
      </c>
      <c r="AF2525" s="0" t="s">
        <v>150</v>
      </c>
      <c r="AH2525" s="0" t="n">
        <v>14</v>
      </c>
      <c r="AI2525" s="0" t="n">
        <v>11</v>
      </c>
      <c r="AN2525" s="0" t="s">
        <v>146</v>
      </c>
      <c r="AO2525" s="0" t="s">
        <v>236</v>
      </c>
      <c r="AP2525" s="0" t="s">
        <v>237</v>
      </c>
      <c r="AQ2525" s="0" t="n">
        <v>9</v>
      </c>
      <c r="AR2525" s="0" t="n">
        <v>64</v>
      </c>
      <c r="AS2525" s="0" t="n">
        <v>32</v>
      </c>
      <c r="AU2525" s="0" t="n">
        <f aca="false">COUNTA($BA$364:$EH$364)</f>
        <v>7</v>
      </c>
      <c r="AV2525" s="0" t="n">
        <f aca="false">COUNTIF($BA$364:$EH$364,"D")</f>
        <v>0</v>
      </c>
      <c r="AW2525" s="0" t="n">
        <f aca="false">COUNTIF($BA$364:$EH$364,"R")</f>
        <v>0</v>
      </c>
      <c r="AX2525" s="0" t="n">
        <f aca="false"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>0</v>
      </c>
      <c r="AY2525" s="0" t="n">
        <f aca="false">COUNTIF(DU2525:EH2525, "&lt;&gt;")</f>
        <v>5</v>
      </c>
      <c r="AZ2525" s="0" t="n">
        <f aca="false">IF(EH2525&lt;&gt;"",1,0)</f>
        <v>0</v>
      </c>
      <c r="BB2525" s="0" t="s">
        <v>153</v>
      </c>
      <c r="BS2525" s="0" t="s">
        <v>154</v>
      </c>
      <c r="BY2525" s="0" t="s">
        <v>155</v>
      </c>
      <c r="DC2525" s="0" t="s">
        <v>154</v>
      </c>
      <c r="DI2525" s="0" t="s">
        <v>154</v>
      </c>
      <c r="DL2525" s="0" t="s">
        <v>154</v>
      </c>
      <c r="DN2525" s="0" t="s">
        <v>154</v>
      </c>
      <c r="DU2525" s="0" t="s">
        <v>154</v>
      </c>
      <c r="DX2525" s="0" t="s">
        <v>154</v>
      </c>
      <c r="EA2525" s="0" t="s">
        <v>154</v>
      </c>
      <c r="ED2525" s="0" t="s">
        <v>155</v>
      </c>
      <c r="EF2525" s="0" t="s">
        <v>154</v>
      </c>
    </row>
    <row r="2526" customFormat="false" ht="13.8" hidden="false" customHeight="false" outlineLevel="0" collapsed="false">
      <c r="A2526" s="0" t="s">
        <v>10882</v>
      </c>
      <c r="B2526" s="0" t="n">
        <v>78</v>
      </c>
      <c r="C2526" s="0" t="n">
        <v>312759</v>
      </c>
      <c r="D2526" s="0" t="s">
        <v>10883</v>
      </c>
      <c r="E2526" s="0" t="s">
        <v>335</v>
      </c>
      <c r="F2526" s="0" t="str">
        <f aca="false">CONCATENATE(D2526," ",LEFT(H2526,4),"T=",AU2526,"D=",AV2526,"R=",AW2526,"M=",AX2526,"L=",AY2526,"B=",AZ2526)</f>
        <v>GRAVINK T=1D=0R=0M=1L=6B=1</v>
      </c>
      <c r="G2526" s="0" t="s">
        <v>202</v>
      </c>
      <c r="I2526" s="0" t="s">
        <v>10884</v>
      </c>
      <c r="J2526" s="0" t="s">
        <v>521</v>
      </c>
      <c r="K2526" s="0" t="s">
        <v>175</v>
      </c>
      <c r="L2526" s="1" t="s">
        <v>155</v>
      </c>
      <c r="M2526" s="0" t="s">
        <v>10881</v>
      </c>
      <c r="N2526" s="0" t="str">
        <f aca="false">RIGHT(M2526,LEN(M2526)-FIND(" ",M2526))</f>
        <v>SHERIDAN AVE NE</v>
      </c>
      <c r="P2526" s="0" t="s">
        <v>146</v>
      </c>
      <c r="Q2526" s="0" t="s">
        <v>147</v>
      </c>
      <c r="R2526" s="0" t="n">
        <v>44483</v>
      </c>
      <c r="AD2526" s="0" t="s">
        <v>148</v>
      </c>
      <c r="AE2526" s="0" t="s">
        <v>149</v>
      </c>
      <c r="AF2526" s="0" t="s">
        <v>150</v>
      </c>
      <c r="AH2526" s="0" t="n">
        <v>14</v>
      </c>
      <c r="AI2526" s="0" t="n">
        <v>11</v>
      </c>
      <c r="AN2526" s="0" t="s">
        <v>146</v>
      </c>
      <c r="AO2526" s="0" t="s">
        <v>236</v>
      </c>
      <c r="AP2526" s="0" t="s">
        <v>237</v>
      </c>
      <c r="AQ2526" s="0" t="n">
        <v>9</v>
      </c>
      <c r="AR2526" s="0" t="n">
        <v>64</v>
      </c>
      <c r="AS2526" s="0" t="n">
        <v>32</v>
      </c>
      <c r="AU2526" s="0" t="n">
        <f aca="false">COUNTA($BA$749:$EH$749)</f>
        <v>1</v>
      </c>
      <c r="AV2526" s="0" t="n">
        <f aca="false">COUNTIF($BA$749:$EH$749,"D")</f>
        <v>0</v>
      </c>
      <c r="AW2526" s="0" t="n">
        <f aca="false">COUNTIF($BA$749:$EH$749,"R")</f>
        <v>0</v>
      </c>
      <c r="AX2526" s="0" t="n">
        <f aca="false"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>1</v>
      </c>
      <c r="AY2526" s="0" t="n">
        <f aca="false">COUNTIF(DU2526:EH2526, "&lt;&gt;")</f>
        <v>6</v>
      </c>
      <c r="AZ2526" s="0" t="n">
        <f aca="false">IF(EH2526&lt;&gt;"",1,0)</f>
        <v>1</v>
      </c>
      <c r="BB2526" s="0" t="s">
        <v>153</v>
      </c>
      <c r="BL2526" s="0" t="s">
        <v>154</v>
      </c>
      <c r="BS2526" s="0" t="s">
        <v>154</v>
      </c>
      <c r="BY2526" s="0" t="s">
        <v>155</v>
      </c>
      <c r="CA2526" s="0" t="s">
        <v>154</v>
      </c>
      <c r="CG2526" s="0" t="s">
        <v>154</v>
      </c>
      <c r="CP2526" s="0" t="s">
        <v>154</v>
      </c>
      <c r="CV2526" s="0" t="s">
        <v>154</v>
      </c>
      <c r="CY2526" s="0" t="s">
        <v>154</v>
      </c>
      <c r="CZ2526" s="0" t="s">
        <v>155</v>
      </c>
      <c r="DC2526" s="0" t="s">
        <v>154</v>
      </c>
      <c r="DF2526" s="0" t="s">
        <v>154</v>
      </c>
      <c r="DI2526" s="0" t="s">
        <v>154</v>
      </c>
      <c r="DL2526" s="0" t="s">
        <v>154</v>
      </c>
      <c r="DM2526" s="0" t="s">
        <v>155</v>
      </c>
      <c r="DN2526" s="0" t="s">
        <v>154</v>
      </c>
      <c r="DS2526" s="0" t="s">
        <v>155</v>
      </c>
      <c r="DU2526" s="0" t="s">
        <v>154</v>
      </c>
      <c r="DX2526" s="0" t="s">
        <v>154</v>
      </c>
      <c r="EA2526" s="0" t="s">
        <v>154</v>
      </c>
      <c r="ED2526" s="0" t="s">
        <v>155</v>
      </c>
      <c r="EF2526" s="0" t="s">
        <v>154</v>
      </c>
      <c r="EH2526" s="0" t="s">
        <v>155</v>
      </c>
    </row>
    <row r="2527" customFormat="false" ht="13.8" hidden="false" customHeight="false" outlineLevel="0" collapsed="false">
      <c r="A2527" s="0" t="s">
        <v>10885</v>
      </c>
      <c r="B2527" s="0" t="n">
        <v>78</v>
      </c>
      <c r="C2527" s="0" t="n">
        <v>357122</v>
      </c>
      <c r="D2527" s="0" t="s">
        <v>645</v>
      </c>
      <c r="E2527" s="0" t="s">
        <v>1840</v>
      </c>
      <c r="F2527" s="0" t="str">
        <f aca="false">CONCATENATE(D2527," ",LEFT(H2527,4),"T=",AU2527,"D=",AV2527,"R=",AW2527,"M=",AX2527,"L=",AY2527,"B=",AZ2527)</f>
        <v>WILLIAMS T=9D=2R=0M=1L=4B=0</v>
      </c>
      <c r="G2527" s="0" t="s">
        <v>297</v>
      </c>
      <c r="I2527" s="0" t="s">
        <v>10886</v>
      </c>
      <c r="J2527" s="0" t="s">
        <v>10887</v>
      </c>
      <c r="K2527" s="0" t="s">
        <v>175</v>
      </c>
      <c r="L2527" s="1" t="s">
        <v>176</v>
      </c>
      <c r="M2527" s="0" t="s">
        <v>10888</v>
      </c>
      <c r="N2527" s="0" t="str">
        <f aca="false">RIGHT(M2527,LEN(M2527)-FIND(" ",M2527))</f>
        <v>SHERIDAN AVE NE</v>
      </c>
      <c r="P2527" s="0" t="s">
        <v>146</v>
      </c>
      <c r="Q2527" s="0" t="s">
        <v>147</v>
      </c>
      <c r="R2527" s="0" t="n">
        <v>44483</v>
      </c>
      <c r="AD2527" s="0" t="s">
        <v>148</v>
      </c>
      <c r="AE2527" s="0" t="s">
        <v>149</v>
      </c>
      <c r="AF2527" s="0" t="s">
        <v>150</v>
      </c>
      <c r="AH2527" s="0" t="n">
        <v>14</v>
      </c>
      <c r="AI2527" s="0" t="n">
        <v>11</v>
      </c>
      <c r="AN2527" s="0" t="s">
        <v>146</v>
      </c>
      <c r="AO2527" s="0" t="s">
        <v>236</v>
      </c>
      <c r="AP2527" s="0" t="s">
        <v>237</v>
      </c>
      <c r="AQ2527" s="0" t="n">
        <v>9</v>
      </c>
      <c r="AR2527" s="0" t="n">
        <v>64</v>
      </c>
      <c r="AS2527" s="0" t="n">
        <v>32</v>
      </c>
      <c r="AU2527" s="0" t="n">
        <f aca="false">COUNTA($BA$143:$EH$143)</f>
        <v>9</v>
      </c>
      <c r="AV2527" s="0" t="n">
        <f aca="false">COUNTIF($BA$143:$EH$143,"D")</f>
        <v>2</v>
      </c>
      <c r="AW2527" s="0" t="n">
        <f aca="false">COUNTIF($BA$143:$EH$143,"R")</f>
        <v>0</v>
      </c>
      <c r="AX2527" s="0" t="n">
        <f aca="false"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>1</v>
      </c>
      <c r="AY2527" s="0" t="n">
        <f aca="false">COUNTIF(DU2527:EH2527, "&lt;&gt;")</f>
        <v>4</v>
      </c>
      <c r="AZ2527" s="0" t="n">
        <f aca="false">IF(EH2527&lt;&gt;"",1,0)</f>
        <v>0</v>
      </c>
      <c r="BB2527" s="0" t="s">
        <v>153</v>
      </c>
      <c r="BL2527" s="0" t="s">
        <v>154</v>
      </c>
      <c r="CN2527" s="0" t="s">
        <v>154</v>
      </c>
      <c r="CP2527" s="0" t="s">
        <v>154</v>
      </c>
      <c r="CV2527" s="0" t="s">
        <v>154</v>
      </c>
      <c r="CY2527" s="0" t="s">
        <v>154</v>
      </c>
      <c r="CZ2527" s="0" t="s">
        <v>176</v>
      </c>
      <c r="DC2527" s="0" t="s">
        <v>154</v>
      </c>
      <c r="DI2527" s="0" t="s">
        <v>154</v>
      </c>
      <c r="DJ2527" s="0" t="s">
        <v>155</v>
      </c>
      <c r="DL2527" s="0" t="s">
        <v>154</v>
      </c>
      <c r="DN2527" s="0" t="s">
        <v>154</v>
      </c>
      <c r="DR2527" s="0" t="s">
        <v>154</v>
      </c>
      <c r="DS2527" s="0" t="s">
        <v>176</v>
      </c>
      <c r="DU2527" s="0" t="s">
        <v>154</v>
      </c>
      <c r="DX2527" s="0" t="s">
        <v>154</v>
      </c>
      <c r="EA2527" s="0" t="s">
        <v>154</v>
      </c>
      <c r="EF2527" s="0" t="s">
        <v>154</v>
      </c>
    </row>
    <row r="2528" customFormat="false" ht="13.8" hidden="true" customHeight="false" outlineLevel="0" collapsed="false">
      <c r="A2528" s="0" t="s">
        <v>10889</v>
      </c>
      <c r="B2528" s="0" t="n">
        <v>78</v>
      </c>
      <c r="C2528" s="0" t="n">
        <v>306511</v>
      </c>
      <c r="D2528" s="0" t="s">
        <v>10890</v>
      </c>
      <c r="E2528" s="0" t="s">
        <v>3615</v>
      </c>
      <c r="F2528" s="0" t="str">
        <f aca="false">CONCATENATE(D2528," ",LEFT(H2528,4),"T=",AU2528,"D=",AV2528,"R=",AW2528,"M=",AX2528,"L=",AY2528,"B=",AZ2528)</f>
        <v>WILDMAN T=1D=0R=0M=1L=0B=0</v>
      </c>
      <c r="G2528" s="0" t="s">
        <v>159</v>
      </c>
      <c r="I2528" s="0" t="s">
        <v>3819</v>
      </c>
      <c r="J2528" s="0" t="s">
        <v>342</v>
      </c>
      <c r="K2528" s="0" t="s">
        <v>175</v>
      </c>
      <c r="L2528" s="0" t="s">
        <v>155</v>
      </c>
      <c r="M2528" s="0" t="s">
        <v>10888</v>
      </c>
      <c r="N2528" s="0" t="str">
        <f aca="false">RIGHT(M2528,LEN(M2528)-FIND(" ",M2528))</f>
        <v>SHERIDAN AVE NE</v>
      </c>
      <c r="P2528" s="0" t="s">
        <v>146</v>
      </c>
      <c r="Q2528" s="0" t="s">
        <v>147</v>
      </c>
      <c r="R2528" s="0" t="n">
        <v>44483</v>
      </c>
      <c r="AD2528" s="0" t="s">
        <v>148</v>
      </c>
      <c r="AE2528" s="0" t="s">
        <v>149</v>
      </c>
      <c r="AF2528" s="0" t="s">
        <v>150</v>
      </c>
      <c r="AH2528" s="0" t="n">
        <v>14</v>
      </c>
      <c r="AI2528" s="0" t="n">
        <v>11</v>
      </c>
      <c r="AN2528" s="0" t="s">
        <v>146</v>
      </c>
      <c r="AO2528" s="0" t="s">
        <v>236</v>
      </c>
      <c r="AP2528" s="0" t="s">
        <v>237</v>
      </c>
      <c r="AQ2528" s="0" t="n">
        <v>9</v>
      </c>
      <c r="AR2528" s="0" t="n">
        <v>64</v>
      </c>
      <c r="AS2528" s="0" t="n">
        <v>32</v>
      </c>
      <c r="AU2528" s="0" t="n">
        <f aca="false">COUNTA($BA$575:$EH$575)</f>
        <v>1</v>
      </c>
      <c r="AV2528" s="0" t="n">
        <f aca="false">COUNTIF($BA$575:$EH$575,"D")</f>
        <v>0</v>
      </c>
      <c r="AW2528" s="0" t="n">
        <f aca="false">COUNTIF($BA$575:$EH$575,"R")</f>
        <v>0</v>
      </c>
      <c r="AX2528" s="0" t="n">
        <f aca="false"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>1</v>
      </c>
      <c r="AY2528" s="0" t="n">
        <f aca="false">COUNTIF(DU2528:EH2528, "&lt;&gt;")</f>
        <v>0</v>
      </c>
      <c r="AZ2528" s="0" t="n">
        <f aca="false">IF(EH2528&lt;&gt;"",1,0)</f>
        <v>0</v>
      </c>
      <c r="BB2528" s="0" t="s">
        <v>153</v>
      </c>
      <c r="BL2528" s="0" t="s">
        <v>154</v>
      </c>
      <c r="DJ2528" s="0" t="s">
        <v>155</v>
      </c>
      <c r="DL2528" s="0" t="s">
        <v>154</v>
      </c>
      <c r="DN2528" s="0" t="s">
        <v>154</v>
      </c>
      <c r="DS2528" s="0" t="s">
        <v>155</v>
      </c>
    </row>
    <row r="2529" customFormat="false" ht="13.8" hidden="true" customHeight="false" outlineLevel="0" collapsed="false">
      <c r="A2529" s="0" t="s">
        <v>10891</v>
      </c>
      <c r="B2529" s="0" t="n">
        <v>78</v>
      </c>
      <c r="C2529" s="0" t="n">
        <v>326582</v>
      </c>
      <c r="D2529" s="0" t="s">
        <v>10892</v>
      </c>
      <c r="E2529" s="0" t="s">
        <v>1669</v>
      </c>
      <c r="F2529" s="0" t="str">
        <f aca="false">CONCATENATE(D2529," ",LEFT(H2529,4),"T=",AU2529,"D=",AV2529,"R=",AW2529,"M=",AX2529,"L=",AY2529,"B=",AZ2529)</f>
        <v>THOMPKINS T=48D=15R=1M=0L=0B=0</v>
      </c>
      <c r="G2529" s="0" t="s">
        <v>6206</v>
      </c>
      <c r="I2529" s="0" t="s">
        <v>10893</v>
      </c>
      <c r="J2529" s="0" t="s">
        <v>10894</v>
      </c>
      <c r="K2529" s="0" t="s">
        <v>144</v>
      </c>
      <c r="L2529" s="0"/>
      <c r="M2529" s="0" t="s">
        <v>10895</v>
      </c>
      <c r="N2529" s="0" t="str">
        <f aca="false">RIGHT(M2529,LEN(M2529)-FIND(" ",M2529))</f>
        <v>SHERIDAN AVE NE</v>
      </c>
      <c r="P2529" s="0" t="s">
        <v>146</v>
      </c>
      <c r="Q2529" s="0" t="s">
        <v>147</v>
      </c>
      <c r="R2529" s="0" t="n">
        <v>44483</v>
      </c>
      <c r="AD2529" s="0" t="s">
        <v>148</v>
      </c>
      <c r="AE2529" s="0" t="s">
        <v>149</v>
      </c>
      <c r="AF2529" s="0" t="s">
        <v>150</v>
      </c>
      <c r="AH2529" s="0" t="n">
        <v>14</v>
      </c>
      <c r="AI2529" s="0" t="n">
        <v>11</v>
      </c>
      <c r="AN2529" s="0" t="s">
        <v>146</v>
      </c>
      <c r="AO2529" s="0" t="s">
        <v>236</v>
      </c>
      <c r="AP2529" s="0" t="s">
        <v>237</v>
      </c>
      <c r="AQ2529" s="0" t="n">
        <v>9</v>
      </c>
      <c r="AR2529" s="0" t="n">
        <v>64</v>
      </c>
      <c r="AS2529" s="0" t="n">
        <v>32</v>
      </c>
      <c r="AU2529" s="0" t="n">
        <f aca="false">COUNTA($BA$420:$EH$420)</f>
        <v>48</v>
      </c>
      <c r="AV2529" s="0" t="n">
        <f aca="false">COUNTIF($BA$420:$EH$420,"D")</f>
        <v>15</v>
      </c>
      <c r="AW2529" s="0" t="n">
        <f aca="false">COUNTIF($BA$420:$EH$420,"R")</f>
        <v>1</v>
      </c>
      <c r="AX2529" s="0" t="n">
        <f aca="false"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>0</v>
      </c>
      <c r="AY2529" s="0" t="n">
        <f aca="false">COUNTIF(DU2529:EH2529, "&lt;&gt;")</f>
        <v>0</v>
      </c>
      <c r="AZ2529" s="0" t="n">
        <f aca="false">IF(EH2529&lt;&gt;"",1,0)</f>
        <v>0</v>
      </c>
      <c r="BB2529" s="0" t="s">
        <v>153</v>
      </c>
      <c r="CP2529" s="0" t="s">
        <v>154</v>
      </c>
    </row>
    <row r="2530" customFormat="false" ht="13.8" hidden="true" customHeight="false" outlineLevel="0" collapsed="false">
      <c r="A2530" s="0" t="s">
        <v>10896</v>
      </c>
      <c r="B2530" s="0" t="n">
        <v>78</v>
      </c>
      <c r="C2530" s="0" t="n">
        <v>440506</v>
      </c>
      <c r="D2530" s="0" t="s">
        <v>1628</v>
      </c>
      <c r="E2530" s="0" t="s">
        <v>277</v>
      </c>
      <c r="F2530" s="0" t="str">
        <f aca="false">CONCATENATE(D2530," ",LEFT(H2530,4),"T=",AU2530,"D=",AV2530,"R=",AW2530,"M=",AX2530,"L=",AY2530,"B=",AZ2530)</f>
        <v>REYNOLDS T=4D=0R=0M=0L=0B=0</v>
      </c>
      <c r="G2530" s="0" t="s">
        <v>471</v>
      </c>
      <c r="I2530" s="0" t="s">
        <v>4393</v>
      </c>
      <c r="J2530" s="0" t="s">
        <v>10897</v>
      </c>
      <c r="K2530" s="0" t="s">
        <v>175</v>
      </c>
      <c r="L2530" s="0"/>
      <c r="M2530" s="0" t="s">
        <v>10895</v>
      </c>
      <c r="N2530" s="0" t="str">
        <f aca="false">RIGHT(M2530,LEN(M2530)-FIND(" ",M2530))</f>
        <v>SHERIDAN AVE NE</v>
      </c>
      <c r="P2530" s="0" t="s">
        <v>146</v>
      </c>
      <c r="Q2530" s="0" t="s">
        <v>147</v>
      </c>
      <c r="R2530" s="0" t="n">
        <v>44483</v>
      </c>
      <c r="AD2530" s="0" t="s">
        <v>148</v>
      </c>
      <c r="AE2530" s="0" t="s">
        <v>149</v>
      </c>
      <c r="AF2530" s="0" t="s">
        <v>150</v>
      </c>
      <c r="AH2530" s="0" t="n">
        <v>14</v>
      </c>
      <c r="AI2530" s="0" t="n">
        <v>11</v>
      </c>
      <c r="AN2530" s="0" t="s">
        <v>146</v>
      </c>
      <c r="AO2530" s="0" t="s">
        <v>236</v>
      </c>
      <c r="AP2530" s="0" t="s">
        <v>237</v>
      </c>
      <c r="AQ2530" s="0" t="n">
        <v>9</v>
      </c>
      <c r="AR2530" s="0" t="n">
        <v>64</v>
      </c>
      <c r="AS2530" s="0" t="n">
        <v>32</v>
      </c>
      <c r="AU2530" s="0" t="n">
        <f aca="false">COUNTA($BA$1072:$EH$1072)</f>
        <v>4</v>
      </c>
      <c r="AV2530" s="0" t="n">
        <f aca="false">COUNTIF($BA$1072:$EH$1072,"D")</f>
        <v>0</v>
      </c>
      <c r="AW2530" s="0" t="n">
        <f aca="false">COUNTIF($BA$1072:$EH$1072,"R")</f>
        <v>0</v>
      </c>
      <c r="AX2530" s="0" t="n">
        <f aca="false"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>0</v>
      </c>
      <c r="AY2530" s="0" t="n">
        <f aca="false">COUNTIF(DU2530:EH2530, "&lt;&gt;")</f>
        <v>0</v>
      </c>
      <c r="AZ2530" s="0" t="n">
        <f aca="false">IF(EH2530&lt;&gt;"",1,0)</f>
        <v>0</v>
      </c>
      <c r="BB2530" s="0" t="s">
        <v>153</v>
      </c>
    </row>
    <row r="2531" customFormat="false" ht="13.8" hidden="true" customHeight="false" outlineLevel="0" collapsed="false">
      <c r="A2531" s="0" t="s">
        <v>10898</v>
      </c>
      <c r="B2531" s="0" t="n">
        <v>78</v>
      </c>
      <c r="C2531" s="0" t="n">
        <v>441502</v>
      </c>
      <c r="D2531" s="0" t="s">
        <v>8545</v>
      </c>
      <c r="E2531" s="0" t="s">
        <v>2759</v>
      </c>
      <c r="F2531" s="0" t="str">
        <f aca="false">CONCATENATE(D2531," ",LEFT(H2531,4),"T=",AU2531,"D=",AV2531,"R=",AW2531,"M=",AX2531,"L=",AY2531,"B=",AZ2531)</f>
        <v>WEIMER T=5D=1R=0M=0L=1B=0</v>
      </c>
      <c r="G2531" s="0" t="s">
        <v>166</v>
      </c>
      <c r="I2531" s="0" t="s">
        <v>10219</v>
      </c>
      <c r="J2531" s="0" t="s">
        <v>1966</v>
      </c>
      <c r="K2531" s="0" t="s">
        <v>175</v>
      </c>
      <c r="L2531" s="0"/>
      <c r="M2531" s="0" t="s">
        <v>10899</v>
      </c>
      <c r="N2531" s="0" t="str">
        <f aca="false">RIGHT(M2531,LEN(M2531)-FIND(" ",M2531))</f>
        <v>SHERIDAN AVE NE</v>
      </c>
      <c r="P2531" s="0" t="s">
        <v>146</v>
      </c>
      <c r="Q2531" s="0" t="s">
        <v>147</v>
      </c>
      <c r="R2531" s="0" t="n">
        <v>44483</v>
      </c>
      <c r="AD2531" s="0" t="s">
        <v>148</v>
      </c>
      <c r="AE2531" s="0" t="s">
        <v>149</v>
      </c>
      <c r="AF2531" s="0" t="s">
        <v>150</v>
      </c>
      <c r="AH2531" s="0" t="n">
        <v>14</v>
      </c>
      <c r="AI2531" s="0" t="n">
        <v>11</v>
      </c>
      <c r="AN2531" s="0" t="s">
        <v>146</v>
      </c>
      <c r="AO2531" s="0" t="s">
        <v>236</v>
      </c>
      <c r="AP2531" s="0" t="s">
        <v>237</v>
      </c>
      <c r="AQ2531" s="0" t="n">
        <v>9</v>
      </c>
      <c r="AR2531" s="0" t="n">
        <v>64</v>
      </c>
      <c r="AS2531" s="0" t="n">
        <v>32</v>
      </c>
      <c r="AU2531" s="0" t="n">
        <f aca="false">COUNTA($BA$334:$EH$334)</f>
        <v>5</v>
      </c>
      <c r="AV2531" s="0" t="n">
        <f aca="false">COUNTIF($BA$334:$EH$334,"D")</f>
        <v>1</v>
      </c>
      <c r="AW2531" s="0" t="n">
        <f aca="false">COUNTIF($BA$334:$EH$334,"R")</f>
        <v>0</v>
      </c>
      <c r="AX2531" s="0" t="n">
        <f aca="false"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>0</v>
      </c>
      <c r="AY2531" s="0" t="n">
        <f aca="false">COUNTIF(DU2531:EH2531, "&lt;&gt;")</f>
        <v>1</v>
      </c>
      <c r="AZ2531" s="0" t="n">
        <f aca="false">IF(EH2531&lt;&gt;"",1,0)</f>
        <v>0</v>
      </c>
      <c r="BB2531" s="0" t="s">
        <v>153</v>
      </c>
      <c r="CA2531" s="0" t="s">
        <v>154</v>
      </c>
      <c r="CP2531" s="0" t="s">
        <v>154</v>
      </c>
      <c r="DN2531" s="0" t="s">
        <v>154</v>
      </c>
      <c r="EF2531" s="0" t="s">
        <v>154</v>
      </c>
    </row>
    <row r="2532" customFormat="false" ht="13.8" hidden="true" customHeight="false" outlineLevel="0" collapsed="false">
      <c r="A2532" s="0" t="s">
        <v>10900</v>
      </c>
      <c r="B2532" s="0" t="n">
        <v>78</v>
      </c>
      <c r="C2532" s="0" t="n">
        <v>441845</v>
      </c>
      <c r="D2532" s="0" t="s">
        <v>10901</v>
      </c>
      <c r="E2532" s="0" t="s">
        <v>10902</v>
      </c>
      <c r="F2532" s="0" t="str">
        <f aca="false">CONCATENATE(D2532," ",LEFT(H2532,4),"T=",AU2532,"D=",AV2532,"R=",AW2532,"M=",AX2532,"L=",AY2532,"B=",AZ2532)</f>
        <v>PIRIVATRIC T=2D=0R=0M=0L=0B=0</v>
      </c>
      <c r="I2532" s="0" t="s">
        <v>10903</v>
      </c>
      <c r="J2532" s="0" t="s">
        <v>10904</v>
      </c>
      <c r="K2532" s="0" t="s">
        <v>144</v>
      </c>
      <c r="L2532" s="0"/>
      <c r="M2532" s="0" t="s">
        <v>10899</v>
      </c>
      <c r="N2532" s="0" t="str">
        <f aca="false">RIGHT(M2532,LEN(M2532)-FIND(" ",M2532))</f>
        <v>SHERIDAN AVE NE</v>
      </c>
      <c r="P2532" s="0" t="s">
        <v>146</v>
      </c>
      <c r="Q2532" s="0" t="s">
        <v>147</v>
      </c>
      <c r="R2532" s="0" t="n">
        <v>44483</v>
      </c>
      <c r="AD2532" s="0" t="s">
        <v>148</v>
      </c>
      <c r="AE2532" s="0" t="s">
        <v>149</v>
      </c>
      <c r="AF2532" s="0" t="s">
        <v>150</v>
      </c>
      <c r="AH2532" s="0" t="n">
        <v>14</v>
      </c>
      <c r="AI2532" s="0" t="n">
        <v>11</v>
      </c>
      <c r="AN2532" s="0" t="s">
        <v>146</v>
      </c>
      <c r="AO2532" s="0" t="s">
        <v>236</v>
      </c>
      <c r="AP2532" s="0" t="s">
        <v>237</v>
      </c>
      <c r="AQ2532" s="0" t="n">
        <v>9</v>
      </c>
      <c r="AR2532" s="0" t="n">
        <v>64</v>
      </c>
      <c r="AS2532" s="0" t="n">
        <v>32</v>
      </c>
      <c r="AU2532" s="0" t="n">
        <f aca="false">COUNTA($BA$590:$EH$590)</f>
        <v>2</v>
      </c>
      <c r="AV2532" s="0" t="n">
        <f aca="false">COUNTIF($BA$590:$EH$590,"D")</f>
        <v>0</v>
      </c>
      <c r="AW2532" s="0" t="n">
        <f aca="false">COUNTIF($BA$590:$EH$590,"R")</f>
        <v>0</v>
      </c>
      <c r="AX2532" s="0" t="n">
        <f aca="false"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>0</v>
      </c>
      <c r="AY2532" s="0" t="n">
        <f aca="false">COUNTIF(DU2532:EH2532, "&lt;&gt;")</f>
        <v>0</v>
      </c>
      <c r="AZ2532" s="0" t="n">
        <f aca="false">IF(EH2532&lt;&gt;"",1,0)</f>
        <v>0</v>
      </c>
      <c r="BB2532" s="0" t="s">
        <v>153</v>
      </c>
      <c r="DN2532" s="0" t="s">
        <v>154</v>
      </c>
    </row>
    <row r="2533" customFormat="false" ht="13.8" hidden="false" customHeight="false" outlineLevel="0" collapsed="false">
      <c r="A2533" s="0" t="s">
        <v>10905</v>
      </c>
      <c r="B2533" s="0" t="n">
        <v>78</v>
      </c>
      <c r="C2533" s="0" t="n">
        <v>225407</v>
      </c>
      <c r="D2533" s="0" t="s">
        <v>10906</v>
      </c>
      <c r="E2533" s="0" t="s">
        <v>495</v>
      </c>
      <c r="F2533" s="0" t="str">
        <f aca="false">CONCATENATE(D2533," ",LEFT(H2533,4),"T=",AU2533,"D=",AV2533,"R=",AW2533,"M=",AX2533,"L=",AY2533,"B=",AZ2533)</f>
        <v>HERNON T=1D=0R=0M=2L=4B=0</v>
      </c>
      <c r="G2533" s="0" t="s">
        <v>159</v>
      </c>
      <c r="I2533" s="0" t="s">
        <v>10907</v>
      </c>
      <c r="J2533" s="0" t="s">
        <v>10908</v>
      </c>
      <c r="K2533" s="0" t="s">
        <v>175</v>
      </c>
      <c r="L2533" s="1" t="s">
        <v>176</v>
      </c>
      <c r="M2533" s="0" t="s">
        <v>10909</v>
      </c>
      <c r="N2533" s="0" t="str">
        <f aca="false">RIGHT(M2533,LEN(M2533)-FIND(" ",M2533))</f>
        <v>SHERIDAN AVE NE</v>
      </c>
      <c r="P2533" s="0" t="s">
        <v>146</v>
      </c>
      <c r="Q2533" s="0" t="s">
        <v>147</v>
      </c>
      <c r="R2533" s="0" t="n">
        <v>44483</v>
      </c>
      <c r="AD2533" s="0" t="s">
        <v>148</v>
      </c>
      <c r="AE2533" s="0" t="s">
        <v>149</v>
      </c>
      <c r="AF2533" s="0" t="s">
        <v>150</v>
      </c>
      <c r="AH2533" s="0" t="n">
        <v>14</v>
      </c>
      <c r="AI2533" s="0" t="n">
        <v>11</v>
      </c>
      <c r="AN2533" s="0" t="s">
        <v>146</v>
      </c>
      <c r="AO2533" s="0" t="s">
        <v>236</v>
      </c>
      <c r="AP2533" s="0" t="s">
        <v>237</v>
      </c>
      <c r="AQ2533" s="0" t="n">
        <v>9</v>
      </c>
      <c r="AR2533" s="0" t="n">
        <v>64</v>
      </c>
      <c r="AS2533" s="0" t="n">
        <v>32</v>
      </c>
      <c r="AU2533" s="0" t="n">
        <f aca="false">COUNTA($BA$766:$EH$766)</f>
        <v>1</v>
      </c>
      <c r="AV2533" s="0" t="n">
        <f aca="false">COUNTIF($BA$766:$EH$766,"D")</f>
        <v>0</v>
      </c>
      <c r="AW2533" s="0" t="n">
        <f aca="false">COUNTIF($BA$766:$EH$766,"R")</f>
        <v>0</v>
      </c>
      <c r="AX2533" s="0" t="n">
        <f aca="false"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>2</v>
      </c>
      <c r="AY2533" s="0" t="n">
        <f aca="false">COUNTIF(DU2533:EH2533, "&lt;&gt;")</f>
        <v>4</v>
      </c>
      <c r="AZ2533" s="0" t="n">
        <f aca="false">IF(EH2533&lt;&gt;"",1,0)</f>
        <v>0</v>
      </c>
      <c r="BB2533" s="0" t="s">
        <v>153</v>
      </c>
      <c r="BC2533" s="0" t="s">
        <v>154</v>
      </c>
      <c r="CG2533" s="0" t="s">
        <v>154</v>
      </c>
      <c r="CN2533" s="0" t="s">
        <v>154</v>
      </c>
      <c r="CO2533" s="0" t="s">
        <v>176</v>
      </c>
      <c r="CP2533" s="0" t="s">
        <v>154</v>
      </c>
      <c r="CY2533" s="0" t="s">
        <v>154</v>
      </c>
      <c r="CZ2533" s="0" t="s">
        <v>176</v>
      </c>
      <c r="DD2533" s="0" t="s">
        <v>155</v>
      </c>
      <c r="DF2533" s="0" t="s">
        <v>154</v>
      </c>
      <c r="DG2533" s="0" t="s">
        <v>176</v>
      </c>
      <c r="DI2533" s="0" t="s">
        <v>154</v>
      </c>
      <c r="DJ2533" s="0" t="s">
        <v>155</v>
      </c>
      <c r="DL2533" s="0" t="s">
        <v>154</v>
      </c>
      <c r="DN2533" s="0" t="s">
        <v>154</v>
      </c>
      <c r="DR2533" s="0" t="s">
        <v>154</v>
      </c>
      <c r="DT2533" s="0" t="s">
        <v>176</v>
      </c>
      <c r="DU2533" s="0" t="s">
        <v>154</v>
      </c>
      <c r="EA2533" s="0" t="s">
        <v>154</v>
      </c>
      <c r="ED2533" s="0" t="s">
        <v>176</v>
      </c>
      <c r="EF2533" s="0" t="s">
        <v>154</v>
      </c>
    </row>
    <row r="2534" customFormat="false" ht="13.8" hidden="true" customHeight="false" outlineLevel="0" collapsed="false">
      <c r="A2534" s="0" t="s">
        <v>10910</v>
      </c>
      <c r="B2534" s="0" t="n">
        <v>78</v>
      </c>
      <c r="C2534" s="0" t="n">
        <v>388858</v>
      </c>
      <c r="D2534" s="0" t="s">
        <v>10911</v>
      </c>
      <c r="E2534" s="0" t="s">
        <v>10912</v>
      </c>
      <c r="F2534" s="0" t="str">
        <f aca="false">CONCATENATE(D2534," ",LEFT(H2534,4),"T=",AU2534,"D=",AV2534,"R=",AW2534,"M=",AX2534,"L=",AY2534,"B=",AZ2534)</f>
        <v>ASKERNEESE T=1D=0R=0M=0L=0B=0</v>
      </c>
      <c r="G2534" s="0" t="s">
        <v>241</v>
      </c>
      <c r="I2534" s="0" t="s">
        <v>10913</v>
      </c>
      <c r="J2534" s="0" t="s">
        <v>1672</v>
      </c>
      <c r="K2534" s="0" t="s">
        <v>144</v>
      </c>
      <c r="L2534" s="0"/>
      <c r="M2534" s="0" t="s">
        <v>10914</v>
      </c>
      <c r="N2534" s="0" t="str">
        <f aca="false">RIGHT(M2534,LEN(M2534)-FIND(" ",M2534))</f>
        <v>SHERIDAN AVE NE</v>
      </c>
      <c r="P2534" s="0" t="s">
        <v>146</v>
      </c>
      <c r="Q2534" s="0" t="s">
        <v>147</v>
      </c>
      <c r="R2534" s="0" t="n">
        <v>44483</v>
      </c>
      <c r="AD2534" s="0" t="s">
        <v>148</v>
      </c>
      <c r="AE2534" s="0" t="s">
        <v>149</v>
      </c>
      <c r="AF2534" s="0" t="s">
        <v>150</v>
      </c>
      <c r="AH2534" s="0" t="n">
        <v>14</v>
      </c>
      <c r="AI2534" s="0" t="n">
        <v>11</v>
      </c>
      <c r="AN2534" s="0" t="s">
        <v>146</v>
      </c>
      <c r="AO2534" s="0" t="s">
        <v>236</v>
      </c>
      <c r="AP2534" s="0" t="s">
        <v>237</v>
      </c>
      <c r="AQ2534" s="0" t="n">
        <v>9</v>
      </c>
      <c r="AR2534" s="0" t="n">
        <v>64</v>
      </c>
      <c r="AS2534" s="0" t="n">
        <v>32</v>
      </c>
      <c r="AU2534" s="0" t="n">
        <f aca="false">COUNTA($BA$955:$EH$955)</f>
        <v>1</v>
      </c>
      <c r="AV2534" s="0" t="n">
        <f aca="false">COUNTIF($BA$955:$EH$955,"D")</f>
        <v>0</v>
      </c>
      <c r="AW2534" s="0" t="n">
        <f aca="false">COUNTIF($BA$955:$EH$955,"R")</f>
        <v>0</v>
      </c>
      <c r="AX2534" s="0" t="n">
        <f aca="false"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>0</v>
      </c>
      <c r="AY2534" s="0" t="n">
        <f aca="false">COUNTIF(DU2534:EH2534, "&lt;&gt;")</f>
        <v>0</v>
      </c>
      <c r="AZ2534" s="0" t="n">
        <f aca="false">IF(EH2534&lt;&gt;"",1,0)</f>
        <v>0</v>
      </c>
      <c r="BB2534" s="0" t="s">
        <v>153</v>
      </c>
      <c r="CP2534" s="0" t="s">
        <v>154</v>
      </c>
      <c r="DC2534" s="0" t="s">
        <v>154</v>
      </c>
    </row>
    <row r="2535" customFormat="false" ht="13.8" hidden="true" customHeight="false" outlineLevel="0" collapsed="false">
      <c r="A2535" s="0" t="s">
        <v>10915</v>
      </c>
      <c r="B2535" s="0" t="n">
        <v>78</v>
      </c>
      <c r="C2535" s="0" t="n">
        <v>392984</v>
      </c>
      <c r="D2535" s="0" t="s">
        <v>9902</v>
      </c>
      <c r="E2535" s="0" t="s">
        <v>3039</v>
      </c>
      <c r="F2535" s="0" t="str">
        <f aca="false">CONCATENATE(D2535," ",LEFT(H2535,4),"T=",AU2535,"D=",AV2535,"R=",AW2535,"M=",AX2535,"L=",AY2535,"B=",AZ2535)</f>
        <v>CLEVELAND SRT=8D=0R=0M=0L=0B=0</v>
      </c>
      <c r="G2535" s="0" t="s">
        <v>155</v>
      </c>
      <c r="H2535" s="0" t="s">
        <v>311</v>
      </c>
      <c r="I2535" s="0" t="s">
        <v>10916</v>
      </c>
      <c r="J2535" s="0" t="s">
        <v>10917</v>
      </c>
      <c r="K2535" s="0" t="s">
        <v>144</v>
      </c>
      <c r="L2535" s="0"/>
      <c r="M2535" s="0" t="s">
        <v>10914</v>
      </c>
      <c r="N2535" s="0" t="str">
        <f aca="false">RIGHT(M2535,LEN(M2535)-FIND(" ",M2535))</f>
        <v>SHERIDAN AVE NE</v>
      </c>
      <c r="P2535" s="0" t="s">
        <v>146</v>
      </c>
      <c r="Q2535" s="0" t="s">
        <v>147</v>
      </c>
      <c r="R2535" s="0" t="n">
        <v>44483</v>
      </c>
      <c r="AD2535" s="0" t="s">
        <v>148</v>
      </c>
      <c r="AE2535" s="0" t="s">
        <v>149</v>
      </c>
      <c r="AF2535" s="0" t="s">
        <v>150</v>
      </c>
      <c r="AH2535" s="0" t="n">
        <v>14</v>
      </c>
      <c r="AI2535" s="0" t="n">
        <v>11</v>
      </c>
      <c r="AN2535" s="0" t="s">
        <v>146</v>
      </c>
      <c r="AO2535" s="0" t="s">
        <v>236</v>
      </c>
      <c r="AP2535" s="0" t="s">
        <v>237</v>
      </c>
      <c r="AQ2535" s="0" t="n">
        <v>9</v>
      </c>
      <c r="AR2535" s="0" t="n">
        <v>64</v>
      </c>
      <c r="AS2535" s="0" t="n">
        <v>32</v>
      </c>
      <c r="AU2535" s="0" t="n">
        <f aca="false">COUNTA($BA$1038:$EH$1038)</f>
        <v>8</v>
      </c>
      <c r="AV2535" s="0" t="n">
        <f aca="false">COUNTIF($BA$1038:$EH$1038,"D")</f>
        <v>0</v>
      </c>
      <c r="AW2535" s="0" t="n">
        <f aca="false">COUNTIF($BA$1038:$EH$1038,"R")</f>
        <v>0</v>
      </c>
      <c r="AX2535" s="0" t="n">
        <f aca="false"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>0</v>
      </c>
      <c r="AY2535" s="0" t="n">
        <f aca="false">COUNTIF(DU2535:EH2535, "&lt;&gt;")</f>
        <v>0</v>
      </c>
      <c r="AZ2535" s="0" t="n">
        <f aca="false">IF(EH2535&lt;&gt;"",1,0)</f>
        <v>0</v>
      </c>
      <c r="BB2535" s="0" t="s">
        <v>153</v>
      </c>
      <c r="CP2535" s="0" t="s">
        <v>154</v>
      </c>
      <c r="DC2535" s="0" t="s">
        <v>154</v>
      </c>
      <c r="DI2535" s="0" t="s">
        <v>154</v>
      </c>
    </row>
    <row r="2536" customFormat="false" ht="13.8" hidden="true" customHeight="false" outlineLevel="0" collapsed="false">
      <c r="A2536" s="0" t="s">
        <v>10918</v>
      </c>
      <c r="B2536" s="0" t="n">
        <v>78</v>
      </c>
      <c r="C2536" s="0" t="n">
        <v>436801</v>
      </c>
      <c r="D2536" s="0" t="s">
        <v>10919</v>
      </c>
      <c r="E2536" s="0" t="s">
        <v>202</v>
      </c>
      <c r="F2536" s="0" t="str">
        <f aca="false">CONCATENATE(D2536," ",LEFT(H2536,4),"T=",AU2536,"D=",AV2536,"R=",AW2536,"M=",AX2536,"L=",AY2536,"B=",AZ2536)</f>
        <v>SPEAR T=11D=4R=0M=0L=1B=0</v>
      </c>
      <c r="G2536" s="0" t="s">
        <v>750</v>
      </c>
      <c r="I2536" s="0" t="s">
        <v>10920</v>
      </c>
      <c r="J2536" s="0" t="s">
        <v>10921</v>
      </c>
      <c r="K2536" s="0" t="s">
        <v>175</v>
      </c>
      <c r="L2536" s="0"/>
      <c r="M2536" s="0" t="s">
        <v>10922</v>
      </c>
      <c r="N2536" s="0" t="str">
        <f aca="false">RIGHT(M2536,LEN(M2536)-FIND(" ",M2536))</f>
        <v>SHERIDAN AVE NE</v>
      </c>
      <c r="P2536" s="0" t="s">
        <v>146</v>
      </c>
      <c r="Q2536" s="0" t="s">
        <v>147</v>
      </c>
      <c r="R2536" s="0" t="n">
        <v>44483</v>
      </c>
      <c r="AD2536" s="0" t="s">
        <v>148</v>
      </c>
      <c r="AE2536" s="0" t="s">
        <v>149</v>
      </c>
      <c r="AF2536" s="0" t="s">
        <v>150</v>
      </c>
      <c r="AH2536" s="0" t="n">
        <v>14</v>
      </c>
      <c r="AI2536" s="0" t="n">
        <v>11</v>
      </c>
      <c r="AN2536" s="0" t="s">
        <v>146</v>
      </c>
      <c r="AO2536" s="0" t="s">
        <v>236</v>
      </c>
      <c r="AP2536" s="0" t="s">
        <v>237</v>
      </c>
      <c r="AQ2536" s="0" t="n">
        <v>9</v>
      </c>
      <c r="AR2536" s="0" t="n">
        <v>64</v>
      </c>
      <c r="AS2536" s="0" t="n">
        <v>32</v>
      </c>
      <c r="AU2536" s="0" t="n">
        <f aca="false">COUNTA($BA$444:$EH$444)</f>
        <v>11</v>
      </c>
      <c r="AV2536" s="0" t="n">
        <f aca="false">COUNTIF($BA$444:$EH$444,"D")</f>
        <v>4</v>
      </c>
      <c r="AW2536" s="0" t="n">
        <f aca="false">COUNTIF($BA$444:$EH$444,"R")</f>
        <v>0</v>
      </c>
      <c r="AX2536" s="0" t="n">
        <f aca="false"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>0</v>
      </c>
      <c r="AY2536" s="0" t="n">
        <f aca="false">COUNTIF(DU2536:EH2536, "&lt;&gt;")</f>
        <v>1</v>
      </c>
      <c r="AZ2536" s="0" t="n">
        <f aca="false">IF(EH2536&lt;&gt;"",1,0)</f>
        <v>0</v>
      </c>
      <c r="BB2536" s="0" t="s">
        <v>153</v>
      </c>
      <c r="DN2536" s="0" t="s">
        <v>154</v>
      </c>
      <c r="EF2536" s="0" t="s">
        <v>154</v>
      </c>
    </row>
    <row r="2537" customFormat="false" ht="13.8" hidden="true" customHeight="false" outlineLevel="0" collapsed="false">
      <c r="A2537" s="0" t="s">
        <v>10923</v>
      </c>
      <c r="B2537" s="0" t="n">
        <v>78</v>
      </c>
      <c r="C2537" s="0" t="n">
        <v>418144</v>
      </c>
      <c r="D2537" s="0" t="s">
        <v>10919</v>
      </c>
      <c r="E2537" s="0" t="s">
        <v>507</v>
      </c>
      <c r="F2537" s="0" t="str">
        <f aca="false">CONCATENATE(D2537," ",LEFT(H2537,4),"T=",AU2537,"D=",AV2537,"R=",AW2537,"M=",AX2537,"L=",AY2537,"B=",AZ2537)</f>
        <v>SPEAR T=8D=0R=1M=0L=1B=0</v>
      </c>
      <c r="G2537" s="0" t="s">
        <v>176</v>
      </c>
      <c r="I2537" s="0" t="s">
        <v>10924</v>
      </c>
      <c r="J2537" s="0" t="s">
        <v>10925</v>
      </c>
      <c r="K2537" s="0" t="s">
        <v>175</v>
      </c>
      <c r="L2537" s="0"/>
      <c r="M2537" s="0" t="s">
        <v>10922</v>
      </c>
      <c r="N2537" s="0" t="str">
        <f aca="false">RIGHT(M2537,LEN(M2537)-FIND(" ",M2537))</f>
        <v>SHERIDAN AVE NE</v>
      </c>
      <c r="P2537" s="0" t="s">
        <v>146</v>
      </c>
      <c r="Q2537" s="0" t="s">
        <v>147</v>
      </c>
      <c r="R2537" s="0" t="n">
        <v>44483</v>
      </c>
      <c r="AD2537" s="0" t="s">
        <v>148</v>
      </c>
      <c r="AE2537" s="0" t="s">
        <v>149</v>
      </c>
      <c r="AF2537" s="0" t="s">
        <v>150</v>
      </c>
      <c r="AH2537" s="0" t="n">
        <v>14</v>
      </c>
      <c r="AI2537" s="0" t="n">
        <v>11</v>
      </c>
      <c r="AN2537" s="0" t="s">
        <v>146</v>
      </c>
      <c r="AO2537" s="0" t="s">
        <v>236</v>
      </c>
      <c r="AP2537" s="0" t="s">
        <v>237</v>
      </c>
      <c r="AQ2537" s="0" t="n">
        <v>9</v>
      </c>
      <c r="AR2537" s="0" t="n">
        <v>64</v>
      </c>
      <c r="AS2537" s="0" t="n">
        <v>32</v>
      </c>
      <c r="AU2537" s="0" t="n">
        <f aca="false">COUNTA($BA$714:$EH$714)</f>
        <v>8</v>
      </c>
      <c r="AV2537" s="0" t="n">
        <f aca="false">COUNTIF($BA$714:$EH$714,"D")</f>
        <v>0</v>
      </c>
      <c r="AW2537" s="0" t="n">
        <f aca="false">COUNTIF($BA$714:$EH$714,"R")</f>
        <v>1</v>
      </c>
      <c r="AX2537" s="0" t="n">
        <f aca="false"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>0</v>
      </c>
      <c r="AY2537" s="0" t="n">
        <f aca="false">COUNTIF(DU2537:EH2537, "&lt;&gt;")</f>
        <v>1</v>
      </c>
      <c r="AZ2537" s="0" t="n">
        <f aca="false">IF(EH2537&lt;&gt;"",1,0)</f>
        <v>0</v>
      </c>
      <c r="BB2537" s="0" t="s">
        <v>153</v>
      </c>
      <c r="DN2537" s="0" t="s">
        <v>154</v>
      </c>
      <c r="EF2537" s="0" t="s">
        <v>154</v>
      </c>
    </row>
    <row r="2538" customFormat="false" ht="13.8" hidden="true" customHeight="false" outlineLevel="0" collapsed="false">
      <c r="A2538" s="0" t="s">
        <v>10926</v>
      </c>
      <c r="B2538" s="0" t="n">
        <v>78</v>
      </c>
      <c r="C2538" s="0" t="n">
        <v>407733</v>
      </c>
      <c r="D2538" s="0" t="s">
        <v>10927</v>
      </c>
      <c r="E2538" s="0" t="s">
        <v>10928</v>
      </c>
      <c r="F2538" s="0" t="str">
        <f aca="false">CONCATENATE(D2538," ",LEFT(H2538,4),"T=",AU2538,"D=",AV2538,"R=",AW2538,"M=",AX2538,"L=",AY2538,"B=",AZ2538)</f>
        <v>MAYBOU T=8D=0R=0M=0L=0B=0</v>
      </c>
      <c r="G2538" s="0" t="s">
        <v>188</v>
      </c>
      <c r="I2538" s="0" t="s">
        <v>10929</v>
      </c>
      <c r="J2538" s="0" t="s">
        <v>757</v>
      </c>
      <c r="K2538" s="0" t="s">
        <v>175</v>
      </c>
      <c r="L2538" s="0"/>
      <c r="M2538" s="0" t="s">
        <v>10930</v>
      </c>
      <c r="N2538" s="0" t="str">
        <f aca="false">RIGHT(M2538,LEN(M2538)-FIND(" ",M2538))</f>
        <v>SHERIDAN AVE NE</v>
      </c>
      <c r="P2538" s="0" t="s">
        <v>146</v>
      </c>
      <c r="Q2538" s="0" t="s">
        <v>147</v>
      </c>
      <c r="R2538" s="0" t="n">
        <v>44483</v>
      </c>
      <c r="AD2538" s="0" t="s">
        <v>148</v>
      </c>
      <c r="AE2538" s="0" t="s">
        <v>149</v>
      </c>
      <c r="AF2538" s="0" t="s">
        <v>150</v>
      </c>
      <c r="AH2538" s="0" t="n">
        <v>14</v>
      </c>
      <c r="AI2538" s="0" t="n">
        <v>11</v>
      </c>
      <c r="AN2538" s="0" t="s">
        <v>146</v>
      </c>
      <c r="AO2538" s="0" t="s">
        <v>236</v>
      </c>
      <c r="AP2538" s="0" t="s">
        <v>237</v>
      </c>
      <c r="AQ2538" s="0" t="n">
        <v>9</v>
      </c>
      <c r="AR2538" s="0" t="n">
        <v>64</v>
      </c>
      <c r="AS2538" s="0" t="n">
        <v>32</v>
      </c>
      <c r="AU2538" s="0" t="n">
        <f aca="false">COUNTA($BA$71:$EH$71)</f>
        <v>8</v>
      </c>
      <c r="AV2538" s="0" t="n">
        <f aca="false">COUNTIF($BA$71:$EH$71,"D")</f>
        <v>0</v>
      </c>
      <c r="AW2538" s="0" t="n">
        <f aca="false">COUNTIF($BA$71:$EH$71,"R")</f>
        <v>0</v>
      </c>
      <c r="AX2538" s="0" t="n">
        <f aca="false"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>0</v>
      </c>
      <c r="AY2538" s="0" t="n">
        <f aca="false">COUNTIF(DU2538:EH2538, "&lt;&gt;")</f>
        <v>0</v>
      </c>
      <c r="AZ2538" s="0" t="n">
        <f aca="false">IF(EH2538&lt;&gt;"",1,0)</f>
        <v>0</v>
      </c>
      <c r="BB2538" s="0" t="s">
        <v>153</v>
      </c>
      <c r="BC2538" s="0" t="s">
        <v>154</v>
      </c>
      <c r="BD2538" s="0" t="s">
        <v>154</v>
      </c>
      <c r="BL2538" s="0" t="s">
        <v>154</v>
      </c>
      <c r="DC2538" s="0" t="s">
        <v>154</v>
      </c>
    </row>
    <row r="2539" customFormat="false" ht="13.8" hidden="false" customHeight="false" outlineLevel="0" collapsed="false">
      <c r="A2539" s="0" t="s">
        <v>10931</v>
      </c>
      <c r="B2539" s="0" t="n">
        <v>78</v>
      </c>
      <c r="C2539" s="0" t="n">
        <v>4811</v>
      </c>
      <c r="D2539" s="0" t="s">
        <v>10927</v>
      </c>
      <c r="E2539" s="0" t="s">
        <v>6981</v>
      </c>
      <c r="F2539" s="0" t="str">
        <f aca="false">CONCATENATE(D2539," ",LEFT(H2539,4),"T=",AU2539,"D=",AV2539,"R=",AW2539,"M=",AX2539,"L=",AY2539,"B=",AZ2539)</f>
        <v>MAYBOU T=1D=0R=0M=1L=7B=1</v>
      </c>
      <c r="G2539" s="0" t="s">
        <v>176</v>
      </c>
      <c r="I2539" s="0" t="s">
        <v>10932</v>
      </c>
      <c r="J2539" s="0" t="s">
        <v>161</v>
      </c>
      <c r="K2539" s="0" t="s">
        <v>175</v>
      </c>
      <c r="L2539" s="1" t="s">
        <v>176</v>
      </c>
      <c r="M2539" s="0" t="s">
        <v>10930</v>
      </c>
      <c r="N2539" s="0" t="str">
        <f aca="false">RIGHT(M2539,LEN(M2539)-FIND(" ",M2539))</f>
        <v>SHERIDAN AVE NE</v>
      </c>
      <c r="P2539" s="0" t="s">
        <v>146</v>
      </c>
      <c r="Q2539" s="0" t="s">
        <v>147</v>
      </c>
      <c r="R2539" s="0" t="n">
        <v>44483</v>
      </c>
      <c r="AD2539" s="0" t="s">
        <v>148</v>
      </c>
      <c r="AE2539" s="0" t="s">
        <v>149</v>
      </c>
      <c r="AF2539" s="0" t="s">
        <v>150</v>
      </c>
      <c r="AH2539" s="0" t="n">
        <v>14</v>
      </c>
      <c r="AI2539" s="0" t="n">
        <v>11</v>
      </c>
      <c r="AN2539" s="0" t="s">
        <v>146</v>
      </c>
      <c r="AO2539" s="0" t="s">
        <v>236</v>
      </c>
      <c r="AP2539" s="0" t="s">
        <v>237</v>
      </c>
      <c r="AQ2539" s="0" t="n">
        <v>9</v>
      </c>
      <c r="AR2539" s="0" t="n">
        <v>64</v>
      </c>
      <c r="AS2539" s="0" t="n">
        <v>32</v>
      </c>
      <c r="AU2539" s="0" t="n">
        <f aca="false">COUNTA($BA$764:$EH$764)</f>
        <v>1</v>
      </c>
      <c r="AV2539" s="0" t="n">
        <f aca="false">COUNTIF($BA$764:$EH$764,"D")</f>
        <v>0</v>
      </c>
      <c r="AW2539" s="0" t="n">
        <f aca="false">COUNTIF($BA$764:$EH$764,"R")</f>
        <v>0</v>
      </c>
      <c r="AX2539" s="0" t="n">
        <f aca="false"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>1</v>
      </c>
      <c r="AY2539" s="0" t="n">
        <f aca="false">COUNTIF(DU2539:EH2539, "&lt;&gt;")</f>
        <v>7</v>
      </c>
      <c r="AZ2539" s="0" t="n">
        <f aca="false">IF(EH2539&lt;&gt;"",1,0)</f>
        <v>1</v>
      </c>
      <c r="BB2539" s="0" t="s">
        <v>153</v>
      </c>
      <c r="BC2539" s="0" t="s">
        <v>154</v>
      </c>
      <c r="BD2539" s="0" t="s">
        <v>154</v>
      </c>
      <c r="BH2539" s="0" t="s">
        <v>154</v>
      </c>
      <c r="BI2539" s="0" t="s">
        <v>154</v>
      </c>
      <c r="BL2539" s="0" t="s">
        <v>154</v>
      </c>
      <c r="BP2539" s="0" t="s">
        <v>154</v>
      </c>
      <c r="BR2539" s="0" t="s">
        <v>154</v>
      </c>
      <c r="BS2539" s="0" t="s">
        <v>154</v>
      </c>
      <c r="BY2539" s="0" t="s">
        <v>155</v>
      </c>
      <c r="CA2539" s="0" t="s">
        <v>154</v>
      </c>
      <c r="CG2539" s="0" t="s">
        <v>154</v>
      </c>
      <c r="CN2539" s="0" t="s">
        <v>154</v>
      </c>
      <c r="CP2539" s="0" t="s">
        <v>154</v>
      </c>
      <c r="CY2539" s="0" t="s">
        <v>154</v>
      </c>
      <c r="DC2539" s="0" t="s">
        <v>154</v>
      </c>
      <c r="DG2539" s="0" t="s">
        <v>176</v>
      </c>
      <c r="DI2539" s="0" t="s">
        <v>154</v>
      </c>
      <c r="DN2539" s="0" t="s">
        <v>154</v>
      </c>
      <c r="DU2539" s="0" t="s">
        <v>154</v>
      </c>
      <c r="DW2539" s="0" t="s">
        <v>155</v>
      </c>
      <c r="DX2539" s="0" t="s">
        <v>154</v>
      </c>
      <c r="EA2539" s="0" t="s">
        <v>154</v>
      </c>
      <c r="ED2539" s="0" t="s">
        <v>176</v>
      </c>
      <c r="EF2539" s="0" t="s">
        <v>154</v>
      </c>
      <c r="EH2539" s="0" t="s">
        <v>154</v>
      </c>
    </row>
    <row r="2540" customFormat="false" ht="13.8" hidden="false" customHeight="false" outlineLevel="0" collapsed="false">
      <c r="A2540" s="0" t="s">
        <v>10933</v>
      </c>
      <c r="B2540" s="0" t="n">
        <v>78</v>
      </c>
      <c r="C2540" s="0" t="n">
        <v>451064</v>
      </c>
      <c r="D2540" s="0" t="s">
        <v>10934</v>
      </c>
      <c r="E2540" s="0" t="s">
        <v>689</v>
      </c>
      <c r="F2540" s="0" t="str">
        <f aca="false">CONCATENATE(D2540," ",LEFT(H2540,4),"T=",AU2540,"D=",AV2540,"R=",AW2540,"M=",AX2540,"L=",AY2540,"B=",AZ2540)</f>
        <v>GIDEON T=2D=0R=0M=3L=7B=1</v>
      </c>
      <c r="G2540" s="0" t="s">
        <v>1964</v>
      </c>
      <c r="I2540" s="0" t="s">
        <v>10935</v>
      </c>
      <c r="J2540" s="0" t="s">
        <v>10936</v>
      </c>
      <c r="K2540" s="0" t="s">
        <v>175</v>
      </c>
      <c r="L2540" s="1" t="s">
        <v>155</v>
      </c>
      <c r="M2540" s="0" t="s">
        <v>10937</v>
      </c>
      <c r="N2540" s="0" t="str">
        <f aca="false">RIGHT(M2540,LEN(M2540)-FIND(" ",M2540))</f>
        <v>SHERIDAN AVE NE</v>
      </c>
      <c r="P2540" s="0" t="s">
        <v>146</v>
      </c>
      <c r="Q2540" s="0" t="s">
        <v>147</v>
      </c>
      <c r="R2540" s="0" t="n">
        <v>44483</v>
      </c>
      <c r="AD2540" s="0" t="s">
        <v>148</v>
      </c>
      <c r="AE2540" s="0" t="s">
        <v>149</v>
      </c>
      <c r="AF2540" s="0" t="s">
        <v>150</v>
      </c>
      <c r="AH2540" s="0" t="n">
        <v>14</v>
      </c>
      <c r="AI2540" s="0" t="n">
        <v>11</v>
      </c>
      <c r="AN2540" s="0" t="s">
        <v>146</v>
      </c>
      <c r="AO2540" s="0" t="s">
        <v>236</v>
      </c>
      <c r="AP2540" s="0" t="s">
        <v>237</v>
      </c>
      <c r="AQ2540" s="0" t="n">
        <v>9</v>
      </c>
      <c r="AR2540" s="0" t="n">
        <v>64</v>
      </c>
      <c r="AS2540" s="0" t="n">
        <v>32</v>
      </c>
      <c r="AU2540" s="0" t="n">
        <f aca="false">COUNTA($BA$278:$EH$278)</f>
        <v>2</v>
      </c>
      <c r="AV2540" s="0" t="n">
        <f aca="false">COUNTIF($BA$278:$EH$278,"D")</f>
        <v>0</v>
      </c>
      <c r="AW2540" s="0" t="n">
        <f aca="false">COUNTIF($BA$278:$EH$278,"R")</f>
        <v>0</v>
      </c>
      <c r="AX2540" s="0" t="n">
        <f aca="false"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>3</v>
      </c>
      <c r="AY2540" s="0" t="n">
        <f aca="false">COUNTIF(DU2540:EH2540, "&lt;&gt;")</f>
        <v>7</v>
      </c>
      <c r="AZ2540" s="0" t="n">
        <f aca="false">IF(EH2540&lt;&gt;"",1,0)</f>
        <v>1</v>
      </c>
      <c r="BB2540" s="0" t="s">
        <v>153</v>
      </c>
      <c r="BC2540" s="0" t="s">
        <v>154</v>
      </c>
      <c r="BD2540" s="0" t="s">
        <v>154</v>
      </c>
      <c r="BG2540" s="0" t="s">
        <v>154</v>
      </c>
      <c r="BH2540" s="0" t="s">
        <v>154</v>
      </c>
      <c r="BJ2540" s="0" t="s">
        <v>154</v>
      </c>
      <c r="BK2540" s="0" t="s">
        <v>154</v>
      </c>
      <c r="BL2540" s="0" t="s">
        <v>154</v>
      </c>
      <c r="BP2540" s="0" t="s">
        <v>154</v>
      </c>
      <c r="BR2540" s="0" t="s">
        <v>154</v>
      </c>
      <c r="BV2540" s="0" t="s">
        <v>154</v>
      </c>
      <c r="BY2540" s="0" t="s">
        <v>155</v>
      </c>
      <c r="CA2540" s="0" t="s">
        <v>154</v>
      </c>
      <c r="CG2540" s="0" t="s">
        <v>154</v>
      </c>
      <c r="CH2540" s="0" t="s">
        <v>155</v>
      </c>
      <c r="CK2540" s="0" t="s">
        <v>154</v>
      </c>
      <c r="CL2540" s="0" t="s">
        <v>155</v>
      </c>
      <c r="CP2540" s="0" t="s">
        <v>154</v>
      </c>
      <c r="CV2540" s="0" t="s">
        <v>154</v>
      </c>
      <c r="CZ2540" s="0" t="s">
        <v>155</v>
      </c>
      <c r="DC2540" s="0" t="s">
        <v>154</v>
      </c>
      <c r="DF2540" s="0" t="s">
        <v>154</v>
      </c>
      <c r="DI2540" s="0" t="s">
        <v>154</v>
      </c>
      <c r="DL2540" s="0" t="s">
        <v>154</v>
      </c>
      <c r="DN2540" s="0" t="s">
        <v>154</v>
      </c>
      <c r="DS2540" s="0" t="s">
        <v>155</v>
      </c>
      <c r="DU2540" s="0" t="s">
        <v>154</v>
      </c>
      <c r="DW2540" s="0" t="s">
        <v>155</v>
      </c>
      <c r="DX2540" s="0" t="s">
        <v>154</v>
      </c>
      <c r="EA2540" s="0" t="s">
        <v>154</v>
      </c>
      <c r="ED2540" s="0" t="s">
        <v>155</v>
      </c>
      <c r="EF2540" s="0" t="s">
        <v>154</v>
      </c>
      <c r="EH2540" s="0" t="s">
        <v>155</v>
      </c>
    </row>
    <row r="2541" customFormat="false" ht="13.8" hidden="false" customHeight="false" outlineLevel="0" collapsed="false">
      <c r="A2541" s="0" t="s">
        <v>10938</v>
      </c>
      <c r="B2541" s="0" t="n">
        <v>78</v>
      </c>
      <c r="C2541" s="0" t="n">
        <v>457992</v>
      </c>
      <c r="D2541" s="0" t="s">
        <v>6986</v>
      </c>
      <c r="E2541" s="0" t="s">
        <v>2181</v>
      </c>
      <c r="F2541" s="0" t="str">
        <f aca="false">CONCATENATE(D2541," ",LEFT(H2541,4),"T=",AU2541,"D=",AV2541,"R=",AW2541,"M=",AX2541,"L=",AY2541,"B=",AZ2541)</f>
        <v>SLOAN T=36D=2R=6M=1L=4B=0</v>
      </c>
      <c r="G2541" s="0" t="s">
        <v>842</v>
      </c>
      <c r="I2541" s="0" t="s">
        <v>10939</v>
      </c>
      <c r="J2541" s="0" t="s">
        <v>10940</v>
      </c>
      <c r="K2541" s="0" t="s">
        <v>144</v>
      </c>
      <c r="L2541" s="1" t="s">
        <v>155</v>
      </c>
      <c r="M2541" s="0" t="s">
        <v>10941</v>
      </c>
      <c r="N2541" s="0" t="str">
        <f aca="false">RIGHT(M2541,LEN(M2541)-FIND(" ",M2541))</f>
        <v>SHERIDAN AVE NE</v>
      </c>
      <c r="P2541" s="0" t="s">
        <v>146</v>
      </c>
      <c r="Q2541" s="0" t="s">
        <v>147</v>
      </c>
      <c r="R2541" s="0" t="n">
        <v>44483</v>
      </c>
      <c r="AD2541" s="0" t="s">
        <v>148</v>
      </c>
      <c r="AE2541" s="0" t="s">
        <v>149</v>
      </c>
      <c r="AF2541" s="0" t="s">
        <v>150</v>
      </c>
      <c r="AH2541" s="0" t="n">
        <v>14</v>
      </c>
      <c r="AI2541" s="0" t="n">
        <v>11</v>
      </c>
      <c r="AN2541" s="0" t="s">
        <v>146</v>
      </c>
      <c r="AO2541" s="0" t="s">
        <v>236</v>
      </c>
      <c r="AP2541" s="0" t="s">
        <v>237</v>
      </c>
      <c r="AQ2541" s="0" t="n">
        <v>9</v>
      </c>
      <c r="AR2541" s="0" t="n">
        <v>64</v>
      </c>
      <c r="AS2541" s="0" t="n">
        <v>32</v>
      </c>
      <c r="AU2541" s="0" t="n">
        <f aca="false">COUNTA($BA$537:$EH$537)</f>
        <v>36</v>
      </c>
      <c r="AV2541" s="0" t="n">
        <f aca="false">COUNTIF($BA$537:$EH$537,"D")</f>
        <v>2</v>
      </c>
      <c r="AW2541" s="0" t="n">
        <f aca="false">COUNTIF($BA$537:$EH$537,"R")</f>
        <v>6</v>
      </c>
      <c r="AX2541" s="0" t="n">
        <f aca="false"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>1</v>
      </c>
      <c r="AY2541" s="0" t="n">
        <f aca="false">COUNTIF(DU2541:EH2541, "&lt;&gt;")</f>
        <v>4</v>
      </c>
      <c r="AZ2541" s="0" t="n">
        <f aca="false">IF(EH2541&lt;&gt;"",1,0)</f>
        <v>0</v>
      </c>
      <c r="BB2541" s="0" t="s">
        <v>153</v>
      </c>
      <c r="DU2541" s="0" t="s">
        <v>154</v>
      </c>
      <c r="DW2541" s="0" t="s">
        <v>155</v>
      </c>
      <c r="DX2541" s="0" t="s">
        <v>154</v>
      </c>
      <c r="EA2541" s="0" t="s">
        <v>154</v>
      </c>
    </row>
    <row r="2542" customFormat="false" ht="13.8" hidden="true" customHeight="false" outlineLevel="0" collapsed="false">
      <c r="A2542" s="0" t="s">
        <v>10942</v>
      </c>
      <c r="B2542" s="0" t="n">
        <v>78</v>
      </c>
      <c r="C2542" s="0" t="n">
        <v>494757</v>
      </c>
      <c r="D2542" s="0" t="s">
        <v>381</v>
      </c>
      <c r="E2542" s="0" t="s">
        <v>10943</v>
      </c>
      <c r="F2542" s="0" t="str">
        <f aca="false">CONCATENATE(D2542," ",LEFT(H2542,4),"T=",AU2542,"D=",AV2542,"R=",AW2542,"M=",AX2542,"L=",AY2542,"B=",AZ2542)</f>
        <v>WEAVER T=27D=1R=3M=0L=0B=0</v>
      </c>
      <c r="G2542" s="0" t="s">
        <v>466</v>
      </c>
      <c r="I2542" s="0" t="s">
        <v>10944</v>
      </c>
      <c r="J2542" s="0" t="s">
        <v>10945</v>
      </c>
      <c r="K2542" s="0" t="s">
        <v>175</v>
      </c>
      <c r="L2542" s="0"/>
      <c r="M2542" s="0" t="s">
        <v>10941</v>
      </c>
      <c r="N2542" s="0" t="str">
        <f aca="false">RIGHT(M2542,LEN(M2542)-FIND(" ",M2542))</f>
        <v>SHERIDAN AVE NE</v>
      </c>
      <c r="P2542" s="0" t="s">
        <v>146</v>
      </c>
      <c r="Q2542" s="0" t="s">
        <v>147</v>
      </c>
      <c r="R2542" s="0" t="n">
        <v>44483</v>
      </c>
      <c r="AD2542" s="0" t="s">
        <v>148</v>
      </c>
      <c r="AE2542" s="0" t="s">
        <v>149</v>
      </c>
      <c r="AF2542" s="0" t="s">
        <v>150</v>
      </c>
      <c r="AH2542" s="0" t="n">
        <v>14</v>
      </c>
      <c r="AI2542" s="0" t="n">
        <v>11</v>
      </c>
      <c r="AN2542" s="0" t="s">
        <v>146</v>
      </c>
      <c r="AO2542" s="0" t="s">
        <v>236</v>
      </c>
      <c r="AP2542" s="0" t="s">
        <v>237</v>
      </c>
      <c r="AQ2542" s="0" t="n">
        <v>9</v>
      </c>
      <c r="AR2542" s="0" t="n">
        <v>64</v>
      </c>
      <c r="AS2542" s="0" t="n">
        <v>32</v>
      </c>
      <c r="AU2542" s="0" t="n">
        <f aca="false">COUNTA($BA$919:$EH$919)</f>
        <v>27</v>
      </c>
      <c r="AV2542" s="0" t="n">
        <f aca="false">COUNTIF($BA$919:$EH$919,"D")</f>
        <v>1</v>
      </c>
      <c r="AW2542" s="0" t="n">
        <f aca="false">COUNTIF($BA$919:$EH$919,"R")</f>
        <v>3</v>
      </c>
      <c r="AX2542" s="0" t="n">
        <f aca="false"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>0</v>
      </c>
      <c r="AY2542" s="0" t="n">
        <f aca="false">COUNTIF(DU2542:EH2542, "&lt;&gt;")</f>
        <v>0</v>
      </c>
      <c r="AZ2542" s="0" t="n">
        <f aca="false">IF(EH2542&lt;&gt;"",1,0)</f>
        <v>0</v>
      </c>
      <c r="BB2542" s="0" t="s">
        <v>153</v>
      </c>
    </row>
    <row r="2543" customFormat="false" ht="13.8" hidden="false" customHeight="false" outlineLevel="0" collapsed="false">
      <c r="A2543" s="0" t="s">
        <v>10946</v>
      </c>
      <c r="B2543" s="0" t="n">
        <v>78</v>
      </c>
      <c r="C2543" s="0" t="n">
        <v>168302</v>
      </c>
      <c r="D2543" s="0" t="s">
        <v>10947</v>
      </c>
      <c r="E2543" s="0" t="s">
        <v>689</v>
      </c>
      <c r="F2543" s="0" t="str">
        <f aca="false">CONCATENATE(D2543," ",LEFT(H2543,4),"T=",AU2543,"D=",AV2543,"R=",AW2543,"M=",AX2543,"L=",AY2543,"B=",AZ2543)</f>
        <v>COSTANTINO T=2D=0R=0M=2L=2B=1</v>
      </c>
      <c r="G2543" s="0" t="s">
        <v>181</v>
      </c>
      <c r="I2543" s="0" t="s">
        <v>10948</v>
      </c>
      <c r="J2543" s="0" t="s">
        <v>10949</v>
      </c>
      <c r="K2543" s="0" t="s">
        <v>175</v>
      </c>
      <c r="L2543" s="1" t="s">
        <v>155</v>
      </c>
      <c r="M2543" s="0" t="s">
        <v>10950</v>
      </c>
      <c r="N2543" s="0" t="str">
        <f aca="false">RIGHT(M2543,LEN(M2543)-FIND(" ",M2543))</f>
        <v>SHERIDAN AVE NE</v>
      </c>
      <c r="P2543" s="0" t="s">
        <v>146</v>
      </c>
      <c r="Q2543" s="0" t="s">
        <v>147</v>
      </c>
      <c r="R2543" s="0" t="n">
        <v>44483</v>
      </c>
      <c r="AD2543" s="0" t="s">
        <v>148</v>
      </c>
      <c r="AE2543" s="0" t="s">
        <v>149</v>
      </c>
      <c r="AF2543" s="0" t="s">
        <v>150</v>
      </c>
      <c r="AH2543" s="0" t="n">
        <v>14</v>
      </c>
      <c r="AI2543" s="0" t="n">
        <v>11</v>
      </c>
      <c r="AN2543" s="0" t="s">
        <v>146</v>
      </c>
      <c r="AO2543" s="0" t="s">
        <v>236</v>
      </c>
      <c r="AP2543" s="0" t="s">
        <v>237</v>
      </c>
      <c r="AQ2543" s="0" t="n">
        <v>9</v>
      </c>
      <c r="AR2543" s="0" t="n">
        <v>64</v>
      </c>
      <c r="AS2543" s="0" t="n">
        <v>32</v>
      </c>
      <c r="AU2543" s="0" t="n">
        <f aca="false">COUNTA($BA$536:$EH$536)</f>
        <v>2</v>
      </c>
      <c r="AV2543" s="0" t="n">
        <f aca="false">COUNTIF($BA$536:$EH$536,"D")</f>
        <v>0</v>
      </c>
      <c r="AW2543" s="0" t="n">
        <f aca="false">COUNTIF($BA$536:$EH$536,"R")</f>
        <v>0</v>
      </c>
      <c r="AX2543" s="0" t="n">
        <f aca="false"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>2</v>
      </c>
      <c r="AY2543" s="0" t="n">
        <f aca="false">COUNTIF(DU2543:EH2543, "&lt;&gt;")</f>
        <v>2</v>
      </c>
      <c r="AZ2543" s="0" t="n">
        <f aca="false">IF(EH2543&lt;&gt;"",1,0)</f>
        <v>1</v>
      </c>
      <c r="BB2543" s="0" t="s">
        <v>153</v>
      </c>
      <c r="BC2543" s="0" t="s">
        <v>154</v>
      </c>
      <c r="BD2543" s="0" t="s">
        <v>154</v>
      </c>
      <c r="BL2543" s="0" t="s">
        <v>154</v>
      </c>
      <c r="BY2543" s="0" t="s">
        <v>155</v>
      </c>
      <c r="CA2543" s="0" t="s">
        <v>154</v>
      </c>
      <c r="CG2543" s="0" t="s">
        <v>154</v>
      </c>
      <c r="CP2543" s="0" t="s">
        <v>154</v>
      </c>
      <c r="CZ2543" s="0" t="s">
        <v>176</v>
      </c>
      <c r="DC2543" s="0" t="s">
        <v>154</v>
      </c>
      <c r="DJ2543" s="0" t="s">
        <v>155</v>
      </c>
      <c r="DN2543" s="0" t="s">
        <v>154</v>
      </c>
      <c r="EF2543" s="0" t="s">
        <v>154</v>
      </c>
      <c r="EH2543" s="0" t="s">
        <v>155</v>
      </c>
    </row>
    <row r="2544" customFormat="false" ht="13.8" hidden="true" customHeight="false" outlineLevel="0" collapsed="false">
      <c r="A2544" s="0" t="s">
        <v>10951</v>
      </c>
      <c r="B2544" s="0" t="n">
        <v>78</v>
      </c>
      <c r="C2544" s="0" t="n">
        <v>368036</v>
      </c>
      <c r="D2544" s="0" t="s">
        <v>10952</v>
      </c>
      <c r="E2544" s="0" t="s">
        <v>296</v>
      </c>
      <c r="F2544" s="0" t="str">
        <f aca="false">CONCATENATE(D2544," ",LEFT(H2544,4),"T=",AU2544,"D=",AV2544,"R=",AW2544,"M=",AX2544,"L=",AY2544,"B=",AZ2544)</f>
        <v>MATTHEWS T=3D=0R=0M=0L=1B=0</v>
      </c>
      <c r="G2544" s="0" t="s">
        <v>202</v>
      </c>
      <c r="I2544" s="0" t="s">
        <v>10953</v>
      </c>
      <c r="J2544" s="0" t="s">
        <v>2583</v>
      </c>
      <c r="K2544" s="0" t="s">
        <v>175</v>
      </c>
      <c r="L2544" s="0"/>
      <c r="M2544" s="0" t="s">
        <v>10954</v>
      </c>
      <c r="N2544" s="0" t="str">
        <f aca="false">RIGHT(M2544,LEN(M2544)-FIND(" ",M2544))</f>
        <v>SHERIDAN AVE NE</v>
      </c>
      <c r="P2544" s="0" t="s">
        <v>146</v>
      </c>
      <c r="Q2544" s="0" t="s">
        <v>147</v>
      </c>
      <c r="R2544" s="0" t="n">
        <v>44483</v>
      </c>
      <c r="AD2544" s="0" t="s">
        <v>148</v>
      </c>
      <c r="AE2544" s="0" t="s">
        <v>149</v>
      </c>
      <c r="AF2544" s="0" t="s">
        <v>150</v>
      </c>
      <c r="AH2544" s="0" t="n">
        <v>14</v>
      </c>
      <c r="AI2544" s="0" t="n">
        <v>11</v>
      </c>
      <c r="AN2544" s="0" t="s">
        <v>146</v>
      </c>
      <c r="AO2544" s="0" t="s">
        <v>236</v>
      </c>
      <c r="AP2544" s="0" t="s">
        <v>237</v>
      </c>
      <c r="AQ2544" s="0" t="n">
        <v>9</v>
      </c>
      <c r="AR2544" s="0" t="n">
        <v>64</v>
      </c>
      <c r="AS2544" s="0" t="n">
        <v>32</v>
      </c>
      <c r="AU2544" s="0" t="n">
        <f aca="false">COUNTA($BA$471:$EH$471)</f>
        <v>3</v>
      </c>
      <c r="AV2544" s="0" t="n">
        <f aca="false">COUNTIF($BA$471:$EH$471,"D")</f>
        <v>0</v>
      </c>
      <c r="AW2544" s="0" t="n">
        <f aca="false">COUNTIF($BA$471:$EH$471,"R")</f>
        <v>0</v>
      </c>
      <c r="AX2544" s="0" t="n">
        <f aca="false"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>0</v>
      </c>
      <c r="AY2544" s="0" t="n">
        <f aca="false">COUNTIF(DU2544:EH2544, "&lt;&gt;")</f>
        <v>1</v>
      </c>
      <c r="AZ2544" s="0" t="n">
        <f aca="false">IF(EH2544&lt;&gt;"",1,0)</f>
        <v>0</v>
      </c>
      <c r="BB2544" s="0" t="s">
        <v>153</v>
      </c>
      <c r="BL2544" s="0" t="s">
        <v>154</v>
      </c>
      <c r="BP2544" s="0" t="s">
        <v>154</v>
      </c>
      <c r="CN2544" s="0" t="s">
        <v>154</v>
      </c>
      <c r="CP2544" s="0" t="s">
        <v>154</v>
      </c>
      <c r="CU2544" s="0" t="s">
        <v>176</v>
      </c>
      <c r="CY2544" s="0" t="s">
        <v>154</v>
      </c>
      <c r="CZ2544" s="0" t="s">
        <v>176</v>
      </c>
      <c r="DC2544" s="0" t="s">
        <v>154</v>
      </c>
      <c r="DI2544" s="0" t="s">
        <v>154</v>
      </c>
      <c r="EF2544" s="0" t="s">
        <v>154</v>
      </c>
    </row>
    <row r="2545" customFormat="false" ht="13.8" hidden="false" customHeight="false" outlineLevel="0" collapsed="false">
      <c r="A2545" s="0" t="s">
        <v>10955</v>
      </c>
      <c r="B2545" s="0" t="n">
        <v>78</v>
      </c>
      <c r="C2545" s="0" t="n">
        <v>293862</v>
      </c>
      <c r="D2545" s="0" t="s">
        <v>10956</v>
      </c>
      <c r="E2545" s="0" t="s">
        <v>1916</v>
      </c>
      <c r="F2545" s="0" t="str">
        <f aca="false">CONCATENATE(D2545," ",LEFT(H2545,4),"T=",AU2545,"D=",AV2545,"R=",AW2545,"M=",AX2545,"L=",AY2545,"B=",AZ2545)</f>
        <v>WOODYARD T=20D=2R=2M=2L=5B=0</v>
      </c>
      <c r="G2545" s="0" t="s">
        <v>241</v>
      </c>
      <c r="I2545" s="0" t="s">
        <v>10957</v>
      </c>
      <c r="J2545" s="0" t="s">
        <v>10958</v>
      </c>
      <c r="K2545" s="0" t="s">
        <v>175</v>
      </c>
      <c r="L2545" s="1" t="s">
        <v>155</v>
      </c>
      <c r="M2545" s="0" t="s">
        <v>10959</v>
      </c>
      <c r="N2545" s="0" t="str">
        <f aca="false">RIGHT(M2545,LEN(M2545)-FIND(" ",M2545))</f>
        <v>SHERIDAN AVE NE</v>
      </c>
      <c r="P2545" s="0" t="s">
        <v>146</v>
      </c>
      <c r="Q2545" s="0" t="s">
        <v>147</v>
      </c>
      <c r="R2545" s="0" t="n">
        <v>44483</v>
      </c>
      <c r="AD2545" s="0" t="s">
        <v>148</v>
      </c>
      <c r="AE2545" s="0" t="s">
        <v>149</v>
      </c>
      <c r="AF2545" s="0" t="s">
        <v>150</v>
      </c>
      <c r="AH2545" s="0" t="n">
        <v>14</v>
      </c>
      <c r="AI2545" s="0" t="n">
        <v>11</v>
      </c>
      <c r="AN2545" s="0" t="s">
        <v>146</v>
      </c>
      <c r="AO2545" s="0" t="s">
        <v>236</v>
      </c>
      <c r="AP2545" s="0" t="s">
        <v>237</v>
      </c>
      <c r="AQ2545" s="0" t="n">
        <v>9</v>
      </c>
      <c r="AR2545" s="0" t="n">
        <v>64</v>
      </c>
      <c r="AS2545" s="0" t="n">
        <v>32</v>
      </c>
      <c r="AU2545" s="0" t="n">
        <f aca="false">COUNTA($BA$6:$EH$6)</f>
        <v>20</v>
      </c>
      <c r="AV2545" s="0" t="n">
        <f aca="false">COUNTIF($BA$6:$EH$6,"D")</f>
        <v>2</v>
      </c>
      <c r="AW2545" s="0" t="n">
        <f aca="false">COUNTIF($BA$6:$EH$6,"R")</f>
        <v>2</v>
      </c>
      <c r="AX2545" s="0" t="n">
        <f aca="false"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>2</v>
      </c>
      <c r="AY2545" s="0" t="n">
        <f aca="false">COUNTIF(DU2545:EH2545, "&lt;&gt;")</f>
        <v>5</v>
      </c>
      <c r="AZ2545" s="0" t="n">
        <f aca="false">IF(EH2545&lt;&gt;"",1,0)</f>
        <v>0</v>
      </c>
      <c r="BB2545" s="0" t="s">
        <v>153</v>
      </c>
      <c r="BD2545" s="0" t="s">
        <v>154</v>
      </c>
      <c r="BL2545" s="0" t="s">
        <v>154</v>
      </c>
      <c r="BS2545" s="0" t="s">
        <v>154</v>
      </c>
      <c r="CA2545" s="0" t="s">
        <v>154</v>
      </c>
      <c r="CK2545" s="0" t="s">
        <v>154</v>
      </c>
      <c r="CP2545" s="0" t="s">
        <v>154</v>
      </c>
      <c r="CT2545" s="0" t="s">
        <v>154</v>
      </c>
      <c r="CY2545" s="0" t="s">
        <v>154</v>
      </c>
      <c r="DC2545" s="0" t="s">
        <v>154</v>
      </c>
      <c r="DF2545" s="0" t="s">
        <v>154</v>
      </c>
      <c r="DI2545" s="0" t="s">
        <v>154</v>
      </c>
      <c r="DN2545" s="0" t="s">
        <v>154</v>
      </c>
      <c r="DO2545" s="0" t="s">
        <v>155</v>
      </c>
      <c r="DR2545" s="0" t="s">
        <v>154</v>
      </c>
      <c r="DS2545" s="0" t="s">
        <v>155</v>
      </c>
      <c r="DU2545" s="0" t="s">
        <v>154</v>
      </c>
      <c r="DW2545" s="0" t="s">
        <v>155</v>
      </c>
      <c r="DX2545" s="0" t="s">
        <v>154</v>
      </c>
      <c r="EA2545" s="0" t="s">
        <v>154</v>
      </c>
      <c r="EF2545" s="0" t="s">
        <v>154</v>
      </c>
    </row>
    <row r="2546" customFormat="false" ht="13.8" hidden="false" customHeight="false" outlineLevel="0" collapsed="false">
      <c r="A2546" s="0" t="s">
        <v>10960</v>
      </c>
      <c r="B2546" s="0" t="n">
        <v>78</v>
      </c>
      <c r="C2546" s="0" t="n">
        <v>457684</v>
      </c>
      <c r="D2546" s="0" t="s">
        <v>10956</v>
      </c>
      <c r="E2546" s="0" t="s">
        <v>3327</v>
      </c>
      <c r="F2546" s="0" t="str">
        <f aca="false">CONCATENATE(D2546," ",LEFT(H2546,4),"T=",AU2546,"D=",AV2546,"R=",AW2546,"M=",AX2546,"L=",AY2546,"B=",AZ2546)</f>
        <v>WOODYARD T=12D=4R=0M=2L=7B=1</v>
      </c>
      <c r="G2546" s="0" t="s">
        <v>771</v>
      </c>
      <c r="I2546" s="0" t="s">
        <v>10961</v>
      </c>
      <c r="J2546" s="0" t="s">
        <v>10962</v>
      </c>
      <c r="K2546" s="0" t="s">
        <v>175</v>
      </c>
      <c r="L2546" s="1" t="s">
        <v>155</v>
      </c>
      <c r="M2546" s="0" t="s">
        <v>10959</v>
      </c>
      <c r="N2546" s="0" t="str">
        <f aca="false">RIGHT(M2546,LEN(M2546)-FIND(" ",M2546))</f>
        <v>SHERIDAN AVE NE</v>
      </c>
      <c r="P2546" s="0" t="s">
        <v>146</v>
      </c>
      <c r="Q2546" s="0" t="s">
        <v>147</v>
      </c>
      <c r="R2546" s="0" t="n">
        <v>44483</v>
      </c>
      <c r="AD2546" s="0" t="s">
        <v>148</v>
      </c>
      <c r="AE2546" s="0" t="s">
        <v>149</v>
      </c>
      <c r="AF2546" s="0" t="s">
        <v>150</v>
      </c>
      <c r="AH2546" s="0" t="n">
        <v>14</v>
      </c>
      <c r="AI2546" s="0" t="n">
        <v>11</v>
      </c>
      <c r="AN2546" s="0" t="s">
        <v>146</v>
      </c>
      <c r="AO2546" s="0" t="s">
        <v>236</v>
      </c>
      <c r="AP2546" s="0" t="s">
        <v>237</v>
      </c>
      <c r="AQ2546" s="0" t="n">
        <v>9</v>
      </c>
      <c r="AR2546" s="0" t="n">
        <v>64</v>
      </c>
      <c r="AS2546" s="0" t="n">
        <v>32</v>
      </c>
      <c r="AU2546" s="0" t="n">
        <f aca="false">COUNTA($BA$469:$EH$469)</f>
        <v>12</v>
      </c>
      <c r="AV2546" s="0" t="n">
        <f aca="false">COUNTIF($BA$469:$EH$469,"D")</f>
        <v>4</v>
      </c>
      <c r="AW2546" s="0" t="n">
        <f aca="false">COUNTIF($BA$469:$EH$469,"R")</f>
        <v>0</v>
      </c>
      <c r="AX2546" s="0" t="n">
        <f aca="false"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>2</v>
      </c>
      <c r="AY2546" s="0" t="n">
        <f aca="false">COUNTIF(DU2546:EH2546, "&lt;&gt;")</f>
        <v>7</v>
      </c>
      <c r="AZ2546" s="0" t="n">
        <f aca="false">IF(EH2546&lt;&gt;"",1,0)</f>
        <v>1</v>
      </c>
      <c r="BB2546" s="0" t="s">
        <v>153</v>
      </c>
      <c r="DR2546" s="0" t="s">
        <v>154</v>
      </c>
      <c r="DS2546" s="0" t="s">
        <v>155</v>
      </c>
      <c r="DU2546" s="0" t="s">
        <v>154</v>
      </c>
      <c r="DW2546" s="0" t="s">
        <v>155</v>
      </c>
      <c r="DX2546" s="0" t="s">
        <v>154</v>
      </c>
      <c r="EA2546" s="0" t="s">
        <v>154</v>
      </c>
      <c r="ED2546" s="0" t="s">
        <v>155</v>
      </c>
      <c r="EF2546" s="0" t="s">
        <v>154</v>
      </c>
      <c r="EH2546" s="0" t="s">
        <v>155</v>
      </c>
    </row>
    <row r="2547" customFormat="false" ht="13.8" hidden="false" customHeight="false" outlineLevel="0" collapsed="false">
      <c r="A2547" s="0" t="s">
        <v>10963</v>
      </c>
      <c r="B2547" s="0" t="n">
        <v>78</v>
      </c>
      <c r="C2547" s="0" t="n">
        <v>280239</v>
      </c>
      <c r="D2547" s="0" t="s">
        <v>10956</v>
      </c>
      <c r="E2547" s="0" t="s">
        <v>981</v>
      </c>
      <c r="F2547" s="0" t="str">
        <f aca="false">CONCATENATE(D2547," ",LEFT(H2547,4),"T=",AU2547,"D=",AV2547,"R=",AW2547,"M=",AX2547,"L=",AY2547,"B=",AZ2547)</f>
        <v>WOODYARD T=4D=0R=0M=3L=7B=1</v>
      </c>
      <c r="G2547" s="0" t="s">
        <v>514</v>
      </c>
      <c r="I2547" s="0" t="s">
        <v>10964</v>
      </c>
      <c r="J2547" s="0" t="s">
        <v>10965</v>
      </c>
      <c r="K2547" s="0" t="s">
        <v>175</v>
      </c>
      <c r="L2547" s="1" t="s">
        <v>155</v>
      </c>
      <c r="M2547" s="0" t="s">
        <v>10959</v>
      </c>
      <c r="N2547" s="0" t="str">
        <f aca="false">RIGHT(M2547,LEN(M2547)-FIND(" ",M2547))</f>
        <v>SHERIDAN AVE NE</v>
      </c>
      <c r="P2547" s="0" t="s">
        <v>146</v>
      </c>
      <c r="Q2547" s="0" t="s">
        <v>147</v>
      </c>
      <c r="R2547" s="0" t="n">
        <v>44483</v>
      </c>
      <c r="AD2547" s="0" t="s">
        <v>148</v>
      </c>
      <c r="AE2547" s="0" t="s">
        <v>149</v>
      </c>
      <c r="AF2547" s="0" t="s">
        <v>150</v>
      </c>
      <c r="AH2547" s="0" t="n">
        <v>14</v>
      </c>
      <c r="AI2547" s="0" t="n">
        <v>11</v>
      </c>
      <c r="AN2547" s="0" t="s">
        <v>146</v>
      </c>
      <c r="AO2547" s="0" t="s">
        <v>236</v>
      </c>
      <c r="AP2547" s="0" t="s">
        <v>237</v>
      </c>
      <c r="AQ2547" s="0" t="n">
        <v>9</v>
      </c>
      <c r="AR2547" s="0" t="n">
        <v>64</v>
      </c>
      <c r="AS2547" s="0" t="n">
        <v>32</v>
      </c>
      <c r="AU2547" s="0" t="n">
        <f aca="false">COUNTA($BA$685:$EH$685)</f>
        <v>4</v>
      </c>
      <c r="AV2547" s="0" t="n">
        <f aca="false">COUNTIF($BA$685:$EH$685,"D")</f>
        <v>0</v>
      </c>
      <c r="AW2547" s="0" t="n">
        <f aca="false">COUNTIF($BA$685:$EH$685,"R")</f>
        <v>0</v>
      </c>
      <c r="AX2547" s="0" t="n">
        <f aca="false"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>3</v>
      </c>
      <c r="AY2547" s="0" t="n">
        <f aca="false">COUNTIF(DU2547:EH2547, "&lt;&gt;")</f>
        <v>7</v>
      </c>
      <c r="AZ2547" s="0" t="n">
        <f aca="false">IF(EH2547&lt;&gt;"",1,0)</f>
        <v>1</v>
      </c>
      <c r="BB2547" s="0" t="s">
        <v>153</v>
      </c>
      <c r="BD2547" s="0" t="s">
        <v>154</v>
      </c>
      <c r="BL2547" s="0" t="s">
        <v>154</v>
      </c>
      <c r="BS2547" s="0" t="s">
        <v>154</v>
      </c>
      <c r="CA2547" s="0" t="s">
        <v>154</v>
      </c>
      <c r="CK2547" s="0" t="s">
        <v>154</v>
      </c>
      <c r="CN2547" s="0" t="s">
        <v>154</v>
      </c>
      <c r="CP2547" s="0" t="s">
        <v>154</v>
      </c>
      <c r="CT2547" s="0" t="s">
        <v>154</v>
      </c>
      <c r="CY2547" s="0" t="s">
        <v>154</v>
      </c>
      <c r="CZ2547" s="0" t="s">
        <v>176</v>
      </c>
      <c r="DC2547" s="0" t="s">
        <v>154</v>
      </c>
      <c r="DF2547" s="0" t="s">
        <v>154</v>
      </c>
      <c r="DI2547" s="0" t="s">
        <v>154</v>
      </c>
      <c r="DL2547" s="0" t="s">
        <v>154</v>
      </c>
      <c r="DN2547" s="0" t="s">
        <v>154</v>
      </c>
      <c r="DO2547" s="0" t="s">
        <v>155</v>
      </c>
      <c r="DR2547" s="0" t="s">
        <v>154</v>
      </c>
      <c r="DS2547" s="0" t="s">
        <v>155</v>
      </c>
      <c r="DT2547" s="0" t="s">
        <v>155</v>
      </c>
      <c r="DU2547" s="0" t="s">
        <v>154</v>
      </c>
      <c r="DW2547" s="0" t="s">
        <v>155</v>
      </c>
      <c r="DX2547" s="0" t="s">
        <v>154</v>
      </c>
      <c r="EA2547" s="0" t="s">
        <v>154</v>
      </c>
      <c r="ED2547" s="0" t="s">
        <v>155</v>
      </c>
      <c r="EF2547" s="0" t="s">
        <v>154</v>
      </c>
      <c r="EH2547" s="0" t="s">
        <v>155</v>
      </c>
    </row>
    <row r="2548" customFormat="false" ht="13.8" hidden="false" customHeight="false" outlineLevel="0" collapsed="false">
      <c r="A2548" s="0" t="s">
        <v>10966</v>
      </c>
      <c r="B2548" s="0" t="n">
        <v>78</v>
      </c>
      <c r="C2548" s="0" t="n">
        <v>299521</v>
      </c>
      <c r="D2548" s="0" t="s">
        <v>10967</v>
      </c>
      <c r="E2548" s="0" t="s">
        <v>2292</v>
      </c>
      <c r="F2548" s="0" t="str">
        <f aca="false">CONCATENATE(D2548," ",LEFT(H2548,4),"T=",AU2548,"D=",AV2548,"R=",AW2548,"M=",AX2548,"L=",AY2548,"B=",AZ2548)</f>
        <v>COTTRILL T=1D=0R=0M=0L=2B=0</v>
      </c>
      <c r="G2548" s="0" t="s">
        <v>365</v>
      </c>
      <c r="I2548" s="0" t="s">
        <v>10968</v>
      </c>
      <c r="J2548" s="0" t="s">
        <v>2512</v>
      </c>
      <c r="K2548" s="0" t="s">
        <v>175</v>
      </c>
      <c r="M2548" s="0" t="s">
        <v>10969</v>
      </c>
      <c r="N2548" s="0" t="str">
        <f aca="false">RIGHT(M2548,LEN(M2548)-FIND(" ",M2548))</f>
        <v>SHERIDAN AVE NE</v>
      </c>
      <c r="P2548" s="0" t="s">
        <v>146</v>
      </c>
      <c r="Q2548" s="0" t="s">
        <v>147</v>
      </c>
      <c r="R2548" s="0" t="n">
        <v>44483</v>
      </c>
      <c r="AD2548" s="0" t="s">
        <v>148</v>
      </c>
      <c r="AE2548" s="0" t="s">
        <v>149</v>
      </c>
      <c r="AF2548" s="0" t="s">
        <v>150</v>
      </c>
      <c r="AH2548" s="0" t="n">
        <v>14</v>
      </c>
      <c r="AI2548" s="0" t="n">
        <v>11</v>
      </c>
      <c r="AN2548" s="0" t="s">
        <v>146</v>
      </c>
      <c r="AO2548" s="0" t="s">
        <v>236</v>
      </c>
      <c r="AP2548" s="0" t="s">
        <v>237</v>
      </c>
      <c r="AQ2548" s="0" t="n">
        <v>9</v>
      </c>
      <c r="AR2548" s="0" t="n">
        <v>64</v>
      </c>
      <c r="AS2548" s="0" t="n">
        <v>32</v>
      </c>
      <c r="AU2548" s="0" t="n">
        <f aca="false">COUNTA($BA$82:$EH$82)</f>
        <v>1</v>
      </c>
      <c r="AV2548" s="0" t="n">
        <f aca="false">COUNTIF($BA$82:$EH$82,"D")</f>
        <v>0</v>
      </c>
      <c r="AW2548" s="0" t="n">
        <f aca="false">COUNTIF($BA$82:$EH$82,"R")</f>
        <v>0</v>
      </c>
      <c r="AX2548" s="0" t="n">
        <f aca="false"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>0</v>
      </c>
      <c r="AY2548" s="0" t="n">
        <f aca="false">COUNTIF(DU2548:EH2548, "&lt;&gt;")</f>
        <v>2</v>
      </c>
      <c r="AZ2548" s="0" t="n">
        <f aca="false">IF(EH2548&lt;&gt;"",1,0)</f>
        <v>0</v>
      </c>
      <c r="BB2548" s="0" t="s">
        <v>153</v>
      </c>
      <c r="BD2548" s="0" t="s">
        <v>154</v>
      </c>
      <c r="BH2548" s="0" t="s">
        <v>154</v>
      </c>
      <c r="BJ2548" s="0" t="s">
        <v>154</v>
      </c>
      <c r="BK2548" s="0" t="s">
        <v>154</v>
      </c>
      <c r="BL2548" s="0" t="s">
        <v>154</v>
      </c>
      <c r="CK2548" s="0" t="s">
        <v>154</v>
      </c>
      <c r="CP2548" s="0" t="s">
        <v>154</v>
      </c>
      <c r="DC2548" s="0" t="s">
        <v>154</v>
      </c>
      <c r="DI2548" s="0" t="s">
        <v>154</v>
      </c>
      <c r="DN2548" s="0" t="s">
        <v>154</v>
      </c>
      <c r="DU2548" s="0" t="s">
        <v>154</v>
      </c>
      <c r="EF2548" s="0" t="s">
        <v>154</v>
      </c>
    </row>
    <row r="2549" customFormat="false" ht="13.8" hidden="true" customHeight="false" outlineLevel="0" collapsed="false">
      <c r="A2549" s="0" t="s">
        <v>10970</v>
      </c>
      <c r="B2549" s="0" t="n">
        <v>78</v>
      </c>
      <c r="C2549" s="0" t="n">
        <v>468251</v>
      </c>
      <c r="D2549" s="0" t="s">
        <v>10971</v>
      </c>
      <c r="E2549" s="0" t="s">
        <v>278</v>
      </c>
      <c r="F2549" s="0" t="str">
        <f aca="false">CONCATENATE(D2549," ",LEFT(H2549,4),"T=",AU2549,"D=",AV2549,"R=",AW2549,"M=",AX2549,"L=",AY2549,"B=",AZ2549)</f>
        <v>CANNISTRA T=3D=0R=0M=0L=0B=0</v>
      </c>
      <c r="G2549" s="0" t="s">
        <v>172</v>
      </c>
      <c r="I2549" s="0" t="s">
        <v>8712</v>
      </c>
      <c r="J2549" s="0" t="s">
        <v>10972</v>
      </c>
      <c r="K2549" s="0" t="s">
        <v>175</v>
      </c>
      <c r="L2549" s="0"/>
      <c r="M2549" s="0" t="s">
        <v>10973</v>
      </c>
      <c r="N2549" s="0" t="str">
        <f aca="false">RIGHT(M2549,LEN(M2549)-FIND(" ",M2549))</f>
        <v>SHERIDAN AVE NE</v>
      </c>
      <c r="P2549" s="0" t="s">
        <v>146</v>
      </c>
      <c r="Q2549" s="0" t="s">
        <v>147</v>
      </c>
      <c r="R2549" s="0" t="n">
        <v>44483</v>
      </c>
      <c r="AD2549" s="0" t="s">
        <v>148</v>
      </c>
      <c r="AE2549" s="0" t="s">
        <v>149</v>
      </c>
      <c r="AF2549" s="0" t="s">
        <v>150</v>
      </c>
      <c r="AH2549" s="0" t="n">
        <v>14</v>
      </c>
      <c r="AI2549" s="0" t="n">
        <v>11</v>
      </c>
      <c r="AN2549" s="0" t="s">
        <v>146</v>
      </c>
      <c r="AO2549" s="0" t="s">
        <v>236</v>
      </c>
      <c r="AP2549" s="0" t="s">
        <v>237</v>
      </c>
      <c r="AQ2549" s="0" t="n">
        <v>9</v>
      </c>
      <c r="AR2549" s="0" t="n">
        <v>64</v>
      </c>
      <c r="AS2549" s="0" t="n">
        <v>32</v>
      </c>
      <c r="AU2549" s="0" t="n">
        <f aca="false">COUNTA($BA$738:$EH$738)</f>
        <v>3</v>
      </c>
      <c r="AV2549" s="0" t="n">
        <f aca="false">COUNTIF($BA$738:$EH$738,"D")</f>
        <v>0</v>
      </c>
      <c r="AW2549" s="0" t="n">
        <f aca="false">COUNTIF($BA$738:$EH$738,"R")</f>
        <v>0</v>
      </c>
      <c r="AX2549" s="0" t="n">
        <f aca="false"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>0</v>
      </c>
      <c r="AY2549" s="0" t="n">
        <f aca="false">COUNTIF(DU2549:EH2549, "&lt;&gt;")</f>
        <v>0</v>
      </c>
      <c r="AZ2549" s="0" t="n">
        <f aca="false">IF(EH2549&lt;&gt;"",1,0)</f>
        <v>0</v>
      </c>
      <c r="BB2549" s="0" t="s">
        <v>153</v>
      </c>
      <c r="BC2549" s="0" t="s">
        <v>154</v>
      </c>
      <c r="BD2549" s="0" t="s">
        <v>154</v>
      </c>
      <c r="BF2549" s="0" t="s">
        <v>154</v>
      </c>
      <c r="BH2549" s="0" t="s">
        <v>154</v>
      </c>
      <c r="BI2549" s="0" t="s">
        <v>154</v>
      </c>
      <c r="BJ2549" s="0" t="s">
        <v>154</v>
      </c>
      <c r="BK2549" s="0" t="s">
        <v>154</v>
      </c>
      <c r="BL2549" s="0" t="s">
        <v>154</v>
      </c>
      <c r="BP2549" s="0" t="s">
        <v>154</v>
      </c>
      <c r="BR2549" s="0" t="s">
        <v>154</v>
      </c>
    </row>
    <row r="2550" customFormat="false" ht="13.8" hidden="false" customHeight="false" outlineLevel="0" collapsed="false">
      <c r="A2550" s="0" t="s">
        <v>10974</v>
      </c>
      <c r="B2550" s="0" t="n">
        <v>78</v>
      </c>
      <c r="C2550" s="0" t="n">
        <v>411661</v>
      </c>
      <c r="D2550" s="0" t="s">
        <v>10971</v>
      </c>
      <c r="E2550" s="0" t="s">
        <v>842</v>
      </c>
      <c r="F2550" s="0" t="str">
        <f aca="false">CONCATENATE(D2550," ",LEFT(H2550,4),"T=",AU2550,"D=",AV2550,"R=",AW2550,"M=",AX2550,"L=",AY2550,"B=",AZ2550)</f>
        <v>CANNISTRA T=12D=2R=0M=0L=3B=0</v>
      </c>
      <c r="G2550" s="0" t="s">
        <v>750</v>
      </c>
      <c r="I2550" s="0" t="s">
        <v>10975</v>
      </c>
      <c r="J2550" s="0" t="s">
        <v>5687</v>
      </c>
      <c r="K2550" s="0" t="s">
        <v>175</v>
      </c>
      <c r="L2550" s="1" t="s">
        <v>176</v>
      </c>
      <c r="M2550" s="0" t="s">
        <v>10976</v>
      </c>
      <c r="N2550" s="0" t="str">
        <f aca="false">RIGHT(M2550,LEN(M2550)-FIND(" ",M2550))</f>
        <v>SHERIDAN AVE NE</v>
      </c>
      <c r="P2550" s="0" t="s">
        <v>146</v>
      </c>
      <c r="Q2550" s="0" t="s">
        <v>147</v>
      </c>
      <c r="R2550" s="0" t="n">
        <v>44483</v>
      </c>
      <c r="AD2550" s="0" t="s">
        <v>148</v>
      </c>
      <c r="AE2550" s="0" t="s">
        <v>149</v>
      </c>
      <c r="AF2550" s="0" t="s">
        <v>150</v>
      </c>
      <c r="AH2550" s="0" t="n">
        <v>14</v>
      </c>
      <c r="AI2550" s="0" t="n">
        <v>11</v>
      </c>
      <c r="AN2550" s="0" t="s">
        <v>146</v>
      </c>
      <c r="AO2550" s="0" t="s">
        <v>236</v>
      </c>
      <c r="AP2550" s="0" t="s">
        <v>237</v>
      </c>
      <c r="AQ2550" s="0" t="n">
        <v>9</v>
      </c>
      <c r="AR2550" s="0" t="n">
        <v>64</v>
      </c>
      <c r="AS2550" s="0" t="n">
        <v>32</v>
      </c>
      <c r="AU2550" s="0" t="n">
        <f aca="false">COUNTA($BA$158:$EH$158)</f>
        <v>12</v>
      </c>
      <c r="AV2550" s="0" t="n">
        <f aca="false">COUNTIF($BA$158:$EH$158,"D")</f>
        <v>2</v>
      </c>
      <c r="AW2550" s="0" t="n">
        <f aca="false">COUNTIF($BA$158:$EH$158,"R")</f>
        <v>0</v>
      </c>
      <c r="AX2550" s="0" t="n">
        <f aca="false"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>0</v>
      </c>
      <c r="AY2550" s="0" t="n">
        <f aca="false">COUNTIF(DU2550:EH2550, "&lt;&gt;")</f>
        <v>3</v>
      </c>
      <c r="AZ2550" s="0" t="n">
        <f aca="false">IF(EH2550&lt;&gt;"",1,0)</f>
        <v>0</v>
      </c>
      <c r="BB2550" s="0" t="s">
        <v>153</v>
      </c>
      <c r="BC2550" s="0" t="s">
        <v>154</v>
      </c>
      <c r="BD2550" s="0" t="s">
        <v>154</v>
      </c>
      <c r="BH2550" s="0" t="s">
        <v>154</v>
      </c>
      <c r="CA2550" s="0" t="s">
        <v>154</v>
      </c>
      <c r="CZ2550" s="0" t="s">
        <v>176</v>
      </c>
      <c r="DC2550" s="0" t="s">
        <v>154</v>
      </c>
      <c r="DD2550" s="0" t="s">
        <v>154</v>
      </c>
      <c r="DF2550" s="0" t="s">
        <v>154</v>
      </c>
      <c r="DN2550" s="0" t="s">
        <v>154</v>
      </c>
      <c r="DT2550" s="0" t="s">
        <v>176</v>
      </c>
      <c r="DU2550" s="0" t="s">
        <v>154</v>
      </c>
      <c r="ED2550" s="0" t="s">
        <v>176</v>
      </c>
      <c r="EF2550" s="0" t="s">
        <v>154</v>
      </c>
    </row>
    <row r="2551" customFormat="false" ht="13.8" hidden="false" customHeight="false" outlineLevel="0" collapsed="false">
      <c r="A2551" s="0" t="s">
        <v>10977</v>
      </c>
      <c r="B2551" s="0" t="n">
        <v>78</v>
      </c>
      <c r="C2551" s="0" t="n">
        <v>353780</v>
      </c>
      <c r="D2551" s="0" t="s">
        <v>10971</v>
      </c>
      <c r="E2551" s="0" t="s">
        <v>1022</v>
      </c>
      <c r="F2551" s="0" t="str">
        <f aca="false">CONCATENATE(D2551," ",LEFT(H2551,4),"T=",AU2551,"D=",AV2551,"R=",AW2551,"M=",AX2551,"L=",AY2551,"B=",AZ2551)</f>
        <v>CANNISTRA T=15D=2R=1M=0L=3B=0</v>
      </c>
      <c r="G2551" s="0" t="s">
        <v>241</v>
      </c>
      <c r="I2551" s="0" t="s">
        <v>10978</v>
      </c>
      <c r="J2551" s="0" t="s">
        <v>10979</v>
      </c>
      <c r="K2551" s="0" t="s">
        <v>175</v>
      </c>
      <c r="L2551" s="1" t="s">
        <v>176</v>
      </c>
      <c r="M2551" s="0" t="s">
        <v>10976</v>
      </c>
      <c r="N2551" s="0" t="str">
        <f aca="false">RIGHT(M2551,LEN(M2551)-FIND(" ",M2551))</f>
        <v>SHERIDAN AVE NE</v>
      </c>
      <c r="P2551" s="0" t="s">
        <v>146</v>
      </c>
      <c r="Q2551" s="0" t="s">
        <v>147</v>
      </c>
      <c r="R2551" s="0" t="n">
        <v>44483</v>
      </c>
      <c r="AD2551" s="0" t="s">
        <v>148</v>
      </c>
      <c r="AE2551" s="0" t="s">
        <v>149</v>
      </c>
      <c r="AF2551" s="0" t="s">
        <v>150</v>
      </c>
      <c r="AH2551" s="0" t="n">
        <v>14</v>
      </c>
      <c r="AI2551" s="0" t="n">
        <v>11</v>
      </c>
      <c r="AN2551" s="0" t="s">
        <v>146</v>
      </c>
      <c r="AO2551" s="0" t="s">
        <v>236</v>
      </c>
      <c r="AP2551" s="0" t="s">
        <v>237</v>
      </c>
      <c r="AQ2551" s="0" t="n">
        <v>9</v>
      </c>
      <c r="AR2551" s="0" t="n">
        <v>64</v>
      </c>
      <c r="AS2551" s="0" t="n">
        <v>32</v>
      </c>
      <c r="AU2551" s="0" t="n">
        <f aca="false">COUNTA($BA$328:$EH$328)</f>
        <v>15</v>
      </c>
      <c r="AV2551" s="0" t="n">
        <f aca="false">COUNTIF($BA$328:$EH$328,"D")</f>
        <v>2</v>
      </c>
      <c r="AW2551" s="0" t="n">
        <f aca="false">COUNTIF($BA$328:$EH$328,"R")</f>
        <v>1</v>
      </c>
      <c r="AX2551" s="0" t="n">
        <f aca="false"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>0</v>
      </c>
      <c r="AY2551" s="0" t="n">
        <f aca="false">COUNTIF(DU2551:EH2551, "&lt;&gt;")</f>
        <v>3</v>
      </c>
      <c r="AZ2551" s="0" t="n">
        <f aca="false">IF(EH2551&lt;&gt;"",1,0)</f>
        <v>0</v>
      </c>
      <c r="BB2551" s="0" t="s">
        <v>153</v>
      </c>
      <c r="CA2551" s="0" t="s">
        <v>154</v>
      </c>
      <c r="CP2551" s="0" t="s">
        <v>154</v>
      </c>
      <c r="CY2551" s="0" t="s">
        <v>154</v>
      </c>
      <c r="CZ2551" s="0" t="s">
        <v>176</v>
      </c>
      <c r="DC2551" s="0" t="s">
        <v>154</v>
      </c>
      <c r="DD2551" s="0" t="s">
        <v>154</v>
      </c>
      <c r="DN2551" s="0" t="s">
        <v>154</v>
      </c>
      <c r="DT2551" s="0" t="s">
        <v>176</v>
      </c>
      <c r="DU2551" s="0" t="s">
        <v>154</v>
      </c>
      <c r="ED2551" s="0" t="s">
        <v>176</v>
      </c>
      <c r="EF2551" s="0" t="s">
        <v>154</v>
      </c>
    </row>
    <row r="2552" customFormat="false" ht="13.8" hidden="false" customHeight="false" outlineLevel="0" collapsed="false">
      <c r="A2552" s="0" t="s">
        <v>10980</v>
      </c>
      <c r="B2552" s="0" t="n">
        <v>78</v>
      </c>
      <c r="C2552" s="0" t="n">
        <v>366301</v>
      </c>
      <c r="D2552" s="0" t="s">
        <v>10981</v>
      </c>
      <c r="E2552" s="0" t="s">
        <v>3408</v>
      </c>
      <c r="F2552" s="0" t="str">
        <f aca="false">CONCATENATE(D2552," ",LEFT(H2552,4),"T=",AU2552,"D=",AV2552,"R=",AW2552,"M=",AX2552,"L=",AY2552,"B=",AZ2552)</f>
        <v>GRUBBS T=30D=7R=0M=4L=4B=0</v>
      </c>
      <c r="G2552" s="0" t="s">
        <v>176</v>
      </c>
      <c r="I2552" s="0" t="s">
        <v>10982</v>
      </c>
      <c r="J2552" s="0" t="s">
        <v>916</v>
      </c>
      <c r="K2552" s="0" t="s">
        <v>175</v>
      </c>
      <c r="L2552" s="1" t="s">
        <v>155</v>
      </c>
      <c r="M2552" s="0" t="s">
        <v>10983</v>
      </c>
      <c r="N2552" s="0" t="str">
        <f aca="false">RIGHT(M2552,LEN(M2552)-FIND(" ",M2552))</f>
        <v>SHERIDAN AVE NE</v>
      </c>
      <c r="P2552" s="0" t="s">
        <v>146</v>
      </c>
      <c r="Q2552" s="0" t="s">
        <v>147</v>
      </c>
      <c r="R2552" s="0" t="n">
        <v>44483</v>
      </c>
      <c r="AD2552" s="0" t="s">
        <v>148</v>
      </c>
      <c r="AE2552" s="0" t="s">
        <v>149</v>
      </c>
      <c r="AF2552" s="0" t="s">
        <v>150</v>
      </c>
      <c r="AH2552" s="0" t="n">
        <v>14</v>
      </c>
      <c r="AI2552" s="0" t="n">
        <v>11</v>
      </c>
      <c r="AN2552" s="0" t="s">
        <v>146</v>
      </c>
      <c r="AO2552" s="0" t="s">
        <v>236</v>
      </c>
      <c r="AP2552" s="0" t="s">
        <v>237</v>
      </c>
      <c r="AQ2552" s="0" t="n">
        <v>9</v>
      </c>
      <c r="AR2552" s="0" t="n">
        <v>64</v>
      </c>
      <c r="AS2552" s="0" t="n">
        <v>32</v>
      </c>
      <c r="AU2552" s="0" t="n">
        <f aca="false">COUNTA($BA$198:$EH$198)</f>
        <v>30</v>
      </c>
      <c r="AV2552" s="0" t="n">
        <f aca="false">COUNTIF($BA$198:$EH$198,"D")</f>
        <v>7</v>
      </c>
      <c r="AW2552" s="0" t="n">
        <f aca="false">COUNTIF($BA$198:$EH$198,"R")</f>
        <v>0</v>
      </c>
      <c r="AX2552" s="0" t="n">
        <f aca="false"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>4</v>
      </c>
      <c r="AY2552" s="0" t="n">
        <f aca="false">COUNTIF(DU2552:EH2552, "&lt;&gt;")</f>
        <v>4</v>
      </c>
      <c r="AZ2552" s="0" t="n">
        <f aca="false">IF(EH2552&lt;&gt;"",1,0)</f>
        <v>0</v>
      </c>
      <c r="BB2552" s="0" t="s">
        <v>153</v>
      </c>
      <c r="CA2552" s="0" t="s">
        <v>154</v>
      </c>
      <c r="CG2552" s="0" t="s">
        <v>154</v>
      </c>
      <c r="CH2552" s="0" t="s">
        <v>155</v>
      </c>
      <c r="CK2552" s="0" t="s">
        <v>154</v>
      </c>
      <c r="CL2552" s="0" t="s">
        <v>155</v>
      </c>
      <c r="CN2552" s="0" t="s">
        <v>154</v>
      </c>
      <c r="CO2552" s="0" t="s">
        <v>155</v>
      </c>
      <c r="CP2552" s="0" t="s">
        <v>154</v>
      </c>
      <c r="CQ2552" s="0" t="s">
        <v>155</v>
      </c>
      <c r="CT2552" s="0" t="s">
        <v>154</v>
      </c>
      <c r="CU2552" s="0" t="s">
        <v>155</v>
      </c>
      <c r="CV2552" s="0" t="s">
        <v>154</v>
      </c>
      <c r="CY2552" s="0" t="s">
        <v>154</v>
      </c>
      <c r="CZ2552" s="0" t="s">
        <v>155</v>
      </c>
      <c r="DC2552" s="0" t="s">
        <v>154</v>
      </c>
      <c r="DD2552" s="0" t="s">
        <v>155</v>
      </c>
      <c r="DN2552" s="0" t="s">
        <v>154</v>
      </c>
      <c r="DU2552" s="0" t="s">
        <v>154</v>
      </c>
      <c r="DW2552" s="0" t="s">
        <v>155</v>
      </c>
      <c r="DX2552" s="0" t="s">
        <v>154</v>
      </c>
      <c r="EF2552" s="0" t="s">
        <v>154</v>
      </c>
    </row>
    <row r="2553" customFormat="false" ht="13.8" hidden="false" customHeight="false" outlineLevel="0" collapsed="false">
      <c r="A2553" s="0" t="s">
        <v>10984</v>
      </c>
      <c r="B2553" s="0" t="n">
        <v>78</v>
      </c>
      <c r="C2553" s="0" t="n">
        <v>435510</v>
      </c>
      <c r="D2553" s="0" t="s">
        <v>10985</v>
      </c>
      <c r="E2553" s="0" t="s">
        <v>802</v>
      </c>
      <c r="F2553" s="0" t="str">
        <f aca="false">CONCATENATE(D2553," ",LEFT(H2553,4),"T=",AU2553,"D=",AV2553,"R=",AW2553,"M=",AX2553,"L=",AY2553,"B=",AZ2553)</f>
        <v>MARKER T=5D=0R=0M=2L=6B=0</v>
      </c>
      <c r="G2553" s="0" t="s">
        <v>172</v>
      </c>
      <c r="I2553" s="0" t="s">
        <v>10986</v>
      </c>
      <c r="J2553" s="0" t="s">
        <v>10987</v>
      </c>
      <c r="K2553" s="0" t="s">
        <v>175</v>
      </c>
      <c r="L2553" s="1" t="s">
        <v>155</v>
      </c>
      <c r="M2553" s="0" t="s">
        <v>10983</v>
      </c>
      <c r="N2553" s="0" t="str">
        <f aca="false">RIGHT(M2553,LEN(M2553)-FIND(" ",M2553))</f>
        <v>SHERIDAN AVE NE</v>
      </c>
      <c r="P2553" s="0" t="s">
        <v>146</v>
      </c>
      <c r="Q2553" s="0" t="s">
        <v>147</v>
      </c>
      <c r="R2553" s="0" t="n">
        <v>44483</v>
      </c>
      <c r="AD2553" s="0" t="s">
        <v>148</v>
      </c>
      <c r="AE2553" s="0" t="s">
        <v>149</v>
      </c>
      <c r="AF2553" s="0" t="s">
        <v>150</v>
      </c>
      <c r="AH2553" s="0" t="n">
        <v>14</v>
      </c>
      <c r="AI2553" s="0" t="n">
        <v>11</v>
      </c>
      <c r="AN2553" s="0" t="s">
        <v>146</v>
      </c>
      <c r="AO2553" s="0" t="s">
        <v>236</v>
      </c>
      <c r="AP2553" s="0" t="s">
        <v>237</v>
      </c>
      <c r="AQ2553" s="0" t="n">
        <v>9</v>
      </c>
      <c r="AR2553" s="0" t="n">
        <v>64</v>
      </c>
      <c r="AS2553" s="0" t="n">
        <v>32</v>
      </c>
      <c r="AU2553" s="0" t="n">
        <f aca="false">COUNTA($BA$347:$EH$347)</f>
        <v>5</v>
      </c>
      <c r="AV2553" s="0" t="n">
        <f aca="false">COUNTIF($BA$347:$EH$347,"D")</f>
        <v>0</v>
      </c>
      <c r="AW2553" s="0" t="n">
        <f aca="false">COUNTIF($BA$347:$EH$347,"R")</f>
        <v>0</v>
      </c>
      <c r="AX2553" s="0" t="n">
        <f aca="false"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>2</v>
      </c>
      <c r="AY2553" s="0" t="n">
        <f aca="false">COUNTIF(DU2553:EH2553, "&lt;&gt;")</f>
        <v>6</v>
      </c>
      <c r="AZ2553" s="0" t="n">
        <f aca="false">IF(EH2553&lt;&gt;"",1,0)</f>
        <v>0</v>
      </c>
      <c r="BB2553" s="0" t="s">
        <v>153</v>
      </c>
      <c r="BL2553" s="0" t="s">
        <v>154</v>
      </c>
      <c r="BP2553" s="0" t="s">
        <v>154</v>
      </c>
      <c r="BS2553" s="0" t="s">
        <v>154</v>
      </c>
      <c r="BY2553" s="0" t="s">
        <v>155</v>
      </c>
      <c r="CA2553" s="0" t="s">
        <v>154</v>
      </c>
      <c r="CK2553" s="0" t="s">
        <v>154</v>
      </c>
      <c r="CP2553" s="0" t="s">
        <v>154</v>
      </c>
      <c r="DI2553" s="0" t="s">
        <v>154</v>
      </c>
      <c r="DJ2553" s="0" t="s">
        <v>155</v>
      </c>
      <c r="DN2553" s="0" t="s">
        <v>154</v>
      </c>
      <c r="DS2553" s="0" t="s">
        <v>155</v>
      </c>
      <c r="DU2553" s="0" t="s">
        <v>154</v>
      </c>
      <c r="DW2553" s="0" t="s">
        <v>155</v>
      </c>
      <c r="DX2553" s="0" t="s">
        <v>154</v>
      </c>
      <c r="EA2553" s="0" t="s">
        <v>154</v>
      </c>
      <c r="ED2553" s="0" t="s">
        <v>155</v>
      </c>
      <c r="EF2553" s="0" t="s">
        <v>154</v>
      </c>
    </row>
    <row r="2554" customFormat="false" ht="13.8" hidden="true" customHeight="false" outlineLevel="0" collapsed="false">
      <c r="A2554" s="0" t="s">
        <v>10988</v>
      </c>
      <c r="B2554" s="0" t="n">
        <v>78</v>
      </c>
      <c r="C2554" s="0" t="n">
        <v>449413</v>
      </c>
      <c r="D2554" s="0" t="s">
        <v>10985</v>
      </c>
      <c r="E2554" s="0" t="s">
        <v>744</v>
      </c>
      <c r="F2554" s="0" t="str">
        <f aca="false">CONCATENATE(D2554," ",LEFT(H2554,4),"T=",AU2554,"D=",AV2554,"R=",AW2554,"M=",AX2554,"L=",AY2554,"B=",AZ2554)</f>
        <v>MARKER T=1D=0R=0M=0L=0B=0</v>
      </c>
      <c r="G2554" s="0" t="s">
        <v>1022</v>
      </c>
      <c r="I2554" s="0" t="s">
        <v>10989</v>
      </c>
      <c r="J2554" s="0" t="s">
        <v>5868</v>
      </c>
      <c r="K2554" s="0" t="s">
        <v>144</v>
      </c>
      <c r="L2554" s="0"/>
      <c r="M2554" s="0" t="s">
        <v>10983</v>
      </c>
      <c r="N2554" s="0" t="str">
        <f aca="false">RIGHT(M2554,LEN(M2554)-FIND(" ",M2554))</f>
        <v>SHERIDAN AVE NE</v>
      </c>
      <c r="P2554" s="0" t="s">
        <v>146</v>
      </c>
      <c r="Q2554" s="0" t="s">
        <v>147</v>
      </c>
      <c r="R2554" s="0" t="n">
        <v>44483</v>
      </c>
      <c r="AD2554" s="0" t="s">
        <v>148</v>
      </c>
      <c r="AE2554" s="0" t="s">
        <v>149</v>
      </c>
      <c r="AF2554" s="0" t="s">
        <v>150</v>
      </c>
      <c r="AH2554" s="0" t="n">
        <v>14</v>
      </c>
      <c r="AI2554" s="0" t="n">
        <v>11</v>
      </c>
      <c r="AN2554" s="0" t="s">
        <v>146</v>
      </c>
      <c r="AO2554" s="0" t="s">
        <v>236</v>
      </c>
      <c r="AP2554" s="0" t="s">
        <v>237</v>
      </c>
      <c r="AQ2554" s="0" t="n">
        <v>9</v>
      </c>
      <c r="AR2554" s="0" t="n">
        <v>64</v>
      </c>
      <c r="AS2554" s="0" t="n">
        <v>32</v>
      </c>
      <c r="AU2554" s="0" t="n">
        <f aca="false">COUNTA($BA$768:$EH$768)</f>
        <v>1</v>
      </c>
      <c r="AV2554" s="0" t="n">
        <f aca="false">COUNTIF($BA$768:$EH$768,"D")</f>
        <v>0</v>
      </c>
      <c r="AW2554" s="0" t="n">
        <f aca="false">COUNTIF($BA$768:$EH$768,"R")</f>
        <v>0</v>
      </c>
      <c r="AX2554" s="0" t="n">
        <f aca="false"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>0</v>
      </c>
      <c r="AY2554" s="0" t="n">
        <f aca="false">COUNTIF(DU2554:EH2554, "&lt;&gt;")</f>
        <v>0</v>
      </c>
      <c r="AZ2554" s="0" t="n">
        <f aca="false">IF(EH2554&lt;&gt;"",1,0)</f>
        <v>0</v>
      </c>
      <c r="BB2554" s="0" t="s">
        <v>153</v>
      </c>
      <c r="CK2554" s="0" t="s">
        <v>154</v>
      </c>
      <c r="CP2554" s="0" t="s">
        <v>154</v>
      </c>
      <c r="CV2554" s="0" t="s">
        <v>154</v>
      </c>
      <c r="CZ2554" s="0" t="s">
        <v>155</v>
      </c>
      <c r="DC2554" s="0" t="s">
        <v>154</v>
      </c>
      <c r="DI2554" s="0" t="s">
        <v>154</v>
      </c>
      <c r="DN2554" s="0" t="s">
        <v>154</v>
      </c>
    </row>
    <row r="2555" customFormat="false" ht="13.8" hidden="false" customHeight="false" outlineLevel="0" collapsed="false">
      <c r="A2555" s="0" t="s">
        <v>10990</v>
      </c>
      <c r="B2555" s="0" t="n">
        <v>78</v>
      </c>
      <c r="C2555" s="0" t="n">
        <v>463433</v>
      </c>
      <c r="D2555" s="0" t="s">
        <v>290</v>
      </c>
      <c r="E2555" s="0" t="s">
        <v>2005</v>
      </c>
      <c r="F2555" s="0" t="str">
        <f aca="false">CONCATENATE(D2555," ",LEFT(H2555,4),"T=",AU2555,"D=",AV2555,"R=",AW2555,"M=",AX2555,"L=",AY2555,"B=",AZ2555)</f>
        <v>THOMPSON T=48D=17R=0M=0L=2B=0</v>
      </c>
      <c r="G2555" s="0" t="s">
        <v>4449</v>
      </c>
      <c r="I2555" s="0" t="s">
        <v>10991</v>
      </c>
      <c r="J2555" s="0" t="s">
        <v>10992</v>
      </c>
      <c r="K2555" s="0" t="s">
        <v>175</v>
      </c>
      <c r="M2555" s="0" t="s">
        <v>10993</v>
      </c>
      <c r="N2555" s="0" t="str">
        <f aca="false">RIGHT(M2555,LEN(M2555)-FIND(" ",M2555))</f>
        <v>SHERIDAN AVE NE</v>
      </c>
      <c r="P2555" s="0" t="s">
        <v>146</v>
      </c>
      <c r="Q2555" s="0" t="s">
        <v>147</v>
      </c>
      <c r="R2555" s="0" t="n">
        <v>44483</v>
      </c>
      <c r="AD2555" s="0" t="s">
        <v>148</v>
      </c>
      <c r="AE2555" s="0" t="s">
        <v>149</v>
      </c>
      <c r="AF2555" s="0" t="s">
        <v>150</v>
      </c>
      <c r="AH2555" s="0" t="n">
        <v>14</v>
      </c>
      <c r="AI2555" s="0" t="n">
        <v>11</v>
      </c>
      <c r="AN2555" s="0" t="s">
        <v>146</v>
      </c>
      <c r="AO2555" s="0" t="s">
        <v>236</v>
      </c>
      <c r="AP2555" s="0" t="s">
        <v>237</v>
      </c>
      <c r="AQ2555" s="0" t="n">
        <v>9</v>
      </c>
      <c r="AR2555" s="0" t="n">
        <v>64</v>
      </c>
      <c r="AS2555" s="0" t="n">
        <v>32</v>
      </c>
      <c r="AU2555" s="0" t="n">
        <f aca="false">COUNTA($BA$497:$EH$497)</f>
        <v>48</v>
      </c>
      <c r="AV2555" s="0" t="n">
        <f aca="false">COUNTIF($BA$497:$EH$497,"D")</f>
        <v>17</v>
      </c>
      <c r="AW2555" s="0" t="n">
        <f aca="false">COUNTIF($BA$497:$EH$497,"R")</f>
        <v>0</v>
      </c>
      <c r="AX2555" s="0" t="n">
        <f aca="false"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>0</v>
      </c>
      <c r="AY2555" s="0" t="n">
        <f aca="false">COUNTIF(DU2555:EH2555, "&lt;&gt;")</f>
        <v>2</v>
      </c>
      <c r="AZ2555" s="0" t="n">
        <f aca="false">IF(EH2555&lt;&gt;"",1,0)</f>
        <v>0</v>
      </c>
      <c r="BB2555" s="0" t="s">
        <v>153</v>
      </c>
      <c r="DU2555" s="0" t="s">
        <v>154</v>
      </c>
      <c r="EF2555" s="0" t="s">
        <v>154</v>
      </c>
    </row>
    <row r="2556" customFormat="false" ht="13.8" hidden="false" customHeight="false" outlineLevel="0" collapsed="false">
      <c r="A2556" s="0" t="s">
        <v>10994</v>
      </c>
      <c r="B2556" s="0" t="n">
        <v>78</v>
      </c>
      <c r="C2556" s="0" t="n">
        <v>304044</v>
      </c>
      <c r="D2556" s="0" t="s">
        <v>2591</v>
      </c>
      <c r="E2556" s="0" t="s">
        <v>2236</v>
      </c>
      <c r="F2556" s="0" t="str">
        <f aca="false">CONCATENATE(D2556," ",LEFT(H2556,4),"T=",AU2556,"D=",AV2556,"R=",AW2556,"M=",AX2556,"L=",AY2556,"B=",AZ2556)</f>
        <v>GARRETT T=43D=13R=0M=0L=3B=0</v>
      </c>
      <c r="G2556" s="0" t="s">
        <v>241</v>
      </c>
      <c r="I2556" s="0" t="s">
        <v>10995</v>
      </c>
      <c r="J2556" s="0" t="s">
        <v>10996</v>
      </c>
      <c r="K2556" s="0" t="s">
        <v>175</v>
      </c>
      <c r="M2556" s="0" t="s">
        <v>10997</v>
      </c>
      <c r="N2556" s="0" t="str">
        <f aca="false">RIGHT(M2556,LEN(M2556)-FIND(" ",M2556))</f>
        <v>SHERIDAN AVE NE</v>
      </c>
      <c r="P2556" s="0" t="s">
        <v>146</v>
      </c>
      <c r="Q2556" s="0" t="s">
        <v>147</v>
      </c>
      <c r="R2556" s="0" t="n">
        <v>44483</v>
      </c>
      <c r="AD2556" s="0" t="s">
        <v>148</v>
      </c>
      <c r="AE2556" s="0" t="s">
        <v>149</v>
      </c>
      <c r="AF2556" s="0" t="s">
        <v>150</v>
      </c>
      <c r="AH2556" s="0" t="n">
        <v>14</v>
      </c>
      <c r="AI2556" s="0" t="n">
        <v>11</v>
      </c>
      <c r="AN2556" s="0" t="s">
        <v>146</v>
      </c>
      <c r="AO2556" s="0" t="s">
        <v>236</v>
      </c>
      <c r="AP2556" s="0" t="s">
        <v>237</v>
      </c>
      <c r="AQ2556" s="0" t="n">
        <v>9</v>
      </c>
      <c r="AR2556" s="0" t="n">
        <v>64</v>
      </c>
      <c r="AS2556" s="0" t="n">
        <v>32</v>
      </c>
      <c r="AU2556" s="0" t="n">
        <f aca="false">COUNTA($BA$101:$EH$101)</f>
        <v>43</v>
      </c>
      <c r="AV2556" s="0" t="n">
        <f aca="false">COUNTIF($BA$101:$EH$101,"D")</f>
        <v>13</v>
      </c>
      <c r="AW2556" s="0" t="n">
        <f aca="false">COUNTIF($BA$101:$EH$101,"R")</f>
        <v>0</v>
      </c>
      <c r="AX2556" s="0" t="n">
        <f aca="false"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>0</v>
      </c>
      <c r="AY2556" s="0" t="n">
        <f aca="false">COUNTIF(DU2556:EH2556, "&lt;&gt;")</f>
        <v>3</v>
      </c>
      <c r="AZ2556" s="0" t="n">
        <f aca="false">IF(EH2556&lt;&gt;"",1,0)</f>
        <v>0</v>
      </c>
      <c r="BB2556" s="0" t="s">
        <v>153</v>
      </c>
      <c r="BL2556" s="0" t="s">
        <v>154</v>
      </c>
      <c r="CA2556" s="0" t="s">
        <v>154</v>
      </c>
      <c r="DC2556" s="0" t="s">
        <v>154</v>
      </c>
      <c r="DN2556" s="0" t="s">
        <v>154</v>
      </c>
      <c r="DU2556" s="0" t="s">
        <v>154</v>
      </c>
      <c r="EA2556" s="0" t="s">
        <v>154</v>
      </c>
      <c r="EF2556" s="0" t="s">
        <v>154</v>
      </c>
    </row>
    <row r="2557" customFormat="false" ht="13.8" hidden="false" customHeight="false" outlineLevel="0" collapsed="false">
      <c r="A2557" s="0" t="s">
        <v>10998</v>
      </c>
      <c r="B2557" s="0" t="n">
        <v>78</v>
      </c>
      <c r="C2557" s="0" t="n">
        <v>171938</v>
      </c>
      <c r="D2557" s="0" t="s">
        <v>2591</v>
      </c>
      <c r="E2557" s="0" t="s">
        <v>283</v>
      </c>
      <c r="F2557" s="0" t="str">
        <f aca="false">CONCATENATE(D2557," ",LEFT(H2557,4),"T=",AU2557,"D=",AV2557,"R=",AW2557,"M=",AX2557,"L=",AY2557,"B=",AZ2557)</f>
        <v>GARRETT T=2D=0R=0M=0L=4B=0</v>
      </c>
      <c r="G2557" s="0" t="s">
        <v>176</v>
      </c>
      <c r="I2557" s="0" t="s">
        <v>10999</v>
      </c>
      <c r="J2557" s="0" t="s">
        <v>2660</v>
      </c>
      <c r="K2557" s="0" t="s">
        <v>175</v>
      </c>
      <c r="M2557" s="0" t="s">
        <v>10997</v>
      </c>
      <c r="N2557" s="0" t="str">
        <f aca="false">RIGHT(M2557,LEN(M2557)-FIND(" ",M2557))</f>
        <v>SHERIDAN AVE NE</v>
      </c>
      <c r="P2557" s="0" t="s">
        <v>146</v>
      </c>
      <c r="Q2557" s="0" t="s">
        <v>147</v>
      </c>
      <c r="R2557" s="0" t="n">
        <v>44483</v>
      </c>
      <c r="AD2557" s="0" t="s">
        <v>148</v>
      </c>
      <c r="AE2557" s="0" t="s">
        <v>149</v>
      </c>
      <c r="AF2557" s="0" t="s">
        <v>150</v>
      </c>
      <c r="AH2557" s="0" t="n">
        <v>14</v>
      </c>
      <c r="AI2557" s="0" t="n">
        <v>11</v>
      </c>
      <c r="AN2557" s="0" t="s">
        <v>146</v>
      </c>
      <c r="AO2557" s="0" t="s">
        <v>236</v>
      </c>
      <c r="AP2557" s="0" t="s">
        <v>237</v>
      </c>
      <c r="AQ2557" s="0" t="n">
        <v>9</v>
      </c>
      <c r="AR2557" s="0" t="n">
        <v>64</v>
      </c>
      <c r="AS2557" s="0" t="n">
        <v>32</v>
      </c>
      <c r="AU2557" s="0" t="n">
        <f aca="false">COUNTA($BA$745:$EH$745)</f>
        <v>2</v>
      </c>
      <c r="AV2557" s="0" t="n">
        <f aca="false">COUNTIF($BA$745:$EH$745,"D")</f>
        <v>0</v>
      </c>
      <c r="AW2557" s="0" t="n">
        <f aca="false">COUNTIF($BA$745:$EH$745,"R")</f>
        <v>0</v>
      </c>
      <c r="AX2557" s="0" t="n">
        <f aca="false"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>0</v>
      </c>
      <c r="AY2557" s="0" t="n">
        <f aca="false">COUNTIF(DU2557:EH2557, "&lt;&gt;")</f>
        <v>4</v>
      </c>
      <c r="AZ2557" s="0" t="n">
        <f aca="false">IF(EH2557&lt;&gt;"",1,0)</f>
        <v>0</v>
      </c>
      <c r="BB2557" s="0" t="s">
        <v>153</v>
      </c>
      <c r="BD2557" s="0" t="s">
        <v>154</v>
      </c>
      <c r="BL2557" s="0" t="s">
        <v>154</v>
      </c>
      <c r="BR2557" s="0" t="s">
        <v>154</v>
      </c>
      <c r="CA2557" s="0" t="s">
        <v>154</v>
      </c>
      <c r="CG2557" s="0" t="s">
        <v>154</v>
      </c>
      <c r="CK2557" s="0" t="s">
        <v>154</v>
      </c>
      <c r="CP2557" s="0" t="s">
        <v>154</v>
      </c>
      <c r="DC2557" s="0" t="s">
        <v>154</v>
      </c>
      <c r="DI2557" s="0" t="s">
        <v>154</v>
      </c>
      <c r="DN2557" s="0" t="s">
        <v>154</v>
      </c>
      <c r="DU2557" s="0" t="s">
        <v>154</v>
      </c>
      <c r="DX2557" s="0" t="s">
        <v>154</v>
      </c>
      <c r="EA2557" s="0" t="s">
        <v>154</v>
      </c>
      <c r="EF2557" s="0" t="s">
        <v>154</v>
      </c>
    </row>
    <row r="2558" customFormat="false" ht="13.8" hidden="true" customHeight="false" outlineLevel="0" collapsed="false">
      <c r="A2558" s="0" t="s">
        <v>11000</v>
      </c>
      <c r="B2558" s="0" t="n">
        <v>78</v>
      </c>
      <c r="C2558" s="0" t="n">
        <v>326791</v>
      </c>
      <c r="D2558" s="0" t="s">
        <v>9402</v>
      </c>
      <c r="E2558" s="0" t="s">
        <v>1117</v>
      </c>
      <c r="F2558" s="0" t="str">
        <f aca="false">CONCATENATE(D2558," ",LEFT(H2558,4),"T=",AU2558,"D=",AV2558,"R=",AW2558,"M=",AX2558,"L=",AY2558,"B=",AZ2558)</f>
        <v>MASON T=17D=1R=2M=0L=0B=0</v>
      </c>
      <c r="G2558" s="0" t="s">
        <v>222</v>
      </c>
      <c r="I2558" s="0" t="s">
        <v>7571</v>
      </c>
      <c r="J2558" s="0" t="s">
        <v>11001</v>
      </c>
      <c r="K2558" s="0" t="s">
        <v>175</v>
      </c>
      <c r="L2558" s="0"/>
      <c r="M2558" s="0" t="s">
        <v>11002</v>
      </c>
      <c r="N2558" s="0" t="str">
        <f aca="false">RIGHT(M2558,LEN(M2558)-FIND(" ",M2558))</f>
        <v>SHERIDAN AVE NE</v>
      </c>
      <c r="P2558" s="0" t="s">
        <v>146</v>
      </c>
      <c r="Q2558" s="0" t="s">
        <v>147</v>
      </c>
      <c r="R2558" s="0" t="n">
        <v>44483</v>
      </c>
      <c r="AD2558" s="0" t="s">
        <v>148</v>
      </c>
      <c r="AE2558" s="0" t="s">
        <v>149</v>
      </c>
      <c r="AF2558" s="0" t="s">
        <v>150</v>
      </c>
      <c r="AH2558" s="0" t="n">
        <v>14</v>
      </c>
      <c r="AI2558" s="0" t="n">
        <v>11</v>
      </c>
      <c r="AN2558" s="0" t="s">
        <v>146</v>
      </c>
      <c r="AO2558" s="0" t="s">
        <v>236</v>
      </c>
      <c r="AP2558" s="0" t="s">
        <v>237</v>
      </c>
      <c r="AQ2558" s="0" t="n">
        <v>9</v>
      </c>
      <c r="AR2558" s="0" t="n">
        <v>64</v>
      </c>
      <c r="AS2558" s="0" t="n">
        <v>32</v>
      </c>
      <c r="AU2558" s="0" t="n">
        <f aca="false">COUNTA($BA$234:$EH$234)</f>
        <v>17</v>
      </c>
      <c r="AV2558" s="0" t="n">
        <f aca="false">COUNTIF($BA$234:$EH$234,"D")</f>
        <v>1</v>
      </c>
      <c r="AW2558" s="0" t="n">
        <f aca="false">COUNTIF($BA$234:$EH$234,"R")</f>
        <v>2</v>
      </c>
      <c r="AX2558" s="0" t="n">
        <f aca="false"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>0</v>
      </c>
      <c r="AY2558" s="0" t="n">
        <f aca="false">COUNTIF(DU2558:EH2558, "&lt;&gt;")</f>
        <v>0</v>
      </c>
      <c r="AZ2558" s="0" t="n">
        <f aca="false">IF(EH2558&lt;&gt;"",1,0)</f>
        <v>0</v>
      </c>
      <c r="BB2558" s="0" t="s">
        <v>153</v>
      </c>
      <c r="DC2558" s="0" t="s">
        <v>154</v>
      </c>
    </row>
    <row r="2559" customFormat="false" ht="13.8" hidden="false" customHeight="false" outlineLevel="0" collapsed="false">
      <c r="A2559" s="0" t="s">
        <v>11003</v>
      </c>
      <c r="B2559" s="0" t="n">
        <v>78</v>
      </c>
      <c r="C2559" s="0" t="n">
        <v>164673</v>
      </c>
      <c r="D2559" s="0" t="s">
        <v>7640</v>
      </c>
      <c r="E2559" s="0" t="s">
        <v>2826</v>
      </c>
      <c r="F2559" s="0" t="str">
        <f aca="false">CONCATENATE(D2559," ",LEFT(H2559,4),"T=",AU2559,"D=",AV2559,"R=",AW2559,"M=",AX2559,"L=",AY2559,"B=",AZ2559)</f>
        <v>MCCARTY T=1D=0R=0M=0L=4B=0</v>
      </c>
      <c r="I2559" s="0" t="s">
        <v>11004</v>
      </c>
      <c r="J2559" s="0" t="s">
        <v>11005</v>
      </c>
      <c r="K2559" s="0" t="s">
        <v>175</v>
      </c>
      <c r="L2559" s="1" t="s">
        <v>176</v>
      </c>
      <c r="M2559" s="0" t="s">
        <v>11006</v>
      </c>
      <c r="N2559" s="0" t="str">
        <f aca="false">RIGHT(M2559,LEN(M2559)-FIND(" ",M2559))</f>
        <v>SHERIDAN AVE NE</v>
      </c>
      <c r="P2559" s="0" t="s">
        <v>146</v>
      </c>
      <c r="Q2559" s="0" t="s">
        <v>147</v>
      </c>
      <c r="R2559" s="0" t="n">
        <v>44483</v>
      </c>
      <c r="AD2559" s="0" t="s">
        <v>148</v>
      </c>
      <c r="AE2559" s="0" t="s">
        <v>149</v>
      </c>
      <c r="AF2559" s="0" t="s">
        <v>150</v>
      </c>
      <c r="AH2559" s="0" t="n">
        <v>14</v>
      </c>
      <c r="AI2559" s="0" t="n">
        <v>11</v>
      </c>
      <c r="AN2559" s="0" t="s">
        <v>146</v>
      </c>
      <c r="AO2559" s="0" t="s">
        <v>236</v>
      </c>
      <c r="AP2559" s="0" t="s">
        <v>237</v>
      </c>
      <c r="AQ2559" s="0" t="n">
        <v>9</v>
      </c>
      <c r="AR2559" s="0" t="n">
        <v>64</v>
      </c>
      <c r="AS2559" s="0" t="n">
        <v>32</v>
      </c>
      <c r="AU2559" s="0" t="n">
        <f aca="false">COUNTA($BA$769:$EH$769)</f>
        <v>1</v>
      </c>
      <c r="AV2559" s="0" t="n">
        <f aca="false">COUNTIF($BA$769:$EH$769,"D")</f>
        <v>0</v>
      </c>
      <c r="AW2559" s="0" t="n">
        <f aca="false">COUNTIF($BA$769:$EH$769,"R")</f>
        <v>0</v>
      </c>
      <c r="AX2559" s="0" t="n">
        <f aca="false"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>0</v>
      </c>
      <c r="AY2559" s="0" t="n">
        <f aca="false">COUNTIF(DU2559:EH2559, "&lt;&gt;")</f>
        <v>4</v>
      </c>
      <c r="AZ2559" s="0" t="n">
        <f aca="false">IF(EH2559&lt;&gt;"",1,0)</f>
        <v>0</v>
      </c>
      <c r="BB2559" s="0" t="s">
        <v>153</v>
      </c>
      <c r="BD2559" s="0" t="s">
        <v>154</v>
      </c>
      <c r="BH2559" s="0" t="s">
        <v>154</v>
      </c>
      <c r="BJ2559" s="0" t="s">
        <v>154</v>
      </c>
      <c r="BL2559" s="0" t="s">
        <v>154</v>
      </c>
      <c r="BP2559" s="0" t="s">
        <v>154</v>
      </c>
      <c r="BS2559" s="0" t="s">
        <v>154</v>
      </c>
      <c r="CA2559" s="0" t="s">
        <v>154</v>
      </c>
      <c r="CG2559" s="0" t="s">
        <v>154</v>
      </c>
      <c r="CK2559" s="0" t="s">
        <v>154</v>
      </c>
      <c r="CN2559" s="0" t="s">
        <v>154</v>
      </c>
      <c r="CO2559" s="0" t="s">
        <v>176</v>
      </c>
      <c r="CP2559" s="0" t="s">
        <v>154</v>
      </c>
      <c r="CV2559" s="0" t="s">
        <v>154</v>
      </c>
      <c r="DC2559" s="0" t="s">
        <v>154</v>
      </c>
      <c r="DI2559" s="0" t="s">
        <v>154</v>
      </c>
      <c r="DL2559" s="0" t="s">
        <v>154</v>
      </c>
      <c r="DN2559" s="0" t="s">
        <v>154</v>
      </c>
      <c r="DS2559" s="0" t="s">
        <v>176</v>
      </c>
      <c r="DU2559" s="0" t="s">
        <v>154</v>
      </c>
      <c r="DX2559" s="0" t="s">
        <v>154</v>
      </c>
      <c r="EA2559" s="0" t="s">
        <v>154</v>
      </c>
      <c r="EF2559" s="0" t="s">
        <v>154</v>
      </c>
    </row>
    <row r="2560" customFormat="false" ht="13.8" hidden="false" customHeight="false" outlineLevel="0" collapsed="false">
      <c r="A2560" s="0" t="s">
        <v>11007</v>
      </c>
      <c r="B2560" s="0" t="n">
        <v>78</v>
      </c>
      <c r="C2560" s="0" t="n">
        <v>211831</v>
      </c>
      <c r="D2560" s="0" t="s">
        <v>7640</v>
      </c>
      <c r="E2560" s="0" t="s">
        <v>430</v>
      </c>
      <c r="F2560" s="0" t="str">
        <f aca="false">CONCATENATE(D2560," ",LEFT(H2560,4),"T=",AU2560,"D=",AV2560,"R=",AW2560,"M=",AX2560,"L=",AY2560,"B=",AZ2560)</f>
        <v>MCCARTY T=3D=0R=0M=0L=4B=0</v>
      </c>
      <c r="G2560" s="0" t="s">
        <v>166</v>
      </c>
      <c r="I2560" s="0" t="s">
        <v>11008</v>
      </c>
      <c r="J2560" s="0" t="s">
        <v>11009</v>
      </c>
      <c r="K2560" s="0" t="s">
        <v>175</v>
      </c>
      <c r="L2560" s="1" t="s">
        <v>176</v>
      </c>
      <c r="M2560" s="0" t="s">
        <v>11006</v>
      </c>
      <c r="N2560" s="0" t="str">
        <f aca="false">RIGHT(M2560,LEN(M2560)-FIND(" ",M2560))</f>
        <v>SHERIDAN AVE NE</v>
      </c>
      <c r="P2560" s="0" t="s">
        <v>146</v>
      </c>
      <c r="Q2560" s="0" t="s">
        <v>147</v>
      </c>
      <c r="R2560" s="0" t="n">
        <v>44483</v>
      </c>
      <c r="AD2560" s="0" t="s">
        <v>148</v>
      </c>
      <c r="AE2560" s="0" t="s">
        <v>149</v>
      </c>
      <c r="AF2560" s="0" t="s">
        <v>150</v>
      </c>
      <c r="AH2560" s="0" t="n">
        <v>14</v>
      </c>
      <c r="AI2560" s="0" t="n">
        <v>11</v>
      </c>
      <c r="AN2560" s="0" t="s">
        <v>146</v>
      </c>
      <c r="AO2560" s="0" t="s">
        <v>236</v>
      </c>
      <c r="AP2560" s="0" t="s">
        <v>237</v>
      </c>
      <c r="AQ2560" s="0" t="n">
        <v>9</v>
      </c>
      <c r="AR2560" s="0" t="n">
        <v>64</v>
      </c>
      <c r="AS2560" s="0" t="n">
        <v>32</v>
      </c>
      <c r="AU2560" s="0" t="n">
        <f aca="false">COUNTA($BA$780:$EH$780)</f>
        <v>3</v>
      </c>
      <c r="AV2560" s="0" t="n">
        <f aca="false">COUNTIF($BA$780:$EH$780,"D")</f>
        <v>0</v>
      </c>
      <c r="AW2560" s="0" t="n">
        <f aca="false">COUNTIF($BA$780:$EH$780,"R")</f>
        <v>0</v>
      </c>
      <c r="AX2560" s="0" t="n">
        <f aca="false"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>0</v>
      </c>
      <c r="AY2560" s="0" t="n">
        <f aca="false">COUNTIF(DU2560:EH2560, "&lt;&gt;")</f>
        <v>4</v>
      </c>
      <c r="AZ2560" s="0" t="n">
        <f aca="false">IF(EH2560&lt;&gt;"",1,0)</f>
        <v>0</v>
      </c>
      <c r="BB2560" s="0" t="s">
        <v>153</v>
      </c>
      <c r="BD2560" s="0" t="s">
        <v>154</v>
      </c>
      <c r="BH2560" s="0" t="s">
        <v>154</v>
      </c>
      <c r="BJ2560" s="0" t="s">
        <v>154</v>
      </c>
      <c r="BL2560" s="0" t="s">
        <v>154</v>
      </c>
      <c r="BP2560" s="0" t="s">
        <v>154</v>
      </c>
      <c r="BS2560" s="0" t="s">
        <v>154</v>
      </c>
      <c r="CA2560" s="0" t="s">
        <v>154</v>
      </c>
      <c r="CG2560" s="0" t="s">
        <v>154</v>
      </c>
      <c r="CK2560" s="0" t="s">
        <v>154</v>
      </c>
      <c r="CN2560" s="0" t="s">
        <v>154</v>
      </c>
      <c r="CO2560" s="0" t="s">
        <v>176</v>
      </c>
      <c r="CP2560" s="0" t="s">
        <v>154</v>
      </c>
      <c r="CV2560" s="0" t="s">
        <v>154</v>
      </c>
      <c r="DC2560" s="0" t="s">
        <v>154</v>
      </c>
      <c r="DI2560" s="0" t="s">
        <v>154</v>
      </c>
      <c r="DL2560" s="0" t="s">
        <v>154</v>
      </c>
      <c r="DN2560" s="0" t="s">
        <v>154</v>
      </c>
      <c r="DS2560" s="0" t="s">
        <v>176</v>
      </c>
      <c r="DU2560" s="0" t="s">
        <v>154</v>
      </c>
      <c r="DX2560" s="0" t="s">
        <v>154</v>
      </c>
      <c r="EA2560" s="0" t="s">
        <v>154</v>
      </c>
      <c r="EF2560" s="0" t="s">
        <v>154</v>
      </c>
    </row>
    <row r="2561" customFormat="false" ht="13.8" hidden="false" customHeight="false" outlineLevel="0" collapsed="false">
      <c r="A2561" s="0" t="s">
        <v>11010</v>
      </c>
      <c r="B2561" s="0" t="n">
        <v>78</v>
      </c>
      <c r="C2561" s="0" t="n">
        <v>214232</v>
      </c>
      <c r="D2561" s="0" t="s">
        <v>1549</v>
      </c>
      <c r="E2561" s="0" t="s">
        <v>328</v>
      </c>
      <c r="F2561" s="0" t="str">
        <f aca="false">CONCATENATE(D2561," ",LEFT(H2561,4),"T=",AU2561,"D=",AV2561,"R=",AW2561,"M=",AX2561,"L=",AY2561,"B=",AZ2561)</f>
        <v>WILSON T=1D=0R=0M=3L=7B=1</v>
      </c>
      <c r="G2561" s="0" t="s">
        <v>329</v>
      </c>
      <c r="I2561" s="0" t="s">
        <v>11011</v>
      </c>
      <c r="J2561" s="0" t="s">
        <v>7319</v>
      </c>
      <c r="K2561" s="0" t="s">
        <v>175</v>
      </c>
      <c r="L2561" s="1" t="s">
        <v>155</v>
      </c>
      <c r="M2561" s="0" t="s">
        <v>11012</v>
      </c>
      <c r="N2561" s="0" t="str">
        <f aca="false">RIGHT(M2561,LEN(M2561)-FIND(" ",M2561))</f>
        <v>SHERIDAN AVE NE</v>
      </c>
      <c r="P2561" s="0" t="s">
        <v>146</v>
      </c>
      <c r="Q2561" s="0" t="s">
        <v>147</v>
      </c>
      <c r="R2561" s="0" t="n">
        <v>44483</v>
      </c>
      <c r="AD2561" s="0" t="s">
        <v>148</v>
      </c>
      <c r="AE2561" s="0" t="s">
        <v>149</v>
      </c>
      <c r="AF2561" s="0" t="s">
        <v>150</v>
      </c>
      <c r="AH2561" s="0" t="n">
        <v>14</v>
      </c>
      <c r="AI2561" s="0" t="n">
        <v>11</v>
      </c>
      <c r="AN2561" s="0" t="s">
        <v>146</v>
      </c>
      <c r="AO2561" s="0" t="s">
        <v>236</v>
      </c>
      <c r="AP2561" s="0" t="s">
        <v>237</v>
      </c>
      <c r="AQ2561" s="0" t="n">
        <v>9</v>
      </c>
      <c r="AR2561" s="0" t="n">
        <v>64</v>
      </c>
      <c r="AS2561" s="0" t="n">
        <v>32</v>
      </c>
      <c r="AU2561" s="0" t="n">
        <f aca="false">COUNTA($BA$315:$EH$315)</f>
        <v>1</v>
      </c>
      <c r="AV2561" s="0" t="n">
        <f aca="false">COUNTIF($BA$315:$EH$315,"D")</f>
        <v>0</v>
      </c>
      <c r="AW2561" s="0" t="n">
        <f aca="false">COUNTIF($BA$315:$EH$315,"R")</f>
        <v>0</v>
      </c>
      <c r="AX2561" s="0" t="n">
        <f aca="false"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>3</v>
      </c>
      <c r="AY2561" s="0" t="n">
        <f aca="false">COUNTIF(DU2561:EH2561, "&lt;&gt;")</f>
        <v>7</v>
      </c>
      <c r="AZ2561" s="0" t="n">
        <f aca="false">IF(EH2561&lt;&gt;"",1,0)</f>
        <v>1</v>
      </c>
      <c r="BB2561" s="0" t="s">
        <v>153</v>
      </c>
      <c r="BC2561" s="0" t="s">
        <v>154</v>
      </c>
      <c r="BD2561" s="0" t="s">
        <v>154</v>
      </c>
      <c r="BE2561" s="0" t="s">
        <v>154</v>
      </c>
      <c r="BG2561" s="0" t="s">
        <v>154</v>
      </c>
      <c r="BH2561" s="0" t="s">
        <v>154</v>
      </c>
      <c r="BI2561" s="0" t="s">
        <v>154</v>
      </c>
      <c r="BJ2561" s="0" t="s">
        <v>154</v>
      </c>
      <c r="BK2561" s="0" t="s">
        <v>154</v>
      </c>
      <c r="BL2561" s="0" t="s">
        <v>154</v>
      </c>
      <c r="BP2561" s="0" t="s">
        <v>154</v>
      </c>
      <c r="BR2561" s="0" t="s">
        <v>154</v>
      </c>
      <c r="BY2561" s="0" t="s">
        <v>155</v>
      </c>
      <c r="CA2561" s="0" t="s">
        <v>154</v>
      </c>
      <c r="CG2561" s="0" t="s">
        <v>154</v>
      </c>
      <c r="CK2561" s="0" t="s">
        <v>154</v>
      </c>
      <c r="CN2561" s="0" t="s">
        <v>154</v>
      </c>
      <c r="CO2561" s="0" t="s">
        <v>155</v>
      </c>
      <c r="CP2561" s="0" t="s">
        <v>154</v>
      </c>
      <c r="CT2561" s="0" t="s">
        <v>154</v>
      </c>
      <c r="CU2561" s="0" t="s">
        <v>155</v>
      </c>
      <c r="CV2561" s="0" t="s">
        <v>154</v>
      </c>
      <c r="DC2561" s="0" t="s">
        <v>154</v>
      </c>
      <c r="DF2561" s="0" t="s">
        <v>154</v>
      </c>
      <c r="DG2561" s="0" t="s">
        <v>155</v>
      </c>
      <c r="DI2561" s="0" t="s">
        <v>154</v>
      </c>
      <c r="DJ2561" s="0" t="s">
        <v>155</v>
      </c>
      <c r="DL2561" s="0" t="s">
        <v>154</v>
      </c>
      <c r="DM2561" s="0" t="s">
        <v>155</v>
      </c>
      <c r="DN2561" s="0" t="s">
        <v>154</v>
      </c>
      <c r="DS2561" s="0" t="s">
        <v>155</v>
      </c>
      <c r="DT2561" s="0" t="s">
        <v>155</v>
      </c>
      <c r="DU2561" s="0" t="s">
        <v>154</v>
      </c>
      <c r="DW2561" s="0" t="s">
        <v>155</v>
      </c>
      <c r="DX2561" s="0" t="s">
        <v>154</v>
      </c>
      <c r="EA2561" s="0" t="s">
        <v>154</v>
      </c>
      <c r="ED2561" s="0" t="s">
        <v>155</v>
      </c>
      <c r="EF2561" s="0" t="s">
        <v>154</v>
      </c>
      <c r="EH2561" s="0" t="s">
        <v>155</v>
      </c>
    </row>
    <row r="2562" customFormat="false" ht="13.8" hidden="false" customHeight="false" outlineLevel="0" collapsed="false">
      <c r="A2562" s="0" t="s">
        <v>11013</v>
      </c>
      <c r="B2562" s="0" t="n">
        <v>78</v>
      </c>
      <c r="C2562" s="0" t="n">
        <v>304447</v>
      </c>
      <c r="D2562" s="0" t="s">
        <v>11014</v>
      </c>
      <c r="E2562" s="0" t="s">
        <v>335</v>
      </c>
      <c r="F2562" s="0" t="str">
        <f aca="false">CONCATENATE(D2562," ",LEFT(H2562,4),"T=",AU2562,"D=",AV2562,"R=",AW2562,"M=",AX2562,"L=",AY2562,"B=",AZ2562)</f>
        <v>GEDDES T=3D=0R=0M=0L=3B=0</v>
      </c>
      <c r="G2562" s="0" t="s">
        <v>188</v>
      </c>
      <c r="I2562" s="0" t="s">
        <v>11015</v>
      </c>
      <c r="J2562" s="0" t="s">
        <v>2512</v>
      </c>
      <c r="K2562" s="0" t="s">
        <v>175</v>
      </c>
      <c r="M2562" s="0" t="s">
        <v>11012</v>
      </c>
      <c r="N2562" s="0" t="str">
        <f aca="false">RIGHT(M2562,LEN(M2562)-FIND(" ",M2562))</f>
        <v>SHERIDAN AVE NE</v>
      </c>
      <c r="P2562" s="0" t="s">
        <v>146</v>
      </c>
      <c r="Q2562" s="0" t="s">
        <v>147</v>
      </c>
      <c r="R2562" s="0" t="n">
        <v>44483</v>
      </c>
      <c r="AD2562" s="0" t="s">
        <v>148</v>
      </c>
      <c r="AE2562" s="0" t="s">
        <v>149</v>
      </c>
      <c r="AF2562" s="0" t="s">
        <v>150</v>
      </c>
      <c r="AH2562" s="0" t="n">
        <v>14</v>
      </c>
      <c r="AI2562" s="0" t="n">
        <v>11</v>
      </c>
      <c r="AN2562" s="0" t="s">
        <v>146</v>
      </c>
      <c r="AO2562" s="0" t="s">
        <v>236</v>
      </c>
      <c r="AP2562" s="0" t="s">
        <v>237</v>
      </c>
      <c r="AQ2562" s="0" t="n">
        <v>9</v>
      </c>
      <c r="AR2562" s="0" t="n">
        <v>64</v>
      </c>
      <c r="AS2562" s="0" t="n">
        <v>32</v>
      </c>
      <c r="AU2562" s="0" t="n">
        <f aca="false">COUNTA($BA$557:$EH$557)</f>
        <v>3</v>
      </c>
      <c r="AV2562" s="0" t="n">
        <f aca="false">COUNTIF($BA$557:$EH$557,"D")</f>
        <v>0</v>
      </c>
      <c r="AW2562" s="0" t="n">
        <f aca="false">COUNTIF($BA$557:$EH$557,"R")</f>
        <v>0</v>
      </c>
      <c r="AX2562" s="0" t="n">
        <f aca="false"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>0</v>
      </c>
      <c r="AY2562" s="0" t="n">
        <f aca="false">COUNTIF(DU2562:EH2562, "&lt;&gt;")</f>
        <v>3</v>
      </c>
      <c r="AZ2562" s="0" t="n">
        <f aca="false">IF(EH2562&lt;&gt;"",1,0)</f>
        <v>0</v>
      </c>
      <c r="BB2562" s="0" t="s">
        <v>153</v>
      </c>
      <c r="BF2562" s="0" t="s">
        <v>154</v>
      </c>
      <c r="BH2562" s="0" t="s">
        <v>154</v>
      </c>
      <c r="BJ2562" s="0" t="s">
        <v>154</v>
      </c>
      <c r="BL2562" s="0" t="s">
        <v>154</v>
      </c>
      <c r="BS2562" s="0" t="s">
        <v>154</v>
      </c>
      <c r="CG2562" s="0" t="s">
        <v>154</v>
      </c>
      <c r="CK2562" s="0" t="s">
        <v>154</v>
      </c>
      <c r="CP2562" s="0" t="s">
        <v>154</v>
      </c>
      <c r="DC2562" s="0" t="s">
        <v>154</v>
      </c>
      <c r="DI2562" s="0" t="s">
        <v>154</v>
      </c>
      <c r="DN2562" s="0" t="s">
        <v>154</v>
      </c>
      <c r="DU2562" s="0" t="s">
        <v>154</v>
      </c>
      <c r="EA2562" s="0" t="s">
        <v>154</v>
      </c>
      <c r="EF2562" s="0" t="s">
        <v>154</v>
      </c>
    </row>
    <row r="2563" customFormat="false" ht="13.8" hidden="false" customHeight="false" outlineLevel="0" collapsed="false">
      <c r="A2563" s="0" t="s">
        <v>11016</v>
      </c>
      <c r="B2563" s="0" t="n">
        <v>78</v>
      </c>
      <c r="C2563" s="0" t="n">
        <v>452681</v>
      </c>
      <c r="D2563" s="0" t="s">
        <v>11017</v>
      </c>
      <c r="E2563" s="0" t="s">
        <v>863</v>
      </c>
      <c r="F2563" s="0" t="str">
        <f aca="false">CONCATENATE(D2563," ",LEFT(H2563,4),"T=",AU2563,"D=",AV2563,"R=",AW2563,"M=",AX2563,"L=",AY2563,"B=",AZ2563)</f>
        <v>OAKES T=47D=15R=0M=1L=5B=0</v>
      </c>
      <c r="G2563" s="0" t="s">
        <v>802</v>
      </c>
      <c r="I2563" s="0" t="s">
        <v>1212</v>
      </c>
      <c r="J2563" s="0" t="s">
        <v>2313</v>
      </c>
      <c r="K2563" s="0" t="s">
        <v>175</v>
      </c>
      <c r="L2563" s="1" t="s">
        <v>155</v>
      </c>
      <c r="M2563" s="0" t="s">
        <v>11018</v>
      </c>
      <c r="N2563" s="0" t="str">
        <f aca="false">RIGHT(M2563,LEN(M2563)-FIND(" ",M2563))</f>
        <v>SHERIDAN AVE NE</v>
      </c>
      <c r="P2563" s="0" t="s">
        <v>146</v>
      </c>
      <c r="Q2563" s="0" t="s">
        <v>147</v>
      </c>
      <c r="R2563" s="0" t="n">
        <v>44483</v>
      </c>
      <c r="AD2563" s="0" t="s">
        <v>148</v>
      </c>
      <c r="AE2563" s="0" t="s">
        <v>149</v>
      </c>
      <c r="AF2563" s="0" t="s">
        <v>150</v>
      </c>
      <c r="AH2563" s="0" t="n">
        <v>14</v>
      </c>
      <c r="AI2563" s="0" t="n">
        <v>11</v>
      </c>
      <c r="AN2563" s="0" t="s">
        <v>146</v>
      </c>
      <c r="AO2563" s="0" t="s">
        <v>236</v>
      </c>
      <c r="AP2563" s="0" t="s">
        <v>237</v>
      </c>
      <c r="AQ2563" s="0" t="n">
        <v>9</v>
      </c>
      <c r="AR2563" s="0" t="n">
        <v>64</v>
      </c>
      <c r="AS2563" s="0" t="n">
        <v>32</v>
      </c>
      <c r="AU2563" s="0" t="n">
        <f aca="false">COUNTA($BA$222:$EH$222)</f>
        <v>47</v>
      </c>
      <c r="AV2563" s="0" t="n">
        <f aca="false">COUNTIF($BA$222:$EH$222,"D")</f>
        <v>15</v>
      </c>
      <c r="AW2563" s="0" t="n">
        <f aca="false">COUNTIF($BA$222:$EH$222,"R")</f>
        <v>0</v>
      </c>
      <c r="AX2563" s="0" t="n">
        <f aca="false"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>1</v>
      </c>
      <c r="AY2563" s="0" t="n">
        <f aca="false">COUNTIF(DU2563:EH2563, "&lt;&gt;")</f>
        <v>5</v>
      </c>
      <c r="AZ2563" s="0" t="n">
        <f aca="false">IF(EH2563&lt;&gt;"",1,0)</f>
        <v>0</v>
      </c>
      <c r="BB2563" s="0" t="s">
        <v>153</v>
      </c>
      <c r="DN2563" s="0" t="s">
        <v>154</v>
      </c>
      <c r="DS2563" s="0" t="s">
        <v>176</v>
      </c>
      <c r="DU2563" s="0" t="s">
        <v>154</v>
      </c>
      <c r="DW2563" s="0" t="s">
        <v>155</v>
      </c>
      <c r="DX2563" s="0" t="s">
        <v>154</v>
      </c>
      <c r="EA2563" s="0" t="s">
        <v>154</v>
      </c>
      <c r="EF2563" s="0" t="s">
        <v>154</v>
      </c>
    </row>
    <row r="2564" customFormat="false" ht="13.8" hidden="false" customHeight="false" outlineLevel="0" collapsed="false">
      <c r="A2564" s="0" t="s">
        <v>11019</v>
      </c>
      <c r="B2564" s="0" t="n">
        <v>78</v>
      </c>
      <c r="C2564" s="0" t="n">
        <v>262581</v>
      </c>
      <c r="D2564" s="0" t="s">
        <v>11017</v>
      </c>
      <c r="E2564" s="0" t="s">
        <v>5317</v>
      </c>
      <c r="F2564" s="0" t="str">
        <f aca="false">CONCATENATE(D2564," ",LEFT(H2564,4),"T=",AU2564,"D=",AV2564,"R=",AW2564,"M=",AX2564,"L=",AY2564,"B=",AZ2564)</f>
        <v>OAKES T=1D=0R=0M=2L=7B=1</v>
      </c>
      <c r="I2564" s="0" t="s">
        <v>11020</v>
      </c>
      <c r="J2564" s="0" t="s">
        <v>2525</v>
      </c>
      <c r="K2564" s="0" t="s">
        <v>175</v>
      </c>
      <c r="L2564" s="1" t="s">
        <v>155</v>
      </c>
      <c r="M2564" s="0" t="s">
        <v>11018</v>
      </c>
      <c r="N2564" s="0" t="str">
        <f aca="false">RIGHT(M2564,LEN(M2564)-FIND(" ",M2564))</f>
        <v>SHERIDAN AVE NE</v>
      </c>
      <c r="P2564" s="0" t="s">
        <v>146</v>
      </c>
      <c r="Q2564" s="0" t="s">
        <v>147</v>
      </c>
      <c r="R2564" s="0" t="n">
        <v>44483</v>
      </c>
      <c r="AD2564" s="0" t="s">
        <v>148</v>
      </c>
      <c r="AE2564" s="0" t="s">
        <v>149</v>
      </c>
      <c r="AF2564" s="0" t="s">
        <v>150</v>
      </c>
      <c r="AH2564" s="0" t="n">
        <v>14</v>
      </c>
      <c r="AI2564" s="0" t="n">
        <v>11</v>
      </c>
      <c r="AN2564" s="0" t="s">
        <v>146</v>
      </c>
      <c r="AO2564" s="0" t="s">
        <v>236</v>
      </c>
      <c r="AP2564" s="0" t="s">
        <v>237</v>
      </c>
      <c r="AQ2564" s="0" t="n">
        <v>9</v>
      </c>
      <c r="AR2564" s="0" t="n">
        <v>64</v>
      </c>
      <c r="AS2564" s="0" t="n">
        <v>32</v>
      </c>
      <c r="AU2564" s="0" t="n">
        <f aca="false">COUNTA($BA$801:$EH$801)</f>
        <v>1</v>
      </c>
      <c r="AV2564" s="0" t="n">
        <f aca="false">COUNTIF($BA$801:$EH$801,"D")</f>
        <v>0</v>
      </c>
      <c r="AW2564" s="0" t="n">
        <f aca="false">COUNTIF($BA$801:$EH$801,"R")</f>
        <v>0</v>
      </c>
      <c r="AX2564" s="0" t="n">
        <f aca="false"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>2</v>
      </c>
      <c r="AY2564" s="0" t="n">
        <f aca="false">COUNTIF(DU2564:EH2564, "&lt;&gt;")</f>
        <v>7</v>
      </c>
      <c r="AZ2564" s="0" t="n">
        <f aca="false">IF(EH2564&lt;&gt;"",1,0)</f>
        <v>1</v>
      </c>
      <c r="BB2564" s="0" t="s">
        <v>153</v>
      </c>
      <c r="BD2564" s="0" t="s">
        <v>154</v>
      </c>
      <c r="BH2564" s="0" t="s">
        <v>154</v>
      </c>
      <c r="BK2564" s="0" t="s">
        <v>154</v>
      </c>
      <c r="BL2564" s="0" t="s">
        <v>154</v>
      </c>
      <c r="BS2564" s="0" t="s">
        <v>154</v>
      </c>
      <c r="BY2564" s="0" t="s">
        <v>176</v>
      </c>
      <c r="CA2564" s="0" t="s">
        <v>154</v>
      </c>
      <c r="CK2564" s="0" t="s">
        <v>154</v>
      </c>
      <c r="CP2564" s="0" t="s">
        <v>154</v>
      </c>
      <c r="DC2564" s="0" t="s">
        <v>154</v>
      </c>
      <c r="DI2564" s="0" t="s">
        <v>154</v>
      </c>
      <c r="DL2564" s="0" t="s">
        <v>154</v>
      </c>
      <c r="DN2564" s="0" t="s">
        <v>154</v>
      </c>
      <c r="DR2564" s="0" t="s">
        <v>154</v>
      </c>
      <c r="DS2564" s="0" t="s">
        <v>176</v>
      </c>
      <c r="DU2564" s="0" t="s">
        <v>154</v>
      </c>
      <c r="DW2564" s="0" t="s">
        <v>155</v>
      </c>
      <c r="DX2564" s="0" t="s">
        <v>154</v>
      </c>
      <c r="EA2564" s="0" t="s">
        <v>154</v>
      </c>
      <c r="ED2564" s="0" t="s">
        <v>176</v>
      </c>
      <c r="EF2564" s="0" t="s">
        <v>154</v>
      </c>
      <c r="EH2564" s="0" t="s">
        <v>155</v>
      </c>
    </row>
    <row r="2565" customFormat="false" ht="13.8" hidden="false" customHeight="false" outlineLevel="0" collapsed="false">
      <c r="A2565" s="0" t="s">
        <v>11021</v>
      </c>
      <c r="B2565" s="0" t="n">
        <v>78</v>
      </c>
      <c r="C2565" s="0" t="n">
        <v>234858</v>
      </c>
      <c r="D2565" s="0" t="s">
        <v>11022</v>
      </c>
      <c r="E2565" s="0" t="s">
        <v>11023</v>
      </c>
      <c r="F2565" s="0" t="str">
        <f aca="false">CONCATENATE(D2565," ",LEFT(H2565,4),"T=",AU2565,"D=",AV2565,"R=",AW2565,"M=",AX2565,"L=",AY2565,"B=",AZ2565)</f>
        <v>PFEIFFER T=1D=0R=0M=3L=6B=0</v>
      </c>
      <c r="G2565" s="0" t="s">
        <v>241</v>
      </c>
      <c r="I2565" s="0" t="s">
        <v>11024</v>
      </c>
      <c r="J2565" s="0" t="s">
        <v>11025</v>
      </c>
      <c r="K2565" s="0" t="s">
        <v>175</v>
      </c>
      <c r="L2565" s="1" t="s">
        <v>176</v>
      </c>
      <c r="M2565" s="0" t="s">
        <v>11026</v>
      </c>
      <c r="N2565" s="0" t="str">
        <f aca="false">RIGHT(M2565,LEN(M2565)-FIND(" ",M2565))</f>
        <v>SHERIDAN AVE NE</v>
      </c>
      <c r="P2565" s="0" t="s">
        <v>146</v>
      </c>
      <c r="Q2565" s="0" t="s">
        <v>147</v>
      </c>
      <c r="R2565" s="0" t="n">
        <v>44483</v>
      </c>
      <c r="AD2565" s="0" t="s">
        <v>148</v>
      </c>
      <c r="AE2565" s="0" t="s">
        <v>149</v>
      </c>
      <c r="AF2565" s="0" t="s">
        <v>150</v>
      </c>
      <c r="AH2565" s="0" t="n">
        <v>14</v>
      </c>
      <c r="AI2565" s="0" t="n">
        <v>11</v>
      </c>
      <c r="AN2565" s="0" t="s">
        <v>146</v>
      </c>
      <c r="AO2565" s="0" t="s">
        <v>236</v>
      </c>
      <c r="AP2565" s="0" t="s">
        <v>237</v>
      </c>
      <c r="AQ2565" s="0" t="n">
        <v>9</v>
      </c>
      <c r="AR2565" s="0" t="n">
        <v>64</v>
      </c>
      <c r="AS2565" s="0" t="n">
        <v>32</v>
      </c>
      <c r="AU2565" s="0" t="n">
        <f aca="false">COUNTA($BA$781:$EH$781)</f>
        <v>1</v>
      </c>
      <c r="AV2565" s="0" t="n">
        <f aca="false">COUNTIF($BA$781:$EH$781,"D")</f>
        <v>0</v>
      </c>
      <c r="AW2565" s="0" t="n">
        <f aca="false">COUNTIF($BA$781:$EH$781,"R")</f>
        <v>0</v>
      </c>
      <c r="AX2565" s="0" t="n">
        <f aca="false"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>3</v>
      </c>
      <c r="AY2565" s="0" t="n">
        <f aca="false">COUNTIF(DU2565:EH2565, "&lt;&gt;")</f>
        <v>6</v>
      </c>
      <c r="AZ2565" s="0" t="n">
        <f aca="false">IF(EH2565&lt;&gt;"",1,0)</f>
        <v>0</v>
      </c>
      <c r="BB2565" s="0" t="s">
        <v>153</v>
      </c>
      <c r="BC2565" s="0" t="s">
        <v>154</v>
      </c>
      <c r="BD2565" s="0" t="s">
        <v>154</v>
      </c>
      <c r="BF2565" s="0" t="s">
        <v>154</v>
      </c>
      <c r="BH2565" s="0" t="s">
        <v>154</v>
      </c>
      <c r="BJ2565" s="0" t="s">
        <v>154</v>
      </c>
      <c r="BK2565" s="0" t="s">
        <v>154</v>
      </c>
      <c r="BL2565" s="0" t="s">
        <v>154</v>
      </c>
      <c r="BP2565" s="0" t="s">
        <v>154</v>
      </c>
      <c r="BS2565" s="0" t="s">
        <v>154</v>
      </c>
      <c r="BY2565" s="0" t="s">
        <v>176</v>
      </c>
      <c r="CK2565" s="0" t="s">
        <v>154</v>
      </c>
      <c r="CL2565" s="0" t="s">
        <v>155</v>
      </c>
      <c r="CN2565" s="0" t="s">
        <v>154</v>
      </c>
      <c r="CP2565" s="0" t="s">
        <v>154</v>
      </c>
      <c r="CT2565" s="0" t="s">
        <v>154</v>
      </c>
      <c r="CV2565" s="0" t="s">
        <v>154</v>
      </c>
      <c r="CY2565" s="0" t="s">
        <v>154</v>
      </c>
      <c r="CZ2565" s="0" t="s">
        <v>176</v>
      </c>
      <c r="DC2565" s="0" t="s">
        <v>154</v>
      </c>
      <c r="DF2565" s="0" t="s">
        <v>154</v>
      </c>
      <c r="DG2565" s="0" t="s">
        <v>176</v>
      </c>
      <c r="DI2565" s="0" t="s">
        <v>154</v>
      </c>
      <c r="DJ2565" s="0" t="s">
        <v>155</v>
      </c>
      <c r="DL2565" s="0" t="s">
        <v>154</v>
      </c>
      <c r="DN2565" s="0" t="s">
        <v>154</v>
      </c>
      <c r="DU2565" s="0" t="s">
        <v>154</v>
      </c>
      <c r="DW2565" s="0" t="s">
        <v>155</v>
      </c>
      <c r="DX2565" s="0" t="s">
        <v>154</v>
      </c>
      <c r="EA2565" s="0" t="s">
        <v>154</v>
      </c>
      <c r="ED2565" s="0" t="s">
        <v>176</v>
      </c>
      <c r="EF2565" s="0" t="s">
        <v>154</v>
      </c>
    </row>
    <row r="2566" customFormat="false" ht="13.8" hidden="false" customHeight="false" outlineLevel="0" collapsed="false">
      <c r="A2566" s="0" t="s">
        <v>11027</v>
      </c>
      <c r="B2566" s="0" t="n">
        <v>78</v>
      </c>
      <c r="C2566" s="0" t="n">
        <v>4175</v>
      </c>
      <c r="D2566" s="0" t="s">
        <v>11028</v>
      </c>
      <c r="E2566" s="0" t="s">
        <v>1259</v>
      </c>
      <c r="F2566" s="0" t="str">
        <f aca="false">CONCATENATE(D2566," ",LEFT(H2566,4),"T=",AU2566,"D=",AV2566,"R=",AW2566,"M=",AX2566,"L=",AY2566,"B=",AZ2566)</f>
        <v>MARCHIN T=3D=0R=0M=1L=3B=0</v>
      </c>
      <c r="G2566" s="0" t="s">
        <v>297</v>
      </c>
      <c r="I2566" s="0" t="s">
        <v>11029</v>
      </c>
      <c r="J2566" s="0" t="s">
        <v>1474</v>
      </c>
      <c r="K2566" s="0" t="s">
        <v>175</v>
      </c>
      <c r="L2566" s="1" t="s">
        <v>155</v>
      </c>
      <c r="M2566" s="0" t="s">
        <v>11030</v>
      </c>
      <c r="N2566" s="0" t="str">
        <f aca="false">RIGHT(M2566,LEN(M2566)-FIND(" ",M2566))</f>
        <v>SHERIDAN AVE NE</v>
      </c>
      <c r="P2566" s="0" t="s">
        <v>146</v>
      </c>
      <c r="Q2566" s="0" t="s">
        <v>147</v>
      </c>
      <c r="R2566" s="0" t="n">
        <v>44483</v>
      </c>
      <c r="AD2566" s="0" t="s">
        <v>148</v>
      </c>
      <c r="AE2566" s="0" t="s">
        <v>149</v>
      </c>
      <c r="AF2566" s="0" t="s">
        <v>150</v>
      </c>
      <c r="AH2566" s="0" t="n">
        <v>14</v>
      </c>
      <c r="AI2566" s="0" t="n">
        <v>11</v>
      </c>
      <c r="AN2566" s="0" t="s">
        <v>146</v>
      </c>
      <c r="AO2566" s="0" t="s">
        <v>236</v>
      </c>
      <c r="AP2566" s="0" t="s">
        <v>237</v>
      </c>
      <c r="AQ2566" s="0" t="n">
        <v>9</v>
      </c>
      <c r="AR2566" s="0" t="n">
        <v>64</v>
      </c>
      <c r="AS2566" s="0" t="n">
        <v>32</v>
      </c>
      <c r="AU2566" s="0" t="n">
        <f aca="false">COUNTA($BA$765:$EH$765)</f>
        <v>3</v>
      </c>
      <c r="AV2566" s="0" t="n">
        <f aca="false">COUNTIF($BA$765:$EH$765,"D")</f>
        <v>0</v>
      </c>
      <c r="AW2566" s="0" t="n">
        <f aca="false">COUNTIF($BA$765:$EH$765,"R")</f>
        <v>0</v>
      </c>
      <c r="AX2566" s="0" t="n">
        <f aca="false"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>1</v>
      </c>
      <c r="AY2566" s="0" t="n">
        <f aca="false">COUNTIF(DU2566:EH2566, "&lt;&gt;")</f>
        <v>3</v>
      </c>
      <c r="AZ2566" s="0" t="n">
        <f aca="false">IF(EH2566&lt;&gt;"",1,0)</f>
        <v>0</v>
      </c>
      <c r="BB2566" s="0" t="s">
        <v>153</v>
      </c>
      <c r="BC2566" s="0" t="s">
        <v>154</v>
      </c>
      <c r="BD2566" s="0" t="s">
        <v>154</v>
      </c>
      <c r="BF2566" s="0" t="s">
        <v>154</v>
      </c>
      <c r="BH2566" s="0" t="s">
        <v>154</v>
      </c>
      <c r="BJ2566" s="0" t="s">
        <v>154</v>
      </c>
      <c r="BK2566" s="0" t="s">
        <v>154</v>
      </c>
      <c r="BL2566" s="0" t="s">
        <v>154</v>
      </c>
      <c r="BP2566" s="0" t="s">
        <v>154</v>
      </c>
      <c r="BR2566" s="0" t="s">
        <v>154</v>
      </c>
      <c r="BS2566" s="0" t="s">
        <v>154</v>
      </c>
      <c r="BY2566" s="0" t="s">
        <v>155</v>
      </c>
      <c r="CA2566" s="0" t="s">
        <v>154</v>
      </c>
      <c r="CG2566" s="0" t="s">
        <v>154</v>
      </c>
      <c r="CK2566" s="0" t="s">
        <v>154</v>
      </c>
      <c r="CP2566" s="0" t="s">
        <v>154</v>
      </c>
      <c r="DC2566" s="0" t="s">
        <v>154</v>
      </c>
      <c r="DI2566" s="0" t="s">
        <v>154</v>
      </c>
      <c r="DN2566" s="0" t="s">
        <v>154</v>
      </c>
      <c r="DS2566" s="0" t="s">
        <v>155</v>
      </c>
      <c r="DU2566" s="0" t="s">
        <v>154</v>
      </c>
      <c r="DW2566" s="0" t="s">
        <v>155</v>
      </c>
      <c r="EF2566" s="0" t="s">
        <v>154</v>
      </c>
    </row>
    <row r="2567" customFormat="false" ht="13.8" hidden="false" customHeight="false" outlineLevel="0" collapsed="false">
      <c r="A2567" s="0" t="s">
        <v>11031</v>
      </c>
      <c r="B2567" s="0" t="n">
        <v>78</v>
      </c>
      <c r="C2567" s="0" t="n">
        <v>384331</v>
      </c>
      <c r="D2567" s="0" t="s">
        <v>11032</v>
      </c>
      <c r="E2567" s="0" t="s">
        <v>1199</v>
      </c>
      <c r="F2567" s="0" t="str">
        <f aca="false">CONCATENATE(D2567," ",LEFT(H2567,4),"T=",AU2567,"D=",AV2567,"R=",AW2567,"M=",AX2567,"L=",AY2567,"B=",AZ2567)</f>
        <v>MEROLILLO T=3D=0R=0M=2L=7B=1</v>
      </c>
      <c r="G2567" s="0" t="s">
        <v>188</v>
      </c>
      <c r="I2567" s="0" t="s">
        <v>11033</v>
      </c>
      <c r="J2567" s="0" t="s">
        <v>2512</v>
      </c>
      <c r="K2567" s="0" t="s">
        <v>175</v>
      </c>
      <c r="L2567" s="1" t="s">
        <v>155</v>
      </c>
      <c r="M2567" s="0" t="s">
        <v>11034</v>
      </c>
      <c r="N2567" s="0" t="str">
        <f aca="false">RIGHT(M2567,LEN(M2567)-FIND(" ",M2567))</f>
        <v>SHERIDAN AVE NE</v>
      </c>
      <c r="P2567" s="0" t="s">
        <v>146</v>
      </c>
      <c r="Q2567" s="0" t="s">
        <v>147</v>
      </c>
      <c r="R2567" s="0" t="n">
        <v>44483</v>
      </c>
      <c r="AD2567" s="0" t="s">
        <v>148</v>
      </c>
      <c r="AE2567" s="0" t="s">
        <v>149</v>
      </c>
      <c r="AF2567" s="0" t="s">
        <v>150</v>
      </c>
      <c r="AH2567" s="0" t="n">
        <v>14</v>
      </c>
      <c r="AI2567" s="0" t="n">
        <v>11</v>
      </c>
      <c r="AN2567" s="0" t="s">
        <v>146</v>
      </c>
      <c r="AO2567" s="0" t="s">
        <v>236</v>
      </c>
      <c r="AP2567" s="0" t="s">
        <v>237</v>
      </c>
      <c r="AQ2567" s="0" t="n">
        <v>9</v>
      </c>
      <c r="AR2567" s="0" t="n">
        <v>64</v>
      </c>
      <c r="AS2567" s="0" t="n">
        <v>32</v>
      </c>
      <c r="AU2567" s="0" t="n">
        <f aca="false">COUNTA($BA$38:$EH$38)</f>
        <v>3</v>
      </c>
      <c r="AV2567" s="0" t="n">
        <f aca="false">COUNTIF($BA$38:$EH$38,"D")</f>
        <v>0</v>
      </c>
      <c r="AW2567" s="0" t="n">
        <f aca="false">COUNTIF($BA$38:$EH$38,"R")</f>
        <v>0</v>
      </c>
      <c r="AX2567" s="0" t="n">
        <f aca="false"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>2</v>
      </c>
      <c r="AY2567" s="0" t="n">
        <f aca="false">COUNTIF(DU2567:EH2567, "&lt;&gt;")</f>
        <v>7</v>
      </c>
      <c r="AZ2567" s="0" t="n">
        <f aca="false">IF(EH2567&lt;&gt;"",1,0)</f>
        <v>1</v>
      </c>
      <c r="BB2567" s="0" t="s">
        <v>153</v>
      </c>
      <c r="BC2567" s="0" t="s">
        <v>154</v>
      </c>
      <c r="BD2567" s="0" t="s">
        <v>154</v>
      </c>
      <c r="CP2567" s="0" t="s">
        <v>154</v>
      </c>
      <c r="DC2567" s="0" t="s">
        <v>154</v>
      </c>
      <c r="DN2567" s="0" t="s">
        <v>154</v>
      </c>
      <c r="DR2567" s="0" t="s">
        <v>154</v>
      </c>
      <c r="DS2567" s="0" t="s">
        <v>176</v>
      </c>
      <c r="DT2567" s="0" t="s">
        <v>176</v>
      </c>
      <c r="DU2567" s="0" t="s">
        <v>154</v>
      </c>
      <c r="DW2567" s="0" t="s">
        <v>155</v>
      </c>
      <c r="DX2567" s="0" t="s">
        <v>154</v>
      </c>
      <c r="EA2567" s="0" t="s">
        <v>154</v>
      </c>
      <c r="ED2567" s="0" t="s">
        <v>176</v>
      </c>
      <c r="EF2567" s="0" t="s">
        <v>154</v>
      </c>
      <c r="EH2567" s="0" t="s">
        <v>155</v>
      </c>
    </row>
    <row r="2568" customFormat="false" ht="13.8" hidden="true" customHeight="false" outlineLevel="0" collapsed="false">
      <c r="A2568" s="0" t="s">
        <v>11035</v>
      </c>
      <c r="B2568" s="0" t="n">
        <v>78</v>
      </c>
      <c r="C2568" s="0" t="n">
        <v>446538</v>
      </c>
      <c r="D2568" s="0" t="s">
        <v>10748</v>
      </c>
      <c r="E2568" s="0" t="s">
        <v>187</v>
      </c>
      <c r="F2568" s="0" t="str">
        <f aca="false">CONCATENATE(D2568," ",LEFT(H2568,4),"T=",AU2568,"D=",AV2568,"R=",AW2568,"M=",AX2568,"L=",AY2568,"B=",AZ2568)</f>
        <v>YOUNGBLOOD T=2D=0R=0M=0L=1B=0</v>
      </c>
      <c r="G2568" s="0" t="s">
        <v>176</v>
      </c>
      <c r="I2568" s="0" t="s">
        <v>11036</v>
      </c>
      <c r="J2568" s="0" t="s">
        <v>2780</v>
      </c>
      <c r="K2568" s="0" t="s">
        <v>175</v>
      </c>
      <c r="L2568" s="0"/>
      <c r="M2568" s="0" t="s">
        <v>11037</v>
      </c>
      <c r="N2568" s="0" t="str">
        <f aca="false">RIGHT(M2568,LEN(M2568)-FIND(" ",M2568))</f>
        <v>SHERIDAN AVE NE</v>
      </c>
      <c r="P2568" s="0" t="s">
        <v>146</v>
      </c>
      <c r="Q2568" s="0" t="s">
        <v>147</v>
      </c>
      <c r="R2568" s="0" t="n">
        <v>44483</v>
      </c>
      <c r="AD2568" s="0" t="s">
        <v>148</v>
      </c>
      <c r="AE2568" s="0" t="s">
        <v>149</v>
      </c>
      <c r="AF2568" s="0" t="s">
        <v>150</v>
      </c>
      <c r="AH2568" s="0" t="n">
        <v>14</v>
      </c>
      <c r="AI2568" s="0" t="n">
        <v>11</v>
      </c>
      <c r="AN2568" s="0" t="s">
        <v>146</v>
      </c>
      <c r="AO2568" s="0" t="s">
        <v>236</v>
      </c>
      <c r="AP2568" s="0" t="s">
        <v>237</v>
      </c>
      <c r="AQ2568" s="0" t="n">
        <v>9</v>
      </c>
      <c r="AR2568" s="0" t="n">
        <v>64</v>
      </c>
      <c r="AS2568" s="0" t="n">
        <v>32</v>
      </c>
      <c r="AU2568" s="0" t="n">
        <f aca="false">COUNTA($BA$526:$EH$526)</f>
        <v>2</v>
      </c>
      <c r="AV2568" s="0" t="n">
        <f aca="false">COUNTIF($BA$526:$EH$526,"D")</f>
        <v>0</v>
      </c>
      <c r="AW2568" s="0" t="n">
        <f aca="false">COUNTIF($BA$526:$EH$526,"R")</f>
        <v>0</v>
      </c>
      <c r="AX2568" s="0" t="n">
        <f aca="false"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>0</v>
      </c>
      <c r="AY2568" s="0" t="n">
        <f aca="false">COUNTIF(DU2568:EH2568, "&lt;&gt;")</f>
        <v>1</v>
      </c>
      <c r="AZ2568" s="0" t="n">
        <f aca="false">IF(EH2568&lt;&gt;"",1,0)</f>
        <v>0</v>
      </c>
      <c r="BB2568" s="0" t="s">
        <v>153</v>
      </c>
      <c r="DN2568" s="0" t="s">
        <v>154</v>
      </c>
      <c r="EF2568" s="0" t="s">
        <v>154</v>
      </c>
    </row>
    <row r="2569" customFormat="false" ht="13.8" hidden="true" customHeight="false" outlineLevel="0" collapsed="false">
      <c r="A2569" s="0" t="s">
        <v>11038</v>
      </c>
      <c r="B2569" s="0" t="n">
        <v>78</v>
      </c>
      <c r="C2569" s="0" t="n">
        <v>374078</v>
      </c>
      <c r="D2569" s="0" t="s">
        <v>10748</v>
      </c>
      <c r="E2569" s="0" t="s">
        <v>266</v>
      </c>
      <c r="F2569" s="0" t="str">
        <f aca="false">CONCATENATE(D2569," ",LEFT(H2569,4),"T=",AU2569,"D=",AV2569,"R=",AW2569,"M=",AX2569,"L=",AY2569,"B=",AZ2569)</f>
        <v>YOUNGBLOOD T=18D=1R=0M=2L=1B=0</v>
      </c>
      <c r="G2569" s="0" t="s">
        <v>188</v>
      </c>
      <c r="I2569" s="0" t="s">
        <v>11039</v>
      </c>
      <c r="J2569" s="0" t="s">
        <v>11040</v>
      </c>
      <c r="K2569" s="0" t="s">
        <v>175</v>
      </c>
      <c r="L2569" s="0"/>
      <c r="M2569" s="0" t="s">
        <v>11037</v>
      </c>
      <c r="N2569" s="0" t="str">
        <f aca="false">RIGHT(M2569,LEN(M2569)-FIND(" ",M2569))</f>
        <v>SHERIDAN AVE NE</v>
      </c>
      <c r="P2569" s="0" t="s">
        <v>146</v>
      </c>
      <c r="Q2569" s="0" t="s">
        <v>147</v>
      </c>
      <c r="R2569" s="0" t="n">
        <v>44483</v>
      </c>
      <c r="AD2569" s="0" t="s">
        <v>148</v>
      </c>
      <c r="AE2569" s="0" t="s">
        <v>149</v>
      </c>
      <c r="AF2569" s="0" t="s">
        <v>150</v>
      </c>
      <c r="AH2569" s="0" t="n">
        <v>14</v>
      </c>
      <c r="AI2569" s="0" t="n">
        <v>11</v>
      </c>
      <c r="AN2569" s="0" t="s">
        <v>146</v>
      </c>
      <c r="AO2569" s="0" t="s">
        <v>236</v>
      </c>
      <c r="AP2569" s="0" t="s">
        <v>237</v>
      </c>
      <c r="AQ2569" s="0" t="n">
        <v>9</v>
      </c>
      <c r="AR2569" s="0" t="n">
        <v>64</v>
      </c>
      <c r="AS2569" s="0" t="n">
        <v>32</v>
      </c>
      <c r="AU2569" s="0" t="n">
        <f aca="false">COUNTA($BA$664:$EH$664)</f>
        <v>18</v>
      </c>
      <c r="AV2569" s="0" t="n">
        <f aca="false">COUNTIF($BA$664:$EH$664,"D")</f>
        <v>1</v>
      </c>
      <c r="AW2569" s="0" t="n">
        <f aca="false">COUNTIF($BA$664:$EH$664,"R")</f>
        <v>0</v>
      </c>
      <c r="AX2569" s="0" t="n">
        <f aca="false"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>2</v>
      </c>
      <c r="AY2569" s="0" t="n">
        <f aca="false">COUNTIF(DU2569:EH2569, "&lt;&gt;")</f>
        <v>1</v>
      </c>
      <c r="AZ2569" s="0" t="n">
        <f aca="false">IF(EH2569&lt;&gt;"",1,0)</f>
        <v>0</v>
      </c>
      <c r="BB2569" s="0" t="s">
        <v>153</v>
      </c>
      <c r="CH2569" s="0" t="s">
        <v>155</v>
      </c>
      <c r="CK2569" s="0" t="s">
        <v>154</v>
      </c>
      <c r="CL2569" s="0" t="s">
        <v>155</v>
      </c>
      <c r="CN2569" s="0" t="s">
        <v>154</v>
      </c>
      <c r="CO2569" s="0" t="s">
        <v>155</v>
      </c>
      <c r="CP2569" s="0" t="s">
        <v>154</v>
      </c>
      <c r="CQ2569" s="0" t="s">
        <v>155</v>
      </c>
      <c r="DN2569" s="0" t="s">
        <v>154</v>
      </c>
      <c r="EF2569" s="0" t="s">
        <v>154</v>
      </c>
    </row>
    <row r="2570" customFormat="false" ht="13.8" hidden="true" customHeight="false" outlineLevel="0" collapsed="false">
      <c r="A2570" s="0" t="s">
        <v>11041</v>
      </c>
      <c r="B2570" s="0" t="n">
        <v>78</v>
      </c>
      <c r="C2570" s="0" t="n">
        <v>431585</v>
      </c>
      <c r="D2570" s="0" t="s">
        <v>11042</v>
      </c>
      <c r="E2570" s="0" t="s">
        <v>2973</v>
      </c>
      <c r="F2570" s="0" t="str">
        <f aca="false">CONCATENATE(D2570," ",LEFT(H2570,4),"T=",AU2570,"D=",AV2570,"R=",AW2570,"M=",AX2570,"L=",AY2570,"B=",AZ2570)</f>
        <v>STUDMIRE T=2D=0R=0M=0L=1B=0</v>
      </c>
      <c r="G2570" s="0" t="s">
        <v>196</v>
      </c>
      <c r="I2570" s="0" t="s">
        <v>11043</v>
      </c>
      <c r="J2570" s="0" t="s">
        <v>5707</v>
      </c>
      <c r="K2570" s="0" t="s">
        <v>175</v>
      </c>
      <c r="L2570" s="0"/>
      <c r="M2570" s="0" t="s">
        <v>11044</v>
      </c>
      <c r="N2570" s="0" t="str">
        <f aca="false">RIGHT(M2570,LEN(M2570)-FIND(" ",M2570))</f>
        <v>SHERIDAN AVE NE</v>
      </c>
      <c r="P2570" s="0" t="s">
        <v>146</v>
      </c>
      <c r="Q2570" s="0" t="s">
        <v>147</v>
      </c>
      <c r="R2570" s="0" t="n">
        <v>44483</v>
      </c>
      <c r="AD2570" s="0" t="s">
        <v>148</v>
      </c>
      <c r="AE2570" s="0" t="s">
        <v>149</v>
      </c>
      <c r="AF2570" s="0" t="s">
        <v>150</v>
      </c>
      <c r="AH2570" s="0" t="n">
        <v>14</v>
      </c>
      <c r="AI2570" s="0" t="n">
        <v>11</v>
      </c>
      <c r="AN2570" s="0" t="s">
        <v>146</v>
      </c>
      <c r="AO2570" s="0" t="s">
        <v>236</v>
      </c>
      <c r="AP2570" s="0" t="s">
        <v>237</v>
      </c>
      <c r="AQ2570" s="0" t="n">
        <v>9</v>
      </c>
      <c r="AR2570" s="0" t="n">
        <v>64</v>
      </c>
      <c r="AS2570" s="0" t="n">
        <v>32</v>
      </c>
      <c r="AU2570" s="0" t="n">
        <f aca="false">COUNTA($BA$370:$EH$370)</f>
        <v>2</v>
      </c>
      <c r="AV2570" s="0" t="n">
        <f aca="false">COUNTIF($BA$370:$EH$370,"D")</f>
        <v>0</v>
      </c>
      <c r="AW2570" s="0" t="n">
        <f aca="false">COUNTIF($BA$370:$EH$370,"R")</f>
        <v>0</v>
      </c>
      <c r="AX2570" s="0" t="n">
        <f aca="false"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>0</v>
      </c>
      <c r="AY2570" s="0" t="n">
        <f aca="false">COUNTIF(DU2570:EH2570, "&lt;&gt;")</f>
        <v>1</v>
      </c>
      <c r="AZ2570" s="0" t="n">
        <f aca="false">IF(EH2570&lt;&gt;"",1,0)</f>
        <v>0</v>
      </c>
      <c r="BB2570" s="0" t="s">
        <v>153</v>
      </c>
      <c r="BL2570" s="0" t="s">
        <v>154</v>
      </c>
      <c r="BS2570" s="0" t="s">
        <v>154</v>
      </c>
      <c r="BY2570" s="0" t="s">
        <v>155</v>
      </c>
      <c r="CA2570" s="0" t="s">
        <v>154</v>
      </c>
      <c r="CP2570" s="0" t="s">
        <v>154</v>
      </c>
      <c r="DC2570" s="0" t="s">
        <v>154</v>
      </c>
      <c r="DI2570" s="0" t="s">
        <v>154</v>
      </c>
      <c r="DN2570" s="0" t="s">
        <v>154</v>
      </c>
      <c r="EF2570" s="0" t="s">
        <v>154</v>
      </c>
    </row>
    <row r="2571" customFormat="false" ht="13.8" hidden="true" customHeight="false" outlineLevel="0" collapsed="false">
      <c r="A2571" s="0" t="s">
        <v>11045</v>
      </c>
      <c r="B2571" s="0" t="n">
        <v>78</v>
      </c>
      <c r="C2571" s="0" t="n">
        <v>382672</v>
      </c>
      <c r="D2571" s="0" t="s">
        <v>11046</v>
      </c>
      <c r="E2571" s="0" t="s">
        <v>652</v>
      </c>
      <c r="F2571" s="0" t="str">
        <f aca="false">CONCATENATE(D2571," ",LEFT(H2571,4),"T=",AU2571,"D=",AV2571,"R=",AW2571,"M=",AX2571,"L=",AY2571,"B=",AZ2571)</f>
        <v>MCCLURG T=4D=1R=0M=0L=0B=0</v>
      </c>
      <c r="G2571" s="0" t="s">
        <v>1374</v>
      </c>
      <c r="I2571" s="0" t="s">
        <v>4134</v>
      </c>
      <c r="J2571" s="0" t="s">
        <v>11047</v>
      </c>
      <c r="K2571" s="0" t="s">
        <v>175</v>
      </c>
      <c r="L2571" s="0"/>
      <c r="M2571" s="0" t="s">
        <v>11048</v>
      </c>
      <c r="N2571" s="0" t="str">
        <f aca="false">RIGHT(M2571,LEN(M2571)-FIND(" ",M2571))</f>
        <v>SUMMIT ST NW</v>
      </c>
      <c r="P2571" s="0" t="s">
        <v>146</v>
      </c>
      <c r="Q2571" s="0" t="s">
        <v>147</v>
      </c>
      <c r="R2571" s="0" t="n">
        <v>44483</v>
      </c>
      <c r="AD2571" s="0" t="s">
        <v>148</v>
      </c>
      <c r="AE2571" s="0" t="s">
        <v>149</v>
      </c>
      <c r="AF2571" s="0" t="s">
        <v>150</v>
      </c>
      <c r="AH2571" s="0" t="n">
        <v>14</v>
      </c>
      <c r="AI2571" s="0" t="n">
        <v>11</v>
      </c>
      <c r="AN2571" s="0" t="s">
        <v>146</v>
      </c>
      <c r="AO2571" s="0" t="s">
        <v>151</v>
      </c>
      <c r="AP2571" s="0" t="s">
        <v>152</v>
      </c>
      <c r="AQ2571" s="0" t="n">
        <v>9</v>
      </c>
      <c r="AR2571" s="0" t="n">
        <v>64</v>
      </c>
      <c r="AS2571" s="0" t="n">
        <v>32</v>
      </c>
      <c r="AU2571" s="0" t="n">
        <f aca="false">COUNTA($BA$1584:$EH$1584)</f>
        <v>4</v>
      </c>
      <c r="AV2571" s="0" t="n">
        <f aca="false">COUNTIF($BA$1584:$EH$1584,"D")</f>
        <v>1</v>
      </c>
      <c r="AW2571" s="0" t="n">
        <f aca="false">COUNTIF($BA$1584:$EH$1584,"R")</f>
        <v>0</v>
      </c>
      <c r="AX2571" s="0" t="n">
        <f aca="false"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>0</v>
      </c>
      <c r="AY2571" s="0" t="n">
        <f aca="false">COUNTIF(DU2571:EH2571, "&lt;&gt;")</f>
        <v>0</v>
      </c>
      <c r="AZ2571" s="0" t="n">
        <f aca="false">IF(EH2571&lt;&gt;"",1,0)</f>
        <v>0</v>
      </c>
      <c r="BB2571" s="0" t="s">
        <v>153</v>
      </c>
    </row>
    <row r="2572" customFormat="false" ht="13.8" hidden="true" customHeight="false" outlineLevel="0" collapsed="false">
      <c r="A2572" s="0" t="s">
        <v>11049</v>
      </c>
      <c r="B2572" s="0" t="n">
        <v>78</v>
      </c>
      <c r="C2572" s="0" t="n">
        <v>431406</v>
      </c>
      <c r="D2572" s="0" t="s">
        <v>11050</v>
      </c>
      <c r="E2572" s="0" t="s">
        <v>374</v>
      </c>
      <c r="F2572" s="0" t="str">
        <f aca="false">CONCATENATE(D2572," ",LEFT(H2572,4),"T=",AU2572,"D=",AV2572,"R=",AW2572,"M=",AX2572,"L=",AY2572,"B=",AZ2572)</f>
        <v>EMERINE T=15D=3R=1M=0L=0B=0</v>
      </c>
      <c r="G2572" s="0" t="s">
        <v>283</v>
      </c>
      <c r="I2572" s="0" t="s">
        <v>9377</v>
      </c>
      <c r="J2572" s="0" t="s">
        <v>11051</v>
      </c>
      <c r="K2572" s="0" t="s">
        <v>175</v>
      </c>
      <c r="L2572" s="0"/>
      <c r="M2572" s="0" t="s">
        <v>11048</v>
      </c>
      <c r="N2572" s="0" t="str">
        <f aca="false">RIGHT(M2572,LEN(M2572)-FIND(" ",M2572))</f>
        <v>SUMMIT ST NW</v>
      </c>
      <c r="P2572" s="0" t="s">
        <v>146</v>
      </c>
      <c r="Q2572" s="0" t="s">
        <v>147</v>
      </c>
      <c r="R2572" s="0" t="n">
        <v>44483</v>
      </c>
      <c r="AD2572" s="0" t="s">
        <v>148</v>
      </c>
      <c r="AE2572" s="0" t="s">
        <v>149</v>
      </c>
      <c r="AF2572" s="0" t="s">
        <v>150</v>
      </c>
      <c r="AH2572" s="0" t="n">
        <v>14</v>
      </c>
      <c r="AI2572" s="0" t="n">
        <v>11</v>
      </c>
      <c r="AN2572" s="0" t="s">
        <v>146</v>
      </c>
      <c r="AO2572" s="0" t="s">
        <v>151</v>
      </c>
      <c r="AP2572" s="0" t="s">
        <v>152</v>
      </c>
      <c r="AQ2572" s="0" t="n">
        <v>9</v>
      </c>
      <c r="AR2572" s="0" t="n">
        <v>64</v>
      </c>
      <c r="AS2572" s="0" t="n">
        <v>32</v>
      </c>
      <c r="AU2572" s="0" t="n">
        <f aca="false">COUNTA($BA$1762:$EH$1762)</f>
        <v>15</v>
      </c>
      <c r="AV2572" s="0" t="n">
        <f aca="false">COUNTIF($BA$1762:$EH$1762,"D")</f>
        <v>3</v>
      </c>
      <c r="AW2572" s="0" t="n">
        <f aca="false">COUNTIF($BA$1762:$EH$1762,"R")</f>
        <v>1</v>
      </c>
      <c r="AX2572" s="0" t="n">
        <f aca="false"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>0</v>
      </c>
      <c r="AY2572" s="0" t="n">
        <f aca="false">COUNTIF(DU2572:EH2572, "&lt;&gt;")</f>
        <v>0</v>
      </c>
      <c r="AZ2572" s="0" t="n">
        <f aca="false">IF(EH2572&lt;&gt;"",1,0)</f>
        <v>0</v>
      </c>
      <c r="BB2572" s="0" t="s">
        <v>153</v>
      </c>
    </row>
    <row r="2573" customFormat="false" ht="13.8" hidden="false" customHeight="false" outlineLevel="0" collapsed="false">
      <c r="A2573" s="0" t="s">
        <v>11052</v>
      </c>
      <c r="B2573" s="0" t="n">
        <v>78</v>
      </c>
      <c r="C2573" s="0" t="n">
        <v>357346</v>
      </c>
      <c r="D2573" s="0" t="s">
        <v>11053</v>
      </c>
      <c r="E2573" s="0" t="s">
        <v>2577</v>
      </c>
      <c r="F2573" s="0" t="str">
        <f aca="false">CONCATENATE(D2573," ",LEFT(H2573,4),"T=",AU2573,"D=",AV2573,"R=",AW2573,"M=",AX2573,"L=",AY2573,"B=",AZ2573)</f>
        <v>PHELPS T=1D=0R=0M=1L=3B=0</v>
      </c>
      <c r="G2573" s="0" t="s">
        <v>4695</v>
      </c>
      <c r="I2573" s="0" t="s">
        <v>11054</v>
      </c>
      <c r="J2573" s="0" t="s">
        <v>11055</v>
      </c>
      <c r="K2573" s="0" t="s">
        <v>175</v>
      </c>
      <c r="M2573" s="0" t="s">
        <v>11056</v>
      </c>
      <c r="N2573" s="0" t="str">
        <f aca="false">RIGHT(M2573,LEN(M2573)-FIND(" ",M2573))</f>
        <v>SUMMIT ST NW</v>
      </c>
      <c r="P2573" s="0" t="s">
        <v>146</v>
      </c>
      <c r="Q2573" s="0" t="s">
        <v>147</v>
      </c>
      <c r="R2573" s="0" t="n">
        <v>44483</v>
      </c>
      <c r="AD2573" s="0" t="s">
        <v>148</v>
      </c>
      <c r="AE2573" s="0" t="s">
        <v>149</v>
      </c>
      <c r="AF2573" s="0" t="s">
        <v>150</v>
      </c>
      <c r="AH2573" s="0" t="n">
        <v>14</v>
      </c>
      <c r="AI2573" s="0" t="n">
        <v>11</v>
      </c>
      <c r="AN2573" s="0" t="s">
        <v>146</v>
      </c>
      <c r="AO2573" s="0" t="s">
        <v>151</v>
      </c>
      <c r="AP2573" s="0" t="s">
        <v>152</v>
      </c>
      <c r="AQ2573" s="0" t="n">
        <v>9</v>
      </c>
      <c r="AR2573" s="0" t="n">
        <v>64</v>
      </c>
      <c r="AS2573" s="0" t="n">
        <v>32</v>
      </c>
      <c r="AU2573" s="0" t="n">
        <f aca="false">COUNTA($BA$2011:$EH$2011)</f>
        <v>1</v>
      </c>
      <c r="AV2573" s="0" t="n">
        <f aca="false">COUNTIF($BA$2011:$EH$2011,"D")</f>
        <v>0</v>
      </c>
      <c r="AW2573" s="0" t="n">
        <f aca="false">COUNTIF($BA$2011:$EH$2011,"R")</f>
        <v>0</v>
      </c>
      <c r="AX2573" s="0" t="n">
        <f aca="false"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>1</v>
      </c>
      <c r="AY2573" s="0" t="n">
        <f aca="false">COUNTIF(DU2573:EH2573, "&lt;&gt;")</f>
        <v>3</v>
      </c>
      <c r="AZ2573" s="0" t="n">
        <f aca="false">IF(EH2573&lt;&gt;"",1,0)</f>
        <v>0</v>
      </c>
      <c r="BB2573" s="0" t="s">
        <v>153</v>
      </c>
      <c r="CA2573" s="0" t="s">
        <v>154</v>
      </c>
      <c r="CK2573" s="0" t="s">
        <v>154</v>
      </c>
      <c r="CL2573" s="0" t="s">
        <v>155</v>
      </c>
      <c r="CP2573" s="0" t="s">
        <v>154</v>
      </c>
      <c r="CZ2573" s="0" t="s">
        <v>155</v>
      </c>
      <c r="DC2573" s="0" t="s">
        <v>154</v>
      </c>
      <c r="DN2573" s="0" t="s">
        <v>154</v>
      </c>
      <c r="DU2573" s="0" t="s">
        <v>154</v>
      </c>
      <c r="DX2573" s="0" t="s">
        <v>154</v>
      </c>
      <c r="EF2573" s="0" t="s">
        <v>154</v>
      </c>
    </row>
    <row r="2574" customFormat="false" ht="13.8" hidden="false" customHeight="false" outlineLevel="0" collapsed="false">
      <c r="A2574" s="0" t="s">
        <v>11057</v>
      </c>
      <c r="B2574" s="0" t="n">
        <v>78</v>
      </c>
      <c r="C2574" s="0" t="n">
        <v>366400</v>
      </c>
      <c r="D2574" s="0" t="s">
        <v>790</v>
      </c>
      <c r="E2574" s="0" t="s">
        <v>3440</v>
      </c>
      <c r="F2574" s="0" t="str">
        <f aca="false">CONCATENATE(D2574," ",LEFT(H2574,4),"T=",AU2574,"D=",AV2574,"R=",AW2574,"M=",AX2574,"L=",AY2574,"B=",AZ2574)</f>
        <v>KING T=2D=0R=0M=0L=2B=0</v>
      </c>
      <c r="G2574" s="0" t="s">
        <v>3942</v>
      </c>
      <c r="I2574" s="0" t="s">
        <v>11058</v>
      </c>
      <c r="J2574" s="0" t="s">
        <v>8942</v>
      </c>
      <c r="K2574" s="0" t="s">
        <v>175</v>
      </c>
      <c r="M2574" s="0" t="s">
        <v>11056</v>
      </c>
      <c r="N2574" s="0" t="str">
        <f aca="false">RIGHT(M2574,LEN(M2574)-FIND(" ",M2574))</f>
        <v>SUMMIT ST NW</v>
      </c>
      <c r="P2574" s="0" t="s">
        <v>146</v>
      </c>
      <c r="Q2574" s="0" t="s">
        <v>147</v>
      </c>
      <c r="R2574" s="0" t="n">
        <v>44483</v>
      </c>
      <c r="AD2574" s="0" t="s">
        <v>148</v>
      </c>
      <c r="AE2574" s="0" t="s">
        <v>149</v>
      </c>
      <c r="AF2574" s="0" t="s">
        <v>150</v>
      </c>
      <c r="AH2574" s="0" t="n">
        <v>14</v>
      </c>
      <c r="AI2574" s="0" t="n">
        <v>11</v>
      </c>
      <c r="AN2574" s="0" t="s">
        <v>146</v>
      </c>
      <c r="AO2574" s="0" t="s">
        <v>151</v>
      </c>
      <c r="AP2574" s="0" t="s">
        <v>152</v>
      </c>
      <c r="AQ2574" s="0" t="n">
        <v>9</v>
      </c>
      <c r="AR2574" s="0" t="n">
        <v>64</v>
      </c>
      <c r="AS2574" s="0" t="n">
        <v>32</v>
      </c>
      <c r="AU2574" s="0" t="n">
        <f aca="false">COUNTA($BA$2013:$EH$2013)</f>
        <v>2</v>
      </c>
      <c r="AV2574" s="0" t="n">
        <f aca="false">COUNTIF($BA$2013:$EH$2013,"D")</f>
        <v>0</v>
      </c>
      <c r="AW2574" s="0" t="n">
        <f aca="false">COUNTIF($BA$2013:$EH$2013,"R")</f>
        <v>0</v>
      </c>
      <c r="AX2574" s="0" t="n">
        <f aca="false"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>0</v>
      </c>
      <c r="AY2574" s="0" t="n">
        <f aca="false">COUNTIF(DU2574:EH2574, "&lt;&gt;")</f>
        <v>2</v>
      </c>
      <c r="AZ2574" s="0" t="n">
        <f aca="false">IF(EH2574&lt;&gt;"",1,0)</f>
        <v>0</v>
      </c>
      <c r="BB2574" s="0" t="s">
        <v>153</v>
      </c>
      <c r="CA2574" s="0" t="s">
        <v>154</v>
      </c>
      <c r="CN2574" s="0" t="s">
        <v>154</v>
      </c>
      <c r="CP2574" s="0" t="s">
        <v>154</v>
      </c>
      <c r="CZ2574" s="0" t="s">
        <v>155</v>
      </c>
      <c r="DC2574" s="0" t="s">
        <v>154</v>
      </c>
      <c r="DN2574" s="0" t="s">
        <v>154</v>
      </c>
      <c r="EA2574" s="0" t="s">
        <v>154</v>
      </c>
      <c r="EF2574" s="0" t="s">
        <v>154</v>
      </c>
    </row>
    <row r="2575" customFormat="false" ht="13.8" hidden="true" customHeight="false" outlineLevel="0" collapsed="false">
      <c r="A2575" s="0" t="s">
        <v>11059</v>
      </c>
      <c r="B2575" s="0" t="n">
        <v>78</v>
      </c>
      <c r="C2575" s="0" t="n">
        <v>445608</v>
      </c>
      <c r="D2575" s="0" t="s">
        <v>11060</v>
      </c>
      <c r="E2575" s="0" t="s">
        <v>6090</v>
      </c>
      <c r="F2575" s="0" t="str">
        <f aca="false">CONCATENATE(D2575," ",LEFT(H2575,4),"T=",AU2575,"D=",AV2575,"R=",AW2575,"M=",AX2575,"L=",AY2575,"B=",AZ2575)</f>
        <v>TURSACK T=30D=5R=0M=0L=0B=0</v>
      </c>
      <c r="G2575" s="0" t="s">
        <v>297</v>
      </c>
      <c r="I2575" s="0" t="s">
        <v>11061</v>
      </c>
      <c r="J2575" s="0" t="s">
        <v>2815</v>
      </c>
      <c r="K2575" s="0" t="s">
        <v>144</v>
      </c>
      <c r="L2575" s="0"/>
      <c r="M2575" s="0" t="s">
        <v>11062</v>
      </c>
      <c r="N2575" s="0" t="str">
        <f aca="false">RIGHT(M2575,LEN(M2575)-FIND(" ",M2575))</f>
        <v>SUMMIT ST NW</v>
      </c>
      <c r="O2575" s="0" t="s">
        <v>420</v>
      </c>
      <c r="P2575" s="0" t="s">
        <v>146</v>
      </c>
      <c r="Q2575" s="0" t="s">
        <v>147</v>
      </c>
      <c r="R2575" s="0" t="n">
        <v>44483</v>
      </c>
      <c r="AD2575" s="0" t="s">
        <v>148</v>
      </c>
      <c r="AE2575" s="0" t="s">
        <v>149</v>
      </c>
      <c r="AF2575" s="0" t="s">
        <v>150</v>
      </c>
      <c r="AH2575" s="0" t="n">
        <v>14</v>
      </c>
      <c r="AI2575" s="0" t="n">
        <v>11</v>
      </c>
      <c r="AN2575" s="0" t="s">
        <v>146</v>
      </c>
      <c r="AO2575" s="0" t="s">
        <v>151</v>
      </c>
      <c r="AP2575" s="0" t="s">
        <v>152</v>
      </c>
      <c r="AQ2575" s="0" t="n">
        <v>9</v>
      </c>
      <c r="AR2575" s="0" t="n">
        <v>64</v>
      </c>
      <c r="AS2575" s="0" t="n">
        <v>32</v>
      </c>
      <c r="AU2575" s="0" t="n">
        <f aca="false">COUNTA($BA$1852:$EH$1852)</f>
        <v>30</v>
      </c>
      <c r="AV2575" s="0" t="n">
        <f aca="false">COUNTIF($BA$1852:$EH$1852,"D")</f>
        <v>5</v>
      </c>
      <c r="AW2575" s="0" t="n">
        <f aca="false">COUNTIF($BA$1852:$EH$1852,"R")</f>
        <v>0</v>
      </c>
      <c r="AX2575" s="0" t="n">
        <f aca="false"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>0</v>
      </c>
      <c r="AY2575" s="0" t="n">
        <f aca="false">COUNTIF(DU2575:EH2575, "&lt;&gt;")</f>
        <v>0</v>
      </c>
      <c r="AZ2575" s="0" t="n">
        <f aca="false">IF(EH2575&lt;&gt;"",1,0)</f>
        <v>0</v>
      </c>
      <c r="BB2575" s="0" t="s">
        <v>153</v>
      </c>
      <c r="DC2575" s="0" t="s">
        <v>154</v>
      </c>
      <c r="DN2575" s="0" t="s">
        <v>154</v>
      </c>
    </row>
    <row r="2576" customFormat="false" ht="13.8" hidden="true" customHeight="false" outlineLevel="0" collapsed="false">
      <c r="A2576" s="0" t="s">
        <v>11063</v>
      </c>
      <c r="B2576" s="0" t="n">
        <v>78</v>
      </c>
      <c r="C2576" s="0" t="n">
        <v>380415</v>
      </c>
      <c r="D2576" s="0" t="s">
        <v>11064</v>
      </c>
      <c r="E2576" s="0" t="s">
        <v>335</v>
      </c>
      <c r="F2576" s="0" t="str">
        <f aca="false">CONCATENATE(D2576," ",LEFT(H2576,4),"T=",AU2576,"D=",AV2576,"R=",AW2576,"M=",AX2576,"L=",AY2576,"B=",AZ2576)</f>
        <v>ALSBROOKS T=6D=1R=0M=0L=0B=0</v>
      </c>
      <c r="G2576" s="0" t="s">
        <v>619</v>
      </c>
      <c r="I2576" s="0" t="s">
        <v>11065</v>
      </c>
      <c r="J2576" s="0" t="s">
        <v>11066</v>
      </c>
      <c r="K2576" s="0" t="s">
        <v>144</v>
      </c>
      <c r="L2576" s="0"/>
      <c r="M2576" s="0" t="s">
        <v>11067</v>
      </c>
      <c r="N2576" s="0" t="str">
        <f aca="false">RIGHT(M2576,LEN(M2576)-FIND(" ",M2576))</f>
        <v>SUMMIT ST NW</v>
      </c>
      <c r="P2576" s="0" t="s">
        <v>146</v>
      </c>
      <c r="Q2576" s="0" t="s">
        <v>147</v>
      </c>
      <c r="R2576" s="0" t="n">
        <v>44483</v>
      </c>
      <c r="AD2576" s="0" t="s">
        <v>148</v>
      </c>
      <c r="AE2576" s="0" t="s">
        <v>149</v>
      </c>
      <c r="AF2576" s="0" t="s">
        <v>150</v>
      </c>
      <c r="AH2576" s="0" t="n">
        <v>14</v>
      </c>
      <c r="AI2576" s="0" t="n">
        <v>11</v>
      </c>
      <c r="AN2576" s="0" t="s">
        <v>146</v>
      </c>
      <c r="AO2576" s="0" t="s">
        <v>151</v>
      </c>
      <c r="AP2576" s="0" t="s">
        <v>152</v>
      </c>
      <c r="AQ2576" s="0" t="n">
        <v>9</v>
      </c>
      <c r="AR2576" s="0" t="n">
        <v>64</v>
      </c>
      <c r="AS2576" s="0" t="n">
        <v>32</v>
      </c>
      <c r="AU2576" s="0" t="n">
        <f aca="false">COUNTA($BA$1383:$EH$1383)</f>
        <v>6</v>
      </c>
      <c r="AV2576" s="0" t="n">
        <f aca="false">COUNTIF($BA$1383:$EH$1383,"D")</f>
        <v>1</v>
      </c>
      <c r="AW2576" s="0" t="n">
        <f aca="false">COUNTIF($BA$1383:$EH$1383,"R")</f>
        <v>0</v>
      </c>
      <c r="AX2576" s="0" t="n">
        <f aca="false"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>0</v>
      </c>
      <c r="AY2576" s="0" t="n">
        <f aca="false">COUNTIF(DU2576:EH2576, "&lt;&gt;")</f>
        <v>0</v>
      </c>
      <c r="AZ2576" s="0" t="n">
        <f aca="false">IF(EH2576&lt;&gt;"",1,0)</f>
        <v>0</v>
      </c>
      <c r="BB2576" s="0" t="s">
        <v>153</v>
      </c>
    </row>
    <row r="2577" customFormat="false" ht="13.8" hidden="true" customHeight="false" outlineLevel="0" collapsed="false">
      <c r="A2577" s="0" t="s">
        <v>11068</v>
      </c>
      <c r="B2577" s="0" t="n">
        <v>78</v>
      </c>
      <c r="C2577" s="0" t="n">
        <v>463100</v>
      </c>
      <c r="D2577" s="0" t="s">
        <v>11069</v>
      </c>
      <c r="E2577" s="0" t="s">
        <v>277</v>
      </c>
      <c r="F2577" s="0" t="str">
        <f aca="false">CONCATENATE(D2577," ",LEFT(H2577,4),"T=",AU2577,"D=",AV2577,"R=",AW2577,"M=",AX2577,"L=",AY2577,"B=",AZ2577)</f>
        <v>SCHWENTKER JRT=1D=0R=0M=0L=1B=0</v>
      </c>
      <c r="G2577" s="0" t="s">
        <v>188</v>
      </c>
      <c r="H2577" s="0" t="s">
        <v>431</v>
      </c>
      <c r="I2577" s="0" t="s">
        <v>11070</v>
      </c>
      <c r="J2577" s="0" t="s">
        <v>8144</v>
      </c>
      <c r="K2577" s="0" t="s">
        <v>175</v>
      </c>
      <c r="L2577" s="0"/>
      <c r="M2577" s="0" t="s">
        <v>11071</v>
      </c>
      <c r="N2577" s="0" t="str">
        <f aca="false">RIGHT(M2577,LEN(M2577)-FIND(" ",M2577))</f>
        <v>TERRA ALTA ST NE</v>
      </c>
      <c r="P2577" s="0" t="s">
        <v>146</v>
      </c>
      <c r="Q2577" s="0" t="s">
        <v>147</v>
      </c>
      <c r="R2577" s="0" t="n">
        <v>44483</v>
      </c>
      <c r="AD2577" s="0" t="s">
        <v>148</v>
      </c>
      <c r="AE2577" s="0" t="s">
        <v>149</v>
      </c>
      <c r="AF2577" s="0" t="s">
        <v>150</v>
      </c>
      <c r="AH2577" s="0" t="n">
        <v>14</v>
      </c>
      <c r="AI2577" s="0" t="n">
        <v>11</v>
      </c>
      <c r="AN2577" s="0" t="s">
        <v>146</v>
      </c>
      <c r="AO2577" s="0" t="s">
        <v>236</v>
      </c>
      <c r="AP2577" s="0" t="s">
        <v>237</v>
      </c>
      <c r="AQ2577" s="0" t="n">
        <v>9</v>
      </c>
      <c r="AR2577" s="0" t="n">
        <v>64</v>
      </c>
      <c r="AS2577" s="0" t="n">
        <v>32</v>
      </c>
      <c r="AU2577" s="0" t="n">
        <f aca="false">COUNTA($BA$17:$EH$17)</f>
        <v>1</v>
      </c>
      <c r="AV2577" s="0" t="n">
        <f aca="false">COUNTIF($BA$17:$EH$17,"D")</f>
        <v>0</v>
      </c>
      <c r="AW2577" s="0" t="n">
        <f aca="false">COUNTIF($BA$17:$EH$17,"R")</f>
        <v>0</v>
      </c>
      <c r="AX2577" s="0" t="n">
        <f aca="false"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>0</v>
      </c>
      <c r="AY2577" s="0" t="n">
        <f aca="false">COUNTIF(DU2577:EH2577, "&lt;&gt;")</f>
        <v>1</v>
      </c>
      <c r="AZ2577" s="0" t="n">
        <f aca="false">IF(EH2577&lt;&gt;"",1,0)</f>
        <v>0</v>
      </c>
      <c r="BB2577" s="0" t="s">
        <v>153</v>
      </c>
      <c r="CA2577" s="0" t="s">
        <v>154</v>
      </c>
      <c r="CP2577" s="0" t="s">
        <v>154</v>
      </c>
      <c r="DC2577" s="0" t="s">
        <v>154</v>
      </c>
      <c r="DN2577" s="0" t="s">
        <v>154</v>
      </c>
      <c r="EF2577" s="0" t="s">
        <v>154</v>
      </c>
    </row>
    <row r="2578" customFormat="false" ht="13.8" hidden="false" customHeight="false" outlineLevel="0" collapsed="false">
      <c r="A2578" s="0" t="s">
        <v>11072</v>
      </c>
      <c r="B2578" s="0" t="n">
        <v>78</v>
      </c>
      <c r="C2578" s="0" t="n">
        <v>465336</v>
      </c>
      <c r="D2578" s="0" t="s">
        <v>11069</v>
      </c>
      <c r="E2578" s="0" t="s">
        <v>7321</v>
      </c>
      <c r="F2578" s="0" t="str">
        <f aca="false">CONCATENATE(D2578," ",LEFT(H2578,4),"T=",AU2578,"D=",AV2578,"R=",AW2578,"M=",AX2578,"L=",AY2578,"B=",AZ2578)</f>
        <v>SCHWENTKER T=6D=0R=0M=0L=2B=0</v>
      </c>
      <c r="G2578" s="0" t="s">
        <v>690</v>
      </c>
      <c r="I2578" s="0" t="s">
        <v>11073</v>
      </c>
      <c r="J2578" s="0" t="s">
        <v>9844</v>
      </c>
      <c r="K2578" s="0" t="s">
        <v>175</v>
      </c>
      <c r="M2578" s="0" t="s">
        <v>11071</v>
      </c>
      <c r="N2578" s="0" t="str">
        <f aca="false">RIGHT(M2578,LEN(M2578)-FIND(" ",M2578))</f>
        <v>TERRA ALTA ST NE</v>
      </c>
      <c r="P2578" s="0" t="s">
        <v>146</v>
      </c>
      <c r="Q2578" s="0" t="s">
        <v>147</v>
      </c>
      <c r="R2578" s="0" t="n">
        <v>44483</v>
      </c>
      <c r="AD2578" s="0" t="s">
        <v>148</v>
      </c>
      <c r="AE2578" s="0" t="s">
        <v>149</v>
      </c>
      <c r="AF2578" s="0" t="s">
        <v>150</v>
      </c>
      <c r="AH2578" s="0" t="n">
        <v>14</v>
      </c>
      <c r="AI2578" s="0" t="n">
        <v>11</v>
      </c>
      <c r="AN2578" s="0" t="s">
        <v>146</v>
      </c>
      <c r="AO2578" s="0" t="s">
        <v>236</v>
      </c>
      <c r="AP2578" s="0" t="s">
        <v>237</v>
      </c>
      <c r="AQ2578" s="0" t="n">
        <v>9</v>
      </c>
      <c r="AR2578" s="0" t="n">
        <v>64</v>
      </c>
      <c r="AS2578" s="0" t="n">
        <v>32</v>
      </c>
      <c r="AU2578" s="0" t="n">
        <f aca="false">COUNTA($BA$737:$EH$737)</f>
        <v>6</v>
      </c>
      <c r="AV2578" s="0" t="n">
        <f aca="false">COUNTIF($BA$737:$EH$737,"D")</f>
        <v>0</v>
      </c>
      <c r="AW2578" s="0" t="n">
        <f aca="false">COUNTIF($BA$737:$EH$737,"R")</f>
        <v>0</v>
      </c>
      <c r="AX2578" s="0" t="n">
        <f aca="false"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>0</v>
      </c>
      <c r="AY2578" s="0" t="n">
        <f aca="false">COUNTIF(DU2578:EH2578, "&lt;&gt;")</f>
        <v>2</v>
      </c>
      <c r="AZ2578" s="0" t="n">
        <f aca="false">IF(EH2578&lt;&gt;"",1,0)</f>
        <v>0</v>
      </c>
      <c r="BB2578" s="0" t="s">
        <v>153</v>
      </c>
      <c r="BP2578" s="0" t="s">
        <v>154</v>
      </c>
      <c r="BR2578" s="0" t="s">
        <v>155</v>
      </c>
      <c r="BS2578" s="0" t="s">
        <v>154</v>
      </c>
      <c r="CP2578" s="0" t="s">
        <v>154</v>
      </c>
      <c r="CY2578" s="0" t="s">
        <v>154</v>
      </c>
      <c r="CZ2578" s="0" t="s">
        <v>176</v>
      </c>
      <c r="DC2578" s="0" t="s">
        <v>154</v>
      </c>
      <c r="DI2578" s="0" t="s">
        <v>154</v>
      </c>
      <c r="DN2578" s="0" t="s">
        <v>154</v>
      </c>
      <c r="EA2578" s="0" t="s">
        <v>154</v>
      </c>
      <c r="EF2578" s="0" t="s">
        <v>154</v>
      </c>
    </row>
    <row r="2579" customFormat="false" ht="13.8" hidden="false" customHeight="false" outlineLevel="0" collapsed="false">
      <c r="A2579" s="0" t="s">
        <v>11074</v>
      </c>
      <c r="B2579" s="0" t="n">
        <v>78</v>
      </c>
      <c r="C2579" s="0" t="n">
        <v>158593</v>
      </c>
      <c r="D2579" s="0" t="s">
        <v>11075</v>
      </c>
      <c r="E2579" s="0" t="s">
        <v>278</v>
      </c>
      <c r="F2579" s="0" t="str">
        <f aca="false">CONCATENATE(D2579," ",LEFT(H2579,4),"T=",AU2579,"D=",AV2579,"R=",AW2579,"M=",AX2579,"L=",AY2579,"B=",AZ2579)</f>
        <v>CRUSAN T=1D=0R=0M=3L=5B=0</v>
      </c>
      <c r="G2579" s="0" t="s">
        <v>172</v>
      </c>
      <c r="I2579" s="0" t="s">
        <v>11076</v>
      </c>
      <c r="J2579" s="0" t="s">
        <v>11077</v>
      </c>
      <c r="K2579" s="0" t="s">
        <v>175</v>
      </c>
      <c r="L2579" s="1" t="s">
        <v>155</v>
      </c>
      <c r="M2579" s="0" t="s">
        <v>11078</v>
      </c>
      <c r="N2579" s="0" t="str">
        <f aca="false">RIGHT(M2579,LEN(M2579)-FIND(" ",M2579))</f>
        <v>TERRA ALTA ST NE</v>
      </c>
      <c r="P2579" s="0" t="s">
        <v>146</v>
      </c>
      <c r="Q2579" s="0" t="s">
        <v>147</v>
      </c>
      <c r="R2579" s="0" t="n">
        <v>44483</v>
      </c>
      <c r="AD2579" s="0" t="s">
        <v>148</v>
      </c>
      <c r="AE2579" s="0" t="s">
        <v>149</v>
      </c>
      <c r="AF2579" s="0" t="s">
        <v>150</v>
      </c>
      <c r="AH2579" s="0" t="n">
        <v>14</v>
      </c>
      <c r="AI2579" s="0" t="n">
        <v>11</v>
      </c>
      <c r="AN2579" s="0" t="s">
        <v>146</v>
      </c>
      <c r="AO2579" s="0" t="s">
        <v>236</v>
      </c>
      <c r="AP2579" s="0" t="s">
        <v>237</v>
      </c>
      <c r="AQ2579" s="0" t="n">
        <v>9</v>
      </c>
      <c r="AR2579" s="0" t="n">
        <v>64</v>
      </c>
      <c r="AS2579" s="0" t="n">
        <v>32</v>
      </c>
      <c r="AU2579" s="0" t="n">
        <f aca="false">COUNTA($BA$260:$EH$260)</f>
        <v>1</v>
      </c>
      <c r="AV2579" s="0" t="n">
        <f aca="false">COUNTIF($BA$260:$EH$260,"D")</f>
        <v>0</v>
      </c>
      <c r="AW2579" s="0" t="n">
        <f aca="false">COUNTIF($BA$260:$EH$260,"R")</f>
        <v>0</v>
      </c>
      <c r="AX2579" s="0" t="n">
        <f aca="false"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>3</v>
      </c>
      <c r="AY2579" s="0" t="n">
        <f aca="false">COUNTIF(DU2579:EH2579, "&lt;&gt;")</f>
        <v>5</v>
      </c>
      <c r="AZ2579" s="0" t="n">
        <f aca="false">IF(EH2579&lt;&gt;"",1,0)</f>
        <v>0</v>
      </c>
      <c r="BB2579" s="0" t="s">
        <v>153</v>
      </c>
      <c r="BC2579" s="0" t="s">
        <v>154</v>
      </c>
      <c r="BD2579" s="0" t="s">
        <v>154</v>
      </c>
      <c r="BE2579" s="0" t="s">
        <v>154</v>
      </c>
      <c r="BH2579" s="0" t="s">
        <v>154</v>
      </c>
      <c r="BI2579" s="0" t="s">
        <v>154</v>
      </c>
      <c r="BK2579" s="0" t="s">
        <v>154</v>
      </c>
      <c r="BL2579" s="0" t="s">
        <v>154</v>
      </c>
      <c r="BS2579" s="0" t="s">
        <v>154</v>
      </c>
      <c r="BY2579" s="0" t="s">
        <v>155</v>
      </c>
      <c r="CA2579" s="0" t="s">
        <v>154</v>
      </c>
      <c r="CL2579" s="0" t="s">
        <v>155</v>
      </c>
      <c r="CP2579" s="0" t="s">
        <v>154</v>
      </c>
      <c r="CV2579" s="0" t="s">
        <v>154</v>
      </c>
      <c r="CY2579" s="0" t="s">
        <v>154</v>
      </c>
      <c r="CZ2579" s="0" t="s">
        <v>155</v>
      </c>
      <c r="DC2579" s="0" t="s">
        <v>154</v>
      </c>
      <c r="DI2579" s="0" t="s">
        <v>154</v>
      </c>
      <c r="DL2579" s="0" t="s">
        <v>154</v>
      </c>
      <c r="DM2579" s="0" t="s">
        <v>155</v>
      </c>
      <c r="DN2579" s="0" t="s">
        <v>154</v>
      </c>
      <c r="DO2579" s="0" t="s">
        <v>155</v>
      </c>
      <c r="DR2579" s="0" t="s">
        <v>154</v>
      </c>
      <c r="DU2579" s="0" t="s">
        <v>154</v>
      </c>
      <c r="DW2579" s="0" t="s">
        <v>155</v>
      </c>
      <c r="EA2579" s="0" t="s">
        <v>154</v>
      </c>
      <c r="ED2579" s="0" t="s">
        <v>155</v>
      </c>
      <c r="EF2579" s="0" t="s">
        <v>154</v>
      </c>
    </row>
    <row r="2580" customFormat="false" ht="13.8" hidden="false" customHeight="false" outlineLevel="0" collapsed="false">
      <c r="A2580" s="0" t="s">
        <v>11079</v>
      </c>
      <c r="B2580" s="0" t="n">
        <v>78</v>
      </c>
      <c r="C2580" s="0" t="n">
        <v>158594</v>
      </c>
      <c r="D2580" s="0" t="s">
        <v>11075</v>
      </c>
      <c r="E2580" s="0" t="s">
        <v>7284</v>
      </c>
      <c r="F2580" s="0" t="str">
        <f aca="false">CONCATENATE(D2580," ",LEFT(H2580,4),"T=",AU2580,"D=",AV2580,"R=",AW2580,"M=",AX2580,"L=",AY2580,"B=",AZ2580)</f>
        <v>CRUSAN T=6D=1R=0M=4L=5B=0</v>
      </c>
      <c r="G2580" s="0" t="s">
        <v>1180</v>
      </c>
      <c r="I2580" s="0" t="s">
        <v>11080</v>
      </c>
      <c r="J2580" s="0" t="s">
        <v>11077</v>
      </c>
      <c r="K2580" s="0" t="s">
        <v>175</v>
      </c>
      <c r="L2580" s="1" t="s">
        <v>155</v>
      </c>
      <c r="M2580" s="0" t="s">
        <v>11078</v>
      </c>
      <c r="N2580" s="0" t="str">
        <f aca="false">RIGHT(M2580,LEN(M2580)-FIND(" ",M2580))</f>
        <v>TERRA ALTA ST NE</v>
      </c>
      <c r="P2580" s="0" t="s">
        <v>146</v>
      </c>
      <c r="Q2580" s="0" t="s">
        <v>147</v>
      </c>
      <c r="R2580" s="0" t="n">
        <v>44483</v>
      </c>
      <c r="AD2580" s="0" t="s">
        <v>148</v>
      </c>
      <c r="AE2580" s="0" t="s">
        <v>149</v>
      </c>
      <c r="AF2580" s="0" t="s">
        <v>150</v>
      </c>
      <c r="AH2580" s="0" t="n">
        <v>14</v>
      </c>
      <c r="AI2580" s="0" t="n">
        <v>11</v>
      </c>
      <c r="AN2580" s="0" t="s">
        <v>146</v>
      </c>
      <c r="AO2580" s="0" t="s">
        <v>236</v>
      </c>
      <c r="AP2580" s="0" t="s">
        <v>237</v>
      </c>
      <c r="AQ2580" s="0" t="n">
        <v>9</v>
      </c>
      <c r="AR2580" s="0" t="n">
        <v>64</v>
      </c>
      <c r="AS2580" s="0" t="n">
        <v>32</v>
      </c>
      <c r="AU2580" s="0" t="n">
        <f aca="false">COUNTA($BA$352:$EH$352)</f>
        <v>6</v>
      </c>
      <c r="AV2580" s="0" t="n">
        <f aca="false">COUNTIF($BA$352:$EH$352,"D")</f>
        <v>1</v>
      </c>
      <c r="AW2580" s="0" t="n">
        <f aca="false">COUNTIF($BA$352:$EH$352,"R")</f>
        <v>0</v>
      </c>
      <c r="AX2580" s="0" t="n">
        <f aca="false"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>4</v>
      </c>
      <c r="AY2580" s="0" t="n">
        <f aca="false">COUNTIF(DU2580:EH2580, "&lt;&gt;")</f>
        <v>5</v>
      </c>
      <c r="AZ2580" s="0" t="n">
        <f aca="false">IF(EH2580&lt;&gt;"",1,0)</f>
        <v>0</v>
      </c>
      <c r="BB2580" s="0" t="s">
        <v>153</v>
      </c>
      <c r="BC2580" s="0" t="s">
        <v>154</v>
      </c>
      <c r="BD2580" s="0" t="s">
        <v>154</v>
      </c>
      <c r="BE2580" s="0" t="s">
        <v>154</v>
      </c>
      <c r="BH2580" s="0" t="s">
        <v>154</v>
      </c>
      <c r="BJ2580" s="0" t="s">
        <v>154</v>
      </c>
      <c r="BK2580" s="0" t="s">
        <v>154</v>
      </c>
      <c r="BL2580" s="0" t="s">
        <v>154</v>
      </c>
      <c r="BP2580" s="0" t="s">
        <v>154</v>
      </c>
      <c r="BR2580" s="0" t="s">
        <v>154</v>
      </c>
      <c r="BS2580" s="0" t="s">
        <v>154</v>
      </c>
      <c r="BY2580" s="0" t="s">
        <v>155</v>
      </c>
      <c r="CA2580" s="0" t="s">
        <v>154</v>
      </c>
      <c r="CC2580" s="0" t="s">
        <v>155</v>
      </c>
      <c r="CK2580" s="0" t="s">
        <v>154</v>
      </c>
      <c r="CL2580" s="0" t="s">
        <v>155</v>
      </c>
      <c r="CN2580" s="0" t="s">
        <v>154</v>
      </c>
      <c r="CO2580" s="0" t="s">
        <v>155</v>
      </c>
      <c r="CP2580" s="0" t="s">
        <v>154</v>
      </c>
      <c r="CV2580" s="0" t="s">
        <v>154</v>
      </c>
      <c r="CY2580" s="0" t="s">
        <v>154</v>
      </c>
      <c r="CZ2580" s="0" t="s">
        <v>155</v>
      </c>
      <c r="DC2580" s="0" t="s">
        <v>154</v>
      </c>
      <c r="DF2580" s="0" t="s">
        <v>154</v>
      </c>
      <c r="DI2580" s="0" t="s">
        <v>154</v>
      </c>
      <c r="DL2580" s="0" t="s">
        <v>154</v>
      </c>
      <c r="DM2580" s="0" t="s">
        <v>155</v>
      </c>
      <c r="DN2580" s="0" t="s">
        <v>154</v>
      </c>
      <c r="DO2580" s="0" t="s">
        <v>155</v>
      </c>
      <c r="DR2580" s="0" t="s">
        <v>154</v>
      </c>
      <c r="DS2580" s="0" t="s">
        <v>155</v>
      </c>
      <c r="DU2580" s="0" t="s">
        <v>154</v>
      </c>
      <c r="DW2580" s="0" t="s">
        <v>155</v>
      </c>
      <c r="EA2580" s="0" t="s">
        <v>154</v>
      </c>
      <c r="ED2580" s="0" t="s">
        <v>155</v>
      </c>
      <c r="EF2580" s="0" t="s">
        <v>154</v>
      </c>
    </row>
    <row r="2581" customFormat="false" ht="13.8" hidden="true" customHeight="false" outlineLevel="0" collapsed="false">
      <c r="A2581" s="0" t="s">
        <v>11081</v>
      </c>
      <c r="B2581" s="0" t="n">
        <v>78</v>
      </c>
      <c r="C2581" s="0" t="n">
        <v>412454</v>
      </c>
      <c r="D2581" s="0" t="s">
        <v>11082</v>
      </c>
      <c r="E2581" s="0" t="s">
        <v>1263</v>
      </c>
      <c r="F2581" s="0" t="str">
        <f aca="false">CONCATENATE(D2581," ",LEFT(H2581,4),"T=",AU2581,"D=",AV2581,"R=",AW2581,"M=",AX2581,"L=",AY2581,"B=",AZ2581)</f>
        <v>QUADE T=2D=0R=0M=0L=0B=0</v>
      </c>
      <c r="G2581" s="0" t="s">
        <v>155</v>
      </c>
      <c r="I2581" s="0" t="s">
        <v>11083</v>
      </c>
      <c r="J2581" s="0" t="s">
        <v>2505</v>
      </c>
      <c r="K2581" s="0" t="s">
        <v>144</v>
      </c>
      <c r="L2581" s="0"/>
      <c r="M2581" s="0" t="s">
        <v>11084</v>
      </c>
      <c r="N2581" s="0" t="str">
        <f aca="false">RIGHT(M2581,LEN(M2581)-FIND(" ",M2581))</f>
        <v>TERRA ALTA ST NE</v>
      </c>
      <c r="P2581" s="0" t="s">
        <v>146</v>
      </c>
      <c r="Q2581" s="0" t="s">
        <v>147</v>
      </c>
      <c r="R2581" s="0" t="n">
        <v>44483</v>
      </c>
      <c r="AD2581" s="0" t="s">
        <v>148</v>
      </c>
      <c r="AE2581" s="0" t="s">
        <v>149</v>
      </c>
      <c r="AF2581" s="0" t="s">
        <v>150</v>
      </c>
      <c r="AH2581" s="0" t="n">
        <v>14</v>
      </c>
      <c r="AI2581" s="0" t="n">
        <v>11</v>
      </c>
      <c r="AN2581" s="0" t="s">
        <v>146</v>
      </c>
      <c r="AO2581" s="0" t="s">
        <v>236</v>
      </c>
      <c r="AP2581" s="0" t="s">
        <v>237</v>
      </c>
      <c r="AQ2581" s="0" t="n">
        <v>9</v>
      </c>
      <c r="AR2581" s="0" t="n">
        <v>64</v>
      </c>
      <c r="AS2581" s="0" t="n">
        <v>32</v>
      </c>
      <c r="AU2581" s="0" t="n">
        <f aca="false">COUNTA($BA$182:$EH$182)</f>
        <v>2</v>
      </c>
      <c r="AV2581" s="0" t="n">
        <f aca="false">COUNTIF($BA$182:$EH$182,"D")</f>
        <v>0</v>
      </c>
      <c r="AW2581" s="0" t="n">
        <f aca="false">COUNTIF($BA$182:$EH$182,"R")</f>
        <v>0</v>
      </c>
      <c r="AX2581" s="0" t="n">
        <f aca="false"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>0</v>
      </c>
      <c r="AY2581" s="0" t="n">
        <f aca="false">COUNTIF(DU2581:EH2581, "&lt;&gt;")</f>
        <v>0</v>
      </c>
      <c r="AZ2581" s="0" t="n">
        <f aca="false">IF(EH2581&lt;&gt;"",1,0)</f>
        <v>0</v>
      </c>
      <c r="BB2581" s="0" t="s">
        <v>153</v>
      </c>
    </row>
    <row r="2582" customFormat="false" ht="13.8" hidden="true" customHeight="false" outlineLevel="0" collapsed="false">
      <c r="A2582" s="0" t="s">
        <v>11085</v>
      </c>
      <c r="B2582" s="0" t="n">
        <v>78</v>
      </c>
      <c r="C2582" s="0" t="n">
        <v>222272</v>
      </c>
      <c r="D2582" s="0" t="s">
        <v>11086</v>
      </c>
      <c r="E2582" s="0" t="s">
        <v>1232</v>
      </c>
      <c r="F2582" s="0" t="str">
        <f aca="false">CONCATENATE(D2582," ",LEFT(H2582,4),"T=",AU2582,"D=",AV2582,"R=",AW2582,"M=",AX2582,"L=",AY2582,"B=",AZ2582)</f>
        <v>WOODS T=31D=6R=0M=0L=1B=0</v>
      </c>
      <c r="G2582" s="0" t="s">
        <v>181</v>
      </c>
      <c r="I2582" s="0" t="s">
        <v>11087</v>
      </c>
      <c r="J2582" s="0" t="s">
        <v>874</v>
      </c>
      <c r="K2582" s="0" t="s">
        <v>175</v>
      </c>
      <c r="L2582" s="0"/>
      <c r="M2582" s="0" t="s">
        <v>11088</v>
      </c>
      <c r="N2582" s="0" t="str">
        <f aca="false">RIGHT(M2582,LEN(M2582)-FIND(" ",M2582))</f>
        <v>TERRA ALTA ST NE</v>
      </c>
      <c r="P2582" s="0" t="s">
        <v>146</v>
      </c>
      <c r="Q2582" s="0" t="s">
        <v>147</v>
      </c>
      <c r="R2582" s="0" t="n">
        <v>44483</v>
      </c>
      <c r="AD2582" s="0" t="s">
        <v>148</v>
      </c>
      <c r="AE2582" s="0" t="s">
        <v>149</v>
      </c>
      <c r="AF2582" s="0" t="s">
        <v>150</v>
      </c>
      <c r="AH2582" s="0" t="n">
        <v>14</v>
      </c>
      <c r="AI2582" s="0" t="n">
        <v>11</v>
      </c>
      <c r="AN2582" s="0" t="s">
        <v>146</v>
      </c>
      <c r="AO2582" s="0" t="s">
        <v>236</v>
      </c>
      <c r="AP2582" s="0" t="s">
        <v>237</v>
      </c>
      <c r="AQ2582" s="0" t="n">
        <v>9</v>
      </c>
      <c r="AR2582" s="0" t="n">
        <v>64</v>
      </c>
      <c r="AS2582" s="0" t="n">
        <v>32</v>
      </c>
      <c r="AU2582" s="0" t="n">
        <f aca="false">COUNTA($BA$377:$EH$377)</f>
        <v>31</v>
      </c>
      <c r="AV2582" s="0" t="n">
        <f aca="false">COUNTIF($BA$377:$EH$377,"D")</f>
        <v>6</v>
      </c>
      <c r="AW2582" s="0" t="n">
        <f aca="false">COUNTIF($BA$377:$EH$377,"R")</f>
        <v>0</v>
      </c>
      <c r="AX2582" s="0" t="n">
        <f aca="false"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>0</v>
      </c>
      <c r="AY2582" s="0" t="n">
        <f aca="false">COUNTIF(DU2582:EH2582, "&lt;&gt;")</f>
        <v>1</v>
      </c>
      <c r="AZ2582" s="0" t="n">
        <f aca="false">IF(EH2582&lt;&gt;"",1,0)</f>
        <v>0</v>
      </c>
      <c r="BB2582" s="0" t="s">
        <v>153</v>
      </c>
      <c r="BC2582" s="0" t="s">
        <v>154</v>
      </c>
      <c r="BD2582" s="0" t="s">
        <v>154</v>
      </c>
      <c r="BH2582" s="0" t="s">
        <v>154</v>
      </c>
      <c r="BL2582" s="0" t="s">
        <v>154</v>
      </c>
      <c r="CZ2582" s="0" t="s">
        <v>176</v>
      </c>
      <c r="DC2582" s="0" t="s">
        <v>154</v>
      </c>
      <c r="DI2582" s="0" t="s">
        <v>154</v>
      </c>
      <c r="DN2582" s="0" t="s">
        <v>154</v>
      </c>
      <c r="EF2582" s="0" t="s">
        <v>154</v>
      </c>
    </row>
    <row r="2583" customFormat="false" ht="13.8" hidden="false" customHeight="false" outlineLevel="0" collapsed="false">
      <c r="A2583" s="0" t="s">
        <v>11089</v>
      </c>
      <c r="B2583" s="0" t="n">
        <v>78</v>
      </c>
      <c r="C2583" s="0" t="n">
        <v>299251</v>
      </c>
      <c r="D2583" s="0" t="s">
        <v>374</v>
      </c>
      <c r="E2583" s="0" t="s">
        <v>4154</v>
      </c>
      <c r="F2583" s="0" t="str">
        <f aca="false">CONCATENATE(D2583," ",LEFT(H2583,4),"T=",AU2583,"D=",AV2583,"R=",AW2583,"M=",AX2583,"L=",AY2583,"B=",AZ2583)</f>
        <v>MARSHALL T=10D=0R=3M=1L=2B=0</v>
      </c>
      <c r="G2583" s="0" t="s">
        <v>176</v>
      </c>
      <c r="I2583" s="0" t="s">
        <v>11090</v>
      </c>
      <c r="J2583" s="0" t="s">
        <v>11091</v>
      </c>
      <c r="K2583" s="0" t="s">
        <v>175</v>
      </c>
      <c r="M2583" s="0" t="s">
        <v>11092</v>
      </c>
      <c r="N2583" s="0" t="str">
        <f aca="false">RIGHT(M2583,LEN(M2583)-FIND(" ",M2583))</f>
        <v>TERRA ALTA ST NE</v>
      </c>
      <c r="P2583" s="0" t="s">
        <v>146</v>
      </c>
      <c r="Q2583" s="0" t="s">
        <v>147</v>
      </c>
      <c r="R2583" s="0" t="n">
        <v>44483</v>
      </c>
      <c r="AD2583" s="0" t="s">
        <v>148</v>
      </c>
      <c r="AE2583" s="0" t="s">
        <v>149</v>
      </c>
      <c r="AF2583" s="0" t="s">
        <v>150</v>
      </c>
      <c r="AH2583" s="0" t="n">
        <v>14</v>
      </c>
      <c r="AI2583" s="0" t="n">
        <v>11</v>
      </c>
      <c r="AN2583" s="0" t="s">
        <v>146</v>
      </c>
      <c r="AO2583" s="0" t="s">
        <v>236</v>
      </c>
      <c r="AP2583" s="0" t="s">
        <v>237</v>
      </c>
      <c r="AQ2583" s="0" t="n">
        <v>9</v>
      </c>
      <c r="AR2583" s="0" t="n">
        <v>64</v>
      </c>
      <c r="AS2583" s="0" t="n">
        <v>32</v>
      </c>
      <c r="AU2583" s="0" t="n">
        <f aca="false">COUNTA($BA$23:$EH$23)</f>
        <v>10</v>
      </c>
      <c r="AV2583" s="0" t="n">
        <f aca="false">COUNTIF($BA$23:$EH$23,"D")</f>
        <v>0</v>
      </c>
      <c r="AW2583" s="0" t="n">
        <f aca="false">COUNTIF($BA$23:$EH$23,"R")</f>
        <v>3</v>
      </c>
      <c r="AX2583" s="0" t="n">
        <f aca="false"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>1</v>
      </c>
      <c r="AY2583" s="0" t="n">
        <f aca="false">COUNTIF(DU2583:EH2583, "&lt;&gt;")</f>
        <v>2</v>
      </c>
      <c r="AZ2583" s="0" t="n">
        <f aca="false">IF(EH2583&lt;&gt;"",1,0)</f>
        <v>0</v>
      </c>
      <c r="BB2583" s="0" t="s">
        <v>153</v>
      </c>
      <c r="BR2583" s="0" t="s">
        <v>154</v>
      </c>
      <c r="BY2583" s="0" t="s">
        <v>155</v>
      </c>
      <c r="CA2583" s="0" t="s">
        <v>154</v>
      </c>
      <c r="CG2583" s="0" t="s">
        <v>154</v>
      </c>
      <c r="CK2583" s="0" t="s">
        <v>154</v>
      </c>
      <c r="CN2583" s="0" t="s">
        <v>154</v>
      </c>
      <c r="CO2583" s="0" t="s">
        <v>155</v>
      </c>
      <c r="CP2583" s="0" t="s">
        <v>154</v>
      </c>
      <c r="CY2583" s="0" t="s">
        <v>154</v>
      </c>
      <c r="CZ2583" s="0" t="s">
        <v>155</v>
      </c>
      <c r="DC2583" s="0" t="s">
        <v>154</v>
      </c>
      <c r="DD2583" s="0" t="s">
        <v>155</v>
      </c>
      <c r="DF2583" s="0" t="s">
        <v>154</v>
      </c>
      <c r="DG2583" s="0" t="s">
        <v>155</v>
      </c>
      <c r="DI2583" s="0" t="s">
        <v>154</v>
      </c>
      <c r="DN2583" s="0" t="s">
        <v>154</v>
      </c>
      <c r="EA2583" s="0" t="s">
        <v>154</v>
      </c>
      <c r="EF2583" s="0" t="s">
        <v>154</v>
      </c>
    </row>
    <row r="2584" customFormat="false" ht="13.8" hidden="true" customHeight="false" outlineLevel="0" collapsed="false">
      <c r="A2584" s="0" t="s">
        <v>11093</v>
      </c>
      <c r="B2584" s="0" t="n">
        <v>78</v>
      </c>
      <c r="C2584" s="0" t="n">
        <v>462449</v>
      </c>
      <c r="D2584" s="0" t="s">
        <v>11094</v>
      </c>
      <c r="E2584" s="0" t="s">
        <v>8142</v>
      </c>
      <c r="F2584" s="0" t="str">
        <f aca="false">CONCATENATE(D2584," ",LEFT(H2584,4),"T=",AU2584,"D=",AV2584,"R=",AW2584,"M=",AX2584,"L=",AY2584,"B=",AZ2584)</f>
        <v>STAFFORD T=2D=0R=0M=0L=1B=0</v>
      </c>
      <c r="G2584" s="0" t="s">
        <v>3669</v>
      </c>
      <c r="I2584" s="0" t="s">
        <v>11095</v>
      </c>
      <c r="J2584" s="0" t="s">
        <v>712</v>
      </c>
      <c r="K2584" s="0" t="s">
        <v>175</v>
      </c>
      <c r="L2584" s="0"/>
      <c r="M2584" s="0" t="s">
        <v>11096</v>
      </c>
      <c r="N2584" s="0" t="str">
        <f aca="false">RIGHT(M2584,LEN(M2584)-FIND(" ",M2584))</f>
        <v>TERRA ALTA ST NE</v>
      </c>
      <c r="P2584" s="0" t="s">
        <v>146</v>
      </c>
      <c r="Q2584" s="0" t="s">
        <v>147</v>
      </c>
      <c r="R2584" s="0" t="n">
        <v>44483</v>
      </c>
      <c r="AD2584" s="0" t="s">
        <v>148</v>
      </c>
      <c r="AE2584" s="0" t="s">
        <v>149</v>
      </c>
      <c r="AF2584" s="0" t="s">
        <v>150</v>
      </c>
      <c r="AH2584" s="0" t="n">
        <v>14</v>
      </c>
      <c r="AI2584" s="0" t="n">
        <v>11</v>
      </c>
      <c r="AN2584" s="0" t="s">
        <v>146</v>
      </c>
      <c r="AO2584" s="0" t="s">
        <v>236</v>
      </c>
      <c r="AP2584" s="0" t="s">
        <v>237</v>
      </c>
      <c r="AQ2584" s="0" t="n">
        <v>9</v>
      </c>
      <c r="AR2584" s="0" t="n">
        <v>64</v>
      </c>
      <c r="AS2584" s="0" t="n">
        <v>32</v>
      </c>
      <c r="AU2584" s="0" t="n">
        <f aca="false">COUNTA($BA$59:$EH$59)</f>
        <v>2</v>
      </c>
      <c r="AV2584" s="0" t="n">
        <f aca="false">COUNTIF($BA$59:$EH$59,"D")</f>
        <v>0</v>
      </c>
      <c r="AW2584" s="0" t="n">
        <f aca="false">COUNTIF($BA$59:$EH$59,"R")</f>
        <v>0</v>
      </c>
      <c r="AX2584" s="0" t="n">
        <f aca="false"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>0</v>
      </c>
      <c r="AY2584" s="0" t="n">
        <f aca="false">COUNTIF(DU2584:EH2584, "&lt;&gt;")</f>
        <v>1</v>
      </c>
      <c r="AZ2584" s="0" t="n">
        <f aca="false">IF(EH2584&lt;&gt;"",1,0)</f>
        <v>0</v>
      </c>
      <c r="BB2584" s="0" t="s">
        <v>153</v>
      </c>
      <c r="EF2584" s="0" t="s">
        <v>154</v>
      </c>
    </row>
    <row r="2585" customFormat="false" ht="13.8" hidden="true" customHeight="false" outlineLevel="0" collapsed="false">
      <c r="A2585" s="0" t="s">
        <v>11097</v>
      </c>
      <c r="B2585" s="0" t="n">
        <v>78</v>
      </c>
      <c r="C2585" s="0" t="n">
        <v>462417</v>
      </c>
      <c r="D2585" s="0" t="s">
        <v>11094</v>
      </c>
      <c r="E2585" s="0" t="s">
        <v>11098</v>
      </c>
      <c r="F2585" s="0" t="str">
        <f aca="false">CONCATENATE(D2585," ",LEFT(H2585,4),"T=",AU2585,"D=",AV2585,"R=",AW2585,"M=",AX2585,"L=",AY2585,"B=",AZ2585)</f>
        <v>STAFFORD T=14D=0R=1M=0L=1B=0</v>
      </c>
      <c r="G2585" s="0" t="s">
        <v>422</v>
      </c>
      <c r="I2585" s="0" t="s">
        <v>11099</v>
      </c>
      <c r="J2585" s="0" t="s">
        <v>600</v>
      </c>
      <c r="K2585" s="0" t="s">
        <v>175</v>
      </c>
      <c r="L2585" s="0"/>
      <c r="M2585" s="0" t="s">
        <v>11096</v>
      </c>
      <c r="N2585" s="0" t="str">
        <f aca="false">RIGHT(M2585,LEN(M2585)-FIND(" ",M2585))</f>
        <v>TERRA ALTA ST NE</v>
      </c>
      <c r="P2585" s="0" t="s">
        <v>146</v>
      </c>
      <c r="Q2585" s="0" t="s">
        <v>147</v>
      </c>
      <c r="R2585" s="0" t="n">
        <v>44483</v>
      </c>
      <c r="AD2585" s="0" t="s">
        <v>148</v>
      </c>
      <c r="AE2585" s="0" t="s">
        <v>149</v>
      </c>
      <c r="AF2585" s="0" t="s">
        <v>150</v>
      </c>
      <c r="AH2585" s="0" t="n">
        <v>14</v>
      </c>
      <c r="AI2585" s="0" t="n">
        <v>11</v>
      </c>
      <c r="AN2585" s="0" t="s">
        <v>146</v>
      </c>
      <c r="AO2585" s="0" t="s">
        <v>236</v>
      </c>
      <c r="AP2585" s="0" t="s">
        <v>237</v>
      </c>
      <c r="AQ2585" s="0" t="n">
        <v>9</v>
      </c>
      <c r="AR2585" s="0" t="n">
        <v>64</v>
      </c>
      <c r="AS2585" s="0" t="n">
        <v>32</v>
      </c>
      <c r="AU2585" s="0" t="n">
        <f aca="false">COUNTA($BA$63:$EH$63)</f>
        <v>14</v>
      </c>
      <c r="AV2585" s="0" t="n">
        <f aca="false">COUNTIF($BA$63:$EH$63,"D")</f>
        <v>0</v>
      </c>
      <c r="AW2585" s="0" t="n">
        <f aca="false">COUNTIF($BA$63:$EH$63,"R")</f>
        <v>1</v>
      </c>
      <c r="AX2585" s="0" t="n">
        <f aca="false"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>0</v>
      </c>
      <c r="AY2585" s="0" t="n">
        <f aca="false">COUNTIF(DU2585:EH2585, "&lt;&gt;")</f>
        <v>1</v>
      </c>
      <c r="AZ2585" s="0" t="n">
        <f aca="false">IF(EH2585&lt;&gt;"",1,0)</f>
        <v>0</v>
      </c>
      <c r="BB2585" s="0" t="s">
        <v>153</v>
      </c>
      <c r="EF2585" s="0" t="s">
        <v>154</v>
      </c>
    </row>
    <row r="2586" customFormat="false" ht="13.8" hidden="true" customHeight="false" outlineLevel="0" collapsed="false">
      <c r="A2586" s="0" t="s">
        <v>11100</v>
      </c>
      <c r="B2586" s="0" t="n">
        <v>78</v>
      </c>
      <c r="C2586" s="0" t="n">
        <v>434082</v>
      </c>
      <c r="D2586" s="0" t="s">
        <v>5841</v>
      </c>
      <c r="E2586" s="0" t="s">
        <v>11101</v>
      </c>
      <c r="F2586" s="0" t="str">
        <f aca="false">CONCATENATE(D2586," ",LEFT(H2586,4),"T=",AU2586,"D=",AV2586,"R=",AW2586,"M=",AX2586,"L=",AY2586,"B=",AZ2586)</f>
        <v>GREEN T=1D=0R=0M=0L=0B=0</v>
      </c>
      <c r="G2586" s="0" t="s">
        <v>155</v>
      </c>
      <c r="I2586" s="0" t="s">
        <v>2635</v>
      </c>
      <c r="J2586" s="0" t="s">
        <v>11102</v>
      </c>
      <c r="K2586" s="0" t="s">
        <v>144</v>
      </c>
      <c r="L2586" s="0"/>
      <c r="M2586" s="0" t="s">
        <v>11103</v>
      </c>
      <c r="N2586" s="0" t="str">
        <f aca="false">RIGHT(M2586,LEN(M2586)-FIND(" ",M2586))</f>
        <v>TERRA ALTA ST NE</v>
      </c>
      <c r="P2586" s="0" t="s">
        <v>146</v>
      </c>
      <c r="Q2586" s="0" t="s">
        <v>147</v>
      </c>
      <c r="R2586" s="0" t="n">
        <v>44483</v>
      </c>
      <c r="AD2586" s="0" t="s">
        <v>148</v>
      </c>
      <c r="AE2586" s="0" t="s">
        <v>149</v>
      </c>
      <c r="AF2586" s="0" t="s">
        <v>150</v>
      </c>
      <c r="AH2586" s="0" t="n">
        <v>14</v>
      </c>
      <c r="AI2586" s="0" t="n">
        <v>11</v>
      </c>
      <c r="AN2586" s="0" t="s">
        <v>146</v>
      </c>
      <c r="AO2586" s="0" t="s">
        <v>236</v>
      </c>
      <c r="AP2586" s="0" t="s">
        <v>237</v>
      </c>
      <c r="AQ2586" s="0" t="n">
        <v>9</v>
      </c>
      <c r="AR2586" s="0" t="n">
        <v>64</v>
      </c>
      <c r="AS2586" s="0" t="n">
        <v>32</v>
      </c>
      <c r="AU2586" s="0" t="n">
        <f aca="false">COUNTA($BA$226:$EH$226)</f>
        <v>1</v>
      </c>
      <c r="AV2586" s="0" t="n">
        <f aca="false">COUNTIF($BA$226:$EH$226,"D")</f>
        <v>0</v>
      </c>
      <c r="AW2586" s="0" t="n">
        <f aca="false">COUNTIF($BA$226:$EH$226,"R")</f>
        <v>0</v>
      </c>
      <c r="AX2586" s="0" t="n">
        <f aca="false"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>0</v>
      </c>
      <c r="AY2586" s="0" t="n">
        <f aca="false">COUNTIF(DU2586:EH2586, "&lt;&gt;")</f>
        <v>0</v>
      </c>
      <c r="AZ2586" s="0" t="n">
        <f aca="false">IF(EH2586&lt;&gt;"",1,0)</f>
        <v>0</v>
      </c>
      <c r="BB2586" s="0" t="s">
        <v>153</v>
      </c>
      <c r="DC2586" s="0" t="s">
        <v>154</v>
      </c>
    </row>
    <row r="2587" customFormat="false" ht="13.8" hidden="true" customHeight="false" outlineLevel="0" collapsed="false">
      <c r="A2587" s="0" t="s">
        <v>11104</v>
      </c>
      <c r="B2587" s="0" t="n">
        <v>78</v>
      </c>
      <c r="C2587" s="0" t="n">
        <v>490976</v>
      </c>
      <c r="D2587" s="0" t="s">
        <v>11105</v>
      </c>
      <c r="E2587" s="0" t="s">
        <v>335</v>
      </c>
      <c r="F2587" s="0" t="str">
        <f aca="false">CONCATENATE(D2587," ",LEFT(H2587,4),"T=",AU2587,"D=",AV2587,"R=",AW2587,"M=",AX2587,"L=",AY2587,"B=",AZ2587)</f>
        <v>BOBLITT T=15D=1R=0M=0L=0B=0</v>
      </c>
      <c r="G2587" s="0" t="s">
        <v>3304</v>
      </c>
      <c r="I2587" s="0" t="s">
        <v>11106</v>
      </c>
      <c r="J2587" s="0" t="s">
        <v>2140</v>
      </c>
      <c r="K2587" s="0" t="s">
        <v>175</v>
      </c>
      <c r="L2587" s="0"/>
      <c r="M2587" s="0" t="s">
        <v>11107</v>
      </c>
      <c r="N2587" s="0" t="str">
        <f aca="false">RIGHT(M2587,LEN(M2587)-FIND(" ",M2587))</f>
        <v>TERRA ALTA ST NE</v>
      </c>
      <c r="P2587" s="0" t="s">
        <v>146</v>
      </c>
      <c r="Q2587" s="0" t="s">
        <v>147</v>
      </c>
      <c r="R2587" s="0" t="n">
        <v>44483</v>
      </c>
      <c r="AD2587" s="0" t="s">
        <v>148</v>
      </c>
      <c r="AE2587" s="0" t="s">
        <v>149</v>
      </c>
      <c r="AF2587" s="0" t="s">
        <v>150</v>
      </c>
      <c r="AH2587" s="0" t="n">
        <v>14</v>
      </c>
      <c r="AI2587" s="0" t="n">
        <v>11</v>
      </c>
      <c r="AN2587" s="0" t="s">
        <v>146</v>
      </c>
      <c r="AO2587" s="0" t="s">
        <v>236</v>
      </c>
      <c r="AP2587" s="0" t="s">
        <v>237</v>
      </c>
      <c r="AQ2587" s="0" t="n">
        <v>9</v>
      </c>
      <c r="AR2587" s="0" t="n">
        <v>64</v>
      </c>
      <c r="AS2587" s="0" t="n">
        <v>32</v>
      </c>
      <c r="AU2587" s="0" t="n">
        <f aca="false">COUNTA($BA$301:$EH$301)</f>
        <v>15</v>
      </c>
      <c r="AV2587" s="0" t="n">
        <f aca="false">COUNTIF($BA$301:$EH$301,"D")</f>
        <v>1</v>
      </c>
      <c r="AW2587" s="0" t="n">
        <f aca="false">COUNTIF($BA$301:$EH$301,"R")</f>
        <v>0</v>
      </c>
      <c r="AX2587" s="0" t="n">
        <f aca="false"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>0</v>
      </c>
      <c r="AY2587" s="0" t="n">
        <f aca="false">COUNTIF(DU2587:EH2587, "&lt;&gt;")</f>
        <v>0</v>
      </c>
      <c r="AZ2587" s="0" t="n">
        <f aca="false">IF(EH2587&lt;&gt;"",1,0)</f>
        <v>0</v>
      </c>
      <c r="BB2587" s="0" t="s">
        <v>153</v>
      </c>
      <c r="CV2587" s="0" t="s">
        <v>154</v>
      </c>
      <c r="CY2587" s="0" t="s">
        <v>154</v>
      </c>
      <c r="DC2587" s="0" t="s">
        <v>154</v>
      </c>
      <c r="DN2587" s="0" t="s">
        <v>154</v>
      </c>
    </row>
    <row r="2588" customFormat="false" ht="13.8" hidden="true" customHeight="false" outlineLevel="0" collapsed="false">
      <c r="A2588" s="0" t="s">
        <v>11108</v>
      </c>
      <c r="B2588" s="0" t="n">
        <v>78</v>
      </c>
      <c r="C2588" s="0" t="n">
        <v>441217</v>
      </c>
      <c r="D2588" s="0" t="s">
        <v>11105</v>
      </c>
      <c r="E2588" s="0" t="s">
        <v>1744</v>
      </c>
      <c r="F2588" s="0" t="str">
        <f aca="false">CONCATENATE(D2588," ",LEFT(H2588,4),"T=",AU2588,"D=",AV2588,"R=",AW2588,"M=",AX2588,"L=",AY2588,"B=",AZ2588)</f>
        <v>BOBLITT T=38D=12R=0M=0L=0B=0</v>
      </c>
      <c r="G2588" s="0" t="s">
        <v>4449</v>
      </c>
      <c r="I2588" s="0" t="s">
        <v>11109</v>
      </c>
      <c r="J2588" s="0" t="s">
        <v>2140</v>
      </c>
      <c r="K2588" s="0" t="s">
        <v>175</v>
      </c>
      <c r="L2588" s="0"/>
      <c r="M2588" s="0" t="s">
        <v>11107</v>
      </c>
      <c r="N2588" s="0" t="str">
        <f aca="false">RIGHT(M2588,LEN(M2588)-FIND(" ",M2588))</f>
        <v>TERRA ALTA ST NE</v>
      </c>
      <c r="P2588" s="0" t="s">
        <v>146</v>
      </c>
      <c r="Q2588" s="0" t="s">
        <v>147</v>
      </c>
      <c r="R2588" s="0" t="n">
        <v>44483</v>
      </c>
      <c r="AD2588" s="0" t="s">
        <v>148</v>
      </c>
      <c r="AE2588" s="0" t="s">
        <v>149</v>
      </c>
      <c r="AF2588" s="0" t="s">
        <v>150</v>
      </c>
      <c r="AH2588" s="0" t="n">
        <v>14</v>
      </c>
      <c r="AI2588" s="0" t="n">
        <v>11</v>
      </c>
      <c r="AN2588" s="0" t="s">
        <v>146</v>
      </c>
      <c r="AO2588" s="0" t="s">
        <v>236</v>
      </c>
      <c r="AP2588" s="0" t="s">
        <v>237</v>
      </c>
      <c r="AQ2588" s="0" t="n">
        <v>9</v>
      </c>
      <c r="AR2588" s="0" t="n">
        <v>64</v>
      </c>
      <c r="AS2588" s="0" t="n">
        <v>32</v>
      </c>
      <c r="AU2588" s="0" t="n">
        <f aca="false">COUNTA($BA$630:$EH$630)</f>
        <v>38</v>
      </c>
      <c r="AV2588" s="0" t="n">
        <f aca="false">COUNTIF($BA$630:$EH$630,"D")</f>
        <v>12</v>
      </c>
      <c r="AW2588" s="0" t="n">
        <f aca="false">COUNTIF($BA$630:$EH$630,"R")</f>
        <v>0</v>
      </c>
      <c r="AX2588" s="0" t="n">
        <f aca="false"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>0</v>
      </c>
      <c r="AY2588" s="0" t="n">
        <f aca="false">COUNTIF(DU2588:EH2588, "&lt;&gt;")</f>
        <v>0</v>
      </c>
      <c r="AZ2588" s="0" t="n">
        <f aca="false">IF(EH2588&lt;&gt;"",1,0)</f>
        <v>0</v>
      </c>
      <c r="BB2588" s="0" t="s">
        <v>153</v>
      </c>
    </row>
    <row r="2589" customFormat="false" ht="13.8" hidden="true" customHeight="false" outlineLevel="0" collapsed="false">
      <c r="A2589" s="0" t="s">
        <v>11110</v>
      </c>
      <c r="B2589" s="0" t="n">
        <v>78</v>
      </c>
      <c r="C2589" s="0" t="n">
        <v>407910</v>
      </c>
      <c r="D2589" s="0" t="s">
        <v>1549</v>
      </c>
      <c r="E2589" s="0" t="s">
        <v>689</v>
      </c>
      <c r="F2589" s="0" t="str">
        <f aca="false">CONCATENATE(D2589," ",LEFT(H2589,4),"T=",AU2589,"D=",AV2589,"R=",AW2589,"M=",AX2589,"L=",AY2589,"B=",AZ2589)</f>
        <v>WILSON T=6D=0R=0M=0L=0B=0</v>
      </c>
      <c r="G2589" s="0" t="s">
        <v>297</v>
      </c>
      <c r="I2589" s="0" t="s">
        <v>11111</v>
      </c>
      <c r="J2589" s="0" t="s">
        <v>11112</v>
      </c>
      <c r="K2589" s="0" t="s">
        <v>144</v>
      </c>
      <c r="L2589" s="0"/>
      <c r="M2589" s="0" t="s">
        <v>11107</v>
      </c>
      <c r="N2589" s="0" t="str">
        <f aca="false">RIGHT(M2589,LEN(M2589)-FIND(" ",M2589))</f>
        <v>TERRA ALTA ST NE</v>
      </c>
      <c r="P2589" s="0" t="s">
        <v>146</v>
      </c>
      <c r="Q2589" s="0" t="s">
        <v>147</v>
      </c>
      <c r="R2589" s="0" t="n">
        <v>44483</v>
      </c>
      <c r="AD2589" s="0" t="s">
        <v>148</v>
      </c>
      <c r="AE2589" s="0" t="s">
        <v>149</v>
      </c>
      <c r="AF2589" s="0" t="s">
        <v>150</v>
      </c>
      <c r="AH2589" s="0" t="n">
        <v>14</v>
      </c>
      <c r="AI2589" s="0" t="n">
        <v>11</v>
      </c>
      <c r="AN2589" s="0" t="s">
        <v>146</v>
      </c>
      <c r="AO2589" s="0" t="s">
        <v>236</v>
      </c>
      <c r="AP2589" s="0" t="s">
        <v>237</v>
      </c>
      <c r="AQ2589" s="0" t="n">
        <v>9</v>
      </c>
      <c r="AR2589" s="0" t="n">
        <v>64</v>
      </c>
      <c r="AS2589" s="0" t="n">
        <v>32</v>
      </c>
      <c r="AU2589" s="0" t="n">
        <f aca="false">COUNTA($BA$835:$EH$835)</f>
        <v>6</v>
      </c>
      <c r="AV2589" s="0" t="n">
        <f aca="false">COUNTIF($BA$835:$EH$835,"D")</f>
        <v>0</v>
      </c>
      <c r="AW2589" s="0" t="n">
        <f aca="false">COUNTIF($BA$835:$EH$835,"R")</f>
        <v>0</v>
      </c>
      <c r="AX2589" s="0" t="n">
        <f aca="false"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>0</v>
      </c>
      <c r="AY2589" s="0" t="n">
        <f aca="false">COUNTIF(DU2589:EH2589, "&lt;&gt;")</f>
        <v>0</v>
      </c>
      <c r="AZ2589" s="0" t="n">
        <f aca="false">IF(EH2589&lt;&gt;"",1,0)</f>
        <v>0</v>
      </c>
      <c r="BB2589" s="0" t="s">
        <v>153</v>
      </c>
    </row>
    <row r="2590" customFormat="false" ht="13.8" hidden="true" customHeight="false" outlineLevel="0" collapsed="false">
      <c r="A2590" s="0" t="s">
        <v>11113</v>
      </c>
      <c r="B2590" s="0" t="n">
        <v>78</v>
      </c>
      <c r="C2590" s="0" t="n">
        <v>453160</v>
      </c>
      <c r="D2590" s="0" t="s">
        <v>11114</v>
      </c>
      <c r="E2590" s="0" t="s">
        <v>914</v>
      </c>
      <c r="F2590" s="0" t="str">
        <f aca="false">CONCATENATE(D2590," ",LEFT(H2590,4),"T=",AU2590,"D=",AV2590,"R=",AW2590,"M=",AX2590,"L=",AY2590,"B=",AZ2590)</f>
        <v>BYRNES T=16D=1R=3M=0L=1B=0</v>
      </c>
      <c r="G2590" s="0" t="s">
        <v>159</v>
      </c>
      <c r="I2590" s="0" t="s">
        <v>11115</v>
      </c>
      <c r="J2590" s="0" t="s">
        <v>4529</v>
      </c>
      <c r="K2590" s="0" t="s">
        <v>175</v>
      </c>
      <c r="L2590" s="0"/>
      <c r="M2590" s="0" t="s">
        <v>11116</v>
      </c>
      <c r="N2590" s="0" t="str">
        <f aca="false">RIGHT(M2590,LEN(M2590)-FIND(" ",M2590))</f>
        <v>TERRA ALTA ST NE</v>
      </c>
      <c r="P2590" s="0" t="s">
        <v>146</v>
      </c>
      <c r="Q2590" s="0" t="s">
        <v>147</v>
      </c>
      <c r="R2590" s="0" t="n">
        <v>44483</v>
      </c>
      <c r="AD2590" s="0" t="s">
        <v>148</v>
      </c>
      <c r="AE2590" s="0" t="s">
        <v>149</v>
      </c>
      <c r="AF2590" s="0" t="s">
        <v>150</v>
      </c>
      <c r="AH2590" s="0" t="n">
        <v>14</v>
      </c>
      <c r="AI2590" s="0" t="n">
        <v>11</v>
      </c>
      <c r="AN2590" s="0" t="s">
        <v>146</v>
      </c>
      <c r="AO2590" s="0" t="s">
        <v>236</v>
      </c>
      <c r="AP2590" s="0" t="s">
        <v>237</v>
      </c>
      <c r="AQ2590" s="0" t="n">
        <v>9</v>
      </c>
      <c r="AR2590" s="0" t="n">
        <v>64</v>
      </c>
      <c r="AS2590" s="0" t="n">
        <v>32</v>
      </c>
      <c r="AU2590" s="0" t="n">
        <f aca="false">COUNTA($BA$485:$EH$485)</f>
        <v>16</v>
      </c>
      <c r="AV2590" s="0" t="n">
        <f aca="false">COUNTIF($BA$485:$EH$485,"D")</f>
        <v>1</v>
      </c>
      <c r="AW2590" s="0" t="n">
        <f aca="false">COUNTIF($BA$485:$EH$485,"R")</f>
        <v>3</v>
      </c>
      <c r="AX2590" s="0" t="n">
        <f aca="false"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>0</v>
      </c>
      <c r="AY2590" s="0" t="n">
        <f aca="false">COUNTIF(DU2590:EH2590, "&lt;&gt;")</f>
        <v>1</v>
      </c>
      <c r="AZ2590" s="0" t="n">
        <f aca="false">IF(EH2590&lt;&gt;"",1,0)</f>
        <v>0</v>
      </c>
      <c r="BB2590" s="0" t="s">
        <v>153</v>
      </c>
      <c r="DN2590" s="0" t="s">
        <v>154</v>
      </c>
      <c r="EF2590" s="0" t="s">
        <v>154</v>
      </c>
    </row>
    <row r="2591" customFormat="false" ht="13.8" hidden="false" customHeight="false" outlineLevel="0" collapsed="false">
      <c r="A2591" s="0" t="s">
        <v>11117</v>
      </c>
      <c r="B2591" s="0" t="n">
        <v>78</v>
      </c>
      <c r="C2591" s="0" t="n">
        <v>229098</v>
      </c>
      <c r="D2591" s="0" t="s">
        <v>2473</v>
      </c>
      <c r="E2591" s="0" t="s">
        <v>2791</v>
      </c>
      <c r="F2591" s="0" t="str">
        <f aca="false">CONCATENATE(D2591," ",LEFT(H2591,4),"T=",AU2591,"D=",AV2591,"R=",AW2591,"M=",AX2591,"L=",AY2591,"B=",AZ2591)</f>
        <v>BATES T=1D=0R=0M=4L=7B=1</v>
      </c>
      <c r="G2591" s="0" t="s">
        <v>241</v>
      </c>
      <c r="I2591" s="0" t="s">
        <v>11118</v>
      </c>
      <c r="J2591" s="0" t="s">
        <v>357</v>
      </c>
      <c r="K2591" s="0" t="s">
        <v>175</v>
      </c>
      <c r="L2591" s="1" t="s">
        <v>155</v>
      </c>
      <c r="M2591" s="0" t="s">
        <v>11119</v>
      </c>
      <c r="N2591" s="0" t="str">
        <f aca="false">RIGHT(M2591,LEN(M2591)-FIND(" ",M2591))</f>
        <v>TERRA ALTA ST NE</v>
      </c>
      <c r="P2591" s="0" t="s">
        <v>146</v>
      </c>
      <c r="Q2591" s="0" t="s">
        <v>147</v>
      </c>
      <c r="R2591" s="0" t="n">
        <v>44483</v>
      </c>
      <c r="AD2591" s="0" t="s">
        <v>148</v>
      </c>
      <c r="AE2591" s="0" t="s">
        <v>149</v>
      </c>
      <c r="AF2591" s="0" t="s">
        <v>150</v>
      </c>
      <c r="AH2591" s="0" t="n">
        <v>14</v>
      </c>
      <c r="AI2591" s="0" t="n">
        <v>11</v>
      </c>
      <c r="AN2591" s="0" t="s">
        <v>146</v>
      </c>
      <c r="AO2591" s="0" t="s">
        <v>236</v>
      </c>
      <c r="AP2591" s="0" t="s">
        <v>237</v>
      </c>
      <c r="AQ2591" s="0" t="n">
        <v>9</v>
      </c>
      <c r="AR2591" s="0" t="n">
        <v>64</v>
      </c>
      <c r="AS2591" s="0" t="n">
        <v>32</v>
      </c>
      <c r="AU2591" s="0" t="n">
        <f aca="false">COUNTA($BA$771:$EH$771)</f>
        <v>1</v>
      </c>
      <c r="AV2591" s="0" t="n">
        <f aca="false">COUNTIF($BA$771:$EH$771,"D")</f>
        <v>0</v>
      </c>
      <c r="AW2591" s="0" t="n">
        <f aca="false">COUNTIF($BA$771:$EH$771,"R")</f>
        <v>0</v>
      </c>
      <c r="AX2591" s="0" t="n">
        <f aca="false"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>4</v>
      </c>
      <c r="AY2591" s="0" t="n">
        <f aca="false">COUNTIF(DU2591:EH2591, "&lt;&gt;")</f>
        <v>7</v>
      </c>
      <c r="AZ2591" s="0" t="n">
        <f aca="false">IF(EH2591&lt;&gt;"",1,0)</f>
        <v>1</v>
      </c>
      <c r="BB2591" s="0" t="s">
        <v>153</v>
      </c>
      <c r="BC2591" s="0" t="s">
        <v>154</v>
      </c>
      <c r="BD2591" s="0" t="s">
        <v>154</v>
      </c>
      <c r="BH2591" s="0" t="s">
        <v>154</v>
      </c>
      <c r="BI2591" s="0" t="s">
        <v>154</v>
      </c>
      <c r="BK2591" s="0" t="s">
        <v>154</v>
      </c>
      <c r="BL2591" s="0" t="s">
        <v>154</v>
      </c>
      <c r="BR2591" s="0" t="s">
        <v>154</v>
      </c>
      <c r="BS2591" s="0" t="s">
        <v>154</v>
      </c>
      <c r="BY2591" s="0" t="s">
        <v>155</v>
      </c>
      <c r="CA2591" s="0" t="s">
        <v>154</v>
      </c>
      <c r="CG2591" s="0" t="s">
        <v>154</v>
      </c>
      <c r="CK2591" s="0" t="s">
        <v>154</v>
      </c>
      <c r="CL2591" s="0" t="s">
        <v>155</v>
      </c>
      <c r="CN2591" s="0" t="s">
        <v>154</v>
      </c>
      <c r="CO2591" s="0" t="s">
        <v>155</v>
      </c>
      <c r="CP2591" s="0" t="s">
        <v>154</v>
      </c>
      <c r="CV2591" s="0" t="s">
        <v>154</v>
      </c>
      <c r="CW2591" s="0" t="s">
        <v>155</v>
      </c>
      <c r="CY2591" s="0" t="s">
        <v>154</v>
      </c>
      <c r="CZ2591" s="0" t="s">
        <v>176</v>
      </c>
      <c r="DC2591" s="0" t="s">
        <v>154</v>
      </c>
      <c r="DF2591" s="0" t="s">
        <v>154</v>
      </c>
      <c r="DI2591" s="0" t="s">
        <v>154</v>
      </c>
      <c r="DM2591" s="0" t="s">
        <v>176</v>
      </c>
      <c r="DN2591" s="0" t="s">
        <v>154</v>
      </c>
      <c r="DR2591" s="0" t="s">
        <v>154</v>
      </c>
      <c r="DU2591" s="0" t="s">
        <v>154</v>
      </c>
      <c r="DW2591" s="0" t="s">
        <v>155</v>
      </c>
      <c r="DX2591" s="0" t="s">
        <v>154</v>
      </c>
      <c r="EA2591" s="0" t="s">
        <v>154</v>
      </c>
      <c r="ED2591" s="0" t="s">
        <v>176</v>
      </c>
      <c r="EF2591" s="0" t="s">
        <v>154</v>
      </c>
      <c r="EH2591" s="0" t="s">
        <v>155</v>
      </c>
    </row>
    <row r="2592" customFormat="false" ht="13.8" hidden="true" customHeight="false" outlineLevel="0" collapsed="false">
      <c r="A2592" s="0" t="s">
        <v>11120</v>
      </c>
      <c r="B2592" s="0" t="n">
        <v>78</v>
      </c>
      <c r="C2592" s="0" t="n">
        <v>334899</v>
      </c>
      <c r="D2592" s="0" t="s">
        <v>11121</v>
      </c>
      <c r="E2592" s="0" t="s">
        <v>11122</v>
      </c>
      <c r="F2592" s="0" t="str">
        <f aca="false">CONCATENATE(D2592," ",LEFT(H2592,4),"T=",AU2592,"D=",AV2592,"R=",AW2592,"M=",AX2592,"L=",AY2592,"B=",AZ2592)</f>
        <v>TRICE T=23D=4R=0M=0L=0B=0</v>
      </c>
      <c r="G2592" s="0" t="s">
        <v>222</v>
      </c>
      <c r="I2592" s="0" t="s">
        <v>11123</v>
      </c>
      <c r="J2592" s="0" t="s">
        <v>1672</v>
      </c>
      <c r="K2592" s="0" t="s">
        <v>144</v>
      </c>
      <c r="L2592" s="0"/>
      <c r="M2592" s="0" t="s">
        <v>11124</v>
      </c>
      <c r="N2592" s="0" t="str">
        <f aca="false">RIGHT(M2592,LEN(M2592)-FIND(" ",M2592))</f>
        <v>TERRA ALTA ST NE</v>
      </c>
      <c r="P2592" s="0" t="s">
        <v>146</v>
      </c>
      <c r="Q2592" s="0" t="s">
        <v>147</v>
      </c>
      <c r="R2592" s="0" t="n">
        <v>44483</v>
      </c>
      <c r="AD2592" s="0" t="s">
        <v>148</v>
      </c>
      <c r="AE2592" s="0" t="s">
        <v>149</v>
      </c>
      <c r="AF2592" s="0" t="s">
        <v>150</v>
      </c>
      <c r="AH2592" s="0" t="n">
        <v>14</v>
      </c>
      <c r="AI2592" s="0" t="n">
        <v>11</v>
      </c>
      <c r="AN2592" s="0" t="s">
        <v>146</v>
      </c>
      <c r="AO2592" s="0" t="s">
        <v>236</v>
      </c>
      <c r="AP2592" s="0" t="s">
        <v>237</v>
      </c>
      <c r="AQ2592" s="0" t="n">
        <v>9</v>
      </c>
      <c r="AR2592" s="0" t="n">
        <v>64</v>
      </c>
      <c r="AS2592" s="0" t="n">
        <v>32</v>
      </c>
      <c r="AU2592" s="0" t="n">
        <f aca="false">COUNTA($BA$593:$EH$593)</f>
        <v>23</v>
      </c>
      <c r="AV2592" s="0" t="n">
        <f aca="false">COUNTIF($BA$593:$EH$593,"D")</f>
        <v>4</v>
      </c>
      <c r="AW2592" s="0" t="n">
        <f aca="false">COUNTIF($BA$593:$EH$593,"R")</f>
        <v>0</v>
      </c>
      <c r="AX2592" s="0" t="n">
        <f aca="false"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>0</v>
      </c>
      <c r="AY2592" s="0" t="n">
        <f aca="false">COUNTIF(DU2592:EH2592, "&lt;&gt;")</f>
        <v>0</v>
      </c>
      <c r="AZ2592" s="0" t="n">
        <f aca="false">IF(EH2592&lt;&gt;"",1,0)</f>
        <v>0</v>
      </c>
      <c r="BB2592" s="0" t="s">
        <v>153</v>
      </c>
      <c r="BL2592" s="0" t="s">
        <v>154</v>
      </c>
      <c r="CA2592" s="0" t="s">
        <v>154</v>
      </c>
      <c r="DN2592" s="0" t="s">
        <v>154</v>
      </c>
    </row>
    <row r="2593" customFormat="false" ht="13.8" hidden="true" customHeight="false" outlineLevel="0" collapsed="false">
      <c r="A2593" s="0" t="s">
        <v>11125</v>
      </c>
      <c r="B2593" s="0" t="n">
        <v>78</v>
      </c>
      <c r="C2593" s="0" t="n">
        <v>406467</v>
      </c>
      <c r="D2593" s="0" t="s">
        <v>11121</v>
      </c>
      <c r="E2593" s="0" t="s">
        <v>11122</v>
      </c>
      <c r="F2593" s="0" t="str">
        <f aca="false">CONCATENATE(D2593," ",LEFT(H2593,4),"T=",AU2593,"D=",AV2593,"R=",AW2593,"M=",AX2593,"L=",AY2593,"B=",AZ2593)</f>
        <v>TRICE JRT=3D=0R=0M=0L=0B=0</v>
      </c>
      <c r="G2593" s="0" t="s">
        <v>222</v>
      </c>
      <c r="H2593" s="0" t="s">
        <v>431</v>
      </c>
      <c r="I2593" s="0" t="s">
        <v>11126</v>
      </c>
      <c r="J2593" s="0" t="s">
        <v>2666</v>
      </c>
      <c r="K2593" s="0" t="s">
        <v>144</v>
      </c>
      <c r="L2593" s="0"/>
      <c r="M2593" s="0" t="s">
        <v>11124</v>
      </c>
      <c r="N2593" s="0" t="str">
        <f aca="false">RIGHT(M2593,LEN(M2593)-FIND(" ",M2593))</f>
        <v>TERRA ALTA ST NE</v>
      </c>
      <c r="P2593" s="0" t="s">
        <v>146</v>
      </c>
      <c r="Q2593" s="0" t="s">
        <v>147</v>
      </c>
      <c r="R2593" s="0" t="n">
        <v>44483</v>
      </c>
      <c r="AD2593" s="0" t="s">
        <v>148</v>
      </c>
      <c r="AE2593" s="0" t="s">
        <v>149</v>
      </c>
      <c r="AF2593" s="0" t="s">
        <v>150</v>
      </c>
      <c r="AH2593" s="0" t="n">
        <v>14</v>
      </c>
      <c r="AI2593" s="0" t="n">
        <v>11</v>
      </c>
      <c r="AN2593" s="0" t="s">
        <v>146</v>
      </c>
      <c r="AO2593" s="0" t="s">
        <v>236</v>
      </c>
      <c r="AP2593" s="0" t="s">
        <v>237</v>
      </c>
      <c r="AQ2593" s="0" t="n">
        <v>9</v>
      </c>
      <c r="AR2593" s="0" t="n">
        <v>64</v>
      </c>
      <c r="AS2593" s="0" t="n">
        <v>32</v>
      </c>
      <c r="AU2593" s="0" t="n">
        <f aca="false">COUNTA($BA$951:$EH$951)</f>
        <v>3</v>
      </c>
      <c r="AV2593" s="0" t="n">
        <f aca="false">COUNTIF($BA$951:$EH$951,"D")</f>
        <v>0</v>
      </c>
      <c r="AW2593" s="0" t="n">
        <f aca="false">COUNTIF($BA$951:$EH$951,"R")</f>
        <v>0</v>
      </c>
      <c r="AX2593" s="0" t="n">
        <f aca="false"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>0</v>
      </c>
      <c r="AY2593" s="0" t="n">
        <f aca="false">COUNTIF(DU2593:EH2593, "&lt;&gt;")</f>
        <v>0</v>
      </c>
      <c r="AZ2593" s="0" t="n">
        <f aca="false">IF(EH2593&lt;&gt;"",1,0)</f>
        <v>0</v>
      </c>
      <c r="BB2593" s="0" t="s">
        <v>153</v>
      </c>
    </row>
    <row r="2594" customFormat="false" ht="13.8" hidden="false" customHeight="false" outlineLevel="0" collapsed="false">
      <c r="A2594" s="0" t="s">
        <v>11127</v>
      </c>
      <c r="B2594" s="0" t="n">
        <v>78</v>
      </c>
      <c r="C2594" s="0" t="n">
        <v>409077</v>
      </c>
      <c r="D2594" s="0" t="s">
        <v>5158</v>
      </c>
      <c r="E2594" s="0" t="s">
        <v>903</v>
      </c>
      <c r="F2594" s="0" t="str">
        <f aca="false">CONCATENATE(D2594," ",LEFT(H2594,4),"T=",AU2594,"D=",AV2594,"R=",AW2594,"M=",AX2594,"L=",AY2594,"B=",AZ2594)</f>
        <v>POLAK T=4D=0R=0M=0L=2B=0</v>
      </c>
      <c r="G2594" s="0" t="s">
        <v>181</v>
      </c>
      <c r="I2594" s="0" t="s">
        <v>11128</v>
      </c>
      <c r="J2594" s="0" t="s">
        <v>11129</v>
      </c>
      <c r="K2594" s="0" t="s">
        <v>175</v>
      </c>
      <c r="M2594" s="0" t="s">
        <v>11130</v>
      </c>
      <c r="N2594" s="0" t="str">
        <f aca="false">RIGHT(M2594,LEN(M2594)-FIND(" ",M2594))</f>
        <v>TERRA ALTA ST NE</v>
      </c>
      <c r="P2594" s="0" t="s">
        <v>146</v>
      </c>
      <c r="Q2594" s="0" t="s">
        <v>147</v>
      </c>
      <c r="R2594" s="0" t="n">
        <v>44483</v>
      </c>
      <c r="AD2594" s="0" t="s">
        <v>148</v>
      </c>
      <c r="AE2594" s="0" t="s">
        <v>149</v>
      </c>
      <c r="AF2594" s="0" t="s">
        <v>150</v>
      </c>
      <c r="AH2594" s="0" t="n">
        <v>14</v>
      </c>
      <c r="AI2594" s="0" t="n">
        <v>11</v>
      </c>
      <c r="AN2594" s="0" t="s">
        <v>146</v>
      </c>
      <c r="AO2594" s="0" t="s">
        <v>236</v>
      </c>
      <c r="AP2594" s="0" t="s">
        <v>237</v>
      </c>
      <c r="AQ2594" s="0" t="n">
        <v>9</v>
      </c>
      <c r="AR2594" s="0" t="n">
        <v>64</v>
      </c>
      <c r="AS2594" s="0" t="n">
        <v>32</v>
      </c>
      <c r="AU2594" s="0" t="n">
        <f aca="false">COUNTA($BA$89:$EH$89)</f>
        <v>4</v>
      </c>
      <c r="AV2594" s="0" t="n">
        <f aca="false">COUNTIF($BA$89:$EH$89,"D")</f>
        <v>0</v>
      </c>
      <c r="AW2594" s="0" t="n">
        <f aca="false">COUNTIF($BA$89:$EH$89,"R")</f>
        <v>0</v>
      </c>
      <c r="AX2594" s="0" t="n">
        <f aca="false"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>0</v>
      </c>
      <c r="AY2594" s="0" t="n">
        <f aca="false">COUNTIF(DU2594:EH2594, "&lt;&gt;")</f>
        <v>2</v>
      </c>
      <c r="AZ2594" s="0" t="n">
        <f aca="false">IF(EH2594&lt;&gt;"",1,0)</f>
        <v>0</v>
      </c>
      <c r="BB2594" s="0" t="s">
        <v>153</v>
      </c>
      <c r="DN2594" s="0" t="s">
        <v>154</v>
      </c>
      <c r="DX2594" s="0" t="s">
        <v>154</v>
      </c>
      <c r="EF2594" s="0" t="s">
        <v>154</v>
      </c>
    </row>
    <row r="2595" customFormat="false" ht="13.8" hidden="false" customHeight="false" outlineLevel="0" collapsed="false">
      <c r="A2595" s="0" t="s">
        <v>11131</v>
      </c>
      <c r="B2595" s="0" t="n">
        <v>78</v>
      </c>
      <c r="C2595" s="0" t="n">
        <v>323080</v>
      </c>
      <c r="D2595" s="0" t="s">
        <v>11132</v>
      </c>
      <c r="E2595" s="0" t="s">
        <v>2293</v>
      </c>
      <c r="F2595" s="0" t="str">
        <f aca="false">CONCATENATE(D2595," ",LEFT(H2595,4),"T=",AU2595,"D=",AV2595,"R=",AW2595,"M=",AX2595,"L=",AY2595,"B=",AZ2595)</f>
        <v>METHENY T=2D=0R=0M=2L=7B=1</v>
      </c>
      <c r="G2595" s="0" t="s">
        <v>202</v>
      </c>
      <c r="I2595" s="0" t="s">
        <v>11133</v>
      </c>
      <c r="J2595" s="0" t="s">
        <v>8009</v>
      </c>
      <c r="K2595" s="0" t="s">
        <v>175</v>
      </c>
      <c r="L2595" s="1" t="s">
        <v>155</v>
      </c>
      <c r="M2595" s="0" t="s">
        <v>11134</v>
      </c>
      <c r="N2595" s="0" t="str">
        <f aca="false">RIGHT(M2595,LEN(M2595)-FIND(" ",M2595))</f>
        <v>TERRA ALTA ST NE</v>
      </c>
      <c r="P2595" s="0" t="s">
        <v>146</v>
      </c>
      <c r="Q2595" s="0" t="s">
        <v>147</v>
      </c>
      <c r="R2595" s="0" t="n">
        <v>44483</v>
      </c>
      <c r="AD2595" s="0" t="s">
        <v>148</v>
      </c>
      <c r="AE2595" s="0" t="s">
        <v>149</v>
      </c>
      <c r="AF2595" s="0" t="s">
        <v>150</v>
      </c>
      <c r="AH2595" s="0" t="n">
        <v>14</v>
      </c>
      <c r="AI2595" s="0" t="n">
        <v>11</v>
      </c>
      <c r="AN2595" s="0" t="s">
        <v>146</v>
      </c>
      <c r="AO2595" s="0" t="s">
        <v>236</v>
      </c>
      <c r="AP2595" s="0" t="s">
        <v>237</v>
      </c>
      <c r="AQ2595" s="0" t="n">
        <v>9</v>
      </c>
      <c r="AR2595" s="0" t="n">
        <v>64</v>
      </c>
      <c r="AS2595" s="0" t="n">
        <v>32</v>
      </c>
      <c r="AU2595" s="0" t="n">
        <f aca="false">COUNTA($BA$329:$EH$329)</f>
        <v>2</v>
      </c>
      <c r="AV2595" s="0" t="n">
        <f aca="false">COUNTIF($BA$329:$EH$329,"D")</f>
        <v>0</v>
      </c>
      <c r="AW2595" s="0" t="n">
        <f aca="false">COUNTIF($BA$329:$EH$329,"R")</f>
        <v>0</v>
      </c>
      <c r="AX2595" s="0" t="n">
        <f aca="false"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>2</v>
      </c>
      <c r="AY2595" s="0" t="n">
        <f aca="false">COUNTIF(DU2595:EH2595, "&lt;&gt;")</f>
        <v>7</v>
      </c>
      <c r="AZ2595" s="0" t="n">
        <f aca="false">IF(EH2595&lt;&gt;"",1,0)</f>
        <v>1</v>
      </c>
      <c r="BB2595" s="0" t="s">
        <v>153</v>
      </c>
      <c r="BL2595" s="0" t="s">
        <v>154</v>
      </c>
      <c r="BS2595" s="0" t="s">
        <v>154</v>
      </c>
      <c r="BY2595" s="0" t="s">
        <v>155</v>
      </c>
      <c r="CA2595" s="0" t="s">
        <v>154</v>
      </c>
      <c r="CK2595" s="0" t="s">
        <v>154</v>
      </c>
      <c r="CP2595" s="0" t="s">
        <v>154</v>
      </c>
      <c r="CV2595" s="0" t="s">
        <v>154</v>
      </c>
      <c r="DS2595" s="0" t="s">
        <v>155</v>
      </c>
      <c r="DT2595" s="0" t="s">
        <v>155</v>
      </c>
      <c r="DU2595" s="0" t="s">
        <v>154</v>
      </c>
      <c r="DW2595" s="0" t="s">
        <v>155</v>
      </c>
      <c r="DX2595" s="0" t="s">
        <v>154</v>
      </c>
      <c r="EA2595" s="0" t="s">
        <v>154</v>
      </c>
      <c r="ED2595" s="0" t="s">
        <v>155</v>
      </c>
      <c r="EF2595" s="0" t="s">
        <v>154</v>
      </c>
      <c r="EH2595" s="0" t="s">
        <v>155</v>
      </c>
    </row>
    <row r="2596" customFormat="false" ht="13.8" hidden="true" customHeight="false" outlineLevel="0" collapsed="false">
      <c r="A2596" s="0" t="s">
        <v>11135</v>
      </c>
      <c r="B2596" s="0" t="n">
        <v>78</v>
      </c>
      <c r="C2596" s="0" t="n">
        <v>489213</v>
      </c>
      <c r="D2596" s="0" t="s">
        <v>2932</v>
      </c>
      <c r="E2596" s="0" t="s">
        <v>11136</v>
      </c>
      <c r="F2596" s="0" t="str">
        <f aca="false">CONCATENATE(D2596," ",LEFT(H2596,4),"T=",AU2596,"D=",AV2596,"R=",AW2596,"M=",AX2596,"L=",AY2596,"B=",AZ2596)</f>
        <v>WERTZ T=2D=1R=0M=0L=1B=0</v>
      </c>
      <c r="G2596" s="0" t="s">
        <v>690</v>
      </c>
      <c r="I2596" s="0" t="s">
        <v>11137</v>
      </c>
      <c r="J2596" s="0" t="s">
        <v>6279</v>
      </c>
      <c r="K2596" s="0" t="s">
        <v>175</v>
      </c>
      <c r="L2596" s="0"/>
      <c r="M2596" s="0" t="s">
        <v>11138</v>
      </c>
      <c r="N2596" s="0" t="str">
        <f aca="false">RIGHT(M2596,LEN(M2596)-FIND(" ",M2596))</f>
        <v>TERRA ALTA ST NE</v>
      </c>
      <c r="P2596" s="0" t="s">
        <v>146</v>
      </c>
      <c r="Q2596" s="0" t="s">
        <v>147</v>
      </c>
      <c r="R2596" s="0" t="n">
        <v>44483</v>
      </c>
      <c r="AD2596" s="0" t="s">
        <v>148</v>
      </c>
      <c r="AE2596" s="0" t="s">
        <v>149</v>
      </c>
      <c r="AF2596" s="0" t="s">
        <v>150</v>
      </c>
      <c r="AH2596" s="0" t="n">
        <v>14</v>
      </c>
      <c r="AI2596" s="0" t="n">
        <v>11</v>
      </c>
      <c r="AN2596" s="0" t="s">
        <v>146</v>
      </c>
      <c r="AO2596" s="0" t="s">
        <v>236</v>
      </c>
      <c r="AP2596" s="0" t="s">
        <v>237</v>
      </c>
      <c r="AQ2596" s="0" t="n">
        <v>9</v>
      </c>
      <c r="AR2596" s="0" t="n">
        <v>64</v>
      </c>
      <c r="AS2596" s="0" t="n">
        <v>32</v>
      </c>
      <c r="AU2596" s="0" t="n">
        <f aca="false">COUNTA($BA$279:$EH$279)</f>
        <v>2</v>
      </c>
      <c r="AV2596" s="0" t="n">
        <f aca="false">COUNTIF($BA$279:$EH$279,"D")</f>
        <v>1</v>
      </c>
      <c r="AW2596" s="0" t="n">
        <f aca="false">COUNTIF($BA$279:$EH$279,"R")</f>
        <v>0</v>
      </c>
      <c r="AX2596" s="0" t="n">
        <f aca="false"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>0</v>
      </c>
      <c r="AY2596" s="0" t="n">
        <f aca="false">COUNTIF(DU2596:EH2596, "&lt;&gt;")</f>
        <v>1</v>
      </c>
      <c r="AZ2596" s="0" t="n">
        <f aca="false">IF(EH2596&lt;&gt;"",1,0)</f>
        <v>0</v>
      </c>
      <c r="BB2596" s="0" t="s">
        <v>153</v>
      </c>
      <c r="EF2596" s="0" t="s">
        <v>154</v>
      </c>
    </row>
    <row r="2597" customFormat="false" ht="13.8" hidden="true" customHeight="false" outlineLevel="0" collapsed="false">
      <c r="A2597" s="0" t="s">
        <v>11139</v>
      </c>
      <c r="B2597" s="0" t="n">
        <v>78</v>
      </c>
      <c r="C2597" s="0" t="n">
        <v>395080</v>
      </c>
      <c r="D2597" s="0" t="s">
        <v>11140</v>
      </c>
      <c r="E2597" s="0" t="s">
        <v>2367</v>
      </c>
      <c r="F2597" s="0" t="str">
        <f aca="false">CONCATENATE(D2597," ",LEFT(H2597,4),"T=",AU2597,"D=",AV2597,"R=",AW2597,"M=",AX2597,"L=",AY2597,"B=",AZ2597)</f>
        <v>DESANTIS T=8D=1R=0M=0L=0B=0</v>
      </c>
      <c r="G2597" s="0" t="s">
        <v>1717</v>
      </c>
      <c r="I2597" s="0" t="s">
        <v>11141</v>
      </c>
      <c r="J2597" s="0" t="s">
        <v>11142</v>
      </c>
      <c r="K2597" s="0" t="s">
        <v>175</v>
      </c>
      <c r="L2597" s="0"/>
      <c r="M2597" s="0" t="s">
        <v>11143</v>
      </c>
      <c r="N2597" s="0" t="str">
        <f aca="false">RIGHT(M2597,LEN(M2597)-FIND(" ",M2597))</f>
        <v>TERRA ALTA ST NE</v>
      </c>
      <c r="P2597" s="0" t="s">
        <v>146</v>
      </c>
      <c r="Q2597" s="0" t="s">
        <v>147</v>
      </c>
      <c r="R2597" s="0" t="n">
        <v>44483</v>
      </c>
      <c r="AD2597" s="0" t="s">
        <v>148</v>
      </c>
      <c r="AE2597" s="0" t="s">
        <v>149</v>
      </c>
      <c r="AF2597" s="0" t="s">
        <v>150</v>
      </c>
      <c r="AH2597" s="0" t="n">
        <v>14</v>
      </c>
      <c r="AI2597" s="0" t="n">
        <v>11</v>
      </c>
      <c r="AN2597" s="0" t="s">
        <v>146</v>
      </c>
      <c r="AO2597" s="0" t="s">
        <v>236</v>
      </c>
      <c r="AP2597" s="0" t="s">
        <v>237</v>
      </c>
      <c r="AQ2597" s="0" t="n">
        <v>9</v>
      </c>
      <c r="AR2597" s="0" t="n">
        <v>64</v>
      </c>
      <c r="AS2597" s="0" t="n">
        <v>32</v>
      </c>
      <c r="AU2597" s="0" t="n">
        <f aca="false">COUNTA($BA$369:$EH$369)</f>
        <v>8</v>
      </c>
      <c r="AV2597" s="0" t="n">
        <f aca="false">COUNTIF($BA$369:$EH$369,"D")</f>
        <v>1</v>
      </c>
      <c r="AW2597" s="0" t="n">
        <f aca="false">COUNTIF($BA$369:$EH$369,"R")</f>
        <v>0</v>
      </c>
      <c r="AX2597" s="0" t="n">
        <f aca="false"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>0</v>
      </c>
      <c r="AY2597" s="0" t="n">
        <f aca="false">COUNTIF(DU2597:EH2597, "&lt;&gt;")</f>
        <v>0</v>
      </c>
      <c r="AZ2597" s="0" t="n">
        <f aca="false">IF(EH2597&lt;&gt;"",1,0)</f>
        <v>0</v>
      </c>
      <c r="BB2597" s="0" t="s">
        <v>153</v>
      </c>
      <c r="DN2597" s="0" t="s">
        <v>154</v>
      </c>
    </row>
    <row r="2598" customFormat="false" ht="13.8" hidden="true" customHeight="false" outlineLevel="0" collapsed="false">
      <c r="A2598" s="0" t="s">
        <v>11144</v>
      </c>
      <c r="B2598" s="0" t="n">
        <v>78</v>
      </c>
      <c r="C2598" s="0" t="n">
        <v>314673</v>
      </c>
      <c r="D2598" s="0" t="s">
        <v>11145</v>
      </c>
      <c r="E2598" s="0" t="s">
        <v>1481</v>
      </c>
      <c r="F2598" s="0" t="str">
        <f aca="false">CONCATENATE(D2598," ",LEFT(H2598,4),"T=",AU2598,"D=",AV2598,"R=",AW2598,"M=",AX2598,"L=",AY2598,"B=",AZ2598)</f>
        <v>LAPROCINA T=1D=0R=0M=0L=0B=0</v>
      </c>
      <c r="G2598" s="0" t="s">
        <v>455</v>
      </c>
      <c r="I2598" s="0" t="s">
        <v>11146</v>
      </c>
      <c r="J2598" s="0" t="s">
        <v>3782</v>
      </c>
      <c r="K2598" s="0" t="s">
        <v>144</v>
      </c>
      <c r="L2598" s="0"/>
      <c r="M2598" s="0" t="s">
        <v>11147</v>
      </c>
      <c r="N2598" s="0" t="str">
        <f aca="false">RIGHT(M2598,LEN(M2598)-FIND(" ",M2598))</f>
        <v>TERRA ALTA ST NE</v>
      </c>
      <c r="P2598" s="0" t="s">
        <v>146</v>
      </c>
      <c r="Q2598" s="0" t="s">
        <v>147</v>
      </c>
      <c r="R2598" s="0" t="n">
        <v>44483</v>
      </c>
      <c r="AD2598" s="0" t="s">
        <v>148</v>
      </c>
      <c r="AE2598" s="0" t="s">
        <v>149</v>
      </c>
      <c r="AF2598" s="0" t="s">
        <v>150</v>
      </c>
      <c r="AH2598" s="0" t="n">
        <v>14</v>
      </c>
      <c r="AI2598" s="0" t="n">
        <v>11</v>
      </c>
      <c r="AN2598" s="0" t="s">
        <v>146</v>
      </c>
      <c r="AO2598" s="0" t="s">
        <v>236</v>
      </c>
      <c r="AP2598" s="0" t="s">
        <v>237</v>
      </c>
      <c r="AQ2598" s="0" t="n">
        <v>9</v>
      </c>
      <c r="AR2598" s="0" t="n">
        <v>64</v>
      </c>
      <c r="AS2598" s="0" t="n">
        <v>32</v>
      </c>
      <c r="AU2598" s="0" t="n">
        <f aca="false">COUNTA($BA$818:$EH$818)</f>
        <v>1</v>
      </c>
      <c r="AV2598" s="0" t="n">
        <f aca="false">COUNTIF($BA$818:$EH$818,"D")</f>
        <v>0</v>
      </c>
      <c r="AW2598" s="0" t="n">
        <f aca="false">COUNTIF($BA$818:$EH$818,"R")</f>
        <v>0</v>
      </c>
      <c r="AX2598" s="0" t="n">
        <f aca="false"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>0</v>
      </c>
      <c r="AY2598" s="0" t="n">
        <f aca="false">COUNTIF(DU2598:EH2598, "&lt;&gt;")</f>
        <v>0</v>
      </c>
      <c r="AZ2598" s="0" t="n">
        <f aca="false">IF(EH2598&lt;&gt;"",1,0)</f>
        <v>0</v>
      </c>
      <c r="BB2598" s="0" t="s">
        <v>153</v>
      </c>
      <c r="BL2598" s="0" t="s">
        <v>154</v>
      </c>
      <c r="CP2598" s="0" t="s">
        <v>154</v>
      </c>
      <c r="CZ2598" s="0" t="s">
        <v>155</v>
      </c>
      <c r="DC2598" s="0" t="s">
        <v>154</v>
      </c>
    </row>
    <row r="2599" customFormat="false" ht="13.8" hidden="true" customHeight="false" outlineLevel="0" collapsed="false">
      <c r="A2599" s="0" t="s">
        <v>11148</v>
      </c>
      <c r="B2599" s="0" t="n">
        <v>78</v>
      </c>
      <c r="C2599" s="0" t="n">
        <v>370461</v>
      </c>
      <c r="D2599" s="0" t="s">
        <v>7640</v>
      </c>
      <c r="E2599" s="0" t="s">
        <v>6452</v>
      </c>
      <c r="F2599" s="0" t="str">
        <f aca="false">CONCATENATE(D2599," ",LEFT(H2599,4),"T=",AU2599,"D=",AV2599,"R=",AW2599,"M=",AX2599,"L=",AY2599,"B=",AZ2599)</f>
        <v>MCCARTY T=3D=0R=0M=0L=1B=0</v>
      </c>
      <c r="G2599" s="0" t="s">
        <v>802</v>
      </c>
      <c r="I2599" s="0" t="s">
        <v>11149</v>
      </c>
      <c r="J2599" s="0" t="s">
        <v>1750</v>
      </c>
      <c r="K2599" s="0" t="s">
        <v>175</v>
      </c>
      <c r="L2599" s="0"/>
      <c r="M2599" s="0" t="s">
        <v>11150</v>
      </c>
      <c r="N2599" s="0" t="str">
        <f aca="false">RIGHT(M2599,LEN(M2599)-FIND(" ",M2599))</f>
        <v>TERRA ALTA ST NE</v>
      </c>
      <c r="P2599" s="0" t="s">
        <v>146</v>
      </c>
      <c r="Q2599" s="0" t="s">
        <v>147</v>
      </c>
      <c r="R2599" s="0" t="n">
        <v>44483</v>
      </c>
      <c r="AD2599" s="0" t="s">
        <v>148</v>
      </c>
      <c r="AE2599" s="0" t="s">
        <v>149</v>
      </c>
      <c r="AF2599" s="0" t="s">
        <v>150</v>
      </c>
      <c r="AH2599" s="0" t="n">
        <v>14</v>
      </c>
      <c r="AI2599" s="0" t="n">
        <v>11</v>
      </c>
      <c r="AN2599" s="0" t="s">
        <v>146</v>
      </c>
      <c r="AO2599" s="0" t="s">
        <v>236</v>
      </c>
      <c r="AP2599" s="0" t="s">
        <v>237</v>
      </c>
      <c r="AQ2599" s="0" t="n">
        <v>9</v>
      </c>
      <c r="AR2599" s="0" t="n">
        <v>64</v>
      </c>
      <c r="AS2599" s="0" t="n">
        <v>32</v>
      </c>
      <c r="AU2599" s="0" t="n">
        <f aca="false">COUNTA($BA$131:$EH$131)</f>
        <v>3</v>
      </c>
      <c r="AV2599" s="0" t="n">
        <f aca="false">COUNTIF($BA$131:$EH$131,"D")</f>
        <v>0</v>
      </c>
      <c r="AW2599" s="0" t="n">
        <f aca="false">COUNTIF($BA$131:$EH$131,"R")</f>
        <v>0</v>
      </c>
      <c r="AX2599" s="0" t="n">
        <f aca="false"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>0</v>
      </c>
      <c r="AY2599" s="0" t="n">
        <f aca="false">COUNTIF(DU2599:EH2599, "&lt;&gt;")</f>
        <v>1</v>
      </c>
      <c r="AZ2599" s="0" t="n">
        <f aca="false">IF(EH2599&lt;&gt;"",1,0)</f>
        <v>0</v>
      </c>
      <c r="BB2599" s="0" t="s">
        <v>153</v>
      </c>
      <c r="CN2599" s="0" t="s">
        <v>154</v>
      </c>
      <c r="CP2599" s="0" t="s">
        <v>154</v>
      </c>
      <c r="CY2599" s="0" t="s">
        <v>154</v>
      </c>
      <c r="DC2599" s="0" t="s">
        <v>154</v>
      </c>
      <c r="DN2599" s="0" t="s">
        <v>154</v>
      </c>
      <c r="EF2599" s="0" t="s">
        <v>154</v>
      </c>
    </row>
    <row r="2600" customFormat="false" ht="13.8" hidden="true" customHeight="false" outlineLevel="0" collapsed="false">
      <c r="A2600" s="0" t="s">
        <v>11151</v>
      </c>
      <c r="B2600" s="0" t="n">
        <v>78</v>
      </c>
      <c r="C2600" s="0" t="n">
        <v>330426</v>
      </c>
      <c r="D2600" s="0" t="s">
        <v>7640</v>
      </c>
      <c r="E2600" s="0" t="s">
        <v>2303</v>
      </c>
      <c r="F2600" s="0" t="str">
        <f aca="false">CONCATENATE(D2600," ",LEFT(H2600,4),"T=",AU2600,"D=",AV2600,"R=",AW2600,"M=",AX2600,"L=",AY2600,"B=",AZ2600)</f>
        <v>MCCARTY T=18D=3R=0M=0L=0B=0</v>
      </c>
      <c r="G2600" s="0" t="s">
        <v>430</v>
      </c>
      <c r="I2600" s="0" t="s">
        <v>11152</v>
      </c>
      <c r="J2600" s="0" t="s">
        <v>5403</v>
      </c>
      <c r="K2600" s="0" t="s">
        <v>144</v>
      </c>
      <c r="L2600" s="0"/>
      <c r="M2600" s="0" t="s">
        <v>11150</v>
      </c>
      <c r="N2600" s="0" t="str">
        <f aca="false">RIGHT(M2600,LEN(M2600)-FIND(" ",M2600))</f>
        <v>TERRA ALTA ST NE</v>
      </c>
      <c r="P2600" s="0" t="s">
        <v>146</v>
      </c>
      <c r="Q2600" s="0" t="s">
        <v>147</v>
      </c>
      <c r="R2600" s="0" t="n">
        <v>44483</v>
      </c>
      <c r="AD2600" s="0" t="s">
        <v>148</v>
      </c>
      <c r="AE2600" s="0" t="s">
        <v>149</v>
      </c>
      <c r="AF2600" s="0" t="s">
        <v>150</v>
      </c>
      <c r="AH2600" s="0" t="n">
        <v>14</v>
      </c>
      <c r="AI2600" s="0" t="n">
        <v>11</v>
      </c>
      <c r="AN2600" s="0" t="s">
        <v>146</v>
      </c>
      <c r="AO2600" s="0" t="s">
        <v>236</v>
      </c>
      <c r="AP2600" s="0" t="s">
        <v>237</v>
      </c>
      <c r="AQ2600" s="0" t="n">
        <v>9</v>
      </c>
      <c r="AR2600" s="0" t="n">
        <v>64</v>
      </c>
      <c r="AS2600" s="0" t="n">
        <v>32</v>
      </c>
      <c r="AU2600" s="0" t="n">
        <f aca="false">COUNTA($BA$434:$EH$434)</f>
        <v>18</v>
      </c>
      <c r="AV2600" s="0" t="n">
        <f aca="false">COUNTIF($BA$434:$EH$434,"D")</f>
        <v>3</v>
      </c>
      <c r="AW2600" s="0" t="n">
        <f aca="false">COUNTIF($BA$434:$EH$434,"R")</f>
        <v>0</v>
      </c>
      <c r="AX2600" s="0" t="n">
        <f aca="false"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>0</v>
      </c>
      <c r="AY2600" s="0" t="n">
        <f aca="false">COUNTIF(DU2600:EH2600, "&lt;&gt;")</f>
        <v>0</v>
      </c>
      <c r="AZ2600" s="0" t="n">
        <f aca="false">IF(EH2600&lt;&gt;"",1,0)</f>
        <v>0</v>
      </c>
      <c r="BB2600" s="0" t="s">
        <v>153</v>
      </c>
      <c r="BL2600" s="0" t="s">
        <v>154</v>
      </c>
      <c r="BP2600" s="0" t="s">
        <v>154</v>
      </c>
      <c r="BS2600" s="0" t="s">
        <v>154</v>
      </c>
      <c r="CA2600" s="0" t="s">
        <v>154</v>
      </c>
      <c r="CG2600" s="0" t="s">
        <v>154</v>
      </c>
      <c r="CK2600" s="0" t="s">
        <v>154</v>
      </c>
      <c r="CN2600" s="0" t="s">
        <v>154</v>
      </c>
      <c r="CO2600" s="0" t="s">
        <v>176</v>
      </c>
      <c r="CP2600" s="0" t="s">
        <v>154</v>
      </c>
      <c r="DC2600" s="0" t="s">
        <v>154</v>
      </c>
      <c r="DI2600" s="0" t="s">
        <v>154</v>
      </c>
      <c r="DN2600" s="0" t="s">
        <v>154</v>
      </c>
    </row>
    <row r="2601" customFormat="false" ht="13.8" hidden="true" customHeight="false" outlineLevel="0" collapsed="false">
      <c r="A2601" s="0" t="s">
        <v>11153</v>
      </c>
      <c r="B2601" s="0" t="n">
        <v>78</v>
      </c>
      <c r="C2601" s="0" t="n">
        <v>408764</v>
      </c>
      <c r="D2601" s="0" t="s">
        <v>290</v>
      </c>
      <c r="E2601" s="0" t="s">
        <v>11154</v>
      </c>
      <c r="F2601" s="0" t="str">
        <f aca="false">CONCATENATE(D2601," ",LEFT(H2601,4),"T=",AU2601,"D=",AV2601,"R=",AW2601,"M=",AX2601,"L=",AY2601,"B=",AZ2601)</f>
        <v>THOMPSON T=16D=1R=2M=0L=0B=0</v>
      </c>
      <c r="G2601" s="0" t="s">
        <v>216</v>
      </c>
      <c r="I2601" s="0" t="s">
        <v>11155</v>
      </c>
      <c r="J2601" s="0" t="s">
        <v>342</v>
      </c>
      <c r="K2601" s="0" t="s">
        <v>144</v>
      </c>
      <c r="L2601" s="0"/>
      <c r="M2601" s="0" t="s">
        <v>11156</v>
      </c>
      <c r="N2601" s="0" t="str">
        <f aca="false">RIGHT(M2601,LEN(M2601)-FIND(" ",M2601))</f>
        <v>TERRA ALTA ST NE</v>
      </c>
      <c r="P2601" s="0" t="s">
        <v>146</v>
      </c>
      <c r="Q2601" s="0" t="s">
        <v>147</v>
      </c>
      <c r="R2601" s="0" t="n">
        <v>44483</v>
      </c>
      <c r="AD2601" s="0" t="s">
        <v>148</v>
      </c>
      <c r="AE2601" s="0" t="s">
        <v>149</v>
      </c>
      <c r="AF2601" s="0" t="s">
        <v>150</v>
      </c>
      <c r="AH2601" s="0" t="n">
        <v>14</v>
      </c>
      <c r="AI2601" s="0" t="n">
        <v>11</v>
      </c>
      <c r="AN2601" s="0" t="s">
        <v>146</v>
      </c>
      <c r="AO2601" s="0" t="s">
        <v>236</v>
      </c>
      <c r="AP2601" s="0" t="s">
        <v>237</v>
      </c>
      <c r="AQ2601" s="0" t="n">
        <v>9</v>
      </c>
      <c r="AR2601" s="0" t="n">
        <v>64</v>
      </c>
      <c r="AS2601" s="0" t="n">
        <v>32</v>
      </c>
      <c r="AU2601" s="0" t="n">
        <f aca="false">COUNTA($BA$965:$EH$965)</f>
        <v>16</v>
      </c>
      <c r="AV2601" s="0" t="n">
        <f aca="false">COUNTIF($BA$965:$EH$965,"D")</f>
        <v>1</v>
      </c>
      <c r="AW2601" s="0" t="n">
        <f aca="false">COUNTIF($BA$965:$EH$965,"R")</f>
        <v>2</v>
      </c>
      <c r="AX2601" s="0" t="n">
        <f aca="false">IF(BN2601="D",1,0)+IF(BO2601="D",1,0)+IF(BT2601="D",1,0)+IF(BU2601="D",1,0)+IF(BW2601="D",1,0)+IF(CC2601="D",1,0)+IF(CD2601="D",1,0)+IF(CE2601="D",1,0)+IF(CF2601="D",1,0)+IF(CL2601="D",1,0)+IF(CM2601="D",1,0)+IF(CQ2601="D",1,0)+IF(CR2601="D",1,0)+IF(CS2601="D",1,0)+IF(CW2601="D",1,0)+IF(CX2601="D",1,0)+IF(DD2601="D",1,0)+IF(DE2601="D",1,0)+IF(DJ2601="D",1,0)+IF(DK2601="D",1,0)+IF(DO2601="D",1,0)+IF(DP2601="D",1,0)+IF(DQ2601="D",1,0)+IF(DW2601="D",1,0)+IF(DZ2601="D",1,0)+IF(EH2601="D",1,0)</f>
        <v>0</v>
      </c>
      <c r="AY2601" s="0" t="n">
        <f aca="false">COUNTIF(DU2601:EH2601, "&lt;&gt;")</f>
        <v>0</v>
      </c>
      <c r="AZ2601" s="0" t="n">
        <f aca="false">IF(EH2601&lt;&gt;"",1,0)</f>
        <v>0</v>
      </c>
      <c r="BB2601" s="0" t="s">
        <v>153</v>
      </c>
    </row>
    <row r="2602" customFormat="false" ht="13.8" hidden="false" customHeight="false" outlineLevel="0" collapsed="false">
      <c r="A2602" s="0" t="s">
        <v>11157</v>
      </c>
      <c r="B2602" s="0" t="n">
        <v>78</v>
      </c>
      <c r="C2602" s="0" t="n">
        <v>297032</v>
      </c>
      <c r="D2602" s="0" t="s">
        <v>11158</v>
      </c>
      <c r="E2602" s="0" t="s">
        <v>1980</v>
      </c>
      <c r="F2602" s="0" t="str">
        <f aca="false">CONCATENATE(D2602," ",LEFT(H2602,4),"T=",AU2602,"D=",AV2602,"R=",AW2602,"M=",AX2602,"L=",AY2602,"B=",AZ2602)</f>
        <v>WINFREY T=44D=14R=0M=1L=3B=0</v>
      </c>
      <c r="G2602" s="0" t="s">
        <v>155</v>
      </c>
      <c r="I2602" s="0" t="s">
        <v>11159</v>
      </c>
      <c r="J2602" s="0" t="s">
        <v>10775</v>
      </c>
      <c r="K2602" s="0" t="s">
        <v>175</v>
      </c>
      <c r="M2602" s="0" t="s">
        <v>11160</v>
      </c>
      <c r="N2602" s="0" t="str">
        <f aca="false">RIGHT(M2602,LEN(M2602)-FIND(" ",M2602))</f>
        <v>TRUXTON ST NE</v>
      </c>
      <c r="P2602" s="0" t="s">
        <v>146</v>
      </c>
      <c r="Q2602" s="0" t="s">
        <v>147</v>
      </c>
      <c r="R2602" s="0" t="n">
        <v>44483</v>
      </c>
      <c r="AD2602" s="0" t="s">
        <v>148</v>
      </c>
      <c r="AE2602" s="0" t="s">
        <v>149</v>
      </c>
      <c r="AF2602" s="0" t="s">
        <v>150</v>
      </c>
      <c r="AH2602" s="0" t="n">
        <v>14</v>
      </c>
      <c r="AI2602" s="0" t="n">
        <v>11</v>
      </c>
      <c r="AN2602" s="0" t="s">
        <v>146</v>
      </c>
      <c r="AO2602" s="0" t="s">
        <v>236</v>
      </c>
      <c r="AP2602" s="0" t="s">
        <v>237</v>
      </c>
      <c r="AQ2602" s="0" t="n">
        <v>9</v>
      </c>
      <c r="AR2602" s="0" t="n">
        <v>64</v>
      </c>
      <c r="AS2602" s="0" t="n">
        <v>32</v>
      </c>
      <c r="AU2602" s="0" t="n">
        <f aca="false">COUNTA($BA$103:$EH$103)</f>
        <v>44</v>
      </c>
      <c r="AV2602" s="0" t="n">
        <f aca="false">COUNTIF($BA$103:$EH$103,"D")</f>
        <v>14</v>
      </c>
      <c r="AW2602" s="0" t="n">
        <f aca="false">COUNTIF($BA$103:$EH$103,"R")</f>
        <v>0</v>
      </c>
      <c r="AX2602" s="0" t="n">
        <f aca="false">IF(BN2602="D",1,0)+IF(BO2602="D",1,0)+IF(BT2602="D",1,0)+IF(BU2602="D",1,0)+IF(BW2602="D",1,0)+IF(CC2602="D",1,0)+IF(CD2602="D",1,0)+IF(CE2602="D",1,0)+IF(CF2602="D",1,0)+IF(CL2602="D",1,0)+IF(CM2602="D",1,0)+IF(CQ2602="D",1,0)+IF(CR2602="D",1,0)+IF(CS2602="D",1,0)+IF(CW2602="D",1,0)+IF(CX2602="D",1,0)+IF(DD2602="D",1,0)+IF(DE2602="D",1,0)+IF(DJ2602="D",1,0)+IF(DK2602="D",1,0)+IF(DO2602="D",1,0)+IF(DP2602="D",1,0)+IF(DQ2602="D",1,0)+IF(DW2602="D",1,0)+IF(DZ2602="D",1,0)+IF(EH2602="D",1,0)</f>
        <v>1</v>
      </c>
      <c r="AY2602" s="0" t="n">
        <f aca="false">COUNTIF(DU2602:EH2602, "&lt;&gt;")</f>
        <v>3</v>
      </c>
      <c r="AZ2602" s="0" t="n">
        <f aca="false">IF(EH2602&lt;&gt;"",1,0)</f>
        <v>0</v>
      </c>
      <c r="BB2602" s="0" t="s">
        <v>153</v>
      </c>
      <c r="BD2602" s="0" t="s">
        <v>154</v>
      </c>
      <c r="BL2602" s="0" t="s">
        <v>154</v>
      </c>
      <c r="BV2602" s="0" t="s">
        <v>154</v>
      </c>
      <c r="BY2602" s="0" t="s">
        <v>155</v>
      </c>
      <c r="CA2602" s="0" t="s">
        <v>154</v>
      </c>
      <c r="CG2602" s="0" t="s">
        <v>154</v>
      </c>
      <c r="CK2602" s="0" t="s">
        <v>154</v>
      </c>
      <c r="CL2602" s="0" t="s">
        <v>155</v>
      </c>
      <c r="CN2602" s="0" t="s">
        <v>154</v>
      </c>
      <c r="CP2602" s="0" t="s">
        <v>154</v>
      </c>
      <c r="CV2602" s="0" t="s">
        <v>154</v>
      </c>
      <c r="CY2602" s="0" t="s">
        <v>154</v>
      </c>
      <c r="CZ2602" s="0" t="s">
        <v>155</v>
      </c>
      <c r="DC2602" s="0" t="s">
        <v>154</v>
      </c>
      <c r="DG2602" s="0" t="s">
        <v>155</v>
      </c>
      <c r="DI2602" s="0" t="s">
        <v>154</v>
      </c>
      <c r="DM2602" s="0" t="s">
        <v>155</v>
      </c>
      <c r="DN2602" s="0" t="s">
        <v>154</v>
      </c>
      <c r="DX2602" s="0" t="s">
        <v>154</v>
      </c>
      <c r="EA2602" s="0" t="s">
        <v>154</v>
      </c>
      <c r="EF2602" s="0" t="s">
        <v>154</v>
      </c>
    </row>
    <row r="2603" customFormat="false" ht="13.8" hidden="false" customHeight="false" outlineLevel="0" collapsed="false">
      <c r="A2603" s="0" t="s">
        <v>11161</v>
      </c>
      <c r="B2603" s="0" t="n">
        <v>78</v>
      </c>
      <c r="C2603" s="0" t="n">
        <v>438648</v>
      </c>
      <c r="D2603" s="0" t="s">
        <v>2275</v>
      </c>
      <c r="E2603" s="0" t="s">
        <v>11162</v>
      </c>
      <c r="F2603" s="0" t="str">
        <f aca="false">CONCATENATE(D2603," ",LEFT(H2603,4),"T=",AU2603,"D=",AV2603,"R=",AW2603,"M=",AX2603,"L=",AY2603,"B=",AZ2603)</f>
        <v>BENDER T=33D=6R=1M=0L=4B=0</v>
      </c>
      <c r="G2603" s="0" t="s">
        <v>176</v>
      </c>
      <c r="I2603" s="0" t="s">
        <v>9639</v>
      </c>
      <c r="J2603" s="0" t="s">
        <v>9640</v>
      </c>
      <c r="K2603" s="0" t="s">
        <v>175</v>
      </c>
      <c r="M2603" s="0" t="s">
        <v>11160</v>
      </c>
      <c r="N2603" s="0" t="str">
        <f aca="false">RIGHT(M2603,LEN(M2603)-FIND(" ",M2603))</f>
        <v>TRUXTON ST NE</v>
      </c>
      <c r="P2603" s="0" t="s">
        <v>146</v>
      </c>
      <c r="Q2603" s="0" t="s">
        <v>147</v>
      </c>
      <c r="R2603" s="0" t="n">
        <v>44483</v>
      </c>
      <c r="AD2603" s="0" t="s">
        <v>148</v>
      </c>
      <c r="AE2603" s="0" t="s">
        <v>149</v>
      </c>
      <c r="AF2603" s="0" t="s">
        <v>150</v>
      </c>
      <c r="AH2603" s="0" t="n">
        <v>14</v>
      </c>
      <c r="AI2603" s="0" t="n">
        <v>11</v>
      </c>
      <c r="AN2603" s="0" t="s">
        <v>146</v>
      </c>
      <c r="AO2603" s="0" t="s">
        <v>236</v>
      </c>
      <c r="AP2603" s="0" t="s">
        <v>237</v>
      </c>
      <c r="AQ2603" s="0" t="n">
        <v>9</v>
      </c>
      <c r="AR2603" s="0" t="n">
        <v>64</v>
      </c>
      <c r="AS2603" s="0" t="n">
        <v>32</v>
      </c>
      <c r="AU2603" s="0" t="n">
        <f aca="false">COUNTA($BA$480:$EH$480)</f>
        <v>33</v>
      </c>
      <c r="AV2603" s="0" t="n">
        <f aca="false">COUNTIF($BA$480:$EH$480,"D")</f>
        <v>6</v>
      </c>
      <c r="AW2603" s="0" t="n">
        <f aca="false">COUNTIF($BA$480:$EH$480,"R")</f>
        <v>1</v>
      </c>
      <c r="AX2603" s="0" t="n">
        <f aca="false">IF(BN2603="D",1,0)+IF(BO2603="D",1,0)+IF(BT2603="D",1,0)+IF(BU2603="D",1,0)+IF(BW2603="D",1,0)+IF(CC2603="D",1,0)+IF(CD2603="D",1,0)+IF(CE2603="D",1,0)+IF(CF2603="D",1,0)+IF(CL2603="D",1,0)+IF(CM2603="D",1,0)+IF(CQ2603="D",1,0)+IF(CR2603="D",1,0)+IF(CS2603="D",1,0)+IF(CW2603="D",1,0)+IF(CX2603="D",1,0)+IF(DD2603="D",1,0)+IF(DE2603="D",1,0)+IF(DJ2603="D",1,0)+IF(DK2603="D",1,0)+IF(DO2603="D",1,0)+IF(DP2603="D",1,0)+IF(DQ2603="D",1,0)+IF(DW2603="D",1,0)+IF(DZ2603="D",1,0)+IF(EH2603="D",1,0)</f>
        <v>0</v>
      </c>
      <c r="AY2603" s="0" t="n">
        <f aca="false">COUNTIF(DU2603:EH2603, "&lt;&gt;")</f>
        <v>4</v>
      </c>
      <c r="AZ2603" s="0" t="n">
        <f aca="false">IF(EH2603&lt;&gt;"",1,0)</f>
        <v>0</v>
      </c>
      <c r="BB2603" s="0" t="s">
        <v>153</v>
      </c>
      <c r="DM2603" s="0" t="s">
        <v>155</v>
      </c>
      <c r="DN2603" s="0" t="s">
        <v>154</v>
      </c>
      <c r="DU2603" s="0" t="s">
        <v>154</v>
      </c>
      <c r="DX2603" s="0" t="s">
        <v>154</v>
      </c>
      <c r="EA2603" s="0" t="s">
        <v>154</v>
      </c>
      <c r="EF2603" s="0" t="s">
        <v>154</v>
      </c>
    </row>
    <row r="2604" customFormat="false" ht="13.8" hidden="false" customHeight="false" outlineLevel="0" collapsed="false">
      <c r="A2604" s="0" t="s">
        <v>11163</v>
      </c>
      <c r="B2604" s="0" t="n">
        <v>78</v>
      </c>
      <c r="C2604" s="0" t="n">
        <v>465061</v>
      </c>
      <c r="D2604" s="0" t="s">
        <v>11164</v>
      </c>
      <c r="E2604" s="0" t="s">
        <v>11165</v>
      </c>
      <c r="F2604" s="0" t="str">
        <f aca="false">CONCATENATE(D2604," ",LEFT(H2604,4),"T=",AU2604,"D=",AV2604,"R=",AW2604,"M=",AX2604,"L=",AY2604,"B=",AZ2604)</f>
        <v>ELZY T=1D=0R=0M=3L=7B=1</v>
      </c>
      <c r="G2604" s="0" t="s">
        <v>155</v>
      </c>
      <c r="I2604" s="0" t="s">
        <v>11166</v>
      </c>
      <c r="J2604" s="0" t="s">
        <v>729</v>
      </c>
      <c r="K2604" s="0" t="s">
        <v>175</v>
      </c>
      <c r="L2604" s="1" t="s">
        <v>155</v>
      </c>
      <c r="M2604" s="0" t="s">
        <v>11160</v>
      </c>
      <c r="N2604" s="0" t="str">
        <f aca="false">RIGHT(M2604,LEN(M2604)-FIND(" ",M2604))</f>
        <v>TRUXTON ST NE</v>
      </c>
      <c r="P2604" s="0" t="s">
        <v>146</v>
      </c>
      <c r="Q2604" s="0" t="s">
        <v>147</v>
      </c>
      <c r="R2604" s="0" t="n">
        <v>44483</v>
      </c>
      <c r="AD2604" s="0" t="s">
        <v>148</v>
      </c>
      <c r="AE2604" s="0" t="s">
        <v>149</v>
      </c>
      <c r="AF2604" s="0" t="s">
        <v>150</v>
      </c>
      <c r="AH2604" s="0" t="n">
        <v>14</v>
      </c>
      <c r="AI2604" s="0" t="n">
        <v>11</v>
      </c>
      <c r="AN2604" s="0" t="s">
        <v>146</v>
      </c>
      <c r="AO2604" s="0" t="s">
        <v>236</v>
      </c>
      <c r="AP2604" s="0" t="s">
        <v>237</v>
      </c>
      <c r="AQ2604" s="0" t="n">
        <v>9</v>
      </c>
      <c r="AR2604" s="0" t="n">
        <v>64</v>
      </c>
      <c r="AS2604" s="0" t="n">
        <v>32</v>
      </c>
      <c r="AU2604" s="0" t="n">
        <f aca="false">COUNTA($BA$866:$EH$866)</f>
        <v>1</v>
      </c>
      <c r="AV2604" s="0" t="n">
        <f aca="false">COUNTIF($BA$866:$EH$866,"D")</f>
        <v>0</v>
      </c>
      <c r="AW2604" s="0" t="n">
        <f aca="false">COUNTIF($BA$866:$EH$866,"R")</f>
        <v>0</v>
      </c>
      <c r="AX2604" s="0" t="n">
        <f aca="false">IF(BN2604="D",1,0)+IF(BO2604="D",1,0)+IF(BT2604="D",1,0)+IF(BU2604="D",1,0)+IF(BW2604="D",1,0)+IF(CC2604="D",1,0)+IF(CD2604="D",1,0)+IF(CE2604="D",1,0)+IF(CF2604="D",1,0)+IF(CL2604="D",1,0)+IF(CM2604="D",1,0)+IF(CQ2604="D",1,0)+IF(CR2604="D",1,0)+IF(CS2604="D",1,0)+IF(CW2604="D",1,0)+IF(CX2604="D",1,0)+IF(DD2604="D",1,0)+IF(DE2604="D",1,0)+IF(DJ2604="D",1,0)+IF(DK2604="D",1,0)+IF(DO2604="D",1,0)+IF(DP2604="D",1,0)+IF(DQ2604="D",1,0)+IF(DW2604="D",1,0)+IF(DZ2604="D",1,0)+IF(EH2604="D",1,0)</f>
        <v>3</v>
      </c>
      <c r="AY2604" s="0" t="n">
        <f aca="false">COUNTIF(DU2604:EH2604, "&lt;&gt;")</f>
        <v>7</v>
      </c>
      <c r="AZ2604" s="0" t="n">
        <f aca="false">IF(EH2604&lt;&gt;"",1,0)</f>
        <v>1</v>
      </c>
      <c r="BB2604" s="0" t="s">
        <v>153</v>
      </c>
      <c r="CG2604" s="0" t="s">
        <v>154</v>
      </c>
      <c r="CH2604" s="0" t="s">
        <v>155</v>
      </c>
      <c r="CL2604" s="0" t="s">
        <v>155</v>
      </c>
      <c r="CP2604" s="0" t="s">
        <v>154</v>
      </c>
      <c r="DC2604" s="0" t="s">
        <v>154</v>
      </c>
      <c r="DI2604" s="0" t="s">
        <v>154</v>
      </c>
      <c r="DM2604" s="0" t="s">
        <v>155</v>
      </c>
      <c r="DN2604" s="0" t="s">
        <v>154</v>
      </c>
      <c r="DU2604" s="0" t="s">
        <v>154</v>
      </c>
      <c r="DW2604" s="0" t="s">
        <v>155</v>
      </c>
      <c r="DX2604" s="0" t="s">
        <v>154</v>
      </c>
      <c r="EA2604" s="0" t="s">
        <v>154</v>
      </c>
      <c r="ED2604" s="0" t="s">
        <v>155</v>
      </c>
      <c r="EF2604" s="0" t="s">
        <v>154</v>
      </c>
      <c r="EH2604" s="0" t="s">
        <v>155</v>
      </c>
    </row>
    <row r="2605" customFormat="false" ht="13.8" hidden="false" customHeight="false" outlineLevel="0" collapsed="false">
      <c r="A2605" s="0" t="s">
        <v>11167</v>
      </c>
      <c r="B2605" s="0" t="n">
        <v>78</v>
      </c>
      <c r="C2605" s="0" t="n">
        <v>321617</v>
      </c>
      <c r="D2605" s="0" t="s">
        <v>11168</v>
      </c>
      <c r="E2605" s="0" t="s">
        <v>652</v>
      </c>
      <c r="F2605" s="0" t="str">
        <f aca="false">CONCATENATE(D2605," ",LEFT(H2605,4),"T=",AU2605,"D=",AV2605,"R=",AW2605,"M=",AX2605,"L=",AY2605,"B=",AZ2605)</f>
        <v>BERESIK T=4D=1R=0M=0L=2B=0</v>
      </c>
      <c r="G2605" s="0" t="s">
        <v>188</v>
      </c>
      <c r="I2605" s="0" t="s">
        <v>11169</v>
      </c>
      <c r="J2605" s="0" t="s">
        <v>11170</v>
      </c>
      <c r="K2605" s="0" t="s">
        <v>175</v>
      </c>
      <c r="L2605" s="1" t="s">
        <v>176</v>
      </c>
      <c r="M2605" s="0" t="s">
        <v>11171</v>
      </c>
      <c r="N2605" s="0" t="str">
        <f aca="false">RIGHT(M2605,LEN(M2605)-FIND(" ",M2605))</f>
        <v>TRUXTON ST NE</v>
      </c>
      <c r="P2605" s="0" t="s">
        <v>146</v>
      </c>
      <c r="Q2605" s="0" t="s">
        <v>147</v>
      </c>
      <c r="R2605" s="0" t="n">
        <v>44483</v>
      </c>
      <c r="AD2605" s="0" t="s">
        <v>148</v>
      </c>
      <c r="AE2605" s="0" t="s">
        <v>149</v>
      </c>
      <c r="AF2605" s="0" t="s">
        <v>150</v>
      </c>
      <c r="AH2605" s="0" t="n">
        <v>14</v>
      </c>
      <c r="AI2605" s="0" t="n">
        <v>11</v>
      </c>
      <c r="AN2605" s="0" t="s">
        <v>146</v>
      </c>
      <c r="AO2605" s="0" t="s">
        <v>236</v>
      </c>
      <c r="AP2605" s="0" t="s">
        <v>237</v>
      </c>
      <c r="AQ2605" s="0" t="n">
        <v>9</v>
      </c>
      <c r="AR2605" s="0" t="n">
        <v>64</v>
      </c>
      <c r="AS2605" s="0" t="n">
        <v>32</v>
      </c>
      <c r="AU2605" s="0" t="n">
        <f aca="false">COUNTA($BA$113:$EH$113)</f>
        <v>4</v>
      </c>
      <c r="AV2605" s="0" t="n">
        <f aca="false">COUNTIF($BA$113:$EH$113,"D")</f>
        <v>1</v>
      </c>
      <c r="AW2605" s="0" t="n">
        <f aca="false">COUNTIF($BA$113:$EH$113,"R")</f>
        <v>0</v>
      </c>
      <c r="AX2605" s="0" t="n">
        <f aca="false">IF(BN2605="D",1,0)+IF(BO2605="D",1,0)+IF(BT2605="D",1,0)+IF(BU2605="D",1,0)+IF(BW2605="D",1,0)+IF(CC2605="D",1,0)+IF(CD2605="D",1,0)+IF(CE2605="D",1,0)+IF(CF2605="D",1,0)+IF(CL2605="D",1,0)+IF(CM2605="D",1,0)+IF(CQ2605="D",1,0)+IF(CR2605="D",1,0)+IF(CS2605="D",1,0)+IF(CW2605="D",1,0)+IF(CX2605="D",1,0)+IF(DD2605="D",1,0)+IF(DE2605="D",1,0)+IF(DJ2605="D",1,0)+IF(DK2605="D",1,0)+IF(DO2605="D",1,0)+IF(DP2605="D",1,0)+IF(DQ2605="D",1,0)+IF(DW2605="D",1,0)+IF(DZ2605="D",1,0)+IF(EH2605="D",1,0)</f>
        <v>0</v>
      </c>
      <c r="AY2605" s="0" t="n">
        <f aca="false">COUNTIF(DU2605:EH2605, "&lt;&gt;")</f>
        <v>2</v>
      </c>
      <c r="AZ2605" s="0" t="n">
        <f aca="false">IF(EH2605&lt;&gt;"",1,0)</f>
        <v>0</v>
      </c>
      <c r="BB2605" s="0" t="s">
        <v>153</v>
      </c>
      <c r="BL2605" s="0" t="s">
        <v>154</v>
      </c>
      <c r="CA2605" s="0" t="s">
        <v>154</v>
      </c>
      <c r="CG2605" s="0" t="s">
        <v>154</v>
      </c>
      <c r="DC2605" s="0" t="s">
        <v>154</v>
      </c>
      <c r="DN2605" s="0" t="s">
        <v>154</v>
      </c>
      <c r="DS2605" s="0" t="s">
        <v>176</v>
      </c>
      <c r="DU2605" s="0" t="s">
        <v>154</v>
      </c>
      <c r="EF2605" s="0" t="s">
        <v>154</v>
      </c>
    </row>
    <row r="2606" customFormat="false" ht="13.8" hidden="false" customHeight="false" outlineLevel="0" collapsed="false">
      <c r="A2606" s="0" t="s">
        <v>11172</v>
      </c>
      <c r="B2606" s="0" t="n">
        <v>78</v>
      </c>
      <c r="C2606" s="0" t="n">
        <v>321652</v>
      </c>
      <c r="D2606" s="0" t="s">
        <v>11168</v>
      </c>
      <c r="E2606" s="0" t="s">
        <v>1481</v>
      </c>
      <c r="F2606" s="0" t="str">
        <f aca="false">CONCATENATE(D2606," ",LEFT(H2606,4),"T=",AU2606,"D=",AV2606,"R=",AW2606,"M=",AX2606,"L=",AY2606,"B=",AZ2606)</f>
        <v>BERESIK T=33D=2R=5M=1L=4B=0</v>
      </c>
      <c r="G2606" s="0" t="s">
        <v>241</v>
      </c>
      <c r="I2606" s="0" t="s">
        <v>11173</v>
      </c>
      <c r="J2606" s="0" t="s">
        <v>11174</v>
      </c>
      <c r="K2606" s="0" t="s">
        <v>175</v>
      </c>
      <c r="L2606" s="1" t="s">
        <v>176</v>
      </c>
      <c r="M2606" s="0" t="s">
        <v>11171</v>
      </c>
      <c r="N2606" s="0" t="str">
        <f aca="false">RIGHT(M2606,LEN(M2606)-FIND(" ",M2606))</f>
        <v>TRUXTON ST NE</v>
      </c>
      <c r="P2606" s="0" t="s">
        <v>146</v>
      </c>
      <c r="Q2606" s="0" t="s">
        <v>147</v>
      </c>
      <c r="R2606" s="0" t="n">
        <v>44483</v>
      </c>
      <c r="AD2606" s="0" t="s">
        <v>148</v>
      </c>
      <c r="AE2606" s="0" t="s">
        <v>149</v>
      </c>
      <c r="AF2606" s="0" t="s">
        <v>150</v>
      </c>
      <c r="AH2606" s="0" t="n">
        <v>14</v>
      </c>
      <c r="AI2606" s="0" t="n">
        <v>11</v>
      </c>
      <c r="AN2606" s="0" t="s">
        <v>146</v>
      </c>
      <c r="AO2606" s="0" t="s">
        <v>236</v>
      </c>
      <c r="AP2606" s="0" t="s">
        <v>237</v>
      </c>
      <c r="AQ2606" s="0" t="n">
        <v>9</v>
      </c>
      <c r="AR2606" s="0" t="n">
        <v>64</v>
      </c>
      <c r="AS2606" s="0" t="n">
        <v>32</v>
      </c>
      <c r="AU2606" s="0" t="n">
        <f aca="false">COUNTA($BA$205:$EH$205)</f>
        <v>33</v>
      </c>
      <c r="AV2606" s="0" t="n">
        <f aca="false">COUNTIF($BA$205:$EH$205,"D")</f>
        <v>2</v>
      </c>
      <c r="AW2606" s="0" t="n">
        <f aca="false">COUNTIF($BA$205:$EH$205,"R")</f>
        <v>5</v>
      </c>
      <c r="AX2606" s="0" t="n">
        <f aca="false">IF(BN2606="D",1,0)+IF(BO2606="D",1,0)+IF(BT2606="D",1,0)+IF(BU2606="D",1,0)+IF(BW2606="D",1,0)+IF(CC2606="D",1,0)+IF(CD2606="D",1,0)+IF(CE2606="D",1,0)+IF(CF2606="D",1,0)+IF(CL2606="D",1,0)+IF(CM2606="D",1,0)+IF(CQ2606="D",1,0)+IF(CR2606="D",1,0)+IF(CS2606="D",1,0)+IF(CW2606="D",1,0)+IF(CX2606="D",1,0)+IF(DD2606="D",1,0)+IF(DE2606="D",1,0)+IF(DJ2606="D",1,0)+IF(DK2606="D",1,0)+IF(DO2606="D",1,0)+IF(DP2606="D",1,0)+IF(DQ2606="D",1,0)+IF(DW2606="D",1,0)+IF(DZ2606="D",1,0)+IF(EH2606="D",1,0)</f>
        <v>1</v>
      </c>
      <c r="AY2606" s="0" t="n">
        <f aca="false">COUNTIF(DU2606:EH2606, "&lt;&gt;")</f>
        <v>4</v>
      </c>
      <c r="AZ2606" s="0" t="n">
        <f aca="false">IF(EH2606&lt;&gt;"",1,0)</f>
        <v>0</v>
      </c>
      <c r="BB2606" s="0" t="s">
        <v>153</v>
      </c>
      <c r="BL2606" s="0" t="s">
        <v>154</v>
      </c>
      <c r="BP2606" s="0" t="s">
        <v>154</v>
      </c>
      <c r="BS2606" s="0" t="s">
        <v>154</v>
      </c>
      <c r="CA2606" s="0" t="s">
        <v>154</v>
      </c>
      <c r="CG2606" s="0" t="s">
        <v>154</v>
      </c>
      <c r="CL2606" s="0" t="s">
        <v>155</v>
      </c>
      <c r="DC2606" s="0" t="s">
        <v>154</v>
      </c>
      <c r="DF2606" s="0" t="s">
        <v>154</v>
      </c>
      <c r="DI2606" s="0" t="s">
        <v>154</v>
      </c>
      <c r="DN2606" s="0" t="s">
        <v>154</v>
      </c>
      <c r="DS2606" s="0" t="s">
        <v>176</v>
      </c>
      <c r="DU2606" s="0" t="s">
        <v>154</v>
      </c>
      <c r="DX2606" s="0" t="s">
        <v>154</v>
      </c>
      <c r="ED2606" s="0" t="s">
        <v>176</v>
      </c>
      <c r="EF2606" s="0" t="s">
        <v>154</v>
      </c>
    </row>
    <row r="2607" customFormat="false" ht="13.8" hidden="true" customHeight="false" outlineLevel="0" collapsed="false">
      <c r="A2607" s="0" t="s">
        <v>11175</v>
      </c>
      <c r="B2607" s="0" t="n">
        <v>78</v>
      </c>
      <c r="C2607" s="0" t="n">
        <v>488575</v>
      </c>
      <c r="D2607" s="0" t="s">
        <v>5202</v>
      </c>
      <c r="E2607" s="0" t="s">
        <v>11176</v>
      </c>
      <c r="F2607" s="0" t="str">
        <f aca="false">CONCATENATE(D2607," ",LEFT(H2607,4),"T=",AU2607,"D=",AV2607,"R=",AW2607,"M=",AX2607,"L=",AY2607,"B=",AZ2607)</f>
        <v>ROSIER T=20D=5R=0M=0L=0B=0</v>
      </c>
      <c r="G2607" s="0" t="s">
        <v>1295</v>
      </c>
      <c r="I2607" s="0" t="s">
        <v>11177</v>
      </c>
      <c r="J2607" s="0" t="s">
        <v>3124</v>
      </c>
      <c r="K2607" s="0" t="s">
        <v>175</v>
      </c>
      <c r="L2607" s="0"/>
      <c r="M2607" s="0" t="s">
        <v>11178</v>
      </c>
      <c r="N2607" s="0" t="str">
        <f aca="false">RIGHT(M2607,LEN(M2607)-FIND(" ",M2607))</f>
        <v>VERNON AVE NW</v>
      </c>
      <c r="P2607" s="0" t="s">
        <v>146</v>
      </c>
      <c r="Q2607" s="0" t="s">
        <v>147</v>
      </c>
      <c r="R2607" s="0" t="n">
        <v>44483</v>
      </c>
      <c r="AD2607" s="0" t="s">
        <v>148</v>
      </c>
      <c r="AE2607" s="0" t="s">
        <v>149</v>
      </c>
      <c r="AF2607" s="0" t="s">
        <v>150</v>
      </c>
      <c r="AH2607" s="0" t="n">
        <v>14</v>
      </c>
      <c r="AI2607" s="0" t="n">
        <v>11</v>
      </c>
      <c r="AN2607" s="0" t="s">
        <v>146</v>
      </c>
      <c r="AO2607" s="0" t="s">
        <v>151</v>
      </c>
      <c r="AP2607" s="0" t="s">
        <v>152</v>
      </c>
      <c r="AQ2607" s="0" t="n">
        <v>9</v>
      </c>
      <c r="AR2607" s="0" t="n">
        <v>64</v>
      </c>
      <c r="AS2607" s="0" t="n">
        <v>32</v>
      </c>
      <c r="AU2607" s="0" t="n">
        <f aca="false">COUNTA($BA$1436:$EH$1436)</f>
        <v>20</v>
      </c>
      <c r="AV2607" s="0" t="n">
        <f aca="false">COUNTIF($BA$1436:$EH$1436,"D")</f>
        <v>5</v>
      </c>
      <c r="AW2607" s="0" t="n">
        <f aca="false">COUNTIF($BA$1436:$EH$1436,"R")</f>
        <v>0</v>
      </c>
      <c r="AX2607" s="0" t="n">
        <f aca="false">IF(BN2607="D",1,0)+IF(BO2607="D",1,0)+IF(BT2607="D",1,0)+IF(BU2607="D",1,0)+IF(BW2607="D",1,0)+IF(CC2607="D",1,0)+IF(CD2607="D",1,0)+IF(CE2607="D",1,0)+IF(CF2607="D",1,0)+IF(CL2607="D",1,0)+IF(CM2607="D",1,0)+IF(CQ2607="D",1,0)+IF(CR2607="D",1,0)+IF(CS2607="D",1,0)+IF(CW2607="D",1,0)+IF(CX2607="D",1,0)+IF(DD2607="D",1,0)+IF(DE2607="D",1,0)+IF(DJ2607="D",1,0)+IF(DK2607="D",1,0)+IF(DO2607="D",1,0)+IF(DP2607="D",1,0)+IF(DQ2607="D",1,0)+IF(DW2607="D",1,0)+IF(DZ2607="D",1,0)+IF(EH2607="D",1,0)</f>
        <v>0</v>
      </c>
      <c r="AY2607" s="0" t="n">
        <f aca="false">COUNTIF(DU2607:EH2607, "&lt;&gt;")</f>
        <v>0</v>
      </c>
      <c r="AZ2607" s="0" t="n">
        <f aca="false">IF(EH2607&lt;&gt;"",1,0)</f>
        <v>0</v>
      </c>
      <c r="BB2607" s="0" t="s">
        <v>153</v>
      </c>
    </row>
    <row r="2608" customFormat="false" ht="13.8" hidden="true" customHeight="false" outlineLevel="0" collapsed="false">
      <c r="A2608" s="0" t="s">
        <v>11179</v>
      </c>
      <c r="B2608" s="0" t="n">
        <v>78</v>
      </c>
      <c r="C2608" s="0" t="n">
        <v>486080</v>
      </c>
      <c r="D2608" s="0" t="s">
        <v>549</v>
      </c>
      <c r="E2608" s="0" t="s">
        <v>11180</v>
      </c>
      <c r="F2608" s="0" t="str">
        <f aca="false">CONCATENATE(D2608," ",LEFT(H2608,4),"T=",AU2608,"D=",AV2608,"R=",AW2608,"M=",AX2608,"L=",AY2608,"B=",AZ2608)</f>
        <v>BRYAN T=17D=1R=0M=0L=0B=0</v>
      </c>
      <c r="G2608" s="0" t="s">
        <v>1614</v>
      </c>
      <c r="I2608" s="0" t="s">
        <v>11181</v>
      </c>
      <c r="J2608" s="0" t="s">
        <v>10843</v>
      </c>
      <c r="K2608" s="0" t="s">
        <v>175</v>
      </c>
      <c r="L2608" s="0"/>
      <c r="M2608" s="0" t="s">
        <v>11182</v>
      </c>
      <c r="N2608" s="0" t="str">
        <f aca="false">RIGHT(M2608,LEN(M2608)-FIND(" ",M2608))</f>
        <v>VERNON AVE NW</v>
      </c>
      <c r="P2608" s="0" t="s">
        <v>146</v>
      </c>
      <c r="Q2608" s="0" t="s">
        <v>147</v>
      </c>
      <c r="R2608" s="0" t="n">
        <v>44483</v>
      </c>
      <c r="AD2608" s="0" t="s">
        <v>148</v>
      </c>
      <c r="AE2608" s="0" t="s">
        <v>149</v>
      </c>
      <c r="AF2608" s="0" t="s">
        <v>150</v>
      </c>
      <c r="AH2608" s="0" t="n">
        <v>14</v>
      </c>
      <c r="AI2608" s="0" t="n">
        <v>11</v>
      </c>
      <c r="AN2608" s="0" t="s">
        <v>146</v>
      </c>
      <c r="AO2608" s="0" t="s">
        <v>151</v>
      </c>
      <c r="AP2608" s="0" t="s">
        <v>152</v>
      </c>
      <c r="AQ2608" s="0" t="n">
        <v>9</v>
      </c>
      <c r="AR2608" s="0" t="n">
        <v>64</v>
      </c>
      <c r="AS2608" s="0" t="n">
        <v>32</v>
      </c>
      <c r="AU2608" s="0" t="n">
        <f aca="false">COUNTA($BA$1817:$EH$1817)</f>
        <v>17</v>
      </c>
      <c r="AV2608" s="0" t="n">
        <f aca="false">COUNTIF($BA$1817:$EH$1817,"D")</f>
        <v>1</v>
      </c>
      <c r="AW2608" s="0" t="n">
        <f aca="false">COUNTIF($BA$1817:$EH$1817,"R")</f>
        <v>0</v>
      </c>
      <c r="AX2608" s="0" t="n">
        <f aca="false">IF(BN2608="D",1,0)+IF(BO2608="D",1,0)+IF(BT2608="D",1,0)+IF(BU2608="D",1,0)+IF(BW2608="D",1,0)+IF(CC2608="D",1,0)+IF(CD2608="D",1,0)+IF(CE2608="D",1,0)+IF(CF2608="D",1,0)+IF(CL2608="D",1,0)+IF(CM2608="D",1,0)+IF(CQ2608="D",1,0)+IF(CR2608="D",1,0)+IF(CS2608="D",1,0)+IF(CW2608="D",1,0)+IF(CX2608="D",1,0)+IF(DD2608="D",1,0)+IF(DE2608="D",1,0)+IF(DJ2608="D",1,0)+IF(DK2608="D",1,0)+IF(DO2608="D",1,0)+IF(DP2608="D",1,0)+IF(DQ2608="D",1,0)+IF(DW2608="D",1,0)+IF(DZ2608="D",1,0)+IF(EH2608="D",1,0)</f>
        <v>0</v>
      </c>
      <c r="AY2608" s="0" t="n">
        <f aca="false">COUNTIF(DU2608:EH2608, "&lt;&gt;")</f>
        <v>0</v>
      </c>
      <c r="AZ2608" s="0" t="n">
        <f aca="false">IF(EH2608&lt;&gt;"",1,0)</f>
        <v>0</v>
      </c>
      <c r="BB2608" s="0" t="s">
        <v>153</v>
      </c>
    </row>
    <row r="2609" customFormat="false" ht="13.8" hidden="true" customHeight="false" outlineLevel="0" collapsed="false">
      <c r="A2609" s="0" t="s">
        <v>11183</v>
      </c>
      <c r="B2609" s="0" t="n">
        <v>78</v>
      </c>
      <c r="C2609" s="0" t="n">
        <v>492038</v>
      </c>
      <c r="D2609" s="0" t="s">
        <v>11184</v>
      </c>
      <c r="E2609" s="0" t="s">
        <v>755</v>
      </c>
      <c r="F2609" s="0" t="str">
        <f aca="false">CONCATENATE(D2609," ",LEFT(H2609,4),"T=",AU2609,"D=",AV2609,"R=",AW2609,"M=",AX2609,"L=",AY2609,"B=",AZ2609)</f>
        <v>BECKNER T=3D=1R=0M=0L=0B=0</v>
      </c>
      <c r="G2609" s="0" t="s">
        <v>771</v>
      </c>
      <c r="I2609" s="0" t="s">
        <v>11185</v>
      </c>
      <c r="J2609" s="0" t="s">
        <v>2761</v>
      </c>
      <c r="K2609" s="0" t="s">
        <v>175</v>
      </c>
      <c r="L2609" s="0"/>
      <c r="M2609" s="0" t="s">
        <v>11186</v>
      </c>
      <c r="N2609" s="0" t="str">
        <f aca="false">RIGHT(M2609,LEN(M2609)-FIND(" ",M2609))</f>
        <v>VERNON AVE NW</v>
      </c>
      <c r="P2609" s="0" t="s">
        <v>146</v>
      </c>
      <c r="Q2609" s="0" t="s">
        <v>147</v>
      </c>
      <c r="R2609" s="0" t="n">
        <v>44483</v>
      </c>
      <c r="AD2609" s="0" t="s">
        <v>148</v>
      </c>
      <c r="AE2609" s="0" t="s">
        <v>149</v>
      </c>
      <c r="AF2609" s="0" t="s">
        <v>150</v>
      </c>
      <c r="AH2609" s="0" t="n">
        <v>14</v>
      </c>
      <c r="AI2609" s="0" t="n">
        <v>11</v>
      </c>
      <c r="AN2609" s="0" t="s">
        <v>146</v>
      </c>
      <c r="AO2609" s="0" t="s">
        <v>250</v>
      </c>
      <c r="AP2609" s="0" t="s">
        <v>251</v>
      </c>
      <c r="AQ2609" s="0" t="n">
        <v>9</v>
      </c>
      <c r="AR2609" s="0" t="n">
        <v>64</v>
      </c>
      <c r="AS2609" s="0" t="n">
        <v>32</v>
      </c>
      <c r="AU2609" s="0" t="n">
        <f aca="false">COUNTA($BA$2173:$EH$2173)</f>
        <v>3</v>
      </c>
      <c r="AV2609" s="0" t="n">
        <f aca="false">COUNTIF($BA$2173:$EH$2173,"D")</f>
        <v>1</v>
      </c>
      <c r="AW2609" s="0" t="n">
        <f aca="false">COUNTIF($BA$2173:$EH$2173,"R")</f>
        <v>0</v>
      </c>
      <c r="AX2609" s="0" t="n">
        <f aca="false">IF(BN2609="D",1,0)+IF(BO2609="D",1,0)+IF(BT2609="D",1,0)+IF(BU2609="D",1,0)+IF(BW2609="D",1,0)+IF(CC2609="D",1,0)+IF(CD2609="D",1,0)+IF(CE2609="D",1,0)+IF(CF2609="D",1,0)+IF(CL2609="D",1,0)+IF(CM2609="D",1,0)+IF(CQ2609="D",1,0)+IF(CR2609="D",1,0)+IF(CS2609="D",1,0)+IF(CW2609="D",1,0)+IF(CX2609="D",1,0)+IF(DD2609="D",1,0)+IF(DE2609="D",1,0)+IF(DJ2609="D",1,0)+IF(DK2609="D",1,0)+IF(DO2609="D",1,0)+IF(DP2609="D",1,0)+IF(DQ2609="D",1,0)+IF(DW2609="D",1,0)+IF(DZ2609="D",1,0)+IF(EH2609="D",1,0)</f>
        <v>0</v>
      </c>
      <c r="AY2609" s="0" t="n">
        <f aca="false">COUNTIF(DU2609:EH2609, "&lt;&gt;")</f>
        <v>0</v>
      </c>
      <c r="AZ2609" s="0" t="n">
        <f aca="false">IF(EH2609&lt;&gt;"",1,0)</f>
        <v>0</v>
      </c>
      <c r="BB2609" s="0" t="s">
        <v>153</v>
      </c>
    </row>
    <row r="2610" customFormat="false" ht="13.8" hidden="false" customHeight="false" outlineLevel="0" collapsed="false">
      <c r="A2610" s="0" t="s">
        <v>11187</v>
      </c>
      <c r="B2610" s="0" t="n">
        <v>78</v>
      </c>
      <c r="C2610" s="0" t="n">
        <v>355536</v>
      </c>
      <c r="D2610" s="0" t="s">
        <v>11184</v>
      </c>
      <c r="E2610" s="0" t="s">
        <v>1295</v>
      </c>
      <c r="F2610" s="0" t="str">
        <f aca="false">CONCATENATE(D2610," ",LEFT(H2610,4),"T=",AU2610,"D=",AV2610,"R=",AW2610,"M=",AX2610,"L=",AY2610,"B=",AZ2610)</f>
        <v>BECKNER SRT=18D=1R=3M=0L=3B=0</v>
      </c>
      <c r="G2610" s="0" t="s">
        <v>1942</v>
      </c>
      <c r="H2610" s="0" t="s">
        <v>311</v>
      </c>
      <c r="I2610" s="0" t="s">
        <v>11188</v>
      </c>
      <c r="J2610" s="0" t="s">
        <v>11189</v>
      </c>
      <c r="K2610" s="0" t="s">
        <v>175</v>
      </c>
      <c r="M2610" s="0" t="s">
        <v>11186</v>
      </c>
      <c r="N2610" s="0" t="str">
        <f aca="false">RIGHT(M2610,LEN(M2610)-FIND(" ",M2610))</f>
        <v>VERNON AVE NW</v>
      </c>
      <c r="P2610" s="0" t="s">
        <v>146</v>
      </c>
      <c r="Q2610" s="0" t="s">
        <v>147</v>
      </c>
      <c r="R2610" s="0" t="n">
        <v>44483</v>
      </c>
      <c r="AD2610" s="0" t="s">
        <v>148</v>
      </c>
      <c r="AE2610" s="0" t="s">
        <v>149</v>
      </c>
      <c r="AF2610" s="0" t="s">
        <v>150</v>
      </c>
      <c r="AH2610" s="0" t="n">
        <v>14</v>
      </c>
      <c r="AI2610" s="0" t="n">
        <v>11</v>
      </c>
      <c r="AN2610" s="0" t="s">
        <v>146</v>
      </c>
      <c r="AO2610" s="0" t="s">
        <v>250</v>
      </c>
      <c r="AP2610" s="0" t="s">
        <v>251</v>
      </c>
      <c r="AQ2610" s="0" t="n">
        <v>9</v>
      </c>
      <c r="AR2610" s="0" t="n">
        <v>64</v>
      </c>
      <c r="AS2610" s="0" t="n">
        <v>32</v>
      </c>
      <c r="AU2610" s="0" t="n">
        <f aca="false">COUNTA($BA$2637:$EH$2637)</f>
        <v>18</v>
      </c>
      <c r="AV2610" s="0" t="n">
        <f aca="false">COUNTIF($BA$2637:$EH$2637,"D")</f>
        <v>1</v>
      </c>
      <c r="AW2610" s="0" t="n">
        <f aca="false">COUNTIF($BA$2637:$EH$2637,"R")</f>
        <v>3</v>
      </c>
      <c r="AX2610" s="0" t="n">
        <f aca="false">IF(BN2610="D",1,0)+IF(BO2610="D",1,0)+IF(BT2610="D",1,0)+IF(BU2610="D",1,0)+IF(BW2610="D",1,0)+IF(CC2610="D",1,0)+IF(CD2610="D",1,0)+IF(CE2610="D",1,0)+IF(CF2610="D",1,0)+IF(CL2610="D",1,0)+IF(CM2610="D",1,0)+IF(CQ2610="D",1,0)+IF(CR2610="D",1,0)+IF(CS2610="D",1,0)+IF(CW2610="D",1,0)+IF(CX2610="D",1,0)+IF(DD2610="D",1,0)+IF(DE2610="D",1,0)+IF(DJ2610="D",1,0)+IF(DK2610="D",1,0)+IF(DO2610="D",1,0)+IF(DP2610="D",1,0)+IF(DQ2610="D",1,0)+IF(DW2610="D",1,0)+IF(DZ2610="D",1,0)+IF(EH2610="D",1,0)</f>
        <v>0</v>
      </c>
      <c r="AY2610" s="0" t="n">
        <f aca="false">COUNTIF(DU2610:EH2610, "&lt;&gt;")</f>
        <v>3</v>
      </c>
      <c r="AZ2610" s="0" t="n">
        <f aca="false">IF(EH2610&lt;&gt;"",1,0)</f>
        <v>0</v>
      </c>
      <c r="BB2610" s="0" t="s">
        <v>153</v>
      </c>
      <c r="CA2610" s="0" t="s">
        <v>154</v>
      </c>
      <c r="CC2610" s="0" t="s">
        <v>154</v>
      </c>
      <c r="CY2610" s="0" t="s">
        <v>154</v>
      </c>
      <c r="DN2610" s="0" t="s">
        <v>154</v>
      </c>
      <c r="DU2610" s="0" t="s">
        <v>154</v>
      </c>
      <c r="EA2610" s="0" t="s">
        <v>154</v>
      </c>
      <c r="EF2610" s="0" t="s">
        <v>154</v>
      </c>
    </row>
    <row r="2611" customFormat="false" ht="13.8" hidden="true" customHeight="false" outlineLevel="0" collapsed="false">
      <c r="A2611" s="0" t="s">
        <v>11190</v>
      </c>
      <c r="B2611" s="0" t="n">
        <v>78</v>
      </c>
      <c r="C2611" s="0" t="n">
        <v>491651</v>
      </c>
      <c r="D2611" s="0" t="s">
        <v>11191</v>
      </c>
      <c r="E2611" s="0" t="s">
        <v>11192</v>
      </c>
      <c r="F2611" s="0" t="str">
        <f aca="false">CONCATENATE(D2611," ",LEFT(H2611,4),"T=",AU2611,"D=",AV2611,"R=",AW2611,"M=",AX2611,"L=",AY2611,"B=",AZ2611)</f>
        <v>GASSER T=2D=0R=0M=0L=1B=0</v>
      </c>
      <c r="G2611" s="0" t="s">
        <v>11193</v>
      </c>
      <c r="I2611" s="0" t="s">
        <v>11194</v>
      </c>
      <c r="J2611" s="0" t="s">
        <v>712</v>
      </c>
      <c r="K2611" s="0" t="s">
        <v>175</v>
      </c>
      <c r="L2611" s="0"/>
      <c r="M2611" s="0" t="s">
        <v>11186</v>
      </c>
      <c r="N2611" s="0" t="str">
        <f aca="false">RIGHT(M2611,LEN(M2611)-FIND(" ",M2611))</f>
        <v>VERNON AVE NW</v>
      </c>
      <c r="P2611" s="0" t="s">
        <v>146</v>
      </c>
      <c r="Q2611" s="0" t="s">
        <v>147</v>
      </c>
      <c r="R2611" s="0" t="n">
        <v>44483</v>
      </c>
      <c r="AD2611" s="0" t="s">
        <v>148</v>
      </c>
      <c r="AE2611" s="0" t="s">
        <v>149</v>
      </c>
      <c r="AF2611" s="0" t="s">
        <v>150</v>
      </c>
      <c r="AH2611" s="0" t="n">
        <v>14</v>
      </c>
      <c r="AI2611" s="0" t="n">
        <v>11</v>
      </c>
      <c r="AN2611" s="0" t="s">
        <v>146</v>
      </c>
      <c r="AO2611" s="0" t="s">
        <v>250</v>
      </c>
      <c r="AP2611" s="0" t="s">
        <v>251</v>
      </c>
      <c r="AQ2611" s="0" t="n">
        <v>9</v>
      </c>
      <c r="AR2611" s="0" t="n">
        <v>64</v>
      </c>
      <c r="AS2611" s="0" t="n">
        <v>32</v>
      </c>
      <c r="AU2611" s="0" t="n">
        <f aca="false">COUNTA($BA$2642:$EH$2642)</f>
        <v>2</v>
      </c>
      <c r="AV2611" s="0" t="n">
        <f aca="false">COUNTIF($BA$2642:$EH$2642,"D")</f>
        <v>0</v>
      </c>
      <c r="AW2611" s="0" t="n">
        <f aca="false">COUNTIF($BA$2642:$EH$2642,"R")</f>
        <v>0</v>
      </c>
      <c r="AX2611" s="0" t="n">
        <f aca="false">IF(BN2611="D",1,0)+IF(BO2611="D",1,0)+IF(BT2611="D",1,0)+IF(BU2611="D",1,0)+IF(BW2611="D",1,0)+IF(CC2611="D",1,0)+IF(CD2611="D",1,0)+IF(CE2611="D",1,0)+IF(CF2611="D",1,0)+IF(CL2611="D",1,0)+IF(CM2611="D",1,0)+IF(CQ2611="D",1,0)+IF(CR2611="D",1,0)+IF(CS2611="D",1,0)+IF(CW2611="D",1,0)+IF(CX2611="D",1,0)+IF(DD2611="D",1,0)+IF(DE2611="D",1,0)+IF(DJ2611="D",1,0)+IF(DK2611="D",1,0)+IF(DO2611="D",1,0)+IF(DP2611="D",1,0)+IF(DQ2611="D",1,0)+IF(DW2611="D",1,0)+IF(DZ2611="D",1,0)+IF(EH2611="D",1,0)</f>
        <v>0</v>
      </c>
      <c r="AY2611" s="0" t="n">
        <f aca="false">COUNTIF(DU2611:EH2611, "&lt;&gt;")</f>
        <v>1</v>
      </c>
      <c r="AZ2611" s="0" t="n">
        <f aca="false">IF(EH2611&lt;&gt;"",1,0)</f>
        <v>0</v>
      </c>
      <c r="BB2611" s="0" t="s">
        <v>153</v>
      </c>
      <c r="EF2611" s="0" t="s">
        <v>154</v>
      </c>
    </row>
    <row r="2612" customFormat="false" ht="13.8" hidden="false" customHeight="false" outlineLevel="0" collapsed="false">
      <c r="A2612" s="0" t="s">
        <v>11195</v>
      </c>
      <c r="B2612" s="0" t="n">
        <v>78</v>
      </c>
      <c r="C2612" s="0" t="n">
        <v>449877</v>
      </c>
      <c r="D2612" s="0" t="s">
        <v>11196</v>
      </c>
      <c r="E2612" s="0" t="s">
        <v>270</v>
      </c>
      <c r="F2612" s="0" t="str">
        <f aca="false">CONCATENATE(D2612," ",LEFT(H2612,4),"T=",AU2612,"D=",AV2612,"R=",AW2612,"M=",AX2612,"L=",AY2612,"B=",AZ2612)</f>
        <v>LUCE T=2D=0R=0M=1L=3B=0</v>
      </c>
      <c r="G2612" s="0" t="s">
        <v>172</v>
      </c>
      <c r="I2612" s="0" t="s">
        <v>11197</v>
      </c>
      <c r="J2612" s="0" t="s">
        <v>11198</v>
      </c>
      <c r="K2612" s="0" t="s">
        <v>144</v>
      </c>
      <c r="L2612" s="1" t="s">
        <v>155</v>
      </c>
      <c r="M2612" s="0" t="s">
        <v>11199</v>
      </c>
      <c r="N2612" s="0" t="str">
        <f aca="false">RIGHT(M2612,LEN(M2612)-FIND(" ",M2612))</f>
        <v>VERNON AVE NW</v>
      </c>
      <c r="P2612" s="0" t="s">
        <v>146</v>
      </c>
      <c r="Q2612" s="0" t="s">
        <v>147</v>
      </c>
      <c r="R2612" s="0" t="n">
        <v>44483</v>
      </c>
      <c r="AD2612" s="0" t="s">
        <v>148</v>
      </c>
      <c r="AE2612" s="0" t="s">
        <v>149</v>
      </c>
      <c r="AF2612" s="0" t="s">
        <v>150</v>
      </c>
      <c r="AH2612" s="0" t="n">
        <v>14</v>
      </c>
      <c r="AI2612" s="0" t="n">
        <v>11</v>
      </c>
      <c r="AN2612" s="0" t="s">
        <v>146</v>
      </c>
      <c r="AO2612" s="0" t="s">
        <v>250</v>
      </c>
      <c r="AP2612" s="0" t="s">
        <v>251</v>
      </c>
      <c r="AQ2612" s="0" t="n">
        <v>9</v>
      </c>
      <c r="AR2612" s="0" t="n">
        <v>64</v>
      </c>
      <c r="AS2612" s="0" t="n">
        <v>32</v>
      </c>
      <c r="AU2612" s="0" t="n">
        <f aca="false">COUNTA($BA$2151:$EH$2151)</f>
        <v>2</v>
      </c>
      <c r="AV2612" s="0" t="n">
        <f aca="false">COUNTIF($BA$2151:$EH$2151,"D")</f>
        <v>0</v>
      </c>
      <c r="AW2612" s="0" t="n">
        <f aca="false">COUNTIF($BA$2151:$EH$2151,"R")</f>
        <v>0</v>
      </c>
      <c r="AX2612" s="0" t="n">
        <f aca="false">IF(BN2612="D",1,0)+IF(BO2612="D",1,0)+IF(BT2612="D",1,0)+IF(BU2612="D",1,0)+IF(BW2612="D",1,0)+IF(CC2612="D",1,0)+IF(CD2612="D",1,0)+IF(CE2612="D",1,0)+IF(CF2612="D",1,0)+IF(CL2612="D",1,0)+IF(CM2612="D",1,0)+IF(CQ2612="D",1,0)+IF(CR2612="D",1,0)+IF(CS2612="D",1,0)+IF(CW2612="D",1,0)+IF(CX2612="D",1,0)+IF(DD2612="D",1,0)+IF(DE2612="D",1,0)+IF(DJ2612="D",1,0)+IF(DK2612="D",1,0)+IF(DO2612="D",1,0)+IF(DP2612="D",1,0)+IF(DQ2612="D",1,0)+IF(DW2612="D",1,0)+IF(DZ2612="D",1,0)+IF(EH2612="D",1,0)</f>
        <v>1</v>
      </c>
      <c r="AY2612" s="0" t="n">
        <f aca="false">COUNTIF(DU2612:EH2612, "&lt;&gt;")</f>
        <v>3</v>
      </c>
      <c r="AZ2612" s="0" t="n">
        <f aca="false">IF(EH2612&lt;&gt;"",1,0)</f>
        <v>0</v>
      </c>
      <c r="BB2612" s="0" t="s">
        <v>153</v>
      </c>
      <c r="DN2612" s="0" t="s">
        <v>154</v>
      </c>
      <c r="DW2612" s="0" t="s">
        <v>155</v>
      </c>
      <c r="DX2612" s="0" t="s">
        <v>154</v>
      </c>
      <c r="EA2612" s="0" t="s">
        <v>154</v>
      </c>
    </row>
    <row r="2613" customFormat="false" ht="13.8" hidden="true" customHeight="false" outlineLevel="0" collapsed="false">
      <c r="A2613" s="0" t="s">
        <v>11200</v>
      </c>
      <c r="B2613" s="0" t="n">
        <v>78</v>
      </c>
      <c r="C2613" s="0" t="n">
        <v>421313</v>
      </c>
      <c r="D2613" s="0" t="s">
        <v>856</v>
      </c>
      <c r="E2613" s="0" t="s">
        <v>11201</v>
      </c>
      <c r="F2613" s="0" t="str">
        <f aca="false">CONCATENATE(D2613," ",LEFT(H2613,4),"T=",AU2613,"D=",AV2613,"R=",AW2613,"M=",AX2613,"L=",AY2613,"B=",AZ2613)</f>
        <v>JONES T=1D=0R=0M=0L=0B=0</v>
      </c>
      <c r="G2613" s="0" t="s">
        <v>802</v>
      </c>
      <c r="I2613" s="0" t="s">
        <v>11202</v>
      </c>
      <c r="J2613" s="0" t="s">
        <v>11203</v>
      </c>
      <c r="K2613" s="0" t="s">
        <v>175</v>
      </c>
      <c r="L2613" s="0"/>
      <c r="M2613" s="0" t="s">
        <v>11199</v>
      </c>
      <c r="N2613" s="0" t="str">
        <f aca="false">RIGHT(M2613,LEN(M2613)-FIND(" ",M2613))</f>
        <v>VERNON AVE NW</v>
      </c>
      <c r="P2613" s="0" t="s">
        <v>146</v>
      </c>
      <c r="Q2613" s="0" t="s">
        <v>147</v>
      </c>
      <c r="R2613" s="0" t="n">
        <v>44483</v>
      </c>
      <c r="AD2613" s="0" t="s">
        <v>148</v>
      </c>
      <c r="AE2613" s="0" t="s">
        <v>149</v>
      </c>
      <c r="AF2613" s="0" t="s">
        <v>150</v>
      </c>
      <c r="AH2613" s="0" t="n">
        <v>14</v>
      </c>
      <c r="AI2613" s="0" t="n">
        <v>11</v>
      </c>
      <c r="AN2613" s="0" t="s">
        <v>146</v>
      </c>
      <c r="AO2613" s="0" t="s">
        <v>250</v>
      </c>
      <c r="AP2613" s="0" t="s">
        <v>251</v>
      </c>
      <c r="AQ2613" s="0" t="n">
        <v>9</v>
      </c>
      <c r="AR2613" s="0" t="n">
        <v>64</v>
      </c>
      <c r="AS2613" s="0" t="n">
        <v>32</v>
      </c>
      <c r="AU2613" s="0" t="n">
        <f aca="false">COUNTA($BA$2697:$EH$2697)</f>
        <v>1</v>
      </c>
      <c r="AV2613" s="0" t="n">
        <f aca="false">COUNTIF($BA$2697:$EH$2697,"D")</f>
        <v>0</v>
      </c>
      <c r="AW2613" s="0" t="n">
        <f aca="false">COUNTIF($BA$2697:$EH$2697,"R")</f>
        <v>0</v>
      </c>
      <c r="AX2613" s="0" t="n">
        <f aca="false">IF(BN2613="D",1,0)+IF(BO2613="D",1,0)+IF(BT2613="D",1,0)+IF(BU2613="D",1,0)+IF(BW2613="D",1,0)+IF(CC2613="D",1,0)+IF(CD2613="D",1,0)+IF(CE2613="D",1,0)+IF(CF2613="D",1,0)+IF(CL2613="D",1,0)+IF(CM2613="D",1,0)+IF(CQ2613="D",1,0)+IF(CR2613="D",1,0)+IF(CS2613="D",1,0)+IF(CW2613="D",1,0)+IF(CX2613="D",1,0)+IF(DD2613="D",1,0)+IF(DE2613="D",1,0)+IF(DJ2613="D",1,0)+IF(DK2613="D",1,0)+IF(DO2613="D",1,0)+IF(DP2613="D",1,0)+IF(DQ2613="D",1,0)+IF(DW2613="D",1,0)+IF(DZ2613="D",1,0)+IF(EH2613="D",1,0)</f>
        <v>0</v>
      </c>
      <c r="AY2613" s="0" t="n">
        <f aca="false">COUNTIF(DU2613:EH2613, "&lt;&gt;")</f>
        <v>0</v>
      </c>
      <c r="AZ2613" s="0" t="n">
        <f aca="false">IF(EH2613&lt;&gt;"",1,0)</f>
        <v>0</v>
      </c>
      <c r="BB2613" s="0" t="s">
        <v>153</v>
      </c>
      <c r="DC2613" s="0" t="s">
        <v>154</v>
      </c>
      <c r="DI2613" s="0" t="s">
        <v>154</v>
      </c>
    </row>
    <row r="2614" customFormat="false" ht="13.8" hidden="false" customHeight="false" outlineLevel="0" collapsed="false">
      <c r="A2614" s="0" t="s">
        <v>11204</v>
      </c>
      <c r="B2614" s="0" t="n">
        <v>78</v>
      </c>
      <c r="C2614" s="0" t="n">
        <v>389746</v>
      </c>
      <c r="D2614" s="0" t="s">
        <v>9992</v>
      </c>
      <c r="E2614" s="0" t="s">
        <v>2541</v>
      </c>
      <c r="F2614" s="0" t="str">
        <f aca="false">CONCATENATE(D2614," ",LEFT(H2614,4),"T=",AU2614,"D=",AV2614,"R=",AW2614,"M=",AX2614,"L=",AY2614,"B=",AZ2614)</f>
        <v>COLEMAN T=24D=9R=0M=7L=5B=1</v>
      </c>
      <c r="G2614" s="0" t="s">
        <v>2370</v>
      </c>
      <c r="I2614" s="0" t="s">
        <v>11205</v>
      </c>
      <c r="J2614" s="0" t="s">
        <v>11206</v>
      </c>
      <c r="K2614" s="0" t="s">
        <v>175</v>
      </c>
      <c r="L2614" s="1" t="s">
        <v>155</v>
      </c>
      <c r="M2614" s="0" t="s">
        <v>11207</v>
      </c>
      <c r="N2614" s="0" t="str">
        <f aca="false">RIGHT(M2614,LEN(M2614)-FIND(" ",M2614))</f>
        <v>VERNON AVE NW</v>
      </c>
      <c r="O2614" s="0" t="s">
        <v>414</v>
      </c>
      <c r="P2614" s="0" t="s">
        <v>146</v>
      </c>
      <c r="Q2614" s="0" t="s">
        <v>147</v>
      </c>
      <c r="R2614" s="0" t="n">
        <v>44483</v>
      </c>
      <c r="AD2614" s="0" t="s">
        <v>148</v>
      </c>
      <c r="AE2614" s="0" t="s">
        <v>149</v>
      </c>
      <c r="AF2614" s="0" t="s">
        <v>150</v>
      </c>
      <c r="AH2614" s="0" t="n">
        <v>14</v>
      </c>
      <c r="AI2614" s="0" t="n">
        <v>11</v>
      </c>
      <c r="AN2614" s="0" t="s">
        <v>146</v>
      </c>
      <c r="AO2614" s="0" t="s">
        <v>151</v>
      </c>
      <c r="AP2614" s="0" t="s">
        <v>152</v>
      </c>
      <c r="AQ2614" s="0" t="n">
        <v>9</v>
      </c>
      <c r="AR2614" s="0" t="n">
        <v>64</v>
      </c>
      <c r="AS2614" s="0" t="n">
        <v>32</v>
      </c>
      <c r="AU2614" s="0" t="n">
        <f aca="false">COUNTA($BA$1259:$EH$1259)</f>
        <v>24</v>
      </c>
      <c r="AV2614" s="0" t="n">
        <f aca="false">COUNTIF($BA$1259:$EH$1259,"D")</f>
        <v>9</v>
      </c>
      <c r="AW2614" s="0" t="n">
        <f aca="false">COUNTIF($BA$1259:$EH$1259,"R")</f>
        <v>0</v>
      </c>
      <c r="AX2614" s="0" t="n">
        <f aca="false">IF(BN2614="D",1,0)+IF(BO2614="D",1,0)+IF(BT2614="D",1,0)+IF(BU2614="D",1,0)+IF(BW2614="D",1,0)+IF(CC2614="D",1,0)+IF(CD2614="D",1,0)+IF(CE2614="D",1,0)+IF(CF2614="D",1,0)+IF(CL2614="D",1,0)+IF(CM2614="D",1,0)+IF(CQ2614="D",1,0)+IF(CR2614="D",1,0)+IF(CS2614="D",1,0)+IF(CW2614="D",1,0)+IF(CX2614="D",1,0)+IF(DD2614="D",1,0)+IF(DE2614="D",1,0)+IF(DJ2614="D",1,0)+IF(DK2614="D",1,0)+IF(DO2614="D",1,0)+IF(DP2614="D",1,0)+IF(DQ2614="D",1,0)+IF(DW2614="D",1,0)+IF(DZ2614="D",1,0)+IF(EH2614="D",1,0)</f>
        <v>7</v>
      </c>
      <c r="AY2614" s="0" t="n">
        <f aca="false">COUNTIF(DU2614:EH2614, "&lt;&gt;")</f>
        <v>5</v>
      </c>
      <c r="AZ2614" s="0" t="n">
        <f aca="false">IF(EH2614&lt;&gt;"",1,0)</f>
        <v>1</v>
      </c>
      <c r="BB2614" s="0" t="s">
        <v>153</v>
      </c>
      <c r="CA2614" s="0" t="s">
        <v>154</v>
      </c>
      <c r="CC2614" s="0" t="s">
        <v>155</v>
      </c>
      <c r="CG2614" s="0" t="s">
        <v>154</v>
      </c>
      <c r="CH2614" s="0" t="s">
        <v>155</v>
      </c>
      <c r="CK2614" s="0" t="s">
        <v>154</v>
      </c>
      <c r="CN2614" s="0" t="s">
        <v>154</v>
      </c>
      <c r="CP2614" s="0" t="s">
        <v>154</v>
      </c>
      <c r="CQ2614" s="0" t="s">
        <v>155</v>
      </c>
      <c r="CU2614" s="0" t="s">
        <v>155</v>
      </c>
      <c r="CV2614" s="0" t="s">
        <v>154</v>
      </c>
      <c r="CW2614" s="0" t="s">
        <v>155</v>
      </c>
      <c r="CY2614" s="0" t="s">
        <v>154</v>
      </c>
      <c r="CZ2614" s="0" t="s">
        <v>155</v>
      </c>
      <c r="DC2614" s="0" t="s">
        <v>154</v>
      </c>
      <c r="DF2614" s="0" t="s">
        <v>154</v>
      </c>
      <c r="DI2614" s="0" t="s">
        <v>154</v>
      </c>
      <c r="DJ2614" s="0" t="s">
        <v>155</v>
      </c>
      <c r="DL2614" s="0" t="s">
        <v>154</v>
      </c>
      <c r="DN2614" s="0" t="s">
        <v>154</v>
      </c>
      <c r="DO2614" s="0" t="s">
        <v>155</v>
      </c>
      <c r="DR2614" s="0" t="s">
        <v>154</v>
      </c>
      <c r="DW2614" s="0" t="s">
        <v>155</v>
      </c>
      <c r="DX2614" s="0" t="s">
        <v>154</v>
      </c>
      <c r="EA2614" s="0" t="s">
        <v>154</v>
      </c>
      <c r="EF2614" s="0" t="s">
        <v>154</v>
      </c>
      <c r="EH2614" s="0" t="s">
        <v>155</v>
      </c>
    </row>
    <row r="2615" customFormat="false" ht="13.8" hidden="true" customHeight="false" outlineLevel="0" collapsed="false">
      <c r="A2615" s="0" t="s">
        <v>11208</v>
      </c>
      <c r="B2615" s="0" t="n">
        <v>78</v>
      </c>
      <c r="C2615" s="0" t="n">
        <v>205624</v>
      </c>
      <c r="D2615" s="0" t="s">
        <v>645</v>
      </c>
      <c r="E2615" s="0" t="s">
        <v>11209</v>
      </c>
      <c r="F2615" s="0" t="str">
        <f aca="false">CONCATENATE(D2615," ",LEFT(H2615,4),"T=",AU2615,"D=",AV2615,"R=",AW2615,"M=",AX2615,"L=",AY2615,"B=",AZ2615)</f>
        <v>WILLIAMS T=1D=0R=0M=0L=0B=0</v>
      </c>
      <c r="G2615" s="0" t="s">
        <v>176</v>
      </c>
      <c r="I2615" s="0" t="s">
        <v>11210</v>
      </c>
      <c r="J2615" s="0" t="s">
        <v>1637</v>
      </c>
      <c r="K2615" s="0" t="s">
        <v>144</v>
      </c>
      <c r="L2615" s="0"/>
      <c r="M2615" s="0" t="s">
        <v>11207</v>
      </c>
      <c r="N2615" s="0" t="str">
        <f aca="false">RIGHT(M2615,LEN(M2615)-FIND(" ",M2615))</f>
        <v>VERNON AVE NW</v>
      </c>
      <c r="P2615" s="0" t="s">
        <v>146</v>
      </c>
      <c r="Q2615" s="0" t="s">
        <v>147</v>
      </c>
      <c r="R2615" s="0" t="n">
        <v>44483</v>
      </c>
      <c r="AD2615" s="0" t="s">
        <v>148</v>
      </c>
      <c r="AE2615" s="0" t="s">
        <v>149</v>
      </c>
      <c r="AF2615" s="0" t="s">
        <v>150</v>
      </c>
      <c r="AH2615" s="0" t="n">
        <v>14</v>
      </c>
      <c r="AI2615" s="0" t="n">
        <v>11</v>
      </c>
      <c r="AN2615" s="0" t="s">
        <v>146</v>
      </c>
      <c r="AO2615" s="0" t="s">
        <v>151</v>
      </c>
      <c r="AP2615" s="0" t="s">
        <v>152</v>
      </c>
      <c r="AQ2615" s="0" t="n">
        <v>9</v>
      </c>
      <c r="AR2615" s="0" t="n">
        <v>64</v>
      </c>
      <c r="AS2615" s="0" t="n">
        <v>32</v>
      </c>
      <c r="AU2615" s="0" t="n">
        <f aca="false">COUNTA($BA$1347:$EH$1347)</f>
        <v>1</v>
      </c>
      <c r="AV2615" s="0" t="n">
        <f aca="false">COUNTIF($BA$1347:$EH$1347,"D")</f>
        <v>0</v>
      </c>
      <c r="AW2615" s="0" t="n">
        <f aca="false">COUNTIF($BA$1347:$EH$1347,"R")</f>
        <v>0</v>
      </c>
      <c r="AX2615" s="0" t="n">
        <f aca="false">IF(BN2615="D",1,0)+IF(BO2615="D",1,0)+IF(BT2615="D",1,0)+IF(BU2615="D",1,0)+IF(BW2615="D",1,0)+IF(CC2615="D",1,0)+IF(CD2615="D",1,0)+IF(CE2615="D",1,0)+IF(CF2615="D",1,0)+IF(CL2615="D",1,0)+IF(CM2615="D",1,0)+IF(CQ2615="D",1,0)+IF(CR2615="D",1,0)+IF(CS2615="D",1,0)+IF(CW2615="D",1,0)+IF(CX2615="D",1,0)+IF(DD2615="D",1,0)+IF(DE2615="D",1,0)+IF(DJ2615="D",1,0)+IF(DK2615="D",1,0)+IF(DO2615="D",1,0)+IF(DP2615="D",1,0)+IF(DQ2615="D",1,0)+IF(DW2615="D",1,0)+IF(DZ2615="D",1,0)+IF(EH2615="D",1,0)</f>
        <v>0</v>
      </c>
      <c r="AY2615" s="0" t="n">
        <f aca="false">COUNTIF(DU2615:EH2615, "&lt;&gt;")</f>
        <v>0</v>
      </c>
      <c r="AZ2615" s="0" t="n">
        <f aca="false">IF(EH2615&lt;&gt;"",1,0)</f>
        <v>0</v>
      </c>
      <c r="BB2615" s="0" t="s">
        <v>153</v>
      </c>
      <c r="CP2615" s="0" t="s">
        <v>154</v>
      </c>
    </row>
    <row r="2616" customFormat="false" ht="13.8" hidden="false" customHeight="false" outlineLevel="0" collapsed="false">
      <c r="A2616" s="0" t="s">
        <v>11211</v>
      </c>
      <c r="B2616" s="0" t="n">
        <v>78</v>
      </c>
      <c r="C2616" s="0" t="n">
        <v>292675</v>
      </c>
      <c r="D2616" s="0" t="s">
        <v>146</v>
      </c>
      <c r="E2616" s="0" t="s">
        <v>3202</v>
      </c>
      <c r="F2616" s="0" t="str">
        <f aca="false">CONCATENATE(D2616," ",LEFT(H2616,4),"T=",AU2616,"D=",AV2616,"R=",AW2616,"M=",AX2616,"L=",AY2616,"B=",AZ2616)</f>
        <v>WARREN T=7D=1R=0M=6L=7B=1</v>
      </c>
      <c r="G2616" s="0" t="s">
        <v>317</v>
      </c>
      <c r="I2616" s="0" t="s">
        <v>11212</v>
      </c>
      <c r="J2616" s="0" t="s">
        <v>1369</v>
      </c>
      <c r="K2616" s="0" t="s">
        <v>175</v>
      </c>
      <c r="L2616" s="1" t="s">
        <v>155</v>
      </c>
      <c r="M2616" s="0" t="s">
        <v>11213</v>
      </c>
      <c r="N2616" s="0" t="str">
        <f aca="false">RIGHT(M2616,LEN(M2616)-FIND(" ",M2616))</f>
        <v>VERNON AVE NW</v>
      </c>
      <c r="P2616" s="0" t="s">
        <v>146</v>
      </c>
      <c r="Q2616" s="0" t="s">
        <v>147</v>
      </c>
      <c r="R2616" s="0" t="n">
        <v>44483</v>
      </c>
      <c r="AD2616" s="0" t="s">
        <v>148</v>
      </c>
      <c r="AE2616" s="0" t="s">
        <v>149</v>
      </c>
      <c r="AF2616" s="0" t="s">
        <v>150</v>
      </c>
      <c r="AH2616" s="0" t="n">
        <v>14</v>
      </c>
      <c r="AI2616" s="0" t="n">
        <v>11</v>
      </c>
      <c r="AN2616" s="0" t="s">
        <v>146</v>
      </c>
      <c r="AO2616" s="0" t="s">
        <v>151</v>
      </c>
      <c r="AP2616" s="0" t="s">
        <v>152</v>
      </c>
      <c r="AQ2616" s="0" t="n">
        <v>9</v>
      </c>
      <c r="AR2616" s="0" t="n">
        <v>64</v>
      </c>
      <c r="AS2616" s="0" t="n">
        <v>32</v>
      </c>
      <c r="AU2616" s="0" t="n">
        <f aca="false">COUNTA($BA$1432:$EH$1432)</f>
        <v>7</v>
      </c>
      <c r="AV2616" s="0" t="n">
        <f aca="false">COUNTIF($BA$1432:$EH$1432,"D")</f>
        <v>1</v>
      </c>
      <c r="AW2616" s="0" t="n">
        <f aca="false">COUNTIF($BA$1432:$EH$1432,"R")</f>
        <v>0</v>
      </c>
      <c r="AX2616" s="0" t="n">
        <f aca="false">IF(BN2616="D",1,0)+IF(BO2616="D",1,0)+IF(BT2616="D",1,0)+IF(BU2616="D",1,0)+IF(BW2616="D",1,0)+IF(CC2616="D",1,0)+IF(CD2616="D",1,0)+IF(CE2616="D",1,0)+IF(CF2616="D",1,0)+IF(CL2616="D",1,0)+IF(CM2616="D",1,0)+IF(CQ2616="D",1,0)+IF(CR2616="D",1,0)+IF(CS2616="D",1,0)+IF(CW2616="D",1,0)+IF(CX2616="D",1,0)+IF(DD2616="D",1,0)+IF(DE2616="D",1,0)+IF(DJ2616="D",1,0)+IF(DK2616="D",1,0)+IF(DO2616="D",1,0)+IF(DP2616="D",1,0)+IF(DQ2616="D",1,0)+IF(DW2616="D",1,0)+IF(DZ2616="D",1,0)+IF(EH2616="D",1,0)</f>
        <v>6</v>
      </c>
      <c r="AY2616" s="0" t="n">
        <f aca="false">COUNTIF(DU2616:EH2616, "&lt;&gt;")</f>
        <v>7</v>
      </c>
      <c r="AZ2616" s="0" t="n">
        <f aca="false">IF(EH2616&lt;&gt;"",1,0)</f>
        <v>1</v>
      </c>
      <c r="BB2616" s="0" t="s">
        <v>153</v>
      </c>
      <c r="BC2616" s="0" t="s">
        <v>154</v>
      </c>
      <c r="BD2616" s="0" t="s">
        <v>154</v>
      </c>
      <c r="BG2616" s="0" t="s">
        <v>154</v>
      </c>
      <c r="BH2616" s="0" t="s">
        <v>154</v>
      </c>
      <c r="BI2616" s="0" t="s">
        <v>154</v>
      </c>
      <c r="BJ2616" s="0" t="s">
        <v>154</v>
      </c>
      <c r="BK2616" s="0" t="s">
        <v>154</v>
      </c>
      <c r="BL2616" s="0" t="s">
        <v>154</v>
      </c>
      <c r="BP2616" s="0" t="s">
        <v>154</v>
      </c>
      <c r="BR2616" s="0" t="s">
        <v>154</v>
      </c>
      <c r="BS2616" s="0" t="s">
        <v>154</v>
      </c>
      <c r="BV2616" s="0" t="s">
        <v>154</v>
      </c>
      <c r="BY2616" s="0" t="s">
        <v>155</v>
      </c>
      <c r="CA2616" s="0" t="s">
        <v>154</v>
      </c>
      <c r="CC2616" s="0" t="s">
        <v>155</v>
      </c>
      <c r="CG2616" s="0" t="s">
        <v>154</v>
      </c>
      <c r="CH2616" s="0" t="s">
        <v>155</v>
      </c>
      <c r="CK2616" s="0" t="s">
        <v>154</v>
      </c>
      <c r="CL2616" s="0" t="s">
        <v>155</v>
      </c>
      <c r="CN2616" s="0" t="s">
        <v>154</v>
      </c>
      <c r="CO2616" s="0" t="s">
        <v>155</v>
      </c>
      <c r="CP2616" s="0" t="s">
        <v>154</v>
      </c>
      <c r="CV2616" s="0" t="s">
        <v>154</v>
      </c>
      <c r="CY2616" s="0" t="s">
        <v>154</v>
      </c>
      <c r="CZ2616" s="0" t="s">
        <v>155</v>
      </c>
      <c r="DC2616" s="0" t="s">
        <v>154</v>
      </c>
      <c r="DD2616" s="0" t="s">
        <v>155</v>
      </c>
      <c r="DF2616" s="0" t="s">
        <v>154</v>
      </c>
      <c r="DG2616" s="0" t="s">
        <v>155</v>
      </c>
      <c r="DI2616" s="0" t="s">
        <v>154</v>
      </c>
      <c r="DJ2616" s="0" t="s">
        <v>155</v>
      </c>
      <c r="DL2616" s="0" t="s">
        <v>154</v>
      </c>
      <c r="DM2616" s="0" t="s">
        <v>155</v>
      </c>
      <c r="DN2616" s="0" t="s">
        <v>154</v>
      </c>
      <c r="DR2616" s="0" t="s">
        <v>154</v>
      </c>
      <c r="DS2616" s="0" t="s">
        <v>155</v>
      </c>
      <c r="DU2616" s="0" t="s">
        <v>154</v>
      </c>
      <c r="DW2616" s="0" t="s">
        <v>155</v>
      </c>
      <c r="DX2616" s="0" t="s">
        <v>154</v>
      </c>
      <c r="EA2616" s="0" t="s">
        <v>154</v>
      </c>
      <c r="ED2616" s="0" t="s">
        <v>155</v>
      </c>
      <c r="EF2616" s="0" t="s">
        <v>154</v>
      </c>
      <c r="EH2616" s="0" t="s">
        <v>155</v>
      </c>
    </row>
    <row r="2617" customFormat="false" ht="13.8" hidden="false" customHeight="false" outlineLevel="0" collapsed="false">
      <c r="A2617" s="0" t="s">
        <v>11214</v>
      </c>
      <c r="B2617" s="0" t="n">
        <v>78</v>
      </c>
      <c r="C2617" s="0" t="n">
        <v>327270</v>
      </c>
      <c r="D2617" s="0" t="s">
        <v>3338</v>
      </c>
      <c r="E2617" s="0" t="s">
        <v>11215</v>
      </c>
      <c r="F2617" s="0" t="str">
        <f aca="false">CONCATENATE(D2617," ",LEFT(H2617,4),"T=",AU2617,"D=",AV2617,"R=",AW2617,"M=",AX2617,"L=",AY2617,"B=",AZ2617)</f>
        <v>POOLE T=8D=1R=0M=0L=2B=0</v>
      </c>
      <c r="I2617" s="0" t="s">
        <v>11216</v>
      </c>
      <c r="J2617" s="0" t="s">
        <v>11217</v>
      </c>
      <c r="K2617" s="0" t="s">
        <v>175</v>
      </c>
      <c r="M2617" s="0" t="s">
        <v>11218</v>
      </c>
      <c r="N2617" s="0" t="str">
        <f aca="false">RIGHT(M2617,LEN(M2617)-FIND(" ",M2617))</f>
        <v>VERNON AVE NW</v>
      </c>
      <c r="P2617" s="0" t="s">
        <v>146</v>
      </c>
      <c r="Q2617" s="0" t="s">
        <v>147</v>
      </c>
      <c r="R2617" s="0" t="n">
        <v>44483</v>
      </c>
      <c r="AD2617" s="0" t="s">
        <v>148</v>
      </c>
      <c r="AE2617" s="0" t="s">
        <v>149</v>
      </c>
      <c r="AF2617" s="0" t="s">
        <v>150</v>
      </c>
      <c r="AH2617" s="0" t="n">
        <v>14</v>
      </c>
      <c r="AI2617" s="0" t="n">
        <v>11</v>
      </c>
      <c r="AN2617" s="0" t="s">
        <v>146</v>
      </c>
      <c r="AO2617" s="0" t="s">
        <v>151</v>
      </c>
      <c r="AP2617" s="0" t="s">
        <v>152</v>
      </c>
      <c r="AQ2617" s="0" t="n">
        <v>9</v>
      </c>
      <c r="AR2617" s="0" t="n">
        <v>64</v>
      </c>
      <c r="AS2617" s="0" t="n">
        <v>32</v>
      </c>
      <c r="AU2617" s="0" t="n">
        <f aca="false">COUNTA($BA$1119:$EH$1119)</f>
        <v>8</v>
      </c>
      <c r="AV2617" s="0" t="n">
        <f aca="false">COUNTIF($BA$1119:$EH$1119,"D")</f>
        <v>1</v>
      </c>
      <c r="AW2617" s="0" t="n">
        <f aca="false">COUNTIF($BA$1119:$EH$1119,"R")</f>
        <v>0</v>
      </c>
      <c r="AX2617" s="0" t="n">
        <f aca="false">IF(BN2617="D",1,0)+IF(BO2617="D",1,0)+IF(BT2617="D",1,0)+IF(BU2617="D",1,0)+IF(BW2617="D",1,0)+IF(CC2617="D",1,0)+IF(CD2617="D",1,0)+IF(CE2617="D",1,0)+IF(CF2617="D",1,0)+IF(CL2617="D",1,0)+IF(CM2617="D",1,0)+IF(CQ2617="D",1,0)+IF(CR2617="D",1,0)+IF(CS2617="D",1,0)+IF(CW2617="D",1,0)+IF(CX2617="D",1,0)+IF(DD2617="D",1,0)+IF(DE2617="D",1,0)+IF(DJ2617="D",1,0)+IF(DK2617="D",1,0)+IF(DO2617="D",1,0)+IF(DP2617="D",1,0)+IF(DQ2617="D",1,0)+IF(DW2617="D",1,0)+IF(DZ2617="D",1,0)+IF(EH2617="D",1,0)</f>
        <v>0</v>
      </c>
      <c r="AY2617" s="0" t="n">
        <f aca="false">COUNTIF(DU2617:EH2617, "&lt;&gt;")</f>
        <v>2</v>
      </c>
      <c r="AZ2617" s="0" t="n">
        <f aca="false">IF(EH2617&lt;&gt;"",1,0)</f>
        <v>0</v>
      </c>
      <c r="BB2617" s="0" t="s">
        <v>153</v>
      </c>
      <c r="BL2617" s="0" t="s">
        <v>154</v>
      </c>
      <c r="BY2617" s="0" t="s">
        <v>155</v>
      </c>
      <c r="CA2617" s="0" t="s">
        <v>154</v>
      </c>
      <c r="CK2617" s="0" t="s">
        <v>154</v>
      </c>
      <c r="CN2617" s="0" t="s">
        <v>154</v>
      </c>
      <c r="CP2617" s="0" t="s">
        <v>154</v>
      </c>
      <c r="CV2617" s="0" t="s">
        <v>154</v>
      </c>
      <c r="CY2617" s="0" t="s">
        <v>154</v>
      </c>
      <c r="CZ2617" s="0" t="s">
        <v>155</v>
      </c>
      <c r="DC2617" s="0" t="s">
        <v>154</v>
      </c>
      <c r="DI2617" s="0" t="s">
        <v>154</v>
      </c>
      <c r="DN2617" s="0" t="s">
        <v>154</v>
      </c>
      <c r="DU2617" s="0" t="s">
        <v>154</v>
      </c>
      <c r="EF2617" s="0" t="s">
        <v>154</v>
      </c>
    </row>
    <row r="2618" customFormat="false" ht="13.8" hidden="false" customHeight="false" outlineLevel="0" collapsed="false">
      <c r="A2618" s="0" t="s">
        <v>11219</v>
      </c>
      <c r="B2618" s="0" t="n">
        <v>78</v>
      </c>
      <c r="C2618" s="0" t="n">
        <v>177552</v>
      </c>
      <c r="D2618" s="0" t="s">
        <v>3338</v>
      </c>
      <c r="E2618" s="0" t="s">
        <v>11220</v>
      </c>
      <c r="F2618" s="0" t="str">
        <f aca="false">CONCATENATE(D2618," ",LEFT(H2618,4),"T=",AU2618,"D=",AV2618,"R=",AW2618,"M=",AX2618,"L=",AY2618,"B=",AZ2618)</f>
        <v>POOLE T=2D=0R=0M=1L=3B=0</v>
      </c>
      <c r="I2618" s="0" t="s">
        <v>11221</v>
      </c>
      <c r="J2618" s="0" t="s">
        <v>11217</v>
      </c>
      <c r="K2618" s="0" t="s">
        <v>175</v>
      </c>
      <c r="L2618" s="1" t="s">
        <v>155</v>
      </c>
      <c r="M2618" s="0" t="s">
        <v>11218</v>
      </c>
      <c r="N2618" s="0" t="str">
        <f aca="false">RIGHT(M2618,LEN(M2618)-FIND(" ",M2618))</f>
        <v>VERNON AVE NW</v>
      </c>
      <c r="P2618" s="0" t="s">
        <v>146</v>
      </c>
      <c r="Q2618" s="0" t="s">
        <v>147</v>
      </c>
      <c r="R2618" s="0" t="n">
        <v>44483</v>
      </c>
      <c r="AD2618" s="0" t="s">
        <v>148</v>
      </c>
      <c r="AE2618" s="0" t="s">
        <v>149</v>
      </c>
      <c r="AF2618" s="0" t="s">
        <v>150</v>
      </c>
      <c r="AH2618" s="0" t="n">
        <v>14</v>
      </c>
      <c r="AI2618" s="0" t="n">
        <v>11</v>
      </c>
      <c r="AN2618" s="0" t="s">
        <v>146</v>
      </c>
      <c r="AO2618" s="0" t="s">
        <v>151</v>
      </c>
      <c r="AP2618" s="0" t="s">
        <v>152</v>
      </c>
      <c r="AQ2618" s="0" t="n">
        <v>9</v>
      </c>
      <c r="AR2618" s="0" t="n">
        <v>64</v>
      </c>
      <c r="AS2618" s="0" t="n">
        <v>32</v>
      </c>
      <c r="AU2618" s="0" t="n">
        <f aca="false">COUNTA($BA$1125:$EH$1125)</f>
        <v>2</v>
      </c>
      <c r="AV2618" s="0" t="n">
        <f aca="false">COUNTIF($BA$1125:$EH$1125,"D")</f>
        <v>0</v>
      </c>
      <c r="AW2618" s="0" t="n">
        <f aca="false">COUNTIF($BA$1125:$EH$1125,"R")</f>
        <v>0</v>
      </c>
      <c r="AX2618" s="0" t="n">
        <f aca="false">IF(BN2618="D",1,0)+IF(BO2618="D",1,0)+IF(BT2618="D",1,0)+IF(BU2618="D",1,0)+IF(BW2618="D",1,0)+IF(CC2618="D",1,0)+IF(CD2618="D",1,0)+IF(CE2618="D",1,0)+IF(CF2618="D",1,0)+IF(CL2618="D",1,0)+IF(CM2618="D",1,0)+IF(CQ2618="D",1,0)+IF(CR2618="D",1,0)+IF(CS2618="D",1,0)+IF(CW2618="D",1,0)+IF(CX2618="D",1,0)+IF(DD2618="D",1,0)+IF(DE2618="D",1,0)+IF(DJ2618="D",1,0)+IF(DK2618="D",1,0)+IF(DO2618="D",1,0)+IF(DP2618="D",1,0)+IF(DQ2618="D",1,0)+IF(DW2618="D",1,0)+IF(DZ2618="D",1,0)+IF(EH2618="D",1,0)</f>
        <v>1</v>
      </c>
      <c r="AY2618" s="0" t="n">
        <f aca="false">COUNTIF(DU2618:EH2618, "&lt;&gt;")</f>
        <v>3</v>
      </c>
      <c r="AZ2618" s="0" t="n">
        <f aca="false">IF(EH2618&lt;&gt;"",1,0)</f>
        <v>0</v>
      </c>
      <c r="BB2618" s="0" t="s">
        <v>153</v>
      </c>
      <c r="BC2618" s="0" t="s">
        <v>154</v>
      </c>
      <c r="BD2618" s="0" t="s">
        <v>154</v>
      </c>
      <c r="BH2618" s="0" t="s">
        <v>154</v>
      </c>
      <c r="BI2618" s="0" t="s">
        <v>154</v>
      </c>
      <c r="BJ2618" s="0" t="s">
        <v>154</v>
      </c>
      <c r="BK2618" s="0" t="s">
        <v>154</v>
      </c>
      <c r="BL2618" s="0" t="s">
        <v>154</v>
      </c>
      <c r="BP2618" s="0" t="s">
        <v>154</v>
      </c>
      <c r="BS2618" s="0" t="s">
        <v>154</v>
      </c>
      <c r="BY2618" s="0" t="s">
        <v>155</v>
      </c>
      <c r="CA2618" s="0" t="s">
        <v>154</v>
      </c>
      <c r="CG2618" s="0" t="s">
        <v>154</v>
      </c>
      <c r="CK2618" s="0" t="s">
        <v>154</v>
      </c>
      <c r="CL2618" s="0" t="s">
        <v>155</v>
      </c>
      <c r="CN2618" s="0" t="s">
        <v>154</v>
      </c>
      <c r="CO2618" s="0" t="s">
        <v>155</v>
      </c>
      <c r="CP2618" s="0" t="s">
        <v>154</v>
      </c>
      <c r="CV2618" s="0" t="s">
        <v>154</v>
      </c>
      <c r="CY2618" s="0" t="s">
        <v>154</v>
      </c>
      <c r="CZ2618" s="0" t="s">
        <v>155</v>
      </c>
      <c r="DC2618" s="0" t="s">
        <v>154</v>
      </c>
      <c r="DI2618" s="0" t="s">
        <v>154</v>
      </c>
      <c r="DN2618" s="0" t="s">
        <v>154</v>
      </c>
      <c r="DT2618" s="0" t="s">
        <v>155</v>
      </c>
      <c r="DU2618" s="0" t="s">
        <v>154</v>
      </c>
      <c r="EA2618" s="0" t="s">
        <v>154</v>
      </c>
      <c r="EF2618" s="0" t="s">
        <v>154</v>
      </c>
    </row>
    <row r="2619" customFormat="false" ht="13.8" hidden="false" customHeight="false" outlineLevel="0" collapsed="false">
      <c r="A2619" s="0" t="s">
        <v>11222</v>
      </c>
      <c r="B2619" s="0" t="n">
        <v>78</v>
      </c>
      <c r="C2619" s="0" t="n">
        <v>5810</v>
      </c>
      <c r="D2619" s="0" t="s">
        <v>2400</v>
      </c>
      <c r="E2619" s="0" t="s">
        <v>867</v>
      </c>
      <c r="F2619" s="0" t="str">
        <f aca="false">CONCATENATE(D2619," ",LEFT(H2619,4),"T=",AU2619,"D=",AV2619,"R=",AW2619,"M=",AX2619,"L=",AY2619,"B=",AZ2619)</f>
        <v>HECKMAN T=1D=0R=0M=7L=5B=0</v>
      </c>
      <c r="G2619" s="0" t="s">
        <v>176</v>
      </c>
      <c r="I2619" s="0" t="s">
        <v>11223</v>
      </c>
      <c r="J2619" s="0" t="s">
        <v>2606</v>
      </c>
      <c r="K2619" s="0" t="s">
        <v>175</v>
      </c>
      <c r="L2619" s="1" t="s">
        <v>155</v>
      </c>
      <c r="M2619" s="0" t="s">
        <v>11224</v>
      </c>
      <c r="N2619" s="0" t="str">
        <f aca="false">RIGHT(M2619,LEN(M2619)-FIND(" ",M2619))</f>
        <v>VERNON AVE NW</v>
      </c>
      <c r="P2619" s="0" t="s">
        <v>146</v>
      </c>
      <c r="Q2619" s="0" t="s">
        <v>147</v>
      </c>
      <c r="R2619" s="0" t="n">
        <v>44483</v>
      </c>
      <c r="AD2619" s="0" t="s">
        <v>148</v>
      </c>
      <c r="AE2619" s="0" t="s">
        <v>149</v>
      </c>
      <c r="AF2619" s="0" t="s">
        <v>150</v>
      </c>
      <c r="AH2619" s="0" t="n">
        <v>14</v>
      </c>
      <c r="AI2619" s="0" t="n">
        <v>11</v>
      </c>
      <c r="AN2619" s="0" t="s">
        <v>146</v>
      </c>
      <c r="AO2619" s="0" t="s">
        <v>151</v>
      </c>
      <c r="AP2619" s="0" t="s">
        <v>152</v>
      </c>
      <c r="AQ2619" s="0" t="n">
        <v>9</v>
      </c>
      <c r="AR2619" s="0" t="n">
        <v>64</v>
      </c>
      <c r="AS2619" s="0" t="n">
        <v>32</v>
      </c>
      <c r="AU2619" s="0" t="n">
        <f aca="false">COUNTA($BA$1133:$EH$1133)</f>
        <v>1</v>
      </c>
      <c r="AV2619" s="0" t="n">
        <f aca="false">COUNTIF($BA$1133:$EH$1133,"D")</f>
        <v>0</v>
      </c>
      <c r="AW2619" s="0" t="n">
        <f aca="false">COUNTIF($BA$1133:$EH$1133,"R")</f>
        <v>0</v>
      </c>
      <c r="AX2619" s="0" t="n">
        <f aca="false">IF(BN2619="D",1,0)+IF(BO2619="D",1,0)+IF(BT2619="D",1,0)+IF(BU2619="D",1,0)+IF(BW2619="D",1,0)+IF(CC2619="D",1,0)+IF(CD2619="D",1,0)+IF(CE2619="D",1,0)+IF(CF2619="D",1,0)+IF(CL2619="D",1,0)+IF(CM2619="D",1,0)+IF(CQ2619="D",1,0)+IF(CR2619="D",1,0)+IF(CS2619="D",1,0)+IF(CW2619="D",1,0)+IF(CX2619="D",1,0)+IF(DD2619="D",1,0)+IF(DE2619="D",1,0)+IF(DJ2619="D",1,0)+IF(DK2619="D",1,0)+IF(DO2619="D",1,0)+IF(DP2619="D",1,0)+IF(DQ2619="D",1,0)+IF(DW2619="D",1,0)+IF(DZ2619="D",1,0)+IF(EH2619="D",1,0)</f>
        <v>7</v>
      </c>
      <c r="AY2619" s="0" t="n">
        <f aca="false">COUNTIF(DU2619:EH2619, "&lt;&gt;")</f>
        <v>5</v>
      </c>
      <c r="AZ2619" s="0" t="n">
        <f aca="false">IF(EH2619&lt;&gt;"",1,0)</f>
        <v>0</v>
      </c>
      <c r="BB2619" s="0" t="s">
        <v>153</v>
      </c>
      <c r="BC2619" s="0" t="s">
        <v>154</v>
      </c>
      <c r="BD2619" s="0" t="s">
        <v>154</v>
      </c>
      <c r="BE2619" s="0" t="s">
        <v>154</v>
      </c>
      <c r="BF2619" s="0" t="s">
        <v>154</v>
      </c>
      <c r="BG2619" s="0" t="s">
        <v>154</v>
      </c>
      <c r="BH2619" s="0" t="s">
        <v>154</v>
      </c>
      <c r="BI2619" s="0" t="s">
        <v>154</v>
      </c>
      <c r="BJ2619" s="0" t="s">
        <v>154</v>
      </c>
      <c r="BK2619" s="0" t="s">
        <v>154</v>
      </c>
      <c r="BL2619" s="0" t="s">
        <v>154</v>
      </c>
      <c r="BP2619" s="0" t="s">
        <v>154</v>
      </c>
      <c r="BR2619" s="0" t="s">
        <v>154</v>
      </c>
      <c r="BS2619" s="0" t="s">
        <v>154</v>
      </c>
      <c r="BV2619" s="0" t="s">
        <v>154</v>
      </c>
      <c r="BY2619" s="0" t="s">
        <v>155</v>
      </c>
      <c r="CA2619" s="0" t="s">
        <v>154</v>
      </c>
      <c r="CC2619" s="0" t="s">
        <v>155</v>
      </c>
      <c r="CG2619" s="0" t="s">
        <v>154</v>
      </c>
      <c r="CH2619" s="0" t="s">
        <v>155</v>
      </c>
      <c r="CK2619" s="0" t="s">
        <v>154</v>
      </c>
      <c r="CL2619" s="0" t="s">
        <v>155</v>
      </c>
      <c r="CN2619" s="0" t="s">
        <v>154</v>
      </c>
      <c r="CO2619" s="0" t="s">
        <v>155</v>
      </c>
      <c r="CP2619" s="0" t="s">
        <v>154</v>
      </c>
      <c r="CQ2619" s="0" t="s">
        <v>155</v>
      </c>
      <c r="CT2619" s="0" t="s">
        <v>154</v>
      </c>
      <c r="CU2619" s="0" t="s">
        <v>155</v>
      </c>
      <c r="CV2619" s="0" t="s">
        <v>154</v>
      </c>
      <c r="CY2619" s="0" t="s">
        <v>154</v>
      </c>
      <c r="CZ2619" s="0" t="s">
        <v>155</v>
      </c>
      <c r="DC2619" s="0" t="s">
        <v>154</v>
      </c>
      <c r="DD2619" s="0" t="s">
        <v>155</v>
      </c>
      <c r="DF2619" s="0" t="s">
        <v>154</v>
      </c>
      <c r="DG2619" s="0" t="s">
        <v>155</v>
      </c>
      <c r="DI2619" s="0" t="s">
        <v>154</v>
      </c>
      <c r="DJ2619" s="0" t="s">
        <v>155</v>
      </c>
      <c r="DM2619" s="0" t="s">
        <v>155</v>
      </c>
      <c r="DN2619" s="0" t="s">
        <v>154</v>
      </c>
      <c r="DO2619" s="0" t="s">
        <v>155</v>
      </c>
      <c r="DR2619" s="0" t="s">
        <v>154</v>
      </c>
      <c r="DS2619" s="0" t="s">
        <v>155</v>
      </c>
      <c r="DT2619" s="0" t="s">
        <v>155</v>
      </c>
      <c r="DU2619" s="0" t="s">
        <v>154</v>
      </c>
      <c r="DW2619" s="0" t="s">
        <v>155</v>
      </c>
      <c r="DX2619" s="0" t="s">
        <v>154</v>
      </c>
      <c r="EA2619" s="0" t="s">
        <v>154</v>
      </c>
      <c r="EF2619" s="0" t="s">
        <v>154</v>
      </c>
    </row>
    <row r="2620" customFormat="false" ht="13.8" hidden="false" customHeight="false" outlineLevel="0" collapsed="false">
      <c r="A2620" s="0" t="s">
        <v>11225</v>
      </c>
      <c r="B2620" s="0" t="n">
        <v>78</v>
      </c>
      <c r="C2620" s="0" t="n">
        <v>5809</v>
      </c>
      <c r="D2620" s="0" t="s">
        <v>2400</v>
      </c>
      <c r="E2620" s="0" t="s">
        <v>652</v>
      </c>
      <c r="F2620" s="0" t="str">
        <f aca="false">CONCATENATE(D2620," ",LEFT(H2620,4),"T=",AU2620,"D=",AV2620,"R=",AW2620,"M=",AX2620,"L=",AY2620,"B=",AZ2620)</f>
        <v>HECKMAN T=1D=0R=0M=7L=5B=0</v>
      </c>
      <c r="G2620" s="0" t="s">
        <v>514</v>
      </c>
      <c r="I2620" s="0" t="s">
        <v>11226</v>
      </c>
      <c r="J2620" s="0" t="s">
        <v>11227</v>
      </c>
      <c r="K2620" s="0" t="s">
        <v>175</v>
      </c>
      <c r="L2620" s="1" t="s">
        <v>155</v>
      </c>
      <c r="M2620" s="0" t="s">
        <v>11224</v>
      </c>
      <c r="N2620" s="0" t="str">
        <f aca="false">RIGHT(M2620,LEN(M2620)-FIND(" ",M2620))</f>
        <v>VERNON AVE NW</v>
      </c>
      <c r="P2620" s="0" t="s">
        <v>146</v>
      </c>
      <c r="Q2620" s="0" t="s">
        <v>147</v>
      </c>
      <c r="R2620" s="0" t="n">
        <v>44483</v>
      </c>
      <c r="AD2620" s="0" t="s">
        <v>148</v>
      </c>
      <c r="AE2620" s="0" t="s">
        <v>149</v>
      </c>
      <c r="AF2620" s="0" t="s">
        <v>150</v>
      </c>
      <c r="AH2620" s="0" t="n">
        <v>14</v>
      </c>
      <c r="AI2620" s="0" t="n">
        <v>11</v>
      </c>
      <c r="AN2620" s="0" t="s">
        <v>146</v>
      </c>
      <c r="AO2620" s="0" t="s">
        <v>151</v>
      </c>
      <c r="AP2620" s="0" t="s">
        <v>152</v>
      </c>
      <c r="AQ2620" s="0" t="n">
        <v>9</v>
      </c>
      <c r="AR2620" s="0" t="n">
        <v>64</v>
      </c>
      <c r="AS2620" s="0" t="n">
        <v>32</v>
      </c>
      <c r="AU2620" s="0" t="n">
        <f aca="false">COUNTA($BA$1421:$EH$1421)</f>
        <v>1</v>
      </c>
      <c r="AV2620" s="0" t="n">
        <f aca="false">COUNTIF($BA$1421:$EH$1421,"D")</f>
        <v>0</v>
      </c>
      <c r="AW2620" s="0" t="n">
        <f aca="false">COUNTIF($BA$1421:$EH$1421,"R")</f>
        <v>0</v>
      </c>
      <c r="AX2620" s="0" t="n">
        <f aca="false">IF(BN2620="D",1,0)+IF(BO2620="D",1,0)+IF(BT2620="D",1,0)+IF(BU2620="D",1,0)+IF(BW2620="D",1,0)+IF(CC2620="D",1,0)+IF(CD2620="D",1,0)+IF(CE2620="D",1,0)+IF(CF2620="D",1,0)+IF(CL2620="D",1,0)+IF(CM2620="D",1,0)+IF(CQ2620="D",1,0)+IF(CR2620="D",1,0)+IF(CS2620="D",1,0)+IF(CW2620="D",1,0)+IF(CX2620="D",1,0)+IF(DD2620="D",1,0)+IF(DE2620="D",1,0)+IF(DJ2620="D",1,0)+IF(DK2620="D",1,0)+IF(DO2620="D",1,0)+IF(DP2620="D",1,0)+IF(DQ2620="D",1,0)+IF(DW2620="D",1,0)+IF(DZ2620="D",1,0)+IF(EH2620="D",1,0)</f>
        <v>7</v>
      </c>
      <c r="AY2620" s="0" t="n">
        <f aca="false">COUNTIF(DU2620:EH2620, "&lt;&gt;")</f>
        <v>5</v>
      </c>
      <c r="AZ2620" s="0" t="n">
        <f aca="false">IF(EH2620&lt;&gt;"",1,0)</f>
        <v>0</v>
      </c>
      <c r="BB2620" s="0" t="s">
        <v>153</v>
      </c>
      <c r="BC2620" s="0" t="s">
        <v>154</v>
      </c>
      <c r="BD2620" s="0" t="s">
        <v>154</v>
      </c>
      <c r="BE2620" s="0" t="s">
        <v>154</v>
      </c>
      <c r="BF2620" s="0" t="s">
        <v>154</v>
      </c>
      <c r="BG2620" s="0" t="s">
        <v>154</v>
      </c>
      <c r="BH2620" s="0" t="s">
        <v>154</v>
      </c>
      <c r="BI2620" s="0" t="s">
        <v>154</v>
      </c>
      <c r="BJ2620" s="0" t="s">
        <v>154</v>
      </c>
      <c r="BK2620" s="0" t="s">
        <v>154</v>
      </c>
      <c r="BL2620" s="0" t="s">
        <v>154</v>
      </c>
      <c r="BP2620" s="0" t="s">
        <v>154</v>
      </c>
      <c r="BR2620" s="0" t="s">
        <v>154</v>
      </c>
      <c r="BS2620" s="0" t="s">
        <v>154</v>
      </c>
      <c r="BV2620" s="0" t="s">
        <v>154</v>
      </c>
      <c r="BY2620" s="0" t="s">
        <v>155</v>
      </c>
      <c r="CA2620" s="0" t="s">
        <v>154</v>
      </c>
      <c r="CC2620" s="0" t="s">
        <v>155</v>
      </c>
      <c r="CG2620" s="0" t="s">
        <v>154</v>
      </c>
      <c r="CH2620" s="0" t="s">
        <v>155</v>
      </c>
      <c r="CK2620" s="0" t="s">
        <v>154</v>
      </c>
      <c r="CL2620" s="0" t="s">
        <v>155</v>
      </c>
      <c r="CN2620" s="0" t="s">
        <v>154</v>
      </c>
      <c r="CO2620" s="0" t="s">
        <v>155</v>
      </c>
      <c r="CP2620" s="0" t="s">
        <v>154</v>
      </c>
      <c r="CQ2620" s="0" t="s">
        <v>155</v>
      </c>
      <c r="CT2620" s="0" t="s">
        <v>154</v>
      </c>
      <c r="CU2620" s="0" t="s">
        <v>155</v>
      </c>
      <c r="CV2620" s="0" t="s">
        <v>154</v>
      </c>
      <c r="CY2620" s="0" t="s">
        <v>154</v>
      </c>
      <c r="CZ2620" s="0" t="s">
        <v>155</v>
      </c>
      <c r="DC2620" s="0" t="s">
        <v>154</v>
      </c>
      <c r="DD2620" s="0" t="s">
        <v>155</v>
      </c>
      <c r="DF2620" s="0" t="s">
        <v>154</v>
      </c>
      <c r="DG2620" s="0" t="s">
        <v>155</v>
      </c>
      <c r="DI2620" s="0" t="s">
        <v>154</v>
      </c>
      <c r="DJ2620" s="0" t="s">
        <v>155</v>
      </c>
      <c r="DM2620" s="0" t="s">
        <v>155</v>
      </c>
      <c r="DN2620" s="0" t="s">
        <v>154</v>
      </c>
      <c r="DO2620" s="0" t="s">
        <v>155</v>
      </c>
      <c r="DR2620" s="0" t="s">
        <v>154</v>
      </c>
      <c r="DS2620" s="0" t="s">
        <v>155</v>
      </c>
      <c r="DT2620" s="0" t="s">
        <v>155</v>
      </c>
      <c r="DU2620" s="0" t="s">
        <v>154</v>
      </c>
      <c r="DW2620" s="0" t="s">
        <v>155</v>
      </c>
      <c r="DX2620" s="0" t="s">
        <v>154</v>
      </c>
      <c r="EA2620" s="0" t="s">
        <v>154</v>
      </c>
      <c r="EF2620" s="0" t="s">
        <v>154</v>
      </c>
    </row>
    <row r="2621" customFormat="false" ht="13.8" hidden="false" customHeight="false" outlineLevel="0" collapsed="false">
      <c r="A2621" s="0" t="s">
        <v>11228</v>
      </c>
      <c r="B2621" s="0" t="n">
        <v>78</v>
      </c>
      <c r="C2621" s="0" t="n">
        <v>430534</v>
      </c>
      <c r="D2621" s="0" t="s">
        <v>1480</v>
      </c>
      <c r="E2621" s="0" t="s">
        <v>670</v>
      </c>
      <c r="F2621" s="0" t="str">
        <f aca="false">CONCATENATE(D2621," ",LEFT(H2621,4),"T=",AU2621,"D=",AV2621,"R=",AW2621,"M=",AX2621,"L=",AY2621,"B=",AZ2621)</f>
        <v>RUSH T=16D=0R=2M=0L=5B=0</v>
      </c>
      <c r="G2621" s="0" t="s">
        <v>297</v>
      </c>
      <c r="I2621" s="0" t="s">
        <v>11229</v>
      </c>
      <c r="J2621" s="0" t="s">
        <v>11230</v>
      </c>
      <c r="K2621" s="0" t="s">
        <v>175</v>
      </c>
      <c r="L2621" s="1" t="s">
        <v>155</v>
      </c>
      <c r="M2621" s="0" t="s">
        <v>11231</v>
      </c>
      <c r="N2621" s="0" t="str">
        <f aca="false">RIGHT(M2621,LEN(M2621)-FIND(" ",M2621))</f>
        <v>VERNON AVE NW</v>
      </c>
      <c r="P2621" s="0" t="s">
        <v>146</v>
      </c>
      <c r="Q2621" s="0" t="s">
        <v>147</v>
      </c>
      <c r="R2621" s="0" t="n">
        <v>44483</v>
      </c>
      <c r="AD2621" s="0" t="s">
        <v>148</v>
      </c>
      <c r="AE2621" s="0" t="s">
        <v>149</v>
      </c>
      <c r="AF2621" s="0" t="s">
        <v>150</v>
      </c>
      <c r="AH2621" s="0" t="n">
        <v>14</v>
      </c>
      <c r="AI2621" s="0" t="n">
        <v>11</v>
      </c>
      <c r="AN2621" s="0" t="s">
        <v>146</v>
      </c>
      <c r="AO2621" s="0" t="s">
        <v>151</v>
      </c>
      <c r="AP2621" s="0" t="s">
        <v>152</v>
      </c>
      <c r="AQ2621" s="0" t="n">
        <v>9</v>
      </c>
      <c r="AR2621" s="0" t="n">
        <v>64</v>
      </c>
      <c r="AS2621" s="0" t="n">
        <v>32</v>
      </c>
      <c r="AU2621" s="0" t="n">
        <f aca="false">COUNTA($BA$1173:$EH$1173)</f>
        <v>16</v>
      </c>
      <c r="AV2621" s="0" t="n">
        <f aca="false">COUNTIF($BA$1173:$EH$1173,"D")</f>
        <v>0</v>
      </c>
      <c r="AW2621" s="0" t="n">
        <f aca="false">COUNTIF($BA$1173:$EH$1173,"R")</f>
        <v>2</v>
      </c>
      <c r="AX2621" s="0" t="n">
        <f aca="false">IF(BN2621="D",1,0)+IF(BO2621="D",1,0)+IF(BT2621="D",1,0)+IF(BU2621="D",1,0)+IF(BW2621="D",1,0)+IF(CC2621="D",1,0)+IF(CD2621="D",1,0)+IF(CE2621="D",1,0)+IF(CF2621="D",1,0)+IF(CL2621="D",1,0)+IF(CM2621="D",1,0)+IF(CQ2621="D",1,0)+IF(CR2621="D",1,0)+IF(CS2621="D",1,0)+IF(CW2621="D",1,0)+IF(CX2621="D",1,0)+IF(DD2621="D",1,0)+IF(DE2621="D",1,0)+IF(DJ2621="D",1,0)+IF(DK2621="D",1,0)+IF(DO2621="D",1,0)+IF(DP2621="D",1,0)+IF(DQ2621="D",1,0)+IF(DW2621="D",1,0)+IF(DZ2621="D",1,0)+IF(EH2621="D",1,0)</f>
        <v>0</v>
      </c>
      <c r="AY2621" s="0" t="n">
        <f aca="false">COUNTIF(DU2621:EH2621, "&lt;&gt;")</f>
        <v>5</v>
      </c>
      <c r="AZ2621" s="0" t="n">
        <f aca="false">IF(EH2621&lt;&gt;"",1,0)</f>
        <v>0</v>
      </c>
      <c r="BB2621" s="0" t="s">
        <v>153</v>
      </c>
      <c r="DM2621" s="0" t="s">
        <v>155</v>
      </c>
      <c r="DU2621" s="0" t="s">
        <v>154</v>
      </c>
      <c r="DX2621" s="0" t="s">
        <v>154</v>
      </c>
      <c r="EA2621" s="0" t="s">
        <v>154</v>
      </c>
      <c r="ED2621" s="0" t="s">
        <v>155</v>
      </c>
      <c r="EF2621" s="0" t="s">
        <v>154</v>
      </c>
    </row>
    <row r="2622" customFormat="false" ht="13.8" hidden="false" customHeight="false" outlineLevel="0" collapsed="false">
      <c r="A2622" s="0" t="s">
        <v>11232</v>
      </c>
      <c r="B2622" s="0" t="n">
        <v>78</v>
      </c>
      <c r="C2622" s="0" t="n">
        <v>268815</v>
      </c>
      <c r="D2622" s="0" t="s">
        <v>1480</v>
      </c>
      <c r="E2622" s="0" t="s">
        <v>780</v>
      </c>
      <c r="F2622" s="0" t="str">
        <f aca="false">CONCATENATE(D2622," ",LEFT(H2622,4),"T=",AU2622,"D=",AV2622,"R=",AW2622,"M=",AX2622,"L=",AY2622,"B=",AZ2622)</f>
        <v>RUSH T=7D=1R=0M=3L=7B=1</v>
      </c>
      <c r="G2622" s="0" t="s">
        <v>11233</v>
      </c>
      <c r="I2622" s="0" t="s">
        <v>11234</v>
      </c>
      <c r="J2622" s="0" t="s">
        <v>11235</v>
      </c>
      <c r="K2622" s="0" t="s">
        <v>175</v>
      </c>
      <c r="L2622" s="1" t="s">
        <v>155</v>
      </c>
      <c r="M2622" s="0" t="s">
        <v>11231</v>
      </c>
      <c r="N2622" s="0" t="str">
        <f aca="false">RIGHT(M2622,LEN(M2622)-FIND(" ",M2622))</f>
        <v>VERNON AVE NW</v>
      </c>
      <c r="P2622" s="0" t="s">
        <v>146</v>
      </c>
      <c r="Q2622" s="0" t="s">
        <v>147</v>
      </c>
      <c r="R2622" s="0" t="n">
        <v>44483</v>
      </c>
      <c r="AD2622" s="0" t="s">
        <v>148</v>
      </c>
      <c r="AE2622" s="0" t="s">
        <v>149</v>
      </c>
      <c r="AF2622" s="0" t="s">
        <v>150</v>
      </c>
      <c r="AH2622" s="0" t="n">
        <v>14</v>
      </c>
      <c r="AI2622" s="0" t="n">
        <v>11</v>
      </c>
      <c r="AN2622" s="0" t="s">
        <v>146</v>
      </c>
      <c r="AO2622" s="0" t="s">
        <v>151</v>
      </c>
      <c r="AP2622" s="0" t="s">
        <v>152</v>
      </c>
      <c r="AQ2622" s="0" t="n">
        <v>9</v>
      </c>
      <c r="AR2622" s="0" t="n">
        <v>64</v>
      </c>
      <c r="AS2622" s="0" t="n">
        <v>32</v>
      </c>
      <c r="AU2622" s="0" t="n">
        <f aca="false">COUNTA($BA$1207:$EH$1207)</f>
        <v>7</v>
      </c>
      <c r="AV2622" s="0" t="n">
        <f aca="false">COUNTIF($BA$1207:$EH$1207,"D")</f>
        <v>1</v>
      </c>
      <c r="AW2622" s="0" t="n">
        <f aca="false">COUNTIF($BA$1207:$EH$1207,"R")</f>
        <v>0</v>
      </c>
      <c r="AX2622" s="0" t="n">
        <f aca="false">IF(BN2622="D",1,0)+IF(BO2622="D",1,0)+IF(BT2622="D",1,0)+IF(BU2622="D",1,0)+IF(BW2622="D",1,0)+IF(CC2622="D",1,0)+IF(CD2622="D",1,0)+IF(CE2622="D",1,0)+IF(CF2622="D",1,0)+IF(CL2622="D",1,0)+IF(CM2622="D",1,0)+IF(CQ2622="D",1,0)+IF(CR2622="D",1,0)+IF(CS2622="D",1,0)+IF(CW2622="D",1,0)+IF(CX2622="D",1,0)+IF(DD2622="D",1,0)+IF(DE2622="D",1,0)+IF(DJ2622="D",1,0)+IF(DK2622="D",1,0)+IF(DO2622="D",1,0)+IF(DP2622="D",1,0)+IF(DQ2622="D",1,0)+IF(DW2622="D",1,0)+IF(DZ2622="D",1,0)+IF(EH2622="D",1,0)</f>
        <v>3</v>
      </c>
      <c r="AY2622" s="0" t="n">
        <f aca="false">COUNTIF(DU2622:EH2622, "&lt;&gt;")</f>
        <v>7</v>
      </c>
      <c r="AZ2622" s="0" t="n">
        <f aca="false">IF(EH2622&lt;&gt;"",1,0)</f>
        <v>1</v>
      </c>
      <c r="BB2622" s="0" t="s">
        <v>153</v>
      </c>
      <c r="BC2622" s="0" t="s">
        <v>154</v>
      </c>
      <c r="BD2622" s="0" t="s">
        <v>154</v>
      </c>
      <c r="BG2622" s="0" t="s">
        <v>154</v>
      </c>
      <c r="BH2622" s="0" t="s">
        <v>154</v>
      </c>
      <c r="BJ2622" s="0" t="s">
        <v>154</v>
      </c>
      <c r="BK2622" s="0" t="s">
        <v>154</v>
      </c>
      <c r="BL2622" s="0" t="s">
        <v>154</v>
      </c>
      <c r="BP2622" s="0" t="s">
        <v>154</v>
      </c>
      <c r="BS2622" s="0" t="s">
        <v>154</v>
      </c>
      <c r="BV2622" s="0" t="s">
        <v>154</v>
      </c>
      <c r="BY2622" s="0" t="s">
        <v>155</v>
      </c>
      <c r="CA2622" s="0" t="s">
        <v>154</v>
      </c>
      <c r="CG2622" s="0" t="s">
        <v>154</v>
      </c>
      <c r="CN2622" s="0" t="s">
        <v>154</v>
      </c>
      <c r="CO2622" s="0" t="s">
        <v>155</v>
      </c>
      <c r="CP2622" s="0" t="s">
        <v>154</v>
      </c>
      <c r="CT2622" s="0" t="s">
        <v>154</v>
      </c>
      <c r="CU2622" s="0" t="s">
        <v>155</v>
      </c>
      <c r="CV2622" s="0" t="s">
        <v>154</v>
      </c>
      <c r="CZ2622" s="0" t="s">
        <v>155</v>
      </c>
      <c r="DC2622" s="0" t="s">
        <v>154</v>
      </c>
      <c r="DG2622" s="0" t="s">
        <v>155</v>
      </c>
      <c r="DI2622" s="0" t="s">
        <v>154</v>
      </c>
      <c r="DM2622" s="0" t="s">
        <v>155</v>
      </c>
      <c r="DN2622" s="0" t="s">
        <v>154</v>
      </c>
      <c r="DO2622" s="0" t="s">
        <v>155</v>
      </c>
      <c r="DR2622" s="0" t="s">
        <v>154</v>
      </c>
      <c r="DT2622" s="0" t="s">
        <v>155</v>
      </c>
      <c r="DU2622" s="0" t="s">
        <v>154</v>
      </c>
      <c r="DW2622" s="0" t="s">
        <v>155</v>
      </c>
      <c r="DX2622" s="0" t="s">
        <v>154</v>
      </c>
      <c r="EA2622" s="0" t="s">
        <v>154</v>
      </c>
      <c r="ED2622" s="0" t="s">
        <v>155</v>
      </c>
      <c r="EF2622" s="0" t="s">
        <v>154</v>
      </c>
      <c r="EH2622" s="0" t="s">
        <v>155</v>
      </c>
    </row>
    <row r="2623" customFormat="false" ht="13.8" hidden="false" customHeight="false" outlineLevel="0" collapsed="false">
      <c r="A2623" s="0" t="s">
        <v>11236</v>
      </c>
      <c r="B2623" s="0" t="n">
        <v>78</v>
      </c>
      <c r="C2623" s="0" t="n">
        <v>475739</v>
      </c>
      <c r="D2623" s="0" t="s">
        <v>7764</v>
      </c>
      <c r="E2623" s="0" t="s">
        <v>5602</v>
      </c>
      <c r="F2623" s="0" t="str">
        <f aca="false">CONCATENATE(D2623," ",LEFT(H2623,4),"T=",AU2623,"D=",AV2623,"R=",AW2623,"M=",AX2623,"L=",AY2623,"B=",AZ2623)</f>
        <v>CALDWELL T=4D=0R=0M=0L=2B=0</v>
      </c>
      <c r="G2623" s="0" t="s">
        <v>455</v>
      </c>
      <c r="I2623" s="0" t="s">
        <v>11237</v>
      </c>
      <c r="J2623" s="0" t="s">
        <v>1191</v>
      </c>
      <c r="K2623" s="0" t="s">
        <v>175</v>
      </c>
      <c r="M2623" s="0" t="s">
        <v>11238</v>
      </c>
      <c r="N2623" s="0" t="str">
        <f aca="false">RIGHT(M2623,LEN(M2623)-FIND(" ",M2623))</f>
        <v>VERNON AVE NW</v>
      </c>
      <c r="P2623" s="0" t="s">
        <v>146</v>
      </c>
      <c r="Q2623" s="0" t="s">
        <v>147</v>
      </c>
      <c r="R2623" s="0" t="n">
        <v>44483</v>
      </c>
      <c r="AD2623" s="0" t="s">
        <v>148</v>
      </c>
      <c r="AE2623" s="0" t="s">
        <v>149</v>
      </c>
      <c r="AF2623" s="0" t="s">
        <v>150</v>
      </c>
      <c r="AH2623" s="0" t="n">
        <v>14</v>
      </c>
      <c r="AI2623" s="0" t="n">
        <v>11</v>
      </c>
      <c r="AN2623" s="0" t="s">
        <v>146</v>
      </c>
      <c r="AO2623" s="0" t="s">
        <v>151</v>
      </c>
      <c r="AP2623" s="0" t="s">
        <v>152</v>
      </c>
      <c r="AQ2623" s="0" t="n">
        <v>9</v>
      </c>
      <c r="AR2623" s="0" t="n">
        <v>64</v>
      </c>
      <c r="AS2623" s="0" t="n">
        <v>32</v>
      </c>
      <c r="AU2623" s="0" t="n">
        <f aca="false">COUNTA($BA$1600:$EH$1600)</f>
        <v>4</v>
      </c>
      <c r="AV2623" s="0" t="n">
        <f aca="false">COUNTIF($BA$1600:$EH$1600,"D")</f>
        <v>0</v>
      </c>
      <c r="AW2623" s="0" t="n">
        <f aca="false">COUNTIF($BA$1600:$EH$1600,"R")</f>
        <v>0</v>
      </c>
      <c r="AX2623" s="0" t="n">
        <f aca="false">IF(BN2623="D",1,0)+IF(BO2623="D",1,0)+IF(BT2623="D",1,0)+IF(BU2623="D",1,0)+IF(BW2623="D",1,0)+IF(CC2623="D",1,0)+IF(CD2623="D",1,0)+IF(CE2623="D",1,0)+IF(CF2623="D",1,0)+IF(CL2623="D",1,0)+IF(CM2623="D",1,0)+IF(CQ2623="D",1,0)+IF(CR2623="D",1,0)+IF(CS2623="D",1,0)+IF(CW2623="D",1,0)+IF(CX2623="D",1,0)+IF(DD2623="D",1,0)+IF(DE2623="D",1,0)+IF(DJ2623="D",1,0)+IF(DK2623="D",1,0)+IF(DO2623="D",1,0)+IF(DP2623="D",1,0)+IF(DQ2623="D",1,0)+IF(DW2623="D",1,0)+IF(DZ2623="D",1,0)+IF(EH2623="D",1,0)</f>
        <v>0</v>
      </c>
      <c r="AY2623" s="0" t="n">
        <f aca="false">COUNTIF(DU2623:EH2623, "&lt;&gt;")</f>
        <v>2</v>
      </c>
      <c r="AZ2623" s="0" t="n">
        <f aca="false">IF(EH2623&lt;&gt;"",1,0)</f>
        <v>0</v>
      </c>
      <c r="BB2623" s="0" t="s">
        <v>153</v>
      </c>
      <c r="CA2623" s="0" t="s">
        <v>154</v>
      </c>
      <c r="CG2623" s="0" t="s">
        <v>154</v>
      </c>
      <c r="DC2623" s="0" t="s">
        <v>154</v>
      </c>
      <c r="DN2623" s="0" t="s">
        <v>154</v>
      </c>
      <c r="DU2623" s="0" t="s">
        <v>154</v>
      </c>
      <c r="EF2623" s="0" t="s">
        <v>154</v>
      </c>
    </row>
    <row r="2624" customFormat="false" ht="13.8" hidden="true" customHeight="false" outlineLevel="0" collapsed="false">
      <c r="A2624" s="0" t="s">
        <v>11239</v>
      </c>
      <c r="B2624" s="0" t="n">
        <v>78</v>
      </c>
      <c r="C2624" s="0" t="n">
        <v>495014</v>
      </c>
      <c r="D2624" s="0" t="s">
        <v>10446</v>
      </c>
      <c r="E2624" s="0" t="s">
        <v>11240</v>
      </c>
      <c r="F2624" s="0" t="str">
        <f aca="false">CONCATENATE(D2624," ",LEFT(H2624,4),"T=",AU2624,"D=",AV2624,"R=",AW2624,"M=",AX2624,"L=",AY2624,"B=",AZ2624)</f>
        <v>BURKE T=1D=0R=0M=0L=0B=0</v>
      </c>
      <c r="G2624" s="0" t="s">
        <v>11241</v>
      </c>
      <c r="I2624" s="0" t="s">
        <v>11242</v>
      </c>
      <c r="J2624" s="0" t="s">
        <v>11243</v>
      </c>
      <c r="K2624" s="0" t="s">
        <v>175</v>
      </c>
      <c r="L2624" s="0"/>
      <c r="M2624" s="0" t="s">
        <v>11238</v>
      </c>
      <c r="N2624" s="0" t="str">
        <f aca="false">RIGHT(M2624,LEN(M2624)-FIND(" ",M2624))</f>
        <v>VERNON AVE NW</v>
      </c>
      <c r="P2624" s="0" t="s">
        <v>146</v>
      </c>
      <c r="Q2624" s="0" t="s">
        <v>147</v>
      </c>
      <c r="R2624" s="0" t="n">
        <v>44483</v>
      </c>
      <c r="AD2624" s="0" t="s">
        <v>148</v>
      </c>
      <c r="AE2624" s="0" t="s">
        <v>149</v>
      </c>
      <c r="AF2624" s="0" t="s">
        <v>150</v>
      </c>
      <c r="AH2624" s="0" t="n">
        <v>14</v>
      </c>
      <c r="AI2624" s="0" t="n">
        <v>11</v>
      </c>
      <c r="AN2624" s="0" t="s">
        <v>146</v>
      </c>
      <c r="AO2624" s="0" t="s">
        <v>151</v>
      </c>
      <c r="AP2624" s="0" t="s">
        <v>152</v>
      </c>
      <c r="AQ2624" s="0" t="n">
        <v>9</v>
      </c>
      <c r="AR2624" s="0" t="n">
        <v>64</v>
      </c>
      <c r="AS2624" s="0" t="n">
        <v>32</v>
      </c>
      <c r="AU2624" s="0" t="n">
        <f aca="false">COUNTA($BA$1951:$EH$1951)</f>
        <v>1</v>
      </c>
      <c r="AV2624" s="0" t="n">
        <f aca="false">COUNTIF($BA$1951:$EH$1951,"D")</f>
        <v>0</v>
      </c>
      <c r="AW2624" s="0" t="n">
        <f aca="false">COUNTIF($BA$1951:$EH$1951,"R")</f>
        <v>0</v>
      </c>
      <c r="AX2624" s="0" t="n">
        <f aca="false">IF(BN2624="D",1,0)+IF(BO2624="D",1,0)+IF(BT2624="D",1,0)+IF(BU2624="D",1,0)+IF(BW2624="D",1,0)+IF(CC2624="D",1,0)+IF(CD2624="D",1,0)+IF(CE2624="D",1,0)+IF(CF2624="D",1,0)+IF(CL2624="D",1,0)+IF(CM2624="D",1,0)+IF(CQ2624="D",1,0)+IF(CR2624="D",1,0)+IF(CS2624="D",1,0)+IF(CW2624="D",1,0)+IF(CX2624="D",1,0)+IF(DD2624="D",1,0)+IF(DE2624="D",1,0)+IF(DJ2624="D",1,0)+IF(DK2624="D",1,0)+IF(DO2624="D",1,0)+IF(DP2624="D",1,0)+IF(DQ2624="D",1,0)+IF(DW2624="D",1,0)+IF(DZ2624="D",1,0)+IF(EH2624="D",1,0)</f>
        <v>0</v>
      </c>
      <c r="AY2624" s="0" t="n">
        <f aca="false">COUNTIF(DU2624:EH2624, "&lt;&gt;")</f>
        <v>0</v>
      </c>
      <c r="AZ2624" s="0" t="n">
        <f aca="false">IF(EH2624&lt;&gt;"",1,0)</f>
        <v>0</v>
      </c>
      <c r="BB2624" s="0" t="s">
        <v>153</v>
      </c>
    </row>
    <row r="2625" customFormat="false" ht="13.8" hidden="false" customHeight="false" outlineLevel="0" collapsed="false">
      <c r="A2625" s="0" t="s">
        <v>11244</v>
      </c>
      <c r="B2625" s="0" t="n">
        <v>78</v>
      </c>
      <c r="C2625" s="0" t="n">
        <v>460880</v>
      </c>
      <c r="D2625" s="0" t="s">
        <v>11245</v>
      </c>
      <c r="E2625" s="0" t="s">
        <v>277</v>
      </c>
      <c r="F2625" s="0" t="str">
        <f aca="false">CONCATENATE(D2625," ",LEFT(H2625,4),"T=",AU2625,"D=",AV2625,"R=",AW2625,"M=",AX2625,"L=",AY2625,"B=",AZ2625)</f>
        <v>RUMBARGER T=3D=0R=0M=0L=2B=0</v>
      </c>
      <c r="G2625" s="0" t="s">
        <v>1374</v>
      </c>
      <c r="I2625" s="0" t="s">
        <v>9575</v>
      </c>
      <c r="J2625" s="0" t="s">
        <v>2697</v>
      </c>
      <c r="K2625" s="0" t="s">
        <v>175</v>
      </c>
      <c r="M2625" s="0" t="s">
        <v>11246</v>
      </c>
      <c r="N2625" s="0" t="str">
        <f aca="false">RIGHT(M2625,LEN(M2625)-FIND(" ",M2625))</f>
        <v>VERNON AVE NW</v>
      </c>
      <c r="P2625" s="0" t="s">
        <v>146</v>
      </c>
      <c r="Q2625" s="0" t="s">
        <v>147</v>
      </c>
      <c r="R2625" s="0" t="n">
        <v>44483</v>
      </c>
      <c r="AD2625" s="0" t="s">
        <v>148</v>
      </c>
      <c r="AE2625" s="0" t="s">
        <v>149</v>
      </c>
      <c r="AF2625" s="0" t="s">
        <v>150</v>
      </c>
      <c r="AH2625" s="0" t="n">
        <v>14</v>
      </c>
      <c r="AI2625" s="0" t="n">
        <v>11</v>
      </c>
      <c r="AN2625" s="0" t="s">
        <v>146</v>
      </c>
      <c r="AO2625" s="0" t="s">
        <v>151</v>
      </c>
      <c r="AP2625" s="0" t="s">
        <v>152</v>
      </c>
      <c r="AQ2625" s="0" t="n">
        <v>9</v>
      </c>
      <c r="AR2625" s="0" t="n">
        <v>64</v>
      </c>
      <c r="AS2625" s="0" t="n">
        <v>32</v>
      </c>
      <c r="AU2625" s="0" t="n">
        <f aca="false">COUNTA($BA$1993:$EH$1993)</f>
        <v>3</v>
      </c>
      <c r="AV2625" s="0" t="n">
        <f aca="false">COUNTIF($BA$1993:$EH$1993,"D")</f>
        <v>0</v>
      </c>
      <c r="AW2625" s="0" t="n">
        <f aca="false">COUNTIF($BA$1993:$EH$1993,"R")</f>
        <v>0</v>
      </c>
      <c r="AX2625" s="0" t="n">
        <f aca="false">IF(BN2625="D",1,0)+IF(BO2625="D",1,0)+IF(BT2625="D",1,0)+IF(BU2625="D",1,0)+IF(BW2625="D",1,0)+IF(CC2625="D",1,0)+IF(CD2625="D",1,0)+IF(CE2625="D",1,0)+IF(CF2625="D",1,0)+IF(CL2625="D",1,0)+IF(CM2625="D",1,0)+IF(CQ2625="D",1,0)+IF(CR2625="D",1,0)+IF(CS2625="D",1,0)+IF(CW2625="D",1,0)+IF(CX2625="D",1,0)+IF(DD2625="D",1,0)+IF(DE2625="D",1,0)+IF(DJ2625="D",1,0)+IF(DK2625="D",1,0)+IF(DO2625="D",1,0)+IF(DP2625="D",1,0)+IF(DQ2625="D",1,0)+IF(DW2625="D",1,0)+IF(DZ2625="D",1,0)+IF(EH2625="D",1,0)</f>
        <v>0</v>
      </c>
      <c r="AY2625" s="0" t="n">
        <f aca="false">COUNTIF(DU2625:EH2625, "&lt;&gt;")</f>
        <v>2</v>
      </c>
      <c r="AZ2625" s="0" t="n">
        <f aca="false">IF(EH2625&lt;&gt;"",1,0)</f>
        <v>0</v>
      </c>
      <c r="BB2625" s="0" t="s">
        <v>153</v>
      </c>
      <c r="DU2625" s="0" t="s">
        <v>154</v>
      </c>
      <c r="EF2625" s="0" t="s">
        <v>154</v>
      </c>
    </row>
    <row r="2626" customFormat="false" ht="13.8" hidden="false" customHeight="false" outlineLevel="0" collapsed="false">
      <c r="A2626" s="0" t="s">
        <v>11247</v>
      </c>
      <c r="B2626" s="0" t="n">
        <v>78</v>
      </c>
      <c r="C2626" s="0" t="n">
        <v>310067</v>
      </c>
      <c r="D2626" s="0" t="s">
        <v>11245</v>
      </c>
      <c r="E2626" s="0" t="s">
        <v>3061</v>
      </c>
      <c r="F2626" s="0" t="str">
        <f aca="false">CONCATENATE(D2626," ",LEFT(H2626,4),"T=",AU2626,"D=",AV2626,"R=",AW2626,"M=",AX2626,"L=",AY2626,"B=",AZ2626)</f>
        <v>RUMBARGER T=1D=0R=0M=0L=2B=0</v>
      </c>
      <c r="G2626" s="0" t="s">
        <v>496</v>
      </c>
      <c r="I2626" s="0" t="s">
        <v>2545</v>
      </c>
      <c r="J2626" s="0" t="s">
        <v>11248</v>
      </c>
      <c r="K2626" s="0" t="s">
        <v>175</v>
      </c>
      <c r="M2626" s="0" t="s">
        <v>11246</v>
      </c>
      <c r="N2626" s="0" t="str">
        <f aca="false">RIGHT(M2626,LEN(M2626)-FIND(" ",M2626))</f>
        <v>VERNON AVE NW</v>
      </c>
      <c r="P2626" s="0" t="s">
        <v>146</v>
      </c>
      <c r="Q2626" s="0" t="s">
        <v>147</v>
      </c>
      <c r="R2626" s="0" t="n">
        <v>44483</v>
      </c>
      <c r="AD2626" s="0" t="s">
        <v>148</v>
      </c>
      <c r="AE2626" s="0" t="s">
        <v>149</v>
      </c>
      <c r="AF2626" s="0" t="s">
        <v>150</v>
      </c>
      <c r="AH2626" s="0" t="n">
        <v>14</v>
      </c>
      <c r="AI2626" s="0" t="n">
        <v>11</v>
      </c>
      <c r="AN2626" s="0" t="s">
        <v>146</v>
      </c>
      <c r="AO2626" s="0" t="s">
        <v>151</v>
      </c>
      <c r="AP2626" s="0" t="s">
        <v>152</v>
      </c>
      <c r="AQ2626" s="0" t="n">
        <v>9</v>
      </c>
      <c r="AR2626" s="0" t="n">
        <v>64</v>
      </c>
      <c r="AS2626" s="0" t="n">
        <v>32</v>
      </c>
      <c r="AU2626" s="0" t="n">
        <f aca="false">COUNTA($BA$2019:$EH$2019)</f>
        <v>1</v>
      </c>
      <c r="AV2626" s="0" t="n">
        <f aca="false">COUNTIF($BA$2019:$EH$2019,"D")</f>
        <v>0</v>
      </c>
      <c r="AW2626" s="0" t="n">
        <f aca="false">COUNTIF($BA$2019:$EH$2019,"R")</f>
        <v>0</v>
      </c>
      <c r="AX2626" s="0" t="n">
        <f aca="false">IF(BN2626="D",1,0)+IF(BO2626="D",1,0)+IF(BT2626="D",1,0)+IF(BU2626="D",1,0)+IF(BW2626="D",1,0)+IF(CC2626="D",1,0)+IF(CD2626="D",1,0)+IF(CE2626="D",1,0)+IF(CF2626="D",1,0)+IF(CL2626="D",1,0)+IF(CM2626="D",1,0)+IF(CQ2626="D",1,0)+IF(CR2626="D",1,0)+IF(CS2626="D",1,0)+IF(CW2626="D",1,0)+IF(CX2626="D",1,0)+IF(DD2626="D",1,0)+IF(DE2626="D",1,0)+IF(DJ2626="D",1,0)+IF(DK2626="D",1,0)+IF(DO2626="D",1,0)+IF(DP2626="D",1,0)+IF(DQ2626="D",1,0)+IF(DW2626="D",1,0)+IF(DZ2626="D",1,0)+IF(EH2626="D",1,0)</f>
        <v>0</v>
      </c>
      <c r="AY2626" s="0" t="n">
        <f aca="false">COUNTIF(DU2626:EH2626, "&lt;&gt;")</f>
        <v>2</v>
      </c>
      <c r="AZ2626" s="0" t="n">
        <f aca="false">IF(EH2626&lt;&gt;"",1,0)</f>
        <v>0</v>
      </c>
      <c r="BB2626" s="0" t="s">
        <v>153</v>
      </c>
      <c r="CY2626" s="0" t="s">
        <v>154</v>
      </c>
      <c r="CZ2626" s="0" t="s">
        <v>176</v>
      </c>
      <c r="DC2626" s="0" t="s">
        <v>154</v>
      </c>
      <c r="DI2626" s="0" t="s">
        <v>154</v>
      </c>
      <c r="DU2626" s="0" t="s">
        <v>154</v>
      </c>
      <c r="EF2626" s="0" t="s">
        <v>154</v>
      </c>
    </row>
    <row r="2627" customFormat="false" ht="13.8" hidden="false" customHeight="false" outlineLevel="0" collapsed="false">
      <c r="A2627" s="0" t="s">
        <v>11249</v>
      </c>
      <c r="B2627" s="0" t="n">
        <v>78</v>
      </c>
      <c r="C2627" s="0" t="n">
        <v>419121</v>
      </c>
      <c r="D2627" s="0" t="s">
        <v>11250</v>
      </c>
      <c r="E2627" s="0" t="s">
        <v>430</v>
      </c>
      <c r="F2627" s="0" t="str">
        <f aca="false">CONCATENATE(D2627," ",LEFT(H2627,4),"T=",AU2627,"D=",AV2627,"R=",AW2627,"M=",AX2627,"L=",AY2627,"B=",AZ2627)</f>
        <v>DESANTI T=25D=0R=3M=4L=5B=0</v>
      </c>
      <c r="G2627" s="0" t="s">
        <v>172</v>
      </c>
      <c r="I2627" s="0" t="s">
        <v>11251</v>
      </c>
      <c r="J2627" s="0" t="s">
        <v>4355</v>
      </c>
      <c r="K2627" s="0" t="s">
        <v>175</v>
      </c>
      <c r="L2627" s="1" t="s">
        <v>155</v>
      </c>
      <c r="M2627" s="0" t="s">
        <v>11252</v>
      </c>
      <c r="N2627" s="0" t="str">
        <f aca="false">RIGHT(M2627,LEN(M2627)-FIND(" ",M2627))</f>
        <v>VERNON AVE NW</v>
      </c>
      <c r="P2627" s="0" t="s">
        <v>146</v>
      </c>
      <c r="Q2627" s="0" t="s">
        <v>147</v>
      </c>
      <c r="R2627" s="0" t="n">
        <v>44483</v>
      </c>
      <c r="AD2627" s="0" t="s">
        <v>148</v>
      </c>
      <c r="AE2627" s="0" t="s">
        <v>149</v>
      </c>
      <c r="AF2627" s="0" t="s">
        <v>150</v>
      </c>
      <c r="AH2627" s="0" t="n">
        <v>14</v>
      </c>
      <c r="AI2627" s="0" t="n">
        <v>11</v>
      </c>
      <c r="AN2627" s="0" t="s">
        <v>146</v>
      </c>
      <c r="AO2627" s="0" t="s">
        <v>151</v>
      </c>
      <c r="AP2627" s="0" t="s">
        <v>152</v>
      </c>
      <c r="AQ2627" s="0" t="n">
        <v>9</v>
      </c>
      <c r="AR2627" s="0" t="n">
        <v>64</v>
      </c>
      <c r="AS2627" s="0" t="n">
        <v>32</v>
      </c>
      <c r="AU2627" s="0" t="n">
        <f aca="false">COUNTA($BA$1699:$EH$1699)</f>
        <v>25</v>
      </c>
      <c r="AV2627" s="0" t="n">
        <f aca="false">COUNTIF($BA$1699:$EH$1699,"D")</f>
        <v>0</v>
      </c>
      <c r="AW2627" s="0" t="n">
        <f aca="false">COUNTIF($BA$1699:$EH$1699,"R")</f>
        <v>3</v>
      </c>
      <c r="AX2627" s="0" t="n">
        <f aca="false">IF(BN2627="D",1,0)+IF(BO2627="D",1,0)+IF(BT2627="D",1,0)+IF(BU2627="D",1,0)+IF(BW2627="D",1,0)+IF(CC2627="D",1,0)+IF(CD2627="D",1,0)+IF(CE2627="D",1,0)+IF(CF2627="D",1,0)+IF(CL2627="D",1,0)+IF(CM2627="D",1,0)+IF(CQ2627="D",1,0)+IF(CR2627="D",1,0)+IF(CS2627="D",1,0)+IF(CW2627="D",1,0)+IF(CX2627="D",1,0)+IF(DD2627="D",1,0)+IF(DE2627="D",1,0)+IF(DJ2627="D",1,0)+IF(DK2627="D",1,0)+IF(DO2627="D",1,0)+IF(DP2627="D",1,0)+IF(DQ2627="D",1,0)+IF(DW2627="D",1,0)+IF(DZ2627="D",1,0)+IF(EH2627="D",1,0)</f>
        <v>4</v>
      </c>
      <c r="AY2627" s="0" t="n">
        <f aca="false">COUNTIF(DU2627:EH2627, "&lt;&gt;")</f>
        <v>5</v>
      </c>
      <c r="AZ2627" s="0" t="n">
        <f aca="false">IF(EH2627&lt;&gt;"",1,0)</f>
        <v>0</v>
      </c>
      <c r="BB2627" s="0" t="s">
        <v>153</v>
      </c>
      <c r="CA2627" s="0" t="s">
        <v>154</v>
      </c>
      <c r="CG2627" s="0" t="s">
        <v>154</v>
      </c>
      <c r="CK2627" s="0" t="s">
        <v>154</v>
      </c>
      <c r="CL2627" s="0" t="s">
        <v>155</v>
      </c>
      <c r="CN2627" s="0" t="s">
        <v>154</v>
      </c>
      <c r="CP2627" s="0" t="s">
        <v>154</v>
      </c>
      <c r="CQ2627" s="0" t="s">
        <v>155</v>
      </c>
      <c r="CU2627" s="0" t="s">
        <v>155</v>
      </c>
      <c r="CV2627" s="0" t="s">
        <v>154</v>
      </c>
      <c r="DC2627" s="0" t="s">
        <v>154</v>
      </c>
      <c r="DG2627" s="0" t="s">
        <v>155</v>
      </c>
      <c r="DI2627" s="0" t="s">
        <v>154</v>
      </c>
      <c r="DL2627" s="0" t="s">
        <v>154</v>
      </c>
      <c r="DM2627" s="0" t="s">
        <v>155</v>
      </c>
      <c r="DN2627" s="0" t="s">
        <v>154</v>
      </c>
      <c r="DO2627" s="0" t="s">
        <v>155</v>
      </c>
      <c r="DR2627" s="0" t="s">
        <v>154</v>
      </c>
      <c r="DS2627" s="0" t="s">
        <v>155</v>
      </c>
      <c r="DT2627" s="0" t="s">
        <v>155</v>
      </c>
      <c r="DU2627" s="0" t="s">
        <v>154</v>
      </c>
      <c r="DW2627" s="0" t="s">
        <v>155</v>
      </c>
      <c r="DX2627" s="0" t="s">
        <v>154</v>
      </c>
      <c r="EA2627" s="0" t="s">
        <v>154</v>
      </c>
      <c r="EF2627" s="0" t="s">
        <v>154</v>
      </c>
    </row>
    <row r="2628" customFormat="false" ht="13.8" hidden="true" customHeight="false" outlineLevel="0" collapsed="false">
      <c r="A2628" s="0" t="s">
        <v>11253</v>
      </c>
      <c r="B2628" s="0" t="n">
        <v>78</v>
      </c>
      <c r="C2628" s="0" t="n">
        <v>451307</v>
      </c>
      <c r="D2628" s="0" t="s">
        <v>11254</v>
      </c>
      <c r="E2628" s="0" t="s">
        <v>417</v>
      </c>
      <c r="F2628" s="0" t="str">
        <f aca="false">CONCATENATE(D2628," ",LEFT(H2628,4),"T=",AU2628,"D=",AV2628,"R=",AW2628,"M=",AX2628,"L=",AY2628,"B=",AZ2628)</f>
        <v>DEMATTIA T=3D=0R=0M=0L=0B=0</v>
      </c>
      <c r="G2628" s="0" t="s">
        <v>241</v>
      </c>
      <c r="I2628" s="0" t="s">
        <v>11255</v>
      </c>
      <c r="J2628" s="0" t="s">
        <v>9169</v>
      </c>
      <c r="K2628" s="0" t="s">
        <v>144</v>
      </c>
      <c r="L2628" s="0"/>
      <c r="M2628" s="0" t="s">
        <v>11256</v>
      </c>
      <c r="N2628" s="0" t="str">
        <f aca="false">RIGHT(M2628,LEN(M2628)-FIND(" ",M2628))</f>
        <v>VERNON AVE NW</v>
      </c>
      <c r="P2628" s="0" t="s">
        <v>146</v>
      </c>
      <c r="Q2628" s="0" t="s">
        <v>147</v>
      </c>
      <c r="R2628" s="0" t="n">
        <v>44483</v>
      </c>
      <c r="AD2628" s="0" t="s">
        <v>148</v>
      </c>
      <c r="AE2628" s="0" t="s">
        <v>149</v>
      </c>
      <c r="AF2628" s="0" t="s">
        <v>150</v>
      </c>
      <c r="AH2628" s="0" t="n">
        <v>14</v>
      </c>
      <c r="AI2628" s="0" t="n">
        <v>11</v>
      </c>
      <c r="AN2628" s="0" t="s">
        <v>146</v>
      </c>
      <c r="AO2628" s="0" t="s">
        <v>151</v>
      </c>
      <c r="AP2628" s="0" t="s">
        <v>152</v>
      </c>
      <c r="AQ2628" s="0" t="n">
        <v>9</v>
      </c>
      <c r="AR2628" s="0" t="n">
        <v>64</v>
      </c>
      <c r="AS2628" s="0" t="n">
        <v>32</v>
      </c>
      <c r="AU2628" s="0" t="n">
        <f aca="false">COUNTA($BA$1221:$EH$1221)</f>
        <v>3</v>
      </c>
      <c r="AV2628" s="0" t="n">
        <f aca="false">COUNTIF($BA$1221:$EH$1221,"D")</f>
        <v>0</v>
      </c>
      <c r="AW2628" s="0" t="n">
        <f aca="false">COUNTIF($BA$1221:$EH$1221,"R")</f>
        <v>0</v>
      </c>
      <c r="AX2628" s="0" t="n">
        <f aca="false">IF(BN2628="D",1,0)+IF(BO2628="D",1,0)+IF(BT2628="D",1,0)+IF(BU2628="D",1,0)+IF(BW2628="D",1,0)+IF(CC2628="D",1,0)+IF(CD2628="D",1,0)+IF(CE2628="D",1,0)+IF(CF2628="D",1,0)+IF(CL2628="D",1,0)+IF(CM2628="D",1,0)+IF(CQ2628="D",1,0)+IF(CR2628="D",1,0)+IF(CS2628="D",1,0)+IF(CW2628="D",1,0)+IF(CX2628="D",1,0)+IF(DD2628="D",1,0)+IF(DE2628="D",1,0)+IF(DJ2628="D",1,0)+IF(DK2628="D",1,0)+IF(DO2628="D",1,0)+IF(DP2628="D",1,0)+IF(DQ2628="D",1,0)+IF(DW2628="D",1,0)+IF(DZ2628="D",1,0)+IF(EH2628="D",1,0)</f>
        <v>0</v>
      </c>
      <c r="AY2628" s="0" t="n">
        <f aca="false">COUNTIF(DU2628:EH2628, "&lt;&gt;")</f>
        <v>0</v>
      </c>
      <c r="AZ2628" s="0" t="n">
        <f aca="false">IF(EH2628&lt;&gt;"",1,0)</f>
        <v>0</v>
      </c>
      <c r="BB2628" s="0" t="s">
        <v>153</v>
      </c>
      <c r="DN2628" s="0" t="s">
        <v>154</v>
      </c>
    </row>
    <row r="2629" customFormat="false" ht="13.8" hidden="false" customHeight="false" outlineLevel="0" collapsed="false">
      <c r="A2629" s="0" t="s">
        <v>11257</v>
      </c>
      <c r="B2629" s="0" t="n">
        <v>78</v>
      </c>
      <c r="C2629" s="0" t="n">
        <v>388896</v>
      </c>
      <c r="D2629" s="0" t="s">
        <v>790</v>
      </c>
      <c r="E2629" s="0" t="s">
        <v>609</v>
      </c>
      <c r="F2629" s="0" t="str">
        <f aca="false">CONCATENATE(D2629," ",LEFT(H2629,4),"T=",AU2629,"D=",AV2629,"R=",AW2629,"M=",AX2629,"L=",AY2629,"B=",AZ2629)</f>
        <v>KING T=1D=0R=0M=1L=6B=0</v>
      </c>
      <c r="G2629" s="0" t="s">
        <v>771</v>
      </c>
      <c r="I2629" s="0" t="s">
        <v>11258</v>
      </c>
      <c r="J2629" s="0" t="s">
        <v>2732</v>
      </c>
      <c r="K2629" s="0" t="s">
        <v>175</v>
      </c>
      <c r="L2629" s="1" t="s">
        <v>176</v>
      </c>
      <c r="M2629" s="0" t="s">
        <v>11256</v>
      </c>
      <c r="N2629" s="0" t="str">
        <f aca="false">RIGHT(M2629,LEN(M2629)-FIND(" ",M2629))</f>
        <v>VERNON AVE NW</v>
      </c>
      <c r="P2629" s="0" t="s">
        <v>146</v>
      </c>
      <c r="Q2629" s="0" t="s">
        <v>147</v>
      </c>
      <c r="R2629" s="0" t="n">
        <v>44483</v>
      </c>
      <c r="AD2629" s="0" t="s">
        <v>148</v>
      </c>
      <c r="AE2629" s="0" t="s">
        <v>149</v>
      </c>
      <c r="AF2629" s="0" t="s">
        <v>150</v>
      </c>
      <c r="AH2629" s="0" t="n">
        <v>14</v>
      </c>
      <c r="AI2629" s="0" t="n">
        <v>11</v>
      </c>
      <c r="AN2629" s="0" t="s">
        <v>146</v>
      </c>
      <c r="AO2629" s="0" t="s">
        <v>151</v>
      </c>
      <c r="AP2629" s="0" t="s">
        <v>152</v>
      </c>
      <c r="AQ2629" s="0" t="n">
        <v>9</v>
      </c>
      <c r="AR2629" s="0" t="n">
        <v>64</v>
      </c>
      <c r="AS2629" s="0" t="n">
        <v>32</v>
      </c>
      <c r="AU2629" s="0" t="n">
        <f aca="false">COUNTA($BA$2001:$EH$2001)</f>
        <v>1</v>
      </c>
      <c r="AV2629" s="0" t="n">
        <f aca="false">COUNTIF($BA$2001:$EH$2001,"D")</f>
        <v>0</v>
      </c>
      <c r="AW2629" s="0" t="n">
        <f aca="false">COUNTIF($BA$2001:$EH$2001,"R")</f>
        <v>0</v>
      </c>
      <c r="AX2629" s="0" t="n">
        <f aca="false">IF(BN2629="D",1,0)+IF(BO2629="D",1,0)+IF(BT2629="D",1,0)+IF(BU2629="D",1,0)+IF(BW2629="D",1,0)+IF(CC2629="D",1,0)+IF(CD2629="D",1,0)+IF(CE2629="D",1,0)+IF(CF2629="D",1,0)+IF(CL2629="D",1,0)+IF(CM2629="D",1,0)+IF(CQ2629="D",1,0)+IF(CR2629="D",1,0)+IF(CS2629="D",1,0)+IF(CW2629="D",1,0)+IF(CX2629="D",1,0)+IF(DD2629="D",1,0)+IF(DE2629="D",1,0)+IF(DJ2629="D",1,0)+IF(DK2629="D",1,0)+IF(DO2629="D",1,0)+IF(DP2629="D",1,0)+IF(DQ2629="D",1,0)+IF(DW2629="D",1,0)+IF(DZ2629="D",1,0)+IF(EH2629="D",1,0)</f>
        <v>1</v>
      </c>
      <c r="AY2629" s="0" t="n">
        <f aca="false">COUNTIF(DU2629:EH2629, "&lt;&gt;")</f>
        <v>6</v>
      </c>
      <c r="AZ2629" s="0" t="n">
        <f aca="false">IF(EH2629&lt;&gt;"",1,0)</f>
        <v>0</v>
      </c>
      <c r="BB2629" s="0" t="s">
        <v>153</v>
      </c>
      <c r="CA2629" s="0" t="s">
        <v>154</v>
      </c>
      <c r="CV2629" s="0" t="s">
        <v>154</v>
      </c>
      <c r="CZ2629" s="0" t="s">
        <v>155</v>
      </c>
      <c r="DC2629" s="0" t="s">
        <v>154</v>
      </c>
      <c r="DN2629" s="0" t="s">
        <v>154</v>
      </c>
      <c r="DU2629" s="0" t="s">
        <v>154</v>
      </c>
      <c r="DW2629" s="0" t="s">
        <v>155</v>
      </c>
      <c r="DX2629" s="0" t="s">
        <v>154</v>
      </c>
      <c r="EA2629" s="0" t="s">
        <v>154</v>
      </c>
      <c r="ED2629" s="0" t="s">
        <v>176</v>
      </c>
      <c r="EF2629" s="0" t="s">
        <v>154</v>
      </c>
    </row>
    <row r="2630" customFormat="false" ht="13.8" hidden="true" customHeight="false" outlineLevel="0" collapsed="false">
      <c r="A2630" s="0" t="s">
        <v>11259</v>
      </c>
      <c r="B2630" s="0" t="n">
        <v>78</v>
      </c>
      <c r="C2630" s="0" t="n">
        <v>484222</v>
      </c>
      <c r="D2630" s="0" t="s">
        <v>11260</v>
      </c>
      <c r="E2630" s="0" t="s">
        <v>3942</v>
      </c>
      <c r="F2630" s="0" t="str">
        <f aca="false">CONCATENATE(D2630," ",LEFT(H2630,4),"T=",AU2630,"D=",AV2630,"R=",AW2630,"M=",AX2630,"L=",AY2630,"B=",AZ2630)</f>
        <v>YONKER T=1D=0R=0M=0L=1B=0</v>
      </c>
      <c r="G2630" s="0" t="s">
        <v>430</v>
      </c>
      <c r="I2630" s="0" t="s">
        <v>11261</v>
      </c>
      <c r="J2630" s="0" t="s">
        <v>11262</v>
      </c>
      <c r="K2630" s="0" t="s">
        <v>175</v>
      </c>
      <c r="L2630" s="0"/>
      <c r="M2630" s="0" t="s">
        <v>11263</v>
      </c>
      <c r="N2630" s="0" t="str">
        <f aca="false">RIGHT(M2630,LEN(M2630)-FIND(" ",M2630))</f>
        <v>VERNON AVE NW</v>
      </c>
      <c r="P2630" s="0" t="s">
        <v>146</v>
      </c>
      <c r="Q2630" s="0" t="s">
        <v>147</v>
      </c>
      <c r="R2630" s="0" t="n">
        <v>44483</v>
      </c>
      <c r="AD2630" s="0" t="s">
        <v>148</v>
      </c>
      <c r="AE2630" s="0" t="s">
        <v>149</v>
      </c>
      <c r="AF2630" s="0" t="s">
        <v>150</v>
      </c>
      <c r="AH2630" s="0" t="n">
        <v>14</v>
      </c>
      <c r="AI2630" s="0" t="n">
        <v>11</v>
      </c>
      <c r="AN2630" s="0" t="s">
        <v>146</v>
      </c>
      <c r="AO2630" s="0" t="s">
        <v>151</v>
      </c>
      <c r="AP2630" s="0" t="s">
        <v>152</v>
      </c>
      <c r="AQ2630" s="0" t="n">
        <v>9</v>
      </c>
      <c r="AR2630" s="0" t="n">
        <v>64</v>
      </c>
      <c r="AS2630" s="0" t="n">
        <v>32</v>
      </c>
      <c r="AU2630" s="0" t="n">
        <f aca="false">COUNTA($BA$1117:$EH$1117)</f>
        <v>1</v>
      </c>
      <c r="AV2630" s="0" t="n">
        <f aca="false">COUNTIF($BA$1117:$EH$1117,"D")</f>
        <v>0</v>
      </c>
      <c r="AW2630" s="0" t="n">
        <f aca="false">COUNTIF($BA$1117:$EH$1117,"R")</f>
        <v>0</v>
      </c>
      <c r="AX2630" s="0" t="n">
        <f aca="false">IF(BN2630="D",1,0)+IF(BO2630="D",1,0)+IF(BT2630="D",1,0)+IF(BU2630="D",1,0)+IF(BW2630="D",1,0)+IF(CC2630="D",1,0)+IF(CD2630="D",1,0)+IF(CE2630="D",1,0)+IF(CF2630="D",1,0)+IF(CL2630="D",1,0)+IF(CM2630="D",1,0)+IF(CQ2630="D",1,0)+IF(CR2630="D",1,0)+IF(CS2630="D",1,0)+IF(CW2630="D",1,0)+IF(CX2630="D",1,0)+IF(DD2630="D",1,0)+IF(DE2630="D",1,0)+IF(DJ2630="D",1,0)+IF(DK2630="D",1,0)+IF(DO2630="D",1,0)+IF(DP2630="D",1,0)+IF(DQ2630="D",1,0)+IF(DW2630="D",1,0)+IF(DZ2630="D",1,0)+IF(EH2630="D",1,0)</f>
        <v>0</v>
      </c>
      <c r="AY2630" s="0" t="n">
        <f aca="false">COUNTIF(DU2630:EH2630, "&lt;&gt;")</f>
        <v>1</v>
      </c>
      <c r="AZ2630" s="0" t="n">
        <f aca="false">IF(EH2630&lt;&gt;"",1,0)</f>
        <v>0</v>
      </c>
      <c r="BB2630" s="0" t="s">
        <v>153</v>
      </c>
      <c r="EF2630" s="0" t="s">
        <v>154</v>
      </c>
    </row>
    <row r="2631" customFormat="false" ht="13.8" hidden="true" customHeight="false" outlineLevel="0" collapsed="false">
      <c r="A2631" s="0" t="s">
        <v>11264</v>
      </c>
      <c r="B2631" s="0" t="n">
        <v>78</v>
      </c>
      <c r="C2631" s="0" t="n">
        <v>486426</v>
      </c>
      <c r="D2631" s="0" t="s">
        <v>3644</v>
      </c>
      <c r="E2631" s="0" t="s">
        <v>2568</v>
      </c>
      <c r="F2631" s="0" t="str">
        <f aca="false">CONCATENATE(D2631," ",LEFT(H2631,4),"T=",AU2631,"D=",AV2631,"R=",AW2631,"M=",AX2631,"L=",AY2631,"B=",AZ2631)</f>
        <v>JENKINS T=31D=0R=8M=0L=1B=0</v>
      </c>
      <c r="G2631" s="0" t="s">
        <v>11265</v>
      </c>
      <c r="I2631" s="0" t="s">
        <v>7945</v>
      </c>
      <c r="J2631" s="0" t="s">
        <v>1309</v>
      </c>
      <c r="K2631" s="0" t="s">
        <v>175</v>
      </c>
      <c r="L2631" s="0"/>
      <c r="M2631" s="0" t="s">
        <v>11263</v>
      </c>
      <c r="N2631" s="0" t="str">
        <f aca="false">RIGHT(M2631,LEN(M2631)-FIND(" ",M2631))</f>
        <v>VERNON AVE NW</v>
      </c>
      <c r="P2631" s="0" t="s">
        <v>146</v>
      </c>
      <c r="Q2631" s="0" t="s">
        <v>147</v>
      </c>
      <c r="R2631" s="0" t="n">
        <v>44483</v>
      </c>
      <c r="AD2631" s="0" t="s">
        <v>148</v>
      </c>
      <c r="AE2631" s="0" t="s">
        <v>149</v>
      </c>
      <c r="AF2631" s="0" t="s">
        <v>150</v>
      </c>
      <c r="AH2631" s="0" t="n">
        <v>14</v>
      </c>
      <c r="AI2631" s="0" t="n">
        <v>11</v>
      </c>
      <c r="AN2631" s="0" t="s">
        <v>146</v>
      </c>
      <c r="AO2631" s="0" t="s">
        <v>151</v>
      </c>
      <c r="AP2631" s="0" t="s">
        <v>152</v>
      </c>
      <c r="AQ2631" s="0" t="n">
        <v>9</v>
      </c>
      <c r="AR2631" s="0" t="n">
        <v>64</v>
      </c>
      <c r="AS2631" s="0" t="n">
        <v>32</v>
      </c>
      <c r="AU2631" s="0" t="n">
        <f aca="false">COUNTA($BA$1248:$EH$1248)</f>
        <v>31</v>
      </c>
      <c r="AV2631" s="0" t="n">
        <f aca="false">COUNTIF($BA$1248:$EH$1248,"D")</f>
        <v>0</v>
      </c>
      <c r="AW2631" s="0" t="n">
        <f aca="false">COUNTIF($BA$1248:$EH$1248,"R")</f>
        <v>8</v>
      </c>
      <c r="AX2631" s="0" t="n">
        <f aca="false">IF(BN2631="D",1,0)+IF(BO2631="D",1,0)+IF(BT2631="D",1,0)+IF(BU2631="D",1,0)+IF(BW2631="D",1,0)+IF(CC2631="D",1,0)+IF(CD2631="D",1,0)+IF(CE2631="D",1,0)+IF(CF2631="D",1,0)+IF(CL2631="D",1,0)+IF(CM2631="D",1,0)+IF(CQ2631="D",1,0)+IF(CR2631="D",1,0)+IF(CS2631="D",1,0)+IF(CW2631="D",1,0)+IF(CX2631="D",1,0)+IF(DD2631="D",1,0)+IF(DE2631="D",1,0)+IF(DJ2631="D",1,0)+IF(DK2631="D",1,0)+IF(DO2631="D",1,0)+IF(DP2631="D",1,0)+IF(DQ2631="D",1,0)+IF(DW2631="D",1,0)+IF(DZ2631="D",1,0)+IF(EH2631="D",1,0)</f>
        <v>0</v>
      </c>
      <c r="AY2631" s="0" t="n">
        <f aca="false">COUNTIF(DU2631:EH2631, "&lt;&gt;")</f>
        <v>1</v>
      </c>
      <c r="AZ2631" s="0" t="n">
        <f aca="false">IF(EH2631&lt;&gt;"",1,0)</f>
        <v>0</v>
      </c>
      <c r="BB2631" s="0" t="s">
        <v>153</v>
      </c>
      <c r="EF2631" s="0" t="s">
        <v>154</v>
      </c>
    </row>
    <row r="2632" customFormat="false" ht="13.8" hidden="false" customHeight="false" outlineLevel="0" collapsed="false">
      <c r="A2632" s="0" t="s">
        <v>11266</v>
      </c>
      <c r="B2632" s="0" t="n">
        <v>78</v>
      </c>
      <c r="C2632" s="0" t="n">
        <v>465029</v>
      </c>
      <c r="D2632" s="0" t="s">
        <v>2275</v>
      </c>
      <c r="E2632" s="0" t="s">
        <v>1389</v>
      </c>
      <c r="F2632" s="0" t="str">
        <f aca="false">CONCATENATE(D2632," ",LEFT(H2632,4),"T=",AU2632,"D=",AV2632,"R=",AW2632,"M=",AX2632,"L=",AY2632,"B=",AZ2632)</f>
        <v>BENDER T=16D=2R=0M=0L=5B=0</v>
      </c>
      <c r="G2632" s="0" t="s">
        <v>222</v>
      </c>
      <c r="I2632" s="0" t="s">
        <v>11267</v>
      </c>
      <c r="J2632" s="0" t="s">
        <v>2197</v>
      </c>
      <c r="K2632" s="0" t="s">
        <v>175</v>
      </c>
      <c r="L2632" s="1" t="s">
        <v>176</v>
      </c>
      <c r="M2632" s="0" t="s">
        <v>11268</v>
      </c>
      <c r="N2632" s="0" t="str">
        <f aca="false">RIGHT(M2632,LEN(M2632)-FIND(" ",M2632))</f>
        <v>VERNON AVE NW</v>
      </c>
      <c r="P2632" s="0" t="s">
        <v>146</v>
      </c>
      <c r="Q2632" s="0" t="s">
        <v>147</v>
      </c>
      <c r="R2632" s="0" t="n">
        <v>44483</v>
      </c>
      <c r="AD2632" s="0" t="s">
        <v>148</v>
      </c>
      <c r="AE2632" s="0" t="s">
        <v>149</v>
      </c>
      <c r="AF2632" s="0" t="s">
        <v>150</v>
      </c>
      <c r="AH2632" s="0" t="n">
        <v>14</v>
      </c>
      <c r="AI2632" s="0" t="n">
        <v>11</v>
      </c>
      <c r="AN2632" s="0" t="s">
        <v>146</v>
      </c>
      <c r="AO2632" s="0" t="s">
        <v>151</v>
      </c>
      <c r="AP2632" s="0" t="s">
        <v>152</v>
      </c>
      <c r="AQ2632" s="0" t="n">
        <v>9</v>
      </c>
      <c r="AR2632" s="0" t="n">
        <v>64</v>
      </c>
      <c r="AS2632" s="0" t="n">
        <v>32</v>
      </c>
      <c r="AU2632" s="0" t="n">
        <f aca="false">COUNTA($BA$1831:$EH$1831)</f>
        <v>16</v>
      </c>
      <c r="AV2632" s="0" t="n">
        <f aca="false">COUNTIF($BA$1831:$EH$1831,"D")</f>
        <v>2</v>
      </c>
      <c r="AW2632" s="0" t="n">
        <f aca="false">COUNTIF($BA$1831:$EH$1831,"R")</f>
        <v>0</v>
      </c>
      <c r="AX2632" s="0" t="n">
        <f aca="false">IF(BN2632="D",1,0)+IF(BO2632="D",1,0)+IF(BT2632="D",1,0)+IF(BU2632="D",1,0)+IF(BW2632="D",1,0)+IF(CC2632="D",1,0)+IF(CD2632="D",1,0)+IF(CE2632="D",1,0)+IF(CF2632="D",1,0)+IF(CL2632="D",1,0)+IF(CM2632="D",1,0)+IF(CQ2632="D",1,0)+IF(CR2632="D",1,0)+IF(CS2632="D",1,0)+IF(CW2632="D",1,0)+IF(CX2632="D",1,0)+IF(DD2632="D",1,0)+IF(DE2632="D",1,0)+IF(DJ2632="D",1,0)+IF(DK2632="D",1,0)+IF(DO2632="D",1,0)+IF(DP2632="D",1,0)+IF(DQ2632="D",1,0)+IF(DW2632="D",1,0)+IF(DZ2632="D",1,0)+IF(EH2632="D",1,0)</f>
        <v>0</v>
      </c>
      <c r="AY2632" s="0" t="n">
        <f aca="false">COUNTIF(DU2632:EH2632, "&lt;&gt;")</f>
        <v>5</v>
      </c>
      <c r="AZ2632" s="0" t="n">
        <f aca="false">IF(EH2632&lt;&gt;"",1,0)</f>
        <v>0</v>
      </c>
      <c r="BB2632" s="0" t="s">
        <v>153</v>
      </c>
      <c r="BC2632" s="0" t="s">
        <v>154</v>
      </c>
      <c r="BD2632" s="0" t="s">
        <v>154</v>
      </c>
      <c r="BE2632" s="0" t="s">
        <v>154</v>
      </c>
      <c r="BL2632" s="0" t="s">
        <v>154</v>
      </c>
      <c r="BP2632" s="0" t="s">
        <v>154</v>
      </c>
      <c r="BR2632" s="0" t="s">
        <v>154</v>
      </c>
      <c r="BS2632" s="0" t="s">
        <v>154</v>
      </c>
      <c r="BY2632" s="0" t="s">
        <v>155</v>
      </c>
      <c r="CA2632" s="0" t="s">
        <v>154</v>
      </c>
      <c r="CG2632" s="0" t="s">
        <v>154</v>
      </c>
      <c r="CK2632" s="0" t="s">
        <v>154</v>
      </c>
      <c r="DC2632" s="0" t="s">
        <v>154</v>
      </c>
      <c r="DN2632" s="0" t="s">
        <v>154</v>
      </c>
      <c r="DR2632" s="0" t="s">
        <v>154</v>
      </c>
      <c r="DU2632" s="0" t="s">
        <v>154</v>
      </c>
      <c r="DX2632" s="0" t="s">
        <v>154</v>
      </c>
      <c r="EA2632" s="0" t="s">
        <v>154</v>
      </c>
      <c r="ED2632" s="0" t="s">
        <v>176</v>
      </c>
      <c r="EF2632" s="0" t="s">
        <v>154</v>
      </c>
    </row>
    <row r="2633" customFormat="false" ht="13.8" hidden="false" customHeight="false" outlineLevel="0" collapsed="false">
      <c r="A2633" s="0" t="s">
        <v>11269</v>
      </c>
      <c r="B2633" s="0" t="n">
        <v>78</v>
      </c>
      <c r="C2633" s="0" t="n">
        <v>5940</v>
      </c>
      <c r="D2633" s="0" t="s">
        <v>8890</v>
      </c>
      <c r="E2633" s="0" t="s">
        <v>1840</v>
      </c>
      <c r="F2633" s="0" t="str">
        <f aca="false">CONCATENATE(D2633," ",LEFT(H2633,4),"T=",AU2633,"D=",AV2633,"R=",AW2633,"M=",AX2633,"L=",AY2633,"B=",AZ2633)</f>
        <v>REDMOND T=16D=2R=0M=4L=6B=0</v>
      </c>
      <c r="G2633" s="0" t="s">
        <v>365</v>
      </c>
      <c r="I2633" s="0" t="s">
        <v>11270</v>
      </c>
      <c r="J2633" s="0" t="s">
        <v>5366</v>
      </c>
      <c r="K2633" s="0" t="s">
        <v>175</v>
      </c>
      <c r="L2633" s="1" t="s">
        <v>155</v>
      </c>
      <c r="M2633" s="0" t="s">
        <v>11271</v>
      </c>
      <c r="N2633" s="0" t="str">
        <f aca="false">RIGHT(M2633,LEN(M2633)-FIND(" ",M2633))</f>
        <v>VERNON AVE NW</v>
      </c>
      <c r="P2633" s="0" t="s">
        <v>146</v>
      </c>
      <c r="Q2633" s="0" t="s">
        <v>147</v>
      </c>
      <c r="R2633" s="0" t="n">
        <v>44483</v>
      </c>
      <c r="AD2633" s="0" t="s">
        <v>148</v>
      </c>
      <c r="AE2633" s="0" t="s">
        <v>149</v>
      </c>
      <c r="AF2633" s="0" t="s">
        <v>150</v>
      </c>
      <c r="AH2633" s="0" t="n">
        <v>14</v>
      </c>
      <c r="AI2633" s="0" t="n">
        <v>11</v>
      </c>
      <c r="AN2633" s="0" t="s">
        <v>146</v>
      </c>
      <c r="AO2633" s="0" t="s">
        <v>151</v>
      </c>
      <c r="AP2633" s="0" t="s">
        <v>152</v>
      </c>
      <c r="AQ2633" s="0" t="n">
        <v>9</v>
      </c>
      <c r="AR2633" s="0" t="n">
        <v>64</v>
      </c>
      <c r="AS2633" s="0" t="n">
        <v>32</v>
      </c>
      <c r="AU2633" s="0" t="n">
        <f aca="false">COUNTA($BA$1417:$EH$1417)</f>
        <v>16</v>
      </c>
      <c r="AV2633" s="0" t="n">
        <f aca="false">COUNTIF($BA$1417:$EH$1417,"D")</f>
        <v>2</v>
      </c>
      <c r="AW2633" s="0" t="n">
        <f aca="false">COUNTIF($BA$1417:$EH$1417,"R")</f>
        <v>0</v>
      </c>
      <c r="AX2633" s="0" t="n">
        <f aca="false">IF(BN2633="D",1,0)+IF(BO2633="D",1,0)+IF(BT2633="D",1,0)+IF(BU2633="D",1,0)+IF(BW2633="D",1,0)+IF(CC2633="D",1,0)+IF(CD2633="D",1,0)+IF(CE2633="D",1,0)+IF(CF2633="D",1,0)+IF(CL2633="D",1,0)+IF(CM2633="D",1,0)+IF(CQ2633="D",1,0)+IF(CR2633="D",1,0)+IF(CS2633="D",1,0)+IF(CW2633="D",1,0)+IF(CX2633="D",1,0)+IF(DD2633="D",1,0)+IF(DE2633="D",1,0)+IF(DJ2633="D",1,0)+IF(DK2633="D",1,0)+IF(DO2633="D",1,0)+IF(DP2633="D",1,0)+IF(DQ2633="D",1,0)+IF(DW2633="D",1,0)+IF(DZ2633="D",1,0)+IF(EH2633="D",1,0)</f>
        <v>4</v>
      </c>
      <c r="AY2633" s="0" t="n">
        <f aca="false">COUNTIF(DU2633:EH2633, "&lt;&gt;")</f>
        <v>6</v>
      </c>
      <c r="AZ2633" s="0" t="n">
        <f aca="false">IF(EH2633&lt;&gt;"",1,0)</f>
        <v>0</v>
      </c>
      <c r="BB2633" s="0" t="s">
        <v>153</v>
      </c>
      <c r="BC2633" s="0" t="s">
        <v>154</v>
      </c>
      <c r="BD2633" s="0" t="s">
        <v>154</v>
      </c>
      <c r="BE2633" s="0" t="s">
        <v>154</v>
      </c>
      <c r="BF2633" s="0" t="s">
        <v>154</v>
      </c>
      <c r="BG2633" s="0" t="s">
        <v>154</v>
      </c>
      <c r="BH2633" s="0" t="s">
        <v>154</v>
      </c>
      <c r="BI2633" s="0" t="s">
        <v>154</v>
      </c>
      <c r="BJ2633" s="0" t="s">
        <v>154</v>
      </c>
      <c r="BK2633" s="0" t="s">
        <v>154</v>
      </c>
      <c r="BL2633" s="0" t="s">
        <v>154</v>
      </c>
      <c r="BP2633" s="0" t="s">
        <v>154</v>
      </c>
      <c r="BS2633" s="0" t="s">
        <v>154</v>
      </c>
      <c r="BV2633" s="0" t="s">
        <v>154</v>
      </c>
      <c r="BY2633" s="0" t="s">
        <v>155</v>
      </c>
      <c r="CA2633" s="0" t="s">
        <v>154</v>
      </c>
      <c r="CG2633" s="0" t="s">
        <v>154</v>
      </c>
      <c r="CH2633" s="0" t="s">
        <v>155</v>
      </c>
      <c r="CK2633" s="0" t="s">
        <v>154</v>
      </c>
      <c r="CL2633" s="0" t="s">
        <v>155</v>
      </c>
      <c r="CN2633" s="0" t="s">
        <v>154</v>
      </c>
      <c r="CO2633" s="0" t="s">
        <v>155</v>
      </c>
      <c r="CP2633" s="0" t="s">
        <v>154</v>
      </c>
      <c r="CU2633" s="0" t="s">
        <v>155</v>
      </c>
      <c r="CV2633" s="0" t="s">
        <v>154</v>
      </c>
      <c r="CY2633" s="0" t="s">
        <v>154</v>
      </c>
      <c r="CZ2633" s="0" t="s">
        <v>155</v>
      </c>
      <c r="DC2633" s="0" t="s">
        <v>154</v>
      </c>
      <c r="DF2633" s="0" t="s">
        <v>154</v>
      </c>
      <c r="DI2633" s="0" t="s">
        <v>154</v>
      </c>
      <c r="DJ2633" s="0" t="s">
        <v>155</v>
      </c>
      <c r="DL2633" s="0" t="s">
        <v>154</v>
      </c>
      <c r="DM2633" s="0" t="s">
        <v>155</v>
      </c>
      <c r="DN2633" s="0" t="s">
        <v>154</v>
      </c>
      <c r="DO2633" s="0" t="s">
        <v>155</v>
      </c>
      <c r="DR2633" s="0" t="s">
        <v>154</v>
      </c>
      <c r="DS2633" s="0" t="s">
        <v>155</v>
      </c>
      <c r="DU2633" s="0" t="s">
        <v>154</v>
      </c>
      <c r="DW2633" s="0" t="s">
        <v>155</v>
      </c>
      <c r="DX2633" s="0" t="s">
        <v>154</v>
      </c>
      <c r="EA2633" s="0" t="s">
        <v>154</v>
      </c>
      <c r="ED2633" s="0" t="s">
        <v>155</v>
      </c>
      <c r="EF2633" s="0" t="s">
        <v>154</v>
      </c>
    </row>
    <row r="2634" customFormat="false" ht="13.8" hidden="false" customHeight="false" outlineLevel="0" collapsed="false">
      <c r="A2634" s="0" t="s">
        <v>11272</v>
      </c>
      <c r="B2634" s="0" t="n">
        <v>78</v>
      </c>
      <c r="C2634" s="0" t="n">
        <v>5939</v>
      </c>
      <c r="D2634" s="0" t="s">
        <v>8890</v>
      </c>
      <c r="E2634" s="0" t="s">
        <v>842</v>
      </c>
      <c r="F2634" s="0" t="str">
        <f aca="false">CONCATENATE(D2634," ",LEFT(H2634,4),"T=",AU2634,"D=",AV2634,"R=",AW2634,"M=",AX2634,"L=",AY2634,"B=",AZ2634)</f>
        <v>REDMOND T=24D=1R=1M=4L=6B=0</v>
      </c>
      <c r="I2634" s="0" t="s">
        <v>11273</v>
      </c>
      <c r="J2634" s="0" t="s">
        <v>5514</v>
      </c>
      <c r="K2634" s="0" t="s">
        <v>175</v>
      </c>
      <c r="L2634" s="1" t="s">
        <v>155</v>
      </c>
      <c r="M2634" s="0" t="s">
        <v>11271</v>
      </c>
      <c r="N2634" s="0" t="str">
        <f aca="false">RIGHT(M2634,LEN(M2634)-FIND(" ",M2634))</f>
        <v>VERNON AVE NW</v>
      </c>
      <c r="P2634" s="0" t="s">
        <v>146</v>
      </c>
      <c r="Q2634" s="0" t="s">
        <v>147</v>
      </c>
      <c r="R2634" s="0" t="n">
        <v>44483</v>
      </c>
      <c r="AD2634" s="0" t="s">
        <v>148</v>
      </c>
      <c r="AE2634" s="0" t="s">
        <v>149</v>
      </c>
      <c r="AF2634" s="0" t="s">
        <v>150</v>
      </c>
      <c r="AH2634" s="0" t="n">
        <v>14</v>
      </c>
      <c r="AI2634" s="0" t="n">
        <v>11</v>
      </c>
      <c r="AN2634" s="0" t="s">
        <v>146</v>
      </c>
      <c r="AO2634" s="0" t="s">
        <v>151</v>
      </c>
      <c r="AP2634" s="0" t="s">
        <v>152</v>
      </c>
      <c r="AQ2634" s="0" t="n">
        <v>9</v>
      </c>
      <c r="AR2634" s="0" t="n">
        <v>64</v>
      </c>
      <c r="AS2634" s="0" t="n">
        <v>32</v>
      </c>
      <c r="AU2634" s="0" t="n">
        <f aca="false">COUNTA($BA$1458:$EH$1458)</f>
        <v>24</v>
      </c>
      <c r="AV2634" s="0" t="n">
        <f aca="false">COUNTIF($BA$1458:$EH$1458,"D")</f>
        <v>1</v>
      </c>
      <c r="AW2634" s="0" t="n">
        <f aca="false">COUNTIF($BA$1458:$EH$1458,"R")</f>
        <v>1</v>
      </c>
      <c r="AX2634" s="0" t="n">
        <f aca="false">IF(BN2634="D",1,0)+IF(BO2634="D",1,0)+IF(BT2634="D",1,0)+IF(BU2634="D",1,0)+IF(BW2634="D",1,0)+IF(CC2634="D",1,0)+IF(CD2634="D",1,0)+IF(CE2634="D",1,0)+IF(CF2634="D",1,0)+IF(CL2634="D",1,0)+IF(CM2634="D",1,0)+IF(CQ2634="D",1,0)+IF(CR2634="D",1,0)+IF(CS2634="D",1,0)+IF(CW2634="D",1,0)+IF(CX2634="D",1,0)+IF(DD2634="D",1,0)+IF(DE2634="D",1,0)+IF(DJ2634="D",1,0)+IF(DK2634="D",1,0)+IF(DO2634="D",1,0)+IF(DP2634="D",1,0)+IF(DQ2634="D",1,0)+IF(DW2634="D",1,0)+IF(DZ2634="D",1,0)+IF(EH2634="D",1,0)</f>
        <v>4</v>
      </c>
      <c r="AY2634" s="0" t="n">
        <f aca="false">COUNTIF(DU2634:EH2634, "&lt;&gt;")</f>
        <v>6</v>
      </c>
      <c r="AZ2634" s="0" t="n">
        <f aca="false">IF(EH2634&lt;&gt;"",1,0)</f>
        <v>0</v>
      </c>
      <c r="BB2634" s="0" t="s">
        <v>153</v>
      </c>
      <c r="BC2634" s="0" t="s">
        <v>154</v>
      </c>
      <c r="BD2634" s="0" t="s">
        <v>154</v>
      </c>
      <c r="BE2634" s="0" t="s">
        <v>154</v>
      </c>
      <c r="BF2634" s="0" t="s">
        <v>154</v>
      </c>
      <c r="BG2634" s="0" t="s">
        <v>154</v>
      </c>
      <c r="BH2634" s="0" t="s">
        <v>154</v>
      </c>
      <c r="BI2634" s="0" t="s">
        <v>154</v>
      </c>
      <c r="BJ2634" s="0" t="s">
        <v>154</v>
      </c>
      <c r="BK2634" s="0" t="s">
        <v>154</v>
      </c>
      <c r="BL2634" s="0" t="s">
        <v>154</v>
      </c>
      <c r="BS2634" s="0" t="s">
        <v>154</v>
      </c>
      <c r="BV2634" s="0" t="s">
        <v>154</v>
      </c>
      <c r="BY2634" s="0" t="s">
        <v>155</v>
      </c>
      <c r="CA2634" s="0" t="s">
        <v>154</v>
      </c>
      <c r="CG2634" s="0" t="s">
        <v>154</v>
      </c>
      <c r="CH2634" s="0" t="s">
        <v>155</v>
      </c>
      <c r="CK2634" s="0" t="s">
        <v>154</v>
      </c>
      <c r="CL2634" s="0" t="s">
        <v>155</v>
      </c>
      <c r="CN2634" s="0" t="s">
        <v>154</v>
      </c>
      <c r="CO2634" s="0" t="s">
        <v>155</v>
      </c>
      <c r="CP2634" s="0" t="s">
        <v>154</v>
      </c>
      <c r="CU2634" s="0" t="s">
        <v>155</v>
      </c>
      <c r="CV2634" s="0" t="s">
        <v>154</v>
      </c>
      <c r="CY2634" s="0" t="s">
        <v>154</v>
      </c>
      <c r="CZ2634" s="0" t="s">
        <v>155</v>
      </c>
      <c r="DC2634" s="0" t="s">
        <v>154</v>
      </c>
      <c r="DF2634" s="0" t="s">
        <v>154</v>
      </c>
      <c r="DI2634" s="0" t="s">
        <v>154</v>
      </c>
      <c r="DJ2634" s="0" t="s">
        <v>155</v>
      </c>
      <c r="DL2634" s="0" t="s">
        <v>154</v>
      </c>
      <c r="DM2634" s="0" t="s">
        <v>155</v>
      </c>
      <c r="DN2634" s="0" t="s">
        <v>154</v>
      </c>
      <c r="DO2634" s="0" t="s">
        <v>155</v>
      </c>
      <c r="DR2634" s="0" t="s">
        <v>154</v>
      </c>
      <c r="DS2634" s="0" t="s">
        <v>155</v>
      </c>
      <c r="DU2634" s="0" t="s">
        <v>154</v>
      </c>
      <c r="DW2634" s="0" t="s">
        <v>155</v>
      </c>
      <c r="DX2634" s="0" t="s">
        <v>154</v>
      </c>
      <c r="EA2634" s="0" t="s">
        <v>154</v>
      </c>
      <c r="ED2634" s="0" t="s">
        <v>155</v>
      </c>
      <c r="EF2634" s="0" t="s">
        <v>154</v>
      </c>
    </row>
    <row r="2635" customFormat="false" ht="13.8" hidden="true" customHeight="false" outlineLevel="0" collapsed="false">
      <c r="A2635" s="0" t="s">
        <v>11274</v>
      </c>
      <c r="B2635" s="0" t="n">
        <v>78</v>
      </c>
      <c r="C2635" s="0" t="n">
        <v>413307</v>
      </c>
      <c r="D2635" s="0" t="s">
        <v>11275</v>
      </c>
      <c r="E2635" s="0" t="s">
        <v>11276</v>
      </c>
      <c r="F2635" s="0" t="str">
        <f aca="false">CONCATENATE(D2635," ",LEFT(H2635,4),"T=",AU2635,"D=",AV2635,"R=",AW2635,"M=",AX2635,"L=",AY2635,"B=",AZ2635)</f>
        <v>WILCOX T=33D=4R=4M=0L=0B=0</v>
      </c>
      <c r="G2635" s="0" t="s">
        <v>188</v>
      </c>
      <c r="I2635" s="0" t="s">
        <v>11277</v>
      </c>
      <c r="J2635" s="0" t="s">
        <v>11278</v>
      </c>
      <c r="K2635" s="0" t="s">
        <v>175</v>
      </c>
      <c r="L2635" s="0"/>
      <c r="M2635" s="0" t="s">
        <v>11279</v>
      </c>
      <c r="N2635" s="0" t="str">
        <f aca="false">RIGHT(M2635,LEN(M2635)-FIND(" ",M2635))</f>
        <v>VERNON AVE NW</v>
      </c>
      <c r="P2635" s="0" t="s">
        <v>146</v>
      </c>
      <c r="Q2635" s="0" t="s">
        <v>147</v>
      </c>
      <c r="R2635" s="0" t="n">
        <v>44483</v>
      </c>
      <c r="AD2635" s="0" t="s">
        <v>148</v>
      </c>
      <c r="AE2635" s="0" t="s">
        <v>149</v>
      </c>
      <c r="AF2635" s="0" t="s">
        <v>150</v>
      </c>
      <c r="AH2635" s="0" t="n">
        <v>14</v>
      </c>
      <c r="AI2635" s="0" t="n">
        <v>11</v>
      </c>
      <c r="AN2635" s="0" t="s">
        <v>146</v>
      </c>
      <c r="AO2635" s="0" t="s">
        <v>151</v>
      </c>
      <c r="AP2635" s="0" t="s">
        <v>152</v>
      </c>
      <c r="AQ2635" s="0" t="n">
        <v>9</v>
      </c>
      <c r="AR2635" s="0" t="n">
        <v>64</v>
      </c>
      <c r="AS2635" s="0" t="n">
        <v>32</v>
      </c>
      <c r="AU2635" s="0" t="n">
        <f aca="false">COUNTA($BA$1996:$EH$1996)</f>
        <v>33</v>
      </c>
      <c r="AV2635" s="0" t="n">
        <f aca="false">COUNTIF($BA$1996:$EH$1996,"D")</f>
        <v>4</v>
      </c>
      <c r="AW2635" s="0" t="n">
        <f aca="false">COUNTIF($BA$1996:$EH$1996,"R")</f>
        <v>4</v>
      </c>
      <c r="AX2635" s="0" t="n">
        <f aca="false">IF(BN2635="D",1,0)+IF(BO2635="D",1,0)+IF(BT2635="D",1,0)+IF(BU2635="D",1,0)+IF(BW2635="D",1,0)+IF(CC2635="D",1,0)+IF(CD2635="D",1,0)+IF(CE2635="D",1,0)+IF(CF2635="D",1,0)+IF(CL2635="D",1,0)+IF(CM2635="D",1,0)+IF(CQ2635="D",1,0)+IF(CR2635="D",1,0)+IF(CS2635="D",1,0)+IF(CW2635="D",1,0)+IF(CX2635="D",1,0)+IF(DD2635="D",1,0)+IF(DE2635="D",1,0)+IF(DJ2635="D",1,0)+IF(DK2635="D",1,0)+IF(DO2635="D",1,0)+IF(DP2635="D",1,0)+IF(DQ2635="D",1,0)+IF(DW2635="D",1,0)+IF(DZ2635="D",1,0)+IF(EH2635="D",1,0)</f>
        <v>0</v>
      </c>
      <c r="AY2635" s="0" t="n">
        <f aca="false">COUNTIF(DU2635:EH2635, "&lt;&gt;")</f>
        <v>0</v>
      </c>
      <c r="AZ2635" s="0" t="n">
        <f aca="false">IF(EH2635&lt;&gt;"",1,0)</f>
        <v>0</v>
      </c>
      <c r="BB2635" s="0" t="s">
        <v>153</v>
      </c>
      <c r="DC2635" s="0" t="s">
        <v>154</v>
      </c>
      <c r="DN2635" s="0" t="s">
        <v>154</v>
      </c>
    </row>
    <row r="2636" customFormat="false" ht="13.8" hidden="false" customHeight="false" outlineLevel="0" collapsed="false">
      <c r="A2636" s="0" t="s">
        <v>11280</v>
      </c>
      <c r="B2636" s="0" t="n">
        <v>78</v>
      </c>
      <c r="C2636" s="0" t="n">
        <v>475800</v>
      </c>
      <c r="D2636" s="0" t="s">
        <v>9992</v>
      </c>
      <c r="E2636" s="0" t="s">
        <v>1817</v>
      </c>
      <c r="F2636" s="0" t="str">
        <f aca="false">CONCATENATE(D2636," ",LEFT(H2636,4),"T=",AU2636,"D=",AV2636,"R=",AW2636,"M=",AX2636,"L=",AY2636,"B=",AZ2636)</f>
        <v>COLEMAN T=4D=0R=0M=0L=2B=0</v>
      </c>
      <c r="G2636" s="0" t="s">
        <v>317</v>
      </c>
      <c r="I2636" s="0" t="s">
        <v>11281</v>
      </c>
      <c r="J2636" s="0" t="s">
        <v>11282</v>
      </c>
      <c r="K2636" s="0" t="s">
        <v>175</v>
      </c>
      <c r="M2636" s="0" t="s">
        <v>11283</v>
      </c>
      <c r="N2636" s="0" t="str">
        <f aca="false">RIGHT(M2636,LEN(M2636)-FIND(" ",M2636))</f>
        <v>VERNON AVE NW</v>
      </c>
      <c r="P2636" s="0" t="s">
        <v>146</v>
      </c>
      <c r="Q2636" s="0" t="s">
        <v>147</v>
      </c>
      <c r="R2636" s="0" t="n">
        <v>44483</v>
      </c>
      <c r="AD2636" s="0" t="s">
        <v>148</v>
      </c>
      <c r="AE2636" s="0" t="s">
        <v>149</v>
      </c>
      <c r="AF2636" s="0" t="s">
        <v>150</v>
      </c>
      <c r="AH2636" s="0" t="n">
        <v>14</v>
      </c>
      <c r="AI2636" s="0" t="n">
        <v>11</v>
      </c>
      <c r="AN2636" s="0" t="s">
        <v>146</v>
      </c>
      <c r="AO2636" s="0" t="s">
        <v>151</v>
      </c>
      <c r="AP2636" s="0" t="s">
        <v>152</v>
      </c>
      <c r="AQ2636" s="0" t="n">
        <v>9</v>
      </c>
      <c r="AR2636" s="0" t="n">
        <v>64</v>
      </c>
      <c r="AS2636" s="0" t="n">
        <v>32</v>
      </c>
      <c r="AU2636" s="0" t="n">
        <f aca="false">COUNTA($BA$1973:$EH$1973)</f>
        <v>4</v>
      </c>
      <c r="AV2636" s="0" t="n">
        <f aca="false">COUNTIF($BA$1973:$EH$1973,"D")</f>
        <v>0</v>
      </c>
      <c r="AW2636" s="0" t="n">
        <f aca="false">COUNTIF($BA$1973:$EH$1973,"R")</f>
        <v>0</v>
      </c>
      <c r="AX2636" s="0" t="n">
        <f aca="false">IF(BN2636="D",1,0)+IF(BO2636="D",1,0)+IF(BT2636="D",1,0)+IF(BU2636="D",1,0)+IF(BW2636="D",1,0)+IF(CC2636="D",1,0)+IF(CD2636="D",1,0)+IF(CE2636="D",1,0)+IF(CF2636="D",1,0)+IF(CL2636="D",1,0)+IF(CM2636="D",1,0)+IF(CQ2636="D",1,0)+IF(CR2636="D",1,0)+IF(CS2636="D",1,0)+IF(CW2636="D",1,0)+IF(CX2636="D",1,0)+IF(DD2636="D",1,0)+IF(DE2636="D",1,0)+IF(DJ2636="D",1,0)+IF(DK2636="D",1,0)+IF(DO2636="D",1,0)+IF(DP2636="D",1,0)+IF(DQ2636="D",1,0)+IF(DW2636="D",1,0)+IF(DZ2636="D",1,0)+IF(EH2636="D",1,0)</f>
        <v>0</v>
      </c>
      <c r="AY2636" s="0" t="n">
        <f aca="false">COUNTIF(DU2636:EH2636, "&lt;&gt;")</f>
        <v>2</v>
      </c>
      <c r="AZ2636" s="0" t="n">
        <f aca="false">IF(EH2636&lt;&gt;"",1,0)</f>
        <v>0</v>
      </c>
      <c r="BB2636" s="0" t="s">
        <v>153</v>
      </c>
      <c r="BC2636" s="0" t="s">
        <v>154</v>
      </c>
      <c r="BD2636" s="0" t="s">
        <v>154</v>
      </c>
      <c r="BF2636" s="0" t="s">
        <v>154</v>
      </c>
      <c r="BH2636" s="0" t="s">
        <v>154</v>
      </c>
      <c r="BJ2636" s="0" t="s">
        <v>154</v>
      </c>
      <c r="BL2636" s="0" t="s">
        <v>154</v>
      </c>
      <c r="BV2636" s="0" t="s">
        <v>154</v>
      </c>
      <c r="BY2636" s="0" t="s">
        <v>155</v>
      </c>
      <c r="CA2636" s="0" t="s">
        <v>154</v>
      </c>
      <c r="CN2636" s="0" t="s">
        <v>154</v>
      </c>
      <c r="CP2636" s="0" t="s">
        <v>154</v>
      </c>
      <c r="CY2636" s="0" t="s">
        <v>154</v>
      </c>
      <c r="CZ2636" s="0" t="s">
        <v>155</v>
      </c>
      <c r="DL2636" s="0" t="s">
        <v>154</v>
      </c>
      <c r="DN2636" s="0" t="s">
        <v>154</v>
      </c>
      <c r="DT2636" s="0" t="s">
        <v>176</v>
      </c>
      <c r="DU2636" s="0" t="s">
        <v>154</v>
      </c>
      <c r="EF2636" s="0" t="s">
        <v>154</v>
      </c>
    </row>
    <row r="2637" customFormat="false" ht="13.8" hidden="false" customHeight="false" outlineLevel="0" collapsed="false">
      <c r="A2637" s="0" t="s">
        <v>11284</v>
      </c>
      <c r="B2637" s="0" t="n">
        <v>78</v>
      </c>
      <c r="C2637" s="0" t="n">
        <v>374079</v>
      </c>
      <c r="D2637" s="0" t="s">
        <v>11285</v>
      </c>
      <c r="E2637" s="0" t="s">
        <v>11286</v>
      </c>
      <c r="F2637" s="0" t="str">
        <f aca="false">CONCATENATE(D2637," ",LEFT(H2637,4),"T=",AU2637,"D=",AV2637,"R=",AW2637,"M=",AX2637,"L=",AY2637,"B=",AZ2637)</f>
        <v>HILLES T=5D=1R=0M=1L=6B=0</v>
      </c>
      <c r="G2637" s="0" t="s">
        <v>188</v>
      </c>
      <c r="I2637" s="0" t="s">
        <v>11287</v>
      </c>
      <c r="J2637" s="0" t="s">
        <v>11288</v>
      </c>
      <c r="K2637" s="0" t="s">
        <v>175</v>
      </c>
      <c r="L2637" s="1" t="s">
        <v>176</v>
      </c>
      <c r="M2637" s="0" t="s">
        <v>11289</v>
      </c>
      <c r="N2637" s="0" t="str">
        <f aca="false">RIGHT(M2637,LEN(M2637)-FIND(" ",M2637))</f>
        <v>VERNON AVE NW</v>
      </c>
      <c r="P2637" s="0" t="s">
        <v>146</v>
      </c>
      <c r="Q2637" s="0" t="s">
        <v>147</v>
      </c>
      <c r="R2637" s="0" t="n">
        <v>44483</v>
      </c>
      <c r="AD2637" s="0" t="s">
        <v>148</v>
      </c>
      <c r="AE2637" s="0" t="s">
        <v>149</v>
      </c>
      <c r="AF2637" s="0" t="s">
        <v>150</v>
      </c>
      <c r="AH2637" s="0" t="n">
        <v>14</v>
      </c>
      <c r="AI2637" s="0" t="n">
        <v>11</v>
      </c>
      <c r="AN2637" s="0" t="s">
        <v>146</v>
      </c>
      <c r="AO2637" s="0" t="s">
        <v>151</v>
      </c>
      <c r="AP2637" s="0" t="s">
        <v>152</v>
      </c>
      <c r="AQ2637" s="0" t="n">
        <v>9</v>
      </c>
      <c r="AR2637" s="0" t="n">
        <v>64</v>
      </c>
      <c r="AS2637" s="0" t="n">
        <v>32</v>
      </c>
      <c r="AU2637" s="0" t="n">
        <f aca="false">COUNTA($BA$1377:$EH$1377)</f>
        <v>5</v>
      </c>
      <c r="AV2637" s="0" t="n">
        <f aca="false">COUNTIF($BA$1377:$EH$1377,"D")</f>
        <v>1</v>
      </c>
      <c r="AW2637" s="0" t="n">
        <f aca="false">COUNTIF($BA$1377:$EH$1377,"R")</f>
        <v>0</v>
      </c>
      <c r="AX2637" s="0" t="n">
        <f aca="false">IF(BN2637="D",1,0)+IF(BO2637="D",1,0)+IF(BT2637="D",1,0)+IF(BU2637="D",1,0)+IF(BW2637="D",1,0)+IF(CC2637="D",1,0)+IF(CD2637="D",1,0)+IF(CE2637="D",1,0)+IF(CF2637="D",1,0)+IF(CL2637="D",1,0)+IF(CM2637="D",1,0)+IF(CQ2637="D",1,0)+IF(CR2637="D",1,0)+IF(CS2637="D",1,0)+IF(CW2637="D",1,0)+IF(CX2637="D",1,0)+IF(DD2637="D",1,0)+IF(DE2637="D",1,0)+IF(DJ2637="D",1,0)+IF(DK2637="D",1,0)+IF(DO2637="D",1,0)+IF(DP2637="D",1,0)+IF(DQ2637="D",1,0)+IF(DW2637="D",1,0)+IF(DZ2637="D",1,0)+IF(EH2637="D",1,0)</f>
        <v>1</v>
      </c>
      <c r="AY2637" s="0" t="n">
        <f aca="false">COUNTIF(DU2637:EH2637, "&lt;&gt;")</f>
        <v>6</v>
      </c>
      <c r="AZ2637" s="0" t="n">
        <f aca="false">IF(EH2637&lt;&gt;"",1,0)</f>
        <v>0</v>
      </c>
      <c r="BB2637" s="0" t="s">
        <v>153</v>
      </c>
      <c r="CK2637" s="0" t="s">
        <v>154</v>
      </c>
      <c r="CP2637" s="0" t="s">
        <v>154</v>
      </c>
      <c r="CV2637" s="0" t="s">
        <v>154</v>
      </c>
      <c r="CY2637" s="0" t="s">
        <v>154</v>
      </c>
      <c r="CZ2637" s="0" t="s">
        <v>176</v>
      </c>
      <c r="DC2637" s="0" t="s">
        <v>154</v>
      </c>
      <c r="DI2637" s="0" t="s">
        <v>154</v>
      </c>
      <c r="DL2637" s="0" t="s">
        <v>154</v>
      </c>
      <c r="DM2637" s="0" t="s">
        <v>176</v>
      </c>
      <c r="DN2637" s="0" t="s">
        <v>154</v>
      </c>
      <c r="DR2637" s="0" t="s">
        <v>154</v>
      </c>
      <c r="DU2637" s="0" t="s">
        <v>154</v>
      </c>
      <c r="DW2637" s="0" t="s">
        <v>155</v>
      </c>
      <c r="DX2637" s="0" t="s">
        <v>154</v>
      </c>
      <c r="EA2637" s="0" t="s">
        <v>154</v>
      </c>
      <c r="ED2637" s="0" t="s">
        <v>176</v>
      </c>
      <c r="EF2637" s="0" t="s">
        <v>154</v>
      </c>
    </row>
    <row r="2638" customFormat="false" ht="13.8" hidden="false" customHeight="false" outlineLevel="0" collapsed="false">
      <c r="A2638" s="0" t="s">
        <v>11290</v>
      </c>
      <c r="B2638" s="0" t="n">
        <v>78</v>
      </c>
      <c r="C2638" s="0" t="n">
        <v>344897</v>
      </c>
      <c r="D2638" s="0" t="s">
        <v>11285</v>
      </c>
      <c r="E2638" s="0" t="s">
        <v>1374</v>
      </c>
      <c r="F2638" s="0" t="str">
        <f aca="false">CONCATENATE(D2638," ",LEFT(H2638,4),"T=",AU2638,"D=",AV2638,"R=",AW2638,"M=",AX2638,"L=",AY2638,"B=",AZ2638)</f>
        <v>HILLES SRT=2D=0R=0M=0L=5B=0</v>
      </c>
      <c r="G2638" s="0" t="s">
        <v>202</v>
      </c>
      <c r="H2638" s="0" t="s">
        <v>311</v>
      </c>
      <c r="I2638" s="0" t="s">
        <v>11291</v>
      </c>
      <c r="J2638" s="0" t="s">
        <v>712</v>
      </c>
      <c r="K2638" s="0" t="s">
        <v>175</v>
      </c>
      <c r="L2638" s="1" t="s">
        <v>176</v>
      </c>
      <c r="M2638" s="0" t="s">
        <v>11289</v>
      </c>
      <c r="N2638" s="0" t="str">
        <f aca="false">RIGHT(M2638,LEN(M2638)-FIND(" ",M2638))</f>
        <v>VERNON AVE NW</v>
      </c>
      <c r="P2638" s="0" t="s">
        <v>146</v>
      </c>
      <c r="Q2638" s="0" t="s">
        <v>147</v>
      </c>
      <c r="R2638" s="0" t="n">
        <v>44483</v>
      </c>
      <c r="AD2638" s="0" t="s">
        <v>148</v>
      </c>
      <c r="AE2638" s="0" t="s">
        <v>149</v>
      </c>
      <c r="AF2638" s="0" t="s">
        <v>150</v>
      </c>
      <c r="AH2638" s="0" t="n">
        <v>14</v>
      </c>
      <c r="AI2638" s="0" t="n">
        <v>11</v>
      </c>
      <c r="AN2638" s="0" t="s">
        <v>146</v>
      </c>
      <c r="AO2638" s="0" t="s">
        <v>151</v>
      </c>
      <c r="AP2638" s="0" t="s">
        <v>152</v>
      </c>
      <c r="AQ2638" s="0" t="n">
        <v>9</v>
      </c>
      <c r="AR2638" s="0" t="n">
        <v>64</v>
      </c>
      <c r="AS2638" s="0" t="n">
        <v>32</v>
      </c>
      <c r="AU2638" s="0" t="n">
        <f aca="false">COUNTA($BA$1401:$EH$1401)</f>
        <v>2</v>
      </c>
      <c r="AV2638" s="0" t="n">
        <f aca="false">COUNTIF($BA$1401:$EH$1401,"D")</f>
        <v>0</v>
      </c>
      <c r="AW2638" s="0" t="n">
        <f aca="false">COUNTIF($BA$1401:$EH$1401,"R")</f>
        <v>0</v>
      </c>
      <c r="AX2638" s="0" t="n">
        <f aca="false">IF(BN2638="D",1,0)+IF(BO2638="D",1,0)+IF(BT2638="D",1,0)+IF(BU2638="D",1,0)+IF(BW2638="D",1,0)+IF(CC2638="D",1,0)+IF(CD2638="D",1,0)+IF(CE2638="D",1,0)+IF(CF2638="D",1,0)+IF(CL2638="D",1,0)+IF(CM2638="D",1,0)+IF(CQ2638="D",1,0)+IF(CR2638="D",1,0)+IF(CS2638="D",1,0)+IF(CW2638="D",1,0)+IF(CX2638="D",1,0)+IF(DD2638="D",1,0)+IF(DE2638="D",1,0)+IF(DJ2638="D",1,0)+IF(DK2638="D",1,0)+IF(DO2638="D",1,0)+IF(DP2638="D",1,0)+IF(DQ2638="D",1,0)+IF(DW2638="D",1,0)+IF(DZ2638="D",1,0)+IF(EH2638="D",1,0)</f>
        <v>0</v>
      </c>
      <c r="AY2638" s="0" t="n">
        <f aca="false">COUNTIF(DU2638:EH2638, "&lt;&gt;")</f>
        <v>5</v>
      </c>
      <c r="AZ2638" s="0" t="n">
        <f aca="false">IF(EH2638&lt;&gt;"",1,0)</f>
        <v>0</v>
      </c>
      <c r="BB2638" s="0" t="s">
        <v>153</v>
      </c>
      <c r="DC2638" s="0" t="s">
        <v>154</v>
      </c>
      <c r="DI2638" s="0" t="s">
        <v>154</v>
      </c>
      <c r="DM2638" s="0" t="s">
        <v>176</v>
      </c>
      <c r="DN2638" s="0" t="s">
        <v>154</v>
      </c>
      <c r="DR2638" s="0" t="s">
        <v>154</v>
      </c>
      <c r="DU2638" s="0" t="s">
        <v>154</v>
      </c>
      <c r="DX2638" s="0" t="s">
        <v>154</v>
      </c>
      <c r="EA2638" s="0" t="s">
        <v>154</v>
      </c>
      <c r="ED2638" s="0" t="s">
        <v>176</v>
      </c>
      <c r="EF2638" s="0" t="s">
        <v>154</v>
      </c>
    </row>
    <row r="2639" customFormat="false" ht="13.8" hidden="false" customHeight="false" outlineLevel="0" collapsed="false">
      <c r="A2639" s="0" t="s">
        <v>11292</v>
      </c>
      <c r="B2639" s="0" t="n">
        <v>78</v>
      </c>
      <c r="C2639" s="0" t="n">
        <v>400323</v>
      </c>
      <c r="D2639" s="0" t="s">
        <v>11285</v>
      </c>
      <c r="E2639" s="0" t="s">
        <v>1374</v>
      </c>
      <c r="F2639" s="0" t="str">
        <f aca="false">CONCATENATE(D2639," ",LEFT(H2639,4),"T=",AU2639,"D=",AV2639,"R=",AW2639,"M=",AX2639,"L=",AY2639,"B=",AZ2639)</f>
        <v>HILLES JRT=4D=1R=0M=0L=4B=0</v>
      </c>
      <c r="G2639" s="0" t="s">
        <v>202</v>
      </c>
      <c r="H2639" s="0" t="s">
        <v>431</v>
      </c>
      <c r="I2639" s="0" t="s">
        <v>11293</v>
      </c>
      <c r="J2639" s="0" t="s">
        <v>11294</v>
      </c>
      <c r="K2639" s="0" t="s">
        <v>175</v>
      </c>
      <c r="M2639" s="0" t="s">
        <v>11289</v>
      </c>
      <c r="N2639" s="0" t="str">
        <f aca="false">RIGHT(M2639,LEN(M2639)-FIND(" ",M2639))</f>
        <v>VERNON AVE NW</v>
      </c>
      <c r="P2639" s="0" t="s">
        <v>146</v>
      </c>
      <c r="Q2639" s="0" t="s">
        <v>147</v>
      </c>
      <c r="R2639" s="0" t="n">
        <v>44483</v>
      </c>
      <c r="AD2639" s="0" t="s">
        <v>148</v>
      </c>
      <c r="AE2639" s="0" t="s">
        <v>149</v>
      </c>
      <c r="AF2639" s="0" t="s">
        <v>150</v>
      </c>
      <c r="AH2639" s="0" t="n">
        <v>14</v>
      </c>
      <c r="AI2639" s="0" t="n">
        <v>11</v>
      </c>
      <c r="AN2639" s="0" t="s">
        <v>146</v>
      </c>
      <c r="AO2639" s="0" t="s">
        <v>151</v>
      </c>
      <c r="AP2639" s="0" t="s">
        <v>152</v>
      </c>
      <c r="AQ2639" s="0" t="n">
        <v>9</v>
      </c>
      <c r="AR2639" s="0" t="n">
        <v>64</v>
      </c>
      <c r="AS2639" s="0" t="n">
        <v>32</v>
      </c>
      <c r="AU2639" s="0" t="n">
        <f aca="false">COUNTA($BA$1797:$EH$1797)</f>
        <v>4</v>
      </c>
      <c r="AV2639" s="0" t="n">
        <f aca="false">COUNTIF($BA$1797:$EH$1797,"D")</f>
        <v>1</v>
      </c>
      <c r="AW2639" s="0" t="n">
        <f aca="false">COUNTIF($BA$1797:$EH$1797,"R")</f>
        <v>0</v>
      </c>
      <c r="AX2639" s="0" t="n">
        <f aca="false">IF(BN2639="D",1,0)+IF(BO2639="D",1,0)+IF(BT2639="D",1,0)+IF(BU2639="D",1,0)+IF(BW2639="D",1,0)+IF(CC2639="D",1,0)+IF(CD2639="D",1,0)+IF(CE2639="D",1,0)+IF(CF2639="D",1,0)+IF(CL2639="D",1,0)+IF(CM2639="D",1,0)+IF(CQ2639="D",1,0)+IF(CR2639="D",1,0)+IF(CS2639="D",1,0)+IF(CW2639="D",1,0)+IF(CX2639="D",1,0)+IF(DD2639="D",1,0)+IF(DE2639="D",1,0)+IF(DJ2639="D",1,0)+IF(DK2639="D",1,0)+IF(DO2639="D",1,0)+IF(DP2639="D",1,0)+IF(DQ2639="D",1,0)+IF(DW2639="D",1,0)+IF(DZ2639="D",1,0)+IF(EH2639="D",1,0)</f>
        <v>0</v>
      </c>
      <c r="AY2639" s="0" t="n">
        <f aca="false">COUNTIF(DU2639:EH2639, "&lt;&gt;")</f>
        <v>4</v>
      </c>
      <c r="AZ2639" s="0" t="n">
        <f aca="false">IF(EH2639&lt;&gt;"",1,0)</f>
        <v>0</v>
      </c>
      <c r="BB2639" s="0" t="s">
        <v>153</v>
      </c>
      <c r="CY2639" s="0" t="s">
        <v>154</v>
      </c>
      <c r="DC2639" s="0" t="s">
        <v>154</v>
      </c>
      <c r="DI2639" s="0" t="s">
        <v>154</v>
      </c>
      <c r="DN2639" s="0" t="s">
        <v>154</v>
      </c>
      <c r="DU2639" s="0" t="s">
        <v>154</v>
      </c>
      <c r="DX2639" s="0" t="s">
        <v>154</v>
      </c>
      <c r="EA2639" s="0" t="s">
        <v>154</v>
      </c>
      <c r="EF2639" s="0" t="s">
        <v>154</v>
      </c>
    </row>
    <row r="2640" customFormat="false" ht="13.8" hidden="true" customHeight="false" outlineLevel="0" collapsed="false">
      <c r="A2640" s="0" t="s">
        <v>11295</v>
      </c>
      <c r="B2640" s="0" t="n">
        <v>78</v>
      </c>
      <c r="C2640" s="0" t="n">
        <v>349968</v>
      </c>
      <c r="D2640" s="0" t="s">
        <v>4183</v>
      </c>
      <c r="E2640" s="0" t="s">
        <v>11296</v>
      </c>
      <c r="F2640" s="0" t="str">
        <f aca="false">CONCATENATE(D2640," ",LEFT(H2640,4),"T=",AU2640,"D=",AV2640,"R=",AW2640,"M=",AX2640,"L=",AY2640,"B=",AZ2640)</f>
        <v>GREGORY T=34D=0R=6M=1L=1B=0</v>
      </c>
      <c r="G2640" s="0" t="s">
        <v>176</v>
      </c>
      <c r="I2640" s="0" t="s">
        <v>11297</v>
      </c>
      <c r="J2640" s="0" t="s">
        <v>2344</v>
      </c>
      <c r="K2640" s="0" t="s">
        <v>175</v>
      </c>
      <c r="L2640" s="0"/>
      <c r="M2640" s="0" t="s">
        <v>11298</v>
      </c>
      <c r="N2640" s="0" t="str">
        <f aca="false">RIGHT(M2640,LEN(M2640)-FIND(" ",M2640))</f>
        <v>VERNON AVE NW</v>
      </c>
      <c r="P2640" s="0" t="s">
        <v>146</v>
      </c>
      <c r="Q2640" s="0" t="s">
        <v>147</v>
      </c>
      <c r="R2640" s="0" t="n">
        <v>44483</v>
      </c>
      <c r="AD2640" s="0" t="s">
        <v>148</v>
      </c>
      <c r="AE2640" s="0" t="s">
        <v>149</v>
      </c>
      <c r="AF2640" s="0" t="s">
        <v>150</v>
      </c>
      <c r="AH2640" s="0" t="n">
        <v>14</v>
      </c>
      <c r="AI2640" s="0" t="n">
        <v>11</v>
      </c>
      <c r="AN2640" s="0" t="s">
        <v>146</v>
      </c>
      <c r="AO2640" s="0" t="s">
        <v>151</v>
      </c>
      <c r="AP2640" s="0" t="s">
        <v>152</v>
      </c>
      <c r="AQ2640" s="0" t="n">
        <v>9</v>
      </c>
      <c r="AR2640" s="0" t="n">
        <v>64</v>
      </c>
      <c r="AS2640" s="0" t="n">
        <v>32</v>
      </c>
      <c r="AU2640" s="0" t="n">
        <f aca="false">COUNTA($BA$1518:$EH$1518)</f>
        <v>34</v>
      </c>
      <c r="AV2640" s="0" t="n">
        <f aca="false">COUNTIF($BA$1518:$EH$1518,"D")</f>
        <v>0</v>
      </c>
      <c r="AW2640" s="0" t="n">
        <f aca="false">COUNTIF($BA$1518:$EH$1518,"R")</f>
        <v>6</v>
      </c>
      <c r="AX2640" s="0" t="n">
        <f aca="false">IF(BN2640="D",1,0)+IF(BO2640="D",1,0)+IF(BT2640="D",1,0)+IF(BU2640="D",1,0)+IF(BW2640="D",1,0)+IF(CC2640="D",1,0)+IF(CD2640="D",1,0)+IF(CE2640="D",1,0)+IF(CF2640="D",1,0)+IF(CL2640="D",1,0)+IF(CM2640="D",1,0)+IF(CQ2640="D",1,0)+IF(CR2640="D",1,0)+IF(CS2640="D",1,0)+IF(CW2640="D",1,0)+IF(CX2640="D",1,0)+IF(DD2640="D",1,0)+IF(DE2640="D",1,0)+IF(DJ2640="D",1,0)+IF(DK2640="D",1,0)+IF(DO2640="D",1,0)+IF(DP2640="D",1,0)+IF(DQ2640="D",1,0)+IF(DW2640="D",1,0)+IF(DZ2640="D",1,0)+IF(EH2640="D",1,0)</f>
        <v>1</v>
      </c>
      <c r="AY2640" s="0" t="n">
        <f aca="false">COUNTIF(DU2640:EH2640, "&lt;&gt;")</f>
        <v>1</v>
      </c>
      <c r="AZ2640" s="0" t="n">
        <f aca="false">IF(EH2640&lt;&gt;"",1,0)</f>
        <v>0</v>
      </c>
      <c r="BB2640" s="0" t="s">
        <v>153</v>
      </c>
      <c r="BY2640" s="0" t="s">
        <v>155</v>
      </c>
      <c r="CA2640" s="0" t="s">
        <v>154</v>
      </c>
      <c r="CG2640" s="0" t="s">
        <v>154</v>
      </c>
      <c r="CL2640" s="0" t="s">
        <v>155</v>
      </c>
      <c r="EF2640" s="0" t="s">
        <v>154</v>
      </c>
    </row>
    <row r="2641" customFormat="false" ht="13.8" hidden="true" customHeight="false" outlineLevel="0" collapsed="false">
      <c r="A2641" s="0" t="s">
        <v>11299</v>
      </c>
      <c r="B2641" s="0" t="n">
        <v>78</v>
      </c>
      <c r="C2641" s="0" t="n">
        <v>474221</v>
      </c>
      <c r="D2641" s="0" t="s">
        <v>11300</v>
      </c>
      <c r="E2641" s="0" t="s">
        <v>405</v>
      </c>
      <c r="F2641" s="0" t="str">
        <f aca="false">CONCATENATE(D2641," ",LEFT(H2641,4),"T=",AU2641,"D=",AV2641,"R=",AW2641,"M=",AX2641,"L=",AY2641,"B=",AZ2641)</f>
        <v>BARITELL T=13D=2R=0M=0L=0B=0</v>
      </c>
      <c r="G2641" s="0" t="s">
        <v>241</v>
      </c>
      <c r="I2641" s="0" t="s">
        <v>11301</v>
      </c>
      <c r="J2641" s="0" t="s">
        <v>11302</v>
      </c>
      <c r="K2641" s="0" t="s">
        <v>175</v>
      </c>
      <c r="L2641" s="0"/>
      <c r="M2641" s="0" t="s">
        <v>11303</v>
      </c>
      <c r="N2641" s="0" t="str">
        <f aca="false">RIGHT(M2641,LEN(M2641)-FIND(" ",M2641))</f>
        <v>VERNON AVE NW</v>
      </c>
      <c r="P2641" s="0" t="s">
        <v>146</v>
      </c>
      <c r="Q2641" s="0" t="s">
        <v>147</v>
      </c>
      <c r="R2641" s="0" t="n">
        <v>44483</v>
      </c>
      <c r="AD2641" s="0" t="s">
        <v>148</v>
      </c>
      <c r="AE2641" s="0" t="s">
        <v>149</v>
      </c>
      <c r="AF2641" s="0" t="s">
        <v>150</v>
      </c>
      <c r="AH2641" s="0" t="n">
        <v>14</v>
      </c>
      <c r="AI2641" s="0" t="n">
        <v>11</v>
      </c>
      <c r="AN2641" s="0" t="s">
        <v>146</v>
      </c>
      <c r="AO2641" s="0" t="s">
        <v>151</v>
      </c>
      <c r="AP2641" s="0" t="s">
        <v>152</v>
      </c>
      <c r="AQ2641" s="0" t="n">
        <v>9</v>
      </c>
      <c r="AR2641" s="0" t="n">
        <v>64</v>
      </c>
      <c r="AS2641" s="0" t="n">
        <v>32</v>
      </c>
      <c r="AU2641" s="0" t="n">
        <f aca="false">COUNTA($BA$1371:$EH$1371)</f>
        <v>13</v>
      </c>
      <c r="AV2641" s="0" t="n">
        <f aca="false">COUNTIF($BA$1371:$EH$1371,"D")</f>
        <v>2</v>
      </c>
      <c r="AW2641" s="0" t="n">
        <f aca="false">COUNTIF($BA$1371:$EH$1371,"R")</f>
        <v>0</v>
      </c>
      <c r="AX2641" s="0" t="n">
        <f aca="false">IF(BN2641="D",1,0)+IF(BO2641="D",1,0)+IF(BT2641="D",1,0)+IF(BU2641="D",1,0)+IF(BW2641="D",1,0)+IF(CC2641="D",1,0)+IF(CD2641="D",1,0)+IF(CE2641="D",1,0)+IF(CF2641="D",1,0)+IF(CL2641="D",1,0)+IF(CM2641="D",1,0)+IF(CQ2641="D",1,0)+IF(CR2641="D",1,0)+IF(CS2641="D",1,0)+IF(CW2641="D",1,0)+IF(CX2641="D",1,0)+IF(DD2641="D",1,0)+IF(DE2641="D",1,0)+IF(DJ2641="D",1,0)+IF(DK2641="D",1,0)+IF(DO2641="D",1,0)+IF(DP2641="D",1,0)+IF(DQ2641="D",1,0)+IF(DW2641="D",1,0)+IF(DZ2641="D",1,0)+IF(EH2641="D",1,0)</f>
        <v>0</v>
      </c>
      <c r="AY2641" s="0" t="n">
        <f aca="false">COUNTIF(DU2641:EH2641, "&lt;&gt;")</f>
        <v>0</v>
      </c>
      <c r="AZ2641" s="0" t="n">
        <f aca="false">IF(EH2641&lt;&gt;"",1,0)</f>
        <v>0</v>
      </c>
      <c r="BB2641" s="0" t="s">
        <v>153</v>
      </c>
    </row>
    <row r="2642" customFormat="false" ht="13.8" hidden="true" customHeight="false" outlineLevel="0" collapsed="false">
      <c r="A2642" s="0" t="s">
        <v>11304</v>
      </c>
      <c r="B2642" s="0" t="n">
        <v>78</v>
      </c>
      <c r="C2642" s="0" t="n">
        <v>378227</v>
      </c>
      <c r="D2642" s="0" t="s">
        <v>11305</v>
      </c>
      <c r="E2642" s="0" t="s">
        <v>3669</v>
      </c>
      <c r="F2642" s="0" t="str">
        <f aca="false">CONCATENATE(D2642," ",LEFT(H2642,4),"T=",AU2642,"D=",AV2642,"R=",AW2642,"M=",AX2642,"L=",AY2642,"B=",AZ2642)</f>
        <v>BUNTS T=16D=1R=0M=0L=0B=0</v>
      </c>
      <c r="G2642" s="0" t="s">
        <v>216</v>
      </c>
      <c r="I2642" s="0" t="s">
        <v>11306</v>
      </c>
      <c r="J2642" s="0" t="s">
        <v>1364</v>
      </c>
      <c r="K2642" s="0" t="s">
        <v>144</v>
      </c>
      <c r="L2642" s="0"/>
      <c r="M2642" s="0" t="s">
        <v>11307</v>
      </c>
      <c r="N2642" s="0" t="str">
        <f aca="false">RIGHT(M2642,LEN(M2642)-FIND(" ",M2642))</f>
        <v>VERNON AVE NW</v>
      </c>
      <c r="P2642" s="0" t="s">
        <v>146</v>
      </c>
      <c r="Q2642" s="0" t="s">
        <v>147</v>
      </c>
      <c r="R2642" s="0" t="n">
        <v>44483</v>
      </c>
      <c r="AD2642" s="0" t="s">
        <v>148</v>
      </c>
      <c r="AE2642" s="0" t="s">
        <v>149</v>
      </c>
      <c r="AF2642" s="0" t="s">
        <v>150</v>
      </c>
      <c r="AH2642" s="0" t="n">
        <v>14</v>
      </c>
      <c r="AI2642" s="0" t="n">
        <v>11</v>
      </c>
      <c r="AN2642" s="0" t="s">
        <v>146</v>
      </c>
      <c r="AO2642" s="0" t="s">
        <v>151</v>
      </c>
      <c r="AP2642" s="0" t="s">
        <v>152</v>
      </c>
      <c r="AQ2642" s="0" t="n">
        <v>9</v>
      </c>
      <c r="AR2642" s="0" t="n">
        <v>64</v>
      </c>
      <c r="AS2642" s="0" t="n">
        <v>32</v>
      </c>
      <c r="AU2642" s="0" t="n">
        <f aca="false">COUNTA($BA$1645:$EH$1645)</f>
        <v>16</v>
      </c>
      <c r="AV2642" s="0" t="n">
        <f aca="false">COUNTIF($BA$1645:$EH$1645,"D")</f>
        <v>1</v>
      </c>
      <c r="AW2642" s="0" t="n">
        <f aca="false">COUNTIF($BA$1645:$EH$1645,"R")</f>
        <v>0</v>
      </c>
      <c r="AX2642" s="0" t="n">
        <f aca="false">IF(BN2642="D",1,0)+IF(BO2642="D",1,0)+IF(BT2642="D",1,0)+IF(BU2642="D",1,0)+IF(BW2642="D",1,0)+IF(CC2642="D",1,0)+IF(CD2642="D",1,0)+IF(CE2642="D",1,0)+IF(CF2642="D",1,0)+IF(CL2642="D",1,0)+IF(CM2642="D",1,0)+IF(CQ2642="D",1,0)+IF(CR2642="D",1,0)+IF(CS2642="D",1,0)+IF(CW2642="D",1,0)+IF(CX2642="D",1,0)+IF(DD2642="D",1,0)+IF(DE2642="D",1,0)+IF(DJ2642="D",1,0)+IF(DK2642="D",1,0)+IF(DO2642="D",1,0)+IF(DP2642="D",1,0)+IF(DQ2642="D",1,0)+IF(DW2642="D",1,0)+IF(DZ2642="D",1,0)+IF(EH2642="D",1,0)</f>
        <v>0</v>
      </c>
      <c r="AY2642" s="0" t="n">
        <f aca="false">COUNTIF(DU2642:EH2642, "&lt;&gt;")</f>
        <v>0</v>
      </c>
      <c r="AZ2642" s="0" t="n">
        <f aca="false">IF(EH2642&lt;&gt;"",1,0)</f>
        <v>0</v>
      </c>
      <c r="BB2642" s="0" t="s">
        <v>153</v>
      </c>
      <c r="CP2642" s="0" t="s">
        <v>154</v>
      </c>
    </row>
    <row r="2643" customFormat="false" ht="13.8" hidden="true" customHeight="false" outlineLevel="0" collapsed="false">
      <c r="A2643" s="0" t="s">
        <v>11308</v>
      </c>
      <c r="B2643" s="0" t="n">
        <v>78</v>
      </c>
      <c r="C2643" s="0" t="n">
        <v>398512</v>
      </c>
      <c r="D2643" s="0" t="s">
        <v>11309</v>
      </c>
      <c r="E2643" s="0" t="s">
        <v>2764</v>
      </c>
      <c r="F2643" s="0" t="str">
        <f aca="false">CONCATENATE(D2643," ",LEFT(H2643,4),"T=",AU2643,"D=",AV2643,"R=",AW2643,"M=",AX2643,"L=",AY2643,"B=",AZ2643)</f>
        <v>BENEDUM T=1D=0R=0M=0L=0B=0</v>
      </c>
      <c r="G2643" s="0" t="s">
        <v>196</v>
      </c>
      <c r="I2643" s="0" t="s">
        <v>11310</v>
      </c>
      <c r="J2643" s="0" t="s">
        <v>8906</v>
      </c>
      <c r="K2643" s="0" t="s">
        <v>175</v>
      </c>
      <c r="L2643" s="0"/>
      <c r="M2643" s="0" t="s">
        <v>11311</v>
      </c>
      <c r="N2643" s="0" t="str">
        <f aca="false">RIGHT(M2643,LEN(M2643)-FIND(" ",M2643))</f>
        <v>VERNON AVE NW</v>
      </c>
      <c r="P2643" s="0" t="s">
        <v>146</v>
      </c>
      <c r="Q2643" s="0" t="s">
        <v>147</v>
      </c>
      <c r="R2643" s="0" t="n">
        <v>44483</v>
      </c>
      <c r="AD2643" s="0" t="s">
        <v>148</v>
      </c>
      <c r="AE2643" s="0" t="s">
        <v>149</v>
      </c>
      <c r="AF2643" s="0" t="s">
        <v>150</v>
      </c>
      <c r="AH2643" s="0" t="n">
        <v>14</v>
      </c>
      <c r="AI2643" s="0" t="n">
        <v>11</v>
      </c>
      <c r="AN2643" s="0" t="s">
        <v>146</v>
      </c>
      <c r="AO2643" s="0" t="s">
        <v>151</v>
      </c>
      <c r="AP2643" s="0" t="s">
        <v>152</v>
      </c>
      <c r="AQ2643" s="0" t="n">
        <v>9</v>
      </c>
      <c r="AR2643" s="0" t="n">
        <v>64</v>
      </c>
      <c r="AS2643" s="0" t="n">
        <v>32</v>
      </c>
      <c r="AU2643" s="0" t="n">
        <f aca="false">COUNTA($BA$1116:$EH$1116)</f>
        <v>1</v>
      </c>
      <c r="AV2643" s="0" t="n">
        <f aca="false">COUNTIF($BA$1116:$EH$1116,"D")</f>
        <v>0</v>
      </c>
      <c r="AW2643" s="0" t="n">
        <f aca="false">COUNTIF($BA$1116:$EH$1116,"R")</f>
        <v>0</v>
      </c>
      <c r="AX2643" s="0" t="n">
        <f aca="false">IF(BN2643="D",1,0)+IF(BO2643="D",1,0)+IF(BT2643="D",1,0)+IF(BU2643="D",1,0)+IF(BW2643="D",1,0)+IF(CC2643="D",1,0)+IF(CD2643="D",1,0)+IF(CE2643="D",1,0)+IF(CF2643="D",1,0)+IF(CL2643="D",1,0)+IF(CM2643="D",1,0)+IF(CQ2643="D",1,0)+IF(CR2643="D",1,0)+IF(CS2643="D",1,0)+IF(CW2643="D",1,0)+IF(CX2643="D",1,0)+IF(DD2643="D",1,0)+IF(DE2643="D",1,0)+IF(DJ2643="D",1,0)+IF(DK2643="D",1,0)+IF(DO2643="D",1,0)+IF(DP2643="D",1,0)+IF(DQ2643="D",1,0)+IF(DW2643="D",1,0)+IF(DZ2643="D",1,0)+IF(EH2643="D",1,0)</f>
        <v>0</v>
      </c>
      <c r="AY2643" s="0" t="n">
        <f aca="false">COUNTIF(DU2643:EH2643, "&lt;&gt;")</f>
        <v>0</v>
      </c>
      <c r="AZ2643" s="0" t="n">
        <f aca="false">IF(EH2643&lt;&gt;"",1,0)</f>
        <v>0</v>
      </c>
      <c r="BB2643" s="0" t="s">
        <v>153</v>
      </c>
    </row>
    <row r="2644" customFormat="false" ht="13.8" hidden="false" customHeight="false" outlineLevel="0" collapsed="false">
      <c r="A2644" s="0" t="s">
        <v>11312</v>
      </c>
      <c r="B2644" s="0" t="n">
        <v>78</v>
      </c>
      <c r="C2644" s="0" t="n">
        <v>389532</v>
      </c>
      <c r="D2644" s="0" t="s">
        <v>1461</v>
      </c>
      <c r="E2644" s="0" t="s">
        <v>2298</v>
      </c>
      <c r="F2644" s="0" t="str">
        <f aca="false">CONCATENATE(D2644," ",LEFT(H2644,4),"T=",AU2644,"D=",AV2644,"R=",AW2644,"M=",AX2644,"L=",AY2644,"B=",AZ2644)</f>
        <v>MYERS T=30D=3R=0M=5L=7B=1</v>
      </c>
      <c r="G2644" s="0" t="s">
        <v>455</v>
      </c>
      <c r="I2644" s="0" t="s">
        <v>11313</v>
      </c>
      <c r="J2644" s="0" t="s">
        <v>3948</v>
      </c>
      <c r="K2644" s="0" t="s">
        <v>175</v>
      </c>
      <c r="L2644" s="1" t="s">
        <v>155</v>
      </c>
      <c r="M2644" s="0" t="s">
        <v>11314</v>
      </c>
      <c r="N2644" s="0" t="str">
        <f aca="false">RIGHT(M2644,LEN(M2644)-FIND(" ",M2644))</f>
        <v>VERNON AVE NW</v>
      </c>
      <c r="P2644" s="0" t="s">
        <v>146</v>
      </c>
      <c r="Q2644" s="0" t="s">
        <v>147</v>
      </c>
      <c r="R2644" s="0" t="n">
        <v>44483</v>
      </c>
      <c r="AD2644" s="0" t="s">
        <v>148</v>
      </c>
      <c r="AE2644" s="0" t="s">
        <v>149</v>
      </c>
      <c r="AF2644" s="0" t="s">
        <v>150</v>
      </c>
      <c r="AH2644" s="0" t="n">
        <v>14</v>
      </c>
      <c r="AI2644" s="0" t="n">
        <v>11</v>
      </c>
      <c r="AN2644" s="0" t="s">
        <v>146</v>
      </c>
      <c r="AO2644" s="0" t="s">
        <v>151</v>
      </c>
      <c r="AP2644" s="0" t="s">
        <v>152</v>
      </c>
      <c r="AQ2644" s="0" t="n">
        <v>9</v>
      </c>
      <c r="AR2644" s="0" t="n">
        <v>64</v>
      </c>
      <c r="AS2644" s="0" t="n">
        <v>32</v>
      </c>
      <c r="AU2644" s="0" t="n">
        <f aca="false">COUNTA($BA$1808:$EH$1808)</f>
        <v>30</v>
      </c>
      <c r="AV2644" s="0" t="n">
        <f aca="false">COUNTIF($BA$1808:$EH$1808,"D")</f>
        <v>3</v>
      </c>
      <c r="AW2644" s="0" t="n">
        <f aca="false">COUNTIF($BA$1808:$EH$1808,"R")</f>
        <v>0</v>
      </c>
      <c r="AX2644" s="0" t="n">
        <f aca="false">IF(BN2644="D",1,0)+IF(BO2644="D",1,0)+IF(BT2644="D",1,0)+IF(BU2644="D",1,0)+IF(BW2644="D",1,0)+IF(CC2644="D",1,0)+IF(CD2644="D",1,0)+IF(CE2644="D",1,0)+IF(CF2644="D",1,0)+IF(CL2644="D",1,0)+IF(CM2644="D",1,0)+IF(CQ2644="D",1,0)+IF(CR2644="D",1,0)+IF(CS2644="D",1,0)+IF(CW2644="D",1,0)+IF(CX2644="D",1,0)+IF(DD2644="D",1,0)+IF(DE2644="D",1,0)+IF(DJ2644="D",1,0)+IF(DK2644="D",1,0)+IF(DO2644="D",1,0)+IF(DP2644="D",1,0)+IF(DQ2644="D",1,0)+IF(DW2644="D",1,0)+IF(DZ2644="D",1,0)+IF(EH2644="D",1,0)</f>
        <v>5</v>
      </c>
      <c r="AY2644" s="0" t="n">
        <f aca="false">COUNTIF(DU2644:EH2644, "&lt;&gt;")</f>
        <v>7</v>
      </c>
      <c r="AZ2644" s="0" t="n">
        <f aca="false">IF(EH2644&lt;&gt;"",1,0)</f>
        <v>1</v>
      </c>
      <c r="BB2644" s="0" t="s">
        <v>153</v>
      </c>
      <c r="CP2644" s="0" t="s">
        <v>154</v>
      </c>
      <c r="CV2644" s="0" t="s">
        <v>154</v>
      </c>
      <c r="CY2644" s="0" t="s">
        <v>154</v>
      </c>
      <c r="CZ2644" s="0" t="s">
        <v>176</v>
      </c>
      <c r="DC2644" s="0" t="s">
        <v>154</v>
      </c>
      <c r="DD2644" s="0" t="s">
        <v>155</v>
      </c>
      <c r="DF2644" s="0" t="s">
        <v>154</v>
      </c>
      <c r="DG2644" s="0" t="s">
        <v>176</v>
      </c>
      <c r="DI2644" s="0" t="s">
        <v>154</v>
      </c>
      <c r="DJ2644" s="0" t="s">
        <v>155</v>
      </c>
      <c r="DL2644" s="0" t="s">
        <v>154</v>
      </c>
      <c r="DM2644" s="0" t="s">
        <v>176</v>
      </c>
      <c r="DN2644" s="0" t="s">
        <v>154</v>
      </c>
      <c r="DO2644" s="0" t="s">
        <v>155</v>
      </c>
      <c r="DR2644" s="0" t="s">
        <v>154</v>
      </c>
      <c r="DS2644" s="0" t="s">
        <v>176</v>
      </c>
      <c r="DT2644" s="0" t="s">
        <v>176</v>
      </c>
      <c r="DU2644" s="0" t="s">
        <v>154</v>
      </c>
      <c r="DW2644" s="0" t="s">
        <v>155</v>
      </c>
      <c r="DX2644" s="0" t="s">
        <v>154</v>
      </c>
      <c r="EA2644" s="0" t="s">
        <v>154</v>
      </c>
      <c r="ED2644" s="0" t="s">
        <v>176</v>
      </c>
      <c r="EF2644" s="0" t="s">
        <v>154</v>
      </c>
      <c r="EH2644" s="0" t="s">
        <v>155</v>
      </c>
    </row>
    <row r="2645" customFormat="false" ht="13.8" hidden="false" customHeight="false" outlineLevel="0" collapsed="false">
      <c r="A2645" s="0" t="s">
        <v>11315</v>
      </c>
      <c r="B2645" s="0" t="n">
        <v>78</v>
      </c>
      <c r="C2645" s="0" t="n">
        <v>127357</v>
      </c>
      <c r="D2645" s="0" t="s">
        <v>1461</v>
      </c>
      <c r="E2645" s="0" t="s">
        <v>1545</v>
      </c>
      <c r="F2645" s="0" t="str">
        <f aca="false">CONCATENATE(D2645," ",LEFT(H2645,4),"T=",AU2645,"D=",AV2645,"R=",AW2645,"M=",AX2645,"L=",AY2645,"B=",AZ2645)</f>
        <v>MYERS T=7D=1R=0M=6L=7B=1</v>
      </c>
      <c r="G2645" s="0" t="s">
        <v>292</v>
      </c>
      <c r="I2645" s="0" t="s">
        <v>11316</v>
      </c>
      <c r="J2645" s="0" t="s">
        <v>3948</v>
      </c>
      <c r="K2645" s="0" t="s">
        <v>175</v>
      </c>
      <c r="L2645" s="1" t="s">
        <v>155</v>
      </c>
      <c r="M2645" s="0" t="s">
        <v>11314</v>
      </c>
      <c r="N2645" s="0" t="str">
        <f aca="false">RIGHT(M2645,LEN(M2645)-FIND(" ",M2645))</f>
        <v>VERNON AVE NW</v>
      </c>
      <c r="P2645" s="0" t="s">
        <v>146</v>
      </c>
      <c r="Q2645" s="0" t="s">
        <v>147</v>
      </c>
      <c r="R2645" s="0" t="n">
        <v>44483</v>
      </c>
      <c r="AD2645" s="0" t="s">
        <v>148</v>
      </c>
      <c r="AE2645" s="0" t="s">
        <v>149</v>
      </c>
      <c r="AF2645" s="0" t="s">
        <v>150</v>
      </c>
      <c r="AH2645" s="0" t="n">
        <v>14</v>
      </c>
      <c r="AI2645" s="0" t="n">
        <v>11</v>
      </c>
      <c r="AN2645" s="0" t="s">
        <v>146</v>
      </c>
      <c r="AO2645" s="0" t="s">
        <v>151</v>
      </c>
      <c r="AP2645" s="0" t="s">
        <v>152</v>
      </c>
      <c r="AQ2645" s="0" t="n">
        <v>9</v>
      </c>
      <c r="AR2645" s="0" t="n">
        <v>64</v>
      </c>
      <c r="AS2645" s="0" t="n">
        <v>32</v>
      </c>
      <c r="AU2645" s="0" t="n">
        <f aca="false">COUNTA($BA$1814:$EH$1814)</f>
        <v>7</v>
      </c>
      <c r="AV2645" s="0" t="n">
        <f aca="false">COUNTIF($BA$1814:$EH$1814,"D")</f>
        <v>1</v>
      </c>
      <c r="AW2645" s="0" t="n">
        <f aca="false">COUNTIF($BA$1814:$EH$1814,"R")</f>
        <v>0</v>
      </c>
      <c r="AX2645" s="0" t="n">
        <f aca="false">IF(BN2645="D",1,0)+IF(BO2645="D",1,0)+IF(BT2645="D",1,0)+IF(BU2645="D",1,0)+IF(BW2645="D",1,0)+IF(CC2645="D",1,0)+IF(CD2645="D",1,0)+IF(CE2645="D",1,0)+IF(CF2645="D",1,0)+IF(CL2645="D",1,0)+IF(CM2645="D",1,0)+IF(CQ2645="D",1,0)+IF(CR2645="D",1,0)+IF(CS2645="D",1,0)+IF(CW2645="D",1,0)+IF(CX2645="D",1,0)+IF(DD2645="D",1,0)+IF(DE2645="D",1,0)+IF(DJ2645="D",1,0)+IF(DK2645="D",1,0)+IF(DO2645="D",1,0)+IF(DP2645="D",1,0)+IF(DQ2645="D",1,0)+IF(DW2645="D",1,0)+IF(DZ2645="D",1,0)+IF(EH2645="D",1,0)</f>
        <v>6</v>
      </c>
      <c r="AY2645" s="0" t="n">
        <f aca="false">COUNTIF(DU2645:EH2645, "&lt;&gt;")</f>
        <v>7</v>
      </c>
      <c r="AZ2645" s="0" t="n">
        <f aca="false">IF(EH2645&lt;&gt;"",1,0)</f>
        <v>1</v>
      </c>
      <c r="BB2645" s="0" t="s">
        <v>153</v>
      </c>
      <c r="BC2645" s="0" t="s">
        <v>154</v>
      </c>
      <c r="BD2645" s="0" t="s">
        <v>154</v>
      </c>
      <c r="BE2645" s="0" t="s">
        <v>154</v>
      </c>
      <c r="BF2645" s="0" t="s">
        <v>154</v>
      </c>
      <c r="BG2645" s="0" t="s">
        <v>154</v>
      </c>
      <c r="BH2645" s="0" t="s">
        <v>154</v>
      </c>
      <c r="BI2645" s="0" t="s">
        <v>154</v>
      </c>
      <c r="BJ2645" s="0" t="s">
        <v>154</v>
      </c>
      <c r="BK2645" s="0" t="s">
        <v>154</v>
      </c>
      <c r="BL2645" s="0" t="s">
        <v>154</v>
      </c>
      <c r="BP2645" s="0" t="s">
        <v>154</v>
      </c>
      <c r="BR2645" s="0" t="s">
        <v>154</v>
      </c>
      <c r="BS2645" s="0" t="s">
        <v>154</v>
      </c>
      <c r="BV2645" s="0" t="s">
        <v>154</v>
      </c>
      <c r="CA2645" s="0" t="s">
        <v>154</v>
      </c>
      <c r="CG2645" s="0" t="s">
        <v>154</v>
      </c>
      <c r="CH2645" s="0" t="s">
        <v>176</v>
      </c>
      <c r="CK2645" s="0" t="s">
        <v>154</v>
      </c>
      <c r="CN2645" s="0" t="s">
        <v>154</v>
      </c>
      <c r="CO2645" s="0" t="s">
        <v>176</v>
      </c>
      <c r="CP2645" s="0" t="s">
        <v>154</v>
      </c>
      <c r="CQ2645" s="0" t="s">
        <v>154</v>
      </c>
      <c r="CT2645" s="0" t="s">
        <v>154</v>
      </c>
      <c r="CU2645" s="0" t="s">
        <v>176</v>
      </c>
      <c r="CV2645" s="0" t="s">
        <v>154</v>
      </c>
      <c r="CW2645" s="0" t="s">
        <v>155</v>
      </c>
      <c r="CY2645" s="0" t="s">
        <v>154</v>
      </c>
      <c r="CZ2645" s="0" t="s">
        <v>176</v>
      </c>
      <c r="DC2645" s="0" t="s">
        <v>154</v>
      </c>
      <c r="DD2645" s="0" t="s">
        <v>155</v>
      </c>
      <c r="DF2645" s="0" t="s">
        <v>154</v>
      </c>
      <c r="DG2645" s="0" t="s">
        <v>176</v>
      </c>
      <c r="DI2645" s="0" t="s">
        <v>154</v>
      </c>
      <c r="DJ2645" s="0" t="s">
        <v>155</v>
      </c>
      <c r="DL2645" s="0" t="s">
        <v>154</v>
      </c>
      <c r="DM2645" s="0" t="s">
        <v>176</v>
      </c>
      <c r="DN2645" s="0" t="s">
        <v>154</v>
      </c>
      <c r="DO2645" s="0" t="s">
        <v>155</v>
      </c>
      <c r="DR2645" s="0" t="s">
        <v>154</v>
      </c>
      <c r="DS2645" s="0" t="s">
        <v>176</v>
      </c>
      <c r="DT2645" s="0" t="s">
        <v>176</v>
      </c>
      <c r="DU2645" s="0" t="s">
        <v>154</v>
      </c>
      <c r="DW2645" s="0" t="s">
        <v>155</v>
      </c>
      <c r="DX2645" s="0" t="s">
        <v>154</v>
      </c>
      <c r="EA2645" s="0" t="s">
        <v>154</v>
      </c>
      <c r="ED2645" s="0" t="s">
        <v>176</v>
      </c>
      <c r="EF2645" s="0" t="s">
        <v>154</v>
      </c>
      <c r="EH2645" s="0" t="s">
        <v>155</v>
      </c>
    </row>
    <row r="2646" customFormat="false" ht="13.8" hidden="false" customHeight="false" outlineLevel="0" collapsed="false">
      <c r="A2646" s="0" t="s">
        <v>11317</v>
      </c>
      <c r="B2646" s="0" t="n">
        <v>78</v>
      </c>
      <c r="C2646" s="0" t="n">
        <v>330805</v>
      </c>
      <c r="D2646" s="0" t="s">
        <v>11318</v>
      </c>
      <c r="E2646" s="0" t="s">
        <v>1179</v>
      </c>
      <c r="F2646" s="0" t="str">
        <f aca="false">CONCATENATE(D2646," ",LEFT(H2646,4),"T=",AU2646,"D=",AV2646,"R=",AW2646,"M=",AX2646,"L=",AY2646,"B=",AZ2646)</f>
        <v>BAYLEY T=19D=1R=1M=1L=2B=0</v>
      </c>
      <c r="G2646" s="0" t="s">
        <v>196</v>
      </c>
      <c r="I2646" s="0" t="s">
        <v>11319</v>
      </c>
      <c r="J2646" s="0" t="s">
        <v>11320</v>
      </c>
      <c r="K2646" s="0" t="s">
        <v>175</v>
      </c>
      <c r="M2646" s="0" t="s">
        <v>11321</v>
      </c>
      <c r="N2646" s="0" t="str">
        <f aca="false">RIGHT(M2646,LEN(M2646)-FIND(" ",M2646))</f>
        <v>VERNON AVE NW</v>
      </c>
      <c r="P2646" s="0" t="s">
        <v>146</v>
      </c>
      <c r="Q2646" s="0" t="s">
        <v>147</v>
      </c>
      <c r="R2646" s="0" t="n">
        <v>44483</v>
      </c>
      <c r="AD2646" s="0" t="s">
        <v>148</v>
      </c>
      <c r="AE2646" s="0" t="s">
        <v>149</v>
      </c>
      <c r="AF2646" s="0" t="s">
        <v>150</v>
      </c>
      <c r="AH2646" s="0" t="n">
        <v>14</v>
      </c>
      <c r="AI2646" s="0" t="n">
        <v>11</v>
      </c>
      <c r="AN2646" s="0" t="s">
        <v>146</v>
      </c>
      <c r="AO2646" s="0" t="s">
        <v>151</v>
      </c>
      <c r="AP2646" s="0" t="s">
        <v>152</v>
      </c>
      <c r="AQ2646" s="0" t="n">
        <v>9</v>
      </c>
      <c r="AR2646" s="0" t="n">
        <v>64</v>
      </c>
      <c r="AS2646" s="0" t="n">
        <v>32</v>
      </c>
      <c r="AU2646" s="0" t="n">
        <f aca="false">COUNTA($BA$1278:$EH$1278)</f>
        <v>19</v>
      </c>
      <c r="AV2646" s="0" t="n">
        <f aca="false">COUNTIF($BA$1278:$EH$1278,"D")</f>
        <v>1</v>
      </c>
      <c r="AW2646" s="0" t="n">
        <f aca="false">COUNTIF($BA$1278:$EH$1278,"R")</f>
        <v>1</v>
      </c>
      <c r="AX2646" s="0" t="n">
        <f aca="false">IF(BN2646="D",1,0)+IF(BO2646="D",1,0)+IF(BT2646="D",1,0)+IF(BU2646="D",1,0)+IF(BW2646="D",1,0)+IF(CC2646="D",1,0)+IF(CD2646="D",1,0)+IF(CE2646="D",1,0)+IF(CF2646="D",1,0)+IF(CL2646="D",1,0)+IF(CM2646="D",1,0)+IF(CQ2646="D",1,0)+IF(CR2646="D",1,0)+IF(CS2646="D",1,0)+IF(CW2646="D",1,0)+IF(CX2646="D",1,0)+IF(DD2646="D",1,0)+IF(DE2646="D",1,0)+IF(DJ2646="D",1,0)+IF(DK2646="D",1,0)+IF(DO2646="D",1,0)+IF(DP2646="D",1,0)+IF(DQ2646="D",1,0)+IF(DW2646="D",1,0)+IF(DZ2646="D",1,0)+IF(EH2646="D",1,0)</f>
        <v>1</v>
      </c>
      <c r="AY2646" s="0" t="n">
        <f aca="false">COUNTIF(DU2646:EH2646, "&lt;&gt;")</f>
        <v>2</v>
      </c>
      <c r="AZ2646" s="0" t="n">
        <f aca="false">IF(EH2646&lt;&gt;"",1,0)</f>
        <v>0</v>
      </c>
      <c r="BB2646" s="0" t="s">
        <v>153</v>
      </c>
      <c r="BL2646" s="0" t="s">
        <v>154</v>
      </c>
      <c r="CA2646" s="0" t="s">
        <v>154</v>
      </c>
      <c r="CL2646" s="0" t="s">
        <v>155</v>
      </c>
      <c r="CP2646" s="0" t="s">
        <v>154</v>
      </c>
      <c r="CY2646" s="0" t="s">
        <v>154</v>
      </c>
      <c r="DC2646" s="0" t="s">
        <v>154</v>
      </c>
      <c r="DN2646" s="0" t="s">
        <v>154</v>
      </c>
      <c r="EA2646" s="0" t="s">
        <v>154</v>
      </c>
      <c r="EF2646" s="0" t="s">
        <v>154</v>
      </c>
    </row>
    <row r="2647" customFormat="false" ht="13.8" hidden="false" customHeight="false" outlineLevel="0" collapsed="false">
      <c r="A2647" s="0" t="s">
        <v>11322</v>
      </c>
      <c r="B2647" s="0" t="n">
        <v>78</v>
      </c>
      <c r="C2647" s="0" t="n">
        <v>322946</v>
      </c>
      <c r="D2647" s="0" t="s">
        <v>11318</v>
      </c>
      <c r="E2647" s="0" t="s">
        <v>3032</v>
      </c>
      <c r="F2647" s="0" t="str">
        <f aca="false">CONCATENATE(D2647," ",LEFT(H2647,4),"T=",AU2647,"D=",AV2647,"R=",AW2647,"M=",AX2647,"L=",AY2647,"B=",AZ2647)</f>
        <v>BAYLEY T=32D=5R=0M=1L=2B=0</v>
      </c>
      <c r="G2647" s="0" t="s">
        <v>2187</v>
      </c>
      <c r="I2647" s="0" t="s">
        <v>11323</v>
      </c>
      <c r="J2647" s="0" t="s">
        <v>1009</v>
      </c>
      <c r="K2647" s="0" t="s">
        <v>175</v>
      </c>
      <c r="M2647" s="0" t="s">
        <v>11321</v>
      </c>
      <c r="N2647" s="0" t="str">
        <f aca="false">RIGHT(M2647,LEN(M2647)-FIND(" ",M2647))</f>
        <v>VERNON AVE NW</v>
      </c>
      <c r="P2647" s="0" t="s">
        <v>146</v>
      </c>
      <c r="Q2647" s="0" t="s">
        <v>147</v>
      </c>
      <c r="R2647" s="0" t="n">
        <v>44483</v>
      </c>
      <c r="AD2647" s="0" t="s">
        <v>148</v>
      </c>
      <c r="AE2647" s="0" t="s">
        <v>149</v>
      </c>
      <c r="AF2647" s="0" t="s">
        <v>150</v>
      </c>
      <c r="AH2647" s="0" t="n">
        <v>14</v>
      </c>
      <c r="AI2647" s="0" t="n">
        <v>11</v>
      </c>
      <c r="AN2647" s="0" t="s">
        <v>146</v>
      </c>
      <c r="AO2647" s="0" t="s">
        <v>151</v>
      </c>
      <c r="AP2647" s="0" t="s">
        <v>152</v>
      </c>
      <c r="AQ2647" s="0" t="n">
        <v>9</v>
      </c>
      <c r="AR2647" s="0" t="n">
        <v>64</v>
      </c>
      <c r="AS2647" s="0" t="n">
        <v>32</v>
      </c>
      <c r="AU2647" s="0" t="n">
        <f aca="false">COUNTA($BA$1321:$EH$1321)</f>
        <v>32</v>
      </c>
      <c r="AV2647" s="0" t="n">
        <f aca="false">COUNTIF($BA$1321:$EH$1321,"D")</f>
        <v>5</v>
      </c>
      <c r="AW2647" s="0" t="n">
        <f aca="false">COUNTIF($BA$1321:$EH$1321,"R")</f>
        <v>0</v>
      </c>
      <c r="AX2647" s="0" t="n">
        <f aca="false">IF(BN2647="D",1,0)+IF(BO2647="D",1,0)+IF(BT2647="D",1,0)+IF(BU2647="D",1,0)+IF(BW2647="D",1,0)+IF(CC2647="D",1,0)+IF(CD2647="D",1,0)+IF(CE2647="D",1,0)+IF(CF2647="D",1,0)+IF(CL2647="D",1,0)+IF(CM2647="D",1,0)+IF(CQ2647="D",1,0)+IF(CR2647="D",1,0)+IF(CS2647="D",1,0)+IF(CW2647="D",1,0)+IF(CX2647="D",1,0)+IF(DD2647="D",1,0)+IF(DE2647="D",1,0)+IF(DJ2647="D",1,0)+IF(DK2647="D",1,0)+IF(DO2647="D",1,0)+IF(DP2647="D",1,0)+IF(DQ2647="D",1,0)+IF(DW2647="D",1,0)+IF(DZ2647="D",1,0)+IF(EH2647="D",1,0)</f>
        <v>1</v>
      </c>
      <c r="AY2647" s="0" t="n">
        <f aca="false">COUNTIF(DU2647:EH2647, "&lt;&gt;")</f>
        <v>2</v>
      </c>
      <c r="AZ2647" s="0" t="n">
        <f aca="false">IF(EH2647&lt;&gt;"",1,0)</f>
        <v>0</v>
      </c>
      <c r="BB2647" s="0" t="s">
        <v>153</v>
      </c>
      <c r="BL2647" s="0" t="s">
        <v>154</v>
      </c>
      <c r="CA2647" s="0" t="s">
        <v>154</v>
      </c>
      <c r="CN2647" s="0" t="s">
        <v>154</v>
      </c>
      <c r="CP2647" s="0" t="s">
        <v>154</v>
      </c>
      <c r="CQ2647" s="0" t="s">
        <v>155</v>
      </c>
      <c r="CT2647" s="0" t="s">
        <v>154</v>
      </c>
      <c r="CY2647" s="0" t="s">
        <v>154</v>
      </c>
      <c r="DN2647" s="0" t="s">
        <v>154</v>
      </c>
      <c r="EA2647" s="0" t="s">
        <v>154</v>
      </c>
      <c r="EF2647" s="0" t="s">
        <v>154</v>
      </c>
    </row>
    <row r="2648" customFormat="false" ht="13.8" hidden="true" customHeight="false" outlineLevel="0" collapsed="false">
      <c r="A2648" s="0" t="s">
        <v>11324</v>
      </c>
      <c r="B2648" s="0" t="n">
        <v>78</v>
      </c>
      <c r="C2648" s="0" t="n">
        <v>489261</v>
      </c>
      <c r="D2648" s="0" t="s">
        <v>11325</v>
      </c>
      <c r="E2648" s="0" t="s">
        <v>2121</v>
      </c>
      <c r="F2648" s="0" t="str">
        <f aca="false">CONCATENATE(D2648," ",LEFT(H2648,4),"T=",AU2648,"D=",AV2648,"R=",AW2648,"M=",AX2648,"L=",AY2648,"B=",AZ2648)</f>
        <v>GLAESER T=3D=0R=0M=0L=1B=0</v>
      </c>
      <c r="G2648" s="0" t="s">
        <v>172</v>
      </c>
      <c r="I2648" s="0" t="s">
        <v>10178</v>
      </c>
      <c r="J2648" s="0" t="s">
        <v>1755</v>
      </c>
      <c r="K2648" s="0" t="s">
        <v>175</v>
      </c>
      <c r="L2648" s="0"/>
      <c r="M2648" s="0" t="s">
        <v>11326</v>
      </c>
      <c r="N2648" s="0" t="str">
        <f aca="false">RIGHT(M2648,LEN(M2648)-FIND(" ",M2648))</f>
        <v>VERNON AVE NW</v>
      </c>
      <c r="P2648" s="0" t="s">
        <v>146</v>
      </c>
      <c r="Q2648" s="0" t="s">
        <v>147</v>
      </c>
      <c r="R2648" s="0" t="n">
        <v>44483</v>
      </c>
      <c r="AD2648" s="0" t="s">
        <v>148</v>
      </c>
      <c r="AE2648" s="0" t="s">
        <v>149</v>
      </c>
      <c r="AF2648" s="0" t="s">
        <v>150</v>
      </c>
      <c r="AH2648" s="0" t="n">
        <v>14</v>
      </c>
      <c r="AI2648" s="0" t="n">
        <v>11</v>
      </c>
      <c r="AN2648" s="0" t="s">
        <v>146</v>
      </c>
      <c r="AO2648" s="0" t="s">
        <v>151</v>
      </c>
      <c r="AP2648" s="0" t="s">
        <v>152</v>
      </c>
      <c r="AQ2648" s="0" t="n">
        <v>9</v>
      </c>
      <c r="AR2648" s="0" t="n">
        <v>64</v>
      </c>
      <c r="AS2648" s="0" t="n">
        <v>32</v>
      </c>
      <c r="AU2648" s="0" t="n">
        <f aca="false">COUNTA($BA$1472:$EH$1472)</f>
        <v>3</v>
      </c>
      <c r="AV2648" s="0" t="n">
        <f aca="false">COUNTIF($BA$1472:$EH$1472,"D")</f>
        <v>0</v>
      </c>
      <c r="AW2648" s="0" t="n">
        <f aca="false">COUNTIF($BA$1472:$EH$1472,"R")</f>
        <v>0</v>
      </c>
      <c r="AX2648" s="0" t="n">
        <f aca="false">IF(BN2648="D",1,0)+IF(BO2648="D",1,0)+IF(BT2648="D",1,0)+IF(BU2648="D",1,0)+IF(BW2648="D",1,0)+IF(CC2648="D",1,0)+IF(CD2648="D",1,0)+IF(CE2648="D",1,0)+IF(CF2648="D",1,0)+IF(CL2648="D",1,0)+IF(CM2648="D",1,0)+IF(CQ2648="D",1,0)+IF(CR2648="D",1,0)+IF(CS2648="D",1,0)+IF(CW2648="D",1,0)+IF(CX2648="D",1,0)+IF(DD2648="D",1,0)+IF(DE2648="D",1,0)+IF(DJ2648="D",1,0)+IF(DK2648="D",1,0)+IF(DO2648="D",1,0)+IF(DP2648="D",1,0)+IF(DQ2648="D",1,0)+IF(DW2648="D",1,0)+IF(DZ2648="D",1,0)+IF(EH2648="D",1,0)</f>
        <v>0</v>
      </c>
      <c r="AY2648" s="0" t="n">
        <f aca="false">COUNTIF(DU2648:EH2648, "&lt;&gt;")</f>
        <v>1</v>
      </c>
      <c r="AZ2648" s="0" t="n">
        <f aca="false">IF(EH2648&lt;&gt;"",1,0)</f>
        <v>0</v>
      </c>
      <c r="BB2648" s="0" t="s">
        <v>153</v>
      </c>
      <c r="CA2648" s="0" t="s">
        <v>154</v>
      </c>
      <c r="EF2648" s="0" t="s">
        <v>154</v>
      </c>
    </row>
    <row r="2649" customFormat="false" ht="13.8" hidden="false" customHeight="false" outlineLevel="0" collapsed="false">
      <c r="A2649" s="0" t="s">
        <v>11327</v>
      </c>
      <c r="B2649" s="0" t="n">
        <v>78</v>
      </c>
      <c r="C2649" s="0" t="n">
        <v>278761</v>
      </c>
      <c r="D2649" s="0" t="s">
        <v>1169</v>
      </c>
      <c r="E2649" s="0" t="s">
        <v>1545</v>
      </c>
      <c r="F2649" s="0" t="str">
        <f aca="false">CONCATENATE(D2649," ",LEFT(H2649,4),"T=",AU2649,"D=",AV2649,"R=",AW2649,"M=",AX2649,"L=",AY2649,"B=",AZ2649)</f>
        <v>CLAYTON T=32D=7R=0M=2L=5B=0</v>
      </c>
      <c r="G2649" s="0" t="s">
        <v>166</v>
      </c>
      <c r="I2649" s="0" t="s">
        <v>11328</v>
      </c>
      <c r="J2649" s="0" t="s">
        <v>11329</v>
      </c>
      <c r="K2649" s="0" t="s">
        <v>175</v>
      </c>
      <c r="L2649" s="1" t="s">
        <v>176</v>
      </c>
      <c r="M2649" s="0" t="s">
        <v>11330</v>
      </c>
      <c r="N2649" s="0" t="str">
        <f aca="false">RIGHT(M2649,LEN(M2649)-FIND(" ",M2649))</f>
        <v>VERNON AVE NW</v>
      </c>
      <c r="P2649" s="0" t="s">
        <v>146</v>
      </c>
      <c r="Q2649" s="0" t="s">
        <v>147</v>
      </c>
      <c r="R2649" s="0" t="n">
        <v>44483</v>
      </c>
      <c r="AD2649" s="0" t="s">
        <v>148</v>
      </c>
      <c r="AE2649" s="0" t="s">
        <v>149</v>
      </c>
      <c r="AF2649" s="0" t="s">
        <v>150</v>
      </c>
      <c r="AH2649" s="0" t="n">
        <v>14</v>
      </c>
      <c r="AI2649" s="0" t="n">
        <v>11</v>
      </c>
      <c r="AN2649" s="0" t="s">
        <v>146</v>
      </c>
      <c r="AO2649" s="0" t="s">
        <v>151</v>
      </c>
      <c r="AP2649" s="0" t="s">
        <v>152</v>
      </c>
      <c r="AQ2649" s="0" t="n">
        <v>9</v>
      </c>
      <c r="AR2649" s="0" t="n">
        <v>64</v>
      </c>
      <c r="AS2649" s="0" t="n">
        <v>32</v>
      </c>
      <c r="AU2649" s="0" t="n">
        <f aca="false">COUNTA($BA$1342:$EH$1342)</f>
        <v>32</v>
      </c>
      <c r="AV2649" s="0" t="n">
        <f aca="false">COUNTIF($BA$1342:$EH$1342,"D")</f>
        <v>7</v>
      </c>
      <c r="AW2649" s="0" t="n">
        <f aca="false">COUNTIF($BA$1342:$EH$1342,"R")</f>
        <v>0</v>
      </c>
      <c r="AX2649" s="0" t="n">
        <f aca="false">IF(BN2649="D",1,0)+IF(BO2649="D",1,0)+IF(BT2649="D",1,0)+IF(BU2649="D",1,0)+IF(BW2649="D",1,0)+IF(CC2649="D",1,0)+IF(CD2649="D",1,0)+IF(CE2649="D",1,0)+IF(CF2649="D",1,0)+IF(CL2649="D",1,0)+IF(CM2649="D",1,0)+IF(CQ2649="D",1,0)+IF(CR2649="D",1,0)+IF(CS2649="D",1,0)+IF(CW2649="D",1,0)+IF(CX2649="D",1,0)+IF(DD2649="D",1,0)+IF(DE2649="D",1,0)+IF(DJ2649="D",1,0)+IF(DK2649="D",1,0)+IF(DO2649="D",1,0)+IF(DP2649="D",1,0)+IF(DQ2649="D",1,0)+IF(DW2649="D",1,0)+IF(DZ2649="D",1,0)+IF(EH2649="D",1,0)</f>
        <v>2</v>
      </c>
      <c r="AY2649" s="0" t="n">
        <f aca="false">COUNTIF(DU2649:EH2649, "&lt;&gt;")</f>
        <v>5</v>
      </c>
      <c r="AZ2649" s="0" t="n">
        <f aca="false">IF(EH2649&lt;&gt;"",1,0)</f>
        <v>0</v>
      </c>
      <c r="BB2649" s="0" t="s">
        <v>153</v>
      </c>
      <c r="BC2649" s="0" t="s">
        <v>154</v>
      </c>
      <c r="BD2649" s="0" t="s">
        <v>154</v>
      </c>
      <c r="BE2649" s="0" t="s">
        <v>154</v>
      </c>
      <c r="BF2649" s="0" t="s">
        <v>154</v>
      </c>
      <c r="BG2649" s="0" t="s">
        <v>154</v>
      </c>
      <c r="BH2649" s="0" t="s">
        <v>154</v>
      </c>
      <c r="BI2649" s="0" t="s">
        <v>154</v>
      </c>
      <c r="BJ2649" s="0" t="s">
        <v>154</v>
      </c>
      <c r="BK2649" s="0" t="s">
        <v>154</v>
      </c>
      <c r="BL2649" s="0" t="s">
        <v>154</v>
      </c>
      <c r="BP2649" s="0" t="s">
        <v>154</v>
      </c>
      <c r="BS2649" s="0" t="s">
        <v>154</v>
      </c>
      <c r="BY2649" s="0" t="s">
        <v>155</v>
      </c>
      <c r="CA2649" s="0" t="s">
        <v>154</v>
      </c>
      <c r="CG2649" s="0" t="s">
        <v>154</v>
      </c>
      <c r="CH2649" s="0" t="s">
        <v>155</v>
      </c>
      <c r="CK2649" s="0" t="s">
        <v>154</v>
      </c>
      <c r="CN2649" s="0" t="s">
        <v>154</v>
      </c>
      <c r="CP2649" s="0" t="s">
        <v>154</v>
      </c>
      <c r="CQ2649" s="0" t="s">
        <v>155</v>
      </c>
      <c r="CU2649" s="0" t="s">
        <v>155</v>
      </c>
      <c r="CV2649" s="0" t="s">
        <v>154</v>
      </c>
      <c r="CY2649" s="0" t="s">
        <v>154</v>
      </c>
      <c r="DC2649" s="0" t="s">
        <v>154</v>
      </c>
      <c r="DD2649" s="0" t="s">
        <v>155</v>
      </c>
      <c r="DF2649" s="0" t="s">
        <v>154</v>
      </c>
      <c r="DI2649" s="0" t="s">
        <v>154</v>
      </c>
      <c r="DL2649" s="0" t="s">
        <v>154</v>
      </c>
      <c r="DN2649" s="0" t="s">
        <v>154</v>
      </c>
      <c r="DU2649" s="0" t="s">
        <v>154</v>
      </c>
      <c r="DX2649" s="0" t="s">
        <v>154</v>
      </c>
      <c r="EA2649" s="0" t="s">
        <v>154</v>
      </c>
      <c r="ED2649" s="0" t="s">
        <v>176</v>
      </c>
      <c r="EF2649" s="0" t="s">
        <v>154</v>
      </c>
    </row>
    <row r="2650" customFormat="false" ht="13.8" hidden="true" customHeight="false" outlineLevel="0" collapsed="false">
      <c r="A2650" s="0" t="s">
        <v>11331</v>
      </c>
      <c r="B2650" s="0" t="n">
        <v>78</v>
      </c>
      <c r="C2650" s="0" t="n">
        <v>5704</v>
      </c>
      <c r="D2650" s="0" t="s">
        <v>1169</v>
      </c>
      <c r="E2650" s="0" t="s">
        <v>6796</v>
      </c>
      <c r="F2650" s="0" t="str">
        <f aca="false">CONCATENATE(D2650," ",LEFT(H2650,4),"T=",AU2650,"D=",AV2650,"R=",AW2650,"M=",AX2650,"L=",AY2650,"B=",AZ2650)</f>
        <v>CLAYTON T=33D=7R=0M=2L=1B=0</v>
      </c>
      <c r="G2650" s="0" t="s">
        <v>329</v>
      </c>
      <c r="I2650" s="0" t="s">
        <v>11332</v>
      </c>
      <c r="J2650" s="0" t="s">
        <v>11333</v>
      </c>
      <c r="K2650" s="0" t="s">
        <v>175</v>
      </c>
      <c r="L2650" s="0"/>
      <c r="M2650" s="0" t="s">
        <v>11330</v>
      </c>
      <c r="N2650" s="0" t="str">
        <f aca="false">RIGHT(M2650,LEN(M2650)-FIND(" ",M2650))</f>
        <v>VERNON AVE NW</v>
      </c>
      <c r="P2650" s="0" t="s">
        <v>146</v>
      </c>
      <c r="Q2650" s="0" t="s">
        <v>147</v>
      </c>
      <c r="R2650" s="0" t="n">
        <v>44483</v>
      </c>
      <c r="AD2650" s="0" t="s">
        <v>148</v>
      </c>
      <c r="AE2650" s="0" t="s">
        <v>149</v>
      </c>
      <c r="AF2650" s="0" t="s">
        <v>150</v>
      </c>
      <c r="AH2650" s="0" t="n">
        <v>14</v>
      </c>
      <c r="AI2650" s="0" t="n">
        <v>11</v>
      </c>
      <c r="AN2650" s="0" t="s">
        <v>146</v>
      </c>
      <c r="AO2650" s="0" t="s">
        <v>151</v>
      </c>
      <c r="AP2650" s="0" t="s">
        <v>152</v>
      </c>
      <c r="AQ2650" s="0" t="n">
        <v>9</v>
      </c>
      <c r="AR2650" s="0" t="n">
        <v>64</v>
      </c>
      <c r="AS2650" s="0" t="n">
        <v>32</v>
      </c>
      <c r="AU2650" s="0" t="n">
        <f aca="false">COUNTA($BA$1397:$EH$1397)</f>
        <v>33</v>
      </c>
      <c r="AV2650" s="0" t="n">
        <f aca="false">COUNTIF($BA$1397:$EH$1397,"D")</f>
        <v>7</v>
      </c>
      <c r="AW2650" s="0" t="n">
        <f aca="false">COUNTIF($BA$1397:$EH$1397,"R")</f>
        <v>0</v>
      </c>
      <c r="AX2650" s="0" t="n">
        <f aca="false">IF(BN2650="D",1,0)+IF(BO2650="D",1,0)+IF(BT2650="D",1,0)+IF(BU2650="D",1,0)+IF(BW2650="D",1,0)+IF(CC2650="D",1,0)+IF(CD2650="D",1,0)+IF(CE2650="D",1,0)+IF(CF2650="D",1,0)+IF(CL2650="D",1,0)+IF(CM2650="D",1,0)+IF(CQ2650="D",1,0)+IF(CR2650="D",1,0)+IF(CS2650="D",1,0)+IF(CW2650="D",1,0)+IF(CX2650="D",1,0)+IF(DD2650="D",1,0)+IF(DE2650="D",1,0)+IF(DJ2650="D",1,0)+IF(DK2650="D",1,0)+IF(DO2650="D",1,0)+IF(DP2650="D",1,0)+IF(DQ2650="D",1,0)+IF(DW2650="D",1,0)+IF(DZ2650="D",1,0)+IF(EH2650="D",1,0)</f>
        <v>2</v>
      </c>
      <c r="AY2650" s="0" t="n">
        <f aca="false">COUNTIF(DU2650:EH2650, "&lt;&gt;")</f>
        <v>1</v>
      </c>
      <c r="AZ2650" s="0" t="n">
        <f aca="false">IF(EH2650&lt;&gt;"",1,0)</f>
        <v>0</v>
      </c>
      <c r="BB2650" s="0" t="s">
        <v>153</v>
      </c>
      <c r="BC2650" s="0" t="s">
        <v>154</v>
      </c>
      <c r="BD2650" s="0" t="s">
        <v>154</v>
      </c>
      <c r="BE2650" s="0" t="s">
        <v>154</v>
      </c>
      <c r="BF2650" s="0" t="s">
        <v>154</v>
      </c>
      <c r="BG2650" s="0" t="s">
        <v>154</v>
      </c>
      <c r="BH2650" s="0" t="s">
        <v>154</v>
      </c>
      <c r="BI2650" s="0" t="s">
        <v>154</v>
      </c>
      <c r="BJ2650" s="0" t="s">
        <v>154</v>
      </c>
      <c r="BK2650" s="0" t="s">
        <v>154</v>
      </c>
      <c r="BL2650" s="0" t="s">
        <v>154</v>
      </c>
      <c r="BR2650" s="0" t="s">
        <v>154</v>
      </c>
      <c r="BS2650" s="0" t="s">
        <v>154</v>
      </c>
      <c r="BV2650" s="0" t="s">
        <v>154</v>
      </c>
      <c r="CA2650" s="0" t="s">
        <v>154</v>
      </c>
      <c r="CG2650" s="0" t="s">
        <v>154</v>
      </c>
      <c r="CH2650" s="0" t="s">
        <v>155</v>
      </c>
      <c r="CK2650" s="0" t="s">
        <v>154</v>
      </c>
      <c r="CN2650" s="0" t="s">
        <v>154</v>
      </c>
      <c r="CP2650" s="0" t="s">
        <v>154</v>
      </c>
      <c r="CQ2650" s="0" t="s">
        <v>155</v>
      </c>
      <c r="CU2650" s="0" t="s">
        <v>155</v>
      </c>
      <c r="CV2650" s="0" t="s">
        <v>154</v>
      </c>
      <c r="CY2650" s="0" t="s">
        <v>154</v>
      </c>
      <c r="DC2650" s="0" t="s">
        <v>154</v>
      </c>
      <c r="DD2650" s="0" t="s">
        <v>155</v>
      </c>
      <c r="DF2650" s="0" t="s">
        <v>154</v>
      </c>
      <c r="DI2650" s="0" t="s">
        <v>154</v>
      </c>
      <c r="DL2650" s="0" t="s">
        <v>154</v>
      </c>
      <c r="DN2650" s="0" t="s">
        <v>154</v>
      </c>
      <c r="DX2650" s="0" t="s">
        <v>154</v>
      </c>
    </row>
    <row r="2651" customFormat="false" ht="13.8" hidden="true" customHeight="false" outlineLevel="0" collapsed="false">
      <c r="A2651" s="0" t="s">
        <v>11334</v>
      </c>
      <c r="B2651" s="0" t="n">
        <v>78</v>
      </c>
      <c r="C2651" s="0" t="n">
        <v>490266</v>
      </c>
      <c r="D2651" s="0" t="s">
        <v>1116</v>
      </c>
      <c r="E2651" s="0" t="s">
        <v>903</v>
      </c>
      <c r="F2651" s="0" t="str">
        <f aca="false">CONCATENATE(D2651," ",LEFT(H2651,4),"T=",AU2651,"D=",AV2651,"R=",AW2651,"M=",AX2651,"L=",AY2651,"B=",AZ2651)</f>
        <v>TENNEY T=1D=0R=0M=0L=0B=0</v>
      </c>
      <c r="G2651" s="0" t="s">
        <v>1614</v>
      </c>
      <c r="I2651" s="0" t="s">
        <v>11335</v>
      </c>
      <c r="J2651" s="0" t="s">
        <v>3733</v>
      </c>
      <c r="K2651" s="0" t="s">
        <v>175</v>
      </c>
      <c r="L2651" s="0"/>
      <c r="M2651" s="0" t="s">
        <v>11336</v>
      </c>
      <c r="N2651" s="0" t="str">
        <f aca="false">RIGHT(M2651,LEN(M2651)-FIND(" ",M2651))</f>
        <v>VERNON AVE NW</v>
      </c>
      <c r="P2651" s="0" t="s">
        <v>146</v>
      </c>
      <c r="Q2651" s="0" t="s">
        <v>147</v>
      </c>
      <c r="R2651" s="0" t="n">
        <v>44483</v>
      </c>
      <c r="AD2651" s="0" t="s">
        <v>148</v>
      </c>
      <c r="AE2651" s="0" t="s">
        <v>149</v>
      </c>
      <c r="AF2651" s="0" t="s">
        <v>150</v>
      </c>
      <c r="AH2651" s="0" t="n">
        <v>14</v>
      </c>
      <c r="AI2651" s="0" t="n">
        <v>11</v>
      </c>
      <c r="AN2651" s="0" t="s">
        <v>146</v>
      </c>
      <c r="AO2651" s="0" t="s">
        <v>151</v>
      </c>
      <c r="AP2651" s="0" t="s">
        <v>152</v>
      </c>
      <c r="AQ2651" s="0" t="n">
        <v>9</v>
      </c>
      <c r="AR2651" s="0" t="n">
        <v>64</v>
      </c>
      <c r="AS2651" s="0" t="n">
        <v>32</v>
      </c>
      <c r="AU2651" s="0" t="n">
        <f aca="false">COUNTA($BA$1195:$EH$1195)</f>
        <v>1</v>
      </c>
      <c r="AV2651" s="0" t="n">
        <f aca="false">COUNTIF($BA$1195:$EH$1195,"D")</f>
        <v>0</v>
      </c>
      <c r="AW2651" s="0" t="n">
        <f aca="false">COUNTIF($BA$1195:$EH$1195,"R")</f>
        <v>0</v>
      </c>
      <c r="AX2651" s="0" t="n">
        <f aca="false">IF(BN2651="D",1,0)+IF(BO2651="D",1,0)+IF(BT2651="D",1,0)+IF(BU2651="D",1,0)+IF(BW2651="D",1,0)+IF(CC2651="D",1,0)+IF(CD2651="D",1,0)+IF(CE2651="D",1,0)+IF(CF2651="D",1,0)+IF(CL2651="D",1,0)+IF(CM2651="D",1,0)+IF(CQ2651="D",1,0)+IF(CR2651="D",1,0)+IF(CS2651="D",1,0)+IF(CW2651="D",1,0)+IF(CX2651="D",1,0)+IF(DD2651="D",1,0)+IF(DE2651="D",1,0)+IF(DJ2651="D",1,0)+IF(DK2651="D",1,0)+IF(DO2651="D",1,0)+IF(DP2651="D",1,0)+IF(DQ2651="D",1,0)+IF(DW2651="D",1,0)+IF(DZ2651="D",1,0)+IF(EH2651="D",1,0)</f>
        <v>0</v>
      </c>
      <c r="AY2651" s="0" t="n">
        <f aca="false">COUNTIF(DU2651:EH2651, "&lt;&gt;")</f>
        <v>0</v>
      </c>
      <c r="AZ2651" s="0" t="n">
        <f aca="false">IF(EH2651&lt;&gt;"",1,0)</f>
        <v>0</v>
      </c>
      <c r="BB2651" s="0" t="s">
        <v>153</v>
      </c>
    </row>
    <row r="2652" customFormat="false" ht="13.8" hidden="true" customHeight="false" outlineLevel="0" collapsed="false">
      <c r="A2652" s="0" t="s">
        <v>11337</v>
      </c>
      <c r="B2652" s="0" t="n">
        <v>78</v>
      </c>
      <c r="C2652" s="0" t="n">
        <v>163935</v>
      </c>
      <c r="D2652" s="0" t="s">
        <v>11338</v>
      </c>
      <c r="E2652" s="0" t="s">
        <v>11339</v>
      </c>
      <c r="F2652" s="0" t="str">
        <f aca="false">CONCATENATE(D2652," ",LEFT(H2652,4),"T=",AU2652,"D=",AV2652,"R=",AW2652,"M=",AX2652,"L=",AY2652,"B=",AZ2652)</f>
        <v>JARRETT T=8D=2R=0M=0L=1B=0</v>
      </c>
      <c r="I2652" s="0" t="s">
        <v>11340</v>
      </c>
      <c r="J2652" s="0" t="s">
        <v>5346</v>
      </c>
      <c r="K2652" s="0" t="s">
        <v>175</v>
      </c>
      <c r="L2652" s="0"/>
      <c r="M2652" s="0" t="s">
        <v>11336</v>
      </c>
      <c r="N2652" s="0" t="str">
        <f aca="false">RIGHT(M2652,LEN(M2652)-FIND(" ",M2652))</f>
        <v>VERNON AVE NW</v>
      </c>
      <c r="P2652" s="0" t="s">
        <v>146</v>
      </c>
      <c r="Q2652" s="0" t="s">
        <v>147</v>
      </c>
      <c r="R2652" s="0" t="n">
        <v>44483</v>
      </c>
      <c r="AD2652" s="0" t="s">
        <v>148</v>
      </c>
      <c r="AE2652" s="0" t="s">
        <v>149</v>
      </c>
      <c r="AF2652" s="0" t="s">
        <v>150</v>
      </c>
      <c r="AH2652" s="0" t="n">
        <v>14</v>
      </c>
      <c r="AI2652" s="0" t="n">
        <v>11</v>
      </c>
      <c r="AN2652" s="0" t="s">
        <v>146</v>
      </c>
      <c r="AO2652" s="0" t="s">
        <v>151</v>
      </c>
      <c r="AP2652" s="0" t="s">
        <v>152</v>
      </c>
      <c r="AQ2652" s="0" t="n">
        <v>9</v>
      </c>
      <c r="AR2652" s="0" t="n">
        <v>64</v>
      </c>
      <c r="AS2652" s="0" t="n">
        <v>32</v>
      </c>
      <c r="AU2652" s="0" t="n">
        <f aca="false">COUNTA($BA$1677:$EH$1677)</f>
        <v>8</v>
      </c>
      <c r="AV2652" s="0" t="n">
        <f aca="false">COUNTIF($BA$1677:$EH$1677,"D")</f>
        <v>2</v>
      </c>
      <c r="AW2652" s="0" t="n">
        <f aca="false">COUNTIF($BA$1677:$EH$1677,"R")</f>
        <v>0</v>
      </c>
      <c r="AX2652" s="0" t="n">
        <f aca="false">IF(BN2652="D",1,0)+IF(BO2652="D",1,0)+IF(BT2652="D",1,0)+IF(BU2652="D",1,0)+IF(BW2652="D",1,0)+IF(CC2652="D",1,0)+IF(CD2652="D",1,0)+IF(CE2652="D",1,0)+IF(CF2652="D",1,0)+IF(CL2652="D",1,0)+IF(CM2652="D",1,0)+IF(CQ2652="D",1,0)+IF(CR2652="D",1,0)+IF(CS2652="D",1,0)+IF(CW2652="D",1,0)+IF(CX2652="D",1,0)+IF(DD2652="D",1,0)+IF(DE2652="D",1,0)+IF(DJ2652="D",1,0)+IF(DK2652="D",1,0)+IF(DO2652="D",1,0)+IF(DP2652="D",1,0)+IF(DQ2652="D",1,0)+IF(DW2652="D",1,0)+IF(DZ2652="D",1,0)+IF(EH2652="D",1,0)</f>
        <v>0</v>
      </c>
      <c r="AY2652" s="0" t="n">
        <f aca="false">COUNTIF(DU2652:EH2652, "&lt;&gt;")</f>
        <v>1</v>
      </c>
      <c r="AZ2652" s="0" t="n">
        <f aca="false">IF(EH2652&lt;&gt;"",1,0)</f>
        <v>0</v>
      </c>
      <c r="BB2652" s="0" t="s">
        <v>153</v>
      </c>
      <c r="BC2652" s="0" t="s">
        <v>154</v>
      </c>
      <c r="BD2652" s="0" t="s">
        <v>154</v>
      </c>
      <c r="BF2652" s="0" t="s">
        <v>154</v>
      </c>
      <c r="BH2652" s="0" t="s">
        <v>154</v>
      </c>
      <c r="BI2652" s="0" t="s">
        <v>154</v>
      </c>
      <c r="BJ2652" s="0" t="s">
        <v>154</v>
      </c>
      <c r="BL2652" s="0" t="s">
        <v>154</v>
      </c>
      <c r="BP2652" s="0" t="s">
        <v>154</v>
      </c>
      <c r="BS2652" s="0" t="s">
        <v>154</v>
      </c>
      <c r="BY2652" s="0" t="s">
        <v>155</v>
      </c>
      <c r="CA2652" s="0" t="s">
        <v>154</v>
      </c>
      <c r="CG2652" s="0" t="s">
        <v>154</v>
      </c>
      <c r="CH2652" s="0" t="s">
        <v>176</v>
      </c>
      <c r="DI2652" s="0" t="s">
        <v>154</v>
      </c>
      <c r="EF2652" s="0" t="s">
        <v>154</v>
      </c>
    </row>
    <row r="2653" customFormat="false" ht="13.8" hidden="true" customHeight="false" outlineLevel="0" collapsed="false">
      <c r="A2653" s="0" t="s">
        <v>11341</v>
      </c>
      <c r="B2653" s="0" t="n">
        <v>78</v>
      </c>
      <c r="C2653" s="0" t="n">
        <v>487878</v>
      </c>
      <c r="D2653" s="0" t="s">
        <v>8649</v>
      </c>
      <c r="E2653" s="0" t="s">
        <v>6498</v>
      </c>
      <c r="F2653" s="0" t="str">
        <f aca="false">CONCATENATE(D2653," ",LEFT(H2653,4),"T=",AU2653,"D=",AV2653,"R=",AW2653,"M=",AX2653,"L=",AY2653,"B=",AZ2653)</f>
        <v>BROOK T=13D=2R=0M=0L=1B=0</v>
      </c>
      <c r="G2653" s="0" t="s">
        <v>172</v>
      </c>
      <c r="I2653" s="0" t="s">
        <v>11342</v>
      </c>
      <c r="J2653" s="0" t="s">
        <v>6201</v>
      </c>
      <c r="K2653" s="0" t="s">
        <v>175</v>
      </c>
      <c r="L2653" s="0"/>
      <c r="M2653" s="0" t="s">
        <v>11343</v>
      </c>
      <c r="N2653" s="0" t="str">
        <f aca="false">RIGHT(M2653,LEN(M2653)-FIND(" ",M2653))</f>
        <v>VERNON AVE NW</v>
      </c>
      <c r="P2653" s="0" t="s">
        <v>146</v>
      </c>
      <c r="Q2653" s="0" t="s">
        <v>147</v>
      </c>
      <c r="R2653" s="0" t="n">
        <v>44483</v>
      </c>
      <c r="AD2653" s="0" t="s">
        <v>148</v>
      </c>
      <c r="AE2653" s="0" t="s">
        <v>149</v>
      </c>
      <c r="AF2653" s="0" t="s">
        <v>150</v>
      </c>
      <c r="AH2653" s="0" t="n">
        <v>14</v>
      </c>
      <c r="AI2653" s="0" t="n">
        <v>11</v>
      </c>
      <c r="AN2653" s="0" t="s">
        <v>146</v>
      </c>
      <c r="AO2653" s="0" t="s">
        <v>151</v>
      </c>
      <c r="AP2653" s="0" t="s">
        <v>152</v>
      </c>
      <c r="AQ2653" s="0" t="n">
        <v>9</v>
      </c>
      <c r="AR2653" s="0" t="n">
        <v>64</v>
      </c>
      <c r="AS2653" s="0" t="n">
        <v>32</v>
      </c>
      <c r="AU2653" s="0" t="n">
        <f aca="false">COUNTA($BA$1225:$EH$1225)</f>
        <v>13</v>
      </c>
      <c r="AV2653" s="0" t="n">
        <f aca="false">COUNTIF($BA$1225:$EH$1225,"D")</f>
        <v>2</v>
      </c>
      <c r="AW2653" s="0" t="n">
        <f aca="false">COUNTIF($BA$1225:$EH$1225,"R")</f>
        <v>0</v>
      </c>
      <c r="AX2653" s="0" t="n">
        <f aca="false">IF(BN2653="D",1,0)+IF(BO2653="D",1,0)+IF(BT2653="D",1,0)+IF(BU2653="D",1,0)+IF(BW2653="D",1,0)+IF(CC2653="D",1,0)+IF(CD2653="D",1,0)+IF(CE2653="D",1,0)+IF(CF2653="D",1,0)+IF(CL2653="D",1,0)+IF(CM2653="D",1,0)+IF(CQ2653="D",1,0)+IF(CR2653="D",1,0)+IF(CS2653="D",1,0)+IF(CW2653="D",1,0)+IF(CX2653="D",1,0)+IF(DD2653="D",1,0)+IF(DE2653="D",1,0)+IF(DJ2653="D",1,0)+IF(DK2653="D",1,0)+IF(DO2653="D",1,0)+IF(DP2653="D",1,0)+IF(DQ2653="D",1,0)+IF(DW2653="D",1,0)+IF(DZ2653="D",1,0)+IF(EH2653="D",1,0)</f>
        <v>0</v>
      </c>
      <c r="AY2653" s="0" t="n">
        <f aca="false">COUNTIF(DU2653:EH2653, "&lt;&gt;")</f>
        <v>1</v>
      </c>
      <c r="AZ2653" s="0" t="n">
        <f aca="false">IF(EH2653&lt;&gt;"",1,0)</f>
        <v>0</v>
      </c>
      <c r="BB2653" s="0" t="s">
        <v>153</v>
      </c>
      <c r="EF2653" s="0" t="s">
        <v>154</v>
      </c>
    </row>
    <row r="2654" customFormat="false" ht="13.8" hidden="true" customHeight="false" outlineLevel="0" collapsed="false">
      <c r="A2654" s="0" t="s">
        <v>11344</v>
      </c>
      <c r="B2654" s="0" t="n">
        <v>78</v>
      </c>
      <c r="C2654" s="0" t="n">
        <v>487608</v>
      </c>
      <c r="D2654" s="0" t="s">
        <v>755</v>
      </c>
      <c r="E2654" s="0" t="s">
        <v>2303</v>
      </c>
      <c r="F2654" s="0" t="str">
        <f aca="false">CONCATENATE(D2654," ",LEFT(H2654,4),"T=",AU2654,"D=",AV2654,"R=",AW2654,"M=",AX2654,"L=",AY2654,"B=",AZ2654)</f>
        <v>HOPE T=5D=0R=0M=0L=1B=0</v>
      </c>
      <c r="G2654" s="0" t="s">
        <v>9590</v>
      </c>
      <c r="I2654" s="0" t="s">
        <v>11345</v>
      </c>
      <c r="J2654" s="0" t="s">
        <v>2917</v>
      </c>
      <c r="K2654" s="0" t="s">
        <v>175</v>
      </c>
      <c r="L2654" s="0"/>
      <c r="M2654" s="0" t="s">
        <v>11343</v>
      </c>
      <c r="N2654" s="0" t="str">
        <f aca="false">RIGHT(M2654,LEN(M2654)-FIND(" ",M2654))</f>
        <v>VERNON AVE NW</v>
      </c>
      <c r="P2654" s="0" t="s">
        <v>146</v>
      </c>
      <c r="Q2654" s="0" t="s">
        <v>147</v>
      </c>
      <c r="R2654" s="0" t="n">
        <v>44483</v>
      </c>
      <c r="AD2654" s="0" t="s">
        <v>148</v>
      </c>
      <c r="AE2654" s="0" t="s">
        <v>149</v>
      </c>
      <c r="AF2654" s="0" t="s">
        <v>150</v>
      </c>
      <c r="AH2654" s="0" t="n">
        <v>14</v>
      </c>
      <c r="AI2654" s="0" t="n">
        <v>11</v>
      </c>
      <c r="AN2654" s="0" t="s">
        <v>146</v>
      </c>
      <c r="AO2654" s="0" t="s">
        <v>151</v>
      </c>
      <c r="AP2654" s="0" t="s">
        <v>152</v>
      </c>
      <c r="AQ2654" s="0" t="n">
        <v>9</v>
      </c>
      <c r="AR2654" s="0" t="n">
        <v>64</v>
      </c>
      <c r="AS2654" s="0" t="n">
        <v>32</v>
      </c>
      <c r="AU2654" s="0" t="n">
        <f aca="false">COUNTA($BA$1236:$EH$1236)</f>
        <v>5</v>
      </c>
      <c r="AV2654" s="0" t="n">
        <f aca="false">COUNTIF($BA$1236:$EH$1236,"D")</f>
        <v>0</v>
      </c>
      <c r="AW2654" s="0" t="n">
        <f aca="false">COUNTIF($BA$1236:$EH$1236,"R")</f>
        <v>0</v>
      </c>
      <c r="AX2654" s="0" t="n">
        <f aca="false">IF(BN2654="D",1,0)+IF(BO2654="D",1,0)+IF(BT2654="D",1,0)+IF(BU2654="D",1,0)+IF(BW2654="D",1,0)+IF(CC2654="D",1,0)+IF(CD2654="D",1,0)+IF(CE2654="D",1,0)+IF(CF2654="D",1,0)+IF(CL2654="D",1,0)+IF(CM2654="D",1,0)+IF(CQ2654="D",1,0)+IF(CR2654="D",1,0)+IF(CS2654="D",1,0)+IF(CW2654="D",1,0)+IF(CX2654="D",1,0)+IF(DD2654="D",1,0)+IF(DE2654="D",1,0)+IF(DJ2654="D",1,0)+IF(DK2654="D",1,0)+IF(DO2654="D",1,0)+IF(DP2654="D",1,0)+IF(DQ2654="D",1,0)+IF(DW2654="D",1,0)+IF(DZ2654="D",1,0)+IF(EH2654="D",1,0)</f>
        <v>0</v>
      </c>
      <c r="AY2654" s="0" t="n">
        <f aca="false">COUNTIF(DU2654:EH2654, "&lt;&gt;")</f>
        <v>1</v>
      </c>
      <c r="AZ2654" s="0" t="n">
        <f aca="false">IF(EH2654&lt;&gt;"",1,0)</f>
        <v>0</v>
      </c>
      <c r="BB2654" s="0" t="s">
        <v>153</v>
      </c>
      <c r="CA2654" s="0" t="s">
        <v>154</v>
      </c>
      <c r="EF2654" s="0" t="s">
        <v>154</v>
      </c>
    </row>
    <row r="2655" customFormat="false" ht="13.8" hidden="true" customHeight="false" outlineLevel="0" collapsed="false">
      <c r="A2655" s="0" t="s">
        <v>11346</v>
      </c>
      <c r="B2655" s="0" t="n">
        <v>78</v>
      </c>
      <c r="C2655" s="0" t="n">
        <v>420395</v>
      </c>
      <c r="D2655" s="0" t="s">
        <v>8649</v>
      </c>
      <c r="E2655" s="0" t="s">
        <v>698</v>
      </c>
      <c r="F2655" s="0" t="str">
        <f aca="false">CONCATENATE(D2655," ",LEFT(H2655,4),"T=",AU2655,"D=",AV2655,"R=",AW2655,"M=",AX2655,"L=",AY2655,"B=",AZ2655)</f>
        <v>BROOK T=28D=7R=0M=0L=1B=0</v>
      </c>
      <c r="G2655" s="0" t="s">
        <v>188</v>
      </c>
      <c r="I2655" s="0" t="s">
        <v>11347</v>
      </c>
      <c r="J2655" s="0" t="s">
        <v>1729</v>
      </c>
      <c r="K2655" s="0" t="s">
        <v>175</v>
      </c>
      <c r="L2655" s="0"/>
      <c r="M2655" s="0" t="s">
        <v>11343</v>
      </c>
      <c r="N2655" s="0" t="str">
        <f aca="false">RIGHT(M2655,LEN(M2655)-FIND(" ",M2655))</f>
        <v>VERNON AVE NW</v>
      </c>
      <c r="P2655" s="0" t="s">
        <v>146</v>
      </c>
      <c r="Q2655" s="0" t="s">
        <v>147</v>
      </c>
      <c r="R2655" s="0" t="n">
        <v>44483</v>
      </c>
      <c r="AD2655" s="0" t="s">
        <v>148</v>
      </c>
      <c r="AE2655" s="0" t="s">
        <v>149</v>
      </c>
      <c r="AF2655" s="0" t="s">
        <v>150</v>
      </c>
      <c r="AH2655" s="0" t="n">
        <v>14</v>
      </c>
      <c r="AI2655" s="0" t="n">
        <v>11</v>
      </c>
      <c r="AN2655" s="0" t="s">
        <v>146</v>
      </c>
      <c r="AO2655" s="0" t="s">
        <v>151</v>
      </c>
      <c r="AP2655" s="0" t="s">
        <v>152</v>
      </c>
      <c r="AQ2655" s="0" t="n">
        <v>9</v>
      </c>
      <c r="AR2655" s="0" t="n">
        <v>64</v>
      </c>
      <c r="AS2655" s="0" t="n">
        <v>32</v>
      </c>
      <c r="AU2655" s="0" t="n">
        <f aca="false">COUNTA($BA$1241:$EH$1241)</f>
        <v>28</v>
      </c>
      <c r="AV2655" s="0" t="n">
        <f aca="false">COUNTIF($BA$1241:$EH$1241,"D")</f>
        <v>7</v>
      </c>
      <c r="AW2655" s="0" t="n">
        <f aca="false">COUNTIF($BA$1241:$EH$1241,"R")</f>
        <v>0</v>
      </c>
      <c r="AX2655" s="0" t="n">
        <f aca="false">IF(BN2655="D",1,0)+IF(BO2655="D",1,0)+IF(BT2655="D",1,0)+IF(BU2655="D",1,0)+IF(BW2655="D",1,0)+IF(CC2655="D",1,0)+IF(CD2655="D",1,0)+IF(CE2655="D",1,0)+IF(CF2655="D",1,0)+IF(CL2655="D",1,0)+IF(CM2655="D",1,0)+IF(CQ2655="D",1,0)+IF(CR2655="D",1,0)+IF(CS2655="D",1,0)+IF(CW2655="D",1,0)+IF(CX2655="D",1,0)+IF(DD2655="D",1,0)+IF(DE2655="D",1,0)+IF(DJ2655="D",1,0)+IF(DK2655="D",1,0)+IF(DO2655="D",1,0)+IF(DP2655="D",1,0)+IF(DQ2655="D",1,0)+IF(DW2655="D",1,0)+IF(DZ2655="D",1,0)+IF(EH2655="D",1,0)</f>
        <v>0</v>
      </c>
      <c r="AY2655" s="0" t="n">
        <f aca="false">COUNTIF(DU2655:EH2655, "&lt;&gt;")</f>
        <v>1</v>
      </c>
      <c r="AZ2655" s="0" t="n">
        <f aca="false">IF(EH2655&lt;&gt;"",1,0)</f>
        <v>0</v>
      </c>
      <c r="BB2655" s="0" t="s">
        <v>153</v>
      </c>
      <c r="BL2655" s="0" t="s">
        <v>154</v>
      </c>
      <c r="BS2655" s="0" t="s">
        <v>154</v>
      </c>
      <c r="CP2655" s="0" t="s">
        <v>154</v>
      </c>
      <c r="DC2655" s="0" t="s">
        <v>154</v>
      </c>
      <c r="DN2655" s="0" t="s">
        <v>154</v>
      </c>
      <c r="EF2655" s="0" t="s">
        <v>154</v>
      </c>
    </row>
    <row r="2656" customFormat="false" ht="13.8" hidden="false" customHeight="false" outlineLevel="0" collapsed="false">
      <c r="A2656" s="0" t="s">
        <v>11348</v>
      </c>
      <c r="B2656" s="0" t="n">
        <v>78</v>
      </c>
      <c r="C2656" s="0" t="n">
        <v>450261</v>
      </c>
      <c r="D2656" s="0" t="s">
        <v>8649</v>
      </c>
      <c r="E2656" s="0" t="s">
        <v>1702</v>
      </c>
      <c r="F2656" s="0" t="str">
        <f aca="false">CONCATENATE(D2656," ",LEFT(H2656,4),"T=",AU2656,"D=",AV2656,"R=",AW2656,"M=",AX2656,"L=",AY2656,"B=",AZ2656)</f>
        <v>BROOK T=13D=2R=0M=0L=2B=0</v>
      </c>
      <c r="G2656" s="0" t="s">
        <v>629</v>
      </c>
      <c r="I2656" s="0" t="s">
        <v>11349</v>
      </c>
      <c r="J2656" s="0" t="s">
        <v>5868</v>
      </c>
      <c r="K2656" s="0" t="s">
        <v>175</v>
      </c>
      <c r="M2656" s="0" t="s">
        <v>11343</v>
      </c>
      <c r="N2656" s="0" t="str">
        <f aca="false">RIGHT(M2656,LEN(M2656)-FIND(" ",M2656))</f>
        <v>VERNON AVE NW</v>
      </c>
      <c r="P2656" s="0" t="s">
        <v>146</v>
      </c>
      <c r="Q2656" s="0" t="s">
        <v>147</v>
      </c>
      <c r="R2656" s="0" t="n">
        <v>44483</v>
      </c>
      <c r="AD2656" s="0" t="s">
        <v>148</v>
      </c>
      <c r="AE2656" s="0" t="s">
        <v>149</v>
      </c>
      <c r="AF2656" s="0" t="s">
        <v>150</v>
      </c>
      <c r="AH2656" s="0" t="n">
        <v>14</v>
      </c>
      <c r="AI2656" s="0" t="n">
        <v>11</v>
      </c>
      <c r="AN2656" s="0" t="s">
        <v>146</v>
      </c>
      <c r="AO2656" s="0" t="s">
        <v>151</v>
      </c>
      <c r="AP2656" s="0" t="s">
        <v>152</v>
      </c>
      <c r="AQ2656" s="0" t="n">
        <v>9</v>
      </c>
      <c r="AR2656" s="0" t="n">
        <v>64</v>
      </c>
      <c r="AS2656" s="0" t="n">
        <v>32</v>
      </c>
      <c r="AU2656" s="0" t="n">
        <f aca="false">COUNTA($BA$1825:$EH$1825)</f>
        <v>13</v>
      </c>
      <c r="AV2656" s="0" t="n">
        <f aca="false">COUNTIF($BA$1825:$EH$1825,"D")</f>
        <v>2</v>
      </c>
      <c r="AW2656" s="0" t="n">
        <f aca="false">COUNTIF($BA$1825:$EH$1825,"R")</f>
        <v>0</v>
      </c>
      <c r="AX2656" s="0" t="n">
        <f aca="false">IF(BN2656="D",1,0)+IF(BO2656="D",1,0)+IF(BT2656="D",1,0)+IF(BU2656="D",1,0)+IF(BW2656="D",1,0)+IF(CC2656="D",1,0)+IF(CD2656="D",1,0)+IF(CE2656="D",1,0)+IF(CF2656="D",1,0)+IF(CL2656="D",1,0)+IF(CM2656="D",1,0)+IF(CQ2656="D",1,0)+IF(CR2656="D",1,0)+IF(CS2656="D",1,0)+IF(CW2656="D",1,0)+IF(CX2656="D",1,0)+IF(DD2656="D",1,0)+IF(DE2656="D",1,0)+IF(DJ2656="D",1,0)+IF(DK2656="D",1,0)+IF(DO2656="D",1,0)+IF(DP2656="D",1,0)+IF(DQ2656="D",1,0)+IF(DW2656="D",1,0)+IF(DZ2656="D",1,0)+IF(EH2656="D",1,0)</f>
        <v>0</v>
      </c>
      <c r="AY2656" s="0" t="n">
        <f aca="false">COUNTIF(DU2656:EH2656, "&lt;&gt;")</f>
        <v>2</v>
      </c>
      <c r="AZ2656" s="0" t="n">
        <f aca="false">IF(EH2656&lt;&gt;"",1,0)</f>
        <v>0</v>
      </c>
      <c r="BB2656" s="0" t="s">
        <v>153</v>
      </c>
      <c r="DN2656" s="0" t="s">
        <v>154</v>
      </c>
      <c r="EA2656" s="0" t="s">
        <v>154</v>
      </c>
      <c r="EF2656" s="0" t="s">
        <v>154</v>
      </c>
    </row>
    <row r="2657" customFormat="false" ht="13.8" hidden="false" customHeight="false" outlineLevel="0" collapsed="false">
      <c r="A2657" s="0" t="s">
        <v>11350</v>
      </c>
      <c r="B2657" s="0" t="n">
        <v>78</v>
      </c>
      <c r="C2657" s="0" t="n">
        <v>284116</v>
      </c>
      <c r="D2657" s="0" t="s">
        <v>11351</v>
      </c>
      <c r="E2657" s="0" t="s">
        <v>11352</v>
      </c>
      <c r="F2657" s="0" t="str">
        <f aca="false">CONCATENATE(D2657," ",LEFT(H2657,4),"T=",AU2657,"D=",AV2657,"R=",AW2657,"M=",AX2657,"L=",AY2657,"B=",AZ2657)</f>
        <v>STOUT T=2D=0R=0M=0L=4B=0</v>
      </c>
      <c r="I2657" s="0" t="s">
        <v>11353</v>
      </c>
      <c r="J2657" s="0" t="s">
        <v>1666</v>
      </c>
      <c r="K2657" s="0" t="s">
        <v>175</v>
      </c>
      <c r="M2657" s="0" t="s">
        <v>11354</v>
      </c>
      <c r="N2657" s="0" t="str">
        <f aca="false">RIGHT(M2657,LEN(M2657)-FIND(" ",M2657))</f>
        <v>VERNON AVE NW</v>
      </c>
      <c r="P2657" s="0" t="s">
        <v>146</v>
      </c>
      <c r="Q2657" s="0" t="s">
        <v>147</v>
      </c>
      <c r="R2657" s="0" t="n">
        <v>44483</v>
      </c>
      <c r="AD2657" s="0" t="s">
        <v>148</v>
      </c>
      <c r="AE2657" s="0" t="s">
        <v>149</v>
      </c>
      <c r="AF2657" s="0" t="s">
        <v>150</v>
      </c>
      <c r="AH2657" s="0" t="n">
        <v>14</v>
      </c>
      <c r="AI2657" s="0" t="n">
        <v>11</v>
      </c>
      <c r="AN2657" s="0" t="s">
        <v>146</v>
      </c>
      <c r="AO2657" s="0" t="s">
        <v>151</v>
      </c>
      <c r="AP2657" s="0" t="s">
        <v>152</v>
      </c>
      <c r="AQ2657" s="0" t="n">
        <v>9</v>
      </c>
      <c r="AR2657" s="0" t="n">
        <v>64</v>
      </c>
      <c r="AS2657" s="0" t="n">
        <v>32</v>
      </c>
      <c r="AU2657" s="0" t="n">
        <f aca="false">COUNTA($BA$1359:$EH$1359)</f>
        <v>2</v>
      </c>
      <c r="AV2657" s="0" t="n">
        <f aca="false">COUNTIF($BA$1359:$EH$1359,"D")</f>
        <v>0</v>
      </c>
      <c r="AW2657" s="0" t="n">
        <f aca="false">COUNTIF($BA$1359:$EH$1359,"R")</f>
        <v>0</v>
      </c>
      <c r="AX2657" s="0" t="n">
        <f aca="false">IF(BN2657="D",1,0)+IF(BO2657="D",1,0)+IF(BT2657="D",1,0)+IF(BU2657="D",1,0)+IF(BW2657="D",1,0)+IF(CC2657="D",1,0)+IF(CD2657="D",1,0)+IF(CE2657="D",1,0)+IF(CF2657="D",1,0)+IF(CL2657="D",1,0)+IF(CM2657="D",1,0)+IF(CQ2657="D",1,0)+IF(CR2657="D",1,0)+IF(CS2657="D",1,0)+IF(CW2657="D",1,0)+IF(CX2657="D",1,0)+IF(DD2657="D",1,0)+IF(DE2657="D",1,0)+IF(DJ2657="D",1,0)+IF(DK2657="D",1,0)+IF(DO2657="D",1,0)+IF(DP2657="D",1,0)+IF(DQ2657="D",1,0)+IF(DW2657="D",1,0)+IF(DZ2657="D",1,0)+IF(EH2657="D",1,0)</f>
        <v>0</v>
      </c>
      <c r="AY2657" s="0" t="n">
        <f aca="false">COUNTIF(DU2657:EH2657, "&lt;&gt;")</f>
        <v>4</v>
      </c>
      <c r="AZ2657" s="0" t="n">
        <f aca="false">IF(EH2657&lt;&gt;"",1,0)</f>
        <v>0</v>
      </c>
      <c r="BB2657" s="0" t="s">
        <v>153</v>
      </c>
      <c r="BS2657" s="0" t="s">
        <v>154</v>
      </c>
      <c r="BY2657" s="0" t="s">
        <v>155</v>
      </c>
      <c r="CA2657" s="0" t="s">
        <v>154</v>
      </c>
      <c r="CG2657" s="0" t="s">
        <v>154</v>
      </c>
      <c r="CK2657" s="0" t="s">
        <v>154</v>
      </c>
      <c r="CN2657" s="0" t="s">
        <v>154</v>
      </c>
      <c r="CP2657" s="0" t="s">
        <v>154</v>
      </c>
      <c r="CY2657" s="0" t="s">
        <v>154</v>
      </c>
      <c r="DC2657" s="0" t="s">
        <v>154</v>
      </c>
      <c r="DF2657" s="0" t="s">
        <v>154</v>
      </c>
      <c r="DI2657" s="0" t="s">
        <v>154</v>
      </c>
      <c r="DN2657" s="0" t="s">
        <v>154</v>
      </c>
      <c r="DU2657" s="0" t="s">
        <v>154</v>
      </c>
      <c r="DX2657" s="0" t="s">
        <v>154</v>
      </c>
      <c r="EA2657" s="0" t="s">
        <v>154</v>
      </c>
      <c r="EF2657" s="0" t="s">
        <v>154</v>
      </c>
    </row>
    <row r="2658" customFormat="false" ht="13.8" hidden="false" customHeight="false" outlineLevel="0" collapsed="false">
      <c r="A2658" s="0" t="s">
        <v>11355</v>
      </c>
      <c r="B2658" s="0" t="n">
        <v>78</v>
      </c>
      <c r="C2658" s="0" t="n">
        <v>297854</v>
      </c>
      <c r="D2658" s="0" t="s">
        <v>11351</v>
      </c>
      <c r="E2658" s="0" t="s">
        <v>3408</v>
      </c>
      <c r="F2658" s="0" t="str">
        <f aca="false">CONCATENATE(D2658," ",LEFT(H2658,4),"T=",AU2658,"D=",AV2658,"R=",AW2658,"M=",AX2658,"L=",AY2658,"B=",AZ2658)</f>
        <v>STOUT T=10D=1R=0M=0L=4B=0</v>
      </c>
      <c r="G2658" s="0" t="s">
        <v>176</v>
      </c>
      <c r="I2658" s="0" t="s">
        <v>11356</v>
      </c>
      <c r="J2658" s="0" t="s">
        <v>11357</v>
      </c>
      <c r="K2658" s="0" t="s">
        <v>175</v>
      </c>
      <c r="M2658" s="0" t="s">
        <v>11354</v>
      </c>
      <c r="N2658" s="0" t="str">
        <f aca="false">RIGHT(M2658,LEN(M2658)-FIND(" ",M2658))</f>
        <v>VERNON AVE NW</v>
      </c>
      <c r="P2658" s="0" t="s">
        <v>146</v>
      </c>
      <c r="Q2658" s="0" t="s">
        <v>147</v>
      </c>
      <c r="R2658" s="0" t="n">
        <v>44483</v>
      </c>
      <c r="AD2658" s="0" t="s">
        <v>148</v>
      </c>
      <c r="AE2658" s="0" t="s">
        <v>149</v>
      </c>
      <c r="AF2658" s="0" t="s">
        <v>150</v>
      </c>
      <c r="AH2658" s="0" t="n">
        <v>14</v>
      </c>
      <c r="AI2658" s="0" t="n">
        <v>11</v>
      </c>
      <c r="AN2658" s="0" t="s">
        <v>146</v>
      </c>
      <c r="AO2658" s="0" t="s">
        <v>151</v>
      </c>
      <c r="AP2658" s="0" t="s">
        <v>152</v>
      </c>
      <c r="AQ2658" s="0" t="n">
        <v>9</v>
      </c>
      <c r="AR2658" s="0" t="n">
        <v>64</v>
      </c>
      <c r="AS2658" s="0" t="n">
        <v>32</v>
      </c>
      <c r="AU2658" s="0" t="n">
        <f aca="false">COUNTA($BA$1392:$EH$1392)</f>
        <v>10</v>
      </c>
      <c r="AV2658" s="0" t="n">
        <f aca="false">COUNTIF($BA$1392:$EH$1392,"D")</f>
        <v>1</v>
      </c>
      <c r="AW2658" s="0" t="n">
        <f aca="false">COUNTIF($BA$1392:$EH$1392,"R")</f>
        <v>0</v>
      </c>
      <c r="AX2658" s="0" t="n">
        <f aca="false">IF(BN2658="D",1,0)+IF(BO2658="D",1,0)+IF(BT2658="D",1,0)+IF(BU2658="D",1,0)+IF(BW2658="D",1,0)+IF(CC2658="D",1,0)+IF(CD2658="D",1,0)+IF(CE2658="D",1,0)+IF(CF2658="D",1,0)+IF(CL2658="D",1,0)+IF(CM2658="D",1,0)+IF(CQ2658="D",1,0)+IF(CR2658="D",1,0)+IF(CS2658="D",1,0)+IF(CW2658="D",1,0)+IF(CX2658="D",1,0)+IF(DD2658="D",1,0)+IF(DE2658="D",1,0)+IF(DJ2658="D",1,0)+IF(DK2658="D",1,0)+IF(DO2658="D",1,0)+IF(DP2658="D",1,0)+IF(DQ2658="D",1,0)+IF(DW2658="D",1,0)+IF(DZ2658="D",1,0)+IF(EH2658="D",1,0)</f>
        <v>0</v>
      </c>
      <c r="AY2658" s="0" t="n">
        <f aca="false">COUNTIF(DU2658:EH2658, "&lt;&gt;")</f>
        <v>4</v>
      </c>
      <c r="AZ2658" s="0" t="n">
        <f aca="false">IF(EH2658&lt;&gt;"",1,0)</f>
        <v>0</v>
      </c>
      <c r="BB2658" s="0" t="s">
        <v>153</v>
      </c>
      <c r="BD2658" s="0" t="s">
        <v>154</v>
      </c>
      <c r="BE2658" s="0" t="s">
        <v>154</v>
      </c>
      <c r="BH2658" s="0" t="s">
        <v>154</v>
      </c>
      <c r="BI2658" s="0" t="s">
        <v>154</v>
      </c>
      <c r="BJ2658" s="0" t="s">
        <v>154</v>
      </c>
      <c r="BL2658" s="0" t="s">
        <v>154</v>
      </c>
      <c r="BP2658" s="0" t="s">
        <v>154</v>
      </c>
      <c r="BS2658" s="0" t="s">
        <v>154</v>
      </c>
      <c r="BV2658" s="0" t="s">
        <v>154</v>
      </c>
      <c r="BY2658" s="0" t="s">
        <v>155</v>
      </c>
      <c r="CA2658" s="0" t="s">
        <v>154</v>
      </c>
      <c r="CG2658" s="0" t="s">
        <v>154</v>
      </c>
      <c r="CK2658" s="0" t="s">
        <v>154</v>
      </c>
      <c r="CN2658" s="0" t="s">
        <v>154</v>
      </c>
      <c r="CP2658" s="0" t="s">
        <v>154</v>
      </c>
      <c r="CV2658" s="0" t="s">
        <v>154</v>
      </c>
      <c r="CY2658" s="0" t="s">
        <v>154</v>
      </c>
      <c r="DC2658" s="0" t="s">
        <v>154</v>
      </c>
      <c r="DF2658" s="0" t="s">
        <v>154</v>
      </c>
      <c r="DI2658" s="0" t="s">
        <v>154</v>
      </c>
      <c r="DN2658" s="0" t="s">
        <v>154</v>
      </c>
      <c r="DU2658" s="0" t="s">
        <v>154</v>
      </c>
      <c r="DX2658" s="0" t="s">
        <v>154</v>
      </c>
      <c r="EA2658" s="0" t="s">
        <v>154</v>
      </c>
      <c r="EF2658" s="0" t="s">
        <v>154</v>
      </c>
    </row>
    <row r="2659" customFormat="false" ht="13.8" hidden="false" customHeight="false" outlineLevel="0" collapsed="false">
      <c r="A2659" s="0" t="s">
        <v>11358</v>
      </c>
      <c r="B2659" s="0" t="n">
        <v>78</v>
      </c>
      <c r="C2659" s="0" t="n">
        <v>6045</v>
      </c>
      <c r="D2659" s="0" t="s">
        <v>11359</v>
      </c>
      <c r="E2659" s="0" t="s">
        <v>1545</v>
      </c>
      <c r="F2659" s="0" t="str">
        <f aca="false">CONCATENATE(D2659," ",LEFT(H2659,4),"T=",AU2659,"D=",AV2659,"R=",AW2659,"M=",AX2659,"L=",AY2659,"B=",AZ2659)</f>
        <v>WALTKO T=1D=0R=0M=8L=5B=0</v>
      </c>
      <c r="G2659" s="0" t="s">
        <v>159</v>
      </c>
      <c r="I2659" s="0" t="s">
        <v>11360</v>
      </c>
      <c r="J2659" s="0" t="s">
        <v>11361</v>
      </c>
      <c r="K2659" s="0" t="s">
        <v>175</v>
      </c>
      <c r="L2659" s="1" t="s">
        <v>155</v>
      </c>
      <c r="M2659" s="0" t="s">
        <v>11362</v>
      </c>
      <c r="N2659" s="0" t="str">
        <f aca="false">RIGHT(M2659,LEN(M2659)-FIND(" ",M2659))</f>
        <v>VERNON AVE NW</v>
      </c>
      <c r="P2659" s="0" t="s">
        <v>146</v>
      </c>
      <c r="Q2659" s="0" t="s">
        <v>147</v>
      </c>
      <c r="R2659" s="0" t="n">
        <v>44483</v>
      </c>
      <c r="AD2659" s="0" t="s">
        <v>148</v>
      </c>
      <c r="AE2659" s="0" t="s">
        <v>149</v>
      </c>
      <c r="AF2659" s="0" t="s">
        <v>150</v>
      </c>
      <c r="AH2659" s="0" t="n">
        <v>14</v>
      </c>
      <c r="AI2659" s="0" t="n">
        <v>11</v>
      </c>
      <c r="AN2659" s="0" t="s">
        <v>146</v>
      </c>
      <c r="AO2659" s="0" t="s">
        <v>151</v>
      </c>
      <c r="AP2659" s="0" t="s">
        <v>152</v>
      </c>
      <c r="AQ2659" s="0" t="n">
        <v>9</v>
      </c>
      <c r="AR2659" s="0" t="n">
        <v>64</v>
      </c>
      <c r="AS2659" s="0" t="n">
        <v>32</v>
      </c>
      <c r="AU2659" s="0" t="n">
        <f aca="false">COUNTA($BA$1395:$EH$1395)</f>
        <v>1</v>
      </c>
      <c r="AV2659" s="0" t="n">
        <f aca="false">COUNTIF($BA$1395:$EH$1395,"D")</f>
        <v>0</v>
      </c>
      <c r="AW2659" s="0" t="n">
        <f aca="false">COUNTIF($BA$1395:$EH$1395,"R")</f>
        <v>0</v>
      </c>
      <c r="AX2659" s="0" t="n">
        <f aca="false">IF(BN2659="D",1,0)+IF(BO2659="D",1,0)+IF(BT2659="D",1,0)+IF(BU2659="D",1,0)+IF(BW2659="D",1,0)+IF(CC2659="D",1,0)+IF(CD2659="D",1,0)+IF(CE2659="D",1,0)+IF(CF2659="D",1,0)+IF(CL2659="D",1,0)+IF(CM2659="D",1,0)+IF(CQ2659="D",1,0)+IF(CR2659="D",1,0)+IF(CS2659="D",1,0)+IF(CW2659="D",1,0)+IF(CX2659="D",1,0)+IF(DD2659="D",1,0)+IF(DE2659="D",1,0)+IF(DJ2659="D",1,0)+IF(DK2659="D",1,0)+IF(DO2659="D",1,0)+IF(DP2659="D",1,0)+IF(DQ2659="D",1,0)+IF(DW2659="D",1,0)+IF(DZ2659="D",1,0)+IF(EH2659="D",1,0)</f>
        <v>8</v>
      </c>
      <c r="AY2659" s="0" t="n">
        <f aca="false">COUNTIF(DU2659:EH2659, "&lt;&gt;")</f>
        <v>5</v>
      </c>
      <c r="AZ2659" s="0" t="n">
        <f aca="false">IF(EH2659&lt;&gt;"",1,0)</f>
        <v>0</v>
      </c>
      <c r="BB2659" s="0" t="s">
        <v>153</v>
      </c>
      <c r="BC2659" s="0" t="s">
        <v>154</v>
      </c>
      <c r="BD2659" s="0" t="s">
        <v>154</v>
      </c>
      <c r="BE2659" s="0" t="s">
        <v>154</v>
      </c>
      <c r="BF2659" s="0" t="s">
        <v>154</v>
      </c>
      <c r="BH2659" s="0" t="s">
        <v>154</v>
      </c>
      <c r="BJ2659" s="0" t="s">
        <v>154</v>
      </c>
      <c r="BK2659" s="0" t="s">
        <v>154</v>
      </c>
      <c r="BL2659" s="0" t="s">
        <v>154</v>
      </c>
      <c r="BP2659" s="0" t="s">
        <v>154</v>
      </c>
      <c r="BR2659" s="0" t="s">
        <v>154</v>
      </c>
      <c r="BS2659" s="0" t="s">
        <v>154</v>
      </c>
      <c r="BV2659" s="0" t="s">
        <v>154</v>
      </c>
      <c r="BY2659" s="0" t="s">
        <v>155</v>
      </c>
      <c r="CA2659" s="0" t="s">
        <v>154</v>
      </c>
      <c r="CC2659" s="0" t="s">
        <v>155</v>
      </c>
      <c r="CG2659" s="0" t="s">
        <v>154</v>
      </c>
      <c r="CH2659" s="0" t="s">
        <v>155</v>
      </c>
      <c r="CK2659" s="0" t="s">
        <v>154</v>
      </c>
      <c r="CL2659" s="0" t="s">
        <v>155</v>
      </c>
      <c r="CN2659" s="0" t="s">
        <v>154</v>
      </c>
      <c r="CO2659" s="0" t="s">
        <v>176</v>
      </c>
      <c r="CP2659" s="0" t="s">
        <v>154</v>
      </c>
      <c r="CQ2659" s="0" t="s">
        <v>155</v>
      </c>
      <c r="CT2659" s="0" t="s">
        <v>154</v>
      </c>
      <c r="CU2659" s="0" t="s">
        <v>155</v>
      </c>
      <c r="CV2659" s="0" t="s">
        <v>154</v>
      </c>
      <c r="CW2659" s="0" t="s">
        <v>155</v>
      </c>
      <c r="CY2659" s="0" t="s">
        <v>154</v>
      </c>
      <c r="CZ2659" s="0" t="s">
        <v>176</v>
      </c>
      <c r="DC2659" s="0" t="s">
        <v>154</v>
      </c>
      <c r="DD2659" s="0" t="s">
        <v>155</v>
      </c>
      <c r="DF2659" s="0" t="s">
        <v>154</v>
      </c>
      <c r="DG2659" s="0" t="s">
        <v>155</v>
      </c>
      <c r="DI2659" s="0" t="s">
        <v>154</v>
      </c>
      <c r="DJ2659" s="0" t="s">
        <v>155</v>
      </c>
      <c r="DL2659" s="0" t="s">
        <v>154</v>
      </c>
      <c r="DM2659" s="0" t="s">
        <v>176</v>
      </c>
      <c r="DN2659" s="0" t="s">
        <v>154</v>
      </c>
      <c r="DO2659" s="0" t="s">
        <v>155</v>
      </c>
      <c r="DR2659" s="0" t="s">
        <v>154</v>
      </c>
      <c r="DS2659" s="0" t="s">
        <v>155</v>
      </c>
      <c r="DU2659" s="0" t="s">
        <v>154</v>
      </c>
      <c r="DW2659" s="0" t="s">
        <v>155</v>
      </c>
      <c r="DX2659" s="0" t="s">
        <v>154</v>
      </c>
      <c r="EA2659" s="0" t="s">
        <v>154</v>
      </c>
      <c r="EF2659" s="0" t="s">
        <v>154</v>
      </c>
    </row>
    <row r="2660" customFormat="false" ht="13.8" hidden="false" customHeight="false" outlineLevel="0" collapsed="false">
      <c r="A2660" s="0" t="s">
        <v>11363</v>
      </c>
      <c r="B2660" s="0" t="n">
        <v>78</v>
      </c>
      <c r="C2660" s="0" t="n">
        <v>6044</v>
      </c>
      <c r="D2660" s="0" t="s">
        <v>11359</v>
      </c>
      <c r="E2660" s="0" t="s">
        <v>689</v>
      </c>
      <c r="F2660" s="0" t="str">
        <f aca="false">CONCATENATE(D2660," ",LEFT(H2660,4),"T=",AU2660,"D=",AV2660,"R=",AW2660,"M=",AX2660,"L=",AY2660,"B=",AZ2660)</f>
        <v>WALTKO T=7D=1R=0M=4L=5B=0</v>
      </c>
      <c r="G2660" s="0" t="s">
        <v>241</v>
      </c>
      <c r="I2660" s="0" t="s">
        <v>11364</v>
      </c>
      <c r="J2660" s="0" t="s">
        <v>11361</v>
      </c>
      <c r="K2660" s="0" t="s">
        <v>175</v>
      </c>
      <c r="L2660" s="1" t="s">
        <v>155</v>
      </c>
      <c r="M2660" s="0" t="s">
        <v>11362</v>
      </c>
      <c r="N2660" s="0" t="str">
        <f aca="false">RIGHT(M2660,LEN(M2660)-FIND(" ",M2660))</f>
        <v>VERNON AVE NW</v>
      </c>
      <c r="P2660" s="0" t="s">
        <v>146</v>
      </c>
      <c r="Q2660" s="0" t="s">
        <v>147</v>
      </c>
      <c r="R2660" s="0" t="n">
        <v>44483</v>
      </c>
      <c r="AD2660" s="0" t="s">
        <v>148</v>
      </c>
      <c r="AE2660" s="0" t="s">
        <v>149</v>
      </c>
      <c r="AF2660" s="0" t="s">
        <v>150</v>
      </c>
      <c r="AH2660" s="0" t="n">
        <v>14</v>
      </c>
      <c r="AI2660" s="0" t="n">
        <v>11</v>
      </c>
      <c r="AN2660" s="0" t="s">
        <v>146</v>
      </c>
      <c r="AO2660" s="0" t="s">
        <v>151</v>
      </c>
      <c r="AP2660" s="0" t="s">
        <v>152</v>
      </c>
      <c r="AQ2660" s="0" t="n">
        <v>9</v>
      </c>
      <c r="AR2660" s="0" t="n">
        <v>64</v>
      </c>
      <c r="AS2660" s="0" t="n">
        <v>32</v>
      </c>
      <c r="AU2660" s="0" t="n">
        <f aca="false">COUNTA($BA$1475:$EH$1475)</f>
        <v>7</v>
      </c>
      <c r="AV2660" s="0" t="n">
        <f aca="false">COUNTIF($BA$1475:$EH$1475,"D")</f>
        <v>1</v>
      </c>
      <c r="AW2660" s="0" t="n">
        <f aca="false">COUNTIF($BA$1475:$EH$1475,"R")</f>
        <v>0</v>
      </c>
      <c r="AX2660" s="0" t="n">
        <f aca="false">IF(BN2660="D",1,0)+IF(BO2660="D",1,0)+IF(BT2660="D",1,0)+IF(BU2660="D",1,0)+IF(BW2660="D",1,0)+IF(CC2660="D",1,0)+IF(CD2660="D",1,0)+IF(CE2660="D",1,0)+IF(CF2660="D",1,0)+IF(CL2660="D",1,0)+IF(CM2660="D",1,0)+IF(CQ2660="D",1,0)+IF(CR2660="D",1,0)+IF(CS2660="D",1,0)+IF(CW2660="D",1,0)+IF(CX2660="D",1,0)+IF(DD2660="D",1,0)+IF(DE2660="D",1,0)+IF(DJ2660="D",1,0)+IF(DK2660="D",1,0)+IF(DO2660="D",1,0)+IF(DP2660="D",1,0)+IF(DQ2660="D",1,0)+IF(DW2660="D",1,0)+IF(DZ2660="D",1,0)+IF(EH2660="D",1,0)</f>
        <v>4</v>
      </c>
      <c r="AY2660" s="0" t="n">
        <f aca="false">COUNTIF(DU2660:EH2660, "&lt;&gt;")</f>
        <v>5</v>
      </c>
      <c r="AZ2660" s="0" t="n">
        <f aca="false">IF(EH2660&lt;&gt;"",1,0)</f>
        <v>0</v>
      </c>
      <c r="BB2660" s="0" t="s">
        <v>153</v>
      </c>
      <c r="BC2660" s="0" t="s">
        <v>154</v>
      </c>
      <c r="BD2660" s="0" t="s">
        <v>154</v>
      </c>
      <c r="BF2660" s="0" t="s">
        <v>154</v>
      </c>
      <c r="BH2660" s="0" t="s">
        <v>154</v>
      </c>
      <c r="BK2660" s="0" t="s">
        <v>154</v>
      </c>
      <c r="BL2660" s="0" t="s">
        <v>154</v>
      </c>
      <c r="BP2660" s="0" t="s">
        <v>154</v>
      </c>
      <c r="BS2660" s="0" t="s">
        <v>154</v>
      </c>
      <c r="BV2660" s="0" t="s">
        <v>154</v>
      </c>
      <c r="CA2660" s="0" t="s">
        <v>154</v>
      </c>
      <c r="CH2660" s="0" t="s">
        <v>155</v>
      </c>
      <c r="CK2660" s="0" t="s">
        <v>154</v>
      </c>
      <c r="CL2660" s="0" t="s">
        <v>155</v>
      </c>
      <c r="CN2660" s="0" t="s">
        <v>154</v>
      </c>
      <c r="CO2660" s="0" t="s">
        <v>176</v>
      </c>
      <c r="CP2660" s="0" t="s">
        <v>154</v>
      </c>
      <c r="CU2660" s="0" t="s">
        <v>176</v>
      </c>
      <c r="CV2660" s="0" t="s">
        <v>154</v>
      </c>
      <c r="CY2660" s="0" t="s">
        <v>154</v>
      </c>
      <c r="CZ2660" s="0" t="s">
        <v>176</v>
      </c>
      <c r="DC2660" s="0" t="s">
        <v>154</v>
      </c>
      <c r="DD2660" s="0" t="s">
        <v>155</v>
      </c>
      <c r="DF2660" s="0" t="s">
        <v>154</v>
      </c>
      <c r="DG2660" s="0" t="s">
        <v>176</v>
      </c>
      <c r="DI2660" s="0" t="s">
        <v>154</v>
      </c>
      <c r="DL2660" s="0" t="s">
        <v>154</v>
      </c>
      <c r="DM2660" s="0" t="s">
        <v>176</v>
      </c>
      <c r="DN2660" s="0" t="s">
        <v>154</v>
      </c>
      <c r="DO2660" s="0" t="s">
        <v>155</v>
      </c>
      <c r="DR2660" s="0" t="s">
        <v>154</v>
      </c>
      <c r="DU2660" s="0" t="s">
        <v>154</v>
      </c>
      <c r="DW2660" s="0" t="s">
        <v>155</v>
      </c>
      <c r="DX2660" s="0" t="s">
        <v>154</v>
      </c>
      <c r="EA2660" s="0" t="s">
        <v>154</v>
      </c>
      <c r="EF2660" s="0" t="s">
        <v>154</v>
      </c>
    </row>
    <row r="2661" customFormat="false" ht="13.8" hidden="true" customHeight="false" outlineLevel="0" collapsed="false">
      <c r="A2661" s="0" t="s">
        <v>11365</v>
      </c>
      <c r="B2661" s="0" t="n">
        <v>78</v>
      </c>
      <c r="C2661" s="0" t="n">
        <v>383052</v>
      </c>
      <c r="D2661" s="0" t="s">
        <v>11366</v>
      </c>
      <c r="E2661" s="0" t="s">
        <v>546</v>
      </c>
      <c r="F2661" s="0" t="str">
        <f aca="false">CONCATENATE(D2661," ",LEFT(H2661,4),"T=",AU2661,"D=",AV2661,"R=",AW2661,"M=",AX2661,"L=",AY2661,"B=",AZ2661)</f>
        <v>GARCIA T=1D=0R=0M=0L=0B=0</v>
      </c>
      <c r="G2661" s="0" t="s">
        <v>11367</v>
      </c>
      <c r="I2661" s="0" t="s">
        <v>11368</v>
      </c>
      <c r="J2661" s="0" t="s">
        <v>4495</v>
      </c>
      <c r="K2661" s="0" t="s">
        <v>175</v>
      </c>
      <c r="L2661" s="0"/>
      <c r="M2661" s="0" t="s">
        <v>11369</v>
      </c>
      <c r="N2661" s="0" t="str">
        <f aca="false">RIGHT(M2661,LEN(M2661)-FIND(" ",M2661))</f>
        <v>VERNON AVE NW</v>
      </c>
      <c r="P2661" s="0" t="s">
        <v>146</v>
      </c>
      <c r="Q2661" s="0" t="s">
        <v>147</v>
      </c>
      <c r="R2661" s="0" t="n">
        <v>44483</v>
      </c>
      <c r="AD2661" s="0" t="s">
        <v>148</v>
      </c>
      <c r="AE2661" s="0" t="s">
        <v>149</v>
      </c>
      <c r="AF2661" s="0" t="s">
        <v>150</v>
      </c>
      <c r="AH2661" s="0" t="n">
        <v>14</v>
      </c>
      <c r="AI2661" s="0" t="n">
        <v>11</v>
      </c>
      <c r="AN2661" s="0" t="s">
        <v>146</v>
      </c>
      <c r="AO2661" s="0" t="s">
        <v>151</v>
      </c>
      <c r="AP2661" s="0" t="s">
        <v>152</v>
      </c>
      <c r="AQ2661" s="0" t="n">
        <v>9</v>
      </c>
      <c r="AR2661" s="0" t="n">
        <v>64</v>
      </c>
      <c r="AS2661" s="0" t="n">
        <v>32</v>
      </c>
      <c r="AU2661" s="0" t="n">
        <f aca="false">COUNTA($BA$1456:$EH$1456)</f>
        <v>1</v>
      </c>
      <c r="AV2661" s="0" t="n">
        <f aca="false">COUNTIF($BA$1456:$EH$1456,"D")</f>
        <v>0</v>
      </c>
      <c r="AW2661" s="0" t="n">
        <f aca="false">COUNTIF($BA$1456:$EH$1456,"R")</f>
        <v>0</v>
      </c>
      <c r="AX2661" s="0" t="n">
        <f aca="false">IF(BN2661="D",1,0)+IF(BO2661="D",1,0)+IF(BT2661="D",1,0)+IF(BU2661="D",1,0)+IF(BW2661="D",1,0)+IF(CC2661="D",1,0)+IF(CD2661="D",1,0)+IF(CE2661="D",1,0)+IF(CF2661="D",1,0)+IF(CL2661="D",1,0)+IF(CM2661="D",1,0)+IF(CQ2661="D",1,0)+IF(CR2661="D",1,0)+IF(CS2661="D",1,0)+IF(CW2661="D",1,0)+IF(CX2661="D",1,0)+IF(DD2661="D",1,0)+IF(DE2661="D",1,0)+IF(DJ2661="D",1,0)+IF(DK2661="D",1,0)+IF(DO2661="D",1,0)+IF(DP2661="D",1,0)+IF(DQ2661="D",1,0)+IF(DW2661="D",1,0)+IF(DZ2661="D",1,0)+IF(EH2661="D",1,0)</f>
        <v>0</v>
      </c>
      <c r="AY2661" s="0" t="n">
        <f aca="false">COUNTIF(DU2661:EH2661, "&lt;&gt;")</f>
        <v>0</v>
      </c>
      <c r="AZ2661" s="0" t="n">
        <f aca="false">IF(EH2661&lt;&gt;"",1,0)</f>
        <v>0</v>
      </c>
      <c r="BB2661" s="0" t="s">
        <v>153</v>
      </c>
      <c r="CN2661" s="0" t="s">
        <v>154</v>
      </c>
      <c r="DC2661" s="0" t="s">
        <v>154</v>
      </c>
    </row>
    <row r="2662" customFormat="false" ht="13.8" hidden="true" customHeight="false" outlineLevel="0" collapsed="false">
      <c r="A2662" s="0" t="s">
        <v>11370</v>
      </c>
      <c r="B2662" s="0" t="n">
        <v>78</v>
      </c>
      <c r="C2662" s="0" t="n">
        <v>402163</v>
      </c>
      <c r="D2662" s="0" t="s">
        <v>11366</v>
      </c>
      <c r="E2662" s="0" t="s">
        <v>4268</v>
      </c>
      <c r="F2662" s="0" t="str">
        <f aca="false">CONCATENATE(D2662," ",LEFT(H2662,4),"T=",AU2662,"D=",AV2662,"R=",AW2662,"M=",AX2662,"L=",AY2662,"B=",AZ2662)</f>
        <v>GARCIA T=6D=0R=0M=0L=0B=0</v>
      </c>
      <c r="G2662" s="0" t="s">
        <v>11371</v>
      </c>
      <c r="I2662" s="0" t="s">
        <v>11372</v>
      </c>
      <c r="J2662" s="0" t="s">
        <v>9954</v>
      </c>
      <c r="K2662" s="0" t="s">
        <v>144</v>
      </c>
      <c r="L2662" s="0"/>
      <c r="M2662" s="0" t="s">
        <v>11369</v>
      </c>
      <c r="N2662" s="0" t="str">
        <f aca="false">RIGHT(M2662,LEN(M2662)-FIND(" ",M2662))</f>
        <v>VERNON AVE NW</v>
      </c>
      <c r="P2662" s="0" t="s">
        <v>146</v>
      </c>
      <c r="Q2662" s="0" t="s">
        <v>147</v>
      </c>
      <c r="R2662" s="0" t="n">
        <v>44483</v>
      </c>
      <c r="AD2662" s="0" t="s">
        <v>148</v>
      </c>
      <c r="AE2662" s="0" t="s">
        <v>149</v>
      </c>
      <c r="AF2662" s="0" t="s">
        <v>150</v>
      </c>
      <c r="AH2662" s="0" t="n">
        <v>14</v>
      </c>
      <c r="AI2662" s="0" t="n">
        <v>11</v>
      </c>
      <c r="AN2662" s="0" t="s">
        <v>146</v>
      </c>
      <c r="AO2662" s="0" t="s">
        <v>151</v>
      </c>
      <c r="AP2662" s="0" t="s">
        <v>152</v>
      </c>
      <c r="AQ2662" s="0" t="n">
        <v>9</v>
      </c>
      <c r="AR2662" s="0" t="n">
        <v>64</v>
      </c>
      <c r="AS2662" s="0" t="n">
        <v>32</v>
      </c>
      <c r="AU2662" s="0" t="n">
        <f aca="false">COUNTA($BA$1957:$EH$1957)</f>
        <v>6</v>
      </c>
      <c r="AV2662" s="0" t="n">
        <f aca="false">COUNTIF($BA$1957:$EH$1957,"D")</f>
        <v>0</v>
      </c>
      <c r="AW2662" s="0" t="n">
        <f aca="false">COUNTIF($BA$1957:$EH$1957,"R")</f>
        <v>0</v>
      </c>
      <c r="AX2662" s="0" t="n">
        <f aca="false">IF(BN2662="D",1,0)+IF(BO2662="D",1,0)+IF(BT2662="D",1,0)+IF(BU2662="D",1,0)+IF(BW2662="D",1,0)+IF(CC2662="D",1,0)+IF(CD2662="D",1,0)+IF(CE2662="D",1,0)+IF(CF2662="D",1,0)+IF(CL2662="D",1,0)+IF(CM2662="D",1,0)+IF(CQ2662="D",1,0)+IF(CR2662="D",1,0)+IF(CS2662="D",1,0)+IF(CW2662="D",1,0)+IF(CX2662="D",1,0)+IF(DD2662="D",1,0)+IF(DE2662="D",1,0)+IF(DJ2662="D",1,0)+IF(DK2662="D",1,0)+IF(DO2662="D",1,0)+IF(DP2662="D",1,0)+IF(DQ2662="D",1,0)+IF(DW2662="D",1,0)+IF(DZ2662="D",1,0)+IF(EH2662="D",1,0)</f>
        <v>0</v>
      </c>
      <c r="AY2662" s="0" t="n">
        <f aca="false">COUNTIF(DU2662:EH2662, "&lt;&gt;")</f>
        <v>0</v>
      </c>
      <c r="AZ2662" s="0" t="n">
        <f aca="false">IF(EH2662&lt;&gt;"",1,0)</f>
        <v>0</v>
      </c>
      <c r="BB2662" s="0" t="s">
        <v>153</v>
      </c>
    </row>
    <row r="2663" customFormat="false" ht="13.8" hidden="false" customHeight="false" outlineLevel="0" collapsed="false">
      <c r="A2663" s="0" t="s">
        <v>11373</v>
      </c>
      <c r="B2663" s="0" t="n">
        <v>78</v>
      </c>
      <c r="C2663" s="0" t="n">
        <v>298573</v>
      </c>
      <c r="D2663" s="0" t="s">
        <v>11374</v>
      </c>
      <c r="E2663" s="0" t="s">
        <v>664</v>
      </c>
      <c r="F2663" s="0" t="str">
        <f aca="false">CONCATENATE(D2663," ",LEFT(H2663,4),"T=",AU2663,"D=",AV2663,"R=",AW2663,"M=",AX2663,"L=",AY2663,"B=",AZ2663)</f>
        <v>SLAUBAUGH T=23D=1R=2M=0L=5B=0</v>
      </c>
      <c r="I2663" s="0" t="s">
        <v>11375</v>
      </c>
      <c r="J2663" s="0" t="s">
        <v>11376</v>
      </c>
      <c r="K2663" s="0" t="s">
        <v>175</v>
      </c>
      <c r="L2663" s="1" t="s">
        <v>176</v>
      </c>
      <c r="M2663" s="0" t="s">
        <v>11377</v>
      </c>
      <c r="N2663" s="0" t="str">
        <f aca="false">RIGHT(M2663,LEN(M2663)-FIND(" ",M2663))</f>
        <v>VERNON AVE NW</v>
      </c>
      <c r="P2663" s="0" t="s">
        <v>146</v>
      </c>
      <c r="Q2663" s="0" t="s">
        <v>147</v>
      </c>
      <c r="R2663" s="0" t="n">
        <v>44483</v>
      </c>
      <c r="AD2663" s="0" t="s">
        <v>148</v>
      </c>
      <c r="AE2663" s="0" t="s">
        <v>149</v>
      </c>
      <c r="AF2663" s="0" t="s">
        <v>150</v>
      </c>
      <c r="AH2663" s="0" t="n">
        <v>14</v>
      </c>
      <c r="AI2663" s="0" t="n">
        <v>11</v>
      </c>
      <c r="AN2663" s="0" t="s">
        <v>146</v>
      </c>
      <c r="AO2663" s="0" t="s">
        <v>151</v>
      </c>
      <c r="AP2663" s="0" t="s">
        <v>152</v>
      </c>
      <c r="AQ2663" s="0" t="n">
        <v>9</v>
      </c>
      <c r="AR2663" s="0" t="n">
        <v>64</v>
      </c>
      <c r="AS2663" s="0" t="n">
        <v>32</v>
      </c>
      <c r="AU2663" s="0" t="n">
        <f aca="false">COUNTA($BA$1280:$EH$1280)</f>
        <v>23</v>
      </c>
      <c r="AV2663" s="0" t="n">
        <f aca="false">COUNTIF($BA$1280:$EH$1280,"D")</f>
        <v>1</v>
      </c>
      <c r="AW2663" s="0" t="n">
        <f aca="false">COUNTIF($BA$1280:$EH$1280,"R")</f>
        <v>2</v>
      </c>
      <c r="AX2663" s="0" t="n">
        <f aca="false">IF(BN2663="D",1,0)+IF(BO2663="D",1,0)+IF(BT2663="D",1,0)+IF(BU2663="D",1,0)+IF(BW2663="D",1,0)+IF(CC2663="D",1,0)+IF(CD2663="D",1,0)+IF(CE2663="D",1,0)+IF(CF2663="D",1,0)+IF(CL2663="D",1,0)+IF(CM2663="D",1,0)+IF(CQ2663="D",1,0)+IF(CR2663="D",1,0)+IF(CS2663="D",1,0)+IF(CW2663="D",1,0)+IF(CX2663="D",1,0)+IF(DD2663="D",1,0)+IF(DE2663="D",1,0)+IF(DJ2663="D",1,0)+IF(DK2663="D",1,0)+IF(DO2663="D",1,0)+IF(DP2663="D",1,0)+IF(DQ2663="D",1,0)+IF(DW2663="D",1,0)+IF(DZ2663="D",1,0)+IF(EH2663="D",1,0)</f>
        <v>0</v>
      </c>
      <c r="AY2663" s="0" t="n">
        <f aca="false">COUNTIF(DU2663:EH2663, "&lt;&gt;")</f>
        <v>5</v>
      </c>
      <c r="AZ2663" s="0" t="n">
        <f aca="false">IF(EH2663&lt;&gt;"",1,0)</f>
        <v>0</v>
      </c>
      <c r="BB2663" s="0" t="s">
        <v>153</v>
      </c>
      <c r="BD2663" s="0" t="s">
        <v>154</v>
      </c>
      <c r="BH2663" s="0" t="s">
        <v>154</v>
      </c>
      <c r="BJ2663" s="0" t="s">
        <v>154</v>
      </c>
      <c r="BL2663" s="0" t="s">
        <v>154</v>
      </c>
      <c r="BP2663" s="0" t="s">
        <v>154</v>
      </c>
      <c r="BS2663" s="0" t="s">
        <v>154</v>
      </c>
      <c r="CA2663" s="0" t="s">
        <v>154</v>
      </c>
      <c r="CG2663" s="0" t="s">
        <v>154</v>
      </c>
      <c r="CK2663" s="0" t="s">
        <v>154</v>
      </c>
      <c r="CN2663" s="0" t="s">
        <v>154</v>
      </c>
      <c r="CP2663" s="0" t="s">
        <v>154</v>
      </c>
      <c r="CU2663" s="0" t="s">
        <v>176</v>
      </c>
      <c r="CV2663" s="0" t="s">
        <v>154</v>
      </c>
      <c r="CZ2663" s="0" t="s">
        <v>176</v>
      </c>
      <c r="DC2663" s="0" t="s">
        <v>154</v>
      </c>
      <c r="DI2663" s="0" t="s">
        <v>154</v>
      </c>
      <c r="DN2663" s="0" t="s">
        <v>154</v>
      </c>
      <c r="DU2663" s="0" t="s">
        <v>154</v>
      </c>
      <c r="DX2663" s="0" t="s">
        <v>154</v>
      </c>
      <c r="EA2663" s="0" t="s">
        <v>154</v>
      </c>
      <c r="ED2663" s="0" t="s">
        <v>176</v>
      </c>
      <c r="EF2663" s="0" t="s">
        <v>154</v>
      </c>
    </row>
    <row r="2664" customFormat="false" ht="13.8" hidden="false" customHeight="false" outlineLevel="0" collapsed="false">
      <c r="A2664" s="0" t="s">
        <v>11378</v>
      </c>
      <c r="B2664" s="0" t="n">
        <v>78</v>
      </c>
      <c r="C2664" s="0" t="n">
        <v>298312</v>
      </c>
      <c r="D2664" s="0" t="s">
        <v>11374</v>
      </c>
      <c r="E2664" s="0" t="s">
        <v>1330</v>
      </c>
      <c r="F2664" s="0" t="str">
        <f aca="false">CONCATENATE(D2664," ",LEFT(H2664,4),"T=",AU2664,"D=",AV2664,"R=",AW2664,"M=",AX2664,"L=",AY2664,"B=",AZ2664)</f>
        <v>SLAUBAUGH T=16D=1R=0M=0L=5B=0</v>
      </c>
      <c r="G2664" s="0" t="s">
        <v>166</v>
      </c>
      <c r="I2664" s="0" t="s">
        <v>11379</v>
      </c>
      <c r="J2664" s="0" t="s">
        <v>11380</v>
      </c>
      <c r="K2664" s="0" t="s">
        <v>175</v>
      </c>
      <c r="L2664" s="1" t="s">
        <v>176</v>
      </c>
      <c r="M2664" s="0" t="s">
        <v>11377</v>
      </c>
      <c r="N2664" s="0" t="str">
        <f aca="false">RIGHT(M2664,LEN(M2664)-FIND(" ",M2664))</f>
        <v>VERNON AVE NW</v>
      </c>
      <c r="P2664" s="0" t="s">
        <v>146</v>
      </c>
      <c r="Q2664" s="0" t="s">
        <v>147</v>
      </c>
      <c r="R2664" s="0" t="n">
        <v>44483</v>
      </c>
      <c r="AD2664" s="0" t="s">
        <v>148</v>
      </c>
      <c r="AE2664" s="0" t="s">
        <v>149</v>
      </c>
      <c r="AF2664" s="0" t="s">
        <v>150</v>
      </c>
      <c r="AH2664" s="0" t="n">
        <v>14</v>
      </c>
      <c r="AI2664" s="0" t="n">
        <v>11</v>
      </c>
      <c r="AN2664" s="0" t="s">
        <v>146</v>
      </c>
      <c r="AO2664" s="0" t="s">
        <v>151</v>
      </c>
      <c r="AP2664" s="0" t="s">
        <v>152</v>
      </c>
      <c r="AQ2664" s="0" t="n">
        <v>9</v>
      </c>
      <c r="AR2664" s="0" t="n">
        <v>64</v>
      </c>
      <c r="AS2664" s="0" t="n">
        <v>32</v>
      </c>
      <c r="AU2664" s="0" t="n">
        <f aca="false">COUNTA($BA$1283:$EH$1283)</f>
        <v>16</v>
      </c>
      <c r="AV2664" s="0" t="n">
        <f aca="false">COUNTIF($BA$1283:$EH$1283,"D")</f>
        <v>1</v>
      </c>
      <c r="AW2664" s="0" t="n">
        <f aca="false">COUNTIF($BA$1283:$EH$1283,"R")</f>
        <v>0</v>
      </c>
      <c r="AX2664" s="0" t="n">
        <f aca="false">IF(BN2664="D",1,0)+IF(BO2664="D",1,0)+IF(BT2664="D",1,0)+IF(BU2664="D",1,0)+IF(BW2664="D",1,0)+IF(CC2664="D",1,0)+IF(CD2664="D",1,0)+IF(CE2664="D",1,0)+IF(CF2664="D",1,0)+IF(CL2664="D",1,0)+IF(CM2664="D",1,0)+IF(CQ2664="D",1,0)+IF(CR2664="D",1,0)+IF(CS2664="D",1,0)+IF(CW2664="D",1,0)+IF(CX2664="D",1,0)+IF(DD2664="D",1,0)+IF(DE2664="D",1,0)+IF(DJ2664="D",1,0)+IF(DK2664="D",1,0)+IF(DO2664="D",1,0)+IF(DP2664="D",1,0)+IF(DQ2664="D",1,0)+IF(DW2664="D",1,0)+IF(DZ2664="D",1,0)+IF(EH2664="D",1,0)</f>
        <v>0</v>
      </c>
      <c r="AY2664" s="0" t="n">
        <f aca="false">COUNTIF(DU2664:EH2664, "&lt;&gt;")</f>
        <v>5</v>
      </c>
      <c r="AZ2664" s="0" t="n">
        <f aca="false">IF(EH2664&lt;&gt;"",1,0)</f>
        <v>0</v>
      </c>
      <c r="BB2664" s="0" t="s">
        <v>153</v>
      </c>
      <c r="BD2664" s="0" t="s">
        <v>154</v>
      </c>
      <c r="BH2664" s="0" t="s">
        <v>154</v>
      </c>
      <c r="BJ2664" s="0" t="s">
        <v>154</v>
      </c>
      <c r="BL2664" s="0" t="s">
        <v>154</v>
      </c>
      <c r="BP2664" s="0" t="s">
        <v>154</v>
      </c>
      <c r="BS2664" s="0" t="s">
        <v>154</v>
      </c>
      <c r="BY2664" s="0" t="s">
        <v>176</v>
      </c>
      <c r="CA2664" s="0" t="s">
        <v>154</v>
      </c>
      <c r="CG2664" s="0" t="s">
        <v>154</v>
      </c>
      <c r="CK2664" s="0" t="s">
        <v>154</v>
      </c>
      <c r="CN2664" s="0" t="s">
        <v>154</v>
      </c>
      <c r="CO2664" s="0" t="s">
        <v>176</v>
      </c>
      <c r="CP2664" s="0" t="s">
        <v>154</v>
      </c>
      <c r="CV2664" s="0" t="s">
        <v>154</v>
      </c>
      <c r="CY2664" s="0" t="s">
        <v>154</v>
      </c>
      <c r="CZ2664" s="0" t="s">
        <v>176</v>
      </c>
      <c r="DC2664" s="0" t="s">
        <v>154</v>
      </c>
      <c r="DI2664" s="0" t="s">
        <v>154</v>
      </c>
      <c r="DN2664" s="0" t="s">
        <v>154</v>
      </c>
      <c r="DS2664" s="0" t="s">
        <v>176</v>
      </c>
      <c r="DU2664" s="0" t="s">
        <v>154</v>
      </c>
      <c r="DX2664" s="0" t="s">
        <v>154</v>
      </c>
      <c r="EA2664" s="0" t="s">
        <v>154</v>
      </c>
      <c r="ED2664" s="0" t="s">
        <v>176</v>
      </c>
      <c r="EF2664" s="0" t="s">
        <v>154</v>
      </c>
    </row>
    <row r="2665" customFormat="false" ht="13.8" hidden="true" customHeight="false" outlineLevel="0" collapsed="false">
      <c r="A2665" s="0" t="s">
        <v>11381</v>
      </c>
      <c r="B2665" s="0" t="n">
        <v>78</v>
      </c>
      <c r="C2665" s="0" t="n">
        <v>438495</v>
      </c>
      <c r="D2665" s="0" t="s">
        <v>11374</v>
      </c>
      <c r="E2665" s="0" t="s">
        <v>1583</v>
      </c>
      <c r="F2665" s="0" t="str">
        <f aca="false">CONCATENATE(D2665," ",LEFT(H2665,4),"T=",AU2665,"D=",AV2665,"R=",AW2665,"M=",AX2665,"L=",AY2665,"B=",AZ2665)</f>
        <v>SLAUBAUGH T=9D=0R=0M=0L=0B=0</v>
      </c>
      <c r="G2665" s="0" t="s">
        <v>11382</v>
      </c>
      <c r="I2665" s="0" t="s">
        <v>9839</v>
      </c>
      <c r="J2665" s="0" t="s">
        <v>11383</v>
      </c>
      <c r="K2665" s="0" t="s">
        <v>144</v>
      </c>
      <c r="L2665" s="0"/>
      <c r="M2665" s="0" t="s">
        <v>11377</v>
      </c>
      <c r="N2665" s="0" t="str">
        <f aca="false">RIGHT(M2665,LEN(M2665)-FIND(" ",M2665))</f>
        <v>VERNON AVE NW</v>
      </c>
      <c r="P2665" s="0" t="s">
        <v>146</v>
      </c>
      <c r="Q2665" s="0" t="s">
        <v>147</v>
      </c>
      <c r="R2665" s="0" t="n">
        <v>44483</v>
      </c>
      <c r="AD2665" s="0" t="s">
        <v>148</v>
      </c>
      <c r="AE2665" s="0" t="s">
        <v>149</v>
      </c>
      <c r="AF2665" s="0" t="s">
        <v>150</v>
      </c>
      <c r="AH2665" s="0" t="n">
        <v>14</v>
      </c>
      <c r="AI2665" s="0" t="n">
        <v>11</v>
      </c>
      <c r="AN2665" s="0" t="s">
        <v>146</v>
      </c>
      <c r="AO2665" s="0" t="s">
        <v>151</v>
      </c>
      <c r="AP2665" s="0" t="s">
        <v>152</v>
      </c>
      <c r="AQ2665" s="0" t="n">
        <v>9</v>
      </c>
      <c r="AR2665" s="0" t="n">
        <v>64</v>
      </c>
      <c r="AS2665" s="0" t="n">
        <v>32</v>
      </c>
      <c r="AU2665" s="0" t="n">
        <f aca="false">COUNTA($BA$1483:$EH$1483)</f>
        <v>9</v>
      </c>
      <c r="AV2665" s="0" t="n">
        <f aca="false">COUNTIF($BA$1483:$EH$1483,"D")</f>
        <v>0</v>
      </c>
      <c r="AW2665" s="0" t="n">
        <f aca="false">COUNTIF($BA$1483:$EH$1483,"R")</f>
        <v>0</v>
      </c>
      <c r="AX2665" s="0" t="n">
        <f aca="false">IF(BN2665="D",1,0)+IF(BO2665="D",1,0)+IF(BT2665="D",1,0)+IF(BU2665="D",1,0)+IF(BW2665="D",1,0)+IF(CC2665="D",1,0)+IF(CD2665="D",1,0)+IF(CE2665="D",1,0)+IF(CF2665="D",1,0)+IF(CL2665="D",1,0)+IF(CM2665="D",1,0)+IF(CQ2665="D",1,0)+IF(CR2665="D",1,0)+IF(CS2665="D",1,0)+IF(CW2665="D",1,0)+IF(CX2665="D",1,0)+IF(DD2665="D",1,0)+IF(DE2665="D",1,0)+IF(DJ2665="D",1,0)+IF(DK2665="D",1,0)+IF(DO2665="D",1,0)+IF(DP2665="D",1,0)+IF(DQ2665="D",1,0)+IF(DW2665="D",1,0)+IF(DZ2665="D",1,0)+IF(EH2665="D",1,0)</f>
        <v>0</v>
      </c>
      <c r="AY2665" s="0" t="n">
        <f aca="false">COUNTIF(DU2665:EH2665, "&lt;&gt;")</f>
        <v>0</v>
      </c>
      <c r="AZ2665" s="0" t="n">
        <f aca="false">IF(EH2665&lt;&gt;"",1,0)</f>
        <v>0</v>
      </c>
      <c r="BB2665" s="0" t="s">
        <v>153</v>
      </c>
      <c r="DN2665" s="0" t="s">
        <v>154</v>
      </c>
    </row>
    <row r="2666" customFormat="false" ht="13.8" hidden="true" customHeight="false" outlineLevel="0" collapsed="false">
      <c r="A2666" s="0" t="s">
        <v>11384</v>
      </c>
      <c r="B2666" s="0" t="n">
        <v>78</v>
      </c>
      <c r="C2666" s="0" t="n">
        <v>446254</v>
      </c>
      <c r="D2666" s="0" t="s">
        <v>11374</v>
      </c>
      <c r="E2666" s="0" t="s">
        <v>609</v>
      </c>
      <c r="F2666" s="0" t="str">
        <f aca="false">CONCATENATE(D2666," ",LEFT(H2666,4),"T=",AU2666,"D=",AV2666,"R=",AW2666,"M=",AX2666,"L=",AY2666,"B=",AZ2666)</f>
        <v>SLAUBAUGH T=1D=0R=0M=0L=0B=0</v>
      </c>
      <c r="G2666" s="0" t="s">
        <v>376</v>
      </c>
      <c r="I2666" s="0" t="s">
        <v>11385</v>
      </c>
      <c r="J2666" s="0" t="s">
        <v>4771</v>
      </c>
      <c r="K2666" s="0" t="s">
        <v>144</v>
      </c>
      <c r="L2666" s="0"/>
      <c r="M2666" s="0" t="s">
        <v>11377</v>
      </c>
      <c r="N2666" s="0" t="str">
        <f aca="false">RIGHT(M2666,LEN(M2666)-FIND(" ",M2666))</f>
        <v>VERNON AVE NW</v>
      </c>
      <c r="P2666" s="0" t="s">
        <v>146</v>
      </c>
      <c r="Q2666" s="0" t="s">
        <v>147</v>
      </c>
      <c r="R2666" s="0" t="n">
        <v>44483</v>
      </c>
      <c r="AD2666" s="0" t="s">
        <v>148</v>
      </c>
      <c r="AE2666" s="0" t="s">
        <v>149</v>
      </c>
      <c r="AF2666" s="0" t="s">
        <v>150</v>
      </c>
      <c r="AH2666" s="0" t="n">
        <v>14</v>
      </c>
      <c r="AI2666" s="0" t="n">
        <v>11</v>
      </c>
      <c r="AN2666" s="0" t="s">
        <v>146</v>
      </c>
      <c r="AO2666" s="0" t="s">
        <v>151</v>
      </c>
      <c r="AP2666" s="0" t="s">
        <v>152</v>
      </c>
      <c r="AQ2666" s="0" t="n">
        <v>9</v>
      </c>
      <c r="AR2666" s="0" t="n">
        <v>64</v>
      </c>
      <c r="AS2666" s="0" t="n">
        <v>32</v>
      </c>
      <c r="AU2666" s="0" t="n">
        <f aca="false">COUNTA($BA$1861:$EH$1861)</f>
        <v>1</v>
      </c>
      <c r="AV2666" s="0" t="n">
        <f aca="false">COUNTIF($BA$1861:$EH$1861,"D")</f>
        <v>0</v>
      </c>
      <c r="AW2666" s="0" t="n">
        <f aca="false">COUNTIF($BA$1861:$EH$1861,"R")</f>
        <v>0</v>
      </c>
      <c r="AX2666" s="0" t="n">
        <f aca="false">IF(BN2666="D",1,0)+IF(BO2666="D",1,0)+IF(BT2666="D",1,0)+IF(BU2666="D",1,0)+IF(BW2666="D",1,0)+IF(CC2666="D",1,0)+IF(CD2666="D",1,0)+IF(CE2666="D",1,0)+IF(CF2666="D",1,0)+IF(CL2666="D",1,0)+IF(CM2666="D",1,0)+IF(CQ2666="D",1,0)+IF(CR2666="D",1,0)+IF(CS2666="D",1,0)+IF(CW2666="D",1,0)+IF(CX2666="D",1,0)+IF(DD2666="D",1,0)+IF(DE2666="D",1,0)+IF(DJ2666="D",1,0)+IF(DK2666="D",1,0)+IF(DO2666="D",1,0)+IF(DP2666="D",1,0)+IF(DQ2666="D",1,0)+IF(DW2666="D",1,0)+IF(DZ2666="D",1,0)+IF(EH2666="D",1,0)</f>
        <v>0</v>
      </c>
      <c r="AY2666" s="0" t="n">
        <f aca="false">COUNTIF(DU2666:EH2666, "&lt;&gt;")</f>
        <v>0</v>
      </c>
      <c r="AZ2666" s="0" t="n">
        <f aca="false">IF(EH2666&lt;&gt;"",1,0)</f>
        <v>0</v>
      </c>
      <c r="BB2666" s="0" t="s">
        <v>153</v>
      </c>
      <c r="DN2666" s="0" t="s">
        <v>154</v>
      </c>
    </row>
    <row r="2667" customFormat="false" ht="13.8" hidden="false" customHeight="false" outlineLevel="0" collapsed="false">
      <c r="A2667" s="0" t="s">
        <v>11386</v>
      </c>
      <c r="B2667" s="0" t="n">
        <v>78</v>
      </c>
      <c r="C2667" s="0" t="n">
        <v>5764</v>
      </c>
      <c r="D2667" s="0" t="s">
        <v>11387</v>
      </c>
      <c r="E2667" s="0" t="s">
        <v>1942</v>
      </c>
      <c r="F2667" s="0" t="str">
        <f aca="false">CONCATENATE(D2667," ",LEFT(H2667,4),"T=",AU2667,"D=",AV2667,"R=",AW2667,"M=",AX2667,"L=",AY2667,"B=",AZ2667)</f>
        <v>ETTINGER JRT=2D=0R=0M=4L=2B=0</v>
      </c>
      <c r="H2667" s="0" t="s">
        <v>431</v>
      </c>
      <c r="I2667" s="0" t="s">
        <v>11388</v>
      </c>
      <c r="J2667" s="0" t="s">
        <v>11389</v>
      </c>
      <c r="K2667" s="0" t="s">
        <v>175</v>
      </c>
      <c r="M2667" s="0" t="s">
        <v>11390</v>
      </c>
      <c r="N2667" s="0" t="str">
        <f aca="false">RIGHT(M2667,LEN(M2667)-FIND(" ",M2667))</f>
        <v>VERNON AVE NW</v>
      </c>
      <c r="P2667" s="0" t="s">
        <v>146</v>
      </c>
      <c r="Q2667" s="0" t="s">
        <v>147</v>
      </c>
      <c r="R2667" s="0" t="n">
        <v>44483</v>
      </c>
      <c r="AD2667" s="0" t="s">
        <v>148</v>
      </c>
      <c r="AE2667" s="0" t="s">
        <v>149</v>
      </c>
      <c r="AF2667" s="0" t="s">
        <v>150</v>
      </c>
      <c r="AH2667" s="0" t="n">
        <v>14</v>
      </c>
      <c r="AI2667" s="0" t="n">
        <v>11</v>
      </c>
      <c r="AN2667" s="0" t="s">
        <v>146</v>
      </c>
      <c r="AO2667" s="0" t="s">
        <v>151</v>
      </c>
      <c r="AP2667" s="0" t="s">
        <v>152</v>
      </c>
      <c r="AQ2667" s="0" t="n">
        <v>9</v>
      </c>
      <c r="AR2667" s="0" t="n">
        <v>64</v>
      </c>
      <c r="AS2667" s="0" t="n">
        <v>32</v>
      </c>
      <c r="AU2667" s="0" t="n">
        <f aca="false">COUNTA($BA$1349:$EH$1349)</f>
        <v>2</v>
      </c>
      <c r="AV2667" s="0" t="n">
        <f aca="false">COUNTIF($BA$1349:$EH$1349,"D")</f>
        <v>0</v>
      </c>
      <c r="AW2667" s="0" t="n">
        <f aca="false">COUNTIF($BA$1349:$EH$1349,"R")</f>
        <v>0</v>
      </c>
      <c r="AX2667" s="0" t="n">
        <f aca="false">IF(BN2667="D",1,0)+IF(BO2667="D",1,0)+IF(BT2667="D",1,0)+IF(BU2667="D",1,0)+IF(BW2667="D",1,0)+IF(CC2667="D",1,0)+IF(CD2667="D",1,0)+IF(CE2667="D",1,0)+IF(CF2667="D",1,0)+IF(CL2667="D",1,0)+IF(CM2667="D",1,0)+IF(CQ2667="D",1,0)+IF(CR2667="D",1,0)+IF(CS2667="D",1,0)+IF(CW2667="D",1,0)+IF(CX2667="D",1,0)+IF(DD2667="D",1,0)+IF(DE2667="D",1,0)+IF(DJ2667="D",1,0)+IF(DK2667="D",1,0)+IF(DO2667="D",1,0)+IF(DP2667="D",1,0)+IF(DQ2667="D",1,0)+IF(DW2667="D",1,0)+IF(DZ2667="D",1,0)+IF(EH2667="D",1,0)</f>
        <v>4</v>
      </c>
      <c r="AY2667" s="0" t="n">
        <f aca="false">COUNTIF(DU2667:EH2667, "&lt;&gt;")</f>
        <v>2</v>
      </c>
      <c r="AZ2667" s="0" t="n">
        <f aca="false">IF(EH2667&lt;&gt;"",1,0)</f>
        <v>0</v>
      </c>
      <c r="BB2667" s="0" t="s">
        <v>153</v>
      </c>
      <c r="BC2667" s="0" t="s">
        <v>154</v>
      </c>
      <c r="BD2667" s="0" t="s">
        <v>154</v>
      </c>
      <c r="BE2667" s="0" t="s">
        <v>154</v>
      </c>
      <c r="BF2667" s="0" t="s">
        <v>154</v>
      </c>
      <c r="BG2667" s="0" t="s">
        <v>154</v>
      </c>
      <c r="BH2667" s="0" t="s">
        <v>154</v>
      </c>
      <c r="BI2667" s="0" t="s">
        <v>154</v>
      </c>
      <c r="BJ2667" s="0" t="s">
        <v>154</v>
      </c>
      <c r="BK2667" s="0" t="s">
        <v>154</v>
      </c>
      <c r="BL2667" s="0" t="s">
        <v>154</v>
      </c>
      <c r="BP2667" s="0" t="s">
        <v>154</v>
      </c>
      <c r="BR2667" s="0" t="s">
        <v>154</v>
      </c>
      <c r="BS2667" s="0" t="s">
        <v>154</v>
      </c>
      <c r="BV2667" s="0" t="s">
        <v>154</v>
      </c>
      <c r="BY2667" s="0" t="s">
        <v>155</v>
      </c>
      <c r="CA2667" s="0" t="s">
        <v>154</v>
      </c>
      <c r="CG2667" s="0" t="s">
        <v>154</v>
      </c>
      <c r="CH2667" s="0" t="s">
        <v>155</v>
      </c>
      <c r="CK2667" s="0" t="s">
        <v>154</v>
      </c>
      <c r="CL2667" s="0" t="s">
        <v>155</v>
      </c>
      <c r="CN2667" s="0" t="s">
        <v>154</v>
      </c>
      <c r="CO2667" s="0" t="s">
        <v>155</v>
      </c>
      <c r="CP2667" s="0" t="s">
        <v>154</v>
      </c>
      <c r="CT2667" s="0" t="s">
        <v>154</v>
      </c>
      <c r="CU2667" s="0" t="s">
        <v>155</v>
      </c>
      <c r="CV2667" s="0" t="s">
        <v>154</v>
      </c>
      <c r="CW2667" s="0" t="s">
        <v>155</v>
      </c>
      <c r="CY2667" s="0" t="s">
        <v>154</v>
      </c>
      <c r="CZ2667" s="0" t="s">
        <v>155</v>
      </c>
      <c r="DC2667" s="0" t="s">
        <v>154</v>
      </c>
      <c r="DD2667" s="0" t="s">
        <v>155</v>
      </c>
      <c r="DF2667" s="0" t="s">
        <v>154</v>
      </c>
      <c r="DG2667" s="0" t="s">
        <v>155</v>
      </c>
      <c r="DI2667" s="0" t="s">
        <v>154</v>
      </c>
      <c r="DJ2667" s="0" t="s">
        <v>155</v>
      </c>
      <c r="DL2667" s="0" t="s">
        <v>154</v>
      </c>
      <c r="DN2667" s="0" t="s">
        <v>154</v>
      </c>
      <c r="DU2667" s="0" t="s">
        <v>154</v>
      </c>
      <c r="EF2667" s="0" t="s">
        <v>154</v>
      </c>
    </row>
    <row r="2668" customFormat="false" ht="13.8" hidden="false" customHeight="false" outlineLevel="0" collapsed="false">
      <c r="A2668" s="0" t="s">
        <v>11391</v>
      </c>
      <c r="B2668" s="0" t="n">
        <v>78</v>
      </c>
      <c r="C2668" s="0" t="n">
        <v>5763</v>
      </c>
      <c r="D2668" s="0" t="s">
        <v>11387</v>
      </c>
      <c r="E2668" s="0" t="s">
        <v>261</v>
      </c>
      <c r="F2668" s="0" t="str">
        <f aca="false">CONCATENATE(D2668," ",LEFT(H2668,4),"T=",AU2668,"D=",AV2668,"R=",AW2668,"M=",AX2668,"L=",AY2668,"B=",AZ2668)</f>
        <v>ETTINGER T=7D=0R=0M=4L=2B=0</v>
      </c>
      <c r="G2668" s="0" t="s">
        <v>172</v>
      </c>
      <c r="I2668" s="0" t="s">
        <v>11392</v>
      </c>
      <c r="J2668" s="0" t="s">
        <v>11389</v>
      </c>
      <c r="K2668" s="0" t="s">
        <v>175</v>
      </c>
      <c r="M2668" s="0" t="s">
        <v>11390</v>
      </c>
      <c r="N2668" s="0" t="str">
        <f aca="false">RIGHT(M2668,LEN(M2668)-FIND(" ",M2668))</f>
        <v>VERNON AVE NW</v>
      </c>
      <c r="P2668" s="0" t="s">
        <v>146</v>
      </c>
      <c r="Q2668" s="0" t="s">
        <v>147</v>
      </c>
      <c r="R2668" s="0" t="n">
        <v>44483</v>
      </c>
      <c r="AD2668" s="0" t="s">
        <v>148</v>
      </c>
      <c r="AE2668" s="0" t="s">
        <v>149</v>
      </c>
      <c r="AF2668" s="0" t="s">
        <v>150</v>
      </c>
      <c r="AH2668" s="0" t="n">
        <v>14</v>
      </c>
      <c r="AI2668" s="0" t="n">
        <v>11</v>
      </c>
      <c r="AN2668" s="0" t="s">
        <v>146</v>
      </c>
      <c r="AO2668" s="0" t="s">
        <v>151</v>
      </c>
      <c r="AP2668" s="0" t="s">
        <v>152</v>
      </c>
      <c r="AQ2668" s="0" t="n">
        <v>9</v>
      </c>
      <c r="AR2668" s="0" t="n">
        <v>64</v>
      </c>
      <c r="AS2668" s="0" t="n">
        <v>32</v>
      </c>
      <c r="AU2668" s="0" t="n">
        <f aca="false">COUNTA($BA$1388:$EH$1388)</f>
        <v>7</v>
      </c>
      <c r="AV2668" s="0" t="n">
        <f aca="false">COUNTIF($BA$1388:$EH$1388,"D")</f>
        <v>0</v>
      </c>
      <c r="AW2668" s="0" t="n">
        <f aca="false">COUNTIF($BA$1388:$EH$1388,"R")</f>
        <v>0</v>
      </c>
      <c r="AX2668" s="0" t="n">
        <f aca="false">IF(BN2668="D",1,0)+IF(BO2668="D",1,0)+IF(BT2668="D",1,0)+IF(BU2668="D",1,0)+IF(BW2668="D",1,0)+IF(CC2668="D",1,0)+IF(CD2668="D",1,0)+IF(CE2668="D",1,0)+IF(CF2668="D",1,0)+IF(CL2668="D",1,0)+IF(CM2668="D",1,0)+IF(CQ2668="D",1,0)+IF(CR2668="D",1,0)+IF(CS2668="D",1,0)+IF(CW2668="D",1,0)+IF(CX2668="D",1,0)+IF(DD2668="D",1,0)+IF(DE2668="D",1,0)+IF(DJ2668="D",1,0)+IF(DK2668="D",1,0)+IF(DO2668="D",1,0)+IF(DP2668="D",1,0)+IF(DQ2668="D",1,0)+IF(DW2668="D",1,0)+IF(DZ2668="D",1,0)+IF(EH2668="D",1,0)</f>
        <v>4</v>
      </c>
      <c r="AY2668" s="0" t="n">
        <f aca="false">COUNTIF(DU2668:EH2668, "&lt;&gt;")</f>
        <v>2</v>
      </c>
      <c r="AZ2668" s="0" t="n">
        <f aca="false">IF(EH2668&lt;&gt;"",1,0)</f>
        <v>0</v>
      </c>
      <c r="BB2668" s="0" t="s">
        <v>153</v>
      </c>
      <c r="BC2668" s="0" t="s">
        <v>154</v>
      </c>
      <c r="BD2668" s="0" t="s">
        <v>154</v>
      </c>
      <c r="BE2668" s="0" t="s">
        <v>154</v>
      </c>
      <c r="BF2668" s="0" t="s">
        <v>154</v>
      </c>
      <c r="BG2668" s="0" t="s">
        <v>154</v>
      </c>
      <c r="BH2668" s="0" t="s">
        <v>154</v>
      </c>
      <c r="BI2668" s="0" t="s">
        <v>154</v>
      </c>
      <c r="BJ2668" s="0" t="s">
        <v>154</v>
      </c>
      <c r="BK2668" s="0" t="s">
        <v>154</v>
      </c>
      <c r="BL2668" s="0" t="s">
        <v>154</v>
      </c>
      <c r="BP2668" s="0" t="s">
        <v>154</v>
      </c>
      <c r="BR2668" s="0" t="s">
        <v>154</v>
      </c>
      <c r="BS2668" s="0" t="s">
        <v>154</v>
      </c>
      <c r="BV2668" s="0" t="s">
        <v>154</v>
      </c>
      <c r="BY2668" s="0" t="s">
        <v>155</v>
      </c>
      <c r="CA2668" s="0" t="s">
        <v>154</v>
      </c>
      <c r="CG2668" s="0" t="s">
        <v>154</v>
      </c>
      <c r="CH2668" s="0" t="s">
        <v>155</v>
      </c>
      <c r="CK2668" s="0" t="s">
        <v>154</v>
      </c>
      <c r="CL2668" s="0" t="s">
        <v>155</v>
      </c>
      <c r="CN2668" s="0" t="s">
        <v>154</v>
      </c>
      <c r="CO2668" s="0" t="s">
        <v>155</v>
      </c>
      <c r="CP2668" s="0" t="s">
        <v>154</v>
      </c>
      <c r="CT2668" s="0" t="s">
        <v>154</v>
      </c>
      <c r="CU2668" s="0" t="s">
        <v>155</v>
      </c>
      <c r="CV2668" s="0" t="s">
        <v>154</v>
      </c>
      <c r="CW2668" s="0" t="s">
        <v>155</v>
      </c>
      <c r="CY2668" s="0" t="s">
        <v>154</v>
      </c>
      <c r="CZ2668" s="0" t="s">
        <v>155</v>
      </c>
      <c r="DC2668" s="0" t="s">
        <v>154</v>
      </c>
      <c r="DD2668" s="0" t="s">
        <v>155</v>
      </c>
      <c r="DF2668" s="0" t="s">
        <v>154</v>
      </c>
      <c r="DG2668" s="0" t="s">
        <v>155</v>
      </c>
      <c r="DI2668" s="0" t="s">
        <v>154</v>
      </c>
      <c r="DJ2668" s="0" t="s">
        <v>155</v>
      </c>
      <c r="DL2668" s="0" t="s">
        <v>154</v>
      </c>
      <c r="DN2668" s="0" t="s">
        <v>154</v>
      </c>
      <c r="DU2668" s="0" t="s">
        <v>154</v>
      </c>
      <c r="EF2668" s="0" t="s">
        <v>154</v>
      </c>
    </row>
    <row r="2669" customFormat="false" ht="13.8" hidden="false" customHeight="false" outlineLevel="0" collapsed="false">
      <c r="A2669" s="0" t="s">
        <v>11393</v>
      </c>
      <c r="B2669" s="0" t="n">
        <v>78</v>
      </c>
      <c r="C2669" s="0" t="n">
        <v>452066</v>
      </c>
      <c r="D2669" s="0" t="s">
        <v>11387</v>
      </c>
      <c r="E2669" s="0" t="s">
        <v>619</v>
      </c>
      <c r="F2669" s="0" t="str">
        <f aca="false">CONCATENATE(D2669," ",LEFT(H2669,4),"T=",AU2669,"D=",AV2669,"R=",AW2669,"M=",AX2669,"L=",AY2669,"B=",AZ2669)</f>
        <v>ETTINGER T=35D=1R=10M=0L=2B=0</v>
      </c>
      <c r="G2669" s="0" t="s">
        <v>1942</v>
      </c>
      <c r="I2669" s="0" t="s">
        <v>11394</v>
      </c>
      <c r="J2669" s="0" t="s">
        <v>10936</v>
      </c>
      <c r="K2669" s="0" t="s">
        <v>175</v>
      </c>
      <c r="M2669" s="0" t="s">
        <v>11390</v>
      </c>
      <c r="N2669" s="0" t="str">
        <f aca="false">RIGHT(M2669,LEN(M2669)-FIND(" ",M2669))</f>
        <v>VERNON AVE NW</v>
      </c>
      <c r="P2669" s="0" t="s">
        <v>146</v>
      </c>
      <c r="Q2669" s="0" t="s">
        <v>147</v>
      </c>
      <c r="R2669" s="0" t="n">
        <v>44483</v>
      </c>
      <c r="AD2669" s="0" t="s">
        <v>148</v>
      </c>
      <c r="AE2669" s="0" t="s">
        <v>149</v>
      </c>
      <c r="AF2669" s="0" t="s">
        <v>150</v>
      </c>
      <c r="AH2669" s="0" t="n">
        <v>14</v>
      </c>
      <c r="AI2669" s="0" t="n">
        <v>11</v>
      </c>
      <c r="AN2669" s="0" t="s">
        <v>146</v>
      </c>
      <c r="AO2669" s="0" t="s">
        <v>151</v>
      </c>
      <c r="AP2669" s="0" t="s">
        <v>152</v>
      </c>
      <c r="AQ2669" s="0" t="n">
        <v>9</v>
      </c>
      <c r="AR2669" s="0" t="n">
        <v>64</v>
      </c>
      <c r="AS2669" s="0" t="n">
        <v>32</v>
      </c>
      <c r="AU2669" s="0" t="n">
        <f aca="false">COUNTA($BA$1528:$EH$1528)</f>
        <v>35</v>
      </c>
      <c r="AV2669" s="0" t="n">
        <f aca="false">COUNTIF($BA$1528:$EH$1528,"D")</f>
        <v>1</v>
      </c>
      <c r="AW2669" s="0" t="n">
        <f aca="false">COUNTIF($BA$1528:$EH$1528,"R")</f>
        <v>10</v>
      </c>
      <c r="AX2669" s="0" t="n">
        <f aca="false">IF(BN2669="D",1,0)+IF(BO2669="D",1,0)+IF(BT2669="D",1,0)+IF(BU2669="D",1,0)+IF(BW2669="D",1,0)+IF(CC2669="D",1,0)+IF(CD2669="D",1,0)+IF(CE2669="D",1,0)+IF(CF2669="D",1,0)+IF(CL2669="D",1,0)+IF(CM2669="D",1,0)+IF(CQ2669="D",1,0)+IF(CR2669="D",1,0)+IF(CS2669="D",1,0)+IF(CW2669="D",1,0)+IF(CX2669="D",1,0)+IF(DD2669="D",1,0)+IF(DE2669="D",1,0)+IF(DJ2669="D",1,0)+IF(DK2669="D",1,0)+IF(DO2669="D",1,0)+IF(DP2669="D",1,0)+IF(DQ2669="D",1,0)+IF(DW2669="D",1,0)+IF(DZ2669="D",1,0)+IF(EH2669="D",1,0)</f>
        <v>0</v>
      </c>
      <c r="AY2669" s="0" t="n">
        <f aca="false">COUNTIF(DU2669:EH2669, "&lt;&gt;")</f>
        <v>2</v>
      </c>
      <c r="AZ2669" s="0" t="n">
        <f aca="false">IF(EH2669&lt;&gt;"",1,0)</f>
        <v>0</v>
      </c>
      <c r="BB2669" s="0" t="s">
        <v>153</v>
      </c>
      <c r="BC2669" s="0" t="s">
        <v>154</v>
      </c>
      <c r="BD2669" s="0" t="s">
        <v>154</v>
      </c>
      <c r="DN2669" s="0" t="s">
        <v>154</v>
      </c>
      <c r="EA2669" s="0" t="s">
        <v>154</v>
      </c>
      <c r="EF2669" s="0" t="s">
        <v>154</v>
      </c>
    </row>
    <row r="2670" customFormat="false" ht="13.8" hidden="true" customHeight="false" outlineLevel="0" collapsed="false">
      <c r="A2670" s="0" t="s">
        <v>11395</v>
      </c>
      <c r="B2670" s="0" t="n">
        <v>78</v>
      </c>
      <c r="C2670" s="0" t="n">
        <v>345648</v>
      </c>
      <c r="D2670" s="0" t="s">
        <v>11396</v>
      </c>
      <c r="E2670" s="0" t="s">
        <v>4570</v>
      </c>
      <c r="F2670" s="0" t="str">
        <f aca="false">CONCATENATE(D2670," ",LEFT(H2670,4),"T=",AU2670,"D=",AV2670,"R=",AW2670,"M=",AX2670,"L=",AY2670,"B=",AZ2670)</f>
        <v>ENGLISH T=6D=0R=0M=0L=1B=0</v>
      </c>
      <c r="G2670" s="0" t="s">
        <v>297</v>
      </c>
      <c r="I2670" s="0" t="s">
        <v>11397</v>
      </c>
      <c r="J2670" s="0" t="s">
        <v>712</v>
      </c>
      <c r="K2670" s="0" t="s">
        <v>175</v>
      </c>
      <c r="L2670" s="0"/>
      <c r="M2670" s="0" t="s">
        <v>11398</v>
      </c>
      <c r="N2670" s="0" t="str">
        <f aca="false">RIGHT(M2670,LEN(M2670)-FIND(" ",M2670))</f>
        <v>VERNON AVE NW</v>
      </c>
      <c r="P2670" s="0" t="s">
        <v>146</v>
      </c>
      <c r="Q2670" s="0" t="s">
        <v>147</v>
      </c>
      <c r="R2670" s="0" t="n">
        <v>44483</v>
      </c>
      <c r="AD2670" s="0" t="s">
        <v>148</v>
      </c>
      <c r="AE2670" s="0" t="s">
        <v>149</v>
      </c>
      <c r="AF2670" s="0" t="s">
        <v>150</v>
      </c>
      <c r="AH2670" s="0" t="n">
        <v>14</v>
      </c>
      <c r="AI2670" s="0" t="n">
        <v>11</v>
      </c>
      <c r="AN2670" s="0" t="s">
        <v>146</v>
      </c>
      <c r="AO2670" s="0" t="s">
        <v>151</v>
      </c>
      <c r="AP2670" s="0" t="s">
        <v>152</v>
      </c>
      <c r="AQ2670" s="0" t="n">
        <v>9</v>
      </c>
      <c r="AR2670" s="0" t="n">
        <v>64</v>
      </c>
      <c r="AS2670" s="0" t="n">
        <v>32</v>
      </c>
      <c r="AU2670" s="0" t="n">
        <f aca="false">COUNTA($BA$1380:$EH$1380)</f>
        <v>6</v>
      </c>
      <c r="AV2670" s="0" t="n">
        <f aca="false">COUNTIF($BA$1380:$EH$1380,"D")</f>
        <v>0</v>
      </c>
      <c r="AW2670" s="0" t="n">
        <f aca="false">COUNTIF($BA$1380:$EH$1380,"R")</f>
        <v>0</v>
      </c>
      <c r="AX2670" s="0" t="n">
        <f aca="false">IF(BN2670="D",1,0)+IF(BO2670="D",1,0)+IF(BT2670="D",1,0)+IF(BU2670="D",1,0)+IF(BW2670="D",1,0)+IF(CC2670="D",1,0)+IF(CD2670="D",1,0)+IF(CE2670="D",1,0)+IF(CF2670="D",1,0)+IF(CL2670="D",1,0)+IF(CM2670="D",1,0)+IF(CQ2670="D",1,0)+IF(CR2670="D",1,0)+IF(CS2670="D",1,0)+IF(CW2670="D",1,0)+IF(CX2670="D",1,0)+IF(DD2670="D",1,0)+IF(DE2670="D",1,0)+IF(DJ2670="D",1,0)+IF(DK2670="D",1,0)+IF(DO2670="D",1,0)+IF(DP2670="D",1,0)+IF(DQ2670="D",1,0)+IF(DW2670="D",1,0)+IF(DZ2670="D",1,0)+IF(EH2670="D",1,0)</f>
        <v>0</v>
      </c>
      <c r="AY2670" s="0" t="n">
        <f aca="false">COUNTIF(DU2670:EH2670, "&lt;&gt;")</f>
        <v>1</v>
      </c>
      <c r="AZ2670" s="0" t="n">
        <f aca="false">IF(EH2670&lt;&gt;"",1,0)</f>
        <v>0</v>
      </c>
      <c r="BB2670" s="0" t="s">
        <v>153</v>
      </c>
      <c r="BS2670" s="0" t="s">
        <v>154</v>
      </c>
      <c r="BY2670" s="0" t="s">
        <v>155</v>
      </c>
      <c r="CA2670" s="0" t="s">
        <v>154</v>
      </c>
      <c r="CK2670" s="0" t="s">
        <v>154</v>
      </c>
      <c r="CP2670" s="0" t="s">
        <v>154</v>
      </c>
      <c r="CV2670" s="0" t="s">
        <v>154</v>
      </c>
      <c r="CY2670" s="0" t="s">
        <v>154</v>
      </c>
      <c r="CZ2670" s="0" t="s">
        <v>155</v>
      </c>
      <c r="DC2670" s="0" t="s">
        <v>154</v>
      </c>
      <c r="DN2670" s="0" t="s">
        <v>154</v>
      </c>
      <c r="EF2670" s="0" t="s">
        <v>154</v>
      </c>
    </row>
    <row r="2671" customFormat="false" ht="13.8" hidden="false" customHeight="false" outlineLevel="0" collapsed="false">
      <c r="A2671" s="0" t="s">
        <v>11399</v>
      </c>
      <c r="B2671" s="0" t="n">
        <v>78</v>
      </c>
      <c r="C2671" s="0" t="n">
        <v>208399</v>
      </c>
      <c r="D2671" s="0" t="s">
        <v>8218</v>
      </c>
      <c r="E2671" s="0" t="s">
        <v>629</v>
      </c>
      <c r="F2671" s="0" t="str">
        <f aca="false">CONCATENATE(D2671," ",LEFT(H2671,4),"T=",AU2671,"D=",AV2671,"R=",AW2671,"M=",AX2671,"L=",AY2671,"B=",AZ2671)</f>
        <v>SHAMROCK T=12D=2R=0M=1L=5B=0</v>
      </c>
      <c r="G2671" s="0" t="s">
        <v>4933</v>
      </c>
      <c r="I2671" s="0" t="s">
        <v>11400</v>
      </c>
      <c r="J2671" s="0" t="s">
        <v>11401</v>
      </c>
      <c r="K2671" s="0" t="s">
        <v>175</v>
      </c>
      <c r="L2671" s="1" t="s">
        <v>155</v>
      </c>
      <c r="M2671" s="0" t="s">
        <v>11402</v>
      </c>
      <c r="N2671" s="0" t="str">
        <f aca="false">RIGHT(M2671,LEN(M2671)-FIND(" ",M2671))</f>
        <v>VERNON AVE NW</v>
      </c>
      <c r="P2671" s="0" t="s">
        <v>146</v>
      </c>
      <c r="Q2671" s="0" t="s">
        <v>147</v>
      </c>
      <c r="R2671" s="0" t="n">
        <v>44483</v>
      </c>
      <c r="AD2671" s="0" t="s">
        <v>148</v>
      </c>
      <c r="AE2671" s="0" t="s">
        <v>149</v>
      </c>
      <c r="AF2671" s="0" t="s">
        <v>150</v>
      </c>
      <c r="AH2671" s="0" t="n">
        <v>14</v>
      </c>
      <c r="AI2671" s="0" t="n">
        <v>11</v>
      </c>
      <c r="AN2671" s="0" t="s">
        <v>146</v>
      </c>
      <c r="AO2671" s="0" t="s">
        <v>151</v>
      </c>
      <c r="AP2671" s="0" t="s">
        <v>152</v>
      </c>
      <c r="AQ2671" s="0" t="n">
        <v>9</v>
      </c>
      <c r="AR2671" s="0" t="n">
        <v>64</v>
      </c>
      <c r="AS2671" s="0" t="n">
        <v>32</v>
      </c>
      <c r="AU2671" s="0" t="n">
        <f aca="false">COUNTA($BA$1515:$EH$1515)</f>
        <v>12</v>
      </c>
      <c r="AV2671" s="0" t="n">
        <f aca="false">COUNTIF($BA$1515:$EH$1515,"D")</f>
        <v>2</v>
      </c>
      <c r="AW2671" s="0" t="n">
        <f aca="false">COUNTIF($BA$1515:$EH$1515,"R")</f>
        <v>0</v>
      </c>
      <c r="AX2671" s="0" t="n">
        <f aca="false">IF(BN2671="D",1,0)+IF(BO2671="D",1,0)+IF(BT2671="D",1,0)+IF(BU2671="D",1,0)+IF(BW2671="D",1,0)+IF(CC2671="D",1,0)+IF(CD2671="D",1,0)+IF(CE2671="D",1,0)+IF(CF2671="D",1,0)+IF(CL2671="D",1,0)+IF(CM2671="D",1,0)+IF(CQ2671="D",1,0)+IF(CR2671="D",1,0)+IF(CS2671="D",1,0)+IF(CW2671="D",1,0)+IF(CX2671="D",1,0)+IF(DD2671="D",1,0)+IF(DE2671="D",1,0)+IF(DJ2671="D",1,0)+IF(DK2671="D",1,0)+IF(DO2671="D",1,0)+IF(DP2671="D",1,0)+IF(DQ2671="D",1,0)+IF(DW2671="D",1,0)+IF(DZ2671="D",1,0)+IF(EH2671="D",1,0)</f>
        <v>1</v>
      </c>
      <c r="AY2671" s="0" t="n">
        <f aca="false">COUNTIF(DU2671:EH2671, "&lt;&gt;")</f>
        <v>5</v>
      </c>
      <c r="AZ2671" s="0" t="n">
        <f aca="false">IF(EH2671&lt;&gt;"",1,0)</f>
        <v>0</v>
      </c>
      <c r="BB2671" s="0" t="s">
        <v>153</v>
      </c>
      <c r="BC2671" s="0" t="s">
        <v>154</v>
      </c>
      <c r="BD2671" s="0" t="s">
        <v>154</v>
      </c>
      <c r="BF2671" s="0" t="s">
        <v>154</v>
      </c>
      <c r="BH2671" s="0" t="s">
        <v>154</v>
      </c>
      <c r="BI2671" s="0" t="s">
        <v>154</v>
      </c>
      <c r="BJ2671" s="0" t="s">
        <v>154</v>
      </c>
      <c r="BK2671" s="0" t="s">
        <v>154</v>
      </c>
      <c r="BL2671" s="0" t="s">
        <v>154</v>
      </c>
      <c r="BS2671" s="0" t="s">
        <v>154</v>
      </c>
      <c r="BY2671" s="0" t="s">
        <v>155</v>
      </c>
      <c r="CA2671" s="0" t="s">
        <v>154</v>
      </c>
      <c r="CP2671" s="0" t="s">
        <v>154</v>
      </c>
      <c r="CU2671" s="0" t="s">
        <v>155</v>
      </c>
      <c r="CV2671" s="0" t="s">
        <v>154</v>
      </c>
      <c r="CY2671" s="0" t="s">
        <v>154</v>
      </c>
      <c r="CZ2671" s="0" t="s">
        <v>176</v>
      </c>
      <c r="DC2671" s="0" t="s">
        <v>154</v>
      </c>
      <c r="DF2671" s="0" t="s">
        <v>154</v>
      </c>
      <c r="DG2671" s="0" t="s">
        <v>176</v>
      </c>
      <c r="DI2671" s="0" t="s">
        <v>154</v>
      </c>
      <c r="DL2671" s="0" t="s">
        <v>154</v>
      </c>
      <c r="DN2671" s="0" t="s">
        <v>154</v>
      </c>
      <c r="DS2671" s="0" t="s">
        <v>176</v>
      </c>
      <c r="DU2671" s="0" t="s">
        <v>154</v>
      </c>
      <c r="DW2671" s="0" t="s">
        <v>155</v>
      </c>
      <c r="DX2671" s="0" t="s">
        <v>154</v>
      </c>
      <c r="ED2671" s="0" t="s">
        <v>155</v>
      </c>
      <c r="EF2671" s="0" t="s">
        <v>154</v>
      </c>
    </row>
    <row r="2672" customFormat="false" ht="13.8" hidden="true" customHeight="false" outlineLevel="0" collapsed="false">
      <c r="A2672" s="0" t="s">
        <v>11403</v>
      </c>
      <c r="B2672" s="0" t="n">
        <v>78</v>
      </c>
      <c r="C2672" s="0" t="n">
        <v>360081</v>
      </c>
      <c r="D2672" s="0" t="s">
        <v>11404</v>
      </c>
      <c r="E2672" s="0" t="s">
        <v>195</v>
      </c>
      <c r="F2672" s="0" t="str">
        <f aca="false">CONCATENATE(D2672," ",LEFT(H2672,4),"T=",AU2672,"D=",AV2672,"R=",AW2672,"M=",AX2672,"L=",AY2672,"B=",AZ2672)</f>
        <v>MASSACCI T=2D=0R=0M=0L=0B=0</v>
      </c>
      <c r="G2672" s="0" t="s">
        <v>155</v>
      </c>
      <c r="I2672" s="0" t="s">
        <v>11405</v>
      </c>
      <c r="J2672" s="0" t="s">
        <v>10592</v>
      </c>
      <c r="K2672" s="0" t="s">
        <v>144</v>
      </c>
      <c r="L2672" s="0"/>
      <c r="M2672" s="0" t="s">
        <v>11406</v>
      </c>
      <c r="N2672" s="0" t="str">
        <f aca="false">RIGHT(M2672,LEN(M2672)-FIND(" ",M2672))</f>
        <v>VERNON AVE NW</v>
      </c>
      <c r="P2672" s="0" t="s">
        <v>146</v>
      </c>
      <c r="Q2672" s="0" t="s">
        <v>147</v>
      </c>
      <c r="R2672" s="0" t="n">
        <v>44483</v>
      </c>
      <c r="AD2672" s="0" t="s">
        <v>148</v>
      </c>
      <c r="AE2672" s="0" t="s">
        <v>149</v>
      </c>
      <c r="AF2672" s="0" t="s">
        <v>150</v>
      </c>
      <c r="AH2672" s="0" t="n">
        <v>14</v>
      </c>
      <c r="AI2672" s="0" t="n">
        <v>11</v>
      </c>
      <c r="AN2672" s="0" t="s">
        <v>146</v>
      </c>
      <c r="AO2672" s="0" t="s">
        <v>151</v>
      </c>
      <c r="AP2672" s="0" t="s">
        <v>152</v>
      </c>
      <c r="AQ2672" s="0" t="n">
        <v>9</v>
      </c>
      <c r="AR2672" s="0" t="n">
        <v>64</v>
      </c>
      <c r="AS2672" s="0" t="n">
        <v>32</v>
      </c>
      <c r="AU2672" s="0" t="n">
        <f aca="false">COUNTA($BA$1656:$EH$1656)</f>
        <v>2</v>
      </c>
      <c r="AV2672" s="0" t="n">
        <f aca="false">COUNTIF($BA$1656:$EH$1656,"D")</f>
        <v>0</v>
      </c>
      <c r="AW2672" s="0" t="n">
        <f aca="false">COUNTIF($BA$1656:$EH$1656,"R")</f>
        <v>0</v>
      </c>
      <c r="AX2672" s="0" t="n">
        <f aca="false">IF(BN2672="D",1,0)+IF(BO2672="D",1,0)+IF(BT2672="D",1,0)+IF(BU2672="D",1,0)+IF(BW2672="D",1,0)+IF(CC2672="D",1,0)+IF(CD2672="D",1,0)+IF(CE2672="D",1,0)+IF(CF2672="D",1,0)+IF(CL2672="D",1,0)+IF(CM2672="D",1,0)+IF(CQ2672="D",1,0)+IF(CR2672="D",1,0)+IF(CS2672="D",1,0)+IF(CW2672="D",1,0)+IF(CX2672="D",1,0)+IF(DD2672="D",1,0)+IF(DE2672="D",1,0)+IF(DJ2672="D",1,0)+IF(DK2672="D",1,0)+IF(DO2672="D",1,0)+IF(DP2672="D",1,0)+IF(DQ2672="D",1,0)+IF(DW2672="D",1,0)+IF(DZ2672="D",1,0)+IF(EH2672="D",1,0)</f>
        <v>0</v>
      </c>
      <c r="AY2672" s="0" t="n">
        <f aca="false">COUNTIF(DU2672:EH2672, "&lt;&gt;")</f>
        <v>0</v>
      </c>
      <c r="AZ2672" s="0" t="n">
        <f aca="false">IF(EH2672&lt;&gt;"",1,0)</f>
        <v>0</v>
      </c>
      <c r="BB2672" s="0" t="s">
        <v>153</v>
      </c>
      <c r="CA2672" s="0" t="s">
        <v>154</v>
      </c>
      <c r="DN2672" s="0" t="s">
        <v>154</v>
      </c>
    </row>
    <row r="2673" customFormat="false" ht="13.8" hidden="false" customHeight="false" outlineLevel="0" collapsed="false">
      <c r="A2673" s="0" t="s">
        <v>11407</v>
      </c>
      <c r="B2673" s="0" t="n">
        <v>78</v>
      </c>
      <c r="C2673" s="0" t="n">
        <v>290730</v>
      </c>
      <c r="D2673" s="0" t="s">
        <v>11408</v>
      </c>
      <c r="E2673" s="0" t="s">
        <v>187</v>
      </c>
      <c r="F2673" s="0" t="str">
        <f aca="false">CONCATENATE(D2673," ",LEFT(H2673,4),"T=",AU2673,"D=",AV2673,"R=",AW2673,"M=",AX2673,"L=",AY2673,"B=",AZ2673)</f>
        <v>GARZA T=5D=0R=0M=2L=3B=0</v>
      </c>
      <c r="G2673" s="0" t="s">
        <v>1180</v>
      </c>
      <c r="I2673" s="0" t="s">
        <v>11409</v>
      </c>
      <c r="J2673" s="0" t="s">
        <v>11410</v>
      </c>
      <c r="K2673" s="0" t="s">
        <v>175</v>
      </c>
      <c r="L2673" s="1" t="s">
        <v>155</v>
      </c>
      <c r="M2673" s="0" t="s">
        <v>11411</v>
      </c>
      <c r="N2673" s="0" t="str">
        <f aca="false">RIGHT(M2673,LEN(M2673)-FIND(" ",M2673))</f>
        <v>VINE AVE NE</v>
      </c>
      <c r="P2673" s="0" t="s">
        <v>146</v>
      </c>
      <c r="Q2673" s="0" t="s">
        <v>147</v>
      </c>
      <c r="R2673" s="0" t="n">
        <v>44483</v>
      </c>
      <c r="AD2673" s="0" t="s">
        <v>148</v>
      </c>
      <c r="AE2673" s="0" t="s">
        <v>149</v>
      </c>
      <c r="AF2673" s="0" t="s">
        <v>150</v>
      </c>
      <c r="AH2673" s="0" t="n">
        <v>14</v>
      </c>
      <c r="AI2673" s="0" t="n">
        <v>11</v>
      </c>
      <c r="AN2673" s="0" t="s">
        <v>146</v>
      </c>
      <c r="AO2673" s="0" t="s">
        <v>236</v>
      </c>
      <c r="AP2673" s="0" t="s">
        <v>237</v>
      </c>
      <c r="AQ2673" s="0" t="n">
        <v>9</v>
      </c>
      <c r="AR2673" s="0" t="n">
        <v>64</v>
      </c>
      <c r="AS2673" s="0" t="n">
        <v>32</v>
      </c>
      <c r="AU2673" s="0" t="n">
        <f aca="false">COUNTA($BA$452:$EH$452)</f>
        <v>5</v>
      </c>
      <c r="AV2673" s="0" t="n">
        <f aca="false">COUNTIF($BA$452:$EH$452,"D")</f>
        <v>0</v>
      </c>
      <c r="AW2673" s="0" t="n">
        <f aca="false">COUNTIF($BA$452:$EH$452,"R")</f>
        <v>0</v>
      </c>
      <c r="AX2673" s="0" t="n">
        <f aca="false">IF(BN2673="D",1,0)+IF(BO2673="D",1,0)+IF(BT2673="D",1,0)+IF(BU2673="D",1,0)+IF(BW2673="D",1,0)+IF(CC2673="D",1,0)+IF(CD2673="D",1,0)+IF(CE2673="D",1,0)+IF(CF2673="D",1,0)+IF(CL2673="D",1,0)+IF(CM2673="D",1,0)+IF(CQ2673="D",1,0)+IF(CR2673="D",1,0)+IF(CS2673="D",1,0)+IF(CW2673="D",1,0)+IF(CX2673="D",1,0)+IF(DD2673="D",1,0)+IF(DE2673="D",1,0)+IF(DJ2673="D",1,0)+IF(DK2673="D",1,0)+IF(DO2673="D",1,0)+IF(DP2673="D",1,0)+IF(DQ2673="D",1,0)+IF(DW2673="D",1,0)+IF(DZ2673="D",1,0)+IF(EH2673="D",1,0)</f>
        <v>2</v>
      </c>
      <c r="AY2673" s="0" t="n">
        <f aca="false">COUNTIF(DU2673:EH2673, "&lt;&gt;")</f>
        <v>3</v>
      </c>
      <c r="AZ2673" s="0" t="n">
        <f aca="false">IF(EH2673&lt;&gt;"",1,0)</f>
        <v>0</v>
      </c>
      <c r="BB2673" s="0" t="s">
        <v>153</v>
      </c>
      <c r="BD2673" s="0" t="s">
        <v>154</v>
      </c>
      <c r="BL2673" s="0" t="s">
        <v>154</v>
      </c>
      <c r="BP2673" s="0" t="s">
        <v>154</v>
      </c>
      <c r="BY2673" s="0" t="s">
        <v>176</v>
      </c>
      <c r="CA2673" s="0" t="s">
        <v>154</v>
      </c>
      <c r="CK2673" s="0" t="s">
        <v>154</v>
      </c>
      <c r="CL2673" s="0" t="s">
        <v>155</v>
      </c>
      <c r="CP2673" s="0" t="s">
        <v>154</v>
      </c>
      <c r="CV2673" s="0" t="s">
        <v>154</v>
      </c>
      <c r="DC2673" s="0" t="s">
        <v>154</v>
      </c>
      <c r="DN2673" s="0" t="s">
        <v>154</v>
      </c>
      <c r="DU2673" s="0" t="s">
        <v>154</v>
      </c>
      <c r="DW2673" s="0" t="s">
        <v>155</v>
      </c>
      <c r="EF2673" s="0" t="s">
        <v>154</v>
      </c>
    </row>
    <row r="2674" customFormat="false" ht="13.8" hidden="false" customHeight="false" outlineLevel="0" collapsed="false">
      <c r="A2674" s="0" t="s">
        <v>11412</v>
      </c>
      <c r="B2674" s="0" t="n">
        <v>78</v>
      </c>
      <c r="C2674" s="0" t="n">
        <v>316697</v>
      </c>
      <c r="D2674" s="0" t="s">
        <v>11408</v>
      </c>
      <c r="E2674" s="0" t="s">
        <v>11413</v>
      </c>
      <c r="F2674" s="0" t="str">
        <f aca="false">CONCATENATE(D2674," ",LEFT(H2674,4),"T=",AU2674,"D=",AV2674,"R=",AW2674,"M=",AX2674,"L=",AY2674,"B=",AZ2674)</f>
        <v>GARZA T=3D=0R=0M=1L=2B=0</v>
      </c>
      <c r="G2674" s="0" t="s">
        <v>297</v>
      </c>
      <c r="I2674" s="0" t="s">
        <v>11414</v>
      </c>
      <c r="J2674" s="0" t="s">
        <v>11415</v>
      </c>
      <c r="K2674" s="0" t="s">
        <v>175</v>
      </c>
      <c r="M2674" s="0" t="s">
        <v>11411</v>
      </c>
      <c r="N2674" s="0" t="str">
        <f aca="false">RIGHT(M2674,LEN(M2674)-FIND(" ",M2674))</f>
        <v>VINE AVE NE</v>
      </c>
      <c r="P2674" s="0" t="s">
        <v>146</v>
      </c>
      <c r="Q2674" s="0" t="s">
        <v>147</v>
      </c>
      <c r="R2674" s="0" t="n">
        <v>44483</v>
      </c>
      <c r="AD2674" s="0" t="s">
        <v>148</v>
      </c>
      <c r="AE2674" s="0" t="s">
        <v>149</v>
      </c>
      <c r="AF2674" s="0" t="s">
        <v>150</v>
      </c>
      <c r="AH2674" s="0" t="n">
        <v>14</v>
      </c>
      <c r="AI2674" s="0" t="n">
        <v>11</v>
      </c>
      <c r="AN2674" s="0" t="s">
        <v>146</v>
      </c>
      <c r="AO2674" s="0" t="s">
        <v>236</v>
      </c>
      <c r="AP2674" s="0" t="s">
        <v>237</v>
      </c>
      <c r="AQ2674" s="0" t="n">
        <v>9</v>
      </c>
      <c r="AR2674" s="0" t="n">
        <v>64</v>
      </c>
      <c r="AS2674" s="0" t="n">
        <v>32</v>
      </c>
      <c r="AU2674" s="0" t="n">
        <f aca="false">COUNTA($BA$1008:$EH$1008)</f>
        <v>3</v>
      </c>
      <c r="AV2674" s="0" t="n">
        <f aca="false">COUNTIF($BA$1008:$EH$1008,"D")</f>
        <v>0</v>
      </c>
      <c r="AW2674" s="0" t="n">
        <f aca="false">COUNTIF($BA$1008:$EH$1008,"R")</f>
        <v>0</v>
      </c>
      <c r="AX2674" s="0" t="n">
        <f aca="false">IF(BN2674="D",1,0)+IF(BO2674="D",1,0)+IF(BT2674="D",1,0)+IF(BU2674="D",1,0)+IF(BW2674="D",1,0)+IF(CC2674="D",1,0)+IF(CD2674="D",1,0)+IF(CE2674="D",1,0)+IF(CF2674="D",1,0)+IF(CL2674="D",1,0)+IF(CM2674="D",1,0)+IF(CQ2674="D",1,0)+IF(CR2674="D",1,0)+IF(CS2674="D",1,0)+IF(CW2674="D",1,0)+IF(CX2674="D",1,0)+IF(DD2674="D",1,0)+IF(DE2674="D",1,0)+IF(DJ2674="D",1,0)+IF(DK2674="D",1,0)+IF(DO2674="D",1,0)+IF(DP2674="D",1,0)+IF(DQ2674="D",1,0)+IF(DW2674="D",1,0)+IF(DZ2674="D",1,0)+IF(EH2674="D",1,0)</f>
        <v>1</v>
      </c>
      <c r="AY2674" s="0" t="n">
        <f aca="false">COUNTIF(DU2674:EH2674, "&lt;&gt;")</f>
        <v>2</v>
      </c>
      <c r="AZ2674" s="0" t="n">
        <f aca="false">IF(EH2674&lt;&gt;"",1,0)</f>
        <v>0</v>
      </c>
      <c r="BB2674" s="0" t="s">
        <v>153</v>
      </c>
      <c r="BL2674" s="0" t="s">
        <v>154</v>
      </c>
      <c r="BP2674" s="0" t="s">
        <v>154</v>
      </c>
      <c r="CA2674" s="0" t="s">
        <v>154</v>
      </c>
      <c r="CK2674" s="0" t="s">
        <v>154</v>
      </c>
      <c r="CL2674" s="0" t="s">
        <v>155</v>
      </c>
      <c r="CP2674" s="0" t="s">
        <v>154</v>
      </c>
      <c r="CV2674" s="0" t="s">
        <v>154</v>
      </c>
      <c r="DC2674" s="0" t="s">
        <v>154</v>
      </c>
      <c r="DL2674" s="0" t="s">
        <v>154</v>
      </c>
      <c r="DN2674" s="0" t="s">
        <v>154</v>
      </c>
      <c r="DU2674" s="0" t="s">
        <v>154</v>
      </c>
      <c r="EF2674" s="0" t="s">
        <v>154</v>
      </c>
    </row>
    <row r="2675" customFormat="false" ht="13.8" hidden="true" customHeight="false" outlineLevel="0" collapsed="false">
      <c r="A2675" s="0" t="s">
        <v>11416</v>
      </c>
      <c r="B2675" s="0" t="n">
        <v>78</v>
      </c>
      <c r="C2675" s="0" t="n">
        <v>366389</v>
      </c>
      <c r="D2675" s="0" t="s">
        <v>11417</v>
      </c>
      <c r="E2675" s="0" t="s">
        <v>3134</v>
      </c>
      <c r="F2675" s="0" t="str">
        <f aca="false">CONCATENATE(D2675," ",LEFT(H2675,4),"T=",AU2675,"D=",AV2675,"R=",AW2675,"M=",AX2675,"L=",AY2675,"B=",AZ2675)</f>
        <v>HEPBURN T=3D=0R=0M=0L=1B=0</v>
      </c>
      <c r="I2675" s="0" t="s">
        <v>11418</v>
      </c>
      <c r="J2675" s="0" t="s">
        <v>2460</v>
      </c>
      <c r="K2675" s="0" t="s">
        <v>175</v>
      </c>
      <c r="L2675" s="0"/>
      <c r="M2675" s="0" t="s">
        <v>11419</v>
      </c>
      <c r="N2675" s="0" t="str">
        <f aca="false">RIGHT(M2675,LEN(M2675)-FIND(" ",M2675))</f>
        <v>VINE AVE NE</v>
      </c>
      <c r="P2675" s="0" t="s">
        <v>146</v>
      </c>
      <c r="Q2675" s="0" t="s">
        <v>147</v>
      </c>
      <c r="R2675" s="0" t="n">
        <v>44483</v>
      </c>
      <c r="AD2675" s="0" t="s">
        <v>148</v>
      </c>
      <c r="AE2675" s="0" t="s">
        <v>149</v>
      </c>
      <c r="AF2675" s="0" t="s">
        <v>150</v>
      </c>
      <c r="AH2675" s="0" t="n">
        <v>14</v>
      </c>
      <c r="AI2675" s="0" t="n">
        <v>11</v>
      </c>
      <c r="AN2675" s="0" t="s">
        <v>146</v>
      </c>
      <c r="AO2675" s="0" t="s">
        <v>236</v>
      </c>
      <c r="AP2675" s="0" t="s">
        <v>237</v>
      </c>
      <c r="AQ2675" s="0" t="n">
        <v>9</v>
      </c>
      <c r="AR2675" s="0" t="n">
        <v>64</v>
      </c>
      <c r="AS2675" s="0" t="n">
        <v>32</v>
      </c>
      <c r="AU2675" s="0" t="n">
        <f aca="false">COUNTA($BA$631:$EH$631)</f>
        <v>3</v>
      </c>
      <c r="AV2675" s="0" t="n">
        <f aca="false">COUNTIF($BA$631:$EH$631,"D")</f>
        <v>0</v>
      </c>
      <c r="AW2675" s="0" t="n">
        <f aca="false">COUNTIF($BA$631:$EH$631,"R")</f>
        <v>0</v>
      </c>
      <c r="AX2675" s="0" t="n">
        <f aca="false">IF(BN2675="D",1,0)+IF(BO2675="D",1,0)+IF(BT2675="D",1,0)+IF(BU2675="D",1,0)+IF(BW2675="D",1,0)+IF(CC2675="D",1,0)+IF(CD2675="D",1,0)+IF(CE2675="D",1,0)+IF(CF2675="D",1,0)+IF(CL2675="D",1,0)+IF(CM2675="D",1,0)+IF(CQ2675="D",1,0)+IF(CR2675="D",1,0)+IF(CS2675="D",1,0)+IF(CW2675="D",1,0)+IF(CX2675="D",1,0)+IF(DD2675="D",1,0)+IF(DE2675="D",1,0)+IF(DJ2675="D",1,0)+IF(DK2675="D",1,0)+IF(DO2675="D",1,0)+IF(DP2675="D",1,0)+IF(DQ2675="D",1,0)+IF(DW2675="D",1,0)+IF(DZ2675="D",1,0)+IF(EH2675="D",1,0)</f>
        <v>0</v>
      </c>
      <c r="AY2675" s="0" t="n">
        <f aca="false">COUNTIF(DU2675:EH2675, "&lt;&gt;")</f>
        <v>1</v>
      </c>
      <c r="AZ2675" s="0" t="n">
        <f aca="false">IF(EH2675&lt;&gt;"",1,0)</f>
        <v>0</v>
      </c>
      <c r="BB2675" s="0" t="s">
        <v>153</v>
      </c>
      <c r="CA2675" s="0" t="s">
        <v>154</v>
      </c>
      <c r="DC2675" s="0" t="s">
        <v>154</v>
      </c>
      <c r="DN2675" s="0" t="s">
        <v>154</v>
      </c>
      <c r="EF2675" s="0" t="s">
        <v>154</v>
      </c>
    </row>
    <row r="2676" customFormat="false" ht="13.8" hidden="true" customHeight="false" outlineLevel="0" collapsed="false">
      <c r="A2676" s="0" t="s">
        <v>11420</v>
      </c>
      <c r="B2676" s="0" t="n">
        <v>78</v>
      </c>
      <c r="C2676" s="0" t="n">
        <v>318167</v>
      </c>
      <c r="D2676" s="0" t="s">
        <v>4518</v>
      </c>
      <c r="E2676" s="0" t="s">
        <v>429</v>
      </c>
      <c r="F2676" s="0" t="str">
        <f aca="false">CONCATENATE(D2676," ",LEFT(H2676,4),"T=",AU2676,"D=",AV2676,"R=",AW2676,"M=",AX2676,"L=",AY2676,"B=",AZ2676)</f>
        <v>WAGNER T=1D=0R=0M=0L=1B=0</v>
      </c>
      <c r="G2676" s="0" t="s">
        <v>365</v>
      </c>
      <c r="I2676" s="0" t="s">
        <v>11421</v>
      </c>
      <c r="J2676" s="0" t="s">
        <v>2174</v>
      </c>
      <c r="K2676" s="0" t="s">
        <v>175</v>
      </c>
      <c r="L2676" s="0"/>
      <c r="M2676" s="0" t="s">
        <v>11419</v>
      </c>
      <c r="N2676" s="0" t="str">
        <f aca="false">RIGHT(M2676,LEN(M2676)-FIND(" ",M2676))</f>
        <v>VINE AVE NE</v>
      </c>
      <c r="P2676" s="0" t="s">
        <v>146</v>
      </c>
      <c r="Q2676" s="0" t="s">
        <v>147</v>
      </c>
      <c r="R2676" s="0" t="n">
        <v>44483</v>
      </c>
      <c r="AD2676" s="0" t="s">
        <v>148</v>
      </c>
      <c r="AE2676" s="0" t="s">
        <v>149</v>
      </c>
      <c r="AF2676" s="0" t="s">
        <v>150</v>
      </c>
      <c r="AH2676" s="0" t="n">
        <v>14</v>
      </c>
      <c r="AI2676" s="0" t="n">
        <v>11</v>
      </c>
      <c r="AN2676" s="0" t="s">
        <v>146</v>
      </c>
      <c r="AO2676" s="0" t="s">
        <v>236</v>
      </c>
      <c r="AP2676" s="0" t="s">
        <v>237</v>
      </c>
      <c r="AQ2676" s="0" t="n">
        <v>9</v>
      </c>
      <c r="AR2676" s="0" t="n">
        <v>64</v>
      </c>
      <c r="AS2676" s="0" t="n">
        <v>32</v>
      </c>
      <c r="AU2676" s="0" t="n">
        <f aca="false">COUNTA($BA$785:$EH$785)</f>
        <v>1</v>
      </c>
      <c r="AV2676" s="0" t="n">
        <f aca="false">COUNTIF($BA$785:$EH$785,"D")</f>
        <v>0</v>
      </c>
      <c r="AW2676" s="0" t="n">
        <f aca="false">COUNTIF($BA$785:$EH$785,"R")</f>
        <v>0</v>
      </c>
      <c r="AX2676" s="0" t="n">
        <f aca="false">IF(BN2676="D",1,0)+IF(BO2676="D",1,0)+IF(BT2676="D",1,0)+IF(BU2676="D",1,0)+IF(BW2676="D",1,0)+IF(CC2676="D",1,0)+IF(CD2676="D",1,0)+IF(CE2676="D",1,0)+IF(CF2676="D",1,0)+IF(CL2676="D",1,0)+IF(CM2676="D",1,0)+IF(CQ2676="D",1,0)+IF(CR2676="D",1,0)+IF(CS2676="D",1,0)+IF(CW2676="D",1,0)+IF(CX2676="D",1,0)+IF(DD2676="D",1,0)+IF(DE2676="D",1,0)+IF(DJ2676="D",1,0)+IF(DK2676="D",1,0)+IF(DO2676="D",1,0)+IF(DP2676="D",1,0)+IF(DQ2676="D",1,0)+IF(DW2676="D",1,0)+IF(DZ2676="D",1,0)+IF(EH2676="D",1,0)</f>
        <v>0</v>
      </c>
      <c r="AY2676" s="0" t="n">
        <f aca="false">COUNTIF(DU2676:EH2676, "&lt;&gt;")</f>
        <v>1</v>
      </c>
      <c r="AZ2676" s="0" t="n">
        <f aca="false">IF(EH2676&lt;&gt;"",1,0)</f>
        <v>0</v>
      </c>
      <c r="BB2676" s="0" t="s">
        <v>153</v>
      </c>
      <c r="BS2676" s="0" t="s">
        <v>154</v>
      </c>
      <c r="CA2676" s="0" t="s">
        <v>154</v>
      </c>
      <c r="DC2676" s="0" t="s">
        <v>154</v>
      </c>
      <c r="DN2676" s="0" t="s">
        <v>154</v>
      </c>
      <c r="EF2676" s="0" t="s">
        <v>154</v>
      </c>
    </row>
    <row r="2677" customFormat="false" ht="13.8" hidden="true" customHeight="false" outlineLevel="0" collapsed="false">
      <c r="A2677" s="0" t="s">
        <v>11422</v>
      </c>
      <c r="B2677" s="0" t="n">
        <v>78</v>
      </c>
      <c r="C2677" s="0" t="n">
        <v>422525</v>
      </c>
      <c r="D2677" s="0" t="s">
        <v>11423</v>
      </c>
      <c r="E2677" s="0" t="s">
        <v>867</v>
      </c>
      <c r="F2677" s="0" t="str">
        <f aca="false">CONCATENATE(D2677," ",LEFT(H2677,4),"T=",AU2677,"D=",AV2677,"R=",AW2677,"M=",AX2677,"L=",AY2677,"B=",AZ2677)</f>
        <v>BIERY T=1D=0R=0M=0L=1B=0</v>
      </c>
      <c r="G2677" s="0" t="s">
        <v>939</v>
      </c>
      <c r="I2677" s="0" t="s">
        <v>11424</v>
      </c>
      <c r="J2677" s="0" t="s">
        <v>357</v>
      </c>
      <c r="K2677" s="0" t="s">
        <v>175</v>
      </c>
      <c r="L2677" s="0"/>
      <c r="M2677" s="0" t="s">
        <v>11425</v>
      </c>
      <c r="N2677" s="0" t="str">
        <f aca="false">RIGHT(M2677,LEN(M2677)-FIND(" ",M2677))</f>
        <v>VINE AVE NE</v>
      </c>
      <c r="P2677" s="0" t="s">
        <v>146</v>
      </c>
      <c r="Q2677" s="0" t="s">
        <v>147</v>
      </c>
      <c r="R2677" s="0" t="n">
        <v>44483</v>
      </c>
      <c r="AD2677" s="0" t="s">
        <v>148</v>
      </c>
      <c r="AE2677" s="0" t="s">
        <v>149</v>
      </c>
      <c r="AF2677" s="0" t="s">
        <v>150</v>
      </c>
      <c r="AH2677" s="0" t="n">
        <v>14</v>
      </c>
      <c r="AI2677" s="0" t="n">
        <v>11</v>
      </c>
      <c r="AN2677" s="0" t="s">
        <v>146</v>
      </c>
      <c r="AO2677" s="0" t="s">
        <v>236</v>
      </c>
      <c r="AP2677" s="0" t="s">
        <v>237</v>
      </c>
      <c r="AQ2677" s="0" t="n">
        <v>9</v>
      </c>
      <c r="AR2677" s="0" t="n">
        <v>64</v>
      </c>
      <c r="AS2677" s="0" t="n">
        <v>32</v>
      </c>
      <c r="AU2677" s="0" t="n">
        <f aca="false">COUNTA($BA$154:$EH$154)</f>
        <v>1</v>
      </c>
      <c r="AV2677" s="0" t="n">
        <f aca="false">COUNTIF($BA$154:$EH$154,"D")</f>
        <v>0</v>
      </c>
      <c r="AW2677" s="0" t="n">
        <f aca="false">COUNTIF($BA$154:$EH$154,"R")</f>
        <v>0</v>
      </c>
      <c r="AX2677" s="0" t="n">
        <f aca="false">IF(BN2677="D",1,0)+IF(BO2677="D",1,0)+IF(BT2677="D",1,0)+IF(BU2677="D",1,0)+IF(BW2677="D",1,0)+IF(CC2677="D",1,0)+IF(CD2677="D",1,0)+IF(CE2677="D",1,0)+IF(CF2677="D",1,0)+IF(CL2677="D",1,0)+IF(CM2677="D",1,0)+IF(CQ2677="D",1,0)+IF(CR2677="D",1,0)+IF(CS2677="D",1,0)+IF(CW2677="D",1,0)+IF(CX2677="D",1,0)+IF(DD2677="D",1,0)+IF(DE2677="D",1,0)+IF(DJ2677="D",1,0)+IF(DK2677="D",1,0)+IF(DO2677="D",1,0)+IF(DP2677="D",1,0)+IF(DQ2677="D",1,0)+IF(DW2677="D",1,0)+IF(DZ2677="D",1,0)+IF(EH2677="D",1,0)</f>
        <v>0</v>
      </c>
      <c r="AY2677" s="0" t="n">
        <f aca="false">COUNTIF(DU2677:EH2677, "&lt;&gt;")</f>
        <v>1</v>
      </c>
      <c r="AZ2677" s="0" t="n">
        <f aca="false">IF(EH2677&lt;&gt;"",1,0)</f>
        <v>0</v>
      </c>
      <c r="BB2677" s="0" t="s">
        <v>153</v>
      </c>
      <c r="DC2677" s="0" t="s">
        <v>154</v>
      </c>
      <c r="DN2677" s="0" t="s">
        <v>154</v>
      </c>
      <c r="EF2677" s="0" t="s">
        <v>154</v>
      </c>
    </row>
    <row r="2678" customFormat="false" ht="13.8" hidden="true" customHeight="false" outlineLevel="0" collapsed="false">
      <c r="A2678" s="0" t="s">
        <v>11426</v>
      </c>
      <c r="B2678" s="0" t="n">
        <v>78</v>
      </c>
      <c r="C2678" s="0" t="n">
        <v>441758</v>
      </c>
      <c r="D2678" s="0" t="s">
        <v>5709</v>
      </c>
      <c r="E2678" s="0" t="s">
        <v>11427</v>
      </c>
      <c r="F2678" s="0" t="str">
        <f aca="false">CONCATENATE(D2678," ",LEFT(H2678,4),"T=",AU2678,"D=",AV2678,"R=",AW2678,"M=",AX2678,"L=",AY2678,"B=",AZ2678)</f>
        <v>TALBERT T=1D=0R=0M=0L=0B=0</v>
      </c>
      <c r="G2678" s="0" t="s">
        <v>172</v>
      </c>
      <c r="I2678" s="0" t="s">
        <v>7244</v>
      </c>
      <c r="J2678" s="0" t="s">
        <v>7235</v>
      </c>
      <c r="K2678" s="0" t="s">
        <v>144</v>
      </c>
      <c r="L2678" s="0"/>
      <c r="M2678" s="0" t="s">
        <v>11428</v>
      </c>
      <c r="N2678" s="0" t="str">
        <f aca="false">RIGHT(M2678,LEN(M2678)-FIND(" ",M2678))</f>
        <v>VINE AVE NE</v>
      </c>
      <c r="P2678" s="0" t="s">
        <v>146</v>
      </c>
      <c r="Q2678" s="0" t="s">
        <v>147</v>
      </c>
      <c r="R2678" s="0" t="n">
        <v>44483</v>
      </c>
      <c r="AD2678" s="0" t="s">
        <v>148</v>
      </c>
      <c r="AE2678" s="0" t="s">
        <v>149</v>
      </c>
      <c r="AF2678" s="0" t="s">
        <v>150</v>
      </c>
      <c r="AH2678" s="0" t="n">
        <v>14</v>
      </c>
      <c r="AI2678" s="0" t="n">
        <v>11</v>
      </c>
      <c r="AN2678" s="0" t="s">
        <v>146</v>
      </c>
      <c r="AO2678" s="0" t="s">
        <v>236</v>
      </c>
      <c r="AP2678" s="0" t="s">
        <v>237</v>
      </c>
      <c r="AQ2678" s="0" t="n">
        <v>9</v>
      </c>
      <c r="AR2678" s="0" t="n">
        <v>64</v>
      </c>
      <c r="AS2678" s="0" t="n">
        <v>32</v>
      </c>
      <c r="AU2678" s="0" t="n">
        <f aca="false">COUNTA($BA$45:$EH$45)</f>
        <v>1</v>
      </c>
      <c r="AV2678" s="0" t="n">
        <f aca="false">COUNTIF($BA$45:$EH$45,"D")</f>
        <v>0</v>
      </c>
      <c r="AW2678" s="0" t="n">
        <f aca="false">COUNTIF($BA$45:$EH$45,"R")</f>
        <v>0</v>
      </c>
      <c r="AX2678" s="0" t="n">
        <f aca="false">IF(BN2678="D",1,0)+IF(BO2678="D",1,0)+IF(BT2678="D",1,0)+IF(BU2678="D",1,0)+IF(BW2678="D",1,0)+IF(CC2678="D",1,0)+IF(CD2678="D",1,0)+IF(CE2678="D",1,0)+IF(CF2678="D",1,0)+IF(CL2678="D",1,0)+IF(CM2678="D",1,0)+IF(CQ2678="D",1,0)+IF(CR2678="D",1,0)+IF(CS2678="D",1,0)+IF(CW2678="D",1,0)+IF(CX2678="D",1,0)+IF(DD2678="D",1,0)+IF(DE2678="D",1,0)+IF(DJ2678="D",1,0)+IF(DK2678="D",1,0)+IF(DO2678="D",1,0)+IF(DP2678="D",1,0)+IF(DQ2678="D",1,0)+IF(DW2678="D",1,0)+IF(DZ2678="D",1,0)+IF(EH2678="D",1,0)</f>
        <v>0</v>
      </c>
      <c r="AY2678" s="0" t="n">
        <f aca="false">COUNTIF(DU2678:EH2678, "&lt;&gt;")</f>
        <v>0</v>
      </c>
      <c r="AZ2678" s="0" t="n">
        <f aca="false">IF(EH2678&lt;&gt;"",1,0)</f>
        <v>0</v>
      </c>
      <c r="BB2678" s="0" t="s">
        <v>153</v>
      </c>
    </row>
    <row r="2679" customFormat="false" ht="13.8" hidden="true" customHeight="false" outlineLevel="0" collapsed="false">
      <c r="A2679" s="0" t="s">
        <v>11429</v>
      </c>
      <c r="B2679" s="0" t="n">
        <v>78</v>
      </c>
      <c r="C2679" s="0" t="n">
        <v>383678</v>
      </c>
      <c r="D2679" s="0" t="s">
        <v>11430</v>
      </c>
      <c r="E2679" s="0" t="s">
        <v>7563</v>
      </c>
      <c r="F2679" s="0" t="str">
        <f aca="false">CONCATENATE(D2679," ",LEFT(H2679,4),"T=",AU2679,"D=",AV2679,"R=",AW2679,"M=",AX2679,"L=",AY2679,"B=",AZ2679)</f>
        <v>RIGG T=1D=0R=0M=0L=0B=0</v>
      </c>
      <c r="G2679" s="0" t="s">
        <v>1439</v>
      </c>
      <c r="I2679" s="0" t="s">
        <v>10989</v>
      </c>
      <c r="J2679" s="0" t="s">
        <v>342</v>
      </c>
      <c r="K2679" s="0" t="s">
        <v>144</v>
      </c>
      <c r="L2679" s="0"/>
      <c r="M2679" s="0" t="s">
        <v>11428</v>
      </c>
      <c r="N2679" s="0" t="str">
        <f aca="false">RIGHT(M2679,LEN(M2679)-FIND(" ",M2679))</f>
        <v>VINE AVE NE</v>
      </c>
      <c r="P2679" s="0" t="s">
        <v>146</v>
      </c>
      <c r="Q2679" s="0" t="s">
        <v>147</v>
      </c>
      <c r="R2679" s="0" t="n">
        <v>44483</v>
      </c>
      <c r="AD2679" s="0" t="s">
        <v>148</v>
      </c>
      <c r="AE2679" s="0" t="s">
        <v>149</v>
      </c>
      <c r="AF2679" s="0" t="s">
        <v>150</v>
      </c>
      <c r="AH2679" s="0" t="n">
        <v>14</v>
      </c>
      <c r="AI2679" s="0" t="n">
        <v>11</v>
      </c>
      <c r="AN2679" s="0" t="s">
        <v>146</v>
      </c>
      <c r="AO2679" s="0" t="s">
        <v>236</v>
      </c>
      <c r="AP2679" s="0" t="s">
        <v>237</v>
      </c>
      <c r="AQ2679" s="0" t="n">
        <v>9</v>
      </c>
      <c r="AR2679" s="0" t="n">
        <v>64</v>
      </c>
      <c r="AS2679" s="0" t="n">
        <v>32</v>
      </c>
      <c r="AU2679" s="0" t="n">
        <f aca="false">COUNTA($BA$65:$EH$65)</f>
        <v>1</v>
      </c>
      <c r="AV2679" s="0" t="n">
        <f aca="false">COUNTIF($BA$65:$EH$65,"D")</f>
        <v>0</v>
      </c>
      <c r="AW2679" s="0" t="n">
        <f aca="false">COUNTIF($BA$65:$EH$65,"R")</f>
        <v>0</v>
      </c>
      <c r="AX2679" s="0" t="n">
        <f aca="false">IF(BN2679="D",1,0)+IF(BO2679="D",1,0)+IF(BT2679="D",1,0)+IF(BU2679="D",1,0)+IF(BW2679="D",1,0)+IF(CC2679="D",1,0)+IF(CD2679="D",1,0)+IF(CE2679="D",1,0)+IF(CF2679="D",1,0)+IF(CL2679="D",1,0)+IF(CM2679="D",1,0)+IF(CQ2679="D",1,0)+IF(CR2679="D",1,0)+IF(CS2679="D",1,0)+IF(CW2679="D",1,0)+IF(CX2679="D",1,0)+IF(DD2679="D",1,0)+IF(DE2679="D",1,0)+IF(DJ2679="D",1,0)+IF(DK2679="D",1,0)+IF(DO2679="D",1,0)+IF(DP2679="D",1,0)+IF(DQ2679="D",1,0)+IF(DW2679="D",1,0)+IF(DZ2679="D",1,0)+IF(EH2679="D",1,0)</f>
        <v>0</v>
      </c>
      <c r="AY2679" s="0" t="n">
        <f aca="false">COUNTIF(DU2679:EH2679, "&lt;&gt;")</f>
        <v>0</v>
      </c>
      <c r="AZ2679" s="0" t="n">
        <f aca="false">IF(EH2679&lt;&gt;"",1,0)</f>
        <v>0</v>
      </c>
      <c r="BB2679" s="0" t="s">
        <v>153</v>
      </c>
    </row>
    <row r="2680" customFormat="false" ht="13.8" hidden="true" customHeight="false" outlineLevel="0" collapsed="false">
      <c r="A2680" s="0" t="s">
        <v>11431</v>
      </c>
      <c r="B2680" s="0" t="n">
        <v>78</v>
      </c>
      <c r="C2680" s="0" t="n">
        <v>421102</v>
      </c>
      <c r="D2680" s="0" t="s">
        <v>2324</v>
      </c>
      <c r="E2680" s="0" t="s">
        <v>195</v>
      </c>
      <c r="F2680" s="0" t="str">
        <f aca="false">CONCATENATE(D2680," ",LEFT(H2680,4),"T=",AU2680,"D=",AV2680,"R=",AW2680,"M=",AX2680,"L=",AY2680,"B=",AZ2680)</f>
        <v>MCCLAIN T=2D=0R=0M=0L=1B=0</v>
      </c>
      <c r="G2680" s="0" t="s">
        <v>297</v>
      </c>
      <c r="I2680" s="0" t="s">
        <v>1569</v>
      </c>
      <c r="J2680" s="0" t="s">
        <v>809</v>
      </c>
      <c r="K2680" s="0" t="s">
        <v>175</v>
      </c>
      <c r="L2680" s="0"/>
      <c r="M2680" s="0" t="s">
        <v>11428</v>
      </c>
      <c r="N2680" s="0" t="str">
        <f aca="false">RIGHT(M2680,LEN(M2680)-FIND(" ",M2680))</f>
        <v>VINE AVE NE</v>
      </c>
      <c r="P2680" s="0" t="s">
        <v>146</v>
      </c>
      <c r="Q2680" s="0" t="s">
        <v>147</v>
      </c>
      <c r="R2680" s="0" t="n">
        <v>44483</v>
      </c>
      <c r="AD2680" s="0" t="s">
        <v>148</v>
      </c>
      <c r="AE2680" s="0" t="s">
        <v>149</v>
      </c>
      <c r="AF2680" s="0" t="s">
        <v>150</v>
      </c>
      <c r="AH2680" s="0" t="n">
        <v>14</v>
      </c>
      <c r="AI2680" s="0" t="n">
        <v>11</v>
      </c>
      <c r="AN2680" s="0" t="s">
        <v>146</v>
      </c>
      <c r="AO2680" s="0" t="s">
        <v>236</v>
      </c>
      <c r="AP2680" s="0" t="s">
        <v>237</v>
      </c>
      <c r="AQ2680" s="0" t="n">
        <v>9</v>
      </c>
      <c r="AR2680" s="0" t="n">
        <v>64</v>
      </c>
      <c r="AS2680" s="0" t="n">
        <v>32</v>
      </c>
      <c r="AU2680" s="0" t="n">
        <f aca="false">COUNTA($BA$336:$EH$336)</f>
        <v>2</v>
      </c>
      <c r="AV2680" s="0" t="n">
        <f aca="false">COUNTIF($BA$336:$EH$336,"D")</f>
        <v>0</v>
      </c>
      <c r="AW2680" s="0" t="n">
        <f aca="false">COUNTIF($BA$336:$EH$336,"R")</f>
        <v>0</v>
      </c>
      <c r="AX2680" s="0" t="n">
        <f aca="false">IF(BN2680="D",1,0)+IF(BO2680="D",1,0)+IF(BT2680="D",1,0)+IF(BU2680="D",1,0)+IF(BW2680="D",1,0)+IF(CC2680="D",1,0)+IF(CD2680="D",1,0)+IF(CE2680="D",1,0)+IF(CF2680="D",1,0)+IF(CL2680="D",1,0)+IF(CM2680="D",1,0)+IF(CQ2680="D",1,0)+IF(CR2680="D",1,0)+IF(CS2680="D",1,0)+IF(CW2680="D",1,0)+IF(CX2680="D",1,0)+IF(DD2680="D",1,0)+IF(DE2680="D",1,0)+IF(DJ2680="D",1,0)+IF(DK2680="D",1,0)+IF(DO2680="D",1,0)+IF(DP2680="D",1,0)+IF(DQ2680="D",1,0)+IF(DW2680="D",1,0)+IF(DZ2680="D",1,0)+IF(EH2680="D",1,0)</f>
        <v>0</v>
      </c>
      <c r="AY2680" s="0" t="n">
        <f aca="false">COUNTIF(DU2680:EH2680, "&lt;&gt;")</f>
        <v>1</v>
      </c>
      <c r="AZ2680" s="0" t="n">
        <f aca="false">IF(EH2680&lt;&gt;"",1,0)</f>
        <v>0</v>
      </c>
      <c r="BB2680" s="0" t="s">
        <v>153</v>
      </c>
      <c r="CP2680" s="0" t="s">
        <v>154</v>
      </c>
      <c r="DC2680" s="0" t="s">
        <v>154</v>
      </c>
      <c r="DI2680" s="0" t="s">
        <v>154</v>
      </c>
      <c r="DN2680" s="0" t="s">
        <v>154</v>
      </c>
      <c r="DU2680" s="0" t="s">
        <v>154</v>
      </c>
    </row>
    <row r="2681" customFormat="false" ht="13.8" hidden="false" customHeight="false" outlineLevel="0" collapsed="false">
      <c r="A2681" s="0" t="s">
        <v>11432</v>
      </c>
      <c r="B2681" s="0" t="n">
        <v>78</v>
      </c>
      <c r="C2681" s="0" t="n">
        <v>206316</v>
      </c>
      <c r="D2681" s="0" t="s">
        <v>3765</v>
      </c>
      <c r="E2681" s="0" t="s">
        <v>6796</v>
      </c>
      <c r="F2681" s="0" t="str">
        <f aca="false">CONCATENATE(D2681," ",LEFT(H2681,4),"T=",AU2681,"D=",AV2681,"R=",AW2681,"M=",AX2681,"L=",AY2681,"B=",AZ2681)</f>
        <v>MURRY T=11D=1R=0M=0L=2B=0</v>
      </c>
      <c r="G2681" s="0" t="s">
        <v>297</v>
      </c>
      <c r="I2681" s="0" t="s">
        <v>11433</v>
      </c>
      <c r="J2681" s="0" t="s">
        <v>11434</v>
      </c>
      <c r="K2681" s="0" t="s">
        <v>175</v>
      </c>
      <c r="M2681" s="0" t="s">
        <v>11428</v>
      </c>
      <c r="N2681" s="0" t="str">
        <f aca="false">RIGHT(M2681,LEN(M2681)-FIND(" ",M2681))</f>
        <v>VINE AVE NE</v>
      </c>
      <c r="P2681" s="0" t="s">
        <v>146</v>
      </c>
      <c r="Q2681" s="0" t="s">
        <v>147</v>
      </c>
      <c r="R2681" s="0" t="n">
        <v>44483</v>
      </c>
      <c r="AD2681" s="0" t="s">
        <v>148</v>
      </c>
      <c r="AE2681" s="0" t="s">
        <v>149</v>
      </c>
      <c r="AF2681" s="0" t="s">
        <v>150</v>
      </c>
      <c r="AH2681" s="0" t="n">
        <v>14</v>
      </c>
      <c r="AI2681" s="0" t="n">
        <v>11</v>
      </c>
      <c r="AN2681" s="0" t="s">
        <v>146</v>
      </c>
      <c r="AO2681" s="0" t="s">
        <v>236</v>
      </c>
      <c r="AP2681" s="0" t="s">
        <v>237</v>
      </c>
      <c r="AQ2681" s="0" t="n">
        <v>9</v>
      </c>
      <c r="AR2681" s="0" t="n">
        <v>64</v>
      </c>
      <c r="AS2681" s="0" t="n">
        <v>32</v>
      </c>
      <c r="AU2681" s="0" t="n">
        <f aca="false">COUNTA($BA$479:$EH$479)</f>
        <v>11</v>
      </c>
      <c r="AV2681" s="0" t="n">
        <f aca="false">COUNTIF($BA$479:$EH$479,"D")</f>
        <v>1</v>
      </c>
      <c r="AW2681" s="0" t="n">
        <f aca="false">COUNTIF($BA$479:$EH$479,"R")</f>
        <v>0</v>
      </c>
      <c r="AX2681" s="0" t="n">
        <f aca="false">IF(BN2681="D",1,0)+IF(BO2681="D",1,0)+IF(BT2681="D",1,0)+IF(BU2681="D",1,0)+IF(BW2681="D",1,0)+IF(CC2681="D",1,0)+IF(CD2681="D",1,0)+IF(CE2681="D",1,0)+IF(CF2681="D",1,0)+IF(CL2681="D",1,0)+IF(CM2681="D",1,0)+IF(CQ2681="D",1,0)+IF(CR2681="D",1,0)+IF(CS2681="D",1,0)+IF(CW2681="D",1,0)+IF(CX2681="D",1,0)+IF(DD2681="D",1,0)+IF(DE2681="D",1,0)+IF(DJ2681="D",1,0)+IF(DK2681="D",1,0)+IF(DO2681="D",1,0)+IF(DP2681="D",1,0)+IF(DQ2681="D",1,0)+IF(DW2681="D",1,0)+IF(DZ2681="D",1,0)+IF(EH2681="D",1,0)</f>
        <v>0</v>
      </c>
      <c r="AY2681" s="0" t="n">
        <f aca="false">COUNTIF(DU2681:EH2681, "&lt;&gt;")</f>
        <v>2</v>
      </c>
      <c r="AZ2681" s="0" t="n">
        <f aca="false">IF(EH2681&lt;&gt;"",1,0)</f>
        <v>0</v>
      </c>
      <c r="BB2681" s="0" t="s">
        <v>153</v>
      </c>
      <c r="BD2681" s="0" t="s">
        <v>154</v>
      </c>
      <c r="BL2681" s="0" t="s">
        <v>154</v>
      </c>
      <c r="BY2681" s="0" t="s">
        <v>155</v>
      </c>
      <c r="CA2681" s="0" t="s">
        <v>154</v>
      </c>
      <c r="CK2681" s="0" t="s">
        <v>154</v>
      </c>
      <c r="CP2681" s="0" t="s">
        <v>154</v>
      </c>
      <c r="CZ2681" s="0" t="s">
        <v>155</v>
      </c>
      <c r="DC2681" s="0" t="s">
        <v>154</v>
      </c>
      <c r="DI2681" s="0" t="s">
        <v>154</v>
      </c>
      <c r="DL2681" s="0" t="s">
        <v>154</v>
      </c>
      <c r="DN2681" s="0" t="s">
        <v>154</v>
      </c>
      <c r="DU2681" s="0" t="s">
        <v>154</v>
      </c>
      <c r="EF2681" s="0" t="s">
        <v>154</v>
      </c>
    </row>
    <row r="2682" customFormat="false" ht="13.8" hidden="true" customHeight="false" outlineLevel="0" collapsed="false">
      <c r="A2682" s="0" t="s">
        <v>11435</v>
      </c>
      <c r="B2682" s="0" t="n">
        <v>78</v>
      </c>
      <c r="C2682" s="0" t="n">
        <v>422593</v>
      </c>
      <c r="D2682" s="0" t="s">
        <v>11436</v>
      </c>
      <c r="E2682" s="0" t="s">
        <v>2759</v>
      </c>
      <c r="F2682" s="0" t="str">
        <f aca="false">CONCATENATE(D2682," ",LEFT(H2682,4),"T=",AU2682,"D=",AV2682,"R=",AW2682,"M=",AX2682,"L=",AY2682,"B=",AZ2682)</f>
        <v>NICKOLUS T=12D=1R=0M=0L=0B=0</v>
      </c>
      <c r="G2682" s="0" t="s">
        <v>11437</v>
      </c>
      <c r="I2682" s="0" t="s">
        <v>11438</v>
      </c>
      <c r="J2682" s="0" t="s">
        <v>5403</v>
      </c>
      <c r="K2682" s="0" t="s">
        <v>144</v>
      </c>
      <c r="L2682" s="0"/>
      <c r="M2682" s="0" t="s">
        <v>11428</v>
      </c>
      <c r="N2682" s="0" t="str">
        <f aca="false">RIGHT(M2682,LEN(M2682)-FIND(" ",M2682))</f>
        <v>VINE AVE NE</v>
      </c>
      <c r="P2682" s="0" t="s">
        <v>146</v>
      </c>
      <c r="Q2682" s="0" t="s">
        <v>147</v>
      </c>
      <c r="R2682" s="0" t="n">
        <v>44483</v>
      </c>
      <c r="AD2682" s="0" t="s">
        <v>148</v>
      </c>
      <c r="AE2682" s="0" t="s">
        <v>149</v>
      </c>
      <c r="AF2682" s="0" t="s">
        <v>150</v>
      </c>
      <c r="AH2682" s="0" t="n">
        <v>14</v>
      </c>
      <c r="AI2682" s="0" t="n">
        <v>11</v>
      </c>
      <c r="AN2682" s="0" t="s">
        <v>146</v>
      </c>
      <c r="AO2682" s="0" t="s">
        <v>236</v>
      </c>
      <c r="AP2682" s="0" t="s">
        <v>237</v>
      </c>
      <c r="AQ2682" s="0" t="n">
        <v>9</v>
      </c>
      <c r="AR2682" s="0" t="n">
        <v>64</v>
      </c>
      <c r="AS2682" s="0" t="n">
        <v>32</v>
      </c>
      <c r="AU2682" s="0" t="n">
        <f aca="false">COUNTA($BA$698:$EH$698)</f>
        <v>12</v>
      </c>
      <c r="AV2682" s="0" t="n">
        <f aca="false">COUNTIF($BA$698:$EH$698,"D")</f>
        <v>1</v>
      </c>
      <c r="AW2682" s="0" t="n">
        <f aca="false">COUNTIF($BA$698:$EH$698,"R")</f>
        <v>0</v>
      </c>
      <c r="AX2682" s="0" t="n">
        <f aca="false">IF(BN2682="D",1,0)+IF(BO2682="D",1,0)+IF(BT2682="D",1,0)+IF(BU2682="D",1,0)+IF(BW2682="D",1,0)+IF(CC2682="D",1,0)+IF(CD2682="D",1,0)+IF(CE2682="D",1,0)+IF(CF2682="D",1,0)+IF(CL2682="D",1,0)+IF(CM2682="D",1,0)+IF(CQ2682="D",1,0)+IF(CR2682="D",1,0)+IF(CS2682="D",1,0)+IF(CW2682="D",1,0)+IF(CX2682="D",1,0)+IF(DD2682="D",1,0)+IF(DE2682="D",1,0)+IF(DJ2682="D",1,0)+IF(DK2682="D",1,0)+IF(DO2682="D",1,0)+IF(DP2682="D",1,0)+IF(DQ2682="D",1,0)+IF(DW2682="D",1,0)+IF(DZ2682="D",1,0)+IF(EH2682="D",1,0)</f>
        <v>0</v>
      </c>
      <c r="AY2682" s="0" t="n">
        <f aca="false">COUNTIF(DU2682:EH2682, "&lt;&gt;")</f>
        <v>0</v>
      </c>
      <c r="AZ2682" s="0" t="n">
        <f aca="false">IF(EH2682&lt;&gt;"",1,0)</f>
        <v>0</v>
      </c>
      <c r="BB2682" s="0" t="s">
        <v>153</v>
      </c>
      <c r="CA2682" s="0" t="s">
        <v>154</v>
      </c>
      <c r="DC2682" s="0" t="s">
        <v>154</v>
      </c>
    </row>
    <row r="2683" customFormat="false" ht="13.8" hidden="true" customHeight="false" outlineLevel="0" collapsed="false">
      <c r="A2683" s="0" t="s">
        <v>11439</v>
      </c>
      <c r="B2683" s="0" t="n">
        <v>78</v>
      </c>
      <c r="C2683" s="0" t="n">
        <v>366870</v>
      </c>
      <c r="D2683" s="0" t="s">
        <v>11440</v>
      </c>
      <c r="E2683" s="0" t="s">
        <v>4599</v>
      </c>
      <c r="F2683" s="0" t="str">
        <f aca="false">CONCATENATE(D2683," ",LEFT(H2683,4),"T=",AU2683,"D=",AV2683,"R=",AW2683,"M=",AX2683,"L=",AY2683,"B=",AZ2683)</f>
        <v>PETERSON T=1D=0R=0M=0L=1B=0</v>
      </c>
      <c r="G2683" s="0" t="s">
        <v>297</v>
      </c>
      <c r="I2683" s="0" t="s">
        <v>11441</v>
      </c>
      <c r="J2683" s="0" t="s">
        <v>11442</v>
      </c>
      <c r="K2683" s="0" t="s">
        <v>175</v>
      </c>
      <c r="L2683" s="0"/>
      <c r="M2683" s="0" t="s">
        <v>11443</v>
      </c>
      <c r="N2683" s="0" t="str">
        <f aca="false">RIGHT(M2683,LEN(M2683)-FIND(" ",M2683))</f>
        <v>VINE AVE NE</v>
      </c>
      <c r="P2683" s="0" t="s">
        <v>146</v>
      </c>
      <c r="Q2683" s="0" t="s">
        <v>147</v>
      </c>
      <c r="R2683" s="0" t="n">
        <v>44483</v>
      </c>
      <c r="AD2683" s="0" t="s">
        <v>148</v>
      </c>
      <c r="AE2683" s="0" t="s">
        <v>149</v>
      </c>
      <c r="AF2683" s="0" t="s">
        <v>150</v>
      </c>
      <c r="AH2683" s="0" t="n">
        <v>14</v>
      </c>
      <c r="AI2683" s="0" t="n">
        <v>11</v>
      </c>
      <c r="AN2683" s="0" t="s">
        <v>146</v>
      </c>
      <c r="AO2683" s="0" t="s">
        <v>236</v>
      </c>
      <c r="AP2683" s="0" t="s">
        <v>237</v>
      </c>
      <c r="AQ2683" s="0" t="n">
        <v>9</v>
      </c>
      <c r="AR2683" s="0" t="n">
        <v>64</v>
      </c>
      <c r="AS2683" s="0" t="n">
        <v>32</v>
      </c>
      <c r="AU2683" s="0" t="n">
        <f aca="false">COUNTA($BA$786:$EH$786)</f>
        <v>1</v>
      </c>
      <c r="AV2683" s="0" t="n">
        <f aca="false">COUNTIF($BA$786:$EH$786,"D")</f>
        <v>0</v>
      </c>
      <c r="AW2683" s="0" t="n">
        <f aca="false">COUNTIF($BA$786:$EH$786,"R")</f>
        <v>0</v>
      </c>
      <c r="AX2683" s="0" t="n">
        <f aca="false">IF(BN2683="D",1,0)+IF(BO2683="D",1,0)+IF(BT2683="D",1,0)+IF(BU2683="D",1,0)+IF(BW2683="D",1,0)+IF(CC2683="D",1,0)+IF(CD2683="D",1,0)+IF(CE2683="D",1,0)+IF(CF2683="D",1,0)+IF(CL2683="D",1,0)+IF(CM2683="D",1,0)+IF(CQ2683="D",1,0)+IF(CR2683="D",1,0)+IF(CS2683="D",1,0)+IF(CW2683="D",1,0)+IF(CX2683="D",1,0)+IF(DD2683="D",1,0)+IF(DE2683="D",1,0)+IF(DJ2683="D",1,0)+IF(DK2683="D",1,0)+IF(DO2683="D",1,0)+IF(DP2683="D",1,0)+IF(DQ2683="D",1,0)+IF(DW2683="D",1,0)+IF(DZ2683="D",1,0)+IF(EH2683="D",1,0)</f>
        <v>0</v>
      </c>
      <c r="AY2683" s="0" t="n">
        <f aca="false">COUNTIF(DU2683:EH2683, "&lt;&gt;")</f>
        <v>1</v>
      </c>
      <c r="AZ2683" s="0" t="n">
        <f aca="false">IF(EH2683&lt;&gt;"",1,0)</f>
        <v>0</v>
      </c>
      <c r="BB2683" s="0" t="s">
        <v>153</v>
      </c>
      <c r="CA2683" s="0" t="s">
        <v>154</v>
      </c>
      <c r="CP2683" s="0" t="s">
        <v>154</v>
      </c>
      <c r="CY2683" s="0" t="s">
        <v>154</v>
      </c>
      <c r="CZ2683" s="0" t="s">
        <v>176</v>
      </c>
      <c r="DC2683" s="0" t="s">
        <v>154</v>
      </c>
      <c r="DN2683" s="0" t="s">
        <v>154</v>
      </c>
      <c r="EF2683" s="0" t="s">
        <v>154</v>
      </c>
    </row>
    <row r="2684" customFormat="false" ht="13.8" hidden="false" customHeight="false" outlineLevel="0" collapsed="false">
      <c r="A2684" s="0" t="s">
        <v>11444</v>
      </c>
      <c r="B2684" s="0" t="n">
        <v>78</v>
      </c>
      <c r="C2684" s="0" t="n">
        <v>289259</v>
      </c>
      <c r="D2684" s="0" t="s">
        <v>2248</v>
      </c>
      <c r="E2684" s="0" t="s">
        <v>266</v>
      </c>
      <c r="F2684" s="0" t="str">
        <f aca="false">CONCATENATE(D2684," ",LEFT(H2684,4),"T=",AU2684,"D=",AV2684,"R=",AW2684,"M=",AX2684,"L=",AY2684,"B=",AZ2684)</f>
        <v>COX T=20D=3R=0M=2L=6B=0</v>
      </c>
      <c r="G2684" s="0" t="s">
        <v>166</v>
      </c>
      <c r="I2684" s="0" t="s">
        <v>3714</v>
      </c>
      <c r="J2684" s="0" t="s">
        <v>11445</v>
      </c>
      <c r="K2684" s="0" t="s">
        <v>175</v>
      </c>
      <c r="L2684" s="1" t="s">
        <v>155</v>
      </c>
      <c r="M2684" s="0" t="s">
        <v>11446</v>
      </c>
      <c r="N2684" s="0" t="str">
        <f aca="false">RIGHT(M2684,LEN(M2684)-FIND(" ",M2684))</f>
        <v>VINE AVE NE</v>
      </c>
      <c r="P2684" s="0" t="s">
        <v>146</v>
      </c>
      <c r="Q2684" s="0" t="s">
        <v>147</v>
      </c>
      <c r="R2684" s="0" t="n">
        <v>44483</v>
      </c>
      <c r="AD2684" s="0" t="s">
        <v>148</v>
      </c>
      <c r="AE2684" s="0" t="s">
        <v>149</v>
      </c>
      <c r="AF2684" s="0" t="s">
        <v>150</v>
      </c>
      <c r="AH2684" s="0" t="n">
        <v>14</v>
      </c>
      <c r="AI2684" s="0" t="n">
        <v>11</v>
      </c>
      <c r="AN2684" s="0" t="s">
        <v>146</v>
      </c>
      <c r="AO2684" s="0" t="s">
        <v>236</v>
      </c>
      <c r="AP2684" s="0" t="s">
        <v>237</v>
      </c>
      <c r="AQ2684" s="0" t="n">
        <v>9</v>
      </c>
      <c r="AR2684" s="0" t="n">
        <v>64</v>
      </c>
      <c r="AS2684" s="0" t="n">
        <v>32</v>
      </c>
      <c r="AU2684" s="0" t="n">
        <f aca="false">COUNTA($BA$823:$EH$823)</f>
        <v>20</v>
      </c>
      <c r="AV2684" s="0" t="n">
        <f aca="false">COUNTIF($BA$823:$EH$823,"D")</f>
        <v>3</v>
      </c>
      <c r="AW2684" s="0" t="n">
        <f aca="false">COUNTIF($BA$823:$EH$823,"R")</f>
        <v>0</v>
      </c>
      <c r="AX2684" s="0" t="n">
        <f aca="false">IF(BN2684="D",1,0)+IF(BO2684="D",1,0)+IF(BT2684="D",1,0)+IF(BU2684="D",1,0)+IF(BW2684="D",1,0)+IF(CC2684="D",1,0)+IF(CD2684="D",1,0)+IF(CE2684="D",1,0)+IF(CF2684="D",1,0)+IF(CL2684="D",1,0)+IF(CM2684="D",1,0)+IF(CQ2684="D",1,0)+IF(CR2684="D",1,0)+IF(CS2684="D",1,0)+IF(CW2684="D",1,0)+IF(CX2684="D",1,0)+IF(DD2684="D",1,0)+IF(DE2684="D",1,0)+IF(DJ2684="D",1,0)+IF(DK2684="D",1,0)+IF(DO2684="D",1,0)+IF(DP2684="D",1,0)+IF(DQ2684="D",1,0)+IF(DW2684="D",1,0)+IF(DZ2684="D",1,0)+IF(EH2684="D",1,0)</f>
        <v>2</v>
      </c>
      <c r="AY2684" s="0" t="n">
        <f aca="false">COUNTIF(DU2684:EH2684, "&lt;&gt;")</f>
        <v>6</v>
      </c>
      <c r="AZ2684" s="0" t="n">
        <f aca="false">IF(EH2684&lt;&gt;"",1,0)</f>
        <v>0</v>
      </c>
      <c r="BB2684" s="0" t="s">
        <v>153</v>
      </c>
      <c r="BD2684" s="0" t="s">
        <v>154</v>
      </c>
      <c r="BE2684" s="0" t="s">
        <v>154</v>
      </c>
      <c r="BG2684" s="0" t="s">
        <v>154</v>
      </c>
      <c r="BH2684" s="0" t="s">
        <v>154</v>
      </c>
      <c r="BI2684" s="0" t="s">
        <v>154</v>
      </c>
      <c r="BJ2684" s="0" t="s">
        <v>154</v>
      </c>
      <c r="BK2684" s="0" t="s">
        <v>154</v>
      </c>
      <c r="BL2684" s="0" t="s">
        <v>154</v>
      </c>
      <c r="BS2684" s="0" t="s">
        <v>154</v>
      </c>
      <c r="BY2684" s="0" t="s">
        <v>155</v>
      </c>
      <c r="CA2684" s="0" t="s">
        <v>154</v>
      </c>
      <c r="CK2684" s="0" t="s">
        <v>154</v>
      </c>
      <c r="CP2684" s="0" t="s">
        <v>154</v>
      </c>
      <c r="CY2684" s="0" t="s">
        <v>154</v>
      </c>
      <c r="DC2684" s="0" t="s">
        <v>154</v>
      </c>
      <c r="DN2684" s="0" t="s">
        <v>154</v>
      </c>
      <c r="DO2684" s="0" t="s">
        <v>155</v>
      </c>
      <c r="DR2684" s="0" t="s">
        <v>154</v>
      </c>
      <c r="DU2684" s="0" t="s">
        <v>154</v>
      </c>
      <c r="DW2684" s="0" t="s">
        <v>155</v>
      </c>
      <c r="DX2684" s="0" t="s">
        <v>154</v>
      </c>
      <c r="EA2684" s="0" t="s">
        <v>154</v>
      </c>
      <c r="ED2684" s="0" t="s">
        <v>155</v>
      </c>
      <c r="EF2684" s="0" t="s">
        <v>154</v>
      </c>
    </row>
    <row r="2685" customFormat="false" ht="13.8" hidden="true" customHeight="false" outlineLevel="0" collapsed="false">
      <c r="A2685" s="0" t="s">
        <v>11447</v>
      </c>
      <c r="B2685" s="0" t="n">
        <v>78</v>
      </c>
      <c r="C2685" s="0" t="n">
        <v>399140</v>
      </c>
      <c r="D2685" s="0" t="s">
        <v>11448</v>
      </c>
      <c r="E2685" s="0" t="s">
        <v>11449</v>
      </c>
      <c r="F2685" s="0" t="str">
        <f aca="false">CONCATENATE(D2685," ",LEFT(H2685,4),"T=",AU2685,"D=",AV2685,"R=",AW2685,"M=",AX2685,"L=",AY2685,"B=",AZ2685)</f>
        <v>JAIN T=4D=1R=0M=0L=1B=0</v>
      </c>
      <c r="G2685" s="0" t="s">
        <v>297</v>
      </c>
      <c r="I2685" s="0" t="s">
        <v>11450</v>
      </c>
      <c r="J2685" s="0" t="s">
        <v>11451</v>
      </c>
      <c r="K2685" s="0" t="s">
        <v>175</v>
      </c>
      <c r="L2685" s="0"/>
      <c r="M2685" s="0" t="s">
        <v>11452</v>
      </c>
      <c r="N2685" s="0" t="str">
        <f aca="false">RIGHT(M2685,LEN(M2685)-FIND(" ",M2685))</f>
        <v>VINE AVE NE</v>
      </c>
      <c r="P2685" s="0" t="s">
        <v>146</v>
      </c>
      <c r="Q2685" s="0" t="s">
        <v>147</v>
      </c>
      <c r="R2685" s="0" t="n">
        <v>44483</v>
      </c>
      <c r="AD2685" s="0" t="s">
        <v>148</v>
      </c>
      <c r="AE2685" s="0" t="s">
        <v>149</v>
      </c>
      <c r="AF2685" s="0" t="s">
        <v>150</v>
      </c>
      <c r="AH2685" s="0" t="n">
        <v>14</v>
      </c>
      <c r="AI2685" s="0" t="n">
        <v>11</v>
      </c>
      <c r="AN2685" s="0" t="s">
        <v>146</v>
      </c>
      <c r="AO2685" s="0" t="s">
        <v>236</v>
      </c>
      <c r="AP2685" s="0" t="s">
        <v>237</v>
      </c>
      <c r="AQ2685" s="0" t="n">
        <v>9</v>
      </c>
      <c r="AR2685" s="0" t="n">
        <v>64</v>
      </c>
      <c r="AS2685" s="0" t="n">
        <v>32</v>
      </c>
      <c r="AU2685" s="0" t="n">
        <f aca="false">COUNTA($BA$819:$EH$819)</f>
        <v>4</v>
      </c>
      <c r="AV2685" s="0" t="n">
        <f aca="false">COUNTIF($BA$819:$EH$819,"D")</f>
        <v>1</v>
      </c>
      <c r="AW2685" s="0" t="n">
        <f aca="false">COUNTIF($BA$819:$EH$819,"R")</f>
        <v>0</v>
      </c>
      <c r="AX2685" s="0" t="n">
        <f aca="false">IF(BN2685="D",1,0)+IF(BO2685="D",1,0)+IF(BT2685="D",1,0)+IF(BU2685="D",1,0)+IF(BW2685="D",1,0)+IF(CC2685="D",1,0)+IF(CD2685="D",1,0)+IF(CE2685="D",1,0)+IF(CF2685="D",1,0)+IF(CL2685="D",1,0)+IF(CM2685="D",1,0)+IF(CQ2685="D",1,0)+IF(CR2685="D",1,0)+IF(CS2685="D",1,0)+IF(CW2685="D",1,0)+IF(CX2685="D",1,0)+IF(DD2685="D",1,0)+IF(DE2685="D",1,0)+IF(DJ2685="D",1,0)+IF(DK2685="D",1,0)+IF(DO2685="D",1,0)+IF(DP2685="D",1,0)+IF(DQ2685="D",1,0)+IF(DW2685="D",1,0)+IF(DZ2685="D",1,0)+IF(EH2685="D",1,0)</f>
        <v>0</v>
      </c>
      <c r="AY2685" s="0" t="n">
        <f aca="false">COUNTIF(DU2685:EH2685, "&lt;&gt;")</f>
        <v>1</v>
      </c>
      <c r="AZ2685" s="0" t="n">
        <f aca="false">IF(EH2685&lt;&gt;"",1,0)</f>
        <v>0</v>
      </c>
      <c r="BB2685" s="0" t="s">
        <v>153</v>
      </c>
      <c r="DC2685" s="0" t="s">
        <v>154</v>
      </c>
      <c r="DN2685" s="0" t="s">
        <v>154</v>
      </c>
      <c r="DU2685" s="0" t="s">
        <v>154</v>
      </c>
    </row>
    <row r="2686" customFormat="false" ht="13.8" hidden="true" customHeight="false" outlineLevel="0" collapsed="false">
      <c r="A2686" s="0" t="s">
        <v>11453</v>
      </c>
      <c r="B2686" s="0" t="n">
        <v>78</v>
      </c>
      <c r="C2686" s="0" t="n">
        <v>494678</v>
      </c>
      <c r="D2686" s="0" t="s">
        <v>11454</v>
      </c>
      <c r="E2686" s="0" t="s">
        <v>10912</v>
      </c>
      <c r="F2686" s="0" t="str">
        <f aca="false">CONCATENATE(D2686," ",LEFT(H2686,4),"T=",AU2686,"D=",AV2686,"R=",AW2686,"M=",AX2686,"L=",AY2686,"B=",AZ2686)</f>
        <v>STRICKLING T=4D=0R=0M=0L=0B=0</v>
      </c>
      <c r="G2686" s="0" t="s">
        <v>196</v>
      </c>
      <c r="I2686" s="0" t="s">
        <v>11455</v>
      </c>
      <c r="J2686" s="0" t="s">
        <v>4621</v>
      </c>
      <c r="K2686" s="0" t="s">
        <v>175</v>
      </c>
      <c r="L2686" s="0"/>
      <c r="M2686" s="0" t="s">
        <v>11456</v>
      </c>
      <c r="N2686" s="0" t="str">
        <f aca="false">RIGHT(M2686,LEN(M2686)-FIND(" ",M2686))</f>
        <v>VINE AVE NE</v>
      </c>
      <c r="P2686" s="0" t="s">
        <v>146</v>
      </c>
      <c r="Q2686" s="0" t="s">
        <v>147</v>
      </c>
      <c r="R2686" s="0" t="n">
        <v>44483</v>
      </c>
      <c r="AD2686" s="0" t="s">
        <v>148</v>
      </c>
      <c r="AE2686" s="0" t="s">
        <v>149</v>
      </c>
      <c r="AF2686" s="0" t="s">
        <v>150</v>
      </c>
      <c r="AH2686" s="0" t="n">
        <v>14</v>
      </c>
      <c r="AI2686" s="0" t="n">
        <v>11</v>
      </c>
      <c r="AN2686" s="0" t="s">
        <v>146</v>
      </c>
      <c r="AO2686" s="0" t="s">
        <v>236</v>
      </c>
      <c r="AP2686" s="0" t="s">
        <v>237</v>
      </c>
      <c r="AQ2686" s="0" t="n">
        <v>9</v>
      </c>
      <c r="AR2686" s="0" t="n">
        <v>64</v>
      </c>
      <c r="AS2686" s="0" t="n">
        <v>32</v>
      </c>
      <c r="AU2686" s="0" t="n">
        <f aca="false">COUNTA($BA$1007:$EH$1007)</f>
        <v>4</v>
      </c>
      <c r="AV2686" s="0" t="n">
        <f aca="false">COUNTIF($BA$1007:$EH$1007,"D")</f>
        <v>0</v>
      </c>
      <c r="AW2686" s="0" t="n">
        <f aca="false">COUNTIF($BA$1007:$EH$1007,"R")</f>
        <v>0</v>
      </c>
      <c r="AX2686" s="0" t="n">
        <f aca="false">IF(BN2686="D",1,0)+IF(BO2686="D",1,0)+IF(BT2686="D",1,0)+IF(BU2686="D",1,0)+IF(BW2686="D",1,0)+IF(CC2686="D",1,0)+IF(CD2686="D",1,0)+IF(CE2686="D",1,0)+IF(CF2686="D",1,0)+IF(CL2686="D",1,0)+IF(CM2686="D",1,0)+IF(CQ2686="D",1,0)+IF(CR2686="D",1,0)+IF(CS2686="D",1,0)+IF(CW2686="D",1,0)+IF(CX2686="D",1,0)+IF(DD2686="D",1,0)+IF(DE2686="D",1,0)+IF(DJ2686="D",1,0)+IF(DK2686="D",1,0)+IF(DO2686="D",1,0)+IF(DP2686="D",1,0)+IF(DQ2686="D",1,0)+IF(DW2686="D",1,0)+IF(DZ2686="D",1,0)+IF(EH2686="D",1,0)</f>
        <v>0</v>
      </c>
      <c r="AY2686" s="0" t="n">
        <f aca="false">COUNTIF(DU2686:EH2686, "&lt;&gt;")</f>
        <v>0</v>
      </c>
      <c r="AZ2686" s="0" t="n">
        <f aca="false">IF(EH2686&lt;&gt;"",1,0)</f>
        <v>0</v>
      </c>
      <c r="BB2686" s="0" t="s">
        <v>153</v>
      </c>
    </row>
    <row r="2687" customFormat="false" ht="13.8" hidden="true" customHeight="false" outlineLevel="0" collapsed="false">
      <c r="A2687" s="0" t="s">
        <v>11457</v>
      </c>
      <c r="B2687" s="0" t="n">
        <v>78</v>
      </c>
      <c r="C2687" s="0" t="n">
        <v>431374</v>
      </c>
      <c r="D2687" s="0" t="s">
        <v>675</v>
      </c>
      <c r="E2687" s="0" t="s">
        <v>513</v>
      </c>
      <c r="F2687" s="0" t="str">
        <f aca="false">CONCATENATE(D2687," ",LEFT(H2687,4),"T=",AU2687,"D=",AV2687,"R=",AW2687,"M=",AX2687,"L=",AY2687,"B=",AZ2687)</f>
        <v>ANDERSON T=2D=0R=0M=0L=0B=0</v>
      </c>
      <c r="G2687" s="0" t="s">
        <v>241</v>
      </c>
      <c r="I2687" s="0" t="s">
        <v>4514</v>
      </c>
      <c r="J2687" s="0" t="s">
        <v>1030</v>
      </c>
      <c r="K2687" s="0" t="s">
        <v>175</v>
      </c>
      <c r="L2687" s="0"/>
      <c r="M2687" s="0" t="s">
        <v>11458</v>
      </c>
      <c r="N2687" s="0" t="str">
        <f aca="false">RIGHT(M2687,LEN(M2687)-FIND(" ",M2687))</f>
        <v>VINE AVE NE</v>
      </c>
      <c r="P2687" s="0" t="s">
        <v>146</v>
      </c>
      <c r="Q2687" s="0" t="s">
        <v>147</v>
      </c>
      <c r="R2687" s="0" t="n">
        <v>44483</v>
      </c>
      <c r="AD2687" s="0" t="s">
        <v>148</v>
      </c>
      <c r="AE2687" s="0" t="s">
        <v>149</v>
      </c>
      <c r="AF2687" s="0" t="s">
        <v>150</v>
      </c>
      <c r="AH2687" s="0" t="n">
        <v>14</v>
      </c>
      <c r="AI2687" s="0" t="n">
        <v>11</v>
      </c>
      <c r="AN2687" s="0" t="s">
        <v>146</v>
      </c>
      <c r="AO2687" s="0" t="s">
        <v>236</v>
      </c>
      <c r="AP2687" s="0" t="s">
        <v>237</v>
      </c>
      <c r="AQ2687" s="0" t="n">
        <v>9</v>
      </c>
      <c r="AR2687" s="0" t="n">
        <v>64</v>
      </c>
      <c r="AS2687" s="0" t="n">
        <v>32</v>
      </c>
      <c r="AU2687" s="0" t="n">
        <f aca="false">COUNTA($BA$262:$EH$262)</f>
        <v>2</v>
      </c>
      <c r="AV2687" s="0" t="n">
        <f aca="false">COUNTIF($BA$262:$EH$262,"D")</f>
        <v>0</v>
      </c>
      <c r="AW2687" s="0" t="n">
        <f aca="false">COUNTIF($BA$262:$EH$262,"R")</f>
        <v>0</v>
      </c>
      <c r="AX2687" s="0" t="n">
        <f aca="false">IF(BN2687="D",1,0)+IF(BO2687="D",1,0)+IF(BT2687="D",1,0)+IF(BU2687="D",1,0)+IF(BW2687="D",1,0)+IF(CC2687="D",1,0)+IF(CD2687="D",1,0)+IF(CE2687="D",1,0)+IF(CF2687="D",1,0)+IF(CL2687="D",1,0)+IF(CM2687="D",1,0)+IF(CQ2687="D",1,0)+IF(CR2687="D",1,0)+IF(CS2687="D",1,0)+IF(CW2687="D",1,0)+IF(CX2687="D",1,0)+IF(DD2687="D",1,0)+IF(DE2687="D",1,0)+IF(DJ2687="D",1,0)+IF(DK2687="D",1,0)+IF(DO2687="D",1,0)+IF(DP2687="D",1,0)+IF(DQ2687="D",1,0)+IF(DW2687="D",1,0)+IF(DZ2687="D",1,0)+IF(EH2687="D",1,0)</f>
        <v>0</v>
      </c>
      <c r="AY2687" s="0" t="n">
        <f aca="false">COUNTIF(DU2687:EH2687, "&lt;&gt;")</f>
        <v>0</v>
      </c>
      <c r="AZ2687" s="0" t="n">
        <f aca="false">IF(EH2687&lt;&gt;"",1,0)</f>
        <v>0</v>
      </c>
      <c r="BB2687" s="0" t="s">
        <v>153</v>
      </c>
    </row>
    <row r="2688" customFormat="false" ht="13.8" hidden="true" customHeight="false" outlineLevel="0" collapsed="false">
      <c r="A2688" s="0" t="s">
        <v>11459</v>
      </c>
      <c r="B2688" s="0" t="n">
        <v>78</v>
      </c>
      <c r="C2688" s="0" t="n">
        <v>486950</v>
      </c>
      <c r="D2688" s="0" t="s">
        <v>11460</v>
      </c>
      <c r="E2688" s="0" t="s">
        <v>11461</v>
      </c>
      <c r="F2688" s="0" t="str">
        <f aca="false">CONCATENATE(D2688," ",LEFT(H2688,4),"T=",AU2688,"D=",AV2688,"R=",AW2688,"M=",AX2688,"L=",AY2688,"B=",AZ2688)</f>
        <v>STEPHENSON T=4D=0R=0M=0L=1B=0</v>
      </c>
      <c r="G2688" s="0" t="s">
        <v>172</v>
      </c>
      <c r="I2688" s="0" t="s">
        <v>11462</v>
      </c>
      <c r="J2688" s="0" t="s">
        <v>488</v>
      </c>
      <c r="K2688" s="0" t="s">
        <v>175</v>
      </c>
      <c r="L2688" s="0"/>
      <c r="M2688" s="0" t="s">
        <v>11463</v>
      </c>
      <c r="N2688" s="0" t="str">
        <f aca="false">RIGHT(M2688,LEN(M2688)-FIND(" ",M2688))</f>
        <v>VINE AVE NE</v>
      </c>
      <c r="P2688" s="0" t="s">
        <v>146</v>
      </c>
      <c r="Q2688" s="0" t="s">
        <v>147</v>
      </c>
      <c r="R2688" s="0" t="n">
        <v>44483</v>
      </c>
      <c r="AD2688" s="0" t="s">
        <v>148</v>
      </c>
      <c r="AE2688" s="0" t="s">
        <v>149</v>
      </c>
      <c r="AF2688" s="0" t="s">
        <v>150</v>
      </c>
      <c r="AH2688" s="0" t="n">
        <v>14</v>
      </c>
      <c r="AI2688" s="0" t="n">
        <v>11</v>
      </c>
      <c r="AN2688" s="0" t="s">
        <v>146</v>
      </c>
      <c r="AO2688" s="0" t="s">
        <v>236</v>
      </c>
      <c r="AP2688" s="0" t="s">
        <v>237</v>
      </c>
      <c r="AQ2688" s="0" t="n">
        <v>9</v>
      </c>
      <c r="AR2688" s="0" t="n">
        <v>64</v>
      </c>
      <c r="AS2688" s="0" t="n">
        <v>32</v>
      </c>
      <c r="AU2688" s="0" t="n">
        <f aca="false">COUNTA($BA$907:$EH$907)</f>
        <v>4</v>
      </c>
      <c r="AV2688" s="0" t="n">
        <f aca="false">COUNTIF($BA$907:$EH$907,"D")</f>
        <v>0</v>
      </c>
      <c r="AW2688" s="0" t="n">
        <f aca="false">COUNTIF($BA$907:$EH$907,"R")</f>
        <v>0</v>
      </c>
      <c r="AX2688" s="0" t="n">
        <f aca="false">IF(BN2688="D",1,0)+IF(BO2688="D",1,0)+IF(BT2688="D",1,0)+IF(BU2688="D",1,0)+IF(BW2688="D",1,0)+IF(CC2688="D",1,0)+IF(CD2688="D",1,0)+IF(CE2688="D",1,0)+IF(CF2688="D",1,0)+IF(CL2688="D",1,0)+IF(CM2688="D",1,0)+IF(CQ2688="D",1,0)+IF(CR2688="D",1,0)+IF(CS2688="D",1,0)+IF(CW2688="D",1,0)+IF(CX2688="D",1,0)+IF(DD2688="D",1,0)+IF(DE2688="D",1,0)+IF(DJ2688="D",1,0)+IF(DK2688="D",1,0)+IF(DO2688="D",1,0)+IF(DP2688="D",1,0)+IF(DQ2688="D",1,0)+IF(DW2688="D",1,0)+IF(DZ2688="D",1,0)+IF(EH2688="D",1,0)</f>
        <v>0</v>
      </c>
      <c r="AY2688" s="0" t="n">
        <f aca="false">COUNTIF(DU2688:EH2688, "&lt;&gt;")</f>
        <v>1</v>
      </c>
      <c r="AZ2688" s="0" t="n">
        <f aca="false">IF(EH2688&lt;&gt;"",1,0)</f>
        <v>0</v>
      </c>
      <c r="BB2688" s="0" t="s">
        <v>153</v>
      </c>
      <c r="EF2688" s="0" t="s">
        <v>154</v>
      </c>
    </row>
    <row r="2689" customFormat="false" ht="13.8" hidden="false" customHeight="false" outlineLevel="0" collapsed="false">
      <c r="A2689" s="0" t="s">
        <v>11464</v>
      </c>
      <c r="B2689" s="0" t="n">
        <v>78</v>
      </c>
      <c r="C2689" s="0" t="n">
        <v>465381</v>
      </c>
      <c r="D2689" s="0" t="s">
        <v>11460</v>
      </c>
      <c r="E2689" s="0" t="s">
        <v>11465</v>
      </c>
      <c r="F2689" s="0" t="str">
        <f aca="false">CONCATENATE(D2689," ",LEFT(H2689,4),"T=",AU2689,"D=",AV2689,"R=",AW2689,"M=",AX2689,"L=",AY2689,"B=",AZ2689)</f>
        <v>STEPHENSON T=1D=0R=0M=0L=4B=0</v>
      </c>
      <c r="G2689" s="0" t="s">
        <v>6645</v>
      </c>
      <c r="I2689" s="0" t="s">
        <v>11466</v>
      </c>
      <c r="J2689" s="0" t="s">
        <v>11467</v>
      </c>
      <c r="K2689" s="0" t="s">
        <v>175</v>
      </c>
      <c r="M2689" s="0" t="s">
        <v>11463</v>
      </c>
      <c r="N2689" s="0" t="str">
        <f aca="false">RIGHT(M2689,LEN(M2689)-FIND(" ",M2689))</f>
        <v>VINE AVE NE</v>
      </c>
      <c r="P2689" s="0" t="s">
        <v>146</v>
      </c>
      <c r="Q2689" s="0" t="s">
        <v>147</v>
      </c>
      <c r="R2689" s="0" t="n">
        <v>44483</v>
      </c>
      <c r="AD2689" s="0" t="s">
        <v>148</v>
      </c>
      <c r="AE2689" s="0" t="s">
        <v>149</v>
      </c>
      <c r="AF2689" s="0" t="s">
        <v>150</v>
      </c>
      <c r="AH2689" s="0" t="n">
        <v>14</v>
      </c>
      <c r="AI2689" s="0" t="n">
        <v>11</v>
      </c>
      <c r="AN2689" s="0" t="s">
        <v>146</v>
      </c>
      <c r="AO2689" s="0" t="s">
        <v>236</v>
      </c>
      <c r="AP2689" s="0" t="s">
        <v>237</v>
      </c>
      <c r="AQ2689" s="0" t="n">
        <v>9</v>
      </c>
      <c r="AR2689" s="0" t="n">
        <v>64</v>
      </c>
      <c r="AS2689" s="0" t="n">
        <v>32</v>
      </c>
      <c r="AU2689" s="0" t="n">
        <f aca="false">COUNTA($BA$1030:$EH$1030)</f>
        <v>1</v>
      </c>
      <c r="AV2689" s="0" t="n">
        <f aca="false">COUNTIF($BA$1030:$EH$1030,"D")</f>
        <v>0</v>
      </c>
      <c r="AW2689" s="0" t="n">
        <f aca="false">COUNTIF($BA$1030:$EH$1030,"R")</f>
        <v>0</v>
      </c>
      <c r="AX2689" s="0" t="n">
        <f aca="false">IF(BN2689="D",1,0)+IF(BO2689="D",1,0)+IF(BT2689="D",1,0)+IF(BU2689="D",1,0)+IF(BW2689="D",1,0)+IF(CC2689="D",1,0)+IF(CD2689="D",1,0)+IF(CE2689="D",1,0)+IF(CF2689="D",1,0)+IF(CL2689="D",1,0)+IF(CM2689="D",1,0)+IF(CQ2689="D",1,0)+IF(CR2689="D",1,0)+IF(CS2689="D",1,0)+IF(CW2689="D",1,0)+IF(CX2689="D",1,0)+IF(DD2689="D",1,0)+IF(DE2689="D",1,0)+IF(DJ2689="D",1,0)+IF(DK2689="D",1,0)+IF(DO2689="D",1,0)+IF(DP2689="D",1,0)+IF(DQ2689="D",1,0)+IF(DW2689="D",1,0)+IF(DZ2689="D",1,0)+IF(EH2689="D",1,0)</f>
        <v>0</v>
      </c>
      <c r="AY2689" s="0" t="n">
        <f aca="false">COUNTIF(DU2689:EH2689, "&lt;&gt;")</f>
        <v>4</v>
      </c>
      <c r="AZ2689" s="0" t="n">
        <f aca="false">IF(EH2689&lt;&gt;"",1,0)</f>
        <v>0</v>
      </c>
      <c r="BB2689" s="0" t="s">
        <v>153</v>
      </c>
      <c r="CY2689" s="0" t="s">
        <v>154</v>
      </c>
      <c r="DU2689" s="0" t="s">
        <v>154</v>
      </c>
      <c r="DX2689" s="0" t="s">
        <v>154</v>
      </c>
      <c r="EA2689" s="0" t="s">
        <v>154</v>
      </c>
      <c r="EF2689" s="0" t="s">
        <v>154</v>
      </c>
    </row>
    <row r="2690" customFormat="false" ht="13.8" hidden="true" customHeight="false" outlineLevel="0" collapsed="false">
      <c r="A2690" s="0" t="s">
        <v>11468</v>
      </c>
      <c r="B2690" s="0" t="n">
        <v>78</v>
      </c>
      <c r="C2690" s="0" t="n">
        <v>325751</v>
      </c>
      <c r="D2690" s="0" t="s">
        <v>2983</v>
      </c>
      <c r="E2690" s="0" t="s">
        <v>3615</v>
      </c>
      <c r="F2690" s="0" t="str">
        <f aca="false">CONCATENATE(D2690," ",LEFT(H2690,4),"T=",AU2690,"D=",AV2690,"R=",AW2690,"M=",AX2690,"L=",AY2690,"B=",AZ2690)</f>
        <v>BILES T=2D=0R=0M=0L=0B=0</v>
      </c>
      <c r="G2690" s="0" t="s">
        <v>241</v>
      </c>
      <c r="I2690" s="0" t="s">
        <v>11469</v>
      </c>
      <c r="J2690" s="0" t="s">
        <v>11470</v>
      </c>
      <c r="K2690" s="0" t="s">
        <v>144</v>
      </c>
      <c r="L2690" s="0"/>
      <c r="M2690" s="0" t="s">
        <v>11471</v>
      </c>
      <c r="N2690" s="0" t="str">
        <f aca="false">RIGHT(M2690,LEN(M2690)-FIND(" ",M2690))</f>
        <v>VINE AVE NE</v>
      </c>
      <c r="P2690" s="0" t="s">
        <v>146</v>
      </c>
      <c r="Q2690" s="0" t="s">
        <v>147</v>
      </c>
      <c r="R2690" s="0" t="n">
        <v>44483</v>
      </c>
      <c r="AD2690" s="0" t="s">
        <v>148</v>
      </c>
      <c r="AE2690" s="0" t="s">
        <v>149</v>
      </c>
      <c r="AF2690" s="0" t="s">
        <v>150</v>
      </c>
      <c r="AH2690" s="0" t="n">
        <v>14</v>
      </c>
      <c r="AI2690" s="0" t="n">
        <v>11</v>
      </c>
      <c r="AN2690" s="0" t="s">
        <v>146</v>
      </c>
      <c r="AO2690" s="0" t="s">
        <v>236</v>
      </c>
      <c r="AP2690" s="0" t="s">
        <v>237</v>
      </c>
      <c r="AQ2690" s="0" t="n">
        <v>9</v>
      </c>
      <c r="AR2690" s="0" t="n">
        <v>64</v>
      </c>
      <c r="AS2690" s="0" t="n">
        <v>32</v>
      </c>
      <c r="AU2690" s="0" t="n">
        <f aca="false">COUNTA($BA$167:$EH$167)</f>
        <v>2</v>
      </c>
      <c r="AV2690" s="0" t="n">
        <f aca="false">COUNTIF($BA$167:$EH$167,"D")</f>
        <v>0</v>
      </c>
      <c r="AW2690" s="0" t="n">
        <f aca="false">COUNTIF($BA$167:$EH$167,"R")</f>
        <v>0</v>
      </c>
      <c r="AX2690" s="0" t="n">
        <f aca="false">IF(BN2690="D",1,0)+IF(BO2690="D",1,0)+IF(BT2690="D",1,0)+IF(BU2690="D",1,0)+IF(BW2690="D",1,0)+IF(CC2690="D",1,0)+IF(CD2690="D",1,0)+IF(CE2690="D",1,0)+IF(CF2690="D",1,0)+IF(CL2690="D",1,0)+IF(CM2690="D",1,0)+IF(CQ2690="D",1,0)+IF(CR2690="D",1,0)+IF(CS2690="D",1,0)+IF(CW2690="D",1,0)+IF(CX2690="D",1,0)+IF(DD2690="D",1,0)+IF(DE2690="D",1,0)+IF(DJ2690="D",1,0)+IF(DK2690="D",1,0)+IF(DO2690="D",1,0)+IF(DP2690="D",1,0)+IF(DQ2690="D",1,0)+IF(DW2690="D",1,0)+IF(DZ2690="D",1,0)+IF(EH2690="D",1,0)</f>
        <v>0</v>
      </c>
      <c r="AY2690" s="0" t="n">
        <f aca="false">COUNTIF(DU2690:EH2690, "&lt;&gt;")</f>
        <v>0</v>
      </c>
      <c r="AZ2690" s="0" t="n">
        <f aca="false">IF(EH2690&lt;&gt;"",1,0)</f>
        <v>0</v>
      </c>
      <c r="BB2690" s="0" t="s">
        <v>153</v>
      </c>
      <c r="BL2690" s="0" t="s">
        <v>154</v>
      </c>
    </row>
    <row r="2691" customFormat="false" ht="13.8" hidden="true" customHeight="false" outlineLevel="0" collapsed="false">
      <c r="A2691" s="0" t="s">
        <v>11472</v>
      </c>
      <c r="B2691" s="0" t="n">
        <v>78</v>
      </c>
      <c r="C2691" s="0" t="n">
        <v>322091</v>
      </c>
      <c r="D2691" s="0" t="s">
        <v>645</v>
      </c>
      <c r="E2691" s="0" t="s">
        <v>277</v>
      </c>
      <c r="F2691" s="0" t="str">
        <f aca="false">CONCATENATE(D2691," ",LEFT(H2691,4),"T=",AU2691,"D=",AV2691,"R=",AW2691,"M=",AX2691,"L=",AY2691,"B=",AZ2691)</f>
        <v>WILLIAMS T=18D=2R=5M=0L=0B=0</v>
      </c>
      <c r="G2691" s="0" t="s">
        <v>241</v>
      </c>
      <c r="I2691" s="0" t="s">
        <v>11473</v>
      </c>
      <c r="J2691" s="0" t="s">
        <v>4728</v>
      </c>
      <c r="K2691" s="0" t="s">
        <v>144</v>
      </c>
      <c r="L2691" s="0"/>
      <c r="M2691" s="0" t="s">
        <v>11471</v>
      </c>
      <c r="N2691" s="0" t="str">
        <f aca="false">RIGHT(M2691,LEN(M2691)-FIND(" ",M2691))</f>
        <v>VINE AVE NE</v>
      </c>
      <c r="P2691" s="0" t="s">
        <v>146</v>
      </c>
      <c r="Q2691" s="0" t="s">
        <v>147</v>
      </c>
      <c r="R2691" s="0" t="n">
        <v>44483</v>
      </c>
      <c r="AD2691" s="0" t="s">
        <v>148</v>
      </c>
      <c r="AE2691" s="0" t="s">
        <v>149</v>
      </c>
      <c r="AF2691" s="0" t="s">
        <v>150</v>
      </c>
      <c r="AH2691" s="0" t="n">
        <v>14</v>
      </c>
      <c r="AI2691" s="0" t="n">
        <v>11</v>
      </c>
      <c r="AN2691" s="0" t="s">
        <v>146</v>
      </c>
      <c r="AO2691" s="0" t="s">
        <v>236</v>
      </c>
      <c r="AP2691" s="0" t="s">
        <v>237</v>
      </c>
      <c r="AQ2691" s="0" t="n">
        <v>9</v>
      </c>
      <c r="AR2691" s="0" t="n">
        <v>64</v>
      </c>
      <c r="AS2691" s="0" t="n">
        <v>32</v>
      </c>
      <c r="AU2691" s="0" t="n">
        <f aca="false">COUNTA($BA$219:$EH$219)</f>
        <v>18</v>
      </c>
      <c r="AV2691" s="0" t="n">
        <f aca="false">COUNTIF($BA$219:$EH$219,"D")</f>
        <v>2</v>
      </c>
      <c r="AW2691" s="0" t="n">
        <f aca="false">COUNTIF($BA$219:$EH$219,"R")</f>
        <v>5</v>
      </c>
      <c r="AX2691" s="0" t="n">
        <f aca="false">IF(BN2691="D",1,0)+IF(BO2691="D",1,0)+IF(BT2691="D",1,0)+IF(BU2691="D",1,0)+IF(BW2691="D",1,0)+IF(CC2691="D",1,0)+IF(CD2691="D",1,0)+IF(CE2691="D",1,0)+IF(CF2691="D",1,0)+IF(CL2691="D",1,0)+IF(CM2691="D",1,0)+IF(CQ2691="D",1,0)+IF(CR2691="D",1,0)+IF(CS2691="D",1,0)+IF(CW2691="D",1,0)+IF(CX2691="D",1,0)+IF(DD2691="D",1,0)+IF(DE2691="D",1,0)+IF(DJ2691="D",1,0)+IF(DK2691="D",1,0)+IF(DO2691="D",1,0)+IF(DP2691="D",1,0)+IF(DQ2691="D",1,0)+IF(DW2691="D",1,0)+IF(DZ2691="D",1,0)+IF(EH2691="D",1,0)</f>
        <v>0</v>
      </c>
      <c r="AY2691" s="0" t="n">
        <f aca="false">COUNTIF(DU2691:EH2691, "&lt;&gt;")</f>
        <v>0</v>
      </c>
      <c r="AZ2691" s="0" t="n">
        <f aca="false">IF(EH2691&lt;&gt;"",1,0)</f>
        <v>0</v>
      </c>
      <c r="BB2691" s="0" t="s">
        <v>153</v>
      </c>
    </row>
    <row r="2692" customFormat="false" ht="13.8" hidden="true" customHeight="false" outlineLevel="0" collapsed="false">
      <c r="A2692" s="0" t="s">
        <v>11474</v>
      </c>
      <c r="B2692" s="0" t="n">
        <v>78</v>
      </c>
      <c r="C2692" s="0" t="n">
        <v>408724</v>
      </c>
      <c r="D2692" s="0" t="s">
        <v>11475</v>
      </c>
      <c r="E2692" s="0" t="s">
        <v>583</v>
      </c>
      <c r="F2692" s="0" t="str">
        <f aca="false">CONCATENATE(D2692," ",LEFT(H2692,4),"T=",AU2692,"D=",AV2692,"R=",AW2692,"M=",AX2692,"L=",AY2692,"B=",AZ2692)</f>
        <v>TIMMONS SRT=10D=0R=0M=0L=0B=0</v>
      </c>
      <c r="G2692" s="0" t="s">
        <v>241</v>
      </c>
      <c r="H2692" s="0" t="s">
        <v>311</v>
      </c>
      <c r="I2692" s="0" t="s">
        <v>11476</v>
      </c>
      <c r="J2692" s="0" t="s">
        <v>11477</v>
      </c>
      <c r="K2692" s="0" t="s">
        <v>175</v>
      </c>
      <c r="L2692" s="0"/>
      <c r="M2692" s="0" t="s">
        <v>11471</v>
      </c>
      <c r="N2692" s="0" t="str">
        <f aca="false">RIGHT(M2692,LEN(M2692)-FIND(" ",M2692))</f>
        <v>VINE AVE NE</v>
      </c>
      <c r="P2692" s="0" t="s">
        <v>146</v>
      </c>
      <c r="Q2692" s="0" t="s">
        <v>147</v>
      </c>
      <c r="R2692" s="0" t="n">
        <v>44483</v>
      </c>
      <c r="AD2692" s="0" t="s">
        <v>148</v>
      </c>
      <c r="AE2692" s="0" t="s">
        <v>149</v>
      </c>
      <c r="AF2692" s="0" t="s">
        <v>150</v>
      </c>
      <c r="AH2692" s="0" t="n">
        <v>14</v>
      </c>
      <c r="AI2692" s="0" t="n">
        <v>11</v>
      </c>
      <c r="AN2692" s="0" t="s">
        <v>146</v>
      </c>
      <c r="AO2692" s="0" t="s">
        <v>236</v>
      </c>
      <c r="AP2692" s="0" t="s">
        <v>237</v>
      </c>
      <c r="AQ2692" s="0" t="n">
        <v>9</v>
      </c>
      <c r="AR2692" s="0" t="n">
        <v>64</v>
      </c>
      <c r="AS2692" s="0" t="n">
        <v>32</v>
      </c>
      <c r="AU2692" s="0" t="n">
        <f aca="false">COUNTA($BA$667:$EH$667)</f>
        <v>10</v>
      </c>
      <c r="AV2692" s="0" t="n">
        <f aca="false">COUNTIF($BA$667:$EH$667,"D")</f>
        <v>0</v>
      </c>
      <c r="AW2692" s="0" t="n">
        <f aca="false">COUNTIF($BA$667:$EH$667,"R")</f>
        <v>0</v>
      </c>
      <c r="AX2692" s="0" t="n">
        <f aca="false">IF(BN2692="D",1,0)+IF(BO2692="D",1,0)+IF(BT2692="D",1,0)+IF(BU2692="D",1,0)+IF(BW2692="D",1,0)+IF(CC2692="D",1,0)+IF(CD2692="D",1,0)+IF(CE2692="D",1,0)+IF(CF2692="D",1,0)+IF(CL2692="D",1,0)+IF(CM2692="D",1,0)+IF(CQ2692="D",1,0)+IF(CR2692="D",1,0)+IF(CS2692="D",1,0)+IF(CW2692="D",1,0)+IF(CX2692="D",1,0)+IF(DD2692="D",1,0)+IF(DE2692="D",1,0)+IF(DJ2692="D",1,0)+IF(DK2692="D",1,0)+IF(DO2692="D",1,0)+IF(DP2692="D",1,0)+IF(DQ2692="D",1,0)+IF(DW2692="D",1,0)+IF(DZ2692="D",1,0)+IF(EH2692="D",1,0)</f>
        <v>0</v>
      </c>
      <c r="AY2692" s="0" t="n">
        <f aca="false">COUNTIF(DU2692:EH2692, "&lt;&gt;")</f>
        <v>0</v>
      </c>
      <c r="AZ2692" s="0" t="n">
        <f aca="false">IF(EH2692&lt;&gt;"",1,0)</f>
        <v>0</v>
      </c>
      <c r="BB2692" s="0" t="s">
        <v>153</v>
      </c>
    </row>
    <row r="2693" customFormat="false" ht="13.8" hidden="true" customHeight="false" outlineLevel="0" collapsed="false">
      <c r="A2693" s="0" t="s">
        <v>11478</v>
      </c>
      <c r="B2693" s="0" t="n">
        <v>78</v>
      </c>
      <c r="C2693" s="0" t="n">
        <v>350271</v>
      </c>
      <c r="D2693" s="0" t="s">
        <v>11479</v>
      </c>
      <c r="E2693" s="0" t="s">
        <v>1063</v>
      </c>
      <c r="F2693" s="0" t="str">
        <f aca="false">CONCATENATE(D2693," ",LEFT(H2693,4),"T=",AU2693,"D=",AV2693,"R=",AW2693,"M=",AX2693,"L=",AY2693,"B=",AZ2693)</f>
        <v>STEERMAN T=1D=0R=0M=0L=0B=0</v>
      </c>
      <c r="G2693" s="0" t="s">
        <v>317</v>
      </c>
      <c r="I2693" s="0" t="s">
        <v>11480</v>
      </c>
      <c r="J2693" s="0" t="s">
        <v>11481</v>
      </c>
      <c r="K2693" s="0" t="s">
        <v>144</v>
      </c>
      <c r="L2693" s="0"/>
      <c r="M2693" s="0" t="s">
        <v>11482</v>
      </c>
      <c r="N2693" s="0" t="str">
        <f aca="false">RIGHT(M2693,LEN(M2693)-FIND(" ",M2693))</f>
        <v>WASHINGTON ST NE</v>
      </c>
      <c r="P2693" s="0" t="s">
        <v>146</v>
      </c>
      <c r="Q2693" s="0" t="s">
        <v>147</v>
      </c>
      <c r="R2693" s="0" t="n">
        <v>44483</v>
      </c>
      <c r="AD2693" s="0" t="s">
        <v>148</v>
      </c>
      <c r="AE2693" s="0" t="s">
        <v>149</v>
      </c>
      <c r="AF2693" s="0" t="s">
        <v>150</v>
      </c>
      <c r="AH2693" s="0" t="n">
        <v>14</v>
      </c>
      <c r="AI2693" s="0" t="n">
        <v>11</v>
      </c>
      <c r="AN2693" s="0" t="s">
        <v>146</v>
      </c>
      <c r="AO2693" s="0" t="s">
        <v>236</v>
      </c>
      <c r="AP2693" s="0" t="s">
        <v>237</v>
      </c>
      <c r="AQ2693" s="0" t="n">
        <v>9</v>
      </c>
      <c r="AR2693" s="0" t="n">
        <v>64</v>
      </c>
      <c r="AS2693" s="0" t="n">
        <v>32</v>
      </c>
      <c r="AU2693" s="0" t="n">
        <f aca="false">COUNTA($BA$193:$EH$193)</f>
        <v>1</v>
      </c>
      <c r="AV2693" s="0" t="n">
        <f aca="false">COUNTIF($BA$193:$EH$193,"D")</f>
        <v>0</v>
      </c>
      <c r="AW2693" s="0" t="n">
        <f aca="false">COUNTIF($BA$193:$EH$193,"R")</f>
        <v>0</v>
      </c>
      <c r="AX2693" s="0" t="n">
        <f aca="false">IF(BN2693="D",1,0)+IF(BO2693="D",1,0)+IF(BT2693="D",1,0)+IF(BU2693="D",1,0)+IF(BW2693="D",1,0)+IF(CC2693="D",1,0)+IF(CD2693="D",1,0)+IF(CE2693="D",1,0)+IF(CF2693="D",1,0)+IF(CL2693="D",1,0)+IF(CM2693="D",1,0)+IF(CQ2693="D",1,0)+IF(CR2693="D",1,0)+IF(CS2693="D",1,0)+IF(CW2693="D",1,0)+IF(CX2693="D",1,0)+IF(DD2693="D",1,0)+IF(DE2693="D",1,0)+IF(DJ2693="D",1,0)+IF(DK2693="D",1,0)+IF(DO2693="D",1,0)+IF(DP2693="D",1,0)+IF(DQ2693="D",1,0)+IF(DW2693="D",1,0)+IF(DZ2693="D",1,0)+IF(EH2693="D",1,0)</f>
        <v>0</v>
      </c>
      <c r="AY2693" s="0" t="n">
        <f aca="false">COUNTIF(DU2693:EH2693, "&lt;&gt;")</f>
        <v>0</v>
      </c>
      <c r="AZ2693" s="0" t="n">
        <f aca="false">IF(EH2693&lt;&gt;"",1,0)</f>
        <v>0</v>
      </c>
      <c r="BB2693" s="0" t="s">
        <v>153</v>
      </c>
      <c r="CP2693" s="0" t="s">
        <v>154</v>
      </c>
    </row>
    <row r="2694" customFormat="false" ht="13.8" hidden="true" customHeight="false" outlineLevel="0" collapsed="false">
      <c r="A2694" s="0" t="s">
        <v>11483</v>
      </c>
      <c r="B2694" s="0" t="n">
        <v>78</v>
      </c>
      <c r="C2694" s="0" t="n">
        <v>449687</v>
      </c>
      <c r="D2694" s="0" t="s">
        <v>8976</v>
      </c>
      <c r="E2694" s="0" t="s">
        <v>744</v>
      </c>
      <c r="F2694" s="0" t="str">
        <f aca="false">CONCATENATE(D2694," ",LEFT(H2694,4),"T=",AU2694,"D=",AV2694,"R=",AW2694,"M=",AX2694,"L=",AY2694,"B=",AZ2694)</f>
        <v>COLE T=8D=0R=0M=0L=0B=0</v>
      </c>
      <c r="G2694" s="0" t="s">
        <v>438</v>
      </c>
      <c r="I2694" s="0" t="s">
        <v>11484</v>
      </c>
      <c r="J2694" s="0" t="s">
        <v>11485</v>
      </c>
      <c r="K2694" s="0" t="s">
        <v>175</v>
      </c>
      <c r="L2694" s="0"/>
      <c r="M2694" s="0" t="s">
        <v>11486</v>
      </c>
      <c r="N2694" s="0" t="str">
        <f aca="false">RIGHT(M2694,LEN(M2694)-FIND(" ",M2694))</f>
        <v>WASHINGTON ST NE</v>
      </c>
      <c r="P2694" s="0" t="s">
        <v>146</v>
      </c>
      <c r="Q2694" s="0" t="s">
        <v>147</v>
      </c>
      <c r="R2694" s="0" t="n">
        <v>44483</v>
      </c>
      <c r="AD2694" s="0" t="s">
        <v>148</v>
      </c>
      <c r="AE2694" s="0" t="s">
        <v>149</v>
      </c>
      <c r="AF2694" s="0" t="s">
        <v>150</v>
      </c>
      <c r="AH2694" s="0" t="n">
        <v>14</v>
      </c>
      <c r="AI2694" s="0" t="n">
        <v>11</v>
      </c>
      <c r="AN2694" s="0" t="s">
        <v>146</v>
      </c>
      <c r="AO2694" s="0" t="s">
        <v>236</v>
      </c>
      <c r="AP2694" s="0" t="s">
        <v>237</v>
      </c>
      <c r="AQ2694" s="0" t="n">
        <v>9</v>
      </c>
      <c r="AR2694" s="0" t="n">
        <v>64</v>
      </c>
      <c r="AS2694" s="0" t="n">
        <v>32</v>
      </c>
      <c r="AU2694" s="0" t="n">
        <f aca="false">COUNTA($BA$552:$EH$552)</f>
        <v>8</v>
      </c>
      <c r="AV2694" s="0" t="n">
        <f aca="false">COUNTIF($BA$552:$EH$552,"D")</f>
        <v>0</v>
      </c>
      <c r="AW2694" s="0" t="n">
        <f aca="false">COUNTIF($BA$552:$EH$552,"R")</f>
        <v>0</v>
      </c>
      <c r="AX2694" s="0" t="n">
        <f aca="false">IF(BN2694="D",1,0)+IF(BO2694="D",1,0)+IF(BT2694="D",1,0)+IF(BU2694="D",1,0)+IF(BW2694="D",1,0)+IF(CC2694="D",1,0)+IF(CD2694="D",1,0)+IF(CE2694="D",1,0)+IF(CF2694="D",1,0)+IF(CL2694="D",1,0)+IF(CM2694="D",1,0)+IF(CQ2694="D",1,0)+IF(CR2694="D",1,0)+IF(CS2694="D",1,0)+IF(CW2694="D",1,0)+IF(CX2694="D",1,0)+IF(DD2694="D",1,0)+IF(DE2694="D",1,0)+IF(DJ2694="D",1,0)+IF(DK2694="D",1,0)+IF(DO2694="D",1,0)+IF(DP2694="D",1,0)+IF(DQ2694="D",1,0)+IF(DW2694="D",1,0)+IF(DZ2694="D",1,0)+IF(EH2694="D",1,0)</f>
        <v>0</v>
      </c>
      <c r="AY2694" s="0" t="n">
        <f aca="false">COUNTIF(DU2694:EH2694, "&lt;&gt;")</f>
        <v>0</v>
      </c>
      <c r="AZ2694" s="0" t="n">
        <f aca="false">IF(EH2694&lt;&gt;"",1,0)</f>
        <v>0</v>
      </c>
      <c r="BB2694" s="0" t="s">
        <v>153</v>
      </c>
    </row>
    <row r="2695" customFormat="false" ht="13.8" hidden="true" customHeight="false" outlineLevel="0" collapsed="false">
      <c r="A2695" s="0" t="s">
        <v>11487</v>
      </c>
      <c r="B2695" s="0" t="n">
        <v>78</v>
      </c>
      <c r="C2695" s="0" t="n">
        <v>472429</v>
      </c>
      <c r="D2695" s="0" t="s">
        <v>11488</v>
      </c>
      <c r="E2695" s="0" t="s">
        <v>889</v>
      </c>
      <c r="F2695" s="0" t="str">
        <f aca="false">CONCATENATE(D2695," ",LEFT(H2695,4),"T=",AU2695,"D=",AV2695,"R=",AW2695,"M=",AX2695,"L=",AY2695,"B=",AZ2695)</f>
        <v>PINION T=7D=1R=0M=0L=1B=0</v>
      </c>
      <c r="G2695" s="0" t="s">
        <v>429</v>
      </c>
      <c r="I2695" s="0" t="s">
        <v>11489</v>
      </c>
      <c r="J2695" s="0" t="s">
        <v>11490</v>
      </c>
      <c r="K2695" s="0" t="s">
        <v>175</v>
      </c>
      <c r="L2695" s="0"/>
      <c r="M2695" s="0" t="s">
        <v>11486</v>
      </c>
      <c r="N2695" s="0" t="str">
        <f aca="false">RIGHT(M2695,LEN(M2695)-FIND(" ",M2695))</f>
        <v>WASHINGTON ST NE</v>
      </c>
      <c r="P2695" s="0" t="s">
        <v>146</v>
      </c>
      <c r="Q2695" s="0" t="s">
        <v>147</v>
      </c>
      <c r="R2695" s="0" t="n">
        <v>44483</v>
      </c>
      <c r="AD2695" s="0" t="s">
        <v>148</v>
      </c>
      <c r="AE2695" s="0" t="s">
        <v>149</v>
      </c>
      <c r="AF2695" s="0" t="s">
        <v>150</v>
      </c>
      <c r="AH2695" s="0" t="n">
        <v>14</v>
      </c>
      <c r="AI2695" s="0" t="n">
        <v>11</v>
      </c>
      <c r="AN2695" s="0" t="s">
        <v>146</v>
      </c>
      <c r="AO2695" s="0" t="s">
        <v>236</v>
      </c>
      <c r="AP2695" s="0" t="s">
        <v>237</v>
      </c>
      <c r="AQ2695" s="0" t="n">
        <v>9</v>
      </c>
      <c r="AR2695" s="0" t="n">
        <v>64</v>
      </c>
      <c r="AS2695" s="0" t="n">
        <v>32</v>
      </c>
      <c r="AU2695" s="0" t="n">
        <f aca="false">COUNTA($BA$1076:$EH$1076)</f>
        <v>7</v>
      </c>
      <c r="AV2695" s="0" t="n">
        <f aca="false">COUNTIF($BA$1076:$EH$1076,"D")</f>
        <v>1</v>
      </c>
      <c r="AW2695" s="0" t="n">
        <f aca="false">COUNTIF($BA$1076:$EH$1076,"R")</f>
        <v>0</v>
      </c>
      <c r="AX2695" s="0" t="n">
        <f aca="false">IF(BN2695="D",1,0)+IF(BO2695="D",1,0)+IF(BT2695="D",1,0)+IF(BU2695="D",1,0)+IF(BW2695="D",1,0)+IF(CC2695="D",1,0)+IF(CD2695="D",1,0)+IF(CE2695="D",1,0)+IF(CF2695="D",1,0)+IF(CL2695="D",1,0)+IF(CM2695="D",1,0)+IF(CQ2695="D",1,0)+IF(CR2695="D",1,0)+IF(CS2695="D",1,0)+IF(CW2695="D",1,0)+IF(CX2695="D",1,0)+IF(DD2695="D",1,0)+IF(DE2695="D",1,0)+IF(DJ2695="D",1,0)+IF(DK2695="D",1,0)+IF(DO2695="D",1,0)+IF(DP2695="D",1,0)+IF(DQ2695="D",1,0)+IF(DW2695="D",1,0)+IF(DZ2695="D",1,0)+IF(EH2695="D",1,0)</f>
        <v>0</v>
      </c>
      <c r="AY2695" s="0" t="n">
        <f aca="false">COUNTIF(DU2695:EH2695, "&lt;&gt;")</f>
        <v>1</v>
      </c>
      <c r="AZ2695" s="0" t="n">
        <f aca="false">IF(EH2695&lt;&gt;"",1,0)</f>
        <v>0</v>
      </c>
      <c r="BB2695" s="0" t="s">
        <v>153</v>
      </c>
      <c r="EF2695" s="0" t="s">
        <v>154</v>
      </c>
    </row>
    <row r="2696" customFormat="false" ht="13.8" hidden="false" customHeight="false" outlineLevel="0" collapsed="false">
      <c r="A2696" s="0" t="s">
        <v>11491</v>
      </c>
      <c r="B2696" s="0" t="n">
        <v>78</v>
      </c>
      <c r="C2696" s="0" t="n">
        <v>495984</v>
      </c>
      <c r="D2696" s="0" t="s">
        <v>11492</v>
      </c>
      <c r="E2696" s="0" t="s">
        <v>194</v>
      </c>
      <c r="F2696" s="0" t="str">
        <f aca="false">CONCATENATE(D2696," ",LEFT(H2696,4),"T=",AU2696,"D=",AV2696,"R=",AW2696,"M=",AX2696,"L=",AY2696,"B=",AZ2696)</f>
        <v>SMALL T=3D=0R=0M=0L=2B=0</v>
      </c>
      <c r="G2696" s="0" t="s">
        <v>11493</v>
      </c>
      <c r="I2696" s="0" t="s">
        <v>11494</v>
      </c>
      <c r="J2696" s="0" t="s">
        <v>11495</v>
      </c>
      <c r="K2696" s="0" t="s">
        <v>175</v>
      </c>
      <c r="M2696" s="0" t="s">
        <v>11496</v>
      </c>
      <c r="N2696" s="0" t="str">
        <f aca="false">RIGHT(M2696,LEN(M2696)-FIND(" ",M2696))</f>
        <v>WASHINGTON ST NE</v>
      </c>
      <c r="P2696" s="0" t="s">
        <v>146</v>
      </c>
      <c r="Q2696" s="0" t="s">
        <v>147</v>
      </c>
      <c r="R2696" s="0" t="n">
        <v>44483</v>
      </c>
      <c r="AD2696" s="0" t="s">
        <v>148</v>
      </c>
      <c r="AE2696" s="0" t="s">
        <v>149</v>
      </c>
      <c r="AF2696" s="0" t="s">
        <v>150</v>
      </c>
      <c r="AH2696" s="0" t="n">
        <v>14</v>
      </c>
      <c r="AI2696" s="0" t="n">
        <v>11</v>
      </c>
      <c r="AN2696" s="0" t="s">
        <v>146</v>
      </c>
      <c r="AO2696" s="0" t="s">
        <v>236</v>
      </c>
      <c r="AP2696" s="0" t="s">
        <v>237</v>
      </c>
      <c r="AQ2696" s="0" t="n">
        <v>9</v>
      </c>
      <c r="AR2696" s="0" t="n">
        <v>64</v>
      </c>
      <c r="AS2696" s="0" t="n">
        <v>32</v>
      </c>
      <c r="AU2696" s="0" t="n">
        <f aca="false">COUNTA($BA$422:$EH$422)</f>
        <v>3</v>
      </c>
      <c r="AV2696" s="0" t="n">
        <f aca="false">COUNTIF($BA$422:$EH$422,"D")</f>
        <v>0</v>
      </c>
      <c r="AW2696" s="0" t="n">
        <f aca="false">COUNTIF($BA$422:$EH$422,"R")</f>
        <v>0</v>
      </c>
      <c r="AX2696" s="0" t="n">
        <f aca="false">IF(BN2696="D",1,0)+IF(BO2696="D",1,0)+IF(BT2696="D",1,0)+IF(BU2696="D",1,0)+IF(BW2696="D",1,0)+IF(CC2696="D",1,0)+IF(CD2696="D",1,0)+IF(CE2696="D",1,0)+IF(CF2696="D",1,0)+IF(CL2696="D",1,0)+IF(CM2696="D",1,0)+IF(CQ2696="D",1,0)+IF(CR2696="D",1,0)+IF(CS2696="D",1,0)+IF(CW2696="D",1,0)+IF(CX2696="D",1,0)+IF(DD2696="D",1,0)+IF(DE2696="D",1,0)+IF(DJ2696="D",1,0)+IF(DK2696="D",1,0)+IF(DO2696="D",1,0)+IF(DP2696="D",1,0)+IF(DQ2696="D",1,0)+IF(DW2696="D",1,0)+IF(DZ2696="D",1,0)+IF(EH2696="D",1,0)</f>
        <v>0</v>
      </c>
      <c r="AY2696" s="0" t="n">
        <f aca="false">COUNTIF(DU2696:EH2696, "&lt;&gt;")</f>
        <v>2</v>
      </c>
      <c r="AZ2696" s="0" t="n">
        <f aca="false">IF(EH2696&lt;&gt;"",1,0)</f>
        <v>0</v>
      </c>
      <c r="BB2696" s="0" t="s">
        <v>153</v>
      </c>
      <c r="CY2696" s="0" t="s">
        <v>154</v>
      </c>
      <c r="CZ2696" s="0" t="s">
        <v>176</v>
      </c>
      <c r="DC2696" s="0" t="s">
        <v>154</v>
      </c>
      <c r="DF2696" s="0" t="s">
        <v>154</v>
      </c>
      <c r="DN2696" s="0" t="s">
        <v>154</v>
      </c>
      <c r="DS2696" s="0" t="s">
        <v>176</v>
      </c>
      <c r="DU2696" s="0" t="s">
        <v>154</v>
      </c>
      <c r="EF2696" s="0" t="s">
        <v>154</v>
      </c>
    </row>
    <row r="2697" customFormat="false" ht="13.8" hidden="true" customHeight="false" outlineLevel="0" collapsed="false">
      <c r="A2697" s="0" t="s">
        <v>11497</v>
      </c>
      <c r="B2697" s="0" t="n">
        <v>78</v>
      </c>
      <c r="C2697" s="0" t="n">
        <v>431738</v>
      </c>
      <c r="D2697" s="0" t="s">
        <v>11498</v>
      </c>
      <c r="E2697" s="0" t="s">
        <v>3440</v>
      </c>
      <c r="F2697" s="0" t="str">
        <f aca="false">CONCATENATE(D2697," ",LEFT(H2697,4),"T=",AU2697,"D=",AV2697,"R=",AW2697,"M=",AX2697,"L=",AY2697,"B=",AZ2697)</f>
        <v>WEBBER T=14D=0R=2M=0L=0B=0</v>
      </c>
      <c r="I2697" s="0" t="s">
        <v>11499</v>
      </c>
      <c r="J2697" s="0" t="s">
        <v>3501</v>
      </c>
      <c r="K2697" s="0" t="s">
        <v>144</v>
      </c>
      <c r="L2697" s="0"/>
      <c r="M2697" s="0" t="s">
        <v>11500</v>
      </c>
      <c r="N2697" s="0" t="str">
        <f aca="false">RIGHT(M2697,LEN(M2697)-FIND(" ",M2697))</f>
        <v>WASHINGTON ST NE</v>
      </c>
      <c r="P2697" s="0" t="s">
        <v>146</v>
      </c>
      <c r="Q2697" s="0" t="s">
        <v>147</v>
      </c>
      <c r="R2697" s="0" t="n">
        <v>44483</v>
      </c>
      <c r="AD2697" s="0" t="s">
        <v>148</v>
      </c>
      <c r="AE2697" s="0" t="s">
        <v>149</v>
      </c>
      <c r="AF2697" s="0" t="s">
        <v>150</v>
      </c>
      <c r="AH2697" s="0" t="n">
        <v>14</v>
      </c>
      <c r="AI2697" s="0" t="n">
        <v>11</v>
      </c>
      <c r="AN2697" s="0" t="s">
        <v>146</v>
      </c>
      <c r="AO2697" s="0" t="s">
        <v>236</v>
      </c>
      <c r="AP2697" s="0" t="s">
        <v>237</v>
      </c>
      <c r="AQ2697" s="0" t="n">
        <v>9</v>
      </c>
      <c r="AR2697" s="0" t="n">
        <v>64</v>
      </c>
      <c r="AS2697" s="0" t="n">
        <v>32</v>
      </c>
      <c r="AU2697" s="0" t="n">
        <f aca="false">COUNTA($BA$1053:$EH$1053)</f>
        <v>14</v>
      </c>
      <c r="AV2697" s="0" t="n">
        <f aca="false">COUNTIF($BA$1053:$EH$1053,"D")</f>
        <v>0</v>
      </c>
      <c r="AW2697" s="0" t="n">
        <f aca="false">COUNTIF($BA$1053:$EH$1053,"R")</f>
        <v>2</v>
      </c>
      <c r="AX2697" s="0" t="n">
        <f aca="false">IF(BN2697="D",1,0)+IF(BO2697="D",1,0)+IF(BT2697="D",1,0)+IF(BU2697="D",1,0)+IF(BW2697="D",1,0)+IF(CC2697="D",1,0)+IF(CD2697="D",1,0)+IF(CE2697="D",1,0)+IF(CF2697="D",1,0)+IF(CL2697="D",1,0)+IF(CM2697="D",1,0)+IF(CQ2697="D",1,0)+IF(CR2697="D",1,0)+IF(CS2697="D",1,0)+IF(CW2697="D",1,0)+IF(CX2697="D",1,0)+IF(DD2697="D",1,0)+IF(DE2697="D",1,0)+IF(DJ2697="D",1,0)+IF(DK2697="D",1,0)+IF(DO2697="D",1,0)+IF(DP2697="D",1,0)+IF(DQ2697="D",1,0)+IF(DW2697="D",1,0)+IF(DZ2697="D",1,0)+IF(EH2697="D",1,0)</f>
        <v>0</v>
      </c>
      <c r="AY2697" s="0" t="n">
        <f aca="false">COUNTIF(DU2697:EH2697, "&lt;&gt;")</f>
        <v>0</v>
      </c>
      <c r="AZ2697" s="0" t="n">
        <f aca="false">IF(EH2697&lt;&gt;"",1,0)</f>
        <v>0</v>
      </c>
      <c r="BB2697" s="0" t="s">
        <v>153</v>
      </c>
    </row>
    <row r="2698" customFormat="false" ht="13.8" hidden="true" customHeight="false" outlineLevel="0" collapsed="false">
      <c r="A2698" s="0" t="s">
        <v>11501</v>
      </c>
      <c r="B2698" s="0" t="n">
        <v>78</v>
      </c>
      <c r="C2698" s="0" t="n">
        <v>366694</v>
      </c>
      <c r="D2698" s="0" t="s">
        <v>645</v>
      </c>
      <c r="E2698" s="0" t="s">
        <v>1022</v>
      </c>
      <c r="F2698" s="0" t="str">
        <f aca="false">CONCATENATE(D2698," ",LEFT(H2698,4),"T=",AU2698,"D=",AV2698,"R=",AW2698,"M=",AX2698,"L=",AY2698,"B=",AZ2698)</f>
        <v>WILLIAMS T=4D=0R=0M=0L=0B=0</v>
      </c>
      <c r="G2698" s="0" t="s">
        <v>297</v>
      </c>
      <c r="I2698" s="0" t="s">
        <v>11502</v>
      </c>
      <c r="J2698" s="0" t="s">
        <v>11503</v>
      </c>
      <c r="K2698" s="0" t="s">
        <v>144</v>
      </c>
      <c r="L2698" s="0"/>
      <c r="M2698" s="0" t="s">
        <v>11504</v>
      </c>
      <c r="N2698" s="0" t="str">
        <f aca="false">RIGHT(M2698,LEN(M2698)-FIND(" ",M2698))</f>
        <v>WASHINGTON ST NE</v>
      </c>
      <c r="O2698" s="0" t="s">
        <v>1681</v>
      </c>
      <c r="P2698" s="0" t="s">
        <v>146</v>
      </c>
      <c r="Q2698" s="0" t="s">
        <v>147</v>
      </c>
      <c r="R2698" s="0" t="n">
        <v>44483</v>
      </c>
      <c r="AD2698" s="0" t="s">
        <v>148</v>
      </c>
      <c r="AE2698" s="0" t="s">
        <v>149</v>
      </c>
      <c r="AF2698" s="0" t="s">
        <v>150</v>
      </c>
      <c r="AH2698" s="0" t="n">
        <v>14</v>
      </c>
      <c r="AI2698" s="0" t="n">
        <v>11</v>
      </c>
      <c r="AN2698" s="0" t="s">
        <v>146</v>
      </c>
      <c r="AO2698" s="0" t="s">
        <v>236</v>
      </c>
      <c r="AP2698" s="0" t="s">
        <v>237</v>
      </c>
      <c r="AQ2698" s="0" t="n">
        <v>9</v>
      </c>
      <c r="AR2698" s="0" t="n">
        <v>64</v>
      </c>
      <c r="AS2698" s="0" t="n">
        <v>32</v>
      </c>
      <c r="AU2698" s="0" t="n">
        <f aca="false">COUNTA($BA$820:$EH$820)</f>
        <v>4</v>
      </c>
      <c r="AV2698" s="0" t="n">
        <f aca="false">COUNTIF($BA$820:$EH$820,"D")</f>
        <v>0</v>
      </c>
      <c r="AW2698" s="0" t="n">
        <f aca="false">COUNTIF($BA$820:$EH$820,"R")</f>
        <v>0</v>
      </c>
      <c r="AX2698" s="0" t="n">
        <f aca="false">IF(BN2698="D",1,0)+IF(BO2698="D",1,0)+IF(BT2698="D",1,0)+IF(BU2698="D",1,0)+IF(BW2698="D",1,0)+IF(CC2698="D",1,0)+IF(CD2698="D",1,0)+IF(CE2698="D",1,0)+IF(CF2698="D",1,0)+IF(CL2698="D",1,0)+IF(CM2698="D",1,0)+IF(CQ2698="D",1,0)+IF(CR2698="D",1,0)+IF(CS2698="D",1,0)+IF(CW2698="D",1,0)+IF(CX2698="D",1,0)+IF(DD2698="D",1,0)+IF(DE2698="D",1,0)+IF(DJ2698="D",1,0)+IF(DK2698="D",1,0)+IF(DO2698="D",1,0)+IF(DP2698="D",1,0)+IF(DQ2698="D",1,0)+IF(DW2698="D",1,0)+IF(DZ2698="D",1,0)+IF(EH2698="D",1,0)</f>
        <v>0</v>
      </c>
      <c r="AY2698" s="0" t="n">
        <f aca="false">COUNTIF(DU2698:EH2698, "&lt;&gt;")</f>
        <v>0</v>
      </c>
      <c r="AZ2698" s="0" t="n">
        <f aca="false">IF(EH2698&lt;&gt;"",1,0)</f>
        <v>0</v>
      </c>
      <c r="BB2698" s="0" t="s">
        <v>153</v>
      </c>
    </row>
    <row r="2699" customFormat="false" ht="13.8" hidden="false" customHeight="false" outlineLevel="0" collapsed="false">
      <c r="A2699" s="0" t="s">
        <v>11505</v>
      </c>
      <c r="B2699" s="0" t="n">
        <v>78</v>
      </c>
      <c r="C2699" s="0" t="n">
        <v>191631</v>
      </c>
      <c r="D2699" s="0" t="s">
        <v>1225</v>
      </c>
      <c r="E2699" s="0" t="s">
        <v>180</v>
      </c>
      <c r="F2699" s="0" t="str">
        <f aca="false">CONCATENATE(D2699," ",LEFT(H2699,4),"T=",AU2699,"D=",AV2699,"R=",AW2699,"M=",AX2699,"L=",AY2699,"B=",AZ2699)</f>
        <v>STEC T=2D=0R=0M=1L=6B=0</v>
      </c>
      <c r="G2699" s="0" t="s">
        <v>297</v>
      </c>
      <c r="I2699" s="0" t="s">
        <v>11506</v>
      </c>
      <c r="J2699" s="0" t="s">
        <v>1615</v>
      </c>
      <c r="K2699" s="0" t="s">
        <v>175</v>
      </c>
      <c r="L2699" s="1" t="s">
        <v>176</v>
      </c>
      <c r="M2699" s="0" t="s">
        <v>11507</v>
      </c>
      <c r="N2699" s="0" t="str">
        <f aca="false">RIGHT(M2699,LEN(M2699)-FIND(" ",M2699))</f>
        <v>WASHINGTON ST NE</v>
      </c>
      <c r="P2699" s="0" t="s">
        <v>146</v>
      </c>
      <c r="Q2699" s="0" t="s">
        <v>147</v>
      </c>
      <c r="R2699" s="0" t="n">
        <v>44483</v>
      </c>
      <c r="AD2699" s="0" t="s">
        <v>148</v>
      </c>
      <c r="AE2699" s="0" t="s">
        <v>149</v>
      </c>
      <c r="AF2699" s="0" t="s">
        <v>150</v>
      </c>
      <c r="AH2699" s="0" t="n">
        <v>14</v>
      </c>
      <c r="AI2699" s="0" t="n">
        <v>11</v>
      </c>
      <c r="AN2699" s="0" t="s">
        <v>146</v>
      </c>
      <c r="AO2699" s="0" t="s">
        <v>236</v>
      </c>
      <c r="AP2699" s="0" t="s">
        <v>237</v>
      </c>
      <c r="AQ2699" s="0" t="n">
        <v>9</v>
      </c>
      <c r="AR2699" s="0" t="n">
        <v>64</v>
      </c>
      <c r="AS2699" s="0" t="n">
        <v>32</v>
      </c>
      <c r="AU2699" s="0" t="n">
        <f aca="false">COUNTA($BA$672:$EH$672)</f>
        <v>2</v>
      </c>
      <c r="AV2699" s="0" t="n">
        <f aca="false">COUNTIF($BA$672:$EH$672,"D")</f>
        <v>0</v>
      </c>
      <c r="AW2699" s="0" t="n">
        <f aca="false">COUNTIF($BA$672:$EH$672,"R")</f>
        <v>0</v>
      </c>
      <c r="AX2699" s="0" t="n">
        <f aca="false">IF(BN2699="D",1,0)+IF(BO2699="D",1,0)+IF(BT2699="D",1,0)+IF(BU2699="D",1,0)+IF(BW2699="D",1,0)+IF(CC2699="D",1,0)+IF(CD2699="D",1,0)+IF(CE2699="D",1,0)+IF(CF2699="D",1,0)+IF(CL2699="D",1,0)+IF(CM2699="D",1,0)+IF(CQ2699="D",1,0)+IF(CR2699="D",1,0)+IF(CS2699="D",1,0)+IF(CW2699="D",1,0)+IF(CX2699="D",1,0)+IF(DD2699="D",1,0)+IF(DE2699="D",1,0)+IF(DJ2699="D",1,0)+IF(DK2699="D",1,0)+IF(DO2699="D",1,0)+IF(DP2699="D",1,0)+IF(DQ2699="D",1,0)+IF(DW2699="D",1,0)+IF(DZ2699="D",1,0)+IF(EH2699="D",1,0)</f>
        <v>1</v>
      </c>
      <c r="AY2699" s="0" t="n">
        <f aca="false">COUNTIF(DU2699:EH2699, "&lt;&gt;")</f>
        <v>6</v>
      </c>
      <c r="AZ2699" s="0" t="n">
        <f aca="false">IF(EH2699&lt;&gt;"",1,0)</f>
        <v>0</v>
      </c>
      <c r="BB2699" s="0" t="s">
        <v>153</v>
      </c>
      <c r="BC2699" s="0" t="s">
        <v>154</v>
      </c>
      <c r="BD2699" s="0" t="s">
        <v>154</v>
      </c>
      <c r="BE2699" s="0" t="s">
        <v>154</v>
      </c>
      <c r="BF2699" s="0" t="s">
        <v>154</v>
      </c>
      <c r="BG2699" s="0" t="s">
        <v>154</v>
      </c>
      <c r="BH2699" s="0" t="s">
        <v>154</v>
      </c>
      <c r="BI2699" s="0" t="s">
        <v>154</v>
      </c>
      <c r="BJ2699" s="0" t="s">
        <v>154</v>
      </c>
      <c r="BK2699" s="0" t="s">
        <v>154</v>
      </c>
      <c r="BL2699" s="0" t="s">
        <v>154</v>
      </c>
      <c r="BP2699" s="0" t="s">
        <v>154</v>
      </c>
      <c r="BR2699" s="0" t="s">
        <v>154</v>
      </c>
      <c r="BS2699" s="0" t="s">
        <v>154</v>
      </c>
      <c r="BV2699" s="0" t="s">
        <v>154</v>
      </c>
      <c r="BY2699" s="0" t="s">
        <v>176</v>
      </c>
      <c r="CA2699" s="0" t="s">
        <v>154</v>
      </c>
      <c r="CG2699" s="0" t="s">
        <v>154</v>
      </c>
      <c r="CH2699" s="0" t="s">
        <v>176</v>
      </c>
      <c r="CK2699" s="0" t="s">
        <v>154</v>
      </c>
      <c r="CL2699" s="0" t="s">
        <v>155</v>
      </c>
      <c r="CN2699" s="0" t="s">
        <v>154</v>
      </c>
      <c r="CO2699" s="0" t="s">
        <v>176</v>
      </c>
      <c r="CP2699" s="0" t="s">
        <v>154</v>
      </c>
      <c r="CT2699" s="0" t="s">
        <v>154</v>
      </c>
      <c r="CU2699" s="0" t="s">
        <v>176</v>
      </c>
      <c r="CV2699" s="0" t="s">
        <v>154</v>
      </c>
      <c r="CY2699" s="0" t="s">
        <v>154</v>
      </c>
      <c r="CZ2699" s="0" t="s">
        <v>176</v>
      </c>
      <c r="DC2699" s="0" t="s">
        <v>154</v>
      </c>
      <c r="DF2699" s="0" t="s">
        <v>154</v>
      </c>
      <c r="DG2699" s="0" t="s">
        <v>176</v>
      </c>
      <c r="DI2699" s="0" t="s">
        <v>154</v>
      </c>
      <c r="DL2699" s="0" t="s">
        <v>154</v>
      </c>
      <c r="DM2699" s="0" t="s">
        <v>176</v>
      </c>
      <c r="DN2699" s="0" t="s">
        <v>154</v>
      </c>
      <c r="DS2699" s="0" t="s">
        <v>176</v>
      </c>
      <c r="DT2699" s="0" t="s">
        <v>176</v>
      </c>
      <c r="DU2699" s="0" t="s">
        <v>154</v>
      </c>
      <c r="DW2699" s="0" t="s">
        <v>154</v>
      </c>
      <c r="DX2699" s="0" t="s">
        <v>154</v>
      </c>
      <c r="EA2699" s="0" t="s">
        <v>154</v>
      </c>
      <c r="ED2699" s="0" t="s">
        <v>176</v>
      </c>
      <c r="EF2699" s="0" t="s">
        <v>154</v>
      </c>
    </row>
    <row r="2700" customFormat="false" ht="13.8" hidden="false" customHeight="false" outlineLevel="0" collapsed="false">
      <c r="A2700" s="0" t="s">
        <v>11508</v>
      </c>
      <c r="B2700" s="0" t="n">
        <v>78</v>
      </c>
      <c r="C2700" s="0" t="n">
        <v>285112</v>
      </c>
      <c r="D2700" s="0" t="s">
        <v>1225</v>
      </c>
      <c r="E2700" s="0" t="s">
        <v>938</v>
      </c>
      <c r="F2700" s="0" t="str">
        <f aca="false">CONCATENATE(D2700," ",LEFT(H2700,4),"T=",AU2700,"D=",AV2700,"R=",AW2700,"M=",AX2700,"L=",AY2700,"B=",AZ2700)</f>
        <v>STEC T=17D=5R=0M=3L=3B=0</v>
      </c>
      <c r="G2700" s="0" t="s">
        <v>222</v>
      </c>
      <c r="I2700" s="0" t="s">
        <v>11509</v>
      </c>
      <c r="J2700" s="0" t="s">
        <v>11510</v>
      </c>
      <c r="K2700" s="0" t="s">
        <v>175</v>
      </c>
      <c r="M2700" s="0" t="s">
        <v>11507</v>
      </c>
      <c r="N2700" s="0" t="str">
        <f aca="false">RIGHT(M2700,LEN(M2700)-FIND(" ",M2700))</f>
        <v>WASHINGTON ST NE</v>
      </c>
      <c r="P2700" s="0" t="s">
        <v>146</v>
      </c>
      <c r="Q2700" s="0" t="s">
        <v>147</v>
      </c>
      <c r="R2700" s="0" t="n">
        <v>44483</v>
      </c>
      <c r="AD2700" s="0" t="s">
        <v>148</v>
      </c>
      <c r="AE2700" s="0" t="s">
        <v>149</v>
      </c>
      <c r="AF2700" s="0" t="s">
        <v>150</v>
      </c>
      <c r="AH2700" s="0" t="n">
        <v>14</v>
      </c>
      <c r="AI2700" s="0" t="n">
        <v>11</v>
      </c>
      <c r="AN2700" s="0" t="s">
        <v>146</v>
      </c>
      <c r="AO2700" s="0" t="s">
        <v>236</v>
      </c>
      <c r="AP2700" s="0" t="s">
        <v>237</v>
      </c>
      <c r="AQ2700" s="0" t="n">
        <v>9</v>
      </c>
      <c r="AR2700" s="0" t="n">
        <v>64</v>
      </c>
      <c r="AS2700" s="0" t="n">
        <v>32</v>
      </c>
      <c r="AU2700" s="0" t="n">
        <f aca="false">COUNTA($BA$938:$EH$938)</f>
        <v>17</v>
      </c>
      <c r="AV2700" s="0" t="n">
        <f aca="false">COUNTIF($BA$938:$EH$938,"D")</f>
        <v>5</v>
      </c>
      <c r="AW2700" s="0" t="n">
        <f aca="false">COUNTIF($BA$938:$EH$938,"R")</f>
        <v>0</v>
      </c>
      <c r="AX2700" s="0" t="n">
        <f aca="false">IF(BN2700="D",1,0)+IF(BO2700="D",1,0)+IF(BT2700="D",1,0)+IF(BU2700="D",1,0)+IF(BW2700="D",1,0)+IF(CC2700="D",1,0)+IF(CD2700="D",1,0)+IF(CE2700="D",1,0)+IF(CF2700="D",1,0)+IF(CL2700="D",1,0)+IF(CM2700="D",1,0)+IF(CQ2700="D",1,0)+IF(CR2700="D",1,0)+IF(CS2700="D",1,0)+IF(CW2700="D",1,0)+IF(CX2700="D",1,0)+IF(DD2700="D",1,0)+IF(DE2700="D",1,0)+IF(DJ2700="D",1,0)+IF(DK2700="D",1,0)+IF(DO2700="D",1,0)+IF(DP2700="D",1,0)+IF(DQ2700="D",1,0)+IF(DW2700="D",1,0)+IF(DZ2700="D",1,0)+IF(EH2700="D",1,0)</f>
        <v>3</v>
      </c>
      <c r="AY2700" s="0" t="n">
        <f aca="false">COUNTIF(DU2700:EH2700, "&lt;&gt;")</f>
        <v>3</v>
      </c>
      <c r="AZ2700" s="0" t="n">
        <f aca="false">IF(EH2700&lt;&gt;"",1,0)</f>
        <v>0</v>
      </c>
      <c r="BB2700" s="0" t="s">
        <v>153</v>
      </c>
      <c r="BD2700" s="0" t="s">
        <v>154</v>
      </c>
      <c r="BF2700" s="0" t="s">
        <v>154</v>
      </c>
      <c r="BG2700" s="0" t="s">
        <v>154</v>
      </c>
      <c r="BH2700" s="0" t="s">
        <v>154</v>
      </c>
      <c r="BI2700" s="0" t="s">
        <v>154</v>
      </c>
      <c r="BK2700" s="0" t="s">
        <v>154</v>
      </c>
      <c r="BL2700" s="0" t="s">
        <v>154</v>
      </c>
      <c r="BP2700" s="0" t="s">
        <v>154</v>
      </c>
      <c r="BR2700" s="0" t="s">
        <v>154</v>
      </c>
      <c r="BY2700" s="0" t="s">
        <v>155</v>
      </c>
      <c r="CA2700" s="0" t="s">
        <v>154</v>
      </c>
      <c r="CC2700" s="0" t="s">
        <v>155</v>
      </c>
      <c r="CG2700" s="0" t="s">
        <v>154</v>
      </c>
      <c r="CL2700" s="0" t="s">
        <v>155</v>
      </c>
      <c r="CO2700" s="0" t="s">
        <v>155</v>
      </c>
      <c r="CP2700" s="0" t="s">
        <v>154</v>
      </c>
      <c r="CZ2700" s="0" t="s">
        <v>155</v>
      </c>
      <c r="DC2700" s="0" t="s">
        <v>154</v>
      </c>
      <c r="DN2700" s="0" t="s">
        <v>154</v>
      </c>
      <c r="DO2700" s="0" t="s">
        <v>155</v>
      </c>
      <c r="DX2700" s="0" t="s">
        <v>154</v>
      </c>
      <c r="EA2700" s="0" t="s">
        <v>154</v>
      </c>
      <c r="EF2700" s="0" t="s">
        <v>154</v>
      </c>
    </row>
    <row r="2701" customFormat="false" ht="13.8" hidden="true" customHeight="false" outlineLevel="0" collapsed="false">
      <c r="A2701" s="0" t="s">
        <v>11511</v>
      </c>
      <c r="B2701" s="0" t="n">
        <v>78</v>
      </c>
      <c r="C2701" s="0" t="n">
        <v>457504</v>
      </c>
      <c r="D2701" s="0" t="s">
        <v>11512</v>
      </c>
      <c r="E2701" s="0" t="s">
        <v>2005</v>
      </c>
      <c r="F2701" s="0" t="str">
        <f aca="false">CONCATENATE(D2701," ",LEFT(H2701,4),"T=",AU2701,"D=",AV2701,"R=",AW2701,"M=",AX2701,"L=",AY2701,"B=",AZ2701)</f>
        <v>BEAM T=5D=0R=0M=0L=1B=0</v>
      </c>
      <c r="G2701" s="0" t="s">
        <v>1342</v>
      </c>
      <c r="I2701" s="0" t="s">
        <v>11513</v>
      </c>
      <c r="J2701" s="0" t="s">
        <v>6862</v>
      </c>
      <c r="K2701" s="0" t="s">
        <v>175</v>
      </c>
      <c r="L2701" s="0"/>
      <c r="M2701" s="0" t="s">
        <v>11514</v>
      </c>
      <c r="N2701" s="0" t="str">
        <f aca="false">RIGHT(M2701,LEN(M2701)-FIND(" ",M2701))</f>
        <v>WASHINGTON ST NE</v>
      </c>
      <c r="P2701" s="0" t="s">
        <v>146</v>
      </c>
      <c r="Q2701" s="0" t="s">
        <v>147</v>
      </c>
      <c r="R2701" s="0" t="n">
        <v>44483</v>
      </c>
      <c r="AD2701" s="0" t="s">
        <v>148</v>
      </c>
      <c r="AE2701" s="0" t="s">
        <v>149</v>
      </c>
      <c r="AF2701" s="0" t="s">
        <v>150</v>
      </c>
      <c r="AH2701" s="0" t="n">
        <v>14</v>
      </c>
      <c r="AI2701" s="0" t="n">
        <v>11</v>
      </c>
      <c r="AN2701" s="0" t="s">
        <v>146</v>
      </c>
      <c r="AO2701" s="0" t="s">
        <v>236</v>
      </c>
      <c r="AP2701" s="0" t="s">
        <v>237</v>
      </c>
      <c r="AQ2701" s="0" t="n">
        <v>9</v>
      </c>
      <c r="AR2701" s="0" t="n">
        <v>64</v>
      </c>
      <c r="AS2701" s="0" t="n">
        <v>32</v>
      </c>
      <c r="AU2701" s="0" t="n">
        <f aca="false">COUNTA($BA$117:$EH$117)</f>
        <v>5</v>
      </c>
      <c r="AV2701" s="0" t="n">
        <f aca="false">COUNTIF($BA$117:$EH$117,"D")</f>
        <v>0</v>
      </c>
      <c r="AW2701" s="0" t="n">
        <f aca="false">COUNTIF($BA$117:$EH$117,"R")</f>
        <v>0</v>
      </c>
      <c r="AX2701" s="0" t="n">
        <f aca="false">IF(BN2701="D",1,0)+IF(BO2701="D",1,0)+IF(BT2701="D",1,0)+IF(BU2701="D",1,0)+IF(BW2701="D",1,0)+IF(CC2701="D",1,0)+IF(CD2701="D",1,0)+IF(CE2701="D",1,0)+IF(CF2701="D",1,0)+IF(CL2701="D",1,0)+IF(CM2701="D",1,0)+IF(CQ2701="D",1,0)+IF(CR2701="D",1,0)+IF(CS2701="D",1,0)+IF(CW2701="D",1,0)+IF(CX2701="D",1,0)+IF(DD2701="D",1,0)+IF(DE2701="D",1,0)+IF(DJ2701="D",1,0)+IF(DK2701="D",1,0)+IF(DO2701="D",1,0)+IF(DP2701="D",1,0)+IF(DQ2701="D",1,0)+IF(DW2701="D",1,0)+IF(DZ2701="D",1,0)+IF(EH2701="D",1,0)</f>
        <v>0</v>
      </c>
      <c r="AY2701" s="0" t="n">
        <f aca="false">COUNTIF(DU2701:EH2701, "&lt;&gt;")</f>
        <v>1</v>
      </c>
      <c r="AZ2701" s="0" t="n">
        <f aca="false">IF(EH2701&lt;&gt;"",1,0)</f>
        <v>0</v>
      </c>
      <c r="BB2701" s="0" t="s">
        <v>153</v>
      </c>
      <c r="DU2701" s="0" t="s">
        <v>154</v>
      </c>
    </row>
    <row r="2702" customFormat="false" ht="13.8" hidden="true" customHeight="false" outlineLevel="0" collapsed="false">
      <c r="A2702" s="0" t="s">
        <v>11515</v>
      </c>
      <c r="B2702" s="0" t="n">
        <v>78</v>
      </c>
      <c r="C2702" s="0" t="n">
        <v>476439</v>
      </c>
      <c r="D2702" s="0" t="s">
        <v>931</v>
      </c>
      <c r="E2702" s="0" t="s">
        <v>5837</v>
      </c>
      <c r="F2702" s="0" t="str">
        <f aca="false">CONCATENATE(D2702," ",LEFT(H2702,4),"T=",AU2702,"D=",AV2702,"R=",AW2702,"M=",AX2702,"L=",AY2702,"B=",AZ2702)</f>
        <v>BAKER T=5D=0R=0M=0L=1B=0</v>
      </c>
      <c r="G2702" s="0" t="s">
        <v>690</v>
      </c>
      <c r="I2702" s="0" t="s">
        <v>11516</v>
      </c>
      <c r="J2702" s="0" t="s">
        <v>5692</v>
      </c>
      <c r="K2702" s="0" t="s">
        <v>175</v>
      </c>
      <c r="L2702" s="0"/>
      <c r="M2702" s="0" t="s">
        <v>11517</v>
      </c>
      <c r="N2702" s="0" t="str">
        <f aca="false">RIGHT(M2702,LEN(M2702)-FIND(" ",M2702))</f>
        <v>WASHINGTON ST NE</v>
      </c>
      <c r="P2702" s="0" t="s">
        <v>146</v>
      </c>
      <c r="Q2702" s="0" t="s">
        <v>147</v>
      </c>
      <c r="R2702" s="0" t="n">
        <v>44483</v>
      </c>
      <c r="AD2702" s="0" t="s">
        <v>148</v>
      </c>
      <c r="AE2702" s="0" t="s">
        <v>149</v>
      </c>
      <c r="AF2702" s="0" t="s">
        <v>150</v>
      </c>
      <c r="AH2702" s="0" t="n">
        <v>14</v>
      </c>
      <c r="AI2702" s="0" t="n">
        <v>11</v>
      </c>
      <c r="AN2702" s="0" t="s">
        <v>146</v>
      </c>
      <c r="AO2702" s="0" t="s">
        <v>236</v>
      </c>
      <c r="AP2702" s="0" t="s">
        <v>237</v>
      </c>
      <c r="AQ2702" s="0" t="n">
        <v>9</v>
      </c>
      <c r="AR2702" s="0" t="n">
        <v>64</v>
      </c>
      <c r="AS2702" s="0" t="n">
        <v>32</v>
      </c>
      <c r="AU2702" s="0" t="n">
        <f aca="false">COUNTA($BA$628:$EH$628)</f>
        <v>5</v>
      </c>
      <c r="AV2702" s="0" t="n">
        <f aca="false">COUNTIF($BA$628:$EH$628,"D")</f>
        <v>0</v>
      </c>
      <c r="AW2702" s="0" t="n">
        <f aca="false">COUNTIF($BA$628:$EH$628,"R")</f>
        <v>0</v>
      </c>
      <c r="AX2702" s="0" t="n">
        <f aca="false">IF(BN2702="D",1,0)+IF(BO2702="D",1,0)+IF(BT2702="D",1,0)+IF(BU2702="D",1,0)+IF(BW2702="D",1,0)+IF(CC2702="D",1,0)+IF(CD2702="D",1,0)+IF(CE2702="D",1,0)+IF(CF2702="D",1,0)+IF(CL2702="D",1,0)+IF(CM2702="D",1,0)+IF(CQ2702="D",1,0)+IF(CR2702="D",1,0)+IF(CS2702="D",1,0)+IF(CW2702="D",1,0)+IF(CX2702="D",1,0)+IF(DD2702="D",1,0)+IF(DE2702="D",1,0)+IF(DJ2702="D",1,0)+IF(DK2702="D",1,0)+IF(DO2702="D",1,0)+IF(DP2702="D",1,0)+IF(DQ2702="D",1,0)+IF(DW2702="D",1,0)+IF(DZ2702="D",1,0)+IF(EH2702="D",1,0)</f>
        <v>0</v>
      </c>
      <c r="AY2702" s="0" t="n">
        <f aca="false">COUNTIF(DU2702:EH2702, "&lt;&gt;")</f>
        <v>1</v>
      </c>
      <c r="AZ2702" s="0" t="n">
        <f aca="false">IF(EH2702&lt;&gt;"",1,0)</f>
        <v>0</v>
      </c>
      <c r="BB2702" s="0" t="s">
        <v>153</v>
      </c>
      <c r="EF2702" s="0" t="s">
        <v>154</v>
      </c>
    </row>
    <row r="2703" customFormat="false" ht="13.8" hidden="true" customHeight="false" outlineLevel="0" collapsed="false">
      <c r="A2703" s="0" t="s">
        <v>11518</v>
      </c>
      <c r="B2703" s="0" t="n">
        <v>78</v>
      </c>
      <c r="C2703" s="0" t="n">
        <v>476440</v>
      </c>
      <c r="D2703" s="0" t="s">
        <v>931</v>
      </c>
      <c r="E2703" s="0" t="s">
        <v>2209</v>
      </c>
      <c r="F2703" s="0" t="str">
        <f aca="false">CONCATENATE(D2703," ",LEFT(H2703,4),"T=",AU2703,"D=",AV2703,"R=",AW2703,"M=",AX2703,"L=",AY2703,"B=",AZ2703)</f>
        <v>BAKER IIIT=2D=1R=0M=0L=1B=0</v>
      </c>
      <c r="G2703" s="0" t="s">
        <v>11519</v>
      </c>
      <c r="H2703" s="0" t="s">
        <v>1175</v>
      </c>
      <c r="I2703" s="0" t="s">
        <v>11520</v>
      </c>
      <c r="J2703" s="0" t="s">
        <v>5692</v>
      </c>
      <c r="K2703" s="0" t="s">
        <v>175</v>
      </c>
      <c r="L2703" s="0"/>
      <c r="M2703" s="0" t="s">
        <v>11517</v>
      </c>
      <c r="N2703" s="0" t="str">
        <f aca="false">RIGHT(M2703,LEN(M2703)-FIND(" ",M2703))</f>
        <v>WASHINGTON ST NE</v>
      </c>
      <c r="P2703" s="0" t="s">
        <v>146</v>
      </c>
      <c r="Q2703" s="0" t="s">
        <v>147</v>
      </c>
      <c r="R2703" s="0" t="n">
        <v>44483</v>
      </c>
      <c r="AD2703" s="0" t="s">
        <v>148</v>
      </c>
      <c r="AE2703" s="0" t="s">
        <v>149</v>
      </c>
      <c r="AF2703" s="0" t="s">
        <v>150</v>
      </c>
      <c r="AH2703" s="0" t="n">
        <v>14</v>
      </c>
      <c r="AI2703" s="0" t="n">
        <v>11</v>
      </c>
      <c r="AN2703" s="0" t="s">
        <v>146</v>
      </c>
      <c r="AO2703" s="0" t="s">
        <v>236</v>
      </c>
      <c r="AP2703" s="0" t="s">
        <v>237</v>
      </c>
      <c r="AQ2703" s="0" t="n">
        <v>9</v>
      </c>
      <c r="AR2703" s="0" t="n">
        <v>64</v>
      </c>
      <c r="AS2703" s="0" t="n">
        <v>32</v>
      </c>
      <c r="AU2703" s="0" t="n">
        <f aca="false">COUNTA($BA$638:$EH$638)</f>
        <v>2</v>
      </c>
      <c r="AV2703" s="0" t="n">
        <f aca="false">COUNTIF($BA$638:$EH$638,"D")</f>
        <v>1</v>
      </c>
      <c r="AW2703" s="0" t="n">
        <f aca="false">COUNTIF($BA$638:$EH$638,"R")</f>
        <v>0</v>
      </c>
      <c r="AX2703" s="0" t="n">
        <f aca="false">IF(BN2703="D",1,0)+IF(BO2703="D",1,0)+IF(BT2703="D",1,0)+IF(BU2703="D",1,0)+IF(BW2703="D",1,0)+IF(CC2703="D",1,0)+IF(CD2703="D",1,0)+IF(CE2703="D",1,0)+IF(CF2703="D",1,0)+IF(CL2703="D",1,0)+IF(CM2703="D",1,0)+IF(CQ2703="D",1,0)+IF(CR2703="D",1,0)+IF(CS2703="D",1,0)+IF(CW2703="D",1,0)+IF(CX2703="D",1,0)+IF(DD2703="D",1,0)+IF(DE2703="D",1,0)+IF(DJ2703="D",1,0)+IF(DK2703="D",1,0)+IF(DO2703="D",1,0)+IF(DP2703="D",1,0)+IF(DQ2703="D",1,0)+IF(DW2703="D",1,0)+IF(DZ2703="D",1,0)+IF(EH2703="D",1,0)</f>
        <v>0</v>
      </c>
      <c r="AY2703" s="0" t="n">
        <f aca="false">COUNTIF(DU2703:EH2703, "&lt;&gt;")</f>
        <v>1</v>
      </c>
      <c r="AZ2703" s="0" t="n">
        <f aca="false">IF(EH2703&lt;&gt;"",1,0)</f>
        <v>0</v>
      </c>
      <c r="BB2703" s="0" t="s">
        <v>153</v>
      </c>
      <c r="EF2703" s="0" t="s">
        <v>154</v>
      </c>
    </row>
    <row r="2704" customFormat="false" ht="13.8" hidden="true" customHeight="false" outlineLevel="0" collapsed="false">
      <c r="A2704" s="0" t="s">
        <v>11521</v>
      </c>
      <c r="B2704" s="0" t="n">
        <v>78</v>
      </c>
      <c r="C2704" s="0" t="n">
        <v>474561</v>
      </c>
      <c r="D2704" s="0" t="s">
        <v>1366</v>
      </c>
      <c r="E2704" s="0" t="s">
        <v>266</v>
      </c>
      <c r="F2704" s="0" t="str">
        <f aca="false">CONCATENATE(D2704," ",LEFT(H2704,4),"T=",AU2704,"D=",AV2704,"R=",AW2704,"M=",AX2704,"L=",AY2704,"B=",AZ2704)</f>
        <v>STEVENS T=1D=0R=0M=0L=0B=0</v>
      </c>
      <c r="G2704" s="0" t="s">
        <v>277</v>
      </c>
      <c r="I2704" s="0" t="s">
        <v>11522</v>
      </c>
      <c r="J2704" s="0" t="s">
        <v>2656</v>
      </c>
      <c r="K2704" s="0" t="s">
        <v>175</v>
      </c>
      <c r="L2704" s="0"/>
      <c r="M2704" s="0" t="s">
        <v>11523</v>
      </c>
      <c r="N2704" s="0" t="str">
        <f aca="false">RIGHT(M2704,LEN(M2704)-FIND(" ",M2704))</f>
        <v>WASHINGTON ST NE</v>
      </c>
      <c r="P2704" s="0" t="s">
        <v>146</v>
      </c>
      <c r="Q2704" s="0" t="s">
        <v>147</v>
      </c>
      <c r="R2704" s="0" t="n">
        <v>44483</v>
      </c>
      <c r="AD2704" s="0" t="s">
        <v>148</v>
      </c>
      <c r="AE2704" s="0" t="s">
        <v>149</v>
      </c>
      <c r="AF2704" s="0" t="s">
        <v>150</v>
      </c>
      <c r="AH2704" s="0" t="n">
        <v>14</v>
      </c>
      <c r="AI2704" s="0" t="n">
        <v>11</v>
      </c>
      <c r="AN2704" s="0" t="s">
        <v>146</v>
      </c>
      <c r="AO2704" s="0" t="s">
        <v>236</v>
      </c>
      <c r="AP2704" s="0" t="s">
        <v>237</v>
      </c>
      <c r="AQ2704" s="0" t="n">
        <v>9</v>
      </c>
      <c r="AR2704" s="0" t="n">
        <v>64</v>
      </c>
      <c r="AS2704" s="0" t="n">
        <v>32</v>
      </c>
      <c r="AU2704" s="0" t="n">
        <f aca="false">COUNTA($BA$547:$EH$547)</f>
        <v>1</v>
      </c>
      <c r="AV2704" s="0" t="n">
        <f aca="false">COUNTIF($BA$547:$EH$547,"D")</f>
        <v>0</v>
      </c>
      <c r="AW2704" s="0" t="n">
        <f aca="false">COUNTIF($BA$547:$EH$547,"R")</f>
        <v>0</v>
      </c>
      <c r="AX2704" s="0" t="n">
        <f aca="false">IF(BN2704="D",1,0)+IF(BO2704="D",1,0)+IF(BT2704="D",1,0)+IF(BU2704="D",1,0)+IF(BW2704="D",1,0)+IF(CC2704="D",1,0)+IF(CD2704="D",1,0)+IF(CE2704="D",1,0)+IF(CF2704="D",1,0)+IF(CL2704="D",1,0)+IF(CM2704="D",1,0)+IF(CQ2704="D",1,0)+IF(CR2704="D",1,0)+IF(CS2704="D",1,0)+IF(CW2704="D",1,0)+IF(CX2704="D",1,0)+IF(DD2704="D",1,0)+IF(DE2704="D",1,0)+IF(DJ2704="D",1,0)+IF(DK2704="D",1,0)+IF(DO2704="D",1,0)+IF(DP2704="D",1,0)+IF(DQ2704="D",1,0)+IF(DW2704="D",1,0)+IF(DZ2704="D",1,0)+IF(EH2704="D",1,0)</f>
        <v>0</v>
      </c>
      <c r="AY2704" s="0" t="n">
        <f aca="false">COUNTIF(DU2704:EH2704, "&lt;&gt;")</f>
        <v>0</v>
      </c>
      <c r="AZ2704" s="0" t="n">
        <f aca="false">IF(EH2704&lt;&gt;"",1,0)</f>
        <v>0</v>
      </c>
      <c r="BB2704" s="0" t="s">
        <v>153</v>
      </c>
    </row>
    <row r="2705" customFormat="false" ht="13.8" hidden="false" customHeight="false" outlineLevel="0" collapsed="false">
      <c r="A2705" s="0" t="s">
        <v>11524</v>
      </c>
      <c r="B2705" s="0" t="n">
        <v>78</v>
      </c>
      <c r="C2705" s="0" t="n">
        <v>291748</v>
      </c>
      <c r="D2705" s="0" t="s">
        <v>10952</v>
      </c>
      <c r="E2705" s="0" t="s">
        <v>1244</v>
      </c>
      <c r="F2705" s="0" t="str">
        <f aca="false">CONCATENATE(D2705," ",LEFT(H2705,4),"T=",AU2705,"D=",AV2705,"R=",AW2705,"M=",AX2705,"L=",AY2705,"B=",AZ2705)</f>
        <v>MATTHEWS T=18D=0R=2M=6L=6B=0</v>
      </c>
      <c r="G2705" s="0" t="s">
        <v>8784</v>
      </c>
      <c r="I2705" s="0" t="s">
        <v>11525</v>
      </c>
      <c r="J2705" s="0" t="s">
        <v>11526</v>
      </c>
      <c r="K2705" s="0" t="s">
        <v>175</v>
      </c>
      <c r="L2705" s="1" t="s">
        <v>176</v>
      </c>
      <c r="M2705" s="0" t="s">
        <v>11527</v>
      </c>
      <c r="N2705" s="0" t="str">
        <f aca="false">RIGHT(M2705,LEN(M2705)-FIND(" ",M2705))</f>
        <v>WASHINGTON ST NW</v>
      </c>
      <c r="P2705" s="0" t="s">
        <v>146</v>
      </c>
      <c r="Q2705" s="0" t="s">
        <v>147</v>
      </c>
      <c r="R2705" s="0" t="n">
        <v>44483</v>
      </c>
      <c r="AD2705" s="0" t="s">
        <v>148</v>
      </c>
      <c r="AE2705" s="0" t="s">
        <v>149</v>
      </c>
      <c r="AF2705" s="0" t="s">
        <v>150</v>
      </c>
      <c r="AH2705" s="0" t="n">
        <v>14</v>
      </c>
      <c r="AI2705" s="0" t="n">
        <v>11</v>
      </c>
      <c r="AN2705" s="0" t="s">
        <v>146</v>
      </c>
      <c r="AO2705" s="0" t="s">
        <v>151</v>
      </c>
      <c r="AP2705" s="0" t="s">
        <v>152</v>
      </c>
      <c r="AQ2705" s="0" t="n">
        <v>9</v>
      </c>
      <c r="AR2705" s="0" t="n">
        <v>64</v>
      </c>
      <c r="AS2705" s="0" t="n">
        <v>32</v>
      </c>
      <c r="AU2705" s="0" t="n">
        <f aca="false">COUNTA($BA$1265:$EH$1265)</f>
        <v>18</v>
      </c>
      <c r="AV2705" s="0" t="n">
        <f aca="false">COUNTIF($BA$1265:$EH$1265,"D")</f>
        <v>0</v>
      </c>
      <c r="AW2705" s="0" t="n">
        <f aca="false">COUNTIF($BA$1265:$EH$1265,"R")</f>
        <v>2</v>
      </c>
      <c r="AX2705" s="0" t="n">
        <f aca="false">IF(BN2705="D",1,0)+IF(BO2705="D",1,0)+IF(BT2705="D",1,0)+IF(BU2705="D",1,0)+IF(BW2705="D",1,0)+IF(CC2705="D",1,0)+IF(CD2705="D",1,0)+IF(CE2705="D",1,0)+IF(CF2705="D",1,0)+IF(CL2705="D",1,0)+IF(CM2705="D",1,0)+IF(CQ2705="D",1,0)+IF(CR2705="D",1,0)+IF(CS2705="D",1,0)+IF(CW2705="D",1,0)+IF(CX2705="D",1,0)+IF(DD2705="D",1,0)+IF(DE2705="D",1,0)+IF(DJ2705="D",1,0)+IF(DK2705="D",1,0)+IF(DO2705="D",1,0)+IF(DP2705="D",1,0)+IF(DQ2705="D",1,0)+IF(DW2705="D",1,0)+IF(DZ2705="D",1,0)+IF(EH2705="D",1,0)</f>
        <v>6</v>
      </c>
      <c r="AY2705" s="0" t="n">
        <f aca="false">COUNTIF(DU2705:EH2705, "&lt;&gt;")</f>
        <v>6</v>
      </c>
      <c r="AZ2705" s="0" t="n">
        <f aca="false">IF(EH2705&lt;&gt;"",1,0)</f>
        <v>0</v>
      </c>
      <c r="BB2705" s="0" t="s">
        <v>153</v>
      </c>
      <c r="BC2705" s="0" t="s">
        <v>154</v>
      </c>
      <c r="BD2705" s="0" t="s">
        <v>154</v>
      </c>
      <c r="BH2705" s="0" t="s">
        <v>154</v>
      </c>
      <c r="BL2705" s="0" t="s">
        <v>154</v>
      </c>
      <c r="BY2705" s="0" t="s">
        <v>155</v>
      </c>
      <c r="CA2705" s="0" t="s">
        <v>154</v>
      </c>
      <c r="CK2705" s="0" t="s">
        <v>154</v>
      </c>
      <c r="CL2705" s="0" t="s">
        <v>155</v>
      </c>
      <c r="CO2705" s="0" t="s">
        <v>155</v>
      </c>
      <c r="CP2705" s="0" t="s">
        <v>154</v>
      </c>
      <c r="CW2705" s="0" t="s">
        <v>155</v>
      </c>
      <c r="CY2705" s="0" t="s">
        <v>154</v>
      </c>
      <c r="CZ2705" s="0" t="s">
        <v>155</v>
      </c>
      <c r="DC2705" s="0" t="s">
        <v>154</v>
      </c>
      <c r="DD2705" s="0" t="s">
        <v>155</v>
      </c>
      <c r="DF2705" s="0" t="s">
        <v>154</v>
      </c>
      <c r="DG2705" s="0" t="s">
        <v>155</v>
      </c>
      <c r="DI2705" s="0" t="s">
        <v>154</v>
      </c>
      <c r="DJ2705" s="0" t="s">
        <v>155</v>
      </c>
      <c r="DL2705" s="0" t="s">
        <v>154</v>
      </c>
      <c r="DN2705" s="0" t="s">
        <v>154</v>
      </c>
      <c r="DO2705" s="0" t="s">
        <v>155</v>
      </c>
      <c r="DR2705" s="0" t="s">
        <v>154</v>
      </c>
      <c r="DU2705" s="0" t="s">
        <v>154</v>
      </c>
      <c r="DW2705" s="0" t="s">
        <v>155</v>
      </c>
      <c r="DX2705" s="0" t="s">
        <v>154</v>
      </c>
      <c r="EA2705" s="0" t="s">
        <v>154</v>
      </c>
      <c r="ED2705" s="0" t="s">
        <v>176</v>
      </c>
      <c r="EF2705" s="0" t="s">
        <v>154</v>
      </c>
    </row>
    <row r="2706" customFormat="false" ht="13.8" hidden="true" customHeight="false" outlineLevel="0" collapsed="false">
      <c r="A2706" s="0" t="s">
        <v>11528</v>
      </c>
      <c r="B2706" s="0" t="n">
        <v>78</v>
      </c>
      <c r="C2706" s="0" t="n">
        <v>440847</v>
      </c>
      <c r="D2706" s="0" t="s">
        <v>1027</v>
      </c>
      <c r="E2706" s="0" t="s">
        <v>278</v>
      </c>
      <c r="F2706" s="0" t="str">
        <f aca="false">CONCATENATE(D2706," ",LEFT(H2706,4),"T=",AU2706,"D=",AV2706,"R=",AW2706,"M=",AX2706,"L=",AY2706,"B=",AZ2706)</f>
        <v>MARTIN T=2D=0R=0M=0L=0B=0</v>
      </c>
      <c r="G2706" s="0" t="s">
        <v>11529</v>
      </c>
      <c r="I2706" s="0" t="s">
        <v>11530</v>
      </c>
      <c r="J2706" s="0" t="s">
        <v>7618</v>
      </c>
      <c r="K2706" s="0" t="s">
        <v>175</v>
      </c>
      <c r="L2706" s="0"/>
      <c r="M2706" s="0" t="s">
        <v>11527</v>
      </c>
      <c r="N2706" s="0" t="str">
        <f aca="false">RIGHT(M2706,LEN(M2706)-FIND(" ",M2706))</f>
        <v>WASHINGTON ST NW</v>
      </c>
      <c r="P2706" s="0" t="s">
        <v>146</v>
      </c>
      <c r="Q2706" s="0" t="s">
        <v>147</v>
      </c>
      <c r="R2706" s="0" t="n">
        <v>44483</v>
      </c>
      <c r="AD2706" s="0" t="s">
        <v>148</v>
      </c>
      <c r="AE2706" s="0" t="s">
        <v>149</v>
      </c>
      <c r="AF2706" s="0" t="s">
        <v>150</v>
      </c>
      <c r="AH2706" s="0" t="n">
        <v>14</v>
      </c>
      <c r="AI2706" s="0" t="n">
        <v>11</v>
      </c>
      <c r="AN2706" s="0" t="s">
        <v>146</v>
      </c>
      <c r="AO2706" s="0" t="s">
        <v>151</v>
      </c>
      <c r="AP2706" s="0" t="s">
        <v>152</v>
      </c>
      <c r="AQ2706" s="0" t="n">
        <v>9</v>
      </c>
      <c r="AR2706" s="0" t="n">
        <v>64</v>
      </c>
      <c r="AS2706" s="0" t="n">
        <v>32</v>
      </c>
      <c r="AU2706" s="0" t="n">
        <f aca="false">COUNTA($BA$1372:$EH$1372)</f>
        <v>2</v>
      </c>
      <c r="AV2706" s="0" t="n">
        <f aca="false">COUNTIF($BA$1372:$EH$1372,"D")</f>
        <v>0</v>
      </c>
      <c r="AW2706" s="0" t="n">
        <f aca="false">COUNTIF($BA$1372:$EH$1372,"R")</f>
        <v>0</v>
      </c>
      <c r="AX2706" s="0" t="n">
        <f aca="false">IF(BN2706="D",1,0)+IF(BO2706="D",1,0)+IF(BT2706="D",1,0)+IF(BU2706="D",1,0)+IF(BW2706="D",1,0)+IF(CC2706="D",1,0)+IF(CD2706="D",1,0)+IF(CE2706="D",1,0)+IF(CF2706="D",1,0)+IF(CL2706="D",1,0)+IF(CM2706="D",1,0)+IF(CQ2706="D",1,0)+IF(CR2706="D",1,0)+IF(CS2706="D",1,0)+IF(CW2706="D",1,0)+IF(CX2706="D",1,0)+IF(DD2706="D",1,0)+IF(DE2706="D",1,0)+IF(DJ2706="D",1,0)+IF(DK2706="D",1,0)+IF(DO2706="D",1,0)+IF(DP2706="D",1,0)+IF(DQ2706="D",1,0)+IF(DW2706="D",1,0)+IF(DZ2706="D",1,0)+IF(EH2706="D",1,0)</f>
        <v>0</v>
      </c>
      <c r="AY2706" s="0" t="n">
        <f aca="false">COUNTIF(DU2706:EH2706, "&lt;&gt;")</f>
        <v>0</v>
      </c>
      <c r="AZ2706" s="0" t="n">
        <f aca="false">IF(EH2706&lt;&gt;"",1,0)</f>
        <v>0</v>
      </c>
      <c r="BB2706" s="0" t="s">
        <v>153</v>
      </c>
      <c r="DL2706" s="0" t="s">
        <v>154</v>
      </c>
    </row>
    <row r="2707" customFormat="false" ht="13.8" hidden="false" customHeight="false" outlineLevel="0" collapsed="false">
      <c r="A2707" s="0" t="s">
        <v>11531</v>
      </c>
      <c r="B2707" s="0" t="n">
        <v>78</v>
      </c>
      <c r="C2707" s="0" t="n">
        <v>396913</v>
      </c>
      <c r="D2707" s="0" t="s">
        <v>1027</v>
      </c>
      <c r="E2707" s="0" t="s">
        <v>1916</v>
      </c>
      <c r="F2707" s="0" t="str">
        <f aca="false">CONCATENATE(D2707," ",LEFT(H2707,4),"T=",AU2707,"D=",AV2707,"R=",AW2707,"M=",AX2707,"L=",AY2707,"B=",AZ2707)</f>
        <v>MARTIN T=8D=1R=0M=6L=7B=1</v>
      </c>
      <c r="G2707" s="0" t="s">
        <v>496</v>
      </c>
      <c r="I2707" s="0" t="s">
        <v>11532</v>
      </c>
      <c r="J2707" s="0" t="s">
        <v>11533</v>
      </c>
      <c r="K2707" s="0" t="s">
        <v>175</v>
      </c>
      <c r="L2707" s="1" t="s">
        <v>155</v>
      </c>
      <c r="M2707" s="0" t="s">
        <v>11527</v>
      </c>
      <c r="N2707" s="0" t="str">
        <f aca="false">RIGHT(M2707,LEN(M2707)-FIND(" ",M2707))</f>
        <v>WASHINGTON ST NW</v>
      </c>
      <c r="P2707" s="0" t="s">
        <v>146</v>
      </c>
      <c r="Q2707" s="0" t="s">
        <v>147</v>
      </c>
      <c r="R2707" s="0" t="n">
        <v>44483</v>
      </c>
      <c r="AD2707" s="0" t="s">
        <v>148</v>
      </c>
      <c r="AE2707" s="0" t="s">
        <v>149</v>
      </c>
      <c r="AF2707" s="0" t="s">
        <v>150</v>
      </c>
      <c r="AH2707" s="0" t="n">
        <v>14</v>
      </c>
      <c r="AI2707" s="0" t="n">
        <v>11</v>
      </c>
      <c r="AN2707" s="0" t="s">
        <v>146</v>
      </c>
      <c r="AO2707" s="0" t="s">
        <v>151</v>
      </c>
      <c r="AP2707" s="0" t="s">
        <v>152</v>
      </c>
      <c r="AQ2707" s="0" t="n">
        <v>9</v>
      </c>
      <c r="AR2707" s="0" t="n">
        <v>64</v>
      </c>
      <c r="AS2707" s="0" t="n">
        <v>32</v>
      </c>
      <c r="AU2707" s="0" t="n">
        <f aca="false">COUNTA($BA$1853:$EH$1853)</f>
        <v>8</v>
      </c>
      <c r="AV2707" s="0" t="n">
        <f aca="false">COUNTIF($BA$1853:$EH$1853,"D")</f>
        <v>1</v>
      </c>
      <c r="AW2707" s="0" t="n">
        <f aca="false">COUNTIF($BA$1853:$EH$1853,"R")</f>
        <v>0</v>
      </c>
      <c r="AX2707" s="0" t="n">
        <f aca="false">IF(BN2707="D",1,0)+IF(BO2707="D",1,0)+IF(BT2707="D",1,0)+IF(BU2707="D",1,0)+IF(BW2707="D",1,0)+IF(CC2707="D",1,0)+IF(CD2707="D",1,0)+IF(CE2707="D",1,0)+IF(CF2707="D",1,0)+IF(CL2707="D",1,0)+IF(CM2707="D",1,0)+IF(CQ2707="D",1,0)+IF(CR2707="D",1,0)+IF(CS2707="D",1,0)+IF(CW2707="D",1,0)+IF(CX2707="D",1,0)+IF(DD2707="D",1,0)+IF(DE2707="D",1,0)+IF(DJ2707="D",1,0)+IF(DK2707="D",1,0)+IF(DO2707="D",1,0)+IF(DP2707="D",1,0)+IF(DQ2707="D",1,0)+IF(DW2707="D",1,0)+IF(DZ2707="D",1,0)+IF(EH2707="D",1,0)</f>
        <v>6</v>
      </c>
      <c r="AY2707" s="0" t="n">
        <f aca="false">COUNTIF(DU2707:EH2707, "&lt;&gt;")</f>
        <v>7</v>
      </c>
      <c r="AZ2707" s="0" t="n">
        <f aca="false">IF(EH2707&lt;&gt;"",1,0)</f>
        <v>1</v>
      </c>
      <c r="BB2707" s="0" t="s">
        <v>153</v>
      </c>
      <c r="BD2707" s="0" t="s">
        <v>154</v>
      </c>
      <c r="BF2707" s="0" t="s">
        <v>154</v>
      </c>
      <c r="BP2707" s="0" t="s">
        <v>154</v>
      </c>
      <c r="BS2707" s="0" t="s">
        <v>154</v>
      </c>
      <c r="BY2707" s="0" t="s">
        <v>155</v>
      </c>
      <c r="CG2707" s="0" t="s">
        <v>154</v>
      </c>
      <c r="CJ2707" s="0" t="s">
        <v>155</v>
      </c>
      <c r="CK2707" s="0" t="s">
        <v>154</v>
      </c>
      <c r="CP2707" s="0" t="s">
        <v>154</v>
      </c>
      <c r="CT2707" s="0" t="s">
        <v>154</v>
      </c>
      <c r="CV2707" s="0" t="s">
        <v>154</v>
      </c>
      <c r="CW2707" s="0" t="s">
        <v>155</v>
      </c>
      <c r="CY2707" s="0" t="s">
        <v>154</v>
      </c>
      <c r="CZ2707" s="0" t="s">
        <v>155</v>
      </c>
      <c r="DC2707" s="0" t="s">
        <v>154</v>
      </c>
      <c r="DD2707" s="0" t="s">
        <v>155</v>
      </c>
      <c r="DF2707" s="0" t="s">
        <v>154</v>
      </c>
      <c r="DG2707" s="0" t="s">
        <v>155</v>
      </c>
      <c r="DI2707" s="0" t="s">
        <v>154</v>
      </c>
      <c r="DJ2707" s="0" t="s">
        <v>155</v>
      </c>
      <c r="DL2707" s="0" t="s">
        <v>154</v>
      </c>
      <c r="DM2707" s="0" t="s">
        <v>155</v>
      </c>
      <c r="DN2707" s="0" t="s">
        <v>154</v>
      </c>
      <c r="DO2707" s="0" t="s">
        <v>155</v>
      </c>
      <c r="DR2707" s="0" t="s">
        <v>154</v>
      </c>
      <c r="DS2707" s="0" t="s">
        <v>155</v>
      </c>
      <c r="DT2707" s="0" t="s">
        <v>155</v>
      </c>
      <c r="DU2707" s="0" t="s">
        <v>154</v>
      </c>
      <c r="DW2707" s="0" t="s">
        <v>155</v>
      </c>
      <c r="DX2707" s="0" t="s">
        <v>154</v>
      </c>
      <c r="EA2707" s="0" t="s">
        <v>154</v>
      </c>
      <c r="ED2707" s="0" t="s">
        <v>176</v>
      </c>
      <c r="EF2707" s="0" t="s">
        <v>154</v>
      </c>
      <c r="EH2707" s="0" t="s">
        <v>155</v>
      </c>
    </row>
    <row r="2708" customFormat="false" ht="13.8" hidden="true" customHeight="false" outlineLevel="0" collapsed="false">
      <c r="A2708" s="0" t="s">
        <v>11534</v>
      </c>
      <c r="B2708" s="0" t="n">
        <v>78</v>
      </c>
      <c r="C2708" s="0" t="n">
        <v>443277</v>
      </c>
      <c r="D2708" s="0" t="s">
        <v>490</v>
      </c>
      <c r="E2708" s="0" t="s">
        <v>7304</v>
      </c>
      <c r="F2708" s="0" t="str">
        <f aca="false">CONCATENATE(D2708," ",LEFT(H2708,4),"T=",AU2708,"D=",AV2708,"R=",AW2708,"M=",AX2708,"L=",AY2708,"B=",AZ2708)</f>
        <v>FORD T=1D=0R=0M=0L=0B=0</v>
      </c>
      <c r="G2708" s="0" t="s">
        <v>159</v>
      </c>
      <c r="I2708" s="0" t="s">
        <v>11535</v>
      </c>
      <c r="J2708" s="0" t="s">
        <v>828</v>
      </c>
      <c r="K2708" s="0" t="s">
        <v>175</v>
      </c>
      <c r="L2708" s="0"/>
      <c r="M2708" s="0" t="s">
        <v>11536</v>
      </c>
      <c r="N2708" s="0" t="str">
        <f aca="false">RIGHT(M2708,LEN(M2708)-FIND(" ",M2708))</f>
        <v>WASHINGTON ST NW</v>
      </c>
      <c r="P2708" s="0" t="s">
        <v>146</v>
      </c>
      <c r="Q2708" s="0" t="s">
        <v>147</v>
      </c>
      <c r="R2708" s="0" t="n">
        <v>44483</v>
      </c>
      <c r="AD2708" s="0" t="s">
        <v>148</v>
      </c>
      <c r="AE2708" s="0" t="s">
        <v>149</v>
      </c>
      <c r="AF2708" s="0" t="s">
        <v>150</v>
      </c>
      <c r="AH2708" s="0" t="n">
        <v>14</v>
      </c>
      <c r="AI2708" s="0" t="n">
        <v>11</v>
      </c>
      <c r="AN2708" s="0" t="s">
        <v>146</v>
      </c>
      <c r="AO2708" s="0" t="s">
        <v>151</v>
      </c>
      <c r="AP2708" s="0" t="s">
        <v>152</v>
      </c>
      <c r="AQ2708" s="0" t="n">
        <v>9</v>
      </c>
      <c r="AR2708" s="0" t="n">
        <v>64</v>
      </c>
      <c r="AS2708" s="0" t="n">
        <v>32</v>
      </c>
      <c r="AU2708" s="0" t="n">
        <f aca="false">COUNTA($BA$2017:$EH$2017)</f>
        <v>1</v>
      </c>
      <c r="AV2708" s="0" t="n">
        <f aca="false">COUNTIF($BA$2017:$EH$2017,"D")</f>
        <v>0</v>
      </c>
      <c r="AW2708" s="0" t="n">
        <f aca="false">COUNTIF($BA$2017:$EH$2017,"R")</f>
        <v>0</v>
      </c>
      <c r="AX2708" s="0" t="n">
        <f aca="false">IF(BN2708="D",1,0)+IF(BO2708="D",1,0)+IF(BT2708="D",1,0)+IF(BU2708="D",1,0)+IF(BW2708="D",1,0)+IF(CC2708="D",1,0)+IF(CD2708="D",1,0)+IF(CE2708="D",1,0)+IF(CF2708="D",1,0)+IF(CL2708="D",1,0)+IF(CM2708="D",1,0)+IF(CQ2708="D",1,0)+IF(CR2708="D",1,0)+IF(CS2708="D",1,0)+IF(CW2708="D",1,0)+IF(CX2708="D",1,0)+IF(DD2708="D",1,0)+IF(DE2708="D",1,0)+IF(DJ2708="D",1,0)+IF(DK2708="D",1,0)+IF(DO2708="D",1,0)+IF(DP2708="D",1,0)+IF(DQ2708="D",1,0)+IF(DW2708="D",1,0)+IF(DZ2708="D",1,0)+IF(EH2708="D",1,0)</f>
        <v>0</v>
      </c>
      <c r="AY2708" s="0" t="n">
        <f aca="false">COUNTIF(DU2708:EH2708, "&lt;&gt;")</f>
        <v>0</v>
      </c>
      <c r="AZ2708" s="0" t="n">
        <f aca="false">IF(EH2708&lt;&gt;"",1,0)</f>
        <v>0</v>
      </c>
      <c r="BB2708" s="0" t="s">
        <v>153</v>
      </c>
    </row>
    <row r="2709" customFormat="false" ht="13.8" hidden="false" customHeight="false" outlineLevel="0" collapsed="false">
      <c r="A2709" s="0" t="s">
        <v>11537</v>
      </c>
      <c r="B2709" s="0" t="n">
        <v>78</v>
      </c>
      <c r="C2709" s="0" t="n">
        <v>5807</v>
      </c>
      <c r="D2709" s="0" t="s">
        <v>11538</v>
      </c>
      <c r="E2709" s="0" t="s">
        <v>1481</v>
      </c>
      <c r="F2709" s="0" t="str">
        <f aca="false">CONCATENATE(D2709," ",LEFT(H2709,4),"T=",AU2709,"D=",AV2709,"R=",AW2709,"M=",AX2709,"L=",AY2709,"B=",AZ2709)</f>
        <v>HAYDA T=36D=8R=0M=0L=2B=0</v>
      </c>
      <c r="G2709" s="0" t="s">
        <v>172</v>
      </c>
      <c r="I2709" s="0" t="s">
        <v>11539</v>
      </c>
      <c r="J2709" s="0" t="s">
        <v>11540</v>
      </c>
      <c r="K2709" s="0" t="s">
        <v>175</v>
      </c>
      <c r="L2709" s="1" t="s">
        <v>155</v>
      </c>
      <c r="M2709" s="0" t="s">
        <v>11541</v>
      </c>
      <c r="N2709" s="0" t="str">
        <f aca="false">RIGHT(M2709,LEN(M2709)-FIND(" ",M2709))</f>
        <v>WASHINGTON ST NW</v>
      </c>
      <c r="P2709" s="0" t="s">
        <v>146</v>
      </c>
      <c r="Q2709" s="0" t="s">
        <v>147</v>
      </c>
      <c r="R2709" s="0" t="n">
        <v>44483</v>
      </c>
      <c r="AD2709" s="0" t="s">
        <v>148</v>
      </c>
      <c r="AE2709" s="0" t="s">
        <v>149</v>
      </c>
      <c r="AF2709" s="0" t="s">
        <v>150</v>
      </c>
      <c r="AH2709" s="0" t="n">
        <v>14</v>
      </c>
      <c r="AI2709" s="0" t="n">
        <v>11</v>
      </c>
      <c r="AN2709" s="0" t="s">
        <v>146</v>
      </c>
      <c r="AO2709" s="0" t="s">
        <v>151</v>
      </c>
      <c r="AP2709" s="0" t="s">
        <v>152</v>
      </c>
      <c r="AQ2709" s="0" t="n">
        <v>9</v>
      </c>
      <c r="AR2709" s="0" t="n">
        <v>64</v>
      </c>
      <c r="AS2709" s="0" t="n">
        <v>32</v>
      </c>
      <c r="AU2709" s="0" t="n">
        <f aca="false">COUNTA($BA$1088:$EH$1088)</f>
        <v>36</v>
      </c>
      <c r="AV2709" s="0" t="n">
        <f aca="false">COUNTIF($BA$1088:$EH$1088,"D")</f>
        <v>8</v>
      </c>
      <c r="AW2709" s="0" t="n">
        <f aca="false">COUNTIF($BA$1088:$EH$1088,"R")</f>
        <v>0</v>
      </c>
      <c r="AX2709" s="0" t="n">
        <f aca="false">IF(BN2709="D",1,0)+IF(BO2709="D",1,0)+IF(BT2709="D",1,0)+IF(BU2709="D",1,0)+IF(BW2709="D",1,0)+IF(CC2709="D",1,0)+IF(CD2709="D",1,0)+IF(CE2709="D",1,0)+IF(CF2709="D",1,0)+IF(CL2709="D",1,0)+IF(CM2709="D",1,0)+IF(CQ2709="D",1,0)+IF(CR2709="D",1,0)+IF(CS2709="D",1,0)+IF(CW2709="D",1,0)+IF(CX2709="D",1,0)+IF(DD2709="D",1,0)+IF(DE2709="D",1,0)+IF(DJ2709="D",1,0)+IF(DK2709="D",1,0)+IF(DO2709="D",1,0)+IF(DP2709="D",1,0)+IF(DQ2709="D",1,0)+IF(DW2709="D",1,0)+IF(DZ2709="D",1,0)+IF(EH2709="D",1,0)</f>
        <v>0</v>
      </c>
      <c r="AY2709" s="0" t="n">
        <f aca="false">COUNTIF(DU2709:EH2709, "&lt;&gt;")</f>
        <v>2</v>
      </c>
      <c r="AZ2709" s="0" t="n">
        <f aca="false">IF(EH2709&lt;&gt;"",1,0)</f>
        <v>0</v>
      </c>
      <c r="BB2709" s="0" t="s">
        <v>153</v>
      </c>
      <c r="BC2709" s="0" t="s">
        <v>154</v>
      </c>
      <c r="BD2709" s="0" t="s">
        <v>154</v>
      </c>
      <c r="BE2709" s="0" t="s">
        <v>154</v>
      </c>
      <c r="BF2709" s="0" t="s">
        <v>154</v>
      </c>
      <c r="BG2709" s="0" t="s">
        <v>154</v>
      </c>
      <c r="BH2709" s="0" t="s">
        <v>154</v>
      </c>
      <c r="BI2709" s="0" t="s">
        <v>154</v>
      </c>
      <c r="BJ2709" s="0" t="s">
        <v>154</v>
      </c>
      <c r="BK2709" s="0" t="s">
        <v>154</v>
      </c>
      <c r="BL2709" s="0" t="s">
        <v>154</v>
      </c>
      <c r="BP2709" s="0" t="s">
        <v>154</v>
      </c>
      <c r="BR2709" s="0" t="s">
        <v>154</v>
      </c>
      <c r="BS2709" s="0" t="s">
        <v>154</v>
      </c>
      <c r="CA2709" s="0" t="s">
        <v>154</v>
      </c>
      <c r="CG2709" s="0" t="s">
        <v>154</v>
      </c>
      <c r="CH2709" s="0" t="s">
        <v>155</v>
      </c>
      <c r="CK2709" s="0" t="s">
        <v>154</v>
      </c>
      <c r="CN2709" s="0" t="s">
        <v>154</v>
      </c>
      <c r="CO2709" s="0" t="s">
        <v>155</v>
      </c>
      <c r="CP2709" s="0" t="s">
        <v>154</v>
      </c>
      <c r="CT2709" s="0" t="s">
        <v>154</v>
      </c>
      <c r="CY2709" s="0" t="s">
        <v>154</v>
      </c>
      <c r="CZ2709" s="0" t="s">
        <v>155</v>
      </c>
      <c r="DC2709" s="0" t="s">
        <v>154</v>
      </c>
      <c r="DF2709" s="0" t="s">
        <v>154</v>
      </c>
      <c r="DM2709" s="0" t="s">
        <v>155</v>
      </c>
      <c r="DN2709" s="0" t="s">
        <v>154</v>
      </c>
      <c r="DR2709" s="0" t="s">
        <v>154</v>
      </c>
      <c r="ED2709" s="0" t="s">
        <v>155</v>
      </c>
      <c r="EF2709" s="0" t="s">
        <v>154</v>
      </c>
    </row>
    <row r="2710" customFormat="false" ht="13.8" hidden="true" customHeight="false" outlineLevel="0" collapsed="false">
      <c r="A2710" s="0" t="s">
        <v>11542</v>
      </c>
      <c r="B2710" s="0" t="n">
        <v>78</v>
      </c>
      <c r="C2710" s="0" t="n">
        <v>361681</v>
      </c>
      <c r="D2710" s="0" t="s">
        <v>1582</v>
      </c>
      <c r="E2710" s="0" t="s">
        <v>1272</v>
      </c>
      <c r="F2710" s="0" t="str">
        <f aca="false">CONCATENATE(D2710," ",LEFT(H2710,4),"T=",AU2710,"D=",AV2710,"R=",AW2710,"M=",AX2710,"L=",AY2710,"B=",AZ2710)</f>
        <v>SMITH T=16D=1R=0M=0L=1B=0</v>
      </c>
      <c r="G2710" s="0" t="s">
        <v>241</v>
      </c>
      <c r="I2710" s="0" t="s">
        <v>11543</v>
      </c>
      <c r="J2710" s="0" t="s">
        <v>11544</v>
      </c>
      <c r="K2710" s="0" t="s">
        <v>175</v>
      </c>
      <c r="L2710" s="0"/>
      <c r="M2710" s="0" t="s">
        <v>11541</v>
      </c>
      <c r="N2710" s="0" t="str">
        <f aca="false">RIGHT(M2710,LEN(M2710)-FIND(" ",M2710))</f>
        <v>WASHINGTON ST NW</v>
      </c>
      <c r="P2710" s="0" t="s">
        <v>146</v>
      </c>
      <c r="Q2710" s="0" t="s">
        <v>147</v>
      </c>
      <c r="R2710" s="0" t="n">
        <v>44483</v>
      </c>
      <c r="AD2710" s="0" t="s">
        <v>148</v>
      </c>
      <c r="AE2710" s="0" t="s">
        <v>149</v>
      </c>
      <c r="AF2710" s="0" t="s">
        <v>150</v>
      </c>
      <c r="AH2710" s="0" t="n">
        <v>14</v>
      </c>
      <c r="AI2710" s="0" t="n">
        <v>11</v>
      </c>
      <c r="AN2710" s="0" t="s">
        <v>146</v>
      </c>
      <c r="AO2710" s="0" t="s">
        <v>151</v>
      </c>
      <c r="AP2710" s="0" t="s">
        <v>152</v>
      </c>
      <c r="AQ2710" s="0" t="n">
        <v>9</v>
      </c>
      <c r="AR2710" s="0" t="n">
        <v>64</v>
      </c>
      <c r="AS2710" s="0" t="n">
        <v>32</v>
      </c>
      <c r="AU2710" s="0" t="n">
        <f aca="false">COUNTA($BA$1118:$EH$1118)</f>
        <v>16</v>
      </c>
      <c r="AV2710" s="0" t="n">
        <f aca="false">COUNTIF($BA$1118:$EH$1118,"D")</f>
        <v>1</v>
      </c>
      <c r="AW2710" s="0" t="n">
        <f aca="false">COUNTIF($BA$1118:$EH$1118,"R")</f>
        <v>0</v>
      </c>
      <c r="AX2710" s="0" t="n">
        <f aca="false">IF(BN2710="D",1,0)+IF(BO2710="D",1,0)+IF(BT2710="D",1,0)+IF(BU2710="D",1,0)+IF(BW2710="D",1,0)+IF(CC2710="D",1,0)+IF(CD2710="D",1,0)+IF(CE2710="D",1,0)+IF(CF2710="D",1,0)+IF(CL2710="D",1,0)+IF(CM2710="D",1,0)+IF(CQ2710="D",1,0)+IF(CR2710="D",1,0)+IF(CS2710="D",1,0)+IF(CW2710="D",1,0)+IF(CX2710="D",1,0)+IF(DD2710="D",1,0)+IF(DE2710="D",1,0)+IF(DJ2710="D",1,0)+IF(DK2710="D",1,0)+IF(DO2710="D",1,0)+IF(DP2710="D",1,0)+IF(DQ2710="D",1,0)+IF(DW2710="D",1,0)+IF(DZ2710="D",1,0)+IF(EH2710="D",1,0)</f>
        <v>0</v>
      </c>
      <c r="AY2710" s="0" t="n">
        <f aca="false">COUNTIF(DU2710:EH2710, "&lt;&gt;")</f>
        <v>1</v>
      </c>
      <c r="AZ2710" s="0" t="n">
        <f aca="false">IF(EH2710&lt;&gt;"",1,0)</f>
        <v>0</v>
      </c>
      <c r="BB2710" s="0" t="s">
        <v>153</v>
      </c>
      <c r="CA2710" s="0" t="s">
        <v>154</v>
      </c>
      <c r="CP2710" s="0" t="s">
        <v>154</v>
      </c>
      <c r="EF2710" s="0" t="s">
        <v>154</v>
      </c>
    </row>
    <row r="2711" customFormat="false" ht="13.8" hidden="false" customHeight="false" outlineLevel="0" collapsed="false">
      <c r="A2711" s="0" t="s">
        <v>11545</v>
      </c>
      <c r="B2711" s="0" t="n">
        <v>78</v>
      </c>
      <c r="C2711" s="0" t="n">
        <v>8433</v>
      </c>
      <c r="D2711" s="0" t="s">
        <v>11546</v>
      </c>
      <c r="E2711" s="0" t="s">
        <v>1374</v>
      </c>
      <c r="F2711" s="0" t="str">
        <f aca="false">CONCATENATE(D2711," ",LEFT(H2711,4),"T=",AU2711,"D=",AV2711,"R=",AW2711,"M=",AX2711,"L=",AY2711,"B=",AZ2711)</f>
        <v>KRIVAN T=29D=6R=0M=3L=4B=1</v>
      </c>
      <c r="G2711" s="0" t="s">
        <v>939</v>
      </c>
      <c r="I2711" s="0" t="s">
        <v>11547</v>
      </c>
      <c r="J2711" s="0" t="s">
        <v>11548</v>
      </c>
      <c r="K2711" s="0" t="s">
        <v>175</v>
      </c>
      <c r="L2711" s="1" t="s">
        <v>176</v>
      </c>
      <c r="M2711" s="0" t="s">
        <v>11541</v>
      </c>
      <c r="N2711" s="0" t="str">
        <f aca="false">RIGHT(M2711,LEN(M2711)-FIND(" ",M2711))</f>
        <v>WASHINGTON ST NW</v>
      </c>
      <c r="P2711" s="0" t="s">
        <v>146</v>
      </c>
      <c r="Q2711" s="0" t="s">
        <v>147</v>
      </c>
      <c r="R2711" s="0" t="n">
        <v>44483</v>
      </c>
      <c r="AD2711" s="0" t="s">
        <v>148</v>
      </c>
      <c r="AE2711" s="0" t="s">
        <v>149</v>
      </c>
      <c r="AF2711" s="0" t="s">
        <v>150</v>
      </c>
      <c r="AH2711" s="0" t="n">
        <v>14</v>
      </c>
      <c r="AI2711" s="0" t="n">
        <v>11</v>
      </c>
      <c r="AN2711" s="0" t="s">
        <v>146</v>
      </c>
      <c r="AO2711" s="0" t="s">
        <v>151</v>
      </c>
      <c r="AP2711" s="0" t="s">
        <v>152</v>
      </c>
      <c r="AQ2711" s="0" t="n">
        <v>9</v>
      </c>
      <c r="AR2711" s="0" t="n">
        <v>64</v>
      </c>
      <c r="AS2711" s="0" t="n">
        <v>32</v>
      </c>
      <c r="AU2711" s="0" t="n">
        <f aca="false">COUNTA($BA$1218:$EH$1218)</f>
        <v>29</v>
      </c>
      <c r="AV2711" s="0" t="n">
        <f aca="false">COUNTIF($BA$1218:$EH$1218,"D")</f>
        <v>6</v>
      </c>
      <c r="AW2711" s="0" t="n">
        <f aca="false">COUNTIF($BA$1218:$EH$1218,"R")</f>
        <v>0</v>
      </c>
      <c r="AX2711" s="0" t="n">
        <f aca="false">IF(BN2711="D",1,0)+IF(BO2711="D",1,0)+IF(BT2711="D",1,0)+IF(BU2711="D",1,0)+IF(BW2711="D",1,0)+IF(CC2711="D",1,0)+IF(CD2711="D",1,0)+IF(CE2711="D",1,0)+IF(CF2711="D",1,0)+IF(CL2711="D",1,0)+IF(CM2711="D",1,0)+IF(CQ2711="D",1,0)+IF(CR2711="D",1,0)+IF(CS2711="D",1,0)+IF(CW2711="D",1,0)+IF(CX2711="D",1,0)+IF(DD2711="D",1,0)+IF(DE2711="D",1,0)+IF(DJ2711="D",1,0)+IF(DK2711="D",1,0)+IF(DO2711="D",1,0)+IF(DP2711="D",1,0)+IF(DQ2711="D",1,0)+IF(DW2711="D",1,0)+IF(DZ2711="D",1,0)+IF(EH2711="D",1,0)</f>
        <v>3</v>
      </c>
      <c r="AY2711" s="0" t="n">
        <f aca="false">COUNTIF(DU2711:EH2711, "&lt;&gt;")</f>
        <v>4</v>
      </c>
      <c r="AZ2711" s="0" t="n">
        <f aca="false">IF(EH2711&lt;&gt;"",1,0)</f>
        <v>1</v>
      </c>
      <c r="BB2711" s="0" t="s">
        <v>153</v>
      </c>
      <c r="BC2711" s="0" t="s">
        <v>154</v>
      </c>
      <c r="BD2711" s="0" t="s">
        <v>154</v>
      </c>
      <c r="BE2711" s="0" t="s">
        <v>154</v>
      </c>
      <c r="BF2711" s="0" t="s">
        <v>154</v>
      </c>
      <c r="BG2711" s="0" t="s">
        <v>154</v>
      </c>
      <c r="BH2711" s="0" t="s">
        <v>154</v>
      </c>
      <c r="BI2711" s="0" t="s">
        <v>154</v>
      </c>
      <c r="BJ2711" s="0" t="s">
        <v>154</v>
      </c>
      <c r="BK2711" s="0" t="s">
        <v>154</v>
      </c>
      <c r="BL2711" s="0" t="s">
        <v>154</v>
      </c>
      <c r="BP2711" s="0" t="s">
        <v>154</v>
      </c>
      <c r="BR2711" s="0" t="s">
        <v>154</v>
      </c>
      <c r="BS2711" s="0" t="s">
        <v>154</v>
      </c>
      <c r="CA2711" s="0" t="s">
        <v>154</v>
      </c>
      <c r="CG2711" s="0" t="s">
        <v>154</v>
      </c>
      <c r="CH2711" s="0" t="s">
        <v>176</v>
      </c>
      <c r="CK2711" s="0" t="s">
        <v>154</v>
      </c>
      <c r="CL2711" s="0" t="s">
        <v>155</v>
      </c>
      <c r="CN2711" s="0" t="s">
        <v>154</v>
      </c>
      <c r="CO2711" s="0" t="s">
        <v>176</v>
      </c>
      <c r="CP2711" s="0" t="s">
        <v>154</v>
      </c>
      <c r="CQ2711" s="0" t="s">
        <v>155</v>
      </c>
      <c r="CT2711" s="0" t="s">
        <v>154</v>
      </c>
      <c r="CU2711" s="0" t="s">
        <v>176</v>
      </c>
      <c r="CV2711" s="0" t="s">
        <v>154</v>
      </c>
      <c r="CY2711" s="0" t="s">
        <v>154</v>
      </c>
      <c r="CZ2711" s="0" t="s">
        <v>176</v>
      </c>
      <c r="DC2711" s="0" t="s">
        <v>154</v>
      </c>
      <c r="DF2711" s="0" t="s">
        <v>154</v>
      </c>
      <c r="DG2711" s="0" t="s">
        <v>176</v>
      </c>
      <c r="DI2711" s="0" t="s">
        <v>154</v>
      </c>
      <c r="DJ2711" s="0" t="s">
        <v>155</v>
      </c>
      <c r="DL2711" s="0" t="s">
        <v>154</v>
      </c>
      <c r="DM2711" s="0" t="s">
        <v>176</v>
      </c>
      <c r="DN2711" s="0" t="s">
        <v>154</v>
      </c>
      <c r="DR2711" s="0" t="s">
        <v>154</v>
      </c>
      <c r="DS2711" s="0" t="s">
        <v>176</v>
      </c>
      <c r="DU2711" s="0" t="s">
        <v>154</v>
      </c>
      <c r="DX2711" s="0" t="s">
        <v>154</v>
      </c>
      <c r="EA2711" s="0" t="s">
        <v>154</v>
      </c>
      <c r="EH2711" s="0" t="s">
        <v>154</v>
      </c>
    </row>
    <row r="2712" customFormat="false" ht="13.8" hidden="false" customHeight="false" outlineLevel="0" collapsed="false">
      <c r="A2712" s="0" t="s">
        <v>11549</v>
      </c>
      <c r="B2712" s="0" t="n">
        <v>78</v>
      </c>
      <c r="C2712" s="0" t="n">
        <v>63162</v>
      </c>
      <c r="D2712" s="0" t="s">
        <v>2311</v>
      </c>
      <c r="E2712" s="0" t="s">
        <v>1531</v>
      </c>
      <c r="F2712" s="0" t="str">
        <f aca="false">CONCATENATE(D2712," ",LEFT(H2712,4),"T=",AU2712,"D=",AV2712,"R=",AW2712,"M=",AX2712,"L=",AY2712,"B=",AZ2712)</f>
        <v>LEWIS T=1D=0R=0M=0L=2B=0</v>
      </c>
      <c r="G2712" s="0" t="s">
        <v>202</v>
      </c>
      <c r="I2712" s="0" t="s">
        <v>11550</v>
      </c>
      <c r="J2712" s="0" t="s">
        <v>11551</v>
      </c>
      <c r="K2712" s="0" t="s">
        <v>175</v>
      </c>
      <c r="L2712" s="1" t="s">
        <v>176</v>
      </c>
      <c r="M2712" s="0" t="s">
        <v>11541</v>
      </c>
      <c r="N2712" s="0" t="str">
        <f aca="false">RIGHT(M2712,LEN(M2712)-FIND(" ",M2712))</f>
        <v>WASHINGTON ST NW</v>
      </c>
      <c r="P2712" s="0" t="s">
        <v>146</v>
      </c>
      <c r="Q2712" s="0" t="s">
        <v>147</v>
      </c>
      <c r="R2712" s="0" t="n">
        <v>44483</v>
      </c>
      <c r="AD2712" s="0" t="s">
        <v>148</v>
      </c>
      <c r="AE2712" s="0" t="s">
        <v>149</v>
      </c>
      <c r="AF2712" s="0" t="s">
        <v>150</v>
      </c>
      <c r="AH2712" s="0" t="n">
        <v>14</v>
      </c>
      <c r="AI2712" s="0" t="n">
        <v>11</v>
      </c>
      <c r="AN2712" s="0" t="s">
        <v>146</v>
      </c>
      <c r="AO2712" s="0" t="s">
        <v>151</v>
      </c>
      <c r="AP2712" s="0" t="s">
        <v>152</v>
      </c>
      <c r="AQ2712" s="0" t="n">
        <v>9</v>
      </c>
      <c r="AR2712" s="0" t="n">
        <v>64</v>
      </c>
      <c r="AS2712" s="0" t="n">
        <v>32</v>
      </c>
      <c r="AU2712" s="0" t="n">
        <f aca="false">COUNTA($BA$1257:$EH$1257)</f>
        <v>1</v>
      </c>
      <c r="AV2712" s="0" t="n">
        <f aca="false">COUNTIF($BA$1257:$EH$1257,"D")</f>
        <v>0</v>
      </c>
      <c r="AW2712" s="0" t="n">
        <f aca="false">COUNTIF($BA$1257:$EH$1257,"R")</f>
        <v>0</v>
      </c>
      <c r="AX2712" s="0" t="n">
        <f aca="false">IF(BN2712="D",1,0)+IF(BO2712="D",1,0)+IF(BT2712="D",1,0)+IF(BU2712="D",1,0)+IF(BW2712="D",1,0)+IF(CC2712="D",1,0)+IF(CD2712="D",1,0)+IF(CE2712="D",1,0)+IF(CF2712="D",1,0)+IF(CL2712="D",1,0)+IF(CM2712="D",1,0)+IF(CQ2712="D",1,0)+IF(CR2712="D",1,0)+IF(CS2712="D",1,0)+IF(CW2712="D",1,0)+IF(CX2712="D",1,0)+IF(DD2712="D",1,0)+IF(DE2712="D",1,0)+IF(DJ2712="D",1,0)+IF(DK2712="D",1,0)+IF(DO2712="D",1,0)+IF(DP2712="D",1,0)+IF(DQ2712="D",1,0)+IF(DW2712="D",1,0)+IF(DZ2712="D",1,0)+IF(EH2712="D",1,0)</f>
        <v>0</v>
      </c>
      <c r="AY2712" s="0" t="n">
        <f aca="false">COUNTIF(DU2712:EH2712, "&lt;&gt;")</f>
        <v>2</v>
      </c>
      <c r="AZ2712" s="0" t="n">
        <f aca="false">IF(EH2712&lt;&gt;"",1,0)</f>
        <v>0</v>
      </c>
      <c r="BB2712" s="0" t="s">
        <v>153</v>
      </c>
      <c r="BD2712" s="0" t="s">
        <v>154</v>
      </c>
      <c r="BF2712" s="0" t="s">
        <v>154</v>
      </c>
      <c r="BH2712" s="0" t="s">
        <v>154</v>
      </c>
      <c r="BJ2712" s="0" t="s">
        <v>154</v>
      </c>
      <c r="BK2712" s="0" t="s">
        <v>154</v>
      </c>
      <c r="BL2712" s="0" t="s">
        <v>154</v>
      </c>
      <c r="BS2712" s="0" t="s">
        <v>154</v>
      </c>
      <c r="BY2712" s="0" t="s">
        <v>155</v>
      </c>
      <c r="CA2712" s="0" t="s">
        <v>154</v>
      </c>
      <c r="CG2712" s="0" t="s">
        <v>154</v>
      </c>
      <c r="CH2712" s="0" t="s">
        <v>176</v>
      </c>
      <c r="CK2712" s="0" t="s">
        <v>154</v>
      </c>
      <c r="CN2712" s="0" t="s">
        <v>154</v>
      </c>
      <c r="CP2712" s="0" t="s">
        <v>154</v>
      </c>
      <c r="CZ2712" s="0" t="s">
        <v>176</v>
      </c>
      <c r="DC2712" s="0" t="s">
        <v>154</v>
      </c>
      <c r="DI2712" s="0" t="s">
        <v>154</v>
      </c>
      <c r="DM2712" s="0" t="s">
        <v>176</v>
      </c>
      <c r="DT2712" s="0" t="s">
        <v>176</v>
      </c>
      <c r="DU2712" s="0" t="s">
        <v>154</v>
      </c>
      <c r="EA2712" s="0" t="s">
        <v>154</v>
      </c>
    </row>
    <row r="2713" customFormat="false" ht="13.8" hidden="false" customHeight="false" outlineLevel="0" collapsed="false">
      <c r="A2713" s="0" t="s">
        <v>11552</v>
      </c>
      <c r="B2713" s="0" t="n">
        <v>78</v>
      </c>
      <c r="C2713" s="0" t="n">
        <v>332377</v>
      </c>
      <c r="D2713" s="0" t="s">
        <v>7973</v>
      </c>
      <c r="E2713" s="0" t="s">
        <v>2163</v>
      </c>
      <c r="F2713" s="0" t="str">
        <f aca="false">CONCATENATE(D2713," ",LEFT(H2713,4),"T=",AU2713,"D=",AV2713,"R=",AW2713,"M=",AX2713,"L=",AY2713,"B=",AZ2713)</f>
        <v>REID T=3D=0R=0M=0L=4B=0</v>
      </c>
      <c r="G2713" s="0" t="s">
        <v>241</v>
      </c>
      <c r="I2713" s="0" t="s">
        <v>11553</v>
      </c>
      <c r="J2713" s="0" t="s">
        <v>11554</v>
      </c>
      <c r="K2713" s="0" t="s">
        <v>175</v>
      </c>
      <c r="L2713" s="1" t="s">
        <v>155</v>
      </c>
      <c r="M2713" s="0" t="s">
        <v>11541</v>
      </c>
      <c r="N2713" s="0" t="str">
        <f aca="false">RIGHT(M2713,LEN(M2713)-FIND(" ",M2713))</f>
        <v>WASHINGTON ST NW</v>
      </c>
      <c r="P2713" s="0" t="s">
        <v>146</v>
      </c>
      <c r="Q2713" s="0" t="s">
        <v>147</v>
      </c>
      <c r="R2713" s="0" t="n">
        <v>44483</v>
      </c>
      <c r="AD2713" s="0" t="s">
        <v>148</v>
      </c>
      <c r="AE2713" s="0" t="s">
        <v>149</v>
      </c>
      <c r="AF2713" s="0" t="s">
        <v>150</v>
      </c>
      <c r="AH2713" s="0" t="n">
        <v>14</v>
      </c>
      <c r="AI2713" s="0" t="n">
        <v>11</v>
      </c>
      <c r="AN2713" s="0" t="s">
        <v>146</v>
      </c>
      <c r="AO2713" s="0" t="s">
        <v>151</v>
      </c>
      <c r="AP2713" s="0" t="s">
        <v>152</v>
      </c>
      <c r="AQ2713" s="0" t="n">
        <v>9</v>
      </c>
      <c r="AR2713" s="0" t="n">
        <v>64</v>
      </c>
      <c r="AS2713" s="0" t="n">
        <v>32</v>
      </c>
      <c r="AU2713" s="0" t="n">
        <f aca="false">COUNTA($BA$1269:$EH$1269)</f>
        <v>3</v>
      </c>
      <c r="AV2713" s="0" t="n">
        <f aca="false">COUNTIF($BA$1269:$EH$1269,"D")</f>
        <v>0</v>
      </c>
      <c r="AW2713" s="0" t="n">
        <f aca="false">COUNTIF($BA$1269:$EH$1269,"R")</f>
        <v>0</v>
      </c>
      <c r="AX2713" s="0" t="n">
        <f aca="false">IF(BN2713="D",1,0)+IF(BO2713="D",1,0)+IF(BT2713="D",1,0)+IF(BU2713="D",1,0)+IF(BW2713="D",1,0)+IF(CC2713="D",1,0)+IF(CD2713="D",1,0)+IF(CE2713="D",1,0)+IF(CF2713="D",1,0)+IF(CL2713="D",1,0)+IF(CM2713="D",1,0)+IF(CQ2713="D",1,0)+IF(CR2713="D",1,0)+IF(CS2713="D",1,0)+IF(CW2713="D",1,0)+IF(CX2713="D",1,0)+IF(DD2713="D",1,0)+IF(DE2713="D",1,0)+IF(DJ2713="D",1,0)+IF(DK2713="D",1,0)+IF(DO2713="D",1,0)+IF(DP2713="D",1,0)+IF(DQ2713="D",1,0)+IF(DW2713="D",1,0)+IF(DZ2713="D",1,0)+IF(EH2713="D",1,0)</f>
        <v>0</v>
      </c>
      <c r="AY2713" s="0" t="n">
        <f aca="false">COUNTIF(DU2713:EH2713, "&lt;&gt;")</f>
        <v>4</v>
      </c>
      <c r="AZ2713" s="0" t="n">
        <f aca="false">IF(EH2713&lt;&gt;"",1,0)</f>
        <v>0</v>
      </c>
      <c r="BB2713" s="0" t="s">
        <v>153</v>
      </c>
      <c r="BL2713" s="0" t="s">
        <v>154</v>
      </c>
      <c r="CA2713" s="0" t="s">
        <v>154</v>
      </c>
      <c r="CP2713" s="0" t="s">
        <v>154</v>
      </c>
      <c r="CZ2713" s="0" t="s">
        <v>155</v>
      </c>
      <c r="DU2713" s="0" t="s">
        <v>154</v>
      </c>
      <c r="EA2713" s="0" t="s">
        <v>154</v>
      </c>
      <c r="ED2713" s="0" t="s">
        <v>155</v>
      </c>
      <c r="EF2713" s="0" t="s">
        <v>154</v>
      </c>
    </row>
    <row r="2714" customFormat="false" ht="13.8" hidden="false" customHeight="false" outlineLevel="0" collapsed="false">
      <c r="A2714" s="0" t="s">
        <v>11555</v>
      </c>
      <c r="B2714" s="0" t="n">
        <v>78</v>
      </c>
      <c r="C2714" s="0" t="n">
        <v>336909</v>
      </c>
      <c r="D2714" s="0" t="s">
        <v>11556</v>
      </c>
      <c r="E2714" s="0" t="s">
        <v>171</v>
      </c>
      <c r="F2714" s="0" t="str">
        <f aca="false">CONCATENATE(D2714," ",LEFT(H2714,4),"T=",AU2714,"D=",AV2714,"R=",AW2714,"M=",AX2714,"L=",AY2714,"B=",AZ2714)</f>
        <v>TOLES T=5D=0R=0M=2L=4B=1</v>
      </c>
      <c r="G2714" s="0" t="s">
        <v>216</v>
      </c>
      <c r="I2714" s="0" t="s">
        <v>11557</v>
      </c>
      <c r="J2714" s="0" t="s">
        <v>11551</v>
      </c>
      <c r="K2714" s="0" t="s">
        <v>175</v>
      </c>
      <c r="L2714" s="1" t="s">
        <v>155</v>
      </c>
      <c r="M2714" s="0" t="s">
        <v>11541</v>
      </c>
      <c r="N2714" s="0" t="str">
        <f aca="false">RIGHT(M2714,LEN(M2714)-FIND(" ",M2714))</f>
        <v>WASHINGTON ST NW</v>
      </c>
      <c r="P2714" s="0" t="s">
        <v>146</v>
      </c>
      <c r="Q2714" s="0" t="s">
        <v>147</v>
      </c>
      <c r="R2714" s="0" t="n">
        <v>44483</v>
      </c>
      <c r="AD2714" s="0" t="s">
        <v>148</v>
      </c>
      <c r="AE2714" s="0" t="s">
        <v>149</v>
      </c>
      <c r="AF2714" s="0" t="s">
        <v>150</v>
      </c>
      <c r="AH2714" s="0" t="n">
        <v>14</v>
      </c>
      <c r="AI2714" s="0" t="n">
        <v>11</v>
      </c>
      <c r="AN2714" s="0" t="s">
        <v>146</v>
      </c>
      <c r="AO2714" s="0" t="s">
        <v>151</v>
      </c>
      <c r="AP2714" s="0" t="s">
        <v>152</v>
      </c>
      <c r="AQ2714" s="0" t="n">
        <v>9</v>
      </c>
      <c r="AR2714" s="0" t="n">
        <v>64</v>
      </c>
      <c r="AS2714" s="0" t="n">
        <v>32</v>
      </c>
      <c r="AU2714" s="0" t="n">
        <f aca="false">COUNTA($BA$1270:$EH$1270)</f>
        <v>5</v>
      </c>
      <c r="AV2714" s="0" t="n">
        <f aca="false">COUNTIF($BA$1270:$EH$1270,"D")</f>
        <v>0</v>
      </c>
      <c r="AW2714" s="0" t="n">
        <f aca="false">COUNTIF($BA$1270:$EH$1270,"R")</f>
        <v>0</v>
      </c>
      <c r="AX2714" s="0" t="n">
        <f aca="false">IF(BN2714="D",1,0)+IF(BO2714="D",1,0)+IF(BT2714="D",1,0)+IF(BU2714="D",1,0)+IF(BW2714="D",1,0)+IF(CC2714="D",1,0)+IF(CD2714="D",1,0)+IF(CE2714="D",1,0)+IF(CF2714="D",1,0)+IF(CL2714="D",1,0)+IF(CM2714="D",1,0)+IF(CQ2714="D",1,0)+IF(CR2714="D",1,0)+IF(CS2714="D",1,0)+IF(CW2714="D",1,0)+IF(CX2714="D",1,0)+IF(DD2714="D",1,0)+IF(DE2714="D",1,0)+IF(DJ2714="D",1,0)+IF(DK2714="D",1,0)+IF(DO2714="D",1,0)+IF(DP2714="D",1,0)+IF(DQ2714="D",1,0)+IF(DW2714="D",1,0)+IF(DZ2714="D",1,0)+IF(EH2714="D",1,0)</f>
        <v>2</v>
      </c>
      <c r="AY2714" s="0" t="n">
        <f aca="false">COUNTIF(DU2714:EH2714, "&lt;&gt;")</f>
        <v>4</v>
      </c>
      <c r="AZ2714" s="0" t="n">
        <f aca="false">IF(EH2714&lt;&gt;"",1,0)</f>
        <v>1</v>
      </c>
      <c r="BB2714" s="0" t="s">
        <v>153</v>
      </c>
      <c r="CA2714" s="0" t="s">
        <v>154</v>
      </c>
      <c r="DC2714" s="0" t="s">
        <v>154</v>
      </c>
      <c r="DM2714" s="0" t="s">
        <v>155</v>
      </c>
      <c r="DS2714" s="0" t="s">
        <v>155</v>
      </c>
      <c r="DT2714" s="0" t="s">
        <v>155</v>
      </c>
      <c r="DU2714" s="0" t="s">
        <v>154</v>
      </c>
      <c r="DW2714" s="0" t="s">
        <v>155</v>
      </c>
      <c r="EF2714" s="0" t="s">
        <v>154</v>
      </c>
      <c r="EH2714" s="0" t="s">
        <v>155</v>
      </c>
    </row>
    <row r="2715" customFormat="false" ht="13.8" hidden="false" customHeight="false" outlineLevel="0" collapsed="false">
      <c r="A2715" s="0" t="s">
        <v>11558</v>
      </c>
      <c r="B2715" s="0" t="n">
        <v>78</v>
      </c>
      <c r="C2715" s="0" t="n">
        <v>16639</v>
      </c>
      <c r="D2715" s="0" t="s">
        <v>11559</v>
      </c>
      <c r="E2715" s="0" t="s">
        <v>4000</v>
      </c>
      <c r="F2715" s="0" t="str">
        <f aca="false">CONCATENATE(D2715," ",LEFT(H2715,4),"T=",AU2715,"D=",AV2715,"R=",AW2715,"M=",AX2715,"L=",AY2715,"B=",AZ2715)</f>
        <v>KEARNS T=1D=0R=0M=0L=6B=0</v>
      </c>
      <c r="G2715" s="0" t="s">
        <v>172</v>
      </c>
      <c r="I2715" s="0" t="s">
        <v>11560</v>
      </c>
      <c r="J2715" s="0" t="s">
        <v>1309</v>
      </c>
      <c r="K2715" s="0" t="s">
        <v>175</v>
      </c>
      <c r="L2715" s="1" t="s">
        <v>176</v>
      </c>
      <c r="M2715" s="0" t="s">
        <v>11541</v>
      </c>
      <c r="N2715" s="0" t="str">
        <f aca="false">RIGHT(M2715,LEN(M2715)-FIND(" ",M2715))</f>
        <v>WASHINGTON ST NW</v>
      </c>
      <c r="P2715" s="0" t="s">
        <v>146</v>
      </c>
      <c r="Q2715" s="0" t="s">
        <v>147</v>
      </c>
      <c r="R2715" s="0" t="n">
        <v>44483</v>
      </c>
      <c r="AD2715" s="0" t="s">
        <v>148</v>
      </c>
      <c r="AE2715" s="0" t="s">
        <v>149</v>
      </c>
      <c r="AF2715" s="0" t="s">
        <v>150</v>
      </c>
      <c r="AH2715" s="0" t="n">
        <v>14</v>
      </c>
      <c r="AI2715" s="0" t="n">
        <v>11</v>
      </c>
      <c r="AN2715" s="0" t="s">
        <v>146</v>
      </c>
      <c r="AO2715" s="0" t="s">
        <v>151</v>
      </c>
      <c r="AP2715" s="0" t="s">
        <v>152</v>
      </c>
      <c r="AQ2715" s="0" t="n">
        <v>9</v>
      </c>
      <c r="AR2715" s="0" t="n">
        <v>64</v>
      </c>
      <c r="AS2715" s="0" t="n">
        <v>32</v>
      </c>
      <c r="AU2715" s="0" t="n">
        <f aca="false">COUNTA($BA$1308:$EH$1308)</f>
        <v>1</v>
      </c>
      <c r="AV2715" s="0" t="n">
        <f aca="false">COUNTIF($BA$1308:$EH$1308,"D")</f>
        <v>0</v>
      </c>
      <c r="AW2715" s="0" t="n">
        <f aca="false">COUNTIF($BA$1308:$EH$1308,"R")</f>
        <v>0</v>
      </c>
      <c r="AX2715" s="0" t="n">
        <f aca="false">IF(BN2715="D",1,0)+IF(BO2715="D",1,0)+IF(BT2715="D",1,0)+IF(BU2715="D",1,0)+IF(BW2715="D",1,0)+IF(CC2715="D",1,0)+IF(CD2715="D",1,0)+IF(CE2715="D",1,0)+IF(CF2715="D",1,0)+IF(CL2715="D",1,0)+IF(CM2715="D",1,0)+IF(CQ2715="D",1,0)+IF(CR2715="D",1,0)+IF(CS2715="D",1,0)+IF(CW2715="D",1,0)+IF(CX2715="D",1,0)+IF(DD2715="D",1,0)+IF(DE2715="D",1,0)+IF(DJ2715="D",1,0)+IF(DK2715="D",1,0)+IF(DO2715="D",1,0)+IF(DP2715="D",1,0)+IF(DQ2715="D",1,0)+IF(DW2715="D",1,0)+IF(DZ2715="D",1,0)+IF(EH2715="D",1,0)</f>
        <v>0</v>
      </c>
      <c r="AY2715" s="0" t="n">
        <f aca="false">COUNTIF(DU2715:EH2715, "&lt;&gt;")</f>
        <v>6</v>
      </c>
      <c r="AZ2715" s="0" t="n">
        <f aca="false">IF(EH2715&lt;&gt;"",1,0)</f>
        <v>0</v>
      </c>
      <c r="BB2715" s="0" t="s">
        <v>153</v>
      </c>
      <c r="BC2715" s="0" t="s">
        <v>154</v>
      </c>
      <c r="BD2715" s="0" t="s">
        <v>154</v>
      </c>
      <c r="BE2715" s="0" t="s">
        <v>154</v>
      </c>
      <c r="BF2715" s="0" t="s">
        <v>154</v>
      </c>
      <c r="BG2715" s="0" t="s">
        <v>154</v>
      </c>
      <c r="BH2715" s="0" t="s">
        <v>154</v>
      </c>
      <c r="BI2715" s="0" t="s">
        <v>154</v>
      </c>
      <c r="BJ2715" s="0" t="s">
        <v>154</v>
      </c>
      <c r="BK2715" s="0" t="s">
        <v>154</v>
      </c>
      <c r="BL2715" s="0" t="s">
        <v>154</v>
      </c>
      <c r="BP2715" s="0" t="s">
        <v>154</v>
      </c>
      <c r="BR2715" s="0" t="s">
        <v>154</v>
      </c>
      <c r="BS2715" s="0" t="s">
        <v>154</v>
      </c>
      <c r="BV2715" s="0" t="s">
        <v>154</v>
      </c>
      <c r="BY2715" s="0" t="s">
        <v>176</v>
      </c>
      <c r="CA2715" s="0" t="s">
        <v>154</v>
      </c>
      <c r="CG2715" s="0" t="s">
        <v>154</v>
      </c>
      <c r="CH2715" s="0" t="s">
        <v>176</v>
      </c>
      <c r="CK2715" s="0" t="s">
        <v>154</v>
      </c>
      <c r="CN2715" s="0" t="s">
        <v>154</v>
      </c>
      <c r="CO2715" s="0" t="s">
        <v>176</v>
      </c>
      <c r="CP2715" s="0" t="s">
        <v>154</v>
      </c>
      <c r="CT2715" s="0" t="s">
        <v>154</v>
      </c>
      <c r="CU2715" s="0" t="s">
        <v>176</v>
      </c>
      <c r="CV2715" s="0" t="s">
        <v>154</v>
      </c>
      <c r="CY2715" s="0" t="s">
        <v>154</v>
      </c>
      <c r="CZ2715" s="0" t="s">
        <v>176</v>
      </c>
      <c r="DC2715" s="0" t="s">
        <v>154</v>
      </c>
      <c r="DF2715" s="0" t="s">
        <v>154</v>
      </c>
      <c r="DG2715" s="0" t="s">
        <v>176</v>
      </c>
      <c r="DI2715" s="0" t="s">
        <v>154</v>
      </c>
      <c r="DL2715" s="0" t="s">
        <v>154</v>
      </c>
      <c r="DM2715" s="0" t="s">
        <v>176</v>
      </c>
      <c r="DN2715" s="0" t="s">
        <v>154</v>
      </c>
      <c r="DR2715" s="0" t="s">
        <v>154</v>
      </c>
      <c r="DS2715" s="0" t="s">
        <v>176</v>
      </c>
      <c r="DT2715" s="0" t="s">
        <v>176</v>
      </c>
      <c r="DU2715" s="0" t="s">
        <v>154</v>
      </c>
      <c r="DW2715" s="0" t="s">
        <v>154</v>
      </c>
      <c r="DX2715" s="0" t="s">
        <v>154</v>
      </c>
      <c r="EA2715" s="0" t="s">
        <v>154</v>
      </c>
      <c r="ED2715" s="0" t="s">
        <v>176</v>
      </c>
      <c r="EF2715" s="0" t="s">
        <v>154</v>
      </c>
    </row>
    <row r="2716" customFormat="false" ht="13.8" hidden="false" customHeight="false" outlineLevel="0" collapsed="false">
      <c r="A2716" s="0" t="s">
        <v>11561</v>
      </c>
      <c r="B2716" s="0" t="n">
        <v>78</v>
      </c>
      <c r="C2716" s="0" t="n">
        <v>91793</v>
      </c>
      <c r="D2716" s="0" t="s">
        <v>11562</v>
      </c>
      <c r="E2716" s="0" t="s">
        <v>2001</v>
      </c>
      <c r="F2716" s="0" t="str">
        <f aca="false">CONCATENATE(D2716," ",LEFT(H2716,4),"T=",AU2716,"D=",AV2716,"R=",AW2716,"M=",AX2716,"L=",AY2716,"B=",AZ2716)</f>
        <v>PETRILLA T=1D=0R=0M=0L=3B=1</v>
      </c>
      <c r="G2716" s="0" t="s">
        <v>1389</v>
      </c>
      <c r="I2716" s="0" t="s">
        <v>11563</v>
      </c>
      <c r="J2716" s="0" t="s">
        <v>1309</v>
      </c>
      <c r="K2716" s="0" t="s">
        <v>175</v>
      </c>
      <c r="M2716" s="0" t="s">
        <v>11541</v>
      </c>
      <c r="N2716" s="0" t="str">
        <f aca="false">RIGHT(M2716,LEN(M2716)-FIND(" ",M2716))</f>
        <v>WASHINGTON ST NW</v>
      </c>
      <c r="P2716" s="0" t="s">
        <v>146</v>
      </c>
      <c r="Q2716" s="0" t="s">
        <v>147</v>
      </c>
      <c r="R2716" s="0" t="n">
        <v>44483</v>
      </c>
      <c r="AD2716" s="0" t="s">
        <v>148</v>
      </c>
      <c r="AE2716" s="0" t="s">
        <v>149</v>
      </c>
      <c r="AF2716" s="0" t="s">
        <v>150</v>
      </c>
      <c r="AH2716" s="0" t="n">
        <v>14</v>
      </c>
      <c r="AI2716" s="0" t="n">
        <v>11</v>
      </c>
      <c r="AN2716" s="0" t="s">
        <v>146</v>
      </c>
      <c r="AO2716" s="0" t="s">
        <v>151</v>
      </c>
      <c r="AP2716" s="0" t="s">
        <v>152</v>
      </c>
      <c r="AQ2716" s="0" t="n">
        <v>9</v>
      </c>
      <c r="AR2716" s="0" t="n">
        <v>64</v>
      </c>
      <c r="AS2716" s="0" t="n">
        <v>32</v>
      </c>
      <c r="AU2716" s="0" t="n">
        <f aca="false">COUNTA($BA$1310:$EH$1310)</f>
        <v>1</v>
      </c>
      <c r="AV2716" s="0" t="n">
        <f aca="false">COUNTIF($BA$1310:$EH$1310,"D")</f>
        <v>0</v>
      </c>
      <c r="AW2716" s="0" t="n">
        <f aca="false">COUNTIF($BA$1310:$EH$1310,"R")</f>
        <v>0</v>
      </c>
      <c r="AX2716" s="0" t="n">
        <f aca="false">IF(BN2716="D",1,0)+IF(BO2716="D",1,0)+IF(BT2716="D",1,0)+IF(BU2716="D",1,0)+IF(BW2716="D",1,0)+IF(CC2716="D",1,0)+IF(CD2716="D",1,0)+IF(CE2716="D",1,0)+IF(CF2716="D",1,0)+IF(CL2716="D",1,0)+IF(CM2716="D",1,0)+IF(CQ2716="D",1,0)+IF(CR2716="D",1,0)+IF(CS2716="D",1,0)+IF(CW2716="D",1,0)+IF(CX2716="D",1,0)+IF(DD2716="D",1,0)+IF(DE2716="D",1,0)+IF(DJ2716="D",1,0)+IF(DK2716="D",1,0)+IF(DO2716="D",1,0)+IF(DP2716="D",1,0)+IF(DQ2716="D",1,0)+IF(DW2716="D",1,0)+IF(DZ2716="D",1,0)+IF(EH2716="D",1,0)</f>
        <v>0</v>
      </c>
      <c r="AY2716" s="0" t="n">
        <f aca="false">COUNTIF(DU2716:EH2716, "&lt;&gt;")</f>
        <v>3</v>
      </c>
      <c r="AZ2716" s="0" t="n">
        <f aca="false">IF(EH2716&lt;&gt;"",1,0)</f>
        <v>1</v>
      </c>
      <c r="BB2716" s="0" t="s">
        <v>153</v>
      </c>
      <c r="BD2716" s="0" t="s">
        <v>154</v>
      </c>
      <c r="BF2716" s="0" t="s">
        <v>154</v>
      </c>
      <c r="BH2716" s="0" t="s">
        <v>154</v>
      </c>
      <c r="BI2716" s="0" t="s">
        <v>154</v>
      </c>
      <c r="BK2716" s="0" t="s">
        <v>154</v>
      </c>
      <c r="BL2716" s="0" t="s">
        <v>154</v>
      </c>
      <c r="BP2716" s="0" t="s">
        <v>154</v>
      </c>
      <c r="BS2716" s="0" t="s">
        <v>154</v>
      </c>
      <c r="BY2716" s="0" t="s">
        <v>155</v>
      </c>
      <c r="CA2716" s="0" t="s">
        <v>154</v>
      </c>
      <c r="CG2716" s="0" t="s">
        <v>154</v>
      </c>
      <c r="CK2716" s="0" t="s">
        <v>154</v>
      </c>
      <c r="CN2716" s="0" t="s">
        <v>154</v>
      </c>
      <c r="CP2716" s="0" t="s">
        <v>154</v>
      </c>
      <c r="CV2716" s="0" t="s">
        <v>154</v>
      </c>
      <c r="CY2716" s="0" t="s">
        <v>154</v>
      </c>
      <c r="CZ2716" s="0" t="s">
        <v>176</v>
      </c>
      <c r="DC2716" s="0" t="s">
        <v>154</v>
      </c>
      <c r="DF2716" s="0" t="s">
        <v>154</v>
      </c>
      <c r="DG2716" s="0" t="s">
        <v>176</v>
      </c>
      <c r="DI2716" s="0" t="s">
        <v>154</v>
      </c>
      <c r="DL2716" s="0" t="s">
        <v>154</v>
      </c>
      <c r="DM2716" s="0" t="s">
        <v>176</v>
      </c>
      <c r="DN2716" s="0" t="s">
        <v>154</v>
      </c>
      <c r="DU2716" s="0" t="s">
        <v>154</v>
      </c>
      <c r="EF2716" s="0" t="s">
        <v>154</v>
      </c>
      <c r="EH2716" s="0" t="s">
        <v>154</v>
      </c>
    </row>
    <row r="2717" customFormat="false" ht="13.8" hidden="true" customHeight="false" outlineLevel="0" collapsed="false">
      <c r="A2717" s="0" t="s">
        <v>11564</v>
      </c>
      <c r="B2717" s="0" t="n">
        <v>78</v>
      </c>
      <c r="C2717" s="0" t="n">
        <v>356797</v>
      </c>
      <c r="D2717" s="0" t="s">
        <v>1078</v>
      </c>
      <c r="E2717" s="0" t="s">
        <v>6319</v>
      </c>
      <c r="F2717" s="0" t="str">
        <f aca="false">CONCATENATE(D2717," ",LEFT(H2717,4),"T=",AU2717,"D=",AV2717,"R=",AW2717,"M=",AX2717,"L=",AY2717,"B=",AZ2717)</f>
        <v>RAIMEY T=1D=0R=0M=2L=1B=0</v>
      </c>
      <c r="G2717" s="0" t="s">
        <v>241</v>
      </c>
      <c r="I2717" s="0" t="s">
        <v>11565</v>
      </c>
      <c r="J2717" s="0" t="s">
        <v>1309</v>
      </c>
      <c r="K2717" s="0" t="s">
        <v>175</v>
      </c>
      <c r="L2717" s="0"/>
      <c r="M2717" s="0" t="s">
        <v>11541</v>
      </c>
      <c r="N2717" s="0" t="str">
        <f aca="false">RIGHT(M2717,LEN(M2717)-FIND(" ",M2717))</f>
        <v>WASHINGTON ST NW</v>
      </c>
      <c r="P2717" s="0" t="s">
        <v>146</v>
      </c>
      <c r="Q2717" s="0" t="s">
        <v>147</v>
      </c>
      <c r="R2717" s="0" t="n">
        <v>44483</v>
      </c>
      <c r="AD2717" s="0" t="s">
        <v>148</v>
      </c>
      <c r="AE2717" s="0" t="s">
        <v>149</v>
      </c>
      <c r="AF2717" s="0" t="s">
        <v>150</v>
      </c>
      <c r="AH2717" s="0" t="n">
        <v>14</v>
      </c>
      <c r="AI2717" s="0" t="n">
        <v>11</v>
      </c>
      <c r="AN2717" s="0" t="s">
        <v>146</v>
      </c>
      <c r="AO2717" s="0" t="s">
        <v>151</v>
      </c>
      <c r="AP2717" s="0" t="s">
        <v>152</v>
      </c>
      <c r="AQ2717" s="0" t="n">
        <v>9</v>
      </c>
      <c r="AR2717" s="0" t="n">
        <v>64</v>
      </c>
      <c r="AS2717" s="0" t="n">
        <v>32</v>
      </c>
      <c r="AU2717" s="0" t="n">
        <f aca="false">COUNTA($BA$1311:$EH$1311)</f>
        <v>1</v>
      </c>
      <c r="AV2717" s="0" t="n">
        <f aca="false">COUNTIF($BA$1311:$EH$1311,"D")</f>
        <v>0</v>
      </c>
      <c r="AW2717" s="0" t="n">
        <f aca="false">COUNTIF($BA$1311:$EH$1311,"R")</f>
        <v>0</v>
      </c>
      <c r="AX2717" s="0" t="n">
        <f aca="false">IF(BN2717="D",1,0)+IF(BO2717="D",1,0)+IF(BT2717="D",1,0)+IF(BU2717="D",1,0)+IF(BW2717="D",1,0)+IF(CC2717="D",1,0)+IF(CD2717="D",1,0)+IF(CE2717="D",1,0)+IF(CF2717="D",1,0)+IF(CL2717="D",1,0)+IF(CM2717="D",1,0)+IF(CQ2717="D",1,0)+IF(CR2717="D",1,0)+IF(CS2717="D",1,0)+IF(CW2717="D",1,0)+IF(CX2717="D",1,0)+IF(DD2717="D",1,0)+IF(DE2717="D",1,0)+IF(DJ2717="D",1,0)+IF(DK2717="D",1,0)+IF(DO2717="D",1,0)+IF(DP2717="D",1,0)+IF(DQ2717="D",1,0)+IF(DW2717="D",1,0)+IF(DZ2717="D",1,0)+IF(EH2717="D",1,0)</f>
        <v>2</v>
      </c>
      <c r="AY2717" s="0" t="n">
        <f aca="false">COUNTIF(DU2717:EH2717, "&lt;&gt;")</f>
        <v>1</v>
      </c>
      <c r="AZ2717" s="0" t="n">
        <f aca="false">IF(EH2717&lt;&gt;"",1,0)</f>
        <v>0</v>
      </c>
      <c r="BB2717" s="0" t="s">
        <v>153</v>
      </c>
      <c r="CA2717" s="0" t="s">
        <v>154</v>
      </c>
      <c r="CK2717" s="0" t="s">
        <v>154</v>
      </c>
      <c r="CL2717" s="0" t="s">
        <v>155</v>
      </c>
      <c r="CP2717" s="0" t="s">
        <v>154</v>
      </c>
      <c r="CW2717" s="0" t="s">
        <v>155</v>
      </c>
      <c r="CY2717" s="0" t="s">
        <v>154</v>
      </c>
      <c r="DC2717" s="0" t="s">
        <v>154</v>
      </c>
      <c r="DN2717" s="0" t="s">
        <v>154</v>
      </c>
      <c r="EF2717" s="0" t="s">
        <v>154</v>
      </c>
    </row>
    <row r="2718" customFormat="false" ht="13.8" hidden="false" customHeight="false" outlineLevel="0" collapsed="false">
      <c r="A2718" s="0" t="s">
        <v>11566</v>
      </c>
      <c r="B2718" s="0" t="n">
        <v>78</v>
      </c>
      <c r="C2718" s="0" t="n">
        <v>199830</v>
      </c>
      <c r="D2718" s="0" t="s">
        <v>11567</v>
      </c>
      <c r="E2718" s="0" t="s">
        <v>158</v>
      </c>
      <c r="F2718" s="0" t="str">
        <f aca="false">CONCATENATE(D2718," ",LEFT(H2718,4),"T=",AU2718,"D=",AV2718,"R=",AW2718,"M=",AX2718,"L=",AY2718,"B=",AZ2718)</f>
        <v>STOUTAMIRE T=46D=17R=0M=1L=2B=0</v>
      </c>
      <c r="G2718" s="0" t="s">
        <v>222</v>
      </c>
      <c r="I2718" s="0" t="s">
        <v>3391</v>
      </c>
      <c r="J2718" s="0" t="s">
        <v>11568</v>
      </c>
      <c r="K2718" s="0" t="s">
        <v>175</v>
      </c>
      <c r="L2718" s="1" t="s">
        <v>155</v>
      </c>
      <c r="M2718" s="0" t="s">
        <v>11541</v>
      </c>
      <c r="N2718" s="0" t="str">
        <f aca="false">RIGHT(M2718,LEN(M2718)-FIND(" ",M2718))</f>
        <v>WASHINGTON ST NW</v>
      </c>
      <c r="P2718" s="0" t="s">
        <v>146</v>
      </c>
      <c r="Q2718" s="0" t="s">
        <v>147</v>
      </c>
      <c r="R2718" s="0" t="n">
        <v>44483</v>
      </c>
      <c r="AD2718" s="0" t="s">
        <v>148</v>
      </c>
      <c r="AE2718" s="0" t="s">
        <v>149</v>
      </c>
      <c r="AF2718" s="0" t="s">
        <v>150</v>
      </c>
      <c r="AH2718" s="0" t="n">
        <v>14</v>
      </c>
      <c r="AI2718" s="0" t="n">
        <v>11</v>
      </c>
      <c r="AN2718" s="0" t="s">
        <v>146</v>
      </c>
      <c r="AO2718" s="0" t="s">
        <v>151</v>
      </c>
      <c r="AP2718" s="0" t="s">
        <v>152</v>
      </c>
      <c r="AQ2718" s="0" t="n">
        <v>9</v>
      </c>
      <c r="AR2718" s="0" t="n">
        <v>64</v>
      </c>
      <c r="AS2718" s="0" t="n">
        <v>32</v>
      </c>
      <c r="AU2718" s="0" t="n">
        <f aca="false">COUNTA($BA$1327:$EH$1327)</f>
        <v>46</v>
      </c>
      <c r="AV2718" s="0" t="n">
        <f aca="false">COUNTIF($BA$1327:$EH$1327,"D")</f>
        <v>17</v>
      </c>
      <c r="AW2718" s="0" t="n">
        <f aca="false">COUNTIF($BA$1327:$EH$1327,"R")</f>
        <v>0</v>
      </c>
      <c r="AX2718" s="0" t="n">
        <f aca="false">IF(BN2718="D",1,0)+IF(BO2718="D",1,0)+IF(BT2718="D",1,0)+IF(BU2718="D",1,0)+IF(BW2718="D",1,0)+IF(CC2718="D",1,0)+IF(CD2718="D",1,0)+IF(CE2718="D",1,0)+IF(CF2718="D",1,0)+IF(CL2718="D",1,0)+IF(CM2718="D",1,0)+IF(CQ2718="D",1,0)+IF(CR2718="D",1,0)+IF(CS2718="D",1,0)+IF(CW2718="D",1,0)+IF(CX2718="D",1,0)+IF(DD2718="D",1,0)+IF(DE2718="D",1,0)+IF(DJ2718="D",1,0)+IF(DK2718="D",1,0)+IF(DO2718="D",1,0)+IF(DP2718="D",1,0)+IF(DQ2718="D",1,0)+IF(DW2718="D",1,0)+IF(DZ2718="D",1,0)+IF(EH2718="D",1,0)</f>
        <v>1</v>
      </c>
      <c r="AY2718" s="0" t="n">
        <f aca="false">COUNTIF(DU2718:EH2718, "&lt;&gt;")</f>
        <v>2</v>
      </c>
      <c r="AZ2718" s="0" t="n">
        <f aca="false">IF(EH2718&lt;&gt;"",1,0)</f>
        <v>0</v>
      </c>
      <c r="BB2718" s="0" t="s">
        <v>153</v>
      </c>
      <c r="BC2718" s="0" t="s">
        <v>154</v>
      </c>
      <c r="BD2718" s="0" t="s">
        <v>154</v>
      </c>
      <c r="BE2718" s="0" t="s">
        <v>154</v>
      </c>
      <c r="BH2718" s="0" t="s">
        <v>154</v>
      </c>
      <c r="BK2718" s="0" t="s">
        <v>154</v>
      </c>
      <c r="BL2718" s="0" t="s">
        <v>154</v>
      </c>
      <c r="BP2718" s="0" t="s">
        <v>154</v>
      </c>
      <c r="BS2718" s="0" t="s">
        <v>154</v>
      </c>
      <c r="BY2718" s="0" t="s">
        <v>155</v>
      </c>
      <c r="CA2718" s="0" t="s">
        <v>154</v>
      </c>
      <c r="CG2718" s="0" t="s">
        <v>154</v>
      </c>
      <c r="CK2718" s="0" t="s">
        <v>154</v>
      </c>
      <c r="CL2718" s="0" t="s">
        <v>155</v>
      </c>
      <c r="CN2718" s="0" t="s">
        <v>154</v>
      </c>
      <c r="CP2718" s="0" t="s">
        <v>154</v>
      </c>
      <c r="DS2718" s="0" t="s">
        <v>155</v>
      </c>
      <c r="ED2718" s="0" t="s">
        <v>155</v>
      </c>
      <c r="EF2718" s="0" t="s">
        <v>154</v>
      </c>
    </row>
    <row r="2719" customFormat="false" ht="13.8" hidden="true" customHeight="false" outlineLevel="0" collapsed="false">
      <c r="A2719" s="0" t="s">
        <v>11569</v>
      </c>
      <c r="B2719" s="0" t="n">
        <v>78</v>
      </c>
      <c r="C2719" s="0" t="n">
        <v>462329</v>
      </c>
      <c r="D2719" s="0" t="s">
        <v>1677</v>
      </c>
      <c r="E2719" s="0" t="s">
        <v>1990</v>
      </c>
      <c r="F2719" s="0" t="str">
        <f aca="false">CONCATENATE(D2719," ",LEFT(H2719,4),"T=",AU2719,"D=",AV2719,"R=",AW2719,"M=",AX2719,"L=",AY2719,"B=",AZ2719)</f>
        <v>HUDSON T=27D=7R=0M=0L=0B=0</v>
      </c>
      <c r="G2719" s="0" t="s">
        <v>496</v>
      </c>
      <c r="I2719" s="0" t="s">
        <v>11570</v>
      </c>
      <c r="J2719" s="0" t="s">
        <v>11568</v>
      </c>
      <c r="K2719" s="0" t="s">
        <v>175</v>
      </c>
      <c r="L2719" s="0"/>
      <c r="M2719" s="0" t="s">
        <v>11541</v>
      </c>
      <c r="N2719" s="0" t="str">
        <f aca="false">RIGHT(M2719,LEN(M2719)-FIND(" ",M2719))</f>
        <v>WASHINGTON ST NW</v>
      </c>
      <c r="P2719" s="0" t="s">
        <v>146</v>
      </c>
      <c r="Q2719" s="0" t="s">
        <v>147</v>
      </c>
      <c r="R2719" s="0" t="n">
        <v>44483</v>
      </c>
      <c r="AD2719" s="0" t="s">
        <v>148</v>
      </c>
      <c r="AE2719" s="0" t="s">
        <v>149</v>
      </c>
      <c r="AF2719" s="0" t="s">
        <v>150</v>
      </c>
      <c r="AH2719" s="0" t="n">
        <v>14</v>
      </c>
      <c r="AI2719" s="0" t="n">
        <v>11</v>
      </c>
      <c r="AN2719" s="0" t="s">
        <v>146</v>
      </c>
      <c r="AO2719" s="0" t="s">
        <v>151</v>
      </c>
      <c r="AP2719" s="0" t="s">
        <v>152</v>
      </c>
      <c r="AQ2719" s="0" t="n">
        <v>9</v>
      </c>
      <c r="AR2719" s="0" t="n">
        <v>64</v>
      </c>
      <c r="AS2719" s="0" t="n">
        <v>32</v>
      </c>
      <c r="AU2719" s="0" t="n">
        <f aca="false">COUNTA($BA$1328:$EH$1328)</f>
        <v>27</v>
      </c>
      <c r="AV2719" s="0" t="n">
        <f aca="false">COUNTIF($BA$1328:$EH$1328,"D")</f>
        <v>7</v>
      </c>
      <c r="AW2719" s="0" t="n">
        <f aca="false">COUNTIF($BA$1328:$EH$1328,"R")</f>
        <v>0</v>
      </c>
      <c r="AX2719" s="0" t="n">
        <f aca="false">IF(BN2719="D",1,0)+IF(BO2719="D",1,0)+IF(BT2719="D",1,0)+IF(BU2719="D",1,0)+IF(BW2719="D",1,0)+IF(CC2719="D",1,0)+IF(CD2719="D",1,0)+IF(CE2719="D",1,0)+IF(CF2719="D",1,0)+IF(CL2719="D",1,0)+IF(CM2719="D",1,0)+IF(CQ2719="D",1,0)+IF(CR2719="D",1,0)+IF(CS2719="D",1,0)+IF(CW2719="D",1,0)+IF(CX2719="D",1,0)+IF(DD2719="D",1,0)+IF(DE2719="D",1,0)+IF(DJ2719="D",1,0)+IF(DK2719="D",1,0)+IF(DO2719="D",1,0)+IF(DP2719="D",1,0)+IF(DQ2719="D",1,0)+IF(DW2719="D",1,0)+IF(DZ2719="D",1,0)+IF(EH2719="D",1,0)</f>
        <v>0</v>
      </c>
      <c r="AY2719" s="0" t="n">
        <f aca="false">COUNTIF(DU2719:EH2719, "&lt;&gt;")</f>
        <v>0</v>
      </c>
      <c r="AZ2719" s="0" t="n">
        <f aca="false">IF(EH2719&lt;&gt;"",1,0)</f>
        <v>0</v>
      </c>
      <c r="BB2719" s="0" t="s">
        <v>153</v>
      </c>
    </row>
    <row r="2720" customFormat="false" ht="13.8" hidden="true" customHeight="false" outlineLevel="0" collapsed="false">
      <c r="A2720" s="0" t="s">
        <v>11571</v>
      </c>
      <c r="B2720" s="0" t="n">
        <v>78</v>
      </c>
      <c r="C2720" s="0" t="n">
        <v>462326</v>
      </c>
      <c r="D2720" s="0" t="s">
        <v>1923</v>
      </c>
      <c r="E2720" s="0" t="s">
        <v>1910</v>
      </c>
      <c r="F2720" s="0" t="str">
        <f aca="false">CONCATENATE(D2720," ",LEFT(H2720,4),"T=",AU2720,"D=",AV2720,"R=",AW2720,"M=",AX2720,"L=",AY2720,"B=",AZ2720)</f>
        <v>SIX T=7D=0R=0M=0L=0B=0</v>
      </c>
      <c r="G2720" s="0" t="s">
        <v>514</v>
      </c>
      <c r="I2720" s="0" t="s">
        <v>11572</v>
      </c>
      <c r="J2720" s="0" t="s">
        <v>11568</v>
      </c>
      <c r="K2720" s="0" t="s">
        <v>175</v>
      </c>
      <c r="L2720" s="0"/>
      <c r="M2720" s="0" t="s">
        <v>11541</v>
      </c>
      <c r="N2720" s="0" t="str">
        <f aca="false">RIGHT(M2720,LEN(M2720)-FIND(" ",M2720))</f>
        <v>WASHINGTON ST NW</v>
      </c>
      <c r="P2720" s="0" t="s">
        <v>146</v>
      </c>
      <c r="Q2720" s="0" t="s">
        <v>147</v>
      </c>
      <c r="R2720" s="0" t="n">
        <v>44483</v>
      </c>
      <c r="AD2720" s="0" t="s">
        <v>148</v>
      </c>
      <c r="AE2720" s="0" t="s">
        <v>149</v>
      </c>
      <c r="AF2720" s="0" t="s">
        <v>150</v>
      </c>
      <c r="AH2720" s="0" t="n">
        <v>14</v>
      </c>
      <c r="AI2720" s="0" t="n">
        <v>11</v>
      </c>
      <c r="AN2720" s="0" t="s">
        <v>146</v>
      </c>
      <c r="AO2720" s="0" t="s">
        <v>151</v>
      </c>
      <c r="AP2720" s="0" t="s">
        <v>152</v>
      </c>
      <c r="AQ2720" s="0" t="n">
        <v>9</v>
      </c>
      <c r="AR2720" s="0" t="n">
        <v>64</v>
      </c>
      <c r="AS2720" s="0" t="n">
        <v>32</v>
      </c>
      <c r="AU2720" s="0" t="n">
        <f aca="false">COUNTA($BA$1329:$EH$1329)</f>
        <v>7</v>
      </c>
      <c r="AV2720" s="0" t="n">
        <f aca="false">COUNTIF($BA$1329:$EH$1329,"D")</f>
        <v>0</v>
      </c>
      <c r="AW2720" s="0" t="n">
        <f aca="false">COUNTIF($BA$1329:$EH$1329,"R")</f>
        <v>0</v>
      </c>
      <c r="AX2720" s="0" t="n">
        <f aca="false">IF(BN2720="D",1,0)+IF(BO2720="D",1,0)+IF(BT2720="D",1,0)+IF(BU2720="D",1,0)+IF(BW2720="D",1,0)+IF(CC2720="D",1,0)+IF(CD2720="D",1,0)+IF(CE2720="D",1,0)+IF(CF2720="D",1,0)+IF(CL2720="D",1,0)+IF(CM2720="D",1,0)+IF(CQ2720="D",1,0)+IF(CR2720="D",1,0)+IF(CS2720="D",1,0)+IF(CW2720="D",1,0)+IF(CX2720="D",1,0)+IF(DD2720="D",1,0)+IF(DE2720="D",1,0)+IF(DJ2720="D",1,0)+IF(DK2720="D",1,0)+IF(DO2720="D",1,0)+IF(DP2720="D",1,0)+IF(DQ2720="D",1,0)+IF(DW2720="D",1,0)+IF(DZ2720="D",1,0)+IF(EH2720="D",1,0)</f>
        <v>0</v>
      </c>
      <c r="AY2720" s="0" t="n">
        <f aca="false">COUNTIF(DU2720:EH2720, "&lt;&gt;")</f>
        <v>0</v>
      </c>
      <c r="AZ2720" s="0" t="n">
        <f aca="false">IF(EH2720&lt;&gt;"",1,0)</f>
        <v>0</v>
      </c>
      <c r="BB2720" s="0" t="s">
        <v>153</v>
      </c>
    </row>
    <row r="2721" customFormat="false" ht="13.8" hidden="false" customHeight="false" outlineLevel="0" collapsed="false">
      <c r="A2721" s="0" t="s">
        <v>11573</v>
      </c>
      <c r="B2721" s="0" t="n">
        <v>78</v>
      </c>
      <c r="C2721" s="0" t="n">
        <v>462325</v>
      </c>
      <c r="D2721" s="0" t="s">
        <v>11574</v>
      </c>
      <c r="E2721" s="0" t="s">
        <v>3440</v>
      </c>
      <c r="F2721" s="0" t="str">
        <f aca="false">CONCATENATE(D2721," ",LEFT(H2721,4),"T=",AU2721,"D=",AV2721,"R=",AW2721,"M=",AX2721,"L=",AY2721,"B=",AZ2721)</f>
        <v>BELICH T=1D=0R=0M=0L=2B=0</v>
      </c>
      <c r="G2721" s="0" t="s">
        <v>297</v>
      </c>
      <c r="I2721" s="0" t="s">
        <v>11575</v>
      </c>
      <c r="J2721" s="0" t="s">
        <v>2408</v>
      </c>
      <c r="K2721" s="0" t="s">
        <v>175</v>
      </c>
      <c r="L2721" s="1" t="s">
        <v>176</v>
      </c>
      <c r="M2721" s="0" t="s">
        <v>11541</v>
      </c>
      <c r="N2721" s="0" t="str">
        <f aca="false">RIGHT(M2721,LEN(M2721)-FIND(" ",M2721))</f>
        <v>WASHINGTON ST NW</v>
      </c>
      <c r="P2721" s="0" t="s">
        <v>146</v>
      </c>
      <c r="Q2721" s="0" t="s">
        <v>147</v>
      </c>
      <c r="R2721" s="0" t="n">
        <v>44483</v>
      </c>
      <c r="AD2721" s="0" t="s">
        <v>148</v>
      </c>
      <c r="AE2721" s="0" t="s">
        <v>149</v>
      </c>
      <c r="AF2721" s="0" t="s">
        <v>150</v>
      </c>
      <c r="AH2721" s="0" t="n">
        <v>14</v>
      </c>
      <c r="AI2721" s="0" t="n">
        <v>11</v>
      </c>
      <c r="AN2721" s="0" t="s">
        <v>146</v>
      </c>
      <c r="AO2721" s="0" t="s">
        <v>151</v>
      </c>
      <c r="AP2721" s="0" t="s">
        <v>152</v>
      </c>
      <c r="AQ2721" s="0" t="n">
        <v>9</v>
      </c>
      <c r="AR2721" s="0" t="n">
        <v>64</v>
      </c>
      <c r="AS2721" s="0" t="n">
        <v>32</v>
      </c>
      <c r="AU2721" s="0" t="n">
        <f aca="false">COUNTA($BA$1330:$EH$1330)</f>
        <v>1</v>
      </c>
      <c r="AV2721" s="0" t="n">
        <f aca="false">COUNTIF($BA$1330:$EH$1330,"D")</f>
        <v>0</v>
      </c>
      <c r="AW2721" s="0" t="n">
        <f aca="false">COUNTIF($BA$1330:$EH$1330,"R")</f>
        <v>0</v>
      </c>
      <c r="AX2721" s="0" t="n">
        <f aca="false">IF(BN2721="D",1,0)+IF(BO2721="D",1,0)+IF(BT2721="D",1,0)+IF(BU2721="D",1,0)+IF(BW2721="D",1,0)+IF(CC2721="D",1,0)+IF(CD2721="D",1,0)+IF(CE2721="D",1,0)+IF(CF2721="D",1,0)+IF(CL2721="D",1,0)+IF(CM2721="D",1,0)+IF(CQ2721="D",1,0)+IF(CR2721="D",1,0)+IF(CS2721="D",1,0)+IF(CW2721="D",1,0)+IF(CX2721="D",1,0)+IF(DD2721="D",1,0)+IF(DE2721="D",1,0)+IF(DJ2721="D",1,0)+IF(DK2721="D",1,0)+IF(DO2721="D",1,0)+IF(DP2721="D",1,0)+IF(DQ2721="D",1,0)+IF(DW2721="D",1,0)+IF(DZ2721="D",1,0)+IF(EH2721="D",1,0)</f>
        <v>0</v>
      </c>
      <c r="AY2721" s="0" t="n">
        <f aca="false">COUNTIF(DU2721:EH2721, "&lt;&gt;")</f>
        <v>2</v>
      </c>
      <c r="AZ2721" s="0" t="n">
        <f aca="false">IF(EH2721&lt;&gt;"",1,0)</f>
        <v>0</v>
      </c>
      <c r="BB2721" s="0" t="s">
        <v>153</v>
      </c>
      <c r="CP2721" s="0" t="s">
        <v>154</v>
      </c>
      <c r="DN2721" s="0" t="s">
        <v>154</v>
      </c>
      <c r="DS2721" s="0" t="s">
        <v>176</v>
      </c>
      <c r="DU2721" s="0" t="s">
        <v>154</v>
      </c>
      <c r="EF2721" s="0" t="s">
        <v>154</v>
      </c>
    </row>
    <row r="2722" customFormat="false" ht="13.8" hidden="false" customHeight="false" outlineLevel="0" collapsed="false">
      <c r="A2722" s="0" t="s">
        <v>11576</v>
      </c>
      <c r="B2722" s="0" t="n">
        <v>78</v>
      </c>
      <c r="C2722" s="0" t="n">
        <v>489107</v>
      </c>
      <c r="D2722" s="0" t="s">
        <v>2248</v>
      </c>
      <c r="E2722" s="0" t="s">
        <v>277</v>
      </c>
      <c r="F2722" s="0" t="str">
        <f aca="false">CONCATENATE(D2722," ",LEFT(H2722,4),"T=",AU2722,"D=",AV2722,"R=",AW2722,"M=",AX2722,"L=",AY2722,"B=",AZ2722)</f>
        <v>COX T=9D=1R=0M=0L=2B=1</v>
      </c>
      <c r="G2722" s="0" t="s">
        <v>188</v>
      </c>
      <c r="I2722" s="0" t="s">
        <v>11577</v>
      </c>
      <c r="J2722" s="0" t="s">
        <v>1309</v>
      </c>
      <c r="K2722" s="0" t="s">
        <v>175</v>
      </c>
      <c r="M2722" s="0" t="s">
        <v>11541</v>
      </c>
      <c r="N2722" s="0" t="str">
        <f aca="false">RIGHT(M2722,LEN(M2722)-FIND(" ",M2722))</f>
        <v>WASHINGTON ST NW</v>
      </c>
      <c r="P2722" s="0" t="s">
        <v>146</v>
      </c>
      <c r="Q2722" s="0" t="s">
        <v>147</v>
      </c>
      <c r="R2722" s="0" t="n">
        <v>44483</v>
      </c>
      <c r="AD2722" s="0" t="s">
        <v>148</v>
      </c>
      <c r="AE2722" s="0" t="s">
        <v>149</v>
      </c>
      <c r="AF2722" s="0" t="s">
        <v>150</v>
      </c>
      <c r="AH2722" s="0" t="n">
        <v>14</v>
      </c>
      <c r="AI2722" s="0" t="n">
        <v>11</v>
      </c>
      <c r="AN2722" s="0" t="s">
        <v>146</v>
      </c>
      <c r="AO2722" s="0" t="s">
        <v>151</v>
      </c>
      <c r="AP2722" s="0" t="s">
        <v>152</v>
      </c>
      <c r="AQ2722" s="0" t="n">
        <v>9</v>
      </c>
      <c r="AR2722" s="0" t="n">
        <v>64</v>
      </c>
      <c r="AS2722" s="0" t="n">
        <v>32</v>
      </c>
      <c r="AU2722" s="0" t="n">
        <f aca="false">COUNTA($BA$1407:$EH$1407)</f>
        <v>9</v>
      </c>
      <c r="AV2722" s="0" t="n">
        <f aca="false">COUNTIF($BA$1407:$EH$1407,"D")</f>
        <v>1</v>
      </c>
      <c r="AW2722" s="0" t="n">
        <f aca="false">COUNTIF($BA$1407:$EH$1407,"R")</f>
        <v>0</v>
      </c>
      <c r="AX2722" s="0" t="n">
        <f aca="false">IF(BN2722="D",1,0)+IF(BO2722="D",1,0)+IF(BT2722="D",1,0)+IF(BU2722="D",1,0)+IF(BW2722="D",1,0)+IF(CC2722="D",1,0)+IF(CD2722="D",1,0)+IF(CE2722="D",1,0)+IF(CF2722="D",1,0)+IF(CL2722="D",1,0)+IF(CM2722="D",1,0)+IF(CQ2722="D",1,0)+IF(CR2722="D",1,0)+IF(CS2722="D",1,0)+IF(CW2722="D",1,0)+IF(CX2722="D",1,0)+IF(DD2722="D",1,0)+IF(DE2722="D",1,0)+IF(DJ2722="D",1,0)+IF(DK2722="D",1,0)+IF(DO2722="D",1,0)+IF(DP2722="D",1,0)+IF(DQ2722="D",1,0)+IF(DW2722="D",1,0)+IF(DZ2722="D",1,0)+IF(EH2722="D",1,0)</f>
        <v>0</v>
      </c>
      <c r="AY2722" s="0" t="n">
        <f aca="false">COUNTIF(DU2722:EH2722, "&lt;&gt;")</f>
        <v>2</v>
      </c>
      <c r="AZ2722" s="0" t="n">
        <f aca="false">IF(EH2722&lt;&gt;"",1,0)</f>
        <v>1</v>
      </c>
      <c r="BB2722" s="0" t="s">
        <v>153</v>
      </c>
      <c r="BY2722" s="0" t="s">
        <v>155</v>
      </c>
      <c r="EF2722" s="0" t="s">
        <v>154</v>
      </c>
      <c r="EH2722" s="0" t="s">
        <v>154</v>
      </c>
    </row>
    <row r="2723" customFormat="false" ht="13.8" hidden="true" customHeight="false" outlineLevel="0" collapsed="false">
      <c r="A2723" s="0" t="s">
        <v>11578</v>
      </c>
      <c r="B2723" s="0" t="n">
        <v>78</v>
      </c>
      <c r="C2723" s="0" t="n">
        <v>223610</v>
      </c>
      <c r="D2723" s="0" t="s">
        <v>5916</v>
      </c>
      <c r="E2723" s="0" t="s">
        <v>1374</v>
      </c>
      <c r="F2723" s="0" t="str">
        <f aca="false">CONCATENATE(D2723," ",LEFT(H2723,4),"T=",AU2723,"D=",AV2723,"R=",AW2723,"M=",AX2723,"L=",AY2723,"B=",AZ2723)</f>
        <v>ALLISON IIT=1D=0R=0M=0L=1B=0</v>
      </c>
      <c r="G2723" s="0" t="s">
        <v>365</v>
      </c>
      <c r="H2723" s="0" t="s">
        <v>598</v>
      </c>
      <c r="I2723" s="0" t="s">
        <v>11579</v>
      </c>
      <c r="J2723" s="0" t="s">
        <v>1309</v>
      </c>
      <c r="K2723" s="0" t="s">
        <v>175</v>
      </c>
      <c r="L2723" s="0"/>
      <c r="M2723" s="0" t="s">
        <v>11541</v>
      </c>
      <c r="N2723" s="0" t="str">
        <f aca="false">RIGHT(M2723,LEN(M2723)-FIND(" ",M2723))</f>
        <v>WASHINGTON ST NW</v>
      </c>
      <c r="P2723" s="0" t="s">
        <v>146</v>
      </c>
      <c r="Q2723" s="0" t="s">
        <v>147</v>
      </c>
      <c r="R2723" s="0" t="n">
        <v>44483</v>
      </c>
      <c r="AD2723" s="0" t="s">
        <v>148</v>
      </c>
      <c r="AE2723" s="0" t="s">
        <v>149</v>
      </c>
      <c r="AF2723" s="0" t="s">
        <v>150</v>
      </c>
      <c r="AH2723" s="0" t="n">
        <v>14</v>
      </c>
      <c r="AI2723" s="0" t="n">
        <v>11</v>
      </c>
      <c r="AN2723" s="0" t="s">
        <v>146</v>
      </c>
      <c r="AO2723" s="0" t="s">
        <v>151</v>
      </c>
      <c r="AP2723" s="0" t="s">
        <v>152</v>
      </c>
      <c r="AQ2723" s="0" t="n">
        <v>9</v>
      </c>
      <c r="AR2723" s="0" t="n">
        <v>64</v>
      </c>
      <c r="AS2723" s="0" t="n">
        <v>32</v>
      </c>
      <c r="AU2723" s="0" t="n">
        <f aca="false">COUNTA($BA$1442:$EH$1442)</f>
        <v>1</v>
      </c>
      <c r="AV2723" s="0" t="n">
        <f aca="false">COUNTIF($BA$1442:$EH$1442,"D")</f>
        <v>0</v>
      </c>
      <c r="AW2723" s="0" t="n">
        <f aca="false">COUNTIF($BA$1442:$EH$1442,"R")</f>
        <v>0</v>
      </c>
      <c r="AX2723" s="0" t="n">
        <f aca="false">IF(BN2723="D",1,0)+IF(BO2723="D",1,0)+IF(BT2723="D",1,0)+IF(BU2723="D",1,0)+IF(BW2723="D",1,0)+IF(CC2723="D",1,0)+IF(CD2723="D",1,0)+IF(CE2723="D",1,0)+IF(CF2723="D",1,0)+IF(CL2723="D",1,0)+IF(CM2723="D",1,0)+IF(CQ2723="D",1,0)+IF(CR2723="D",1,0)+IF(CS2723="D",1,0)+IF(CW2723="D",1,0)+IF(CX2723="D",1,0)+IF(DD2723="D",1,0)+IF(DE2723="D",1,0)+IF(DJ2723="D",1,0)+IF(DK2723="D",1,0)+IF(DO2723="D",1,0)+IF(DP2723="D",1,0)+IF(DQ2723="D",1,0)+IF(DW2723="D",1,0)+IF(DZ2723="D",1,0)+IF(EH2723="D",1,0)</f>
        <v>0</v>
      </c>
      <c r="AY2723" s="0" t="n">
        <f aca="false">COUNTIF(DU2723:EH2723, "&lt;&gt;")</f>
        <v>1</v>
      </c>
      <c r="AZ2723" s="0" t="n">
        <f aca="false">IF(EH2723&lt;&gt;"",1,0)</f>
        <v>0</v>
      </c>
      <c r="BB2723" s="0" t="s">
        <v>153</v>
      </c>
      <c r="BC2723" s="0" t="s">
        <v>154</v>
      </c>
      <c r="BD2723" s="0" t="s">
        <v>154</v>
      </c>
      <c r="BI2723" s="0" t="s">
        <v>154</v>
      </c>
      <c r="BL2723" s="0" t="s">
        <v>154</v>
      </c>
      <c r="CG2723" s="0" t="s">
        <v>154</v>
      </c>
      <c r="CN2723" s="0" t="s">
        <v>154</v>
      </c>
      <c r="CO2723" s="0" t="s">
        <v>155</v>
      </c>
      <c r="CP2723" s="0" t="s">
        <v>154</v>
      </c>
      <c r="CT2723" s="0" t="s">
        <v>154</v>
      </c>
      <c r="CU2723" s="0" t="s">
        <v>155</v>
      </c>
      <c r="CZ2723" s="0" t="s">
        <v>176</v>
      </c>
      <c r="DC2723" s="0" t="s">
        <v>154</v>
      </c>
      <c r="DF2723" s="0" t="s">
        <v>154</v>
      </c>
      <c r="DG2723" s="0" t="s">
        <v>176</v>
      </c>
      <c r="EF2723" s="0" t="s">
        <v>154</v>
      </c>
    </row>
    <row r="2724" customFormat="false" ht="13.8" hidden="true" customHeight="false" outlineLevel="0" collapsed="false">
      <c r="A2724" s="0" t="s">
        <v>11580</v>
      </c>
      <c r="B2724" s="0" t="n">
        <v>78</v>
      </c>
      <c r="C2724" s="0" t="n">
        <v>489109</v>
      </c>
      <c r="D2724" s="0" t="s">
        <v>11581</v>
      </c>
      <c r="E2724" s="0" t="s">
        <v>277</v>
      </c>
      <c r="F2724" s="0" t="str">
        <f aca="false">CONCATENATE(D2724," ",LEFT(H2724,4),"T=",AU2724,"D=",AV2724,"R=",AW2724,"M=",AX2724,"L=",AY2724,"B=",AZ2724)</f>
        <v>CURRY T=52D=19R=0M=0L=1B=0</v>
      </c>
      <c r="G2724" s="0" t="s">
        <v>297</v>
      </c>
      <c r="I2724" s="0" t="s">
        <v>11582</v>
      </c>
      <c r="J2724" s="0" t="s">
        <v>1309</v>
      </c>
      <c r="K2724" s="0" t="s">
        <v>175</v>
      </c>
      <c r="L2724" s="0"/>
      <c r="M2724" s="0" t="s">
        <v>11541</v>
      </c>
      <c r="N2724" s="0" t="str">
        <f aca="false">RIGHT(M2724,LEN(M2724)-FIND(" ",M2724))</f>
        <v>WASHINGTON ST NW</v>
      </c>
      <c r="P2724" s="0" t="s">
        <v>146</v>
      </c>
      <c r="Q2724" s="0" t="s">
        <v>147</v>
      </c>
      <c r="R2724" s="0" t="n">
        <v>44483</v>
      </c>
      <c r="AD2724" s="0" t="s">
        <v>148</v>
      </c>
      <c r="AE2724" s="0" t="s">
        <v>149</v>
      </c>
      <c r="AF2724" s="0" t="s">
        <v>150</v>
      </c>
      <c r="AH2724" s="0" t="n">
        <v>14</v>
      </c>
      <c r="AI2724" s="0" t="n">
        <v>11</v>
      </c>
      <c r="AN2724" s="0" t="s">
        <v>146</v>
      </c>
      <c r="AO2724" s="0" t="s">
        <v>151</v>
      </c>
      <c r="AP2724" s="0" t="s">
        <v>152</v>
      </c>
      <c r="AQ2724" s="0" t="n">
        <v>9</v>
      </c>
      <c r="AR2724" s="0" t="n">
        <v>64</v>
      </c>
      <c r="AS2724" s="0" t="n">
        <v>32</v>
      </c>
      <c r="AU2724" s="0" t="n">
        <f aca="false">COUNTA($BA$1457:$EH$1457)</f>
        <v>52</v>
      </c>
      <c r="AV2724" s="0" t="n">
        <f aca="false">COUNTIF($BA$1457:$EH$1457,"D")</f>
        <v>19</v>
      </c>
      <c r="AW2724" s="0" t="n">
        <f aca="false">COUNTIF($BA$1457:$EH$1457,"R")</f>
        <v>0</v>
      </c>
      <c r="AX2724" s="0" t="n">
        <f aca="false">IF(BN2724="D",1,0)+IF(BO2724="D",1,0)+IF(BT2724="D",1,0)+IF(BU2724="D",1,0)+IF(BW2724="D",1,0)+IF(CC2724="D",1,0)+IF(CD2724="D",1,0)+IF(CE2724="D",1,0)+IF(CF2724="D",1,0)+IF(CL2724="D",1,0)+IF(CM2724="D",1,0)+IF(CQ2724="D",1,0)+IF(CR2724="D",1,0)+IF(CS2724="D",1,0)+IF(CW2724="D",1,0)+IF(CX2724="D",1,0)+IF(DD2724="D",1,0)+IF(DE2724="D",1,0)+IF(DJ2724="D",1,0)+IF(DK2724="D",1,0)+IF(DO2724="D",1,0)+IF(DP2724="D",1,0)+IF(DQ2724="D",1,0)+IF(DW2724="D",1,0)+IF(DZ2724="D",1,0)+IF(EH2724="D",1,0)</f>
        <v>0</v>
      </c>
      <c r="AY2724" s="0" t="n">
        <f aca="false">COUNTIF(DU2724:EH2724, "&lt;&gt;")</f>
        <v>1</v>
      </c>
      <c r="AZ2724" s="0" t="n">
        <f aca="false">IF(EH2724&lt;&gt;"",1,0)</f>
        <v>0</v>
      </c>
      <c r="BB2724" s="0" t="s">
        <v>153</v>
      </c>
      <c r="CN2724" s="0" t="s">
        <v>154</v>
      </c>
      <c r="CO2724" s="0" t="s">
        <v>155</v>
      </c>
      <c r="CP2724" s="0" t="s">
        <v>154</v>
      </c>
      <c r="EF2724" s="0" t="s">
        <v>154</v>
      </c>
    </row>
    <row r="2725" customFormat="false" ht="13.8" hidden="true" customHeight="false" outlineLevel="0" collapsed="false">
      <c r="A2725" s="0" t="s">
        <v>11583</v>
      </c>
      <c r="B2725" s="0" t="n">
        <v>78</v>
      </c>
      <c r="C2725" s="0" t="n">
        <v>2472</v>
      </c>
      <c r="D2725" s="0" t="s">
        <v>11584</v>
      </c>
      <c r="E2725" s="0" t="s">
        <v>283</v>
      </c>
      <c r="F2725" s="0" t="str">
        <f aca="false">CONCATENATE(D2725," ",LEFT(H2725,4),"T=",AU2725,"D=",AV2725,"R=",AW2725,"M=",AX2725,"L=",AY2725,"B=",AZ2725)</f>
        <v>KEOSKEY T=4D=2R=0M=1L=0B=0</v>
      </c>
      <c r="G2725" s="0" t="s">
        <v>514</v>
      </c>
      <c r="I2725" s="0" t="s">
        <v>11585</v>
      </c>
      <c r="J2725" s="0" t="s">
        <v>11586</v>
      </c>
      <c r="K2725" s="0" t="s">
        <v>175</v>
      </c>
      <c r="L2725" s="0"/>
      <c r="M2725" s="0" t="s">
        <v>11541</v>
      </c>
      <c r="N2725" s="0" t="str">
        <f aca="false">RIGHT(M2725,LEN(M2725)-FIND(" ",M2725))</f>
        <v>WASHINGTON ST NW</v>
      </c>
      <c r="P2725" s="0" t="s">
        <v>146</v>
      </c>
      <c r="Q2725" s="0" t="s">
        <v>147</v>
      </c>
      <c r="R2725" s="0" t="n">
        <v>44483</v>
      </c>
      <c r="AD2725" s="0" t="s">
        <v>148</v>
      </c>
      <c r="AE2725" s="0" t="s">
        <v>149</v>
      </c>
      <c r="AF2725" s="0" t="s">
        <v>150</v>
      </c>
      <c r="AH2725" s="0" t="n">
        <v>14</v>
      </c>
      <c r="AI2725" s="0" t="n">
        <v>11</v>
      </c>
      <c r="AN2725" s="0" t="s">
        <v>146</v>
      </c>
      <c r="AO2725" s="0" t="s">
        <v>151</v>
      </c>
      <c r="AP2725" s="0" t="s">
        <v>152</v>
      </c>
      <c r="AQ2725" s="0" t="n">
        <v>9</v>
      </c>
      <c r="AR2725" s="0" t="n">
        <v>64</v>
      </c>
      <c r="AS2725" s="0" t="n">
        <v>32</v>
      </c>
      <c r="AU2725" s="0" t="n">
        <f aca="false">COUNTA($BA$1487:$EH$1487)</f>
        <v>4</v>
      </c>
      <c r="AV2725" s="0" t="n">
        <f aca="false">COUNTIF($BA$1487:$EH$1487,"D")</f>
        <v>2</v>
      </c>
      <c r="AW2725" s="0" t="n">
        <f aca="false">COUNTIF($BA$1487:$EH$1487,"R")</f>
        <v>0</v>
      </c>
      <c r="AX2725" s="0" t="n">
        <f aca="false">IF(BN2725="D",1,0)+IF(BO2725="D",1,0)+IF(BT2725="D",1,0)+IF(BU2725="D",1,0)+IF(BW2725="D",1,0)+IF(CC2725="D",1,0)+IF(CD2725="D",1,0)+IF(CE2725="D",1,0)+IF(CF2725="D",1,0)+IF(CL2725="D",1,0)+IF(CM2725="D",1,0)+IF(CQ2725="D",1,0)+IF(CR2725="D",1,0)+IF(CS2725="D",1,0)+IF(CW2725="D",1,0)+IF(CX2725="D",1,0)+IF(DD2725="D",1,0)+IF(DE2725="D",1,0)+IF(DJ2725="D",1,0)+IF(DK2725="D",1,0)+IF(DO2725="D",1,0)+IF(DP2725="D",1,0)+IF(DQ2725="D",1,0)+IF(DW2725="D",1,0)+IF(DZ2725="D",1,0)+IF(EH2725="D",1,0)</f>
        <v>1</v>
      </c>
      <c r="AY2725" s="0" t="n">
        <f aca="false">COUNTIF(DU2725:EH2725, "&lt;&gt;")</f>
        <v>0</v>
      </c>
      <c r="AZ2725" s="0" t="n">
        <f aca="false">IF(EH2725&lt;&gt;"",1,0)</f>
        <v>0</v>
      </c>
      <c r="BB2725" s="0" t="s">
        <v>153</v>
      </c>
      <c r="BD2725" s="0" t="s">
        <v>154</v>
      </c>
      <c r="BF2725" s="0" t="s">
        <v>154</v>
      </c>
      <c r="BG2725" s="0" t="s">
        <v>154</v>
      </c>
      <c r="BH2725" s="0" t="s">
        <v>154</v>
      </c>
      <c r="BI2725" s="0" t="s">
        <v>154</v>
      </c>
      <c r="BJ2725" s="0" t="s">
        <v>154</v>
      </c>
      <c r="BK2725" s="0" t="s">
        <v>154</v>
      </c>
      <c r="BL2725" s="0" t="s">
        <v>154</v>
      </c>
      <c r="BR2725" s="0" t="s">
        <v>154</v>
      </c>
      <c r="BS2725" s="0" t="s">
        <v>154</v>
      </c>
      <c r="BY2725" s="0" t="s">
        <v>155</v>
      </c>
      <c r="CA2725" s="0" t="s">
        <v>154</v>
      </c>
      <c r="CG2725" s="0" t="s">
        <v>154</v>
      </c>
      <c r="CK2725" s="0" t="s">
        <v>154</v>
      </c>
      <c r="CL2725" s="0" t="s">
        <v>155</v>
      </c>
      <c r="CN2725" s="0" t="s">
        <v>154</v>
      </c>
      <c r="CO2725" s="0" t="s">
        <v>155</v>
      </c>
      <c r="CP2725" s="0" t="s">
        <v>154</v>
      </c>
      <c r="CU2725" s="0" t="s">
        <v>155</v>
      </c>
      <c r="CV2725" s="0" t="s">
        <v>154</v>
      </c>
      <c r="DC2725" s="0" t="s">
        <v>154</v>
      </c>
    </row>
    <row r="2726" customFormat="false" ht="13.8" hidden="false" customHeight="false" outlineLevel="0" collapsed="false">
      <c r="A2726" s="0" t="s">
        <v>11587</v>
      </c>
      <c r="B2726" s="0" t="n">
        <v>78</v>
      </c>
      <c r="C2726" s="0" t="n">
        <v>481080</v>
      </c>
      <c r="D2726" s="0" t="s">
        <v>1582</v>
      </c>
      <c r="E2726" s="0" t="s">
        <v>1040</v>
      </c>
      <c r="F2726" s="0" t="str">
        <f aca="false">CONCATENATE(D2726," ",LEFT(H2726,4),"T=",AU2726,"D=",AV2726,"R=",AW2726,"M=",AX2726,"L=",AY2726,"B=",AZ2726)</f>
        <v>SMITH T=3D=0R=0M=7L=2B=0</v>
      </c>
      <c r="I2726" s="0" t="s">
        <v>11588</v>
      </c>
      <c r="J2726" s="0" t="s">
        <v>5845</v>
      </c>
      <c r="K2726" s="0" t="s">
        <v>175</v>
      </c>
      <c r="L2726" s="1" t="s">
        <v>155</v>
      </c>
      <c r="M2726" s="0" t="s">
        <v>11541</v>
      </c>
      <c r="N2726" s="0" t="str">
        <f aca="false">RIGHT(M2726,LEN(M2726)-FIND(" ",M2726))</f>
        <v>WASHINGTON ST NW</v>
      </c>
      <c r="P2726" s="0" t="s">
        <v>146</v>
      </c>
      <c r="Q2726" s="0" t="s">
        <v>147</v>
      </c>
      <c r="R2726" s="0" t="n">
        <v>44483</v>
      </c>
      <c r="AD2726" s="0" t="s">
        <v>148</v>
      </c>
      <c r="AE2726" s="0" t="s">
        <v>149</v>
      </c>
      <c r="AF2726" s="0" t="s">
        <v>150</v>
      </c>
      <c r="AH2726" s="0" t="n">
        <v>14</v>
      </c>
      <c r="AI2726" s="0" t="n">
        <v>11</v>
      </c>
      <c r="AN2726" s="0" t="s">
        <v>146</v>
      </c>
      <c r="AO2726" s="0" t="s">
        <v>151</v>
      </c>
      <c r="AP2726" s="0" t="s">
        <v>152</v>
      </c>
      <c r="AQ2726" s="0" t="n">
        <v>9</v>
      </c>
      <c r="AR2726" s="0" t="n">
        <v>64</v>
      </c>
      <c r="AS2726" s="0" t="n">
        <v>32</v>
      </c>
      <c r="AU2726" s="0" t="n">
        <f aca="false">COUNTA($BA$1500:$EH$1500)</f>
        <v>3</v>
      </c>
      <c r="AV2726" s="0" t="n">
        <f aca="false">COUNTIF($BA$1500:$EH$1500,"D")</f>
        <v>0</v>
      </c>
      <c r="AW2726" s="0" t="n">
        <f aca="false">COUNTIF($BA$1500:$EH$1500,"R")</f>
        <v>0</v>
      </c>
      <c r="AX2726" s="0" t="n">
        <f aca="false">IF(BN2726="D",1,0)+IF(BO2726="D",1,0)+IF(BT2726="D",1,0)+IF(BU2726="D",1,0)+IF(BW2726="D",1,0)+IF(CC2726="D",1,0)+IF(CD2726="D",1,0)+IF(CE2726="D",1,0)+IF(CF2726="D",1,0)+IF(CL2726="D",1,0)+IF(CM2726="D",1,0)+IF(CQ2726="D",1,0)+IF(CR2726="D",1,0)+IF(CS2726="D",1,0)+IF(CW2726="D",1,0)+IF(CX2726="D",1,0)+IF(DD2726="D",1,0)+IF(DE2726="D",1,0)+IF(DJ2726="D",1,0)+IF(DK2726="D",1,0)+IF(DO2726="D",1,0)+IF(DP2726="D",1,0)+IF(DQ2726="D",1,0)+IF(DW2726="D",1,0)+IF(DZ2726="D",1,0)+IF(EH2726="D",1,0)</f>
        <v>7</v>
      </c>
      <c r="AY2726" s="0" t="n">
        <f aca="false">COUNTIF(DU2726:EH2726, "&lt;&gt;")</f>
        <v>2</v>
      </c>
      <c r="AZ2726" s="0" t="n">
        <f aca="false">IF(EH2726&lt;&gt;"",1,0)</f>
        <v>0</v>
      </c>
      <c r="BB2726" s="0" t="s">
        <v>153</v>
      </c>
      <c r="BE2726" s="0" t="s">
        <v>155</v>
      </c>
      <c r="BF2726" s="0" t="s">
        <v>154</v>
      </c>
      <c r="BG2726" s="0" t="s">
        <v>155</v>
      </c>
      <c r="BH2726" s="0" t="s">
        <v>154</v>
      </c>
      <c r="BI2726" s="0" t="s">
        <v>155</v>
      </c>
      <c r="BJ2726" s="0" t="s">
        <v>154</v>
      </c>
      <c r="BK2726" s="0" t="s">
        <v>155</v>
      </c>
      <c r="BL2726" s="0" t="s">
        <v>154</v>
      </c>
      <c r="BN2726" s="0" t="s">
        <v>155</v>
      </c>
      <c r="BP2726" s="0" t="s">
        <v>154</v>
      </c>
      <c r="BR2726" s="0" t="s">
        <v>155</v>
      </c>
      <c r="BS2726" s="0" t="s">
        <v>154</v>
      </c>
      <c r="BT2726" s="0" t="s">
        <v>155</v>
      </c>
      <c r="BV2726" s="0" t="s">
        <v>154</v>
      </c>
      <c r="BY2726" s="0" t="s">
        <v>155</v>
      </c>
      <c r="CA2726" s="0" t="s">
        <v>154</v>
      </c>
      <c r="CC2726" s="0" t="s">
        <v>155</v>
      </c>
      <c r="CG2726" s="0" t="s">
        <v>154</v>
      </c>
      <c r="CH2726" s="0" t="s">
        <v>155</v>
      </c>
      <c r="CK2726" s="0" t="s">
        <v>154</v>
      </c>
      <c r="CN2726" s="0" t="s">
        <v>154</v>
      </c>
      <c r="CP2726" s="0" t="s">
        <v>154</v>
      </c>
      <c r="CQ2726" s="0" t="s">
        <v>155</v>
      </c>
      <c r="CT2726" s="0" t="s">
        <v>154</v>
      </c>
      <c r="CU2726" s="0" t="s">
        <v>155</v>
      </c>
      <c r="CV2726" s="0" t="s">
        <v>154</v>
      </c>
      <c r="CW2726" s="0" t="s">
        <v>155</v>
      </c>
      <c r="CY2726" s="0" t="s">
        <v>154</v>
      </c>
      <c r="CZ2726" s="0" t="s">
        <v>155</v>
      </c>
      <c r="DC2726" s="0" t="s">
        <v>154</v>
      </c>
      <c r="DD2726" s="0" t="s">
        <v>155</v>
      </c>
      <c r="DF2726" s="0" t="s">
        <v>154</v>
      </c>
      <c r="DG2726" s="0" t="s">
        <v>155</v>
      </c>
      <c r="DI2726" s="0" t="s">
        <v>154</v>
      </c>
      <c r="DJ2726" s="0" t="s">
        <v>155</v>
      </c>
      <c r="DL2726" s="0" t="s">
        <v>154</v>
      </c>
      <c r="DN2726" s="0" t="s">
        <v>154</v>
      </c>
      <c r="ED2726" s="0" t="s">
        <v>155</v>
      </c>
      <c r="EF2726" s="0" t="s">
        <v>154</v>
      </c>
    </row>
    <row r="2727" customFormat="false" ht="13.8" hidden="false" customHeight="false" outlineLevel="0" collapsed="false">
      <c r="A2727" s="0" t="s">
        <v>11589</v>
      </c>
      <c r="B2727" s="0" t="n">
        <v>78</v>
      </c>
      <c r="C2727" s="0" t="n">
        <v>286034</v>
      </c>
      <c r="D2727" s="0" t="s">
        <v>1582</v>
      </c>
      <c r="E2727" s="0" t="s">
        <v>11590</v>
      </c>
      <c r="F2727" s="0" t="str">
        <f aca="false">CONCATENATE(D2727," ",LEFT(H2727,4),"T=",AU2727,"D=",AV2727,"R=",AW2727,"M=",AX2727,"L=",AY2727,"B=",AZ2727)</f>
        <v>SMITH T=18D=4R=0M=0L=3B=0</v>
      </c>
      <c r="I2727" s="0" t="s">
        <v>11591</v>
      </c>
      <c r="J2727" s="0" t="s">
        <v>5845</v>
      </c>
      <c r="K2727" s="0" t="s">
        <v>175</v>
      </c>
      <c r="L2727" s="1" t="s">
        <v>155</v>
      </c>
      <c r="M2727" s="0" t="s">
        <v>11541</v>
      </c>
      <c r="N2727" s="0" t="str">
        <f aca="false">RIGHT(M2727,LEN(M2727)-FIND(" ",M2727))</f>
        <v>WASHINGTON ST NW</v>
      </c>
      <c r="P2727" s="0" t="s">
        <v>146</v>
      </c>
      <c r="Q2727" s="0" t="s">
        <v>147</v>
      </c>
      <c r="R2727" s="0" t="n">
        <v>44483</v>
      </c>
      <c r="AD2727" s="0" t="s">
        <v>148</v>
      </c>
      <c r="AE2727" s="0" t="s">
        <v>149</v>
      </c>
      <c r="AF2727" s="0" t="s">
        <v>150</v>
      </c>
      <c r="AH2727" s="0" t="n">
        <v>14</v>
      </c>
      <c r="AI2727" s="0" t="n">
        <v>11</v>
      </c>
      <c r="AN2727" s="0" t="s">
        <v>146</v>
      </c>
      <c r="AO2727" s="0" t="s">
        <v>151</v>
      </c>
      <c r="AP2727" s="0" t="s">
        <v>152</v>
      </c>
      <c r="AQ2727" s="0" t="n">
        <v>9</v>
      </c>
      <c r="AR2727" s="0" t="n">
        <v>64</v>
      </c>
      <c r="AS2727" s="0" t="n">
        <v>32</v>
      </c>
      <c r="AU2727" s="0" t="n">
        <f aca="false">COUNTA($BA$1504:$EH$1504)</f>
        <v>18</v>
      </c>
      <c r="AV2727" s="0" t="n">
        <f aca="false">COUNTIF($BA$1504:$EH$1504,"D")</f>
        <v>4</v>
      </c>
      <c r="AW2727" s="0" t="n">
        <f aca="false">COUNTIF($BA$1504:$EH$1504,"R")</f>
        <v>0</v>
      </c>
      <c r="AX2727" s="0" t="n">
        <f aca="false">IF(BN2727="D",1,0)+IF(BO2727="D",1,0)+IF(BT2727="D",1,0)+IF(BU2727="D",1,0)+IF(BW2727="D",1,0)+IF(CC2727="D",1,0)+IF(CD2727="D",1,0)+IF(CE2727="D",1,0)+IF(CF2727="D",1,0)+IF(CL2727="D",1,0)+IF(CM2727="D",1,0)+IF(CQ2727="D",1,0)+IF(CR2727="D",1,0)+IF(CS2727="D",1,0)+IF(CW2727="D",1,0)+IF(CX2727="D",1,0)+IF(DD2727="D",1,0)+IF(DE2727="D",1,0)+IF(DJ2727="D",1,0)+IF(DK2727="D",1,0)+IF(DO2727="D",1,0)+IF(DP2727="D",1,0)+IF(DQ2727="D",1,0)+IF(DW2727="D",1,0)+IF(DZ2727="D",1,0)+IF(EH2727="D",1,0)</f>
        <v>0</v>
      </c>
      <c r="AY2727" s="0" t="n">
        <f aca="false">COUNTIF(DU2727:EH2727, "&lt;&gt;")</f>
        <v>3</v>
      </c>
      <c r="AZ2727" s="0" t="n">
        <f aca="false">IF(EH2727&lt;&gt;"",1,0)</f>
        <v>0</v>
      </c>
      <c r="BB2727" s="0" t="s">
        <v>153</v>
      </c>
      <c r="BD2727" s="0" t="s">
        <v>154</v>
      </c>
      <c r="BE2727" s="0" t="s">
        <v>154</v>
      </c>
      <c r="BF2727" s="0" t="s">
        <v>154</v>
      </c>
      <c r="BH2727" s="0" t="s">
        <v>154</v>
      </c>
      <c r="BI2727" s="0" t="s">
        <v>154</v>
      </c>
      <c r="BL2727" s="0" t="s">
        <v>154</v>
      </c>
      <c r="BR2727" s="0" t="s">
        <v>154</v>
      </c>
      <c r="BS2727" s="0" t="s">
        <v>154</v>
      </c>
      <c r="BV2727" s="0" t="s">
        <v>154</v>
      </c>
      <c r="BY2727" s="0" t="s">
        <v>155</v>
      </c>
      <c r="CA2727" s="0" t="s">
        <v>154</v>
      </c>
      <c r="CK2727" s="0" t="s">
        <v>154</v>
      </c>
      <c r="CN2727" s="0" t="s">
        <v>154</v>
      </c>
      <c r="CP2727" s="0" t="s">
        <v>154</v>
      </c>
      <c r="CV2727" s="0" t="s">
        <v>154</v>
      </c>
      <c r="CZ2727" s="0" t="s">
        <v>155</v>
      </c>
      <c r="DC2727" s="0" t="s">
        <v>154</v>
      </c>
      <c r="DI2727" s="0" t="s">
        <v>154</v>
      </c>
      <c r="DM2727" s="0" t="s">
        <v>155</v>
      </c>
      <c r="DN2727" s="0" t="s">
        <v>154</v>
      </c>
      <c r="DU2727" s="0" t="s">
        <v>154</v>
      </c>
      <c r="ED2727" s="0" t="s">
        <v>155</v>
      </c>
      <c r="EF2727" s="0" t="s">
        <v>154</v>
      </c>
    </row>
    <row r="2728" customFormat="false" ht="13.8" hidden="false" customHeight="false" outlineLevel="0" collapsed="false">
      <c r="A2728" s="0" t="s">
        <v>11592</v>
      </c>
      <c r="B2728" s="0" t="n">
        <v>78</v>
      </c>
      <c r="C2728" s="0" t="n">
        <v>71369</v>
      </c>
      <c r="D2728" s="0" t="s">
        <v>11593</v>
      </c>
      <c r="E2728" s="0" t="s">
        <v>694</v>
      </c>
      <c r="F2728" s="0" t="str">
        <f aca="false">CONCATENATE(D2728," ",LEFT(H2728,4),"T=",AU2728,"D=",AV2728,"R=",AW2728,"M=",AX2728,"L=",AY2728,"B=",AZ2728)</f>
        <v>SPRAGUE T=9D=1R=0M=0L=2B=0</v>
      </c>
      <c r="G2728" s="0" t="s">
        <v>196</v>
      </c>
      <c r="I2728" s="0" t="s">
        <v>11594</v>
      </c>
      <c r="J2728" s="0" t="s">
        <v>5845</v>
      </c>
      <c r="K2728" s="0" t="s">
        <v>175</v>
      </c>
      <c r="L2728" s="1" t="s">
        <v>155</v>
      </c>
      <c r="M2728" s="0" t="s">
        <v>11541</v>
      </c>
      <c r="N2728" s="0" t="str">
        <f aca="false">RIGHT(M2728,LEN(M2728)-FIND(" ",M2728))</f>
        <v>WASHINGTON ST NW</v>
      </c>
      <c r="P2728" s="0" t="s">
        <v>146</v>
      </c>
      <c r="Q2728" s="0" t="s">
        <v>147</v>
      </c>
      <c r="R2728" s="0" t="n">
        <v>44483</v>
      </c>
      <c r="AD2728" s="0" t="s">
        <v>148</v>
      </c>
      <c r="AE2728" s="0" t="s">
        <v>149</v>
      </c>
      <c r="AF2728" s="0" t="s">
        <v>150</v>
      </c>
      <c r="AH2728" s="0" t="n">
        <v>14</v>
      </c>
      <c r="AI2728" s="0" t="n">
        <v>11</v>
      </c>
      <c r="AN2728" s="0" t="s">
        <v>146</v>
      </c>
      <c r="AO2728" s="0" t="s">
        <v>151</v>
      </c>
      <c r="AP2728" s="0" t="s">
        <v>152</v>
      </c>
      <c r="AQ2728" s="0" t="n">
        <v>9</v>
      </c>
      <c r="AR2728" s="0" t="n">
        <v>64</v>
      </c>
      <c r="AS2728" s="0" t="n">
        <v>32</v>
      </c>
      <c r="AU2728" s="0" t="n">
        <f aca="false">COUNTA($BA$1505:$EH$1505)</f>
        <v>9</v>
      </c>
      <c r="AV2728" s="0" t="n">
        <f aca="false">COUNTIF($BA$1505:$EH$1505,"D")</f>
        <v>1</v>
      </c>
      <c r="AW2728" s="0" t="n">
        <f aca="false">COUNTIF($BA$1505:$EH$1505,"R")</f>
        <v>0</v>
      </c>
      <c r="AX2728" s="0" t="n">
        <f aca="false">IF(BN2728="D",1,0)+IF(BO2728="D",1,0)+IF(BT2728="D",1,0)+IF(BU2728="D",1,0)+IF(BW2728="D",1,0)+IF(CC2728="D",1,0)+IF(CD2728="D",1,0)+IF(CE2728="D",1,0)+IF(CF2728="D",1,0)+IF(CL2728="D",1,0)+IF(CM2728="D",1,0)+IF(CQ2728="D",1,0)+IF(CR2728="D",1,0)+IF(CS2728="D",1,0)+IF(CW2728="D",1,0)+IF(CX2728="D",1,0)+IF(DD2728="D",1,0)+IF(DE2728="D",1,0)+IF(DJ2728="D",1,0)+IF(DK2728="D",1,0)+IF(DO2728="D",1,0)+IF(DP2728="D",1,0)+IF(DQ2728="D",1,0)+IF(DW2728="D",1,0)+IF(DZ2728="D",1,0)+IF(EH2728="D",1,0)</f>
        <v>0</v>
      </c>
      <c r="AY2728" s="0" t="n">
        <f aca="false">COUNTIF(DU2728:EH2728, "&lt;&gt;")</f>
        <v>2</v>
      </c>
      <c r="AZ2728" s="0" t="n">
        <f aca="false">IF(EH2728&lt;&gt;"",1,0)</f>
        <v>0</v>
      </c>
      <c r="BB2728" s="0" t="s">
        <v>153</v>
      </c>
      <c r="BC2728" s="0" t="s">
        <v>154</v>
      </c>
      <c r="BD2728" s="0" t="s">
        <v>154</v>
      </c>
      <c r="BJ2728" s="0" t="s">
        <v>154</v>
      </c>
      <c r="BK2728" s="0" t="s">
        <v>154</v>
      </c>
      <c r="BL2728" s="0" t="s">
        <v>154</v>
      </c>
      <c r="BP2728" s="0" t="s">
        <v>154</v>
      </c>
      <c r="BS2728" s="0" t="s">
        <v>154</v>
      </c>
      <c r="BV2728" s="0" t="s">
        <v>154</v>
      </c>
      <c r="BY2728" s="0" t="s">
        <v>155</v>
      </c>
      <c r="CA2728" s="0" t="s">
        <v>154</v>
      </c>
      <c r="CG2728" s="0" t="s">
        <v>154</v>
      </c>
      <c r="CP2728" s="0" t="s">
        <v>154</v>
      </c>
      <c r="CQ2728" s="0" t="s">
        <v>154</v>
      </c>
      <c r="CT2728" s="0" t="s">
        <v>154</v>
      </c>
      <c r="CV2728" s="0" t="s">
        <v>154</v>
      </c>
      <c r="CY2728" s="0" t="s">
        <v>154</v>
      </c>
      <c r="CZ2728" s="0" t="s">
        <v>155</v>
      </c>
      <c r="DC2728" s="0" t="s">
        <v>154</v>
      </c>
      <c r="DF2728" s="0" t="s">
        <v>154</v>
      </c>
      <c r="DI2728" s="0" t="s">
        <v>154</v>
      </c>
      <c r="DJ2728" s="0" t="s">
        <v>154</v>
      </c>
      <c r="DL2728" s="0" t="s">
        <v>154</v>
      </c>
      <c r="DN2728" s="0" t="s">
        <v>154</v>
      </c>
      <c r="ED2728" s="0" t="s">
        <v>155</v>
      </c>
      <c r="EF2728" s="0" t="s">
        <v>154</v>
      </c>
    </row>
    <row r="2729" customFormat="false" ht="13.8" hidden="false" customHeight="false" outlineLevel="0" collapsed="false">
      <c r="A2729" s="0" t="s">
        <v>11595</v>
      </c>
      <c r="B2729" s="0" t="n">
        <v>78</v>
      </c>
      <c r="C2729" s="0" t="n">
        <v>231967</v>
      </c>
      <c r="D2729" s="0" t="s">
        <v>11596</v>
      </c>
      <c r="E2729" s="0" t="s">
        <v>1545</v>
      </c>
      <c r="F2729" s="0" t="str">
        <f aca="false">CONCATENATE(D2729," ",LEFT(H2729,4),"T=",AU2729,"D=",AV2729,"R=",AW2729,"M=",AX2729,"L=",AY2729,"B=",AZ2729)</f>
        <v>GONDA T=35D=7R=0M=1L=2B=0</v>
      </c>
      <c r="G2729" s="0" t="s">
        <v>159</v>
      </c>
      <c r="I2729" s="0" t="s">
        <v>11597</v>
      </c>
      <c r="J2729" s="0" t="s">
        <v>5845</v>
      </c>
      <c r="K2729" s="0" t="s">
        <v>175</v>
      </c>
      <c r="L2729" s="1" t="s">
        <v>155</v>
      </c>
      <c r="M2729" s="0" t="s">
        <v>11541</v>
      </c>
      <c r="N2729" s="0" t="str">
        <f aca="false">RIGHT(M2729,LEN(M2729)-FIND(" ",M2729))</f>
        <v>WASHINGTON ST NW</v>
      </c>
      <c r="P2729" s="0" t="s">
        <v>146</v>
      </c>
      <c r="Q2729" s="0" t="s">
        <v>147</v>
      </c>
      <c r="R2729" s="0" t="n">
        <v>44483</v>
      </c>
      <c r="AD2729" s="0" t="s">
        <v>148</v>
      </c>
      <c r="AE2729" s="0" t="s">
        <v>149</v>
      </c>
      <c r="AF2729" s="0" t="s">
        <v>150</v>
      </c>
      <c r="AH2729" s="0" t="n">
        <v>14</v>
      </c>
      <c r="AI2729" s="0" t="n">
        <v>11</v>
      </c>
      <c r="AN2729" s="0" t="s">
        <v>146</v>
      </c>
      <c r="AO2729" s="0" t="s">
        <v>151</v>
      </c>
      <c r="AP2729" s="0" t="s">
        <v>152</v>
      </c>
      <c r="AQ2729" s="0" t="n">
        <v>9</v>
      </c>
      <c r="AR2729" s="0" t="n">
        <v>64</v>
      </c>
      <c r="AS2729" s="0" t="n">
        <v>32</v>
      </c>
      <c r="AU2729" s="0" t="n">
        <f aca="false">COUNTA($BA$1506:$EH$1506)</f>
        <v>35</v>
      </c>
      <c r="AV2729" s="0" t="n">
        <f aca="false">COUNTIF($BA$1506:$EH$1506,"D")</f>
        <v>7</v>
      </c>
      <c r="AW2729" s="0" t="n">
        <f aca="false">COUNTIF($BA$1506:$EH$1506,"R")</f>
        <v>0</v>
      </c>
      <c r="AX2729" s="0" t="n">
        <f aca="false">IF(BN2729="D",1,0)+IF(BO2729="D",1,0)+IF(BT2729="D",1,0)+IF(BU2729="D",1,0)+IF(BW2729="D",1,0)+IF(CC2729="D",1,0)+IF(CD2729="D",1,0)+IF(CE2729="D",1,0)+IF(CF2729="D",1,0)+IF(CL2729="D",1,0)+IF(CM2729="D",1,0)+IF(CQ2729="D",1,0)+IF(CR2729="D",1,0)+IF(CS2729="D",1,0)+IF(CW2729="D",1,0)+IF(CX2729="D",1,0)+IF(DD2729="D",1,0)+IF(DE2729="D",1,0)+IF(DJ2729="D",1,0)+IF(DK2729="D",1,0)+IF(DO2729="D",1,0)+IF(DP2729="D",1,0)+IF(DQ2729="D",1,0)+IF(DW2729="D",1,0)+IF(DZ2729="D",1,0)+IF(EH2729="D",1,0)</f>
        <v>1</v>
      </c>
      <c r="AY2729" s="0" t="n">
        <f aca="false">COUNTIF(DU2729:EH2729, "&lt;&gt;")</f>
        <v>2</v>
      </c>
      <c r="AZ2729" s="0" t="n">
        <f aca="false">IF(EH2729&lt;&gt;"",1,0)</f>
        <v>0</v>
      </c>
      <c r="BB2729" s="0" t="s">
        <v>153</v>
      </c>
      <c r="BC2729" s="0" t="s">
        <v>154</v>
      </c>
      <c r="BD2729" s="0" t="s">
        <v>154</v>
      </c>
      <c r="BF2729" s="0" t="s">
        <v>154</v>
      </c>
      <c r="BG2729" s="0" t="s">
        <v>154</v>
      </c>
      <c r="BH2729" s="0" t="s">
        <v>154</v>
      </c>
      <c r="BI2729" s="0" t="s">
        <v>154</v>
      </c>
      <c r="BJ2729" s="0" t="s">
        <v>154</v>
      </c>
      <c r="BK2729" s="0" t="s">
        <v>154</v>
      </c>
      <c r="BL2729" s="0" t="s">
        <v>154</v>
      </c>
      <c r="BP2729" s="0" t="s">
        <v>154</v>
      </c>
      <c r="BR2729" s="0" t="s">
        <v>154</v>
      </c>
      <c r="BS2729" s="0" t="s">
        <v>154</v>
      </c>
      <c r="BV2729" s="0" t="s">
        <v>154</v>
      </c>
      <c r="BY2729" s="0" t="s">
        <v>155</v>
      </c>
      <c r="CA2729" s="0" t="s">
        <v>154</v>
      </c>
      <c r="CC2729" s="0" t="s">
        <v>154</v>
      </c>
      <c r="CG2729" s="0" t="s">
        <v>154</v>
      </c>
      <c r="CK2729" s="0" t="s">
        <v>154</v>
      </c>
      <c r="CL2729" s="0" t="s">
        <v>155</v>
      </c>
      <c r="CN2729" s="0" t="s">
        <v>154</v>
      </c>
      <c r="CP2729" s="0" t="s">
        <v>154</v>
      </c>
      <c r="CV2729" s="0" t="s">
        <v>154</v>
      </c>
      <c r="DC2729" s="0" t="s">
        <v>154</v>
      </c>
      <c r="DI2729" s="0" t="s">
        <v>154</v>
      </c>
      <c r="DM2729" s="0" t="s">
        <v>155</v>
      </c>
      <c r="DN2729" s="0" t="s">
        <v>154</v>
      </c>
      <c r="ED2729" s="0" t="s">
        <v>155</v>
      </c>
      <c r="EF2729" s="0" t="s">
        <v>154</v>
      </c>
    </row>
    <row r="2730" customFormat="false" ht="13.8" hidden="false" customHeight="false" outlineLevel="0" collapsed="false">
      <c r="A2730" s="0" t="s">
        <v>11598</v>
      </c>
      <c r="B2730" s="0" t="n">
        <v>78</v>
      </c>
      <c r="C2730" s="0" t="n">
        <v>454177</v>
      </c>
      <c r="D2730" s="0" t="s">
        <v>11599</v>
      </c>
      <c r="E2730" s="0" t="s">
        <v>2209</v>
      </c>
      <c r="F2730" s="0" t="str">
        <f aca="false">CONCATENATE(D2730," ",LEFT(H2730,4),"T=",AU2730,"D=",AV2730,"R=",AW2730,"M=",AX2730,"L=",AY2730,"B=",AZ2730)</f>
        <v>RICHTER T=1D=0R=0M=0L=3B=0</v>
      </c>
      <c r="G2730" s="0" t="s">
        <v>496</v>
      </c>
      <c r="I2730" s="0" t="s">
        <v>11600</v>
      </c>
      <c r="J2730" s="0" t="s">
        <v>9580</v>
      </c>
      <c r="K2730" s="0" t="s">
        <v>175</v>
      </c>
      <c r="M2730" s="0" t="s">
        <v>11541</v>
      </c>
      <c r="N2730" s="0" t="str">
        <f aca="false">RIGHT(M2730,LEN(M2730)-FIND(" ",M2730))</f>
        <v>WASHINGTON ST NW</v>
      </c>
      <c r="P2730" s="0" t="s">
        <v>146</v>
      </c>
      <c r="Q2730" s="0" t="s">
        <v>147</v>
      </c>
      <c r="R2730" s="0" t="n">
        <v>44483</v>
      </c>
      <c r="AD2730" s="0" t="s">
        <v>148</v>
      </c>
      <c r="AE2730" s="0" t="s">
        <v>149</v>
      </c>
      <c r="AF2730" s="0" t="s">
        <v>150</v>
      </c>
      <c r="AH2730" s="0" t="n">
        <v>14</v>
      </c>
      <c r="AI2730" s="0" t="n">
        <v>11</v>
      </c>
      <c r="AN2730" s="0" t="s">
        <v>146</v>
      </c>
      <c r="AO2730" s="0" t="s">
        <v>151</v>
      </c>
      <c r="AP2730" s="0" t="s">
        <v>152</v>
      </c>
      <c r="AQ2730" s="0" t="n">
        <v>9</v>
      </c>
      <c r="AR2730" s="0" t="n">
        <v>64</v>
      </c>
      <c r="AS2730" s="0" t="n">
        <v>32</v>
      </c>
      <c r="AU2730" s="0" t="n">
        <f aca="false">COUNTA($BA$1523:$EH$1523)</f>
        <v>1</v>
      </c>
      <c r="AV2730" s="0" t="n">
        <f aca="false">COUNTIF($BA$1523:$EH$1523,"D")</f>
        <v>0</v>
      </c>
      <c r="AW2730" s="0" t="n">
        <f aca="false">COUNTIF($BA$1523:$EH$1523,"R")</f>
        <v>0</v>
      </c>
      <c r="AX2730" s="0" t="n">
        <f aca="false">IF(BN2730="D",1,0)+IF(BO2730="D",1,0)+IF(BT2730="D",1,0)+IF(BU2730="D",1,0)+IF(BW2730="D",1,0)+IF(CC2730="D",1,0)+IF(CD2730="D",1,0)+IF(CE2730="D",1,0)+IF(CF2730="D",1,0)+IF(CL2730="D",1,0)+IF(CM2730="D",1,0)+IF(CQ2730="D",1,0)+IF(CR2730="D",1,0)+IF(CS2730="D",1,0)+IF(CW2730="D",1,0)+IF(CX2730="D",1,0)+IF(DD2730="D",1,0)+IF(DE2730="D",1,0)+IF(DJ2730="D",1,0)+IF(DK2730="D",1,0)+IF(DO2730="D",1,0)+IF(DP2730="D",1,0)+IF(DQ2730="D",1,0)+IF(DW2730="D",1,0)+IF(DZ2730="D",1,0)+IF(EH2730="D",1,0)</f>
        <v>0</v>
      </c>
      <c r="AY2730" s="0" t="n">
        <f aca="false">COUNTIF(DU2730:EH2730, "&lt;&gt;")</f>
        <v>3</v>
      </c>
      <c r="AZ2730" s="0" t="n">
        <f aca="false">IF(EH2730&lt;&gt;"",1,0)</f>
        <v>0</v>
      </c>
      <c r="BB2730" s="0" t="s">
        <v>153</v>
      </c>
      <c r="DF2730" s="0" t="s">
        <v>154</v>
      </c>
      <c r="DI2730" s="0" t="s">
        <v>154</v>
      </c>
      <c r="DM2730" s="0" t="s">
        <v>155</v>
      </c>
      <c r="DU2730" s="0" t="s">
        <v>154</v>
      </c>
      <c r="EA2730" s="0" t="s">
        <v>154</v>
      </c>
      <c r="EF2730" s="0" t="s">
        <v>154</v>
      </c>
    </row>
    <row r="2731" customFormat="false" ht="13.8" hidden="true" customHeight="false" outlineLevel="0" collapsed="false">
      <c r="A2731" s="0" t="s">
        <v>11601</v>
      </c>
      <c r="B2731" s="0" t="n">
        <v>78</v>
      </c>
      <c r="C2731" s="0" t="n">
        <v>485334</v>
      </c>
      <c r="D2731" s="0" t="s">
        <v>398</v>
      </c>
      <c r="E2731" s="0" t="s">
        <v>1040</v>
      </c>
      <c r="F2731" s="0" t="str">
        <f aca="false">CONCATENATE(D2731," ",LEFT(H2731,4),"T=",AU2731,"D=",AV2731,"R=",AW2731,"M=",AX2731,"L=",AY2731,"B=",AZ2731)</f>
        <v>HUFFMAN T=2D=0R=0M=0L=1B=0</v>
      </c>
      <c r="G2731" s="0" t="s">
        <v>241</v>
      </c>
      <c r="I2731" s="0" t="s">
        <v>11602</v>
      </c>
      <c r="J2731" s="0" t="s">
        <v>6158</v>
      </c>
      <c r="K2731" s="0" t="s">
        <v>175</v>
      </c>
      <c r="L2731" s="0"/>
      <c r="M2731" s="0" t="s">
        <v>11541</v>
      </c>
      <c r="N2731" s="0" t="str">
        <f aca="false">RIGHT(M2731,LEN(M2731)-FIND(" ",M2731))</f>
        <v>WASHINGTON ST NW</v>
      </c>
      <c r="O2731" s="0" t="s">
        <v>11603</v>
      </c>
      <c r="P2731" s="0" t="s">
        <v>146</v>
      </c>
      <c r="Q2731" s="0" t="s">
        <v>147</v>
      </c>
      <c r="R2731" s="0" t="n">
        <v>44483</v>
      </c>
      <c r="AD2731" s="0" t="s">
        <v>148</v>
      </c>
      <c r="AE2731" s="0" t="s">
        <v>149</v>
      </c>
      <c r="AF2731" s="0" t="s">
        <v>150</v>
      </c>
      <c r="AH2731" s="0" t="n">
        <v>14</v>
      </c>
      <c r="AI2731" s="0" t="n">
        <v>11</v>
      </c>
      <c r="AN2731" s="0" t="s">
        <v>146</v>
      </c>
      <c r="AO2731" s="0" t="s">
        <v>151</v>
      </c>
      <c r="AP2731" s="0" t="s">
        <v>152</v>
      </c>
      <c r="AQ2731" s="0" t="n">
        <v>9</v>
      </c>
      <c r="AR2731" s="0" t="n">
        <v>64</v>
      </c>
      <c r="AS2731" s="0" t="n">
        <v>32</v>
      </c>
      <c r="AU2731" s="0" t="n">
        <f aca="false">COUNTA($BA$1533:$EH$1533)</f>
        <v>2</v>
      </c>
      <c r="AV2731" s="0" t="n">
        <f aca="false">COUNTIF($BA$1533:$EH$1533,"D")</f>
        <v>0</v>
      </c>
      <c r="AW2731" s="0" t="n">
        <f aca="false">COUNTIF($BA$1533:$EH$1533,"R")</f>
        <v>0</v>
      </c>
      <c r="AX2731" s="0" t="n">
        <f aca="false">IF(BN2731="D",1,0)+IF(BO2731="D",1,0)+IF(BT2731="D",1,0)+IF(BU2731="D",1,0)+IF(BW2731="D",1,0)+IF(CC2731="D",1,0)+IF(CD2731="D",1,0)+IF(CE2731="D",1,0)+IF(CF2731="D",1,0)+IF(CL2731="D",1,0)+IF(CM2731="D",1,0)+IF(CQ2731="D",1,0)+IF(CR2731="D",1,0)+IF(CS2731="D",1,0)+IF(CW2731="D",1,0)+IF(CX2731="D",1,0)+IF(DD2731="D",1,0)+IF(DE2731="D",1,0)+IF(DJ2731="D",1,0)+IF(DK2731="D",1,0)+IF(DO2731="D",1,0)+IF(DP2731="D",1,0)+IF(DQ2731="D",1,0)+IF(DW2731="D",1,0)+IF(DZ2731="D",1,0)+IF(EH2731="D",1,0)</f>
        <v>0</v>
      </c>
      <c r="AY2731" s="0" t="n">
        <f aca="false">COUNTIF(DU2731:EH2731, "&lt;&gt;")</f>
        <v>1</v>
      </c>
      <c r="AZ2731" s="0" t="n">
        <f aca="false">IF(EH2731&lt;&gt;"",1,0)</f>
        <v>0</v>
      </c>
      <c r="BB2731" s="0" t="s">
        <v>153</v>
      </c>
      <c r="EF2731" s="0" t="s">
        <v>154</v>
      </c>
    </row>
    <row r="2732" customFormat="false" ht="13.8" hidden="true" customHeight="false" outlineLevel="0" collapsed="false">
      <c r="A2732" s="0" t="s">
        <v>11604</v>
      </c>
      <c r="B2732" s="0" t="n">
        <v>78</v>
      </c>
      <c r="C2732" s="0" t="n">
        <v>359981</v>
      </c>
      <c r="D2732" s="0" t="s">
        <v>11605</v>
      </c>
      <c r="E2732" s="0" t="s">
        <v>652</v>
      </c>
      <c r="F2732" s="0" t="str">
        <f aca="false">CONCATENATE(D2732," ",LEFT(H2732,4),"T=",AU2732,"D=",AV2732,"R=",AW2732,"M=",AX2732,"L=",AY2732,"B=",AZ2732)</f>
        <v>BRANCH T=50D=19R=0M=0L=0B=0</v>
      </c>
      <c r="G2732" s="0" t="s">
        <v>181</v>
      </c>
      <c r="I2732" s="0" t="s">
        <v>11560</v>
      </c>
      <c r="J2732" s="0" t="s">
        <v>11606</v>
      </c>
      <c r="K2732" s="0" t="s">
        <v>144</v>
      </c>
      <c r="L2732" s="0"/>
      <c r="M2732" s="0" t="s">
        <v>11541</v>
      </c>
      <c r="N2732" s="0" t="str">
        <f aca="false">RIGHT(M2732,LEN(M2732)-FIND(" ",M2732))</f>
        <v>WASHINGTON ST NW</v>
      </c>
      <c r="P2732" s="0" t="s">
        <v>146</v>
      </c>
      <c r="Q2732" s="0" t="s">
        <v>147</v>
      </c>
      <c r="R2732" s="0" t="n">
        <v>44483</v>
      </c>
      <c r="AD2732" s="0" t="s">
        <v>148</v>
      </c>
      <c r="AE2732" s="0" t="s">
        <v>149</v>
      </c>
      <c r="AF2732" s="0" t="s">
        <v>150</v>
      </c>
      <c r="AH2732" s="0" t="n">
        <v>14</v>
      </c>
      <c r="AI2732" s="0" t="n">
        <v>11</v>
      </c>
      <c r="AN2732" s="0" t="s">
        <v>146</v>
      </c>
      <c r="AO2732" s="0" t="s">
        <v>151</v>
      </c>
      <c r="AP2732" s="0" t="s">
        <v>152</v>
      </c>
      <c r="AQ2732" s="0" t="n">
        <v>9</v>
      </c>
      <c r="AR2732" s="0" t="n">
        <v>64</v>
      </c>
      <c r="AS2732" s="0" t="n">
        <v>32</v>
      </c>
      <c r="AU2732" s="0" t="n">
        <f aca="false">COUNTA($BA$1570:$EH$1570)</f>
        <v>50</v>
      </c>
      <c r="AV2732" s="0" t="n">
        <f aca="false">COUNTIF($BA$1570:$EH$1570,"D")</f>
        <v>19</v>
      </c>
      <c r="AW2732" s="0" t="n">
        <f aca="false">COUNTIF($BA$1570:$EH$1570,"R")</f>
        <v>0</v>
      </c>
      <c r="AX2732" s="0" t="n">
        <f aca="false">IF(BN2732="D",1,0)+IF(BO2732="D",1,0)+IF(BT2732="D",1,0)+IF(BU2732="D",1,0)+IF(BW2732="D",1,0)+IF(CC2732="D",1,0)+IF(CD2732="D",1,0)+IF(CE2732="D",1,0)+IF(CF2732="D",1,0)+IF(CL2732="D",1,0)+IF(CM2732="D",1,0)+IF(CQ2732="D",1,0)+IF(CR2732="D",1,0)+IF(CS2732="D",1,0)+IF(CW2732="D",1,0)+IF(CX2732="D",1,0)+IF(DD2732="D",1,0)+IF(DE2732="D",1,0)+IF(DJ2732="D",1,0)+IF(DK2732="D",1,0)+IF(DO2732="D",1,0)+IF(DP2732="D",1,0)+IF(DQ2732="D",1,0)+IF(DW2732="D",1,0)+IF(DZ2732="D",1,0)+IF(EH2732="D",1,0)</f>
        <v>0</v>
      </c>
      <c r="AY2732" s="0" t="n">
        <f aca="false">COUNTIF(DU2732:EH2732, "&lt;&gt;")</f>
        <v>0</v>
      </c>
      <c r="AZ2732" s="0" t="n">
        <f aca="false">IF(EH2732&lt;&gt;"",1,0)</f>
        <v>0</v>
      </c>
      <c r="BB2732" s="0" t="s">
        <v>153</v>
      </c>
      <c r="BL2732" s="0" t="s">
        <v>154</v>
      </c>
      <c r="CA2732" s="0" t="s">
        <v>154</v>
      </c>
      <c r="CZ2732" s="0" t="s">
        <v>155</v>
      </c>
    </row>
    <row r="2733" customFormat="false" ht="13.8" hidden="true" customHeight="false" outlineLevel="0" collapsed="false">
      <c r="A2733" s="0" t="s">
        <v>11607</v>
      </c>
      <c r="B2733" s="0" t="n">
        <v>78</v>
      </c>
      <c r="C2733" s="0" t="n">
        <v>451186</v>
      </c>
      <c r="D2733" s="0" t="s">
        <v>11608</v>
      </c>
      <c r="E2733" s="0" t="s">
        <v>867</v>
      </c>
      <c r="F2733" s="0" t="str">
        <f aca="false">CONCATENATE(D2733," ",LEFT(H2733,4),"T=",AU2733,"D=",AV2733,"R=",AW2733,"M=",AX2733,"L=",AY2733,"B=",AZ2733)</f>
        <v>SILVER T=11D=1R=0M=0L=0B=0</v>
      </c>
      <c r="G2733" s="0" t="s">
        <v>159</v>
      </c>
      <c r="I2733" s="0" t="s">
        <v>11609</v>
      </c>
      <c r="J2733" s="0" t="s">
        <v>9580</v>
      </c>
      <c r="K2733" s="0" t="s">
        <v>144</v>
      </c>
      <c r="L2733" s="0"/>
      <c r="M2733" s="0" t="s">
        <v>11541</v>
      </c>
      <c r="N2733" s="0" t="str">
        <f aca="false">RIGHT(M2733,LEN(M2733)-FIND(" ",M2733))</f>
        <v>WASHINGTON ST NW</v>
      </c>
      <c r="P2733" s="0" t="s">
        <v>146</v>
      </c>
      <c r="Q2733" s="0" t="s">
        <v>147</v>
      </c>
      <c r="R2733" s="0" t="n">
        <v>44483</v>
      </c>
      <c r="AD2733" s="0" t="s">
        <v>148</v>
      </c>
      <c r="AE2733" s="0" t="s">
        <v>149</v>
      </c>
      <c r="AF2733" s="0" t="s">
        <v>150</v>
      </c>
      <c r="AH2733" s="0" t="n">
        <v>14</v>
      </c>
      <c r="AI2733" s="0" t="n">
        <v>11</v>
      </c>
      <c r="AN2733" s="0" t="s">
        <v>146</v>
      </c>
      <c r="AO2733" s="0" t="s">
        <v>151</v>
      </c>
      <c r="AP2733" s="0" t="s">
        <v>152</v>
      </c>
      <c r="AQ2733" s="0" t="n">
        <v>9</v>
      </c>
      <c r="AR2733" s="0" t="n">
        <v>64</v>
      </c>
      <c r="AS2733" s="0" t="n">
        <v>32</v>
      </c>
      <c r="AU2733" s="0" t="n">
        <f aca="false">COUNTA($BA$1720:$EH$1720)</f>
        <v>11</v>
      </c>
      <c r="AV2733" s="0" t="n">
        <f aca="false">COUNTIF($BA$1720:$EH$1720,"D")</f>
        <v>1</v>
      </c>
      <c r="AW2733" s="0" t="n">
        <f aca="false">COUNTIF($BA$1720:$EH$1720,"R")</f>
        <v>0</v>
      </c>
      <c r="AX2733" s="0" t="n">
        <f aca="false">IF(BN2733="D",1,0)+IF(BO2733="D",1,0)+IF(BT2733="D",1,0)+IF(BU2733="D",1,0)+IF(BW2733="D",1,0)+IF(CC2733="D",1,0)+IF(CD2733="D",1,0)+IF(CE2733="D",1,0)+IF(CF2733="D",1,0)+IF(CL2733="D",1,0)+IF(CM2733="D",1,0)+IF(CQ2733="D",1,0)+IF(CR2733="D",1,0)+IF(CS2733="D",1,0)+IF(CW2733="D",1,0)+IF(CX2733="D",1,0)+IF(DD2733="D",1,0)+IF(DE2733="D",1,0)+IF(DJ2733="D",1,0)+IF(DK2733="D",1,0)+IF(DO2733="D",1,0)+IF(DP2733="D",1,0)+IF(DQ2733="D",1,0)+IF(DW2733="D",1,0)+IF(DZ2733="D",1,0)+IF(EH2733="D",1,0)</f>
        <v>0</v>
      </c>
      <c r="AY2733" s="0" t="n">
        <f aca="false">COUNTIF(DU2733:EH2733, "&lt;&gt;")</f>
        <v>0</v>
      </c>
      <c r="AZ2733" s="0" t="n">
        <f aca="false">IF(EH2733&lt;&gt;"",1,0)</f>
        <v>0</v>
      </c>
      <c r="BB2733" s="0" t="s">
        <v>153</v>
      </c>
      <c r="BG2733" s="0" t="s">
        <v>154</v>
      </c>
      <c r="BH2733" s="0" t="s">
        <v>154</v>
      </c>
      <c r="BI2733" s="0" t="s">
        <v>154</v>
      </c>
      <c r="BJ2733" s="0" t="s">
        <v>154</v>
      </c>
      <c r="BL2733" s="0" t="s">
        <v>154</v>
      </c>
      <c r="BP2733" s="0" t="s">
        <v>154</v>
      </c>
      <c r="BS2733" s="0" t="s">
        <v>154</v>
      </c>
      <c r="BY2733" s="0" t="s">
        <v>155</v>
      </c>
      <c r="CA2733" s="0" t="s">
        <v>154</v>
      </c>
      <c r="CG2733" s="0" t="s">
        <v>154</v>
      </c>
    </row>
    <row r="2734" customFormat="false" ht="13.8" hidden="false" customHeight="false" outlineLevel="0" collapsed="false">
      <c r="A2734" s="0" t="s">
        <v>11610</v>
      </c>
      <c r="B2734" s="0" t="n">
        <v>78</v>
      </c>
      <c r="C2734" s="0" t="n">
        <v>253581</v>
      </c>
      <c r="D2734" s="0" t="s">
        <v>11611</v>
      </c>
      <c r="E2734" s="0" t="s">
        <v>5328</v>
      </c>
      <c r="F2734" s="0" t="str">
        <f aca="false">CONCATENATE(D2734," ",LEFT(H2734,4),"T=",AU2734,"D=",AV2734,"R=",AW2734,"M=",AX2734,"L=",AY2734,"B=",AZ2734)</f>
        <v>DIVENCENZO IIT=1D=0R=0M=1L=2B=0</v>
      </c>
      <c r="H2734" s="0" t="s">
        <v>598</v>
      </c>
      <c r="I2734" s="0" t="s">
        <v>11612</v>
      </c>
      <c r="J2734" s="0" t="s">
        <v>5845</v>
      </c>
      <c r="K2734" s="0" t="s">
        <v>175</v>
      </c>
      <c r="M2734" s="0" t="s">
        <v>11541</v>
      </c>
      <c r="N2734" s="0" t="str">
        <f aca="false">RIGHT(M2734,LEN(M2734)-FIND(" ",M2734))</f>
        <v>WASHINGTON ST NW</v>
      </c>
      <c r="P2734" s="0" t="s">
        <v>146</v>
      </c>
      <c r="Q2734" s="0" t="s">
        <v>147</v>
      </c>
      <c r="R2734" s="0" t="n">
        <v>44483</v>
      </c>
      <c r="AD2734" s="0" t="s">
        <v>148</v>
      </c>
      <c r="AE2734" s="0" t="s">
        <v>149</v>
      </c>
      <c r="AF2734" s="0" t="s">
        <v>150</v>
      </c>
      <c r="AH2734" s="0" t="n">
        <v>14</v>
      </c>
      <c r="AI2734" s="0" t="n">
        <v>11</v>
      </c>
      <c r="AN2734" s="0" t="s">
        <v>146</v>
      </c>
      <c r="AO2734" s="0" t="s">
        <v>151</v>
      </c>
      <c r="AP2734" s="0" t="s">
        <v>152</v>
      </c>
      <c r="AQ2734" s="0" t="n">
        <v>9</v>
      </c>
      <c r="AR2734" s="0" t="n">
        <v>64</v>
      </c>
      <c r="AS2734" s="0" t="n">
        <v>32</v>
      </c>
      <c r="AU2734" s="0" t="n">
        <f aca="false">COUNTA($BA$1745:$EH$1745)</f>
        <v>1</v>
      </c>
      <c r="AV2734" s="0" t="n">
        <f aca="false">COUNTIF($BA$1745:$EH$1745,"D")</f>
        <v>0</v>
      </c>
      <c r="AW2734" s="0" t="n">
        <f aca="false">COUNTIF($BA$1745:$EH$1745,"R")</f>
        <v>0</v>
      </c>
      <c r="AX2734" s="0" t="n">
        <f aca="false">IF(BN2734="D",1,0)+IF(BO2734="D",1,0)+IF(BT2734="D",1,0)+IF(BU2734="D",1,0)+IF(BW2734="D",1,0)+IF(CC2734="D",1,0)+IF(CD2734="D",1,0)+IF(CE2734="D",1,0)+IF(CF2734="D",1,0)+IF(CL2734="D",1,0)+IF(CM2734="D",1,0)+IF(CQ2734="D",1,0)+IF(CR2734="D",1,0)+IF(CS2734="D",1,0)+IF(CW2734="D",1,0)+IF(CX2734="D",1,0)+IF(DD2734="D",1,0)+IF(DE2734="D",1,0)+IF(DJ2734="D",1,0)+IF(DK2734="D",1,0)+IF(DO2734="D",1,0)+IF(DP2734="D",1,0)+IF(DQ2734="D",1,0)+IF(DW2734="D",1,0)+IF(DZ2734="D",1,0)+IF(EH2734="D",1,0)</f>
        <v>1</v>
      </c>
      <c r="AY2734" s="0" t="n">
        <f aca="false">COUNTIF(DU2734:EH2734, "&lt;&gt;")</f>
        <v>2</v>
      </c>
      <c r="AZ2734" s="0" t="n">
        <f aca="false">IF(EH2734&lt;&gt;"",1,0)</f>
        <v>0</v>
      </c>
      <c r="BB2734" s="0" t="s">
        <v>153</v>
      </c>
      <c r="BC2734" s="0" t="s">
        <v>154</v>
      </c>
      <c r="BD2734" s="0" t="s">
        <v>154</v>
      </c>
      <c r="BK2734" s="0" t="s">
        <v>154</v>
      </c>
      <c r="BL2734" s="0" t="s">
        <v>154</v>
      </c>
      <c r="BP2734" s="0" t="s">
        <v>154</v>
      </c>
      <c r="BR2734" s="0" t="s">
        <v>154</v>
      </c>
      <c r="BS2734" s="0" t="s">
        <v>154</v>
      </c>
      <c r="BV2734" s="0" t="s">
        <v>154</v>
      </c>
      <c r="BY2734" s="0" t="s">
        <v>155</v>
      </c>
      <c r="CA2734" s="0" t="s">
        <v>154</v>
      </c>
      <c r="CG2734" s="0" t="s">
        <v>154</v>
      </c>
      <c r="CH2734" s="0" t="s">
        <v>155</v>
      </c>
      <c r="CK2734" s="0" t="s">
        <v>154</v>
      </c>
      <c r="CL2734" s="0" t="s">
        <v>155</v>
      </c>
      <c r="CN2734" s="0" t="s">
        <v>154</v>
      </c>
      <c r="CO2734" s="0" t="s">
        <v>155</v>
      </c>
      <c r="CP2734" s="0" t="s">
        <v>154</v>
      </c>
      <c r="CT2734" s="0" t="s">
        <v>154</v>
      </c>
      <c r="CV2734" s="0" t="s">
        <v>154</v>
      </c>
      <c r="CY2734" s="0" t="s">
        <v>154</v>
      </c>
      <c r="DC2734" s="0" t="s">
        <v>154</v>
      </c>
      <c r="DF2734" s="0" t="s">
        <v>154</v>
      </c>
      <c r="DI2734" s="0" t="s">
        <v>154</v>
      </c>
      <c r="DM2734" s="0" t="s">
        <v>155</v>
      </c>
      <c r="DN2734" s="0" t="s">
        <v>154</v>
      </c>
      <c r="DU2734" s="0" t="s">
        <v>154</v>
      </c>
      <c r="EF2734" s="0" t="s">
        <v>154</v>
      </c>
    </row>
    <row r="2735" customFormat="false" ht="13.8" hidden="false" customHeight="false" outlineLevel="0" collapsed="false">
      <c r="A2735" s="0" t="s">
        <v>11613</v>
      </c>
      <c r="B2735" s="0" t="n">
        <v>78</v>
      </c>
      <c r="C2735" s="0" t="n">
        <v>447628</v>
      </c>
      <c r="D2735" s="0" t="s">
        <v>1588</v>
      </c>
      <c r="E2735" s="0" t="s">
        <v>11614</v>
      </c>
      <c r="F2735" s="0" t="str">
        <f aca="false">CONCATENATE(D2735," ",LEFT(H2735,4),"T=",AU2735,"D=",AV2735,"R=",AW2735,"M=",AX2735,"L=",AY2735,"B=",AZ2735)</f>
        <v>HALL T=4D=0R=0M=1L=6B=1</v>
      </c>
      <c r="G2735" s="0" t="s">
        <v>166</v>
      </c>
      <c r="I2735" s="0" t="s">
        <v>11615</v>
      </c>
      <c r="J2735" s="0" t="s">
        <v>11544</v>
      </c>
      <c r="K2735" s="0" t="s">
        <v>175</v>
      </c>
      <c r="L2735" s="1" t="s">
        <v>176</v>
      </c>
      <c r="M2735" s="0" t="s">
        <v>11541</v>
      </c>
      <c r="N2735" s="0" t="str">
        <f aca="false">RIGHT(M2735,LEN(M2735)-FIND(" ",M2735))</f>
        <v>WASHINGTON ST NW</v>
      </c>
      <c r="P2735" s="0" t="s">
        <v>146</v>
      </c>
      <c r="Q2735" s="0" t="s">
        <v>147</v>
      </c>
      <c r="R2735" s="0" t="n">
        <v>44483</v>
      </c>
      <c r="AD2735" s="0" t="s">
        <v>148</v>
      </c>
      <c r="AE2735" s="0" t="s">
        <v>149</v>
      </c>
      <c r="AF2735" s="0" t="s">
        <v>150</v>
      </c>
      <c r="AH2735" s="0" t="n">
        <v>14</v>
      </c>
      <c r="AI2735" s="0" t="n">
        <v>11</v>
      </c>
      <c r="AN2735" s="0" t="s">
        <v>146</v>
      </c>
      <c r="AO2735" s="0" t="s">
        <v>151</v>
      </c>
      <c r="AP2735" s="0" t="s">
        <v>152</v>
      </c>
      <c r="AQ2735" s="0" t="n">
        <v>9</v>
      </c>
      <c r="AR2735" s="0" t="n">
        <v>64</v>
      </c>
      <c r="AS2735" s="0" t="n">
        <v>32</v>
      </c>
      <c r="AU2735" s="0" t="n">
        <f aca="false">COUNTA($BA$1818:$EH$1818)</f>
        <v>4</v>
      </c>
      <c r="AV2735" s="0" t="n">
        <f aca="false">COUNTIF($BA$1818:$EH$1818,"D")</f>
        <v>0</v>
      </c>
      <c r="AW2735" s="0" t="n">
        <f aca="false">COUNTIF($BA$1818:$EH$1818,"R")</f>
        <v>0</v>
      </c>
      <c r="AX2735" s="0" t="n">
        <f aca="false">IF(BN2735="D",1,0)+IF(BO2735="D",1,0)+IF(BT2735="D",1,0)+IF(BU2735="D",1,0)+IF(BW2735="D",1,0)+IF(CC2735="D",1,0)+IF(CD2735="D",1,0)+IF(CE2735="D",1,0)+IF(CF2735="D",1,0)+IF(CL2735="D",1,0)+IF(CM2735="D",1,0)+IF(CQ2735="D",1,0)+IF(CR2735="D",1,0)+IF(CS2735="D",1,0)+IF(CW2735="D",1,0)+IF(CX2735="D",1,0)+IF(DD2735="D",1,0)+IF(DE2735="D",1,0)+IF(DJ2735="D",1,0)+IF(DK2735="D",1,0)+IF(DO2735="D",1,0)+IF(DP2735="D",1,0)+IF(DQ2735="D",1,0)+IF(DW2735="D",1,0)+IF(DZ2735="D",1,0)+IF(EH2735="D",1,0)</f>
        <v>1</v>
      </c>
      <c r="AY2735" s="0" t="n">
        <f aca="false">COUNTIF(DU2735:EH2735, "&lt;&gt;")</f>
        <v>6</v>
      </c>
      <c r="AZ2735" s="0" t="n">
        <f aca="false">IF(EH2735&lt;&gt;"",1,0)</f>
        <v>1</v>
      </c>
      <c r="BB2735" s="0" t="s">
        <v>153</v>
      </c>
      <c r="CP2735" s="0" t="s">
        <v>154</v>
      </c>
      <c r="CV2735" s="0" t="s">
        <v>154</v>
      </c>
      <c r="DC2735" s="0" t="s">
        <v>154</v>
      </c>
      <c r="DN2735" s="0" t="s">
        <v>154</v>
      </c>
      <c r="DT2735" s="0" t="s">
        <v>176</v>
      </c>
      <c r="DU2735" s="0" t="s">
        <v>154</v>
      </c>
      <c r="DW2735" s="0" t="s">
        <v>155</v>
      </c>
      <c r="EA2735" s="0" t="s">
        <v>154</v>
      </c>
      <c r="ED2735" s="0" t="s">
        <v>176</v>
      </c>
      <c r="EF2735" s="0" t="s">
        <v>154</v>
      </c>
      <c r="EH2735" s="0" t="s">
        <v>154</v>
      </c>
    </row>
    <row r="2736" customFormat="false" ht="13.8" hidden="false" customHeight="false" outlineLevel="0" collapsed="false">
      <c r="A2736" s="0" t="s">
        <v>11616</v>
      </c>
      <c r="B2736" s="0" t="n">
        <v>78</v>
      </c>
      <c r="C2736" s="0" t="n">
        <v>23893</v>
      </c>
      <c r="D2736" s="0" t="s">
        <v>11617</v>
      </c>
      <c r="E2736" s="0" t="s">
        <v>2311</v>
      </c>
      <c r="F2736" s="0" t="str">
        <f aca="false">CONCATENATE(D2736," ",LEFT(H2736,4),"T=",AU2736,"D=",AV2736,"R=",AW2736,"M=",AX2736,"L=",AY2736,"B=",AZ2736)</f>
        <v>MILLINER JRT=4D=0R=0M=1L=3B=0</v>
      </c>
      <c r="G2736" s="0" t="s">
        <v>166</v>
      </c>
      <c r="H2736" s="0" t="s">
        <v>431</v>
      </c>
      <c r="I2736" s="0" t="s">
        <v>11618</v>
      </c>
      <c r="J2736" s="0" t="s">
        <v>11619</v>
      </c>
      <c r="K2736" s="0" t="s">
        <v>175</v>
      </c>
      <c r="L2736" s="1" t="s">
        <v>176</v>
      </c>
      <c r="M2736" s="0" t="s">
        <v>11541</v>
      </c>
      <c r="N2736" s="0" t="str">
        <f aca="false">RIGHT(M2736,LEN(M2736)-FIND(" ",M2736))</f>
        <v>WASHINGTON ST NW</v>
      </c>
      <c r="P2736" s="0" t="s">
        <v>146</v>
      </c>
      <c r="Q2736" s="0" t="s">
        <v>147</v>
      </c>
      <c r="R2736" s="0" t="n">
        <v>44483</v>
      </c>
      <c r="V2736" s="0" t="s">
        <v>11620</v>
      </c>
      <c r="X2736" s="0" t="s">
        <v>146</v>
      </c>
      <c r="Y2736" s="0" t="s">
        <v>147</v>
      </c>
      <c r="Z2736" s="0" t="n">
        <v>44482</v>
      </c>
      <c r="AD2736" s="0" t="s">
        <v>148</v>
      </c>
      <c r="AE2736" s="0" t="s">
        <v>149</v>
      </c>
      <c r="AF2736" s="0" t="s">
        <v>150</v>
      </c>
      <c r="AH2736" s="0" t="n">
        <v>14</v>
      </c>
      <c r="AI2736" s="0" t="n">
        <v>11</v>
      </c>
      <c r="AN2736" s="0" t="s">
        <v>146</v>
      </c>
      <c r="AO2736" s="0" t="s">
        <v>151</v>
      </c>
      <c r="AP2736" s="0" t="s">
        <v>152</v>
      </c>
      <c r="AQ2736" s="0" t="n">
        <v>9</v>
      </c>
      <c r="AR2736" s="0" t="n">
        <v>64</v>
      </c>
      <c r="AS2736" s="0" t="n">
        <v>32</v>
      </c>
      <c r="AU2736" s="0" t="n">
        <f aca="false">COUNTA($BA$1845:$EH$1845)</f>
        <v>4</v>
      </c>
      <c r="AV2736" s="0" t="n">
        <f aca="false">COUNTIF($BA$1845:$EH$1845,"D")</f>
        <v>0</v>
      </c>
      <c r="AW2736" s="0" t="n">
        <f aca="false">COUNTIF($BA$1845:$EH$1845,"R")</f>
        <v>0</v>
      </c>
      <c r="AX2736" s="0" t="n">
        <f aca="false">IF(BN2736="D",1,0)+IF(BO2736="D",1,0)+IF(BT2736="D",1,0)+IF(BU2736="D",1,0)+IF(BW2736="D",1,0)+IF(CC2736="D",1,0)+IF(CD2736="D",1,0)+IF(CE2736="D",1,0)+IF(CF2736="D",1,0)+IF(CL2736="D",1,0)+IF(CM2736="D",1,0)+IF(CQ2736="D",1,0)+IF(CR2736="D",1,0)+IF(CS2736="D",1,0)+IF(CW2736="D",1,0)+IF(CX2736="D",1,0)+IF(DD2736="D",1,0)+IF(DE2736="D",1,0)+IF(DJ2736="D",1,0)+IF(DK2736="D",1,0)+IF(DO2736="D",1,0)+IF(DP2736="D",1,0)+IF(DQ2736="D",1,0)+IF(DW2736="D",1,0)+IF(DZ2736="D",1,0)+IF(EH2736="D",1,0)</f>
        <v>1</v>
      </c>
      <c r="AY2736" s="0" t="n">
        <f aca="false">COUNTIF(DU2736:EH2736, "&lt;&gt;")</f>
        <v>3</v>
      </c>
      <c r="AZ2736" s="0" t="n">
        <f aca="false">IF(EH2736&lt;&gt;"",1,0)</f>
        <v>0</v>
      </c>
      <c r="BB2736" s="0" t="s">
        <v>153</v>
      </c>
      <c r="BD2736" s="0" t="s">
        <v>154</v>
      </c>
      <c r="BE2736" s="0" t="s">
        <v>154</v>
      </c>
      <c r="BF2736" s="0" t="s">
        <v>154</v>
      </c>
      <c r="BG2736" s="0" t="s">
        <v>154</v>
      </c>
      <c r="BH2736" s="0" t="s">
        <v>154</v>
      </c>
      <c r="BI2736" s="0" t="s">
        <v>154</v>
      </c>
      <c r="BJ2736" s="0" t="s">
        <v>154</v>
      </c>
      <c r="BK2736" s="0" t="s">
        <v>154</v>
      </c>
      <c r="BL2736" s="0" t="s">
        <v>154</v>
      </c>
      <c r="BP2736" s="0" t="s">
        <v>154</v>
      </c>
      <c r="BS2736" s="0" t="s">
        <v>154</v>
      </c>
      <c r="BV2736" s="0" t="s">
        <v>154</v>
      </c>
      <c r="BY2736" s="0" t="s">
        <v>176</v>
      </c>
      <c r="CA2736" s="0" t="s">
        <v>154</v>
      </c>
      <c r="CP2736" s="0" t="s">
        <v>154</v>
      </c>
      <c r="CV2736" s="0" t="s">
        <v>154</v>
      </c>
      <c r="CW2736" s="0" t="s">
        <v>155</v>
      </c>
      <c r="CY2736" s="0" t="s">
        <v>154</v>
      </c>
      <c r="CZ2736" s="0" t="s">
        <v>176</v>
      </c>
      <c r="DC2736" s="0" t="s">
        <v>154</v>
      </c>
      <c r="DG2736" s="0" t="s">
        <v>176</v>
      </c>
      <c r="DI2736" s="0" t="s">
        <v>154</v>
      </c>
      <c r="DN2736" s="0" t="s">
        <v>154</v>
      </c>
      <c r="DT2736" s="0" t="s">
        <v>176</v>
      </c>
      <c r="DU2736" s="0" t="s">
        <v>154</v>
      </c>
      <c r="EA2736" s="0" t="s">
        <v>154</v>
      </c>
      <c r="EF2736" s="0" t="s">
        <v>154</v>
      </c>
    </row>
    <row r="2737" customFormat="false" ht="13.8" hidden="false" customHeight="false" outlineLevel="0" collapsed="false">
      <c r="A2737" s="0" t="s">
        <v>11621</v>
      </c>
      <c r="B2737" s="0" t="n">
        <v>78</v>
      </c>
      <c r="C2737" s="0" t="n">
        <v>456978</v>
      </c>
      <c r="D2737" s="0" t="s">
        <v>11622</v>
      </c>
      <c r="E2737" s="0" t="s">
        <v>619</v>
      </c>
      <c r="F2737" s="0" t="str">
        <f aca="false">CONCATENATE(D2737," ",LEFT(H2737,4),"T=",AU2737,"D=",AV2737,"R=",AW2737,"M=",AX2737,"L=",AY2737,"B=",AZ2737)</f>
        <v>WOYCHIK T=22D=3R=0M=0L=4B=1</v>
      </c>
      <c r="I2737" s="0" t="s">
        <v>11623</v>
      </c>
      <c r="J2737" s="0" t="s">
        <v>2913</v>
      </c>
      <c r="K2737" s="0" t="s">
        <v>175</v>
      </c>
      <c r="L2737" s="1" t="s">
        <v>176</v>
      </c>
      <c r="M2737" s="0" t="s">
        <v>11541</v>
      </c>
      <c r="N2737" s="0" t="str">
        <f aca="false">RIGHT(M2737,LEN(M2737)-FIND(" ",M2737))</f>
        <v>WASHINGTON ST NW</v>
      </c>
      <c r="P2737" s="0" t="s">
        <v>146</v>
      </c>
      <c r="Q2737" s="0" t="s">
        <v>147</v>
      </c>
      <c r="R2737" s="0" t="n">
        <v>44483</v>
      </c>
      <c r="AD2737" s="0" t="s">
        <v>148</v>
      </c>
      <c r="AE2737" s="0" t="s">
        <v>149</v>
      </c>
      <c r="AF2737" s="0" t="s">
        <v>150</v>
      </c>
      <c r="AH2737" s="0" t="n">
        <v>14</v>
      </c>
      <c r="AI2737" s="0" t="n">
        <v>11</v>
      </c>
      <c r="AN2737" s="0" t="s">
        <v>146</v>
      </c>
      <c r="AO2737" s="0" t="s">
        <v>151</v>
      </c>
      <c r="AP2737" s="0" t="s">
        <v>152</v>
      </c>
      <c r="AQ2737" s="0" t="n">
        <v>9</v>
      </c>
      <c r="AR2737" s="0" t="n">
        <v>64</v>
      </c>
      <c r="AS2737" s="0" t="n">
        <v>32</v>
      </c>
      <c r="AU2737" s="0" t="n">
        <f aca="false">COUNTA($BA$1969:$EH$1969)</f>
        <v>22</v>
      </c>
      <c r="AV2737" s="0" t="n">
        <f aca="false">COUNTIF($BA$1969:$EH$1969,"D")</f>
        <v>3</v>
      </c>
      <c r="AW2737" s="0" t="n">
        <f aca="false">COUNTIF($BA$1969:$EH$1969,"R")</f>
        <v>0</v>
      </c>
      <c r="AX2737" s="0" t="n">
        <f aca="false">IF(BN2737="D",1,0)+IF(BO2737="D",1,0)+IF(BT2737="D",1,0)+IF(BU2737="D",1,0)+IF(BW2737="D",1,0)+IF(CC2737="D",1,0)+IF(CD2737="D",1,0)+IF(CE2737="D",1,0)+IF(CF2737="D",1,0)+IF(CL2737="D",1,0)+IF(CM2737="D",1,0)+IF(CQ2737="D",1,0)+IF(CR2737="D",1,0)+IF(CS2737="D",1,0)+IF(CW2737="D",1,0)+IF(CX2737="D",1,0)+IF(DD2737="D",1,0)+IF(DE2737="D",1,0)+IF(DJ2737="D",1,0)+IF(DK2737="D",1,0)+IF(DO2737="D",1,0)+IF(DP2737="D",1,0)+IF(DQ2737="D",1,0)+IF(DW2737="D",1,0)+IF(DZ2737="D",1,0)+IF(EH2737="D",1,0)</f>
        <v>0</v>
      </c>
      <c r="AY2737" s="0" t="n">
        <f aca="false">COUNTIF(DU2737:EH2737, "&lt;&gt;")</f>
        <v>4</v>
      </c>
      <c r="AZ2737" s="0" t="n">
        <f aca="false">IF(EH2737&lt;&gt;"",1,0)</f>
        <v>1</v>
      </c>
      <c r="BB2737" s="0" t="s">
        <v>153</v>
      </c>
      <c r="EA2737" s="0" t="s">
        <v>154</v>
      </c>
      <c r="ED2737" s="0" t="s">
        <v>176</v>
      </c>
      <c r="EF2737" s="0" t="s">
        <v>154</v>
      </c>
      <c r="EH2737" s="0" t="s">
        <v>154</v>
      </c>
    </row>
    <row r="2738" customFormat="false" ht="13.8" hidden="false" customHeight="false" outlineLevel="0" collapsed="false">
      <c r="A2738" s="0" t="s">
        <v>11624</v>
      </c>
      <c r="B2738" s="0" t="n">
        <v>78</v>
      </c>
      <c r="C2738" s="0" t="n">
        <v>273469</v>
      </c>
      <c r="D2738" s="0" t="s">
        <v>10473</v>
      </c>
      <c r="E2738" s="0" t="s">
        <v>5333</v>
      </c>
      <c r="F2738" s="0" t="str">
        <f aca="false">CONCATENATE(D2738," ",LEFT(H2738,4),"T=",AU2738,"D=",AV2738,"R=",AW2738,"M=",AX2738,"L=",AY2738,"B=",AZ2738)</f>
        <v>EDMONDS T=9D=1R=0M=4L=7B=1</v>
      </c>
      <c r="I2738" s="0" t="s">
        <v>11625</v>
      </c>
      <c r="J2738" s="0" t="s">
        <v>2471</v>
      </c>
      <c r="K2738" s="0" t="s">
        <v>175</v>
      </c>
      <c r="L2738" s="1" t="s">
        <v>155</v>
      </c>
      <c r="M2738" s="0" t="s">
        <v>11626</v>
      </c>
      <c r="N2738" s="0" t="str">
        <f aca="false">RIGHT(M2738,LEN(M2738)-FIND(" ",M2738))</f>
        <v>WASHINGTON ST NW</v>
      </c>
      <c r="P2738" s="0" t="s">
        <v>146</v>
      </c>
      <c r="Q2738" s="0" t="s">
        <v>147</v>
      </c>
      <c r="R2738" s="0" t="n">
        <v>44483</v>
      </c>
      <c r="AD2738" s="0" t="s">
        <v>148</v>
      </c>
      <c r="AE2738" s="0" t="s">
        <v>149</v>
      </c>
      <c r="AF2738" s="0" t="s">
        <v>150</v>
      </c>
      <c r="AH2738" s="0" t="n">
        <v>14</v>
      </c>
      <c r="AI2738" s="0" t="n">
        <v>11</v>
      </c>
      <c r="AN2738" s="0" t="s">
        <v>146</v>
      </c>
      <c r="AO2738" s="0" t="s">
        <v>151</v>
      </c>
      <c r="AP2738" s="0" t="s">
        <v>152</v>
      </c>
      <c r="AQ2738" s="0" t="n">
        <v>9</v>
      </c>
      <c r="AR2738" s="0" t="n">
        <v>64</v>
      </c>
      <c r="AS2738" s="0" t="n">
        <v>32</v>
      </c>
      <c r="AU2738" s="0" t="n">
        <f aca="false">COUNTA($BA$1823:$EH$1823)</f>
        <v>9</v>
      </c>
      <c r="AV2738" s="0" t="n">
        <f aca="false">COUNTIF($BA$1823:$EH$1823,"D")</f>
        <v>1</v>
      </c>
      <c r="AW2738" s="0" t="n">
        <f aca="false">COUNTIF($BA$1823:$EH$1823,"R")</f>
        <v>0</v>
      </c>
      <c r="AX2738" s="0" t="n">
        <f aca="false">IF(BN2738="D",1,0)+IF(BO2738="D",1,0)+IF(BT2738="D",1,0)+IF(BU2738="D",1,0)+IF(BW2738="D",1,0)+IF(CC2738="D",1,0)+IF(CD2738="D",1,0)+IF(CE2738="D",1,0)+IF(CF2738="D",1,0)+IF(CL2738="D",1,0)+IF(CM2738="D",1,0)+IF(CQ2738="D",1,0)+IF(CR2738="D",1,0)+IF(CS2738="D",1,0)+IF(CW2738="D",1,0)+IF(CX2738="D",1,0)+IF(DD2738="D",1,0)+IF(DE2738="D",1,0)+IF(DJ2738="D",1,0)+IF(DK2738="D",1,0)+IF(DO2738="D",1,0)+IF(DP2738="D",1,0)+IF(DQ2738="D",1,0)+IF(DW2738="D",1,0)+IF(DZ2738="D",1,0)+IF(EH2738="D",1,0)</f>
        <v>4</v>
      </c>
      <c r="AY2738" s="0" t="n">
        <f aca="false">COUNTIF(DU2738:EH2738, "&lt;&gt;")</f>
        <v>7</v>
      </c>
      <c r="AZ2738" s="0" t="n">
        <f aca="false">IF(EH2738&lt;&gt;"",1,0)</f>
        <v>1</v>
      </c>
      <c r="BB2738" s="0" t="s">
        <v>153</v>
      </c>
      <c r="BC2738" s="0" t="s">
        <v>154</v>
      </c>
      <c r="BD2738" s="0" t="s">
        <v>154</v>
      </c>
      <c r="BH2738" s="0" t="s">
        <v>154</v>
      </c>
      <c r="BJ2738" s="0" t="s">
        <v>154</v>
      </c>
      <c r="BK2738" s="0" t="s">
        <v>154</v>
      </c>
      <c r="BL2738" s="0" t="s">
        <v>154</v>
      </c>
      <c r="BP2738" s="0" t="s">
        <v>154</v>
      </c>
      <c r="BR2738" s="0" t="s">
        <v>154</v>
      </c>
      <c r="BS2738" s="0" t="s">
        <v>154</v>
      </c>
      <c r="BV2738" s="0" t="s">
        <v>154</v>
      </c>
      <c r="BY2738" s="0" t="s">
        <v>155</v>
      </c>
      <c r="CA2738" s="0" t="s">
        <v>154</v>
      </c>
      <c r="CG2738" s="0" t="s">
        <v>154</v>
      </c>
      <c r="CK2738" s="0" t="s">
        <v>154</v>
      </c>
      <c r="CN2738" s="0" t="s">
        <v>154</v>
      </c>
      <c r="CP2738" s="0" t="s">
        <v>154</v>
      </c>
      <c r="CY2738" s="0" t="s">
        <v>154</v>
      </c>
      <c r="CZ2738" s="0" t="s">
        <v>155</v>
      </c>
      <c r="DC2738" s="0" t="s">
        <v>154</v>
      </c>
      <c r="DG2738" s="0" t="s">
        <v>155</v>
      </c>
      <c r="DI2738" s="0" t="s">
        <v>154</v>
      </c>
      <c r="DJ2738" s="0" t="s">
        <v>155</v>
      </c>
      <c r="DL2738" s="0" t="s">
        <v>154</v>
      </c>
      <c r="DM2738" s="0" t="s">
        <v>155</v>
      </c>
      <c r="DN2738" s="0" t="s">
        <v>154</v>
      </c>
      <c r="DO2738" s="0" t="s">
        <v>155</v>
      </c>
      <c r="DR2738" s="0" t="s">
        <v>154</v>
      </c>
      <c r="DS2738" s="0" t="s">
        <v>155</v>
      </c>
      <c r="DT2738" s="0" t="s">
        <v>155</v>
      </c>
      <c r="DU2738" s="0" t="s">
        <v>154</v>
      </c>
      <c r="DW2738" s="0" t="s">
        <v>155</v>
      </c>
      <c r="DX2738" s="0" t="s">
        <v>154</v>
      </c>
      <c r="EA2738" s="0" t="s">
        <v>154</v>
      </c>
      <c r="ED2738" s="0" t="s">
        <v>155</v>
      </c>
      <c r="EF2738" s="0" t="s">
        <v>154</v>
      </c>
      <c r="EH2738" s="0" t="s">
        <v>155</v>
      </c>
    </row>
    <row r="2739" customFormat="false" ht="13.8" hidden="false" customHeight="false" outlineLevel="0" collapsed="false">
      <c r="A2739" s="0" t="s">
        <v>11627</v>
      </c>
      <c r="B2739" s="0" t="n">
        <v>78</v>
      </c>
      <c r="C2739" s="0" t="n">
        <v>217872</v>
      </c>
      <c r="D2739" s="0" t="s">
        <v>429</v>
      </c>
      <c r="E2739" s="0" t="s">
        <v>278</v>
      </c>
      <c r="F2739" s="0" t="str">
        <f aca="false">CONCATENATE(D2739," ",LEFT(H2739,4),"T=",AU2739,"D=",AV2739,"R=",AW2739,"M=",AX2739,"L=",AY2739,"B=",AZ2739)</f>
        <v>JAMES T=5D=0R=0M=3L=4B=1</v>
      </c>
      <c r="G2739" s="0" t="s">
        <v>155</v>
      </c>
      <c r="I2739" s="0" t="s">
        <v>11628</v>
      </c>
      <c r="J2739" s="0" t="s">
        <v>11629</v>
      </c>
      <c r="K2739" s="0" t="s">
        <v>175</v>
      </c>
      <c r="L2739" s="1" t="s">
        <v>155</v>
      </c>
      <c r="M2739" s="0" t="s">
        <v>11630</v>
      </c>
      <c r="N2739" s="0" t="str">
        <f aca="false">RIGHT(M2739,LEN(M2739)-FIND(" ",M2739))</f>
        <v>WASHINGTON ST NW</v>
      </c>
      <c r="O2739" s="0" t="s">
        <v>1681</v>
      </c>
      <c r="P2739" s="0" t="s">
        <v>146</v>
      </c>
      <c r="Q2739" s="0" t="s">
        <v>147</v>
      </c>
      <c r="R2739" s="0" t="n">
        <v>44483</v>
      </c>
      <c r="AD2739" s="0" t="s">
        <v>148</v>
      </c>
      <c r="AE2739" s="0" t="s">
        <v>149</v>
      </c>
      <c r="AF2739" s="0" t="s">
        <v>150</v>
      </c>
      <c r="AH2739" s="0" t="n">
        <v>14</v>
      </c>
      <c r="AI2739" s="0" t="n">
        <v>11</v>
      </c>
      <c r="AN2739" s="0" t="s">
        <v>146</v>
      </c>
      <c r="AO2739" s="0" t="s">
        <v>151</v>
      </c>
      <c r="AP2739" s="0" t="s">
        <v>152</v>
      </c>
      <c r="AQ2739" s="0" t="n">
        <v>9</v>
      </c>
      <c r="AR2739" s="0" t="n">
        <v>64</v>
      </c>
      <c r="AS2739" s="0" t="n">
        <v>32</v>
      </c>
      <c r="AU2739" s="0" t="n">
        <f aca="false">COUNTA($BA$1470:$EH$1470)</f>
        <v>5</v>
      </c>
      <c r="AV2739" s="0" t="n">
        <f aca="false">COUNTIF($BA$1470:$EH$1470,"D")</f>
        <v>0</v>
      </c>
      <c r="AW2739" s="0" t="n">
        <f aca="false">COUNTIF($BA$1470:$EH$1470,"R")</f>
        <v>0</v>
      </c>
      <c r="AX2739" s="0" t="n">
        <f aca="false">IF(BN2739="D",1,0)+IF(BO2739="D",1,0)+IF(BT2739="D",1,0)+IF(BU2739="D",1,0)+IF(BW2739="D",1,0)+IF(CC2739="D",1,0)+IF(CD2739="D",1,0)+IF(CE2739="D",1,0)+IF(CF2739="D",1,0)+IF(CL2739="D",1,0)+IF(CM2739="D",1,0)+IF(CQ2739="D",1,0)+IF(CR2739="D",1,0)+IF(CS2739="D",1,0)+IF(CW2739="D",1,0)+IF(CX2739="D",1,0)+IF(DD2739="D",1,0)+IF(DE2739="D",1,0)+IF(DJ2739="D",1,0)+IF(DK2739="D",1,0)+IF(DO2739="D",1,0)+IF(DP2739="D",1,0)+IF(DQ2739="D",1,0)+IF(DW2739="D",1,0)+IF(DZ2739="D",1,0)+IF(EH2739="D",1,0)</f>
        <v>3</v>
      </c>
      <c r="AY2739" s="0" t="n">
        <f aca="false">COUNTIF(DU2739:EH2739, "&lt;&gt;")</f>
        <v>4</v>
      </c>
      <c r="AZ2739" s="0" t="n">
        <f aca="false">IF(EH2739&lt;&gt;"",1,0)</f>
        <v>1</v>
      </c>
      <c r="BB2739" s="0" t="s">
        <v>153</v>
      </c>
      <c r="BC2739" s="0" t="s">
        <v>154</v>
      </c>
      <c r="BD2739" s="0" t="s">
        <v>154</v>
      </c>
      <c r="BF2739" s="0" t="s">
        <v>154</v>
      </c>
      <c r="BG2739" s="0" t="s">
        <v>154</v>
      </c>
      <c r="BH2739" s="0" t="s">
        <v>154</v>
      </c>
      <c r="BI2739" s="0" t="s">
        <v>154</v>
      </c>
      <c r="BJ2739" s="0" t="s">
        <v>154</v>
      </c>
      <c r="BK2739" s="0" t="s">
        <v>154</v>
      </c>
      <c r="BL2739" s="0" t="s">
        <v>154</v>
      </c>
      <c r="BP2739" s="0" t="s">
        <v>154</v>
      </c>
      <c r="BR2739" s="0" t="s">
        <v>154</v>
      </c>
      <c r="BS2739" s="0" t="s">
        <v>154</v>
      </c>
      <c r="BV2739" s="0" t="s">
        <v>154</v>
      </c>
      <c r="BY2739" s="0" t="s">
        <v>155</v>
      </c>
      <c r="CA2739" s="0" t="s">
        <v>154</v>
      </c>
      <c r="CG2739" s="0" t="s">
        <v>154</v>
      </c>
      <c r="CK2739" s="0" t="s">
        <v>154</v>
      </c>
      <c r="CL2739" s="0" t="s">
        <v>155</v>
      </c>
      <c r="CP2739" s="0" t="s">
        <v>154</v>
      </c>
      <c r="CT2739" s="0" t="s">
        <v>154</v>
      </c>
      <c r="CW2739" s="0" t="s">
        <v>155</v>
      </c>
      <c r="CY2739" s="0" t="s">
        <v>154</v>
      </c>
      <c r="DC2739" s="0" t="s">
        <v>154</v>
      </c>
      <c r="DI2739" s="0" t="s">
        <v>154</v>
      </c>
      <c r="DN2739" s="0" t="s">
        <v>154</v>
      </c>
      <c r="DX2739" s="0" t="s">
        <v>154</v>
      </c>
      <c r="ED2739" s="0" t="s">
        <v>155</v>
      </c>
      <c r="EF2739" s="0" t="s">
        <v>154</v>
      </c>
      <c r="EH2739" s="0" t="s">
        <v>155</v>
      </c>
    </row>
    <row r="2740" customFormat="false" ht="13.8" hidden="true" customHeight="false" outlineLevel="0" collapsed="false">
      <c r="A2740" s="0" t="s">
        <v>11631</v>
      </c>
      <c r="B2740" s="0" t="n">
        <v>78</v>
      </c>
      <c r="C2740" s="0" t="n">
        <v>399756</v>
      </c>
      <c r="D2740" s="0" t="s">
        <v>11632</v>
      </c>
      <c r="E2740" s="0" t="s">
        <v>11633</v>
      </c>
      <c r="F2740" s="0" t="str">
        <f aca="false">CONCATENATE(D2740," ",LEFT(H2740,4),"T=",AU2740,"D=",AV2740,"R=",AW2740,"M=",AX2740,"L=",AY2740,"B=",AZ2740)</f>
        <v>KOZAK T=7D=0R=0M=0L=0B=0</v>
      </c>
      <c r="G2740" s="0" t="s">
        <v>216</v>
      </c>
      <c r="I2740" s="0" t="s">
        <v>11634</v>
      </c>
      <c r="J2740" s="0" t="s">
        <v>11635</v>
      </c>
      <c r="K2740" s="0" t="s">
        <v>175</v>
      </c>
      <c r="L2740" s="0"/>
      <c r="M2740" s="0" t="s">
        <v>11630</v>
      </c>
      <c r="N2740" s="0" t="str">
        <f aca="false">RIGHT(M2740,LEN(M2740)-FIND(" ",M2740))</f>
        <v>WASHINGTON ST NW</v>
      </c>
      <c r="O2740" s="0" t="s">
        <v>1687</v>
      </c>
      <c r="P2740" s="0" t="s">
        <v>146</v>
      </c>
      <c r="Q2740" s="0" t="s">
        <v>147</v>
      </c>
      <c r="R2740" s="0" t="n">
        <v>44483</v>
      </c>
      <c r="AD2740" s="0" t="s">
        <v>148</v>
      </c>
      <c r="AE2740" s="0" t="s">
        <v>149</v>
      </c>
      <c r="AF2740" s="0" t="s">
        <v>150</v>
      </c>
      <c r="AH2740" s="0" t="n">
        <v>14</v>
      </c>
      <c r="AI2740" s="0" t="n">
        <v>11</v>
      </c>
      <c r="AN2740" s="0" t="s">
        <v>146</v>
      </c>
      <c r="AO2740" s="0" t="s">
        <v>151</v>
      </c>
      <c r="AP2740" s="0" t="s">
        <v>152</v>
      </c>
      <c r="AQ2740" s="0" t="n">
        <v>9</v>
      </c>
      <c r="AR2740" s="0" t="n">
        <v>64</v>
      </c>
      <c r="AS2740" s="0" t="n">
        <v>32</v>
      </c>
      <c r="AU2740" s="0" t="n">
        <f aca="false">COUNTA($BA$1867:$EH$1867)</f>
        <v>7</v>
      </c>
      <c r="AV2740" s="0" t="n">
        <f aca="false">COUNTIF($BA$1867:$EH$1867,"D")</f>
        <v>0</v>
      </c>
      <c r="AW2740" s="0" t="n">
        <f aca="false">COUNTIF($BA$1867:$EH$1867,"R")</f>
        <v>0</v>
      </c>
      <c r="AX2740" s="0" t="n">
        <f aca="false">IF(BN2740="D",1,0)+IF(BO2740="D",1,0)+IF(BT2740="D",1,0)+IF(BU2740="D",1,0)+IF(BW2740="D",1,0)+IF(CC2740="D",1,0)+IF(CD2740="D",1,0)+IF(CE2740="D",1,0)+IF(CF2740="D",1,0)+IF(CL2740="D",1,0)+IF(CM2740="D",1,0)+IF(CQ2740="D",1,0)+IF(CR2740="D",1,0)+IF(CS2740="D",1,0)+IF(CW2740="D",1,0)+IF(CX2740="D",1,0)+IF(DD2740="D",1,0)+IF(DE2740="D",1,0)+IF(DJ2740="D",1,0)+IF(DK2740="D",1,0)+IF(DO2740="D",1,0)+IF(DP2740="D",1,0)+IF(DQ2740="D",1,0)+IF(DW2740="D",1,0)+IF(DZ2740="D",1,0)+IF(EH2740="D",1,0)</f>
        <v>0</v>
      </c>
      <c r="AY2740" s="0" t="n">
        <f aca="false">COUNTIF(DU2740:EH2740, "&lt;&gt;")</f>
        <v>0</v>
      </c>
      <c r="AZ2740" s="0" t="n">
        <f aca="false">IF(EH2740&lt;&gt;"",1,0)</f>
        <v>0</v>
      </c>
      <c r="BB2740" s="0" t="s">
        <v>153</v>
      </c>
    </row>
    <row r="2741" customFormat="false" ht="13.8" hidden="true" customHeight="false" outlineLevel="0" collapsed="false">
      <c r="A2741" s="0" t="s">
        <v>11636</v>
      </c>
      <c r="B2741" s="0" t="n">
        <v>78</v>
      </c>
      <c r="C2741" s="0" t="n">
        <v>454854</v>
      </c>
      <c r="D2741" s="0" t="s">
        <v>11637</v>
      </c>
      <c r="E2741" s="0" t="s">
        <v>165</v>
      </c>
      <c r="F2741" s="0" t="str">
        <f aca="false">CONCATENATE(D2741," ",LEFT(H2741,4),"T=",AU2741,"D=",AV2741,"R=",AW2741,"M=",AX2741,"L=",AY2741,"B=",AZ2741)</f>
        <v>HARDIE T=1D=0R=0M=0L=1B=0</v>
      </c>
      <c r="G2741" s="0" t="s">
        <v>11638</v>
      </c>
      <c r="I2741" s="0" t="s">
        <v>11639</v>
      </c>
      <c r="J2741" s="0" t="s">
        <v>5394</v>
      </c>
      <c r="K2741" s="0" t="s">
        <v>175</v>
      </c>
      <c r="L2741" s="0"/>
      <c r="M2741" s="0" t="s">
        <v>11640</v>
      </c>
      <c r="N2741" s="0" t="str">
        <f aca="false">RIGHT(M2741,LEN(M2741)-FIND(" ",M2741))</f>
        <v>WASHINGTON ST NW</v>
      </c>
      <c r="P2741" s="0" t="s">
        <v>146</v>
      </c>
      <c r="Q2741" s="0" t="s">
        <v>147</v>
      </c>
      <c r="R2741" s="0" t="n">
        <v>44483</v>
      </c>
      <c r="AD2741" s="0" t="s">
        <v>148</v>
      </c>
      <c r="AE2741" s="0" t="s">
        <v>149</v>
      </c>
      <c r="AF2741" s="0" t="s">
        <v>150</v>
      </c>
      <c r="AH2741" s="0" t="n">
        <v>14</v>
      </c>
      <c r="AI2741" s="0" t="n">
        <v>11</v>
      </c>
      <c r="AN2741" s="0" t="s">
        <v>146</v>
      </c>
      <c r="AO2741" s="0" t="s">
        <v>151</v>
      </c>
      <c r="AP2741" s="0" t="s">
        <v>152</v>
      </c>
      <c r="AQ2741" s="0" t="n">
        <v>9</v>
      </c>
      <c r="AR2741" s="0" t="n">
        <v>64</v>
      </c>
      <c r="AS2741" s="0" t="n">
        <v>32</v>
      </c>
      <c r="AU2741" s="0" t="n">
        <f aca="false">COUNTA($BA$1144:$EH$1144)</f>
        <v>1</v>
      </c>
      <c r="AV2741" s="0" t="n">
        <f aca="false">COUNTIF($BA$1144:$EH$1144,"D")</f>
        <v>0</v>
      </c>
      <c r="AW2741" s="0" t="n">
        <f aca="false">COUNTIF($BA$1144:$EH$1144,"R")</f>
        <v>0</v>
      </c>
      <c r="AX2741" s="0" t="n">
        <f aca="false">IF(BN2741="D",1,0)+IF(BO2741="D",1,0)+IF(BT2741="D",1,0)+IF(BU2741="D",1,0)+IF(BW2741="D",1,0)+IF(CC2741="D",1,0)+IF(CD2741="D",1,0)+IF(CE2741="D",1,0)+IF(CF2741="D",1,0)+IF(CL2741="D",1,0)+IF(CM2741="D",1,0)+IF(CQ2741="D",1,0)+IF(CR2741="D",1,0)+IF(CS2741="D",1,0)+IF(CW2741="D",1,0)+IF(CX2741="D",1,0)+IF(DD2741="D",1,0)+IF(DE2741="D",1,0)+IF(DJ2741="D",1,0)+IF(DK2741="D",1,0)+IF(DO2741="D",1,0)+IF(DP2741="D",1,0)+IF(DQ2741="D",1,0)+IF(DW2741="D",1,0)+IF(DZ2741="D",1,0)+IF(EH2741="D",1,0)</f>
        <v>0</v>
      </c>
      <c r="AY2741" s="0" t="n">
        <f aca="false">COUNTIF(DU2741:EH2741, "&lt;&gt;")</f>
        <v>1</v>
      </c>
      <c r="AZ2741" s="0" t="n">
        <f aca="false">IF(EH2741&lt;&gt;"",1,0)</f>
        <v>0</v>
      </c>
      <c r="BB2741" s="0" t="s">
        <v>153</v>
      </c>
      <c r="DN2741" s="0" t="s">
        <v>154</v>
      </c>
      <c r="EF2741" s="0" t="s">
        <v>154</v>
      </c>
    </row>
    <row r="2742" customFormat="false" ht="13.8" hidden="true" customHeight="false" outlineLevel="0" collapsed="false">
      <c r="A2742" s="0" t="s">
        <v>11641</v>
      </c>
      <c r="B2742" s="0" t="n">
        <v>78</v>
      </c>
      <c r="C2742" s="0" t="n">
        <v>457150</v>
      </c>
      <c r="D2742" s="0" t="s">
        <v>11637</v>
      </c>
      <c r="E2742" s="0" t="s">
        <v>11642</v>
      </c>
      <c r="F2742" s="0" t="str">
        <f aca="false">CONCATENATE(D2742," ",LEFT(H2742,4),"T=",AU2742,"D=",AV2742,"R=",AW2742,"M=",AX2742,"L=",AY2742,"B=",AZ2742)</f>
        <v>HARDIE T=2D=0R=0M=0L=1B=0</v>
      </c>
      <c r="G2742" s="0" t="s">
        <v>11643</v>
      </c>
      <c r="I2742" s="0" t="s">
        <v>11644</v>
      </c>
      <c r="J2742" s="0" t="s">
        <v>3065</v>
      </c>
      <c r="K2742" s="0" t="s">
        <v>175</v>
      </c>
      <c r="L2742" s="0"/>
      <c r="M2742" s="0" t="s">
        <v>11640</v>
      </c>
      <c r="N2742" s="0" t="str">
        <f aca="false">RIGHT(M2742,LEN(M2742)-FIND(" ",M2742))</f>
        <v>WASHINGTON ST NW</v>
      </c>
      <c r="P2742" s="0" t="s">
        <v>146</v>
      </c>
      <c r="Q2742" s="0" t="s">
        <v>147</v>
      </c>
      <c r="R2742" s="0" t="n">
        <v>44483</v>
      </c>
      <c r="AD2742" s="0" t="s">
        <v>148</v>
      </c>
      <c r="AE2742" s="0" t="s">
        <v>149</v>
      </c>
      <c r="AF2742" s="0" t="s">
        <v>150</v>
      </c>
      <c r="AH2742" s="0" t="n">
        <v>14</v>
      </c>
      <c r="AI2742" s="0" t="n">
        <v>11</v>
      </c>
      <c r="AN2742" s="0" t="s">
        <v>146</v>
      </c>
      <c r="AO2742" s="0" t="s">
        <v>151</v>
      </c>
      <c r="AP2742" s="0" t="s">
        <v>152</v>
      </c>
      <c r="AQ2742" s="0" t="n">
        <v>9</v>
      </c>
      <c r="AR2742" s="0" t="n">
        <v>64</v>
      </c>
      <c r="AS2742" s="0" t="n">
        <v>32</v>
      </c>
      <c r="AU2742" s="0" t="n">
        <f aca="false">COUNTA($BA$1146:$EH$1146)</f>
        <v>2</v>
      </c>
      <c r="AV2742" s="0" t="n">
        <f aca="false">COUNTIF($BA$1146:$EH$1146,"D")</f>
        <v>0</v>
      </c>
      <c r="AW2742" s="0" t="n">
        <f aca="false">COUNTIF($BA$1146:$EH$1146,"R")</f>
        <v>0</v>
      </c>
      <c r="AX2742" s="0" t="n">
        <f aca="false">IF(BN2742="D",1,0)+IF(BO2742="D",1,0)+IF(BT2742="D",1,0)+IF(BU2742="D",1,0)+IF(BW2742="D",1,0)+IF(CC2742="D",1,0)+IF(CD2742="D",1,0)+IF(CE2742="D",1,0)+IF(CF2742="D",1,0)+IF(CL2742="D",1,0)+IF(CM2742="D",1,0)+IF(CQ2742="D",1,0)+IF(CR2742="D",1,0)+IF(CS2742="D",1,0)+IF(CW2742="D",1,0)+IF(CX2742="D",1,0)+IF(DD2742="D",1,0)+IF(DE2742="D",1,0)+IF(DJ2742="D",1,0)+IF(DK2742="D",1,0)+IF(DO2742="D",1,0)+IF(DP2742="D",1,0)+IF(DQ2742="D",1,0)+IF(DW2742="D",1,0)+IF(DZ2742="D",1,0)+IF(EH2742="D",1,0)</f>
        <v>0</v>
      </c>
      <c r="AY2742" s="0" t="n">
        <f aca="false">COUNTIF(DU2742:EH2742, "&lt;&gt;")</f>
        <v>1</v>
      </c>
      <c r="AZ2742" s="0" t="n">
        <f aca="false">IF(EH2742&lt;&gt;"",1,0)</f>
        <v>0</v>
      </c>
      <c r="BB2742" s="0" t="s">
        <v>153</v>
      </c>
      <c r="EF2742" s="0" t="s">
        <v>154</v>
      </c>
    </row>
    <row r="2743" customFormat="false" ht="13.8" hidden="true" customHeight="false" outlineLevel="0" collapsed="false">
      <c r="A2743" s="0" t="s">
        <v>11645</v>
      </c>
      <c r="B2743" s="0" t="n">
        <v>78</v>
      </c>
      <c r="C2743" s="0" t="n">
        <v>458929</v>
      </c>
      <c r="D2743" s="0" t="s">
        <v>11637</v>
      </c>
      <c r="E2743" s="0" t="s">
        <v>8492</v>
      </c>
      <c r="F2743" s="0" t="str">
        <f aca="false">CONCATENATE(D2743," ",LEFT(H2743,4),"T=",AU2743,"D=",AV2743,"R=",AW2743,"M=",AX2743,"L=",AY2743,"B=",AZ2743)</f>
        <v>HARDIE IVT=35D=4R=2M=0L=1B=0</v>
      </c>
      <c r="G2743" s="0" t="s">
        <v>2213</v>
      </c>
      <c r="H2743" s="0" t="s">
        <v>1227</v>
      </c>
      <c r="I2743" s="0" t="s">
        <v>11646</v>
      </c>
      <c r="J2743" s="0" t="s">
        <v>11647</v>
      </c>
      <c r="K2743" s="0" t="s">
        <v>175</v>
      </c>
      <c r="L2743" s="0"/>
      <c r="M2743" s="0" t="s">
        <v>11640</v>
      </c>
      <c r="N2743" s="0" t="str">
        <f aca="false">RIGHT(M2743,LEN(M2743)-FIND(" ",M2743))</f>
        <v>WASHINGTON ST NW</v>
      </c>
      <c r="P2743" s="0" t="s">
        <v>146</v>
      </c>
      <c r="Q2743" s="0" t="s">
        <v>147</v>
      </c>
      <c r="R2743" s="0" t="n">
        <v>44483</v>
      </c>
      <c r="AD2743" s="0" t="s">
        <v>148</v>
      </c>
      <c r="AE2743" s="0" t="s">
        <v>149</v>
      </c>
      <c r="AF2743" s="0" t="s">
        <v>150</v>
      </c>
      <c r="AH2743" s="0" t="n">
        <v>14</v>
      </c>
      <c r="AI2743" s="0" t="n">
        <v>11</v>
      </c>
      <c r="AN2743" s="0" t="s">
        <v>146</v>
      </c>
      <c r="AO2743" s="0" t="s">
        <v>151</v>
      </c>
      <c r="AP2743" s="0" t="s">
        <v>152</v>
      </c>
      <c r="AQ2743" s="0" t="n">
        <v>9</v>
      </c>
      <c r="AR2743" s="0" t="n">
        <v>64</v>
      </c>
      <c r="AS2743" s="0" t="n">
        <v>32</v>
      </c>
      <c r="AU2743" s="0" t="n">
        <f aca="false">COUNTA($BA$1362:$EH$1362)</f>
        <v>35</v>
      </c>
      <c r="AV2743" s="0" t="n">
        <f aca="false">COUNTIF($BA$1362:$EH$1362,"D")</f>
        <v>4</v>
      </c>
      <c r="AW2743" s="0" t="n">
        <f aca="false">COUNTIF($BA$1362:$EH$1362,"R")</f>
        <v>2</v>
      </c>
      <c r="AX2743" s="0" t="n">
        <f aca="false">IF(BN2743="D",1,0)+IF(BO2743="D",1,0)+IF(BT2743="D",1,0)+IF(BU2743="D",1,0)+IF(BW2743="D",1,0)+IF(CC2743="D",1,0)+IF(CD2743="D",1,0)+IF(CE2743="D",1,0)+IF(CF2743="D",1,0)+IF(CL2743="D",1,0)+IF(CM2743="D",1,0)+IF(CQ2743="D",1,0)+IF(CR2743="D",1,0)+IF(CS2743="D",1,0)+IF(CW2743="D",1,0)+IF(CX2743="D",1,0)+IF(DD2743="D",1,0)+IF(DE2743="D",1,0)+IF(DJ2743="D",1,0)+IF(DK2743="D",1,0)+IF(DO2743="D",1,0)+IF(DP2743="D",1,0)+IF(DQ2743="D",1,0)+IF(DW2743="D",1,0)+IF(DZ2743="D",1,0)+IF(EH2743="D",1,0)</f>
        <v>0</v>
      </c>
      <c r="AY2743" s="0" t="n">
        <f aca="false">COUNTIF(DU2743:EH2743, "&lt;&gt;")</f>
        <v>1</v>
      </c>
      <c r="AZ2743" s="0" t="n">
        <f aca="false">IF(EH2743&lt;&gt;"",1,0)</f>
        <v>0</v>
      </c>
      <c r="BB2743" s="0" t="s">
        <v>153</v>
      </c>
      <c r="EF2743" s="0" t="s">
        <v>154</v>
      </c>
    </row>
    <row r="2744" customFormat="false" ht="13.8" hidden="true" customHeight="false" outlineLevel="0" collapsed="false">
      <c r="A2744" s="0" t="s">
        <v>11648</v>
      </c>
      <c r="B2744" s="0" t="n">
        <v>78</v>
      </c>
      <c r="C2744" s="0" t="n">
        <v>457151</v>
      </c>
      <c r="D2744" s="0" t="s">
        <v>11637</v>
      </c>
      <c r="E2744" s="0" t="s">
        <v>1373</v>
      </c>
      <c r="F2744" s="0" t="str">
        <f aca="false">CONCATENATE(D2744," ",LEFT(H2744,4),"T=",AU2744,"D=",AV2744,"R=",AW2744,"M=",AX2744,"L=",AY2744,"B=",AZ2744)</f>
        <v>HARDIE T=1D=0R=0M=0L=0B=0</v>
      </c>
      <c r="G2744" s="0" t="s">
        <v>664</v>
      </c>
      <c r="I2744" s="0" t="s">
        <v>11649</v>
      </c>
      <c r="J2744" s="0" t="s">
        <v>11650</v>
      </c>
      <c r="K2744" s="0" t="s">
        <v>144</v>
      </c>
      <c r="L2744" s="0"/>
      <c r="M2744" s="0" t="s">
        <v>11640</v>
      </c>
      <c r="N2744" s="0" t="str">
        <f aca="false">RIGHT(M2744,LEN(M2744)-FIND(" ",M2744))</f>
        <v>WASHINGTON ST NW</v>
      </c>
      <c r="P2744" s="0" t="s">
        <v>146</v>
      </c>
      <c r="Q2744" s="0" t="s">
        <v>147</v>
      </c>
      <c r="R2744" s="0" t="n">
        <v>44483</v>
      </c>
      <c r="AD2744" s="0" t="s">
        <v>148</v>
      </c>
      <c r="AE2744" s="0" t="s">
        <v>149</v>
      </c>
      <c r="AF2744" s="0" t="s">
        <v>150</v>
      </c>
      <c r="AH2744" s="0" t="n">
        <v>14</v>
      </c>
      <c r="AI2744" s="0" t="n">
        <v>11</v>
      </c>
      <c r="AN2744" s="0" t="s">
        <v>146</v>
      </c>
      <c r="AO2744" s="0" t="s">
        <v>151</v>
      </c>
      <c r="AP2744" s="0" t="s">
        <v>152</v>
      </c>
      <c r="AQ2744" s="0" t="n">
        <v>9</v>
      </c>
      <c r="AR2744" s="0" t="n">
        <v>64</v>
      </c>
      <c r="AS2744" s="0" t="n">
        <v>32</v>
      </c>
      <c r="AU2744" s="0" t="n">
        <f aca="false">COUNTA($BA$1716:$EH$1716)</f>
        <v>1</v>
      </c>
      <c r="AV2744" s="0" t="n">
        <f aca="false">COUNTIF($BA$1716:$EH$1716,"D")</f>
        <v>0</v>
      </c>
      <c r="AW2744" s="0" t="n">
        <f aca="false">COUNTIF($BA$1716:$EH$1716,"R")</f>
        <v>0</v>
      </c>
      <c r="AX2744" s="0" t="n">
        <f aca="false">IF(BN2744="D",1,0)+IF(BO2744="D",1,0)+IF(BT2744="D",1,0)+IF(BU2744="D",1,0)+IF(BW2744="D",1,0)+IF(CC2744="D",1,0)+IF(CD2744="D",1,0)+IF(CE2744="D",1,0)+IF(CF2744="D",1,0)+IF(CL2744="D",1,0)+IF(CM2744="D",1,0)+IF(CQ2744="D",1,0)+IF(CR2744="D",1,0)+IF(CS2744="D",1,0)+IF(CW2744="D",1,0)+IF(CX2744="D",1,0)+IF(DD2744="D",1,0)+IF(DE2744="D",1,0)+IF(DJ2744="D",1,0)+IF(DK2744="D",1,0)+IF(DO2744="D",1,0)+IF(DP2744="D",1,0)+IF(DQ2744="D",1,0)+IF(DW2744="D",1,0)+IF(DZ2744="D",1,0)+IF(EH2744="D",1,0)</f>
        <v>0</v>
      </c>
      <c r="AY2744" s="0" t="n">
        <f aca="false">COUNTIF(DU2744:EH2744, "&lt;&gt;")</f>
        <v>0</v>
      </c>
      <c r="AZ2744" s="0" t="n">
        <f aca="false">IF(EH2744&lt;&gt;"",1,0)</f>
        <v>0</v>
      </c>
      <c r="BB2744" s="0" t="s">
        <v>153</v>
      </c>
    </row>
    <row r="2745" customFormat="false" ht="13.8" hidden="true" customHeight="false" outlineLevel="0" collapsed="false">
      <c r="A2745" s="0" t="s">
        <v>11651</v>
      </c>
      <c r="B2745" s="0" t="n">
        <v>78</v>
      </c>
      <c r="C2745" s="0" t="n">
        <v>459063</v>
      </c>
      <c r="D2745" s="0" t="s">
        <v>11637</v>
      </c>
      <c r="E2745" s="0" t="s">
        <v>1698</v>
      </c>
      <c r="F2745" s="0" t="str">
        <f aca="false">CONCATENATE(D2745," ",LEFT(H2745,4),"T=",AU2745,"D=",AV2745,"R=",AW2745,"M=",AX2745,"L=",AY2745,"B=",AZ2745)</f>
        <v>HARDIE T=50D=14R=2M=0L=1B=0</v>
      </c>
      <c r="G2745" s="0" t="s">
        <v>10041</v>
      </c>
      <c r="I2745" s="0" t="s">
        <v>11652</v>
      </c>
      <c r="J2745" s="0" t="s">
        <v>712</v>
      </c>
      <c r="K2745" s="0" t="s">
        <v>175</v>
      </c>
      <c r="L2745" s="0"/>
      <c r="M2745" s="0" t="s">
        <v>11640</v>
      </c>
      <c r="N2745" s="0" t="str">
        <f aca="false">RIGHT(M2745,LEN(M2745)-FIND(" ",M2745))</f>
        <v>WASHINGTON ST NW</v>
      </c>
      <c r="P2745" s="0" t="s">
        <v>146</v>
      </c>
      <c r="Q2745" s="0" t="s">
        <v>147</v>
      </c>
      <c r="R2745" s="0" t="n">
        <v>44483</v>
      </c>
      <c r="AD2745" s="0" t="s">
        <v>148</v>
      </c>
      <c r="AE2745" s="0" t="s">
        <v>149</v>
      </c>
      <c r="AF2745" s="0" t="s">
        <v>150</v>
      </c>
      <c r="AH2745" s="0" t="n">
        <v>14</v>
      </c>
      <c r="AI2745" s="0" t="n">
        <v>11</v>
      </c>
      <c r="AN2745" s="0" t="s">
        <v>146</v>
      </c>
      <c r="AO2745" s="0" t="s">
        <v>151</v>
      </c>
      <c r="AP2745" s="0" t="s">
        <v>152</v>
      </c>
      <c r="AQ2745" s="0" t="n">
        <v>9</v>
      </c>
      <c r="AR2745" s="0" t="n">
        <v>64</v>
      </c>
      <c r="AS2745" s="0" t="n">
        <v>32</v>
      </c>
      <c r="AU2745" s="0" t="n">
        <f aca="false">COUNTA($BA$1892:$EH$1892)</f>
        <v>50</v>
      </c>
      <c r="AV2745" s="0" t="n">
        <f aca="false">COUNTIF($BA$1892:$EH$1892,"D")</f>
        <v>14</v>
      </c>
      <c r="AW2745" s="0" t="n">
        <f aca="false">COUNTIF($BA$1892:$EH$1892,"R")</f>
        <v>2</v>
      </c>
      <c r="AX2745" s="0" t="n">
        <f aca="false">IF(BN2745="D",1,0)+IF(BO2745="D",1,0)+IF(BT2745="D",1,0)+IF(BU2745="D",1,0)+IF(BW2745="D",1,0)+IF(CC2745="D",1,0)+IF(CD2745="D",1,0)+IF(CE2745="D",1,0)+IF(CF2745="D",1,0)+IF(CL2745="D",1,0)+IF(CM2745="D",1,0)+IF(CQ2745="D",1,0)+IF(CR2745="D",1,0)+IF(CS2745="D",1,0)+IF(CW2745="D",1,0)+IF(CX2745="D",1,0)+IF(DD2745="D",1,0)+IF(DE2745="D",1,0)+IF(DJ2745="D",1,0)+IF(DK2745="D",1,0)+IF(DO2745="D",1,0)+IF(DP2745="D",1,0)+IF(DQ2745="D",1,0)+IF(DW2745="D",1,0)+IF(DZ2745="D",1,0)+IF(EH2745="D",1,0)</f>
        <v>0</v>
      </c>
      <c r="AY2745" s="0" t="n">
        <f aca="false">COUNTIF(DU2745:EH2745, "&lt;&gt;")</f>
        <v>1</v>
      </c>
      <c r="AZ2745" s="0" t="n">
        <f aca="false">IF(EH2745&lt;&gt;"",1,0)</f>
        <v>0</v>
      </c>
      <c r="BB2745" s="0" t="s">
        <v>153</v>
      </c>
      <c r="EF2745" s="0" t="s">
        <v>154</v>
      </c>
    </row>
    <row r="2746" customFormat="false" ht="13.8" hidden="false" customHeight="false" outlineLevel="0" collapsed="false">
      <c r="A2746" s="0" t="s">
        <v>11653</v>
      </c>
      <c r="B2746" s="0" t="n">
        <v>78</v>
      </c>
      <c r="C2746" s="0" t="n">
        <v>418959</v>
      </c>
      <c r="D2746" s="0" t="s">
        <v>291</v>
      </c>
      <c r="E2746" s="0" t="s">
        <v>266</v>
      </c>
      <c r="F2746" s="0" t="str">
        <f aca="false">CONCATENATE(D2746," ",LEFT(H2746,4),"T=",AU2746,"D=",AV2746,"R=",AW2746,"M=",AX2746,"L=",AY2746,"B=",AZ2746)</f>
        <v>HARVEY JRT=2D=0R=0M=1L=2B=0</v>
      </c>
      <c r="G2746" s="0" t="s">
        <v>9382</v>
      </c>
      <c r="H2746" s="0" t="s">
        <v>431</v>
      </c>
      <c r="I2746" s="0" t="s">
        <v>11654</v>
      </c>
      <c r="J2746" s="0" t="s">
        <v>11655</v>
      </c>
      <c r="K2746" s="0" t="s">
        <v>175</v>
      </c>
      <c r="M2746" s="0" t="s">
        <v>11656</v>
      </c>
      <c r="N2746" s="0" t="str">
        <f aca="false">RIGHT(M2746,LEN(M2746)-FIND(" ",M2746))</f>
        <v>WASHINGTON ST NW</v>
      </c>
      <c r="P2746" s="0" t="s">
        <v>146</v>
      </c>
      <c r="Q2746" s="0" t="s">
        <v>147</v>
      </c>
      <c r="R2746" s="0" t="n">
        <v>44483</v>
      </c>
      <c r="AD2746" s="0" t="s">
        <v>148</v>
      </c>
      <c r="AE2746" s="0" t="s">
        <v>149</v>
      </c>
      <c r="AF2746" s="0" t="s">
        <v>150</v>
      </c>
      <c r="AH2746" s="0" t="n">
        <v>14</v>
      </c>
      <c r="AI2746" s="0" t="n">
        <v>11</v>
      </c>
      <c r="AN2746" s="0" t="s">
        <v>146</v>
      </c>
      <c r="AO2746" s="0" t="s">
        <v>151</v>
      </c>
      <c r="AP2746" s="0" t="s">
        <v>152</v>
      </c>
      <c r="AQ2746" s="0" t="n">
        <v>9</v>
      </c>
      <c r="AR2746" s="0" t="n">
        <v>64</v>
      </c>
      <c r="AS2746" s="0" t="n">
        <v>32</v>
      </c>
      <c r="AU2746" s="0" t="n">
        <f aca="false">COUNTA($BA$1130:$EH$1130)</f>
        <v>2</v>
      </c>
      <c r="AV2746" s="0" t="n">
        <f aca="false">COUNTIF($BA$1130:$EH$1130,"D")</f>
        <v>0</v>
      </c>
      <c r="AW2746" s="0" t="n">
        <f aca="false">COUNTIF($BA$1130:$EH$1130,"R")</f>
        <v>0</v>
      </c>
      <c r="AX2746" s="0" t="n">
        <f aca="false">IF(BN2746="D",1,0)+IF(BO2746="D",1,0)+IF(BT2746="D",1,0)+IF(BU2746="D",1,0)+IF(BW2746="D",1,0)+IF(CC2746="D",1,0)+IF(CD2746="D",1,0)+IF(CE2746="D",1,0)+IF(CF2746="D",1,0)+IF(CL2746="D",1,0)+IF(CM2746="D",1,0)+IF(CQ2746="D",1,0)+IF(CR2746="D",1,0)+IF(CS2746="D",1,0)+IF(CW2746="D",1,0)+IF(CX2746="D",1,0)+IF(DD2746="D",1,0)+IF(DE2746="D",1,0)+IF(DJ2746="D",1,0)+IF(DK2746="D",1,0)+IF(DO2746="D",1,0)+IF(DP2746="D",1,0)+IF(DQ2746="D",1,0)+IF(DW2746="D",1,0)+IF(DZ2746="D",1,0)+IF(EH2746="D",1,0)</f>
        <v>1</v>
      </c>
      <c r="AY2746" s="0" t="n">
        <f aca="false">COUNTIF(DU2746:EH2746, "&lt;&gt;")</f>
        <v>2</v>
      </c>
      <c r="AZ2746" s="0" t="n">
        <f aca="false">IF(EH2746&lt;&gt;"",1,0)</f>
        <v>0</v>
      </c>
      <c r="BB2746" s="0" t="s">
        <v>153</v>
      </c>
      <c r="DC2746" s="0" t="s">
        <v>154</v>
      </c>
      <c r="DD2746" s="0" t="s">
        <v>155</v>
      </c>
      <c r="DI2746" s="0" t="s">
        <v>154</v>
      </c>
      <c r="DL2746" s="0" t="s">
        <v>154</v>
      </c>
      <c r="DN2746" s="0" t="s">
        <v>154</v>
      </c>
      <c r="DR2746" s="0" t="s">
        <v>154</v>
      </c>
      <c r="DU2746" s="0" t="s">
        <v>154</v>
      </c>
      <c r="EF2746" s="0" t="s">
        <v>154</v>
      </c>
    </row>
    <row r="2747" customFormat="false" ht="13.8" hidden="false" customHeight="false" outlineLevel="0" collapsed="false">
      <c r="A2747" s="0" t="s">
        <v>11657</v>
      </c>
      <c r="B2747" s="0" t="n">
        <v>78</v>
      </c>
      <c r="C2747" s="0" t="n">
        <v>418970</v>
      </c>
      <c r="D2747" s="0" t="s">
        <v>291</v>
      </c>
      <c r="E2747" s="0" t="s">
        <v>2640</v>
      </c>
      <c r="F2747" s="0" t="str">
        <f aca="false">CONCATENATE(D2747," ",LEFT(H2747,4),"T=",AU2747,"D=",AV2747,"R=",AW2747,"M=",AX2747,"L=",AY2747,"B=",AZ2747)</f>
        <v>HARVEY T=8D=0R=1M=0L=2B=0</v>
      </c>
      <c r="G2747" s="0" t="s">
        <v>216</v>
      </c>
      <c r="I2747" s="0" t="s">
        <v>11658</v>
      </c>
      <c r="J2747" s="0" t="s">
        <v>11655</v>
      </c>
      <c r="K2747" s="0" t="s">
        <v>175</v>
      </c>
      <c r="M2747" s="0" t="s">
        <v>11656</v>
      </c>
      <c r="N2747" s="0" t="str">
        <f aca="false">RIGHT(M2747,LEN(M2747)-FIND(" ",M2747))</f>
        <v>WASHINGTON ST NW</v>
      </c>
      <c r="P2747" s="0" t="s">
        <v>146</v>
      </c>
      <c r="Q2747" s="0" t="s">
        <v>147</v>
      </c>
      <c r="R2747" s="0" t="n">
        <v>44483</v>
      </c>
      <c r="AD2747" s="0" t="s">
        <v>148</v>
      </c>
      <c r="AE2747" s="0" t="s">
        <v>149</v>
      </c>
      <c r="AF2747" s="0" t="s">
        <v>150</v>
      </c>
      <c r="AH2747" s="0" t="n">
        <v>14</v>
      </c>
      <c r="AI2747" s="0" t="n">
        <v>11</v>
      </c>
      <c r="AN2747" s="0" t="s">
        <v>146</v>
      </c>
      <c r="AO2747" s="0" t="s">
        <v>151</v>
      </c>
      <c r="AP2747" s="0" t="s">
        <v>152</v>
      </c>
      <c r="AQ2747" s="0" t="n">
        <v>9</v>
      </c>
      <c r="AR2747" s="0" t="n">
        <v>64</v>
      </c>
      <c r="AS2747" s="0" t="n">
        <v>32</v>
      </c>
      <c r="AU2747" s="0" t="n">
        <f aca="false">COUNTA($BA$1448:$EH$1448)</f>
        <v>8</v>
      </c>
      <c r="AV2747" s="0" t="n">
        <f aca="false">COUNTIF($BA$1448:$EH$1448,"D")</f>
        <v>0</v>
      </c>
      <c r="AW2747" s="0" t="n">
        <f aca="false">COUNTIF($BA$1448:$EH$1448,"R")</f>
        <v>1</v>
      </c>
      <c r="AX2747" s="0" t="n">
        <f aca="false">IF(BN2747="D",1,0)+IF(BO2747="D",1,0)+IF(BT2747="D",1,0)+IF(BU2747="D",1,0)+IF(BW2747="D",1,0)+IF(CC2747="D",1,0)+IF(CD2747="D",1,0)+IF(CE2747="D",1,0)+IF(CF2747="D",1,0)+IF(CL2747="D",1,0)+IF(CM2747="D",1,0)+IF(CQ2747="D",1,0)+IF(CR2747="D",1,0)+IF(CS2747="D",1,0)+IF(CW2747="D",1,0)+IF(CX2747="D",1,0)+IF(DD2747="D",1,0)+IF(DE2747="D",1,0)+IF(DJ2747="D",1,0)+IF(DK2747="D",1,0)+IF(DO2747="D",1,0)+IF(DP2747="D",1,0)+IF(DQ2747="D",1,0)+IF(DW2747="D",1,0)+IF(DZ2747="D",1,0)+IF(EH2747="D",1,0)</f>
        <v>0</v>
      </c>
      <c r="AY2747" s="0" t="n">
        <f aca="false">COUNTIF(DU2747:EH2747, "&lt;&gt;")</f>
        <v>2</v>
      </c>
      <c r="AZ2747" s="0" t="n">
        <f aca="false">IF(EH2747&lt;&gt;"",1,0)</f>
        <v>0</v>
      </c>
      <c r="BB2747" s="0" t="s">
        <v>153</v>
      </c>
      <c r="DC2747" s="0" t="s">
        <v>154</v>
      </c>
      <c r="DI2747" s="0" t="s">
        <v>154</v>
      </c>
      <c r="DL2747" s="0" t="s">
        <v>154</v>
      </c>
      <c r="DN2747" s="0" t="s">
        <v>154</v>
      </c>
      <c r="DU2747" s="0" t="s">
        <v>154</v>
      </c>
      <c r="EF2747" s="0" t="s">
        <v>154</v>
      </c>
    </row>
    <row r="2748" customFormat="false" ht="13.8" hidden="true" customHeight="false" outlineLevel="0" collapsed="false">
      <c r="A2748" s="0" t="s">
        <v>11659</v>
      </c>
      <c r="B2748" s="0" t="n">
        <v>78</v>
      </c>
      <c r="C2748" s="0" t="n">
        <v>448676</v>
      </c>
      <c r="D2748" s="0" t="s">
        <v>11396</v>
      </c>
      <c r="E2748" s="0" t="s">
        <v>11176</v>
      </c>
      <c r="F2748" s="0" t="str">
        <f aca="false">CONCATENATE(D2748," ",LEFT(H2748,4),"T=",AU2748,"D=",AV2748,"R=",AW2748,"M=",AX2748,"L=",AY2748,"B=",AZ2748)</f>
        <v>ENGLISH T=3D=0R=1M=0L=0B=0</v>
      </c>
      <c r="G2748" s="0" t="s">
        <v>11660</v>
      </c>
      <c r="I2748" s="0" t="s">
        <v>11661</v>
      </c>
      <c r="J2748" s="0" t="s">
        <v>11662</v>
      </c>
      <c r="K2748" s="0" t="s">
        <v>144</v>
      </c>
      <c r="L2748" s="0"/>
      <c r="M2748" s="0" t="s">
        <v>11656</v>
      </c>
      <c r="N2748" s="0" t="str">
        <f aca="false">RIGHT(M2748,LEN(M2748)-FIND(" ",M2748))</f>
        <v>WASHINGTON ST NW</v>
      </c>
      <c r="P2748" s="0" t="s">
        <v>146</v>
      </c>
      <c r="Q2748" s="0" t="s">
        <v>147</v>
      </c>
      <c r="R2748" s="0" t="n">
        <v>44483</v>
      </c>
      <c r="AD2748" s="0" t="s">
        <v>148</v>
      </c>
      <c r="AE2748" s="0" t="s">
        <v>149</v>
      </c>
      <c r="AF2748" s="0" t="s">
        <v>150</v>
      </c>
      <c r="AH2748" s="0" t="n">
        <v>14</v>
      </c>
      <c r="AI2748" s="0" t="n">
        <v>11</v>
      </c>
      <c r="AN2748" s="0" t="s">
        <v>146</v>
      </c>
      <c r="AO2748" s="0" t="s">
        <v>151</v>
      </c>
      <c r="AP2748" s="0" t="s">
        <v>152</v>
      </c>
      <c r="AQ2748" s="0" t="n">
        <v>9</v>
      </c>
      <c r="AR2748" s="0" t="n">
        <v>64</v>
      </c>
      <c r="AS2748" s="0" t="n">
        <v>32</v>
      </c>
      <c r="AU2748" s="0" t="n">
        <f aca="false">COUNTA($BA$1670:$EH$1670)</f>
        <v>3</v>
      </c>
      <c r="AV2748" s="0" t="n">
        <f aca="false">COUNTIF($BA$1670:$EH$1670,"D")</f>
        <v>0</v>
      </c>
      <c r="AW2748" s="0" t="n">
        <f aca="false">COUNTIF($BA$1670:$EH$1670,"R")</f>
        <v>1</v>
      </c>
      <c r="AX2748" s="0" t="n">
        <f aca="false">IF(BN2748="D",1,0)+IF(BO2748="D",1,0)+IF(BT2748="D",1,0)+IF(BU2748="D",1,0)+IF(BW2748="D",1,0)+IF(CC2748="D",1,0)+IF(CD2748="D",1,0)+IF(CE2748="D",1,0)+IF(CF2748="D",1,0)+IF(CL2748="D",1,0)+IF(CM2748="D",1,0)+IF(CQ2748="D",1,0)+IF(CR2748="D",1,0)+IF(CS2748="D",1,0)+IF(CW2748="D",1,0)+IF(CX2748="D",1,0)+IF(DD2748="D",1,0)+IF(DE2748="D",1,0)+IF(DJ2748="D",1,0)+IF(DK2748="D",1,0)+IF(DO2748="D",1,0)+IF(DP2748="D",1,0)+IF(DQ2748="D",1,0)+IF(DW2748="D",1,0)+IF(DZ2748="D",1,0)+IF(EH2748="D",1,0)</f>
        <v>0</v>
      </c>
      <c r="AY2748" s="0" t="n">
        <f aca="false">COUNTIF(DU2748:EH2748, "&lt;&gt;")</f>
        <v>0</v>
      </c>
      <c r="AZ2748" s="0" t="n">
        <f aca="false">IF(EH2748&lt;&gt;"",1,0)</f>
        <v>0</v>
      </c>
      <c r="BB2748" s="0" t="s">
        <v>153</v>
      </c>
      <c r="DN2748" s="0" t="s">
        <v>154</v>
      </c>
    </row>
    <row r="2749" customFormat="false" ht="13.8" hidden="false" customHeight="false" outlineLevel="0" collapsed="false">
      <c r="A2749" s="0" t="s">
        <v>11663</v>
      </c>
      <c r="B2749" s="0" t="n">
        <v>78</v>
      </c>
      <c r="C2749" s="0" t="n">
        <v>450367</v>
      </c>
      <c r="D2749" s="0" t="s">
        <v>11396</v>
      </c>
      <c r="E2749" s="0" t="s">
        <v>11664</v>
      </c>
      <c r="F2749" s="0" t="str">
        <f aca="false">CONCATENATE(D2749," ",LEFT(H2749,4),"T=",AU2749,"D=",AV2749,"R=",AW2749,"M=",AX2749,"L=",AY2749,"B=",AZ2749)</f>
        <v>ENGLISH T=3D=0R=0M=0L=2B=0</v>
      </c>
      <c r="G2749" s="0" t="s">
        <v>11665</v>
      </c>
      <c r="I2749" s="0" t="s">
        <v>11666</v>
      </c>
      <c r="J2749" s="0" t="s">
        <v>3521</v>
      </c>
      <c r="K2749" s="0" t="s">
        <v>175</v>
      </c>
      <c r="M2749" s="0" t="s">
        <v>11656</v>
      </c>
      <c r="N2749" s="0" t="str">
        <f aca="false">RIGHT(M2749,LEN(M2749)-FIND(" ",M2749))</f>
        <v>WASHINGTON ST NW</v>
      </c>
      <c r="P2749" s="0" t="s">
        <v>146</v>
      </c>
      <c r="Q2749" s="0" t="s">
        <v>147</v>
      </c>
      <c r="R2749" s="0" t="n">
        <v>44483</v>
      </c>
      <c r="AD2749" s="0" t="s">
        <v>148</v>
      </c>
      <c r="AE2749" s="0" t="s">
        <v>149</v>
      </c>
      <c r="AF2749" s="0" t="s">
        <v>150</v>
      </c>
      <c r="AH2749" s="0" t="n">
        <v>14</v>
      </c>
      <c r="AI2749" s="0" t="n">
        <v>11</v>
      </c>
      <c r="AN2749" s="0" t="s">
        <v>146</v>
      </c>
      <c r="AO2749" s="0" t="s">
        <v>151</v>
      </c>
      <c r="AP2749" s="0" t="s">
        <v>152</v>
      </c>
      <c r="AQ2749" s="0" t="n">
        <v>9</v>
      </c>
      <c r="AR2749" s="0" t="n">
        <v>64</v>
      </c>
      <c r="AS2749" s="0" t="n">
        <v>32</v>
      </c>
      <c r="AU2749" s="0" t="n">
        <f aca="false">COUNTA($BA$1801:$EH$1801)</f>
        <v>3</v>
      </c>
      <c r="AV2749" s="0" t="n">
        <f aca="false">COUNTIF($BA$1801:$EH$1801,"D")</f>
        <v>0</v>
      </c>
      <c r="AW2749" s="0" t="n">
        <f aca="false">COUNTIF($BA$1801:$EH$1801,"R")</f>
        <v>0</v>
      </c>
      <c r="AX2749" s="0" t="n">
        <f aca="false">IF(BN2749="D",1,0)+IF(BO2749="D",1,0)+IF(BT2749="D",1,0)+IF(BU2749="D",1,0)+IF(BW2749="D",1,0)+IF(CC2749="D",1,0)+IF(CD2749="D",1,0)+IF(CE2749="D",1,0)+IF(CF2749="D",1,0)+IF(CL2749="D",1,0)+IF(CM2749="D",1,0)+IF(CQ2749="D",1,0)+IF(CR2749="D",1,0)+IF(CS2749="D",1,0)+IF(CW2749="D",1,0)+IF(CX2749="D",1,0)+IF(DD2749="D",1,0)+IF(DE2749="D",1,0)+IF(DJ2749="D",1,0)+IF(DK2749="D",1,0)+IF(DO2749="D",1,0)+IF(DP2749="D",1,0)+IF(DQ2749="D",1,0)+IF(DW2749="D",1,0)+IF(DZ2749="D",1,0)+IF(EH2749="D",1,0)</f>
        <v>0</v>
      </c>
      <c r="AY2749" s="0" t="n">
        <f aca="false">COUNTIF(DU2749:EH2749, "&lt;&gt;")</f>
        <v>2</v>
      </c>
      <c r="AZ2749" s="0" t="n">
        <f aca="false">IF(EH2749&lt;&gt;"",1,0)</f>
        <v>0</v>
      </c>
      <c r="BB2749" s="0" t="s">
        <v>153</v>
      </c>
      <c r="DN2749" s="0" t="s">
        <v>154</v>
      </c>
      <c r="DU2749" s="0" t="s">
        <v>154</v>
      </c>
      <c r="EF2749" s="0" t="s">
        <v>154</v>
      </c>
    </row>
    <row r="2750" customFormat="false" ht="13.8" hidden="false" customHeight="false" outlineLevel="0" collapsed="false">
      <c r="A2750" s="0" t="s">
        <v>11667</v>
      </c>
      <c r="B2750" s="0" t="n">
        <v>78</v>
      </c>
      <c r="C2750" s="0" t="n">
        <v>397866</v>
      </c>
      <c r="D2750" s="0" t="s">
        <v>937</v>
      </c>
      <c r="E2750" s="0" t="s">
        <v>292</v>
      </c>
      <c r="F2750" s="0" t="str">
        <f aca="false">CONCATENATE(D2750," ",LEFT(H2750,4),"T=",AU2750,"D=",AV2750,"R=",AW2750,"M=",AX2750,"L=",AY2750,"B=",AZ2750)</f>
        <v>LEDSOME T=1D=0R=0M=0L=2B=0</v>
      </c>
      <c r="G2750" s="0" t="s">
        <v>1374</v>
      </c>
      <c r="I2750" s="0" t="s">
        <v>11668</v>
      </c>
      <c r="J2750" s="0" t="s">
        <v>7922</v>
      </c>
      <c r="K2750" s="0" t="s">
        <v>175</v>
      </c>
      <c r="M2750" s="0" t="s">
        <v>11656</v>
      </c>
      <c r="N2750" s="0" t="str">
        <f aca="false">RIGHT(M2750,LEN(M2750)-FIND(" ",M2750))</f>
        <v>WASHINGTON ST NW</v>
      </c>
      <c r="P2750" s="0" t="s">
        <v>146</v>
      </c>
      <c r="Q2750" s="0" t="s">
        <v>147</v>
      </c>
      <c r="R2750" s="0" t="n">
        <v>44483</v>
      </c>
      <c r="AD2750" s="0" t="s">
        <v>148</v>
      </c>
      <c r="AE2750" s="0" t="s">
        <v>149</v>
      </c>
      <c r="AF2750" s="0" t="s">
        <v>150</v>
      </c>
      <c r="AH2750" s="0" t="n">
        <v>14</v>
      </c>
      <c r="AI2750" s="0" t="n">
        <v>11</v>
      </c>
      <c r="AN2750" s="0" t="s">
        <v>146</v>
      </c>
      <c r="AO2750" s="0" t="s">
        <v>151</v>
      </c>
      <c r="AP2750" s="0" t="s">
        <v>152</v>
      </c>
      <c r="AQ2750" s="0" t="n">
        <v>9</v>
      </c>
      <c r="AR2750" s="0" t="n">
        <v>64</v>
      </c>
      <c r="AS2750" s="0" t="n">
        <v>32</v>
      </c>
      <c r="AU2750" s="0" t="n">
        <f aca="false">COUNTA($BA$1849:$EH$1849)</f>
        <v>1</v>
      </c>
      <c r="AV2750" s="0" t="n">
        <f aca="false">COUNTIF($BA$1849:$EH$1849,"D")</f>
        <v>0</v>
      </c>
      <c r="AW2750" s="0" t="n">
        <f aca="false">COUNTIF($BA$1849:$EH$1849,"R")</f>
        <v>0</v>
      </c>
      <c r="AX2750" s="0" t="n">
        <f aca="false">IF(BN2750="D",1,0)+IF(BO2750="D",1,0)+IF(BT2750="D",1,0)+IF(BU2750="D",1,0)+IF(BW2750="D",1,0)+IF(CC2750="D",1,0)+IF(CD2750="D",1,0)+IF(CE2750="D",1,0)+IF(CF2750="D",1,0)+IF(CL2750="D",1,0)+IF(CM2750="D",1,0)+IF(CQ2750="D",1,0)+IF(CR2750="D",1,0)+IF(CS2750="D",1,0)+IF(CW2750="D",1,0)+IF(CX2750="D",1,0)+IF(DD2750="D",1,0)+IF(DE2750="D",1,0)+IF(DJ2750="D",1,0)+IF(DK2750="D",1,0)+IF(DO2750="D",1,0)+IF(DP2750="D",1,0)+IF(DQ2750="D",1,0)+IF(DW2750="D",1,0)+IF(DZ2750="D",1,0)+IF(EH2750="D",1,0)</f>
        <v>0</v>
      </c>
      <c r="AY2750" s="0" t="n">
        <f aca="false">COUNTIF(DU2750:EH2750, "&lt;&gt;")</f>
        <v>2</v>
      </c>
      <c r="AZ2750" s="0" t="n">
        <f aca="false">IF(EH2750&lt;&gt;"",1,0)</f>
        <v>0</v>
      </c>
      <c r="BB2750" s="0" t="s">
        <v>153</v>
      </c>
      <c r="DC2750" s="0" t="s">
        <v>154</v>
      </c>
      <c r="DI2750" s="0" t="s">
        <v>154</v>
      </c>
      <c r="DN2750" s="0" t="s">
        <v>154</v>
      </c>
      <c r="DU2750" s="0" t="s">
        <v>154</v>
      </c>
      <c r="EF2750" s="0" t="s">
        <v>154</v>
      </c>
    </row>
    <row r="2751" customFormat="false" ht="13.8" hidden="true" customHeight="false" outlineLevel="0" collapsed="false">
      <c r="A2751" s="0" t="s">
        <v>11669</v>
      </c>
      <c r="B2751" s="0" t="n">
        <v>78</v>
      </c>
      <c r="C2751" s="0" t="n">
        <v>368214</v>
      </c>
      <c r="D2751" s="0" t="s">
        <v>11670</v>
      </c>
      <c r="E2751" s="0" t="s">
        <v>11671</v>
      </c>
      <c r="F2751" s="0" t="str">
        <f aca="false">CONCATENATE(D2751," ",LEFT(H2751,4),"T=",AU2751,"D=",AV2751,"R=",AW2751,"M=",AX2751,"L=",AY2751,"B=",AZ2751)</f>
        <v>MANCINO T=1D=0R=0M=1L=0B=0</v>
      </c>
      <c r="G2751" s="0" t="s">
        <v>365</v>
      </c>
      <c r="I2751" s="0" t="s">
        <v>11672</v>
      </c>
      <c r="J2751" s="0" t="s">
        <v>11673</v>
      </c>
      <c r="K2751" s="0" t="s">
        <v>175</v>
      </c>
      <c r="L2751" s="0"/>
      <c r="M2751" s="0" t="s">
        <v>11674</v>
      </c>
      <c r="N2751" s="0" t="str">
        <f aca="false">RIGHT(M2751,LEN(M2751)-FIND(" ",M2751))</f>
        <v>WASHINGTON ST NW</v>
      </c>
      <c r="P2751" s="0" t="s">
        <v>146</v>
      </c>
      <c r="Q2751" s="0" t="s">
        <v>147</v>
      </c>
      <c r="R2751" s="0" t="n">
        <v>44483</v>
      </c>
      <c r="AD2751" s="0" t="s">
        <v>148</v>
      </c>
      <c r="AE2751" s="0" t="s">
        <v>149</v>
      </c>
      <c r="AF2751" s="0" t="s">
        <v>150</v>
      </c>
      <c r="AH2751" s="0" t="n">
        <v>14</v>
      </c>
      <c r="AI2751" s="0" t="n">
        <v>11</v>
      </c>
      <c r="AN2751" s="0" t="s">
        <v>146</v>
      </c>
      <c r="AO2751" s="0" t="s">
        <v>151</v>
      </c>
      <c r="AP2751" s="0" t="s">
        <v>152</v>
      </c>
      <c r="AQ2751" s="0" t="n">
        <v>9</v>
      </c>
      <c r="AR2751" s="0" t="n">
        <v>64</v>
      </c>
      <c r="AS2751" s="0" t="n">
        <v>32</v>
      </c>
      <c r="AU2751" s="0" t="n">
        <f aca="false">COUNTA($BA$1549:$EH$1549)</f>
        <v>1</v>
      </c>
      <c r="AV2751" s="0" t="n">
        <f aca="false">COUNTIF($BA$1549:$EH$1549,"D")</f>
        <v>0</v>
      </c>
      <c r="AW2751" s="0" t="n">
        <f aca="false">COUNTIF($BA$1549:$EH$1549,"R")</f>
        <v>0</v>
      </c>
      <c r="AX2751" s="0" t="n">
        <f aca="false">IF(BN2751="D",1,0)+IF(BO2751="D",1,0)+IF(BT2751="D",1,0)+IF(BU2751="D",1,0)+IF(BW2751="D",1,0)+IF(CC2751="D",1,0)+IF(CD2751="D",1,0)+IF(CE2751="D",1,0)+IF(CF2751="D",1,0)+IF(CL2751="D",1,0)+IF(CM2751="D",1,0)+IF(CQ2751="D",1,0)+IF(CR2751="D",1,0)+IF(CS2751="D",1,0)+IF(CW2751="D",1,0)+IF(CX2751="D",1,0)+IF(DD2751="D",1,0)+IF(DE2751="D",1,0)+IF(DJ2751="D",1,0)+IF(DK2751="D",1,0)+IF(DO2751="D",1,0)+IF(DP2751="D",1,0)+IF(DQ2751="D",1,0)+IF(DW2751="D",1,0)+IF(DZ2751="D",1,0)+IF(EH2751="D",1,0)</f>
        <v>1</v>
      </c>
      <c r="AY2751" s="0" t="n">
        <f aca="false">COUNTIF(DU2751:EH2751, "&lt;&gt;")</f>
        <v>0</v>
      </c>
      <c r="AZ2751" s="0" t="n">
        <f aca="false">IF(EH2751&lt;&gt;"",1,0)</f>
        <v>0</v>
      </c>
      <c r="BB2751" s="0" t="s">
        <v>153</v>
      </c>
      <c r="CW2751" s="0" t="s">
        <v>155</v>
      </c>
      <c r="CY2751" s="0" t="s">
        <v>154</v>
      </c>
      <c r="DC2751" s="0" t="s">
        <v>154</v>
      </c>
    </row>
    <row r="2752" customFormat="false" ht="13.8" hidden="true" customHeight="false" outlineLevel="0" collapsed="false">
      <c r="A2752" s="0" t="s">
        <v>11675</v>
      </c>
      <c r="B2752" s="0" t="n">
        <v>78</v>
      </c>
      <c r="C2752" s="0" t="n">
        <v>459813</v>
      </c>
      <c r="D2752" s="0" t="s">
        <v>2926</v>
      </c>
      <c r="E2752" s="0" t="s">
        <v>1122</v>
      </c>
      <c r="F2752" s="0" t="str">
        <f aca="false">CONCATENATE(D2752," ",LEFT(H2752,4),"T=",AU2752,"D=",AV2752,"R=",AW2752,"M=",AX2752,"L=",AY2752,"B=",AZ2752)</f>
        <v>CAMPBELL T=2D=0R=0M=0L=0B=0</v>
      </c>
      <c r="G2752" s="0" t="s">
        <v>3304</v>
      </c>
      <c r="I2752" s="0" t="s">
        <v>11676</v>
      </c>
      <c r="J2752" s="0" t="s">
        <v>1660</v>
      </c>
      <c r="K2752" s="0" t="s">
        <v>175</v>
      </c>
      <c r="L2752" s="0"/>
      <c r="M2752" s="0" t="s">
        <v>11677</v>
      </c>
      <c r="N2752" s="0" t="str">
        <f aca="false">RIGHT(M2752,LEN(M2752)-FIND(" ",M2752))</f>
        <v>WASHINGTON ST NW</v>
      </c>
      <c r="P2752" s="0" t="s">
        <v>146</v>
      </c>
      <c r="Q2752" s="0" t="s">
        <v>147</v>
      </c>
      <c r="R2752" s="0" t="n">
        <v>44483</v>
      </c>
      <c r="AD2752" s="0" t="s">
        <v>148</v>
      </c>
      <c r="AE2752" s="0" t="s">
        <v>149</v>
      </c>
      <c r="AF2752" s="0" t="s">
        <v>150</v>
      </c>
      <c r="AH2752" s="0" t="n">
        <v>14</v>
      </c>
      <c r="AI2752" s="0" t="n">
        <v>11</v>
      </c>
      <c r="AN2752" s="0" t="s">
        <v>146</v>
      </c>
      <c r="AO2752" s="0" t="s">
        <v>151</v>
      </c>
      <c r="AP2752" s="0" t="s">
        <v>152</v>
      </c>
      <c r="AQ2752" s="0" t="n">
        <v>9</v>
      </c>
      <c r="AR2752" s="0" t="n">
        <v>64</v>
      </c>
      <c r="AS2752" s="0" t="n">
        <v>32</v>
      </c>
      <c r="AU2752" s="0" t="n">
        <f aca="false">COUNTA($BA$1936:$EH$1936)</f>
        <v>2</v>
      </c>
      <c r="AV2752" s="0" t="n">
        <f aca="false">COUNTIF($BA$1936:$EH$1936,"D")</f>
        <v>0</v>
      </c>
      <c r="AW2752" s="0" t="n">
        <f aca="false">COUNTIF($BA$1936:$EH$1936,"R")</f>
        <v>0</v>
      </c>
      <c r="AX2752" s="0" t="n">
        <f aca="false">IF(BN2752="D",1,0)+IF(BO2752="D",1,0)+IF(BT2752="D",1,0)+IF(BU2752="D",1,0)+IF(BW2752="D",1,0)+IF(CC2752="D",1,0)+IF(CD2752="D",1,0)+IF(CE2752="D",1,0)+IF(CF2752="D",1,0)+IF(CL2752="D",1,0)+IF(CM2752="D",1,0)+IF(CQ2752="D",1,0)+IF(CR2752="D",1,0)+IF(CS2752="D",1,0)+IF(CW2752="D",1,0)+IF(CX2752="D",1,0)+IF(DD2752="D",1,0)+IF(DE2752="D",1,0)+IF(DJ2752="D",1,0)+IF(DK2752="D",1,0)+IF(DO2752="D",1,0)+IF(DP2752="D",1,0)+IF(DQ2752="D",1,0)+IF(DW2752="D",1,0)+IF(DZ2752="D",1,0)+IF(EH2752="D",1,0)</f>
        <v>0</v>
      </c>
      <c r="AY2752" s="0" t="n">
        <f aca="false">COUNTIF(DU2752:EH2752, "&lt;&gt;")</f>
        <v>0</v>
      </c>
      <c r="AZ2752" s="0" t="n">
        <f aca="false">IF(EH2752&lt;&gt;"",1,0)</f>
        <v>0</v>
      </c>
      <c r="BB2752" s="0" t="s">
        <v>153</v>
      </c>
    </row>
    <row r="2753" customFormat="false" ht="13.8" hidden="false" customHeight="false" outlineLevel="0" collapsed="false">
      <c r="A2753" s="0" t="s">
        <v>11678</v>
      </c>
      <c r="B2753" s="0" t="n">
        <v>78</v>
      </c>
      <c r="C2753" s="0" t="n">
        <v>1813</v>
      </c>
      <c r="D2753" s="0" t="s">
        <v>429</v>
      </c>
      <c r="E2753" s="0" t="s">
        <v>278</v>
      </c>
      <c r="F2753" s="0" t="str">
        <f aca="false">CONCATENATE(D2753," ",LEFT(H2753,4),"T=",AU2753,"D=",AV2753,"R=",AW2753,"M=",AX2753,"L=",AY2753,"B=",AZ2753)</f>
        <v>JAMES T=2D=0R=0M=6L=7B=1</v>
      </c>
      <c r="G2753" s="0" t="s">
        <v>297</v>
      </c>
      <c r="I2753" s="0" t="s">
        <v>11679</v>
      </c>
      <c r="J2753" s="0" t="s">
        <v>11680</v>
      </c>
      <c r="K2753" s="0" t="s">
        <v>175</v>
      </c>
      <c r="L2753" s="1" t="s">
        <v>155</v>
      </c>
      <c r="M2753" s="0" t="s">
        <v>11681</v>
      </c>
      <c r="N2753" s="0" t="str">
        <f aca="false">RIGHT(M2753,LEN(M2753)-FIND(" ",M2753))</f>
        <v>WASHINGTON ST NW</v>
      </c>
      <c r="P2753" s="0" t="s">
        <v>146</v>
      </c>
      <c r="Q2753" s="0" t="s">
        <v>147</v>
      </c>
      <c r="R2753" s="0" t="n">
        <v>44483</v>
      </c>
      <c r="AD2753" s="0" t="s">
        <v>148</v>
      </c>
      <c r="AE2753" s="0" t="s">
        <v>149</v>
      </c>
      <c r="AF2753" s="0" t="s">
        <v>150</v>
      </c>
      <c r="AH2753" s="0" t="n">
        <v>14</v>
      </c>
      <c r="AI2753" s="0" t="n">
        <v>11</v>
      </c>
      <c r="AN2753" s="0" t="s">
        <v>146</v>
      </c>
      <c r="AO2753" s="0" t="s">
        <v>151</v>
      </c>
      <c r="AP2753" s="0" t="s">
        <v>152</v>
      </c>
      <c r="AQ2753" s="0" t="n">
        <v>9</v>
      </c>
      <c r="AR2753" s="0" t="n">
        <v>64</v>
      </c>
      <c r="AS2753" s="0" t="n">
        <v>32</v>
      </c>
      <c r="AU2753" s="0" t="n">
        <f aca="false">COUNTA($BA$1822:$EH$1822)</f>
        <v>2</v>
      </c>
      <c r="AV2753" s="0" t="n">
        <f aca="false">COUNTIF($BA$1822:$EH$1822,"D")</f>
        <v>0</v>
      </c>
      <c r="AW2753" s="0" t="n">
        <f aca="false">COUNTIF($BA$1822:$EH$1822,"R")</f>
        <v>0</v>
      </c>
      <c r="AX2753" s="0" t="n">
        <f aca="false">IF(BN2753="D",1,0)+IF(BO2753="D",1,0)+IF(BT2753="D",1,0)+IF(BU2753="D",1,0)+IF(BW2753="D",1,0)+IF(CC2753="D",1,0)+IF(CD2753="D",1,0)+IF(CE2753="D",1,0)+IF(CF2753="D",1,0)+IF(CL2753="D",1,0)+IF(CM2753="D",1,0)+IF(CQ2753="D",1,0)+IF(CR2753="D",1,0)+IF(CS2753="D",1,0)+IF(CW2753="D",1,0)+IF(CX2753="D",1,0)+IF(DD2753="D",1,0)+IF(DE2753="D",1,0)+IF(DJ2753="D",1,0)+IF(DK2753="D",1,0)+IF(DO2753="D",1,0)+IF(DP2753="D",1,0)+IF(DQ2753="D",1,0)+IF(DW2753="D",1,0)+IF(DZ2753="D",1,0)+IF(EH2753="D",1,0)</f>
        <v>6</v>
      </c>
      <c r="AY2753" s="0" t="n">
        <f aca="false">COUNTIF(DU2753:EH2753, "&lt;&gt;")</f>
        <v>7</v>
      </c>
      <c r="AZ2753" s="0" t="n">
        <f aca="false">IF(EH2753&lt;&gt;"",1,0)</f>
        <v>1</v>
      </c>
      <c r="BB2753" s="0" t="s">
        <v>153</v>
      </c>
      <c r="BC2753" s="0" t="s">
        <v>154</v>
      </c>
      <c r="BD2753" s="0" t="s">
        <v>154</v>
      </c>
      <c r="BE2753" s="0" t="s">
        <v>154</v>
      </c>
      <c r="BF2753" s="0" t="s">
        <v>154</v>
      </c>
      <c r="BG2753" s="0" t="s">
        <v>154</v>
      </c>
      <c r="BH2753" s="0" t="s">
        <v>154</v>
      </c>
      <c r="BJ2753" s="0" t="s">
        <v>154</v>
      </c>
      <c r="BL2753" s="0" t="s">
        <v>154</v>
      </c>
      <c r="BP2753" s="0" t="s">
        <v>154</v>
      </c>
      <c r="BR2753" s="0" t="s">
        <v>154</v>
      </c>
      <c r="BS2753" s="0" t="s">
        <v>154</v>
      </c>
      <c r="BV2753" s="0" t="s">
        <v>154</v>
      </c>
      <c r="BY2753" s="0" t="s">
        <v>155</v>
      </c>
      <c r="CA2753" s="0" t="s">
        <v>154</v>
      </c>
      <c r="CG2753" s="0" t="s">
        <v>154</v>
      </c>
      <c r="CH2753" s="0" t="s">
        <v>155</v>
      </c>
      <c r="CK2753" s="0" t="s">
        <v>154</v>
      </c>
      <c r="CL2753" s="0" t="s">
        <v>155</v>
      </c>
      <c r="CN2753" s="0" t="s">
        <v>154</v>
      </c>
      <c r="CO2753" s="0" t="s">
        <v>155</v>
      </c>
      <c r="CP2753" s="0" t="s">
        <v>154</v>
      </c>
      <c r="CU2753" s="0" t="s">
        <v>155</v>
      </c>
      <c r="CV2753" s="0" t="s">
        <v>154</v>
      </c>
      <c r="CW2753" s="0" t="s">
        <v>155</v>
      </c>
      <c r="CY2753" s="0" t="s">
        <v>154</v>
      </c>
      <c r="CZ2753" s="0" t="s">
        <v>176</v>
      </c>
      <c r="DC2753" s="0" t="s">
        <v>154</v>
      </c>
      <c r="DD2753" s="0" t="s">
        <v>155</v>
      </c>
      <c r="DF2753" s="0" t="s">
        <v>154</v>
      </c>
      <c r="DG2753" s="0" t="s">
        <v>155</v>
      </c>
      <c r="DI2753" s="0" t="s">
        <v>154</v>
      </c>
      <c r="DJ2753" s="0" t="s">
        <v>155</v>
      </c>
      <c r="DL2753" s="0" t="s">
        <v>154</v>
      </c>
      <c r="DM2753" s="0" t="s">
        <v>176</v>
      </c>
      <c r="DN2753" s="0" t="s">
        <v>154</v>
      </c>
      <c r="DR2753" s="0" t="s">
        <v>154</v>
      </c>
      <c r="DS2753" s="0" t="s">
        <v>176</v>
      </c>
      <c r="DT2753" s="0" t="s">
        <v>176</v>
      </c>
      <c r="DU2753" s="0" t="s">
        <v>154</v>
      </c>
      <c r="DW2753" s="0" t="s">
        <v>155</v>
      </c>
      <c r="DX2753" s="0" t="s">
        <v>154</v>
      </c>
      <c r="EA2753" s="0" t="s">
        <v>154</v>
      </c>
      <c r="ED2753" s="0" t="s">
        <v>176</v>
      </c>
      <c r="EF2753" s="0" t="s">
        <v>154</v>
      </c>
      <c r="EH2753" s="0" t="s">
        <v>155</v>
      </c>
    </row>
    <row r="2754" customFormat="false" ht="13.8" hidden="false" customHeight="false" outlineLevel="0" collapsed="false">
      <c r="A2754" s="0" t="s">
        <v>11682</v>
      </c>
      <c r="B2754" s="0" t="n">
        <v>78</v>
      </c>
      <c r="C2754" s="0" t="n">
        <v>1814</v>
      </c>
      <c r="D2754" s="0" t="s">
        <v>429</v>
      </c>
      <c r="E2754" s="0" t="s">
        <v>5180</v>
      </c>
      <c r="F2754" s="0" t="str">
        <f aca="false">CONCATENATE(D2754," ",LEFT(H2754,4),"T=",AU2754,"D=",AV2754,"R=",AW2754,"M=",AX2754,"L=",AY2754,"B=",AZ2754)</f>
        <v>JAMES T=4D=0R=0M=6L=7B=1</v>
      </c>
      <c r="G2754" s="0" t="s">
        <v>455</v>
      </c>
      <c r="I2754" s="0" t="s">
        <v>11683</v>
      </c>
      <c r="J2754" s="0" t="s">
        <v>11680</v>
      </c>
      <c r="K2754" s="0" t="s">
        <v>175</v>
      </c>
      <c r="L2754" s="1" t="s">
        <v>155</v>
      </c>
      <c r="M2754" s="0" t="s">
        <v>11681</v>
      </c>
      <c r="N2754" s="0" t="str">
        <f aca="false">RIGHT(M2754,LEN(M2754)-FIND(" ",M2754))</f>
        <v>WASHINGTON ST NW</v>
      </c>
      <c r="P2754" s="0" t="s">
        <v>146</v>
      </c>
      <c r="Q2754" s="0" t="s">
        <v>147</v>
      </c>
      <c r="R2754" s="0" t="n">
        <v>44483</v>
      </c>
      <c r="AD2754" s="0" t="s">
        <v>148</v>
      </c>
      <c r="AE2754" s="0" t="s">
        <v>149</v>
      </c>
      <c r="AF2754" s="0" t="s">
        <v>150</v>
      </c>
      <c r="AH2754" s="0" t="n">
        <v>14</v>
      </c>
      <c r="AI2754" s="0" t="n">
        <v>11</v>
      </c>
      <c r="AN2754" s="0" t="s">
        <v>146</v>
      </c>
      <c r="AO2754" s="0" t="s">
        <v>151</v>
      </c>
      <c r="AP2754" s="0" t="s">
        <v>152</v>
      </c>
      <c r="AQ2754" s="0" t="n">
        <v>9</v>
      </c>
      <c r="AR2754" s="0" t="n">
        <v>64</v>
      </c>
      <c r="AS2754" s="0" t="n">
        <v>32</v>
      </c>
      <c r="AU2754" s="0" t="n">
        <f aca="false">COUNTA($BA$1841:$EH$1841)</f>
        <v>4</v>
      </c>
      <c r="AV2754" s="0" t="n">
        <f aca="false">COUNTIF($BA$1841:$EH$1841,"D")</f>
        <v>0</v>
      </c>
      <c r="AW2754" s="0" t="n">
        <f aca="false">COUNTIF($BA$1841:$EH$1841,"R")</f>
        <v>0</v>
      </c>
      <c r="AX2754" s="0" t="n">
        <f aca="false">IF(BN2754="D",1,0)+IF(BO2754="D",1,0)+IF(BT2754="D",1,0)+IF(BU2754="D",1,0)+IF(BW2754="D",1,0)+IF(CC2754="D",1,0)+IF(CD2754="D",1,0)+IF(CE2754="D",1,0)+IF(CF2754="D",1,0)+IF(CL2754="D",1,0)+IF(CM2754="D",1,0)+IF(CQ2754="D",1,0)+IF(CR2754="D",1,0)+IF(CS2754="D",1,0)+IF(CW2754="D",1,0)+IF(CX2754="D",1,0)+IF(DD2754="D",1,0)+IF(DE2754="D",1,0)+IF(DJ2754="D",1,0)+IF(DK2754="D",1,0)+IF(DO2754="D",1,0)+IF(DP2754="D",1,0)+IF(DQ2754="D",1,0)+IF(DW2754="D",1,0)+IF(DZ2754="D",1,0)+IF(EH2754="D",1,0)</f>
        <v>6</v>
      </c>
      <c r="AY2754" s="0" t="n">
        <f aca="false">COUNTIF(DU2754:EH2754, "&lt;&gt;")</f>
        <v>7</v>
      </c>
      <c r="AZ2754" s="0" t="n">
        <f aca="false">IF(EH2754&lt;&gt;"",1,0)</f>
        <v>1</v>
      </c>
      <c r="BB2754" s="0" t="s">
        <v>153</v>
      </c>
      <c r="BC2754" s="0" t="s">
        <v>154</v>
      </c>
      <c r="BD2754" s="0" t="s">
        <v>154</v>
      </c>
      <c r="BE2754" s="0" t="s">
        <v>154</v>
      </c>
      <c r="BF2754" s="0" t="s">
        <v>154</v>
      </c>
      <c r="BG2754" s="0" t="s">
        <v>154</v>
      </c>
      <c r="BH2754" s="0" t="s">
        <v>154</v>
      </c>
      <c r="BI2754" s="0" t="s">
        <v>154</v>
      </c>
      <c r="BK2754" s="0" t="s">
        <v>154</v>
      </c>
      <c r="BL2754" s="0" t="s">
        <v>154</v>
      </c>
      <c r="BP2754" s="0" t="s">
        <v>154</v>
      </c>
      <c r="BR2754" s="0" t="s">
        <v>154</v>
      </c>
      <c r="BS2754" s="0" t="s">
        <v>154</v>
      </c>
      <c r="BY2754" s="0" t="s">
        <v>155</v>
      </c>
      <c r="CA2754" s="0" t="s">
        <v>154</v>
      </c>
      <c r="CG2754" s="0" t="s">
        <v>154</v>
      </c>
      <c r="CK2754" s="0" t="s">
        <v>154</v>
      </c>
      <c r="CL2754" s="0" t="s">
        <v>155</v>
      </c>
      <c r="CN2754" s="0" t="s">
        <v>154</v>
      </c>
      <c r="CO2754" s="0" t="s">
        <v>155</v>
      </c>
      <c r="CP2754" s="0" t="s">
        <v>154</v>
      </c>
      <c r="CU2754" s="0" t="s">
        <v>155</v>
      </c>
      <c r="CV2754" s="0" t="s">
        <v>154</v>
      </c>
      <c r="CW2754" s="0" t="s">
        <v>155</v>
      </c>
      <c r="CY2754" s="0" t="s">
        <v>154</v>
      </c>
      <c r="CZ2754" s="0" t="s">
        <v>155</v>
      </c>
      <c r="DC2754" s="0" t="s">
        <v>154</v>
      </c>
      <c r="DD2754" s="0" t="s">
        <v>155</v>
      </c>
      <c r="DF2754" s="0" t="s">
        <v>154</v>
      </c>
      <c r="DG2754" s="0" t="s">
        <v>155</v>
      </c>
      <c r="DI2754" s="0" t="s">
        <v>154</v>
      </c>
      <c r="DJ2754" s="0" t="s">
        <v>155</v>
      </c>
      <c r="DL2754" s="0" t="s">
        <v>154</v>
      </c>
      <c r="DM2754" s="0" t="s">
        <v>155</v>
      </c>
      <c r="DN2754" s="0" t="s">
        <v>154</v>
      </c>
      <c r="DR2754" s="0" t="s">
        <v>154</v>
      </c>
      <c r="DS2754" s="0" t="s">
        <v>155</v>
      </c>
      <c r="DT2754" s="0" t="s">
        <v>155</v>
      </c>
      <c r="DU2754" s="0" t="s">
        <v>154</v>
      </c>
      <c r="DW2754" s="0" t="s">
        <v>155</v>
      </c>
      <c r="DX2754" s="0" t="s">
        <v>154</v>
      </c>
      <c r="EA2754" s="0" t="s">
        <v>154</v>
      </c>
      <c r="ED2754" s="0" t="s">
        <v>155</v>
      </c>
      <c r="EF2754" s="0" t="s">
        <v>154</v>
      </c>
      <c r="EH2754" s="0" t="s">
        <v>155</v>
      </c>
    </row>
    <row r="2755" customFormat="false" ht="13.8" hidden="false" customHeight="false" outlineLevel="0" collapsed="false">
      <c r="A2755" s="0" t="s">
        <v>11684</v>
      </c>
      <c r="B2755" s="0" t="n">
        <v>78</v>
      </c>
      <c r="C2755" s="0" t="n">
        <v>325626</v>
      </c>
      <c r="D2755" s="0" t="s">
        <v>11685</v>
      </c>
      <c r="E2755" s="0" t="s">
        <v>11686</v>
      </c>
      <c r="F2755" s="0" t="str">
        <f aca="false">CONCATENATE(D2755," ",LEFT(H2755,4),"T=",AU2755,"D=",AV2755,"R=",AW2755,"M=",AX2755,"L=",AY2755,"B=",AZ2755)</f>
        <v>YOVICH T=8D=0R=1M=3L=4B=0</v>
      </c>
      <c r="I2755" s="0" t="s">
        <v>11687</v>
      </c>
      <c r="J2755" s="0" t="s">
        <v>11688</v>
      </c>
      <c r="K2755" s="0" t="s">
        <v>175</v>
      </c>
      <c r="L2755" s="1" t="s">
        <v>176</v>
      </c>
      <c r="M2755" s="0" t="s">
        <v>11689</v>
      </c>
      <c r="N2755" s="0" t="str">
        <f aca="false">RIGHT(M2755,LEN(M2755)-FIND(" ",M2755))</f>
        <v>WASHINGTON ST NW</v>
      </c>
      <c r="P2755" s="0" t="s">
        <v>146</v>
      </c>
      <c r="Q2755" s="0" t="s">
        <v>147</v>
      </c>
      <c r="R2755" s="0" t="n">
        <v>44483</v>
      </c>
      <c r="AD2755" s="0" t="s">
        <v>148</v>
      </c>
      <c r="AE2755" s="0" t="s">
        <v>149</v>
      </c>
      <c r="AF2755" s="0" t="s">
        <v>150</v>
      </c>
      <c r="AH2755" s="0" t="n">
        <v>14</v>
      </c>
      <c r="AI2755" s="0" t="n">
        <v>11</v>
      </c>
      <c r="AN2755" s="0" t="s">
        <v>146</v>
      </c>
      <c r="AO2755" s="0" t="s">
        <v>151</v>
      </c>
      <c r="AP2755" s="0" t="s">
        <v>152</v>
      </c>
      <c r="AQ2755" s="0" t="n">
        <v>9</v>
      </c>
      <c r="AR2755" s="0" t="n">
        <v>64</v>
      </c>
      <c r="AS2755" s="0" t="n">
        <v>32</v>
      </c>
      <c r="AU2755" s="0" t="n">
        <f aca="false">COUNTA($BA$1550:$EH$1550)</f>
        <v>8</v>
      </c>
      <c r="AV2755" s="0" t="n">
        <f aca="false">COUNTIF($BA$1550:$EH$1550,"D")</f>
        <v>0</v>
      </c>
      <c r="AW2755" s="0" t="n">
        <f aca="false">COUNTIF($BA$1550:$EH$1550,"R")</f>
        <v>1</v>
      </c>
      <c r="AX2755" s="0" t="n">
        <f aca="false">IF(BN2755="D",1,0)+IF(BO2755="D",1,0)+IF(BT2755="D",1,0)+IF(BU2755="D",1,0)+IF(BW2755="D",1,0)+IF(CC2755="D",1,0)+IF(CD2755="D",1,0)+IF(CE2755="D",1,0)+IF(CF2755="D",1,0)+IF(CL2755="D",1,0)+IF(CM2755="D",1,0)+IF(CQ2755="D",1,0)+IF(CR2755="D",1,0)+IF(CS2755="D",1,0)+IF(CW2755="D",1,0)+IF(CX2755="D",1,0)+IF(DD2755="D",1,0)+IF(DE2755="D",1,0)+IF(DJ2755="D",1,0)+IF(DK2755="D",1,0)+IF(DO2755="D",1,0)+IF(DP2755="D",1,0)+IF(DQ2755="D",1,0)+IF(DW2755="D",1,0)+IF(DZ2755="D",1,0)+IF(EH2755="D",1,0)</f>
        <v>3</v>
      </c>
      <c r="AY2755" s="0" t="n">
        <f aca="false">COUNTIF(DU2755:EH2755, "&lt;&gt;")</f>
        <v>4</v>
      </c>
      <c r="AZ2755" s="0" t="n">
        <f aca="false">IF(EH2755&lt;&gt;"",1,0)</f>
        <v>0</v>
      </c>
      <c r="BB2755" s="0" t="s">
        <v>153</v>
      </c>
      <c r="BL2755" s="0" t="s">
        <v>154</v>
      </c>
      <c r="BS2755" s="0" t="s">
        <v>154</v>
      </c>
      <c r="BV2755" s="0" t="s">
        <v>154</v>
      </c>
      <c r="BY2755" s="0" t="s">
        <v>155</v>
      </c>
      <c r="CA2755" s="0" t="s">
        <v>154</v>
      </c>
      <c r="CG2755" s="0" t="s">
        <v>154</v>
      </c>
      <c r="CK2755" s="0" t="s">
        <v>154</v>
      </c>
      <c r="CL2755" s="0" t="s">
        <v>155</v>
      </c>
      <c r="CP2755" s="0" t="s">
        <v>154</v>
      </c>
      <c r="CW2755" s="0" t="s">
        <v>155</v>
      </c>
      <c r="CY2755" s="0" t="s">
        <v>154</v>
      </c>
      <c r="DC2755" s="0" t="s">
        <v>154</v>
      </c>
      <c r="DF2755" s="0" t="s">
        <v>154</v>
      </c>
      <c r="DG2755" s="0" t="s">
        <v>155</v>
      </c>
      <c r="DI2755" s="0" t="s">
        <v>154</v>
      </c>
      <c r="DJ2755" s="0" t="s">
        <v>155</v>
      </c>
      <c r="DL2755" s="0" t="s">
        <v>154</v>
      </c>
      <c r="DN2755" s="0" t="s">
        <v>154</v>
      </c>
      <c r="DU2755" s="0" t="s">
        <v>154</v>
      </c>
      <c r="DX2755" s="0" t="s">
        <v>154</v>
      </c>
      <c r="ED2755" s="0" t="s">
        <v>176</v>
      </c>
      <c r="EF2755" s="0" t="s">
        <v>154</v>
      </c>
    </row>
    <row r="2756" customFormat="false" ht="13.8" hidden="false" customHeight="false" outlineLevel="0" collapsed="false">
      <c r="A2756" s="0" t="s">
        <v>11690</v>
      </c>
      <c r="B2756" s="0" t="n">
        <v>78</v>
      </c>
      <c r="C2756" s="0" t="n">
        <v>325725</v>
      </c>
      <c r="D2756" s="0" t="s">
        <v>11685</v>
      </c>
      <c r="E2756" s="0" t="s">
        <v>1916</v>
      </c>
      <c r="F2756" s="0" t="str">
        <f aca="false">CONCATENATE(D2756," ",LEFT(H2756,4),"T=",AU2756,"D=",AV2756,"R=",AW2756,"M=",AX2756,"L=",AY2756,"B=",AZ2756)</f>
        <v>YOVICH T=27D=4R=0M=4L=5B=1</v>
      </c>
      <c r="I2756" s="0" t="s">
        <v>11691</v>
      </c>
      <c r="J2756" s="0" t="s">
        <v>11692</v>
      </c>
      <c r="K2756" s="0" t="s">
        <v>175</v>
      </c>
      <c r="L2756" s="1" t="s">
        <v>155</v>
      </c>
      <c r="M2756" s="0" t="s">
        <v>11689</v>
      </c>
      <c r="N2756" s="0" t="str">
        <f aca="false">RIGHT(M2756,LEN(M2756)-FIND(" ",M2756))</f>
        <v>WASHINGTON ST NW</v>
      </c>
      <c r="P2756" s="0" t="s">
        <v>146</v>
      </c>
      <c r="Q2756" s="0" t="s">
        <v>147</v>
      </c>
      <c r="R2756" s="0" t="n">
        <v>44483</v>
      </c>
      <c r="AD2756" s="0" t="s">
        <v>148</v>
      </c>
      <c r="AE2756" s="0" t="s">
        <v>149</v>
      </c>
      <c r="AF2756" s="0" t="s">
        <v>150</v>
      </c>
      <c r="AH2756" s="0" t="n">
        <v>14</v>
      </c>
      <c r="AI2756" s="0" t="n">
        <v>11</v>
      </c>
      <c r="AN2756" s="0" t="s">
        <v>146</v>
      </c>
      <c r="AO2756" s="0" t="s">
        <v>151</v>
      </c>
      <c r="AP2756" s="0" t="s">
        <v>152</v>
      </c>
      <c r="AQ2756" s="0" t="n">
        <v>9</v>
      </c>
      <c r="AR2756" s="0" t="n">
        <v>64</v>
      </c>
      <c r="AS2756" s="0" t="n">
        <v>32</v>
      </c>
      <c r="AU2756" s="0" t="n">
        <f aca="false">COUNTA($BA$1551:$EH$1551)</f>
        <v>27</v>
      </c>
      <c r="AV2756" s="0" t="n">
        <f aca="false">COUNTIF($BA$1551:$EH$1551,"D")</f>
        <v>4</v>
      </c>
      <c r="AW2756" s="0" t="n">
        <f aca="false">COUNTIF($BA$1551:$EH$1551,"R")</f>
        <v>0</v>
      </c>
      <c r="AX2756" s="0" t="n">
        <f aca="false">IF(BN2756="D",1,0)+IF(BO2756="D",1,0)+IF(BT2756="D",1,0)+IF(BU2756="D",1,0)+IF(BW2756="D",1,0)+IF(CC2756="D",1,0)+IF(CD2756="D",1,0)+IF(CE2756="D",1,0)+IF(CF2756="D",1,0)+IF(CL2756="D",1,0)+IF(CM2756="D",1,0)+IF(CQ2756="D",1,0)+IF(CR2756="D",1,0)+IF(CS2756="D",1,0)+IF(CW2756="D",1,0)+IF(CX2756="D",1,0)+IF(DD2756="D",1,0)+IF(DE2756="D",1,0)+IF(DJ2756="D",1,0)+IF(DK2756="D",1,0)+IF(DO2756="D",1,0)+IF(DP2756="D",1,0)+IF(DQ2756="D",1,0)+IF(DW2756="D",1,0)+IF(DZ2756="D",1,0)+IF(EH2756="D",1,0)</f>
        <v>4</v>
      </c>
      <c r="AY2756" s="0" t="n">
        <f aca="false">COUNTIF(DU2756:EH2756, "&lt;&gt;")</f>
        <v>5</v>
      </c>
      <c r="AZ2756" s="0" t="n">
        <f aca="false">IF(EH2756&lt;&gt;"",1,0)</f>
        <v>1</v>
      </c>
      <c r="BB2756" s="0" t="s">
        <v>153</v>
      </c>
      <c r="BL2756" s="0" t="s">
        <v>154</v>
      </c>
      <c r="BS2756" s="0" t="s">
        <v>154</v>
      </c>
      <c r="BV2756" s="0" t="s">
        <v>154</v>
      </c>
      <c r="CA2756" s="0" t="s">
        <v>154</v>
      </c>
      <c r="CL2756" s="0" t="s">
        <v>155</v>
      </c>
      <c r="CN2756" s="0" t="s">
        <v>154</v>
      </c>
      <c r="CP2756" s="0" t="s">
        <v>154</v>
      </c>
      <c r="CW2756" s="0" t="s">
        <v>155</v>
      </c>
      <c r="CY2756" s="0" t="s">
        <v>154</v>
      </c>
      <c r="DC2756" s="0" t="s">
        <v>154</v>
      </c>
      <c r="DF2756" s="0" t="s">
        <v>154</v>
      </c>
      <c r="DG2756" s="0" t="s">
        <v>176</v>
      </c>
      <c r="DI2756" s="0" t="s">
        <v>154</v>
      </c>
      <c r="DJ2756" s="0" t="s">
        <v>155</v>
      </c>
      <c r="DL2756" s="0" t="s">
        <v>154</v>
      </c>
      <c r="DN2756" s="0" t="s">
        <v>154</v>
      </c>
      <c r="DU2756" s="0" t="s">
        <v>154</v>
      </c>
      <c r="DX2756" s="0" t="s">
        <v>154</v>
      </c>
      <c r="ED2756" s="0" t="s">
        <v>176</v>
      </c>
      <c r="EF2756" s="0" t="s">
        <v>154</v>
      </c>
      <c r="EH2756" s="0" t="s">
        <v>155</v>
      </c>
    </row>
    <row r="2757" customFormat="false" ht="13.8" hidden="false" customHeight="false" outlineLevel="0" collapsed="false">
      <c r="A2757" s="0" t="s">
        <v>11693</v>
      </c>
      <c r="B2757" s="0" t="n">
        <v>78</v>
      </c>
      <c r="C2757" s="0" t="n">
        <v>396254</v>
      </c>
      <c r="D2757" s="0" t="s">
        <v>11694</v>
      </c>
      <c r="E2757" s="0" t="s">
        <v>1619</v>
      </c>
      <c r="F2757" s="0" t="str">
        <f aca="false">CONCATENATE(D2757," ",LEFT(H2757,4),"T=",AU2757,"D=",AV2757,"R=",AW2757,"M=",AX2757,"L=",AY2757,"B=",AZ2757)</f>
        <v>OBERTOTS T=1D=0R=0M=1L=4B=0</v>
      </c>
      <c r="G2757" s="0" t="s">
        <v>297</v>
      </c>
      <c r="I2757" s="0" t="s">
        <v>11695</v>
      </c>
      <c r="J2757" s="0" t="s">
        <v>11696</v>
      </c>
      <c r="K2757" s="0" t="s">
        <v>175</v>
      </c>
      <c r="L2757" s="1" t="s">
        <v>176</v>
      </c>
      <c r="M2757" s="0" t="s">
        <v>11697</v>
      </c>
      <c r="N2757" s="0" t="str">
        <f aca="false">RIGHT(M2757,LEN(M2757)-FIND(" ",M2757))</f>
        <v>WASHINGTON ST NW</v>
      </c>
      <c r="P2757" s="0" t="s">
        <v>146</v>
      </c>
      <c r="Q2757" s="0" t="s">
        <v>147</v>
      </c>
      <c r="R2757" s="0" t="n">
        <v>44483</v>
      </c>
      <c r="AD2757" s="0" t="s">
        <v>148</v>
      </c>
      <c r="AE2757" s="0" t="s">
        <v>149</v>
      </c>
      <c r="AF2757" s="0" t="s">
        <v>150</v>
      </c>
      <c r="AH2757" s="0" t="n">
        <v>14</v>
      </c>
      <c r="AI2757" s="0" t="n">
        <v>11</v>
      </c>
      <c r="AN2757" s="0" t="s">
        <v>146</v>
      </c>
      <c r="AO2757" s="0" t="s">
        <v>151</v>
      </c>
      <c r="AP2757" s="0" t="s">
        <v>152</v>
      </c>
      <c r="AQ2757" s="0" t="n">
        <v>9</v>
      </c>
      <c r="AR2757" s="0" t="n">
        <v>64</v>
      </c>
      <c r="AS2757" s="0" t="n">
        <v>32</v>
      </c>
      <c r="AU2757" s="0" t="n">
        <f aca="false">COUNTA($BA$1752:$EH$1752)</f>
        <v>1</v>
      </c>
      <c r="AV2757" s="0" t="n">
        <f aca="false">COUNTIF($BA$1752:$EH$1752,"D")</f>
        <v>0</v>
      </c>
      <c r="AW2757" s="0" t="n">
        <f aca="false">COUNTIF($BA$1752:$EH$1752,"R")</f>
        <v>0</v>
      </c>
      <c r="AX2757" s="0" t="n">
        <f aca="false">IF(BN2757="D",1,0)+IF(BO2757="D",1,0)+IF(BT2757="D",1,0)+IF(BU2757="D",1,0)+IF(BW2757="D",1,0)+IF(CC2757="D",1,0)+IF(CD2757="D",1,0)+IF(CE2757="D",1,0)+IF(CF2757="D",1,0)+IF(CL2757="D",1,0)+IF(CM2757="D",1,0)+IF(CQ2757="D",1,0)+IF(CR2757="D",1,0)+IF(CS2757="D",1,0)+IF(CW2757="D",1,0)+IF(CX2757="D",1,0)+IF(DD2757="D",1,0)+IF(DE2757="D",1,0)+IF(DJ2757="D",1,0)+IF(DK2757="D",1,0)+IF(DO2757="D",1,0)+IF(DP2757="D",1,0)+IF(DQ2757="D",1,0)+IF(DW2757="D",1,0)+IF(DZ2757="D",1,0)+IF(EH2757="D",1,0)</f>
        <v>1</v>
      </c>
      <c r="AY2757" s="0" t="n">
        <f aca="false">COUNTIF(DU2757:EH2757, "&lt;&gt;")</f>
        <v>4</v>
      </c>
      <c r="AZ2757" s="0" t="n">
        <f aca="false">IF(EH2757&lt;&gt;"",1,0)</f>
        <v>0</v>
      </c>
      <c r="BB2757" s="0" t="s">
        <v>153</v>
      </c>
      <c r="BL2757" s="0" t="s">
        <v>154</v>
      </c>
      <c r="BY2757" s="0" t="s">
        <v>155</v>
      </c>
      <c r="CP2757" s="0" t="s">
        <v>154</v>
      </c>
      <c r="DC2757" s="0" t="s">
        <v>154</v>
      </c>
      <c r="DI2757" s="0" t="s">
        <v>154</v>
      </c>
      <c r="DN2757" s="0" t="s">
        <v>154</v>
      </c>
      <c r="DU2757" s="0" t="s">
        <v>154</v>
      </c>
      <c r="DW2757" s="0" t="s">
        <v>155</v>
      </c>
      <c r="ED2757" s="0" t="s">
        <v>176</v>
      </c>
      <c r="EF2757" s="0" t="s">
        <v>154</v>
      </c>
    </row>
    <row r="2758" customFormat="false" ht="13.8" hidden="false" customHeight="false" outlineLevel="0" collapsed="false">
      <c r="A2758" s="0" t="s">
        <v>11698</v>
      </c>
      <c r="B2758" s="0" t="n">
        <v>78</v>
      </c>
      <c r="C2758" s="0" t="n">
        <v>424560</v>
      </c>
      <c r="D2758" s="0" t="s">
        <v>9283</v>
      </c>
      <c r="E2758" s="0" t="s">
        <v>652</v>
      </c>
      <c r="F2758" s="0" t="str">
        <f aca="false">CONCATENATE(D2758," ",LEFT(H2758,4),"T=",AU2758,"D=",AV2758,"R=",AW2758,"M=",AX2758,"L=",AY2758,"B=",AZ2758)</f>
        <v>WHEELER T=19D=6R=1M=2L=7B=1</v>
      </c>
      <c r="G2758" s="0" t="s">
        <v>750</v>
      </c>
      <c r="I2758" s="0" t="s">
        <v>11699</v>
      </c>
      <c r="J2758" s="0" t="s">
        <v>1187</v>
      </c>
      <c r="K2758" s="0" t="s">
        <v>175</v>
      </c>
      <c r="L2758" s="1" t="s">
        <v>155</v>
      </c>
      <c r="M2758" s="0" t="s">
        <v>11700</v>
      </c>
      <c r="N2758" s="0" t="str">
        <f aca="false">RIGHT(M2758,LEN(M2758)-FIND(" ",M2758))</f>
        <v>WASHINGTON ST NW</v>
      </c>
      <c r="P2758" s="0" t="s">
        <v>146</v>
      </c>
      <c r="Q2758" s="0" t="s">
        <v>147</v>
      </c>
      <c r="R2758" s="0" t="n">
        <v>44483</v>
      </c>
      <c r="AD2758" s="0" t="s">
        <v>148</v>
      </c>
      <c r="AE2758" s="0" t="s">
        <v>149</v>
      </c>
      <c r="AF2758" s="0" t="s">
        <v>150</v>
      </c>
      <c r="AH2758" s="0" t="n">
        <v>14</v>
      </c>
      <c r="AI2758" s="0" t="n">
        <v>11</v>
      </c>
      <c r="AN2758" s="0" t="s">
        <v>146</v>
      </c>
      <c r="AO2758" s="0" t="s">
        <v>151</v>
      </c>
      <c r="AP2758" s="0" t="s">
        <v>152</v>
      </c>
      <c r="AQ2758" s="0" t="n">
        <v>9</v>
      </c>
      <c r="AR2758" s="0" t="n">
        <v>64</v>
      </c>
      <c r="AS2758" s="0" t="n">
        <v>32</v>
      </c>
      <c r="AU2758" s="0" t="n">
        <f aca="false">COUNTA($BA$1874:$EH$1874)</f>
        <v>19</v>
      </c>
      <c r="AV2758" s="0" t="n">
        <f aca="false">COUNTIF($BA$1874:$EH$1874,"D")</f>
        <v>6</v>
      </c>
      <c r="AW2758" s="0" t="n">
        <f aca="false">COUNTIF($BA$1874:$EH$1874,"R")</f>
        <v>1</v>
      </c>
      <c r="AX2758" s="0" t="n">
        <f aca="false">IF(BN2758="D",1,0)+IF(BO2758="D",1,0)+IF(BT2758="D",1,0)+IF(BU2758="D",1,0)+IF(BW2758="D",1,0)+IF(CC2758="D",1,0)+IF(CD2758="D",1,0)+IF(CE2758="D",1,0)+IF(CF2758="D",1,0)+IF(CL2758="D",1,0)+IF(CM2758="D",1,0)+IF(CQ2758="D",1,0)+IF(CR2758="D",1,0)+IF(CS2758="D",1,0)+IF(CW2758="D",1,0)+IF(CX2758="D",1,0)+IF(DD2758="D",1,0)+IF(DE2758="D",1,0)+IF(DJ2758="D",1,0)+IF(DK2758="D",1,0)+IF(DO2758="D",1,0)+IF(DP2758="D",1,0)+IF(DQ2758="D",1,0)+IF(DW2758="D",1,0)+IF(DZ2758="D",1,0)+IF(EH2758="D",1,0)</f>
        <v>2</v>
      </c>
      <c r="AY2758" s="0" t="n">
        <f aca="false">COUNTIF(DU2758:EH2758, "&lt;&gt;")</f>
        <v>7</v>
      </c>
      <c r="AZ2758" s="0" t="n">
        <f aca="false">IF(EH2758&lt;&gt;"",1,0)</f>
        <v>1</v>
      </c>
      <c r="BB2758" s="0" t="s">
        <v>153</v>
      </c>
      <c r="BH2758" s="0" t="s">
        <v>154</v>
      </c>
      <c r="BI2758" s="0" t="s">
        <v>154</v>
      </c>
      <c r="BK2758" s="0" t="s">
        <v>155</v>
      </c>
      <c r="BL2758" s="0" t="s">
        <v>154</v>
      </c>
      <c r="BY2758" s="0" t="s">
        <v>155</v>
      </c>
      <c r="CA2758" s="0" t="s">
        <v>154</v>
      </c>
      <c r="CK2758" s="0" t="s">
        <v>154</v>
      </c>
      <c r="CN2758" s="0" t="s">
        <v>154</v>
      </c>
      <c r="CP2758" s="0" t="s">
        <v>154</v>
      </c>
      <c r="DC2758" s="0" t="s">
        <v>154</v>
      </c>
      <c r="DI2758" s="0" t="s">
        <v>154</v>
      </c>
      <c r="DL2758" s="0" t="s">
        <v>154</v>
      </c>
      <c r="DM2758" s="0" t="s">
        <v>155</v>
      </c>
      <c r="DN2758" s="0" t="s">
        <v>154</v>
      </c>
      <c r="DU2758" s="0" t="s">
        <v>154</v>
      </c>
      <c r="DW2758" s="0" t="s">
        <v>155</v>
      </c>
      <c r="DX2758" s="0" t="s">
        <v>154</v>
      </c>
      <c r="EA2758" s="0" t="s">
        <v>154</v>
      </c>
      <c r="ED2758" s="0" t="s">
        <v>155</v>
      </c>
      <c r="EF2758" s="0" t="s">
        <v>154</v>
      </c>
      <c r="EH2758" s="0" t="s">
        <v>155</v>
      </c>
    </row>
    <row r="2759" customFormat="false" ht="13.8" hidden="true" customHeight="false" outlineLevel="0" collapsed="false">
      <c r="A2759" s="0" t="s">
        <v>11701</v>
      </c>
      <c r="B2759" s="0" t="n">
        <v>78</v>
      </c>
      <c r="C2759" s="0" t="n">
        <v>161071</v>
      </c>
      <c r="D2759" s="0" t="s">
        <v>11702</v>
      </c>
      <c r="E2759" s="0" t="s">
        <v>771</v>
      </c>
      <c r="F2759" s="0" t="str">
        <f aca="false">CONCATENATE(D2759," ",LEFT(H2759,4),"T=",AU2759,"D=",AV2759,"R=",AW2759,"M=",AX2759,"L=",AY2759,"B=",AZ2759)</f>
        <v>MAXWELL T=1D=0R=0M=3L=1B=0</v>
      </c>
      <c r="G2759" s="0" t="s">
        <v>2001</v>
      </c>
      <c r="I2759" s="0" t="s">
        <v>11703</v>
      </c>
      <c r="J2759" s="0" t="s">
        <v>4352</v>
      </c>
      <c r="K2759" s="0" t="s">
        <v>175</v>
      </c>
      <c r="L2759" s="0"/>
      <c r="M2759" s="0" t="s">
        <v>11704</v>
      </c>
      <c r="N2759" s="0" t="str">
        <f aca="false">RIGHT(M2759,LEN(M2759)-FIND(" ",M2759))</f>
        <v>WASHINGTON ST NW</v>
      </c>
      <c r="P2759" s="0" t="s">
        <v>146</v>
      </c>
      <c r="Q2759" s="0" t="s">
        <v>147</v>
      </c>
      <c r="R2759" s="0" t="n">
        <v>44483</v>
      </c>
      <c r="V2759" s="0" t="s">
        <v>11705</v>
      </c>
      <c r="X2759" s="0" t="s">
        <v>146</v>
      </c>
      <c r="Y2759" s="0" t="s">
        <v>147</v>
      </c>
      <c r="Z2759" s="0" t="n">
        <v>44482</v>
      </c>
      <c r="AA2759" s="0" t="n">
        <v>208</v>
      </c>
      <c r="AD2759" s="0" t="s">
        <v>148</v>
      </c>
      <c r="AE2759" s="0" t="s">
        <v>149</v>
      </c>
      <c r="AF2759" s="0" t="s">
        <v>150</v>
      </c>
      <c r="AH2759" s="0" t="n">
        <v>14</v>
      </c>
      <c r="AI2759" s="0" t="n">
        <v>11</v>
      </c>
      <c r="AN2759" s="0" t="s">
        <v>146</v>
      </c>
      <c r="AO2759" s="0" t="s">
        <v>151</v>
      </c>
      <c r="AP2759" s="0" t="s">
        <v>152</v>
      </c>
      <c r="AQ2759" s="0" t="n">
        <v>9</v>
      </c>
      <c r="AR2759" s="0" t="n">
        <v>64</v>
      </c>
      <c r="AS2759" s="0" t="n">
        <v>32</v>
      </c>
      <c r="AU2759" s="0" t="n">
        <f aca="false">COUNTA($BA$1217:$EH$1217)</f>
        <v>1</v>
      </c>
      <c r="AV2759" s="0" t="n">
        <f aca="false">COUNTIF($BA$1217:$EH$1217,"D")</f>
        <v>0</v>
      </c>
      <c r="AW2759" s="0" t="n">
        <f aca="false">COUNTIF($BA$1217:$EH$1217,"R")</f>
        <v>0</v>
      </c>
      <c r="AX2759" s="0" t="n">
        <f aca="false">IF(BN2759="D",1,0)+IF(BO2759="D",1,0)+IF(BT2759="D",1,0)+IF(BU2759="D",1,0)+IF(BW2759="D",1,0)+IF(CC2759="D",1,0)+IF(CD2759="D",1,0)+IF(CE2759="D",1,0)+IF(CF2759="D",1,0)+IF(CL2759="D",1,0)+IF(CM2759="D",1,0)+IF(CQ2759="D",1,0)+IF(CR2759="D",1,0)+IF(CS2759="D",1,0)+IF(CW2759="D",1,0)+IF(CX2759="D",1,0)+IF(DD2759="D",1,0)+IF(DE2759="D",1,0)+IF(DJ2759="D",1,0)+IF(DK2759="D",1,0)+IF(DO2759="D",1,0)+IF(DP2759="D",1,0)+IF(DQ2759="D",1,0)+IF(DW2759="D",1,0)+IF(DZ2759="D",1,0)+IF(EH2759="D",1,0)</f>
        <v>3</v>
      </c>
      <c r="AY2759" s="0" t="n">
        <f aca="false">COUNTIF(DU2759:EH2759, "&lt;&gt;")</f>
        <v>1</v>
      </c>
      <c r="AZ2759" s="0" t="n">
        <f aca="false">IF(EH2759&lt;&gt;"",1,0)</f>
        <v>0</v>
      </c>
      <c r="BB2759" s="0" t="s">
        <v>153</v>
      </c>
      <c r="BC2759" s="0" t="s">
        <v>154</v>
      </c>
      <c r="BD2759" s="0" t="s">
        <v>154</v>
      </c>
      <c r="BE2759" s="0" t="s">
        <v>154</v>
      </c>
      <c r="BF2759" s="0" t="s">
        <v>154</v>
      </c>
      <c r="BH2759" s="0" t="s">
        <v>154</v>
      </c>
      <c r="BJ2759" s="0" t="s">
        <v>154</v>
      </c>
      <c r="BK2759" s="0" t="s">
        <v>154</v>
      </c>
      <c r="BL2759" s="0" t="s">
        <v>154</v>
      </c>
      <c r="BP2759" s="0" t="s">
        <v>154</v>
      </c>
      <c r="BR2759" s="0" t="s">
        <v>154</v>
      </c>
      <c r="BS2759" s="0" t="s">
        <v>154</v>
      </c>
      <c r="BV2759" s="0" t="s">
        <v>154</v>
      </c>
      <c r="BY2759" s="0" t="s">
        <v>176</v>
      </c>
      <c r="CA2759" s="0" t="s">
        <v>154</v>
      </c>
      <c r="CG2759" s="0" t="s">
        <v>154</v>
      </c>
      <c r="CH2759" s="0" t="s">
        <v>176</v>
      </c>
      <c r="CK2759" s="0" t="s">
        <v>154</v>
      </c>
      <c r="CL2759" s="0" t="s">
        <v>155</v>
      </c>
      <c r="CN2759" s="0" t="s">
        <v>154</v>
      </c>
      <c r="CO2759" s="0" t="s">
        <v>176</v>
      </c>
      <c r="CP2759" s="0" t="s">
        <v>154</v>
      </c>
      <c r="CT2759" s="0" t="s">
        <v>154</v>
      </c>
      <c r="CV2759" s="0" t="s">
        <v>154</v>
      </c>
      <c r="CY2759" s="0" t="s">
        <v>154</v>
      </c>
      <c r="CZ2759" s="0" t="s">
        <v>176</v>
      </c>
      <c r="DC2759" s="0" t="s">
        <v>154</v>
      </c>
      <c r="DF2759" s="0" t="s">
        <v>154</v>
      </c>
      <c r="DG2759" s="0" t="s">
        <v>155</v>
      </c>
      <c r="DI2759" s="0" t="s">
        <v>154</v>
      </c>
      <c r="DJ2759" s="0" t="s">
        <v>155</v>
      </c>
      <c r="DL2759" s="0" t="s">
        <v>154</v>
      </c>
      <c r="DM2759" s="0" t="s">
        <v>155</v>
      </c>
      <c r="DN2759" s="0" t="s">
        <v>154</v>
      </c>
      <c r="DO2759" s="0" t="s">
        <v>155</v>
      </c>
      <c r="DR2759" s="0" t="s">
        <v>154</v>
      </c>
      <c r="EA2759" s="0" t="s">
        <v>154</v>
      </c>
    </row>
    <row r="2760" customFormat="false" ht="13.8" hidden="true" customHeight="false" outlineLevel="0" collapsed="false">
      <c r="A2760" s="0" t="s">
        <v>11706</v>
      </c>
      <c r="B2760" s="0" t="n">
        <v>78</v>
      </c>
      <c r="C2760" s="0" t="n">
        <v>478224</v>
      </c>
      <c r="D2760" s="0" t="s">
        <v>11707</v>
      </c>
      <c r="E2760" s="0" t="s">
        <v>10470</v>
      </c>
      <c r="F2760" s="0" t="str">
        <f aca="false">CONCATENATE(D2760," ",LEFT(H2760,4),"T=",AU2760,"D=",AV2760,"R=",AW2760,"M=",AX2760,"L=",AY2760,"B=",AZ2760)</f>
        <v>BURNEY JRT=17D=0R=3M=0L=1B=0</v>
      </c>
      <c r="G2760" s="0" t="s">
        <v>4000</v>
      </c>
      <c r="H2760" s="0" t="s">
        <v>431</v>
      </c>
      <c r="I2760" s="0" t="s">
        <v>11708</v>
      </c>
      <c r="J2760" s="0" t="s">
        <v>809</v>
      </c>
      <c r="K2760" s="0" t="s">
        <v>175</v>
      </c>
      <c r="L2760" s="0"/>
      <c r="M2760" s="0" t="s">
        <v>11709</v>
      </c>
      <c r="N2760" s="0" t="str">
        <f aca="false">RIGHT(M2760,LEN(M2760)-FIND(" ",M2760))</f>
        <v>WEST AVE NW</v>
      </c>
      <c r="P2760" s="0" t="s">
        <v>146</v>
      </c>
      <c r="Q2760" s="0" t="s">
        <v>147</v>
      </c>
      <c r="R2760" s="0" t="n">
        <v>44483</v>
      </c>
      <c r="AD2760" s="0" t="s">
        <v>148</v>
      </c>
      <c r="AE2760" s="0" t="s">
        <v>149</v>
      </c>
      <c r="AF2760" s="0" t="s">
        <v>150</v>
      </c>
      <c r="AH2760" s="0" t="n">
        <v>14</v>
      </c>
      <c r="AI2760" s="0" t="n">
        <v>11</v>
      </c>
      <c r="AN2760" s="0" t="s">
        <v>146</v>
      </c>
      <c r="AO2760" s="0" t="s">
        <v>250</v>
      </c>
      <c r="AP2760" s="0" t="s">
        <v>251</v>
      </c>
      <c r="AQ2760" s="0" t="n">
        <v>9</v>
      </c>
      <c r="AR2760" s="0" t="n">
        <v>64</v>
      </c>
      <c r="AS2760" s="0" t="n">
        <v>32</v>
      </c>
      <c r="AU2760" s="0" t="n">
        <f aca="false">COUNTA($BA$2119:$EH$2119)</f>
        <v>17</v>
      </c>
      <c r="AV2760" s="0" t="n">
        <f aca="false">COUNTIF($BA$2119:$EH$2119,"D")</f>
        <v>0</v>
      </c>
      <c r="AW2760" s="0" t="n">
        <f aca="false">COUNTIF($BA$2119:$EH$2119,"R")</f>
        <v>3</v>
      </c>
      <c r="AX2760" s="0" t="n">
        <f aca="false">IF(BN2760="D",1,0)+IF(BO2760="D",1,0)+IF(BT2760="D",1,0)+IF(BU2760="D",1,0)+IF(BW2760="D",1,0)+IF(CC2760="D",1,0)+IF(CD2760="D",1,0)+IF(CE2760="D",1,0)+IF(CF2760="D",1,0)+IF(CL2760="D",1,0)+IF(CM2760="D",1,0)+IF(CQ2760="D",1,0)+IF(CR2760="D",1,0)+IF(CS2760="D",1,0)+IF(CW2760="D",1,0)+IF(CX2760="D",1,0)+IF(DD2760="D",1,0)+IF(DE2760="D",1,0)+IF(DJ2760="D",1,0)+IF(DK2760="D",1,0)+IF(DO2760="D",1,0)+IF(DP2760="D",1,0)+IF(DQ2760="D",1,0)+IF(DW2760="D",1,0)+IF(DZ2760="D",1,0)+IF(EH2760="D",1,0)</f>
        <v>0</v>
      </c>
      <c r="AY2760" s="0" t="n">
        <f aca="false">COUNTIF(DU2760:EH2760, "&lt;&gt;")</f>
        <v>1</v>
      </c>
      <c r="AZ2760" s="0" t="n">
        <f aca="false">IF(EH2760&lt;&gt;"",1,0)</f>
        <v>0</v>
      </c>
      <c r="BB2760" s="0" t="s">
        <v>153</v>
      </c>
      <c r="CA2760" s="0" t="s">
        <v>154</v>
      </c>
      <c r="CK2760" s="0" t="s">
        <v>154</v>
      </c>
      <c r="DC2760" s="0" t="s">
        <v>154</v>
      </c>
      <c r="EF2760" s="0" t="s">
        <v>154</v>
      </c>
    </row>
    <row r="2761" customFormat="false" ht="13.8" hidden="false" customHeight="false" outlineLevel="0" collapsed="false">
      <c r="A2761" s="0" t="s">
        <v>11710</v>
      </c>
      <c r="B2761" s="0" t="n">
        <v>78</v>
      </c>
      <c r="C2761" s="0" t="n">
        <v>351397</v>
      </c>
      <c r="D2761" s="0" t="s">
        <v>1657</v>
      </c>
      <c r="E2761" s="0" t="s">
        <v>1374</v>
      </c>
      <c r="F2761" s="0" t="str">
        <f aca="false">CONCATENATE(D2761," ",LEFT(H2761,4),"T=",AU2761,"D=",AV2761,"R=",AW2761,"M=",AX2761,"L=",AY2761,"B=",AZ2761)</f>
        <v>MILLER T=18D=5R=0M=0L=4B=0</v>
      </c>
      <c r="G2761" s="0" t="s">
        <v>329</v>
      </c>
      <c r="I2761" s="0" t="s">
        <v>11711</v>
      </c>
      <c r="J2761" s="0" t="s">
        <v>11712</v>
      </c>
      <c r="K2761" s="0" t="s">
        <v>175</v>
      </c>
      <c r="L2761" s="1" t="s">
        <v>155</v>
      </c>
      <c r="M2761" s="0" t="s">
        <v>11713</v>
      </c>
      <c r="N2761" s="0" t="str">
        <f aca="false">RIGHT(M2761,LEN(M2761)-FIND(" ",M2761))</f>
        <v>WEST AVE NW</v>
      </c>
      <c r="P2761" s="0" t="s">
        <v>146</v>
      </c>
      <c r="Q2761" s="0" t="s">
        <v>147</v>
      </c>
      <c r="R2761" s="0" t="n">
        <v>44483</v>
      </c>
      <c r="AD2761" s="0" t="s">
        <v>148</v>
      </c>
      <c r="AE2761" s="0" t="s">
        <v>149</v>
      </c>
      <c r="AF2761" s="0" t="s">
        <v>150</v>
      </c>
      <c r="AH2761" s="0" t="n">
        <v>14</v>
      </c>
      <c r="AI2761" s="0" t="n">
        <v>11</v>
      </c>
      <c r="AN2761" s="0" t="s">
        <v>146</v>
      </c>
      <c r="AO2761" s="0" t="s">
        <v>250</v>
      </c>
      <c r="AP2761" s="0" t="s">
        <v>251</v>
      </c>
      <c r="AQ2761" s="0" t="n">
        <v>9</v>
      </c>
      <c r="AR2761" s="0" t="n">
        <v>64</v>
      </c>
      <c r="AS2761" s="0" t="n">
        <v>32</v>
      </c>
      <c r="AU2761" s="0" t="n">
        <f aca="false">COUNTA($BA$2553:$EH$2553)</f>
        <v>18</v>
      </c>
      <c r="AV2761" s="0" t="n">
        <f aca="false">COUNTIF($BA$2553:$EH$2553,"D")</f>
        <v>5</v>
      </c>
      <c r="AW2761" s="0" t="n">
        <f aca="false">COUNTIF($BA$2553:$EH$2553,"R")</f>
        <v>0</v>
      </c>
      <c r="AX2761" s="0" t="n">
        <f aca="false">IF(BN2761="D",1,0)+IF(BO2761="D",1,0)+IF(BT2761="D",1,0)+IF(BU2761="D",1,0)+IF(BW2761="D",1,0)+IF(CC2761="D",1,0)+IF(CD2761="D",1,0)+IF(CE2761="D",1,0)+IF(CF2761="D",1,0)+IF(CL2761="D",1,0)+IF(CM2761="D",1,0)+IF(CQ2761="D",1,0)+IF(CR2761="D",1,0)+IF(CS2761="D",1,0)+IF(CW2761="D",1,0)+IF(CX2761="D",1,0)+IF(DD2761="D",1,0)+IF(DE2761="D",1,0)+IF(DJ2761="D",1,0)+IF(DK2761="D",1,0)+IF(DO2761="D",1,0)+IF(DP2761="D",1,0)+IF(DQ2761="D",1,0)+IF(DW2761="D",1,0)+IF(DZ2761="D",1,0)+IF(EH2761="D",1,0)</f>
        <v>0</v>
      </c>
      <c r="AY2761" s="0" t="n">
        <f aca="false">COUNTIF(DU2761:EH2761, "&lt;&gt;")</f>
        <v>4</v>
      </c>
      <c r="AZ2761" s="0" t="n">
        <f aca="false">IF(EH2761&lt;&gt;"",1,0)</f>
        <v>0</v>
      </c>
      <c r="BB2761" s="0" t="s">
        <v>153</v>
      </c>
      <c r="BV2761" s="0" t="s">
        <v>154</v>
      </c>
      <c r="BY2761" s="0" t="s">
        <v>155</v>
      </c>
      <c r="CA2761" s="0" t="s">
        <v>154</v>
      </c>
      <c r="CP2761" s="0" t="s">
        <v>154</v>
      </c>
      <c r="DC2761" s="0" t="s">
        <v>154</v>
      </c>
      <c r="DF2761" s="0" t="s">
        <v>154</v>
      </c>
      <c r="DI2761" s="0" t="s">
        <v>154</v>
      </c>
      <c r="DN2761" s="0" t="s">
        <v>154</v>
      </c>
      <c r="DS2761" s="0" t="s">
        <v>155</v>
      </c>
      <c r="DU2761" s="0" t="s">
        <v>154</v>
      </c>
      <c r="DX2761" s="0" t="s">
        <v>154</v>
      </c>
      <c r="EA2761" s="0" t="s">
        <v>154</v>
      </c>
      <c r="EF2761" s="0" t="s">
        <v>154</v>
      </c>
    </row>
    <row r="2762" customFormat="false" ht="13.8" hidden="true" customHeight="false" outlineLevel="0" collapsed="false">
      <c r="A2762" s="0" t="s">
        <v>11714</v>
      </c>
      <c r="B2762" s="0" t="n">
        <v>78</v>
      </c>
      <c r="C2762" s="0" t="n">
        <v>386969</v>
      </c>
      <c r="D2762" s="0" t="s">
        <v>1657</v>
      </c>
      <c r="E2762" s="0" t="s">
        <v>376</v>
      </c>
      <c r="F2762" s="0" t="str">
        <f aca="false">CONCATENATE(D2762," ",LEFT(H2762,4),"T=",AU2762,"D=",AV2762,"R=",AW2762,"M=",AX2762,"L=",AY2762,"B=",AZ2762)</f>
        <v>MILLER T=1D=0R=0M=0L=0B=0</v>
      </c>
      <c r="G2762" s="0" t="s">
        <v>241</v>
      </c>
      <c r="I2762" s="0" t="s">
        <v>11715</v>
      </c>
      <c r="J2762" s="0" t="s">
        <v>11716</v>
      </c>
      <c r="K2762" s="0" t="s">
        <v>144</v>
      </c>
      <c r="L2762" s="0"/>
      <c r="M2762" s="0" t="s">
        <v>11713</v>
      </c>
      <c r="N2762" s="0" t="str">
        <f aca="false">RIGHT(M2762,LEN(M2762)-FIND(" ",M2762))</f>
        <v>WEST AVE NW</v>
      </c>
      <c r="P2762" s="0" t="s">
        <v>146</v>
      </c>
      <c r="Q2762" s="0" t="s">
        <v>147</v>
      </c>
      <c r="R2762" s="0" t="n">
        <v>44483</v>
      </c>
      <c r="AD2762" s="0" t="s">
        <v>148</v>
      </c>
      <c r="AE2762" s="0" t="s">
        <v>149</v>
      </c>
      <c r="AF2762" s="0" t="s">
        <v>150</v>
      </c>
      <c r="AH2762" s="0" t="n">
        <v>14</v>
      </c>
      <c r="AI2762" s="0" t="n">
        <v>11</v>
      </c>
      <c r="AN2762" s="0" t="s">
        <v>146</v>
      </c>
      <c r="AO2762" s="0" t="s">
        <v>250</v>
      </c>
      <c r="AP2762" s="0" t="s">
        <v>251</v>
      </c>
      <c r="AQ2762" s="0" t="n">
        <v>9</v>
      </c>
      <c r="AR2762" s="0" t="n">
        <v>64</v>
      </c>
      <c r="AS2762" s="0" t="n">
        <v>32</v>
      </c>
      <c r="AU2762" s="0" t="n">
        <f aca="false">COUNTA($BA$2777:$EH$2777)</f>
        <v>1</v>
      </c>
      <c r="AV2762" s="0" t="n">
        <f aca="false">COUNTIF($BA$2777:$EH$2777,"D")</f>
        <v>0</v>
      </c>
      <c r="AW2762" s="0" t="n">
        <f aca="false">COUNTIF($BA$2777:$EH$2777,"R")</f>
        <v>0</v>
      </c>
      <c r="AX2762" s="0" t="n">
        <f aca="false">IF(BN2762="D",1,0)+IF(BO2762="D",1,0)+IF(BT2762="D",1,0)+IF(BU2762="D",1,0)+IF(BW2762="D",1,0)+IF(CC2762="D",1,0)+IF(CD2762="D",1,0)+IF(CE2762="D",1,0)+IF(CF2762="D",1,0)+IF(CL2762="D",1,0)+IF(CM2762="D",1,0)+IF(CQ2762="D",1,0)+IF(CR2762="D",1,0)+IF(CS2762="D",1,0)+IF(CW2762="D",1,0)+IF(CX2762="D",1,0)+IF(DD2762="D",1,0)+IF(DE2762="D",1,0)+IF(DJ2762="D",1,0)+IF(DK2762="D",1,0)+IF(DO2762="D",1,0)+IF(DP2762="D",1,0)+IF(DQ2762="D",1,0)+IF(DW2762="D",1,0)+IF(DZ2762="D",1,0)+IF(EH2762="D",1,0)</f>
        <v>0</v>
      </c>
      <c r="AY2762" s="0" t="n">
        <f aca="false">COUNTIF(DU2762:EH2762, "&lt;&gt;")</f>
        <v>0</v>
      </c>
      <c r="AZ2762" s="0" t="n">
        <f aca="false">IF(EH2762&lt;&gt;"",1,0)</f>
        <v>0</v>
      </c>
      <c r="BB2762" s="0" t="s">
        <v>153</v>
      </c>
      <c r="CP2762" s="0" t="s">
        <v>154</v>
      </c>
    </row>
    <row r="2763" customFormat="false" ht="13.8" hidden="true" customHeight="false" outlineLevel="0" collapsed="false">
      <c r="A2763" s="0" t="s">
        <v>11717</v>
      </c>
      <c r="B2763" s="0" t="n">
        <v>78</v>
      </c>
      <c r="C2763" s="0" t="n">
        <v>494677</v>
      </c>
      <c r="D2763" s="0" t="s">
        <v>11718</v>
      </c>
      <c r="E2763" s="0" t="s">
        <v>11719</v>
      </c>
      <c r="F2763" s="0" t="str">
        <f aca="false">CONCATENATE(D2763," ",LEFT(H2763,4),"T=",AU2763,"D=",AV2763,"R=",AW2763,"M=",AX2763,"L=",AY2763,"B=",AZ2763)</f>
        <v>BLACKMON T=1D=0R=0M=0L=0B=0</v>
      </c>
      <c r="G2763" s="0" t="s">
        <v>11720</v>
      </c>
      <c r="I2763" s="0" t="s">
        <v>11721</v>
      </c>
      <c r="J2763" s="0" t="s">
        <v>11722</v>
      </c>
      <c r="K2763" s="0" t="s">
        <v>175</v>
      </c>
      <c r="L2763" s="0"/>
      <c r="M2763" s="0" t="s">
        <v>11723</v>
      </c>
      <c r="N2763" s="0" t="str">
        <f aca="false">RIGHT(M2763,LEN(M2763)-FIND(" ",M2763))</f>
        <v>WEST AVE NW</v>
      </c>
      <c r="P2763" s="0" t="s">
        <v>146</v>
      </c>
      <c r="Q2763" s="0" t="s">
        <v>147</v>
      </c>
      <c r="R2763" s="0" t="n">
        <v>44483</v>
      </c>
      <c r="AD2763" s="0" t="s">
        <v>148</v>
      </c>
      <c r="AE2763" s="0" t="s">
        <v>149</v>
      </c>
      <c r="AF2763" s="0" t="s">
        <v>150</v>
      </c>
      <c r="AH2763" s="0" t="n">
        <v>14</v>
      </c>
      <c r="AI2763" s="0" t="n">
        <v>11</v>
      </c>
      <c r="AN2763" s="0" t="s">
        <v>146</v>
      </c>
      <c r="AO2763" s="0" t="s">
        <v>250</v>
      </c>
      <c r="AP2763" s="0" t="s">
        <v>251</v>
      </c>
      <c r="AQ2763" s="0" t="n">
        <v>9</v>
      </c>
      <c r="AR2763" s="0" t="n">
        <v>64</v>
      </c>
      <c r="AS2763" s="0" t="n">
        <v>32</v>
      </c>
      <c r="AU2763" s="0" t="n">
        <f aca="false">COUNTA($BA$2249:$EH$2249)</f>
        <v>1</v>
      </c>
      <c r="AV2763" s="0" t="n">
        <f aca="false">COUNTIF($BA$2249:$EH$2249,"D")</f>
        <v>0</v>
      </c>
      <c r="AW2763" s="0" t="n">
        <f aca="false">COUNTIF($BA$2249:$EH$2249,"R")</f>
        <v>0</v>
      </c>
      <c r="AX2763" s="0" t="n">
        <f aca="false">IF(BN2763="D",1,0)+IF(BO2763="D",1,0)+IF(BT2763="D",1,0)+IF(BU2763="D",1,0)+IF(BW2763="D",1,0)+IF(CC2763="D",1,0)+IF(CD2763="D",1,0)+IF(CE2763="D",1,0)+IF(CF2763="D",1,0)+IF(CL2763="D",1,0)+IF(CM2763="D",1,0)+IF(CQ2763="D",1,0)+IF(CR2763="D",1,0)+IF(CS2763="D",1,0)+IF(CW2763="D",1,0)+IF(CX2763="D",1,0)+IF(DD2763="D",1,0)+IF(DE2763="D",1,0)+IF(DJ2763="D",1,0)+IF(DK2763="D",1,0)+IF(DO2763="D",1,0)+IF(DP2763="D",1,0)+IF(DQ2763="D",1,0)+IF(DW2763="D",1,0)+IF(DZ2763="D",1,0)+IF(EH2763="D",1,0)</f>
        <v>0</v>
      </c>
      <c r="AY2763" s="0" t="n">
        <f aca="false">COUNTIF(DU2763:EH2763, "&lt;&gt;")</f>
        <v>0</v>
      </c>
      <c r="AZ2763" s="0" t="n">
        <f aca="false">IF(EH2763&lt;&gt;"",1,0)</f>
        <v>0</v>
      </c>
      <c r="BB2763" s="0" t="s">
        <v>153</v>
      </c>
    </row>
    <row r="2764" customFormat="false" ht="13.8" hidden="true" customHeight="false" outlineLevel="0" collapsed="false">
      <c r="A2764" s="0" t="s">
        <v>11724</v>
      </c>
      <c r="B2764" s="0" t="n">
        <v>78</v>
      </c>
      <c r="C2764" s="0" t="n">
        <v>279943</v>
      </c>
      <c r="D2764" s="0" t="s">
        <v>1439</v>
      </c>
      <c r="E2764" s="0" t="s">
        <v>1157</v>
      </c>
      <c r="F2764" s="0" t="str">
        <f aca="false">CONCATENATE(D2764," ",LEFT(H2764,4),"T=",AU2764,"D=",AV2764,"R=",AW2764,"M=",AX2764,"L=",AY2764,"B=",AZ2764)</f>
        <v>AUSTIN T=32D=6R=0M=0L=1B=0</v>
      </c>
      <c r="G2764" s="0" t="s">
        <v>297</v>
      </c>
      <c r="I2764" s="0" t="s">
        <v>11725</v>
      </c>
      <c r="J2764" s="0" t="s">
        <v>11726</v>
      </c>
      <c r="K2764" s="0" t="s">
        <v>175</v>
      </c>
      <c r="L2764" s="0"/>
      <c r="M2764" s="0" t="s">
        <v>11727</v>
      </c>
      <c r="N2764" s="0" t="str">
        <f aca="false">RIGHT(M2764,LEN(M2764)-FIND(" ",M2764))</f>
        <v>WEST AVE NW</v>
      </c>
      <c r="P2764" s="0" t="s">
        <v>146</v>
      </c>
      <c r="Q2764" s="0" t="s">
        <v>147</v>
      </c>
      <c r="R2764" s="0" t="n">
        <v>44483</v>
      </c>
      <c r="AD2764" s="0" t="s">
        <v>148</v>
      </c>
      <c r="AE2764" s="0" t="s">
        <v>149</v>
      </c>
      <c r="AF2764" s="0" t="s">
        <v>150</v>
      </c>
      <c r="AH2764" s="0" t="n">
        <v>14</v>
      </c>
      <c r="AI2764" s="0" t="n">
        <v>11</v>
      </c>
      <c r="AN2764" s="0" t="s">
        <v>146</v>
      </c>
      <c r="AO2764" s="0" t="s">
        <v>250</v>
      </c>
      <c r="AP2764" s="0" t="s">
        <v>251</v>
      </c>
      <c r="AQ2764" s="0" t="n">
        <v>9</v>
      </c>
      <c r="AR2764" s="0" t="n">
        <v>64</v>
      </c>
      <c r="AS2764" s="0" t="n">
        <v>32</v>
      </c>
      <c r="AU2764" s="0" t="n">
        <f aca="false">COUNTA($BA$2374:$EH$2374)</f>
        <v>32</v>
      </c>
      <c r="AV2764" s="0" t="n">
        <f aca="false">COUNTIF($BA$2374:$EH$2374,"D")</f>
        <v>6</v>
      </c>
      <c r="AW2764" s="0" t="n">
        <f aca="false">COUNTIF($BA$2374:$EH$2374,"R")</f>
        <v>0</v>
      </c>
      <c r="AX2764" s="0" t="n">
        <f aca="false">IF(BN2764="D",1,0)+IF(BO2764="D",1,0)+IF(BT2764="D",1,0)+IF(BU2764="D",1,0)+IF(BW2764="D",1,0)+IF(CC2764="D",1,0)+IF(CD2764="D",1,0)+IF(CE2764="D",1,0)+IF(CF2764="D",1,0)+IF(CL2764="D",1,0)+IF(CM2764="D",1,0)+IF(CQ2764="D",1,0)+IF(CR2764="D",1,0)+IF(CS2764="D",1,0)+IF(CW2764="D",1,0)+IF(CX2764="D",1,0)+IF(DD2764="D",1,0)+IF(DE2764="D",1,0)+IF(DJ2764="D",1,0)+IF(DK2764="D",1,0)+IF(DO2764="D",1,0)+IF(DP2764="D",1,0)+IF(DQ2764="D",1,0)+IF(DW2764="D",1,0)+IF(DZ2764="D",1,0)+IF(EH2764="D",1,0)</f>
        <v>0</v>
      </c>
      <c r="AY2764" s="0" t="n">
        <f aca="false">COUNTIF(DU2764:EH2764, "&lt;&gt;")</f>
        <v>1</v>
      </c>
      <c r="AZ2764" s="0" t="n">
        <f aca="false">IF(EH2764&lt;&gt;"",1,0)</f>
        <v>0</v>
      </c>
      <c r="BB2764" s="0" t="s">
        <v>153</v>
      </c>
      <c r="BL2764" s="0" t="s">
        <v>154</v>
      </c>
      <c r="BY2764" s="0" t="s">
        <v>155</v>
      </c>
      <c r="CA2764" s="0" t="s">
        <v>154</v>
      </c>
      <c r="CN2764" s="0" t="s">
        <v>154</v>
      </c>
      <c r="CP2764" s="0" t="s">
        <v>154</v>
      </c>
      <c r="CZ2764" s="0" t="s">
        <v>155</v>
      </c>
      <c r="DC2764" s="0" t="s">
        <v>154</v>
      </c>
      <c r="DL2764" s="0" t="s">
        <v>154</v>
      </c>
      <c r="DN2764" s="0" t="s">
        <v>154</v>
      </c>
      <c r="EF2764" s="0" t="s">
        <v>154</v>
      </c>
    </row>
    <row r="2765" customFormat="false" ht="13.8" hidden="true" customHeight="false" outlineLevel="0" collapsed="false">
      <c r="A2765" s="0" t="s">
        <v>11728</v>
      </c>
      <c r="B2765" s="0" t="n">
        <v>78</v>
      </c>
      <c r="C2765" s="0" t="n">
        <v>351250</v>
      </c>
      <c r="D2765" s="0" t="s">
        <v>11121</v>
      </c>
      <c r="E2765" s="0" t="s">
        <v>11729</v>
      </c>
      <c r="F2765" s="0" t="str">
        <f aca="false">CONCATENATE(D2765," ",LEFT(H2765,4),"T=",AU2765,"D=",AV2765,"R=",AW2765,"M=",AX2765,"L=",AY2765,"B=",AZ2765)</f>
        <v>TRICE T=1D=0R=0M=0L=0B=0</v>
      </c>
      <c r="G2765" s="0" t="s">
        <v>159</v>
      </c>
      <c r="I2765" s="0" t="s">
        <v>11730</v>
      </c>
      <c r="J2765" s="0" t="s">
        <v>11731</v>
      </c>
      <c r="K2765" s="0" t="s">
        <v>175</v>
      </c>
      <c r="L2765" s="0"/>
      <c r="M2765" s="0" t="s">
        <v>11732</v>
      </c>
      <c r="N2765" s="0" t="str">
        <f aca="false">RIGHT(M2765,LEN(M2765)-FIND(" ",M2765))</f>
        <v>WEST AVE NW</v>
      </c>
      <c r="P2765" s="0" t="s">
        <v>146</v>
      </c>
      <c r="Q2765" s="0" t="s">
        <v>147</v>
      </c>
      <c r="R2765" s="0" t="n">
        <v>44483</v>
      </c>
      <c r="AD2765" s="0" t="s">
        <v>148</v>
      </c>
      <c r="AE2765" s="0" t="s">
        <v>149</v>
      </c>
      <c r="AF2765" s="0" t="s">
        <v>150</v>
      </c>
      <c r="AH2765" s="0" t="n">
        <v>14</v>
      </c>
      <c r="AI2765" s="0" t="n">
        <v>11</v>
      </c>
      <c r="AN2765" s="0" t="s">
        <v>146</v>
      </c>
      <c r="AO2765" s="0" t="s">
        <v>250</v>
      </c>
      <c r="AP2765" s="0" t="s">
        <v>251</v>
      </c>
      <c r="AQ2765" s="0" t="n">
        <v>9</v>
      </c>
      <c r="AR2765" s="0" t="n">
        <v>64</v>
      </c>
      <c r="AS2765" s="0" t="n">
        <v>32</v>
      </c>
      <c r="AU2765" s="0" t="n">
        <f aca="false">COUNTA($BA$2411:$EH$2411)</f>
        <v>1</v>
      </c>
      <c r="AV2765" s="0" t="n">
        <f aca="false">COUNTIF($BA$2411:$EH$2411,"D")</f>
        <v>0</v>
      </c>
      <c r="AW2765" s="0" t="n">
        <f aca="false">COUNTIF($BA$2411:$EH$2411,"R")</f>
        <v>0</v>
      </c>
      <c r="AX2765" s="0" t="n">
        <f aca="false">IF(BN2765="D",1,0)+IF(BO2765="D",1,0)+IF(BT2765="D",1,0)+IF(BU2765="D",1,0)+IF(BW2765="D",1,0)+IF(CC2765="D",1,0)+IF(CD2765="D",1,0)+IF(CE2765="D",1,0)+IF(CF2765="D",1,0)+IF(CL2765="D",1,0)+IF(CM2765="D",1,0)+IF(CQ2765="D",1,0)+IF(CR2765="D",1,0)+IF(CS2765="D",1,0)+IF(CW2765="D",1,0)+IF(CX2765="D",1,0)+IF(DD2765="D",1,0)+IF(DE2765="D",1,0)+IF(DJ2765="D",1,0)+IF(DK2765="D",1,0)+IF(DO2765="D",1,0)+IF(DP2765="D",1,0)+IF(DQ2765="D",1,0)+IF(DW2765="D",1,0)+IF(DZ2765="D",1,0)+IF(EH2765="D",1,0)</f>
        <v>0</v>
      </c>
      <c r="AY2765" s="0" t="n">
        <f aca="false">COUNTIF(DU2765:EH2765, "&lt;&gt;")</f>
        <v>0</v>
      </c>
      <c r="AZ2765" s="0" t="n">
        <f aca="false">IF(EH2765&lt;&gt;"",1,0)</f>
        <v>0</v>
      </c>
      <c r="BB2765" s="0" t="s">
        <v>153</v>
      </c>
      <c r="CA2765" s="0" t="s">
        <v>154</v>
      </c>
      <c r="CP2765" s="0" t="s">
        <v>154</v>
      </c>
      <c r="CV2765" s="0" t="s">
        <v>154</v>
      </c>
      <c r="DN2765" s="0" t="s">
        <v>154</v>
      </c>
    </row>
    <row r="2766" customFormat="false" ht="13.8" hidden="true" customHeight="false" outlineLevel="0" collapsed="false">
      <c r="A2766" s="0" t="s">
        <v>11733</v>
      </c>
      <c r="B2766" s="0" t="n">
        <v>78</v>
      </c>
      <c r="C2766" s="0" t="n">
        <v>303642</v>
      </c>
      <c r="D2766" s="0" t="s">
        <v>3352</v>
      </c>
      <c r="E2766" s="0" t="s">
        <v>4370</v>
      </c>
      <c r="F2766" s="0" t="str">
        <f aca="false">CONCATENATE(D2766," ",LEFT(H2766,4),"T=",AU2766,"D=",AV2766,"R=",AW2766,"M=",AX2766,"L=",AY2766,"B=",AZ2766)</f>
        <v>MCDOUGAL T=8D=1R=0M=1L=0B=0</v>
      </c>
      <c r="G2766" s="0" t="s">
        <v>7730</v>
      </c>
      <c r="I2766" s="0" t="s">
        <v>11734</v>
      </c>
      <c r="J2766" s="0" t="s">
        <v>672</v>
      </c>
      <c r="K2766" s="0" t="s">
        <v>175</v>
      </c>
      <c r="L2766" s="0"/>
      <c r="M2766" s="0" t="s">
        <v>11735</v>
      </c>
      <c r="N2766" s="0" t="str">
        <f aca="false">RIGHT(M2766,LEN(M2766)-FIND(" ",M2766))</f>
        <v>WEST AVE NW</v>
      </c>
      <c r="P2766" s="0" t="s">
        <v>146</v>
      </c>
      <c r="Q2766" s="0" t="s">
        <v>147</v>
      </c>
      <c r="R2766" s="0" t="n">
        <v>44483</v>
      </c>
      <c r="AD2766" s="0" t="s">
        <v>148</v>
      </c>
      <c r="AE2766" s="0" t="s">
        <v>149</v>
      </c>
      <c r="AF2766" s="0" t="s">
        <v>150</v>
      </c>
      <c r="AH2766" s="0" t="n">
        <v>14</v>
      </c>
      <c r="AI2766" s="0" t="n">
        <v>11</v>
      </c>
      <c r="AN2766" s="0" t="s">
        <v>146</v>
      </c>
      <c r="AO2766" s="0" t="s">
        <v>250</v>
      </c>
      <c r="AP2766" s="0" t="s">
        <v>251</v>
      </c>
      <c r="AQ2766" s="0" t="n">
        <v>9</v>
      </c>
      <c r="AR2766" s="0" t="n">
        <v>64</v>
      </c>
      <c r="AS2766" s="0" t="n">
        <v>32</v>
      </c>
      <c r="AU2766" s="0" t="n">
        <f aca="false">COUNTA($BA$2400:$EH$2400)</f>
        <v>8</v>
      </c>
      <c r="AV2766" s="0" t="n">
        <f aca="false">COUNTIF($BA$2400:$EH$2400,"D")</f>
        <v>1</v>
      </c>
      <c r="AW2766" s="0" t="n">
        <f aca="false">COUNTIF($BA$2400:$EH$2400,"R")</f>
        <v>0</v>
      </c>
      <c r="AX2766" s="0" t="n">
        <f aca="false">IF(BN2766="D",1,0)+IF(BO2766="D",1,0)+IF(BT2766="D",1,0)+IF(BU2766="D",1,0)+IF(BW2766="D",1,0)+IF(CC2766="D",1,0)+IF(CD2766="D",1,0)+IF(CE2766="D",1,0)+IF(CF2766="D",1,0)+IF(CL2766="D",1,0)+IF(CM2766="D",1,0)+IF(CQ2766="D",1,0)+IF(CR2766="D",1,0)+IF(CS2766="D",1,0)+IF(CW2766="D",1,0)+IF(CX2766="D",1,0)+IF(DD2766="D",1,0)+IF(DE2766="D",1,0)+IF(DJ2766="D",1,0)+IF(DK2766="D",1,0)+IF(DO2766="D",1,0)+IF(DP2766="D",1,0)+IF(DQ2766="D",1,0)+IF(DW2766="D",1,0)+IF(DZ2766="D",1,0)+IF(EH2766="D",1,0)</f>
        <v>1</v>
      </c>
      <c r="AY2766" s="0" t="n">
        <f aca="false">COUNTIF(DU2766:EH2766, "&lt;&gt;")</f>
        <v>0</v>
      </c>
      <c r="AZ2766" s="0" t="n">
        <f aca="false">IF(EH2766&lt;&gt;"",1,0)</f>
        <v>0</v>
      </c>
      <c r="BB2766" s="0" t="s">
        <v>153</v>
      </c>
      <c r="BF2766" s="0" t="s">
        <v>154</v>
      </c>
      <c r="CA2766" s="0" t="s">
        <v>154</v>
      </c>
      <c r="CG2766" s="0" t="s">
        <v>154</v>
      </c>
      <c r="CH2766" s="0" t="s">
        <v>155</v>
      </c>
      <c r="CK2766" s="0" t="s">
        <v>154</v>
      </c>
      <c r="CL2766" s="0" t="s">
        <v>155</v>
      </c>
      <c r="CP2766" s="0" t="s">
        <v>154</v>
      </c>
      <c r="CY2766" s="0" t="s">
        <v>154</v>
      </c>
      <c r="CZ2766" s="0" t="s">
        <v>155</v>
      </c>
      <c r="DC2766" s="0" t="s">
        <v>154</v>
      </c>
    </row>
    <row r="2767" customFormat="false" ht="13.8" hidden="true" customHeight="false" outlineLevel="0" collapsed="false">
      <c r="A2767" s="0" t="s">
        <v>11736</v>
      </c>
      <c r="B2767" s="0" t="n">
        <v>78</v>
      </c>
      <c r="C2767" s="0" t="n">
        <v>415613</v>
      </c>
      <c r="D2767" s="0" t="s">
        <v>501</v>
      </c>
      <c r="E2767" s="0" t="s">
        <v>11737</v>
      </c>
      <c r="F2767" s="0" t="str">
        <f aca="false">CONCATENATE(D2767," ",LEFT(H2767,4),"T=",AU2767,"D=",AV2767,"R=",AW2767,"M=",AX2767,"L=",AY2767,"B=",AZ2767)</f>
        <v>WARE T=39D=11R=0M=0L=0B=0</v>
      </c>
      <c r="G2767" s="0" t="s">
        <v>241</v>
      </c>
      <c r="I2767" s="0" t="s">
        <v>11738</v>
      </c>
      <c r="J2767" s="0" t="s">
        <v>11739</v>
      </c>
      <c r="K2767" s="0" t="s">
        <v>175</v>
      </c>
      <c r="L2767" s="0"/>
      <c r="M2767" s="0" t="s">
        <v>11740</v>
      </c>
      <c r="N2767" s="0" t="str">
        <f aca="false">RIGHT(M2767,LEN(M2767)-FIND(" ",M2767))</f>
        <v>WEST AVE NW</v>
      </c>
      <c r="P2767" s="0" t="s">
        <v>146</v>
      </c>
      <c r="Q2767" s="0" t="s">
        <v>147</v>
      </c>
      <c r="R2767" s="0" t="n">
        <v>44483</v>
      </c>
      <c r="AD2767" s="0" t="s">
        <v>148</v>
      </c>
      <c r="AE2767" s="0" t="s">
        <v>149</v>
      </c>
      <c r="AF2767" s="0" t="s">
        <v>150</v>
      </c>
      <c r="AH2767" s="0" t="n">
        <v>14</v>
      </c>
      <c r="AI2767" s="0" t="n">
        <v>11</v>
      </c>
      <c r="AN2767" s="0" t="s">
        <v>146</v>
      </c>
      <c r="AO2767" s="0" t="s">
        <v>250</v>
      </c>
      <c r="AP2767" s="0" t="s">
        <v>251</v>
      </c>
      <c r="AQ2767" s="0" t="n">
        <v>9</v>
      </c>
      <c r="AR2767" s="0" t="n">
        <v>64</v>
      </c>
      <c r="AS2767" s="0" t="n">
        <v>32</v>
      </c>
      <c r="AU2767" s="0" t="n">
        <f aca="false">COUNTA($BA$2561:$EH$2561)</f>
        <v>39</v>
      </c>
      <c r="AV2767" s="0" t="n">
        <f aca="false">COUNTIF($BA$2561:$EH$2561,"D")</f>
        <v>11</v>
      </c>
      <c r="AW2767" s="0" t="n">
        <f aca="false">COUNTIF($BA$2561:$EH$2561,"R")</f>
        <v>0</v>
      </c>
      <c r="AX2767" s="0" t="n">
        <f aca="false">IF(BN2767="D",1,0)+IF(BO2767="D",1,0)+IF(BT2767="D",1,0)+IF(BU2767="D",1,0)+IF(BW2767="D",1,0)+IF(CC2767="D",1,0)+IF(CD2767="D",1,0)+IF(CE2767="D",1,0)+IF(CF2767="D",1,0)+IF(CL2767="D",1,0)+IF(CM2767="D",1,0)+IF(CQ2767="D",1,0)+IF(CR2767="D",1,0)+IF(CS2767="D",1,0)+IF(CW2767="D",1,0)+IF(CX2767="D",1,0)+IF(DD2767="D",1,0)+IF(DE2767="D",1,0)+IF(DJ2767="D",1,0)+IF(DK2767="D",1,0)+IF(DO2767="D",1,0)+IF(DP2767="D",1,0)+IF(DQ2767="D",1,0)+IF(DW2767="D",1,0)+IF(DZ2767="D",1,0)+IF(EH2767="D",1,0)</f>
        <v>0</v>
      </c>
      <c r="AY2767" s="0" t="n">
        <f aca="false">COUNTIF(DU2767:EH2767, "&lt;&gt;")</f>
        <v>0</v>
      </c>
      <c r="AZ2767" s="0" t="n">
        <f aca="false">IF(EH2767&lt;&gt;"",1,0)</f>
        <v>0</v>
      </c>
      <c r="BB2767" s="0" t="s">
        <v>153</v>
      </c>
      <c r="BY2767" s="0" t="s">
        <v>155</v>
      </c>
      <c r="CA2767" s="0" t="s">
        <v>154</v>
      </c>
      <c r="CK2767" s="0" t="s">
        <v>154</v>
      </c>
      <c r="CP2767" s="0" t="s">
        <v>154</v>
      </c>
    </row>
    <row r="2768" customFormat="false" ht="13.8" hidden="true" customHeight="false" outlineLevel="0" collapsed="false">
      <c r="A2768" s="0" t="s">
        <v>11741</v>
      </c>
      <c r="B2768" s="0" t="n">
        <v>78</v>
      </c>
      <c r="C2768" s="0" t="n">
        <v>476784</v>
      </c>
      <c r="D2768" s="0" t="s">
        <v>3369</v>
      </c>
      <c r="E2768" s="0" t="s">
        <v>2576</v>
      </c>
      <c r="F2768" s="0" t="str">
        <f aca="false">CONCATENATE(D2768," ",LEFT(H2768,4),"T=",AU2768,"D=",AV2768,"R=",AW2768,"M=",AX2768,"L=",AY2768,"B=",AZ2768)</f>
        <v>FREDERICK T=4D=0R=0M=0L=1B=0</v>
      </c>
      <c r="G2768" s="0" t="s">
        <v>11742</v>
      </c>
      <c r="I2768" s="0" t="s">
        <v>11149</v>
      </c>
      <c r="J2768" s="0" t="s">
        <v>11743</v>
      </c>
      <c r="K2768" s="0" t="s">
        <v>175</v>
      </c>
      <c r="L2768" s="0"/>
      <c r="M2768" s="0" t="s">
        <v>11744</v>
      </c>
      <c r="N2768" s="0" t="str">
        <f aca="false">RIGHT(M2768,LEN(M2768)-FIND(" ",M2768))</f>
        <v>WEST AVE NW</v>
      </c>
      <c r="P2768" s="0" t="s">
        <v>146</v>
      </c>
      <c r="Q2768" s="0" t="s">
        <v>147</v>
      </c>
      <c r="R2768" s="0" t="n">
        <v>44483</v>
      </c>
      <c r="AD2768" s="0" t="s">
        <v>148</v>
      </c>
      <c r="AE2768" s="0" t="s">
        <v>149</v>
      </c>
      <c r="AF2768" s="0" t="s">
        <v>150</v>
      </c>
      <c r="AH2768" s="0" t="n">
        <v>14</v>
      </c>
      <c r="AI2768" s="0" t="n">
        <v>11</v>
      </c>
      <c r="AN2768" s="0" t="s">
        <v>146</v>
      </c>
      <c r="AO2768" s="0" t="s">
        <v>250</v>
      </c>
      <c r="AP2768" s="0" t="s">
        <v>251</v>
      </c>
      <c r="AQ2768" s="0" t="n">
        <v>9</v>
      </c>
      <c r="AR2768" s="0" t="n">
        <v>64</v>
      </c>
      <c r="AS2768" s="0" t="n">
        <v>32</v>
      </c>
      <c r="AU2768" s="0" t="n">
        <f aca="false">COUNTA($BA$2363:$EH$2363)</f>
        <v>4</v>
      </c>
      <c r="AV2768" s="0" t="n">
        <f aca="false">COUNTIF($BA$2363:$EH$2363,"D")</f>
        <v>0</v>
      </c>
      <c r="AW2768" s="0" t="n">
        <f aca="false">COUNTIF($BA$2363:$EH$2363,"R")</f>
        <v>0</v>
      </c>
      <c r="AX2768" s="0" t="n">
        <f aca="false">IF(BN2768="D",1,0)+IF(BO2768="D",1,0)+IF(BT2768="D",1,0)+IF(BU2768="D",1,0)+IF(BW2768="D",1,0)+IF(CC2768="D",1,0)+IF(CD2768="D",1,0)+IF(CE2768="D",1,0)+IF(CF2768="D",1,0)+IF(CL2768="D",1,0)+IF(CM2768="D",1,0)+IF(CQ2768="D",1,0)+IF(CR2768="D",1,0)+IF(CS2768="D",1,0)+IF(CW2768="D",1,0)+IF(CX2768="D",1,0)+IF(DD2768="D",1,0)+IF(DE2768="D",1,0)+IF(DJ2768="D",1,0)+IF(DK2768="D",1,0)+IF(DO2768="D",1,0)+IF(DP2768="D",1,0)+IF(DQ2768="D",1,0)+IF(DW2768="D",1,0)+IF(DZ2768="D",1,0)+IF(EH2768="D",1,0)</f>
        <v>0</v>
      </c>
      <c r="AY2768" s="0" t="n">
        <f aca="false">COUNTIF(DU2768:EH2768, "&lt;&gt;")</f>
        <v>1</v>
      </c>
      <c r="AZ2768" s="0" t="n">
        <f aca="false">IF(EH2768&lt;&gt;"",1,0)</f>
        <v>0</v>
      </c>
      <c r="BB2768" s="0" t="s">
        <v>153</v>
      </c>
      <c r="EA2768" s="0" t="s">
        <v>154</v>
      </c>
    </row>
    <row r="2769" customFormat="false" ht="13.8" hidden="false" customHeight="false" outlineLevel="0" collapsed="false">
      <c r="A2769" s="0" t="s">
        <v>11745</v>
      </c>
      <c r="B2769" s="0" t="n">
        <v>78</v>
      </c>
      <c r="C2769" s="0" t="n">
        <v>461519</v>
      </c>
      <c r="D2769" s="0" t="s">
        <v>11746</v>
      </c>
      <c r="E2769" s="0" t="s">
        <v>266</v>
      </c>
      <c r="F2769" s="0" t="str">
        <f aca="false">CONCATENATE(D2769," ",LEFT(H2769,4),"T=",AU2769,"D=",AV2769,"R=",AW2769,"M=",AX2769,"L=",AY2769,"B=",AZ2769)</f>
        <v>HOOKS T=16D=3R=0M=1L=6B=1</v>
      </c>
      <c r="G2769" s="0" t="s">
        <v>11747</v>
      </c>
      <c r="I2769" s="0" t="s">
        <v>4467</v>
      </c>
      <c r="J2769" s="0" t="s">
        <v>11748</v>
      </c>
      <c r="K2769" s="0" t="s">
        <v>175</v>
      </c>
      <c r="L2769" s="1" t="s">
        <v>155</v>
      </c>
      <c r="M2769" s="0" t="s">
        <v>11744</v>
      </c>
      <c r="N2769" s="0" t="str">
        <f aca="false">RIGHT(M2769,LEN(M2769)-FIND(" ",M2769))</f>
        <v>WEST AVE NW</v>
      </c>
      <c r="P2769" s="0" t="s">
        <v>146</v>
      </c>
      <c r="Q2769" s="0" t="s">
        <v>147</v>
      </c>
      <c r="R2769" s="0" t="n">
        <v>44483</v>
      </c>
      <c r="AD2769" s="0" t="s">
        <v>148</v>
      </c>
      <c r="AE2769" s="0" t="s">
        <v>149</v>
      </c>
      <c r="AF2769" s="0" t="s">
        <v>150</v>
      </c>
      <c r="AH2769" s="0" t="n">
        <v>14</v>
      </c>
      <c r="AI2769" s="0" t="n">
        <v>11</v>
      </c>
      <c r="AN2769" s="0" t="s">
        <v>146</v>
      </c>
      <c r="AO2769" s="0" t="s">
        <v>250</v>
      </c>
      <c r="AP2769" s="0" t="s">
        <v>251</v>
      </c>
      <c r="AQ2769" s="0" t="n">
        <v>9</v>
      </c>
      <c r="AR2769" s="0" t="n">
        <v>64</v>
      </c>
      <c r="AS2769" s="0" t="n">
        <v>32</v>
      </c>
      <c r="AU2769" s="0" t="n">
        <f aca="false">COUNTA($BA$2496:$EH$2496)</f>
        <v>16</v>
      </c>
      <c r="AV2769" s="0" t="n">
        <f aca="false">COUNTIF($BA$2496:$EH$2496,"D")</f>
        <v>3</v>
      </c>
      <c r="AW2769" s="0" t="n">
        <f aca="false">COUNTIF($BA$2496:$EH$2496,"R")</f>
        <v>0</v>
      </c>
      <c r="AX2769" s="0" t="n">
        <f aca="false">IF(BN2769="D",1,0)+IF(BO2769="D",1,0)+IF(BT2769="D",1,0)+IF(BU2769="D",1,0)+IF(BW2769="D",1,0)+IF(CC2769="D",1,0)+IF(CD2769="D",1,0)+IF(CE2769="D",1,0)+IF(CF2769="D",1,0)+IF(CL2769="D",1,0)+IF(CM2769="D",1,0)+IF(CQ2769="D",1,0)+IF(CR2769="D",1,0)+IF(CS2769="D",1,0)+IF(CW2769="D",1,0)+IF(CX2769="D",1,0)+IF(DD2769="D",1,0)+IF(DE2769="D",1,0)+IF(DJ2769="D",1,0)+IF(DK2769="D",1,0)+IF(DO2769="D",1,0)+IF(DP2769="D",1,0)+IF(DQ2769="D",1,0)+IF(DW2769="D",1,0)+IF(DZ2769="D",1,0)+IF(EH2769="D",1,0)</f>
        <v>1</v>
      </c>
      <c r="AY2769" s="0" t="n">
        <f aca="false">COUNTIF(DU2769:EH2769, "&lt;&gt;")</f>
        <v>6</v>
      </c>
      <c r="AZ2769" s="0" t="n">
        <f aca="false">IF(EH2769&lt;&gt;"",1,0)</f>
        <v>1</v>
      </c>
      <c r="BB2769" s="0" t="s">
        <v>153</v>
      </c>
      <c r="DL2769" s="0" t="s">
        <v>154</v>
      </c>
      <c r="DM2769" s="0" t="s">
        <v>155</v>
      </c>
      <c r="DN2769" s="0" t="s">
        <v>154</v>
      </c>
      <c r="DU2769" s="0" t="s">
        <v>154</v>
      </c>
      <c r="DX2769" s="0" t="s">
        <v>154</v>
      </c>
      <c r="EA2769" s="0" t="s">
        <v>154</v>
      </c>
      <c r="ED2769" s="0" t="s">
        <v>155</v>
      </c>
      <c r="EF2769" s="0" t="s">
        <v>154</v>
      </c>
      <c r="EH2769" s="0" t="s">
        <v>155</v>
      </c>
    </row>
    <row r="2770" customFormat="false" ht="13.8" hidden="true" customHeight="false" outlineLevel="0" collapsed="false">
      <c r="A2770" s="0" t="s">
        <v>11749</v>
      </c>
      <c r="B2770" s="0" t="n">
        <v>78</v>
      </c>
      <c r="C2770" s="0" t="n">
        <v>345573</v>
      </c>
      <c r="D2770" s="0" t="s">
        <v>1702</v>
      </c>
      <c r="E2770" s="0" t="s">
        <v>1131</v>
      </c>
      <c r="F2770" s="0" t="str">
        <f aca="false">CONCATENATE(D2770," ",LEFT(H2770,4),"T=",AU2770,"D=",AV2770,"R=",AW2770,"M=",AX2770,"L=",AY2770,"B=",AZ2770)</f>
        <v>MORGAN T=11D=1R=1M=0L=0B=0</v>
      </c>
      <c r="G2770" s="0" t="s">
        <v>241</v>
      </c>
      <c r="I2770" s="0" t="s">
        <v>11750</v>
      </c>
      <c r="J2770" s="0" t="s">
        <v>1570</v>
      </c>
      <c r="K2770" s="0" t="s">
        <v>144</v>
      </c>
      <c r="L2770" s="0"/>
      <c r="M2770" s="0" t="s">
        <v>11751</v>
      </c>
      <c r="N2770" s="0" t="str">
        <f aca="false">RIGHT(M2770,LEN(M2770)-FIND(" ",M2770))</f>
        <v>WEST AVE NW</v>
      </c>
      <c r="P2770" s="0" t="s">
        <v>146</v>
      </c>
      <c r="Q2770" s="0" t="s">
        <v>147</v>
      </c>
      <c r="R2770" s="0" t="n">
        <v>44483</v>
      </c>
      <c r="AD2770" s="0" t="s">
        <v>148</v>
      </c>
      <c r="AE2770" s="0" t="s">
        <v>149</v>
      </c>
      <c r="AF2770" s="0" t="s">
        <v>150</v>
      </c>
      <c r="AH2770" s="0" t="n">
        <v>14</v>
      </c>
      <c r="AI2770" s="0" t="n">
        <v>11</v>
      </c>
      <c r="AN2770" s="0" t="s">
        <v>146</v>
      </c>
      <c r="AO2770" s="0" t="s">
        <v>250</v>
      </c>
      <c r="AP2770" s="0" t="s">
        <v>251</v>
      </c>
      <c r="AQ2770" s="0" t="n">
        <v>9</v>
      </c>
      <c r="AR2770" s="0" t="n">
        <v>64</v>
      </c>
      <c r="AS2770" s="0" t="n">
        <v>32</v>
      </c>
      <c r="AU2770" s="0" t="n">
        <f aca="false">COUNTA($BA$2358:$EH$2358)</f>
        <v>11</v>
      </c>
      <c r="AV2770" s="0" t="n">
        <f aca="false">COUNTIF($BA$2358:$EH$2358,"D")</f>
        <v>1</v>
      </c>
      <c r="AW2770" s="0" t="n">
        <f aca="false">COUNTIF($BA$2358:$EH$2358,"R")</f>
        <v>1</v>
      </c>
      <c r="AX2770" s="0" t="n">
        <f aca="false">IF(BN2770="D",1,0)+IF(BO2770="D",1,0)+IF(BT2770="D",1,0)+IF(BU2770="D",1,0)+IF(BW2770="D",1,0)+IF(CC2770="D",1,0)+IF(CD2770="D",1,0)+IF(CE2770="D",1,0)+IF(CF2770="D",1,0)+IF(CL2770="D",1,0)+IF(CM2770="D",1,0)+IF(CQ2770="D",1,0)+IF(CR2770="D",1,0)+IF(CS2770="D",1,0)+IF(CW2770="D",1,0)+IF(CX2770="D",1,0)+IF(DD2770="D",1,0)+IF(DE2770="D",1,0)+IF(DJ2770="D",1,0)+IF(DK2770="D",1,0)+IF(DO2770="D",1,0)+IF(DP2770="D",1,0)+IF(DQ2770="D",1,0)+IF(DW2770="D",1,0)+IF(DZ2770="D",1,0)+IF(EH2770="D",1,0)</f>
        <v>0</v>
      </c>
      <c r="AY2770" s="0" t="n">
        <f aca="false">COUNTIF(DU2770:EH2770, "&lt;&gt;")</f>
        <v>0</v>
      </c>
      <c r="AZ2770" s="0" t="n">
        <f aca="false">IF(EH2770&lt;&gt;"",1,0)</f>
        <v>0</v>
      </c>
      <c r="BB2770" s="0" t="s">
        <v>153</v>
      </c>
      <c r="BS2770" s="0" t="s">
        <v>154</v>
      </c>
      <c r="DC2770" s="0" t="s">
        <v>154</v>
      </c>
      <c r="DN2770" s="0" t="s">
        <v>154</v>
      </c>
    </row>
    <row r="2771" customFormat="false" ht="13.8" hidden="false" customHeight="false" outlineLevel="0" collapsed="false">
      <c r="A2771" s="0" t="s">
        <v>11752</v>
      </c>
      <c r="B2771" s="0" t="n">
        <v>78</v>
      </c>
      <c r="C2771" s="0" t="n">
        <v>338320</v>
      </c>
      <c r="D2771" s="0" t="s">
        <v>3360</v>
      </c>
      <c r="E2771" s="0" t="s">
        <v>5226</v>
      </c>
      <c r="F2771" s="0" t="str">
        <f aca="false">CONCATENATE(D2771," ",LEFT(H2771,4),"T=",AU2771,"D=",AV2771,"R=",AW2771,"M=",AX2771,"L=",AY2771,"B=",AZ2771)</f>
        <v>ROUPE T=1D=0R=0M=0L=2B=0</v>
      </c>
      <c r="G2771" s="0" t="s">
        <v>188</v>
      </c>
      <c r="I2771" s="0" t="s">
        <v>11753</v>
      </c>
      <c r="J2771" s="0" t="s">
        <v>11754</v>
      </c>
      <c r="K2771" s="0" t="s">
        <v>175</v>
      </c>
      <c r="M2771" s="0" t="s">
        <v>11751</v>
      </c>
      <c r="N2771" s="0" t="str">
        <f aca="false">RIGHT(M2771,LEN(M2771)-FIND(" ",M2771))</f>
        <v>WEST AVE NW</v>
      </c>
      <c r="P2771" s="0" t="s">
        <v>146</v>
      </c>
      <c r="Q2771" s="0" t="s">
        <v>147</v>
      </c>
      <c r="R2771" s="0" t="n">
        <v>44483</v>
      </c>
      <c r="AD2771" s="0" t="s">
        <v>148</v>
      </c>
      <c r="AE2771" s="0" t="s">
        <v>149</v>
      </c>
      <c r="AF2771" s="0" t="s">
        <v>150</v>
      </c>
      <c r="AH2771" s="0" t="n">
        <v>14</v>
      </c>
      <c r="AI2771" s="0" t="n">
        <v>11</v>
      </c>
      <c r="AN2771" s="0" t="s">
        <v>146</v>
      </c>
      <c r="AO2771" s="0" t="s">
        <v>250</v>
      </c>
      <c r="AP2771" s="0" t="s">
        <v>251</v>
      </c>
      <c r="AQ2771" s="0" t="n">
        <v>9</v>
      </c>
      <c r="AR2771" s="0" t="n">
        <v>64</v>
      </c>
      <c r="AS2771" s="0" t="n">
        <v>32</v>
      </c>
      <c r="AU2771" s="0" t="n">
        <f aca="false">COUNTA($BA$2608:$EH$2608)</f>
        <v>1</v>
      </c>
      <c r="AV2771" s="0" t="n">
        <f aca="false">COUNTIF($BA$2608:$EH$2608,"D")</f>
        <v>0</v>
      </c>
      <c r="AW2771" s="0" t="n">
        <f aca="false">COUNTIF($BA$2608:$EH$2608,"R")</f>
        <v>0</v>
      </c>
      <c r="AX2771" s="0" t="n">
        <f aca="false">IF(BN2771="D",1,0)+IF(BO2771="D",1,0)+IF(BT2771="D",1,0)+IF(BU2771="D",1,0)+IF(BW2771="D",1,0)+IF(CC2771="D",1,0)+IF(CD2771="D",1,0)+IF(CE2771="D",1,0)+IF(CF2771="D",1,0)+IF(CL2771="D",1,0)+IF(CM2771="D",1,0)+IF(CQ2771="D",1,0)+IF(CR2771="D",1,0)+IF(CS2771="D",1,0)+IF(CW2771="D",1,0)+IF(CX2771="D",1,0)+IF(DD2771="D",1,0)+IF(DE2771="D",1,0)+IF(DJ2771="D",1,0)+IF(DK2771="D",1,0)+IF(DO2771="D",1,0)+IF(DP2771="D",1,0)+IF(DQ2771="D",1,0)+IF(DW2771="D",1,0)+IF(DZ2771="D",1,0)+IF(EH2771="D",1,0)</f>
        <v>0</v>
      </c>
      <c r="AY2771" s="0" t="n">
        <f aca="false">COUNTIF(DU2771:EH2771, "&lt;&gt;")</f>
        <v>2</v>
      </c>
      <c r="AZ2771" s="0" t="n">
        <f aca="false">IF(EH2771&lt;&gt;"",1,0)</f>
        <v>0</v>
      </c>
      <c r="BB2771" s="0" t="s">
        <v>153</v>
      </c>
      <c r="CP2771" s="0" t="s">
        <v>154</v>
      </c>
      <c r="DC2771" s="0" t="s">
        <v>154</v>
      </c>
      <c r="DN2771" s="0" t="s">
        <v>154</v>
      </c>
      <c r="EA2771" s="0" t="s">
        <v>154</v>
      </c>
      <c r="EF2771" s="0" t="s">
        <v>154</v>
      </c>
    </row>
    <row r="2772" customFormat="false" ht="13.8" hidden="true" customHeight="false" outlineLevel="0" collapsed="false">
      <c r="A2772" s="0" t="s">
        <v>11755</v>
      </c>
      <c r="B2772" s="0" t="n">
        <v>78</v>
      </c>
      <c r="C2772" s="0" t="n">
        <v>454721</v>
      </c>
      <c r="D2772" s="0" t="s">
        <v>11756</v>
      </c>
      <c r="E2772" s="0" t="s">
        <v>1653</v>
      </c>
      <c r="F2772" s="0" t="str">
        <f aca="false">CONCATENATE(D2772," ",LEFT(H2772,4),"T=",AU2772,"D=",AV2772,"R=",AW2772,"M=",AX2772,"L=",AY2772,"B=",AZ2772)</f>
        <v>FAKO T=1D=0R=0M=0L=0B=0</v>
      </c>
      <c r="G2772" s="0" t="s">
        <v>297</v>
      </c>
      <c r="I2772" s="0" t="s">
        <v>11757</v>
      </c>
      <c r="J2772" s="0" t="s">
        <v>248</v>
      </c>
      <c r="K2772" s="0" t="s">
        <v>144</v>
      </c>
      <c r="L2772" s="0"/>
      <c r="M2772" s="0" t="s">
        <v>11758</v>
      </c>
      <c r="N2772" s="0" t="str">
        <f aca="false">RIGHT(M2772,LEN(M2772)-FIND(" ",M2772))</f>
        <v>WEST AVE NW</v>
      </c>
      <c r="P2772" s="0" t="s">
        <v>146</v>
      </c>
      <c r="Q2772" s="0" t="s">
        <v>147</v>
      </c>
      <c r="R2772" s="0" t="n">
        <v>44483</v>
      </c>
      <c r="AD2772" s="0" t="s">
        <v>148</v>
      </c>
      <c r="AE2772" s="0" t="s">
        <v>149</v>
      </c>
      <c r="AF2772" s="0" t="s">
        <v>150</v>
      </c>
      <c r="AH2772" s="0" t="n">
        <v>14</v>
      </c>
      <c r="AI2772" s="0" t="n">
        <v>11</v>
      </c>
      <c r="AN2772" s="0" t="s">
        <v>146</v>
      </c>
      <c r="AO2772" s="0" t="s">
        <v>250</v>
      </c>
      <c r="AP2772" s="0" t="s">
        <v>251</v>
      </c>
      <c r="AQ2772" s="0" t="n">
        <v>9</v>
      </c>
      <c r="AR2772" s="0" t="n">
        <v>64</v>
      </c>
      <c r="AS2772" s="0" t="n">
        <v>32</v>
      </c>
      <c r="AU2772" s="0" t="n">
        <f aca="false">COUNTA($BA$2269:$EH$2269)</f>
        <v>1</v>
      </c>
      <c r="AV2772" s="0" t="n">
        <f aca="false">COUNTIF($BA$2269:$EH$2269,"D")</f>
        <v>0</v>
      </c>
      <c r="AW2772" s="0" t="n">
        <f aca="false">COUNTIF($BA$2269:$EH$2269,"R")</f>
        <v>0</v>
      </c>
      <c r="AX2772" s="0" t="n">
        <f aca="false">IF(BN2772="D",1,0)+IF(BO2772="D",1,0)+IF(BT2772="D",1,0)+IF(BU2772="D",1,0)+IF(BW2772="D",1,0)+IF(CC2772="D",1,0)+IF(CD2772="D",1,0)+IF(CE2772="D",1,0)+IF(CF2772="D",1,0)+IF(CL2772="D",1,0)+IF(CM2772="D",1,0)+IF(CQ2772="D",1,0)+IF(CR2772="D",1,0)+IF(CS2772="D",1,0)+IF(CW2772="D",1,0)+IF(CX2772="D",1,0)+IF(DD2772="D",1,0)+IF(DE2772="D",1,0)+IF(DJ2772="D",1,0)+IF(DK2772="D",1,0)+IF(DO2772="D",1,0)+IF(DP2772="D",1,0)+IF(DQ2772="D",1,0)+IF(DW2772="D",1,0)+IF(DZ2772="D",1,0)+IF(EH2772="D",1,0)</f>
        <v>0</v>
      </c>
      <c r="AY2772" s="0" t="n">
        <f aca="false">COUNTIF(DU2772:EH2772, "&lt;&gt;")</f>
        <v>0</v>
      </c>
      <c r="AZ2772" s="0" t="n">
        <f aca="false">IF(EH2772&lt;&gt;"",1,0)</f>
        <v>0</v>
      </c>
      <c r="BB2772" s="0" t="s">
        <v>153</v>
      </c>
      <c r="DN2772" s="0" t="s">
        <v>154</v>
      </c>
    </row>
    <row r="2773" customFormat="false" ht="13.8" hidden="true" customHeight="false" outlineLevel="0" collapsed="false">
      <c r="A2773" s="0" t="s">
        <v>11759</v>
      </c>
      <c r="B2773" s="0" t="n">
        <v>78</v>
      </c>
      <c r="C2773" s="0" t="n">
        <v>340223</v>
      </c>
      <c r="D2773" s="0" t="s">
        <v>4824</v>
      </c>
      <c r="E2773" s="0" t="s">
        <v>11760</v>
      </c>
      <c r="F2773" s="0" t="str">
        <f aca="false">CONCATENATE(D2773," ",LEFT(H2773,4),"T=",AU2773,"D=",AV2773,"R=",AW2773,"M=",AX2773,"L=",AY2773,"B=",AZ2773)</f>
        <v>GOODWIN T=6D=0R=0M=0L=0B=0</v>
      </c>
      <c r="G2773" s="0" t="s">
        <v>241</v>
      </c>
      <c r="I2773" s="0" t="s">
        <v>11761</v>
      </c>
      <c r="J2773" s="0" t="s">
        <v>10949</v>
      </c>
      <c r="K2773" s="0" t="s">
        <v>175</v>
      </c>
      <c r="L2773" s="0"/>
      <c r="M2773" s="0" t="s">
        <v>11762</v>
      </c>
      <c r="N2773" s="0" t="str">
        <f aca="false">RIGHT(M2773,LEN(M2773)-FIND(" ",M2773))</f>
        <v>WEST AVE NW</v>
      </c>
      <c r="P2773" s="0" t="s">
        <v>146</v>
      </c>
      <c r="Q2773" s="0" t="s">
        <v>147</v>
      </c>
      <c r="R2773" s="0" t="n">
        <v>44483</v>
      </c>
      <c r="AD2773" s="0" t="s">
        <v>148</v>
      </c>
      <c r="AE2773" s="0" t="s">
        <v>149</v>
      </c>
      <c r="AF2773" s="0" t="s">
        <v>150</v>
      </c>
      <c r="AH2773" s="0" t="n">
        <v>14</v>
      </c>
      <c r="AI2773" s="0" t="n">
        <v>11</v>
      </c>
      <c r="AN2773" s="0" t="s">
        <v>146</v>
      </c>
      <c r="AO2773" s="0" t="s">
        <v>250</v>
      </c>
      <c r="AP2773" s="0" t="s">
        <v>251</v>
      </c>
      <c r="AQ2773" s="0" t="n">
        <v>9</v>
      </c>
      <c r="AR2773" s="0" t="n">
        <v>64</v>
      </c>
      <c r="AS2773" s="0" t="n">
        <v>32</v>
      </c>
      <c r="AU2773" s="0" t="n">
        <f aca="false">COUNTA($BA$2124:$EH$2124)</f>
        <v>6</v>
      </c>
      <c r="AV2773" s="0" t="n">
        <f aca="false">COUNTIF($BA$2124:$EH$2124,"D")</f>
        <v>0</v>
      </c>
      <c r="AW2773" s="0" t="n">
        <f aca="false">COUNTIF($BA$2124:$EH$2124,"R")</f>
        <v>0</v>
      </c>
      <c r="AX2773" s="0" t="n">
        <f aca="false">IF(BN2773="D",1,0)+IF(BO2773="D",1,0)+IF(BT2773="D",1,0)+IF(BU2773="D",1,0)+IF(BW2773="D",1,0)+IF(CC2773="D",1,0)+IF(CD2773="D",1,0)+IF(CE2773="D",1,0)+IF(CF2773="D",1,0)+IF(CL2773="D",1,0)+IF(CM2773="D",1,0)+IF(CQ2773="D",1,0)+IF(CR2773="D",1,0)+IF(CS2773="D",1,0)+IF(CW2773="D",1,0)+IF(CX2773="D",1,0)+IF(DD2773="D",1,0)+IF(DE2773="D",1,0)+IF(DJ2773="D",1,0)+IF(DK2773="D",1,0)+IF(DO2773="D",1,0)+IF(DP2773="D",1,0)+IF(DQ2773="D",1,0)+IF(DW2773="D",1,0)+IF(DZ2773="D",1,0)+IF(EH2773="D",1,0)</f>
        <v>0</v>
      </c>
      <c r="AY2773" s="0" t="n">
        <f aca="false">COUNTIF(DU2773:EH2773, "&lt;&gt;")</f>
        <v>0</v>
      </c>
      <c r="AZ2773" s="0" t="n">
        <f aca="false">IF(EH2773&lt;&gt;"",1,0)</f>
        <v>0</v>
      </c>
      <c r="BB2773" s="0" t="s">
        <v>153</v>
      </c>
      <c r="CA2773" s="0" t="s">
        <v>154</v>
      </c>
    </row>
    <row r="2774" customFormat="false" ht="13.8" hidden="true" customHeight="false" outlineLevel="0" collapsed="false">
      <c r="A2774" s="0" t="s">
        <v>11763</v>
      </c>
      <c r="B2774" s="0" t="n">
        <v>78</v>
      </c>
      <c r="C2774" s="0" t="n">
        <v>322113</v>
      </c>
      <c r="D2774" s="0" t="s">
        <v>1027</v>
      </c>
      <c r="E2774" s="0" t="s">
        <v>513</v>
      </c>
      <c r="F2774" s="0" t="str">
        <f aca="false">CONCATENATE(D2774," ",LEFT(H2774,4),"T=",AU2774,"D=",AV2774,"R=",AW2774,"M=",AX2774,"L=",AY2774,"B=",AZ2774)</f>
        <v>MARTIN T=1D=0R=0M=0L=0B=0</v>
      </c>
      <c r="I2774" s="0" t="s">
        <v>11764</v>
      </c>
      <c r="J2774" s="0" t="s">
        <v>395</v>
      </c>
      <c r="K2774" s="0" t="s">
        <v>144</v>
      </c>
      <c r="L2774" s="0"/>
      <c r="M2774" s="0" t="s">
        <v>11762</v>
      </c>
      <c r="N2774" s="0" t="str">
        <f aca="false">RIGHT(M2774,LEN(M2774)-FIND(" ",M2774))</f>
        <v>WEST AVE NW</v>
      </c>
      <c r="P2774" s="0" t="s">
        <v>146</v>
      </c>
      <c r="Q2774" s="0" t="s">
        <v>147</v>
      </c>
      <c r="R2774" s="0" t="n">
        <v>44483</v>
      </c>
      <c r="AD2774" s="0" t="s">
        <v>148</v>
      </c>
      <c r="AE2774" s="0" t="s">
        <v>149</v>
      </c>
      <c r="AF2774" s="0" t="s">
        <v>150</v>
      </c>
      <c r="AH2774" s="0" t="n">
        <v>14</v>
      </c>
      <c r="AI2774" s="0" t="n">
        <v>11</v>
      </c>
      <c r="AN2774" s="0" t="s">
        <v>146</v>
      </c>
      <c r="AO2774" s="0" t="s">
        <v>250</v>
      </c>
      <c r="AP2774" s="0" t="s">
        <v>251</v>
      </c>
      <c r="AQ2774" s="0" t="n">
        <v>9</v>
      </c>
      <c r="AR2774" s="0" t="n">
        <v>64</v>
      </c>
      <c r="AS2774" s="0" t="n">
        <v>32</v>
      </c>
      <c r="AU2774" s="0" t="n">
        <f aca="false">COUNTA($BA$2408:$EH$2408)</f>
        <v>1</v>
      </c>
      <c r="AV2774" s="0" t="n">
        <f aca="false">COUNTIF($BA$2408:$EH$2408,"D")</f>
        <v>0</v>
      </c>
      <c r="AW2774" s="0" t="n">
        <f aca="false">COUNTIF($BA$2408:$EH$2408,"R")</f>
        <v>0</v>
      </c>
      <c r="AX2774" s="0" t="n">
        <f aca="false">IF(BN2774="D",1,0)+IF(BO2774="D",1,0)+IF(BT2774="D",1,0)+IF(BU2774="D",1,0)+IF(BW2774="D",1,0)+IF(CC2774="D",1,0)+IF(CD2774="D",1,0)+IF(CE2774="D",1,0)+IF(CF2774="D",1,0)+IF(CL2774="D",1,0)+IF(CM2774="D",1,0)+IF(CQ2774="D",1,0)+IF(CR2774="D",1,0)+IF(CS2774="D",1,0)+IF(CW2774="D",1,0)+IF(CX2774="D",1,0)+IF(DD2774="D",1,0)+IF(DE2774="D",1,0)+IF(DJ2774="D",1,0)+IF(DK2774="D",1,0)+IF(DO2774="D",1,0)+IF(DP2774="D",1,0)+IF(DQ2774="D",1,0)+IF(DW2774="D",1,0)+IF(DZ2774="D",1,0)+IF(EH2774="D",1,0)</f>
        <v>0</v>
      </c>
      <c r="AY2774" s="0" t="n">
        <f aca="false">COUNTIF(DU2774:EH2774, "&lt;&gt;")</f>
        <v>0</v>
      </c>
      <c r="AZ2774" s="0" t="n">
        <f aca="false">IF(EH2774&lt;&gt;"",1,0)</f>
        <v>0</v>
      </c>
      <c r="BB2774" s="0" t="s">
        <v>153</v>
      </c>
      <c r="BL2774" s="0" t="s">
        <v>154</v>
      </c>
      <c r="BS2774" s="0" t="s">
        <v>154</v>
      </c>
      <c r="BY2774" s="0" t="s">
        <v>155</v>
      </c>
      <c r="CA2774" s="0" t="s">
        <v>154</v>
      </c>
      <c r="CK2774" s="0" t="s">
        <v>154</v>
      </c>
      <c r="CN2774" s="0" t="s">
        <v>154</v>
      </c>
      <c r="CP2774" s="0" t="s">
        <v>154</v>
      </c>
      <c r="CV2774" s="0" t="s">
        <v>154</v>
      </c>
      <c r="DC2774" s="0" t="s">
        <v>154</v>
      </c>
      <c r="DI2774" s="0" t="s">
        <v>154</v>
      </c>
    </row>
    <row r="2775" customFormat="false" ht="13.8" hidden="true" customHeight="false" outlineLevel="0" collapsed="false">
      <c r="A2775" s="0" t="s">
        <v>11765</v>
      </c>
      <c r="B2775" s="0" t="n">
        <v>78</v>
      </c>
      <c r="C2775" s="0" t="n">
        <v>462944</v>
      </c>
      <c r="D2775" s="0" t="s">
        <v>11766</v>
      </c>
      <c r="E2775" s="0" t="s">
        <v>1744</v>
      </c>
      <c r="F2775" s="0" t="str">
        <f aca="false">CONCATENATE(D2775," ",LEFT(H2775,4),"T=",AU2775,"D=",AV2775,"R=",AW2775,"M=",AX2775,"L=",AY2775,"B=",AZ2775)</f>
        <v>DILIBERTO T=3D=0R=0M=0L=0B=0</v>
      </c>
      <c r="G2775" s="0" t="s">
        <v>176</v>
      </c>
      <c r="I2775" s="0" t="s">
        <v>7231</v>
      </c>
      <c r="J2775" s="0" t="s">
        <v>1155</v>
      </c>
      <c r="K2775" s="0" t="s">
        <v>175</v>
      </c>
      <c r="L2775" s="0"/>
      <c r="M2775" s="0" t="s">
        <v>11762</v>
      </c>
      <c r="N2775" s="0" t="str">
        <f aca="false">RIGHT(M2775,LEN(M2775)-FIND(" ",M2775))</f>
        <v>WEST AVE NW</v>
      </c>
      <c r="P2775" s="0" t="s">
        <v>146</v>
      </c>
      <c r="Q2775" s="0" t="s">
        <v>147</v>
      </c>
      <c r="R2775" s="0" t="n">
        <v>44483</v>
      </c>
      <c r="AD2775" s="0" t="s">
        <v>148</v>
      </c>
      <c r="AE2775" s="0" t="s">
        <v>149</v>
      </c>
      <c r="AF2775" s="0" t="s">
        <v>150</v>
      </c>
      <c r="AH2775" s="0" t="n">
        <v>14</v>
      </c>
      <c r="AI2775" s="0" t="n">
        <v>11</v>
      </c>
      <c r="AN2775" s="0" t="s">
        <v>146</v>
      </c>
      <c r="AO2775" s="0" t="s">
        <v>250</v>
      </c>
      <c r="AP2775" s="0" t="s">
        <v>251</v>
      </c>
      <c r="AQ2775" s="0" t="n">
        <v>9</v>
      </c>
      <c r="AR2775" s="0" t="n">
        <v>64</v>
      </c>
      <c r="AS2775" s="0" t="n">
        <v>32</v>
      </c>
      <c r="AU2775" s="0" t="n">
        <f aca="false">COUNTA($BA$2418:$EH$2418)</f>
        <v>3</v>
      </c>
      <c r="AV2775" s="0" t="n">
        <f aca="false">COUNTIF($BA$2418:$EH$2418,"D")</f>
        <v>0</v>
      </c>
      <c r="AW2775" s="0" t="n">
        <f aca="false">COUNTIF($BA$2418:$EH$2418,"R")</f>
        <v>0</v>
      </c>
      <c r="AX2775" s="0" t="n">
        <f aca="false">IF(BN2775="D",1,0)+IF(BO2775="D",1,0)+IF(BT2775="D",1,0)+IF(BU2775="D",1,0)+IF(BW2775="D",1,0)+IF(CC2775="D",1,0)+IF(CD2775="D",1,0)+IF(CE2775="D",1,0)+IF(CF2775="D",1,0)+IF(CL2775="D",1,0)+IF(CM2775="D",1,0)+IF(CQ2775="D",1,0)+IF(CR2775="D",1,0)+IF(CS2775="D",1,0)+IF(CW2775="D",1,0)+IF(CX2775="D",1,0)+IF(DD2775="D",1,0)+IF(DE2775="D",1,0)+IF(DJ2775="D",1,0)+IF(DK2775="D",1,0)+IF(DO2775="D",1,0)+IF(DP2775="D",1,0)+IF(DQ2775="D",1,0)+IF(DW2775="D",1,0)+IF(DZ2775="D",1,0)+IF(EH2775="D",1,0)</f>
        <v>0</v>
      </c>
      <c r="AY2775" s="0" t="n">
        <f aca="false">COUNTIF(DU2775:EH2775, "&lt;&gt;")</f>
        <v>0</v>
      </c>
      <c r="AZ2775" s="0" t="n">
        <f aca="false">IF(EH2775&lt;&gt;"",1,0)</f>
        <v>0</v>
      </c>
      <c r="BB2775" s="0" t="s">
        <v>153</v>
      </c>
    </row>
    <row r="2776" customFormat="false" ht="13.8" hidden="false" customHeight="false" outlineLevel="0" collapsed="false">
      <c r="A2776" s="0" t="s">
        <v>11767</v>
      </c>
      <c r="B2776" s="0" t="n">
        <v>78</v>
      </c>
      <c r="C2776" s="0" t="n">
        <v>120029</v>
      </c>
      <c r="D2776" s="0" t="s">
        <v>11768</v>
      </c>
      <c r="E2776" s="0" t="s">
        <v>1330</v>
      </c>
      <c r="F2776" s="0" t="str">
        <f aca="false">CONCATENATE(D2776," ",LEFT(H2776,4),"T=",AU2776,"D=",AV2776,"R=",AW2776,"M=",AX2776,"L=",AY2776,"B=",AZ2776)</f>
        <v>GARVEY T=44D=1R=10M=0L=5B=0</v>
      </c>
      <c r="G2776" s="0" t="s">
        <v>172</v>
      </c>
      <c r="I2776" s="0" t="s">
        <v>11769</v>
      </c>
      <c r="J2776" s="0" t="s">
        <v>1750</v>
      </c>
      <c r="K2776" s="0" t="s">
        <v>175</v>
      </c>
      <c r="L2776" s="1" t="s">
        <v>176</v>
      </c>
      <c r="M2776" s="0" t="s">
        <v>11770</v>
      </c>
      <c r="N2776" s="0" t="str">
        <f aca="false">RIGHT(M2776,LEN(M2776)-FIND(" ",M2776))</f>
        <v>WEST AVE NW</v>
      </c>
      <c r="P2776" s="0" t="s">
        <v>146</v>
      </c>
      <c r="Q2776" s="0" t="s">
        <v>147</v>
      </c>
      <c r="R2776" s="0" t="n">
        <v>44483</v>
      </c>
      <c r="AD2776" s="0" t="s">
        <v>148</v>
      </c>
      <c r="AE2776" s="0" t="s">
        <v>149</v>
      </c>
      <c r="AF2776" s="0" t="s">
        <v>150</v>
      </c>
      <c r="AH2776" s="0" t="n">
        <v>14</v>
      </c>
      <c r="AI2776" s="0" t="n">
        <v>11</v>
      </c>
      <c r="AN2776" s="0" t="s">
        <v>146</v>
      </c>
      <c r="AO2776" s="0" t="s">
        <v>250</v>
      </c>
      <c r="AP2776" s="0" t="s">
        <v>251</v>
      </c>
      <c r="AQ2776" s="0" t="n">
        <v>9</v>
      </c>
      <c r="AR2776" s="0" t="n">
        <v>64</v>
      </c>
      <c r="AS2776" s="0" t="n">
        <v>32</v>
      </c>
      <c r="AU2776" s="0" t="n">
        <f aca="false">COUNTA($BA$2699:$EH$2699)</f>
        <v>44</v>
      </c>
      <c r="AV2776" s="0" t="n">
        <f aca="false">COUNTIF($BA$2699:$EH$2699,"D")</f>
        <v>1</v>
      </c>
      <c r="AW2776" s="0" t="n">
        <f aca="false">COUNTIF($BA$2699:$EH$2699,"R")</f>
        <v>10</v>
      </c>
      <c r="AX2776" s="0" t="n">
        <f aca="false">IF(BN2776="D",1,0)+IF(BO2776="D",1,0)+IF(BT2776="D",1,0)+IF(BU2776="D",1,0)+IF(BW2776="D",1,0)+IF(CC2776="D",1,0)+IF(CD2776="D",1,0)+IF(CE2776="D",1,0)+IF(CF2776="D",1,0)+IF(CL2776="D",1,0)+IF(CM2776="D",1,0)+IF(CQ2776="D",1,0)+IF(CR2776="D",1,0)+IF(CS2776="D",1,0)+IF(CW2776="D",1,0)+IF(CX2776="D",1,0)+IF(DD2776="D",1,0)+IF(DE2776="D",1,0)+IF(DJ2776="D",1,0)+IF(DK2776="D",1,0)+IF(DO2776="D",1,0)+IF(DP2776="D",1,0)+IF(DQ2776="D",1,0)+IF(DW2776="D",1,0)+IF(DZ2776="D",1,0)+IF(EH2776="D",1,0)</f>
        <v>0</v>
      </c>
      <c r="AY2776" s="0" t="n">
        <f aca="false">COUNTIF(DU2776:EH2776, "&lt;&gt;")</f>
        <v>5</v>
      </c>
      <c r="AZ2776" s="0" t="n">
        <f aca="false">IF(EH2776&lt;&gt;"",1,0)</f>
        <v>0</v>
      </c>
      <c r="BB2776" s="0" t="s">
        <v>153</v>
      </c>
      <c r="BC2776" s="0" t="s">
        <v>154</v>
      </c>
      <c r="BD2776" s="0" t="s">
        <v>154</v>
      </c>
      <c r="BF2776" s="0" t="s">
        <v>154</v>
      </c>
      <c r="BG2776" s="0" t="s">
        <v>154</v>
      </c>
      <c r="BH2776" s="0" t="s">
        <v>154</v>
      </c>
      <c r="BI2776" s="0" t="s">
        <v>154</v>
      </c>
      <c r="BJ2776" s="0" t="s">
        <v>154</v>
      </c>
      <c r="BK2776" s="0" t="s">
        <v>154</v>
      </c>
      <c r="BL2776" s="0" t="s">
        <v>154</v>
      </c>
      <c r="BP2776" s="0" t="s">
        <v>154</v>
      </c>
      <c r="BR2776" s="0" t="s">
        <v>154</v>
      </c>
      <c r="BS2776" s="0" t="s">
        <v>154</v>
      </c>
      <c r="BY2776" s="0" t="s">
        <v>155</v>
      </c>
      <c r="CA2776" s="0" t="s">
        <v>154</v>
      </c>
      <c r="CG2776" s="0" t="s">
        <v>154</v>
      </c>
      <c r="CK2776" s="0" t="s">
        <v>154</v>
      </c>
      <c r="CN2776" s="0" t="s">
        <v>154</v>
      </c>
      <c r="CO2776" s="0" t="s">
        <v>155</v>
      </c>
      <c r="CP2776" s="0" t="s">
        <v>154</v>
      </c>
      <c r="CY2776" s="0" t="s">
        <v>154</v>
      </c>
      <c r="CZ2776" s="0" t="s">
        <v>176</v>
      </c>
      <c r="DC2776" s="0" t="s">
        <v>154</v>
      </c>
      <c r="DN2776" s="0" t="s">
        <v>154</v>
      </c>
      <c r="DU2776" s="0" t="s">
        <v>154</v>
      </c>
      <c r="DX2776" s="0" t="s">
        <v>154</v>
      </c>
      <c r="EA2776" s="0" t="s">
        <v>154</v>
      </c>
      <c r="ED2776" s="0" t="s">
        <v>176</v>
      </c>
      <c r="EF2776" s="0" t="s">
        <v>154</v>
      </c>
    </row>
    <row r="2777" customFormat="false" ht="13.8" hidden="true" customHeight="false" outlineLevel="0" collapsed="false">
      <c r="A2777" s="0" t="s">
        <v>11771</v>
      </c>
      <c r="B2777" s="0" t="n">
        <v>78</v>
      </c>
      <c r="C2777" s="0" t="n">
        <v>461662</v>
      </c>
      <c r="D2777" s="0" t="s">
        <v>1244</v>
      </c>
      <c r="E2777" s="0" t="s">
        <v>11772</v>
      </c>
      <c r="F2777" s="0" t="str">
        <f aca="false">CONCATENATE(D2777," ",LEFT(H2777,4),"T=",AU2777,"D=",AV2777,"R=",AW2777,"M=",AX2777,"L=",AY2777,"B=",AZ2777)</f>
        <v>TAYLOR T=30D=5R=1M=0L=0B=0</v>
      </c>
      <c r="G2777" s="0" t="s">
        <v>1259</v>
      </c>
      <c r="I2777" s="0" t="s">
        <v>11773</v>
      </c>
      <c r="J2777" s="0" t="s">
        <v>11774</v>
      </c>
      <c r="K2777" s="0" t="s">
        <v>175</v>
      </c>
      <c r="L2777" s="0"/>
      <c r="M2777" s="0" t="s">
        <v>11775</v>
      </c>
      <c r="N2777" s="0" t="str">
        <f aca="false">RIGHT(M2777,LEN(M2777)-FIND(" ",M2777))</f>
        <v>WEST AVE NW</v>
      </c>
      <c r="P2777" s="0" t="s">
        <v>146</v>
      </c>
      <c r="Q2777" s="0" t="s">
        <v>147</v>
      </c>
      <c r="R2777" s="0" t="n">
        <v>44483</v>
      </c>
      <c r="AD2777" s="0" t="s">
        <v>148</v>
      </c>
      <c r="AE2777" s="0" t="s">
        <v>149</v>
      </c>
      <c r="AF2777" s="0" t="s">
        <v>150</v>
      </c>
      <c r="AH2777" s="0" t="n">
        <v>14</v>
      </c>
      <c r="AI2777" s="0" t="n">
        <v>11</v>
      </c>
      <c r="AN2777" s="0" t="s">
        <v>146</v>
      </c>
      <c r="AO2777" s="0" t="s">
        <v>250</v>
      </c>
      <c r="AP2777" s="0" t="s">
        <v>251</v>
      </c>
      <c r="AQ2777" s="0" t="n">
        <v>9</v>
      </c>
      <c r="AR2777" s="0" t="n">
        <v>64</v>
      </c>
      <c r="AS2777" s="0" t="n">
        <v>32</v>
      </c>
      <c r="AU2777" s="0" t="n">
        <f aca="false">COUNTA($BA$2517:$EH$2517)</f>
        <v>30</v>
      </c>
      <c r="AV2777" s="0" t="n">
        <f aca="false">COUNTIF($BA$2517:$EH$2517,"D")</f>
        <v>5</v>
      </c>
      <c r="AW2777" s="0" t="n">
        <f aca="false">COUNTIF($BA$2517:$EH$2517,"R")</f>
        <v>1</v>
      </c>
      <c r="AX2777" s="0" t="n">
        <f aca="false">IF(BN2777="D",1,0)+IF(BO2777="D",1,0)+IF(BT2777="D",1,0)+IF(BU2777="D",1,0)+IF(BW2777="D",1,0)+IF(CC2777="D",1,0)+IF(CD2777="D",1,0)+IF(CE2777="D",1,0)+IF(CF2777="D",1,0)+IF(CL2777="D",1,0)+IF(CM2777="D",1,0)+IF(CQ2777="D",1,0)+IF(CR2777="D",1,0)+IF(CS2777="D",1,0)+IF(CW2777="D",1,0)+IF(CX2777="D",1,0)+IF(DD2777="D",1,0)+IF(DE2777="D",1,0)+IF(DJ2777="D",1,0)+IF(DK2777="D",1,0)+IF(DO2777="D",1,0)+IF(DP2777="D",1,0)+IF(DQ2777="D",1,0)+IF(DW2777="D",1,0)+IF(DZ2777="D",1,0)+IF(EH2777="D",1,0)</f>
        <v>0</v>
      </c>
      <c r="AY2777" s="0" t="n">
        <f aca="false">COUNTIF(DU2777:EH2777, "&lt;&gt;")</f>
        <v>0</v>
      </c>
      <c r="AZ2777" s="0" t="n">
        <f aca="false">IF(EH2777&lt;&gt;"",1,0)</f>
        <v>0</v>
      </c>
      <c r="BB2777" s="0" t="s">
        <v>153</v>
      </c>
    </row>
    <row r="2778" customFormat="false" ht="13.8" hidden="true" customHeight="false" outlineLevel="0" collapsed="false">
      <c r="A2778" s="0" t="s">
        <v>11776</v>
      </c>
      <c r="B2778" s="0" t="n">
        <v>78</v>
      </c>
      <c r="C2778" s="0" t="n">
        <v>410549</v>
      </c>
      <c r="D2778" s="0" t="s">
        <v>11777</v>
      </c>
      <c r="E2778" s="0" t="s">
        <v>2236</v>
      </c>
      <c r="F2778" s="0" t="str">
        <f aca="false">CONCATENATE(D2778," ",LEFT(H2778,4),"T=",AU2778,"D=",AV2778,"R=",AW2778,"M=",AX2778,"L=",AY2778,"B=",AZ2778)</f>
        <v>YAROLIN T=1D=0R=0M=0L=0B=0</v>
      </c>
      <c r="G2778" s="0" t="s">
        <v>455</v>
      </c>
      <c r="I2778" s="0" t="s">
        <v>11778</v>
      </c>
      <c r="J2778" s="0" t="s">
        <v>4678</v>
      </c>
      <c r="K2778" s="0" t="s">
        <v>175</v>
      </c>
      <c r="L2778" s="0"/>
      <c r="M2778" s="0" t="s">
        <v>11779</v>
      </c>
      <c r="N2778" s="0" t="str">
        <f aca="false">RIGHT(M2778,LEN(M2778)-FIND(" ",M2778))</f>
        <v>WEST AVE NW</v>
      </c>
      <c r="P2778" s="0" t="s">
        <v>146</v>
      </c>
      <c r="Q2778" s="0" t="s">
        <v>147</v>
      </c>
      <c r="R2778" s="0" t="n">
        <v>44483</v>
      </c>
      <c r="AD2778" s="0" t="s">
        <v>148</v>
      </c>
      <c r="AE2778" s="0" t="s">
        <v>149</v>
      </c>
      <c r="AF2778" s="0" t="s">
        <v>150</v>
      </c>
      <c r="AH2778" s="0" t="n">
        <v>14</v>
      </c>
      <c r="AI2778" s="0" t="n">
        <v>11</v>
      </c>
      <c r="AN2778" s="0" t="s">
        <v>146</v>
      </c>
      <c r="AO2778" s="0" t="s">
        <v>250</v>
      </c>
      <c r="AP2778" s="0" t="s">
        <v>251</v>
      </c>
      <c r="AQ2778" s="0" t="n">
        <v>9</v>
      </c>
      <c r="AR2778" s="0" t="n">
        <v>64</v>
      </c>
      <c r="AS2778" s="0" t="n">
        <v>32</v>
      </c>
      <c r="AU2778" s="0" t="n">
        <f aca="false">COUNTA($BA$2392:$EH$2392)</f>
        <v>1</v>
      </c>
      <c r="AV2778" s="0" t="n">
        <f aca="false">COUNTIF($BA$2392:$EH$2392,"D")</f>
        <v>0</v>
      </c>
      <c r="AW2778" s="0" t="n">
        <f aca="false">COUNTIF($BA$2392:$EH$2392,"R")</f>
        <v>0</v>
      </c>
      <c r="AX2778" s="0" t="n">
        <f aca="false">IF(BN2778="D",1,0)+IF(BO2778="D",1,0)+IF(BT2778="D",1,0)+IF(BU2778="D",1,0)+IF(BW2778="D",1,0)+IF(CC2778="D",1,0)+IF(CD2778="D",1,0)+IF(CE2778="D",1,0)+IF(CF2778="D",1,0)+IF(CL2778="D",1,0)+IF(CM2778="D",1,0)+IF(CQ2778="D",1,0)+IF(CR2778="D",1,0)+IF(CS2778="D",1,0)+IF(CW2778="D",1,0)+IF(CX2778="D",1,0)+IF(DD2778="D",1,0)+IF(DE2778="D",1,0)+IF(DJ2778="D",1,0)+IF(DK2778="D",1,0)+IF(DO2778="D",1,0)+IF(DP2778="D",1,0)+IF(DQ2778="D",1,0)+IF(DW2778="D",1,0)+IF(DZ2778="D",1,0)+IF(EH2778="D",1,0)</f>
        <v>0</v>
      </c>
      <c r="AY2778" s="0" t="n">
        <f aca="false">COUNTIF(DU2778:EH2778, "&lt;&gt;")</f>
        <v>0</v>
      </c>
      <c r="AZ2778" s="0" t="n">
        <f aca="false">IF(EH2778&lt;&gt;"",1,0)</f>
        <v>0</v>
      </c>
      <c r="BB2778" s="0" t="s">
        <v>153</v>
      </c>
      <c r="BI2778" s="0" t="s">
        <v>155</v>
      </c>
      <c r="BJ2778" s="0" t="s">
        <v>154</v>
      </c>
      <c r="BK2778" s="0" t="s">
        <v>155</v>
      </c>
      <c r="BL2778" s="0" t="s">
        <v>154</v>
      </c>
    </row>
    <row r="2779" customFormat="false" ht="13.8" hidden="true" customHeight="false" outlineLevel="0" collapsed="false">
      <c r="A2779" s="0" t="s">
        <v>11780</v>
      </c>
      <c r="B2779" s="0" t="n">
        <v>78</v>
      </c>
      <c r="C2779" s="0" t="n">
        <v>396011</v>
      </c>
      <c r="D2779" s="0" t="s">
        <v>5841</v>
      </c>
      <c r="E2779" s="0" t="s">
        <v>11781</v>
      </c>
      <c r="F2779" s="0" t="str">
        <f aca="false">CONCATENATE(D2779," ",LEFT(H2779,4),"T=",AU2779,"D=",AV2779,"R=",AW2779,"M=",AX2779,"L=",AY2779,"B=",AZ2779)</f>
        <v>GREEN T=2D=0R=0M=0L=0B=0</v>
      </c>
      <c r="G2779" s="0" t="s">
        <v>176</v>
      </c>
      <c r="I2779" s="0" t="s">
        <v>11782</v>
      </c>
      <c r="J2779" s="0" t="s">
        <v>9791</v>
      </c>
      <c r="K2779" s="0" t="s">
        <v>175</v>
      </c>
      <c r="L2779" s="0"/>
      <c r="M2779" s="0" t="s">
        <v>11779</v>
      </c>
      <c r="N2779" s="0" t="str">
        <f aca="false">RIGHT(M2779,LEN(M2779)-FIND(" ",M2779))</f>
        <v>WEST AVE NW</v>
      </c>
      <c r="P2779" s="0" t="s">
        <v>146</v>
      </c>
      <c r="Q2779" s="0" t="s">
        <v>147</v>
      </c>
      <c r="R2779" s="0" t="n">
        <v>44483</v>
      </c>
      <c r="AD2779" s="0" t="s">
        <v>148</v>
      </c>
      <c r="AE2779" s="0" t="s">
        <v>149</v>
      </c>
      <c r="AF2779" s="0" t="s">
        <v>150</v>
      </c>
      <c r="AH2779" s="0" t="n">
        <v>14</v>
      </c>
      <c r="AI2779" s="0" t="n">
        <v>11</v>
      </c>
      <c r="AN2779" s="0" t="s">
        <v>146</v>
      </c>
      <c r="AO2779" s="0" t="s">
        <v>250</v>
      </c>
      <c r="AP2779" s="0" t="s">
        <v>251</v>
      </c>
      <c r="AQ2779" s="0" t="n">
        <v>9</v>
      </c>
      <c r="AR2779" s="0" t="n">
        <v>64</v>
      </c>
      <c r="AS2779" s="0" t="n">
        <v>32</v>
      </c>
      <c r="AU2779" s="0" t="n">
        <f aca="false">COUNTA($BA$2484:$EH$2484)</f>
        <v>2</v>
      </c>
      <c r="AV2779" s="0" t="n">
        <f aca="false">COUNTIF($BA$2484:$EH$2484,"D")</f>
        <v>0</v>
      </c>
      <c r="AW2779" s="0" t="n">
        <f aca="false">COUNTIF($BA$2484:$EH$2484,"R")</f>
        <v>0</v>
      </c>
      <c r="AX2779" s="0" t="n">
        <f aca="false">IF(BN2779="D",1,0)+IF(BO2779="D",1,0)+IF(BT2779="D",1,0)+IF(BU2779="D",1,0)+IF(BW2779="D",1,0)+IF(CC2779="D",1,0)+IF(CD2779="D",1,0)+IF(CE2779="D",1,0)+IF(CF2779="D",1,0)+IF(CL2779="D",1,0)+IF(CM2779="D",1,0)+IF(CQ2779="D",1,0)+IF(CR2779="D",1,0)+IF(CS2779="D",1,0)+IF(CW2779="D",1,0)+IF(CX2779="D",1,0)+IF(DD2779="D",1,0)+IF(DE2779="D",1,0)+IF(DJ2779="D",1,0)+IF(DK2779="D",1,0)+IF(DO2779="D",1,0)+IF(DP2779="D",1,0)+IF(DQ2779="D",1,0)+IF(DW2779="D",1,0)+IF(DZ2779="D",1,0)+IF(EH2779="D",1,0)</f>
        <v>0</v>
      </c>
      <c r="AY2779" s="0" t="n">
        <f aca="false">COUNTIF(DU2779:EH2779, "&lt;&gt;")</f>
        <v>0</v>
      </c>
      <c r="AZ2779" s="0" t="n">
        <f aca="false">IF(EH2779&lt;&gt;"",1,0)</f>
        <v>0</v>
      </c>
      <c r="BB2779" s="0" t="s">
        <v>153</v>
      </c>
      <c r="BL2779" s="0" t="s">
        <v>154</v>
      </c>
      <c r="DC2779" s="0" t="s">
        <v>154</v>
      </c>
      <c r="DI2779" s="0" t="s">
        <v>154</v>
      </c>
    </row>
    <row r="2780" customFormat="false" ht="13.8" hidden="true" customHeight="false" outlineLevel="0" collapsed="false">
      <c r="A2780" s="0" t="s">
        <v>11783</v>
      </c>
      <c r="B2780" s="0" t="n">
        <v>78</v>
      </c>
      <c r="C2780" s="0" t="n">
        <v>417936</v>
      </c>
      <c r="D2780" s="0" t="s">
        <v>11784</v>
      </c>
      <c r="E2780" s="0" t="s">
        <v>11785</v>
      </c>
      <c r="F2780" s="0" t="str">
        <f aca="false">CONCATENATE(D2780," ",LEFT(H2780,4),"T=",AU2780,"D=",AV2780,"R=",AW2780,"M=",AX2780,"L=",AY2780,"B=",AZ2780)</f>
        <v>CARRILLO T=22D=1R=0M=0L=0B=0</v>
      </c>
      <c r="G2780" s="0" t="s">
        <v>8488</v>
      </c>
      <c r="I2780" s="0" t="s">
        <v>11786</v>
      </c>
      <c r="J2780" s="0" t="s">
        <v>8690</v>
      </c>
      <c r="K2780" s="0" t="s">
        <v>175</v>
      </c>
      <c r="L2780" s="0"/>
      <c r="M2780" s="0" t="s">
        <v>11787</v>
      </c>
      <c r="N2780" s="0" t="str">
        <f aca="false">RIGHT(M2780,LEN(M2780)-FIND(" ",M2780))</f>
        <v>WEST AVE NW</v>
      </c>
      <c r="P2780" s="0" t="s">
        <v>146</v>
      </c>
      <c r="Q2780" s="0" t="s">
        <v>147</v>
      </c>
      <c r="R2780" s="0" t="n">
        <v>44483</v>
      </c>
      <c r="AD2780" s="0" t="s">
        <v>148</v>
      </c>
      <c r="AE2780" s="0" t="s">
        <v>149</v>
      </c>
      <c r="AF2780" s="0" t="s">
        <v>150</v>
      </c>
      <c r="AH2780" s="0" t="n">
        <v>14</v>
      </c>
      <c r="AI2780" s="0" t="n">
        <v>11</v>
      </c>
      <c r="AN2780" s="0" t="s">
        <v>146</v>
      </c>
      <c r="AO2780" s="0" t="s">
        <v>250</v>
      </c>
      <c r="AP2780" s="0" t="s">
        <v>251</v>
      </c>
      <c r="AQ2780" s="0" t="n">
        <v>9</v>
      </c>
      <c r="AR2780" s="0" t="n">
        <v>64</v>
      </c>
      <c r="AS2780" s="0" t="n">
        <v>32</v>
      </c>
      <c r="AU2780" s="0" t="n">
        <f aca="false">COUNTA($BA$2788:$EH$2788)</f>
        <v>22</v>
      </c>
      <c r="AV2780" s="0" t="n">
        <f aca="false">COUNTIF($BA$2788:$EH$2788,"D")</f>
        <v>1</v>
      </c>
      <c r="AW2780" s="0" t="n">
        <f aca="false">COUNTIF($BA$2788:$EH$2788,"R")</f>
        <v>0</v>
      </c>
      <c r="AX2780" s="0" t="n">
        <f aca="false">IF(BN2780="D",1,0)+IF(BO2780="D",1,0)+IF(BT2780="D",1,0)+IF(BU2780="D",1,0)+IF(BW2780="D",1,0)+IF(CC2780="D",1,0)+IF(CD2780="D",1,0)+IF(CE2780="D",1,0)+IF(CF2780="D",1,0)+IF(CL2780="D",1,0)+IF(CM2780="D",1,0)+IF(CQ2780="D",1,0)+IF(CR2780="D",1,0)+IF(CS2780="D",1,0)+IF(CW2780="D",1,0)+IF(CX2780="D",1,0)+IF(DD2780="D",1,0)+IF(DE2780="D",1,0)+IF(DJ2780="D",1,0)+IF(DK2780="D",1,0)+IF(DO2780="D",1,0)+IF(DP2780="D",1,0)+IF(DQ2780="D",1,0)+IF(DW2780="D",1,0)+IF(DZ2780="D",1,0)+IF(EH2780="D",1,0)</f>
        <v>0</v>
      </c>
      <c r="AY2780" s="0" t="n">
        <f aca="false">COUNTIF(DU2780:EH2780, "&lt;&gt;")</f>
        <v>0</v>
      </c>
      <c r="AZ2780" s="0" t="n">
        <f aca="false">IF(EH2780&lt;&gt;"",1,0)</f>
        <v>0</v>
      </c>
      <c r="BB2780" s="0" t="s">
        <v>153</v>
      </c>
    </row>
    <row r="2781" customFormat="false" ht="13.8" hidden="false" customHeight="false" outlineLevel="0" collapsed="false">
      <c r="A2781" s="0" t="s">
        <v>11788</v>
      </c>
      <c r="B2781" s="0" t="n">
        <v>78</v>
      </c>
      <c r="C2781" s="0" t="n">
        <v>259721</v>
      </c>
      <c r="D2781" s="0" t="s">
        <v>11789</v>
      </c>
      <c r="E2781" s="0" t="s">
        <v>376</v>
      </c>
      <c r="F2781" s="0" t="str">
        <f aca="false">CONCATENATE(D2781," ",LEFT(H2781,4),"T=",AU2781,"D=",AV2781,"R=",AW2781,"M=",AX2781,"L=",AY2781,"B=",AZ2781)</f>
        <v>PORTERFIELD T=2D=0R=0M=3L=5B=0</v>
      </c>
      <c r="G2781" s="0" t="s">
        <v>176</v>
      </c>
      <c r="I2781" s="0" t="s">
        <v>11790</v>
      </c>
      <c r="J2781" s="0" t="s">
        <v>946</v>
      </c>
      <c r="K2781" s="0" t="s">
        <v>175</v>
      </c>
      <c r="L2781" s="1" t="s">
        <v>155</v>
      </c>
      <c r="M2781" s="0" t="s">
        <v>11791</v>
      </c>
      <c r="N2781" s="0" t="str">
        <f aca="false">RIGHT(M2781,LEN(M2781)-FIND(" ",M2781))</f>
        <v>WEST AVE NW</v>
      </c>
      <c r="P2781" s="0" t="s">
        <v>146</v>
      </c>
      <c r="Q2781" s="0" t="s">
        <v>147</v>
      </c>
      <c r="R2781" s="0" t="n">
        <v>44483</v>
      </c>
      <c r="AD2781" s="0" t="s">
        <v>148</v>
      </c>
      <c r="AE2781" s="0" t="s">
        <v>149</v>
      </c>
      <c r="AF2781" s="0" t="s">
        <v>150</v>
      </c>
      <c r="AH2781" s="0" t="n">
        <v>14</v>
      </c>
      <c r="AI2781" s="0" t="n">
        <v>11</v>
      </c>
      <c r="AN2781" s="0" t="s">
        <v>146</v>
      </c>
      <c r="AO2781" s="0" t="s">
        <v>250</v>
      </c>
      <c r="AP2781" s="0" t="s">
        <v>251</v>
      </c>
      <c r="AQ2781" s="0" t="n">
        <v>9</v>
      </c>
      <c r="AR2781" s="0" t="n">
        <v>64</v>
      </c>
      <c r="AS2781" s="0" t="n">
        <v>32</v>
      </c>
      <c r="AU2781" s="0" t="n">
        <f aca="false">COUNTA($BA$2136:$EH$2136)</f>
        <v>2</v>
      </c>
      <c r="AV2781" s="0" t="n">
        <f aca="false">COUNTIF($BA$2136:$EH$2136,"D")</f>
        <v>0</v>
      </c>
      <c r="AW2781" s="0" t="n">
        <f aca="false">COUNTIF($BA$2136:$EH$2136,"R")</f>
        <v>0</v>
      </c>
      <c r="AX2781" s="0" t="n">
        <f aca="false">IF(BN2781="D",1,0)+IF(BO2781="D",1,0)+IF(BT2781="D",1,0)+IF(BU2781="D",1,0)+IF(BW2781="D",1,0)+IF(CC2781="D",1,0)+IF(CD2781="D",1,0)+IF(CE2781="D",1,0)+IF(CF2781="D",1,0)+IF(CL2781="D",1,0)+IF(CM2781="D",1,0)+IF(CQ2781="D",1,0)+IF(CR2781="D",1,0)+IF(CS2781="D",1,0)+IF(CW2781="D",1,0)+IF(CX2781="D",1,0)+IF(DD2781="D",1,0)+IF(DE2781="D",1,0)+IF(DJ2781="D",1,0)+IF(DK2781="D",1,0)+IF(DO2781="D",1,0)+IF(DP2781="D",1,0)+IF(DQ2781="D",1,0)+IF(DW2781="D",1,0)+IF(DZ2781="D",1,0)+IF(EH2781="D",1,0)</f>
        <v>3</v>
      </c>
      <c r="AY2781" s="0" t="n">
        <f aca="false">COUNTIF(DU2781:EH2781, "&lt;&gt;")</f>
        <v>5</v>
      </c>
      <c r="AZ2781" s="0" t="n">
        <f aca="false">IF(EH2781&lt;&gt;"",1,0)</f>
        <v>0</v>
      </c>
      <c r="BB2781" s="0" t="s">
        <v>153</v>
      </c>
      <c r="BC2781" s="0" t="s">
        <v>154</v>
      </c>
      <c r="BD2781" s="0" t="s">
        <v>154</v>
      </c>
      <c r="BH2781" s="0" t="s">
        <v>154</v>
      </c>
      <c r="BJ2781" s="0" t="s">
        <v>154</v>
      </c>
      <c r="BK2781" s="0" t="s">
        <v>154</v>
      </c>
      <c r="BL2781" s="0" t="s">
        <v>154</v>
      </c>
      <c r="BP2781" s="0" t="s">
        <v>154</v>
      </c>
      <c r="BR2781" s="0" t="s">
        <v>154</v>
      </c>
      <c r="BS2781" s="0" t="s">
        <v>154</v>
      </c>
      <c r="BV2781" s="0" t="s">
        <v>154</v>
      </c>
      <c r="BY2781" s="0" t="s">
        <v>155</v>
      </c>
      <c r="CA2781" s="0" t="s">
        <v>154</v>
      </c>
      <c r="CG2781" s="0" t="s">
        <v>154</v>
      </c>
      <c r="CH2781" s="0" t="s">
        <v>155</v>
      </c>
      <c r="CK2781" s="0" t="s">
        <v>154</v>
      </c>
      <c r="CL2781" s="0" t="s">
        <v>155</v>
      </c>
      <c r="CN2781" s="0" t="s">
        <v>154</v>
      </c>
      <c r="CP2781" s="0" t="s">
        <v>154</v>
      </c>
      <c r="CU2781" s="0" t="s">
        <v>155</v>
      </c>
      <c r="CV2781" s="0" t="s">
        <v>154</v>
      </c>
      <c r="CW2781" s="0" t="s">
        <v>155</v>
      </c>
      <c r="CY2781" s="0" t="s">
        <v>154</v>
      </c>
      <c r="CZ2781" s="0" t="s">
        <v>155</v>
      </c>
      <c r="DC2781" s="0" t="s">
        <v>154</v>
      </c>
      <c r="DF2781" s="0" t="s">
        <v>154</v>
      </c>
      <c r="DG2781" s="0" t="s">
        <v>155</v>
      </c>
      <c r="DI2781" s="0" t="s">
        <v>154</v>
      </c>
      <c r="DL2781" s="0" t="s">
        <v>154</v>
      </c>
      <c r="DM2781" s="0" t="s">
        <v>155</v>
      </c>
      <c r="DN2781" s="0" t="s">
        <v>154</v>
      </c>
      <c r="DT2781" s="0" t="s">
        <v>155</v>
      </c>
      <c r="DU2781" s="0" t="s">
        <v>154</v>
      </c>
      <c r="DW2781" s="0" t="s">
        <v>155</v>
      </c>
      <c r="DX2781" s="0" t="s">
        <v>154</v>
      </c>
      <c r="EA2781" s="0" t="s">
        <v>154</v>
      </c>
      <c r="EF2781" s="0" t="s">
        <v>154</v>
      </c>
    </row>
    <row r="2782" customFormat="false" ht="13.8" hidden="true" customHeight="false" outlineLevel="0" collapsed="false">
      <c r="A2782" s="0" t="s">
        <v>11792</v>
      </c>
      <c r="B2782" s="0" t="n">
        <v>78</v>
      </c>
      <c r="C2782" s="0" t="n">
        <v>413622</v>
      </c>
      <c r="D2782" s="0" t="s">
        <v>11789</v>
      </c>
      <c r="E2782" s="0" t="s">
        <v>11793</v>
      </c>
      <c r="F2782" s="0" t="str">
        <f aca="false">CONCATENATE(D2782," ",LEFT(H2782,4),"T=",AU2782,"D=",AV2782,"R=",AW2782,"M=",AX2782,"L=",AY2782,"B=",AZ2782)</f>
        <v>PORTERFIELD T=11D=0R=2M=0L=0B=0</v>
      </c>
      <c r="G2782" s="0" t="s">
        <v>155</v>
      </c>
      <c r="I2782" s="0" t="s">
        <v>11794</v>
      </c>
      <c r="J2782" s="0" t="s">
        <v>10024</v>
      </c>
      <c r="K2782" s="0" t="s">
        <v>144</v>
      </c>
      <c r="L2782" s="0"/>
      <c r="M2782" s="0" t="s">
        <v>11791</v>
      </c>
      <c r="N2782" s="0" t="str">
        <f aca="false">RIGHT(M2782,LEN(M2782)-FIND(" ",M2782))</f>
        <v>WEST AVE NW</v>
      </c>
      <c r="P2782" s="0" t="s">
        <v>146</v>
      </c>
      <c r="Q2782" s="0" t="s">
        <v>147</v>
      </c>
      <c r="R2782" s="0" t="n">
        <v>44483</v>
      </c>
      <c r="AD2782" s="0" t="s">
        <v>148</v>
      </c>
      <c r="AE2782" s="0" t="s">
        <v>149</v>
      </c>
      <c r="AF2782" s="0" t="s">
        <v>150</v>
      </c>
      <c r="AH2782" s="0" t="n">
        <v>14</v>
      </c>
      <c r="AI2782" s="0" t="n">
        <v>11</v>
      </c>
      <c r="AN2782" s="0" t="s">
        <v>146</v>
      </c>
      <c r="AO2782" s="0" t="s">
        <v>250</v>
      </c>
      <c r="AP2782" s="0" t="s">
        <v>251</v>
      </c>
      <c r="AQ2782" s="0" t="n">
        <v>9</v>
      </c>
      <c r="AR2782" s="0" t="n">
        <v>64</v>
      </c>
      <c r="AS2782" s="0" t="n">
        <v>32</v>
      </c>
      <c r="AU2782" s="0" t="n">
        <f aca="false">COUNTA($BA$2638:$EH$2638)</f>
        <v>11</v>
      </c>
      <c r="AV2782" s="0" t="n">
        <f aca="false">COUNTIF($BA$2638:$EH$2638,"D")</f>
        <v>0</v>
      </c>
      <c r="AW2782" s="0" t="n">
        <f aca="false">COUNTIF($BA$2638:$EH$2638,"R")</f>
        <v>2</v>
      </c>
      <c r="AX2782" s="0" t="n">
        <f aca="false">IF(BN2782="D",1,0)+IF(BO2782="D",1,0)+IF(BT2782="D",1,0)+IF(BU2782="D",1,0)+IF(BW2782="D",1,0)+IF(CC2782="D",1,0)+IF(CD2782="D",1,0)+IF(CE2782="D",1,0)+IF(CF2782="D",1,0)+IF(CL2782="D",1,0)+IF(CM2782="D",1,0)+IF(CQ2782="D",1,0)+IF(CR2782="D",1,0)+IF(CS2782="D",1,0)+IF(CW2782="D",1,0)+IF(CX2782="D",1,0)+IF(DD2782="D",1,0)+IF(DE2782="D",1,0)+IF(DJ2782="D",1,0)+IF(DK2782="D",1,0)+IF(DO2782="D",1,0)+IF(DP2782="D",1,0)+IF(DQ2782="D",1,0)+IF(DW2782="D",1,0)+IF(DZ2782="D",1,0)+IF(EH2782="D",1,0)</f>
        <v>0</v>
      </c>
      <c r="AY2782" s="0" t="n">
        <f aca="false">COUNTIF(DU2782:EH2782, "&lt;&gt;")</f>
        <v>0</v>
      </c>
      <c r="AZ2782" s="0" t="n">
        <f aca="false">IF(EH2782&lt;&gt;"",1,0)</f>
        <v>0</v>
      </c>
      <c r="BB2782" s="0" t="s">
        <v>153</v>
      </c>
      <c r="DC2782" s="0" t="s">
        <v>154</v>
      </c>
      <c r="DI2782" s="0" t="s">
        <v>154</v>
      </c>
    </row>
    <row r="2783" customFormat="false" ht="13.8" hidden="true" customHeight="false" outlineLevel="0" collapsed="false">
      <c r="A2783" s="0" t="s">
        <v>11795</v>
      </c>
      <c r="B2783" s="0" t="n">
        <v>78</v>
      </c>
      <c r="C2783" s="0" t="n">
        <v>417138</v>
      </c>
      <c r="D2783" s="0" t="s">
        <v>1657</v>
      </c>
      <c r="E2783" s="0" t="s">
        <v>1131</v>
      </c>
      <c r="F2783" s="0" t="str">
        <f aca="false">CONCATENATE(D2783," ",LEFT(H2783,4),"T=",AU2783,"D=",AV2783,"R=",AW2783,"M=",AX2783,"L=",AY2783,"B=",AZ2783)</f>
        <v>MILLER T=1D=0R=0M=0L=0B=0</v>
      </c>
      <c r="G2783" s="0" t="s">
        <v>690</v>
      </c>
      <c r="I2783" s="0" t="s">
        <v>11796</v>
      </c>
      <c r="J2783" s="0" t="s">
        <v>11797</v>
      </c>
      <c r="K2783" s="0" t="s">
        <v>175</v>
      </c>
      <c r="L2783" s="0"/>
      <c r="M2783" s="0" t="s">
        <v>11798</v>
      </c>
      <c r="N2783" s="0" t="str">
        <f aca="false">RIGHT(M2783,LEN(M2783)-FIND(" ",M2783))</f>
        <v>WEST AVE NW</v>
      </c>
      <c r="P2783" s="0" t="s">
        <v>146</v>
      </c>
      <c r="Q2783" s="0" t="s">
        <v>147</v>
      </c>
      <c r="R2783" s="0" t="n">
        <v>44483</v>
      </c>
      <c r="AD2783" s="0" t="s">
        <v>148</v>
      </c>
      <c r="AE2783" s="0" t="s">
        <v>149</v>
      </c>
      <c r="AF2783" s="0" t="s">
        <v>150</v>
      </c>
      <c r="AH2783" s="0" t="n">
        <v>14</v>
      </c>
      <c r="AI2783" s="0" t="n">
        <v>11</v>
      </c>
      <c r="AN2783" s="0" t="s">
        <v>146</v>
      </c>
      <c r="AO2783" s="0" t="s">
        <v>250</v>
      </c>
      <c r="AP2783" s="0" t="s">
        <v>251</v>
      </c>
      <c r="AQ2783" s="0" t="n">
        <v>9</v>
      </c>
      <c r="AR2783" s="0" t="n">
        <v>64</v>
      </c>
      <c r="AS2783" s="0" t="n">
        <v>32</v>
      </c>
      <c r="AU2783" s="0" t="n">
        <f aca="false">COUNTA($BA$2571:$EH$2571)</f>
        <v>1</v>
      </c>
      <c r="AV2783" s="0" t="n">
        <f aca="false">COUNTIF($BA$2571:$EH$2571,"D")</f>
        <v>0</v>
      </c>
      <c r="AW2783" s="0" t="n">
        <f aca="false">COUNTIF($BA$2571:$EH$2571,"R")</f>
        <v>0</v>
      </c>
      <c r="AX2783" s="0" t="n">
        <f aca="false">IF(BN2783="D",1,0)+IF(BO2783="D",1,0)+IF(BT2783="D",1,0)+IF(BU2783="D",1,0)+IF(BW2783="D",1,0)+IF(CC2783="D",1,0)+IF(CD2783="D",1,0)+IF(CE2783="D",1,0)+IF(CF2783="D",1,0)+IF(CL2783="D",1,0)+IF(CM2783="D",1,0)+IF(CQ2783="D",1,0)+IF(CR2783="D",1,0)+IF(CS2783="D",1,0)+IF(CW2783="D",1,0)+IF(CX2783="D",1,0)+IF(DD2783="D",1,0)+IF(DE2783="D",1,0)+IF(DJ2783="D",1,0)+IF(DK2783="D",1,0)+IF(DO2783="D",1,0)+IF(DP2783="D",1,0)+IF(DQ2783="D",1,0)+IF(DW2783="D",1,0)+IF(DZ2783="D",1,0)+IF(EH2783="D",1,0)</f>
        <v>0</v>
      </c>
      <c r="AY2783" s="0" t="n">
        <f aca="false">COUNTIF(DU2783:EH2783, "&lt;&gt;")</f>
        <v>0</v>
      </c>
      <c r="AZ2783" s="0" t="n">
        <f aca="false">IF(EH2783&lt;&gt;"",1,0)</f>
        <v>0</v>
      </c>
      <c r="BB2783" s="0" t="s">
        <v>153</v>
      </c>
      <c r="DC2783" s="0" t="s">
        <v>154</v>
      </c>
    </row>
    <row r="2784" customFormat="false" ht="13.8" hidden="true" customHeight="false" outlineLevel="0" collapsed="false">
      <c r="A2784" s="0" t="s">
        <v>11799</v>
      </c>
      <c r="B2784" s="0" t="n">
        <v>78</v>
      </c>
      <c r="C2784" s="0" t="n">
        <v>348470</v>
      </c>
      <c r="D2784" s="0" t="s">
        <v>1657</v>
      </c>
      <c r="E2784" s="0" t="s">
        <v>791</v>
      </c>
      <c r="F2784" s="0" t="str">
        <f aca="false">CONCATENATE(D2784," ",LEFT(H2784,4),"T=",AU2784,"D=",AV2784,"R=",AW2784,"M=",AX2784,"L=",AY2784,"B=",AZ2784)</f>
        <v>MILLER T=7D=0R=0M=0L=1B=0</v>
      </c>
      <c r="G2784" s="0" t="s">
        <v>297</v>
      </c>
      <c r="I2784" s="0" t="s">
        <v>11800</v>
      </c>
      <c r="J2784" s="0" t="s">
        <v>11801</v>
      </c>
      <c r="K2784" s="0" t="s">
        <v>175</v>
      </c>
      <c r="L2784" s="0"/>
      <c r="M2784" s="0" t="s">
        <v>11798</v>
      </c>
      <c r="N2784" s="0" t="str">
        <f aca="false">RIGHT(M2784,LEN(M2784)-FIND(" ",M2784))</f>
        <v>WEST AVE NW</v>
      </c>
      <c r="P2784" s="0" t="s">
        <v>146</v>
      </c>
      <c r="Q2784" s="0" t="s">
        <v>147</v>
      </c>
      <c r="R2784" s="0" t="n">
        <v>44483</v>
      </c>
      <c r="AD2784" s="0" t="s">
        <v>148</v>
      </c>
      <c r="AE2784" s="0" t="s">
        <v>149</v>
      </c>
      <c r="AF2784" s="0" t="s">
        <v>150</v>
      </c>
      <c r="AH2784" s="0" t="n">
        <v>14</v>
      </c>
      <c r="AI2784" s="0" t="n">
        <v>11</v>
      </c>
      <c r="AN2784" s="0" t="s">
        <v>146</v>
      </c>
      <c r="AO2784" s="0" t="s">
        <v>250</v>
      </c>
      <c r="AP2784" s="0" t="s">
        <v>251</v>
      </c>
      <c r="AQ2784" s="0" t="n">
        <v>9</v>
      </c>
      <c r="AR2784" s="0" t="n">
        <v>64</v>
      </c>
      <c r="AS2784" s="0" t="n">
        <v>32</v>
      </c>
      <c r="AU2784" s="0" t="n">
        <f aca="false">COUNTA($BA$2747:$EH$2747)</f>
        <v>7</v>
      </c>
      <c r="AV2784" s="0" t="n">
        <f aca="false">COUNTIF($BA$2747:$EH$2747,"D")</f>
        <v>0</v>
      </c>
      <c r="AW2784" s="0" t="n">
        <f aca="false">COUNTIF($BA$2747:$EH$2747,"R")</f>
        <v>0</v>
      </c>
      <c r="AX2784" s="0" t="n">
        <f aca="false">IF(BN2784="D",1,0)+IF(BO2784="D",1,0)+IF(BT2784="D",1,0)+IF(BU2784="D",1,0)+IF(BW2784="D",1,0)+IF(CC2784="D",1,0)+IF(CD2784="D",1,0)+IF(CE2784="D",1,0)+IF(CF2784="D",1,0)+IF(CL2784="D",1,0)+IF(CM2784="D",1,0)+IF(CQ2784="D",1,0)+IF(CR2784="D",1,0)+IF(CS2784="D",1,0)+IF(CW2784="D",1,0)+IF(CX2784="D",1,0)+IF(DD2784="D",1,0)+IF(DE2784="D",1,0)+IF(DJ2784="D",1,0)+IF(DK2784="D",1,0)+IF(DO2784="D",1,0)+IF(DP2784="D",1,0)+IF(DQ2784="D",1,0)+IF(DW2784="D",1,0)+IF(DZ2784="D",1,0)+IF(EH2784="D",1,0)</f>
        <v>0</v>
      </c>
      <c r="AY2784" s="0" t="n">
        <f aca="false">COUNTIF(DU2784:EH2784, "&lt;&gt;")</f>
        <v>1</v>
      </c>
      <c r="AZ2784" s="0" t="n">
        <f aca="false">IF(EH2784&lt;&gt;"",1,0)</f>
        <v>0</v>
      </c>
      <c r="BB2784" s="0" t="s">
        <v>153</v>
      </c>
      <c r="CZ2784" s="0" t="s">
        <v>176</v>
      </c>
      <c r="DC2784" s="0" t="s">
        <v>154</v>
      </c>
      <c r="DF2784" s="0" t="s">
        <v>154</v>
      </c>
      <c r="EF2784" s="0" t="s">
        <v>154</v>
      </c>
    </row>
    <row r="2785" customFormat="false" ht="13.8" hidden="false" customHeight="false" outlineLevel="0" collapsed="false">
      <c r="A2785" s="0" t="s">
        <v>11802</v>
      </c>
      <c r="B2785" s="0" t="n">
        <v>78</v>
      </c>
      <c r="C2785" s="0" t="n">
        <v>356752</v>
      </c>
      <c r="D2785" s="0" t="s">
        <v>10473</v>
      </c>
      <c r="E2785" s="0" t="s">
        <v>11803</v>
      </c>
      <c r="F2785" s="0" t="str">
        <f aca="false">CONCATENATE(D2785," ",LEFT(H2785,4),"T=",AU2785,"D=",AV2785,"R=",AW2785,"M=",AX2785,"L=",AY2785,"B=",AZ2785)</f>
        <v>EDMONDS T=1D=0R=0M=1L=4B=0</v>
      </c>
      <c r="G2785" s="0" t="s">
        <v>188</v>
      </c>
      <c r="I2785" s="0" t="s">
        <v>11804</v>
      </c>
      <c r="J2785" s="0" t="s">
        <v>8830</v>
      </c>
      <c r="K2785" s="0" t="s">
        <v>175</v>
      </c>
      <c r="M2785" s="0" t="s">
        <v>11805</v>
      </c>
      <c r="N2785" s="0" t="str">
        <f aca="false">RIGHT(M2785,LEN(M2785)-FIND(" ",M2785))</f>
        <v>WEST AVE NW</v>
      </c>
      <c r="P2785" s="0" t="s">
        <v>146</v>
      </c>
      <c r="Q2785" s="0" t="s">
        <v>147</v>
      </c>
      <c r="R2785" s="0" t="n">
        <v>44483</v>
      </c>
      <c r="AD2785" s="0" t="s">
        <v>148</v>
      </c>
      <c r="AE2785" s="0" t="s">
        <v>149</v>
      </c>
      <c r="AF2785" s="0" t="s">
        <v>150</v>
      </c>
      <c r="AH2785" s="0" t="n">
        <v>14</v>
      </c>
      <c r="AI2785" s="0" t="n">
        <v>11</v>
      </c>
      <c r="AN2785" s="0" t="s">
        <v>146</v>
      </c>
      <c r="AO2785" s="0" t="s">
        <v>250</v>
      </c>
      <c r="AP2785" s="0" t="s">
        <v>251</v>
      </c>
      <c r="AQ2785" s="0" t="n">
        <v>9</v>
      </c>
      <c r="AR2785" s="0" t="n">
        <v>64</v>
      </c>
      <c r="AS2785" s="0" t="n">
        <v>32</v>
      </c>
      <c r="AU2785" s="0" t="n">
        <f aca="false">COUNTA($BA$2258:$EH$2258)</f>
        <v>1</v>
      </c>
      <c r="AV2785" s="0" t="n">
        <f aca="false">COUNTIF($BA$2258:$EH$2258,"D")</f>
        <v>0</v>
      </c>
      <c r="AW2785" s="0" t="n">
        <f aca="false">COUNTIF($BA$2258:$EH$2258,"R")</f>
        <v>0</v>
      </c>
      <c r="AX2785" s="0" t="n">
        <f aca="false">IF(BN2785="D",1,0)+IF(BO2785="D",1,0)+IF(BT2785="D",1,0)+IF(BU2785="D",1,0)+IF(BW2785="D",1,0)+IF(CC2785="D",1,0)+IF(CD2785="D",1,0)+IF(CE2785="D",1,0)+IF(CF2785="D",1,0)+IF(CL2785="D",1,0)+IF(CM2785="D",1,0)+IF(CQ2785="D",1,0)+IF(CR2785="D",1,0)+IF(CS2785="D",1,0)+IF(CW2785="D",1,0)+IF(CX2785="D",1,0)+IF(DD2785="D",1,0)+IF(DE2785="D",1,0)+IF(DJ2785="D",1,0)+IF(DK2785="D",1,0)+IF(DO2785="D",1,0)+IF(DP2785="D",1,0)+IF(DQ2785="D",1,0)+IF(DW2785="D",1,0)+IF(DZ2785="D",1,0)+IF(EH2785="D",1,0)</f>
        <v>1</v>
      </c>
      <c r="AY2785" s="0" t="n">
        <f aca="false">COUNTIF(DU2785:EH2785, "&lt;&gt;")</f>
        <v>4</v>
      </c>
      <c r="AZ2785" s="0" t="n">
        <f aca="false">IF(EH2785&lt;&gt;"",1,0)</f>
        <v>0</v>
      </c>
      <c r="BB2785" s="0" t="s">
        <v>153</v>
      </c>
      <c r="BL2785" s="0" t="s">
        <v>154</v>
      </c>
      <c r="CA2785" s="0" t="s">
        <v>154</v>
      </c>
      <c r="CK2785" s="0" t="s">
        <v>154</v>
      </c>
      <c r="CL2785" s="0" t="s">
        <v>155</v>
      </c>
      <c r="CN2785" s="0" t="s">
        <v>154</v>
      </c>
      <c r="CP2785" s="0" t="s">
        <v>154</v>
      </c>
      <c r="CV2785" s="0" t="s">
        <v>154</v>
      </c>
      <c r="CY2785" s="0" t="s">
        <v>154</v>
      </c>
      <c r="CZ2785" s="0" t="s">
        <v>155</v>
      </c>
      <c r="DC2785" s="0" t="s">
        <v>154</v>
      </c>
      <c r="DI2785" s="0" t="s">
        <v>154</v>
      </c>
      <c r="DL2785" s="0" t="s">
        <v>154</v>
      </c>
      <c r="DN2785" s="0" t="s">
        <v>154</v>
      </c>
      <c r="DU2785" s="0" t="s">
        <v>154</v>
      </c>
      <c r="DX2785" s="0" t="s">
        <v>154</v>
      </c>
      <c r="EA2785" s="0" t="s">
        <v>154</v>
      </c>
      <c r="EF2785" s="0" t="s">
        <v>154</v>
      </c>
    </row>
    <row r="2786" customFormat="false" ht="13.8" hidden="false" customHeight="false" outlineLevel="0" collapsed="false">
      <c r="A2786" s="0" t="s">
        <v>11806</v>
      </c>
      <c r="B2786" s="0" t="n">
        <v>78</v>
      </c>
      <c r="C2786" s="0" t="n">
        <v>476498</v>
      </c>
      <c r="D2786" s="0" t="s">
        <v>10473</v>
      </c>
      <c r="E2786" s="0" t="s">
        <v>11807</v>
      </c>
      <c r="F2786" s="0" t="str">
        <f aca="false">CONCATENATE(D2786," ",LEFT(H2786,4),"T=",AU2786,"D=",AV2786,"R=",AW2786,"M=",AX2786,"L=",AY2786,"B=",AZ2786)</f>
        <v>EDMONDS T=49D=12R=5M=0L=2B=0</v>
      </c>
      <c r="G2786" s="0" t="s">
        <v>11808</v>
      </c>
      <c r="I2786" s="0" t="s">
        <v>11809</v>
      </c>
      <c r="J2786" s="0" t="s">
        <v>964</v>
      </c>
      <c r="K2786" s="0" t="s">
        <v>175</v>
      </c>
      <c r="M2786" s="0" t="s">
        <v>11805</v>
      </c>
      <c r="N2786" s="0" t="str">
        <f aca="false">RIGHT(M2786,LEN(M2786)-FIND(" ",M2786))</f>
        <v>WEST AVE NW</v>
      </c>
      <c r="P2786" s="0" t="s">
        <v>146</v>
      </c>
      <c r="Q2786" s="0" t="s">
        <v>147</v>
      </c>
      <c r="R2786" s="0" t="n">
        <v>44483</v>
      </c>
      <c r="AD2786" s="0" t="s">
        <v>148</v>
      </c>
      <c r="AE2786" s="0" t="s">
        <v>149</v>
      </c>
      <c r="AF2786" s="0" t="s">
        <v>150</v>
      </c>
      <c r="AH2786" s="0" t="n">
        <v>14</v>
      </c>
      <c r="AI2786" s="0" t="n">
        <v>11</v>
      </c>
      <c r="AN2786" s="0" t="s">
        <v>146</v>
      </c>
      <c r="AO2786" s="0" t="s">
        <v>250</v>
      </c>
      <c r="AP2786" s="0" t="s">
        <v>251</v>
      </c>
      <c r="AQ2786" s="0" t="n">
        <v>9</v>
      </c>
      <c r="AR2786" s="0" t="n">
        <v>64</v>
      </c>
      <c r="AS2786" s="0" t="n">
        <v>32</v>
      </c>
      <c r="AU2786" s="0" t="n">
        <f aca="false">COUNTA($BA$2361:$EH$2361)</f>
        <v>49</v>
      </c>
      <c r="AV2786" s="0" t="n">
        <f aca="false">COUNTIF($BA$2361:$EH$2361,"D")</f>
        <v>12</v>
      </c>
      <c r="AW2786" s="0" t="n">
        <f aca="false">COUNTIF($BA$2361:$EH$2361,"R")</f>
        <v>5</v>
      </c>
      <c r="AX2786" s="0" t="n">
        <f aca="false">IF(BN2786="D",1,0)+IF(BO2786="D",1,0)+IF(BT2786="D",1,0)+IF(BU2786="D",1,0)+IF(BW2786="D",1,0)+IF(CC2786="D",1,0)+IF(CD2786="D",1,0)+IF(CE2786="D",1,0)+IF(CF2786="D",1,0)+IF(CL2786="D",1,0)+IF(CM2786="D",1,0)+IF(CQ2786="D",1,0)+IF(CR2786="D",1,0)+IF(CS2786="D",1,0)+IF(CW2786="D",1,0)+IF(CX2786="D",1,0)+IF(DD2786="D",1,0)+IF(DE2786="D",1,0)+IF(DJ2786="D",1,0)+IF(DK2786="D",1,0)+IF(DO2786="D",1,0)+IF(DP2786="D",1,0)+IF(DQ2786="D",1,0)+IF(DW2786="D",1,0)+IF(DZ2786="D",1,0)+IF(EH2786="D",1,0)</f>
        <v>0</v>
      </c>
      <c r="AY2786" s="0" t="n">
        <f aca="false">COUNTIF(DU2786:EH2786, "&lt;&gt;")</f>
        <v>2</v>
      </c>
      <c r="AZ2786" s="0" t="n">
        <f aca="false">IF(EH2786&lt;&gt;"",1,0)</f>
        <v>0</v>
      </c>
      <c r="BB2786" s="0" t="s">
        <v>153</v>
      </c>
      <c r="EA2786" s="0" t="s">
        <v>154</v>
      </c>
      <c r="EF2786" s="0" t="s">
        <v>154</v>
      </c>
    </row>
    <row r="2787" customFormat="false" ht="13.8" hidden="false" customHeight="false" outlineLevel="0" collapsed="false">
      <c r="A2787" s="0" t="s">
        <v>11810</v>
      </c>
      <c r="B2787" s="0" t="n">
        <v>78</v>
      </c>
      <c r="C2787" s="0" t="n">
        <v>427504</v>
      </c>
      <c r="D2787" s="0" t="s">
        <v>10473</v>
      </c>
      <c r="E2787" s="0" t="s">
        <v>11811</v>
      </c>
      <c r="F2787" s="0" t="str">
        <f aca="false">CONCATENATE(D2787," ",LEFT(H2787,4),"T=",AU2787,"D=",AV2787,"R=",AW2787,"M=",AX2787,"L=",AY2787,"B=",AZ2787)</f>
        <v>EDMONDS T=2D=0R=0M=0L=4B=0</v>
      </c>
      <c r="G2787" s="0" t="s">
        <v>11812</v>
      </c>
      <c r="I2787" s="0" t="s">
        <v>11813</v>
      </c>
      <c r="J2787" s="0" t="s">
        <v>946</v>
      </c>
      <c r="K2787" s="0" t="s">
        <v>175</v>
      </c>
      <c r="M2787" s="0" t="s">
        <v>11805</v>
      </c>
      <c r="N2787" s="0" t="str">
        <f aca="false">RIGHT(M2787,LEN(M2787)-FIND(" ",M2787))</f>
        <v>WEST AVE NW</v>
      </c>
      <c r="P2787" s="0" t="s">
        <v>146</v>
      </c>
      <c r="Q2787" s="0" t="s">
        <v>147</v>
      </c>
      <c r="R2787" s="0" t="n">
        <v>44483</v>
      </c>
      <c r="AD2787" s="0" t="s">
        <v>148</v>
      </c>
      <c r="AE2787" s="0" t="s">
        <v>149</v>
      </c>
      <c r="AF2787" s="0" t="s">
        <v>150</v>
      </c>
      <c r="AH2787" s="0" t="n">
        <v>14</v>
      </c>
      <c r="AI2787" s="0" t="n">
        <v>11</v>
      </c>
      <c r="AN2787" s="0" t="s">
        <v>146</v>
      </c>
      <c r="AO2787" s="0" t="s">
        <v>250</v>
      </c>
      <c r="AP2787" s="0" t="s">
        <v>251</v>
      </c>
      <c r="AQ2787" s="0" t="n">
        <v>9</v>
      </c>
      <c r="AR2787" s="0" t="n">
        <v>64</v>
      </c>
      <c r="AS2787" s="0" t="n">
        <v>32</v>
      </c>
      <c r="AU2787" s="0" t="n">
        <f aca="false">COUNTA($BA$2427:$EH$2427)</f>
        <v>2</v>
      </c>
      <c r="AV2787" s="0" t="n">
        <f aca="false">COUNTIF($BA$2427:$EH$2427,"D")</f>
        <v>0</v>
      </c>
      <c r="AW2787" s="0" t="n">
        <f aca="false">COUNTIF($BA$2427:$EH$2427,"R")</f>
        <v>0</v>
      </c>
      <c r="AX2787" s="0" t="n">
        <f aca="false">IF(BN2787="D",1,0)+IF(BO2787="D",1,0)+IF(BT2787="D",1,0)+IF(BU2787="D",1,0)+IF(BW2787="D",1,0)+IF(CC2787="D",1,0)+IF(CD2787="D",1,0)+IF(CE2787="D",1,0)+IF(CF2787="D",1,0)+IF(CL2787="D",1,0)+IF(CM2787="D",1,0)+IF(CQ2787="D",1,0)+IF(CR2787="D",1,0)+IF(CS2787="D",1,0)+IF(CW2787="D",1,0)+IF(CX2787="D",1,0)+IF(DD2787="D",1,0)+IF(DE2787="D",1,0)+IF(DJ2787="D",1,0)+IF(DK2787="D",1,0)+IF(DO2787="D",1,0)+IF(DP2787="D",1,0)+IF(DQ2787="D",1,0)+IF(DW2787="D",1,0)+IF(DZ2787="D",1,0)+IF(EH2787="D",1,0)</f>
        <v>0</v>
      </c>
      <c r="AY2787" s="0" t="n">
        <f aca="false">COUNTIF(DU2787:EH2787, "&lt;&gt;")</f>
        <v>4</v>
      </c>
      <c r="AZ2787" s="0" t="n">
        <f aca="false">IF(EH2787&lt;&gt;"",1,0)</f>
        <v>0</v>
      </c>
      <c r="BB2787" s="0" t="s">
        <v>153</v>
      </c>
      <c r="DI2787" s="0" t="s">
        <v>154</v>
      </c>
      <c r="DL2787" s="0" t="s">
        <v>154</v>
      </c>
      <c r="DN2787" s="0" t="s">
        <v>154</v>
      </c>
      <c r="DU2787" s="0" t="s">
        <v>154</v>
      </c>
      <c r="DX2787" s="0" t="s">
        <v>154</v>
      </c>
      <c r="EA2787" s="0" t="s">
        <v>154</v>
      </c>
      <c r="EF2787" s="0" t="s">
        <v>154</v>
      </c>
    </row>
    <row r="2788" customFormat="false" ht="13.8" hidden="true" customHeight="false" outlineLevel="0" collapsed="false">
      <c r="A2788" s="0" t="s">
        <v>11814</v>
      </c>
      <c r="B2788" s="0" t="n">
        <v>78</v>
      </c>
      <c r="C2788" s="0" t="n">
        <v>258725</v>
      </c>
      <c r="D2788" s="0" t="s">
        <v>2478</v>
      </c>
      <c r="E2788" s="0" t="s">
        <v>652</v>
      </c>
      <c r="F2788" s="0" t="str">
        <f aca="false">CONCATENATE(D2788," ",LEFT(H2788,4),"T=",AU2788,"D=",AV2788,"R=",AW2788,"M=",AX2788,"L=",AY2788,"B=",AZ2788)</f>
        <v>CARL T=11D=3R=0M=0L=1B=0</v>
      </c>
      <c r="G2788" s="0" t="s">
        <v>188</v>
      </c>
      <c r="I2788" s="0" t="s">
        <v>11815</v>
      </c>
      <c r="J2788" s="0" t="s">
        <v>11816</v>
      </c>
      <c r="K2788" s="0" t="s">
        <v>175</v>
      </c>
      <c r="L2788" s="0"/>
      <c r="M2788" s="0" t="s">
        <v>11817</v>
      </c>
      <c r="N2788" s="0" t="str">
        <f aca="false">RIGHT(M2788,LEN(M2788)-FIND(" ",M2788))</f>
        <v>WEST AVE NW</v>
      </c>
      <c r="P2788" s="0" t="s">
        <v>146</v>
      </c>
      <c r="Q2788" s="0" t="s">
        <v>147</v>
      </c>
      <c r="R2788" s="0" t="n">
        <v>44483</v>
      </c>
      <c r="AD2788" s="0" t="s">
        <v>148</v>
      </c>
      <c r="AE2788" s="0" t="s">
        <v>149</v>
      </c>
      <c r="AF2788" s="0" t="s">
        <v>150</v>
      </c>
      <c r="AH2788" s="0" t="n">
        <v>14</v>
      </c>
      <c r="AI2788" s="0" t="n">
        <v>11</v>
      </c>
      <c r="AN2788" s="0" t="s">
        <v>146</v>
      </c>
      <c r="AO2788" s="0" t="s">
        <v>250</v>
      </c>
      <c r="AP2788" s="0" t="s">
        <v>251</v>
      </c>
      <c r="AQ2788" s="0" t="n">
        <v>9</v>
      </c>
      <c r="AR2788" s="0" t="n">
        <v>64</v>
      </c>
      <c r="AS2788" s="0" t="n">
        <v>32</v>
      </c>
      <c r="AU2788" s="0" t="n">
        <f aca="false">COUNTA($BA$2766:$EH$2766)</f>
        <v>11</v>
      </c>
      <c r="AV2788" s="0" t="n">
        <f aca="false">COUNTIF($BA$2766:$EH$2766,"D")</f>
        <v>3</v>
      </c>
      <c r="AW2788" s="0" t="n">
        <f aca="false">COUNTIF($BA$2766:$EH$2766,"R")</f>
        <v>0</v>
      </c>
      <c r="AX2788" s="0" t="n">
        <f aca="false">IF(BN2788="D",1,0)+IF(BO2788="D",1,0)+IF(BT2788="D",1,0)+IF(BU2788="D",1,0)+IF(BW2788="D",1,0)+IF(CC2788="D",1,0)+IF(CD2788="D",1,0)+IF(CE2788="D",1,0)+IF(CF2788="D",1,0)+IF(CL2788="D",1,0)+IF(CM2788="D",1,0)+IF(CQ2788="D",1,0)+IF(CR2788="D",1,0)+IF(CS2788="D",1,0)+IF(CW2788="D",1,0)+IF(CX2788="D",1,0)+IF(DD2788="D",1,0)+IF(DE2788="D",1,0)+IF(DJ2788="D",1,0)+IF(DK2788="D",1,0)+IF(DO2788="D",1,0)+IF(DP2788="D",1,0)+IF(DQ2788="D",1,0)+IF(DW2788="D",1,0)+IF(DZ2788="D",1,0)+IF(EH2788="D",1,0)</f>
        <v>0</v>
      </c>
      <c r="AY2788" s="0" t="n">
        <f aca="false">COUNTIF(DU2788:EH2788, "&lt;&gt;")</f>
        <v>1</v>
      </c>
      <c r="AZ2788" s="0" t="n">
        <f aca="false">IF(EH2788&lt;&gt;"",1,0)</f>
        <v>0</v>
      </c>
      <c r="BB2788" s="0" t="s">
        <v>153</v>
      </c>
      <c r="BC2788" s="0" t="s">
        <v>154</v>
      </c>
      <c r="BD2788" s="0" t="s">
        <v>154</v>
      </c>
      <c r="BG2788" s="0" t="s">
        <v>154</v>
      </c>
      <c r="BH2788" s="0" t="s">
        <v>154</v>
      </c>
      <c r="BJ2788" s="0" t="s">
        <v>154</v>
      </c>
      <c r="BK2788" s="0" t="s">
        <v>154</v>
      </c>
      <c r="BL2788" s="0" t="s">
        <v>154</v>
      </c>
      <c r="BP2788" s="0" t="s">
        <v>154</v>
      </c>
      <c r="BR2788" s="0" t="s">
        <v>154</v>
      </c>
      <c r="BS2788" s="0" t="s">
        <v>154</v>
      </c>
      <c r="BV2788" s="0" t="s">
        <v>154</v>
      </c>
      <c r="BY2788" s="0" t="s">
        <v>155</v>
      </c>
      <c r="CA2788" s="0" t="s">
        <v>154</v>
      </c>
      <c r="CP2788" s="0" t="s">
        <v>154</v>
      </c>
      <c r="CV2788" s="0" t="s">
        <v>154</v>
      </c>
      <c r="CY2788" s="0" t="s">
        <v>154</v>
      </c>
      <c r="DC2788" s="0" t="s">
        <v>154</v>
      </c>
      <c r="DF2788" s="0" t="s">
        <v>154</v>
      </c>
      <c r="DI2788" s="0" t="s">
        <v>154</v>
      </c>
      <c r="DN2788" s="0" t="s">
        <v>154</v>
      </c>
      <c r="EF2788" s="0" t="s">
        <v>154</v>
      </c>
    </row>
    <row r="2789" customFormat="false" ht="13.8" hidden="false" customHeight="false" outlineLevel="0" collapsed="false">
      <c r="A2789" s="0" t="s">
        <v>11818</v>
      </c>
      <c r="B2789" s="0" t="n">
        <v>78</v>
      </c>
      <c r="C2789" s="0" t="n">
        <v>439608</v>
      </c>
      <c r="D2789" s="0" t="s">
        <v>11819</v>
      </c>
      <c r="E2789" s="0" t="s">
        <v>6534</v>
      </c>
      <c r="F2789" s="0" t="str">
        <f aca="false">CONCATENATE(D2789," ",LEFT(H2789,4),"T=",AU2789,"D=",AV2789,"R=",AW2789,"M=",AX2789,"L=",AY2789,"B=",AZ2789)</f>
        <v>STANISLAW T=3D=0R=0M=2L=4B=0</v>
      </c>
      <c r="G2789" s="0" t="s">
        <v>429</v>
      </c>
      <c r="I2789" s="0" t="s">
        <v>11820</v>
      </c>
      <c r="J2789" s="0" t="s">
        <v>712</v>
      </c>
      <c r="K2789" s="0" t="s">
        <v>175</v>
      </c>
      <c r="L2789" s="1" t="s">
        <v>176</v>
      </c>
      <c r="M2789" s="0" t="s">
        <v>11821</v>
      </c>
      <c r="N2789" s="0" t="str">
        <f aca="false">RIGHT(M2789,LEN(M2789)-FIND(" ",M2789))</f>
        <v>WEST AVE NW</v>
      </c>
      <c r="P2789" s="0" t="s">
        <v>146</v>
      </c>
      <c r="Q2789" s="0" t="s">
        <v>147</v>
      </c>
      <c r="R2789" s="0" t="n">
        <v>44483</v>
      </c>
      <c r="AD2789" s="0" t="s">
        <v>148</v>
      </c>
      <c r="AE2789" s="0" t="s">
        <v>149</v>
      </c>
      <c r="AF2789" s="0" t="s">
        <v>150</v>
      </c>
      <c r="AH2789" s="0" t="n">
        <v>14</v>
      </c>
      <c r="AI2789" s="0" t="n">
        <v>11</v>
      </c>
      <c r="AN2789" s="0" t="s">
        <v>146</v>
      </c>
      <c r="AO2789" s="0" t="s">
        <v>250</v>
      </c>
      <c r="AP2789" s="0" t="s">
        <v>251</v>
      </c>
      <c r="AQ2789" s="0" t="n">
        <v>9</v>
      </c>
      <c r="AR2789" s="0" t="n">
        <v>64</v>
      </c>
      <c r="AS2789" s="0" t="n">
        <v>32</v>
      </c>
      <c r="AU2789" s="0" t="n">
        <f aca="false">COUNTA($BA$2648:$EH$2648)</f>
        <v>3</v>
      </c>
      <c r="AV2789" s="0" t="n">
        <f aca="false">COUNTIF($BA$2648:$EH$2648,"D")</f>
        <v>0</v>
      </c>
      <c r="AW2789" s="0" t="n">
        <f aca="false">COUNTIF($BA$2648:$EH$2648,"R")</f>
        <v>0</v>
      </c>
      <c r="AX2789" s="0" t="n">
        <f aca="false">IF(BN2789="D",1,0)+IF(BO2789="D",1,0)+IF(BT2789="D",1,0)+IF(BU2789="D",1,0)+IF(BW2789="D",1,0)+IF(CC2789="D",1,0)+IF(CD2789="D",1,0)+IF(CE2789="D",1,0)+IF(CF2789="D",1,0)+IF(CL2789="D",1,0)+IF(CM2789="D",1,0)+IF(CQ2789="D",1,0)+IF(CR2789="D",1,0)+IF(CS2789="D",1,0)+IF(CW2789="D",1,0)+IF(CX2789="D",1,0)+IF(DD2789="D",1,0)+IF(DE2789="D",1,0)+IF(DJ2789="D",1,0)+IF(DK2789="D",1,0)+IF(DO2789="D",1,0)+IF(DP2789="D",1,0)+IF(DQ2789="D",1,0)+IF(DW2789="D",1,0)+IF(DZ2789="D",1,0)+IF(EH2789="D",1,0)</f>
        <v>2</v>
      </c>
      <c r="AY2789" s="0" t="n">
        <f aca="false">COUNTIF(DU2789:EH2789, "&lt;&gt;")</f>
        <v>4</v>
      </c>
      <c r="AZ2789" s="0" t="n">
        <f aca="false">IF(EH2789&lt;&gt;"",1,0)</f>
        <v>0</v>
      </c>
      <c r="BB2789" s="0" t="s">
        <v>153</v>
      </c>
      <c r="DL2789" s="0" t="s">
        <v>154</v>
      </c>
      <c r="DN2789" s="0" t="s">
        <v>154</v>
      </c>
      <c r="DO2789" s="0" t="s">
        <v>155</v>
      </c>
      <c r="DW2789" s="0" t="s">
        <v>155</v>
      </c>
      <c r="EA2789" s="0" t="s">
        <v>154</v>
      </c>
      <c r="ED2789" s="0" t="s">
        <v>176</v>
      </c>
      <c r="EF2789" s="0" t="s">
        <v>154</v>
      </c>
    </row>
    <row r="2790" customFormat="false" ht="13.8" hidden="false" customHeight="false" outlineLevel="0" collapsed="false">
      <c r="A2790" s="0" t="s">
        <v>11822</v>
      </c>
      <c r="B2790" s="0" t="n">
        <v>78</v>
      </c>
      <c r="C2790" s="0" t="n">
        <v>251949</v>
      </c>
      <c r="D2790" s="0" t="s">
        <v>11819</v>
      </c>
      <c r="E2790" s="0" t="s">
        <v>3904</v>
      </c>
      <c r="F2790" s="0" t="str">
        <f aca="false">CONCATENATE(D2790," ",LEFT(H2790,4),"T=",AU2790,"D=",AV2790,"R=",AW2790,"M=",AX2790,"L=",AY2790,"B=",AZ2790)</f>
        <v>STANISLAW T=6D=0R=0M=7L=5B=0</v>
      </c>
      <c r="G2790" s="0" t="s">
        <v>188</v>
      </c>
      <c r="I2790" s="0" t="s">
        <v>11823</v>
      </c>
      <c r="J2790" s="0" t="s">
        <v>11824</v>
      </c>
      <c r="K2790" s="0" t="s">
        <v>175</v>
      </c>
      <c r="L2790" s="1" t="s">
        <v>176</v>
      </c>
      <c r="M2790" s="0" t="s">
        <v>11821</v>
      </c>
      <c r="N2790" s="0" t="str">
        <f aca="false">RIGHT(M2790,LEN(M2790)-FIND(" ",M2790))</f>
        <v>WEST AVE NW</v>
      </c>
      <c r="P2790" s="0" t="s">
        <v>146</v>
      </c>
      <c r="Q2790" s="0" t="s">
        <v>147</v>
      </c>
      <c r="R2790" s="0" t="n">
        <v>44483</v>
      </c>
      <c r="AD2790" s="0" t="s">
        <v>148</v>
      </c>
      <c r="AE2790" s="0" t="s">
        <v>149</v>
      </c>
      <c r="AF2790" s="0" t="s">
        <v>150</v>
      </c>
      <c r="AH2790" s="0" t="n">
        <v>14</v>
      </c>
      <c r="AI2790" s="0" t="n">
        <v>11</v>
      </c>
      <c r="AN2790" s="0" t="s">
        <v>146</v>
      </c>
      <c r="AO2790" s="0" t="s">
        <v>250</v>
      </c>
      <c r="AP2790" s="0" t="s">
        <v>251</v>
      </c>
      <c r="AQ2790" s="0" t="n">
        <v>9</v>
      </c>
      <c r="AR2790" s="0" t="n">
        <v>64</v>
      </c>
      <c r="AS2790" s="0" t="n">
        <v>32</v>
      </c>
      <c r="AU2790" s="0" t="n">
        <f aca="false">COUNTA($BA$2750:$EH$2750)</f>
        <v>6</v>
      </c>
      <c r="AV2790" s="0" t="n">
        <f aca="false">COUNTIF($BA$2750:$EH$2750,"D")</f>
        <v>0</v>
      </c>
      <c r="AW2790" s="0" t="n">
        <f aca="false">COUNTIF($BA$2750:$EH$2750,"R")</f>
        <v>0</v>
      </c>
      <c r="AX2790" s="0" t="n">
        <f aca="false">IF(BN2790="D",1,0)+IF(BO2790="D",1,0)+IF(BT2790="D",1,0)+IF(BU2790="D",1,0)+IF(BW2790="D",1,0)+IF(CC2790="D",1,0)+IF(CD2790="D",1,0)+IF(CE2790="D",1,0)+IF(CF2790="D",1,0)+IF(CL2790="D",1,0)+IF(CM2790="D",1,0)+IF(CQ2790="D",1,0)+IF(CR2790="D",1,0)+IF(CS2790="D",1,0)+IF(CW2790="D",1,0)+IF(CX2790="D",1,0)+IF(DD2790="D",1,0)+IF(DE2790="D",1,0)+IF(DJ2790="D",1,0)+IF(DK2790="D",1,0)+IF(DO2790="D",1,0)+IF(DP2790="D",1,0)+IF(DQ2790="D",1,0)+IF(DW2790="D",1,0)+IF(DZ2790="D",1,0)+IF(EH2790="D",1,0)</f>
        <v>7</v>
      </c>
      <c r="AY2790" s="0" t="n">
        <f aca="false">COUNTIF(DU2790:EH2790, "&lt;&gt;")</f>
        <v>5</v>
      </c>
      <c r="AZ2790" s="0" t="n">
        <f aca="false">IF(EH2790&lt;&gt;"",1,0)</f>
        <v>0</v>
      </c>
      <c r="BB2790" s="0" t="s">
        <v>153</v>
      </c>
      <c r="BC2790" s="0" t="s">
        <v>154</v>
      </c>
      <c r="BD2790" s="0" t="s">
        <v>154</v>
      </c>
      <c r="BH2790" s="0" t="s">
        <v>154</v>
      </c>
      <c r="BI2790" s="0" t="s">
        <v>154</v>
      </c>
      <c r="BJ2790" s="0" t="s">
        <v>154</v>
      </c>
      <c r="BK2790" s="0" t="s">
        <v>154</v>
      </c>
      <c r="BL2790" s="0" t="s">
        <v>154</v>
      </c>
      <c r="BP2790" s="0" t="s">
        <v>154</v>
      </c>
      <c r="BR2790" s="0" t="s">
        <v>154</v>
      </c>
      <c r="BS2790" s="0" t="s">
        <v>154</v>
      </c>
      <c r="BV2790" s="0" t="s">
        <v>154</v>
      </c>
      <c r="BY2790" s="0" t="s">
        <v>155</v>
      </c>
      <c r="CA2790" s="0" t="s">
        <v>154</v>
      </c>
      <c r="CC2790" s="0" t="s">
        <v>155</v>
      </c>
      <c r="CH2790" s="0" t="s">
        <v>155</v>
      </c>
      <c r="CK2790" s="0" t="s">
        <v>154</v>
      </c>
      <c r="CL2790" s="0" t="s">
        <v>155</v>
      </c>
      <c r="CN2790" s="0" t="s">
        <v>154</v>
      </c>
      <c r="CO2790" s="0" t="s">
        <v>155</v>
      </c>
      <c r="CP2790" s="0" t="s">
        <v>154</v>
      </c>
      <c r="CQ2790" s="0" t="s">
        <v>155</v>
      </c>
      <c r="CT2790" s="0" t="s">
        <v>154</v>
      </c>
      <c r="CV2790" s="0" t="s">
        <v>154</v>
      </c>
      <c r="CY2790" s="0" t="s">
        <v>154</v>
      </c>
      <c r="CZ2790" s="0" t="s">
        <v>155</v>
      </c>
      <c r="DC2790" s="0" t="s">
        <v>154</v>
      </c>
      <c r="DD2790" s="0" t="s">
        <v>155</v>
      </c>
      <c r="DG2790" s="0" t="s">
        <v>155</v>
      </c>
      <c r="DI2790" s="0" t="s">
        <v>154</v>
      </c>
      <c r="DJ2790" s="0" t="s">
        <v>155</v>
      </c>
      <c r="DL2790" s="0" t="s">
        <v>154</v>
      </c>
      <c r="DN2790" s="0" t="s">
        <v>154</v>
      </c>
      <c r="DO2790" s="0" t="s">
        <v>155</v>
      </c>
      <c r="DR2790" s="0" t="s">
        <v>154</v>
      </c>
      <c r="DS2790" s="0" t="s">
        <v>155</v>
      </c>
      <c r="DU2790" s="0" t="s">
        <v>154</v>
      </c>
      <c r="DW2790" s="0" t="s">
        <v>155</v>
      </c>
      <c r="EA2790" s="0" t="s">
        <v>154</v>
      </c>
      <c r="ED2790" s="0" t="s">
        <v>176</v>
      </c>
      <c r="EF2790" s="0" t="s">
        <v>154</v>
      </c>
    </row>
    <row r="2791" customFormat="false" ht="13.8" hidden="false" customHeight="false" outlineLevel="0" collapsed="false">
      <c r="A2791" s="0" t="s">
        <v>11825</v>
      </c>
      <c r="B2791" s="0" t="n">
        <v>78</v>
      </c>
      <c r="C2791" s="0" t="n">
        <v>229410</v>
      </c>
      <c r="D2791" s="0" t="s">
        <v>11826</v>
      </c>
      <c r="E2791" s="0" t="s">
        <v>430</v>
      </c>
      <c r="F2791" s="0" t="str">
        <f aca="false">CONCATENATE(D2791," ",LEFT(H2791,4),"T=",AU2791,"D=",AV2791,"R=",AW2791,"M=",AX2791,"L=",AY2791,"B=",AZ2791)</f>
        <v>VANKIRK JRT=15D=2R=0M=3L=2B=0</v>
      </c>
      <c r="G2791" s="0" t="s">
        <v>514</v>
      </c>
      <c r="H2791" s="0" t="s">
        <v>431</v>
      </c>
      <c r="I2791" s="0" t="s">
        <v>11827</v>
      </c>
      <c r="J2791" s="0" t="s">
        <v>11828</v>
      </c>
      <c r="K2791" s="0" t="s">
        <v>175</v>
      </c>
      <c r="M2791" s="0" t="s">
        <v>11829</v>
      </c>
      <c r="N2791" s="0" t="str">
        <f aca="false">RIGHT(M2791,LEN(M2791)-FIND(" ",M2791))</f>
        <v>WEST AVE NW</v>
      </c>
      <c r="P2791" s="0" t="s">
        <v>146</v>
      </c>
      <c r="Q2791" s="0" t="s">
        <v>147</v>
      </c>
      <c r="R2791" s="0" t="n">
        <v>44483</v>
      </c>
      <c r="AD2791" s="0" t="s">
        <v>148</v>
      </c>
      <c r="AE2791" s="0" t="s">
        <v>149</v>
      </c>
      <c r="AF2791" s="0" t="s">
        <v>150</v>
      </c>
      <c r="AH2791" s="0" t="n">
        <v>14</v>
      </c>
      <c r="AI2791" s="0" t="n">
        <v>11</v>
      </c>
      <c r="AN2791" s="0" t="s">
        <v>146</v>
      </c>
      <c r="AO2791" s="0" t="s">
        <v>250</v>
      </c>
      <c r="AP2791" s="0" t="s">
        <v>251</v>
      </c>
      <c r="AQ2791" s="0" t="n">
        <v>9</v>
      </c>
      <c r="AR2791" s="0" t="n">
        <v>64</v>
      </c>
      <c r="AS2791" s="0" t="n">
        <v>32</v>
      </c>
      <c r="AU2791" s="0" t="n">
        <f aca="false">COUNTA($BA$2307:$EH$2307)</f>
        <v>15</v>
      </c>
      <c r="AV2791" s="0" t="n">
        <f aca="false">COUNTIF($BA$2307:$EH$2307,"D")</f>
        <v>2</v>
      </c>
      <c r="AW2791" s="0" t="n">
        <f aca="false">COUNTIF($BA$2307:$EH$2307,"R")</f>
        <v>0</v>
      </c>
      <c r="AX2791" s="0" t="n">
        <f aca="false">IF(BN2791="D",1,0)+IF(BO2791="D",1,0)+IF(BT2791="D",1,0)+IF(BU2791="D",1,0)+IF(BW2791="D",1,0)+IF(CC2791="D",1,0)+IF(CD2791="D",1,0)+IF(CE2791="D",1,0)+IF(CF2791="D",1,0)+IF(CL2791="D",1,0)+IF(CM2791="D",1,0)+IF(CQ2791="D",1,0)+IF(CR2791="D",1,0)+IF(CS2791="D",1,0)+IF(CW2791="D",1,0)+IF(CX2791="D",1,0)+IF(DD2791="D",1,0)+IF(DE2791="D",1,0)+IF(DJ2791="D",1,0)+IF(DK2791="D",1,0)+IF(DO2791="D",1,0)+IF(DP2791="D",1,0)+IF(DQ2791="D",1,0)+IF(DW2791="D",1,0)+IF(DZ2791="D",1,0)+IF(EH2791="D",1,0)</f>
        <v>3</v>
      </c>
      <c r="AY2791" s="0" t="n">
        <f aca="false">COUNTIF(DU2791:EH2791, "&lt;&gt;")</f>
        <v>2</v>
      </c>
      <c r="AZ2791" s="0" t="n">
        <f aca="false">IF(EH2791&lt;&gt;"",1,0)</f>
        <v>0</v>
      </c>
      <c r="BB2791" s="0" t="s">
        <v>153</v>
      </c>
      <c r="BC2791" s="0" t="s">
        <v>154</v>
      </c>
      <c r="BD2791" s="0" t="s">
        <v>154</v>
      </c>
      <c r="BE2791" s="0" t="s">
        <v>154</v>
      </c>
      <c r="BF2791" s="0" t="s">
        <v>154</v>
      </c>
      <c r="BG2791" s="0" t="s">
        <v>154</v>
      </c>
      <c r="BH2791" s="0" t="s">
        <v>154</v>
      </c>
      <c r="BI2791" s="0" t="s">
        <v>154</v>
      </c>
      <c r="BJ2791" s="0" t="s">
        <v>154</v>
      </c>
      <c r="BK2791" s="0" t="s">
        <v>154</v>
      </c>
      <c r="BL2791" s="0" t="s">
        <v>154</v>
      </c>
      <c r="BP2791" s="0" t="s">
        <v>154</v>
      </c>
      <c r="BR2791" s="0" t="s">
        <v>154</v>
      </c>
      <c r="BS2791" s="0" t="s">
        <v>154</v>
      </c>
      <c r="BV2791" s="0" t="s">
        <v>154</v>
      </c>
      <c r="BY2791" s="0" t="s">
        <v>155</v>
      </c>
      <c r="CA2791" s="0" t="s">
        <v>154</v>
      </c>
      <c r="CG2791" s="0" t="s">
        <v>154</v>
      </c>
      <c r="CH2791" s="0" t="s">
        <v>155</v>
      </c>
      <c r="CK2791" s="0" t="s">
        <v>154</v>
      </c>
      <c r="CL2791" s="0" t="s">
        <v>155</v>
      </c>
      <c r="CN2791" s="0" t="s">
        <v>154</v>
      </c>
      <c r="CO2791" s="0" t="s">
        <v>155</v>
      </c>
      <c r="CP2791" s="0" t="s">
        <v>154</v>
      </c>
      <c r="CT2791" s="0" t="s">
        <v>154</v>
      </c>
      <c r="CU2791" s="0" t="s">
        <v>155</v>
      </c>
      <c r="CY2791" s="0" t="s">
        <v>154</v>
      </c>
      <c r="CZ2791" s="0" t="s">
        <v>155</v>
      </c>
      <c r="DF2791" s="0" t="s">
        <v>154</v>
      </c>
      <c r="DI2791" s="0" t="s">
        <v>154</v>
      </c>
      <c r="DJ2791" s="0" t="s">
        <v>155</v>
      </c>
      <c r="DL2791" s="0" t="s">
        <v>154</v>
      </c>
      <c r="DN2791" s="0" t="s">
        <v>154</v>
      </c>
      <c r="DO2791" s="0" t="s">
        <v>155</v>
      </c>
      <c r="DR2791" s="0" t="s">
        <v>154</v>
      </c>
      <c r="EA2791" s="0" t="s">
        <v>154</v>
      </c>
      <c r="EF2791" s="0" t="s">
        <v>154</v>
      </c>
    </row>
    <row r="2792" customFormat="false" ht="13.8" hidden="false" customHeight="false" outlineLevel="0" collapsed="false">
      <c r="A2792" s="0" t="s">
        <v>11830</v>
      </c>
      <c r="B2792" s="0" t="n">
        <v>78</v>
      </c>
      <c r="C2792" s="0" t="n">
        <v>26788</v>
      </c>
      <c r="D2792" s="0" t="s">
        <v>11831</v>
      </c>
      <c r="E2792" s="0" t="s">
        <v>920</v>
      </c>
      <c r="F2792" s="0" t="str">
        <f aca="false">CONCATENATE(D2792," ",LEFT(H2792,4),"T=",AU2792,"D=",AV2792,"R=",AW2792,"M=",AX2792,"L=",AY2792,"B=",AZ2792)</f>
        <v>HAAS T=12D=0R=3M=3L=3B=0</v>
      </c>
      <c r="G2792" s="0" t="s">
        <v>172</v>
      </c>
      <c r="I2792" s="0" t="s">
        <v>11832</v>
      </c>
      <c r="J2792" s="0" t="s">
        <v>11833</v>
      </c>
      <c r="K2792" s="0" t="s">
        <v>175</v>
      </c>
      <c r="L2792" s="1" t="s">
        <v>155</v>
      </c>
      <c r="M2792" s="0" t="s">
        <v>11829</v>
      </c>
      <c r="N2792" s="0" t="str">
        <f aca="false">RIGHT(M2792,LEN(M2792)-FIND(" ",M2792))</f>
        <v>WEST AVE NW</v>
      </c>
      <c r="P2792" s="0" t="s">
        <v>146</v>
      </c>
      <c r="Q2792" s="0" t="s">
        <v>147</v>
      </c>
      <c r="R2792" s="0" t="n">
        <v>44483</v>
      </c>
      <c r="S2792" s="0" t="n">
        <v>3337</v>
      </c>
      <c r="AD2792" s="0" t="s">
        <v>148</v>
      </c>
      <c r="AE2792" s="0" t="s">
        <v>149</v>
      </c>
      <c r="AF2792" s="0" t="s">
        <v>150</v>
      </c>
      <c r="AH2792" s="0" t="n">
        <v>14</v>
      </c>
      <c r="AI2792" s="0" t="n">
        <v>11</v>
      </c>
      <c r="AN2792" s="0" t="s">
        <v>146</v>
      </c>
      <c r="AO2792" s="0" t="s">
        <v>250</v>
      </c>
      <c r="AP2792" s="0" t="s">
        <v>251</v>
      </c>
      <c r="AQ2792" s="0" t="n">
        <v>9</v>
      </c>
      <c r="AR2792" s="0" t="n">
        <v>64</v>
      </c>
      <c r="AS2792" s="0" t="n">
        <v>32</v>
      </c>
      <c r="AU2792" s="0" t="n">
        <f aca="false">COUNTA($BA$2551:$EH$2551)</f>
        <v>12</v>
      </c>
      <c r="AV2792" s="0" t="n">
        <f aca="false">COUNTIF($BA$2551:$EH$2551,"D")</f>
        <v>0</v>
      </c>
      <c r="AW2792" s="0" t="n">
        <f aca="false">COUNTIF($BA$2551:$EH$2551,"R")</f>
        <v>3</v>
      </c>
      <c r="AX2792" s="0" t="n">
        <f aca="false">IF(BN2792="D",1,0)+IF(BO2792="D",1,0)+IF(BT2792="D",1,0)+IF(BU2792="D",1,0)+IF(BW2792="D",1,0)+IF(CC2792="D",1,0)+IF(CD2792="D",1,0)+IF(CE2792="D",1,0)+IF(CF2792="D",1,0)+IF(CL2792="D",1,0)+IF(CM2792="D",1,0)+IF(CQ2792="D",1,0)+IF(CR2792="D",1,0)+IF(CS2792="D",1,0)+IF(CW2792="D",1,0)+IF(CX2792="D",1,0)+IF(DD2792="D",1,0)+IF(DE2792="D",1,0)+IF(DJ2792="D",1,0)+IF(DK2792="D",1,0)+IF(DO2792="D",1,0)+IF(DP2792="D",1,0)+IF(DQ2792="D",1,0)+IF(DW2792="D",1,0)+IF(DZ2792="D",1,0)+IF(EH2792="D",1,0)</f>
        <v>3</v>
      </c>
      <c r="AY2792" s="0" t="n">
        <f aca="false">COUNTIF(DU2792:EH2792, "&lt;&gt;")</f>
        <v>3</v>
      </c>
      <c r="AZ2792" s="0" t="n">
        <f aca="false">IF(EH2792&lt;&gt;"",1,0)</f>
        <v>0</v>
      </c>
      <c r="BB2792" s="0" t="s">
        <v>153</v>
      </c>
      <c r="BD2792" s="0" t="s">
        <v>154</v>
      </c>
      <c r="BE2792" s="0" t="s">
        <v>154</v>
      </c>
      <c r="BF2792" s="0" t="s">
        <v>154</v>
      </c>
      <c r="BG2792" s="0" t="s">
        <v>154</v>
      </c>
      <c r="BH2792" s="0" t="s">
        <v>154</v>
      </c>
      <c r="BI2792" s="0" t="s">
        <v>154</v>
      </c>
      <c r="BJ2792" s="0" t="s">
        <v>154</v>
      </c>
      <c r="BK2792" s="0" t="s">
        <v>154</v>
      </c>
      <c r="BL2792" s="0" t="s">
        <v>154</v>
      </c>
      <c r="BP2792" s="0" t="s">
        <v>154</v>
      </c>
      <c r="BR2792" s="0" t="s">
        <v>154</v>
      </c>
      <c r="BS2792" s="0" t="s">
        <v>154</v>
      </c>
      <c r="BV2792" s="0" t="s">
        <v>154</v>
      </c>
      <c r="BY2792" s="0" t="s">
        <v>155</v>
      </c>
      <c r="CA2792" s="0" t="s">
        <v>154</v>
      </c>
      <c r="CG2792" s="0" t="s">
        <v>154</v>
      </c>
      <c r="CH2792" s="0" t="s">
        <v>155</v>
      </c>
      <c r="CK2792" s="0" t="s">
        <v>154</v>
      </c>
      <c r="CL2792" s="0" t="s">
        <v>155</v>
      </c>
      <c r="CN2792" s="0" t="s">
        <v>154</v>
      </c>
      <c r="CO2792" s="0" t="s">
        <v>155</v>
      </c>
      <c r="CT2792" s="0" t="s">
        <v>154</v>
      </c>
      <c r="CU2792" s="0" t="s">
        <v>155</v>
      </c>
      <c r="CY2792" s="0" t="s">
        <v>154</v>
      </c>
      <c r="DF2792" s="0" t="s">
        <v>154</v>
      </c>
      <c r="DI2792" s="0" t="s">
        <v>154</v>
      </c>
      <c r="DJ2792" s="0" t="s">
        <v>155</v>
      </c>
      <c r="DL2792" s="0" t="s">
        <v>154</v>
      </c>
      <c r="DN2792" s="0" t="s">
        <v>154</v>
      </c>
      <c r="DO2792" s="0" t="s">
        <v>155</v>
      </c>
      <c r="DR2792" s="0" t="s">
        <v>154</v>
      </c>
      <c r="DS2792" s="0" t="s">
        <v>155</v>
      </c>
      <c r="DU2792" s="0" t="s">
        <v>154</v>
      </c>
      <c r="EA2792" s="0" t="s">
        <v>154</v>
      </c>
      <c r="EF2792" s="0" t="s">
        <v>154</v>
      </c>
    </row>
    <row r="2793" customFormat="false" ht="13.8" hidden="false" customHeight="false" outlineLevel="0" collapsed="false">
      <c r="A2793" s="0" t="s">
        <v>11834</v>
      </c>
      <c r="B2793" s="0" t="n">
        <v>78</v>
      </c>
      <c r="C2793" s="0" t="n">
        <v>396815</v>
      </c>
      <c r="D2793" s="0" t="s">
        <v>1996</v>
      </c>
      <c r="E2793" s="0" t="s">
        <v>1374</v>
      </c>
      <c r="F2793" s="0" t="str">
        <f aca="false">CONCATENATE(D2793," ",LEFT(H2793,4),"T=",AU2793,"D=",AV2793,"R=",AW2793,"M=",AX2793,"L=",AY2793,"B=",AZ2793)</f>
        <v>ADRIAN T=11D=0R=0M=0L=2B=0</v>
      </c>
      <c r="G2793" s="0" t="s">
        <v>1482</v>
      </c>
      <c r="I2793" s="0" t="s">
        <v>11835</v>
      </c>
      <c r="J2793" s="0" t="s">
        <v>5692</v>
      </c>
      <c r="K2793" s="0" t="s">
        <v>175</v>
      </c>
      <c r="M2793" s="0" t="s">
        <v>11836</v>
      </c>
      <c r="N2793" s="0" t="str">
        <f aca="false">RIGHT(M2793,LEN(M2793)-FIND(" ",M2793))</f>
        <v>WEST AVE NW</v>
      </c>
      <c r="P2793" s="0" t="s">
        <v>146</v>
      </c>
      <c r="Q2793" s="0" t="s">
        <v>147</v>
      </c>
      <c r="R2793" s="0" t="n">
        <v>44483</v>
      </c>
      <c r="AD2793" s="0" t="s">
        <v>148</v>
      </c>
      <c r="AE2793" s="0" t="s">
        <v>149</v>
      </c>
      <c r="AF2793" s="0" t="s">
        <v>150</v>
      </c>
      <c r="AH2793" s="0" t="n">
        <v>14</v>
      </c>
      <c r="AI2793" s="0" t="n">
        <v>11</v>
      </c>
      <c r="AN2793" s="0" t="s">
        <v>146</v>
      </c>
      <c r="AO2793" s="0" t="s">
        <v>250</v>
      </c>
      <c r="AP2793" s="0" t="s">
        <v>251</v>
      </c>
      <c r="AQ2793" s="0" t="n">
        <v>9</v>
      </c>
      <c r="AR2793" s="0" t="n">
        <v>64</v>
      </c>
      <c r="AS2793" s="0" t="n">
        <v>32</v>
      </c>
      <c r="AU2793" s="0" t="n">
        <f aca="false">COUNTA($BA$2549:$EH$2549)</f>
        <v>11</v>
      </c>
      <c r="AV2793" s="0" t="n">
        <f aca="false">COUNTIF($BA$2549:$EH$2549,"D")</f>
        <v>0</v>
      </c>
      <c r="AW2793" s="0" t="n">
        <f aca="false">COUNTIF($BA$2549:$EH$2549,"R")</f>
        <v>0</v>
      </c>
      <c r="AX2793" s="0" t="n">
        <f aca="false">IF(BN2793="D",1,0)+IF(BO2793="D",1,0)+IF(BT2793="D",1,0)+IF(BU2793="D",1,0)+IF(BW2793="D",1,0)+IF(CC2793="D",1,0)+IF(CD2793="D",1,0)+IF(CE2793="D",1,0)+IF(CF2793="D",1,0)+IF(CL2793="D",1,0)+IF(CM2793="D",1,0)+IF(CQ2793="D",1,0)+IF(CR2793="D",1,0)+IF(CS2793="D",1,0)+IF(CW2793="D",1,0)+IF(CX2793="D",1,0)+IF(DD2793="D",1,0)+IF(DE2793="D",1,0)+IF(DJ2793="D",1,0)+IF(DK2793="D",1,0)+IF(DO2793="D",1,0)+IF(DP2793="D",1,0)+IF(DQ2793="D",1,0)+IF(DW2793="D",1,0)+IF(DZ2793="D",1,0)+IF(EH2793="D",1,0)</f>
        <v>0</v>
      </c>
      <c r="AY2793" s="0" t="n">
        <f aca="false">COUNTIF(DU2793:EH2793, "&lt;&gt;")</f>
        <v>2</v>
      </c>
      <c r="AZ2793" s="0" t="n">
        <f aca="false">IF(EH2793&lt;&gt;"",1,0)</f>
        <v>0</v>
      </c>
      <c r="BB2793" s="0" t="s">
        <v>153</v>
      </c>
      <c r="DC2793" s="0" t="s">
        <v>154</v>
      </c>
      <c r="DI2793" s="0" t="s">
        <v>154</v>
      </c>
      <c r="DU2793" s="0" t="s">
        <v>154</v>
      </c>
      <c r="EF2793" s="0" t="s">
        <v>154</v>
      </c>
    </row>
    <row r="2794" customFormat="false" ht="13.8" hidden="false" customHeight="false" outlineLevel="0" collapsed="false">
      <c r="A2794" s="0" t="s">
        <v>11837</v>
      </c>
      <c r="B2794" s="0" t="n">
        <v>78</v>
      </c>
      <c r="C2794" s="0" t="n">
        <v>273559</v>
      </c>
      <c r="D2794" s="0" t="s">
        <v>317</v>
      </c>
      <c r="E2794" s="0" t="s">
        <v>1545</v>
      </c>
      <c r="F2794" s="0" t="str">
        <f aca="false">CONCATENATE(D2794," ",LEFT(H2794,4),"T=",AU2794,"D=",AV2794,"R=",AW2794,"M=",AX2794,"L=",AY2794,"B=",AZ2794)</f>
        <v>LEE T=14D=2R=0M=1L=3B=0</v>
      </c>
      <c r="G2794" s="0" t="s">
        <v>241</v>
      </c>
      <c r="I2794" s="0" t="s">
        <v>10939</v>
      </c>
      <c r="J2794" s="0" t="s">
        <v>11838</v>
      </c>
      <c r="K2794" s="0" t="s">
        <v>175</v>
      </c>
      <c r="M2794" s="0" t="s">
        <v>11839</v>
      </c>
      <c r="N2794" s="0" t="str">
        <f aca="false">RIGHT(M2794,LEN(M2794)-FIND(" ",M2794))</f>
        <v>WEST AVE NW</v>
      </c>
      <c r="P2794" s="0" t="s">
        <v>146</v>
      </c>
      <c r="Q2794" s="0" t="s">
        <v>147</v>
      </c>
      <c r="R2794" s="0" t="n">
        <v>44483</v>
      </c>
      <c r="AD2794" s="0" t="s">
        <v>148</v>
      </c>
      <c r="AE2794" s="0" t="s">
        <v>149</v>
      </c>
      <c r="AF2794" s="0" t="s">
        <v>150</v>
      </c>
      <c r="AH2794" s="0" t="n">
        <v>14</v>
      </c>
      <c r="AI2794" s="0" t="n">
        <v>11</v>
      </c>
      <c r="AN2794" s="0" t="s">
        <v>146</v>
      </c>
      <c r="AO2794" s="0" t="s">
        <v>250</v>
      </c>
      <c r="AP2794" s="0" t="s">
        <v>251</v>
      </c>
      <c r="AQ2794" s="0" t="n">
        <v>9</v>
      </c>
      <c r="AR2794" s="0" t="n">
        <v>64</v>
      </c>
      <c r="AS2794" s="0" t="n">
        <v>32</v>
      </c>
      <c r="AU2794" s="0" t="n">
        <f aca="false">COUNTA($BA$2761:$EH$2761)</f>
        <v>14</v>
      </c>
      <c r="AV2794" s="0" t="n">
        <f aca="false">COUNTIF($BA$2761:$EH$2761,"D")</f>
        <v>2</v>
      </c>
      <c r="AW2794" s="0" t="n">
        <f aca="false">COUNTIF($BA$2761:$EH$2761,"R")</f>
        <v>0</v>
      </c>
      <c r="AX2794" s="0" t="n">
        <f aca="false">IF(BN2794="D",1,0)+IF(BO2794="D",1,0)+IF(BT2794="D",1,0)+IF(BU2794="D",1,0)+IF(BW2794="D",1,0)+IF(CC2794="D",1,0)+IF(CD2794="D",1,0)+IF(CE2794="D",1,0)+IF(CF2794="D",1,0)+IF(CL2794="D",1,0)+IF(CM2794="D",1,0)+IF(CQ2794="D",1,0)+IF(CR2794="D",1,0)+IF(CS2794="D",1,0)+IF(CW2794="D",1,0)+IF(CX2794="D",1,0)+IF(DD2794="D",1,0)+IF(DE2794="D",1,0)+IF(DJ2794="D",1,0)+IF(DK2794="D",1,0)+IF(DO2794="D",1,0)+IF(DP2794="D",1,0)+IF(DQ2794="D",1,0)+IF(DW2794="D",1,0)+IF(DZ2794="D",1,0)+IF(EH2794="D",1,0)</f>
        <v>1</v>
      </c>
      <c r="AY2794" s="0" t="n">
        <f aca="false">COUNTIF(DU2794:EH2794, "&lt;&gt;")</f>
        <v>3</v>
      </c>
      <c r="AZ2794" s="0" t="n">
        <f aca="false">IF(EH2794&lt;&gt;"",1,0)</f>
        <v>0</v>
      </c>
      <c r="BB2794" s="0" t="s">
        <v>153</v>
      </c>
      <c r="BC2794" s="0" t="s">
        <v>154</v>
      </c>
      <c r="BD2794" s="0" t="s">
        <v>154</v>
      </c>
      <c r="BE2794" s="0" t="s">
        <v>154</v>
      </c>
      <c r="BH2794" s="0" t="s">
        <v>154</v>
      </c>
      <c r="BJ2794" s="0" t="s">
        <v>154</v>
      </c>
      <c r="BK2794" s="0" t="s">
        <v>154</v>
      </c>
      <c r="BL2794" s="0" t="s">
        <v>154</v>
      </c>
      <c r="BP2794" s="0" t="s">
        <v>154</v>
      </c>
      <c r="BR2794" s="0" t="s">
        <v>154</v>
      </c>
      <c r="BS2794" s="0" t="s">
        <v>154</v>
      </c>
      <c r="BV2794" s="0" t="s">
        <v>154</v>
      </c>
      <c r="CA2794" s="0" t="s">
        <v>154</v>
      </c>
      <c r="CG2794" s="0" t="s">
        <v>154</v>
      </c>
      <c r="CL2794" s="0" t="s">
        <v>155</v>
      </c>
      <c r="CN2794" s="0" t="s">
        <v>154</v>
      </c>
      <c r="CP2794" s="0" t="s">
        <v>154</v>
      </c>
      <c r="CY2794" s="0" t="s">
        <v>154</v>
      </c>
      <c r="CZ2794" s="0" t="s">
        <v>155</v>
      </c>
      <c r="DC2794" s="0" t="s">
        <v>154</v>
      </c>
      <c r="DF2794" s="0" t="s">
        <v>154</v>
      </c>
      <c r="DG2794" s="0" t="s">
        <v>155</v>
      </c>
      <c r="DI2794" s="0" t="s">
        <v>154</v>
      </c>
      <c r="DL2794" s="0" t="s">
        <v>154</v>
      </c>
      <c r="DN2794" s="0" t="s">
        <v>154</v>
      </c>
      <c r="DR2794" s="0" t="s">
        <v>154</v>
      </c>
      <c r="DU2794" s="0" t="s">
        <v>154</v>
      </c>
      <c r="EA2794" s="0" t="s">
        <v>154</v>
      </c>
      <c r="EF2794" s="0" t="s">
        <v>154</v>
      </c>
    </row>
    <row r="2795" customFormat="false" ht="13.8" hidden="true" customHeight="false" outlineLevel="0" collapsed="false">
      <c r="A2795" s="0" t="s">
        <v>11840</v>
      </c>
      <c r="B2795" s="0" t="n">
        <v>78</v>
      </c>
      <c r="C2795" s="0" t="n">
        <v>319233</v>
      </c>
      <c r="D2795" s="0" t="s">
        <v>317</v>
      </c>
      <c r="E2795" s="0" t="s">
        <v>2401</v>
      </c>
      <c r="F2795" s="0" t="str">
        <f aca="false">CONCATENATE(D2795," ",LEFT(H2795,4),"T=",AU2795,"D=",AV2795,"R=",AW2795,"M=",AX2795,"L=",AY2795,"B=",AZ2795)</f>
        <v>LEE T=5D=0R=0M=0L=1B=0</v>
      </c>
      <c r="G2795" s="0" t="s">
        <v>172</v>
      </c>
      <c r="I2795" s="0" t="s">
        <v>11039</v>
      </c>
      <c r="J2795" s="0" t="s">
        <v>2688</v>
      </c>
      <c r="K2795" s="0" t="s">
        <v>175</v>
      </c>
      <c r="L2795" s="0"/>
      <c r="M2795" s="0" t="s">
        <v>11839</v>
      </c>
      <c r="N2795" s="0" t="str">
        <f aca="false">RIGHT(M2795,LEN(M2795)-FIND(" ",M2795))</f>
        <v>WEST AVE NW</v>
      </c>
      <c r="P2795" s="0" t="s">
        <v>146</v>
      </c>
      <c r="Q2795" s="0" t="s">
        <v>147</v>
      </c>
      <c r="R2795" s="0" t="n">
        <v>44483</v>
      </c>
      <c r="AD2795" s="0" t="s">
        <v>148</v>
      </c>
      <c r="AE2795" s="0" t="s">
        <v>149</v>
      </c>
      <c r="AF2795" s="0" t="s">
        <v>150</v>
      </c>
      <c r="AH2795" s="0" t="n">
        <v>14</v>
      </c>
      <c r="AI2795" s="0" t="n">
        <v>11</v>
      </c>
      <c r="AN2795" s="0" t="s">
        <v>146</v>
      </c>
      <c r="AO2795" s="0" t="s">
        <v>250</v>
      </c>
      <c r="AP2795" s="0" t="s">
        <v>251</v>
      </c>
      <c r="AQ2795" s="0" t="n">
        <v>9</v>
      </c>
      <c r="AR2795" s="0" t="n">
        <v>64</v>
      </c>
      <c r="AS2795" s="0" t="n">
        <v>32</v>
      </c>
      <c r="AU2795" s="0" t="n">
        <f aca="false">COUNTA($BA$2765:$EH$2765)</f>
        <v>5</v>
      </c>
      <c r="AV2795" s="0" t="n">
        <f aca="false">COUNTIF($BA$2765:$EH$2765,"D")</f>
        <v>0</v>
      </c>
      <c r="AW2795" s="0" t="n">
        <f aca="false">COUNTIF($BA$2765:$EH$2765,"R")</f>
        <v>0</v>
      </c>
      <c r="AX2795" s="0" t="n">
        <f aca="false">IF(BN2795="D",1,0)+IF(BO2795="D",1,0)+IF(BT2795="D",1,0)+IF(BU2795="D",1,0)+IF(BW2795="D",1,0)+IF(CC2795="D",1,0)+IF(CD2795="D",1,0)+IF(CE2795="D",1,0)+IF(CF2795="D",1,0)+IF(CL2795="D",1,0)+IF(CM2795="D",1,0)+IF(CQ2795="D",1,0)+IF(CR2795="D",1,0)+IF(CS2795="D",1,0)+IF(CW2795="D",1,0)+IF(CX2795="D",1,0)+IF(DD2795="D",1,0)+IF(DE2795="D",1,0)+IF(DJ2795="D",1,0)+IF(DK2795="D",1,0)+IF(DO2795="D",1,0)+IF(DP2795="D",1,0)+IF(DQ2795="D",1,0)+IF(DW2795="D",1,0)+IF(DZ2795="D",1,0)+IF(EH2795="D",1,0)</f>
        <v>0</v>
      </c>
      <c r="AY2795" s="0" t="n">
        <f aca="false">COUNTIF(DU2795:EH2795, "&lt;&gt;")</f>
        <v>1</v>
      </c>
      <c r="AZ2795" s="0" t="n">
        <f aca="false">IF(EH2795&lt;&gt;"",1,0)</f>
        <v>0</v>
      </c>
      <c r="BB2795" s="0" t="s">
        <v>153</v>
      </c>
      <c r="BK2795" s="0" t="s">
        <v>154</v>
      </c>
      <c r="BL2795" s="0" t="s">
        <v>154</v>
      </c>
      <c r="CA2795" s="0" t="s">
        <v>154</v>
      </c>
      <c r="CP2795" s="0" t="s">
        <v>154</v>
      </c>
      <c r="DC2795" s="0" t="s">
        <v>154</v>
      </c>
      <c r="DL2795" s="0" t="s">
        <v>154</v>
      </c>
      <c r="DN2795" s="0" t="s">
        <v>154</v>
      </c>
      <c r="EF2795" s="0" t="s">
        <v>154</v>
      </c>
    </row>
    <row r="2796" customFormat="false" ht="13.8" hidden="false" customHeight="false" outlineLevel="0" collapsed="false">
      <c r="A2796" s="0" t="s">
        <v>11841</v>
      </c>
      <c r="B2796" s="0" t="n">
        <v>78</v>
      </c>
      <c r="C2796" s="0" t="n">
        <v>147834</v>
      </c>
      <c r="D2796" s="0" t="s">
        <v>11842</v>
      </c>
      <c r="E2796" s="0" t="s">
        <v>11843</v>
      </c>
      <c r="F2796" s="0" t="str">
        <f aca="false">CONCATENATE(D2796," ",LEFT(H2796,4),"T=",AU2796,"D=",AV2796,"R=",AW2796,"M=",AX2796,"L=",AY2796,"B=",AZ2796)</f>
        <v>HOUSTON T=5D=1R=0M=9L=6B=1</v>
      </c>
      <c r="G2796" s="0" t="s">
        <v>1482</v>
      </c>
      <c r="I2796" s="0" t="s">
        <v>11844</v>
      </c>
      <c r="J2796" s="0" t="s">
        <v>11845</v>
      </c>
      <c r="K2796" s="0" t="s">
        <v>175</v>
      </c>
      <c r="L2796" s="1" t="s">
        <v>155</v>
      </c>
      <c r="M2796" s="0" t="s">
        <v>11846</v>
      </c>
      <c r="N2796" s="0" t="str">
        <f aca="false">RIGHT(M2796,LEN(M2796)-FIND(" ",M2796))</f>
        <v>WEST AVE NW</v>
      </c>
      <c r="P2796" s="0" t="s">
        <v>146</v>
      </c>
      <c r="Q2796" s="0" t="s">
        <v>147</v>
      </c>
      <c r="R2796" s="0" t="n">
        <v>44483</v>
      </c>
      <c r="AD2796" s="0" t="s">
        <v>148</v>
      </c>
      <c r="AE2796" s="0" t="s">
        <v>149</v>
      </c>
      <c r="AF2796" s="0" t="s">
        <v>150</v>
      </c>
      <c r="AH2796" s="0" t="n">
        <v>14</v>
      </c>
      <c r="AI2796" s="0" t="n">
        <v>11</v>
      </c>
      <c r="AN2796" s="0" t="s">
        <v>146</v>
      </c>
      <c r="AO2796" s="0" t="s">
        <v>250</v>
      </c>
      <c r="AP2796" s="0" t="s">
        <v>251</v>
      </c>
      <c r="AQ2796" s="0" t="n">
        <v>9</v>
      </c>
      <c r="AR2796" s="0" t="n">
        <v>64</v>
      </c>
      <c r="AS2796" s="0" t="n">
        <v>32</v>
      </c>
      <c r="AU2796" s="0" t="n">
        <f aca="false">COUNTA($BA$2767:$EH$2767)</f>
        <v>5</v>
      </c>
      <c r="AV2796" s="0" t="n">
        <f aca="false">COUNTIF($BA$2767:$EH$2767,"D")</f>
        <v>1</v>
      </c>
      <c r="AW2796" s="0" t="n">
        <f aca="false">COUNTIF($BA$2767:$EH$2767,"R")</f>
        <v>0</v>
      </c>
      <c r="AX2796" s="0" t="n">
        <f aca="false">IF(BN2796="D",1,0)+IF(BO2796="D",1,0)+IF(BT2796="D",1,0)+IF(BU2796="D",1,0)+IF(BW2796="D",1,0)+IF(CC2796="D",1,0)+IF(CD2796="D",1,0)+IF(CE2796="D",1,0)+IF(CF2796="D",1,0)+IF(CL2796="D",1,0)+IF(CM2796="D",1,0)+IF(CQ2796="D",1,0)+IF(CR2796="D",1,0)+IF(CS2796="D",1,0)+IF(CW2796="D",1,0)+IF(CX2796="D",1,0)+IF(DD2796="D",1,0)+IF(DE2796="D",1,0)+IF(DJ2796="D",1,0)+IF(DK2796="D",1,0)+IF(DO2796="D",1,0)+IF(DP2796="D",1,0)+IF(DQ2796="D",1,0)+IF(DW2796="D",1,0)+IF(DZ2796="D",1,0)+IF(EH2796="D",1,0)</f>
        <v>9</v>
      </c>
      <c r="AY2796" s="0" t="n">
        <f aca="false">COUNTIF(DU2796:EH2796, "&lt;&gt;")</f>
        <v>6</v>
      </c>
      <c r="AZ2796" s="0" t="n">
        <f aca="false">IF(EH2796&lt;&gt;"",1,0)</f>
        <v>1</v>
      </c>
      <c r="BB2796" s="0" t="s">
        <v>153</v>
      </c>
      <c r="BC2796" s="0" t="s">
        <v>154</v>
      </c>
      <c r="BD2796" s="0" t="s">
        <v>154</v>
      </c>
      <c r="BE2796" s="0" t="s">
        <v>154</v>
      </c>
      <c r="BF2796" s="0" t="s">
        <v>154</v>
      </c>
      <c r="BK2796" s="0" t="s">
        <v>154</v>
      </c>
      <c r="BL2796" s="0" t="s">
        <v>154</v>
      </c>
      <c r="BP2796" s="0" t="s">
        <v>154</v>
      </c>
      <c r="BS2796" s="0" t="s">
        <v>154</v>
      </c>
      <c r="BV2796" s="0" t="s">
        <v>154</v>
      </c>
      <c r="BY2796" s="0" t="s">
        <v>155</v>
      </c>
      <c r="CA2796" s="0" t="s">
        <v>154</v>
      </c>
      <c r="CC2796" s="0" t="s">
        <v>155</v>
      </c>
      <c r="CG2796" s="0" t="s">
        <v>154</v>
      </c>
      <c r="CH2796" s="0" t="s">
        <v>155</v>
      </c>
      <c r="CK2796" s="0" t="s">
        <v>154</v>
      </c>
      <c r="CL2796" s="0" t="s">
        <v>155</v>
      </c>
      <c r="CN2796" s="0" t="s">
        <v>154</v>
      </c>
      <c r="CO2796" s="0" t="s">
        <v>155</v>
      </c>
      <c r="CP2796" s="0" t="s">
        <v>154</v>
      </c>
      <c r="CQ2796" s="0" t="s">
        <v>155</v>
      </c>
      <c r="CT2796" s="0" t="s">
        <v>154</v>
      </c>
      <c r="CU2796" s="0" t="s">
        <v>155</v>
      </c>
      <c r="CV2796" s="0" t="s">
        <v>154</v>
      </c>
      <c r="CW2796" s="0" t="s">
        <v>155</v>
      </c>
      <c r="CY2796" s="0" t="s">
        <v>154</v>
      </c>
      <c r="CZ2796" s="0" t="s">
        <v>155</v>
      </c>
      <c r="DC2796" s="0" t="s">
        <v>154</v>
      </c>
      <c r="DD2796" s="0" t="s">
        <v>155</v>
      </c>
      <c r="DF2796" s="0" t="s">
        <v>154</v>
      </c>
      <c r="DG2796" s="0" t="s">
        <v>155</v>
      </c>
      <c r="DI2796" s="0" t="s">
        <v>154</v>
      </c>
      <c r="DJ2796" s="0" t="s">
        <v>155</v>
      </c>
      <c r="DL2796" s="0" t="s">
        <v>154</v>
      </c>
      <c r="DM2796" s="0" t="s">
        <v>155</v>
      </c>
      <c r="DN2796" s="0" t="s">
        <v>154</v>
      </c>
      <c r="DO2796" s="0" t="s">
        <v>155</v>
      </c>
      <c r="DR2796" s="0" t="s">
        <v>154</v>
      </c>
      <c r="DS2796" s="0" t="s">
        <v>155</v>
      </c>
      <c r="DU2796" s="0" t="s">
        <v>154</v>
      </c>
      <c r="DW2796" s="0" t="s">
        <v>155</v>
      </c>
      <c r="DX2796" s="0" t="s">
        <v>154</v>
      </c>
      <c r="EA2796" s="0" t="s">
        <v>154</v>
      </c>
      <c r="EF2796" s="0" t="s">
        <v>154</v>
      </c>
      <c r="EH2796" s="0" t="s">
        <v>155</v>
      </c>
    </row>
    <row r="2797" customFormat="false" ht="13.8" hidden="true" customHeight="false" outlineLevel="0" collapsed="false">
      <c r="A2797" s="0" t="s">
        <v>11847</v>
      </c>
      <c r="B2797" s="0" t="n">
        <v>78</v>
      </c>
      <c r="C2797" s="0" t="n">
        <v>311175</v>
      </c>
      <c r="D2797" s="0" t="s">
        <v>11848</v>
      </c>
      <c r="E2797" s="0" t="s">
        <v>4183</v>
      </c>
      <c r="F2797" s="0" t="str">
        <f aca="false">CONCATENATE(D2797," ",LEFT(H2797,4),"T=",AU2797,"D=",AV2797,"R=",AW2797,"M=",AX2797,"L=",AY2797,"B=",AZ2797)</f>
        <v>MEASE T=28D=1R=4M=0L=0B=0</v>
      </c>
      <c r="G2797" s="0" t="s">
        <v>172</v>
      </c>
      <c r="I2797" s="0" t="s">
        <v>11849</v>
      </c>
      <c r="J2797" s="0" t="s">
        <v>11850</v>
      </c>
      <c r="K2797" s="0" t="s">
        <v>175</v>
      </c>
      <c r="L2797" s="0"/>
      <c r="M2797" s="0" t="s">
        <v>11851</v>
      </c>
      <c r="N2797" s="0" t="str">
        <f aca="false">RIGHT(M2797,LEN(M2797)-FIND(" ",M2797))</f>
        <v>WEST AVE NW</v>
      </c>
      <c r="P2797" s="0" t="s">
        <v>146</v>
      </c>
      <c r="Q2797" s="0" t="s">
        <v>147</v>
      </c>
      <c r="R2797" s="0" t="n">
        <v>44483</v>
      </c>
      <c r="AD2797" s="0" t="s">
        <v>148</v>
      </c>
      <c r="AE2797" s="0" t="s">
        <v>149</v>
      </c>
      <c r="AF2797" s="0" t="s">
        <v>150</v>
      </c>
      <c r="AH2797" s="0" t="n">
        <v>14</v>
      </c>
      <c r="AI2797" s="0" t="n">
        <v>11</v>
      </c>
      <c r="AN2797" s="0" t="s">
        <v>146</v>
      </c>
      <c r="AO2797" s="0" t="s">
        <v>250</v>
      </c>
      <c r="AP2797" s="0" t="s">
        <v>251</v>
      </c>
      <c r="AQ2797" s="0" t="n">
        <v>9</v>
      </c>
      <c r="AR2797" s="0" t="n">
        <v>64</v>
      </c>
      <c r="AS2797" s="0" t="n">
        <v>32</v>
      </c>
      <c r="AU2797" s="0" t="n">
        <f aca="false">COUNTA($BA$2736:$EH$2736)</f>
        <v>28</v>
      </c>
      <c r="AV2797" s="0" t="n">
        <f aca="false">COUNTIF($BA$2736:$EH$2736,"D")</f>
        <v>1</v>
      </c>
      <c r="AW2797" s="0" t="n">
        <f aca="false">COUNTIF($BA$2736:$EH$2736,"R")</f>
        <v>4</v>
      </c>
      <c r="AX2797" s="0" t="n">
        <f aca="false">IF(BN2797="D",1,0)+IF(BO2797="D",1,0)+IF(BT2797="D",1,0)+IF(BU2797="D",1,0)+IF(BW2797="D",1,0)+IF(CC2797="D",1,0)+IF(CD2797="D",1,0)+IF(CE2797="D",1,0)+IF(CF2797="D",1,0)+IF(CL2797="D",1,0)+IF(CM2797="D",1,0)+IF(CQ2797="D",1,0)+IF(CR2797="D",1,0)+IF(CS2797="D",1,0)+IF(CW2797="D",1,0)+IF(CX2797="D",1,0)+IF(DD2797="D",1,0)+IF(DE2797="D",1,0)+IF(DJ2797="D",1,0)+IF(DK2797="D",1,0)+IF(DO2797="D",1,0)+IF(DP2797="D",1,0)+IF(DQ2797="D",1,0)+IF(DW2797="D",1,0)+IF(DZ2797="D",1,0)+IF(EH2797="D",1,0)</f>
        <v>0</v>
      </c>
      <c r="AY2797" s="0" t="n">
        <f aca="false">COUNTIF(DU2797:EH2797, "&lt;&gt;")</f>
        <v>0</v>
      </c>
      <c r="AZ2797" s="0" t="n">
        <f aca="false">IF(EH2797&lt;&gt;"",1,0)</f>
        <v>0</v>
      </c>
      <c r="BB2797" s="0" t="s">
        <v>153</v>
      </c>
      <c r="BI2797" s="0" t="s">
        <v>154</v>
      </c>
      <c r="BK2797" s="0" t="s">
        <v>154</v>
      </c>
      <c r="BL2797" s="0" t="s">
        <v>154</v>
      </c>
      <c r="BP2797" s="0" t="s">
        <v>154</v>
      </c>
    </row>
    <row r="2798" customFormat="false" ht="13.8" hidden="false" customHeight="false" outlineLevel="0" collapsed="false">
      <c r="A2798" s="0" t="s">
        <v>11852</v>
      </c>
      <c r="B2798" s="0" t="n">
        <v>78</v>
      </c>
      <c r="C2798" s="0" t="n">
        <v>455128</v>
      </c>
      <c r="D2798" s="0" t="s">
        <v>4070</v>
      </c>
      <c r="E2798" s="0" t="s">
        <v>4103</v>
      </c>
      <c r="F2798" s="0" t="str">
        <f aca="false">CONCATENATE(D2798," ",LEFT(H2798,4),"T=",AU2798,"D=",AV2798,"R=",AW2798,"M=",AX2798,"L=",AY2798,"B=",AZ2798)</f>
        <v>WHITE T=1D=0R=0M=0L=2B=0</v>
      </c>
      <c r="G2798" s="0" t="s">
        <v>181</v>
      </c>
      <c r="I2798" s="0" t="s">
        <v>11853</v>
      </c>
      <c r="J2798" s="0" t="s">
        <v>11774</v>
      </c>
      <c r="K2798" s="0" t="s">
        <v>175</v>
      </c>
      <c r="M2798" s="0" t="s">
        <v>11854</v>
      </c>
      <c r="N2798" s="0" t="str">
        <f aca="false">RIGHT(M2798,LEN(M2798)-FIND(" ",M2798))</f>
        <v>WEST AVE NW</v>
      </c>
      <c r="P2798" s="0" t="s">
        <v>146</v>
      </c>
      <c r="Q2798" s="0" t="s">
        <v>147</v>
      </c>
      <c r="R2798" s="0" t="n">
        <v>44483</v>
      </c>
      <c r="AD2798" s="0" t="s">
        <v>148</v>
      </c>
      <c r="AE2798" s="0" t="s">
        <v>149</v>
      </c>
      <c r="AF2798" s="0" t="s">
        <v>150</v>
      </c>
      <c r="AH2798" s="0" t="n">
        <v>14</v>
      </c>
      <c r="AI2798" s="0" t="n">
        <v>11</v>
      </c>
      <c r="AN2798" s="0" t="s">
        <v>146</v>
      </c>
      <c r="AO2798" s="0" t="s">
        <v>250</v>
      </c>
      <c r="AP2798" s="0" t="s">
        <v>251</v>
      </c>
      <c r="AQ2798" s="0" t="n">
        <v>9</v>
      </c>
      <c r="AR2798" s="0" t="n">
        <v>64</v>
      </c>
      <c r="AS2798" s="0" t="n">
        <v>32</v>
      </c>
      <c r="AU2798" s="0" t="n">
        <f aca="false">COUNTA($BA$2822:$EH$2822)</f>
        <v>1</v>
      </c>
      <c r="AV2798" s="0" t="n">
        <f aca="false">COUNTIF($BA$2822:$EH$2822,"D")</f>
        <v>0</v>
      </c>
      <c r="AW2798" s="0" t="n">
        <f aca="false">COUNTIF($BA$2822:$EH$2822,"R")</f>
        <v>0</v>
      </c>
      <c r="AX2798" s="0" t="n">
        <f aca="false">IF(BN2798="D",1,0)+IF(BO2798="D",1,0)+IF(BT2798="D",1,0)+IF(BU2798="D",1,0)+IF(BW2798="D",1,0)+IF(CC2798="D",1,0)+IF(CD2798="D",1,0)+IF(CE2798="D",1,0)+IF(CF2798="D",1,0)+IF(CL2798="D",1,0)+IF(CM2798="D",1,0)+IF(CQ2798="D",1,0)+IF(CR2798="D",1,0)+IF(CS2798="D",1,0)+IF(CW2798="D",1,0)+IF(CX2798="D",1,0)+IF(DD2798="D",1,0)+IF(DE2798="D",1,0)+IF(DJ2798="D",1,0)+IF(DK2798="D",1,0)+IF(DO2798="D",1,0)+IF(DP2798="D",1,0)+IF(DQ2798="D",1,0)+IF(DW2798="D",1,0)+IF(DZ2798="D",1,0)+IF(EH2798="D",1,0)</f>
        <v>0</v>
      </c>
      <c r="AY2798" s="0" t="n">
        <f aca="false">COUNTIF(DU2798:EH2798, "&lt;&gt;")</f>
        <v>2</v>
      </c>
      <c r="AZ2798" s="0" t="n">
        <f aca="false">IF(EH2798&lt;&gt;"",1,0)</f>
        <v>0</v>
      </c>
      <c r="BB2798" s="0" t="s">
        <v>153</v>
      </c>
      <c r="BJ2798" s="0" t="s">
        <v>154</v>
      </c>
      <c r="BK2798" s="0" t="s">
        <v>154</v>
      </c>
      <c r="BL2798" s="0" t="s">
        <v>154</v>
      </c>
      <c r="BS2798" s="0" t="s">
        <v>154</v>
      </c>
      <c r="BY2798" s="0" t="s">
        <v>155</v>
      </c>
      <c r="DN2798" s="0" t="s">
        <v>154</v>
      </c>
      <c r="EA2798" s="0" t="s">
        <v>154</v>
      </c>
      <c r="EF2798" s="0" t="s">
        <v>154</v>
      </c>
    </row>
    <row r="2799" customFormat="false" ht="13.8" hidden="true" customHeight="false" outlineLevel="0" collapsed="false">
      <c r="A2799" s="0" t="s">
        <v>11855</v>
      </c>
      <c r="B2799" s="0" t="n">
        <v>78</v>
      </c>
      <c r="C2799" s="0" t="n">
        <v>365920</v>
      </c>
      <c r="D2799" s="0" t="s">
        <v>11856</v>
      </c>
      <c r="E2799" s="0" t="s">
        <v>903</v>
      </c>
      <c r="F2799" s="0" t="str">
        <f aca="false">CONCATENATE(D2799," ",LEFT(H2799,4),"T=",AU2799,"D=",AV2799,"R=",AW2799,"M=",AX2799,"L=",AY2799,"B=",AZ2799)</f>
        <v>WOODFORD T=14D=2R=1M=0L=0B=0</v>
      </c>
      <c r="G2799" s="0" t="s">
        <v>188</v>
      </c>
      <c r="I2799" s="0" t="s">
        <v>11857</v>
      </c>
      <c r="J2799" s="0" t="s">
        <v>11858</v>
      </c>
      <c r="K2799" s="0" t="s">
        <v>144</v>
      </c>
      <c r="L2799" s="0"/>
      <c r="M2799" s="0" t="s">
        <v>11859</v>
      </c>
      <c r="N2799" s="0" t="str">
        <f aca="false">RIGHT(M2799,LEN(M2799)-FIND(" ",M2799))</f>
        <v>WEST AVE NW</v>
      </c>
      <c r="P2799" s="0" t="s">
        <v>146</v>
      </c>
      <c r="Q2799" s="0" t="s">
        <v>147</v>
      </c>
      <c r="R2799" s="0" t="n">
        <v>44483</v>
      </c>
      <c r="AD2799" s="0" t="s">
        <v>148</v>
      </c>
      <c r="AE2799" s="0" t="s">
        <v>149</v>
      </c>
      <c r="AF2799" s="0" t="s">
        <v>150</v>
      </c>
      <c r="AH2799" s="0" t="n">
        <v>14</v>
      </c>
      <c r="AI2799" s="0" t="n">
        <v>11</v>
      </c>
      <c r="AN2799" s="0" t="s">
        <v>146</v>
      </c>
      <c r="AO2799" s="0" t="s">
        <v>250</v>
      </c>
      <c r="AP2799" s="0" t="s">
        <v>251</v>
      </c>
      <c r="AQ2799" s="0" t="n">
        <v>9</v>
      </c>
      <c r="AR2799" s="0" t="n">
        <v>64</v>
      </c>
      <c r="AS2799" s="0" t="n">
        <v>32</v>
      </c>
      <c r="AU2799" s="0" t="n">
        <f aca="false">COUNTA($BA$2203:$EH$2203)</f>
        <v>14</v>
      </c>
      <c r="AV2799" s="0" t="n">
        <f aca="false">COUNTIF($BA$2203:$EH$2203,"D")</f>
        <v>2</v>
      </c>
      <c r="AW2799" s="0" t="n">
        <f aca="false">COUNTIF($BA$2203:$EH$2203,"R")</f>
        <v>1</v>
      </c>
      <c r="AX2799" s="0" t="n">
        <f aca="false">IF(BN2799="D",1,0)+IF(BO2799="D",1,0)+IF(BT2799="D",1,0)+IF(BU2799="D",1,0)+IF(BW2799="D",1,0)+IF(CC2799="D",1,0)+IF(CD2799="D",1,0)+IF(CE2799="D",1,0)+IF(CF2799="D",1,0)+IF(CL2799="D",1,0)+IF(CM2799="D",1,0)+IF(CQ2799="D",1,0)+IF(CR2799="D",1,0)+IF(CS2799="D",1,0)+IF(CW2799="D",1,0)+IF(CX2799="D",1,0)+IF(DD2799="D",1,0)+IF(DE2799="D",1,0)+IF(DJ2799="D",1,0)+IF(DK2799="D",1,0)+IF(DO2799="D",1,0)+IF(DP2799="D",1,0)+IF(DQ2799="D",1,0)+IF(DW2799="D",1,0)+IF(DZ2799="D",1,0)+IF(EH2799="D",1,0)</f>
        <v>0</v>
      </c>
      <c r="AY2799" s="0" t="n">
        <f aca="false">COUNTIF(DU2799:EH2799, "&lt;&gt;")</f>
        <v>0</v>
      </c>
      <c r="AZ2799" s="0" t="n">
        <f aca="false">IF(EH2799&lt;&gt;"",1,0)</f>
        <v>0</v>
      </c>
      <c r="BB2799" s="0" t="s">
        <v>153</v>
      </c>
    </row>
    <row r="2800" customFormat="false" ht="13.8" hidden="true" customHeight="false" outlineLevel="0" collapsed="false">
      <c r="A2800" s="0" t="s">
        <v>11860</v>
      </c>
      <c r="B2800" s="0" t="n">
        <v>78</v>
      </c>
      <c r="C2800" s="0" t="n">
        <v>458770</v>
      </c>
      <c r="D2800" s="0" t="s">
        <v>11861</v>
      </c>
      <c r="E2800" s="0" t="s">
        <v>6513</v>
      </c>
      <c r="F2800" s="0" t="str">
        <f aca="false">CONCATENATE(D2800," ",LEFT(H2800,4),"T=",AU2800,"D=",AV2800,"R=",AW2800,"M=",AX2800,"L=",AY2800,"B=",AZ2800)</f>
        <v>GOSS T=23D=6R=0M=0L=0B=0</v>
      </c>
      <c r="G2800" s="0" t="s">
        <v>11862</v>
      </c>
      <c r="I2800" s="0" t="s">
        <v>11863</v>
      </c>
      <c r="J2800" s="0" t="s">
        <v>7407</v>
      </c>
      <c r="K2800" s="0" t="s">
        <v>175</v>
      </c>
      <c r="L2800" s="0"/>
      <c r="M2800" s="0" t="s">
        <v>11859</v>
      </c>
      <c r="N2800" s="0" t="str">
        <f aca="false">RIGHT(M2800,LEN(M2800)-FIND(" ",M2800))</f>
        <v>WEST AVE NW</v>
      </c>
      <c r="P2800" s="0" t="s">
        <v>146</v>
      </c>
      <c r="Q2800" s="0" t="s">
        <v>147</v>
      </c>
      <c r="R2800" s="0" t="n">
        <v>44483</v>
      </c>
      <c r="AD2800" s="0" t="s">
        <v>148</v>
      </c>
      <c r="AE2800" s="0" t="s">
        <v>149</v>
      </c>
      <c r="AF2800" s="0" t="s">
        <v>150</v>
      </c>
      <c r="AH2800" s="0" t="n">
        <v>14</v>
      </c>
      <c r="AI2800" s="0" t="n">
        <v>11</v>
      </c>
      <c r="AN2800" s="0" t="s">
        <v>146</v>
      </c>
      <c r="AO2800" s="0" t="s">
        <v>250</v>
      </c>
      <c r="AP2800" s="0" t="s">
        <v>251</v>
      </c>
      <c r="AQ2800" s="0" t="n">
        <v>9</v>
      </c>
      <c r="AR2800" s="0" t="n">
        <v>64</v>
      </c>
      <c r="AS2800" s="0" t="n">
        <v>32</v>
      </c>
      <c r="AU2800" s="0" t="n">
        <f aca="false">COUNTA($BA$2526:$EH$2526)</f>
        <v>23</v>
      </c>
      <c r="AV2800" s="0" t="n">
        <f aca="false">COUNTIF($BA$2526:$EH$2526,"D")</f>
        <v>6</v>
      </c>
      <c r="AW2800" s="0" t="n">
        <f aca="false">COUNTIF($BA$2526:$EH$2526,"R")</f>
        <v>0</v>
      </c>
      <c r="AX2800" s="0" t="n">
        <f aca="false">IF(BN2800="D",1,0)+IF(BO2800="D",1,0)+IF(BT2800="D",1,0)+IF(BU2800="D",1,0)+IF(BW2800="D",1,0)+IF(CC2800="D",1,0)+IF(CD2800="D",1,0)+IF(CE2800="D",1,0)+IF(CF2800="D",1,0)+IF(CL2800="D",1,0)+IF(CM2800="D",1,0)+IF(CQ2800="D",1,0)+IF(CR2800="D",1,0)+IF(CS2800="D",1,0)+IF(CW2800="D",1,0)+IF(CX2800="D",1,0)+IF(DD2800="D",1,0)+IF(DE2800="D",1,0)+IF(DJ2800="D",1,0)+IF(DK2800="D",1,0)+IF(DO2800="D",1,0)+IF(DP2800="D",1,0)+IF(DQ2800="D",1,0)+IF(DW2800="D",1,0)+IF(DZ2800="D",1,0)+IF(EH2800="D",1,0)</f>
        <v>0</v>
      </c>
      <c r="AY2800" s="0" t="n">
        <f aca="false">COUNTIF(DU2800:EH2800, "&lt;&gt;")</f>
        <v>0</v>
      </c>
      <c r="AZ2800" s="0" t="n">
        <f aca="false">IF(EH2800&lt;&gt;"",1,0)</f>
        <v>0</v>
      </c>
      <c r="BB2800" s="0" t="s">
        <v>153</v>
      </c>
    </row>
    <row r="2801" customFormat="false" ht="13.8" hidden="true" customHeight="false" outlineLevel="0" collapsed="false">
      <c r="A2801" s="0" t="s">
        <v>11864</v>
      </c>
      <c r="B2801" s="0" t="n">
        <v>78</v>
      </c>
      <c r="C2801" s="0" t="n">
        <v>381586</v>
      </c>
      <c r="D2801" s="0" t="s">
        <v>7209</v>
      </c>
      <c r="E2801" s="0" t="s">
        <v>1063</v>
      </c>
      <c r="F2801" s="0" t="str">
        <f aca="false">CONCATENATE(D2801," ",LEFT(H2801,4),"T=",AU2801,"D=",AV2801,"R=",AW2801,"M=",AX2801,"L=",AY2801,"B=",AZ2801)</f>
        <v>FISHER T=28D=1R=3M=0L=0B=0</v>
      </c>
      <c r="G2801" s="0" t="s">
        <v>317</v>
      </c>
      <c r="I2801" s="0" t="s">
        <v>11865</v>
      </c>
      <c r="J2801" s="0" t="s">
        <v>764</v>
      </c>
      <c r="K2801" s="0" t="s">
        <v>144</v>
      </c>
      <c r="L2801" s="0"/>
      <c r="M2801" s="0" t="s">
        <v>11859</v>
      </c>
      <c r="N2801" s="0" t="str">
        <f aca="false">RIGHT(M2801,LEN(M2801)-FIND(" ",M2801))</f>
        <v>WEST AVE NW</v>
      </c>
      <c r="P2801" s="0" t="s">
        <v>146</v>
      </c>
      <c r="Q2801" s="0" t="s">
        <v>147</v>
      </c>
      <c r="R2801" s="0" t="n">
        <v>44483</v>
      </c>
      <c r="AD2801" s="0" t="s">
        <v>148</v>
      </c>
      <c r="AE2801" s="0" t="s">
        <v>149</v>
      </c>
      <c r="AF2801" s="0" t="s">
        <v>150</v>
      </c>
      <c r="AH2801" s="0" t="n">
        <v>14</v>
      </c>
      <c r="AI2801" s="0" t="n">
        <v>11</v>
      </c>
      <c r="AN2801" s="0" t="s">
        <v>146</v>
      </c>
      <c r="AO2801" s="0" t="s">
        <v>250</v>
      </c>
      <c r="AP2801" s="0" t="s">
        <v>251</v>
      </c>
      <c r="AQ2801" s="0" t="n">
        <v>9</v>
      </c>
      <c r="AR2801" s="0" t="n">
        <v>64</v>
      </c>
      <c r="AS2801" s="0" t="n">
        <v>32</v>
      </c>
      <c r="AU2801" s="0" t="n">
        <f aca="false">COUNTA($BA$2716:$EH$2716)</f>
        <v>28</v>
      </c>
      <c r="AV2801" s="0" t="n">
        <f aca="false">COUNTIF($BA$2716:$EH$2716,"D")</f>
        <v>1</v>
      </c>
      <c r="AW2801" s="0" t="n">
        <f aca="false">COUNTIF($BA$2716:$EH$2716,"R")</f>
        <v>3</v>
      </c>
      <c r="AX2801" s="0" t="n">
        <f aca="false">IF(BN2801="D",1,0)+IF(BO2801="D",1,0)+IF(BT2801="D",1,0)+IF(BU2801="D",1,0)+IF(BW2801="D",1,0)+IF(CC2801="D",1,0)+IF(CD2801="D",1,0)+IF(CE2801="D",1,0)+IF(CF2801="D",1,0)+IF(CL2801="D",1,0)+IF(CM2801="D",1,0)+IF(CQ2801="D",1,0)+IF(CR2801="D",1,0)+IF(CS2801="D",1,0)+IF(CW2801="D",1,0)+IF(CX2801="D",1,0)+IF(DD2801="D",1,0)+IF(DE2801="D",1,0)+IF(DJ2801="D",1,0)+IF(DK2801="D",1,0)+IF(DO2801="D",1,0)+IF(DP2801="D",1,0)+IF(DQ2801="D",1,0)+IF(DW2801="D",1,0)+IF(DZ2801="D",1,0)+IF(EH2801="D",1,0)</f>
        <v>0</v>
      </c>
      <c r="AY2801" s="0" t="n">
        <f aca="false">COUNTIF(DU2801:EH2801, "&lt;&gt;")</f>
        <v>0</v>
      </c>
      <c r="AZ2801" s="0" t="n">
        <f aca="false">IF(EH2801&lt;&gt;"",1,0)</f>
        <v>0</v>
      </c>
      <c r="BB2801" s="0" t="s">
        <v>153</v>
      </c>
    </row>
    <row r="2802" customFormat="false" ht="13.8" hidden="true" customHeight="false" outlineLevel="0" collapsed="false">
      <c r="A2802" s="0" t="s">
        <v>11866</v>
      </c>
      <c r="B2802" s="0" t="n">
        <v>78</v>
      </c>
      <c r="C2802" s="0" t="n">
        <v>307903</v>
      </c>
      <c r="D2802" s="0" t="s">
        <v>7902</v>
      </c>
      <c r="E2802" s="0" t="s">
        <v>1916</v>
      </c>
      <c r="F2802" s="0" t="str">
        <f aca="false">CONCATENATE(D2802," ",LEFT(H2802,4),"T=",AU2802,"D=",AV2802,"R=",AW2802,"M=",AX2802,"L=",AY2802,"B=",AZ2802)</f>
        <v>SIMMONS T=2D=0R=0M=0L=0B=0</v>
      </c>
      <c r="G2802" s="0" t="s">
        <v>11867</v>
      </c>
      <c r="I2802" s="0" t="s">
        <v>11868</v>
      </c>
      <c r="J2802" s="0" t="s">
        <v>11869</v>
      </c>
      <c r="K2802" s="0" t="s">
        <v>175</v>
      </c>
      <c r="L2802" s="0"/>
      <c r="M2802" s="0" t="s">
        <v>11859</v>
      </c>
      <c r="N2802" s="0" t="str">
        <f aca="false">RIGHT(M2802,LEN(M2802)-FIND(" ",M2802))</f>
        <v>WEST AVE NW</v>
      </c>
      <c r="P2802" s="0" t="s">
        <v>146</v>
      </c>
      <c r="Q2802" s="0" t="s">
        <v>147</v>
      </c>
      <c r="R2802" s="0" t="n">
        <v>44483</v>
      </c>
      <c r="AD2802" s="0" t="s">
        <v>148</v>
      </c>
      <c r="AE2802" s="0" t="s">
        <v>149</v>
      </c>
      <c r="AF2802" s="0" t="s">
        <v>150</v>
      </c>
      <c r="AH2802" s="0" t="n">
        <v>14</v>
      </c>
      <c r="AI2802" s="0" t="n">
        <v>11</v>
      </c>
      <c r="AN2802" s="0" t="s">
        <v>146</v>
      </c>
      <c r="AO2802" s="0" t="s">
        <v>250</v>
      </c>
      <c r="AP2802" s="0" t="s">
        <v>251</v>
      </c>
      <c r="AQ2802" s="0" t="n">
        <v>9</v>
      </c>
      <c r="AR2802" s="0" t="n">
        <v>64</v>
      </c>
      <c r="AS2802" s="0" t="n">
        <v>32</v>
      </c>
      <c r="AU2802" s="0" t="n">
        <f aca="false">COUNTA($BA$2768:$EH$2768)</f>
        <v>2</v>
      </c>
      <c r="AV2802" s="0" t="n">
        <f aca="false">COUNTIF($BA$2768:$EH$2768,"D")</f>
        <v>0</v>
      </c>
      <c r="AW2802" s="0" t="n">
        <f aca="false">COUNTIF($BA$2768:$EH$2768,"R")</f>
        <v>0</v>
      </c>
      <c r="AX2802" s="0" t="n">
        <f aca="false">IF(BN2802="D",1,0)+IF(BO2802="D",1,0)+IF(BT2802="D",1,0)+IF(BU2802="D",1,0)+IF(BW2802="D",1,0)+IF(CC2802="D",1,0)+IF(CD2802="D",1,0)+IF(CE2802="D",1,0)+IF(CF2802="D",1,0)+IF(CL2802="D",1,0)+IF(CM2802="D",1,0)+IF(CQ2802="D",1,0)+IF(CR2802="D",1,0)+IF(CS2802="D",1,0)+IF(CW2802="D",1,0)+IF(CX2802="D",1,0)+IF(DD2802="D",1,0)+IF(DE2802="D",1,0)+IF(DJ2802="D",1,0)+IF(DK2802="D",1,0)+IF(DO2802="D",1,0)+IF(DP2802="D",1,0)+IF(DQ2802="D",1,0)+IF(DW2802="D",1,0)+IF(DZ2802="D",1,0)+IF(EH2802="D",1,0)</f>
        <v>0</v>
      </c>
      <c r="AY2802" s="0" t="n">
        <f aca="false">COUNTIF(DU2802:EH2802, "&lt;&gt;")</f>
        <v>0</v>
      </c>
      <c r="AZ2802" s="0" t="n">
        <f aca="false">IF(EH2802&lt;&gt;"",1,0)</f>
        <v>0</v>
      </c>
      <c r="BB2802" s="0" t="s">
        <v>153</v>
      </c>
      <c r="BL2802" s="0" t="s">
        <v>154</v>
      </c>
      <c r="BY2802" s="0" t="s">
        <v>155</v>
      </c>
      <c r="DG2802" s="0" t="s">
        <v>155</v>
      </c>
    </row>
    <row r="2803" customFormat="false" ht="13.8" hidden="false" customHeight="false" outlineLevel="0" collapsed="false">
      <c r="A2803" s="0" t="s">
        <v>11870</v>
      </c>
      <c r="B2803" s="0" t="n">
        <v>78</v>
      </c>
      <c r="C2803" s="0" t="n">
        <v>6741</v>
      </c>
      <c r="D2803" s="0" t="s">
        <v>1420</v>
      </c>
      <c r="E2803" s="0" t="s">
        <v>11871</v>
      </c>
      <c r="F2803" s="0" t="str">
        <f aca="false">CONCATENATE(D2803," ",LEFT(H2803,4),"T=",AU2803,"D=",AV2803,"R=",AW2803,"M=",AX2803,"L=",AY2803,"B=",AZ2803)</f>
        <v>BRYANT T=20D=3R=0M=8L=5B=0</v>
      </c>
      <c r="I2803" s="0" t="s">
        <v>11872</v>
      </c>
      <c r="J2803" s="0" t="s">
        <v>2344</v>
      </c>
      <c r="K2803" s="0" t="s">
        <v>175</v>
      </c>
      <c r="L2803" s="1" t="s">
        <v>155</v>
      </c>
      <c r="M2803" s="0" t="s">
        <v>11873</v>
      </c>
      <c r="N2803" s="0" t="str">
        <f aca="false">RIGHT(M2803,LEN(M2803)-FIND(" ",M2803))</f>
        <v>WEST AVE NW</v>
      </c>
      <c r="P2803" s="0" t="s">
        <v>146</v>
      </c>
      <c r="Q2803" s="0" t="s">
        <v>147</v>
      </c>
      <c r="R2803" s="0" t="n">
        <v>44483</v>
      </c>
      <c r="AD2803" s="0" t="s">
        <v>148</v>
      </c>
      <c r="AE2803" s="0" t="s">
        <v>149</v>
      </c>
      <c r="AF2803" s="0" t="s">
        <v>150</v>
      </c>
      <c r="AH2803" s="0" t="n">
        <v>14</v>
      </c>
      <c r="AI2803" s="0" t="n">
        <v>11</v>
      </c>
      <c r="AN2803" s="0" t="s">
        <v>146</v>
      </c>
      <c r="AO2803" s="0" t="s">
        <v>250</v>
      </c>
      <c r="AP2803" s="0" t="s">
        <v>251</v>
      </c>
      <c r="AQ2803" s="0" t="n">
        <v>9</v>
      </c>
      <c r="AR2803" s="0" t="n">
        <v>64</v>
      </c>
      <c r="AS2803" s="0" t="n">
        <v>32</v>
      </c>
      <c r="AU2803" s="0" t="n">
        <f aca="false">COUNTA($BA$2297:$EH$2297)</f>
        <v>20</v>
      </c>
      <c r="AV2803" s="0" t="n">
        <f aca="false">COUNTIF($BA$2297:$EH$2297,"D")</f>
        <v>3</v>
      </c>
      <c r="AW2803" s="0" t="n">
        <f aca="false">COUNTIF($BA$2297:$EH$2297,"R")</f>
        <v>0</v>
      </c>
      <c r="AX2803" s="0" t="n">
        <f aca="false">IF(BN2803="D",1,0)+IF(BO2803="D",1,0)+IF(BT2803="D",1,0)+IF(BU2803="D",1,0)+IF(BW2803="D",1,0)+IF(CC2803="D",1,0)+IF(CD2803="D",1,0)+IF(CE2803="D",1,0)+IF(CF2803="D",1,0)+IF(CL2803="D",1,0)+IF(CM2803="D",1,0)+IF(CQ2803="D",1,0)+IF(CR2803="D",1,0)+IF(CS2803="D",1,0)+IF(CW2803="D",1,0)+IF(CX2803="D",1,0)+IF(DD2803="D",1,0)+IF(DE2803="D",1,0)+IF(DJ2803="D",1,0)+IF(DK2803="D",1,0)+IF(DO2803="D",1,0)+IF(DP2803="D",1,0)+IF(DQ2803="D",1,0)+IF(DW2803="D",1,0)+IF(DZ2803="D",1,0)+IF(EH2803="D",1,0)</f>
        <v>8</v>
      </c>
      <c r="AY2803" s="0" t="n">
        <f aca="false">COUNTIF(DU2803:EH2803, "&lt;&gt;")</f>
        <v>5</v>
      </c>
      <c r="AZ2803" s="0" t="n">
        <f aca="false">IF(EH2803&lt;&gt;"",1,0)</f>
        <v>0</v>
      </c>
      <c r="BB2803" s="0" t="s">
        <v>153</v>
      </c>
      <c r="BC2803" s="0" t="s">
        <v>154</v>
      </c>
      <c r="BD2803" s="0" t="s">
        <v>154</v>
      </c>
      <c r="BE2803" s="0" t="s">
        <v>154</v>
      </c>
      <c r="BF2803" s="0" t="s">
        <v>154</v>
      </c>
      <c r="BG2803" s="0" t="s">
        <v>154</v>
      </c>
      <c r="BH2803" s="0" t="s">
        <v>154</v>
      </c>
      <c r="BI2803" s="0" t="s">
        <v>154</v>
      </c>
      <c r="BJ2803" s="0" t="s">
        <v>154</v>
      </c>
      <c r="BK2803" s="0" t="s">
        <v>154</v>
      </c>
      <c r="BL2803" s="0" t="s">
        <v>154</v>
      </c>
      <c r="BP2803" s="0" t="s">
        <v>154</v>
      </c>
      <c r="BR2803" s="0" t="s">
        <v>154</v>
      </c>
      <c r="BS2803" s="0" t="s">
        <v>154</v>
      </c>
      <c r="BV2803" s="0" t="s">
        <v>154</v>
      </c>
      <c r="BY2803" s="0" t="s">
        <v>155</v>
      </c>
      <c r="CA2803" s="0" t="s">
        <v>154</v>
      </c>
      <c r="CC2803" s="0" t="s">
        <v>155</v>
      </c>
      <c r="CG2803" s="0" t="s">
        <v>154</v>
      </c>
      <c r="CH2803" s="0" t="s">
        <v>155</v>
      </c>
      <c r="CK2803" s="0" t="s">
        <v>154</v>
      </c>
      <c r="CL2803" s="0" t="s">
        <v>155</v>
      </c>
      <c r="CN2803" s="0" t="s">
        <v>154</v>
      </c>
      <c r="CP2803" s="0" t="s">
        <v>154</v>
      </c>
      <c r="CQ2803" s="0" t="s">
        <v>155</v>
      </c>
      <c r="CT2803" s="0" t="s">
        <v>154</v>
      </c>
      <c r="CU2803" s="0" t="s">
        <v>155</v>
      </c>
      <c r="CV2803" s="0" t="s">
        <v>154</v>
      </c>
      <c r="CW2803" s="0" t="s">
        <v>155</v>
      </c>
      <c r="CY2803" s="0" t="s">
        <v>154</v>
      </c>
      <c r="CZ2803" s="0" t="s">
        <v>155</v>
      </c>
      <c r="DC2803" s="0" t="s">
        <v>154</v>
      </c>
      <c r="DD2803" s="0" t="s">
        <v>155</v>
      </c>
      <c r="DF2803" s="0" t="s">
        <v>154</v>
      </c>
      <c r="DG2803" s="0" t="s">
        <v>155</v>
      </c>
      <c r="DI2803" s="0" t="s">
        <v>154</v>
      </c>
      <c r="DJ2803" s="0" t="s">
        <v>155</v>
      </c>
      <c r="DL2803" s="0" t="s">
        <v>154</v>
      </c>
      <c r="DM2803" s="0" t="s">
        <v>155</v>
      </c>
      <c r="DN2803" s="0" t="s">
        <v>154</v>
      </c>
      <c r="DO2803" s="0" t="s">
        <v>155</v>
      </c>
      <c r="DR2803" s="0" t="s">
        <v>154</v>
      </c>
      <c r="DS2803" s="0" t="s">
        <v>155</v>
      </c>
      <c r="DT2803" s="0" t="s">
        <v>155</v>
      </c>
      <c r="DU2803" s="0" t="s">
        <v>154</v>
      </c>
      <c r="DW2803" s="0" t="s">
        <v>155</v>
      </c>
      <c r="DX2803" s="0" t="s">
        <v>154</v>
      </c>
      <c r="EA2803" s="0" t="s">
        <v>154</v>
      </c>
      <c r="EF2803" s="0" t="s">
        <v>154</v>
      </c>
    </row>
    <row r="2804" customFormat="false" ht="13.8" hidden="false" customHeight="false" outlineLevel="0" collapsed="false">
      <c r="A2804" s="0" t="s">
        <v>11874</v>
      </c>
      <c r="B2804" s="0" t="n">
        <v>78</v>
      </c>
      <c r="C2804" s="0" t="n">
        <v>465048</v>
      </c>
      <c r="D2804" s="0" t="s">
        <v>11875</v>
      </c>
      <c r="E2804" s="0" t="s">
        <v>11876</v>
      </c>
      <c r="F2804" s="0" t="str">
        <f aca="false">CONCATENATE(D2804," ",LEFT(H2804,4),"T=",AU2804,"D=",AV2804,"R=",AW2804,"M=",AX2804,"L=",AY2804,"B=",AZ2804)</f>
        <v>BRYANT BRIGGS T=31D=4R=0M=1L=4B=0</v>
      </c>
      <c r="G2804" s="0" t="s">
        <v>11877</v>
      </c>
      <c r="I2804" s="0" t="s">
        <v>11878</v>
      </c>
      <c r="J2804" s="0" t="s">
        <v>712</v>
      </c>
      <c r="K2804" s="0" t="s">
        <v>175</v>
      </c>
      <c r="L2804" s="1" t="s">
        <v>155</v>
      </c>
      <c r="M2804" s="0" t="s">
        <v>11873</v>
      </c>
      <c r="N2804" s="0" t="str">
        <f aca="false">RIGHT(M2804,LEN(M2804)-FIND(" ",M2804))</f>
        <v>WEST AVE NW</v>
      </c>
      <c r="P2804" s="0" t="s">
        <v>146</v>
      </c>
      <c r="Q2804" s="0" t="s">
        <v>147</v>
      </c>
      <c r="R2804" s="0" t="n">
        <v>44483</v>
      </c>
      <c r="AD2804" s="0" t="s">
        <v>148</v>
      </c>
      <c r="AE2804" s="0" t="s">
        <v>149</v>
      </c>
      <c r="AF2804" s="0" t="s">
        <v>150</v>
      </c>
      <c r="AH2804" s="0" t="n">
        <v>14</v>
      </c>
      <c r="AI2804" s="0" t="n">
        <v>11</v>
      </c>
      <c r="AN2804" s="0" t="s">
        <v>146</v>
      </c>
      <c r="AO2804" s="0" t="s">
        <v>250</v>
      </c>
      <c r="AP2804" s="0" t="s">
        <v>251</v>
      </c>
      <c r="AQ2804" s="0" t="n">
        <v>9</v>
      </c>
      <c r="AR2804" s="0" t="n">
        <v>64</v>
      </c>
      <c r="AS2804" s="0" t="n">
        <v>32</v>
      </c>
      <c r="AU2804" s="0" t="n">
        <f aca="false">COUNTA($BA$2650:$EH$2650)</f>
        <v>31</v>
      </c>
      <c r="AV2804" s="0" t="n">
        <f aca="false">COUNTIF($BA$2650:$EH$2650,"D")</f>
        <v>4</v>
      </c>
      <c r="AW2804" s="0" t="n">
        <f aca="false">COUNTIF($BA$2650:$EH$2650,"R")</f>
        <v>0</v>
      </c>
      <c r="AX2804" s="0" t="n">
        <f aca="false">IF(BN2804="D",1,0)+IF(BO2804="D",1,0)+IF(BT2804="D",1,0)+IF(BU2804="D",1,0)+IF(BW2804="D",1,0)+IF(CC2804="D",1,0)+IF(CD2804="D",1,0)+IF(CE2804="D",1,0)+IF(CF2804="D",1,0)+IF(CL2804="D",1,0)+IF(CM2804="D",1,0)+IF(CQ2804="D",1,0)+IF(CR2804="D",1,0)+IF(CS2804="D",1,0)+IF(CW2804="D",1,0)+IF(CX2804="D",1,0)+IF(DD2804="D",1,0)+IF(DE2804="D",1,0)+IF(DJ2804="D",1,0)+IF(DK2804="D",1,0)+IF(DO2804="D",1,0)+IF(DP2804="D",1,0)+IF(DQ2804="D",1,0)+IF(DW2804="D",1,0)+IF(DZ2804="D",1,0)+IF(EH2804="D",1,0)</f>
        <v>1</v>
      </c>
      <c r="AY2804" s="0" t="n">
        <f aca="false">COUNTIF(DU2804:EH2804, "&lt;&gt;")</f>
        <v>4</v>
      </c>
      <c r="AZ2804" s="0" t="n">
        <f aca="false">IF(EH2804&lt;&gt;"",1,0)</f>
        <v>0</v>
      </c>
      <c r="BB2804" s="0" t="s">
        <v>153</v>
      </c>
      <c r="DU2804" s="0" t="s">
        <v>154</v>
      </c>
      <c r="DW2804" s="0" t="s">
        <v>155</v>
      </c>
      <c r="EA2804" s="0" t="s">
        <v>154</v>
      </c>
      <c r="EF2804" s="0" t="s">
        <v>154</v>
      </c>
    </row>
    <row r="2805" customFormat="false" ht="13.8" hidden="false" customHeight="false" outlineLevel="0" collapsed="false">
      <c r="A2805" s="0" t="s">
        <v>11879</v>
      </c>
      <c r="B2805" s="0" t="n">
        <v>78</v>
      </c>
      <c r="C2805" s="0" t="n">
        <v>304883</v>
      </c>
      <c r="D2805" s="0" t="s">
        <v>2551</v>
      </c>
      <c r="E2805" s="0" t="s">
        <v>11880</v>
      </c>
      <c r="F2805" s="0" t="str">
        <f aca="false">CONCATENATE(D2805," ",LEFT(H2805,4),"T=",AU2805,"D=",AV2805,"R=",AW2805,"M=",AX2805,"L=",AY2805,"B=",AZ2805)</f>
        <v>FRANKLIN T=3D=0R=0M=3L=5B=0</v>
      </c>
      <c r="G2805" s="0" t="s">
        <v>939</v>
      </c>
      <c r="I2805" s="0" t="s">
        <v>11881</v>
      </c>
      <c r="J2805" s="0" t="s">
        <v>757</v>
      </c>
      <c r="K2805" s="0" t="s">
        <v>175</v>
      </c>
      <c r="L2805" s="1" t="s">
        <v>155</v>
      </c>
      <c r="M2805" s="0" t="s">
        <v>11873</v>
      </c>
      <c r="N2805" s="0" t="str">
        <f aca="false">RIGHT(M2805,LEN(M2805)-FIND(" ",M2805))</f>
        <v>WEST AVE NW</v>
      </c>
      <c r="P2805" s="0" t="s">
        <v>146</v>
      </c>
      <c r="Q2805" s="0" t="s">
        <v>147</v>
      </c>
      <c r="R2805" s="0" t="n">
        <v>44483</v>
      </c>
      <c r="AD2805" s="0" t="s">
        <v>148</v>
      </c>
      <c r="AE2805" s="0" t="s">
        <v>149</v>
      </c>
      <c r="AF2805" s="0" t="s">
        <v>150</v>
      </c>
      <c r="AH2805" s="0" t="n">
        <v>14</v>
      </c>
      <c r="AI2805" s="0" t="n">
        <v>11</v>
      </c>
      <c r="AN2805" s="0" t="s">
        <v>146</v>
      </c>
      <c r="AO2805" s="0" t="s">
        <v>250</v>
      </c>
      <c r="AP2805" s="0" t="s">
        <v>251</v>
      </c>
      <c r="AQ2805" s="0" t="n">
        <v>9</v>
      </c>
      <c r="AR2805" s="0" t="n">
        <v>64</v>
      </c>
      <c r="AS2805" s="0" t="n">
        <v>32</v>
      </c>
      <c r="AU2805" s="0" t="n">
        <f aca="false">COUNTA($BA$2661:$EH$2661)</f>
        <v>3</v>
      </c>
      <c r="AV2805" s="0" t="n">
        <f aca="false">COUNTIF($BA$2661:$EH$2661,"D")</f>
        <v>0</v>
      </c>
      <c r="AW2805" s="0" t="n">
        <f aca="false">COUNTIF($BA$2661:$EH$2661,"R")</f>
        <v>0</v>
      </c>
      <c r="AX2805" s="0" t="n">
        <f aca="false">IF(BN2805="D",1,0)+IF(BO2805="D",1,0)+IF(BT2805="D",1,0)+IF(BU2805="D",1,0)+IF(BW2805="D",1,0)+IF(CC2805="D",1,0)+IF(CD2805="D",1,0)+IF(CE2805="D",1,0)+IF(CF2805="D",1,0)+IF(CL2805="D",1,0)+IF(CM2805="D",1,0)+IF(CQ2805="D",1,0)+IF(CR2805="D",1,0)+IF(CS2805="D",1,0)+IF(CW2805="D",1,0)+IF(CX2805="D",1,0)+IF(DD2805="D",1,0)+IF(DE2805="D",1,0)+IF(DJ2805="D",1,0)+IF(DK2805="D",1,0)+IF(DO2805="D",1,0)+IF(DP2805="D",1,0)+IF(DQ2805="D",1,0)+IF(DW2805="D",1,0)+IF(DZ2805="D",1,0)+IF(EH2805="D",1,0)</f>
        <v>3</v>
      </c>
      <c r="AY2805" s="0" t="n">
        <f aca="false">COUNTIF(DU2805:EH2805, "&lt;&gt;")</f>
        <v>5</v>
      </c>
      <c r="AZ2805" s="0" t="n">
        <f aca="false">IF(EH2805&lt;&gt;"",1,0)</f>
        <v>0</v>
      </c>
      <c r="BB2805" s="0" t="s">
        <v>153</v>
      </c>
      <c r="BL2805" s="0" t="s">
        <v>154</v>
      </c>
      <c r="BS2805" s="0" t="s">
        <v>154</v>
      </c>
      <c r="BY2805" s="0" t="s">
        <v>155</v>
      </c>
      <c r="CA2805" s="0" t="s">
        <v>154</v>
      </c>
      <c r="CG2805" s="0" t="s">
        <v>154</v>
      </c>
      <c r="CK2805" s="0" t="s">
        <v>154</v>
      </c>
      <c r="CL2805" s="0" t="s">
        <v>155</v>
      </c>
      <c r="CN2805" s="0" t="s">
        <v>154</v>
      </c>
      <c r="CP2805" s="0" t="s">
        <v>154</v>
      </c>
      <c r="CT2805" s="0" t="s">
        <v>154</v>
      </c>
      <c r="CU2805" s="0" t="s">
        <v>155</v>
      </c>
      <c r="CV2805" s="0" t="s">
        <v>154</v>
      </c>
      <c r="CY2805" s="0" t="s">
        <v>154</v>
      </c>
      <c r="CZ2805" s="0" t="s">
        <v>155</v>
      </c>
      <c r="DC2805" s="0" t="s">
        <v>154</v>
      </c>
      <c r="DF2805" s="0" t="s">
        <v>154</v>
      </c>
      <c r="DG2805" s="0" t="s">
        <v>155</v>
      </c>
      <c r="DI2805" s="0" t="s">
        <v>154</v>
      </c>
      <c r="DJ2805" s="0" t="s">
        <v>155</v>
      </c>
      <c r="DL2805" s="0" t="s">
        <v>154</v>
      </c>
      <c r="DN2805" s="0" t="s">
        <v>154</v>
      </c>
      <c r="DU2805" s="0" t="s">
        <v>154</v>
      </c>
      <c r="DW2805" s="0" t="s">
        <v>155</v>
      </c>
      <c r="DX2805" s="0" t="s">
        <v>154</v>
      </c>
      <c r="EA2805" s="0" t="s">
        <v>154</v>
      </c>
      <c r="EF2805" s="0" t="s">
        <v>154</v>
      </c>
    </row>
    <row r="2806" customFormat="false" ht="13.8" hidden="true" customHeight="false" outlineLevel="0" collapsed="false">
      <c r="A2806" s="0" t="s">
        <v>11882</v>
      </c>
      <c r="B2806" s="0" t="n">
        <v>78</v>
      </c>
      <c r="C2806" s="0" t="n">
        <v>458069</v>
      </c>
      <c r="D2806" s="0" t="s">
        <v>11883</v>
      </c>
      <c r="E2806" s="0" t="s">
        <v>11884</v>
      </c>
      <c r="F2806" s="0" t="str">
        <f aca="false">CONCATENATE(D2806," ",LEFT(H2806,4),"T=",AU2806,"D=",AV2806,"R=",AW2806,"M=",AX2806,"L=",AY2806,"B=",AZ2806)</f>
        <v>OFARRILL T=18D=1R=1M=0L=0B=0</v>
      </c>
      <c r="I2806" s="0" t="s">
        <v>11885</v>
      </c>
      <c r="J2806" s="0" t="s">
        <v>11886</v>
      </c>
      <c r="K2806" s="0" t="s">
        <v>144</v>
      </c>
      <c r="L2806" s="0"/>
      <c r="M2806" s="0" t="s">
        <v>11887</v>
      </c>
      <c r="N2806" s="0" t="str">
        <f aca="false">RIGHT(M2806,LEN(M2806)-FIND(" ",M2806))</f>
        <v>WHITTIER PL NE</v>
      </c>
      <c r="P2806" s="0" t="s">
        <v>146</v>
      </c>
      <c r="Q2806" s="0" t="s">
        <v>147</v>
      </c>
      <c r="R2806" s="0" t="n">
        <v>44483</v>
      </c>
      <c r="AD2806" s="0" t="s">
        <v>148</v>
      </c>
      <c r="AE2806" s="0" t="s">
        <v>149</v>
      </c>
      <c r="AF2806" s="0" t="s">
        <v>150</v>
      </c>
      <c r="AH2806" s="0" t="n">
        <v>14</v>
      </c>
      <c r="AI2806" s="0" t="n">
        <v>11</v>
      </c>
      <c r="AN2806" s="0" t="s">
        <v>146</v>
      </c>
      <c r="AO2806" s="0" t="s">
        <v>236</v>
      </c>
      <c r="AP2806" s="0" t="s">
        <v>237</v>
      </c>
      <c r="AQ2806" s="0" t="n">
        <v>9</v>
      </c>
      <c r="AR2806" s="0" t="n">
        <v>64</v>
      </c>
      <c r="AS2806" s="0" t="n">
        <v>32</v>
      </c>
      <c r="AU2806" s="0" t="n">
        <f aca="false">COUNTA($BA$543:$EH$543)</f>
        <v>18</v>
      </c>
      <c r="AV2806" s="0" t="n">
        <f aca="false">COUNTIF($BA$543:$EH$543,"D")</f>
        <v>1</v>
      </c>
      <c r="AW2806" s="0" t="n">
        <f aca="false">COUNTIF($BA$543:$EH$543,"R")</f>
        <v>1</v>
      </c>
      <c r="AX2806" s="0" t="n">
        <f aca="false">IF(BN2806="D",1,0)+IF(BO2806="D",1,0)+IF(BT2806="D",1,0)+IF(BU2806="D",1,0)+IF(BW2806="D",1,0)+IF(CC2806="D",1,0)+IF(CD2806="D",1,0)+IF(CE2806="D",1,0)+IF(CF2806="D",1,0)+IF(CL2806="D",1,0)+IF(CM2806="D",1,0)+IF(CQ2806="D",1,0)+IF(CR2806="D",1,0)+IF(CS2806="D",1,0)+IF(CW2806="D",1,0)+IF(CX2806="D",1,0)+IF(DD2806="D",1,0)+IF(DE2806="D",1,0)+IF(DJ2806="D",1,0)+IF(DK2806="D",1,0)+IF(DO2806="D",1,0)+IF(DP2806="D",1,0)+IF(DQ2806="D",1,0)+IF(DW2806="D",1,0)+IF(DZ2806="D",1,0)+IF(EH2806="D",1,0)</f>
        <v>0</v>
      </c>
      <c r="AY2806" s="0" t="n">
        <f aca="false">COUNTIF(DU2806:EH2806, "&lt;&gt;")</f>
        <v>0</v>
      </c>
      <c r="AZ2806" s="0" t="n">
        <f aca="false">IF(EH2806&lt;&gt;"",1,0)</f>
        <v>0</v>
      </c>
      <c r="BB2806" s="0" t="s">
        <v>153</v>
      </c>
      <c r="DN2806" s="0" t="s">
        <v>154</v>
      </c>
    </row>
    <row r="2807" customFormat="false" ht="13.8" hidden="true" customHeight="false" outlineLevel="0" collapsed="false">
      <c r="A2807" s="0" t="s">
        <v>11888</v>
      </c>
      <c r="B2807" s="0" t="n">
        <v>78</v>
      </c>
      <c r="C2807" s="0" t="n">
        <v>380812</v>
      </c>
      <c r="D2807" s="0" t="s">
        <v>633</v>
      </c>
      <c r="E2807" s="0" t="s">
        <v>640</v>
      </c>
      <c r="F2807" s="0" t="str">
        <f aca="false">CONCATENATE(D2807," ",LEFT(H2807,4),"T=",AU2807,"D=",AV2807,"R=",AW2807,"M=",AX2807,"L=",AY2807,"B=",AZ2807)</f>
        <v>WALKER T=20D=6R=0M=0L=0B=0</v>
      </c>
      <c r="G2807" s="0" t="s">
        <v>202</v>
      </c>
      <c r="I2807" s="0" t="s">
        <v>520</v>
      </c>
      <c r="J2807" s="0" t="s">
        <v>11889</v>
      </c>
      <c r="K2807" s="0" t="s">
        <v>144</v>
      </c>
      <c r="L2807" s="0"/>
      <c r="M2807" s="0" t="s">
        <v>11887</v>
      </c>
      <c r="N2807" s="0" t="str">
        <f aca="false">RIGHT(M2807,LEN(M2807)-FIND(" ",M2807))</f>
        <v>WHITTIER PL NE</v>
      </c>
      <c r="P2807" s="0" t="s">
        <v>146</v>
      </c>
      <c r="Q2807" s="0" t="s">
        <v>147</v>
      </c>
      <c r="R2807" s="0" t="n">
        <v>44483</v>
      </c>
      <c r="AD2807" s="0" t="s">
        <v>148</v>
      </c>
      <c r="AE2807" s="0" t="s">
        <v>149</v>
      </c>
      <c r="AF2807" s="0" t="s">
        <v>150</v>
      </c>
      <c r="AH2807" s="0" t="n">
        <v>14</v>
      </c>
      <c r="AI2807" s="0" t="n">
        <v>11</v>
      </c>
      <c r="AN2807" s="0" t="s">
        <v>146</v>
      </c>
      <c r="AO2807" s="0" t="s">
        <v>236</v>
      </c>
      <c r="AP2807" s="0" t="s">
        <v>237</v>
      </c>
      <c r="AQ2807" s="0" t="n">
        <v>9</v>
      </c>
      <c r="AR2807" s="0" t="n">
        <v>64</v>
      </c>
      <c r="AS2807" s="0" t="n">
        <v>32</v>
      </c>
      <c r="AU2807" s="0" t="n">
        <f aca="false">COUNTA($BA$696:$EH$696)</f>
        <v>20</v>
      </c>
      <c r="AV2807" s="0" t="n">
        <f aca="false">COUNTIF($BA$696:$EH$696,"D")</f>
        <v>6</v>
      </c>
      <c r="AW2807" s="0" t="n">
        <f aca="false">COUNTIF($BA$696:$EH$696,"R")</f>
        <v>0</v>
      </c>
      <c r="AX2807" s="0" t="n">
        <f aca="false">IF(BN2807="D",1,0)+IF(BO2807="D",1,0)+IF(BT2807="D",1,0)+IF(BU2807="D",1,0)+IF(BW2807="D",1,0)+IF(CC2807="D",1,0)+IF(CD2807="D",1,0)+IF(CE2807="D",1,0)+IF(CF2807="D",1,0)+IF(CL2807="D",1,0)+IF(CM2807="D",1,0)+IF(CQ2807="D",1,0)+IF(CR2807="D",1,0)+IF(CS2807="D",1,0)+IF(CW2807="D",1,0)+IF(CX2807="D",1,0)+IF(DD2807="D",1,0)+IF(DE2807="D",1,0)+IF(DJ2807="D",1,0)+IF(DK2807="D",1,0)+IF(DO2807="D",1,0)+IF(DP2807="D",1,0)+IF(DQ2807="D",1,0)+IF(DW2807="D",1,0)+IF(DZ2807="D",1,0)+IF(EH2807="D",1,0)</f>
        <v>0</v>
      </c>
      <c r="AY2807" s="0" t="n">
        <f aca="false">COUNTIF(DU2807:EH2807, "&lt;&gt;")</f>
        <v>0</v>
      </c>
      <c r="AZ2807" s="0" t="n">
        <f aca="false">IF(EH2807&lt;&gt;"",1,0)</f>
        <v>0</v>
      </c>
      <c r="BB2807" s="0" t="s">
        <v>153</v>
      </c>
    </row>
    <row r="2808" customFormat="false" ht="13.8" hidden="true" customHeight="false" outlineLevel="0" collapsed="false">
      <c r="A2808" s="0" t="s">
        <v>11890</v>
      </c>
      <c r="B2808" s="0" t="n">
        <v>78</v>
      </c>
      <c r="C2808" s="0" t="n">
        <v>389787</v>
      </c>
      <c r="D2808" s="0" t="s">
        <v>11891</v>
      </c>
      <c r="E2808" s="0" t="s">
        <v>11892</v>
      </c>
      <c r="F2808" s="0" t="str">
        <f aca="false">CONCATENATE(D2808," ",LEFT(H2808,4),"T=",AU2808,"D=",AV2808,"R=",AW2808,"M=",AX2808,"L=",AY2808,"B=",AZ2808)</f>
        <v>HINKLE T=1D=0R=0M=0L=0B=0</v>
      </c>
      <c r="G2808" s="0" t="s">
        <v>376</v>
      </c>
      <c r="I2808" s="0" t="s">
        <v>11893</v>
      </c>
      <c r="J2808" s="0" t="s">
        <v>5721</v>
      </c>
      <c r="K2808" s="0" t="s">
        <v>144</v>
      </c>
      <c r="L2808" s="0"/>
      <c r="M2808" s="0" t="s">
        <v>11894</v>
      </c>
      <c r="N2808" s="0" t="str">
        <f aca="false">RIGHT(M2808,LEN(M2808)-FIND(" ",M2808))</f>
        <v>WHITTIER PL NE</v>
      </c>
      <c r="P2808" s="0" t="s">
        <v>146</v>
      </c>
      <c r="Q2808" s="0" t="s">
        <v>147</v>
      </c>
      <c r="R2808" s="0" t="n">
        <v>44483</v>
      </c>
      <c r="AD2808" s="0" t="s">
        <v>148</v>
      </c>
      <c r="AE2808" s="0" t="s">
        <v>149</v>
      </c>
      <c r="AF2808" s="0" t="s">
        <v>150</v>
      </c>
      <c r="AH2808" s="0" t="n">
        <v>14</v>
      </c>
      <c r="AI2808" s="0" t="n">
        <v>11</v>
      </c>
      <c r="AN2808" s="0" t="s">
        <v>146</v>
      </c>
      <c r="AO2808" s="0" t="s">
        <v>236</v>
      </c>
      <c r="AP2808" s="0" t="s">
        <v>237</v>
      </c>
      <c r="AQ2808" s="0" t="n">
        <v>9</v>
      </c>
      <c r="AR2808" s="0" t="n">
        <v>64</v>
      </c>
      <c r="AS2808" s="0" t="n">
        <v>32</v>
      </c>
      <c r="AU2808" s="0" t="n">
        <f aca="false">COUNTA($BA$432:$EH$432)</f>
        <v>1</v>
      </c>
      <c r="AV2808" s="0" t="n">
        <f aca="false">COUNTIF($BA$432:$EH$432,"D")</f>
        <v>0</v>
      </c>
      <c r="AW2808" s="0" t="n">
        <f aca="false">COUNTIF($BA$432:$EH$432,"R")</f>
        <v>0</v>
      </c>
      <c r="AX2808" s="0" t="n">
        <f aca="false">IF(BN2808="D",1,0)+IF(BO2808="D",1,0)+IF(BT2808="D",1,0)+IF(BU2808="D",1,0)+IF(BW2808="D",1,0)+IF(CC2808="D",1,0)+IF(CD2808="D",1,0)+IF(CE2808="D",1,0)+IF(CF2808="D",1,0)+IF(CL2808="D",1,0)+IF(CM2808="D",1,0)+IF(CQ2808="D",1,0)+IF(CR2808="D",1,0)+IF(CS2808="D",1,0)+IF(CW2808="D",1,0)+IF(CX2808="D",1,0)+IF(DD2808="D",1,0)+IF(DE2808="D",1,0)+IF(DJ2808="D",1,0)+IF(DK2808="D",1,0)+IF(DO2808="D",1,0)+IF(DP2808="D",1,0)+IF(DQ2808="D",1,0)+IF(DW2808="D",1,0)+IF(DZ2808="D",1,0)+IF(EH2808="D",1,0)</f>
        <v>0</v>
      </c>
      <c r="AY2808" s="0" t="n">
        <f aca="false">COUNTIF(DU2808:EH2808, "&lt;&gt;")</f>
        <v>0</v>
      </c>
      <c r="AZ2808" s="0" t="n">
        <f aca="false">IF(EH2808&lt;&gt;"",1,0)</f>
        <v>0</v>
      </c>
      <c r="BB2808" s="0" t="s">
        <v>153</v>
      </c>
      <c r="CP2808" s="0" t="s">
        <v>154</v>
      </c>
    </row>
    <row r="2809" customFormat="false" ht="13.8" hidden="false" customHeight="false" outlineLevel="0" collapsed="false">
      <c r="A2809" s="0" t="s">
        <v>11895</v>
      </c>
      <c r="B2809" s="0" t="n">
        <v>78</v>
      </c>
      <c r="C2809" s="0" t="n">
        <v>416777</v>
      </c>
      <c r="D2809" s="0" t="s">
        <v>11896</v>
      </c>
      <c r="E2809" s="0" t="s">
        <v>2005</v>
      </c>
      <c r="F2809" s="0" t="str">
        <f aca="false">CONCATENATE(D2809," ",LEFT(H2809,4),"T=",AU2809,"D=",AV2809,"R=",AW2809,"M=",AX2809,"L=",AY2809,"B=",AZ2809)</f>
        <v>WHITSEL T=1D=0R=0M=0L=3B=0</v>
      </c>
      <c r="G2809" s="0" t="s">
        <v>181</v>
      </c>
      <c r="I2809" s="0" t="s">
        <v>11897</v>
      </c>
      <c r="J2809" s="0" t="s">
        <v>1344</v>
      </c>
      <c r="K2809" s="0" t="s">
        <v>175</v>
      </c>
      <c r="M2809" s="0" t="s">
        <v>11898</v>
      </c>
      <c r="N2809" s="0" t="str">
        <f aca="false">RIGHT(M2809,LEN(M2809)-FIND(" ",M2809))</f>
        <v>WILSON AVE NW</v>
      </c>
      <c r="P2809" s="0" t="s">
        <v>146</v>
      </c>
      <c r="Q2809" s="0" t="s">
        <v>147</v>
      </c>
      <c r="R2809" s="0" t="n">
        <v>44483</v>
      </c>
      <c r="AD2809" s="0" t="s">
        <v>148</v>
      </c>
      <c r="AE2809" s="0" t="s">
        <v>149</v>
      </c>
      <c r="AF2809" s="0" t="s">
        <v>150</v>
      </c>
      <c r="AH2809" s="0" t="n">
        <v>14</v>
      </c>
      <c r="AI2809" s="0" t="n">
        <v>11</v>
      </c>
      <c r="AN2809" s="0" t="s">
        <v>146</v>
      </c>
      <c r="AO2809" s="0" t="s">
        <v>151</v>
      </c>
      <c r="AP2809" s="0" t="s">
        <v>152</v>
      </c>
      <c r="AQ2809" s="0" t="n">
        <v>9</v>
      </c>
      <c r="AR2809" s="0" t="n">
        <v>64</v>
      </c>
      <c r="AS2809" s="0" t="n">
        <v>32</v>
      </c>
      <c r="AU2809" s="0" t="n">
        <f aca="false">COUNTA($BA$1798:$EH$1798)</f>
        <v>1</v>
      </c>
      <c r="AV2809" s="0" t="n">
        <f aca="false">COUNTIF($BA$1798:$EH$1798,"D")</f>
        <v>0</v>
      </c>
      <c r="AW2809" s="0" t="n">
        <f aca="false">COUNTIF($BA$1798:$EH$1798,"R")</f>
        <v>0</v>
      </c>
      <c r="AX2809" s="0" t="n">
        <f aca="false">IF(BN2809="D",1,0)+IF(BO2809="D",1,0)+IF(BT2809="D",1,0)+IF(BU2809="D",1,0)+IF(BW2809="D",1,0)+IF(CC2809="D",1,0)+IF(CD2809="D",1,0)+IF(CE2809="D",1,0)+IF(CF2809="D",1,0)+IF(CL2809="D",1,0)+IF(CM2809="D",1,0)+IF(CQ2809="D",1,0)+IF(CR2809="D",1,0)+IF(CS2809="D",1,0)+IF(CW2809="D",1,0)+IF(CX2809="D",1,0)+IF(DD2809="D",1,0)+IF(DE2809="D",1,0)+IF(DJ2809="D",1,0)+IF(DK2809="D",1,0)+IF(DO2809="D",1,0)+IF(DP2809="D",1,0)+IF(DQ2809="D",1,0)+IF(DW2809="D",1,0)+IF(DZ2809="D",1,0)+IF(EH2809="D",1,0)</f>
        <v>0</v>
      </c>
      <c r="AY2809" s="0" t="n">
        <f aca="false">COUNTIF(DU2809:EH2809, "&lt;&gt;")</f>
        <v>3</v>
      </c>
      <c r="AZ2809" s="0" t="n">
        <f aca="false">IF(EH2809&lt;&gt;"",1,0)</f>
        <v>0</v>
      </c>
      <c r="BB2809" s="0" t="s">
        <v>153</v>
      </c>
      <c r="BH2809" s="0" t="s">
        <v>154</v>
      </c>
      <c r="DC2809" s="0" t="s">
        <v>154</v>
      </c>
      <c r="DM2809" s="0" t="s">
        <v>176</v>
      </c>
      <c r="DN2809" s="0" t="s">
        <v>154</v>
      </c>
      <c r="DX2809" s="0" t="s">
        <v>154</v>
      </c>
      <c r="EA2809" s="0" t="s">
        <v>154</v>
      </c>
      <c r="EF2809" s="0" t="s">
        <v>154</v>
      </c>
    </row>
    <row r="2810" customFormat="false" ht="13.8" hidden="true" customHeight="false" outlineLevel="0" collapsed="false">
      <c r="A2810" s="0" t="s">
        <v>11899</v>
      </c>
      <c r="B2810" s="0" t="n">
        <v>78</v>
      </c>
      <c r="C2810" s="0" t="n">
        <v>359718</v>
      </c>
      <c r="D2810" s="0" t="s">
        <v>11900</v>
      </c>
      <c r="E2810" s="0" t="s">
        <v>6051</v>
      </c>
      <c r="F2810" s="0" t="str">
        <f aca="false">CONCATENATE(D2810," ",LEFT(H2810,4),"T=",AU2810,"D=",AV2810,"R=",AW2810,"M=",AX2810,"L=",AY2810,"B=",AZ2810)</f>
        <v>SAVITTS T=42D=11R=2M=0L=0B=0</v>
      </c>
      <c r="G2810" s="0" t="s">
        <v>771</v>
      </c>
      <c r="I2810" s="0" t="s">
        <v>11901</v>
      </c>
      <c r="J2810" s="0" t="s">
        <v>9477</v>
      </c>
      <c r="K2810" s="0" t="s">
        <v>144</v>
      </c>
      <c r="L2810" s="0"/>
      <c r="M2810" s="0" t="s">
        <v>11898</v>
      </c>
      <c r="N2810" s="0" t="str">
        <f aca="false">RIGHT(M2810,LEN(M2810)-FIND(" ",M2810))</f>
        <v>WILSON AVE NW</v>
      </c>
      <c r="P2810" s="0" t="s">
        <v>146</v>
      </c>
      <c r="Q2810" s="0" t="s">
        <v>147</v>
      </c>
      <c r="R2810" s="0" t="n">
        <v>44483</v>
      </c>
      <c r="AD2810" s="0" t="s">
        <v>148</v>
      </c>
      <c r="AE2810" s="0" t="s">
        <v>149</v>
      </c>
      <c r="AF2810" s="0" t="s">
        <v>150</v>
      </c>
      <c r="AH2810" s="0" t="n">
        <v>14</v>
      </c>
      <c r="AI2810" s="0" t="n">
        <v>11</v>
      </c>
      <c r="AN2810" s="0" t="s">
        <v>146</v>
      </c>
      <c r="AO2810" s="0" t="s">
        <v>151</v>
      </c>
      <c r="AP2810" s="0" t="s">
        <v>152</v>
      </c>
      <c r="AQ2810" s="0" t="n">
        <v>9</v>
      </c>
      <c r="AR2810" s="0" t="n">
        <v>64</v>
      </c>
      <c r="AS2810" s="0" t="n">
        <v>32</v>
      </c>
      <c r="AU2810" s="0" t="n">
        <f aca="false">COUNTA($BA$1873:$EH$1873)</f>
        <v>42</v>
      </c>
      <c r="AV2810" s="0" t="n">
        <f aca="false">COUNTIF($BA$1873:$EH$1873,"D")</f>
        <v>11</v>
      </c>
      <c r="AW2810" s="0" t="n">
        <f aca="false">COUNTIF($BA$1873:$EH$1873,"R")</f>
        <v>2</v>
      </c>
      <c r="AX2810" s="0" t="n">
        <f aca="false">IF(BN2810="D",1,0)+IF(BO2810="D",1,0)+IF(BT2810="D",1,0)+IF(BU2810="D",1,0)+IF(BW2810="D",1,0)+IF(CC2810="D",1,0)+IF(CD2810="D",1,0)+IF(CE2810="D",1,0)+IF(CF2810="D",1,0)+IF(CL2810="D",1,0)+IF(CM2810="D",1,0)+IF(CQ2810="D",1,0)+IF(CR2810="D",1,0)+IF(CS2810="D",1,0)+IF(CW2810="D",1,0)+IF(CX2810="D",1,0)+IF(DD2810="D",1,0)+IF(DE2810="D",1,0)+IF(DJ2810="D",1,0)+IF(DK2810="D",1,0)+IF(DO2810="D",1,0)+IF(DP2810="D",1,0)+IF(DQ2810="D",1,0)+IF(DW2810="D",1,0)+IF(DZ2810="D",1,0)+IF(EH2810="D",1,0)</f>
        <v>0</v>
      </c>
      <c r="AY2810" s="0" t="n">
        <f aca="false">COUNTIF(DU2810:EH2810, "&lt;&gt;")</f>
        <v>0</v>
      </c>
      <c r="AZ2810" s="0" t="n">
        <f aca="false">IF(EH2810&lt;&gt;"",1,0)</f>
        <v>0</v>
      </c>
      <c r="BB2810" s="0" t="s">
        <v>153</v>
      </c>
      <c r="CA2810" s="0" t="s">
        <v>154</v>
      </c>
      <c r="CP2810" s="0" t="s">
        <v>154</v>
      </c>
    </row>
    <row r="2811" customFormat="false" ht="13.8" hidden="true" customHeight="false" outlineLevel="0" collapsed="false">
      <c r="A2811" s="0" t="s">
        <v>11902</v>
      </c>
      <c r="B2811" s="0" t="n">
        <v>78</v>
      </c>
      <c r="C2811" s="0" t="n">
        <v>416001</v>
      </c>
      <c r="D2811" s="0" t="s">
        <v>11903</v>
      </c>
      <c r="E2811" s="0" t="s">
        <v>11904</v>
      </c>
      <c r="F2811" s="0" t="str">
        <f aca="false">CONCATENATE(D2811," ",LEFT(H2811,4),"T=",AU2811,"D=",AV2811,"R=",AW2811,"M=",AX2811,"L=",AY2811,"B=",AZ2811)</f>
        <v>STROHMEYER T=2D=0R=0M=0L=0B=0</v>
      </c>
      <c r="G2811" s="0" t="s">
        <v>514</v>
      </c>
      <c r="I2811" s="0" t="s">
        <v>11905</v>
      </c>
      <c r="J2811" s="0" t="s">
        <v>1783</v>
      </c>
      <c r="K2811" s="0" t="s">
        <v>144</v>
      </c>
      <c r="L2811" s="0"/>
      <c r="M2811" s="0" t="s">
        <v>11906</v>
      </c>
      <c r="N2811" s="0" t="str">
        <f aca="false">RIGHT(M2811,LEN(M2811)-FIND(" ",M2811))</f>
        <v>WILSON AVE NW</v>
      </c>
      <c r="P2811" s="0" t="s">
        <v>146</v>
      </c>
      <c r="Q2811" s="0" t="s">
        <v>147</v>
      </c>
      <c r="R2811" s="0" t="n">
        <v>44483</v>
      </c>
      <c r="AD2811" s="0" t="s">
        <v>148</v>
      </c>
      <c r="AE2811" s="0" t="s">
        <v>149</v>
      </c>
      <c r="AF2811" s="0" t="s">
        <v>150</v>
      </c>
      <c r="AH2811" s="0" t="n">
        <v>14</v>
      </c>
      <c r="AI2811" s="0" t="n">
        <v>11</v>
      </c>
      <c r="AN2811" s="0" t="s">
        <v>146</v>
      </c>
      <c r="AO2811" s="0" t="s">
        <v>151</v>
      </c>
      <c r="AP2811" s="0" t="s">
        <v>152</v>
      </c>
      <c r="AQ2811" s="0" t="n">
        <v>9</v>
      </c>
      <c r="AR2811" s="0" t="n">
        <v>64</v>
      </c>
      <c r="AS2811" s="0" t="n">
        <v>32</v>
      </c>
      <c r="AU2811" s="0" t="n">
        <f aca="false">COUNTA($BA$1157:$EH$1157)</f>
        <v>2</v>
      </c>
      <c r="AV2811" s="0" t="n">
        <f aca="false">COUNTIF($BA$1157:$EH$1157,"D")</f>
        <v>0</v>
      </c>
      <c r="AW2811" s="0" t="n">
        <f aca="false">COUNTIF($BA$1157:$EH$1157,"R")</f>
        <v>0</v>
      </c>
      <c r="AX2811" s="0" t="n">
        <f aca="false">IF(BN2811="D",1,0)+IF(BO2811="D",1,0)+IF(BT2811="D",1,0)+IF(BU2811="D",1,0)+IF(BW2811="D",1,0)+IF(CC2811="D",1,0)+IF(CD2811="D",1,0)+IF(CE2811="D",1,0)+IF(CF2811="D",1,0)+IF(CL2811="D",1,0)+IF(CM2811="D",1,0)+IF(CQ2811="D",1,0)+IF(CR2811="D",1,0)+IF(CS2811="D",1,0)+IF(CW2811="D",1,0)+IF(CX2811="D",1,0)+IF(DD2811="D",1,0)+IF(DE2811="D",1,0)+IF(DJ2811="D",1,0)+IF(DK2811="D",1,0)+IF(DO2811="D",1,0)+IF(DP2811="D",1,0)+IF(DQ2811="D",1,0)+IF(DW2811="D",1,0)+IF(DZ2811="D",1,0)+IF(EH2811="D",1,0)</f>
        <v>0</v>
      </c>
      <c r="AY2811" s="0" t="n">
        <f aca="false">COUNTIF(DU2811:EH2811, "&lt;&gt;")</f>
        <v>0</v>
      </c>
      <c r="AZ2811" s="0" t="n">
        <f aca="false">IF(EH2811&lt;&gt;"",1,0)</f>
        <v>0</v>
      </c>
      <c r="BB2811" s="0" t="s">
        <v>153</v>
      </c>
      <c r="DI2811" s="0" t="s">
        <v>154</v>
      </c>
      <c r="DN2811" s="0" t="s">
        <v>154</v>
      </c>
    </row>
    <row r="2812" customFormat="false" ht="13.8" hidden="true" customHeight="false" outlineLevel="0" collapsed="false">
      <c r="A2812" s="0" t="s">
        <v>11907</v>
      </c>
      <c r="B2812" s="0" t="n">
        <v>78</v>
      </c>
      <c r="C2812" s="0" t="n">
        <v>413494</v>
      </c>
      <c r="D2812" s="0" t="s">
        <v>3276</v>
      </c>
      <c r="E2812" s="0" t="s">
        <v>2330</v>
      </c>
      <c r="F2812" s="0" t="str">
        <f aca="false">CONCATENATE(D2812," ",LEFT(H2812,4),"T=",AU2812,"D=",AV2812,"R=",AW2812,"M=",AX2812,"L=",AY2812,"B=",AZ2812)</f>
        <v>MOORE T=28D=5R=3M=0L=1B=0</v>
      </c>
      <c r="G2812" s="0" t="s">
        <v>2293</v>
      </c>
      <c r="I2812" s="0" t="s">
        <v>7133</v>
      </c>
      <c r="J2812" s="0" t="s">
        <v>2656</v>
      </c>
      <c r="K2812" s="0" t="s">
        <v>175</v>
      </c>
      <c r="L2812" s="0"/>
      <c r="M2812" s="0" t="s">
        <v>11906</v>
      </c>
      <c r="N2812" s="0" t="str">
        <f aca="false">RIGHT(M2812,LEN(M2812)-FIND(" ",M2812))</f>
        <v>WILSON AVE NW</v>
      </c>
      <c r="P2812" s="0" t="s">
        <v>146</v>
      </c>
      <c r="Q2812" s="0" t="s">
        <v>147</v>
      </c>
      <c r="R2812" s="0" t="n">
        <v>44483</v>
      </c>
      <c r="AD2812" s="0" t="s">
        <v>148</v>
      </c>
      <c r="AE2812" s="0" t="s">
        <v>149</v>
      </c>
      <c r="AF2812" s="0" t="s">
        <v>150</v>
      </c>
      <c r="AH2812" s="0" t="n">
        <v>14</v>
      </c>
      <c r="AI2812" s="0" t="n">
        <v>11</v>
      </c>
      <c r="AN2812" s="0" t="s">
        <v>146</v>
      </c>
      <c r="AO2812" s="0" t="s">
        <v>151</v>
      </c>
      <c r="AP2812" s="0" t="s">
        <v>152</v>
      </c>
      <c r="AQ2812" s="0" t="n">
        <v>9</v>
      </c>
      <c r="AR2812" s="0" t="n">
        <v>64</v>
      </c>
      <c r="AS2812" s="0" t="n">
        <v>32</v>
      </c>
      <c r="AU2812" s="0" t="n">
        <f aca="false">COUNTA($BA$1517:$EH$1517)</f>
        <v>28</v>
      </c>
      <c r="AV2812" s="0" t="n">
        <f aca="false">COUNTIF($BA$1517:$EH$1517,"D")</f>
        <v>5</v>
      </c>
      <c r="AW2812" s="0" t="n">
        <f aca="false">COUNTIF($BA$1517:$EH$1517,"R")</f>
        <v>3</v>
      </c>
      <c r="AX2812" s="0" t="n">
        <f aca="false">IF(BN2812="D",1,0)+IF(BO2812="D",1,0)+IF(BT2812="D",1,0)+IF(BU2812="D",1,0)+IF(BW2812="D",1,0)+IF(CC2812="D",1,0)+IF(CD2812="D",1,0)+IF(CE2812="D",1,0)+IF(CF2812="D",1,0)+IF(CL2812="D",1,0)+IF(CM2812="D",1,0)+IF(CQ2812="D",1,0)+IF(CR2812="D",1,0)+IF(CS2812="D",1,0)+IF(CW2812="D",1,0)+IF(CX2812="D",1,0)+IF(DD2812="D",1,0)+IF(DE2812="D",1,0)+IF(DJ2812="D",1,0)+IF(DK2812="D",1,0)+IF(DO2812="D",1,0)+IF(DP2812="D",1,0)+IF(DQ2812="D",1,0)+IF(DW2812="D",1,0)+IF(DZ2812="D",1,0)+IF(EH2812="D",1,0)</f>
        <v>0</v>
      </c>
      <c r="AY2812" s="0" t="n">
        <f aca="false">COUNTIF(DU2812:EH2812, "&lt;&gt;")</f>
        <v>1</v>
      </c>
      <c r="AZ2812" s="0" t="n">
        <f aca="false">IF(EH2812&lt;&gt;"",1,0)</f>
        <v>0</v>
      </c>
      <c r="BB2812" s="0" t="s">
        <v>153</v>
      </c>
      <c r="EF2812" s="0" t="s">
        <v>154</v>
      </c>
    </row>
    <row r="2813" customFormat="false" ht="13.8" hidden="true" customHeight="false" outlineLevel="0" collapsed="false">
      <c r="A2813" s="0" t="s">
        <v>11908</v>
      </c>
      <c r="B2813" s="0" t="n">
        <v>78</v>
      </c>
      <c r="C2813" s="0" t="n">
        <v>458405</v>
      </c>
      <c r="D2813" s="0" t="s">
        <v>11909</v>
      </c>
      <c r="E2813" s="0" t="s">
        <v>11910</v>
      </c>
      <c r="F2813" s="0" t="str">
        <f aca="false">CONCATENATE(D2813," ",LEFT(H2813,4),"T=",AU2813,"D=",AV2813,"R=",AW2813,"M=",AX2813,"L=",AY2813,"B=",AZ2813)</f>
        <v>HANISH T=12D=2R=0M=0L=0B=0</v>
      </c>
      <c r="G2813" s="0" t="s">
        <v>445</v>
      </c>
      <c r="I2813" s="0" t="s">
        <v>11911</v>
      </c>
      <c r="J2813" s="0" t="s">
        <v>8942</v>
      </c>
      <c r="K2813" s="0" t="s">
        <v>175</v>
      </c>
      <c r="L2813" s="0"/>
      <c r="M2813" s="0" t="s">
        <v>11906</v>
      </c>
      <c r="N2813" s="0" t="str">
        <f aca="false">RIGHT(M2813,LEN(M2813)-FIND(" ",M2813))</f>
        <v>WILSON AVE NW</v>
      </c>
      <c r="P2813" s="0" t="s">
        <v>146</v>
      </c>
      <c r="Q2813" s="0" t="s">
        <v>147</v>
      </c>
      <c r="R2813" s="0" t="n">
        <v>44483</v>
      </c>
      <c r="AD2813" s="0" t="s">
        <v>148</v>
      </c>
      <c r="AE2813" s="0" t="s">
        <v>149</v>
      </c>
      <c r="AF2813" s="0" t="s">
        <v>150</v>
      </c>
      <c r="AH2813" s="0" t="n">
        <v>14</v>
      </c>
      <c r="AI2813" s="0" t="n">
        <v>11</v>
      </c>
      <c r="AN2813" s="0" t="s">
        <v>146</v>
      </c>
      <c r="AO2813" s="0" t="s">
        <v>151</v>
      </c>
      <c r="AP2813" s="0" t="s">
        <v>152</v>
      </c>
      <c r="AQ2813" s="0" t="n">
        <v>9</v>
      </c>
      <c r="AR2813" s="0" t="n">
        <v>64</v>
      </c>
      <c r="AS2813" s="0" t="n">
        <v>32</v>
      </c>
      <c r="AU2813" s="0" t="n">
        <f aca="false">COUNTA($BA$1747:$EH$1747)</f>
        <v>12</v>
      </c>
      <c r="AV2813" s="0" t="n">
        <f aca="false">COUNTIF($BA$1747:$EH$1747,"D")</f>
        <v>2</v>
      </c>
      <c r="AW2813" s="0" t="n">
        <f aca="false">COUNTIF($BA$1747:$EH$1747,"R")</f>
        <v>0</v>
      </c>
      <c r="AX2813" s="0" t="n">
        <f aca="false">IF(BN2813="D",1,0)+IF(BO2813="D",1,0)+IF(BT2813="D",1,0)+IF(BU2813="D",1,0)+IF(BW2813="D",1,0)+IF(CC2813="D",1,0)+IF(CD2813="D",1,0)+IF(CE2813="D",1,0)+IF(CF2813="D",1,0)+IF(CL2813="D",1,0)+IF(CM2813="D",1,0)+IF(CQ2813="D",1,0)+IF(CR2813="D",1,0)+IF(CS2813="D",1,0)+IF(CW2813="D",1,0)+IF(CX2813="D",1,0)+IF(DD2813="D",1,0)+IF(DE2813="D",1,0)+IF(DJ2813="D",1,0)+IF(DK2813="D",1,0)+IF(DO2813="D",1,0)+IF(DP2813="D",1,0)+IF(DQ2813="D",1,0)+IF(DW2813="D",1,0)+IF(DZ2813="D",1,0)+IF(EH2813="D",1,0)</f>
        <v>0</v>
      </c>
      <c r="AY2813" s="0" t="n">
        <f aca="false">COUNTIF(DU2813:EH2813, "&lt;&gt;")</f>
        <v>0</v>
      </c>
      <c r="AZ2813" s="0" t="n">
        <f aca="false">IF(EH2813&lt;&gt;"",1,0)</f>
        <v>0</v>
      </c>
      <c r="BB2813" s="0" t="s">
        <v>153</v>
      </c>
    </row>
    <row r="2814" customFormat="false" ht="13.8" hidden="false" customHeight="false" outlineLevel="0" collapsed="false">
      <c r="A2814" s="0" t="s">
        <v>11912</v>
      </c>
      <c r="B2814" s="0" t="n">
        <v>78</v>
      </c>
      <c r="C2814" s="0" t="n">
        <v>306231</v>
      </c>
      <c r="D2814" s="0" t="s">
        <v>11913</v>
      </c>
      <c r="E2814" s="0" t="s">
        <v>5065</v>
      </c>
      <c r="F2814" s="0" t="str">
        <f aca="false">CONCATENATE(D2814," ",LEFT(H2814,4),"T=",AU2814,"D=",AV2814,"R=",AW2814,"M=",AX2814,"L=",AY2814,"B=",AZ2814)</f>
        <v>BUCCI T=1D=0R=0M=1L=5B=0</v>
      </c>
      <c r="G2814" s="0" t="s">
        <v>172</v>
      </c>
      <c r="I2814" s="0" t="s">
        <v>11914</v>
      </c>
      <c r="J2814" s="0" t="s">
        <v>11915</v>
      </c>
      <c r="K2814" s="0" t="s">
        <v>175</v>
      </c>
      <c r="L2814" s="1" t="s">
        <v>155</v>
      </c>
      <c r="M2814" s="0" t="s">
        <v>11916</v>
      </c>
      <c r="N2814" s="0" t="str">
        <f aca="false">RIGHT(M2814,LEN(M2814)-FIND(" ",M2814))</f>
        <v>WILSON AVE NW</v>
      </c>
      <c r="P2814" s="0" t="s">
        <v>146</v>
      </c>
      <c r="Q2814" s="0" t="s">
        <v>147</v>
      </c>
      <c r="R2814" s="0" t="n">
        <v>44483</v>
      </c>
      <c r="AD2814" s="0" t="s">
        <v>148</v>
      </c>
      <c r="AE2814" s="0" t="s">
        <v>149</v>
      </c>
      <c r="AF2814" s="0" t="s">
        <v>150</v>
      </c>
      <c r="AH2814" s="0" t="n">
        <v>14</v>
      </c>
      <c r="AI2814" s="0" t="n">
        <v>11</v>
      </c>
      <c r="AN2814" s="0" t="s">
        <v>146</v>
      </c>
      <c r="AO2814" s="0" t="s">
        <v>151</v>
      </c>
      <c r="AP2814" s="0" t="s">
        <v>152</v>
      </c>
      <c r="AQ2814" s="0" t="n">
        <v>9</v>
      </c>
      <c r="AR2814" s="0" t="n">
        <v>64</v>
      </c>
      <c r="AS2814" s="0" t="n">
        <v>32</v>
      </c>
      <c r="AU2814" s="0" t="n">
        <f aca="false">COUNTA($BA$1696:$EH$1696)</f>
        <v>1</v>
      </c>
      <c r="AV2814" s="0" t="n">
        <f aca="false">COUNTIF($BA$1696:$EH$1696,"D")</f>
        <v>0</v>
      </c>
      <c r="AW2814" s="0" t="n">
        <f aca="false">COUNTIF($BA$1696:$EH$1696,"R")</f>
        <v>0</v>
      </c>
      <c r="AX2814" s="0" t="n">
        <f aca="false">IF(BN2814="D",1,0)+IF(BO2814="D",1,0)+IF(BT2814="D",1,0)+IF(BU2814="D",1,0)+IF(BW2814="D",1,0)+IF(CC2814="D",1,0)+IF(CD2814="D",1,0)+IF(CE2814="D",1,0)+IF(CF2814="D",1,0)+IF(CL2814="D",1,0)+IF(CM2814="D",1,0)+IF(CQ2814="D",1,0)+IF(CR2814="D",1,0)+IF(CS2814="D",1,0)+IF(CW2814="D",1,0)+IF(CX2814="D",1,0)+IF(DD2814="D",1,0)+IF(DE2814="D",1,0)+IF(DJ2814="D",1,0)+IF(DK2814="D",1,0)+IF(DO2814="D",1,0)+IF(DP2814="D",1,0)+IF(DQ2814="D",1,0)+IF(DW2814="D",1,0)+IF(DZ2814="D",1,0)+IF(EH2814="D",1,0)</f>
        <v>1</v>
      </c>
      <c r="AY2814" s="0" t="n">
        <f aca="false">COUNTIF(DU2814:EH2814, "&lt;&gt;")</f>
        <v>5</v>
      </c>
      <c r="AZ2814" s="0" t="n">
        <f aca="false">IF(EH2814&lt;&gt;"",1,0)</f>
        <v>0</v>
      </c>
      <c r="BB2814" s="0" t="s">
        <v>153</v>
      </c>
      <c r="BJ2814" s="0" t="s">
        <v>154</v>
      </c>
      <c r="BK2814" s="0" t="s">
        <v>154</v>
      </c>
      <c r="BL2814" s="0" t="s">
        <v>154</v>
      </c>
      <c r="BS2814" s="0" t="s">
        <v>154</v>
      </c>
      <c r="CA2814" s="0" t="s">
        <v>154</v>
      </c>
      <c r="CG2814" s="0" t="s">
        <v>154</v>
      </c>
      <c r="CH2814" s="0" t="s">
        <v>155</v>
      </c>
      <c r="CN2814" s="0" t="s">
        <v>154</v>
      </c>
      <c r="CO2814" s="0" t="s">
        <v>176</v>
      </c>
      <c r="CP2814" s="0" t="s">
        <v>154</v>
      </c>
      <c r="CY2814" s="0" t="s">
        <v>154</v>
      </c>
      <c r="CZ2814" s="0" t="s">
        <v>155</v>
      </c>
      <c r="DC2814" s="0" t="s">
        <v>154</v>
      </c>
      <c r="DI2814" s="0" t="s">
        <v>154</v>
      </c>
      <c r="DJ2814" s="0" t="s">
        <v>155</v>
      </c>
      <c r="DN2814" s="0" t="s">
        <v>154</v>
      </c>
      <c r="DU2814" s="0" t="s">
        <v>154</v>
      </c>
      <c r="DX2814" s="0" t="s">
        <v>154</v>
      </c>
      <c r="EA2814" s="0" t="s">
        <v>154</v>
      </c>
      <c r="ED2814" s="0" t="s">
        <v>155</v>
      </c>
      <c r="EF2814" s="0" t="s">
        <v>154</v>
      </c>
    </row>
    <row r="2815" customFormat="false" ht="13.8" hidden="false" customHeight="false" outlineLevel="0" collapsed="false">
      <c r="A2815" s="0" t="s">
        <v>11917</v>
      </c>
      <c r="B2815" s="0" t="n">
        <v>78</v>
      </c>
      <c r="C2815" s="0" t="n">
        <v>280460</v>
      </c>
      <c r="D2815" s="0" t="s">
        <v>11913</v>
      </c>
      <c r="E2815" s="0" t="s">
        <v>2033</v>
      </c>
      <c r="F2815" s="0" t="str">
        <f aca="false">CONCATENATE(D2815," ",LEFT(H2815,4),"T=",AU2815,"D=",AV2815,"R=",AW2815,"M=",AX2815,"L=",AY2815,"B=",AZ2815)</f>
        <v>BUCCI T=19D=4R=0M=2L=6B=0</v>
      </c>
      <c r="I2815" s="0" t="s">
        <v>11918</v>
      </c>
      <c r="J2815" s="0" t="s">
        <v>11919</v>
      </c>
      <c r="K2815" s="0" t="s">
        <v>175</v>
      </c>
      <c r="L2815" s="1" t="s">
        <v>176</v>
      </c>
      <c r="M2815" s="0" t="s">
        <v>11916</v>
      </c>
      <c r="N2815" s="0" t="str">
        <f aca="false">RIGHT(M2815,LEN(M2815)-FIND(" ",M2815))</f>
        <v>WILSON AVE NW</v>
      </c>
      <c r="P2815" s="0" t="s">
        <v>146</v>
      </c>
      <c r="Q2815" s="0" t="s">
        <v>147</v>
      </c>
      <c r="R2815" s="0" t="n">
        <v>44483</v>
      </c>
      <c r="AD2815" s="0" t="s">
        <v>148</v>
      </c>
      <c r="AE2815" s="0" t="s">
        <v>149</v>
      </c>
      <c r="AF2815" s="0" t="s">
        <v>150</v>
      </c>
      <c r="AH2815" s="0" t="n">
        <v>14</v>
      </c>
      <c r="AI2815" s="0" t="n">
        <v>11</v>
      </c>
      <c r="AN2815" s="0" t="s">
        <v>146</v>
      </c>
      <c r="AO2815" s="0" t="s">
        <v>151</v>
      </c>
      <c r="AP2815" s="0" t="s">
        <v>152</v>
      </c>
      <c r="AQ2815" s="0" t="n">
        <v>9</v>
      </c>
      <c r="AR2815" s="0" t="n">
        <v>64</v>
      </c>
      <c r="AS2815" s="0" t="n">
        <v>32</v>
      </c>
      <c r="AU2815" s="0" t="n">
        <f aca="false">COUNTA($BA$1697:$EH$1697)</f>
        <v>19</v>
      </c>
      <c r="AV2815" s="0" t="n">
        <f aca="false">COUNTIF($BA$1697:$EH$1697,"D")</f>
        <v>4</v>
      </c>
      <c r="AW2815" s="0" t="n">
        <f aca="false">COUNTIF($BA$1697:$EH$1697,"R")</f>
        <v>0</v>
      </c>
      <c r="AX2815" s="0" t="n">
        <f aca="false">IF(BN2815="D",1,0)+IF(BO2815="D",1,0)+IF(BT2815="D",1,0)+IF(BU2815="D",1,0)+IF(BW2815="D",1,0)+IF(CC2815="D",1,0)+IF(CD2815="D",1,0)+IF(CE2815="D",1,0)+IF(CF2815="D",1,0)+IF(CL2815="D",1,0)+IF(CM2815="D",1,0)+IF(CQ2815="D",1,0)+IF(CR2815="D",1,0)+IF(CS2815="D",1,0)+IF(CW2815="D",1,0)+IF(CX2815="D",1,0)+IF(DD2815="D",1,0)+IF(DE2815="D",1,0)+IF(DJ2815="D",1,0)+IF(DK2815="D",1,0)+IF(DO2815="D",1,0)+IF(DP2815="D",1,0)+IF(DQ2815="D",1,0)+IF(DW2815="D",1,0)+IF(DZ2815="D",1,0)+IF(EH2815="D",1,0)</f>
        <v>2</v>
      </c>
      <c r="AY2815" s="0" t="n">
        <f aca="false">COUNTIF(DU2815:EH2815, "&lt;&gt;")</f>
        <v>6</v>
      </c>
      <c r="AZ2815" s="0" t="n">
        <f aca="false">IF(EH2815&lt;&gt;"",1,0)</f>
        <v>0</v>
      </c>
      <c r="BB2815" s="0" t="s">
        <v>153</v>
      </c>
      <c r="BC2815" s="0" t="s">
        <v>154</v>
      </c>
      <c r="BL2815" s="0" t="s">
        <v>154</v>
      </c>
      <c r="BS2815" s="0" t="s">
        <v>154</v>
      </c>
      <c r="BV2815" s="0" t="s">
        <v>154</v>
      </c>
      <c r="CA2815" s="0" t="s">
        <v>154</v>
      </c>
      <c r="CN2815" s="0" t="s">
        <v>154</v>
      </c>
      <c r="CO2815" s="0" t="s">
        <v>176</v>
      </c>
      <c r="CP2815" s="0" t="s">
        <v>154</v>
      </c>
      <c r="CY2815" s="0" t="s">
        <v>154</v>
      </c>
      <c r="DC2815" s="0" t="s">
        <v>154</v>
      </c>
      <c r="DI2815" s="0" t="s">
        <v>154</v>
      </c>
      <c r="DJ2815" s="0" t="s">
        <v>155</v>
      </c>
      <c r="DL2815" s="0" t="s">
        <v>154</v>
      </c>
      <c r="DN2815" s="0" t="s">
        <v>154</v>
      </c>
      <c r="DS2815" s="0" t="s">
        <v>176</v>
      </c>
      <c r="DU2815" s="0" t="s">
        <v>154</v>
      </c>
      <c r="DW2815" s="0" t="s">
        <v>155</v>
      </c>
      <c r="DX2815" s="0" t="s">
        <v>154</v>
      </c>
      <c r="EA2815" s="0" t="s">
        <v>154</v>
      </c>
      <c r="ED2815" s="0" t="s">
        <v>176</v>
      </c>
      <c r="EF2815" s="0" t="s">
        <v>154</v>
      </c>
    </row>
    <row r="2816" customFormat="false" ht="13.8" hidden="true" customHeight="false" outlineLevel="0" collapsed="false">
      <c r="A2816" s="0" t="s">
        <v>11920</v>
      </c>
      <c r="B2816" s="0" t="n">
        <v>78</v>
      </c>
      <c r="C2816" s="0" t="n">
        <v>439002</v>
      </c>
      <c r="D2816" s="0" t="s">
        <v>11921</v>
      </c>
      <c r="E2816" s="0" t="s">
        <v>11922</v>
      </c>
      <c r="F2816" s="0" t="str">
        <f aca="false">CONCATENATE(D2816," ",LEFT(H2816,4),"T=",AU2816,"D=",AV2816,"R=",AW2816,"M=",AX2816,"L=",AY2816,"B=",AZ2816)</f>
        <v>STASSIN T=3D=0R=0M=0L=0B=0</v>
      </c>
      <c r="G2816" s="0" t="s">
        <v>241</v>
      </c>
      <c r="I2816" s="0" t="s">
        <v>11923</v>
      </c>
      <c r="J2816" s="0" t="s">
        <v>11924</v>
      </c>
      <c r="K2816" s="0" t="s">
        <v>175</v>
      </c>
      <c r="L2816" s="0"/>
      <c r="M2816" s="0" t="s">
        <v>11925</v>
      </c>
      <c r="N2816" s="0" t="str">
        <f aca="false">RIGHT(M2816,LEN(M2816)-FIND(" ",M2816))</f>
        <v>WILSON AVE NW</v>
      </c>
      <c r="P2816" s="0" t="s">
        <v>146</v>
      </c>
      <c r="Q2816" s="0" t="s">
        <v>147</v>
      </c>
      <c r="R2816" s="0" t="n">
        <v>44483</v>
      </c>
      <c r="AD2816" s="0" t="s">
        <v>148</v>
      </c>
      <c r="AE2816" s="0" t="s">
        <v>149</v>
      </c>
      <c r="AF2816" s="0" t="s">
        <v>150</v>
      </c>
      <c r="AH2816" s="0" t="n">
        <v>14</v>
      </c>
      <c r="AI2816" s="0" t="n">
        <v>11</v>
      </c>
      <c r="AN2816" s="0" t="s">
        <v>146</v>
      </c>
      <c r="AO2816" s="0" t="s">
        <v>151</v>
      </c>
      <c r="AP2816" s="0" t="s">
        <v>152</v>
      </c>
      <c r="AQ2816" s="0" t="n">
        <v>9</v>
      </c>
      <c r="AR2816" s="0" t="n">
        <v>64</v>
      </c>
      <c r="AS2816" s="0" t="n">
        <v>32</v>
      </c>
      <c r="AU2816" s="0" t="n">
        <f aca="false">COUNTA($BA$1404:$EH$1404)</f>
        <v>3</v>
      </c>
      <c r="AV2816" s="0" t="n">
        <f aca="false">COUNTIF($BA$1404:$EH$1404,"D")</f>
        <v>0</v>
      </c>
      <c r="AW2816" s="0" t="n">
        <f aca="false">COUNTIF($BA$1404:$EH$1404,"R")</f>
        <v>0</v>
      </c>
      <c r="AX2816" s="0" t="n">
        <f aca="false">IF(BN2816="D",1,0)+IF(BO2816="D",1,0)+IF(BT2816="D",1,0)+IF(BU2816="D",1,0)+IF(BW2816="D",1,0)+IF(CC2816="D",1,0)+IF(CD2816="D",1,0)+IF(CE2816="D",1,0)+IF(CF2816="D",1,0)+IF(CL2816="D",1,0)+IF(CM2816="D",1,0)+IF(CQ2816="D",1,0)+IF(CR2816="D",1,0)+IF(CS2816="D",1,0)+IF(CW2816="D",1,0)+IF(CX2816="D",1,0)+IF(DD2816="D",1,0)+IF(DE2816="D",1,0)+IF(DJ2816="D",1,0)+IF(DK2816="D",1,0)+IF(DO2816="D",1,0)+IF(DP2816="D",1,0)+IF(DQ2816="D",1,0)+IF(DW2816="D",1,0)+IF(DZ2816="D",1,0)+IF(EH2816="D",1,0)</f>
        <v>0</v>
      </c>
      <c r="AY2816" s="0" t="n">
        <f aca="false">COUNTIF(DU2816:EH2816, "&lt;&gt;")</f>
        <v>0</v>
      </c>
      <c r="AZ2816" s="0" t="n">
        <f aca="false">IF(EH2816&lt;&gt;"",1,0)</f>
        <v>0</v>
      </c>
      <c r="BB2816" s="0" t="s">
        <v>153</v>
      </c>
    </row>
    <row r="2817" customFormat="false" ht="13.8" hidden="true" customHeight="false" outlineLevel="0" collapsed="false">
      <c r="A2817" s="0" t="s">
        <v>11926</v>
      </c>
      <c r="B2817" s="0" t="n">
        <v>78</v>
      </c>
      <c r="C2817" s="0" t="n">
        <v>384532</v>
      </c>
      <c r="D2817" s="0" t="s">
        <v>11927</v>
      </c>
      <c r="E2817" s="0" t="s">
        <v>11928</v>
      </c>
      <c r="F2817" s="0" t="str">
        <f aca="false">CONCATENATE(D2817," ",LEFT(H2817,4),"T=",AU2817,"D=",AV2817,"R=",AW2817,"M=",AX2817,"L=",AY2817,"B=",AZ2817)</f>
        <v>ADONETTO T=12D=1R=0M=0L=0B=0</v>
      </c>
      <c r="G2817" s="0" t="s">
        <v>297</v>
      </c>
      <c r="I2817" s="0" t="s">
        <v>11929</v>
      </c>
      <c r="J2817" s="0" t="s">
        <v>11930</v>
      </c>
      <c r="K2817" s="0" t="s">
        <v>175</v>
      </c>
      <c r="L2817" s="0"/>
      <c r="M2817" s="0" t="s">
        <v>11925</v>
      </c>
      <c r="N2817" s="0" t="str">
        <f aca="false">RIGHT(M2817,LEN(M2817)-FIND(" ",M2817))</f>
        <v>WILSON AVE NW</v>
      </c>
      <c r="P2817" s="0" t="s">
        <v>146</v>
      </c>
      <c r="Q2817" s="0" t="s">
        <v>147</v>
      </c>
      <c r="R2817" s="0" t="n">
        <v>44483</v>
      </c>
      <c r="AD2817" s="0" t="s">
        <v>148</v>
      </c>
      <c r="AE2817" s="0" t="s">
        <v>149</v>
      </c>
      <c r="AF2817" s="0" t="s">
        <v>150</v>
      </c>
      <c r="AH2817" s="0" t="n">
        <v>14</v>
      </c>
      <c r="AI2817" s="0" t="n">
        <v>11</v>
      </c>
      <c r="AN2817" s="0" t="s">
        <v>146</v>
      </c>
      <c r="AO2817" s="0" t="s">
        <v>151</v>
      </c>
      <c r="AP2817" s="0" t="s">
        <v>152</v>
      </c>
      <c r="AQ2817" s="0" t="n">
        <v>9</v>
      </c>
      <c r="AR2817" s="0" t="n">
        <v>64</v>
      </c>
      <c r="AS2817" s="0" t="n">
        <v>32</v>
      </c>
      <c r="AU2817" s="0" t="n">
        <f aca="false">COUNTA($BA$1666:$EH$1666)</f>
        <v>12</v>
      </c>
      <c r="AV2817" s="0" t="n">
        <f aca="false">COUNTIF($BA$1666:$EH$1666,"D")</f>
        <v>1</v>
      </c>
      <c r="AW2817" s="0" t="n">
        <f aca="false">COUNTIF($BA$1666:$EH$1666,"R")</f>
        <v>0</v>
      </c>
      <c r="AX2817" s="0" t="n">
        <f aca="false">IF(BN2817="D",1,0)+IF(BO2817="D",1,0)+IF(BT2817="D",1,0)+IF(BU2817="D",1,0)+IF(BW2817="D",1,0)+IF(CC2817="D",1,0)+IF(CD2817="D",1,0)+IF(CE2817="D",1,0)+IF(CF2817="D",1,0)+IF(CL2817="D",1,0)+IF(CM2817="D",1,0)+IF(CQ2817="D",1,0)+IF(CR2817="D",1,0)+IF(CS2817="D",1,0)+IF(CW2817="D",1,0)+IF(CX2817="D",1,0)+IF(DD2817="D",1,0)+IF(DE2817="D",1,0)+IF(DJ2817="D",1,0)+IF(DK2817="D",1,0)+IF(DO2817="D",1,0)+IF(DP2817="D",1,0)+IF(DQ2817="D",1,0)+IF(DW2817="D",1,0)+IF(DZ2817="D",1,0)+IF(EH2817="D",1,0)</f>
        <v>0</v>
      </c>
      <c r="AY2817" s="0" t="n">
        <f aca="false">COUNTIF(DU2817:EH2817, "&lt;&gt;")</f>
        <v>0</v>
      </c>
      <c r="AZ2817" s="0" t="n">
        <f aca="false">IF(EH2817&lt;&gt;"",1,0)</f>
        <v>0</v>
      </c>
      <c r="BB2817" s="0" t="s">
        <v>153</v>
      </c>
      <c r="CA2817" s="0" t="s">
        <v>154</v>
      </c>
      <c r="CP2817" s="0" t="s">
        <v>154</v>
      </c>
      <c r="DC2817" s="0" t="s">
        <v>154</v>
      </c>
      <c r="DI2817" s="0" t="s">
        <v>154</v>
      </c>
    </row>
    <row r="2818" customFormat="false" ht="13.8" hidden="true" customHeight="false" outlineLevel="0" collapsed="false">
      <c r="A2818" s="0" t="s">
        <v>11931</v>
      </c>
      <c r="B2818" s="0" t="n">
        <v>78</v>
      </c>
      <c r="C2818" s="0" t="n">
        <v>496419</v>
      </c>
      <c r="D2818" s="0" t="s">
        <v>2961</v>
      </c>
      <c r="E2818" s="0" t="s">
        <v>4403</v>
      </c>
      <c r="F2818" s="0" t="str">
        <f aca="false">CONCATENATE(D2818," ",LEFT(H2818,4),"T=",AU2818,"D=",AV2818,"R=",AW2818,"M=",AX2818,"L=",AY2818,"B=",AZ2818)</f>
        <v>BUTLER T=13D=2R=0M=0L=0B=0</v>
      </c>
      <c r="G2818" s="0" t="s">
        <v>11932</v>
      </c>
      <c r="I2818" s="0" t="s">
        <v>11933</v>
      </c>
      <c r="J2818" s="0" t="s">
        <v>2319</v>
      </c>
      <c r="K2818" s="0" t="s">
        <v>175</v>
      </c>
      <c r="L2818" s="0"/>
      <c r="M2818" s="0" t="s">
        <v>11934</v>
      </c>
      <c r="N2818" s="0" t="str">
        <f aca="false">RIGHT(M2818,LEN(M2818)-FIND(" ",M2818))</f>
        <v>WILSON AVE NW</v>
      </c>
      <c r="P2818" s="0" t="s">
        <v>146</v>
      </c>
      <c r="Q2818" s="0" t="s">
        <v>147</v>
      </c>
      <c r="R2818" s="0" t="n">
        <v>44483</v>
      </c>
      <c r="AD2818" s="0" t="s">
        <v>148</v>
      </c>
      <c r="AE2818" s="0" t="s">
        <v>149</v>
      </c>
      <c r="AF2818" s="0" t="s">
        <v>150</v>
      </c>
      <c r="AH2818" s="0" t="n">
        <v>14</v>
      </c>
      <c r="AI2818" s="0" t="n">
        <v>11</v>
      </c>
      <c r="AN2818" s="0" t="s">
        <v>146</v>
      </c>
      <c r="AO2818" s="0" t="s">
        <v>151</v>
      </c>
      <c r="AP2818" s="0" t="s">
        <v>152</v>
      </c>
      <c r="AQ2818" s="0" t="n">
        <v>9</v>
      </c>
      <c r="AR2818" s="0" t="n">
        <v>64</v>
      </c>
      <c r="AS2818" s="0" t="n">
        <v>32</v>
      </c>
      <c r="AU2818" s="0" t="n">
        <f aca="false">COUNTA($BA$1427:$EH$1427)</f>
        <v>13</v>
      </c>
      <c r="AV2818" s="0" t="n">
        <f aca="false">COUNTIF($BA$1427:$EH$1427,"D")</f>
        <v>2</v>
      </c>
      <c r="AW2818" s="0" t="n">
        <f aca="false">COUNTIF($BA$1427:$EH$1427,"R")</f>
        <v>0</v>
      </c>
      <c r="AX2818" s="0" t="n">
        <f aca="false">IF(BN2818="D",1,0)+IF(BO2818="D",1,0)+IF(BT2818="D",1,0)+IF(BU2818="D",1,0)+IF(BW2818="D",1,0)+IF(CC2818="D",1,0)+IF(CD2818="D",1,0)+IF(CE2818="D",1,0)+IF(CF2818="D",1,0)+IF(CL2818="D",1,0)+IF(CM2818="D",1,0)+IF(CQ2818="D",1,0)+IF(CR2818="D",1,0)+IF(CS2818="D",1,0)+IF(CW2818="D",1,0)+IF(CX2818="D",1,0)+IF(DD2818="D",1,0)+IF(DE2818="D",1,0)+IF(DJ2818="D",1,0)+IF(DK2818="D",1,0)+IF(DO2818="D",1,0)+IF(DP2818="D",1,0)+IF(DQ2818="D",1,0)+IF(DW2818="D",1,0)+IF(DZ2818="D",1,0)+IF(EH2818="D",1,0)</f>
        <v>0</v>
      </c>
      <c r="AY2818" s="0" t="n">
        <f aca="false">COUNTIF(DU2818:EH2818, "&lt;&gt;")</f>
        <v>0</v>
      </c>
      <c r="AZ2818" s="0" t="n">
        <f aca="false">IF(EH2818&lt;&gt;"",1,0)</f>
        <v>0</v>
      </c>
      <c r="BB2818" s="0" t="s">
        <v>153</v>
      </c>
    </row>
    <row r="2819" customFormat="false" ht="13.8" hidden="false" customHeight="false" outlineLevel="0" collapsed="false">
      <c r="A2819" s="0" t="s">
        <v>11935</v>
      </c>
      <c r="B2819" s="0" t="n">
        <v>78</v>
      </c>
      <c r="C2819" s="0" t="n">
        <v>308635</v>
      </c>
      <c r="D2819" s="0" t="s">
        <v>2961</v>
      </c>
      <c r="E2819" s="0" t="s">
        <v>11936</v>
      </c>
      <c r="F2819" s="0" t="str">
        <f aca="false">CONCATENATE(D2819," ",LEFT(H2819,4),"T=",AU2819,"D=",AV2819,"R=",AW2819,"M=",AX2819,"L=",AY2819,"B=",AZ2819)</f>
        <v>BUTLER T=5D=0R=1M=0L=3B=0</v>
      </c>
      <c r="G2819" s="0" t="s">
        <v>216</v>
      </c>
      <c r="I2819" s="0" t="s">
        <v>11937</v>
      </c>
      <c r="J2819" s="0" t="s">
        <v>11938</v>
      </c>
      <c r="K2819" s="0" t="s">
        <v>175</v>
      </c>
      <c r="M2819" s="0" t="s">
        <v>11934</v>
      </c>
      <c r="N2819" s="0" t="str">
        <f aca="false">RIGHT(M2819,LEN(M2819)-FIND(" ",M2819))</f>
        <v>WILSON AVE NW</v>
      </c>
      <c r="P2819" s="0" t="s">
        <v>146</v>
      </c>
      <c r="Q2819" s="0" t="s">
        <v>147</v>
      </c>
      <c r="R2819" s="0" t="n">
        <v>44483</v>
      </c>
      <c r="AD2819" s="0" t="s">
        <v>148</v>
      </c>
      <c r="AE2819" s="0" t="s">
        <v>149</v>
      </c>
      <c r="AF2819" s="0" t="s">
        <v>150</v>
      </c>
      <c r="AH2819" s="0" t="n">
        <v>14</v>
      </c>
      <c r="AI2819" s="0" t="n">
        <v>11</v>
      </c>
      <c r="AN2819" s="0" t="s">
        <v>146</v>
      </c>
      <c r="AO2819" s="0" t="s">
        <v>151</v>
      </c>
      <c r="AP2819" s="0" t="s">
        <v>152</v>
      </c>
      <c r="AQ2819" s="0" t="n">
        <v>9</v>
      </c>
      <c r="AR2819" s="0" t="n">
        <v>64</v>
      </c>
      <c r="AS2819" s="0" t="n">
        <v>32</v>
      </c>
      <c r="AU2819" s="0" t="n">
        <f aca="false">COUNTA($BA$1698:$EH$1698)</f>
        <v>5</v>
      </c>
      <c r="AV2819" s="0" t="n">
        <f aca="false">COUNTIF($BA$1698:$EH$1698,"D")</f>
        <v>0</v>
      </c>
      <c r="AW2819" s="0" t="n">
        <f aca="false">COUNTIF($BA$1698:$EH$1698,"R")</f>
        <v>1</v>
      </c>
      <c r="AX2819" s="0" t="n">
        <f aca="false">IF(BN2819="D",1,0)+IF(BO2819="D",1,0)+IF(BT2819="D",1,0)+IF(BU2819="D",1,0)+IF(BW2819="D",1,0)+IF(CC2819="D",1,0)+IF(CD2819="D",1,0)+IF(CE2819="D",1,0)+IF(CF2819="D",1,0)+IF(CL2819="D",1,0)+IF(CM2819="D",1,0)+IF(CQ2819="D",1,0)+IF(CR2819="D",1,0)+IF(CS2819="D",1,0)+IF(CW2819="D",1,0)+IF(CX2819="D",1,0)+IF(DD2819="D",1,0)+IF(DE2819="D",1,0)+IF(DJ2819="D",1,0)+IF(DK2819="D",1,0)+IF(DO2819="D",1,0)+IF(DP2819="D",1,0)+IF(DQ2819="D",1,0)+IF(DW2819="D",1,0)+IF(DZ2819="D",1,0)+IF(EH2819="D",1,0)</f>
        <v>0</v>
      </c>
      <c r="AY2819" s="0" t="n">
        <f aca="false">COUNTIF(DU2819:EH2819, "&lt;&gt;")</f>
        <v>3</v>
      </c>
      <c r="AZ2819" s="0" t="n">
        <f aca="false">IF(EH2819&lt;&gt;"",1,0)</f>
        <v>0</v>
      </c>
      <c r="BB2819" s="0" t="s">
        <v>153</v>
      </c>
      <c r="BH2819" s="0" t="s">
        <v>154</v>
      </c>
      <c r="BL2819" s="0" t="s">
        <v>154</v>
      </c>
      <c r="BY2819" s="0" t="s">
        <v>155</v>
      </c>
      <c r="CK2819" s="0" t="s">
        <v>154</v>
      </c>
      <c r="CP2819" s="0" t="s">
        <v>154</v>
      </c>
      <c r="DC2819" s="0" t="s">
        <v>154</v>
      </c>
      <c r="DN2819" s="0" t="s">
        <v>154</v>
      </c>
      <c r="DU2819" s="0" t="s">
        <v>154</v>
      </c>
      <c r="EA2819" s="0" t="s">
        <v>154</v>
      </c>
      <c r="EF2819" s="0" t="s">
        <v>154</v>
      </c>
    </row>
    <row r="2820" customFormat="false" ht="13.8" hidden="false" customHeight="false" outlineLevel="0" collapsed="false">
      <c r="A2820" s="0" t="s">
        <v>11939</v>
      </c>
      <c r="B2820" s="0" t="n">
        <v>78</v>
      </c>
      <c r="C2820" s="0" t="n">
        <v>323255</v>
      </c>
      <c r="D2820" s="0" t="s">
        <v>2961</v>
      </c>
      <c r="E2820" s="0" t="s">
        <v>842</v>
      </c>
      <c r="F2820" s="0" t="str">
        <f aca="false">CONCATENATE(D2820," ",LEFT(H2820,4),"T=",AU2820,"D=",AV2820,"R=",AW2820,"M=",AX2820,"L=",AY2820,"B=",AZ2820)</f>
        <v>BUTLER SRT=1D=0R=0M=0L=3B=0</v>
      </c>
      <c r="G2820" s="0" t="s">
        <v>222</v>
      </c>
      <c r="H2820" s="0" t="s">
        <v>311</v>
      </c>
      <c r="I2820" s="0" t="s">
        <v>11940</v>
      </c>
      <c r="J2820" s="0" t="s">
        <v>1004</v>
      </c>
      <c r="K2820" s="0" t="s">
        <v>175</v>
      </c>
      <c r="M2820" s="0" t="s">
        <v>11934</v>
      </c>
      <c r="N2820" s="0" t="str">
        <f aca="false">RIGHT(M2820,LEN(M2820)-FIND(" ",M2820))</f>
        <v>WILSON AVE NW</v>
      </c>
      <c r="P2820" s="0" t="s">
        <v>146</v>
      </c>
      <c r="Q2820" s="0" t="s">
        <v>147</v>
      </c>
      <c r="R2820" s="0" t="n">
        <v>44483</v>
      </c>
      <c r="AD2820" s="0" t="s">
        <v>148</v>
      </c>
      <c r="AE2820" s="0" t="s">
        <v>149</v>
      </c>
      <c r="AF2820" s="0" t="s">
        <v>150</v>
      </c>
      <c r="AH2820" s="0" t="n">
        <v>14</v>
      </c>
      <c r="AI2820" s="0" t="n">
        <v>11</v>
      </c>
      <c r="AN2820" s="0" t="s">
        <v>146</v>
      </c>
      <c r="AO2820" s="0" t="s">
        <v>151</v>
      </c>
      <c r="AP2820" s="0" t="s">
        <v>152</v>
      </c>
      <c r="AQ2820" s="0" t="n">
        <v>9</v>
      </c>
      <c r="AR2820" s="0" t="n">
        <v>64</v>
      </c>
      <c r="AS2820" s="0" t="n">
        <v>32</v>
      </c>
      <c r="AU2820" s="0" t="n">
        <f aca="false">COUNTA($BA$1701:$EH$1701)</f>
        <v>1</v>
      </c>
      <c r="AV2820" s="0" t="n">
        <f aca="false">COUNTIF($BA$1701:$EH$1701,"D")</f>
        <v>0</v>
      </c>
      <c r="AW2820" s="0" t="n">
        <f aca="false">COUNTIF($BA$1701:$EH$1701,"R")</f>
        <v>0</v>
      </c>
      <c r="AX2820" s="0" t="n">
        <f aca="false">IF(BN2820="D",1,0)+IF(BO2820="D",1,0)+IF(BT2820="D",1,0)+IF(BU2820="D",1,0)+IF(BW2820="D",1,0)+IF(CC2820="D",1,0)+IF(CD2820="D",1,0)+IF(CE2820="D",1,0)+IF(CF2820="D",1,0)+IF(CL2820="D",1,0)+IF(CM2820="D",1,0)+IF(CQ2820="D",1,0)+IF(CR2820="D",1,0)+IF(CS2820="D",1,0)+IF(CW2820="D",1,0)+IF(CX2820="D",1,0)+IF(DD2820="D",1,0)+IF(DE2820="D",1,0)+IF(DJ2820="D",1,0)+IF(DK2820="D",1,0)+IF(DO2820="D",1,0)+IF(DP2820="D",1,0)+IF(DQ2820="D",1,0)+IF(DW2820="D",1,0)+IF(DZ2820="D",1,0)+IF(EH2820="D",1,0)</f>
        <v>0</v>
      </c>
      <c r="AY2820" s="0" t="n">
        <f aca="false">COUNTIF(DU2820:EH2820, "&lt;&gt;")</f>
        <v>3</v>
      </c>
      <c r="AZ2820" s="0" t="n">
        <f aca="false">IF(EH2820&lt;&gt;"",1,0)</f>
        <v>0</v>
      </c>
      <c r="BB2820" s="0" t="s">
        <v>153</v>
      </c>
      <c r="BL2820" s="0" t="s">
        <v>154</v>
      </c>
      <c r="BS2820" s="0" t="s">
        <v>154</v>
      </c>
      <c r="CA2820" s="0" t="s">
        <v>154</v>
      </c>
      <c r="CK2820" s="0" t="s">
        <v>154</v>
      </c>
      <c r="DC2820" s="0" t="s">
        <v>154</v>
      </c>
      <c r="DI2820" s="0" t="s">
        <v>154</v>
      </c>
      <c r="DL2820" s="0" t="s">
        <v>154</v>
      </c>
      <c r="DN2820" s="0" t="s">
        <v>154</v>
      </c>
      <c r="DU2820" s="0" t="s">
        <v>154</v>
      </c>
      <c r="EA2820" s="0" t="s">
        <v>154</v>
      </c>
      <c r="EF2820" s="0" t="s">
        <v>154</v>
      </c>
    </row>
    <row r="2821" customFormat="false" ht="13.8" hidden="true" customHeight="false" outlineLevel="0" collapsed="false">
      <c r="A2821" s="0" t="s">
        <v>11941</v>
      </c>
      <c r="B2821" s="0" t="n">
        <v>78</v>
      </c>
      <c r="C2821" s="0" t="n">
        <v>444939</v>
      </c>
      <c r="D2821" s="0" t="s">
        <v>2171</v>
      </c>
      <c r="E2821" s="0" t="s">
        <v>11942</v>
      </c>
      <c r="F2821" s="0" t="str">
        <f aca="false">CONCATENATE(D2821," ",LEFT(H2821,4),"T=",AU2821,"D=",AV2821,"R=",AW2821,"M=",AX2821,"L=",AY2821,"B=",AZ2821)</f>
        <v>MORRIS T=7D=0R=1M=0L=1B=0</v>
      </c>
      <c r="G2821" s="0" t="s">
        <v>11943</v>
      </c>
      <c r="I2821" s="0" t="s">
        <v>11944</v>
      </c>
      <c r="J2821" s="0" t="s">
        <v>7332</v>
      </c>
      <c r="K2821" s="0" t="s">
        <v>175</v>
      </c>
      <c r="L2821" s="0"/>
      <c r="M2821" s="0" t="s">
        <v>11934</v>
      </c>
      <c r="N2821" s="0" t="str">
        <f aca="false">RIGHT(M2821,LEN(M2821)-FIND(" ",M2821))</f>
        <v>WILSON AVE NW</v>
      </c>
      <c r="P2821" s="0" t="s">
        <v>146</v>
      </c>
      <c r="Q2821" s="0" t="s">
        <v>147</v>
      </c>
      <c r="R2821" s="0" t="n">
        <v>44483</v>
      </c>
      <c r="AD2821" s="0" t="s">
        <v>148</v>
      </c>
      <c r="AE2821" s="0" t="s">
        <v>149</v>
      </c>
      <c r="AF2821" s="0" t="s">
        <v>150</v>
      </c>
      <c r="AH2821" s="0" t="n">
        <v>14</v>
      </c>
      <c r="AI2821" s="0" t="n">
        <v>11</v>
      </c>
      <c r="AN2821" s="0" t="s">
        <v>146</v>
      </c>
      <c r="AO2821" s="0" t="s">
        <v>151</v>
      </c>
      <c r="AP2821" s="0" t="s">
        <v>152</v>
      </c>
      <c r="AQ2821" s="0" t="n">
        <v>9</v>
      </c>
      <c r="AR2821" s="0" t="n">
        <v>64</v>
      </c>
      <c r="AS2821" s="0" t="n">
        <v>32</v>
      </c>
      <c r="AU2821" s="0" t="n">
        <f aca="false">COUNTA($BA$1886:$EH$1886)</f>
        <v>7</v>
      </c>
      <c r="AV2821" s="0" t="n">
        <f aca="false">COUNTIF($BA$1886:$EH$1886,"D")</f>
        <v>0</v>
      </c>
      <c r="AW2821" s="0" t="n">
        <f aca="false">COUNTIF($BA$1886:$EH$1886,"R")</f>
        <v>1</v>
      </c>
      <c r="AX2821" s="0" t="n">
        <f aca="false">IF(BN2821="D",1,0)+IF(BO2821="D",1,0)+IF(BT2821="D",1,0)+IF(BU2821="D",1,0)+IF(BW2821="D",1,0)+IF(CC2821="D",1,0)+IF(CD2821="D",1,0)+IF(CE2821="D",1,0)+IF(CF2821="D",1,0)+IF(CL2821="D",1,0)+IF(CM2821="D",1,0)+IF(CQ2821="D",1,0)+IF(CR2821="D",1,0)+IF(CS2821="D",1,0)+IF(CW2821="D",1,0)+IF(CX2821="D",1,0)+IF(DD2821="D",1,0)+IF(DE2821="D",1,0)+IF(DJ2821="D",1,0)+IF(DK2821="D",1,0)+IF(DO2821="D",1,0)+IF(DP2821="D",1,0)+IF(DQ2821="D",1,0)+IF(DW2821="D",1,0)+IF(DZ2821="D",1,0)+IF(EH2821="D",1,0)</f>
        <v>0</v>
      </c>
      <c r="AY2821" s="0" t="n">
        <f aca="false">COUNTIF(DU2821:EH2821, "&lt;&gt;")</f>
        <v>1</v>
      </c>
      <c r="AZ2821" s="0" t="n">
        <f aca="false">IF(EH2821&lt;&gt;"",1,0)</f>
        <v>0</v>
      </c>
      <c r="BB2821" s="0" t="s">
        <v>153</v>
      </c>
      <c r="DN2821" s="0" t="s">
        <v>154</v>
      </c>
      <c r="EF2821" s="0" t="s">
        <v>154</v>
      </c>
    </row>
    <row r="2822" customFormat="false" ht="13.8" hidden="true" customHeight="false" outlineLevel="0" collapsed="false">
      <c r="A2822" s="0" t="s">
        <v>11945</v>
      </c>
      <c r="B2822" s="0" t="n">
        <v>78</v>
      </c>
      <c r="C2822" s="0" t="n">
        <v>461143</v>
      </c>
      <c r="D2822" s="0" t="s">
        <v>10301</v>
      </c>
      <c r="E2822" s="0" t="s">
        <v>1117</v>
      </c>
      <c r="F2822" s="0" t="str">
        <f aca="false">CONCATENATE(D2822," ",LEFT(H2822,4),"T=",AU2822,"D=",AV2822,"R=",AW2822,"M=",AX2822,"L=",AY2822,"B=",AZ2822)</f>
        <v>EMERSON SRT=6D=1R=0M=0L=0B=0</v>
      </c>
      <c r="G2822" s="0" t="s">
        <v>202</v>
      </c>
      <c r="H2822" s="0" t="s">
        <v>311</v>
      </c>
      <c r="I2822" s="0" t="s">
        <v>11946</v>
      </c>
      <c r="J2822" s="0" t="s">
        <v>11947</v>
      </c>
      <c r="K2822" s="0" t="s">
        <v>144</v>
      </c>
      <c r="L2822" s="0"/>
      <c r="M2822" s="0" t="s">
        <v>11948</v>
      </c>
      <c r="N2822" s="0" t="str">
        <f aca="false">RIGHT(M2822,LEN(M2822)-FIND(" ",M2822))</f>
        <v>WILSON AVE NW</v>
      </c>
      <c r="P2822" s="0" t="s">
        <v>146</v>
      </c>
      <c r="Q2822" s="0" t="s">
        <v>147</v>
      </c>
      <c r="R2822" s="0" t="n">
        <v>44483</v>
      </c>
      <c r="AD2822" s="0" t="s">
        <v>148</v>
      </c>
      <c r="AE2822" s="0" t="s">
        <v>149</v>
      </c>
      <c r="AF2822" s="0" t="s">
        <v>150</v>
      </c>
      <c r="AH2822" s="0" t="n">
        <v>14</v>
      </c>
      <c r="AI2822" s="0" t="n">
        <v>11</v>
      </c>
      <c r="AN2822" s="0" t="s">
        <v>146</v>
      </c>
      <c r="AO2822" s="0" t="s">
        <v>151</v>
      </c>
      <c r="AP2822" s="0" t="s">
        <v>152</v>
      </c>
      <c r="AQ2822" s="0" t="n">
        <v>9</v>
      </c>
      <c r="AR2822" s="0" t="n">
        <v>64</v>
      </c>
      <c r="AS2822" s="0" t="n">
        <v>32</v>
      </c>
      <c r="AU2822" s="0" t="n">
        <f aca="false">COUNTA($BA$1658:$EH$1658)</f>
        <v>6</v>
      </c>
      <c r="AV2822" s="0" t="n">
        <f aca="false">COUNTIF($BA$1658:$EH$1658,"D")</f>
        <v>1</v>
      </c>
      <c r="AW2822" s="0" t="n">
        <f aca="false">COUNTIF($BA$1658:$EH$1658,"R")</f>
        <v>0</v>
      </c>
      <c r="AX2822" s="0" t="n">
        <f aca="false">IF(BN2822="D",1,0)+IF(BO2822="D",1,0)+IF(BT2822="D",1,0)+IF(BU2822="D",1,0)+IF(BW2822="D",1,0)+IF(CC2822="D",1,0)+IF(CD2822="D",1,0)+IF(CE2822="D",1,0)+IF(CF2822="D",1,0)+IF(CL2822="D",1,0)+IF(CM2822="D",1,0)+IF(CQ2822="D",1,0)+IF(CR2822="D",1,0)+IF(CS2822="D",1,0)+IF(CW2822="D",1,0)+IF(CX2822="D",1,0)+IF(DD2822="D",1,0)+IF(DE2822="D",1,0)+IF(DJ2822="D",1,0)+IF(DK2822="D",1,0)+IF(DO2822="D",1,0)+IF(DP2822="D",1,0)+IF(DQ2822="D",1,0)+IF(DW2822="D",1,0)+IF(DZ2822="D",1,0)+IF(EH2822="D",1,0)</f>
        <v>0</v>
      </c>
      <c r="AY2822" s="0" t="n">
        <f aca="false">COUNTIF(DU2822:EH2822, "&lt;&gt;")</f>
        <v>0</v>
      </c>
      <c r="AZ2822" s="0" t="n">
        <f aca="false">IF(EH2822&lt;&gt;"",1,0)</f>
        <v>0</v>
      </c>
      <c r="BB2822" s="0" t="s">
        <v>153</v>
      </c>
    </row>
    <row r="2823" customFormat="false" ht="13.8" hidden="true" customHeight="false" outlineLevel="0" collapsed="false">
      <c r="A2823" s="0" t="s">
        <v>11949</v>
      </c>
      <c r="B2823" s="0" t="n">
        <v>78</v>
      </c>
      <c r="C2823" s="0" t="n">
        <v>334732</v>
      </c>
      <c r="D2823" s="0" t="s">
        <v>11950</v>
      </c>
      <c r="E2823" s="0" t="s">
        <v>430</v>
      </c>
      <c r="F2823" s="0" t="str">
        <f aca="false">CONCATENATE(D2823," ",LEFT(H2823,4),"T=",AU2823,"D=",AV2823,"R=",AW2823,"M=",AX2823,"L=",AY2823,"B=",AZ2823)</f>
        <v>POLITSKY T=1D=0R=0M=0L=0B=0</v>
      </c>
      <c r="G2823" s="0" t="s">
        <v>172</v>
      </c>
      <c r="I2823" s="0" t="s">
        <v>11951</v>
      </c>
      <c r="J2823" s="0" t="s">
        <v>1666</v>
      </c>
      <c r="K2823" s="0" t="s">
        <v>144</v>
      </c>
      <c r="L2823" s="0"/>
      <c r="M2823" s="0" t="s">
        <v>11948</v>
      </c>
      <c r="N2823" s="0" t="str">
        <f aca="false">RIGHT(M2823,LEN(M2823)-FIND(" ",M2823))</f>
        <v>WILSON AVE NW</v>
      </c>
      <c r="P2823" s="0" t="s">
        <v>146</v>
      </c>
      <c r="Q2823" s="0" t="s">
        <v>147</v>
      </c>
      <c r="R2823" s="0" t="n">
        <v>44483</v>
      </c>
      <c r="AD2823" s="0" t="s">
        <v>148</v>
      </c>
      <c r="AE2823" s="0" t="s">
        <v>149</v>
      </c>
      <c r="AF2823" s="0" t="s">
        <v>150</v>
      </c>
      <c r="AH2823" s="0" t="n">
        <v>14</v>
      </c>
      <c r="AI2823" s="0" t="n">
        <v>11</v>
      </c>
      <c r="AN2823" s="0" t="s">
        <v>146</v>
      </c>
      <c r="AO2823" s="0" t="s">
        <v>151</v>
      </c>
      <c r="AP2823" s="0" t="s">
        <v>152</v>
      </c>
      <c r="AQ2823" s="0" t="n">
        <v>9</v>
      </c>
      <c r="AR2823" s="0" t="n">
        <v>64</v>
      </c>
      <c r="AS2823" s="0" t="n">
        <v>32</v>
      </c>
      <c r="AU2823" s="0" t="n">
        <f aca="false">COUNTA($BA$1992:$EH$1992)</f>
        <v>1</v>
      </c>
      <c r="AV2823" s="0" t="n">
        <f aca="false">COUNTIF($BA$1992:$EH$1992,"D")</f>
        <v>0</v>
      </c>
      <c r="AW2823" s="0" t="n">
        <f aca="false">COUNTIF($BA$1992:$EH$1992,"R")</f>
        <v>0</v>
      </c>
      <c r="AX2823" s="0" t="n">
        <f aca="false">IF(BN2823="D",1,0)+IF(BO2823="D",1,0)+IF(BT2823="D",1,0)+IF(BU2823="D",1,0)+IF(BW2823="D",1,0)+IF(CC2823="D",1,0)+IF(CD2823="D",1,0)+IF(CE2823="D",1,0)+IF(CF2823="D",1,0)+IF(CL2823="D",1,0)+IF(CM2823="D",1,0)+IF(CQ2823="D",1,0)+IF(CR2823="D",1,0)+IF(CS2823="D",1,0)+IF(CW2823="D",1,0)+IF(CX2823="D",1,0)+IF(DD2823="D",1,0)+IF(DE2823="D",1,0)+IF(DJ2823="D",1,0)+IF(DK2823="D",1,0)+IF(DO2823="D",1,0)+IF(DP2823="D",1,0)+IF(DQ2823="D",1,0)+IF(DW2823="D",1,0)+IF(DZ2823="D",1,0)+IF(EH2823="D",1,0)</f>
        <v>0</v>
      </c>
      <c r="AY2823" s="0" t="n">
        <f aca="false">COUNTIF(DU2823:EH2823, "&lt;&gt;")</f>
        <v>0</v>
      </c>
      <c r="AZ2823" s="0" t="n">
        <f aca="false">IF(EH2823&lt;&gt;"",1,0)</f>
        <v>0</v>
      </c>
      <c r="BB2823" s="0" t="s">
        <v>153</v>
      </c>
      <c r="BL2823" s="0" t="s">
        <v>154</v>
      </c>
      <c r="CA2823" s="0" t="s">
        <v>154</v>
      </c>
      <c r="CN2823" s="0" t="s">
        <v>154</v>
      </c>
      <c r="CO2823" s="0" t="s">
        <v>155</v>
      </c>
      <c r="CP2823" s="0" t="s">
        <v>154</v>
      </c>
      <c r="CZ2823" s="0" t="s">
        <v>176</v>
      </c>
      <c r="DC2823" s="0" t="s">
        <v>154</v>
      </c>
      <c r="DI2823" s="0" t="s">
        <v>154</v>
      </c>
      <c r="DN2823" s="0" t="s">
        <v>154</v>
      </c>
    </row>
    <row r="2825" customFormat="false" ht="13.8" hidden="false" customHeight="false" outlineLevel="0" collapsed="false">
      <c r="AY2825" s="0" t="n">
        <f aca="false">COUNTIF(AY2:AY2823, "&gt;1")</f>
        <v>985</v>
      </c>
    </row>
  </sheetData>
  <autoFilter ref="A1:EH2823">
    <filterColumn colId="50">
      <filters>
        <filter val="2"/>
        <filter val="3"/>
        <filter val="4"/>
        <filter val="5"/>
        <filter val="6"/>
        <filter val="7"/>
      </filters>
    </filterColumn>
  </autoFilter>
  <printOptions headings="false" gridLines="false" gridLinesSet="true" horizontalCentered="false" verticalCentered="false"/>
  <pageMargins left="0.479861111111111" right="0.5" top="0.4" bottom="0.4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2025-06-22T22:40:48Z</dcterms:created>
  <dc:creator>openpyxl</dc:creator>
  <dc:description/>
  <dc:language>en-US</dc:language>
  <cp:lastModifiedBy/>
  <dcterms:modified xsi:type="dcterms:W3CDTF">2025-07-27T11:48:16Z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